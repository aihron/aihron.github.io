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per\Downloads\"/>
    </mc:Choice>
  </mc:AlternateContent>
  <xr:revisionPtr revIDLastSave="0" documentId="8_{76D176FB-885B-459D-8CAC-4C75172DCC49}" xr6:coauthVersionLast="47" xr6:coauthVersionMax="47" xr10:uidLastSave="{00000000-0000-0000-0000-000000000000}"/>
  <bookViews>
    <workbookView xWindow="-108" yWindow="-108" windowWidth="23256" windowHeight="12456" tabRatio="841" firstSheet="1" activeTab="5" xr2:uid="{00000000-000D-0000-FFFF-FFFF00000000}"/>
  </bookViews>
  <sheets>
    <sheet name="Painel Executivo Macro" sheetId="9" r:id="rId1"/>
    <sheet name="Painel Executivo Micro" sheetId="10" r:id="rId2"/>
    <sheet name="Resumo por Frente" sheetId="11" r:id="rId3"/>
    <sheet name="Atividades Macro" sheetId="12" r:id="rId4"/>
    <sheet name="Atividades Micro" sheetId="13" r:id="rId5"/>
    <sheet name="Evolução Semanal Micro" sheetId="16" r:id="rId6"/>
    <sheet name="CRs Atividades Micro" sheetId="14" r:id="rId7"/>
    <sheet name="Cálculos (apoio)" sheetId="15" r:id="rId8"/>
  </sheets>
  <calcPr calcId="191029" forceFullCalc="1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6" l="1"/>
  <c r="L48" i="16"/>
  <c r="L46" i="16"/>
  <c r="C32" i="16"/>
  <c r="C33" i="16" s="1"/>
  <c r="A4" i="15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W4" i="15"/>
  <c r="BX4" i="15"/>
  <c r="BY4" i="15"/>
  <c r="BZ4" i="15"/>
  <c r="CA4" i="15"/>
  <c r="CB4" i="15"/>
  <c r="CC4" i="15"/>
  <c r="CD4" i="15"/>
  <c r="CE4" i="15"/>
  <c r="CF4" i="15"/>
  <c r="CG4" i="15"/>
  <c r="CH4" i="15"/>
  <c r="CI4" i="15"/>
  <c r="CJ4" i="15"/>
  <c r="CK4" i="15"/>
  <c r="CL4" i="15"/>
  <c r="CM4" i="15"/>
  <c r="CN4" i="15"/>
  <c r="CO4" i="15"/>
  <c r="A5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BL5" i="15"/>
  <c r="BM5" i="15"/>
  <c r="BN5" i="15"/>
  <c r="BO5" i="15"/>
  <c r="BP5" i="15"/>
  <c r="BQ5" i="15"/>
  <c r="BR5" i="15"/>
  <c r="BS5" i="15"/>
  <c r="BT5" i="15"/>
  <c r="BU5" i="15"/>
  <c r="BV5" i="15"/>
  <c r="BW5" i="15"/>
  <c r="BX5" i="15"/>
  <c r="BY5" i="15"/>
  <c r="BZ5" i="15"/>
  <c r="CA5" i="15"/>
  <c r="CB5" i="15"/>
  <c r="CC5" i="15"/>
  <c r="CD5" i="15"/>
  <c r="CE5" i="15"/>
  <c r="CF5" i="15"/>
  <c r="CG5" i="15"/>
  <c r="CH5" i="15"/>
  <c r="CI5" i="15"/>
  <c r="CJ5" i="15"/>
  <c r="CK5" i="15"/>
  <c r="CL5" i="15"/>
  <c r="CM5" i="15"/>
  <c r="CN5" i="15"/>
  <c r="CO5" i="15"/>
  <c r="A6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BL6" i="15"/>
  <c r="BM6" i="15"/>
  <c r="BN6" i="15"/>
  <c r="BO6" i="15"/>
  <c r="BP6" i="15"/>
  <c r="BQ6" i="15"/>
  <c r="BR6" i="15"/>
  <c r="BS6" i="15"/>
  <c r="BT6" i="15"/>
  <c r="BU6" i="15"/>
  <c r="BV6" i="15"/>
  <c r="BW6" i="15"/>
  <c r="BX6" i="15"/>
  <c r="BY6" i="15"/>
  <c r="BZ6" i="15"/>
  <c r="CA6" i="15"/>
  <c r="CB6" i="15"/>
  <c r="CC6" i="15"/>
  <c r="CD6" i="15"/>
  <c r="CE6" i="15"/>
  <c r="CF6" i="15"/>
  <c r="CG6" i="15"/>
  <c r="CH6" i="15"/>
  <c r="CI6" i="15"/>
  <c r="CJ6" i="15"/>
  <c r="CK6" i="15"/>
  <c r="CL6" i="15"/>
  <c r="CM6" i="15"/>
  <c r="CN6" i="15"/>
  <c r="CO6" i="15"/>
  <c r="A7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BL7" i="15"/>
  <c r="BM7" i="15"/>
  <c r="BN7" i="15"/>
  <c r="BO7" i="15"/>
  <c r="BP7" i="15"/>
  <c r="BQ7" i="15"/>
  <c r="BR7" i="15"/>
  <c r="BS7" i="15"/>
  <c r="BT7" i="15"/>
  <c r="BU7" i="15"/>
  <c r="BV7" i="15"/>
  <c r="BW7" i="15"/>
  <c r="BX7" i="15"/>
  <c r="BY7" i="15"/>
  <c r="BZ7" i="15"/>
  <c r="CA7" i="15"/>
  <c r="CB7" i="15"/>
  <c r="CC7" i="15"/>
  <c r="CD7" i="15"/>
  <c r="CE7" i="15"/>
  <c r="CF7" i="15"/>
  <c r="CG7" i="15"/>
  <c r="CH7" i="15"/>
  <c r="CI7" i="15"/>
  <c r="CJ7" i="15"/>
  <c r="CK7" i="15"/>
  <c r="CL7" i="15"/>
  <c r="CM7" i="15"/>
  <c r="CN7" i="15"/>
  <c r="CO7" i="15"/>
  <c r="A8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BL8" i="15"/>
  <c r="BM8" i="15"/>
  <c r="BN8" i="15"/>
  <c r="BO8" i="15"/>
  <c r="BP8" i="15"/>
  <c r="BQ8" i="15"/>
  <c r="BR8" i="15"/>
  <c r="BS8" i="15"/>
  <c r="BT8" i="15"/>
  <c r="BU8" i="15"/>
  <c r="BV8" i="15"/>
  <c r="BW8" i="15"/>
  <c r="BX8" i="15"/>
  <c r="BY8" i="15"/>
  <c r="BZ8" i="15"/>
  <c r="CA8" i="15"/>
  <c r="CB8" i="15"/>
  <c r="CC8" i="15"/>
  <c r="CD8" i="15"/>
  <c r="CE8" i="15"/>
  <c r="CF8" i="15"/>
  <c r="CG8" i="15"/>
  <c r="CH8" i="15"/>
  <c r="CI8" i="15"/>
  <c r="CJ8" i="15"/>
  <c r="CK8" i="15"/>
  <c r="CL8" i="15"/>
  <c r="CM8" i="15"/>
  <c r="CN8" i="15"/>
  <c r="CO8" i="15"/>
  <c r="A9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BL9" i="15"/>
  <c r="BM9" i="15"/>
  <c r="BN9" i="15"/>
  <c r="BO9" i="15"/>
  <c r="BP9" i="15"/>
  <c r="BQ9" i="15"/>
  <c r="BR9" i="15"/>
  <c r="BS9" i="15"/>
  <c r="BT9" i="15"/>
  <c r="BU9" i="15"/>
  <c r="BV9" i="15"/>
  <c r="BW9" i="15"/>
  <c r="BX9" i="15"/>
  <c r="BY9" i="15"/>
  <c r="BZ9" i="15"/>
  <c r="CA9" i="15"/>
  <c r="CB9" i="15"/>
  <c r="CC9" i="15"/>
  <c r="CD9" i="15"/>
  <c r="CE9" i="15"/>
  <c r="CF9" i="15"/>
  <c r="CG9" i="15"/>
  <c r="CH9" i="15"/>
  <c r="CI9" i="15"/>
  <c r="CJ9" i="15"/>
  <c r="CK9" i="15"/>
  <c r="CL9" i="15"/>
  <c r="CM9" i="15"/>
  <c r="CN9" i="15"/>
  <c r="CO9" i="15"/>
  <c r="A10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BL10" i="15"/>
  <c r="BM10" i="15"/>
  <c r="BN10" i="15"/>
  <c r="BO10" i="15"/>
  <c r="BP10" i="15"/>
  <c r="BQ10" i="15"/>
  <c r="BR10" i="15"/>
  <c r="BS10" i="15"/>
  <c r="BT10" i="15"/>
  <c r="BU10" i="15"/>
  <c r="BV10" i="15"/>
  <c r="BW10" i="15"/>
  <c r="BX10" i="15"/>
  <c r="BY10" i="15"/>
  <c r="BZ10" i="15"/>
  <c r="CA10" i="15"/>
  <c r="CB10" i="15"/>
  <c r="CC10" i="15"/>
  <c r="CD10" i="15"/>
  <c r="CE10" i="15"/>
  <c r="CF10" i="15"/>
  <c r="CG10" i="15"/>
  <c r="CH10" i="15"/>
  <c r="CI10" i="15"/>
  <c r="CJ10" i="15"/>
  <c r="CK10" i="15"/>
  <c r="CL10" i="15"/>
  <c r="CM10" i="15"/>
  <c r="CN10" i="15"/>
  <c r="CO10" i="15"/>
  <c r="A11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BL11" i="15"/>
  <c r="BM11" i="15"/>
  <c r="BN11" i="15"/>
  <c r="BO11" i="15"/>
  <c r="BP11" i="15"/>
  <c r="BQ11" i="15"/>
  <c r="BR11" i="15"/>
  <c r="BS11" i="15"/>
  <c r="BT11" i="15"/>
  <c r="BU11" i="15"/>
  <c r="BV11" i="15"/>
  <c r="BW11" i="15"/>
  <c r="BX11" i="15"/>
  <c r="BY11" i="15"/>
  <c r="BZ11" i="15"/>
  <c r="CA11" i="15"/>
  <c r="CB11" i="15"/>
  <c r="CC11" i="15"/>
  <c r="CD11" i="15"/>
  <c r="CE11" i="15"/>
  <c r="CF11" i="15"/>
  <c r="CG11" i="15"/>
  <c r="CH11" i="15"/>
  <c r="CI11" i="15"/>
  <c r="CJ11" i="15"/>
  <c r="CK11" i="15"/>
  <c r="CL11" i="15"/>
  <c r="CM11" i="15"/>
  <c r="CN11" i="15"/>
  <c r="CO11" i="15"/>
  <c r="A12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BL12" i="15"/>
  <c r="BM12" i="15"/>
  <c r="BN12" i="15"/>
  <c r="BO12" i="15"/>
  <c r="BP12" i="15"/>
  <c r="BQ12" i="15"/>
  <c r="BR12" i="15"/>
  <c r="BS12" i="15"/>
  <c r="BT12" i="15"/>
  <c r="BU12" i="15"/>
  <c r="BV12" i="15"/>
  <c r="BW12" i="15"/>
  <c r="BX12" i="15"/>
  <c r="BY12" i="15"/>
  <c r="BZ12" i="15"/>
  <c r="CA12" i="15"/>
  <c r="CB12" i="15"/>
  <c r="CC12" i="15"/>
  <c r="CD12" i="15"/>
  <c r="CE12" i="15"/>
  <c r="CF12" i="15"/>
  <c r="CG12" i="15"/>
  <c r="CH12" i="15"/>
  <c r="CI12" i="15"/>
  <c r="CJ12" i="15"/>
  <c r="CK12" i="15"/>
  <c r="CL12" i="15"/>
  <c r="CM12" i="15"/>
  <c r="CN12" i="15"/>
  <c r="CO12" i="15"/>
  <c r="A13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BL13" i="15"/>
  <c r="BM13" i="15"/>
  <c r="BN13" i="15"/>
  <c r="BO13" i="15"/>
  <c r="BP13" i="15"/>
  <c r="BQ13" i="15"/>
  <c r="BR13" i="15"/>
  <c r="BS13" i="15"/>
  <c r="BT13" i="15"/>
  <c r="BU13" i="15"/>
  <c r="BV13" i="15"/>
  <c r="BW13" i="15"/>
  <c r="BX13" i="15"/>
  <c r="BY13" i="15"/>
  <c r="BZ13" i="15"/>
  <c r="CA13" i="15"/>
  <c r="CB13" i="15"/>
  <c r="CC13" i="15"/>
  <c r="CD13" i="15"/>
  <c r="CE13" i="15"/>
  <c r="CF13" i="15"/>
  <c r="CG13" i="15"/>
  <c r="CH13" i="15"/>
  <c r="CI13" i="15"/>
  <c r="CJ13" i="15"/>
  <c r="CK13" i="15"/>
  <c r="CL13" i="15"/>
  <c r="CM13" i="15"/>
  <c r="CN13" i="15"/>
  <c r="CO13" i="15"/>
  <c r="A14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P14" i="15"/>
  <c r="BQ14" i="15"/>
  <c r="BR14" i="15"/>
  <c r="BS14" i="15"/>
  <c r="BT14" i="15"/>
  <c r="BU14" i="15"/>
  <c r="BV14" i="15"/>
  <c r="BW14" i="15"/>
  <c r="BX14" i="15"/>
  <c r="BY14" i="15"/>
  <c r="BZ14" i="15"/>
  <c r="CA14" i="15"/>
  <c r="CB14" i="15"/>
  <c r="CC14" i="15"/>
  <c r="CD14" i="15"/>
  <c r="CE14" i="15"/>
  <c r="CF14" i="15"/>
  <c r="CG14" i="15"/>
  <c r="CH14" i="15"/>
  <c r="CI14" i="15"/>
  <c r="CJ14" i="15"/>
  <c r="CK14" i="15"/>
  <c r="CL14" i="15"/>
  <c r="CM14" i="15"/>
  <c r="CN14" i="15"/>
  <c r="CO14" i="15"/>
  <c r="A15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BH15" i="15"/>
  <c r="BI15" i="15"/>
  <c r="BJ15" i="15"/>
  <c r="BK15" i="15"/>
  <c r="BL15" i="15"/>
  <c r="BM15" i="15"/>
  <c r="BN15" i="15"/>
  <c r="BO15" i="15"/>
  <c r="BP15" i="15"/>
  <c r="BQ15" i="15"/>
  <c r="BR15" i="15"/>
  <c r="BS15" i="15"/>
  <c r="BT15" i="15"/>
  <c r="BU15" i="15"/>
  <c r="BV15" i="15"/>
  <c r="BW15" i="15"/>
  <c r="BX15" i="15"/>
  <c r="BY15" i="15"/>
  <c r="BZ15" i="15"/>
  <c r="CA15" i="15"/>
  <c r="CB15" i="15"/>
  <c r="CC15" i="15"/>
  <c r="CD15" i="15"/>
  <c r="CE15" i="15"/>
  <c r="CF15" i="15"/>
  <c r="CG15" i="15"/>
  <c r="CH15" i="15"/>
  <c r="CI15" i="15"/>
  <c r="CJ15" i="15"/>
  <c r="CK15" i="15"/>
  <c r="CL15" i="15"/>
  <c r="CM15" i="15"/>
  <c r="CN15" i="15"/>
  <c r="CO15" i="15"/>
  <c r="A16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BL16" i="15"/>
  <c r="BM16" i="15"/>
  <c r="BN16" i="15"/>
  <c r="BO16" i="15"/>
  <c r="BP16" i="15"/>
  <c r="BQ16" i="15"/>
  <c r="BR16" i="15"/>
  <c r="BS16" i="15"/>
  <c r="BT16" i="15"/>
  <c r="BU16" i="15"/>
  <c r="BV16" i="15"/>
  <c r="BW16" i="15"/>
  <c r="BX16" i="15"/>
  <c r="BY16" i="15"/>
  <c r="BZ16" i="15"/>
  <c r="CA16" i="15"/>
  <c r="CB16" i="15"/>
  <c r="CC16" i="15"/>
  <c r="CD16" i="15"/>
  <c r="CE16" i="15"/>
  <c r="CF16" i="15"/>
  <c r="CG16" i="15"/>
  <c r="CH16" i="15"/>
  <c r="CI16" i="15"/>
  <c r="CJ16" i="15"/>
  <c r="CK16" i="15"/>
  <c r="CL16" i="15"/>
  <c r="CM16" i="15"/>
  <c r="CN16" i="15"/>
  <c r="CO16" i="15"/>
  <c r="A17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BL17" i="15"/>
  <c r="BM17" i="15"/>
  <c r="BN17" i="15"/>
  <c r="BO17" i="15"/>
  <c r="BP17" i="15"/>
  <c r="BQ17" i="15"/>
  <c r="BR17" i="15"/>
  <c r="BS17" i="15"/>
  <c r="BT17" i="15"/>
  <c r="BU17" i="15"/>
  <c r="BV17" i="15"/>
  <c r="BW17" i="15"/>
  <c r="BX17" i="15"/>
  <c r="BY17" i="15"/>
  <c r="BZ17" i="15"/>
  <c r="CA17" i="15"/>
  <c r="CB17" i="15"/>
  <c r="CC17" i="15"/>
  <c r="CD17" i="15"/>
  <c r="CE17" i="15"/>
  <c r="CF17" i="15"/>
  <c r="CG17" i="15"/>
  <c r="CH17" i="15"/>
  <c r="CI17" i="15"/>
  <c r="CJ17" i="15"/>
  <c r="CK17" i="15"/>
  <c r="CL17" i="15"/>
  <c r="CM17" i="15"/>
  <c r="CN17" i="15"/>
  <c r="CO17" i="15"/>
  <c r="A18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BD18" i="15"/>
  <c r="BE18" i="15"/>
  <c r="BF18" i="15"/>
  <c r="BG18" i="15"/>
  <c r="BH18" i="15"/>
  <c r="BI18" i="15"/>
  <c r="BJ18" i="15"/>
  <c r="BK18" i="15"/>
  <c r="BL18" i="15"/>
  <c r="BM18" i="15"/>
  <c r="BN18" i="15"/>
  <c r="BO18" i="15"/>
  <c r="BP18" i="15"/>
  <c r="BQ18" i="15"/>
  <c r="BR18" i="15"/>
  <c r="BS18" i="15"/>
  <c r="BT18" i="15"/>
  <c r="BU18" i="15"/>
  <c r="BV18" i="15"/>
  <c r="BW18" i="15"/>
  <c r="BX18" i="15"/>
  <c r="BY18" i="15"/>
  <c r="BZ18" i="15"/>
  <c r="CA18" i="15"/>
  <c r="CB18" i="15"/>
  <c r="CC18" i="15"/>
  <c r="CD18" i="15"/>
  <c r="CE18" i="15"/>
  <c r="CF18" i="15"/>
  <c r="CG18" i="15"/>
  <c r="CH18" i="15"/>
  <c r="CI18" i="15"/>
  <c r="CJ18" i="15"/>
  <c r="CK18" i="15"/>
  <c r="CL18" i="15"/>
  <c r="CM18" i="15"/>
  <c r="CN18" i="15"/>
  <c r="CO18" i="15"/>
  <c r="A19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BN19" i="15"/>
  <c r="BO19" i="15"/>
  <c r="BP19" i="15"/>
  <c r="BQ19" i="15"/>
  <c r="BR19" i="15"/>
  <c r="BS19" i="15"/>
  <c r="BT19" i="15"/>
  <c r="BU19" i="15"/>
  <c r="BV19" i="15"/>
  <c r="BW19" i="15"/>
  <c r="BX19" i="15"/>
  <c r="BY19" i="15"/>
  <c r="BZ19" i="15"/>
  <c r="CA19" i="15"/>
  <c r="CB19" i="15"/>
  <c r="CC19" i="15"/>
  <c r="CD19" i="15"/>
  <c r="CE19" i="15"/>
  <c r="CF19" i="15"/>
  <c r="CG19" i="15"/>
  <c r="CH19" i="15"/>
  <c r="CI19" i="15"/>
  <c r="CJ19" i="15"/>
  <c r="CK19" i="15"/>
  <c r="CL19" i="15"/>
  <c r="CM19" i="15"/>
  <c r="CN19" i="15"/>
  <c r="CO19" i="15"/>
  <c r="A20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G20" i="15"/>
  <c r="BH20" i="15"/>
  <c r="BI20" i="15"/>
  <c r="BJ20" i="15"/>
  <c r="BK20" i="15"/>
  <c r="BL20" i="15"/>
  <c r="BM20" i="15"/>
  <c r="BN20" i="15"/>
  <c r="BO20" i="15"/>
  <c r="BP20" i="15"/>
  <c r="BQ20" i="15"/>
  <c r="BR20" i="15"/>
  <c r="BS20" i="15"/>
  <c r="BT20" i="15"/>
  <c r="BU20" i="15"/>
  <c r="BV20" i="15"/>
  <c r="BW20" i="15"/>
  <c r="BX20" i="15"/>
  <c r="BY20" i="15"/>
  <c r="BZ20" i="15"/>
  <c r="CA20" i="15"/>
  <c r="CB20" i="15"/>
  <c r="CC20" i="15"/>
  <c r="CD20" i="15"/>
  <c r="CE20" i="15"/>
  <c r="CF20" i="15"/>
  <c r="CG20" i="15"/>
  <c r="CH20" i="15"/>
  <c r="CI20" i="15"/>
  <c r="CJ20" i="15"/>
  <c r="CK20" i="15"/>
  <c r="CL20" i="15"/>
  <c r="CM20" i="15"/>
  <c r="CN20" i="15"/>
  <c r="CO20" i="15"/>
  <c r="A21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G21" i="15"/>
  <c r="BH21" i="15"/>
  <c r="BI21" i="15"/>
  <c r="BJ21" i="15"/>
  <c r="BK21" i="15"/>
  <c r="BL21" i="15"/>
  <c r="BM21" i="15"/>
  <c r="BN21" i="15"/>
  <c r="BO21" i="15"/>
  <c r="BP21" i="15"/>
  <c r="BQ21" i="15"/>
  <c r="BR21" i="15"/>
  <c r="BS21" i="15"/>
  <c r="BT21" i="15"/>
  <c r="BU21" i="15"/>
  <c r="BV21" i="15"/>
  <c r="BW21" i="15"/>
  <c r="BX21" i="15"/>
  <c r="BY21" i="15"/>
  <c r="BZ21" i="15"/>
  <c r="CA21" i="15"/>
  <c r="CB21" i="15"/>
  <c r="CC21" i="15"/>
  <c r="CD21" i="15"/>
  <c r="CE21" i="15"/>
  <c r="CF21" i="15"/>
  <c r="CG21" i="15"/>
  <c r="CH21" i="15"/>
  <c r="CI21" i="15"/>
  <c r="CJ21" i="15"/>
  <c r="CK21" i="15"/>
  <c r="CL21" i="15"/>
  <c r="CM21" i="15"/>
  <c r="CN21" i="15"/>
  <c r="CO21" i="15"/>
  <c r="A22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G22" i="15"/>
  <c r="BH22" i="15"/>
  <c r="BI22" i="15"/>
  <c r="BJ22" i="15"/>
  <c r="BK22" i="15"/>
  <c r="BL22" i="15"/>
  <c r="BM22" i="15"/>
  <c r="BN22" i="15"/>
  <c r="BO22" i="15"/>
  <c r="BP22" i="15"/>
  <c r="BQ22" i="15"/>
  <c r="BR22" i="15"/>
  <c r="BS22" i="15"/>
  <c r="BT22" i="15"/>
  <c r="BU22" i="15"/>
  <c r="BV22" i="15"/>
  <c r="BW22" i="15"/>
  <c r="BX22" i="15"/>
  <c r="BY22" i="15"/>
  <c r="BZ22" i="15"/>
  <c r="CA22" i="15"/>
  <c r="CB22" i="15"/>
  <c r="CC22" i="15"/>
  <c r="CD22" i="15"/>
  <c r="CE22" i="15"/>
  <c r="CF22" i="15"/>
  <c r="CG22" i="15"/>
  <c r="CH22" i="15"/>
  <c r="CI22" i="15"/>
  <c r="CJ22" i="15"/>
  <c r="CK22" i="15"/>
  <c r="CL22" i="15"/>
  <c r="CM22" i="15"/>
  <c r="CN22" i="15"/>
  <c r="CO22" i="15"/>
  <c r="A23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G23" i="15"/>
  <c r="BH23" i="15"/>
  <c r="BI23" i="15"/>
  <c r="BJ23" i="15"/>
  <c r="BK23" i="15"/>
  <c r="BL23" i="15"/>
  <c r="BM23" i="15"/>
  <c r="BN23" i="15"/>
  <c r="BO23" i="15"/>
  <c r="BP23" i="15"/>
  <c r="BQ23" i="15"/>
  <c r="BR23" i="15"/>
  <c r="BS23" i="15"/>
  <c r="BT23" i="15"/>
  <c r="BU23" i="15"/>
  <c r="BV23" i="15"/>
  <c r="BW23" i="15"/>
  <c r="BX23" i="15"/>
  <c r="BY23" i="15"/>
  <c r="BZ23" i="15"/>
  <c r="CA23" i="15"/>
  <c r="CB23" i="15"/>
  <c r="CC23" i="15"/>
  <c r="CD23" i="15"/>
  <c r="CE23" i="15"/>
  <c r="CF23" i="15"/>
  <c r="CG23" i="15"/>
  <c r="CH23" i="15"/>
  <c r="CI23" i="15"/>
  <c r="CJ23" i="15"/>
  <c r="CK23" i="15"/>
  <c r="CL23" i="15"/>
  <c r="CM23" i="15"/>
  <c r="CN23" i="15"/>
  <c r="CO23" i="15"/>
  <c r="A24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F24" i="15"/>
  <c r="BG24" i="15"/>
  <c r="BH24" i="15"/>
  <c r="BI24" i="15"/>
  <c r="BJ24" i="15"/>
  <c r="BK24" i="15"/>
  <c r="BL24" i="15"/>
  <c r="BM24" i="15"/>
  <c r="BN24" i="15"/>
  <c r="BO24" i="15"/>
  <c r="BP24" i="15"/>
  <c r="BQ24" i="15"/>
  <c r="BR24" i="15"/>
  <c r="BS24" i="15"/>
  <c r="BT24" i="15"/>
  <c r="BU24" i="15"/>
  <c r="BV24" i="15"/>
  <c r="BW24" i="15"/>
  <c r="BX24" i="15"/>
  <c r="BY24" i="15"/>
  <c r="BZ24" i="15"/>
  <c r="CA24" i="15"/>
  <c r="CB24" i="15"/>
  <c r="CC24" i="15"/>
  <c r="CD24" i="15"/>
  <c r="CE24" i="15"/>
  <c r="CF24" i="15"/>
  <c r="CG24" i="15"/>
  <c r="CH24" i="15"/>
  <c r="CI24" i="15"/>
  <c r="CJ24" i="15"/>
  <c r="CK24" i="15"/>
  <c r="CL24" i="15"/>
  <c r="CM24" i="15"/>
  <c r="CN24" i="15"/>
  <c r="CO24" i="15"/>
  <c r="A25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D25" i="15"/>
  <c r="BE25" i="15"/>
  <c r="BF25" i="15"/>
  <c r="BG25" i="15"/>
  <c r="BH25" i="15"/>
  <c r="BI25" i="15"/>
  <c r="BJ25" i="15"/>
  <c r="BK25" i="15"/>
  <c r="BL25" i="15"/>
  <c r="BM25" i="15"/>
  <c r="BN25" i="15"/>
  <c r="BO25" i="15"/>
  <c r="BP25" i="15"/>
  <c r="BQ25" i="15"/>
  <c r="BR25" i="15"/>
  <c r="BS25" i="15"/>
  <c r="BT25" i="15"/>
  <c r="BU25" i="15"/>
  <c r="BV25" i="15"/>
  <c r="BW25" i="15"/>
  <c r="BX25" i="15"/>
  <c r="BY25" i="15"/>
  <c r="BZ25" i="15"/>
  <c r="CA25" i="15"/>
  <c r="CB25" i="15"/>
  <c r="CC25" i="15"/>
  <c r="CD25" i="15"/>
  <c r="CE25" i="15"/>
  <c r="CF25" i="15"/>
  <c r="CG25" i="15"/>
  <c r="CH25" i="15"/>
  <c r="CI25" i="15"/>
  <c r="CJ25" i="15"/>
  <c r="CK25" i="15"/>
  <c r="CL25" i="15"/>
  <c r="CM25" i="15"/>
  <c r="CN25" i="15"/>
  <c r="CO25" i="15"/>
  <c r="A26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BG26" i="15"/>
  <c r="BH26" i="15"/>
  <c r="BI26" i="15"/>
  <c r="BJ26" i="15"/>
  <c r="BK26" i="15"/>
  <c r="BL26" i="15"/>
  <c r="BM26" i="15"/>
  <c r="BN26" i="15"/>
  <c r="BO26" i="15"/>
  <c r="BP26" i="15"/>
  <c r="BQ26" i="15"/>
  <c r="BR26" i="15"/>
  <c r="BS26" i="15"/>
  <c r="BT26" i="15"/>
  <c r="BU26" i="15"/>
  <c r="BV26" i="15"/>
  <c r="BW26" i="15"/>
  <c r="BX26" i="15"/>
  <c r="BY26" i="15"/>
  <c r="BZ26" i="15"/>
  <c r="CA26" i="15"/>
  <c r="CB26" i="15"/>
  <c r="CC26" i="15"/>
  <c r="CD26" i="15"/>
  <c r="CE26" i="15"/>
  <c r="CF26" i="15"/>
  <c r="CG26" i="15"/>
  <c r="CH26" i="15"/>
  <c r="CI26" i="15"/>
  <c r="CJ26" i="15"/>
  <c r="CK26" i="15"/>
  <c r="CL26" i="15"/>
  <c r="CM26" i="15"/>
  <c r="CN26" i="15"/>
  <c r="CO26" i="15"/>
  <c r="A27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G27" i="15"/>
  <c r="BH27" i="15"/>
  <c r="BI27" i="15"/>
  <c r="BJ27" i="15"/>
  <c r="BK27" i="15"/>
  <c r="BL27" i="15"/>
  <c r="BM27" i="15"/>
  <c r="BN27" i="15"/>
  <c r="BO27" i="15"/>
  <c r="BP27" i="15"/>
  <c r="BQ27" i="15"/>
  <c r="BR27" i="15"/>
  <c r="BS27" i="15"/>
  <c r="BT27" i="15"/>
  <c r="BU27" i="15"/>
  <c r="BV27" i="15"/>
  <c r="BW27" i="15"/>
  <c r="BX27" i="15"/>
  <c r="BY27" i="15"/>
  <c r="BZ27" i="15"/>
  <c r="CA27" i="15"/>
  <c r="CB27" i="15"/>
  <c r="CC27" i="15"/>
  <c r="CD27" i="15"/>
  <c r="CE27" i="15"/>
  <c r="CF27" i="15"/>
  <c r="CG27" i="15"/>
  <c r="CH27" i="15"/>
  <c r="CI27" i="15"/>
  <c r="CJ27" i="15"/>
  <c r="CK27" i="15"/>
  <c r="CL27" i="15"/>
  <c r="CM27" i="15"/>
  <c r="CN27" i="15"/>
  <c r="CO27" i="15"/>
  <c r="A28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C28" i="15"/>
  <c r="BD28" i="15"/>
  <c r="BE28" i="15"/>
  <c r="BF28" i="15"/>
  <c r="BG28" i="15"/>
  <c r="BH28" i="15"/>
  <c r="BI28" i="15"/>
  <c r="BJ28" i="15"/>
  <c r="BK28" i="15"/>
  <c r="BL28" i="15"/>
  <c r="BM28" i="15"/>
  <c r="BN28" i="15"/>
  <c r="BO28" i="15"/>
  <c r="BP28" i="15"/>
  <c r="BQ28" i="15"/>
  <c r="BR28" i="15"/>
  <c r="BS28" i="15"/>
  <c r="BT28" i="15"/>
  <c r="BU28" i="15"/>
  <c r="BV28" i="15"/>
  <c r="BW28" i="15"/>
  <c r="BX28" i="15"/>
  <c r="BY28" i="15"/>
  <c r="BZ28" i="15"/>
  <c r="CA28" i="15"/>
  <c r="CB28" i="15"/>
  <c r="CC28" i="15"/>
  <c r="CD28" i="15"/>
  <c r="CE28" i="15"/>
  <c r="CF28" i="15"/>
  <c r="CG28" i="15"/>
  <c r="CH28" i="15"/>
  <c r="CI28" i="15"/>
  <c r="CJ28" i="15"/>
  <c r="CK28" i="15"/>
  <c r="CL28" i="15"/>
  <c r="CM28" i="15"/>
  <c r="CN28" i="15"/>
  <c r="CO28" i="15"/>
  <c r="A29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BB29" i="15"/>
  <c r="BC29" i="15"/>
  <c r="BD29" i="15"/>
  <c r="BE29" i="15"/>
  <c r="BF29" i="15"/>
  <c r="BG29" i="15"/>
  <c r="BH29" i="15"/>
  <c r="BI29" i="15"/>
  <c r="BJ29" i="15"/>
  <c r="BK29" i="15"/>
  <c r="BL29" i="15"/>
  <c r="BM29" i="15"/>
  <c r="BN29" i="15"/>
  <c r="BO29" i="15"/>
  <c r="BP29" i="15"/>
  <c r="BQ29" i="15"/>
  <c r="BR29" i="15"/>
  <c r="BS29" i="15"/>
  <c r="BT29" i="15"/>
  <c r="BU29" i="15"/>
  <c r="BV29" i="15"/>
  <c r="BW29" i="15"/>
  <c r="BX29" i="15"/>
  <c r="BY29" i="15"/>
  <c r="BZ29" i="15"/>
  <c r="CA29" i="15"/>
  <c r="CB29" i="15"/>
  <c r="CC29" i="15"/>
  <c r="CD29" i="15"/>
  <c r="CE29" i="15"/>
  <c r="CF29" i="15"/>
  <c r="CG29" i="15"/>
  <c r="CH29" i="15"/>
  <c r="CI29" i="15"/>
  <c r="CJ29" i="15"/>
  <c r="CK29" i="15"/>
  <c r="CL29" i="15"/>
  <c r="CM29" i="15"/>
  <c r="CN29" i="15"/>
  <c r="CO29" i="15"/>
  <c r="A30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BL30" i="15"/>
  <c r="BM30" i="15"/>
  <c r="BN30" i="15"/>
  <c r="BO30" i="15"/>
  <c r="BP30" i="15"/>
  <c r="BQ30" i="15"/>
  <c r="BR30" i="15"/>
  <c r="BS30" i="15"/>
  <c r="BT30" i="15"/>
  <c r="BU30" i="15"/>
  <c r="BV30" i="15"/>
  <c r="BW30" i="15"/>
  <c r="BX30" i="15"/>
  <c r="BY30" i="15"/>
  <c r="BZ30" i="15"/>
  <c r="CA30" i="15"/>
  <c r="CB30" i="15"/>
  <c r="CC30" i="15"/>
  <c r="CD30" i="15"/>
  <c r="CE30" i="15"/>
  <c r="CF30" i="15"/>
  <c r="CG30" i="15"/>
  <c r="CH30" i="15"/>
  <c r="CI30" i="15"/>
  <c r="CJ30" i="15"/>
  <c r="CK30" i="15"/>
  <c r="CL30" i="15"/>
  <c r="CM30" i="15"/>
  <c r="CN30" i="15"/>
  <c r="CO30" i="15"/>
  <c r="A31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BF31" i="15"/>
  <c r="BG31" i="15"/>
  <c r="BH31" i="15"/>
  <c r="BI31" i="15"/>
  <c r="BJ31" i="15"/>
  <c r="BK31" i="15"/>
  <c r="BL31" i="15"/>
  <c r="BM31" i="15"/>
  <c r="BN31" i="15"/>
  <c r="BO31" i="15"/>
  <c r="BP31" i="15"/>
  <c r="BQ31" i="15"/>
  <c r="BR31" i="15"/>
  <c r="BS31" i="15"/>
  <c r="BT31" i="15"/>
  <c r="BU31" i="15"/>
  <c r="BV31" i="15"/>
  <c r="BW31" i="15"/>
  <c r="BX31" i="15"/>
  <c r="BY31" i="15"/>
  <c r="BZ31" i="15"/>
  <c r="CA31" i="15"/>
  <c r="CB31" i="15"/>
  <c r="CC31" i="15"/>
  <c r="CD31" i="15"/>
  <c r="CE31" i="15"/>
  <c r="CF31" i="15"/>
  <c r="CG31" i="15"/>
  <c r="CH31" i="15"/>
  <c r="CI31" i="15"/>
  <c r="CJ31" i="15"/>
  <c r="CK31" i="15"/>
  <c r="CL31" i="15"/>
  <c r="CM31" i="15"/>
  <c r="CN31" i="15"/>
  <c r="CO31" i="15"/>
  <c r="A32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D32" i="15"/>
  <c r="BE32" i="15"/>
  <c r="BF32" i="15"/>
  <c r="BG32" i="15"/>
  <c r="BH32" i="15"/>
  <c r="BI32" i="15"/>
  <c r="BJ32" i="15"/>
  <c r="BK32" i="15"/>
  <c r="BL32" i="15"/>
  <c r="BM32" i="15"/>
  <c r="BN32" i="15"/>
  <c r="BO32" i="15"/>
  <c r="BP32" i="15"/>
  <c r="BQ32" i="15"/>
  <c r="BR32" i="15"/>
  <c r="BS32" i="15"/>
  <c r="BT32" i="15"/>
  <c r="BU32" i="15"/>
  <c r="BV32" i="15"/>
  <c r="BW32" i="15"/>
  <c r="BX32" i="15"/>
  <c r="BY32" i="15"/>
  <c r="BZ32" i="15"/>
  <c r="CA32" i="15"/>
  <c r="CB32" i="15"/>
  <c r="CC32" i="15"/>
  <c r="CD32" i="15"/>
  <c r="CE32" i="15"/>
  <c r="CF32" i="15"/>
  <c r="CG32" i="15"/>
  <c r="CH32" i="15"/>
  <c r="CI32" i="15"/>
  <c r="CJ32" i="15"/>
  <c r="CK32" i="15"/>
  <c r="CL32" i="15"/>
  <c r="CM32" i="15"/>
  <c r="CN32" i="15"/>
  <c r="CO32" i="15"/>
  <c r="A33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BB33" i="15"/>
  <c r="BC33" i="15"/>
  <c r="BD33" i="15"/>
  <c r="BE33" i="15"/>
  <c r="BF33" i="15"/>
  <c r="BG33" i="15"/>
  <c r="BH33" i="15"/>
  <c r="BI33" i="15"/>
  <c r="BJ33" i="15"/>
  <c r="BK33" i="15"/>
  <c r="BL33" i="15"/>
  <c r="BM33" i="15"/>
  <c r="BN33" i="15"/>
  <c r="BO33" i="15"/>
  <c r="BP33" i="15"/>
  <c r="BQ33" i="15"/>
  <c r="BR33" i="15"/>
  <c r="BS33" i="15"/>
  <c r="BT33" i="15"/>
  <c r="BU33" i="15"/>
  <c r="BV33" i="15"/>
  <c r="BW33" i="15"/>
  <c r="BX33" i="15"/>
  <c r="BY33" i="15"/>
  <c r="BZ33" i="15"/>
  <c r="CA33" i="15"/>
  <c r="CB33" i="15"/>
  <c r="CC33" i="15"/>
  <c r="CD33" i="15"/>
  <c r="CE33" i="15"/>
  <c r="CF33" i="15"/>
  <c r="CG33" i="15"/>
  <c r="CH33" i="15"/>
  <c r="CI33" i="15"/>
  <c r="CJ33" i="15"/>
  <c r="CK33" i="15"/>
  <c r="CL33" i="15"/>
  <c r="CM33" i="15"/>
  <c r="CN33" i="15"/>
  <c r="CO33" i="15"/>
  <c r="A34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D34" i="15"/>
  <c r="BE34" i="15"/>
  <c r="BF34" i="15"/>
  <c r="BG34" i="15"/>
  <c r="BH34" i="15"/>
  <c r="BI34" i="15"/>
  <c r="BJ34" i="15"/>
  <c r="BK34" i="15"/>
  <c r="BL34" i="15"/>
  <c r="BM34" i="15"/>
  <c r="BN34" i="15"/>
  <c r="BO34" i="15"/>
  <c r="BP34" i="15"/>
  <c r="BQ34" i="15"/>
  <c r="BR34" i="15"/>
  <c r="BS34" i="15"/>
  <c r="BT34" i="15"/>
  <c r="BU34" i="15"/>
  <c r="BV34" i="15"/>
  <c r="BW34" i="15"/>
  <c r="BX34" i="15"/>
  <c r="BY34" i="15"/>
  <c r="BZ34" i="15"/>
  <c r="CA34" i="15"/>
  <c r="CB34" i="15"/>
  <c r="CC34" i="15"/>
  <c r="CD34" i="15"/>
  <c r="CE34" i="15"/>
  <c r="CF34" i="15"/>
  <c r="CG34" i="15"/>
  <c r="CH34" i="15"/>
  <c r="CI34" i="15"/>
  <c r="CJ34" i="15"/>
  <c r="CK34" i="15"/>
  <c r="CL34" i="15"/>
  <c r="CM34" i="15"/>
  <c r="CN34" i="15"/>
  <c r="CO34" i="15"/>
  <c r="A35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D35" i="15"/>
  <c r="BE35" i="15"/>
  <c r="BF35" i="15"/>
  <c r="BG35" i="15"/>
  <c r="BH35" i="15"/>
  <c r="BI35" i="15"/>
  <c r="BJ35" i="15"/>
  <c r="BK35" i="15"/>
  <c r="BL35" i="15"/>
  <c r="BM35" i="15"/>
  <c r="BN35" i="15"/>
  <c r="BO35" i="15"/>
  <c r="BP35" i="15"/>
  <c r="BQ35" i="15"/>
  <c r="BR35" i="15"/>
  <c r="BS35" i="15"/>
  <c r="BT35" i="15"/>
  <c r="BU35" i="15"/>
  <c r="BV35" i="15"/>
  <c r="BW35" i="15"/>
  <c r="BX35" i="15"/>
  <c r="BY35" i="15"/>
  <c r="BZ35" i="15"/>
  <c r="CA35" i="15"/>
  <c r="CB35" i="15"/>
  <c r="CC35" i="15"/>
  <c r="CD35" i="15"/>
  <c r="CE35" i="15"/>
  <c r="CF35" i="15"/>
  <c r="CG35" i="15"/>
  <c r="CH35" i="15"/>
  <c r="CI35" i="15"/>
  <c r="CJ35" i="15"/>
  <c r="CK35" i="15"/>
  <c r="CL35" i="15"/>
  <c r="CM35" i="15"/>
  <c r="CN35" i="15"/>
  <c r="CO35" i="15"/>
  <c r="A36" i="15"/>
  <c r="B36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BB36" i="15"/>
  <c r="BC36" i="15"/>
  <c r="BD36" i="15"/>
  <c r="BE36" i="15"/>
  <c r="BF36" i="15"/>
  <c r="BG36" i="15"/>
  <c r="BH36" i="15"/>
  <c r="BI36" i="15"/>
  <c r="BJ36" i="15"/>
  <c r="BK36" i="15"/>
  <c r="BL36" i="15"/>
  <c r="BM36" i="15"/>
  <c r="BN36" i="15"/>
  <c r="BO36" i="15"/>
  <c r="BP36" i="15"/>
  <c r="BQ36" i="15"/>
  <c r="BR36" i="15"/>
  <c r="BS36" i="15"/>
  <c r="BT36" i="15"/>
  <c r="BU36" i="15"/>
  <c r="BV36" i="15"/>
  <c r="BW36" i="15"/>
  <c r="BX36" i="15"/>
  <c r="BY36" i="15"/>
  <c r="BZ36" i="15"/>
  <c r="CA36" i="15"/>
  <c r="CB36" i="15"/>
  <c r="CC36" i="15"/>
  <c r="CD36" i="15"/>
  <c r="CE36" i="15"/>
  <c r="CF36" i="15"/>
  <c r="CG36" i="15"/>
  <c r="CH36" i="15"/>
  <c r="CI36" i="15"/>
  <c r="CJ36" i="15"/>
  <c r="CK36" i="15"/>
  <c r="CL36" i="15"/>
  <c r="CM36" i="15"/>
  <c r="CN36" i="15"/>
  <c r="CO36" i="15"/>
  <c r="A37" i="15"/>
  <c r="B37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BB37" i="15"/>
  <c r="BC37" i="15"/>
  <c r="BD37" i="15"/>
  <c r="BE37" i="15"/>
  <c r="BF37" i="15"/>
  <c r="BG37" i="15"/>
  <c r="BH37" i="15"/>
  <c r="BI37" i="15"/>
  <c r="BJ37" i="15"/>
  <c r="BK37" i="15"/>
  <c r="BL37" i="15"/>
  <c r="BM37" i="15"/>
  <c r="BN37" i="15"/>
  <c r="BO37" i="15"/>
  <c r="BP37" i="15"/>
  <c r="BQ37" i="15"/>
  <c r="BR37" i="15"/>
  <c r="BS37" i="15"/>
  <c r="BT37" i="15"/>
  <c r="BU37" i="15"/>
  <c r="BV37" i="15"/>
  <c r="BW37" i="15"/>
  <c r="BX37" i="15"/>
  <c r="BY37" i="15"/>
  <c r="BZ37" i="15"/>
  <c r="CA37" i="15"/>
  <c r="CB37" i="15"/>
  <c r="CC37" i="15"/>
  <c r="CD37" i="15"/>
  <c r="CE37" i="15"/>
  <c r="CF37" i="15"/>
  <c r="CG37" i="15"/>
  <c r="CH37" i="15"/>
  <c r="CI37" i="15"/>
  <c r="CJ37" i="15"/>
  <c r="CK37" i="15"/>
  <c r="CL37" i="15"/>
  <c r="CM37" i="15"/>
  <c r="CN37" i="15"/>
  <c r="CO37" i="15"/>
  <c r="A38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D38" i="15"/>
  <c r="BE38" i="15"/>
  <c r="BF38" i="15"/>
  <c r="BG38" i="15"/>
  <c r="BH38" i="15"/>
  <c r="BI38" i="15"/>
  <c r="BJ38" i="15"/>
  <c r="BK38" i="15"/>
  <c r="BL38" i="15"/>
  <c r="BM38" i="15"/>
  <c r="BN38" i="15"/>
  <c r="BO38" i="15"/>
  <c r="BP38" i="15"/>
  <c r="BQ38" i="15"/>
  <c r="BR38" i="15"/>
  <c r="BS38" i="15"/>
  <c r="BT38" i="15"/>
  <c r="BU38" i="15"/>
  <c r="BV38" i="15"/>
  <c r="BW38" i="15"/>
  <c r="BX38" i="15"/>
  <c r="BY38" i="15"/>
  <c r="BZ38" i="15"/>
  <c r="CA38" i="15"/>
  <c r="CB38" i="15"/>
  <c r="CC38" i="15"/>
  <c r="CD38" i="15"/>
  <c r="CE38" i="15"/>
  <c r="CF38" i="15"/>
  <c r="CG38" i="15"/>
  <c r="CH38" i="15"/>
  <c r="CI38" i="15"/>
  <c r="CJ38" i="15"/>
  <c r="CK38" i="15"/>
  <c r="CL38" i="15"/>
  <c r="CM38" i="15"/>
  <c r="CN38" i="15"/>
  <c r="CO38" i="15"/>
  <c r="A39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BB39" i="15"/>
  <c r="BC39" i="15"/>
  <c r="BD39" i="15"/>
  <c r="BE39" i="15"/>
  <c r="BF39" i="15"/>
  <c r="BG39" i="15"/>
  <c r="BH39" i="15"/>
  <c r="BI39" i="15"/>
  <c r="BJ39" i="15"/>
  <c r="BK39" i="15"/>
  <c r="BL39" i="15"/>
  <c r="BM39" i="15"/>
  <c r="BN39" i="15"/>
  <c r="BO39" i="15"/>
  <c r="BP39" i="15"/>
  <c r="BQ39" i="15"/>
  <c r="BR39" i="15"/>
  <c r="BS39" i="15"/>
  <c r="BT39" i="15"/>
  <c r="BU39" i="15"/>
  <c r="BV39" i="15"/>
  <c r="BW39" i="15"/>
  <c r="BX39" i="15"/>
  <c r="BY39" i="15"/>
  <c r="BZ39" i="15"/>
  <c r="CA39" i="15"/>
  <c r="CB39" i="15"/>
  <c r="CC39" i="15"/>
  <c r="CD39" i="15"/>
  <c r="CE39" i="15"/>
  <c r="CF39" i="15"/>
  <c r="CG39" i="15"/>
  <c r="CH39" i="15"/>
  <c r="CI39" i="15"/>
  <c r="CJ39" i="15"/>
  <c r="CK39" i="15"/>
  <c r="CL39" i="15"/>
  <c r="CM39" i="15"/>
  <c r="CN39" i="15"/>
  <c r="CO39" i="15"/>
  <c r="A40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BN40" i="15"/>
  <c r="BO40" i="15"/>
  <c r="BP40" i="15"/>
  <c r="BQ40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A41" i="15"/>
  <c r="B41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BF41" i="15"/>
  <c r="BG41" i="15"/>
  <c r="BH41" i="15"/>
  <c r="BI41" i="15"/>
  <c r="BJ41" i="15"/>
  <c r="BK41" i="15"/>
  <c r="BL41" i="15"/>
  <c r="BM41" i="15"/>
  <c r="BN41" i="15"/>
  <c r="BO41" i="15"/>
  <c r="BP41" i="15"/>
  <c r="BQ41" i="15"/>
  <c r="BR41" i="15"/>
  <c r="BS41" i="15"/>
  <c r="BT41" i="15"/>
  <c r="BU41" i="15"/>
  <c r="BV41" i="15"/>
  <c r="BW41" i="15"/>
  <c r="BX41" i="15"/>
  <c r="BY41" i="15"/>
  <c r="BZ41" i="15"/>
  <c r="CA41" i="15"/>
  <c r="CB41" i="15"/>
  <c r="CC41" i="15"/>
  <c r="CD41" i="15"/>
  <c r="CE41" i="15"/>
  <c r="CF41" i="15"/>
  <c r="CG41" i="15"/>
  <c r="CH41" i="15"/>
  <c r="CI41" i="15"/>
  <c r="CJ41" i="15"/>
  <c r="CK41" i="15"/>
  <c r="CL41" i="15"/>
  <c r="CM41" i="15"/>
  <c r="CN41" i="15"/>
  <c r="CO41" i="15"/>
  <c r="A42" i="15"/>
  <c r="B42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BB42" i="15"/>
  <c r="BC42" i="15"/>
  <c r="BD42" i="15"/>
  <c r="BE42" i="15"/>
  <c r="BF42" i="15"/>
  <c r="BG42" i="15"/>
  <c r="BH42" i="15"/>
  <c r="BI42" i="15"/>
  <c r="BJ42" i="15"/>
  <c r="BK42" i="15"/>
  <c r="BL42" i="15"/>
  <c r="BM42" i="15"/>
  <c r="BN42" i="15"/>
  <c r="BO42" i="15"/>
  <c r="BP42" i="15"/>
  <c r="BQ42" i="15"/>
  <c r="BR42" i="15"/>
  <c r="BS42" i="15"/>
  <c r="BT42" i="15"/>
  <c r="BU42" i="15"/>
  <c r="BV42" i="15"/>
  <c r="BW42" i="15"/>
  <c r="BX42" i="15"/>
  <c r="BY42" i="15"/>
  <c r="BZ42" i="15"/>
  <c r="CA42" i="15"/>
  <c r="CB42" i="15"/>
  <c r="CC42" i="15"/>
  <c r="CD42" i="15"/>
  <c r="CE42" i="15"/>
  <c r="CF42" i="15"/>
  <c r="CG42" i="15"/>
  <c r="CH42" i="15"/>
  <c r="CI42" i="15"/>
  <c r="CJ42" i="15"/>
  <c r="CK42" i="15"/>
  <c r="CL42" i="15"/>
  <c r="CM42" i="15"/>
  <c r="CN42" i="15"/>
  <c r="CO42" i="15"/>
  <c r="A43" i="15"/>
  <c r="B43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BE43" i="15"/>
  <c r="BF43" i="15"/>
  <c r="BG43" i="15"/>
  <c r="BH43" i="15"/>
  <c r="BI43" i="15"/>
  <c r="BJ43" i="15"/>
  <c r="BK43" i="15"/>
  <c r="BL43" i="15"/>
  <c r="BM43" i="15"/>
  <c r="BN43" i="15"/>
  <c r="BO43" i="15"/>
  <c r="BP43" i="15"/>
  <c r="BQ43" i="15"/>
  <c r="BR43" i="15"/>
  <c r="BS43" i="15"/>
  <c r="BT43" i="15"/>
  <c r="BU43" i="15"/>
  <c r="BV43" i="15"/>
  <c r="BW43" i="15"/>
  <c r="BX43" i="15"/>
  <c r="BY43" i="15"/>
  <c r="BZ43" i="15"/>
  <c r="CA43" i="15"/>
  <c r="CB43" i="15"/>
  <c r="CC43" i="15"/>
  <c r="CD43" i="15"/>
  <c r="CE43" i="15"/>
  <c r="CF43" i="15"/>
  <c r="CG43" i="15"/>
  <c r="CH43" i="15"/>
  <c r="CI43" i="15"/>
  <c r="CJ43" i="15"/>
  <c r="CK43" i="15"/>
  <c r="CL43" i="15"/>
  <c r="CM43" i="15"/>
  <c r="CN43" i="15"/>
  <c r="CO43" i="15"/>
  <c r="A44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D44" i="15"/>
  <c r="BE44" i="15"/>
  <c r="BF44" i="15"/>
  <c r="BG44" i="15"/>
  <c r="BH44" i="15"/>
  <c r="BI44" i="15"/>
  <c r="BJ44" i="15"/>
  <c r="BK44" i="15"/>
  <c r="BL44" i="15"/>
  <c r="BM44" i="15"/>
  <c r="BN44" i="15"/>
  <c r="BO44" i="15"/>
  <c r="BP44" i="15"/>
  <c r="BQ44" i="15"/>
  <c r="BR44" i="15"/>
  <c r="BS44" i="15"/>
  <c r="BT44" i="15"/>
  <c r="BU44" i="15"/>
  <c r="BV44" i="15"/>
  <c r="BW44" i="15"/>
  <c r="BX44" i="15"/>
  <c r="BY44" i="15"/>
  <c r="BZ44" i="15"/>
  <c r="CA44" i="15"/>
  <c r="CB44" i="15"/>
  <c r="CC44" i="15"/>
  <c r="CD44" i="15"/>
  <c r="CE44" i="15"/>
  <c r="CF44" i="15"/>
  <c r="CG44" i="15"/>
  <c r="CH44" i="15"/>
  <c r="CI44" i="15"/>
  <c r="CJ44" i="15"/>
  <c r="CK44" i="15"/>
  <c r="CL44" i="15"/>
  <c r="CM44" i="15"/>
  <c r="CN44" i="15"/>
  <c r="CO44" i="15"/>
  <c r="A45" i="15"/>
  <c r="B45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D45" i="15"/>
  <c r="BE45" i="15"/>
  <c r="BF45" i="15"/>
  <c r="BG45" i="15"/>
  <c r="BH45" i="15"/>
  <c r="BI45" i="15"/>
  <c r="BJ45" i="15"/>
  <c r="BK45" i="15"/>
  <c r="BL45" i="15"/>
  <c r="BM45" i="15"/>
  <c r="BN45" i="15"/>
  <c r="BO45" i="15"/>
  <c r="BP45" i="15"/>
  <c r="BQ45" i="15"/>
  <c r="BR45" i="15"/>
  <c r="BS45" i="15"/>
  <c r="BT45" i="15"/>
  <c r="BU45" i="15"/>
  <c r="BV45" i="15"/>
  <c r="BW45" i="15"/>
  <c r="BX45" i="15"/>
  <c r="BY45" i="15"/>
  <c r="BZ45" i="15"/>
  <c r="CA45" i="15"/>
  <c r="CB45" i="15"/>
  <c r="CC45" i="15"/>
  <c r="CD45" i="15"/>
  <c r="CE45" i="15"/>
  <c r="CF45" i="15"/>
  <c r="CG45" i="15"/>
  <c r="CH45" i="15"/>
  <c r="CI45" i="15"/>
  <c r="CJ45" i="15"/>
  <c r="CK45" i="15"/>
  <c r="CL45" i="15"/>
  <c r="CM45" i="15"/>
  <c r="CN45" i="15"/>
  <c r="CO45" i="15"/>
  <c r="A46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BB46" i="15"/>
  <c r="BC46" i="15"/>
  <c r="BD46" i="15"/>
  <c r="BE46" i="15"/>
  <c r="BF46" i="15"/>
  <c r="BG46" i="15"/>
  <c r="BH46" i="15"/>
  <c r="BI46" i="15"/>
  <c r="BJ46" i="15"/>
  <c r="BK46" i="15"/>
  <c r="BL46" i="15"/>
  <c r="BM46" i="15"/>
  <c r="BN46" i="15"/>
  <c r="BO46" i="15"/>
  <c r="BP46" i="15"/>
  <c r="BQ46" i="15"/>
  <c r="BR46" i="15"/>
  <c r="BS46" i="15"/>
  <c r="BT46" i="15"/>
  <c r="BU46" i="15"/>
  <c r="BV46" i="15"/>
  <c r="BW46" i="15"/>
  <c r="BX46" i="15"/>
  <c r="BY46" i="15"/>
  <c r="BZ46" i="15"/>
  <c r="CA46" i="15"/>
  <c r="CB46" i="15"/>
  <c r="CC46" i="15"/>
  <c r="CD46" i="15"/>
  <c r="CE46" i="15"/>
  <c r="CF46" i="15"/>
  <c r="CG46" i="15"/>
  <c r="CH46" i="15"/>
  <c r="CI46" i="15"/>
  <c r="CJ46" i="15"/>
  <c r="CK46" i="15"/>
  <c r="CL46" i="15"/>
  <c r="CM46" i="15"/>
  <c r="CN46" i="15"/>
  <c r="CO46" i="15"/>
  <c r="A47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C47" i="15"/>
  <c r="BD47" i="15"/>
  <c r="BE47" i="15"/>
  <c r="BF47" i="15"/>
  <c r="BG47" i="15"/>
  <c r="BH47" i="15"/>
  <c r="BI47" i="15"/>
  <c r="BJ47" i="15"/>
  <c r="BK47" i="15"/>
  <c r="BL47" i="15"/>
  <c r="BM47" i="15"/>
  <c r="BN47" i="15"/>
  <c r="BO47" i="15"/>
  <c r="BP47" i="15"/>
  <c r="BQ47" i="15"/>
  <c r="BR47" i="15"/>
  <c r="BS47" i="15"/>
  <c r="BT47" i="15"/>
  <c r="BU47" i="15"/>
  <c r="BV47" i="15"/>
  <c r="BW47" i="15"/>
  <c r="BX47" i="15"/>
  <c r="BY47" i="15"/>
  <c r="BZ47" i="15"/>
  <c r="CA47" i="15"/>
  <c r="CB47" i="15"/>
  <c r="CC47" i="15"/>
  <c r="CD47" i="15"/>
  <c r="CE47" i="15"/>
  <c r="CF47" i="15"/>
  <c r="CG47" i="15"/>
  <c r="CH47" i="15"/>
  <c r="CI47" i="15"/>
  <c r="CJ47" i="15"/>
  <c r="CK47" i="15"/>
  <c r="CL47" i="15"/>
  <c r="CM47" i="15"/>
  <c r="CN47" i="15"/>
  <c r="CO47" i="15"/>
  <c r="A48" i="15"/>
  <c r="B48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BB48" i="15"/>
  <c r="BC48" i="15"/>
  <c r="BD48" i="15"/>
  <c r="BE48" i="15"/>
  <c r="BF48" i="15"/>
  <c r="BG48" i="15"/>
  <c r="BH48" i="15"/>
  <c r="BI48" i="15"/>
  <c r="BJ48" i="15"/>
  <c r="BK48" i="15"/>
  <c r="BL48" i="15"/>
  <c r="BM48" i="15"/>
  <c r="BN48" i="15"/>
  <c r="BO48" i="15"/>
  <c r="BP48" i="15"/>
  <c r="BQ48" i="15"/>
  <c r="BR48" i="15"/>
  <c r="BS48" i="15"/>
  <c r="BT48" i="15"/>
  <c r="BU48" i="15"/>
  <c r="BV48" i="15"/>
  <c r="BW48" i="15"/>
  <c r="BX48" i="15"/>
  <c r="BY48" i="15"/>
  <c r="BZ48" i="15"/>
  <c r="CA48" i="15"/>
  <c r="CB48" i="15"/>
  <c r="CC48" i="15"/>
  <c r="CD48" i="15"/>
  <c r="CE48" i="15"/>
  <c r="CF48" i="15"/>
  <c r="CG48" i="15"/>
  <c r="CH48" i="15"/>
  <c r="CI48" i="15"/>
  <c r="CJ48" i="15"/>
  <c r="CK48" i="15"/>
  <c r="CL48" i="15"/>
  <c r="CM48" i="15"/>
  <c r="CN48" i="15"/>
  <c r="CO48" i="15"/>
  <c r="A49" i="15"/>
  <c r="B49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BB49" i="15"/>
  <c r="BC49" i="15"/>
  <c r="BD49" i="15"/>
  <c r="BE49" i="15"/>
  <c r="BF49" i="15"/>
  <c r="BG49" i="15"/>
  <c r="BH49" i="15"/>
  <c r="BI49" i="15"/>
  <c r="BJ49" i="15"/>
  <c r="BK49" i="15"/>
  <c r="BL49" i="15"/>
  <c r="BM49" i="15"/>
  <c r="BN49" i="15"/>
  <c r="BO49" i="15"/>
  <c r="BP49" i="15"/>
  <c r="BQ49" i="15"/>
  <c r="BR49" i="15"/>
  <c r="BS49" i="15"/>
  <c r="BT49" i="15"/>
  <c r="BU49" i="15"/>
  <c r="BV49" i="15"/>
  <c r="BW49" i="15"/>
  <c r="BX49" i="15"/>
  <c r="BY49" i="15"/>
  <c r="BZ49" i="15"/>
  <c r="CA49" i="15"/>
  <c r="CB49" i="15"/>
  <c r="CC49" i="15"/>
  <c r="CD49" i="15"/>
  <c r="CE49" i="15"/>
  <c r="CF49" i="15"/>
  <c r="CG49" i="15"/>
  <c r="CH49" i="15"/>
  <c r="CI49" i="15"/>
  <c r="CJ49" i="15"/>
  <c r="CK49" i="15"/>
  <c r="CL49" i="15"/>
  <c r="CM49" i="15"/>
  <c r="CN49" i="15"/>
  <c r="CO49" i="15"/>
  <c r="A50" i="15"/>
  <c r="B50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BB50" i="15"/>
  <c r="BC50" i="15"/>
  <c r="BD50" i="15"/>
  <c r="BE50" i="15"/>
  <c r="BF50" i="15"/>
  <c r="BG50" i="15"/>
  <c r="BH50" i="15"/>
  <c r="BI50" i="15"/>
  <c r="BJ50" i="15"/>
  <c r="BK50" i="15"/>
  <c r="BL50" i="15"/>
  <c r="BM50" i="15"/>
  <c r="BN50" i="15"/>
  <c r="BO50" i="15"/>
  <c r="BP50" i="15"/>
  <c r="BQ50" i="15"/>
  <c r="BR50" i="15"/>
  <c r="BS50" i="15"/>
  <c r="BT50" i="15"/>
  <c r="BU50" i="15"/>
  <c r="BV50" i="15"/>
  <c r="BW50" i="15"/>
  <c r="BX50" i="15"/>
  <c r="BY50" i="15"/>
  <c r="BZ50" i="15"/>
  <c r="CA50" i="15"/>
  <c r="CB50" i="15"/>
  <c r="CC50" i="15"/>
  <c r="CD50" i="15"/>
  <c r="CE50" i="15"/>
  <c r="CF50" i="15"/>
  <c r="CG50" i="15"/>
  <c r="CH50" i="15"/>
  <c r="CI50" i="15"/>
  <c r="CJ50" i="15"/>
  <c r="CK50" i="15"/>
  <c r="CL50" i="15"/>
  <c r="CM50" i="15"/>
  <c r="CN50" i="15"/>
  <c r="CO50" i="15"/>
  <c r="A51" i="15"/>
  <c r="B51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B51" i="15"/>
  <c r="BC51" i="15"/>
  <c r="BD51" i="15"/>
  <c r="BE51" i="15"/>
  <c r="BF51" i="15"/>
  <c r="BG51" i="15"/>
  <c r="BH51" i="15"/>
  <c r="BI51" i="15"/>
  <c r="BJ51" i="15"/>
  <c r="BK51" i="15"/>
  <c r="BL51" i="15"/>
  <c r="BM51" i="15"/>
  <c r="BN51" i="15"/>
  <c r="BO51" i="15"/>
  <c r="BP51" i="15"/>
  <c r="BQ51" i="15"/>
  <c r="BR51" i="15"/>
  <c r="BS51" i="15"/>
  <c r="BT51" i="15"/>
  <c r="BU51" i="15"/>
  <c r="BV51" i="15"/>
  <c r="BW51" i="15"/>
  <c r="BX51" i="15"/>
  <c r="BY51" i="15"/>
  <c r="BZ51" i="15"/>
  <c r="CA51" i="15"/>
  <c r="CB51" i="15"/>
  <c r="CC51" i="15"/>
  <c r="CD51" i="15"/>
  <c r="CE51" i="15"/>
  <c r="CF51" i="15"/>
  <c r="CG51" i="15"/>
  <c r="CH51" i="15"/>
  <c r="CI51" i="15"/>
  <c r="CJ51" i="15"/>
  <c r="CK51" i="15"/>
  <c r="CL51" i="15"/>
  <c r="CM51" i="15"/>
  <c r="CN51" i="15"/>
  <c r="CO51" i="15"/>
  <c r="A52" i="15"/>
  <c r="B52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BB52" i="15"/>
  <c r="BC52" i="15"/>
  <c r="BD52" i="15"/>
  <c r="BE52" i="15"/>
  <c r="BF52" i="15"/>
  <c r="BG52" i="15"/>
  <c r="BH52" i="15"/>
  <c r="BI52" i="15"/>
  <c r="BJ52" i="15"/>
  <c r="BK52" i="15"/>
  <c r="BL52" i="15"/>
  <c r="BM52" i="15"/>
  <c r="BN52" i="15"/>
  <c r="BO52" i="15"/>
  <c r="BP52" i="15"/>
  <c r="BQ52" i="15"/>
  <c r="BR52" i="15"/>
  <c r="BS52" i="15"/>
  <c r="BT52" i="15"/>
  <c r="BU52" i="15"/>
  <c r="BV52" i="15"/>
  <c r="BW52" i="15"/>
  <c r="BX52" i="15"/>
  <c r="BY52" i="15"/>
  <c r="BZ52" i="15"/>
  <c r="CA52" i="15"/>
  <c r="CB52" i="15"/>
  <c r="CC52" i="15"/>
  <c r="CD52" i="15"/>
  <c r="CE52" i="15"/>
  <c r="CF52" i="15"/>
  <c r="CG52" i="15"/>
  <c r="CH52" i="15"/>
  <c r="CI52" i="15"/>
  <c r="CJ52" i="15"/>
  <c r="CK52" i="15"/>
  <c r="CL52" i="15"/>
  <c r="CM52" i="15"/>
  <c r="CN52" i="15"/>
  <c r="CO52" i="15"/>
  <c r="A53" i="15"/>
  <c r="B53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F53" i="15"/>
  <c r="BG53" i="15"/>
  <c r="BH53" i="15"/>
  <c r="BI53" i="15"/>
  <c r="BJ53" i="15"/>
  <c r="BK53" i="15"/>
  <c r="BL53" i="15"/>
  <c r="BM53" i="15"/>
  <c r="BN53" i="15"/>
  <c r="BO53" i="15"/>
  <c r="BP53" i="15"/>
  <c r="BQ53" i="15"/>
  <c r="BR53" i="15"/>
  <c r="BS53" i="15"/>
  <c r="BT53" i="15"/>
  <c r="BU53" i="15"/>
  <c r="BV53" i="15"/>
  <c r="BW53" i="15"/>
  <c r="BX53" i="15"/>
  <c r="BY53" i="15"/>
  <c r="BZ53" i="15"/>
  <c r="CA53" i="15"/>
  <c r="CB53" i="15"/>
  <c r="CC53" i="15"/>
  <c r="CD53" i="15"/>
  <c r="CE53" i="15"/>
  <c r="CF53" i="15"/>
  <c r="CG53" i="15"/>
  <c r="CH53" i="15"/>
  <c r="CI53" i="15"/>
  <c r="CJ53" i="15"/>
  <c r="CK53" i="15"/>
  <c r="CL53" i="15"/>
  <c r="CM53" i="15"/>
  <c r="CN53" i="15"/>
  <c r="CO53" i="15"/>
  <c r="A54" i="15"/>
  <c r="B54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BB54" i="15"/>
  <c r="BC54" i="15"/>
  <c r="BD54" i="15"/>
  <c r="BE54" i="15"/>
  <c r="BF54" i="15"/>
  <c r="BG54" i="15"/>
  <c r="BH54" i="15"/>
  <c r="BI54" i="15"/>
  <c r="BJ54" i="15"/>
  <c r="BK54" i="15"/>
  <c r="BL54" i="15"/>
  <c r="BM54" i="15"/>
  <c r="BN54" i="15"/>
  <c r="BO54" i="15"/>
  <c r="BP54" i="15"/>
  <c r="BQ54" i="15"/>
  <c r="BR54" i="15"/>
  <c r="BS54" i="15"/>
  <c r="BT54" i="15"/>
  <c r="BU54" i="15"/>
  <c r="BV54" i="15"/>
  <c r="BW54" i="15"/>
  <c r="BX54" i="15"/>
  <c r="BY54" i="15"/>
  <c r="BZ54" i="15"/>
  <c r="CA54" i="15"/>
  <c r="CB54" i="15"/>
  <c r="CC54" i="15"/>
  <c r="CD54" i="15"/>
  <c r="CE54" i="15"/>
  <c r="CF54" i="15"/>
  <c r="CG54" i="15"/>
  <c r="CH54" i="15"/>
  <c r="CI54" i="15"/>
  <c r="CJ54" i="15"/>
  <c r="CK54" i="15"/>
  <c r="CL54" i="15"/>
  <c r="CM54" i="15"/>
  <c r="CN54" i="15"/>
  <c r="CO54" i="15"/>
  <c r="A55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BB55" i="15"/>
  <c r="BC55" i="15"/>
  <c r="BD55" i="15"/>
  <c r="BE55" i="15"/>
  <c r="BF55" i="15"/>
  <c r="BG55" i="15"/>
  <c r="BH55" i="15"/>
  <c r="BI55" i="15"/>
  <c r="BJ55" i="15"/>
  <c r="BK55" i="15"/>
  <c r="BL55" i="15"/>
  <c r="BM55" i="15"/>
  <c r="BN55" i="15"/>
  <c r="BO55" i="15"/>
  <c r="BP55" i="15"/>
  <c r="BQ55" i="15"/>
  <c r="BR55" i="15"/>
  <c r="BS55" i="15"/>
  <c r="BT55" i="15"/>
  <c r="BU55" i="15"/>
  <c r="BV55" i="15"/>
  <c r="BW55" i="15"/>
  <c r="BX55" i="15"/>
  <c r="BY55" i="15"/>
  <c r="BZ55" i="15"/>
  <c r="CA55" i="15"/>
  <c r="CB55" i="15"/>
  <c r="CC55" i="15"/>
  <c r="CD55" i="15"/>
  <c r="CE55" i="15"/>
  <c r="CF55" i="15"/>
  <c r="CG55" i="15"/>
  <c r="CH55" i="15"/>
  <c r="CI55" i="15"/>
  <c r="CJ55" i="15"/>
  <c r="CK55" i="15"/>
  <c r="CL55" i="15"/>
  <c r="CM55" i="15"/>
  <c r="CN55" i="15"/>
  <c r="CO55" i="15"/>
  <c r="A56" i="15"/>
  <c r="B56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BF56" i="15"/>
  <c r="BG56" i="15"/>
  <c r="BH56" i="15"/>
  <c r="BI56" i="15"/>
  <c r="BJ56" i="15"/>
  <c r="BK56" i="15"/>
  <c r="BL56" i="15"/>
  <c r="BM56" i="15"/>
  <c r="BN56" i="15"/>
  <c r="BO56" i="15"/>
  <c r="BP56" i="15"/>
  <c r="BQ56" i="15"/>
  <c r="BR56" i="15"/>
  <c r="BS56" i="15"/>
  <c r="BT56" i="15"/>
  <c r="BU56" i="15"/>
  <c r="BV56" i="15"/>
  <c r="BW56" i="15"/>
  <c r="BX56" i="15"/>
  <c r="BY56" i="15"/>
  <c r="BZ56" i="15"/>
  <c r="CA56" i="15"/>
  <c r="CB56" i="15"/>
  <c r="CC56" i="15"/>
  <c r="CD56" i="15"/>
  <c r="CE56" i="15"/>
  <c r="CF56" i="15"/>
  <c r="CG56" i="15"/>
  <c r="CH56" i="15"/>
  <c r="CI56" i="15"/>
  <c r="CJ56" i="15"/>
  <c r="CK56" i="15"/>
  <c r="CL56" i="15"/>
  <c r="CM56" i="15"/>
  <c r="CN56" i="15"/>
  <c r="CO56" i="15"/>
  <c r="A57" i="15"/>
  <c r="B57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BD57" i="15"/>
  <c r="BE57" i="15"/>
  <c r="BF57" i="15"/>
  <c r="BG57" i="15"/>
  <c r="BH57" i="15"/>
  <c r="BI57" i="15"/>
  <c r="BJ57" i="15"/>
  <c r="BK57" i="15"/>
  <c r="BL57" i="15"/>
  <c r="BM57" i="15"/>
  <c r="BN57" i="15"/>
  <c r="BO57" i="15"/>
  <c r="BP57" i="15"/>
  <c r="BQ57" i="15"/>
  <c r="BR57" i="15"/>
  <c r="BS57" i="15"/>
  <c r="BT57" i="15"/>
  <c r="BU57" i="15"/>
  <c r="BV57" i="15"/>
  <c r="BW57" i="15"/>
  <c r="BX57" i="15"/>
  <c r="BY57" i="15"/>
  <c r="BZ57" i="15"/>
  <c r="CA57" i="15"/>
  <c r="CB57" i="15"/>
  <c r="CC57" i="15"/>
  <c r="CD57" i="15"/>
  <c r="CE57" i="15"/>
  <c r="CF57" i="15"/>
  <c r="CG57" i="15"/>
  <c r="CH57" i="15"/>
  <c r="CI57" i="15"/>
  <c r="CJ57" i="15"/>
  <c r="CK57" i="15"/>
  <c r="CL57" i="15"/>
  <c r="CM57" i="15"/>
  <c r="CN57" i="15"/>
  <c r="CO57" i="15"/>
  <c r="A58" i="15"/>
  <c r="B58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BD58" i="15"/>
  <c r="BE58" i="15"/>
  <c r="BF58" i="15"/>
  <c r="BG58" i="15"/>
  <c r="BH58" i="15"/>
  <c r="BI58" i="15"/>
  <c r="BJ58" i="15"/>
  <c r="BK58" i="15"/>
  <c r="BL58" i="15"/>
  <c r="BM58" i="15"/>
  <c r="BN58" i="15"/>
  <c r="BO58" i="15"/>
  <c r="BP58" i="15"/>
  <c r="BQ58" i="15"/>
  <c r="BR58" i="15"/>
  <c r="BS58" i="15"/>
  <c r="BT58" i="15"/>
  <c r="BU58" i="15"/>
  <c r="BV58" i="15"/>
  <c r="BW58" i="15"/>
  <c r="BX58" i="15"/>
  <c r="BY58" i="15"/>
  <c r="BZ58" i="15"/>
  <c r="CA58" i="15"/>
  <c r="CB58" i="15"/>
  <c r="CC58" i="15"/>
  <c r="CD58" i="15"/>
  <c r="CE58" i="15"/>
  <c r="CF58" i="15"/>
  <c r="CG58" i="15"/>
  <c r="CH58" i="15"/>
  <c r="CI58" i="15"/>
  <c r="CJ58" i="15"/>
  <c r="CK58" i="15"/>
  <c r="CL58" i="15"/>
  <c r="CM58" i="15"/>
  <c r="CN58" i="15"/>
  <c r="CO58" i="15"/>
  <c r="A59" i="15"/>
  <c r="B59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BL59" i="15"/>
  <c r="BM59" i="15"/>
  <c r="BN59" i="15"/>
  <c r="BO59" i="15"/>
  <c r="BP59" i="15"/>
  <c r="BQ59" i="15"/>
  <c r="BR59" i="15"/>
  <c r="BS59" i="15"/>
  <c r="BT59" i="15"/>
  <c r="BU59" i="15"/>
  <c r="BV59" i="15"/>
  <c r="BW59" i="15"/>
  <c r="BX59" i="15"/>
  <c r="BY59" i="15"/>
  <c r="BZ59" i="15"/>
  <c r="CA59" i="15"/>
  <c r="CB59" i="15"/>
  <c r="CC59" i="15"/>
  <c r="CD59" i="15"/>
  <c r="CE59" i="15"/>
  <c r="CF59" i="15"/>
  <c r="CG59" i="15"/>
  <c r="CH59" i="15"/>
  <c r="CI59" i="15"/>
  <c r="CJ59" i="15"/>
  <c r="CK59" i="15"/>
  <c r="CL59" i="15"/>
  <c r="CM59" i="15"/>
  <c r="CN59" i="15"/>
  <c r="CO59" i="15"/>
  <c r="A60" i="15"/>
  <c r="B60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BL60" i="15"/>
  <c r="BM60" i="15"/>
  <c r="BN60" i="15"/>
  <c r="BO60" i="15"/>
  <c r="BP60" i="15"/>
  <c r="BQ60" i="15"/>
  <c r="BR60" i="15"/>
  <c r="BS60" i="15"/>
  <c r="BT60" i="15"/>
  <c r="BU60" i="15"/>
  <c r="BV60" i="15"/>
  <c r="BW60" i="15"/>
  <c r="BX60" i="15"/>
  <c r="BY60" i="15"/>
  <c r="BZ60" i="15"/>
  <c r="CA60" i="15"/>
  <c r="CB60" i="15"/>
  <c r="CC60" i="15"/>
  <c r="CD60" i="15"/>
  <c r="CE60" i="15"/>
  <c r="CF60" i="15"/>
  <c r="CG60" i="15"/>
  <c r="CH60" i="15"/>
  <c r="CI60" i="15"/>
  <c r="CJ60" i="15"/>
  <c r="CK60" i="15"/>
  <c r="CL60" i="15"/>
  <c r="CM60" i="15"/>
  <c r="CN60" i="15"/>
  <c r="CO60" i="15"/>
  <c r="A61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BL61" i="15"/>
  <c r="BM61" i="15"/>
  <c r="BN61" i="15"/>
  <c r="BO61" i="15"/>
  <c r="BP61" i="15"/>
  <c r="BQ61" i="15"/>
  <c r="BR61" i="15"/>
  <c r="BS61" i="15"/>
  <c r="BT61" i="15"/>
  <c r="BU61" i="15"/>
  <c r="BV61" i="15"/>
  <c r="BW61" i="15"/>
  <c r="BX61" i="15"/>
  <c r="BY61" i="15"/>
  <c r="BZ61" i="15"/>
  <c r="CA61" i="15"/>
  <c r="CB61" i="15"/>
  <c r="CC61" i="15"/>
  <c r="CD61" i="15"/>
  <c r="CE61" i="15"/>
  <c r="CF61" i="15"/>
  <c r="CG61" i="15"/>
  <c r="CH61" i="15"/>
  <c r="CI61" i="15"/>
  <c r="CJ61" i="15"/>
  <c r="CK61" i="15"/>
  <c r="CL61" i="15"/>
  <c r="CM61" i="15"/>
  <c r="CN61" i="15"/>
  <c r="CO61" i="15"/>
  <c r="A62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G62" i="15"/>
  <c r="BH62" i="15"/>
  <c r="BI62" i="15"/>
  <c r="BJ62" i="15"/>
  <c r="BK62" i="15"/>
  <c r="BL62" i="15"/>
  <c r="BM62" i="15"/>
  <c r="BN62" i="15"/>
  <c r="BO62" i="15"/>
  <c r="BP62" i="15"/>
  <c r="BQ62" i="15"/>
  <c r="BR62" i="15"/>
  <c r="BS62" i="15"/>
  <c r="BT62" i="15"/>
  <c r="BU62" i="15"/>
  <c r="BV62" i="15"/>
  <c r="BW62" i="15"/>
  <c r="BX62" i="15"/>
  <c r="BY62" i="15"/>
  <c r="BZ62" i="15"/>
  <c r="CA62" i="15"/>
  <c r="CB62" i="15"/>
  <c r="CC62" i="15"/>
  <c r="CD62" i="15"/>
  <c r="CE62" i="15"/>
  <c r="CF62" i="15"/>
  <c r="CG62" i="15"/>
  <c r="CH62" i="15"/>
  <c r="CI62" i="15"/>
  <c r="CJ62" i="15"/>
  <c r="CK62" i="15"/>
  <c r="CL62" i="15"/>
  <c r="CM62" i="15"/>
  <c r="CN62" i="15"/>
  <c r="CO62" i="15"/>
  <c r="A63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G63" i="15"/>
  <c r="BH63" i="15"/>
  <c r="BI63" i="15"/>
  <c r="BJ63" i="15"/>
  <c r="BK63" i="15"/>
  <c r="BL63" i="15"/>
  <c r="BM63" i="15"/>
  <c r="BN63" i="15"/>
  <c r="BO63" i="15"/>
  <c r="BP63" i="15"/>
  <c r="BQ63" i="15"/>
  <c r="BR63" i="15"/>
  <c r="BS63" i="15"/>
  <c r="BT63" i="15"/>
  <c r="BU63" i="15"/>
  <c r="BV63" i="15"/>
  <c r="BW63" i="15"/>
  <c r="BX63" i="15"/>
  <c r="BY63" i="15"/>
  <c r="BZ63" i="15"/>
  <c r="CA63" i="15"/>
  <c r="CB63" i="15"/>
  <c r="CC63" i="15"/>
  <c r="CD63" i="15"/>
  <c r="CE63" i="15"/>
  <c r="CF63" i="15"/>
  <c r="CG63" i="15"/>
  <c r="CH63" i="15"/>
  <c r="CI63" i="15"/>
  <c r="CJ63" i="15"/>
  <c r="CK63" i="15"/>
  <c r="CL63" i="15"/>
  <c r="CM63" i="15"/>
  <c r="CN63" i="15"/>
  <c r="CO63" i="15"/>
  <c r="A64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G64" i="15"/>
  <c r="BH64" i="15"/>
  <c r="BI64" i="15"/>
  <c r="BJ64" i="15"/>
  <c r="BK64" i="15"/>
  <c r="BL64" i="15"/>
  <c r="BM64" i="15"/>
  <c r="BN64" i="15"/>
  <c r="BO64" i="15"/>
  <c r="BP64" i="15"/>
  <c r="BQ64" i="15"/>
  <c r="BR64" i="15"/>
  <c r="BS64" i="15"/>
  <c r="BT64" i="15"/>
  <c r="BU64" i="15"/>
  <c r="BV64" i="15"/>
  <c r="BW64" i="15"/>
  <c r="BX64" i="15"/>
  <c r="BY64" i="15"/>
  <c r="BZ64" i="15"/>
  <c r="CA64" i="15"/>
  <c r="CB64" i="15"/>
  <c r="CC64" i="15"/>
  <c r="CD64" i="15"/>
  <c r="CE64" i="15"/>
  <c r="CF64" i="15"/>
  <c r="CG64" i="15"/>
  <c r="CH64" i="15"/>
  <c r="CI64" i="15"/>
  <c r="CJ64" i="15"/>
  <c r="CK64" i="15"/>
  <c r="CL64" i="15"/>
  <c r="CM64" i="15"/>
  <c r="CN64" i="15"/>
  <c r="CO64" i="15"/>
  <c r="A65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G65" i="15"/>
  <c r="BH65" i="15"/>
  <c r="BI65" i="15"/>
  <c r="BJ65" i="15"/>
  <c r="BK65" i="15"/>
  <c r="BL65" i="15"/>
  <c r="BM65" i="15"/>
  <c r="BN65" i="15"/>
  <c r="BO65" i="15"/>
  <c r="BP65" i="15"/>
  <c r="BQ65" i="15"/>
  <c r="BR65" i="15"/>
  <c r="BS65" i="15"/>
  <c r="BT65" i="15"/>
  <c r="BU65" i="15"/>
  <c r="BV65" i="15"/>
  <c r="BW65" i="15"/>
  <c r="BX65" i="15"/>
  <c r="BY65" i="15"/>
  <c r="BZ65" i="15"/>
  <c r="CA65" i="15"/>
  <c r="CB65" i="15"/>
  <c r="CC65" i="15"/>
  <c r="CD65" i="15"/>
  <c r="CE65" i="15"/>
  <c r="CF65" i="15"/>
  <c r="CG65" i="15"/>
  <c r="CH65" i="15"/>
  <c r="CI65" i="15"/>
  <c r="CJ65" i="15"/>
  <c r="CK65" i="15"/>
  <c r="CL65" i="15"/>
  <c r="CM65" i="15"/>
  <c r="CN65" i="15"/>
  <c r="CO65" i="15"/>
  <c r="A66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G66" i="15"/>
  <c r="BH66" i="15"/>
  <c r="BI66" i="15"/>
  <c r="BJ66" i="15"/>
  <c r="BK66" i="15"/>
  <c r="BL66" i="15"/>
  <c r="BM66" i="15"/>
  <c r="BN66" i="15"/>
  <c r="BO66" i="15"/>
  <c r="BP66" i="15"/>
  <c r="BQ66" i="15"/>
  <c r="BR66" i="15"/>
  <c r="BS66" i="15"/>
  <c r="BT66" i="15"/>
  <c r="BU66" i="15"/>
  <c r="BV66" i="15"/>
  <c r="BW66" i="15"/>
  <c r="BX66" i="15"/>
  <c r="BY66" i="15"/>
  <c r="BZ66" i="15"/>
  <c r="CA66" i="15"/>
  <c r="CB66" i="15"/>
  <c r="CC66" i="15"/>
  <c r="CD66" i="15"/>
  <c r="CE66" i="15"/>
  <c r="CF66" i="15"/>
  <c r="CG66" i="15"/>
  <c r="CH66" i="15"/>
  <c r="CI66" i="15"/>
  <c r="CJ66" i="15"/>
  <c r="CK66" i="15"/>
  <c r="CL66" i="15"/>
  <c r="CM66" i="15"/>
  <c r="CN66" i="15"/>
  <c r="CO66" i="15"/>
  <c r="A67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BL67" i="15"/>
  <c r="BM67" i="15"/>
  <c r="BN67" i="15"/>
  <c r="BO67" i="15"/>
  <c r="BP67" i="15"/>
  <c r="BQ67" i="15"/>
  <c r="BR67" i="15"/>
  <c r="BS67" i="15"/>
  <c r="BT67" i="15"/>
  <c r="BU67" i="15"/>
  <c r="BV67" i="15"/>
  <c r="BW67" i="15"/>
  <c r="BX67" i="15"/>
  <c r="BY67" i="15"/>
  <c r="BZ67" i="15"/>
  <c r="CA67" i="15"/>
  <c r="CB67" i="15"/>
  <c r="CC67" i="15"/>
  <c r="CD67" i="15"/>
  <c r="CE67" i="15"/>
  <c r="CF67" i="15"/>
  <c r="CG67" i="15"/>
  <c r="CH67" i="15"/>
  <c r="CI67" i="15"/>
  <c r="CJ67" i="15"/>
  <c r="CK67" i="15"/>
  <c r="CL67" i="15"/>
  <c r="CM67" i="15"/>
  <c r="CN67" i="15"/>
  <c r="CO67" i="15"/>
  <c r="A68" i="15"/>
  <c r="B68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BB68" i="15"/>
  <c r="BC68" i="15"/>
  <c r="BD68" i="15"/>
  <c r="BE68" i="15"/>
  <c r="BF68" i="15"/>
  <c r="BG68" i="15"/>
  <c r="BH68" i="15"/>
  <c r="BI68" i="15"/>
  <c r="BJ68" i="15"/>
  <c r="BK68" i="15"/>
  <c r="BL68" i="15"/>
  <c r="BM68" i="15"/>
  <c r="BN68" i="15"/>
  <c r="BO68" i="15"/>
  <c r="BP68" i="15"/>
  <c r="BQ68" i="15"/>
  <c r="BR68" i="15"/>
  <c r="BS68" i="15"/>
  <c r="BT68" i="15"/>
  <c r="BU68" i="15"/>
  <c r="BV68" i="15"/>
  <c r="BW68" i="15"/>
  <c r="BX68" i="15"/>
  <c r="BY68" i="15"/>
  <c r="BZ68" i="15"/>
  <c r="CA68" i="15"/>
  <c r="CB68" i="15"/>
  <c r="CC68" i="15"/>
  <c r="CD68" i="15"/>
  <c r="CE68" i="15"/>
  <c r="CF68" i="15"/>
  <c r="CG68" i="15"/>
  <c r="CH68" i="15"/>
  <c r="CI68" i="15"/>
  <c r="CJ68" i="15"/>
  <c r="CK68" i="15"/>
  <c r="CL68" i="15"/>
  <c r="CM68" i="15"/>
  <c r="CN68" i="15"/>
  <c r="CO68" i="15"/>
  <c r="A69" i="15"/>
  <c r="B69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BB69" i="15"/>
  <c r="BC69" i="15"/>
  <c r="BD69" i="15"/>
  <c r="BE69" i="15"/>
  <c r="BF69" i="15"/>
  <c r="BG69" i="15"/>
  <c r="BH69" i="15"/>
  <c r="BI69" i="15"/>
  <c r="BJ69" i="15"/>
  <c r="BK69" i="15"/>
  <c r="BL69" i="15"/>
  <c r="BM69" i="15"/>
  <c r="BN69" i="15"/>
  <c r="BO69" i="15"/>
  <c r="BP69" i="15"/>
  <c r="BQ69" i="15"/>
  <c r="BR69" i="15"/>
  <c r="BS69" i="15"/>
  <c r="BT69" i="15"/>
  <c r="BU69" i="15"/>
  <c r="BV69" i="15"/>
  <c r="BW69" i="15"/>
  <c r="BX69" i="15"/>
  <c r="BY69" i="15"/>
  <c r="BZ69" i="15"/>
  <c r="CA69" i="15"/>
  <c r="CB69" i="15"/>
  <c r="CC69" i="15"/>
  <c r="CD69" i="15"/>
  <c r="CE69" i="15"/>
  <c r="CF69" i="15"/>
  <c r="CG69" i="15"/>
  <c r="CH69" i="15"/>
  <c r="CI69" i="15"/>
  <c r="CJ69" i="15"/>
  <c r="CK69" i="15"/>
  <c r="CL69" i="15"/>
  <c r="CM69" i="15"/>
  <c r="CN69" i="15"/>
  <c r="CO69" i="15"/>
  <c r="A70" i="15"/>
  <c r="B70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BL70" i="15"/>
  <c r="BM70" i="15"/>
  <c r="BN70" i="15"/>
  <c r="BO70" i="15"/>
  <c r="BP70" i="15"/>
  <c r="BQ70" i="15"/>
  <c r="BR70" i="15"/>
  <c r="BS70" i="15"/>
  <c r="BT70" i="15"/>
  <c r="BU70" i="15"/>
  <c r="BV70" i="15"/>
  <c r="BW70" i="15"/>
  <c r="BX70" i="15"/>
  <c r="BY70" i="15"/>
  <c r="BZ70" i="15"/>
  <c r="CA70" i="15"/>
  <c r="CB70" i="15"/>
  <c r="CC70" i="15"/>
  <c r="CD70" i="15"/>
  <c r="CE70" i="15"/>
  <c r="CF70" i="15"/>
  <c r="CG70" i="15"/>
  <c r="CH70" i="15"/>
  <c r="CI70" i="15"/>
  <c r="CJ70" i="15"/>
  <c r="CK70" i="15"/>
  <c r="CL70" i="15"/>
  <c r="CM70" i="15"/>
  <c r="CN70" i="15"/>
  <c r="CO70" i="15"/>
  <c r="A71" i="15"/>
  <c r="B71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G71" i="15"/>
  <c r="BH71" i="15"/>
  <c r="BI71" i="15"/>
  <c r="BJ71" i="15"/>
  <c r="BK71" i="15"/>
  <c r="BL71" i="15"/>
  <c r="BM71" i="15"/>
  <c r="BN71" i="15"/>
  <c r="BO71" i="15"/>
  <c r="BP71" i="15"/>
  <c r="BQ71" i="15"/>
  <c r="BR71" i="15"/>
  <c r="BS71" i="15"/>
  <c r="BT71" i="15"/>
  <c r="BU71" i="15"/>
  <c r="BV71" i="15"/>
  <c r="BW71" i="15"/>
  <c r="BX71" i="15"/>
  <c r="BY71" i="15"/>
  <c r="BZ71" i="15"/>
  <c r="CA71" i="15"/>
  <c r="CB71" i="15"/>
  <c r="CC71" i="15"/>
  <c r="CD71" i="15"/>
  <c r="CE71" i="15"/>
  <c r="CF71" i="15"/>
  <c r="CG71" i="15"/>
  <c r="CH71" i="15"/>
  <c r="CI71" i="15"/>
  <c r="CJ71" i="15"/>
  <c r="CK71" i="15"/>
  <c r="CL71" i="15"/>
  <c r="CM71" i="15"/>
  <c r="CN71" i="15"/>
  <c r="CO71" i="15"/>
  <c r="A72" i="15"/>
  <c r="B72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BF72" i="15"/>
  <c r="BG72" i="15"/>
  <c r="BH72" i="15"/>
  <c r="BI72" i="15"/>
  <c r="BJ72" i="15"/>
  <c r="BK72" i="15"/>
  <c r="BL72" i="15"/>
  <c r="BM72" i="15"/>
  <c r="BN72" i="15"/>
  <c r="BO72" i="15"/>
  <c r="BP72" i="15"/>
  <c r="BQ72" i="15"/>
  <c r="BR72" i="15"/>
  <c r="BS72" i="15"/>
  <c r="BT72" i="15"/>
  <c r="BU72" i="15"/>
  <c r="BV72" i="15"/>
  <c r="BW72" i="15"/>
  <c r="BX72" i="15"/>
  <c r="BY72" i="15"/>
  <c r="BZ72" i="15"/>
  <c r="CA72" i="15"/>
  <c r="CB72" i="15"/>
  <c r="CC72" i="15"/>
  <c r="CD72" i="15"/>
  <c r="CE72" i="15"/>
  <c r="CF72" i="15"/>
  <c r="CG72" i="15"/>
  <c r="CH72" i="15"/>
  <c r="CI72" i="15"/>
  <c r="CJ72" i="15"/>
  <c r="CK72" i="15"/>
  <c r="CL72" i="15"/>
  <c r="CM72" i="15"/>
  <c r="CN72" i="15"/>
  <c r="CO72" i="15"/>
  <c r="A73" i="15"/>
  <c r="B73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BB73" i="15"/>
  <c r="BC73" i="15"/>
  <c r="BD73" i="15"/>
  <c r="BE73" i="15"/>
  <c r="BF73" i="15"/>
  <c r="BG73" i="15"/>
  <c r="BH73" i="15"/>
  <c r="BI73" i="15"/>
  <c r="BJ73" i="15"/>
  <c r="BK73" i="15"/>
  <c r="BL73" i="15"/>
  <c r="BM73" i="15"/>
  <c r="BN73" i="15"/>
  <c r="BO73" i="15"/>
  <c r="BP73" i="15"/>
  <c r="BQ73" i="15"/>
  <c r="BR73" i="15"/>
  <c r="BS73" i="15"/>
  <c r="BT73" i="15"/>
  <c r="BU73" i="15"/>
  <c r="BV73" i="15"/>
  <c r="BW73" i="15"/>
  <c r="BX73" i="15"/>
  <c r="BY73" i="15"/>
  <c r="BZ73" i="15"/>
  <c r="CA73" i="15"/>
  <c r="CB73" i="15"/>
  <c r="CC73" i="15"/>
  <c r="CD73" i="15"/>
  <c r="CE73" i="15"/>
  <c r="CF73" i="15"/>
  <c r="CG73" i="15"/>
  <c r="CH73" i="15"/>
  <c r="CI73" i="15"/>
  <c r="CJ73" i="15"/>
  <c r="CK73" i="15"/>
  <c r="CL73" i="15"/>
  <c r="CM73" i="15"/>
  <c r="CN73" i="15"/>
  <c r="CO73" i="15"/>
  <c r="A74" i="15"/>
  <c r="B74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BB74" i="15"/>
  <c r="BC74" i="15"/>
  <c r="BD74" i="15"/>
  <c r="BE74" i="15"/>
  <c r="BF74" i="15"/>
  <c r="BG74" i="15"/>
  <c r="BH74" i="15"/>
  <c r="BI74" i="15"/>
  <c r="BJ74" i="15"/>
  <c r="BK74" i="15"/>
  <c r="BL74" i="15"/>
  <c r="BM74" i="15"/>
  <c r="BN74" i="15"/>
  <c r="BO74" i="15"/>
  <c r="BP74" i="15"/>
  <c r="BQ74" i="15"/>
  <c r="BR74" i="15"/>
  <c r="BS74" i="15"/>
  <c r="BT74" i="15"/>
  <c r="BU74" i="15"/>
  <c r="BV74" i="15"/>
  <c r="BW74" i="15"/>
  <c r="BX74" i="15"/>
  <c r="BY74" i="15"/>
  <c r="BZ74" i="15"/>
  <c r="CA74" i="15"/>
  <c r="CB74" i="15"/>
  <c r="CC74" i="15"/>
  <c r="CD74" i="15"/>
  <c r="CE74" i="15"/>
  <c r="CF74" i="15"/>
  <c r="CG74" i="15"/>
  <c r="CH74" i="15"/>
  <c r="CI74" i="15"/>
  <c r="CJ74" i="15"/>
  <c r="CK74" i="15"/>
  <c r="CL74" i="15"/>
  <c r="CM74" i="15"/>
  <c r="CN74" i="15"/>
  <c r="CO74" i="15"/>
  <c r="A75" i="15"/>
  <c r="B75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BB75" i="15"/>
  <c r="BC75" i="15"/>
  <c r="BD75" i="15"/>
  <c r="BE75" i="15"/>
  <c r="BF75" i="15"/>
  <c r="BG75" i="15"/>
  <c r="BH75" i="15"/>
  <c r="BI75" i="15"/>
  <c r="BJ75" i="15"/>
  <c r="BK75" i="15"/>
  <c r="BL75" i="15"/>
  <c r="BM75" i="15"/>
  <c r="BN75" i="15"/>
  <c r="BO75" i="15"/>
  <c r="BP75" i="15"/>
  <c r="BQ75" i="15"/>
  <c r="BR75" i="15"/>
  <c r="BS75" i="15"/>
  <c r="BT75" i="15"/>
  <c r="BU75" i="15"/>
  <c r="BV75" i="15"/>
  <c r="BW75" i="15"/>
  <c r="BX75" i="15"/>
  <c r="BY75" i="15"/>
  <c r="BZ75" i="15"/>
  <c r="CA75" i="15"/>
  <c r="CB75" i="15"/>
  <c r="CC75" i="15"/>
  <c r="CD75" i="15"/>
  <c r="CE75" i="15"/>
  <c r="CF75" i="15"/>
  <c r="CG75" i="15"/>
  <c r="CH75" i="15"/>
  <c r="CI75" i="15"/>
  <c r="CJ75" i="15"/>
  <c r="CK75" i="15"/>
  <c r="CL75" i="15"/>
  <c r="CM75" i="15"/>
  <c r="CN75" i="15"/>
  <c r="CO75" i="15"/>
  <c r="A76" i="15"/>
  <c r="B76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BB76" i="15"/>
  <c r="BC76" i="15"/>
  <c r="BD76" i="15"/>
  <c r="BE76" i="15"/>
  <c r="BF76" i="15"/>
  <c r="BG76" i="15"/>
  <c r="BH76" i="15"/>
  <c r="BI76" i="15"/>
  <c r="BJ76" i="15"/>
  <c r="BK76" i="15"/>
  <c r="BL76" i="15"/>
  <c r="BM76" i="15"/>
  <c r="BN76" i="15"/>
  <c r="BO76" i="15"/>
  <c r="BP76" i="15"/>
  <c r="BQ76" i="15"/>
  <c r="BR76" i="15"/>
  <c r="BS76" i="15"/>
  <c r="BT76" i="15"/>
  <c r="BU76" i="15"/>
  <c r="BV76" i="15"/>
  <c r="BW76" i="15"/>
  <c r="BX76" i="15"/>
  <c r="BY76" i="15"/>
  <c r="BZ76" i="15"/>
  <c r="CA76" i="15"/>
  <c r="CB76" i="15"/>
  <c r="CC76" i="15"/>
  <c r="CD76" i="15"/>
  <c r="CE76" i="15"/>
  <c r="CF76" i="15"/>
  <c r="CG76" i="15"/>
  <c r="CH76" i="15"/>
  <c r="CI76" i="15"/>
  <c r="CJ76" i="15"/>
  <c r="CK76" i="15"/>
  <c r="CL76" i="15"/>
  <c r="CM76" i="15"/>
  <c r="CN76" i="15"/>
  <c r="CO76" i="15"/>
  <c r="A77" i="15"/>
  <c r="B77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BB77" i="15"/>
  <c r="BC77" i="15"/>
  <c r="BD77" i="15"/>
  <c r="BE77" i="15"/>
  <c r="BF77" i="15"/>
  <c r="BG77" i="15"/>
  <c r="BH77" i="15"/>
  <c r="BI77" i="15"/>
  <c r="BJ77" i="15"/>
  <c r="BK77" i="15"/>
  <c r="BL77" i="15"/>
  <c r="BM77" i="15"/>
  <c r="BN77" i="15"/>
  <c r="BO77" i="15"/>
  <c r="BP77" i="15"/>
  <c r="BQ77" i="15"/>
  <c r="BR77" i="15"/>
  <c r="BS77" i="15"/>
  <c r="BT77" i="15"/>
  <c r="BU77" i="15"/>
  <c r="BV77" i="15"/>
  <c r="BW77" i="15"/>
  <c r="BX77" i="15"/>
  <c r="BY77" i="15"/>
  <c r="BZ77" i="15"/>
  <c r="CA77" i="15"/>
  <c r="CB77" i="15"/>
  <c r="CC77" i="15"/>
  <c r="CD77" i="15"/>
  <c r="CE77" i="15"/>
  <c r="CF77" i="15"/>
  <c r="CG77" i="15"/>
  <c r="CH77" i="15"/>
  <c r="CI77" i="15"/>
  <c r="CJ77" i="15"/>
  <c r="CK77" i="15"/>
  <c r="CL77" i="15"/>
  <c r="CM77" i="15"/>
  <c r="CN77" i="15"/>
  <c r="CO77" i="15"/>
  <c r="A78" i="15"/>
  <c r="B78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BB78" i="15"/>
  <c r="BC78" i="15"/>
  <c r="BD78" i="15"/>
  <c r="BE78" i="15"/>
  <c r="BF78" i="15"/>
  <c r="BG78" i="15"/>
  <c r="BH78" i="15"/>
  <c r="BI78" i="15"/>
  <c r="BJ78" i="15"/>
  <c r="BK78" i="15"/>
  <c r="BL78" i="15"/>
  <c r="BM78" i="15"/>
  <c r="BN78" i="15"/>
  <c r="BO78" i="15"/>
  <c r="BP78" i="15"/>
  <c r="BQ78" i="15"/>
  <c r="BR78" i="15"/>
  <c r="BS78" i="15"/>
  <c r="BT78" i="15"/>
  <c r="BU78" i="15"/>
  <c r="BV78" i="15"/>
  <c r="BW78" i="15"/>
  <c r="BX78" i="15"/>
  <c r="BY78" i="15"/>
  <c r="BZ78" i="15"/>
  <c r="CA78" i="15"/>
  <c r="CB78" i="15"/>
  <c r="CC78" i="15"/>
  <c r="CD78" i="15"/>
  <c r="CE78" i="15"/>
  <c r="CF78" i="15"/>
  <c r="CG78" i="15"/>
  <c r="CH78" i="15"/>
  <c r="CI78" i="15"/>
  <c r="CJ78" i="15"/>
  <c r="CK78" i="15"/>
  <c r="CL78" i="15"/>
  <c r="CM78" i="15"/>
  <c r="CN78" i="15"/>
  <c r="CO78" i="15"/>
  <c r="A79" i="15"/>
  <c r="B79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BB79" i="15"/>
  <c r="BC79" i="15"/>
  <c r="BD79" i="15"/>
  <c r="BE79" i="15"/>
  <c r="BF79" i="15"/>
  <c r="BG79" i="15"/>
  <c r="BH79" i="15"/>
  <c r="BI79" i="15"/>
  <c r="BJ79" i="15"/>
  <c r="BK79" i="15"/>
  <c r="BL79" i="15"/>
  <c r="BM79" i="15"/>
  <c r="BN79" i="15"/>
  <c r="BO79" i="15"/>
  <c r="BP79" i="15"/>
  <c r="BQ79" i="15"/>
  <c r="BR79" i="15"/>
  <c r="BS79" i="15"/>
  <c r="BT79" i="15"/>
  <c r="BU79" i="15"/>
  <c r="BV79" i="15"/>
  <c r="BW79" i="15"/>
  <c r="BX79" i="15"/>
  <c r="BY79" i="15"/>
  <c r="BZ79" i="15"/>
  <c r="CA79" i="15"/>
  <c r="CB79" i="15"/>
  <c r="CC79" i="15"/>
  <c r="CD79" i="15"/>
  <c r="CE79" i="15"/>
  <c r="CF79" i="15"/>
  <c r="CG79" i="15"/>
  <c r="CH79" i="15"/>
  <c r="CI79" i="15"/>
  <c r="CJ79" i="15"/>
  <c r="CK79" i="15"/>
  <c r="CL79" i="15"/>
  <c r="CM79" i="15"/>
  <c r="CN79" i="15"/>
  <c r="CO79" i="15"/>
  <c r="A80" i="15"/>
  <c r="B80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BB80" i="15"/>
  <c r="BC80" i="15"/>
  <c r="BD80" i="15"/>
  <c r="BE80" i="15"/>
  <c r="BF80" i="15"/>
  <c r="BG80" i="15"/>
  <c r="BH80" i="15"/>
  <c r="BI80" i="15"/>
  <c r="BJ80" i="15"/>
  <c r="BK80" i="15"/>
  <c r="BL80" i="15"/>
  <c r="BM80" i="15"/>
  <c r="BN80" i="15"/>
  <c r="BO80" i="15"/>
  <c r="BP80" i="15"/>
  <c r="BQ80" i="15"/>
  <c r="BR80" i="15"/>
  <c r="BS80" i="15"/>
  <c r="BT80" i="15"/>
  <c r="BU80" i="15"/>
  <c r="BV80" i="15"/>
  <c r="BW80" i="15"/>
  <c r="BX80" i="15"/>
  <c r="BY80" i="15"/>
  <c r="BZ80" i="15"/>
  <c r="CA80" i="15"/>
  <c r="CB80" i="15"/>
  <c r="CC80" i="15"/>
  <c r="CD80" i="15"/>
  <c r="CE80" i="15"/>
  <c r="CF80" i="15"/>
  <c r="CG80" i="15"/>
  <c r="CH80" i="15"/>
  <c r="CI80" i="15"/>
  <c r="CJ80" i="15"/>
  <c r="CK80" i="15"/>
  <c r="CL80" i="15"/>
  <c r="CM80" i="15"/>
  <c r="CN80" i="15"/>
  <c r="CO80" i="15"/>
  <c r="A81" i="15"/>
  <c r="B81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BB81" i="15"/>
  <c r="BC81" i="15"/>
  <c r="BD81" i="15"/>
  <c r="BE81" i="15"/>
  <c r="BF81" i="15"/>
  <c r="BG81" i="15"/>
  <c r="BH81" i="15"/>
  <c r="BI81" i="15"/>
  <c r="BJ81" i="15"/>
  <c r="BK81" i="15"/>
  <c r="BL81" i="15"/>
  <c r="BM81" i="15"/>
  <c r="BN81" i="15"/>
  <c r="BO81" i="15"/>
  <c r="BP81" i="15"/>
  <c r="BQ81" i="15"/>
  <c r="BR81" i="15"/>
  <c r="BS81" i="15"/>
  <c r="BT81" i="15"/>
  <c r="BU81" i="15"/>
  <c r="BV81" i="15"/>
  <c r="BW81" i="15"/>
  <c r="BX81" i="15"/>
  <c r="BY81" i="15"/>
  <c r="BZ81" i="15"/>
  <c r="CA81" i="15"/>
  <c r="CB81" i="15"/>
  <c r="CC81" i="15"/>
  <c r="CD81" i="15"/>
  <c r="CE81" i="15"/>
  <c r="CF81" i="15"/>
  <c r="CG81" i="15"/>
  <c r="CH81" i="15"/>
  <c r="CI81" i="15"/>
  <c r="CJ81" i="15"/>
  <c r="CK81" i="15"/>
  <c r="CL81" i="15"/>
  <c r="CM81" i="15"/>
  <c r="CN81" i="15"/>
  <c r="CO81" i="15"/>
  <c r="A82" i="15"/>
  <c r="B82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BB82" i="15"/>
  <c r="BC82" i="15"/>
  <c r="BD82" i="15"/>
  <c r="BE82" i="15"/>
  <c r="BF82" i="15"/>
  <c r="BG82" i="15"/>
  <c r="BH82" i="15"/>
  <c r="BI82" i="15"/>
  <c r="BJ82" i="15"/>
  <c r="BK82" i="15"/>
  <c r="BL82" i="15"/>
  <c r="BM82" i="15"/>
  <c r="BN82" i="15"/>
  <c r="BO82" i="15"/>
  <c r="BP82" i="15"/>
  <c r="BQ82" i="15"/>
  <c r="BR82" i="15"/>
  <c r="BS82" i="15"/>
  <c r="BT82" i="15"/>
  <c r="BU82" i="15"/>
  <c r="BV82" i="15"/>
  <c r="BW82" i="15"/>
  <c r="BX82" i="15"/>
  <c r="BY82" i="15"/>
  <c r="BZ82" i="15"/>
  <c r="CA82" i="15"/>
  <c r="CB82" i="15"/>
  <c r="CC82" i="15"/>
  <c r="CD82" i="15"/>
  <c r="CE82" i="15"/>
  <c r="CF82" i="15"/>
  <c r="CG82" i="15"/>
  <c r="CH82" i="15"/>
  <c r="CI82" i="15"/>
  <c r="CJ82" i="15"/>
  <c r="CK82" i="15"/>
  <c r="CL82" i="15"/>
  <c r="CM82" i="15"/>
  <c r="CN82" i="15"/>
  <c r="CO82" i="15"/>
  <c r="A83" i="15"/>
  <c r="B83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BB83" i="15"/>
  <c r="BC83" i="15"/>
  <c r="BD83" i="15"/>
  <c r="BE83" i="15"/>
  <c r="BF83" i="15"/>
  <c r="BG83" i="15"/>
  <c r="BH83" i="15"/>
  <c r="BI83" i="15"/>
  <c r="BJ83" i="15"/>
  <c r="BK83" i="15"/>
  <c r="BL83" i="15"/>
  <c r="BM83" i="15"/>
  <c r="BN83" i="15"/>
  <c r="BO83" i="15"/>
  <c r="BP83" i="15"/>
  <c r="BQ83" i="15"/>
  <c r="BR83" i="15"/>
  <c r="BS83" i="15"/>
  <c r="BT83" i="15"/>
  <c r="BU83" i="15"/>
  <c r="BV83" i="15"/>
  <c r="BW83" i="15"/>
  <c r="BX83" i="15"/>
  <c r="BY83" i="15"/>
  <c r="BZ83" i="15"/>
  <c r="CA83" i="15"/>
  <c r="CB83" i="15"/>
  <c r="CC83" i="15"/>
  <c r="CD83" i="15"/>
  <c r="CE83" i="15"/>
  <c r="CF83" i="15"/>
  <c r="CG83" i="15"/>
  <c r="CH83" i="15"/>
  <c r="CI83" i="15"/>
  <c r="CJ83" i="15"/>
  <c r="CK83" i="15"/>
  <c r="CL83" i="15"/>
  <c r="CM83" i="15"/>
  <c r="CN83" i="15"/>
  <c r="CO83" i="15"/>
  <c r="A84" i="15"/>
  <c r="B84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T84" i="15"/>
  <c r="U84" i="15"/>
  <c r="V84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AI84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BB84" i="15"/>
  <c r="BC84" i="15"/>
  <c r="BD84" i="15"/>
  <c r="BE84" i="15"/>
  <c r="BF84" i="15"/>
  <c r="BG84" i="15"/>
  <c r="BH84" i="15"/>
  <c r="BI84" i="15"/>
  <c r="BJ84" i="15"/>
  <c r="BK84" i="15"/>
  <c r="BL84" i="15"/>
  <c r="BM84" i="15"/>
  <c r="BN84" i="15"/>
  <c r="BO84" i="15"/>
  <c r="BP84" i="15"/>
  <c r="BQ84" i="15"/>
  <c r="BR84" i="15"/>
  <c r="BS84" i="15"/>
  <c r="BT84" i="15"/>
  <c r="BU84" i="15"/>
  <c r="BV84" i="15"/>
  <c r="BW84" i="15"/>
  <c r="BX84" i="15"/>
  <c r="BY84" i="15"/>
  <c r="BZ84" i="15"/>
  <c r="CA84" i="15"/>
  <c r="CB84" i="15"/>
  <c r="CC84" i="15"/>
  <c r="CD84" i="15"/>
  <c r="CE84" i="15"/>
  <c r="CF84" i="15"/>
  <c r="CG84" i="15"/>
  <c r="CH84" i="15"/>
  <c r="CI84" i="15"/>
  <c r="CJ84" i="15"/>
  <c r="CK84" i="15"/>
  <c r="CL84" i="15"/>
  <c r="CM84" i="15"/>
  <c r="CN84" i="15"/>
  <c r="CO84" i="15"/>
  <c r="A85" i="15"/>
  <c r="B85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T85" i="15"/>
  <c r="U85" i="15"/>
  <c r="V85" i="15"/>
  <c r="W85" i="15"/>
  <c r="X85" i="15"/>
  <c r="Y85" i="15"/>
  <c r="Z85" i="15"/>
  <c r="AA85" i="15"/>
  <c r="AB85" i="15"/>
  <c r="AC85" i="15"/>
  <c r="AD85" i="15"/>
  <c r="AE85" i="15"/>
  <c r="AF85" i="15"/>
  <c r="AG85" i="15"/>
  <c r="AH85" i="15"/>
  <c r="AI85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BB85" i="15"/>
  <c r="BC85" i="15"/>
  <c r="BD85" i="15"/>
  <c r="BE85" i="15"/>
  <c r="BF85" i="15"/>
  <c r="BG85" i="15"/>
  <c r="BH85" i="15"/>
  <c r="BI85" i="15"/>
  <c r="BJ85" i="15"/>
  <c r="BK85" i="15"/>
  <c r="BL85" i="15"/>
  <c r="BM85" i="15"/>
  <c r="BN85" i="15"/>
  <c r="BO85" i="15"/>
  <c r="BP85" i="15"/>
  <c r="BQ85" i="15"/>
  <c r="BR85" i="15"/>
  <c r="BS85" i="15"/>
  <c r="BT85" i="15"/>
  <c r="BU85" i="15"/>
  <c r="BV85" i="15"/>
  <c r="BW85" i="15"/>
  <c r="BX85" i="15"/>
  <c r="BY85" i="15"/>
  <c r="BZ85" i="15"/>
  <c r="CA85" i="15"/>
  <c r="CB85" i="15"/>
  <c r="CC85" i="15"/>
  <c r="CD85" i="15"/>
  <c r="CE85" i="15"/>
  <c r="CF85" i="15"/>
  <c r="CG85" i="15"/>
  <c r="CH85" i="15"/>
  <c r="CI85" i="15"/>
  <c r="CJ85" i="15"/>
  <c r="CK85" i="15"/>
  <c r="CL85" i="15"/>
  <c r="CM85" i="15"/>
  <c r="CN85" i="15"/>
  <c r="CO85" i="15"/>
  <c r="A86" i="15"/>
  <c r="B86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BB86" i="15"/>
  <c r="BC86" i="15"/>
  <c r="BD86" i="15"/>
  <c r="BE86" i="15"/>
  <c r="BF86" i="15"/>
  <c r="BG86" i="15"/>
  <c r="BH86" i="15"/>
  <c r="BI86" i="15"/>
  <c r="BJ86" i="15"/>
  <c r="BK86" i="15"/>
  <c r="BL86" i="15"/>
  <c r="BM86" i="15"/>
  <c r="BN86" i="15"/>
  <c r="BO86" i="15"/>
  <c r="BP86" i="15"/>
  <c r="BQ86" i="15"/>
  <c r="BR86" i="15"/>
  <c r="BS86" i="15"/>
  <c r="BT86" i="15"/>
  <c r="BU86" i="15"/>
  <c r="BV86" i="15"/>
  <c r="BW86" i="15"/>
  <c r="BX86" i="15"/>
  <c r="BY86" i="15"/>
  <c r="BZ86" i="15"/>
  <c r="CA86" i="15"/>
  <c r="CB86" i="15"/>
  <c r="CC86" i="15"/>
  <c r="CD86" i="15"/>
  <c r="CE86" i="15"/>
  <c r="CF86" i="15"/>
  <c r="CG86" i="15"/>
  <c r="CH86" i="15"/>
  <c r="CI86" i="15"/>
  <c r="CJ86" i="15"/>
  <c r="CK86" i="15"/>
  <c r="CL86" i="15"/>
  <c r="CM86" i="15"/>
  <c r="CN86" i="15"/>
  <c r="CO86" i="15"/>
  <c r="A87" i="15"/>
  <c r="B87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T87" i="15"/>
  <c r="U87" i="15"/>
  <c r="V87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AI87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BB87" i="15"/>
  <c r="BC87" i="15"/>
  <c r="BD87" i="15"/>
  <c r="BE87" i="15"/>
  <c r="BF87" i="15"/>
  <c r="BG87" i="15"/>
  <c r="BH87" i="15"/>
  <c r="BI87" i="15"/>
  <c r="BJ87" i="15"/>
  <c r="BK87" i="15"/>
  <c r="BL87" i="15"/>
  <c r="BM87" i="15"/>
  <c r="BN87" i="15"/>
  <c r="BO87" i="15"/>
  <c r="BP87" i="15"/>
  <c r="BQ87" i="15"/>
  <c r="BR87" i="15"/>
  <c r="BS87" i="15"/>
  <c r="BT87" i="15"/>
  <c r="BU87" i="15"/>
  <c r="BV87" i="15"/>
  <c r="BW87" i="15"/>
  <c r="BX87" i="15"/>
  <c r="BY87" i="15"/>
  <c r="BZ87" i="15"/>
  <c r="CA87" i="15"/>
  <c r="CB87" i="15"/>
  <c r="CC87" i="15"/>
  <c r="CD87" i="15"/>
  <c r="CE87" i="15"/>
  <c r="CF87" i="15"/>
  <c r="CG87" i="15"/>
  <c r="CH87" i="15"/>
  <c r="CI87" i="15"/>
  <c r="CJ87" i="15"/>
  <c r="CK87" i="15"/>
  <c r="CL87" i="15"/>
  <c r="CM87" i="15"/>
  <c r="CN87" i="15"/>
  <c r="CO87" i="15"/>
  <c r="A88" i="15"/>
  <c r="B88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T88" i="15"/>
  <c r="U88" i="15"/>
  <c r="V88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AI88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BB88" i="15"/>
  <c r="BC88" i="15"/>
  <c r="BD88" i="15"/>
  <c r="BE88" i="15"/>
  <c r="BF88" i="15"/>
  <c r="BG88" i="15"/>
  <c r="BH88" i="15"/>
  <c r="BI88" i="15"/>
  <c r="BJ88" i="15"/>
  <c r="BK88" i="15"/>
  <c r="BL88" i="15"/>
  <c r="BM88" i="15"/>
  <c r="BN88" i="15"/>
  <c r="BO88" i="15"/>
  <c r="BP88" i="15"/>
  <c r="BQ88" i="15"/>
  <c r="BR88" i="15"/>
  <c r="BS88" i="15"/>
  <c r="BT88" i="15"/>
  <c r="BU88" i="15"/>
  <c r="BV88" i="15"/>
  <c r="BW88" i="15"/>
  <c r="BX88" i="15"/>
  <c r="BY88" i="15"/>
  <c r="BZ88" i="15"/>
  <c r="CA88" i="15"/>
  <c r="CB88" i="15"/>
  <c r="CC88" i="15"/>
  <c r="CD88" i="15"/>
  <c r="CE88" i="15"/>
  <c r="CF88" i="15"/>
  <c r="CG88" i="15"/>
  <c r="CH88" i="15"/>
  <c r="CI88" i="15"/>
  <c r="CJ88" i="15"/>
  <c r="CK88" i="15"/>
  <c r="CL88" i="15"/>
  <c r="CM88" i="15"/>
  <c r="CN88" i="15"/>
  <c r="CO88" i="15"/>
  <c r="A89" i="15"/>
  <c r="B89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AI89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BB89" i="15"/>
  <c r="BC89" i="15"/>
  <c r="BD89" i="15"/>
  <c r="BE89" i="15"/>
  <c r="BF89" i="15"/>
  <c r="BG89" i="15"/>
  <c r="BH89" i="15"/>
  <c r="BI89" i="15"/>
  <c r="BJ89" i="15"/>
  <c r="BK89" i="15"/>
  <c r="BL89" i="15"/>
  <c r="BM89" i="15"/>
  <c r="BN89" i="15"/>
  <c r="BO89" i="15"/>
  <c r="BP89" i="15"/>
  <c r="BQ89" i="15"/>
  <c r="BR89" i="15"/>
  <c r="BS89" i="15"/>
  <c r="BT89" i="15"/>
  <c r="BU89" i="15"/>
  <c r="BV89" i="15"/>
  <c r="BW89" i="15"/>
  <c r="BX89" i="15"/>
  <c r="BY89" i="15"/>
  <c r="BZ89" i="15"/>
  <c r="CA89" i="15"/>
  <c r="CB89" i="15"/>
  <c r="CC89" i="15"/>
  <c r="CD89" i="15"/>
  <c r="CE89" i="15"/>
  <c r="CF89" i="15"/>
  <c r="CG89" i="15"/>
  <c r="CH89" i="15"/>
  <c r="CI89" i="15"/>
  <c r="CJ89" i="15"/>
  <c r="CK89" i="15"/>
  <c r="CL89" i="15"/>
  <c r="CM89" i="15"/>
  <c r="CN89" i="15"/>
  <c r="CO89" i="15"/>
  <c r="A90" i="15"/>
  <c r="B90" i="15"/>
  <c r="C90" i="15"/>
  <c r="D90" i="15"/>
  <c r="E90" i="15"/>
  <c r="F90" i="15"/>
  <c r="G90" i="15"/>
  <c r="H90" i="15"/>
  <c r="I90" i="15"/>
  <c r="J90" i="15"/>
  <c r="K90" i="15"/>
  <c r="L90" i="15"/>
  <c r="M90" i="15"/>
  <c r="N90" i="15"/>
  <c r="O90" i="15"/>
  <c r="P90" i="15"/>
  <c r="Q90" i="15"/>
  <c r="R90" i="15"/>
  <c r="S90" i="15"/>
  <c r="T90" i="15"/>
  <c r="U90" i="15"/>
  <c r="V90" i="15"/>
  <c r="W90" i="15"/>
  <c r="X90" i="15"/>
  <c r="Y90" i="15"/>
  <c r="Z90" i="15"/>
  <c r="AA90" i="15"/>
  <c r="AB90" i="15"/>
  <c r="AC90" i="15"/>
  <c r="AD90" i="15"/>
  <c r="AE90" i="15"/>
  <c r="AF90" i="15"/>
  <c r="AG90" i="15"/>
  <c r="AH90" i="15"/>
  <c r="AI90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BB90" i="15"/>
  <c r="BC90" i="15"/>
  <c r="BD90" i="15"/>
  <c r="BE90" i="15"/>
  <c r="BF90" i="15"/>
  <c r="BG90" i="15"/>
  <c r="BH90" i="15"/>
  <c r="BI90" i="15"/>
  <c r="BJ90" i="15"/>
  <c r="BK90" i="15"/>
  <c r="BL90" i="15"/>
  <c r="BM90" i="15"/>
  <c r="BN90" i="15"/>
  <c r="BO90" i="15"/>
  <c r="BP90" i="15"/>
  <c r="BQ90" i="15"/>
  <c r="BR90" i="15"/>
  <c r="BS90" i="15"/>
  <c r="BT90" i="15"/>
  <c r="BU90" i="15"/>
  <c r="BV90" i="15"/>
  <c r="BW90" i="15"/>
  <c r="BX90" i="15"/>
  <c r="BY90" i="15"/>
  <c r="BZ90" i="15"/>
  <c r="CA90" i="15"/>
  <c r="CB90" i="15"/>
  <c r="CC90" i="15"/>
  <c r="CD90" i="15"/>
  <c r="CE90" i="15"/>
  <c r="CF90" i="15"/>
  <c r="CG90" i="15"/>
  <c r="CH90" i="15"/>
  <c r="CI90" i="15"/>
  <c r="CJ90" i="15"/>
  <c r="CK90" i="15"/>
  <c r="CL90" i="15"/>
  <c r="CM90" i="15"/>
  <c r="CN90" i="15"/>
  <c r="CO90" i="15"/>
  <c r="A91" i="15"/>
  <c r="B91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AI91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BB91" i="15"/>
  <c r="BC91" i="15"/>
  <c r="BD91" i="15"/>
  <c r="BE91" i="15"/>
  <c r="BF91" i="15"/>
  <c r="BG91" i="15"/>
  <c r="BH91" i="15"/>
  <c r="BI91" i="15"/>
  <c r="BJ91" i="15"/>
  <c r="BK91" i="15"/>
  <c r="BL91" i="15"/>
  <c r="BM91" i="15"/>
  <c r="BN91" i="15"/>
  <c r="BO91" i="15"/>
  <c r="BP91" i="15"/>
  <c r="BQ91" i="15"/>
  <c r="BR91" i="15"/>
  <c r="BS91" i="15"/>
  <c r="BT91" i="15"/>
  <c r="BU91" i="15"/>
  <c r="BV91" i="15"/>
  <c r="BW91" i="15"/>
  <c r="BX91" i="15"/>
  <c r="BY91" i="15"/>
  <c r="BZ91" i="15"/>
  <c r="CA91" i="15"/>
  <c r="CB91" i="15"/>
  <c r="CC91" i="15"/>
  <c r="CD91" i="15"/>
  <c r="CE91" i="15"/>
  <c r="CF91" i="15"/>
  <c r="CG91" i="15"/>
  <c r="CH91" i="15"/>
  <c r="CI91" i="15"/>
  <c r="CJ91" i="15"/>
  <c r="CK91" i="15"/>
  <c r="CL91" i="15"/>
  <c r="CM91" i="15"/>
  <c r="CN91" i="15"/>
  <c r="CO91" i="15"/>
  <c r="A92" i="15"/>
  <c r="B92" i="15"/>
  <c r="C92" i="15"/>
  <c r="D92" i="15"/>
  <c r="E92" i="15"/>
  <c r="F92" i="15"/>
  <c r="G92" i="15"/>
  <c r="H92" i="15"/>
  <c r="I92" i="15"/>
  <c r="J92" i="15"/>
  <c r="K92" i="15"/>
  <c r="L92" i="15"/>
  <c r="M92" i="15"/>
  <c r="N92" i="15"/>
  <c r="O92" i="15"/>
  <c r="P92" i="15"/>
  <c r="Q92" i="15"/>
  <c r="R92" i="15"/>
  <c r="S92" i="15"/>
  <c r="T92" i="15"/>
  <c r="U92" i="15"/>
  <c r="V92" i="15"/>
  <c r="W92" i="15"/>
  <c r="X92" i="15"/>
  <c r="Y92" i="15"/>
  <c r="Z92" i="15"/>
  <c r="AA92" i="15"/>
  <c r="AB92" i="15"/>
  <c r="AC92" i="15"/>
  <c r="AD92" i="15"/>
  <c r="AE92" i="15"/>
  <c r="AF92" i="15"/>
  <c r="AG92" i="15"/>
  <c r="AH92" i="15"/>
  <c r="AI92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BB92" i="15"/>
  <c r="BC92" i="15"/>
  <c r="BD92" i="15"/>
  <c r="BE92" i="15"/>
  <c r="BF92" i="15"/>
  <c r="BG92" i="15"/>
  <c r="BH92" i="15"/>
  <c r="BI92" i="15"/>
  <c r="BJ92" i="15"/>
  <c r="BK92" i="15"/>
  <c r="BL92" i="15"/>
  <c r="BM92" i="15"/>
  <c r="BN92" i="15"/>
  <c r="BO92" i="15"/>
  <c r="BP92" i="15"/>
  <c r="BQ92" i="15"/>
  <c r="BR92" i="15"/>
  <c r="BS92" i="15"/>
  <c r="BT92" i="15"/>
  <c r="BU92" i="15"/>
  <c r="BV92" i="15"/>
  <c r="BW92" i="15"/>
  <c r="BX92" i="15"/>
  <c r="BY92" i="15"/>
  <c r="BZ92" i="15"/>
  <c r="CA92" i="15"/>
  <c r="CB92" i="15"/>
  <c r="CC92" i="15"/>
  <c r="CD92" i="15"/>
  <c r="CE92" i="15"/>
  <c r="CF92" i="15"/>
  <c r="CG92" i="15"/>
  <c r="CH92" i="15"/>
  <c r="CI92" i="15"/>
  <c r="CJ92" i="15"/>
  <c r="CK92" i="15"/>
  <c r="CL92" i="15"/>
  <c r="CM92" i="15"/>
  <c r="CN92" i="15"/>
  <c r="CO92" i="15"/>
  <c r="A93" i="15"/>
  <c r="B93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R93" i="15"/>
  <c r="S93" i="15"/>
  <c r="T93" i="15"/>
  <c r="U93" i="15"/>
  <c r="V93" i="15"/>
  <c r="W93" i="15"/>
  <c r="X93" i="15"/>
  <c r="Y93" i="15"/>
  <c r="Z93" i="15"/>
  <c r="AA93" i="15"/>
  <c r="AB93" i="15"/>
  <c r="AC93" i="15"/>
  <c r="AD93" i="15"/>
  <c r="AE93" i="15"/>
  <c r="AF93" i="15"/>
  <c r="AG93" i="15"/>
  <c r="AH93" i="15"/>
  <c r="AI93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BB93" i="15"/>
  <c r="BC93" i="15"/>
  <c r="BD93" i="15"/>
  <c r="BE93" i="15"/>
  <c r="BF93" i="15"/>
  <c r="BG93" i="15"/>
  <c r="BH93" i="15"/>
  <c r="BI93" i="15"/>
  <c r="BJ93" i="15"/>
  <c r="BK93" i="15"/>
  <c r="BL93" i="15"/>
  <c r="BM93" i="15"/>
  <c r="BN93" i="15"/>
  <c r="BO93" i="15"/>
  <c r="BP93" i="15"/>
  <c r="BQ93" i="15"/>
  <c r="BR93" i="15"/>
  <c r="BS93" i="15"/>
  <c r="BT93" i="15"/>
  <c r="BU93" i="15"/>
  <c r="BV93" i="15"/>
  <c r="BW93" i="15"/>
  <c r="BX93" i="15"/>
  <c r="BY93" i="15"/>
  <c r="BZ93" i="15"/>
  <c r="CA93" i="15"/>
  <c r="CB93" i="15"/>
  <c r="CC93" i="15"/>
  <c r="CD93" i="15"/>
  <c r="CE93" i="15"/>
  <c r="CF93" i="15"/>
  <c r="CG93" i="15"/>
  <c r="CH93" i="15"/>
  <c r="CI93" i="15"/>
  <c r="CJ93" i="15"/>
  <c r="CK93" i="15"/>
  <c r="CL93" i="15"/>
  <c r="CM93" i="15"/>
  <c r="CN93" i="15"/>
  <c r="CO93" i="15"/>
  <c r="A94" i="15"/>
  <c r="B94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T94" i="15"/>
  <c r="U94" i="15"/>
  <c r="V94" i="15"/>
  <c r="W94" i="15"/>
  <c r="X94" i="15"/>
  <c r="Y94" i="15"/>
  <c r="Z94" i="15"/>
  <c r="AA94" i="15"/>
  <c r="AB94" i="15"/>
  <c r="AC94" i="15"/>
  <c r="AD94" i="15"/>
  <c r="AE94" i="15"/>
  <c r="AF94" i="15"/>
  <c r="AG94" i="15"/>
  <c r="AH94" i="15"/>
  <c r="AI94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BB94" i="15"/>
  <c r="BC94" i="15"/>
  <c r="BD94" i="15"/>
  <c r="BE94" i="15"/>
  <c r="BF94" i="15"/>
  <c r="BG94" i="15"/>
  <c r="BH94" i="15"/>
  <c r="BI94" i="15"/>
  <c r="BJ94" i="15"/>
  <c r="BK94" i="15"/>
  <c r="BL94" i="15"/>
  <c r="BM94" i="15"/>
  <c r="BN94" i="15"/>
  <c r="BO94" i="15"/>
  <c r="BP94" i="15"/>
  <c r="BQ94" i="15"/>
  <c r="BR94" i="15"/>
  <c r="BS94" i="15"/>
  <c r="BT94" i="15"/>
  <c r="BU94" i="15"/>
  <c r="BV94" i="15"/>
  <c r="BW94" i="15"/>
  <c r="BX94" i="15"/>
  <c r="BY94" i="15"/>
  <c r="BZ94" i="15"/>
  <c r="CA94" i="15"/>
  <c r="CB94" i="15"/>
  <c r="CC94" i="15"/>
  <c r="CD94" i="15"/>
  <c r="CE94" i="15"/>
  <c r="CF94" i="15"/>
  <c r="CG94" i="15"/>
  <c r="CH94" i="15"/>
  <c r="CI94" i="15"/>
  <c r="CJ94" i="15"/>
  <c r="CK94" i="15"/>
  <c r="CL94" i="15"/>
  <c r="CM94" i="15"/>
  <c r="CN94" i="15"/>
  <c r="CO94" i="15"/>
  <c r="A95" i="15"/>
  <c r="B95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R95" i="15"/>
  <c r="S95" i="15"/>
  <c r="T95" i="15"/>
  <c r="U95" i="15"/>
  <c r="V95" i="15"/>
  <c r="W95" i="15"/>
  <c r="X95" i="15"/>
  <c r="Y95" i="15"/>
  <c r="Z95" i="15"/>
  <c r="AA95" i="15"/>
  <c r="AB95" i="15"/>
  <c r="AC95" i="15"/>
  <c r="AD95" i="15"/>
  <c r="AE95" i="15"/>
  <c r="AF95" i="15"/>
  <c r="AG95" i="15"/>
  <c r="AH95" i="15"/>
  <c r="AI95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BB95" i="15"/>
  <c r="BC95" i="15"/>
  <c r="BD95" i="15"/>
  <c r="BE95" i="15"/>
  <c r="BF95" i="15"/>
  <c r="BG95" i="15"/>
  <c r="BH95" i="15"/>
  <c r="BI95" i="15"/>
  <c r="BJ95" i="15"/>
  <c r="BK95" i="15"/>
  <c r="BL95" i="15"/>
  <c r="BM95" i="15"/>
  <c r="BN95" i="15"/>
  <c r="BO95" i="15"/>
  <c r="BP95" i="15"/>
  <c r="BQ95" i="15"/>
  <c r="BR95" i="15"/>
  <c r="BS95" i="15"/>
  <c r="BT95" i="15"/>
  <c r="BU95" i="15"/>
  <c r="BV95" i="15"/>
  <c r="BW95" i="15"/>
  <c r="BX95" i="15"/>
  <c r="BY95" i="15"/>
  <c r="BZ95" i="15"/>
  <c r="CA95" i="15"/>
  <c r="CB95" i="15"/>
  <c r="CC95" i="15"/>
  <c r="CD95" i="15"/>
  <c r="CE95" i="15"/>
  <c r="CF95" i="15"/>
  <c r="CG95" i="15"/>
  <c r="CH95" i="15"/>
  <c r="CI95" i="15"/>
  <c r="CJ95" i="15"/>
  <c r="CK95" i="15"/>
  <c r="CL95" i="15"/>
  <c r="CM95" i="15"/>
  <c r="CN95" i="15"/>
  <c r="CO95" i="15"/>
  <c r="A96" i="15"/>
  <c r="B96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R96" i="15"/>
  <c r="S96" i="15"/>
  <c r="T96" i="15"/>
  <c r="U96" i="15"/>
  <c r="V96" i="15"/>
  <c r="W96" i="15"/>
  <c r="X96" i="15"/>
  <c r="Y96" i="15"/>
  <c r="Z96" i="15"/>
  <c r="AA96" i="15"/>
  <c r="AB96" i="15"/>
  <c r="AC96" i="15"/>
  <c r="AD96" i="15"/>
  <c r="AE96" i="15"/>
  <c r="AF96" i="15"/>
  <c r="AG96" i="15"/>
  <c r="AH96" i="15"/>
  <c r="AI96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BB96" i="15"/>
  <c r="BC96" i="15"/>
  <c r="BD96" i="15"/>
  <c r="BE96" i="15"/>
  <c r="BF96" i="15"/>
  <c r="BG96" i="15"/>
  <c r="BH96" i="15"/>
  <c r="BI96" i="15"/>
  <c r="BJ96" i="15"/>
  <c r="BK96" i="15"/>
  <c r="BL96" i="15"/>
  <c r="BM96" i="15"/>
  <c r="BN96" i="15"/>
  <c r="BO96" i="15"/>
  <c r="BP96" i="15"/>
  <c r="BQ96" i="15"/>
  <c r="BR96" i="15"/>
  <c r="BS96" i="15"/>
  <c r="BT96" i="15"/>
  <c r="BU96" i="15"/>
  <c r="BV96" i="15"/>
  <c r="BW96" i="15"/>
  <c r="BX96" i="15"/>
  <c r="BY96" i="15"/>
  <c r="BZ96" i="15"/>
  <c r="CA96" i="15"/>
  <c r="CB96" i="15"/>
  <c r="CC96" i="15"/>
  <c r="CD96" i="15"/>
  <c r="CE96" i="15"/>
  <c r="CF96" i="15"/>
  <c r="CG96" i="15"/>
  <c r="CH96" i="15"/>
  <c r="CI96" i="15"/>
  <c r="CJ96" i="15"/>
  <c r="CK96" i="15"/>
  <c r="CL96" i="15"/>
  <c r="CM96" i="15"/>
  <c r="CN96" i="15"/>
  <c r="CO96" i="15"/>
  <c r="A97" i="15"/>
  <c r="B97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X97" i="15"/>
  <c r="Y97" i="15"/>
  <c r="Z97" i="15"/>
  <c r="AA97" i="15"/>
  <c r="AB97" i="15"/>
  <c r="AC97" i="15"/>
  <c r="AD97" i="15"/>
  <c r="AE97" i="15"/>
  <c r="AF97" i="15"/>
  <c r="AG97" i="15"/>
  <c r="AH97" i="15"/>
  <c r="AI97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BB97" i="15"/>
  <c r="BC97" i="15"/>
  <c r="BD97" i="15"/>
  <c r="BE97" i="15"/>
  <c r="BF97" i="15"/>
  <c r="BG97" i="15"/>
  <c r="BH97" i="15"/>
  <c r="BI97" i="15"/>
  <c r="BJ97" i="15"/>
  <c r="BK97" i="15"/>
  <c r="BL97" i="15"/>
  <c r="BM97" i="15"/>
  <c r="BN97" i="15"/>
  <c r="BO97" i="15"/>
  <c r="BP97" i="15"/>
  <c r="BQ97" i="15"/>
  <c r="BR97" i="15"/>
  <c r="BS97" i="15"/>
  <c r="BT97" i="15"/>
  <c r="BU97" i="15"/>
  <c r="BV97" i="15"/>
  <c r="BW97" i="15"/>
  <c r="BX97" i="15"/>
  <c r="BY97" i="15"/>
  <c r="BZ97" i="15"/>
  <c r="CA97" i="15"/>
  <c r="CB97" i="15"/>
  <c r="CC97" i="15"/>
  <c r="CD97" i="15"/>
  <c r="CE97" i="15"/>
  <c r="CF97" i="15"/>
  <c r="CG97" i="15"/>
  <c r="CH97" i="15"/>
  <c r="CI97" i="15"/>
  <c r="CJ97" i="15"/>
  <c r="CK97" i="15"/>
  <c r="CL97" i="15"/>
  <c r="CM97" i="15"/>
  <c r="CN97" i="15"/>
  <c r="CO97" i="15"/>
  <c r="A98" i="15"/>
  <c r="B98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R98" i="15"/>
  <c r="S98" i="15"/>
  <c r="T98" i="15"/>
  <c r="U98" i="15"/>
  <c r="V98" i="15"/>
  <c r="W98" i="15"/>
  <c r="X98" i="15"/>
  <c r="Y98" i="15"/>
  <c r="Z98" i="15"/>
  <c r="AA98" i="15"/>
  <c r="AB98" i="15"/>
  <c r="AC98" i="15"/>
  <c r="AD98" i="15"/>
  <c r="AE98" i="15"/>
  <c r="AF98" i="15"/>
  <c r="AG98" i="15"/>
  <c r="AH98" i="15"/>
  <c r="AI98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BB98" i="15"/>
  <c r="BC98" i="15"/>
  <c r="BD98" i="15"/>
  <c r="BE98" i="15"/>
  <c r="BF98" i="15"/>
  <c r="BG98" i="15"/>
  <c r="BH98" i="15"/>
  <c r="BI98" i="15"/>
  <c r="BJ98" i="15"/>
  <c r="BK98" i="15"/>
  <c r="BL98" i="15"/>
  <c r="BM98" i="15"/>
  <c r="BN98" i="15"/>
  <c r="BO98" i="15"/>
  <c r="BP98" i="15"/>
  <c r="BQ98" i="15"/>
  <c r="BR98" i="15"/>
  <c r="BS98" i="15"/>
  <c r="BT98" i="15"/>
  <c r="BU98" i="15"/>
  <c r="BV98" i="15"/>
  <c r="BW98" i="15"/>
  <c r="BX98" i="15"/>
  <c r="BY98" i="15"/>
  <c r="BZ98" i="15"/>
  <c r="CA98" i="15"/>
  <c r="CB98" i="15"/>
  <c r="CC98" i="15"/>
  <c r="CD98" i="15"/>
  <c r="CE98" i="15"/>
  <c r="CF98" i="15"/>
  <c r="CG98" i="15"/>
  <c r="CH98" i="15"/>
  <c r="CI98" i="15"/>
  <c r="CJ98" i="15"/>
  <c r="CK98" i="15"/>
  <c r="CL98" i="15"/>
  <c r="CM98" i="15"/>
  <c r="CN98" i="15"/>
  <c r="CO98" i="15"/>
  <c r="A99" i="15"/>
  <c r="B99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T99" i="15"/>
  <c r="U99" i="15"/>
  <c r="V99" i="15"/>
  <c r="W99" i="15"/>
  <c r="X99" i="15"/>
  <c r="Y99" i="15"/>
  <c r="Z99" i="15"/>
  <c r="AA99" i="15"/>
  <c r="AB99" i="15"/>
  <c r="AC99" i="15"/>
  <c r="AD99" i="15"/>
  <c r="AE99" i="15"/>
  <c r="AF99" i="15"/>
  <c r="AG99" i="15"/>
  <c r="AH99" i="15"/>
  <c r="AI99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BB99" i="15"/>
  <c r="BC99" i="15"/>
  <c r="BD99" i="15"/>
  <c r="BE99" i="15"/>
  <c r="BF99" i="15"/>
  <c r="BG99" i="15"/>
  <c r="BH99" i="15"/>
  <c r="BI99" i="15"/>
  <c r="BJ99" i="15"/>
  <c r="BK99" i="15"/>
  <c r="BL99" i="15"/>
  <c r="BM99" i="15"/>
  <c r="BN99" i="15"/>
  <c r="BO99" i="15"/>
  <c r="BP99" i="15"/>
  <c r="BQ99" i="15"/>
  <c r="BR99" i="15"/>
  <c r="BS99" i="15"/>
  <c r="BT99" i="15"/>
  <c r="BU99" i="15"/>
  <c r="BV99" i="15"/>
  <c r="BW99" i="15"/>
  <c r="BX99" i="15"/>
  <c r="BY99" i="15"/>
  <c r="BZ99" i="15"/>
  <c r="CA99" i="15"/>
  <c r="CB99" i="15"/>
  <c r="CC99" i="15"/>
  <c r="CD99" i="15"/>
  <c r="CE99" i="15"/>
  <c r="CF99" i="15"/>
  <c r="CG99" i="15"/>
  <c r="CH99" i="15"/>
  <c r="CI99" i="15"/>
  <c r="CJ99" i="15"/>
  <c r="CK99" i="15"/>
  <c r="CL99" i="15"/>
  <c r="CM99" i="15"/>
  <c r="CN99" i="15"/>
  <c r="CO99" i="15"/>
  <c r="A100" i="15"/>
  <c r="B100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T100" i="15"/>
  <c r="U100" i="15"/>
  <c r="V100" i="15"/>
  <c r="W100" i="15"/>
  <c r="X100" i="15"/>
  <c r="Y100" i="15"/>
  <c r="Z100" i="15"/>
  <c r="AA100" i="15"/>
  <c r="AB100" i="15"/>
  <c r="AC100" i="15"/>
  <c r="AD100" i="15"/>
  <c r="AE100" i="15"/>
  <c r="AF100" i="15"/>
  <c r="AG100" i="15"/>
  <c r="AH100" i="15"/>
  <c r="AI100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BB100" i="15"/>
  <c r="BC100" i="15"/>
  <c r="BD100" i="15"/>
  <c r="BE100" i="15"/>
  <c r="BF100" i="15"/>
  <c r="BG100" i="15"/>
  <c r="BH100" i="15"/>
  <c r="BI100" i="15"/>
  <c r="BJ100" i="15"/>
  <c r="BK100" i="15"/>
  <c r="BL100" i="15"/>
  <c r="BM100" i="15"/>
  <c r="BN100" i="15"/>
  <c r="BO100" i="15"/>
  <c r="BP100" i="15"/>
  <c r="BQ100" i="15"/>
  <c r="BR100" i="15"/>
  <c r="BS100" i="15"/>
  <c r="BT100" i="15"/>
  <c r="BU100" i="15"/>
  <c r="BV100" i="15"/>
  <c r="BW100" i="15"/>
  <c r="BX100" i="15"/>
  <c r="BY100" i="15"/>
  <c r="BZ100" i="15"/>
  <c r="CA100" i="15"/>
  <c r="CB100" i="15"/>
  <c r="CC100" i="15"/>
  <c r="CD100" i="15"/>
  <c r="CE100" i="15"/>
  <c r="CF100" i="15"/>
  <c r="CG100" i="15"/>
  <c r="CH100" i="15"/>
  <c r="CI100" i="15"/>
  <c r="CJ100" i="15"/>
  <c r="CK100" i="15"/>
  <c r="CL100" i="15"/>
  <c r="CM100" i="15"/>
  <c r="CN100" i="15"/>
  <c r="CO100" i="15"/>
  <c r="A101" i="15"/>
  <c r="B101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T101" i="15"/>
  <c r="U101" i="15"/>
  <c r="V101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AI101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BB101" i="15"/>
  <c r="BC101" i="15"/>
  <c r="BD101" i="15"/>
  <c r="BE101" i="15"/>
  <c r="BF101" i="15"/>
  <c r="BG101" i="15"/>
  <c r="BH101" i="15"/>
  <c r="BI101" i="15"/>
  <c r="BJ101" i="15"/>
  <c r="BK101" i="15"/>
  <c r="BL101" i="15"/>
  <c r="BM101" i="15"/>
  <c r="BN101" i="15"/>
  <c r="BO101" i="15"/>
  <c r="BP101" i="15"/>
  <c r="BQ101" i="15"/>
  <c r="BR101" i="15"/>
  <c r="BS101" i="15"/>
  <c r="BT101" i="15"/>
  <c r="BU101" i="15"/>
  <c r="BV101" i="15"/>
  <c r="BW101" i="15"/>
  <c r="BX101" i="15"/>
  <c r="BY101" i="15"/>
  <c r="BZ101" i="15"/>
  <c r="CA101" i="15"/>
  <c r="CB101" i="15"/>
  <c r="CC101" i="15"/>
  <c r="CD101" i="15"/>
  <c r="CE101" i="15"/>
  <c r="CF101" i="15"/>
  <c r="CG101" i="15"/>
  <c r="CH101" i="15"/>
  <c r="CI101" i="15"/>
  <c r="CJ101" i="15"/>
  <c r="CK101" i="15"/>
  <c r="CL101" i="15"/>
  <c r="CM101" i="15"/>
  <c r="CN101" i="15"/>
  <c r="CO101" i="15"/>
  <c r="A102" i="15"/>
  <c r="B102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R102" i="15"/>
  <c r="S102" i="15"/>
  <c r="T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AI102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BB102" i="15"/>
  <c r="BC102" i="15"/>
  <c r="BD102" i="15"/>
  <c r="BE102" i="15"/>
  <c r="BF102" i="15"/>
  <c r="BG102" i="15"/>
  <c r="BH102" i="15"/>
  <c r="BI102" i="15"/>
  <c r="BJ102" i="15"/>
  <c r="BK102" i="15"/>
  <c r="BL102" i="15"/>
  <c r="BM102" i="15"/>
  <c r="BN102" i="15"/>
  <c r="BO102" i="15"/>
  <c r="BP102" i="15"/>
  <c r="BQ102" i="15"/>
  <c r="BR102" i="15"/>
  <c r="BS102" i="15"/>
  <c r="BT102" i="15"/>
  <c r="BU102" i="15"/>
  <c r="BV102" i="15"/>
  <c r="BW102" i="15"/>
  <c r="BX102" i="15"/>
  <c r="BY102" i="15"/>
  <c r="BZ102" i="15"/>
  <c r="CA102" i="15"/>
  <c r="CB102" i="15"/>
  <c r="CC102" i="15"/>
  <c r="CD102" i="15"/>
  <c r="CE102" i="15"/>
  <c r="CF102" i="15"/>
  <c r="CG102" i="15"/>
  <c r="CH102" i="15"/>
  <c r="CI102" i="15"/>
  <c r="CJ102" i="15"/>
  <c r="CK102" i="15"/>
  <c r="CL102" i="15"/>
  <c r="CM102" i="15"/>
  <c r="CN102" i="15"/>
  <c r="CO102" i="15"/>
  <c r="A103" i="15"/>
  <c r="B103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BB103" i="15"/>
  <c r="BC103" i="15"/>
  <c r="BD103" i="15"/>
  <c r="BE103" i="15"/>
  <c r="BF103" i="15"/>
  <c r="BG103" i="15"/>
  <c r="BH103" i="15"/>
  <c r="BI103" i="15"/>
  <c r="BJ103" i="15"/>
  <c r="BK103" i="15"/>
  <c r="BL103" i="15"/>
  <c r="BM103" i="15"/>
  <c r="BN103" i="15"/>
  <c r="BO103" i="15"/>
  <c r="BP103" i="15"/>
  <c r="BQ103" i="15"/>
  <c r="BR103" i="15"/>
  <c r="BS103" i="15"/>
  <c r="BT103" i="15"/>
  <c r="BU103" i="15"/>
  <c r="BV103" i="15"/>
  <c r="BW103" i="15"/>
  <c r="BX103" i="15"/>
  <c r="BY103" i="15"/>
  <c r="BZ103" i="15"/>
  <c r="CA103" i="15"/>
  <c r="CB103" i="15"/>
  <c r="CC103" i="15"/>
  <c r="CD103" i="15"/>
  <c r="CE103" i="15"/>
  <c r="CF103" i="15"/>
  <c r="CG103" i="15"/>
  <c r="CH103" i="15"/>
  <c r="CI103" i="15"/>
  <c r="CJ103" i="15"/>
  <c r="CK103" i="15"/>
  <c r="CL103" i="15"/>
  <c r="CM103" i="15"/>
  <c r="CN103" i="15"/>
  <c r="CO103" i="15"/>
  <c r="A104" i="15"/>
  <c r="B104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T104" i="15"/>
  <c r="U104" i="15"/>
  <c r="V104" i="15"/>
  <c r="W104" i="15"/>
  <c r="X104" i="15"/>
  <c r="Y104" i="15"/>
  <c r="Z104" i="15"/>
  <c r="AA104" i="15"/>
  <c r="AB104" i="15"/>
  <c r="AC104" i="15"/>
  <c r="AD104" i="15"/>
  <c r="AE104" i="15"/>
  <c r="AF104" i="15"/>
  <c r="AG104" i="15"/>
  <c r="AH104" i="15"/>
  <c r="AI104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BB104" i="15"/>
  <c r="BC104" i="15"/>
  <c r="BD104" i="15"/>
  <c r="BE104" i="15"/>
  <c r="BF104" i="15"/>
  <c r="BG104" i="15"/>
  <c r="BH104" i="15"/>
  <c r="BI104" i="15"/>
  <c r="BJ104" i="15"/>
  <c r="BK104" i="15"/>
  <c r="BL104" i="15"/>
  <c r="BM104" i="15"/>
  <c r="BN104" i="15"/>
  <c r="BO104" i="15"/>
  <c r="BP104" i="15"/>
  <c r="BQ104" i="15"/>
  <c r="BR104" i="15"/>
  <c r="BS104" i="15"/>
  <c r="BT104" i="15"/>
  <c r="BU104" i="15"/>
  <c r="BV104" i="15"/>
  <c r="BW104" i="15"/>
  <c r="BX104" i="15"/>
  <c r="BY104" i="15"/>
  <c r="BZ104" i="15"/>
  <c r="CA104" i="15"/>
  <c r="CB104" i="15"/>
  <c r="CC104" i="15"/>
  <c r="CD104" i="15"/>
  <c r="CE104" i="15"/>
  <c r="CF104" i="15"/>
  <c r="CG104" i="15"/>
  <c r="CH104" i="15"/>
  <c r="CI104" i="15"/>
  <c r="CJ104" i="15"/>
  <c r="CK104" i="15"/>
  <c r="CL104" i="15"/>
  <c r="CM104" i="15"/>
  <c r="CN104" i="15"/>
  <c r="CO104" i="15"/>
  <c r="A105" i="15"/>
  <c r="B105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T105" i="15"/>
  <c r="U105" i="15"/>
  <c r="V105" i="15"/>
  <c r="W105" i="15"/>
  <c r="X105" i="15"/>
  <c r="Y105" i="15"/>
  <c r="Z105" i="15"/>
  <c r="AA105" i="15"/>
  <c r="AB105" i="15"/>
  <c r="AC105" i="15"/>
  <c r="AD105" i="15"/>
  <c r="AE105" i="15"/>
  <c r="AF105" i="15"/>
  <c r="AG105" i="15"/>
  <c r="AH105" i="15"/>
  <c r="AI105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BB105" i="15"/>
  <c r="BC105" i="15"/>
  <c r="BD105" i="15"/>
  <c r="BE105" i="15"/>
  <c r="BF105" i="15"/>
  <c r="BG105" i="15"/>
  <c r="BH105" i="15"/>
  <c r="BI105" i="15"/>
  <c r="BJ105" i="15"/>
  <c r="BK105" i="15"/>
  <c r="BL105" i="15"/>
  <c r="BM105" i="15"/>
  <c r="BN105" i="15"/>
  <c r="BO105" i="15"/>
  <c r="BP105" i="15"/>
  <c r="BQ105" i="15"/>
  <c r="BR105" i="15"/>
  <c r="BS105" i="15"/>
  <c r="BT105" i="15"/>
  <c r="BU105" i="15"/>
  <c r="BV105" i="15"/>
  <c r="BW105" i="15"/>
  <c r="BX105" i="15"/>
  <c r="BY105" i="15"/>
  <c r="BZ105" i="15"/>
  <c r="CA105" i="15"/>
  <c r="CB105" i="15"/>
  <c r="CC105" i="15"/>
  <c r="CD105" i="15"/>
  <c r="CE105" i="15"/>
  <c r="CF105" i="15"/>
  <c r="CG105" i="15"/>
  <c r="CH105" i="15"/>
  <c r="CI105" i="15"/>
  <c r="CJ105" i="15"/>
  <c r="CK105" i="15"/>
  <c r="CL105" i="15"/>
  <c r="CM105" i="15"/>
  <c r="CN105" i="15"/>
  <c r="CO105" i="15"/>
  <c r="A106" i="15"/>
  <c r="B106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T106" i="15"/>
  <c r="U106" i="15"/>
  <c r="V106" i="15"/>
  <c r="W106" i="15"/>
  <c r="X106" i="15"/>
  <c r="Y106" i="15"/>
  <c r="Z106" i="15"/>
  <c r="AA106" i="15"/>
  <c r="AB106" i="15"/>
  <c r="AC106" i="15"/>
  <c r="AD106" i="15"/>
  <c r="AE106" i="15"/>
  <c r="AF106" i="15"/>
  <c r="AG106" i="15"/>
  <c r="AH106" i="15"/>
  <c r="AI106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BB106" i="15"/>
  <c r="BC106" i="15"/>
  <c r="BD106" i="15"/>
  <c r="BE106" i="15"/>
  <c r="BF106" i="15"/>
  <c r="BG106" i="15"/>
  <c r="BH106" i="15"/>
  <c r="BI106" i="15"/>
  <c r="BJ106" i="15"/>
  <c r="BK106" i="15"/>
  <c r="BL106" i="15"/>
  <c r="BM106" i="15"/>
  <c r="BN106" i="15"/>
  <c r="BO106" i="15"/>
  <c r="BP106" i="15"/>
  <c r="BQ106" i="15"/>
  <c r="BR106" i="15"/>
  <c r="BS106" i="15"/>
  <c r="BT106" i="15"/>
  <c r="BU106" i="15"/>
  <c r="BV106" i="15"/>
  <c r="BW106" i="15"/>
  <c r="BX106" i="15"/>
  <c r="BY106" i="15"/>
  <c r="BZ106" i="15"/>
  <c r="CA106" i="15"/>
  <c r="CB106" i="15"/>
  <c r="CC106" i="15"/>
  <c r="CD106" i="15"/>
  <c r="CE106" i="15"/>
  <c r="CF106" i="15"/>
  <c r="CG106" i="15"/>
  <c r="CH106" i="15"/>
  <c r="CI106" i="15"/>
  <c r="CJ106" i="15"/>
  <c r="CK106" i="15"/>
  <c r="CL106" i="15"/>
  <c r="CM106" i="15"/>
  <c r="CN106" i="15"/>
  <c r="CO106" i="15"/>
  <c r="A107" i="15"/>
  <c r="B107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Q107" i="15"/>
  <c r="R107" i="15"/>
  <c r="S107" i="15"/>
  <c r="T107" i="15"/>
  <c r="U107" i="15"/>
  <c r="V107" i="15"/>
  <c r="W107" i="15"/>
  <c r="X107" i="15"/>
  <c r="Y107" i="15"/>
  <c r="Z107" i="15"/>
  <c r="AA107" i="15"/>
  <c r="AB107" i="15"/>
  <c r="AC107" i="15"/>
  <c r="AD107" i="15"/>
  <c r="AE107" i="15"/>
  <c r="AF107" i="15"/>
  <c r="AG107" i="15"/>
  <c r="AH107" i="15"/>
  <c r="AI107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BB107" i="15"/>
  <c r="BC107" i="15"/>
  <c r="BD107" i="15"/>
  <c r="BE107" i="15"/>
  <c r="BF107" i="15"/>
  <c r="BG107" i="15"/>
  <c r="BH107" i="15"/>
  <c r="BI107" i="15"/>
  <c r="BJ107" i="15"/>
  <c r="BK107" i="15"/>
  <c r="BL107" i="15"/>
  <c r="BM107" i="15"/>
  <c r="BN107" i="15"/>
  <c r="BO107" i="15"/>
  <c r="BP107" i="15"/>
  <c r="BQ107" i="15"/>
  <c r="BR107" i="15"/>
  <c r="BS107" i="15"/>
  <c r="BT107" i="15"/>
  <c r="BU107" i="15"/>
  <c r="BV107" i="15"/>
  <c r="BW107" i="15"/>
  <c r="BX107" i="15"/>
  <c r="BY107" i="15"/>
  <c r="BZ107" i="15"/>
  <c r="CA107" i="15"/>
  <c r="CB107" i="15"/>
  <c r="CC107" i="15"/>
  <c r="CD107" i="15"/>
  <c r="CE107" i="15"/>
  <c r="CF107" i="15"/>
  <c r="CG107" i="15"/>
  <c r="CH107" i="15"/>
  <c r="CI107" i="15"/>
  <c r="CJ107" i="15"/>
  <c r="CK107" i="15"/>
  <c r="CL107" i="15"/>
  <c r="CM107" i="15"/>
  <c r="CN107" i="15"/>
  <c r="CO107" i="15"/>
  <c r="A108" i="15"/>
  <c r="B108" i="15"/>
  <c r="C108" i="15"/>
  <c r="D108" i="15"/>
  <c r="E108" i="15"/>
  <c r="F108" i="15"/>
  <c r="G108" i="15"/>
  <c r="H108" i="15"/>
  <c r="I108" i="15"/>
  <c r="J108" i="15"/>
  <c r="K108" i="15"/>
  <c r="L108" i="15"/>
  <c r="M108" i="15"/>
  <c r="N108" i="15"/>
  <c r="O108" i="15"/>
  <c r="P108" i="15"/>
  <c r="Q108" i="15"/>
  <c r="R108" i="15"/>
  <c r="S108" i="15"/>
  <c r="T108" i="15"/>
  <c r="U108" i="15"/>
  <c r="V108" i="15"/>
  <c r="W108" i="15"/>
  <c r="X108" i="15"/>
  <c r="Y108" i="15"/>
  <c r="Z108" i="15"/>
  <c r="AA108" i="15"/>
  <c r="AB108" i="15"/>
  <c r="AC108" i="15"/>
  <c r="AD108" i="15"/>
  <c r="AE108" i="15"/>
  <c r="AF108" i="15"/>
  <c r="AG108" i="15"/>
  <c r="AH108" i="15"/>
  <c r="AI108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BB108" i="15"/>
  <c r="BC108" i="15"/>
  <c r="BD108" i="15"/>
  <c r="BE108" i="15"/>
  <c r="BF108" i="15"/>
  <c r="BG108" i="15"/>
  <c r="BH108" i="15"/>
  <c r="BI108" i="15"/>
  <c r="BJ108" i="15"/>
  <c r="BK108" i="15"/>
  <c r="BL108" i="15"/>
  <c r="BM108" i="15"/>
  <c r="BN108" i="15"/>
  <c r="BO108" i="15"/>
  <c r="BP108" i="15"/>
  <c r="BQ108" i="15"/>
  <c r="BR108" i="15"/>
  <c r="BS108" i="15"/>
  <c r="BT108" i="15"/>
  <c r="BU108" i="15"/>
  <c r="BV108" i="15"/>
  <c r="BW108" i="15"/>
  <c r="BX108" i="15"/>
  <c r="BY108" i="15"/>
  <c r="BZ108" i="15"/>
  <c r="CA108" i="15"/>
  <c r="CB108" i="15"/>
  <c r="CC108" i="15"/>
  <c r="CD108" i="15"/>
  <c r="CE108" i="15"/>
  <c r="CF108" i="15"/>
  <c r="CG108" i="15"/>
  <c r="CH108" i="15"/>
  <c r="CI108" i="15"/>
  <c r="CJ108" i="15"/>
  <c r="CK108" i="15"/>
  <c r="CL108" i="15"/>
  <c r="CM108" i="15"/>
  <c r="CN108" i="15"/>
  <c r="CO108" i="15"/>
  <c r="A109" i="15"/>
  <c r="B109" i="15"/>
  <c r="C109" i="15"/>
  <c r="D109" i="15"/>
  <c r="E109" i="15"/>
  <c r="F109" i="15"/>
  <c r="G109" i="15"/>
  <c r="H109" i="15"/>
  <c r="I109" i="15"/>
  <c r="J109" i="15"/>
  <c r="K109" i="15"/>
  <c r="L109" i="15"/>
  <c r="M109" i="15"/>
  <c r="N109" i="15"/>
  <c r="O109" i="15"/>
  <c r="P109" i="15"/>
  <c r="Q109" i="15"/>
  <c r="R109" i="15"/>
  <c r="S109" i="15"/>
  <c r="T109" i="15"/>
  <c r="U109" i="15"/>
  <c r="V109" i="15"/>
  <c r="W109" i="15"/>
  <c r="X109" i="15"/>
  <c r="Y109" i="15"/>
  <c r="Z109" i="15"/>
  <c r="AA109" i="15"/>
  <c r="AB109" i="15"/>
  <c r="AC109" i="15"/>
  <c r="AD109" i="15"/>
  <c r="AE109" i="15"/>
  <c r="AF109" i="15"/>
  <c r="AG109" i="15"/>
  <c r="AH109" i="15"/>
  <c r="AI109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BB109" i="15"/>
  <c r="BC109" i="15"/>
  <c r="BD109" i="15"/>
  <c r="BE109" i="15"/>
  <c r="BF109" i="15"/>
  <c r="BG109" i="15"/>
  <c r="BH109" i="15"/>
  <c r="BI109" i="15"/>
  <c r="BJ109" i="15"/>
  <c r="BK109" i="15"/>
  <c r="BL109" i="15"/>
  <c r="BM109" i="15"/>
  <c r="BN109" i="15"/>
  <c r="BO109" i="15"/>
  <c r="BP109" i="15"/>
  <c r="BQ109" i="15"/>
  <c r="BR109" i="15"/>
  <c r="BS109" i="15"/>
  <c r="BT109" i="15"/>
  <c r="BU109" i="15"/>
  <c r="BV109" i="15"/>
  <c r="BW109" i="15"/>
  <c r="BX109" i="15"/>
  <c r="BY109" i="15"/>
  <c r="BZ109" i="15"/>
  <c r="CA109" i="15"/>
  <c r="CB109" i="15"/>
  <c r="CC109" i="15"/>
  <c r="CD109" i="15"/>
  <c r="CE109" i="15"/>
  <c r="CF109" i="15"/>
  <c r="CG109" i="15"/>
  <c r="CH109" i="15"/>
  <c r="CI109" i="15"/>
  <c r="CJ109" i="15"/>
  <c r="CK109" i="15"/>
  <c r="CL109" i="15"/>
  <c r="CM109" i="15"/>
  <c r="CN109" i="15"/>
  <c r="CO109" i="15"/>
  <c r="A110" i="15"/>
  <c r="B110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O110" i="15"/>
  <c r="P110" i="15"/>
  <c r="Q110" i="15"/>
  <c r="R110" i="15"/>
  <c r="S110" i="15"/>
  <c r="T110" i="15"/>
  <c r="U110" i="15"/>
  <c r="V110" i="15"/>
  <c r="W110" i="15"/>
  <c r="X110" i="15"/>
  <c r="Y110" i="15"/>
  <c r="Z110" i="15"/>
  <c r="AA110" i="15"/>
  <c r="AB110" i="15"/>
  <c r="AC110" i="15"/>
  <c r="AD110" i="15"/>
  <c r="AE110" i="15"/>
  <c r="AF110" i="15"/>
  <c r="AG110" i="15"/>
  <c r="AH110" i="15"/>
  <c r="AI110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BB110" i="15"/>
  <c r="BC110" i="15"/>
  <c r="BD110" i="15"/>
  <c r="BE110" i="15"/>
  <c r="BF110" i="15"/>
  <c r="BG110" i="15"/>
  <c r="BH110" i="15"/>
  <c r="BI110" i="15"/>
  <c r="BJ110" i="15"/>
  <c r="BK110" i="15"/>
  <c r="BL110" i="15"/>
  <c r="BM110" i="15"/>
  <c r="BN110" i="15"/>
  <c r="BO110" i="15"/>
  <c r="BP110" i="15"/>
  <c r="BQ110" i="15"/>
  <c r="BR110" i="15"/>
  <c r="BS110" i="15"/>
  <c r="BT110" i="15"/>
  <c r="BU110" i="15"/>
  <c r="BV110" i="15"/>
  <c r="BW110" i="15"/>
  <c r="BX110" i="15"/>
  <c r="BY110" i="15"/>
  <c r="BZ110" i="15"/>
  <c r="CA110" i="15"/>
  <c r="CB110" i="15"/>
  <c r="CC110" i="15"/>
  <c r="CD110" i="15"/>
  <c r="CE110" i="15"/>
  <c r="CF110" i="15"/>
  <c r="CG110" i="15"/>
  <c r="CH110" i="15"/>
  <c r="CI110" i="15"/>
  <c r="CJ110" i="15"/>
  <c r="CK110" i="15"/>
  <c r="CL110" i="15"/>
  <c r="CM110" i="15"/>
  <c r="CN110" i="15"/>
  <c r="CO110" i="15"/>
  <c r="A111" i="15"/>
  <c r="B111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T111" i="15"/>
  <c r="U111" i="15"/>
  <c r="V111" i="15"/>
  <c r="W111" i="15"/>
  <c r="X111" i="15"/>
  <c r="Y111" i="15"/>
  <c r="Z111" i="15"/>
  <c r="AA111" i="15"/>
  <c r="AB111" i="15"/>
  <c r="AC111" i="15"/>
  <c r="AD111" i="15"/>
  <c r="AE111" i="15"/>
  <c r="AF111" i="15"/>
  <c r="AG111" i="15"/>
  <c r="AH111" i="15"/>
  <c r="AI111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BB111" i="15"/>
  <c r="BC111" i="15"/>
  <c r="BD111" i="15"/>
  <c r="BE111" i="15"/>
  <c r="BF111" i="15"/>
  <c r="BG111" i="15"/>
  <c r="BH111" i="15"/>
  <c r="BI111" i="15"/>
  <c r="BJ111" i="15"/>
  <c r="BK111" i="15"/>
  <c r="BL111" i="15"/>
  <c r="BM111" i="15"/>
  <c r="BN111" i="15"/>
  <c r="BO111" i="15"/>
  <c r="BP111" i="15"/>
  <c r="BQ111" i="15"/>
  <c r="BR111" i="15"/>
  <c r="BS111" i="15"/>
  <c r="BT111" i="15"/>
  <c r="BU111" i="15"/>
  <c r="BV111" i="15"/>
  <c r="BW111" i="15"/>
  <c r="BX111" i="15"/>
  <c r="BY111" i="15"/>
  <c r="BZ111" i="15"/>
  <c r="CA111" i="15"/>
  <c r="CB111" i="15"/>
  <c r="CC111" i="15"/>
  <c r="CD111" i="15"/>
  <c r="CE111" i="15"/>
  <c r="CF111" i="15"/>
  <c r="CG111" i="15"/>
  <c r="CH111" i="15"/>
  <c r="CI111" i="15"/>
  <c r="CJ111" i="15"/>
  <c r="CK111" i="15"/>
  <c r="CL111" i="15"/>
  <c r="CM111" i="15"/>
  <c r="CN111" i="15"/>
  <c r="CO111" i="15"/>
  <c r="A112" i="15"/>
  <c r="B112" i="15"/>
  <c r="C112" i="15"/>
  <c r="D112" i="15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T112" i="15"/>
  <c r="U112" i="15"/>
  <c r="V112" i="15"/>
  <c r="W112" i="15"/>
  <c r="X112" i="15"/>
  <c r="Y112" i="15"/>
  <c r="Z112" i="15"/>
  <c r="AA112" i="15"/>
  <c r="AB112" i="15"/>
  <c r="AC112" i="15"/>
  <c r="AD112" i="15"/>
  <c r="AE112" i="15"/>
  <c r="AF112" i="15"/>
  <c r="AG112" i="15"/>
  <c r="AH112" i="15"/>
  <c r="AI112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BB112" i="15"/>
  <c r="BC112" i="15"/>
  <c r="BD112" i="15"/>
  <c r="BE112" i="15"/>
  <c r="BF112" i="15"/>
  <c r="BG112" i="15"/>
  <c r="BH112" i="15"/>
  <c r="BI112" i="15"/>
  <c r="BJ112" i="15"/>
  <c r="BK112" i="15"/>
  <c r="BL112" i="15"/>
  <c r="BM112" i="15"/>
  <c r="BN112" i="15"/>
  <c r="BO112" i="15"/>
  <c r="BP112" i="15"/>
  <c r="BQ112" i="15"/>
  <c r="BR112" i="15"/>
  <c r="BS112" i="15"/>
  <c r="BT112" i="15"/>
  <c r="BU112" i="15"/>
  <c r="BV112" i="15"/>
  <c r="BW112" i="15"/>
  <c r="BX112" i="15"/>
  <c r="BY112" i="15"/>
  <c r="BZ112" i="15"/>
  <c r="CA112" i="15"/>
  <c r="CB112" i="15"/>
  <c r="CC112" i="15"/>
  <c r="CD112" i="15"/>
  <c r="CE112" i="15"/>
  <c r="CF112" i="15"/>
  <c r="CG112" i="15"/>
  <c r="CH112" i="15"/>
  <c r="CI112" i="15"/>
  <c r="CJ112" i="15"/>
  <c r="CK112" i="15"/>
  <c r="CL112" i="15"/>
  <c r="CM112" i="15"/>
  <c r="CN112" i="15"/>
  <c r="CO112" i="15"/>
  <c r="A113" i="15"/>
  <c r="B113" i="15"/>
  <c r="C113" i="15"/>
  <c r="D113" i="15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S113" i="15"/>
  <c r="T113" i="15"/>
  <c r="U113" i="15"/>
  <c r="V113" i="15"/>
  <c r="W113" i="15"/>
  <c r="X113" i="15"/>
  <c r="Y113" i="15"/>
  <c r="Z113" i="15"/>
  <c r="AA113" i="15"/>
  <c r="AB113" i="15"/>
  <c r="AC113" i="15"/>
  <c r="AD113" i="15"/>
  <c r="AE113" i="15"/>
  <c r="AF113" i="15"/>
  <c r="AG113" i="15"/>
  <c r="AH113" i="15"/>
  <c r="AI113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BB113" i="15"/>
  <c r="BC113" i="15"/>
  <c r="BD113" i="15"/>
  <c r="BE113" i="15"/>
  <c r="BF113" i="15"/>
  <c r="BG113" i="15"/>
  <c r="BH113" i="15"/>
  <c r="BI113" i="15"/>
  <c r="BJ113" i="15"/>
  <c r="BK113" i="15"/>
  <c r="BL113" i="15"/>
  <c r="BM113" i="15"/>
  <c r="BN113" i="15"/>
  <c r="BO113" i="15"/>
  <c r="BP113" i="15"/>
  <c r="BQ113" i="15"/>
  <c r="BR113" i="15"/>
  <c r="BS113" i="15"/>
  <c r="BT113" i="15"/>
  <c r="BU113" i="15"/>
  <c r="BV113" i="15"/>
  <c r="BW113" i="15"/>
  <c r="BX113" i="15"/>
  <c r="BY113" i="15"/>
  <c r="BZ113" i="15"/>
  <c r="CA113" i="15"/>
  <c r="CB113" i="15"/>
  <c r="CC113" i="15"/>
  <c r="CD113" i="15"/>
  <c r="CE113" i="15"/>
  <c r="CF113" i="15"/>
  <c r="CG113" i="15"/>
  <c r="CH113" i="15"/>
  <c r="CI113" i="15"/>
  <c r="CJ113" i="15"/>
  <c r="CK113" i="15"/>
  <c r="CL113" i="15"/>
  <c r="CM113" i="15"/>
  <c r="CN113" i="15"/>
  <c r="CO113" i="15"/>
  <c r="A114" i="15"/>
  <c r="B114" i="15"/>
  <c r="C114" i="15"/>
  <c r="D114" i="15"/>
  <c r="E114" i="15"/>
  <c r="F114" i="15"/>
  <c r="G114" i="15"/>
  <c r="H114" i="15"/>
  <c r="I114" i="15"/>
  <c r="J114" i="15"/>
  <c r="K114" i="15"/>
  <c r="L114" i="15"/>
  <c r="M114" i="15"/>
  <c r="N114" i="15"/>
  <c r="O114" i="15"/>
  <c r="P114" i="15"/>
  <c r="Q114" i="15"/>
  <c r="R114" i="15"/>
  <c r="S114" i="15"/>
  <c r="T114" i="15"/>
  <c r="U114" i="15"/>
  <c r="V114" i="15"/>
  <c r="W114" i="15"/>
  <c r="X114" i="15"/>
  <c r="Y114" i="15"/>
  <c r="Z114" i="15"/>
  <c r="AA114" i="15"/>
  <c r="AB114" i="15"/>
  <c r="AC114" i="15"/>
  <c r="AD114" i="15"/>
  <c r="AE114" i="15"/>
  <c r="AF114" i="15"/>
  <c r="AG114" i="15"/>
  <c r="AH114" i="15"/>
  <c r="AI114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BB114" i="15"/>
  <c r="BC114" i="15"/>
  <c r="BD114" i="15"/>
  <c r="BE114" i="15"/>
  <c r="BF114" i="15"/>
  <c r="BG114" i="15"/>
  <c r="BH114" i="15"/>
  <c r="BI114" i="15"/>
  <c r="BJ114" i="15"/>
  <c r="BK114" i="15"/>
  <c r="BL114" i="15"/>
  <c r="BM114" i="15"/>
  <c r="BN114" i="15"/>
  <c r="BO114" i="15"/>
  <c r="BP114" i="15"/>
  <c r="BQ114" i="15"/>
  <c r="BR114" i="15"/>
  <c r="BS114" i="15"/>
  <c r="BT114" i="15"/>
  <c r="BU114" i="15"/>
  <c r="BV114" i="15"/>
  <c r="BW114" i="15"/>
  <c r="BX114" i="15"/>
  <c r="BY114" i="15"/>
  <c r="BZ114" i="15"/>
  <c r="CA114" i="15"/>
  <c r="CB114" i="15"/>
  <c r="CC114" i="15"/>
  <c r="CD114" i="15"/>
  <c r="CE114" i="15"/>
  <c r="CF114" i="15"/>
  <c r="CG114" i="15"/>
  <c r="CH114" i="15"/>
  <c r="CI114" i="15"/>
  <c r="CJ114" i="15"/>
  <c r="CK114" i="15"/>
  <c r="CL114" i="15"/>
  <c r="CM114" i="15"/>
  <c r="CN114" i="15"/>
  <c r="CO114" i="15"/>
  <c r="A115" i="15"/>
  <c r="B115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Y115" i="15"/>
  <c r="Z115" i="15"/>
  <c r="AA115" i="15"/>
  <c r="AB115" i="15"/>
  <c r="AC115" i="15"/>
  <c r="AD115" i="15"/>
  <c r="AE115" i="15"/>
  <c r="AF115" i="15"/>
  <c r="AG115" i="15"/>
  <c r="AH115" i="15"/>
  <c r="AI115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BB115" i="15"/>
  <c r="BC115" i="15"/>
  <c r="BD115" i="15"/>
  <c r="BE115" i="15"/>
  <c r="BF115" i="15"/>
  <c r="BG115" i="15"/>
  <c r="BH115" i="15"/>
  <c r="BI115" i="15"/>
  <c r="BJ115" i="15"/>
  <c r="BK115" i="15"/>
  <c r="BL115" i="15"/>
  <c r="BM115" i="15"/>
  <c r="BN115" i="15"/>
  <c r="BO115" i="15"/>
  <c r="BP115" i="15"/>
  <c r="BQ115" i="15"/>
  <c r="BR115" i="15"/>
  <c r="BS115" i="15"/>
  <c r="BT115" i="15"/>
  <c r="BU115" i="15"/>
  <c r="BV115" i="15"/>
  <c r="BW115" i="15"/>
  <c r="BX115" i="15"/>
  <c r="BY115" i="15"/>
  <c r="BZ115" i="15"/>
  <c r="CA115" i="15"/>
  <c r="CB115" i="15"/>
  <c r="CC115" i="15"/>
  <c r="CD115" i="15"/>
  <c r="CE115" i="15"/>
  <c r="CF115" i="15"/>
  <c r="CG115" i="15"/>
  <c r="CH115" i="15"/>
  <c r="CI115" i="15"/>
  <c r="CJ115" i="15"/>
  <c r="CK115" i="15"/>
  <c r="CL115" i="15"/>
  <c r="CM115" i="15"/>
  <c r="CN115" i="15"/>
  <c r="CO115" i="15"/>
  <c r="A116" i="15"/>
  <c r="B116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S116" i="15"/>
  <c r="T116" i="15"/>
  <c r="U116" i="15"/>
  <c r="V116" i="15"/>
  <c r="W116" i="15"/>
  <c r="X116" i="15"/>
  <c r="Y116" i="15"/>
  <c r="Z116" i="15"/>
  <c r="AA116" i="15"/>
  <c r="AB116" i="15"/>
  <c r="AC116" i="15"/>
  <c r="AD116" i="15"/>
  <c r="AE116" i="15"/>
  <c r="AF116" i="15"/>
  <c r="AG116" i="15"/>
  <c r="AH116" i="15"/>
  <c r="AI116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BB116" i="15"/>
  <c r="BC116" i="15"/>
  <c r="BD116" i="15"/>
  <c r="BE116" i="15"/>
  <c r="BF116" i="15"/>
  <c r="BG116" i="15"/>
  <c r="BH116" i="15"/>
  <c r="BI116" i="15"/>
  <c r="BJ116" i="15"/>
  <c r="BK116" i="15"/>
  <c r="BL116" i="15"/>
  <c r="BM116" i="15"/>
  <c r="BN116" i="15"/>
  <c r="BO116" i="15"/>
  <c r="BP116" i="15"/>
  <c r="BQ116" i="15"/>
  <c r="BR116" i="15"/>
  <c r="BS116" i="15"/>
  <c r="BT116" i="15"/>
  <c r="BU116" i="15"/>
  <c r="BV116" i="15"/>
  <c r="BW116" i="15"/>
  <c r="BX116" i="15"/>
  <c r="BY116" i="15"/>
  <c r="BZ116" i="15"/>
  <c r="CA116" i="15"/>
  <c r="CB116" i="15"/>
  <c r="CC116" i="15"/>
  <c r="CD116" i="15"/>
  <c r="CE116" i="15"/>
  <c r="CF116" i="15"/>
  <c r="CG116" i="15"/>
  <c r="CH116" i="15"/>
  <c r="CI116" i="15"/>
  <c r="CJ116" i="15"/>
  <c r="CK116" i="15"/>
  <c r="CL116" i="15"/>
  <c r="CM116" i="15"/>
  <c r="CN116" i="15"/>
  <c r="CO116" i="15"/>
  <c r="A117" i="15"/>
  <c r="B117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S117" i="15"/>
  <c r="T117" i="15"/>
  <c r="U117" i="15"/>
  <c r="V117" i="15"/>
  <c r="W117" i="15"/>
  <c r="X117" i="15"/>
  <c r="Y117" i="15"/>
  <c r="Z117" i="15"/>
  <c r="AA117" i="15"/>
  <c r="AB117" i="15"/>
  <c r="AC117" i="15"/>
  <c r="AD117" i="15"/>
  <c r="AE117" i="15"/>
  <c r="AF117" i="15"/>
  <c r="AG117" i="15"/>
  <c r="AH117" i="15"/>
  <c r="AI117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BB117" i="15"/>
  <c r="BC117" i="15"/>
  <c r="BD117" i="15"/>
  <c r="BE117" i="15"/>
  <c r="BF117" i="15"/>
  <c r="BG117" i="15"/>
  <c r="BH117" i="15"/>
  <c r="BI117" i="15"/>
  <c r="BJ117" i="15"/>
  <c r="BK117" i="15"/>
  <c r="BL117" i="15"/>
  <c r="BM117" i="15"/>
  <c r="BN117" i="15"/>
  <c r="BO117" i="15"/>
  <c r="BP117" i="15"/>
  <c r="BQ117" i="15"/>
  <c r="BR117" i="15"/>
  <c r="BS117" i="15"/>
  <c r="BT117" i="15"/>
  <c r="BU117" i="15"/>
  <c r="BV117" i="15"/>
  <c r="BW117" i="15"/>
  <c r="BX117" i="15"/>
  <c r="BY117" i="15"/>
  <c r="BZ117" i="15"/>
  <c r="CA117" i="15"/>
  <c r="CB117" i="15"/>
  <c r="CC117" i="15"/>
  <c r="CD117" i="15"/>
  <c r="CE117" i="15"/>
  <c r="CF117" i="15"/>
  <c r="CG117" i="15"/>
  <c r="CH117" i="15"/>
  <c r="CI117" i="15"/>
  <c r="CJ117" i="15"/>
  <c r="CK117" i="15"/>
  <c r="CL117" i="15"/>
  <c r="CM117" i="15"/>
  <c r="CN117" i="15"/>
  <c r="CO117" i="15"/>
  <c r="A118" i="15"/>
  <c r="B118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T118" i="15"/>
  <c r="U118" i="15"/>
  <c r="V118" i="15"/>
  <c r="W118" i="15"/>
  <c r="X118" i="15"/>
  <c r="Y118" i="15"/>
  <c r="Z118" i="15"/>
  <c r="AA118" i="15"/>
  <c r="AB118" i="15"/>
  <c r="AC118" i="15"/>
  <c r="AD118" i="15"/>
  <c r="AE118" i="15"/>
  <c r="AF118" i="15"/>
  <c r="AG118" i="15"/>
  <c r="AH118" i="15"/>
  <c r="AI118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BB118" i="15"/>
  <c r="BC118" i="15"/>
  <c r="BD118" i="15"/>
  <c r="BE118" i="15"/>
  <c r="BF118" i="15"/>
  <c r="BG118" i="15"/>
  <c r="BH118" i="15"/>
  <c r="BI118" i="15"/>
  <c r="BJ118" i="15"/>
  <c r="BK118" i="15"/>
  <c r="BL118" i="15"/>
  <c r="BM118" i="15"/>
  <c r="BN118" i="15"/>
  <c r="BO118" i="15"/>
  <c r="BP118" i="15"/>
  <c r="BQ118" i="15"/>
  <c r="BR118" i="15"/>
  <c r="BS118" i="15"/>
  <c r="BT118" i="15"/>
  <c r="BU118" i="15"/>
  <c r="BV118" i="15"/>
  <c r="BW118" i="15"/>
  <c r="BX118" i="15"/>
  <c r="BY118" i="15"/>
  <c r="BZ118" i="15"/>
  <c r="CA118" i="15"/>
  <c r="CB118" i="15"/>
  <c r="CC118" i="15"/>
  <c r="CD118" i="15"/>
  <c r="CE118" i="15"/>
  <c r="CF118" i="15"/>
  <c r="CG118" i="15"/>
  <c r="CH118" i="15"/>
  <c r="CI118" i="15"/>
  <c r="CJ118" i="15"/>
  <c r="CK118" i="15"/>
  <c r="CL118" i="15"/>
  <c r="CM118" i="15"/>
  <c r="CN118" i="15"/>
  <c r="CO118" i="15"/>
  <c r="A119" i="15"/>
  <c r="B119" i="15"/>
  <c r="C119" i="15"/>
  <c r="D119" i="15"/>
  <c r="E119" i="15"/>
  <c r="F119" i="15"/>
  <c r="G119" i="15"/>
  <c r="H119" i="15"/>
  <c r="I119" i="15"/>
  <c r="J119" i="15"/>
  <c r="K119" i="15"/>
  <c r="L119" i="15"/>
  <c r="M119" i="15"/>
  <c r="N119" i="15"/>
  <c r="O119" i="15"/>
  <c r="P119" i="15"/>
  <c r="Q119" i="15"/>
  <c r="R119" i="15"/>
  <c r="S119" i="15"/>
  <c r="T119" i="15"/>
  <c r="U119" i="15"/>
  <c r="V119" i="15"/>
  <c r="W119" i="15"/>
  <c r="X119" i="15"/>
  <c r="Y119" i="15"/>
  <c r="Z119" i="15"/>
  <c r="AA119" i="15"/>
  <c r="AB119" i="15"/>
  <c r="AC119" i="15"/>
  <c r="AD119" i="15"/>
  <c r="AE119" i="15"/>
  <c r="AF119" i="15"/>
  <c r="AG119" i="15"/>
  <c r="AH119" i="15"/>
  <c r="AI119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BB119" i="15"/>
  <c r="BC119" i="15"/>
  <c r="BD119" i="15"/>
  <c r="BE119" i="15"/>
  <c r="BF119" i="15"/>
  <c r="BG119" i="15"/>
  <c r="BH119" i="15"/>
  <c r="BI119" i="15"/>
  <c r="BJ119" i="15"/>
  <c r="BK119" i="15"/>
  <c r="BL119" i="15"/>
  <c r="BM119" i="15"/>
  <c r="BN119" i="15"/>
  <c r="BO119" i="15"/>
  <c r="BP119" i="15"/>
  <c r="BQ119" i="15"/>
  <c r="BR119" i="15"/>
  <c r="BS119" i="15"/>
  <c r="BT119" i="15"/>
  <c r="BU119" i="15"/>
  <c r="BV119" i="15"/>
  <c r="BW119" i="15"/>
  <c r="BX119" i="15"/>
  <c r="BY119" i="15"/>
  <c r="BZ119" i="15"/>
  <c r="CA119" i="15"/>
  <c r="CB119" i="15"/>
  <c r="CC119" i="15"/>
  <c r="CD119" i="15"/>
  <c r="CE119" i="15"/>
  <c r="CF119" i="15"/>
  <c r="CG119" i="15"/>
  <c r="CH119" i="15"/>
  <c r="CI119" i="15"/>
  <c r="CJ119" i="15"/>
  <c r="CK119" i="15"/>
  <c r="CL119" i="15"/>
  <c r="CM119" i="15"/>
  <c r="CN119" i="15"/>
  <c r="CO119" i="15"/>
  <c r="A120" i="15"/>
  <c r="B120" i="15"/>
  <c r="C120" i="15"/>
  <c r="D120" i="15"/>
  <c r="E120" i="15"/>
  <c r="F120" i="15"/>
  <c r="G120" i="15"/>
  <c r="H120" i="15"/>
  <c r="I120" i="15"/>
  <c r="J120" i="15"/>
  <c r="K120" i="15"/>
  <c r="L120" i="15"/>
  <c r="M120" i="15"/>
  <c r="N120" i="15"/>
  <c r="O120" i="15"/>
  <c r="P120" i="15"/>
  <c r="Q120" i="15"/>
  <c r="R120" i="15"/>
  <c r="S120" i="15"/>
  <c r="T120" i="15"/>
  <c r="U120" i="15"/>
  <c r="V120" i="15"/>
  <c r="W120" i="15"/>
  <c r="X120" i="15"/>
  <c r="Y120" i="15"/>
  <c r="Z120" i="15"/>
  <c r="AA120" i="15"/>
  <c r="AB120" i="15"/>
  <c r="AC120" i="15"/>
  <c r="AD120" i="15"/>
  <c r="AE120" i="15"/>
  <c r="AF120" i="15"/>
  <c r="AG120" i="15"/>
  <c r="AH120" i="15"/>
  <c r="AI120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BB120" i="15"/>
  <c r="BC120" i="15"/>
  <c r="BD120" i="15"/>
  <c r="BE120" i="15"/>
  <c r="BF120" i="15"/>
  <c r="BG120" i="15"/>
  <c r="BH120" i="15"/>
  <c r="BI120" i="15"/>
  <c r="BJ120" i="15"/>
  <c r="BK120" i="15"/>
  <c r="BL120" i="15"/>
  <c r="BM120" i="15"/>
  <c r="BN120" i="15"/>
  <c r="BO120" i="15"/>
  <c r="BP120" i="15"/>
  <c r="BQ120" i="15"/>
  <c r="BR120" i="15"/>
  <c r="BS120" i="15"/>
  <c r="BT120" i="15"/>
  <c r="BU120" i="15"/>
  <c r="BV120" i="15"/>
  <c r="BW120" i="15"/>
  <c r="BX120" i="15"/>
  <c r="BY120" i="15"/>
  <c r="BZ120" i="15"/>
  <c r="CA120" i="15"/>
  <c r="CB120" i="15"/>
  <c r="CC120" i="15"/>
  <c r="CD120" i="15"/>
  <c r="CE120" i="15"/>
  <c r="CF120" i="15"/>
  <c r="CG120" i="15"/>
  <c r="CH120" i="15"/>
  <c r="CI120" i="15"/>
  <c r="CJ120" i="15"/>
  <c r="CK120" i="15"/>
  <c r="CL120" i="15"/>
  <c r="CM120" i="15"/>
  <c r="CN120" i="15"/>
  <c r="CO120" i="15"/>
  <c r="A121" i="15"/>
  <c r="B121" i="15"/>
  <c r="C121" i="15"/>
  <c r="D121" i="15"/>
  <c r="E121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T121" i="15"/>
  <c r="U121" i="15"/>
  <c r="V121" i="15"/>
  <c r="W121" i="15"/>
  <c r="X121" i="15"/>
  <c r="Y121" i="15"/>
  <c r="Z121" i="15"/>
  <c r="AA121" i="15"/>
  <c r="AB121" i="15"/>
  <c r="AC121" i="15"/>
  <c r="AD121" i="15"/>
  <c r="AE121" i="15"/>
  <c r="AF121" i="15"/>
  <c r="AG121" i="15"/>
  <c r="AH121" i="15"/>
  <c r="AI121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BB121" i="15"/>
  <c r="BC121" i="15"/>
  <c r="BD121" i="15"/>
  <c r="BE121" i="15"/>
  <c r="BF121" i="15"/>
  <c r="BG121" i="15"/>
  <c r="BH121" i="15"/>
  <c r="BI121" i="15"/>
  <c r="BJ121" i="15"/>
  <c r="BK121" i="15"/>
  <c r="BL121" i="15"/>
  <c r="BM121" i="15"/>
  <c r="BN121" i="15"/>
  <c r="BO121" i="15"/>
  <c r="BP121" i="15"/>
  <c r="BQ121" i="15"/>
  <c r="BR121" i="15"/>
  <c r="BS121" i="15"/>
  <c r="BT121" i="15"/>
  <c r="BU121" i="15"/>
  <c r="BV121" i="15"/>
  <c r="BW121" i="15"/>
  <c r="BX121" i="15"/>
  <c r="BY121" i="15"/>
  <c r="BZ121" i="15"/>
  <c r="CA121" i="15"/>
  <c r="CB121" i="15"/>
  <c r="CC121" i="15"/>
  <c r="CD121" i="15"/>
  <c r="CE121" i="15"/>
  <c r="CF121" i="15"/>
  <c r="CG121" i="15"/>
  <c r="CH121" i="15"/>
  <c r="CI121" i="15"/>
  <c r="CJ121" i="15"/>
  <c r="CK121" i="15"/>
  <c r="CL121" i="15"/>
  <c r="CM121" i="15"/>
  <c r="CN121" i="15"/>
  <c r="CO121" i="15"/>
  <c r="A122" i="15"/>
  <c r="B122" i="15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O122" i="15"/>
  <c r="P122" i="15"/>
  <c r="Q122" i="15"/>
  <c r="R122" i="15"/>
  <c r="S122" i="15"/>
  <c r="T122" i="15"/>
  <c r="U122" i="15"/>
  <c r="V122" i="15"/>
  <c r="W122" i="15"/>
  <c r="X122" i="15"/>
  <c r="Y122" i="15"/>
  <c r="Z122" i="15"/>
  <c r="AA122" i="15"/>
  <c r="AB122" i="15"/>
  <c r="AC122" i="15"/>
  <c r="AD122" i="15"/>
  <c r="AE122" i="15"/>
  <c r="AF122" i="15"/>
  <c r="AG122" i="15"/>
  <c r="AH122" i="15"/>
  <c r="AI122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BB122" i="15"/>
  <c r="BC122" i="15"/>
  <c r="BD122" i="15"/>
  <c r="BE122" i="15"/>
  <c r="BF122" i="15"/>
  <c r="BG122" i="15"/>
  <c r="BH122" i="15"/>
  <c r="BI122" i="15"/>
  <c r="BJ122" i="15"/>
  <c r="BK122" i="15"/>
  <c r="BL122" i="15"/>
  <c r="BM122" i="15"/>
  <c r="BN122" i="15"/>
  <c r="BO122" i="15"/>
  <c r="BP122" i="15"/>
  <c r="BQ122" i="15"/>
  <c r="BR122" i="15"/>
  <c r="BS122" i="15"/>
  <c r="BT122" i="15"/>
  <c r="BU122" i="15"/>
  <c r="BV122" i="15"/>
  <c r="BW122" i="15"/>
  <c r="BX122" i="15"/>
  <c r="BY122" i="15"/>
  <c r="BZ122" i="15"/>
  <c r="CA122" i="15"/>
  <c r="CB122" i="15"/>
  <c r="CC122" i="15"/>
  <c r="CD122" i="15"/>
  <c r="CE122" i="15"/>
  <c r="CF122" i="15"/>
  <c r="CG122" i="15"/>
  <c r="CH122" i="15"/>
  <c r="CI122" i="15"/>
  <c r="CJ122" i="15"/>
  <c r="CK122" i="15"/>
  <c r="CL122" i="15"/>
  <c r="CM122" i="15"/>
  <c r="CN122" i="15"/>
  <c r="CO122" i="15"/>
  <c r="A123" i="15"/>
  <c r="B123" i="15"/>
  <c r="C123" i="15"/>
  <c r="D123" i="15"/>
  <c r="E123" i="15"/>
  <c r="F123" i="15"/>
  <c r="G123" i="15"/>
  <c r="H123" i="15"/>
  <c r="I123" i="15"/>
  <c r="J123" i="15"/>
  <c r="K123" i="15"/>
  <c r="L123" i="15"/>
  <c r="M123" i="15"/>
  <c r="N123" i="15"/>
  <c r="O123" i="15"/>
  <c r="P123" i="15"/>
  <c r="Q123" i="15"/>
  <c r="R123" i="15"/>
  <c r="S123" i="15"/>
  <c r="T123" i="15"/>
  <c r="U123" i="15"/>
  <c r="V123" i="15"/>
  <c r="W123" i="15"/>
  <c r="X123" i="15"/>
  <c r="Y123" i="15"/>
  <c r="Z123" i="15"/>
  <c r="AA123" i="15"/>
  <c r="AB123" i="15"/>
  <c r="AC123" i="15"/>
  <c r="AD123" i="15"/>
  <c r="AE123" i="15"/>
  <c r="AF123" i="15"/>
  <c r="AG123" i="15"/>
  <c r="AH123" i="15"/>
  <c r="AI123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BB123" i="15"/>
  <c r="BC123" i="15"/>
  <c r="BD123" i="15"/>
  <c r="BE123" i="15"/>
  <c r="BF123" i="15"/>
  <c r="BG123" i="15"/>
  <c r="BH123" i="15"/>
  <c r="BI123" i="15"/>
  <c r="BJ123" i="15"/>
  <c r="BK123" i="15"/>
  <c r="BL123" i="15"/>
  <c r="BM123" i="15"/>
  <c r="BN123" i="15"/>
  <c r="BO123" i="15"/>
  <c r="BP123" i="15"/>
  <c r="BQ123" i="15"/>
  <c r="BR123" i="15"/>
  <c r="BS123" i="15"/>
  <c r="BT123" i="15"/>
  <c r="BU123" i="15"/>
  <c r="BV123" i="15"/>
  <c r="BW123" i="15"/>
  <c r="BX123" i="15"/>
  <c r="BY123" i="15"/>
  <c r="BZ123" i="15"/>
  <c r="CA123" i="15"/>
  <c r="CB123" i="15"/>
  <c r="CC123" i="15"/>
  <c r="CD123" i="15"/>
  <c r="CE123" i="15"/>
  <c r="CF123" i="15"/>
  <c r="CG123" i="15"/>
  <c r="CH123" i="15"/>
  <c r="CI123" i="15"/>
  <c r="CJ123" i="15"/>
  <c r="CK123" i="15"/>
  <c r="CL123" i="15"/>
  <c r="CM123" i="15"/>
  <c r="CN123" i="15"/>
  <c r="CO123" i="15"/>
  <c r="A124" i="15"/>
  <c r="B124" i="15"/>
  <c r="C124" i="15"/>
  <c r="D124" i="15"/>
  <c r="E124" i="15"/>
  <c r="F124" i="15"/>
  <c r="G124" i="15"/>
  <c r="H124" i="15"/>
  <c r="I124" i="15"/>
  <c r="J124" i="15"/>
  <c r="K124" i="15"/>
  <c r="L124" i="15"/>
  <c r="M124" i="15"/>
  <c r="N124" i="15"/>
  <c r="O124" i="15"/>
  <c r="P124" i="15"/>
  <c r="Q124" i="15"/>
  <c r="R124" i="15"/>
  <c r="S124" i="15"/>
  <c r="T124" i="15"/>
  <c r="U124" i="15"/>
  <c r="V124" i="15"/>
  <c r="W124" i="15"/>
  <c r="X124" i="15"/>
  <c r="Y124" i="15"/>
  <c r="Z124" i="15"/>
  <c r="AA124" i="15"/>
  <c r="AB124" i="15"/>
  <c r="AC124" i="15"/>
  <c r="AD124" i="15"/>
  <c r="AE124" i="15"/>
  <c r="AF124" i="15"/>
  <c r="AG124" i="15"/>
  <c r="AH124" i="15"/>
  <c r="AI124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BB124" i="15"/>
  <c r="BC124" i="15"/>
  <c r="BD124" i="15"/>
  <c r="BE124" i="15"/>
  <c r="BF124" i="15"/>
  <c r="BG124" i="15"/>
  <c r="BH124" i="15"/>
  <c r="BI124" i="15"/>
  <c r="BJ124" i="15"/>
  <c r="BK124" i="15"/>
  <c r="BL124" i="15"/>
  <c r="BM124" i="15"/>
  <c r="BN124" i="15"/>
  <c r="BO124" i="15"/>
  <c r="BP124" i="15"/>
  <c r="BQ124" i="15"/>
  <c r="BR124" i="15"/>
  <c r="BS124" i="15"/>
  <c r="BT124" i="15"/>
  <c r="BU124" i="15"/>
  <c r="BV124" i="15"/>
  <c r="BW124" i="15"/>
  <c r="BX124" i="15"/>
  <c r="BY124" i="15"/>
  <c r="BZ124" i="15"/>
  <c r="CA124" i="15"/>
  <c r="CB124" i="15"/>
  <c r="CC124" i="15"/>
  <c r="CD124" i="15"/>
  <c r="CE124" i="15"/>
  <c r="CF124" i="15"/>
  <c r="CG124" i="15"/>
  <c r="CH124" i="15"/>
  <c r="CI124" i="15"/>
  <c r="CJ124" i="15"/>
  <c r="CK124" i="15"/>
  <c r="CL124" i="15"/>
  <c r="CM124" i="15"/>
  <c r="CN124" i="15"/>
  <c r="CO124" i="15"/>
  <c r="A125" i="15"/>
  <c r="B125" i="15"/>
  <c r="C125" i="15"/>
  <c r="D125" i="15"/>
  <c r="E125" i="15"/>
  <c r="F125" i="15"/>
  <c r="G125" i="15"/>
  <c r="H125" i="15"/>
  <c r="I125" i="15"/>
  <c r="J125" i="15"/>
  <c r="K125" i="15"/>
  <c r="L125" i="15"/>
  <c r="M125" i="15"/>
  <c r="N125" i="15"/>
  <c r="O125" i="15"/>
  <c r="P125" i="15"/>
  <c r="Q125" i="15"/>
  <c r="R125" i="15"/>
  <c r="S125" i="15"/>
  <c r="T125" i="15"/>
  <c r="U125" i="15"/>
  <c r="V125" i="15"/>
  <c r="W125" i="15"/>
  <c r="X125" i="15"/>
  <c r="Y125" i="15"/>
  <c r="Z125" i="15"/>
  <c r="AA125" i="15"/>
  <c r="AB125" i="15"/>
  <c r="AC125" i="15"/>
  <c r="AD125" i="15"/>
  <c r="AE125" i="15"/>
  <c r="AF125" i="15"/>
  <c r="AG125" i="15"/>
  <c r="AH125" i="15"/>
  <c r="AI125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BB125" i="15"/>
  <c r="BC125" i="15"/>
  <c r="BD125" i="15"/>
  <c r="BE125" i="15"/>
  <c r="BF125" i="15"/>
  <c r="BG125" i="15"/>
  <c r="BH125" i="15"/>
  <c r="BI125" i="15"/>
  <c r="BJ125" i="15"/>
  <c r="BK125" i="15"/>
  <c r="BL125" i="15"/>
  <c r="BM125" i="15"/>
  <c r="BN125" i="15"/>
  <c r="BO125" i="15"/>
  <c r="BP125" i="15"/>
  <c r="BQ125" i="15"/>
  <c r="BR125" i="15"/>
  <c r="BS125" i="15"/>
  <c r="BT125" i="15"/>
  <c r="BU125" i="15"/>
  <c r="BV125" i="15"/>
  <c r="BW125" i="15"/>
  <c r="BX125" i="15"/>
  <c r="BY125" i="15"/>
  <c r="BZ125" i="15"/>
  <c r="CA125" i="15"/>
  <c r="CB125" i="15"/>
  <c r="CC125" i="15"/>
  <c r="CD125" i="15"/>
  <c r="CE125" i="15"/>
  <c r="CF125" i="15"/>
  <c r="CG125" i="15"/>
  <c r="CH125" i="15"/>
  <c r="CI125" i="15"/>
  <c r="CJ125" i="15"/>
  <c r="CK125" i="15"/>
  <c r="CL125" i="15"/>
  <c r="CM125" i="15"/>
  <c r="CN125" i="15"/>
  <c r="CO125" i="15"/>
  <c r="A126" i="15"/>
  <c r="B126" i="15"/>
  <c r="C126" i="15"/>
  <c r="D126" i="15"/>
  <c r="E126" i="15"/>
  <c r="F126" i="15"/>
  <c r="G126" i="15"/>
  <c r="H126" i="15"/>
  <c r="I126" i="15"/>
  <c r="J126" i="15"/>
  <c r="K126" i="15"/>
  <c r="L126" i="15"/>
  <c r="M126" i="15"/>
  <c r="N126" i="15"/>
  <c r="O126" i="15"/>
  <c r="P126" i="15"/>
  <c r="Q126" i="15"/>
  <c r="R126" i="15"/>
  <c r="S126" i="15"/>
  <c r="T126" i="15"/>
  <c r="U126" i="15"/>
  <c r="V126" i="15"/>
  <c r="W126" i="15"/>
  <c r="X126" i="15"/>
  <c r="Y126" i="15"/>
  <c r="Z126" i="15"/>
  <c r="AA126" i="15"/>
  <c r="AB126" i="15"/>
  <c r="AC126" i="15"/>
  <c r="AD126" i="15"/>
  <c r="AE126" i="15"/>
  <c r="AF126" i="15"/>
  <c r="AG126" i="15"/>
  <c r="AH126" i="15"/>
  <c r="AI126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BB126" i="15"/>
  <c r="BC126" i="15"/>
  <c r="BD126" i="15"/>
  <c r="BE126" i="15"/>
  <c r="BF126" i="15"/>
  <c r="BG126" i="15"/>
  <c r="BH126" i="15"/>
  <c r="BI126" i="15"/>
  <c r="BJ126" i="15"/>
  <c r="BK126" i="15"/>
  <c r="BL126" i="15"/>
  <c r="BM126" i="15"/>
  <c r="BN126" i="15"/>
  <c r="BO126" i="15"/>
  <c r="BP126" i="15"/>
  <c r="BQ126" i="15"/>
  <c r="BR126" i="15"/>
  <c r="BS126" i="15"/>
  <c r="BT126" i="15"/>
  <c r="BU126" i="15"/>
  <c r="BV126" i="15"/>
  <c r="BW126" i="15"/>
  <c r="BX126" i="15"/>
  <c r="BY126" i="15"/>
  <c r="BZ126" i="15"/>
  <c r="CA126" i="15"/>
  <c r="CB126" i="15"/>
  <c r="CC126" i="15"/>
  <c r="CD126" i="15"/>
  <c r="CE126" i="15"/>
  <c r="CF126" i="15"/>
  <c r="CG126" i="15"/>
  <c r="CH126" i="15"/>
  <c r="CI126" i="15"/>
  <c r="CJ126" i="15"/>
  <c r="CK126" i="15"/>
  <c r="CL126" i="15"/>
  <c r="CM126" i="15"/>
  <c r="CN126" i="15"/>
  <c r="CO126" i="15"/>
  <c r="A127" i="15"/>
  <c r="B127" i="15"/>
  <c r="C127" i="15"/>
  <c r="D127" i="15"/>
  <c r="E127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X127" i="15"/>
  <c r="Y127" i="15"/>
  <c r="Z127" i="15"/>
  <c r="AA127" i="15"/>
  <c r="AB127" i="15"/>
  <c r="AC127" i="15"/>
  <c r="AD127" i="15"/>
  <c r="AE127" i="15"/>
  <c r="AF127" i="15"/>
  <c r="AG127" i="15"/>
  <c r="AH127" i="15"/>
  <c r="AI127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BB127" i="15"/>
  <c r="BC127" i="15"/>
  <c r="BD127" i="15"/>
  <c r="BE127" i="15"/>
  <c r="BF127" i="15"/>
  <c r="BG127" i="15"/>
  <c r="BH127" i="15"/>
  <c r="BI127" i="15"/>
  <c r="BJ127" i="15"/>
  <c r="BK127" i="15"/>
  <c r="BL127" i="15"/>
  <c r="BM127" i="15"/>
  <c r="BN127" i="15"/>
  <c r="BO127" i="15"/>
  <c r="BP127" i="15"/>
  <c r="BQ127" i="15"/>
  <c r="BR127" i="15"/>
  <c r="BS127" i="15"/>
  <c r="BT127" i="15"/>
  <c r="BU127" i="15"/>
  <c r="BV127" i="15"/>
  <c r="BW127" i="15"/>
  <c r="BX127" i="15"/>
  <c r="BY127" i="15"/>
  <c r="BZ127" i="15"/>
  <c r="CA127" i="15"/>
  <c r="CB127" i="15"/>
  <c r="CC127" i="15"/>
  <c r="CD127" i="15"/>
  <c r="CE127" i="15"/>
  <c r="CF127" i="15"/>
  <c r="CG127" i="15"/>
  <c r="CH127" i="15"/>
  <c r="CI127" i="15"/>
  <c r="CJ127" i="15"/>
  <c r="CK127" i="15"/>
  <c r="CL127" i="15"/>
  <c r="CM127" i="15"/>
  <c r="CN127" i="15"/>
  <c r="CO127" i="15"/>
  <c r="A128" i="15"/>
  <c r="B128" i="15"/>
  <c r="C128" i="15"/>
  <c r="D128" i="15"/>
  <c r="E128" i="15"/>
  <c r="F128" i="15"/>
  <c r="G128" i="15"/>
  <c r="H128" i="15"/>
  <c r="I128" i="15"/>
  <c r="J128" i="15"/>
  <c r="K128" i="15"/>
  <c r="L128" i="15"/>
  <c r="M128" i="15"/>
  <c r="N128" i="15"/>
  <c r="O128" i="15"/>
  <c r="P128" i="15"/>
  <c r="Q128" i="15"/>
  <c r="R128" i="15"/>
  <c r="S128" i="15"/>
  <c r="T128" i="15"/>
  <c r="U128" i="15"/>
  <c r="V128" i="15"/>
  <c r="W128" i="15"/>
  <c r="X128" i="15"/>
  <c r="Y128" i="15"/>
  <c r="Z128" i="15"/>
  <c r="AA128" i="15"/>
  <c r="AB128" i="15"/>
  <c r="AC128" i="15"/>
  <c r="AD128" i="15"/>
  <c r="AE128" i="15"/>
  <c r="AF128" i="15"/>
  <c r="AG128" i="15"/>
  <c r="AH128" i="15"/>
  <c r="AI128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BB128" i="15"/>
  <c r="BC128" i="15"/>
  <c r="BD128" i="15"/>
  <c r="BE128" i="15"/>
  <c r="BF128" i="15"/>
  <c r="BG128" i="15"/>
  <c r="BH128" i="15"/>
  <c r="BI128" i="15"/>
  <c r="BJ128" i="15"/>
  <c r="BK128" i="15"/>
  <c r="BL128" i="15"/>
  <c r="BM128" i="15"/>
  <c r="BN128" i="15"/>
  <c r="BO128" i="15"/>
  <c r="BP128" i="15"/>
  <c r="BQ128" i="15"/>
  <c r="BR128" i="15"/>
  <c r="BS128" i="15"/>
  <c r="BT128" i="15"/>
  <c r="BU128" i="15"/>
  <c r="BV128" i="15"/>
  <c r="BW128" i="15"/>
  <c r="BX128" i="15"/>
  <c r="BY128" i="15"/>
  <c r="BZ128" i="15"/>
  <c r="CA128" i="15"/>
  <c r="CB128" i="15"/>
  <c r="CC128" i="15"/>
  <c r="CD128" i="15"/>
  <c r="CE128" i="15"/>
  <c r="CF128" i="15"/>
  <c r="CG128" i="15"/>
  <c r="CH128" i="15"/>
  <c r="CI128" i="15"/>
  <c r="CJ128" i="15"/>
  <c r="CK128" i="15"/>
  <c r="CL128" i="15"/>
  <c r="CM128" i="15"/>
  <c r="CN128" i="15"/>
  <c r="CO128" i="15"/>
  <c r="A129" i="15"/>
  <c r="B129" i="15"/>
  <c r="C129" i="15"/>
  <c r="D129" i="15"/>
  <c r="E129" i="15"/>
  <c r="F129" i="15"/>
  <c r="G129" i="15"/>
  <c r="H129" i="15"/>
  <c r="I129" i="15"/>
  <c r="J129" i="15"/>
  <c r="K129" i="15"/>
  <c r="L129" i="15"/>
  <c r="M129" i="15"/>
  <c r="N129" i="15"/>
  <c r="O129" i="15"/>
  <c r="P129" i="15"/>
  <c r="Q129" i="15"/>
  <c r="R129" i="15"/>
  <c r="S129" i="15"/>
  <c r="T129" i="15"/>
  <c r="U129" i="15"/>
  <c r="V129" i="15"/>
  <c r="W129" i="15"/>
  <c r="X129" i="15"/>
  <c r="Y129" i="15"/>
  <c r="Z129" i="15"/>
  <c r="AA129" i="15"/>
  <c r="AB129" i="15"/>
  <c r="AC129" i="15"/>
  <c r="AD129" i="15"/>
  <c r="AE129" i="15"/>
  <c r="AF129" i="15"/>
  <c r="AG129" i="15"/>
  <c r="AH129" i="15"/>
  <c r="AI129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BB129" i="15"/>
  <c r="BC129" i="15"/>
  <c r="BD129" i="15"/>
  <c r="BE129" i="15"/>
  <c r="BF129" i="15"/>
  <c r="BG129" i="15"/>
  <c r="BH129" i="15"/>
  <c r="BI129" i="15"/>
  <c r="BJ129" i="15"/>
  <c r="BK129" i="15"/>
  <c r="BL129" i="15"/>
  <c r="BM129" i="15"/>
  <c r="BN129" i="15"/>
  <c r="BO129" i="15"/>
  <c r="BP129" i="15"/>
  <c r="BQ129" i="15"/>
  <c r="BR129" i="15"/>
  <c r="BS129" i="15"/>
  <c r="BT129" i="15"/>
  <c r="BU129" i="15"/>
  <c r="BV129" i="15"/>
  <c r="BW129" i="15"/>
  <c r="BX129" i="15"/>
  <c r="BY129" i="15"/>
  <c r="BZ129" i="15"/>
  <c r="CA129" i="15"/>
  <c r="CB129" i="15"/>
  <c r="CC129" i="15"/>
  <c r="CD129" i="15"/>
  <c r="CE129" i="15"/>
  <c r="CF129" i="15"/>
  <c r="CG129" i="15"/>
  <c r="CH129" i="15"/>
  <c r="CI129" i="15"/>
  <c r="CJ129" i="15"/>
  <c r="CK129" i="15"/>
  <c r="CL129" i="15"/>
  <c r="CM129" i="15"/>
  <c r="CN129" i="15"/>
  <c r="CO129" i="15"/>
  <c r="A130" i="15"/>
  <c r="B130" i="15"/>
  <c r="C130" i="15"/>
  <c r="D130" i="15"/>
  <c r="E130" i="15"/>
  <c r="F130" i="15"/>
  <c r="G130" i="15"/>
  <c r="H130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W130" i="15"/>
  <c r="X130" i="15"/>
  <c r="Y130" i="15"/>
  <c r="Z130" i="15"/>
  <c r="AA130" i="15"/>
  <c r="AB130" i="15"/>
  <c r="AC130" i="15"/>
  <c r="AD130" i="15"/>
  <c r="AE130" i="15"/>
  <c r="AF130" i="15"/>
  <c r="AG130" i="15"/>
  <c r="AH130" i="15"/>
  <c r="AI130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BB130" i="15"/>
  <c r="BC130" i="15"/>
  <c r="BD130" i="15"/>
  <c r="BE130" i="15"/>
  <c r="BF130" i="15"/>
  <c r="BG130" i="15"/>
  <c r="BH130" i="15"/>
  <c r="BI130" i="15"/>
  <c r="BJ130" i="15"/>
  <c r="BK130" i="15"/>
  <c r="BL130" i="15"/>
  <c r="BM130" i="15"/>
  <c r="BN130" i="15"/>
  <c r="BO130" i="15"/>
  <c r="BP130" i="15"/>
  <c r="BQ130" i="15"/>
  <c r="BR130" i="15"/>
  <c r="BS130" i="15"/>
  <c r="BT130" i="15"/>
  <c r="BU130" i="15"/>
  <c r="BV130" i="15"/>
  <c r="BW130" i="15"/>
  <c r="BX130" i="15"/>
  <c r="BY130" i="15"/>
  <c r="BZ130" i="15"/>
  <c r="CA130" i="15"/>
  <c r="CB130" i="15"/>
  <c r="CC130" i="15"/>
  <c r="CD130" i="15"/>
  <c r="CE130" i="15"/>
  <c r="CF130" i="15"/>
  <c r="CG130" i="15"/>
  <c r="CH130" i="15"/>
  <c r="CI130" i="15"/>
  <c r="CJ130" i="15"/>
  <c r="CK130" i="15"/>
  <c r="CL130" i="15"/>
  <c r="CM130" i="15"/>
  <c r="CN130" i="15"/>
  <c r="CO130" i="15"/>
  <c r="A131" i="15"/>
  <c r="B131" i="15"/>
  <c r="C131" i="15"/>
  <c r="D131" i="15"/>
  <c r="E131" i="15"/>
  <c r="F131" i="15"/>
  <c r="G131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W131" i="15"/>
  <c r="X131" i="15"/>
  <c r="Y131" i="15"/>
  <c r="Z131" i="15"/>
  <c r="AA131" i="15"/>
  <c r="AB131" i="15"/>
  <c r="AC131" i="15"/>
  <c r="AD131" i="15"/>
  <c r="AE131" i="15"/>
  <c r="AF131" i="15"/>
  <c r="AG131" i="15"/>
  <c r="AH131" i="15"/>
  <c r="AI131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BB131" i="15"/>
  <c r="BC131" i="15"/>
  <c r="BD131" i="15"/>
  <c r="BE131" i="15"/>
  <c r="BF131" i="15"/>
  <c r="BG131" i="15"/>
  <c r="BH131" i="15"/>
  <c r="BI131" i="15"/>
  <c r="BJ131" i="15"/>
  <c r="BK131" i="15"/>
  <c r="BL131" i="15"/>
  <c r="BM131" i="15"/>
  <c r="BN131" i="15"/>
  <c r="BO131" i="15"/>
  <c r="BP131" i="15"/>
  <c r="BQ131" i="15"/>
  <c r="BR131" i="15"/>
  <c r="BS131" i="15"/>
  <c r="BT131" i="15"/>
  <c r="BU131" i="15"/>
  <c r="BV131" i="15"/>
  <c r="BW131" i="15"/>
  <c r="BX131" i="15"/>
  <c r="BY131" i="15"/>
  <c r="BZ131" i="15"/>
  <c r="CA131" i="15"/>
  <c r="CB131" i="15"/>
  <c r="CC131" i="15"/>
  <c r="CD131" i="15"/>
  <c r="CE131" i="15"/>
  <c r="CF131" i="15"/>
  <c r="CG131" i="15"/>
  <c r="CH131" i="15"/>
  <c r="CI131" i="15"/>
  <c r="CJ131" i="15"/>
  <c r="CK131" i="15"/>
  <c r="CL131" i="15"/>
  <c r="CM131" i="15"/>
  <c r="CN131" i="15"/>
  <c r="CO131" i="15"/>
  <c r="A132" i="15"/>
  <c r="B132" i="15"/>
  <c r="C132" i="15"/>
  <c r="D132" i="15"/>
  <c r="E132" i="15"/>
  <c r="F132" i="15"/>
  <c r="G132" i="15"/>
  <c r="H132" i="15"/>
  <c r="I132" i="15"/>
  <c r="J132" i="15"/>
  <c r="K132" i="15"/>
  <c r="L132" i="15"/>
  <c r="M132" i="15"/>
  <c r="N132" i="15"/>
  <c r="O132" i="15"/>
  <c r="P132" i="15"/>
  <c r="Q132" i="15"/>
  <c r="R132" i="15"/>
  <c r="S132" i="15"/>
  <c r="T132" i="15"/>
  <c r="U132" i="15"/>
  <c r="V132" i="15"/>
  <c r="W132" i="15"/>
  <c r="X132" i="15"/>
  <c r="Y132" i="15"/>
  <c r="Z132" i="15"/>
  <c r="AA132" i="15"/>
  <c r="AB132" i="15"/>
  <c r="AC132" i="15"/>
  <c r="AD132" i="15"/>
  <c r="AE132" i="15"/>
  <c r="AF132" i="15"/>
  <c r="AG132" i="15"/>
  <c r="AH132" i="15"/>
  <c r="AI132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BB132" i="15"/>
  <c r="BC132" i="15"/>
  <c r="BD132" i="15"/>
  <c r="BE132" i="15"/>
  <c r="BF132" i="15"/>
  <c r="BG132" i="15"/>
  <c r="BH132" i="15"/>
  <c r="BI132" i="15"/>
  <c r="BJ132" i="15"/>
  <c r="BK132" i="15"/>
  <c r="BL132" i="15"/>
  <c r="BM132" i="15"/>
  <c r="BN132" i="15"/>
  <c r="BO132" i="15"/>
  <c r="BP132" i="15"/>
  <c r="BQ132" i="15"/>
  <c r="BR132" i="15"/>
  <c r="BS132" i="15"/>
  <c r="BT132" i="15"/>
  <c r="BU132" i="15"/>
  <c r="BV132" i="15"/>
  <c r="BW132" i="15"/>
  <c r="BX132" i="15"/>
  <c r="BY132" i="15"/>
  <c r="BZ132" i="15"/>
  <c r="CA132" i="15"/>
  <c r="CB132" i="15"/>
  <c r="CC132" i="15"/>
  <c r="CD132" i="15"/>
  <c r="CE132" i="15"/>
  <c r="CF132" i="15"/>
  <c r="CG132" i="15"/>
  <c r="CH132" i="15"/>
  <c r="CI132" i="15"/>
  <c r="CJ132" i="15"/>
  <c r="CK132" i="15"/>
  <c r="CL132" i="15"/>
  <c r="CM132" i="15"/>
  <c r="CN132" i="15"/>
  <c r="CO132" i="15"/>
  <c r="A133" i="15"/>
  <c r="B133" i="15"/>
  <c r="C133" i="15"/>
  <c r="D133" i="15"/>
  <c r="E133" i="15"/>
  <c r="F133" i="15"/>
  <c r="G133" i="15"/>
  <c r="H133" i="15"/>
  <c r="I133" i="15"/>
  <c r="J133" i="15"/>
  <c r="K133" i="15"/>
  <c r="L133" i="15"/>
  <c r="M133" i="15"/>
  <c r="N133" i="15"/>
  <c r="O133" i="15"/>
  <c r="P133" i="15"/>
  <c r="Q133" i="15"/>
  <c r="R133" i="15"/>
  <c r="S133" i="15"/>
  <c r="T133" i="15"/>
  <c r="U133" i="15"/>
  <c r="V133" i="15"/>
  <c r="W133" i="15"/>
  <c r="X133" i="15"/>
  <c r="Y133" i="15"/>
  <c r="Z133" i="15"/>
  <c r="AA133" i="15"/>
  <c r="AB133" i="15"/>
  <c r="AC133" i="15"/>
  <c r="AD133" i="15"/>
  <c r="AE133" i="15"/>
  <c r="AF133" i="15"/>
  <c r="AG133" i="15"/>
  <c r="AH133" i="15"/>
  <c r="AI133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BB133" i="15"/>
  <c r="BC133" i="15"/>
  <c r="BD133" i="15"/>
  <c r="BE133" i="15"/>
  <c r="BF133" i="15"/>
  <c r="BG133" i="15"/>
  <c r="BH133" i="15"/>
  <c r="BI133" i="15"/>
  <c r="BJ133" i="15"/>
  <c r="BK133" i="15"/>
  <c r="BL133" i="15"/>
  <c r="BM133" i="15"/>
  <c r="BN133" i="15"/>
  <c r="BO133" i="15"/>
  <c r="BP133" i="15"/>
  <c r="BQ133" i="15"/>
  <c r="BR133" i="15"/>
  <c r="BS133" i="15"/>
  <c r="BT133" i="15"/>
  <c r="BU133" i="15"/>
  <c r="BV133" i="15"/>
  <c r="BW133" i="15"/>
  <c r="BX133" i="15"/>
  <c r="BY133" i="15"/>
  <c r="BZ133" i="15"/>
  <c r="CA133" i="15"/>
  <c r="CB133" i="15"/>
  <c r="CC133" i="15"/>
  <c r="CD133" i="15"/>
  <c r="CE133" i="15"/>
  <c r="CF133" i="15"/>
  <c r="CG133" i="15"/>
  <c r="CH133" i="15"/>
  <c r="CI133" i="15"/>
  <c r="CJ133" i="15"/>
  <c r="CK133" i="15"/>
  <c r="CL133" i="15"/>
  <c r="CM133" i="15"/>
  <c r="CN133" i="15"/>
  <c r="CO133" i="15"/>
  <c r="A134" i="15"/>
  <c r="B134" i="15"/>
  <c r="C134" i="15"/>
  <c r="D134" i="15"/>
  <c r="E134" i="15"/>
  <c r="F134" i="15"/>
  <c r="G134" i="15"/>
  <c r="H134" i="15"/>
  <c r="I134" i="15"/>
  <c r="J134" i="15"/>
  <c r="K134" i="15"/>
  <c r="L134" i="15"/>
  <c r="M134" i="15"/>
  <c r="N134" i="15"/>
  <c r="O134" i="15"/>
  <c r="P134" i="15"/>
  <c r="Q134" i="15"/>
  <c r="R134" i="15"/>
  <c r="S134" i="15"/>
  <c r="T134" i="15"/>
  <c r="U134" i="15"/>
  <c r="V134" i="15"/>
  <c r="W134" i="15"/>
  <c r="X134" i="15"/>
  <c r="Y134" i="15"/>
  <c r="Z134" i="15"/>
  <c r="AA134" i="15"/>
  <c r="AB134" i="15"/>
  <c r="AC134" i="15"/>
  <c r="AD134" i="15"/>
  <c r="AE134" i="15"/>
  <c r="AF134" i="15"/>
  <c r="AG134" i="15"/>
  <c r="AH134" i="15"/>
  <c r="AI134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BB134" i="15"/>
  <c r="BC134" i="15"/>
  <c r="BD134" i="15"/>
  <c r="BE134" i="15"/>
  <c r="BF134" i="15"/>
  <c r="BG134" i="15"/>
  <c r="BH134" i="15"/>
  <c r="BI134" i="15"/>
  <c r="BJ134" i="15"/>
  <c r="BK134" i="15"/>
  <c r="BL134" i="15"/>
  <c r="BM134" i="15"/>
  <c r="BN134" i="15"/>
  <c r="BO134" i="15"/>
  <c r="BP134" i="15"/>
  <c r="BQ134" i="15"/>
  <c r="BR134" i="15"/>
  <c r="BS134" i="15"/>
  <c r="BT134" i="15"/>
  <c r="BU134" i="15"/>
  <c r="BV134" i="15"/>
  <c r="BW134" i="15"/>
  <c r="BX134" i="15"/>
  <c r="BY134" i="15"/>
  <c r="BZ134" i="15"/>
  <c r="CA134" i="15"/>
  <c r="CB134" i="15"/>
  <c r="CC134" i="15"/>
  <c r="CD134" i="15"/>
  <c r="CE134" i="15"/>
  <c r="CF134" i="15"/>
  <c r="CG134" i="15"/>
  <c r="CH134" i="15"/>
  <c r="CI134" i="15"/>
  <c r="CJ134" i="15"/>
  <c r="CK134" i="15"/>
  <c r="CL134" i="15"/>
  <c r="CM134" i="15"/>
  <c r="CN134" i="15"/>
  <c r="CO134" i="15"/>
  <c r="A135" i="15"/>
  <c r="B135" i="15"/>
  <c r="C135" i="15"/>
  <c r="D135" i="15"/>
  <c r="E135" i="15"/>
  <c r="F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W135" i="15"/>
  <c r="X135" i="15"/>
  <c r="Y135" i="15"/>
  <c r="Z135" i="15"/>
  <c r="AA135" i="15"/>
  <c r="AB135" i="15"/>
  <c r="AC135" i="15"/>
  <c r="AD135" i="15"/>
  <c r="AE135" i="15"/>
  <c r="AF135" i="15"/>
  <c r="AG135" i="15"/>
  <c r="AH135" i="15"/>
  <c r="AI135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BB135" i="15"/>
  <c r="BC135" i="15"/>
  <c r="BD135" i="15"/>
  <c r="BE135" i="15"/>
  <c r="BF135" i="15"/>
  <c r="BG135" i="15"/>
  <c r="BH135" i="15"/>
  <c r="BI135" i="15"/>
  <c r="BJ135" i="15"/>
  <c r="BK135" i="15"/>
  <c r="BL135" i="15"/>
  <c r="BM135" i="15"/>
  <c r="BN135" i="15"/>
  <c r="BO135" i="15"/>
  <c r="BP135" i="15"/>
  <c r="BQ135" i="15"/>
  <c r="BR135" i="15"/>
  <c r="BS135" i="15"/>
  <c r="BT135" i="15"/>
  <c r="BU135" i="15"/>
  <c r="BV135" i="15"/>
  <c r="BW135" i="15"/>
  <c r="BX135" i="15"/>
  <c r="BY135" i="15"/>
  <c r="BZ135" i="15"/>
  <c r="CA135" i="15"/>
  <c r="CB135" i="15"/>
  <c r="CC135" i="15"/>
  <c r="CD135" i="15"/>
  <c r="CE135" i="15"/>
  <c r="CF135" i="15"/>
  <c r="CG135" i="15"/>
  <c r="CH135" i="15"/>
  <c r="CI135" i="15"/>
  <c r="CJ135" i="15"/>
  <c r="CK135" i="15"/>
  <c r="CL135" i="15"/>
  <c r="CM135" i="15"/>
  <c r="CN135" i="15"/>
  <c r="CO135" i="15"/>
  <c r="A136" i="15"/>
  <c r="B136" i="15"/>
  <c r="C136" i="15"/>
  <c r="D136" i="15"/>
  <c r="E136" i="15"/>
  <c r="F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W136" i="15"/>
  <c r="X136" i="15"/>
  <c r="Y136" i="15"/>
  <c r="Z136" i="15"/>
  <c r="AA136" i="15"/>
  <c r="AB136" i="15"/>
  <c r="AC136" i="15"/>
  <c r="AD136" i="15"/>
  <c r="AE136" i="15"/>
  <c r="AF136" i="15"/>
  <c r="AG136" i="15"/>
  <c r="AH136" i="15"/>
  <c r="AI136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BB136" i="15"/>
  <c r="BC136" i="15"/>
  <c r="BD136" i="15"/>
  <c r="BE136" i="15"/>
  <c r="BF136" i="15"/>
  <c r="BG136" i="15"/>
  <c r="BH136" i="15"/>
  <c r="BI136" i="15"/>
  <c r="BJ136" i="15"/>
  <c r="BK136" i="15"/>
  <c r="BL136" i="15"/>
  <c r="BM136" i="15"/>
  <c r="BN136" i="15"/>
  <c r="BO136" i="15"/>
  <c r="BP136" i="15"/>
  <c r="BQ136" i="15"/>
  <c r="BR136" i="15"/>
  <c r="BS136" i="15"/>
  <c r="BT136" i="15"/>
  <c r="BU136" i="15"/>
  <c r="BV136" i="15"/>
  <c r="BW136" i="15"/>
  <c r="BX136" i="15"/>
  <c r="BY136" i="15"/>
  <c r="BZ136" i="15"/>
  <c r="CA136" i="15"/>
  <c r="CB136" i="15"/>
  <c r="CC136" i="15"/>
  <c r="CD136" i="15"/>
  <c r="CE136" i="15"/>
  <c r="CF136" i="15"/>
  <c r="CG136" i="15"/>
  <c r="CH136" i="15"/>
  <c r="CI136" i="15"/>
  <c r="CJ136" i="15"/>
  <c r="CK136" i="15"/>
  <c r="CL136" i="15"/>
  <c r="CM136" i="15"/>
  <c r="CN136" i="15"/>
  <c r="CO136" i="15"/>
  <c r="A137" i="15"/>
  <c r="B137" i="15"/>
  <c r="C137" i="15"/>
  <c r="D137" i="15"/>
  <c r="E137" i="15"/>
  <c r="F137" i="15"/>
  <c r="G137" i="15"/>
  <c r="H137" i="15"/>
  <c r="I137" i="15"/>
  <c r="J137" i="15"/>
  <c r="K137" i="15"/>
  <c r="L137" i="15"/>
  <c r="M137" i="15"/>
  <c r="N137" i="15"/>
  <c r="O137" i="15"/>
  <c r="P137" i="15"/>
  <c r="Q137" i="15"/>
  <c r="R137" i="15"/>
  <c r="S137" i="15"/>
  <c r="T137" i="15"/>
  <c r="U137" i="15"/>
  <c r="V137" i="15"/>
  <c r="W137" i="15"/>
  <c r="X137" i="15"/>
  <c r="Y137" i="15"/>
  <c r="Z137" i="15"/>
  <c r="AA137" i="15"/>
  <c r="AB137" i="15"/>
  <c r="AC137" i="15"/>
  <c r="AD137" i="15"/>
  <c r="AE137" i="15"/>
  <c r="AF137" i="15"/>
  <c r="AG137" i="15"/>
  <c r="AH137" i="15"/>
  <c r="AI137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BB137" i="15"/>
  <c r="BC137" i="15"/>
  <c r="BD137" i="15"/>
  <c r="BE137" i="15"/>
  <c r="BF137" i="15"/>
  <c r="BG137" i="15"/>
  <c r="BH137" i="15"/>
  <c r="BI137" i="15"/>
  <c r="BJ137" i="15"/>
  <c r="BK137" i="15"/>
  <c r="BL137" i="15"/>
  <c r="BM137" i="15"/>
  <c r="BN137" i="15"/>
  <c r="BO137" i="15"/>
  <c r="BP137" i="15"/>
  <c r="BQ137" i="15"/>
  <c r="BR137" i="15"/>
  <c r="BS137" i="15"/>
  <c r="BT137" i="15"/>
  <c r="BU137" i="15"/>
  <c r="BV137" i="15"/>
  <c r="BW137" i="15"/>
  <c r="BX137" i="15"/>
  <c r="BY137" i="15"/>
  <c r="BZ137" i="15"/>
  <c r="CA137" i="15"/>
  <c r="CB137" i="15"/>
  <c r="CC137" i="15"/>
  <c r="CD137" i="15"/>
  <c r="CE137" i="15"/>
  <c r="CF137" i="15"/>
  <c r="CG137" i="15"/>
  <c r="CH137" i="15"/>
  <c r="CI137" i="15"/>
  <c r="CJ137" i="15"/>
  <c r="CK137" i="15"/>
  <c r="CL137" i="15"/>
  <c r="CM137" i="15"/>
  <c r="CN137" i="15"/>
  <c r="CO137" i="15"/>
  <c r="A138" i="15"/>
  <c r="B138" i="15"/>
  <c r="C138" i="15"/>
  <c r="D138" i="15"/>
  <c r="E138" i="15"/>
  <c r="F138" i="15"/>
  <c r="G138" i="15"/>
  <c r="H138" i="15"/>
  <c r="I138" i="15"/>
  <c r="J138" i="15"/>
  <c r="K138" i="15"/>
  <c r="L138" i="15"/>
  <c r="M138" i="15"/>
  <c r="N138" i="15"/>
  <c r="O138" i="15"/>
  <c r="P138" i="15"/>
  <c r="Q138" i="15"/>
  <c r="R138" i="15"/>
  <c r="S138" i="15"/>
  <c r="T138" i="15"/>
  <c r="U138" i="15"/>
  <c r="V138" i="15"/>
  <c r="W138" i="15"/>
  <c r="X138" i="15"/>
  <c r="Y138" i="15"/>
  <c r="Z138" i="15"/>
  <c r="AA138" i="15"/>
  <c r="AB138" i="15"/>
  <c r="AC138" i="15"/>
  <c r="AD138" i="15"/>
  <c r="AE138" i="15"/>
  <c r="AF138" i="15"/>
  <c r="AG138" i="15"/>
  <c r="AH138" i="15"/>
  <c r="AI138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BB138" i="15"/>
  <c r="BC138" i="15"/>
  <c r="BD138" i="15"/>
  <c r="BE138" i="15"/>
  <c r="BF138" i="15"/>
  <c r="BG138" i="15"/>
  <c r="BH138" i="15"/>
  <c r="BI138" i="15"/>
  <c r="BJ138" i="15"/>
  <c r="BK138" i="15"/>
  <c r="BL138" i="15"/>
  <c r="BM138" i="15"/>
  <c r="BN138" i="15"/>
  <c r="BO138" i="15"/>
  <c r="BP138" i="15"/>
  <c r="BQ138" i="15"/>
  <c r="BR138" i="15"/>
  <c r="BS138" i="15"/>
  <c r="BT138" i="15"/>
  <c r="BU138" i="15"/>
  <c r="BV138" i="15"/>
  <c r="BW138" i="15"/>
  <c r="BX138" i="15"/>
  <c r="BY138" i="15"/>
  <c r="BZ138" i="15"/>
  <c r="CA138" i="15"/>
  <c r="CB138" i="15"/>
  <c r="CC138" i="15"/>
  <c r="CD138" i="15"/>
  <c r="CE138" i="15"/>
  <c r="CF138" i="15"/>
  <c r="CG138" i="15"/>
  <c r="CH138" i="15"/>
  <c r="CI138" i="15"/>
  <c r="CJ138" i="15"/>
  <c r="CK138" i="15"/>
  <c r="CL138" i="15"/>
  <c r="CM138" i="15"/>
  <c r="CN138" i="15"/>
  <c r="CO138" i="15"/>
  <c r="A139" i="15"/>
  <c r="B139" i="15"/>
  <c r="C139" i="15"/>
  <c r="D139" i="15"/>
  <c r="E139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X139" i="15"/>
  <c r="Y139" i="15"/>
  <c r="Z139" i="15"/>
  <c r="AA139" i="15"/>
  <c r="AB139" i="15"/>
  <c r="AC139" i="15"/>
  <c r="AD139" i="15"/>
  <c r="AE139" i="15"/>
  <c r="AF139" i="15"/>
  <c r="AG139" i="15"/>
  <c r="AH139" i="15"/>
  <c r="AI139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BB139" i="15"/>
  <c r="BC139" i="15"/>
  <c r="BD139" i="15"/>
  <c r="BE139" i="15"/>
  <c r="BF139" i="15"/>
  <c r="BG139" i="15"/>
  <c r="BH139" i="15"/>
  <c r="BI139" i="15"/>
  <c r="BJ139" i="15"/>
  <c r="BK139" i="15"/>
  <c r="BL139" i="15"/>
  <c r="BM139" i="15"/>
  <c r="BN139" i="15"/>
  <c r="BO139" i="15"/>
  <c r="BP139" i="15"/>
  <c r="BQ139" i="15"/>
  <c r="BR139" i="15"/>
  <c r="BS139" i="15"/>
  <c r="BT139" i="15"/>
  <c r="BU139" i="15"/>
  <c r="BV139" i="15"/>
  <c r="BW139" i="15"/>
  <c r="BX139" i="15"/>
  <c r="BY139" i="15"/>
  <c r="BZ139" i="15"/>
  <c r="CA139" i="15"/>
  <c r="CB139" i="15"/>
  <c r="CC139" i="15"/>
  <c r="CD139" i="15"/>
  <c r="CE139" i="15"/>
  <c r="CF139" i="15"/>
  <c r="CG139" i="15"/>
  <c r="CH139" i="15"/>
  <c r="CI139" i="15"/>
  <c r="CJ139" i="15"/>
  <c r="CK139" i="15"/>
  <c r="CL139" i="15"/>
  <c r="CM139" i="15"/>
  <c r="CN139" i="15"/>
  <c r="CO139" i="15"/>
  <c r="A140" i="15"/>
  <c r="B140" i="15"/>
  <c r="C140" i="15"/>
  <c r="D140" i="15"/>
  <c r="E140" i="15"/>
  <c r="F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W140" i="15"/>
  <c r="X140" i="15"/>
  <c r="Y140" i="15"/>
  <c r="Z140" i="15"/>
  <c r="AA140" i="15"/>
  <c r="AB140" i="15"/>
  <c r="AC140" i="15"/>
  <c r="AD140" i="15"/>
  <c r="AE140" i="15"/>
  <c r="AF140" i="15"/>
  <c r="AG140" i="15"/>
  <c r="AH140" i="15"/>
  <c r="AI140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BB140" i="15"/>
  <c r="BC140" i="15"/>
  <c r="BD140" i="15"/>
  <c r="BE140" i="15"/>
  <c r="BF140" i="15"/>
  <c r="BG140" i="15"/>
  <c r="BH140" i="15"/>
  <c r="BI140" i="15"/>
  <c r="BJ140" i="15"/>
  <c r="BK140" i="15"/>
  <c r="BL140" i="15"/>
  <c r="BM140" i="15"/>
  <c r="BN140" i="15"/>
  <c r="BO140" i="15"/>
  <c r="BP140" i="15"/>
  <c r="BQ140" i="15"/>
  <c r="BR140" i="15"/>
  <c r="BS140" i="15"/>
  <c r="BT140" i="15"/>
  <c r="BU140" i="15"/>
  <c r="BV140" i="15"/>
  <c r="BW140" i="15"/>
  <c r="BX140" i="15"/>
  <c r="BY140" i="15"/>
  <c r="BZ140" i="15"/>
  <c r="CA140" i="15"/>
  <c r="CB140" i="15"/>
  <c r="CC140" i="15"/>
  <c r="CD140" i="15"/>
  <c r="CE140" i="15"/>
  <c r="CF140" i="15"/>
  <c r="CG140" i="15"/>
  <c r="CH140" i="15"/>
  <c r="CI140" i="15"/>
  <c r="CJ140" i="15"/>
  <c r="CK140" i="15"/>
  <c r="CL140" i="15"/>
  <c r="CM140" i="15"/>
  <c r="CN140" i="15"/>
  <c r="CO140" i="15"/>
  <c r="A141" i="15"/>
  <c r="B141" i="15"/>
  <c r="C141" i="15"/>
  <c r="D141" i="15"/>
  <c r="E141" i="15"/>
  <c r="F141" i="15"/>
  <c r="G141" i="15"/>
  <c r="H141" i="15"/>
  <c r="I141" i="15"/>
  <c r="J141" i="15"/>
  <c r="K141" i="15"/>
  <c r="L141" i="15"/>
  <c r="M141" i="15"/>
  <c r="N141" i="15"/>
  <c r="O141" i="15"/>
  <c r="P141" i="15"/>
  <c r="Q141" i="15"/>
  <c r="R141" i="15"/>
  <c r="S141" i="15"/>
  <c r="T141" i="15"/>
  <c r="U141" i="15"/>
  <c r="V141" i="15"/>
  <c r="W141" i="15"/>
  <c r="X141" i="15"/>
  <c r="Y141" i="15"/>
  <c r="Z141" i="15"/>
  <c r="AA141" i="15"/>
  <c r="AB141" i="15"/>
  <c r="AC141" i="15"/>
  <c r="AD141" i="15"/>
  <c r="AE141" i="15"/>
  <c r="AF141" i="15"/>
  <c r="AG141" i="15"/>
  <c r="AH141" i="15"/>
  <c r="AI141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BB141" i="15"/>
  <c r="BC141" i="15"/>
  <c r="BD141" i="15"/>
  <c r="BE141" i="15"/>
  <c r="BF141" i="15"/>
  <c r="BG141" i="15"/>
  <c r="BH141" i="15"/>
  <c r="BI141" i="15"/>
  <c r="BJ141" i="15"/>
  <c r="BK141" i="15"/>
  <c r="BL141" i="15"/>
  <c r="BM141" i="15"/>
  <c r="BN141" i="15"/>
  <c r="BO141" i="15"/>
  <c r="BP141" i="15"/>
  <c r="BQ141" i="15"/>
  <c r="BR141" i="15"/>
  <c r="BS141" i="15"/>
  <c r="BT141" i="15"/>
  <c r="BU141" i="15"/>
  <c r="BV141" i="15"/>
  <c r="BW141" i="15"/>
  <c r="BX141" i="15"/>
  <c r="BY141" i="15"/>
  <c r="BZ141" i="15"/>
  <c r="CA141" i="15"/>
  <c r="CB141" i="15"/>
  <c r="CC141" i="15"/>
  <c r="CD141" i="15"/>
  <c r="CE141" i="15"/>
  <c r="CF141" i="15"/>
  <c r="CG141" i="15"/>
  <c r="CH141" i="15"/>
  <c r="CI141" i="15"/>
  <c r="CJ141" i="15"/>
  <c r="CK141" i="15"/>
  <c r="CL141" i="15"/>
  <c r="CM141" i="15"/>
  <c r="CN141" i="15"/>
  <c r="CO141" i="15"/>
  <c r="A142" i="15"/>
  <c r="B142" i="15"/>
  <c r="C142" i="15"/>
  <c r="D142" i="15"/>
  <c r="E142" i="15"/>
  <c r="F142" i="15"/>
  <c r="G142" i="15"/>
  <c r="H142" i="15"/>
  <c r="I142" i="15"/>
  <c r="J142" i="15"/>
  <c r="K142" i="15"/>
  <c r="L142" i="15"/>
  <c r="M142" i="15"/>
  <c r="N142" i="15"/>
  <c r="O142" i="15"/>
  <c r="P142" i="15"/>
  <c r="Q142" i="15"/>
  <c r="R142" i="15"/>
  <c r="S142" i="15"/>
  <c r="T142" i="15"/>
  <c r="U142" i="15"/>
  <c r="V142" i="15"/>
  <c r="W142" i="15"/>
  <c r="X142" i="15"/>
  <c r="Y142" i="15"/>
  <c r="Z142" i="15"/>
  <c r="AA142" i="15"/>
  <c r="AB142" i="15"/>
  <c r="AC142" i="15"/>
  <c r="AD142" i="15"/>
  <c r="AE142" i="15"/>
  <c r="AF142" i="15"/>
  <c r="AG142" i="15"/>
  <c r="AH142" i="15"/>
  <c r="AI142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BB142" i="15"/>
  <c r="BC142" i="15"/>
  <c r="BD142" i="15"/>
  <c r="BE142" i="15"/>
  <c r="BF142" i="15"/>
  <c r="BG142" i="15"/>
  <c r="BH142" i="15"/>
  <c r="BI142" i="15"/>
  <c r="BJ142" i="15"/>
  <c r="BK142" i="15"/>
  <c r="BL142" i="15"/>
  <c r="BM142" i="15"/>
  <c r="BN142" i="15"/>
  <c r="BO142" i="15"/>
  <c r="BP142" i="15"/>
  <c r="BQ142" i="15"/>
  <c r="BR142" i="15"/>
  <c r="BS142" i="15"/>
  <c r="BT142" i="15"/>
  <c r="BU142" i="15"/>
  <c r="BV142" i="15"/>
  <c r="BW142" i="15"/>
  <c r="BX142" i="15"/>
  <c r="BY142" i="15"/>
  <c r="BZ142" i="15"/>
  <c r="CA142" i="15"/>
  <c r="CB142" i="15"/>
  <c r="CC142" i="15"/>
  <c r="CD142" i="15"/>
  <c r="CE142" i="15"/>
  <c r="CF142" i="15"/>
  <c r="CG142" i="15"/>
  <c r="CH142" i="15"/>
  <c r="CI142" i="15"/>
  <c r="CJ142" i="15"/>
  <c r="CK142" i="15"/>
  <c r="CL142" i="15"/>
  <c r="CM142" i="15"/>
  <c r="CN142" i="15"/>
  <c r="CO142" i="15"/>
  <c r="A143" i="15"/>
  <c r="B143" i="15"/>
  <c r="C143" i="15"/>
  <c r="D143" i="15"/>
  <c r="E143" i="15"/>
  <c r="F143" i="15"/>
  <c r="G143" i="15"/>
  <c r="H143" i="15"/>
  <c r="I143" i="15"/>
  <c r="J143" i="15"/>
  <c r="K143" i="15"/>
  <c r="L143" i="15"/>
  <c r="M143" i="15"/>
  <c r="N143" i="15"/>
  <c r="O143" i="15"/>
  <c r="P143" i="15"/>
  <c r="Q143" i="15"/>
  <c r="R143" i="15"/>
  <c r="S143" i="15"/>
  <c r="T143" i="15"/>
  <c r="U143" i="15"/>
  <c r="V143" i="15"/>
  <c r="W143" i="15"/>
  <c r="X143" i="15"/>
  <c r="Y143" i="15"/>
  <c r="Z143" i="15"/>
  <c r="AA143" i="15"/>
  <c r="AB143" i="15"/>
  <c r="AC143" i="15"/>
  <c r="AD143" i="15"/>
  <c r="AE143" i="15"/>
  <c r="AF143" i="15"/>
  <c r="AG143" i="15"/>
  <c r="AH143" i="15"/>
  <c r="AI143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BB143" i="15"/>
  <c r="BC143" i="15"/>
  <c r="BD143" i="15"/>
  <c r="BE143" i="15"/>
  <c r="BF143" i="15"/>
  <c r="BG143" i="15"/>
  <c r="BH143" i="15"/>
  <c r="BI143" i="15"/>
  <c r="BJ143" i="15"/>
  <c r="BK143" i="15"/>
  <c r="BL143" i="15"/>
  <c r="BM143" i="15"/>
  <c r="BN143" i="15"/>
  <c r="BO143" i="15"/>
  <c r="BP143" i="15"/>
  <c r="BQ143" i="15"/>
  <c r="BR143" i="15"/>
  <c r="BS143" i="15"/>
  <c r="BT143" i="15"/>
  <c r="BU143" i="15"/>
  <c r="BV143" i="15"/>
  <c r="BW143" i="15"/>
  <c r="BX143" i="15"/>
  <c r="BY143" i="15"/>
  <c r="BZ143" i="15"/>
  <c r="CA143" i="15"/>
  <c r="CB143" i="15"/>
  <c r="CC143" i="15"/>
  <c r="CD143" i="15"/>
  <c r="CE143" i="15"/>
  <c r="CF143" i="15"/>
  <c r="CG143" i="15"/>
  <c r="CH143" i="15"/>
  <c r="CI143" i="15"/>
  <c r="CJ143" i="15"/>
  <c r="CK143" i="15"/>
  <c r="CL143" i="15"/>
  <c r="CM143" i="15"/>
  <c r="CN143" i="15"/>
  <c r="CO143" i="15"/>
  <c r="A144" i="15"/>
  <c r="B144" i="15"/>
  <c r="C144" i="15"/>
  <c r="D144" i="15"/>
  <c r="E144" i="15"/>
  <c r="F144" i="15"/>
  <c r="G144" i="15"/>
  <c r="H144" i="15"/>
  <c r="I144" i="15"/>
  <c r="J144" i="15"/>
  <c r="K144" i="15"/>
  <c r="L144" i="15"/>
  <c r="M144" i="15"/>
  <c r="N144" i="15"/>
  <c r="O144" i="15"/>
  <c r="P144" i="15"/>
  <c r="Q144" i="15"/>
  <c r="R144" i="15"/>
  <c r="S144" i="15"/>
  <c r="T144" i="15"/>
  <c r="U144" i="15"/>
  <c r="V144" i="15"/>
  <c r="W144" i="15"/>
  <c r="X144" i="15"/>
  <c r="Y144" i="15"/>
  <c r="Z144" i="15"/>
  <c r="AA144" i="15"/>
  <c r="AB144" i="15"/>
  <c r="AC144" i="15"/>
  <c r="AD144" i="15"/>
  <c r="AE144" i="15"/>
  <c r="AF144" i="15"/>
  <c r="AG144" i="15"/>
  <c r="AH144" i="15"/>
  <c r="AI144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BB144" i="15"/>
  <c r="BC144" i="15"/>
  <c r="BD144" i="15"/>
  <c r="BE144" i="15"/>
  <c r="BF144" i="15"/>
  <c r="BG144" i="15"/>
  <c r="BH144" i="15"/>
  <c r="BI144" i="15"/>
  <c r="BJ144" i="15"/>
  <c r="BK144" i="15"/>
  <c r="BL144" i="15"/>
  <c r="BM144" i="15"/>
  <c r="BN144" i="15"/>
  <c r="BO144" i="15"/>
  <c r="BP144" i="15"/>
  <c r="BQ144" i="15"/>
  <c r="BR144" i="15"/>
  <c r="BS144" i="15"/>
  <c r="BT144" i="15"/>
  <c r="BU144" i="15"/>
  <c r="BV144" i="15"/>
  <c r="BW144" i="15"/>
  <c r="BX144" i="15"/>
  <c r="BY144" i="15"/>
  <c r="BZ144" i="15"/>
  <c r="CA144" i="15"/>
  <c r="CB144" i="15"/>
  <c r="CC144" i="15"/>
  <c r="CD144" i="15"/>
  <c r="CE144" i="15"/>
  <c r="CF144" i="15"/>
  <c r="CG144" i="15"/>
  <c r="CH144" i="15"/>
  <c r="CI144" i="15"/>
  <c r="CJ144" i="15"/>
  <c r="CK144" i="15"/>
  <c r="CL144" i="15"/>
  <c r="CM144" i="15"/>
  <c r="CN144" i="15"/>
  <c r="CO144" i="15"/>
  <c r="A145" i="15"/>
  <c r="B145" i="15"/>
  <c r="C145" i="15"/>
  <c r="D145" i="15"/>
  <c r="E145" i="15"/>
  <c r="F145" i="15"/>
  <c r="G145" i="15"/>
  <c r="H145" i="15"/>
  <c r="I145" i="15"/>
  <c r="J145" i="15"/>
  <c r="K145" i="15"/>
  <c r="L145" i="15"/>
  <c r="M145" i="15"/>
  <c r="N145" i="15"/>
  <c r="O145" i="15"/>
  <c r="P145" i="15"/>
  <c r="Q145" i="15"/>
  <c r="R145" i="15"/>
  <c r="S145" i="15"/>
  <c r="T145" i="15"/>
  <c r="U145" i="15"/>
  <c r="V145" i="15"/>
  <c r="W145" i="15"/>
  <c r="X145" i="15"/>
  <c r="Y145" i="15"/>
  <c r="Z145" i="15"/>
  <c r="AA145" i="15"/>
  <c r="AB145" i="15"/>
  <c r="AC145" i="15"/>
  <c r="AD145" i="15"/>
  <c r="AE145" i="15"/>
  <c r="AF145" i="15"/>
  <c r="AG145" i="15"/>
  <c r="AH145" i="15"/>
  <c r="AI145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BB145" i="15"/>
  <c r="BC145" i="15"/>
  <c r="BD145" i="15"/>
  <c r="BE145" i="15"/>
  <c r="BF145" i="15"/>
  <c r="BG145" i="15"/>
  <c r="BH145" i="15"/>
  <c r="BI145" i="15"/>
  <c r="BJ145" i="15"/>
  <c r="BK145" i="15"/>
  <c r="BL145" i="15"/>
  <c r="BM145" i="15"/>
  <c r="BN145" i="15"/>
  <c r="BO145" i="15"/>
  <c r="BP145" i="15"/>
  <c r="BQ145" i="15"/>
  <c r="BR145" i="15"/>
  <c r="BS145" i="15"/>
  <c r="BT145" i="15"/>
  <c r="BU145" i="15"/>
  <c r="BV145" i="15"/>
  <c r="BW145" i="15"/>
  <c r="BX145" i="15"/>
  <c r="BY145" i="15"/>
  <c r="BZ145" i="15"/>
  <c r="CA145" i="15"/>
  <c r="CB145" i="15"/>
  <c r="CC145" i="15"/>
  <c r="CD145" i="15"/>
  <c r="CE145" i="15"/>
  <c r="CF145" i="15"/>
  <c r="CG145" i="15"/>
  <c r="CH145" i="15"/>
  <c r="CI145" i="15"/>
  <c r="CJ145" i="15"/>
  <c r="CK145" i="15"/>
  <c r="CL145" i="15"/>
  <c r="CM145" i="15"/>
  <c r="CN145" i="15"/>
  <c r="CO145" i="15"/>
  <c r="A146" i="15"/>
  <c r="B146" i="15"/>
  <c r="C146" i="15"/>
  <c r="D146" i="15"/>
  <c r="E146" i="15"/>
  <c r="F146" i="15"/>
  <c r="G146" i="15"/>
  <c r="H146" i="15"/>
  <c r="I146" i="15"/>
  <c r="J146" i="15"/>
  <c r="K146" i="15"/>
  <c r="L146" i="15"/>
  <c r="M146" i="15"/>
  <c r="N146" i="15"/>
  <c r="O146" i="15"/>
  <c r="P146" i="15"/>
  <c r="Q146" i="15"/>
  <c r="R146" i="15"/>
  <c r="S146" i="15"/>
  <c r="T146" i="15"/>
  <c r="U146" i="15"/>
  <c r="V146" i="15"/>
  <c r="W146" i="15"/>
  <c r="X146" i="15"/>
  <c r="Y146" i="15"/>
  <c r="Z146" i="15"/>
  <c r="AA146" i="15"/>
  <c r="AB146" i="15"/>
  <c r="AC146" i="15"/>
  <c r="AD146" i="15"/>
  <c r="AE146" i="15"/>
  <c r="AF146" i="15"/>
  <c r="AG146" i="15"/>
  <c r="AH146" i="15"/>
  <c r="AI146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BB146" i="15"/>
  <c r="BC146" i="15"/>
  <c r="BD146" i="15"/>
  <c r="BE146" i="15"/>
  <c r="BF146" i="15"/>
  <c r="BG146" i="15"/>
  <c r="BH146" i="15"/>
  <c r="BI146" i="15"/>
  <c r="BJ146" i="15"/>
  <c r="BK146" i="15"/>
  <c r="BL146" i="15"/>
  <c r="BM146" i="15"/>
  <c r="BN146" i="15"/>
  <c r="BO146" i="15"/>
  <c r="BP146" i="15"/>
  <c r="BQ146" i="15"/>
  <c r="BR146" i="15"/>
  <c r="BS146" i="15"/>
  <c r="BT146" i="15"/>
  <c r="BU146" i="15"/>
  <c r="BV146" i="15"/>
  <c r="BW146" i="15"/>
  <c r="BX146" i="15"/>
  <c r="BY146" i="15"/>
  <c r="BZ146" i="15"/>
  <c r="CA146" i="15"/>
  <c r="CB146" i="15"/>
  <c r="CC146" i="15"/>
  <c r="CD146" i="15"/>
  <c r="CE146" i="15"/>
  <c r="CF146" i="15"/>
  <c r="CG146" i="15"/>
  <c r="CH146" i="15"/>
  <c r="CI146" i="15"/>
  <c r="CJ146" i="15"/>
  <c r="CK146" i="15"/>
  <c r="CL146" i="15"/>
  <c r="CM146" i="15"/>
  <c r="CN146" i="15"/>
  <c r="CO146" i="15"/>
  <c r="A147" i="15"/>
  <c r="B147" i="15"/>
  <c r="C147" i="15"/>
  <c r="D147" i="15"/>
  <c r="E147" i="15"/>
  <c r="F147" i="15"/>
  <c r="G147" i="15"/>
  <c r="H147" i="15"/>
  <c r="I147" i="15"/>
  <c r="J147" i="15"/>
  <c r="K147" i="15"/>
  <c r="L147" i="15"/>
  <c r="M147" i="15"/>
  <c r="N147" i="15"/>
  <c r="O147" i="15"/>
  <c r="P147" i="15"/>
  <c r="Q147" i="15"/>
  <c r="R147" i="15"/>
  <c r="S147" i="15"/>
  <c r="T147" i="15"/>
  <c r="U147" i="15"/>
  <c r="V147" i="15"/>
  <c r="W147" i="15"/>
  <c r="X147" i="15"/>
  <c r="Y147" i="15"/>
  <c r="Z147" i="15"/>
  <c r="AA147" i="15"/>
  <c r="AB147" i="15"/>
  <c r="AC147" i="15"/>
  <c r="AD147" i="15"/>
  <c r="AE147" i="15"/>
  <c r="AF147" i="15"/>
  <c r="AG147" i="15"/>
  <c r="AH147" i="15"/>
  <c r="AI147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BB147" i="15"/>
  <c r="BC147" i="15"/>
  <c r="BD147" i="15"/>
  <c r="BE147" i="15"/>
  <c r="BF147" i="15"/>
  <c r="BG147" i="15"/>
  <c r="BH147" i="15"/>
  <c r="BI147" i="15"/>
  <c r="BJ147" i="15"/>
  <c r="BK147" i="15"/>
  <c r="BL147" i="15"/>
  <c r="BM147" i="15"/>
  <c r="BN147" i="15"/>
  <c r="BO147" i="15"/>
  <c r="BP147" i="15"/>
  <c r="BQ147" i="15"/>
  <c r="BR147" i="15"/>
  <c r="BS147" i="15"/>
  <c r="BT147" i="15"/>
  <c r="BU147" i="15"/>
  <c r="BV147" i="15"/>
  <c r="BW147" i="15"/>
  <c r="BX147" i="15"/>
  <c r="BY147" i="15"/>
  <c r="BZ147" i="15"/>
  <c r="CA147" i="15"/>
  <c r="CB147" i="15"/>
  <c r="CC147" i="15"/>
  <c r="CD147" i="15"/>
  <c r="CE147" i="15"/>
  <c r="CF147" i="15"/>
  <c r="CG147" i="15"/>
  <c r="CH147" i="15"/>
  <c r="CI147" i="15"/>
  <c r="CJ147" i="15"/>
  <c r="CK147" i="15"/>
  <c r="CL147" i="15"/>
  <c r="CM147" i="15"/>
  <c r="CN147" i="15"/>
  <c r="CO147" i="15"/>
  <c r="A148" i="15"/>
  <c r="B148" i="15"/>
  <c r="C148" i="15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P148" i="15"/>
  <c r="Q148" i="15"/>
  <c r="R148" i="15"/>
  <c r="S148" i="15"/>
  <c r="T148" i="15"/>
  <c r="U148" i="15"/>
  <c r="V148" i="15"/>
  <c r="W148" i="15"/>
  <c r="X148" i="15"/>
  <c r="Y148" i="15"/>
  <c r="Z148" i="15"/>
  <c r="AA148" i="15"/>
  <c r="AB148" i="15"/>
  <c r="AC148" i="15"/>
  <c r="AD148" i="15"/>
  <c r="AE148" i="15"/>
  <c r="AF148" i="15"/>
  <c r="AG148" i="15"/>
  <c r="AH148" i="15"/>
  <c r="AI148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BB148" i="15"/>
  <c r="BC148" i="15"/>
  <c r="BD148" i="15"/>
  <c r="BE148" i="15"/>
  <c r="BF148" i="15"/>
  <c r="BG148" i="15"/>
  <c r="BH148" i="15"/>
  <c r="BI148" i="15"/>
  <c r="BJ148" i="15"/>
  <c r="BK148" i="15"/>
  <c r="BL148" i="15"/>
  <c r="BM148" i="15"/>
  <c r="BN148" i="15"/>
  <c r="BO148" i="15"/>
  <c r="BP148" i="15"/>
  <c r="BQ148" i="15"/>
  <c r="BR148" i="15"/>
  <c r="BS148" i="15"/>
  <c r="BT148" i="15"/>
  <c r="BU148" i="15"/>
  <c r="BV148" i="15"/>
  <c r="BW148" i="15"/>
  <c r="BX148" i="15"/>
  <c r="BY148" i="15"/>
  <c r="BZ148" i="15"/>
  <c r="CA148" i="15"/>
  <c r="CB148" i="15"/>
  <c r="CC148" i="15"/>
  <c r="CD148" i="15"/>
  <c r="CE148" i="15"/>
  <c r="CF148" i="15"/>
  <c r="CG148" i="15"/>
  <c r="CH148" i="15"/>
  <c r="CI148" i="15"/>
  <c r="CJ148" i="15"/>
  <c r="CK148" i="15"/>
  <c r="CL148" i="15"/>
  <c r="CM148" i="15"/>
  <c r="CN148" i="15"/>
  <c r="CO148" i="15"/>
  <c r="A149" i="15"/>
  <c r="B149" i="15"/>
  <c r="C149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P149" i="15"/>
  <c r="Q149" i="15"/>
  <c r="R149" i="15"/>
  <c r="S149" i="15"/>
  <c r="T149" i="15"/>
  <c r="U149" i="15"/>
  <c r="V149" i="15"/>
  <c r="W149" i="15"/>
  <c r="X149" i="15"/>
  <c r="Y149" i="15"/>
  <c r="Z149" i="15"/>
  <c r="AA149" i="15"/>
  <c r="AB149" i="15"/>
  <c r="AC149" i="15"/>
  <c r="AD149" i="15"/>
  <c r="AE149" i="15"/>
  <c r="AF149" i="15"/>
  <c r="AG149" i="15"/>
  <c r="AH149" i="15"/>
  <c r="AI149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BB149" i="15"/>
  <c r="BC149" i="15"/>
  <c r="BD149" i="15"/>
  <c r="BE149" i="15"/>
  <c r="BF149" i="15"/>
  <c r="BG149" i="15"/>
  <c r="BH149" i="15"/>
  <c r="BI149" i="15"/>
  <c r="BJ149" i="15"/>
  <c r="BK149" i="15"/>
  <c r="BL149" i="15"/>
  <c r="BM149" i="15"/>
  <c r="BN149" i="15"/>
  <c r="BO149" i="15"/>
  <c r="BP149" i="15"/>
  <c r="BQ149" i="15"/>
  <c r="BR149" i="15"/>
  <c r="BS149" i="15"/>
  <c r="BT149" i="15"/>
  <c r="BU149" i="15"/>
  <c r="BV149" i="15"/>
  <c r="BW149" i="15"/>
  <c r="BX149" i="15"/>
  <c r="BY149" i="15"/>
  <c r="BZ149" i="15"/>
  <c r="CA149" i="15"/>
  <c r="CB149" i="15"/>
  <c r="CC149" i="15"/>
  <c r="CD149" i="15"/>
  <c r="CE149" i="15"/>
  <c r="CF149" i="15"/>
  <c r="CG149" i="15"/>
  <c r="CH149" i="15"/>
  <c r="CI149" i="15"/>
  <c r="CJ149" i="15"/>
  <c r="CK149" i="15"/>
  <c r="CL149" i="15"/>
  <c r="CM149" i="15"/>
  <c r="CN149" i="15"/>
  <c r="CO149" i="15"/>
  <c r="A150" i="15"/>
  <c r="B150" i="15"/>
  <c r="C150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P150" i="15"/>
  <c r="Q150" i="15"/>
  <c r="R150" i="15"/>
  <c r="S150" i="15"/>
  <c r="T150" i="15"/>
  <c r="U150" i="15"/>
  <c r="V150" i="15"/>
  <c r="W150" i="15"/>
  <c r="X150" i="15"/>
  <c r="Y150" i="15"/>
  <c r="Z150" i="15"/>
  <c r="AA150" i="15"/>
  <c r="AB150" i="15"/>
  <c r="AC150" i="15"/>
  <c r="AD150" i="15"/>
  <c r="AE150" i="15"/>
  <c r="AF150" i="15"/>
  <c r="AG150" i="15"/>
  <c r="AH150" i="15"/>
  <c r="AI150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BB150" i="15"/>
  <c r="BC150" i="15"/>
  <c r="BD150" i="15"/>
  <c r="BE150" i="15"/>
  <c r="BF150" i="15"/>
  <c r="BG150" i="15"/>
  <c r="BH150" i="15"/>
  <c r="BI150" i="15"/>
  <c r="BJ150" i="15"/>
  <c r="BK150" i="15"/>
  <c r="BL150" i="15"/>
  <c r="BM150" i="15"/>
  <c r="BN150" i="15"/>
  <c r="BO150" i="15"/>
  <c r="BP150" i="15"/>
  <c r="BQ150" i="15"/>
  <c r="BR150" i="15"/>
  <c r="BS150" i="15"/>
  <c r="BT150" i="15"/>
  <c r="BU150" i="15"/>
  <c r="BV150" i="15"/>
  <c r="BW150" i="15"/>
  <c r="BX150" i="15"/>
  <c r="BY150" i="15"/>
  <c r="BZ150" i="15"/>
  <c r="CA150" i="15"/>
  <c r="CB150" i="15"/>
  <c r="CC150" i="15"/>
  <c r="CD150" i="15"/>
  <c r="CE150" i="15"/>
  <c r="CF150" i="15"/>
  <c r="CG150" i="15"/>
  <c r="CH150" i="15"/>
  <c r="CI150" i="15"/>
  <c r="CJ150" i="15"/>
  <c r="CK150" i="15"/>
  <c r="CL150" i="15"/>
  <c r="CM150" i="15"/>
  <c r="CN150" i="15"/>
  <c r="CO150" i="15"/>
  <c r="A151" i="15"/>
  <c r="B151" i="15"/>
  <c r="C151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X151" i="15"/>
  <c r="Y151" i="15"/>
  <c r="Z151" i="15"/>
  <c r="AA151" i="15"/>
  <c r="AB151" i="15"/>
  <c r="AC151" i="15"/>
  <c r="AD151" i="15"/>
  <c r="AE151" i="15"/>
  <c r="AF151" i="15"/>
  <c r="AG151" i="15"/>
  <c r="AH151" i="15"/>
  <c r="AI151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BB151" i="15"/>
  <c r="BC151" i="15"/>
  <c r="BD151" i="15"/>
  <c r="BE151" i="15"/>
  <c r="BF151" i="15"/>
  <c r="BG151" i="15"/>
  <c r="BH151" i="15"/>
  <c r="BI151" i="15"/>
  <c r="BJ151" i="15"/>
  <c r="BK151" i="15"/>
  <c r="BL151" i="15"/>
  <c r="BM151" i="15"/>
  <c r="BN151" i="15"/>
  <c r="BO151" i="15"/>
  <c r="BP151" i="15"/>
  <c r="BQ151" i="15"/>
  <c r="BR151" i="15"/>
  <c r="BS151" i="15"/>
  <c r="BT151" i="15"/>
  <c r="BU151" i="15"/>
  <c r="BV151" i="15"/>
  <c r="BW151" i="15"/>
  <c r="BX151" i="15"/>
  <c r="BY151" i="15"/>
  <c r="BZ151" i="15"/>
  <c r="CA151" i="15"/>
  <c r="CB151" i="15"/>
  <c r="CC151" i="15"/>
  <c r="CD151" i="15"/>
  <c r="CE151" i="15"/>
  <c r="CF151" i="15"/>
  <c r="CG151" i="15"/>
  <c r="CH151" i="15"/>
  <c r="CI151" i="15"/>
  <c r="CJ151" i="15"/>
  <c r="CK151" i="15"/>
  <c r="CL151" i="15"/>
  <c r="CM151" i="15"/>
  <c r="CN151" i="15"/>
  <c r="CO151" i="15"/>
  <c r="A152" i="15"/>
  <c r="B152" i="15"/>
  <c r="C152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P152" i="15"/>
  <c r="Q152" i="15"/>
  <c r="R152" i="15"/>
  <c r="S152" i="15"/>
  <c r="T152" i="15"/>
  <c r="U152" i="15"/>
  <c r="V152" i="15"/>
  <c r="W152" i="15"/>
  <c r="X152" i="15"/>
  <c r="Y152" i="15"/>
  <c r="Z152" i="15"/>
  <c r="AA152" i="15"/>
  <c r="AB152" i="15"/>
  <c r="AC152" i="15"/>
  <c r="AD152" i="15"/>
  <c r="AE152" i="15"/>
  <c r="AF152" i="15"/>
  <c r="AG152" i="15"/>
  <c r="AH152" i="15"/>
  <c r="AI152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BB152" i="15"/>
  <c r="BC152" i="15"/>
  <c r="BD152" i="15"/>
  <c r="BE152" i="15"/>
  <c r="BF152" i="15"/>
  <c r="BG152" i="15"/>
  <c r="BH152" i="15"/>
  <c r="BI152" i="15"/>
  <c r="BJ152" i="15"/>
  <c r="BK152" i="15"/>
  <c r="BL152" i="15"/>
  <c r="BM152" i="15"/>
  <c r="BN152" i="15"/>
  <c r="BO152" i="15"/>
  <c r="BP152" i="15"/>
  <c r="BQ152" i="15"/>
  <c r="BR152" i="15"/>
  <c r="BS152" i="15"/>
  <c r="BT152" i="15"/>
  <c r="BU152" i="15"/>
  <c r="BV152" i="15"/>
  <c r="BW152" i="15"/>
  <c r="BX152" i="15"/>
  <c r="BY152" i="15"/>
  <c r="BZ152" i="15"/>
  <c r="CA152" i="15"/>
  <c r="CB152" i="15"/>
  <c r="CC152" i="15"/>
  <c r="CD152" i="15"/>
  <c r="CE152" i="15"/>
  <c r="CF152" i="15"/>
  <c r="CG152" i="15"/>
  <c r="CH152" i="15"/>
  <c r="CI152" i="15"/>
  <c r="CJ152" i="15"/>
  <c r="CK152" i="15"/>
  <c r="CL152" i="15"/>
  <c r="CM152" i="15"/>
  <c r="CN152" i="15"/>
  <c r="CO152" i="15"/>
  <c r="A153" i="15"/>
  <c r="B153" i="15"/>
  <c r="C153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P153" i="15"/>
  <c r="Q153" i="15"/>
  <c r="R153" i="15"/>
  <c r="S153" i="15"/>
  <c r="T153" i="15"/>
  <c r="U153" i="15"/>
  <c r="V153" i="15"/>
  <c r="W153" i="15"/>
  <c r="X153" i="15"/>
  <c r="Y153" i="15"/>
  <c r="Z153" i="15"/>
  <c r="AA153" i="15"/>
  <c r="AB153" i="15"/>
  <c r="AC153" i="15"/>
  <c r="AD153" i="15"/>
  <c r="AE153" i="15"/>
  <c r="AF153" i="15"/>
  <c r="AG153" i="15"/>
  <c r="AH153" i="15"/>
  <c r="AI153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BB153" i="15"/>
  <c r="BC153" i="15"/>
  <c r="BD153" i="15"/>
  <c r="BE153" i="15"/>
  <c r="BF153" i="15"/>
  <c r="BG153" i="15"/>
  <c r="BH153" i="15"/>
  <c r="BI153" i="15"/>
  <c r="BJ153" i="15"/>
  <c r="BK153" i="15"/>
  <c r="BL153" i="15"/>
  <c r="BM153" i="15"/>
  <c r="BN153" i="15"/>
  <c r="BO153" i="15"/>
  <c r="BP153" i="15"/>
  <c r="BQ153" i="15"/>
  <c r="BR153" i="15"/>
  <c r="BS153" i="15"/>
  <c r="BT153" i="15"/>
  <c r="BU153" i="15"/>
  <c r="BV153" i="15"/>
  <c r="BW153" i="15"/>
  <c r="BX153" i="15"/>
  <c r="BY153" i="15"/>
  <c r="BZ153" i="15"/>
  <c r="CA153" i="15"/>
  <c r="CB153" i="15"/>
  <c r="CC153" i="15"/>
  <c r="CD153" i="15"/>
  <c r="CE153" i="15"/>
  <c r="CF153" i="15"/>
  <c r="CG153" i="15"/>
  <c r="CH153" i="15"/>
  <c r="CI153" i="15"/>
  <c r="CJ153" i="15"/>
  <c r="CK153" i="15"/>
  <c r="CL153" i="15"/>
  <c r="CM153" i="15"/>
  <c r="CN153" i="15"/>
  <c r="CO153" i="15"/>
  <c r="A154" i="15"/>
  <c r="B154" i="15"/>
  <c r="C154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P154" i="15"/>
  <c r="Q154" i="15"/>
  <c r="R154" i="15"/>
  <c r="S154" i="15"/>
  <c r="T154" i="15"/>
  <c r="U154" i="15"/>
  <c r="V154" i="15"/>
  <c r="W154" i="15"/>
  <c r="X154" i="15"/>
  <c r="Y154" i="15"/>
  <c r="Z154" i="15"/>
  <c r="AA154" i="15"/>
  <c r="AB154" i="15"/>
  <c r="AC154" i="15"/>
  <c r="AD154" i="15"/>
  <c r="AE154" i="15"/>
  <c r="AF154" i="15"/>
  <c r="AG154" i="15"/>
  <c r="AH154" i="15"/>
  <c r="AI154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BB154" i="15"/>
  <c r="BC154" i="15"/>
  <c r="BD154" i="15"/>
  <c r="BE154" i="15"/>
  <c r="BF154" i="15"/>
  <c r="BG154" i="15"/>
  <c r="BH154" i="15"/>
  <c r="BI154" i="15"/>
  <c r="BJ154" i="15"/>
  <c r="BK154" i="15"/>
  <c r="BL154" i="15"/>
  <c r="BM154" i="15"/>
  <c r="BN154" i="15"/>
  <c r="BO154" i="15"/>
  <c r="BP154" i="15"/>
  <c r="BQ154" i="15"/>
  <c r="BR154" i="15"/>
  <c r="BS154" i="15"/>
  <c r="BT154" i="15"/>
  <c r="BU154" i="15"/>
  <c r="BV154" i="15"/>
  <c r="BW154" i="15"/>
  <c r="BX154" i="15"/>
  <c r="BY154" i="15"/>
  <c r="BZ154" i="15"/>
  <c r="CA154" i="15"/>
  <c r="CB154" i="15"/>
  <c r="CC154" i="15"/>
  <c r="CD154" i="15"/>
  <c r="CE154" i="15"/>
  <c r="CF154" i="15"/>
  <c r="CG154" i="15"/>
  <c r="CH154" i="15"/>
  <c r="CI154" i="15"/>
  <c r="CJ154" i="15"/>
  <c r="CK154" i="15"/>
  <c r="CL154" i="15"/>
  <c r="CM154" i="15"/>
  <c r="CN154" i="15"/>
  <c r="CO154" i="15"/>
  <c r="A155" i="15"/>
  <c r="B155" i="15"/>
  <c r="C155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P155" i="15"/>
  <c r="Q155" i="15"/>
  <c r="R155" i="15"/>
  <c r="S155" i="15"/>
  <c r="T155" i="15"/>
  <c r="U155" i="15"/>
  <c r="V155" i="15"/>
  <c r="W155" i="15"/>
  <c r="X155" i="15"/>
  <c r="Y155" i="15"/>
  <c r="Z155" i="15"/>
  <c r="AA155" i="15"/>
  <c r="AB155" i="15"/>
  <c r="AC155" i="15"/>
  <c r="AD155" i="15"/>
  <c r="AE155" i="15"/>
  <c r="AF155" i="15"/>
  <c r="AG155" i="15"/>
  <c r="AH155" i="15"/>
  <c r="AI155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BB155" i="15"/>
  <c r="BC155" i="15"/>
  <c r="BD155" i="15"/>
  <c r="BE155" i="15"/>
  <c r="BF155" i="15"/>
  <c r="BG155" i="15"/>
  <c r="BH155" i="15"/>
  <c r="BI155" i="15"/>
  <c r="BJ155" i="15"/>
  <c r="BK155" i="15"/>
  <c r="BL155" i="15"/>
  <c r="BM155" i="15"/>
  <c r="BN155" i="15"/>
  <c r="BO155" i="15"/>
  <c r="BP155" i="15"/>
  <c r="BQ155" i="15"/>
  <c r="BR155" i="15"/>
  <c r="BS155" i="15"/>
  <c r="BT155" i="15"/>
  <c r="BU155" i="15"/>
  <c r="BV155" i="15"/>
  <c r="BW155" i="15"/>
  <c r="BX155" i="15"/>
  <c r="BY155" i="15"/>
  <c r="BZ155" i="15"/>
  <c r="CA155" i="15"/>
  <c r="CB155" i="15"/>
  <c r="CC155" i="15"/>
  <c r="CD155" i="15"/>
  <c r="CE155" i="15"/>
  <c r="CF155" i="15"/>
  <c r="CG155" i="15"/>
  <c r="CH155" i="15"/>
  <c r="CI155" i="15"/>
  <c r="CJ155" i="15"/>
  <c r="CK155" i="15"/>
  <c r="CL155" i="15"/>
  <c r="CM155" i="15"/>
  <c r="CN155" i="15"/>
  <c r="CO155" i="15"/>
  <c r="A156" i="15"/>
  <c r="B156" i="15"/>
  <c r="C156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P156" i="15"/>
  <c r="Q156" i="15"/>
  <c r="R156" i="15"/>
  <c r="S156" i="15"/>
  <c r="T156" i="15"/>
  <c r="U156" i="15"/>
  <c r="V156" i="15"/>
  <c r="W156" i="15"/>
  <c r="X156" i="15"/>
  <c r="Y156" i="15"/>
  <c r="Z156" i="15"/>
  <c r="AA156" i="15"/>
  <c r="AB156" i="15"/>
  <c r="AC156" i="15"/>
  <c r="AD156" i="15"/>
  <c r="AE156" i="15"/>
  <c r="AF156" i="15"/>
  <c r="AG156" i="15"/>
  <c r="AH156" i="15"/>
  <c r="AI156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BB156" i="15"/>
  <c r="BC156" i="15"/>
  <c r="BD156" i="15"/>
  <c r="BE156" i="15"/>
  <c r="BF156" i="15"/>
  <c r="BG156" i="15"/>
  <c r="BH156" i="15"/>
  <c r="BI156" i="15"/>
  <c r="BJ156" i="15"/>
  <c r="BK156" i="15"/>
  <c r="BL156" i="15"/>
  <c r="BM156" i="15"/>
  <c r="BN156" i="15"/>
  <c r="BO156" i="15"/>
  <c r="BP156" i="15"/>
  <c r="BQ156" i="15"/>
  <c r="BR156" i="15"/>
  <c r="BS156" i="15"/>
  <c r="BT156" i="15"/>
  <c r="BU156" i="15"/>
  <c r="BV156" i="15"/>
  <c r="BW156" i="15"/>
  <c r="BX156" i="15"/>
  <c r="BY156" i="15"/>
  <c r="BZ156" i="15"/>
  <c r="CA156" i="15"/>
  <c r="CB156" i="15"/>
  <c r="CC156" i="15"/>
  <c r="CD156" i="15"/>
  <c r="CE156" i="15"/>
  <c r="CF156" i="15"/>
  <c r="CG156" i="15"/>
  <c r="CH156" i="15"/>
  <c r="CI156" i="15"/>
  <c r="CJ156" i="15"/>
  <c r="CK156" i="15"/>
  <c r="CL156" i="15"/>
  <c r="CM156" i="15"/>
  <c r="CN156" i="15"/>
  <c r="CO156" i="15"/>
  <c r="A157" i="15"/>
  <c r="B157" i="15"/>
  <c r="C157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P157" i="15"/>
  <c r="Q157" i="15"/>
  <c r="R157" i="15"/>
  <c r="S157" i="15"/>
  <c r="T157" i="15"/>
  <c r="U157" i="15"/>
  <c r="V157" i="15"/>
  <c r="W157" i="15"/>
  <c r="X157" i="15"/>
  <c r="Y157" i="15"/>
  <c r="Z157" i="15"/>
  <c r="AA157" i="15"/>
  <c r="AB157" i="15"/>
  <c r="AC157" i="15"/>
  <c r="AD157" i="15"/>
  <c r="AE157" i="15"/>
  <c r="AF157" i="15"/>
  <c r="AG157" i="15"/>
  <c r="AH157" i="15"/>
  <c r="AI157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BB157" i="15"/>
  <c r="BC157" i="15"/>
  <c r="BD157" i="15"/>
  <c r="BE157" i="15"/>
  <c r="BF157" i="15"/>
  <c r="BG157" i="15"/>
  <c r="BH157" i="15"/>
  <c r="BI157" i="15"/>
  <c r="BJ157" i="15"/>
  <c r="BK157" i="15"/>
  <c r="BL157" i="15"/>
  <c r="BM157" i="15"/>
  <c r="BN157" i="15"/>
  <c r="BO157" i="15"/>
  <c r="BP157" i="15"/>
  <c r="BQ157" i="15"/>
  <c r="BR157" i="15"/>
  <c r="BS157" i="15"/>
  <c r="BT157" i="15"/>
  <c r="BU157" i="15"/>
  <c r="BV157" i="15"/>
  <c r="BW157" i="15"/>
  <c r="BX157" i="15"/>
  <c r="BY157" i="15"/>
  <c r="BZ157" i="15"/>
  <c r="CA157" i="15"/>
  <c r="CB157" i="15"/>
  <c r="CC157" i="15"/>
  <c r="CD157" i="15"/>
  <c r="CE157" i="15"/>
  <c r="CF157" i="15"/>
  <c r="CG157" i="15"/>
  <c r="CH157" i="15"/>
  <c r="CI157" i="15"/>
  <c r="CJ157" i="15"/>
  <c r="CK157" i="15"/>
  <c r="CL157" i="15"/>
  <c r="CM157" i="15"/>
  <c r="CN157" i="15"/>
  <c r="CO157" i="15"/>
  <c r="A158" i="15"/>
  <c r="B158" i="15"/>
  <c r="C158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P158" i="15"/>
  <c r="Q158" i="15"/>
  <c r="R158" i="15"/>
  <c r="S158" i="15"/>
  <c r="T158" i="15"/>
  <c r="U158" i="15"/>
  <c r="V158" i="15"/>
  <c r="W158" i="15"/>
  <c r="X158" i="15"/>
  <c r="Y158" i="15"/>
  <c r="Z158" i="15"/>
  <c r="AA158" i="15"/>
  <c r="AB158" i="15"/>
  <c r="AC158" i="15"/>
  <c r="AD158" i="15"/>
  <c r="AE158" i="15"/>
  <c r="AF158" i="15"/>
  <c r="AG158" i="15"/>
  <c r="AH158" i="15"/>
  <c r="AI158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BB158" i="15"/>
  <c r="BC158" i="15"/>
  <c r="BD158" i="15"/>
  <c r="BE158" i="15"/>
  <c r="BF158" i="15"/>
  <c r="BG158" i="15"/>
  <c r="BH158" i="15"/>
  <c r="BI158" i="15"/>
  <c r="BJ158" i="15"/>
  <c r="BK158" i="15"/>
  <c r="BL158" i="15"/>
  <c r="BM158" i="15"/>
  <c r="BN158" i="15"/>
  <c r="BO158" i="15"/>
  <c r="BP158" i="15"/>
  <c r="BQ158" i="15"/>
  <c r="BR158" i="15"/>
  <c r="BS158" i="15"/>
  <c r="BT158" i="15"/>
  <c r="BU158" i="15"/>
  <c r="BV158" i="15"/>
  <c r="BW158" i="15"/>
  <c r="BX158" i="15"/>
  <c r="BY158" i="15"/>
  <c r="BZ158" i="15"/>
  <c r="CA158" i="15"/>
  <c r="CB158" i="15"/>
  <c r="CC158" i="15"/>
  <c r="CD158" i="15"/>
  <c r="CE158" i="15"/>
  <c r="CF158" i="15"/>
  <c r="CG158" i="15"/>
  <c r="CH158" i="15"/>
  <c r="CI158" i="15"/>
  <c r="CJ158" i="15"/>
  <c r="CK158" i="15"/>
  <c r="CL158" i="15"/>
  <c r="CM158" i="15"/>
  <c r="CN158" i="15"/>
  <c r="CO158" i="15"/>
  <c r="A159" i="15"/>
  <c r="B159" i="15"/>
  <c r="C159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P159" i="15"/>
  <c r="Q159" i="15"/>
  <c r="R159" i="15"/>
  <c r="S159" i="15"/>
  <c r="T159" i="15"/>
  <c r="U159" i="15"/>
  <c r="V159" i="15"/>
  <c r="W159" i="15"/>
  <c r="X159" i="15"/>
  <c r="Y159" i="15"/>
  <c r="Z159" i="15"/>
  <c r="AA159" i="15"/>
  <c r="AB159" i="15"/>
  <c r="AC159" i="15"/>
  <c r="AD159" i="15"/>
  <c r="AE159" i="15"/>
  <c r="AF159" i="15"/>
  <c r="AG159" i="15"/>
  <c r="AH159" i="15"/>
  <c r="AI159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BB159" i="15"/>
  <c r="BC159" i="15"/>
  <c r="BD159" i="15"/>
  <c r="BE159" i="15"/>
  <c r="BF159" i="15"/>
  <c r="BG159" i="15"/>
  <c r="BH159" i="15"/>
  <c r="BI159" i="15"/>
  <c r="BJ159" i="15"/>
  <c r="BK159" i="15"/>
  <c r="BL159" i="15"/>
  <c r="BM159" i="15"/>
  <c r="BN159" i="15"/>
  <c r="BO159" i="15"/>
  <c r="BP159" i="15"/>
  <c r="BQ159" i="15"/>
  <c r="BR159" i="15"/>
  <c r="BS159" i="15"/>
  <c r="BT159" i="15"/>
  <c r="BU159" i="15"/>
  <c r="BV159" i="15"/>
  <c r="BW159" i="15"/>
  <c r="BX159" i="15"/>
  <c r="BY159" i="15"/>
  <c r="BZ159" i="15"/>
  <c r="CA159" i="15"/>
  <c r="CB159" i="15"/>
  <c r="CC159" i="15"/>
  <c r="CD159" i="15"/>
  <c r="CE159" i="15"/>
  <c r="CF159" i="15"/>
  <c r="CG159" i="15"/>
  <c r="CH159" i="15"/>
  <c r="CI159" i="15"/>
  <c r="CJ159" i="15"/>
  <c r="CK159" i="15"/>
  <c r="CL159" i="15"/>
  <c r="CM159" i="15"/>
  <c r="CN159" i="15"/>
  <c r="CO159" i="15"/>
  <c r="A160" i="15"/>
  <c r="B160" i="15"/>
  <c r="C160" i="15"/>
  <c r="D160" i="15"/>
  <c r="E160" i="15"/>
  <c r="F160" i="15"/>
  <c r="G160" i="15"/>
  <c r="H160" i="15"/>
  <c r="I160" i="15"/>
  <c r="J160" i="15"/>
  <c r="K160" i="15"/>
  <c r="L160" i="15"/>
  <c r="M160" i="15"/>
  <c r="N160" i="15"/>
  <c r="O160" i="15"/>
  <c r="P160" i="15"/>
  <c r="Q160" i="15"/>
  <c r="R160" i="15"/>
  <c r="S160" i="15"/>
  <c r="T160" i="15"/>
  <c r="U160" i="15"/>
  <c r="V160" i="15"/>
  <c r="W160" i="15"/>
  <c r="X160" i="15"/>
  <c r="Y160" i="15"/>
  <c r="Z160" i="15"/>
  <c r="AA160" i="15"/>
  <c r="AB160" i="15"/>
  <c r="AC160" i="15"/>
  <c r="AD160" i="15"/>
  <c r="AE160" i="15"/>
  <c r="AF160" i="15"/>
  <c r="AG160" i="15"/>
  <c r="AH160" i="15"/>
  <c r="AI160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BB160" i="15"/>
  <c r="BC160" i="15"/>
  <c r="BD160" i="15"/>
  <c r="BE160" i="15"/>
  <c r="BF160" i="15"/>
  <c r="BG160" i="15"/>
  <c r="BH160" i="15"/>
  <c r="BI160" i="15"/>
  <c r="BJ160" i="15"/>
  <c r="BK160" i="15"/>
  <c r="BL160" i="15"/>
  <c r="BM160" i="15"/>
  <c r="BN160" i="15"/>
  <c r="BO160" i="15"/>
  <c r="BP160" i="15"/>
  <c r="BQ160" i="15"/>
  <c r="BR160" i="15"/>
  <c r="BS160" i="15"/>
  <c r="BT160" i="15"/>
  <c r="BU160" i="15"/>
  <c r="BV160" i="15"/>
  <c r="BW160" i="15"/>
  <c r="BX160" i="15"/>
  <c r="BY160" i="15"/>
  <c r="BZ160" i="15"/>
  <c r="CA160" i="15"/>
  <c r="CB160" i="15"/>
  <c r="CC160" i="15"/>
  <c r="CD160" i="15"/>
  <c r="CE160" i="15"/>
  <c r="CF160" i="15"/>
  <c r="CG160" i="15"/>
  <c r="CH160" i="15"/>
  <c r="CI160" i="15"/>
  <c r="CJ160" i="15"/>
  <c r="CK160" i="15"/>
  <c r="CL160" i="15"/>
  <c r="CM160" i="15"/>
  <c r="CN160" i="15"/>
  <c r="CO160" i="15"/>
  <c r="A161" i="15"/>
  <c r="B161" i="15"/>
  <c r="C161" i="15"/>
  <c r="D161" i="15"/>
  <c r="E161" i="15"/>
  <c r="F161" i="15"/>
  <c r="G161" i="15"/>
  <c r="H161" i="15"/>
  <c r="I161" i="15"/>
  <c r="J161" i="15"/>
  <c r="K161" i="15"/>
  <c r="L161" i="15"/>
  <c r="M161" i="15"/>
  <c r="N161" i="15"/>
  <c r="O161" i="15"/>
  <c r="P161" i="15"/>
  <c r="Q161" i="15"/>
  <c r="R161" i="15"/>
  <c r="S161" i="15"/>
  <c r="T161" i="15"/>
  <c r="U161" i="15"/>
  <c r="V161" i="15"/>
  <c r="W161" i="15"/>
  <c r="X161" i="15"/>
  <c r="Y161" i="15"/>
  <c r="Z161" i="15"/>
  <c r="AA161" i="15"/>
  <c r="AB161" i="15"/>
  <c r="AC161" i="15"/>
  <c r="AD161" i="15"/>
  <c r="AE161" i="15"/>
  <c r="AF161" i="15"/>
  <c r="AG161" i="15"/>
  <c r="AH161" i="15"/>
  <c r="AI161" i="15"/>
  <c r="AJ161" i="15"/>
  <c r="AK161" i="15"/>
  <c r="AL161" i="15"/>
  <c r="AM161" i="15"/>
  <c r="AN161" i="15"/>
  <c r="AO161" i="15"/>
  <c r="AP161" i="15"/>
  <c r="AQ161" i="15"/>
  <c r="AR161" i="15"/>
  <c r="AS161" i="15"/>
  <c r="AT161" i="15"/>
  <c r="AU161" i="15"/>
  <c r="AV161" i="15"/>
  <c r="AW161" i="15"/>
  <c r="AX161" i="15"/>
  <c r="AY161" i="15"/>
  <c r="AZ161" i="15"/>
  <c r="BA161" i="15"/>
  <c r="BB161" i="15"/>
  <c r="BC161" i="15"/>
  <c r="BD161" i="15"/>
  <c r="BE161" i="15"/>
  <c r="BF161" i="15"/>
  <c r="BG161" i="15"/>
  <c r="BH161" i="15"/>
  <c r="BI161" i="15"/>
  <c r="BJ161" i="15"/>
  <c r="BK161" i="15"/>
  <c r="BL161" i="15"/>
  <c r="BM161" i="15"/>
  <c r="BN161" i="15"/>
  <c r="BO161" i="15"/>
  <c r="BP161" i="15"/>
  <c r="BQ161" i="15"/>
  <c r="BR161" i="15"/>
  <c r="BS161" i="15"/>
  <c r="BT161" i="15"/>
  <c r="BU161" i="15"/>
  <c r="BV161" i="15"/>
  <c r="BW161" i="15"/>
  <c r="BX161" i="15"/>
  <c r="BY161" i="15"/>
  <c r="BZ161" i="15"/>
  <c r="CA161" i="15"/>
  <c r="CB161" i="15"/>
  <c r="CC161" i="15"/>
  <c r="CD161" i="15"/>
  <c r="CE161" i="15"/>
  <c r="CF161" i="15"/>
  <c r="CG161" i="15"/>
  <c r="CH161" i="15"/>
  <c r="CI161" i="15"/>
  <c r="CJ161" i="15"/>
  <c r="CK161" i="15"/>
  <c r="CL161" i="15"/>
  <c r="CM161" i="15"/>
  <c r="CN161" i="15"/>
  <c r="CO161" i="15"/>
  <c r="A162" i="15"/>
  <c r="B162" i="15"/>
  <c r="C162" i="15"/>
  <c r="D162" i="15"/>
  <c r="E162" i="15"/>
  <c r="F162" i="15"/>
  <c r="G162" i="15"/>
  <c r="H162" i="15"/>
  <c r="I162" i="15"/>
  <c r="J162" i="15"/>
  <c r="K162" i="15"/>
  <c r="L162" i="15"/>
  <c r="M162" i="15"/>
  <c r="N162" i="15"/>
  <c r="O162" i="15"/>
  <c r="P162" i="15"/>
  <c r="Q162" i="15"/>
  <c r="R162" i="15"/>
  <c r="S162" i="15"/>
  <c r="T162" i="15"/>
  <c r="U162" i="15"/>
  <c r="V162" i="15"/>
  <c r="W162" i="15"/>
  <c r="X162" i="15"/>
  <c r="Y162" i="15"/>
  <c r="Z162" i="15"/>
  <c r="AA162" i="15"/>
  <c r="AB162" i="15"/>
  <c r="AC162" i="15"/>
  <c r="AD162" i="15"/>
  <c r="AE162" i="15"/>
  <c r="AF162" i="15"/>
  <c r="AG162" i="15"/>
  <c r="AH162" i="15"/>
  <c r="AI162" i="15"/>
  <c r="AJ162" i="15"/>
  <c r="AK162" i="15"/>
  <c r="AL162" i="15"/>
  <c r="AM162" i="15"/>
  <c r="AN162" i="15"/>
  <c r="AO162" i="15"/>
  <c r="AP162" i="15"/>
  <c r="AQ162" i="15"/>
  <c r="AR162" i="15"/>
  <c r="AS162" i="15"/>
  <c r="AT162" i="15"/>
  <c r="AU162" i="15"/>
  <c r="AV162" i="15"/>
  <c r="AW162" i="15"/>
  <c r="AX162" i="15"/>
  <c r="AY162" i="15"/>
  <c r="AZ162" i="15"/>
  <c r="BA162" i="15"/>
  <c r="BB162" i="15"/>
  <c r="BC162" i="15"/>
  <c r="BD162" i="15"/>
  <c r="BE162" i="15"/>
  <c r="BF162" i="15"/>
  <c r="BG162" i="15"/>
  <c r="BH162" i="15"/>
  <c r="BI162" i="15"/>
  <c r="BJ162" i="15"/>
  <c r="BK162" i="15"/>
  <c r="BL162" i="15"/>
  <c r="BM162" i="15"/>
  <c r="BN162" i="15"/>
  <c r="BO162" i="15"/>
  <c r="BP162" i="15"/>
  <c r="BQ162" i="15"/>
  <c r="BR162" i="15"/>
  <c r="BS162" i="15"/>
  <c r="BT162" i="15"/>
  <c r="BU162" i="15"/>
  <c r="BV162" i="15"/>
  <c r="BW162" i="15"/>
  <c r="BX162" i="15"/>
  <c r="BY162" i="15"/>
  <c r="BZ162" i="15"/>
  <c r="CA162" i="15"/>
  <c r="CB162" i="15"/>
  <c r="CC162" i="15"/>
  <c r="CD162" i="15"/>
  <c r="CE162" i="15"/>
  <c r="CF162" i="15"/>
  <c r="CG162" i="15"/>
  <c r="CH162" i="15"/>
  <c r="CI162" i="15"/>
  <c r="CJ162" i="15"/>
  <c r="CK162" i="15"/>
  <c r="CL162" i="15"/>
  <c r="CM162" i="15"/>
  <c r="CN162" i="15"/>
  <c r="CO162" i="15"/>
  <c r="A163" i="15"/>
  <c r="B163" i="15"/>
  <c r="C163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P163" i="15"/>
  <c r="Q163" i="15"/>
  <c r="R163" i="15"/>
  <c r="S163" i="15"/>
  <c r="T163" i="15"/>
  <c r="U163" i="15"/>
  <c r="V163" i="15"/>
  <c r="W163" i="15"/>
  <c r="X163" i="15"/>
  <c r="Y163" i="15"/>
  <c r="Z163" i="15"/>
  <c r="AA163" i="15"/>
  <c r="AB163" i="15"/>
  <c r="AC163" i="15"/>
  <c r="AD163" i="15"/>
  <c r="AE163" i="15"/>
  <c r="AF163" i="15"/>
  <c r="AG163" i="15"/>
  <c r="AH163" i="15"/>
  <c r="AI163" i="15"/>
  <c r="AJ163" i="15"/>
  <c r="AK163" i="15"/>
  <c r="AL163" i="15"/>
  <c r="AM163" i="15"/>
  <c r="AN163" i="15"/>
  <c r="AO163" i="15"/>
  <c r="AP163" i="15"/>
  <c r="AQ163" i="15"/>
  <c r="AR163" i="15"/>
  <c r="AS163" i="15"/>
  <c r="AT163" i="15"/>
  <c r="AU163" i="15"/>
  <c r="AV163" i="15"/>
  <c r="AW163" i="15"/>
  <c r="AX163" i="15"/>
  <c r="AY163" i="15"/>
  <c r="AZ163" i="15"/>
  <c r="BA163" i="15"/>
  <c r="BB163" i="15"/>
  <c r="BC163" i="15"/>
  <c r="BD163" i="15"/>
  <c r="BE163" i="15"/>
  <c r="BF163" i="15"/>
  <c r="BG163" i="15"/>
  <c r="BH163" i="15"/>
  <c r="BI163" i="15"/>
  <c r="BJ163" i="15"/>
  <c r="BK163" i="15"/>
  <c r="BL163" i="15"/>
  <c r="BM163" i="15"/>
  <c r="BN163" i="15"/>
  <c r="BO163" i="15"/>
  <c r="BP163" i="15"/>
  <c r="BQ163" i="15"/>
  <c r="BR163" i="15"/>
  <c r="BS163" i="15"/>
  <c r="BT163" i="15"/>
  <c r="BU163" i="15"/>
  <c r="BV163" i="15"/>
  <c r="BW163" i="15"/>
  <c r="BX163" i="15"/>
  <c r="BY163" i="15"/>
  <c r="BZ163" i="15"/>
  <c r="CA163" i="15"/>
  <c r="CB163" i="15"/>
  <c r="CC163" i="15"/>
  <c r="CD163" i="15"/>
  <c r="CE163" i="15"/>
  <c r="CF163" i="15"/>
  <c r="CG163" i="15"/>
  <c r="CH163" i="15"/>
  <c r="CI163" i="15"/>
  <c r="CJ163" i="15"/>
  <c r="CK163" i="15"/>
  <c r="CL163" i="15"/>
  <c r="CM163" i="15"/>
  <c r="CN163" i="15"/>
  <c r="CO163" i="15"/>
  <c r="A164" i="15"/>
  <c r="B164" i="15"/>
  <c r="C164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P164" i="15"/>
  <c r="Q164" i="15"/>
  <c r="R164" i="15"/>
  <c r="S164" i="15"/>
  <c r="T164" i="15"/>
  <c r="U164" i="15"/>
  <c r="V164" i="15"/>
  <c r="W164" i="15"/>
  <c r="X164" i="15"/>
  <c r="Y164" i="15"/>
  <c r="Z164" i="15"/>
  <c r="AA164" i="15"/>
  <c r="AB164" i="15"/>
  <c r="AC164" i="15"/>
  <c r="AD164" i="15"/>
  <c r="AE164" i="15"/>
  <c r="AF164" i="15"/>
  <c r="AG164" i="15"/>
  <c r="AH164" i="15"/>
  <c r="AI164" i="15"/>
  <c r="AJ164" i="15"/>
  <c r="AK164" i="15"/>
  <c r="AL164" i="15"/>
  <c r="AM164" i="15"/>
  <c r="AN164" i="15"/>
  <c r="AO164" i="15"/>
  <c r="AP164" i="15"/>
  <c r="AQ164" i="15"/>
  <c r="AR164" i="15"/>
  <c r="AS164" i="15"/>
  <c r="AT164" i="15"/>
  <c r="AU164" i="15"/>
  <c r="AV164" i="15"/>
  <c r="AW164" i="15"/>
  <c r="AX164" i="15"/>
  <c r="AY164" i="15"/>
  <c r="AZ164" i="15"/>
  <c r="BA164" i="15"/>
  <c r="BB164" i="15"/>
  <c r="BC164" i="15"/>
  <c r="BD164" i="15"/>
  <c r="BE164" i="15"/>
  <c r="BF164" i="15"/>
  <c r="BG164" i="15"/>
  <c r="BH164" i="15"/>
  <c r="BI164" i="15"/>
  <c r="BJ164" i="15"/>
  <c r="BK164" i="15"/>
  <c r="BL164" i="15"/>
  <c r="BM164" i="15"/>
  <c r="BN164" i="15"/>
  <c r="BO164" i="15"/>
  <c r="BP164" i="15"/>
  <c r="BQ164" i="15"/>
  <c r="BR164" i="15"/>
  <c r="BS164" i="15"/>
  <c r="BT164" i="15"/>
  <c r="BU164" i="15"/>
  <c r="BV164" i="15"/>
  <c r="BW164" i="15"/>
  <c r="BX164" i="15"/>
  <c r="BY164" i="15"/>
  <c r="BZ164" i="15"/>
  <c r="CA164" i="15"/>
  <c r="CB164" i="15"/>
  <c r="CC164" i="15"/>
  <c r="CD164" i="15"/>
  <c r="CE164" i="15"/>
  <c r="CF164" i="15"/>
  <c r="CG164" i="15"/>
  <c r="CH164" i="15"/>
  <c r="CI164" i="15"/>
  <c r="CJ164" i="15"/>
  <c r="CK164" i="15"/>
  <c r="CL164" i="15"/>
  <c r="CM164" i="15"/>
  <c r="CN164" i="15"/>
  <c r="CO164" i="15"/>
  <c r="A165" i="15"/>
  <c r="B165" i="15"/>
  <c r="C165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P165" i="15"/>
  <c r="Q165" i="15"/>
  <c r="R165" i="15"/>
  <c r="S165" i="15"/>
  <c r="T165" i="15"/>
  <c r="U165" i="15"/>
  <c r="V165" i="15"/>
  <c r="W165" i="15"/>
  <c r="X165" i="15"/>
  <c r="Y165" i="15"/>
  <c r="Z165" i="15"/>
  <c r="AA165" i="15"/>
  <c r="AB165" i="15"/>
  <c r="AC165" i="15"/>
  <c r="AD165" i="15"/>
  <c r="AE165" i="15"/>
  <c r="AF165" i="15"/>
  <c r="AG165" i="15"/>
  <c r="AH165" i="15"/>
  <c r="AI165" i="15"/>
  <c r="AJ165" i="15"/>
  <c r="AK165" i="15"/>
  <c r="AL165" i="15"/>
  <c r="AM165" i="15"/>
  <c r="AN165" i="15"/>
  <c r="AO165" i="15"/>
  <c r="AP165" i="15"/>
  <c r="AQ165" i="15"/>
  <c r="AR165" i="15"/>
  <c r="AS165" i="15"/>
  <c r="AT165" i="15"/>
  <c r="AU165" i="15"/>
  <c r="AV165" i="15"/>
  <c r="AW165" i="15"/>
  <c r="AX165" i="15"/>
  <c r="AY165" i="15"/>
  <c r="AZ165" i="15"/>
  <c r="BA165" i="15"/>
  <c r="BB165" i="15"/>
  <c r="BC165" i="15"/>
  <c r="BD165" i="15"/>
  <c r="BE165" i="15"/>
  <c r="BF165" i="15"/>
  <c r="BG165" i="15"/>
  <c r="BH165" i="15"/>
  <c r="BI165" i="15"/>
  <c r="BJ165" i="15"/>
  <c r="BK165" i="15"/>
  <c r="BL165" i="15"/>
  <c r="BM165" i="15"/>
  <c r="BN165" i="15"/>
  <c r="BO165" i="15"/>
  <c r="BP165" i="15"/>
  <c r="BQ165" i="15"/>
  <c r="BR165" i="15"/>
  <c r="BS165" i="15"/>
  <c r="BT165" i="15"/>
  <c r="BU165" i="15"/>
  <c r="BV165" i="15"/>
  <c r="BW165" i="15"/>
  <c r="BX165" i="15"/>
  <c r="BY165" i="15"/>
  <c r="BZ165" i="15"/>
  <c r="CA165" i="15"/>
  <c r="CB165" i="15"/>
  <c r="CC165" i="15"/>
  <c r="CD165" i="15"/>
  <c r="CE165" i="15"/>
  <c r="CF165" i="15"/>
  <c r="CG165" i="15"/>
  <c r="CH165" i="15"/>
  <c r="CI165" i="15"/>
  <c r="CJ165" i="15"/>
  <c r="CK165" i="15"/>
  <c r="CL165" i="15"/>
  <c r="CM165" i="15"/>
  <c r="CN165" i="15"/>
  <c r="CO165" i="15"/>
  <c r="A166" i="15"/>
  <c r="B166" i="15"/>
  <c r="C166" i="15"/>
  <c r="D166" i="15"/>
  <c r="E166" i="15"/>
  <c r="F166" i="15"/>
  <c r="G166" i="15"/>
  <c r="H166" i="15"/>
  <c r="I166" i="15"/>
  <c r="J166" i="15"/>
  <c r="K166" i="15"/>
  <c r="L166" i="15"/>
  <c r="M166" i="15"/>
  <c r="N166" i="15"/>
  <c r="O166" i="15"/>
  <c r="P166" i="15"/>
  <c r="Q166" i="15"/>
  <c r="R166" i="15"/>
  <c r="S166" i="15"/>
  <c r="T166" i="15"/>
  <c r="U166" i="15"/>
  <c r="V166" i="15"/>
  <c r="W166" i="15"/>
  <c r="X166" i="15"/>
  <c r="Y166" i="15"/>
  <c r="Z166" i="15"/>
  <c r="AA166" i="15"/>
  <c r="AB166" i="15"/>
  <c r="AC166" i="15"/>
  <c r="AD166" i="15"/>
  <c r="AE166" i="15"/>
  <c r="AF166" i="15"/>
  <c r="AG166" i="15"/>
  <c r="AH166" i="15"/>
  <c r="AI166" i="15"/>
  <c r="AJ166" i="15"/>
  <c r="AK166" i="15"/>
  <c r="AL166" i="15"/>
  <c r="AM166" i="15"/>
  <c r="AN166" i="15"/>
  <c r="AO166" i="15"/>
  <c r="AP166" i="15"/>
  <c r="AQ166" i="15"/>
  <c r="AR166" i="15"/>
  <c r="AS166" i="15"/>
  <c r="AT166" i="15"/>
  <c r="AU166" i="15"/>
  <c r="AV166" i="15"/>
  <c r="AW166" i="15"/>
  <c r="AX166" i="15"/>
  <c r="AY166" i="15"/>
  <c r="AZ166" i="15"/>
  <c r="BA166" i="15"/>
  <c r="BB166" i="15"/>
  <c r="BC166" i="15"/>
  <c r="BD166" i="15"/>
  <c r="BE166" i="15"/>
  <c r="BF166" i="15"/>
  <c r="BG166" i="15"/>
  <c r="BH166" i="15"/>
  <c r="BI166" i="15"/>
  <c r="BJ166" i="15"/>
  <c r="BK166" i="15"/>
  <c r="BL166" i="15"/>
  <c r="BM166" i="15"/>
  <c r="BN166" i="15"/>
  <c r="BO166" i="15"/>
  <c r="BP166" i="15"/>
  <c r="BQ166" i="15"/>
  <c r="BR166" i="15"/>
  <c r="BS166" i="15"/>
  <c r="BT166" i="15"/>
  <c r="BU166" i="15"/>
  <c r="BV166" i="15"/>
  <c r="BW166" i="15"/>
  <c r="BX166" i="15"/>
  <c r="BY166" i="15"/>
  <c r="BZ166" i="15"/>
  <c r="CA166" i="15"/>
  <c r="CB166" i="15"/>
  <c r="CC166" i="15"/>
  <c r="CD166" i="15"/>
  <c r="CE166" i="15"/>
  <c r="CF166" i="15"/>
  <c r="CG166" i="15"/>
  <c r="CH166" i="15"/>
  <c r="CI166" i="15"/>
  <c r="CJ166" i="15"/>
  <c r="CK166" i="15"/>
  <c r="CL166" i="15"/>
  <c r="CM166" i="15"/>
  <c r="CN166" i="15"/>
  <c r="CO166" i="15"/>
  <c r="A167" i="15"/>
  <c r="B167" i="15"/>
  <c r="C167" i="15"/>
  <c r="D167" i="15"/>
  <c r="E167" i="15"/>
  <c r="F167" i="15"/>
  <c r="G167" i="15"/>
  <c r="H167" i="15"/>
  <c r="I167" i="15"/>
  <c r="J167" i="15"/>
  <c r="K167" i="15"/>
  <c r="L167" i="15"/>
  <c r="M167" i="15"/>
  <c r="N167" i="15"/>
  <c r="O167" i="15"/>
  <c r="P167" i="15"/>
  <c r="Q167" i="15"/>
  <c r="R167" i="15"/>
  <c r="S167" i="15"/>
  <c r="T167" i="15"/>
  <c r="U167" i="15"/>
  <c r="V167" i="15"/>
  <c r="W167" i="15"/>
  <c r="X167" i="15"/>
  <c r="Y167" i="15"/>
  <c r="Z167" i="15"/>
  <c r="AA167" i="15"/>
  <c r="AB167" i="15"/>
  <c r="AC167" i="15"/>
  <c r="AD167" i="15"/>
  <c r="AE167" i="15"/>
  <c r="AF167" i="15"/>
  <c r="AG167" i="15"/>
  <c r="AH167" i="15"/>
  <c r="AI167" i="15"/>
  <c r="AJ167" i="15"/>
  <c r="AK167" i="15"/>
  <c r="AL167" i="15"/>
  <c r="AM167" i="15"/>
  <c r="AN167" i="15"/>
  <c r="AO167" i="15"/>
  <c r="AP167" i="15"/>
  <c r="AQ167" i="15"/>
  <c r="AR167" i="15"/>
  <c r="AS167" i="15"/>
  <c r="AT167" i="15"/>
  <c r="AU167" i="15"/>
  <c r="AV167" i="15"/>
  <c r="AW167" i="15"/>
  <c r="AX167" i="15"/>
  <c r="AY167" i="15"/>
  <c r="AZ167" i="15"/>
  <c r="BA167" i="15"/>
  <c r="BB167" i="15"/>
  <c r="BC167" i="15"/>
  <c r="BD167" i="15"/>
  <c r="BE167" i="15"/>
  <c r="BF167" i="15"/>
  <c r="BG167" i="15"/>
  <c r="BH167" i="15"/>
  <c r="BI167" i="15"/>
  <c r="BJ167" i="15"/>
  <c r="BK167" i="15"/>
  <c r="BL167" i="15"/>
  <c r="BM167" i="15"/>
  <c r="BN167" i="15"/>
  <c r="BO167" i="15"/>
  <c r="BP167" i="15"/>
  <c r="BQ167" i="15"/>
  <c r="BR167" i="15"/>
  <c r="BS167" i="15"/>
  <c r="BT167" i="15"/>
  <c r="BU167" i="15"/>
  <c r="BV167" i="15"/>
  <c r="BW167" i="15"/>
  <c r="BX167" i="15"/>
  <c r="BY167" i="15"/>
  <c r="BZ167" i="15"/>
  <c r="CA167" i="15"/>
  <c r="CB167" i="15"/>
  <c r="CC167" i="15"/>
  <c r="CD167" i="15"/>
  <c r="CE167" i="15"/>
  <c r="CF167" i="15"/>
  <c r="CG167" i="15"/>
  <c r="CH167" i="15"/>
  <c r="CI167" i="15"/>
  <c r="CJ167" i="15"/>
  <c r="CK167" i="15"/>
  <c r="CL167" i="15"/>
  <c r="CM167" i="15"/>
  <c r="CN167" i="15"/>
  <c r="CO167" i="15"/>
  <c r="A168" i="15"/>
  <c r="B168" i="15"/>
  <c r="C168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P168" i="15"/>
  <c r="Q168" i="15"/>
  <c r="R168" i="15"/>
  <c r="S168" i="15"/>
  <c r="T168" i="15"/>
  <c r="U168" i="15"/>
  <c r="V168" i="15"/>
  <c r="W168" i="15"/>
  <c r="X168" i="15"/>
  <c r="Y168" i="15"/>
  <c r="Z168" i="15"/>
  <c r="AA168" i="15"/>
  <c r="AB168" i="15"/>
  <c r="AC168" i="15"/>
  <c r="AD168" i="15"/>
  <c r="AE168" i="15"/>
  <c r="AF168" i="15"/>
  <c r="AG168" i="15"/>
  <c r="AH168" i="15"/>
  <c r="AI168" i="15"/>
  <c r="AJ168" i="15"/>
  <c r="AK168" i="15"/>
  <c r="AL168" i="15"/>
  <c r="AM168" i="15"/>
  <c r="AN168" i="15"/>
  <c r="AO168" i="15"/>
  <c r="AP168" i="15"/>
  <c r="AQ168" i="15"/>
  <c r="AR168" i="15"/>
  <c r="AS168" i="15"/>
  <c r="AT168" i="15"/>
  <c r="AU168" i="15"/>
  <c r="AV168" i="15"/>
  <c r="AW168" i="15"/>
  <c r="AX168" i="15"/>
  <c r="AY168" i="15"/>
  <c r="AZ168" i="15"/>
  <c r="BA168" i="15"/>
  <c r="BB168" i="15"/>
  <c r="BC168" i="15"/>
  <c r="BD168" i="15"/>
  <c r="BE168" i="15"/>
  <c r="BF168" i="15"/>
  <c r="BG168" i="15"/>
  <c r="BH168" i="15"/>
  <c r="BI168" i="15"/>
  <c r="BJ168" i="15"/>
  <c r="BK168" i="15"/>
  <c r="BL168" i="15"/>
  <c r="BM168" i="15"/>
  <c r="BN168" i="15"/>
  <c r="BO168" i="15"/>
  <c r="BP168" i="15"/>
  <c r="BQ168" i="15"/>
  <c r="BR168" i="15"/>
  <c r="BS168" i="15"/>
  <c r="BT168" i="15"/>
  <c r="BU168" i="15"/>
  <c r="BV168" i="15"/>
  <c r="BW168" i="15"/>
  <c r="BX168" i="15"/>
  <c r="BY168" i="15"/>
  <c r="BZ168" i="15"/>
  <c r="CA168" i="15"/>
  <c r="CB168" i="15"/>
  <c r="CC168" i="15"/>
  <c r="CD168" i="15"/>
  <c r="CE168" i="15"/>
  <c r="CF168" i="15"/>
  <c r="CG168" i="15"/>
  <c r="CH168" i="15"/>
  <c r="CI168" i="15"/>
  <c r="CJ168" i="15"/>
  <c r="CK168" i="15"/>
  <c r="CL168" i="15"/>
  <c r="CM168" i="15"/>
  <c r="CN168" i="15"/>
  <c r="CO168" i="15"/>
  <c r="A169" i="15"/>
  <c r="B169" i="15"/>
  <c r="C169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P169" i="15"/>
  <c r="Q169" i="15"/>
  <c r="R169" i="15"/>
  <c r="S169" i="15"/>
  <c r="T169" i="15"/>
  <c r="U169" i="15"/>
  <c r="V169" i="15"/>
  <c r="W169" i="15"/>
  <c r="X169" i="15"/>
  <c r="Y169" i="15"/>
  <c r="Z169" i="15"/>
  <c r="AA169" i="15"/>
  <c r="AB169" i="15"/>
  <c r="AC169" i="15"/>
  <c r="AD169" i="15"/>
  <c r="AE169" i="15"/>
  <c r="AF169" i="15"/>
  <c r="AG169" i="15"/>
  <c r="AH169" i="15"/>
  <c r="AI169" i="15"/>
  <c r="AJ169" i="15"/>
  <c r="AK169" i="15"/>
  <c r="AL169" i="15"/>
  <c r="AM169" i="15"/>
  <c r="AN169" i="15"/>
  <c r="AO169" i="15"/>
  <c r="AP169" i="15"/>
  <c r="AQ169" i="15"/>
  <c r="AR169" i="15"/>
  <c r="AS169" i="15"/>
  <c r="AT169" i="15"/>
  <c r="AU169" i="15"/>
  <c r="AV169" i="15"/>
  <c r="AW169" i="15"/>
  <c r="AX169" i="15"/>
  <c r="AY169" i="15"/>
  <c r="AZ169" i="15"/>
  <c r="BA169" i="15"/>
  <c r="BB169" i="15"/>
  <c r="BC169" i="15"/>
  <c r="BD169" i="15"/>
  <c r="BE169" i="15"/>
  <c r="BF169" i="15"/>
  <c r="BG169" i="15"/>
  <c r="BH169" i="15"/>
  <c r="BI169" i="15"/>
  <c r="BJ169" i="15"/>
  <c r="BK169" i="15"/>
  <c r="BL169" i="15"/>
  <c r="BM169" i="15"/>
  <c r="BN169" i="15"/>
  <c r="BO169" i="15"/>
  <c r="BP169" i="15"/>
  <c r="BQ169" i="15"/>
  <c r="BR169" i="15"/>
  <c r="BS169" i="15"/>
  <c r="BT169" i="15"/>
  <c r="BU169" i="15"/>
  <c r="BV169" i="15"/>
  <c r="BW169" i="15"/>
  <c r="BX169" i="15"/>
  <c r="BY169" i="15"/>
  <c r="BZ169" i="15"/>
  <c r="CA169" i="15"/>
  <c r="CB169" i="15"/>
  <c r="CC169" i="15"/>
  <c r="CD169" i="15"/>
  <c r="CE169" i="15"/>
  <c r="CF169" i="15"/>
  <c r="CG169" i="15"/>
  <c r="CH169" i="15"/>
  <c r="CI169" i="15"/>
  <c r="CJ169" i="15"/>
  <c r="CK169" i="15"/>
  <c r="CL169" i="15"/>
  <c r="CM169" i="15"/>
  <c r="CN169" i="15"/>
  <c r="CO169" i="15"/>
  <c r="A170" i="15"/>
  <c r="B170" i="15"/>
  <c r="C170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P170" i="15"/>
  <c r="Q170" i="15"/>
  <c r="R170" i="15"/>
  <c r="S170" i="15"/>
  <c r="T170" i="15"/>
  <c r="U170" i="15"/>
  <c r="V170" i="15"/>
  <c r="W170" i="15"/>
  <c r="X170" i="15"/>
  <c r="Y170" i="15"/>
  <c r="Z170" i="15"/>
  <c r="AA170" i="15"/>
  <c r="AB170" i="15"/>
  <c r="AC170" i="15"/>
  <c r="AD170" i="15"/>
  <c r="AE170" i="15"/>
  <c r="AF170" i="15"/>
  <c r="AG170" i="15"/>
  <c r="AH170" i="15"/>
  <c r="AI170" i="15"/>
  <c r="AJ170" i="15"/>
  <c r="AK170" i="15"/>
  <c r="AL170" i="15"/>
  <c r="AM170" i="15"/>
  <c r="AN170" i="15"/>
  <c r="AO170" i="15"/>
  <c r="AP170" i="15"/>
  <c r="AQ170" i="15"/>
  <c r="AR170" i="15"/>
  <c r="AS170" i="15"/>
  <c r="AT170" i="15"/>
  <c r="AU170" i="15"/>
  <c r="AV170" i="15"/>
  <c r="AW170" i="15"/>
  <c r="AX170" i="15"/>
  <c r="AY170" i="15"/>
  <c r="AZ170" i="15"/>
  <c r="BA170" i="15"/>
  <c r="BB170" i="15"/>
  <c r="BC170" i="15"/>
  <c r="BD170" i="15"/>
  <c r="BE170" i="15"/>
  <c r="BF170" i="15"/>
  <c r="BG170" i="15"/>
  <c r="BH170" i="15"/>
  <c r="BI170" i="15"/>
  <c r="BJ170" i="15"/>
  <c r="BK170" i="15"/>
  <c r="BL170" i="15"/>
  <c r="BM170" i="15"/>
  <c r="BN170" i="15"/>
  <c r="BO170" i="15"/>
  <c r="BP170" i="15"/>
  <c r="BQ170" i="15"/>
  <c r="BR170" i="15"/>
  <c r="BS170" i="15"/>
  <c r="BT170" i="15"/>
  <c r="BU170" i="15"/>
  <c r="BV170" i="15"/>
  <c r="BW170" i="15"/>
  <c r="BX170" i="15"/>
  <c r="BY170" i="15"/>
  <c r="BZ170" i="15"/>
  <c r="CA170" i="15"/>
  <c r="CB170" i="15"/>
  <c r="CC170" i="15"/>
  <c r="CD170" i="15"/>
  <c r="CE170" i="15"/>
  <c r="CF170" i="15"/>
  <c r="CG170" i="15"/>
  <c r="CH170" i="15"/>
  <c r="CI170" i="15"/>
  <c r="CJ170" i="15"/>
  <c r="CK170" i="15"/>
  <c r="CL170" i="15"/>
  <c r="CM170" i="15"/>
  <c r="CN170" i="15"/>
  <c r="CO170" i="15"/>
  <c r="A171" i="15"/>
  <c r="B171" i="15"/>
  <c r="C171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P171" i="15"/>
  <c r="Q171" i="15"/>
  <c r="R171" i="15"/>
  <c r="S171" i="15"/>
  <c r="T171" i="15"/>
  <c r="U171" i="15"/>
  <c r="V171" i="15"/>
  <c r="W171" i="15"/>
  <c r="X171" i="15"/>
  <c r="Y171" i="15"/>
  <c r="Z171" i="15"/>
  <c r="AA171" i="15"/>
  <c r="AB171" i="15"/>
  <c r="AC171" i="15"/>
  <c r="AD171" i="15"/>
  <c r="AE171" i="15"/>
  <c r="AF171" i="15"/>
  <c r="AG171" i="15"/>
  <c r="AH171" i="15"/>
  <c r="AI171" i="15"/>
  <c r="AJ171" i="15"/>
  <c r="AK171" i="15"/>
  <c r="AL171" i="15"/>
  <c r="AM171" i="15"/>
  <c r="AN171" i="15"/>
  <c r="AO171" i="15"/>
  <c r="AP171" i="15"/>
  <c r="AQ171" i="15"/>
  <c r="AR171" i="15"/>
  <c r="AS171" i="15"/>
  <c r="AT171" i="15"/>
  <c r="AU171" i="15"/>
  <c r="AV171" i="15"/>
  <c r="AW171" i="15"/>
  <c r="AX171" i="15"/>
  <c r="AY171" i="15"/>
  <c r="AZ171" i="15"/>
  <c r="BA171" i="15"/>
  <c r="BB171" i="15"/>
  <c r="BC171" i="15"/>
  <c r="BD171" i="15"/>
  <c r="BE171" i="15"/>
  <c r="BF171" i="15"/>
  <c r="BG171" i="15"/>
  <c r="BH171" i="15"/>
  <c r="BI171" i="15"/>
  <c r="BJ171" i="15"/>
  <c r="BK171" i="15"/>
  <c r="BL171" i="15"/>
  <c r="BM171" i="15"/>
  <c r="BN171" i="15"/>
  <c r="BO171" i="15"/>
  <c r="BP171" i="15"/>
  <c r="BQ171" i="15"/>
  <c r="BR171" i="15"/>
  <c r="BS171" i="15"/>
  <c r="BT171" i="15"/>
  <c r="BU171" i="15"/>
  <c r="BV171" i="15"/>
  <c r="BW171" i="15"/>
  <c r="BX171" i="15"/>
  <c r="BY171" i="15"/>
  <c r="BZ171" i="15"/>
  <c r="CA171" i="15"/>
  <c r="CB171" i="15"/>
  <c r="CC171" i="15"/>
  <c r="CD171" i="15"/>
  <c r="CE171" i="15"/>
  <c r="CF171" i="15"/>
  <c r="CG171" i="15"/>
  <c r="CH171" i="15"/>
  <c r="CI171" i="15"/>
  <c r="CJ171" i="15"/>
  <c r="CK171" i="15"/>
  <c r="CL171" i="15"/>
  <c r="CM171" i="15"/>
  <c r="CN171" i="15"/>
  <c r="CO171" i="15"/>
  <c r="A172" i="15"/>
  <c r="B172" i="15"/>
  <c r="C172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P172" i="15"/>
  <c r="Q172" i="15"/>
  <c r="R172" i="15"/>
  <c r="S172" i="15"/>
  <c r="T172" i="15"/>
  <c r="U172" i="15"/>
  <c r="V172" i="15"/>
  <c r="W172" i="15"/>
  <c r="X172" i="15"/>
  <c r="Y172" i="15"/>
  <c r="Z172" i="15"/>
  <c r="AA172" i="15"/>
  <c r="AB172" i="15"/>
  <c r="AC172" i="15"/>
  <c r="AD172" i="15"/>
  <c r="AE172" i="15"/>
  <c r="AF172" i="15"/>
  <c r="AG172" i="15"/>
  <c r="AH172" i="15"/>
  <c r="AI172" i="15"/>
  <c r="AJ172" i="15"/>
  <c r="AK172" i="15"/>
  <c r="AL172" i="15"/>
  <c r="AM172" i="15"/>
  <c r="AN172" i="15"/>
  <c r="AO172" i="15"/>
  <c r="AP172" i="15"/>
  <c r="AQ172" i="15"/>
  <c r="AR172" i="15"/>
  <c r="AS172" i="15"/>
  <c r="AT172" i="15"/>
  <c r="AU172" i="15"/>
  <c r="AV172" i="15"/>
  <c r="AW172" i="15"/>
  <c r="AX172" i="15"/>
  <c r="AY172" i="15"/>
  <c r="AZ172" i="15"/>
  <c r="BA172" i="15"/>
  <c r="BB172" i="15"/>
  <c r="BC172" i="15"/>
  <c r="BD172" i="15"/>
  <c r="BE172" i="15"/>
  <c r="BF172" i="15"/>
  <c r="BG172" i="15"/>
  <c r="BH172" i="15"/>
  <c r="BI172" i="15"/>
  <c r="BJ172" i="15"/>
  <c r="BK172" i="15"/>
  <c r="BL172" i="15"/>
  <c r="BM172" i="15"/>
  <c r="BN172" i="15"/>
  <c r="BO172" i="15"/>
  <c r="BP172" i="15"/>
  <c r="BQ172" i="15"/>
  <c r="BR172" i="15"/>
  <c r="BS172" i="15"/>
  <c r="BT172" i="15"/>
  <c r="BU172" i="15"/>
  <c r="BV172" i="15"/>
  <c r="BW172" i="15"/>
  <c r="BX172" i="15"/>
  <c r="BY172" i="15"/>
  <c r="BZ172" i="15"/>
  <c r="CA172" i="15"/>
  <c r="CB172" i="15"/>
  <c r="CC172" i="15"/>
  <c r="CD172" i="15"/>
  <c r="CE172" i="15"/>
  <c r="CF172" i="15"/>
  <c r="CG172" i="15"/>
  <c r="CH172" i="15"/>
  <c r="CI172" i="15"/>
  <c r="CJ172" i="15"/>
  <c r="CK172" i="15"/>
  <c r="CL172" i="15"/>
  <c r="CM172" i="15"/>
  <c r="CN172" i="15"/>
  <c r="CO172" i="15"/>
  <c r="A173" i="15"/>
  <c r="B173" i="15"/>
  <c r="C173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P173" i="15"/>
  <c r="Q173" i="15"/>
  <c r="R173" i="15"/>
  <c r="S173" i="15"/>
  <c r="T173" i="15"/>
  <c r="U173" i="15"/>
  <c r="V173" i="15"/>
  <c r="W173" i="15"/>
  <c r="X173" i="15"/>
  <c r="Y173" i="15"/>
  <c r="Z173" i="15"/>
  <c r="AA173" i="15"/>
  <c r="AB173" i="15"/>
  <c r="AC173" i="15"/>
  <c r="AD173" i="15"/>
  <c r="AE173" i="15"/>
  <c r="AF173" i="15"/>
  <c r="AG173" i="15"/>
  <c r="AH173" i="15"/>
  <c r="AI173" i="15"/>
  <c r="AJ173" i="15"/>
  <c r="AK173" i="15"/>
  <c r="AL173" i="15"/>
  <c r="AM173" i="15"/>
  <c r="AN173" i="15"/>
  <c r="AO173" i="15"/>
  <c r="AP173" i="15"/>
  <c r="AQ173" i="15"/>
  <c r="AR173" i="15"/>
  <c r="AS173" i="15"/>
  <c r="AT173" i="15"/>
  <c r="AU173" i="15"/>
  <c r="AV173" i="15"/>
  <c r="AW173" i="15"/>
  <c r="AX173" i="15"/>
  <c r="AY173" i="15"/>
  <c r="AZ173" i="15"/>
  <c r="BA173" i="15"/>
  <c r="BB173" i="15"/>
  <c r="BC173" i="15"/>
  <c r="BD173" i="15"/>
  <c r="BE173" i="15"/>
  <c r="BF173" i="15"/>
  <c r="BG173" i="15"/>
  <c r="BH173" i="15"/>
  <c r="BI173" i="15"/>
  <c r="BJ173" i="15"/>
  <c r="BK173" i="15"/>
  <c r="BL173" i="15"/>
  <c r="BM173" i="15"/>
  <c r="BN173" i="15"/>
  <c r="BO173" i="15"/>
  <c r="BP173" i="15"/>
  <c r="BQ173" i="15"/>
  <c r="BR173" i="15"/>
  <c r="BS173" i="15"/>
  <c r="BT173" i="15"/>
  <c r="BU173" i="15"/>
  <c r="BV173" i="15"/>
  <c r="BW173" i="15"/>
  <c r="BX173" i="15"/>
  <c r="BY173" i="15"/>
  <c r="BZ173" i="15"/>
  <c r="CA173" i="15"/>
  <c r="CB173" i="15"/>
  <c r="CC173" i="15"/>
  <c r="CD173" i="15"/>
  <c r="CE173" i="15"/>
  <c r="CF173" i="15"/>
  <c r="CG173" i="15"/>
  <c r="CH173" i="15"/>
  <c r="CI173" i="15"/>
  <c r="CJ173" i="15"/>
  <c r="CK173" i="15"/>
  <c r="CL173" i="15"/>
  <c r="CM173" i="15"/>
  <c r="CN173" i="15"/>
  <c r="CO173" i="15"/>
  <c r="A174" i="15"/>
  <c r="B174" i="15"/>
  <c r="C174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P174" i="15"/>
  <c r="Q174" i="15"/>
  <c r="R174" i="15"/>
  <c r="S174" i="15"/>
  <c r="T174" i="15"/>
  <c r="U174" i="15"/>
  <c r="V174" i="15"/>
  <c r="W174" i="15"/>
  <c r="X174" i="15"/>
  <c r="Y174" i="15"/>
  <c r="Z174" i="15"/>
  <c r="AA174" i="15"/>
  <c r="AB174" i="15"/>
  <c r="AC174" i="15"/>
  <c r="AD174" i="15"/>
  <c r="AE174" i="15"/>
  <c r="AF174" i="15"/>
  <c r="AG174" i="15"/>
  <c r="AH174" i="15"/>
  <c r="AI174" i="15"/>
  <c r="AJ174" i="15"/>
  <c r="AK174" i="15"/>
  <c r="AL174" i="15"/>
  <c r="AM174" i="15"/>
  <c r="AN174" i="15"/>
  <c r="AO174" i="15"/>
  <c r="AP174" i="15"/>
  <c r="AQ174" i="15"/>
  <c r="AR174" i="15"/>
  <c r="AS174" i="15"/>
  <c r="AT174" i="15"/>
  <c r="AU174" i="15"/>
  <c r="AV174" i="15"/>
  <c r="AW174" i="15"/>
  <c r="AX174" i="15"/>
  <c r="AY174" i="15"/>
  <c r="AZ174" i="15"/>
  <c r="BA174" i="15"/>
  <c r="BB174" i="15"/>
  <c r="BC174" i="15"/>
  <c r="BD174" i="15"/>
  <c r="BE174" i="15"/>
  <c r="BF174" i="15"/>
  <c r="BG174" i="15"/>
  <c r="BH174" i="15"/>
  <c r="BI174" i="15"/>
  <c r="BJ174" i="15"/>
  <c r="BK174" i="15"/>
  <c r="BL174" i="15"/>
  <c r="BM174" i="15"/>
  <c r="BN174" i="15"/>
  <c r="BO174" i="15"/>
  <c r="BP174" i="15"/>
  <c r="BQ174" i="15"/>
  <c r="BR174" i="15"/>
  <c r="BS174" i="15"/>
  <c r="BT174" i="15"/>
  <c r="BU174" i="15"/>
  <c r="BV174" i="15"/>
  <c r="BW174" i="15"/>
  <c r="BX174" i="15"/>
  <c r="BY174" i="15"/>
  <c r="BZ174" i="15"/>
  <c r="CA174" i="15"/>
  <c r="CB174" i="15"/>
  <c r="CC174" i="15"/>
  <c r="CD174" i="15"/>
  <c r="CE174" i="15"/>
  <c r="CF174" i="15"/>
  <c r="CG174" i="15"/>
  <c r="CH174" i="15"/>
  <c r="CI174" i="15"/>
  <c r="CJ174" i="15"/>
  <c r="CK174" i="15"/>
  <c r="CL174" i="15"/>
  <c r="CM174" i="15"/>
  <c r="CN174" i="15"/>
  <c r="CO174" i="15"/>
  <c r="A175" i="15"/>
  <c r="B175" i="15"/>
  <c r="C175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P175" i="15"/>
  <c r="Q175" i="15"/>
  <c r="R175" i="15"/>
  <c r="S175" i="15"/>
  <c r="T175" i="15"/>
  <c r="U175" i="15"/>
  <c r="V175" i="15"/>
  <c r="W175" i="15"/>
  <c r="X175" i="15"/>
  <c r="Y175" i="15"/>
  <c r="Z175" i="15"/>
  <c r="AA175" i="15"/>
  <c r="AB175" i="15"/>
  <c r="AC175" i="15"/>
  <c r="AD175" i="15"/>
  <c r="AE175" i="15"/>
  <c r="AF175" i="15"/>
  <c r="AG175" i="15"/>
  <c r="AH175" i="15"/>
  <c r="AI175" i="15"/>
  <c r="AJ175" i="15"/>
  <c r="AK175" i="15"/>
  <c r="AL175" i="15"/>
  <c r="AM175" i="15"/>
  <c r="AN175" i="15"/>
  <c r="AO175" i="15"/>
  <c r="AP175" i="15"/>
  <c r="AQ175" i="15"/>
  <c r="AR175" i="15"/>
  <c r="AS175" i="15"/>
  <c r="AT175" i="15"/>
  <c r="AU175" i="15"/>
  <c r="AV175" i="15"/>
  <c r="AW175" i="15"/>
  <c r="AX175" i="15"/>
  <c r="AY175" i="15"/>
  <c r="AZ175" i="15"/>
  <c r="BA175" i="15"/>
  <c r="BB175" i="15"/>
  <c r="BC175" i="15"/>
  <c r="BD175" i="15"/>
  <c r="BE175" i="15"/>
  <c r="BF175" i="15"/>
  <c r="BG175" i="15"/>
  <c r="BH175" i="15"/>
  <c r="BI175" i="15"/>
  <c r="BJ175" i="15"/>
  <c r="BK175" i="15"/>
  <c r="BL175" i="15"/>
  <c r="BM175" i="15"/>
  <c r="BN175" i="15"/>
  <c r="BO175" i="15"/>
  <c r="BP175" i="15"/>
  <c r="BQ175" i="15"/>
  <c r="BR175" i="15"/>
  <c r="BS175" i="15"/>
  <c r="BT175" i="15"/>
  <c r="BU175" i="15"/>
  <c r="BV175" i="15"/>
  <c r="BW175" i="15"/>
  <c r="BX175" i="15"/>
  <c r="BY175" i="15"/>
  <c r="BZ175" i="15"/>
  <c r="CA175" i="15"/>
  <c r="CB175" i="15"/>
  <c r="CC175" i="15"/>
  <c r="CD175" i="15"/>
  <c r="CE175" i="15"/>
  <c r="CF175" i="15"/>
  <c r="CG175" i="15"/>
  <c r="CH175" i="15"/>
  <c r="CI175" i="15"/>
  <c r="CJ175" i="15"/>
  <c r="CK175" i="15"/>
  <c r="CL175" i="15"/>
  <c r="CM175" i="15"/>
  <c r="CN175" i="15"/>
  <c r="CO175" i="15"/>
  <c r="A176" i="15"/>
  <c r="B176" i="15"/>
  <c r="C176" i="15"/>
  <c r="D176" i="15"/>
  <c r="E176" i="15"/>
  <c r="F176" i="15"/>
  <c r="G176" i="15"/>
  <c r="H176" i="15"/>
  <c r="I176" i="15"/>
  <c r="J176" i="15"/>
  <c r="K176" i="15"/>
  <c r="L176" i="15"/>
  <c r="M176" i="15"/>
  <c r="N176" i="15"/>
  <c r="O176" i="15"/>
  <c r="P176" i="15"/>
  <c r="Q176" i="15"/>
  <c r="R176" i="15"/>
  <c r="S176" i="15"/>
  <c r="T176" i="15"/>
  <c r="U176" i="15"/>
  <c r="V176" i="15"/>
  <c r="W176" i="15"/>
  <c r="X176" i="15"/>
  <c r="Y176" i="15"/>
  <c r="Z176" i="15"/>
  <c r="AA176" i="15"/>
  <c r="AB176" i="15"/>
  <c r="AC176" i="15"/>
  <c r="AD176" i="15"/>
  <c r="AE176" i="15"/>
  <c r="AF176" i="15"/>
  <c r="AG176" i="15"/>
  <c r="AH176" i="15"/>
  <c r="AI176" i="15"/>
  <c r="AJ176" i="15"/>
  <c r="AK176" i="15"/>
  <c r="AL176" i="15"/>
  <c r="AM176" i="15"/>
  <c r="AN176" i="15"/>
  <c r="AO176" i="15"/>
  <c r="AP176" i="15"/>
  <c r="AQ176" i="15"/>
  <c r="AR176" i="15"/>
  <c r="AS176" i="15"/>
  <c r="AT176" i="15"/>
  <c r="AU176" i="15"/>
  <c r="AV176" i="15"/>
  <c r="AW176" i="15"/>
  <c r="AX176" i="15"/>
  <c r="AY176" i="15"/>
  <c r="AZ176" i="15"/>
  <c r="BA176" i="15"/>
  <c r="BB176" i="15"/>
  <c r="BC176" i="15"/>
  <c r="BD176" i="15"/>
  <c r="BE176" i="15"/>
  <c r="BF176" i="15"/>
  <c r="BG176" i="15"/>
  <c r="BH176" i="15"/>
  <c r="BI176" i="15"/>
  <c r="BJ176" i="15"/>
  <c r="BK176" i="15"/>
  <c r="BL176" i="15"/>
  <c r="BM176" i="15"/>
  <c r="BN176" i="15"/>
  <c r="BO176" i="15"/>
  <c r="BP176" i="15"/>
  <c r="BQ176" i="15"/>
  <c r="BR176" i="15"/>
  <c r="BS176" i="15"/>
  <c r="BT176" i="15"/>
  <c r="BU176" i="15"/>
  <c r="BV176" i="15"/>
  <c r="BW176" i="15"/>
  <c r="BX176" i="15"/>
  <c r="BY176" i="15"/>
  <c r="BZ176" i="15"/>
  <c r="CA176" i="15"/>
  <c r="CB176" i="15"/>
  <c r="CC176" i="15"/>
  <c r="CD176" i="15"/>
  <c r="CE176" i="15"/>
  <c r="CF176" i="15"/>
  <c r="CG176" i="15"/>
  <c r="CH176" i="15"/>
  <c r="CI176" i="15"/>
  <c r="CJ176" i="15"/>
  <c r="CK176" i="15"/>
  <c r="CL176" i="15"/>
  <c r="CM176" i="15"/>
  <c r="CN176" i="15"/>
  <c r="CO176" i="15"/>
  <c r="A177" i="15"/>
  <c r="B177" i="15"/>
  <c r="C177" i="15"/>
  <c r="D177" i="15"/>
  <c r="E177" i="15"/>
  <c r="F177" i="15"/>
  <c r="G177" i="15"/>
  <c r="H177" i="15"/>
  <c r="I177" i="15"/>
  <c r="J177" i="15"/>
  <c r="K177" i="15"/>
  <c r="L177" i="15"/>
  <c r="M177" i="15"/>
  <c r="N177" i="15"/>
  <c r="O177" i="15"/>
  <c r="P177" i="15"/>
  <c r="Q177" i="15"/>
  <c r="R177" i="15"/>
  <c r="S177" i="15"/>
  <c r="T177" i="15"/>
  <c r="U177" i="15"/>
  <c r="V177" i="15"/>
  <c r="W177" i="15"/>
  <c r="X177" i="15"/>
  <c r="Y177" i="15"/>
  <c r="Z177" i="15"/>
  <c r="AA177" i="15"/>
  <c r="AB177" i="15"/>
  <c r="AC177" i="15"/>
  <c r="AD177" i="15"/>
  <c r="AE177" i="15"/>
  <c r="AF177" i="15"/>
  <c r="AG177" i="15"/>
  <c r="AH177" i="15"/>
  <c r="AI177" i="15"/>
  <c r="AJ177" i="15"/>
  <c r="AK177" i="15"/>
  <c r="AL177" i="15"/>
  <c r="AM177" i="15"/>
  <c r="AN177" i="15"/>
  <c r="AO177" i="15"/>
  <c r="AP177" i="15"/>
  <c r="AQ177" i="15"/>
  <c r="AR177" i="15"/>
  <c r="AS177" i="15"/>
  <c r="AT177" i="15"/>
  <c r="AU177" i="15"/>
  <c r="AV177" i="15"/>
  <c r="AW177" i="15"/>
  <c r="AX177" i="15"/>
  <c r="AY177" i="15"/>
  <c r="AZ177" i="15"/>
  <c r="BA177" i="15"/>
  <c r="BB177" i="15"/>
  <c r="BC177" i="15"/>
  <c r="BD177" i="15"/>
  <c r="BE177" i="15"/>
  <c r="BF177" i="15"/>
  <c r="BG177" i="15"/>
  <c r="BH177" i="15"/>
  <c r="BI177" i="15"/>
  <c r="BJ177" i="15"/>
  <c r="BK177" i="15"/>
  <c r="BL177" i="15"/>
  <c r="BM177" i="15"/>
  <c r="BN177" i="15"/>
  <c r="BO177" i="15"/>
  <c r="BP177" i="15"/>
  <c r="BQ177" i="15"/>
  <c r="BR177" i="15"/>
  <c r="BS177" i="15"/>
  <c r="BT177" i="15"/>
  <c r="BU177" i="15"/>
  <c r="BV177" i="15"/>
  <c r="BW177" i="15"/>
  <c r="BX177" i="15"/>
  <c r="BY177" i="15"/>
  <c r="BZ177" i="15"/>
  <c r="CA177" i="15"/>
  <c r="CB177" i="15"/>
  <c r="CC177" i="15"/>
  <c r="CD177" i="15"/>
  <c r="CE177" i="15"/>
  <c r="CF177" i="15"/>
  <c r="CG177" i="15"/>
  <c r="CH177" i="15"/>
  <c r="CI177" i="15"/>
  <c r="CJ177" i="15"/>
  <c r="CK177" i="15"/>
  <c r="CL177" i="15"/>
  <c r="CM177" i="15"/>
  <c r="CN177" i="15"/>
  <c r="CO177" i="15"/>
  <c r="A178" i="15"/>
  <c r="B178" i="15"/>
  <c r="C178" i="15"/>
  <c r="D178" i="15"/>
  <c r="E178" i="15"/>
  <c r="F178" i="15"/>
  <c r="G178" i="15"/>
  <c r="H178" i="15"/>
  <c r="I178" i="15"/>
  <c r="J178" i="15"/>
  <c r="K178" i="15"/>
  <c r="L178" i="15"/>
  <c r="M178" i="15"/>
  <c r="N178" i="15"/>
  <c r="O178" i="15"/>
  <c r="P178" i="15"/>
  <c r="Q178" i="15"/>
  <c r="R178" i="15"/>
  <c r="S178" i="15"/>
  <c r="T178" i="15"/>
  <c r="U178" i="15"/>
  <c r="V178" i="15"/>
  <c r="W178" i="15"/>
  <c r="X178" i="15"/>
  <c r="Y178" i="15"/>
  <c r="Z178" i="15"/>
  <c r="AA178" i="15"/>
  <c r="AB178" i="15"/>
  <c r="AC178" i="15"/>
  <c r="AD178" i="15"/>
  <c r="AE178" i="15"/>
  <c r="AF178" i="15"/>
  <c r="AG178" i="15"/>
  <c r="AH178" i="15"/>
  <c r="AI178" i="15"/>
  <c r="AJ178" i="15"/>
  <c r="AK178" i="15"/>
  <c r="AL178" i="15"/>
  <c r="AM178" i="15"/>
  <c r="AN178" i="15"/>
  <c r="AO178" i="15"/>
  <c r="AP178" i="15"/>
  <c r="AQ178" i="15"/>
  <c r="AR178" i="15"/>
  <c r="AS178" i="15"/>
  <c r="AT178" i="15"/>
  <c r="AU178" i="15"/>
  <c r="AV178" i="15"/>
  <c r="AW178" i="15"/>
  <c r="AX178" i="15"/>
  <c r="AY178" i="15"/>
  <c r="AZ178" i="15"/>
  <c r="BA178" i="15"/>
  <c r="BB178" i="15"/>
  <c r="BC178" i="15"/>
  <c r="BD178" i="15"/>
  <c r="BE178" i="15"/>
  <c r="BF178" i="15"/>
  <c r="BG178" i="15"/>
  <c r="BH178" i="15"/>
  <c r="BI178" i="15"/>
  <c r="BJ178" i="15"/>
  <c r="BK178" i="15"/>
  <c r="BL178" i="15"/>
  <c r="BM178" i="15"/>
  <c r="BN178" i="15"/>
  <c r="BO178" i="15"/>
  <c r="BP178" i="15"/>
  <c r="BQ178" i="15"/>
  <c r="BR178" i="15"/>
  <c r="BS178" i="15"/>
  <c r="BT178" i="15"/>
  <c r="BU178" i="15"/>
  <c r="BV178" i="15"/>
  <c r="BW178" i="15"/>
  <c r="BX178" i="15"/>
  <c r="BY178" i="15"/>
  <c r="BZ178" i="15"/>
  <c r="CA178" i="15"/>
  <c r="CB178" i="15"/>
  <c r="CC178" i="15"/>
  <c r="CD178" i="15"/>
  <c r="CE178" i="15"/>
  <c r="CF178" i="15"/>
  <c r="CG178" i="15"/>
  <c r="CH178" i="15"/>
  <c r="CI178" i="15"/>
  <c r="CJ178" i="15"/>
  <c r="CK178" i="15"/>
  <c r="CL178" i="15"/>
  <c r="CM178" i="15"/>
  <c r="CN178" i="15"/>
  <c r="CO178" i="15"/>
  <c r="A179" i="15"/>
  <c r="B179" i="15"/>
  <c r="C179" i="15"/>
  <c r="D179" i="15"/>
  <c r="E179" i="15"/>
  <c r="F179" i="15"/>
  <c r="G179" i="15"/>
  <c r="H179" i="15"/>
  <c r="I179" i="15"/>
  <c r="J179" i="15"/>
  <c r="K179" i="15"/>
  <c r="L179" i="15"/>
  <c r="M179" i="15"/>
  <c r="N179" i="15"/>
  <c r="O179" i="15"/>
  <c r="P179" i="15"/>
  <c r="Q179" i="15"/>
  <c r="R179" i="15"/>
  <c r="S179" i="15"/>
  <c r="T179" i="15"/>
  <c r="U179" i="15"/>
  <c r="V179" i="15"/>
  <c r="W179" i="15"/>
  <c r="X179" i="15"/>
  <c r="Y179" i="15"/>
  <c r="Z179" i="15"/>
  <c r="AA179" i="15"/>
  <c r="AB179" i="15"/>
  <c r="AC179" i="15"/>
  <c r="AD179" i="15"/>
  <c r="AE179" i="15"/>
  <c r="AF179" i="15"/>
  <c r="AG179" i="15"/>
  <c r="AH179" i="15"/>
  <c r="AI179" i="15"/>
  <c r="AJ179" i="15"/>
  <c r="AK179" i="15"/>
  <c r="AL179" i="15"/>
  <c r="AM179" i="15"/>
  <c r="AN179" i="15"/>
  <c r="AO179" i="15"/>
  <c r="AP179" i="15"/>
  <c r="AQ179" i="15"/>
  <c r="AR179" i="15"/>
  <c r="AS179" i="15"/>
  <c r="AT179" i="15"/>
  <c r="AU179" i="15"/>
  <c r="AV179" i="15"/>
  <c r="AW179" i="15"/>
  <c r="AX179" i="15"/>
  <c r="AY179" i="15"/>
  <c r="AZ179" i="15"/>
  <c r="BA179" i="15"/>
  <c r="BB179" i="15"/>
  <c r="BC179" i="15"/>
  <c r="BD179" i="15"/>
  <c r="BE179" i="15"/>
  <c r="BF179" i="15"/>
  <c r="BG179" i="15"/>
  <c r="BH179" i="15"/>
  <c r="BI179" i="15"/>
  <c r="BJ179" i="15"/>
  <c r="BK179" i="15"/>
  <c r="BL179" i="15"/>
  <c r="BM179" i="15"/>
  <c r="BN179" i="15"/>
  <c r="BO179" i="15"/>
  <c r="BP179" i="15"/>
  <c r="BQ179" i="15"/>
  <c r="BR179" i="15"/>
  <c r="BS179" i="15"/>
  <c r="BT179" i="15"/>
  <c r="BU179" i="15"/>
  <c r="BV179" i="15"/>
  <c r="BW179" i="15"/>
  <c r="BX179" i="15"/>
  <c r="BY179" i="15"/>
  <c r="BZ179" i="15"/>
  <c r="CA179" i="15"/>
  <c r="CB179" i="15"/>
  <c r="CC179" i="15"/>
  <c r="CD179" i="15"/>
  <c r="CE179" i="15"/>
  <c r="CF179" i="15"/>
  <c r="CG179" i="15"/>
  <c r="CH179" i="15"/>
  <c r="CI179" i="15"/>
  <c r="CJ179" i="15"/>
  <c r="CK179" i="15"/>
  <c r="CL179" i="15"/>
  <c r="CM179" i="15"/>
  <c r="CN179" i="15"/>
  <c r="CO179" i="15"/>
  <c r="A180" i="15"/>
  <c r="B180" i="15"/>
  <c r="C180" i="15"/>
  <c r="D180" i="15"/>
  <c r="E180" i="15"/>
  <c r="F180" i="15"/>
  <c r="G180" i="15"/>
  <c r="H180" i="15"/>
  <c r="I180" i="15"/>
  <c r="J180" i="15"/>
  <c r="K180" i="15"/>
  <c r="L180" i="15"/>
  <c r="M180" i="15"/>
  <c r="N180" i="15"/>
  <c r="O180" i="15"/>
  <c r="P180" i="15"/>
  <c r="Q180" i="15"/>
  <c r="R180" i="15"/>
  <c r="S180" i="15"/>
  <c r="T180" i="15"/>
  <c r="U180" i="15"/>
  <c r="V180" i="15"/>
  <c r="W180" i="15"/>
  <c r="X180" i="15"/>
  <c r="Y180" i="15"/>
  <c r="Z180" i="15"/>
  <c r="AA180" i="15"/>
  <c r="AB180" i="15"/>
  <c r="AC180" i="15"/>
  <c r="AD180" i="15"/>
  <c r="AE180" i="15"/>
  <c r="AF180" i="15"/>
  <c r="AG180" i="15"/>
  <c r="AH180" i="15"/>
  <c r="AI180" i="15"/>
  <c r="AJ180" i="15"/>
  <c r="AK180" i="15"/>
  <c r="AL180" i="15"/>
  <c r="AM180" i="15"/>
  <c r="AN180" i="15"/>
  <c r="AO180" i="15"/>
  <c r="AP180" i="15"/>
  <c r="AQ180" i="15"/>
  <c r="AR180" i="15"/>
  <c r="AS180" i="15"/>
  <c r="AT180" i="15"/>
  <c r="AU180" i="15"/>
  <c r="AV180" i="15"/>
  <c r="AW180" i="15"/>
  <c r="AX180" i="15"/>
  <c r="AY180" i="15"/>
  <c r="AZ180" i="15"/>
  <c r="BA180" i="15"/>
  <c r="BB180" i="15"/>
  <c r="BC180" i="15"/>
  <c r="BD180" i="15"/>
  <c r="BE180" i="15"/>
  <c r="BF180" i="15"/>
  <c r="BG180" i="15"/>
  <c r="BH180" i="15"/>
  <c r="BI180" i="15"/>
  <c r="BJ180" i="15"/>
  <c r="BK180" i="15"/>
  <c r="BL180" i="15"/>
  <c r="BM180" i="15"/>
  <c r="BN180" i="15"/>
  <c r="BO180" i="15"/>
  <c r="BP180" i="15"/>
  <c r="BQ180" i="15"/>
  <c r="BR180" i="15"/>
  <c r="BS180" i="15"/>
  <c r="BT180" i="15"/>
  <c r="BU180" i="15"/>
  <c r="BV180" i="15"/>
  <c r="BW180" i="15"/>
  <c r="BX180" i="15"/>
  <c r="BY180" i="15"/>
  <c r="BZ180" i="15"/>
  <c r="CA180" i="15"/>
  <c r="CB180" i="15"/>
  <c r="CC180" i="15"/>
  <c r="CD180" i="15"/>
  <c r="CE180" i="15"/>
  <c r="CF180" i="15"/>
  <c r="CG180" i="15"/>
  <c r="CH180" i="15"/>
  <c r="CI180" i="15"/>
  <c r="CJ180" i="15"/>
  <c r="CK180" i="15"/>
  <c r="CL180" i="15"/>
  <c r="CM180" i="15"/>
  <c r="CN180" i="15"/>
  <c r="CO180" i="15"/>
  <c r="A181" i="15"/>
  <c r="B181" i="15"/>
  <c r="C181" i="15"/>
  <c r="D181" i="15"/>
  <c r="E181" i="15"/>
  <c r="F181" i="15"/>
  <c r="G181" i="15"/>
  <c r="H181" i="15"/>
  <c r="I181" i="15"/>
  <c r="J181" i="15"/>
  <c r="K181" i="15"/>
  <c r="L181" i="15"/>
  <c r="M181" i="15"/>
  <c r="N181" i="15"/>
  <c r="O181" i="15"/>
  <c r="P181" i="15"/>
  <c r="Q181" i="15"/>
  <c r="R181" i="15"/>
  <c r="S181" i="15"/>
  <c r="T181" i="15"/>
  <c r="U181" i="15"/>
  <c r="V181" i="15"/>
  <c r="W181" i="15"/>
  <c r="X181" i="15"/>
  <c r="Y181" i="15"/>
  <c r="Z181" i="15"/>
  <c r="AA181" i="15"/>
  <c r="AB181" i="15"/>
  <c r="AC181" i="15"/>
  <c r="AD181" i="15"/>
  <c r="AE181" i="15"/>
  <c r="AF181" i="15"/>
  <c r="AG181" i="15"/>
  <c r="AH181" i="15"/>
  <c r="AI181" i="15"/>
  <c r="AJ181" i="15"/>
  <c r="AK181" i="15"/>
  <c r="AL181" i="15"/>
  <c r="AM181" i="15"/>
  <c r="AN181" i="15"/>
  <c r="AO181" i="15"/>
  <c r="AP181" i="15"/>
  <c r="AQ181" i="15"/>
  <c r="AR181" i="15"/>
  <c r="AS181" i="15"/>
  <c r="AT181" i="15"/>
  <c r="AU181" i="15"/>
  <c r="AV181" i="15"/>
  <c r="AW181" i="15"/>
  <c r="AX181" i="15"/>
  <c r="AY181" i="15"/>
  <c r="AZ181" i="15"/>
  <c r="BA181" i="15"/>
  <c r="BB181" i="15"/>
  <c r="BC181" i="15"/>
  <c r="BD181" i="15"/>
  <c r="BE181" i="15"/>
  <c r="BF181" i="15"/>
  <c r="BG181" i="15"/>
  <c r="BH181" i="15"/>
  <c r="BI181" i="15"/>
  <c r="BJ181" i="15"/>
  <c r="BK181" i="15"/>
  <c r="BL181" i="15"/>
  <c r="BM181" i="15"/>
  <c r="BN181" i="15"/>
  <c r="BO181" i="15"/>
  <c r="BP181" i="15"/>
  <c r="BQ181" i="15"/>
  <c r="BR181" i="15"/>
  <c r="BS181" i="15"/>
  <c r="BT181" i="15"/>
  <c r="BU181" i="15"/>
  <c r="BV181" i="15"/>
  <c r="BW181" i="15"/>
  <c r="BX181" i="15"/>
  <c r="BY181" i="15"/>
  <c r="BZ181" i="15"/>
  <c r="CA181" i="15"/>
  <c r="CB181" i="15"/>
  <c r="CC181" i="15"/>
  <c r="CD181" i="15"/>
  <c r="CE181" i="15"/>
  <c r="CF181" i="15"/>
  <c r="CG181" i="15"/>
  <c r="CH181" i="15"/>
  <c r="CI181" i="15"/>
  <c r="CJ181" i="15"/>
  <c r="CK181" i="15"/>
  <c r="CL181" i="15"/>
  <c r="CM181" i="15"/>
  <c r="CN181" i="15"/>
  <c r="CO181" i="15"/>
  <c r="A182" i="15"/>
  <c r="B182" i="15"/>
  <c r="C182" i="15"/>
  <c r="D182" i="15"/>
  <c r="E182" i="15"/>
  <c r="F182" i="15"/>
  <c r="G182" i="15"/>
  <c r="H182" i="15"/>
  <c r="I182" i="15"/>
  <c r="J182" i="15"/>
  <c r="K182" i="15"/>
  <c r="L182" i="15"/>
  <c r="M182" i="15"/>
  <c r="N182" i="15"/>
  <c r="O182" i="15"/>
  <c r="P182" i="15"/>
  <c r="Q182" i="15"/>
  <c r="R182" i="15"/>
  <c r="S182" i="15"/>
  <c r="T182" i="15"/>
  <c r="U182" i="15"/>
  <c r="V182" i="15"/>
  <c r="W182" i="15"/>
  <c r="X182" i="15"/>
  <c r="Y182" i="15"/>
  <c r="Z182" i="15"/>
  <c r="AA182" i="15"/>
  <c r="AB182" i="15"/>
  <c r="AC182" i="15"/>
  <c r="AD182" i="15"/>
  <c r="AE182" i="15"/>
  <c r="AF182" i="15"/>
  <c r="AG182" i="15"/>
  <c r="AH182" i="15"/>
  <c r="AI182" i="15"/>
  <c r="AJ182" i="15"/>
  <c r="AK182" i="15"/>
  <c r="AL182" i="15"/>
  <c r="AM182" i="15"/>
  <c r="AN182" i="15"/>
  <c r="AO182" i="15"/>
  <c r="AP182" i="15"/>
  <c r="AQ182" i="15"/>
  <c r="AR182" i="15"/>
  <c r="AS182" i="15"/>
  <c r="AT182" i="15"/>
  <c r="AU182" i="15"/>
  <c r="AV182" i="15"/>
  <c r="AW182" i="15"/>
  <c r="AX182" i="15"/>
  <c r="AY182" i="15"/>
  <c r="AZ182" i="15"/>
  <c r="BA182" i="15"/>
  <c r="BB182" i="15"/>
  <c r="BC182" i="15"/>
  <c r="BD182" i="15"/>
  <c r="BE182" i="15"/>
  <c r="BF182" i="15"/>
  <c r="BG182" i="15"/>
  <c r="BH182" i="15"/>
  <c r="BI182" i="15"/>
  <c r="BJ182" i="15"/>
  <c r="BK182" i="15"/>
  <c r="BL182" i="15"/>
  <c r="BM182" i="15"/>
  <c r="BN182" i="15"/>
  <c r="BO182" i="15"/>
  <c r="BP182" i="15"/>
  <c r="BQ182" i="15"/>
  <c r="BR182" i="15"/>
  <c r="BS182" i="15"/>
  <c r="BT182" i="15"/>
  <c r="BU182" i="15"/>
  <c r="BV182" i="15"/>
  <c r="BW182" i="15"/>
  <c r="BX182" i="15"/>
  <c r="BY182" i="15"/>
  <c r="BZ182" i="15"/>
  <c r="CA182" i="15"/>
  <c r="CB182" i="15"/>
  <c r="CC182" i="15"/>
  <c r="CD182" i="15"/>
  <c r="CE182" i="15"/>
  <c r="CF182" i="15"/>
  <c r="CG182" i="15"/>
  <c r="CH182" i="15"/>
  <c r="CI182" i="15"/>
  <c r="CJ182" i="15"/>
  <c r="CK182" i="15"/>
  <c r="CL182" i="15"/>
  <c r="CM182" i="15"/>
  <c r="CN182" i="15"/>
  <c r="CO182" i="15"/>
  <c r="A183" i="15"/>
  <c r="B183" i="15"/>
  <c r="C183" i="15"/>
  <c r="D183" i="15"/>
  <c r="E183" i="15"/>
  <c r="F183" i="15"/>
  <c r="G183" i="15"/>
  <c r="H183" i="15"/>
  <c r="I183" i="15"/>
  <c r="J183" i="15"/>
  <c r="K183" i="15"/>
  <c r="L183" i="15"/>
  <c r="M183" i="15"/>
  <c r="N183" i="15"/>
  <c r="O183" i="15"/>
  <c r="P183" i="15"/>
  <c r="Q183" i="15"/>
  <c r="R183" i="15"/>
  <c r="S183" i="15"/>
  <c r="T183" i="15"/>
  <c r="U183" i="15"/>
  <c r="V183" i="15"/>
  <c r="W183" i="15"/>
  <c r="X183" i="15"/>
  <c r="Y183" i="15"/>
  <c r="Z183" i="15"/>
  <c r="AA183" i="15"/>
  <c r="AB183" i="15"/>
  <c r="AC183" i="15"/>
  <c r="AD183" i="15"/>
  <c r="AE183" i="15"/>
  <c r="AF183" i="15"/>
  <c r="AG183" i="15"/>
  <c r="AH183" i="15"/>
  <c r="AI183" i="15"/>
  <c r="AJ183" i="15"/>
  <c r="AK183" i="15"/>
  <c r="AL183" i="15"/>
  <c r="AM183" i="15"/>
  <c r="AN183" i="15"/>
  <c r="AO183" i="15"/>
  <c r="AP183" i="15"/>
  <c r="AQ183" i="15"/>
  <c r="AR183" i="15"/>
  <c r="AS183" i="15"/>
  <c r="AT183" i="15"/>
  <c r="AU183" i="15"/>
  <c r="AV183" i="15"/>
  <c r="AW183" i="15"/>
  <c r="AX183" i="15"/>
  <c r="AY183" i="15"/>
  <c r="AZ183" i="15"/>
  <c r="BA183" i="15"/>
  <c r="BB183" i="15"/>
  <c r="BC183" i="15"/>
  <c r="BD183" i="15"/>
  <c r="BE183" i="15"/>
  <c r="BF183" i="15"/>
  <c r="BG183" i="15"/>
  <c r="BH183" i="15"/>
  <c r="BI183" i="15"/>
  <c r="BJ183" i="15"/>
  <c r="BK183" i="15"/>
  <c r="BL183" i="15"/>
  <c r="BM183" i="15"/>
  <c r="BN183" i="15"/>
  <c r="BO183" i="15"/>
  <c r="BP183" i="15"/>
  <c r="BQ183" i="15"/>
  <c r="BR183" i="15"/>
  <c r="BS183" i="15"/>
  <c r="BT183" i="15"/>
  <c r="BU183" i="15"/>
  <c r="BV183" i="15"/>
  <c r="BW183" i="15"/>
  <c r="BX183" i="15"/>
  <c r="BY183" i="15"/>
  <c r="BZ183" i="15"/>
  <c r="CA183" i="15"/>
  <c r="CB183" i="15"/>
  <c r="CC183" i="15"/>
  <c r="CD183" i="15"/>
  <c r="CE183" i="15"/>
  <c r="CF183" i="15"/>
  <c r="CG183" i="15"/>
  <c r="CH183" i="15"/>
  <c r="CI183" i="15"/>
  <c r="CJ183" i="15"/>
  <c r="CK183" i="15"/>
  <c r="CL183" i="15"/>
  <c r="CM183" i="15"/>
  <c r="CN183" i="15"/>
  <c r="CO183" i="15"/>
  <c r="A184" i="15"/>
  <c r="B184" i="15"/>
  <c r="C184" i="15"/>
  <c r="D184" i="15"/>
  <c r="E184" i="15"/>
  <c r="F184" i="15"/>
  <c r="G184" i="15"/>
  <c r="H184" i="15"/>
  <c r="I184" i="15"/>
  <c r="J184" i="15"/>
  <c r="K184" i="15"/>
  <c r="L184" i="15"/>
  <c r="M184" i="15"/>
  <c r="N184" i="15"/>
  <c r="O184" i="15"/>
  <c r="P184" i="15"/>
  <c r="Q184" i="15"/>
  <c r="R184" i="15"/>
  <c r="S184" i="15"/>
  <c r="T184" i="15"/>
  <c r="U184" i="15"/>
  <c r="V184" i="15"/>
  <c r="W184" i="15"/>
  <c r="X184" i="15"/>
  <c r="Y184" i="15"/>
  <c r="Z184" i="15"/>
  <c r="AA184" i="15"/>
  <c r="AB184" i="15"/>
  <c r="AC184" i="15"/>
  <c r="AD184" i="15"/>
  <c r="AE184" i="15"/>
  <c r="AF184" i="15"/>
  <c r="AG184" i="15"/>
  <c r="AH184" i="15"/>
  <c r="AI184" i="15"/>
  <c r="AJ184" i="15"/>
  <c r="AK184" i="15"/>
  <c r="AL184" i="15"/>
  <c r="AM184" i="15"/>
  <c r="AN184" i="15"/>
  <c r="AO184" i="15"/>
  <c r="AP184" i="15"/>
  <c r="AQ184" i="15"/>
  <c r="AR184" i="15"/>
  <c r="AS184" i="15"/>
  <c r="AT184" i="15"/>
  <c r="AU184" i="15"/>
  <c r="AV184" i="15"/>
  <c r="AW184" i="15"/>
  <c r="AX184" i="15"/>
  <c r="AY184" i="15"/>
  <c r="AZ184" i="15"/>
  <c r="BA184" i="15"/>
  <c r="BB184" i="15"/>
  <c r="BC184" i="15"/>
  <c r="BD184" i="15"/>
  <c r="BE184" i="15"/>
  <c r="BF184" i="15"/>
  <c r="BG184" i="15"/>
  <c r="BH184" i="15"/>
  <c r="BI184" i="15"/>
  <c r="BJ184" i="15"/>
  <c r="BK184" i="15"/>
  <c r="BL184" i="15"/>
  <c r="BM184" i="15"/>
  <c r="BN184" i="15"/>
  <c r="BO184" i="15"/>
  <c r="BP184" i="15"/>
  <c r="BQ184" i="15"/>
  <c r="BR184" i="15"/>
  <c r="BS184" i="15"/>
  <c r="BT184" i="15"/>
  <c r="BU184" i="15"/>
  <c r="BV184" i="15"/>
  <c r="BW184" i="15"/>
  <c r="BX184" i="15"/>
  <c r="BY184" i="15"/>
  <c r="BZ184" i="15"/>
  <c r="CA184" i="15"/>
  <c r="CB184" i="15"/>
  <c r="CC184" i="15"/>
  <c r="CD184" i="15"/>
  <c r="CE184" i="15"/>
  <c r="CF184" i="15"/>
  <c r="CG184" i="15"/>
  <c r="CH184" i="15"/>
  <c r="CI184" i="15"/>
  <c r="CJ184" i="15"/>
  <c r="CK184" i="15"/>
  <c r="CL184" i="15"/>
  <c r="CM184" i="15"/>
  <c r="CN184" i="15"/>
  <c r="CO184" i="15"/>
  <c r="A185" i="15"/>
  <c r="B185" i="15"/>
  <c r="C185" i="15"/>
  <c r="D185" i="15"/>
  <c r="E185" i="15"/>
  <c r="F185" i="15"/>
  <c r="G185" i="15"/>
  <c r="H185" i="15"/>
  <c r="I185" i="15"/>
  <c r="J185" i="15"/>
  <c r="K185" i="15"/>
  <c r="L185" i="15"/>
  <c r="M185" i="15"/>
  <c r="N185" i="15"/>
  <c r="O185" i="15"/>
  <c r="P185" i="15"/>
  <c r="Q185" i="15"/>
  <c r="R185" i="15"/>
  <c r="S185" i="15"/>
  <c r="T185" i="15"/>
  <c r="U185" i="15"/>
  <c r="V185" i="15"/>
  <c r="W185" i="15"/>
  <c r="X185" i="15"/>
  <c r="Y185" i="15"/>
  <c r="Z185" i="15"/>
  <c r="AA185" i="15"/>
  <c r="AB185" i="15"/>
  <c r="AC185" i="15"/>
  <c r="AD185" i="15"/>
  <c r="AE185" i="15"/>
  <c r="AF185" i="15"/>
  <c r="AG185" i="15"/>
  <c r="AH185" i="15"/>
  <c r="AI185" i="15"/>
  <c r="AJ185" i="15"/>
  <c r="AK185" i="15"/>
  <c r="AL185" i="15"/>
  <c r="AM185" i="15"/>
  <c r="AN185" i="15"/>
  <c r="AO185" i="15"/>
  <c r="AP185" i="15"/>
  <c r="AQ185" i="15"/>
  <c r="AR185" i="15"/>
  <c r="AS185" i="15"/>
  <c r="AT185" i="15"/>
  <c r="AU185" i="15"/>
  <c r="AV185" i="15"/>
  <c r="AW185" i="15"/>
  <c r="AX185" i="15"/>
  <c r="AY185" i="15"/>
  <c r="AZ185" i="15"/>
  <c r="BA185" i="15"/>
  <c r="BB185" i="15"/>
  <c r="BC185" i="15"/>
  <c r="BD185" i="15"/>
  <c r="BE185" i="15"/>
  <c r="BF185" i="15"/>
  <c r="BG185" i="15"/>
  <c r="BH185" i="15"/>
  <c r="BI185" i="15"/>
  <c r="BJ185" i="15"/>
  <c r="BK185" i="15"/>
  <c r="BL185" i="15"/>
  <c r="BM185" i="15"/>
  <c r="BN185" i="15"/>
  <c r="BO185" i="15"/>
  <c r="BP185" i="15"/>
  <c r="BQ185" i="15"/>
  <c r="BR185" i="15"/>
  <c r="BS185" i="15"/>
  <c r="BT185" i="15"/>
  <c r="BU185" i="15"/>
  <c r="BV185" i="15"/>
  <c r="BW185" i="15"/>
  <c r="BX185" i="15"/>
  <c r="BY185" i="15"/>
  <c r="BZ185" i="15"/>
  <c r="CA185" i="15"/>
  <c r="CB185" i="15"/>
  <c r="CC185" i="15"/>
  <c r="CD185" i="15"/>
  <c r="CE185" i="15"/>
  <c r="CF185" i="15"/>
  <c r="CG185" i="15"/>
  <c r="CH185" i="15"/>
  <c r="CI185" i="15"/>
  <c r="CJ185" i="15"/>
  <c r="CK185" i="15"/>
  <c r="CL185" i="15"/>
  <c r="CM185" i="15"/>
  <c r="CN185" i="15"/>
  <c r="CO185" i="15"/>
  <c r="A186" i="15"/>
  <c r="B186" i="15"/>
  <c r="C186" i="15"/>
  <c r="D186" i="15"/>
  <c r="E186" i="15"/>
  <c r="F186" i="15"/>
  <c r="G186" i="15"/>
  <c r="H186" i="15"/>
  <c r="I186" i="15"/>
  <c r="J186" i="15"/>
  <c r="K186" i="15"/>
  <c r="L186" i="15"/>
  <c r="M186" i="15"/>
  <c r="N186" i="15"/>
  <c r="O186" i="15"/>
  <c r="P186" i="15"/>
  <c r="Q186" i="15"/>
  <c r="R186" i="15"/>
  <c r="S186" i="15"/>
  <c r="T186" i="15"/>
  <c r="U186" i="15"/>
  <c r="V186" i="15"/>
  <c r="W186" i="15"/>
  <c r="X186" i="15"/>
  <c r="Y186" i="15"/>
  <c r="Z186" i="15"/>
  <c r="AA186" i="15"/>
  <c r="AB186" i="15"/>
  <c r="AC186" i="15"/>
  <c r="AD186" i="15"/>
  <c r="AE186" i="15"/>
  <c r="AF186" i="15"/>
  <c r="AG186" i="15"/>
  <c r="AH186" i="15"/>
  <c r="AI186" i="15"/>
  <c r="AJ186" i="15"/>
  <c r="AK186" i="15"/>
  <c r="AL186" i="15"/>
  <c r="AM186" i="15"/>
  <c r="AN186" i="15"/>
  <c r="AO186" i="15"/>
  <c r="AP186" i="15"/>
  <c r="AQ186" i="15"/>
  <c r="AR186" i="15"/>
  <c r="AS186" i="15"/>
  <c r="AT186" i="15"/>
  <c r="AU186" i="15"/>
  <c r="AV186" i="15"/>
  <c r="AW186" i="15"/>
  <c r="AX186" i="15"/>
  <c r="AY186" i="15"/>
  <c r="AZ186" i="15"/>
  <c r="BA186" i="15"/>
  <c r="BB186" i="15"/>
  <c r="BC186" i="15"/>
  <c r="BD186" i="15"/>
  <c r="BE186" i="15"/>
  <c r="BF186" i="15"/>
  <c r="BG186" i="15"/>
  <c r="BH186" i="15"/>
  <c r="BI186" i="15"/>
  <c r="BJ186" i="15"/>
  <c r="BK186" i="15"/>
  <c r="BL186" i="15"/>
  <c r="BM186" i="15"/>
  <c r="BN186" i="15"/>
  <c r="BO186" i="15"/>
  <c r="BP186" i="15"/>
  <c r="BQ186" i="15"/>
  <c r="BR186" i="15"/>
  <c r="BS186" i="15"/>
  <c r="BT186" i="15"/>
  <c r="BU186" i="15"/>
  <c r="BV186" i="15"/>
  <c r="BW186" i="15"/>
  <c r="BX186" i="15"/>
  <c r="BY186" i="15"/>
  <c r="BZ186" i="15"/>
  <c r="CA186" i="15"/>
  <c r="CB186" i="15"/>
  <c r="CC186" i="15"/>
  <c r="CD186" i="15"/>
  <c r="CE186" i="15"/>
  <c r="CF186" i="15"/>
  <c r="CG186" i="15"/>
  <c r="CH186" i="15"/>
  <c r="CI186" i="15"/>
  <c r="CJ186" i="15"/>
  <c r="CK186" i="15"/>
  <c r="CL186" i="15"/>
  <c r="CM186" i="15"/>
  <c r="CN186" i="15"/>
  <c r="CO186" i="15"/>
  <c r="A187" i="15"/>
  <c r="B187" i="15"/>
  <c r="C187" i="15"/>
  <c r="D187" i="15"/>
  <c r="E187" i="15"/>
  <c r="F187" i="15"/>
  <c r="G187" i="15"/>
  <c r="H187" i="15"/>
  <c r="I187" i="15"/>
  <c r="J187" i="15"/>
  <c r="K187" i="15"/>
  <c r="L187" i="15"/>
  <c r="M187" i="15"/>
  <c r="N187" i="15"/>
  <c r="O187" i="15"/>
  <c r="P187" i="15"/>
  <c r="Q187" i="15"/>
  <c r="R187" i="15"/>
  <c r="S187" i="15"/>
  <c r="T187" i="15"/>
  <c r="U187" i="15"/>
  <c r="V187" i="15"/>
  <c r="W187" i="15"/>
  <c r="X187" i="15"/>
  <c r="Y187" i="15"/>
  <c r="Z187" i="15"/>
  <c r="AA187" i="15"/>
  <c r="AB187" i="15"/>
  <c r="AC187" i="15"/>
  <c r="AD187" i="15"/>
  <c r="AE187" i="15"/>
  <c r="AF187" i="15"/>
  <c r="AG187" i="15"/>
  <c r="AH187" i="15"/>
  <c r="AI187" i="15"/>
  <c r="AJ187" i="15"/>
  <c r="AK187" i="15"/>
  <c r="AL187" i="15"/>
  <c r="AM187" i="15"/>
  <c r="AN187" i="15"/>
  <c r="AO187" i="15"/>
  <c r="AP187" i="15"/>
  <c r="AQ187" i="15"/>
  <c r="AR187" i="15"/>
  <c r="AS187" i="15"/>
  <c r="AT187" i="15"/>
  <c r="AU187" i="15"/>
  <c r="AV187" i="15"/>
  <c r="AW187" i="15"/>
  <c r="AX187" i="15"/>
  <c r="AY187" i="15"/>
  <c r="AZ187" i="15"/>
  <c r="BA187" i="15"/>
  <c r="BB187" i="15"/>
  <c r="BC187" i="15"/>
  <c r="BD187" i="15"/>
  <c r="BE187" i="15"/>
  <c r="BF187" i="15"/>
  <c r="BG187" i="15"/>
  <c r="BH187" i="15"/>
  <c r="BI187" i="15"/>
  <c r="BJ187" i="15"/>
  <c r="BK187" i="15"/>
  <c r="BL187" i="15"/>
  <c r="BM187" i="15"/>
  <c r="BN187" i="15"/>
  <c r="BO187" i="15"/>
  <c r="BP187" i="15"/>
  <c r="BQ187" i="15"/>
  <c r="BR187" i="15"/>
  <c r="BS187" i="15"/>
  <c r="BT187" i="15"/>
  <c r="BU187" i="15"/>
  <c r="BV187" i="15"/>
  <c r="BW187" i="15"/>
  <c r="BX187" i="15"/>
  <c r="BY187" i="15"/>
  <c r="BZ187" i="15"/>
  <c r="CA187" i="15"/>
  <c r="CB187" i="15"/>
  <c r="CC187" i="15"/>
  <c r="CD187" i="15"/>
  <c r="CE187" i="15"/>
  <c r="CF187" i="15"/>
  <c r="CG187" i="15"/>
  <c r="CH187" i="15"/>
  <c r="CI187" i="15"/>
  <c r="CJ187" i="15"/>
  <c r="CK187" i="15"/>
  <c r="CL187" i="15"/>
  <c r="CM187" i="15"/>
  <c r="CN187" i="15"/>
  <c r="CO187" i="15"/>
  <c r="A188" i="15"/>
  <c r="B188" i="15"/>
  <c r="C188" i="15"/>
  <c r="D188" i="15"/>
  <c r="E188" i="15"/>
  <c r="F188" i="15"/>
  <c r="G188" i="15"/>
  <c r="H188" i="15"/>
  <c r="I188" i="15"/>
  <c r="J188" i="15"/>
  <c r="K188" i="15"/>
  <c r="L188" i="15"/>
  <c r="M188" i="15"/>
  <c r="N188" i="15"/>
  <c r="O188" i="15"/>
  <c r="P188" i="15"/>
  <c r="Q188" i="15"/>
  <c r="R188" i="15"/>
  <c r="S188" i="15"/>
  <c r="T188" i="15"/>
  <c r="U188" i="15"/>
  <c r="V188" i="15"/>
  <c r="W188" i="15"/>
  <c r="X188" i="15"/>
  <c r="Y188" i="15"/>
  <c r="Z188" i="15"/>
  <c r="AA188" i="15"/>
  <c r="AB188" i="15"/>
  <c r="AC188" i="15"/>
  <c r="AD188" i="15"/>
  <c r="AE188" i="15"/>
  <c r="AF188" i="15"/>
  <c r="AG188" i="15"/>
  <c r="AH188" i="15"/>
  <c r="AI188" i="15"/>
  <c r="AJ188" i="15"/>
  <c r="AK188" i="15"/>
  <c r="AL188" i="15"/>
  <c r="AM188" i="15"/>
  <c r="AN188" i="15"/>
  <c r="AO188" i="15"/>
  <c r="AP188" i="15"/>
  <c r="AQ188" i="15"/>
  <c r="AR188" i="15"/>
  <c r="AS188" i="15"/>
  <c r="AT188" i="15"/>
  <c r="AU188" i="15"/>
  <c r="AV188" i="15"/>
  <c r="AW188" i="15"/>
  <c r="AX188" i="15"/>
  <c r="AY188" i="15"/>
  <c r="AZ188" i="15"/>
  <c r="BA188" i="15"/>
  <c r="BB188" i="15"/>
  <c r="BC188" i="15"/>
  <c r="BD188" i="15"/>
  <c r="BE188" i="15"/>
  <c r="BF188" i="15"/>
  <c r="BG188" i="15"/>
  <c r="BH188" i="15"/>
  <c r="BI188" i="15"/>
  <c r="BJ188" i="15"/>
  <c r="BK188" i="15"/>
  <c r="BL188" i="15"/>
  <c r="BM188" i="15"/>
  <c r="BN188" i="15"/>
  <c r="BO188" i="15"/>
  <c r="BP188" i="15"/>
  <c r="BQ188" i="15"/>
  <c r="BR188" i="15"/>
  <c r="BS188" i="15"/>
  <c r="BT188" i="15"/>
  <c r="BU188" i="15"/>
  <c r="BV188" i="15"/>
  <c r="BW188" i="15"/>
  <c r="BX188" i="15"/>
  <c r="BY188" i="15"/>
  <c r="BZ188" i="15"/>
  <c r="CA188" i="15"/>
  <c r="CB188" i="15"/>
  <c r="CC188" i="15"/>
  <c r="CD188" i="15"/>
  <c r="CE188" i="15"/>
  <c r="CF188" i="15"/>
  <c r="CG188" i="15"/>
  <c r="CH188" i="15"/>
  <c r="CI188" i="15"/>
  <c r="CJ188" i="15"/>
  <c r="CK188" i="15"/>
  <c r="CL188" i="15"/>
  <c r="CM188" i="15"/>
  <c r="CN188" i="15"/>
  <c r="CO188" i="15"/>
  <c r="A189" i="15"/>
  <c r="B189" i="15"/>
  <c r="C189" i="15"/>
  <c r="D189" i="15"/>
  <c r="E189" i="15"/>
  <c r="F189" i="15"/>
  <c r="G189" i="15"/>
  <c r="H189" i="15"/>
  <c r="I189" i="15"/>
  <c r="J189" i="15"/>
  <c r="K189" i="15"/>
  <c r="L189" i="15"/>
  <c r="M189" i="15"/>
  <c r="N189" i="15"/>
  <c r="O189" i="15"/>
  <c r="P189" i="15"/>
  <c r="Q189" i="15"/>
  <c r="R189" i="15"/>
  <c r="S189" i="15"/>
  <c r="T189" i="15"/>
  <c r="U189" i="15"/>
  <c r="V189" i="15"/>
  <c r="W189" i="15"/>
  <c r="X189" i="15"/>
  <c r="Y189" i="15"/>
  <c r="Z189" i="15"/>
  <c r="AA189" i="15"/>
  <c r="AB189" i="15"/>
  <c r="AC189" i="15"/>
  <c r="AD189" i="15"/>
  <c r="AE189" i="15"/>
  <c r="AF189" i="15"/>
  <c r="AG189" i="15"/>
  <c r="AH189" i="15"/>
  <c r="AI189" i="15"/>
  <c r="AJ189" i="15"/>
  <c r="AK189" i="15"/>
  <c r="AL189" i="15"/>
  <c r="AM189" i="15"/>
  <c r="AN189" i="15"/>
  <c r="AO189" i="15"/>
  <c r="AP189" i="15"/>
  <c r="AQ189" i="15"/>
  <c r="AR189" i="15"/>
  <c r="AS189" i="15"/>
  <c r="AT189" i="15"/>
  <c r="AU189" i="15"/>
  <c r="AV189" i="15"/>
  <c r="AW189" i="15"/>
  <c r="AX189" i="15"/>
  <c r="AY189" i="15"/>
  <c r="AZ189" i="15"/>
  <c r="BA189" i="15"/>
  <c r="BB189" i="15"/>
  <c r="BC189" i="15"/>
  <c r="BD189" i="15"/>
  <c r="BE189" i="15"/>
  <c r="BF189" i="15"/>
  <c r="BG189" i="15"/>
  <c r="BH189" i="15"/>
  <c r="BI189" i="15"/>
  <c r="BJ189" i="15"/>
  <c r="BK189" i="15"/>
  <c r="BL189" i="15"/>
  <c r="BM189" i="15"/>
  <c r="BN189" i="15"/>
  <c r="BO189" i="15"/>
  <c r="BP189" i="15"/>
  <c r="BQ189" i="15"/>
  <c r="BR189" i="15"/>
  <c r="BS189" i="15"/>
  <c r="BT189" i="15"/>
  <c r="BU189" i="15"/>
  <c r="BV189" i="15"/>
  <c r="BW189" i="15"/>
  <c r="BX189" i="15"/>
  <c r="BY189" i="15"/>
  <c r="BZ189" i="15"/>
  <c r="CA189" i="15"/>
  <c r="CB189" i="15"/>
  <c r="CC189" i="15"/>
  <c r="CD189" i="15"/>
  <c r="CE189" i="15"/>
  <c r="CF189" i="15"/>
  <c r="CG189" i="15"/>
  <c r="CH189" i="15"/>
  <c r="CI189" i="15"/>
  <c r="CJ189" i="15"/>
  <c r="CK189" i="15"/>
  <c r="CL189" i="15"/>
  <c r="CM189" i="15"/>
  <c r="CN189" i="15"/>
  <c r="CO189" i="15"/>
  <c r="A190" i="15"/>
  <c r="B190" i="15"/>
  <c r="C190" i="15"/>
  <c r="D190" i="15"/>
  <c r="E190" i="15"/>
  <c r="F190" i="15"/>
  <c r="G190" i="15"/>
  <c r="H190" i="15"/>
  <c r="I190" i="15"/>
  <c r="J190" i="15"/>
  <c r="K190" i="15"/>
  <c r="L190" i="15"/>
  <c r="M190" i="15"/>
  <c r="N190" i="15"/>
  <c r="O190" i="15"/>
  <c r="P190" i="15"/>
  <c r="Q190" i="15"/>
  <c r="R190" i="15"/>
  <c r="S190" i="15"/>
  <c r="T190" i="15"/>
  <c r="U190" i="15"/>
  <c r="V190" i="15"/>
  <c r="W190" i="15"/>
  <c r="X190" i="15"/>
  <c r="Y190" i="15"/>
  <c r="Z190" i="15"/>
  <c r="AA190" i="15"/>
  <c r="AB190" i="15"/>
  <c r="AC190" i="15"/>
  <c r="AD190" i="15"/>
  <c r="AE190" i="15"/>
  <c r="AF190" i="15"/>
  <c r="AG190" i="15"/>
  <c r="AH190" i="15"/>
  <c r="AI190" i="15"/>
  <c r="AJ190" i="15"/>
  <c r="AK190" i="15"/>
  <c r="AL190" i="15"/>
  <c r="AM190" i="15"/>
  <c r="AN190" i="15"/>
  <c r="AO190" i="15"/>
  <c r="AP190" i="15"/>
  <c r="AQ190" i="15"/>
  <c r="AR190" i="15"/>
  <c r="AS190" i="15"/>
  <c r="AT190" i="15"/>
  <c r="AU190" i="15"/>
  <c r="AV190" i="15"/>
  <c r="AW190" i="15"/>
  <c r="AX190" i="15"/>
  <c r="AY190" i="15"/>
  <c r="AZ190" i="15"/>
  <c r="BA190" i="15"/>
  <c r="BB190" i="15"/>
  <c r="BC190" i="15"/>
  <c r="BD190" i="15"/>
  <c r="BE190" i="15"/>
  <c r="BF190" i="15"/>
  <c r="BG190" i="15"/>
  <c r="BH190" i="15"/>
  <c r="BI190" i="15"/>
  <c r="BJ190" i="15"/>
  <c r="BK190" i="15"/>
  <c r="BL190" i="15"/>
  <c r="BM190" i="15"/>
  <c r="BN190" i="15"/>
  <c r="BO190" i="15"/>
  <c r="BP190" i="15"/>
  <c r="BQ190" i="15"/>
  <c r="BR190" i="15"/>
  <c r="BS190" i="15"/>
  <c r="BT190" i="15"/>
  <c r="BU190" i="15"/>
  <c r="BV190" i="15"/>
  <c r="BW190" i="15"/>
  <c r="BX190" i="15"/>
  <c r="BY190" i="15"/>
  <c r="BZ190" i="15"/>
  <c r="CA190" i="15"/>
  <c r="CB190" i="15"/>
  <c r="CC190" i="15"/>
  <c r="CD190" i="15"/>
  <c r="CE190" i="15"/>
  <c r="CF190" i="15"/>
  <c r="CG190" i="15"/>
  <c r="CH190" i="15"/>
  <c r="CI190" i="15"/>
  <c r="CJ190" i="15"/>
  <c r="CK190" i="15"/>
  <c r="CL190" i="15"/>
  <c r="CM190" i="15"/>
  <c r="CN190" i="15"/>
  <c r="CO190" i="15"/>
  <c r="A191" i="15"/>
  <c r="B191" i="15"/>
  <c r="C191" i="15"/>
  <c r="D191" i="15"/>
  <c r="E191" i="15"/>
  <c r="F191" i="15"/>
  <c r="G191" i="15"/>
  <c r="H191" i="15"/>
  <c r="I191" i="15"/>
  <c r="J191" i="15"/>
  <c r="K191" i="15"/>
  <c r="L191" i="15"/>
  <c r="M191" i="15"/>
  <c r="N191" i="15"/>
  <c r="O191" i="15"/>
  <c r="P191" i="15"/>
  <c r="Q191" i="15"/>
  <c r="R191" i="15"/>
  <c r="S191" i="15"/>
  <c r="T191" i="15"/>
  <c r="U191" i="15"/>
  <c r="V191" i="15"/>
  <c r="W191" i="15"/>
  <c r="X191" i="15"/>
  <c r="Y191" i="15"/>
  <c r="Z191" i="15"/>
  <c r="AA191" i="15"/>
  <c r="AB191" i="15"/>
  <c r="AC191" i="15"/>
  <c r="AD191" i="15"/>
  <c r="AE191" i="15"/>
  <c r="AF191" i="15"/>
  <c r="AG191" i="15"/>
  <c r="AH191" i="15"/>
  <c r="AI191" i="15"/>
  <c r="AJ191" i="15"/>
  <c r="AK191" i="15"/>
  <c r="AL191" i="15"/>
  <c r="AM191" i="15"/>
  <c r="AN191" i="15"/>
  <c r="AO191" i="15"/>
  <c r="AP191" i="15"/>
  <c r="AQ191" i="15"/>
  <c r="AR191" i="15"/>
  <c r="AS191" i="15"/>
  <c r="AT191" i="15"/>
  <c r="AU191" i="15"/>
  <c r="AV191" i="15"/>
  <c r="AW191" i="15"/>
  <c r="AX191" i="15"/>
  <c r="AY191" i="15"/>
  <c r="AZ191" i="15"/>
  <c r="BA191" i="15"/>
  <c r="BB191" i="15"/>
  <c r="BC191" i="15"/>
  <c r="BD191" i="15"/>
  <c r="BE191" i="15"/>
  <c r="BF191" i="15"/>
  <c r="BG191" i="15"/>
  <c r="BH191" i="15"/>
  <c r="BI191" i="15"/>
  <c r="BJ191" i="15"/>
  <c r="BK191" i="15"/>
  <c r="BL191" i="15"/>
  <c r="BM191" i="15"/>
  <c r="BN191" i="15"/>
  <c r="BO191" i="15"/>
  <c r="BP191" i="15"/>
  <c r="BQ191" i="15"/>
  <c r="BR191" i="15"/>
  <c r="BS191" i="15"/>
  <c r="BT191" i="15"/>
  <c r="BU191" i="15"/>
  <c r="BV191" i="15"/>
  <c r="BW191" i="15"/>
  <c r="BX191" i="15"/>
  <c r="BY191" i="15"/>
  <c r="BZ191" i="15"/>
  <c r="CA191" i="15"/>
  <c r="CB191" i="15"/>
  <c r="CC191" i="15"/>
  <c r="CD191" i="15"/>
  <c r="CE191" i="15"/>
  <c r="CF191" i="15"/>
  <c r="CG191" i="15"/>
  <c r="CH191" i="15"/>
  <c r="CI191" i="15"/>
  <c r="CJ191" i="15"/>
  <c r="CK191" i="15"/>
  <c r="CL191" i="15"/>
  <c r="CM191" i="15"/>
  <c r="CN191" i="15"/>
  <c r="CO191" i="15"/>
  <c r="A192" i="15"/>
  <c r="B192" i="15"/>
  <c r="C192" i="15"/>
  <c r="D192" i="15"/>
  <c r="E192" i="15"/>
  <c r="F192" i="15"/>
  <c r="G192" i="15"/>
  <c r="H192" i="15"/>
  <c r="I192" i="15"/>
  <c r="J192" i="15"/>
  <c r="K192" i="15"/>
  <c r="L192" i="15"/>
  <c r="M192" i="15"/>
  <c r="N192" i="15"/>
  <c r="O192" i="15"/>
  <c r="P192" i="15"/>
  <c r="Q192" i="15"/>
  <c r="R192" i="15"/>
  <c r="S192" i="15"/>
  <c r="T192" i="15"/>
  <c r="U192" i="15"/>
  <c r="V192" i="15"/>
  <c r="W192" i="15"/>
  <c r="X192" i="15"/>
  <c r="Y192" i="15"/>
  <c r="Z192" i="15"/>
  <c r="AA192" i="15"/>
  <c r="AB192" i="15"/>
  <c r="AC192" i="15"/>
  <c r="AD192" i="15"/>
  <c r="AE192" i="15"/>
  <c r="AF192" i="15"/>
  <c r="AG192" i="15"/>
  <c r="AH192" i="15"/>
  <c r="AI192" i="15"/>
  <c r="AJ192" i="15"/>
  <c r="AK192" i="15"/>
  <c r="AL192" i="15"/>
  <c r="AM192" i="15"/>
  <c r="AN192" i="15"/>
  <c r="AO192" i="15"/>
  <c r="AP192" i="15"/>
  <c r="AQ192" i="15"/>
  <c r="AR192" i="15"/>
  <c r="AS192" i="15"/>
  <c r="AT192" i="15"/>
  <c r="AU192" i="15"/>
  <c r="AV192" i="15"/>
  <c r="AW192" i="15"/>
  <c r="AX192" i="15"/>
  <c r="AY192" i="15"/>
  <c r="AZ192" i="15"/>
  <c r="BA192" i="15"/>
  <c r="BB192" i="15"/>
  <c r="BC192" i="15"/>
  <c r="BD192" i="15"/>
  <c r="BE192" i="15"/>
  <c r="BF192" i="15"/>
  <c r="BG192" i="15"/>
  <c r="BH192" i="15"/>
  <c r="BI192" i="15"/>
  <c r="BJ192" i="15"/>
  <c r="BK192" i="15"/>
  <c r="BL192" i="15"/>
  <c r="BM192" i="15"/>
  <c r="BN192" i="15"/>
  <c r="BO192" i="15"/>
  <c r="BP192" i="15"/>
  <c r="BQ192" i="15"/>
  <c r="BR192" i="15"/>
  <c r="BS192" i="15"/>
  <c r="BT192" i="15"/>
  <c r="BU192" i="15"/>
  <c r="BV192" i="15"/>
  <c r="BW192" i="15"/>
  <c r="BX192" i="15"/>
  <c r="BY192" i="15"/>
  <c r="BZ192" i="15"/>
  <c r="CA192" i="15"/>
  <c r="CB192" i="15"/>
  <c r="CC192" i="15"/>
  <c r="CD192" i="15"/>
  <c r="CE192" i="15"/>
  <c r="CF192" i="15"/>
  <c r="CG192" i="15"/>
  <c r="CH192" i="15"/>
  <c r="CI192" i="15"/>
  <c r="CJ192" i="15"/>
  <c r="CK192" i="15"/>
  <c r="CL192" i="15"/>
  <c r="CM192" i="15"/>
  <c r="CN192" i="15"/>
  <c r="CO192" i="15"/>
  <c r="A193" i="15"/>
  <c r="B193" i="15"/>
  <c r="C193" i="15"/>
  <c r="D193" i="15"/>
  <c r="E193" i="15"/>
  <c r="F193" i="15"/>
  <c r="G193" i="15"/>
  <c r="H193" i="15"/>
  <c r="I193" i="15"/>
  <c r="J193" i="15"/>
  <c r="K193" i="15"/>
  <c r="L193" i="15"/>
  <c r="M193" i="15"/>
  <c r="N193" i="15"/>
  <c r="O193" i="15"/>
  <c r="P193" i="15"/>
  <c r="Q193" i="15"/>
  <c r="R193" i="15"/>
  <c r="S193" i="15"/>
  <c r="T193" i="15"/>
  <c r="U193" i="15"/>
  <c r="V193" i="15"/>
  <c r="W193" i="15"/>
  <c r="X193" i="15"/>
  <c r="Y193" i="15"/>
  <c r="Z193" i="15"/>
  <c r="AA193" i="15"/>
  <c r="AB193" i="15"/>
  <c r="AC193" i="15"/>
  <c r="AD193" i="15"/>
  <c r="AE193" i="15"/>
  <c r="AF193" i="15"/>
  <c r="AG193" i="15"/>
  <c r="AH193" i="15"/>
  <c r="AI193" i="15"/>
  <c r="AJ193" i="15"/>
  <c r="AK193" i="15"/>
  <c r="AL193" i="15"/>
  <c r="AM193" i="15"/>
  <c r="AN193" i="15"/>
  <c r="AO193" i="15"/>
  <c r="AP193" i="15"/>
  <c r="AQ193" i="15"/>
  <c r="AR193" i="15"/>
  <c r="AS193" i="15"/>
  <c r="AT193" i="15"/>
  <c r="AU193" i="15"/>
  <c r="AV193" i="15"/>
  <c r="AW193" i="15"/>
  <c r="AX193" i="15"/>
  <c r="AY193" i="15"/>
  <c r="AZ193" i="15"/>
  <c r="BA193" i="15"/>
  <c r="BB193" i="15"/>
  <c r="BC193" i="15"/>
  <c r="BD193" i="15"/>
  <c r="BE193" i="15"/>
  <c r="BF193" i="15"/>
  <c r="BG193" i="15"/>
  <c r="BH193" i="15"/>
  <c r="BI193" i="15"/>
  <c r="BJ193" i="15"/>
  <c r="BK193" i="15"/>
  <c r="BL193" i="15"/>
  <c r="BM193" i="15"/>
  <c r="BN193" i="15"/>
  <c r="BO193" i="15"/>
  <c r="BP193" i="15"/>
  <c r="BQ193" i="15"/>
  <c r="BR193" i="15"/>
  <c r="BS193" i="15"/>
  <c r="BT193" i="15"/>
  <c r="BU193" i="15"/>
  <c r="BV193" i="15"/>
  <c r="BW193" i="15"/>
  <c r="BX193" i="15"/>
  <c r="BY193" i="15"/>
  <c r="BZ193" i="15"/>
  <c r="CA193" i="15"/>
  <c r="CB193" i="15"/>
  <c r="CC193" i="15"/>
  <c r="CD193" i="15"/>
  <c r="CE193" i="15"/>
  <c r="CF193" i="15"/>
  <c r="CG193" i="15"/>
  <c r="CH193" i="15"/>
  <c r="CI193" i="15"/>
  <c r="CJ193" i="15"/>
  <c r="CK193" i="15"/>
  <c r="CL193" i="15"/>
  <c r="CM193" i="15"/>
  <c r="CN193" i="15"/>
  <c r="CO193" i="15"/>
  <c r="A194" i="15"/>
  <c r="B194" i="15"/>
  <c r="C194" i="15"/>
  <c r="D194" i="15"/>
  <c r="E194" i="15"/>
  <c r="F194" i="15"/>
  <c r="G194" i="15"/>
  <c r="H194" i="15"/>
  <c r="I194" i="15"/>
  <c r="J194" i="15"/>
  <c r="K194" i="15"/>
  <c r="L194" i="15"/>
  <c r="M194" i="15"/>
  <c r="N194" i="15"/>
  <c r="O194" i="15"/>
  <c r="P194" i="15"/>
  <c r="Q194" i="15"/>
  <c r="R194" i="15"/>
  <c r="S194" i="15"/>
  <c r="T194" i="15"/>
  <c r="U194" i="15"/>
  <c r="V194" i="15"/>
  <c r="W194" i="15"/>
  <c r="X194" i="15"/>
  <c r="Y194" i="15"/>
  <c r="Z194" i="15"/>
  <c r="AA194" i="15"/>
  <c r="AB194" i="15"/>
  <c r="AC194" i="15"/>
  <c r="AD194" i="15"/>
  <c r="AE194" i="15"/>
  <c r="AF194" i="15"/>
  <c r="AG194" i="15"/>
  <c r="AH194" i="15"/>
  <c r="AI194" i="15"/>
  <c r="AJ194" i="15"/>
  <c r="AK194" i="15"/>
  <c r="AL194" i="15"/>
  <c r="AM194" i="15"/>
  <c r="AN194" i="15"/>
  <c r="AO194" i="15"/>
  <c r="AP194" i="15"/>
  <c r="AQ194" i="15"/>
  <c r="AR194" i="15"/>
  <c r="AS194" i="15"/>
  <c r="AT194" i="15"/>
  <c r="AU194" i="15"/>
  <c r="AV194" i="15"/>
  <c r="AW194" i="15"/>
  <c r="AX194" i="15"/>
  <c r="AY194" i="15"/>
  <c r="AZ194" i="15"/>
  <c r="BA194" i="15"/>
  <c r="BB194" i="15"/>
  <c r="BC194" i="15"/>
  <c r="BD194" i="15"/>
  <c r="BE194" i="15"/>
  <c r="BF194" i="15"/>
  <c r="BG194" i="15"/>
  <c r="BH194" i="15"/>
  <c r="BI194" i="15"/>
  <c r="BJ194" i="15"/>
  <c r="BK194" i="15"/>
  <c r="BL194" i="15"/>
  <c r="BM194" i="15"/>
  <c r="BN194" i="15"/>
  <c r="BO194" i="15"/>
  <c r="BP194" i="15"/>
  <c r="BQ194" i="15"/>
  <c r="BR194" i="15"/>
  <c r="BS194" i="15"/>
  <c r="BT194" i="15"/>
  <c r="BU194" i="15"/>
  <c r="BV194" i="15"/>
  <c r="BW194" i="15"/>
  <c r="BX194" i="15"/>
  <c r="BY194" i="15"/>
  <c r="BZ194" i="15"/>
  <c r="CA194" i="15"/>
  <c r="CB194" i="15"/>
  <c r="CC194" i="15"/>
  <c r="CD194" i="15"/>
  <c r="CE194" i="15"/>
  <c r="CF194" i="15"/>
  <c r="CG194" i="15"/>
  <c r="CH194" i="15"/>
  <c r="CI194" i="15"/>
  <c r="CJ194" i="15"/>
  <c r="CK194" i="15"/>
  <c r="CL194" i="15"/>
  <c r="CM194" i="15"/>
  <c r="CN194" i="15"/>
  <c r="CO194" i="15"/>
  <c r="A195" i="15"/>
  <c r="B195" i="15"/>
  <c r="C195" i="15"/>
  <c r="D195" i="15"/>
  <c r="E195" i="15"/>
  <c r="F195" i="15"/>
  <c r="G195" i="15"/>
  <c r="H195" i="15"/>
  <c r="I195" i="15"/>
  <c r="J195" i="15"/>
  <c r="K195" i="15"/>
  <c r="L195" i="15"/>
  <c r="M195" i="15"/>
  <c r="N195" i="15"/>
  <c r="O195" i="15"/>
  <c r="P195" i="15"/>
  <c r="Q195" i="15"/>
  <c r="R195" i="15"/>
  <c r="S195" i="15"/>
  <c r="T195" i="15"/>
  <c r="U195" i="15"/>
  <c r="V195" i="15"/>
  <c r="W195" i="15"/>
  <c r="X195" i="15"/>
  <c r="Y195" i="15"/>
  <c r="Z195" i="15"/>
  <c r="AA195" i="15"/>
  <c r="AB195" i="15"/>
  <c r="AC195" i="15"/>
  <c r="AD195" i="15"/>
  <c r="AE195" i="15"/>
  <c r="AF195" i="15"/>
  <c r="AG195" i="15"/>
  <c r="AH195" i="15"/>
  <c r="AI195" i="15"/>
  <c r="AJ195" i="15"/>
  <c r="AK195" i="15"/>
  <c r="AL195" i="15"/>
  <c r="AM195" i="15"/>
  <c r="AN195" i="15"/>
  <c r="AO195" i="15"/>
  <c r="AP195" i="15"/>
  <c r="AQ195" i="15"/>
  <c r="AR195" i="15"/>
  <c r="AS195" i="15"/>
  <c r="AT195" i="15"/>
  <c r="AU195" i="15"/>
  <c r="AV195" i="15"/>
  <c r="AW195" i="15"/>
  <c r="AX195" i="15"/>
  <c r="AY195" i="15"/>
  <c r="AZ195" i="15"/>
  <c r="BA195" i="15"/>
  <c r="BB195" i="15"/>
  <c r="BC195" i="15"/>
  <c r="BD195" i="15"/>
  <c r="BE195" i="15"/>
  <c r="BF195" i="15"/>
  <c r="BG195" i="15"/>
  <c r="BH195" i="15"/>
  <c r="BI195" i="15"/>
  <c r="BJ195" i="15"/>
  <c r="BK195" i="15"/>
  <c r="BL195" i="15"/>
  <c r="BM195" i="15"/>
  <c r="BN195" i="15"/>
  <c r="BO195" i="15"/>
  <c r="BP195" i="15"/>
  <c r="BQ195" i="15"/>
  <c r="BR195" i="15"/>
  <c r="BS195" i="15"/>
  <c r="BT195" i="15"/>
  <c r="BU195" i="15"/>
  <c r="BV195" i="15"/>
  <c r="BW195" i="15"/>
  <c r="BX195" i="15"/>
  <c r="BY195" i="15"/>
  <c r="BZ195" i="15"/>
  <c r="CA195" i="15"/>
  <c r="CB195" i="15"/>
  <c r="CC195" i="15"/>
  <c r="CD195" i="15"/>
  <c r="CE195" i="15"/>
  <c r="CF195" i="15"/>
  <c r="CG195" i="15"/>
  <c r="CH195" i="15"/>
  <c r="CI195" i="15"/>
  <c r="CJ195" i="15"/>
  <c r="CK195" i="15"/>
  <c r="CL195" i="15"/>
  <c r="CM195" i="15"/>
  <c r="CN195" i="15"/>
  <c r="CO195" i="15"/>
  <c r="A196" i="15"/>
  <c r="B196" i="15"/>
  <c r="C196" i="15"/>
  <c r="D196" i="15"/>
  <c r="E196" i="15"/>
  <c r="F196" i="15"/>
  <c r="G196" i="15"/>
  <c r="H196" i="15"/>
  <c r="I196" i="15"/>
  <c r="J196" i="15"/>
  <c r="K196" i="15"/>
  <c r="L196" i="15"/>
  <c r="M196" i="15"/>
  <c r="N196" i="15"/>
  <c r="O196" i="15"/>
  <c r="P196" i="15"/>
  <c r="Q196" i="15"/>
  <c r="R196" i="15"/>
  <c r="S196" i="15"/>
  <c r="T196" i="15"/>
  <c r="U196" i="15"/>
  <c r="V196" i="15"/>
  <c r="W196" i="15"/>
  <c r="X196" i="15"/>
  <c r="Y196" i="15"/>
  <c r="Z196" i="15"/>
  <c r="AA196" i="15"/>
  <c r="AB196" i="15"/>
  <c r="AC196" i="15"/>
  <c r="AD196" i="15"/>
  <c r="AE196" i="15"/>
  <c r="AF196" i="15"/>
  <c r="AG196" i="15"/>
  <c r="AH196" i="15"/>
  <c r="AI196" i="15"/>
  <c r="AJ196" i="15"/>
  <c r="AK196" i="15"/>
  <c r="AL196" i="15"/>
  <c r="AM196" i="15"/>
  <c r="AN196" i="15"/>
  <c r="AO196" i="15"/>
  <c r="AP196" i="15"/>
  <c r="AQ196" i="15"/>
  <c r="AR196" i="15"/>
  <c r="AS196" i="15"/>
  <c r="AT196" i="15"/>
  <c r="AU196" i="15"/>
  <c r="AV196" i="15"/>
  <c r="AW196" i="15"/>
  <c r="AX196" i="15"/>
  <c r="AY196" i="15"/>
  <c r="AZ196" i="15"/>
  <c r="BA196" i="15"/>
  <c r="BB196" i="15"/>
  <c r="BC196" i="15"/>
  <c r="BD196" i="15"/>
  <c r="BE196" i="15"/>
  <c r="BF196" i="15"/>
  <c r="BG196" i="15"/>
  <c r="BH196" i="15"/>
  <c r="BI196" i="15"/>
  <c r="BJ196" i="15"/>
  <c r="BK196" i="15"/>
  <c r="BL196" i="15"/>
  <c r="BM196" i="15"/>
  <c r="BN196" i="15"/>
  <c r="BO196" i="15"/>
  <c r="BP196" i="15"/>
  <c r="BQ196" i="15"/>
  <c r="BR196" i="15"/>
  <c r="BS196" i="15"/>
  <c r="BT196" i="15"/>
  <c r="BU196" i="15"/>
  <c r="BV196" i="15"/>
  <c r="BW196" i="15"/>
  <c r="BX196" i="15"/>
  <c r="BY196" i="15"/>
  <c r="BZ196" i="15"/>
  <c r="CA196" i="15"/>
  <c r="CB196" i="15"/>
  <c r="CC196" i="15"/>
  <c r="CD196" i="15"/>
  <c r="CE196" i="15"/>
  <c r="CF196" i="15"/>
  <c r="CG196" i="15"/>
  <c r="CH196" i="15"/>
  <c r="CI196" i="15"/>
  <c r="CJ196" i="15"/>
  <c r="CK196" i="15"/>
  <c r="CL196" i="15"/>
  <c r="CM196" i="15"/>
  <c r="CN196" i="15"/>
  <c r="CO196" i="15"/>
  <c r="A197" i="15"/>
  <c r="B197" i="15"/>
  <c r="C197" i="15"/>
  <c r="D197" i="15"/>
  <c r="E197" i="15"/>
  <c r="F197" i="15"/>
  <c r="G197" i="15"/>
  <c r="H197" i="15"/>
  <c r="I197" i="15"/>
  <c r="J197" i="15"/>
  <c r="K197" i="15"/>
  <c r="L197" i="15"/>
  <c r="M197" i="15"/>
  <c r="N197" i="15"/>
  <c r="O197" i="15"/>
  <c r="P197" i="15"/>
  <c r="Q197" i="15"/>
  <c r="R197" i="15"/>
  <c r="S197" i="15"/>
  <c r="T197" i="15"/>
  <c r="U197" i="15"/>
  <c r="V197" i="15"/>
  <c r="W197" i="15"/>
  <c r="X197" i="15"/>
  <c r="Y197" i="15"/>
  <c r="Z197" i="15"/>
  <c r="AA197" i="15"/>
  <c r="AB197" i="15"/>
  <c r="AC197" i="15"/>
  <c r="AD197" i="15"/>
  <c r="AE197" i="15"/>
  <c r="AF197" i="15"/>
  <c r="AG197" i="15"/>
  <c r="AH197" i="15"/>
  <c r="AI197" i="15"/>
  <c r="AJ197" i="15"/>
  <c r="AK197" i="15"/>
  <c r="AL197" i="15"/>
  <c r="AM197" i="15"/>
  <c r="AN197" i="15"/>
  <c r="AO197" i="15"/>
  <c r="AP197" i="15"/>
  <c r="AQ197" i="15"/>
  <c r="AR197" i="15"/>
  <c r="AS197" i="15"/>
  <c r="AT197" i="15"/>
  <c r="AU197" i="15"/>
  <c r="AV197" i="15"/>
  <c r="AW197" i="15"/>
  <c r="AX197" i="15"/>
  <c r="AY197" i="15"/>
  <c r="AZ197" i="15"/>
  <c r="BA197" i="15"/>
  <c r="BB197" i="15"/>
  <c r="BC197" i="15"/>
  <c r="BD197" i="15"/>
  <c r="BE197" i="15"/>
  <c r="BF197" i="15"/>
  <c r="BG197" i="15"/>
  <c r="BH197" i="15"/>
  <c r="BI197" i="15"/>
  <c r="BJ197" i="15"/>
  <c r="BK197" i="15"/>
  <c r="BL197" i="15"/>
  <c r="BM197" i="15"/>
  <c r="BN197" i="15"/>
  <c r="BO197" i="15"/>
  <c r="BP197" i="15"/>
  <c r="BQ197" i="15"/>
  <c r="BR197" i="15"/>
  <c r="BS197" i="15"/>
  <c r="BT197" i="15"/>
  <c r="BU197" i="15"/>
  <c r="BV197" i="15"/>
  <c r="BW197" i="15"/>
  <c r="BX197" i="15"/>
  <c r="BY197" i="15"/>
  <c r="BZ197" i="15"/>
  <c r="CA197" i="15"/>
  <c r="CB197" i="15"/>
  <c r="CC197" i="15"/>
  <c r="CD197" i="15"/>
  <c r="CE197" i="15"/>
  <c r="CF197" i="15"/>
  <c r="CG197" i="15"/>
  <c r="CH197" i="15"/>
  <c r="CI197" i="15"/>
  <c r="CJ197" i="15"/>
  <c r="CK197" i="15"/>
  <c r="CL197" i="15"/>
  <c r="CM197" i="15"/>
  <c r="CN197" i="15"/>
  <c r="CO197" i="15"/>
  <c r="A198" i="15"/>
  <c r="B198" i="15"/>
  <c r="C198" i="15"/>
  <c r="D198" i="15"/>
  <c r="E198" i="15"/>
  <c r="F198" i="15"/>
  <c r="G198" i="15"/>
  <c r="H198" i="15"/>
  <c r="I198" i="15"/>
  <c r="J198" i="15"/>
  <c r="K198" i="15"/>
  <c r="L198" i="15"/>
  <c r="M198" i="15"/>
  <c r="N198" i="15"/>
  <c r="O198" i="15"/>
  <c r="P198" i="15"/>
  <c r="Q198" i="15"/>
  <c r="R198" i="15"/>
  <c r="S198" i="15"/>
  <c r="T198" i="15"/>
  <c r="U198" i="15"/>
  <c r="V198" i="15"/>
  <c r="W198" i="15"/>
  <c r="X198" i="15"/>
  <c r="Y198" i="15"/>
  <c r="Z198" i="15"/>
  <c r="AA198" i="15"/>
  <c r="AB198" i="15"/>
  <c r="AC198" i="15"/>
  <c r="AD198" i="15"/>
  <c r="AE198" i="15"/>
  <c r="AF198" i="15"/>
  <c r="AG198" i="15"/>
  <c r="AH198" i="15"/>
  <c r="AI198" i="15"/>
  <c r="AJ198" i="15"/>
  <c r="AK198" i="15"/>
  <c r="AL198" i="15"/>
  <c r="AM198" i="15"/>
  <c r="AN198" i="15"/>
  <c r="AO198" i="15"/>
  <c r="AP198" i="15"/>
  <c r="AQ198" i="15"/>
  <c r="AR198" i="15"/>
  <c r="AS198" i="15"/>
  <c r="AT198" i="15"/>
  <c r="AU198" i="15"/>
  <c r="AV198" i="15"/>
  <c r="AW198" i="15"/>
  <c r="AX198" i="15"/>
  <c r="AY198" i="15"/>
  <c r="AZ198" i="15"/>
  <c r="BA198" i="15"/>
  <c r="BB198" i="15"/>
  <c r="BC198" i="15"/>
  <c r="BD198" i="15"/>
  <c r="BE198" i="15"/>
  <c r="BF198" i="15"/>
  <c r="BG198" i="15"/>
  <c r="BH198" i="15"/>
  <c r="BI198" i="15"/>
  <c r="BJ198" i="15"/>
  <c r="BK198" i="15"/>
  <c r="BL198" i="15"/>
  <c r="BM198" i="15"/>
  <c r="BN198" i="15"/>
  <c r="BO198" i="15"/>
  <c r="BP198" i="15"/>
  <c r="BQ198" i="15"/>
  <c r="BR198" i="15"/>
  <c r="BS198" i="15"/>
  <c r="BT198" i="15"/>
  <c r="BU198" i="15"/>
  <c r="BV198" i="15"/>
  <c r="BW198" i="15"/>
  <c r="BX198" i="15"/>
  <c r="BY198" i="15"/>
  <c r="BZ198" i="15"/>
  <c r="CA198" i="15"/>
  <c r="CB198" i="15"/>
  <c r="CC198" i="15"/>
  <c r="CD198" i="15"/>
  <c r="CE198" i="15"/>
  <c r="CF198" i="15"/>
  <c r="CG198" i="15"/>
  <c r="CH198" i="15"/>
  <c r="CI198" i="15"/>
  <c r="CJ198" i="15"/>
  <c r="CK198" i="15"/>
  <c r="CL198" i="15"/>
  <c r="CM198" i="15"/>
  <c r="CN198" i="15"/>
  <c r="CO198" i="15"/>
  <c r="A199" i="15"/>
  <c r="B199" i="15"/>
  <c r="C199" i="15"/>
  <c r="D199" i="15"/>
  <c r="E199" i="15"/>
  <c r="F199" i="15"/>
  <c r="G199" i="15"/>
  <c r="H199" i="15"/>
  <c r="I199" i="15"/>
  <c r="J199" i="15"/>
  <c r="K199" i="15"/>
  <c r="L199" i="15"/>
  <c r="M199" i="15"/>
  <c r="N199" i="15"/>
  <c r="O199" i="15"/>
  <c r="P199" i="15"/>
  <c r="Q199" i="15"/>
  <c r="R199" i="15"/>
  <c r="S199" i="15"/>
  <c r="T199" i="15"/>
  <c r="U199" i="15"/>
  <c r="V199" i="15"/>
  <c r="W199" i="15"/>
  <c r="X199" i="15"/>
  <c r="Y199" i="15"/>
  <c r="Z199" i="15"/>
  <c r="AA199" i="15"/>
  <c r="AB199" i="15"/>
  <c r="AC199" i="15"/>
  <c r="AD199" i="15"/>
  <c r="AE199" i="15"/>
  <c r="AF199" i="15"/>
  <c r="AG199" i="15"/>
  <c r="AH199" i="15"/>
  <c r="AI199" i="15"/>
  <c r="AJ199" i="15"/>
  <c r="AK199" i="15"/>
  <c r="AL199" i="15"/>
  <c r="AM199" i="15"/>
  <c r="AN199" i="15"/>
  <c r="AO199" i="15"/>
  <c r="AP199" i="15"/>
  <c r="AQ199" i="15"/>
  <c r="AR199" i="15"/>
  <c r="AS199" i="15"/>
  <c r="AT199" i="15"/>
  <c r="AU199" i="15"/>
  <c r="AV199" i="15"/>
  <c r="AW199" i="15"/>
  <c r="AX199" i="15"/>
  <c r="AY199" i="15"/>
  <c r="AZ199" i="15"/>
  <c r="BA199" i="15"/>
  <c r="BB199" i="15"/>
  <c r="BC199" i="15"/>
  <c r="BD199" i="15"/>
  <c r="BE199" i="15"/>
  <c r="BF199" i="15"/>
  <c r="BG199" i="15"/>
  <c r="BH199" i="15"/>
  <c r="BI199" i="15"/>
  <c r="BJ199" i="15"/>
  <c r="BK199" i="15"/>
  <c r="BL199" i="15"/>
  <c r="BM199" i="15"/>
  <c r="BN199" i="15"/>
  <c r="BO199" i="15"/>
  <c r="BP199" i="15"/>
  <c r="BQ199" i="15"/>
  <c r="BR199" i="15"/>
  <c r="BS199" i="15"/>
  <c r="BT199" i="15"/>
  <c r="BU199" i="15"/>
  <c r="BV199" i="15"/>
  <c r="BW199" i="15"/>
  <c r="BX199" i="15"/>
  <c r="BY199" i="15"/>
  <c r="BZ199" i="15"/>
  <c r="CA199" i="15"/>
  <c r="CB199" i="15"/>
  <c r="CC199" i="15"/>
  <c r="CD199" i="15"/>
  <c r="CE199" i="15"/>
  <c r="CF199" i="15"/>
  <c r="CG199" i="15"/>
  <c r="CH199" i="15"/>
  <c r="CI199" i="15"/>
  <c r="CJ199" i="15"/>
  <c r="CK199" i="15"/>
  <c r="CL199" i="15"/>
  <c r="CM199" i="15"/>
  <c r="CN199" i="15"/>
  <c r="CO199" i="15"/>
  <c r="A200" i="15"/>
  <c r="B200" i="15"/>
  <c r="C200" i="15"/>
  <c r="D200" i="15"/>
  <c r="E200" i="15"/>
  <c r="F200" i="15"/>
  <c r="G200" i="15"/>
  <c r="H200" i="15"/>
  <c r="I200" i="15"/>
  <c r="J200" i="15"/>
  <c r="K200" i="15"/>
  <c r="L200" i="15"/>
  <c r="M200" i="15"/>
  <c r="N200" i="15"/>
  <c r="O200" i="15"/>
  <c r="P200" i="15"/>
  <c r="Q200" i="15"/>
  <c r="R200" i="15"/>
  <c r="S200" i="15"/>
  <c r="T200" i="15"/>
  <c r="U200" i="15"/>
  <c r="V200" i="15"/>
  <c r="W200" i="15"/>
  <c r="X200" i="15"/>
  <c r="Y200" i="15"/>
  <c r="Z200" i="15"/>
  <c r="AA200" i="15"/>
  <c r="AB200" i="15"/>
  <c r="AC200" i="15"/>
  <c r="AD200" i="15"/>
  <c r="AE200" i="15"/>
  <c r="AF200" i="15"/>
  <c r="AG200" i="15"/>
  <c r="AH200" i="15"/>
  <c r="AI200" i="15"/>
  <c r="AJ200" i="15"/>
  <c r="AK200" i="15"/>
  <c r="AL200" i="15"/>
  <c r="AM200" i="15"/>
  <c r="AN200" i="15"/>
  <c r="AO200" i="15"/>
  <c r="AP200" i="15"/>
  <c r="AQ200" i="15"/>
  <c r="AR200" i="15"/>
  <c r="AS200" i="15"/>
  <c r="AT200" i="15"/>
  <c r="AU200" i="15"/>
  <c r="AV200" i="15"/>
  <c r="AW200" i="15"/>
  <c r="AX200" i="15"/>
  <c r="AY200" i="15"/>
  <c r="AZ200" i="15"/>
  <c r="BA200" i="15"/>
  <c r="BB200" i="15"/>
  <c r="BC200" i="15"/>
  <c r="BD200" i="15"/>
  <c r="BE200" i="15"/>
  <c r="BF200" i="15"/>
  <c r="BG200" i="15"/>
  <c r="BH200" i="15"/>
  <c r="BI200" i="15"/>
  <c r="BJ200" i="15"/>
  <c r="BK200" i="15"/>
  <c r="BL200" i="15"/>
  <c r="BM200" i="15"/>
  <c r="BN200" i="15"/>
  <c r="BO200" i="15"/>
  <c r="BP200" i="15"/>
  <c r="BQ200" i="15"/>
  <c r="BR200" i="15"/>
  <c r="BS200" i="15"/>
  <c r="BT200" i="15"/>
  <c r="BU200" i="15"/>
  <c r="BV200" i="15"/>
  <c r="BW200" i="15"/>
  <c r="BX200" i="15"/>
  <c r="BY200" i="15"/>
  <c r="BZ200" i="15"/>
  <c r="CA200" i="15"/>
  <c r="CB200" i="15"/>
  <c r="CC200" i="15"/>
  <c r="CD200" i="15"/>
  <c r="CE200" i="15"/>
  <c r="CF200" i="15"/>
  <c r="CG200" i="15"/>
  <c r="CH200" i="15"/>
  <c r="CI200" i="15"/>
  <c r="CJ200" i="15"/>
  <c r="CK200" i="15"/>
  <c r="CL200" i="15"/>
  <c r="CM200" i="15"/>
  <c r="CN200" i="15"/>
  <c r="CO200" i="15"/>
  <c r="A201" i="15"/>
  <c r="B201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O201" i="15"/>
  <c r="P201" i="15"/>
  <c r="Q201" i="15"/>
  <c r="R201" i="15"/>
  <c r="S201" i="15"/>
  <c r="T201" i="15"/>
  <c r="U201" i="15"/>
  <c r="V201" i="15"/>
  <c r="W201" i="15"/>
  <c r="X201" i="15"/>
  <c r="Y201" i="15"/>
  <c r="Z201" i="15"/>
  <c r="AA201" i="15"/>
  <c r="AB201" i="15"/>
  <c r="AC201" i="15"/>
  <c r="AD201" i="15"/>
  <c r="AE201" i="15"/>
  <c r="AF201" i="15"/>
  <c r="AG201" i="15"/>
  <c r="AH201" i="15"/>
  <c r="AI201" i="15"/>
  <c r="AJ201" i="15"/>
  <c r="AK201" i="15"/>
  <c r="AL201" i="15"/>
  <c r="AM201" i="15"/>
  <c r="AN201" i="15"/>
  <c r="AO201" i="15"/>
  <c r="AP201" i="15"/>
  <c r="AQ201" i="15"/>
  <c r="AR201" i="15"/>
  <c r="AS201" i="15"/>
  <c r="AT201" i="15"/>
  <c r="AU201" i="15"/>
  <c r="AV201" i="15"/>
  <c r="AW201" i="15"/>
  <c r="AX201" i="15"/>
  <c r="AY201" i="15"/>
  <c r="AZ201" i="15"/>
  <c r="BA201" i="15"/>
  <c r="BB201" i="15"/>
  <c r="BC201" i="15"/>
  <c r="BD201" i="15"/>
  <c r="BE201" i="15"/>
  <c r="BF201" i="15"/>
  <c r="BG201" i="15"/>
  <c r="BH201" i="15"/>
  <c r="BI201" i="15"/>
  <c r="BJ201" i="15"/>
  <c r="BK201" i="15"/>
  <c r="BL201" i="15"/>
  <c r="BM201" i="15"/>
  <c r="BN201" i="15"/>
  <c r="BO201" i="15"/>
  <c r="BP201" i="15"/>
  <c r="BQ201" i="15"/>
  <c r="BR201" i="15"/>
  <c r="BS201" i="15"/>
  <c r="BT201" i="15"/>
  <c r="BU201" i="15"/>
  <c r="BV201" i="15"/>
  <c r="BW201" i="15"/>
  <c r="BX201" i="15"/>
  <c r="BY201" i="15"/>
  <c r="BZ201" i="15"/>
  <c r="CA201" i="15"/>
  <c r="CB201" i="15"/>
  <c r="CC201" i="15"/>
  <c r="CD201" i="15"/>
  <c r="CE201" i="15"/>
  <c r="CF201" i="15"/>
  <c r="CG201" i="15"/>
  <c r="CH201" i="15"/>
  <c r="CI201" i="15"/>
  <c r="CJ201" i="15"/>
  <c r="CK201" i="15"/>
  <c r="CL201" i="15"/>
  <c r="CM201" i="15"/>
  <c r="CN201" i="15"/>
  <c r="CO201" i="15"/>
  <c r="A202" i="15"/>
  <c r="B202" i="15"/>
  <c r="C202" i="15"/>
  <c r="D202" i="15"/>
  <c r="E202" i="15"/>
  <c r="F202" i="15"/>
  <c r="G202" i="15"/>
  <c r="H202" i="15"/>
  <c r="I202" i="15"/>
  <c r="J202" i="15"/>
  <c r="K202" i="15"/>
  <c r="L202" i="15"/>
  <c r="M202" i="15"/>
  <c r="N202" i="15"/>
  <c r="O202" i="15"/>
  <c r="P202" i="15"/>
  <c r="Q202" i="15"/>
  <c r="R202" i="15"/>
  <c r="S202" i="15"/>
  <c r="T202" i="15"/>
  <c r="U202" i="15"/>
  <c r="V202" i="15"/>
  <c r="W202" i="15"/>
  <c r="X202" i="15"/>
  <c r="Y202" i="15"/>
  <c r="Z202" i="15"/>
  <c r="AA202" i="15"/>
  <c r="AB202" i="15"/>
  <c r="AC202" i="15"/>
  <c r="AD202" i="15"/>
  <c r="AE202" i="15"/>
  <c r="AF202" i="15"/>
  <c r="AG202" i="15"/>
  <c r="AH202" i="15"/>
  <c r="AI202" i="15"/>
  <c r="AJ202" i="15"/>
  <c r="AK202" i="15"/>
  <c r="AL202" i="15"/>
  <c r="AM202" i="15"/>
  <c r="AN202" i="15"/>
  <c r="AO202" i="15"/>
  <c r="AP202" i="15"/>
  <c r="AQ202" i="15"/>
  <c r="AR202" i="15"/>
  <c r="AS202" i="15"/>
  <c r="AT202" i="15"/>
  <c r="AU202" i="15"/>
  <c r="AV202" i="15"/>
  <c r="AW202" i="15"/>
  <c r="AX202" i="15"/>
  <c r="AY202" i="15"/>
  <c r="AZ202" i="15"/>
  <c r="BA202" i="15"/>
  <c r="BB202" i="15"/>
  <c r="BC202" i="15"/>
  <c r="BD202" i="15"/>
  <c r="BE202" i="15"/>
  <c r="BF202" i="15"/>
  <c r="BG202" i="15"/>
  <c r="BH202" i="15"/>
  <c r="BI202" i="15"/>
  <c r="BJ202" i="15"/>
  <c r="BK202" i="15"/>
  <c r="BL202" i="15"/>
  <c r="BM202" i="15"/>
  <c r="BN202" i="15"/>
  <c r="BO202" i="15"/>
  <c r="BP202" i="15"/>
  <c r="BQ202" i="15"/>
  <c r="BR202" i="15"/>
  <c r="BS202" i="15"/>
  <c r="BT202" i="15"/>
  <c r="BU202" i="15"/>
  <c r="BV202" i="15"/>
  <c r="BW202" i="15"/>
  <c r="BX202" i="15"/>
  <c r="BY202" i="15"/>
  <c r="BZ202" i="15"/>
  <c r="CA202" i="15"/>
  <c r="CB202" i="15"/>
  <c r="CC202" i="15"/>
  <c r="CD202" i="15"/>
  <c r="CE202" i="15"/>
  <c r="CF202" i="15"/>
  <c r="CG202" i="15"/>
  <c r="CH202" i="15"/>
  <c r="CI202" i="15"/>
  <c r="CJ202" i="15"/>
  <c r="CK202" i="15"/>
  <c r="CL202" i="15"/>
  <c r="CM202" i="15"/>
  <c r="CN202" i="15"/>
  <c r="CO202" i="15"/>
  <c r="A203" i="15"/>
  <c r="B203" i="15"/>
  <c r="C203" i="15"/>
  <c r="D203" i="15"/>
  <c r="E203" i="15"/>
  <c r="F203" i="15"/>
  <c r="G203" i="15"/>
  <c r="H203" i="15"/>
  <c r="I203" i="15"/>
  <c r="J203" i="15"/>
  <c r="K203" i="15"/>
  <c r="L203" i="15"/>
  <c r="M203" i="15"/>
  <c r="N203" i="15"/>
  <c r="O203" i="15"/>
  <c r="P203" i="15"/>
  <c r="Q203" i="15"/>
  <c r="R203" i="15"/>
  <c r="S203" i="15"/>
  <c r="T203" i="15"/>
  <c r="U203" i="15"/>
  <c r="V203" i="15"/>
  <c r="W203" i="15"/>
  <c r="X203" i="15"/>
  <c r="Y203" i="15"/>
  <c r="Z203" i="15"/>
  <c r="AA203" i="15"/>
  <c r="AB203" i="15"/>
  <c r="AC203" i="15"/>
  <c r="AD203" i="15"/>
  <c r="AE203" i="15"/>
  <c r="AF203" i="15"/>
  <c r="AG203" i="15"/>
  <c r="AH203" i="15"/>
  <c r="AI203" i="15"/>
  <c r="AJ203" i="15"/>
  <c r="AK203" i="15"/>
  <c r="AL203" i="15"/>
  <c r="AM203" i="15"/>
  <c r="AN203" i="15"/>
  <c r="AO203" i="15"/>
  <c r="AP203" i="15"/>
  <c r="AQ203" i="15"/>
  <c r="AR203" i="15"/>
  <c r="AS203" i="15"/>
  <c r="AT203" i="15"/>
  <c r="AU203" i="15"/>
  <c r="AV203" i="15"/>
  <c r="AW203" i="15"/>
  <c r="AX203" i="15"/>
  <c r="AY203" i="15"/>
  <c r="AZ203" i="15"/>
  <c r="BA203" i="15"/>
  <c r="BB203" i="15"/>
  <c r="BC203" i="15"/>
  <c r="BD203" i="15"/>
  <c r="BE203" i="15"/>
  <c r="BF203" i="15"/>
  <c r="BG203" i="15"/>
  <c r="BH203" i="15"/>
  <c r="BI203" i="15"/>
  <c r="BJ203" i="15"/>
  <c r="BK203" i="15"/>
  <c r="BL203" i="15"/>
  <c r="BM203" i="15"/>
  <c r="BN203" i="15"/>
  <c r="BO203" i="15"/>
  <c r="BP203" i="15"/>
  <c r="BQ203" i="15"/>
  <c r="BR203" i="15"/>
  <c r="BS203" i="15"/>
  <c r="BT203" i="15"/>
  <c r="BU203" i="15"/>
  <c r="BV203" i="15"/>
  <c r="BW203" i="15"/>
  <c r="BX203" i="15"/>
  <c r="BY203" i="15"/>
  <c r="BZ203" i="15"/>
  <c r="CA203" i="15"/>
  <c r="CB203" i="15"/>
  <c r="CC203" i="15"/>
  <c r="CD203" i="15"/>
  <c r="CE203" i="15"/>
  <c r="CF203" i="15"/>
  <c r="CG203" i="15"/>
  <c r="CH203" i="15"/>
  <c r="CI203" i="15"/>
  <c r="CJ203" i="15"/>
  <c r="CK203" i="15"/>
  <c r="CL203" i="15"/>
  <c r="CM203" i="15"/>
  <c r="CN203" i="15"/>
  <c r="CO203" i="15"/>
  <c r="A204" i="15"/>
  <c r="B204" i="15"/>
  <c r="C204" i="15"/>
  <c r="D204" i="15"/>
  <c r="E204" i="15"/>
  <c r="F204" i="15"/>
  <c r="G204" i="15"/>
  <c r="H204" i="15"/>
  <c r="I204" i="15"/>
  <c r="J204" i="15"/>
  <c r="K204" i="15"/>
  <c r="L204" i="15"/>
  <c r="M204" i="15"/>
  <c r="N204" i="15"/>
  <c r="O204" i="15"/>
  <c r="P204" i="15"/>
  <c r="Q204" i="15"/>
  <c r="R204" i="15"/>
  <c r="S204" i="15"/>
  <c r="T204" i="15"/>
  <c r="U204" i="15"/>
  <c r="V204" i="15"/>
  <c r="W204" i="15"/>
  <c r="X204" i="15"/>
  <c r="Y204" i="15"/>
  <c r="Z204" i="15"/>
  <c r="AA204" i="15"/>
  <c r="AB204" i="15"/>
  <c r="AC204" i="15"/>
  <c r="AD204" i="15"/>
  <c r="AE204" i="15"/>
  <c r="AF204" i="15"/>
  <c r="AG204" i="15"/>
  <c r="AH204" i="15"/>
  <c r="AI204" i="15"/>
  <c r="AJ204" i="15"/>
  <c r="AK204" i="15"/>
  <c r="AL204" i="15"/>
  <c r="AM204" i="15"/>
  <c r="AN204" i="15"/>
  <c r="AO204" i="15"/>
  <c r="AP204" i="15"/>
  <c r="AQ204" i="15"/>
  <c r="AR204" i="15"/>
  <c r="AS204" i="15"/>
  <c r="AT204" i="15"/>
  <c r="AU204" i="15"/>
  <c r="AV204" i="15"/>
  <c r="AW204" i="15"/>
  <c r="AX204" i="15"/>
  <c r="AY204" i="15"/>
  <c r="AZ204" i="15"/>
  <c r="BA204" i="15"/>
  <c r="BB204" i="15"/>
  <c r="BC204" i="15"/>
  <c r="BD204" i="15"/>
  <c r="BE204" i="15"/>
  <c r="BF204" i="15"/>
  <c r="BG204" i="15"/>
  <c r="BH204" i="15"/>
  <c r="BI204" i="15"/>
  <c r="BJ204" i="15"/>
  <c r="BK204" i="15"/>
  <c r="BL204" i="15"/>
  <c r="BM204" i="15"/>
  <c r="BN204" i="15"/>
  <c r="BO204" i="15"/>
  <c r="BP204" i="15"/>
  <c r="BQ204" i="15"/>
  <c r="BR204" i="15"/>
  <c r="BS204" i="15"/>
  <c r="BT204" i="15"/>
  <c r="BU204" i="15"/>
  <c r="BV204" i="15"/>
  <c r="BW204" i="15"/>
  <c r="BX204" i="15"/>
  <c r="BY204" i="15"/>
  <c r="BZ204" i="15"/>
  <c r="CA204" i="15"/>
  <c r="CB204" i="15"/>
  <c r="CC204" i="15"/>
  <c r="CD204" i="15"/>
  <c r="CE204" i="15"/>
  <c r="CF204" i="15"/>
  <c r="CG204" i="15"/>
  <c r="CH204" i="15"/>
  <c r="CI204" i="15"/>
  <c r="CJ204" i="15"/>
  <c r="CK204" i="15"/>
  <c r="CL204" i="15"/>
  <c r="CM204" i="15"/>
  <c r="CN204" i="15"/>
  <c r="CO204" i="15"/>
  <c r="A205" i="15"/>
  <c r="B205" i="15"/>
  <c r="C205" i="15"/>
  <c r="D205" i="15"/>
  <c r="E205" i="15"/>
  <c r="F205" i="15"/>
  <c r="G205" i="15"/>
  <c r="H205" i="15"/>
  <c r="I205" i="15"/>
  <c r="J205" i="15"/>
  <c r="K205" i="15"/>
  <c r="L205" i="15"/>
  <c r="M205" i="15"/>
  <c r="N205" i="15"/>
  <c r="O205" i="15"/>
  <c r="P205" i="15"/>
  <c r="Q205" i="15"/>
  <c r="R205" i="15"/>
  <c r="S205" i="15"/>
  <c r="T205" i="15"/>
  <c r="U205" i="15"/>
  <c r="V205" i="15"/>
  <c r="W205" i="15"/>
  <c r="X205" i="15"/>
  <c r="Y205" i="15"/>
  <c r="Z205" i="15"/>
  <c r="AA205" i="15"/>
  <c r="AB205" i="15"/>
  <c r="AC205" i="15"/>
  <c r="AD205" i="15"/>
  <c r="AE205" i="15"/>
  <c r="AF205" i="15"/>
  <c r="AG205" i="15"/>
  <c r="AH205" i="15"/>
  <c r="AI205" i="15"/>
  <c r="AJ205" i="15"/>
  <c r="AK205" i="15"/>
  <c r="AL205" i="15"/>
  <c r="AM205" i="15"/>
  <c r="AN205" i="15"/>
  <c r="AO205" i="15"/>
  <c r="AP205" i="15"/>
  <c r="AQ205" i="15"/>
  <c r="AR205" i="15"/>
  <c r="AS205" i="15"/>
  <c r="AT205" i="15"/>
  <c r="AU205" i="15"/>
  <c r="AV205" i="15"/>
  <c r="AW205" i="15"/>
  <c r="AX205" i="15"/>
  <c r="AY205" i="15"/>
  <c r="AZ205" i="15"/>
  <c r="BA205" i="15"/>
  <c r="BB205" i="15"/>
  <c r="BC205" i="15"/>
  <c r="BD205" i="15"/>
  <c r="BE205" i="15"/>
  <c r="BF205" i="15"/>
  <c r="BG205" i="15"/>
  <c r="BH205" i="15"/>
  <c r="BI205" i="15"/>
  <c r="BJ205" i="15"/>
  <c r="BK205" i="15"/>
  <c r="BL205" i="15"/>
  <c r="BM205" i="15"/>
  <c r="BN205" i="15"/>
  <c r="BO205" i="15"/>
  <c r="BP205" i="15"/>
  <c r="BQ205" i="15"/>
  <c r="BR205" i="15"/>
  <c r="BS205" i="15"/>
  <c r="BT205" i="15"/>
  <c r="BU205" i="15"/>
  <c r="BV205" i="15"/>
  <c r="BW205" i="15"/>
  <c r="BX205" i="15"/>
  <c r="BY205" i="15"/>
  <c r="BZ205" i="15"/>
  <c r="CA205" i="15"/>
  <c r="CB205" i="15"/>
  <c r="CC205" i="15"/>
  <c r="CD205" i="15"/>
  <c r="CE205" i="15"/>
  <c r="CF205" i="15"/>
  <c r="CG205" i="15"/>
  <c r="CH205" i="15"/>
  <c r="CI205" i="15"/>
  <c r="CJ205" i="15"/>
  <c r="CK205" i="15"/>
  <c r="CL205" i="15"/>
  <c r="CM205" i="15"/>
  <c r="CN205" i="15"/>
  <c r="CO205" i="15"/>
  <c r="A206" i="15"/>
  <c r="B206" i="15"/>
  <c r="C206" i="15"/>
  <c r="D206" i="15"/>
  <c r="E206" i="15"/>
  <c r="F206" i="15"/>
  <c r="G206" i="15"/>
  <c r="H206" i="15"/>
  <c r="I206" i="15"/>
  <c r="J206" i="15"/>
  <c r="K206" i="15"/>
  <c r="L206" i="15"/>
  <c r="M206" i="15"/>
  <c r="N206" i="15"/>
  <c r="O206" i="15"/>
  <c r="P206" i="15"/>
  <c r="Q206" i="15"/>
  <c r="R206" i="15"/>
  <c r="S206" i="15"/>
  <c r="T206" i="15"/>
  <c r="U206" i="15"/>
  <c r="V206" i="15"/>
  <c r="W206" i="15"/>
  <c r="X206" i="15"/>
  <c r="Y206" i="15"/>
  <c r="Z206" i="15"/>
  <c r="AA206" i="15"/>
  <c r="AB206" i="15"/>
  <c r="AC206" i="15"/>
  <c r="AD206" i="15"/>
  <c r="AE206" i="15"/>
  <c r="AF206" i="15"/>
  <c r="AG206" i="15"/>
  <c r="AH206" i="15"/>
  <c r="AI206" i="15"/>
  <c r="AJ206" i="15"/>
  <c r="AK206" i="15"/>
  <c r="AL206" i="15"/>
  <c r="AM206" i="15"/>
  <c r="AN206" i="15"/>
  <c r="AO206" i="15"/>
  <c r="AP206" i="15"/>
  <c r="AQ206" i="15"/>
  <c r="AR206" i="15"/>
  <c r="AS206" i="15"/>
  <c r="AT206" i="15"/>
  <c r="AU206" i="15"/>
  <c r="AV206" i="15"/>
  <c r="AW206" i="15"/>
  <c r="AX206" i="15"/>
  <c r="AY206" i="15"/>
  <c r="AZ206" i="15"/>
  <c r="BA206" i="15"/>
  <c r="BB206" i="15"/>
  <c r="BC206" i="15"/>
  <c r="BD206" i="15"/>
  <c r="BE206" i="15"/>
  <c r="BF206" i="15"/>
  <c r="BG206" i="15"/>
  <c r="BH206" i="15"/>
  <c r="BI206" i="15"/>
  <c r="BJ206" i="15"/>
  <c r="BK206" i="15"/>
  <c r="BL206" i="15"/>
  <c r="BM206" i="15"/>
  <c r="BN206" i="15"/>
  <c r="BO206" i="15"/>
  <c r="BP206" i="15"/>
  <c r="BQ206" i="15"/>
  <c r="BR206" i="15"/>
  <c r="BS206" i="15"/>
  <c r="BT206" i="15"/>
  <c r="BU206" i="15"/>
  <c r="BV206" i="15"/>
  <c r="BW206" i="15"/>
  <c r="BX206" i="15"/>
  <c r="BY206" i="15"/>
  <c r="BZ206" i="15"/>
  <c r="CA206" i="15"/>
  <c r="CB206" i="15"/>
  <c r="CC206" i="15"/>
  <c r="CD206" i="15"/>
  <c r="CE206" i="15"/>
  <c r="CF206" i="15"/>
  <c r="CG206" i="15"/>
  <c r="CH206" i="15"/>
  <c r="CI206" i="15"/>
  <c r="CJ206" i="15"/>
  <c r="CK206" i="15"/>
  <c r="CL206" i="15"/>
  <c r="CM206" i="15"/>
  <c r="CN206" i="15"/>
  <c r="CO206" i="15"/>
  <c r="A207" i="15"/>
  <c r="B207" i="15"/>
  <c r="C207" i="15"/>
  <c r="D207" i="15"/>
  <c r="E207" i="15"/>
  <c r="F207" i="15"/>
  <c r="G207" i="15"/>
  <c r="H207" i="15"/>
  <c r="I207" i="15"/>
  <c r="J207" i="15"/>
  <c r="K207" i="15"/>
  <c r="L207" i="15"/>
  <c r="M207" i="15"/>
  <c r="N207" i="15"/>
  <c r="O207" i="15"/>
  <c r="P207" i="15"/>
  <c r="Q207" i="15"/>
  <c r="R207" i="15"/>
  <c r="S207" i="15"/>
  <c r="T207" i="15"/>
  <c r="U207" i="15"/>
  <c r="V207" i="15"/>
  <c r="W207" i="15"/>
  <c r="X207" i="15"/>
  <c r="Y207" i="15"/>
  <c r="Z207" i="15"/>
  <c r="AA207" i="15"/>
  <c r="AB207" i="15"/>
  <c r="AC207" i="15"/>
  <c r="AD207" i="15"/>
  <c r="AE207" i="15"/>
  <c r="AF207" i="15"/>
  <c r="AG207" i="15"/>
  <c r="AH207" i="15"/>
  <c r="AI207" i="15"/>
  <c r="AJ207" i="15"/>
  <c r="AK207" i="15"/>
  <c r="AL207" i="15"/>
  <c r="AM207" i="15"/>
  <c r="AN207" i="15"/>
  <c r="AO207" i="15"/>
  <c r="AP207" i="15"/>
  <c r="AQ207" i="15"/>
  <c r="AR207" i="15"/>
  <c r="AS207" i="15"/>
  <c r="AT207" i="15"/>
  <c r="AU207" i="15"/>
  <c r="AV207" i="15"/>
  <c r="AW207" i="15"/>
  <c r="AX207" i="15"/>
  <c r="AY207" i="15"/>
  <c r="AZ207" i="15"/>
  <c r="BA207" i="15"/>
  <c r="BB207" i="15"/>
  <c r="BC207" i="15"/>
  <c r="BD207" i="15"/>
  <c r="BE207" i="15"/>
  <c r="BF207" i="15"/>
  <c r="BG207" i="15"/>
  <c r="BH207" i="15"/>
  <c r="BI207" i="15"/>
  <c r="BJ207" i="15"/>
  <c r="BK207" i="15"/>
  <c r="BL207" i="15"/>
  <c r="BM207" i="15"/>
  <c r="BN207" i="15"/>
  <c r="BO207" i="15"/>
  <c r="BP207" i="15"/>
  <c r="BQ207" i="15"/>
  <c r="BR207" i="15"/>
  <c r="BS207" i="15"/>
  <c r="BT207" i="15"/>
  <c r="BU207" i="15"/>
  <c r="BV207" i="15"/>
  <c r="BW207" i="15"/>
  <c r="BX207" i="15"/>
  <c r="BY207" i="15"/>
  <c r="BZ207" i="15"/>
  <c r="CA207" i="15"/>
  <c r="CB207" i="15"/>
  <c r="CC207" i="15"/>
  <c r="CD207" i="15"/>
  <c r="CE207" i="15"/>
  <c r="CF207" i="15"/>
  <c r="CG207" i="15"/>
  <c r="CH207" i="15"/>
  <c r="CI207" i="15"/>
  <c r="CJ207" i="15"/>
  <c r="CK207" i="15"/>
  <c r="CL207" i="15"/>
  <c r="CM207" i="15"/>
  <c r="CN207" i="15"/>
  <c r="CO207" i="15"/>
  <c r="A208" i="15"/>
  <c r="B208" i="15"/>
  <c r="C208" i="15"/>
  <c r="D208" i="15"/>
  <c r="E208" i="15"/>
  <c r="F208" i="15"/>
  <c r="G208" i="15"/>
  <c r="H208" i="15"/>
  <c r="I208" i="15"/>
  <c r="J208" i="15"/>
  <c r="K208" i="15"/>
  <c r="L208" i="15"/>
  <c r="M208" i="15"/>
  <c r="N208" i="15"/>
  <c r="O208" i="15"/>
  <c r="P208" i="15"/>
  <c r="Q208" i="15"/>
  <c r="R208" i="15"/>
  <c r="S208" i="15"/>
  <c r="T208" i="15"/>
  <c r="U208" i="15"/>
  <c r="V208" i="15"/>
  <c r="W208" i="15"/>
  <c r="X208" i="15"/>
  <c r="Y208" i="15"/>
  <c r="Z208" i="15"/>
  <c r="AA208" i="15"/>
  <c r="AB208" i="15"/>
  <c r="AC208" i="15"/>
  <c r="AD208" i="15"/>
  <c r="AE208" i="15"/>
  <c r="AF208" i="15"/>
  <c r="AG208" i="15"/>
  <c r="AH208" i="15"/>
  <c r="AI208" i="15"/>
  <c r="AJ208" i="15"/>
  <c r="AK208" i="15"/>
  <c r="AL208" i="15"/>
  <c r="AM208" i="15"/>
  <c r="AN208" i="15"/>
  <c r="AO208" i="15"/>
  <c r="AP208" i="15"/>
  <c r="AQ208" i="15"/>
  <c r="AR208" i="15"/>
  <c r="AS208" i="15"/>
  <c r="AT208" i="15"/>
  <c r="AU208" i="15"/>
  <c r="AV208" i="15"/>
  <c r="AW208" i="15"/>
  <c r="AX208" i="15"/>
  <c r="AY208" i="15"/>
  <c r="AZ208" i="15"/>
  <c r="BA208" i="15"/>
  <c r="BB208" i="15"/>
  <c r="BC208" i="15"/>
  <c r="BD208" i="15"/>
  <c r="BE208" i="15"/>
  <c r="BF208" i="15"/>
  <c r="BG208" i="15"/>
  <c r="BH208" i="15"/>
  <c r="BI208" i="15"/>
  <c r="BJ208" i="15"/>
  <c r="BK208" i="15"/>
  <c r="BL208" i="15"/>
  <c r="BM208" i="15"/>
  <c r="BN208" i="15"/>
  <c r="BO208" i="15"/>
  <c r="BP208" i="15"/>
  <c r="BQ208" i="15"/>
  <c r="BR208" i="15"/>
  <c r="BS208" i="15"/>
  <c r="BT208" i="15"/>
  <c r="BU208" i="15"/>
  <c r="BV208" i="15"/>
  <c r="BW208" i="15"/>
  <c r="BX208" i="15"/>
  <c r="BY208" i="15"/>
  <c r="BZ208" i="15"/>
  <c r="CA208" i="15"/>
  <c r="CB208" i="15"/>
  <c r="CC208" i="15"/>
  <c r="CD208" i="15"/>
  <c r="CE208" i="15"/>
  <c r="CF208" i="15"/>
  <c r="CG208" i="15"/>
  <c r="CH208" i="15"/>
  <c r="CI208" i="15"/>
  <c r="CJ208" i="15"/>
  <c r="CK208" i="15"/>
  <c r="CL208" i="15"/>
  <c r="CM208" i="15"/>
  <c r="CN208" i="15"/>
  <c r="CO208" i="15"/>
  <c r="A209" i="15"/>
  <c r="B209" i="15"/>
  <c r="C209" i="15"/>
  <c r="D209" i="15"/>
  <c r="E209" i="15"/>
  <c r="F209" i="15"/>
  <c r="G209" i="15"/>
  <c r="H209" i="15"/>
  <c r="I209" i="15"/>
  <c r="J209" i="15"/>
  <c r="K209" i="15"/>
  <c r="L209" i="15"/>
  <c r="M209" i="15"/>
  <c r="N209" i="15"/>
  <c r="O209" i="15"/>
  <c r="P209" i="15"/>
  <c r="Q209" i="15"/>
  <c r="R209" i="15"/>
  <c r="S209" i="15"/>
  <c r="T209" i="15"/>
  <c r="U209" i="15"/>
  <c r="V209" i="15"/>
  <c r="W209" i="15"/>
  <c r="X209" i="15"/>
  <c r="Y209" i="15"/>
  <c r="Z209" i="15"/>
  <c r="AA209" i="15"/>
  <c r="AB209" i="15"/>
  <c r="AC209" i="15"/>
  <c r="AD209" i="15"/>
  <c r="AE209" i="15"/>
  <c r="AF209" i="15"/>
  <c r="AG209" i="15"/>
  <c r="AH209" i="15"/>
  <c r="AI209" i="15"/>
  <c r="AJ209" i="15"/>
  <c r="AK209" i="15"/>
  <c r="AL209" i="15"/>
  <c r="AM209" i="15"/>
  <c r="AN209" i="15"/>
  <c r="AO209" i="15"/>
  <c r="AP209" i="15"/>
  <c r="AQ209" i="15"/>
  <c r="AR209" i="15"/>
  <c r="AS209" i="15"/>
  <c r="AT209" i="15"/>
  <c r="AU209" i="15"/>
  <c r="AV209" i="15"/>
  <c r="AW209" i="15"/>
  <c r="AX209" i="15"/>
  <c r="AY209" i="15"/>
  <c r="AZ209" i="15"/>
  <c r="BA209" i="15"/>
  <c r="BB209" i="15"/>
  <c r="BC209" i="15"/>
  <c r="BD209" i="15"/>
  <c r="BE209" i="15"/>
  <c r="BF209" i="15"/>
  <c r="BG209" i="15"/>
  <c r="BH209" i="15"/>
  <c r="BI209" i="15"/>
  <c r="BJ209" i="15"/>
  <c r="BK209" i="15"/>
  <c r="BL209" i="15"/>
  <c r="BM209" i="15"/>
  <c r="BN209" i="15"/>
  <c r="BO209" i="15"/>
  <c r="BP209" i="15"/>
  <c r="BQ209" i="15"/>
  <c r="BR209" i="15"/>
  <c r="BS209" i="15"/>
  <c r="BT209" i="15"/>
  <c r="BU209" i="15"/>
  <c r="BV209" i="15"/>
  <c r="BW209" i="15"/>
  <c r="BX209" i="15"/>
  <c r="BY209" i="15"/>
  <c r="BZ209" i="15"/>
  <c r="CA209" i="15"/>
  <c r="CB209" i="15"/>
  <c r="CC209" i="15"/>
  <c r="CD209" i="15"/>
  <c r="CE209" i="15"/>
  <c r="CF209" i="15"/>
  <c r="CG209" i="15"/>
  <c r="CH209" i="15"/>
  <c r="CI209" i="15"/>
  <c r="CJ209" i="15"/>
  <c r="CK209" i="15"/>
  <c r="CL209" i="15"/>
  <c r="CM209" i="15"/>
  <c r="CN209" i="15"/>
  <c r="CO209" i="15"/>
  <c r="A210" i="15"/>
  <c r="B210" i="15"/>
  <c r="C210" i="15"/>
  <c r="D210" i="15"/>
  <c r="E210" i="15"/>
  <c r="F210" i="15"/>
  <c r="G210" i="15"/>
  <c r="H210" i="15"/>
  <c r="I210" i="15"/>
  <c r="J210" i="15"/>
  <c r="K210" i="15"/>
  <c r="L210" i="15"/>
  <c r="M210" i="15"/>
  <c r="N210" i="15"/>
  <c r="O210" i="15"/>
  <c r="P210" i="15"/>
  <c r="Q210" i="15"/>
  <c r="R210" i="15"/>
  <c r="S210" i="15"/>
  <c r="T210" i="15"/>
  <c r="U210" i="15"/>
  <c r="V210" i="15"/>
  <c r="W210" i="15"/>
  <c r="X210" i="15"/>
  <c r="Y210" i="15"/>
  <c r="Z210" i="15"/>
  <c r="AA210" i="15"/>
  <c r="AB210" i="15"/>
  <c r="AC210" i="15"/>
  <c r="AD210" i="15"/>
  <c r="AE210" i="15"/>
  <c r="AF210" i="15"/>
  <c r="AG210" i="15"/>
  <c r="AH210" i="15"/>
  <c r="AI210" i="15"/>
  <c r="AJ210" i="15"/>
  <c r="AK210" i="15"/>
  <c r="AL210" i="15"/>
  <c r="AM210" i="15"/>
  <c r="AN210" i="15"/>
  <c r="AO210" i="15"/>
  <c r="AP210" i="15"/>
  <c r="AQ210" i="15"/>
  <c r="AR210" i="15"/>
  <c r="AS210" i="15"/>
  <c r="AT210" i="15"/>
  <c r="AU210" i="15"/>
  <c r="AV210" i="15"/>
  <c r="AW210" i="15"/>
  <c r="AX210" i="15"/>
  <c r="AY210" i="15"/>
  <c r="AZ210" i="15"/>
  <c r="BA210" i="15"/>
  <c r="BB210" i="15"/>
  <c r="BC210" i="15"/>
  <c r="BD210" i="15"/>
  <c r="BE210" i="15"/>
  <c r="BF210" i="15"/>
  <c r="BG210" i="15"/>
  <c r="BH210" i="15"/>
  <c r="BI210" i="15"/>
  <c r="BJ210" i="15"/>
  <c r="BK210" i="15"/>
  <c r="BL210" i="15"/>
  <c r="BM210" i="15"/>
  <c r="BN210" i="15"/>
  <c r="BO210" i="15"/>
  <c r="BP210" i="15"/>
  <c r="BQ210" i="15"/>
  <c r="BR210" i="15"/>
  <c r="BS210" i="15"/>
  <c r="BT210" i="15"/>
  <c r="BU210" i="15"/>
  <c r="BV210" i="15"/>
  <c r="BW210" i="15"/>
  <c r="BX210" i="15"/>
  <c r="BY210" i="15"/>
  <c r="BZ210" i="15"/>
  <c r="CA210" i="15"/>
  <c r="CB210" i="15"/>
  <c r="CC210" i="15"/>
  <c r="CD210" i="15"/>
  <c r="CE210" i="15"/>
  <c r="CF210" i="15"/>
  <c r="CG210" i="15"/>
  <c r="CH210" i="15"/>
  <c r="CI210" i="15"/>
  <c r="CJ210" i="15"/>
  <c r="CK210" i="15"/>
  <c r="CL210" i="15"/>
  <c r="CM210" i="15"/>
  <c r="CN210" i="15"/>
  <c r="CO210" i="15"/>
  <c r="A211" i="15"/>
  <c r="B211" i="15"/>
  <c r="C211" i="15"/>
  <c r="D211" i="15"/>
  <c r="E211" i="15"/>
  <c r="F211" i="15"/>
  <c r="G211" i="15"/>
  <c r="H211" i="15"/>
  <c r="I211" i="15"/>
  <c r="J211" i="15"/>
  <c r="K211" i="15"/>
  <c r="L211" i="15"/>
  <c r="M211" i="15"/>
  <c r="N211" i="15"/>
  <c r="O211" i="15"/>
  <c r="P211" i="15"/>
  <c r="Q211" i="15"/>
  <c r="R211" i="15"/>
  <c r="S211" i="15"/>
  <c r="T211" i="15"/>
  <c r="U211" i="15"/>
  <c r="V211" i="15"/>
  <c r="W211" i="15"/>
  <c r="X211" i="15"/>
  <c r="Y211" i="15"/>
  <c r="Z211" i="15"/>
  <c r="AA211" i="15"/>
  <c r="AB211" i="15"/>
  <c r="AC211" i="15"/>
  <c r="AD211" i="15"/>
  <c r="AE211" i="15"/>
  <c r="AF211" i="15"/>
  <c r="AG211" i="15"/>
  <c r="AH211" i="15"/>
  <c r="AI211" i="15"/>
  <c r="AJ211" i="15"/>
  <c r="AK211" i="15"/>
  <c r="AL211" i="15"/>
  <c r="AM211" i="15"/>
  <c r="AN211" i="15"/>
  <c r="AO211" i="15"/>
  <c r="AP211" i="15"/>
  <c r="AQ211" i="15"/>
  <c r="AR211" i="15"/>
  <c r="AS211" i="15"/>
  <c r="AT211" i="15"/>
  <c r="AU211" i="15"/>
  <c r="AV211" i="15"/>
  <c r="AW211" i="15"/>
  <c r="AX211" i="15"/>
  <c r="AY211" i="15"/>
  <c r="AZ211" i="15"/>
  <c r="BA211" i="15"/>
  <c r="BB211" i="15"/>
  <c r="BC211" i="15"/>
  <c r="BD211" i="15"/>
  <c r="BE211" i="15"/>
  <c r="BF211" i="15"/>
  <c r="BG211" i="15"/>
  <c r="BH211" i="15"/>
  <c r="BI211" i="15"/>
  <c r="BJ211" i="15"/>
  <c r="BK211" i="15"/>
  <c r="BL211" i="15"/>
  <c r="BM211" i="15"/>
  <c r="BN211" i="15"/>
  <c r="BO211" i="15"/>
  <c r="BP211" i="15"/>
  <c r="BQ211" i="15"/>
  <c r="BR211" i="15"/>
  <c r="BS211" i="15"/>
  <c r="BT211" i="15"/>
  <c r="BU211" i="15"/>
  <c r="BV211" i="15"/>
  <c r="BW211" i="15"/>
  <c r="BX211" i="15"/>
  <c r="BY211" i="15"/>
  <c r="BZ211" i="15"/>
  <c r="CA211" i="15"/>
  <c r="CB211" i="15"/>
  <c r="CC211" i="15"/>
  <c r="CD211" i="15"/>
  <c r="CE211" i="15"/>
  <c r="CF211" i="15"/>
  <c r="CG211" i="15"/>
  <c r="CH211" i="15"/>
  <c r="CI211" i="15"/>
  <c r="CJ211" i="15"/>
  <c r="CK211" i="15"/>
  <c r="CL211" i="15"/>
  <c r="CM211" i="15"/>
  <c r="CN211" i="15"/>
  <c r="CO211" i="15"/>
  <c r="A212" i="15"/>
  <c r="B212" i="15"/>
  <c r="C212" i="15"/>
  <c r="D212" i="15"/>
  <c r="E212" i="15"/>
  <c r="F212" i="15"/>
  <c r="G212" i="15"/>
  <c r="H212" i="15"/>
  <c r="I212" i="15"/>
  <c r="J212" i="15"/>
  <c r="K212" i="15"/>
  <c r="L212" i="15"/>
  <c r="M212" i="15"/>
  <c r="N212" i="15"/>
  <c r="O212" i="15"/>
  <c r="P212" i="15"/>
  <c r="Q212" i="15"/>
  <c r="R212" i="15"/>
  <c r="S212" i="15"/>
  <c r="T212" i="15"/>
  <c r="U212" i="15"/>
  <c r="V212" i="15"/>
  <c r="W212" i="15"/>
  <c r="X212" i="15"/>
  <c r="Y212" i="15"/>
  <c r="Z212" i="15"/>
  <c r="AA212" i="15"/>
  <c r="AB212" i="15"/>
  <c r="AC212" i="15"/>
  <c r="AD212" i="15"/>
  <c r="AE212" i="15"/>
  <c r="AF212" i="15"/>
  <c r="AG212" i="15"/>
  <c r="AH212" i="15"/>
  <c r="AI212" i="15"/>
  <c r="AJ212" i="15"/>
  <c r="AK212" i="15"/>
  <c r="AL212" i="15"/>
  <c r="AM212" i="15"/>
  <c r="AN212" i="15"/>
  <c r="AO212" i="15"/>
  <c r="AP212" i="15"/>
  <c r="AQ212" i="15"/>
  <c r="AR212" i="15"/>
  <c r="AS212" i="15"/>
  <c r="AT212" i="15"/>
  <c r="AU212" i="15"/>
  <c r="AV212" i="15"/>
  <c r="AW212" i="15"/>
  <c r="AX212" i="15"/>
  <c r="AY212" i="15"/>
  <c r="AZ212" i="15"/>
  <c r="BA212" i="15"/>
  <c r="BB212" i="15"/>
  <c r="BC212" i="15"/>
  <c r="BD212" i="15"/>
  <c r="BE212" i="15"/>
  <c r="BF212" i="15"/>
  <c r="BG212" i="15"/>
  <c r="BH212" i="15"/>
  <c r="BI212" i="15"/>
  <c r="BJ212" i="15"/>
  <c r="BK212" i="15"/>
  <c r="BL212" i="15"/>
  <c r="BM212" i="15"/>
  <c r="BN212" i="15"/>
  <c r="BO212" i="15"/>
  <c r="BP212" i="15"/>
  <c r="BQ212" i="15"/>
  <c r="BR212" i="15"/>
  <c r="BS212" i="15"/>
  <c r="BT212" i="15"/>
  <c r="BU212" i="15"/>
  <c r="BV212" i="15"/>
  <c r="BW212" i="15"/>
  <c r="BX212" i="15"/>
  <c r="BY212" i="15"/>
  <c r="BZ212" i="15"/>
  <c r="CA212" i="15"/>
  <c r="CB212" i="15"/>
  <c r="CC212" i="15"/>
  <c r="CD212" i="15"/>
  <c r="CE212" i="15"/>
  <c r="CF212" i="15"/>
  <c r="CG212" i="15"/>
  <c r="CH212" i="15"/>
  <c r="CI212" i="15"/>
  <c r="CJ212" i="15"/>
  <c r="CK212" i="15"/>
  <c r="CL212" i="15"/>
  <c r="CM212" i="15"/>
  <c r="CN212" i="15"/>
  <c r="CO212" i="15"/>
  <c r="A213" i="15"/>
  <c r="B213" i="15"/>
  <c r="C213" i="15"/>
  <c r="D213" i="15"/>
  <c r="E213" i="15"/>
  <c r="F213" i="15"/>
  <c r="G213" i="15"/>
  <c r="H213" i="15"/>
  <c r="I213" i="15"/>
  <c r="J213" i="15"/>
  <c r="K213" i="15"/>
  <c r="L213" i="15"/>
  <c r="M213" i="15"/>
  <c r="N213" i="15"/>
  <c r="O213" i="15"/>
  <c r="P213" i="15"/>
  <c r="Q213" i="15"/>
  <c r="R213" i="15"/>
  <c r="S213" i="15"/>
  <c r="T213" i="15"/>
  <c r="U213" i="15"/>
  <c r="V213" i="15"/>
  <c r="W213" i="15"/>
  <c r="X213" i="15"/>
  <c r="Y213" i="15"/>
  <c r="Z213" i="15"/>
  <c r="AA213" i="15"/>
  <c r="AB213" i="15"/>
  <c r="AC213" i="15"/>
  <c r="AD213" i="15"/>
  <c r="AE213" i="15"/>
  <c r="AF213" i="15"/>
  <c r="AG213" i="15"/>
  <c r="AH213" i="15"/>
  <c r="AI213" i="15"/>
  <c r="AJ213" i="15"/>
  <c r="AK213" i="15"/>
  <c r="AL213" i="15"/>
  <c r="AM213" i="15"/>
  <c r="AN213" i="15"/>
  <c r="AO213" i="15"/>
  <c r="AP213" i="15"/>
  <c r="AQ213" i="15"/>
  <c r="AR213" i="15"/>
  <c r="AS213" i="15"/>
  <c r="AT213" i="15"/>
  <c r="AU213" i="15"/>
  <c r="AV213" i="15"/>
  <c r="AW213" i="15"/>
  <c r="AX213" i="15"/>
  <c r="AY213" i="15"/>
  <c r="AZ213" i="15"/>
  <c r="BA213" i="15"/>
  <c r="BB213" i="15"/>
  <c r="BC213" i="15"/>
  <c r="BD213" i="15"/>
  <c r="BE213" i="15"/>
  <c r="BF213" i="15"/>
  <c r="BG213" i="15"/>
  <c r="BH213" i="15"/>
  <c r="BI213" i="15"/>
  <c r="BJ213" i="15"/>
  <c r="BK213" i="15"/>
  <c r="BL213" i="15"/>
  <c r="BM213" i="15"/>
  <c r="BN213" i="15"/>
  <c r="BO213" i="15"/>
  <c r="BP213" i="15"/>
  <c r="BQ213" i="15"/>
  <c r="BR213" i="15"/>
  <c r="BS213" i="15"/>
  <c r="BT213" i="15"/>
  <c r="BU213" i="15"/>
  <c r="BV213" i="15"/>
  <c r="BW213" i="15"/>
  <c r="BX213" i="15"/>
  <c r="BY213" i="15"/>
  <c r="BZ213" i="15"/>
  <c r="CA213" i="15"/>
  <c r="CB213" i="15"/>
  <c r="CC213" i="15"/>
  <c r="CD213" i="15"/>
  <c r="CE213" i="15"/>
  <c r="CF213" i="15"/>
  <c r="CG213" i="15"/>
  <c r="CH213" i="15"/>
  <c r="CI213" i="15"/>
  <c r="CJ213" i="15"/>
  <c r="CK213" i="15"/>
  <c r="CL213" i="15"/>
  <c r="CM213" i="15"/>
  <c r="CN213" i="15"/>
  <c r="CO213" i="15"/>
  <c r="A214" i="15"/>
  <c r="B214" i="15"/>
  <c r="C214" i="15"/>
  <c r="D214" i="15"/>
  <c r="E214" i="15"/>
  <c r="F214" i="15"/>
  <c r="G214" i="15"/>
  <c r="H214" i="15"/>
  <c r="I214" i="15"/>
  <c r="J214" i="15"/>
  <c r="K214" i="15"/>
  <c r="L214" i="15"/>
  <c r="M214" i="15"/>
  <c r="N214" i="15"/>
  <c r="O214" i="15"/>
  <c r="P214" i="15"/>
  <c r="Q214" i="15"/>
  <c r="R214" i="15"/>
  <c r="S214" i="15"/>
  <c r="T214" i="15"/>
  <c r="U214" i="15"/>
  <c r="V214" i="15"/>
  <c r="W214" i="15"/>
  <c r="X214" i="15"/>
  <c r="Y214" i="15"/>
  <c r="Z214" i="15"/>
  <c r="AA214" i="15"/>
  <c r="AB214" i="15"/>
  <c r="AC214" i="15"/>
  <c r="AD214" i="15"/>
  <c r="AE214" i="15"/>
  <c r="AF214" i="15"/>
  <c r="AG214" i="15"/>
  <c r="AH214" i="15"/>
  <c r="AI214" i="15"/>
  <c r="AJ214" i="15"/>
  <c r="AK214" i="15"/>
  <c r="AL214" i="15"/>
  <c r="AM214" i="15"/>
  <c r="AN214" i="15"/>
  <c r="AO214" i="15"/>
  <c r="AP214" i="15"/>
  <c r="AQ214" i="15"/>
  <c r="AR214" i="15"/>
  <c r="AS214" i="15"/>
  <c r="AT214" i="15"/>
  <c r="AU214" i="15"/>
  <c r="AV214" i="15"/>
  <c r="AW214" i="15"/>
  <c r="AX214" i="15"/>
  <c r="AY214" i="15"/>
  <c r="AZ214" i="15"/>
  <c r="BA214" i="15"/>
  <c r="BB214" i="15"/>
  <c r="BC214" i="15"/>
  <c r="BD214" i="15"/>
  <c r="BE214" i="15"/>
  <c r="BF214" i="15"/>
  <c r="BG214" i="15"/>
  <c r="BH214" i="15"/>
  <c r="BI214" i="15"/>
  <c r="BJ214" i="15"/>
  <c r="BK214" i="15"/>
  <c r="BL214" i="15"/>
  <c r="BM214" i="15"/>
  <c r="BN214" i="15"/>
  <c r="BO214" i="15"/>
  <c r="BP214" i="15"/>
  <c r="BQ214" i="15"/>
  <c r="BR214" i="15"/>
  <c r="BS214" i="15"/>
  <c r="BT214" i="15"/>
  <c r="BU214" i="15"/>
  <c r="BV214" i="15"/>
  <c r="BW214" i="15"/>
  <c r="BX214" i="15"/>
  <c r="BY214" i="15"/>
  <c r="BZ214" i="15"/>
  <c r="CA214" i="15"/>
  <c r="CB214" i="15"/>
  <c r="CC214" i="15"/>
  <c r="CD214" i="15"/>
  <c r="CE214" i="15"/>
  <c r="CF214" i="15"/>
  <c r="CG214" i="15"/>
  <c r="CH214" i="15"/>
  <c r="CI214" i="15"/>
  <c r="CJ214" i="15"/>
  <c r="CK214" i="15"/>
  <c r="CL214" i="15"/>
  <c r="CM214" i="15"/>
  <c r="CN214" i="15"/>
  <c r="CO214" i="15"/>
  <c r="A215" i="15"/>
  <c r="B215" i="15"/>
  <c r="C215" i="15"/>
  <c r="D215" i="15"/>
  <c r="E215" i="15"/>
  <c r="F215" i="15"/>
  <c r="G215" i="15"/>
  <c r="H215" i="15"/>
  <c r="I215" i="15"/>
  <c r="J215" i="15"/>
  <c r="K215" i="15"/>
  <c r="L215" i="15"/>
  <c r="M215" i="15"/>
  <c r="N215" i="15"/>
  <c r="O215" i="15"/>
  <c r="P215" i="15"/>
  <c r="Q215" i="15"/>
  <c r="R215" i="15"/>
  <c r="S215" i="15"/>
  <c r="T215" i="15"/>
  <c r="U215" i="15"/>
  <c r="V215" i="15"/>
  <c r="W215" i="15"/>
  <c r="X215" i="15"/>
  <c r="Y215" i="15"/>
  <c r="Z215" i="15"/>
  <c r="AA215" i="15"/>
  <c r="AB215" i="15"/>
  <c r="AC215" i="15"/>
  <c r="AD215" i="15"/>
  <c r="AE215" i="15"/>
  <c r="AF215" i="15"/>
  <c r="AG215" i="15"/>
  <c r="AH215" i="15"/>
  <c r="AI215" i="15"/>
  <c r="AJ215" i="15"/>
  <c r="AK215" i="15"/>
  <c r="AL215" i="15"/>
  <c r="AM215" i="15"/>
  <c r="AN215" i="15"/>
  <c r="AO215" i="15"/>
  <c r="AP215" i="15"/>
  <c r="AQ215" i="15"/>
  <c r="AR215" i="15"/>
  <c r="AS215" i="15"/>
  <c r="AT215" i="15"/>
  <c r="AU215" i="15"/>
  <c r="AV215" i="15"/>
  <c r="AW215" i="15"/>
  <c r="AX215" i="15"/>
  <c r="AY215" i="15"/>
  <c r="AZ215" i="15"/>
  <c r="BA215" i="15"/>
  <c r="BB215" i="15"/>
  <c r="BC215" i="15"/>
  <c r="BD215" i="15"/>
  <c r="BE215" i="15"/>
  <c r="BF215" i="15"/>
  <c r="BG215" i="15"/>
  <c r="BH215" i="15"/>
  <c r="BI215" i="15"/>
  <c r="BJ215" i="15"/>
  <c r="BK215" i="15"/>
  <c r="BL215" i="15"/>
  <c r="BM215" i="15"/>
  <c r="BN215" i="15"/>
  <c r="BO215" i="15"/>
  <c r="BP215" i="15"/>
  <c r="BQ215" i="15"/>
  <c r="BR215" i="15"/>
  <c r="BS215" i="15"/>
  <c r="BT215" i="15"/>
  <c r="BU215" i="15"/>
  <c r="BV215" i="15"/>
  <c r="BW215" i="15"/>
  <c r="BX215" i="15"/>
  <c r="BY215" i="15"/>
  <c r="BZ215" i="15"/>
  <c r="CA215" i="15"/>
  <c r="CB215" i="15"/>
  <c r="CC215" i="15"/>
  <c r="CD215" i="15"/>
  <c r="CE215" i="15"/>
  <c r="CF215" i="15"/>
  <c r="CG215" i="15"/>
  <c r="CH215" i="15"/>
  <c r="CI215" i="15"/>
  <c r="CJ215" i="15"/>
  <c r="CK215" i="15"/>
  <c r="CL215" i="15"/>
  <c r="CM215" i="15"/>
  <c r="CN215" i="15"/>
  <c r="CO215" i="15"/>
  <c r="A216" i="15"/>
  <c r="B216" i="15"/>
  <c r="C216" i="15"/>
  <c r="D216" i="15"/>
  <c r="E216" i="15"/>
  <c r="F216" i="15"/>
  <c r="G216" i="15"/>
  <c r="H216" i="15"/>
  <c r="I216" i="15"/>
  <c r="J216" i="15"/>
  <c r="K216" i="15"/>
  <c r="L216" i="15"/>
  <c r="M216" i="15"/>
  <c r="N216" i="15"/>
  <c r="O216" i="15"/>
  <c r="P216" i="15"/>
  <c r="Q216" i="15"/>
  <c r="R216" i="15"/>
  <c r="S216" i="15"/>
  <c r="T216" i="15"/>
  <c r="U216" i="15"/>
  <c r="V216" i="15"/>
  <c r="W216" i="15"/>
  <c r="X216" i="15"/>
  <c r="Y216" i="15"/>
  <c r="Z216" i="15"/>
  <c r="AA216" i="15"/>
  <c r="AB216" i="15"/>
  <c r="AC216" i="15"/>
  <c r="AD216" i="15"/>
  <c r="AE216" i="15"/>
  <c r="AF216" i="15"/>
  <c r="AG216" i="15"/>
  <c r="AH216" i="15"/>
  <c r="AI216" i="15"/>
  <c r="AJ216" i="15"/>
  <c r="AK216" i="15"/>
  <c r="AL216" i="15"/>
  <c r="AM216" i="15"/>
  <c r="AN216" i="15"/>
  <c r="AO216" i="15"/>
  <c r="AP216" i="15"/>
  <c r="AQ216" i="15"/>
  <c r="AR216" i="15"/>
  <c r="AS216" i="15"/>
  <c r="AT216" i="15"/>
  <c r="AU216" i="15"/>
  <c r="AV216" i="15"/>
  <c r="AW216" i="15"/>
  <c r="AX216" i="15"/>
  <c r="AY216" i="15"/>
  <c r="AZ216" i="15"/>
  <c r="BA216" i="15"/>
  <c r="BB216" i="15"/>
  <c r="BC216" i="15"/>
  <c r="BD216" i="15"/>
  <c r="BE216" i="15"/>
  <c r="BF216" i="15"/>
  <c r="BG216" i="15"/>
  <c r="BH216" i="15"/>
  <c r="BI216" i="15"/>
  <c r="BJ216" i="15"/>
  <c r="BK216" i="15"/>
  <c r="BL216" i="15"/>
  <c r="BM216" i="15"/>
  <c r="BN216" i="15"/>
  <c r="BO216" i="15"/>
  <c r="BP216" i="15"/>
  <c r="BQ216" i="15"/>
  <c r="BR216" i="15"/>
  <c r="BS216" i="15"/>
  <c r="BT216" i="15"/>
  <c r="BU216" i="15"/>
  <c r="BV216" i="15"/>
  <c r="BW216" i="15"/>
  <c r="BX216" i="15"/>
  <c r="BY216" i="15"/>
  <c r="BZ216" i="15"/>
  <c r="CA216" i="15"/>
  <c r="CB216" i="15"/>
  <c r="CC216" i="15"/>
  <c r="CD216" i="15"/>
  <c r="CE216" i="15"/>
  <c r="CF216" i="15"/>
  <c r="CG216" i="15"/>
  <c r="CH216" i="15"/>
  <c r="CI216" i="15"/>
  <c r="CJ216" i="15"/>
  <c r="CK216" i="15"/>
  <c r="CL216" i="15"/>
  <c r="CM216" i="15"/>
  <c r="CN216" i="15"/>
  <c r="CO216" i="15"/>
  <c r="A217" i="15"/>
  <c r="B217" i="15"/>
  <c r="C217" i="15"/>
  <c r="D217" i="15"/>
  <c r="E217" i="15"/>
  <c r="F217" i="15"/>
  <c r="G217" i="15"/>
  <c r="H217" i="15"/>
  <c r="I217" i="15"/>
  <c r="J217" i="15"/>
  <c r="K217" i="15"/>
  <c r="L217" i="15"/>
  <c r="M217" i="15"/>
  <c r="N217" i="15"/>
  <c r="O217" i="15"/>
  <c r="P217" i="15"/>
  <c r="Q217" i="15"/>
  <c r="R217" i="15"/>
  <c r="S217" i="15"/>
  <c r="T217" i="15"/>
  <c r="U217" i="15"/>
  <c r="V217" i="15"/>
  <c r="W217" i="15"/>
  <c r="X217" i="15"/>
  <c r="Y217" i="15"/>
  <c r="Z217" i="15"/>
  <c r="AA217" i="15"/>
  <c r="AB217" i="15"/>
  <c r="AC217" i="15"/>
  <c r="AD217" i="15"/>
  <c r="AE217" i="15"/>
  <c r="AF217" i="15"/>
  <c r="AG217" i="15"/>
  <c r="AH217" i="15"/>
  <c r="AI217" i="15"/>
  <c r="AJ217" i="15"/>
  <c r="AK217" i="15"/>
  <c r="AL217" i="15"/>
  <c r="AM217" i="15"/>
  <c r="AN217" i="15"/>
  <c r="AO217" i="15"/>
  <c r="AP217" i="15"/>
  <c r="AQ217" i="15"/>
  <c r="AR217" i="15"/>
  <c r="AS217" i="15"/>
  <c r="AT217" i="15"/>
  <c r="AU217" i="15"/>
  <c r="AV217" i="15"/>
  <c r="AW217" i="15"/>
  <c r="AX217" i="15"/>
  <c r="AY217" i="15"/>
  <c r="AZ217" i="15"/>
  <c r="BA217" i="15"/>
  <c r="BB217" i="15"/>
  <c r="BC217" i="15"/>
  <c r="BD217" i="15"/>
  <c r="BE217" i="15"/>
  <c r="BF217" i="15"/>
  <c r="BG217" i="15"/>
  <c r="BH217" i="15"/>
  <c r="BI217" i="15"/>
  <c r="BJ217" i="15"/>
  <c r="BK217" i="15"/>
  <c r="BL217" i="15"/>
  <c r="BM217" i="15"/>
  <c r="BN217" i="15"/>
  <c r="BO217" i="15"/>
  <c r="BP217" i="15"/>
  <c r="BQ217" i="15"/>
  <c r="BR217" i="15"/>
  <c r="BS217" i="15"/>
  <c r="BT217" i="15"/>
  <c r="BU217" i="15"/>
  <c r="BV217" i="15"/>
  <c r="BW217" i="15"/>
  <c r="BX217" i="15"/>
  <c r="BY217" i="15"/>
  <c r="BZ217" i="15"/>
  <c r="CA217" i="15"/>
  <c r="CB217" i="15"/>
  <c r="CC217" i="15"/>
  <c r="CD217" i="15"/>
  <c r="CE217" i="15"/>
  <c r="CF217" i="15"/>
  <c r="CG217" i="15"/>
  <c r="CH217" i="15"/>
  <c r="CI217" i="15"/>
  <c r="CJ217" i="15"/>
  <c r="CK217" i="15"/>
  <c r="CL217" i="15"/>
  <c r="CM217" i="15"/>
  <c r="CN217" i="15"/>
  <c r="CO217" i="15"/>
  <c r="A218" i="15"/>
  <c r="B218" i="15"/>
  <c r="C218" i="15"/>
  <c r="D218" i="15"/>
  <c r="E218" i="15"/>
  <c r="F218" i="15"/>
  <c r="G218" i="15"/>
  <c r="H218" i="15"/>
  <c r="I218" i="15"/>
  <c r="J218" i="15"/>
  <c r="K218" i="15"/>
  <c r="L218" i="15"/>
  <c r="M218" i="15"/>
  <c r="N218" i="15"/>
  <c r="O218" i="15"/>
  <c r="P218" i="15"/>
  <c r="Q218" i="15"/>
  <c r="R218" i="15"/>
  <c r="S218" i="15"/>
  <c r="T218" i="15"/>
  <c r="U218" i="15"/>
  <c r="V218" i="15"/>
  <c r="W218" i="15"/>
  <c r="X218" i="15"/>
  <c r="Y218" i="15"/>
  <c r="Z218" i="15"/>
  <c r="AA218" i="15"/>
  <c r="AB218" i="15"/>
  <c r="AC218" i="15"/>
  <c r="AD218" i="15"/>
  <c r="AE218" i="15"/>
  <c r="AF218" i="15"/>
  <c r="AG218" i="15"/>
  <c r="AH218" i="15"/>
  <c r="AI218" i="15"/>
  <c r="AJ218" i="15"/>
  <c r="AK218" i="15"/>
  <c r="AL218" i="15"/>
  <c r="AM218" i="15"/>
  <c r="AN218" i="15"/>
  <c r="AO218" i="15"/>
  <c r="AP218" i="15"/>
  <c r="AQ218" i="15"/>
  <c r="AR218" i="15"/>
  <c r="AS218" i="15"/>
  <c r="AT218" i="15"/>
  <c r="AU218" i="15"/>
  <c r="AV218" i="15"/>
  <c r="AW218" i="15"/>
  <c r="AX218" i="15"/>
  <c r="AY218" i="15"/>
  <c r="AZ218" i="15"/>
  <c r="BA218" i="15"/>
  <c r="BB218" i="15"/>
  <c r="BC218" i="15"/>
  <c r="BD218" i="15"/>
  <c r="BE218" i="15"/>
  <c r="BF218" i="15"/>
  <c r="BG218" i="15"/>
  <c r="BH218" i="15"/>
  <c r="BI218" i="15"/>
  <c r="BJ218" i="15"/>
  <c r="BK218" i="15"/>
  <c r="BL218" i="15"/>
  <c r="BM218" i="15"/>
  <c r="BN218" i="15"/>
  <c r="BO218" i="15"/>
  <c r="BP218" i="15"/>
  <c r="BQ218" i="15"/>
  <c r="BR218" i="15"/>
  <c r="BS218" i="15"/>
  <c r="BT218" i="15"/>
  <c r="BU218" i="15"/>
  <c r="BV218" i="15"/>
  <c r="BW218" i="15"/>
  <c r="BX218" i="15"/>
  <c r="BY218" i="15"/>
  <c r="BZ218" i="15"/>
  <c r="CA218" i="15"/>
  <c r="CB218" i="15"/>
  <c r="CC218" i="15"/>
  <c r="CD218" i="15"/>
  <c r="CE218" i="15"/>
  <c r="CF218" i="15"/>
  <c r="CG218" i="15"/>
  <c r="CH218" i="15"/>
  <c r="CI218" i="15"/>
  <c r="CJ218" i="15"/>
  <c r="CK218" i="15"/>
  <c r="CL218" i="15"/>
  <c r="CM218" i="15"/>
  <c r="CN218" i="15"/>
  <c r="CO218" i="15"/>
  <c r="A219" i="15"/>
  <c r="B219" i="15"/>
  <c r="C219" i="15"/>
  <c r="D219" i="15"/>
  <c r="E219" i="15"/>
  <c r="F219" i="15"/>
  <c r="G219" i="15"/>
  <c r="H219" i="15"/>
  <c r="I219" i="15"/>
  <c r="J219" i="15"/>
  <c r="K219" i="15"/>
  <c r="L219" i="15"/>
  <c r="M219" i="15"/>
  <c r="N219" i="15"/>
  <c r="O219" i="15"/>
  <c r="P219" i="15"/>
  <c r="Q219" i="15"/>
  <c r="R219" i="15"/>
  <c r="S219" i="15"/>
  <c r="T219" i="15"/>
  <c r="U219" i="15"/>
  <c r="V219" i="15"/>
  <c r="W219" i="15"/>
  <c r="X219" i="15"/>
  <c r="Y219" i="15"/>
  <c r="Z219" i="15"/>
  <c r="AA219" i="15"/>
  <c r="AB219" i="15"/>
  <c r="AC219" i="15"/>
  <c r="AD219" i="15"/>
  <c r="AE219" i="15"/>
  <c r="AF219" i="15"/>
  <c r="AG219" i="15"/>
  <c r="AH219" i="15"/>
  <c r="AI219" i="15"/>
  <c r="AJ219" i="15"/>
  <c r="AK219" i="15"/>
  <c r="AL219" i="15"/>
  <c r="AM219" i="15"/>
  <c r="AN219" i="15"/>
  <c r="AO219" i="15"/>
  <c r="AP219" i="15"/>
  <c r="AQ219" i="15"/>
  <c r="AR219" i="15"/>
  <c r="AS219" i="15"/>
  <c r="AT219" i="15"/>
  <c r="AU219" i="15"/>
  <c r="AV219" i="15"/>
  <c r="AW219" i="15"/>
  <c r="AX219" i="15"/>
  <c r="AY219" i="15"/>
  <c r="AZ219" i="15"/>
  <c r="BA219" i="15"/>
  <c r="BB219" i="15"/>
  <c r="BC219" i="15"/>
  <c r="BD219" i="15"/>
  <c r="BE219" i="15"/>
  <c r="BF219" i="15"/>
  <c r="BG219" i="15"/>
  <c r="BH219" i="15"/>
  <c r="BI219" i="15"/>
  <c r="BJ219" i="15"/>
  <c r="BK219" i="15"/>
  <c r="BL219" i="15"/>
  <c r="BM219" i="15"/>
  <c r="BN219" i="15"/>
  <c r="BO219" i="15"/>
  <c r="BP219" i="15"/>
  <c r="BQ219" i="15"/>
  <c r="BR219" i="15"/>
  <c r="BS219" i="15"/>
  <c r="BT219" i="15"/>
  <c r="BU219" i="15"/>
  <c r="BV219" i="15"/>
  <c r="BW219" i="15"/>
  <c r="BX219" i="15"/>
  <c r="BY219" i="15"/>
  <c r="BZ219" i="15"/>
  <c r="CA219" i="15"/>
  <c r="CB219" i="15"/>
  <c r="CC219" i="15"/>
  <c r="CD219" i="15"/>
  <c r="CE219" i="15"/>
  <c r="CF219" i="15"/>
  <c r="CG219" i="15"/>
  <c r="CH219" i="15"/>
  <c r="CI219" i="15"/>
  <c r="CJ219" i="15"/>
  <c r="CK219" i="15"/>
  <c r="CL219" i="15"/>
  <c r="CM219" i="15"/>
  <c r="CN219" i="15"/>
  <c r="CO219" i="15"/>
  <c r="A220" i="15"/>
  <c r="B220" i="15"/>
  <c r="C220" i="15"/>
  <c r="D220" i="15"/>
  <c r="E220" i="15"/>
  <c r="F220" i="15"/>
  <c r="G220" i="15"/>
  <c r="H220" i="15"/>
  <c r="I220" i="15"/>
  <c r="J220" i="15"/>
  <c r="K220" i="15"/>
  <c r="L220" i="15"/>
  <c r="M220" i="15"/>
  <c r="N220" i="15"/>
  <c r="O220" i="15"/>
  <c r="P220" i="15"/>
  <c r="Q220" i="15"/>
  <c r="R220" i="15"/>
  <c r="S220" i="15"/>
  <c r="T220" i="15"/>
  <c r="U220" i="15"/>
  <c r="V220" i="15"/>
  <c r="W220" i="15"/>
  <c r="X220" i="15"/>
  <c r="Y220" i="15"/>
  <c r="Z220" i="15"/>
  <c r="AA220" i="15"/>
  <c r="AB220" i="15"/>
  <c r="AC220" i="15"/>
  <c r="AD220" i="15"/>
  <c r="AE220" i="15"/>
  <c r="AF220" i="15"/>
  <c r="AG220" i="15"/>
  <c r="AH220" i="15"/>
  <c r="AI220" i="15"/>
  <c r="AJ220" i="15"/>
  <c r="AK220" i="15"/>
  <c r="AL220" i="15"/>
  <c r="AM220" i="15"/>
  <c r="AN220" i="15"/>
  <c r="AO220" i="15"/>
  <c r="AP220" i="15"/>
  <c r="AQ220" i="15"/>
  <c r="AR220" i="15"/>
  <c r="AS220" i="15"/>
  <c r="AT220" i="15"/>
  <c r="AU220" i="15"/>
  <c r="AV220" i="15"/>
  <c r="AW220" i="15"/>
  <c r="AX220" i="15"/>
  <c r="AY220" i="15"/>
  <c r="AZ220" i="15"/>
  <c r="BA220" i="15"/>
  <c r="BB220" i="15"/>
  <c r="BC220" i="15"/>
  <c r="BD220" i="15"/>
  <c r="BE220" i="15"/>
  <c r="BF220" i="15"/>
  <c r="BG220" i="15"/>
  <c r="BH220" i="15"/>
  <c r="BI220" i="15"/>
  <c r="BJ220" i="15"/>
  <c r="BK220" i="15"/>
  <c r="BL220" i="15"/>
  <c r="BM220" i="15"/>
  <c r="BN220" i="15"/>
  <c r="BO220" i="15"/>
  <c r="BP220" i="15"/>
  <c r="BQ220" i="15"/>
  <c r="BR220" i="15"/>
  <c r="BS220" i="15"/>
  <c r="BT220" i="15"/>
  <c r="BU220" i="15"/>
  <c r="BV220" i="15"/>
  <c r="BW220" i="15"/>
  <c r="BX220" i="15"/>
  <c r="BY220" i="15"/>
  <c r="BZ220" i="15"/>
  <c r="CA220" i="15"/>
  <c r="CB220" i="15"/>
  <c r="CC220" i="15"/>
  <c r="CD220" i="15"/>
  <c r="CE220" i="15"/>
  <c r="CF220" i="15"/>
  <c r="CG220" i="15"/>
  <c r="CH220" i="15"/>
  <c r="CI220" i="15"/>
  <c r="CJ220" i="15"/>
  <c r="CK220" i="15"/>
  <c r="CL220" i="15"/>
  <c r="CM220" i="15"/>
  <c r="CN220" i="15"/>
  <c r="CO220" i="15"/>
  <c r="A221" i="15"/>
  <c r="B221" i="15"/>
  <c r="C221" i="15"/>
  <c r="D221" i="15"/>
  <c r="E221" i="15"/>
  <c r="F221" i="15"/>
  <c r="G221" i="15"/>
  <c r="H221" i="15"/>
  <c r="I221" i="15"/>
  <c r="J221" i="15"/>
  <c r="K221" i="15"/>
  <c r="L221" i="15"/>
  <c r="M221" i="15"/>
  <c r="N221" i="15"/>
  <c r="O221" i="15"/>
  <c r="P221" i="15"/>
  <c r="Q221" i="15"/>
  <c r="R221" i="15"/>
  <c r="S221" i="15"/>
  <c r="T221" i="15"/>
  <c r="U221" i="15"/>
  <c r="V221" i="15"/>
  <c r="W221" i="15"/>
  <c r="X221" i="15"/>
  <c r="Y221" i="15"/>
  <c r="Z221" i="15"/>
  <c r="AA221" i="15"/>
  <c r="AB221" i="15"/>
  <c r="AC221" i="15"/>
  <c r="AD221" i="15"/>
  <c r="AE221" i="15"/>
  <c r="AF221" i="15"/>
  <c r="AG221" i="15"/>
  <c r="AH221" i="15"/>
  <c r="AI221" i="15"/>
  <c r="AJ221" i="15"/>
  <c r="AK221" i="15"/>
  <c r="AL221" i="15"/>
  <c r="AM221" i="15"/>
  <c r="AN221" i="15"/>
  <c r="AO221" i="15"/>
  <c r="AP221" i="15"/>
  <c r="AQ221" i="15"/>
  <c r="AR221" i="15"/>
  <c r="AS221" i="15"/>
  <c r="AT221" i="15"/>
  <c r="AU221" i="15"/>
  <c r="AV221" i="15"/>
  <c r="AW221" i="15"/>
  <c r="AX221" i="15"/>
  <c r="AY221" i="15"/>
  <c r="AZ221" i="15"/>
  <c r="BA221" i="15"/>
  <c r="BB221" i="15"/>
  <c r="BC221" i="15"/>
  <c r="BD221" i="15"/>
  <c r="BE221" i="15"/>
  <c r="BF221" i="15"/>
  <c r="BG221" i="15"/>
  <c r="BH221" i="15"/>
  <c r="BI221" i="15"/>
  <c r="BJ221" i="15"/>
  <c r="BK221" i="15"/>
  <c r="BL221" i="15"/>
  <c r="BM221" i="15"/>
  <c r="BN221" i="15"/>
  <c r="BO221" i="15"/>
  <c r="BP221" i="15"/>
  <c r="BQ221" i="15"/>
  <c r="BR221" i="15"/>
  <c r="BS221" i="15"/>
  <c r="BT221" i="15"/>
  <c r="BU221" i="15"/>
  <c r="BV221" i="15"/>
  <c r="BW221" i="15"/>
  <c r="BX221" i="15"/>
  <c r="BY221" i="15"/>
  <c r="BZ221" i="15"/>
  <c r="CA221" i="15"/>
  <c r="CB221" i="15"/>
  <c r="CC221" i="15"/>
  <c r="CD221" i="15"/>
  <c r="CE221" i="15"/>
  <c r="CF221" i="15"/>
  <c r="CG221" i="15"/>
  <c r="CH221" i="15"/>
  <c r="CI221" i="15"/>
  <c r="CJ221" i="15"/>
  <c r="CK221" i="15"/>
  <c r="CL221" i="15"/>
  <c r="CM221" i="15"/>
  <c r="CN221" i="15"/>
  <c r="CO221" i="15"/>
  <c r="A222" i="15"/>
  <c r="B222" i="15"/>
  <c r="C222" i="15"/>
  <c r="D222" i="15"/>
  <c r="E222" i="15"/>
  <c r="F222" i="15"/>
  <c r="G222" i="15"/>
  <c r="H222" i="15"/>
  <c r="I222" i="15"/>
  <c r="J222" i="15"/>
  <c r="K222" i="15"/>
  <c r="L222" i="15"/>
  <c r="M222" i="15"/>
  <c r="N222" i="15"/>
  <c r="O222" i="15"/>
  <c r="P222" i="15"/>
  <c r="Q222" i="15"/>
  <c r="R222" i="15"/>
  <c r="S222" i="15"/>
  <c r="T222" i="15"/>
  <c r="U222" i="15"/>
  <c r="V222" i="15"/>
  <c r="W222" i="15"/>
  <c r="X222" i="15"/>
  <c r="Y222" i="15"/>
  <c r="Z222" i="15"/>
  <c r="AA222" i="15"/>
  <c r="AB222" i="15"/>
  <c r="AC222" i="15"/>
  <c r="AD222" i="15"/>
  <c r="AE222" i="15"/>
  <c r="AF222" i="15"/>
  <c r="AG222" i="15"/>
  <c r="AH222" i="15"/>
  <c r="AI222" i="15"/>
  <c r="AJ222" i="15"/>
  <c r="AK222" i="15"/>
  <c r="AL222" i="15"/>
  <c r="AM222" i="15"/>
  <c r="AN222" i="15"/>
  <c r="AO222" i="15"/>
  <c r="AP222" i="15"/>
  <c r="AQ222" i="15"/>
  <c r="AR222" i="15"/>
  <c r="AS222" i="15"/>
  <c r="AT222" i="15"/>
  <c r="AU222" i="15"/>
  <c r="AV222" i="15"/>
  <c r="AW222" i="15"/>
  <c r="AX222" i="15"/>
  <c r="AY222" i="15"/>
  <c r="AZ222" i="15"/>
  <c r="BA222" i="15"/>
  <c r="BB222" i="15"/>
  <c r="BC222" i="15"/>
  <c r="BD222" i="15"/>
  <c r="BE222" i="15"/>
  <c r="BF222" i="15"/>
  <c r="BG222" i="15"/>
  <c r="BH222" i="15"/>
  <c r="BI222" i="15"/>
  <c r="BJ222" i="15"/>
  <c r="BK222" i="15"/>
  <c r="BL222" i="15"/>
  <c r="BM222" i="15"/>
  <c r="BN222" i="15"/>
  <c r="BO222" i="15"/>
  <c r="BP222" i="15"/>
  <c r="BQ222" i="15"/>
  <c r="BR222" i="15"/>
  <c r="BS222" i="15"/>
  <c r="BT222" i="15"/>
  <c r="BU222" i="15"/>
  <c r="BV222" i="15"/>
  <c r="BW222" i="15"/>
  <c r="BX222" i="15"/>
  <c r="BY222" i="15"/>
  <c r="BZ222" i="15"/>
  <c r="CA222" i="15"/>
  <c r="CB222" i="15"/>
  <c r="CC222" i="15"/>
  <c r="CD222" i="15"/>
  <c r="CE222" i="15"/>
  <c r="CF222" i="15"/>
  <c r="CG222" i="15"/>
  <c r="CH222" i="15"/>
  <c r="CI222" i="15"/>
  <c r="CJ222" i="15"/>
  <c r="CK222" i="15"/>
  <c r="CL222" i="15"/>
  <c r="CM222" i="15"/>
  <c r="CN222" i="15"/>
  <c r="CO222" i="15"/>
  <c r="A223" i="15"/>
  <c r="B223" i="15"/>
  <c r="C223" i="15"/>
  <c r="D223" i="15"/>
  <c r="E223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U223" i="15"/>
  <c r="V223" i="15"/>
  <c r="W223" i="15"/>
  <c r="X223" i="15"/>
  <c r="Y223" i="15"/>
  <c r="Z223" i="15"/>
  <c r="AA223" i="15"/>
  <c r="AB223" i="15"/>
  <c r="AC223" i="15"/>
  <c r="AD223" i="15"/>
  <c r="AE223" i="15"/>
  <c r="AF223" i="15"/>
  <c r="AG223" i="15"/>
  <c r="AH223" i="15"/>
  <c r="AI223" i="15"/>
  <c r="AJ223" i="15"/>
  <c r="AK223" i="15"/>
  <c r="AL223" i="15"/>
  <c r="AM223" i="15"/>
  <c r="AN223" i="15"/>
  <c r="AO223" i="15"/>
  <c r="AP223" i="15"/>
  <c r="AQ223" i="15"/>
  <c r="AR223" i="15"/>
  <c r="AS223" i="15"/>
  <c r="AT223" i="15"/>
  <c r="AU223" i="15"/>
  <c r="AV223" i="15"/>
  <c r="AW223" i="15"/>
  <c r="AX223" i="15"/>
  <c r="AY223" i="15"/>
  <c r="AZ223" i="15"/>
  <c r="BA223" i="15"/>
  <c r="BB223" i="15"/>
  <c r="BC223" i="15"/>
  <c r="BD223" i="15"/>
  <c r="BE223" i="15"/>
  <c r="BF223" i="15"/>
  <c r="BG223" i="15"/>
  <c r="BH223" i="15"/>
  <c r="BI223" i="15"/>
  <c r="BJ223" i="15"/>
  <c r="BK223" i="15"/>
  <c r="BL223" i="15"/>
  <c r="BM223" i="15"/>
  <c r="BN223" i="15"/>
  <c r="BO223" i="15"/>
  <c r="BP223" i="15"/>
  <c r="BQ223" i="15"/>
  <c r="BR223" i="15"/>
  <c r="BS223" i="15"/>
  <c r="BT223" i="15"/>
  <c r="BU223" i="15"/>
  <c r="BV223" i="15"/>
  <c r="BW223" i="15"/>
  <c r="BX223" i="15"/>
  <c r="BY223" i="15"/>
  <c r="BZ223" i="15"/>
  <c r="CA223" i="15"/>
  <c r="CB223" i="15"/>
  <c r="CC223" i="15"/>
  <c r="CD223" i="15"/>
  <c r="CE223" i="15"/>
  <c r="CF223" i="15"/>
  <c r="CG223" i="15"/>
  <c r="CH223" i="15"/>
  <c r="CI223" i="15"/>
  <c r="CJ223" i="15"/>
  <c r="CK223" i="15"/>
  <c r="CL223" i="15"/>
  <c r="CM223" i="15"/>
  <c r="CN223" i="15"/>
  <c r="CO223" i="15"/>
  <c r="A224" i="15"/>
  <c r="B224" i="15"/>
  <c r="C224" i="15"/>
  <c r="D224" i="15"/>
  <c r="E224" i="15"/>
  <c r="F224" i="15"/>
  <c r="G224" i="15"/>
  <c r="H224" i="15"/>
  <c r="I224" i="15"/>
  <c r="J224" i="15"/>
  <c r="K224" i="15"/>
  <c r="L224" i="15"/>
  <c r="M224" i="15"/>
  <c r="N224" i="15"/>
  <c r="O224" i="15"/>
  <c r="P224" i="15"/>
  <c r="Q224" i="15"/>
  <c r="R224" i="15"/>
  <c r="S224" i="15"/>
  <c r="T224" i="15"/>
  <c r="U224" i="15"/>
  <c r="V224" i="15"/>
  <c r="W224" i="15"/>
  <c r="X224" i="15"/>
  <c r="Y224" i="15"/>
  <c r="Z224" i="15"/>
  <c r="AA224" i="15"/>
  <c r="AB224" i="15"/>
  <c r="AC224" i="15"/>
  <c r="AD224" i="15"/>
  <c r="AE224" i="15"/>
  <c r="AF224" i="15"/>
  <c r="AG224" i="15"/>
  <c r="AH224" i="15"/>
  <c r="AI224" i="15"/>
  <c r="AJ224" i="15"/>
  <c r="AK224" i="15"/>
  <c r="AL224" i="15"/>
  <c r="AM224" i="15"/>
  <c r="AN224" i="15"/>
  <c r="AO224" i="15"/>
  <c r="AP224" i="15"/>
  <c r="AQ224" i="15"/>
  <c r="AR224" i="15"/>
  <c r="AS224" i="15"/>
  <c r="AT224" i="15"/>
  <c r="AU224" i="15"/>
  <c r="AV224" i="15"/>
  <c r="AW224" i="15"/>
  <c r="AX224" i="15"/>
  <c r="AY224" i="15"/>
  <c r="AZ224" i="15"/>
  <c r="BA224" i="15"/>
  <c r="BB224" i="15"/>
  <c r="BC224" i="15"/>
  <c r="BD224" i="15"/>
  <c r="BE224" i="15"/>
  <c r="BF224" i="15"/>
  <c r="BG224" i="15"/>
  <c r="BH224" i="15"/>
  <c r="BI224" i="15"/>
  <c r="BJ224" i="15"/>
  <c r="BK224" i="15"/>
  <c r="BL224" i="15"/>
  <c r="BM224" i="15"/>
  <c r="BN224" i="15"/>
  <c r="BO224" i="15"/>
  <c r="BP224" i="15"/>
  <c r="BQ224" i="15"/>
  <c r="BR224" i="15"/>
  <c r="BS224" i="15"/>
  <c r="BT224" i="15"/>
  <c r="BU224" i="15"/>
  <c r="BV224" i="15"/>
  <c r="BW224" i="15"/>
  <c r="BX224" i="15"/>
  <c r="BY224" i="15"/>
  <c r="BZ224" i="15"/>
  <c r="CA224" i="15"/>
  <c r="CB224" i="15"/>
  <c r="CC224" i="15"/>
  <c r="CD224" i="15"/>
  <c r="CE224" i="15"/>
  <c r="CF224" i="15"/>
  <c r="CG224" i="15"/>
  <c r="CH224" i="15"/>
  <c r="CI224" i="15"/>
  <c r="CJ224" i="15"/>
  <c r="CK224" i="15"/>
  <c r="CL224" i="15"/>
  <c r="CM224" i="15"/>
  <c r="CN224" i="15"/>
  <c r="CO224" i="15"/>
  <c r="A225" i="15"/>
  <c r="B225" i="15"/>
  <c r="C225" i="15"/>
  <c r="D225" i="15"/>
  <c r="E225" i="15"/>
  <c r="F225" i="15"/>
  <c r="G225" i="15"/>
  <c r="H225" i="15"/>
  <c r="I225" i="15"/>
  <c r="J225" i="15"/>
  <c r="K225" i="15"/>
  <c r="L225" i="15"/>
  <c r="M225" i="15"/>
  <c r="N225" i="15"/>
  <c r="O225" i="15"/>
  <c r="P225" i="15"/>
  <c r="Q225" i="15"/>
  <c r="R225" i="15"/>
  <c r="S225" i="15"/>
  <c r="T225" i="15"/>
  <c r="U225" i="15"/>
  <c r="V225" i="15"/>
  <c r="W225" i="15"/>
  <c r="X225" i="15"/>
  <c r="Y225" i="15"/>
  <c r="Z225" i="15"/>
  <c r="AA225" i="15"/>
  <c r="AB225" i="15"/>
  <c r="AC225" i="15"/>
  <c r="AD225" i="15"/>
  <c r="AE225" i="15"/>
  <c r="AF225" i="15"/>
  <c r="AG225" i="15"/>
  <c r="AH225" i="15"/>
  <c r="AI225" i="15"/>
  <c r="AJ225" i="15"/>
  <c r="AK225" i="15"/>
  <c r="AL225" i="15"/>
  <c r="AM225" i="15"/>
  <c r="AN225" i="15"/>
  <c r="AO225" i="15"/>
  <c r="AP225" i="15"/>
  <c r="AQ225" i="15"/>
  <c r="AR225" i="15"/>
  <c r="AS225" i="15"/>
  <c r="AT225" i="15"/>
  <c r="AU225" i="15"/>
  <c r="AV225" i="15"/>
  <c r="AW225" i="15"/>
  <c r="AX225" i="15"/>
  <c r="AY225" i="15"/>
  <c r="AZ225" i="15"/>
  <c r="BA225" i="15"/>
  <c r="BB225" i="15"/>
  <c r="BC225" i="15"/>
  <c r="BD225" i="15"/>
  <c r="BE225" i="15"/>
  <c r="BF225" i="15"/>
  <c r="BG225" i="15"/>
  <c r="BH225" i="15"/>
  <c r="BI225" i="15"/>
  <c r="BJ225" i="15"/>
  <c r="BK225" i="15"/>
  <c r="BL225" i="15"/>
  <c r="BM225" i="15"/>
  <c r="BN225" i="15"/>
  <c r="BO225" i="15"/>
  <c r="BP225" i="15"/>
  <c r="BQ225" i="15"/>
  <c r="BR225" i="15"/>
  <c r="BS225" i="15"/>
  <c r="BT225" i="15"/>
  <c r="BU225" i="15"/>
  <c r="BV225" i="15"/>
  <c r="BW225" i="15"/>
  <c r="BX225" i="15"/>
  <c r="BY225" i="15"/>
  <c r="BZ225" i="15"/>
  <c r="CA225" i="15"/>
  <c r="CB225" i="15"/>
  <c r="CC225" i="15"/>
  <c r="CD225" i="15"/>
  <c r="CE225" i="15"/>
  <c r="CF225" i="15"/>
  <c r="CG225" i="15"/>
  <c r="CH225" i="15"/>
  <c r="CI225" i="15"/>
  <c r="CJ225" i="15"/>
  <c r="CK225" i="15"/>
  <c r="CL225" i="15"/>
  <c r="CM225" i="15"/>
  <c r="CN225" i="15"/>
  <c r="CO225" i="15"/>
  <c r="A226" i="15"/>
  <c r="B226" i="15"/>
  <c r="C226" i="15"/>
  <c r="D226" i="15"/>
  <c r="E226" i="15"/>
  <c r="F226" i="15"/>
  <c r="G226" i="15"/>
  <c r="H226" i="15"/>
  <c r="I226" i="15"/>
  <c r="J226" i="15"/>
  <c r="K226" i="15"/>
  <c r="L226" i="15"/>
  <c r="M226" i="15"/>
  <c r="N226" i="15"/>
  <c r="O226" i="15"/>
  <c r="P226" i="15"/>
  <c r="Q226" i="15"/>
  <c r="R226" i="15"/>
  <c r="S226" i="15"/>
  <c r="T226" i="15"/>
  <c r="U226" i="15"/>
  <c r="V226" i="15"/>
  <c r="W226" i="15"/>
  <c r="X226" i="15"/>
  <c r="Y226" i="15"/>
  <c r="Z226" i="15"/>
  <c r="AA226" i="15"/>
  <c r="AB226" i="15"/>
  <c r="AC226" i="15"/>
  <c r="AD226" i="15"/>
  <c r="AE226" i="15"/>
  <c r="AF226" i="15"/>
  <c r="AG226" i="15"/>
  <c r="AH226" i="15"/>
  <c r="AI226" i="15"/>
  <c r="AJ226" i="15"/>
  <c r="AK226" i="15"/>
  <c r="AL226" i="15"/>
  <c r="AM226" i="15"/>
  <c r="AN226" i="15"/>
  <c r="AO226" i="15"/>
  <c r="AP226" i="15"/>
  <c r="AQ226" i="15"/>
  <c r="AR226" i="15"/>
  <c r="AS226" i="15"/>
  <c r="AT226" i="15"/>
  <c r="AU226" i="15"/>
  <c r="AV226" i="15"/>
  <c r="AW226" i="15"/>
  <c r="AX226" i="15"/>
  <c r="AY226" i="15"/>
  <c r="AZ226" i="15"/>
  <c r="BA226" i="15"/>
  <c r="BB226" i="15"/>
  <c r="BC226" i="15"/>
  <c r="BD226" i="15"/>
  <c r="BE226" i="15"/>
  <c r="BF226" i="15"/>
  <c r="BG226" i="15"/>
  <c r="BH226" i="15"/>
  <c r="BI226" i="15"/>
  <c r="BJ226" i="15"/>
  <c r="BK226" i="15"/>
  <c r="BL226" i="15"/>
  <c r="BM226" i="15"/>
  <c r="BN226" i="15"/>
  <c r="BO226" i="15"/>
  <c r="BP226" i="15"/>
  <c r="BQ226" i="15"/>
  <c r="BR226" i="15"/>
  <c r="BS226" i="15"/>
  <c r="BT226" i="15"/>
  <c r="BU226" i="15"/>
  <c r="BV226" i="15"/>
  <c r="BW226" i="15"/>
  <c r="BX226" i="15"/>
  <c r="BY226" i="15"/>
  <c r="BZ226" i="15"/>
  <c r="CA226" i="15"/>
  <c r="CB226" i="15"/>
  <c r="CC226" i="15"/>
  <c r="CD226" i="15"/>
  <c r="CE226" i="15"/>
  <c r="CF226" i="15"/>
  <c r="CG226" i="15"/>
  <c r="CH226" i="15"/>
  <c r="CI226" i="15"/>
  <c r="CJ226" i="15"/>
  <c r="CK226" i="15"/>
  <c r="CL226" i="15"/>
  <c r="CM226" i="15"/>
  <c r="CN226" i="15"/>
  <c r="CO226" i="15"/>
  <c r="A227" i="15"/>
  <c r="B227" i="15"/>
  <c r="C227" i="15"/>
  <c r="D227" i="15"/>
  <c r="E227" i="15"/>
  <c r="F227" i="15"/>
  <c r="G227" i="15"/>
  <c r="H227" i="15"/>
  <c r="I227" i="15"/>
  <c r="J227" i="15"/>
  <c r="K227" i="15"/>
  <c r="L227" i="15"/>
  <c r="M227" i="15"/>
  <c r="N227" i="15"/>
  <c r="O227" i="15"/>
  <c r="P227" i="15"/>
  <c r="Q227" i="15"/>
  <c r="R227" i="15"/>
  <c r="S227" i="15"/>
  <c r="T227" i="15"/>
  <c r="U227" i="15"/>
  <c r="V227" i="15"/>
  <c r="W227" i="15"/>
  <c r="X227" i="15"/>
  <c r="Y227" i="15"/>
  <c r="Z227" i="15"/>
  <c r="AA227" i="15"/>
  <c r="AB227" i="15"/>
  <c r="AC227" i="15"/>
  <c r="AD227" i="15"/>
  <c r="AE227" i="15"/>
  <c r="AF227" i="15"/>
  <c r="AG227" i="15"/>
  <c r="AH227" i="15"/>
  <c r="AI227" i="15"/>
  <c r="AJ227" i="15"/>
  <c r="AK227" i="15"/>
  <c r="AL227" i="15"/>
  <c r="AM227" i="15"/>
  <c r="AN227" i="15"/>
  <c r="AO227" i="15"/>
  <c r="AP227" i="15"/>
  <c r="AQ227" i="15"/>
  <c r="AR227" i="15"/>
  <c r="AS227" i="15"/>
  <c r="AT227" i="15"/>
  <c r="AU227" i="15"/>
  <c r="AV227" i="15"/>
  <c r="AW227" i="15"/>
  <c r="AX227" i="15"/>
  <c r="AY227" i="15"/>
  <c r="AZ227" i="15"/>
  <c r="BA227" i="15"/>
  <c r="BB227" i="15"/>
  <c r="BC227" i="15"/>
  <c r="BD227" i="15"/>
  <c r="BE227" i="15"/>
  <c r="BF227" i="15"/>
  <c r="BG227" i="15"/>
  <c r="BH227" i="15"/>
  <c r="BI227" i="15"/>
  <c r="BJ227" i="15"/>
  <c r="BK227" i="15"/>
  <c r="BL227" i="15"/>
  <c r="BM227" i="15"/>
  <c r="BN227" i="15"/>
  <c r="BO227" i="15"/>
  <c r="BP227" i="15"/>
  <c r="BQ227" i="15"/>
  <c r="BR227" i="15"/>
  <c r="BS227" i="15"/>
  <c r="BT227" i="15"/>
  <c r="BU227" i="15"/>
  <c r="BV227" i="15"/>
  <c r="BW227" i="15"/>
  <c r="BX227" i="15"/>
  <c r="BY227" i="15"/>
  <c r="BZ227" i="15"/>
  <c r="CA227" i="15"/>
  <c r="CB227" i="15"/>
  <c r="CC227" i="15"/>
  <c r="CD227" i="15"/>
  <c r="CE227" i="15"/>
  <c r="CF227" i="15"/>
  <c r="CG227" i="15"/>
  <c r="CH227" i="15"/>
  <c r="CI227" i="15"/>
  <c r="CJ227" i="15"/>
  <c r="CK227" i="15"/>
  <c r="CL227" i="15"/>
  <c r="CM227" i="15"/>
  <c r="CN227" i="15"/>
  <c r="CO227" i="15"/>
  <c r="A228" i="15"/>
  <c r="B228" i="15"/>
  <c r="C228" i="15"/>
  <c r="D228" i="15"/>
  <c r="E228" i="15"/>
  <c r="F228" i="15"/>
  <c r="G228" i="15"/>
  <c r="H228" i="15"/>
  <c r="I228" i="15"/>
  <c r="J228" i="15"/>
  <c r="K228" i="15"/>
  <c r="L228" i="15"/>
  <c r="M228" i="15"/>
  <c r="N228" i="15"/>
  <c r="O228" i="15"/>
  <c r="P228" i="15"/>
  <c r="Q228" i="15"/>
  <c r="R228" i="15"/>
  <c r="S228" i="15"/>
  <c r="T228" i="15"/>
  <c r="U228" i="15"/>
  <c r="V228" i="15"/>
  <c r="W228" i="15"/>
  <c r="X228" i="15"/>
  <c r="Y228" i="15"/>
  <c r="Z228" i="15"/>
  <c r="AA228" i="15"/>
  <c r="AB228" i="15"/>
  <c r="AC228" i="15"/>
  <c r="AD228" i="15"/>
  <c r="AE228" i="15"/>
  <c r="AF228" i="15"/>
  <c r="AG228" i="15"/>
  <c r="AH228" i="15"/>
  <c r="AI228" i="15"/>
  <c r="AJ228" i="15"/>
  <c r="AK228" i="15"/>
  <c r="AL228" i="15"/>
  <c r="AM228" i="15"/>
  <c r="AN228" i="15"/>
  <c r="AO228" i="15"/>
  <c r="AP228" i="15"/>
  <c r="AQ228" i="15"/>
  <c r="AR228" i="15"/>
  <c r="AS228" i="15"/>
  <c r="AT228" i="15"/>
  <c r="AU228" i="15"/>
  <c r="AV228" i="15"/>
  <c r="AW228" i="15"/>
  <c r="AX228" i="15"/>
  <c r="AY228" i="15"/>
  <c r="AZ228" i="15"/>
  <c r="BA228" i="15"/>
  <c r="BB228" i="15"/>
  <c r="BC228" i="15"/>
  <c r="BD228" i="15"/>
  <c r="BE228" i="15"/>
  <c r="BF228" i="15"/>
  <c r="BG228" i="15"/>
  <c r="BH228" i="15"/>
  <c r="BI228" i="15"/>
  <c r="BJ228" i="15"/>
  <c r="BK228" i="15"/>
  <c r="BL228" i="15"/>
  <c r="BM228" i="15"/>
  <c r="BN228" i="15"/>
  <c r="BO228" i="15"/>
  <c r="BP228" i="15"/>
  <c r="BQ228" i="15"/>
  <c r="BR228" i="15"/>
  <c r="BS228" i="15"/>
  <c r="BT228" i="15"/>
  <c r="BU228" i="15"/>
  <c r="BV228" i="15"/>
  <c r="BW228" i="15"/>
  <c r="BX228" i="15"/>
  <c r="BY228" i="15"/>
  <c r="BZ228" i="15"/>
  <c r="CA228" i="15"/>
  <c r="CB228" i="15"/>
  <c r="CC228" i="15"/>
  <c r="CD228" i="15"/>
  <c r="CE228" i="15"/>
  <c r="CF228" i="15"/>
  <c r="CG228" i="15"/>
  <c r="CH228" i="15"/>
  <c r="CI228" i="15"/>
  <c r="CJ228" i="15"/>
  <c r="CK228" i="15"/>
  <c r="CL228" i="15"/>
  <c r="CM228" i="15"/>
  <c r="CN228" i="15"/>
  <c r="CO228" i="15"/>
  <c r="A229" i="15"/>
  <c r="B229" i="15"/>
  <c r="C229" i="15"/>
  <c r="D229" i="15"/>
  <c r="E229" i="15"/>
  <c r="F229" i="15"/>
  <c r="G229" i="15"/>
  <c r="H229" i="15"/>
  <c r="I229" i="15"/>
  <c r="J229" i="15"/>
  <c r="K229" i="15"/>
  <c r="L229" i="15"/>
  <c r="M229" i="15"/>
  <c r="N229" i="15"/>
  <c r="O229" i="15"/>
  <c r="P229" i="15"/>
  <c r="Q229" i="15"/>
  <c r="R229" i="15"/>
  <c r="S229" i="15"/>
  <c r="T229" i="15"/>
  <c r="U229" i="15"/>
  <c r="V229" i="15"/>
  <c r="W229" i="15"/>
  <c r="X229" i="15"/>
  <c r="Y229" i="15"/>
  <c r="Z229" i="15"/>
  <c r="AA229" i="15"/>
  <c r="AB229" i="15"/>
  <c r="AC229" i="15"/>
  <c r="AD229" i="15"/>
  <c r="AE229" i="15"/>
  <c r="AF229" i="15"/>
  <c r="AG229" i="15"/>
  <c r="AH229" i="15"/>
  <c r="AI229" i="15"/>
  <c r="AJ229" i="15"/>
  <c r="AK229" i="15"/>
  <c r="AL229" i="15"/>
  <c r="AM229" i="15"/>
  <c r="AN229" i="15"/>
  <c r="AO229" i="15"/>
  <c r="AP229" i="15"/>
  <c r="AQ229" i="15"/>
  <c r="AR229" i="15"/>
  <c r="AS229" i="15"/>
  <c r="AT229" i="15"/>
  <c r="AU229" i="15"/>
  <c r="AV229" i="15"/>
  <c r="AW229" i="15"/>
  <c r="AX229" i="15"/>
  <c r="AY229" i="15"/>
  <c r="AZ229" i="15"/>
  <c r="BA229" i="15"/>
  <c r="BB229" i="15"/>
  <c r="BC229" i="15"/>
  <c r="BD229" i="15"/>
  <c r="BE229" i="15"/>
  <c r="BF229" i="15"/>
  <c r="BG229" i="15"/>
  <c r="BH229" i="15"/>
  <c r="BI229" i="15"/>
  <c r="BJ229" i="15"/>
  <c r="BK229" i="15"/>
  <c r="BL229" i="15"/>
  <c r="BM229" i="15"/>
  <c r="BN229" i="15"/>
  <c r="BO229" i="15"/>
  <c r="BP229" i="15"/>
  <c r="BQ229" i="15"/>
  <c r="BR229" i="15"/>
  <c r="BS229" i="15"/>
  <c r="BT229" i="15"/>
  <c r="BU229" i="15"/>
  <c r="BV229" i="15"/>
  <c r="BW229" i="15"/>
  <c r="BX229" i="15"/>
  <c r="BY229" i="15"/>
  <c r="BZ229" i="15"/>
  <c r="CA229" i="15"/>
  <c r="CB229" i="15"/>
  <c r="CC229" i="15"/>
  <c r="CD229" i="15"/>
  <c r="CE229" i="15"/>
  <c r="CF229" i="15"/>
  <c r="CG229" i="15"/>
  <c r="CH229" i="15"/>
  <c r="CI229" i="15"/>
  <c r="CJ229" i="15"/>
  <c r="CK229" i="15"/>
  <c r="CL229" i="15"/>
  <c r="CM229" i="15"/>
  <c r="CN229" i="15"/>
  <c r="CO229" i="15"/>
  <c r="A230" i="15"/>
  <c r="B230" i="15"/>
  <c r="C230" i="15"/>
  <c r="D230" i="15"/>
  <c r="E230" i="15"/>
  <c r="F230" i="15"/>
  <c r="G230" i="15"/>
  <c r="H230" i="15"/>
  <c r="I230" i="15"/>
  <c r="J230" i="15"/>
  <c r="K230" i="15"/>
  <c r="L230" i="15"/>
  <c r="M230" i="15"/>
  <c r="N230" i="15"/>
  <c r="O230" i="15"/>
  <c r="P230" i="15"/>
  <c r="Q230" i="15"/>
  <c r="R230" i="15"/>
  <c r="S230" i="15"/>
  <c r="T230" i="15"/>
  <c r="U230" i="15"/>
  <c r="V230" i="15"/>
  <c r="W230" i="15"/>
  <c r="X230" i="15"/>
  <c r="Y230" i="15"/>
  <c r="Z230" i="15"/>
  <c r="AA230" i="15"/>
  <c r="AB230" i="15"/>
  <c r="AC230" i="15"/>
  <c r="AD230" i="15"/>
  <c r="AE230" i="15"/>
  <c r="AF230" i="15"/>
  <c r="AG230" i="15"/>
  <c r="AH230" i="15"/>
  <c r="AI230" i="15"/>
  <c r="AJ230" i="15"/>
  <c r="AK230" i="15"/>
  <c r="AL230" i="15"/>
  <c r="AM230" i="15"/>
  <c r="AN230" i="15"/>
  <c r="AO230" i="15"/>
  <c r="AP230" i="15"/>
  <c r="AQ230" i="15"/>
  <c r="AR230" i="15"/>
  <c r="AS230" i="15"/>
  <c r="AT230" i="15"/>
  <c r="AU230" i="15"/>
  <c r="AV230" i="15"/>
  <c r="AW230" i="15"/>
  <c r="AX230" i="15"/>
  <c r="AY230" i="15"/>
  <c r="AZ230" i="15"/>
  <c r="BA230" i="15"/>
  <c r="BB230" i="15"/>
  <c r="BC230" i="15"/>
  <c r="BD230" i="15"/>
  <c r="BE230" i="15"/>
  <c r="BF230" i="15"/>
  <c r="BG230" i="15"/>
  <c r="BH230" i="15"/>
  <c r="BI230" i="15"/>
  <c r="BJ230" i="15"/>
  <c r="BK230" i="15"/>
  <c r="BL230" i="15"/>
  <c r="BM230" i="15"/>
  <c r="BN230" i="15"/>
  <c r="BO230" i="15"/>
  <c r="BP230" i="15"/>
  <c r="BQ230" i="15"/>
  <c r="BR230" i="15"/>
  <c r="BS230" i="15"/>
  <c r="BT230" i="15"/>
  <c r="BU230" i="15"/>
  <c r="BV230" i="15"/>
  <c r="BW230" i="15"/>
  <c r="BX230" i="15"/>
  <c r="BY230" i="15"/>
  <c r="BZ230" i="15"/>
  <c r="CA230" i="15"/>
  <c r="CB230" i="15"/>
  <c r="CC230" i="15"/>
  <c r="CD230" i="15"/>
  <c r="CE230" i="15"/>
  <c r="CF230" i="15"/>
  <c r="CG230" i="15"/>
  <c r="CH230" i="15"/>
  <c r="CI230" i="15"/>
  <c r="CJ230" i="15"/>
  <c r="CK230" i="15"/>
  <c r="CL230" i="15"/>
  <c r="CM230" i="15"/>
  <c r="CN230" i="15"/>
  <c r="CO230" i="15"/>
  <c r="A231" i="15"/>
  <c r="B231" i="15"/>
  <c r="C231" i="15"/>
  <c r="D231" i="15"/>
  <c r="E231" i="15"/>
  <c r="F231" i="15"/>
  <c r="G231" i="15"/>
  <c r="H231" i="15"/>
  <c r="I231" i="15"/>
  <c r="J231" i="15"/>
  <c r="K231" i="15"/>
  <c r="L231" i="15"/>
  <c r="M231" i="15"/>
  <c r="N231" i="15"/>
  <c r="O231" i="15"/>
  <c r="P231" i="15"/>
  <c r="Q231" i="15"/>
  <c r="R231" i="15"/>
  <c r="S231" i="15"/>
  <c r="T231" i="15"/>
  <c r="U231" i="15"/>
  <c r="V231" i="15"/>
  <c r="W231" i="15"/>
  <c r="X231" i="15"/>
  <c r="Y231" i="15"/>
  <c r="Z231" i="15"/>
  <c r="AA231" i="15"/>
  <c r="AB231" i="15"/>
  <c r="AC231" i="15"/>
  <c r="AD231" i="15"/>
  <c r="AE231" i="15"/>
  <c r="AF231" i="15"/>
  <c r="AG231" i="15"/>
  <c r="AH231" i="15"/>
  <c r="AI231" i="15"/>
  <c r="AJ231" i="15"/>
  <c r="AK231" i="15"/>
  <c r="AL231" i="15"/>
  <c r="AM231" i="15"/>
  <c r="AN231" i="15"/>
  <c r="AO231" i="15"/>
  <c r="AP231" i="15"/>
  <c r="AQ231" i="15"/>
  <c r="AR231" i="15"/>
  <c r="AS231" i="15"/>
  <c r="AT231" i="15"/>
  <c r="AU231" i="15"/>
  <c r="AV231" i="15"/>
  <c r="AW231" i="15"/>
  <c r="AX231" i="15"/>
  <c r="AY231" i="15"/>
  <c r="AZ231" i="15"/>
  <c r="BA231" i="15"/>
  <c r="BB231" i="15"/>
  <c r="BC231" i="15"/>
  <c r="BD231" i="15"/>
  <c r="BE231" i="15"/>
  <c r="BF231" i="15"/>
  <c r="BG231" i="15"/>
  <c r="BH231" i="15"/>
  <c r="BI231" i="15"/>
  <c r="BJ231" i="15"/>
  <c r="BK231" i="15"/>
  <c r="BL231" i="15"/>
  <c r="BM231" i="15"/>
  <c r="BN231" i="15"/>
  <c r="BO231" i="15"/>
  <c r="BP231" i="15"/>
  <c r="BQ231" i="15"/>
  <c r="BR231" i="15"/>
  <c r="BS231" i="15"/>
  <c r="BT231" i="15"/>
  <c r="BU231" i="15"/>
  <c r="BV231" i="15"/>
  <c r="BW231" i="15"/>
  <c r="BX231" i="15"/>
  <c r="BY231" i="15"/>
  <c r="BZ231" i="15"/>
  <c r="CA231" i="15"/>
  <c r="CB231" i="15"/>
  <c r="CC231" i="15"/>
  <c r="CD231" i="15"/>
  <c r="CE231" i="15"/>
  <c r="CF231" i="15"/>
  <c r="CG231" i="15"/>
  <c r="CH231" i="15"/>
  <c r="CI231" i="15"/>
  <c r="CJ231" i="15"/>
  <c r="CK231" i="15"/>
  <c r="CL231" i="15"/>
  <c r="CM231" i="15"/>
  <c r="CN231" i="15"/>
  <c r="CO231" i="15"/>
  <c r="A232" i="15"/>
  <c r="B232" i="15"/>
  <c r="C232" i="15"/>
  <c r="D232" i="15"/>
  <c r="E232" i="15"/>
  <c r="F232" i="15"/>
  <c r="G232" i="15"/>
  <c r="H232" i="15"/>
  <c r="I232" i="15"/>
  <c r="J232" i="15"/>
  <c r="K232" i="15"/>
  <c r="L232" i="15"/>
  <c r="M232" i="15"/>
  <c r="N232" i="15"/>
  <c r="O232" i="15"/>
  <c r="P232" i="15"/>
  <c r="Q232" i="15"/>
  <c r="R232" i="15"/>
  <c r="S232" i="15"/>
  <c r="T232" i="15"/>
  <c r="U232" i="15"/>
  <c r="V232" i="15"/>
  <c r="W232" i="15"/>
  <c r="X232" i="15"/>
  <c r="Y232" i="15"/>
  <c r="Z232" i="15"/>
  <c r="AA232" i="15"/>
  <c r="AB232" i="15"/>
  <c r="AC232" i="15"/>
  <c r="AD232" i="15"/>
  <c r="AE232" i="15"/>
  <c r="AF232" i="15"/>
  <c r="AG232" i="15"/>
  <c r="AH232" i="15"/>
  <c r="AI232" i="15"/>
  <c r="AJ232" i="15"/>
  <c r="AK232" i="15"/>
  <c r="AL232" i="15"/>
  <c r="AM232" i="15"/>
  <c r="AN232" i="15"/>
  <c r="AO232" i="15"/>
  <c r="AP232" i="15"/>
  <c r="AQ232" i="15"/>
  <c r="AR232" i="15"/>
  <c r="AS232" i="15"/>
  <c r="AT232" i="15"/>
  <c r="AU232" i="15"/>
  <c r="AV232" i="15"/>
  <c r="AW232" i="15"/>
  <c r="AX232" i="15"/>
  <c r="AY232" i="15"/>
  <c r="AZ232" i="15"/>
  <c r="BA232" i="15"/>
  <c r="BB232" i="15"/>
  <c r="BC232" i="15"/>
  <c r="BD232" i="15"/>
  <c r="BE232" i="15"/>
  <c r="BF232" i="15"/>
  <c r="BG232" i="15"/>
  <c r="BH232" i="15"/>
  <c r="BI232" i="15"/>
  <c r="BJ232" i="15"/>
  <c r="BK232" i="15"/>
  <c r="BL232" i="15"/>
  <c r="BM232" i="15"/>
  <c r="BN232" i="15"/>
  <c r="BO232" i="15"/>
  <c r="BP232" i="15"/>
  <c r="BQ232" i="15"/>
  <c r="BR232" i="15"/>
  <c r="BS232" i="15"/>
  <c r="BT232" i="15"/>
  <c r="BU232" i="15"/>
  <c r="BV232" i="15"/>
  <c r="BW232" i="15"/>
  <c r="BX232" i="15"/>
  <c r="BY232" i="15"/>
  <c r="BZ232" i="15"/>
  <c r="CA232" i="15"/>
  <c r="CB232" i="15"/>
  <c r="CC232" i="15"/>
  <c r="CD232" i="15"/>
  <c r="CE232" i="15"/>
  <c r="CF232" i="15"/>
  <c r="CG232" i="15"/>
  <c r="CH232" i="15"/>
  <c r="CI232" i="15"/>
  <c r="CJ232" i="15"/>
  <c r="CK232" i="15"/>
  <c r="CL232" i="15"/>
  <c r="CM232" i="15"/>
  <c r="CN232" i="15"/>
  <c r="CO232" i="15"/>
  <c r="A233" i="15"/>
  <c r="B233" i="15"/>
  <c r="C233" i="15"/>
  <c r="D233" i="15"/>
  <c r="E233" i="15"/>
  <c r="F233" i="15"/>
  <c r="G233" i="15"/>
  <c r="H233" i="15"/>
  <c r="I233" i="15"/>
  <c r="J233" i="15"/>
  <c r="K233" i="15"/>
  <c r="L233" i="15"/>
  <c r="M233" i="15"/>
  <c r="N233" i="15"/>
  <c r="O233" i="15"/>
  <c r="P233" i="15"/>
  <c r="Q233" i="15"/>
  <c r="R233" i="15"/>
  <c r="S233" i="15"/>
  <c r="T233" i="15"/>
  <c r="U233" i="15"/>
  <c r="V233" i="15"/>
  <c r="W233" i="15"/>
  <c r="X233" i="15"/>
  <c r="Y233" i="15"/>
  <c r="Z233" i="15"/>
  <c r="AA233" i="15"/>
  <c r="AB233" i="15"/>
  <c r="AC233" i="15"/>
  <c r="AD233" i="15"/>
  <c r="AE233" i="15"/>
  <c r="AF233" i="15"/>
  <c r="AG233" i="15"/>
  <c r="AH233" i="15"/>
  <c r="AI233" i="15"/>
  <c r="AJ233" i="15"/>
  <c r="AK233" i="15"/>
  <c r="AL233" i="15"/>
  <c r="AM233" i="15"/>
  <c r="AN233" i="15"/>
  <c r="AO233" i="15"/>
  <c r="AP233" i="15"/>
  <c r="AQ233" i="15"/>
  <c r="AR233" i="15"/>
  <c r="AS233" i="15"/>
  <c r="AT233" i="15"/>
  <c r="AU233" i="15"/>
  <c r="AV233" i="15"/>
  <c r="AW233" i="15"/>
  <c r="AX233" i="15"/>
  <c r="AY233" i="15"/>
  <c r="AZ233" i="15"/>
  <c r="BA233" i="15"/>
  <c r="BB233" i="15"/>
  <c r="BC233" i="15"/>
  <c r="BD233" i="15"/>
  <c r="BE233" i="15"/>
  <c r="BF233" i="15"/>
  <c r="BG233" i="15"/>
  <c r="BH233" i="15"/>
  <c r="BI233" i="15"/>
  <c r="BJ233" i="15"/>
  <c r="BK233" i="15"/>
  <c r="BL233" i="15"/>
  <c r="BM233" i="15"/>
  <c r="BN233" i="15"/>
  <c r="BO233" i="15"/>
  <c r="BP233" i="15"/>
  <c r="BQ233" i="15"/>
  <c r="BR233" i="15"/>
  <c r="BS233" i="15"/>
  <c r="BT233" i="15"/>
  <c r="BU233" i="15"/>
  <c r="BV233" i="15"/>
  <c r="BW233" i="15"/>
  <c r="BX233" i="15"/>
  <c r="BY233" i="15"/>
  <c r="BZ233" i="15"/>
  <c r="CA233" i="15"/>
  <c r="CB233" i="15"/>
  <c r="CC233" i="15"/>
  <c r="CD233" i="15"/>
  <c r="CE233" i="15"/>
  <c r="CF233" i="15"/>
  <c r="CG233" i="15"/>
  <c r="CH233" i="15"/>
  <c r="CI233" i="15"/>
  <c r="CJ233" i="15"/>
  <c r="CK233" i="15"/>
  <c r="CL233" i="15"/>
  <c r="CM233" i="15"/>
  <c r="CN233" i="15"/>
  <c r="CO233" i="15"/>
  <c r="A234" i="15"/>
  <c r="B234" i="15"/>
  <c r="C234" i="15"/>
  <c r="D234" i="15"/>
  <c r="E234" i="15"/>
  <c r="F234" i="15"/>
  <c r="G234" i="15"/>
  <c r="H234" i="15"/>
  <c r="I234" i="15"/>
  <c r="J234" i="15"/>
  <c r="K234" i="15"/>
  <c r="L234" i="15"/>
  <c r="M234" i="15"/>
  <c r="N234" i="15"/>
  <c r="O234" i="15"/>
  <c r="P234" i="15"/>
  <c r="Q234" i="15"/>
  <c r="R234" i="15"/>
  <c r="S234" i="15"/>
  <c r="T234" i="15"/>
  <c r="U234" i="15"/>
  <c r="V234" i="15"/>
  <c r="W234" i="15"/>
  <c r="X234" i="15"/>
  <c r="Y234" i="15"/>
  <c r="Z234" i="15"/>
  <c r="AA234" i="15"/>
  <c r="AB234" i="15"/>
  <c r="AC234" i="15"/>
  <c r="AD234" i="15"/>
  <c r="AE234" i="15"/>
  <c r="AF234" i="15"/>
  <c r="AG234" i="15"/>
  <c r="AH234" i="15"/>
  <c r="AI234" i="15"/>
  <c r="AJ234" i="15"/>
  <c r="AK234" i="15"/>
  <c r="AL234" i="15"/>
  <c r="AM234" i="15"/>
  <c r="AN234" i="15"/>
  <c r="AO234" i="15"/>
  <c r="AP234" i="15"/>
  <c r="AQ234" i="15"/>
  <c r="AR234" i="15"/>
  <c r="AS234" i="15"/>
  <c r="AT234" i="15"/>
  <c r="AU234" i="15"/>
  <c r="AV234" i="15"/>
  <c r="AW234" i="15"/>
  <c r="AX234" i="15"/>
  <c r="AY234" i="15"/>
  <c r="AZ234" i="15"/>
  <c r="BA234" i="15"/>
  <c r="BB234" i="15"/>
  <c r="BC234" i="15"/>
  <c r="BD234" i="15"/>
  <c r="BE234" i="15"/>
  <c r="BF234" i="15"/>
  <c r="BG234" i="15"/>
  <c r="BH234" i="15"/>
  <c r="BI234" i="15"/>
  <c r="BJ234" i="15"/>
  <c r="BK234" i="15"/>
  <c r="BL234" i="15"/>
  <c r="BM234" i="15"/>
  <c r="BN234" i="15"/>
  <c r="BO234" i="15"/>
  <c r="BP234" i="15"/>
  <c r="BQ234" i="15"/>
  <c r="BR234" i="15"/>
  <c r="BS234" i="15"/>
  <c r="BT234" i="15"/>
  <c r="BU234" i="15"/>
  <c r="BV234" i="15"/>
  <c r="BW234" i="15"/>
  <c r="BX234" i="15"/>
  <c r="BY234" i="15"/>
  <c r="BZ234" i="15"/>
  <c r="CA234" i="15"/>
  <c r="CB234" i="15"/>
  <c r="CC234" i="15"/>
  <c r="CD234" i="15"/>
  <c r="CE234" i="15"/>
  <c r="CF234" i="15"/>
  <c r="CG234" i="15"/>
  <c r="CH234" i="15"/>
  <c r="CI234" i="15"/>
  <c r="CJ234" i="15"/>
  <c r="CK234" i="15"/>
  <c r="CL234" i="15"/>
  <c r="CM234" i="15"/>
  <c r="CN234" i="15"/>
  <c r="CO234" i="15"/>
  <c r="A235" i="15"/>
  <c r="B235" i="15"/>
  <c r="C235" i="15"/>
  <c r="D235" i="15"/>
  <c r="E235" i="15"/>
  <c r="F235" i="15"/>
  <c r="G235" i="15"/>
  <c r="H235" i="15"/>
  <c r="I235" i="15"/>
  <c r="J235" i="15"/>
  <c r="K235" i="15"/>
  <c r="L235" i="15"/>
  <c r="M235" i="15"/>
  <c r="N235" i="15"/>
  <c r="O235" i="15"/>
  <c r="P235" i="15"/>
  <c r="Q235" i="15"/>
  <c r="R235" i="15"/>
  <c r="S235" i="15"/>
  <c r="T235" i="15"/>
  <c r="U235" i="15"/>
  <c r="V235" i="15"/>
  <c r="W235" i="15"/>
  <c r="X235" i="15"/>
  <c r="Y235" i="15"/>
  <c r="Z235" i="15"/>
  <c r="AA235" i="15"/>
  <c r="AB235" i="15"/>
  <c r="AC235" i="15"/>
  <c r="AD235" i="15"/>
  <c r="AE235" i="15"/>
  <c r="AF235" i="15"/>
  <c r="AG235" i="15"/>
  <c r="AH235" i="15"/>
  <c r="AI235" i="15"/>
  <c r="AJ235" i="15"/>
  <c r="AK235" i="15"/>
  <c r="AL235" i="15"/>
  <c r="AM235" i="15"/>
  <c r="AN235" i="15"/>
  <c r="AO235" i="15"/>
  <c r="AP235" i="15"/>
  <c r="AQ235" i="15"/>
  <c r="AR235" i="15"/>
  <c r="AS235" i="15"/>
  <c r="AT235" i="15"/>
  <c r="AU235" i="15"/>
  <c r="AV235" i="15"/>
  <c r="AW235" i="15"/>
  <c r="AX235" i="15"/>
  <c r="AY235" i="15"/>
  <c r="AZ235" i="15"/>
  <c r="BA235" i="15"/>
  <c r="BB235" i="15"/>
  <c r="BC235" i="15"/>
  <c r="BD235" i="15"/>
  <c r="BE235" i="15"/>
  <c r="BF235" i="15"/>
  <c r="BG235" i="15"/>
  <c r="BH235" i="15"/>
  <c r="BI235" i="15"/>
  <c r="BJ235" i="15"/>
  <c r="BK235" i="15"/>
  <c r="BL235" i="15"/>
  <c r="BM235" i="15"/>
  <c r="BN235" i="15"/>
  <c r="BO235" i="15"/>
  <c r="BP235" i="15"/>
  <c r="BQ235" i="15"/>
  <c r="BR235" i="15"/>
  <c r="BS235" i="15"/>
  <c r="BT235" i="15"/>
  <c r="BU235" i="15"/>
  <c r="BV235" i="15"/>
  <c r="BW235" i="15"/>
  <c r="BX235" i="15"/>
  <c r="BY235" i="15"/>
  <c r="BZ235" i="15"/>
  <c r="CA235" i="15"/>
  <c r="CB235" i="15"/>
  <c r="CC235" i="15"/>
  <c r="CD235" i="15"/>
  <c r="CE235" i="15"/>
  <c r="CF235" i="15"/>
  <c r="CG235" i="15"/>
  <c r="CH235" i="15"/>
  <c r="CI235" i="15"/>
  <c r="CJ235" i="15"/>
  <c r="CK235" i="15"/>
  <c r="CL235" i="15"/>
  <c r="CM235" i="15"/>
  <c r="CN235" i="15"/>
  <c r="CO235" i="15"/>
  <c r="A236" i="15"/>
  <c r="B236" i="15"/>
  <c r="C236" i="15"/>
  <c r="D236" i="15"/>
  <c r="E236" i="15"/>
  <c r="F236" i="15"/>
  <c r="G236" i="15"/>
  <c r="H236" i="15"/>
  <c r="I236" i="15"/>
  <c r="J236" i="15"/>
  <c r="K236" i="15"/>
  <c r="L236" i="15"/>
  <c r="M236" i="15"/>
  <c r="N236" i="15"/>
  <c r="O236" i="15"/>
  <c r="P236" i="15"/>
  <c r="Q236" i="15"/>
  <c r="R236" i="15"/>
  <c r="S236" i="15"/>
  <c r="T236" i="15"/>
  <c r="U236" i="15"/>
  <c r="V236" i="15"/>
  <c r="W236" i="15"/>
  <c r="X236" i="15"/>
  <c r="Y236" i="15"/>
  <c r="Z236" i="15"/>
  <c r="AA236" i="15"/>
  <c r="AB236" i="15"/>
  <c r="AC236" i="15"/>
  <c r="AD236" i="15"/>
  <c r="AE236" i="15"/>
  <c r="AF236" i="15"/>
  <c r="AG236" i="15"/>
  <c r="AH236" i="15"/>
  <c r="AI236" i="15"/>
  <c r="AJ236" i="15"/>
  <c r="AK236" i="15"/>
  <c r="AL236" i="15"/>
  <c r="AM236" i="15"/>
  <c r="AN236" i="15"/>
  <c r="AO236" i="15"/>
  <c r="AP236" i="15"/>
  <c r="AQ236" i="15"/>
  <c r="AR236" i="15"/>
  <c r="AS236" i="15"/>
  <c r="AT236" i="15"/>
  <c r="AU236" i="15"/>
  <c r="AV236" i="15"/>
  <c r="AW236" i="15"/>
  <c r="AX236" i="15"/>
  <c r="AY236" i="15"/>
  <c r="AZ236" i="15"/>
  <c r="BA236" i="15"/>
  <c r="BB236" i="15"/>
  <c r="BC236" i="15"/>
  <c r="BD236" i="15"/>
  <c r="BE236" i="15"/>
  <c r="BF236" i="15"/>
  <c r="BG236" i="15"/>
  <c r="BH236" i="15"/>
  <c r="BI236" i="15"/>
  <c r="BJ236" i="15"/>
  <c r="BK236" i="15"/>
  <c r="BL236" i="15"/>
  <c r="BM236" i="15"/>
  <c r="BN236" i="15"/>
  <c r="BO236" i="15"/>
  <c r="BP236" i="15"/>
  <c r="BQ236" i="15"/>
  <c r="BR236" i="15"/>
  <c r="BS236" i="15"/>
  <c r="BT236" i="15"/>
  <c r="BU236" i="15"/>
  <c r="BV236" i="15"/>
  <c r="BW236" i="15"/>
  <c r="BX236" i="15"/>
  <c r="BY236" i="15"/>
  <c r="BZ236" i="15"/>
  <c r="CA236" i="15"/>
  <c r="CB236" i="15"/>
  <c r="CC236" i="15"/>
  <c r="CD236" i="15"/>
  <c r="CE236" i="15"/>
  <c r="CF236" i="15"/>
  <c r="CG236" i="15"/>
  <c r="CH236" i="15"/>
  <c r="CI236" i="15"/>
  <c r="CJ236" i="15"/>
  <c r="CK236" i="15"/>
  <c r="CL236" i="15"/>
  <c r="CM236" i="15"/>
  <c r="CN236" i="15"/>
  <c r="CO236" i="15"/>
  <c r="A237" i="15"/>
  <c r="B237" i="15"/>
  <c r="C237" i="15"/>
  <c r="D237" i="15"/>
  <c r="E237" i="15"/>
  <c r="F237" i="15"/>
  <c r="G237" i="15"/>
  <c r="H237" i="15"/>
  <c r="I237" i="15"/>
  <c r="J237" i="15"/>
  <c r="K237" i="15"/>
  <c r="L237" i="15"/>
  <c r="M237" i="15"/>
  <c r="N237" i="15"/>
  <c r="O237" i="15"/>
  <c r="P237" i="15"/>
  <c r="Q237" i="15"/>
  <c r="R237" i="15"/>
  <c r="S237" i="15"/>
  <c r="T237" i="15"/>
  <c r="U237" i="15"/>
  <c r="V237" i="15"/>
  <c r="W237" i="15"/>
  <c r="X237" i="15"/>
  <c r="Y237" i="15"/>
  <c r="Z237" i="15"/>
  <c r="AA237" i="15"/>
  <c r="AB237" i="15"/>
  <c r="AC237" i="15"/>
  <c r="AD237" i="15"/>
  <c r="AE237" i="15"/>
  <c r="AF237" i="15"/>
  <c r="AG237" i="15"/>
  <c r="AH237" i="15"/>
  <c r="AI237" i="15"/>
  <c r="AJ237" i="15"/>
  <c r="AK237" i="15"/>
  <c r="AL237" i="15"/>
  <c r="AM237" i="15"/>
  <c r="AN237" i="15"/>
  <c r="AO237" i="15"/>
  <c r="AP237" i="15"/>
  <c r="AQ237" i="15"/>
  <c r="AR237" i="15"/>
  <c r="AS237" i="15"/>
  <c r="AT237" i="15"/>
  <c r="AU237" i="15"/>
  <c r="AV237" i="15"/>
  <c r="AW237" i="15"/>
  <c r="AX237" i="15"/>
  <c r="AY237" i="15"/>
  <c r="AZ237" i="15"/>
  <c r="BA237" i="15"/>
  <c r="BB237" i="15"/>
  <c r="BC237" i="15"/>
  <c r="BD237" i="15"/>
  <c r="BE237" i="15"/>
  <c r="BF237" i="15"/>
  <c r="BG237" i="15"/>
  <c r="BH237" i="15"/>
  <c r="BI237" i="15"/>
  <c r="BJ237" i="15"/>
  <c r="BK237" i="15"/>
  <c r="BL237" i="15"/>
  <c r="BM237" i="15"/>
  <c r="BN237" i="15"/>
  <c r="BO237" i="15"/>
  <c r="BP237" i="15"/>
  <c r="BQ237" i="15"/>
  <c r="BR237" i="15"/>
  <c r="BS237" i="15"/>
  <c r="BT237" i="15"/>
  <c r="BU237" i="15"/>
  <c r="BV237" i="15"/>
  <c r="BW237" i="15"/>
  <c r="BX237" i="15"/>
  <c r="BY237" i="15"/>
  <c r="BZ237" i="15"/>
  <c r="CA237" i="15"/>
  <c r="CB237" i="15"/>
  <c r="CC237" i="15"/>
  <c r="CD237" i="15"/>
  <c r="CE237" i="15"/>
  <c r="CF237" i="15"/>
  <c r="CG237" i="15"/>
  <c r="CH237" i="15"/>
  <c r="CI237" i="15"/>
  <c r="CJ237" i="15"/>
  <c r="CK237" i="15"/>
  <c r="CL237" i="15"/>
  <c r="CM237" i="15"/>
  <c r="CN237" i="15"/>
  <c r="CO237" i="15"/>
  <c r="A238" i="15"/>
  <c r="B238" i="15"/>
  <c r="C238" i="15"/>
  <c r="D238" i="15"/>
  <c r="E238" i="15"/>
  <c r="F238" i="15"/>
  <c r="G238" i="15"/>
  <c r="H238" i="15"/>
  <c r="I238" i="15"/>
  <c r="J238" i="15"/>
  <c r="K238" i="15"/>
  <c r="L238" i="15"/>
  <c r="M238" i="15"/>
  <c r="N238" i="15"/>
  <c r="O238" i="15"/>
  <c r="P238" i="15"/>
  <c r="Q238" i="15"/>
  <c r="R238" i="15"/>
  <c r="S238" i="15"/>
  <c r="T238" i="15"/>
  <c r="U238" i="15"/>
  <c r="V238" i="15"/>
  <c r="W238" i="15"/>
  <c r="X238" i="15"/>
  <c r="Y238" i="15"/>
  <c r="Z238" i="15"/>
  <c r="AA238" i="15"/>
  <c r="AB238" i="15"/>
  <c r="AC238" i="15"/>
  <c r="AD238" i="15"/>
  <c r="AE238" i="15"/>
  <c r="AF238" i="15"/>
  <c r="AG238" i="15"/>
  <c r="AH238" i="15"/>
  <c r="AI238" i="15"/>
  <c r="AJ238" i="15"/>
  <c r="AK238" i="15"/>
  <c r="AL238" i="15"/>
  <c r="AM238" i="15"/>
  <c r="AN238" i="15"/>
  <c r="AO238" i="15"/>
  <c r="AP238" i="15"/>
  <c r="AQ238" i="15"/>
  <c r="AR238" i="15"/>
  <c r="AS238" i="15"/>
  <c r="AT238" i="15"/>
  <c r="AU238" i="15"/>
  <c r="AV238" i="15"/>
  <c r="AW238" i="15"/>
  <c r="AX238" i="15"/>
  <c r="AY238" i="15"/>
  <c r="AZ238" i="15"/>
  <c r="BA238" i="15"/>
  <c r="BB238" i="15"/>
  <c r="BC238" i="15"/>
  <c r="BD238" i="15"/>
  <c r="BE238" i="15"/>
  <c r="BF238" i="15"/>
  <c r="BG238" i="15"/>
  <c r="BH238" i="15"/>
  <c r="BI238" i="15"/>
  <c r="BJ238" i="15"/>
  <c r="BK238" i="15"/>
  <c r="BL238" i="15"/>
  <c r="BM238" i="15"/>
  <c r="BN238" i="15"/>
  <c r="BO238" i="15"/>
  <c r="BP238" i="15"/>
  <c r="BQ238" i="15"/>
  <c r="BR238" i="15"/>
  <c r="BS238" i="15"/>
  <c r="BT238" i="15"/>
  <c r="BU238" i="15"/>
  <c r="BV238" i="15"/>
  <c r="BW238" i="15"/>
  <c r="BX238" i="15"/>
  <c r="BY238" i="15"/>
  <c r="BZ238" i="15"/>
  <c r="CA238" i="15"/>
  <c r="CB238" i="15"/>
  <c r="CC238" i="15"/>
  <c r="CD238" i="15"/>
  <c r="CE238" i="15"/>
  <c r="CF238" i="15"/>
  <c r="CG238" i="15"/>
  <c r="CH238" i="15"/>
  <c r="CI238" i="15"/>
  <c r="CJ238" i="15"/>
  <c r="CK238" i="15"/>
  <c r="CL238" i="15"/>
  <c r="CM238" i="15"/>
  <c r="CN238" i="15"/>
  <c r="CO238" i="15"/>
  <c r="A239" i="15"/>
  <c r="B239" i="15"/>
  <c r="C239" i="15"/>
  <c r="D239" i="15"/>
  <c r="E239" i="15"/>
  <c r="F239" i="15"/>
  <c r="G239" i="15"/>
  <c r="H239" i="15"/>
  <c r="I239" i="15"/>
  <c r="J239" i="15"/>
  <c r="K239" i="15"/>
  <c r="L239" i="15"/>
  <c r="M239" i="15"/>
  <c r="N239" i="15"/>
  <c r="O239" i="15"/>
  <c r="P239" i="15"/>
  <c r="Q239" i="15"/>
  <c r="R239" i="15"/>
  <c r="S239" i="15"/>
  <c r="T239" i="15"/>
  <c r="U239" i="15"/>
  <c r="V239" i="15"/>
  <c r="W239" i="15"/>
  <c r="X239" i="15"/>
  <c r="Y239" i="15"/>
  <c r="Z239" i="15"/>
  <c r="AA239" i="15"/>
  <c r="AB239" i="15"/>
  <c r="AC239" i="15"/>
  <c r="AD239" i="15"/>
  <c r="AE239" i="15"/>
  <c r="AF239" i="15"/>
  <c r="AG239" i="15"/>
  <c r="AH239" i="15"/>
  <c r="AI239" i="15"/>
  <c r="AJ239" i="15"/>
  <c r="AK239" i="15"/>
  <c r="AL239" i="15"/>
  <c r="AM239" i="15"/>
  <c r="AN239" i="15"/>
  <c r="AO239" i="15"/>
  <c r="AP239" i="15"/>
  <c r="AQ239" i="15"/>
  <c r="AR239" i="15"/>
  <c r="AS239" i="15"/>
  <c r="AT239" i="15"/>
  <c r="AU239" i="15"/>
  <c r="AV239" i="15"/>
  <c r="AW239" i="15"/>
  <c r="AX239" i="15"/>
  <c r="AY239" i="15"/>
  <c r="AZ239" i="15"/>
  <c r="BA239" i="15"/>
  <c r="BB239" i="15"/>
  <c r="BC239" i="15"/>
  <c r="BD239" i="15"/>
  <c r="BE239" i="15"/>
  <c r="BF239" i="15"/>
  <c r="BG239" i="15"/>
  <c r="BH239" i="15"/>
  <c r="BI239" i="15"/>
  <c r="BJ239" i="15"/>
  <c r="BK239" i="15"/>
  <c r="BL239" i="15"/>
  <c r="BM239" i="15"/>
  <c r="BN239" i="15"/>
  <c r="BO239" i="15"/>
  <c r="BP239" i="15"/>
  <c r="BQ239" i="15"/>
  <c r="BR239" i="15"/>
  <c r="BS239" i="15"/>
  <c r="BT239" i="15"/>
  <c r="BU239" i="15"/>
  <c r="BV239" i="15"/>
  <c r="BW239" i="15"/>
  <c r="BX239" i="15"/>
  <c r="BY239" i="15"/>
  <c r="BZ239" i="15"/>
  <c r="CA239" i="15"/>
  <c r="CB239" i="15"/>
  <c r="CC239" i="15"/>
  <c r="CD239" i="15"/>
  <c r="CE239" i="15"/>
  <c r="CF239" i="15"/>
  <c r="CG239" i="15"/>
  <c r="CH239" i="15"/>
  <c r="CI239" i="15"/>
  <c r="CJ239" i="15"/>
  <c r="CK239" i="15"/>
  <c r="CL239" i="15"/>
  <c r="CM239" i="15"/>
  <c r="CN239" i="15"/>
  <c r="CO239" i="15"/>
  <c r="A240" i="15"/>
  <c r="B240" i="15"/>
  <c r="C240" i="15"/>
  <c r="D240" i="15"/>
  <c r="E240" i="15"/>
  <c r="F240" i="15"/>
  <c r="G240" i="15"/>
  <c r="H240" i="15"/>
  <c r="I240" i="15"/>
  <c r="J240" i="15"/>
  <c r="K240" i="15"/>
  <c r="L240" i="15"/>
  <c r="M240" i="15"/>
  <c r="N240" i="15"/>
  <c r="O240" i="15"/>
  <c r="P240" i="15"/>
  <c r="Q240" i="15"/>
  <c r="R240" i="15"/>
  <c r="S240" i="15"/>
  <c r="T240" i="15"/>
  <c r="U240" i="15"/>
  <c r="V240" i="15"/>
  <c r="W240" i="15"/>
  <c r="X240" i="15"/>
  <c r="Y240" i="15"/>
  <c r="Z240" i="15"/>
  <c r="AA240" i="15"/>
  <c r="AB240" i="15"/>
  <c r="AC240" i="15"/>
  <c r="AD240" i="15"/>
  <c r="AE240" i="15"/>
  <c r="AF240" i="15"/>
  <c r="AG240" i="15"/>
  <c r="AH240" i="15"/>
  <c r="AI240" i="15"/>
  <c r="AJ240" i="15"/>
  <c r="AK240" i="15"/>
  <c r="AL240" i="15"/>
  <c r="AM240" i="15"/>
  <c r="AN240" i="15"/>
  <c r="AO240" i="15"/>
  <c r="AP240" i="15"/>
  <c r="AQ240" i="15"/>
  <c r="AR240" i="15"/>
  <c r="AS240" i="15"/>
  <c r="AT240" i="15"/>
  <c r="AU240" i="15"/>
  <c r="AV240" i="15"/>
  <c r="AW240" i="15"/>
  <c r="AX240" i="15"/>
  <c r="AY240" i="15"/>
  <c r="AZ240" i="15"/>
  <c r="BA240" i="15"/>
  <c r="BB240" i="15"/>
  <c r="BC240" i="15"/>
  <c r="BD240" i="15"/>
  <c r="BE240" i="15"/>
  <c r="BF240" i="15"/>
  <c r="BG240" i="15"/>
  <c r="BH240" i="15"/>
  <c r="BI240" i="15"/>
  <c r="BJ240" i="15"/>
  <c r="BK240" i="15"/>
  <c r="BL240" i="15"/>
  <c r="BM240" i="15"/>
  <c r="BN240" i="15"/>
  <c r="BO240" i="15"/>
  <c r="BP240" i="15"/>
  <c r="BQ240" i="15"/>
  <c r="BR240" i="15"/>
  <c r="BS240" i="15"/>
  <c r="BT240" i="15"/>
  <c r="BU240" i="15"/>
  <c r="BV240" i="15"/>
  <c r="BW240" i="15"/>
  <c r="BX240" i="15"/>
  <c r="BY240" i="15"/>
  <c r="BZ240" i="15"/>
  <c r="CA240" i="15"/>
  <c r="CB240" i="15"/>
  <c r="CC240" i="15"/>
  <c r="CD240" i="15"/>
  <c r="CE240" i="15"/>
  <c r="CF240" i="15"/>
  <c r="CG240" i="15"/>
  <c r="CH240" i="15"/>
  <c r="CI240" i="15"/>
  <c r="CJ240" i="15"/>
  <c r="CK240" i="15"/>
  <c r="CL240" i="15"/>
  <c r="CM240" i="15"/>
  <c r="CN240" i="15"/>
  <c r="CO240" i="15"/>
  <c r="A241" i="15"/>
  <c r="B241" i="15"/>
  <c r="C241" i="15"/>
  <c r="D241" i="15"/>
  <c r="E241" i="15"/>
  <c r="F241" i="15"/>
  <c r="G241" i="15"/>
  <c r="H241" i="15"/>
  <c r="I241" i="15"/>
  <c r="J241" i="15"/>
  <c r="K241" i="15"/>
  <c r="L241" i="15"/>
  <c r="M241" i="15"/>
  <c r="N241" i="15"/>
  <c r="O241" i="15"/>
  <c r="P241" i="15"/>
  <c r="Q241" i="15"/>
  <c r="R241" i="15"/>
  <c r="S241" i="15"/>
  <c r="T241" i="15"/>
  <c r="U241" i="15"/>
  <c r="V241" i="15"/>
  <c r="W241" i="15"/>
  <c r="X241" i="15"/>
  <c r="Y241" i="15"/>
  <c r="Z241" i="15"/>
  <c r="AA241" i="15"/>
  <c r="AB241" i="15"/>
  <c r="AC241" i="15"/>
  <c r="AD241" i="15"/>
  <c r="AE241" i="15"/>
  <c r="AF241" i="15"/>
  <c r="AG241" i="15"/>
  <c r="AH241" i="15"/>
  <c r="AI241" i="15"/>
  <c r="AJ241" i="15"/>
  <c r="AK241" i="15"/>
  <c r="AL241" i="15"/>
  <c r="AM241" i="15"/>
  <c r="AN241" i="15"/>
  <c r="AO241" i="15"/>
  <c r="AP241" i="15"/>
  <c r="AQ241" i="15"/>
  <c r="AR241" i="15"/>
  <c r="AS241" i="15"/>
  <c r="AT241" i="15"/>
  <c r="AU241" i="15"/>
  <c r="AV241" i="15"/>
  <c r="AW241" i="15"/>
  <c r="AX241" i="15"/>
  <c r="AY241" i="15"/>
  <c r="AZ241" i="15"/>
  <c r="BA241" i="15"/>
  <c r="BB241" i="15"/>
  <c r="BC241" i="15"/>
  <c r="BD241" i="15"/>
  <c r="BE241" i="15"/>
  <c r="BF241" i="15"/>
  <c r="BG241" i="15"/>
  <c r="BH241" i="15"/>
  <c r="BI241" i="15"/>
  <c r="BJ241" i="15"/>
  <c r="BK241" i="15"/>
  <c r="BL241" i="15"/>
  <c r="BM241" i="15"/>
  <c r="BN241" i="15"/>
  <c r="BO241" i="15"/>
  <c r="BP241" i="15"/>
  <c r="BQ241" i="15"/>
  <c r="BR241" i="15"/>
  <c r="BS241" i="15"/>
  <c r="BT241" i="15"/>
  <c r="BU241" i="15"/>
  <c r="BV241" i="15"/>
  <c r="BW241" i="15"/>
  <c r="BX241" i="15"/>
  <c r="BY241" i="15"/>
  <c r="BZ241" i="15"/>
  <c r="CA241" i="15"/>
  <c r="CB241" i="15"/>
  <c r="CC241" i="15"/>
  <c r="CD241" i="15"/>
  <c r="CE241" i="15"/>
  <c r="CF241" i="15"/>
  <c r="CG241" i="15"/>
  <c r="CH241" i="15"/>
  <c r="CI241" i="15"/>
  <c r="CJ241" i="15"/>
  <c r="CK241" i="15"/>
  <c r="CL241" i="15"/>
  <c r="CM241" i="15"/>
  <c r="CN241" i="15"/>
  <c r="CO241" i="15"/>
  <c r="A242" i="15"/>
  <c r="B242" i="15"/>
  <c r="C242" i="15"/>
  <c r="D242" i="15"/>
  <c r="E242" i="15"/>
  <c r="F242" i="15"/>
  <c r="G242" i="15"/>
  <c r="H242" i="15"/>
  <c r="I242" i="15"/>
  <c r="J242" i="15"/>
  <c r="K242" i="15"/>
  <c r="L242" i="15"/>
  <c r="M242" i="15"/>
  <c r="N242" i="15"/>
  <c r="O242" i="15"/>
  <c r="P242" i="15"/>
  <c r="Q242" i="15"/>
  <c r="R242" i="15"/>
  <c r="S242" i="15"/>
  <c r="T242" i="15"/>
  <c r="U242" i="15"/>
  <c r="V242" i="15"/>
  <c r="W242" i="15"/>
  <c r="X242" i="15"/>
  <c r="Y242" i="15"/>
  <c r="Z242" i="15"/>
  <c r="AA242" i="15"/>
  <c r="AB242" i="15"/>
  <c r="AC242" i="15"/>
  <c r="AD242" i="15"/>
  <c r="AE242" i="15"/>
  <c r="AF242" i="15"/>
  <c r="AG242" i="15"/>
  <c r="AH242" i="15"/>
  <c r="AI242" i="15"/>
  <c r="AJ242" i="15"/>
  <c r="AK242" i="15"/>
  <c r="AL242" i="15"/>
  <c r="AM242" i="15"/>
  <c r="AN242" i="15"/>
  <c r="AO242" i="15"/>
  <c r="AP242" i="15"/>
  <c r="AQ242" i="15"/>
  <c r="AR242" i="15"/>
  <c r="AS242" i="15"/>
  <c r="AT242" i="15"/>
  <c r="AU242" i="15"/>
  <c r="AV242" i="15"/>
  <c r="AW242" i="15"/>
  <c r="AX242" i="15"/>
  <c r="AY242" i="15"/>
  <c r="AZ242" i="15"/>
  <c r="BA242" i="15"/>
  <c r="BB242" i="15"/>
  <c r="BC242" i="15"/>
  <c r="BD242" i="15"/>
  <c r="BE242" i="15"/>
  <c r="BF242" i="15"/>
  <c r="BG242" i="15"/>
  <c r="BH242" i="15"/>
  <c r="BI242" i="15"/>
  <c r="BJ242" i="15"/>
  <c r="BK242" i="15"/>
  <c r="BL242" i="15"/>
  <c r="BM242" i="15"/>
  <c r="BN242" i="15"/>
  <c r="BO242" i="15"/>
  <c r="BP242" i="15"/>
  <c r="BQ242" i="15"/>
  <c r="BR242" i="15"/>
  <c r="BS242" i="15"/>
  <c r="BT242" i="15"/>
  <c r="BU242" i="15"/>
  <c r="BV242" i="15"/>
  <c r="BW242" i="15"/>
  <c r="BX242" i="15"/>
  <c r="BY242" i="15"/>
  <c r="BZ242" i="15"/>
  <c r="CA242" i="15"/>
  <c r="CB242" i="15"/>
  <c r="CC242" i="15"/>
  <c r="CD242" i="15"/>
  <c r="CE242" i="15"/>
  <c r="CF242" i="15"/>
  <c r="CG242" i="15"/>
  <c r="CH242" i="15"/>
  <c r="CI242" i="15"/>
  <c r="CJ242" i="15"/>
  <c r="CK242" i="15"/>
  <c r="CL242" i="15"/>
  <c r="CM242" i="15"/>
  <c r="CN242" i="15"/>
  <c r="CO242" i="15"/>
  <c r="A243" i="15"/>
  <c r="B243" i="15"/>
  <c r="C243" i="15"/>
  <c r="D243" i="15"/>
  <c r="E243" i="15"/>
  <c r="F243" i="15"/>
  <c r="G243" i="15"/>
  <c r="H243" i="15"/>
  <c r="I243" i="15"/>
  <c r="J243" i="15"/>
  <c r="K243" i="15"/>
  <c r="L243" i="15"/>
  <c r="M243" i="15"/>
  <c r="N243" i="15"/>
  <c r="O243" i="15"/>
  <c r="P243" i="15"/>
  <c r="Q243" i="15"/>
  <c r="R243" i="15"/>
  <c r="S243" i="15"/>
  <c r="T243" i="15"/>
  <c r="U243" i="15"/>
  <c r="V243" i="15"/>
  <c r="W243" i="15"/>
  <c r="X243" i="15"/>
  <c r="Y243" i="15"/>
  <c r="Z243" i="15"/>
  <c r="AA243" i="15"/>
  <c r="AB243" i="15"/>
  <c r="AC243" i="15"/>
  <c r="AD243" i="15"/>
  <c r="AE243" i="15"/>
  <c r="AF243" i="15"/>
  <c r="AG243" i="15"/>
  <c r="AH243" i="15"/>
  <c r="AI243" i="15"/>
  <c r="AJ243" i="15"/>
  <c r="AK243" i="15"/>
  <c r="AL243" i="15"/>
  <c r="AM243" i="15"/>
  <c r="AN243" i="15"/>
  <c r="AO243" i="15"/>
  <c r="AP243" i="15"/>
  <c r="AQ243" i="15"/>
  <c r="AR243" i="15"/>
  <c r="AS243" i="15"/>
  <c r="AT243" i="15"/>
  <c r="AU243" i="15"/>
  <c r="AV243" i="15"/>
  <c r="AW243" i="15"/>
  <c r="AX243" i="15"/>
  <c r="AY243" i="15"/>
  <c r="AZ243" i="15"/>
  <c r="BA243" i="15"/>
  <c r="BB243" i="15"/>
  <c r="BC243" i="15"/>
  <c r="BD243" i="15"/>
  <c r="BE243" i="15"/>
  <c r="BF243" i="15"/>
  <c r="BG243" i="15"/>
  <c r="BH243" i="15"/>
  <c r="BI243" i="15"/>
  <c r="BJ243" i="15"/>
  <c r="BK243" i="15"/>
  <c r="BL243" i="15"/>
  <c r="BM243" i="15"/>
  <c r="BN243" i="15"/>
  <c r="BO243" i="15"/>
  <c r="BP243" i="15"/>
  <c r="BQ243" i="15"/>
  <c r="BR243" i="15"/>
  <c r="BS243" i="15"/>
  <c r="BT243" i="15"/>
  <c r="BU243" i="15"/>
  <c r="BV243" i="15"/>
  <c r="BW243" i="15"/>
  <c r="BX243" i="15"/>
  <c r="BY243" i="15"/>
  <c r="BZ243" i="15"/>
  <c r="CA243" i="15"/>
  <c r="CB243" i="15"/>
  <c r="CC243" i="15"/>
  <c r="CD243" i="15"/>
  <c r="CE243" i="15"/>
  <c r="CF243" i="15"/>
  <c r="CG243" i="15"/>
  <c r="CH243" i="15"/>
  <c r="CI243" i="15"/>
  <c r="CJ243" i="15"/>
  <c r="CK243" i="15"/>
  <c r="CL243" i="15"/>
  <c r="CM243" i="15"/>
  <c r="CN243" i="15"/>
  <c r="CO243" i="15"/>
  <c r="A244" i="15"/>
  <c r="B244" i="15"/>
  <c r="C244" i="15"/>
  <c r="D244" i="15"/>
  <c r="E244" i="15"/>
  <c r="F244" i="15"/>
  <c r="G244" i="15"/>
  <c r="H244" i="15"/>
  <c r="I244" i="15"/>
  <c r="J244" i="15"/>
  <c r="K244" i="15"/>
  <c r="L244" i="15"/>
  <c r="M244" i="15"/>
  <c r="N244" i="15"/>
  <c r="O244" i="15"/>
  <c r="P244" i="15"/>
  <c r="Q244" i="15"/>
  <c r="R244" i="15"/>
  <c r="S244" i="15"/>
  <c r="T244" i="15"/>
  <c r="U244" i="15"/>
  <c r="V244" i="15"/>
  <c r="W244" i="15"/>
  <c r="X244" i="15"/>
  <c r="Y244" i="15"/>
  <c r="Z244" i="15"/>
  <c r="AA244" i="15"/>
  <c r="AB244" i="15"/>
  <c r="AC244" i="15"/>
  <c r="AD244" i="15"/>
  <c r="AE244" i="15"/>
  <c r="AF244" i="15"/>
  <c r="AG244" i="15"/>
  <c r="AH244" i="15"/>
  <c r="AI244" i="15"/>
  <c r="AJ244" i="15"/>
  <c r="AK244" i="15"/>
  <c r="AL244" i="15"/>
  <c r="AM244" i="15"/>
  <c r="AN244" i="15"/>
  <c r="AO244" i="15"/>
  <c r="AP244" i="15"/>
  <c r="AQ244" i="15"/>
  <c r="AR244" i="15"/>
  <c r="AS244" i="15"/>
  <c r="AT244" i="15"/>
  <c r="AU244" i="15"/>
  <c r="AV244" i="15"/>
  <c r="AW244" i="15"/>
  <c r="AX244" i="15"/>
  <c r="AY244" i="15"/>
  <c r="AZ244" i="15"/>
  <c r="BA244" i="15"/>
  <c r="BB244" i="15"/>
  <c r="BC244" i="15"/>
  <c r="BD244" i="15"/>
  <c r="BE244" i="15"/>
  <c r="BF244" i="15"/>
  <c r="BG244" i="15"/>
  <c r="BH244" i="15"/>
  <c r="BI244" i="15"/>
  <c r="BJ244" i="15"/>
  <c r="BK244" i="15"/>
  <c r="BL244" i="15"/>
  <c r="BM244" i="15"/>
  <c r="BN244" i="15"/>
  <c r="BO244" i="15"/>
  <c r="BP244" i="15"/>
  <c r="BQ244" i="15"/>
  <c r="BR244" i="15"/>
  <c r="BS244" i="15"/>
  <c r="BT244" i="15"/>
  <c r="BU244" i="15"/>
  <c r="BV244" i="15"/>
  <c r="BW244" i="15"/>
  <c r="BX244" i="15"/>
  <c r="BY244" i="15"/>
  <c r="BZ244" i="15"/>
  <c r="CA244" i="15"/>
  <c r="CB244" i="15"/>
  <c r="CC244" i="15"/>
  <c r="CD244" i="15"/>
  <c r="CE244" i="15"/>
  <c r="CF244" i="15"/>
  <c r="CG244" i="15"/>
  <c r="CH244" i="15"/>
  <c r="CI244" i="15"/>
  <c r="CJ244" i="15"/>
  <c r="CK244" i="15"/>
  <c r="CL244" i="15"/>
  <c r="CM244" i="15"/>
  <c r="CN244" i="15"/>
  <c r="CO244" i="15"/>
  <c r="A245" i="15"/>
  <c r="B245" i="15"/>
  <c r="C245" i="15"/>
  <c r="D245" i="15"/>
  <c r="E245" i="15"/>
  <c r="F245" i="15"/>
  <c r="G245" i="15"/>
  <c r="H245" i="15"/>
  <c r="I245" i="15"/>
  <c r="J245" i="15"/>
  <c r="K245" i="15"/>
  <c r="L245" i="15"/>
  <c r="M245" i="15"/>
  <c r="N245" i="15"/>
  <c r="O245" i="15"/>
  <c r="P245" i="15"/>
  <c r="Q245" i="15"/>
  <c r="R245" i="15"/>
  <c r="S245" i="15"/>
  <c r="T245" i="15"/>
  <c r="U245" i="15"/>
  <c r="V245" i="15"/>
  <c r="W245" i="15"/>
  <c r="X245" i="15"/>
  <c r="Y245" i="15"/>
  <c r="Z245" i="15"/>
  <c r="AA245" i="15"/>
  <c r="AB245" i="15"/>
  <c r="AC245" i="15"/>
  <c r="AD245" i="15"/>
  <c r="AE245" i="15"/>
  <c r="AF245" i="15"/>
  <c r="AG245" i="15"/>
  <c r="AH245" i="15"/>
  <c r="AI245" i="15"/>
  <c r="AJ245" i="15"/>
  <c r="AK245" i="15"/>
  <c r="AL245" i="15"/>
  <c r="AM245" i="15"/>
  <c r="AN245" i="15"/>
  <c r="AO245" i="15"/>
  <c r="AP245" i="15"/>
  <c r="AQ245" i="15"/>
  <c r="AR245" i="15"/>
  <c r="AS245" i="15"/>
  <c r="AT245" i="15"/>
  <c r="AU245" i="15"/>
  <c r="AV245" i="15"/>
  <c r="AW245" i="15"/>
  <c r="AX245" i="15"/>
  <c r="AY245" i="15"/>
  <c r="AZ245" i="15"/>
  <c r="BA245" i="15"/>
  <c r="BB245" i="15"/>
  <c r="BC245" i="15"/>
  <c r="BD245" i="15"/>
  <c r="BE245" i="15"/>
  <c r="BF245" i="15"/>
  <c r="BG245" i="15"/>
  <c r="BH245" i="15"/>
  <c r="BI245" i="15"/>
  <c r="BJ245" i="15"/>
  <c r="BK245" i="15"/>
  <c r="BL245" i="15"/>
  <c r="BM245" i="15"/>
  <c r="BN245" i="15"/>
  <c r="BO245" i="15"/>
  <c r="BP245" i="15"/>
  <c r="BQ245" i="15"/>
  <c r="BR245" i="15"/>
  <c r="BS245" i="15"/>
  <c r="BT245" i="15"/>
  <c r="BU245" i="15"/>
  <c r="BV245" i="15"/>
  <c r="BW245" i="15"/>
  <c r="BX245" i="15"/>
  <c r="BY245" i="15"/>
  <c r="BZ245" i="15"/>
  <c r="CA245" i="15"/>
  <c r="CB245" i="15"/>
  <c r="CC245" i="15"/>
  <c r="CD245" i="15"/>
  <c r="CE245" i="15"/>
  <c r="CF245" i="15"/>
  <c r="CG245" i="15"/>
  <c r="CH245" i="15"/>
  <c r="CI245" i="15"/>
  <c r="CJ245" i="15"/>
  <c r="CK245" i="15"/>
  <c r="CL245" i="15"/>
  <c r="CM245" i="15"/>
  <c r="CN245" i="15"/>
  <c r="CO245" i="15"/>
  <c r="A246" i="15"/>
  <c r="B246" i="15"/>
  <c r="C246" i="15"/>
  <c r="D246" i="15"/>
  <c r="E246" i="15"/>
  <c r="F246" i="15"/>
  <c r="G246" i="15"/>
  <c r="H246" i="15"/>
  <c r="I246" i="15"/>
  <c r="J246" i="15"/>
  <c r="K246" i="15"/>
  <c r="L246" i="15"/>
  <c r="M246" i="15"/>
  <c r="N246" i="15"/>
  <c r="O246" i="15"/>
  <c r="P246" i="15"/>
  <c r="Q246" i="15"/>
  <c r="R246" i="15"/>
  <c r="S246" i="15"/>
  <c r="T246" i="15"/>
  <c r="U246" i="15"/>
  <c r="V246" i="15"/>
  <c r="W246" i="15"/>
  <c r="X246" i="15"/>
  <c r="Y246" i="15"/>
  <c r="Z246" i="15"/>
  <c r="AA246" i="15"/>
  <c r="AB246" i="15"/>
  <c r="AC246" i="15"/>
  <c r="AD246" i="15"/>
  <c r="AE246" i="15"/>
  <c r="AF246" i="15"/>
  <c r="AG246" i="15"/>
  <c r="AH246" i="15"/>
  <c r="AI246" i="15"/>
  <c r="AJ246" i="15"/>
  <c r="AK246" i="15"/>
  <c r="AL246" i="15"/>
  <c r="AM246" i="15"/>
  <c r="AN246" i="15"/>
  <c r="AO246" i="15"/>
  <c r="AP246" i="15"/>
  <c r="AQ246" i="15"/>
  <c r="AR246" i="15"/>
  <c r="AS246" i="15"/>
  <c r="AT246" i="15"/>
  <c r="AU246" i="15"/>
  <c r="AV246" i="15"/>
  <c r="AW246" i="15"/>
  <c r="AX246" i="15"/>
  <c r="AY246" i="15"/>
  <c r="AZ246" i="15"/>
  <c r="BA246" i="15"/>
  <c r="BB246" i="15"/>
  <c r="BC246" i="15"/>
  <c r="BD246" i="15"/>
  <c r="BE246" i="15"/>
  <c r="BF246" i="15"/>
  <c r="BG246" i="15"/>
  <c r="BH246" i="15"/>
  <c r="BI246" i="15"/>
  <c r="BJ246" i="15"/>
  <c r="BK246" i="15"/>
  <c r="BL246" i="15"/>
  <c r="BM246" i="15"/>
  <c r="BN246" i="15"/>
  <c r="BO246" i="15"/>
  <c r="BP246" i="15"/>
  <c r="BQ246" i="15"/>
  <c r="BR246" i="15"/>
  <c r="BS246" i="15"/>
  <c r="BT246" i="15"/>
  <c r="BU246" i="15"/>
  <c r="BV246" i="15"/>
  <c r="BW246" i="15"/>
  <c r="BX246" i="15"/>
  <c r="BY246" i="15"/>
  <c r="BZ246" i="15"/>
  <c r="CA246" i="15"/>
  <c r="CB246" i="15"/>
  <c r="CC246" i="15"/>
  <c r="CD246" i="15"/>
  <c r="CE246" i="15"/>
  <c r="CF246" i="15"/>
  <c r="CG246" i="15"/>
  <c r="CH246" i="15"/>
  <c r="CI246" i="15"/>
  <c r="CJ246" i="15"/>
  <c r="CK246" i="15"/>
  <c r="CL246" i="15"/>
  <c r="CM246" i="15"/>
  <c r="CN246" i="15"/>
  <c r="CO246" i="15"/>
  <c r="A247" i="15"/>
  <c r="B247" i="15"/>
  <c r="C247" i="15"/>
  <c r="D247" i="15"/>
  <c r="E247" i="15"/>
  <c r="F247" i="15"/>
  <c r="G247" i="15"/>
  <c r="H247" i="15"/>
  <c r="I247" i="15"/>
  <c r="J247" i="15"/>
  <c r="K247" i="15"/>
  <c r="L247" i="15"/>
  <c r="M247" i="15"/>
  <c r="N247" i="15"/>
  <c r="O247" i="15"/>
  <c r="P247" i="15"/>
  <c r="Q247" i="15"/>
  <c r="R247" i="15"/>
  <c r="S247" i="15"/>
  <c r="T247" i="15"/>
  <c r="U247" i="15"/>
  <c r="V247" i="15"/>
  <c r="W247" i="15"/>
  <c r="X247" i="15"/>
  <c r="Y247" i="15"/>
  <c r="Z247" i="15"/>
  <c r="AA247" i="15"/>
  <c r="AB247" i="15"/>
  <c r="AC247" i="15"/>
  <c r="AD247" i="15"/>
  <c r="AE247" i="15"/>
  <c r="AF247" i="15"/>
  <c r="AG247" i="15"/>
  <c r="AH247" i="15"/>
  <c r="AI247" i="15"/>
  <c r="AJ247" i="15"/>
  <c r="AK247" i="15"/>
  <c r="AL247" i="15"/>
  <c r="AM247" i="15"/>
  <c r="AN247" i="15"/>
  <c r="AO247" i="15"/>
  <c r="AP247" i="15"/>
  <c r="AQ247" i="15"/>
  <c r="AR247" i="15"/>
  <c r="AS247" i="15"/>
  <c r="AT247" i="15"/>
  <c r="AU247" i="15"/>
  <c r="AV247" i="15"/>
  <c r="AW247" i="15"/>
  <c r="AX247" i="15"/>
  <c r="AY247" i="15"/>
  <c r="AZ247" i="15"/>
  <c r="BA247" i="15"/>
  <c r="BB247" i="15"/>
  <c r="BC247" i="15"/>
  <c r="BD247" i="15"/>
  <c r="BE247" i="15"/>
  <c r="BF247" i="15"/>
  <c r="BG247" i="15"/>
  <c r="BH247" i="15"/>
  <c r="BI247" i="15"/>
  <c r="BJ247" i="15"/>
  <c r="BK247" i="15"/>
  <c r="BL247" i="15"/>
  <c r="BM247" i="15"/>
  <c r="BN247" i="15"/>
  <c r="BO247" i="15"/>
  <c r="BP247" i="15"/>
  <c r="BQ247" i="15"/>
  <c r="BR247" i="15"/>
  <c r="BS247" i="15"/>
  <c r="BT247" i="15"/>
  <c r="BU247" i="15"/>
  <c r="BV247" i="15"/>
  <c r="BW247" i="15"/>
  <c r="BX247" i="15"/>
  <c r="BY247" i="15"/>
  <c r="BZ247" i="15"/>
  <c r="CA247" i="15"/>
  <c r="CB247" i="15"/>
  <c r="CC247" i="15"/>
  <c r="CD247" i="15"/>
  <c r="CE247" i="15"/>
  <c r="CF247" i="15"/>
  <c r="CG247" i="15"/>
  <c r="CH247" i="15"/>
  <c r="CI247" i="15"/>
  <c r="CJ247" i="15"/>
  <c r="CK247" i="15"/>
  <c r="CL247" i="15"/>
  <c r="CM247" i="15"/>
  <c r="CN247" i="15"/>
  <c r="CO247" i="15"/>
  <c r="A248" i="15"/>
  <c r="B248" i="15"/>
  <c r="C248" i="15"/>
  <c r="D248" i="15"/>
  <c r="E248" i="15"/>
  <c r="F248" i="15"/>
  <c r="G248" i="15"/>
  <c r="H248" i="15"/>
  <c r="I248" i="15"/>
  <c r="J248" i="15"/>
  <c r="K248" i="15"/>
  <c r="L248" i="15"/>
  <c r="M248" i="15"/>
  <c r="N248" i="15"/>
  <c r="O248" i="15"/>
  <c r="P248" i="15"/>
  <c r="Q248" i="15"/>
  <c r="R248" i="15"/>
  <c r="S248" i="15"/>
  <c r="T248" i="15"/>
  <c r="U248" i="15"/>
  <c r="V248" i="15"/>
  <c r="W248" i="15"/>
  <c r="X248" i="15"/>
  <c r="Y248" i="15"/>
  <c r="Z248" i="15"/>
  <c r="AA248" i="15"/>
  <c r="AB248" i="15"/>
  <c r="AC248" i="15"/>
  <c r="AD248" i="15"/>
  <c r="AE248" i="15"/>
  <c r="AF248" i="15"/>
  <c r="AG248" i="15"/>
  <c r="AH248" i="15"/>
  <c r="AI248" i="15"/>
  <c r="AJ248" i="15"/>
  <c r="AK248" i="15"/>
  <c r="AL248" i="15"/>
  <c r="AM248" i="15"/>
  <c r="AN248" i="15"/>
  <c r="AO248" i="15"/>
  <c r="AP248" i="15"/>
  <c r="AQ248" i="15"/>
  <c r="AR248" i="15"/>
  <c r="AS248" i="15"/>
  <c r="AT248" i="15"/>
  <c r="AU248" i="15"/>
  <c r="AV248" i="15"/>
  <c r="AW248" i="15"/>
  <c r="AX248" i="15"/>
  <c r="AY248" i="15"/>
  <c r="AZ248" i="15"/>
  <c r="BA248" i="15"/>
  <c r="BB248" i="15"/>
  <c r="BC248" i="15"/>
  <c r="BD248" i="15"/>
  <c r="BE248" i="15"/>
  <c r="BF248" i="15"/>
  <c r="BG248" i="15"/>
  <c r="BH248" i="15"/>
  <c r="BI248" i="15"/>
  <c r="BJ248" i="15"/>
  <c r="BK248" i="15"/>
  <c r="BL248" i="15"/>
  <c r="BM248" i="15"/>
  <c r="BN248" i="15"/>
  <c r="BO248" i="15"/>
  <c r="BP248" i="15"/>
  <c r="BQ248" i="15"/>
  <c r="BR248" i="15"/>
  <c r="BS248" i="15"/>
  <c r="BT248" i="15"/>
  <c r="BU248" i="15"/>
  <c r="BV248" i="15"/>
  <c r="BW248" i="15"/>
  <c r="BX248" i="15"/>
  <c r="BY248" i="15"/>
  <c r="BZ248" i="15"/>
  <c r="CA248" i="15"/>
  <c r="CB248" i="15"/>
  <c r="CC248" i="15"/>
  <c r="CD248" i="15"/>
  <c r="CE248" i="15"/>
  <c r="CF248" i="15"/>
  <c r="CG248" i="15"/>
  <c r="CH248" i="15"/>
  <c r="CI248" i="15"/>
  <c r="CJ248" i="15"/>
  <c r="CK248" i="15"/>
  <c r="CL248" i="15"/>
  <c r="CM248" i="15"/>
  <c r="CN248" i="15"/>
  <c r="CO248" i="15"/>
  <c r="A249" i="15"/>
  <c r="B249" i="15"/>
  <c r="C249" i="15"/>
  <c r="D249" i="15"/>
  <c r="E249" i="15"/>
  <c r="F249" i="15"/>
  <c r="G249" i="15"/>
  <c r="H249" i="15"/>
  <c r="I249" i="15"/>
  <c r="J249" i="15"/>
  <c r="K249" i="15"/>
  <c r="L249" i="15"/>
  <c r="M249" i="15"/>
  <c r="N249" i="15"/>
  <c r="O249" i="15"/>
  <c r="P249" i="15"/>
  <c r="Q249" i="15"/>
  <c r="R249" i="15"/>
  <c r="S249" i="15"/>
  <c r="T249" i="15"/>
  <c r="U249" i="15"/>
  <c r="V249" i="15"/>
  <c r="W249" i="15"/>
  <c r="X249" i="15"/>
  <c r="Y249" i="15"/>
  <c r="Z249" i="15"/>
  <c r="AA249" i="15"/>
  <c r="AB249" i="15"/>
  <c r="AC249" i="15"/>
  <c r="AD249" i="15"/>
  <c r="AE249" i="15"/>
  <c r="AF249" i="15"/>
  <c r="AG249" i="15"/>
  <c r="AH249" i="15"/>
  <c r="AI249" i="15"/>
  <c r="AJ249" i="15"/>
  <c r="AK249" i="15"/>
  <c r="AL249" i="15"/>
  <c r="AM249" i="15"/>
  <c r="AN249" i="15"/>
  <c r="AO249" i="15"/>
  <c r="AP249" i="15"/>
  <c r="AQ249" i="15"/>
  <c r="AR249" i="15"/>
  <c r="AS249" i="15"/>
  <c r="AT249" i="15"/>
  <c r="AU249" i="15"/>
  <c r="AV249" i="15"/>
  <c r="AW249" i="15"/>
  <c r="AX249" i="15"/>
  <c r="AY249" i="15"/>
  <c r="AZ249" i="15"/>
  <c r="BA249" i="15"/>
  <c r="BB249" i="15"/>
  <c r="BC249" i="15"/>
  <c r="BD249" i="15"/>
  <c r="BE249" i="15"/>
  <c r="BF249" i="15"/>
  <c r="BG249" i="15"/>
  <c r="BH249" i="15"/>
  <c r="BI249" i="15"/>
  <c r="BJ249" i="15"/>
  <c r="BK249" i="15"/>
  <c r="BL249" i="15"/>
  <c r="BM249" i="15"/>
  <c r="BN249" i="15"/>
  <c r="BO249" i="15"/>
  <c r="BP249" i="15"/>
  <c r="BQ249" i="15"/>
  <c r="BR249" i="15"/>
  <c r="BS249" i="15"/>
  <c r="BT249" i="15"/>
  <c r="BU249" i="15"/>
  <c r="BV249" i="15"/>
  <c r="BW249" i="15"/>
  <c r="BX249" i="15"/>
  <c r="BY249" i="15"/>
  <c r="BZ249" i="15"/>
  <c r="CA249" i="15"/>
  <c r="CB249" i="15"/>
  <c r="CC249" i="15"/>
  <c r="CD249" i="15"/>
  <c r="CE249" i="15"/>
  <c r="CF249" i="15"/>
  <c r="CG249" i="15"/>
  <c r="CH249" i="15"/>
  <c r="CI249" i="15"/>
  <c r="CJ249" i="15"/>
  <c r="CK249" i="15"/>
  <c r="CL249" i="15"/>
  <c r="CM249" i="15"/>
  <c r="CN249" i="15"/>
  <c r="CO249" i="15"/>
  <c r="A250" i="15"/>
  <c r="B250" i="15"/>
  <c r="C250" i="15"/>
  <c r="D250" i="15"/>
  <c r="E250" i="15"/>
  <c r="F250" i="15"/>
  <c r="G250" i="15"/>
  <c r="H250" i="15"/>
  <c r="I250" i="15"/>
  <c r="J250" i="15"/>
  <c r="K250" i="15"/>
  <c r="L250" i="15"/>
  <c r="M250" i="15"/>
  <c r="N250" i="15"/>
  <c r="O250" i="15"/>
  <c r="P250" i="15"/>
  <c r="Q250" i="15"/>
  <c r="R250" i="15"/>
  <c r="S250" i="15"/>
  <c r="T250" i="15"/>
  <c r="U250" i="15"/>
  <c r="V250" i="15"/>
  <c r="W250" i="15"/>
  <c r="X250" i="15"/>
  <c r="Y250" i="15"/>
  <c r="Z250" i="15"/>
  <c r="AA250" i="15"/>
  <c r="AB250" i="15"/>
  <c r="AC250" i="15"/>
  <c r="AD250" i="15"/>
  <c r="AE250" i="15"/>
  <c r="AF250" i="15"/>
  <c r="AG250" i="15"/>
  <c r="AH250" i="15"/>
  <c r="AI250" i="15"/>
  <c r="AJ250" i="15"/>
  <c r="AK250" i="15"/>
  <c r="AL250" i="15"/>
  <c r="AM250" i="15"/>
  <c r="AN250" i="15"/>
  <c r="AO250" i="15"/>
  <c r="AP250" i="15"/>
  <c r="AQ250" i="15"/>
  <c r="AR250" i="15"/>
  <c r="AS250" i="15"/>
  <c r="AT250" i="15"/>
  <c r="AU250" i="15"/>
  <c r="AV250" i="15"/>
  <c r="AW250" i="15"/>
  <c r="AX250" i="15"/>
  <c r="AY250" i="15"/>
  <c r="AZ250" i="15"/>
  <c r="BA250" i="15"/>
  <c r="BB250" i="15"/>
  <c r="BC250" i="15"/>
  <c r="BD250" i="15"/>
  <c r="BE250" i="15"/>
  <c r="BF250" i="15"/>
  <c r="BG250" i="15"/>
  <c r="BH250" i="15"/>
  <c r="BI250" i="15"/>
  <c r="BJ250" i="15"/>
  <c r="BK250" i="15"/>
  <c r="BL250" i="15"/>
  <c r="BM250" i="15"/>
  <c r="BN250" i="15"/>
  <c r="BO250" i="15"/>
  <c r="BP250" i="15"/>
  <c r="BQ250" i="15"/>
  <c r="BR250" i="15"/>
  <c r="BS250" i="15"/>
  <c r="BT250" i="15"/>
  <c r="BU250" i="15"/>
  <c r="BV250" i="15"/>
  <c r="BW250" i="15"/>
  <c r="BX250" i="15"/>
  <c r="BY250" i="15"/>
  <c r="BZ250" i="15"/>
  <c r="CA250" i="15"/>
  <c r="CB250" i="15"/>
  <c r="CC250" i="15"/>
  <c r="CD250" i="15"/>
  <c r="CE250" i="15"/>
  <c r="CF250" i="15"/>
  <c r="CG250" i="15"/>
  <c r="CH250" i="15"/>
  <c r="CI250" i="15"/>
  <c r="CJ250" i="15"/>
  <c r="CK250" i="15"/>
  <c r="CL250" i="15"/>
  <c r="CM250" i="15"/>
  <c r="CN250" i="15"/>
  <c r="CO250" i="15"/>
  <c r="A251" i="15"/>
  <c r="B251" i="15"/>
  <c r="C251" i="15"/>
  <c r="D251" i="15"/>
  <c r="E251" i="15"/>
  <c r="F251" i="15"/>
  <c r="G251" i="15"/>
  <c r="H251" i="15"/>
  <c r="I251" i="15"/>
  <c r="J251" i="15"/>
  <c r="K251" i="15"/>
  <c r="L251" i="15"/>
  <c r="M251" i="15"/>
  <c r="N251" i="15"/>
  <c r="O251" i="15"/>
  <c r="P251" i="15"/>
  <c r="Q251" i="15"/>
  <c r="R251" i="15"/>
  <c r="S251" i="15"/>
  <c r="T251" i="15"/>
  <c r="U251" i="15"/>
  <c r="V251" i="15"/>
  <c r="W251" i="15"/>
  <c r="X251" i="15"/>
  <c r="Y251" i="15"/>
  <c r="Z251" i="15"/>
  <c r="AA251" i="15"/>
  <c r="AB251" i="15"/>
  <c r="AC251" i="15"/>
  <c r="AD251" i="15"/>
  <c r="AE251" i="15"/>
  <c r="AF251" i="15"/>
  <c r="AG251" i="15"/>
  <c r="AH251" i="15"/>
  <c r="AI251" i="15"/>
  <c r="AJ251" i="15"/>
  <c r="AK251" i="15"/>
  <c r="AL251" i="15"/>
  <c r="AM251" i="15"/>
  <c r="AN251" i="15"/>
  <c r="AO251" i="15"/>
  <c r="AP251" i="15"/>
  <c r="AQ251" i="15"/>
  <c r="AR251" i="15"/>
  <c r="AS251" i="15"/>
  <c r="AT251" i="15"/>
  <c r="AU251" i="15"/>
  <c r="AV251" i="15"/>
  <c r="AW251" i="15"/>
  <c r="AX251" i="15"/>
  <c r="AY251" i="15"/>
  <c r="AZ251" i="15"/>
  <c r="BA251" i="15"/>
  <c r="BB251" i="15"/>
  <c r="BC251" i="15"/>
  <c r="BD251" i="15"/>
  <c r="BE251" i="15"/>
  <c r="BF251" i="15"/>
  <c r="BG251" i="15"/>
  <c r="BH251" i="15"/>
  <c r="BI251" i="15"/>
  <c r="BJ251" i="15"/>
  <c r="BK251" i="15"/>
  <c r="BL251" i="15"/>
  <c r="BM251" i="15"/>
  <c r="BN251" i="15"/>
  <c r="BO251" i="15"/>
  <c r="BP251" i="15"/>
  <c r="BQ251" i="15"/>
  <c r="BR251" i="15"/>
  <c r="BS251" i="15"/>
  <c r="BT251" i="15"/>
  <c r="BU251" i="15"/>
  <c r="BV251" i="15"/>
  <c r="BW251" i="15"/>
  <c r="BX251" i="15"/>
  <c r="BY251" i="15"/>
  <c r="BZ251" i="15"/>
  <c r="CA251" i="15"/>
  <c r="CB251" i="15"/>
  <c r="CC251" i="15"/>
  <c r="CD251" i="15"/>
  <c r="CE251" i="15"/>
  <c r="CF251" i="15"/>
  <c r="CG251" i="15"/>
  <c r="CH251" i="15"/>
  <c r="CI251" i="15"/>
  <c r="CJ251" i="15"/>
  <c r="CK251" i="15"/>
  <c r="CL251" i="15"/>
  <c r="CM251" i="15"/>
  <c r="CN251" i="15"/>
  <c r="CO251" i="15"/>
  <c r="A252" i="15"/>
  <c r="B252" i="15"/>
  <c r="C252" i="15"/>
  <c r="D252" i="15"/>
  <c r="E252" i="15"/>
  <c r="F252" i="15"/>
  <c r="G252" i="15"/>
  <c r="H252" i="15"/>
  <c r="I252" i="15"/>
  <c r="J252" i="15"/>
  <c r="K252" i="15"/>
  <c r="L252" i="15"/>
  <c r="M252" i="15"/>
  <c r="N252" i="15"/>
  <c r="O252" i="15"/>
  <c r="P252" i="15"/>
  <c r="Q252" i="15"/>
  <c r="R252" i="15"/>
  <c r="S252" i="15"/>
  <c r="T252" i="15"/>
  <c r="U252" i="15"/>
  <c r="V252" i="15"/>
  <c r="W252" i="15"/>
  <c r="X252" i="15"/>
  <c r="Y252" i="15"/>
  <c r="Z252" i="15"/>
  <c r="AA252" i="15"/>
  <c r="AB252" i="15"/>
  <c r="AC252" i="15"/>
  <c r="AD252" i="15"/>
  <c r="AE252" i="15"/>
  <c r="AF252" i="15"/>
  <c r="AG252" i="15"/>
  <c r="AH252" i="15"/>
  <c r="AI252" i="15"/>
  <c r="AJ252" i="15"/>
  <c r="AK252" i="15"/>
  <c r="AL252" i="15"/>
  <c r="AM252" i="15"/>
  <c r="AN252" i="15"/>
  <c r="AO252" i="15"/>
  <c r="AP252" i="15"/>
  <c r="AQ252" i="15"/>
  <c r="AR252" i="15"/>
  <c r="AS252" i="15"/>
  <c r="AT252" i="15"/>
  <c r="AU252" i="15"/>
  <c r="AV252" i="15"/>
  <c r="AW252" i="15"/>
  <c r="AX252" i="15"/>
  <c r="AY252" i="15"/>
  <c r="AZ252" i="15"/>
  <c r="BA252" i="15"/>
  <c r="BB252" i="15"/>
  <c r="BC252" i="15"/>
  <c r="BD252" i="15"/>
  <c r="BE252" i="15"/>
  <c r="BF252" i="15"/>
  <c r="BG252" i="15"/>
  <c r="BH252" i="15"/>
  <c r="BI252" i="15"/>
  <c r="BJ252" i="15"/>
  <c r="BK252" i="15"/>
  <c r="BL252" i="15"/>
  <c r="BM252" i="15"/>
  <c r="BN252" i="15"/>
  <c r="BO252" i="15"/>
  <c r="BP252" i="15"/>
  <c r="BQ252" i="15"/>
  <c r="BR252" i="15"/>
  <c r="BS252" i="15"/>
  <c r="BT252" i="15"/>
  <c r="BU252" i="15"/>
  <c r="BV252" i="15"/>
  <c r="BW252" i="15"/>
  <c r="BX252" i="15"/>
  <c r="BY252" i="15"/>
  <c r="BZ252" i="15"/>
  <c r="CA252" i="15"/>
  <c r="CB252" i="15"/>
  <c r="CC252" i="15"/>
  <c r="CD252" i="15"/>
  <c r="CE252" i="15"/>
  <c r="CF252" i="15"/>
  <c r="CG252" i="15"/>
  <c r="CH252" i="15"/>
  <c r="CI252" i="15"/>
  <c r="CJ252" i="15"/>
  <c r="CK252" i="15"/>
  <c r="CL252" i="15"/>
  <c r="CM252" i="15"/>
  <c r="CN252" i="15"/>
  <c r="CO252" i="15"/>
  <c r="A253" i="15"/>
  <c r="B253" i="15"/>
  <c r="C253" i="15"/>
  <c r="D253" i="15"/>
  <c r="E253" i="15"/>
  <c r="F253" i="15"/>
  <c r="G253" i="15"/>
  <c r="H253" i="15"/>
  <c r="I253" i="15"/>
  <c r="J253" i="15"/>
  <c r="K253" i="15"/>
  <c r="L253" i="15"/>
  <c r="M253" i="15"/>
  <c r="N253" i="15"/>
  <c r="O253" i="15"/>
  <c r="P253" i="15"/>
  <c r="Q253" i="15"/>
  <c r="R253" i="15"/>
  <c r="S253" i="15"/>
  <c r="T253" i="15"/>
  <c r="U253" i="15"/>
  <c r="V253" i="15"/>
  <c r="W253" i="15"/>
  <c r="X253" i="15"/>
  <c r="Y253" i="15"/>
  <c r="Z253" i="15"/>
  <c r="AA253" i="15"/>
  <c r="AB253" i="15"/>
  <c r="AC253" i="15"/>
  <c r="AD253" i="15"/>
  <c r="AE253" i="15"/>
  <c r="AF253" i="15"/>
  <c r="AG253" i="15"/>
  <c r="AH253" i="15"/>
  <c r="AI253" i="15"/>
  <c r="AJ253" i="15"/>
  <c r="AK253" i="15"/>
  <c r="AL253" i="15"/>
  <c r="AM253" i="15"/>
  <c r="AN253" i="15"/>
  <c r="AO253" i="15"/>
  <c r="AP253" i="15"/>
  <c r="AQ253" i="15"/>
  <c r="AR253" i="15"/>
  <c r="AS253" i="15"/>
  <c r="AT253" i="15"/>
  <c r="AU253" i="15"/>
  <c r="AV253" i="15"/>
  <c r="AW253" i="15"/>
  <c r="AX253" i="15"/>
  <c r="AY253" i="15"/>
  <c r="AZ253" i="15"/>
  <c r="BA253" i="15"/>
  <c r="BB253" i="15"/>
  <c r="BC253" i="15"/>
  <c r="BD253" i="15"/>
  <c r="BE253" i="15"/>
  <c r="BF253" i="15"/>
  <c r="BG253" i="15"/>
  <c r="BH253" i="15"/>
  <c r="BI253" i="15"/>
  <c r="BJ253" i="15"/>
  <c r="BK253" i="15"/>
  <c r="BL253" i="15"/>
  <c r="BM253" i="15"/>
  <c r="BN253" i="15"/>
  <c r="BO253" i="15"/>
  <c r="BP253" i="15"/>
  <c r="BQ253" i="15"/>
  <c r="BR253" i="15"/>
  <c r="BS253" i="15"/>
  <c r="BT253" i="15"/>
  <c r="BU253" i="15"/>
  <c r="BV253" i="15"/>
  <c r="BW253" i="15"/>
  <c r="BX253" i="15"/>
  <c r="BY253" i="15"/>
  <c r="BZ253" i="15"/>
  <c r="CA253" i="15"/>
  <c r="CB253" i="15"/>
  <c r="CC253" i="15"/>
  <c r="CD253" i="15"/>
  <c r="CE253" i="15"/>
  <c r="CF253" i="15"/>
  <c r="CG253" i="15"/>
  <c r="CH253" i="15"/>
  <c r="CI253" i="15"/>
  <c r="CJ253" i="15"/>
  <c r="CK253" i="15"/>
  <c r="CL253" i="15"/>
  <c r="CM253" i="15"/>
  <c r="CN253" i="15"/>
  <c r="CO253" i="15"/>
  <c r="A254" i="15"/>
  <c r="B254" i="15"/>
  <c r="C254" i="15"/>
  <c r="D254" i="15"/>
  <c r="E254" i="15"/>
  <c r="F254" i="15"/>
  <c r="G254" i="15"/>
  <c r="H254" i="15"/>
  <c r="I254" i="15"/>
  <c r="J254" i="15"/>
  <c r="K254" i="15"/>
  <c r="L254" i="15"/>
  <c r="M254" i="15"/>
  <c r="N254" i="15"/>
  <c r="O254" i="15"/>
  <c r="P254" i="15"/>
  <c r="Q254" i="15"/>
  <c r="R254" i="15"/>
  <c r="S254" i="15"/>
  <c r="T254" i="15"/>
  <c r="U254" i="15"/>
  <c r="V254" i="15"/>
  <c r="W254" i="15"/>
  <c r="X254" i="15"/>
  <c r="Y254" i="15"/>
  <c r="Z254" i="15"/>
  <c r="AA254" i="15"/>
  <c r="AB254" i="15"/>
  <c r="AC254" i="15"/>
  <c r="AD254" i="15"/>
  <c r="AE254" i="15"/>
  <c r="AF254" i="15"/>
  <c r="AG254" i="15"/>
  <c r="AH254" i="15"/>
  <c r="AI254" i="15"/>
  <c r="AJ254" i="15"/>
  <c r="AK254" i="15"/>
  <c r="AL254" i="15"/>
  <c r="AM254" i="15"/>
  <c r="AN254" i="15"/>
  <c r="AO254" i="15"/>
  <c r="AP254" i="15"/>
  <c r="AQ254" i="15"/>
  <c r="AR254" i="15"/>
  <c r="AS254" i="15"/>
  <c r="AT254" i="15"/>
  <c r="AU254" i="15"/>
  <c r="AV254" i="15"/>
  <c r="AW254" i="15"/>
  <c r="AX254" i="15"/>
  <c r="AY254" i="15"/>
  <c r="AZ254" i="15"/>
  <c r="BA254" i="15"/>
  <c r="BB254" i="15"/>
  <c r="BC254" i="15"/>
  <c r="BD254" i="15"/>
  <c r="BE254" i="15"/>
  <c r="BF254" i="15"/>
  <c r="BG254" i="15"/>
  <c r="BH254" i="15"/>
  <c r="BI254" i="15"/>
  <c r="BJ254" i="15"/>
  <c r="BK254" i="15"/>
  <c r="BL254" i="15"/>
  <c r="BM254" i="15"/>
  <c r="BN254" i="15"/>
  <c r="BO254" i="15"/>
  <c r="BP254" i="15"/>
  <c r="BQ254" i="15"/>
  <c r="BR254" i="15"/>
  <c r="BS254" i="15"/>
  <c r="BT254" i="15"/>
  <c r="BU254" i="15"/>
  <c r="BV254" i="15"/>
  <c r="BW254" i="15"/>
  <c r="BX254" i="15"/>
  <c r="BY254" i="15"/>
  <c r="BZ254" i="15"/>
  <c r="CA254" i="15"/>
  <c r="CB254" i="15"/>
  <c r="CC254" i="15"/>
  <c r="CD254" i="15"/>
  <c r="CE254" i="15"/>
  <c r="CF254" i="15"/>
  <c r="CG254" i="15"/>
  <c r="CH254" i="15"/>
  <c r="CI254" i="15"/>
  <c r="CJ254" i="15"/>
  <c r="CK254" i="15"/>
  <c r="CL254" i="15"/>
  <c r="CM254" i="15"/>
  <c r="CN254" i="15"/>
  <c r="CO254" i="15"/>
  <c r="A255" i="15"/>
  <c r="B255" i="15"/>
  <c r="C255" i="15"/>
  <c r="D255" i="15"/>
  <c r="E255" i="15"/>
  <c r="F255" i="15"/>
  <c r="G255" i="15"/>
  <c r="H255" i="15"/>
  <c r="I255" i="15"/>
  <c r="J255" i="15"/>
  <c r="K255" i="15"/>
  <c r="L255" i="15"/>
  <c r="M255" i="15"/>
  <c r="N255" i="15"/>
  <c r="O255" i="15"/>
  <c r="P255" i="15"/>
  <c r="Q255" i="15"/>
  <c r="R255" i="15"/>
  <c r="S255" i="15"/>
  <c r="T255" i="15"/>
  <c r="U255" i="15"/>
  <c r="V255" i="15"/>
  <c r="W255" i="15"/>
  <c r="X255" i="15"/>
  <c r="Y255" i="15"/>
  <c r="Z255" i="15"/>
  <c r="AA255" i="15"/>
  <c r="AB255" i="15"/>
  <c r="AC255" i="15"/>
  <c r="AD255" i="15"/>
  <c r="AE255" i="15"/>
  <c r="AF255" i="15"/>
  <c r="AG255" i="15"/>
  <c r="AH255" i="15"/>
  <c r="AI255" i="15"/>
  <c r="AJ255" i="15"/>
  <c r="AK255" i="15"/>
  <c r="AL255" i="15"/>
  <c r="AM255" i="15"/>
  <c r="AN255" i="15"/>
  <c r="AO255" i="15"/>
  <c r="AP255" i="15"/>
  <c r="AQ255" i="15"/>
  <c r="AR255" i="15"/>
  <c r="AS255" i="15"/>
  <c r="AT255" i="15"/>
  <c r="AU255" i="15"/>
  <c r="AV255" i="15"/>
  <c r="AW255" i="15"/>
  <c r="AX255" i="15"/>
  <c r="AY255" i="15"/>
  <c r="AZ255" i="15"/>
  <c r="BA255" i="15"/>
  <c r="BB255" i="15"/>
  <c r="BC255" i="15"/>
  <c r="BD255" i="15"/>
  <c r="BE255" i="15"/>
  <c r="BF255" i="15"/>
  <c r="BG255" i="15"/>
  <c r="BH255" i="15"/>
  <c r="BI255" i="15"/>
  <c r="BJ255" i="15"/>
  <c r="BK255" i="15"/>
  <c r="BL255" i="15"/>
  <c r="BM255" i="15"/>
  <c r="BN255" i="15"/>
  <c r="BO255" i="15"/>
  <c r="BP255" i="15"/>
  <c r="BQ255" i="15"/>
  <c r="BR255" i="15"/>
  <c r="BS255" i="15"/>
  <c r="BT255" i="15"/>
  <c r="BU255" i="15"/>
  <c r="BV255" i="15"/>
  <c r="BW255" i="15"/>
  <c r="BX255" i="15"/>
  <c r="BY255" i="15"/>
  <c r="BZ255" i="15"/>
  <c r="CA255" i="15"/>
  <c r="CB255" i="15"/>
  <c r="CC255" i="15"/>
  <c r="CD255" i="15"/>
  <c r="CE255" i="15"/>
  <c r="CF255" i="15"/>
  <c r="CG255" i="15"/>
  <c r="CH255" i="15"/>
  <c r="CI255" i="15"/>
  <c r="CJ255" i="15"/>
  <c r="CK255" i="15"/>
  <c r="CL255" i="15"/>
  <c r="CM255" i="15"/>
  <c r="CN255" i="15"/>
  <c r="CO255" i="15"/>
  <c r="A256" i="15"/>
  <c r="B256" i="15"/>
  <c r="C256" i="15"/>
  <c r="D256" i="15"/>
  <c r="E256" i="15"/>
  <c r="F256" i="15"/>
  <c r="G256" i="15"/>
  <c r="H256" i="15"/>
  <c r="I256" i="15"/>
  <c r="J256" i="15"/>
  <c r="K256" i="15"/>
  <c r="L256" i="15"/>
  <c r="M256" i="15"/>
  <c r="N256" i="15"/>
  <c r="O256" i="15"/>
  <c r="P256" i="15"/>
  <c r="Q256" i="15"/>
  <c r="R256" i="15"/>
  <c r="S256" i="15"/>
  <c r="T256" i="15"/>
  <c r="U256" i="15"/>
  <c r="V256" i="15"/>
  <c r="W256" i="15"/>
  <c r="X256" i="15"/>
  <c r="Y256" i="15"/>
  <c r="Z256" i="15"/>
  <c r="AA256" i="15"/>
  <c r="AB256" i="15"/>
  <c r="AC256" i="15"/>
  <c r="AD256" i="15"/>
  <c r="AE256" i="15"/>
  <c r="AF256" i="15"/>
  <c r="AG256" i="15"/>
  <c r="AH256" i="15"/>
  <c r="AI256" i="15"/>
  <c r="AJ256" i="15"/>
  <c r="AK256" i="15"/>
  <c r="AL256" i="15"/>
  <c r="AM256" i="15"/>
  <c r="AN256" i="15"/>
  <c r="AO256" i="15"/>
  <c r="AP256" i="15"/>
  <c r="AQ256" i="15"/>
  <c r="AR256" i="15"/>
  <c r="AS256" i="15"/>
  <c r="AT256" i="15"/>
  <c r="AU256" i="15"/>
  <c r="AV256" i="15"/>
  <c r="AW256" i="15"/>
  <c r="AX256" i="15"/>
  <c r="AY256" i="15"/>
  <c r="AZ256" i="15"/>
  <c r="BA256" i="15"/>
  <c r="BB256" i="15"/>
  <c r="BC256" i="15"/>
  <c r="BD256" i="15"/>
  <c r="BE256" i="15"/>
  <c r="BF256" i="15"/>
  <c r="BG256" i="15"/>
  <c r="BH256" i="15"/>
  <c r="BI256" i="15"/>
  <c r="BJ256" i="15"/>
  <c r="BK256" i="15"/>
  <c r="BL256" i="15"/>
  <c r="BM256" i="15"/>
  <c r="BN256" i="15"/>
  <c r="BO256" i="15"/>
  <c r="BP256" i="15"/>
  <c r="BQ256" i="15"/>
  <c r="BR256" i="15"/>
  <c r="BS256" i="15"/>
  <c r="BT256" i="15"/>
  <c r="BU256" i="15"/>
  <c r="BV256" i="15"/>
  <c r="BW256" i="15"/>
  <c r="BX256" i="15"/>
  <c r="BY256" i="15"/>
  <c r="BZ256" i="15"/>
  <c r="CA256" i="15"/>
  <c r="CB256" i="15"/>
  <c r="CC256" i="15"/>
  <c r="CD256" i="15"/>
  <c r="CE256" i="15"/>
  <c r="CF256" i="15"/>
  <c r="CG256" i="15"/>
  <c r="CH256" i="15"/>
  <c r="CI256" i="15"/>
  <c r="CJ256" i="15"/>
  <c r="CK256" i="15"/>
  <c r="CL256" i="15"/>
  <c r="CM256" i="15"/>
  <c r="CN256" i="15"/>
  <c r="CO256" i="15"/>
  <c r="A257" i="15"/>
  <c r="B257" i="15"/>
  <c r="C257" i="15"/>
  <c r="D257" i="15"/>
  <c r="E257" i="15"/>
  <c r="F257" i="15"/>
  <c r="G257" i="15"/>
  <c r="H257" i="15"/>
  <c r="I257" i="15"/>
  <c r="J257" i="15"/>
  <c r="K257" i="15"/>
  <c r="L257" i="15"/>
  <c r="M257" i="15"/>
  <c r="N257" i="15"/>
  <c r="O257" i="15"/>
  <c r="P257" i="15"/>
  <c r="Q257" i="15"/>
  <c r="R257" i="15"/>
  <c r="S257" i="15"/>
  <c r="T257" i="15"/>
  <c r="U257" i="15"/>
  <c r="V257" i="15"/>
  <c r="W257" i="15"/>
  <c r="X257" i="15"/>
  <c r="Y257" i="15"/>
  <c r="Z257" i="15"/>
  <c r="AA257" i="15"/>
  <c r="AB257" i="15"/>
  <c r="AC257" i="15"/>
  <c r="AD257" i="15"/>
  <c r="AE257" i="15"/>
  <c r="AF257" i="15"/>
  <c r="AG257" i="15"/>
  <c r="AH257" i="15"/>
  <c r="AI257" i="15"/>
  <c r="AJ257" i="15"/>
  <c r="AK257" i="15"/>
  <c r="AL257" i="15"/>
  <c r="AM257" i="15"/>
  <c r="AN257" i="15"/>
  <c r="AO257" i="15"/>
  <c r="AP257" i="15"/>
  <c r="AQ257" i="15"/>
  <c r="AR257" i="15"/>
  <c r="AS257" i="15"/>
  <c r="AT257" i="15"/>
  <c r="AU257" i="15"/>
  <c r="AV257" i="15"/>
  <c r="AW257" i="15"/>
  <c r="AX257" i="15"/>
  <c r="AY257" i="15"/>
  <c r="AZ257" i="15"/>
  <c r="BA257" i="15"/>
  <c r="BB257" i="15"/>
  <c r="BC257" i="15"/>
  <c r="BD257" i="15"/>
  <c r="BE257" i="15"/>
  <c r="BF257" i="15"/>
  <c r="BG257" i="15"/>
  <c r="BH257" i="15"/>
  <c r="BI257" i="15"/>
  <c r="BJ257" i="15"/>
  <c r="BK257" i="15"/>
  <c r="BL257" i="15"/>
  <c r="BM257" i="15"/>
  <c r="BN257" i="15"/>
  <c r="BO257" i="15"/>
  <c r="BP257" i="15"/>
  <c r="BQ257" i="15"/>
  <c r="BR257" i="15"/>
  <c r="BS257" i="15"/>
  <c r="BT257" i="15"/>
  <c r="BU257" i="15"/>
  <c r="BV257" i="15"/>
  <c r="BW257" i="15"/>
  <c r="BX257" i="15"/>
  <c r="BY257" i="15"/>
  <c r="BZ257" i="15"/>
  <c r="CA257" i="15"/>
  <c r="CB257" i="15"/>
  <c r="CC257" i="15"/>
  <c r="CD257" i="15"/>
  <c r="CE257" i="15"/>
  <c r="CF257" i="15"/>
  <c r="CG257" i="15"/>
  <c r="CH257" i="15"/>
  <c r="CI257" i="15"/>
  <c r="CJ257" i="15"/>
  <c r="CK257" i="15"/>
  <c r="CL257" i="15"/>
  <c r="CM257" i="15"/>
  <c r="CN257" i="15"/>
  <c r="CO257" i="15"/>
  <c r="A258" i="15"/>
  <c r="B258" i="15"/>
  <c r="C258" i="15"/>
  <c r="D258" i="15"/>
  <c r="E258" i="15"/>
  <c r="F258" i="15"/>
  <c r="G258" i="15"/>
  <c r="H258" i="15"/>
  <c r="I258" i="15"/>
  <c r="J258" i="15"/>
  <c r="K258" i="15"/>
  <c r="L258" i="15"/>
  <c r="M258" i="15"/>
  <c r="N258" i="15"/>
  <c r="O258" i="15"/>
  <c r="P258" i="15"/>
  <c r="Q258" i="15"/>
  <c r="R258" i="15"/>
  <c r="S258" i="15"/>
  <c r="T258" i="15"/>
  <c r="U258" i="15"/>
  <c r="V258" i="15"/>
  <c r="W258" i="15"/>
  <c r="X258" i="15"/>
  <c r="Y258" i="15"/>
  <c r="Z258" i="15"/>
  <c r="AA258" i="15"/>
  <c r="AB258" i="15"/>
  <c r="AC258" i="15"/>
  <c r="AD258" i="15"/>
  <c r="AE258" i="15"/>
  <c r="AF258" i="15"/>
  <c r="AG258" i="15"/>
  <c r="AH258" i="15"/>
  <c r="AI258" i="15"/>
  <c r="AJ258" i="15"/>
  <c r="AK258" i="15"/>
  <c r="AL258" i="15"/>
  <c r="AM258" i="15"/>
  <c r="AN258" i="15"/>
  <c r="AO258" i="15"/>
  <c r="AP258" i="15"/>
  <c r="AQ258" i="15"/>
  <c r="AR258" i="15"/>
  <c r="AS258" i="15"/>
  <c r="AT258" i="15"/>
  <c r="AU258" i="15"/>
  <c r="AV258" i="15"/>
  <c r="AW258" i="15"/>
  <c r="AX258" i="15"/>
  <c r="AY258" i="15"/>
  <c r="AZ258" i="15"/>
  <c r="BA258" i="15"/>
  <c r="BB258" i="15"/>
  <c r="BC258" i="15"/>
  <c r="BD258" i="15"/>
  <c r="BE258" i="15"/>
  <c r="BF258" i="15"/>
  <c r="BG258" i="15"/>
  <c r="BH258" i="15"/>
  <c r="BI258" i="15"/>
  <c r="BJ258" i="15"/>
  <c r="BK258" i="15"/>
  <c r="BL258" i="15"/>
  <c r="BM258" i="15"/>
  <c r="BN258" i="15"/>
  <c r="BO258" i="15"/>
  <c r="BP258" i="15"/>
  <c r="BQ258" i="15"/>
  <c r="BR258" i="15"/>
  <c r="BS258" i="15"/>
  <c r="BT258" i="15"/>
  <c r="BU258" i="15"/>
  <c r="BV258" i="15"/>
  <c r="BW258" i="15"/>
  <c r="BX258" i="15"/>
  <c r="BY258" i="15"/>
  <c r="BZ258" i="15"/>
  <c r="CA258" i="15"/>
  <c r="CB258" i="15"/>
  <c r="CC258" i="15"/>
  <c r="CD258" i="15"/>
  <c r="CE258" i="15"/>
  <c r="CF258" i="15"/>
  <c r="CG258" i="15"/>
  <c r="CH258" i="15"/>
  <c r="CI258" i="15"/>
  <c r="CJ258" i="15"/>
  <c r="CK258" i="15"/>
  <c r="CL258" i="15"/>
  <c r="CM258" i="15"/>
  <c r="CN258" i="15"/>
  <c r="CO258" i="15"/>
  <c r="A259" i="15"/>
  <c r="B259" i="15"/>
  <c r="C259" i="15"/>
  <c r="D259" i="15"/>
  <c r="E259" i="15"/>
  <c r="F259" i="15"/>
  <c r="G259" i="15"/>
  <c r="H259" i="15"/>
  <c r="I259" i="15"/>
  <c r="J259" i="15"/>
  <c r="K259" i="15"/>
  <c r="L259" i="15"/>
  <c r="M259" i="15"/>
  <c r="N259" i="15"/>
  <c r="O259" i="15"/>
  <c r="P259" i="15"/>
  <c r="Q259" i="15"/>
  <c r="R259" i="15"/>
  <c r="S259" i="15"/>
  <c r="T259" i="15"/>
  <c r="U259" i="15"/>
  <c r="V259" i="15"/>
  <c r="W259" i="15"/>
  <c r="X259" i="15"/>
  <c r="Y259" i="15"/>
  <c r="Z259" i="15"/>
  <c r="AA259" i="15"/>
  <c r="AB259" i="15"/>
  <c r="AC259" i="15"/>
  <c r="AD259" i="15"/>
  <c r="AE259" i="15"/>
  <c r="AF259" i="15"/>
  <c r="AG259" i="15"/>
  <c r="AH259" i="15"/>
  <c r="AI259" i="15"/>
  <c r="AJ259" i="15"/>
  <c r="AK259" i="15"/>
  <c r="AL259" i="15"/>
  <c r="AM259" i="15"/>
  <c r="AN259" i="15"/>
  <c r="AO259" i="15"/>
  <c r="AP259" i="15"/>
  <c r="AQ259" i="15"/>
  <c r="AR259" i="15"/>
  <c r="AS259" i="15"/>
  <c r="AT259" i="15"/>
  <c r="AU259" i="15"/>
  <c r="AV259" i="15"/>
  <c r="AW259" i="15"/>
  <c r="AX259" i="15"/>
  <c r="AY259" i="15"/>
  <c r="AZ259" i="15"/>
  <c r="BA259" i="15"/>
  <c r="BB259" i="15"/>
  <c r="BC259" i="15"/>
  <c r="BD259" i="15"/>
  <c r="BE259" i="15"/>
  <c r="BF259" i="15"/>
  <c r="BG259" i="15"/>
  <c r="BH259" i="15"/>
  <c r="BI259" i="15"/>
  <c r="BJ259" i="15"/>
  <c r="BK259" i="15"/>
  <c r="BL259" i="15"/>
  <c r="BM259" i="15"/>
  <c r="BN259" i="15"/>
  <c r="BO259" i="15"/>
  <c r="BP259" i="15"/>
  <c r="BQ259" i="15"/>
  <c r="BR259" i="15"/>
  <c r="BS259" i="15"/>
  <c r="BT259" i="15"/>
  <c r="BU259" i="15"/>
  <c r="BV259" i="15"/>
  <c r="BW259" i="15"/>
  <c r="BX259" i="15"/>
  <c r="BY259" i="15"/>
  <c r="BZ259" i="15"/>
  <c r="CA259" i="15"/>
  <c r="CB259" i="15"/>
  <c r="CC259" i="15"/>
  <c r="CD259" i="15"/>
  <c r="CE259" i="15"/>
  <c r="CF259" i="15"/>
  <c r="CG259" i="15"/>
  <c r="CH259" i="15"/>
  <c r="CI259" i="15"/>
  <c r="CJ259" i="15"/>
  <c r="CK259" i="15"/>
  <c r="CL259" i="15"/>
  <c r="CM259" i="15"/>
  <c r="CN259" i="15"/>
  <c r="CO259" i="15"/>
  <c r="A260" i="15"/>
  <c r="B260" i="15"/>
  <c r="C260" i="15"/>
  <c r="D260" i="15"/>
  <c r="E260" i="15"/>
  <c r="F260" i="15"/>
  <c r="G260" i="15"/>
  <c r="H260" i="15"/>
  <c r="I260" i="15"/>
  <c r="J260" i="15"/>
  <c r="K260" i="15"/>
  <c r="L260" i="15"/>
  <c r="M260" i="15"/>
  <c r="N260" i="15"/>
  <c r="O260" i="15"/>
  <c r="P260" i="15"/>
  <c r="Q260" i="15"/>
  <c r="R260" i="15"/>
  <c r="S260" i="15"/>
  <c r="T260" i="15"/>
  <c r="U260" i="15"/>
  <c r="V260" i="15"/>
  <c r="W260" i="15"/>
  <c r="X260" i="15"/>
  <c r="Y260" i="15"/>
  <c r="Z260" i="15"/>
  <c r="AA260" i="15"/>
  <c r="AB260" i="15"/>
  <c r="AC260" i="15"/>
  <c r="AD260" i="15"/>
  <c r="AE260" i="15"/>
  <c r="AF260" i="15"/>
  <c r="AG260" i="15"/>
  <c r="AH260" i="15"/>
  <c r="AI260" i="15"/>
  <c r="AJ260" i="15"/>
  <c r="AK260" i="15"/>
  <c r="AL260" i="15"/>
  <c r="AM260" i="15"/>
  <c r="AN260" i="15"/>
  <c r="AO260" i="15"/>
  <c r="AP260" i="15"/>
  <c r="AQ260" i="15"/>
  <c r="AR260" i="15"/>
  <c r="AS260" i="15"/>
  <c r="AT260" i="15"/>
  <c r="AU260" i="15"/>
  <c r="AV260" i="15"/>
  <c r="AW260" i="15"/>
  <c r="AX260" i="15"/>
  <c r="AY260" i="15"/>
  <c r="AZ260" i="15"/>
  <c r="BA260" i="15"/>
  <c r="BB260" i="15"/>
  <c r="BC260" i="15"/>
  <c r="BD260" i="15"/>
  <c r="BE260" i="15"/>
  <c r="BF260" i="15"/>
  <c r="BG260" i="15"/>
  <c r="BH260" i="15"/>
  <c r="BI260" i="15"/>
  <c r="BJ260" i="15"/>
  <c r="BK260" i="15"/>
  <c r="BL260" i="15"/>
  <c r="BM260" i="15"/>
  <c r="BN260" i="15"/>
  <c r="BO260" i="15"/>
  <c r="BP260" i="15"/>
  <c r="BQ260" i="15"/>
  <c r="BR260" i="15"/>
  <c r="BS260" i="15"/>
  <c r="BT260" i="15"/>
  <c r="BU260" i="15"/>
  <c r="BV260" i="15"/>
  <c r="BW260" i="15"/>
  <c r="BX260" i="15"/>
  <c r="BY260" i="15"/>
  <c r="BZ260" i="15"/>
  <c r="CA260" i="15"/>
  <c r="CB260" i="15"/>
  <c r="CC260" i="15"/>
  <c r="CD260" i="15"/>
  <c r="CE260" i="15"/>
  <c r="CF260" i="15"/>
  <c r="CG260" i="15"/>
  <c r="CH260" i="15"/>
  <c r="CI260" i="15"/>
  <c r="CJ260" i="15"/>
  <c r="CK260" i="15"/>
  <c r="CL260" i="15"/>
  <c r="CM260" i="15"/>
  <c r="CN260" i="15"/>
  <c r="CO260" i="15"/>
  <c r="A261" i="15"/>
  <c r="B261" i="15"/>
  <c r="C261" i="15"/>
  <c r="D261" i="15"/>
  <c r="E261" i="15"/>
  <c r="F261" i="15"/>
  <c r="G261" i="15"/>
  <c r="H261" i="15"/>
  <c r="I261" i="15"/>
  <c r="J261" i="15"/>
  <c r="K261" i="15"/>
  <c r="L261" i="15"/>
  <c r="M261" i="15"/>
  <c r="N261" i="15"/>
  <c r="O261" i="15"/>
  <c r="P261" i="15"/>
  <c r="Q261" i="15"/>
  <c r="R261" i="15"/>
  <c r="S261" i="15"/>
  <c r="T261" i="15"/>
  <c r="U261" i="15"/>
  <c r="V261" i="15"/>
  <c r="W261" i="15"/>
  <c r="X261" i="15"/>
  <c r="Y261" i="15"/>
  <c r="Z261" i="15"/>
  <c r="AA261" i="15"/>
  <c r="AB261" i="15"/>
  <c r="AC261" i="15"/>
  <c r="AD261" i="15"/>
  <c r="AE261" i="15"/>
  <c r="AF261" i="15"/>
  <c r="AG261" i="15"/>
  <c r="AH261" i="15"/>
  <c r="AI261" i="15"/>
  <c r="AJ261" i="15"/>
  <c r="AK261" i="15"/>
  <c r="AL261" i="15"/>
  <c r="AM261" i="15"/>
  <c r="AN261" i="15"/>
  <c r="AO261" i="15"/>
  <c r="AP261" i="15"/>
  <c r="AQ261" i="15"/>
  <c r="AR261" i="15"/>
  <c r="AS261" i="15"/>
  <c r="AT261" i="15"/>
  <c r="AU261" i="15"/>
  <c r="AV261" i="15"/>
  <c r="AW261" i="15"/>
  <c r="AX261" i="15"/>
  <c r="AY261" i="15"/>
  <c r="AZ261" i="15"/>
  <c r="BA261" i="15"/>
  <c r="BB261" i="15"/>
  <c r="BC261" i="15"/>
  <c r="BD261" i="15"/>
  <c r="BE261" i="15"/>
  <c r="BF261" i="15"/>
  <c r="BG261" i="15"/>
  <c r="BH261" i="15"/>
  <c r="BI261" i="15"/>
  <c r="BJ261" i="15"/>
  <c r="BK261" i="15"/>
  <c r="BL261" i="15"/>
  <c r="BM261" i="15"/>
  <c r="BN261" i="15"/>
  <c r="BO261" i="15"/>
  <c r="BP261" i="15"/>
  <c r="BQ261" i="15"/>
  <c r="BR261" i="15"/>
  <c r="BS261" i="15"/>
  <c r="BT261" i="15"/>
  <c r="BU261" i="15"/>
  <c r="BV261" i="15"/>
  <c r="BW261" i="15"/>
  <c r="BX261" i="15"/>
  <c r="BY261" i="15"/>
  <c r="BZ261" i="15"/>
  <c r="CA261" i="15"/>
  <c r="CB261" i="15"/>
  <c r="CC261" i="15"/>
  <c r="CD261" i="15"/>
  <c r="CE261" i="15"/>
  <c r="CF261" i="15"/>
  <c r="CG261" i="15"/>
  <c r="CH261" i="15"/>
  <c r="CI261" i="15"/>
  <c r="CJ261" i="15"/>
  <c r="CK261" i="15"/>
  <c r="CL261" i="15"/>
  <c r="CM261" i="15"/>
  <c r="CN261" i="15"/>
  <c r="CO261" i="15"/>
  <c r="A262" i="15"/>
  <c r="B262" i="15"/>
  <c r="C262" i="15"/>
  <c r="D262" i="15"/>
  <c r="E262" i="15"/>
  <c r="F262" i="15"/>
  <c r="G262" i="15"/>
  <c r="H262" i="15"/>
  <c r="I262" i="15"/>
  <c r="J262" i="15"/>
  <c r="K262" i="15"/>
  <c r="L262" i="15"/>
  <c r="M262" i="15"/>
  <c r="N262" i="15"/>
  <c r="O262" i="15"/>
  <c r="P262" i="15"/>
  <c r="Q262" i="15"/>
  <c r="R262" i="15"/>
  <c r="S262" i="15"/>
  <c r="T262" i="15"/>
  <c r="U262" i="15"/>
  <c r="V262" i="15"/>
  <c r="W262" i="15"/>
  <c r="X262" i="15"/>
  <c r="Y262" i="15"/>
  <c r="Z262" i="15"/>
  <c r="AA262" i="15"/>
  <c r="AB262" i="15"/>
  <c r="AC262" i="15"/>
  <c r="AD262" i="15"/>
  <c r="AE262" i="15"/>
  <c r="AF262" i="15"/>
  <c r="AG262" i="15"/>
  <c r="AH262" i="15"/>
  <c r="AI262" i="15"/>
  <c r="AJ262" i="15"/>
  <c r="AK262" i="15"/>
  <c r="AL262" i="15"/>
  <c r="AM262" i="15"/>
  <c r="AN262" i="15"/>
  <c r="AO262" i="15"/>
  <c r="AP262" i="15"/>
  <c r="AQ262" i="15"/>
  <c r="AR262" i="15"/>
  <c r="AS262" i="15"/>
  <c r="AT262" i="15"/>
  <c r="AU262" i="15"/>
  <c r="AV262" i="15"/>
  <c r="AW262" i="15"/>
  <c r="AX262" i="15"/>
  <c r="AY262" i="15"/>
  <c r="AZ262" i="15"/>
  <c r="BA262" i="15"/>
  <c r="BB262" i="15"/>
  <c r="BC262" i="15"/>
  <c r="BD262" i="15"/>
  <c r="BE262" i="15"/>
  <c r="BF262" i="15"/>
  <c r="BG262" i="15"/>
  <c r="BH262" i="15"/>
  <c r="BI262" i="15"/>
  <c r="BJ262" i="15"/>
  <c r="BK262" i="15"/>
  <c r="BL262" i="15"/>
  <c r="BM262" i="15"/>
  <c r="BN262" i="15"/>
  <c r="BO262" i="15"/>
  <c r="BP262" i="15"/>
  <c r="BQ262" i="15"/>
  <c r="BR262" i="15"/>
  <c r="BS262" i="15"/>
  <c r="BT262" i="15"/>
  <c r="BU262" i="15"/>
  <c r="BV262" i="15"/>
  <c r="BW262" i="15"/>
  <c r="BX262" i="15"/>
  <c r="BY262" i="15"/>
  <c r="BZ262" i="15"/>
  <c r="CA262" i="15"/>
  <c r="CB262" i="15"/>
  <c r="CC262" i="15"/>
  <c r="CD262" i="15"/>
  <c r="CE262" i="15"/>
  <c r="CF262" i="15"/>
  <c r="CG262" i="15"/>
  <c r="CH262" i="15"/>
  <c r="CI262" i="15"/>
  <c r="CJ262" i="15"/>
  <c r="CK262" i="15"/>
  <c r="CL262" i="15"/>
  <c r="CM262" i="15"/>
  <c r="CN262" i="15"/>
  <c r="CO262" i="15"/>
  <c r="A263" i="15"/>
  <c r="B263" i="15"/>
  <c r="C263" i="15"/>
  <c r="D263" i="15"/>
  <c r="E263" i="15"/>
  <c r="F263" i="15"/>
  <c r="G263" i="15"/>
  <c r="H263" i="15"/>
  <c r="I263" i="15"/>
  <c r="J263" i="15"/>
  <c r="K263" i="15"/>
  <c r="L263" i="15"/>
  <c r="M263" i="15"/>
  <c r="N263" i="15"/>
  <c r="O263" i="15"/>
  <c r="P263" i="15"/>
  <c r="Q263" i="15"/>
  <c r="R263" i="15"/>
  <c r="S263" i="15"/>
  <c r="T263" i="15"/>
  <c r="U263" i="15"/>
  <c r="V263" i="15"/>
  <c r="W263" i="15"/>
  <c r="X263" i="15"/>
  <c r="Y263" i="15"/>
  <c r="Z263" i="15"/>
  <c r="AA263" i="15"/>
  <c r="AB263" i="15"/>
  <c r="AC263" i="15"/>
  <c r="AD263" i="15"/>
  <c r="AE263" i="15"/>
  <c r="AF263" i="15"/>
  <c r="AG263" i="15"/>
  <c r="AH263" i="15"/>
  <c r="AI263" i="15"/>
  <c r="AJ263" i="15"/>
  <c r="AK263" i="15"/>
  <c r="AL263" i="15"/>
  <c r="AM263" i="15"/>
  <c r="AN263" i="15"/>
  <c r="AO263" i="15"/>
  <c r="AP263" i="15"/>
  <c r="AQ263" i="15"/>
  <c r="AR263" i="15"/>
  <c r="AS263" i="15"/>
  <c r="AT263" i="15"/>
  <c r="AU263" i="15"/>
  <c r="AV263" i="15"/>
  <c r="AW263" i="15"/>
  <c r="AX263" i="15"/>
  <c r="AY263" i="15"/>
  <c r="AZ263" i="15"/>
  <c r="BA263" i="15"/>
  <c r="BB263" i="15"/>
  <c r="BC263" i="15"/>
  <c r="BD263" i="15"/>
  <c r="BE263" i="15"/>
  <c r="BF263" i="15"/>
  <c r="BG263" i="15"/>
  <c r="BH263" i="15"/>
  <c r="BI263" i="15"/>
  <c r="BJ263" i="15"/>
  <c r="BK263" i="15"/>
  <c r="BL263" i="15"/>
  <c r="BM263" i="15"/>
  <c r="BN263" i="15"/>
  <c r="BO263" i="15"/>
  <c r="BP263" i="15"/>
  <c r="BQ263" i="15"/>
  <c r="BR263" i="15"/>
  <c r="BS263" i="15"/>
  <c r="BT263" i="15"/>
  <c r="BU263" i="15"/>
  <c r="BV263" i="15"/>
  <c r="BW263" i="15"/>
  <c r="BX263" i="15"/>
  <c r="BY263" i="15"/>
  <c r="BZ263" i="15"/>
  <c r="CA263" i="15"/>
  <c r="CB263" i="15"/>
  <c r="CC263" i="15"/>
  <c r="CD263" i="15"/>
  <c r="CE263" i="15"/>
  <c r="CF263" i="15"/>
  <c r="CG263" i="15"/>
  <c r="CH263" i="15"/>
  <c r="CI263" i="15"/>
  <c r="CJ263" i="15"/>
  <c r="CK263" i="15"/>
  <c r="CL263" i="15"/>
  <c r="CM263" i="15"/>
  <c r="CN263" i="15"/>
  <c r="CO263" i="15"/>
  <c r="A264" i="15"/>
  <c r="B264" i="15"/>
  <c r="C264" i="15"/>
  <c r="D264" i="15"/>
  <c r="E264" i="15"/>
  <c r="F264" i="15"/>
  <c r="G264" i="15"/>
  <c r="H264" i="15"/>
  <c r="I264" i="15"/>
  <c r="J264" i="15"/>
  <c r="K264" i="15"/>
  <c r="L264" i="15"/>
  <c r="M264" i="15"/>
  <c r="N264" i="15"/>
  <c r="O264" i="15"/>
  <c r="P264" i="15"/>
  <c r="Q264" i="15"/>
  <c r="R264" i="15"/>
  <c r="S264" i="15"/>
  <c r="T264" i="15"/>
  <c r="U264" i="15"/>
  <c r="V264" i="15"/>
  <c r="W264" i="15"/>
  <c r="X264" i="15"/>
  <c r="Y264" i="15"/>
  <c r="Z264" i="15"/>
  <c r="AA264" i="15"/>
  <c r="AB264" i="15"/>
  <c r="AC264" i="15"/>
  <c r="AD264" i="15"/>
  <c r="AE264" i="15"/>
  <c r="AF264" i="15"/>
  <c r="AG264" i="15"/>
  <c r="AH264" i="15"/>
  <c r="AI264" i="15"/>
  <c r="AJ264" i="15"/>
  <c r="AK264" i="15"/>
  <c r="AL264" i="15"/>
  <c r="AM264" i="15"/>
  <c r="AN264" i="15"/>
  <c r="AO264" i="15"/>
  <c r="AP264" i="15"/>
  <c r="AQ264" i="15"/>
  <c r="AR264" i="15"/>
  <c r="AS264" i="15"/>
  <c r="AT264" i="15"/>
  <c r="AU264" i="15"/>
  <c r="AV264" i="15"/>
  <c r="AW264" i="15"/>
  <c r="AX264" i="15"/>
  <c r="AY264" i="15"/>
  <c r="AZ264" i="15"/>
  <c r="BA264" i="15"/>
  <c r="BB264" i="15"/>
  <c r="BC264" i="15"/>
  <c r="BD264" i="15"/>
  <c r="BE264" i="15"/>
  <c r="BF264" i="15"/>
  <c r="BG264" i="15"/>
  <c r="BH264" i="15"/>
  <c r="BI264" i="15"/>
  <c r="BJ264" i="15"/>
  <c r="BK264" i="15"/>
  <c r="BL264" i="15"/>
  <c r="BM264" i="15"/>
  <c r="BN264" i="15"/>
  <c r="BO264" i="15"/>
  <c r="BP264" i="15"/>
  <c r="BQ264" i="15"/>
  <c r="BR264" i="15"/>
  <c r="BS264" i="15"/>
  <c r="BT264" i="15"/>
  <c r="BU264" i="15"/>
  <c r="BV264" i="15"/>
  <c r="BW264" i="15"/>
  <c r="BX264" i="15"/>
  <c r="BY264" i="15"/>
  <c r="BZ264" i="15"/>
  <c r="CA264" i="15"/>
  <c r="CB264" i="15"/>
  <c r="CC264" i="15"/>
  <c r="CD264" i="15"/>
  <c r="CE264" i="15"/>
  <c r="CF264" i="15"/>
  <c r="CG264" i="15"/>
  <c r="CH264" i="15"/>
  <c r="CI264" i="15"/>
  <c r="CJ264" i="15"/>
  <c r="CK264" i="15"/>
  <c r="CL264" i="15"/>
  <c r="CM264" i="15"/>
  <c r="CN264" i="15"/>
  <c r="CO264" i="15"/>
  <c r="A265" i="15"/>
  <c r="B265" i="15"/>
  <c r="C265" i="15"/>
  <c r="D265" i="15"/>
  <c r="E265" i="15"/>
  <c r="F265" i="15"/>
  <c r="G265" i="15"/>
  <c r="H265" i="15"/>
  <c r="I265" i="15"/>
  <c r="J265" i="15"/>
  <c r="K265" i="15"/>
  <c r="L265" i="15"/>
  <c r="M265" i="15"/>
  <c r="N265" i="15"/>
  <c r="O265" i="15"/>
  <c r="P265" i="15"/>
  <c r="Q265" i="15"/>
  <c r="R265" i="15"/>
  <c r="S265" i="15"/>
  <c r="T265" i="15"/>
  <c r="U265" i="15"/>
  <c r="V265" i="15"/>
  <c r="W265" i="15"/>
  <c r="X265" i="15"/>
  <c r="Y265" i="15"/>
  <c r="Z265" i="15"/>
  <c r="AA265" i="15"/>
  <c r="AB265" i="15"/>
  <c r="AC265" i="15"/>
  <c r="AD265" i="15"/>
  <c r="AE265" i="15"/>
  <c r="AF265" i="15"/>
  <c r="AG265" i="15"/>
  <c r="AH265" i="15"/>
  <c r="AI265" i="15"/>
  <c r="AJ265" i="15"/>
  <c r="AK265" i="15"/>
  <c r="AL265" i="15"/>
  <c r="AM265" i="15"/>
  <c r="AN265" i="15"/>
  <c r="AO265" i="15"/>
  <c r="AP265" i="15"/>
  <c r="AQ265" i="15"/>
  <c r="AR265" i="15"/>
  <c r="AS265" i="15"/>
  <c r="AT265" i="15"/>
  <c r="AU265" i="15"/>
  <c r="AV265" i="15"/>
  <c r="AW265" i="15"/>
  <c r="AX265" i="15"/>
  <c r="AY265" i="15"/>
  <c r="AZ265" i="15"/>
  <c r="BA265" i="15"/>
  <c r="BB265" i="15"/>
  <c r="BC265" i="15"/>
  <c r="BD265" i="15"/>
  <c r="BE265" i="15"/>
  <c r="BF265" i="15"/>
  <c r="BG265" i="15"/>
  <c r="BH265" i="15"/>
  <c r="BI265" i="15"/>
  <c r="BJ265" i="15"/>
  <c r="BK265" i="15"/>
  <c r="BL265" i="15"/>
  <c r="BM265" i="15"/>
  <c r="BN265" i="15"/>
  <c r="BO265" i="15"/>
  <c r="BP265" i="15"/>
  <c r="BQ265" i="15"/>
  <c r="BR265" i="15"/>
  <c r="BS265" i="15"/>
  <c r="BT265" i="15"/>
  <c r="BU265" i="15"/>
  <c r="BV265" i="15"/>
  <c r="BW265" i="15"/>
  <c r="BX265" i="15"/>
  <c r="BY265" i="15"/>
  <c r="BZ265" i="15"/>
  <c r="CA265" i="15"/>
  <c r="CB265" i="15"/>
  <c r="CC265" i="15"/>
  <c r="CD265" i="15"/>
  <c r="CE265" i="15"/>
  <c r="CF265" i="15"/>
  <c r="CG265" i="15"/>
  <c r="CH265" i="15"/>
  <c r="CI265" i="15"/>
  <c r="CJ265" i="15"/>
  <c r="CK265" i="15"/>
  <c r="CL265" i="15"/>
  <c r="CM265" i="15"/>
  <c r="CN265" i="15"/>
  <c r="CO265" i="15"/>
  <c r="A266" i="15"/>
  <c r="B266" i="15"/>
  <c r="C266" i="15"/>
  <c r="D266" i="15"/>
  <c r="E266" i="15"/>
  <c r="F266" i="15"/>
  <c r="G266" i="15"/>
  <c r="H266" i="15"/>
  <c r="I266" i="15"/>
  <c r="J266" i="15"/>
  <c r="K266" i="15"/>
  <c r="L266" i="15"/>
  <c r="M266" i="15"/>
  <c r="N266" i="15"/>
  <c r="O266" i="15"/>
  <c r="P266" i="15"/>
  <c r="Q266" i="15"/>
  <c r="R266" i="15"/>
  <c r="S266" i="15"/>
  <c r="T266" i="15"/>
  <c r="U266" i="15"/>
  <c r="V266" i="15"/>
  <c r="W266" i="15"/>
  <c r="X266" i="15"/>
  <c r="Y266" i="15"/>
  <c r="Z266" i="15"/>
  <c r="AA266" i="15"/>
  <c r="AB266" i="15"/>
  <c r="AC266" i="15"/>
  <c r="AD266" i="15"/>
  <c r="AE266" i="15"/>
  <c r="AF266" i="15"/>
  <c r="AG266" i="15"/>
  <c r="AH266" i="15"/>
  <c r="AI266" i="15"/>
  <c r="AJ266" i="15"/>
  <c r="AK266" i="15"/>
  <c r="AL266" i="15"/>
  <c r="AM266" i="15"/>
  <c r="AN266" i="15"/>
  <c r="AO266" i="15"/>
  <c r="AP266" i="15"/>
  <c r="AQ266" i="15"/>
  <c r="AR266" i="15"/>
  <c r="AS266" i="15"/>
  <c r="AT266" i="15"/>
  <c r="AU266" i="15"/>
  <c r="AV266" i="15"/>
  <c r="AW266" i="15"/>
  <c r="AX266" i="15"/>
  <c r="AY266" i="15"/>
  <c r="AZ266" i="15"/>
  <c r="BA266" i="15"/>
  <c r="BB266" i="15"/>
  <c r="BC266" i="15"/>
  <c r="BD266" i="15"/>
  <c r="BE266" i="15"/>
  <c r="BF266" i="15"/>
  <c r="BG266" i="15"/>
  <c r="BH266" i="15"/>
  <c r="BI266" i="15"/>
  <c r="BJ266" i="15"/>
  <c r="BK266" i="15"/>
  <c r="BL266" i="15"/>
  <c r="BM266" i="15"/>
  <c r="BN266" i="15"/>
  <c r="BO266" i="15"/>
  <c r="BP266" i="15"/>
  <c r="BQ266" i="15"/>
  <c r="BR266" i="15"/>
  <c r="BS266" i="15"/>
  <c r="BT266" i="15"/>
  <c r="BU266" i="15"/>
  <c r="BV266" i="15"/>
  <c r="BW266" i="15"/>
  <c r="BX266" i="15"/>
  <c r="BY266" i="15"/>
  <c r="BZ266" i="15"/>
  <c r="CA266" i="15"/>
  <c r="CB266" i="15"/>
  <c r="CC266" i="15"/>
  <c r="CD266" i="15"/>
  <c r="CE266" i="15"/>
  <c r="CF266" i="15"/>
  <c r="CG266" i="15"/>
  <c r="CH266" i="15"/>
  <c r="CI266" i="15"/>
  <c r="CJ266" i="15"/>
  <c r="CK266" i="15"/>
  <c r="CL266" i="15"/>
  <c r="CM266" i="15"/>
  <c r="CN266" i="15"/>
  <c r="CO266" i="15"/>
  <c r="A267" i="15"/>
  <c r="B267" i="15"/>
  <c r="C267" i="15"/>
  <c r="D267" i="15"/>
  <c r="E267" i="15"/>
  <c r="F267" i="15"/>
  <c r="G267" i="15"/>
  <c r="H267" i="15"/>
  <c r="I267" i="15"/>
  <c r="J267" i="15"/>
  <c r="K267" i="15"/>
  <c r="L267" i="15"/>
  <c r="M267" i="15"/>
  <c r="N267" i="15"/>
  <c r="O267" i="15"/>
  <c r="P267" i="15"/>
  <c r="Q267" i="15"/>
  <c r="R267" i="15"/>
  <c r="S267" i="15"/>
  <c r="T267" i="15"/>
  <c r="U267" i="15"/>
  <c r="V267" i="15"/>
  <c r="W267" i="15"/>
  <c r="X267" i="15"/>
  <c r="Y267" i="15"/>
  <c r="Z267" i="15"/>
  <c r="AA267" i="15"/>
  <c r="AB267" i="15"/>
  <c r="AC267" i="15"/>
  <c r="AD267" i="15"/>
  <c r="AE267" i="15"/>
  <c r="AF267" i="15"/>
  <c r="AG267" i="15"/>
  <c r="AH267" i="15"/>
  <c r="AI267" i="15"/>
  <c r="AJ267" i="15"/>
  <c r="AK267" i="15"/>
  <c r="AL267" i="15"/>
  <c r="AM267" i="15"/>
  <c r="AN267" i="15"/>
  <c r="AO267" i="15"/>
  <c r="AP267" i="15"/>
  <c r="AQ267" i="15"/>
  <c r="AR267" i="15"/>
  <c r="AS267" i="15"/>
  <c r="AT267" i="15"/>
  <c r="AU267" i="15"/>
  <c r="AV267" i="15"/>
  <c r="AW267" i="15"/>
  <c r="AX267" i="15"/>
  <c r="AY267" i="15"/>
  <c r="AZ267" i="15"/>
  <c r="BA267" i="15"/>
  <c r="BB267" i="15"/>
  <c r="BC267" i="15"/>
  <c r="BD267" i="15"/>
  <c r="BE267" i="15"/>
  <c r="BF267" i="15"/>
  <c r="BG267" i="15"/>
  <c r="BH267" i="15"/>
  <c r="BI267" i="15"/>
  <c r="BJ267" i="15"/>
  <c r="BK267" i="15"/>
  <c r="BL267" i="15"/>
  <c r="BM267" i="15"/>
  <c r="BN267" i="15"/>
  <c r="BO267" i="15"/>
  <c r="BP267" i="15"/>
  <c r="BQ267" i="15"/>
  <c r="BR267" i="15"/>
  <c r="BS267" i="15"/>
  <c r="BT267" i="15"/>
  <c r="BU267" i="15"/>
  <c r="BV267" i="15"/>
  <c r="BW267" i="15"/>
  <c r="BX267" i="15"/>
  <c r="BY267" i="15"/>
  <c r="BZ267" i="15"/>
  <c r="CA267" i="15"/>
  <c r="CB267" i="15"/>
  <c r="CC267" i="15"/>
  <c r="CD267" i="15"/>
  <c r="CE267" i="15"/>
  <c r="CF267" i="15"/>
  <c r="CG267" i="15"/>
  <c r="CH267" i="15"/>
  <c r="CI267" i="15"/>
  <c r="CJ267" i="15"/>
  <c r="CK267" i="15"/>
  <c r="CL267" i="15"/>
  <c r="CM267" i="15"/>
  <c r="CN267" i="15"/>
  <c r="CO267" i="15"/>
  <c r="A268" i="15"/>
  <c r="B268" i="15"/>
  <c r="C268" i="15"/>
  <c r="D268" i="15"/>
  <c r="E268" i="15"/>
  <c r="F268" i="15"/>
  <c r="G268" i="15"/>
  <c r="H268" i="15"/>
  <c r="I268" i="15"/>
  <c r="J268" i="15"/>
  <c r="K268" i="15"/>
  <c r="L268" i="15"/>
  <c r="M268" i="15"/>
  <c r="N268" i="15"/>
  <c r="O268" i="15"/>
  <c r="P268" i="15"/>
  <c r="Q268" i="15"/>
  <c r="R268" i="15"/>
  <c r="S268" i="15"/>
  <c r="T268" i="15"/>
  <c r="U268" i="15"/>
  <c r="V268" i="15"/>
  <c r="W268" i="15"/>
  <c r="X268" i="15"/>
  <c r="Y268" i="15"/>
  <c r="Z268" i="15"/>
  <c r="AA268" i="15"/>
  <c r="AB268" i="15"/>
  <c r="AC268" i="15"/>
  <c r="AD268" i="15"/>
  <c r="AE268" i="15"/>
  <c r="AF268" i="15"/>
  <c r="AG268" i="15"/>
  <c r="AH268" i="15"/>
  <c r="AI268" i="15"/>
  <c r="AJ268" i="15"/>
  <c r="AK268" i="15"/>
  <c r="AL268" i="15"/>
  <c r="AM268" i="15"/>
  <c r="AN268" i="15"/>
  <c r="AO268" i="15"/>
  <c r="AP268" i="15"/>
  <c r="AQ268" i="15"/>
  <c r="AR268" i="15"/>
  <c r="AS268" i="15"/>
  <c r="AT268" i="15"/>
  <c r="AU268" i="15"/>
  <c r="AV268" i="15"/>
  <c r="AW268" i="15"/>
  <c r="AX268" i="15"/>
  <c r="AY268" i="15"/>
  <c r="AZ268" i="15"/>
  <c r="BA268" i="15"/>
  <c r="BB268" i="15"/>
  <c r="BC268" i="15"/>
  <c r="BD268" i="15"/>
  <c r="BE268" i="15"/>
  <c r="BF268" i="15"/>
  <c r="BG268" i="15"/>
  <c r="BH268" i="15"/>
  <c r="BI268" i="15"/>
  <c r="BJ268" i="15"/>
  <c r="BK268" i="15"/>
  <c r="BL268" i="15"/>
  <c r="BM268" i="15"/>
  <c r="BN268" i="15"/>
  <c r="BO268" i="15"/>
  <c r="BP268" i="15"/>
  <c r="BQ268" i="15"/>
  <c r="BR268" i="15"/>
  <c r="BS268" i="15"/>
  <c r="BT268" i="15"/>
  <c r="BU268" i="15"/>
  <c r="BV268" i="15"/>
  <c r="BW268" i="15"/>
  <c r="BX268" i="15"/>
  <c r="BY268" i="15"/>
  <c r="BZ268" i="15"/>
  <c r="CA268" i="15"/>
  <c r="CB268" i="15"/>
  <c r="CC268" i="15"/>
  <c r="CD268" i="15"/>
  <c r="CE268" i="15"/>
  <c r="CF268" i="15"/>
  <c r="CG268" i="15"/>
  <c r="CH268" i="15"/>
  <c r="CI268" i="15"/>
  <c r="CJ268" i="15"/>
  <c r="CK268" i="15"/>
  <c r="CL268" i="15"/>
  <c r="CM268" i="15"/>
  <c r="CN268" i="15"/>
  <c r="CO268" i="15"/>
  <c r="A269" i="15"/>
  <c r="B269" i="15"/>
  <c r="C269" i="15"/>
  <c r="D269" i="15"/>
  <c r="E269" i="15"/>
  <c r="F269" i="15"/>
  <c r="G269" i="15"/>
  <c r="H269" i="15"/>
  <c r="I269" i="15"/>
  <c r="J269" i="15"/>
  <c r="K269" i="15"/>
  <c r="L269" i="15"/>
  <c r="M269" i="15"/>
  <c r="N269" i="15"/>
  <c r="O269" i="15"/>
  <c r="P269" i="15"/>
  <c r="Q269" i="15"/>
  <c r="R269" i="15"/>
  <c r="S269" i="15"/>
  <c r="T269" i="15"/>
  <c r="U269" i="15"/>
  <c r="V269" i="15"/>
  <c r="W269" i="15"/>
  <c r="X269" i="15"/>
  <c r="Y269" i="15"/>
  <c r="Z269" i="15"/>
  <c r="AA269" i="15"/>
  <c r="AB269" i="15"/>
  <c r="AC269" i="15"/>
  <c r="AD269" i="15"/>
  <c r="AE269" i="15"/>
  <c r="AF269" i="15"/>
  <c r="AG269" i="15"/>
  <c r="AH269" i="15"/>
  <c r="AI269" i="15"/>
  <c r="AJ269" i="15"/>
  <c r="AK269" i="15"/>
  <c r="AL269" i="15"/>
  <c r="AM269" i="15"/>
  <c r="AN269" i="15"/>
  <c r="AO269" i="15"/>
  <c r="AP269" i="15"/>
  <c r="AQ269" i="15"/>
  <c r="AR269" i="15"/>
  <c r="AS269" i="15"/>
  <c r="AT269" i="15"/>
  <c r="AU269" i="15"/>
  <c r="AV269" i="15"/>
  <c r="AW269" i="15"/>
  <c r="AX269" i="15"/>
  <c r="AY269" i="15"/>
  <c r="AZ269" i="15"/>
  <c r="BA269" i="15"/>
  <c r="BB269" i="15"/>
  <c r="BC269" i="15"/>
  <c r="BD269" i="15"/>
  <c r="BE269" i="15"/>
  <c r="BF269" i="15"/>
  <c r="BG269" i="15"/>
  <c r="BH269" i="15"/>
  <c r="BI269" i="15"/>
  <c r="BJ269" i="15"/>
  <c r="BK269" i="15"/>
  <c r="BL269" i="15"/>
  <c r="BM269" i="15"/>
  <c r="BN269" i="15"/>
  <c r="BO269" i="15"/>
  <c r="BP269" i="15"/>
  <c r="BQ269" i="15"/>
  <c r="BR269" i="15"/>
  <c r="BS269" i="15"/>
  <c r="BT269" i="15"/>
  <c r="BU269" i="15"/>
  <c r="BV269" i="15"/>
  <c r="BW269" i="15"/>
  <c r="BX269" i="15"/>
  <c r="BY269" i="15"/>
  <c r="BZ269" i="15"/>
  <c r="CA269" i="15"/>
  <c r="CB269" i="15"/>
  <c r="CC269" i="15"/>
  <c r="CD269" i="15"/>
  <c r="CE269" i="15"/>
  <c r="CF269" i="15"/>
  <c r="CG269" i="15"/>
  <c r="CH269" i="15"/>
  <c r="CI269" i="15"/>
  <c r="CJ269" i="15"/>
  <c r="CK269" i="15"/>
  <c r="CL269" i="15"/>
  <c r="CM269" i="15"/>
  <c r="CN269" i="15"/>
  <c r="CO269" i="15"/>
  <c r="A270" i="15"/>
  <c r="B270" i="15"/>
  <c r="C270" i="15"/>
  <c r="D270" i="15"/>
  <c r="E270" i="15"/>
  <c r="F270" i="15"/>
  <c r="G270" i="15"/>
  <c r="H270" i="15"/>
  <c r="I270" i="15"/>
  <c r="J270" i="15"/>
  <c r="K270" i="15"/>
  <c r="L270" i="15"/>
  <c r="M270" i="15"/>
  <c r="N270" i="15"/>
  <c r="O270" i="15"/>
  <c r="P270" i="15"/>
  <c r="Q270" i="15"/>
  <c r="R270" i="15"/>
  <c r="S270" i="15"/>
  <c r="T270" i="15"/>
  <c r="U270" i="15"/>
  <c r="V270" i="15"/>
  <c r="W270" i="15"/>
  <c r="X270" i="15"/>
  <c r="Y270" i="15"/>
  <c r="Z270" i="15"/>
  <c r="AA270" i="15"/>
  <c r="AB270" i="15"/>
  <c r="AC270" i="15"/>
  <c r="AD270" i="15"/>
  <c r="AE270" i="15"/>
  <c r="AF270" i="15"/>
  <c r="AG270" i="15"/>
  <c r="AH270" i="15"/>
  <c r="AI270" i="15"/>
  <c r="AJ270" i="15"/>
  <c r="AK270" i="15"/>
  <c r="AL270" i="15"/>
  <c r="AM270" i="15"/>
  <c r="AN270" i="15"/>
  <c r="AO270" i="15"/>
  <c r="AP270" i="15"/>
  <c r="AQ270" i="15"/>
  <c r="AR270" i="15"/>
  <c r="AS270" i="15"/>
  <c r="AT270" i="15"/>
  <c r="AU270" i="15"/>
  <c r="AV270" i="15"/>
  <c r="AW270" i="15"/>
  <c r="AX270" i="15"/>
  <c r="AY270" i="15"/>
  <c r="AZ270" i="15"/>
  <c r="BA270" i="15"/>
  <c r="BB270" i="15"/>
  <c r="BC270" i="15"/>
  <c r="BD270" i="15"/>
  <c r="BE270" i="15"/>
  <c r="BF270" i="15"/>
  <c r="BG270" i="15"/>
  <c r="BH270" i="15"/>
  <c r="BI270" i="15"/>
  <c r="BJ270" i="15"/>
  <c r="BK270" i="15"/>
  <c r="BL270" i="15"/>
  <c r="BM270" i="15"/>
  <c r="BN270" i="15"/>
  <c r="BO270" i="15"/>
  <c r="BP270" i="15"/>
  <c r="BQ270" i="15"/>
  <c r="BR270" i="15"/>
  <c r="BS270" i="15"/>
  <c r="BT270" i="15"/>
  <c r="BU270" i="15"/>
  <c r="BV270" i="15"/>
  <c r="BW270" i="15"/>
  <c r="BX270" i="15"/>
  <c r="BY270" i="15"/>
  <c r="BZ270" i="15"/>
  <c r="CA270" i="15"/>
  <c r="CB270" i="15"/>
  <c r="CC270" i="15"/>
  <c r="CD270" i="15"/>
  <c r="CE270" i="15"/>
  <c r="CF270" i="15"/>
  <c r="CG270" i="15"/>
  <c r="CH270" i="15"/>
  <c r="CI270" i="15"/>
  <c r="CJ270" i="15"/>
  <c r="CK270" i="15"/>
  <c r="CL270" i="15"/>
  <c r="CM270" i="15"/>
  <c r="CN270" i="15"/>
  <c r="CO270" i="15"/>
  <c r="A271" i="15"/>
  <c r="B271" i="15"/>
  <c r="C271" i="15"/>
  <c r="D271" i="15"/>
  <c r="E271" i="15"/>
  <c r="F271" i="15"/>
  <c r="G271" i="15"/>
  <c r="H271" i="15"/>
  <c r="I271" i="15"/>
  <c r="J271" i="15"/>
  <c r="K271" i="15"/>
  <c r="L271" i="15"/>
  <c r="M271" i="15"/>
  <c r="N271" i="15"/>
  <c r="O271" i="15"/>
  <c r="P271" i="15"/>
  <c r="Q271" i="15"/>
  <c r="R271" i="15"/>
  <c r="S271" i="15"/>
  <c r="T271" i="15"/>
  <c r="U271" i="15"/>
  <c r="V271" i="15"/>
  <c r="W271" i="15"/>
  <c r="X271" i="15"/>
  <c r="Y271" i="15"/>
  <c r="Z271" i="15"/>
  <c r="AA271" i="15"/>
  <c r="AB271" i="15"/>
  <c r="AC271" i="15"/>
  <c r="AD271" i="15"/>
  <c r="AE271" i="15"/>
  <c r="AF271" i="15"/>
  <c r="AG271" i="15"/>
  <c r="AH271" i="15"/>
  <c r="AI271" i="15"/>
  <c r="AJ271" i="15"/>
  <c r="AK271" i="15"/>
  <c r="AL271" i="15"/>
  <c r="AM271" i="15"/>
  <c r="AN271" i="15"/>
  <c r="AO271" i="15"/>
  <c r="AP271" i="15"/>
  <c r="AQ271" i="15"/>
  <c r="AR271" i="15"/>
  <c r="AS271" i="15"/>
  <c r="AT271" i="15"/>
  <c r="AU271" i="15"/>
  <c r="AV271" i="15"/>
  <c r="AW271" i="15"/>
  <c r="AX271" i="15"/>
  <c r="AY271" i="15"/>
  <c r="AZ271" i="15"/>
  <c r="BA271" i="15"/>
  <c r="BB271" i="15"/>
  <c r="BC271" i="15"/>
  <c r="BD271" i="15"/>
  <c r="BE271" i="15"/>
  <c r="BF271" i="15"/>
  <c r="BG271" i="15"/>
  <c r="BH271" i="15"/>
  <c r="BI271" i="15"/>
  <c r="BJ271" i="15"/>
  <c r="BK271" i="15"/>
  <c r="BL271" i="15"/>
  <c r="BM271" i="15"/>
  <c r="BN271" i="15"/>
  <c r="BO271" i="15"/>
  <c r="BP271" i="15"/>
  <c r="BQ271" i="15"/>
  <c r="BR271" i="15"/>
  <c r="BS271" i="15"/>
  <c r="BT271" i="15"/>
  <c r="BU271" i="15"/>
  <c r="BV271" i="15"/>
  <c r="BW271" i="15"/>
  <c r="BX271" i="15"/>
  <c r="BY271" i="15"/>
  <c r="BZ271" i="15"/>
  <c r="CA271" i="15"/>
  <c r="CB271" i="15"/>
  <c r="CC271" i="15"/>
  <c r="CD271" i="15"/>
  <c r="CE271" i="15"/>
  <c r="CF271" i="15"/>
  <c r="CG271" i="15"/>
  <c r="CH271" i="15"/>
  <c r="CI271" i="15"/>
  <c r="CJ271" i="15"/>
  <c r="CK271" i="15"/>
  <c r="CL271" i="15"/>
  <c r="CM271" i="15"/>
  <c r="CN271" i="15"/>
  <c r="CO271" i="15"/>
  <c r="A272" i="15"/>
  <c r="B272" i="15"/>
  <c r="C272" i="15"/>
  <c r="D272" i="15"/>
  <c r="E272" i="15"/>
  <c r="F272" i="15"/>
  <c r="G272" i="15"/>
  <c r="H272" i="15"/>
  <c r="I272" i="15"/>
  <c r="J272" i="15"/>
  <c r="K272" i="15"/>
  <c r="L272" i="15"/>
  <c r="M272" i="15"/>
  <c r="N272" i="15"/>
  <c r="O272" i="15"/>
  <c r="P272" i="15"/>
  <c r="Q272" i="15"/>
  <c r="R272" i="15"/>
  <c r="S272" i="15"/>
  <c r="T272" i="15"/>
  <c r="U272" i="15"/>
  <c r="V272" i="15"/>
  <c r="W272" i="15"/>
  <c r="X272" i="15"/>
  <c r="Y272" i="15"/>
  <c r="Z272" i="15"/>
  <c r="AA272" i="15"/>
  <c r="AB272" i="15"/>
  <c r="AC272" i="15"/>
  <c r="AD272" i="15"/>
  <c r="AE272" i="15"/>
  <c r="AF272" i="15"/>
  <c r="AG272" i="15"/>
  <c r="AH272" i="15"/>
  <c r="AI272" i="15"/>
  <c r="AJ272" i="15"/>
  <c r="AK272" i="15"/>
  <c r="AL272" i="15"/>
  <c r="AM272" i="15"/>
  <c r="AN272" i="15"/>
  <c r="AO272" i="15"/>
  <c r="AP272" i="15"/>
  <c r="AQ272" i="15"/>
  <c r="AR272" i="15"/>
  <c r="AS272" i="15"/>
  <c r="AT272" i="15"/>
  <c r="AU272" i="15"/>
  <c r="AV272" i="15"/>
  <c r="AW272" i="15"/>
  <c r="AX272" i="15"/>
  <c r="AY272" i="15"/>
  <c r="AZ272" i="15"/>
  <c r="BA272" i="15"/>
  <c r="BB272" i="15"/>
  <c r="BC272" i="15"/>
  <c r="BD272" i="15"/>
  <c r="BE272" i="15"/>
  <c r="BF272" i="15"/>
  <c r="BG272" i="15"/>
  <c r="BH272" i="15"/>
  <c r="BI272" i="15"/>
  <c r="BJ272" i="15"/>
  <c r="BK272" i="15"/>
  <c r="BL272" i="15"/>
  <c r="BM272" i="15"/>
  <c r="BN272" i="15"/>
  <c r="BO272" i="15"/>
  <c r="BP272" i="15"/>
  <c r="BQ272" i="15"/>
  <c r="BR272" i="15"/>
  <c r="BS272" i="15"/>
  <c r="BT272" i="15"/>
  <c r="BU272" i="15"/>
  <c r="BV272" i="15"/>
  <c r="BW272" i="15"/>
  <c r="BX272" i="15"/>
  <c r="BY272" i="15"/>
  <c r="BZ272" i="15"/>
  <c r="CA272" i="15"/>
  <c r="CB272" i="15"/>
  <c r="CC272" i="15"/>
  <c r="CD272" i="15"/>
  <c r="CE272" i="15"/>
  <c r="CF272" i="15"/>
  <c r="CG272" i="15"/>
  <c r="CH272" i="15"/>
  <c r="CI272" i="15"/>
  <c r="CJ272" i="15"/>
  <c r="CK272" i="15"/>
  <c r="CL272" i="15"/>
  <c r="CM272" i="15"/>
  <c r="CN272" i="15"/>
  <c r="CO272" i="15"/>
  <c r="A273" i="15"/>
  <c r="B273" i="15"/>
  <c r="C273" i="15"/>
  <c r="D273" i="15"/>
  <c r="E273" i="15"/>
  <c r="F273" i="15"/>
  <c r="G273" i="15"/>
  <c r="H273" i="15"/>
  <c r="I273" i="15"/>
  <c r="J273" i="15"/>
  <c r="K273" i="15"/>
  <c r="L273" i="15"/>
  <c r="M273" i="15"/>
  <c r="N273" i="15"/>
  <c r="O273" i="15"/>
  <c r="P273" i="15"/>
  <c r="Q273" i="15"/>
  <c r="R273" i="15"/>
  <c r="S273" i="15"/>
  <c r="T273" i="15"/>
  <c r="U273" i="15"/>
  <c r="V273" i="15"/>
  <c r="W273" i="15"/>
  <c r="X273" i="15"/>
  <c r="Y273" i="15"/>
  <c r="Z273" i="15"/>
  <c r="AA273" i="15"/>
  <c r="AB273" i="15"/>
  <c r="AC273" i="15"/>
  <c r="AD273" i="15"/>
  <c r="AE273" i="15"/>
  <c r="AF273" i="15"/>
  <c r="AG273" i="15"/>
  <c r="AH273" i="15"/>
  <c r="AI273" i="15"/>
  <c r="AJ273" i="15"/>
  <c r="AK273" i="15"/>
  <c r="AL273" i="15"/>
  <c r="AM273" i="15"/>
  <c r="AN273" i="15"/>
  <c r="AO273" i="15"/>
  <c r="AP273" i="15"/>
  <c r="AQ273" i="15"/>
  <c r="AR273" i="15"/>
  <c r="AS273" i="15"/>
  <c r="AT273" i="15"/>
  <c r="AU273" i="15"/>
  <c r="AV273" i="15"/>
  <c r="AW273" i="15"/>
  <c r="AX273" i="15"/>
  <c r="AY273" i="15"/>
  <c r="AZ273" i="15"/>
  <c r="BA273" i="15"/>
  <c r="BB273" i="15"/>
  <c r="BC273" i="15"/>
  <c r="BD273" i="15"/>
  <c r="BE273" i="15"/>
  <c r="BF273" i="15"/>
  <c r="BG273" i="15"/>
  <c r="BH273" i="15"/>
  <c r="BI273" i="15"/>
  <c r="BJ273" i="15"/>
  <c r="BK273" i="15"/>
  <c r="BL273" i="15"/>
  <c r="BM273" i="15"/>
  <c r="BN273" i="15"/>
  <c r="BO273" i="15"/>
  <c r="BP273" i="15"/>
  <c r="BQ273" i="15"/>
  <c r="BR273" i="15"/>
  <c r="BS273" i="15"/>
  <c r="BT273" i="15"/>
  <c r="BU273" i="15"/>
  <c r="BV273" i="15"/>
  <c r="BW273" i="15"/>
  <c r="BX273" i="15"/>
  <c r="BY273" i="15"/>
  <c r="BZ273" i="15"/>
  <c r="CA273" i="15"/>
  <c r="CB273" i="15"/>
  <c r="CC273" i="15"/>
  <c r="CD273" i="15"/>
  <c r="CE273" i="15"/>
  <c r="CF273" i="15"/>
  <c r="CG273" i="15"/>
  <c r="CH273" i="15"/>
  <c r="CI273" i="15"/>
  <c r="CJ273" i="15"/>
  <c r="CK273" i="15"/>
  <c r="CL273" i="15"/>
  <c r="CM273" i="15"/>
  <c r="CN273" i="15"/>
  <c r="CO273" i="15"/>
  <c r="A274" i="15"/>
  <c r="B274" i="15"/>
  <c r="C274" i="15"/>
  <c r="D274" i="15"/>
  <c r="E274" i="15"/>
  <c r="F274" i="15"/>
  <c r="G274" i="15"/>
  <c r="H274" i="15"/>
  <c r="I274" i="15"/>
  <c r="J274" i="15"/>
  <c r="K274" i="15"/>
  <c r="L274" i="15"/>
  <c r="M274" i="15"/>
  <c r="N274" i="15"/>
  <c r="O274" i="15"/>
  <c r="P274" i="15"/>
  <c r="Q274" i="15"/>
  <c r="R274" i="15"/>
  <c r="S274" i="15"/>
  <c r="T274" i="15"/>
  <c r="U274" i="15"/>
  <c r="V274" i="15"/>
  <c r="W274" i="15"/>
  <c r="X274" i="15"/>
  <c r="Y274" i="15"/>
  <c r="Z274" i="15"/>
  <c r="AA274" i="15"/>
  <c r="AB274" i="15"/>
  <c r="AC274" i="15"/>
  <c r="AD274" i="15"/>
  <c r="AE274" i="15"/>
  <c r="AF274" i="15"/>
  <c r="AG274" i="15"/>
  <c r="AH274" i="15"/>
  <c r="AI274" i="15"/>
  <c r="AJ274" i="15"/>
  <c r="AK274" i="15"/>
  <c r="AL274" i="15"/>
  <c r="AM274" i="15"/>
  <c r="AN274" i="15"/>
  <c r="AO274" i="15"/>
  <c r="AP274" i="15"/>
  <c r="AQ274" i="15"/>
  <c r="AR274" i="15"/>
  <c r="AS274" i="15"/>
  <c r="AT274" i="15"/>
  <c r="AU274" i="15"/>
  <c r="AV274" i="15"/>
  <c r="AW274" i="15"/>
  <c r="AX274" i="15"/>
  <c r="AY274" i="15"/>
  <c r="AZ274" i="15"/>
  <c r="BA274" i="15"/>
  <c r="BB274" i="15"/>
  <c r="BC274" i="15"/>
  <c r="BD274" i="15"/>
  <c r="BE274" i="15"/>
  <c r="BF274" i="15"/>
  <c r="BG274" i="15"/>
  <c r="BH274" i="15"/>
  <c r="BI274" i="15"/>
  <c r="BJ274" i="15"/>
  <c r="BK274" i="15"/>
  <c r="BL274" i="15"/>
  <c r="BM274" i="15"/>
  <c r="BN274" i="15"/>
  <c r="BO274" i="15"/>
  <c r="BP274" i="15"/>
  <c r="BQ274" i="15"/>
  <c r="BR274" i="15"/>
  <c r="BS274" i="15"/>
  <c r="BT274" i="15"/>
  <c r="BU274" i="15"/>
  <c r="BV274" i="15"/>
  <c r="BW274" i="15"/>
  <c r="BX274" i="15"/>
  <c r="BY274" i="15"/>
  <c r="BZ274" i="15"/>
  <c r="CA274" i="15"/>
  <c r="CB274" i="15"/>
  <c r="CC274" i="15"/>
  <c r="CD274" i="15"/>
  <c r="CE274" i="15"/>
  <c r="CF274" i="15"/>
  <c r="CG274" i="15"/>
  <c r="CH274" i="15"/>
  <c r="CI274" i="15"/>
  <c r="CJ274" i="15"/>
  <c r="CK274" i="15"/>
  <c r="CL274" i="15"/>
  <c r="CM274" i="15"/>
  <c r="CN274" i="15"/>
  <c r="CO274" i="15"/>
  <c r="A275" i="15"/>
  <c r="B275" i="15"/>
  <c r="C275" i="15"/>
  <c r="D275" i="15"/>
  <c r="E275" i="15"/>
  <c r="F275" i="15"/>
  <c r="G275" i="15"/>
  <c r="H275" i="15"/>
  <c r="I275" i="15"/>
  <c r="J275" i="15"/>
  <c r="K275" i="15"/>
  <c r="L275" i="15"/>
  <c r="M275" i="15"/>
  <c r="N275" i="15"/>
  <c r="O275" i="15"/>
  <c r="P275" i="15"/>
  <c r="Q275" i="15"/>
  <c r="R275" i="15"/>
  <c r="S275" i="15"/>
  <c r="T275" i="15"/>
  <c r="U275" i="15"/>
  <c r="V275" i="15"/>
  <c r="W275" i="15"/>
  <c r="X275" i="15"/>
  <c r="Y275" i="15"/>
  <c r="Z275" i="15"/>
  <c r="AA275" i="15"/>
  <c r="AB275" i="15"/>
  <c r="AC275" i="15"/>
  <c r="AD275" i="15"/>
  <c r="AE275" i="15"/>
  <c r="AF275" i="15"/>
  <c r="AG275" i="15"/>
  <c r="AH275" i="15"/>
  <c r="AI275" i="15"/>
  <c r="AJ275" i="15"/>
  <c r="AK275" i="15"/>
  <c r="AL275" i="15"/>
  <c r="AM275" i="15"/>
  <c r="AN275" i="15"/>
  <c r="AO275" i="15"/>
  <c r="AP275" i="15"/>
  <c r="AQ275" i="15"/>
  <c r="AR275" i="15"/>
  <c r="AS275" i="15"/>
  <c r="AT275" i="15"/>
  <c r="AU275" i="15"/>
  <c r="AV275" i="15"/>
  <c r="AW275" i="15"/>
  <c r="AX275" i="15"/>
  <c r="AY275" i="15"/>
  <c r="AZ275" i="15"/>
  <c r="BA275" i="15"/>
  <c r="BB275" i="15"/>
  <c r="BC275" i="15"/>
  <c r="BD275" i="15"/>
  <c r="BE275" i="15"/>
  <c r="BF275" i="15"/>
  <c r="BG275" i="15"/>
  <c r="BH275" i="15"/>
  <c r="BI275" i="15"/>
  <c r="BJ275" i="15"/>
  <c r="BK275" i="15"/>
  <c r="BL275" i="15"/>
  <c r="BM275" i="15"/>
  <c r="BN275" i="15"/>
  <c r="BO275" i="15"/>
  <c r="BP275" i="15"/>
  <c r="BQ275" i="15"/>
  <c r="BR275" i="15"/>
  <c r="BS275" i="15"/>
  <c r="BT275" i="15"/>
  <c r="BU275" i="15"/>
  <c r="BV275" i="15"/>
  <c r="BW275" i="15"/>
  <c r="BX275" i="15"/>
  <c r="BY275" i="15"/>
  <c r="BZ275" i="15"/>
  <c r="CA275" i="15"/>
  <c r="CB275" i="15"/>
  <c r="CC275" i="15"/>
  <c r="CD275" i="15"/>
  <c r="CE275" i="15"/>
  <c r="CF275" i="15"/>
  <c r="CG275" i="15"/>
  <c r="CH275" i="15"/>
  <c r="CI275" i="15"/>
  <c r="CJ275" i="15"/>
  <c r="CK275" i="15"/>
  <c r="CL275" i="15"/>
  <c r="CM275" i="15"/>
  <c r="CN275" i="15"/>
  <c r="CO275" i="15"/>
  <c r="A276" i="15"/>
  <c r="B276" i="15"/>
  <c r="C276" i="15"/>
  <c r="D276" i="15"/>
  <c r="E276" i="15"/>
  <c r="F276" i="15"/>
  <c r="G276" i="15"/>
  <c r="H276" i="15"/>
  <c r="I276" i="15"/>
  <c r="J276" i="15"/>
  <c r="K276" i="15"/>
  <c r="L276" i="15"/>
  <c r="M276" i="15"/>
  <c r="N276" i="15"/>
  <c r="O276" i="15"/>
  <c r="P276" i="15"/>
  <c r="Q276" i="15"/>
  <c r="R276" i="15"/>
  <c r="S276" i="15"/>
  <c r="T276" i="15"/>
  <c r="U276" i="15"/>
  <c r="V276" i="15"/>
  <c r="W276" i="15"/>
  <c r="X276" i="15"/>
  <c r="Y276" i="15"/>
  <c r="Z276" i="15"/>
  <c r="AA276" i="15"/>
  <c r="AB276" i="15"/>
  <c r="AC276" i="15"/>
  <c r="AD276" i="15"/>
  <c r="AE276" i="15"/>
  <c r="AF276" i="15"/>
  <c r="AG276" i="15"/>
  <c r="AH276" i="15"/>
  <c r="AI276" i="15"/>
  <c r="AJ276" i="15"/>
  <c r="AK276" i="15"/>
  <c r="AL276" i="15"/>
  <c r="AM276" i="15"/>
  <c r="AN276" i="15"/>
  <c r="AO276" i="15"/>
  <c r="AP276" i="15"/>
  <c r="AQ276" i="15"/>
  <c r="AR276" i="15"/>
  <c r="AS276" i="15"/>
  <c r="AT276" i="15"/>
  <c r="AU276" i="15"/>
  <c r="AV276" i="15"/>
  <c r="AW276" i="15"/>
  <c r="AX276" i="15"/>
  <c r="AY276" i="15"/>
  <c r="AZ276" i="15"/>
  <c r="BA276" i="15"/>
  <c r="BB276" i="15"/>
  <c r="BC276" i="15"/>
  <c r="BD276" i="15"/>
  <c r="BE276" i="15"/>
  <c r="BF276" i="15"/>
  <c r="BG276" i="15"/>
  <c r="BH276" i="15"/>
  <c r="BI276" i="15"/>
  <c r="BJ276" i="15"/>
  <c r="BK276" i="15"/>
  <c r="BL276" i="15"/>
  <c r="BM276" i="15"/>
  <c r="BN276" i="15"/>
  <c r="BO276" i="15"/>
  <c r="BP276" i="15"/>
  <c r="BQ276" i="15"/>
  <c r="BR276" i="15"/>
  <c r="BS276" i="15"/>
  <c r="BT276" i="15"/>
  <c r="BU276" i="15"/>
  <c r="BV276" i="15"/>
  <c r="BW276" i="15"/>
  <c r="BX276" i="15"/>
  <c r="BY276" i="15"/>
  <c r="BZ276" i="15"/>
  <c r="CA276" i="15"/>
  <c r="CB276" i="15"/>
  <c r="CC276" i="15"/>
  <c r="CD276" i="15"/>
  <c r="CE276" i="15"/>
  <c r="CF276" i="15"/>
  <c r="CG276" i="15"/>
  <c r="CH276" i="15"/>
  <c r="CI276" i="15"/>
  <c r="CJ276" i="15"/>
  <c r="CK276" i="15"/>
  <c r="CL276" i="15"/>
  <c r="CM276" i="15"/>
  <c r="CN276" i="15"/>
  <c r="CO276" i="15"/>
  <c r="A277" i="15"/>
  <c r="B277" i="15"/>
  <c r="C277" i="15"/>
  <c r="D277" i="15"/>
  <c r="E277" i="15"/>
  <c r="F277" i="15"/>
  <c r="G277" i="15"/>
  <c r="H277" i="15"/>
  <c r="I277" i="15"/>
  <c r="J277" i="15"/>
  <c r="K277" i="15"/>
  <c r="L277" i="15"/>
  <c r="M277" i="15"/>
  <c r="N277" i="15"/>
  <c r="O277" i="15"/>
  <c r="P277" i="15"/>
  <c r="Q277" i="15"/>
  <c r="R277" i="15"/>
  <c r="S277" i="15"/>
  <c r="T277" i="15"/>
  <c r="U277" i="15"/>
  <c r="V277" i="15"/>
  <c r="W277" i="15"/>
  <c r="X277" i="15"/>
  <c r="Y277" i="15"/>
  <c r="Z277" i="15"/>
  <c r="AA277" i="15"/>
  <c r="AB277" i="15"/>
  <c r="AC277" i="15"/>
  <c r="AD277" i="15"/>
  <c r="AE277" i="15"/>
  <c r="AF277" i="15"/>
  <c r="AG277" i="15"/>
  <c r="AH277" i="15"/>
  <c r="AI277" i="15"/>
  <c r="AJ277" i="15"/>
  <c r="AK277" i="15"/>
  <c r="AL277" i="15"/>
  <c r="AM277" i="15"/>
  <c r="AN277" i="15"/>
  <c r="AO277" i="15"/>
  <c r="AP277" i="15"/>
  <c r="AQ277" i="15"/>
  <c r="AR277" i="15"/>
  <c r="AS277" i="15"/>
  <c r="AT277" i="15"/>
  <c r="AU277" i="15"/>
  <c r="AV277" i="15"/>
  <c r="AW277" i="15"/>
  <c r="AX277" i="15"/>
  <c r="AY277" i="15"/>
  <c r="AZ277" i="15"/>
  <c r="BA277" i="15"/>
  <c r="BB277" i="15"/>
  <c r="BC277" i="15"/>
  <c r="BD277" i="15"/>
  <c r="BE277" i="15"/>
  <c r="BF277" i="15"/>
  <c r="BG277" i="15"/>
  <c r="BH277" i="15"/>
  <c r="BI277" i="15"/>
  <c r="BJ277" i="15"/>
  <c r="BK277" i="15"/>
  <c r="BL277" i="15"/>
  <c r="BM277" i="15"/>
  <c r="BN277" i="15"/>
  <c r="BO277" i="15"/>
  <c r="BP277" i="15"/>
  <c r="BQ277" i="15"/>
  <c r="BR277" i="15"/>
  <c r="BS277" i="15"/>
  <c r="BT277" i="15"/>
  <c r="BU277" i="15"/>
  <c r="BV277" i="15"/>
  <c r="BW277" i="15"/>
  <c r="BX277" i="15"/>
  <c r="BY277" i="15"/>
  <c r="BZ277" i="15"/>
  <c r="CA277" i="15"/>
  <c r="CB277" i="15"/>
  <c r="CC277" i="15"/>
  <c r="CD277" i="15"/>
  <c r="CE277" i="15"/>
  <c r="CF277" i="15"/>
  <c r="CG277" i="15"/>
  <c r="CH277" i="15"/>
  <c r="CI277" i="15"/>
  <c r="CJ277" i="15"/>
  <c r="CK277" i="15"/>
  <c r="CL277" i="15"/>
  <c r="CM277" i="15"/>
  <c r="CN277" i="15"/>
  <c r="CO277" i="15"/>
  <c r="A278" i="15"/>
  <c r="B278" i="15"/>
  <c r="C278" i="15"/>
  <c r="D278" i="15"/>
  <c r="E278" i="15"/>
  <c r="F278" i="15"/>
  <c r="G278" i="15"/>
  <c r="H278" i="15"/>
  <c r="I278" i="15"/>
  <c r="J278" i="15"/>
  <c r="K278" i="15"/>
  <c r="L278" i="15"/>
  <c r="M278" i="15"/>
  <c r="N278" i="15"/>
  <c r="O278" i="15"/>
  <c r="P278" i="15"/>
  <c r="Q278" i="15"/>
  <c r="R278" i="15"/>
  <c r="S278" i="15"/>
  <c r="T278" i="15"/>
  <c r="U278" i="15"/>
  <c r="V278" i="15"/>
  <c r="W278" i="15"/>
  <c r="X278" i="15"/>
  <c r="Y278" i="15"/>
  <c r="Z278" i="15"/>
  <c r="AA278" i="15"/>
  <c r="AB278" i="15"/>
  <c r="AC278" i="15"/>
  <c r="AD278" i="15"/>
  <c r="AE278" i="15"/>
  <c r="AF278" i="15"/>
  <c r="AG278" i="15"/>
  <c r="AH278" i="15"/>
  <c r="AI278" i="15"/>
  <c r="AJ278" i="15"/>
  <c r="AK278" i="15"/>
  <c r="AL278" i="15"/>
  <c r="AM278" i="15"/>
  <c r="AN278" i="15"/>
  <c r="AO278" i="15"/>
  <c r="AP278" i="15"/>
  <c r="AQ278" i="15"/>
  <c r="AR278" i="15"/>
  <c r="AS278" i="15"/>
  <c r="AT278" i="15"/>
  <c r="AU278" i="15"/>
  <c r="AV278" i="15"/>
  <c r="AW278" i="15"/>
  <c r="AX278" i="15"/>
  <c r="AY278" i="15"/>
  <c r="AZ278" i="15"/>
  <c r="BA278" i="15"/>
  <c r="BB278" i="15"/>
  <c r="BC278" i="15"/>
  <c r="BD278" i="15"/>
  <c r="BE278" i="15"/>
  <c r="BF278" i="15"/>
  <c r="BG278" i="15"/>
  <c r="BH278" i="15"/>
  <c r="BI278" i="15"/>
  <c r="BJ278" i="15"/>
  <c r="BK278" i="15"/>
  <c r="BL278" i="15"/>
  <c r="BM278" i="15"/>
  <c r="BN278" i="15"/>
  <c r="BO278" i="15"/>
  <c r="BP278" i="15"/>
  <c r="BQ278" i="15"/>
  <c r="BR278" i="15"/>
  <c r="BS278" i="15"/>
  <c r="BT278" i="15"/>
  <c r="BU278" i="15"/>
  <c r="BV278" i="15"/>
  <c r="BW278" i="15"/>
  <c r="BX278" i="15"/>
  <c r="BY278" i="15"/>
  <c r="BZ278" i="15"/>
  <c r="CA278" i="15"/>
  <c r="CB278" i="15"/>
  <c r="CC278" i="15"/>
  <c r="CD278" i="15"/>
  <c r="CE278" i="15"/>
  <c r="CF278" i="15"/>
  <c r="CG278" i="15"/>
  <c r="CH278" i="15"/>
  <c r="CI278" i="15"/>
  <c r="CJ278" i="15"/>
  <c r="CK278" i="15"/>
  <c r="CL278" i="15"/>
  <c r="CM278" i="15"/>
  <c r="CN278" i="15"/>
  <c r="CO278" i="15"/>
  <c r="A279" i="15"/>
  <c r="B279" i="15"/>
  <c r="C279" i="15"/>
  <c r="D279" i="15"/>
  <c r="E279" i="15"/>
  <c r="F279" i="15"/>
  <c r="G279" i="15"/>
  <c r="H279" i="15"/>
  <c r="I279" i="15"/>
  <c r="J279" i="15"/>
  <c r="K279" i="15"/>
  <c r="L279" i="15"/>
  <c r="M279" i="15"/>
  <c r="N279" i="15"/>
  <c r="O279" i="15"/>
  <c r="P279" i="15"/>
  <c r="Q279" i="15"/>
  <c r="R279" i="15"/>
  <c r="S279" i="15"/>
  <c r="T279" i="15"/>
  <c r="U279" i="15"/>
  <c r="V279" i="15"/>
  <c r="W279" i="15"/>
  <c r="X279" i="15"/>
  <c r="Y279" i="15"/>
  <c r="Z279" i="15"/>
  <c r="AA279" i="15"/>
  <c r="AB279" i="15"/>
  <c r="AC279" i="15"/>
  <c r="AD279" i="15"/>
  <c r="AE279" i="15"/>
  <c r="AF279" i="15"/>
  <c r="AG279" i="15"/>
  <c r="AH279" i="15"/>
  <c r="AI279" i="15"/>
  <c r="AJ279" i="15"/>
  <c r="AK279" i="15"/>
  <c r="AL279" i="15"/>
  <c r="AM279" i="15"/>
  <c r="AN279" i="15"/>
  <c r="AO279" i="15"/>
  <c r="AP279" i="15"/>
  <c r="AQ279" i="15"/>
  <c r="AR279" i="15"/>
  <c r="AS279" i="15"/>
  <c r="AT279" i="15"/>
  <c r="AU279" i="15"/>
  <c r="AV279" i="15"/>
  <c r="AW279" i="15"/>
  <c r="AX279" i="15"/>
  <c r="AY279" i="15"/>
  <c r="AZ279" i="15"/>
  <c r="BA279" i="15"/>
  <c r="BB279" i="15"/>
  <c r="BC279" i="15"/>
  <c r="BD279" i="15"/>
  <c r="BE279" i="15"/>
  <c r="BF279" i="15"/>
  <c r="BG279" i="15"/>
  <c r="BH279" i="15"/>
  <c r="BI279" i="15"/>
  <c r="BJ279" i="15"/>
  <c r="BK279" i="15"/>
  <c r="BL279" i="15"/>
  <c r="BM279" i="15"/>
  <c r="BN279" i="15"/>
  <c r="BO279" i="15"/>
  <c r="BP279" i="15"/>
  <c r="BQ279" i="15"/>
  <c r="BR279" i="15"/>
  <c r="BS279" i="15"/>
  <c r="BT279" i="15"/>
  <c r="BU279" i="15"/>
  <c r="BV279" i="15"/>
  <c r="BW279" i="15"/>
  <c r="BX279" i="15"/>
  <c r="BY279" i="15"/>
  <c r="BZ279" i="15"/>
  <c r="CA279" i="15"/>
  <c r="CB279" i="15"/>
  <c r="CC279" i="15"/>
  <c r="CD279" i="15"/>
  <c r="CE279" i="15"/>
  <c r="CF279" i="15"/>
  <c r="CG279" i="15"/>
  <c r="CH279" i="15"/>
  <c r="CI279" i="15"/>
  <c r="CJ279" i="15"/>
  <c r="CK279" i="15"/>
  <c r="CL279" i="15"/>
  <c r="CM279" i="15"/>
  <c r="CN279" i="15"/>
  <c r="CO279" i="15"/>
  <c r="A280" i="15"/>
  <c r="B280" i="15"/>
  <c r="C280" i="15"/>
  <c r="D280" i="15"/>
  <c r="E280" i="15"/>
  <c r="F280" i="15"/>
  <c r="G280" i="15"/>
  <c r="H280" i="15"/>
  <c r="I280" i="15"/>
  <c r="J280" i="15"/>
  <c r="K280" i="15"/>
  <c r="L280" i="15"/>
  <c r="M280" i="15"/>
  <c r="N280" i="15"/>
  <c r="O280" i="15"/>
  <c r="P280" i="15"/>
  <c r="Q280" i="15"/>
  <c r="R280" i="15"/>
  <c r="S280" i="15"/>
  <c r="T280" i="15"/>
  <c r="U280" i="15"/>
  <c r="V280" i="15"/>
  <c r="W280" i="15"/>
  <c r="X280" i="15"/>
  <c r="Y280" i="15"/>
  <c r="Z280" i="15"/>
  <c r="AA280" i="15"/>
  <c r="AB280" i="15"/>
  <c r="AC280" i="15"/>
  <c r="AD280" i="15"/>
  <c r="AE280" i="15"/>
  <c r="AF280" i="15"/>
  <c r="AG280" i="15"/>
  <c r="AH280" i="15"/>
  <c r="AI280" i="15"/>
  <c r="AJ280" i="15"/>
  <c r="AK280" i="15"/>
  <c r="AL280" i="15"/>
  <c r="AM280" i="15"/>
  <c r="AN280" i="15"/>
  <c r="AO280" i="15"/>
  <c r="AP280" i="15"/>
  <c r="AQ280" i="15"/>
  <c r="AR280" i="15"/>
  <c r="AS280" i="15"/>
  <c r="AT280" i="15"/>
  <c r="AU280" i="15"/>
  <c r="AV280" i="15"/>
  <c r="AW280" i="15"/>
  <c r="AX280" i="15"/>
  <c r="AY280" i="15"/>
  <c r="AZ280" i="15"/>
  <c r="BA280" i="15"/>
  <c r="BB280" i="15"/>
  <c r="BC280" i="15"/>
  <c r="BD280" i="15"/>
  <c r="BE280" i="15"/>
  <c r="BF280" i="15"/>
  <c r="BG280" i="15"/>
  <c r="BH280" i="15"/>
  <c r="BI280" i="15"/>
  <c r="BJ280" i="15"/>
  <c r="BK280" i="15"/>
  <c r="BL280" i="15"/>
  <c r="BM280" i="15"/>
  <c r="BN280" i="15"/>
  <c r="BO280" i="15"/>
  <c r="BP280" i="15"/>
  <c r="BQ280" i="15"/>
  <c r="BR280" i="15"/>
  <c r="BS280" i="15"/>
  <c r="BT280" i="15"/>
  <c r="BU280" i="15"/>
  <c r="BV280" i="15"/>
  <c r="BW280" i="15"/>
  <c r="BX280" i="15"/>
  <c r="BY280" i="15"/>
  <c r="BZ280" i="15"/>
  <c r="CA280" i="15"/>
  <c r="CB280" i="15"/>
  <c r="CC280" i="15"/>
  <c r="CD280" i="15"/>
  <c r="CE280" i="15"/>
  <c r="CF280" i="15"/>
  <c r="CG280" i="15"/>
  <c r="CH280" i="15"/>
  <c r="CI280" i="15"/>
  <c r="CJ280" i="15"/>
  <c r="CK280" i="15"/>
  <c r="CL280" i="15"/>
  <c r="CM280" i="15"/>
  <c r="CN280" i="15"/>
  <c r="CO280" i="15"/>
  <c r="A281" i="15"/>
  <c r="B281" i="15"/>
  <c r="C281" i="15"/>
  <c r="D281" i="15"/>
  <c r="E281" i="15"/>
  <c r="F281" i="15"/>
  <c r="G281" i="15"/>
  <c r="H281" i="15"/>
  <c r="I281" i="15"/>
  <c r="J281" i="15"/>
  <c r="K281" i="15"/>
  <c r="L281" i="15"/>
  <c r="M281" i="15"/>
  <c r="N281" i="15"/>
  <c r="O281" i="15"/>
  <c r="P281" i="15"/>
  <c r="Q281" i="15"/>
  <c r="R281" i="15"/>
  <c r="S281" i="15"/>
  <c r="T281" i="15"/>
  <c r="U281" i="15"/>
  <c r="V281" i="15"/>
  <c r="W281" i="15"/>
  <c r="X281" i="15"/>
  <c r="Y281" i="15"/>
  <c r="Z281" i="15"/>
  <c r="AA281" i="15"/>
  <c r="AB281" i="15"/>
  <c r="AC281" i="15"/>
  <c r="AD281" i="15"/>
  <c r="AE281" i="15"/>
  <c r="AF281" i="15"/>
  <c r="AG281" i="15"/>
  <c r="AH281" i="15"/>
  <c r="AI281" i="15"/>
  <c r="AJ281" i="15"/>
  <c r="AK281" i="15"/>
  <c r="AL281" i="15"/>
  <c r="AM281" i="15"/>
  <c r="AN281" i="15"/>
  <c r="AO281" i="15"/>
  <c r="AP281" i="15"/>
  <c r="AQ281" i="15"/>
  <c r="AR281" i="15"/>
  <c r="AS281" i="15"/>
  <c r="AT281" i="15"/>
  <c r="AU281" i="15"/>
  <c r="AV281" i="15"/>
  <c r="AW281" i="15"/>
  <c r="AX281" i="15"/>
  <c r="AY281" i="15"/>
  <c r="AZ281" i="15"/>
  <c r="BA281" i="15"/>
  <c r="BB281" i="15"/>
  <c r="BC281" i="15"/>
  <c r="BD281" i="15"/>
  <c r="BE281" i="15"/>
  <c r="BF281" i="15"/>
  <c r="BG281" i="15"/>
  <c r="BH281" i="15"/>
  <c r="BI281" i="15"/>
  <c r="BJ281" i="15"/>
  <c r="BK281" i="15"/>
  <c r="BL281" i="15"/>
  <c r="BM281" i="15"/>
  <c r="BN281" i="15"/>
  <c r="BO281" i="15"/>
  <c r="BP281" i="15"/>
  <c r="BQ281" i="15"/>
  <c r="BR281" i="15"/>
  <c r="BS281" i="15"/>
  <c r="BT281" i="15"/>
  <c r="BU281" i="15"/>
  <c r="BV281" i="15"/>
  <c r="BW281" i="15"/>
  <c r="BX281" i="15"/>
  <c r="BY281" i="15"/>
  <c r="BZ281" i="15"/>
  <c r="CA281" i="15"/>
  <c r="CB281" i="15"/>
  <c r="CC281" i="15"/>
  <c r="CD281" i="15"/>
  <c r="CE281" i="15"/>
  <c r="CF281" i="15"/>
  <c r="CG281" i="15"/>
  <c r="CH281" i="15"/>
  <c r="CI281" i="15"/>
  <c r="CJ281" i="15"/>
  <c r="CK281" i="15"/>
  <c r="CL281" i="15"/>
  <c r="CM281" i="15"/>
  <c r="CN281" i="15"/>
  <c r="CO281" i="15"/>
  <c r="A282" i="15"/>
  <c r="B282" i="15"/>
  <c r="C282" i="15"/>
  <c r="D282" i="15"/>
  <c r="E282" i="15"/>
  <c r="F282" i="15"/>
  <c r="G282" i="15"/>
  <c r="H282" i="15"/>
  <c r="I282" i="15"/>
  <c r="J282" i="15"/>
  <c r="K282" i="15"/>
  <c r="L282" i="15"/>
  <c r="M282" i="15"/>
  <c r="N282" i="15"/>
  <c r="O282" i="15"/>
  <c r="P282" i="15"/>
  <c r="Q282" i="15"/>
  <c r="R282" i="15"/>
  <c r="S282" i="15"/>
  <c r="T282" i="15"/>
  <c r="U282" i="15"/>
  <c r="V282" i="15"/>
  <c r="W282" i="15"/>
  <c r="X282" i="15"/>
  <c r="Y282" i="15"/>
  <c r="Z282" i="15"/>
  <c r="AA282" i="15"/>
  <c r="AB282" i="15"/>
  <c r="AC282" i="15"/>
  <c r="AD282" i="15"/>
  <c r="AE282" i="15"/>
  <c r="AF282" i="15"/>
  <c r="AG282" i="15"/>
  <c r="AH282" i="15"/>
  <c r="AI282" i="15"/>
  <c r="AJ282" i="15"/>
  <c r="AK282" i="15"/>
  <c r="AL282" i="15"/>
  <c r="AM282" i="15"/>
  <c r="AN282" i="15"/>
  <c r="AO282" i="15"/>
  <c r="AP282" i="15"/>
  <c r="AQ282" i="15"/>
  <c r="AR282" i="15"/>
  <c r="AS282" i="15"/>
  <c r="AT282" i="15"/>
  <c r="AU282" i="15"/>
  <c r="AV282" i="15"/>
  <c r="AW282" i="15"/>
  <c r="AX282" i="15"/>
  <c r="AY282" i="15"/>
  <c r="AZ282" i="15"/>
  <c r="BA282" i="15"/>
  <c r="BB282" i="15"/>
  <c r="BC282" i="15"/>
  <c r="BD282" i="15"/>
  <c r="BE282" i="15"/>
  <c r="BF282" i="15"/>
  <c r="BG282" i="15"/>
  <c r="BH282" i="15"/>
  <c r="BI282" i="15"/>
  <c r="BJ282" i="15"/>
  <c r="BK282" i="15"/>
  <c r="BL282" i="15"/>
  <c r="BM282" i="15"/>
  <c r="BN282" i="15"/>
  <c r="BO282" i="15"/>
  <c r="BP282" i="15"/>
  <c r="BQ282" i="15"/>
  <c r="BR282" i="15"/>
  <c r="BS282" i="15"/>
  <c r="BT282" i="15"/>
  <c r="BU282" i="15"/>
  <c r="BV282" i="15"/>
  <c r="BW282" i="15"/>
  <c r="BX282" i="15"/>
  <c r="BY282" i="15"/>
  <c r="BZ282" i="15"/>
  <c r="CA282" i="15"/>
  <c r="CB282" i="15"/>
  <c r="CC282" i="15"/>
  <c r="CD282" i="15"/>
  <c r="CE282" i="15"/>
  <c r="CF282" i="15"/>
  <c r="CG282" i="15"/>
  <c r="CH282" i="15"/>
  <c r="CI282" i="15"/>
  <c r="CJ282" i="15"/>
  <c r="CK282" i="15"/>
  <c r="CL282" i="15"/>
  <c r="CM282" i="15"/>
  <c r="CN282" i="15"/>
  <c r="CO282" i="15"/>
  <c r="A283" i="15"/>
  <c r="B283" i="15"/>
  <c r="C283" i="15"/>
  <c r="D283" i="15"/>
  <c r="E283" i="15"/>
  <c r="F283" i="15"/>
  <c r="G283" i="15"/>
  <c r="H283" i="15"/>
  <c r="I283" i="15"/>
  <c r="J283" i="15"/>
  <c r="K283" i="15"/>
  <c r="L283" i="15"/>
  <c r="M283" i="15"/>
  <c r="N283" i="15"/>
  <c r="O283" i="15"/>
  <c r="P283" i="15"/>
  <c r="Q283" i="15"/>
  <c r="R283" i="15"/>
  <c r="S283" i="15"/>
  <c r="T283" i="15"/>
  <c r="U283" i="15"/>
  <c r="V283" i="15"/>
  <c r="W283" i="15"/>
  <c r="X283" i="15"/>
  <c r="Y283" i="15"/>
  <c r="Z283" i="15"/>
  <c r="AA283" i="15"/>
  <c r="AB283" i="15"/>
  <c r="AC283" i="15"/>
  <c r="AD283" i="15"/>
  <c r="AE283" i="15"/>
  <c r="AF283" i="15"/>
  <c r="AG283" i="15"/>
  <c r="AH283" i="15"/>
  <c r="AI283" i="15"/>
  <c r="AJ283" i="15"/>
  <c r="AK283" i="15"/>
  <c r="AL283" i="15"/>
  <c r="AM283" i="15"/>
  <c r="AN283" i="15"/>
  <c r="AO283" i="15"/>
  <c r="AP283" i="15"/>
  <c r="AQ283" i="15"/>
  <c r="AR283" i="15"/>
  <c r="AS283" i="15"/>
  <c r="AT283" i="15"/>
  <c r="AU283" i="15"/>
  <c r="AV283" i="15"/>
  <c r="AW283" i="15"/>
  <c r="AX283" i="15"/>
  <c r="AY283" i="15"/>
  <c r="AZ283" i="15"/>
  <c r="BA283" i="15"/>
  <c r="BB283" i="15"/>
  <c r="BC283" i="15"/>
  <c r="BD283" i="15"/>
  <c r="BE283" i="15"/>
  <c r="BF283" i="15"/>
  <c r="BG283" i="15"/>
  <c r="BH283" i="15"/>
  <c r="BI283" i="15"/>
  <c r="BJ283" i="15"/>
  <c r="BK283" i="15"/>
  <c r="BL283" i="15"/>
  <c r="BM283" i="15"/>
  <c r="BN283" i="15"/>
  <c r="BO283" i="15"/>
  <c r="BP283" i="15"/>
  <c r="BQ283" i="15"/>
  <c r="BR283" i="15"/>
  <c r="BS283" i="15"/>
  <c r="BT283" i="15"/>
  <c r="BU283" i="15"/>
  <c r="BV283" i="15"/>
  <c r="BW283" i="15"/>
  <c r="BX283" i="15"/>
  <c r="BY283" i="15"/>
  <c r="BZ283" i="15"/>
  <c r="CA283" i="15"/>
  <c r="CB283" i="15"/>
  <c r="CC283" i="15"/>
  <c r="CD283" i="15"/>
  <c r="CE283" i="15"/>
  <c r="CF283" i="15"/>
  <c r="CG283" i="15"/>
  <c r="CH283" i="15"/>
  <c r="CI283" i="15"/>
  <c r="CJ283" i="15"/>
  <c r="CK283" i="15"/>
  <c r="CL283" i="15"/>
  <c r="CM283" i="15"/>
  <c r="CN283" i="15"/>
  <c r="CO283" i="15"/>
  <c r="A284" i="15"/>
  <c r="B284" i="15"/>
  <c r="C284" i="15"/>
  <c r="D284" i="15"/>
  <c r="E284" i="15"/>
  <c r="F284" i="15"/>
  <c r="G284" i="15"/>
  <c r="H284" i="15"/>
  <c r="I284" i="15"/>
  <c r="J284" i="15"/>
  <c r="K284" i="15"/>
  <c r="L284" i="15"/>
  <c r="M284" i="15"/>
  <c r="N284" i="15"/>
  <c r="O284" i="15"/>
  <c r="P284" i="15"/>
  <c r="Q284" i="15"/>
  <c r="R284" i="15"/>
  <c r="S284" i="15"/>
  <c r="T284" i="15"/>
  <c r="U284" i="15"/>
  <c r="V284" i="15"/>
  <c r="W284" i="15"/>
  <c r="X284" i="15"/>
  <c r="Y284" i="15"/>
  <c r="Z284" i="15"/>
  <c r="AA284" i="15"/>
  <c r="AB284" i="15"/>
  <c r="AC284" i="15"/>
  <c r="AD284" i="15"/>
  <c r="AE284" i="15"/>
  <c r="AF284" i="15"/>
  <c r="AG284" i="15"/>
  <c r="AH284" i="15"/>
  <c r="AI284" i="15"/>
  <c r="AJ284" i="15"/>
  <c r="AK284" i="15"/>
  <c r="AL284" i="15"/>
  <c r="AM284" i="15"/>
  <c r="AN284" i="15"/>
  <c r="AO284" i="15"/>
  <c r="AP284" i="15"/>
  <c r="AQ284" i="15"/>
  <c r="AR284" i="15"/>
  <c r="AS284" i="15"/>
  <c r="AT284" i="15"/>
  <c r="AU284" i="15"/>
  <c r="AV284" i="15"/>
  <c r="AW284" i="15"/>
  <c r="AX284" i="15"/>
  <c r="AY284" i="15"/>
  <c r="AZ284" i="15"/>
  <c r="BA284" i="15"/>
  <c r="BB284" i="15"/>
  <c r="BC284" i="15"/>
  <c r="BD284" i="15"/>
  <c r="BE284" i="15"/>
  <c r="BF284" i="15"/>
  <c r="BG284" i="15"/>
  <c r="BH284" i="15"/>
  <c r="BI284" i="15"/>
  <c r="BJ284" i="15"/>
  <c r="BK284" i="15"/>
  <c r="BL284" i="15"/>
  <c r="BM284" i="15"/>
  <c r="BN284" i="15"/>
  <c r="BO284" i="15"/>
  <c r="BP284" i="15"/>
  <c r="BQ284" i="15"/>
  <c r="BR284" i="15"/>
  <c r="BS284" i="15"/>
  <c r="BT284" i="15"/>
  <c r="BU284" i="15"/>
  <c r="BV284" i="15"/>
  <c r="BW284" i="15"/>
  <c r="BX284" i="15"/>
  <c r="BY284" i="15"/>
  <c r="BZ284" i="15"/>
  <c r="CA284" i="15"/>
  <c r="CB284" i="15"/>
  <c r="CC284" i="15"/>
  <c r="CD284" i="15"/>
  <c r="CE284" i="15"/>
  <c r="CF284" i="15"/>
  <c r="CG284" i="15"/>
  <c r="CH284" i="15"/>
  <c r="CI284" i="15"/>
  <c r="CJ284" i="15"/>
  <c r="CK284" i="15"/>
  <c r="CL284" i="15"/>
  <c r="CM284" i="15"/>
  <c r="CN284" i="15"/>
  <c r="CO284" i="15"/>
  <c r="A285" i="15"/>
  <c r="B285" i="15"/>
  <c r="C285" i="15"/>
  <c r="D285" i="15"/>
  <c r="E285" i="15"/>
  <c r="F285" i="15"/>
  <c r="G285" i="15"/>
  <c r="H285" i="15"/>
  <c r="I285" i="15"/>
  <c r="J285" i="15"/>
  <c r="K285" i="15"/>
  <c r="L285" i="15"/>
  <c r="M285" i="15"/>
  <c r="N285" i="15"/>
  <c r="O285" i="15"/>
  <c r="P285" i="15"/>
  <c r="Q285" i="15"/>
  <c r="R285" i="15"/>
  <c r="S285" i="15"/>
  <c r="T285" i="15"/>
  <c r="U285" i="15"/>
  <c r="V285" i="15"/>
  <c r="W285" i="15"/>
  <c r="X285" i="15"/>
  <c r="Y285" i="15"/>
  <c r="Z285" i="15"/>
  <c r="AA285" i="15"/>
  <c r="AB285" i="15"/>
  <c r="AC285" i="15"/>
  <c r="AD285" i="15"/>
  <c r="AE285" i="15"/>
  <c r="AF285" i="15"/>
  <c r="AG285" i="15"/>
  <c r="AH285" i="15"/>
  <c r="AI285" i="15"/>
  <c r="AJ285" i="15"/>
  <c r="AK285" i="15"/>
  <c r="AL285" i="15"/>
  <c r="AM285" i="15"/>
  <c r="AN285" i="15"/>
  <c r="AO285" i="15"/>
  <c r="AP285" i="15"/>
  <c r="AQ285" i="15"/>
  <c r="AR285" i="15"/>
  <c r="AS285" i="15"/>
  <c r="AT285" i="15"/>
  <c r="AU285" i="15"/>
  <c r="AV285" i="15"/>
  <c r="AW285" i="15"/>
  <c r="AX285" i="15"/>
  <c r="AY285" i="15"/>
  <c r="AZ285" i="15"/>
  <c r="BA285" i="15"/>
  <c r="BB285" i="15"/>
  <c r="BC285" i="15"/>
  <c r="BD285" i="15"/>
  <c r="BE285" i="15"/>
  <c r="BF285" i="15"/>
  <c r="BG285" i="15"/>
  <c r="BH285" i="15"/>
  <c r="BI285" i="15"/>
  <c r="BJ285" i="15"/>
  <c r="BK285" i="15"/>
  <c r="BL285" i="15"/>
  <c r="BM285" i="15"/>
  <c r="BN285" i="15"/>
  <c r="BO285" i="15"/>
  <c r="BP285" i="15"/>
  <c r="BQ285" i="15"/>
  <c r="BR285" i="15"/>
  <c r="BS285" i="15"/>
  <c r="BT285" i="15"/>
  <c r="BU285" i="15"/>
  <c r="BV285" i="15"/>
  <c r="BW285" i="15"/>
  <c r="BX285" i="15"/>
  <c r="BY285" i="15"/>
  <c r="BZ285" i="15"/>
  <c r="CA285" i="15"/>
  <c r="CB285" i="15"/>
  <c r="CC285" i="15"/>
  <c r="CD285" i="15"/>
  <c r="CE285" i="15"/>
  <c r="CF285" i="15"/>
  <c r="CG285" i="15"/>
  <c r="CH285" i="15"/>
  <c r="CI285" i="15"/>
  <c r="CJ285" i="15"/>
  <c r="CK285" i="15"/>
  <c r="CL285" i="15"/>
  <c r="CM285" i="15"/>
  <c r="CN285" i="15"/>
  <c r="CO285" i="15"/>
  <c r="A286" i="15"/>
  <c r="B286" i="15"/>
  <c r="C286" i="15"/>
  <c r="D286" i="15"/>
  <c r="E286" i="15"/>
  <c r="F286" i="15"/>
  <c r="G286" i="15"/>
  <c r="H286" i="15"/>
  <c r="I286" i="15"/>
  <c r="J286" i="15"/>
  <c r="K286" i="15"/>
  <c r="L286" i="15"/>
  <c r="M286" i="15"/>
  <c r="N286" i="15"/>
  <c r="O286" i="15"/>
  <c r="P286" i="15"/>
  <c r="Q286" i="15"/>
  <c r="R286" i="15"/>
  <c r="S286" i="15"/>
  <c r="T286" i="15"/>
  <c r="U286" i="15"/>
  <c r="V286" i="15"/>
  <c r="W286" i="15"/>
  <c r="X286" i="15"/>
  <c r="Y286" i="15"/>
  <c r="Z286" i="15"/>
  <c r="AA286" i="15"/>
  <c r="AB286" i="15"/>
  <c r="AC286" i="15"/>
  <c r="AD286" i="15"/>
  <c r="AE286" i="15"/>
  <c r="AF286" i="15"/>
  <c r="AG286" i="15"/>
  <c r="AH286" i="15"/>
  <c r="AI286" i="15"/>
  <c r="AJ286" i="15"/>
  <c r="AK286" i="15"/>
  <c r="AL286" i="15"/>
  <c r="AM286" i="15"/>
  <c r="AN286" i="15"/>
  <c r="AO286" i="15"/>
  <c r="AP286" i="15"/>
  <c r="AQ286" i="15"/>
  <c r="AR286" i="15"/>
  <c r="AS286" i="15"/>
  <c r="AT286" i="15"/>
  <c r="AU286" i="15"/>
  <c r="AV286" i="15"/>
  <c r="AW286" i="15"/>
  <c r="AX286" i="15"/>
  <c r="AY286" i="15"/>
  <c r="AZ286" i="15"/>
  <c r="BA286" i="15"/>
  <c r="BB286" i="15"/>
  <c r="BC286" i="15"/>
  <c r="BD286" i="15"/>
  <c r="BE286" i="15"/>
  <c r="BF286" i="15"/>
  <c r="BG286" i="15"/>
  <c r="BH286" i="15"/>
  <c r="BI286" i="15"/>
  <c r="BJ286" i="15"/>
  <c r="BK286" i="15"/>
  <c r="BL286" i="15"/>
  <c r="BM286" i="15"/>
  <c r="BN286" i="15"/>
  <c r="BO286" i="15"/>
  <c r="BP286" i="15"/>
  <c r="BQ286" i="15"/>
  <c r="BR286" i="15"/>
  <c r="BS286" i="15"/>
  <c r="BT286" i="15"/>
  <c r="BU286" i="15"/>
  <c r="BV286" i="15"/>
  <c r="BW286" i="15"/>
  <c r="BX286" i="15"/>
  <c r="BY286" i="15"/>
  <c r="BZ286" i="15"/>
  <c r="CA286" i="15"/>
  <c r="CB286" i="15"/>
  <c r="CC286" i="15"/>
  <c r="CD286" i="15"/>
  <c r="CE286" i="15"/>
  <c r="CF286" i="15"/>
  <c r="CG286" i="15"/>
  <c r="CH286" i="15"/>
  <c r="CI286" i="15"/>
  <c r="CJ286" i="15"/>
  <c r="CK286" i="15"/>
  <c r="CL286" i="15"/>
  <c r="CM286" i="15"/>
  <c r="CN286" i="15"/>
  <c r="CO286" i="15"/>
  <c r="A287" i="15"/>
  <c r="B287" i="15"/>
  <c r="C287" i="15"/>
  <c r="D287" i="15"/>
  <c r="E287" i="15"/>
  <c r="F287" i="15"/>
  <c r="G287" i="15"/>
  <c r="H287" i="15"/>
  <c r="I287" i="15"/>
  <c r="J287" i="15"/>
  <c r="K287" i="15"/>
  <c r="L287" i="15"/>
  <c r="M287" i="15"/>
  <c r="N287" i="15"/>
  <c r="O287" i="15"/>
  <c r="P287" i="15"/>
  <c r="Q287" i="15"/>
  <c r="R287" i="15"/>
  <c r="S287" i="15"/>
  <c r="T287" i="15"/>
  <c r="U287" i="15"/>
  <c r="V287" i="15"/>
  <c r="W287" i="15"/>
  <c r="X287" i="15"/>
  <c r="Y287" i="15"/>
  <c r="Z287" i="15"/>
  <c r="AA287" i="15"/>
  <c r="AB287" i="15"/>
  <c r="AC287" i="15"/>
  <c r="AD287" i="15"/>
  <c r="AE287" i="15"/>
  <c r="AF287" i="15"/>
  <c r="AG287" i="15"/>
  <c r="AH287" i="15"/>
  <c r="AI287" i="15"/>
  <c r="AJ287" i="15"/>
  <c r="AK287" i="15"/>
  <c r="AL287" i="15"/>
  <c r="AM287" i="15"/>
  <c r="AN287" i="15"/>
  <c r="AO287" i="15"/>
  <c r="AP287" i="15"/>
  <c r="AQ287" i="15"/>
  <c r="AR287" i="15"/>
  <c r="AS287" i="15"/>
  <c r="AT287" i="15"/>
  <c r="AU287" i="15"/>
  <c r="AV287" i="15"/>
  <c r="AW287" i="15"/>
  <c r="AX287" i="15"/>
  <c r="AY287" i="15"/>
  <c r="AZ287" i="15"/>
  <c r="BA287" i="15"/>
  <c r="BB287" i="15"/>
  <c r="BC287" i="15"/>
  <c r="BD287" i="15"/>
  <c r="BE287" i="15"/>
  <c r="BF287" i="15"/>
  <c r="BG287" i="15"/>
  <c r="BH287" i="15"/>
  <c r="BI287" i="15"/>
  <c r="BJ287" i="15"/>
  <c r="BK287" i="15"/>
  <c r="BL287" i="15"/>
  <c r="BM287" i="15"/>
  <c r="BN287" i="15"/>
  <c r="BO287" i="15"/>
  <c r="BP287" i="15"/>
  <c r="BQ287" i="15"/>
  <c r="BR287" i="15"/>
  <c r="BS287" i="15"/>
  <c r="BT287" i="15"/>
  <c r="BU287" i="15"/>
  <c r="BV287" i="15"/>
  <c r="BW287" i="15"/>
  <c r="BX287" i="15"/>
  <c r="BY287" i="15"/>
  <c r="BZ287" i="15"/>
  <c r="CA287" i="15"/>
  <c r="CB287" i="15"/>
  <c r="CC287" i="15"/>
  <c r="CD287" i="15"/>
  <c r="CE287" i="15"/>
  <c r="CF287" i="15"/>
  <c r="CG287" i="15"/>
  <c r="CH287" i="15"/>
  <c r="CI287" i="15"/>
  <c r="CJ287" i="15"/>
  <c r="CK287" i="15"/>
  <c r="CL287" i="15"/>
  <c r="CM287" i="15"/>
  <c r="CN287" i="15"/>
  <c r="CO287" i="15"/>
  <c r="A288" i="15"/>
  <c r="B288" i="15"/>
  <c r="C288" i="15"/>
  <c r="D288" i="15"/>
  <c r="E288" i="15"/>
  <c r="F288" i="15"/>
  <c r="G288" i="15"/>
  <c r="H288" i="15"/>
  <c r="I288" i="15"/>
  <c r="J288" i="15"/>
  <c r="K288" i="15"/>
  <c r="L288" i="15"/>
  <c r="M288" i="15"/>
  <c r="N288" i="15"/>
  <c r="O288" i="15"/>
  <c r="P288" i="15"/>
  <c r="Q288" i="15"/>
  <c r="R288" i="15"/>
  <c r="S288" i="15"/>
  <c r="T288" i="15"/>
  <c r="U288" i="15"/>
  <c r="V288" i="15"/>
  <c r="W288" i="15"/>
  <c r="X288" i="15"/>
  <c r="Y288" i="15"/>
  <c r="Z288" i="15"/>
  <c r="AA288" i="15"/>
  <c r="AB288" i="15"/>
  <c r="AC288" i="15"/>
  <c r="AD288" i="15"/>
  <c r="AE288" i="15"/>
  <c r="AF288" i="15"/>
  <c r="AG288" i="15"/>
  <c r="AH288" i="15"/>
  <c r="AI288" i="15"/>
  <c r="AJ288" i="15"/>
  <c r="AK288" i="15"/>
  <c r="AL288" i="15"/>
  <c r="AM288" i="15"/>
  <c r="AN288" i="15"/>
  <c r="AO288" i="15"/>
  <c r="AP288" i="15"/>
  <c r="AQ288" i="15"/>
  <c r="AR288" i="15"/>
  <c r="AS288" i="15"/>
  <c r="AT288" i="15"/>
  <c r="AU288" i="15"/>
  <c r="AV288" i="15"/>
  <c r="AW288" i="15"/>
  <c r="AX288" i="15"/>
  <c r="AY288" i="15"/>
  <c r="AZ288" i="15"/>
  <c r="BA288" i="15"/>
  <c r="BB288" i="15"/>
  <c r="BC288" i="15"/>
  <c r="BD288" i="15"/>
  <c r="BE288" i="15"/>
  <c r="BF288" i="15"/>
  <c r="BG288" i="15"/>
  <c r="BH288" i="15"/>
  <c r="BI288" i="15"/>
  <c r="BJ288" i="15"/>
  <c r="BK288" i="15"/>
  <c r="BL288" i="15"/>
  <c r="BM288" i="15"/>
  <c r="BN288" i="15"/>
  <c r="BO288" i="15"/>
  <c r="BP288" i="15"/>
  <c r="BQ288" i="15"/>
  <c r="BR288" i="15"/>
  <c r="BS288" i="15"/>
  <c r="BT288" i="15"/>
  <c r="BU288" i="15"/>
  <c r="BV288" i="15"/>
  <c r="BW288" i="15"/>
  <c r="BX288" i="15"/>
  <c r="BY288" i="15"/>
  <c r="BZ288" i="15"/>
  <c r="CA288" i="15"/>
  <c r="CB288" i="15"/>
  <c r="CC288" i="15"/>
  <c r="CD288" i="15"/>
  <c r="CE288" i="15"/>
  <c r="CF288" i="15"/>
  <c r="CG288" i="15"/>
  <c r="CH288" i="15"/>
  <c r="CI288" i="15"/>
  <c r="CJ288" i="15"/>
  <c r="CK288" i="15"/>
  <c r="CL288" i="15"/>
  <c r="CM288" i="15"/>
  <c r="CN288" i="15"/>
  <c r="CO288" i="15"/>
  <c r="A289" i="15"/>
  <c r="B289" i="15"/>
  <c r="C289" i="15"/>
  <c r="D289" i="15"/>
  <c r="E289" i="15"/>
  <c r="F289" i="15"/>
  <c r="G289" i="15"/>
  <c r="H289" i="15"/>
  <c r="I289" i="15"/>
  <c r="J289" i="15"/>
  <c r="K289" i="15"/>
  <c r="L289" i="15"/>
  <c r="M289" i="15"/>
  <c r="N289" i="15"/>
  <c r="O289" i="15"/>
  <c r="P289" i="15"/>
  <c r="Q289" i="15"/>
  <c r="R289" i="15"/>
  <c r="S289" i="15"/>
  <c r="T289" i="15"/>
  <c r="U289" i="15"/>
  <c r="V289" i="15"/>
  <c r="W289" i="15"/>
  <c r="X289" i="15"/>
  <c r="Y289" i="15"/>
  <c r="Z289" i="15"/>
  <c r="AA289" i="15"/>
  <c r="AB289" i="15"/>
  <c r="AC289" i="15"/>
  <c r="AD289" i="15"/>
  <c r="AE289" i="15"/>
  <c r="AF289" i="15"/>
  <c r="AG289" i="15"/>
  <c r="AH289" i="15"/>
  <c r="AI289" i="15"/>
  <c r="AJ289" i="15"/>
  <c r="AK289" i="15"/>
  <c r="AL289" i="15"/>
  <c r="AM289" i="15"/>
  <c r="AN289" i="15"/>
  <c r="AO289" i="15"/>
  <c r="AP289" i="15"/>
  <c r="AQ289" i="15"/>
  <c r="AR289" i="15"/>
  <c r="AS289" i="15"/>
  <c r="AT289" i="15"/>
  <c r="AU289" i="15"/>
  <c r="AV289" i="15"/>
  <c r="AW289" i="15"/>
  <c r="AX289" i="15"/>
  <c r="AY289" i="15"/>
  <c r="AZ289" i="15"/>
  <c r="BA289" i="15"/>
  <c r="BB289" i="15"/>
  <c r="BC289" i="15"/>
  <c r="BD289" i="15"/>
  <c r="BE289" i="15"/>
  <c r="BF289" i="15"/>
  <c r="BG289" i="15"/>
  <c r="BH289" i="15"/>
  <c r="BI289" i="15"/>
  <c r="BJ289" i="15"/>
  <c r="BK289" i="15"/>
  <c r="BL289" i="15"/>
  <c r="BM289" i="15"/>
  <c r="BN289" i="15"/>
  <c r="BO289" i="15"/>
  <c r="BP289" i="15"/>
  <c r="BQ289" i="15"/>
  <c r="BR289" i="15"/>
  <c r="BS289" i="15"/>
  <c r="BT289" i="15"/>
  <c r="BU289" i="15"/>
  <c r="BV289" i="15"/>
  <c r="BW289" i="15"/>
  <c r="BX289" i="15"/>
  <c r="BY289" i="15"/>
  <c r="BZ289" i="15"/>
  <c r="CA289" i="15"/>
  <c r="CB289" i="15"/>
  <c r="CC289" i="15"/>
  <c r="CD289" i="15"/>
  <c r="CE289" i="15"/>
  <c r="CF289" i="15"/>
  <c r="CG289" i="15"/>
  <c r="CH289" i="15"/>
  <c r="CI289" i="15"/>
  <c r="CJ289" i="15"/>
  <c r="CK289" i="15"/>
  <c r="CL289" i="15"/>
  <c r="CM289" i="15"/>
  <c r="CN289" i="15"/>
  <c r="CO289" i="15"/>
  <c r="A290" i="15"/>
  <c r="B290" i="15"/>
  <c r="C290" i="15"/>
  <c r="D290" i="15"/>
  <c r="E290" i="15"/>
  <c r="F290" i="15"/>
  <c r="G290" i="15"/>
  <c r="H290" i="15"/>
  <c r="I290" i="15"/>
  <c r="J290" i="15"/>
  <c r="K290" i="15"/>
  <c r="L290" i="15"/>
  <c r="M290" i="15"/>
  <c r="N290" i="15"/>
  <c r="O290" i="15"/>
  <c r="P290" i="15"/>
  <c r="Q290" i="15"/>
  <c r="R290" i="15"/>
  <c r="S290" i="15"/>
  <c r="T290" i="15"/>
  <c r="U290" i="15"/>
  <c r="V290" i="15"/>
  <c r="W290" i="15"/>
  <c r="X290" i="15"/>
  <c r="Y290" i="15"/>
  <c r="Z290" i="15"/>
  <c r="AA290" i="15"/>
  <c r="AB290" i="15"/>
  <c r="AC290" i="15"/>
  <c r="AD290" i="15"/>
  <c r="AE290" i="15"/>
  <c r="AF290" i="15"/>
  <c r="AG290" i="15"/>
  <c r="AH290" i="15"/>
  <c r="AI290" i="15"/>
  <c r="AJ290" i="15"/>
  <c r="AK290" i="15"/>
  <c r="AL290" i="15"/>
  <c r="AM290" i="15"/>
  <c r="AN290" i="15"/>
  <c r="AO290" i="15"/>
  <c r="AP290" i="15"/>
  <c r="AQ290" i="15"/>
  <c r="AR290" i="15"/>
  <c r="AS290" i="15"/>
  <c r="AT290" i="15"/>
  <c r="AU290" i="15"/>
  <c r="AV290" i="15"/>
  <c r="AW290" i="15"/>
  <c r="AX290" i="15"/>
  <c r="AY290" i="15"/>
  <c r="AZ290" i="15"/>
  <c r="BA290" i="15"/>
  <c r="BB290" i="15"/>
  <c r="BC290" i="15"/>
  <c r="BD290" i="15"/>
  <c r="BE290" i="15"/>
  <c r="BF290" i="15"/>
  <c r="BG290" i="15"/>
  <c r="BH290" i="15"/>
  <c r="BI290" i="15"/>
  <c r="BJ290" i="15"/>
  <c r="BK290" i="15"/>
  <c r="BL290" i="15"/>
  <c r="BM290" i="15"/>
  <c r="BN290" i="15"/>
  <c r="BO290" i="15"/>
  <c r="BP290" i="15"/>
  <c r="BQ290" i="15"/>
  <c r="BR290" i="15"/>
  <c r="BS290" i="15"/>
  <c r="BT290" i="15"/>
  <c r="BU290" i="15"/>
  <c r="BV290" i="15"/>
  <c r="BW290" i="15"/>
  <c r="BX290" i="15"/>
  <c r="BY290" i="15"/>
  <c r="BZ290" i="15"/>
  <c r="CA290" i="15"/>
  <c r="CB290" i="15"/>
  <c r="CC290" i="15"/>
  <c r="CD290" i="15"/>
  <c r="CE290" i="15"/>
  <c r="CF290" i="15"/>
  <c r="CG290" i="15"/>
  <c r="CH290" i="15"/>
  <c r="CI290" i="15"/>
  <c r="CJ290" i="15"/>
  <c r="CK290" i="15"/>
  <c r="CL290" i="15"/>
  <c r="CM290" i="15"/>
  <c r="CN290" i="15"/>
  <c r="CO290" i="15"/>
  <c r="A291" i="15"/>
  <c r="B291" i="15"/>
  <c r="C291" i="15"/>
  <c r="D291" i="15"/>
  <c r="E291" i="15"/>
  <c r="F291" i="15"/>
  <c r="G291" i="15"/>
  <c r="H291" i="15"/>
  <c r="I291" i="15"/>
  <c r="J291" i="15"/>
  <c r="K291" i="15"/>
  <c r="L291" i="15"/>
  <c r="M291" i="15"/>
  <c r="N291" i="15"/>
  <c r="O291" i="15"/>
  <c r="P291" i="15"/>
  <c r="Q291" i="15"/>
  <c r="R291" i="15"/>
  <c r="S291" i="15"/>
  <c r="T291" i="15"/>
  <c r="U291" i="15"/>
  <c r="V291" i="15"/>
  <c r="W291" i="15"/>
  <c r="X291" i="15"/>
  <c r="Y291" i="15"/>
  <c r="Z291" i="15"/>
  <c r="AA291" i="15"/>
  <c r="AB291" i="15"/>
  <c r="AC291" i="15"/>
  <c r="AD291" i="15"/>
  <c r="AE291" i="15"/>
  <c r="AF291" i="15"/>
  <c r="AG291" i="15"/>
  <c r="AH291" i="15"/>
  <c r="AI291" i="15"/>
  <c r="AJ291" i="15"/>
  <c r="AK291" i="15"/>
  <c r="AL291" i="15"/>
  <c r="AM291" i="15"/>
  <c r="AN291" i="15"/>
  <c r="AO291" i="15"/>
  <c r="AP291" i="15"/>
  <c r="AQ291" i="15"/>
  <c r="AR291" i="15"/>
  <c r="AS291" i="15"/>
  <c r="AT291" i="15"/>
  <c r="AU291" i="15"/>
  <c r="AV291" i="15"/>
  <c r="AW291" i="15"/>
  <c r="AX291" i="15"/>
  <c r="AY291" i="15"/>
  <c r="AZ291" i="15"/>
  <c r="BA291" i="15"/>
  <c r="BB291" i="15"/>
  <c r="BC291" i="15"/>
  <c r="BD291" i="15"/>
  <c r="BE291" i="15"/>
  <c r="BF291" i="15"/>
  <c r="BG291" i="15"/>
  <c r="BH291" i="15"/>
  <c r="BI291" i="15"/>
  <c r="BJ291" i="15"/>
  <c r="BK291" i="15"/>
  <c r="BL291" i="15"/>
  <c r="BM291" i="15"/>
  <c r="BN291" i="15"/>
  <c r="BO291" i="15"/>
  <c r="BP291" i="15"/>
  <c r="BQ291" i="15"/>
  <c r="BR291" i="15"/>
  <c r="BS291" i="15"/>
  <c r="BT291" i="15"/>
  <c r="BU291" i="15"/>
  <c r="BV291" i="15"/>
  <c r="BW291" i="15"/>
  <c r="BX291" i="15"/>
  <c r="BY291" i="15"/>
  <c r="BZ291" i="15"/>
  <c r="CA291" i="15"/>
  <c r="CB291" i="15"/>
  <c r="CC291" i="15"/>
  <c r="CD291" i="15"/>
  <c r="CE291" i="15"/>
  <c r="CF291" i="15"/>
  <c r="CG291" i="15"/>
  <c r="CH291" i="15"/>
  <c r="CI291" i="15"/>
  <c r="CJ291" i="15"/>
  <c r="CK291" i="15"/>
  <c r="CL291" i="15"/>
  <c r="CM291" i="15"/>
  <c r="CN291" i="15"/>
  <c r="CO291" i="15"/>
  <c r="A292" i="15"/>
  <c r="B292" i="15"/>
  <c r="C292" i="15"/>
  <c r="D292" i="15"/>
  <c r="E292" i="15"/>
  <c r="F292" i="15"/>
  <c r="G292" i="15"/>
  <c r="H292" i="15"/>
  <c r="I292" i="15"/>
  <c r="J292" i="15"/>
  <c r="K292" i="15"/>
  <c r="L292" i="15"/>
  <c r="M292" i="15"/>
  <c r="N292" i="15"/>
  <c r="O292" i="15"/>
  <c r="P292" i="15"/>
  <c r="Q292" i="15"/>
  <c r="R292" i="15"/>
  <c r="S292" i="15"/>
  <c r="T292" i="15"/>
  <c r="U292" i="15"/>
  <c r="V292" i="15"/>
  <c r="W292" i="15"/>
  <c r="X292" i="15"/>
  <c r="Y292" i="15"/>
  <c r="Z292" i="15"/>
  <c r="AA292" i="15"/>
  <c r="AB292" i="15"/>
  <c r="AC292" i="15"/>
  <c r="AD292" i="15"/>
  <c r="AE292" i="15"/>
  <c r="AF292" i="15"/>
  <c r="AG292" i="15"/>
  <c r="AH292" i="15"/>
  <c r="AI292" i="15"/>
  <c r="AJ292" i="15"/>
  <c r="AK292" i="15"/>
  <c r="AL292" i="15"/>
  <c r="AM292" i="15"/>
  <c r="AN292" i="15"/>
  <c r="AO292" i="15"/>
  <c r="AP292" i="15"/>
  <c r="AQ292" i="15"/>
  <c r="AR292" i="15"/>
  <c r="AS292" i="15"/>
  <c r="AT292" i="15"/>
  <c r="AU292" i="15"/>
  <c r="AV292" i="15"/>
  <c r="AW292" i="15"/>
  <c r="AX292" i="15"/>
  <c r="AY292" i="15"/>
  <c r="AZ292" i="15"/>
  <c r="BA292" i="15"/>
  <c r="BB292" i="15"/>
  <c r="BC292" i="15"/>
  <c r="BD292" i="15"/>
  <c r="BE292" i="15"/>
  <c r="BF292" i="15"/>
  <c r="BG292" i="15"/>
  <c r="BH292" i="15"/>
  <c r="BI292" i="15"/>
  <c r="BJ292" i="15"/>
  <c r="BK292" i="15"/>
  <c r="BL292" i="15"/>
  <c r="BM292" i="15"/>
  <c r="BN292" i="15"/>
  <c r="BO292" i="15"/>
  <c r="BP292" i="15"/>
  <c r="BQ292" i="15"/>
  <c r="BR292" i="15"/>
  <c r="BS292" i="15"/>
  <c r="BT292" i="15"/>
  <c r="BU292" i="15"/>
  <c r="BV292" i="15"/>
  <c r="BW292" i="15"/>
  <c r="BX292" i="15"/>
  <c r="BY292" i="15"/>
  <c r="BZ292" i="15"/>
  <c r="CA292" i="15"/>
  <c r="CB292" i="15"/>
  <c r="CC292" i="15"/>
  <c r="CD292" i="15"/>
  <c r="CE292" i="15"/>
  <c r="CF292" i="15"/>
  <c r="CG292" i="15"/>
  <c r="CH292" i="15"/>
  <c r="CI292" i="15"/>
  <c r="CJ292" i="15"/>
  <c r="CK292" i="15"/>
  <c r="CL292" i="15"/>
  <c r="CM292" i="15"/>
  <c r="CN292" i="15"/>
  <c r="CO292" i="15"/>
  <c r="A293" i="15"/>
  <c r="B293" i="15"/>
  <c r="C293" i="15"/>
  <c r="D293" i="15"/>
  <c r="E293" i="15"/>
  <c r="F293" i="15"/>
  <c r="G293" i="15"/>
  <c r="H293" i="15"/>
  <c r="I293" i="15"/>
  <c r="J293" i="15"/>
  <c r="K293" i="15"/>
  <c r="L293" i="15"/>
  <c r="M293" i="15"/>
  <c r="N293" i="15"/>
  <c r="O293" i="15"/>
  <c r="P293" i="15"/>
  <c r="Q293" i="15"/>
  <c r="R293" i="15"/>
  <c r="S293" i="15"/>
  <c r="T293" i="15"/>
  <c r="U293" i="15"/>
  <c r="V293" i="15"/>
  <c r="W293" i="15"/>
  <c r="X293" i="15"/>
  <c r="Y293" i="15"/>
  <c r="Z293" i="15"/>
  <c r="AA293" i="15"/>
  <c r="AB293" i="15"/>
  <c r="AC293" i="15"/>
  <c r="AD293" i="15"/>
  <c r="AE293" i="15"/>
  <c r="AF293" i="15"/>
  <c r="AG293" i="15"/>
  <c r="AH293" i="15"/>
  <c r="AI293" i="15"/>
  <c r="AJ293" i="15"/>
  <c r="AK293" i="15"/>
  <c r="AL293" i="15"/>
  <c r="AM293" i="15"/>
  <c r="AN293" i="15"/>
  <c r="AO293" i="15"/>
  <c r="AP293" i="15"/>
  <c r="AQ293" i="15"/>
  <c r="AR293" i="15"/>
  <c r="AS293" i="15"/>
  <c r="AT293" i="15"/>
  <c r="AU293" i="15"/>
  <c r="AV293" i="15"/>
  <c r="AW293" i="15"/>
  <c r="AX293" i="15"/>
  <c r="AY293" i="15"/>
  <c r="AZ293" i="15"/>
  <c r="BA293" i="15"/>
  <c r="BB293" i="15"/>
  <c r="BC293" i="15"/>
  <c r="BD293" i="15"/>
  <c r="BE293" i="15"/>
  <c r="BF293" i="15"/>
  <c r="BG293" i="15"/>
  <c r="BH293" i="15"/>
  <c r="BI293" i="15"/>
  <c r="BJ293" i="15"/>
  <c r="BK293" i="15"/>
  <c r="BL293" i="15"/>
  <c r="BM293" i="15"/>
  <c r="BN293" i="15"/>
  <c r="BO293" i="15"/>
  <c r="BP293" i="15"/>
  <c r="BQ293" i="15"/>
  <c r="BR293" i="15"/>
  <c r="BS293" i="15"/>
  <c r="BT293" i="15"/>
  <c r="BU293" i="15"/>
  <c r="BV293" i="15"/>
  <c r="BW293" i="15"/>
  <c r="BX293" i="15"/>
  <c r="BY293" i="15"/>
  <c r="BZ293" i="15"/>
  <c r="CA293" i="15"/>
  <c r="CB293" i="15"/>
  <c r="CC293" i="15"/>
  <c r="CD293" i="15"/>
  <c r="CE293" i="15"/>
  <c r="CF293" i="15"/>
  <c r="CG293" i="15"/>
  <c r="CH293" i="15"/>
  <c r="CI293" i="15"/>
  <c r="CJ293" i="15"/>
  <c r="CK293" i="15"/>
  <c r="CL293" i="15"/>
  <c r="CM293" i="15"/>
  <c r="CN293" i="15"/>
  <c r="CO293" i="15"/>
  <c r="A294" i="15"/>
  <c r="B294" i="15"/>
  <c r="C294" i="15"/>
  <c r="D294" i="15"/>
  <c r="E294" i="15"/>
  <c r="F294" i="15"/>
  <c r="G294" i="15"/>
  <c r="H294" i="15"/>
  <c r="I294" i="15"/>
  <c r="J294" i="15"/>
  <c r="K294" i="15"/>
  <c r="L294" i="15"/>
  <c r="M294" i="15"/>
  <c r="N294" i="15"/>
  <c r="O294" i="15"/>
  <c r="P294" i="15"/>
  <c r="Q294" i="15"/>
  <c r="R294" i="15"/>
  <c r="S294" i="15"/>
  <c r="T294" i="15"/>
  <c r="U294" i="15"/>
  <c r="V294" i="15"/>
  <c r="W294" i="15"/>
  <c r="X294" i="15"/>
  <c r="Y294" i="15"/>
  <c r="Z294" i="15"/>
  <c r="AA294" i="15"/>
  <c r="AB294" i="15"/>
  <c r="AC294" i="15"/>
  <c r="AD294" i="15"/>
  <c r="AE294" i="15"/>
  <c r="AF294" i="15"/>
  <c r="AG294" i="15"/>
  <c r="AH294" i="15"/>
  <c r="AI294" i="15"/>
  <c r="AJ294" i="15"/>
  <c r="AK294" i="15"/>
  <c r="AL294" i="15"/>
  <c r="AM294" i="15"/>
  <c r="AN294" i="15"/>
  <c r="AO294" i="15"/>
  <c r="AP294" i="15"/>
  <c r="AQ294" i="15"/>
  <c r="AR294" i="15"/>
  <c r="AS294" i="15"/>
  <c r="AT294" i="15"/>
  <c r="AU294" i="15"/>
  <c r="AV294" i="15"/>
  <c r="AW294" i="15"/>
  <c r="AX294" i="15"/>
  <c r="AY294" i="15"/>
  <c r="AZ294" i="15"/>
  <c r="BA294" i="15"/>
  <c r="BB294" i="15"/>
  <c r="BC294" i="15"/>
  <c r="BD294" i="15"/>
  <c r="BE294" i="15"/>
  <c r="BF294" i="15"/>
  <c r="BG294" i="15"/>
  <c r="BH294" i="15"/>
  <c r="BI294" i="15"/>
  <c r="BJ294" i="15"/>
  <c r="BK294" i="15"/>
  <c r="BL294" i="15"/>
  <c r="BM294" i="15"/>
  <c r="BN294" i="15"/>
  <c r="BO294" i="15"/>
  <c r="BP294" i="15"/>
  <c r="BQ294" i="15"/>
  <c r="BR294" i="15"/>
  <c r="BS294" i="15"/>
  <c r="BT294" i="15"/>
  <c r="BU294" i="15"/>
  <c r="BV294" i="15"/>
  <c r="BW294" i="15"/>
  <c r="BX294" i="15"/>
  <c r="BY294" i="15"/>
  <c r="BZ294" i="15"/>
  <c r="CA294" i="15"/>
  <c r="CB294" i="15"/>
  <c r="CC294" i="15"/>
  <c r="CD294" i="15"/>
  <c r="CE294" i="15"/>
  <c r="CF294" i="15"/>
  <c r="CG294" i="15"/>
  <c r="CH294" i="15"/>
  <c r="CI294" i="15"/>
  <c r="CJ294" i="15"/>
  <c r="CK294" i="15"/>
  <c r="CL294" i="15"/>
  <c r="CM294" i="15"/>
  <c r="CN294" i="15"/>
  <c r="CO294" i="15"/>
  <c r="A295" i="15"/>
  <c r="B295" i="15"/>
  <c r="C295" i="15"/>
  <c r="D295" i="15"/>
  <c r="E295" i="15"/>
  <c r="F295" i="15"/>
  <c r="G295" i="15"/>
  <c r="H295" i="15"/>
  <c r="I295" i="15"/>
  <c r="J295" i="15"/>
  <c r="K295" i="15"/>
  <c r="L295" i="15"/>
  <c r="M295" i="15"/>
  <c r="N295" i="15"/>
  <c r="O295" i="15"/>
  <c r="P295" i="15"/>
  <c r="Q295" i="15"/>
  <c r="R295" i="15"/>
  <c r="S295" i="15"/>
  <c r="T295" i="15"/>
  <c r="U295" i="15"/>
  <c r="V295" i="15"/>
  <c r="W295" i="15"/>
  <c r="X295" i="15"/>
  <c r="Y295" i="15"/>
  <c r="Z295" i="15"/>
  <c r="AA295" i="15"/>
  <c r="AB295" i="15"/>
  <c r="AC295" i="15"/>
  <c r="AD295" i="15"/>
  <c r="AE295" i="15"/>
  <c r="AF295" i="15"/>
  <c r="AG295" i="15"/>
  <c r="AH295" i="15"/>
  <c r="AI295" i="15"/>
  <c r="AJ295" i="15"/>
  <c r="AK295" i="15"/>
  <c r="AL295" i="15"/>
  <c r="AM295" i="15"/>
  <c r="AN295" i="15"/>
  <c r="AO295" i="15"/>
  <c r="AP295" i="15"/>
  <c r="AQ295" i="15"/>
  <c r="AR295" i="15"/>
  <c r="AS295" i="15"/>
  <c r="AT295" i="15"/>
  <c r="AU295" i="15"/>
  <c r="AV295" i="15"/>
  <c r="AW295" i="15"/>
  <c r="AX295" i="15"/>
  <c r="AY295" i="15"/>
  <c r="AZ295" i="15"/>
  <c r="BA295" i="15"/>
  <c r="BB295" i="15"/>
  <c r="BC295" i="15"/>
  <c r="BD295" i="15"/>
  <c r="BE295" i="15"/>
  <c r="BF295" i="15"/>
  <c r="BG295" i="15"/>
  <c r="BH295" i="15"/>
  <c r="BI295" i="15"/>
  <c r="BJ295" i="15"/>
  <c r="BK295" i="15"/>
  <c r="BL295" i="15"/>
  <c r="BM295" i="15"/>
  <c r="BN295" i="15"/>
  <c r="BO295" i="15"/>
  <c r="BP295" i="15"/>
  <c r="BQ295" i="15"/>
  <c r="BR295" i="15"/>
  <c r="BS295" i="15"/>
  <c r="BT295" i="15"/>
  <c r="BU295" i="15"/>
  <c r="BV295" i="15"/>
  <c r="BW295" i="15"/>
  <c r="BX295" i="15"/>
  <c r="BY295" i="15"/>
  <c r="BZ295" i="15"/>
  <c r="CA295" i="15"/>
  <c r="CB295" i="15"/>
  <c r="CC295" i="15"/>
  <c r="CD295" i="15"/>
  <c r="CE295" i="15"/>
  <c r="CF295" i="15"/>
  <c r="CG295" i="15"/>
  <c r="CH295" i="15"/>
  <c r="CI295" i="15"/>
  <c r="CJ295" i="15"/>
  <c r="CK295" i="15"/>
  <c r="CL295" i="15"/>
  <c r="CM295" i="15"/>
  <c r="CN295" i="15"/>
  <c r="CO295" i="15"/>
  <c r="A296" i="15"/>
  <c r="B296" i="15"/>
  <c r="C296" i="15"/>
  <c r="D296" i="15"/>
  <c r="E296" i="15"/>
  <c r="F296" i="15"/>
  <c r="G296" i="15"/>
  <c r="H296" i="15"/>
  <c r="I296" i="15"/>
  <c r="J296" i="15"/>
  <c r="K296" i="15"/>
  <c r="L296" i="15"/>
  <c r="M296" i="15"/>
  <c r="N296" i="15"/>
  <c r="O296" i="15"/>
  <c r="P296" i="15"/>
  <c r="Q296" i="15"/>
  <c r="R296" i="15"/>
  <c r="S296" i="15"/>
  <c r="T296" i="15"/>
  <c r="U296" i="15"/>
  <c r="V296" i="15"/>
  <c r="W296" i="15"/>
  <c r="X296" i="15"/>
  <c r="Y296" i="15"/>
  <c r="Z296" i="15"/>
  <c r="AA296" i="15"/>
  <c r="AB296" i="15"/>
  <c r="AC296" i="15"/>
  <c r="AD296" i="15"/>
  <c r="AE296" i="15"/>
  <c r="AF296" i="15"/>
  <c r="AG296" i="15"/>
  <c r="AH296" i="15"/>
  <c r="AI296" i="15"/>
  <c r="AJ296" i="15"/>
  <c r="AK296" i="15"/>
  <c r="AL296" i="15"/>
  <c r="AM296" i="15"/>
  <c r="AN296" i="15"/>
  <c r="AO296" i="15"/>
  <c r="AP296" i="15"/>
  <c r="AQ296" i="15"/>
  <c r="AR296" i="15"/>
  <c r="AS296" i="15"/>
  <c r="AT296" i="15"/>
  <c r="AU296" i="15"/>
  <c r="AV296" i="15"/>
  <c r="AW296" i="15"/>
  <c r="AX296" i="15"/>
  <c r="AY296" i="15"/>
  <c r="AZ296" i="15"/>
  <c r="BA296" i="15"/>
  <c r="BB296" i="15"/>
  <c r="BC296" i="15"/>
  <c r="BD296" i="15"/>
  <c r="BE296" i="15"/>
  <c r="BF296" i="15"/>
  <c r="BG296" i="15"/>
  <c r="BH296" i="15"/>
  <c r="BI296" i="15"/>
  <c r="BJ296" i="15"/>
  <c r="BK296" i="15"/>
  <c r="BL296" i="15"/>
  <c r="BM296" i="15"/>
  <c r="BN296" i="15"/>
  <c r="BO296" i="15"/>
  <c r="BP296" i="15"/>
  <c r="BQ296" i="15"/>
  <c r="BR296" i="15"/>
  <c r="BS296" i="15"/>
  <c r="BT296" i="15"/>
  <c r="BU296" i="15"/>
  <c r="BV296" i="15"/>
  <c r="BW296" i="15"/>
  <c r="BX296" i="15"/>
  <c r="BY296" i="15"/>
  <c r="BZ296" i="15"/>
  <c r="CA296" i="15"/>
  <c r="CB296" i="15"/>
  <c r="CC296" i="15"/>
  <c r="CD296" i="15"/>
  <c r="CE296" i="15"/>
  <c r="CF296" i="15"/>
  <c r="CG296" i="15"/>
  <c r="CH296" i="15"/>
  <c r="CI296" i="15"/>
  <c r="CJ296" i="15"/>
  <c r="CK296" i="15"/>
  <c r="CL296" i="15"/>
  <c r="CM296" i="15"/>
  <c r="CN296" i="15"/>
  <c r="CO296" i="15"/>
  <c r="A297" i="15"/>
  <c r="B297" i="15"/>
  <c r="C297" i="15"/>
  <c r="D297" i="15"/>
  <c r="E297" i="15"/>
  <c r="F297" i="15"/>
  <c r="G297" i="15"/>
  <c r="H297" i="15"/>
  <c r="I297" i="15"/>
  <c r="J297" i="15"/>
  <c r="K297" i="15"/>
  <c r="L297" i="15"/>
  <c r="M297" i="15"/>
  <c r="N297" i="15"/>
  <c r="O297" i="15"/>
  <c r="P297" i="15"/>
  <c r="Q297" i="15"/>
  <c r="R297" i="15"/>
  <c r="S297" i="15"/>
  <c r="T297" i="15"/>
  <c r="U297" i="15"/>
  <c r="V297" i="15"/>
  <c r="W297" i="15"/>
  <c r="X297" i="15"/>
  <c r="Y297" i="15"/>
  <c r="Z297" i="15"/>
  <c r="AA297" i="15"/>
  <c r="AB297" i="15"/>
  <c r="AC297" i="15"/>
  <c r="AD297" i="15"/>
  <c r="AE297" i="15"/>
  <c r="AF297" i="15"/>
  <c r="AG297" i="15"/>
  <c r="AH297" i="15"/>
  <c r="AI297" i="15"/>
  <c r="AJ297" i="15"/>
  <c r="AK297" i="15"/>
  <c r="AL297" i="15"/>
  <c r="AM297" i="15"/>
  <c r="AN297" i="15"/>
  <c r="AO297" i="15"/>
  <c r="AP297" i="15"/>
  <c r="AQ297" i="15"/>
  <c r="AR297" i="15"/>
  <c r="AS297" i="15"/>
  <c r="AT297" i="15"/>
  <c r="AU297" i="15"/>
  <c r="AV297" i="15"/>
  <c r="AW297" i="15"/>
  <c r="AX297" i="15"/>
  <c r="AY297" i="15"/>
  <c r="AZ297" i="15"/>
  <c r="BA297" i="15"/>
  <c r="BB297" i="15"/>
  <c r="BC297" i="15"/>
  <c r="BD297" i="15"/>
  <c r="BE297" i="15"/>
  <c r="BF297" i="15"/>
  <c r="BG297" i="15"/>
  <c r="BH297" i="15"/>
  <c r="BI297" i="15"/>
  <c r="BJ297" i="15"/>
  <c r="BK297" i="15"/>
  <c r="BL297" i="15"/>
  <c r="BM297" i="15"/>
  <c r="BN297" i="15"/>
  <c r="BO297" i="15"/>
  <c r="BP297" i="15"/>
  <c r="BQ297" i="15"/>
  <c r="BR297" i="15"/>
  <c r="BS297" i="15"/>
  <c r="BT297" i="15"/>
  <c r="BU297" i="15"/>
  <c r="BV297" i="15"/>
  <c r="BW297" i="15"/>
  <c r="BX297" i="15"/>
  <c r="BY297" i="15"/>
  <c r="BZ297" i="15"/>
  <c r="CA297" i="15"/>
  <c r="CB297" i="15"/>
  <c r="CC297" i="15"/>
  <c r="CD297" i="15"/>
  <c r="CE297" i="15"/>
  <c r="CF297" i="15"/>
  <c r="CG297" i="15"/>
  <c r="CH297" i="15"/>
  <c r="CI297" i="15"/>
  <c r="CJ297" i="15"/>
  <c r="CK297" i="15"/>
  <c r="CL297" i="15"/>
  <c r="CM297" i="15"/>
  <c r="CN297" i="15"/>
  <c r="CO297" i="15"/>
  <c r="A298" i="15"/>
  <c r="B298" i="15"/>
  <c r="C298" i="15"/>
  <c r="D298" i="15"/>
  <c r="E298" i="15"/>
  <c r="F298" i="15"/>
  <c r="G298" i="15"/>
  <c r="H298" i="15"/>
  <c r="I298" i="15"/>
  <c r="J298" i="15"/>
  <c r="K298" i="15"/>
  <c r="L298" i="15"/>
  <c r="M298" i="15"/>
  <c r="N298" i="15"/>
  <c r="O298" i="15"/>
  <c r="P298" i="15"/>
  <c r="Q298" i="15"/>
  <c r="R298" i="15"/>
  <c r="S298" i="15"/>
  <c r="T298" i="15"/>
  <c r="U298" i="15"/>
  <c r="V298" i="15"/>
  <c r="W298" i="15"/>
  <c r="X298" i="15"/>
  <c r="Y298" i="15"/>
  <c r="Z298" i="15"/>
  <c r="AA298" i="15"/>
  <c r="AB298" i="15"/>
  <c r="AC298" i="15"/>
  <c r="AD298" i="15"/>
  <c r="AE298" i="15"/>
  <c r="AF298" i="15"/>
  <c r="AG298" i="15"/>
  <c r="AH298" i="15"/>
  <c r="AI298" i="15"/>
  <c r="AJ298" i="15"/>
  <c r="AK298" i="15"/>
  <c r="AL298" i="15"/>
  <c r="AM298" i="15"/>
  <c r="AN298" i="15"/>
  <c r="AO298" i="15"/>
  <c r="AP298" i="15"/>
  <c r="AQ298" i="15"/>
  <c r="AR298" i="15"/>
  <c r="AS298" i="15"/>
  <c r="AT298" i="15"/>
  <c r="AU298" i="15"/>
  <c r="AV298" i="15"/>
  <c r="AW298" i="15"/>
  <c r="AX298" i="15"/>
  <c r="AY298" i="15"/>
  <c r="AZ298" i="15"/>
  <c r="BA298" i="15"/>
  <c r="BB298" i="15"/>
  <c r="BC298" i="15"/>
  <c r="BD298" i="15"/>
  <c r="BE298" i="15"/>
  <c r="BF298" i="15"/>
  <c r="BG298" i="15"/>
  <c r="BH298" i="15"/>
  <c r="BI298" i="15"/>
  <c r="BJ298" i="15"/>
  <c r="BK298" i="15"/>
  <c r="BL298" i="15"/>
  <c r="BM298" i="15"/>
  <c r="BN298" i="15"/>
  <c r="BO298" i="15"/>
  <c r="BP298" i="15"/>
  <c r="BQ298" i="15"/>
  <c r="BR298" i="15"/>
  <c r="BS298" i="15"/>
  <c r="BT298" i="15"/>
  <c r="BU298" i="15"/>
  <c r="BV298" i="15"/>
  <c r="BW298" i="15"/>
  <c r="BX298" i="15"/>
  <c r="BY298" i="15"/>
  <c r="BZ298" i="15"/>
  <c r="CA298" i="15"/>
  <c r="CB298" i="15"/>
  <c r="CC298" i="15"/>
  <c r="CD298" i="15"/>
  <c r="CE298" i="15"/>
  <c r="CF298" i="15"/>
  <c r="CG298" i="15"/>
  <c r="CH298" i="15"/>
  <c r="CI298" i="15"/>
  <c r="CJ298" i="15"/>
  <c r="CK298" i="15"/>
  <c r="CL298" i="15"/>
  <c r="CM298" i="15"/>
  <c r="CN298" i="15"/>
  <c r="CO298" i="15"/>
  <c r="A299" i="15"/>
  <c r="B299" i="15"/>
  <c r="C299" i="15"/>
  <c r="D299" i="15"/>
  <c r="E299" i="15"/>
  <c r="F299" i="15"/>
  <c r="G299" i="15"/>
  <c r="H299" i="15"/>
  <c r="I299" i="15"/>
  <c r="J299" i="15"/>
  <c r="K299" i="15"/>
  <c r="L299" i="15"/>
  <c r="M299" i="15"/>
  <c r="N299" i="15"/>
  <c r="O299" i="15"/>
  <c r="P299" i="15"/>
  <c r="Q299" i="15"/>
  <c r="R299" i="15"/>
  <c r="S299" i="15"/>
  <c r="T299" i="15"/>
  <c r="U299" i="15"/>
  <c r="V299" i="15"/>
  <c r="W299" i="15"/>
  <c r="X299" i="15"/>
  <c r="Y299" i="15"/>
  <c r="Z299" i="15"/>
  <c r="AA299" i="15"/>
  <c r="AB299" i="15"/>
  <c r="AC299" i="15"/>
  <c r="AD299" i="15"/>
  <c r="AE299" i="15"/>
  <c r="AF299" i="15"/>
  <c r="AG299" i="15"/>
  <c r="AH299" i="15"/>
  <c r="AI299" i="15"/>
  <c r="AJ299" i="15"/>
  <c r="AK299" i="15"/>
  <c r="AL299" i="15"/>
  <c r="AM299" i="15"/>
  <c r="AN299" i="15"/>
  <c r="AO299" i="15"/>
  <c r="AP299" i="15"/>
  <c r="AQ299" i="15"/>
  <c r="AR299" i="15"/>
  <c r="AS299" i="15"/>
  <c r="AT299" i="15"/>
  <c r="AU299" i="15"/>
  <c r="AV299" i="15"/>
  <c r="AW299" i="15"/>
  <c r="AX299" i="15"/>
  <c r="AY299" i="15"/>
  <c r="AZ299" i="15"/>
  <c r="BA299" i="15"/>
  <c r="BB299" i="15"/>
  <c r="BC299" i="15"/>
  <c r="BD299" i="15"/>
  <c r="BE299" i="15"/>
  <c r="BF299" i="15"/>
  <c r="BG299" i="15"/>
  <c r="BH299" i="15"/>
  <c r="BI299" i="15"/>
  <c r="BJ299" i="15"/>
  <c r="BK299" i="15"/>
  <c r="BL299" i="15"/>
  <c r="BM299" i="15"/>
  <c r="BN299" i="15"/>
  <c r="BO299" i="15"/>
  <c r="BP299" i="15"/>
  <c r="BQ299" i="15"/>
  <c r="BR299" i="15"/>
  <c r="BS299" i="15"/>
  <c r="BT299" i="15"/>
  <c r="BU299" i="15"/>
  <c r="BV299" i="15"/>
  <c r="BW299" i="15"/>
  <c r="BX299" i="15"/>
  <c r="BY299" i="15"/>
  <c r="BZ299" i="15"/>
  <c r="CA299" i="15"/>
  <c r="CB299" i="15"/>
  <c r="CC299" i="15"/>
  <c r="CD299" i="15"/>
  <c r="CE299" i="15"/>
  <c r="CF299" i="15"/>
  <c r="CG299" i="15"/>
  <c r="CH299" i="15"/>
  <c r="CI299" i="15"/>
  <c r="CJ299" i="15"/>
  <c r="CK299" i="15"/>
  <c r="CL299" i="15"/>
  <c r="CM299" i="15"/>
  <c r="CN299" i="15"/>
  <c r="CO299" i="15"/>
  <c r="A300" i="15"/>
  <c r="B300" i="15"/>
  <c r="C300" i="15"/>
  <c r="D300" i="15"/>
  <c r="E300" i="15"/>
  <c r="F300" i="15"/>
  <c r="G300" i="15"/>
  <c r="H300" i="15"/>
  <c r="I300" i="15"/>
  <c r="J300" i="15"/>
  <c r="K300" i="15"/>
  <c r="L300" i="15"/>
  <c r="M300" i="15"/>
  <c r="N300" i="15"/>
  <c r="O300" i="15"/>
  <c r="P300" i="15"/>
  <c r="Q300" i="15"/>
  <c r="R300" i="15"/>
  <c r="S300" i="15"/>
  <c r="T300" i="15"/>
  <c r="U300" i="15"/>
  <c r="V300" i="15"/>
  <c r="W300" i="15"/>
  <c r="X300" i="15"/>
  <c r="Y300" i="15"/>
  <c r="Z300" i="15"/>
  <c r="AA300" i="15"/>
  <c r="AB300" i="15"/>
  <c r="AC300" i="15"/>
  <c r="AD300" i="15"/>
  <c r="AE300" i="15"/>
  <c r="AF300" i="15"/>
  <c r="AG300" i="15"/>
  <c r="AH300" i="15"/>
  <c r="AI300" i="15"/>
  <c r="AJ300" i="15"/>
  <c r="AK300" i="15"/>
  <c r="AL300" i="15"/>
  <c r="AM300" i="15"/>
  <c r="AN300" i="15"/>
  <c r="AO300" i="15"/>
  <c r="AP300" i="15"/>
  <c r="AQ300" i="15"/>
  <c r="AR300" i="15"/>
  <c r="AS300" i="15"/>
  <c r="AT300" i="15"/>
  <c r="AU300" i="15"/>
  <c r="AV300" i="15"/>
  <c r="AW300" i="15"/>
  <c r="AX300" i="15"/>
  <c r="AY300" i="15"/>
  <c r="AZ300" i="15"/>
  <c r="BA300" i="15"/>
  <c r="BB300" i="15"/>
  <c r="BC300" i="15"/>
  <c r="BD300" i="15"/>
  <c r="BE300" i="15"/>
  <c r="BF300" i="15"/>
  <c r="BG300" i="15"/>
  <c r="BH300" i="15"/>
  <c r="BI300" i="15"/>
  <c r="BJ300" i="15"/>
  <c r="BK300" i="15"/>
  <c r="BL300" i="15"/>
  <c r="BM300" i="15"/>
  <c r="BN300" i="15"/>
  <c r="BO300" i="15"/>
  <c r="BP300" i="15"/>
  <c r="BQ300" i="15"/>
  <c r="BR300" i="15"/>
  <c r="BS300" i="15"/>
  <c r="BT300" i="15"/>
  <c r="BU300" i="15"/>
  <c r="BV300" i="15"/>
  <c r="BW300" i="15"/>
  <c r="BX300" i="15"/>
  <c r="BY300" i="15"/>
  <c r="BZ300" i="15"/>
  <c r="CA300" i="15"/>
  <c r="CB300" i="15"/>
  <c r="CC300" i="15"/>
  <c r="CD300" i="15"/>
  <c r="CE300" i="15"/>
  <c r="CF300" i="15"/>
  <c r="CG300" i="15"/>
  <c r="CH300" i="15"/>
  <c r="CI300" i="15"/>
  <c r="CJ300" i="15"/>
  <c r="CK300" i="15"/>
  <c r="CL300" i="15"/>
  <c r="CM300" i="15"/>
  <c r="CN300" i="15"/>
  <c r="CO300" i="15"/>
  <c r="A301" i="15"/>
  <c r="B301" i="15"/>
  <c r="C301" i="15"/>
  <c r="D301" i="15"/>
  <c r="E301" i="15"/>
  <c r="F301" i="15"/>
  <c r="G301" i="15"/>
  <c r="H301" i="15"/>
  <c r="I301" i="15"/>
  <c r="J301" i="15"/>
  <c r="K301" i="15"/>
  <c r="L301" i="15"/>
  <c r="M301" i="15"/>
  <c r="N301" i="15"/>
  <c r="O301" i="15"/>
  <c r="P301" i="15"/>
  <c r="Q301" i="15"/>
  <c r="R301" i="15"/>
  <c r="S301" i="15"/>
  <c r="T301" i="15"/>
  <c r="U301" i="15"/>
  <c r="V301" i="15"/>
  <c r="W301" i="15"/>
  <c r="X301" i="15"/>
  <c r="Y301" i="15"/>
  <c r="Z301" i="15"/>
  <c r="AA301" i="15"/>
  <c r="AB301" i="15"/>
  <c r="AC301" i="15"/>
  <c r="AD301" i="15"/>
  <c r="AE301" i="15"/>
  <c r="AF301" i="15"/>
  <c r="AG301" i="15"/>
  <c r="AH301" i="15"/>
  <c r="AI301" i="15"/>
  <c r="AJ301" i="15"/>
  <c r="AK301" i="15"/>
  <c r="AL301" i="15"/>
  <c r="AM301" i="15"/>
  <c r="AN301" i="15"/>
  <c r="AO301" i="15"/>
  <c r="AP301" i="15"/>
  <c r="AQ301" i="15"/>
  <c r="AR301" i="15"/>
  <c r="AS301" i="15"/>
  <c r="AT301" i="15"/>
  <c r="AU301" i="15"/>
  <c r="AV301" i="15"/>
  <c r="AW301" i="15"/>
  <c r="AX301" i="15"/>
  <c r="AY301" i="15"/>
  <c r="AZ301" i="15"/>
  <c r="BA301" i="15"/>
  <c r="BB301" i="15"/>
  <c r="BC301" i="15"/>
  <c r="BD301" i="15"/>
  <c r="BE301" i="15"/>
  <c r="BF301" i="15"/>
  <c r="BG301" i="15"/>
  <c r="BH301" i="15"/>
  <c r="BI301" i="15"/>
  <c r="BJ301" i="15"/>
  <c r="BK301" i="15"/>
  <c r="BL301" i="15"/>
  <c r="BM301" i="15"/>
  <c r="BN301" i="15"/>
  <c r="BO301" i="15"/>
  <c r="BP301" i="15"/>
  <c r="BQ301" i="15"/>
  <c r="BR301" i="15"/>
  <c r="BS301" i="15"/>
  <c r="BT301" i="15"/>
  <c r="BU301" i="15"/>
  <c r="BV301" i="15"/>
  <c r="BW301" i="15"/>
  <c r="BX301" i="15"/>
  <c r="BY301" i="15"/>
  <c r="BZ301" i="15"/>
  <c r="CA301" i="15"/>
  <c r="CB301" i="15"/>
  <c r="CC301" i="15"/>
  <c r="CD301" i="15"/>
  <c r="CE301" i="15"/>
  <c r="CF301" i="15"/>
  <c r="CG301" i="15"/>
  <c r="CH301" i="15"/>
  <c r="CI301" i="15"/>
  <c r="CJ301" i="15"/>
  <c r="CK301" i="15"/>
  <c r="CL301" i="15"/>
  <c r="CM301" i="15"/>
  <c r="CN301" i="15"/>
  <c r="CO301" i="15"/>
  <c r="A302" i="15"/>
  <c r="B302" i="15"/>
  <c r="C302" i="15"/>
  <c r="D302" i="15"/>
  <c r="E302" i="15"/>
  <c r="F302" i="15"/>
  <c r="G302" i="15"/>
  <c r="H302" i="15"/>
  <c r="I302" i="15"/>
  <c r="J302" i="15"/>
  <c r="K302" i="15"/>
  <c r="L302" i="15"/>
  <c r="M302" i="15"/>
  <c r="N302" i="15"/>
  <c r="O302" i="15"/>
  <c r="P302" i="15"/>
  <c r="Q302" i="15"/>
  <c r="R302" i="15"/>
  <c r="S302" i="15"/>
  <c r="T302" i="15"/>
  <c r="U302" i="15"/>
  <c r="V302" i="15"/>
  <c r="W302" i="15"/>
  <c r="X302" i="15"/>
  <c r="Y302" i="15"/>
  <c r="Z302" i="15"/>
  <c r="AA302" i="15"/>
  <c r="AB302" i="15"/>
  <c r="AC302" i="15"/>
  <c r="AD302" i="15"/>
  <c r="AE302" i="15"/>
  <c r="AF302" i="15"/>
  <c r="AG302" i="15"/>
  <c r="AH302" i="15"/>
  <c r="AI302" i="15"/>
  <c r="AJ302" i="15"/>
  <c r="AK302" i="15"/>
  <c r="AL302" i="15"/>
  <c r="AM302" i="15"/>
  <c r="AN302" i="15"/>
  <c r="AO302" i="15"/>
  <c r="AP302" i="15"/>
  <c r="AQ302" i="15"/>
  <c r="AR302" i="15"/>
  <c r="AS302" i="15"/>
  <c r="AT302" i="15"/>
  <c r="AU302" i="15"/>
  <c r="AV302" i="15"/>
  <c r="AW302" i="15"/>
  <c r="AX302" i="15"/>
  <c r="AY302" i="15"/>
  <c r="AZ302" i="15"/>
  <c r="BA302" i="15"/>
  <c r="BB302" i="15"/>
  <c r="BC302" i="15"/>
  <c r="BD302" i="15"/>
  <c r="BE302" i="15"/>
  <c r="BF302" i="15"/>
  <c r="BG302" i="15"/>
  <c r="BH302" i="15"/>
  <c r="BI302" i="15"/>
  <c r="BJ302" i="15"/>
  <c r="BK302" i="15"/>
  <c r="BL302" i="15"/>
  <c r="BM302" i="15"/>
  <c r="BN302" i="15"/>
  <c r="BO302" i="15"/>
  <c r="BP302" i="15"/>
  <c r="BQ302" i="15"/>
  <c r="BR302" i="15"/>
  <c r="BS302" i="15"/>
  <c r="BT302" i="15"/>
  <c r="BU302" i="15"/>
  <c r="BV302" i="15"/>
  <c r="BW302" i="15"/>
  <c r="BX302" i="15"/>
  <c r="BY302" i="15"/>
  <c r="BZ302" i="15"/>
  <c r="CA302" i="15"/>
  <c r="CB302" i="15"/>
  <c r="CC302" i="15"/>
  <c r="CD302" i="15"/>
  <c r="CE302" i="15"/>
  <c r="CF302" i="15"/>
  <c r="CG302" i="15"/>
  <c r="CH302" i="15"/>
  <c r="CI302" i="15"/>
  <c r="CJ302" i="15"/>
  <c r="CK302" i="15"/>
  <c r="CL302" i="15"/>
  <c r="CM302" i="15"/>
  <c r="CN302" i="15"/>
  <c r="CO302" i="15"/>
  <c r="A303" i="15"/>
  <c r="B303" i="15"/>
  <c r="C303" i="15"/>
  <c r="D303" i="15"/>
  <c r="E303" i="15"/>
  <c r="F303" i="15"/>
  <c r="G303" i="15"/>
  <c r="H303" i="15"/>
  <c r="I303" i="15"/>
  <c r="J303" i="15"/>
  <c r="K303" i="15"/>
  <c r="L303" i="15"/>
  <c r="M303" i="15"/>
  <c r="N303" i="15"/>
  <c r="O303" i="15"/>
  <c r="P303" i="15"/>
  <c r="Q303" i="15"/>
  <c r="R303" i="15"/>
  <c r="S303" i="15"/>
  <c r="T303" i="15"/>
  <c r="U303" i="15"/>
  <c r="V303" i="15"/>
  <c r="W303" i="15"/>
  <c r="X303" i="15"/>
  <c r="Y303" i="15"/>
  <c r="Z303" i="15"/>
  <c r="AA303" i="15"/>
  <c r="AB303" i="15"/>
  <c r="AC303" i="15"/>
  <c r="AD303" i="15"/>
  <c r="AE303" i="15"/>
  <c r="AF303" i="15"/>
  <c r="AG303" i="15"/>
  <c r="AH303" i="15"/>
  <c r="AI303" i="15"/>
  <c r="AJ303" i="15"/>
  <c r="AK303" i="15"/>
  <c r="AL303" i="15"/>
  <c r="AM303" i="15"/>
  <c r="AN303" i="15"/>
  <c r="AO303" i="15"/>
  <c r="AP303" i="15"/>
  <c r="AQ303" i="15"/>
  <c r="AR303" i="15"/>
  <c r="AS303" i="15"/>
  <c r="AT303" i="15"/>
  <c r="AU303" i="15"/>
  <c r="AV303" i="15"/>
  <c r="AW303" i="15"/>
  <c r="AX303" i="15"/>
  <c r="AY303" i="15"/>
  <c r="AZ303" i="15"/>
  <c r="BA303" i="15"/>
  <c r="BB303" i="15"/>
  <c r="BC303" i="15"/>
  <c r="BD303" i="15"/>
  <c r="BE303" i="15"/>
  <c r="BF303" i="15"/>
  <c r="BG303" i="15"/>
  <c r="BH303" i="15"/>
  <c r="BI303" i="15"/>
  <c r="BJ303" i="15"/>
  <c r="BK303" i="15"/>
  <c r="BL303" i="15"/>
  <c r="BM303" i="15"/>
  <c r="BN303" i="15"/>
  <c r="BO303" i="15"/>
  <c r="BP303" i="15"/>
  <c r="BQ303" i="15"/>
  <c r="BR303" i="15"/>
  <c r="BS303" i="15"/>
  <c r="BT303" i="15"/>
  <c r="BU303" i="15"/>
  <c r="BV303" i="15"/>
  <c r="BW303" i="15"/>
  <c r="BX303" i="15"/>
  <c r="BY303" i="15"/>
  <c r="BZ303" i="15"/>
  <c r="CA303" i="15"/>
  <c r="CB303" i="15"/>
  <c r="CC303" i="15"/>
  <c r="CD303" i="15"/>
  <c r="CE303" i="15"/>
  <c r="CF303" i="15"/>
  <c r="CG303" i="15"/>
  <c r="CH303" i="15"/>
  <c r="CI303" i="15"/>
  <c r="CJ303" i="15"/>
  <c r="CK303" i="15"/>
  <c r="CL303" i="15"/>
  <c r="CM303" i="15"/>
  <c r="CN303" i="15"/>
  <c r="CO303" i="15"/>
  <c r="A304" i="15"/>
  <c r="B304" i="15"/>
  <c r="C304" i="15"/>
  <c r="D304" i="15"/>
  <c r="E304" i="15"/>
  <c r="F304" i="15"/>
  <c r="G304" i="15"/>
  <c r="H304" i="15"/>
  <c r="I304" i="15"/>
  <c r="J304" i="15"/>
  <c r="K304" i="15"/>
  <c r="L304" i="15"/>
  <c r="M304" i="15"/>
  <c r="N304" i="15"/>
  <c r="O304" i="15"/>
  <c r="P304" i="15"/>
  <c r="Q304" i="15"/>
  <c r="R304" i="15"/>
  <c r="S304" i="15"/>
  <c r="T304" i="15"/>
  <c r="U304" i="15"/>
  <c r="V304" i="15"/>
  <c r="W304" i="15"/>
  <c r="X304" i="15"/>
  <c r="Y304" i="15"/>
  <c r="Z304" i="15"/>
  <c r="AA304" i="15"/>
  <c r="AB304" i="15"/>
  <c r="AC304" i="15"/>
  <c r="AD304" i="15"/>
  <c r="AE304" i="15"/>
  <c r="AF304" i="15"/>
  <c r="AG304" i="15"/>
  <c r="AH304" i="15"/>
  <c r="AI304" i="15"/>
  <c r="AJ304" i="15"/>
  <c r="AK304" i="15"/>
  <c r="AL304" i="15"/>
  <c r="AM304" i="15"/>
  <c r="AN304" i="15"/>
  <c r="AO304" i="15"/>
  <c r="AP304" i="15"/>
  <c r="AQ304" i="15"/>
  <c r="AR304" i="15"/>
  <c r="AS304" i="15"/>
  <c r="AT304" i="15"/>
  <c r="AU304" i="15"/>
  <c r="AV304" i="15"/>
  <c r="AW304" i="15"/>
  <c r="AX304" i="15"/>
  <c r="AY304" i="15"/>
  <c r="AZ304" i="15"/>
  <c r="BA304" i="15"/>
  <c r="BB304" i="15"/>
  <c r="BC304" i="15"/>
  <c r="BD304" i="15"/>
  <c r="BE304" i="15"/>
  <c r="BF304" i="15"/>
  <c r="BG304" i="15"/>
  <c r="BH304" i="15"/>
  <c r="BI304" i="15"/>
  <c r="BJ304" i="15"/>
  <c r="BK304" i="15"/>
  <c r="BL304" i="15"/>
  <c r="BM304" i="15"/>
  <c r="BN304" i="15"/>
  <c r="BO304" i="15"/>
  <c r="BP304" i="15"/>
  <c r="BQ304" i="15"/>
  <c r="BR304" i="15"/>
  <c r="BS304" i="15"/>
  <c r="BT304" i="15"/>
  <c r="BU304" i="15"/>
  <c r="BV304" i="15"/>
  <c r="BW304" i="15"/>
  <c r="BX304" i="15"/>
  <c r="BY304" i="15"/>
  <c r="BZ304" i="15"/>
  <c r="CA304" i="15"/>
  <c r="CB304" i="15"/>
  <c r="CC304" i="15"/>
  <c r="CD304" i="15"/>
  <c r="CE304" i="15"/>
  <c r="CF304" i="15"/>
  <c r="CG304" i="15"/>
  <c r="CH304" i="15"/>
  <c r="CI304" i="15"/>
  <c r="CJ304" i="15"/>
  <c r="CK304" i="15"/>
  <c r="CL304" i="15"/>
  <c r="CM304" i="15"/>
  <c r="CN304" i="15"/>
  <c r="CO304" i="15"/>
  <c r="A305" i="15"/>
  <c r="B305" i="15"/>
  <c r="C305" i="15"/>
  <c r="D305" i="15"/>
  <c r="E305" i="15"/>
  <c r="F305" i="15"/>
  <c r="G305" i="15"/>
  <c r="H305" i="15"/>
  <c r="I305" i="15"/>
  <c r="J305" i="15"/>
  <c r="K305" i="15"/>
  <c r="L305" i="15"/>
  <c r="M305" i="15"/>
  <c r="N305" i="15"/>
  <c r="O305" i="15"/>
  <c r="P305" i="15"/>
  <c r="Q305" i="15"/>
  <c r="R305" i="15"/>
  <c r="S305" i="15"/>
  <c r="T305" i="15"/>
  <c r="U305" i="15"/>
  <c r="V305" i="15"/>
  <c r="W305" i="15"/>
  <c r="X305" i="15"/>
  <c r="Y305" i="15"/>
  <c r="Z305" i="15"/>
  <c r="AA305" i="15"/>
  <c r="AB305" i="15"/>
  <c r="AC305" i="15"/>
  <c r="AD305" i="15"/>
  <c r="AE305" i="15"/>
  <c r="AF305" i="15"/>
  <c r="AG305" i="15"/>
  <c r="AH305" i="15"/>
  <c r="AI305" i="15"/>
  <c r="AJ305" i="15"/>
  <c r="AK305" i="15"/>
  <c r="AL305" i="15"/>
  <c r="AM305" i="15"/>
  <c r="AN305" i="15"/>
  <c r="AO305" i="15"/>
  <c r="AP305" i="15"/>
  <c r="AQ305" i="15"/>
  <c r="AR305" i="15"/>
  <c r="AS305" i="15"/>
  <c r="AT305" i="15"/>
  <c r="AU305" i="15"/>
  <c r="AV305" i="15"/>
  <c r="AW305" i="15"/>
  <c r="AX305" i="15"/>
  <c r="AY305" i="15"/>
  <c r="AZ305" i="15"/>
  <c r="BA305" i="15"/>
  <c r="BB305" i="15"/>
  <c r="BC305" i="15"/>
  <c r="BD305" i="15"/>
  <c r="BE305" i="15"/>
  <c r="BF305" i="15"/>
  <c r="BG305" i="15"/>
  <c r="BH305" i="15"/>
  <c r="BI305" i="15"/>
  <c r="BJ305" i="15"/>
  <c r="BK305" i="15"/>
  <c r="BL305" i="15"/>
  <c r="BM305" i="15"/>
  <c r="BN305" i="15"/>
  <c r="BO305" i="15"/>
  <c r="BP305" i="15"/>
  <c r="BQ305" i="15"/>
  <c r="BR305" i="15"/>
  <c r="BS305" i="15"/>
  <c r="BT305" i="15"/>
  <c r="BU305" i="15"/>
  <c r="BV305" i="15"/>
  <c r="BW305" i="15"/>
  <c r="BX305" i="15"/>
  <c r="BY305" i="15"/>
  <c r="BZ305" i="15"/>
  <c r="CA305" i="15"/>
  <c r="CB305" i="15"/>
  <c r="CC305" i="15"/>
  <c r="CD305" i="15"/>
  <c r="CE305" i="15"/>
  <c r="CF305" i="15"/>
  <c r="CG305" i="15"/>
  <c r="CH305" i="15"/>
  <c r="CI305" i="15"/>
  <c r="CJ305" i="15"/>
  <c r="CK305" i="15"/>
  <c r="CL305" i="15"/>
  <c r="CM305" i="15"/>
  <c r="CN305" i="15"/>
  <c r="CO305" i="15"/>
  <c r="A306" i="15"/>
  <c r="B306" i="15"/>
  <c r="C306" i="15"/>
  <c r="D306" i="15"/>
  <c r="E306" i="15"/>
  <c r="F306" i="15"/>
  <c r="G306" i="15"/>
  <c r="H306" i="15"/>
  <c r="I306" i="15"/>
  <c r="J306" i="15"/>
  <c r="K306" i="15"/>
  <c r="L306" i="15"/>
  <c r="M306" i="15"/>
  <c r="N306" i="15"/>
  <c r="O306" i="15"/>
  <c r="P306" i="15"/>
  <c r="Q306" i="15"/>
  <c r="R306" i="15"/>
  <c r="S306" i="15"/>
  <c r="T306" i="15"/>
  <c r="U306" i="15"/>
  <c r="V306" i="15"/>
  <c r="W306" i="15"/>
  <c r="X306" i="15"/>
  <c r="Y306" i="15"/>
  <c r="Z306" i="15"/>
  <c r="AA306" i="15"/>
  <c r="AB306" i="15"/>
  <c r="AC306" i="15"/>
  <c r="AD306" i="15"/>
  <c r="AE306" i="15"/>
  <c r="AF306" i="15"/>
  <c r="AG306" i="15"/>
  <c r="AH306" i="15"/>
  <c r="AI306" i="15"/>
  <c r="AJ306" i="15"/>
  <c r="AK306" i="15"/>
  <c r="AL306" i="15"/>
  <c r="AM306" i="15"/>
  <c r="AN306" i="15"/>
  <c r="AO306" i="15"/>
  <c r="AP306" i="15"/>
  <c r="AQ306" i="15"/>
  <c r="AR306" i="15"/>
  <c r="AS306" i="15"/>
  <c r="AT306" i="15"/>
  <c r="AU306" i="15"/>
  <c r="AV306" i="15"/>
  <c r="AW306" i="15"/>
  <c r="AX306" i="15"/>
  <c r="AY306" i="15"/>
  <c r="AZ306" i="15"/>
  <c r="BA306" i="15"/>
  <c r="BB306" i="15"/>
  <c r="BC306" i="15"/>
  <c r="BD306" i="15"/>
  <c r="BE306" i="15"/>
  <c r="BF306" i="15"/>
  <c r="BG306" i="15"/>
  <c r="BH306" i="15"/>
  <c r="BI306" i="15"/>
  <c r="BJ306" i="15"/>
  <c r="BK306" i="15"/>
  <c r="BL306" i="15"/>
  <c r="BM306" i="15"/>
  <c r="BN306" i="15"/>
  <c r="BO306" i="15"/>
  <c r="BP306" i="15"/>
  <c r="BQ306" i="15"/>
  <c r="BR306" i="15"/>
  <c r="BS306" i="15"/>
  <c r="BT306" i="15"/>
  <c r="BU306" i="15"/>
  <c r="BV306" i="15"/>
  <c r="BW306" i="15"/>
  <c r="BX306" i="15"/>
  <c r="BY306" i="15"/>
  <c r="BZ306" i="15"/>
  <c r="CA306" i="15"/>
  <c r="CB306" i="15"/>
  <c r="CC306" i="15"/>
  <c r="CD306" i="15"/>
  <c r="CE306" i="15"/>
  <c r="CF306" i="15"/>
  <c r="CG306" i="15"/>
  <c r="CH306" i="15"/>
  <c r="CI306" i="15"/>
  <c r="CJ306" i="15"/>
  <c r="CK306" i="15"/>
  <c r="CL306" i="15"/>
  <c r="CM306" i="15"/>
  <c r="CN306" i="15"/>
  <c r="CO306" i="15"/>
  <c r="A307" i="15"/>
  <c r="B307" i="15"/>
  <c r="C307" i="15"/>
  <c r="D307" i="15"/>
  <c r="E307" i="15"/>
  <c r="F307" i="15"/>
  <c r="G307" i="15"/>
  <c r="H307" i="15"/>
  <c r="I307" i="15"/>
  <c r="J307" i="15"/>
  <c r="K307" i="15"/>
  <c r="L307" i="15"/>
  <c r="M307" i="15"/>
  <c r="N307" i="15"/>
  <c r="O307" i="15"/>
  <c r="P307" i="15"/>
  <c r="Q307" i="15"/>
  <c r="R307" i="15"/>
  <c r="S307" i="15"/>
  <c r="T307" i="15"/>
  <c r="U307" i="15"/>
  <c r="V307" i="15"/>
  <c r="W307" i="15"/>
  <c r="X307" i="15"/>
  <c r="Y307" i="15"/>
  <c r="Z307" i="15"/>
  <c r="AA307" i="15"/>
  <c r="AB307" i="15"/>
  <c r="AC307" i="15"/>
  <c r="AD307" i="15"/>
  <c r="AE307" i="15"/>
  <c r="AF307" i="15"/>
  <c r="AG307" i="15"/>
  <c r="AH307" i="15"/>
  <c r="AI307" i="15"/>
  <c r="AJ307" i="15"/>
  <c r="AK307" i="15"/>
  <c r="AL307" i="15"/>
  <c r="AM307" i="15"/>
  <c r="AN307" i="15"/>
  <c r="AO307" i="15"/>
  <c r="AP307" i="15"/>
  <c r="AQ307" i="15"/>
  <c r="AR307" i="15"/>
  <c r="AS307" i="15"/>
  <c r="AT307" i="15"/>
  <c r="AU307" i="15"/>
  <c r="AV307" i="15"/>
  <c r="AW307" i="15"/>
  <c r="AX307" i="15"/>
  <c r="AY307" i="15"/>
  <c r="AZ307" i="15"/>
  <c r="BA307" i="15"/>
  <c r="BB307" i="15"/>
  <c r="BC307" i="15"/>
  <c r="BD307" i="15"/>
  <c r="BE307" i="15"/>
  <c r="BF307" i="15"/>
  <c r="BG307" i="15"/>
  <c r="BH307" i="15"/>
  <c r="BI307" i="15"/>
  <c r="BJ307" i="15"/>
  <c r="BK307" i="15"/>
  <c r="BL307" i="15"/>
  <c r="BM307" i="15"/>
  <c r="BN307" i="15"/>
  <c r="BO307" i="15"/>
  <c r="BP307" i="15"/>
  <c r="BQ307" i="15"/>
  <c r="BR307" i="15"/>
  <c r="BS307" i="15"/>
  <c r="BT307" i="15"/>
  <c r="BU307" i="15"/>
  <c r="BV307" i="15"/>
  <c r="BW307" i="15"/>
  <c r="BX307" i="15"/>
  <c r="BY307" i="15"/>
  <c r="BZ307" i="15"/>
  <c r="CA307" i="15"/>
  <c r="CB307" i="15"/>
  <c r="CC307" i="15"/>
  <c r="CD307" i="15"/>
  <c r="CE307" i="15"/>
  <c r="CF307" i="15"/>
  <c r="CG307" i="15"/>
  <c r="CH307" i="15"/>
  <c r="CI307" i="15"/>
  <c r="CJ307" i="15"/>
  <c r="CK307" i="15"/>
  <c r="CL307" i="15"/>
  <c r="CM307" i="15"/>
  <c r="CN307" i="15"/>
  <c r="CO307" i="15"/>
  <c r="A308" i="15"/>
  <c r="B308" i="15"/>
  <c r="C308" i="15"/>
  <c r="D308" i="15"/>
  <c r="E308" i="15"/>
  <c r="F308" i="15"/>
  <c r="G308" i="15"/>
  <c r="H308" i="15"/>
  <c r="I308" i="15"/>
  <c r="J308" i="15"/>
  <c r="K308" i="15"/>
  <c r="L308" i="15"/>
  <c r="M308" i="15"/>
  <c r="N308" i="15"/>
  <c r="O308" i="15"/>
  <c r="P308" i="15"/>
  <c r="Q308" i="15"/>
  <c r="R308" i="15"/>
  <c r="S308" i="15"/>
  <c r="T308" i="15"/>
  <c r="U308" i="15"/>
  <c r="V308" i="15"/>
  <c r="W308" i="15"/>
  <c r="X308" i="15"/>
  <c r="Y308" i="15"/>
  <c r="Z308" i="15"/>
  <c r="AA308" i="15"/>
  <c r="AB308" i="15"/>
  <c r="AC308" i="15"/>
  <c r="AD308" i="15"/>
  <c r="AE308" i="15"/>
  <c r="AF308" i="15"/>
  <c r="AG308" i="15"/>
  <c r="AH308" i="15"/>
  <c r="AI308" i="15"/>
  <c r="AJ308" i="15"/>
  <c r="AK308" i="15"/>
  <c r="AL308" i="15"/>
  <c r="AM308" i="15"/>
  <c r="AN308" i="15"/>
  <c r="AO308" i="15"/>
  <c r="AP308" i="15"/>
  <c r="AQ308" i="15"/>
  <c r="AR308" i="15"/>
  <c r="AS308" i="15"/>
  <c r="AT308" i="15"/>
  <c r="AU308" i="15"/>
  <c r="AV308" i="15"/>
  <c r="AW308" i="15"/>
  <c r="AX308" i="15"/>
  <c r="AY308" i="15"/>
  <c r="AZ308" i="15"/>
  <c r="BA308" i="15"/>
  <c r="BB308" i="15"/>
  <c r="BC308" i="15"/>
  <c r="BD308" i="15"/>
  <c r="BE308" i="15"/>
  <c r="BF308" i="15"/>
  <c r="BG308" i="15"/>
  <c r="BH308" i="15"/>
  <c r="BI308" i="15"/>
  <c r="BJ308" i="15"/>
  <c r="BK308" i="15"/>
  <c r="BL308" i="15"/>
  <c r="BM308" i="15"/>
  <c r="BN308" i="15"/>
  <c r="BO308" i="15"/>
  <c r="BP308" i="15"/>
  <c r="BQ308" i="15"/>
  <c r="BR308" i="15"/>
  <c r="BS308" i="15"/>
  <c r="BT308" i="15"/>
  <c r="BU308" i="15"/>
  <c r="BV308" i="15"/>
  <c r="BW308" i="15"/>
  <c r="BX308" i="15"/>
  <c r="BY308" i="15"/>
  <c r="BZ308" i="15"/>
  <c r="CA308" i="15"/>
  <c r="CB308" i="15"/>
  <c r="CC308" i="15"/>
  <c r="CD308" i="15"/>
  <c r="CE308" i="15"/>
  <c r="CF308" i="15"/>
  <c r="CG308" i="15"/>
  <c r="CH308" i="15"/>
  <c r="CI308" i="15"/>
  <c r="CJ308" i="15"/>
  <c r="CK308" i="15"/>
  <c r="CL308" i="15"/>
  <c r="CM308" i="15"/>
  <c r="CN308" i="15"/>
  <c r="CO308" i="15"/>
  <c r="A309" i="15"/>
  <c r="B309" i="15"/>
  <c r="C309" i="15"/>
  <c r="D309" i="15"/>
  <c r="E309" i="15"/>
  <c r="F309" i="15"/>
  <c r="G309" i="15"/>
  <c r="H309" i="15"/>
  <c r="I309" i="15"/>
  <c r="J309" i="15"/>
  <c r="K309" i="15"/>
  <c r="L309" i="15"/>
  <c r="M309" i="15"/>
  <c r="N309" i="15"/>
  <c r="O309" i="15"/>
  <c r="P309" i="15"/>
  <c r="Q309" i="15"/>
  <c r="R309" i="15"/>
  <c r="S309" i="15"/>
  <c r="T309" i="15"/>
  <c r="U309" i="15"/>
  <c r="V309" i="15"/>
  <c r="W309" i="15"/>
  <c r="X309" i="15"/>
  <c r="Y309" i="15"/>
  <c r="Z309" i="15"/>
  <c r="AA309" i="15"/>
  <c r="AB309" i="15"/>
  <c r="AC309" i="15"/>
  <c r="AD309" i="15"/>
  <c r="AE309" i="15"/>
  <c r="AF309" i="15"/>
  <c r="AG309" i="15"/>
  <c r="AH309" i="15"/>
  <c r="AI309" i="15"/>
  <c r="AJ309" i="15"/>
  <c r="AK309" i="15"/>
  <c r="AL309" i="15"/>
  <c r="AM309" i="15"/>
  <c r="AN309" i="15"/>
  <c r="AO309" i="15"/>
  <c r="AP309" i="15"/>
  <c r="AQ309" i="15"/>
  <c r="AR309" i="15"/>
  <c r="AS309" i="15"/>
  <c r="AT309" i="15"/>
  <c r="AU309" i="15"/>
  <c r="AV309" i="15"/>
  <c r="AW309" i="15"/>
  <c r="AX309" i="15"/>
  <c r="AY309" i="15"/>
  <c r="AZ309" i="15"/>
  <c r="BA309" i="15"/>
  <c r="BB309" i="15"/>
  <c r="BC309" i="15"/>
  <c r="BD309" i="15"/>
  <c r="BE309" i="15"/>
  <c r="BF309" i="15"/>
  <c r="BG309" i="15"/>
  <c r="BH309" i="15"/>
  <c r="BI309" i="15"/>
  <c r="BJ309" i="15"/>
  <c r="BK309" i="15"/>
  <c r="BL309" i="15"/>
  <c r="BM309" i="15"/>
  <c r="BN309" i="15"/>
  <c r="BO309" i="15"/>
  <c r="BP309" i="15"/>
  <c r="BQ309" i="15"/>
  <c r="BR309" i="15"/>
  <c r="BS309" i="15"/>
  <c r="BT309" i="15"/>
  <c r="BU309" i="15"/>
  <c r="BV309" i="15"/>
  <c r="BW309" i="15"/>
  <c r="BX309" i="15"/>
  <c r="BY309" i="15"/>
  <c r="BZ309" i="15"/>
  <c r="CA309" i="15"/>
  <c r="CB309" i="15"/>
  <c r="CC309" i="15"/>
  <c r="CD309" i="15"/>
  <c r="CE309" i="15"/>
  <c r="CF309" i="15"/>
  <c r="CG309" i="15"/>
  <c r="CH309" i="15"/>
  <c r="CI309" i="15"/>
  <c r="CJ309" i="15"/>
  <c r="CK309" i="15"/>
  <c r="CL309" i="15"/>
  <c r="CM309" i="15"/>
  <c r="CN309" i="15"/>
  <c r="CO309" i="15"/>
  <c r="A310" i="15"/>
  <c r="B310" i="15"/>
  <c r="C310" i="15"/>
  <c r="D310" i="15"/>
  <c r="E310" i="15"/>
  <c r="F310" i="15"/>
  <c r="G310" i="15"/>
  <c r="H310" i="15"/>
  <c r="I310" i="15"/>
  <c r="J310" i="15"/>
  <c r="K310" i="15"/>
  <c r="L310" i="15"/>
  <c r="M310" i="15"/>
  <c r="N310" i="15"/>
  <c r="O310" i="15"/>
  <c r="P310" i="15"/>
  <c r="Q310" i="15"/>
  <c r="R310" i="15"/>
  <c r="S310" i="15"/>
  <c r="T310" i="15"/>
  <c r="U310" i="15"/>
  <c r="V310" i="15"/>
  <c r="W310" i="15"/>
  <c r="X310" i="15"/>
  <c r="Y310" i="15"/>
  <c r="Z310" i="15"/>
  <c r="AA310" i="15"/>
  <c r="AB310" i="15"/>
  <c r="AC310" i="15"/>
  <c r="AD310" i="15"/>
  <c r="AE310" i="15"/>
  <c r="AF310" i="15"/>
  <c r="AG310" i="15"/>
  <c r="AH310" i="15"/>
  <c r="AI310" i="15"/>
  <c r="AJ310" i="15"/>
  <c r="AK310" i="15"/>
  <c r="AL310" i="15"/>
  <c r="AM310" i="15"/>
  <c r="AN310" i="15"/>
  <c r="AO310" i="15"/>
  <c r="AP310" i="15"/>
  <c r="AQ310" i="15"/>
  <c r="AR310" i="15"/>
  <c r="AS310" i="15"/>
  <c r="AT310" i="15"/>
  <c r="AU310" i="15"/>
  <c r="AV310" i="15"/>
  <c r="AW310" i="15"/>
  <c r="AX310" i="15"/>
  <c r="AY310" i="15"/>
  <c r="AZ310" i="15"/>
  <c r="BA310" i="15"/>
  <c r="BB310" i="15"/>
  <c r="BC310" i="15"/>
  <c r="BD310" i="15"/>
  <c r="BE310" i="15"/>
  <c r="BF310" i="15"/>
  <c r="BG310" i="15"/>
  <c r="BH310" i="15"/>
  <c r="BI310" i="15"/>
  <c r="BJ310" i="15"/>
  <c r="BK310" i="15"/>
  <c r="BL310" i="15"/>
  <c r="BM310" i="15"/>
  <c r="BN310" i="15"/>
  <c r="BO310" i="15"/>
  <c r="BP310" i="15"/>
  <c r="BQ310" i="15"/>
  <c r="BR310" i="15"/>
  <c r="BS310" i="15"/>
  <c r="BT310" i="15"/>
  <c r="BU310" i="15"/>
  <c r="BV310" i="15"/>
  <c r="BW310" i="15"/>
  <c r="BX310" i="15"/>
  <c r="BY310" i="15"/>
  <c r="BZ310" i="15"/>
  <c r="CA310" i="15"/>
  <c r="CB310" i="15"/>
  <c r="CC310" i="15"/>
  <c r="CD310" i="15"/>
  <c r="CE310" i="15"/>
  <c r="CF310" i="15"/>
  <c r="CG310" i="15"/>
  <c r="CH310" i="15"/>
  <c r="CI310" i="15"/>
  <c r="CJ310" i="15"/>
  <c r="CK310" i="15"/>
  <c r="CL310" i="15"/>
  <c r="CM310" i="15"/>
  <c r="CN310" i="15"/>
  <c r="CO310" i="15"/>
  <c r="A311" i="15"/>
  <c r="B311" i="15"/>
  <c r="C311" i="15"/>
  <c r="D311" i="15"/>
  <c r="E311" i="15"/>
  <c r="F311" i="15"/>
  <c r="G311" i="15"/>
  <c r="H311" i="15"/>
  <c r="I311" i="15"/>
  <c r="J311" i="15"/>
  <c r="K311" i="15"/>
  <c r="L311" i="15"/>
  <c r="M311" i="15"/>
  <c r="N311" i="15"/>
  <c r="O311" i="15"/>
  <c r="P311" i="15"/>
  <c r="Q311" i="15"/>
  <c r="R311" i="15"/>
  <c r="S311" i="15"/>
  <c r="T311" i="15"/>
  <c r="U311" i="15"/>
  <c r="V311" i="15"/>
  <c r="W311" i="15"/>
  <c r="X311" i="15"/>
  <c r="Y311" i="15"/>
  <c r="Z311" i="15"/>
  <c r="AA311" i="15"/>
  <c r="AB311" i="15"/>
  <c r="AC311" i="15"/>
  <c r="AD311" i="15"/>
  <c r="AE311" i="15"/>
  <c r="AF311" i="15"/>
  <c r="AG311" i="15"/>
  <c r="AH311" i="15"/>
  <c r="AI311" i="15"/>
  <c r="AJ311" i="15"/>
  <c r="AK311" i="15"/>
  <c r="AL311" i="15"/>
  <c r="AM311" i="15"/>
  <c r="AN311" i="15"/>
  <c r="AO311" i="15"/>
  <c r="AP311" i="15"/>
  <c r="AQ311" i="15"/>
  <c r="AR311" i="15"/>
  <c r="AS311" i="15"/>
  <c r="AT311" i="15"/>
  <c r="AU311" i="15"/>
  <c r="AV311" i="15"/>
  <c r="AW311" i="15"/>
  <c r="AX311" i="15"/>
  <c r="AY311" i="15"/>
  <c r="AZ311" i="15"/>
  <c r="BA311" i="15"/>
  <c r="BB311" i="15"/>
  <c r="BC311" i="15"/>
  <c r="BD311" i="15"/>
  <c r="BE311" i="15"/>
  <c r="BF311" i="15"/>
  <c r="BG311" i="15"/>
  <c r="BH311" i="15"/>
  <c r="BI311" i="15"/>
  <c r="BJ311" i="15"/>
  <c r="BK311" i="15"/>
  <c r="BL311" i="15"/>
  <c r="BM311" i="15"/>
  <c r="BN311" i="15"/>
  <c r="BO311" i="15"/>
  <c r="BP311" i="15"/>
  <c r="BQ311" i="15"/>
  <c r="BR311" i="15"/>
  <c r="BS311" i="15"/>
  <c r="BT311" i="15"/>
  <c r="BU311" i="15"/>
  <c r="BV311" i="15"/>
  <c r="BW311" i="15"/>
  <c r="BX311" i="15"/>
  <c r="BY311" i="15"/>
  <c r="BZ311" i="15"/>
  <c r="CA311" i="15"/>
  <c r="CB311" i="15"/>
  <c r="CC311" i="15"/>
  <c r="CD311" i="15"/>
  <c r="CE311" i="15"/>
  <c r="CF311" i="15"/>
  <c r="CG311" i="15"/>
  <c r="CH311" i="15"/>
  <c r="CI311" i="15"/>
  <c r="CJ311" i="15"/>
  <c r="CK311" i="15"/>
  <c r="CL311" i="15"/>
  <c r="CM311" i="15"/>
  <c r="CN311" i="15"/>
  <c r="CO311" i="15"/>
  <c r="A312" i="15"/>
  <c r="B312" i="15"/>
  <c r="C312" i="15"/>
  <c r="D312" i="15"/>
  <c r="E312" i="15"/>
  <c r="F312" i="15"/>
  <c r="G312" i="15"/>
  <c r="H312" i="15"/>
  <c r="I312" i="15"/>
  <c r="J312" i="15"/>
  <c r="K312" i="15"/>
  <c r="L312" i="15"/>
  <c r="M312" i="15"/>
  <c r="N312" i="15"/>
  <c r="O312" i="15"/>
  <c r="P312" i="15"/>
  <c r="Q312" i="15"/>
  <c r="R312" i="15"/>
  <c r="S312" i="15"/>
  <c r="T312" i="15"/>
  <c r="U312" i="15"/>
  <c r="V312" i="15"/>
  <c r="W312" i="15"/>
  <c r="X312" i="15"/>
  <c r="Y312" i="15"/>
  <c r="Z312" i="15"/>
  <c r="AA312" i="15"/>
  <c r="AB312" i="15"/>
  <c r="AC312" i="15"/>
  <c r="AD312" i="15"/>
  <c r="AE312" i="15"/>
  <c r="AF312" i="15"/>
  <c r="AG312" i="15"/>
  <c r="AH312" i="15"/>
  <c r="AI312" i="15"/>
  <c r="AJ312" i="15"/>
  <c r="AK312" i="15"/>
  <c r="AL312" i="15"/>
  <c r="AM312" i="15"/>
  <c r="AN312" i="15"/>
  <c r="AO312" i="15"/>
  <c r="AP312" i="15"/>
  <c r="AQ312" i="15"/>
  <c r="AR312" i="15"/>
  <c r="AS312" i="15"/>
  <c r="AT312" i="15"/>
  <c r="AU312" i="15"/>
  <c r="AV312" i="15"/>
  <c r="AW312" i="15"/>
  <c r="AX312" i="15"/>
  <c r="AY312" i="15"/>
  <c r="AZ312" i="15"/>
  <c r="BA312" i="15"/>
  <c r="BB312" i="15"/>
  <c r="BC312" i="15"/>
  <c r="BD312" i="15"/>
  <c r="BE312" i="15"/>
  <c r="BF312" i="15"/>
  <c r="BG312" i="15"/>
  <c r="BH312" i="15"/>
  <c r="BI312" i="15"/>
  <c r="BJ312" i="15"/>
  <c r="BK312" i="15"/>
  <c r="BL312" i="15"/>
  <c r="BM312" i="15"/>
  <c r="BN312" i="15"/>
  <c r="BO312" i="15"/>
  <c r="BP312" i="15"/>
  <c r="BQ312" i="15"/>
  <c r="BR312" i="15"/>
  <c r="BS312" i="15"/>
  <c r="BT312" i="15"/>
  <c r="BU312" i="15"/>
  <c r="BV312" i="15"/>
  <c r="BW312" i="15"/>
  <c r="BX312" i="15"/>
  <c r="BY312" i="15"/>
  <c r="BZ312" i="15"/>
  <c r="CA312" i="15"/>
  <c r="CB312" i="15"/>
  <c r="CC312" i="15"/>
  <c r="CD312" i="15"/>
  <c r="CE312" i="15"/>
  <c r="CF312" i="15"/>
  <c r="CG312" i="15"/>
  <c r="CH312" i="15"/>
  <c r="CI312" i="15"/>
  <c r="CJ312" i="15"/>
  <c r="CK312" i="15"/>
  <c r="CL312" i="15"/>
  <c r="CM312" i="15"/>
  <c r="CN312" i="15"/>
  <c r="CO312" i="15"/>
  <c r="A313" i="15"/>
  <c r="B313" i="15"/>
  <c r="C313" i="15"/>
  <c r="D313" i="15"/>
  <c r="E313" i="15"/>
  <c r="F313" i="15"/>
  <c r="G313" i="15"/>
  <c r="H313" i="15"/>
  <c r="I313" i="15"/>
  <c r="J313" i="15"/>
  <c r="K313" i="15"/>
  <c r="L313" i="15"/>
  <c r="M313" i="15"/>
  <c r="N313" i="15"/>
  <c r="O313" i="15"/>
  <c r="P313" i="15"/>
  <c r="Q313" i="15"/>
  <c r="R313" i="15"/>
  <c r="S313" i="15"/>
  <c r="T313" i="15"/>
  <c r="U313" i="15"/>
  <c r="V313" i="15"/>
  <c r="W313" i="15"/>
  <c r="X313" i="15"/>
  <c r="Y313" i="15"/>
  <c r="Z313" i="15"/>
  <c r="AA313" i="15"/>
  <c r="AB313" i="15"/>
  <c r="AC313" i="15"/>
  <c r="AD313" i="15"/>
  <c r="AE313" i="15"/>
  <c r="AF313" i="15"/>
  <c r="AG313" i="15"/>
  <c r="AH313" i="15"/>
  <c r="AI313" i="15"/>
  <c r="AJ313" i="15"/>
  <c r="AK313" i="15"/>
  <c r="AL313" i="15"/>
  <c r="AM313" i="15"/>
  <c r="AN313" i="15"/>
  <c r="AO313" i="15"/>
  <c r="AP313" i="15"/>
  <c r="AQ313" i="15"/>
  <c r="AR313" i="15"/>
  <c r="AS313" i="15"/>
  <c r="AT313" i="15"/>
  <c r="AU313" i="15"/>
  <c r="AV313" i="15"/>
  <c r="AW313" i="15"/>
  <c r="AX313" i="15"/>
  <c r="AY313" i="15"/>
  <c r="AZ313" i="15"/>
  <c r="BA313" i="15"/>
  <c r="BB313" i="15"/>
  <c r="BC313" i="15"/>
  <c r="BD313" i="15"/>
  <c r="BE313" i="15"/>
  <c r="BF313" i="15"/>
  <c r="BG313" i="15"/>
  <c r="BH313" i="15"/>
  <c r="BI313" i="15"/>
  <c r="BJ313" i="15"/>
  <c r="BK313" i="15"/>
  <c r="BL313" i="15"/>
  <c r="BM313" i="15"/>
  <c r="BN313" i="15"/>
  <c r="BO313" i="15"/>
  <c r="BP313" i="15"/>
  <c r="BQ313" i="15"/>
  <c r="BR313" i="15"/>
  <c r="BS313" i="15"/>
  <c r="BT313" i="15"/>
  <c r="BU313" i="15"/>
  <c r="BV313" i="15"/>
  <c r="BW313" i="15"/>
  <c r="BX313" i="15"/>
  <c r="BY313" i="15"/>
  <c r="BZ313" i="15"/>
  <c r="CA313" i="15"/>
  <c r="CB313" i="15"/>
  <c r="CC313" i="15"/>
  <c r="CD313" i="15"/>
  <c r="CE313" i="15"/>
  <c r="CF313" i="15"/>
  <c r="CG313" i="15"/>
  <c r="CH313" i="15"/>
  <c r="CI313" i="15"/>
  <c r="CJ313" i="15"/>
  <c r="CK313" i="15"/>
  <c r="CL313" i="15"/>
  <c r="CM313" i="15"/>
  <c r="CN313" i="15"/>
  <c r="CO313" i="15"/>
  <c r="A314" i="15"/>
  <c r="B314" i="15"/>
  <c r="C314" i="15"/>
  <c r="D314" i="15"/>
  <c r="E314" i="15"/>
  <c r="F314" i="15"/>
  <c r="G314" i="15"/>
  <c r="H314" i="15"/>
  <c r="I314" i="15"/>
  <c r="J314" i="15"/>
  <c r="K314" i="15"/>
  <c r="L314" i="15"/>
  <c r="M314" i="15"/>
  <c r="N314" i="15"/>
  <c r="O314" i="15"/>
  <c r="P314" i="15"/>
  <c r="Q314" i="15"/>
  <c r="R314" i="15"/>
  <c r="S314" i="15"/>
  <c r="T314" i="15"/>
  <c r="U314" i="15"/>
  <c r="V314" i="15"/>
  <c r="W314" i="15"/>
  <c r="X314" i="15"/>
  <c r="Y314" i="15"/>
  <c r="Z314" i="15"/>
  <c r="AA314" i="15"/>
  <c r="AB314" i="15"/>
  <c r="AC314" i="15"/>
  <c r="AD314" i="15"/>
  <c r="AE314" i="15"/>
  <c r="AF314" i="15"/>
  <c r="AG314" i="15"/>
  <c r="AH314" i="15"/>
  <c r="AI314" i="15"/>
  <c r="AJ314" i="15"/>
  <c r="AK314" i="15"/>
  <c r="AL314" i="15"/>
  <c r="AM314" i="15"/>
  <c r="AN314" i="15"/>
  <c r="AO314" i="15"/>
  <c r="AP314" i="15"/>
  <c r="AQ314" i="15"/>
  <c r="AR314" i="15"/>
  <c r="AS314" i="15"/>
  <c r="AT314" i="15"/>
  <c r="AU314" i="15"/>
  <c r="AV314" i="15"/>
  <c r="AW314" i="15"/>
  <c r="AX314" i="15"/>
  <c r="AY314" i="15"/>
  <c r="AZ314" i="15"/>
  <c r="BA314" i="15"/>
  <c r="BB314" i="15"/>
  <c r="BC314" i="15"/>
  <c r="BD314" i="15"/>
  <c r="BE314" i="15"/>
  <c r="BF314" i="15"/>
  <c r="BG314" i="15"/>
  <c r="BH314" i="15"/>
  <c r="BI314" i="15"/>
  <c r="BJ314" i="15"/>
  <c r="BK314" i="15"/>
  <c r="BL314" i="15"/>
  <c r="BM314" i="15"/>
  <c r="BN314" i="15"/>
  <c r="BO314" i="15"/>
  <c r="BP314" i="15"/>
  <c r="BQ314" i="15"/>
  <c r="BR314" i="15"/>
  <c r="BS314" i="15"/>
  <c r="BT314" i="15"/>
  <c r="BU314" i="15"/>
  <c r="BV314" i="15"/>
  <c r="BW314" i="15"/>
  <c r="BX314" i="15"/>
  <c r="BY314" i="15"/>
  <c r="BZ314" i="15"/>
  <c r="CA314" i="15"/>
  <c r="CB314" i="15"/>
  <c r="CC314" i="15"/>
  <c r="CD314" i="15"/>
  <c r="CE314" i="15"/>
  <c r="CF314" i="15"/>
  <c r="CG314" i="15"/>
  <c r="CH314" i="15"/>
  <c r="CI314" i="15"/>
  <c r="CJ314" i="15"/>
  <c r="CK314" i="15"/>
  <c r="CL314" i="15"/>
  <c r="CM314" i="15"/>
  <c r="CN314" i="15"/>
  <c r="CO314" i="15"/>
  <c r="A315" i="15"/>
  <c r="B315" i="15"/>
  <c r="C315" i="15"/>
  <c r="D315" i="15"/>
  <c r="E315" i="15"/>
  <c r="F315" i="15"/>
  <c r="G315" i="15"/>
  <c r="H315" i="15"/>
  <c r="I315" i="15"/>
  <c r="J315" i="15"/>
  <c r="K315" i="15"/>
  <c r="L315" i="15"/>
  <c r="M315" i="15"/>
  <c r="N315" i="15"/>
  <c r="O315" i="15"/>
  <c r="P315" i="15"/>
  <c r="Q315" i="15"/>
  <c r="R315" i="15"/>
  <c r="S315" i="15"/>
  <c r="T315" i="15"/>
  <c r="U315" i="15"/>
  <c r="V315" i="15"/>
  <c r="W315" i="15"/>
  <c r="X315" i="15"/>
  <c r="Y315" i="15"/>
  <c r="Z315" i="15"/>
  <c r="AA315" i="15"/>
  <c r="AB315" i="15"/>
  <c r="AC315" i="15"/>
  <c r="AD315" i="15"/>
  <c r="AE315" i="15"/>
  <c r="AF315" i="15"/>
  <c r="AG315" i="15"/>
  <c r="AH315" i="15"/>
  <c r="AI315" i="15"/>
  <c r="AJ315" i="15"/>
  <c r="AK315" i="15"/>
  <c r="AL315" i="15"/>
  <c r="AM315" i="15"/>
  <c r="AN315" i="15"/>
  <c r="AO315" i="15"/>
  <c r="AP315" i="15"/>
  <c r="AQ315" i="15"/>
  <c r="AR315" i="15"/>
  <c r="AS315" i="15"/>
  <c r="AT315" i="15"/>
  <c r="AU315" i="15"/>
  <c r="AV315" i="15"/>
  <c r="AW315" i="15"/>
  <c r="AX315" i="15"/>
  <c r="AY315" i="15"/>
  <c r="AZ315" i="15"/>
  <c r="BA315" i="15"/>
  <c r="BB315" i="15"/>
  <c r="BC315" i="15"/>
  <c r="BD315" i="15"/>
  <c r="BE315" i="15"/>
  <c r="BF315" i="15"/>
  <c r="BG315" i="15"/>
  <c r="BH315" i="15"/>
  <c r="BI315" i="15"/>
  <c r="BJ315" i="15"/>
  <c r="BK315" i="15"/>
  <c r="BL315" i="15"/>
  <c r="BM315" i="15"/>
  <c r="BN315" i="15"/>
  <c r="BO315" i="15"/>
  <c r="BP315" i="15"/>
  <c r="BQ315" i="15"/>
  <c r="BR315" i="15"/>
  <c r="BS315" i="15"/>
  <c r="BT315" i="15"/>
  <c r="BU315" i="15"/>
  <c r="BV315" i="15"/>
  <c r="BW315" i="15"/>
  <c r="BX315" i="15"/>
  <c r="BY315" i="15"/>
  <c r="BZ315" i="15"/>
  <c r="CA315" i="15"/>
  <c r="CB315" i="15"/>
  <c r="CC315" i="15"/>
  <c r="CD315" i="15"/>
  <c r="CE315" i="15"/>
  <c r="CF315" i="15"/>
  <c r="CG315" i="15"/>
  <c r="CH315" i="15"/>
  <c r="CI315" i="15"/>
  <c r="CJ315" i="15"/>
  <c r="CK315" i="15"/>
  <c r="CL315" i="15"/>
  <c r="CM315" i="15"/>
  <c r="CN315" i="15"/>
  <c r="CO315" i="15"/>
  <c r="A316" i="15"/>
  <c r="B316" i="15"/>
  <c r="C316" i="15"/>
  <c r="D316" i="15"/>
  <c r="E316" i="15"/>
  <c r="F316" i="15"/>
  <c r="G316" i="15"/>
  <c r="H316" i="15"/>
  <c r="I316" i="15"/>
  <c r="J316" i="15"/>
  <c r="K316" i="15"/>
  <c r="L316" i="15"/>
  <c r="M316" i="15"/>
  <c r="N316" i="15"/>
  <c r="O316" i="15"/>
  <c r="P316" i="15"/>
  <c r="Q316" i="15"/>
  <c r="R316" i="15"/>
  <c r="S316" i="15"/>
  <c r="T316" i="15"/>
  <c r="U316" i="15"/>
  <c r="V316" i="15"/>
  <c r="W316" i="15"/>
  <c r="X316" i="15"/>
  <c r="Y316" i="15"/>
  <c r="Z316" i="15"/>
  <c r="AA316" i="15"/>
  <c r="AB316" i="15"/>
  <c r="AC316" i="15"/>
  <c r="AD316" i="15"/>
  <c r="AE316" i="15"/>
  <c r="AF316" i="15"/>
  <c r="AG316" i="15"/>
  <c r="AH316" i="15"/>
  <c r="AI316" i="15"/>
  <c r="AJ316" i="15"/>
  <c r="AK316" i="15"/>
  <c r="AL316" i="15"/>
  <c r="AM316" i="15"/>
  <c r="AN316" i="15"/>
  <c r="AO316" i="15"/>
  <c r="AP316" i="15"/>
  <c r="AQ316" i="15"/>
  <c r="AR316" i="15"/>
  <c r="AS316" i="15"/>
  <c r="AT316" i="15"/>
  <c r="AU316" i="15"/>
  <c r="AV316" i="15"/>
  <c r="AW316" i="15"/>
  <c r="AX316" i="15"/>
  <c r="AY316" i="15"/>
  <c r="AZ316" i="15"/>
  <c r="BA316" i="15"/>
  <c r="BB316" i="15"/>
  <c r="BC316" i="15"/>
  <c r="BD316" i="15"/>
  <c r="BE316" i="15"/>
  <c r="BF316" i="15"/>
  <c r="BG316" i="15"/>
  <c r="BH316" i="15"/>
  <c r="BI316" i="15"/>
  <c r="BJ316" i="15"/>
  <c r="BK316" i="15"/>
  <c r="BL316" i="15"/>
  <c r="BM316" i="15"/>
  <c r="BN316" i="15"/>
  <c r="BO316" i="15"/>
  <c r="BP316" i="15"/>
  <c r="BQ316" i="15"/>
  <c r="BR316" i="15"/>
  <c r="BS316" i="15"/>
  <c r="BT316" i="15"/>
  <c r="BU316" i="15"/>
  <c r="BV316" i="15"/>
  <c r="BW316" i="15"/>
  <c r="BX316" i="15"/>
  <c r="BY316" i="15"/>
  <c r="BZ316" i="15"/>
  <c r="CA316" i="15"/>
  <c r="CB316" i="15"/>
  <c r="CC316" i="15"/>
  <c r="CD316" i="15"/>
  <c r="CE316" i="15"/>
  <c r="CF316" i="15"/>
  <c r="CG316" i="15"/>
  <c r="CH316" i="15"/>
  <c r="CI316" i="15"/>
  <c r="CJ316" i="15"/>
  <c r="CK316" i="15"/>
  <c r="CL316" i="15"/>
  <c r="CM316" i="15"/>
  <c r="CN316" i="15"/>
  <c r="CO316" i="15"/>
  <c r="A317" i="15"/>
  <c r="B317" i="15"/>
  <c r="C317" i="15"/>
  <c r="D317" i="15"/>
  <c r="E317" i="15"/>
  <c r="F317" i="15"/>
  <c r="G317" i="15"/>
  <c r="H317" i="15"/>
  <c r="I317" i="15"/>
  <c r="J317" i="15"/>
  <c r="K317" i="15"/>
  <c r="L317" i="15"/>
  <c r="M317" i="15"/>
  <c r="N317" i="15"/>
  <c r="O317" i="15"/>
  <c r="P317" i="15"/>
  <c r="Q317" i="15"/>
  <c r="R317" i="15"/>
  <c r="S317" i="15"/>
  <c r="T317" i="15"/>
  <c r="U317" i="15"/>
  <c r="V317" i="15"/>
  <c r="W317" i="15"/>
  <c r="X317" i="15"/>
  <c r="Y317" i="15"/>
  <c r="Z317" i="15"/>
  <c r="AA317" i="15"/>
  <c r="AB317" i="15"/>
  <c r="AC317" i="15"/>
  <c r="AD317" i="15"/>
  <c r="AE317" i="15"/>
  <c r="AF317" i="15"/>
  <c r="AG317" i="15"/>
  <c r="AH317" i="15"/>
  <c r="AI317" i="15"/>
  <c r="AJ317" i="15"/>
  <c r="AK317" i="15"/>
  <c r="AL317" i="15"/>
  <c r="AM317" i="15"/>
  <c r="AN317" i="15"/>
  <c r="AO317" i="15"/>
  <c r="AP317" i="15"/>
  <c r="AQ317" i="15"/>
  <c r="AR317" i="15"/>
  <c r="AS317" i="15"/>
  <c r="AT317" i="15"/>
  <c r="AU317" i="15"/>
  <c r="AV317" i="15"/>
  <c r="AW317" i="15"/>
  <c r="AX317" i="15"/>
  <c r="AY317" i="15"/>
  <c r="AZ317" i="15"/>
  <c r="BA317" i="15"/>
  <c r="BB317" i="15"/>
  <c r="BC317" i="15"/>
  <c r="BD317" i="15"/>
  <c r="BE317" i="15"/>
  <c r="BF317" i="15"/>
  <c r="BG317" i="15"/>
  <c r="BH317" i="15"/>
  <c r="BI317" i="15"/>
  <c r="BJ317" i="15"/>
  <c r="BK317" i="15"/>
  <c r="BL317" i="15"/>
  <c r="BM317" i="15"/>
  <c r="BN317" i="15"/>
  <c r="BO317" i="15"/>
  <c r="BP317" i="15"/>
  <c r="BQ317" i="15"/>
  <c r="BR317" i="15"/>
  <c r="BS317" i="15"/>
  <c r="BT317" i="15"/>
  <c r="BU317" i="15"/>
  <c r="BV317" i="15"/>
  <c r="BW317" i="15"/>
  <c r="BX317" i="15"/>
  <c r="BY317" i="15"/>
  <c r="BZ317" i="15"/>
  <c r="CA317" i="15"/>
  <c r="CB317" i="15"/>
  <c r="CC317" i="15"/>
  <c r="CD317" i="15"/>
  <c r="CE317" i="15"/>
  <c r="CF317" i="15"/>
  <c r="CG317" i="15"/>
  <c r="CH317" i="15"/>
  <c r="CI317" i="15"/>
  <c r="CJ317" i="15"/>
  <c r="CK317" i="15"/>
  <c r="CL317" i="15"/>
  <c r="CM317" i="15"/>
  <c r="CN317" i="15"/>
  <c r="CO317" i="15"/>
  <c r="A318" i="15"/>
  <c r="B318" i="15"/>
  <c r="C318" i="15"/>
  <c r="D318" i="15"/>
  <c r="E318" i="15"/>
  <c r="F318" i="15"/>
  <c r="G318" i="15"/>
  <c r="H318" i="15"/>
  <c r="I318" i="15"/>
  <c r="J318" i="15"/>
  <c r="K318" i="15"/>
  <c r="L318" i="15"/>
  <c r="M318" i="15"/>
  <c r="N318" i="15"/>
  <c r="O318" i="15"/>
  <c r="P318" i="15"/>
  <c r="Q318" i="15"/>
  <c r="R318" i="15"/>
  <c r="S318" i="15"/>
  <c r="T318" i="15"/>
  <c r="U318" i="15"/>
  <c r="V318" i="15"/>
  <c r="W318" i="15"/>
  <c r="X318" i="15"/>
  <c r="Y318" i="15"/>
  <c r="Z318" i="15"/>
  <c r="AA318" i="15"/>
  <c r="AB318" i="15"/>
  <c r="AC318" i="15"/>
  <c r="AD318" i="15"/>
  <c r="AE318" i="15"/>
  <c r="AF318" i="15"/>
  <c r="AG318" i="15"/>
  <c r="AH318" i="15"/>
  <c r="AI318" i="15"/>
  <c r="AJ318" i="15"/>
  <c r="AK318" i="15"/>
  <c r="AL318" i="15"/>
  <c r="AM318" i="15"/>
  <c r="AN318" i="15"/>
  <c r="AO318" i="15"/>
  <c r="AP318" i="15"/>
  <c r="AQ318" i="15"/>
  <c r="AR318" i="15"/>
  <c r="AS318" i="15"/>
  <c r="AT318" i="15"/>
  <c r="AU318" i="15"/>
  <c r="AV318" i="15"/>
  <c r="AW318" i="15"/>
  <c r="AX318" i="15"/>
  <c r="AY318" i="15"/>
  <c r="AZ318" i="15"/>
  <c r="BA318" i="15"/>
  <c r="BB318" i="15"/>
  <c r="BC318" i="15"/>
  <c r="BD318" i="15"/>
  <c r="BE318" i="15"/>
  <c r="BF318" i="15"/>
  <c r="BG318" i="15"/>
  <c r="BH318" i="15"/>
  <c r="BI318" i="15"/>
  <c r="BJ318" i="15"/>
  <c r="BK318" i="15"/>
  <c r="BL318" i="15"/>
  <c r="BM318" i="15"/>
  <c r="BN318" i="15"/>
  <c r="BO318" i="15"/>
  <c r="BP318" i="15"/>
  <c r="BQ318" i="15"/>
  <c r="BR318" i="15"/>
  <c r="BS318" i="15"/>
  <c r="BT318" i="15"/>
  <c r="BU318" i="15"/>
  <c r="BV318" i="15"/>
  <c r="BW318" i="15"/>
  <c r="BX318" i="15"/>
  <c r="BY318" i="15"/>
  <c r="BZ318" i="15"/>
  <c r="CA318" i="15"/>
  <c r="CB318" i="15"/>
  <c r="CC318" i="15"/>
  <c r="CD318" i="15"/>
  <c r="CE318" i="15"/>
  <c r="CF318" i="15"/>
  <c r="CG318" i="15"/>
  <c r="CH318" i="15"/>
  <c r="CI318" i="15"/>
  <c r="CJ318" i="15"/>
  <c r="CK318" i="15"/>
  <c r="CL318" i="15"/>
  <c r="CM318" i="15"/>
  <c r="CN318" i="15"/>
  <c r="CO318" i="15"/>
  <c r="A319" i="15"/>
  <c r="B319" i="15"/>
  <c r="C319" i="15"/>
  <c r="D319" i="15"/>
  <c r="E319" i="15"/>
  <c r="F319" i="15"/>
  <c r="G319" i="15"/>
  <c r="H319" i="15"/>
  <c r="I319" i="15"/>
  <c r="J319" i="15"/>
  <c r="K319" i="15"/>
  <c r="L319" i="15"/>
  <c r="M319" i="15"/>
  <c r="N319" i="15"/>
  <c r="O319" i="15"/>
  <c r="P319" i="15"/>
  <c r="Q319" i="15"/>
  <c r="R319" i="15"/>
  <c r="S319" i="15"/>
  <c r="T319" i="15"/>
  <c r="U319" i="15"/>
  <c r="V319" i="15"/>
  <c r="W319" i="15"/>
  <c r="X319" i="15"/>
  <c r="Y319" i="15"/>
  <c r="Z319" i="15"/>
  <c r="AA319" i="15"/>
  <c r="AB319" i="15"/>
  <c r="AC319" i="15"/>
  <c r="AD319" i="15"/>
  <c r="AE319" i="15"/>
  <c r="AF319" i="15"/>
  <c r="AG319" i="15"/>
  <c r="AH319" i="15"/>
  <c r="AI319" i="15"/>
  <c r="AJ319" i="15"/>
  <c r="AK319" i="15"/>
  <c r="AL319" i="15"/>
  <c r="AM319" i="15"/>
  <c r="AN319" i="15"/>
  <c r="AO319" i="15"/>
  <c r="AP319" i="15"/>
  <c r="AQ319" i="15"/>
  <c r="AR319" i="15"/>
  <c r="AS319" i="15"/>
  <c r="AT319" i="15"/>
  <c r="AU319" i="15"/>
  <c r="AV319" i="15"/>
  <c r="AW319" i="15"/>
  <c r="AX319" i="15"/>
  <c r="AY319" i="15"/>
  <c r="AZ319" i="15"/>
  <c r="BA319" i="15"/>
  <c r="BB319" i="15"/>
  <c r="BC319" i="15"/>
  <c r="BD319" i="15"/>
  <c r="BE319" i="15"/>
  <c r="BF319" i="15"/>
  <c r="BG319" i="15"/>
  <c r="BH319" i="15"/>
  <c r="BI319" i="15"/>
  <c r="BJ319" i="15"/>
  <c r="BK319" i="15"/>
  <c r="BL319" i="15"/>
  <c r="BM319" i="15"/>
  <c r="BN319" i="15"/>
  <c r="BO319" i="15"/>
  <c r="BP319" i="15"/>
  <c r="BQ319" i="15"/>
  <c r="BR319" i="15"/>
  <c r="BS319" i="15"/>
  <c r="BT319" i="15"/>
  <c r="BU319" i="15"/>
  <c r="BV319" i="15"/>
  <c r="BW319" i="15"/>
  <c r="BX319" i="15"/>
  <c r="BY319" i="15"/>
  <c r="BZ319" i="15"/>
  <c r="CA319" i="15"/>
  <c r="CB319" i="15"/>
  <c r="CC319" i="15"/>
  <c r="CD319" i="15"/>
  <c r="CE319" i="15"/>
  <c r="CF319" i="15"/>
  <c r="CG319" i="15"/>
  <c r="CH319" i="15"/>
  <c r="CI319" i="15"/>
  <c r="CJ319" i="15"/>
  <c r="CK319" i="15"/>
  <c r="CL319" i="15"/>
  <c r="CM319" i="15"/>
  <c r="CN319" i="15"/>
  <c r="CO319" i="15"/>
  <c r="A320" i="15"/>
  <c r="B320" i="15"/>
  <c r="C320" i="15"/>
  <c r="D320" i="15"/>
  <c r="E320" i="15"/>
  <c r="F320" i="15"/>
  <c r="G320" i="15"/>
  <c r="H320" i="15"/>
  <c r="I320" i="15"/>
  <c r="J320" i="15"/>
  <c r="K320" i="15"/>
  <c r="L320" i="15"/>
  <c r="M320" i="15"/>
  <c r="N320" i="15"/>
  <c r="O320" i="15"/>
  <c r="P320" i="15"/>
  <c r="Q320" i="15"/>
  <c r="R320" i="15"/>
  <c r="S320" i="15"/>
  <c r="T320" i="15"/>
  <c r="U320" i="15"/>
  <c r="V320" i="15"/>
  <c r="W320" i="15"/>
  <c r="X320" i="15"/>
  <c r="Y320" i="15"/>
  <c r="Z320" i="15"/>
  <c r="AA320" i="15"/>
  <c r="AB320" i="15"/>
  <c r="AC320" i="15"/>
  <c r="AD320" i="15"/>
  <c r="AE320" i="15"/>
  <c r="AF320" i="15"/>
  <c r="AG320" i="15"/>
  <c r="AH320" i="15"/>
  <c r="AI320" i="15"/>
  <c r="AJ320" i="15"/>
  <c r="AK320" i="15"/>
  <c r="AL320" i="15"/>
  <c r="AM320" i="15"/>
  <c r="AN320" i="15"/>
  <c r="AO320" i="15"/>
  <c r="AP320" i="15"/>
  <c r="AQ320" i="15"/>
  <c r="AR320" i="15"/>
  <c r="AS320" i="15"/>
  <c r="AT320" i="15"/>
  <c r="AU320" i="15"/>
  <c r="AV320" i="15"/>
  <c r="AW320" i="15"/>
  <c r="AX320" i="15"/>
  <c r="AY320" i="15"/>
  <c r="AZ320" i="15"/>
  <c r="BA320" i="15"/>
  <c r="BB320" i="15"/>
  <c r="BC320" i="15"/>
  <c r="BD320" i="15"/>
  <c r="BE320" i="15"/>
  <c r="BF320" i="15"/>
  <c r="BG320" i="15"/>
  <c r="BH320" i="15"/>
  <c r="BI320" i="15"/>
  <c r="BJ320" i="15"/>
  <c r="BK320" i="15"/>
  <c r="BL320" i="15"/>
  <c r="BM320" i="15"/>
  <c r="BN320" i="15"/>
  <c r="BO320" i="15"/>
  <c r="BP320" i="15"/>
  <c r="BQ320" i="15"/>
  <c r="BR320" i="15"/>
  <c r="BS320" i="15"/>
  <c r="BT320" i="15"/>
  <c r="BU320" i="15"/>
  <c r="BV320" i="15"/>
  <c r="BW320" i="15"/>
  <c r="BX320" i="15"/>
  <c r="BY320" i="15"/>
  <c r="BZ320" i="15"/>
  <c r="CA320" i="15"/>
  <c r="CB320" i="15"/>
  <c r="CC320" i="15"/>
  <c r="CD320" i="15"/>
  <c r="CE320" i="15"/>
  <c r="CF320" i="15"/>
  <c r="CG320" i="15"/>
  <c r="CH320" i="15"/>
  <c r="CI320" i="15"/>
  <c r="CJ320" i="15"/>
  <c r="CK320" i="15"/>
  <c r="CL320" i="15"/>
  <c r="CM320" i="15"/>
  <c r="CN320" i="15"/>
  <c r="CO320" i="15"/>
  <c r="A321" i="15"/>
  <c r="B321" i="15"/>
  <c r="C321" i="15"/>
  <c r="D321" i="15"/>
  <c r="E321" i="15"/>
  <c r="F321" i="15"/>
  <c r="G321" i="15"/>
  <c r="H321" i="15"/>
  <c r="I321" i="15"/>
  <c r="J321" i="15"/>
  <c r="K321" i="15"/>
  <c r="L321" i="15"/>
  <c r="M321" i="15"/>
  <c r="N321" i="15"/>
  <c r="O321" i="15"/>
  <c r="P321" i="15"/>
  <c r="Q321" i="15"/>
  <c r="R321" i="15"/>
  <c r="S321" i="15"/>
  <c r="T321" i="15"/>
  <c r="U321" i="15"/>
  <c r="V321" i="15"/>
  <c r="W321" i="15"/>
  <c r="X321" i="15"/>
  <c r="Y321" i="15"/>
  <c r="Z321" i="15"/>
  <c r="AA321" i="15"/>
  <c r="AB321" i="15"/>
  <c r="AC321" i="15"/>
  <c r="AD321" i="15"/>
  <c r="AE321" i="15"/>
  <c r="AF321" i="15"/>
  <c r="AG321" i="15"/>
  <c r="AH321" i="15"/>
  <c r="AI321" i="15"/>
  <c r="AJ321" i="15"/>
  <c r="AK321" i="15"/>
  <c r="AL321" i="15"/>
  <c r="AM321" i="15"/>
  <c r="AN321" i="15"/>
  <c r="AO321" i="15"/>
  <c r="AP321" i="15"/>
  <c r="AQ321" i="15"/>
  <c r="AR321" i="15"/>
  <c r="AS321" i="15"/>
  <c r="AT321" i="15"/>
  <c r="AU321" i="15"/>
  <c r="AV321" i="15"/>
  <c r="AW321" i="15"/>
  <c r="AX321" i="15"/>
  <c r="AY321" i="15"/>
  <c r="AZ321" i="15"/>
  <c r="BA321" i="15"/>
  <c r="BB321" i="15"/>
  <c r="BC321" i="15"/>
  <c r="BD321" i="15"/>
  <c r="BE321" i="15"/>
  <c r="BF321" i="15"/>
  <c r="BG321" i="15"/>
  <c r="BH321" i="15"/>
  <c r="BI321" i="15"/>
  <c r="BJ321" i="15"/>
  <c r="BK321" i="15"/>
  <c r="BL321" i="15"/>
  <c r="BM321" i="15"/>
  <c r="BN321" i="15"/>
  <c r="BO321" i="15"/>
  <c r="BP321" i="15"/>
  <c r="BQ321" i="15"/>
  <c r="BR321" i="15"/>
  <c r="BS321" i="15"/>
  <c r="BT321" i="15"/>
  <c r="BU321" i="15"/>
  <c r="BV321" i="15"/>
  <c r="BW321" i="15"/>
  <c r="BX321" i="15"/>
  <c r="BY321" i="15"/>
  <c r="BZ321" i="15"/>
  <c r="CA321" i="15"/>
  <c r="CB321" i="15"/>
  <c r="CC321" i="15"/>
  <c r="CD321" i="15"/>
  <c r="CE321" i="15"/>
  <c r="CF321" i="15"/>
  <c r="CG321" i="15"/>
  <c r="CH321" i="15"/>
  <c r="CI321" i="15"/>
  <c r="CJ321" i="15"/>
  <c r="CK321" i="15"/>
  <c r="CL321" i="15"/>
  <c r="CM321" i="15"/>
  <c r="CN321" i="15"/>
  <c r="CO321" i="15"/>
  <c r="A322" i="15"/>
  <c r="B322" i="15"/>
  <c r="C322" i="15"/>
  <c r="D322" i="15"/>
  <c r="E322" i="15"/>
  <c r="F322" i="15"/>
  <c r="G322" i="15"/>
  <c r="H322" i="15"/>
  <c r="I322" i="15"/>
  <c r="J322" i="15"/>
  <c r="K322" i="15"/>
  <c r="L322" i="15"/>
  <c r="M322" i="15"/>
  <c r="N322" i="15"/>
  <c r="O322" i="15"/>
  <c r="P322" i="15"/>
  <c r="Q322" i="15"/>
  <c r="R322" i="15"/>
  <c r="S322" i="15"/>
  <c r="T322" i="15"/>
  <c r="U322" i="15"/>
  <c r="V322" i="15"/>
  <c r="W322" i="15"/>
  <c r="X322" i="15"/>
  <c r="Y322" i="15"/>
  <c r="Z322" i="15"/>
  <c r="AA322" i="15"/>
  <c r="AB322" i="15"/>
  <c r="AC322" i="15"/>
  <c r="AD322" i="15"/>
  <c r="AE322" i="15"/>
  <c r="AF322" i="15"/>
  <c r="AG322" i="15"/>
  <c r="AH322" i="15"/>
  <c r="AI322" i="15"/>
  <c r="AJ322" i="15"/>
  <c r="AK322" i="15"/>
  <c r="AL322" i="15"/>
  <c r="AM322" i="15"/>
  <c r="AN322" i="15"/>
  <c r="AO322" i="15"/>
  <c r="AP322" i="15"/>
  <c r="AQ322" i="15"/>
  <c r="AR322" i="15"/>
  <c r="AS322" i="15"/>
  <c r="AT322" i="15"/>
  <c r="AU322" i="15"/>
  <c r="AV322" i="15"/>
  <c r="AW322" i="15"/>
  <c r="AX322" i="15"/>
  <c r="AY322" i="15"/>
  <c r="AZ322" i="15"/>
  <c r="BA322" i="15"/>
  <c r="BB322" i="15"/>
  <c r="BC322" i="15"/>
  <c r="BD322" i="15"/>
  <c r="BE322" i="15"/>
  <c r="BF322" i="15"/>
  <c r="BG322" i="15"/>
  <c r="BH322" i="15"/>
  <c r="BI322" i="15"/>
  <c r="BJ322" i="15"/>
  <c r="BK322" i="15"/>
  <c r="BL322" i="15"/>
  <c r="BM322" i="15"/>
  <c r="BN322" i="15"/>
  <c r="BO322" i="15"/>
  <c r="BP322" i="15"/>
  <c r="BQ322" i="15"/>
  <c r="BR322" i="15"/>
  <c r="BS322" i="15"/>
  <c r="BT322" i="15"/>
  <c r="BU322" i="15"/>
  <c r="BV322" i="15"/>
  <c r="BW322" i="15"/>
  <c r="BX322" i="15"/>
  <c r="BY322" i="15"/>
  <c r="BZ322" i="15"/>
  <c r="CA322" i="15"/>
  <c r="CB322" i="15"/>
  <c r="CC322" i="15"/>
  <c r="CD322" i="15"/>
  <c r="CE322" i="15"/>
  <c r="CF322" i="15"/>
  <c r="CG322" i="15"/>
  <c r="CH322" i="15"/>
  <c r="CI322" i="15"/>
  <c r="CJ322" i="15"/>
  <c r="CK322" i="15"/>
  <c r="CL322" i="15"/>
  <c r="CM322" i="15"/>
  <c r="CN322" i="15"/>
  <c r="CO322" i="15"/>
  <c r="A323" i="15"/>
  <c r="B323" i="15"/>
  <c r="C323" i="15"/>
  <c r="D323" i="15"/>
  <c r="E323" i="15"/>
  <c r="F323" i="15"/>
  <c r="G323" i="15"/>
  <c r="H323" i="15"/>
  <c r="I323" i="15"/>
  <c r="J323" i="15"/>
  <c r="K323" i="15"/>
  <c r="L323" i="15"/>
  <c r="M323" i="15"/>
  <c r="N323" i="15"/>
  <c r="O323" i="15"/>
  <c r="P323" i="15"/>
  <c r="Q323" i="15"/>
  <c r="R323" i="15"/>
  <c r="S323" i="15"/>
  <c r="T323" i="15"/>
  <c r="U323" i="15"/>
  <c r="V323" i="15"/>
  <c r="W323" i="15"/>
  <c r="X323" i="15"/>
  <c r="Y323" i="15"/>
  <c r="Z323" i="15"/>
  <c r="AA323" i="15"/>
  <c r="AB323" i="15"/>
  <c r="AC323" i="15"/>
  <c r="AD323" i="15"/>
  <c r="AE323" i="15"/>
  <c r="AF323" i="15"/>
  <c r="AG323" i="15"/>
  <c r="AH323" i="15"/>
  <c r="AI323" i="15"/>
  <c r="AJ323" i="15"/>
  <c r="AK323" i="15"/>
  <c r="AL323" i="15"/>
  <c r="AM323" i="15"/>
  <c r="AN323" i="15"/>
  <c r="AO323" i="15"/>
  <c r="AP323" i="15"/>
  <c r="AQ323" i="15"/>
  <c r="AR323" i="15"/>
  <c r="AS323" i="15"/>
  <c r="AT323" i="15"/>
  <c r="AU323" i="15"/>
  <c r="AV323" i="15"/>
  <c r="AW323" i="15"/>
  <c r="AX323" i="15"/>
  <c r="AY323" i="15"/>
  <c r="AZ323" i="15"/>
  <c r="BA323" i="15"/>
  <c r="BB323" i="15"/>
  <c r="BC323" i="15"/>
  <c r="BD323" i="15"/>
  <c r="BE323" i="15"/>
  <c r="BF323" i="15"/>
  <c r="BG323" i="15"/>
  <c r="BH323" i="15"/>
  <c r="BI323" i="15"/>
  <c r="BJ323" i="15"/>
  <c r="BK323" i="15"/>
  <c r="BL323" i="15"/>
  <c r="BM323" i="15"/>
  <c r="BN323" i="15"/>
  <c r="BO323" i="15"/>
  <c r="BP323" i="15"/>
  <c r="BQ323" i="15"/>
  <c r="BR323" i="15"/>
  <c r="BS323" i="15"/>
  <c r="BT323" i="15"/>
  <c r="BU323" i="15"/>
  <c r="BV323" i="15"/>
  <c r="BW323" i="15"/>
  <c r="BX323" i="15"/>
  <c r="BY323" i="15"/>
  <c r="BZ323" i="15"/>
  <c r="CA323" i="15"/>
  <c r="CB323" i="15"/>
  <c r="CC323" i="15"/>
  <c r="CD323" i="15"/>
  <c r="CE323" i="15"/>
  <c r="CF323" i="15"/>
  <c r="CG323" i="15"/>
  <c r="CH323" i="15"/>
  <c r="CI323" i="15"/>
  <c r="CJ323" i="15"/>
  <c r="CK323" i="15"/>
  <c r="CL323" i="15"/>
  <c r="CM323" i="15"/>
  <c r="CN323" i="15"/>
  <c r="CO323" i="15"/>
  <c r="A324" i="15"/>
  <c r="B324" i="15"/>
  <c r="C324" i="15"/>
  <c r="D324" i="15"/>
  <c r="E324" i="15"/>
  <c r="F324" i="15"/>
  <c r="G324" i="15"/>
  <c r="H324" i="15"/>
  <c r="I324" i="15"/>
  <c r="J324" i="15"/>
  <c r="K324" i="15"/>
  <c r="L324" i="15"/>
  <c r="M324" i="15"/>
  <c r="N324" i="15"/>
  <c r="O324" i="15"/>
  <c r="P324" i="15"/>
  <c r="Q324" i="15"/>
  <c r="R324" i="15"/>
  <c r="S324" i="15"/>
  <c r="T324" i="15"/>
  <c r="U324" i="15"/>
  <c r="V324" i="15"/>
  <c r="W324" i="15"/>
  <c r="X324" i="15"/>
  <c r="Y324" i="15"/>
  <c r="Z324" i="15"/>
  <c r="AA324" i="15"/>
  <c r="AB324" i="15"/>
  <c r="AC324" i="15"/>
  <c r="AD324" i="15"/>
  <c r="AE324" i="15"/>
  <c r="AF324" i="15"/>
  <c r="AG324" i="15"/>
  <c r="AH324" i="15"/>
  <c r="AI324" i="15"/>
  <c r="AJ324" i="15"/>
  <c r="AK324" i="15"/>
  <c r="AL324" i="15"/>
  <c r="AM324" i="15"/>
  <c r="AN324" i="15"/>
  <c r="AO324" i="15"/>
  <c r="AP324" i="15"/>
  <c r="AQ324" i="15"/>
  <c r="AR324" i="15"/>
  <c r="AS324" i="15"/>
  <c r="AT324" i="15"/>
  <c r="AU324" i="15"/>
  <c r="AV324" i="15"/>
  <c r="AW324" i="15"/>
  <c r="AX324" i="15"/>
  <c r="AY324" i="15"/>
  <c r="AZ324" i="15"/>
  <c r="BA324" i="15"/>
  <c r="BB324" i="15"/>
  <c r="BC324" i="15"/>
  <c r="BD324" i="15"/>
  <c r="BE324" i="15"/>
  <c r="BF324" i="15"/>
  <c r="BG324" i="15"/>
  <c r="BH324" i="15"/>
  <c r="BI324" i="15"/>
  <c r="BJ324" i="15"/>
  <c r="BK324" i="15"/>
  <c r="BL324" i="15"/>
  <c r="BM324" i="15"/>
  <c r="BN324" i="15"/>
  <c r="BO324" i="15"/>
  <c r="BP324" i="15"/>
  <c r="BQ324" i="15"/>
  <c r="BR324" i="15"/>
  <c r="BS324" i="15"/>
  <c r="BT324" i="15"/>
  <c r="BU324" i="15"/>
  <c r="BV324" i="15"/>
  <c r="BW324" i="15"/>
  <c r="BX324" i="15"/>
  <c r="BY324" i="15"/>
  <c r="BZ324" i="15"/>
  <c r="CA324" i="15"/>
  <c r="CB324" i="15"/>
  <c r="CC324" i="15"/>
  <c r="CD324" i="15"/>
  <c r="CE324" i="15"/>
  <c r="CF324" i="15"/>
  <c r="CG324" i="15"/>
  <c r="CH324" i="15"/>
  <c r="CI324" i="15"/>
  <c r="CJ324" i="15"/>
  <c r="CK324" i="15"/>
  <c r="CL324" i="15"/>
  <c r="CM324" i="15"/>
  <c r="CN324" i="15"/>
  <c r="CO324" i="15"/>
  <c r="A325" i="15"/>
  <c r="B325" i="15"/>
  <c r="C325" i="15"/>
  <c r="D325" i="15"/>
  <c r="E325" i="15"/>
  <c r="F325" i="15"/>
  <c r="G325" i="15"/>
  <c r="H325" i="15"/>
  <c r="I325" i="15"/>
  <c r="J325" i="15"/>
  <c r="K325" i="15"/>
  <c r="L325" i="15"/>
  <c r="M325" i="15"/>
  <c r="N325" i="15"/>
  <c r="O325" i="15"/>
  <c r="P325" i="15"/>
  <c r="Q325" i="15"/>
  <c r="R325" i="15"/>
  <c r="S325" i="15"/>
  <c r="T325" i="15"/>
  <c r="U325" i="15"/>
  <c r="V325" i="15"/>
  <c r="W325" i="15"/>
  <c r="X325" i="15"/>
  <c r="Y325" i="15"/>
  <c r="Z325" i="15"/>
  <c r="AA325" i="15"/>
  <c r="AB325" i="15"/>
  <c r="AC325" i="15"/>
  <c r="AD325" i="15"/>
  <c r="AE325" i="15"/>
  <c r="AF325" i="15"/>
  <c r="AG325" i="15"/>
  <c r="AH325" i="15"/>
  <c r="AI325" i="15"/>
  <c r="AJ325" i="15"/>
  <c r="AK325" i="15"/>
  <c r="AL325" i="15"/>
  <c r="AM325" i="15"/>
  <c r="AN325" i="15"/>
  <c r="AO325" i="15"/>
  <c r="AP325" i="15"/>
  <c r="AQ325" i="15"/>
  <c r="AR325" i="15"/>
  <c r="AS325" i="15"/>
  <c r="AT325" i="15"/>
  <c r="AU325" i="15"/>
  <c r="AV325" i="15"/>
  <c r="AW325" i="15"/>
  <c r="AX325" i="15"/>
  <c r="AY325" i="15"/>
  <c r="AZ325" i="15"/>
  <c r="BA325" i="15"/>
  <c r="BB325" i="15"/>
  <c r="BC325" i="15"/>
  <c r="BD325" i="15"/>
  <c r="BE325" i="15"/>
  <c r="BF325" i="15"/>
  <c r="BG325" i="15"/>
  <c r="BH325" i="15"/>
  <c r="BI325" i="15"/>
  <c r="BJ325" i="15"/>
  <c r="BK325" i="15"/>
  <c r="BL325" i="15"/>
  <c r="BM325" i="15"/>
  <c r="BN325" i="15"/>
  <c r="BO325" i="15"/>
  <c r="BP325" i="15"/>
  <c r="BQ325" i="15"/>
  <c r="BR325" i="15"/>
  <c r="BS325" i="15"/>
  <c r="BT325" i="15"/>
  <c r="BU325" i="15"/>
  <c r="BV325" i="15"/>
  <c r="BW325" i="15"/>
  <c r="BX325" i="15"/>
  <c r="BY325" i="15"/>
  <c r="BZ325" i="15"/>
  <c r="CA325" i="15"/>
  <c r="CB325" i="15"/>
  <c r="CC325" i="15"/>
  <c r="CD325" i="15"/>
  <c r="CE325" i="15"/>
  <c r="CF325" i="15"/>
  <c r="CG325" i="15"/>
  <c r="CH325" i="15"/>
  <c r="CI325" i="15"/>
  <c r="CJ325" i="15"/>
  <c r="CK325" i="15"/>
  <c r="CL325" i="15"/>
  <c r="CM325" i="15"/>
  <c r="CN325" i="15"/>
  <c r="CO325" i="15"/>
  <c r="A326" i="15"/>
  <c r="B326" i="15"/>
  <c r="C326" i="15"/>
  <c r="D326" i="15"/>
  <c r="E326" i="15"/>
  <c r="F326" i="15"/>
  <c r="G326" i="15"/>
  <c r="H326" i="15"/>
  <c r="I326" i="15"/>
  <c r="J326" i="15"/>
  <c r="K326" i="15"/>
  <c r="L326" i="15"/>
  <c r="M326" i="15"/>
  <c r="N326" i="15"/>
  <c r="O326" i="15"/>
  <c r="P326" i="15"/>
  <c r="Q326" i="15"/>
  <c r="R326" i="15"/>
  <c r="S326" i="15"/>
  <c r="T326" i="15"/>
  <c r="U326" i="15"/>
  <c r="V326" i="15"/>
  <c r="W326" i="15"/>
  <c r="X326" i="15"/>
  <c r="Y326" i="15"/>
  <c r="Z326" i="15"/>
  <c r="AA326" i="15"/>
  <c r="AB326" i="15"/>
  <c r="AC326" i="15"/>
  <c r="AD326" i="15"/>
  <c r="AE326" i="15"/>
  <c r="AF326" i="15"/>
  <c r="AG326" i="15"/>
  <c r="AH326" i="15"/>
  <c r="AI326" i="15"/>
  <c r="AJ326" i="15"/>
  <c r="AK326" i="15"/>
  <c r="AL326" i="15"/>
  <c r="AM326" i="15"/>
  <c r="AN326" i="15"/>
  <c r="AO326" i="15"/>
  <c r="AP326" i="15"/>
  <c r="AQ326" i="15"/>
  <c r="AR326" i="15"/>
  <c r="AS326" i="15"/>
  <c r="AT326" i="15"/>
  <c r="AU326" i="15"/>
  <c r="AV326" i="15"/>
  <c r="AW326" i="15"/>
  <c r="AX326" i="15"/>
  <c r="AY326" i="15"/>
  <c r="AZ326" i="15"/>
  <c r="BA326" i="15"/>
  <c r="BB326" i="15"/>
  <c r="BC326" i="15"/>
  <c r="BD326" i="15"/>
  <c r="BE326" i="15"/>
  <c r="BF326" i="15"/>
  <c r="BG326" i="15"/>
  <c r="BH326" i="15"/>
  <c r="BI326" i="15"/>
  <c r="BJ326" i="15"/>
  <c r="BK326" i="15"/>
  <c r="BL326" i="15"/>
  <c r="BM326" i="15"/>
  <c r="BN326" i="15"/>
  <c r="BO326" i="15"/>
  <c r="BP326" i="15"/>
  <c r="BQ326" i="15"/>
  <c r="BR326" i="15"/>
  <c r="BS326" i="15"/>
  <c r="BT326" i="15"/>
  <c r="BU326" i="15"/>
  <c r="BV326" i="15"/>
  <c r="BW326" i="15"/>
  <c r="BX326" i="15"/>
  <c r="BY326" i="15"/>
  <c r="BZ326" i="15"/>
  <c r="CA326" i="15"/>
  <c r="CB326" i="15"/>
  <c r="CC326" i="15"/>
  <c r="CD326" i="15"/>
  <c r="CE326" i="15"/>
  <c r="CF326" i="15"/>
  <c r="CG326" i="15"/>
  <c r="CH326" i="15"/>
  <c r="CI326" i="15"/>
  <c r="CJ326" i="15"/>
  <c r="CK326" i="15"/>
  <c r="CL326" i="15"/>
  <c r="CM326" i="15"/>
  <c r="CN326" i="15"/>
  <c r="CO326" i="15"/>
  <c r="A327" i="15"/>
  <c r="B327" i="15"/>
  <c r="C327" i="15"/>
  <c r="D327" i="15"/>
  <c r="E327" i="15"/>
  <c r="F327" i="15"/>
  <c r="G327" i="15"/>
  <c r="H327" i="15"/>
  <c r="I327" i="15"/>
  <c r="J327" i="15"/>
  <c r="K327" i="15"/>
  <c r="L327" i="15"/>
  <c r="M327" i="15"/>
  <c r="N327" i="15"/>
  <c r="O327" i="15"/>
  <c r="P327" i="15"/>
  <c r="Q327" i="15"/>
  <c r="R327" i="15"/>
  <c r="S327" i="15"/>
  <c r="T327" i="15"/>
  <c r="U327" i="15"/>
  <c r="V327" i="15"/>
  <c r="W327" i="15"/>
  <c r="X327" i="15"/>
  <c r="Y327" i="15"/>
  <c r="Z327" i="15"/>
  <c r="AA327" i="15"/>
  <c r="AB327" i="15"/>
  <c r="AC327" i="15"/>
  <c r="AD327" i="15"/>
  <c r="AE327" i="15"/>
  <c r="AF327" i="15"/>
  <c r="AG327" i="15"/>
  <c r="AH327" i="15"/>
  <c r="AI327" i="15"/>
  <c r="AJ327" i="15"/>
  <c r="AK327" i="15"/>
  <c r="AL327" i="15"/>
  <c r="AM327" i="15"/>
  <c r="AN327" i="15"/>
  <c r="AO327" i="15"/>
  <c r="AP327" i="15"/>
  <c r="AQ327" i="15"/>
  <c r="AR327" i="15"/>
  <c r="AS327" i="15"/>
  <c r="AT327" i="15"/>
  <c r="AU327" i="15"/>
  <c r="AV327" i="15"/>
  <c r="AW327" i="15"/>
  <c r="AX327" i="15"/>
  <c r="AY327" i="15"/>
  <c r="AZ327" i="15"/>
  <c r="BA327" i="15"/>
  <c r="BB327" i="15"/>
  <c r="BC327" i="15"/>
  <c r="BD327" i="15"/>
  <c r="BE327" i="15"/>
  <c r="BF327" i="15"/>
  <c r="BG327" i="15"/>
  <c r="BH327" i="15"/>
  <c r="BI327" i="15"/>
  <c r="BJ327" i="15"/>
  <c r="BK327" i="15"/>
  <c r="BL327" i="15"/>
  <c r="BM327" i="15"/>
  <c r="BN327" i="15"/>
  <c r="BO327" i="15"/>
  <c r="BP327" i="15"/>
  <c r="BQ327" i="15"/>
  <c r="BR327" i="15"/>
  <c r="BS327" i="15"/>
  <c r="BT327" i="15"/>
  <c r="BU327" i="15"/>
  <c r="BV327" i="15"/>
  <c r="BW327" i="15"/>
  <c r="BX327" i="15"/>
  <c r="BY327" i="15"/>
  <c r="BZ327" i="15"/>
  <c r="CA327" i="15"/>
  <c r="CB327" i="15"/>
  <c r="CC327" i="15"/>
  <c r="CD327" i="15"/>
  <c r="CE327" i="15"/>
  <c r="CF327" i="15"/>
  <c r="CG327" i="15"/>
  <c r="CH327" i="15"/>
  <c r="CI327" i="15"/>
  <c r="CJ327" i="15"/>
  <c r="CK327" i="15"/>
  <c r="CL327" i="15"/>
  <c r="CM327" i="15"/>
  <c r="CN327" i="15"/>
  <c r="CO327" i="15"/>
  <c r="A328" i="15"/>
  <c r="B328" i="15"/>
  <c r="C328" i="15"/>
  <c r="D328" i="15"/>
  <c r="E328" i="15"/>
  <c r="F328" i="15"/>
  <c r="G328" i="15"/>
  <c r="H328" i="15"/>
  <c r="I328" i="15"/>
  <c r="J328" i="15"/>
  <c r="K328" i="15"/>
  <c r="L328" i="15"/>
  <c r="M328" i="15"/>
  <c r="N328" i="15"/>
  <c r="O328" i="15"/>
  <c r="P328" i="15"/>
  <c r="Q328" i="15"/>
  <c r="R328" i="15"/>
  <c r="S328" i="15"/>
  <c r="T328" i="15"/>
  <c r="U328" i="15"/>
  <c r="V328" i="15"/>
  <c r="W328" i="15"/>
  <c r="X328" i="15"/>
  <c r="Y328" i="15"/>
  <c r="Z328" i="15"/>
  <c r="AA328" i="15"/>
  <c r="AB328" i="15"/>
  <c r="AC328" i="15"/>
  <c r="AD328" i="15"/>
  <c r="AE328" i="15"/>
  <c r="AF328" i="15"/>
  <c r="AG328" i="15"/>
  <c r="AH328" i="15"/>
  <c r="AI328" i="15"/>
  <c r="AJ328" i="15"/>
  <c r="AK328" i="15"/>
  <c r="AL328" i="15"/>
  <c r="AM328" i="15"/>
  <c r="AN328" i="15"/>
  <c r="AO328" i="15"/>
  <c r="AP328" i="15"/>
  <c r="AQ328" i="15"/>
  <c r="AR328" i="15"/>
  <c r="AS328" i="15"/>
  <c r="AT328" i="15"/>
  <c r="AU328" i="15"/>
  <c r="AV328" i="15"/>
  <c r="AW328" i="15"/>
  <c r="AX328" i="15"/>
  <c r="AY328" i="15"/>
  <c r="AZ328" i="15"/>
  <c r="BA328" i="15"/>
  <c r="BB328" i="15"/>
  <c r="BC328" i="15"/>
  <c r="BD328" i="15"/>
  <c r="BE328" i="15"/>
  <c r="BF328" i="15"/>
  <c r="BG328" i="15"/>
  <c r="BH328" i="15"/>
  <c r="BI328" i="15"/>
  <c r="BJ328" i="15"/>
  <c r="BK328" i="15"/>
  <c r="BL328" i="15"/>
  <c r="BM328" i="15"/>
  <c r="BN328" i="15"/>
  <c r="BO328" i="15"/>
  <c r="BP328" i="15"/>
  <c r="BQ328" i="15"/>
  <c r="BR328" i="15"/>
  <c r="BS328" i="15"/>
  <c r="BT328" i="15"/>
  <c r="BU328" i="15"/>
  <c r="BV328" i="15"/>
  <c r="BW328" i="15"/>
  <c r="BX328" i="15"/>
  <c r="BY328" i="15"/>
  <c r="BZ328" i="15"/>
  <c r="CA328" i="15"/>
  <c r="CB328" i="15"/>
  <c r="CC328" i="15"/>
  <c r="CD328" i="15"/>
  <c r="CE328" i="15"/>
  <c r="CF328" i="15"/>
  <c r="CG328" i="15"/>
  <c r="CH328" i="15"/>
  <c r="CI328" i="15"/>
  <c r="CJ328" i="15"/>
  <c r="CK328" i="15"/>
  <c r="CL328" i="15"/>
  <c r="CM328" i="15"/>
  <c r="CN328" i="15"/>
  <c r="CO328" i="15"/>
  <c r="A329" i="15"/>
  <c r="B329" i="15"/>
  <c r="C329" i="15"/>
  <c r="D329" i="15"/>
  <c r="E329" i="15"/>
  <c r="F329" i="15"/>
  <c r="G329" i="15"/>
  <c r="H329" i="15"/>
  <c r="I329" i="15"/>
  <c r="J329" i="15"/>
  <c r="K329" i="15"/>
  <c r="L329" i="15"/>
  <c r="M329" i="15"/>
  <c r="N329" i="15"/>
  <c r="O329" i="15"/>
  <c r="P329" i="15"/>
  <c r="Q329" i="15"/>
  <c r="R329" i="15"/>
  <c r="S329" i="15"/>
  <c r="T329" i="15"/>
  <c r="U329" i="15"/>
  <c r="V329" i="15"/>
  <c r="W329" i="15"/>
  <c r="X329" i="15"/>
  <c r="Y329" i="15"/>
  <c r="Z329" i="15"/>
  <c r="AA329" i="15"/>
  <c r="AB329" i="15"/>
  <c r="AC329" i="15"/>
  <c r="AD329" i="15"/>
  <c r="AE329" i="15"/>
  <c r="AF329" i="15"/>
  <c r="AG329" i="15"/>
  <c r="AH329" i="15"/>
  <c r="AI329" i="15"/>
  <c r="AJ329" i="15"/>
  <c r="AK329" i="15"/>
  <c r="AL329" i="15"/>
  <c r="AM329" i="15"/>
  <c r="AN329" i="15"/>
  <c r="AO329" i="15"/>
  <c r="AP329" i="15"/>
  <c r="AQ329" i="15"/>
  <c r="AR329" i="15"/>
  <c r="AS329" i="15"/>
  <c r="AT329" i="15"/>
  <c r="AU329" i="15"/>
  <c r="AV329" i="15"/>
  <c r="AW329" i="15"/>
  <c r="AX329" i="15"/>
  <c r="AY329" i="15"/>
  <c r="AZ329" i="15"/>
  <c r="BA329" i="15"/>
  <c r="BB329" i="15"/>
  <c r="BC329" i="15"/>
  <c r="BD329" i="15"/>
  <c r="BE329" i="15"/>
  <c r="BF329" i="15"/>
  <c r="BG329" i="15"/>
  <c r="BH329" i="15"/>
  <c r="BI329" i="15"/>
  <c r="BJ329" i="15"/>
  <c r="BK329" i="15"/>
  <c r="BL329" i="15"/>
  <c r="BM329" i="15"/>
  <c r="BN329" i="15"/>
  <c r="BO329" i="15"/>
  <c r="BP329" i="15"/>
  <c r="BQ329" i="15"/>
  <c r="BR329" i="15"/>
  <c r="BS329" i="15"/>
  <c r="BT329" i="15"/>
  <c r="BU329" i="15"/>
  <c r="BV329" i="15"/>
  <c r="BW329" i="15"/>
  <c r="BX329" i="15"/>
  <c r="BY329" i="15"/>
  <c r="BZ329" i="15"/>
  <c r="CA329" i="15"/>
  <c r="CB329" i="15"/>
  <c r="CC329" i="15"/>
  <c r="CD329" i="15"/>
  <c r="CE329" i="15"/>
  <c r="CF329" i="15"/>
  <c r="CG329" i="15"/>
  <c r="CH329" i="15"/>
  <c r="CI329" i="15"/>
  <c r="CJ329" i="15"/>
  <c r="CK329" i="15"/>
  <c r="CL329" i="15"/>
  <c r="CM329" i="15"/>
  <c r="CN329" i="15"/>
  <c r="CO329" i="15"/>
  <c r="A330" i="15"/>
  <c r="B330" i="15"/>
  <c r="C330" i="15"/>
  <c r="D330" i="15"/>
  <c r="E330" i="15"/>
  <c r="F330" i="15"/>
  <c r="G330" i="15"/>
  <c r="H330" i="15"/>
  <c r="I330" i="15"/>
  <c r="J330" i="15"/>
  <c r="K330" i="15"/>
  <c r="L330" i="15"/>
  <c r="M330" i="15"/>
  <c r="N330" i="15"/>
  <c r="O330" i="15"/>
  <c r="P330" i="15"/>
  <c r="Q330" i="15"/>
  <c r="R330" i="15"/>
  <c r="S330" i="15"/>
  <c r="T330" i="15"/>
  <c r="U330" i="15"/>
  <c r="V330" i="15"/>
  <c r="W330" i="15"/>
  <c r="X330" i="15"/>
  <c r="Y330" i="15"/>
  <c r="Z330" i="15"/>
  <c r="AA330" i="15"/>
  <c r="AB330" i="15"/>
  <c r="AC330" i="15"/>
  <c r="AD330" i="15"/>
  <c r="AE330" i="15"/>
  <c r="AF330" i="15"/>
  <c r="AG330" i="15"/>
  <c r="AH330" i="15"/>
  <c r="AI330" i="15"/>
  <c r="AJ330" i="15"/>
  <c r="AK330" i="15"/>
  <c r="AL330" i="15"/>
  <c r="AM330" i="15"/>
  <c r="AN330" i="15"/>
  <c r="AO330" i="15"/>
  <c r="AP330" i="15"/>
  <c r="AQ330" i="15"/>
  <c r="AR330" i="15"/>
  <c r="AS330" i="15"/>
  <c r="AT330" i="15"/>
  <c r="AU330" i="15"/>
  <c r="AV330" i="15"/>
  <c r="AW330" i="15"/>
  <c r="AX330" i="15"/>
  <c r="AY330" i="15"/>
  <c r="AZ330" i="15"/>
  <c r="BA330" i="15"/>
  <c r="BB330" i="15"/>
  <c r="BC330" i="15"/>
  <c r="BD330" i="15"/>
  <c r="BE330" i="15"/>
  <c r="BF330" i="15"/>
  <c r="BG330" i="15"/>
  <c r="BH330" i="15"/>
  <c r="BI330" i="15"/>
  <c r="BJ330" i="15"/>
  <c r="BK330" i="15"/>
  <c r="BL330" i="15"/>
  <c r="BM330" i="15"/>
  <c r="BN330" i="15"/>
  <c r="BO330" i="15"/>
  <c r="BP330" i="15"/>
  <c r="BQ330" i="15"/>
  <c r="BR330" i="15"/>
  <c r="BS330" i="15"/>
  <c r="BT330" i="15"/>
  <c r="BU330" i="15"/>
  <c r="BV330" i="15"/>
  <c r="BW330" i="15"/>
  <c r="BX330" i="15"/>
  <c r="BY330" i="15"/>
  <c r="BZ330" i="15"/>
  <c r="CA330" i="15"/>
  <c r="CB330" i="15"/>
  <c r="CC330" i="15"/>
  <c r="CD330" i="15"/>
  <c r="CE330" i="15"/>
  <c r="CF330" i="15"/>
  <c r="CG330" i="15"/>
  <c r="CH330" i="15"/>
  <c r="CI330" i="15"/>
  <c r="CJ330" i="15"/>
  <c r="CK330" i="15"/>
  <c r="CL330" i="15"/>
  <c r="CM330" i="15"/>
  <c r="CN330" i="15"/>
  <c r="CO330" i="15"/>
  <c r="A331" i="15"/>
  <c r="B331" i="15"/>
  <c r="C331" i="15"/>
  <c r="D331" i="15"/>
  <c r="E331" i="15"/>
  <c r="F331" i="15"/>
  <c r="G331" i="15"/>
  <c r="H331" i="15"/>
  <c r="I331" i="15"/>
  <c r="J331" i="15"/>
  <c r="K331" i="15"/>
  <c r="L331" i="15"/>
  <c r="M331" i="15"/>
  <c r="N331" i="15"/>
  <c r="O331" i="15"/>
  <c r="P331" i="15"/>
  <c r="Q331" i="15"/>
  <c r="R331" i="15"/>
  <c r="S331" i="15"/>
  <c r="T331" i="15"/>
  <c r="U331" i="15"/>
  <c r="V331" i="15"/>
  <c r="W331" i="15"/>
  <c r="X331" i="15"/>
  <c r="Y331" i="15"/>
  <c r="Z331" i="15"/>
  <c r="AA331" i="15"/>
  <c r="AB331" i="15"/>
  <c r="AC331" i="15"/>
  <c r="AD331" i="15"/>
  <c r="AE331" i="15"/>
  <c r="AF331" i="15"/>
  <c r="AG331" i="15"/>
  <c r="AH331" i="15"/>
  <c r="AI331" i="15"/>
  <c r="AJ331" i="15"/>
  <c r="AK331" i="15"/>
  <c r="AL331" i="15"/>
  <c r="AM331" i="15"/>
  <c r="AN331" i="15"/>
  <c r="AO331" i="15"/>
  <c r="AP331" i="15"/>
  <c r="AQ331" i="15"/>
  <c r="AR331" i="15"/>
  <c r="AS331" i="15"/>
  <c r="AT331" i="15"/>
  <c r="AU331" i="15"/>
  <c r="AV331" i="15"/>
  <c r="AW331" i="15"/>
  <c r="AX331" i="15"/>
  <c r="AY331" i="15"/>
  <c r="AZ331" i="15"/>
  <c r="BA331" i="15"/>
  <c r="BB331" i="15"/>
  <c r="BC331" i="15"/>
  <c r="BD331" i="15"/>
  <c r="BE331" i="15"/>
  <c r="BF331" i="15"/>
  <c r="BG331" i="15"/>
  <c r="BH331" i="15"/>
  <c r="BI331" i="15"/>
  <c r="BJ331" i="15"/>
  <c r="BK331" i="15"/>
  <c r="BL331" i="15"/>
  <c r="BM331" i="15"/>
  <c r="BN331" i="15"/>
  <c r="BO331" i="15"/>
  <c r="BP331" i="15"/>
  <c r="BQ331" i="15"/>
  <c r="BR331" i="15"/>
  <c r="BS331" i="15"/>
  <c r="BT331" i="15"/>
  <c r="BU331" i="15"/>
  <c r="BV331" i="15"/>
  <c r="BW331" i="15"/>
  <c r="BX331" i="15"/>
  <c r="BY331" i="15"/>
  <c r="BZ331" i="15"/>
  <c r="CA331" i="15"/>
  <c r="CB331" i="15"/>
  <c r="CC331" i="15"/>
  <c r="CD331" i="15"/>
  <c r="CE331" i="15"/>
  <c r="CF331" i="15"/>
  <c r="CG331" i="15"/>
  <c r="CH331" i="15"/>
  <c r="CI331" i="15"/>
  <c r="CJ331" i="15"/>
  <c r="CK331" i="15"/>
  <c r="CL331" i="15"/>
  <c r="CM331" i="15"/>
  <c r="CN331" i="15"/>
  <c r="CO331" i="15"/>
  <c r="A332" i="15"/>
  <c r="B332" i="15"/>
  <c r="C332" i="15"/>
  <c r="D332" i="15"/>
  <c r="E332" i="15"/>
  <c r="F332" i="15"/>
  <c r="G332" i="15"/>
  <c r="H332" i="15"/>
  <c r="I332" i="15"/>
  <c r="J332" i="15"/>
  <c r="K332" i="15"/>
  <c r="L332" i="15"/>
  <c r="M332" i="15"/>
  <c r="N332" i="15"/>
  <c r="O332" i="15"/>
  <c r="P332" i="15"/>
  <c r="Q332" i="15"/>
  <c r="R332" i="15"/>
  <c r="S332" i="15"/>
  <c r="T332" i="15"/>
  <c r="U332" i="15"/>
  <c r="V332" i="15"/>
  <c r="W332" i="15"/>
  <c r="X332" i="15"/>
  <c r="Y332" i="15"/>
  <c r="Z332" i="15"/>
  <c r="AA332" i="15"/>
  <c r="AB332" i="15"/>
  <c r="AC332" i="15"/>
  <c r="AD332" i="15"/>
  <c r="AE332" i="15"/>
  <c r="AF332" i="15"/>
  <c r="AG332" i="15"/>
  <c r="AH332" i="15"/>
  <c r="AI332" i="15"/>
  <c r="AJ332" i="15"/>
  <c r="AK332" i="15"/>
  <c r="AL332" i="15"/>
  <c r="AM332" i="15"/>
  <c r="AN332" i="15"/>
  <c r="AO332" i="15"/>
  <c r="AP332" i="15"/>
  <c r="AQ332" i="15"/>
  <c r="AR332" i="15"/>
  <c r="AS332" i="15"/>
  <c r="AT332" i="15"/>
  <c r="AU332" i="15"/>
  <c r="AV332" i="15"/>
  <c r="AW332" i="15"/>
  <c r="AX332" i="15"/>
  <c r="AY332" i="15"/>
  <c r="AZ332" i="15"/>
  <c r="BA332" i="15"/>
  <c r="BB332" i="15"/>
  <c r="BC332" i="15"/>
  <c r="BD332" i="15"/>
  <c r="BE332" i="15"/>
  <c r="BF332" i="15"/>
  <c r="BG332" i="15"/>
  <c r="BH332" i="15"/>
  <c r="BI332" i="15"/>
  <c r="BJ332" i="15"/>
  <c r="BK332" i="15"/>
  <c r="BL332" i="15"/>
  <c r="BM332" i="15"/>
  <c r="BN332" i="15"/>
  <c r="BO332" i="15"/>
  <c r="BP332" i="15"/>
  <c r="BQ332" i="15"/>
  <c r="BR332" i="15"/>
  <c r="BS332" i="15"/>
  <c r="BT332" i="15"/>
  <c r="BU332" i="15"/>
  <c r="BV332" i="15"/>
  <c r="BW332" i="15"/>
  <c r="BX332" i="15"/>
  <c r="BY332" i="15"/>
  <c r="BZ332" i="15"/>
  <c r="CA332" i="15"/>
  <c r="CB332" i="15"/>
  <c r="CC332" i="15"/>
  <c r="CD332" i="15"/>
  <c r="CE332" i="15"/>
  <c r="CF332" i="15"/>
  <c r="CG332" i="15"/>
  <c r="CH332" i="15"/>
  <c r="CI332" i="15"/>
  <c r="CJ332" i="15"/>
  <c r="CK332" i="15"/>
  <c r="CL332" i="15"/>
  <c r="CM332" i="15"/>
  <c r="CN332" i="15"/>
  <c r="CO332" i="15"/>
  <c r="A333" i="15"/>
  <c r="B333" i="15"/>
  <c r="C333" i="15"/>
  <c r="D333" i="15"/>
  <c r="E333" i="15"/>
  <c r="F333" i="15"/>
  <c r="G333" i="15"/>
  <c r="H333" i="15"/>
  <c r="I333" i="15"/>
  <c r="J333" i="15"/>
  <c r="K333" i="15"/>
  <c r="L333" i="15"/>
  <c r="M333" i="15"/>
  <c r="N333" i="15"/>
  <c r="O333" i="15"/>
  <c r="P333" i="15"/>
  <c r="Q333" i="15"/>
  <c r="R333" i="15"/>
  <c r="S333" i="15"/>
  <c r="T333" i="15"/>
  <c r="U333" i="15"/>
  <c r="V333" i="15"/>
  <c r="W333" i="15"/>
  <c r="X333" i="15"/>
  <c r="Y333" i="15"/>
  <c r="Z333" i="15"/>
  <c r="AA333" i="15"/>
  <c r="AB333" i="15"/>
  <c r="AC333" i="15"/>
  <c r="AD333" i="15"/>
  <c r="AE333" i="15"/>
  <c r="AF333" i="15"/>
  <c r="AG333" i="15"/>
  <c r="AH333" i="15"/>
  <c r="AI333" i="15"/>
  <c r="AJ333" i="15"/>
  <c r="AK333" i="15"/>
  <c r="AL333" i="15"/>
  <c r="AM333" i="15"/>
  <c r="AN333" i="15"/>
  <c r="AO333" i="15"/>
  <c r="AP333" i="15"/>
  <c r="AQ333" i="15"/>
  <c r="AR333" i="15"/>
  <c r="AS333" i="15"/>
  <c r="AT333" i="15"/>
  <c r="AU333" i="15"/>
  <c r="AV333" i="15"/>
  <c r="AW333" i="15"/>
  <c r="AX333" i="15"/>
  <c r="AY333" i="15"/>
  <c r="AZ333" i="15"/>
  <c r="BA333" i="15"/>
  <c r="BB333" i="15"/>
  <c r="BC333" i="15"/>
  <c r="BD333" i="15"/>
  <c r="BE333" i="15"/>
  <c r="BF333" i="15"/>
  <c r="BG333" i="15"/>
  <c r="BH333" i="15"/>
  <c r="BI333" i="15"/>
  <c r="BJ333" i="15"/>
  <c r="BK333" i="15"/>
  <c r="BL333" i="15"/>
  <c r="BM333" i="15"/>
  <c r="BN333" i="15"/>
  <c r="BO333" i="15"/>
  <c r="BP333" i="15"/>
  <c r="BQ333" i="15"/>
  <c r="BR333" i="15"/>
  <c r="BS333" i="15"/>
  <c r="BT333" i="15"/>
  <c r="BU333" i="15"/>
  <c r="BV333" i="15"/>
  <c r="BW333" i="15"/>
  <c r="BX333" i="15"/>
  <c r="BY333" i="15"/>
  <c r="BZ333" i="15"/>
  <c r="CA333" i="15"/>
  <c r="CB333" i="15"/>
  <c r="CC333" i="15"/>
  <c r="CD333" i="15"/>
  <c r="CE333" i="15"/>
  <c r="CF333" i="15"/>
  <c r="CG333" i="15"/>
  <c r="CH333" i="15"/>
  <c r="CI333" i="15"/>
  <c r="CJ333" i="15"/>
  <c r="CK333" i="15"/>
  <c r="CL333" i="15"/>
  <c r="CM333" i="15"/>
  <c r="CN333" i="15"/>
  <c r="CO333" i="15"/>
  <c r="A334" i="15"/>
  <c r="B334" i="15"/>
  <c r="C334" i="15"/>
  <c r="D334" i="15"/>
  <c r="E334" i="15"/>
  <c r="F334" i="15"/>
  <c r="G334" i="15"/>
  <c r="H334" i="15"/>
  <c r="I334" i="15"/>
  <c r="J334" i="15"/>
  <c r="K334" i="15"/>
  <c r="L334" i="15"/>
  <c r="M334" i="15"/>
  <c r="N334" i="15"/>
  <c r="O334" i="15"/>
  <c r="P334" i="15"/>
  <c r="Q334" i="15"/>
  <c r="R334" i="15"/>
  <c r="S334" i="15"/>
  <c r="T334" i="15"/>
  <c r="U334" i="15"/>
  <c r="V334" i="15"/>
  <c r="W334" i="15"/>
  <c r="X334" i="15"/>
  <c r="Y334" i="15"/>
  <c r="Z334" i="15"/>
  <c r="AA334" i="15"/>
  <c r="AB334" i="15"/>
  <c r="AC334" i="15"/>
  <c r="AD334" i="15"/>
  <c r="AE334" i="15"/>
  <c r="AF334" i="15"/>
  <c r="AG334" i="15"/>
  <c r="AH334" i="15"/>
  <c r="AI334" i="15"/>
  <c r="AJ334" i="15"/>
  <c r="AK334" i="15"/>
  <c r="AL334" i="15"/>
  <c r="AM334" i="15"/>
  <c r="AN334" i="15"/>
  <c r="AO334" i="15"/>
  <c r="AP334" i="15"/>
  <c r="AQ334" i="15"/>
  <c r="AR334" i="15"/>
  <c r="AS334" i="15"/>
  <c r="AT334" i="15"/>
  <c r="AU334" i="15"/>
  <c r="AV334" i="15"/>
  <c r="AW334" i="15"/>
  <c r="AX334" i="15"/>
  <c r="AY334" i="15"/>
  <c r="AZ334" i="15"/>
  <c r="BA334" i="15"/>
  <c r="BB334" i="15"/>
  <c r="BC334" i="15"/>
  <c r="BD334" i="15"/>
  <c r="BE334" i="15"/>
  <c r="BF334" i="15"/>
  <c r="BG334" i="15"/>
  <c r="BH334" i="15"/>
  <c r="BI334" i="15"/>
  <c r="BJ334" i="15"/>
  <c r="BK334" i="15"/>
  <c r="BL334" i="15"/>
  <c r="BM334" i="15"/>
  <c r="BN334" i="15"/>
  <c r="BO334" i="15"/>
  <c r="BP334" i="15"/>
  <c r="BQ334" i="15"/>
  <c r="BR334" i="15"/>
  <c r="BS334" i="15"/>
  <c r="BT334" i="15"/>
  <c r="BU334" i="15"/>
  <c r="BV334" i="15"/>
  <c r="BW334" i="15"/>
  <c r="BX334" i="15"/>
  <c r="BY334" i="15"/>
  <c r="BZ334" i="15"/>
  <c r="CA334" i="15"/>
  <c r="CB334" i="15"/>
  <c r="CC334" i="15"/>
  <c r="CD334" i="15"/>
  <c r="CE334" i="15"/>
  <c r="CF334" i="15"/>
  <c r="CG334" i="15"/>
  <c r="CH334" i="15"/>
  <c r="CI334" i="15"/>
  <c r="CJ334" i="15"/>
  <c r="CK334" i="15"/>
  <c r="CL334" i="15"/>
  <c r="CM334" i="15"/>
  <c r="CN334" i="15"/>
  <c r="CO334" i="15"/>
  <c r="A335" i="15"/>
  <c r="B335" i="15"/>
  <c r="C335" i="15"/>
  <c r="D335" i="15"/>
  <c r="E335" i="15"/>
  <c r="F335" i="15"/>
  <c r="G335" i="15"/>
  <c r="H335" i="15"/>
  <c r="I335" i="15"/>
  <c r="J335" i="15"/>
  <c r="K335" i="15"/>
  <c r="L335" i="15"/>
  <c r="M335" i="15"/>
  <c r="N335" i="15"/>
  <c r="O335" i="15"/>
  <c r="P335" i="15"/>
  <c r="Q335" i="15"/>
  <c r="R335" i="15"/>
  <c r="S335" i="15"/>
  <c r="T335" i="15"/>
  <c r="U335" i="15"/>
  <c r="V335" i="15"/>
  <c r="W335" i="15"/>
  <c r="X335" i="15"/>
  <c r="Y335" i="15"/>
  <c r="Z335" i="15"/>
  <c r="AA335" i="15"/>
  <c r="AB335" i="15"/>
  <c r="AC335" i="15"/>
  <c r="AD335" i="15"/>
  <c r="AE335" i="15"/>
  <c r="AF335" i="15"/>
  <c r="AG335" i="15"/>
  <c r="AH335" i="15"/>
  <c r="AI335" i="15"/>
  <c r="AJ335" i="15"/>
  <c r="AK335" i="15"/>
  <c r="AL335" i="15"/>
  <c r="AM335" i="15"/>
  <c r="AN335" i="15"/>
  <c r="AO335" i="15"/>
  <c r="AP335" i="15"/>
  <c r="AQ335" i="15"/>
  <c r="AR335" i="15"/>
  <c r="AS335" i="15"/>
  <c r="AT335" i="15"/>
  <c r="AU335" i="15"/>
  <c r="AV335" i="15"/>
  <c r="AW335" i="15"/>
  <c r="AX335" i="15"/>
  <c r="AY335" i="15"/>
  <c r="AZ335" i="15"/>
  <c r="BA335" i="15"/>
  <c r="BB335" i="15"/>
  <c r="BC335" i="15"/>
  <c r="BD335" i="15"/>
  <c r="BE335" i="15"/>
  <c r="BF335" i="15"/>
  <c r="BG335" i="15"/>
  <c r="BH335" i="15"/>
  <c r="BI335" i="15"/>
  <c r="BJ335" i="15"/>
  <c r="BK335" i="15"/>
  <c r="BL335" i="15"/>
  <c r="BM335" i="15"/>
  <c r="BN335" i="15"/>
  <c r="BO335" i="15"/>
  <c r="BP335" i="15"/>
  <c r="BQ335" i="15"/>
  <c r="BR335" i="15"/>
  <c r="BS335" i="15"/>
  <c r="BT335" i="15"/>
  <c r="BU335" i="15"/>
  <c r="BV335" i="15"/>
  <c r="BW335" i="15"/>
  <c r="BX335" i="15"/>
  <c r="BY335" i="15"/>
  <c r="BZ335" i="15"/>
  <c r="CA335" i="15"/>
  <c r="CB335" i="15"/>
  <c r="CC335" i="15"/>
  <c r="CD335" i="15"/>
  <c r="CE335" i="15"/>
  <c r="CF335" i="15"/>
  <c r="CG335" i="15"/>
  <c r="CH335" i="15"/>
  <c r="CI335" i="15"/>
  <c r="CJ335" i="15"/>
  <c r="CK335" i="15"/>
  <c r="CL335" i="15"/>
  <c r="CM335" i="15"/>
  <c r="CN335" i="15"/>
  <c r="CO335" i="15"/>
  <c r="A336" i="15"/>
  <c r="B336" i="15"/>
  <c r="C336" i="15"/>
  <c r="D336" i="15"/>
  <c r="E336" i="15"/>
  <c r="F336" i="15"/>
  <c r="G336" i="15"/>
  <c r="H336" i="15"/>
  <c r="I336" i="15"/>
  <c r="J336" i="15"/>
  <c r="K336" i="15"/>
  <c r="L336" i="15"/>
  <c r="M336" i="15"/>
  <c r="N336" i="15"/>
  <c r="O336" i="15"/>
  <c r="P336" i="15"/>
  <c r="Q336" i="15"/>
  <c r="R336" i="15"/>
  <c r="S336" i="15"/>
  <c r="T336" i="15"/>
  <c r="U336" i="15"/>
  <c r="V336" i="15"/>
  <c r="W336" i="15"/>
  <c r="X336" i="15"/>
  <c r="Y336" i="15"/>
  <c r="Z336" i="15"/>
  <c r="AA336" i="15"/>
  <c r="AB336" i="15"/>
  <c r="AC336" i="15"/>
  <c r="AD336" i="15"/>
  <c r="AE336" i="15"/>
  <c r="AF336" i="15"/>
  <c r="AG336" i="15"/>
  <c r="AH336" i="15"/>
  <c r="AI336" i="15"/>
  <c r="AJ336" i="15"/>
  <c r="AK336" i="15"/>
  <c r="AL336" i="15"/>
  <c r="AM336" i="15"/>
  <c r="AN336" i="15"/>
  <c r="AO336" i="15"/>
  <c r="AP336" i="15"/>
  <c r="AQ336" i="15"/>
  <c r="AR336" i="15"/>
  <c r="AS336" i="15"/>
  <c r="AT336" i="15"/>
  <c r="AU336" i="15"/>
  <c r="AV336" i="15"/>
  <c r="AW336" i="15"/>
  <c r="AX336" i="15"/>
  <c r="AY336" i="15"/>
  <c r="AZ336" i="15"/>
  <c r="BA336" i="15"/>
  <c r="BB336" i="15"/>
  <c r="BC336" i="15"/>
  <c r="BD336" i="15"/>
  <c r="BE336" i="15"/>
  <c r="BF336" i="15"/>
  <c r="BG336" i="15"/>
  <c r="BH336" i="15"/>
  <c r="BI336" i="15"/>
  <c r="BJ336" i="15"/>
  <c r="BK336" i="15"/>
  <c r="BL336" i="15"/>
  <c r="BM336" i="15"/>
  <c r="BN336" i="15"/>
  <c r="BO336" i="15"/>
  <c r="BP336" i="15"/>
  <c r="BQ336" i="15"/>
  <c r="BR336" i="15"/>
  <c r="BS336" i="15"/>
  <c r="BT336" i="15"/>
  <c r="BU336" i="15"/>
  <c r="BV336" i="15"/>
  <c r="BW336" i="15"/>
  <c r="BX336" i="15"/>
  <c r="BY336" i="15"/>
  <c r="BZ336" i="15"/>
  <c r="CA336" i="15"/>
  <c r="CB336" i="15"/>
  <c r="CC336" i="15"/>
  <c r="CD336" i="15"/>
  <c r="CE336" i="15"/>
  <c r="CF336" i="15"/>
  <c r="CG336" i="15"/>
  <c r="CH336" i="15"/>
  <c r="CI336" i="15"/>
  <c r="CJ336" i="15"/>
  <c r="CK336" i="15"/>
  <c r="CL336" i="15"/>
  <c r="CM336" i="15"/>
  <c r="CN336" i="15"/>
  <c r="CO336" i="15"/>
  <c r="A337" i="15"/>
  <c r="B337" i="15"/>
  <c r="C337" i="15"/>
  <c r="D337" i="15"/>
  <c r="E337" i="15"/>
  <c r="F337" i="15"/>
  <c r="G337" i="15"/>
  <c r="H337" i="15"/>
  <c r="I337" i="15"/>
  <c r="J337" i="15"/>
  <c r="K337" i="15"/>
  <c r="L337" i="15"/>
  <c r="M337" i="15"/>
  <c r="N337" i="15"/>
  <c r="O337" i="15"/>
  <c r="P337" i="15"/>
  <c r="Q337" i="15"/>
  <c r="R337" i="15"/>
  <c r="S337" i="15"/>
  <c r="T337" i="15"/>
  <c r="U337" i="15"/>
  <c r="V337" i="15"/>
  <c r="W337" i="15"/>
  <c r="X337" i="15"/>
  <c r="Y337" i="15"/>
  <c r="Z337" i="15"/>
  <c r="AA337" i="15"/>
  <c r="AB337" i="15"/>
  <c r="AC337" i="15"/>
  <c r="AD337" i="15"/>
  <c r="AE337" i="15"/>
  <c r="AF337" i="15"/>
  <c r="AG337" i="15"/>
  <c r="AH337" i="15"/>
  <c r="AI337" i="15"/>
  <c r="AJ337" i="15"/>
  <c r="AK337" i="15"/>
  <c r="AL337" i="15"/>
  <c r="AM337" i="15"/>
  <c r="AN337" i="15"/>
  <c r="AO337" i="15"/>
  <c r="AP337" i="15"/>
  <c r="AQ337" i="15"/>
  <c r="AR337" i="15"/>
  <c r="AS337" i="15"/>
  <c r="AT337" i="15"/>
  <c r="AU337" i="15"/>
  <c r="AV337" i="15"/>
  <c r="AW337" i="15"/>
  <c r="AX337" i="15"/>
  <c r="AY337" i="15"/>
  <c r="AZ337" i="15"/>
  <c r="BA337" i="15"/>
  <c r="BB337" i="15"/>
  <c r="BC337" i="15"/>
  <c r="BD337" i="15"/>
  <c r="BE337" i="15"/>
  <c r="BF337" i="15"/>
  <c r="BG337" i="15"/>
  <c r="BH337" i="15"/>
  <c r="BI337" i="15"/>
  <c r="BJ337" i="15"/>
  <c r="BK337" i="15"/>
  <c r="BL337" i="15"/>
  <c r="BM337" i="15"/>
  <c r="BN337" i="15"/>
  <c r="BO337" i="15"/>
  <c r="BP337" i="15"/>
  <c r="BQ337" i="15"/>
  <c r="BR337" i="15"/>
  <c r="BS337" i="15"/>
  <c r="BT337" i="15"/>
  <c r="BU337" i="15"/>
  <c r="BV337" i="15"/>
  <c r="BW337" i="15"/>
  <c r="BX337" i="15"/>
  <c r="BY337" i="15"/>
  <c r="BZ337" i="15"/>
  <c r="CA337" i="15"/>
  <c r="CB337" i="15"/>
  <c r="CC337" i="15"/>
  <c r="CD337" i="15"/>
  <c r="CE337" i="15"/>
  <c r="CF337" i="15"/>
  <c r="CG337" i="15"/>
  <c r="CH337" i="15"/>
  <c r="CI337" i="15"/>
  <c r="CJ337" i="15"/>
  <c r="CK337" i="15"/>
  <c r="CL337" i="15"/>
  <c r="CM337" i="15"/>
  <c r="CN337" i="15"/>
  <c r="CO337" i="15"/>
  <c r="A338" i="15"/>
  <c r="B338" i="15"/>
  <c r="C338" i="15"/>
  <c r="D338" i="15"/>
  <c r="E338" i="15"/>
  <c r="F338" i="15"/>
  <c r="G338" i="15"/>
  <c r="H338" i="15"/>
  <c r="I338" i="15"/>
  <c r="J338" i="15"/>
  <c r="K338" i="15"/>
  <c r="L338" i="15"/>
  <c r="M338" i="15"/>
  <c r="N338" i="15"/>
  <c r="O338" i="15"/>
  <c r="P338" i="15"/>
  <c r="Q338" i="15"/>
  <c r="R338" i="15"/>
  <c r="S338" i="15"/>
  <c r="T338" i="15"/>
  <c r="U338" i="15"/>
  <c r="V338" i="15"/>
  <c r="W338" i="15"/>
  <c r="X338" i="15"/>
  <c r="Y338" i="15"/>
  <c r="Z338" i="15"/>
  <c r="AA338" i="15"/>
  <c r="AB338" i="15"/>
  <c r="AC338" i="15"/>
  <c r="AD338" i="15"/>
  <c r="AE338" i="15"/>
  <c r="AF338" i="15"/>
  <c r="AG338" i="15"/>
  <c r="AH338" i="15"/>
  <c r="AI338" i="15"/>
  <c r="AJ338" i="15"/>
  <c r="AK338" i="15"/>
  <c r="AL338" i="15"/>
  <c r="AM338" i="15"/>
  <c r="AN338" i="15"/>
  <c r="AO338" i="15"/>
  <c r="AP338" i="15"/>
  <c r="AQ338" i="15"/>
  <c r="AR338" i="15"/>
  <c r="AS338" i="15"/>
  <c r="AT338" i="15"/>
  <c r="AU338" i="15"/>
  <c r="AV338" i="15"/>
  <c r="AW338" i="15"/>
  <c r="AX338" i="15"/>
  <c r="AY338" i="15"/>
  <c r="AZ338" i="15"/>
  <c r="BA338" i="15"/>
  <c r="BB338" i="15"/>
  <c r="BC338" i="15"/>
  <c r="BD338" i="15"/>
  <c r="BE338" i="15"/>
  <c r="BF338" i="15"/>
  <c r="BG338" i="15"/>
  <c r="BH338" i="15"/>
  <c r="BI338" i="15"/>
  <c r="BJ338" i="15"/>
  <c r="BK338" i="15"/>
  <c r="BL338" i="15"/>
  <c r="BM338" i="15"/>
  <c r="BN338" i="15"/>
  <c r="BO338" i="15"/>
  <c r="BP338" i="15"/>
  <c r="BQ338" i="15"/>
  <c r="BR338" i="15"/>
  <c r="BS338" i="15"/>
  <c r="BT338" i="15"/>
  <c r="BU338" i="15"/>
  <c r="BV338" i="15"/>
  <c r="BW338" i="15"/>
  <c r="BX338" i="15"/>
  <c r="BY338" i="15"/>
  <c r="BZ338" i="15"/>
  <c r="CA338" i="15"/>
  <c r="CB338" i="15"/>
  <c r="CC338" i="15"/>
  <c r="CD338" i="15"/>
  <c r="CE338" i="15"/>
  <c r="CF338" i="15"/>
  <c r="CG338" i="15"/>
  <c r="CH338" i="15"/>
  <c r="CI338" i="15"/>
  <c r="CJ338" i="15"/>
  <c r="CK338" i="15"/>
  <c r="CL338" i="15"/>
  <c r="CM338" i="15"/>
  <c r="CN338" i="15"/>
  <c r="CO338" i="15"/>
  <c r="A339" i="15"/>
  <c r="B339" i="15"/>
  <c r="C339" i="15"/>
  <c r="D339" i="15"/>
  <c r="E339" i="15"/>
  <c r="F339" i="15"/>
  <c r="G339" i="15"/>
  <c r="H339" i="15"/>
  <c r="I339" i="15"/>
  <c r="J339" i="15"/>
  <c r="K339" i="15"/>
  <c r="L339" i="15"/>
  <c r="M339" i="15"/>
  <c r="N339" i="15"/>
  <c r="O339" i="15"/>
  <c r="P339" i="15"/>
  <c r="Q339" i="15"/>
  <c r="R339" i="15"/>
  <c r="S339" i="15"/>
  <c r="T339" i="15"/>
  <c r="U339" i="15"/>
  <c r="V339" i="15"/>
  <c r="W339" i="15"/>
  <c r="X339" i="15"/>
  <c r="Y339" i="15"/>
  <c r="Z339" i="15"/>
  <c r="AA339" i="15"/>
  <c r="AB339" i="15"/>
  <c r="AC339" i="15"/>
  <c r="AD339" i="15"/>
  <c r="AE339" i="15"/>
  <c r="AF339" i="15"/>
  <c r="AG339" i="15"/>
  <c r="AH339" i="15"/>
  <c r="AI339" i="15"/>
  <c r="AJ339" i="15"/>
  <c r="AK339" i="15"/>
  <c r="AL339" i="15"/>
  <c r="AM339" i="15"/>
  <c r="AN339" i="15"/>
  <c r="AO339" i="15"/>
  <c r="AP339" i="15"/>
  <c r="AQ339" i="15"/>
  <c r="AR339" i="15"/>
  <c r="AS339" i="15"/>
  <c r="AT339" i="15"/>
  <c r="AU339" i="15"/>
  <c r="AV339" i="15"/>
  <c r="AW339" i="15"/>
  <c r="AX339" i="15"/>
  <c r="AY339" i="15"/>
  <c r="AZ339" i="15"/>
  <c r="BA339" i="15"/>
  <c r="BB339" i="15"/>
  <c r="BC339" i="15"/>
  <c r="BD339" i="15"/>
  <c r="BE339" i="15"/>
  <c r="BF339" i="15"/>
  <c r="BG339" i="15"/>
  <c r="BH339" i="15"/>
  <c r="BI339" i="15"/>
  <c r="BJ339" i="15"/>
  <c r="BK339" i="15"/>
  <c r="BL339" i="15"/>
  <c r="BM339" i="15"/>
  <c r="BN339" i="15"/>
  <c r="BO339" i="15"/>
  <c r="BP339" i="15"/>
  <c r="BQ339" i="15"/>
  <c r="BR339" i="15"/>
  <c r="BS339" i="15"/>
  <c r="BT339" i="15"/>
  <c r="BU339" i="15"/>
  <c r="BV339" i="15"/>
  <c r="BW339" i="15"/>
  <c r="BX339" i="15"/>
  <c r="BY339" i="15"/>
  <c r="BZ339" i="15"/>
  <c r="CA339" i="15"/>
  <c r="CB339" i="15"/>
  <c r="CC339" i="15"/>
  <c r="CD339" i="15"/>
  <c r="CE339" i="15"/>
  <c r="CF339" i="15"/>
  <c r="CG339" i="15"/>
  <c r="CH339" i="15"/>
  <c r="CI339" i="15"/>
  <c r="CJ339" i="15"/>
  <c r="CK339" i="15"/>
  <c r="CL339" i="15"/>
  <c r="CM339" i="15"/>
  <c r="CN339" i="15"/>
  <c r="CO339" i="15"/>
  <c r="A340" i="15"/>
  <c r="B340" i="15"/>
  <c r="C340" i="15"/>
  <c r="D340" i="15"/>
  <c r="E340" i="15"/>
  <c r="F340" i="15"/>
  <c r="G340" i="15"/>
  <c r="H340" i="15"/>
  <c r="I340" i="15"/>
  <c r="J340" i="15"/>
  <c r="K340" i="15"/>
  <c r="L340" i="15"/>
  <c r="M340" i="15"/>
  <c r="N340" i="15"/>
  <c r="O340" i="15"/>
  <c r="P340" i="15"/>
  <c r="Q340" i="15"/>
  <c r="R340" i="15"/>
  <c r="S340" i="15"/>
  <c r="T340" i="15"/>
  <c r="U340" i="15"/>
  <c r="V340" i="15"/>
  <c r="W340" i="15"/>
  <c r="X340" i="15"/>
  <c r="Y340" i="15"/>
  <c r="Z340" i="15"/>
  <c r="AA340" i="15"/>
  <c r="AB340" i="15"/>
  <c r="AC340" i="15"/>
  <c r="AD340" i="15"/>
  <c r="AE340" i="15"/>
  <c r="AF340" i="15"/>
  <c r="AG340" i="15"/>
  <c r="AH340" i="15"/>
  <c r="AI340" i="15"/>
  <c r="AJ340" i="15"/>
  <c r="AK340" i="15"/>
  <c r="AL340" i="15"/>
  <c r="AM340" i="15"/>
  <c r="AN340" i="15"/>
  <c r="AO340" i="15"/>
  <c r="AP340" i="15"/>
  <c r="AQ340" i="15"/>
  <c r="AR340" i="15"/>
  <c r="AS340" i="15"/>
  <c r="AT340" i="15"/>
  <c r="AU340" i="15"/>
  <c r="AV340" i="15"/>
  <c r="AW340" i="15"/>
  <c r="AX340" i="15"/>
  <c r="AY340" i="15"/>
  <c r="AZ340" i="15"/>
  <c r="BA340" i="15"/>
  <c r="BB340" i="15"/>
  <c r="BC340" i="15"/>
  <c r="BD340" i="15"/>
  <c r="BE340" i="15"/>
  <c r="BF340" i="15"/>
  <c r="BG340" i="15"/>
  <c r="BH340" i="15"/>
  <c r="BI340" i="15"/>
  <c r="BJ340" i="15"/>
  <c r="BK340" i="15"/>
  <c r="BL340" i="15"/>
  <c r="BM340" i="15"/>
  <c r="BN340" i="15"/>
  <c r="BO340" i="15"/>
  <c r="BP340" i="15"/>
  <c r="BQ340" i="15"/>
  <c r="BR340" i="15"/>
  <c r="BS340" i="15"/>
  <c r="BT340" i="15"/>
  <c r="BU340" i="15"/>
  <c r="BV340" i="15"/>
  <c r="BW340" i="15"/>
  <c r="BX340" i="15"/>
  <c r="BY340" i="15"/>
  <c r="BZ340" i="15"/>
  <c r="CA340" i="15"/>
  <c r="CB340" i="15"/>
  <c r="CC340" i="15"/>
  <c r="CD340" i="15"/>
  <c r="CE340" i="15"/>
  <c r="CF340" i="15"/>
  <c r="CG340" i="15"/>
  <c r="CH340" i="15"/>
  <c r="CI340" i="15"/>
  <c r="CJ340" i="15"/>
  <c r="CK340" i="15"/>
  <c r="CL340" i="15"/>
  <c r="CM340" i="15"/>
  <c r="CN340" i="15"/>
  <c r="CO340" i="15"/>
  <c r="A341" i="15"/>
  <c r="B341" i="15"/>
  <c r="C341" i="15"/>
  <c r="D341" i="15"/>
  <c r="E341" i="15"/>
  <c r="F341" i="15"/>
  <c r="G341" i="15"/>
  <c r="H341" i="15"/>
  <c r="I341" i="15"/>
  <c r="J341" i="15"/>
  <c r="K341" i="15"/>
  <c r="L341" i="15"/>
  <c r="M341" i="15"/>
  <c r="N341" i="15"/>
  <c r="O341" i="15"/>
  <c r="P341" i="15"/>
  <c r="Q341" i="15"/>
  <c r="R341" i="15"/>
  <c r="S341" i="15"/>
  <c r="T341" i="15"/>
  <c r="U341" i="15"/>
  <c r="V341" i="15"/>
  <c r="W341" i="15"/>
  <c r="X341" i="15"/>
  <c r="Y341" i="15"/>
  <c r="Z341" i="15"/>
  <c r="AA341" i="15"/>
  <c r="AB341" i="15"/>
  <c r="AC341" i="15"/>
  <c r="AD341" i="15"/>
  <c r="AE341" i="15"/>
  <c r="AF341" i="15"/>
  <c r="AG341" i="15"/>
  <c r="AH341" i="15"/>
  <c r="AI341" i="15"/>
  <c r="AJ341" i="15"/>
  <c r="AK341" i="15"/>
  <c r="AL341" i="15"/>
  <c r="AM341" i="15"/>
  <c r="AN341" i="15"/>
  <c r="AO341" i="15"/>
  <c r="AP341" i="15"/>
  <c r="AQ341" i="15"/>
  <c r="AR341" i="15"/>
  <c r="AS341" i="15"/>
  <c r="AT341" i="15"/>
  <c r="AU341" i="15"/>
  <c r="AV341" i="15"/>
  <c r="AW341" i="15"/>
  <c r="AX341" i="15"/>
  <c r="AY341" i="15"/>
  <c r="AZ341" i="15"/>
  <c r="BA341" i="15"/>
  <c r="BB341" i="15"/>
  <c r="BC341" i="15"/>
  <c r="BD341" i="15"/>
  <c r="BE341" i="15"/>
  <c r="BF341" i="15"/>
  <c r="BG341" i="15"/>
  <c r="BH341" i="15"/>
  <c r="BI341" i="15"/>
  <c r="BJ341" i="15"/>
  <c r="BK341" i="15"/>
  <c r="BL341" i="15"/>
  <c r="BM341" i="15"/>
  <c r="BN341" i="15"/>
  <c r="BO341" i="15"/>
  <c r="BP341" i="15"/>
  <c r="BQ341" i="15"/>
  <c r="BR341" i="15"/>
  <c r="BS341" i="15"/>
  <c r="BT341" i="15"/>
  <c r="BU341" i="15"/>
  <c r="BV341" i="15"/>
  <c r="BW341" i="15"/>
  <c r="BX341" i="15"/>
  <c r="BY341" i="15"/>
  <c r="BZ341" i="15"/>
  <c r="CA341" i="15"/>
  <c r="CB341" i="15"/>
  <c r="CC341" i="15"/>
  <c r="CD341" i="15"/>
  <c r="CE341" i="15"/>
  <c r="CF341" i="15"/>
  <c r="CG341" i="15"/>
  <c r="CH341" i="15"/>
  <c r="CI341" i="15"/>
  <c r="CJ341" i="15"/>
  <c r="CK341" i="15"/>
  <c r="CL341" i="15"/>
  <c r="CM341" i="15"/>
  <c r="CN341" i="15"/>
  <c r="CO341" i="15"/>
  <c r="A342" i="15"/>
  <c r="B342" i="15"/>
  <c r="C342" i="15"/>
  <c r="D342" i="15"/>
  <c r="E342" i="15"/>
  <c r="F342" i="15"/>
  <c r="G342" i="15"/>
  <c r="H342" i="15"/>
  <c r="I342" i="15"/>
  <c r="J342" i="15"/>
  <c r="K342" i="15"/>
  <c r="L342" i="15"/>
  <c r="M342" i="15"/>
  <c r="N342" i="15"/>
  <c r="O342" i="15"/>
  <c r="P342" i="15"/>
  <c r="Q342" i="15"/>
  <c r="R342" i="15"/>
  <c r="S342" i="15"/>
  <c r="T342" i="15"/>
  <c r="U342" i="15"/>
  <c r="V342" i="15"/>
  <c r="W342" i="15"/>
  <c r="X342" i="15"/>
  <c r="Y342" i="15"/>
  <c r="Z342" i="15"/>
  <c r="AA342" i="15"/>
  <c r="AB342" i="15"/>
  <c r="AC342" i="15"/>
  <c r="AD342" i="15"/>
  <c r="AE342" i="15"/>
  <c r="AF342" i="15"/>
  <c r="AG342" i="15"/>
  <c r="AH342" i="15"/>
  <c r="AI342" i="15"/>
  <c r="AJ342" i="15"/>
  <c r="AK342" i="15"/>
  <c r="AL342" i="15"/>
  <c r="AM342" i="15"/>
  <c r="AN342" i="15"/>
  <c r="AO342" i="15"/>
  <c r="AP342" i="15"/>
  <c r="AQ342" i="15"/>
  <c r="AR342" i="15"/>
  <c r="AS342" i="15"/>
  <c r="AT342" i="15"/>
  <c r="AU342" i="15"/>
  <c r="AV342" i="15"/>
  <c r="AW342" i="15"/>
  <c r="AX342" i="15"/>
  <c r="AY342" i="15"/>
  <c r="AZ342" i="15"/>
  <c r="BA342" i="15"/>
  <c r="BB342" i="15"/>
  <c r="BC342" i="15"/>
  <c r="BD342" i="15"/>
  <c r="BE342" i="15"/>
  <c r="BF342" i="15"/>
  <c r="BG342" i="15"/>
  <c r="BH342" i="15"/>
  <c r="BI342" i="15"/>
  <c r="BJ342" i="15"/>
  <c r="BK342" i="15"/>
  <c r="BL342" i="15"/>
  <c r="BM342" i="15"/>
  <c r="BN342" i="15"/>
  <c r="BO342" i="15"/>
  <c r="BP342" i="15"/>
  <c r="BQ342" i="15"/>
  <c r="BR342" i="15"/>
  <c r="BS342" i="15"/>
  <c r="BT342" i="15"/>
  <c r="BU342" i="15"/>
  <c r="BV342" i="15"/>
  <c r="BW342" i="15"/>
  <c r="BX342" i="15"/>
  <c r="BY342" i="15"/>
  <c r="BZ342" i="15"/>
  <c r="CA342" i="15"/>
  <c r="CB342" i="15"/>
  <c r="CC342" i="15"/>
  <c r="CD342" i="15"/>
  <c r="CE342" i="15"/>
  <c r="CF342" i="15"/>
  <c r="CG342" i="15"/>
  <c r="CH342" i="15"/>
  <c r="CI342" i="15"/>
  <c r="CJ342" i="15"/>
  <c r="CK342" i="15"/>
  <c r="CL342" i="15"/>
  <c r="CM342" i="15"/>
  <c r="CN342" i="15"/>
  <c r="CO342" i="15"/>
  <c r="A343" i="15"/>
  <c r="B343" i="15"/>
  <c r="C343" i="15"/>
  <c r="D343" i="15"/>
  <c r="E343" i="15"/>
  <c r="F343" i="15"/>
  <c r="G343" i="15"/>
  <c r="H343" i="15"/>
  <c r="I343" i="15"/>
  <c r="J343" i="15"/>
  <c r="K343" i="15"/>
  <c r="L343" i="15"/>
  <c r="M343" i="15"/>
  <c r="N343" i="15"/>
  <c r="O343" i="15"/>
  <c r="P343" i="15"/>
  <c r="Q343" i="15"/>
  <c r="R343" i="15"/>
  <c r="S343" i="15"/>
  <c r="T343" i="15"/>
  <c r="U343" i="15"/>
  <c r="V343" i="15"/>
  <c r="W343" i="15"/>
  <c r="X343" i="15"/>
  <c r="Y343" i="15"/>
  <c r="Z343" i="15"/>
  <c r="AA343" i="15"/>
  <c r="AB343" i="15"/>
  <c r="AC343" i="15"/>
  <c r="AD343" i="15"/>
  <c r="AE343" i="15"/>
  <c r="AF343" i="15"/>
  <c r="AG343" i="15"/>
  <c r="AH343" i="15"/>
  <c r="AI343" i="15"/>
  <c r="AJ343" i="15"/>
  <c r="AK343" i="15"/>
  <c r="AL343" i="15"/>
  <c r="AM343" i="15"/>
  <c r="AN343" i="15"/>
  <c r="AO343" i="15"/>
  <c r="AP343" i="15"/>
  <c r="AQ343" i="15"/>
  <c r="AR343" i="15"/>
  <c r="AS343" i="15"/>
  <c r="AT343" i="15"/>
  <c r="AU343" i="15"/>
  <c r="AV343" i="15"/>
  <c r="AW343" i="15"/>
  <c r="AX343" i="15"/>
  <c r="AY343" i="15"/>
  <c r="AZ343" i="15"/>
  <c r="BA343" i="15"/>
  <c r="BB343" i="15"/>
  <c r="BC343" i="15"/>
  <c r="BD343" i="15"/>
  <c r="BE343" i="15"/>
  <c r="BF343" i="15"/>
  <c r="BG343" i="15"/>
  <c r="BH343" i="15"/>
  <c r="BI343" i="15"/>
  <c r="BJ343" i="15"/>
  <c r="BK343" i="15"/>
  <c r="BL343" i="15"/>
  <c r="BM343" i="15"/>
  <c r="BN343" i="15"/>
  <c r="BO343" i="15"/>
  <c r="BP343" i="15"/>
  <c r="BQ343" i="15"/>
  <c r="BR343" i="15"/>
  <c r="BS343" i="15"/>
  <c r="BT343" i="15"/>
  <c r="BU343" i="15"/>
  <c r="BV343" i="15"/>
  <c r="BW343" i="15"/>
  <c r="BX343" i="15"/>
  <c r="BY343" i="15"/>
  <c r="BZ343" i="15"/>
  <c r="CA343" i="15"/>
  <c r="CB343" i="15"/>
  <c r="CC343" i="15"/>
  <c r="CD343" i="15"/>
  <c r="CE343" i="15"/>
  <c r="CF343" i="15"/>
  <c r="CG343" i="15"/>
  <c r="CH343" i="15"/>
  <c r="CI343" i="15"/>
  <c r="CJ343" i="15"/>
  <c r="CK343" i="15"/>
  <c r="CL343" i="15"/>
  <c r="CM343" i="15"/>
  <c r="CN343" i="15"/>
  <c r="CO343" i="15"/>
  <c r="A344" i="15"/>
  <c r="B344" i="15"/>
  <c r="C344" i="15"/>
  <c r="D344" i="15"/>
  <c r="E344" i="15"/>
  <c r="F344" i="15"/>
  <c r="G344" i="15"/>
  <c r="H344" i="15"/>
  <c r="I344" i="15"/>
  <c r="J344" i="15"/>
  <c r="K344" i="15"/>
  <c r="L344" i="15"/>
  <c r="M344" i="15"/>
  <c r="N344" i="15"/>
  <c r="O344" i="15"/>
  <c r="P344" i="15"/>
  <c r="Q344" i="15"/>
  <c r="R344" i="15"/>
  <c r="S344" i="15"/>
  <c r="T344" i="15"/>
  <c r="U344" i="15"/>
  <c r="V344" i="15"/>
  <c r="W344" i="15"/>
  <c r="X344" i="15"/>
  <c r="Y344" i="15"/>
  <c r="Z344" i="15"/>
  <c r="AA344" i="15"/>
  <c r="AB344" i="15"/>
  <c r="AC344" i="15"/>
  <c r="AD344" i="15"/>
  <c r="AE344" i="15"/>
  <c r="AF344" i="15"/>
  <c r="AG344" i="15"/>
  <c r="AH344" i="15"/>
  <c r="AI344" i="15"/>
  <c r="AJ344" i="15"/>
  <c r="AK344" i="15"/>
  <c r="AL344" i="15"/>
  <c r="AM344" i="15"/>
  <c r="AN344" i="15"/>
  <c r="AO344" i="15"/>
  <c r="AP344" i="15"/>
  <c r="AQ344" i="15"/>
  <c r="AR344" i="15"/>
  <c r="AS344" i="15"/>
  <c r="AT344" i="15"/>
  <c r="AU344" i="15"/>
  <c r="AV344" i="15"/>
  <c r="AW344" i="15"/>
  <c r="AX344" i="15"/>
  <c r="AY344" i="15"/>
  <c r="AZ344" i="15"/>
  <c r="BA344" i="15"/>
  <c r="BB344" i="15"/>
  <c r="BC344" i="15"/>
  <c r="BD344" i="15"/>
  <c r="BE344" i="15"/>
  <c r="BF344" i="15"/>
  <c r="BG344" i="15"/>
  <c r="BH344" i="15"/>
  <c r="BI344" i="15"/>
  <c r="BJ344" i="15"/>
  <c r="BK344" i="15"/>
  <c r="BL344" i="15"/>
  <c r="BM344" i="15"/>
  <c r="BN344" i="15"/>
  <c r="BO344" i="15"/>
  <c r="BP344" i="15"/>
  <c r="BQ344" i="15"/>
  <c r="BR344" i="15"/>
  <c r="BS344" i="15"/>
  <c r="BT344" i="15"/>
  <c r="BU344" i="15"/>
  <c r="BV344" i="15"/>
  <c r="BW344" i="15"/>
  <c r="BX344" i="15"/>
  <c r="BY344" i="15"/>
  <c r="BZ344" i="15"/>
  <c r="CA344" i="15"/>
  <c r="CB344" i="15"/>
  <c r="CC344" i="15"/>
  <c r="CD344" i="15"/>
  <c r="CE344" i="15"/>
  <c r="CF344" i="15"/>
  <c r="CG344" i="15"/>
  <c r="CH344" i="15"/>
  <c r="CI344" i="15"/>
  <c r="CJ344" i="15"/>
  <c r="CK344" i="15"/>
  <c r="CL344" i="15"/>
  <c r="CM344" i="15"/>
  <c r="CN344" i="15"/>
  <c r="CO344" i="15"/>
  <c r="A345" i="15"/>
  <c r="B345" i="15"/>
  <c r="C345" i="15"/>
  <c r="D345" i="15"/>
  <c r="E345" i="15"/>
  <c r="F345" i="15"/>
  <c r="G345" i="15"/>
  <c r="H345" i="15"/>
  <c r="I345" i="15"/>
  <c r="J345" i="15"/>
  <c r="K345" i="15"/>
  <c r="L345" i="15"/>
  <c r="M345" i="15"/>
  <c r="N345" i="15"/>
  <c r="O345" i="15"/>
  <c r="P345" i="15"/>
  <c r="Q345" i="15"/>
  <c r="R345" i="15"/>
  <c r="S345" i="15"/>
  <c r="T345" i="15"/>
  <c r="U345" i="15"/>
  <c r="V345" i="15"/>
  <c r="W345" i="15"/>
  <c r="X345" i="15"/>
  <c r="Y345" i="15"/>
  <c r="Z345" i="15"/>
  <c r="AA345" i="15"/>
  <c r="AB345" i="15"/>
  <c r="AC345" i="15"/>
  <c r="AD345" i="15"/>
  <c r="AE345" i="15"/>
  <c r="AF345" i="15"/>
  <c r="AG345" i="15"/>
  <c r="AH345" i="15"/>
  <c r="AI345" i="15"/>
  <c r="AJ345" i="15"/>
  <c r="AK345" i="15"/>
  <c r="AL345" i="15"/>
  <c r="AM345" i="15"/>
  <c r="AN345" i="15"/>
  <c r="AO345" i="15"/>
  <c r="AP345" i="15"/>
  <c r="AQ345" i="15"/>
  <c r="AR345" i="15"/>
  <c r="AS345" i="15"/>
  <c r="AT345" i="15"/>
  <c r="AU345" i="15"/>
  <c r="AV345" i="15"/>
  <c r="AW345" i="15"/>
  <c r="AX345" i="15"/>
  <c r="AY345" i="15"/>
  <c r="AZ345" i="15"/>
  <c r="BA345" i="15"/>
  <c r="BB345" i="15"/>
  <c r="BC345" i="15"/>
  <c r="BD345" i="15"/>
  <c r="BE345" i="15"/>
  <c r="BF345" i="15"/>
  <c r="BG345" i="15"/>
  <c r="BH345" i="15"/>
  <c r="BI345" i="15"/>
  <c r="BJ345" i="15"/>
  <c r="BK345" i="15"/>
  <c r="BL345" i="15"/>
  <c r="BM345" i="15"/>
  <c r="BN345" i="15"/>
  <c r="BO345" i="15"/>
  <c r="BP345" i="15"/>
  <c r="BQ345" i="15"/>
  <c r="BR345" i="15"/>
  <c r="BS345" i="15"/>
  <c r="BT345" i="15"/>
  <c r="BU345" i="15"/>
  <c r="BV345" i="15"/>
  <c r="BW345" i="15"/>
  <c r="BX345" i="15"/>
  <c r="BY345" i="15"/>
  <c r="BZ345" i="15"/>
  <c r="CA345" i="15"/>
  <c r="CB345" i="15"/>
  <c r="CC345" i="15"/>
  <c r="CD345" i="15"/>
  <c r="CE345" i="15"/>
  <c r="CF345" i="15"/>
  <c r="CG345" i="15"/>
  <c r="CH345" i="15"/>
  <c r="CI345" i="15"/>
  <c r="CJ345" i="15"/>
  <c r="CK345" i="15"/>
  <c r="CL345" i="15"/>
  <c r="CM345" i="15"/>
  <c r="CN345" i="15"/>
  <c r="CO345" i="15"/>
  <c r="A346" i="15"/>
  <c r="B346" i="15"/>
  <c r="C346" i="15"/>
  <c r="D346" i="15"/>
  <c r="E346" i="15"/>
  <c r="F346" i="15"/>
  <c r="G346" i="15"/>
  <c r="H346" i="15"/>
  <c r="I346" i="15"/>
  <c r="J346" i="15"/>
  <c r="K346" i="15"/>
  <c r="L346" i="15"/>
  <c r="M346" i="15"/>
  <c r="N346" i="15"/>
  <c r="O346" i="15"/>
  <c r="P346" i="15"/>
  <c r="Q346" i="15"/>
  <c r="R346" i="15"/>
  <c r="S346" i="15"/>
  <c r="T346" i="15"/>
  <c r="U346" i="15"/>
  <c r="V346" i="15"/>
  <c r="W346" i="15"/>
  <c r="X346" i="15"/>
  <c r="Y346" i="15"/>
  <c r="Z346" i="15"/>
  <c r="AA346" i="15"/>
  <c r="AB346" i="15"/>
  <c r="AC346" i="15"/>
  <c r="AD346" i="15"/>
  <c r="AE346" i="15"/>
  <c r="AF346" i="15"/>
  <c r="AG346" i="15"/>
  <c r="AH346" i="15"/>
  <c r="AI346" i="15"/>
  <c r="AJ346" i="15"/>
  <c r="AK346" i="15"/>
  <c r="AL346" i="15"/>
  <c r="AM346" i="15"/>
  <c r="AN346" i="15"/>
  <c r="AO346" i="15"/>
  <c r="AP346" i="15"/>
  <c r="AQ346" i="15"/>
  <c r="AR346" i="15"/>
  <c r="AS346" i="15"/>
  <c r="AT346" i="15"/>
  <c r="AU346" i="15"/>
  <c r="AV346" i="15"/>
  <c r="AW346" i="15"/>
  <c r="AX346" i="15"/>
  <c r="AY346" i="15"/>
  <c r="AZ346" i="15"/>
  <c r="BA346" i="15"/>
  <c r="BB346" i="15"/>
  <c r="BC346" i="15"/>
  <c r="BD346" i="15"/>
  <c r="BE346" i="15"/>
  <c r="BF346" i="15"/>
  <c r="BG346" i="15"/>
  <c r="BH346" i="15"/>
  <c r="BI346" i="15"/>
  <c r="BJ346" i="15"/>
  <c r="BK346" i="15"/>
  <c r="BL346" i="15"/>
  <c r="BM346" i="15"/>
  <c r="BN346" i="15"/>
  <c r="BO346" i="15"/>
  <c r="BP346" i="15"/>
  <c r="BQ346" i="15"/>
  <c r="BR346" i="15"/>
  <c r="BS346" i="15"/>
  <c r="BT346" i="15"/>
  <c r="BU346" i="15"/>
  <c r="BV346" i="15"/>
  <c r="BW346" i="15"/>
  <c r="BX346" i="15"/>
  <c r="BY346" i="15"/>
  <c r="BZ346" i="15"/>
  <c r="CA346" i="15"/>
  <c r="CB346" i="15"/>
  <c r="CC346" i="15"/>
  <c r="CD346" i="15"/>
  <c r="CE346" i="15"/>
  <c r="CF346" i="15"/>
  <c r="CG346" i="15"/>
  <c r="CH346" i="15"/>
  <c r="CI346" i="15"/>
  <c r="CJ346" i="15"/>
  <c r="CK346" i="15"/>
  <c r="CL346" i="15"/>
  <c r="CM346" i="15"/>
  <c r="CN346" i="15"/>
  <c r="CO346" i="15"/>
  <c r="A347" i="15"/>
  <c r="B347" i="15"/>
  <c r="C347" i="15"/>
  <c r="D347" i="15"/>
  <c r="E347" i="15"/>
  <c r="F347" i="15"/>
  <c r="G347" i="15"/>
  <c r="H347" i="15"/>
  <c r="I347" i="15"/>
  <c r="J347" i="15"/>
  <c r="K347" i="15"/>
  <c r="L347" i="15"/>
  <c r="M347" i="15"/>
  <c r="N347" i="15"/>
  <c r="O347" i="15"/>
  <c r="P347" i="15"/>
  <c r="Q347" i="15"/>
  <c r="R347" i="15"/>
  <c r="S347" i="15"/>
  <c r="T347" i="15"/>
  <c r="U347" i="15"/>
  <c r="V347" i="15"/>
  <c r="W347" i="15"/>
  <c r="X347" i="15"/>
  <c r="Y347" i="15"/>
  <c r="Z347" i="15"/>
  <c r="AA347" i="15"/>
  <c r="AB347" i="15"/>
  <c r="AC347" i="15"/>
  <c r="AD347" i="15"/>
  <c r="AE347" i="15"/>
  <c r="AF347" i="15"/>
  <c r="AG347" i="15"/>
  <c r="AH347" i="15"/>
  <c r="AI347" i="15"/>
  <c r="AJ347" i="15"/>
  <c r="AK347" i="15"/>
  <c r="AL347" i="15"/>
  <c r="AM347" i="15"/>
  <c r="AN347" i="15"/>
  <c r="AO347" i="15"/>
  <c r="AP347" i="15"/>
  <c r="AQ347" i="15"/>
  <c r="AR347" i="15"/>
  <c r="AS347" i="15"/>
  <c r="AT347" i="15"/>
  <c r="AU347" i="15"/>
  <c r="AV347" i="15"/>
  <c r="AW347" i="15"/>
  <c r="AX347" i="15"/>
  <c r="AY347" i="15"/>
  <c r="AZ347" i="15"/>
  <c r="BA347" i="15"/>
  <c r="BB347" i="15"/>
  <c r="BC347" i="15"/>
  <c r="BD347" i="15"/>
  <c r="BE347" i="15"/>
  <c r="BF347" i="15"/>
  <c r="BG347" i="15"/>
  <c r="BH347" i="15"/>
  <c r="BI347" i="15"/>
  <c r="BJ347" i="15"/>
  <c r="BK347" i="15"/>
  <c r="BL347" i="15"/>
  <c r="BM347" i="15"/>
  <c r="BN347" i="15"/>
  <c r="BO347" i="15"/>
  <c r="BP347" i="15"/>
  <c r="BQ347" i="15"/>
  <c r="BR347" i="15"/>
  <c r="BS347" i="15"/>
  <c r="BT347" i="15"/>
  <c r="BU347" i="15"/>
  <c r="BV347" i="15"/>
  <c r="BW347" i="15"/>
  <c r="BX347" i="15"/>
  <c r="BY347" i="15"/>
  <c r="BZ347" i="15"/>
  <c r="CA347" i="15"/>
  <c r="CB347" i="15"/>
  <c r="CC347" i="15"/>
  <c r="CD347" i="15"/>
  <c r="CE347" i="15"/>
  <c r="CF347" i="15"/>
  <c r="CG347" i="15"/>
  <c r="CH347" i="15"/>
  <c r="CI347" i="15"/>
  <c r="CJ347" i="15"/>
  <c r="CK347" i="15"/>
  <c r="CL347" i="15"/>
  <c r="CM347" i="15"/>
  <c r="CN347" i="15"/>
  <c r="CO347" i="15"/>
  <c r="A348" i="15"/>
  <c r="B348" i="15"/>
  <c r="C348" i="15"/>
  <c r="D348" i="15"/>
  <c r="E348" i="15"/>
  <c r="F348" i="15"/>
  <c r="G348" i="15"/>
  <c r="H348" i="15"/>
  <c r="I348" i="15"/>
  <c r="J348" i="15"/>
  <c r="K348" i="15"/>
  <c r="L348" i="15"/>
  <c r="M348" i="15"/>
  <c r="N348" i="15"/>
  <c r="O348" i="15"/>
  <c r="P348" i="15"/>
  <c r="Q348" i="15"/>
  <c r="R348" i="15"/>
  <c r="S348" i="15"/>
  <c r="T348" i="15"/>
  <c r="U348" i="15"/>
  <c r="V348" i="15"/>
  <c r="W348" i="15"/>
  <c r="X348" i="15"/>
  <c r="Y348" i="15"/>
  <c r="Z348" i="15"/>
  <c r="AA348" i="15"/>
  <c r="AB348" i="15"/>
  <c r="AC348" i="15"/>
  <c r="AD348" i="15"/>
  <c r="AE348" i="15"/>
  <c r="AF348" i="15"/>
  <c r="AG348" i="15"/>
  <c r="AH348" i="15"/>
  <c r="AI348" i="15"/>
  <c r="AJ348" i="15"/>
  <c r="AK348" i="15"/>
  <c r="AL348" i="15"/>
  <c r="AM348" i="15"/>
  <c r="AN348" i="15"/>
  <c r="AO348" i="15"/>
  <c r="AP348" i="15"/>
  <c r="AQ348" i="15"/>
  <c r="AR348" i="15"/>
  <c r="AS348" i="15"/>
  <c r="AT348" i="15"/>
  <c r="AU348" i="15"/>
  <c r="AV348" i="15"/>
  <c r="AW348" i="15"/>
  <c r="AX348" i="15"/>
  <c r="AY348" i="15"/>
  <c r="AZ348" i="15"/>
  <c r="BA348" i="15"/>
  <c r="BB348" i="15"/>
  <c r="BC348" i="15"/>
  <c r="BD348" i="15"/>
  <c r="BE348" i="15"/>
  <c r="BF348" i="15"/>
  <c r="BG348" i="15"/>
  <c r="BH348" i="15"/>
  <c r="BI348" i="15"/>
  <c r="BJ348" i="15"/>
  <c r="BK348" i="15"/>
  <c r="BL348" i="15"/>
  <c r="BM348" i="15"/>
  <c r="BN348" i="15"/>
  <c r="BO348" i="15"/>
  <c r="BP348" i="15"/>
  <c r="BQ348" i="15"/>
  <c r="BR348" i="15"/>
  <c r="BS348" i="15"/>
  <c r="BT348" i="15"/>
  <c r="BU348" i="15"/>
  <c r="BV348" i="15"/>
  <c r="BW348" i="15"/>
  <c r="BX348" i="15"/>
  <c r="BY348" i="15"/>
  <c r="BZ348" i="15"/>
  <c r="CA348" i="15"/>
  <c r="CB348" i="15"/>
  <c r="CC348" i="15"/>
  <c r="CD348" i="15"/>
  <c r="CE348" i="15"/>
  <c r="CF348" i="15"/>
  <c r="CG348" i="15"/>
  <c r="CH348" i="15"/>
  <c r="CI348" i="15"/>
  <c r="CJ348" i="15"/>
  <c r="CK348" i="15"/>
  <c r="CL348" i="15"/>
  <c r="CM348" i="15"/>
  <c r="CN348" i="15"/>
  <c r="CO348" i="15"/>
  <c r="A349" i="15"/>
  <c r="B349" i="15"/>
  <c r="C349" i="15"/>
  <c r="D349" i="15"/>
  <c r="E349" i="15"/>
  <c r="F349" i="15"/>
  <c r="G349" i="15"/>
  <c r="H349" i="15"/>
  <c r="I349" i="15"/>
  <c r="J349" i="15"/>
  <c r="K349" i="15"/>
  <c r="L349" i="15"/>
  <c r="M349" i="15"/>
  <c r="N349" i="15"/>
  <c r="O349" i="15"/>
  <c r="P349" i="15"/>
  <c r="Q349" i="15"/>
  <c r="R349" i="15"/>
  <c r="S349" i="15"/>
  <c r="T349" i="15"/>
  <c r="U349" i="15"/>
  <c r="V349" i="15"/>
  <c r="W349" i="15"/>
  <c r="X349" i="15"/>
  <c r="Y349" i="15"/>
  <c r="Z349" i="15"/>
  <c r="AA349" i="15"/>
  <c r="AB349" i="15"/>
  <c r="AC349" i="15"/>
  <c r="AD349" i="15"/>
  <c r="AE349" i="15"/>
  <c r="AF349" i="15"/>
  <c r="AG349" i="15"/>
  <c r="AH349" i="15"/>
  <c r="AI349" i="15"/>
  <c r="AJ349" i="15"/>
  <c r="AK349" i="15"/>
  <c r="AL349" i="15"/>
  <c r="AM349" i="15"/>
  <c r="AN349" i="15"/>
  <c r="AO349" i="15"/>
  <c r="AP349" i="15"/>
  <c r="AQ349" i="15"/>
  <c r="AR349" i="15"/>
  <c r="AS349" i="15"/>
  <c r="AT349" i="15"/>
  <c r="AU349" i="15"/>
  <c r="AV349" i="15"/>
  <c r="AW349" i="15"/>
  <c r="AX349" i="15"/>
  <c r="AY349" i="15"/>
  <c r="AZ349" i="15"/>
  <c r="BA349" i="15"/>
  <c r="BB349" i="15"/>
  <c r="BC349" i="15"/>
  <c r="BD349" i="15"/>
  <c r="BE349" i="15"/>
  <c r="BF349" i="15"/>
  <c r="BG349" i="15"/>
  <c r="BH349" i="15"/>
  <c r="BI349" i="15"/>
  <c r="BJ349" i="15"/>
  <c r="BK349" i="15"/>
  <c r="BL349" i="15"/>
  <c r="BM349" i="15"/>
  <c r="BN349" i="15"/>
  <c r="BO349" i="15"/>
  <c r="BP349" i="15"/>
  <c r="BQ349" i="15"/>
  <c r="BR349" i="15"/>
  <c r="BS349" i="15"/>
  <c r="BT349" i="15"/>
  <c r="BU349" i="15"/>
  <c r="BV349" i="15"/>
  <c r="BW349" i="15"/>
  <c r="BX349" i="15"/>
  <c r="BY349" i="15"/>
  <c r="BZ349" i="15"/>
  <c r="CA349" i="15"/>
  <c r="CB349" i="15"/>
  <c r="CC349" i="15"/>
  <c r="CD349" i="15"/>
  <c r="CE349" i="15"/>
  <c r="CF349" i="15"/>
  <c r="CG349" i="15"/>
  <c r="CH349" i="15"/>
  <c r="CI349" i="15"/>
  <c r="CJ349" i="15"/>
  <c r="CK349" i="15"/>
  <c r="CL349" i="15"/>
  <c r="CM349" i="15"/>
  <c r="CN349" i="15"/>
  <c r="CO349" i="15"/>
  <c r="A350" i="15"/>
  <c r="B350" i="15"/>
  <c r="C350" i="15"/>
  <c r="D350" i="15"/>
  <c r="E350" i="15"/>
  <c r="F350" i="15"/>
  <c r="G350" i="15"/>
  <c r="H350" i="15"/>
  <c r="I350" i="15"/>
  <c r="J350" i="15"/>
  <c r="K350" i="15"/>
  <c r="L350" i="15"/>
  <c r="M350" i="15"/>
  <c r="N350" i="15"/>
  <c r="O350" i="15"/>
  <c r="P350" i="15"/>
  <c r="Q350" i="15"/>
  <c r="R350" i="15"/>
  <c r="S350" i="15"/>
  <c r="T350" i="15"/>
  <c r="U350" i="15"/>
  <c r="V350" i="15"/>
  <c r="W350" i="15"/>
  <c r="X350" i="15"/>
  <c r="Y350" i="15"/>
  <c r="Z350" i="15"/>
  <c r="AA350" i="15"/>
  <c r="AB350" i="15"/>
  <c r="AC350" i="15"/>
  <c r="AD350" i="15"/>
  <c r="AE350" i="15"/>
  <c r="AF350" i="15"/>
  <c r="AG350" i="15"/>
  <c r="AH350" i="15"/>
  <c r="AI350" i="15"/>
  <c r="AJ350" i="15"/>
  <c r="AK350" i="15"/>
  <c r="AL350" i="15"/>
  <c r="AM350" i="15"/>
  <c r="AN350" i="15"/>
  <c r="AO350" i="15"/>
  <c r="AP350" i="15"/>
  <c r="AQ350" i="15"/>
  <c r="AR350" i="15"/>
  <c r="AS350" i="15"/>
  <c r="AT350" i="15"/>
  <c r="AU350" i="15"/>
  <c r="AV350" i="15"/>
  <c r="AW350" i="15"/>
  <c r="AX350" i="15"/>
  <c r="AY350" i="15"/>
  <c r="AZ350" i="15"/>
  <c r="BA350" i="15"/>
  <c r="BB350" i="15"/>
  <c r="BC350" i="15"/>
  <c r="BD350" i="15"/>
  <c r="BE350" i="15"/>
  <c r="BF350" i="15"/>
  <c r="BG350" i="15"/>
  <c r="BH350" i="15"/>
  <c r="BI350" i="15"/>
  <c r="BJ350" i="15"/>
  <c r="BK350" i="15"/>
  <c r="BL350" i="15"/>
  <c r="BM350" i="15"/>
  <c r="BN350" i="15"/>
  <c r="BO350" i="15"/>
  <c r="BP350" i="15"/>
  <c r="BQ350" i="15"/>
  <c r="BR350" i="15"/>
  <c r="BS350" i="15"/>
  <c r="BT350" i="15"/>
  <c r="BU350" i="15"/>
  <c r="BV350" i="15"/>
  <c r="BW350" i="15"/>
  <c r="BX350" i="15"/>
  <c r="BY350" i="15"/>
  <c r="BZ350" i="15"/>
  <c r="CA350" i="15"/>
  <c r="CB350" i="15"/>
  <c r="CC350" i="15"/>
  <c r="CD350" i="15"/>
  <c r="CE350" i="15"/>
  <c r="CF350" i="15"/>
  <c r="CG350" i="15"/>
  <c r="CH350" i="15"/>
  <c r="CI350" i="15"/>
  <c r="CJ350" i="15"/>
  <c r="CK350" i="15"/>
  <c r="CL350" i="15"/>
  <c r="CM350" i="15"/>
  <c r="CN350" i="15"/>
  <c r="CO350" i="15"/>
  <c r="A351" i="15"/>
  <c r="B351" i="15"/>
  <c r="C351" i="15"/>
  <c r="D351" i="15"/>
  <c r="E351" i="15"/>
  <c r="F351" i="15"/>
  <c r="G351" i="15"/>
  <c r="H351" i="15"/>
  <c r="I351" i="15"/>
  <c r="J351" i="15"/>
  <c r="K351" i="15"/>
  <c r="L351" i="15"/>
  <c r="M351" i="15"/>
  <c r="N351" i="15"/>
  <c r="O351" i="15"/>
  <c r="P351" i="15"/>
  <c r="Q351" i="15"/>
  <c r="R351" i="15"/>
  <c r="S351" i="15"/>
  <c r="T351" i="15"/>
  <c r="U351" i="15"/>
  <c r="V351" i="15"/>
  <c r="W351" i="15"/>
  <c r="X351" i="15"/>
  <c r="Y351" i="15"/>
  <c r="Z351" i="15"/>
  <c r="AA351" i="15"/>
  <c r="AB351" i="15"/>
  <c r="AC351" i="15"/>
  <c r="AD351" i="15"/>
  <c r="AE351" i="15"/>
  <c r="AF351" i="15"/>
  <c r="AG351" i="15"/>
  <c r="AH351" i="15"/>
  <c r="AI351" i="15"/>
  <c r="AJ351" i="15"/>
  <c r="AK351" i="15"/>
  <c r="AL351" i="15"/>
  <c r="AM351" i="15"/>
  <c r="AN351" i="15"/>
  <c r="AO351" i="15"/>
  <c r="AP351" i="15"/>
  <c r="AQ351" i="15"/>
  <c r="AR351" i="15"/>
  <c r="AS351" i="15"/>
  <c r="AT351" i="15"/>
  <c r="AU351" i="15"/>
  <c r="AV351" i="15"/>
  <c r="AW351" i="15"/>
  <c r="AX351" i="15"/>
  <c r="AY351" i="15"/>
  <c r="AZ351" i="15"/>
  <c r="BA351" i="15"/>
  <c r="BB351" i="15"/>
  <c r="BC351" i="15"/>
  <c r="BD351" i="15"/>
  <c r="BE351" i="15"/>
  <c r="BF351" i="15"/>
  <c r="BG351" i="15"/>
  <c r="BH351" i="15"/>
  <c r="BI351" i="15"/>
  <c r="BJ351" i="15"/>
  <c r="BK351" i="15"/>
  <c r="BL351" i="15"/>
  <c r="BM351" i="15"/>
  <c r="BN351" i="15"/>
  <c r="BO351" i="15"/>
  <c r="BP351" i="15"/>
  <c r="BQ351" i="15"/>
  <c r="BR351" i="15"/>
  <c r="BS351" i="15"/>
  <c r="BT351" i="15"/>
  <c r="BU351" i="15"/>
  <c r="BV351" i="15"/>
  <c r="BW351" i="15"/>
  <c r="BX351" i="15"/>
  <c r="BY351" i="15"/>
  <c r="BZ351" i="15"/>
  <c r="CA351" i="15"/>
  <c r="CB351" i="15"/>
  <c r="CC351" i="15"/>
  <c r="CD351" i="15"/>
  <c r="CE351" i="15"/>
  <c r="CF351" i="15"/>
  <c r="CG351" i="15"/>
  <c r="CH351" i="15"/>
  <c r="CI351" i="15"/>
  <c r="CJ351" i="15"/>
  <c r="CK351" i="15"/>
  <c r="CL351" i="15"/>
  <c r="CM351" i="15"/>
  <c r="CN351" i="15"/>
  <c r="CO351" i="15"/>
  <c r="A352" i="15"/>
  <c r="B352" i="15"/>
  <c r="C352" i="15"/>
  <c r="D352" i="15"/>
  <c r="E352" i="15"/>
  <c r="F352" i="15"/>
  <c r="G352" i="15"/>
  <c r="H352" i="15"/>
  <c r="I352" i="15"/>
  <c r="J352" i="15"/>
  <c r="K352" i="15"/>
  <c r="L352" i="15"/>
  <c r="M352" i="15"/>
  <c r="N352" i="15"/>
  <c r="O352" i="15"/>
  <c r="P352" i="15"/>
  <c r="Q352" i="15"/>
  <c r="R352" i="15"/>
  <c r="S352" i="15"/>
  <c r="T352" i="15"/>
  <c r="U352" i="15"/>
  <c r="V352" i="15"/>
  <c r="W352" i="15"/>
  <c r="X352" i="15"/>
  <c r="Y352" i="15"/>
  <c r="Z352" i="15"/>
  <c r="AA352" i="15"/>
  <c r="AB352" i="15"/>
  <c r="AC352" i="15"/>
  <c r="AD352" i="15"/>
  <c r="AE352" i="15"/>
  <c r="AF352" i="15"/>
  <c r="AG352" i="15"/>
  <c r="AH352" i="15"/>
  <c r="AI352" i="15"/>
  <c r="AJ352" i="15"/>
  <c r="AK352" i="15"/>
  <c r="AL352" i="15"/>
  <c r="AM352" i="15"/>
  <c r="AN352" i="15"/>
  <c r="AO352" i="15"/>
  <c r="AP352" i="15"/>
  <c r="AQ352" i="15"/>
  <c r="AR352" i="15"/>
  <c r="AS352" i="15"/>
  <c r="AT352" i="15"/>
  <c r="AU352" i="15"/>
  <c r="AV352" i="15"/>
  <c r="AW352" i="15"/>
  <c r="AX352" i="15"/>
  <c r="AY352" i="15"/>
  <c r="AZ352" i="15"/>
  <c r="BA352" i="15"/>
  <c r="BB352" i="15"/>
  <c r="BC352" i="15"/>
  <c r="BD352" i="15"/>
  <c r="BE352" i="15"/>
  <c r="BF352" i="15"/>
  <c r="BG352" i="15"/>
  <c r="BH352" i="15"/>
  <c r="BI352" i="15"/>
  <c r="BJ352" i="15"/>
  <c r="BK352" i="15"/>
  <c r="BL352" i="15"/>
  <c r="BM352" i="15"/>
  <c r="BN352" i="15"/>
  <c r="BO352" i="15"/>
  <c r="BP352" i="15"/>
  <c r="BQ352" i="15"/>
  <c r="BR352" i="15"/>
  <c r="BS352" i="15"/>
  <c r="BT352" i="15"/>
  <c r="BU352" i="15"/>
  <c r="BV352" i="15"/>
  <c r="BW352" i="15"/>
  <c r="BX352" i="15"/>
  <c r="BY352" i="15"/>
  <c r="BZ352" i="15"/>
  <c r="CA352" i="15"/>
  <c r="CB352" i="15"/>
  <c r="CC352" i="15"/>
  <c r="CD352" i="15"/>
  <c r="CE352" i="15"/>
  <c r="CF352" i="15"/>
  <c r="CG352" i="15"/>
  <c r="CH352" i="15"/>
  <c r="CI352" i="15"/>
  <c r="CJ352" i="15"/>
  <c r="CK352" i="15"/>
  <c r="CL352" i="15"/>
  <c r="CM352" i="15"/>
  <c r="CN352" i="15"/>
  <c r="CO352" i="15"/>
  <c r="A353" i="15"/>
  <c r="B353" i="15"/>
  <c r="C353" i="15"/>
  <c r="D353" i="15"/>
  <c r="E353" i="15"/>
  <c r="F353" i="15"/>
  <c r="G353" i="15"/>
  <c r="H353" i="15"/>
  <c r="I353" i="15"/>
  <c r="J353" i="15"/>
  <c r="K353" i="15"/>
  <c r="L353" i="15"/>
  <c r="M353" i="15"/>
  <c r="N353" i="15"/>
  <c r="O353" i="15"/>
  <c r="P353" i="15"/>
  <c r="Q353" i="15"/>
  <c r="R353" i="15"/>
  <c r="S353" i="15"/>
  <c r="T353" i="15"/>
  <c r="U353" i="15"/>
  <c r="V353" i="15"/>
  <c r="W353" i="15"/>
  <c r="X353" i="15"/>
  <c r="Y353" i="15"/>
  <c r="Z353" i="15"/>
  <c r="AA353" i="15"/>
  <c r="AB353" i="15"/>
  <c r="AC353" i="15"/>
  <c r="AD353" i="15"/>
  <c r="AE353" i="15"/>
  <c r="AF353" i="15"/>
  <c r="AG353" i="15"/>
  <c r="AH353" i="15"/>
  <c r="AI353" i="15"/>
  <c r="AJ353" i="15"/>
  <c r="AK353" i="15"/>
  <c r="AL353" i="15"/>
  <c r="AM353" i="15"/>
  <c r="AN353" i="15"/>
  <c r="AO353" i="15"/>
  <c r="AP353" i="15"/>
  <c r="AQ353" i="15"/>
  <c r="AR353" i="15"/>
  <c r="AS353" i="15"/>
  <c r="AT353" i="15"/>
  <c r="AU353" i="15"/>
  <c r="AV353" i="15"/>
  <c r="AW353" i="15"/>
  <c r="AX353" i="15"/>
  <c r="AY353" i="15"/>
  <c r="AZ353" i="15"/>
  <c r="BA353" i="15"/>
  <c r="BB353" i="15"/>
  <c r="BC353" i="15"/>
  <c r="BD353" i="15"/>
  <c r="BE353" i="15"/>
  <c r="BF353" i="15"/>
  <c r="BG353" i="15"/>
  <c r="BH353" i="15"/>
  <c r="BI353" i="15"/>
  <c r="BJ353" i="15"/>
  <c r="BK353" i="15"/>
  <c r="BL353" i="15"/>
  <c r="BM353" i="15"/>
  <c r="BN353" i="15"/>
  <c r="BO353" i="15"/>
  <c r="BP353" i="15"/>
  <c r="BQ353" i="15"/>
  <c r="BR353" i="15"/>
  <c r="BS353" i="15"/>
  <c r="BT353" i="15"/>
  <c r="BU353" i="15"/>
  <c r="BV353" i="15"/>
  <c r="BW353" i="15"/>
  <c r="BX353" i="15"/>
  <c r="BY353" i="15"/>
  <c r="BZ353" i="15"/>
  <c r="CA353" i="15"/>
  <c r="CB353" i="15"/>
  <c r="CC353" i="15"/>
  <c r="CD353" i="15"/>
  <c r="CE353" i="15"/>
  <c r="CF353" i="15"/>
  <c r="CG353" i="15"/>
  <c r="CH353" i="15"/>
  <c r="CI353" i="15"/>
  <c r="CJ353" i="15"/>
  <c r="CK353" i="15"/>
  <c r="CL353" i="15"/>
  <c r="CM353" i="15"/>
  <c r="CN353" i="15"/>
  <c r="CO353" i="15"/>
  <c r="A354" i="15"/>
  <c r="B354" i="15"/>
  <c r="C354" i="15"/>
  <c r="D354" i="15"/>
  <c r="E354" i="15"/>
  <c r="F354" i="15"/>
  <c r="G354" i="15"/>
  <c r="H354" i="15"/>
  <c r="I354" i="15"/>
  <c r="J354" i="15"/>
  <c r="K354" i="15"/>
  <c r="L354" i="15"/>
  <c r="M354" i="15"/>
  <c r="N354" i="15"/>
  <c r="O354" i="15"/>
  <c r="P354" i="15"/>
  <c r="Q354" i="15"/>
  <c r="R354" i="15"/>
  <c r="S354" i="15"/>
  <c r="T354" i="15"/>
  <c r="U354" i="15"/>
  <c r="V354" i="15"/>
  <c r="W354" i="15"/>
  <c r="X354" i="15"/>
  <c r="Y354" i="15"/>
  <c r="Z354" i="15"/>
  <c r="AA354" i="15"/>
  <c r="AB354" i="15"/>
  <c r="AC354" i="15"/>
  <c r="AD354" i="15"/>
  <c r="AE354" i="15"/>
  <c r="AF354" i="15"/>
  <c r="AG354" i="15"/>
  <c r="AH354" i="15"/>
  <c r="AI354" i="15"/>
  <c r="AJ354" i="15"/>
  <c r="AK354" i="15"/>
  <c r="AL354" i="15"/>
  <c r="AM354" i="15"/>
  <c r="AN354" i="15"/>
  <c r="AO354" i="15"/>
  <c r="AP354" i="15"/>
  <c r="AQ354" i="15"/>
  <c r="AR354" i="15"/>
  <c r="AS354" i="15"/>
  <c r="AT354" i="15"/>
  <c r="AU354" i="15"/>
  <c r="AV354" i="15"/>
  <c r="AW354" i="15"/>
  <c r="AX354" i="15"/>
  <c r="AY354" i="15"/>
  <c r="AZ354" i="15"/>
  <c r="BA354" i="15"/>
  <c r="BB354" i="15"/>
  <c r="BC354" i="15"/>
  <c r="BD354" i="15"/>
  <c r="BE354" i="15"/>
  <c r="BF354" i="15"/>
  <c r="BG354" i="15"/>
  <c r="BH354" i="15"/>
  <c r="BI354" i="15"/>
  <c r="BJ354" i="15"/>
  <c r="BK354" i="15"/>
  <c r="BL354" i="15"/>
  <c r="BM354" i="15"/>
  <c r="BN354" i="15"/>
  <c r="BO354" i="15"/>
  <c r="BP354" i="15"/>
  <c r="BQ354" i="15"/>
  <c r="BR354" i="15"/>
  <c r="BS354" i="15"/>
  <c r="BT354" i="15"/>
  <c r="BU354" i="15"/>
  <c r="BV354" i="15"/>
  <c r="BW354" i="15"/>
  <c r="BX354" i="15"/>
  <c r="BY354" i="15"/>
  <c r="BZ354" i="15"/>
  <c r="CA354" i="15"/>
  <c r="CB354" i="15"/>
  <c r="CC354" i="15"/>
  <c r="CD354" i="15"/>
  <c r="CE354" i="15"/>
  <c r="CF354" i="15"/>
  <c r="CG354" i="15"/>
  <c r="CH354" i="15"/>
  <c r="CI354" i="15"/>
  <c r="CJ354" i="15"/>
  <c r="CK354" i="15"/>
  <c r="CL354" i="15"/>
  <c r="CM354" i="15"/>
  <c r="CN354" i="15"/>
  <c r="CO354" i="15"/>
  <c r="A355" i="15"/>
  <c r="B355" i="15"/>
  <c r="C355" i="15"/>
  <c r="D355" i="15"/>
  <c r="E355" i="15"/>
  <c r="F355" i="15"/>
  <c r="G355" i="15"/>
  <c r="H355" i="15"/>
  <c r="I355" i="15"/>
  <c r="J355" i="15"/>
  <c r="K355" i="15"/>
  <c r="L355" i="15"/>
  <c r="M355" i="15"/>
  <c r="N355" i="15"/>
  <c r="O355" i="15"/>
  <c r="P355" i="15"/>
  <c r="Q355" i="15"/>
  <c r="R355" i="15"/>
  <c r="S355" i="15"/>
  <c r="T355" i="15"/>
  <c r="U355" i="15"/>
  <c r="V355" i="15"/>
  <c r="W355" i="15"/>
  <c r="X355" i="15"/>
  <c r="Y355" i="15"/>
  <c r="Z355" i="15"/>
  <c r="AA355" i="15"/>
  <c r="AB355" i="15"/>
  <c r="AC355" i="15"/>
  <c r="AD355" i="15"/>
  <c r="AE355" i="15"/>
  <c r="AF355" i="15"/>
  <c r="AG355" i="15"/>
  <c r="AH355" i="15"/>
  <c r="AI355" i="15"/>
  <c r="AJ355" i="15"/>
  <c r="AK355" i="15"/>
  <c r="AL355" i="15"/>
  <c r="AM355" i="15"/>
  <c r="AN355" i="15"/>
  <c r="AO355" i="15"/>
  <c r="AP355" i="15"/>
  <c r="AQ355" i="15"/>
  <c r="AR355" i="15"/>
  <c r="AS355" i="15"/>
  <c r="AT355" i="15"/>
  <c r="AU355" i="15"/>
  <c r="AV355" i="15"/>
  <c r="AW355" i="15"/>
  <c r="AX355" i="15"/>
  <c r="AY355" i="15"/>
  <c r="AZ355" i="15"/>
  <c r="BA355" i="15"/>
  <c r="BB355" i="15"/>
  <c r="BC355" i="15"/>
  <c r="BD355" i="15"/>
  <c r="BE355" i="15"/>
  <c r="BF355" i="15"/>
  <c r="BG355" i="15"/>
  <c r="BH355" i="15"/>
  <c r="BI355" i="15"/>
  <c r="BJ355" i="15"/>
  <c r="BK355" i="15"/>
  <c r="BL355" i="15"/>
  <c r="BM355" i="15"/>
  <c r="BN355" i="15"/>
  <c r="BO355" i="15"/>
  <c r="BP355" i="15"/>
  <c r="BQ355" i="15"/>
  <c r="BR355" i="15"/>
  <c r="BS355" i="15"/>
  <c r="BT355" i="15"/>
  <c r="BU355" i="15"/>
  <c r="BV355" i="15"/>
  <c r="BW355" i="15"/>
  <c r="BX355" i="15"/>
  <c r="BY355" i="15"/>
  <c r="BZ355" i="15"/>
  <c r="CA355" i="15"/>
  <c r="CB355" i="15"/>
  <c r="CC355" i="15"/>
  <c r="CD355" i="15"/>
  <c r="CE355" i="15"/>
  <c r="CF355" i="15"/>
  <c r="CG355" i="15"/>
  <c r="CH355" i="15"/>
  <c r="CI355" i="15"/>
  <c r="CJ355" i="15"/>
  <c r="CK355" i="15"/>
  <c r="CL355" i="15"/>
  <c r="CM355" i="15"/>
  <c r="CN355" i="15"/>
  <c r="CO355" i="15"/>
  <c r="A356" i="15"/>
  <c r="B356" i="15"/>
  <c r="C356" i="15"/>
  <c r="D356" i="15"/>
  <c r="E356" i="15"/>
  <c r="F356" i="15"/>
  <c r="G356" i="15"/>
  <c r="H356" i="15"/>
  <c r="I356" i="15"/>
  <c r="J356" i="15"/>
  <c r="K356" i="15"/>
  <c r="L356" i="15"/>
  <c r="M356" i="15"/>
  <c r="N356" i="15"/>
  <c r="O356" i="15"/>
  <c r="P356" i="15"/>
  <c r="Q356" i="15"/>
  <c r="R356" i="15"/>
  <c r="S356" i="15"/>
  <c r="T356" i="15"/>
  <c r="U356" i="15"/>
  <c r="V356" i="15"/>
  <c r="W356" i="15"/>
  <c r="X356" i="15"/>
  <c r="Y356" i="15"/>
  <c r="Z356" i="15"/>
  <c r="AA356" i="15"/>
  <c r="AB356" i="15"/>
  <c r="AC356" i="15"/>
  <c r="AD356" i="15"/>
  <c r="AE356" i="15"/>
  <c r="AF356" i="15"/>
  <c r="AG356" i="15"/>
  <c r="AH356" i="15"/>
  <c r="AI356" i="15"/>
  <c r="AJ356" i="15"/>
  <c r="AK356" i="15"/>
  <c r="AL356" i="15"/>
  <c r="AM356" i="15"/>
  <c r="AN356" i="15"/>
  <c r="AO356" i="15"/>
  <c r="AP356" i="15"/>
  <c r="AQ356" i="15"/>
  <c r="AR356" i="15"/>
  <c r="AS356" i="15"/>
  <c r="AT356" i="15"/>
  <c r="AU356" i="15"/>
  <c r="AV356" i="15"/>
  <c r="AW356" i="15"/>
  <c r="AX356" i="15"/>
  <c r="AY356" i="15"/>
  <c r="AZ356" i="15"/>
  <c r="BA356" i="15"/>
  <c r="BB356" i="15"/>
  <c r="BC356" i="15"/>
  <c r="BD356" i="15"/>
  <c r="BE356" i="15"/>
  <c r="BF356" i="15"/>
  <c r="BG356" i="15"/>
  <c r="BH356" i="15"/>
  <c r="BI356" i="15"/>
  <c r="BJ356" i="15"/>
  <c r="BK356" i="15"/>
  <c r="BL356" i="15"/>
  <c r="BM356" i="15"/>
  <c r="BN356" i="15"/>
  <c r="BO356" i="15"/>
  <c r="BP356" i="15"/>
  <c r="BQ356" i="15"/>
  <c r="BR356" i="15"/>
  <c r="BS356" i="15"/>
  <c r="BT356" i="15"/>
  <c r="BU356" i="15"/>
  <c r="BV356" i="15"/>
  <c r="BW356" i="15"/>
  <c r="BX356" i="15"/>
  <c r="BY356" i="15"/>
  <c r="BZ356" i="15"/>
  <c r="CA356" i="15"/>
  <c r="CB356" i="15"/>
  <c r="CC356" i="15"/>
  <c r="CD356" i="15"/>
  <c r="CE356" i="15"/>
  <c r="CF356" i="15"/>
  <c r="CG356" i="15"/>
  <c r="CH356" i="15"/>
  <c r="CI356" i="15"/>
  <c r="CJ356" i="15"/>
  <c r="CK356" i="15"/>
  <c r="CL356" i="15"/>
  <c r="CM356" i="15"/>
  <c r="CN356" i="15"/>
  <c r="CO356" i="15"/>
  <c r="A357" i="15"/>
  <c r="B357" i="15"/>
  <c r="C357" i="15"/>
  <c r="D357" i="15"/>
  <c r="E357" i="15"/>
  <c r="F357" i="15"/>
  <c r="G357" i="15"/>
  <c r="H357" i="15"/>
  <c r="I357" i="15"/>
  <c r="J357" i="15"/>
  <c r="K357" i="15"/>
  <c r="L357" i="15"/>
  <c r="M357" i="15"/>
  <c r="N357" i="15"/>
  <c r="O357" i="15"/>
  <c r="P357" i="15"/>
  <c r="Q357" i="15"/>
  <c r="R357" i="15"/>
  <c r="S357" i="15"/>
  <c r="T357" i="15"/>
  <c r="U357" i="15"/>
  <c r="V357" i="15"/>
  <c r="W357" i="15"/>
  <c r="X357" i="15"/>
  <c r="Y357" i="15"/>
  <c r="Z357" i="15"/>
  <c r="AA357" i="15"/>
  <c r="AB357" i="15"/>
  <c r="AC357" i="15"/>
  <c r="AD357" i="15"/>
  <c r="AE357" i="15"/>
  <c r="AF357" i="15"/>
  <c r="AG357" i="15"/>
  <c r="AH357" i="15"/>
  <c r="AI357" i="15"/>
  <c r="AJ357" i="15"/>
  <c r="AK357" i="15"/>
  <c r="AL357" i="15"/>
  <c r="AM357" i="15"/>
  <c r="AN357" i="15"/>
  <c r="AO357" i="15"/>
  <c r="AP357" i="15"/>
  <c r="AQ357" i="15"/>
  <c r="AR357" i="15"/>
  <c r="AS357" i="15"/>
  <c r="AT357" i="15"/>
  <c r="AU357" i="15"/>
  <c r="AV357" i="15"/>
  <c r="AW357" i="15"/>
  <c r="AX357" i="15"/>
  <c r="AY357" i="15"/>
  <c r="AZ357" i="15"/>
  <c r="BA357" i="15"/>
  <c r="BB357" i="15"/>
  <c r="BC357" i="15"/>
  <c r="BD357" i="15"/>
  <c r="BE357" i="15"/>
  <c r="BF357" i="15"/>
  <c r="BG357" i="15"/>
  <c r="BH357" i="15"/>
  <c r="BI357" i="15"/>
  <c r="BJ357" i="15"/>
  <c r="BK357" i="15"/>
  <c r="BL357" i="15"/>
  <c r="BM357" i="15"/>
  <c r="BN357" i="15"/>
  <c r="BO357" i="15"/>
  <c r="BP357" i="15"/>
  <c r="BQ357" i="15"/>
  <c r="BR357" i="15"/>
  <c r="BS357" i="15"/>
  <c r="BT357" i="15"/>
  <c r="BU357" i="15"/>
  <c r="BV357" i="15"/>
  <c r="BW357" i="15"/>
  <c r="BX357" i="15"/>
  <c r="BY357" i="15"/>
  <c r="BZ357" i="15"/>
  <c r="CA357" i="15"/>
  <c r="CB357" i="15"/>
  <c r="CC357" i="15"/>
  <c r="CD357" i="15"/>
  <c r="CE357" i="15"/>
  <c r="CF357" i="15"/>
  <c r="CG357" i="15"/>
  <c r="CH357" i="15"/>
  <c r="CI357" i="15"/>
  <c r="CJ357" i="15"/>
  <c r="CK357" i="15"/>
  <c r="CL357" i="15"/>
  <c r="CM357" i="15"/>
  <c r="CN357" i="15"/>
  <c r="CO357" i="15"/>
  <c r="A358" i="15"/>
  <c r="B358" i="15"/>
  <c r="C358" i="15"/>
  <c r="D358" i="15"/>
  <c r="E358" i="15"/>
  <c r="F358" i="15"/>
  <c r="G358" i="15"/>
  <c r="H358" i="15"/>
  <c r="I358" i="15"/>
  <c r="J358" i="15"/>
  <c r="K358" i="15"/>
  <c r="L358" i="15"/>
  <c r="M358" i="15"/>
  <c r="N358" i="15"/>
  <c r="O358" i="15"/>
  <c r="P358" i="15"/>
  <c r="Q358" i="15"/>
  <c r="R358" i="15"/>
  <c r="S358" i="15"/>
  <c r="T358" i="15"/>
  <c r="U358" i="15"/>
  <c r="V358" i="15"/>
  <c r="W358" i="15"/>
  <c r="X358" i="15"/>
  <c r="Y358" i="15"/>
  <c r="Z358" i="15"/>
  <c r="AA358" i="15"/>
  <c r="AB358" i="15"/>
  <c r="AC358" i="15"/>
  <c r="AD358" i="15"/>
  <c r="AE358" i="15"/>
  <c r="AF358" i="15"/>
  <c r="AG358" i="15"/>
  <c r="AH358" i="15"/>
  <c r="AI358" i="15"/>
  <c r="AJ358" i="15"/>
  <c r="AK358" i="15"/>
  <c r="AL358" i="15"/>
  <c r="AM358" i="15"/>
  <c r="AN358" i="15"/>
  <c r="AO358" i="15"/>
  <c r="AP358" i="15"/>
  <c r="AQ358" i="15"/>
  <c r="AR358" i="15"/>
  <c r="AS358" i="15"/>
  <c r="AT358" i="15"/>
  <c r="AU358" i="15"/>
  <c r="AV358" i="15"/>
  <c r="AW358" i="15"/>
  <c r="AX358" i="15"/>
  <c r="AY358" i="15"/>
  <c r="AZ358" i="15"/>
  <c r="BA358" i="15"/>
  <c r="BB358" i="15"/>
  <c r="BC358" i="15"/>
  <c r="BD358" i="15"/>
  <c r="BE358" i="15"/>
  <c r="BF358" i="15"/>
  <c r="BG358" i="15"/>
  <c r="BH358" i="15"/>
  <c r="BI358" i="15"/>
  <c r="BJ358" i="15"/>
  <c r="BK358" i="15"/>
  <c r="BL358" i="15"/>
  <c r="BM358" i="15"/>
  <c r="BN358" i="15"/>
  <c r="BO358" i="15"/>
  <c r="BP358" i="15"/>
  <c r="BQ358" i="15"/>
  <c r="BR358" i="15"/>
  <c r="BS358" i="15"/>
  <c r="BT358" i="15"/>
  <c r="BU358" i="15"/>
  <c r="BV358" i="15"/>
  <c r="BW358" i="15"/>
  <c r="BX358" i="15"/>
  <c r="BY358" i="15"/>
  <c r="BZ358" i="15"/>
  <c r="CA358" i="15"/>
  <c r="CB358" i="15"/>
  <c r="CC358" i="15"/>
  <c r="CD358" i="15"/>
  <c r="CE358" i="15"/>
  <c r="CF358" i="15"/>
  <c r="CG358" i="15"/>
  <c r="CH358" i="15"/>
  <c r="CI358" i="15"/>
  <c r="CJ358" i="15"/>
  <c r="CK358" i="15"/>
  <c r="CL358" i="15"/>
  <c r="CM358" i="15"/>
  <c r="CN358" i="15"/>
  <c r="CO358" i="15"/>
  <c r="A359" i="15"/>
  <c r="B359" i="15"/>
  <c r="C359" i="15"/>
  <c r="D359" i="15"/>
  <c r="E359" i="15"/>
  <c r="F359" i="15"/>
  <c r="G359" i="15"/>
  <c r="H359" i="15"/>
  <c r="I359" i="15"/>
  <c r="J359" i="15"/>
  <c r="K359" i="15"/>
  <c r="L359" i="15"/>
  <c r="M359" i="15"/>
  <c r="N359" i="15"/>
  <c r="O359" i="15"/>
  <c r="P359" i="15"/>
  <c r="Q359" i="15"/>
  <c r="R359" i="15"/>
  <c r="S359" i="15"/>
  <c r="T359" i="15"/>
  <c r="U359" i="15"/>
  <c r="V359" i="15"/>
  <c r="W359" i="15"/>
  <c r="X359" i="15"/>
  <c r="Y359" i="15"/>
  <c r="Z359" i="15"/>
  <c r="AA359" i="15"/>
  <c r="AB359" i="15"/>
  <c r="AC359" i="15"/>
  <c r="AD359" i="15"/>
  <c r="AE359" i="15"/>
  <c r="AF359" i="15"/>
  <c r="AG359" i="15"/>
  <c r="AH359" i="15"/>
  <c r="AI359" i="15"/>
  <c r="AJ359" i="15"/>
  <c r="AK359" i="15"/>
  <c r="AL359" i="15"/>
  <c r="AM359" i="15"/>
  <c r="AN359" i="15"/>
  <c r="AO359" i="15"/>
  <c r="AP359" i="15"/>
  <c r="AQ359" i="15"/>
  <c r="AR359" i="15"/>
  <c r="AS359" i="15"/>
  <c r="AT359" i="15"/>
  <c r="AU359" i="15"/>
  <c r="AV359" i="15"/>
  <c r="AW359" i="15"/>
  <c r="AX359" i="15"/>
  <c r="AY359" i="15"/>
  <c r="AZ359" i="15"/>
  <c r="BA359" i="15"/>
  <c r="BB359" i="15"/>
  <c r="BC359" i="15"/>
  <c r="BD359" i="15"/>
  <c r="BE359" i="15"/>
  <c r="BF359" i="15"/>
  <c r="BG359" i="15"/>
  <c r="BH359" i="15"/>
  <c r="BI359" i="15"/>
  <c r="BJ359" i="15"/>
  <c r="BK359" i="15"/>
  <c r="BL359" i="15"/>
  <c r="BM359" i="15"/>
  <c r="BN359" i="15"/>
  <c r="BO359" i="15"/>
  <c r="BP359" i="15"/>
  <c r="BQ359" i="15"/>
  <c r="BR359" i="15"/>
  <c r="BS359" i="15"/>
  <c r="BT359" i="15"/>
  <c r="BU359" i="15"/>
  <c r="BV359" i="15"/>
  <c r="BW359" i="15"/>
  <c r="BX359" i="15"/>
  <c r="BY359" i="15"/>
  <c r="BZ359" i="15"/>
  <c r="CA359" i="15"/>
  <c r="CB359" i="15"/>
  <c r="CC359" i="15"/>
  <c r="CD359" i="15"/>
  <c r="CE359" i="15"/>
  <c r="CF359" i="15"/>
  <c r="CG359" i="15"/>
  <c r="CH359" i="15"/>
  <c r="CI359" i="15"/>
  <c r="CJ359" i="15"/>
  <c r="CK359" i="15"/>
  <c r="CL359" i="15"/>
  <c r="CM359" i="15"/>
  <c r="CN359" i="15"/>
  <c r="CO359" i="15"/>
  <c r="A360" i="15"/>
  <c r="B360" i="15"/>
  <c r="C360" i="15"/>
  <c r="D360" i="15"/>
  <c r="E360" i="15"/>
  <c r="F360" i="15"/>
  <c r="G360" i="15"/>
  <c r="H360" i="15"/>
  <c r="I360" i="15"/>
  <c r="J360" i="15"/>
  <c r="K360" i="15"/>
  <c r="L360" i="15"/>
  <c r="M360" i="15"/>
  <c r="N360" i="15"/>
  <c r="O360" i="15"/>
  <c r="P360" i="15"/>
  <c r="Q360" i="15"/>
  <c r="R360" i="15"/>
  <c r="S360" i="15"/>
  <c r="T360" i="15"/>
  <c r="U360" i="15"/>
  <c r="V360" i="15"/>
  <c r="W360" i="15"/>
  <c r="X360" i="15"/>
  <c r="Y360" i="15"/>
  <c r="Z360" i="15"/>
  <c r="AA360" i="15"/>
  <c r="AB360" i="15"/>
  <c r="AC360" i="15"/>
  <c r="AD360" i="15"/>
  <c r="AE360" i="15"/>
  <c r="AF360" i="15"/>
  <c r="AG360" i="15"/>
  <c r="AH360" i="15"/>
  <c r="AI360" i="15"/>
  <c r="AJ360" i="15"/>
  <c r="AK360" i="15"/>
  <c r="AL360" i="15"/>
  <c r="AM360" i="15"/>
  <c r="AN360" i="15"/>
  <c r="AO360" i="15"/>
  <c r="AP360" i="15"/>
  <c r="AQ360" i="15"/>
  <c r="AR360" i="15"/>
  <c r="AS360" i="15"/>
  <c r="AT360" i="15"/>
  <c r="AU360" i="15"/>
  <c r="AV360" i="15"/>
  <c r="AW360" i="15"/>
  <c r="AX360" i="15"/>
  <c r="AY360" i="15"/>
  <c r="AZ360" i="15"/>
  <c r="BA360" i="15"/>
  <c r="BB360" i="15"/>
  <c r="BC360" i="15"/>
  <c r="BD360" i="15"/>
  <c r="BE360" i="15"/>
  <c r="BF360" i="15"/>
  <c r="BG360" i="15"/>
  <c r="BH360" i="15"/>
  <c r="BI360" i="15"/>
  <c r="BJ360" i="15"/>
  <c r="BK360" i="15"/>
  <c r="BL360" i="15"/>
  <c r="BM360" i="15"/>
  <c r="BN360" i="15"/>
  <c r="BO360" i="15"/>
  <c r="BP360" i="15"/>
  <c r="BQ360" i="15"/>
  <c r="BR360" i="15"/>
  <c r="BS360" i="15"/>
  <c r="BT360" i="15"/>
  <c r="BU360" i="15"/>
  <c r="BV360" i="15"/>
  <c r="BW360" i="15"/>
  <c r="BX360" i="15"/>
  <c r="BY360" i="15"/>
  <c r="BZ360" i="15"/>
  <c r="CA360" i="15"/>
  <c r="CB360" i="15"/>
  <c r="CC360" i="15"/>
  <c r="CD360" i="15"/>
  <c r="CE360" i="15"/>
  <c r="CF360" i="15"/>
  <c r="CG360" i="15"/>
  <c r="CH360" i="15"/>
  <c r="CI360" i="15"/>
  <c r="CJ360" i="15"/>
  <c r="CK360" i="15"/>
  <c r="CL360" i="15"/>
  <c r="CM360" i="15"/>
  <c r="CN360" i="15"/>
  <c r="CO360" i="15"/>
  <c r="A361" i="15"/>
  <c r="B361" i="15"/>
  <c r="C361" i="15"/>
  <c r="D361" i="15"/>
  <c r="E361" i="15"/>
  <c r="F361" i="15"/>
  <c r="G361" i="15"/>
  <c r="H361" i="15"/>
  <c r="I361" i="15"/>
  <c r="J361" i="15"/>
  <c r="K361" i="15"/>
  <c r="L361" i="15"/>
  <c r="M361" i="15"/>
  <c r="N361" i="15"/>
  <c r="O361" i="15"/>
  <c r="P361" i="15"/>
  <c r="Q361" i="15"/>
  <c r="R361" i="15"/>
  <c r="S361" i="15"/>
  <c r="T361" i="15"/>
  <c r="U361" i="15"/>
  <c r="V361" i="15"/>
  <c r="W361" i="15"/>
  <c r="X361" i="15"/>
  <c r="Y361" i="15"/>
  <c r="Z361" i="15"/>
  <c r="AA361" i="15"/>
  <c r="AB361" i="15"/>
  <c r="AC361" i="15"/>
  <c r="AD361" i="15"/>
  <c r="AE361" i="15"/>
  <c r="AF361" i="15"/>
  <c r="AG361" i="15"/>
  <c r="AH361" i="15"/>
  <c r="AI361" i="15"/>
  <c r="AJ361" i="15"/>
  <c r="AK361" i="15"/>
  <c r="AL361" i="15"/>
  <c r="AM361" i="15"/>
  <c r="AN361" i="15"/>
  <c r="AO361" i="15"/>
  <c r="AP361" i="15"/>
  <c r="AQ361" i="15"/>
  <c r="AR361" i="15"/>
  <c r="AS361" i="15"/>
  <c r="AT361" i="15"/>
  <c r="AU361" i="15"/>
  <c r="AV361" i="15"/>
  <c r="AW361" i="15"/>
  <c r="AX361" i="15"/>
  <c r="AY361" i="15"/>
  <c r="AZ361" i="15"/>
  <c r="BA361" i="15"/>
  <c r="BB361" i="15"/>
  <c r="BC361" i="15"/>
  <c r="BD361" i="15"/>
  <c r="BE361" i="15"/>
  <c r="BF361" i="15"/>
  <c r="BG361" i="15"/>
  <c r="BH361" i="15"/>
  <c r="BI361" i="15"/>
  <c r="BJ361" i="15"/>
  <c r="BK361" i="15"/>
  <c r="BL361" i="15"/>
  <c r="BM361" i="15"/>
  <c r="BN361" i="15"/>
  <c r="BO361" i="15"/>
  <c r="BP361" i="15"/>
  <c r="BQ361" i="15"/>
  <c r="BR361" i="15"/>
  <c r="BS361" i="15"/>
  <c r="BT361" i="15"/>
  <c r="BU361" i="15"/>
  <c r="BV361" i="15"/>
  <c r="BW361" i="15"/>
  <c r="BX361" i="15"/>
  <c r="BY361" i="15"/>
  <c r="BZ361" i="15"/>
  <c r="CA361" i="15"/>
  <c r="CB361" i="15"/>
  <c r="CC361" i="15"/>
  <c r="CD361" i="15"/>
  <c r="CE361" i="15"/>
  <c r="CF361" i="15"/>
  <c r="CG361" i="15"/>
  <c r="CH361" i="15"/>
  <c r="CI361" i="15"/>
  <c r="CJ361" i="15"/>
  <c r="CK361" i="15"/>
  <c r="CL361" i="15"/>
  <c r="CM361" i="15"/>
  <c r="CN361" i="15"/>
  <c r="CO361" i="15"/>
  <c r="A362" i="15"/>
  <c r="B362" i="15"/>
  <c r="C362" i="15"/>
  <c r="D362" i="15"/>
  <c r="E362" i="15"/>
  <c r="F362" i="15"/>
  <c r="G362" i="15"/>
  <c r="H362" i="15"/>
  <c r="I362" i="15"/>
  <c r="J362" i="15"/>
  <c r="K362" i="15"/>
  <c r="L362" i="15"/>
  <c r="M362" i="15"/>
  <c r="N362" i="15"/>
  <c r="O362" i="15"/>
  <c r="P362" i="15"/>
  <c r="Q362" i="15"/>
  <c r="R362" i="15"/>
  <c r="S362" i="15"/>
  <c r="T362" i="15"/>
  <c r="U362" i="15"/>
  <c r="V362" i="15"/>
  <c r="W362" i="15"/>
  <c r="X362" i="15"/>
  <c r="Y362" i="15"/>
  <c r="Z362" i="15"/>
  <c r="AA362" i="15"/>
  <c r="AB362" i="15"/>
  <c r="AC362" i="15"/>
  <c r="AD362" i="15"/>
  <c r="AE362" i="15"/>
  <c r="AF362" i="15"/>
  <c r="AG362" i="15"/>
  <c r="AH362" i="15"/>
  <c r="AI362" i="15"/>
  <c r="AJ362" i="15"/>
  <c r="AK362" i="15"/>
  <c r="AL362" i="15"/>
  <c r="AM362" i="15"/>
  <c r="AN362" i="15"/>
  <c r="AO362" i="15"/>
  <c r="AP362" i="15"/>
  <c r="AQ362" i="15"/>
  <c r="AR362" i="15"/>
  <c r="AS362" i="15"/>
  <c r="AT362" i="15"/>
  <c r="AU362" i="15"/>
  <c r="AV362" i="15"/>
  <c r="AW362" i="15"/>
  <c r="AX362" i="15"/>
  <c r="AY362" i="15"/>
  <c r="AZ362" i="15"/>
  <c r="BA362" i="15"/>
  <c r="BB362" i="15"/>
  <c r="BC362" i="15"/>
  <c r="BD362" i="15"/>
  <c r="BE362" i="15"/>
  <c r="BF362" i="15"/>
  <c r="BG362" i="15"/>
  <c r="BH362" i="15"/>
  <c r="BI362" i="15"/>
  <c r="BJ362" i="15"/>
  <c r="BK362" i="15"/>
  <c r="BL362" i="15"/>
  <c r="BM362" i="15"/>
  <c r="BN362" i="15"/>
  <c r="BO362" i="15"/>
  <c r="BP362" i="15"/>
  <c r="BQ362" i="15"/>
  <c r="BR362" i="15"/>
  <c r="BS362" i="15"/>
  <c r="BT362" i="15"/>
  <c r="BU362" i="15"/>
  <c r="BV362" i="15"/>
  <c r="BW362" i="15"/>
  <c r="BX362" i="15"/>
  <c r="BY362" i="15"/>
  <c r="BZ362" i="15"/>
  <c r="CA362" i="15"/>
  <c r="CB362" i="15"/>
  <c r="CC362" i="15"/>
  <c r="CD362" i="15"/>
  <c r="CE362" i="15"/>
  <c r="CF362" i="15"/>
  <c r="CG362" i="15"/>
  <c r="CH362" i="15"/>
  <c r="CI362" i="15"/>
  <c r="CJ362" i="15"/>
  <c r="CK362" i="15"/>
  <c r="CL362" i="15"/>
  <c r="CM362" i="15"/>
  <c r="CN362" i="15"/>
  <c r="CO362" i="15"/>
  <c r="A363" i="15"/>
  <c r="B363" i="15"/>
  <c r="C363" i="15"/>
  <c r="D363" i="15"/>
  <c r="E363" i="15"/>
  <c r="F363" i="15"/>
  <c r="G363" i="15"/>
  <c r="H363" i="15"/>
  <c r="I363" i="15"/>
  <c r="J363" i="15"/>
  <c r="K363" i="15"/>
  <c r="L363" i="15"/>
  <c r="M363" i="15"/>
  <c r="N363" i="15"/>
  <c r="O363" i="15"/>
  <c r="P363" i="15"/>
  <c r="Q363" i="15"/>
  <c r="R363" i="15"/>
  <c r="S363" i="15"/>
  <c r="T363" i="15"/>
  <c r="U363" i="15"/>
  <c r="V363" i="15"/>
  <c r="W363" i="15"/>
  <c r="X363" i="15"/>
  <c r="Y363" i="15"/>
  <c r="Z363" i="15"/>
  <c r="AA363" i="15"/>
  <c r="AB363" i="15"/>
  <c r="AC363" i="15"/>
  <c r="AD363" i="15"/>
  <c r="AE363" i="15"/>
  <c r="AF363" i="15"/>
  <c r="AG363" i="15"/>
  <c r="AH363" i="15"/>
  <c r="AI363" i="15"/>
  <c r="AJ363" i="15"/>
  <c r="AK363" i="15"/>
  <c r="AL363" i="15"/>
  <c r="AM363" i="15"/>
  <c r="AN363" i="15"/>
  <c r="AO363" i="15"/>
  <c r="AP363" i="15"/>
  <c r="AQ363" i="15"/>
  <c r="AR363" i="15"/>
  <c r="AS363" i="15"/>
  <c r="AT363" i="15"/>
  <c r="AU363" i="15"/>
  <c r="AV363" i="15"/>
  <c r="AW363" i="15"/>
  <c r="AX363" i="15"/>
  <c r="AY363" i="15"/>
  <c r="AZ363" i="15"/>
  <c r="BA363" i="15"/>
  <c r="BB363" i="15"/>
  <c r="BC363" i="15"/>
  <c r="BD363" i="15"/>
  <c r="BE363" i="15"/>
  <c r="BF363" i="15"/>
  <c r="BG363" i="15"/>
  <c r="BH363" i="15"/>
  <c r="BI363" i="15"/>
  <c r="BJ363" i="15"/>
  <c r="BK363" i="15"/>
  <c r="BL363" i="15"/>
  <c r="BM363" i="15"/>
  <c r="BN363" i="15"/>
  <c r="BO363" i="15"/>
  <c r="BP363" i="15"/>
  <c r="BQ363" i="15"/>
  <c r="BR363" i="15"/>
  <c r="BS363" i="15"/>
  <c r="BT363" i="15"/>
  <c r="BU363" i="15"/>
  <c r="BV363" i="15"/>
  <c r="BW363" i="15"/>
  <c r="BX363" i="15"/>
  <c r="BY363" i="15"/>
  <c r="BZ363" i="15"/>
  <c r="CA363" i="15"/>
  <c r="CB363" i="15"/>
  <c r="CC363" i="15"/>
  <c r="CD363" i="15"/>
  <c r="CE363" i="15"/>
  <c r="CF363" i="15"/>
  <c r="CG363" i="15"/>
  <c r="CH363" i="15"/>
  <c r="CI363" i="15"/>
  <c r="CJ363" i="15"/>
  <c r="CK363" i="15"/>
  <c r="CL363" i="15"/>
  <c r="CM363" i="15"/>
  <c r="CN363" i="15"/>
  <c r="CO363" i="15"/>
  <c r="A364" i="15"/>
  <c r="B364" i="15"/>
  <c r="C364" i="15"/>
  <c r="D364" i="15"/>
  <c r="E364" i="15"/>
  <c r="F364" i="15"/>
  <c r="G364" i="15"/>
  <c r="H364" i="15"/>
  <c r="I364" i="15"/>
  <c r="J364" i="15"/>
  <c r="K364" i="15"/>
  <c r="L364" i="15"/>
  <c r="M364" i="15"/>
  <c r="N364" i="15"/>
  <c r="O364" i="15"/>
  <c r="P364" i="15"/>
  <c r="Q364" i="15"/>
  <c r="R364" i="15"/>
  <c r="S364" i="15"/>
  <c r="T364" i="15"/>
  <c r="U364" i="15"/>
  <c r="V364" i="15"/>
  <c r="W364" i="15"/>
  <c r="X364" i="15"/>
  <c r="Y364" i="15"/>
  <c r="Z364" i="15"/>
  <c r="AA364" i="15"/>
  <c r="AB364" i="15"/>
  <c r="AC364" i="15"/>
  <c r="AD364" i="15"/>
  <c r="AE364" i="15"/>
  <c r="AF364" i="15"/>
  <c r="AG364" i="15"/>
  <c r="AH364" i="15"/>
  <c r="AI364" i="15"/>
  <c r="AJ364" i="15"/>
  <c r="AK364" i="15"/>
  <c r="AL364" i="15"/>
  <c r="AM364" i="15"/>
  <c r="AN364" i="15"/>
  <c r="AO364" i="15"/>
  <c r="AP364" i="15"/>
  <c r="AQ364" i="15"/>
  <c r="AR364" i="15"/>
  <c r="AS364" i="15"/>
  <c r="AT364" i="15"/>
  <c r="AU364" i="15"/>
  <c r="AV364" i="15"/>
  <c r="AW364" i="15"/>
  <c r="AX364" i="15"/>
  <c r="AY364" i="15"/>
  <c r="AZ364" i="15"/>
  <c r="BA364" i="15"/>
  <c r="BB364" i="15"/>
  <c r="BC364" i="15"/>
  <c r="BD364" i="15"/>
  <c r="BE364" i="15"/>
  <c r="BF364" i="15"/>
  <c r="BG364" i="15"/>
  <c r="BH364" i="15"/>
  <c r="BI364" i="15"/>
  <c r="BJ364" i="15"/>
  <c r="BK364" i="15"/>
  <c r="BL364" i="15"/>
  <c r="BM364" i="15"/>
  <c r="BN364" i="15"/>
  <c r="BO364" i="15"/>
  <c r="BP364" i="15"/>
  <c r="BQ364" i="15"/>
  <c r="BR364" i="15"/>
  <c r="BS364" i="15"/>
  <c r="BT364" i="15"/>
  <c r="BU364" i="15"/>
  <c r="BV364" i="15"/>
  <c r="BW364" i="15"/>
  <c r="BX364" i="15"/>
  <c r="BY364" i="15"/>
  <c r="BZ364" i="15"/>
  <c r="CA364" i="15"/>
  <c r="CB364" i="15"/>
  <c r="CC364" i="15"/>
  <c r="CD364" i="15"/>
  <c r="CE364" i="15"/>
  <c r="CF364" i="15"/>
  <c r="CG364" i="15"/>
  <c r="CH364" i="15"/>
  <c r="CI364" i="15"/>
  <c r="CJ364" i="15"/>
  <c r="CK364" i="15"/>
  <c r="CL364" i="15"/>
  <c r="CM364" i="15"/>
  <c r="CN364" i="15"/>
  <c r="CO364" i="15"/>
  <c r="A365" i="15"/>
  <c r="B365" i="15"/>
  <c r="C365" i="15"/>
  <c r="D365" i="15"/>
  <c r="E365" i="15"/>
  <c r="F365" i="15"/>
  <c r="G365" i="15"/>
  <c r="H365" i="15"/>
  <c r="I365" i="15"/>
  <c r="J365" i="15"/>
  <c r="K365" i="15"/>
  <c r="L365" i="15"/>
  <c r="M365" i="15"/>
  <c r="N365" i="15"/>
  <c r="O365" i="15"/>
  <c r="P365" i="15"/>
  <c r="Q365" i="15"/>
  <c r="R365" i="15"/>
  <c r="S365" i="15"/>
  <c r="T365" i="15"/>
  <c r="U365" i="15"/>
  <c r="V365" i="15"/>
  <c r="W365" i="15"/>
  <c r="X365" i="15"/>
  <c r="Y365" i="15"/>
  <c r="Z365" i="15"/>
  <c r="AA365" i="15"/>
  <c r="AB365" i="15"/>
  <c r="AC365" i="15"/>
  <c r="AD365" i="15"/>
  <c r="AE365" i="15"/>
  <c r="AF365" i="15"/>
  <c r="AG365" i="15"/>
  <c r="AH365" i="15"/>
  <c r="AI365" i="15"/>
  <c r="AJ365" i="15"/>
  <c r="AK365" i="15"/>
  <c r="AL365" i="15"/>
  <c r="AM365" i="15"/>
  <c r="AN365" i="15"/>
  <c r="AO365" i="15"/>
  <c r="AP365" i="15"/>
  <c r="AQ365" i="15"/>
  <c r="AR365" i="15"/>
  <c r="AS365" i="15"/>
  <c r="AT365" i="15"/>
  <c r="AU365" i="15"/>
  <c r="AV365" i="15"/>
  <c r="AW365" i="15"/>
  <c r="AX365" i="15"/>
  <c r="AY365" i="15"/>
  <c r="AZ365" i="15"/>
  <c r="BA365" i="15"/>
  <c r="BB365" i="15"/>
  <c r="BC365" i="15"/>
  <c r="BD365" i="15"/>
  <c r="BE365" i="15"/>
  <c r="BF365" i="15"/>
  <c r="BG365" i="15"/>
  <c r="BH365" i="15"/>
  <c r="BI365" i="15"/>
  <c r="BJ365" i="15"/>
  <c r="BK365" i="15"/>
  <c r="BL365" i="15"/>
  <c r="BM365" i="15"/>
  <c r="BN365" i="15"/>
  <c r="BO365" i="15"/>
  <c r="BP365" i="15"/>
  <c r="BQ365" i="15"/>
  <c r="BR365" i="15"/>
  <c r="BS365" i="15"/>
  <c r="BT365" i="15"/>
  <c r="BU365" i="15"/>
  <c r="BV365" i="15"/>
  <c r="BW365" i="15"/>
  <c r="BX365" i="15"/>
  <c r="BY365" i="15"/>
  <c r="BZ365" i="15"/>
  <c r="CA365" i="15"/>
  <c r="CB365" i="15"/>
  <c r="CC365" i="15"/>
  <c r="CD365" i="15"/>
  <c r="CE365" i="15"/>
  <c r="CF365" i="15"/>
  <c r="CG365" i="15"/>
  <c r="CH365" i="15"/>
  <c r="CI365" i="15"/>
  <c r="CJ365" i="15"/>
  <c r="CK365" i="15"/>
  <c r="CL365" i="15"/>
  <c r="CM365" i="15"/>
  <c r="CN365" i="15"/>
  <c r="CO365" i="15"/>
  <c r="A366" i="15"/>
  <c r="B366" i="15"/>
  <c r="C366" i="15"/>
  <c r="D366" i="15"/>
  <c r="E366" i="15"/>
  <c r="F366" i="15"/>
  <c r="G366" i="15"/>
  <c r="H366" i="15"/>
  <c r="I366" i="15"/>
  <c r="J366" i="15"/>
  <c r="K366" i="15"/>
  <c r="L366" i="15"/>
  <c r="M366" i="15"/>
  <c r="N366" i="15"/>
  <c r="O366" i="15"/>
  <c r="P366" i="15"/>
  <c r="Q366" i="15"/>
  <c r="R366" i="15"/>
  <c r="S366" i="15"/>
  <c r="T366" i="15"/>
  <c r="U366" i="15"/>
  <c r="V366" i="15"/>
  <c r="W366" i="15"/>
  <c r="X366" i="15"/>
  <c r="Y366" i="15"/>
  <c r="Z366" i="15"/>
  <c r="AA366" i="15"/>
  <c r="AB366" i="15"/>
  <c r="AC366" i="15"/>
  <c r="AD366" i="15"/>
  <c r="AE366" i="15"/>
  <c r="AF366" i="15"/>
  <c r="AG366" i="15"/>
  <c r="AH366" i="15"/>
  <c r="AI366" i="15"/>
  <c r="AJ366" i="15"/>
  <c r="AK366" i="15"/>
  <c r="AL366" i="15"/>
  <c r="AM366" i="15"/>
  <c r="AN366" i="15"/>
  <c r="AO366" i="15"/>
  <c r="AP366" i="15"/>
  <c r="AQ366" i="15"/>
  <c r="AR366" i="15"/>
  <c r="AS366" i="15"/>
  <c r="AT366" i="15"/>
  <c r="AU366" i="15"/>
  <c r="AV366" i="15"/>
  <c r="AW366" i="15"/>
  <c r="AX366" i="15"/>
  <c r="AY366" i="15"/>
  <c r="AZ366" i="15"/>
  <c r="BA366" i="15"/>
  <c r="BB366" i="15"/>
  <c r="BC366" i="15"/>
  <c r="BD366" i="15"/>
  <c r="BE366" i="15"/>
  <c r="BF366" i="15"/>
  <c r="BG366" i="15"/>
  <c r="BH366" i="15"/>
  <c r="BI366" i="15"/>
  <c r="BJ366" i="15"/>
  <c r="BK366" i="15"/>
  <c r="BL366" i="15"/>
  <c r="BM366" i="15"/>
  <c r="BN366" i="15"/>
  <c r="BO366" i="15"/>
  <c r="BP366" i="15"/>
  <c r="BQ366" i="15"/>
  <c r="BR366" i="15"/>
  <c r="BS366" i="15"/>
  <c r="BT366" i="15"/>
  <c r="BU366" i="15"/>
  <c r="BV366" i="15"/>
  <c r="BW366" i="15"/>
  <c r="BX366" i="15"/>
  <c r="BY366" i="15"/>
  <c r="BZ366" i="15"/>
  <c r="CA366" i="15"/>
  <c r="CB366" i="15"/>
  <c r="CC366" i="15"/>
  <c r="CD366" i="15"/>
  <c r="CE366" i="15"/>
  <c r="CF366" i="15"/>
  <c r="CG366" i="15"/>
  <c r="CH366" i="15"/>
  <c r="CI366" i="15"/>
  <c r="CJ366" i="15"/>
  <c r="CK366" i="15"/>
  <c r="CL366" i="15"/>
  <c r="CM366" i="15"/>
  <c r="CN366" i="15"/>
  <c r="CO366" i="15"/>
  <c r="A367" i="15"/>
  <c r="B367" i="15"/>
  <c r="C367" i="15"/>
  <c r="D367" i="15"/>
  <c r="E367" i="15"/>
  <c r="F367" i="15"/>
  <c r="G367" i="15"/>
  <c r="H367" i="15"/>
  <c r="I367" i="15"/>
  <c r="J367" i="15"/>
  <c r="K367" i="15"/>
  <c r="L367" i="15"/>
  <c r="M367" i="15"/>
  <c r="N367" i="15"/>
  <c r="O367" i="15"/>
  <c r="P367" i="15"/>
  <c r="Q367" i="15"/>
  <c r="R367" i="15"/>
  <c r="S367" i="15"/>
  <c r="T367" i="15"/>
  <c r="U367" i="15"/>
  <c r="V367" i="15"/>
  <c r="W367" i="15"/>
  <c r="X367" i="15"/>
  <c r="Y367" i="15"/>
  <c r="Z367" i="15"/>
  <c r="AA367" i="15"/>
  <c r="AB367" i="15"/>
  <c r="AC367" i="15"/>
  <c r="AD367" i="15"/>
  <c r="AE367" i="15"/>
  <c r="AF367" i="15"/>
  <c r="AG367" i="15"/>
  <c r="AH367" i="15"/>
  <c r="AI367" i="15"/>
  <c r="AJ367" i="15"/>
  <c r="AK367" i="15"/>
  <c r="AL367" i="15"/>
  <c r="AM367" i="15"/>
  <c r="AN367" i="15"/>
  <c r="AO367" i="15"/>
  <c r="AP367" i="15"/>
  <c r="AQ367" i="15"/>
  <c r="AR367" i="15"/>
  <c r="AS367" i="15"/>
  <c r="AT367" i="15"/>
  <c r="AU367" i="15"/>
  <c r="AV367" i="15"/>
  <c r="AW367" i="15"/>
  <c r="AX367" i="15"/>
  <c r="AY367" i="15"/>
  <c r="AZ367" i="15"/>
  <c r="BA367" i="15"/>
  <c r="BB367" i="15"/>
  <c r="BC367" i="15"/>
  <c r="BD367" i="15"/>
  <c r="BE367" i="15"/>
  <c r="BF367" i="15"/>
  <c r="BG367" i="15"/>
  <c r="BH367" i="15"/>
  <c r="BI367" i="15"/>
  <c r="BJ367" i="15"/>
  <c r="BK367" i="15"/>
  <c r="BL367" i="15"/>
  <c r="BM367" i="15"/>
  <c r="BN367" i="15"/>
  <c r="BO367" i="15"/>
  <c r="BP367" i="15"/>
  <c r="BQ367" i="15"/>
  <c r="BR367" i="15"/>
  <c r="BS367" i="15"/>
  <c r="BT367" i="15"/>
  <c r="BU367" i="15"/>
  <c r="BV367" i="15"/>
  <c r="BW367" i="15"/>
  <c r="BX367" i="15"/>
  <c r="BY367" i="15"/>
  <c r="BZ367" i="15"/>
  <c r="CA367" i="15"/>
  <c r="CB367" i="15"/>
  <c r="CC367" i="15"/>
  <c r="CD367" i="15"/>
  <c r="CE367" i="15"/>
  <c r="CF367" i="15"/>
  <c r="CG367" i="15"/>
  <c r="CH367" i="15"/>
  <c r="CI367" i="15"/>
  <c r="CJ367" i="15"/>
  <c r="CK367" i="15"/>
  <c r="CL367" i="15"/>
  <c r="CM367" i="15"/>
  <c r="CN367" i="15"/>
  <c r="CO367" i="15"/>
  <c r="A368" i="15"/>
  <c r="B368" i="15"/>
  <c r="C368" i="15"/>
  <c r="D368" i="15"/>
  <c r="E368" i="15"/>
  <c r="F368" i="15"/>
  <c r="G368" i="15"/>
  <c r="H368" i="15"/>
  <c r="I368" i="15"/>
  <c r="J368" i="15"/>
  <c r="K368" i="15"/>
  <c r="L368" i="15"/>
  <c r="M368" i="15"/>
  <c r="N368" i="15"/>
  <c r="O368" i="15"/>
  <c r="P368" i="15"/>
  <c r="Q368" i="15"/>
  <c r="R368" i="15"/>
  <c r="S368" i="15"/>
  <c r="T368" i="15"/>
  <c r="U368" i="15"/>
  <c r="V368" i="15"/>
  <c r="W368" i="15"/>
  <c r="X368" i="15"/>
  <c r="Y368" i="15"/>
  <c r="Z368" i="15"/>
  <c r="AA368" i="15"/>
  <c r="AB368" i="15"/>
  <c r="AC368" i="15"/>
  <c r="AD368" i="15"/>
  <c r="AE368" i="15"/>
  <c r="AF368" i="15"/>
  <c r="AG368" i="15"/>
  <c r="AH368" i="15"/>
  <c r="AI368" i="15"/>
  <c r="AJ368" i="15"/>
  <c r="AK368" i="15"/>
  <c r="AL368" i="15"/>
  <c r="AM368" i="15"/>
  <c r="AN368" i="15"/>
  <c r="AO368" i="15"/>
  <c r="AP368" i="15"/>
  <c r="AQ368" i="15"/>
  <c r="AR368" i="15"/>
  <c r="AS368" i="15"/>
  <c r="AT368" i="15"/>
  <c r="AU368" i="15"/>
  <c r="AV368" i="15"/>
  <c r="AW368" i="15"/>
  <c r="AX368" i="15"/>
  <c r="AY368" i="15"/>
  <c r="AZ368" i="15"/>
  <c r="BA368" i="15"/>
  <c r="BB368" i="15"/>
  <c r="BC368" i="15"/>
  <c r="BD368" i="15"/>
  <c r="BE368" i="15"/>
  <c r="BF368" i="15"/>
  <c r="BG368" i="15"/>
  <c r="BH368" i="15"/>
  <c r="BI368" i="15"/>
  <c r="BJ368" i="15"/>
  <c r="BK368" i="15"/>
  <c r="BL368" i="15"/>
  <c r="BM368" i="15"/>
  <c r="BN368" i="15"/>
  <c r="BO368" i="15"/>
  <c r="BP368" i="15"/>
  <c r="BQ368" i="15"/>
  <c r="BR368" i="15"/>
  <c r="BS368" i="15"/>
  <c r="BT368" i="15"/>
  <c r="BU368" i="15"/>
  <c r="BV368" i="15"/>
  <c r="BW368" i="15"/>
  <c r="BX368" i="15"/>
  <c r="BY368" i="15"/>
  <c r="BZ368" i="15"/>
  <c r="CA368" i="15"/>
  <c r="CB368" i="15"/>
  <c r="CC368" i="15"/>
  <c r="CD368" i="15"/>
  <c r="CE368" i="15"/>
  <c r="CF368" i="15"/>
  <c r="CG368" i="15"/>
  <c r="CH368" i="15"/>
  <c r="CI368" i="15"/>
  <c r="CJ368" i="15"/>
  <c r="CK368" i="15"/>
  <c r="CL368" i="15"/>
  <c r="CM368" i="15"/>
  <c r="CN368" i="15"/>
  <c r="CO368" i="15"/>
  <c r="A369" i="15"/>
  <c r="B369" i="15"/>
  <c r="C369" i="15"/>
  <c r="D369" i="15"/>
  <c r="E369" i="15"/>
  <c r="F369" i="15"/>
  <c r="G369" i="15"/>
  <c r="H369" i="15"/>
  <c r="I369" i="15"/>
  <c r="J369" i="15"/>
  <c r="K369" i="15"/>
  <c r="L369" i="15"/>
  <c r="M369" i="15"/>
  <c r="N369" i="15"/>
  <c r="O369" i="15"/>
  <c r="P369" i="15"/>
  <c r="Q369" i="15"/>
  <c r="R369" i="15"/>
  <c r="S369" i="15"/>
  <c r="T369" i="15"/>
  <c r="U369" i="15"/>
  <c r="V369" i="15"/>
  <c r="W369" i="15"/>
  <c r="X369" i="15"/>
  <c r="Y369" i="15"/>
  <c r="Z369" i="15"/>
  <c r="AA369" i="15"/>
  <c r="AB369" i="15"/>
  <c r="AC369" i="15"/>
  <c r="AD369" i="15"/>
  <c r="AE369" i="15"/>
  <c r="AF369" i="15"/>
  <c r="AG369" i="15"/>
  <c r="AH369" i="15"/>
  <c r="AI369" i="15"/>
  <c r="AJ369" i="15"/>
  <c r="AK369" i="15"/>
  <c r="AL369" i="15"/>
  <c r="AM369" i="15"/>
  <c r="AN369" i="15"/>
  <c r="AO369" i="15"/>
  <c r="AP369" i="15"/>
  <c r="AQ369" i="15"/>
  <c r="AR369" i="15"/>
  <c r="AS369" i="15"/>
  <c r="AT369" i="15"/>
  <c r="AU369" i="15"/>
  <c r="AV369" i="15"/>
  <c r="AW369" i="15"/>
  <c r="AX369" i="15"/>
  <c r="AY369" i="15"/>
  <c r="AZ369" i="15"/>
  <c r="BA369" i="15"/>
  <c r="BB369" i="15"/>
  <c r="BC369" i="15"/>
  <c r="BD369" i="15"/>
  <c r="BE369" i="15"/>
  <c r="BF369" i="15"/>
  <c r="BG369" i="15"/>
  <c r="BH369" i="15"/>
  <c r="BI369" i="15"/>
  <c r="BJ369" i="15"/>
  <c r="BK369" i="15"/>
  <c r="BL369" i="15"/>
  <c r="BM369" i="15"/>
  <c r="BN369" i="15"/>
  <c r="BO369" i="15"/>
  <c r="BP369" i="15"/>
  <c r="BQ369" i="15"/>
  <c r="BR369" i="15"/>
  <c r="BS369" i="15"/>
  <c r="BT369" i="15"/>
  <c r="BU369" i="15"/>
  <c r="BV369" i="15"/>
  <c r="BW369" i="15"/>
  <c r="BX369" i="15"/>
  <c r="BY369" i="15"/>
  <c r="BZ369" i="15"/>
  <c r="CA369" i="15"/>
  <c r="CB369" i="15"/>
  <c r="CC369" i="15"/>
  <c r="CD369" i="15"/>
  <c r="CE369" i="15"/>
  <c r="CF369" i="15"/>
  <c r="CG369" i="15"/>
  <c r="CH369" i="15"/>
  <c r="CI369" i="15"/>
  <c r="CJ369" i="15"/>
  <c r="CK369" i="15"/>
  <c r="CL369" i="15"/>
  <c r="CM369" i="15"/>
  <c r="CN369" i="15"/>
  <c r="CO369" i="15"/>
  <c r="A370" i="15"/>
  <c r="B370" i="15"/>
  <c r="C370" i="15"/>
  <c r="D370" i="15"/>
  <c r="E370" i="15"/>
  <c r="F370" i="15"/>
  <c r="G370" i="15"/>
  <c r="H370" i="15"/>
  <c r="I370" i="15"/>
  <c r="J370" i="15"/>
  <c r="K370" i="15"/>
  <c r="L370" i="15"/>
  <c r="M370" i="15"/>
  <c r="N370" i="15"/>
  <c r="O370" i="15"/>
  <c r="P370" i="15"/>
  <c r="Q370" i="15"/>
  <c r="R370" i="15"/>
  <c r="S370" i="15"/>
  <c r="T370" i="15"/>
  <c r="U370" i="15"/>
  <c r="V370" i="15"/>
  <c r="W370" i="15"/>
  <c r="X370" i="15"/>
  <c r="Y370" i="15"/>
  <c r="Z370" i="15"/>
  <c r="AA370" i="15"/>
  <c r="AB370" i="15"/>
  <c r="AC370" i="15"/>
  <c r="AD370" i="15"/>
  <c r="AE370" i="15"/>
  <c r="AF370" i="15"/>
  <c r="AG370" i="15"/>
  <c r="AH370" i="15"/>
  <c r="AI370" i="15"/>
  <c r="AJ370" i="15"/>
  <c r="AK370" i="15"/>
  <c r="AL370" i="15"/>
  <c r="AM370" i="15"/>
  <c r="AN370" i="15"/>
  <c r="AO370" i="15"/>
  <c r="AP370" i="15"/>
  <c r="AQ370" i="15"/>
  <c r="AR370" i="15"/>
  <c r="AS370" i="15"/>
  <c r="AT370" i="15"/>
  <c r="AU370" i="15"/>
  <c r="AV370" i="15"/>
  <c r="AW370" i="15"/>
  <c r="AX370" i="15"/>
  <c r="AY370" i="15"/>
  <c r="AZ370" i="15"/>
  <c r="BA370" i="15"/>
  <c r="BB370" i="15"/>
  <c r="BC370" i="15"/>
  <c r="BD370" i="15"/>
  <c r="BE370" i="15"/>
  <c r="BF370" i="15"/>
  <c r="BG370" i="15"/>
  <c r="BH370" i="15"/>
  <c r="BI370" i="15"/>
  <c r="BJ370" i="15"/>
  <c r="BK370" i="15"/>
  <c r="BL370" i="15"/>
  <c r="BM370" i="15"/>
  <c r="BN370" i="15"/>
  <c r="BO370" i="15"/>
  <c r="BP370" i="15"/>
  <c r="BQ370" i="15"/>
  <c r="BR370" i="15"/>
  <c r="BS370" i="15"/>
  <c r="BT370" i="15"/>
  <c r="BU370" i="15"/>
  <c r="BV370" i="15"/>
  <c r="BW370" i="15"/>
  <c r="BX370" i="15"/>
  <c r="BY370" i="15"/>
  <c r="BZ370" i="15"/>
  <c r="CA370" i="15"/>
  <c r="CB370" i="15"/>
  <c r="CC370" i="15"/>
  <c r="CD370" i="15"/>
  <c r="CE370" i="15"/>
  <c r="CF370" i="15"/>
  <c r="CG370" i="15"/>
  <c r="CH370" i="15"/>
  <c r="CI370" i="15"/>
  <c r="CJ370" i="15"/>
  <c r="CK370" i="15"/>
  <c r="CL370" i="15"/>
  <c r="CM370" i="15"/>
  <c r="CN370" i="15"/>
  <c r="CO370" i="15"/>
  <c r="A371" i="15"/>
  <c r="B371" i="15"/>
  <c r="C371" i="15"/>
  <c r="D371" i="15"/>
  <c r="E371" i="15"/>
  <c r="F371" i="15"/>
  <c r="G371" i="15"/>
  <c r="H371" i="15"/>
  <c r="I371" i="15"/>
  <c r="J371" i="15"/>
  <c r="K371" i="15"/>
  <c r="L371" i="15"/>
  <c r="M371" i="15"/>
  <c r="N371" i="15"/>
  <c r="O371" i="15"/>
  <c r="P371" i="15"/>
  <c r="Q371" i="15"/>
  <c r="R371" i="15"/>
  <c r="S371" i="15"/>
  <c r="T371" i="15"/>
  <c r="U371" i="15"/>
  <c r="V371" i="15"/>
  <c r="W371" i="15"/>
  <c r="X371" i="15"/>
  <c r="Y371" i="15"/>
  <c r="Z371" i="15"/>
  <c r="AA371" i="15"/>
  <c r="AB371" i="15"/>
  <c r="AC371" i="15"/>
  <c r="AD371" i="15"/>
  <c r="AE371" i="15"/>
  <c r="AF371" i="15"/>
  <c r="AG371" i="15"/>
  <c r="AH371" i="15"/>
  <c r="AI371" i="15"/>
  <c r="AJ371" i="15"/>
  <c r="AK371" i="15"/>
  <c r="AL371" i="15"/>
  <c r="AM371" i="15"/>
  <c r="AN371" i="15"/>
  <c r="AO371" i="15"/>
  <c r="AP371" i="15"/>
  <c r="AQ371" i="15"/>
  <c r="AR371" i="15"/>
  <c r="AS371" i="15"/>
  <c r="AT371" i="15"/>
  <c r="AU371" i="15"/>
  <c r="AV371" i="15"/>
  <c r="AW371" i="15"/>
  <c r="AX371" i="15"/>
  <c r="AY371" i="15"/>
  <c r="AZ371" i="15"/>
  <c r="BA371" i="15"/>
  <c r="BB371" i="15"/>
  <c r="BC371" i="15"/>
  <c r="BD371" i="15"/>
  <c r="BE371" i="15"/>
  <c r="BF371" i="15"/>
  <c r="BG371" i="15"/>
  <c r="BH371" i="15"/>
  <c r="BI371" i="15"/>
  <c r="BJ371" i="15"/>
  <c r="BK371" i="15"/>
  <c r="BL371" i="15"/>
  <c r="BM371" i="15"/>
  <c r="BN371" i="15"/>
  <c r="BO371" i="15"/>
  <c r="BP371" i="15"/>
  <c r="BQ371" i="15"/>
  <c r="BR371" i="15"/>
  <c r="BS371" i="15"/>
  <c r="BT371" i="15"/>
  <c r="BU371" i="15"/>
  <c r="BV371" i="15"/>
  <c r="BW371" i="15"/>
  <c r="BX371" i="15"/>
  <c r="BY371" i="15"/>
  <c r="BZ371" i="15"/>
  <c r="CA371" i="15"/>
  <c r="CB371" i="15"/>
  <c r="CC371" i="15"/>
  <c r="CD371" i="15"/>
  <c r="CE371" i="15"/>
  <c r="CF371" i="15"/>
  <c r="CG371" i="15"/>
  <c r="CH371" i="15"/>
  <c r="CI371" i="15"/>
  <c r="CJ371" i="15"/>
  <c r="CK371" i="15"/>
  <c r="CL371" i="15"/>
  <c r="CM371" i="15"/>
  <c r="CN371" i="15"/>
  <c r="CO371" i="15"/>
  <c r="A372" i="15"/>
  <c r="B372" i="15"/>
  <c r="C372" i="15"/>
  <c r="D372" i="15"/>
  <c r="E372" i="15"/>
  <c r="F372" i="15"/>
  <c r="G372" i="15"/>
  <c r="H372" i="15"/>
  <c r="I372" i="15"/>
  <c r="J372" i="15"/>
  <c r="K372" i="15"/>
  <c r="L372" i="15"/>
  <c r="M372" i="15"/>
  <c r="N372" i="15"/>
  <c r="O372" i="15"/>
  <c r="P372" i="15"/>
  <c r="Q372" i="15"/>
  <c r="R372" i="15"/>
  <c r="S372" i="15"/>
  <c r="T372" i="15"/>
  <c r="U372" i="15"/>
  <c r="V372" i="15"/>
  <c r="W372" i="15"/>
  <c r="X372" i="15"/>
  <c r="Y372" i="15"/>
  <c r="Z372" i="15"/>
  <c r="AA372" i="15"/>
  <c r="AB372" i="15"/>
  <c r="AC372" i="15"/>
  <c r="AD372" i="15"/>
  <c r="AE372" i="15"/>
  <c r="AF372" i="15"/>
  <c r="AG372" i="15"/>
  <c r="AH372" i="15"/>
  <c r="AI372" i="15"/>
  <c r="AJ372" i="15"/>
  <c r="AK372" i="15"/>
  <c r="AL372" i="15"/>
  <c r="AM372" i="15"/>
  <c r="AN372" i="15"/>
  <c r="AO372" i="15"/>
  <c r="AP372" i="15"/>
  <c r="AQ372" i="15"/>
  <c r="AR372" i="15"/>
  <c r="AS372" i="15"/>
  <c r="AT372" i="15"/>
  <c r="AU372" i="15"/>
  <c r="AV372" i="15"/>
  <c r="AW372" i="15"/>
  <c r="AX372" i="15"/>
  <c r="AY372" i="15"/>
  <c r="AZ372" i="15"/>
  <c r="BA372" i="15"/>
  <c r="BB372" i="15"/>
  <c r="BC372" i="15"/>
  <c r="BD372" i="15"/>
  <c r="BE372" i="15"/>
  <c r="BF372" i="15"/>
  <c r="BG372" i="15"/>
  <c r="BH372" i="15"/>
  <c r="BI372" i="15"/>
  <c r="BJ372" i="15"/>
  <c r="BK372" i="15"/>
  <c r="BL372" i="15"/>
  <c r="BM372" i="15"/>
  <c r="BN372" i="15"/>
  <c r="BO372" i="15"/>
  <c r="BP372" i="15"/>
  <c r="BQ372" i="15"/>
  <c r="BR372" i="15"/>
  <c r="BS372" i="15"/>
  <c r="BT372" i="15"/>
  <c r="BU372" i="15"/>
  <c r="BV372" i="15"/>
  <c r="BW372" i="15"/>
  <c r="BX372" i="15"/>
  <c r="BY372" i="15"/>
  <c r="BZ372" i="15"/>
  <c r="CA372" i="15"/>
  <c r="CB372" i="15"/>
  <c r="CC372" i="15"/>
  <c r="CD372" i="15"/>
  <c r="CE372" i="15"/>
  <c r="CF372" i="15"/>
  <c r="CG372" i="15"/>
  <c r="CH372" i="15"/>
  <c r="CI372" i="15"/>
  <c r="CJ372" i="15"/>
  <c r="CK372" i="15"/>
  <c r="CL372" i="15"/>
  <c r="CM372" i="15"/>
  <c r="CN372" i="15"/>
  <c r="CO372" i="15"/>
  <c r="A373" i="15"/>
  <c r="B373" i="15"/>
  <c r="C373" i="15"/>
  <c r="D373" i="15"/>
  <c r="E373" i="15"/>
  <c r="F373" i="15"/>
  <c r="G373" i="15"/>
  <c r="H373" i="15"/>
  <c r="I373" i="15"/>
  <c r="J373" i="15"/>
  <c r="K373" i="15"/>
  <c r="L373" i="15"/>
  <c r="M373" i="15"/>
  <c r="N373" i="15"/>
  <c r="O373" i="15"/>
  <c r="P373" i="15"/>
  <c r="Q373" i="15"/>
  <c r="R373" i="15"/>
  <c r="S373" i="15"/>
  <c r="T373" i="15"/>
  <c r="U373" i="15"/>
  <c r="V373" i="15"/>
  <c r="W373" i="15"/>
  <c r="X373" i="15"/>
  <c r="Y373" i="15"/>
  <c r="Z373" i="15"/>
  <c r="AA373" i="15"/>
  <c r="AB373" i="15"/>
  <c r="AC373" i="15"/>
  <c r="AD373" i="15"/>
  <c r="AE373" i="15"/>
  <c r="AF373" i="15"/>
  <c r="AG373" i="15"/>
  <c r="AH373" i="15"/>
  <c r="AI373" i="15"/>
  <c r="AJ373" i="15"/>
  <c r="AK373" i="15"/>
  <c r="AL373" i="15"/>
  <c r="AM373" i="15"/>
  <c r="AN373" i="15"/>
  <c r="AO373" i="15"/>
  <c r="AP373" i="15"/>
  <c r="AQ373" i="15"/>
  <c r="AR373" i="15"/>
  <c r="AS373" i="15"/>
  <c r="AT373" i="15"/>
  <c r="AU373" i="15"/>
  <c r="AV373" i="15"/>
  <c r="AW373" i="15"/>
  <c r="AX373" i="15"/>
  <c r="AY373" i="15"/>
  <c r="AZ373" i="15"/>
  <c r="BA373" i="15"/>
  <c r="BB373" i="15"/>
  <c r="BC373" i="15"/>
  <c r="BD373" i="15"/>
  <c r="BE373" i="15"/>
  <c r="BF373" i="15"/>
  <c r="BG373" i="15"/>
  <c r="BH373" i="15"/>
  <c r="BI373" i="15"/>
  <c r="BJ373" i="15"/>
  <c r="BK373" i="15"/>
  <c r="BL373" i="15"/>
  <c r="BM373" i="15"/>
  <c r="BN373" i="15"/>
  <c r="BO373" i="15"/>
  <c r="BP373" i="15"/>
  <c r="BQ373" i="15"/>
  <c r="BR373" i="15"/>
  <c r="BS373" i="15"/>
  <c r="BT373" i="15"/>
  <c r="BU373" i="15"/>
  <c r="BV373" i="15"/>
  <c r="BW373" i="15"/>
  <c r="BX373" i="15"/>
  <c r="BY373" i="15"/>
  <c r="BZ373" i="15"/>
  <c r="CA373" i="15"/>
  <c r="CB373" i="15"/>
  <c r="CC373" i="15"/>
  <c r="CD373" i="15"/>
  <c r="CE373" i="15"/>
  <c r="CF373" i="15"/>
  <c r="CG373" i="15"/>
  <c r="CH373" i="15"/>
  <c r="CI373" i="15"/>
  <c r="CJ373" i="15"/>
  <c r="CK373" i="15"/>
  <c r="CL373" i="15"/>
  <c r="CM373" i="15"/>
  <c r="CN373" i="15"/>
  <c r="CO373" i="15"/>
  <c r="A374" i="15"/>
  <c r="B374" i="15"/>
  <c r="C374" i="15"/>
  <c r="D374" i="15"/>
  <c r="E374" i="15"/>
  <c r="F374" i="15"/>
  <c r="G374" i="15"/>
  <c r="H374" i="15"/>
  <c r="I374" i="15"/>
  <c r="J374" i="15"/>
  <c r="K374" i="15"/>
  <c r="L374" i="15"/>
  <c r="M374" i="15"/>
  <c r="N374" i="15"/>
  <c r="O374" i="15"/>
  <c r="P374" i="15"/>
  <c r="Q374" i="15"/>
  <c r="R374" i="15"/>
  <c r="S374" i="15"/>
  <c r="T374" i="15"/>
  <c r="U374" i="15"/>
  <c r="V374" i="15"/>
  <c r="W374" i="15"/>
  <c r="X374" i="15"/>
  <c r="Y374" i="15"/>
  <c r="Z374" i="15"/>
  <c r="AA374" i="15"/>
  <c r="AB374" i="15"/>
  <c r="AC374" i="15"/>
  <c r="AD374" i="15"/>
  <c r="AE374" i="15"/>
  <c r="AF374" i="15"/>
  <c r="AG374" i="15"/>
  <c r="AH374" i="15"/>
  <c r="AI374" i="15"/>
  <c r="AJ374" i="15"/>
  <c r="AK374" i="15"/>
  <c r="AL374" i="15"/>
  <c r="AM374" i="15"/>
  <c r="AN374" i="15"/>
  <c r="AO374" i="15"/>
  <c r="AP374" i="15"/>
  <c r="AQ374" i="15"/>
  <c r="AR374" i="15"/>
  <c r="AS374" i="15"/>
  <c r="AT374" i="15"/>
  <c r="AU374" i="15"/>
  <c r="AV374" i="15"/>
  <c r="AW374" i="15"/>
  <c r="AX374" i="15"/>
  <c r="AY374" i="15"/>
  <c r="AZ374" i="15"/>
  <c r="BA374" i="15"/>
  <c r="BB374" i="15"/>
  <c r="BC374" i="15"/>
  <c r="BD374" i="15"/>
  <c r="BE374" i="15"/>
  <c r="BF374" i="15"/>
  <c r="BG374" i="15"/>
  <c r="BH374" i="15"/>
  <c r="BI374" i="15"/>
  <c r="BJ374" i="15"/>
  <c r="BK374" i="15"/>
  <c r="BL374" i="15"/>
  <c r="BM374" i="15"/>
  <c r="BN374" i="15"/>
  <c r="BO374" i="15"/>
  <c r="BP374" i="15"/>
  <c r="BQ374" i="15"/>
  <c r="BR374" i="15"/>
  <c r="BS374" i="15"/>
  <c r="BT374" i="15"/>
  <c r="BU374" i="15"/>
  <c r="BV374" i="15"/>
  <c r="BW374" i="15"/>
  <c r="BX374" i="15"/>
  <c r="BY374" i="15"/>
  <c r="BZ374" i="15"/>
  <c r="CA374" i="15"/>
  <c r="CB374" i="15"/>
  <c r="CC374" i="15"/>
  <c r="CD374" i="15"/>
  <c r="CE374" i="15"/>
  <c r="CF374" i="15"/>
  <c r="CG374" i="15"/>
  <c r="CH374" i="15"/>
  <c r="CI374" i="15"/>
  <c r="CJ374" i="15"/>
  <c r="CK374" i="15"/>
  <c r="CL374" i="15"/>
  <c r="CM374" i="15"/>
  <c r="CN374" i="15"/>
  <c r="CO374" i="15"/>
  <c r="A375" i="15"/>
  <c r="B375" i="15"/>
  <c r="C375" i="15"/>
  <c r="D375" i="15"/>
  <c r="E375" i="15"/>
  <c r="F375" i="15"/>
  <c r="G375" i="15"/>
  <c r="H375" i="15"/>
  <c r="I375" i="15"/>
  <c r="J375" i="15"/>
  <c r="K375" i="15"/>
  <c r="L375" i="15"/>
  <c r="M375" i="15"/>
  <c r="N375" i="15"/>
  <c r="O375" i="15"/>
  <c r="P375" i="15"/>
  <c r="Q375" i="15"/>
  <c r="R375" i="15"/>
  <c r="S375" i="15"/>
  <c r="T375" i="15"/>
  <c r="U375" i="15"/>
  <c r="V375" i="15"/>
  <c r="W375" i="15"/>
  <c r="X375" i="15"/>
  <c r="Y375" i="15"/>
  <c r="Z375" i="15"/>
  <c r="AA375" i="15"/>
  <c r="AB375" i="15"/>
  <c r="AC375" i="15"/>
  <c r="AD375" i="15"/>
  <c r="AE375" i="15"/>
  <c r="AF375" i="15"/>
  <c r="AG375" i="15"/>
  <c r="AH375" i="15"/>
  <c r="AI375" i="15"/>
  <c r="AJ375" i="15"/>
  <c r="AK375" i="15"/>
  <c r="AL375" i="15"/>
  <c r="AM375" i="15"/>
  <c r="AN375" i="15"/>
  <c r="AO375" i="15"/>
  <c r="AP375" i="15"/>
  <c r="AQ375" i="15"/>
  <c r="AR375" i="15"/>
  <c r="AS375" i="15"/>
  <c r="AT375" i="15"/>
  <c r="AU375" i="15"/>
  <c r="AV375" i="15"/>
  <c r="AW375" i="15"/>
  <c r="AX375" i="15"/>
  <c r="AY375" i="15"/>
  <c r="AZ375" i="15"/>
  <c r="BA375" i="15"/>
  <c r="BB375" i="15"/>
  <c r="BC375" i="15"/>
  <c r="BD375" i="15"/>
  <c r="BE375" i="15"/>
  <c r="BF375" i="15"/>
  <c r="BG375" i="15"/>
  <c r="BH375" i="15"/>
  <c r="BI375" i="15"/>
  <c r="BJ375" i="15"/>
  <c r="BK375" i="15"/>
  <c r="BL375" i="15"/>
  <c r="BM375" i="15"/>
  <c r="BN375" i="15"/>
  <c r="BO375" i="15"/>
  <c r="BP375" i="15"/>
  <c r="BQ375" i="15"/>
  <c r="BR375" i="15"/>
  <c r="BS375" i="15"/>
  <c r="BT375" i="15"/>
  <c r="BU375" i="15"/>
  <c r="BV375" i="15"/>
  <c r="BW375" i="15"/>
  <c r="BX375" i="15"/>
  <c r="BY375" i="15"/>
  <c r="BZ375" i="15"/>
  <c r="CA375" i="15"/>
  <c r="CB375" i="15"/>
  <c r="CC375" i="15"/>
  <c r="CD375" i="15"/>
  <c r="CE375" i="15"/>
  <c r="CF375" i="15"/>
  <c r="CG375" i="15"/>
  <c r="CH375" i="15"/>
  <c r="CI375" i="15"/>
  <c r="CJ375" i="15"/>
  <c r="CK375" i="15"/>
  <c r="CL375" i="15"/>
  <c r="CM375" i="15"/>
  <c r="CN375" i="15"/>
  <c r="CO375" i="15"/>
  <c r="A376" i="15"/>
  <c r="B376" i="15"/>
  <c r="C376" i="15"/>
  <c r="D376" i="15"/>
  <c r="E376" i="15"/>
  <c r="F376" i="15"/>
  <c r="G376" i="15"/>
  <c r="H376" i="15"/>
  <c r="I376" i="15"/>
  <c r="J376" i="15"/>
  <c r="K376" i="15"/>
  <c r="L376" i="15"/>
  <c r="M376" i="15"/>
  <c r="N376" i="15"/>
  <c r="O376" i="15"/>
  <c r="P376" i="15"/>
  <c r="Q376" i="15"/>
  <c r="R376" i="15"/>
  <c r="S376" i="15"/>
  <c r="T376" i="15"/>
  <c r="U376" i="15"/>
  <c r="V376" i="15"/>
  <c r="W376" i="15"/>
  <c r="X376" i="15"/>
  <c r="Y376" i="15"/>
  <c r="Z376" i="15"/>
  <c r="AA376" i="15"/>
  <c r="AB376" i="15"/>
  <c r="AC376" i="15"/>
  <c r="AD376" i="15"/>
  <c r="AE376" i="15"/>
  <c r="AF376" i="15"/>
  <c r="AG376" i="15"/>
  <c r="AH376" i="15"/>
  <c r="AI376" i="15"/>
  <c r="AJ376" i="15"/>
  <c r="AK376" i="15"/>
  <c r="AL376" i="15"/>
  <c r="AM376" i="15"/>
  <c r="AN376" i="15"/>
  <c r="AO376" i="15"/>
  <c r="AP376" i="15"/>
  <c r="AQ376" i="15"/>
  <c r="AR376" i="15"/>
  <c r="AS376" i="15"/>
  <c r="AT376" i="15"/>
  <c r="AU376" i="15"/>
  <c r="AV376" i="15"/>
  <c r="AW376" i="15"/>
  <c r="AX376" i="15"/>
  <c r="AY376" i="15"/>
  <c r="AZ376" i="15"/>
  <c r="BA376" i="15"/>
  <c r="BB376" i="15"/>
  <c r="BC376" i="15"/>
  <c r="BD376" i="15"/>
  <c r="BE376" i="15"/>
  <c r="BF376" i="15"/>
  <c r="BG376" i="15"/>
  <c r="BH376" i="15"/>
  <c r="BI376" i="15"/>
  <c r="BJ376" i="15"/>
  <c r="BK376" i="15"/>
  <c r="BL376" i="15"/>
  <c r="BM376" i="15"/>
  <c r="BN376" i="15"/>
  <c r="BO376" i="15"/>
  <c r="BP376" i="15"/>
  <c r="BQ376" i="15"/>
  <c r="BR376" i="15"/>
  <c r="BS376" i="15"/>
  <c r="BT376" i="15"/>
  <c r="BU376" i="15"/>
  <c r="BV376" i="15"/>
  <c r="BW376" i="15"/>
  <c r="BX376" i="15"/>
  <c r="BY376" i="15"/>
  <c r="BZ376" i="15"/>
  <c r="CA376" i="15"/>
  <c r="CB376" i="15"/>
  <c r="CC376" i="15"/>
  <c r="CD376" i="15"/>
  <c r="CE376" i="15"/>
  <c r="CF376" i="15"/>
  <c r="CG376" i="15"/>
  <c r="CH376" i="15"/>
  <c r="CI376" i="15"/>
  <c r="CJ376" i="15"/>
  <c r="CK376" i="15"/>
  <c r="CL376" i="15"/>
  <c r="CM376" i="15"/>
  <c r="CN376" i="15"/>
  <c r="CO376" i="15"/>
  <c r="A377" i="15"/>
  <c r="B377" i="15"/>
  <c r="C377" i="15"/>
  <c r="D377" i="15"/>
  <c r="E377" i="15"/>
  <c r="F377" i="15"/>
  <c r="G377" i="15"/>
  <c r="H377" i="15"/>
  <c r="I377" i="15"/>
  <c r="J377" i="15"/>
  <c r="K377" i="15"/>
  <c r="L377" i="15"/>
  <c r="M377" i="15"/>
  <c r="N377" i="15"/>
  <c r="O377" i="15"/>
  <c r="P377" i="15"/>
  <c r="Q377" i="15"/>
  <c r="R377" i="15"/>
  <c r="S377" i="15"/>
  <c r="T377" i="15"/>
  <c r="U377" i="15"/>
  <c r="V377" i="15"/>
  <c r="W377" i="15"/>
  <c r="X377" i="15"/>
  <c r="Y377" i="15"/>
  <c r="Z377" i="15"/>
  <c r="AA377" i="15"/>
  <c r="AB377" i="15"/>
  <c r="AC377" i="15"/>
  <c r="AD377" i="15"/>
  <c r="AE377" i="15"/>
  <c r="AF377" i="15"/>
  <c r="AG377" i="15"/>
  <c r="AH377" i="15"/>
  <c r="AI377" i="15"/>
  <c r="AJ377" i="15"/>
  <c r="AK377" i="15"/>
  <c r="AL377" i="15"/>
  <c r="AM377" i="15"/>
  <c r="AN377" i="15"/>
  <c r="AO377" i="15"/>
  <c r="AP377" i="15"/>
  <c r="AQ377" i="15"/>
  <c r="AR377" i="15"/>
  <c r="AS377" i="15"/>
  <c r="AT377" i="15"/>
  <c r="AU377" i="15"/>
  <c r="AV377" i="15"/>
  <c r="AW377" i="15"/>
  <c r="AX377" i="15"/>
  <c r="AY377" i="15"/>
  <c r="AZ377" i="15"/>
  <c r="BA377" i="15"/>
  <c r="BB377" i="15"/>
  <c r="BC377" i="15"/>
  <c r="BD377" i="15"/>
  <c r="BE377" i="15"/>
  <c r="BF377" i="15"/>
  <c r="BG377" i="15"/>
  <c r="BH377" i="15"/>
  <c r="BI377" i="15"/>
  <c r="BJ377" i="15"/>
  <c r="BK377" i="15"/>
  <c r="BL377" i="15"/>
  <c r="BM377" i="15"/>
  <c r="BN377" i="15"/>
  <c r="BO377" i="15"/>
  <c r="BP377" i="15"/>
  <c r="BQ377" i="15"/>
  <c r="BR377" i="15"/>
  <c r="BS377" i="15"/>
  <c r="BT377" i="15"/>
  <c r="BU377" i="15"/>
  <c r="BV377" i="15"/>
  <c r="BW377" i="15"/>
  <c r="BX377" i="15"/>
  <c r="BY377" i="15"/>
  <c r="BZ377" i="15"/>
  <c r="CA377" i="15"/>
  <c r="CB377" i="15"/>
  <c r="CC377" i="15"/>
  <c r="CD377" i="15"/>
  <c r="CE377" i="15"/>
  <c r="CF377" i="15"/>
  <c r="CG377" i="15"/>
  <c r="CH377" i="15"/>
  <c r="CI377" i="15"/>
  <c r="CJ377" i="15"/>
  <c r="CK377" i="15"/>
  <c r="CL377" i="15"/>
  <c r="CM377" i="15"/>
  <c r="CN377" i="15"/>
  <c r="CO377" i="15"/>
  <c r="A378" i="15"/>
  <c r="B378" i="15"/>
  <c r="C378" i="15"/>
  <c r="D378" i="15"/>
  <c r="E378" i="15"/>
  <c r="F378" i="15"/>
  <c r="G378" i="15"/>
  <c r="H378" i="15"/>
  <c r="I378" i="15"/>
  <c r="J378" i="15"/>
  <c r="K378" i="15"/>
  <c r="L378" i="15"/>
  <c r="M378" i="15"/>
  <c r="N378" i="15"/>
  <c r="O378" i="15"/>
  <c r="P378" i="15"/>
  <c r="Q378" i="15"/>
  <c r="R378" i="15"/>
  <c r="S378" i="15"/>
  <c r="T378" i="15"/>
  <c r="U378" i="15"/>
  <c r="V378" i="15"/>
  <c r="W378" i="15"/>
  <c r="X378" i="15"/>
  <c r="Y378" i="15"/>
  <c r="Z378" i="15"/>
  <c r="AA378" i="15"/>
  <c r="AB378" i="15"/>
  <c r="AC378" i="15"/>
  <c r="AD378" i="15"/>
  <c r="AE378" i="15"/>
  <c r="AF378" i="15"/>
  <c r="AG378" i="15"/>
  <c r="AH378" i="15"/>
  <c r="AI378" i="15"/>
  <c r="AJ378" i="15"/>
  <c r="AK378" i="15"/>
  <c r="AL378" i="15"/>
  <c r="AM378" i="15"/>
  <c r="AN378" i="15"/>
  <c r="AO378" i="15"/>
  <c r="AP378" i="15"/>
  <c r="AQ378" i="15"/>
  <c r="AR378" i="15"/>
  <c r="AS378" i="15"/>
  <c r="AT378" i="15"/>
  <c r="AU378" i="15"/>
  <c r="AV378" i="15"/>
  <c r="AW378" i="15"/>
  <c r="AX378" i="15"/>
  <c r="AY378" i="15"/>
  <c r="AZ378" i="15"/>
  <c r="BA378" i="15"/>
  <c r="BB378" i="15"/>
  <c r="BC378" i="15"/>
  <c r="BD378" i="15"/>
  <c r="BE378" i="15"/>
  <c r="BF378" i="15"/>
  <c r="BG378" i="15"/>
  <c r="BH378" i="15"/>
  <c r="BI378" i="15"/>
  <c r="BJ378" i="15"/>
  <c r="BK378" i="15"/>
  <c r="BL378" i="15"/>
  <c r="BM378" i="15"/>
  <c r="BN378" i="15"/>
  <c r="BO378" i="15"/>
  <c r="BP378" i="15"/>
  <c r="BQ378" i="15"/>
  <c r="BR378" i="15"/>
  <c r="BS378" i="15"/>
  <c r="BT378" i="15"/>
  <c r="BU378" i="15"/>
  <c r="BV378" i="15"/>
  <c r="BW378" i="15"/>
  <c r="BX378" i="15"/>
  <c r="BY378" i="15"/>
  <c r="BZ378" i="15"/>
  <c r="CA378" i="15"/>
  <c r="CB378" i="15"/>
  <c r="CC378" i="15"/>
  <c r="CD378" i="15"/>
  <c r="CE378" i="15"/>
  <c r="CF378" i="15"/>
  <c r="CG378" i="15"/>
  <c r="CH378" i="15"/>
  <c r="CI378" i="15"/>
  <c r="CJ378" i="15"/>
  <c r="CK378" i="15"/>
  <c r="CL378" i="15"/>
  <c r="CM378" i="15"/>
  <c r="CN378" i="15"/>
  <c r="CO378" i="15"/>
  <c r="A379" i="15"/>
  <c r="B379" i="15"/>
  <c r="C379" i="15"/>
  <c r="D379" i="15"/>
  <c r="E379" i="15"/>
  <c r="F379" i="15"/>
  <c r="G379" i="15"/>
  <c r="H379" i="15"/>
  <c r="I379" i="15"/>
  <c r="J379" i="15"/>
  <c r="K379" i="15"/>
  <c r="L379" i="15"/>
  <c r="M379" i="15"/>
  <c r="N379" i="15"/>
  <c r="O379" i="15"/>
  <c r="P379" i="15"/>
  <c r="Q379" i="15"/>
  <c r="R379" i="15"/>
  <c r="S379" i="15"/>
  <c r="T379" i="15"/>
  <c r="U379" i="15"/>
  <c r="V379" i="15"/>
  <c r="W379" i="15"/>
  <c r="X379" i="15"/>
  <c r="Y379" i="15"/>
  <c r="Z379" i="15"/>
  <c r="AA379" i="15"/>
  <c r="AB379" i="15"/>
  <c r="AC379" i="15"/>
  <c r="AD379" i="15"/>
  <c r="AE379" i="15"/>
  <c r="AF379" i="15"/>
  <c r="AG379" i="15"/>
  <c r="AH379" i="15"/>
  <c r="AI379" i="15"/>
  <c r="AJ379" i="15"/>
  <c r="AK379" i="15"/>
  <c r="AL379" i="15"/>
  <c r="AM379" i="15"/>
  <c r="AN379" i="15"/>
  <c r="AO379" i="15"/>
  <c r="AP379" i="15"/>
  <c r="AQ379" i="15"/>
  <c r="AR379" i="15"/>
  <c r="AS379" i="15"/>
  <c r="AT379" i="15"/>
  <c r="AU379" i="15"/>
  <c r="AV379" i="15"/>
  <c r="AW379" i="15"/>
  <c r="AX379" i="15"/>
  <c r="AY379" i="15"/>
  <c r="AZ379" i="15"/>
  <c r="BA379" i="15"/>
  <c r="BB379" i="15"/>
  <c r="BC379" i="15"/>
  <c r="BD379" i="15"/>
  <c r="BE379" i="15"/>
  <c r="BF379" i="15"/>
  <c r="BG379" i="15"/>
  <c r="BH379" i="15"/>
  <c r="BI379" i="15"/>
  <c r="BJ379" i="15"/>
  <c r="BK379" i="15"/>
  <c r="BL379" i="15"/>
  <c r="BM379" i="15"/>
  <c r="BN379" i="15"/>
  <c r="BO379" i="15"/>
  <c r="BP379" i="15"/>
  <c r="BQ379" i="15"/>
  <c r="BR379" i="15"/>
  <c r="BS379" i="15"/>
  <c r="BT379" i="15"/>
  <c r="BU379" i="15"/>
  <c r="BV379" i="15"/>
  <c r="BW379" i="15"/>
  <c r="BX379" i="15"/>
  <c r="BY379" i="15"/>
  <c r="BZ379" i="15"/>
  <c r="CA379" i="15"/>
  <c r="CB379" i="15"/>
  <c r="CC379" i="15"/>
  <c r="CD379" i="15"/>
  <c r="CE379" i="15"/>
  <c r="CF379" i="15"/>
  <c r="CG379" i="15"/>
  <c r="CH379" i="15"/>
  <c r="CI379" i="15"/>
  <c r="CJ379" i="15"/>
  <c r="CK379" i="15"/>
  <c r="CL379" i="15"/>
  <c r="CM379" i="15"/>
  <c r="CN379" i="15"/>
  <c r="CO379" i="15"/>
  <c r="A380" i="15"/>
  <c r="B380" i="15"/>
  <c r="C380" i="15"/>
  <c r="D380" i="15"/>
  <c r="E380" i="15"/>
  <c r="F380" i="15"/>
  <c r="G380" i="15"/>
  <c r="H380" i="15"/>
  <c r="I380" i="15"/>
  <c r="J380" i="15"/>
  <c r="K380" i="15"/>
  <c r="L380" i="15"/>
  <c r="M380" i="15"/>
  <c r="N380" i="15"/>
  <c r="O380" i="15"/>
  <c r="P380" i="15"/>
  <c r="Q380" i="15"/>
  <c r="R380" i="15"/>
  <c r="S380" i="15"/>
  <c r="T380" i="15"/>
  <c r="U380" i="15"/>
  <c r="V380" i="15"/>
  <c r="W380" i="15"/>
  <c r="X380" i="15"/>
  <c r="Y380" i="15"/>
  <c r="Z380" i="15"/>
  <c r="AA380" i="15"/>
  <c r="AB380" i="15"/>
  <c r="AC380" i="15"/>
  <c r="AD380" i="15"/>
  <c r="AE380" i="15"/>
  <c r="AF380" i="15"/>
  <c r="AG380" i="15"/>
  <c r="AH380" i="15"/>
  <c r="AI380" i="15"/>
  <c r="AJ380" i="15"/>
  <c r="AK380" i="15"/>
  <c r="AL380" i="15"/>
  <c r="AM380" i="15"/>
  <c r="AN380" i="15"/>
  <c r="AO380" i="15"/>
  <c r="AP380" i="15"/>
  <c r="AQ380" i="15"/>
  <c r="AR380" i="15"/>
  <c r="AS380" i="15"/>
  <c r="AT380" i="15"/>
  <c r="AU380" i="15"/>
  <c r="AV380" i="15"/>
  <c r="AW380" i="15"/>
  <c r="AX380" i="15"/>
  <c r="AY380" i="15"/>
  <c r="AZ380" i="15"/>
  <c r="BA380" i="15"/>
  <c r="BB380" i="15"/>
  <c r="BC380" i="15"/>
  <c r="BD380" i="15"/>
  <c r="BE380" i="15"/>
  <c r="BF380" i="15"/>
  <c r="BG380" i="15"/>
  <c r="BH380" i="15"/>
  <c r="BI380" i="15"/>
  <c r="BJ380" i="15"/>
  <c r="BK380" i="15"/>
  <c r="BL380" i="15"/>
  <c r="BM380" i="15"/>
  <c r="BN380" i="15"/>
  <c r="BO380" i="15"/>
  <c r="BP380" i="15"/>
  <c r="BQ380" i="15"/>
  <c r="BR380" i="15"/>
  <c r="BS380" i="15"/>
  <c r="BT380" i="15"/>
  <c r="BU380" i="15"/>
  <c r="BV380" i="15"/>
  <c r="BW380" i="15"/>
  <c r="BX380" i="15"/>
  <c r="BY380" i="15"/>
  <c r="BZ380" i="15"/>
  <c r="CA380" i="15"/>
  <c r="CB380" i="15"/>
  <c r="CC380" i="15"/>
  <c r="CD380" i="15"/>
  <c r="CE380" i="15"/>
  <c r="CF380" i="15"/>
  <c r="CG380" i="15"/>
  <c r="CH380" i="15"/>
  <c r="CI380" i="15"/>
  <c r="CJ380" i="15"/>
  <c r="CK380" i="15"/>
  <c r="CL380" i="15"/>
  <c r="CM380" i="15"/>
  <c r="CN380" i="15"/>
  <c r="CO380" i="15"/>
  <c r="A381" i="15"/>
  <c r="B381" i="15"/>
  <c r="C381" i="15"/>
  <c r="D381" i="15"/>
  <c r="E381" i="15"/>
  <c r="F381" i="15"/>
  <c r="G381" i="15"/>
  <c r="H381" i="15"/>
  <c r="I381" i="15"/>
  <c r="J381" i="15"/>
  <c r="K381" i="15"/>
  <c r="L381" i="15"/>
  <c r="M381" i="15"/>
  <c r="N381" i="15"/>
  <c r="O381" i="15"/>
  <c r="P381" i="15"/>
  <c r="Q381" i="15"/>
  <c r="R381" i="15"/>
  <c r="S381" i="15"/>
  <c r="T381" i="15"/>
  <c r="U381" i="15"/>
  <c r="V381" i="15"/>
  <c r="W381" i="15"/>
  <c r="X381" i="15"/>
  <c r="Y381" i="15"/>
  <c r="Z381" i="15"/>
  <c r="AA381" i="15"/>
  <c r="AB381" i="15"/>
  <c r="AC381" i="15"/>
  <c r="AD381" i="15"/>
  <c r="AE381" i="15"/>
  <c r="AF381" i="15"/>
  <c r="AG381" i="15"/>
  <c r="AH381" i="15"/>
  <c r="AI381" i="15"/>
  <c r="AJ381" i="15"/>
  <c r="AK381" i="15"/>
  <c r="AL381" i="15"/>
  <c r="AM381" i="15"/>
  <c r="AN381" i="15"/>
  <c r="AO381" i="15"/>
  <c r="AP381" i="15"/>
  <c r="AQ381" i="15"/>
  <c r="AR381" i="15"/>
  <c r="AS381" i="15"/>
  <c r="AT381" i="15"/>
  <c r="AU381" i="15"/>
  <c r="AV381" i="15"/>
  <c r="AW381" i="15"/>
  <c r="AX381" i="15"/>
  <c r="AY381" i="15"/>
  <c r="AZ381" i="15"/>
  <c r="BA381" i="15"/>
  <c r="BB381" i="15"/>
  <c r="BC381" i="15"/>
  <c r="BD381" i="15"/>
  <c r="BE381" i="15"/>
  <c r="BF381" i="15"/>
  <c r="BG381" i="15"/>
  <c r="BH381" i="15"/>
  <c r="BI381" i="15"/>
  <c r="BJ381" i="15"/>
  <c r="BK381" i="15"/>
  <c r="BL381" i="15"/>
  <c r="BM381" i="15"/>
  <c r="BN381" i="15"/>
  <c r="BO381" i="15"/>
  <c r="BP381" i="15"/>
  <c r="BQ381" i="15"/>
  <c r="BR381" i="15"/>
  <c r="BS381" i="15"/>
  <c r="BT381" i="15"/>
  <c r="BU381" i="15"/>
  <c r="BV381" i="15"/>
  <c r="BW381" i="15"/>
  <c r="BX381" i="15"/>
  <c r="BY381" i="15"/>
  <c r="BZ381" i="15"/>
  <c r="CA381" i="15"/>
  <c r="CB381" i="15"/>
  <c r="CC381" i="15"/>
  <c r="CD381" i="15"/>
  <c r="CE381" i="15"/>
  <c r="CF381" i="15"/>
  <c r="CG381" i="15"/>
  <c r="CH381" i="15"/>
  <c r="CI381" i="15"/>
  <c r="CJ381" i="15"/>
  <c r="CK381" i="15"/>
  <c r="CL381" i="15"/>
  <c r="CM381" i="15"/>
  <c r="CN381" i="15"/>
  <c r="CO381" i="15"/>
  <c r="A382" i="15"/>
  <c r="B382" i="15"/>
  <c r="C382" i="15"/>
  <c r="D382" i="15"/>
  <c r="E382" i="15"/>
  <c r="F382" i="15"/>
  <c r="G382" i="15"/>
  <c r="H382" i="15"/>
  <c r="I382" i="15"/>
  <c r="J382" i="15"/>
  <c r="K382" i="15"/>
  <c r="L382" i="15"/>
  <c r="M382" i="15"/>
  <c r="N382" i="15"/>
  <c r="O382" i="15"/>
  <c r="P382" i="15"/>
  <c r="Q382" i="15"/>
  <c r="R382" i="15"/>
  <c r="S382" i="15"/>
  <c r="T382" i="15"/>
  <c r="U382" i="15"/>
  <c r="V382" i="15"/>
  <c r="W382" i="15"/>
  <c r="X382" i="15"/>
  <c r="Y382" i="15"/>
  <c r="Z382" i="15"/>
  <c r="AA382" i="15"/>
  <c r="AB382" i="15"/>
  <c r="AC382" i="15"/>
  <c r="AD382" i="15"/>
  <c r="AE382" i="15"/>
  <c r="AF382" i="15"/>
  <c r="AG382" i="15"/>
  <c r="AH382" i="15"/>
  <c r="AI382" i="15"/>
  <c r="AJ382" i="15"/>
  <c r="AK382" i="15"/>
  <c r="AL382" i="15"/>
  <c r="AM382" i="15"/>
  <c r="AN382" i="15"/>
  <c r="AO382" i="15"/>
  <c r="AP382" i="15"/>
  <c r="AQ382" i="15"/>
  <c r="AR382" i="15"/>
  <c r="AS382" i="15"/>
  <c r="AT382" i="15"/>
  <c r="AU382" i="15"/>
  <c r="AV382" i="15"/>
  <c r="AW382" i="15"/>
  <c r="AX382" i="15"/>
  <c r="AY382" i="15"/>
  <c r="AZ382" i="15"/>
  <c r="BA382" i="15"/>
  <c r="BB382" i="15"/>
  <c r="BC382" i="15"/>
  <c r="BD382" i="15"/>
  <c r="BE382" i="15"/>
  <c r="BF382" i="15"/>
  <c r="BG382" i="15"/>
  <c r="BH382" i="15"/>
  <c r="BI382" i="15"/>
  <c r="BJ382" i="15"/>
  <c r="BK382" i="15"/>
  <c r="BL382" i="15"/>
  <c r="BM382" i="15"/>
  <c r="BN382" i="15"/>
  <c r="BO382" i="15"/>
  <c r="BP382" i="15"/>
  <c r="BQ382" i="15"/>
  <c r="BR382" i="15"/>
  <c r="BS382" i="15"/>
  <c r="BT382" i="15"/>
  <c r="BU382" i="15"/>
  <c r="BV382" i="15"/>
  <c r="BW382" i="15"/>
  <c r="BX382" i="15"/>
  <c r="BY382" i="15"/>
  <c r="BZ382" i="15"/>
  <c r="CA382" i="15"/>
  <c r="CB382" i="15"/>
  <c r="CC382" i="15"/>
  <c r="CD382" i="15"/>
  <c r="CE382" i="15"/>
  <c r="CF382" i="15"/>
  <c r="CG382" i="15"/>
  <c r="CH382" i="15"/>
  <c r="CI382" i="15"/>
  <c r="CJ382" i="15"/>
  <c r="CK382" i="15"/>
  <c r="CL382" i="15"/>
  <c r="CM382" i="15"/>
  <c r="CN382" i="15"/>
  <c r="CO382" i="15"/>
  <c r="A383" i="15"/>
  <c r="B383" i="15"/>
  <c r="C383" i="15"/>
  <c r="D383" i="15"/>
  <c r="E383" i="15"/>
  <c r="F383" i="15"/>
  <c r="G383" i="15"/>
  <c r="H383" i="15"/>
  <c r="I383" i="15"/>
  <c r="J383" i="15"/>
  <c r="K383" i="15"/>
  <c r="L383" i="15"/>
  <c r="M383" i="15"/>
  <c r="N383" i="15"/>
  <c r="O383" i="15"/>
  <c r="P383" i="15"/>
  <c r="Q383" i="15"/>
  <c r="R383" i="15"/>
  <c r="S383" i="15"/>
  <c r="T383" i="15"/>
  <c r="U383" i="15"/>
  <c r="V383" i="15"/>
  <c r="W383" i="15"/>
  <c r="X383" i="15"/>
  <c r="Y383" i="15"/>
  <c r="Z383" i="15"/>
  <c r="AA383" i="15"/>
  <c r="AB383" i="15"/>
  <c r="AC383" i="15"/>
  <c r="AD383" i="15"/>
  <c r="AE383" i="15"/>
  <c r="AF383" i="15"/>
  <c r="AG383" i="15"/>
  <c r="AH383" i="15"/>
  <c r="AI383" i="15"/>
  <c r="AJ383" i="15"/>
  <c r="AK383" i="15"/>
  <c r="AL383" i="15"/>
  <c r="AM383" i="15"/>
  <c r="AN383" i="15"/>
  <c r="AO383" i="15"/>
  <c r="AP383" i="15"/>
  <c r="AQ383" i="15"/>
  <c r="AR383" i="15"/>
  <c r="AS383" i="15"/>
  <c r="AT383" i="15"/>
  <c r="AU383" i="15"/>
  <c r="AV383" i="15"/>
  <c r="AW383" i="15"/>
  <c r="AX383" i="15"/>
  <c r="AY383" i="15"/>
  <c r="AZ383" i="15"/>
  <c r="BA383" i="15"/>
  <c r="BB383" i="15"/>
  <c r="BC383" i="15"/>
  <c r="BD383" i="15"/>
  <c r="BE383" i="15"/>
  <c r="BF383" i="15"/>
  <c r="BG383" i="15"/>
  <c r="BH383" i="15"/>
  <c r="BI383" i="15"/>
  <c r="BJ383" i="15"/>
  <c r="BK383" i="15"/>
  <c r="BL383" i="15"/>
  <c r="BM383" i="15"/>
  <c r="BN383" i="15"/>
  <c r="BO383" i="15"/>
  <c r="BP383" i="15"/>
  <c r="BQ383" i="15"/>
  <c r="BR383" i="15"/>
  <c r="BS383" i="15"/>
  <c r="BT383" i="15"/>
  <c r="BU383" i="15"/>
  <c r="BV383" i="15"/>
  <c r="BW383" i="15"/>
  <c r="BX383" i="15"/>
  <c r="BY383" i="15"/>
  <c r="BZ383" i="15"/>
  <c r="CA383" i="15"/>
  <c r="CB383" i="15"/>
  <c r="CC383" i="15"/>
  <c r="CD383" i="15"/>
  <c r="CE383" i="15"/>
  <c r="CF383" i="15"/>
  <c r="CG383" i="15"/>
  <c r="CH383" i="15"/>
  <c r="CI383" i="15"/>
  <c r="CJ383" i="15"/>
  <c r="CK383" i="15"/>
  <c r="CL383" i="15"/>
  <c r="CM383" i="15"/>
  <c r="CN383" i="15"/>
  <c r="CO383" i="15"/>
  <c r="A384" i="15"/>
  <c r="B384" i="15"/>
  <c r="C384" i="15"/>
  <c r="D384" i="15"/>
  <c r="E384" i="15"/>
  <c r="F384" i="15"/>
  <c r="G384" i="15"/>
  <c r="H384" i="15"/>
  <c r="I384" i="15"/>
  <c r="J384" i="15"/>
  <c r="K384" i="15"/>
  <c r="L384" i="15"/>
  <c r="M384" i="15"/>
  <c r="N384" i="15"/>
  <c r="O384" i="15"/>
  <c r="P384" i="15"/>
  <c r="Q384" i="15"/>
  <c r="R384" i="15"/>
  <c r="S384" i="15"/>
  <c r="T384" i="15"/>
  <c r="U384" i="15"/>
  <c r="V384" i="15"/>
  <c r="W384" i="15"/>
  <c r="X384" i="15"/>
  <c r="Y384" i="15"/>
  <c r="Z384" i="15"/>
  <c r="AA384" i="15"/>
  <c r="AB384" i="15"/>
  <c r="AC384" i="15"/>
  <c r="AD384" i="15"/>
  <c r="AE384" i="15"/>
  <c r="AF384" i="15"/>
  <c r="AG384" i="15"/>
  <c r="AH384" i="15"/>
  <c r="AI384" i="15"/>
  <c r="AJ384" i="15"/>
  <c r="AK384" i="15"/>
  <c r="AL384" i="15"/>
  <c r="AM384" i="15"/>
  <c r="AN384" i="15"/>
  <c r="AO384" i="15"/>
  <c r="AP384" i="15"/>
  <c r="AQ384" i="15"/>
  <c r="AR384" i="15"/>
  <c r="AS384" i="15"/>
  <c r="AT384" i="15"/>
  <c r="AU384" i="15"/>
  <c r="AV384" i="15"/>
  <c r="AW384" i="15"/>
  <c r="AX384" i="15"/>
  <c r="AY384" i="15"/>
  <c r="AZ384" i="15"/>
  <c r="BA384" i="15"/>
  <c r="BB384" i="15"/>
  <c r="BC384" i="15"/>
  <c r="BD384" i="15"/>
  <c r="BE384" i="15"/>
  <c r="BF384" i="15"/>
  <c r="BG384" i="15"/>
  <c r="BH384" i="15"/>
  <c r="BI384" i="15"/>
  <c r="BJ384" i="15"/>
  <c r="BK384" i="15"/>
  <c r="BL384" i="15"/>
  <c r="BM384" i="15"/>
  <c r="BN384" i="15"/>
  <c r="BO384" i="15"/>
  <c r="BP384" i="15"/>
  <c r="BQ384" i="15"/>
  <c r="BR384" i="15"/>
  <c r="BS384" i="15"/>
  <c r="BT384" i="15"/>
  <c r="BU384" i="15"/>
  <c r="BV384" i="15"/>
  <c r="BW384" i="15"/>
  <c r="BX384" i="15"/>
  <c r="BY384" i="15"/>
  <c r="BZ384" i="15"/>
  <c r="CA384" i="15"/>
  <c r="CB384" i="15"/>
  <c r="CC384" i="15"/>
  <c r="CD384" i="15"/>
  <c r="CE384" i="15"/>
  <c r="CF384" i="15"/>
  <c r="CG384" i="15"/>
  <c r="CH384" i="15"/>
  <c r="CI384" i="15"/>
  <c r="CJ384" i="15"/>
  <c r="CK384" i="15"/>
  <c r="CL384" i="15"/>
  <c r="CM384" i="15"/>
  <c r="CN384" i="15"/>
  <c r="CO384" i="15"/>
  <c r="A385" i="15"/>
  <c r="B385" i="15"/>
  <c r="C385" i="15"/>
  <c r="D385" i="15"/>
  <c r="E385" i="15"/>
  <c r="F385" i="15"/>
  <c r="G385" i="15"/>
  <c r="H385" i="15"/>
  <c r="I385" i="15"/>
  <c r="J385" i="15"/>
  <c r="K385" i="15"/>
  <c r="L385" i="15"/>
  <c r="M385" i="15"/>
  <c r="N385" i="15"/>
  <c r="O385" i="15"/>
  <c r="P385" i="15"/>
  <c r="Q385" i="15"/>
  <c r="R385" i="15"/>
  <c r="S385" i="15"/>
  <c r="T385" i="15"/>
  <c r="U385" i="15"/>
  <c r="V385" i="15"/>
  <c r="W385" i="15"/>
  <c r="X385" i="15"/>
  <c r="Y385" i="15"/>
  <c r="Z385" i="15"/>
  <c r="AA385" i="15"/>
  <c r="AB385" i="15"/>
  <c r="AC385" i="15"/>
  <c r="AD385" i="15"/>
  <c r="AE385" i="15"/>
  <c r="AF385" i="15"/>
  <c r="AG385" i="15"/>
  <c r="AH385" i="15"/>
  <c r="AI385" i="15"/>
  <c r="AJ385" i="15"/>
  <c r="AK385" i="15"/>
  <c r="AL385" i="15"/>
  <c r="AM385" i="15"/>
  <c r="AN385" i="15"/>
  <c r="AO385" i="15"/>
  <c r="AP385" i="15"/>
  <c r="AQ385" i="15"/>
  <c r="AR385" i="15"/>
  <c r="AS385" i="15"/>
  <c r="AT385" i="15"/>
  <c r="AU385" i="15"/>
  <c r="AV385" i="15"/>
  <c r="AW385" i="15"/>
  <c r="AX385" i="15"/>
  <c r="AY385" i="15"/>
  <c r="AZ385" i="15"/>
  <c r="BA385" i="15"/>
  <c r="BB385" i="15"/>
  <c r="BC385" i="15"/>
  <c r="BD385" i="15"/>
  <c r="BE385" i="15"/>
  <c r="BF385" i="15"/>
  <c r="BG385" i="15"/>
  <c r="BH385" i="15"/>
  <c r="BI385" i="15"/>
  <c r="BJ385" i="15"/>
  <c r="BK385" i="15"/>
  <c r="BL385" i="15"/>
  <c r="BM385" i="15"/>
  <c r="BN385" i="15"/>
  <c r="BO385" i="15"/>
  <c r="BP385" i="15"/>
  <c r="BQ385" i="15"/>
  <c r="BR385" i="15"/>
  <c r="BS385" i="15"/>
  <c r="BT385" i="15"/>
  <c r="BU385" i="15"/>
  <c r="BV385" i="15"/>
  <c r="BW385" i="15"/>
  <c r="BX385" i="15"/>
  <c r="BY385" i="15"/>
  <c r="BZ385" i="15"/>
  <c r="CA385" i="15"/>
  <c r="CB385" i="15"/>
  <c r="CC385" i="15"/>
  <c r="CD385" i="15"/>
  <c r="CE385" i="15"/>
  <c r="CF385" i="15"/>
  <c r="CG385" i="15"/>
  <c r="CH385" i="15"/>
  <c r="CI385" i="15"/>
  <c r="CJ385" i="15"/>
  <c r="CK385" i="15"/>
  <c r="CL385" i="15"/>
  <c r="CM385" i="15"/>
  <c r="CN385" i="15"/>
  <c r="CO385" i="15"/>
  <c r="A386" i="15"/>
  <c r="B386" i="15"/>
  <c r="C386" i="15"/>
  <c r="D386" i="15"/>
  <c r="E386" i="15"/>
  <c r="F386" i="15"/>
  <c r="G386" i="15"/>
  <c r="H386" i="15"/>
  <c r="I386" i="15"/>
  <c r="J386" i="15"/>
  <c r="K386" i="15"/>
  <c r="L386" i="15"/>
  <c r="M386" i="15"/>
  <c r="N386" i="15"/>
  <c r="O386" i="15"/>
  <c r="P386" i="15"/>
  <c r="Q386" i="15"/>
  <c r="R386" i="15"/>
  <c r="S386" i="15"/>
  <c r="T386" i="15"/>
  <c r="U386" i="15"/>
  <c r="V386" i="15"/>
  <c r="W386" i="15"/>
  <c r="X386" i="15"/>
  <c r="Y386" i="15"/>
  <c r="Z386" i="15"/>
  <c r="AA386" i="15"/>
  <c r="AB386" i="15"/>
  <c r="AC386" i="15"/>
  <c r="AD386" i="15"/>
  <c r="AE386" i="15"/>
  <c r="AF386" i="15"/>
  <c r="AG386" i="15"/>
  <c r="AH386" i="15"/>
  <c r="AI386" i="15"/>
  <c r="AJ386" i="15"/>
  <c r="AK386" i="15"/>
  <c r="AL386" i="15"/>
  <c r="AM386" i="15"/>
  <c r="AN386" i="15"/>
  <c r="AO386" i="15"/>
  <c r="AP386" i="15"/>
  <c r="AQ386" i="15"/>
  <c r="AR386" i="15"/>
  <c r="AS386" i="15"/>
  <c r="AT386" i="15"/>
  <c r="AU386" i="15"/>
  <c r="AV386" i="15"/>
  <c r="AW386" i="15"/>
  <c r="AX386" i="15"/>
  <c r="AY386" i="15"/>
  <c r="AZ386" i="15"/>
  <c r="BA386" i="15"/>
  <c r="BB386" i="15"/>
  <c r="BC386" i="15"/>
  <c r="BD386" i="15"/>
  <c r="BE386" i="15"/>
  <c r="BF386" i="15"/>
  <c r="BG386" i="15"/>
  <c r="BH386" i="15"/>
  <c r="BI386" i="15"/>
  <c r="BJ386" i="15"/>
  <c r="BK386" i="15"/>
  <c r="BL386" i="15"/>
  <c r="BM386" i="15"/>
  <c r="BN386" i="15"/>
  <c r="BO386" i="15"/>
  <c r="BP386" i="15"/>
  <c r="BQ386" i="15"/>
  <c r="BR386" i="15"/>
  <c r="BS386" i="15"/>
  <c r="BT386" i="15"/>
  <c r="BU386" i="15"/>
  <c r="BV386" i="15"/>
  <c r="BW386" i="15"/>
  <c r="BX386" i="15"/>
  <c r="BY386" i="15"/>
  <c r="BZ386" i="15"/>
  <c r="CA386" i="15"/>
  <c r="CB386" i="15"/>
  <c r="CC386" i="15"/>
  <c r="CD386" i="15"/>
  <c r="CE386" i="15"/>
  <c r="CF386" i="15"/>
  <c r="CG386" i="15"/>
  <c r="CH386" i="15"/>
  <c r="CI386" i="15"/>
  <c r="CJ386" i="15"/>
  <c r="CK386" i="15"/>
  <c r="CL386" i="15"/>
  <c r="CM386" i="15"/>
  <c r="CN386" i="15"/>
  <c r="CO386" i="15"/>
  <c r="A387" i="15"/>
  <c r="B387" i="15"/>
  <c r="C387" i="15"/>
  <c r="D387" i="15"/>
  <c r="E387" i="15"/>
  <c r="F387" i="15"/>
  <c r="G387" i="15"/>
  <c r="H387" i="15"/>
  <c r="I387" i="15"/>
  <c r="J387" i="15"/>
  <c r="K387" i="15"/>
  <c r="L387" i="15"/>
  <c r="M387" i="15"/>
  <c r="N387" i="15"/>
  <c r="O387" i="15"/>
  <c r="P387" i="15"/>
  <c r="Q387" i="15"/>
  <c r="R387" i="15"/>
  <c r="S387" i="15"/>
  <c r="T387" i="15"/>
  <c r="U387" i="15"/>
  <c r="V387" i="15"/>
  <c r="W387" i="15"/>
  <c r="X387" i="15"/>
  <c r="Y387" i="15"/>
  <c r="Z387" i="15"/>
  <c r="AA387" i="15"/>
  <c r="AB387" i="15"/>
  <c r="AC387" i="15"/>
  <c r="AD387" i="15"/>
  <c r="AE387" i="15"/>
  <c r="AF387" i="15"/>
  <c r="AG387" i="15"/>
  <c r="AH387" i="15"/>
  <c r="AI387" i="15"/>
  <c r="AJ387" i="15"/>
  <c r="AK387" i="15"/>
  <c r="AL387" i="15"/>
  <c r="AM387" i="15"/>
  <c r="AN387" i="15"/>
  <c r="AO387" i="15"/>
  <c r="AP387" i="15"/>
  <c r="AQ387" i="15"/>
  <c r="AR387" i="15"/>
  <c r="AS387" i="15"/>
  <c r="AT387" i="15"/>
  <c r="AU387" i="15"/>
  <c r="AV387" i="15"/>
  <c r="AW387" i="15"/>
  <c r="AX387" i="15"/>
  <c r="AY387" i="15"/>
  <c r="AZ387" i="15"/>
  <c r="BA387" i="15"/>
  <c r="BB387" i="15"/>
  <c r="BC387" i="15"/>
  <c r="BD387" i="15"/>
  <c r="BE387" i="15"/>
  <c r="BF387" i="15"/>
  <c r="BG387" i="15"/>
  <c r="BH387" i="15"/>
  <c r="BI387" i="15"/>
  <c r="BJ387" i="15"/>
  <c r="BK387" i="15"/>
  <c r="BL387" i="15"/>
  <c r="BM387" i="15"/>
  <c r="BN387" i="15"/>
  <c r="BO387" i="15"/>
  <c r="BP387" i="15"/>
  <c r="BQ387" i="15"/>
  <c r="BR387" i="15"/>
  <c r="BS387" i="15"/>
  <c r="BT387" i="15"/>
  <c r="BU387" i="15"/>
  <c r="BV387" i="15"/>
  <c r="BW387" i="15"/>
  <c r="BX387" i="15"/>
  <c r="BY387" i="15"/>
  <c r="BZ387" i="15"/>
  <c r="CA387" i="15"/>
  <c r="CB387" i="15"/>
  <c r="CC387" i="15"/>
  <c r="CD387" i="15"/>
  <c r="CE387" i="15"/>
  <c r="CF387" i="15"/>
  <c r="CG387" i="15"/>
  <c r="CH387" i="15"/>
  <c r="CI387" i="15"/>
  <c r="CJ387" i="15"/>
  <c r="CK387" i="15"/>
  <c r="CL387" i="15"/>
  <c r="CM387" i="15"/>
  <c r="CN387" i="15"/>
  <c r="CO387" i="15"/>
  <c r="A388" i="15"/>
  <c r="B388" i="15"/>
  <c r="C388" i="15"/>
  <c r="D388" i="15"/>
  <c r="E388" i="15"/>
  <c r="F388" i="15"/>
  <c r="G388" i="15"/>
  <c r="H388" i="15"/>
  <c r="I388" i="15"/>
  <c r="J388" i="15"/>
  <c r="K388" i="15"/>
  <c r="L388" i="15"/>
  <c r="M388" i="15"/>
  <c r="N388" i="15"/>
  <c r="O388" i="15"/>
  <c r="P388" i="15"/>
  <c r="Q388" i="15"/>
  <c r="R388" i="15"/>
  <c r="S388" i="15"/>
  <c r="T388" i="15"/>
  <c r="U388" i="15"/>
  <c r="V388" i="15"/>
  <c r="W388" i="15"/>
  <c r="X388" i="15"/>
  <c r="Y388" i="15"/>
  <c r="Z388" i="15"/>
  <c r="AA388" i="15"/>
  <c r="AB388" i="15"/>
  <c r="AC388" i="15"/>
  <c r="AD388" i="15"/>
  <c r="AE388" i="15"/>
  <c r="AF388" i="15"/>
  <c r="AG388" i="15"/>
  <c r="AH388" i="15"/>
  <c r="AI388" i="15"/>
  <c r="AJ388" i="15"/>
  <c r="AK388" i="15"/>
  <c r="AL388" i="15"/>
  <c r="AM388" i="15"/>
  <c r="AN388" i="15"/>
  <c r="AO388" i="15"/>
  <c r="AP388" i="15"/>
  <c r="AQ388" i="15"/>
  <c r="AR388" i="15"/>
  <c r="AS388" i="15"/>
  <c r="AT388" i="15"/>
  <c r="AU388" i="15"/>
  <c r="AV388" i="15"/>
  <c r="AW388" i="15"/>
  <c r="AX388" i="15"/>
  <c r="AY388" i="15"/>
  <c r="AZ388" i="15"/>
  <c r="BA388" i="15"/>
  <c r="BB388" i="15"/>
  <c r="BC388" i="15"/>
  <c r="BD388" i="15"/>
  <c r="BE388" i="15"/>
  <c r="BF388" i="15"/>
  <c r="BG388" i="15"/>
  <c r="BH388" i="15"/>
  <c r="BI388" i="15"/>
  <c r="BJ388" i="15"/>
  <c r="BK388" i="15"/>
  <c r="BL388" i="15"/>
  <c r="BM388" i="15"/>
  <c r="BN388" i="15"/>
  <c r="BO388" i="15"/>
  <c r="BP388" i="15"/>
  <c r="BQ388" i="15"/>
  <c r="BR388" i="15"/>
  <c r="BS388" i="15"/>
  <c r="BT388" i="15"/>
  <c r="BU388" i="15"/>
  <c r="BV388" i="15"/>
  <c r="BW388" i="15"/>
  <c r="BX388" i="15"/>
  <c r="BY388" i="15"/>
  <c r="BZ388" i="15"/>
  <c r="CA388" i="15"/>
  <c r="CB388" i="15"/>
  <c r="CC388" i="15"/>
  <c r="CD388" i="15"/>
  <c r="CE388" i="15"/>
  <c r="CF388" i="15"/>
  <c r="CG388" i="15"/>
  <c r="CH388" i="15"/>
  <c r="CI388" i="15"/>
  <c r="CJ388" i="15"/>
  <c r="CK388" i="15"/>
  <c r="CL388" i="15"/>
  <c r="CM388" i="15"/>
  <c r="CN388" i="15"/>
  <c r="CO388" i="15"/>
  <c r="A389" i="15"/>
  <c r="B389" i="15"/>
  <c r="C389" i="15"/>
  <c r="D389" i="15"/>
  <c r="E389" i="15"/>
  <c r="F389" i="15"/>
  <c r="G389" i="15"/>
  <c r="H389" i="15"/>
  <c r="I389" i="15"/>
  <c r="J389" i="15"/>
  <c r="K389" i="15"/>
  <c r="L389" i="15"/>
  <c r="M389" i="15"/>
  <c r="N389" i="15"/>
  <c r="O389" i="15"/>
  <c r="P389" i="15"/>
  <c r="Q389" i="15"/>
  <c r="R389" i="15"/>
  <c r="S389" i="15"/>
  <c r="T389" i="15"/>
  <c r="U389" i="15"/>
  <c r="V389" i="15"/>
  <c r="W389" i="15"/>
  <c r="X389" i="15"/>
  <c r="Y389" i="15"/>
  <c r="Z389" i="15"/>
  <c r="AA389" i="15"/>
  <c r="AB389" i="15"/>
  <c r="AC389" i="15"/>
  <c r="AD389" i="15"/>
  <c r="AE389" i="15"/>
  <c r="AF389" i="15"/>
  <c r="AG389" i="15"/>
  <c r="AH389" i="15"/>
  <c r="AI389" i="15"/>
  <c r="AJ389" i="15"/>
  <c r="AK389" i="15"/>
  <c r="AL389" i="15"/>
  <c r="AM389" i="15"/>
  <c r="AN389" i="15"/>
  <c r="AO389" i="15"/>
  <c r="AP389" i="15"/>
  <c r="AQ389" i="15"/>
  <c r="AR389" i="15"/>
  <c r="AS389" i="15"/>
  <c r="AT389" i="15"/>
  <c r="AU389" i="15"/>
  <c r="AV389" i="15"/>
  <c r="AW389" i="15"/>
  <c r="AX389" i="15"/>
  <c r="AY389" i="15"/>
  <c r="AZ389" i="15"/>
  <c r="BA389" i="15"/>
  <c r="BB389" i="15"/>
  <c r="BC389" i="15"/>
  <c r="BD389" i="15"/>
  <c r="BE389" i="15"/>
  <c r="BF389" i="15"/>
  <c r="BG389" i="15"/>
  <c r="BH389" i="15"/>
  <c r="BI389" i="15"/>
  <c r="BJ389" i="15"/>
  <c r="BK389" i="15"/>
  <c r="BL389" i="15"/>
  <c r="BM389" i="15"/>
  <c r="BN389" i="15"/>
  <c r="BO389" i="15"/>
  <c r="BP389" i="15"/>
  <c r="BQ389" i="15"/>
  <c r="BR389" i="15"/>
  <c r="BS389" i="15"/>
  <c r="BT389" i="15"/>
  <c r="BU389" i="15"/>
  <c r="BV389" i="15"/>
  <c r="BW389" i="15"/>
  <c r="BX389" i="15"/>
  <c r="BY389" i="15"/>
  <c r="BZ389" i="15"/>
  <c r="CA389" i="15"/>
  <c r="CB389" i="15"/>
  <c r="CC389" i="15"/>
  <c r="CD389" i="15"/>
  <c r="CE389" i="15"/>
  <c r="CF389" i="15"/>
  <c r="CG389" i="15"/>
  <c r="CH389" i="15"/>
  <c r="CI389" i="15"/>
  <c r="CJ389" i="15"/>
  <c r="CK389" i="15"/>
  <c r="CL389" i="15"/>
  <c r="CM389" i="15"/>
  <c r="CN389" i="15"/>
  <c r="CO389" i="15"/>
  <c r="A390" i="15"/>
  <c r="B390" i="15"/>
  <c r="C390" i="15"/>
  <c r="D390" i="15"/>
  <c r="E390" i="15"/>
  <c r="F390" i="15"/>
  <c r="G390" i="15"/>
  <c r="H390" i="15"/>
  <c r="I390" i="15"/>
  <c r="J390" i="15"/>
  <c r="K390" i="15"/>
  <c r="L390" i="15"/>
  <c r="M390" i="15"/>
  <c r="N390" i="15"/>
  <c r="O390" i="15"/>
  <c r="P390" i="15"/>
  <c r="Q390" i="15"/>
  <c r="R390" i="15"/>
  <c r="S390" i="15"/>
  <c r="T390" i="15"/>
  <c r="U390" i="15"/>
  <c r="V390" i="15"/>
  <c r="W390" i="15"/>
  <c r="X390" i="15"/>
  <c r="Y390" i="15"/>
  <c r="Z390" i="15"/>
  <c r="AA390" i="15"/>
  <c r="AB390" i="15"/>
  <c r="AC390" i="15"/>
  <c r="AD390" i="15"/>
  <c r="AE390" i="15"/>
  <c r="AF390" i="15"/>
  <c r="AG390" i="15"/>
  <c r="AH390" i="15"/>
  <c r="AI390" i="15"/>
  <c r="AJ390" i="15"/>
  <c r="AK390" i="15"/>
  <c r="AL390" i="15"/>
  <c r="AM390" i="15"/>
  <c r="AN390" i="15"/>
  <c r="AO390" i="15"/>
  <c r="AP390" i="15"/>
  <c r="AQ390" i="15"/>
  <c r="AR390" i="15"/>
  <c r="AS390" i="15"/>
  <c r="AT390" i="15"/>
  <c r="AU390" i="15"/>
  <c r="AV390" i="15"/>
  <c r="AW390" i="15"/>
  <c r="AX390" i="15"/>
  <c r="AY390" i="15"/>
  <c r="AZ390" i="15"/>
  <c r="BA390" i="15"/>
  <c r="BB390" i="15"/>
  <c r="BC390" i="15"/>
  <c r="BD390" i="15"/>
  <c r="BE390" i="15"/>
  <c r="BF390" i="15"/>
  <c r="BG390" i="15"/>
  <c r="BH390" i="15"/>
  <c r="BI390" i="15"/>
  <c r="BJ390" i="15"/>
  <c r="BK390" i="15"/>
  <c r="BL390" i="15"/>
  <c r="BM390" i="15"/>
  <c r="BN390" i="15"/>
  <c r="BO390" i="15"/>
  <c r="BP390" i="15"/>
  <c r="BQ390" i="15"/>
  <c r="BR390" i="15"/>
  <c r="BS390" i="15"/>
  <c r="BT390" i="15"/>
  <c r="BU390" i="15"/>
  <c r="BV390" i="15"/>
  <c r="BW390" i="15"/>
  <c r="BX390" i="15"/>
  <c r="BY390" i="15"/>
  <c r="BZ390" i="15"/>
  <c r="CA390" i="15"/>
  <c r="CB390" i="15"/>
  <c r="CC390" i="15"/>
  <c r="CD390" i="15"/>
  <c r="CE390" i="15"/>
  <c r="CF390" i="15"/>
  <c r="CG390" i="15"/>
  <c r="CH390" i="15"/>
  <c r="CI390" i="15"/>
  <c r="CJ390" i="15"/>
  <c r="CK390" i="15"/>
  <c r="CL390" i="15"/>
  <c r="CM390" i="15"/>
  <c r="CN390" i="15"/>
  <c r="CO390" i="15"/>
  <c r="A391" i="15"/>
  <c r="B391" i="15"/>
  <c r="C391" i="15"/>
  <c r="D391" i="15"/>
  <c r="E391" i="15"/>
  <c r="F391" i="15"/>
  <c r="G391" i="15"/>
  <c r="H391" i="15"/>
  <c r="I391" i="15"/>
  <c r="J391" i="15"/>
  <c r="K391" i="15"/>
  <c r="L391" i="15"/>
  <c r="M391" i="15"/>
  <c r="N391" i="15"/>
  <c r="O391" i="15"/>
  <c r="P391" i="15"/>
  <c r="Q391" i="15"/>
  <c r="R391" i="15"/>
  <c r="S391" i="15"/>
  <c r="T391" i="15"/>
  <c r="U391" i="15"/>
  <c r="V391" i="15"/>
  <c r="W391" i="15"/>
  <c r="X391" i="15"/>
  <c r="Y391" i="15"/>
  <c r="Z391" i="15"/>
  <c r="AA391" i="15"/>
  <c r="AB391" i="15"/>
  <c r="AC391" i="15"/>
  <c r="AD391" i="15"/>
  <c r="AE391" i="15"/>
  <c r="AF391" i="15"/>
  <c r="AG391" i="15"/>
  <c r="AH391" i="15"/>
  <c r="AI391" i="15"/>
  <c r="AJ391" i="15"/>
  <c r="AK391" i="15"/>
  <c r="AL391" i="15"/>
  <c r="AM391" i="15"/>
  <c r="AN391" i="15"/>
  <c r="AO391" i="15"/>
  <c r="AP391" i="15"/>
  <c r="AQ391" i="15"/>
  <c r="AR391" i="15"/>
  <c r="AS391" i="15"/>
  <c r="AT391" i="15"/>
  <c r="AU391" i="15"/>
  <c r="AV391" i="15"/>
  <c r="AW391" i="15"/>
  <c r="AX391" i="15"/>
  <c r="AY391" i="15"/>
  <c r="AZ391" i="15"/>
  <c r="BA391" i="15"/>
  <c r="BB391" i="15"/>
  <c r="BC391" i="15"/>
  <c r="BD391" i="15"/>
  <c r="BE391" i="15"/>
  <c r="BF391" i="15"/>
  <c r="BG391" i="15"/>
  <c r="BH391" i="15"/>
  <c r="BI391" i="15"/>
  <c r="BJ391" i="15"/>
  <c r="BK391" i="15"/>
  <c r="BL391" i="15"/>
  <c r="BM391" i="15"/>
  <c r="BN391" i="15"/>
  <c r="BO391" i="15"/>
  <c r="BP391" i="15"/>
  <c r="BQ391" i="15"/>
  <c r="BR391" i="15"/>
  <c r="BS391" i="15"/>
  <c r="BT391" i="15"/>
  <c r="BU391" i="15"/>
  <c r="BV391" i="15"/>
  <c r="BW391" i="15"/>
  <c r="BX391" i="15"/>
  <c r="BY391" i="15"/>
  <c r="BZ391" i="15"/>
  <c r="CA391" i="15"/>
  <c r="CB391" i="15"/>
  <c r="CC391" i="15"/>
  <c r="CD391" i="15"/>
  <c r="CE391" i="15"/>
  <c r="CF391" i="15"/>
  <c r="CG391" i="15"/>
  <c r="CH391" i="15"/>
  <c r="CI391" i="15"/>
  <c r="CJ391" i="15"/>
  <c r="CK391" i="15"/>
  <c r="CL391" i="15"/>
  <c r="CM391" i="15"/>
  <c r="CN391" i="15"/>
  <c r="CO391" i="15"/>
  <c r="A392" i="15"/>
  <c r="B392" i="15"/>
  <c r="C392" i="15"/>
  <c r="D392" i="15"/>
  <c r="E392" i="15"/>
  <c r="F392" i="15"/>
  <c r="G392" i="15"/>
  <c r="H392" i="15"/>
  <c r="I392" i="15"/>
  <c r="J392" i="15"/>
  <c r="K392" i="15"/>
  <c r="L392" i="15"/>
  <c r="M392" i="15"/>
  <c r="N392" i="15"/>
  <c r="O392" i="15"/>
  <c r="P392" i="15"/>
  <c r="Q392" i="15"/>
  <c r="R392" i="15"/>
  <c r="S392" i="15"/>
  <c r="T392" i="15"/>
  <c r="U392" i="15"/>
  <c r="V392" i="15"/>
  <c r="W392" i="15"/>
  <c r="X392" i="15"/>
  <c r="Y392" i="15"/>
  <c r="Z392" i="15"/>
  <c r="AA392" i="15"/>
  <c r="AB392" i="15"/>
  <c r="AC392" i="15"/>
  <c r="AD392" i="15"/>
  <c r="AE392" i="15"/>
  <c r="AF392" i="15"/>
  <c r="AG392" i="15"/>
  <c r="AH392" i="15"/>
  <c r="AI392" i="15"/>
  <c r="AJ392" i="15"/>
  <c r="AK392" i="15"/>
  <c r="AL392" i="15"/>
  <c r="AM392" i="15"/>
  <c r="AN392" i="15"/>
  <c r="AO392" i="15"/>
  <c r="AP392" i="15"/>
  <c r="AQ392" i="15"/>
  <c r="AR392" i="15"/>
  <c r="AS392" i="15"/>
  <c r="AT392" i="15"/>
  <c r="AU392" i="15"/>
  <c r="AV392" i="15"/>
  <c r="AW392" i="15"/>
  <c r="AX392" i="15"/>
  <c r="AY392" i="15"/>
  <c r="AZ392" i="15"/>
  <c r="BA392" i="15"/>
  <c r="BB392" i="15"/>
  <c r="BC392" i="15"/>
  <c r="BD392" i="15"/>
  <c r="BE392" i="15"/>
  <c r="BF392" i="15"/>
  <c r="BG392" i="15"/>
  <c r="BH392" i="15"/>
  <c r="BI392" i="15"/>
  <c r="BJ392" i="15"/>
  <c r="BK392" i="15"/>
  <c r="BL392" i="15"/>
  <c r="BM392" i="15"/>
  <c r="BN392" i="15"/>
  <c r="BO392" i="15"/>
  <c r="BP392" i="15"/>
  <c r="BQ392" i="15"/>
  <c r="BR392" i="15"/>
  <c r="BS392" i="15"/>
  <c r="BT392" i="15"/>
  <c r="BU392" i="15"/>
  <c r="BV392" i="15"/>
  <c r="BW392" i="15"/>
  <c r="BX392" i="15"/>
  <c r="BY392" i="15"/>
  <c r="BZ392" i="15"/>
  <c r="CA392" i="15"/>
  <c r="CB392" i="15"/>
  <c r="CC392" i="15"/>
  <c r="CD392" i="15"/>
  <c r="CE392" i="15"/>
  <c r="CF392" i="15"/>
  <c r="CG392" i="15"/>
  <c r="CH392" i="15"/>
  <c r="CI392" i="15"/>
  <c r="CJ392" i="15"/>
  <c r="CK392" i="15"/>
  <c r="CL392" i="15"/>
  <c r="CM392" i="15"/>
  <c r="CN392" i="15"/>
  <c r="CO392" i="15"/>
  <c r="A393" i="15"/>
  <c r="B393" i="15"/>
  <c r="C393" i="15"/>
  <c r="D393" i="15"/>
  <c r="E393" i="15"/>
  <c r="F393" i="15"/>
  <c r="G393" i="15"/>
  <c r="H393" i="15"/>
  <c r="I393" i="15"/>
  <c r="J393" i="15"/>
  <c r="K393" i="15"/>
  <c r="L393" i="15"/>
  <c r="M393" i="15"/>
  <c r="N393" i="15"/>
  <c r="O393" i="15"/>
  <c r="P393" i="15"/>
  <c r="Q393" i="15"/>
  <c r="R393" i="15"/>
  <c r="S393" i="15"/>
  <c r="T393" i="15"/>
  <c r="U393" i="15"/>
  <c r="V393" i="15"/>
  <c r="W393" i="15"/>
  <c r="X393" i="15"/>
  <c r="Y393" i="15"/>
  <c r="Z393" i="15"/>
  <c r="AA393" i="15"/>
  <c r="AB393" i="15"/>
  <c r="AC393" i="15"/>
  <c r="AD393" i="15"/>
  <c r="AE393" i="15"/>
  <c r="AF393" i="15"/>
  <c r="AG393" i="15"/>
  <c r="AH393" i="15"/>
  <c r="AI393" i="15"/>
  <c r="AJ393" i="15"/>
  <c r="AK393" i="15"/>
  <c r="AL393" i="15"/>
  <c r="AM393" i="15"/>
  <c r="AN393" i="15"/>
  <c r="AO393" i="15"/>
  <c r="AP393" i="15"/>
  <c r="AQ393" i="15"/>
  <c r="AR393" i="15"/>
  <c r="AS393" i="15"/>
  <c r="AT393" i="15"/>
  <c r="AU393" i="15"/>
  <c r="AV393" i="15"/>
  <c r="AW393" i="15"/>
  <c r="AX393" i="15"/>
  <c r="AY393" i="15"/>
  <c r="AZ393" i="15"/>
  <c r="BA393" i="15"/>
  <c r="BB393" i="15"/>
  <c r="BC393" i="15"/>
  <c r="BD393" i="15"/>
  <c r="BE393" i="15"/>
  <c r="BF393" i="15"/>
  <c r="BG393" i="15"/>
  <c r="BH393" i="15"/>
  <c r="BI393" i="15"/>
  <c r="BJ393" i="15"/>
  <c r="BK393" i="15"/>
  <c r="BL393" i="15"/>
  <c r="BM393" i="15"/>
  <c r="BN393" i="15"/>
  <c r="BO393" i="15"/>
  <c r="BP393" i="15"/>
  <c r="BQ393" i="15"/>
  <c r="BR393" i="15"/>
  <c r="BS393" i="15"/>
  <c r="BT393" i="15"/>
  <c r="BU393" i="15"/>
  <c r="BV393" i="15"/>
  <c r="BW393" i="15"/>
  <c r="BX393" i="15"/>
  <c r="BY393" i="15"/>
  <c r="BZ393" i="15"/>
  <c r="CA393" i="15"/>
  <c r="CB393" i="15"/>
  <c r="CC393" i="15"/>
  <c r="CD393" i="15"/>
  <c r="CE393" i="15"/>
  <c r="CF393" i="15"/>
  <c r="CG393" i="15"/>
  <c r="CH393" i="15"/>
  <c r="CI393" i="15"/>
  <c r="CJ393" i="15"/>
  <c r="CK393" i="15"/>
  <c r="CL393" i="15"/>
  <c r="CM393" i="15"/>
  <c r="CN393" i="15"/>
  <c r="CO393" i="15"/>
  <c r="A394" i="15"/>
  <c r="B394" i="15"/>
  <c r="C394" i="15"/>
  <c r="D394" i="15"/>
  <c r="E394" i="15"/>
  <c r="F394" i="15"/>
  <c r="G394" i="15"/>
  <c r="H394" i="15"/>
  <c r="I394" i="15"/>
  <c r="J394" i="15"/>
  <c r="K394" i="15"/>
  <c r="L394" i="15"/>
  <c r="M394" i="15"/>
  <c r="N394" i="15"/>
  <c r="O394" i="15"/>
  <c r="P394" i="15"/>
  <c r="Q394" i="15"/>
  <c r="R394" i="15"/>
  <c r="S394" i="15"/>
  <c r="T394" i="15"/>
  <c r="U394" i="15"/>
  <c r="V394" i="15"/>
  <c r="W394" i="15"/>
  <c r="X394" i="15"/>
  <c r="Y394" i="15"/>
  <c r="Z394" i="15"/>
  <c r="AA394" i="15"/>
  <c r="AB394" i="15"/>
  <c r="AC394" i="15"/>
  <c r="AD394" i="15"/>
  <c r="AE394" i="15"/>
  <c r="AF394" i="15"/>
  <c r="AG394" i="15"/>
  <c r="AH394" i="15"/>
  <c r="AI394" i="15"/>
  <c r="AJ394" i="15"/>
  <c r="AK394" i="15"/>
  <c r="AL394" i="15"/>
  <c r="AM394" i="15"/>
  <c r="AN394" i="15"/>
  <c r="AO394" i="15"/>
  <c r="AP394" i="15"/>
  <c r="AQ394" i="15"/>
  <c r="AR394" i="15"/>
  <c r="AS394" i="15"/>
  <c r="AT394" i="15"/>
  <c r="AU394" i="15"/>
  <c r="AV394" i="15"/>
  <c r="AW394" i="15"/>
  <c r="AX394" i="15"/>
  <c r="AY394" i="15"/>
  <c r="AZ394" i="15"/>
  <c r="BA394" i="15"/>
  <c r="BB394" i="15"/>
  <c r="BC394" i="15"/>
  <c r="BD394" i="15"/>
  <c r="BE394" i="15"/>
  <c r="BF394" i="15"/>
  <c r="BG394" i="15"/>
  <c r="BH394" i="15"/>
  <c r="BI394" i="15"/>
  <c r="BJ394" i="15"/>
  <c r="BK394" i="15"/>
  <c r="BL394" i="15"/>
  <c r="BM394" i="15"/>
  <c r="BN394" i="15"/>
  <c r="BO394" i="15"/>
  <c r="BP394" i="15"/>
  <c r="BQ394" i="15"/>
  <c r="BR394" i="15"/>
  <c r="BS394" i="15"/>
  <c r="BT394" i="15"/>
  <c r="BU394" i="15"/>
  <c r="BV394" i="15"/>
  <c r="BW394" i="15"/>
  <c r="BX394" i="15"/>
  <c r="BY394" i="15"/>
  <c r="BZ394" i="15"/>
  <c r="CA394" i="15"/>
  <c r="CB394" i="15"/>
  <c r="CC394" i="15"/>
  <c r="CD394" i="15"/>
  <c r="CE394" i="15"/>
  <c r="CF394" i="15"/>
  <c r="CG394" i="15"/>
  <c r="CH394" i="15"/>
  <c r="CI394" i="15"/>
  <c r="CJ394" i="15"/>
  <c r="CK394" i="15"/>
  <c r="CL394" i="15"/>
  <c r="CM394" i="15"/>
  <c r="CN394" i="15"/>
  <c r="CO394" i="15"/>
  <c r="A395" i="15"/>
  <c r="B395" i="15"/>
  <c r="C395" i="15"/>
  <c r="D395" i="15"/>
  <c r="E395" i="15"/>
  <c r="F395" i="15"/>
  <c r="G395" i="15"/>
  <c r="H395" i="15"/>
  <c r="I395" i="15"/>
  <c r="J395" i="15"/>
  <c r="K395" i="15"/>
  <c r="L395" i="15"/>
  <c r="M395" i="15"/>
  <c r="N395" i="15"/>
  <c r="O395" i="15"/>
  <c r="P395" i="15"/>
  <c r="Q395" i="15"/>
  <c r="R395" i="15"/>
  <c r="S395" i="15"/>
  <c r="T395" i="15"/>
  <c r="U395" i="15"/>
  <c r="V395" i="15"/>
  <c r="W395" i="15"/>
  <c r="X395" i="15"/>
  <c r="Y395" i="15"/>
  <c r="Z395" i="15"/>
  <c r="AA395" i="15"/>
  <c r="AB395" i="15"/>
  <c r="AC395" i="15"/>
  <c r="AD395" i="15"/>
  <c r="AE395" i="15"/>
  <c r="AF395" i="15"/>
  <c r="AG395" i="15"/>
  <c r="AH395" i="15"/>
  <c r="AI395" i="15"/>
  <c r="AJ395" i="15"/>
  <c r="AK395" i="15"/>
  <c r="AL395" i="15"/>
  <c r="AM395" i="15"/>
  <c r="AN395" i="15"/>
  <c r="AO395" i="15"/>
  <c r="AP395" i="15"/>
  <c r="AQ395" i="15"/>
  <c r="AR395" i="15"/>
  <c r="AS395" i="15"/>
  <c r="AT395" i="15"/>
  <c r="AU395" i="15"/>
  <c r="AV395" i="15"/>
  <c r="AW395" i="15"/>
  <c r="AX395" i="15"/>
  <c r="AY395" i="15"/>
  <c r="AZ395" i="15"/>
  <c r="BA395" i="15"/>
  <c r="BB395" i="15"/>
  <c r="BC395" i="15"/>
  <c r="BD395" i="15"/>
  <c r="BE395" i="15"/>
  <c r="BF395" i="15"/>
  <c r="BG395" i="15"/>
  <c r="BH395" i="15"/>
  <c r="BI395" i="15"/>
  <c r="BJ395" i="15"/>
  <c r="BK395" i="15"/>
  <c r="BL395" i="15"/>
  <c r="BM395" i="15"/>
  <c r="BN395" i="15"/>
  <c r="BO395" i="15"/>
  <c r="BP395" i="15"/>
  <c r="BQ395" i="15"/>
  <c r="BR395" i="15"/>
  <c r="BS395" i="15"/>
  <c r="BT395" i="15"/>
  <c r="BU395" i="15"/>
  <c r="BV395" i="15"/>
  <c r="BW395" i="15"/>
  <c r="BX395" i="15"/>
  <c r="BY395" i="15"/>
  <c r="BZ395" i="15"/>
  <c r="CA395" i="15"/>
  <c r="CB395" i="15"/>
  <c r="CC395" i="15"/>
  <c r="CD395" i="15"/>
  <c r="CE395" i="15"/>
  <c r="CF395" i="15"/>
  <c r="CG395" i="15"/>
  <c r="CH395" i="15"/>
  <c r="CI395" i="15"/>
  <c r="CJ395" i="15"/>
  <c r="CK395" i="15"/>
  <c r="CL395" i="15"/>
  <c r="CM395" i="15"/>
  <c r="CN395" i="15"/>
  <c r="CO395" i="15"/>
  <c r="A396" i="15"/>
  <c r="B396" i="15"/>
  <c r="C396" i="15"/>
  <c r="D396" i="15"/>
  <c r="E396" i="15"/>
  <c r="F396" i="15"/>
  <c r="G396" i="15"/>
  <c r="H396" i="15"/>
  <c r="I396" i="15"/>
  <c r="J396" i="15"/>
  <c r="K396" i="15"/>
  <c r="L396" i="15"/>
  <c r="M396" i="15"/>
  <c r="N396" i="15"/>
  <c r="O396" i="15"/>
  <c r="P396" i="15"/>
  <c r="Q396" i="15"/>
  <c r="R396" i="15"/>
  <c r="S396" i="15"/>
  <c r="T396" i="15"/>
  <c r="U396" i="15"/>
  <c r="V396" i="15"/>
  <c r="W396" i="15"/>
  <c r="X396" i="15"/>
  <c r="Y396" i="15"/>
  <c r="Z396" i="15"/>
  <c r="AA396" i="15"/>
  <c r="AB396" i="15"/>
  <c r="AC396" i="15"/>
  <c r="AD396" i="15"/>
  <c r="AE396" i="15"/>
  <c r="AF396" i="15"/>
  <c r="AG396" i="15"/>
  <c r="AH396" i="15"/>
  <c r="AI396" i="15"/>
  <c r="AJ396" i="15"/>
  <c r="AK396" i="15"/>
  <c r="AL396" i="15"/>
  <c r="AM396" i="15"/>
  <c r="AN396" i="15"/>
  <c r="AO396" i="15"/>
  <c r="AP396" i="15"/>
  <c r="AQ396" i="15"/>
  <c r="AR396" i="15"/>
  <c r="AS396" i="15"/>
  <c r="AT396" i="15"/>
  <c r="AU396" i="15"/>
  <c r="AV396" i="15"/>
  <c r="AW396" i="15"/>
  <c r="AX396" i="15"/>
  <c r="AY396" i="15"/>
  <c r="AZ396" i="15"/>
  <c r="BA396" i="15"/>
  <c r="BB396" i="15"/>
  <c r="BC396" i="15"/>
  <c r="BD396" i="15"/>
  <c r="BE396" i="15"/>
  <c r="BF396" i="15"/>
  <c r="BG396" i="15"/>
  <c r="BH396" i="15"/>
  <c r="BI396" i="15"/>
  <c r="BJ396" i="15"/>
  <c r="BK396" i="15"/>
  <c r="BL396" i="15"/>
  <c r="BM396" i="15"/>
  <c r="BN396" i="15"/>
  <c r="BO396" i="15"/>
  <c r="BP396" i="15"/>
  <c r="BQ396" i="15"/>
  <c r="BR396" i="15"/>
  <c r="BS396" i="15"/>
  <c r="BT396" i="15"/>
  <c r="BU396" i="15"/>
  <c r="BV396" i="15"/>
  <c r="BW396" i="15"/>
  <c r="BX396" i="15"/>
  <c r="BY396" i="15"/>
  <c r="BZ396" i="15"/>
  <c r="CA396" i="15"/>
  <c r="CB396" i="15"/>
  <c r="CC396" i="15"/>
  <c r="CD396" i="15"/>
  <c r="CE396" i="15"/>
  <c r="CF396" i="15"/>
  <c r="CG396" i="15"/>
  <c r="CH396" i="15"/>
  <c r="CI396" i="15"/>
  <c r="CJ396" i="15"/>
  <c r="CK396" i="15"/>
  <c r="CL396" i="15"/>
  <c r="CM396" i="15"/>
  <c r="CN396" i="15"/>
  <c r="CO396" i="15"/>
  <c r="A397" i="15"/>
  <c r="B397" i="15"/>
  <c r="C397" i="15"/>
  <c r="D397" i="15"/>
  <c r="E397" i="15"/>
  <c r="F397" i="15"/>
  <c r="G397" i="15"/>
  <c r="H397" i="15"/>
  <c r="I397" i="15"/>
  <c r="J397" i="15"/>
  <c r="K397" i="15"/>
  <c r="L397" i="15"/>
  <c r="M397" i="15"/>
  <c r="N397" i="15"/>
  <c r="O397" i="15"/>
  <c r="P397" i="15"/>
  <c r="Q397" i="15"/>
  <c r="R397" i="15"/>
  <c r="S397" i="15"/>
  <c r="T397" i="15"/>
  <c r="U397" i="15"/>
  <c r="V397" i="15"/>
  <c r="W397" i="15"/>
  <c r="X397" i="15"/>
  <c r="Y397" i="15"/>
  <c r="Z397" i="15"/>
  <c r="AA397" i="15"/>
  <c r="AB397" i="15"/>
  <c r="AC397" i="15"/>
  <c r="AD397" i="15"/>
  <c r="AE397" i="15"/>
  <c r="AF397" i="15"/>
  <c r="AG397" i="15"/>
  <c r="AH397" i="15"/>
  <c r="AI397" i="15"/>
  <c r="AJ397" i="15"/>
  <c r="AK397" i="15"/>
  <c r="AL397" i="15"/>
  <c r="AM397" i="15"/>
  <c r="AN397" i="15"/>
  <c r="AO397" i="15"/>
  <c r="AP397" i="15"/>
  <c r="AQ397" i="15"/>
  <c r="AR397" i="15"/>
  <c r="AS397" i="15"/>
  <c r="AT397" i="15"/>
  <c r="AU397" i="15"/>
  <c r="AV397" i="15"/>
  <c r="AW397" i="15"/>
  <c r="AX397" i="15"/>
  <c r="AY397" i="15"/>
  <c r="AZ397" i="15"/>
  <c r="BA397" i="15"/>
  <c r="BB397" i="15"/>
  <c r="BC397" i="15"/>
  <c r="BD397" i="15"/>
  <c r="BE397" i="15"/>
  <c r="BF397" i="15"/>
  <c r="BG397" i="15"/>
  <c r="BH397" i="15"/>
  <c r="BI397" i="15"/>
  <c r="BJ397" i="15"/>
  <c r="BK397" i="15"/>
  <c r="BL397" i="15"/>
  <c r="BM397" i="15"/>
  <c r="BN397" i="15"/>
  <c r="BO397" i="15"/>
  <c r="BP397" i="15"/>
  <c r="BQ397" i="15"/>
  <c r="BR397" i="15"/>
  <c r="BS397" i="15"/>
  <c r="BT397" i="15"/>
  <c r="BU397" i="15"/>
  <c r="BV397" i="15"/>
  <c r="BW397" i="15"/>
  <c r="BX397" i="15"/>
  <c r="BY397" i="15"/>
  <c r="BZ397" i="15"/>
  <c r="CA397" i="15"/>
  <c r="CB397" i="15"/>
  <c r="CC397" i="15"/>
  <c r="CD397" i="15"/>
  <c r="CE397" i="15"/>
  <c r="CF397" i="15"/>
  <c r="CG397" i="15"/>
  <c r="CH397" i="15"/>
  <c r="CI397" i="15"/>
  <c r="CJ397" i="15"/>
  <c r="CK397" i="15"/>
  <c r="CL397" i="15"/>
  <c r="CM397" i="15"/>
  <c r="CN397" i="15"/>
  <c r="CO397" i="15"/>
  <c r="A398" i="15"/>
  <c r="B398" i="15"/>
  <c r="C398" i="15"/>
  <c r="D398" i="15"/>
  <c r="E398" i="15"/>
  <c r="F398" i="15"/>
  <c r="G398" i="15"/>
  <c r="H398" i="15"/>
  <c r="I398" i="15"/>
  <c r="J398" i="15"/>
  <c r="K398" i="15"/>
  <c r="L398" i="15"/>
  <c r="M398" i="15"/>
  <c r="N398" i="15"/>
  <c r="O398" i="15"/>
  <c r="P398" i="15"/>
  <c r="Q398" i="15"/>
  <c r="R398" i="15"/>
  <c r="S398" i="15"/>
  <c r="T398" i="15"/>
  <c r="U398" i="15"/>
  <c r="V398" i="15"/>
  <c r="W398" i="15"/>
  <c r="X398" i="15"/>
  <c r="Y398" i="15"/>
  <c r="Z398" i="15"/>
  <c r="AA398" i="15"/>
  <c r="AB398" i="15"/>
  <c r="AC398" i="15"/>
  <c r="AD398" i="15"/>
  <c r="AE398" i="15"/>
  <c r="AF398" i="15"/>
  <c r="AG398" i="15"/>
  <c r="AH398" i="15"/>
  <c r="AI398" i="15"/>
  <c r="AJ398" i="15"/>
  <c r="AK398" i="15"/>
  <c r="AL398" i="15"/>
  <c r="AM398" i="15"/>
  <c r="AN398" i="15"/>
  <c r="AO398" i="15"/>
  <c r="AP398" i="15"/>
  <c r="AQ398" i="15"/>
  <c r="AR398" i="15"/>
  <c r="AS398" i="15"/>
  <c r="AT398" i="15"/>
  <c r="AU398" i="15"/>
  <c r="AV398" i="15"/>
  <c r="AW398" i="15"/>
  <c r="AX398" i="15"/>
  <c r="AY398" i="15"/>
  <c r="AZ398" i="15"/>
  <c r="BA398" i="15"/>
  <c r="BB398" i="15"/>
  <c r="BC398" i="15"/>
  <c r="BD398" i="15"/>
  <c r="BE398" i="15"/>
  <c r="BF398" i="15"/>
  <c r="BG398" i="15"/>
  <c r="BH398" i="15"/>
  <c r="BI398" i="15"/>
  <c r="BJ398" i="15"/>
  <c r="BK398" i="15"/>
  <c r="BL398" i="15"/>
  <c r="BM398" i="15"/>
  <c r="BN398" i="15"/>
  <c r="BO398" i="15"/>
  <c r="BP398" i="15"/>
  <c r="BQ398" i="15"/>
  <c r="BR398" i="15"/>
  <c r="BS398" i="15"/>
  <c r="BT398" i="15"/>
  <c r="BU398" i="15"/>
  <c r="BV398" i="15"/>
  <c r="BW398" i="15"/>
  <c r="BX398" i="15"/>
  <c r="BY398" i="15"/>
  <c r="BZ398" i="15"/>
  <c r="CA398" i="15"/>
  <c r="CB398" i="15"/>
  <c r="CC398" i="15"/>
  <c r="CD398" i="15"/>
  <c r="CE398" i="15"/>
  <c r="CF398" i="15"/>
  <c r="CG398" i="15"/>
  <c r="CH398" i="15"/>
  <c r="CI398" i="15"/>
  <c r="CJ398" i="15"/>
  <c r="CK398" i="15"/>
  <c r="CL398" i="15"/>
  <c r="CM398" i="15"/>
  <c r="CN398" i="15"/>
  <c r="CO398" i="15"/>
  <c r="A399" i="15"/>
  <c r="B399" i="15"/>
  <c r="C399" i="15"/>
  <c r="D399" i="15"/>
  <c r="E399" i="15"/>
  <c r="F399" i="15"/>
  <c r="G399" i="15"/>
  <c r="H399" i="15"/>
  <c r="I399" i="15"/>
  <c r="J399" i="15"/>
  <c r="K399" i="15"/>
  <c r="L399" i="15"/>
  <c r="M399" i="15"/>
  <c r="N399" i="15"/>
  <c r="O399" i="15"/>
  <c r="P399" i="15"/>
  <c r="Q399" i="15"/>
  <c r="R399" i="15"/>
  <c r="S399" i="15"/>
  <c r="T399" i="15"/>
  <c r="U399" i="15"/>
  <c r="V399" i="15"/>
  <c r="W399" i="15"/>
  <c r="X399" i="15"/>
  <c r="Y399" i="15"/>
  <c r="Z399" i="15"/>
  <c r="AA399" i="15"/>
  <c r="AB399" i="15"/>
  <c r="AC399" i="15"/>
  <c r="AD399" i="15"/>
  <c r="AE399" i="15"/>
  <c r="AF399" i="15"/>
  <c r="AG399" i="15"/>
  <c r="AH399" i="15"/>
  <c r="AI399" i="15"/>
  <c r="AJ399" i="15"/>
  <c r="AK399" i="15"/>
  <c r="AL399" i="15"/>
  <c r="AM399" i="15"/>
  <c r="AN399" i="15"/>
  <c r="AO399" i="15"/>
  <c r="AP399" i="15"/>
  <c r="AQ399" i="15"/>
  <c r="AR399" i="15"/>
  <c r="AS399" i="15"/>
  <c r="AT399" i="15"/>
  <c r="AU399" i="15"/>
  <c r="AV399" i="15"/>
  <c r="AW399" i="15"/>
  <c r="AX399" i="15"/>
  <c r="AY399" i="15"/>
  <c r="AZ399" i="15"/>
  <c r="BA399" i="15"/>
  <c r="BB399" i="15"/>
  <c r="BC399" i="15"/>
  <c r="BD399" i="15"/>
  <c r="BE399" i="15"/>
  <c r="BF399" i="15"/>
  <c r="BG399" i="15"/>
  <c r="BH399" i="15"/>
  <c r="BI399" i="15"/>
  <c r="BJ399" i="15"/>
  <c r="BK399" i="15"/>
  <c r="BL399" i="15"/>
  <c r="BM399" i="15"/>
  <c r="BN399" i="15"/>
  <c r="BO399" i="15"/>
  <c r="BP399" i="15"/>
  <c r="BQ399" i="15"/>
  <c r="BR399" i="15"/>
  <c r="BS399" i="15"/>
  <c r="BT399" i="15"/>
  <c r="BU399" i="15"/>
  <c r="BV399" i="15"/>
  <c r="BW399" i="15"/>
  <c r="BX399" i="15"/>
  <c r="BY399" i="15"/>
  <c r="BZ399" i="15"/>
  <c r="CA399" i="15"/>
  <c r="CB399" i="15"/>
  <c r="CC399" i="15"/>
  <c r="CD399" i="15"/>
  <c r="CE399" i="15"/>
  <c r="CF399" i="15"/>
  <c r="CG399" i="15"/>
  <c r="CH399" i="15"/>
  <c r="CI399" i="15"/>
  <c r="CJ399" i="15"/>
  <c r="CK399" i="15"/>
  <c r="CL399" i="15"/>
  <c r="CM399" i="15"/>
  <c r="CN399" i="15"/>
  <c r="CO399" i="15"/>
  <c r="A400" i="15"/>
  <c r="B400" i="15"/>
  <c r="C400" i="15"/>
  <c r="D400" i="15"/>
  <c r="E400" i="15"/>
  <c r="F400" i="15"/>
  <c r="G400" i="15"/>
  <c r="H400" i="15"/>
  <c r="I400" i="15"/>
  <c r="J400" i="15"/>
  <c r="K400" i="15"/>
  <c r="L400" i="15"/>
  <c r="M400" i="15"/>
  <c r="N400" i="15"/>
  <c r="O400" i="15"/>
  <c r="P400" i="15"/>
  <c r="Q400" i="15"/>
  <c r="R400" i="15"/>
  <c r="S400" i="15"/>
  <c r="T400" i="15"/>
  <c r="U400" i="15"/>
  <c r="V400" i="15"/>
  <c r="W400" i="15"/>
  <c r="X400" i="15"/>
  <c r="Y400" i="15"/>
  <c r="Z400" i="15"/>
  <c r="AA400" i="15"/>
  <c r="AB400" i="15"/>
  <c r="AC400" i="15"/>
  <c r="AD400" i="15"/>
  <c r="AE400" i="15"/>
  <c r="AF400" i="15"/>
  <c r="AG400" i="15"/>
  <c r="AH400" i="15"/>
  <c r="AI400" i="15"/>
  <c r="AJ400" i="15"/>
  <c r="AK400" i="15"/>
  <c r="AL400" i="15"/>
  <c r="AM400" i="15"/>
  <c r="AN400" i="15"/>
  <c r="AO400" i="15"/>
  <c r="AP400" i="15"/>
  <c r="AQ400" i="15"/>
  <c r="AR400" i="15"/>
  <c r="AS400" i="15"/>
  <c r="AT400" i="15"/>
  <c r="AU400" i="15"/>
  <c r="AV400" i="15"/>
  <c r="AW400" i="15"/>
  <c r="AX400" i="15"/>
  <c r="AY400" i="15"/>
  <c r="AZ400" i="15"/>
  <c r="BA400" i="15"/>
  <c r="BB400" i="15"/>
  <c r="BC400" i="15"/>
  <c r="BD400" i="15"/>
  <c r="BE400" i="15"/>
  <c r="BF400" i="15"/>
  <c r="BG400" i="15"/>
  <c r="BH400" i="15"/>
  <c r="BI400" i="15"/>
  <c r="BJ400" i="15"/>
  <c r="BK400" i="15"/>
  <c r="BL400" i="15"/>
  <c r="BM400" i="15"/>
  <c r="BN400" i="15"/>
  <c r="BO400" i="15"/>
  <c r="BP400" i="15"/>
  <c r="BQ400" i="15"/>
  <c r="BR400" i="15"/>
  <c r="BS400" i="15"/>
  <c r="BT400" i="15"/>
  <c r="BU400" i="15"/>
  <c r="BV400" i="15"/>
  <c r="BW400" i="15"/>
  <c r="BX400" i="15"/>
  <c r="BY400" i="15"/>
  <c r="BZ400" i="15"/>
  <c r="CA400" i="15"/>
  <c r="CB400" i="15"/>
  <c r="CC400" i="15"/>
  <c r="CD400" i="15"/>
  <c r="CE400" i="15"/>
  <c r="CF400" i="15"/>
  <c r="CG400" i="15"/>
  <c r="CH400" i="15"/>
  <c r="CI400" i="15"/>
  <c r="CJ400" i="15"/>
  <c r="CK400" i="15"/>
  <c r="CL400" i="15"/>
  <c r="CM400" i="15"/>
  <c r="CN400" i="15"/>
  <c r="CO400" i="15"/>
  <c r="A401" i="15"/>
  <c r="B401" i="15"/>
  <c r="C401" i="15"/>
  <c r="D401" i="15"/>
  <c r="E401" i="15"/>
  <c r="F401" i="15"/>
  <c r="G401" i="15"/>
  <c r="H401" i="15"/>
  <c r="I401" i="15"/>
  <c r="J401" i="15"/>
  <c r="K401" i="15"/>
  <c r="L401" i="15"/>
  <c r="M401" i="15"/>
  <c r="N401" i="15"/>
  <c r="O401" i="15"/>
  <c r="P401" i="15"/>
  <c r="Q401" i="15"/>
  <c r="R401" i="15"/>
  <c r="S401" i="15"/>
  <c r="T401" i="15"/>
  <c r="U401" i="15"/>
  <c r="V401" i="15"/>
  <c r="W401" i="15"/>
  <c r="X401" i="15"/>
  <c r="Y401" i="15"/>
  <c r="Z401" i="15"/>
  <c r="AA401" i="15"/>
  <c r="AB401" i="15"/>
  <c r="AC401" i="15"/>
  <c r="AD401" i="15"/>
  <c r="AE401" i="15"/>
  <c r="AF401" i="15"/>
  <c r="AG401" i="15"/>
  <c r="AH401" i="15"/>
  <c r="AI401" i="15"/>
  <c r="AJ401" i="15"/>
  <c r="AK401" i="15"/>
  <c r="AL401" i="15"/>
  <c r="AM401" i="15"/>
  <c r="AN401" i="15"/>
  <c r="AO401" i="15"/>
  <c r="AP401" i="15"/>
  <c r="AQ401" i="15"/>
  <c r="AR401" i="15"/>
  <c r="AS401" i="15"/>
  <c r="AT401" i="15"/>
  <c r="AU401" i="15"/>
  <c r="AV401" i="15"/>
  <c r="AW401" i="15"/>
  <c r="AX401" i="15"/>
  <c r="AY401" i="15"/>
  <c r="AZ401" i="15"/>
  <c r="BA401" i="15"/>
  <c r="BB401" i="15"/>
  <c r="BC401" i="15"/>
  <c r="BD401" i="15"/>
  <c r="BE401" i="15"/>
  <c r="BF401" i="15"/>
  <c r="BG401" i="15"/>
  <c r="BH401" i="15"/>
  <c r="BI401" i="15"/>
  <c r="BJ401" i="15"/>
  <c r="BK401" i="15"/>
  <c r="BL401" i="15"/>
  <c r="BM401" i="15"/>
  <c r="BN401" i="15"/>
  <c r="BO401" i="15"/>
  <c r="BP401" i="15"/>
  <c r="BQ401" i="15"/>
  <c r="BR401" i="15"/>
  <c r="BS401" i="15"/>
  <c r="BT401" i="15"/>
  <c r="BU401" i="15"/>
  <c r="BV401" i="15"/>
  <c r="BW401" i="15"/>
  <c r="BX401" i="15"/>
  <c r="BY401" i="15"/>
  <c r="BZ401" i="15"/>
  <c r="CA401" i="15"/>
  <c r="CB401" i="15"/>
  <c r="CC401" i="15"/>
  <c r="CD401" i="15"/>
  <c r="CE401" i="15"/>
  <c r="CF401" i="15"/>
  <c r="CG401" i="15"/>
  <c r="CH401" i="15"/>
  <c r="CI401" i="15"/>
  <c r="CJ401" i="15"/>
  <c r="CK401" i="15"/>
  <c r="CL401" i="15"/>
  <c r="CM401" i="15"/>
  <c r="CN401" i="15"/>
  <c r="CO401" i="15"/>
  <c r="A402" i="15"/>
  <c r="B402" i="15"/>
  <c r="C402" i="15"/>
  <c r="D402" i="15"/>
  <c r="E402" i="15"/>
  <c r="F402" i="15"/>
  <c r="G402" i="15"/>
  <c r="H402" i="15"/>
  <c r="I402" i="15"/>
  <c r="J402" i="15"/>
  <c r="K402" i="15"/>
  <c r="L402" i="15"/>
  <c r="M402" i="15"/>
  <c r="N402" i="15"/>
  <c r="O402" i="15"/>
  <c r="P402" i="15"/>
  <c r="Q402" i="15"/>
  <c r="R402" i="15"/>
  <c r="S402" i="15"/>
  <c r="T402" i="15"/>
  <c r="U402" i="15"/>
  <c r="V402" i="15"/>
  <c r="W402" i="15"/>
  <c r="X402" i="15"/>
  <c r="Y402" i="15"/>
  <c r="Z402" i="15"/>
  <c r="AA402" i="15"/>
  <c r="AB402" i="15"/>
  <c r="AC402" i="15"/>
  <c r="AD402" i="15"/>
  <c r="AE402" i="15"/>
  <c r="AF402" i="15"/>
  <c r="AG402" i="15"/>
  <c r="AH402" i="15"/>
  <c r="AI402" i="15"/>
  <c r="AJ402" i="15"/>
  <c r="AK402" i="15"/>
  <c r="AL402" i="15"/>
  <c r="AM402" i="15"/>
  <c r="AN402" i="15"/>
  <c r="AO402" i="15"/>
  <c r="AP402" i="15"/>
  <c r="AQ402" i="15"/>
  <c r="AR402" i="15"/>
  <c r="AS402" i="15"/>
  <c r="AT402" i="15"/>
  <c r="AU402" i="15"/>
  <c r="AV402" i="15"/>
  <c r="AW402" i="15"/>
  <c r="AX402" i="15"/>
  <c r="AY402" i="15"/>
  <c r="AZ402" i="15"/>
  <c r="BA402" i="15"/>
  <c r="BB402" i="15"/>
  <c r="BC402" i="15"/>
  <c r="BD402" i="15"/>
  <c r="BE402" i="15"/>
  <c r="BF402" i="15"/>
  <c r="BG402" i="15"/>
  <c r="BH402" i="15"/>
  <c r="BI402" i="15"/>
  <c r="BJ402" i="15"/>
  <c r="BK402" i="15"/>
  <c r="BL402" i="15"/>
  <c r="BM402" i="15"/>
  <c r="BN402" i="15"/>
  <c r="BO402" i="15"/>
  <c r="BP402" i="15"/>
  <c r="BQ402" i="15"/>
  <c r="BR402" i="15"/>
  <c r="BS402" i="15"/>
  <c r="BT402" i="15"/>
  <c r="BU402" i="15"/>
  <c r="BV402" i="15"/>
  <c r="BW402" i="15"/>
  <c r="BX402" i="15"/>
  <c r="BY402" i="15"/>
  <c r="BZ402" i="15"/>
  <c r="CA402" i="15"/>
  <c r="CB402" i="15"/>
  <c r="CC402" i="15"/>
  <c r="CD402" i="15"/>
  <c r="CE402" i="15"/>
  <c r="CF402" i="15"/>
  <c r="CG402" i="15"/>
  <c r="CH402" i="15"/>
  <c r="CI402" i="15"/>
  <c r="CJ402" i="15"/>
  <c r="CK402" i="15"/>
  <c r="CL402" i="15"/>
  <c r="CM402" i="15"/>
  <c r="CN402" i="15"/>
  <c r="CO402" i="15"/>
  <c r="A403" i="15"/>
  <c r="B403" i="15"/>
  <c r="C403" i="15"/>
  <c r="D403" i="15"/>
  <c r="E403" i="15"/>
  <c r="F403" i="15"/>
  <c r="G403" i="15"/>
  <c r="H403" i="15"/>
  <c r="I403" i="15"/>
  <c r="J403" i="15"/>
  <c r="K403" i="15"/>
  <c r="L403" i="15"/>
  <c r="M403" i="15"/>
  <c r="N403" i="15"/>
  <c r="O403" i="15"/>
  <c r="P403" i="15"/>
  <c r="Q403" i="15"/>
  <c r="R403" i="15"/>
  <c r="S403" i="15"/>
  <c r="T403" i="15"/>
  <c r="U403" i="15"/>
  <c r="V403" i="15"/>
  <c r="W403" i="15"/>
  <c r="X403" i="15"/>
  <c r="Y403" i="15"/>
  <c r="Z403" i="15"/>
  <c r="AA403" i="15"/>
  <c r="AB403" i="15"/>
  <c r="AC403" i="15"/>
  <c r="AD403" i="15"/>
  <c r="AE403" i="15"/>
  <c r="AF403" i="15"/>
  <c r="AG403" i="15"/>
  <c r="AH403" i="15"/>
  <c r="AI403" i="15"/>
  <c r="AJ403" i="15"/>
  <c r="AK403" i="15"/>
  <c r="AL403" i="15"/>
  <c r="AM403" i="15"/>
  <c r="AN403" i="15"/>
  <c r="AO403" i="15"/>
  <c r="AP403" i="15"/>
  <c r="AQ403" i="15"/>
  <c r="AR403" i="15"/>
  <c r="AS403" i="15"/>
  <c r="AT403" i="15"/>
  <c r="AU403" i="15"/>
  <c r="AV403" i="15"/>
  <c r="AW403" i="15"/>
  <c r="AX403" i="15"/>
  <c r="AY403" i="15"/>
  <c r="AZ403" i="15"/>
  <c r="BA403" i="15"/>
  <c r="BB403" i="15"/>
  <c r="BC403" i="15"/>
  <c r="BD403" i="15"/>
  <c r="BE403" i="15"/>
  <c r="BF403" i="15"/>
  <c r="BG403" i="15"/>
  <c r="BH403" i="15"/>
  <c r="BI403" i="15"/>
  <c r="BJ403" i="15"/>
  <c r="BK403" i="15"/>
  <c r="BL403" i="15"/>
  <c r="BM403" i="15"/>
  <c r="BN403" i="15"/>
  <c r="BO403" i="15"/>
  <c r="BP403" i="15"/>
  <c r="BQ403" i="15"/>
  <c r="BR403" i="15"/>
  <c r="BS403" i="15"/>
  <c r="BT403" i="15"/>
  <c r="BU403" i="15"/>
  <c r="BV403" i="15"/>
  <c r="BW403" i="15"/>
  <c r="BX403" i="15"/>
  <c r="BY403" i="15"/>
  <c r="BZ403" i="15"/>
  <c r="CA403" i="15"/>
  <c r="CB403" i="15"/>
  <c r="CC403" i="15"/>
  <c r="CD403" i="15"/>
  <c r="CE403" i="15"/>
  <c r="CF403" i="15"/>
  <c r="CG403" i="15"/>
  <c r="CH403" i="15"/>
  <c r="CI403" i="15"/>
  <c r="CJ403" i="15"/>
  <c r="CK403" i="15"/>
  <c r="CL403" i="15"/>
  <c r="CM403" i="15"/>
  <c r="CN403" i="15"/>
  <c r="CO403" i="15"/>
  <c r="A404" i="15"/>
  <c r="B404" i="15"/>
  <c r="C404" i="15"/>
  <c r="D404" i="15"/>
  <c r="E404" i="15"/>
  <c r="F404" i="15"/>
  <c r="G404" i="15"/>
  <c r="H404" i="15"/>
  <c r="I404" i="15"/>
  <c r="J404" i="15"/>
  <c r="K404" i="15"/>
  <c r="L404" i="15"/>
  <c r="M404" i="15"/>
  <c r="N404" i="15"/>
  <c r="O404" i="15"/>
  <c r="P404" i="15"/>
  <c r="Q404" i="15"/>
  <c r="R404" i="15"/>
  <c r="S404" i="15"/>
  <c r="T404" i="15"/>
  <c r="U404" i="15"/>
  <c r="V404" i="15"/>
  <c r="W404" i="15"/>
  <c r="X404" i="15"/>
  <c r="Y404" i="15"/>
  <c r="Z404" i="15"/>
  <c r="AA404" i="15"/>
  <c r="AB404" i="15"/>
  <c r="AC404" i="15"/>
  <c r="AD404" i="15"/>
  <c r="AE404" i="15"/>
  <c r="AF404" i="15"/>
  <c r="AG404" i="15"/>
  <c r="AH404" i="15"/>
  <c r="AI404" i="15"/>
  <c r="AJ404" i="15"/>
  <c r="AK404" i="15"/>
  <c r="AL404" i="15"/>
  <c r="AM404" i="15"/>
  <c r="AN404" i="15"/>
  <c r="AO404" i="15"/>
  <c r="AP404" i="15"/>
  <c r="AQ404" i="15"/>
  <c r="AR404" i="15"/>
  <c r="AS404" i="15"/>
  <c r="AT404" i="15"/>
  <c r="AU404" i="15"/>
  <c r="AV404" i="15"/>
  <c r="AW404" i="15"/>
  <c r="AX404" i="15"/>
  <c r="AY404" i="15"/>
  <c r="AZ404" i="15"/>
  <c r="BA404" i="15"/>
  <c r="BB404" i="15"/>
  <c r="BC404" i="15"/>
  <c r="BD404" i="15"/>
  <c r="BE404" i="15"/>
  <c r="BF404" i="15"/>
  <c r="BG404" i="15"/>
  <c r="BH404" i="15"/>
  <c r="BI404" i="15"/>
  <c r="BJ404" i="15"/>
  <c r="BK404" i="15"/>
  <c r="BL404" i="15"/>
  <c r="BM404" i="15"/>
  <c r="BN404" i="15"/>
  <c r="BO404" i="15"/>
  <c r="BP404" i="15"/>
  <c r="BQ404" i="15"/>
  <c r="BR404" i="15"/>
  <c r="BS404" i="15"/>
  <c r="BT404" i="15"/>
  <c r="BU404" i="15"/>
  <c r="BV404" i="15"/>
  <c r="BW404" i="15"/>
  <c r="BX404" i="15"/>
  <c r="BY404" i="15"/>
  <c r="BZ404" i="15"/>
  <c r="CA404" i="15"/>
  <c r="CB404" i="15"/>
  <c r="CC404" i="15"/>
  <c r="CD404" i="15"/>
  <c r="CE404" i="15"/>
  <c r="CF404" i="15"/>
  <c r="CG404" i="15"/>
  <c r="CH404" i="15"/>
  <c r="CI404" i="15"/>
  <c r="CJ404" i="15"/>
  <c r="CK404" i="15"/>
  <c r="CL404" i="15"/>
  <c r="CM404" i="15"/>
  <c r="CN404" i="15"/>
  <c r="CO404" i="15"/>
  <c r="A405" i="15"/>
  <c r="B405" i="15"/>
  <c r="C405" i="15"/>
  <c r="D405" i="15"/>
  <c r="E405" i="15"/>
  <c r="F405" i="15"/>
  <c r="G405" i="15"/>
  <c r="H405" i="15"/>
  <c r="I405" i="15"/>
  <c r="J405" i="15"/>
  <c r="K405" i="15"/>
  <c r="L405" i="15"/>
  <c r="M405" i="15"/>
  <c r="N405" i="15"/>
  <c r="O405" i="15"/>
  <c r="P405" i="15"/>
  <c r="Q405" i="15"/>
  <c r="R405" i="15"/>
  <c r="S405" i="15"/>
  <c r="T405" i="15"/>
  <c r="U405" i="15"/>
  <c r="V405" i="15"/>
  <c r="W405" i="15"/>
  <c r="X405" i="15"/>
  <c r="Y405" i="15"/>
  <c r="Z405" i="15"/>
  <c r="AA405" i="15"/>
  <c r="AB405" i="15"/>
  <c r="AC405" i="15"/>
  <c r="AD405" i="15"/>
  <c r="AE405" i="15"/>
  <c r="AF405" i="15"/>
  <c r="AG405" i="15"/>
  <c r="AH405" i="15"/>
  <c r="AI405" i="15"/>
  <c r="AJ405" i="15"/>
  <c r="AK405" i="15"/>
  <c r="AL405" i="15"/>
  <c r="AM405" i="15"/>
  <c r="AN405" i="15"/>
  <c r="AO405" i="15"/>
  <c r="AP405" i="15"/>
  <c r="AQ405" i="15"/>
  <c r="AR405" i="15"/>
  <c r="AS405" i="15"/>
  <c r="AT405" i="15"/>
  <c r="AU405" i="15"/>
  <c r="AV405" i="15"/>
  <c r="AW405" i="15"/>
  <c r="AX405" i="15"/>
  <c r="AY405" i="15"/>
  <c r="AZ405" i="15"/>
  <c r="BA405" i="15"/>
  <c r="BB405" i="15"/>
  <c r="BC405" i="15"/>
  <c r="BD405" i="15"/>
  <c r="BE405" i="15"/>
  <c r="BF405" i="15"/>
  <c r="BG405" i="15"/>
  <c r="BH405" i="15"/>
  <c r="BI405" i="15"/>
  <c r="BJ405" i="15"/>
  <c r="BK405" i="15"/>
  <c r="BL405" i="15"/>
  <c r="BM405" i="15"/>
  <c r="BN405" i="15"/>
  <c r="BO405" i="15"/>
  <c r="BP405" i="15"/>
  <c r="BQ405" i="15"/>
  <c r="BR405" i="15"/>
  <c r="BS405" i="15"/>
  <c r="BT405" i="15"/>
  <c r="BU405" i="15"/>
  <c r="BV405" i="15"/>
  <c r="BW405" i="15"/>
  <c r="BX405" i="15"/>
  <c r="BY405" i="15"/>
  <c r="BZ405" i="15"/>
  <c r="CA405" i="15"/>
  <c r="CB405" i="15"/>
  <c r="CC405" i="15"/>
  <c r="CD405" i="15"/>
  <c r="CE405" i="15"/>
  <c r="CF405" i="15"/>
  <c r="CG405" i="15"/>
  <c r="CH405" i="15"/>
  <c r="CI405" i="15"/>
  <c r="CJ405" i="15"/>
  <c r="CK405" i="15"/>
  <c r="CL405" i="15"/>
  <c r="CM405" i="15"/>
  <c r="CN405" i="15"/>
  <c r="CO405" i="15"/>
  <c r="A406" i="15"/>
  <c r="B406" i="15"/>
  <c r="C406" i="15"/>
  <c r="D406" i="15"/>
  <c r="E406" i="15"/>
  <c r="F406" i="15"/>
  <c r="G406" i="15"/>
  <c r="H406" i="15"/>
  <c r="I406" i="15"/>
  <c r="J406" i="15"/>
  <c r="K406" i="15"/>
  <c r="L406" i="15"/>
  <c r="M406" i="15"/>
  <c r="N406" i="15"/>
  <c r="O406" i="15"/>
  <c r="P406" i="15"/>
  <c r="Q406" i="15"/>
  <c r="R406" i="15"/>
  <c r="S406" i="15"/>
  <c r="T406" i="15"/>
  <c r="U406" i="15"/>
  <c r="V406" i="15"/>
  <c r="W406" i="15"/>
  <c r="X406" i="15"/>
  <c r="Y406" i="15"/>
  <c r="Z406" i="15"/>
  <c r="AA406" i="15"/>
  <c r="AB406" i="15"/>
  <c r="AC406" i="15"/>
  <c r="AD406" i="15"/>
  <c r="AE406" i="15"/>
  <c r="AF406" i="15"/>
  <c r="AG406" i="15"/>
  <c r="AH406" i="15"/>
  <c r="AI406" i="15"/>
  <c r="AJ406" i="15"/>
  <c r="AK406" i="15"/>
  <c r="AL406" i="15"/>
  <c r="AM406" i="15"/>
  <c r="AN406" i="15"/>
  <c r="AO406" i="15"/>
  <c r="AP406" i="15"/>
  <c r="AQ406" i="15"/>
  <c r="AR406" i="15"/>
  <c r="AS406" i="15"/>
  <c r="AT406" i="15"/>
  <c r="AU406" i="15"/>
  <c r="AV406" i="15"/>
  <c r="AW406" i="15"/>
  <c r="AX406" i="15"/>
  <c r="AY406" i="15"/>
  <c r="AZ406" i="15"/>
  <c r="BA406" i="15"/>
  <c r="BB406" i="15"/>
  <c r="BC406" i="15"/>
  <c r="BD406" i="15"/>
  <c r="BE406" i="15"/>
  <c r="BF406" i="15"/>
  <c r="BG406" i="15"/>
  <c r="BH406" i="15"/>
  <c r="BI406" i="15"/>
  <c r="BJ406" i="15"/>
  <c r="BK406" i="15"/>
  <c r="BL406" i="15"/>
  <c r="BM406" i="15"/>
  <c r="BN406" i="15"/>
  <c r="BO406" i="15"/>
  <c r="BP406" i="15"/>
  <c r="BQ406" i="15"/>
  <c r="BR406" i="15"/>
  <c r="BS406" i="15"/>
  <c r="BT406" i="15"/>
  <c r="BU406" i="15"/>
  <c r="BV406" i="15"/>
  <c r="BW406" i="15"/>
  <c r="BX406" i="15"/>
  <c r="BY406" i="15"/>
  <c r="BZ406" i="15"/>
  <c r="CA406" i="15"/>
  <c r="CB406" i="15"/>
  <c r="CC406" i="15"/>
  <c r="CD406" i="15"/>
  <c r="CE406" i="15"/>
  <c r="CF406" i="15"/>
  <c r="CG406" i="15"/>
  <c r="CH406" i="15"/>
  <c r="CI406" i="15"/>
  <c r="CJ406" i="15"/>
  <c r="CK406" i="15"/>
  <c r="CL406" i="15"/>
  <c r="CM406" i="15"/>
  <c r="CN406" i="15"/>
  <c r="CO406" i="15"/>
  <c r="A407" i="15"/>
  <c r="B407" i="15"/>
  <c r="C407" i="15"/>
  <c r="D407" i="15"/>
  <c r="E407" i="15"/>
  <c r="F407" i="15"/>
  <c r="G407" i="15"/>
  <c r="H407" i="15"/>
  <c r="I407" i="15"/>
  <c r="J407" i="15"/>
  <c r="K407" i="15"/>
  <c r="L407" i="15"/>
  <c r="M407" i="15"/>
  <c r="N407" i="15"/>
  <c r="O407" i="15"/>
  <c r="P407" i="15"/>
  <c r="Q407" i="15"/>
  <c r="R407" i="15"/>
  <c r="S407" i="15"/>
  <c r="T407" i="15"/>
  <c r="U407" i="15"/>
  <c r="V407" i="15"/>
  <c r="W407" i="15"/>
  <c r="X407" i="15"/>
  <c r="Y407" i="15"/>
  <c r="Z407" i="15"/>
  <c r="AA407" i="15"/>
  <c r="AB407" i="15"/>
  <c r="AC407" i="15"/>
  <c r="AD407" i="15"/>
  <c r="AE407" i="15"/>
  <c r="AF407" i="15"/>
  <c r="AG407" i="15"/>
  <c r="AH407" i="15"/>
  <c r="AI407" i="15"/>
  <c r="AJ407" i="15"/>
  <c r="AK407" i="15"/>
  <c r="AL407" i="15"/>
  <c r="AM407" i="15"/>
  <c r="AN407" i="15"/>
  <c r="AO407" i="15"/>
  <c r="AP407" i="15"/>
  <c r="AQ407" i="15"/>
  <c r="AR407" i="15"/>
  <c r="AS407" i="15"/>
  <c r="AT407" i="15"/>
  <c r="AU407" i="15"/>
  <c r="AV407" i="15"/>
  <c r="AW407" i="15"/>
  <c r="AX407" i="15"/>
  <c r="AY407" i="15"/>
  <c r="AZ407" i="15"/>
  <c r="BA407" i="15"/>
  <c r="BB407" i="15"/>
  <c r="BC407" i="15"/>
  <c r="BD407" i="15"/>
  <c r="BE407" i="15"/>
  <c r="BF407" i="15"/>
  <c r="BG407" i="15"/>
  <c r="BH407" i="15"/>
  <c r="BI407" i="15"/>
  <c r="BJ407" i="15"/>
  <c r="BK407" i="15"/>
  <c r="BL407" i="15"/>
  <c r="BM407" i="15"/>
  <c r="BN407" i="15"/>
  <c r="BO407" i="15"/>
  <c r="BP407" i="15"/>
  <c r="BQ407" i="15"/>
  <c r="BR407" i="15"/>
  <c r="BS407" i="15"/>
  <c r="BT407" i="15"/>
  <c r="BU407" i="15"/>
  <c r="BV407" i="15"/>
  <c r="BW407" i="15"/>
  <c r="BX407" i="15"/>
  <c r="BY407" i="15"/>
  <c r="BZ407" i="15"/>
  <c r="CA407" i="15"/>
  <c r="CB407" i="15"/>
  <c r="CC407" i="15"/>
  <c r="CD407" i="15"/>
  <c r="CE407" i="15"/>
  <c r="CF407" i="15"/>
  <c r="CG407" i="15"/>
  <c r="CH407" i="15"/>
  <c r="CI407" i="15"/>
  <c r="CJ407" i="15"/>
  <c r="CK407" i="15"/>
  <c r="CL407" i="15"/>
  <c r="CM407" i="15"/>
  <c r="CN407" i="15"/>
  <c r="CO407" i="15"/>
  <c r="A408" i="15"/>
  <c r="B408" i="15"/>
  <c r="C408" i="15"/>
  <c r="D408" i="15"/>
  <c r="E408" i="15"/>
  <c r="F408" i="15"/>
  <c r="G408" i="15"/>
  <c r="H408" i="15"/>
  <c r="I408" i="15"/>
  <c r="J408" i="15"/>
  <c r="K408" i="15"/>
  <c r="L408" i="15"/>
  <c r="M408" i="15"/>
  <c r="N408" i="15"/>
  <c r="O408" i="15"/>
  <c r="P408" i="15"/>
  <c r="Q408" i="15"/>
  <c r="R408" i="15"/>
  <c r="S408" i="15"/>
  <c r="T408" i="15"/>
  <c r="U408" i="15"/>
  <c r="V408" i="15"/>
  <c r="W408" i="15"/>
  <c r="X408" i="15"/>
  <c r="Y408" i="15"/>
  <c r="Z408" i="15"/>
  <c r="AA408" i="15"/>
  <c r="AB408" i="15"/>
  <c r="AC408" i="15"/>
  <c r="AD408" i="15"/>
  <c r="AE408" i="15"/>
  <c r="AF408" i="15"/>
  <c r="AG408" i="15"/>
  <c r="AH408" i="15"/>
  <c r="AI408" i="15"/>
  <c r="AJ408" i="15"/>
  <c r="AK408" i="15"/>
  <c r="AL408" i="15"/>
  <c r="AM408" i="15"/>
  <c r="AN408" i="15"/>
  <c r="AO408" i="15"/>
  <c r="AP408" i="15"/>
  <c r="AQ408" i="15"/>
  <c r="AR408" i="15"/>
  <c r="AS408" i="15"/>
  <c r="AT408" i="15"/>
  <c r="AU408" i="15"/>
  <c r="AV408" i="15"/>
  <c r="AW408" i="15"/>
  <c r="AX408" i="15"/>
  <c r="AY408" i="15"/>
  <c r="AZ408" i="15"/>
  <c r="BA408" i="15"/>
  <c r="BB408" i="15"/>
  <c r="BC408" i="15"/>
  <c r="BD408" i="15"/>
  <c r="BE408" i="15"/>
  <c r="BF408" i="15"/>
  <c r="BG408" i="15"/>
  <c r="BH408" i="15"/>
  <c r="BI408" i="15"/>
  <c r="BJ408" i="15"/>
  <c r="BK408" i="15"/>
  <c r="BL408" i="15"/>
  <c r="BM408" i="15"/>
  <c r="BN408" i="15"/>
  <c r="BO408" i="15"/>
  <c r="BP408" i="15"/>
  <c r="BQ408" i="15"/>
  <c r="BR408" i="15"/>
  <c r="BS408" i="15"/>
  <c r="BT408" i="15"/>
  <c r="BU408" i="15"/>
  <c r="BV408" i="15"/>
  <c r="BW408" i="15"/>
  <c r="BX408" i="15"/>
  <c r="BY408" i="15"/>
  <c r="BZ408" i="15"/>
  <c r="CA408" i="15"/>
  <c r="CB408" i="15"/>
  <c r="CC408" i="15"/>
  <c r="CD408" i="15"/>
  <c r="CE408" i="15"/>
  <c r="CF408" i="15"/>
  <c r="CG408" i="15"/>
  <c r="CH408" i="15"/>
  <c r="CI408" i="15"/>
  <c r="CJ408" i="15"/>
  <c r="CK408" i="15"/>
  <c r="CL408" i="15"/>
  <c r="CM408" i="15"/>
  <c r="CN408" i="15"/>
  <c r="CO408" i="15"/>
  <c r="A409" i="15"/>
  <c r="B409" i="15"/>
  <c r="C409" i="15"/>
  <c r="D409" i="15"/>
  <c r="E409" i="15"/>
  <c r="F409" i="15"/>
  <c r="G409" i="15"/>
  <c r="H409" i="15"/>
  <c r="I409" i="15"/>
  <c r="J409" i="15"/>
  <c r="K409" i="15"/>
  <c r="L409" i="15"/>
  <c r="M409" i="15"/>
  <c r="N409" i="15"/>
  <c r="O409" i="15"/>
  <c r="P409" i="15"/>
  <c r="Q409" i="15"/>
  <c r="R409" i="15"/>
  <c r="S409" i="15"/>
  <c r="T409" i="15"/>
  <c r="U409" i="15"/>
  <c r="V409" i="15"/>
  <c r="W409" i="15"/>
  <c r="X409" i="15"/>
  <c r="Y409" i="15"/>
  <c r="Z409" i="15"/>
  <c r="AA409" i="15"/>
  <c r="AB409" i="15"/>
  <c r="AC409" i="15"/>
  <c r="AD409" i="15"/>
  <c r="AE409" i="15"/>
  <c r="AF409" i="15"/>
  <c r="AG409" i="15"/>
  <c r="AH409" i="15"/>
  <c r="AI409" i="15"/>
  <c r="AJ409" i="15"/>
  <c r="AK409" i="15"/>
  <c r="AL409" i="15"/>
  <c r="AM409" i="15"/>
  <c r="AN409" i="15"/>
  <c r="AO409" i="15"/>
  <c r="AP409" i="15"/>
  <c r="AQ409" i="15"/>
  <c r="AR409" i="15"/>
  <c r="AS409" i="15"/>
  <c r="AT409" i="15"/>
  <c r="AU409" i="15"/>
  <c r="AV409" i="15"/>
  <c r="AW409" i="15"/>
  <c r="AX409" i="15"/>
  <c r="AY409" i="15"/>
  <c r="AZ409" i="15"/>
  <c r="BA409" i="15"/>
  <c r="BB409" i="15"/>
  <c r="BC409" i="15"/>
  <c r="BD409" i="15"/>
  <c r="BE409" i="15"/>
  <c r="BF409" i="15"/>
  <c r="BG409" i="15"/>
  <c r="BH409" i="15"/>
  <c r="BI409" i="15"/>
  <c r="BJ409" i="15"/>
  <c r="BK409" i="15"/>
  <c r="BL409" i="15"/>
  <c r="BM409" i="15"/>
  <c r="BN409" i="15"/>
  <c r="BO409" i="15"/>
  <c r="BP409" i="15"/>
  <c r="BQ409" i="15"/>
  <c r="BR409" i="15"/>
  <c r="BS409" i="15"/>
  <c r="BT409" i="15"/>
  <c r="BU409" i="15"/>
  <c r="BV409" i="15"/>
  <c r="BW409" i="15"/>
  <c r="BX409" i="15"/>
  <c r="BY409" i="15"/>
  <c r="BZ409" i="15"/>
  <c r="CA409" i="15"/>
  <c r="CB409" i="15"/>
  <c r="CC409" i="15"/>
  <c r="CD409" i="15"/>
  <c r="CE409" i="15"/>
  <c r="CF409" i="15"/>
  <c r="CG409" i="15"/>
  <c r="CH409" i="15"/>
  <c r="CI409" i="15"/>
  <c r="CJ409" i="15"/>
  <c r="CK409" i="15"/>
  <c r="CL409" i="15"/>
  <c r="CM409" i="15"/>
  <c r="CN409" i="15"/>
  <c r="CO409" i="15"/>
  <c r="A410" i="15"/>
  <c r="B410" i="15"/>
  <c r="C410" i="15"/>
  <c r="D410" i="15"/>
  <c r="E410" i="15"/>
  <c r="F410" i="15"/>
  <c r="G410" i="15"/>
  <c r="H410" i="15"/>
  <c r="I410" i="15"/>
  <c r="J410" i="15"/>
  <c r="K410" i="15"/>
  <c r="L410" i="15"/>
  <c r="M410" i="15"/>
  <c r="N410" i="15"/>
  <c r="O410" i="15"/>
  <c r="P410" i="15"/>
  <c r="Q410" i="15"/>
  <c r="R410" i="15"/>
  <c r="S410" i="15"/>
  <c r="T410" i="15"/>
  <c r="U410" i="15"/>
  <c r="V410" i="15"/>
  <c r="W410" i="15"/>
  <c r="X410" i="15"/>
  <c r="Y410" i="15"/>
  <c r="Z410" i="15"/>
  <c r="AA410" i="15"/>
  <c r="AB410" i="15"/>
  <c r="AC410" i="15"/>
  <c r="AD410" i="15"/>
  <c r="AE410" i="15"/>
  <c r="AF410" i="15"/>
  <c r="AG410" i="15"/>
  <c r="AH410" i="15"/>
  <c r="AI410" i="15"/>
  <c r="AJ410" i="15"/>
  <c r="AK410" i="15"/>
  <c r="AL410" i="15"/>
  <c r="AM410" i="15"/>
  <c r="AN410" i="15"/>
  <c r="AO410" i="15"/>
  <c r="AP410" i="15"/>
  <c r="AQ410" i="15"/>
  <c r="AR410" i="15"/>
  <c r="AS410" i="15"/>
  <c r="AT410" i="15"/>
  <c r="AU410" i="15"/>
  <c r="AV410" i="15"/>
  <c r="AW410" i="15"/>
  <c r="AX410" i="15"/>
  <c r="AY410" i="15"/>
  <c r="AZ410" i="15"/>
  <c r="BA410" i="15"/>
  <c r="BB410" i="15"/>
  <c r="BC410" i="15"/>
  <c r="BD410" i="15"/>
  <c r="BE410" i="15"/>
  <c r="BF410" i="15"/>
  <c r="BG410" i="15"/>
  <c r="BH410" i="15"/>
  <c r="BI410" i="15"/>
  <c r="BJ410" i="15"/>
  <c r="BK410" i="15"/>
  <c r="BL410" i="15"/>
  <c r="BM410" i="15"/>
  <c r="BN410" i="15"/>
  <c r="BO410" i="15"/>
  <c r="BP410" i="15"/>
  <c r="BQ410" i="15"/>
  <c r="BR410" i="15"/>
  <c r="BS410" i="15"/>
  <c r="BT410" i="15"/>
  <c r="BU410" i="15"/>
  <c r="BV410" i="15"/>
  <c r="BW410" i="15"/>
  <c r="BX410" i="15"/>
  <c r="BY410" i="15"/>
  <c r="BZ410" i="15"/>
  <c r="CA410" i="15"/>
  <c r="CB410" i="15"/>
  <c r="CC410" i="15"/>
  <c r="CD410" i="15"/>
  <c r="CE410" i="15"/>
  <c r="CF410" i="15"/>
  <c r="CG410" i="15"/>
  <c r="CH410" i="15"/>
  <c r="CI410" i="15"/>
  <c r="CJ410" i="15"/>
  <c r="CK410" i="15"/>
  <c r="CL410" i="15"/>
  <c r="CM410" i="15"/>
  <c r="CN410" i="15"/>
  <c r="CO410" i="15"/>
  <c r="A411" i="15"/>
  <c r="B411" i="15"/>
  <c r="C411" i="15"/>
  <c r="D411" i="15"/>
  <c r="E411" i="15"/>
  <c r="F411" i="15"/>
  <c r="G411" i="15"/>
  <c r="H411" i="15"/>
  <c r="I411" i="15"/>
  <c r="J411" i="15"/>
  <c r="K411" i="15"/>
  <c r="L411" i="15"/>
  <c r="M411" i="15"/>
  <c r="N411" i="15"/>
  <c r="O411" i="15"/>
  <c r="P411" i="15"/>
  <c r="Q411" i="15"/>
  <c r="R411" i="15"/>
  <c r="S411" i="15"/>
  <c r="T411" i="15"/>
  <c r="U411" i="15"/>
  <c r="V411" i="15"/>
  <c r="W411" i="15"/>
  <c r="X411" i="15"/>
  <c r="Y411" i="15"/>
  <c r="Z411" i="15"/>
  <c r="AA411" i="15"/>
  <c r="AB411" i="15"/>
  <c r="AC411" i="15"/>
  <c r="AD411" i="15"/>
  <c r="AE411" i="15"/>
  <c r="AF411" i="15"/>
  <c r="AG411" i="15"/>
  <c r="AH411" i="15"/>
  <c r="AI411" i="15"/>
  <c r="AJ411" i="15"/>
  <c r="AK411" i="15"/>
  <c r="AL411" i="15"/>
  <c r="AM411" i="15"/>
  <c r="AN411" i="15"/>
  <c r="AO411" i="15"/>
  <c r="AP411" i="15"/>
  <c r="AQ411" i="15"/>
  <c r="AR411" i="15"/>
  <c r="AS411" i="15"/>
  <c r="AT411" i="15"/>
  <c r="AU411" i="15"/>
  <c r="AV411" i="15"/>
  <c r="AW411" i="15"/>
  <c r="AX411" i="15"/>
  <c r="AY411" i="15"/>
  <c r="AZ411" i="15"/>
  <c r="BA411" i="15"/>
  <c r="BB411" i="15"/>
  <c r="BC411" i="15"/>
  <c r="BD411" i="15"/>
  <c r="BE411" i="15"/>
  <c r="BF411" i="15"/>
  <c r="BG411" i="15"/>
  <c r="BH411" i="15"/>
  <c r="BI411" i="15"/>
  <c r="BJ411" i="15"/>
  <c r="BK411" i="15"/>
  <c r="BL411" i="15"/>
  <c r="BM411" i="15"/>
  <c r="BN411" i="15"/>
  <c r="BO411" i="15"/>
  <c r="BP411" i="15"/>
  <c r="BQ411" i="15"/>
  <c r="BR411" i="15"/>
  <c r="BS411" i="15"/>
  <c r="BT411" i="15"/>
  <c r="BU411" i="15"/>
  <c r="BV411" i="15"/>
  <c r="BW411" i="15"/>
  <c r="BX411" i="15"/>
  <c r="BY411" i="15"/>
  <c r="BZ411" i="15"/>
  <c r="CA411" i="15"/>
  <c r="CB411" i="15"/>
  <c r="CC411" i="15"/>
  <c r="CD411" i="15"/>
  <c r="CE411" i="15"/>
  <c r="CF411" i="15"/>
  <c r="CG411" i="15"/>
  <c r="CH411" i="15"/>
  <c r="CI411" i="15"/>
  <c r="CJ411" i="15"/>
  <c r="CK411" i="15"/>
  <c r="CL411" i="15"/>
  <c r="CM411" i="15"/>
  <c r="CN411" i="15"/>
  <c r="CO411" i="15"/>
  <c r="A412" i="15"/>
  <c r="B412" i="15"/>
  <c r="C412" i="15"/>
  <c r="D412" i="15"/>
  <c r="E412" i="15"/>
  <c r="F412" i="15"/>
  <c r="G412" i="15"/>
  <c r="H412" i="15"/>
  <c r="I412" i="15"/>
  <c r="J412" i="15"/>
  <c r="K412" i="15"/>
  <c r="L412" i="15"/>
  <c r="M412" i="15"/>
  <c r="N412" i="15"/>
  <c r="O412" i="15"/>
  <c r="P412" i="15"/>
  <c r="Q412" i="15"/>
  <c r="R412" i="15"/>
  <c r="S412" i="15"/>
  <c r="T412" i="15"/>
  <c r="U412" i="15"/>
  <c r="V412" i="15"/>
  <c r="W412" i="15"/>
  <c r="X412" i="15"/>
  <c r="Y412" i="15"/>
  <c r="Z412" i="15"/>
  <c r="AA412" i="15"/>
  <c r="AB412" i="15"/>
  <c r="AC412" i="15"/>
  <c r="AD412" i="15"/>
  <c r="AE412" i="15"/>
  <c r="AF412" i="15"/>
  <c r="AG412" i="15"/>
  <c r="AH412" i="15"/>
  <c r="AI412" i="15"/>
  <c r="AJ412" i="15"/>
  <c r="AK412" i="15"/>
  <c r="AL412" i="15"/>
  <c r="AM412" i="15"/>
  <c r="AN412" i="15"/>
  <c r="AO412" i="15"/>
  <c r="AP412" i="15"/>
  <c r="AQ412" i="15"/>
  <c r="AR412" i="15"/>
  <c r="AS412" i="15"/>
  <c r="AT412" i="15"/>
  <c r="AU412" i="15"/>
  <c r="AV412" i="15"/>
  <c r="AW412" i="15"/>
  <c r="AX412" i="15"/>
  <c r="AY412" i="15"/>
  <c r="AZ412" i="15"/>
  <c r="BA412" i="15"/>
  <c r="BB412" i="15"/>
  <c r="BC412" i="15"/>
  <c r="BD412" i="15"/>
  <c r="BE412" i="15"/>
  <c r="BF412" i="15"/>
  <c r="BG412" i="15"/>
  <c r="BH412" i="15"/>
  <c r="BI412" i="15"/>
  <c r="BJ412" i="15"/>
  <c r="BK412" i="15"/>
  <c r="BL412" i="15"/>
  <c r="BM412" i="15"/>
  <c r="BN412" i="15"/>
  <c r="BO412" i="15"/>
  <c r="BP412" i="15"/>
  <c r="BQ412" i="15"/>
  <c r="BR412" i="15"/>
  <c r="BS412" i="15"/>
  <c r="BT412" i="15"/>
  <c r="BU412" i="15"/>
  <c r="BV412" i="15"/>
  <c r="BW412" i="15"/>
  <c r="BX412" i="15"/>
  <c r="BY412" i="15"/>
  <c r="BZ412" i="15"/>
  <c r="CA412" i="15"/>
  <c r="CB412" i="15"/>
  <c r="CC412" i="15"/>
  <c r="CD412" i="15"/>
  <c r="CE412" i="15"/>
  <c r="CF412" i="15"/>
  <c r="CG412" i="15"/>
  <c r="CH412" i="15"/>
  <c r="CI412" i="15"/>
  <c r="CJ412" i="15"/>
  <c r="CK412" i="15"/>
  <c r="CL412" i="15"/>
  <c r="CM412" i="15"/>
  <c r="CN412" i="15"/>
  <c r="CO412" i="15"/>
  <c r="A413" i="15"/>
  <c r="B413" i="15"/>
  <c r="C413" i="15"/>
  <c r="D413" i="15"/>
  <c r="E413" i="15"/>
  <c r="F413" i="15"/>
  <c r="G413" i="15"/>
  <c r="H413" i="15"/>
  <c r="I413" i="15"/>
  <c r="J413" i="15"/>
  <c r="K413" i="15"/>
  <c r="L413" i="15"/>
  <c r="M413" i="15"/>
  <c r="N413" i="15"/>
  <c r="O413" i="15"/>
  <c r="P413" i="15"/>
  <c r="Q413" i="15"/>
  <c r="R413" i="15"/>
  <c r="S413" i="15"/>
  <c r="T413" i="15"/>
  <c r="U413" i="15"/>
  <c r="V413" i="15"/>
  <c r="W413" i="15"/>
  <c r="X413" i="15"/>
  <c r="Y413" i="15"/>
  <c r="Z413" i="15"/>
  <c r="AA413" i="15"/>
  <c r="AB413" i="15"/>
  <c r="AC413" i="15"/>
  <c r="AD413" i="15"/>
  <c r="AE413" i="15"/>
  <c r="AF413" i="15"/>
  <c r="AG413" i="15"/>
  <c r="AH413" i="15"/>
  <c r="AI413" i="15"/>
  <c r="AJ413" i="15"/>
  <c r="AK413" i="15"/>
  <c r="AL413" i="15"/>
  <c r="AM413" i="15"/>
  <c r="AN413" i="15"/>
  <c r="AO413" i="15"/>
  <c r="AP413" i="15"/>
  <c r="AQ413" i="15"/>
  <c r="AR413" i="15"/>
  <c r="AS413" i="15"/>
  <c r="AT413" i="15"/>
  <c r="AU413" i="15"/>
  <c r="AV413" i="15"/>
  <c r="AW413" i="15"/>
  <c r="AX413" i="15"/>
  <c r="AY413" i="15"/>
  <c r="AZ413" i="15"/>
  <c r="BA413" i="15"/>
  <c r="BB413" i="15"/>
  <c r="BC413" i="15"/>
  <c r="BD413" i="15"/>
  <c r="BE413" i="15"/>
  <c r="BF413" i="15"/>
  <c r="BG413" i="15"/>
  <c r="BH413" i="15"/>
  <c r="BI413" i="15"/>
  <c r="BJ413" i="15"/>
  <c r="BK413" i="15"/>
  <c r="BL413" i="15"/>
  <c r="BM413" i="15"/>
  <c r="BN413" i="15"/>
  <c r="BO413" i="15"/>
  <c r="BP413" i="15"/>
  <c r="BQ413" i="15"/>
  <c r="BR413" i="15"/>
  <c r="BS413" i="15"/>
  <c r="BT413" i="15"/>
  <c r="BU413" i="15"/>
  <c r="BV413" i="15"/>
  <c r="BW413" i="15"/>
  <c r="BX413" i="15"/>
  <c r="BY413" i="15"/>
  <c r="BZ413" i="15"/>
  <c r="CA413" i="15"/>
  <c r="CB413" i="15"/>
  <c r="CC413" i="15"/>
  <c r="CD413" i="15"/>
  <c r="CE413" i="15"/>
  <c r="CF413" i="15"/>
  <c r="CG413" i="15"/>
  <c r="CH413" i="15"/>
  <c r="CI413" i="15"/>
  <c r="CJ413" i="15"/>
  <c r="CK413" i="15"/>
  <c r="CL413" i="15"/>
  <c r="CM413" i="15"/>
  <c r="CN413" i="15"/>
  <c r="CO413" i="15"/>
  <c r="A414" i="15"/>
  <c r="B414" i="15"/>
  <c r="C414" i="15"/>
  <c r="D414" i="15"/>
  <c r="E414" i="15"/>
  <c r="F414" i="15"/>
  <c r="G414" i="15"/>
  <c r="H414" i="15"/>
  <c r="I414" i="15"/>
  <c r="J414" i="15"/>
  <c r="K414" i="15"/>
  <c r="L414" i="15"/>
  <c r="M414" i="15"/>
  <c r="N414" i="15"/>
  <c r="O414" i="15"/>
  <c r="P414" i="15"/>
  <c r="Q414" i="15"/>
  <c r="R414" i="15"/>
  <c r="S414" i="15"/>
  <c r="T414" i="15"/>
  <c r="U414" i="15"/>
  <c r="V414" i="15"/>
  <c r="W414" i="15"/>
  <c r="X414" i="15"/>
  <c r="Y414" i="15"/>
  <c r="Z414" i="15"/>
  <c r="AA414" i="15"/>
  <c r="AB414" i="15"/>
  <c r="AC414" i="15"/>
  <c r="AD414" i="15"/>
  <c r="AE414" i="15"/>
  <c r="AF414" i="15"/>
  <c r="AG414" i="15"/>
  <c r="AH414" i="15"/>
  <c r="AI414" i="15"/>
  <c r="AJ414" i="15"/>
  <c r="AK414" i="15"/>
  <c r="AL414" i="15"/>
  <c r="AM414" i="15"/>
  <c r="AN414" i="15"/>
  <c r="AO414" i="15"/>
  <c r="AP414" i="15"/>
  <c r="AQ414" i="15"/>
  <c r="AR414" i="15"/>
  <c r="AS414" i="15"/>
  <c r="AT414" i="15"/>
  <c r="AU414" i="15"/>
  <c r="AV414" i="15"/>
  <c r="AW414" i="15"/>
  <c r="AX414" i="15"/>
  <c r="AY414" i="15"/>
  <c r="AZ414" i="15"/>
  <c r="BA414" i="15"/>
  <c r="BB414" i="15"/>
  <c r="BC414" i="15"/>
  <c r="BD414" i="15"/>
  <c r="BE414" i="15"/>
  <c r="BF414" i="15"/>
  <c r="BG414" i="15"/>
  <c r="BH414" i="15"/>
  <c r="BI414" i="15"/>
  <c r="BJ414" i="15"/>
  <c r="BK414" i="15"/>
  <c r="BL414" i="15"/>
  <c r="BM414" i="15"/>
  <c r="BN414" i="15"/>
  <c r="BO414" i="15"/>
  <c r="BP414" i="15"/>
  <c r="BQ414" i="15"/>
  <c r="BR414" i="15"/>
  <c r="BS414" i="15"/>
  <c r="BT414" i="15"/>
  <c r="BU414" i="15"/>
  <c r="BV414" i="15"/>
  <c r="BW414" i="15"/>
  <c r="BX414" i="15"/>
  <c r="BY414" i="15"/>
  <c r="BZ414" i="15"/>
  <c r="CA414" i="15"/>
  <c r="CB414" i="15"/>
  <c r="CC414" i="15"/>
  <c r="CD414" i="15"/>
  <c r="CE414" i="15"/>
  <c r="CF414" i="15"/>
  <c r="CG414" i="15"/>
  <c r="CH414" i="15"/>
  <c r="CI414" i="15"/>
  <c r="CJ414" i="15"/>
  <c r="CK414" i="15"/>
  <c r="CL414" i="15"/>
  <c r="CM414" i="15"/>
  <c r="CN414" i="15"/>
  <c r="CO414" i="15"/>
  <c r="A415" i="15"/>
  <c r="B415" i="15"/>
  <c r="C415" i="15"/>
  <c r="D415" i="15"/>
  <c r="E415" i="15"/>
  <c r="F415" i="15"/>
  <c r="G415" i="15"/>
  <c r="H415" i="15"/>
  <c r="I415" i="15"/>
  <c r="J415" i="15"/>
  <c r="K415" i="15"/>
  <c r="L415" i="15"/>
  <c r="M415" i="15"/>
  <c r="N415" i="15"/>
  <c r="O415" i="15"/>
  <c r="P415" i="15"/>
  <c r="Q415" i="15"/>
  <c r="R415" i="15"/>
  <c r="S415" i="15"/>
  <c r="T415" i="15"/>
  <c r="U415" i="15"/>
  <c r="V415" i="15"/>
  <c r="W415" i="15"/>
  <c r="X415" i="15"/>
  <c r="Y415" i="15"/>
  <c r="Z415" i="15"/>
  <c r="AA415" i="15"/>
  <c r="AB415" i="15"/>
  <c r="AC415" i="15"/>
  <c r="AD415" i="15"/>
  <c r="AE415" i="15"/>
  <c r="AF415" i="15"/>
  <c r="AG415" i="15"/>
  <c r="AH415" i="15"/>
  <c r="AI415" i="15"/>
  <c r="AJ415" i="15"/>
  <c r="AK415" i="15"/>
  <c r="AL415" i="15"/>
  <c r="AM415" i="15"/>
  <c r="AN415" i="15"/>
  <c r="AO415" i="15"/>
  <c r="AP415" i="15"/>
  <c r="AQ415" i="15"/>
  <c r="AR415" i="15"/>
  <c r="AS415" i="15"/>
  <c r="AT415" i="15"/>
  <c r="AU415" i="15"/>
  <c r="AV415" i="15"/>
  <c r="AW415" i="15"/>
  <c r="AX415" i="15"/>
  <c r="AY415" i="15"/>
  <c r="AZ415" i="15"/>
  <c r="BA415" i="15"/>
  <c r="BB415" i="15"/>
  <c r="BC415" i="15"/>
  <c r="BD415" i="15"/>
  <c r="BE415" i="15"/>
  <c r="BF415" i="15"/>
  <c r="BG415" i="15"/>
  <c r="BH415" i="15"/>
  <c r="BI415" i="15"/>
  <c r="BJ415" i="15"/>
  <c r="BK415" i="15"/>
  <c r="BL415" i="15"/>
  <c r="BM415" i="15"/>
  <c r="BN415" i="15"/>
  <c r="BO415" i="15"/>
  <c r="BP415" i="15"/>
  <c r="BQ415" i="15"/>
  <c r="BR415" i="15"/>
  <c r="BS415" i="15"/>
  <c r="BT415" i="15"/>
  <c r="BU415" i="15"/>
  <c r="BV415" i="15"/>
  <c r="BW415" i="15"/>
  <c r="BX415" i="15"/>
  <c r="BY415" i="15"/>
  <c r="BZ415" i="15"/>
  <c r="CA415" i="15"/>
  <c r="CB415" i="15"/>
  <c r="CC415" i="15"/>
  <c r="CD415" i="15"/>
  <c r="CE415" i="15"/>
  <c r="CF415" i="15"/>
  <c r="CG415" i="15"/>
  <c r="CH415" i="15"/>
  <c r="CI415" i="15"/>
  <c r="CJ415" i="15"/>
  <c r="CK415" i="15"/>
  <c r="CL415" i="15"/>
  <c r="CM415" i="15"/>
  <c r="CN415" i="15"/>
  <c r="CO415" i="15"/>
  <c r="A416" i="15"/>
  <c r="B416" i="15"/>
  <c r="C416" i="15"/>
  <c r="D416" i="15"/>
  <c r="E416" i="15"/>
  <c r="F416" i="15"/>
  <c r="G416" i="15"/>
  <c r="H416" i="15"/>
  <c r="I416" i="15"/>
  <c r="J416" i="15"/>
  <c r="K416" i="15"/>
  <c r="L416" i="15"/>
  <c r="M416" i="15"/>
  <c r="N416" i="15"/>
  <c r="O416" i="15"/>
  <c r="P416" i="15"/>
  <c r="Q416" i="15"/>
  <c r="R416" i="15"/>
  <c r="S416" i="15"/>
  <c r="T416" i="15"/>
  <c r="U416" i="15"/>
  <c r="V416" i="15"/>
  <c r="W416" i="15"/>
  <c r="X416" i="15"/>
  <c r="Y416" i="15"/>
  <c r="Z416" i="15"/>
  <c r="AA416" i="15"/>
  <c r="AB416" i="15"/>
  <c r="AC416" i="15"/>
  <c r="AD416" i="15"/>
  <c r="AE416" i="15"/>
  <c r="AF416" i="15"/>
  <c r="AG416" i="15"/>
  <c r="AH416" i="15"/>
  <c r="AI416" i="15"/>
  <c r="AJ416" i="15"/>
  <c r="AK416" i="15"/>
  <c r="AL416" i="15"/>
  <c r="AM416" i="15"/>
  <c r="AN416" i="15"/>
  <c r="AO416" i="15"/>
  <c r="AP416" i="15"/>
  <c r="AQ416" i="15"/>
  <c r="AR416" i="15"/>
  <c r="AS416" i="15"/>
  <c r="AT416" i="15"/>
  <c r="AU416" i="15"/>
  <c r="AV416" i="15"/>
  <c r="AW416" i="15"/>
  <c r="AX416" i="15"/>
  <c r="AY416" i="15"/>
  <c r="AZ416" i="15"/>
  <c r="BA416" i="15"/>
  <c r="BB416" i="15"/>
  <c r="BC416" i="15"/>
  <c r="BD416" i="15"/>
  <c r="BE416" i="15"/>
  <c r="BF416" i="15"/>
  <c r="BG416" i="15"/>
  <c r="BH416" i="15"/>
  <c r="BI416" i="15"/>
  <c r="BJ416" i="15"/>
  <c r="BK416" i="15"/>
  <c r="BL416" i="15"/>
  <c r="BM416" i="15"/>
  <c r="BN416" i="15"/>
  <c r="BO416" i="15"/>
  <c r="BP416" i="15"/>
  <c r="BQ416" i="15"/>
  <c r="BR416" i="15"/>
  <c r="BS416" i="15"/>
  <c r="BT416" i="15"/>
  <c r="BU416" i="15"/>
  <c r="BV416" i="15"/>
  <c r="BW416" i="15"/>
  <c r="BX416" i="15"/>
  <c r="BY416" i="15"/>
  <c r="BZ416" i="15"/>
  <c r="CA416" i="15"/>
  <c r="CB416" i="15"/>
  <c r="CC416" i="15"/>
  <c r="CD416" i="15"/>
  <c r="CE416" i="15"/>
  <c r="CF416" i="15"/>
  <c r="CG416" i="15"/>
  <c r="CH416" i="15"/>
  <c r="CI416" i="15"/>
  <c r="CJ416" i="15"/>
  <c r="CK416" i="15"/>
  <c r="CL416" i="15"/>
  <c r="CM416" i="15"/>
  <c r="CN416" i="15"/>
  <c r="CO416" i="15"/>
  <c r="A417" i="15"/>
  <c r="B417" i="15"/>
  <c r="C417" i="15"/>
  <c r="D417" i="15"/>
  <c r="E417" i="15"/>
  <c r="F417" i="15"/>
  <c r="G417" i="15"/>
  <c r="H417" i="15"/>
  <c r="I417" i="15"/>
  <c r="J417" i="15"/>
  <c r="K417" i="15"/>
  <c r="L417" i="15"/>
  <c r="M417" i="15"/>
  <c r="N417" i="15"/>
  <c r="O417" i="15"/>
  <c r="P417" i="15"/>
  <c r="Q417" i="15"/>
  <c r="R417" i="15"/>
  <c r="S417" i="15"/>
  <c r="T417" i="15"/>
  <c r="U417" i="15"/>
  <c r="V417" i="15"/>
  <c r="W417" i="15"/>
  <c r="X417" i="15"/>
  <c r="Y417" i="15"/>
  <c r="Z417" i="15"/>
  <c r="AA417" i="15"/>
  <c r="AB417" i="15"/>
  <c r="AC417" i="15"/>
  <c r="AD417" i="15"/>
  <c r="AE417" i="15"/>
  <c r="AF417" i="15"/>
  <c r="AG417" i="15"/>
  <c r="AH417" i="15"/>
  <c r="AI417" i="15"/>
  <c r="AJ417" i="15"/>
  <c r="AK417" i="15"/>
  <c r="AL417" i="15"/>
  <c r="AM417" i="15"/>
  <c r="AN417" i="15"/>
  <c r="AO417" i="15"/>
  <c r="AP417" i="15"/>
  <c r="AQ417" i="15"/>
  <c r="AR417" i="15"/>
  <c r="AS417" i="15"/>
  <c r="AT417" i="15"/>
  <c r="AU417" i="15"/>
  <c r="AV417" i="15"/>
  <c r="AW417" i="15"/>
  <c r="AX417" i="15"/>
  <c r="AY417" i="15"/>
  <c r="AZ417" i="15"/>
  <c r="BA417" i="15"/>
  <c r="BB417" i="15"/>
  <c r="BC417" i="15"/>
  <c r="BD417" i="15"/>
  <c r="BE417" i="15"/>
  <c r="BF417" i="15"/>
  <c r="BG417" i="15"/>
  <c r="BH417" i="15"/>
  <c r="BI417" i="15"/>
  <c r="BJ417" i="15"/>
  <c r="BK417" i="15"/>
  <c r="BL417" i="15"/>
  <c r="BM417" i="15"/>
  <c r="BN417" i="15"/>
  <c r="BO417" i="15"/>
  <c r="BP417" i="15"/>
  <c r="BQ417" i="15"/>
  <c r="BR417" i="15"/>
  <c r="BS417" i="15"/>
  <c r="BT417" i="15"/>
  <c r="BU417" i="15"/>
  <c r="BV417" i="15"/>
  <c r="BW417" i="15"/>
  <c r="BX417" i="15"/>
  <c r="BY417" i="15"/>
  <c r="BZ417" i="15"/>
  <c r="CA417" i="15"/>
  <c r="CB417" i="15"/>
  <c r="CC417" i="15"/>
  <c r="CD417" i="15"/>
  <c r="CE417" i="15"/>
  <c r="CF417" i="15"/>
  <c r="CG417" i="15"/>
  <c r="CH417" i="15"/>
  <c r="CI417" i="15"/>
  <c r="CJ417" i="15"/>
  <c r="CK417" i="15"/>
  <c r="CL417" i="15"/>
  <c r="CM417" i="15"/>
  <c r="CN417" i="15"/>
  <c r="CO417" i="15"/>
  <c r="A418" i="15"/>
  <c r="B418" i="15"/>
  <c r="C418" i="15"/>
  <c r="D418" i="15"/>
  <c r="E418" i="15"/>
  <c r="F418" i="15"/>
  <c r="G418" i="15"/>
  <c r="H418" i="15"/>
  <c r="I418" i="15"/>
  <c r="J418" i="15"/>
  <c r="K418" i="15"/>
  <c r="L418" i="15"/>
  <c r="M418" i="15"/>
  <c r="N418" i="15"/>
  <c r="O418" i="15"/>
  <c r="P418" i="15"/>
  <c r="Q418" i="15"/>
  <c r="R418" i="15"/>
  <c r="S418" i="15"/>
  <c r="T418" i="15"/>
  <c r="U418" i="15"/>
  <c r="V418" i="15"/>
  <c r="W418" i="15"/>
  <c r="X418" i="15"/>
  <c r="Y418" i="15"/>
  <c r="Z418" i="15"/>
  <c r="AA418" i="15"/>
  <c r="AB418" i="15"/>
  <c r="AC418" i="15"/>
  <c r="AD418" i="15"/>
  <c r="AE418" i="15"/>
  <c r="AF418" i="15"/>
  <c r="AG418" i="15"/>
  <c r="AH418" i="15"/>
  <c r="AI418" i="15"/>
  <c r="AJ418" i="15"/>
  <c r="AK418" i="15"/>
  <c r="AL418" i="15"/>
  <c r="AM418" i="15"/>
  <c r="AN418" i="15"/>
  <c r="AO418" i="15"/>
  <c r="AP418" i="15"/>
  <c r="AQ418" i="15"/>
  <c r="AR418" i="15"/>
  <c r="AS418" i="15"/>
  <c r="AT418" i="15"/>
  <c r="AU418" i="15"/>
  <c r="AV418" i="15"/>
  <c r="AW418" i="15"/>
  <c r="AX418" i="15"/>
  <c r="AY418" i="15"/>
  <c r="AZ418" i="15"/>
  <c r="BA418" i="15"/>
  <c r="BB418" i="15"/>
  <c r="BC418" i="15"/>
  <c r="BD418" i="15"/>
  <c r="BE418" i="15"/>
  <c r="BF418" i="15"/>
  <c r="BG418" i="15"/>
  <c r="BH418" i="15"/>
  <c r="BI418" i="15"/>
  <c r="BJ418" i="15"/>
  <c r="BK418" i="15"/>
  <c r="BL418" i="15"/>
  <c r="BM418" i="15"/>
  <c r="BN418" i="15"/>
  <c r="BO418" i="15"/>
  <c r="BP418" i="15"/>
  <c r="BQ418" i="15"/>
  <c r="BR418" i="15"/>
  <c r="BS418" i="15"/>
  <c r="BT418" i="15"/>
  <c r="BU418" i="15"/>
  <c r="BV418" i="15"/>
  <c r="BW418" i="15"/>
  <c r="BX418" i="15"/>
  <c r="BY418" i="15"/>
  <c r="BZ418" i="15"/>
  <c r="CA418" i="15"/>
  <c r="CB418" i="15"/>
  <c r="CC418" i="15"/>
  <c r="CD418" i="15"/>
  <c r="CE418" i="15"/>
  <c r="CF418" i="15"/>
  <c r="CG418" i="15"/>
  <c r="CH418" i="15"/>
  <c r="CI418" i="15"/>
  <c r="CJ418" i="15"/>
  <c r="CK418" i="15"/>
  <c r="CL418" i="15"/>
  <c r="CM418" i="15"/>
  <c r="CN418" i="15"/>
  <c r="CO418" i="15"/>
  <c r="A419" i="15"/>
  <c r="B419" i="15"/>
  <c r="C419" i="15"/>
  <c r="D419" i="15"/>
  <c r="E419" i="15"/>
  <c r="F419" i="15"/>
  <c r="G419" i="15"/>
  <c r="H419" i="15"/>
  <c r="I419" i="15"/>
  <c r="J419" i="15"/>
  <c r="K419" i="15"/>
  <c r="L419" i="15"/>
  <c r="M419" i="15"/>
  <c r="N419" i="15"/>
  <c r="O419" i="15"/>
  <c r="P419" i="15"/>
  <c r="Q419" i="15"/>
  <c r="R419" i="15"/>
  <c r="S419" i="15"/>
  <c r="T419" i="15"/>
  <c r="U419" i="15"/>
  <c r="V419" i="15"/>
  <c r="W419" i="15"/>
  <c r="X419" i="15"/>
  <c r="Y419" i="15"/>
  <c r="Z419" i="15"/>
  <c r="AA419" i="15"/>
  <c r="AB419" i="15"/>
  <c r="AC419" i="15"/>
  <c r="AD419" i="15"/>
  <c r="AE419" i="15"/>
  <c r="AF419" i="15"/>
  <c r="AG419" i="15"/>
  <c r="AH419" i="15"/>
  <c r="AI419" i="15"/>
  <c r="AJ419" i="15"/>
  <c r="AK419" i="15"/>
  <c r="AL419" i="15"/>
  <c r="AM419" i="15"/>
  <c r="AN419" i="15"/>
  <c r="AO419" i="15"/>
  <c r="AP419" i="15"/>
  <c r="AQ419" i="15"/>
  <c r="AR419" i="15"/>
  <c r="AS419" i="15"/>
  <c r="AT419" i="15"/>
  <c r="AU419" i="15"/>
  <c r="AV419" i="15"/>
  <c r="AW419" i="15"/>
  <c r="AX419" i="15"/>
  <c r="AY419" i="15"/>
  <c r="AZ419" i="15"/>
  <c r="BA419" i="15"/>
  <c r="BB419" i="15"/>
  <c r="BC419" i="15"/>
  <c r="BD419" i="15"/>
  <c r="BE419" i="15"/>
  <c r="BF419" i="15"/>
  <c r="BG419" i="15"/>
  <c r="BH419" i="15"/>
  <c r="BI419" i="15"/>
  <c r="BJ419" i="15"/>
  <c r="BK419" i="15"/>
  <c r="BL419" i="15"/>
  <c r="BM419" i="15"/>
  <c r="BN419" i="15"/>
  <c r="BO419" i="15"/>
  <c r="BP419" i="15"/>
  <c r="BQ419" i="15"/>
  <c r="BR419" i="15"/>
  <c r="BS419" i="15"/>
  <c r="BT419" i="15"/>
  <c r="BU419" i="15"/>
  <c r="BV419" i="15"/>
  <c r="BW419" i="15"/>
  <c r="BX419" i="15"/>
  <c r="BY419" i="15"/>
  <c r="BZ419" i="15"/>
  <c r="CA419" i="15"/>
  <c r="CB419" i="15"/>
  <c r="CC419" i="15"/>
  <c r="CD419" i="15"/>
  <c r="CE419" i="15"/>
  <c r="CF419" i="15"/>
  <c r="CG419" i="15"/>
  <c r="CH419" i="15"/>
  <c r="CI419" i="15"/>
  <c r="CJ419" i="15"/>
  <c r="CK419" i="15"/>
  <c r="CL419" i="15"/>
  <c r="CM419" i="15"/>
  <c r="CN419" i="15"/>
  <c r="CO419" i="15"/>
  <c r="A420" i="15"/>
  <c r="B420" i="15"/>
  <c r="C420" i="15"/>
  <c r="D420" i="15"/>
  <c r="E420" i="15"/>
  <c r="F420" i="15"/>
  <c r="G420" i="15"/>
  <c r="H420" i="15"/>
  <c r="I420" i="15"/>
  <c r="J420" i="15"/>
  <c r="K420" i="15"/>
  <c r="L420" i="15"/>
  <c r="M420" i="15"/>
  <c r="N420" i="15"/>
  <c r="O420" i="15"/>
  <c r="P420" i="15"/>
  <c r="Q420" i="15"/>
  <c r="R420" i="15"/>
  <c r="S420" i="15"/>
  <c r="T420" i="15"/>
  <c r="U420" i="15"/>
  <c r="V420" i="15"/>
  <c r="W420" i="15"/>
  <c r="X420" i="15"/>
  <c r="Y420" i="15"/>
  <c r="Z420" i="15"/>
  <c r="AA420" i="15"/>
  <c r="AB420" i="15"/>
  <c r="AC420" i="15"/>
  <c r="AD420" i="15"/>
  <c r="AE420" i="15"/>
  <c r="AF420" i="15"/>
  <c r="AG420" i="15"/>
  <c r="AH420" i="15"/>
  <c r="AI420" i="15"/>
  <c r="AJ420" i="15"/>
  <c r="AK420" i="15"/>
  <c r="AL420" i="15"/>
  <c r="AM420" i="15"/>
  <c r="AN420" i="15"/>
  <c r="AO420" i="15"/>
  <c r="AP420" i="15"/>
  <c r="AQ420" i="15"/>
  <c r="AR420" i="15"/>
  <c r="AS420" i="15"/>
  <c r="AT420" i="15"/>
  <c r="AU420" i="15"/>
  <c r="AV420" i="15"/>
  <c r="AW420" i="15"/>
  <c r="AX420" i="15"/>
  <c r="AY420" i="15"/>
  <c r="AZ420" i="15"/>
  <c r="BA420" i="15"/>
  <c r="BB420" i="15"/>
  <c r="BC420" i="15"/>
  <c r="BD420" i="15"/>
  <c r="BE420" i="15"/>
  <c r="BF420" i="15"/>
  <c r="BG420" i="15"/>
  <c r="BH420" i="15"/>
  <c r="BI420" i="15"/>
  <c r="BJ420" i="15"/>
  <c r="BK420" i="15"/>
  <c r="BL420" i="15"/>
  <c r="BM420" i="15"/>
  <c r="BN420" i="15"/>
  <c r="BO420" i="15"/>
  <c r="BP420" i="15"/>
  <c r="BQ420" i="15"/>
  <c r="BR420" i="15"/>
  <c r="BS420" i="15"/>
  <c r="BT420" i="15"/>
  <c r="BU420" i="15"/>
  <c r="BV420" i="15"/>
  <c r="BW420" i="15"/>
  <c r="BX420" i="15"/>
  <c r="BY420" i="15"/>
  <c r="BZ420" i="15"/>
  <c r="CA420" i="15"/>
  <c r="CB420" i="15"/>
  <c r="CC420" i="15"/>
  <c r="CD420" i="15"/>
  <c r="CE420" i="15"/>
  <c r="CF420" i="15"/>
  <c r="CG420" i="15"/>
  <c r="CH420" i="15"/>
  <c r="CI420" i="15"/>
  <c r="CJ420" i="15"/>
  <c r="CK420" i="15"/>
  <c r="CL420" i="15"/>
  <c r="CM420" i="15"/>
  <c r="CN420" i="15"/>
  <c r="CO420" i="15"/>
  <c r="A421" i="15"/>
  <c r="B421" i="15"/>
  <c r="C421" i="15"/>
  <c r="D421" i="15"/>
  <c r="E421" i="15"/>
  <c r="F421" i="15"/>
  <c r="G421" i="15"/>
  <c r="H421" i="15"/>
  <c r="I421" i="15"/>
  <c r="J421" i="15"/>
  <c r="K421" i="15"/>
  <c r="L421" i="15"/>
  <c r="M421" i="15"/>
  <c r="N421" i="15"/>
  <c r="O421" i="15"/>
  <c r="P421" i="15"/>
  <c r="Q421" i="15"/>
  <c r="R421" i="15"/>
  <c r="S421" i="15"/>
  <c r="T421" i="15"/>
  <c r="U421" i="15"/>
  <c r="V421" i="15"/>
  <c r="W421" i="15"/>
  <c r="X421" i="15"/>
  <c r="Y421" i="15"/>
  <c r="Z421" i="15"/>
  <c r="AA421" i="15"/>
  <c r="AB421" i="15"/>
  <c r="AC421" i="15"/>
  <c r="AD421" i="15"/>
  <c r="AE421" i="15"/>
  <c r="AF421" i="15"/>
  <c r="AG421" i="15"/>
  <c r="AH421" i="15"/>
  <c r="AI421" i="15"/>
  <c r="AJ421" i="15"/>
  <c r="AK421" i="15"/>
  <c r="AL421" i="15"/>
  <c r="AM421" i="15"/>
  <c r="AN421" i="15"/>
  <c r="AO421" i="15"/>
  <c r="AP421" i="15"/>
  <c r="AQ421" i="15"/>
  <c r="AR421" i="15"/>
  <c r="AS421" i="15"/>
  <c r="AT421" i="15"/>
  <c r="AU421" i="15"/>
  <c r="AV421" i="15"/>
  <c r="AW421" i="15"/>
  <c r="AX421" i="15"/>
  <c r="AY421" i="15"/>
  <c r="AZ421" i="15"/>
  <c r="BA421" i="15"/>
  <c r="BB421" i="15"/>
  <c r="BC421" i="15"/>
  <c r="BD421" i="15"/>
  <c r="BE421" i="15"/>
  <c r="BF421" i="15"/>
  <c r="BG421" i="15"/>
  <c r="BH421" i="15"/>
  <c r="BI421" i="15"/>
  <c r="BJ421" i="15"/>
  <c r="BK421" i="15"/>
  <c r="BL421" i="15"/>
  <c r="BM421" i="15"/>
  <c r="BN421" i="15"/>
  <c r="BO421" i="15"/>
  <c r="BP421" i="15"/>
  <c r="BQ421" i="15"/>
  <c r="BR421" i="15"/>
  <c r="BS421" i="15"/>
  <c r="BT421" i="15"/>
  <c r="BU421" i="15"/>
  <c r="BV421" i="15"/>
  <c r="BW421" i="15"/>
  <c r="BX421" i="15"/>
  <c r="BY421" i="15"/>
  <c r="BZ421" i="15"/>
  <c r="CA421" i="15"/>
  <c r="CB421" i="15"/>
  <c r="CC421" i="15"/>
  <c r="CD421" i="15"/>
  <c r="CE421" i="15"/>
  <c r="CF421" i="15"/>
  <c r="CG421" i="15"/>
  <c r="CH421" i="15"/>
  <c r="CI421" i="15"/>
  <c r="CJ421" i="15"/>
  <c r="CK421" i="15"/>
  <c r="CL421" i="15"/>
  <c r="CM421" i="15"/>
  <c r="CN421" i="15"/>
  <c r="CO421" i="15"/>
  <c r="A422" i="15"/>
  <c r="B422" i="15"/>
  <c r="C422" i="15"/>
  <c r="D422" i="15"/>
  <c r="E422" i="15"/>
  <c r="F422" i="15"/>
  <c r="G422" i="15"/>
  <c r="H422" i="15"/>
  <c r="I422" i="15"/>
  <c r="J422" i="15"/>
  <c r="K422" i="15"/>
  <c r="L422" i="15"/>
  <c r="M422" i="15"/>
  <c r="N422" i="15"/>
  <c r="O422" i="15"/>
  <c r="P422" i="15"/>
  <c r="Q422" i="15"/>
  <c r="R422" i="15"/>
  <c r="S422" i="15"/>
  <c r="T422" i="15"/>
  <c r="U422" i="15"/>
  <c r="V422" i="15"/>
  <c r="W422" i="15"/>
  <c r="X422" i="15"/>
  <c r="Y422" i="15"/>
  <c r="Z422" i="15"/>
  <c r="AA422" i="15"/>
  <c r="AB422" i="15"/>
  <c r="AC422" i="15"/>
  <c r="AD422" i="15"/>
  <c r="AE422" i="15"/>
  <c r="AF422" i="15"/>
  <c r="AG422" i="15"/>
  <c r="AH422" i="15"/>
  <c r="AI422" i="15"/>
  <c r="AJ422" i="15"/>
  <c r="AK422" i="15"/>
  <c r="AL422" i="15"/>
  <c r="AM422" i="15"/>
  <c r="AN422" i="15"/>
  <c r="AO422" i="15"/>
  <c r="AP422" i="15"/>
  <c r="AQ422" i="15"/>
  <c r="AR422" i="15"/>
  <c r="AS422" i="15"/>
  <c r="AT422" i="15"/>
  <c r="AU422" i="15"/>
  <c r="AV422" i="15"/>
  <c r="AW422" i="15"/>
  <c r="AX422" i="15"/>
  <c r="AY422" i="15"/>
  <c r="AZ422" i="15"/>
  <c r="BA422" i="15"/>
  <c r="BB422" i="15"/>
  <c r="BC422" i="15"/>
  <c r="BD422" i="15"/>
  <c r="BE422" i="15"/>
  <c r="BF422" i="15"/>
  <c r="BG422" i="15"/>
  <c r="BH422" i="15"/>
  <c r="BI422" i="15"/>
  <c r="BJ422" i="15"/>
  <c r="BK422" i="15"/>
  <c r="BL422" i="15"/>
  <c r="BM422" i="15"/>
  <c r="BN422" i="15"/>
  <c r="BO422" i="15"/>
  <c r="BP422" i="15"/>
  <c r="BQ422" i="15"/>
  <c r="BR422" i="15"/>
  <c r="BS422" i="15"/>
  <c r="BT422" i="15"/>
  <c r="BU422" i="15"/>
  <c r="BV422" i="15"/>
  <c r="BW422" i="15"/>
  <c r="BX422" i="15"/>
  <c r="BY422" i="15"/>
  <c r="BZ422" i="15"/>
  <c r="CA422" i="15"/>
  <c r="CB422" i="15"/>
  <c r="CC422" i="15"/>
  <c r="CD422" i="15"/>
  <c r="CE422" i="15"/>
  <c r="CF422" i="15"/>
  <c r="CG422" i="15"/>
  <c r="CH422" i="15"/>
  <c r="CI422" i="15"/>
  <c r="CJ422" i="15"/>
  <c r="CK422" i="15"/>
  <c r="CL422" i="15"/>
  <c r="CM422" i="15"/>
  <c r="CN422" i="15"/>
  <c r="CO422" i="15"/>
  <c r="A423" i="15"/>
  <c r="B423" i="15"/>
  <c r="C423" i="15"/>
  <c r="D423" i="15"/>
  <c r="E423" i="15"/>
  <c r="F423" i="15"/>
  <c r="G423" i="15"/>
  <c r="H423" i="15"/>
  <c r="I423" i="15"/>
  <c r="J423" i="15"/>
  <c r="K423" i="15"/>
  <c r="L423" i="15"/>
  <c r="M423" i="15"/>
  <c r="N423" i="15"/>
  <c r="O423" i="15"/>
  <c r="P423" i="15"/>
  <c r="Q423" i="15"/>
  <c r="R423" i="15"/>
  <c r="S423" i="15"/>
  <c r="T423" i="15"/>
  <c r="U423" i="15"/>
  <c r="V423" i="15"/>
  <c r="W423" i="15"/>
  <c r="X423" i="15"/>
  <c r="Y423" i="15"/>
  <c r="Z423" i="15"/>
  <c r="AA423" i="15"/>
  <c r="AB423" i="15"/>
  <c r="AC423" i="15"/>
  <c r="AD423" i="15"/>
  <c r="AE423" i="15"/>
  <c r="AF423" i="15"/>
  <c r="AG423" i="15"/>
  <c r="AH423" i="15"/>
  <c r="AI423" i="15"/>
  <c r="AJ423" i="15"/>
  <c r="AK423" i="15"/>
  <c r="AL423" i="15"/>
  <c r="AM423" i="15"/>
  <c r="AN423" i="15"/>
  <c r="AO423" i="15"/>
  <c r="AP423" i="15"/>
  <c r="AQ423" i="15"/>
  <c r="AR423" i="15"/>
  <c r="AS423" i="15"/>
  <c r="AT423" i="15"/>
  <c r="AU423" i="15"/>
  <c r="AV423" i="15"/>
  <c r="AW423" i="15"/>
  <c r="AX423" i="15"/>
  <c r="AY423" i="15"/>
  <c r="AZ423" i="15"/>
  <c r="BA423" i="15"/>
  <c r="BB423" i="15"/>
  <c r="BC423" i="15"/>
  <c r="BD423" i="15"/>
  <c r="BE423" i="15"/>
  <c r="BF423" i="15"/>
  <c r="BG423" i="15"/>
  <c r="BH423" i="15"/>
  <c r="BI423" i="15"/>
  <c r="BJ423" i="15"/>
  <c r="BK423" i="15"/>
  <c r="BL423" i="15"/>
  <c r="BM423" i="15"/>
  <c r="BN423" i="15"/>
  <c r="BO423" i="15"/>
  <c r="BP423" i="15"/>
  <c r="BQ423" i="15"/>
  <c r="BR423" i="15"/>
  <c r="BS423" i="15"/>
  <c r="BT423" i="15"/>
  <c r="BU423" i="15"/>
  <c r="BV423" i="15"/>
  <c r="BW423" i="15"/>
  <c r="BX423" i="15"/>
  <c r="BY423" i="15"/>
  <c r="BZ423" i="15"/>
  <c r="CA423" i="15"/>
  <c r="CB423" i="15"/>
  <c r="CC423" i="15"/>
  <c r="CD423" i="15"/>
  <c r="CE423" i="15"/>
  <c r="CF423" i="15"/>
  <c r="CG423" i="15"/>
  <c r="CH423" i="15"/>
  <c r="CI423" i="15"/>
  <c r="CJ423" i="15"/>
  <c r="CK423" i="15"/>
  <c r="CL423" i="15"/>
  <c r="CM423" i="15"/>
  <c r="CN423" i="15"/>
  <c r="CO423" i="15"/>
  <c r="A424" i="15"/>
  <c r="B424" i="15"/>
  <c r="C424" i="15"/>
  <c r="D424" i="15"/>
  <c r="E424" i="15"/>
  <c r="F424" i="15"/>
  <c r="G424" i="15"/>
  <c r="H424" i="15"/>
  <c r="I424" i="15"/>
  <c r="J424" i="15"/>
  <c r="K424" i="15"/>
  <c r="L424" i="15"/>
  <c r="M424" i="15"/>
  <c r="N424" i="15"/>
  <c r="O424" i="15"/>
  <c r="P424" i="15"/>
  <c r="Q424" i="15"/>
  <c r="R424" i="15"/>
  <c r="S424" i="15"/>
  <c r="T424" i="15"/>
  <c r="U424" i="15"/>
  <c r="V424" i="15"/>
  <c r="W424" i="15"/>
  <c r="X424" i="15"/>
  <c r="Y424" i="15"/>
  <c r="Z424" i="15"/>
  <c r="AA424" i="15"/>
  <c r="AB424" i="15"/>
  <c r="AC424" i="15"/>
  <c r="AD424" i="15"/>
  <c r="AE424" i="15"/>
  <c r="AF424" i="15"/>
  <c r="AG424" i="15"/>
  <c r="AH424" i="15"/>
  <c r="AI424" i="15"/>
  <c r="AJ424" i="15"/>
  <c r="AK424" i="15"/>
  <c r="AL424" i="15"/>
  <c r="AM424" i="15"/>
  <c r="AN424" i="15"/>
  <c r="AO424" i="15"/>
  <c r="AP424" i="15"/>
  <c r="AQ424" i="15"/>
  <c r="AR424" i="15"/>
  <c r="AS424" i="15"/>
  <c r="AT424" i="15"/>
  <c r="AU424" i="15"/>
  <c r="AV424" i="15"/>
  <c r="AW424" i="15"/>
  <c r="AX424" i="15"/>
  <c r="AY424" i="15"/>
  <c r="AZ424" i="15"/>
  <c r="BA424" i="15"/>
  <c r="BB424" i="15"/>
  <c r="BC424" i="15"/>
  <c r="BD424" i="15"/>
  <c r="BE424" i="15"/>
  <c r="BF424" i="15"/>
  <c r="BG424" i="15"/>
  <c r="BH424" i="15"/>
  <c r="BI424" i="15"/>
  <c r="BJ424" i="15"/>
  <c r="BK424" i="15"/>
  <c r="BL424" i="15"/>
  <c r="BM424" i="15"/>
  <c r="BN424" i="15"/>
  <c r="BO424" i="15"/>
  <c r="BP424" i="15"/>
  <c r="BQ424" i="15"/>
  <c r="BR424" i="15"/>
  <c r="BS424" i="15"/>
  <c r="BT424" i="15"/>
  <c r="BU424" i="15"/>
  <c r="BV424" i="15"/>
  <c r="BW424" i="15"/>
  <c r="BX424" i="15"/>
  <c r="BY424" i="15"/>
  <c r="BZ424" i="15"/>
  <c r="CA424" i="15"/>
  <c r="CB424" i="15"/>
  <c r="CC424" i="15"/>
  <c r="CD424" i="15"/>
  <c r="CE424" i="15"/>
  <c r="CF424" i="15"/>
  <c r="CG424" i="15"/>
  <c r="CH424" i="15"/>
  <c r="CI424" i="15"/>
  <c r="CJ424" i="15"/>
  <c r="CK424" i="15"/>
  <c r="CL424" i="15"/>
  <c r="CM424" i="15"/>
  <c r="CN424" i="15"/>
  <c r="CO424" i="15"/>
  <c r="A425" i="15"/>
  <c r="B425" i="15"/>
  <c r="C425" i="15"/>
  <c r="D425" i="15"/>
  <c r="E425" i="15"/>
  <c r="F425" i="15"/>
  <c r="G425" i="15"/>
  <c r="H425" i="15"/>
  <c r="I425" i="15"/>
  <c r="J425" i="15"/>
  <c r="K425" i="15"/>
  <c r="L425" i="15"/>
  <c r="M425" i="15"/>
  <c r="N425" i="15"/>
  <c r="O425" i="15"/>
  <c r="P425" i="15"/>
  <c r="Q425" i="15"/>
  <c r="R425" i="15"/>
  <c r="S425" i="15"/>
  <c r="T425" i="15"/>
  <c r="U425" i="15"/>
  <c r="V425" i="15"/>
  <c r="W425" i="15"/>
  <c r="X425" i="15"/>
  <c r="Y425" i="15"/>
  <c r="Z425" i="15"/>
  <c r="AA425" i="15"/>
  <c r="AB425" i="15"/>
  <c r="AC425" i="15"/>
  <c r="AD425" i="15"/>
  <c r="AE425" i="15"/>
  <c r="AF425" i="15"/>
  <c r="AG425" i="15"/>
  <c r="AH425" i="15"/>
  <c r="AI425" i="15"/>
  <c r="AJ425" i="15"/>
  <c r="AK425" i="15"/>
  <c r="AL425" i="15"/>
  <c r="AM425" i="15"/>
  <c r="AN425" i="15"/>
  <c r="AO425" i="15"/>
  <c r="AP425" i="15"/>
  <c r="AQ425" i="15"/>
  <c r="AR425" i="15"/>
  <c r="AS425" i="15"/>
  <c r="AT425" i="15"/>
  <c r="AU425" i="15"/>
  <c r="AV425" i="15"/>
  <c r="AW425" i="15"/>
  <c r="AX425" i="15"/>
  <c r="AY425" i="15"/>
  <c r="AZ425" i="15"/>
  <c r="BA425" i="15"/>
  <c r="BB425" i="15"/>
  <c r="BC425" i="15"/>
  <c r="BD425" i="15"/>
  <c r="BE425" i="15"/>
  <c r="BF425" i="15"/>
  <c r="BG425" i="15"/>
  <c r="BH425" i="15"/>
  <c r="BI425" i="15"/>
  <c r="BJ425" i="15"/>
  <c r="BK425" i="15"/>
  <c r="BL425" i="15"/>
  <c r="BM425" i="15"/>
  <c r="BN425" i="15"/>
  <c r="BO425" i="15"/>
  <c r="BP425" i="15"/>
  <c r="BQ425" i="15"/>
  <c r="BR425" i="15"/>
  <c r="BS425" i="15"/>
  <c r="BT425" i="15"/>
  <c r="BU425" i="15"/>
  <c r="BV425" i="15"/>
  <c r="BW425" i="15"/>
  <c r="BX425" i="15"/>
  <c r="BY425" i="15"/>
  <c r="BZ425" i="15"/>
  <c r="CA425" i="15"/>
  <c r="CB425" i="15"/>
  <c r="CC425" i="15"/>
  <c r="CD425" i="15"/>
  <c r="CE425" i="15"/>
  <c r="CF425" i="15"/>
  <c r="CG425" i="15"/>
  <c r="CH425" i="15"/>
  <c r="CI425" i="15"/>
  <c r="CJ425" i="15"/>
  <c r="CK425" i="15"/>
  <c r="CL425" i="15"/>
  <c r="CM425" i="15"/>
  <c r="CN425" i="15"/>
  <c r="CO425" i="15"/>
  <c r="A426" i="15"/>
  <c r="B426" i="15"/>
  <c r="C426" i="15"/>
  <c r="D426" i="15"/>
  <c r="E426" i="15"/>
  <c r="F426" i="15"/>
  <c r="G426" i="15"/>
  <c r="H426" i="15"/>
  <c r="I426" i="15"/>
  <c r="J426" i="15"/>
  <c r="K426" i="15"/>
  <c r="L426" i="15"/>
  <c r="M426" i="15"/>
  <c r="N426" i="15"/>
  <c r="O426" i="15"/>
  <c r="P426" i="15"/>
  <c r="Q426" i="15"/>
  <c r="R426" i="15"/>
  <c r="S426" i="15"/>
  <c r="T426" i="15"/>
  <c r="U426" i="15"/>
  <c r="V426" i="15"/>
  <c r="W426" i="15"/>
  <c r="X426" i="15"/>
  <c r="Y426" i="15"/>
  <c r="Z426" i="15"/>
  <c r="AA426" i="15"/>
  <c r="AB426" i="15"/>
  <c r="AC426" i="15"/>
  <c r="AD426" i="15"/>
  <c r="AE426" i="15"/>
  <c r="AF426" i="15"/>
  <c r="AG426" i="15"/>
  <c r="AH426" i="15"/>
  <c r="AI426" i="15"/>
  <c r="AJ426" i="15"/>
  <c r="AK426" i="15"/>
  <c r="AL426" i="15"/>
  <c r="AM426" i="15"/>
  <c r="AN426" i="15"/>
  <c r="AO426" i="15"/>
  <c r="AP426" i="15"/>
  <c r="AQ426" i="15"/>
  <c r="AR426" i="15"/>
  <c r="AS426" i="15"/>
  <c r="AT426" i="15"/>
  <c r="AU426" i="15"/>
  <c r="AV426" i="15"/>
  <c r="AW426" i="15"/>
  <c r="AX426" i="15"/>
  <c r="AY426" i="15"/>
  <c r="AZ426" i="15"/>
  <c r="BA426" i="15"/>
  <c r="BB426" i="15"/>
  <c r="BC426" i="15"/>
  <c r="BD426" i="15"/>
  <c r="BE426" i="15"/>
  <c r="BF426" i="15"/>
  <c r="BG426" i="15"/>
  <c r="BH426" i="15"/>
  <c r="BI426" i="15"/>
  <c r="BJ426" i="15"/>
  <c r="BK426" i="15"/>
  <c r="BL426" i="15"/>
  <c r="BM426" i="15"/>
  <c r="BN426" i="15"/>
  <c r="BO426" i="15"/>
  <c r="BP426" i="15"/>
  <c r="BQ426" i="15"/>
  <c r="BR426" i="15"/>
  <c r="BS426" i="15"/>
  <c r="BT426" i="15"/>
  <c r="BU426" i="15"/>
  <c r="BV426" i="15"/>
  <c r="BW426" i="15"/>
  <c r="BX426" i="15"/>
  <c r="BY426" i="15"/>
  <c r="BZ426" i="15"/>
  <c r="CA426" i="15"/>
  <c r="CB426" i="15"/>
  <c r="CC426" i="15"/>
  <c r="CD426" i="15"/>
  <c r="CE426" i="15"/>
  <c r="CF426" i="15"/>
  <c r="CG426" i="15"/>
  <c r="CH426" i="15"/>
  <c r="CI426" i="15"/>
  <c r="CJ426" i="15"/>
  <c r="CK426" i="15"/>
  <c r="CL426" i="15"/>
  <c r="CM426" i="15"/>
  <c r="CN426" i="15"/>
  <c r="CO426" i="15"/>
  <c r="A427" i="15"/>
  <c r="B427" i="15"/>
  <c r="C427" i="15"/>
  <c r="D427" i="15"/>
  <c r="E427" i="15"/>
  <c r="F427" i="15"/>
  <c r="G427" i="15"/>
  <c r="H427" i="15"/>
  <c r="I427" i="15"/>
  <c r="J427" i="15"/>
  <c r="K427" i="15"/>
  <c r="L427" i="15"/>
  <c r="M427" i="15"/>
  <c r="N427" i="15"/>
  <c r="O427" i="15"/>
  <c r="P427" i="15"/>
  <c r="Q427" i="15"/>
  <c r="R427" i="15"/>
  <c r="S427" i="15"/>
  <c r="T427" i="15"/>
  <c r="U427" i="15"/>
  <c r="V427" i="15"/>
  <c r="W427" i="15"/>
  <c r="X427" i="15"/>
  <c r="Y427" i="15"/>
  <c r="Z427" i="15"/>
  <c r="AA427" i="15"/>
  <c r="AB427" i="15"/>
  <c r="AC427" i="15"/>
  <c r="AD427" i="15"/>
  <c r="AE427" i="15"/>
  <c r="AF427" i="15"/>
  <c r="AG427" i="15"/>
  <c r="AH427" i="15"/>
  <c r="AI427" i="15"/>
  <c r="AJ427" i="15"/>
  <c r="AK427" i="15"/>
  <c r="AL427" i="15"/>
  <c r="AM427" i="15"/>
  <c r="AN427" i="15"/>
  <c r="AO427" i="15"/>
  <c r="AP427" i="15"/>
  <c r="AQ427" i="15"/>
  <c r="AR427" i="15"/>
  <c r="AS427" i="15"/>
  <c r="AT427" i="15"/>
  <c r="AU427" i="15"/>
  <c r="AV427" i="15"/>
  <c r="AW427" i="15"/>
  <c r="AX427" i="15"/>
  <c r="AY427" i="15"/>
  <c r="AZ427" i="15"/>
  <c r="BA427" i="15"/>
  <c r="BB427" i="15"/>
  <c r="BC427" i="15"/>
  <c r="BD427" i="15"/>
  <c r="BE427" i="15"/>
  <c r="BF427" i="15"/>
  <c r="BG427" i="15"/>
  <c r="BH427" i="15"/>
  <c r="BI427" i="15"/>
  <c r="BJ427" i="15"/>
  <c r="BK427" i="15"/>
  <c r="BL427" i="15"/>
  <c r="BM427" i="15"/>
  <c r="BN427" i="15"/>
  <c r="BO427" i="15"/>
  <c r="BP427" i="15"/>
  <c r="BQ427" i="15"/>
  <c r="BR427" i="15"/>
  <c r="BS427" i="15"/>
  <c r="BT427" i="15"/>
  <c r="BU427" i="15"/>
  <c r="BV427" i="15"/>
  <c r="BW427" i="15"/>
  <c r="BX427" i="15"/>
  <c r="BY427" i="15"/>
  <c r="BZ427" i="15"/>
  <c r="CA427" i="15"/>
  <c r="CB427" i="15"/>
  <c r="CC427" i="15"/>
  <c r="CD427" i="15"/>
  <c r="CE427" i="15"/>
  <c r="CF427" i="15"/>
  <c r="CG427" i="15"/>
  <c r="CH427" i="15"/>
  <c r="CI427" i="15"/>
  <c r="CJ427" i="15"/>
  <c r="CK427" i="15"/>
  <c r="CL427" i="15"/>
  <c r="CM427" i="15"/>
  <c r="CN427" i="15"/>
  <c r="CO427" i="15"/>
  <c r="A428" i="15"/>
  <c r="B428" i="15"/>
  <c r="C428" i="15"/>
  <c r="D428" i="15"/>
  <c r="E428" i="15"/>
  <c r="F428" i="15"/>
  <c r="G428" i="15"/>
  <c r="H428" i="15"/>
  <c r="I428" i="15"/>
  <c r="J428" i="15"/>
  <c r="K428" i="15"/>
  <c r="L428" i="15"/>
  <c r="M428" i="15"/>
  <c r="N428" i="15"/>
  <c r="O428" i="15"/>
  <c r="P428" i="15"/>
  <c r="Q428" i="15"/>
  <c r="R428" i="15"/>
  <c r="S428" i="15"/>
  <c r="T428" i="15"/>
  <c r="U428" i="15"/>
  <c r="V428" i="15"/>
  <c r="W428" i="15"/>
  <c r="X428" i="15"/>
  <c r="Y428" i="15"/>
  <c r="Z428" i="15"/>
  <c r="AA428" i="15"/>
  <c r="AB428" i="15"/>
  <c r="AC428" i="15"/>
  <c r="AD428" i="15"/>
  <c r="AE428" i="15"/>
  <c r="AF428" i="15"/>
  <c r="AG428" i="15"/>
  <c r="AH428" i="15"/>
  <c r="AI428" i="15"/>
  <c r="AJ428" i="15"/>
  <c r="AK428" i="15"/>
  <c r="AL428" i="15"/>
  <c r="AM428" i="15"/>
  <c r="AN428" i="15"/>
  <c r="AO428" i="15"/>
  <c r="AP428" i="15"/>
  <c r="AQ428" i="15"/>
  <c r="AR428" i="15"/>
  <c r="AS428" i="15"/>
  <c r="AT428" i="15"/>
  <c r="AU428" i="15"/>
  <c r="AV428" i="15"/>
  <c r="AW428" i="15"/>
  <c r="AX428" i="15"/>
  <c r="AY428" i="15"/>
  <c r="AZ428" i="15"/>
  <c r="BA428" i="15"/>
  <c r="BB428" i="15"/>
  <c r="BC428" i="15"/>
  <c r="BD428" i="15"/>
  <c r="BE428" i="15"/>
  <c r="BF428" i="15"/>
  <c r="BG428" i="15"/>
  <c r="BH428" i="15"/>
  <c r="BI428" i="15"/>
  <c r="BJ428" i="15"/>
  <c r="BK428" i="15"/>
  <c r="BL428" i="15"/>
  <c r="BM428" i="15"/>
  <c r="BN428" i="15"/>
  <c r="BO428" i="15"/>
  <c r="BP428" i="15"/>
  <c r="BQ428" i="15"/>
  <c r="BR428" i="15"/>
  <c r="BS428" i="15"/>
  <c r="BT428" i="15"/>
  <c r="BU428" i="15"/>
  <c r="BV428" i="15"/>
  <c r="BW428" i="15"/>
  <c r="BX428" i="15"/>
  <c r="BY428" i="15"/>
  <c r="BZ428" i="15"/>
  <c r="CA428" i="15"/>
  <c r="CB428" i="15"/>
  <c r="CC428" i="15"/>
  <c r="CD428" i="15"/>
  <c r="CE428" i="15"/>
  <c r="CF428" i="15"/>
  <c r="CG428" i="15"/>
  <c r="CH428" i="15"/>
  <c r="CI428" i="15"/>
  <c r="CJ428" i="15"/>
  <c r="CK428" i="15"/>
  <c r="CL428" i="15"/>
  <c r="CM428" i="15"/>
  <c r="CN428" i="15"/>
  <c r="CO428" i="15"/>
  <c r="A429" i="15"/>
  <c r="B429" i="15"/>
  <c r="C429" i="15"/>
  <c r="D429" i="15"/>
  <c r="E429" i="15"/>
  <c r="F429" i="15"/>
  <c r="G429" i="15"/>
  <c r="H429" i="15"/>
  <c r="I429" i="15"/>
  <c r="J429" i="15"/>
  <c r="K429" i="15"/>
  <c r="L429" i="15"/>
  <c r="M429" i="15"/>
  <c r="N429" i="15"/>
  <c r="O429" i="15"/>
  <c r="P429" i="15"/>
  <c r="Q429" i="15"/>
  <c r="R429" i="15"/>
  <c r="S429" i="15"/>
  <c r="T429" i="15"/>
  <c r="U429" i="15"/>
  <c r="V429" i="15"/>
  <c r="W429" i="15"/>
  <c r="X429" i="15"/>
  <c r="Y429" i="15"/>
  <c r="Z429" i="15"/>
  <c r="AA429" i="15"/>
  <c r="AB429" i="15"/>
  <c r="AC429" i="15"/>
  <c r="AD429" i="15"/>
  <c r="AE429" i="15"/>
  <c r="AF429" i="15"/>
  <c r="AG429" i="15"/>
  <c r="AH429" i="15"/>
  <c r="AI429" i="15"/>
  <c r="AJ429" i="15"/>
  <c r="AK429" i="15"/>
  <c r="AL429" i="15"/>
  <c r="AM429" i="15"/>
  <c r="AN429" i="15"/>
  <c r="AO429" i="15"/>
  <c r="AP429" i="15"/>
  <c r="AQ429" i="15"/>
  <c r="AR429" i="15"/>
  <c r="AS429" i="15"/>
  <c r="AT429" i="15"/>
  <c r="AU429" i="15"/>
  <c r="AV429" i="15"/>
  <c r="AW429" i="15"/>
  <c r="AX429" i="15"/>
  <c r="AY429" i="15"/>
  <c r="AZ429" i="15"/>
  <c r="BA429" i="15"/>
  <c r="BB429" i="15"/>
  <c r="BC429" i="15"/>
  <c r="BD429" i="15"/>
  <c r="BE429" i="15"/>
  <c r="BF429" i="15"/>
  <c r="BG429" i="15"/>
  <c r="BH429" i="15"/>
  <c r="BI429" i="15"/>
  <c r="BJ429" i="15"/>
  <c r="BK429" i="15"/>
  <c r="BL429" i="15"/>
  <c r="BM429" i="15"/>
  <c r="BN429" i="15"/>
  <c r="BO429" i="15"/>
  <c r="BP429" i="15"/>
  <c r="BQ429" i="15"/>
  <c r="BR429" i="15"/>
  <c r="BS429" i="15"/>
  <c r="BT429" i="15"/>
  <c r="BU429" i="15"/>
  <c r="BV429" i="15"/>
  <c r="BW429" i="15"/>
  <c r="BX429" i="15"/>
  <c r="BY429" i="15"/>
  <c r="BZ429" i="15"/>
  <c r="CA429" i="15"/>
  <c r="CB429" i="15"/>
  <c r="CC429" i="15"/>
  <c r="CD429" i="15"/>
  <c r="CE429" i="15"/>
  <c r="CF429" i="15"/>
  <c r="CG429" i="15"/>
  <c r="CH429" i="15"/>
  <c r="CI429" i="15"/>
  <c r="CJ429" i="15"/>
  <c r="CK429" i="15"/>
  <c r="CL429" i="15"/>
  <c r="CM429" i="15"/>
  <c r="CN429" i="15"/>
  <c r="CO429" i="15"/>
  <c r="A430" i="15"/>
  <c r="B430" i="15"/>
  <c r="C430" i="15"/>
  <c r="D430" i="15"/>
  <c r="E430" i="15"/>
  <c r="F430" i="15"/>
  <c r="G430" i="15"/>
  <c r="H430" i="15"/>
  <c r="I430" i="15"/>
  <c r="J430" i="15"/>
  <c r="K430" i="15"/>
  <c r="L430" i="15"/>
  <c r="M430" i="15"/>
  <c r="N430" i="15"/>
  <c r="O430" i="15"/>
  <c r="P430" i="15"/>
  <c r="Q430" i="15"/>
  <c r="R430" i="15"/>
  <c r="S430" i="15"/>
  <c r="T430" i="15"/>
  <c r="U430" i="15"/>
  <c r="V430" i="15"/>
  <c r="W430" i="15"/>
  <c r="X430" i="15"/>
  <c r="Y430" i="15"/>
  <c r="Z430" i="15"/>
  <c r="AA430" i="15"/>
  <c r="AB430" i="15"/>
  <c r="AC430" i="15"/>
  <c r="AD430" i="15"/>
  <c r="AE430" i="15"/>
  <c r="AF430" i="15"/>
  <c r="AG430" i="15"/>
  <c r="AH430" i="15"/>
  <c r="AI430" i="15"/>
  <c r="AJ430" i="15"/>
  <c r="AK430" i="15"/>
  <c r="AL430" i="15"/>
  <c r="AM430" i="15"/>
  <c r="AN430" i="15"/>
  <c r="AO430" i="15"/>
  <c r="AP430" i="15"/>
  <c r="AQ430" i="15"/>
  <c r="AR430" i="15"/>
  <c r="AS430" i="15"/>
  <c r="AT430" i="15"/>
  <c r="AU430" i="15"/>
  <c r="AV430" i="15"/>
  <c r="AW430" i="15"/>
  <c r="AX430" i="15"/>
  <c r="AY430" i="15"/>
  <c r="AZ430" i="15"/>
  <c r="BA430" i="15"/>
  <c r="BB430" i="15"/>
  <c r="BC430" i="15"/>
  <c r="BD430" i="15"/>
  <c r="BE430" i="15"/>
  <c r="BF430" i="15"/>
  <c r="BG430" i="15"/>
  <c r="BH430" i="15"/>
  <c r="BI430" i="15"/>
  <c r="BJ430" i="15"/>
  <c r="BK430" i="15"/>
  <c r="BL430" i="15"/>
  <c r="BM430" i="15"/>
  <c r="BN430" i="15"/>
  <c r="BO430" i="15"/>
  <c r="BP430" i="15"/>
  <c r="BQ430" i="15"/>
  <c r="BR430" i="15"/>
  <c r="BS430" i="15"/>
  <c r="BT430" i="15"/>
  <c r="BU430" i="15"/>
  <c r="BV430" i="15"/>
  <c r="BW430" i="15"/>
  <c r="BX430" i="15"/>
  <c r="BY430" i="15"/>
  <c r="BZ430" i="15"/>
  <c r="CA430" i="15"/>
  <c r="CB430" i="15"/>
  <c r="CC430" i="15"/>
  <c r="CD430" i="15"/>
  <c r="CE430" i="15"/>
  <c r="CF430" i="15"/>
  <c r="CG430" i="15"/>
  <c r="CH430" i="15"/>
  <c r="CI430" i="15"/>
  <c r="CJ430" i="15"/>
  <c r="CK430" i="15"/>
  <c r="CL430" i="15"/>
  <c r="CM430" i="15"/>
  <c r="CN430" i="15"/>
  <c r="CO430" i="15"/>
  <c r="A431" i="15"/>
  <c r="B431" i="15"/>
  <c r="C431" i="15"/>
  <c r="D431" i="15"/>
  <c r="E431" i="15"/>
  <c r="F431" i="15"/>
  <c r="G431" i="15"/>
  <c r="H431" i="15"/>
  <c r="I431" i="15"/>
  <c r="J431" i="15"/>
  <c r="K431" i="15"/>
  <c r="L431" i="15"/>
  <c r="M431" i="15"/>
  <c r="N431" i="15"/>
  <c r="O431" i="15"/>
  <c r="P431" i="15"/>
  <c r="Q431" i="15"/>
  <c r="R431" i="15"/>
  <c r="S431" i="15"/>
  <c r="T431" i="15"/>
  <c r="U431" i="15"/>
  <c r="V431" i="15"/>
  <c r="W431" i="15"/>
  <c r="X431" i="15"/>
  <c r="Y431" i="15"/>
  <c r="Z431" i="15"/>
  <c r="AA431" i="15"/>
  <c r="AB431" i="15"/>
  <c r="AC431" i="15"/>
  <c r="AD431" i="15"/>
  <c r="AE431" i="15"/>
  <c r="AF431" i="15"/>
  <c r="AG431" i="15"/>
  <c r="AH431" i="15"/>
  <c r="AI431" i="15"/>
  <c r="AJ431" i="15"/>
  <c r="AK431" i="15"/>
  <c r="AL431" i="15"/>
  <c r="AM431" i="15"/>
  <c r="AN431" i="15"/>
  <c r="AO431" i="15"/>
  <c r="AP431" i="15"/>
  <c r="AQ431" i="15"/>
  <c r="AR431" i="15"/>
  <c r="AS431" i="15"/>
  <c r="AT431" i="15"/>
  <c r="AU431" i="15"/>
  <c r="AV431" i="15"/>
  <c r="AW431" i="15"/>
  <c r="AX431" i="15"/>
  <c r="AY431" i="15"/>
  <c r="AZ431" i="15"/>
  <c r="BA431" i="15"/>
  <c r="BB431" i="15"/>
  <c r="BC431" i="15"/>
  <c r="BD431" i="15"/>
  <c r="BE431" i="15"/>
  <c r="BF431" i="15"/>
  <c r="BG431" i="15"/>
  <c r="BH431" i="15"/>
  <c r="BI431" i="15"/>
  <c r="BJ431" i="15"/>
  <c r="BK431" i="15"/>
  <c r="BL431" i="15"/>
  <c r="BM431" i="15"/>
  <c r="BN431" i="15"/>
  <c r="BO431" i="15"/>
  <c r="BP431" i="15"/>
  <c r="BQ431" i="15"/>
  <c r="BR431" i="15"/>
  <c r="BS431" i="15"/>
  <c r="BT431" i="15"/>
  <c r="BU431" i="15"/>
  <c r="BV431" i="15"/>
  <c r="BW431" i="15"/>
  <c r="BX431" i="15"/>
  <c r="BY431" i="15"/>
  <c r="BZ431" i="15"/>
  <c r="CA431" i="15"/>
  <c r="CB431" i="15"/>
  <c r="CC431" i="15"/>
  <c r="CD431" i="15"/>
  <c r="CE431" i="15"/>
  <c r="CF431" i="15"/>
  <c r="CG431" i="15"/>
  <c r="CH431" i="15"/>
  <c r="CI431" i="15"/>
  <c r="CJ431" i="15"/>
  <c r="CK431" i="15"/>
  <c r="CL431" i="15"/>
  <c r="CM431" i="15"/>
  <c r="CN431" i="15"/>
  <c r="CO431" i="15"/>
  <c r="A432" i="15"/>
  <c r="B432" i="15"/>
  <c r="C432" i="15"/>
  <c r="D432" i="15"/>
  <c r="E432" i="15"/>
  <c r="F432" i="15"/>
  <c r="G432" i="15"/>
  <c r="H432" i="15"/>
  <c r="I432" i="15"/>
  <c r="J432" i="15"/>
  <c r="K432" i="15"/>
  <c r="L432" i="15"/>
  <c r="M432" i="15"/>
  <c r="N432" i="15"/>
  <c r="O432" i="15"/>
  <c r="P432" i="15"/>
  <c r="Q432" i="15"/>
  <c r="R432" i="15"/>
  <c r="S432" i="15"/>
  <c r="T432" i="15"/>
  <c r="U432" i="15"/>
  <c r="V432" i="15"/>
  <c r="W432" i="15"/>
  <c r="X432" i="15"/>
  <c r="Y432" i="15"/>
  <c r="Z432" i="15"/>
  <c r="AA432" i="15"/>
  <c r="AB432" i="15"/>
  <c r="AC432" i="15"/>
  <c r="AD432" i="15"/>
  <c r="AE432" i="15"/>
  <c r="AF432" i="15"/>
  <c r="AG432" i="15"/>
  <c r="AH432" i="15"/>
  <c r="AI432" i="15"/>
  <c r="AJ432" i="15"/>
  <c r="AK432" i="15"/>
  <c r="AL432" i="15"/>
  <c r="AM432" i="15"/>
  <c r="AN432" i="15"/>
  <c r="AO432" i="15"/>
  <c r="AP432" i="15"/>
  <c r="AQ432" i="15"/>
  <c r="AR432" i="15"/>
  <c r="AS432" i="15"/>
  <c r="AT432" i="15"/>
  <c r="AU432" i="15"/>
  <c r="AV432" i="15"/>
  <c r="AW432" i="15"/>
  <c r="AX432" i="15"/>
  <c r="AY432" i="15"/>
  <c r="AZ432" i="15"/>
  <c r="BA432" i="15"/>
  <c r="BB432" i="15"/>
  <c r="BC432" i="15"/>
  <c r="BD432" i="15"/>
  <c r="BE432" i="15"/>
  <c r="BF432" i="15"/>
  <c r="BG432" i="15"/>
  <c r="BH432" i="15"/>
  <c r="BI432" i="15"/>
  <c r="BJ432" i="15"/>
  <c r="BK432" i="15"/>
  <c r="BL432" i="15"/>
  <c r="BM432" i="15"/>
  <c r="BN432" i="15"/>
  <c r="BO432" i="15"/>
  <c r="BP432" i="15"/>
  <c r="BQ432" i="15"/>
  <c r="BR432" i="15"/>
  <c r="BS432" i="15"/>
  <c r="BT432" i="15"/>
  <c r="BU432" i="15"/>
  <c r="BV432" i="15"/>
  <c r="BW432" i="15"/>
  <c r="BX432" i="15"/>
  <c r="BY432" i="15"/>
  <c r="BZ432" i="15"/>
  <c r="CA432" i="15"/>
  <c r="CB432" i="15"/>
  <c r="CC432" i="15"/>
  <c r="CD432" i="15"/>
  <c r="CE432" i="15"/>
  <c r="CF432" i="15"/>
  <c r="CG432" i="15"/>
  <c r="CH432" i="15"/>
  <c r="CI432" i="15"/>
  <c r="CJ432" i="15"/>
  <c r="CK432" i="15"/>
  <c r="CL432" i="15"/>
  <c r="CM432" i="15"/>
  <c r="CN432" i="15"/>
  <c r="CO432" i="15"/>
  <c r="A433" i="15"/>
  <c r="B433" i="15"/>
  <c r="C433" i="15"/>
  <c r="D433" i="15"/>
  <c r="E433" i="15"/>
  <c r="F433" i="15"/>
  <c r="G433" i="15"/>
  <c r="H433" i="15"/>
  <c r="I433" i="15"/>
  <c r="J433" i="15"/>
  <c r="K433" i="15"/>
  <c r="L433" i="15"/>
  <c r="M433" i="15"/>
  <c r="N433" i="15"/>
  <c r="O433" i="15"/>
  <c r="P433" i="15"/>
  <c r="Q433" i="15"/>
  <c r="R433" i="15"/>
  <c r="S433" i="15"/>
  <c r="T433" i="15"/>
  <c r="U433" i="15"/>
  <c r="V433" i="15"/>
  <c r="W433" i="15"/>
  <c r="X433" i="15"/>
  <c r="Y433" i="15"/>
  <c r="Z433" i="15"/>
  <c r="AA433" i="15"/>
  <c r="AB433" i="15"/>
  <c r="AC433" i="15"/>
  <c r="AD433" i="15"/>
  <c r="AE433" i="15"/>
  <c r="AF433" i="15"/>
  <c r="AG433" i="15"/>
  <c r="AH433" i="15"/>
  <c r="AI433" i="15"/>
  <c r="AJ433" i="15"/>
  <c r="AK433" i="15"/>
  <c r="AL433" i="15"/>
  <c r="AM433" i="15"/>
  <c r="AN433" i="15"/>
  <c r="AO433" i="15"/>
  <c r="AP433" i="15"/>
  <c r="AQ433" i="15"/>
  <c r="AR433" i="15"/>
  <c r="AS433" i="15"/>
  <c r="AT433" i="15"/>
  <c r="AU433" i="15"/>
  <c r="AV433" i="15"/>
  <c r="AW433" i="15"/>
  <c r="AX433" i="15"/>
  <c r="AY433" i="15"/>
  <c r="AZ433" i="15"/>
  <c r="BA433" i="15"/>
  <c r="BB433" i="15"/>
  <c r="BC433" i="15"/>
  <c r="BD433" i="15"/>
  <c r="BE433" i="15"/>
  <c r="BF433" i="15"/>
  <c r="BG433" i="15"/>
  <c r="BH433" i="15"/>
  <c r="BI433" i="15"/>
  <c r="BJ433" i="15"/>
  <c r="BK433" i="15"/>
  <c r="BL433" i="15"/>
  <c r="BM433" i="15"/>
  <c r="BN433" i="15"/>
  <c r="BO433" i="15"/>
  <c r="BP433" i="15"/>
  <c r="BQ433" i="15"/>
  <c r="BR433" i="15"/>
  <c r="BS433" i="15"/>
  <c r="BT433" i="15"/>
  <c r="BU433" i="15"/>
  <c r="BV433" i="15"/>
  <c r="BW433" i="15"/>
  <c r="BX433" i="15"/>
  <c r="BY433" i="15"/>
  <c r="BZ433" i="15"/>
  <c r="CA433" i="15"/>
  <c r="CB433" i="15"/>
  <c r="CC433" i="15"/>
  <c r="CD433" i="15"/>
  <c r="CE433" i="15"/>
  <c r="CF433" i="15"/>
  <c r="CG433" i="15"/>
  <c r="CH433" i="15"/>
  <c r="CI433" i="15"/>
  <c r="CJ433" i="15"/>
  <c r="CK433" i="15"/>
  <c r="CL433" i="15"/>
  <c r="CM433" i="15"/>
  <c r="CN433" i="15"/>
  <c r="CO433" i="15"/>
  <c r="A434" i="15"/>
  <c r="B434" i="15"/>
  <c r="C434" i="15"/>
  <c r="D434" i="15"/>
  <c r="E434" i="15"/>
  <c r="F434" i="15"/>
  <c r="G434" i="15"/>
  <c r="H434" i="15"/>
  <c r="I434" i="15"/>
  <c r="J434" i="15"/>
  <c r="K434" i="15"/>
  <c r="L434" i="15"/>
  <c r="M434" i="15"/>
  <c r="N434" i="15"/>
  <c r="O434" i="15"/>
  <c r="P434" i="15"/>
  <c r="Q434" i="15"/>
  <c r="R434" i="15"/>
  <c r="S434" i="15"/>
  <c r="T434" i="15"/>
  <c r="U434" i="15"/>
  <c r="V434" i="15"/>
  <c r="W434" i="15"/>
  <c r="X434" i="15"/>
  <c r="Y434" i="15"/>
  <c r="Z434" i="15"/>
  <c r="AA434" i="15"/>
  <c r="AB434" i="15"/>
  <c r="AC434" i="15"/>
  <c r="AD434" i="15"/>
  <c r="AE434" i="15"/>
  <c r="AF434" i="15"/>
  <c r="AG434" i="15"/>
  <c r="AH434" i="15"/>
  <c r="AI434" i="15"/>
  <c r="AJ434" i="15"/>
  <c r="AK434" i="15"/>
  <c r="AL434" i="15"/>
  <c r="AM434" i="15"/>
  <c r="AN434" i="15"/>
  <c r="AO434" i="15"/>
  <c r="AP434" i="15"/>
  <c r="AQ434" i="15"/>
  <c r="AR434" i="15"/>
  <c r="AS434" i="15"/>
  <c r="AT434" i="15"/>
  <c r="AU434" i="15"/>
  <c r="AV434" i="15"/>
  <c r="AW434" i="15"/>
  <c r="AX434" i="15"/>
  <c r="AY434" i="15"/>
  <c r="AZ434" i="15"/>
  <c r="BA434" i="15"/>
  <c r="BB434" i="15"/>
  <c r="BC434" i="15"/>
  <c r="BD434" i="15"/>
  <c r="BE434" i="15"/>
  <c r="BF434" i="15"/>
  <c r="BG434" i="15"/>
  <c r="BH434" i="15"/>
  <c r="BI434" i="15"/>
  <c r="BJ434" i="15"/>
  <c r="BK434" i="15"/>
  <c r="BL434" i="15"/>
  <c r="BM434" i="15"/>
  <c r="BN434" i="15"/>
  <c r="BO434" i="15"/>
  <c r="BP434" i="15"/>
  <c r="BQ434" i="15"/>
  <c r="BR434" i="15"/>
  <c r="BS434" i="15"/>
  <c r="BT434" i="15"/>
  <c r="BU434" i="15"/>
  <c r="BV434" i="15"/>
  <c r="BW434" i="15"/>
  <c r="BX434" i="15"/>
  <c r="BY434" i="15"/>
  <c r="BZ434" i="15"/>
  <c r="CA434" i="15"/>
  <c r="CB434" i="15"/>
  <c r="CC434" i="15"/>
  <c r="CD434" i="15"/>
  <c r="CE434" i="15"/>
  <c r="CF434" i="15"/>
  <c r="CG434" i="15"/>
  <c r="CH434" i="15"/>
  <c r="CI434" i="15"/>
  <c r="CJ434" i="15"/>
  <c r="CK434" i="15"/>
  <c r="CL434" i="15"/>
  <c r="CM434" i="15"/>
  <c r="CN434" i="15"/>
  <c r="CO434" i="15"/>
  <c r="A435" i="15"/>
  <c r="B435" i="15"/>
  <c r="C435" i="15"/>
  <c r="D435" i="15"/>
  <c r="E435" i="15"/>
  <c r="F435" i="15"/>
  <c r="G435" i="15"/>
  <c r="H435" i="15"/>
  <c r="I435" i="15"/>
  <c r="J435" i="15"/>
  <c r="K435" i="15"/>
  <c r="L435" i="15"/>
  <c r="M435" i="15"/>
  <c r="N435" i="15"/>
  <c r="O435" i="15"/>
  <c r="P435" i="15"/>
  <c r="Q435" i="15"/>
  <c r="R435" i="15"/>
  <c r="S435" i="15"/>
  <c r="T435" i="15"/>
  <c r="U435" i="15"/>
  <c r="V435" i="15"/>
  <c r="W435" i="15"/>
  <c r="X435" i="15"/>
  <c r="Y435" i="15"/>
  <c r="Z435" i="15"/>
  <c r="AA435" i="15"/>
  <c r="AB435" i="15"/>
  <c r="AC435" i="15"/>
  <c r="AD435" i="15"/>
  <c r="AE435" i="15"/>
  <c r="AF435" i="15"/>
  <c r="AG435" i="15"/>
  <c r="AH435" i="15"/>
  <c r="AI435" i="15"/>
  <c r="AJ435" i="15"/>
  <c r="AK435" i="15"/>
  <c r="AL435" i="15"/>
  <c r="AM435" i="15"/>
  <c r="AN435" i="15"/>
  <c r="AO435" i="15"/>
  <c r="AP435" i="15"/>
  <c r="AQ435" i="15"/>
  <c r="AR435" i="15"/>
  <c r="AS435" i="15"/>
  <c r="AT435" i="15"/>
  <c r="AU435" i="15"/>
  <c r="AV435" i="15"/>
  <c r="AW435" i="15"/>
  <c r="AX435" i="15"/>
  <c r="AY435" i="15"/>
  <c r="AZ435" i="15"/>
  <c r="BA435" i="15"/>
  <c r="BB435" i="15"/>
  <c r="BC435" i="15"/>
  <c r="BD435" i="15"/>
  <c r="BE435" i="15"/>
  <c r="BF435" i="15"/>
  <c r="BG435" i="15"/>
  <c r="BH435" i="15"/>
  <c r="BI435" i="15"/>
  <c r="BJ435" i="15"/>
  <c r="BK435" i="15"/>
  <c r="BL435" i="15"/>
  <c r="BM435" i="15"/>
  <c r="BN435" i="15"/>
  <c r="BO435" i="15"/>
  <c r="BP435" i="15"/>
  <c r="BQ435" i="15"/>
  <c r="BR435" i="15"/>
  <c r="BS435" i="15"/>
  <c r="BT435" i="15"/>
  <c r="BU435" i="15"/>
  <c r="BV435" i="15"/>
  <c r="BW435" i="15"/>
  <c r="BX435" i="15"/>
  <c r="BY435" i="15"/>
  <c r="BZ435" i="15"/>
  <c r="CA435" i="15"/>
  <c r="CB435" i="15"/>
  <c r="CC435" i="15"/>
  <c r="CD435" i="15"/>
  <c r="CE435" i="15"/>
  <c r="CF435" i="15"/>
  <c r="CG435" i="15"/>
  <c r="CH435" i="15"/>
  <c r="CI435" i="15"/>
  <c r="CJ435" i="15"/>
  <c r="CK435" i="15"/>
  <c r="CL435" i="15"/>
  <c r="CM435" i="15"/>
  <c r="CN435" i="15"/>
  <c r="CO435" i="15"/>
  <c r="A436" i="15"/>
  <c r="B436" i="15"/>
  <c r="C436" i="15"/>
  <c r="D436" i="15"/>
  <c r="E436" i="15"/>
  <c r="F436" i="15"/>
  <c r="G436" i="15"/>
  <c r="H436" i="15"/>
  <c r="I436" i="15"/>
  <c r="J436" i="15"/>
  <c r="K436" i="15"/>
  <c r="L436" i="15"/>
  <c r="M436" i="15"/>
  <c r="N436" i="15"/>
  <c r="O436" i="15"/>
  <c r="P436" i="15"/>
  <c r="Q436" i="15"/>
  <c r="R436" i="15"/>
  <c r="S436" i="15"/>
  <c r="T436" i="15"/>
  <c r="U436" i="15"/>
  <c r="V436" i="15"/>
  <c r="W436" i="15"/>
  <c r="X436" i="15"/>
  <c r="Y436" i="15"/>
  <c r="Z436" i="15"/>
  <c r="AA436" i="15"/>
  <c r="AB436" i="15"/>
  <c r="AC436" i="15"/>
  <c r="AD436" i="15"/>
  <c r="AE436" i="15"/>
  <c r="AF436" i="15"/>
  <c r="AG436" i="15"/>
  <c r="AH436" i="15"/>
  <c r="AI436" i="15"/>
  <c r="AJ436" i="15"/>
  <c r="AK436" i="15"/>
  <c r="AL436" i="15"/>
  <c r="AM436" i="15"/>
  <c r="AN436" i="15"/>
  <c r="AO436" i="15"/>
  <c r="AP436" i="15"/>
  <c r="AQ436" i="15"/>
  <c r="AR436" i="15"/>
  <c r="AS436" i="15"/>
  <c r="AT436" i="15"/>
  <c r="AU436" i="15"/>
  <c r="AV436" i="15"/>
  <c r="AW436" i="15"/>
  <c r="AX436" i="15"/>
  <c r="AY436" i="15"/>
  <c r="AZ436" i="15"/>
  <c r="BA436" i="15"/>
  <c r="BB436" i="15"/>
  <c r="BC436" i="15"/>
  <c r="BD436" i="15"/>
  <c r="BE436" i="15"/>
  <c r="BF436" i="15"/>
  <c r="BG436" i="15"/>
  <c r="BH436" i="15"/>
  <c r="BI436" i="15"/>
  <c r="BJ436" i="15"/>
  <c r="BK436" i="15"/>
  <c r="BL436" i="15"/>
  <c r="BM436" i="15"/>
  <c r="BN436" i="15"/>
  <c r="BO436" i="15"/>
  <c r="BP436" i="15"/>
  <c r="BQ436" i="15"/>
  <c r="BR436" i="15"/>
  <c r="BS436" i="15"/>
  <c r="BT436" i="15"/>
  <c r="BU436" i="15"/>
  <c r="BV436" i="15"/>
  <c r="BW436" i="15"/>
  <c r="BX436" i="15"/>
  <c r="BY436" i="15"/>
  <c r="BZ436" i="15"/>
  <c r="CA436" i="15"/>
  <c r="CB436" i="15"/>
  <c r="CC436" i="15"/>
  <c r="CD436" i="15"/>
  <c r="CE436" i="15"/>
  <c r="CF436" i="15"/>
  <c r="CG436" i="15"/>
  <c r="CH436" i="15"/>
  <c r="CI436" i="15"/>
  <c r="CJ436" i="15"/>
  <c r="CK436" i="15"/>
  <c r="CL436" i="15"/>
  <c r="CM436" i="15"/>
  <c r="CN436" i="15"/>
  <c r="CO436" i="15"/>
  <c r="A437" i="15"/>
  <c r="B437" i="15"/>
  <c r="C437" i="15"/>
  <c r="D437" i="15"/>
  <c r="E437" i="15"/>
  <c r="F437" i="15"/>
  <c r="G437" i="15"/>
  <c r="H437" i="15"/>
  <c r="I437" i="15"/>
  <c r="J437" i="15"/>
  <c r="K437" i="15"/>
  <c r="L437" i="15"/>
  <c r="M437" i="15"/>
  <c r="N437" i="15"/>
  <c r="O437" i="15"/>
  <c r="P437" i="15"/>
  <c r="Q437" i="15"/>
  <c r="R437" i="15"/>
  <c r="S437" i="15"/>
  <c r="T437" i="15"/>
  <c r="U437" i="15"/>
  <c r="V437" i="15"/>
  <c r="W437" i="15"/>
  <c r="X437" i="15"/>
  <c r="Y437" i="15"/>
  <c r="Z437" i="15"/>
  <c r="AA437" i="15"/>
  <c r="AB437" i="15"/>
  <c r="AC437" i="15"/>
  <c r="AD437" i="15"/>
  <c r="AE437" i="15"/>
  <c r="AF437" i="15"/>
  <c r="AG437" i="15"/>
  <c r="AH437" i="15"/>
  <c r="AI437" i="15"/>
  <c r="AJ437" i="15"/>
  <c r="AK437" i="15"/>
  <c r="AL437" i="15"/>
  <c r="AM437" i="15"/>
  <c r="AN437" i="15"/>
  <c r="AO437" i="15"/>
  <c r="AP437" i="15"/>
  <c r="AQ437" i="15"/>
  <c r="AR437" i="15"/>
  <c r="AS437" i="15"/>
  <c r="AT437" i="15"/>
  <c r="AU437" i="15"/>
  <c r="AV437" i="15"/>
  <c r="AW437" i="15"/>
  <c r="AX437" i="15"/>
  <c r="AY437" i="15"/>
  <c r="AZ437" i="15"/>
  <c r="BA437" i="15"/>
  <c r="BB437" i="15"/>
  <c r="BC437" i="15"/>
  <c r="BD437" i="15"/>
  <c r="BE437" i="15"/>
  <c r="BF437" i="15"/>
  <c r="BG437" i="15"/>
  <c r="BH437" i="15"/>
  <c r="BI437" i="15"/>
  <c r="BJ437" i="15"/>
  <c r="BK437" i="15"/>
  <c r="BL437" i="15"/>
  <c r="BM437" i="15"/>
  <c r="BN437" i="15"/>
  <c r="BO437" i="15"/>
  <c r="BP437" i="15"/>
  <c r="BQ437" i="15"/>
  <c r="BR437" i="15"/>
  <c r="BS437" i="15"/>
  <c r="BT437" i="15"/>
  <c r="BU437" i="15"/>
  <c r="BV437" i="15"/>
  <c r="BW437" i="15"/>
  <c r="BX437" i="15"/>
  <c r="BY437" i="15"/>
  <c r="BZ437" i="15"/>
  <c r="CA437" i="15"/>
  <c r="CB437" i="15"/>
  <c r="CC437" i="15"/>
  <c r="CD437" i="15"/>
  <c r="CE437" i="15"/>
  <c r="CF437" i="15"/>
  <c r="CG437" i="15"/>
  <c r="CH437" i="15"/>
  <c r="CI437" i="15"/>
  <c r="CJ437" i="15"/>
  <c r="CK437" i="15"/>
  <c r="CL437" i="15"/>
  <c r="CM437" i="15"/>
  <c r="CN437" i="15"/>
  <c r="CO437" i="15"/>
  <c r="A438" i="15"/>
  <c r="B438" i="15"/>
  <c r="C438" i="15"/>
  <c r="D438" i="15"/>
  <c r="E438" i="15"/>
  <c r="F438" i="15"/>
  <c r="G438" i="15"/>
  <c r="H438" i="15"/>
  <c r="I438" i="15"/>
  <c r="J438" i="15"/>
  <c r="K438" i="15"/>
  <c r="L438" i="15"/>
  <c r="M438" i="15"/>
  <c r="N438" i="15"/>
  <c r="O438" i="15"/>
  <c r="P438" i="15"/>
  <c r="Q438" i="15"/>
  <c r="R438" i="15"/>
  <c r="S438" i="15"/>
  <c r="T438" i="15"/>
  <c r="U438" i="15"/>
  <c r="V438" i="15"/>
  <c r="W438" i="15"/>
  <c r="X438" i="15"/>
  <c r="Y438" i="15"/>
  <c r="Z438" i="15"/>
  <c r="AA438" i="15"/>
  <c r="AB438" i="15"/>
  <c r="AC438" i="15"/>
  <c r="AD438" i="15"/>
  <c r="AE438" i="15"/>
  <c r="AF438" i="15"/>
  <c r="AG438" i="15"/>
  <c r="AH438" i="15"/>
  <c r="AI438" i="15"/>
  <c r="AJ438" i="15"/>
  <c r="AK438" i="15"/>
  <c r="AL438" i="15"/>
  <c r="AM438" i="15"/>
  <c r="AN438" i="15"/>
  <c r="AO438" i="15"/>
  <c r="AP438" i="15"/>
  <c r="AQ438" i="15"/>
  <c r="AR438" i="15"/>
  <c r="AS438" i="15"/>
  <c r="AT438" i="15"/>
  <c r="AU438" i="15"/>
  <c r="AV438" i="15"/>
  <c r="AW438" i="15"/>
  <c r="AX438" i="15"/>
  <c r="AY438" i="15"/>
  <c r="AZ438" i="15"/>
  <c r="BA438" i="15"/>
  <c r="BB438" i="15"/>
  <c r="BC438" i="15"/>
  <c r="BD438" i="15"/>
  <c r="BE438" i="15"/>
  <c r="BF438" i="15"/>
  <c r="BG438" i="15"/>
  <c r="BH438" i="15"/>
  <c r="BI438" i="15"/>
  <c r="BJ438" i="15"/>
  <c r="BK438" i="15"/>
  <c r="BL438" i="15"/>
  <c r="BM438" i="15"/>
  <c r="BN438" i="15"/>
  <c r="BO438" i="15"/>
  <c r="BP438" i="15"/>
  <c r="BQ438" i="15"/>
  <c r="BR438" i="15"/>
  <c r="BS438" i="15"/>
  <c r="BT438" i="15"/>
  <c r="BU438" i="15"/>
  <c r="BV438" i="15"/>
  <c r="BW438" i="15"/>
  <c r="BX438" i="15"/>
  <c r="BY438" i="15"/>
  <c r="BZ438" i="15"/>
  <c r="CA438" i="15"/>
  <c r="CB438" i="15"/>
  <c r="CC438" i="15"/>
  <c r="CD438" i="15"/>
  <c r="CE438" i="15"/>
  <c r="CF438" i="15"/>
  <c r="CG438" i="15"/>
  <c r="CH438" i="15"/>
  <c r="CI438" i="15"/>
  <c r="CJ438" i="15"/>
  <c r="CK438" i="15"/>
  <c r="CL438" i="15"/>
  <c r="CM438" i="15"/>
  <c r="CN438" i="15"/>
  <c r="CO438" i="15"/>
  <c r="A439" i="15"/>
  <c r="B439" i="15"/>
  <c r="C439" i="15"/>
  <c r="D439" i="15"/>
  <c r="E439" i="15"/>
  <c r="F439" i="15"/>
  <c r="G439" i="15"/>
  <c r="H439" i="15"/>
  <c r="I439" i="15"/>
  <c r="J439" i="15"/>
  <c r="K439" i="15"/>
  <c r="L439" i="15"/>
  <c r="M439" i="15"/>
  <c r="N439" i="15"/>
  <c r="O439" i="15"/>
  <c r="P439" i="15"/>
  <c r="Q439" i="15"/>
  <c r="R439" i="15"/>
  <c r="S439" i="15"/>
  <c r="T439" i="15"/>
  <c r="U439" i="15"/>
  <c r="V439" i="15"/>
  <c r="W439" i="15"/>
  <c r="X439" i="15"/>
  <c r="Y439" i="15"/>
  <c r="Z439" i="15"/>
  <c r="AA439" i="15"/>
  <c r="AB439" i="15"/>
  <c r="AC439" i="15"/>
  <c r="AD439" i="15"/>
  <c r="AE439" i="15"/>
  <c r="AF439" i="15"/>
  <c r="AG439" i="15"/>
  <c r="AH439" i="15"/>
  <c r="AI439" i="15"/>
  <c r="AJ439" i="15"/>
  <c r="AK439" i="15"/>
  <c r="AL439" i="15"/>
  <c r="AM439" i="15"/>
  <c r="AN439" i="15"/>
  <c r="AO439" i="15"/>
  <c r="AP439" i="15"/>
  <c r="AQ439" i="15"/>
  <c r="AR439" i="15"/>
  <c r="AS439" i="15"/>
  <c r="AT439" i="15"/>
  <c r="AU439" i="15"/>
  <c r="AV439" i="15"/>
  <c r="AW439" i="15"/>
  <c r="AX439" i="15"/>
  <c r="AY439" i="15"/>
  <c r="AZ439" i="15"/>
  <c r="BA439" i="15"/>
  <c r="BB439" i="15"/>
  <c r="BC439" i="15"/>
  <c r="BD439" i="15"/>
  <c r="BE439" i="15"/>
  <c r="BF439" i="15"/>
  <c r="BG439" i="15"/>
  <c r="BH439" i="15"/>
  <c r="BI439" i="15"/>
  <c r="BJ439" i="15"/>
  <c r="BK439" i="15"/>
  <c r="BL439" i="15"/>
  <c r="BM439" i="15"/>
  <c r="BN439" i="15"/>
  <c r="BO439" i="15"/>
  <c r="BP439" i="15"/>
  <c r="BQ439" i="15"/>
  <c r="BR439" i="15"/>
  <c r="BS439" i="15"/>
  <c r="BT439" i="15"/>
  <c r="BU439" i="15"/>
  <c r="BV439" i="15"/>
  <c r="BW439" i="15"/>
  <c r="BX439" i="15"/>
  <c r="BY439" i="15"/>
  <c r="BZ439" i="15"/>
  <c r="CA439" i="15"/>
  <c r="CB439" i="15"/>
  <c r="CC439" i="15"/>
  <c r="CD439" i="15"/>
  <c r="CE439" i="15"/>
  <c r="CF439" i="15"/>
  <c r="CG439" i="15"/>
  <c r="CH439" i="15"/>
  <c r="CI439" i="15"/>
  <c r="CJ439" i="15"/>
  <c r="CK439" i="15"/>
  <c r="CL439" i="15"/>
  <c r="CM439" i="15"/>
  <c r="CN439" i="15"/>
  <c r="CO439" i="15"/>
  <c r="A440" i="15"/>
  <c r="B440" i="15"/>
  <c r="C440" i="15"/>
  <c r="D440" i="15"/>
  <c r="E440" i="15"/>
  <c r="F440" i="15"/>
  <c r="G440" i="15"/>
  <c r="H440" i="15"/>
  <c r="I440" i="15"/>
  <c r="J440" i="15"/>
  <c r="K440" i="15"/>
  <c r="L440" i="15"/>
  <c r="M440" i="15"/>
  <c r="N440" i="15"/>
  <c r="O440" i="15"/>
  <c r="P440" i="15"/>
  <c r="Q440" i="15"/>
  <c r="R440" i="15"/>
  <c r="S440" i="15"/>
  <c r="T440" i="15"/>
  <c r="U440" i="15"/>
  <c r="V440" i="15"/>
  <c r="W440" i="15"/>
  <c r="X440" i="15"/>
  <c r="Y440" i="15"/>
  <c r="Z440" i="15"/>
  <c r="AA440" i="15"/>
  <c r="AB440" i="15"/>
  <c r="AC440" i="15"/>
  <c r="AD440" i="15"/>
  <c r="AE440" i="15"/>
  <c r="AF440" i="15"/>
  <c r="AG440" i="15"/>
  <c r="AH440" i="15"/>
  <c r="AI440" i="15"/>
  <c r="AJ440" i="15"/>
  <c r="AK440" i="15"/>
  <c r="AL440" i="15"/>
  <c r="AM440" i="15"/>
  <c r="AN440" i="15"/>
  <c r="AO440" i="15"/>
  <c r="AP440" i="15"/>
  <c r="AQ440" i="15"/>
  <c r="AR440" i="15"/>
  <c r="AS440" i="15"/>
  <c r="AT440" i="15"/>
  <c r="AU440" i="15"/>
  <c r="AV440" i="15"/>
  <c r="AW440" i="15"/>
  <c r="AX440" i="15"/>
  <c r="AY440" i="15"/>
  <c r="AZ440" i="15"/>
  <c r="BA440" i="15"/>
  <c r="BB440" i="15"/>
  <c r="BC440" i="15"/>
  <c r="BD440" i="15"/>
  <c r="BE440" i="15"/>
  <c r="BF440" i="15"/>
  <c r="BG440" i="15"/>
  <c r="BH440" i="15"/>
  <c r="BI440" i="15"/>
  <c r="BJ440" i="15"/>
  <c r="BK440" i="15"/>
  <c r="BL440" i="15"/>
  <c r="BM440" i="15"/>
  <c r="BN440" i="15"/>
  <c r="BO440" i="15"/>
  <c r="BP440" i="15"/>
  <c r="BQ440" i="15"/>
  <c r="BR440" i="15"/>
  <c r="BS440" i="15"/>
  <c r="BT440" i="15"/>
  <c r="BU440" i="15"/>
  <c r="BV440" i="15"/>
  <c r="BW440" i="15"/>
  <c r="BX440" i="15"/>
  <c r="BY440" i="15"/>
  <c r="BZ440" i="15"/>
  <c r="CA440" i="15"/>
  <c r="CB440" i="15"/>
  <c r="CC440" i="15"/>
  <c r="CD440" i="15"/>
  <c r="CE440" i="15"/>
  <c r="CF440" i="15"/>
  <c r="CG440" i="15"/>
  <c r="CH440" i="15"/>
  <c r="CI440" i="15"/>
  <c r="CJ440" i="15"/>
  <c r="CK440" i="15"/>
  <c r="CL440" i="15"/>
  <c r="CM440" i="15"/>
  <c r="CN440" i="15"/>
  <c r="CO440" i="15"/>
  <c r="A441" i="15"/>
  <c r="B441" i="15"/>
  <c r="C441" i="15"/>
  <c r="D441" i="15"/>
  <c r="E441" i="15"/>
  <c r="F441" i="15"/>
  <c r="G441" i="15"/>
  <c r="H441" i="15"/>
  <c r="I441" i="15"/>
  <c r="J441" i="15"/>
  <c r="K441" i="15"/>
  <c r="L441" i="15"/>
  <c r="M441" i="15"/>
  <c r="N441" i="15"/>
  <c r="O441" i="15"/>
  <c r="P441" i="15"/>
  <c r="Q441" i="15"/>
  <c r="R441" i="15"/>
  <c r="S441" i="15"/>
  <c r="T441" i="15"/>
  <c r="U441" i="15"/>
  <c r="V441" i="15"/>
  <c r="W441" i="15"/>
  <c r="X441" i="15"/>
  <c r="Y441" i="15"/>
  <c r="Z441" i="15"/>
  <c r="AA441" i="15"/>
  <c r="AB441" i="15"/>
  <c r="AC441" i="15"/>
  <c r="AD441" i="15"/>
  <c r="AE441" i="15"/>
  <c r="AF441" i="15"/>
  <c r="AG441" i="15"/>
  <c r="AH441" i="15"/>
  <c r="AI441" i="15"/>
  <c r="AJ441" i="15"/>
  <c r="AK441" i="15"/>
  <c r="AL441" i="15"/>
  <c r="AM441" i="15"/>
  <c r="AN441" i="15"/>
  <c r="AO441" i="15"/>
  <c r="AP441" i="15"/>
  <c r="AQ441" i="15"/>
  <c r="AR441" i="15"/>
  <c r="AS441" i="15"/>
  <c r="AT441" i="15"/>
  <c r="AU441" i="15"/>
  <c r="AV441" i="15"/>
  <c r="AW441" i="15"/>
  <c r="AX441" i="15"/>
  <c r="AY441" i="15"/>
  <c r="AZ441" i="15"/>
  <c r="BA441" i="15"/>
  <c r="BB441" i="15"/>
  <c r="BC441" i="15"/>
  <c r="BD441" i="15"/>
  <c r="BE441" i="15"/>
  <c r="BF441" i="15"/>
  <c r="BG441" i="15"/>
  <c r="BH441" i="15"/>
  <c r="BI441" i="15"/>
  <c r="BJ441" i="15"/>
  <c r="BK441" i="15"/>
  <c r="BL441" i="15"/>
  <c r="BM441" i="15"/>
  <c r="BN441" i="15"/>
  <c r="BO441" i="15"/>
  <c r="BP441" i="15"/>
  <c r="BQ441" i="15"/>
  <c r="BR441" i="15"/>
  <c r="BS441" i="15"/>
  <c r="BT441" i="15"/>
  <c r="BU441" i="15"/>
  <c r="BV441" i="15"/>
  <c r="BW441" i="15"/>
  <c r="BX441" i="15"/>
  <c r="BY441" i="15"/>
  <c r="BZ441" i="15"/>
  <c r="CA441" i="15"/>
  <c r="CB441" i="15"/>
  <c r="CC441" i="15"/>
  <c r="CD441" i="15"/>
  <c r="CE441" i="15"/>
  <c r="CF441" i="15"/>
  <c r="CG441" i="15"/>
  <c r="CH441" i="15"/>
  <c r="CI441" i="15"/>
  <c r="CJ441" i="15"/>
  <c r="CK441" i="15"/>
  <c r="CL441" i="15"/>
  <c r="CM441" i="15"/>
  <c r="CN441" i="15"/>
  <c r="CO441" i="15"/>
  <c r="A442" i="15"/>
  <c r="B442" i="15"/>
  <c r="C442" i="15"/>
  <c r="D442" i="15"/>
  <c r="E442" i="15"/>
  <c r="F442" i="15"/>
  <c r="G442" i="15"/>
  <c r="H442" i="15"/>
  <c r="I442" i="15"/>
  <c r="J442" i="15"/>
  <c r="K442" i="15"/>
  <c r="L442" i="15"/>
  <c r="M442" i="15"/>
  <c r="N442" i="15"/>
  <c r="O442" i="15"/>
  <c r="P442" i="15"/>
  <c r="Q442" i="15"/>
  <c r="R442" i="15"/>
  <c r="S442" i="15"/>
  <c r="T442" i="15"/>
  <c r="U442" i="15"/>
  <c r="V442" i="15"/>
  <c r="W442" i="15"/>
  <c r="X442" i="15"/>
  <c r="Y442" i="15"/>
  <c r="Z442" i="15"/>
  <c r="AA442" i="15"/>
  <c r="AB442" i="15"/>
  <c r="AC442" i="15"/>
  <c r="AD442" i="15"/>
  <c r="AE442" i="15"/>
  <c r="AF442" i="15"/>
  <c r="AG442" i="15"/>
  <c r="AH442" i="15"/>
  <c r="AI442" i="15"/>
  <c r="AJ442" i="15"/>
  <c r="AK442" i="15"/>
  <c r="AL442" i="15"/>
  <c r="AM442" i="15"/>
  <c r="AN442" i="15"/>
  <c r="AO442" i="15"/>
  <c r="AP442" i="15"/>
  <c r="AQ442" i="15"/>
  <c r="AR442" i="15"/>
  <c r="AS442" i="15"/>
  <c r="AT442" i="15"/>
  <c r="AU442" i="15"/>
  <c r="AV442" i="15"/>
  <c r="AW442" i="15"/>
  <c r="AX442" i="15"/>
  <c r="AY442" i="15"/>
  <c r="AZ442" i="15"/>
  <c r="BA442" i="15"/>
  <c r="BB442" i="15"/>
  <c r="BC442" i="15"/>
  <c r="BD442" i="15"/>
  <c r="BE442" i="15"/>
  <c r="BF442" i="15"/>
  <c r="BG442" i="15"/>
  <c r="BH442" i="15"/>
  <c r="BI442" i="15"/>
  <c r="BJ442" i="15"/>
  <c r="BK442" i="15"/>
  <c r="BL442" i="15"/>
  <c r="BM442" i="15"/>
  <c r="BN442" i="15"/>
  <c r="BO442" i="15"/>
  <c r="BP442" i="15"/>
  <c r="BQ442" i="15"/>
  <c r="BR442" i="15"/>
  <c r="BS442" i="15"/>
  <c r="BT442" i="15"/>
  <c r="BU442" i="15"/>
  <c r="BV442" i="15"/>
  <c r="BW442" i="15"/>
  <c r="BX442" i="15"/>
  <c r="BY442" i="15"/>
  <c r="BZ442" i="15"/>
  <c r="CA442" i="15"/>
  <c r="CB442" i="15"/>
  <c r="CC442" i="15"/>
  <c r="CD442" i="15"/>
  <c r="CE442" i="15"/>
  <c r="CF442" i="15"/>
  <c r="CG442" i="15"/>
  <c r="CH442" i="15"/>
  <c r="CI442" i="15"/>
  <c r="CJ442" i="15"/>
  <c r="CK442" i="15"/>
  <c r="CL442" i="15"/>
  <c r="CM442" i="15"/>
  <c r="CN442" i="15"/>
  <c r="CO442" i="15"/>
  <c r="A443" i="15"/>
  <c r="B443" i="15"/>
  <c r="C443" i="15"/>
  <c r="D443" i="15"/>
  <c r="E443" i="15"/>
  <c r="F443" i="15"/>
  <c r="G443" i="15"/>
  <c r="H443" i="15"/>
  <c r="I443" i="15"/>
  <c r="J443" i="15"/>
  <c r="K443" i="15"/>
  <c r="L443" i="15"/>
  <c r="M443" i="15"/>
  <c r="N443" i="15"/>
  <c r="O443" i="15"/>
  <c r="P443" i="15"/>
  <c r="Q443" i="15"/>
  <c r="R443" i="15"/>
  <c r="S443" i="15"/>
  <c r="T443" i="15"/>
  <c r="U443" i="15"/>
  <c r="V443" i="15"/>
  <c r="W443" i="15"/>
  <c r="X443" i="15"/>
  <c r="Y443" i="15"/>
  <c r="Z443" i="15"/>
  <c r="AA443" i="15"/>
  <c r="AB443" i="15"/>
  <c r="AC443" i="15"/>
  <c r="AD443" i="15"/>
  <c r="AE443" i="15"/>
  <c r="AF443" i="15"/>
  <c r="AG443" i="15"/>
  <c r="AH443" i="15"/>
  <c r="AI443" i="15"/>
  <c r="AJ443" i="15"/>
  <c r="AK443" i="15"/>
  <c r="AL443" i="15"/>
  <c r="AM443" i="15"/>
  <c r="AN443" i="15"/>
  <c r="AO443" i="15"/>
  <c r="AP443" i="15"/>
  <c r="AQ443" i="15"/>
  <c r="AR443" i="15"/>
  <c r="AS443" i="15"/>
  <c r="AT443" i="15"/>
  <c r="AU443" i="15"/>
  <c r="AV443" i="15"/>
  <c r="AW443" i="15"/>
  <c r="AX443" i="15"/>
  <c r="AY443" i="15"/>
  <c r="AZ443" i="15"/>
  <c r="BA443" i="15"/>
  <c r="BB443" i="15"/>
  <c r="BC443" i="15"/>
  <c r="BD443" i="15"/>
  <c r="BE443" i="15"/>
  <c r="BF443" i="15"/>
  <c r="BG443" i="15"/>
  <c r="BH443" i="15"/>
  <c r="BI443" i="15"/>
  <c r="BJ443" i="15"/>
  <c r="BK443" i="15"/>
  <c r="BL443" i="15"/>
  <c r="BM443" i="15"/>
  <c r="BN443" i="15"/>
  <c r="BO443" i="15"/>
  <c r="BP443" i="15"/>
  <c r="BQ443" i="15"/>
  <c r="BR443" i="15"/>
  <c r="BS443" i="15"/>
  <c r="BT443" i="15"/>
  <c r="BU443" i="15"/>
  <c r="BV443" i="15"/>
  <c r="BW443" i="15"/>
  <c r="BX443" i="15"/>
  <c r="BY443" i="15"/>
  <c r="BZ443" i="15"/>
  <c r="CA443" i="15"/>
  <c r="CB443" i="15"/>
  <c r="CC443" i="15"/>
  <c r="CD443" i="15"/>
  <c r="CE443" i="15"/>
  <c r="CF443" i="15"/>
  <c r="CG443" i="15"/>
  <c r="CH443" i="15"/>
  <c r="CI443" i="15"/>
  <c r="CJ443" i="15"/>
  <c r="CK443" i="15"/>
  <c r="CL443" i="15"/>
  <c r="CM443" i="15"/>
  <c r="CN443" i="15"/>
  <c r="CO443" i="15"/>
  <c r="A444" i="15"/>
  <c r="B444" i="15"/>
  <c r="C444" i="15"/>
  <c r="D444" i="15"/>
  <c r="E444" i="15"/>
  <c r="F444" i="15"/>
  <c r="G444" i="15"/>
  <c r="H444" i="15"/>
  <c r="I444" i="15"/>
  <c r="J444" i="15"/>
  <c r="K444" i="15"/>
  <c r="L444" i="15"/>
  <c r="M444" i="15"/>
  <c r="N444" i="15"/>
  <c r="O444" i="15"/>
  <c r="P444" i="15"/>
  <c r="Q444" i="15"/>
  <c r="R444" i="15"/>
  <c r="S444" i="15"/>
  <c r="T444" i="15"/>
  <c r="U444" i="15"/>
  <c r="V444" i="15"/>
  <c r="W444" i="15"/>
  <c r="X444" i="15"/>
  <c r="Y444" i="15"/>
  <c r="Z444" i="15"/>
  <c r="AA444" i="15"/>
  <c r="AB444" i="15"/>
  <c r="AC444" i="15"/>
  <c r="AD444" i="15"/>
  <c r="AE444" i="15"/>
  <c r="AF444" i="15"/>
  <c r="AG444" i="15"/>
  <c r="AH444" i="15"/>
  <c r="AI444" i="15"/>
  <c r="AJ444" i="15"/>
  <c r="AK444" i="15"/>
  <c r="AL444" i="15"/>
  <c r="AM444" i="15"/>
  <c r="AN444" i="15"/>
  <c r="AO444" i="15"/>
  <c r="AP444" i="15"/>
  <c r="AQ444" i="15"/>
  <c r="AR444" i="15"/>
  <c r="AS444" i="15"/>
  <c r="AT444" i="15"/>
  <c r="AU444" i="15"/>
  <c r="AV444" i="15"/>
  <c r="AW444" i="15"/>
  <c r="AX444" i="15"/>
  <c r="AY444" i="15"/>
  <c r="AZ444" i="15"/>
  <c r="BA444" i="15"/>
  <c r="BB444" i="15"/>
  <c r="BC444" i="15"/>
  <c r="BD444" i="15"/>
  <c r="BE444" i="15"/>
  <c r="BF444" i="15"/>
  <c r="BG444" i="15"/>
  <c r="BH444" i="15"/>
  <c r="BI444" i="15"/>
  <c r="BJ444" i="15"/>
  <c r="BK444" i="15"/>
  <c r="BL444" i="15"/>
  <c r="BM444" i="15"/>
  <c r="BN444" i="15"/>
  <c r="BO444" i="15"/>
  <c r="BP444" i="15"/>
  <c r="BQ444" i="15"/>
  <c r="BR444" i="15"/>
  <c r="BS444" i="15"/>
  <c r="BT444" i="15"/>
  <c r="BU444" i="15"/>
  <c r="BV444" i="15"/>
  <c r="BW444" i="15"/>
  <c r="BX444" i="15"/>
  <c r="BY444" i="15"/>
  <c r="BZ444" i="15"/>
  <c r="CA444" i="15"/>
  <c r="CB444" i="15"/>
  <c r="CC444" i="15"/>
  <c r="CD444" i="15"/>
  <c r="CE444" i="15"/>
  <c r="CF444" i="15"/>
  <c r="CG444" i="15"/>
  <c r="CH444" i="15"/>
  <c r="CI444" i="15"/>
  <c r="CJ444" i="15"/>
  <c r="CK444" i="15"/>
  <c r="CL444" i="15"/>
  <c r="CM444" i="15"/>
  <c r="CN444" i="15"/>
  <c r="CO444" i="15"/>
  <c r="A445" i="15"/>
  <c r="B445" i="15"/>
  <c r="C445" i="15"/>
  <c r="D445" i="15"/>
  <c r="E445" i="15"/>
  <c r="F445" i="15"/>
  <c r="G445" i="15"/>
  <c r="H445" i="15"/>
  <c r="I445" i="15"/>
  <c r="J445" i="15"/>
  <c r="K445" i="15"/>
  <c r="L445" i="15"/>
  <c r="M445" i="15"/>
  <c r="N445" i="15"/>
  <c r="O445" i="15"/>
  <c r="P445" i="15"/>
  <c r="Q445" i="15"/>
  <c r="R445" i="15"/>
  <c r="S445" i="15"/>
  <c r="T445" i="15"/>
  <c r="U445" i="15"/>
  <c r="V445" i="15"/>
  <c r="W445" i="15"/>
  <c r="X445" i="15"/>
  <c r="Y445" i="15"/>
  <c r="Z445" i="15"/>
  <c r="AA445" i="15"/>
  <c r="AB445" i="15"/>
  <c r="AC445" i="15"/>
  <c r="AD445" i="15"/>
  <c r="AE445" i="15"/>
  <c r="AF445" i="15"/>
  <c r="AG445" i="15"/>
  <c r="AH445" i="15"/>
  <c r="AI445" i="15"/>
  <c r="AJ445" i="15"/>
  <c r="AK445" i="15"/>
  <c r="AL445" i="15"/>
  <c r="AM445" i="15"/>
  <c r="AN445" i="15"/>
  <c r="AO445" i="15"/>
  <c r="AP445" i="15"/>
  <c r="AQ445" i="15"/>
  <c r="AR445" i="15"/>
  <c r="AS445" i="15"/>
  <c r="AT445" i="15"/>
  <c r="AU445" i="15"/>
  <c r="AV445" i="15"/>
  <c r="AW445" i="15"/>
  <c r="AX445" i="15"/>
  <c r="AY445" i="15"/>
  <c r="AZ445" i="15"/>
  <c r="BA445" i="15"/>
  <c r="BB445" i="15"/>
  <c r="BC445" i="15"/>
  <c r="BD445" i="15"/>
  <c r="BE445" i="15"/>
  <c r="BF445" i="15"/>
  <c r="BG445" i="15"/>
  <c r="BH445" i="15"/>
  <c r="BI445" i="15"/>
  <c r="BJ445" i="15"/>
  <c r="BK445" i="15"/>
  <c r="BL445" i="15"/>
  <c r="BM445" i="15"/>
  <c r="BN445" i="15"/>
  <c r="BO445" i="15"/>
  <c r="BP445" i="15"/>
  <c r="BQ445" i="15"/>
  <c r="BR445" i="15"/>
  <c r="BS445" i="15"/>
  <c r="BT445" i="15"/>
  <c r="BU445" i="15"/>
  <c r="BV445" i="15"/>
  <c r="BW445" i="15"/>
  <c r="BX445" i="15"/>
  <c r="BY445" i="15"/>
  <c r="BZ445" i="15"/>
  <c r="CA445" i="15"/>
  <c r="CB445" i="15"/>
  <c r="CC445" i="15"/>
  <c r="CD445" i="15"/>
  <c r="CE445" i="15"/>
  <c r="CF445" i="15"/>
  <c r="CG445" i="15"/>
  <c r="CH445" i="15"/>
  <c r="CI445" i="15"/>
  <c r="CJ445" i="15"/>
  <c r="CK445" i="15"/>
  <c r="CL445" i="15"/>
  <c r="CM445" i="15"/>
  <c r="CN445" i="15"/>
  <c r="CO445" i="15"/>
  <c r="A446" i="15"/>
  <c r="B446" i="15"/>
  <c r="C446" i="15"/>
  <c r="D446" i="15"/>
  <c r="E446" i="15"/>
  <c r="F446" i="15"/>
  <c r="G446" i="15"/>
  <c r="H446" i="15"/>
  <c r="I446" i="15"/>
  <c r="J446" i="15"/>
  <c r="K446" i="15"/>
  <c r="L446" i="15"/>
  <c r="M446" i="15"/>
  <c r="N446" i="15"/>
  <c r="O446" i="15"/>
  <c r="P446" i="15"/>
  <c r="Q446" i="15"/>
  <c r="R446" i="15"/>
  <c r="S446" i="15"/>
  <c r="T446" i="15"/>
  <c r="U446" i="15"/>
  <c r="V446" i="15"/>
  <c r="W446" i="15"/>
  <c r="X446" i="15"/>
  <c r="Y446" i="15"/>
  <c r="Z446" i="15"/>
  <c r="AA446" i="15"/>
  <c r="AB446" i="15"/>
  <c r="AC446" i="15"/>
  <c r="AD446" i="15"/>
  <c r="AE446" i="15"/>
  <c r="AF446" i="15"/>
  <c r="AG446" i="15"/>
  <c r="AH446" i="15"/>
  <c r="AI446" i="15"/>
  <c r="AJ446" i="15"/>
  <c r="AK446" i="15"/>
  <c r="AL446" i="15"/>
  <c r="AM446" i="15"/>
  <c r="AN446" i="15"/>
  <c r="AO446" i="15"/>
  <c r="AP446" i="15"/>
  <c r="AQ446" i="15"/>
  <c r="AR446" i="15"/>
  <c r="AS446" i="15"/>
  <c r="AT446" i="15"/>
  <c r="AU446" i="15"/>
  <c r="AV446" i="15"/>
  <c r="AW446" i="15"/>
  <c r="AX446" i="15"/>
  <c r="AY446" i="15"/>
  <c r="AZ446" i="15"/>
  <c r="BA446" i="15"/>
  <c r="BB446" i="15"/>
  <c r="BC446" i="15"/>
  <c r="BD446" i="15"/>
  <c r="BE446" i="15"/>
  <c r="BF446" i="15"/>
  <c r="BG446" i="15"/>
  <c r="BH446" i="15"/>
  <c r="BI446" i="15"/>
  <c r="BJ446" i="15"/>
  <c r="BK446" i="15"/>
  <c r="BL446" i="15"/>
  <c r="BM446" i="15"/>
  <c r="BN446" i="15"/>
  <c r="BO446" i="15"/>
  <c r="BP446" i="15"/>
  <c r="BQ446" i="15"/>
  <c r="BR446" i="15"/>
  <c r="BS446" i="15"/>
  <c r="BT446" i="15"/>
  <c r="BU446" i="15"/>
  <c r="BV446" i="15"/>
  <c r="BW446" i="15"/>
  <c r="BX446" i="15"/>
  <c r="BY446" i="15"/>
  <c r="BZ446" i="15"/>
  <c r="CA446" i="15"/>
  <c r="CB446" i="15"/>
  <c r="CC446" i="15"/>
  <c r="CD446" i="15"/>
  <c r="CE446" i="15"/>
  <c r="CF446" i="15"/>
  <c r="CG446" i="15"/>
  <c r="CH446" i="15"/>
  <c r="CI446" i="15"/>
  <c r="CJ446" i="15"/>
  <c r="CK446" i="15"/>
  <c r="CL446" i="15"/>
  <c r="CM446" i="15"/>
  <c r="CN446" i="15"/>
  <c r="CO446" i="15"/>
  <c r="A447" i="15"/>
  <c r="B447" i="15"/>
  <c r="C447" i="15"/>
  <c r="D447" i="15"/>
  <c r="E447" i="15"/>
  <c r="F447" i="15"/>
  <c r="G447" i="15"/>
  <c r="H447" i="15"/>
  <c r="I447" i="15"/>
  <c r="J447" i="15"/>
  <c r="K447" i="15"/>
  <c r="L447" i="15"/>
  <c r="M447" i="15"/>
  <c r="N447" i="15"/>
  <c r="O447" i="15"/>
  <c r="P447" i="15"/>
  <c r="Q447" i="15"/>
  <c r="R447" i="15"/>
  <c r="S447" i="15"/>
  <c r="T447" i="15"/>
  <c r="U447" i="15"/>
  <c r="V447" i="15"/>
  <c r="W447" i="15"/>
  <c r="X447" i="15"/>
  <c r="Y447" i="15"/>
  <c r="Z447" i="15"/>
  <c r="AA447" i="15"/>
  <c r="AB447" i="15"/>
  <c r="AC447" i="15"/>
  <c r="AD447" i="15"/>
  <c r="AE447" i="15"/>
  <c r="AF447" i="15"/>
  <c r="AG447" i="15"/>
  <c r="AH447" i="15"/>
  <c r="AI447" i="15"/>
  <c r="AJ447" i="15"/>
  <c r="AK447" i="15"/>
  <c r="AL447" i="15"/>
  <c r="AM447" i="15"/>
  <c r="AN447" i="15"/>
  <c r="AO447" i="15"/>
  <c r="AP447" i="15"/>
  <c r="AQ447" i="15"/>
  <c r="AR447" i="15"/>
  <c r="AS447" i="15"/>
  <c r="AT447" i="15"/>
  <c r="AU447" i="15"/>
  <c r="AV447" i="15"/>
  <c r="AW447" i="15"/>
  <c r="AX447" i="15"/>
  <c r="AY447" i="15"/>
  <c r="AZ447" i="15"/>
  <c r="BA447" i="15"/>
  <c r="BB447" i="15"/>
  <c r="BC447" i="15"/>
  <c r="BD447" i="15"/>
  <c r="BE447" i="15"/>
  <c r="BF447" i="15"/>
  <c r="BG447" i="15"/>
  <c r="BH447" i="15"/>
  <c r="BI447" i="15"/>
  <c r="BJ447" i="15"/>
  <c r="BK447" i="15"/>
  <c r="BL447" i="15"/>
  <c r="BM447" i="15"/>
  <c r="BN447" i="15"/>
  <c r="BO447" i="15"/>
  <c r="BP447" i="15"/>
  <c r="BQ447" i="15"/>
  <c r="BR447" i="15"/>
  <c r="BS447" i="15"/>
  <c r="BT447" i="15"/>
  <c r="BU447" i="15"/>
  <c r="BV447" i="15"/>
  <c r="BW447" i="15"/>
  <c r="BX447" i="15"/>
  <c r="BY447" i="15"/>
  <c r="BZ447" i="15"/>
  <c r="CA447" i="15"/>
  <c r="CB447" i="15"/>
  <c r="CC447" i="15"/>
  <c r="CD447" i="15"/>
  <c r="CE447" i="15"/>
  <c r="CF447" i="15"/>
  <c r="CG447" i="15"/>
  <c r="CH447" i="15"/>
  <c r="CI447" i="15"/>
  <c r="CJ447" i="15"/>
  <c r="CK447" i="15"/>
  <c r="CL447" i="15"/>
  <c r="CM447" i="15"/>
  <c r="CN447" i="15"/>
  <c r="CO447" i="15"/>
  <c r="A448" i="15"/>
  <c r="B448" i="15"/>
  <c r="C448" i="15"/>
  <c r="D448" i="15"/>
  <c r="E448" i="15"/>
  <c r="F448" i="15"/>
  <c r="G448" i="15"/>
  <c r="H448" i="15"/>
  <c r="I448" i="15"/>
  <c r="J448" i="15"/>
  <c r="K448" i="15"/>
  <c r="L448" i="15"/>
  <c r="M448" i="15"/>
  <c r="N448" i="15"/>
  <c r="O448" i="15"/>
  <c r="P448" i="15"/>
  <c r="Q448" i="15"/>
  <c r="R448" i="15"/>
  <c r="S448" i="15"/>
  <c r="T448" i="15"/>
  <c r="U448" i="15"/>
  <c r="V448" i="15"/>
  <c r="W448" i="15"/>
  <c r="X448" i="15"/>
  <c r="Y448" i="15"/>
  <c r="Z448" i="15"/>
  <c r="AA448" i="15"/>
  <c r="AB448" i="15"/>
  <c r="AC448" i="15"/>
  <c r="AD448" i="15"/>
  <c r="AE448" i="15"/>
  <c r="AF448" i="15"/>
  <c r="AG448" i="15"/>
  <c r="AH448" i="15"/>
  <c r="AI448" i="15"/>
  <c r="AJ448" i="15"/>
  <c r="AK448" i="15"/>
  <c r="AL448" i="15"/>
  <c r="AM448" i="15"/>
  <c r="AN448" i="15"/>
  <c r="AO448" i="15"/>
  <c r="AP448" i="15"/>
  <c r="AQ448" i="15"/>
  <c r="AR448" i="15"/>
  <c r="AS448" i="15"/>
  <c r="AT448" i="15"/>
  <c r="AU448" i="15"/>
  <c r="AV448" i="15"/>
  <c r="AW448" i="15"/>
  <c r="AX448" i="15"/>
  <c r="AY448" i="15"/>
  <c r="AZ448" i="15"/>
  <c r="BA448" i="15"/>
  <c r="BB448" i="15"/>
  <c r="BC448" i="15"/>
  <c r="BD448" i="15"/>
  <c r="BE448" i="15"/>
  <c r="BF448" i="15"/>
  <c r="BG448" i="15"/>
  <c r="BH448" i="15"/>
  <c r="BI448" i="15"/>
  <c r="BJ448" i="15"/>
  <c r="BK448" i="15"/>
  <c r="BL448" i="15"/>
  <c r="BM448" i="15"/>
  <c r="BN448" i="15"/>
  <c r="BO448" i="15"/>
  <c r="BP448" i="15"/>
  <c r="BQ448" i="15"/>
  <c r="BR448" i="15"/>
  <c r="BS448" i="15"/>
  <c r="BT448" i="15"/>
  <c r="BU448" i="15"/>
  <c r="BV448" i="15"/>
  <c r="BW448" i="15"/>
  <c r="BX448" i="15"/>
  <c r="BY448" i="15"/>
  <c r="BZ448" i="15"/>
  <c r="CA448" i="15"/>
  <c r="CB448" i="15"/>
  <c r="CC448" i="15"/>
  <c r="CD448" i="15"/>
  <c r="CE448" i="15"/>
  <c r="CF448" i="15"/>
  <c r="CG448" i="15"/>
  <c r="CH448" i="15"/>
  <c r="CI448" i="15"/>
  <c r="CJ448" i="15"/>
  <c r="CK448" i="15"/>
  <c r="CL448" i="15"/>
  <c r="CM448" i="15"/>
  <c r="CN448" i="15"/>
  <c r="CO448" i="15"/>
  <c r="A449" i="15"/>
  <c r="B449" i="15"/>
  <c r="C449" i="15"/>
  <c r="D449" i="15"/>
  <c r="E449" i="15"/>
  <c r="F449" i="15"/>
  <c r="G449" i="15"/>
  <c r="H449" i="15"/>
  <c r="I449" i="15"/>
  <c r="J449" i="15"/>
  <c r="K449" i="15"/>
  <c r="L449" i="15"/>
  <c r="M449" i="15"/>
  <c r="N449" i="15"/>
  <c r="O449" i="15"/>
  <c r="P449" i="15"/>
  <c r="Q449" i="15"/>
  <c r="R449" i="15"/>
  <c r="S449" i="15"/>
  <c r="T449" i="15"/>
  <c r="U449" i="15"/>
  <c r="V449" i="15"/>
  <c r="W449" i="15"/>
  <c r="X449" i="15"/>
  <c r="Y449" i="15"/>
  <c r="Z449" i="15"/>
  <c r="AA449" i="15"/>
  <c r="AB449" i="15"/>
  <c r="AC449" i="15"/>
  <c r="AD449" i="15"/>
  <c r="AE449" i="15"/>
  <c r="AF449" i="15"/>
  <c r="AG449" i="15"/>
  <c r="AH449" i="15"/>
  <c r="AI449" i="15"/>
  <c r="AJ449" i="15"/>
  <c r="AK449" i="15"/>
  <c r="AL449" i="15"/>
  <c r="AM449" i="15"/>
  <c r="AN449" i="15"/>
  <c r="AO449" i="15"/>
  <c r="AP449" i="15"/>
  <c r="AQ449" i="15"/>
  <c r="AR449" i="15"/>
  <c r="AS449" i="15"/>
  <c r="AT449" i="15"/>
  <c r="AU449" i="15"/>
  <c r="AV449" i="15"/>
  <c r="AW449" i="15"/>
  <c r="AX449" i="15"/>
  <c r="AY449" i="15"/>
  <c r="AZ449" i="15"/>
  <c r="BA449" i="15"/>
  <c r="BB449" i="15"/>
  <c r="BC449" i="15"/>
  <c r="BD449" i="15"/>
  <c r="BE449" i="15"/>
  <c r="BF449" i="15"/>
  <c r="BG449" i="15"/>
  <c r="BH449" i="15"/>
  <c r="BI449" i="15"/>
  <c r="BJ449" i="15"/>
  <c r="BK449" i="15"/>
  <c r="BL449" i="15"/>
  <c r="BM449" i="15"/>
  <c r="BN449" i="15"/>
  <c r="BO449" i="15"/>
  <c r="BP449" i="15"/>
  <c r="BQ449" i="15"/>
  <c r="BR449" i="15"/>
  <c r="BS449" i="15"/>
  <c r="BT449" i="15"/>
  <c r="BU449" i="15"/>
  <c r="BV449" i="15"/>
  <c r="BW449" i="15"/>
  <c r="BX449" i="15"/>
  <c r="BY449" i="15"/>
  <c r="BZ449" i="15"/>
  <c r="CA449" i="15"/>
  <c r="CB449" i="15"/>
  <c r="CC449" i="15"/>
  <c r="CD449" i="15"/>
  <c r="CE449" i="15"/>
  <c r="CF449" i="15"/>
  <c r="CG449" i="15"/>
  <c r="CH449" i="15"/>
  <c r="CI449" i="15"/>
  <c r="CJ449" i="15"/>
  <c r="CK449" i="15"/>
  <c r="CL449" i="15"/>
  <c r="CM449" i="15"/>
  <c r="CN449" i="15"/>
  <c r="CO449" i="15"/>
  <c r="A450" i="15"/>
  <c r="B450" i="15"/>
  <c r="C450" i="15"/>
  <c r="D450" i="15"/>
  <c r="E450" i="15"/>
  <c r="F450" i="15"/>
  <c r="G450" i="15"/>
  <c r="H450" i="15"/>
  <c r="I450" i="15"/>
  <c r="J450" i="15"/>
  <c r="K450" i="15"/>
  <c r="L450" i="15"/>
  <c r="M450" i="15"/>
  <c r="N450" i="15"/>
  <c r="O450" i="15"/>
  <c r="P450" i="15"/>
  <c r="Q450" i="15"/>
  <c r="R450" i="15"/>
  <c r="S450" i="15"/>
  <c r="T450" i="15"/>
  <c r="U450" i="15"/>
  <c r="V450" i="15"/>
  <c r="W450" i="15"/>
  <c r="X450" i="15"/>
  <c r="Y450" i="15"/>
  <c r="Z450" i="15"/>
  <c r="AA450" i="15"/>
  <c r="AB450" i="15"/>
  <c r="AC450" i="15"/>
  <c r="AD450" i="15"/>
  <c r="AE450" i="15"/>
  <c r="AF450" i="15"/>
  <c r="AG450" i="15"/>
  <c r="AH450" i="15"/>
  <c r="AI450" i="15"/>
  <c r="AJ450" i="15"/>
  <c r="AK450" i="15"/>
  <c r="AL450" i="15"/>
  <c r="AM450" i="15"/>
  <c r="AN450" i="15"/>
  <c r="AO450" i="15"/>
  <c r="AP450" i="15"/>
  <c r="AQ450" i="15"/>
  <c r="AR450" i="15"/>
  <c r="AS450" i="15"/>
  <c r="AT450" i="15"/>
  <c r="AU450" i="15"/>
  <c r="AV450" i="15"/>
  <c r="AW450" i="15"/>
  <c r="AX450" i="15"/>
  <c r="AY450" i="15"/>
  <c r="AZ450" i="15"/>
  <c r="BA450" i="15"/>
  <c r="BB450" i="15"/>
  <c r="BC450" i="15"/>
  <c r="BD450" i="15"/>
  <c r="BE450" i="15"/>
  <c r="BF450" i="15"/>
  <c r="BG450" i="15"/>
  <c r="BH450" i="15"/>
  <c r="BI450" i="15"/>
  <c r="BJ450" i="15"/>
  <c r="BK450" i="15"/>
  <c r="BL450" i="15"/>
  <c r="BM450" i="15"/>
  <c r="BN450" i="15"/>
  <c r="BO450" i="15"/>
  <c r="BP450" i="15"/>
  <c r="BQ450" i="15"/>
  <c r="BR450" i="15"/>
  <c r="BS450" i="15"/>
  <c r="BT450" i="15"/>
  <c r="BU450" i="15"/>
  <c r="BV450" i="15"/>
  <c r="BW450" i="15"/>
  <c r="BX450" i="15"/>
  <c r="BY450" i="15"/>
  <c r="BZ450" i="15"/>
  <c r="CA450" i="15"/>
  <c r="CB450" i="15"/>
  <c r="CC450" i="15"/>
  <c r="CD450" i="15"/>
  <c r="CE450" i="15"/>
  <c r="CF450" i="15"/>
  <c r="CG450" i="15"/>
  <c r="CH450" i="15"/>
  <c r="CI450" i="15"/>
  <c r="CJ450" i="15"/>
  <c r="CK450" i="15"/>
  <c r="CL450" i="15"/>
  <c r="CM450" i="15"/>
  <c r="CN450" i="15"/>
  <c r="CO450" i="15"/>
  <c r="A451" i="15"/>
  <c r="B451" i="15"/>
  <c r="C451" i="15"/>
  <c r="D451" i="15"/>
  <c r="E451" i="15"/>
  <c r="F451" i="15"/>
  <c r="G451" i="15"/>
  <c r="H451" i="15"/>
  <c r="I451" i="15"/>
  <c r="J451" i="15"/>
  <c r="K451" i="15"/>
  <c r="L451" i="15"/>
  <c r="M451" i="15"/>
  <c r="N451" i="15"/>
  <c r="O451" i="15"/>
  <c r="P451" i="15"/>
  <c r="Q451" i="15"/>
  <c r="R451" i="15"/>
  <c r="S451" i="15"/>
  <c r="T451" i="15"/>
  <c r="U451" i="15"/>
  <c r="V451" i="15"/>
  <c r="W451" i="15"/>
  <c r="X451" i="15"/>
  <c r="Y451" i="15"/>
  <c r="Z451" i="15"/>
  <c r="AA451" i="15"/>
  <c r="AB451" i="15"/>
  <c r="AC451" i="15"/>
  <c r="AD451" i="15"/>
  <c r="AE451" i="15"/>
  <c r="AF451" i="15"/>
  <c r="AG451" i="15"/>
  <c r="AH451" i="15"/>
  <c r="AI451" i="15"/>
  <c r="AJ451" i="15"/>
  <c r="AK451" i="15"/>
  <c r="AL451" i="15"/>
  <c r="AM451" i="15"/>
  <c r="AN451" i="15"/>
  <c r="AO451" i="15"/>
  <c r="AP451" i="15"/>
  <c r="AQ451" i="15"/>
  <c r="AR451" i="15"/>
  <c r="AS451" i="15"/>
  <c r="AT451" i="15"/>
  <c r="AU451" i="15"/>
  <c r="AV451" i="15"/>
  <c r="AW451" i="15"/>
  <c r="AX451" i="15"/>
  <c r="AY451" i="15"/>
  <c r="AZ451" i="15"/>
  <c r="BA451" i="15"/>
  <c r="BB451" i="15"/>
  <c r="BC451" i="15"/>
  <c r="BD451" i="15"/>
  <c r="BE451" i="15"/>
  <c r="BF451" i="15"/>
  <c r="BG451" i="15"/>
  <c r="BH451" i="15"/>
  <c r="BI451" i="15"/>
  <c r="BJ451" i="15"/>
  <c r="BK451" i="15"/>
  <c r="BL451" i="15"/>
  <c r="BM451" i="15"/>
  <c r="BN451" i="15"/>
  <c r="BO451" i="15"/>
  <c r="BP451" i="15"/>
  <c r="BQ451" i="15"/>
  <c r="BR451" i="15"/>
  <c r="BS451" i="15"/>
  <c r="BT451" i="15"/>
  <c r="BU451" i="15"/>
  <c r="BV451" i="15"/>
  <c r="BW451" i="15"/>
  <c r="BX451" i="15"/>
  <c r="BY451" i="15"/>
  <c r="BZ451" i="15"/>
  <c r="CA451" i="15"/>
  <c r="CB451" i="15"/>
  <c r="CC451" i="15"/>
  <c r="CD451" i="15"/>
  <c r="CE451" i="15"/>
  <c r="CF451" i="15"/>
  <c r="CG451" i="15"/>
  <c r="CH451" i="15"/>
  <c r="CI451" i="15"/>
  <c r="CJ451" i="15"/>
  <c r="CK451" i="15"/>
  <c r="CL451" i="15"/>
  <c r="CM451" i="15"/>
  <c r="CN451" i="15"/>
  <c r="CO451" i="15"/>
  <c r="A452" i="15"/>
  <c r="B452" i="15"/>
  <c r="C452" i="15"/>
  <c r="D452" i="15"/>
  <c r="E452" i="15"/>
  <c r="F452" i="15"/>
  <c r="G452" i="15"/>
  <c r="H452" i="15"/>
  <c r="I452" i="15"/>
  <c r="J452" i="15"/>
  <c r="K452" i="15"/>
  <c r="L452" i="15"/>
  <c r="M452" i="15"/>
  <c r="N452" i="15"/>
  <c r="O452" i="15"/>
  <c r="P452" i="15"/>
  <c r="Q452" i="15"/>
  <c r="R452" i="15"/>
  <c r="S452" i="15"/>
  <c r="T452" i="15"/>
  <c r="U452" i="15"/>
  <c r="V452" i="15"/>
  <c r="W452" i="15"/>
  <c r="X452" i="15"/>
  <c r="Y452" i="15"/>
  <c r="Z452" i="15"/>
  <c r="AA452" i="15"/>
  <c r="AB452" i="15"/>
  <c r="AC452" i="15"/>
  <c r="AD452" i="15"/>
  <c r="AE452" i="15"/>
  <c r="AF452" i="15"/>
  <c r="AG452" i="15"/>
  <c r="AH452" i="15"/>
  <c r="AI452" i="15"/>
  <c r="AJ452" i="15"/>
  <c r="AK452" i="15"/>
  <c r="AL452" i="15"/>
  <c r="AM452" i="15"/>
  <c r="AN452" i="15"/>
  <c r="AO452" i="15"/>
  <c r="AP452" i="15"/>
  <c r="AQ452" i="15"/>
  <c r="AR452" i="15"/>
  <c r="AS452" i="15"/>
  <c r="AT452" i="15"/>
  <c r="AU452" i="15"/>
  <c r="AV452" i="15"/>
  <c r="AW452" i="15"/>
  <c r="AX452" i="15"/>
  <c r="AY452" i="15"/>
  <c r="AZ452" i="15"/>
  <c r="BA452" i="15"/>
  <c r="BB452" i="15"/>
  <c r="BC452" i="15"/>
  <c r="BD452" i="15"/>
  <c r="BE452" i="15"/>
  <c r="BF452" i="15"/>
  <c r="BG452" i="15"/>
  <c r="BH452" i="15"/>
  <c r="BI452" i="15"/>
  <c r="BJ452" i="15"/>
  <c r="BK452" i="15"/>
  <c r="BL452" i="15"/>
  <c r="BM452" i="15"/>
  <c r="BN452" i="15"/>
  <c r="BO452" i="15"/>
  <c r="BP452" i="15"/>
  <c r="BQ452" i="15"/>
  <c r="BR452" i="15"/>
  <c r="BS452" i="15"/>
  <c r="BT452" i="15"/>
  <c r="BU452" i="15"/>
  <c r="BV452" i="15"/>
  <c r="BW452" i="15"/>
  <c r="BX452" i="15"/>
  <c r="BY452" i="15"/>
  <c r="BZ452" i="15"/>
  <c r="CA452" i="15"/>
  <c r="CB452" i="15"/>
  <c r="CC452" i="15"/>
  <c r="CD452" i="15"/>
  <c r="CE452" i="15"/>
  <c r="CF452" i="15"/>
  <c r="CG452" i="15"/>
  <c r="CH452" i="15"/>
  <c r="CI452" i="15"/>
  <c r="CJ452" i="15"/>
  <c r="CK452" i="15"/>
  <c r="CL452" i="15"/>
  <c r="CM452" i="15"/>
  <c r="CN452" i="15"/>
  <c r="CO452" i="15"/>
  <c r="A453" i="15"/>
  <c r="B453" i="15"/>
  <c r="C453" i="15"/>
  <c r="D453" i="15"/>
  <c r="E453" i="15"/>
  <c r="F453" i="15"/>
  <c r="G453" i="15"/>
  <c r="H453" i="15"/>
  <c r="I453" i="15"/>
  <c r="J453" i="15"/>
  <c r="K453" i="15"/>
  <c r="L453" i="15"/>
  <c r="M453" i="15"/>
  <c r="N453" i="15"/>
  <c r="O453" i="15"/>
  <c r="P453" i="15"/>
  <c r="Q453" i="15"/>
  <c r="R453" i="15"/>
  <c r="S453" i="15"/>
  <c r="T453" i="15"/>
  <c r="U453" i="15"/>
  <c r="V453" i="15"/>
  <c r="W453" i="15"/>
  <c r="X453" i="15"/>
  <c r="Y453" i="15"/>
  <c r="Z453" i="15"/>
  <c r="AA453" i="15"/>
  <c r="AB453" i="15"/>
  <c r="AC453" i="15"/>
  <c r="AD453" i="15"/>
  <c r="AE453" i="15"/>
  <c r="AF453" i="15"/>
  <c r="AG453" i="15"/>
  <c r="AH453" i="15"/>
  <c r="AI453" i="15"/>
  <c r="AJ453" i="15"/>
  <c r="AK453" i="15"/>
  <c r="AL453" i="15"/>
  <c r="AM453" i="15"/>
  <c r="AN453" i="15"/>
  <c r="AO453" i="15"/>
  <c r="AP453" i="15"/>
  <c r="AQ453" i="15"/>
  <c r="AR453" i="15"/>
  <c r="AS453" i="15"/>
  <c r="AT453" i="15"/>
  <c r="AU453" i="15"/>
  <c r="AV453" i="15"/>
  <c r="AW453" i="15"/>
  <c r="AX453" i="15"/>
  <c r="AY453" i="15"/>
  <c r="AZ453" i="15"/>
  <c r="BA453" i="15"/>
  <c r="BB453" i="15"/>
  <c r="BC453" i="15"/>
  <c r="BD453" i="15"/>
  <c r="BE453" i="15"/>
  <c r="BF453" i="15"/>
  <c r="BG453" i="15"/>
  <c r="BH453" i="15"/>
  <c r="BI453" i="15"/>
  <c r="BJ453" i="15"/>
  <c r="BK453" i="15"/>
  <c r="BL453" i="15"/>
  <c r="BM453" i="15"/>
  <c r="BN453" i="15"/>
  <c r="BO453" i="15"/>
  <c r="BP453" i="15"/>
  <c r="BQ453" i="15"/>
  <c r="BR453" i="15"/>
  <c r="BS453" i="15"/>
  <c r="BT453" i="15"/>
  <c r="BU453" i="15"/>
  <c r="BV453" i="15"/>
  <c r="BW453" i="15"/>
  <c r="BX453" i="15"/>
  <c r="BY453" i="15"/>
  <c r="BZ453" i="15"/>
  <c r="CA453" i="15"/>
  <c r="CB453" i="15"/>
  <c r="CC453" i="15"/>
  <c r="CD453" i="15"/>
  <c r="CE453" i="15"/>
  <c r="CF453" i="15"/>
  <c r="CG453" i="15"/>
  <c r="CH453" i="15"/>
  <c r="CI453" i="15"/>
  <c r="CJ453" i="15"/>
  <c r="CK453" i="15"/>
  <c r="CL453" i="15"/>
  <c r="CM453" i="15"/>
  <c r="CN453" i="15"/>
  <c r="CO453" i="15"/>
  <c r="A454" i="15"/>
  <c r="B454" i="15"/>
  <c r="C454" i="15"/>
  <c r="D454" i="15"/>
  <c r="E454" i="15"/>
  <c r="F454" i="15"/>
  <c r="G454" i="15"/>
  <c r="H454" i="15"/>
  <c r="I454" i="15"/>
  <c r="J454" i="15"/>
  <c r="K454" i="15"/>
  <c r="L454" i="15"/>
  <c r="M454" i="15"/>
  <c r="N454" i="15"/>
  <c r="O454" i="15"/>
  <c r="P454" i="15"/>
  <c r="Q454" i="15"/>
  <c r="R454" i="15"/>
  <c r="S454" i="15"/>
  <c r="T454" i="15"/>
  <c r="U454" i="15"/>
  <c r="V454" i="15"/>
  <c r="W454" i="15"/>
  <c r="X454" i="15"/>
  <c r="Y454" i="15"/>
  <c r="Z454" i="15"/>
  <c r="AA454" i="15"/>
  <c r="AB454" i="15"/>
  <c r="AC454" i="15"/>
  <c r="AD454" i="15"/>
  <c r="AE454" i="15"/>
  <c r="AF454" i="15"/>
  <c r="AG454" i="15"/>
  <c r="AH454" i="15"/>
  <c r="AI454" i="15"/>
  <c r="AJ454" i="15"/>
  <c r="AK454" i="15"/>
  <c r="AL454" i="15"/>
  <c r="AM454" i="15"/>
  <c r="AN454" i="15"/>
  <c r="AO454" i="15"/>
  <c r="AP454" i="15"/>
  <c r="AQ454" i="15"/>
  <c r="AR454" i="15"/>
  <c r="AS454" i="15"/>
  <c r="AT454" i="15"/>
  <c r="AU454" i="15"/>
  <c r="AV454" i="15"/>
  <c r="AW454" i="15"/>
  <c r="AX454" i="15"/>
  <c r="AY454" i="15"/>
  <c r="AZ454" i="15"/>
  <c r="BA454" i="15"/>
  <c r="BB454" i="15"/>
  <c r="BC454" i="15"/>
  <c r="BD454" i="15"/>
  <c r="BE454" i="15"/>
  <c r="BF454" i="15"/>
  <c r="BG454" i="15"/>
  <c r="BH454" i="15"/>
  <c r="BI454" i="15"/>
  <c r="BJ454" i="15"/>
  <c r="BK454" i="15"/>
  <c r="BL454" i="15"/>
  <c r="BM454" i="15"/>
  <c r="BN454" i="15"/>
  <c r="BO454" i="15"/>
  <c r="BP454" i="15"/>
  <c r="BQ454" i="15"/>
  <c r="BR454" i="15"/>
  <c r="BS454" i="15"/>
  <c r="BT454" i="15"/>
  <c r="BU454" i="15"/>
  <c r="BV454" i="15"/>
  <c r="BW454" i="15"/>
  <c r="BX454" i="15"/>
  <c r="BY454" i="15"/>
  <c r="BZ454" i="15"/>
  <c r="CA454" i="15"/>
  <c r="CB454" i="15"/>
  <c r="CC454" i="15"/>
  <c r="CD454" i="15"/>
  <c r="CE454" i="15"/>
  <c r="CF454" i="15"/>
  <c r="CG454" i="15"/>
  <c r="CH454" i="15"/>
  <c r="CI454" i="15"/>
  <c r="CJ454" i="15"/>
  <c r="CK454" i="15"/>
  <c r="CL454" i="15"/>
  <c r="CM454" i="15"/>
  <c r="CN454" i="15"/>
  <c r="CO454" i="15"/>
  <c r="A455" i="15"/>
  <c r="B455" i="15"/>
  <c r="C455" i="15"/>
  <c r="D455" i="15"/>
  <c r="E455" i="15"/>
  <c r="F455" i="15"/>
  <c r="G455" i="15"/>
  <c r="H455" i="15"/>
  <c r="I455" i="15"/>
  <c r="J455" i="15"/>
  <c r="K455" i="15"/>
  <c r="L455" i="15"/>
  <c r="M455" i="15"/>
  <c r="N455" i="15"/>
  <c r="O455" i="15"/>
  <c r="P455" i="15"/>
  <c r="Q455" i="15"/>
  <c r="R455" i="15"/>
  <c r="S455" i="15"/>
  <c r="T455" i="15"/>
  <c r="U455" i="15"/>
  <c r="V455" i="15"/>
  <c r="W455" i="15"/>
  <c r="X455" i="15"/>
  <c r="Y455" i="15"/>
  <c r="Z455" i="15"/>
  <c r="AA455" i="15"/>
  <c r="AB455" i="15"/>
  <c r="AC455" i="15"/>
  <c r="AD455" i="15"/>
  <c r="AE455" i="15"/>
  <c r="AF455" i="15"/>
  <c r="AG455" i="15"/>
  <c r="AH455" i="15"/>
  <c r="AI455" i="15"/>
  <c r="AJ455" i="15"/>
  <c r="AK455" i="15"/>
  <c r="AL455" i="15"/>
  <c r="AM455" i="15"/>
  <c r="AN455" i="15"/>
  <c r="AO455" i="15"/>
  <c r="AP455" i="15"/>
  <c r="AQ455" i="15"/>
  <c r="AR455" i="15"/>
  <c r="AS455" i="15"/>
  <c r="AT455" i="15"/>
  <c r="AU455" i="15"/>
  <c r="AV455" i="15"/>
  <c r="AW455" i="15"/>
  <c r="AX455" i="15"/>
  <c r="AY455" i="15"/>
  <c r="AZ455" i="15"/>
  <c r="BA455" i="15"/>
  <c r="BB455" i="15"/>
  <c r="BC455" i="15"/>
  <c r="BD455" i="15"/>
  <c r="BE455" i="15"/>
  <c r="BF455" i="15"/>
  <c r="BG455" i="15"/>
  <c r="BH455" i="15"/>
  <c r="BI455" i="15"/>
  <c r="BJ455" i="15"/>
  <c r="BK455" i="15"/>
  <c r="BL455" i="15"/>
  <c r="BM455" i="15"/>
  <c r="BN455" i="15"/>
  <c r="BO455" i="15"/>
  <c r="BP455" i="15"/>
  <c r="BQ455" i="15"/>
  <c r="BR455" i="15"/>
  <c r="BS455" i="15"/>
  <c r="BT455" i="15"/>
  <c r="BU455" i="15"/>
  <c r="BV455" i="15"/>
  <c r="BW455" i="15"/>
  <c r="BX455" i="15"/>
  <c r="BY455" i="15"/>
  <c r="BZ455" i="15"/>
  <c r="CA455" i="15"/>
  <c r="CB455" i="15"/>
  <c r="CC455" i="15"/>
  <c r="CD455" i="15"/>
  <c r="CE455" i="15"/>
  <c r="CF455" i="15"/>
  <c r="CG455" i="15"/>
  <c r="CH455" i="15"/>
  <c r="CI455" i="15"/>
  <c r="CJ455" i="15"/>
  <c r="CK455" i="15"/>
  <c r="CL455" i="15"/>
  <c r="CM455" i="15"/>
  <c r="CN455" i="15"/>
  <c r="CO455" i="15"/>
  <c r="A456" i="15"/>
  <c r="B456" i="15"/>
  <c r="C456" i="15"/>
  <c r="D456" i="15"/>
  <c r="E456" i="15"/>
  <c r="F456" i="15"/>
  <c r="G456" i="15"/>
  <c r="H456" i="15"/>
  <c r="I456" i="15"/>
  <c r="J456" i="15"/>
  <c r="K456" i="15"/>
  <c r="L456" i="15"/>
  <c r="M456" i="15"/>
  <c r="N456" i="15"/>
  <c r="O456" i="15"/>
  <c r="P456" i="15"/>
  <c r="Q456" i="15"/>
  <c r="R456" i="15"/>
  <c r="S456" i="15"/>
  <c r="T456" i="15"/>
  <c r="U456" i="15"/>
  <c r="V456" i="15"/>
  <c r="W456" i="15"/>
  <c r="X456" i="15"/>
  <c r="Y456" i="15"/>
  <c r="Z456" i="15"/>
  <c r="AA456" i="15"/>
  <c r="AB456" i="15"/>
  <c r="AC456" i="15"/>
  <c r="AD456" i="15"/>
  <c r="AE456" i="15"/>
  <c r="AF456" i="15"/>
  <c r="AG456" i="15"/>
  <c r="AH456" i="15"/>
  <c r="AI456" i="15"/>
  <c r="AJ456" i="15"/>
  <c r="AK456" i="15"/>
  <c r="AL456" i="15"/>
  <c r="AM456" i="15"/>
  <c r="AN456" i="15"/>
  <c r="AO456" i="15"/>
  <c r="AP456" i="15"/>
  <c r="AQ456" i="15"/>
  <c r="AR456" i="15"/>
  <c r="AS456" i="15"/>
  <c r="AT456" i="15"/>
  <c r="AU456" i="15"/>
  <c r="AV456" i="15"/>
  <c r="AW456" i="15"/>
  <c r="AX456" i="15"/>
  <c r="AY456" i="15"/>
  <c r="AZ456" i="15"/>
  <c r="BA456" i="15"/>
  <c r="BB456" i="15"/>
  <c r="BC456" i="15"/>
  <c r="BD456" i="15"/>
  <c r="BE456" i="15"/>
  <c r="BF456" i="15"/>
  <c r="BG456" i="15"/>
  <c r="BH456" i="15"/>
  <c r="BI456" i="15"/>
  <c r="BJ456" i="15"/>
  <c r="BK456" i="15"/>
  <c r="BL456" i="15"/>
  <c r="BM456" i="15"/>
  <c r="BN456" i="15"/>
  <c r="BO456" i="15"/>
  <c r="BP456" i="15"/>
  <c r="BQ456" i="15"/>
  <c r="BR456" i="15"/>
  <c r="BS456" i="15"/>
  <c r="BT456" i="15"/>
  <c r="BU456" i="15"/>
  <c r="BV456" i="15"/>
  <c r="BW456" i="15"/>
  <c r="BX456" i="15"/>
  <c r="BY456" i="15"/>
  <c r="BZ456" i="15"/>
  <c r="CA456" i="15"/>
  <c r="CB456" i="15"/>
  <c r="CC456" i="15"/>
  <c r="CD456" i="15"/>
  <c r="CE456" i="15"/>
  <c r="CF456" i="15"/>
  <c r="CG456" i="15"/>
  <c r="CH456" i="15"/>
  <c r="CI456" i="15"/>
  <c r="CJ456" i="15"/>
  <c r="CK456" i="15"/>
  <c r="CL456" i="15"/>
  <c r="CM456" i="15"/>
  <c r="CN456" i="15"/>
  <c r="CO456" i="15"/>
  <c r="A457" i="15"/>
  <c r="B457" i="15"/>
  <c r="C457" i="15"/>
  <c r="D457" i="15"/>
  <c r="E457" i="15"/>
  <c r="F457" i="15"/>
  <c r="G457" i="15"/>
  <c r="H457" i="15"/>
  <c r="I457" i="15"/>
  <c r="J457" i="15"/>
  <c r="K457" i="15"/>
  <c r="L457" i="15"/>
  <c r="M457" i="15"/>
  <c r="N457" i="15"/>
  <c r="O457" i="15"/>
  <c r="P457" i="15"/>
  <c r="Q457" i="15"/>
  <c r="R457" i="15"/>
  <c r="S457" i="15"/>
  <c r="T457" i="15"/>
  <c r="U457" i="15"/>
  <c r="V457" i="15"/>
  <c r="W457" i="15"/>
  <c r="X457" i="15"/>
  <c r="Y457" i="15"/>
  <c r="Z457" i="15"/>
  <c r="AA457" i="15"/>
  <c r="AB457" i="15"/>
  <c r="AC457" i="15"/>
  <c r="AD457" i="15"/>
  <c r="AE457" i="15"/>
  <c r="AF457" i="15"/>
  <c r="AG457" i="15"/>
  <c r="AH457" i="15"/>
  <c r="AI457" i="15"/>
  <c r="AJ457" i="15"/>
  <c r="AK457" i="15"/>
  <c r="AL457" i="15"/>
  <c r="AM457" i="15"/>
  <c r="AN457" i="15"/>
  <c r="AO457" i="15"/>
  <c r="AP457" i="15"/>
  <c r="AQ457" i="15"/>
  <c r="AR457" i="15"/>
  <c r="AS457" i="15"/>
  <c r="AT457" i="15"/>
  <c r="AU457" i="15"/>
  <c r="AV457" i="15"/>
  <c r="AW457" i="15"/>
  <c r="AX457" i="15"/>
  <c r="AY457" i="15"/>
  <c r="AZ457" i="15"/>
  <c r="BA457" i="15"/>
  <c r="BB457" i="15"/>
  <c r="BC457" i="15"/>
  <c r="BD457" i="15"/>
  <c r="BE457" i="15"/>
  <c r="BF457" i="15"/>
  <c r="BG457" i="15"/>
  <c r="BH457" i="15"/>
  <c r="BI457" i="15"/>
  <c r="BJ457" i="15"/>
  <c r="BK457" i="15"/>
  <c r="BL457" i="15"/>
  <c r="BM457" i="15"/>
  <c r="BN457" i="15"/>
  <c r="BO457" i="15"/>
  <c r="BP457" i="15"/>
  <c r="BQ457" i="15"/>
  <c r="BR457" i="15"/>
  <c r="BS457" i="15"/>
  <c r="BT457" i="15"/>
  <c r="BU457" i="15"/>
  <c r="BV457" i="15"/>
  <c r="BW457" i="15"/>
  <c r="BX457" i="15"/>
  <c r="BY457" i="15"/>
  <c r="BZ457" i="15"/>
  <c r="CA457" i="15"/>
  <c r="CB457" i="15"/>
  <c r="CC457" i="15"/>
  <c r="CD457" i="15"/>
  <c r="CE457" i="15"/>
  <c r="CF457" i="15"/>
  <c r="CG457" i="15"/>
  <c r="CH457" i="15"/>
  <c r="CI457" i="15"/>
  <c r="CJ457" i="15"/>
  <c r="CK457" i="15"/>
  <c r="CL457" i="15"/>
  <c r="CM457" i="15"/>
  <c r="CN457" i="15"/>
  <c r="CO457" i="15"/>
  <c r="A458" i="15"/>
  <c r="B458" i="15"/>
  <c r="C458" i="15"/>
  <c r="D458" i="15"/>
  <c r="E458" i="15"/>
  <c r="F458" i="15"/>
  <c r="G458" i="15"/>
  <c r="H458" i="15"/>
  <c r="I458" i="15"/>
  <c r="J458" i="15"/>
  <c r="K458" i="15"/>
  <c r="L458" i="15"/>
  <c r="M458" i="15"/>
  <c r="N458" i="15"/>
  <c r="O458" i="15"/>
  <c r="P458" i="15"/>
  <c r="Q458" i="15"/>
  <c r="R458" i="15"/>
  <c r="S458" i="15"/>
  <c r="T458" i="15"/>
  <c r="U458" i="15"/>
  <c r="V458" i="15"/>
  <c r="W458" i="15"/>
  <c r="X458" i="15"/>
  <c r="Y458" i="15"/>
  <c r="Z458" i="15"/>
  <c r="AA458" i="15"/>
  <c r="AB458" i="15"/>
  <c r="AC458" i="15"/>
  <c r="AD458" i="15"/>
  <c r="AE458" i="15"/>
  <c r="AF458" i="15"/>
  <c r="AG458" i="15"/>
  <c r="AH458" i="15"/>
  <c r="AI458" i="15"/>
  <c r="AJ458" i="15"/>
  <c r="AK458" i="15"/>
  <c r="AL458" i="15"/>
  <c r="AM458" i="15"/>
  <c r="AN458" i="15"/>
  <c r="AO458" i="15"/>
  <c r="AP458" i="15"/>
  <c r="AQ458" i="15"/>
  <c r="AR458" i="15"/>
  <c r="AS458" i="15"/>
  <c r="AT458" i="15"/>
  <c r="AU458" i="15"/>
  <c r="AV458" i="15"/>
  <c r="AW458" i="15"/>
  <c r="AX458" i="15"/>
  <c r="AY458" i="15"/>
  <c r="AZ458" i="15"/>
  <c r="BA458" i="15"/>
  <c r="BB458" i="15"/>
  <c r="BC458" i="15"/>
  <c r="BD458" i="15"/>
  <c r="BE458" i="15"/>
  <c r="BF458" i="15"/>
  <c r="BG458" i="15"/>
  <c r="BH458" i="15"/>
  <c r="BI458" i="15"/>
  <c r="BJ458" i="15"/>
  <c r="BK458" i="15"/>
  <c r="BL458" i="15"/>
  <c r="BM458" i="15"/>
  <c r="BN458" i="15"/>
  <c r="BO458" i="15"/>
  <c r="BP458" i="15"/>
  <c r="BQ458" i="15"/>
  <c r="BR458" i="15"/>
  <c r="BS458" i="15"/>
  <c r="BT458" i="15"/>
  <c r="BU458" i="15"/>
  <c r="BV458" i="15"/>
  <c r="BW458" i="15"/>
  <c r="BX458" i="15"/>
  <c r="BY458" i="15"/>
  <c r="BZ458" i="15"/>
  <c r="CA458" i="15"/>
  <c r="CB458" i="15"/>
  <c r="CC458" i="15"/>
  <c r="CD458" i="15"/>
  <c r="CE458" i="15"/>
  <c r="CF458" i="15"/>
  <c r="CG458" i="15"/>
  <c r="CH458" i="15"/>
  <c r="CI458" i="15"/>
  <c r="CJ458" i="15"/>
  <c r="CK458" i="15"/>
  <c r="CL458" i="15"/>
  <c r="CM458" i="15"/>
  <c r="CN458" i="15"/>
  <c r="CO458" i="15"/>
  <c r="A459" i="15"/>
  <c r="B459" i="15"/>
  <c r="C459" i="15"/>
  <c r="D459" i="15"/>
  <c r="E459" i="15"/>
  <c r="F459" i="15"/>
  <c r="G459" i="15"/>
  <c r="H459" i="15"/>
  <c r="I459" i="15"/>
  <c r="J459" i="15"/>
  <c r="K459" i="15"/>
  <c r="L459" i="15"/>
  <c r="M459" i="15"/>
  <c r="N459" i="15"/>
  <c r="O459" i="15"/>
  <c r="P459" i="15"/>
  <c r="Q459" i="15"/>
  <c r="R459" i="15"/>
  <c r="S459" i="15"/>
  <c r="T459" i="15"/>
  <c r="U459" i="15"/>
  <c r="V459" i="15"/>
  <c r="W459" i="15"/>
  <c r="X459" i="15"/>
  <c r="Y459" i="15"/>
  <c r="Z459" i="15"/>
  <c r="AA459" i="15"/>
  <c r="AB459" i="15"/>
  <c r="AC459" i="15"/>
  <c r="AD459" i="15"/>
  <c r="AE459" i="15"/>
  <c r="AF459" i="15"/>
  <c r="AG459" i="15"/>
  <c r="AH459" i="15"/>
  <c r="AI459" i="15"/>
  <c r="AJ459" i="15"/>
  <c r="AK459" i="15"/>
  <c r="AL459" i="15"/>
  <c r="AM459" i="15"/>
  <c r="AN459" i="15"/>
  <c r="AO459" i="15"/>
  <c r="AP459" i="15"/>
  <c r="AQ459" i="15"/>
  <c r="AR459" i="15"/>
  <c r="AS459" i="15"/>
  <c r="AT459" i="15"/>
  <c r="AU459" i="15"/>
  <c r="AV459" i="15"/>
  <c r="AW459" i="15"/>
  <c r="AX459" i="15"/>
  <c r="AY459" i="15"/>
  <c r="AZ459" i="15"/>
  <c r="BA459" i="15"/>
  <c r="BB459" i="15"/>
  <c r="BC459" i="15"/>
  <c r="BD459" i="15"/>
  <c r="BE459" i="15"/>
  <c r="BF459" i="15"/>
  <c r="BG459" i="15"/>
  <c r="BH459" i="15"/>
  <c r="BI459" i="15"/>
  <c r="BJ459" i="15"/>
  <c r="BK459" i="15"/>
  <c r="BL459" i="15"/>
  <c r="BM459" i="15"/>
  <c r="BN459" i="15"/>
  <c r="BO459" i="15"/>
  <c r="BP459" i="15"/>
  <c r="BQ459" i="15"/>
  <c r="BR459" i="15"/>
  <c r="BS459" i="15"/>
  <c r="BT459" i="15"/>
  <c r="BU459" i="15"/>
  <c r="BV459" i="15"/>
  <c r="BW459" i="15"/>
  <c r="BX459" i="15"/>
  <c r="BY459" i="15"/>
  <c r="BZ459" i="15"/>
  <c r="CA459" i="15"/>
  <c r="CB459" i="15"/>
  <c r="CC459" i="15"/>
  <c r="CD459" i="15"/>
  <c r="CE459" i="15"/>
  <c r="CF459" i="15"/>
  <c r="CG459" i="15"/>
  <c r="CH459" i="15"/>
  <c r="CI459" i="15"/>
  <c r="CJ459" i="15"/>
  <c r="CK459" i="15"/>
  <c r="CL459" i="15"/>
  <c r="CM459" i="15"/>
  <c r="CN459" i="15"/>
  <c r="CO459" i="15"/>
  <c r="A460" i="15"/>
  <c r="B460" i="15"/>
  <c r="C460" i="15"/>
  <c r="D460" i="15"/>
  <c r="E460" i="15"/>
  <c r="F460" i="15"/>
  <c r="G460" i="15"/>
  <c r="H460" i="15"/>
  <c r="I460" i="15"/>
  <c r="J460" i="15"/>
  <c r="K460" i="15"/>
  <c r="L460" i="15"/>
  <c r="M460" i="15"/>
  <c r="N460" i="15"/>
  <c r="O460" i="15"/>
  <c r="P460" i="15"/>
  <c r="Q460" i="15"/>
  <c r="R460" i="15"/>
  <c r="S460" i="15"/>
  <c r="T460" i="15"/>
  <c r="U460" i="15"/>
  <c r="V460" i="15"/>
  <c r="W460" i="15"/>
  <c r="X460" i="15"/>
  <c r="Y460" i="15"/>
  <c r="Z460" i="15"/>
  <c r="AA460" i="15"/>
  <c r="AB460" i="15"/>
  <c r="AC460" i="15"/>
  <c r="AD460" i="15"/>
  <c r="AE460" i="15"/>
  <c r="AF460" i="15"/>
  <c r="AG460" i="15"/>
  <c r="AH460" i="15"/>
  <c r="AI460" i="15"/>
  <c r="AJ460" i="15"/>
  <c r="AK460" i="15"/>
  <c r="AL460" i="15"/>
  <c r="AM460" i="15"/>
  <c r="AN460" i="15"/>
  <c r="AO460" i="15"/>
  <c r="AP460" i="15"/>
  <c r="AQ460" i="15"/>
  <c r="AR460" i="15"/>
  <c r="AS460" i="15"/>
  <c r="AT460" i="15"/>
  <c r="AU460" i="15"/>
  <c r="AV460" i="15"/>
  <c r="AW460" i="15"/>
  <c r="AX460" i="15"/>
  <c r="AY460" i="15"/>
  <c r="AZ460" i="15"/>
  <c r="BA460" i="15"/>
  <c r="BB460" i="15"/>
  <c r="BC460" i="15"/>
  <c r="BD460" i="15"/>
  <c r="BE460" i="15"/>
  <c r="BF460" i="15"/>
  <c r="BG460" i="15"/>
  <c r="BH460" i="15"/>
  <c r="BI460" i="15"/>
  <c r="BJ460" i="15"/>
  <c r="BK460" i="15"/>
  <c r="BL460" i="15"/>
  <c r="BM460" i="15"/>
  <c r="BN460" i="15"/>
  <c r="BO460" i="15"/>
  <c r="BP460" i="15"/>
  <c r="BQ460" i="15"/>
  <c r="BR460" i="15"/>
  <c r="BS460" i="15"/>
  <c r="BT460" i="15"/>
  <c r="BU460" i="15"/>
  <c r="BV460" i="15"/>
  <c r="BW460" i="15"/>
  <c r="BX460" i="15"/>
  <c r="BY460" i="15"/>
  <c r="BZ460" i="15"/>
  <c r="CA460" i="15"/>
  <c r="CB460" i="15"/>
  <c r="CC460" i="15"/>
  <c r="CD460" i="15"/>
  <c r="CE460" i="15"/>
  <c r="CF460" i="15"/>
  <c r="CG460" i="15"/>
  <c r="CH460" i="15"/>
  <c r="CI460" i="15"/>
  <c r="CJ460" i="15"/>
  <c r="CK460" i="15"/>
  <c r="CL460" i="15"/>
  <c r="CM460" i="15"/>
  <c r="CN460" i="15"/>
  <c r="CO460" i="15"/>
  <c r="A461" i="15"/>
  <c r="B461" i="15"/>
  <c r="C461" i="15"/>
  <c r="D461" i="15"/>
  <c r="E461" i="15"/>
  <c r="F461" i="15"/>
  <c r="G461" i="15"/>
  <c r="H461" i="15"/>
  <c r="I461" i="15"/>
  <c r="J461" i="15"/>
  <c r="K461" i="15"/>
  <c r="L461" i="15"/>
  <c r="M461" i="15"/>
  <c r="N461" i="15"/>
  <c r="O461" i="15"/>
  <c r="P461" i="15"/>
  <c r="Q461" i="15"/>
  <c r="R461" i="15"/>
  <c r="S461" i="15"/>
  <c r="T461" i="15"/>
  <c r="U461" i="15"/>
  <c r="V461" i="15"/>
  <c r="W461" i="15"/>
  <c r="X461" i="15"/>
  <c r="Y461" i="15"/>
  <c r="Z461" i="15"/>
  <c r="AA461" i="15"/>
  <c r="AB461" i="15"/>
  <c r="AC461" i="15"/>
  <c r="AD461" i="15"/>
  <c r="AE461" i="15"/>
  <c r="AF461" i="15"/>
  <c r="AG461" i="15"/>
  <c r="AH461" i="15"/>
  <c r="AI461" i="15"/>
  <c r="AJ461" i="15"/>
  <c r="AK461" i="15"/>
  <c r="AL461" i="15"/>
  <c r="AM461" i="15"/>
  <c r="AN461" i="15"/>
  <c r="AO461" i="15"/>
  <c r="AP461" i="15"/>
  <c r="AQ461" i="15"/>
  <c r="AR461" i="15"/>
  <c r="AS461" i="15"/>
  <c r="AT461" i="15"/>
  <c r="AU461" i="15"/>
  <c r="AV461" i="15"/>
  <c r="AW461" i="15"/>
  <c r="AX461" i="15"/>
  <c r="AY461" i="15"/>
  <c r="AZ461" i="15"/>
  <c r="BA461" i="15"/>
  <c r="BB461" i="15"/>
  <c r="BC461" i="15"/>
  <c r="BD461" i="15"/>
  <c r="BE461" i="15"/>
  <c r="BF461" i="15"/>
  <c r="BG461" i="15"/>
  <c r="BH461" i="15"/>
  <c r="BI461" i="15"/>
  <c r="BJ461" i="15"/>
  <c r="BK461" i="15"/>
  <c r="BL461" i="15"/>
  <c r="BM461" i="15"/>
  <c r="BN461" i="15"/>
  <c r="BO461" i="15"/>
  <c r="BP461" i="15"/>
  <c r="BQ461" i="15"/>
  <c r="BR461" i="15"/>
  <c r="BS461" i="15"/>
  <c r="BT461" i="15"/>
  <c r="BU461" i="15"/>
  <c r="BV461" i="15"/>
  <c r="BW461" i="15"/>
  <c r="BX461" i="15"/>
  <c r="BY461" i="15"/>
  <c r="BZ461" i="15"/>
  <c r="CA461" i="15"/>
  <c r="CB461" i="15"/>
  <c r="CC461" i="15"/>
  <c r="CD461" i="15"/>
  <c r="CE461" i="15"/>
  <c r="CF461" i="15"/>
  <c r="CG461" i="15"/>
  <c r="CH461" i="15"/>
  <c r="CI461" i="15"/>
  <c r="CJ461" i="15"/>
  <c r="CK461" i="15"/>
  <c r="CL461" i="15"/>
  <c r="CM461" i="15"/>
  <c r="CN461" i="15"/>
  <c r="CO461" i="15"/>
  <c r="A462" i="15"/>
  <c r="B462" i="15"/>
  <c r="C462" i="15"/>
  <c r="D462" i="15"/>
  <c r="E462" i="15"/>
  <c r="F462" i="15"/>
  <c r="G462" i="15"/>
  <c r="H462" i="15"/>
  <c r="I462" i="15"/>
  <c r="J462" i="15"/>
  <c r="K462" i="15"/>
  <c r="L462" i="15"/>
  <c r="M462" i="15"/>
  <c r="N462" i="15"/>
  <c r="O462" i="15"/>
  <c r="P462" i="15"/>
  <c r="Q462" i="15"/>
  <c r="R462" i="15"/>
  <c r="S462" i="15"/>
  <c r="T462" i="15"/>
  <c r="U462" i="15"/>
  <c r="V462" i="15"/>
  <c r="W462" i="15"/>
  <c r="X462" i="15"/>
  <c r="Y462" i="15"/>
  <c r="Z462" i="15"/>
  <c r="AA462" i="15"/>
  <c r="AB462" i="15"/>
  <c r="AC462" i="15"/>
  <c r="AD462" i="15"/>
  <c r="AE462" i="15"/>
  <c r="AF462" i="15"/>
  <c r="AG462" i="15"/>
  <c r="AH462" i="15"/>
  <c r="AI462" i="15"/>
  <c r="AJ462" i="15"/>
  <c r="AK462" i="15"/>
  <c r="AL462" i="15"/>
  <c r="AM462" i="15"/>
  <c r="AN462" i="15"/>
  <c r="AO462" i="15"/>
  <c r="AP462" i="15"/>
  <c r="AQ462" i="15"/>
  <c r="AR462" i="15"/>
  <c r="AS462" i="15"/>
  <c r="AT462" i="15"/>
  <c r="AU462" i="15"/>
  <c r="AV462" i="15"/>
  <c r="AW462" i="15"/>
  <c r="AX462" i="15"/>
  <c r="AY462" i="15"/>
  <c r="AZ462" i="15"/>
  <c r="BA462" i="15"/>
  <c r="BB462" i="15"/>
  <c r="BC462" i="15"/>
  <c r="BD462" i="15"/>
  <c r="BE462" i="15"/>
  <c r="BF462" i="15"/>
  <c r="BG462" i="15"/>
  <c r="BH462" i="15"/>
  <c r="BI462" i="15"/>
  <c r="BJ462" i="15"/>
  <c r="BK462" i="15"/>
  <c r="BL462" i="15"/>
  <c r="BM462" i="15"/>
  <c r="BN462" i="15"/>
  <c r="BO462" i="15"/>
  <c r="BP462" i="15"/>
  <c r="BQ462" i="15"/>
  <c r="BR462" i="15"/>
  <c r="BS462" i="15"/>
  <c r="BT462" i="15"/>
  <c r="BU462" i="15"/>
  <c r="BV462" i="15"/>
  <c r="BW462" i="15"/>
  <c r="BX462" i="15"/>
  <c r="BY462" i="15"/>
  <c r="BZ462" i="15"/>
  <c r="CA462" i="15"/>
  <c r="CB462" i="15"/>
  <c r="CC462" i="15"/>
  <c r="CD462" i="15"/>
  <c r="CE462" i="15"/>
  <c r="CF462" i="15"/>
  <c r="CG462" i="15"/>
  <c r="CH462" i="15"/>
  <c r="CI462" i="15"/>
  <c r="CJ462" i="15"/>
  <c r="CK462" i="15"/>
  <c r="CL462" i="15"/>
  <c r="CM462" i="15"/>
  <c r="CN462" i="15"/>
  <c r="CO462" i="15"/>
  <c r="A463" i="15"/>
  <c r="B463" i="15"/>
  <c r="C463" i="15"/>
  <c r="D463" i="15"/>
  <c r="E463" i="15"/>
  <c r="F463" i="15"/>
  <c r="G463" i="15"/>
  <c r="H463" i="15"/>
  <c r="I463" i="15"/>
  <c r="J463" i="15"/>
  <c r="K463" i="15"/>
  <c r="L463" i="15"/>
  <c r="M463" i="15"/>
  <c r="N463" i="15"/>
  <c r="O463" i="15"/>
  <c r="P463" i="15"/>
  <c r="Q463" i="15"/>
  <c r="R463" i="15"/>
  <c r="S463" i="15"/>
  <c r="T463" i="15"/>
  <c r="U463" i="15"/>
  <c r="V463" i="15"/>
  <c r="W463" i="15"/>
  <c r="X463" i="15"/>
  <c r="Y463" i="15"/>
  <c r="Z463" i="15"/>
  <c r="AA463" i="15"/>
  <c r="AB463" i="15"/>
  <c r="AC463" i="15"/>
  <c r="AD463" i="15"/>
  <c r="AE463" i="15"/>
  <c r="AF463" i="15"/>
  <c r="AG463" i="15"/>
  <c r="AH463" i="15"/>
  <c r="AI463" i="15"/>
  <c r="AJ463" i="15"/>
  <c r="AK463" i="15"/>
  <c r="AL463" i="15"/>
  <c r="AM463" i="15"/>
  <c r="AN463" i="15"/>
  <c r="AO463" i="15"/>
  <c r="AP463" i="15"/>
  <c r="AQ463" i="15"/>
  <c r="AR463" i="15"/>
  <c r="AS463" i="15"/>
  <c r="AT463" i="15"/>
  <c r="AU463" i="15"/>
  <c r="AV463" i="15"/>
  <c r="AW463" i="15"/>
  <c r="AX463" i="15"/>
  <c r="AY463" i="15"/>
  <c r="AZ463" i="15"/>
  <c r="BA463" i="15"/>
  <c r="BB463" i="15"/>
  <c r="BC463" i="15"/>
  <c r="BD463" i="15"/>
  <c r="BE463" i="15"/>
  <c r="BF463" i="15"/>
  <c r="BG463" i="15"/>
  <c r="BH463" i="15"/>
  <c r="BI463" i="15"/>
  <c r="BJ463" i="15"/>
  <c r="BK463" i="15"/>
  <c r="BL463" i="15"/>
  <c r="BM463" i="15"/>
  <c r="BN463" i="15"/>
  <c r="BO463" i="15"/>
  <c r="BP463" i="15"/>
  <c r="BQ463" i="15"/>
  <c r="BR463" i="15"/>
  <c r="BS463" i="15"/>
  <c r="BT463" i="15"/>
  <c r="BU463" i="15"/>
  <c r="BV463" i="15"/>
  <c r="BW463" i="15"/>
  <c r="BX463" i="15"/>
  <c r="BY463" i="15"/>
  <c r="BZ463" i="15"/>
  <c r="CA463" i="15"/>
  <c r="CB463" i="15"/>
  <c r="CC463" i="15"/>
  <c r="CD463" i="15"/>
  <c r="CE463" i="15"/>
  <c r="CF463" i="15"/>
  <c r="CG463" i="15"/>
  <c r="CH463" i="15"/>
  <c r="CI463" i="15"/>
  <c r="CJ463" i="15"/>
  <c r="CK463" i="15"/>
  <c r="CL463" i="15"/>
  <c r="CM463" i="15"/>
  <c r="CN463" i="15"/>
  <c r="CO463" i="15"/>
  <c r="A464" i="15"/>
  <c r="B464" i="15"/>
  <c r="C464" i="15"/>
  <c r="D464" i="15"/>
  <c r="E464" i="15"/>
  <c r="F464" i="15"/>
  <c r="G464" i="15"/>
  <c r="H464" i="15"/>
  <c r="I464" i="15"/>
  <c r="J464" i="15"/>
  <c r="K464" i="15"/>
  <c r="L464" i="15"/>
  <c r="M464" i="15"/>
  <c r="N464" i="15"/>
  <c r="O464" i="15"/>
  <c r="P464" i="15"/>
  <c r="Q464" i="15"/>
  <c r="R464" i="15"/>
  <c r="S464" i="15"/>
  <c r="T464" i="15"/>
  <c r="U464" i="15"/>
  <c r="V464" i="15"/>
  <c r="W464" i="15"/>
  <c r="X464" i="15"/>
  <c r="Y464" i="15"/>
  <c r="Z464" i="15"/>
  <c r="AA464" i="15"/>
  <c r="AB464" i="15"/>
  <c r="AC464" i="15"/>
  <c r="AD464" i="15"/>
  <c r="AE464" i="15"/>
  <c r="AF464" i="15"/>
  <c r="AG464" i="15"/>
  <c r="AH464" i="15"/>
  <c r="AI464" i="15"/>
  <c r="AJ464" i="15"/>
  <c r="AK464" i="15"/>
  <c r="AL464" i="15"/>
  <c r="AM464" i="15"/>
  <c r="AN464" i="15"/>
  <c r="AO464" i="15"/>
  <c r="AP464" i="15"/>
  <c r="AQ464" i="15"/>
  <c r="AR464" i="15"/>
  <c r="AS464" i="15"/>
  <c r="AT464" i="15"/>
  <c r="AU464" i="15"/>
  <c r="AV464" i="15"/>
  <c r="AW464" i="15"/>
  <c r="AX464" i="15"/>
  <c r="AY464" i="15"/>
  <c r="AZ464" i="15"/>
  <c r="BA464" i="15"/>
  <c r="BB464" i="15"/>
  <c r="BC464" i="15"/>
  <c r="BD464" i="15"/>
  <c r="BE464" i="15"/>
  <c r="BF464" i="15"/>
  <c r="BG464" i="15"/>
  <c r="BH464" i="15"/>
  <c r="BI464" i="15"/>
  <c r="BJ464" i="15"/>
  <c r="BK464" i="15"/>
  <c r="BL464" i="15"/>
  <c r="BM464" i="15"/>
  <c r="BN464" i="15"/>
  <c r="BO464" i="15"/>
  <c r="BP464" i="15"/>
  <c r="BQ464" i="15"/>
  <c r="BR464" i="15"/>
  <c r="BS464" i="15"/>
  <c r="BT464" i="15"/>
  <c r="BU464" i="15"/>
  <c r="BV464" i="15"/>
  <c r="BW464" i="15"/>
  <c r="BX464" i="15"/>
  <c r="BY464" i="15"/>
  <c r="BZ464" i="15"/>
  <c r="CA464" i="15"/>
  <c r="CB464" i="15"/>
  <c r="CC464" i="15"/>
  <c r="CD464" i="15"/>
  <c r="CE464" i="15"/>
  <c r="CF464" i="15"/>
  <c r="CG464" i="15"/>
  <c r="CH464" i="15"/>
  <c r="CI464" i="15"/>
  <c r="CJ464" i="15"/>
  <c r="CK464" i="15"/>
  <c r="CL464" i="15"/>
  <c r="CM464" i="15"/>
  <c r="CN464" i="15"/>
  <c r="CO464" i="15"/>
  <c r="A465" i="15"/>
  <c r="B465" i="15"/>
  <c r="C465" i="15"/>
  <c r="D465" i="15"/>
  <c r="E465" i="15"/>
  <c r="F465" i="15"/>
  <c r="G465" i="15"/>
  <c r="H465" i="15"/>
  <c r="I465" i="15"/>
  <c r="J465" i="15"/>
  <c r="K465" i="15"/>
  <c r="L465" i="15"/>
  <c r="M465" i="15"/>
  <c r="N465" i="15"/>
  <c r="O465" i="15"/>
  <c r="P465" i="15"/>
  <c r="Q465" i="15"/>
  <c r="R465" i="15"/>
  <c r="S465" i="15"/>
  <c r="T465" i="15"/>
  <c r="U465" i="15"/>
  <c r="V465" i="15"/>
  <c r="W465" i="15"/>
  <c r="X465" i="15"/>
  <c r="Y465" i="15"/>
  <c r="Z465" i="15"/>
  <c r="AA465" i="15"/>
  <c r="AB465" i="15"/>
  <c r="AC465" i="15"/>
  <c r="AD465" i="15"/>
  <c r="AE465" i="15"/>
  <c r="AF465" i="15"/>
  <c r="AG465" i="15"/>
  <c r="AH465" i="15"/>
  <c r="AI465" i="15"/>
  <c r="AJ465" i="15"/>
  <c r="AK465" i="15"/>
  <c r="AL465" i="15"/>
  <c r="AM465" i="15"/>
  <c r="AN465" i="15"/>
  <c r="AO465" i="15"/>
  <c r="AP465" i="15"/>
  <c r="AQ465" i="15"/>
  <c r="AR465" i="15"/>
  <c r="AS465" i="15"/>
  <c r="AT465" i="15"/>
  <c r="AU465" i="15"/>
  <c r="AV465" i="15"/>
  <c r="AW465" i="15"/>
  <c r="AX465" i="15"/>
  <c r="AY465" i="15"/>
  <c r="AZ465" i="15"/>
  <c r="BA465" i="15"/>
  <c r="BB465" i="15"/>
  <c r="BC465" i="15"/>
  <c r="BD465" i="15"/>
  <c r="BE465" i="15"/>
  <c r="BF465" i="15"/>
  <c r="BG465" i="15"/>
  <c r="BH465" i="15"/>
  <c r="BI465" i="15"/>
  <c r="BJ465" i="15"/>
  <c r="BK465" i="15"/>
  <c r="BL465" i="15"/>
  <c r="BM465" i="15"/>
  <c r="BN465" i="15"/>
  <c r="BO465" i="15"/>
  <c r="BP465" i="15"/>
  <c r="BQ465" i="15"/>
  <c r="BR465" i="15"/>
  <c r="BS465" i="15"/>
  <c r="BT465" i="15"/>
  <c r="BU465" i="15"/>
  <c r="BV465" i="15"/>
  <c r="BW465" i="15"/>
  <c r="BX465" i="15"/>
  <c r="BY465" i="15"/>
  <c r="BZ465" i="15"/>
  <c r="CA465" i="15"/>
  <c r="CB465" i="15"/>
  <c r="CC465" i="15"/>
  <c r="CD465" i="15"/>
  <c r="CE465" i="15"/>
  <c r="CF465" i="15"/>
  <c r="CG465" i="15"/>
  <c r="CH465" i="15"/>
  <c r="CI465" i="15"/>
  <c r="CJ465" i="15"/>
  <c r="CK465" i="15"/>
  <c r="CL465" i="15"/>
  <c r="CM465" i="15"/>
  <c r="CN465" i="15"/>
  <c r="CO465" i="15"/>
  <c r="A466" i="15"/>
  <c r="B466" i="15"/>
  <c r="C466" i="15"/>
  <c r="D466" i="15"/>
  <c r="E466" i="15"/>
  <c r="F466" i="15"/>
  <c r="G466" i="15"/>
  <c r="H466" i="15"/>
  <c r="I466" i="15"/>
  <c r="J466" i="15"/>
  <c r="K466" i="15"/>
  <c r="L466" i="15"/>
  <c r="M466" i="15"/>
  <c r="N466" i="15"/>
  <c r="O466" i="15"/>
  <c r="P466" i="15"/>
  <c r="Q466" i="15"/>
  <c r="R466" i="15"/>
  <c r="S466" i="15"/>
  <c r="T466" i="15"/>
  <c r="U466" i="15"/>
  <c r="V466" i="15"/>
  <c r="W466" i="15"/>
  <c r="X466" i="15"/>
  <c r="Y466" i="15"/>
  <c r="Z466" i="15"/>
  <c r="AA466" i="15"/>
  <c r="AB466" i="15"/>
  <c r="AC466" i="15"/>
  <c r="AD466" i="15"/>
  <c r="AE466" i="15"/>
  <c r="AF466" i="15"/>
  <c r="AG466" i="15"/>
  <c r="AH466" i="15"/>
  <c r="AI466" i="15"/>
  <c r="AJ466" i="15"/>
  <c r="AK466" i="15"/>
  <c r="AL466" i="15"/>
  <c r="AM466" i="15"/>
  <c r="AN466" i="15"/>
  <c r="AO466" i="15"/>
  <c r="AP466" i="15"/>
  <c r="AQ466" i="15"/>
  <c r="AR466" i="15"/>
  <c r="AS466" i="15"/>
  <c r="AT466" i="15"/>
  <c r="AU466" i="15"/>
  <c r="AV466" i="15"/>
  <c r="AW466" i="15"/>
  <c r="AX466" i="15"/>
  <c r="AY466" i="15"/>
  <c r="AZ466" i="15"/>
  <c r="BA466" i="15"/>
  <c r="BB466" i="15"/>
  <c r="BC466" i="15"/>
  <c r="BD466" i="15"/>
  <c r="BE466" i="15"/>
  <c r="BF466" i="15"/>
  <c r="BG466" i="15"/>
  <c r="BH466" i="15"/>
  <c r="BI466" i="15"/>
  <c r="BJ466" i="15"/>
  <c r="BK466" i="15"/>
  <c r="BL466" i="15"/>
  <c r="BM466" i="15"/>
  <c r="BN466" i="15"/>
  <c r="BO466" i="15"/>
  <c r="BP466" i="15"/>
  <c r="BQ466" i="15"/>
  <c r="BR466" i="15"/>
  <c r="BS466" i="15"/>
  <c r="BT466" i="15"/>
  <c r="BU466" i="15"/>
  <c r="BV466" i="15"/>
  <c r="BW466" i="15"/>
  <c r="BX466" i="15"/>
  <c r="BY466" i="15"/>
  <c r="BZ466" i="15"/>
  <c r="CA466" i="15"/>
  <c r="CB466" i="15"/>
  <c r="CC466" i="15"/>
  <c r="CD466" i="15"/>
  <c r="CE466" i="15"/>
  <c r="CF466" i="15"/>
  <c r="CG466" i="15"/>
  <c r="CH466" i="15"/>
  <c r="CI466" i="15"/>
  <c r="CJ466" i="15"/>
  <c r="CK466" i="15"/>
  <c r="CL466" i="15"/>
  <c r="CM466" i="15"/>
  <c r="CN466" i="15"/>
  <c r="CO466" i="15"/>
  <c r="A467" i="15"/>
  <c r="B467" i="15"/>
  <c r="C467" i="15"/>
  <c r="D467" i="15"/>
  <c r="E467" i="15"/>
  <c r="F467" i="15"/>
  <c r="G467" i="15"/>
  <c r="H467" i="15"/>
  <c r="I467" i="15"/>
  <c r="J467" i="15"/>
  <c r="K467" i="15"/>
  <c r="L467" i="15"/>
  <c r="M467" i="15"/>
  <c r="N467" i="15"/>
  <c r="O467" i="15"/>
  <c r="P467" i="15"/>
  <c r="Q467" i="15"/>
  <c r="R467" i="15"/>
  <c r="S467" i="15"/>
  <c r="T467" i="15"/>
  <c r="U467" i="15"/>
  <c r="V467" i="15"/>
  <c r="W467" i="15"/>
  <c r="X467" i="15"/>
  <c r="Y467" i="15"/>
  <c r="Z467" i="15"/>
  <c r="AA467" i="15"/>
  <c r="AB467" i="15"/>
  <c r="AC467" i="15"/>
  <c r="AD467" i="15"/>
  <c r="AE467" i="15"/>
  <c r="AF467" i="15"/>
  <c r="AG467" i="15"/>
  <c r="AH467" i="15"/>
  <c r="AI467" i="15"/>
  <c r="AJ467" i="15"/>
  <c r="AK467" i="15"/>
  <c r="AL467" i="15"/>
  <c r="AM467" i="15"/>
  <c r="AN467" i="15"/>
  <c r="AO467" i="15"/>
  <c r="AP467" i="15"/>
  <c r="AQ467" i="15"/>
  <c r="AR467" i="15"/>
  <c r="AS467" i="15"/>
  <c r="AT467" i="15"/>
  <c r="AU467" i="15"/>
  <c r="AV467" i="15"/>
  <c r="AW467" i="15"/>
  <c r="AX467" i="15"/>
  <c r="AY467" i="15"/>
  <c r="AZ467" i="15"/>
  <c r="BA467" i="15"/>
  <c r="BB467" i="15"/>
  <c r="BC467" i="15"/>
  <c r="BD467" i="15"/>
  <c r="BE467" i="15"/>
  <c r="BF467" i="15"/>
  <c r="BG467" i="15"/>
  <c r="BH467" i="15"/>
  <c r="BI467" i="15"/>
  <c r="BJ467" i="15"/>
  <c r="BK467" i="15"/>
  <c r="BL467" i="15"/>
  <c r="BM467" i="15"/>
  <c r="BN467" i="15"/>
  <c r="BO467" i="15"/>
  <c r="BP467" i="15"/>
  <c r="BQ467" i="15"/>
  <c r="BR467" i="15"/>
  <c r="BS467" i="15"/>
  <c r="BT467" i="15"/>
  <c r="BU467" i="15"/>
  <c r="BV467" i="15"/>
  <c r="BW467" i="15"/>
  <c r="BX467" i="15"/>
  <c r="BY467" i="15"/>
  <c r="BZ467" i="15"/>
  <c r="CA467" i="15"/>
  <c r="CB467" i="15"/>
  <c r="CC467" i="15"/>
  <c r="CD467" i="15"/>
  <c r="CE467" i="15"/>
  <c r="CF467" i="15"/>
  <c r="CG467" i="15"/>
  <c r="CH467" i="15"/>
  <c r="CI467" i="15"/>
  <c r="CJ467" i="15"/>
  <c r="CK467" i="15"/>
  <c r="CL467" i="15"/>
  <c r="CM467" i="15"/>
  <c r="CN467" i="15"/>
  <c r="CO467" i="15"/>
  <c r="A468" i="15"/>
  <c r="B468" i="15"/>
  <c r="C468" i="15"/>
  <c r="D468" i="15"/>
  <c r="E468" i="15"/>
  <c r="F468" i="15"/>
  <c r="G468" i="15"/>
  <c r="H468" i="15"/>
  <c r="I468" i="15"/>
  <c r="J468" i="15"/>
  <c r="K468" i="15"/>
  <c r="L468" i="15"/>
  <c r="M468" i="15"/>
  <c r="N468" i="15"/>
  <c r="O468" i="15"/>
  <c r="P468" i="15"/>
  <c r="Q468" i="15"/>
  <c r="R468" i="15"/>
  <c r="S468" i="15"/>
  <c r="T468" i="15"/>
  <c r="U468" i="15"/>
  <c r="V468" i="15"/>
  <c r="W468" i="15"/>
  <c r="X468" i="15"/>
  <c r="Y468" i="15"/>
  <c r="Z468" i="15"/>
  <c r="AA468" i="15"/>
  <c r="AB468" i="15"/>
  <c r="AC468" i="15"/>
  <c r="AD468" i="15"/>
  <c r="AE468" i="15"/>
  <c r="AF468" i="15"/>
  <c r="AG468" i="15"/>
  <c r="AH468" i="15"/>
  <c r="AI468" i="15"/>
  <c r="AJ468" i="15"/>
  <c r="AK468" i="15"/>
  <c r="AL468" i="15"/>
  <c r="AM468" i="15"/>
  <c r="AN468" i="15"/>
  <c r="AO468" i="15"/>
  <c r="AP468" i="15"/>
  <c r="AQ468" i="15"/>
  <c r="AR468" i="15"/>
  <c r="AS468" i="15"/>
  <c r="AT468" i="15"/>
  <c r="AU468" i="15"/>
  <c r="AV468" i="15"/>
  <c r="AW468" i="15"/>
  <c r="AX468" i="15"/>
  <c r="AY468" i="15"/>
  <c r="AZ468" i="15"/>
  <c r="BA468" i="15"/>
  <c r="BB468" i="15"/>
  <c r="BC468" i="15"/>
  <c r="BD468" i="15"/>
  <c r="BE468" i="15"/>
  <c r="BF468" i="15"/>
  <c r="BG468" i="15"/>
  <c r="BH468" i="15"/>
  <c r="BI468" i="15"/>
  <c r="BJ468" i="15"/>
  <c r="BK468" i="15"/>
  <c r="BL468" i="15"/>
  <c r="BM468" i="15"/>
  <c r="BN468" i="15"/>
  <c r="BO468" i="15"/>
  <c r="BP468" i="15"/>
  <c r="BQ468" i="15"/>
  <c r="BR468" i="15"/>
  <c r="BS468" i="15"/>
  <c r="BT468" i="15"/>
  <c r="BU468" i="15"/>
  <c r="BV468" i="15"/>
  <c r="BW468" i="15"/>
  <c r="BX468" i="15"/>
  <c r="BY468" i="15"/>
  <c r="BZ468" i="15"/>
  <c r="CA468" i="15"/>
  <c r="CB468" i="15"/>
  <c r="CC468" i="15"/>
  <c r="CD468" i="15"/>
  <c r="CE468" i="15"/>
  <c r="CF468" i="15"/>
  <c r="CG468" i="15"/>
  <c r="CH468" i="15"/>
  <c r="CI468" i="15"/>
  <c r="CJ468" i="15"/>
  <c r="CK468" i="15"/>
  <c r="CL468" i="15"/>
  <c r="CM468" i="15"/>
  <c r="CN468" i="15"/>
  <c r="CO468" i="15"/>
  <c r="A469" i="15"/>
  <c r="B469" i="15"/>
  <c r="C469" i="15"/>
  <c r="D469" i="15"/>
  <c r="E469" i="15"/>
  <c r="F469" i="15"/>
  <c r="G469" i="15"/>
  <c r="H469" i="15"/>
  <c r="I469" i="15"/>
  <c r="J469" i="15"/>
  <c r="K469" i="15"/>
  <c r="L469" i="15"/>
  <c r="M469" i="15"/>
  <c r="N469" i="15"/>
  <c r="O469" i="15"/>
  <c r="P469" i="15"/>
  <c r="Q469" i="15"/>
  <c r="R469" i="15"/>
  <c r="S469" i="15"/>
  <c r="T469" i="15"/>
  <c r="U469" i="15"/>
  <c r="V469" i="15"/>
  <c r="W469" i="15"/>
  <c r="X469" i="15"/>
  <c r="Y469" i="15"/>
  <c r="Z469" i="15"/>
  <c r="AA469" i="15"/>
  <c r="AB469" i="15"/>
  <c r="AC469" i="15"/>
  <c r="AD469" i="15"/>
  <c r="AE469" i="15"/>
  <c r="AF469" i="15"/>
  <c r="AG469" i="15"/>
  <c r="AH469" i="15"/>
  <c r="AI469" i="15"/>
  <c r="AJ469" i="15"/>
  <c r="AK469" i="15"/>
  <c r="AL469" i="15"/>
  <c r="AM469" i="15"/>
  <c r="AN469" i="15"/>
  <c r="AO469" i="15"/>
  <c r="AP469" i="15"/>
  <c r="AQ469" i="15"/>
  <c r="AR469" i="15"/>
  <c r="AS469" i="15"/>
  <c r="AT469" i="15"/>
  <c r="AU469" i="15"/>
  <c r="AV469" i="15"/>
  <c r="AW469" i="15"/>
  <c r="AX469" i="15"/>
  <c r="AY469" i="15"/>
  <c r="AZ469" i="15"/>
  <c r="BA469" i="15"/>
  <c r="BB469" i="15"/>
  <c r="BC469" i="15"/>
  <c r="BD469" i="15"/>
  <c r="BE469" i="15"/>
  <c r="BF469" i="15"/>
  <c r="BG469" i="15"/>
  <c r="BH469" i="15"/>
  <c r="BI469" i="15"/>
  <c r="BJ469" i="15"/>
  <c r="BK469" i="15"/>
  <c r="BL469" i="15"/>
  <c r="BM469" i="15"/>
  <c r="BN469" i="15"/>
  <c r="BO469" i="15"/>
  <c r="BP469" i="15"/>
  <c r="BQ469" i="15"/>
  <c r="BR469" i="15"/>
  <c r="BS469" i="15"/>
  <c r="BT469" i="15"/>
  <c r="BU469" i="15"/>
  <c r="BV469" i="15"/>
  <c r="BW469" i="15"/>
  <c r="BX469" i="15"/>
  <c r="BY469" i="15"/>
  <c r="BZ469" i="15"/>
  <c r="CA469" i="15"/>
  <c r="CB469" i="15"/>
  <c r="CC469" i="15"/>
  <c r="CD469" i="15"/>
  <c r="CE469" i="15"/>
  <c r="CF469" i="15"/>
  <c r="CG469" i="15"/>
  <c r="CH469" i="15"/>
  <c r="CI469" i="15"/>
  <c r="CJ469" i="15"/>
  <c r="CK469" i="15"/>
  <c r="CL469" i="15"/>
  <c r="CM469" i="15"/>
  <c r="CN469" i="15"/>
  <c r="CO469" i="15"/>
  <c r="A470" i="15"/>
  <c r="B470" i="15"/>
  <c r="C470" i="15"/>
  <c r="D470" i="15"/>
  <c r="E470" i="15"/>
  <c r="F470" i="15"/>
  <c r="G470" i="15"/>
  <c r="H470" i="15"/>
  <c r="I470" i="15"/>
  <c r="J470" i="15"/>
  <c r="K470" i="15"/>
  <c r="L470" i="15"/>
  <c r="M470" i="15"/>
  <c r="N470" i="15"/>
  <c r="O470" i="15"/>
  <c r="P470" i="15"/>
  <c r="Q470" i="15"/>
  <c r="R470" i="15"/>
  <c r="S470" i="15"/>
  <c r="T470" i="15"/>
  <c r="U470" i="15"/>
  <c r="V470" i="15"/>
  <c r="W470" i="15"/>
  <c r="X470" i="15"/>
  <c r="Y470" i="15"/>
  <c r="Z470" i="15"/>
  <c r="AA470" i="15"/>
  <c r="AB470" i="15"/>
  <c r="AC470" i="15"/>
  <c r="AD470" i="15"/>
  <c r="AE470" i="15"/>
  <c r="AF470" i="15"/>
  <c r="AG470" i="15"/>
  <c r="AH470" i="15"/>
  <c r="AI470" i="15"/>
  <c r="AJ470" i="15"/>
  <c r="AK470" i="15"/>
  <c r="AL470" i="15"/>
  <c r="AM470" i="15"/>
  <c r="AN470" i="15"/>
  <c r="AO470" i="15"/>
  <c r="AP470" i="15"/>
  <c r="AQ470" i="15"/>
  <c r="AR470" i="15"/>
  <c r="AS470" i="15"/>
  <c r="AT470" i="15"/>
  <c r="AU470" i="15"/>
  <c r="AV470" i="15"/>
  <c r="AW470" i="15"/>
  <c r="AX470" i="15"/>
  <c r="AY470" i="15"/>
  <c r="AZ470" i="15"/>
  <c r="BA470" i="15"/>
  <c r="BB470" i="15"/>
  <c r="BC470" i="15"/>
  <c r="BD470" i="15"/>
  <c r="BE470" i="15"/>
  <c r="BF470" i="15"/>
  <c r="BG470" i="15"/>
  <c r="BH470" i="15"/>
  <c r="BI470" i="15"/>
  <c r="BJ470" i="15"/>
  <c r="BK470" i="15"/>
  <c r="BL470" i="15"/>
  <c r="BM470" i="15"/>
  <c r="BN470" i="15"/>
  <c r="BO470" i="15"/>
  <c r="BP470" i="15"/>
  <c r="BQ470" i="15"/>
  <c r="BR470" i="15"/>
  <c r="BS470" i="15"/>
  <c r="BT470" i="15"/>
  <c r="BU470" i="15"/>
  <c r="BV470" i="15"/>
  <c r="BW470" i="15"/>
  <c r="BX470" i="15"/>
  <c r="BY470" i="15"/>
  <c r="BZ470" i="15"/>
  <c r="CA470" i="15"/>
  <c r="CB470" i="15"/>
  <c r="CC470" i="15"/>
  <c r="CD470" i="15"/>
  <c r="CE470" i="15"/>
  <c r="CF470" i="15"/>
  <c r="CG470" i="15"/>
  <c r="CH470" i="15"/>
  <c r="CI470" i="15"/>
  <c r="CJ470" i="15"/>
  <c r="CK470" i="15"/>
  <c r="CL470" i="15"/>
  <c r="CM470" i="15"/>
  <c r="CN470" i="15"/>
  <c r="CO470" i="15"/>
  <c r="A471" i="15"/>
  <c r="B471" i="15"/>
  <c r="C471" i="15"/>
  <c r="D471" i="15"/>
  <c r="E471" i="15"/>
  <c r="F471" i="15"/>
  <c r="G471" i="15"/>
  <c r="H471" i="15"/>
  <c r="I471" i="15"/>
  <c r="J471" i="15"/>
  <c r="K471" i="15"/>
  <c r="L471" i="15"/>
  <c r="M471" i="15"/>
  <c r="N471" i="15"/>
  <c r="O471" i="15"/>
  <c r="P471" i="15"/>
  <c r="Q471" i="15"/>
  <c r="R471" i="15"/>
  <c r="S471" i="15"/>
  <c r="T471" i="15"/>
  <c r="U471" i="15"/>
  <c r="V471" i="15"/>
  <c r="W471" i="15"/>
  <c r="X471" i="15"/>
  <c r="Y471" i="15"/>
  <c r="Z471" i="15"/>
  <c r="AA471" i="15"/>
  <c r="AB471" i="15"/>
  <c r="AC471" i="15"/>
  <c r="AD471" i="15"/>
  <c r="AE471" i="15"/>
  <c r="AF471" i="15"/>
  <c r="AG471" i="15"/>
  <c r="AH471" i="15"/>
  <c r="AI471" i="15"/>
  <c r="AJ471" i="15"/>
  <c r="AK471" i="15"/>
  <c r="AL471" i="15"/>
  <c r="AM471" i="15"/>
  <c r="AN471" i="15"/>
  <c r="AO471" i="15"/>
  <c r="AP471" i="15"/>
  <c r="AQ471" i="15"/>
  <c r="AR471" i="15"/>
  <c r="AS471" i="15"/>
  <c r="AT471" i="15"/>
  <c r="AU471" i="15"/>
  <c r="AV471" i="15"/>
  <c r="AW471" i="15"/>
  <c r="AX471" i="15"/>
  <c r="AY471" i="15"/>
  <c r="AZ471" i="15"/>
  <c r="BA471" i="15"/>
  <c r="BB471" i="15"/>
  <c r="BC471" i="15"/>
  <c r="BD471" i="15"/>
  <c r="BE471" i="15"/>
  <c r="BF471" i="15"/>
  <c r="BG471" i="15"/>
  <c r="BH471" i="15"/>
  <c r="BI471" i="15"/>
  <c r="BJ471" i="15"/>
  <c r="BK471" i="15"/>
  <c r="BL471" i="15"/>
  <c r="BM471" i="15"/>
  <c r="BN471" i="15"/>
  <c r="BO471" i="15"/>
  <c r="BP471" i="15"/>
  <c r="BQ471" i="15"/>
  <c r="BR471" i="15"/>
  <c r="BS471" i="15"/>
  <c r="BT471" i="15"/>
  <c r="BU471" i="15"/>
  <c r="BV471" i="15"/>
  <c r="BW471" i="15"/>
  <c r="BX471" i="15"/>
  <c r="BY471" i="15"/>
  <c r="BZ471" i="15"/>
  <c r="CA471" i="15"/>
  <c r="CB471" i="15"/>
  <c r="CC471" i="15"/>
  <c r="CD471" i="15"/>
  <c r="CE471" i="15"/>
  <c r="CF471" i="15"/>
  <c r="CG471" i="15"/>
  <c r="CH471" i="15"/>
  <c r="CI471" i="15"/>
  <c r="CJ471" i="15"/>
  <c r="CK471" i="15"/>
  <c r="CL471" i="15"/>
  <c r="CM471" i="15"/>
  <c r="CN471" i="15"/>
  <c r="CO471" i="15"/>
  <c r="A472" i="15"/>
  <c r="B472" i="15"/>
  <c r="C472" i="15"/>
  <c r="D472" i="15"/>
  <c r="E472" i="15"/>
  <c r="F472" i="15"/>
  <c r="G472" i="15"/>
  <c r="H472" i="15"/>
  <c r="I472" i="15"/>
  <c r="J472" i="15"/>
  <c r="K472" i="15"/>
  <c r="L472" i="15"/>
  <c r="M472" i="15"/>
  <c r="N472" i="15"/>
  <c r="O472" i="15"/>
  <c r="P472" i="15"/>
  <c r="Q472" i="15"/>
  <c r="R472" i="15"/>
  <c r="S472" i="15"/>
  <c r="T472" i="15"/>
  <c r="U472" i="15"/>
  <c r="V472" i="15"/>
  <c r="W472" i="15"/>
  <c r="X472" i="15"/>
  <c r="Y472" i="15"/>
  <c r="Z472" i="15"/>
  <c r="AA472" i="15"/>
  <c r="AB472" i="15"/>
  <c r="AC472" i="15"/>
  <c r="AD472" i="15"/>
  <c r="AE472" i="15"/>
  <c r="AF472" i="15"/>
  <c r="AG472" i="15"/>
  <c r="AH472" i="15"/>
  <c r="AI472" i="15"/>
  <c r="AJ472" i="15"/>
  <c r="AK472" i="15"/>
  <c r="AL472" i="15"/>
  <c r="AM472" i="15"/>
  <c r="AN472" i="15"/>
  <c r="AO472" i="15"/>
  <c r="AP472" i="15"/>
  <c r="AQ472" i="15"/>
  <c r="AR472" i="15"/>
  <c r="AS472" i="15"/>
  <c r="AT472" i="15"/>
  <c r="AU472" i="15"/>
  <c r="AV472" i="15"/>
  <c r="AW472" i="15"/>
  <c r="AX472" i="15"/>
  <c r="AY472" i="15"/>
  <c r="AZ472" i="15"/>
  <c r="BA472" i="15"/>
  <c r="BB472" i="15"/>
  <c r="BC472" i="15"/>
  <c r="BD472" i="15"/>
  <c r="BE472" i="15"/>
  <c r="BF472" i="15"/>
  <c r="BG472" i="15"/>
  <c r="BH472" i="15"/>
  <c r="BI472" i="15"/>
  <c r="BJ472" i="15"/>
  <c r="BK472" i="15"/>
  <c r="BL472" i="15"/>
  <c r="BM472" i="15"/>
  <c r="BN472" i="15"/>
  <c r="BO472" i="15"/>
  <c r="BP472" i="15"/>
  <c r="BQ472" i="15"/>
  <c r="BR472" i="15"/>
  <c r="BS472" i="15"/>
  <c r="BT472" i="15"/>
  <c r="BU472" i="15"/>
  <c r="BV472" i="15"/>
  <c r="BW472" i="15"/>
  <c r="BX472" i="15"/>
  <c r="BY472" i="15"/>
  <c r="BZ472" i="15"/>
  <c r="CA472" i="15"/>
  <c r="CB472" i="15"/>
  <c r="CC472" i="15"/>
  <c r="CD472" i="15"/>
  <c r="CE472" i="15"/>
  <c r="CF472" i="15"/>
  <c r="CG472" i="15"/>
  <c r="CH472" i="15"/>
  <c r="CI472" i="15"/>
  <c r="CJ472" i="15"/>
  <c r="CK472" i="15"/>
  <c r="CL472" i="15"/>
  <c r="CM472" i="15"/>
  <c r="CN472" i="15"/>
  <c r="CO472" i="15"/>
  <c r="A473" i="15"/>
  <c r="B473" i="15"/>
  <c r="C473" i="15"/>
  <c r="D473" i="15"/>
  <c r="E473" i="15"/>
  <c r="F473" i="15"/>
  <c r="G473" i="15"/>
  <c r="H473" i="15"/>
  <c r="I473" i="15"/>
  <c r="J473" i="15"/>
  <c r="K473" i="15"/>
  <c r="L473" i="15"/>
  <c r="M473" i="15"/>
  <c r="N473" i="15"/>
  <c r="O473" i="15"/>
  <c r="P473" i="15"/>
  <c r="Q473" i="15"/>
  <c r="R473" i="15"/>
  <c r="S473" i="15"/>
  <c r="T473" i="15"/>
  <c r="U473" i="15"/>
  <c r="V473" i="15"/>
  <c r="W473" i="15"/>
  <c r="X473" i="15"/>
  <c r="Y473" i="15"/>
  <c r="Z473" i="15"/>
  <c r="AA473" i="15"/>
  <c r="AB473" i="15"/>
  <c r="AC473" i="15"/>
  <c r="AD473" i="15"/>
  <c r="AE473" i="15"/>
  <c r="AF473" i="15"/>
  <c r="AG473" i="15"/>
  <c r="AH473" i="15"/>
  <c r="AI473" i="15"/>
  <c r="AJ473" i="15"/>
  <c r="AK473" i="15"/>
  <c r="AL473" i="15"/>
  <c r="AM473" i="15"/>
  <c r="AN473" i="15"/>
  <c r="AO473" i="15"/>
  <c r="AP473" i="15"/>
  <c r="AQ473" i="15"/>
  <c r="AR473" i="15"/>
  <c r="AS473" i="15"/>
  <c r="AT473" i="15"/>
  <c r="AU473" i="15"/>
  <c r="AV473" i="15"/>
  <c r="AW473" i="15"/>
  <c r="AX473" i="15"/>
  <c r="AY473" i="15"/>
  <c r="AZ473" i="15"/>
  <c r="BA473" i="15"/>
  <c r="BB473" i="15"/>
  <c r="BC473" i="15"/>
  <c r="BD473" i="15"/>
  <c r="BE473" i="15"/>
  <c r="BF473" i="15"/>
  <c r="BG473" i="15"/>
  <c r="BH473" i="15"/>
  <c r="BI473" i="15"/>
  <c r="BJ473" i="15"/>
  <c r="BK473" i="15"/>
  <c r="BL473" i="15"/>
  <c r="BM473" i="15"/>
  <c r="BN473" i="15"/>
  <c r="BO473" i="15"/>
  <c r="BP473" i="15"/>
  <c r="BQ473" i="15"/>
  <c r="BR473" i="15"/>
  <c r="BS473" i="15"/>
  <c r="BT473" i="15"/>
  <c r="BU473" i="15"/>
  <c r="BV473" i="15"/>
  <c r="BW473" i="15"/>
  <c r="BX473" i="15"/>
  <c r="BY473" i="15"/>
  <c r="BZ473" i="15"/>
  <c r="CA473" i="15"/>
  <c r="CB473" i="15"/>
  <c r="CC473" i="15"/>
  <c r="CD473" i="15"/>
  <c r="CE473" i="15"/>
  <c r="CF473" i="15"/>
  <c r="CG473" i="15"/>
  <c r="CH473" i="15"/>
  <c r="CI473" i="15"/>
  <c r="CJ473" i="15"/>
  <c r="CK473" i="15"/>
  <c r="CL473" i="15"/>
  <c r="CM473" i="15"/>
  <c r="CN473" i="15"/>
  <c r="CO473" i="15"/>
  <c r="A474" i="15"/>
  <c r="B474" i="15"/>
  <c r="C474" i="15"/>
  <c r="D474" i="15"/>
  <c r="E474" i="15"/>
  <c r="F474" i="15"/>
  <c r="G474" i="15"/>
  <c r="H474" i="15"/>
  <c r="I474" i="15"/>
  <c r="J474" i="15"/>
  <c r="K474" i="15"/>
  <c r="L474" i="15"/>
  <c r="M474" i="15"/>
  <c r="N474" i="15"/>
  <c r="O474" i="15"/>
  <c r="P474" i="15"/>
  <c r="Q474" i="15"/>
  <c r="R474" i="15"/>
  <c r="S474" i="15"/>
  <c r="T474" i="15"/>
  <c r="U474" i="15"/>
  <c r="V474" i="15"/>
  <c r="W474" i="15"/>
  <c r="X474" i="15"/>
  <c r="Y474" i="15"/>
  <c r="Z474" i="15"/>
  <c r="AA474" i="15"/>
  <c r="AB474" i="15"/>
  <c r="AC474" i="15"/>
  <c r="AD474" i="15"/>
  <c r="AE474" i="15"/>
  <c r="AF474" i="15"/>
  <c r="AG474" i="15"/>
  <c r="AH474" i="15"/>
  <c r="AI474" i="15"/>
  <c r="AJ474" i="15"/>
  <c r="AK474" i="15"/>
  <c r="AL474" i="15"/>
  <c r="AM474" i="15"/>
  <c r="AN474" i="15"/>
  <c r="AO474" i="15"/>
  <c r="AP474" i="15"/>
  <c r="AQ474" i="15"/>
  <c r="AR474" i="15"/>
  <c r="AS474" i="15"/>
  <c r="AT474" i="15"/>
  <c r="AU474" i="15"/>
  <c r="AV474" i="15"/>
  <c r="AW474" i="15"/>
  <c r="AX474" i="15"/>
  <c r="AY474" i="15"/>
  <c r="AZ474" i="15"/>
  <c r="BA474" i="15"/>
  <c r="BB474" i="15"/>
  <c r="BC474" i="15"/>
  <c r="BD474" i="15"/>
  <c r="BE474" i="15"/>
  <c r="BF474" i="15"/>
  <c r="BG474" i="15"/>
  <c r="BH474" i="15"/>
  <c r="BI474" i="15"/>
  <c r="BJ474" i="15"/>
  <c r="BK474" i="15"/>
  <c r="BL474" i="15"/>
  <c r="BM474" i="15"/>
  <c r="BN474" i="15"/>
  <c r="BO474" i="15"/>
  <c r="BP474" i="15"/>
  <c r="BQ474" i="15"/>
  <c r="BR474" i="15"/>
  <c r="BS474" i="15"/>
  <c r="BT474" i="15"/>
  <c r="BU474" i="15"/>
  <c r="BV474" i="15"/>
  <c r="BW474" i="15"/>
  <c r="BX474" i="15"/>
  <c r="BY474" i="15"/>
  <c r="BZ474" i="15"/>
  <c r="CA474" i="15"/>
  <c r="CB474" i="15"/>
  <c r="CC474" i="15"/>
  <c r="CD474" i="15"/>
  <c r="CE474" i="15"/>
  <c r="CF474" i="15"/>
  <c r="CG474" i="15"/>
  <c r="CH474" i="15"/>
  <c r="CI474" i="15"/>
  <c r="CJ474" i="15"/>
  <c r="CK474" i="15"/>
  <c r="CL474" i="15"/>
  <c r="CM474" i="15"/>
  <c r="CN474" i="15"/>
  <c r="CO474" i="15"/>
  <c r="A475" i="15"/>
  <c r="B475" i="15"/>
  <c r="C475" i="15"/>
  <c r="D475" i="15"/>
  <c r="E475" i="15"/>
  <c r="F475" i="15"/>
  <c r="G475" i="15"/>
  <c r="H475" i="15"/>
  <c r="I475" i="15"/>
  <c r="J475" i="15"/>
  <c r="K475" i="15"/>
  <c r="L475" i="15"/>
  <c r="M475" i="15"/>
  <c r="N475" i="15"/>
  <c r="O475" i="15"/>
  <c r="P475" i="15"/>
  <c r="Q475" i="15"/>
  <c r="R475" i="15"/>
  <c r="S475" i="15"/>
  <c r="T475" i="15"/>
  <c r="U475" i="15"/>
  <c r="V475" i="15"/>
  <c r="W475" i="15"/>
  <c r="X475" i="15"/>
  <c r="Y475" i="15"/>
  <c r="Z475" i="15"/>
  <c r="AA475" i="15"/>
  <c r="AB475" i="15"/>
  <c r="AC475" i="15"/>
  <c r="AD475" i="15"/>
  <c r="AE475" i="15"/>
  <c r="AF475" i="15"/>
  <c r="AG475" i="15"/>
  <c r="AH475" i="15"/>
  <c r="AI475" i="15"/>
  <c r="AJ475" i="15"/>
  <c r="AK475" i="15"/>
  <c r="AL475" i="15"/>
  <c r="AM475" i="15"/>
  <c r="AN475" i="15"/>
  <c r="AO475" i="15"/>
  <c r="AP475" i="15"/>
  <c r="AQ475" i="15"/>
  <c r="AR475" i="15"/>
  <c r="AS475" i="15"/>
  <c r="AT475" i="15"/>
  <c r="AU475" i="15"/>
  <c r="AV475" i="15"/>
  <c r="AW475" i="15"/>
  <c r="AX475" i="15"/>
  <c r="AY475" i="15"/>
  <c r="AZ475" i="15"/>
  <c r="BA475" i="15"/>
  <c r="BB475" i="15"/>
  <c r="BC475" i="15"/>
  <c r="BD475" i="15"/>
  <c r="BE475" i="15"/>
  <c r="BF475" i="15"/>
  <c r="BG475" i="15"/>
  <c r="BH475" i="15"/>
  <c r="BI475" i="15"/>
  <c r="BJ475" i="15"/>
  <c r="BK475" i="15"/>
  <c r="BL475" i="15"/>
  <c r="BM475" i="15"/>
  <c r="BN475" i="15"/>
  <c r="BO475" i="15"/>
  <c r="BP475" i="15"/>
  <c r="BQ475" i="15"/>
  <c r="BR475" i="15"/>
  <c r="BS475" i="15"/>
  <c r="BT475" i="15"/>
  <c r="BU475" i="15"/>
  <c r="BV475" i="15"/>
  <c r="BW475" i="15"/>
  <c r="BX475" i="15"/>
  <c r="BY475" i="15"/>
  <c r="BZ475" i="15"/>
  <c r="CA475" i="15"/>
  <c r="CB475" i="15"/>
  <c r="CC475" i="15"/>
  <c r="CD475" i="15"/>
  <c r="CE475" i="15"/>
  <c r="CF475" i="15"/>
  <c r="CG475" i="15"/>
  <c r="CH475" i="15"/>
  <c r="CI475" i="15"/>
  <c r="CJ475" i="15"/>
  <c r="CK475" i="15"/>
  <c r="CL475" i="15"/>
  <c r="CM475" i="15"/>
  <c r="CN475" i="15"/>
  <c r="CO475" i="15"/>
  <c r="A476" i="15"/>
  <c r="B476" i="15"/>
  <c r="C476" i="15"/>
  <c r="D476" i="15"/>
  <c r="E476" i="15"/>
  <c r="F476" i="15"/>
  <c r="G476" i="15"/>
  <c r="H476" i="15"/>
  <c r="I476" i="15"/>
  <c r="J476" i="15"/>
  <c r="K476" i="15"/>
  <c r="L476" i="15"/>
  <c r="M476" i="15"/>
  <c r="N476" i="15"/>
  <c r="O476" i="15"/>
  <c r="P476" i="15"/>
  <c r="Q476" i="15"/>
  <c r="R476" i="15"/>
  <c r="S476" i="15"/>
  <c r="T476" i="15"/>
  <c r="U476" i="15"/>
  <c r="V476" i="15"/>
  <c r="W476" i="15"/>
  <c r="X476" i="15"/>
  <c r="Y476" i="15"/>
  <c r="Z476" i="15"/>
  <c r="AA476" i="15"/>
  <c r="AB476" i="15"/>
  <c r="AC476" i="15"/>
  <c r="AD476" i="15"/>
  <c r="AE476" i="15"/>
  <c r="AF476" i="15"/>
  <c r="AG476" i="15"/>
  <c r="AH476" i="15"/>
  <c r="AI476" i="15"/>
  <c r="AJ476" i="15"/>
  <c r="AK476" i="15"/>
  <c r="AL476" i="15"/>
  <c r="AM476" i="15"/>
  <c r="AN476" i="15"/>
  <c r="AO476" i="15"/>
  <c r="AP476" i="15"/>
  <c r="AQ476" i="15"/>
  <c r="AR476" i="15"/>
  <c r="AS476" i="15"/>
  <c r="AT476" i="15"/>
  <c r="AU476" i="15"/>
  <c r="AV476" i="15"/>
  <c r="AW476" i="15"/>
  <c r="AX476" i="15"/>
  <c r="AY476" i="15"/>
  <c r="AZ476" i="15"/>
  <c r="BA476" i="15"/>
  <c r="BB476" i="15"/>
  <c r="BC476" i="15"/>
  <c r="BD476" i="15"/>
  <c r="BE476" i="15"/>
  <c r="BF476" i="15"/>
  <c r="BG476" i="15"/>
  <c r="BH476" i="15"/>
  <c r="BI476" i="15"/>
  <c r="BJ476" i="15"/>
  <c r="BK476" i="15"/>
  <c r="BL476" i="15"/>
  <c r="BM476" i="15"/>
  <c r="BN476" i="15"/>
  <c r="BO476" i="15"/>
  <c r="BP476" i="15"/>
  <c r="BQ476" i="15"/>
  <c r="BR476" i="15"/>
  <c r="BS476" i="15"/>
  <c r="BT476" i="15"/>
  <c r="BU476" i="15"/>
  <c r="BV476" i="15"/>
  <c r="BW476" i="15"/>
  <c r="BX476" i="15"/>
  <c r="BY476" i="15"/>
  <c r="BZ476" i="15"/>
  <c r="CA476" i="15"/>
  <c r="CB476" i="15"/>
  <c r="CC476" i="15"/>
  <c r="CD476" i="15"/>
  <c r="CE476" i="15"/>
  <c r="CF476" i="15"/>
  <c r="CG476" i="15"/>
  <c r="CH476" i="15"/>
  <c r="CI476" i="15"/>
  <c r="CJ476" i="15"/>
  <c r="CK476" i="15"/>
  <c r="CL476" i="15"/>
  <c r="CM476" i="15"/>
  <c r="CN476" i="15"/>
  <c r="CO476" i="15"/>
  <c r="A477" i="15"/>
  <c r="B477" i="15"/>
  <c r="C477" i="15"/>
  <c r="D477" i="15"/>
  <c r="E477" i="15"/>
  <c r="F477" i="15"/>
  <c r="G477" i="15"/>
  <c r="H477" i="15"/>
  <c r="I477" i="15"/>
  <c r="J477" i="15"/>
  <c r="K477" i="15"/>
  <c r="L477" i="15"/>
  <c r="M477" i="15"/>
  <c r="N477" i="15"/>
  <c r="O477" i="15"/>
  <c r="P477" i="15"/>
  <c r="Q477" i="15"/>
  <c r="R477" i="15"/>
  <c r="S477" i="15"/>
  <c r="T477" i="15"/>
  <c r="U477" i="15"/>
  <c r="V477" i="15"/>
  <c r="W477" i="15"/>
  <c r="X477" i="15"/>
  <c r="Y477" i="15"/>
  <c r="Z477" i="15"/>
  <c r="AA477" i="15"/>
  <c r="AB477" i="15"/>
  <c r="AC477" i="15"/>
  <c r="AD477" i="15"/>
  <c r="AE477" i="15"/>
  <c r="AF477" i="15"/>
  <c r="AG477" i="15"/>
  <c r="AH477" i="15"/>
  <c r="AI477" i="15"/>
  <c r="AJ477" i="15"/>
  <c r="AK477" i="15"/>
  <c r="AL477" i="15"/>
  <c r="AM477" i="15"/>
  <c r="AN477" i="15"/>
  <c r="AO477" i="15"/>
  <c r="AP477" i="15"/>
  <c r="AQ477" i="15"/>
  <c r="AR477" i="15"/>
  <c r="AS477" i="15"/>
  <c r="AT477" i="15"/>
  <c r="AU477" i="15"/>
  <c r="AV477" i="15"/>
  <c r="AW477" i="15"/>
  <c r="AX477" i="15"/>
  <c r="AY477" i="15"/>
  <c r="AZ477" i="15"/>
  <c r="BA477" i="15"/>
  <c r="BB477" i="15"/>
  <c r="BC477" i="15"/>
  <c r="BD477" i="15"/>
  <c r="BE477" i="15"/>
  <c r="BF477" i="15"/>
  <c r="BG477" i="15"/>
  <c r="BH477" i="15"/>
  <c r="BI477" i="15"/>
  <c r="BJ477" i="15"/>
  <c r="BK477" i="15"/>
  <c r="BL477" i="15"/>
  <c r="BM477" i="15"/>
  <c r="BN477" i="15"/>
  <c r="BO477" i="15"/>
  <c r="BP477" i="15"/>
  <c r="BQ477" i="15"/>
  <c r="BR477" i="15"/>
  <c r="BS477" i="15"/>
  <c r="BT477" i="15"/>
  <c r="BU477" i="15"/>
  <c r="BV477" i="15"/>
  <c r="BW477" i="15"/>
  <c r="BX477" i="15"/>
  <c r="BY477" i="15"/>
  <c r="BZ477" i="15"/>
  <c r="CA477" i="15"/>
  <c r="CB477" i="15"/>
  <c r="CC477" i="15"/>
  <c r="CD477" i="15"/>
  <c r="CE477" i="15"/>
  <c r="CF477" i="15"/>
  <c r="CG477" i="15"/>
  <c r="CH477" i="15"/>
  <c r="CI477" i="15"/>
  <c r="CJ477" i="15"/>
  <c r="CK477" i="15"/>
  <c r="CL477" i="15"/>
  <c r="CM477" i="15"/>
  <c r="CN477" i="15"/>
  <c r="CO477" i="15"/>
  <c r="A478" i="15"/>
  <c r="B478" i="15"/>
  <c r="C478" i="15"/>
  <c r="D478" i="15"/>
  <c r="E478" i="15"/>
  <c r="F478" i="15"/>
  <c r="G478" i="15"/>
  <c r="H478" i="15"/>
  <c r="I478" i="15"/>
  <c r="J478" i="15"/>
  <c r="K478" i="15"/>
  <c r="L478" i="15"/>
  <c r="M478" i="15"/>
  <c r="N478" i="15"/>
  <c r="O478" i="15"/>
  <c r="P478" i="15"/>
  <c r="Q478" i="15"/>
  <c r="R478" i="15"/>
  <c r="S478" i="15"/>
  <c r="T478" i="15"/>
  <c r="U478" i="15"/>
  <c r="V478" i="15"/>
  <c r="W478" i="15"/>
  <c r="X478" i="15"/>
  <c r="Y478" i="15"/>
  <c r="Z478" i="15"/>
  <c r="AA478" i="15"/>
  <c r="AB478" i="15"/>
  <c r="AC478" i="15"/>
  <c r="AD478" i="15"/>
  <c r="AE478" i="15"/>
  <c r="AF478" i="15"/>
  <c r="AG478" i="15"/>
  <c r="AH478" i="15"/>
  <c r="AI478" i="15"/>
  <c r="AJ478" i="15"/>
  <c r="AK478" i="15"/>
  <c r="AL478" i="15"/>
  <c r="AM478" i="15"/>
  <c r="AN478" i="15"/>
  <c r="AO478" i="15"/>
  <c r="AP478" i="15"/>
  <c r="AQ478" i="15"/>
  <c r="AR478" i="15"/>
  <c r="AS478" i="15"/>
  <c r="AT478" i="15"/>
  <c r="AU478" i="15"/>
  <c r="AV478" i="15"/>
  <c r="AW478" i="15"/>
  <c r="AX478" i="15"/>
  <c r="AY478" i="15"/>
  <c r="AZ478" i="15"/>
  <c r="BA478" i="15"/>
  <c r="BB478" i="15"/>
  <c r="BC478" i="15"/>
  <c r="BD478" i="15"/>
  <c r="BE478" i="15"/>
  <c r="BF478" i="15"/>
  <c r="BG478" i="15"/>
  <c r="BH478" i="15"/>
  <c r="BI478" i="15"/>
  <c r="BJ478" i="15"/>
  <c r="BK478" i="15"/>
  <c r="BL478" i="15"/>
  <c r="BM478" i="15"/>
  <c r="BN478" i="15"/>
  <c r="BO478" i="15"/>
  <c r="BP478" i="15"/>
  <c r="BQ478" i="15"/>
  <c r="BR478" i="15"/>
  <c r="BS478" i="15"/>
  <c r="BT478" i="15"/>
  <c r="BU478" i="15"/>
  <c r="BV478" i="15"/>
  <c r="BW478" i="15"/>
  <c r="BX478" i="15"/>
  <c r="BY478" i="15"/>
  <c r="BZ478" i="15"/>
  <c r="CA478" i="15"/>
  <c r="CB478" i="15"/>
  <c r="CC478" i="15"/>
  <c r="CD478" i="15"/>
  <c r="CE478" i="15"/>
  <c r="CF478" i="15"/>
  <c r="CG478" i="15"/>
  <c r="CH478" i="15"/>
  <c r="CI478" i="15"/>
  <c r="CJ478" i="15"/>
  <c r="CK478" i="15"/>
  <c r="CL478" i="15"/>
  <c r="CM478" i="15"/>
  <c r="CN478" i="15"/>
  <c r="CO478" i="15"/>
  <c r="A479" i="15"/>
  <c r="B479" i="15"/>
  <c r="C479" i="15"/>
  <c r="D479" i="15"/>
  <c r="E479" i="15"/>
  <c r="F479" i="15"/>
  <c r="G479" i="15"/>
  <c r="H479" i="15"/>
  <c r="I479" i="15"/>
  <c r="J479" i="15"/>
  <c r="K479" i="15"/>
  <c r="L479" i="15"/>
  <c r="M479" i="15"/>
  <c r="N479" i="15"/>
  <c r="O479" i="15"/>
  <c r="P479" i="15"/>
  <c r="Q479" i="15"/>
  <c r="R479" i="15"/>
  <c r="S479" i="15"/>
  <c r="T479" i="15"/>
  <c r="U479" i="15"/>
  <c r="V479" i="15"/>
  <c r="W479" i="15"/>
  <c r="X479" i="15"/>
  <c r="Y479" i="15"/>
  <c r="Z479" i="15"/>
  <c r="AA479" i="15"/>
  <c r="AB479" i="15"/>
  <c r="AC479" i="15"/>
  <c r="AD479" i="15"/>
  <c r="AE479" i="15"/>
  <c r="AF479" i="15"/>
  <c r="AG479" i="15"/>
  <c r="AH479" i="15"/>
  <c r="AI479" i="15"/>
  <c r="AJ479" i="15"/>
  <c r="AK479" i="15"/>
  <c r="AL479" i="15"/>
  <c r="AM479" i="15"/>
  <c r="AN479" i="15"/>
  <c r="AO479" i="15"/>
  <c r="AP479" i="15"/>
  <c r="AQ479" i="15"/>
  <c r="AR479" i="15"/>
  <c r="AS479" i="15"/>
  <c r="AT479" i="15"/>
  <c r="AU479" i="15"/>
  <c r="AV479" i="15"/>
  <c r="AW479" i="15"/>
  <c r="AX479" i="15"/>
  <c r="AY479" i="15"/>
  <c r="AZ479" i="15"/>
  <c r="BA479" i="15"/>
  <c r="BB479" i="15"/>
  <c r="BC479" i="15"/>
  <c r="BD479" i="15"/>
  <c r="BE479" i="15"/>
  <c r="BF479" i="15"/>
  <c r="BG479" i="15"/>
  <c r="BH479" i="15"/>
  <c r="BI479" i="15"/>
  <c r="BJ479" i="15"/>
  <c r="BK479" i="15"/>
  <c r="BL479" i="15"/>
  <c r="BM479" i="15"/>
  <c r="BN479" i="15"/>
  <c r="BO479" i="15"/>
  <c r="BP479" i="15"/>
  <c r="BQ479" i="15"/>
  <c r="BR479" i="15"/>
  <c r="BS479" i="15"/>
  <c r="BT479" i="15"/>
  <c r="BU479" i="15"/>
  <c r="BV479" i="15"/>
  <c r="BW479" i="15"/>
  <c r="BX479" i="15"/>
  <c r="BY479" i="15"/>
  <c r="BZ479" i="15"/>
  <c r="CA479" i="15"/>
  <c r="CB479" i="15"/>
  <c r="CC479" i="15"/>
  <c r="CD479" i="15"/>
  <c r="CE479" i="15"/>
  <c r="CF479" i="15"/>
  <c r="CG479" i="15"/>
  <c r="CH479" i="15"/>
  <c r="CI479" i="15"/>
  <c r="CJ479" i="15"/>
  <c r="CK479" i="15"/>
  <c r="CL479" i="15"/>
  <c r="CM479" i="15"/>
  <c r="CN479" i="15"/>
  <c r="CO479" i="15"/>
  <c r="A480" i="15"/>
  <c r="B480" i="15"/>
  <c r="C480" i="15"/>
  <c r="D480" i="15"/>
  <c r="E480" i="15"/>
  <c r="F480" i="15"/>
  <c r="G480" i="15"/>
  <c r="H480" i="15"/>
  <c r="I480" i="15"/>
  <c r="J480" i="15"/>
  <c r="K480" i="15"/>
  <c r="L480" i="15"/>
  <c r="M480" i="15"/>
  <c r="N480" i="15"/>
  <c r="O480" i="15"/>
  <c r="P480" i="15"/>
  <c r="Q480" i="15"/>
  <c r="R480" i="15"/>
  <c r="S480" i="15"/>
  <c r="T480" i="15"/>
  <c r="U480" i="15"/>
  <c r="V480" i="15"/>
  <c r="W480" i="15"/>
  <c r="X480" i="15"/>
  <c r="Y480" i="15"/>
  <c r="Z480" i="15"/>
  <c r="AA480" i="15"/>
  <c r="AB480" i="15"/>
  <c r="AC480" i="15"/>
  <c r="AD480" i="15"/>
  <c r="AE480" i="15"/>
  <c r="AF480" i="15"/>
  <c r="AG480" i="15"/>
  <c r="AH480" i="15"/>
  <c r="AI480" i="15"/>
  <c r="AJ480" i="15"/>
  <c r="AK480" i="15"/>
  <c r="AL480" i="15"/>
  <c r="AM480" i="15"/>
  <c r="AN480" i="15"/>
  <c r="AO480" i="15"/>
  <c r="AP480" i="15"/>
  <c r="AQ480" i="15"/>
  <c r="AR480" i="15"/>
  <c r="AS480" i="15"/>
  <c r="AT480" i="15"/>
  <c r="AU480" i="15"/>
  <c r="AV480" i="15"/>
  <c r="AW480" i="15"/>
  <c r="AX480" i="15"/>
  <c r="AY480" i="15"/>
  <c r="AZ480" i="15"/>
  <c r="BA480" i="15"/>
  <c r="BB480" i="15"/>
  <c r="BC480" i="15"/>
  <c r="BD480" i="15"/>
  <c r="BE480" i="15"/>
  <c r="BF480" i="15"/>
  <c r="BG480" i="15"/>
  <c r="BH480" i="15"/>
  <c r="BI480" i="15"/>
  <c r="BJ480" i="15"/>
  <c r="BK480" i="15"/>
  <c r="BL480" i="15"/>
  <c r="BM480" i="15"/>
  <c r="BN480" i="15"/>
  <c r="BO480" i="15"/>
  <c r="BP480" i="15"/>
  <c r="BQ480" i="15"/>
  <c r="BR480" i="15"/>
  <c r="BS480" i="15"/>
  <c r="BT480" i="15"/>
  <c r="BU480" i="15"/>
  <c r="BV480" i="15"/>
  <c r="BW480" i="15"/>
  <c r="BX480" i="15"/>
  <c r="BY480" i="15"/>
  <c r="BZ480" i="15"/>
  <c r="CA480" i="15"/>
  <c r="CB480" i="15"/>
  <c r="CC480" i="15"/>
  <c r="CD480" i="15"/>
  <c r="CE480" i="15"/>
  <c r="CF480" i="15"/>
  <c r="CG480" i="15"/>
  <c r="CH480" i="15"/>
  <c r="CI480" i="15"/>
  <c r="CJ480" i="15"/>
  <c r="CK480" i="15"/>
  <c r="CL480" i="15"/>
  <c r="CM480" i="15"/>
  <c r="CN480" i="15"/>
  <c r="CO480" i="15"/>
  <c r="A481" i="15"/>
  <c r="B481" i="15"/>
  <c r="C481" i="15"/>
  <c r="D481" i="15"/>
  <c r="E481" i="15"/>
  <c r="F481" i="15"/>
  <c r="G481" i="15"/>
  <c r="H481" i="15"/>
  <c r="I481" i="15"/>
  <c r="J481" i="15"/>
  <c r="K481" i="15"/>
  <c r="L481" i="15"/>
  <c r="M481" i="15"/>
  <c r="N481" i="15"/>
  <c r="O481" i="15"/>
  <c r="P481" i="15"/>
  <c r="Q481" i="15"/>
  <c r="R481" i="15"/>
  <c r="S481" i="15"/>
  <c r="T481" i="15"/>
  <c r="U481" i="15"/>
  <c r="V481" i="15"/>
  <c r="W481" i="15"/>
  <c r="X481" i="15"/>
  <c r="Y481" i="15"/>
  <c r="Z481" i="15"/>
  <c r="AA481" i="15"/>
  <c r="AB481" i="15"/>
  <c r="AC481" i="15"/>
  <c r="AD481" i="15"/>
  <c r="AE481" i="15"/>
  <c r="AF481" i="15"/>
  <c r="AG481" i="15"/>
  <c r="AH481" i="15"/>
  <c r="AI481" i="15"/>
  <c r="AJ481" i="15"/>
  <c r="AK481" i="15"/>
  <c r="AL481" i="15"/>
  <c r="AM481" i="15"/>
  <c r="AN481" i="15"/>
  <c r="AO481" i="15"/>
  <c r="AP481" i="15"/>
  <c r="AQ481" i="15"/>
  <c r="AR481" i="15"/>
  <c r="AS481" i="15"/>
  <c r="AT481" i="15"/>
  <c r="AU481" i="15"/>
  <c r="AV481" i="15"/>
  <c r="AW481" i="15"/>
  <c r="AX481" i="15"/>
  <c r="AY481" i="15"/>
  <c r="AZ481" i="15"/>
  <c r="BA481" i="15"/>
  <c r="BB481" i="15"/>
  <c r="BC481" i="15"/>
  <c r="BD481" i="15"/>
  <c r="BE481" i="15"/>
  <c r="BF481" i="15"/>
  <c r="BG481" i="15"/>
  <c r="BH481" i="15"/>
  <c r="BI481" i="15"/>
  <c r="BJ481" i="15"/>
  <c r="BK481" i="15"/>
  <c r="BL481" i="15"/>
  <c r="BM481" i="15"/>
  <c r="BN481" i="15"/>
  <c r="BO481" i="15"/>
  <c r="BP481" i="15"/>
  <c r="BQ481" i="15"/>
  <c r="BR481" i="15"/>
  <c r="BS481" i="15"/>
  <c r="BT481" i="15"/>
  <c r="BU481" i="15"/>
  <c r="BV481" i="15"/>
  <c r="BW481" i="15"/>
  <c r="BX481" i="15"/>
  <c r="BY481" i="15"/>
  <c r="BZ481" i="15"/>
  <c r="CA481" i="15"/>
  <c r="CB481" i="15"/>
  <c r="CC481" i="15"/>
  <c r="CD481" i="15"/>
  <c r="CE481" i="15"/>
  <c r="CF481" i="15"/>
  <c r="CG481" i="15"/>
  <c r="CH481" i="15"/>
  <c r="CI481" i="15"/>
  <c r="CJ481" i="15"/>
  <c r="CK481" i="15"/>
  <c r="CL481" i="15"/>
  <c r="CM481" i="15"/>
  <c r="CN481" i="15"/>
  <c r="CO481" i="15"/>
  <c r="A482" i="15"/>
  <c r="B482" i="15"/>
  <c r="C482" i="15"/>
  <c r="D482" i="15"/>
  <c r="E482" i="15"/>
  <c r="F482" i="15"/>
  <c r="G482" i="15"/>
  <c r="H482" i="15"/>
  <c r="I482" i="15"/>
  <c r="J482" i="15"/>
  <c r="K482" i="15"/>
  <c r="L482" i="15"/>
  <c r="M482" i="15"/>
  <c r="N482" i="15"/>
  <c r="O482" i="15"/>
  <c r="P482" i="15"/>
  <c r="Q482" i="15"/>
  <c r="R482" i="15"/>
  <c r="S482" i="15"/>
  <c r="T482" i="15"/>
  <c r="U482" i="15"/>
  <c r="V482" i="15"/>
  <c r="W482" i="15"/>
  <c r="X482" i="15"/>
  <c r="Y482" i="15"/>
  <c r="Z482" i="15"/>
  <c r="AA482" i="15"/>
  <c r="AB482" i="15"/>
  <c r="AC482" i="15"/>
  <c r="AD482" i="15"/>
  <c r="AE482" i="15"/>
  <c r="AF482" i="15"/>
  <c r="AG482" i="15"/>
  <c r="AH482" i="15"/>
  <c r="AI482" i="15"/>
  <c r="AJ482" i="15"/>
  <c r="AK482" i="15"/>
  <c r="AL482" i="15"/>
  <c r="AM482" i="15"/>
  <c r="AN482" i="15"/>
  <c r="AO482" i="15"/>
  <c r="AP482" i="15"/>
  <c r="AQ482" i="15"/>
  <c r="AR482" i="15"/>
  <c r="AS482" i="15"/>
  <c r="AT482" i="15"/>
  <c r="AU482" i="15"/>
  <c r="AV482" i="15"/>
  <c r="AW482" i="15"/>
  <c r="AX482" i="15"/>
  <c r="AY482" i="15"/>
  <c r="AZ482" i="15"/>
  <c r="BA482" i="15"/>
  <c r="BB482" i="15"/>
  <c r="BC482" i="15"/>
  <c r="BD482" i="15"/>
  <c r="BE482" i="15"/>
  <c r="BF482" i="15"/>
  <c r="BG482" i="15"/>
  <c r="BH482" i="15"/>
  <c r="BI482" i="15"/>
  <c r="BJ482" i="15"/>
  <c r="BK482" i="15"/>
  <c r="BL482" i="15"/>
  <c r="BM482" i="15"/>
  <c r="BN482" i="15"/>
  <c r="BO482" i="15"/>
  <c r="BP482" i="15"/>
  <c r="BQ482" i="15"/>
  <c r="BR482" i="15"/>
  <c r="BS482" i="15"/>
  <c r="BT482" i="15"/>
  <c r="BU482" i="15"/>
  <c r="BV482" i="15"/>
  <c r="BW482" i="15"/>
  <c r="BX482" i="15"/>
  <c r="BY482" i="15"/>
  <c r="BZ482" i="15"/>
  <c r="CA482" i="15"/>
  <c r="CB482" i="15"/>
  <c r="CC482" i="15"/>
  <c r="CD482" i="15"/>
  <c r="CE482" i="15"/>
  <c r="CF482" i="15"/>
  <c r="CG482" i="15"/>
  <c r="CH482" i="15"/>
  <c r="CI482" i="15"/>
  <c r="CJ482" i="15"/>
  <c r="CK482" i="15"/>
  <c r="CL482" i="15"/>
  <c r="CM482" i="15"/>
  <c r="CN482" i="15"/>
  <c r="CO482" i="15"/>
  <c r="A483" i="15"/>
  <c r="B483" i="15"/>
  <c r="C483" i="15"/>
  <c r="D483" i="15"/>
  <c r="E483" i="15"/>
  <c r="F483" i="15"/>
  <c r="G483" i="15"/>
  <c r="H483" i="15"/>
  <c r="I483" i="15"/>
  <c r="J483" i="15"/>
  <c r="K483" i="15"/>
  <c r="L483" i="15"/>
  <c r="M483" i="15"/>
  <c r="N483" i="15"/>
  <c r="O483" i="15"/>
  <c r="P483" i="15"/>
  <c r="Q483" i="15"/>
  <c r="R483" i="15"/>
  <c r="S483" i="15"/>
  <c r="T483" i="15"/>
  <c r="U483" i="15"/>
  <c r="V483" i="15"/>
  <c r="W483" i="15"/>
  <c r="X483" i="15"/>
  <c r="Y483" i="15"/>
  <c r="Z483" i="15"/>
  <c r="AA483" i="15"/>
  <c r="AB483" i="15"/>
  <c r="AC483" i="15"/>
  <c r="AD483" i="15"/>
  <c r="AE483" i="15"/>
  <c r="AF483" i="15"/>
  <c r="AG483" i="15"/>
  <c r="AH483" i="15"/>
  <c r="AI483" i="15"/>
  <c r="AJ483" i="15"/>
  <c r="AK483" i="15"/>
  <c r="AL483" i="15"/>
  <c r="AM483" i="15"/>
  <c r="AN483" i="15"/>
  <c r="AO483" i="15"/>
  <c r="AP483" i="15"/>
  <c r="AQ483" i="15"/>
  <c r="AR483" i="15"/>
  <c r="AS483" i="15"/>
  <c r="AT483" i="15"/>
  <c r="AU483" i="15"/>
  <c r="AV483" i="15"/>
  <c r="AW483" i="15"/>
  <c r="AX483" i="15"/>
  <c r="AY483" i="15"/>
  <c r="AZ483" i="15"/>
  <c r="BA483" i="15"/>
  <c r="BB483" i="15"/>
  <c r="BC483" i="15"/>
  <c r="BD483" i="15"/>
  <c r="BE483" i="15"/>
  <c r="BF483" i="15"/>
  <c r="BG483" i="15"/>
  <c r="BH483" i="15"/>
  <c r="BI483" i="15"/>
  <c r="BJ483" i="15"/>
  <c r="BK483" i="15"/>
  <c r="BL483" i="15"/>
  <c r="BM483" i="15"/>
  <c r="BN483" i="15"/>
  <c r="BO483" i="15"/>
  <c r="BP483" i="15"/>
  <c r="BQ483" i="15"/>
  <c r="BR483" i="15"/>
  <c r="BS483" i="15"/>
  <c r="BT483" i="15"/>
  <c r="BU483" i="15"/>
  <c r="BV483" i="15"/>
  <c r="BW483" i="15"/>
  <c r="BX483" i="15"/>
  <c r="BY483" i="15"/>
  <c r="BZ483" i="15"/>
  <c r="CA483" i="15"/>
  <c r="CB483" i="15"/>
  <c r="CC483" i="15"/>
  <c r="CD483" i="15"/>
  <c r="CE483" i="15"/>
  <c r="CF483" i="15"/>
  <c r="CG483" i="15"/>
  <c r="CH483" i="15"/>
  <c r="CI483" i="15"/>
  <c r="CJ483" i="15"/>
  <c r="CK483" i="15"/>
  <c r="CL483" i="15"/>
  <c r="CM483" i="15"/>
  <c r="CN483" i="15"/>
  <c r="CO483" i="15"/>
  <c r="A484" i="15"/>
  <c r="B484" i="15"/>
  <c r="C484" i="15"/>
  <c r="D484" i="15"/>
  <c r="E484" i="15"/>
  <c r="F484" i="15"/>
  <c r="G484" i="15"/>
  <c r="H484" i="15"/>
  <c r="I484" i="15"/>
  <c r="J484" i="15"/>
  <c r="K484" i="15"/>
  <c r="L484" i="15"/>
  <c r="M484" i="15"/>
  <c r="N484" i="15"/>
  <c r="O484" i="15"/>
  <c r="P484" i="15"/>
  <c r="Q484" i="15"/>
  <c r="R484" i="15"/>
  <c r="S484" i="15"/>
  <c r="T484" i="15"/>
  <c r="U484" i="15"/>
  <c r="V484" i="15"/>
  <c r="W484" i="15"/>
  <c r="X484" i="15"/>
  <c r="Y484" i="15"/>
  <c r="Z484" i="15"/>
  <c r="AA484" i="15"/>
  <c r="AB484" i="15"/>
  <c r="AC484" i="15"/>
  <c r="AD484" i="15"/>
  <c r="AE484" i="15"/>
  <c r="AF484" i="15"/>
  <c r="AG484" i="15"/>
  <c r="AH484" i="15"/>
  <c r="AI484" i="15"/>
  <c r="AJ484" i="15"/>
  <c r="AK484" i="15"/>
  <c r="AL484" i="15"/>
  <c r="AM484" i="15"/>
  <c r="AN484" i="15"/>
  <c r="AO484" i="15"/>
  <c r="AP484" i="15"/>
  <c r="AQ484" i="15"/>
  <c r="AR484" i="15"/>
  <c r="AS484" i="15"/>
  <c r="AT484" i="15"/>
  <c r="AU484" i="15"/>
  <c r="AV484" i="15"/>
  <c r="AW484" i="15"/>
  <c r="AX484" i="15"/>
  <c r="AY484" i="15"/>
  <c r="AZ484" i="15"/>
  <c r="BA484" i="15"/>
  <c r="BB484" i="15"/>
  <c r="BC484" i="15"/>
  <c r="BD484" i="15"/>
  <c r="BE484" i="15"/>
  <c r="BF484" i="15"/>
  <c r="BG484" i="15"/>
  <c r="BH484" i="15"/>
  <c r="BI484" i="15"/>
  <c r="BJ484" i="15"/>
  <c r="BK484" i="15"/>
  <c r="BL484" i="15"/>
  <c r="BM484" i="15"/>
  <c r="BN484" i="15"/>
  <c r="BO484" i="15"/>
  <c r="BP484" i="15"/>
  <c r="BQ484" i="15"/>
  <c r="BR484" i="15"/>
  <c r="BS484" i="15"/>
  <c r="BT484" i="15"/>
  <c r="BU484" i="15"/>
  <c r="BV484" i="15"/>
  <c r="BW484" i="15"/>
  <c r="BX484" i="15"/>
  <c r="BY484" i="15"/>
  <c r="BZ484" i="15"/>
  <c r="CA484" i="15"/>
  <c r="CB484" i="15"/>
  <c r="CC484" i="15"/>
  <c r="CD484" i="15"/>
  <c r="CE484" i="15"/>
  <c r="CF484" i="15"/>
  <c r="CG484" i="15"/>
  <c r="CH484" i="15"/>
  <c r="CI484" i="15"/>
  <c r="CJ484" i="15"/>
  <c r="CK484" i="15"/>
  <c r="CL484" i="15"/>
  <c r="CM484" i="15"/>
  <c r="CN484" i="15"/>
  <c r="CO484" i="15"/>
  <c r="A485" i="15"/>
  <c r="B485" i="15"/>
  <c r="C485" i="15"/>
  <c r="D485" i="15"/>
  <c r="E485" i="15"/>
  <c r="F485" i="15"/>
  <c r="G485" i="15"/>
  <c r="H485" i="15"/>
  <c r="I485" i="15"/>
  <c r="J485" i="15"/>
  <c r="K485" i="15"/>
  <c r="L485" i="15"/>
  <c r="M485" i="15"/>
  <c r="N485" i="15"/>
  <c r="O485" i="15"/>
  <c r="P485" i="15"/>
  <c r="Q485" i="15"/>
  <c r="R485" i="15"/>
  <c r="S485" i="15"/>
  <c r="T485" i="15"/>
  <c r="U485" i="15"/>
  <c r="V485" i="15"/>
  <c r="W485" i="15"/>
  <c r="X485" i="15"/>
  <c r="Y485" i="15"/>
  <c r="Z485" i="15"/>
  <c r="AA485" i="15"/>
  <c r="AB485" i="15"/>
  <c r="AC485" i="15"/>
  <c r="AD485" i="15"/>
  <c r="AE485" i="15"/>
  <c r="AF485" i="15"/>
  <c r="AG485" i="15"/>
  <c r="AH485" i="15"/>
  <c r="AI485" i="15"/>
  <c r="AJ485" i="15"/>
  <c r="AK485" i="15"/>
  <c r="AL485" i="15"/>
  <c r="AM485" i="15"/>
  <c r="AN485" i="15"/>
  <c r="AO485" i="15"/>
  <c r="AP485" i="15"/>
  <c r="AQ485" i="15"/>
  <c r="AR485" i="15"/>
  <c r="AS485" i="15"/>
  <c r="AT485" i="15"/>
  <c r="AU485" i="15"/>
  <c r="AV485" i="15"/>
  <c r="AW485" i="15"/>
  <c r="AX485" i="15"/>
  <c r="AY485" i="15"/>
  <c r="AZ485" i="15"/>
  <c r="BA485" i="15"/>
  <c r="BB485" i="15"/>
  <c r="BC485" i="15"/>
  <c r="BD485" i="15"/>
  <c r="BE485" i="15"/>
  <c r="BF485" i="15"/>
  <c r="BG485" i="15"/>
  <c r="BH485" i="15"/>
  <c r="BI485" i="15"/>
  <c r="BJ485" i="15"/>
  <c r="BK485" i="15"/>
  <c r="BL485" i="15"/>
  <c r="BM485" i="15"/>
  <c r="BN485" i="15"/>
  <c r="BO485" i="15"/>
  <c r="BP485" i="15"/>
  <c r="BQ485" i="15"/>
  <c r="BR485" i="15"/>
  <c r="BS485" i="15"/>
  <c r="BT485" i="15"/>
  <c r="BU485" i="15"/>
  <c r="BV485" i="15"/>
  <c r="BW485" i="15"/>
  <c r="BX485" i="15"/>
  <c r="BY485" i="15"/>
  <c r="BZ485" i="15"/>
  <c r="CA485" i="15"/>
  <c r="CB485" i="15"/>
  <c r="CC485" i="15"/>
  <c r="CD485" i="15"/>
  <c r="CE485" i="15"/>
  <c r="CF485" i="15"/>
  <c r="CG485" i="15"/>
  <c r="CH485" i="15"/>
  <c r="CI485" i="15"/>
  <c r="CJ485" i="15"/>
  <c r="CK485" i="15"/>
  <c r="CL485" i="15"/>
  <c r="CM485" i="15"/>
  <c r="CN485" i="15"/>
  <c r="CO485" i="15"/>
  <c r="A486" i="15"/>
  <c r="B486" i="15"/>
  <c r="C486" i="15"/>
  <c r="D486" i="15"/>
  <c r="E486" i="15"/>
  <c r="F486" i="15"/>
  <c r="G486" i="15"/>
  <c r="H486" i="15"/>
  <c r="I486" i="15"/>
  <c r="J486" i="15"/>
  <c r="K486" i="15"/>
  <c r="L486" i="15"/>
  <c r="M486" i="15"/>
  <c r="N486" i="15"/>
  <c r="O486" i="15"/>
  <c r="P486" i="15"/>
  <c r="Q486" i="15"/>
  <c r="R486" i="15"/>
  <c r="S486" i="15"/>
  <c r="T486" i="15"/>
  <c r="U486" i="15"/>
  <c r="V486" i="15"/>
  <c r="W486" i="15"/>
  <c r="X486" i="15"/>
  <c r="Y486" i="15"/>
  <c r="Z486" i="15"/>
  <c r="AA486" i="15"/>
  <c r="AB486" i="15"/>
  <c r="AC486" i="15"/>
  <c r="AD486" i="15"/>
  <c r="AE486" i="15"/>
  <c r="AF486" i="15"/>
  <c r="AG486" i="15"/>
  <c r="AH486" i="15"/>
  <c r="AI486" i="15"/>
  <c r="AJ486" i="15"/>
  <c r="AK486" i="15"/>
  <c r="AL486" i="15"/>
  <c r="AM486" i="15"/>
  <c r="AN486" i="15"/>
  <c r="AO486" i="15"/>
  <c r="AP486" i="15"/>
  <c r="AQ486" i="15"/>
  <c r="AR486" i="15"/>
  <c r="AS486" i="15"/>
  <c r="AT486" i="15"/>
  <c r="AU486" i="15"/>
  <c r="AV486" i="15"/>
  <c r="AW486" i="15"/>
  <c r="AX486" i="15"/>
  <c r="AY486" i="15"/>
  <c r="AZ486" i="15"/>
  <c r="BA486" i="15"/>
  <c r="BB486" i="15"/>
  <c r="BC486" i="15"/>
  <c r="BD486" i="15"/>
  <c r="BE486" i="15"/>
  <c r="BF486" i="15"/>
  <c r="BG486" i="15"/>
  <c r="BH486" i="15"/>
  <c r="BI486" i="15"/>
  <c r="BJ486" i="15"/>
  <c r="BK486" i="15"/>
  <c r="BL486" i="15"/>
  <c r="BM486" i="15"/>
  <c r="BN486" i="15"/>
  <c r="BO486" i="15"/>
  <c r="BP486" i="15"/>
  <c r="BQ486" i="15"/>
  <c r="BR486" i="15"/>
  <c r="BS486" i="15"/>
  <c r="BT486" i="15"/>
  <c r="BU486" i="15"/>
  <c r="BV486" i="15"/>
  <c r="BW486" i="15"/>
  <c r="BX486" i="15"/>
  <c r="BY486" i="15"/>
  <c r="BZ486" i="15"/>
  <c r="CA486" i="15"/>
  <c r="CB486" i="15"/>
  <c r="CC486" i="15"/>
  <c r="CD486" i="15"/>
  <c r="CE486" i="15"/>
  <c r="CF486" i="15"/>
  <c r="CG486" i="15"/>
  <c r="CH486" i="15"/>
  <c r="CI486" i="15"/>
  <c r="CJ486" i="15"/>
  <c r="CK486" i="15"/>
  <c r="CL486" i="15"/>
  <c r="CM486" i="15"/>
  <c r="CN486" i="15"/>
  <c r="CO486" i="15"/>
  <c r="A487" i="15"/>
  <c r="B487" i="15"/>
  <c r="C487" i="15"/>
  <c r="D487" i="15"/>
  <c r="E487" i="15"/>
  <c r="F487" i="15"/>
  <c r="G487" i="15"/>
  <c r="H487" i="15"/>
  <c r="I487" i="15"/>
  <c r="J487" i="15"/>
  <c r="K487" i="15"/>
  <c r="L487" i="15"/>
  <c r="M487" i="15"/>
  <c r="N487" i="15"/>
  <c r="O487" i="15"/>
  <c r="P487" i="15"/>
  <c r="Q487" i="15"/>
  <c r="R487" i="15"/>
  <c r="S487" i="15"/>
  <c r="T487" i="15"/>
  <c r="U487" i="15"/>
  <c r="V487" i="15"/>
  <c r="W487" i="15"/>
  <c r="X487" i="15"/>
  <c r="Y487" i="15"/>
  <c r="Z487" i="15"/>
  <c r="AA487" i="15"/>
  <c r="AB487" i="15"/>
  <c r="AC487" i="15"/>
  <c r="AD487" i="15"/>
  <c r="AE487" i="15"/>
  <c r="AF487" i="15"/>
  <c r="AG487" i="15"/>
  <c r="AH487" i="15"/>
  <c r="AI487" i="15"/>
  <c r="AJ487" i="15"/>
  <c r="AK487" i="15"/>
  <c r="AL487" i="15"/>
  <c r="AM487" i="15"/>
  <c r="AN487" i="15"/>
  <c r="AO487" i="15"/>
  <c r="AP487" i="15"/>
  <c r="AQ487" i="15"/>
  <c r="AR487" i="15"/>
  <c r="AS487" i="15"/>
  <c r="AT487" i="15"/>
  <c r="AU487" i="15"/>
  <c r="AV487" i="15"/>
  <c r="AW487" i="15"/>
  <c r="AX487" i="15"/>
  <c r="AY487" i="15"/>
  <c r="AZ487" i="15"/>
  <c r="BA487" i="15"/>
  <c r="BB487" i="15"/>
  <c r="BC487" i="15"/>
  <c r="BD487" i="15"/>
  <c r="BE487" i="15"/>
  <c r="BF487" i="15"/>
  <c r="BG487" i="15"/>
  <c r="BH487" i="15"/>
  <c r="BI487" i="15"/>
  <c r="BJ487" i="15"/>
  <c r="BK487" i="15"/>
  <c r="BL487" i="15"/>
  <c r="BM487" i="15"/>
  <c r="BN487" i="15"/>
  <c r="BO487" i="15"/>
  <c r="BP487" i="15"/>
  <c r="BQ487" i="15"/>
  <c r="BR487" i="15"/>
  <c r="BS487" i="15"/>
  <c r="BT487" i="15"/>
  <c r="BU487" i="15"/>
  <c r="BV487" i="15"/>
  <c r="BW487" i="15"/>
  <c r="BX487" i="15"/>
  <c r="BY487" i="15"/>
  <c r="BZ487" i="15"/>
  <c r="CA487" i="15"/>
  <c r="CB487" i="15"/>
  <c r="CC487" i="15"/>
  <c r="CD487" i="15"/>
  <c r="CE487" i="15"/>
  <c r="CF487" i="15"/>
  <c r="CG487" i="15"/>
  <c r="CH487" i="15"/>
  <c r="CI487" i="15"/>
  <c r="CJ487" i="15"/>
  <c r="CK487" i="15"/>
  <c r="CL487" i="15"/>
  <c r="CM487" i="15"/>
  <c r="CN487" i="15"/>
  <c r="CO487" i="15"/>
  <c r="A488" i="15"/>
  <c r="B488" i="15"/>
  <c r="C488" i="15"/>
  <c r="D488" i="15"/>
  <c r="E488" i="15"/>
  <c r="F488" i="15"/>
  <c r="G488" i="15"/>
  <c r="H488" i="15"/>
  <c r="I488" i="15"/>
  <c r="J488" i="15"/>
  <c r="K488" i="15"/>
  <c r="L488" i="15"/>
  <c r="M488" i="15"/>
  <c r="N488" i="15"/>
  <c r="O488" i="15"/>
  <c r="P488" i="15"/>
  <c r="Q488" i="15"/>
  <c r="R488" i="15"/>
  <c r="S488" i="15"/>
  <c r="T488" i="15"/>
  <c r="U488" i="15"/>
  <c r="V488" i="15"/>
  <c r="W488" i="15"/>
  <c r="X488" i="15"/>
  <c r="Y488" i="15"/>
  <c r="Z488" i="15"/>
  <c r="AA488" i="15"/>
  <c r="AB488" i="15"/>
  <c r="AC488" i="15"/>
  <c r="AD488" i="15"/>
  <c r="AE488" i="15"/>
  <c r="AF488" i="15"/>
  <c r="AG488" i="15"/>
  <c r="AH488" i="15"/>
  <c r="AI488" i="15"/>
  <c r="AJ488" i="15"/>
  <c r="AK488" i="15"/>
  <c r="AL488" i="15"/>
  <c r="AM488" i="15"/>
  <c r="AN488" i="15"/>
  <c r="AO488" i="15"/>
  <c r="AP488" i="15"/>
  <c r="AQ488" i="15"/>
  <c r="AR488" i="15"/>
  <c r="AS488" i="15"/>
  <c r="AT488" i="15"/>
  <c r="AU488" i="15"/>
  <c r="AV488" i="15"/>
  <c r="AW488" i="15"/>
  <c r="AX488" i="15"/>
  <c r="AY488" i="15"/>
  <c r="AZ488" i="15"/>
  <c r="BA488" i="15"/>
  <c r="BB488" i="15"/>
  <c r="BC488" i="15"/>
  <c r="BD488" i="15"/>
  <c r="BE488" i="15"/>
  <c r="BF488" i="15"/>
  <c r="BG488" i="15"/>
  <c r="BH488" i="15"/>
  <c r="BI488" i="15"/>
  <c r="BJ488" i="15"/>
  <c r="BK488" i="15"/>
  <c r="BL488" i="15"/>
  <c r="BM488" i="15"/>
  <c r="BN488" i="15"/>
  <c r="BO488" i="15"/>
  <c r="BP488" i="15"/>
  <c r="BQ488" i="15"/>
  <c r="BR488" i="15"/>
  <c r="BS488" i="15"/>
  <c r="BT488" i="15"/>
  <c r="BU488" i="15"/>
  <c r="BV488" i="15"/>
  <c r="BW488" i="15"/>
  <c r="BX488" i="15"/>
  <c r="BY488" i="15"/>
  <c r="BZ488" i="15"/>
  <c r="CA488" i="15"/>
  <c r="CB488" i="15"/>
  <c r="CC488" i="15"/>
  <c r="CD488" i="15"/>
  <c r="CE488" i="15"/>
  <c r="CF488" i="15"/>
  <c r="CG488" i="15"/>
  <c r="CH488" i="15"/>
  <c r="CI488" i="15"/>
  <c r="CJ488" i="15"/>
  <c r="CK488" i="15"/>
  <c r="CL488" i="15"/>
  <c r="CM488" i="15"/>
  <c r="CN488" i="15"/>
  <c r="CO488" i="15"/>
  <c r="A489" i="15"/>
  <c r="B489" i="15"/>
  <c r="C489" i="15"/>
  <c r="D489" i="15"/>
  <c r="E489" i="15"/>
  <c r="F489" i="15"/>
  <c r="G489" i="15"/>
  <c r="H489" i="15"/>
  <c r="I489" i="15"/>
  <c r="J489" i="15"/>
  <c r="K489" i="15"/>
  <c r="L489" i="15"/>
  <c r="M489" i="15"/>
  <c r="N489" i="15"/>
  <c r="O489" i="15"/>
  <c r="P489" i="15"/>
  <c r="Q489" i="15"/>
  <c r="R489" i="15"/>
  <c r="S489" i="15"/>
  <c r="T489" i="15"/>
  <c r="U489" i="15"/>
  <c r="V489" i="15"/>
  <c r="W489" i="15"/>
  <c r="X489" i="15"/>
  <c r="Y489" i="15"/>
  <c r="Z489" i="15"/>
  <c r="AA489" i="15"/>
  <c r="AB489" i="15"/>
  <c r="AC489" i="15"/>
  <c r="AD489" i="15"/>
  <c r="AE489" i="15"/>
  <c r="AF489" i="15"/>
  <c r="AG489" i="15"/>
  <c r="AH489" i="15"/>
  <c r="AI489" i="15"/>
  <c r="AJ489" i="15"/>
  <c r="AK489" i="15"/>
  <c r="AL489" i="15"/>
  <c r="AM489" i="15"/>
  <c r="AN489" i="15"/>
  <c r="AO489" i="15"/>
  <c r="AP489" i="15"/>
  <c r="AQ489" i="15"/>
  <c r="AR489" i="15"/>
  <c r="AS489" i="15"/>
  <c r="AT489" i="15"/>
  <c r="AU489" i="15"/>
  <c r="AV489" i="15"/>
  <c r="AW489" i="15"/>
  <c r="AX489" i="15"/>
  <c r="AY489" i="15"/>
  <c r="AZ489" i="15"/>
  <c r="BA489" i="15"/>
  <c r="BB489" i="15"/>
  <c r="BC489" i="15"/>
  <c r="BD489" i="15"/>
  <c r="BE489" i="15"/>
  <c r="BF489" i="15"/>
  <c r="BG489" i="15"/>
  <c r="BH489" i="15"/>
  <c r="BI489" i="15"/>
  <c r="BJ489" i="15"/>
  <c r="BK489" i="15"/>
  <c r="BL489" i="15"/>
  <c r="BM489" i="15"/>
  <c r="BN489" i="15"/>
  <c r="BO489" i="15"/>
  <c r="BP489" i="15"/>
  <c r="BQ489" i="15"/>
  <c r="BR489" i="15"/>
  <c r="BS489" i="15"/>
  <c r="BT489" i="15"/>
  <c r="BU489" i="15"/>
  <c r="BV489" i="15"/>
  <c r="BW489" i="15"/>
  <c r="BX489" i="15"/>
  <c r="BY489" i="15"/>
  <c r="BZ489" i="15"/>
  <c r="CA489" i="15"/>
  <c r="CB489" i="15"/>
  <c r="CC489" i="15"/>
  <c r="CD489" i="15"/>
  <c r="CE489" i="15"/>
  <c r="CF489" i="15"/>
  <c r="CG489" i="15"/>
  <c r="CH489" i="15"/>
  <c r="CI489" i="15"/>
  <c r="CJ489" i="15"/>
  <c r="CK489" i="15"/>
  <c r="CL489" i="15"/>
  <c r="CM489" i="15"/>
  <c r="CN489" i="15"/>
  <c r="CO489" i="15"/>
  <c r="A490" i="15"/>
  <c r="B490" i="15"/>
  <c r="C490" i="15"/>
  <c r="D490" i="15"/>
  <c r="E490" i="15"/>
  <c r="F490" i="15"/>
  <c r="G490" i="15"/>
  <c r="H490" i="15"/>
  <c r="I490" i="15"/>
  <c r="J490" i="15"/>
  <c r="K490" i="15"/>
  <c r="L490" i="15"/>
  <c r="M490" i="15"/>
  <c r="N490" i="15"/>
  <c r="O490" i="15"/>
  <c r="P490" i="15"/>
  <c r="Q490" i="15"/>
  <c r="R490" i="15"/>
  <c r="S490" i="15"/>
  <c r="T490" i="15"/>
  <c r="U490" i="15"/>
  <c r="V490" i="15"/>
  <c r="W490" i="15"/>
  <c r="X490" i="15"/>
  <c r="Y490" i="15"/>
  <c r="Z490" i="15"/>
  <c r="AA490" i="15"/>
  <c r="AB490" i="15"/>
  <c r="AC490" i="15"/>
  <c r="AD490" i="15"/>
  <c r="AE490" i="15"/>
  <c r="AF490" i="15"/>
  <c r="AG490" i="15"/>
  <c r="AH490" i="15"/>
  <c r="AI490" i="15"/>
  <c r="AJ490" i="15"/>
  <c r="AK490" i="15"/>
  <c r="AL490" i="15"/>
  <c r="AM490" i="15"/>
  <c r="AN490" i="15"/>
  <c r="AO490" i="15"/>
  <c r="AP490" i="15"/>
  <c r="AQ490" i="15"/>
  <c r="AR490" i="15"/>
  <c r="AS490" i="15"/>
  <c r="AT490" i="15"/>
  <c r="AU490" i="15"/>
  <c r="AV490" i="15"/>
  <c r="AW490" i="15"/>
  <c r="AX490" i="15"/>
  <c r="AY490" i="15"/>
  <c r="AZ490" i="15"/>
  <c r="BA490" i="15"/>
  <c r="BB490" i="15"/>
  <c r="BC490" i="15"/>
  <c r="BD490" i="15"/>
  <c r="BE490" i="15"/>
  <c r="BF490" i="15"/>
  <c r="BG490" i="15"/>
  <c r="BH490" i="15"/>
  <c r="BI490" i="15"/>
  <c r="BJ490" i="15"/>
  <c r="BK490" i="15"/>
  <c r="BL490" i="15"/>
  <c r="BM490" i="15"/>
  <c r="BN490" i="15"/>
  <c r="BO490" i="15"/>
  <c r="BP490" i="15"/>
  <c r="BQ490" i="15"/>
  <c r="BR490" i="15"/>
  <c r="BS490" i="15"/>
  <c r="BT490" i="15"/>
  <c r="BU490" i="15"/>
  <c r="BV490" i="15"/>
  <c r="BW490" i="15"/>
  <c r="BX490" i="15"/>
  <c r="BY490" i="15"/>
  <c r="BZ490" i="15"/>
  <c r="CA490" i="15"/>
  <c r="CB490" i="15"/>
  <c r="CC490" i="15"/>
  <c r="CD490" i="15"/>
  <c r="CE490" i="15"/>
  <c r="CF490" i="15"/>
  <c r="CG490" i="15"/>
  <c r="CH490" i="15"/>
  <c r="CI490" i="15"/>
  <c r="CJ490" i="15"/>
  <c r="CK490" i="15"/>
  <c r="CL490" i="15"/>
  <c r="CM490" i="15"/>
  <c r="CN490" i="15"/>
  <c r="CO490" i="15"/>
  <c r="A491" i="15"/>
  <c r="B491" i="15"/>
  <c r="C491" i="15"/>
  <c r="D491" i="15"/>
  <c r="E491" i="15"/>
  <c r="F491" i="15"/>
  <c r="G491" i="15"/>
  <c r="H491" i="15"/>
  <c r="I491" i="15"/>
  <c r="J491" i="15"/>
  <c r="K491" i="15"/>
  <c r="L491" i="15"/>
  <c r="M491" i="15"/>
  <c r="N491" i="15"/>
  <c r="O491" i="15"/>
  <c r="P491" i="15"/>
  <c r="Q491" i="15"/>
  <c r="R491" i="15"/>
  <c r="S491" i="15"/>
  <c r="T491" i="15"/>
  <c r="U491" i="15"/>
  <c r="V491" i="15"/>
  <c r="W491" i="15"/>
  <c r="X491" i="15"/>
  <c r="Y491" i="15"/>
  <c r="Z491" i="15"/>
  <c r="AA491" i="15"/>
  <c r="AB491" i="15"/>
  <c r="AC491" i="15"/>
  <c r="AD491" i="15"/>
  <c r="AE491" i="15"/>
  <c r="AF491" i="15"/>
  <c r="AG491" i="15"/>
  <c r="AH491" i="15"/>
  <c r="AI491" i="15"/>
  <c r="AJ491" i="15"/>
  <c r="AK491" i="15"/>
  <c r="AL491" i="15"/>
  <c r="AM491" i="15"/>
  <c r="AN491" i="15"/>
  <c r="AO491" i="15"/>
  <c r="AP491" i="15"/>
  <c r="AQ491" i="15"/>
  <c r="AR491" i="15"/>
  <c r="AS491" i="15"/>
  <c r="AT491" i="15"/>
  <c r="AU491" i="15"/>
  <c r="AV491" i="15"/>
  <c r="AW491" i="15"/>
  <c r="AX491" i="15"/>
  <c r="AY491" i="15"/>
  <c r="AZ491" i="15"/>
  <c r="BA491" i="15"/>
  <c r="BB491" i="15"/>
  <c r="BC491" i="15"/>
  <c r="BD491" i="15"/>
  <c r="BE491" i="15"/>
  <c r="BF491" i="15"/>
  <c r="BG491" i="15"/>
  <c r="BH491" i="15"/>
  <c r="BI491" i="15"/>
  <c r="BJ491" i="15"/>
  <c r="BK491" i="15"/>
  <c r="BL491" i="15"/>
  <c r="BM491" i="15"/>
  <c r="BN491" i="15"/>
  <c r="BO491" i="15"/>
  <c r="BP491" i="15"/>
  <c r="BQ491" i="15"/>
  <c r="BR491" i="15"/>
  <c r="BS491" i="15"/>
  <c r="BT491" i="15"/>
  <c r="BU491" i="15"/>
  <c r="BV491" i="15"/>
  <c r="BW491" i="15"/>
  <c r="BX491" i="15"/>
  <c r="BY491" i="15"/>
  <c r="BZ491" i="15"/>
  <c r="CA491" i="15"/>
  <c r="CB491" i="15"/>
  <c r="CC491" i="15"/>
  <c r="CD491" i="15"/>
  <c r="CE491" i="15"/>
  <c r="CF491" i="15"/>
  <c r="CG491" i="15"/>
  <c r="CH491" i="15"/>
  <c r="CI491" i="15"/>
  <c r="CJ491" i="15"/>
  <c r="CK491" i="15"/>
  <c r="CL491" i="15"/>
  <c r="CM491" i="15"/>
  <c r="CN491" i="15"/>
  <c r="CO491" i="15"/>
  <c r="A492" i="15"/>
  <c r="B492" i="15"/>
  <c r="C492" i="15"/>
  <c r="D492" i="15"/>
  <c r="E492" i="15"/>
  <c r="F492" i="15"/>
  <c r="G492" i="15"/>
  <c r="H492" i="15"/>
  <c r="I492" i="15"/>
  <c r="J492" i="15"/>
  <c r="K492" i="15"/>
  <c r="L492" i="15"/>
  <c r="M492" i="15"/>
  <c r="N492" i="15"/>
  <c r="O492" i="15"/>
  <c r="P492" i="15"/>
  <c r="Q492" i="15"/>
  <c r="R492" i="15"/>
  <c r="S492" i="15"/>
  <c r="T492" i="15"/>
  <c r="U492" i="15"/>
  <c r="V492" i="15"/>
  <c r="W492" i="15"/>
  <c r="X492" i="15"/>
  <c r="Y492" i="15"/>
  <c r="Z492" i="15"/>
  <c r="AA492" i="15"/>
  <c r="AB492" i="15"/>
  <c r="AC492" i="15"/>
  <c r="AD492" i="15"/>
  <c r="AE492" i="15"/>
  <c r="AF492" i="15"/>
  <c r="AG492" i="15"/>
  <c r="AH492" i="15"/>
  <c r="AI492" i="15"/>
  <c r="AJ492" i="15"/>
  <c r="AK492" i="15"/>
  <c r="AL492" i="15"/>
  <c r="AM492" i="15"/>
  <c r="AN492" i="15"/>
  <c r="AO492" i="15"/>
  <c r="AP492" i="15"/>
  <c r="AQ492" i="15"/>
  <c r="AR492" i="15"/>
  <c r="AS492" i="15"/>
  <c r="AT492" i="15"/>
  <c r="AU492" i="15"/>
  <c r="AV492" i="15"/>
  <c r="AW492" i="15"/>
  <c r="AX492" i="15"/>
  <c r="AY492" i="15"/>
  <c r="AZ492" i="15"/>
  <c r="BA492" i="15"/>
  <c r="BB492" i="15"/>
  <c r="BC492" i="15"/>
  <c r="BD492" i="15"/>
  <c r="BE492" i="15"/>
  <c r="BF492" i="15"/>
  <c r="BG492" i="15"/>
  <c r="BH492" i="15"/>
  <c r="BI492" i="15"/>
  <c r="BJ492" i="15"/>
  <c r="BK492" i="15"/>
  <c r="BL492" i="15"/>
  <c r="BM492" i="15"/>
  <c r="BN492" i="15"/>
  <c r="BO492" i="15"/>
  <c r="BP492" i="15"/>
  <c r="BQ492" i="15"/>
  <c r="BR492" i="15"/>
  <c r="BS492" i="15"/>
  <c r="BT492" i="15"/>
  <c r="BU492" i="15"/>
  <c r="BV492" i="15"/>
  <c r="BW492" i="15"/>
  <c r="BX492" i="15"/>
  <c r="BY492" i="15"/>
  <c r="BZ492" i="15"/>
  <c r="CA492" i="15"/>
  <c r="CB492" i="15"/>
  <c r="CC492" i="15"/>
  <c r="CD492" i="15"/>
  <c r="CE492" i="15"/>
  <c r="CF492" i="15"/>
  <c r="CG492" i="15"/>
  <c r="CH492" i="15"/>
  <c r="CI492" i="15"/>
  <c r="CJ492" i="15"/>
  <c r="CK492" i="15"/>
  <c r="CL492" i="15"/>
  <c r="CM492" i="15"/>
  <c r="CN492" i="15"/>
  <c r="CO492" i="15"/>
  <c r="A493" i="15"/>
  <c r="B493" i="15"/>
  <c r="C493" i="15"/>
  <c r="D493" i="15"/>
  <c r="E493" i="15"/>
  <c r="F493" i="15"/>
  <c r="G493" i="15"/>
  <c r="H493" i="15"/>
  <c r="I493" i="15"/>
  <c r="J493" i="15"/>
  <c r="K493" i="15"/>
  <c r="L493" i="15"/>
  <c r="M493" i="15"/>
  <c r="N493" i="15"/>
  <c r="O493" i="15"/>
  <c r="P493" i="15"/>
  <c r="Q493" i="15"/>
  <c r="R493" i="15"/>
  <c r="S493" i="15"/>
  <c r="T493" i="15"/>
  <c r="U493" i="15"/>
  <c r="V493" i="15"/>
  <c r="W493" i="15"/>
  <c r="X493" i="15"/>
  <c r="Y493" i="15"/>
  <c r="Z493" i="15"/>
  <c r="AA493" i="15"/>
  <c r="AB493" i="15"/>
  <c r="AC493" i="15"/>
  <c r="AD493" i="15"/>
  <c r="AE493" i="15"/>
  <c r="AF493" i="15"/>
  <c r="AG493" i="15"/>
  <c r="AH493" i="15"/>
  <c r="AI493" i="15"/>
  <c r="AJ493" i="15"/>
  <c r="AK493" i="15"/>
  <c r="AL493" i="15"/>
  <c r="AM493" i="15"/>
  <c r="AN493" i="15"/>
  <c r="AO493" i="15"/>
  <c r="AP493" i="15"/>
  <c r="AQ493" i="15"/>
  <c r="AR493" i="15"/>
  <c r="AS493" i="15"/>
  <c r="AT493" i="15"/>
  <c r="AU493" i="15"/>
  <c r="AV493" i="15"/>
  <c r="AW493" i="15"/>
  <c r="AX493" i="15"/>
  <c r="AY493" i="15"/>
  <c r="AZ493" i="15"/>
  <c r="BA493" i="15"/>
  <c r="BB493" i="15"/>
  <c r="BC493" i="15"/>
  <c r="BD493" i="15"/>
  <c r="BE493" i="15"/>
  <c r="BF493" i="15"/>
  <c r="BG493" i="15"/>
  <c r="BH493" i="15"/>
  <c r="BI493" i="15"/>
  <c r="BJ493" i="15"/>
  <c r="BK493" i="15"/>
  <c r="BL493" i="15"/>
  <c r="BM493" i="15"/>
  <c r="BN493" i="15"/>
  <c r="BO493" i="15"/>
  <c r="BP493" i="15"/>
  <c r="BQ493" i="15"/>
  <c r="BR493" i="15"/>
  <c r="BS493" i="15"/>
  <c r="BT493" i="15"/>
  <c r="BU493" i="15"/>
  <c r="BV493" i="15"/>
  <c r="BW493" i="15"/>
  <c r="BX493" i="15"/>
  <c r="BY493" i="15"/>
  <c r="BZ493" i="15"/>
  <c r="CA493" i="15"/>
  <c r="CB493" i="15"/>
  <c r="CC493" i="15"/>
  <c r="CD493" i="15"/>
  <c r="CE493" i="15"/>
  <c r="CF493" i="15"/>
  <c r="CG493" i="15"/>
  <c r="CH493" i="15"/>
  <c r="CI493" i="15"/>
  <c r="CJ493" i="15"/>
  <c r="CK493" i="15"/>
  <c r="CL493" i="15"/>
  <c r="CM493" i="15"/>
  <c r="CN493" i="15"/>
  <c r="CO493" i="15"/>
  <c r="A494" i="15"/>
  <c r="B494" i="15"/>
  <c r="C494" i="15"/>
  <c r="D494" i="15"/>
  <c r="E494" i="15"/>
  <c r="F494" i="15"/>
  <c r="G494" i="15"/>
  <c r="H494" i="15"/>
  <c r="I494" i="15"/>
  <c r="J494" i="15"/>
  <c r="K494" i="15"/>
  <c r="L494" i="15"/>
  <c r="M494" i="15"/>
  <c r="N494" i="15"/>
  <c r="O494" i="15"/>
  <c r="P494" i="15"/>
  <c r="Q494" i="15"/>
  <c r="R494" i="15"/>
  <c r="S494" i="15"/>
  <c r="T494" i="15"/>
  <c r="U494" i="15"/>
  <c r="V494" i="15"/>
  <c r="W494" i="15"/>
  <c r="X494" i="15"/>
  <c r="Y494" i="15"/>
  <c r="Z494" i="15"/>
  <c r="AA494" i="15"/>
  <c r="AB494" i="15"/>
  <c r="AC494" i="15"/>
  <c r="AD494" i="15"/>
  <c r="AE494" i="15"/>
  <c r="AF494" i="15"/>
  <c r="AG494" i="15"/>
  <c r="AH494" i="15"/>
  <c r="AI494" i="15"/>
  <c r="AJ494" i="15"/>
  <c r="AK494" i="15"/>
  <c r="AL494" i="15"/>
  <c r="AM494" i="15"/>
  <c r="AN494" i="15"/>
  <c r="AO494" i="15"/>
  <c r="AP494" i="15"/>
  <c r="AQ494" i="15"/>
  <c r="AR494" i="15"/>
  <c r="AS494" i="15"/>
  <c r="AT494" i="15"/>
  <c r="AU494" i="15"/>
  <c r="AV494" i="15"/>
  <c r="AW494" i="15"/>
  <c r="AX494" i="15"/>
  <c r="AY494" i="15"/>
  <c r="AZ494" i="15"/>
  <c r="BA494" i="15"/>
  <c r="BB494" i="15"/>
  <c r="BC494" i="15"/>
  <c r="BD494" i="15"/>
  <c r="BE494" i="15"/>
  <c r="BF494" i="15"/>
  <c r="BG494" i="15"/>
  <c r="BH494" i="15"/>
  <c r="BI494" i="15"/>
  <c r="BJ494" i="15"/>
  <c r="BK494" i="15"/>
  <c r="BL494" i="15"/>
  <c r="BM494" i="15"/>
  <c r="BN494" i="15"/>
  <c r="BO494" i="15"/>
  <c r="BP494" i="15"/>
  <c r="BQ494" i="15"/>
  <c r="BR494" i="15"/>
  <c r="BS494" i="15"/>
  <c r="BT494" i="15"/>
  <c r="BU494" i="15"/>
  <c r="BV494" i="15"/>
  <c r="BW494" i="15"/>
  <c r="BX494" i="15"/>
  <c r="BY494" i="15"/>
  <c r="BZ494" i="15"/>
  <c r="CA494" i="15"/>
  <c r="CB494" i="15"/>
  <c r="CC494" i="15"/>
  <c r="CD494" i="15"/>
  <c r="CE494" i="15"/>
  <c r="CF494" i="15"/>
  <c r="CG494" i="15"/>
  <c r="CH494" i="15"/>
  <c r="CI494" i="15"/>
  <c r="CJ494" i="15"/>
  <c r="CK494" i="15"/>
  <c r="CL494" i="15"/>
  <c r="CM494" i="15"/>
  <c r="CN494" i="15"/>
  <c r="CO494" i="15"/>
  <c r="A495" i="15"/>
  <c r="B495" i="15"/>
  <c r="C495" i="15"/>
  <c r="D495" i="15"/>
  <c r="E495" i="15"/>
  <c r="F495" i="15"/>
  <c r="G495" i="15"/>
  <c r="H495" i="15"/>
  <c r="I495" i="15"/>
  <c r="J495" i="15"/>
  <c r="K495" i="15"/>
  <c r="L495" i="15"/>
  <c r="M495" i="15"/>
  <c r="N495" i="15"/>
  <c r="O495" i="15"/>
  <c r="P495" i="15"/>
  <c r="Q495" i="15"/>
  <c r="R495" i="15"/>
  <c r="S495" i="15"/>
  <c r="T495" i="15"/>
  <c r="U495" i="15"/>
  <c r="V495" i="15"/>
  <c r="W495" i="15"/>
  <c r="X495" i="15"/>
  <c r="Y495" i="15"/>
  <c r="Z495" i="15"/>
  <c r="AA495" i="15"/>
  <c r="AB495" i="15"/>
  <c r="AC495" i="15"/>
  <c r="AD495" i="15"/>
  <c r="AE495" i="15"/>
  <c r="AF495" i="15"/>
  <c r="AG495" i="15"/>
  <c r="AH495" i="15"/>
  <c r="AI495" i="15"/>
  <c r="AJ495" i="15"/>
  <c r="AK495" i="15"/>
  <c r="AL495" i="15"/>
  <c r="AM495" i="15"/>
  <c r="AN495" i="15"/>
  <c r="AO495" i="15"/>
  <c r="AP495" i="15"/>
  <c r="AQ495" i="15"/>
  <c r="AR495" i="15"/>
  <c r="AS495" i="15"/>
  <c r="AT495" i="15"/>
  <c r="AU495" i="15"/>
  <c r="AV495" i="15"/>
  <c r="AW495" i="15"/>
  <c r="AX495" i="15"/>
  <c r="AY495" i="15"/>
  <c r="AZ495" i="15"/>
  <c r="BA495" i="15"/>
  <c r="BB495" i="15"/>
  <c r="BC495" i="15"/>
  <c r="BD495" i="15"/>
  <c r="BE495" i="15"/>
  <c r="BF495" i="15"/>
  <c r="BG495" i="15"/>
  <c r="BH495" i="15"/>
  <c r="BI495" i="15"/>
  <c r="BJ495" i="15"/>
  <c r="BK495" i="15"/>
  <c r="BL495" i="15"/>
  <c r="BM495" i="15"/>
  <c r="BN495" i="15"/>
  <c r="BO495" i="15"/>
  <c r="BP495" i="15"/>
  <c r="BQ495" i="15"/>
  <c r="BR495" i="15"/>
  <c r="BS495" i="15"/>
  <c r="BT495" i="15"/>
  <c r="BU495" i="15"/>
  <c r="BV495" i="15"/>
  <c r="BW495" i="15"/>
  <c r="BX495" i="15"/>
  <c r="BY495" i="15"/>
  <c r="BZ495" i="15"/>
  <c r="CA495" i="15"/>
  <c r="CB495" i="15"/>
  <c r="CC495" i="15"/>
  <c r="CD495" i="15"/>
  <c r="CE495" i="15"/>
  <c r="CF495" i="15"/>
  <c r="CG495" i="15"/>
  <c r="CH495" i="15"/>
  <c r="CI495" i="15"/>
  <c r="CJ495" i="15"/>
  <c r="CK495" i="15"/>
  <c r="CL495" i="15"/>
  <c r="CM495" i="15"/>
  <c r="CN495" i="15"/>
  <c r="CO495" i="15"/>
  <c r="A496" i="15"/>
  <c r="B496" i="15"/>
  <c r="C496" i="15"/>
  <c r="D496" i="15"/>
  <c r="E496" i="15"/>
  <c r="F496" i="15"/>
  <c r="G496" i="15"/>
  <c r="H496" i="15"/>
  <c r="I496" i="15"/>
  <c r="J496" i="15"/>
  <c r="K496" i="15"/>
  <c r="L496" i="15"/>
  <c r="M496" i="15"/>
  <c r="N496" i="15"/>
  <c r="O496" i="15"/>
  <c r="P496" i="15"/>
  <c r="Q496" i="15"/>
  <c r="R496" i="15"/>
  <c r="S496" i="15"/>
  <c r="T496" i="15"/>
  <c r="U496" i="15"/>
  <c r="V496" i="15"/>
  <c r="W496" i="15"/>
  <c r="X496" i="15"/>
  <c r="Y496" i="15"/>
  <c r="Z496" i="15"/>
  <c r="AA496" i="15"/>
  <c r="AB496" i="15"/>
  <c r="AC496" i="15"/>
  <c r="AD496" i="15"/>
  <c r="AE496" i="15"/>
  <c r="AF496" i="15"/>
  <c r="AG496" i="15"/>
  <c r="AH496" i="15"/>
  <c r="AI496" i="15"/>
  <c r="AJ496" i="15"/>
  <c r="AK496" i="15"/>
  <c r="AL496" i="15"/>
  <c r="AM496" i="15"/>
  <c r="AN496" i="15"/>
  <c r="AO496" i="15"/>
  <c r="AP496" i="15"/>
  <c r="AQ496" i="15"/>
  <c r="AR496" i="15"/>
  <c r="AS496" i="15"/>
  <c r="AT496" i="15"/>
  <c r="AU496" i="15"/>
  <c r="AV496" i="15"/>
  <c r="AW496" i="15"/>
  <c r="AX496" i="15"/>
  <c r="AY496" i="15"/>
  <c r="AZ496" i="15"/>
  <c r="BA496" i="15"/>
  <c r="BB496" i="15"/>
  <c r="BC496" i="15"/>
  <c r="BD496" i="15"/>
  <c r="BE496" i="15"/>
  <c r="BF496" i="15"/>
  <c r="BG496" i="15"/>
  <c r="BH496" i="15"/>
  <c r="BI496" i="15"/>
  <c r="BJ496" i="15"/>
  <c r="BK496" i="15"/>
  <c r="BL496" i="15"/>
  <c r="BM496" i="15"/>
  <c r="BN496" i="15"/>
  <c r="BO496" i="15"/>
  <c r="BP496" i="15"/>
  <c r="BQ496" i="15"/>
  <c r="BR496" i="15"/>
  <c r="BS496" i="15"/>
  <c r="BT496" i="15"/>
  <c r="BU496" i="15"/>
  <c r="BV496" i="15"/>
  <c r="BW496" i="15"/>
  <c r="BX496" i="15"/>
  <c r="BY496" i="15"/>
  <c r="BZ496" i="15"/>
  <c r="CA496" i="15"/>
  <c r="CB496" i="15"/>
  <c r="CC496" i="15"/>
  <c r="CD496" i="15"/>
  <c r="CE496" i="15"/>
  <c r="CF496" i="15"/>
  <c r="CG496" i="15"/>
  <c r="CH496" i="15"/>
  <c r="CI496" i="15"/>
  <c r="CJ496" i="15"/>
  <c r="CK496" i="15"/>
  <c r="CL496" i="15"/>
  <c r="CM496" i="15"/>
  <c r="CN496" i="15"/>
  <c r="CO496" i="15"/>
  <c r="A497" i="15"/>
  <c r="B497" i="15"/>
  <c r="C497" i="15"/>
  <c r="D497" i="15"/>
  <c r="E497" i="15"/>
  <c r="F497" i="15"/>
  <c r="G497" i="15"/>
  <c r="H497" i="15"/>
  <c r="I497" i="15"/>
  <c r="J497" i="15"/>
  <c r="K497" i="15"/>
  <c r="L497" i="15"/>
  <c r="M497" i="15"/>
  <c r="N497" i="15"/>
  <c r="O497" i="15"/>
  <c r="P497" i="15"/>
  <c r="Q497" i="15"/>
  <c r="R497" i="15"/>
  <c r="S497" i="15"/>
  <c r="T497" i="15"/>
  <c r="U497" i="15"/>
  <c r="V497" i="15"/>
  <c r="W497" i="15"/>
  <c r="X497" i="15"/>
  <c r="Y497" i="15"/>
  <c r="Z497" i="15"/>
  <c r="AA497" i="15"/>
  <c r="AB497" i="15"/>
  <c r="AC497" i="15"/>
  <c r="AD497" i="15"/>
  <c r="AE497" i="15"/>
  <c r="AF497" i="15"/>
  <c r="AG497" i="15"/>
  <c r="AH497" i="15"/>
  <c r="AI497" i="15"/>
  <c r="AJ497" i="15"/>
  <c r="AK497" i="15"/>
  <c r="AL497" i="15"/>
  <c r="AM497" i="15"/>
  <c r="AN497" i="15"/>
  <c r="AO497" i="15"/>
  <c r="AP497" i="15"/>
  <c r="AQ497" i="15"/>
  <c r="AR497" i="15"/>
  <c r="AS497" i="15"/>
  <c r="AT497" i="15"/>
  <c r="AU497" i="15"/>
  <c r="AV497" i="15"/>
  <c r="AW497" i="15"/>
  <c r="AX497" i="15"/>
  <c r="AY497" i="15"/>
  <c r="AZ497" i="15"/>
  <c r="BA497" i="15"/>
  <c r="BB497" i="15"/>
  <c r="BC497" i="15"/>
  <c r="BD497" i="15"/>
  <c r="BE497" i="15"/>
  <c r="BF497" i="15"/>
  <c r="BG497" i="15"/>
  <c r="BH497" i="15"/>
  <c r="BI497" i="15"/>
  <c r="BJ497" i="15"/>
  <c r="BK497" i="15"/>
  <c r="BL497" i="15"/>
  <c r="BM497" i="15"/>
  <c r="BN497" i="15"/>
  <c r="BO497" i="15"/>
  <c r="BP497" i="15"/>
  <c r="BQ497" i="15"/>
  <c r="BR497" i="15"/>
  <c r="BS497" i="15"/>
  <c r="BT497" i="15"/>
  <c r="BU497" i="15"/>
  <c r="BV497" i="15"/>
  <c r="BW497" i="15"/>
  <c r="BX497" i="15"/>
  <c r="BY497" i="15"/>
  <c r="BZ497" i="15"/>
  <c r="CA497" i="15"/>
  <c r="CB497" i="15"/>
  <c r="CC497" i="15"/>
  <c r="CD497" i="15"/>
  <c r="CE497" i="15"/>
  <c r="CF497" i="15"/>
  <c r="CG497" i="15"/>
  <c r="CH497" i="15"/>
  <c r="CI497" i="15"/>
  <c r="CJ497" i="15"/>
  <c r="CK497" i="15"/>
  <c r="CL497" i="15"/>
  <c r="CM497" i="15"/>
  <c r="CN497" i="15"/>
  <c r="CO497" i="15"/>
  <c r="A498" i="15"/>
  <c r="B498" i="15"/>
  <c r="C498" i="15"/>
  <c r="D498" i="15"/>
  <c r="E498" i="15"/>
  <c r="F498" i="15"/>
  <c r="G498" i="15"/>
  <c r="H498" i="15"/>
  <c r="I498" i="15"/>
  <c r="J498" i="15"/>
  <c r="K498" i="15"/>
  <c r="L498" i="15"/>
  <c r="M498" i="15"/>
  <c r="N498" i="15"/>
  <c r="O498" i="15"/>
  <c r="P498" i="15"/>
  <c r="Q498" i="15"/>
  <c r="R498" i="15"/>
  <c r="S498" i="15"/>
  <c r="T498" i="15"/>
  <c r="U498" i="15"/>
  <c r="V498" i="15"/>
  <c r="W498" i="15"/>
  <c r="X498" i="15"/>
  <c r="Y498" i="15"/>
  <c r="Z498" i="15"/>
  <c r="AA498" i="15"/>
  <c r="AB498" i="15"/>
  <c r="AC498" i="15"/>
  <c r="AD498" i="15"/>
  <c r="AE498" i="15"/>
  <c r="AF498" i="15"/>
  <c r="AG498" i="15"/>
  <c r="AH498" i="15"/>
  <c r="AI498" i="15"/>
  <c r="AJ498" i="15"/>
  <c r="AK498" i="15"/>
  <c r="AL498" i="15"/>
  <c r="AM498" i="15"/>
  <c r="AN498" i="15"/>
  <c r="AO498" i="15"/>
  <c r="AP498" i="15"/>
  <c r="AQ498" i="15"/>
  <c r="AR498" i="15"/>
  <c r="AS498" i="15"/>
  <c r="AT498" i="15"/>
  <c r="AU498" i="15"/>
  <c r="AV498" i="15"/>
  <c r="AW498" i="15"/>
  <c r="AX498" i="15"/>
  <c r="AY498" i="15"/>
  <c r="AZ498" i="15"/>
  <c r="BA498" i="15"/>
  <c r="BB498" i="15"/>
  <c r="BC498" i="15"/>
  <c r="BD498" i="15"/>
  <c r="BE498" i="15"/>
  <c r="BF498" i="15"/>
  <c r="BG498" i="15"/>
  <c r="BH498" i="15"/>
  <c r="BI498" i="15"/>
  <c r="BJ498" i="15"/>
  <c r="BK498" i="15"/>
  <c r="BL498" i="15"/>
  <c r="BM498" i="15"/>
  <c r="BN498" i="15"/>
  <c r="BO498" i="15"/>
  <c r="BP498" i="15"/>
  <c r="BQ498" i="15"/>
  <c r="BR498" i="15"/>
  <c r="BS498" i="15"/>
  <c r="BT498" i="15"/>
  <c r="BU498" i="15"/>
  <c r="BV498" i="15"/>
  <c r="BW498" i="15"/>
  <c r="BX498" i="15"/>
  <c r="BY498" i="15"/>
  <c r="BZ498" i="15"/>
  <c r="CA498" i="15"/>
  <c r="CB498" i="15"/>
  <c r="CC498" i="15"/>
  <c r="CD498" i="15"/>
  <c r="CE498" i="15"/>
  <c r="CF498" i="15"/>
  <c r="CG498" i="15"/>
  <c r="CH498" i="15"/>
  <c r="CI498" i="15"/>
  <c r="CJ498" i="15"/>
  <c r="CK498" i="15"/>
  <c r="CL498" i="15"/>
  <c r="CM498" i="15"/>
  <c r="CN498" i="15"/>
  <c r="CO498" i="15"/>
  <c r="A499" i="15"/>
  <c r="B499" i="15"/>
  <c r="C499" i="15"/>
  <c r="D499" i="15"/>
  <c r="E499" i="15"/>
  <c r="F499" i="15"/>
  <c r="G499" i="15"/>
  <c r="H499" i="15"/>
  <c r="I499" i="15"/>
  <c r="J499" i="15"/>
  <c r="K499" i="15"/>
  <c r="L499" i="15"/>
  <c r="M499" i="15"/>
  <c r="N499" i="15"/>
  <c r="O499" i="15"/>
  <c r="P499" i="15"/>
  <c r="Q499" i="15"/>
  <c r="R499" i="15"/>
  <c r="S499" i="15"/>
  <c r="T499" i="15"/>
  <c r="U499" i="15"/>
  <c r="V499" i="15"/>
  <c r="W499" i="15"/>
  <c r="X499" i="15"/>
  <c r="Y499" i="15"/>
  <c r="Z499" i="15"/>
  <c r="AA499" i="15"/>
  <c r="AB499" i="15"/>
  <c r="AC499" i="15"/>
  <c r="AD499" i="15"/>
  <c r="AE499" i="15"/>
  <c r="AF499" i="15"/>
  <c r="AG499" i="15"/>
  <c r="AH499" i="15"/>
  <c r="AI499" i="15"/>
  <c r="AJ499" i="15"/>
  <c r="AK499" i="15"/>
  <c r="AL499" i="15"/>
  <c r="AM499" i="15"/>
  <c r="AN499" i="15"/>
  <c r="AO499" i="15"/>
  <c r="AP499" i="15"/>
  <c r="AQ499" i="15"/>
  <c r="AR499" i="15"/>
  <c r="AS499" i="15"/>
  <c r="AT499" i="15"/>
  <c r="AU499" i="15"/>
  <c r="AV499" i="15"/>
  <c r="AW499" i="15"/>
  <c r="AX499" i="15"/>
  <c r="AY499" i="15"/>
  <c r="AZ499" i="15"/>
  <c r="BA499" i="15"/>
  <c r="BB499" i="15"/>
  <c r="BC499" i="15"/>
  <c r="BD499" i="15"/>
  <c r="BE499" i="15"/>
  <c r="BF499" i="15"/>
  <c r="BG499" i="15"/>
  <c r="BH499" i="15"/>
  <c r="BI499" i="15"/>
  <c r="BJ499" i="15"/>
  <c r="BK499" i="15"/>
  <c r="BL499" i="15"/>
  <c r="BM499" i="15"/>
  <c r="BN499" i="15"/>
  <c r="BO499" i="15"/>
  <c r="BP499" i="15"/>
  <c r="BQ499" i="15"/>
  <c r="BR499" i="15"/>
  <c r="BS499" i="15"/>
  <c r="BT499" i="15"/>
  <c r="BU499" i="15"/>
  <c r="BV499" i="15"/>
  <c r="BW499" i="15"/>
  <c r="BX499" i="15"/>
  <c r="BY499" i="15"/>
  <c r="BZ499" i="15"/>
  <c r="CA499" i="15"/>
  <c r="CB499" i="15"/>
  <c r="CC499" i="15"/>
  <c r="CD499" i="15"/>
  <c r="CE499" i="15"/>
  <c r="CF499" i="15"/>
  <c r="CG499" i="15"/>
  <c r="CH499" i="15"/>
  <c r="CI499" i="15"/>
  <c r="CJ499" i="15"/>
  <c r="CK499" i="15"/>
  <c r="CL499" i="15"/>
  <c r="CM499" i="15"/>
  <c r="CN499" i="15"/>
  <c r="CO499" i="15"/>
  <c r="A500" i="15"/>
  <c r="B500" i="15"/>
  <c r="C500" i="15"/>
  <c r="D500" i="15"/>
  <c r="E500" i="15"/>
  <c r="F500" i="15"/>
  <c r="G500" i="15"/>
  <c r="H500" i="15"/>
  <c r="I500" i="15"/>
  <c r="J500" i="15"/>
  <c r="K500" i="15"/>
  <c r="L500" i="15"/>
  <c r="M500" i="15"/>
  <c r="N500" i="15"/>
  <c r="O500" i="15"/>
  <c r="P500" i="15"/>
  <c r="Q500" i="15"/>
  <c r="R500" i="15"/>
  <c r="S500" i="15"/>
  <c r="T500" i="15"/>
  <c r="U500" i="15"/>
  <c r="V500" i="15"/>
  <c r="W500" i="15"/>
  <c r="X500" i="15"/>
  <c r="Y500" i="15"/>
  <c r="Z500" i="15"/>
  <c r="AA500" i="15"/>
  <c r="AB500" i="15"/>
  <c r="AC500" i="15"/>
  <c r="AD500" i="15"/>
  <c r="AE500" i="15"/>
  <c r="AF500" i="15"/>
  <c r="AG500" i="15"/>
  <c r="AH500" i="15"/>
  <c r="AI500" i="15"/>
  <c r="AJ500" i="15"/>
  <c r="AK500" i="15"/>
  <c r="AL500" i="15"/>
  <c r="AM500" i="15"/>
  <c r="AN500" i="15"/>
  <c r="AO500" i="15"/>
  <c r="AP500" i="15"/>
  <c r="AQ500" i="15"/>
  <c r="AR500" i="15"/>
  <c r="AS500" i="15"/>
  <c r="AT500" i="15"/>
  <c r="AU500" i="15"/>
  <c r="AV500" i="15"/>
  <c r="AW500" i="15"/>
  <c r="AX500" i="15"/>
  <c r="AY500" i="15"/>
  <c r="AZ500" i="15"/>
  <c r="BA500" i="15"/>
  <c r="BB500" i="15"/>
  <c r="BC500" i="15"/>
  <c r="BD500" i="15"/>
  <c r="BE500" i="15"/>
  <c r="BF500" i="15"/>
  <c r="BG500" i="15"/>
  <c r="BH500" i="15"/>
  <c r="BI500" i="15"/>
  <c r="BJ500" i="15"/>
  <c r="BK500" i="15"/>
  <c r="BL500" i="15"/>
  <c r="BM500" i="15"/>
  <c r="BN500" i="15"/>
  <c r="BO500" i="15"/>
  <c r="BP500" i="15"/>
  <c r="BQ500" i="15"/>
  <c r="BR500" i="15"/>
  <c r="BS500" i="15"/>
  <c r="BT500" i="15"/>
  <c r="BU500" i="15"/>
  <c r="BV500" i="15"/>
  <c r="BW500" i="15"/>
  <c r="BX500" i="15"/>
  <c r="BY500" i="15"/>
  <c r="BZ500" i="15"/>
  <c r="CA500" i="15"/>
  <c r="CB500" i="15"/>
  <c r="CC500" i="15"/>
  <c r="CD500" i="15"/>
  <c r="CE500" i="15"/>
  <c r="CF500" i="15"/>
  <c r="CG500" i="15"/>
  <c r="CH500" i="15"/>
  <c r="CI500" i="15"/>
  <c r="CJ500" i="15"/>
  <c r="CK500" i="15"/>
  <c r="CL500" i="15"/>
  <c r="CM500" i="15"/>
  <c r="CN500" i="15"/>
  <c r="CO500" i="15"/>
  <c r="A501" i="15"/>
  <c r="B501" i="15"/>
  <c r="C501" i="15"/>
  <c r="D501" i="15"/>
  <c r="E501" i="15"/>
  <c r="F501" i="15"/>
  <c r="G501" i="15"/>
  <c r="H501" i="15"/>
  <c r="I501" i="15"/>
  <c r="J501" i="15"/>
  <c r="K501" i="15"/>
  <c r="L501" i="15"/>
  <c r="M501" i="15"/>
  <c r="N501" i="15"/>
  <c r="O501" i="15"/>
  <c r="P501" i="15"/>
  <c r="Q501" i="15"/>
  <c r="R501" i="15"/>
  <c r="S501" i="15"/>
  <c r="T501" i="15"/>
  <c r="U501" i="15"/>
  <c r="V501" i="15"/>
  <c r="W501" i="15"/>
  <c r="X501" i="15"/>
  <c r="Y501" i="15"/>
  <c r="Z501" i="15"/>
  <c r="AA501" i="15"/>
  <c r="AB501" i="15"/>
  <c r="AC501" i="15"/>
  <c r="AD501" i="15"/>
  <c r="AE501" i="15"/>
  <c r="AF501" i="15"/>
  <c r="AG501" i="15"/>
  <c r="AH501" i="15"/>
  <c r="AI501" i="15"/>
  <c r="AJ501" i="15"/>
  <c r="AK501" i="15"/>
  <c r="AL501" i="15"/>
  <c r="AM501" i="15"/>
  <c r="AN501" i="15"/>
  <c r="AO501" i="15"/>
  <c r="AP501" i="15"/>
  <c r="AQ501" i="15"/>
  <c r="AR501" i="15"/>
  <c r="AS501" i="15"/>
  <c r="AT501" i="15"/>
  <c r="AU501" i="15"/>
  <c r="AV501" i="15"/>
  <c r="AW501" i="15"/>
  <c r="AX501" i="15"/>
  <c r="AY501" i="15"/>
  <c r="AZ501" i="15"/>
  <c r="BA501" i="15"/>
  <c r="BB501" i="15"/>
  <c r="BC501" i="15"/>
  <c r="BD501" i="15"/>
  <c r="BE501" i="15"/>
  <c r="BF501" i="15"/>
  <c r="BG501" i="15"/>
  <c r="BH501" i="15"/>
  <c r="BI501" i="15"/>
  <c r="BJ501" i="15"/>
  <c r="BK501" i="15"/>
  <c r="BL501" i="15"/>
  <c r="BM501" i="15"/>
  <c r="BN501" i="15"/>
  <c r="BO501" i="15"/>
  <c r="BP501" i="15"/>
  <c r="BQ501" i="15"/>
  <c r="BR501" i="15"/>
  <c r="BS501" i="15"/>
  <c r="BT501" i="15"/>
  <c r="BU501" i="15"/>
  <c r="BV501" i="15"/>
  <c r="BW501" i="15"/>
  <c r="BX501" i="15"/>
  <c r="BY501" i="15"/>
  <c r="BZ501" i="15"/>
  <c r="CA501" i="15"/>
  <c r="CB501" i="15"/>
  <c r="CC501" i="15"/>
  <c r="CD501" i="15"/>
  <c r="CE501" i="15"/>
  <c r="CF501" i="15"/>
  <c r="CG501" i="15"/>
  <c r="CH501" i="15"/>
  <c r="CI501" i="15"/>
  <c r="CJ501" i="15"/>
  <c r="CK501" i="15"/>
  <c r="CL501" i="15"/>
  <c r="CM501" i="15"/>
  <c r="CN501" i="15"/>
  <c r="CO501" i="15"/>
  <c r="A502" i="15"/>
  <c r="B502" i="15"/>
  <c r="C502" i="15"/>
  <c r="D502" i="15"/>
  <c r="E502" i="15"/>
  <c r="F502" i="15"/>
  <c r="G502" i="15"/>
  <c r="H502" i="15"/>
  <c r="I502" i="15"/>
  <c r="J502" i="15"/>
  <c r="K502" i="15"/>
  <c r="L502" i="15"/>
  <c r="M502" i="15"/>
  <c r="N502" i="15"/>
  <c r="O502" i="15"/>
  <c r="P502" i="15"/>
  <c r="Q502" i="15"/>
  <c r="R502" i="15"/>
  <c r="S502" i="15"/>
  <c r="T502" i="15"/>
  <c r="U502" i="15"/>
  <c r="V502" i="15"/>
  <c r="W502" i="15"/>
  <c r="X502" i="15"/>
  <c r="Y502" i="15"/>
  <c r="Z502" i="15"/>
  <c r="AA502" i="15"/>
  <c r="AB502" i="15"/>
  <c r="AC502" i="15"/>
  <c r="AD502" i="15"/>
  <c r="AE502" i="15"/>
  <c r="AF502" i="15"/>
  <c r="AG502" i="15"/>
  <c r="AH502" i="15"/>
  <c r="AI502" i="15"/>
  <c r="AJ502" i="15"/>
  <c r="AK502" i="15"/>
  <c r="AL502" i="15"/>
  <c r="AM502" i="15"/>
  <c r="AN502" i="15"/>
  <c r="AO502" i="15"/>
  <c r="AP502" i="15"/>
  <c r="AQ502" i="15"/>
  <c r="AR502" i="15"/>
  <c r="AS502" i="15"/>
  <c r="AT502" i="15"/>
  <c r="AU502" i="15"/>
  <c r="AV502" i="15"/>
  <c r="AW502" i="15"/>
  <c r="AX502" i="15"/>
  <c r="AY502" i="15"/>
  <c r="AZ502" i="15"/>
  <c r="BA502" i="15"/>
  <c r="BB502" i="15"/>
  <c r="BC502" i="15"/>
  <c r="BD502" i="15"/>
  <c r="BE502" i="15"/>
  <c r="BF502" i="15"/>
  <c r="BG502" i="15"/>
  <c r="BH502" i="15"/>
  <c r="BI502" i="15"/>
  <c r="BJ502" i="15"/>
  <c r="BK502" i="15"/>
  <c r="BL502" i="15"/>
  <c r="BM502" i="15"/>
  <c r="BN502" i="15"/>
  <c r="BO502" i="15"/>
  <c r="BP502" i="15"/>
  <c r="BQ502" i="15"/>
  <c r="BR502" i="15"/>
  <c r="BS502" i="15"/>
  <c r="BT502" i="15"/>
  <c r="BU502" i="15"/>
  <c r="BV502" i="15"/>
  <c r="BW502" i="15"/>
  <c r="BX502" i="15"/>
  <c r="BY502" i="15"/>
  <c r="BZ502" i="15"/>
  <c r="CA502" i="15"/>
  <c r="CB502" i="15"/>
  <c r="CC502" i="15"/>
  <c r="CD502" i="15"/>
  <c r="CE502" i="15"/>
  <c r="CF502" i="15"/>
  <c r="CG502" i="15"/>
  <c r="CH502" i="15"/>
  <c r="CI502" i="15"/>
  <c r="CJ502" i="15"/>
  <c r="CK502" i="15"/>
  <c r="CL502" i="15"/>
  <c r="CM502" i="15"/>
  <c r="CN502" i="15"/>
  <c r="CO502" i="15"/>
  <c r="F2" i="12"/>
  <c r="B5" i="11" s="1"/>
  <c r="G2" i="12"/>
  <c r="C5" i="11" s="1"/>
  <c r="H2" i="12"/>
  <c r="D5" i="11" s="1"/>
  <c r="I2" i="12"/>
  <c r="E5" i="11" s="1"/>
  <c r="J2" i="12"/>
  <c r="F5" i="11" s="1"/>
  <c r="K2" i="12"/>
  <c r="G5" i="11" s="1"/>
  <c r="L2" i="12"/>
  <c r="H5" i="11" s="1"/>
  <c r="M2" i="12"/>
  <c r="I5" i="11" s="1"/>
  <c r="F3" i="12"/>
  <c r="B6" i="11" s="1"/>
  <c r="G3" i="12"/>
  <c r="C6" i="11" s="1"/>
  <c r="H3" i="12"/>
  <c r="D6" i="11" s="1"/>
  <c r="I3" i="12"/>
  <c r="E6" i="11" s="1"/>
  <c r="J3" i="12"/>
  <c r="F6" i="11" s="1"/>
  <c r="K3" i="12"/>
  <c r="G6" i="11" s="1"/>
  <c r="L3" i="12"/>
  <c r="H6" i="11" s="1"/>
  <c r="M3" i="12"/>
  <c r="I6" i="11" s="1"/>
  <c r="F4" i="12"/>
  <c r="B7" i="11" s="1"/>
  <c r="G4" i="12"/>
  <c r="C7" i="11" s="1"/>
  <c r="H4" i="12"/>
  <c r="D7" i="11" s="1"/>
  <c r="I4" i="12"/>
  <c r="E7" i="11" s="1"/>
  <c r="J4" i="12"/>
  <c r="F7" i="11" s="1"/>
  <c r="K4" i="12"/>
  <c r="G7" i="11" s="1"/>
  <c r="L4" i="12"/>
  <c r="H7" i="11" s="1"/>
  <c r="M4" i="12"/>
  <c r="I7" i="11" s="1"/>
  <c r="F5" i="12"/>
  <c r="B8" i="11" s="1"/>
  <c r="G5" i="12"/>
  <c r="C8" i="11" s="1"/>
  <c r="H5" i="12"/>
  <c r="D8" i="11" s="1"/>
  <c r="I5" i="12"/>
  <c r="E8" i="11" s="1"/>
  <c r="J5" i="12"/>
  <c r="F8" i="11" s="1"/>
  <c r="K5" i="12"/>
  <c r="G8" i="11" s="1"/>
  <c r="L5" i="12"/>
  <c r="H8" i="11" s="1"/>
  <c r="M5" i="12"/>
  <c r="I8" i="11" s="1"/>
  <c r="F6" i="12"/>
  <c r="B9" i="11" s="1"/>
  <c r="G6" i="12"/>
  <c r="C9" i="11" s="1"/>
  <c r="H6" i="12"/>
  <c r="D9" i="11" s="1"/>
  <c r="I6" i="12"/>
  <c r="E9" i="11" s="1"/>
  <c r="J6" i="12"/>
  <c r="F9" i="11" s="1"/>
  <c r="K6" i="12"/>
  <c r="G9" i="11" s="1"/>
  <c r="L6" i="12"/>
  <c r="H9" i="11" s="1"/>
  <c r="M6" i="12"/>
  <c r="I9" i="11" s="1"/>
  <c r="F7" i="12"/>
  <c r="D18" i="9" s="1"/>
  <c r="G7" i="12"/>
  <c r="D13" i="10" s="1"/>
  <c r="H7" i="12"/>
  <c r="I7" i="12"/>
  <c r="J7" i="12"/>
  <c r="K7" i="12"/>
  <c r="L7" i="12"/>
  <c r="M7" i="12"/>
  <c r="F8" i="12"/>
  <c r="D19" i="9" s="1"/>
  <c r="G8" i="12"/>
  <c r="D14" i="10" s="1"/>
  <c r="H8" i="12"/>
  <c r="I8" i="12"/>
  <c r="J8" i="12"/>
  <c r="K8" i="12"/>
  <c r="L8" i="12"/>
  <c r="M8" i="12"/>
  <c r="F9" i="12"/>
  <c r="D20" i="9" s="1"/>
  <c r="G9" i="12"/>
  <c r="C10" i="11" s="1"/>
  <c r="H9" i="12"/>
  <c r="D10" i="11" s="1"/>
  <c r="I9" i="12"/>
  <c r="J9" i="12"/>
  <c r="F10" i="11" s="1"/>
  <c r="K9" i="12"/>
  <c r="G10" i="11" s="1"/>
  <c r="L9" i="12"/>
  <c r="H10" i="11" s="1"/>
  <c r="M9" i="12"/>
  <c r="I10" i="11" s="1"/>
  <c r="F10" i="12"/>
  <c r="D22" i="9" s="1"/>
  <c r="O10" i="12"/>
  <c r="F11" i="12"/>
  <c r="D21" i="9" s="1"/>
  <c r="G11" i="12"/>
  <c r="D15" i="10" s="1"/>
  <c r="H11" i="12"/>
  <c r="I11" i="12"/>
  <c r="J11" i="12"/>
  <c r="K11" i="12"/>
  <c r="L11" i="12"/>
  <c r="M11" i="12"/>
  <c r="F12" i="12"/>
  <c r="D23" i="9" s="1"/>
  <c r="G12" i="12"/>
  <c r="C11" i="11" s="1"/>
  <c r="H12" i="12"/>
  <c r="D11" i="11" s="1"/>
  <c r="I12" i="12"/>
  <c r="E11" i="11" s="1"/>
  <c r="J12" i="12"/>
  <c r="F11" i="11" s="1"/>
  <c r="K12" i="12"/>
  <c r="G11" i="11" s="1"/>
  <c r="L12" i="12"/>
  <c r="H11" i="11" s="1"/>
  <c r="M12" i="12"/>
  <c r="I11" i="11" s="1"/>
  <c r="F13" i="12"/>
  <c r="D24" i="9" s="1"/>
  <c r="G13" i="12"/>
  <c r="D17" i="10" s="1"/>
  <c r="H13" i="12"/>
  <c r="I13" i="12"/>
  <c r="J13" i="12"/>
  <c r="K13" i="12"/>
  <c r="L13" i="12"/>
  <c r="M13" i="12"/>
  <c r="F14" i="12"/>
  <c r="D25" i="9" s="1"/>
  <c r="G14" i="12"/>
  <c r="D18" i="10" s="1"/>
  <c r="K18" i="10" s="1"/>
  <c r="H14" i="12"/>
  <c r="I14" i="12"/>
  <c r="J14" i="12"/>
  <c r="K14" i="12"/>
  <c r="L14" i="12"/>
  <c r="M14" i="12"/>
  <c r="F15" i="12"/>
  <c r="B12" i="11" s="1"/>
  <c r="G15" i="12"/>
  <c r="C12" i="11" s="1"/>
  <c r="H15" i="12"/>
  <c r="D12" i="11" s="1"/>
  <c r="I15" i="12"/>
  <c r="E12" i="11" s="1"/>
  <c r="J15" i="12"/>
  <c r="F12" i="11" s="1"/>
  <c r="K15" i="12"/>
  <c r="G12" i="11" s="1"/>
  <c r="L15" i="12"/>
  <c r="H12" i="11" s="1"/>
  <c r="M15" i="12"/>
  <c r="I12" i="11" s="1"/>
  <c r="F16" i="12"/>
  <c r="D27" i="9" s="1"/>
  <c r="G16" i="12"/>
  <c r="D19" i="10" s="1"/>
  <c r="H16" i="12"/>
  <c r="I16" i="12"/>
  <c r="J16" i="12"/>
  <c r="K16" i="12"/>
  <c r="L16" i="12"/>
  <c r="M16" i="12"/>
  <c r="F17" i="12"/>
  <c r="D28" i="9" s="1"/>
  <c r="G17" i="12"/>
  <c r="D20" i="10" s="1"/>
  <c r="H17" i="12"/>
  <c r="I17" i="12"/>
  <c r="J17" i="12"/>
  <c r="K17" i="12"/>
  <c r="L17" i="12"/>
  <c r="M17" i="12"/>
  <c r="F18" i="12"/>
  <c r="D29" i="9" s="1"/>
  <c r="G18" i="12"/>
  <c r="C13" i="11" s="1"/>
  <c r="H18" i="12"/>
  <c r="D13" i="11" s="1"/>
  <c r="I18" i="12"/>
  <c r="E13" i="11" s="1"/>
  <c r="J18" i="12"/>
  <c r="F13" i="11" s="1"/>
  <c r="K18" i="12"/>
  <c r="G13" i="11" s="1"/>
  <c r="L18" i="12"/>
  <c r="H13" i="11" s="1"/>
  <c r="M18" i="12"/>
  <c r="I13" i="11" s="1"/>
  <c r="F19" i="12"/>
  <c r="D30" i="9" s="1"/>
  <c r="G19" i="12"/>
  <c r="D21" i="10" s="1"/>
  <c r="H19" i="12"/>
  <c r="I19" i="12"/>
  <c r="J19" i="12"/>
  <c r="K19" i="12"/>
  <c r="L19" i="12"/>
  <c r="M19" i="12"/>
  <c r="F20" i="12"/>
  <c r="D31" i="9" s="1"/>
  <c r="G20" i="12"/>
  <c r="D22" i="10" s="1"/>
  <c r="H20" i="12"/>
  <c r="I20" i="12"/>
  <c r="J20" i="12"/>
  <c r="K20" i="12"/>
  <c r="L20" i="12"/>
  <c r="M20" i="12"/>
  <c r="F21" i="12"/>
  <c r="D32" i="9" s="1"/>
  <c r="G21" i="12"/>
  <c r="C14" i="11" s="1"/>
  <c r="H21" i="12"/>
  <c r="D14" i="11" s="1"/>
  <c r="I21" i="12"/>
  <c r="E14" i="11" s="1"/>
  <c r="J21" i="12"/>
  <c r="F14" i="11" s="1"/>
  <c r="K21" i="12"/>
  <c r="G14" i="11" s="1"/>
  <c r="L21" i="12"/>
  <c r="H14" i="11" s="1"/>
  <c r="M21" i="12"/>
  <c r="I14" i="11" s="1"/>
  <c r="F22" i="12"/>
  <c r="D33" i="9" s="1"/>
  <c r="G22" i="12"/>
  <c r="D23" i="10" s="1"/>
  <c r="H22" i="12"/>
  <c r="I22" i="12"/>
  <c r="J22" i="12"/>
  <c r="K22" i="12"/>
  <c r="L22" i="12"/>
  <c r="M22" i="12"/>
  <c r="F23" i="12"/>
  <c r="D34" i="9" s="1"/>
  <c r="G23" i="12"/>
  <c r="D24" i="10" s="1"/>
  <c r="H23" i="12"/>
  <c r="I23" i="12"/>
  <c r="J23" i="12"/>
  <c r="K23" i="12"/>
  <c r="L23" i="12"/>
  <c r="M23" i="12"/>
  <c r="F24" i="12"/>
  <c r="D35" i="9" s="1"/>
  <c r="G24" i="12"/>
  <c r="C15" i="11" s="1"/>
  <c r="H24" i="12"/>
  <c r="D15" i="11" s="1"/>
  <c r="I24" i="12"/>
  <c r="E15" i="11" s="1"/>
  <c r="J24" i="12"/>
  <c r="F15" i="11" s="1"/>
  <c r="K24" i="12"/>
  <c r="G15" i="11" s="1"/>
  <c r="L24" i="12"/>
  <c r="H15" i="11" s="1"/>
  <c r="M24" i="12"/>
  <c r="I15" i="11" s="1"/>
  <c r="F25" i="12"/>
  <c r="D36" i="9" s="1"/>
  <c r="G25" i="12"/>
  <c r="D27" i="10" s="1"/>
  <c r="H25" i="12"/>
  <c r="I25" i="12"/>
  <c r="J25" i="12"/>
  <c r="K25" i="12"/>
  <c r="L25" i="12"/>
  <c r="M25" i="12"/>
  <c r="F26" i="12"/>
  <c r="D37" i="9" s="1"/>
  <c r="G26" i="12"/>
  <c r="C16" i="11" s="1"/>
  <c r="H26" i="12"/>
  <c r="D16" i="11" s="1"/>
  <c r="I26" i="12"/>
  <c r="E16" i="11" s="1"/>
  <c r="J26" i="12"/>
  <c r="F16" i="11" s="1"/>
  <c r="K26" i="12"/>
  <c r="G16" i="11" s="1"/>
  <c r="L26" i="12"/>
  <c r="H16" i="11" s="1"/>
  <c r="M26" i="12"/>
  <c r="I16" i="11" s="1"/>
  <c r="F27" i="12"/>
  <c r="D38" i="9" s="1"/>
  <c r="G27" i="12"/>
  <c r="D26" i="10" s="1"/>
  <c r="H27" i="12"/>
  <c r="I27" i="12"/>
  <c r="J27" i="12"/>
  <c r="K27" i="12"/>
  <c r="L27" i="12"/>
  <c r="M27" i="12"/>
  <c r="F28" i="12"/>
  <c r="D39" i="9" s="1"/>
  <c r="G28" i="12"/>
  <c r="C17" i="11" s="1"/>
  <c r="H28" i="12"/>
  <c r="D17" i="11" s="1"/>
  <c r="I28" i="12"/>
  <c r="E17" i="11" s="1"/>
  <c r="J28" i="12"/>
  <c r="F17" i="11" s="1"/>
  <c r="K28" i="12"/>
  <c r="G17" i="11" s="1"/>
  <c r="L28" i="12"/>
  <c r="H17" i="11" s="1"/>
  <c r="M28" i="12"/>
  <c r="I17" i="11" s="1"/>
  <c r="F29" i="12"/>
  <c r="D40" i="9" s="1"/>
  <c r="G29" i="12"/>
  <c r="D25" i="10" s="1"/>
  <c r="H29" i="12"/>
  <c r="I29" i="12"/>
  <c r="J29" i="12"/>
  <c r="K29" i="12"/>
  <c r="L29" i="12"/>
  <c r="M29" i="12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A1" i="10"/>
  <c r="K5" i="10"/>
  <c r="A7" i="10"/>
  <c r="C7" i="10"/>
  <c r="C8" i="10" s="1"/>
  <c r="E7" i="10"/>
  <c r="E8" i="10" s="1"/>
  <c r="G7" i="10"/>
  <c r="I7" i="10"/>
  <c r="K7" i="10"/>
  <c r="L47" i="16" s="1"/>
  <c r="A8" i="10"/>
  <c r="G8" i="10"/>
  <c r="K8" i="10"/>
  <c r="B7" i="16" s="1"/>
  <c r="A13" i="10"/>
  <c r="E13" i="10" s="1"/>
  <c r="B13" i="10"/>
  <c r="A14" i="10"/>
  <c r="F14" i="10" s="1"/>
  <c r="B14" i="10"/>
  <c r="A15" i="10"/>
  <c r="E15" i="10" s="1"/>
  <c r="B15" i="10"/>
  <c r="A16" i="10"/>
  <c r="E16" i="10" s="1"/>
  <c r="B16" i="10"/>
  <c r="C16" i="10"/>
  <c r="D16" i="10"/>
  <c r="K16" i="10" s="1"/>
  <c r="A17" i="10"/>
  <c r="E17" i="10" s="1"/>
  <c r="B17" i="10"/>
  <c r="A18" i="10"/>
  <c r="E18" i="10" s="1"/>
  <c r="B18" i="10"/>
  <c r="A19" i="10"/>
  <c r="H19" i="10" s="1"/>
  <c r="B19" i="10"/>
  <c r="A20" i="10"/>
  <c r="I20" i="10" s="1"/>
  <c r="B20" i="10"/>
  <c r="A21" i="10"/>
  <c r="F21" i="10" s="1"/>
  <c r="B21" i="10"/>
  <c r="A22" i="10"/>
  <c r="I22" i="10" s="1"/>
  <c r="B22" i="10"/>
  <c r="A23" i="10"/>
  <c r="E23" i="10" s="1"/>
  <c r="B23" i="10"/>
  <c r="A24" i="10"/>
  <c r="E24" i="10" s="1"/>
  <c r="B24" i="10"/>
  <c r="A25" i="10"/>
  <c r="E25" i="10" s="1"/>
  <c r="B25" i="10"/>
  <c r="E26" i="10"/>
  <c r="F26" i="10"/>
  <c r="G26" i="10"/>
  <c r="H26" i="10"/>
  <c r="I26" i="10"/>
  <c r="J26" i="10"/>
  <c r="E27" i="10"/>
  <c r="F27" i="10"/>
  <c r="G27" i="10"/>
  <c r="H27" i="10"/>
  <c r="I27" i="10"/>
  <c r="J27" i="10"/>
  <c r="A1" i="9"/>
  <c r="K5" i="9"/>
  <c r="A7" i="9"/>
  <c r="C7" i="9"/>
  <c r="C8" i="9" s="1"/>
  <c r="E7" i="9"/>
  <c r="E8" i="9" s="1"/>
  <c r="G7" i="9"/>
  <c r="I7" i="9"/>
  <c r="K7" i="9"/>
  <c r="A8" i="9"/>
  <c r="G8" i="9"/>
  <c r="K8" i="9"/>
  <c r="A13" i="9"/>
  <c r="B13" i="9"/>
  <c r="E13" i="9" s="1"/>
  <c r="C13" i="9"/>
  <c r="A14" i="9"/>
  <c r="B14" i="9"/>
  <c r="H14" i="9" s="1"/>
  <c r="C14" i="9"/>
  <c r="A15" i="9"/>
  <c r="B15" i="9"/>
  <c r="E15" i="9" s="1"/>
  <c r="C15" i="9"/>
  <c r="A16" i="9"/>
  <c r="B16" i="9"/>
  <c r="F16" i="9" s="1"/>
  <c r="C16" i="9"/>
  <c r="A17" i="9"/>
  <c r="B17" i="9"/>
  <c r="E17" i="9" s="1"/>
  <c r="C17" i="9"/>
  <c r="A18" i="9"/>
  <c r="J18" i="9" s="1"/>
  <c r="B18" i="9"/>
  <c r="A19" i="9"/>
  <c r="E19" i="9" s="1"/>
  <c r="B19" i="9"/>
  <c r="A20" i="9"/>
  <c r="B20" i="9"/>
  <c r="H20" i="9" s="1"/>
  <c r="C20" i="9"/>
  <c r="A21" i="9"/>
  <c r="E22" i="9" s="1"/>
  <c r="B21" i="9"/>
  <c r="A22" i="9"/>
  <c r="J22" i="9" s="1"/>
  <c r="B22" i="9"/>
  <c r="C22" i="9"/>
  <c r="A23" i="9"/>
  <c r="B23" i="9"/>
  <c r="G23" i="9" s="1"/>
  <c r="C23" i="9"/>
  <c r="A24" i="9"/>
  <c r="H24" i="9" s="1"/>
  <c r="B24" i="9"/>
  <c r="A25" i="9"/>
  <c r="J25" i="9" s="1"/>
  <c r="B25" i="9"/>
  <c r="A26" i="9"/>
  <c r="B26" i="9"/>
  <c r="E26" i="9" s="1"/>
  <c r="C26" i="9"/>
  <c r="A27" i="9"/>
  <c r="F27" i="9" s="1"/>
  <c r="B27" i="9"/>
  <c r="A28" i="9"/>
  <c r="H28" i="9" s="1"/>
  <c r="B28" i="9"/>
  <c r="A29" i="9"/>
  <c r="B29" i="9"/>
  <c r="F29" i="9" s="1"/>
  <c r="C29" i="9"/>
  <c r="A30" i="9"/>
  <c r="H30" i="9" s="1"/>
  <c r="B30" i="9"/>
  <c r="A31" i="9"/>
  <c r="J31" i="9" s="1"/>
  <c r="B31" i="9"/>
  <c r="A32" i="9"/>
  <c r="B32" i="9"/>
  <c r="E32" i="9" s="1"/>
  <c r="C32" i="9"/>
  <c r="A33" i="9"/>
  <c r="F33" i="9" s="1"/>
  <c r="B33" i="9"/>
  <c r="A34" i="9"/>
  <c r="H34" i="9" s="1"/>
  <c r="B34" i="9"/>
  <c r="A35" i="9"/>
  <c r="B35" i="9"/>
  <c r="F35" i="9" s="1"/>
  <c r="C35" i="9"/>
  <c r="A36" i="9"/>
  <c r="H36" i="9" s="1"/>
  <c r="B36" i="9"/>
  <c r="A37" i="9"/>
  <c r="B37" i="9"/>
  <c r="J37" i="9" s="1"/>
  <c r="C37" i="9"/>
  <c r="A38" i="9"/>
  <c r="E38" i="9" s="1"/>
  <c r="B38" i="9"/>
  <c r="A39" i="9"/>
  <c r="B39" i="9"/>
  <c r="H39" i="9" s="1"/>
  <c r="C39" i="9"/>
  <c r="A40" i="9"/>
  <c r="H40" i="9" s="1"/>
  <c r="B40" i="9"/>
  <c r="L49" i="16" l="1"/>
  <c r="I18" i="10"/>
  <c r="D33" i="16"/>
  <c r="B33" i="16" s="1"/>
  <c r="C34" i="16"/>
  <c r="D32" i="16"/>
  <c r="B8" i="16"/>
  <c r="K26" i="10"/>
  <c r="K27" i="10"/>
  <c r="N23" i="12"/>
  <c r="E23" i="12" s="1"/>
  <c r="O24" i="12"/>
  <c r="N21" i="12"/>
  <c r="E21" i="12" s="1"/>
  <c r="L14" i="11" s="1"/>
  <c r="N28" i="12"/>
  <c r="E28" i="12" s="1"/>
  <c r="L17" i="11" s="1"/>
  <c r="N25" i="12"/>
  <c r="E25" i="12" s="1"/>
  <c r="N9" i="12"/>
  <c r="E9" i="12" s="1"/>
  <c r="L10" i="11" s="1"/>
  <c r="J20" i="10"/>
  <c r="K20" i="10" s="1"/>
  <c r="H20" i="10"/>
  <c r="N29" i="12"/>
  <c r="E29" i="12" s="1"/>
  <c r="D7" i="12"/>
  <c r="D20" i="12"/>
  <c r="O25" i="12"/>
  <c r="D14" i="12"/>
  <c r="N24" i="12"/>
  <c r="E24" i="12" s="1"/>
  <c r="L15" i="11" s="1"/>
  <c r="O22" i="12"/>
  <c r="N19" i="12"/>
  <c r="E19" i="12" s="1"/>
  <c r="D8" i="12"/>
  <c r="O23" i="12"/>
  <c r="N20" i="12"/>
  <c r="E20" i="12" s="1"/>
  <c r="N6" i="12"/>
  <c r="E6" i="12" s="1"/>
  <c r="L9" i="11" s="1"/>
  <c r="N3" i="12"/>
  <c r="E3" i="12" s="1"/>
  <c r="L6" i="11" s="1"/>
  <c r="D27" i="12"/>
  <c r="C26" i="10" s="1"/>
  <c r="E10" i="11"/>
  <c r="E18" i="11" s="1"/>
  <c r="H13" i="10"/>
  <c r="O20" i="12"/>
  <c r="N17" i="12"/>
  <c r="E17" i="12" s="1"/>
  <c r="O28" i="12"/>
  <c r="O17" i="12"/>
  <c r="N14" i="12"/>
  <c r="E14" i="12" s="1"/>
  <c r="N11" i="12"/>
  <c r="E11" i="12" s="1"/>
  <c r="D16" i="12"/>
  <c r="C19" i="10" s="1"/>
  <c r="D23" i="12"/>
  <c r="C24" i="10" s="1"/>
  <c r="O21" i="12"/>
  <c r="N18" i="12"/>
  <c r="E18" i="12" s="1"/>
  <c r="L13" i="11" s="1"/>
  <c r="N7" i="12"/>
  <c r="E7" i="12" s="1"/>
  <c r="N4" i="12"/>
  <c r="E4" i="12" s="1"/>
  <c r="L7" i="11" s="1"/>
  <c r="D29" i="12"/>
  <c r="O29" i="12"/>
  <c r="N15" i="12"/>
  <c r="E15" i="12" s="1"/>
  <c r="L12" i="11" s="1"/>
  <c r="D17" i="12"/>
  <c r="N26" i="12"/>
  <c r="E26" i="12" s="1"/>
  <c r="L16" i="11" s="1"/>
  <c r="O15" i="12"/>
  <c r="N12" i="12"/>
  <c r="E12" i="12" s="1"/>
  <c r="L11" i="11" s="1"/>
  <c r="D11" i="12"/>
  <c r="N22" i="12"/>
  <c r="E22" i="12" s="1"/>
  <c r="N5" i="12"/>
  <c r="E5" i="12" s="1"/>
  <c r="L8" i="11" s="1"/>
  <c r="D22" i="12"/>
  <c r="C23" i="10" s="1"/>
  <c r="D19" i="12"/>
  <c r="N8" i="12"/>
  <c r="E8" i="12" s="1"/>
  <c r="O5" i="12"/>
  <c r="N2" i="12"/>
  <c r="E2" i="12" s="1"/>
  <c r="L5" i="11" s="1"/>
  <c r="D13" i="12"/>
  <c r="C17" i="10" s="1"/>
  <c r="D25" i="12"/>
  <c r="O19" i="12"/>
  <c r="N16" i="12"/>
  <c r="E16" i="12" s="1"/>
  <c r="N27" i="12"/>
  <c r="E27" i="12" s="1"/>
  <c r="O16" i="12"/>
  <c r="N13" i="12"/>
  <c r="E13" i="12" s="1"/>
  <c r="O2" i="12"/>
  <c r="J24" i="10"/>
  <c r="K24" i="10" s="1"/>
  <c r="O3" i="12"/>
  <c r="G24" i="10"/>
  <c r="O4" i="12"/>
  <c r="O11" i="12"/>
  <c r="J7" i="11"/>
  <c r="O14" i="12"/>
  <c r="O13" i="12"/>
  <c r="O12" i="12"/>
  <c r="K23" i="9" s="1"/>
  <c r="O8" i="12"/>
  <c r="O7" i="12"/>
  <c r="O6" i="12"/>
  <c r="O9" i="12"/>
  <c r="K20" i="9" s="1"/>
  <c r="I13" i="10"/>
  <c r="O18" i="12"/>
  <c r="J6" i="11"/>
  <c r="O27" i="12"/>
  <c r="O26" i="12"/>
  <c r="F18" i="11"/>
  <c r="F20" i="10"/>
  <c r="E20" i="10"/>
  <c r="E33" i="9"/>
  <c r="J19" i="10"/>
  <c r="K19" i="10" s="1"/>
  <c r="J13" i="11"/>
  <c r="H22" i="9"/>
  <c r="G19" i="10"/>
  <c r="I21" i="10"/>
  <c r="F19" i="10"/>
  <c r="G21" i="10"/>
  <c r="K18" i="11"/>
  <c r="G18" i="11"/>
  <c r="J11" i="11"/>
  <c r="J15" i="11"/>
  <c r="J16" i="11"/>
  <c r="H18" i="11"/>
  <c r="J9" i="11"/>
  <c r="I18" i="11"/>
  <c r="J14" i="11"/>
  <c r="J8" i="11"/>
  <c r="C18" i="11"/>
  <c r="D18" i="11"/>
  <c r="J5" i="11"/>
  <c r="J12" i="11"/>
  <c r="J17" i="11"/>
  <c r="I37" i="9"/>
  <c r="H24" i="10"/>
  <c r="J21" i="10"/>
  <c r="K21" i="10" s="1"/>
  <c r="I22" i="9"/>
  <c r="H21" i="10"/>
  <c r="B10" i="11"/>
  <c r="B11" i="11"/>
  <c r="J13" i="9"/>
  <c r="I23" i="10"/>
  <c r="E21" i="10"/>
  <c r="I13" i="9"/>
  <c r="G23" i="10"/>
  <c r="B13" i="11"/>
  <c r="H13" i="9"/>
  <c r="E14" i="10"/>
  <c r="B14" i="11"/>
  <c r="B15" i="11"/>
  <c r="G22" i="10"/>
  <c r="B16" i="11"/>
  <c r="F22" i="10"/>
  <c r="G20" i="10"/>
  <c r="B17" i="11"/>
  <c r="J39" i="9"/>
  <c r="J35" i="9"/>
  <c r="I15" i="9"/>
  <c r="J14" i="10"/>
  <c r="K14" i="10" s="1"/>
  <c r="I35" i="9"/>
  <c r="F28" i="9"/>
  <c r="F15" i="9"/>
  <c r="J23" i="10"/>
  <c r="K23" i="10" s="1"/>
  <c r="I14" i="10"/>
  <c r="H35" i="9"/>
  <c r="J25" i="10"/>
  <c r="K25" i="10" s="1"/>
  <c r="G35" i="9"/>
  <c r="I25" i="10"/>
  <c r="H23" i="10"/>
  <c r="E35" i="9"/>
  <c r="H25" i="10"/>
  <c r="G14" i="9"/>
  <c r="F23" i="10"/>
  <c r="I19" i="10"/>
  <c r="J13" i="10"/>
  <c r="K13" i="10" s="1"/>
  <c r="I34" i="9"/>
  <c r="I24" i="10"/>
  <c r="H22" i="10"/>
  <c r="E19" i="10"/>
  <c r="E29" i="9"/>
  <c r="E22" i="10"/>
  <c r="J15" i="10"/>
  <c r="K15" i="10" s="1"/>
  <c r="H37" i="9"/>
  <c r="G28" i="9"/>
  <c r="G22" i="9"/>
  <c r="G25" i="10"/>
  <c r="F24" i="10"/>
  <c r="J16" i="10"/>
  <c r="I15" i="10"/>
  <c r="H14" i="10"/>
  <c r="G13" i="10"/>
  <c r="G37" i="9"/>
  <c r="F25" i="10"/>
  <c r="J17" i="10"/>
  <c r="K17" i="10" s="1"/>
  <c r="I16" i="10"/>
  <c r="H15" i="10"/>
  <c r="G14" i="10"/>
  <c r="F13" i="10"/>
  <c r="E28" i="9"/>
  <c r="J18" i="10"/>
  <c r="I17" i="10"/>
  <c r="H16" i="10"/>
  <c r="G15" i="10"/>
  <c r="J23" i="9"/>
  <c r="H17" i="10"/>
  <c r="G16" i="10"/>
  <c r="F15" i="10"/>
  <c r="F39" i="9"/>
  <c r="H23" i="9"/>
  <c r="H16" i="9"/>
  <c r="F14" i="9"/>
  <c r="H18" i="10"/>
  <c r="G17" i="10"/>
  <c r="F16" i="10"/>
  <c r="J36" i="9"/>
  <c r="E27" i="9"/>
  <c r="F23" i="9"/>
  <c r="G16" i="9"/>
  <c r="E14" i="9"/>
  <c r="G18" i="10"/>
  <c r="F17" i="10"/>
  <c r="I29" i="9"/>
  <c r="E23" i="9"/>
  <c r="E16" i="9"/>
  <c r="J22" i="10"/>
  <c r="K22" i="10" s="1"/>
  <c r="F18" i="10"/>
  <c r="G33" i="9"/>
  <c r="G29" i="9"/>
  <c r="J20" i="9"/>
  <c r="J17" i="9"/>
  <c r="I40" i="9"/>
  <c r="I36" i="9"/>
  <c r="G34" i="9"/>
  <c r="G20" i="9"/>
  <c r="I17" i="9"/>
  <c r="G40" i="9"/>
  <c r="F34" i="9"/>
  <c r="I23" i="9"/>
  <c r="F22" i="9"/>
  <c r="F20" i="9"/>
  <c r="H17" i="9"/>
  <c r="F40" i="9"/>
  <c r="E34" i="9"/>
  <c r="D26" i="9"/>
  <c r="E20" i="9"/>
  <c r="G17" i="9"/>
  <c r="E40" i="9"/>
  <c r="J30" i="9"/>
  <c r="I28" i="9"/>
  <c r="F17" i="9"/>
  <c r="I30" i="9"/>
  <c r="H21" i="9"/>
  <c r="F21" i="9"/>
  <c r="G39" i="9"/>
  <c r="J29" i="9"/>
  <c r="E21" i="9"/>
  <c r="J24" i="9"/>
  <c r="J16" i="9"/>
  <c r="E39" i="9"/>
  <c r="H29" i="9"/>
  <c r="G27" i="9"/>
  <c r="I24" i="9"/>
  <c r="I16" i="9"/>
  <c r="J14" i="9"/>
  <c r="G36" i="9"/>
  <c r="I31" i="9"/>
  <c r="G30" i="9"/>
  <c r="I25" i="9"/>
  <c r="G24" i="9"/>
  <c r="I18" i="9"/>
  <c r="J38" i="9"/>
  <c r="F36" i="9"/>
  <c r="J32" i="9"/>
  <c r="H31" i="9"/>
  <c r="F30" i="9"/>
  <c r="J26" i="9"/>
  <c r="H25" i="9"/>
  <c r="F24" i="9"/>
  <c r="J19" i="9"/>
  <c r="H18" i="9"/>
  <c r="D16" i="9"/>
  <c r="I38" i="9"/>
  <c r="E36" i="9"/>
  <c r="I32" i="9"/>
  <c r="G31" i="9"/>
  <c r="E30" i="9"/>
  <c r="I26" i="9"/>
  <c r="G25" i="9"/>
  <c r="E24" i="9"/>
  <c r="I19" i="9"/>
  <c r="G18" i="9"/>
  <c r="H38" i="9"/>
  <c r="F37" i="9"/>
  <c r="J33" i="9"/>
  <c r="H32" i="9"/>
  <c r="F31" i="9"/>
  <c r="J27" i="9"/>
  <c r="H26" i="9"/>
  <c r="F25" i="9"/>
  <c r="H19" i="9"/>
  <c r="F18" i="9"/>
  <c r="D17" i="9"/>
  <c r="I39" i="9"/>
  <c r="G38" i="9"/>
  <c r="E37" i="9"/>
  <c r="I33" i="9"/>
  <c r="G32" i="9"/>
  <c r="E31" i="9"/>
  <c r="I27" i="9"/>
  <c r="G26" i="9"/>
  <c r="E25" i="9"/>
  <c r="J21" i="9"/>
  <c r="I20" i="9"/>
  <c r="G19" i="9"/>
  <c r="E18" i="9"/>
  <c r="I14" i="9"/>
  <c r="G13" i="9"/>
  <c r="J40" i="9"/>
  <c r="F38" i="9"/>
  <c r="J34" i="9"/>
  <c r="H33" i="9"/>
  <c r="F32" i="9"/>
  <c r="J28" i="9"/>
  <c r="H27" i="9"/>
  <c r="F26" i="9"/>
  <c r="I21" i="9"/>
  <c r="F19" i="9"/>
  <c r="J15" i="9"/>
  <c r="F13" i="9"/>
  <c r="G21" i="9"/>
  <c r="H15" i="9"/>
  <c r="D13" i="9"/>
  <c r="G15" i="9"/>
  <c r="D14" i="9"/>
  <c r="D15" i="9"/>
  <c r="E32" i="16" l="1"/>
  <c r="H32" i="16" s="1"/>
  <c r="E33" i="16"/>
  <c r="H33" i="16" s="1"/>
  <c r="B32" i="16"/>
  <c r="F32" i="16"/>
  <c r="D34" i="16"/>
  <c r="B34" i="16" s="1"/>
  <c r="M17" i="16" s="1"/>
  <c r="C35" i="16"/>
  <c r="J10" i="11"/>
  <c r="J18" i="11"/>
  <c r="B18" i="11"/>
  <c r="L18" i="11"/>
  <c r="C31" i="9"/>
  <c r="C22" i="10"/>
  <c r="C25" i="9"/>
  <c r="C18" i="10"/>
  <c r="C36" i="9"/>
  <c r="C27" i="10"/>
  <c r="C28" i="9"/>
  <c r="C20" i="10"/>
  <c r="C40" i="9"/>
  <c r="C25" i="10"/>
  <c r="C21" i="9"/>
  <c r="C15" i="10"/>
  <c r="C19" i="9"/>
  <c r="C14" i="10"/>
  <c r="C30" i="9"/>
  <c r="C21" i="10"/>
  <c r="C18" i="9"/>
  <c r="C13" i="10"/>
  <c r="C24" i="9"/>
  <c r="C38" i="9"/>
  <c r="C33" i="9"/>
  <c r="C34" i="9"/>
  <c r="C27" i="9"/>
  <c r="E34" i="16" l="1"/>
  <c r="H34" i="16" s="1"/>
  <c r="F33" i="16"/>
  <c r="G32" i="16"/>
  <c r="C36" i="16"/>
  <c r="D35" i="16"/>
  <c r="E35" i="16" s="1"/>
  <c r="H35" i="16" s="1"/>
  <c r="B35" i="16" l="1"/>
  <c r="M18" i="16" s="1"/>
  <c r="D36" i="16"/>
  <c r="B36" i="16" s="1"/>
  <c r="M19" i="16" s="1"/>
  <c r="C37" i="16"/>
  <c r="F34" i="16"/>
  <c r="G33" i="16"/>
  <c r="F35" i="16" l="1"/>
  <c r="G34" i="16"/>
  <c r="N17" i="16" s="1"/>
  <c r="C38" i="16"/>
  <c r="D37" i="16"/>
  <c r="E37" i="16" s="1"/>
  <c r="H37" i="16" s="1"/>
  <c r="E36" i="16"/>
  <c r="H36" i="16" s="1"/>
  <c r="B37" i="16" l="1"/>
  <c r="M20" i="16" s="1"/>
  <c r="D38" i="16"/>
  <c r="E38" i="16" s="1"/>
  <c r="H38" i="16" s="1"/>
  <c r="C39" i="16"/>
  <c r="F36" i="16"/>
  <c r="G35" i="16"/>
  <c r="N18" i="16" s="1"/>
  <c r="C40" i="16" l="1"/>
  <c r="D39" i="16"/>
  <c r="E39" i="16" s="1"/>
  <c r="H39" i="16" s="1"/>
  <c r="B38" i="16"/>
  <c r="M21" i="16" s="1"/>
  <c r="F37" i="16"/>
  <c r="G36" i="16"/>
  <c r="N19" i="16" s="1"/>
  <c r="B39" i="16" l="1"/>
  <c r="M22" i="16" s="1"/>
  <c r="F38" i="16"/>
  <c r="G37" i="16"/>
  <c r="N20" i="16" s="1"/>
  <c r="D40" i="16"/>
  <c r="C41" i="16"/>
  <c r="F39" i="16" l="1"/>
  <c r="G38" i="16"/>
  <c r="N21" i="16" s="1"/>
  <c r="D41" i="16"/>
  <c r="C42" i="16"/>
  <c r="B40" i="16"/>
  <c r="M23" i="16" s="1"/>
  <c r="E40" i="16"/>
  <c r="H40" i="16" s="1"/>
  <c r="E41" i="16" l="1"/>
  <c r="H41" i="16" s="1"/>
  <c r="B41" i="16"/>
  <c r="M24" i="16" s="1"/>
  <c r="D42" i="16"/>
  <c r="C43" i="16"/>
  <c r="C44" i="16" s="1"/>
  <c r="C45" i="16" s="1"/>
  <c r="F40" i="16"/>
  <c r="G39" i="16"/>
  <c r="N22" i="16" s="1"/>
  <c r="D45" i="16" l="1"/>
  <c r="B50" i="16" s="1"/>
  <c r="D44" i="16"/>
  <c r="E42" i="16"/>
  <c r="F41" i="16"/>
  <c r="G40" i="16"/>
  <c r="N23" i="16" s="1"/>
  <c r="D43" i="16"/>
  <c r="B42" i="16"/>
  <c r="B12" i="16" l="1"/>
  <c r="B49" i="16"/>
  <c r="J7" i="16"/>
  <c r="J9" i="16"/>
  <c r="I45" i="16"/>
  <c r="J45" i="16"/>
  <c r="B45" i="16"/>
  <c r="G45" i="16"/>
  <c r="N28" i="16" s="1"/>
  <c r="B44" i="16"/>
  <c r="E45" i="16"/>
  <c r="M25" i="16"/>
  <c r="E44" i="16"/>
  <c r="E43" i="16"/>
  <c r="G41" i="16"/>
  <c r="F42" i="16"/>
  <c r="B43" i="16"/>
  <c r="M28" i="16" l="1"/>
  <c r="J8" i="16"/>
  <c r="M27" i="16"/>
  <c r="F8" i="16"/>
  <c r="H42" i="16"/>
  <c r="N24" i="16"/>
  <c r="M26" i="16"/>
  <c r="F43" i="16"/>
  <c r="F44" i="16" l="1"/>
  <c r="G43" i="16"/>
  <c r="F45" i="16" l="1"/>
  <c r="G44" i="16"/>
  <c r="H44" i="16" s="1"/>
  <c r="N26" i="16"/>
  <c r="H43" i="16"/>
  <c r="N27" i="16" l="1"/>
  <c r="F7" i="16"/>
  <c r="H4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Ednaldo Silva</author>
  </authors>
  <commentList>
    <comment ref="M26" authorId="0" shapeId="0" xr:uid="{FDB95523-4EB2-447C-968A-513262C4F838}">
      <text>
        <r>
          <rPr>
            <b/>
            <sz val="9"/>
            <color indexed="81"/>
            <rFont val="Segoe UI"/>
            <charset val="1"/>
          </rPr>
          <t>Ednaldo Silva:</t>
        </r>
        <r>
          <rPr>
            <sz val="9"/>
            <color indexed="81"/>
            <rFont val="Segoe UI"/>
            <charset val="1"/>
          </rPr>
          <t xml:space="preserve">
Eixo automático: apresenta sempre as 10 semanas de segunda a sexta já encerradas. A sexta da semana corrente entra na janela a partir do sábado, no próximo recálculo/abertura do Excel. Fórmulas em M17:M26; não editar manualmente.</t>
        </r>
      </text>
    </comment>
    <comment ref="N26" authorId="0" shapeId="0" xr:uid="{3049A31A-7FBF-45C3-A7ED-FD8C26F534C6}">
      <text>
        <r>
          <rPr>
            <b/>
            <sz val="9"/>
            <color indexed="81"/>
            <rFont val="Segoe UI"/>
            <charset val="1"/>
          </rPr>
          <t>Ednaldo Silva:</t>
        </r>
        <r>
          <rPr>
            <sz val="9"/>
            <color indexed="81"/>
            <rFont val="Segoe UI"/>
            <charset val="1"/>
          </rPr>
          <t xml:space="preserve">
Série automática: COUNTIFS usa colunas da tabela TabelaAtividadesMicro6, inclusive novas linhas adicionadas à tabela; denominador em L46. O gráfico inclui células ocultas. Excel deve permanecer com cálculo Automático; se a pasta estiver fechada, os resultados são recalculados quando aberta.</t>
        </r>
      </text>
    </comment>
    <comment ref="M27" authorId="0" shapeId="0" xr:uid="{ABF5B280-A54F-4039-91CF-73B5EBA87ED4}">
      <text>
        <r>
          <rPr>
            <b/>
            <sz val="9"/>
            <color indexed="81"/>
            <rFont val="Segoe UI"/>
            <family val="2"/>
          </rPr>
          <t>Ednaldo Silva:</t>
        </r>
        <r>
          <rPr>
            <sz val="9"/>
            <color indexed="81"/>
            <rFont val="Segoe UI"/>
            <family val="2"/>
          </rPr>
          <t xml:space="preserve">
Semana de 12 a 16/10/2026 incluída no eixo; sem ponto de avanço até o fechamento da sexta-feira.</t>
        </r>
      </text>
    </comment>
    <comment ref="N27" authorId="0" shapeId="0" xr:uid="{0082E4AF-B8D9-40FA-8362-8524EFC13714}">
      <text>
        <r>
          <rPr>
            <b/>
            <sz val="9"/>
            <color indexed="81"/>
            <rFont val="Segoe UI"/>
            <family val="2"/>
          </rPr>
          <t>Ednaldo Silva:</t>
        </r>
        <r>
          <rPr>
            <sz val="9"/>
            <color indexed="81"/>
            <rFont val="Segoe UI"/>
            <family val="2"/>
          </rPr>
          <t xml:space="preserve">
Valor parcial atualizado a partir do indicador do painel: 107 de 205 atividades no momento da edição (15/10/2026). Não representa fechamento da sexta-feira.</t>
        </r>
      </text>
    </comment>
    <comment ref="G42" authorId="0" shapeId="0" xr:uid="{F8F88E89-3A8F-4778-AD14-C6EC1A58131B}">
      <text>
        <r>
          <rPr>
            <b/>
            <sz val="9"/>
            <color indexed="81"/>
            <rFont val="Segoe UI"/>
            <family val="2"/>
          </rPr>
          <t>Percentual informado pelo usuário para a semana encerrada de 05/10 a 09/10/2026: 47%. Substitui apenas o percentual reconstruído; E42 e F42 permanecem baseados nas datas das atividades.</t>
        </r>
      </text>
    </comment>
    <comment ref="G43" authorId="0" shapeId="0" xr:uid="{795DAF9C-5789-48D5-B1BC-428DB2A4B250}">
      <text>
        <r>
          <rPr>
            <b/>
            <sz val="9"/>
            <color indexed="81"/>
            <rFont val="Segoe UI"/>
            <family val="2"/>
          </rPr>
          <t>12–16/10/2026: fechamento retrospectivo calculado pelas finalizações com data real até 16/10, dividido pela base ativa atual. Não é percentual histórico informado.</t>
        </r>
      </text>
    </comment>
    <comment ref="G44" authorId="0" shapeId="0" xr:uid="{28EDCFEC-2743-4B80-B752-FF0A08FD09CD}">
      <text>
        <r>
          <rPr>
            <b/>
            <sz val="9"/>
            <color indexed="81"/>
            <rFont val="Segoe UI"/>
            <family val="2"/>
          </rPr>
          <t>Ponto parcial de 19–23/10/2026: percentual atual do Painel Executivo Micro, incluindo finalizadas sem data de fim; atualizado automaticamente.</t>
        </r>
      </text>
    </comment>
    <comment ref="G45" authorId="0" shapeId="0" xr:uid="{FB9B5589-7794-48A1-BF99-C63FF643B7EE}">
      <text>
        <r>
          <rPr>
            <b/>
            <sz val="9"/>
            <color indexed="81"/>
            <rFont val="Segoe UI"/>
            <family val="2"/>
          </rPr>
          <t>12–16/10/2026: fechamento retrospectivo calculado pelas finalizações com data real até 16/10, dividido pela base ativa atual. Não é percentual histórico informado.</t>
        </r>
      </text>
    </comment>
  </commentList>
</comments>
</file>

<file path=xl/sharedStrings.xml><?xml version="1.0" encoding="utf-8"?>
<sst xmlns="http://schemas.openxmlformats.org/spreadsheetml/2006/main" count="3292" uniqueCount="463">
  <si>
    <t>Leitura do andamento das atividades Macro | Canceladas incluídas no total e fora do cálculo percentual</t>
  </si>
  <si>
    <t>Andamento das atividades Macro</t>
  </si>
  <si>
    <t>Não iniciado</t>
  </si>
  <si>
    <t>Em andamento</t>
  </si>
  <si>
    <t>Testes QA</t>
  </si>
  <si>
    <t>Bloqueado</t>
  </si>
  <si>
    <t>Cancelado</t>
  </si>
  <si>
    <t>Finalizado</t>
  </si>
  <si>
    <t>Fora do cálculo</t>
  </si>
  <si>
    <t>Evolução das atividades Macro</t>
  </si>
  <si>
    <t>Atividade macro</t>
  </si>
  <si>
    <t>Frente</t>
  </si>
  <si>
    <t>Data Planejada</t>
  </si>
  <si>
    <t>Atividades macro</t>
  </si>
  <si>
    <t>% concluído</t>
  </si>
  <si>
    <t xml:space="preserve">* Gedi, Aptus e Nimbi </t>
  </si>
  <si>
    <t>* Turin</t>
  </si>
  <si>
    <t>* Portal do Fornecedor - TOTVS</t>
  </si>
  <si>
    <t>*(VPO) Open Tech,  TMS Multi (CTE)</t>
  </si>
  <si>
    <t>*SOLUTIS</t>
  </si>
  <si>
    <t>* Tecsus</t>
  </si>
  <si>
    <t>A aba apresenta somente o andamento das atividades Macro. Canceladas permanecem na quantidade total e na coluna própria, mas não compõem o denominador da % concluída. Percentuais em vermelho indicam Data Planejada alcançada ou vencida com entrega pendente.</t>
  </si>
  <si>
    <t>Leitura do andamento das atividades Micro | Canceladas fora do total ativo e do cálculo percentual</t>
  </si>
  <si>
    <t>Andamento das atividades Micro</t>
  </si>
  <si>
    <t>Evolução das atividades Micro — Aderência e Satélites</t>
  </si>
  <si>
    <t>Linha de atividade micro</t>
  </si>
  <si>
    <t>Atividades micro</t>
  </si>
  <si>
    <t>(Zanthus) Aderência</t>
  </si>
  <si>
    <t>Zanthus</t>
  </si>
  <si>
    <t>(TOTVS RM) Aderência</t>
  </si>
  <si>
    <t>TOTVS RM</t>
  </si>
  <si>
    <t>A aba apresenta somente atividades Micro vinculadas às linhas de Aderência e Satélites, sem as linhas principais Macro. Canceladas ficam visíveis, mas não compõem o total ativo nem o denominador da % concluída. Percentuais em vermelho indicam Data Planejada alcançada ou vencida com entrega pendente.</t>
  </si>
  <si>
    <t>ATIVIDADES MACRO POR FRENTE</t>
  </si>
  <si>
    <t>Quantidade Macro inclui atividades canceladas; canceladas permanecem visíveis em coluna própria e ficam fora somente do percentual concluído.</t>
  </si>
  <si>
    <t>Data fim real</t>
  </si>
  <si>
    <t>(Migração ERP) Infraestrutura</t>
  </si>
  <si>
    <t>(Migração ERP) Dados Mestres</t>
  </si>
  <si>
    <t>(Migração ERP) Refatoração / Fontes</t>
  </si>
  <si>
    <t>(Migração ERP) Satélites</t>
  </si>
  <si>
    <t>Financeiro</t>
  </si>
  <si>
    <t>Fiscal</t>
  </si>
  <si>
    <t>Contábil</t>
  </si>
  <si>
    <t>Supply</t>
  </si>
  <si>
    <t>CD</t>
  </si>
  <si>
    <t>Comercial</t>
  </si>
  <si>
    <t>Operações</t>
  </si>
  <si>
    <t>TOTAL</t>
  </si>
  <si>
    <t>Ticket</t>
  </si>
  <si>
    <t>Status da macro</t>
  </si>
  <si>
    <t>MERP-7406</t>
  </si>
  <si>
    <t>Infraestrutura - Fusão - Grupo PetzCobasi</t>
  </si>
  <si>
    <t>MERP-7384</t>
  </si>
  <si>
    <t>Migração de Dados/Saldo Inicial | Fusão Petz Cobasi</t>
  </si>
  <si>
    <t>MERP-7402</t>
  </si>
  <si>
    <t>Revisão de código e configurações</t>
  </si>
  <si>
    <t>MERP-7394</t>
  </si>
  <si>
    <t>Sistemas Satelites | Fusão Petz Cobasi</t>
  </si>
  <si>
    <t>SPR-626</t>
  </si>
  <si>
    <t>FINANCEIRO | Fusão - Grupo Petz Cobasi</t>
  </si>
  <si>
    <t>(Financeiro) Aderência</t>
  </si>
  <si>
    <t>(Financeiro) Satélites</t>
  </si>
  <si>
    <t>SPR-628</t>
  </si>
  <si>
    <t>FISCAL | Fusão - Grupo Petz Cobasi</t>
  </si>
  <si>
    <t>(Fiscal) Satélites</t>
  </si>
  <si>
    <t>SPR-629</t>
  </si>
  <si>
    <t>CONTÁBIL | Fusão - Grupo Petz Cobasi</t>
  </si>
  <si>
    <t>(Contábil) Aderência</t>
  </si>
  <si>
    <t>(Contábil) Satélites</t>
  </si>
  <si>
    <t>SPS-1048</t>
  </si>
  <si>
    <t>SUPPLY| Fusão - Petz Cobasi</t>
  </si>
  <si>
    <t>(Supply) Aderência</t>
  </si>
  <si>
    <t>(Supply) Satélites</t>
  </si>
  <si>
    <t>SPCD-2330</t>
  </si>
  <si>
    <t>CD | Fusão - Grupo Petz Cobasi</t>
  </si>
  <si>
    <t>(CD) Aderência</t>
  </si>
  <si>
    <t>(CD) Satélites</t>
  </si>
  <si>
    <t>SPR-1239</t>
  </si>
  <si>
    <t>COMERCIAL | Fusão - Petz Cobasi</t>
  </si>
  <si>
    <t>(Comercial) Aderência</t>
  </si>
  <si>
    <t>(Comercial) Satélites</t>
  </si>
  <si>
    <t>SRM-37</t>
  </si>
  <si>
    <t>TOTVS / RM | Fusão Petz Cobasi</t>
  </si>
  <si>
    <t>PTZO-551</t>
  </si>
  <si>
    <t>ZANTHUS PDV | Fusão Petz Cobasi</t>
  </si>
  <si>
    <t>MERP-</t>
  </si>
  <si>
    <t>OPERAÇÕES | Fusão - Petz Cobasi</t>
  </si>
  <si>
    <t>(Operações) Satélites</t>
  </si>
  <si>
    <t>Frente consolidada</t>
  </si>
  <si>
    <t>Linha macro</t>
  </si>
  <si>
    <t>Ticket Epic</t>
  </si>
  <si>
    <t>Ticket atividade</t>
  </si>
  <si>
    <t>Atividade</t>
  </si>
  <si>
    <t>Pai</t>
  </si>
  <si>
    <t>Tipo de registro</t>
  </si>
  <si>
    <t>Hierarquia</t>
  </si>
  <si>
    <t>Categoria</t>
  </si>
  <si>
    <t>Status</t>
  </si>
  <si>
    <t>Linha na matriz</t>
  </si>
  <si>
    <t>Mapeamento da infraestrutura</t>
  </si>
  <si>
    <t>Macro</t>
  </si>
  <si>
    <t>História</t>
  </si>
  <si>
    <t>Infraestrutura</t>
  </si>
  <si>
    <t>Desenho do Sizing da topologia de Servidores (Produção)</t>
  </si>
  <si>
    <t>Criação Ambiente Zanthus (Laboratório Fusão)</t>
  </si>
  <si>
    <t>Criação Ambiente Protheus (Laboratório Fusão)</t>
  </si>
  <si>
    <t>Criação Ambiente Zanthus (Homologação)</t>
  </si>
  <si>
    <t>Criação Ambiente Protheus (Homologação) - (Subir Serviços a parte para Cobasi - Lojas, Coletor, CD, E-com-Vetx)</t>
  </si>
  <si>
    <t>Upgrade Ambiente Zanthus (atualiação do ambiente de Produção)</t>
  </si>
  <si>
    <t>Upgrade Ambiente Protheus (atualiação do ambiente de Produção)</t>
  </si>
  <si>
    <t>Construção do Teste de Capacity  (Digital e Protheus)</t>
  </si>
  <si>
    <t>Teste de Capacity  (Digital e Protheus) - Pré BigBang</t>
  </si>
  <si>
    <t>Definição da Infra para RM-RH (Totvs ou Skyone) e Sizing</t>
  </si>
  <si>
    <t>Quais serviços subir DEV (Subir Serviços a parte para Cobasi - Lojas, Coletor, CD, E-com-Vetx)</t>
  </si>
  <si>
    <t>SPR-1149</t>
  </si>
  <si>
    <t>[0426-002521] Desenvolver CNAB a pagar Itau</t>
  </si>
  <si>
    <t>Aderência</t>
  </si>
  <si>
    <t>Documentação do layout com Banco</t>
  </si>
  <si>
    <t>Micro</t>
  </si>
  <si>
    <t>Desenvolvimento</t>
  </si>
  <si>
    <t>SPR-1140</t>
  </si>
  <si>
    <t>[0426-002609] Desenvolver CNAB a pagar Banco do Brasil</t>
  </si>
  <si>
    <t>SPR-1092</t>
  </si>
  <si>
    <t>Desenvolver melhoria nos Pagamentos de Tributos</t>
  </si>
  <si>
    <t>???</t>
  </si>
  <si>
    <t>Integração Portal Gedi</t>
  </si>
  <si>
    <t>Satélites</t>
  </si>
  <si>
    <t>Proposta Gedi</t>
  </si>
  <si>
    <t>Implantação Portal - Empresa 04 e 14</t>
  </si>
  <si>
    <t>Integração GEDI x Protheus</t>
  </si>
  <si>
    <t>Integração GEDI x Turin</t>
  </si>
  <si>
    <t>Integração GEDI x Tecsus</t>
  </si>
  <si>
    <t>Integração GEDI x RM</t>
  </si>
  <si>
    <t>Desenvolvimento: Gedi (API p/ consumir)</t>
  </si>
  <si>
    <t>SPR-1476</t>
  </si>
  <si>
    <t>[FUSÃO] GEDI - Capturar documento fiscal ou financeiro capturado por aplicação externa</t>
  </si>
  <si>
    <t>SPR-1477</t>
  </si>
  <si>
    <t>[FUSÃO] GEDI - Processar os documentos capturados gerando SP genérica aprovada (NFS e Financeiro)</t>
  </si>
  <si>
    <t>SPR-1478</t>
  </si>
  <si>
    <t>[FUSÃO] GEDI - Atualizar fila de integração com status da pré-nota XML</t>
  </si>
  <si>
    <t>SPR-1479</t>
  </si>
  <si>
    <t>[FUSÃO] GEDI - Atualizar fila de integração com status da classificação do documento</t>
  </si>
  <si>
    <t>SPR-1480</t>
  </si>
  <si>
    <t>[FUSÃO] GEDI - Atualizar fila de integração com exclusão da classificação do documento</t>
  </si>
  <si>
    <t>SPR-1481</t>
  </si>
  <si>
    <t>[FUSÃO] GEDI - Atualizar fila de integração com estorno da classificação do documento</t>
  </si>
  <si>
    <t>SPR-1482</t>
  </si>
  <si>
    <t>[FUSÃO] GEDI - Atualizar fila de integração com inclusão do título financeiro</t>
  </si>
  <si>
    <t>SPR-1483</t>
  </si>
  <si>
    <t>[FUSÃO] GEDI - Atualizar fila de integração com exclusão do título financeiro</t>
  </si>
  <si>
    <t>SPR-1484</t>
  </si>
  <si>
    <t>[FUSÃO] GEDI - Processar os documentos capturados gerando SP genérica aprovada (CTe e NFe)</t>
  </si>
  <si>
    <t>SPR-1485</t>
  </si>
  <si>
    <t>[FUSÃO] GEDI - Disponibilizar consulta para fila de registros integrados</t>
  </si>
  <si>
    <t>SPR-1486</t>
  </si>
  <si>
    <t>[FUSÃO] GEDI - Disponibilizar fila de registros integrados para alteração de status</t>
  </si>
  <si>
    <t>SPR-1487</t>
  </si>
  <si>
    <t>[FUSÃO] GEDI - Gerar títulos financeiros bloqueados para pagamento</t>
  </si>
  <si>
    <t>SPR-1488</t>
  </si>
  <si>
    <t>[FUSÃO] GEDI - Possibilitar a liberação de pagamento dos títulos financeiros criados pela integração</t>
  </si>
  <si>
    <t>SPR-1489</t>
  </si>
  <si>
    <t>[FUSÃO] GEDI - Disponibilizar consulta de cadastro de fornecedores</t>
  </si>
  <si>
    <t>SPR-1490</t>
  </si>
  <si>
    <t>[FUSÃO] GEDI - Disponibilizar consulta de cadastro de produtos</t>
  </si>
  <si>
    <t>SPR-1491</t>
  </si>
  <si>
    <t>[FUSÃO] GEDI - Disponibilizar consulta de cadastro de empresa/filial</t>
  </si>
  <si>
    <t>SPR-1492</t>
  </si>
  <si>
    <t>[FUSÃO] GEDI - Disponibilizar consulta de cadastro de condição de pagamento</t>
  </si>
  <si>
    <t>SPR-1493</t>
  </si>
  <si>
    <t>[FUSÃO] GEDI - Disponibilizar consulta de cadastro de centro de custos</t>
  </si>
  <si>
    <t>SPR-1494</t>
  </si>
  <si>
    <t>[FUSÃO] GEDI - Disponibilizar consulta de cadastro de item contábil</t>
  </si>
  <si>
    <t>SPR-1495</t>
  </si>
  <si>
    <t>[FUSÃO] GEDI - Disponibilizar consulta de cadastro de finalidades</t>
  </si>
  <si>
    <t>SPR-1496</t>
  </si>
  <si>
    <t>[FUSÃO] GEDI - Disponibilizar consulta de cadastro de naturezas</t>
  </si>
  <si>
    <t>SPR-1497</t>
  </si>
  <si>
    <t>[FUSÃO] GEDI - Disponibilizar consulta de cadastro de capex/projetos</t>
  </si>
  <si>
    <t>SPR-1498</t>
  </si>
  <si>
    <t>[FUSÃO] GEDI - Disponibilizar consulta de cadastro de totalizadora</t>
  </si>
  <si>
    <t>SPR-1460</t>
  </si>
  <si>
    <t>Aptus</t>
  </si>
  <si>
    <t>Proposta Comercial</t>
  </si>
  <si>
    <t>Parametrização Portal, Desenvolvimento API e Testes Fornecedor</t>
  </si>
  <si>
    <t>Adequação fontes reembolso - Atividade Protheus</t>
  </si>
  <si>
    <t>Testes QA Protheus</t>
  </si>
  <si>
    <t>SPR-1462</t>
  </si>
  <si>
    <t>Nimbi</t>
  </si>
  <si>
    <t>Configuração Portal empresa Petz e Cobasi</t>
  </si>
  <si>
    <t>Integração Nimbi x Gedi</t>
  </si>
  <si>
    <t>Integração Nimbi x Protheus</t>
  </si>
  <si>
    <t>Equals</t>
  </si>
  <si>
    <t>Tela SAC (necessário verificar se Cobasi irá utilizar)</t>
  </si>
  <si>
    <t>Yuno - Sistema Apoio Digital</t>
  </si>
  <si>
    <t>Braspag - Sistema Apoio Digital</t>
  </si>
  <si>
    <t>Signfyd - Sistema Apoio Digital</t>
  </si>
  <si>
    <t>Clear Sale - Sistema Apoio Digital</t>
  </si>
  <si>
    <t>'Fiserv</t>
  </si>
  <si>
    <t>Vexpenses</t>
  </si>
  <si>
    <t>Turim</t>
  </si>
  <si>
    <t>Desenvolvimento, ajuste de RPA, usabilidade ambas bandeiras, Testes</t>
  </si>
  <si>
    <t>Oobj-Avalara</t>
  </si>
  <si>
    <t>Plug Notas (Feature da Zanthus para envio de NF de Serviço)</t>
  </si>
  <si>
    <t>Verg</t>
  </si>
  <si>
    <t>E-notas (Nota Fiscal de Royalty)</t>
  </si>
  <si>
    <t>SPR-1103</t>
  </si>
  <si>
    <t>Implementar Conciliador Backoffice</t>
  </si>
  <si>
    <t>Spike</t>
  </si>
  <si>
    <t>Desenvolvimento - contempla as 13 histórias</t>
  </si>
  <si>
    <t>Testes Unitários QA</t>
  </si>
  <si>
    <t>SPR-1413</t>
  </si>
  <si>
    <t>[FUSÃO] Conciliador de Bonificações - (Não é premissa para BigBang)</t>
  </si>
  <si>
    <t>SPR-1330</t>
  </si>
  <si>
    <t>[FUSÃO] Conciliador de Adiantamento de Fornecedores  - (Não é premissa para BigBang)</t>
  </si>
  <si>
    <t>SPR-1331</t>
  </si>
  <si>
    <t>[FUSÃO] Conciliador de Importação - (Não é premissa para BigBang)</t>
  </si>
  <si>
    <t>SPR-1332</t>
  </si>
  <si>
    <t>[FUSÃO] Conciliador de Imobilizado - (Não é premissa para BigBang)</t>
  </si>
  <si>
    <t>SPR-1410</t>
  </si>
  <si>
    <t>[FUSÃO] Conciliador de Impostos Retidos - (Não é premissa para BigBang)</t>
  </si>
  <si>
    <t>SPR-1411</t>
  </si>
  <si>
    <t>[FUSÃO] Conciliador de Fornecedores - (Não é premissa para BigBang)</t>
  </si>
  <si>
    <t>SPR-1412</t>
  </si>
  <si>
    <t>[FUSÃO] Conciliação Duplicata de Fornecedores - (Não é premissa para BigBang)</t>
  </si>
  <si>
    <t>SPR-1414</t>
  </si>
  <si>
    <t>[FUSÃO] Conciliador Apuração de Impostos (ICMS, PIS e COFINS) - (Não é premissa para BigBang)</t>
  </si>
  <si>
    <t>SPR-1421</t>
  </si>
  <si>
    <t>[FUSÃO] Conciliador de Bancos - (Não é premissa para BigBang)</t>
  </si>
  <si>
    <t>SPR-1423</t>
  </si>
  <si>
    <t>[FUSÃO] Conciliador de Faturamento - (Não é premissa para BigBang)</t>
  </si>
  <si>
    <t>[FUSÃO] Conciliador Apuração de Impostos (ICMS ST e CIAP) - (Não é premissa para BigBang)</t>
  </si>
  <si>
    <t>SPR-1425</t>
  </si>
  <si>
    <t>[FUSÃO] Conciliador da Folha - (Não é premissa para BigBang)</t>
  </si>
  <si>
    <t>SPR-1438</t>
  </si>
  <si>
    <t>[FUSÃO] Conciliador de Contas a Receber - (Não é premissa para BigBang)</t>
  </si>
  <si>
    <t>SPR-1134</t>
  </si>
  <si>
    <t>Avaliar impacto mudança sigla filiais acrescentando caractere que identifica a bandeira</t>
  </si>
  <si>
    <t>Gesplan - Totvs (ambas bandeiras)</t>
  </si>
  <si>
    <t>BLCM</t>
  </si>
  <si>
    <t>Dattos</t>
  </si>
  <si>
    <t>SPS-149</t>
  </si>
  <si>
    <t>[Geração de Pedidos] Pedido Automático MC | ID-47</t>
  </si>
  <si>
    <t>ID-47 | Desenvolvimento</t>
  </si>
  <si>
    <t>ID-47 | Testes QA</t>
  </si>
  <si>
    <t>SPS-1082</t>
  </si>
  <si>
    <t>[Geração de Pedidos] - Holambra (Regras de Arredondamento) | ID-13</t>
  </si>
  <si>
    <t>ID-13 | Desenvolvimento</t>
  </si>
  <si>
    <t>ID-13 | Testes QA</t>
  </si>
  <si>
    <t>Portal do Fornecedor - TOTVS</t>
  </si>
  <si>
    <t>Desenvolvimento - Segurança &amp; Autenticação</t>
  </si>
  <si>
    <t>Teste QA Protheus</t>
  </si>
  <si>
    <t>Frontend - Stack &amp; UX</t>
  </si>
  <si>
    <t>Desenvolvimento ADVPL Web</t>
  </si>
  <si>
    <t>Testes QA ADVPL Web</t>
  </si>
  <si>
    <t>SPS-1015</t>
  </si>
  <si>
    <t>[Portal do Fornecedor] - Monitor de tracking agendamento</t>
  </si>
  <si>
    <t>Teste QA</t>
  </si>
  <si>
    <t>SPS-1324</t>
  </si>
  <si>
    <t>[Portal do Fornecedor] - No-Show | Recusa de Agenda (Fornecedor) | Recusa da Agenda (Operacional)</t>
  </si>
  <si>
    <t>Desenvolvimento - Front end e UX</t>
  </si>
  <si>
    <t>Desenvolvimento - ADVPL Web</t>
  </si>
  <si>
    <t>SPS-1323</t>
  </si>
  <si>
    <t>Portal do Fornecedor] - Workflow de Processos de Recebimento c/ Fornecedor</t>
  </si>
  <si>
    <t>Pen Test</t>
  </si>
  <si>
    <t>Tempo Certo</t>
  </si>
  <si>
    <t>Neogrid (ambas bandeiras)</t>
  </si>
  <si>
    <t>SPCD-2314</t>
  </si>
  <si>
    <t>Levantamento - Mudança de sequencial de Endereço</t>
  </si>
  <si>
    <t>SPCD-2368</t>
  </si>
  <si>
    <t>[Faturamento] Faturamento Automatizado por Palete e Controle de Embarque | ID-107</t>
  </si>
  <si>
    <t>ID-107 | Desenvolvimento</t>
  </si>
  <si>
    <t>ID-107 | Testes QA</t>
  </si>
  <si>
    <t>SPCD-2354</t>
  </si>
  <si>
    <t>[Conferência] Conferência de Produtos por Múltiplo | ID-106</t>
  </si>
  <si>
    <t>ID-106 | Desenvolvimento</t>
  </si>
  <si>
    <t>ID-106 | Testes QA</t>
  </si>
  <si>
    <t>SPCD-2355</t>
  </si>
  <si>
    <t>[Geração de Tarefas Picking] Unidade Padrão de Separação | ID-103</t>
  </si>
  <si>
    <t>ID-103 | Desenvolvimento</t>
  </si>
  <si>
    <t>ID-103 | Testes QA</t>
  </si>
  <si>
    <t>SPCD-2353</t>
  </si>
  <si>
    <t>[Separação] Separação Inteligente com Validação Dinâmica de Saldo | ID-102</t>
  </si>
  <si>
    <t>ID-102 | Desenvolvimento</t>
  </si>
  <si>
    <t>ID-102 | Testes QA</t>
  </si>
  <si>
    <t>SPCD-2351</t>
  </si>
  <si>
    <t>[Recebimento] - Conferência de Recebimento por Múltiplos | ID-91</t>
  </si>
  <si>
    <t>ID-91 | Desenvolvimento</t>
  </si>
  <si>
    <t>ID-91 | Testes QA</t>
  </si>
  <si>
    <t>SPCD-2360</t>
  </si>
  <si>
    <t>[Armazenagem] Endereçamento Tipo Shuttle e Fluxo Automático de Abastecimento | ID-94</t>
  </si>
  <si>
    <t>ID-94 | Desenvolvimento</t>
  </si>
  <si>
    <t>ID-94 | Testes QA</t>
  </si>
  <si>
    <t>SPCD-2364</t>
  </si>
  <si>
    <t>[Separação] Ordenação Decrescente de Itens na Lista de Separação | ID-104</t>
  </si>
  <si>
    <t>ID-104 | Desenvolvimento</t>
  </si>
  <si>
    <t>ID-104 | Testes QA</t>
  </si>
  <si>
    <t>SPCD-2357</t>
  </si>
  <si>
    <t>[Armazenamento] - Endereçamento Dinâmico e FEFO de Guarda | ID-93</t>
  </si>
  <si>
    <t>ID-93 | Desenvolvimento</t>
  </si>
  <si>
    <t>ID-93 | Testes QA</t>
  </si>
  <si>
    <t>SPCD-2373</t>
  </si>
  <si>
    <t>[Gestão de Estoque] Ajuste Imediato por Contagem Cíclica | ID-109</t>
  </si>
  <si>
    <t>ID-109 | Desenvolvimento</t>
  </si>
  <si>
    <t>ID-109 | Testes QA</t>
  </si>
  <si>
    <t>SPCD-2374</t>
  </si>
  <si>
    <t>[Inventário] Geração Massiva de Inventário Rotativo | ID-111</t>
  </si>
  <si>
    <t>ID-111 | Desenvolvimento</t>
  </si>
  <si>
    <t>ID-111 | Testes QA</t>
  </si>
  <si>
    <t>SPCD-2356</t>
  </si>
  <si>
    <t>[Recebimento] - Etiquetagem Desvinculada no Recebimento | ID-90</t>
  </si>
  <si>
    <t>ID-101 | Desenvolvimento</t>
  </si>
  <si>
    <t>ID-101 | Testes QA</t>
  </si>
  <si>
    <t>SPCD-2361</t>
  </si>
  <si>
    <t>[Tarefas Picking] Distribuição Automática de Tarefas no Coletor - Sem Impressão | ID-101</t>
  </si>
  <si>
    <t>SPCD-2352</t>
  </si>
  <si>
    <t>[Armazenagem] Endereçamento Inteligente e FEFO de Guarda | ID-96</t>
  </si>
  <si>
    <t>ID-96 | Desenvolvimento</t>
  </si>
  <si>
    <t>ID-96 | Testes QA</t>
  </si>
  <si>
    <t>SPCD-2421</t>
  </si>
  <si>
    <t>(VPO) Open Tech - Api vale Pedágio</t>
  </si>
  <si>
    <t>TMS Multi (CTE)</t>
  </si>
  <si>
    <t>Refinamento de Negócio e Téc</t>
  </si>
  <si>
    <t>Implantação da plataforma</t>
  </si>
  <si>
    <t>Agile GO</t>
  </si>
  <si>
    <t>Bar Tender</t>
  </si>
  <si>
    <t>SPC-360</t>
  </si>
  <si>
    <t>[Preço] - Negociação para desconto em tabela | ID-3</t>
  </si>
  <si>
    <t>Refinamento</t>
  </si>
  <si>
    <t>ID-3 | Desenvolvimento</t>
  </si>
  <si>
    <t>ID-3 |Testes QA</t>
  </si>
  <si>
    <t>SPC-358</t>
  </si>
  <si>
    <t>[Preço] Precificação de Jardinagem| ID-25</t>
  </si>
  <si>
    <t>ID-25 | Desenvolvimento</t>
  </si>
  <si>
    <t>ID-25 |Testes QA</t>
  </si>
  <si>
    <t>Portal Fornecedores (SOLUTIS)</t>
  </si>
  <si>
    <t>[Portal do Fornecedor] - Parametrização Portal</t>
  </si>
  <si>
    <t>Desenvolvimento - Adequação das APIs Protheus</t>
  </si>
  <si>
    <t>(SMARKET) - [Precificação] - Definição preço permanente/ regular | ID-22</t>
  </si>
  <si>
    <t>Discovey</t>
  </si>
  <si>
    <t>Precifica (ambas bandeiras)</t>
  </si>
  <si>
    <t>API Seal</t>
  </si>
  <si>
    <t>Nielsen</t>
  </si>
  <si>
    <t>Retail Shelf Planner</t>
  </si>
  <si>
    <t>Discovery</t>
  </si>
  <si>
    <t>Dados Mestres</t>
  </si>
  <si>
    <t>Refinamento Técnico</t>
  </si>
  <si>
    <t>Definição da estratégia + Tomada decisão (contratação TOTVS)</t>
  </si>
  <si>
    <t>Negociação e Contratação - 420K</t>
  </si>
  <si>
    <t>Discovery e Mapeamento</t>
  </si>
  <si>
    <t>Mapeamento e Extração RMS</t>
  </si>
  <si>
    <t>Replicação de Parametrizações (41 Itens)</t>
  </si>
  <si>
    <t>De/Para – Cadastros Mestres</t>
  </si>
  <si>
    <t>De/Para – Estrutura Contábil</t>
  </si>
  <si>
    <t>De/Para – Saldos e Movimentações</t>
  </si>
  <si>
    <t>Go Live</t>
  </si>
  <si>
    <t>TOTVS / RM</t>
  </si>
  <si>
    <t>SRM43</t>
  </si>
  <si>
    <t>DLR - Discovery e Refinamento - Documentação e Levantamento das regras - CTB</t>
  </si>
  <si>
    <t>Parametrização (Revitalização Lançamento Contábil)</t>
  </si>
  <si>
    <t>DLR - Discovery e Refinamento - Documentação e Levantamento das regras - FIN</t>
  </si>
  <si>
    <t>Parametrização Lançamento Financeiro</t>
  </si>
  <si>
    <t>Testes Unitários Totvs Protheus</t>
  </si>
  <si>
    <t>Backoffice PDV Zanthus</t>
  </si>
  <si>
    <t>Epic</t>
  </si>
  <si>
    <t>Discovery PDV</t>
  </si>
  <si>
    <t>Assessment e Mapeamento</t>
  </si>
  <si>
    <t>Analise de Aderência e GAPs</t>
  </si>
  <si>
    <t>Desenvolvimento PDV</t>
  </si>
  <si>
    <t>Contratar Consultor ZANTHUS  (2 meses)</t>
  </si>
  <si>
    <t>Montar Laboratorio (BANCO, APLICACAO, PDV) + Reparametrização do Ambiente</t>
  </si>
  <si>
    <t>Parametrizar Filial (Cadastrar Empresa)</t>
  </si>
  <si>
    <t>Parametrizar Servicos</t>
  </si>
  <si>
    <t>Parametrizar STAGE</t>
  </si>
  <si>
    <t>Desenvolvimento STAGE</t>
  </si>
  <si>
    <t>Revisão de código e configurações - (Compatibilização dos 26 fontes)</t>
  </si>
  <si>
    <t>Parametrizar/Desenv APPSERVER ZANTHUS</t>
  </si>
  <si>
    <t>Parametrizar APPSERVER GRAVABATCH</t>
  </si>
  <si>
    <t>Mapeamento dos fontes e artefatos ERP por módulo</t>
  </si>
  <si>
    <t>Refatoração</t>
  </si>
  <si>
    <t>Planejamento de Ajustes (718 596 Fontes - 4.119 horas)</t>
  </si>
  <si>
    <t>Preparação de fontes com ia 596 Fontes (596/596)</t>
  </si>
  <si>
    <t>Refatoração fontes Pack 1 - Ajuste de 120 fontes (149)</t>
  </si>
  <si>
    <t>Refatoração fontes Pack 2 - Ajuste de 119 fontes (149)</t>
  </si>
  <si>
    <t>Refatoração fontes Pack 3 - Ajuste de 119 fontes (149)</t>
  </si>
  <si>
    <t>Refatoração fontes Pack 4 - Ajuste de 119 fontes (149)</t>
  </si>
  <si>
    <t>Refatoração fontes Pack 5 - Ajuste de 119 fontes (0)</t>
  </si>
  <si>
    <t>SPR-1463</t>
  </si>
  <si>
    <t>Tecsus</t>
  </si>
  <si>
    <t>Integração Tecsus + Gedi, Ajuste de API</t>
  </si>
  <si>
    <t>WPS, Aucon (Integração Cancela)</t>
  </si>
  <si>
    <t>CÁLCULOS DE APOIO | NÃO EDITAR</t>
  </si>
  <si>
    <t>Data Planejada Macro</t>
  </si>
  <si>
    <t>Data Planejada Micro</t>
  </si>
  <si>
    <t xml:space="preserve">CR - Melhorias a serem definidas </t>
  </si>
  <si>
    <t>ID-102 |Ajustes CR - pós entrega</t>
  </si>
  <si>
    <t>ID-91 |Ajustes CR - pós entrega</t>
  </si>
  <si>
    <t>ID-106 |Ajustes CR - pós entrega</t>
  </si>
  <si>
    <t>Integração Portal Gedi c/ Sistemas Satélites</t>
  </si>
  <si>
    <t>SPR-1528</t>
  </si>
  <si>
    <t>[FUSÃO] GEDI - Solicitar motivo de exclusão de NF/título originado do Gedi (tabela de status)</t>
  </si>
  <si>
    <t>ID-102 | Ajustes CR - pós entrega</t>
  </si>
  <si>
    <t>Teste Integrado Petz + Solutis</t>
  </si>
  <si>
    <t>SPS-1152</t>
  </si>
  <si>
    <t>Desenvolvimento (3 APIs - Filial | Preço | Produto)</t>
  </si>
  <si>
    <t>Testes Unitários GEDI</t>
  </si>
  <si>
    <t>Par. Integração Totvs RM x Backoffice Protheus (Lançamentos Contabeis) | TOTVS RM x GEDI</t>
  </si>
  <si>
    <t>CR - Melhorias a serem definidas (SPR-1092)</t>
  </si>
  <si>
    <t>(Fiscal) Aderência</t>
  </si>
  <si>
    <t>Rótulos de Linha</t>
  </si>
  <si>
    <t>Total Geral</t>
  </si>
  <si>
    <t>Contagem de Atividade</t>
  </si>
  <si>
    <t>SPR-1527</t>
  </si>
  <si>
    <t>[FUSÃO] GEDI - Títulos gerados diretamente no Protheus e precisam passar por alçada de aprovação no Gedi (retidos)</t>
  </si>
  <si>
    <t>Kickoff</t>
  </si>
  <si>
    <t>Aprovação de documentação</t>
  </si>
  <si>
    <t>Testes unitários</t>
  </si>
  <si>
    <t>Integração Protheus (Contábil)</t>
  </si>
  <si>
    <t>Teste Geral - QA</t>
  </si>
  <si>
    <t>Especificação TOTVS x Gedi</t>
  </si>
  <si>
    <t>Especificação RM x Gedi</t>
  </si>
  <si>
    <t>Aderência e Satélites  •  Linha do tempo  •  Segunda a sexta-feira</t>
  </si>
  <si>
    <t>STATUS ATUAL • PAINEL</t>
  </si>
  <si>
    <t>ÚLTIMA SEMANA ENCERRADA</t>
  </si>
  <si>
    <t>PRÓXIMO FECHAMENTO</t>
  </si>
  <si>
    <t>TRAJETÓRIA DE CONCLUSÃO  |  FECHAMENTOS DE SEGUNDA A SEXTA</t>
  </si>
  <si>
    <t>DETALHE SEMANAL  |  DADOS QUE FORMAM A LINHA DO TEMPO</t>
  </si>
  <si>
    <t>PERÍODO</t>
  </si>
  <si>
    <t>SEGUNDA</t>
  </si>
  <si>
    <t>SEXTA</t>
  </si>
  <si>
    <t>NOVAS¹</t>
  </si>
  <si>
    <t>ACUM.²</t>
  </si>
  <si>
    <t>% ACUM.³</t>
  </si>
  <si>
    <t>VARIAÇÃO</t>
  </si>
  <si>
    <t>STATUS</t>
  </si>
  <si>
    <t>REGISTRO</t>
  </si>
  <si>
    <t>BASE ATIVA HOJE</t>
  </si>
  <si>
    <t>FINALIZADAS HOJE</t>
  </si>
  <si>
    <t>SEM DATA FIM</t>
  </si>
  <si>
    <t>COM DATA FIM</t>
  </si>
  <si>
    <t>Reconstruído</t>
  </si>
  <si>
    <t>Não gravado</t>
  </si>
  <si>
    <t>COMO LER ESTA PRÉVIA</t>
  </si>
  <si>
    <t>¹ Novas: finalizações com Data fim real, por fechamento de sexta; eventuais finais de semana entram no fechamento seguinte.</t>
  </si>
  <si>
    <t>² Acumulado: usa registros hoje marcados Finalizado e suas datas reais; registros sem data não entram na curva.</t>
  </si>
  <si>
    <t>SEMANA</t>
  </si>
  <si>
    <t>EVOLUÇÃO %</t>
  </si>
  <si>
    <t>EVOLUÇÃO SEMANAL DAS ATIVIDADES MICRO</t>
  </si>
  <si>
    <t>SPCD-2734</t>
  </si>
  <si>
    <t>Criação de usuários (Zanthus | Protheus | RM)</t>
  </si>
  <si>
    <t>Informado</t>
  </si>
  <si>
    <t>Usuário: 47%</t>
  </si>
  <si>
    <t>Fechamento por datas reais; não informado</t>
  </si>
  <si>
    <t>Fechamento retrospectivo pelas datas reais</t>
  </si>
  <si>
    <t>Testes Unitários (Ensaio - cfg. das filiais)</t>
  </si>
  <si>
    <t>SPCD-2902</t>
  </si>
  <si>
    <t>[Segregação de inventário] planejado e por ocorrência</t>
  </si>
  <si>
    <t>SPCD-2901</t>
  </si>
  <si>
    <t>Reserva de estoque para etiquetas em separação</t>
  </si>
  <si>
    <t>SPCD-2882</t>
  </si>
  <si>
    <t>[Expedição] Nova rotina de coletor PCMEXPST: montagem de pallet e alocação em stage</t>
  </si>
  <si>
    <t>SPCD-2881</t>
  </si>
  <si>
    <t>[Separação/Conferência] By-pass com alocação em CheckOut e conferência por peso no coletor RF</t>
  </si>
  <si>
    <t>Testes Integrados (Younit)</t>
  </si>
  <si>
    <t>ATUALIZAÇÃO AUTOMÁTICA • Histórico por datas reais, exceto 05/10–09/10: 47%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</si>
</sst>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"/>
    <numFmt numFmtId="166" formatCode="\+0.0&quot; p.p.&quot;;\-0.0&quot; p.p.&quot;;0.0&quot; p.p.&quot;"/>
    <numFmt numFmtId="167" formatCode=";;;"/>
  </numFmts>
  <fonts count="63">
    <font>
      <sz val="11"/>
      <name val="Carlito"/>
    </font>
    <font>
      <b/>
      <sz val="10"/>
      <color rgb="FFFFFFFF"/>
      <name val="Aptos"/>
      <family val="2"/>
    </font>
    <font>
      <sz val="9"/>
      <color rgb="FF253858"/>
      <name val="Aptos"/>
      <family val="2"/>
    </font>
    <font>
      <b/>
      <sz val="9"/>
      <color rgb="FFFFFFFF"/>
      <name val="Aptos"/>
      <family val="2"/>
    </font>
    <font>
      <b/>
      <sz val="9"/>
      <color rgb="FF123B73"/>
      <name val="Aptos"/>
      <family val="2"/>
    </font>
    <font>
      <b/>
      <sz val="15"/>
      <color rgb="FFFFFFFF"/>
      <name val="Aptos"/>
      <family val="2"/>
    </font>
    <font>
      <b/>
      <sz val="8"/>
      <color rgb="FF123B73"/>
      <name val="Aptos"/>
      <family val="2"/>
    </font>
    <font>
      <b/>
      <sz val="8"/>
      <color rgb="FF253858"/>
      <name val="Aptos"/>
      <family val="2"/>
    </font>
    <font>
      <sz val="8"/>
      <color rgb="FF253858"/>
      <name val="Aptos"/>
      <family val="2"/>
    </font>
    <font>
      <b/>
      <sz val="18"/>
      <color rgb="FFFFFFFF"/>
      <name val="Aptos"/>
      <family val="2"/>
    </font>
    <font>
      <sz val="10"/>
      <color rgb="FF253858"/>
      <name val="Aptos"/>
      <family val="2"/>
    </font>
    <font>
      <b/>
      <sz val="10"/>
      <color rgb="FF123B73"/>
      <name val="Aptos"/>
      <family val="2"/>
    </font>
    <font>
      <sz val="11"/>
      <color rgb="FF253858"/>
      <name val="Aptos"/>
      <family val="2"/>
    </font>
    <font>
      <b/>
      <sz val="17"/>
      <color rgb="FF123B73"/>
      <name val="Aptos"/>
      <family val="2"/>
    </font>
    <font>
      <i/>
      <sz val="9"/>
      <color rgb="FF737B87"/>
      <name val="Aptos"/>
      <family val="2"/>
    </font>
    <font>
      <b/>
      <sz val="8"/>
      <color rgb="FF737B87"/>
      <name val="Aptos"/>
      <family val="2"/>
    </font>
    <font>
      <b/>
      <sz val="15"/>
      <color rgb="FF737B87"/>
      <name val="Aptos"/>
      <family val="2"/>
    </font>
    <font>
      <sz val="8"/>
      <color rgb="FF737B87"/>
      <name val="Aptos"/>
      <family val="2"/>
    </font>
    <font>
      <b/>
      <sz val="8"/>
      <color rgb="FF1D78B5"/>
      <name val="Aptos"/>
      <family val="2"/>
    </font>
    <font>
      <b/>
      <sz val="15"/>
      <color rgb="FF1D78B5"/>
      <name val="Aptos"/>
      <family val="2"/>
    </font>
    <font>
      <b/>
      <sz val="8"/>
      <color rgb="FF7258A5"/>
      <name val="Aptos"/>
      <family val="2"/>
    </font>
    <font>
      <b/>
      <sz val="15"/>
      <color rgb="FF7258A5"/>
      <name val="Aptos"/>
      <family val="2"/>
    </font>
    <font>
      <b/>
      <sz val="8"/>
      <color rgb="FFD89B2B"/>
      <name val="Aptos"/>
      <family val="2"/>
    </font>
    <font>
      <b/>
      <sz val="15"/>
      <color rgb="FFD89B2B"/>
      <name val="Aptos"/>
      <family val="2"/>
    </font>
    <font>
      <b/>
      <sz val="8"/>
      <color rgb="FFC55252"/>
      <name val="Aptos"/>
      <family val="2"/>
    </font>
    <font>
      <b/>
      <sz val="15"/>
      <color rgb="FFC55252"/>
      <name val="Aptos"/>
      <family val="2"/>
    </font>
    <font>
      <i/>
      <sz val="7"/>
      <color rgb="FFC55252"/>
      <name val="Aptos"/>
      <family val="2"/>
    </font>
    <font>
      <b/>
      <sz val="8"/>
      <color rgb="FF3E9C5D"/>
      <name val="Aptos"/>
      <family val="2"/>
    </font>
    <font>
      <b/>
      <sz val="15"/>
      <color rgb="FF3E9C5D"/>
      <name val="Aptos"/>
      <family val="2"/>
    </font>
    <font>
      <b/>
      <sz val="11"/>
      <color rgb="FF123B73"/>
      <name val="Aptos"/>
      <family val="2"/>
    </font>
    <font>
      <b/>
      <sz val="7"/>
      <color rgb="FFFFFFFF"/>
      <name val="Aptos"/>
      <family val="2"/>
    </font>
    <font>
      <b/>
      <sz val="7"/>
      <color rgb="FF123B73"/>
      <name val="Aptos"/>
      <family val="2"/>
    </font>
    <font>
      <i/>
      <sz val="8"/>
      <color rgb="FF253858"/>
      <name val="Aptos"/>
      <family val="2"/>
    </font>
    <font>
      <b/>
      <sz val="10"/>
      <color rgb="FF3E9C5D"/>
      <name val="Aptos"/>
      <family val="2"/>
    </font>
    <font>
      <b/>
      <sz val="11"/>
      <color rgb="FF3E9C5D"/>
      <name val="Aptos"/>
      <family val="2"/>
    </font>
    <font>
      <sz val="9"/>
      <color rgb="FF242424"/>
      <name val="Aptos Narrow"/>
      <family val="2"/>
    </font>
    <font>
      <sz val="11"/>
      <color rgb="FF000000"/>
      <name val="Calibri"/>
      <family val="2"/>
    </font>
    <font>
      <b/>
      <sz val="9"/>
      <color rgb="FF253858"/>
      <name val="Aptos"/>
      <family val="2"/>
    </font>
    <font>
      <b/>
      <sz val="9"/>
      <color rgb="FF242424"/>
      <name val="Aptos Narrow"/>
      <family val="2"/>
    </font>
    <font>
      <b/>
      <sz val="11"/>
      <color rgb="FFFFFFFF"/>
      <name val="Aptos"/>
      <family val="2"/>
    </font>
    <font>
      <sz val="11"/>
      <name val="Aptos"/>
      <family val="2"/>
    </font>
    <font>
      <sz val="9"/>
      <color rgb="FF000000"/>
      <name val="Aptos"/>
      <family val="2"/>
    </font>
    <font>
      <sz val="11"/>
      <color rgb="FFFFFFFF"/>
      <name val="Carlito"/>
    </font>
    <font>
      <sz val="11"/>
      <color rgb="FFFFFFFF"/>
      <name val="Aptos"/>
    </font>
    <font>
      <b/>
      <sz val="16"/>
      <color rgb="FFFFFFFF"/>
      <name val="Aptos"/>
    </font>
    <font>
      <sz val="10"/>
      <color rgb="FFFFFFFF"/>
      <name val="Aptos"/>
    </font>
    <font>
      <sz val="11"/>
      <color rgb="FF253858"/>
      <name val="Aptos"/>
    </font>
    <font>
      <sz val="11"/>
      <color rgb="FF737B87"/>
      <name val="Aptos"/>
    </font>
    <font>
      <sz val="9"/>
      <color rgb="FF737B87"/>
      <name val="Aptos"/>
    </font>
    <font>
      <b/>
      <sz val="11"/>
      <color rgb="FF3E9C5D"/>
      <name val="Aptos"/>
    </font>
    <font>
      <sz val="11"/>
      <color rgb="FF1D78B5"/>
      <name val="Aptos"/>
    </font>
    <font>
      <b/>
      <sz val="11"/>
      <color rgb="FFFFFFFF"/>
      <name val="Aptos"/>
    </font>
    <font>
      <b/>
      <sz val="8"/>
      <color rgb="FFFFFFFF"/>
      <name val="Aptos"/>
    </font>
    <font>
      <sz val="8"/>
      <color rgb="FF253858"/>
      <name val="Aptos"/>
    </font>
    <font>
      <sz val="8"/>
      <color rgb="FF737B87"/>
      <name val="Aptos"/>
    </font>
    <font>
      <b/>
      <sz val="8"/>
      <color rgb="FF3E9C5D"/>
      <name val="Aptos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rgb="FFFFFFFF"/>
      <name val="Aptos"/>
    </font>
    <font>
      <b/>
      <sz val="19"/>
      <color rgb="FFFFFFFF"/>
      <name val="Aptos"/>
    </font>
    <font>
      <sz val="8"/>
      <color rgb="FFFFFFFF"/>
      <name val="Aptos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rgb="FF123B73"/>
      </patternFill>
    </fill>
    <fill>
      <patternFill patternType="solid">
        <fgColor rgb="FFEAF2FA"/>
      </patternFill>
    </fill>
    <fill>
      <patternFill patternType="solid">
        <fgColor rgb="FFEEF0F3"/>
      </patternFill>
    </fill>
    <fill>
      <patternFill patternType="solid">
        <fgColor rgb="FFE9F5ED"/>
      </patternFill>
    </fill>
    <fill>
      <patternFill patternType="solid">
        <fgColor rgb="FFF5F3EA"/>
      </patternFill>
    </fill>
    <fill>
      <patternFill patternType="solid">
        <fgColor rgb="FFFFFFFF"/>
      </patternFill>
    </fill>
    <fill>
      <patternFill patternType="solid">
        <fgColor rgb="FF737B87"/>
      </patternFill>
    </fill>
    <fill>
      <patternFill patternType="solid">
        <fgColor rgb="FF1D78B5"/>
      </patternFill>
    </fill>
    <fill>
      <patternFill patternType="solid">
        <fgColor rgb="FFEFEAF8"/>
      </patternFill>
    </fill>
    <fill>
      <patternFill patternType="solid">
        <fgColor rgb="FF7258A5"/>
      </patternFill>
    </fill>
    <fill>
      <patternFill patternType="solid">
        <fgColor rgb="FFFAF1DD"/>
      </patternFill>
    </fill>
    <fill>
      <patternFill patternType="solid">
        <fgColor rgb="FFD89B2B"/>
      </patternFill>
    </fill>
    <fill>
      <patternFill patternType="solid">
        <fgColor rgb="FFF8E8E8"/>
      </patternFill>
    </fill>
    <fill>
      <patternFill patternType="solid">
        <fgColor rgb="FFC55252"/>
      </patternFill>
    </fill>
    <fill>
      <patternFill patternType="solid">
        <fgColor rgb="FF3E9C5D"/>
      </patternFill>
    </fill>
    <fill>
      <patternFill patternType="solid">
        <fgColor rgb="FF1D2330"/>
        <bgColor indexed="64"/>
      </patternFill>
    </fill>
    <fill>
      <patternFill patternType="solid">
        <fgColor rgb="FF123B73"/>
        <bgColor indexed="64"/>
      </patternFill>
    </fill>
    <fill>
      <patternFill patternType="solid">
        <fgColor rgb="FFF5F3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F5ED"/>
        <bgColor indexed="64"/>
      </patternFill>
    </fill>
    <fill>
      <patternFill patternType="solid">
        <fgColor rgb="FFEAF2FA"/>
        <bgColor indexed="64"/>
      </patternFill>
    </fill>
  </fills>
  <borders count="3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DDE3"/>
      </bottom>
      <diagonal/>
    </border>
    <border>
      <left/>
      <right/>
      <top style="thin">
        <color rgb="FFD9DDE3"/>
      </top>
      <bottom style="thin">
        <color rgb="FFD9DDE3"/>
      </bottom>
      <diagonal/>
    </border>
    <border>
      <left/>
      <right/>
      <top style="thin">
        <color rgb="FFD9DDE3"/>
      </top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EAECF0"/>
      </right>
      <top/>
      <bottom style="thin">
        <color rgb="FFD9DDE3"/>
      </bottom>
      <diagonal/>
    </border>
    <border>
      <left style="thin">
        <color rgb="FFEAECF0"/>
      </left>
      <right style="thin">
        <color rgb="FFEAECF0"/>
      </right>
      <top/>
      <bottom style="thin">
        <color rgb="FFD9DDE3"/>
      </bottom>
      <diagonal/>
    </border>
    <border>
      <left style="thin">
        <color rgb="FFEAECF0"/>
      </left>
      <right style="thin">
        <color rgb="FFD9DDE3"/>
      </right>
      <top/>
      <bottom style="thin">
        <color rgb="FFD9DDE3"/>
      </bottom>
      <diagonal/>
    </border>
    <border>
      <left style="thin">
        <color rgb="FFD9DDE3"/>
      </left>
      <right style="thin">
        <color rgb="FFEAECF0"/>
      </right>
      <top style="thin">
        <color rgb="FFD9DDE3"/>
      </top>
      <bottom style="thin">
        <color rgb="FFD9DDE3"/>
      </bottom>
      <diagonal/>
    </border>
    <border>
      <left style="thin">
        <color rgb="FFEAECF0"/>
      </left>
      <right style="thin">
        <color rgb="FFEAECF0"/>
      </right>
      <top style="thin">
        <color rgb="FFD9DDE3"/>
      </top>
      <bottom style="thin">
        <color rgb="FFD9DDE3"/>
      </bottom>
      <diagonal/>
    </border>
    <border>
      <left style="thin">
        <color rgb="FFEAECF0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EAECF0"/>
      </right>
      <top style="thin">
        <color rgb="FFD9DDE3"/>
      </top>
      <bottom/>
      <diagonal/>
    </border>
    <border>
      <left style="thin">
        <color rgb="FFEAECF0"/>
      </left>
      <right style="thin">
        <color rgb="FFEAECF0"/>
      </right>
      <top style="thin">
        <color rgb="FFD9DDE3"/>
      </top>
      <bottom/>
      <diagonal/>
    </border>
    <border>
      <left style="thin">
        <color rgb="FFEAECF0"/>
      </left>
      <right style="thin">
        <color rgb="FFD9DDE3"/>
      </right>
      <top style="thin">
        <color rgb="FFD9DDE3"/>
      </top>
      <bottom/>
      <diagonal/>
    </border>
    <border>
      <left/>
      <right/>
      <top/>
      <bottom style="double">
        <color rgb="FF123B73"/>
      </bottom>
      <diagonal/>
    </border>
    <border>
      <left style="thin">
        <color rgb="FFD9DDE3"/>
      </left>
      <right/>
      <top style="thin">
        <color rgb="FFD9DDE3"/>
      </top>
      <bottom style="thin">
        <color rgb="FFD9DDE3"/>
      </bottom>
      <diagonal/>
    </border>
    <border>
      <left/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/>
      <top style="thin">
        <color rgb="FFD9DDE3"/>
      </top>
      <bottom/>
      <diagonal/>
    </border>
    <border>
      <left/>
      <right style="thin">
        <color rgb="FFD9DDE3"/>
      </right>
      <top style="thin">
        <color rgb="FFD9DDE3"/>
      </top>
      <bottom/>
      <diagonal/>
    </border>
    <border>
      <left style="thin">
        <color rgb="FFD9DDE3"/>
      </left>
      <right/>
      <top/>
      <bottom/>
      <diagonal/>
    </border>
    <border>
      <left/>
      <right style="thin">
        <color rgb="FFD9DDE3"/>
      </right>
      <top/>
      <bottom/>
      <diagonal/>
    </border>
    <border>
      <left style="thin">
        <color rgb="FFD9DDE3"/>
      </left>
      <right/>
      <top/>
      <bottom style="thin">
        <color rgb="FFD9DDE3"/>
      </bottom>
      <diagonal/>
    </border>
    <border>
      <left/>
      <right style="thin">
        <color rgb="FFD9DDE3"/>
      </right>
      <top/>
      <bottom style="thin">
        <color rgb="FFD9DDE3"/>
      </bottom>
      <diagonal/>
    </border>
    <border>
      <left style="thin">
        <color rgb="FFD9DDE3"/>
      </left>
      <right style="thin">
        <color rgb="FFECEEF1"/>
      </right>
      <top/>
      <bottom style="thin">
        <color rgb="FFD9DDE3"/>
      </bottom>
      <diagonal/>
    </border>
    <border>
      <left style="thin">
        <color rgb="FFECEEF1"/>
      </left>
      <right style="thin">
        <color rgb="FFECEEF1"/>
      </right>
      <top/>
      <bottom style="thin">
        <color rgb="FFD9DDE3"/>
      </bottom>
      <diagonal/>
    </border>
    <border>
      <left style="thin">
        <color rgb="FFECEEF1"/>
      </left>
      <right style="thin">
        <color rgb="FFD9DDE3"/>
      </right>
      <top/>
      <bottom style="thin">
        <color rgb="FFD9DDE3"/>
      </bottom>
      <diagonal/>
    </border>
    <border>
      <left style="thin">
        <color rgb="FFD9DDE3"/>
      </left>
      <right style="thin">
        <color rgb="FFECEEF1"/>
      </right>
      <top style="thin">
        <color rgb="FFD9DDE3"/>
      </top>
      <bottom style="thin">
        <color rgb="FFD9DDE3"/>
      </bottom>
      <diagonal/>
    </border>
    <border>
      <left style="thin">
        <color rgb="FFECEEF1"/>
      </left>
      <right style="thin">
        <color rgb="FFECEEF1"/>
      </right>
      <top style="thin">
        <color rgb="FFD9DDE3"/>
      </top>
      <bottom style="thin">
        <color rgb="FFD9DDE3"/>
      </bottom>
      <diagonal/>
    </border>
    <border>
      <left style="thin">
        <color rgb="FFECEEF1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ECEEF1"/>
      </right>
      <top style="thin">
        <color rgb="FFD9DDE3"/>
      </top>
      <bottom/>
      <diagonal/>
    </border>
    <border>
      <left style="thin">
        <color rgb="FFECEEF1"/>
      </left>
      <right style="thin">
        <color rgb="FFECEEF1"/>
      </right>
      <top style="thin">
        <color rgb="FFD9DDE3"/>
      </top>
      <bottom/>
      <diagonal/>
    </border>
    <border>
      <left style="thin">
        <color rgb="FFECEEF1"/>
      </left>
      <right style="thin">
        <color rgb="FFD9DDE3"/>
      </right>
      <top style="thin">
        <color rgb="FFD9DDE3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9" fontId="2" fillId="0" borderId="3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vertical="center"/>
    </xf>
    <xf numFmtId="3" fontId="4" fillId="3" borderId="2" xfId="0" applyNumberFormat="1" applyFont="1" applyFill="1" applyBorder="1" applyAlignment="1">
      <alignment vertical="center"/>
    </xf>
    <xf numFmtId="9" fontId="4" fillId="3" borderId="2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14" fontId="4" fillId="3" borderId="3" xfId="0" applyNumberFormat="1" applyFont="1" applyFill="1" applyBorder="1" applyAlignment="1">
      <alignment vertical="center"/>
    </xf>
    <xf numFmtId="3" fontId="4" fillId="3" borderId="3" xfId="0" applyNumberFormat="1" applyFont="1" applyFill="1" applyBorder="1" applyAlignment="1">
      <alignment vertical="center"/>
    </xf>
    <xf numFmtId="9" fontId="4" fillId="3" borderId="3" xfId="0" applyNumberFormat="1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3" fontId="10" fillId="0" borderId="7" xfId="0" applyNumberFormat="1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3" fontId="10" fillId="0" borderId="13" xfId="0" applyNumberFormat="1" applyFont="1" applyBorder="1" applyAlignment="1">
      <alignment horizontal="center" vertical="center"/>
    </xf>
    <xf numFmtId="9" fontId="10" fillId="0" borderId="7" xfId="0" applyNumberFormat="1" applyFont="1" applyBorder="1" applyAlignment="1">
      <alignment horizontal="center" vertical="center"/>
    </xf>
    <xf numFmtId="9" fontId="10" fillId="0" borderId="10" xfId="0" applyNumberFormat="1" applyFont="1" applyBorder="1" applyAlignment="1">
      <alignment horizontal="center" vertical="center"/>
    </xf>
    <xf numFmtId="9" fontId="10" fillId="0" borderId="13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3" fontId="11" fillId="3" borderId="15" xfId="0" applyNumberFormat="1" applyFont="1" applyFill="1" applyBorder="1" applyAlignment="1">
      <alignment horizontal="center" vertical="center"/>
    </xf>
    <xf numFmtId="9" fontId="11" fillId="3" borderId="15" xfId="0" applyNumberFormat="1" applyFont="1" applyFill="1" applyBorder="1" applyAlignment="1">
      <alignment horizontal="center" vertical="center"/>
    </xf>
    <xf numFmtId="14" fontId="11" fillId="3" borderId="15" xfId="0" applyNumberFormat="1" applyFont="1" applyFill="1" applyBorder="1" applyAlignment="1">
      <alignment horizontal="center" vertical="center"/>
    </xf>
    <xf numFmtId="0" fontId="12" fillId="6" borderId="0" xfId="0" applyFont="1" applyFill="1"/>
    <xf numFmtId="0" fontId="12" fillId="8" borderId="22" xfId="0" applyFont="1" applyFill="1" applyBorder="1"/>
    <xf numFmtId="0" fontId="12" fillId="8" borderId="23" xfId="0" applyFont="1" applyFill="1" applyBorder="1"/>
    <xf numFmtId="0" fontId="12" fillId="9" borderId="22" xfId="0" applyFont="1" applyFill="1" applyBorder="1"/>
    <xf numFmtId="0" fontId="12" fillId="9" borderId="23" xfId="0" applyFont="1" applyFill="1" applyBorder="1"/>
    <xf numFmtId="0" fontId="12" fillId="11" borderId="22" xfId="0" applyFont="1" applyFill="1" applyBorder="1"/>
    <xf numFmtId="0" fontId="12" fillId="11" borderId="23" xfId="0" applyFont="1" applyFill="1" applyBorder="1"/>
    <xf numFmtId="0" fontId="12" fillId="13" borderId="22" xfId="0" applyFont="1" applyFill="1" applyBorder="1"/>
    <xf numFmtId="0" fontId="12" fillId="13" borderId="23" xfId="0" applyFont="1" applyFill="1" applyBorder="1"/>
    <xf numFmtId="0" fontId="12" fillId="15" borderId="22" xfId="0" applyFont="1" applyFill="1" applyBorder="1"/>
    <xf numFmtId="0" fontId="12" fillId="15" borderId="23" xfId="0" applyFont="1" applyFill="1" applyBorder="1"/>
    <xf numFmtId="0" fontId="12" fillId="16" borderId="22" xfId="0" applyFont="1" applyFill="1" applyBorder="1"/>
    <xf numFmtId="0" fontId="12" fillId="16" borderId="23" xfId="0" applyFont="1" applyFill="1" applyBorder="1"/>
    <xf numFmtId="0" fontId="30" fillId="2" borderId="1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vertical="center"/>
    </xf>
    <xf numFmtId="0" fontId="8" fillId="7" borderId="27" xfId="0" applyFont="1" applyFill="1" applyBorder="1" applyAlignment="1">
      <alignment vertical="center"/>
    </xf>
    <xf numFmtId="0" fontId="8" fillId="7" borderId="30" xfId="0" applyFont="1" applyFill="1" applyBorder="1" applyAlignment="1">
      <alignment vertical="center"/>
    </xf>
    <xf numFmtId="0" fontId="8" fillId="7" borderId="25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4" fontId="8" fillId="7" borderId="25" xfId="0" applyNumberFormat="1" applyFont="1" applyFill="1" applyBorder="1" applyAlignment="1">
      <alignment horizontal="center" vertical="center"/>
    </xf>
    <xf numFmtId="14" fontId="8" fillId="7" borderId="28" xfId="0" applyNumberFormat="1" applyFont="1" applyFill="1" applyBorder="1" applyAlignment="1">
      <alignment horizontal="center" vertical="center"/>
    </xf>
    <xf numFmtId="14" fontId="8" fillId="7" borderId="31" xfId="0" applyNumberFormat="1" applyFont="1" applyFill="1" applyBorder="1" applyAlignment="1">
      <alignment horizontal="center" vertical="center"/>
    </xf>
    <xf numFmtId="3" fontId="8" fillId="7" borderId="25" xfId="0" applyNumberFormat="1" applyFont="1" applyFill="1" applyBorder="1" applyAlignment="1">
      <alignment horizontal="center" vertical="center"/>
    </xf>
    <xf numFmtId="3" fontId="8" fillId="7" borderId="28" xfId="0" applyNumberFormat="1" applyFont="1" applyFill="1" applyBorder="1" applyAlignment="1">
      <alignment horizontal="center" vertical="center"/>
    </xf>
    <xf numFmtId="3" fontId="8" fillId="7" borderId="31" xfId="0" applyNumberFormat="1" applyFont="1" applyFill="1" applyBorder="1" applyAlignment="1">
      <alignment horizontal="center" vertical="center"/>
    </xf>
    <xf numFmtId="9" fontId="8" fillId="7" borderId="26" xfId="0" applyNumberFormat="1" applyFont="1" applyFill="1" applyBorder="1" applyAlignment="1">
      <alignment horizontal="center" vertical="center"/>
    </xf>
    <xf numFmtId="9" fontId="8" fillId="7" borderId="29" xfId="0" applyNumberFormat="1" applyFont="1" applyFill="1" applyBorder="1" applyAlignment="1">
      <alignment horizontal="center" vertical="center"/>
    </xf>
    <xf numFmtId="9" fontId="8" fillId="7" borderId="32" xfId="0" applyNumberFormat="1" applyFont="1" applyFill="1" applyBorder="1" applyAlignment="1">
      <alignment horizontal="center" vertical="center"/>
    </xf>
    <xf numFmtId="0" fontId="31" fillId="3" borderId="24" xfId="0" applyFont="1" applyFill="1" applyBorder="1" applyAlignment="1">
      <alignment vertical="center"/>
    </xf>
    <xf numFmtId="0" fontId="31" fillId="3" borderId="25" xfId="0" applyFont="1" applyFill="1" applyBorder="1" applyAlignment="1">
      <alignment horizontal="center" vertical="center"/>
    </xf>
    <xf numFmtId="14" fontId="31" fillId="3" borderId="25" xfId="0" applyNumberFormat="1" applyFont="1" applyFill="1" applyBorder="1" applyAlignment="1">
      <alignment horizontal="center" vertical="center"/>
    </xf>
    <xf numFmtId="3" fontId="31" fillId="3" borderId="25" xfId="0" applyNumberFormat="1" applyFont="1" applyFill="1" applyBorder="1" applyAlignment="1">
      <alignment horizontal="center" vertical="center"/>
    </xf>
    <xf numFmtId="9" fontId="31" fillId="3" borderId="25" xfId="0" applyNumberFormat="1" applyFont="1" applyFill="1" applyBorder="1" applyAlignment="1">
      <alignment horizontal="center" vertical="center"/>
    </xf>
    <xf numFmtId="0" fontId="31" fillId="3" borderId="27" xfId="0" applyFont="1" applyFill="1" applyBorder="1" applyAlignment="1">
      <alignment vertical="center"/>
    </xf>
    <xf numFmtId="0" fontId="31" fillId="3" borderId="28" xfId="0" applyFont="1" applyFill="1" applyBorder="1" applyAlignment="1">
      <alignment horizontal="center" vertical="center"/>
    </xf>
    <xf numFmtId="14" fontId="31" fillId="3" borderId="28" xfId="0" applyNumberFormat="1" applyFont="1" applyFill="1" applyBorder="1" applyAlignment="1">
      <alignment horizontal="center" vertical="center"/>
    </xf>
    <xf numFmtId="3" fontId="31" fillId="3" borderId="28" xfId="0" applyNumberFormat="1" applyFont="1" applyFill="1" applyBorder="1" applyAlignment="1">
      <alignment horizontal="center" vertical="center"/>
    </xf>
    <xf numFmtId="9" fontId="31" fillId="3" borderId="28" xfId="0" applyNumberFormat="1" applyFont="1" applyFill="1" applyBorder="1" applyAlignment="1">
      <alignment horizontal="center" vertical="center"/>
    </xf>
    <xf numFmtId="0" fontId="35" fillId="0" borderId="0" xfId="0" applyFont="1"/>
    <xf numFmtId="14" fontId="36" fillId="0" borderId="0" xfId="0" applyNumberFormat="1" applyFont="1"/>
    <xf numFmtId="0" fontId="8" fillId="6" borderId="0" xfId="0" applyFont="1" applyFill="1"/>
    <xf numFmtId="9" fontId="8" fillId="7" borderId="0" xfId="0" applyNumberFormat="1" applyFont="1" applyFill="1" applyAlignment="1">
      <alignment horizontal="center" vertical="center"/>
    </xf>
    <xf numFmtId="0" fontId="37" fillId="0" borderId="2" xfId="0" applyFont="1" applyBorder="1" applyAlignment="1">
      <alignment vertical="center"/>
    </xf>
    <xf numFmtId="0" fontId="37" fillId="0" borderId="3" xfId="0" applyFont="1" applyBorder="1" applyAlignment="1">
      <alignment vertical="center"/>
    </xf>
    <xf numFmtId="0" fontId="38" fillId="0" borderId="0" xfId="0" applyFont="1"/>
    <xf numFmtId="14" fontId="37" fillId="0" borderId="2" xfId="0" applyNumberFormat="1" applyFont="1" applyBorder="1" applyAlignment="1">
      <alignment vertical="center"/>
    </xf>
    <xf numFmtId="14" fontId="37" fillId="0" borderId="3" xfId="0" applyNumberFormat="1" applyFont="1" applyBorder="1" applyAlignment="1">
      <alignment vertical="center"/>
    </xf>
    <xf numFmtId="0" fontId="40" fillId="0" borderId="0" xfId="0" applyFont="1"/>
    <xf numFmtId="0" fontId="39" fillId="17" borderId="3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41" fillId="0" borderId="0" xfId="0" applyNumberFormat="1" applyFont="1" applyAlignment="1">
      <alignment horizontal="right"/>
    </xf>
    <xf numFmtId="0" fontId="46" fillId="19" borderId="0" xfId="0" applyFont="1" applyFill="1"/>
    <xf numFmtId="0" fontId="48" fillId="19" borderId="0" xfId="0" applyFont="1" applyFill="1"/>
    <xf numFmtId="0" fontId="46" fillId="20" borderId="0" xfId="0" applyFont="1" applyFill="1"/>
    <xf numFmtId="0" fontId="46" fillId="21" borderId="0" xfId="0" applyFont="1" applyFill="1"/>
    <xf numFmtId="0" fontId="46" fillId="22" borderId="0" xfId="0" applyFont="1" applyFill="1"/>
    <xf numFmtId="0" fontId="49" fillId="21" borderId="0" xfId="0" applyFont="1" applyFill="1"/>
    <xf numFmtId="0" fontId="52" fillId="18" borderId="0" xfId="0" applyFont="1" applyFill="1"/>
    <xf numFmtId="0" fontId="53" fillId="20" borderId="0" xfId="0" applyFont="1" applyFill="1"/>
    <xf numFmtId="0" fontId="54" fillId="20" borderId="0" xfId="0" applyFont="1" applyFill="1"/>
    <xf numFmtId="3" fontId="49" fillId="20" borderId="0" xfId="0" applyNumberFormat="1" applyFont="1" applyFill="1"/>
    <xf numFmtId="165" fontId="46" fillId="20" borderId="0" xfId="0" applyNumberFormat="1" applyFont="1" applyFill="1" applyAlignment="1">
      <alignment horizontal="center"/>
    </xf>
    <xf numFmtId="3" fontId="46" fillId="20" borderId="0" xfId="0" applyNumberFormat="1" applyFont="1" applyFill="1" applyAlignment="1">
      <alignment horizontal="center"/>
    </xf>
    <xf numFmtId="164" fontId="46" fillId="20" borderId="0" xfId="0" applyNumberFormat="1" applyFont="1" applyFill="1" applyAlignment="1">
      <alignment horizontal="center"/>
    </xf>
    <xf numFmtId="166" fontId="46" fillId="20" borderId="0" xfId="0" applyNumberFormat="1" applyFont="1" applyFill="1" applyAlignment="1">
      <alignment horizontal="center"/>
    </xf>
    <xf numFmtId="165" fontId="49" fillId="21" borderId="0" xfId="0" applyNumberFormat="1" applyFont="1" applyFill="1" applyAlignment="1">
      <alignment horizontal="center"/>
    </xf>
    <xf numFmtId="3" fontId="49" fillId="21" borderId="0" xfId="0" applyNumberFormat="1" applyFont="1" applyFill="1" applyAlignment="1">
      <alignment horizontal="center"/>
    </xf>
    <xf numFmtId="164" fontId="49" fillId="21" borderId="0" xfId="0" applyNumberFormat="1" applyFont="1" applyFill="1" applyAlignment="1">
      <alignment horizontal="center"/>
    </xf>
    <xf numFmtId="166" fontId="49" fillId="21" borderId="0" xfId="0" applyNumberFormat="1" applyFont="1" applyFill="1" applyAlignment="1">
      <alignment horizontal="center"/>
    </xf>
    <xf numFmtId="165" fontId="46" fillId="22" borderId="0" xfId="0" applyNumberFormat="1" applyFont="1" applyFill="1" applyAlignment="1">
      <alignment horizontal="center"/>
    </xf>
    <xf numFmtId="0" fontId="46" fillId="22" borderId="0" xfId="0" applyFont="1" applyFill="1" applyAlignment="1">
      <alignment horizontal="center"/>
    </xf>
    <xf numFmtId="165" fontId="46" fillId="19" borderId="0" xfId="0" applyNumberFormat="1" applyFont="1" applyFill="1" applyAlignment="1">
      <alignment horizontal="center"/>
    </xf>
    <xf numFmtId="0" fontId="46" fillId="19" borderId="0" xfId="0" applyFont="1" applyFill="1" applyAlignment="1">
      <alignment horizontal="center"/>
    </xf>
    <xf numFmtId="0" fontId="47" fillId="20" borderId="0" xfId="0" applyFont="1" applyFill="1" applyAlignment="1">
      <alignment horizontal="center"/>
    </xf>
    <xf numFmtId="0" fontId="49" fillId="21" borderId="0" xfId="0" applyFont="1" applyFill="1" applyAlignment="1">
      <alignment horizontal="center"/>
    </xf>
    <xf numFmtId="0" fontId="50" fillId="22" borderId="0" xfId="0" applyFont="1" applyFill="1" applyAlignment="1">
      <alignment horizontal="center"/>
    </xf>
    <xf numFmtId="14" fontId="35" fillId="0" borderId="0" xfId="0" applyNumberFormat="1" applyFont="1"/>
    <xf numFmtId="167" fontId="43" fillId="20" borderId="0" xfId="0" applyNumberFormat="1" applyFont="1" applyFill="1"/>
    <xf numFmtId="167" fontId="44" fillId="20" borderId="0" xfId="0" applyNumberFormat="1" applyFont="1" applyFill="1"/>
    <xf numFmtId="167" fontId="45" fillId="20" borderId="0" xfId="0" applyNumberFormat="1" applyFont="1" applyFill="1"/>
    <xf numFmtId="167" fontId="58" fillId="20" borderId="0" xfId="0" applyNumberFormat="1" applyFont="1" applyFill="1"/>
    <xf numFmtId="167" fontId="52" fillId="20" borderId="0" xfId="0" applyNumberFormat="1" applyFont="1" applyFill="1"/>
    <xf numFmtId="167" fontId="59" fillId="20" borderId="0" xfId="0" applyNumberFormat="1" applyFont="1" applyFill="1"/>
    <xf numFmtId="167" fontId="60" fillId="20" borderId="0" xfId="0" applyNumberFormat="1" applyFont="1" applyFill="1"/>
    <xf numFmtId="167" fontId="51" fillId="20" borderId="0" xfId="0" applyNumberFormat="1" applyFont="1" applyFill="1"/>
    <xf numFmtId="167" fontId="42" fillId="20" borderId="0" xfId="0" applyNumberFormat="1" applyFont="1" applyFill="1"/>
    <xf numFmtId="3" fontId="46" fillId="19" borderId="0" xfId="0" applyNumberFormat="1" applyFont="1" applyFill="1" applyAlignment="1">
      <alignment horizontal="center"/>
    </xf>
    <xf numFmtId="164" fontId="46" fillId="19" borderId="0" xfId="0" applyNumberFormat="1" applyFont="1" applyFill="1" applyAlignment="1">
      <alignment horizontal="center"/>
    </xf>
    <xf numFmtId="166" fontId="46" fillId="19" borderId="0" xfId="0" applyNumberFormat="1" applyFont="1" applyFill="1" applyAlignment="1">
      <alignment horizontal="center"/>
    </xf>
    <xf numFmtId="164" fontId="46" fillId="19" borderId="0" xfId="0" applyNumberFormat="1" applyFont="1" applyFill="1"/>
    <xf numFmtId="164" fontId="55" fillId="20" borderId="0" xfId="0" applyNumberFormat="1" applyFont="1" applyFill="1"/>
    <xf numFmtId="0" fontId="29" fillId="6" borderId="0" xfId="0" applyFont="1" applyFill="1" applyAlignment="1">
      <alignment vertical="center"/>
    </xf>
    <xf numFmtId="0" fontId="32" fillId="3" borderId="18" xfId="0" applyFont="1" applyFill="1" applyBorder="1" applyAlignment="1">
      <alignment vertical="center" wrapText="1"/>
    </xf>
    <xf numFmtId="0" fontId="32" fillId="3" borderId="4" xfId="0" applyFont="1" applyFill="1" applyBorder="1" applyAlignment="1">
      <alignment vertical="center" wrapText="1"/>
    </xf>
    <xf numFmtId="0" fontId="32" fillId="3" borderId="19" xfId="0" applyFont="1" applyFill="1" applyBorder="1" applyAlignment="1">
      <alignment vertical="center" wrapText="1"/>
    </xf>
    <xf numFmtId="0" fontId="32" fillId="3" borderId="20" xfId="0" applyFont="1" applyFill="1" applyBorder="1" applyAlignment="1">
      <alignment vertical="center" wrapText="1"/>
    </xf>
    <xf numFmtId="0" fontId="32" fillId="3" borderId="0" xfId="0" applyFont="1" applyFill="1" applyAlignment="1">
      <alignment vertical="center" wrapText="1"/>
    </xf>
    <xf numFmtId="0" fontId="32" fillId="3" borderId="21" xfId="0" applyFont="1" applyFill="1" applyBorder="1" applyAlignment="1">
      <alignment vertical="center" wrapText="1"/>
    </xf>
    <xf numFmtId="0" fontId="32" fillId="3" borderId="22" xfId="0" applyFont="1" applyFill="1" applyBorder="1" applyAlignment="1">
      <alignment vertical="center" wrapText="1"/>
    </xf>
    <xf numFmtId="0" fontId="32" fillId="3" borderId="2" xfId="0" applyFont="1" applyFill="1" applyBorder="1" applyAlignment="1">
      <alignment vertical="center" wrapText="1"/>
    </xf>
    <xf numFmtId="0" fontId="32" fillId="3" borderId="23" xfId="0" applyFont="1" applyFill="1" applyBorder="1" applyAlignment="1">
      <alignment vertical="center" wrapText="1"/>
    </xf>
    <xf numFmtId="3" fontId="25" fillId="7" borderId="20" xfId="0" applyNumberFormat="1" applyFont="1" applyFill="1" applyBorder="1" applyAlignment="1">
      <alignment horizontal="center" vertical="center"/>
    </xf>
    <xf numFmtId="3" fontId="25" fillId="7" borderId="21" xfId="0" applyNumberFormat="1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/>
    </xf>
    <xf numFmtId="0" fontId="26" fillId="7" borderId="21" xfId="0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/>
    </xf>
    <xf numFmtId="0" fontId="27" fillId="5" borderId="19" xfId="0" applyFont="1" applyFill="1" applyBorder="1" applyAlignment="1">
      <alignment horizontal="center" vertical="center"/>
    </xf>
    <xf numFmtId="3" fontId="28" fillId="7" borderId="20" xfId="0" applyNumberFormat="1" applyFont="1" applyFill="1" applyBorder="1" applyAlignment="1">
      <alignment horizontal="center" vertical="center"/>
    </xf>
    <xf numFmtId="3" fontId="28" fillId="7" borderId="21" xfId="0" applyNumberFormat="1" applyFont="1" applyFill="1" applyBorder="1" applyAlignment="1">
      <alignment horizontal="center" vertical="center"/>
    </xf>
    <xf numFmtId="9" fontId="17" fillId="7" borderId="20" xfId="0" applyNumberFormat="1" applyFont="1" applyFill="1" applyBorder="1" applyAlignment="1">
      <alignment horizontal="center" vertical="center"/>
    </xf>
    <xf numFmtId="9" fontId="17" fillId="7" borderId="21" xfId="0" applyNumberFormat="1" applyFont="1" applyFill="1" applyBorder="1" applyAlignment="1">
      <alignment horizontal="center" vertical="center"/>
    </xf>
    <xf numFmtId="3" fontId="21" fillId="7" borderId="20" xfId="0" applyNumberFormat="1" applyFont="1" applyFill="1" applyBorder="1" applyAlignment="1">
      <alignment horizontal="center" vertical="center"/>
    </xf>
    <xf numFmtId="3" fontId="21" fillId="7" borderId="21" xfId="0" applyNumberFormat="1" applyFont="1" applyFill="1" applyBorder="1" applyAlignment="1">
      <alignment horizontal="center" vertical="center"/>
    </xf>
    <xf numFmtId="0" fontId="22" fillId="12" borderId="18" xfId="0" applyFont="1" applyFill="1" applyBorder="1" applyAlignment="1">
      <alignment horizontal="center" vertical="center"/>
    </xf>
    <xf numFmtId="0" fontId="22" fillId="12" borderId="19" xfId="0" applyFont="1" applyFill="1" applyBorder="1" applyAlignment="1">
      <alignment horizontal="center" vertical="center"/>
    </xf>
    <xf numFmtId="3" fontId="23" fillId="7" borderId="20" xfId="0" applyNumberFormat="1" applyFont="1" applyFill="1" applyBorder="1" applyAlignment="1">
      <alignment horizontal="center" vertical="center"/>
    </xf>
    <xf numFmtId="3" fontId="23" fillId="7" borderId="21" xfId="0" applyNumberFormat="1" applyFont="1" applyFill="1" applyBorder="1" applyAlignment="1">
      <alignment horizontal="center" vertical="center"/>
    </xf>
    <xf numFmtId="3" fontId="16" fillId="7" borderId="20" xfId="0" applyNumberFormat="1" applyFont="1" applyFill="1" applyBorder="1" applyAlignment="1">
      <alignment horizontal="center" vertical="center"/>
    </xf>
    <xf numFmtId="3" fontId="16" fillId="7" borderId="21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3" fontId="19" fillId="7" borderId="20" xfId="0" applyNumberFormat="1" applyFont="1" applyFill="1" applyBorder="1" applyAlignment="1">
      <alignment horizontal="center" vertical="center"/>
    </xf>
    <xf numFmtId="3" fontId="19" fillId="7" borderId="21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0" fontId="20" fillId="10" borderId="19" xfId="0" applyFont="1" applyFill="1" applyBorder="1" applyAlignment="1">
      <alignment horizontal="center" vertical="center"/>
    </xf>
    <xf numFmtId="0" fontId="24" fillId="14" borderId="18" xfId="0" applyFont="1" applyFill="1" applyBorder="1" applyAlignment="1">
      <alignment horizontal="center" vertical="center"/>
    </xf>
    <xf numFmtId="0" fontId="24" fillId="14" borderId="19" xfId="0" applyFont="1" applyFill="1" applyBorder="1" applyAlignment="1">
      <alignment horizontal="center" vertical="center"/>
    </xf>
    <xf numFmtId="0" fontId="34" fillId="6" borderId="0" xfId="0" applyFont="1" applyFill="1" applyAlignment="1">
      <alignment vertical="center"/>
    </xf>
    <xf numFmtId="0" fontId="32" fillId="5" borderId="18" xfId="0" applyFont="1" applyFill="1" applyBorder="1" applyAlignment="1">
      <alignment vertical="center" wrapText="1"/>
    </xf>
    <xf numFmtId="0" fontId="32" fillId="5" borderId="4" xfId="0" applyFont="1" applyFill="1" applyBorder="1" applyAlignment="1">
      <alignment vertical="center" wrapText="1"/>
    </xf>
    <xf numFmtId="0" fontId="32" fillId="5" borderId="19" xfId="0" applyFont="1" applyFill="1" applyBorder="1" applyAlignment="1">
      <alignment vertical="center" wrapText="1"/>
    </xf>
    <xf numFmtId="0" fontId="32" fillId="5" borderId="20" xfId="0" applyFont="1" applyFill="1" applyBorder="1" applyAlignment="1">
      <alignment vertical="center" wrapText="1"/>
    </xf>
    <xf numFmtId="0" fontId="32" fillId="5" borderId="0" xfId="0" applyFont="1" applyFill="1" applyAlignment="1">
      <alignment vertical="center" wrapText="1"/>
    </xf>
    <xf numFmtId="0" fontId="32" fillId="5" borderId="21" xfId="0" applyFont="1" applyFill="1" applyBorder="1" applyAlignment="1">
      <alignment vertical="center" wrapText="1"/>
    </xf>
    <xf numFmtId="0" fontId="32" fillId="5" borderId="22" xfId="0" applyFont="1" applyFill="1" applyBorder="1" applyAlignment="1">
      <alignment vertical="center" wrapText="1"/>
    </xf>
    <xf numFmtId="0" fontId="32" fillId="5" borderId="2" xfId="0" applyFont="1" applyFill="1" applyBorder="1" applyAlignment="1">
      <alignment vertical="center" wrapText="1"/>
    </xf>
    <xf numFmtId="0" fontId="32" fillId="5" borderId="23" xfId="0" applyFont="1" applyFill="1" applyBorder="1" applyAlignment="1">
      <alignment vertical="center" wrapText="1"/>
    </xf>
    <xf numFmtId="0" fontId="33" fillId="5" borderId="16" xfId="0" applyFont="1" applyFill="1" applyBorder="1" applyAlignment="1">
      <alignment vertical="center"/>
    </xf>
    <xf numFmtId="0" fontId="33" fillId="5" borderId="3" xfId="0" applyFont="1" applyFill="1" applyBorder="1" applyAlignment="1">
      <alignment vertical="center"/>
    </xf>
    <xf numFmtId="0" fontId="33" fillId="5" borderId="17" xfId="0" applyFont="1" applyFill="1" applyBorder="1" applyAlignment="1">
      <alignment vertical="center"/>
    </xf>
    <xf numFmtId="0" fontId="33" fillId="5" borderId="16" xfId="0" applyFont="1" applyFill="1" applyBorder="1" applyAlignment="1">
      <alignment horizontal="center" vertical="center"/>
    </xf>
    <xf numFmtId="0" fontId="33" fillId="5" borderId="17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20">
    <dxf>
      <font>
        <b/>
        <color rgb="FFC55252"/>
      </font>
      <fill>
        <patternFill>
          <bgColor rgb="FFF8E8E8"/>
        </patternFill>
      </fill>
    </dxf>
    <dxf>
      <font>
        <b/>
        <color rgb="FFD89B2B"/>
      </font>
      <fill>
        <patternFill>
          <bgColor rgb="FFFAF1DD"/>
        </patternFill>
      </fill>
    </dxf>
    <dxf>
      <font>
        <b/>
        <color rgb="FF737B87"/>
      </font>
      <fill>
        <patternFill>
          <bgColor rgb="FFEEF0F3"/>
        </patternFill>
      </fill>
    </dxf>
    <dxf>
      <font>
        <b/>
        <color rgb="FF1D78B5"/>
      </font>
      <fill>
        <patternFill>
          <bgColor rgb="FFEAF2FA"/>
        </patternFill>
      </fill>
    </dxf>
    <dxf>
      <font>
        <b/>
        <color rgb="FF3E9C5D"/>
      </font>
      <fill>
        <patternFill>
          <bgColor rgb="FFE9F5ED"/>
        </patternFill>
      </fill>
    </dxf>
    <dxf>
      <font>
        <b/>
        <color rgb="FF123B73"/>
      </font>
      <fill>
        <patternFill>
          <bgColor rgb="FFEAF2FA"/>
        </patternFill>
      </fill>
    </dxf>
    <dxf>
      <font>
        <b/>
        <color rgb="FFC55252"/>
      </font>
      <fill>
        <patternFill>
          <bgColor rgb="FFF8E8E8"/>
        </patternFill>
      </fill>
    </dxf>
    <dxf>
      <font>
        <b/>
        <color rgb="FFD89B2B"/>
      </font>
      <fill>
        <patternFill>
          <bgColor rgb="FFFAF1DD"/>
        </patternFill>
      </fill>
    </dxf>
    <dxf>
      <font>
        <b/>
        <color rgb="FF737B87"/>
      </font>
      <fill>
        <patternFill>
          <bgColor rgb="FFEEF0F3"/>
        </patternFill>
      </fill>
    </dxf>
    <dxf>
      <font>
        <b/>
        <color rgb="FF1D78B5"/>
      </font>
      <fill>
        <patternFill>
          <bgColor rgb="FFEAF2FA"/>
        </patternFill>
      </fill>
    </dxf>
    <dxf>
      <font>
        <b/>
        <color rgb="FF3E9C5D"/>
      </font>
      <fill>
        <patternFill>
          <bgColor rgb="FFE9F5ED"/>
        </patternFill>
      </fill>
    </dxf>
    <dxf>
      <fill>
        <patternFill>
          <bgColor rgb="FFF8FAFC"/>
        </patternFill>
      </fill>
    </dxf>
    <dxf>
      <font>
        <b/>
        <color rgb="FFC55252"/>
      </font>
      <fill>
        <patternFill>
          <bgColor rgb="FFF8E8E8"/>
        </patternFill>
      </fill>
    </dxf>
    <dxf>
      <fill>
        <patternFill>
          <bgColor rgb="FFF4FAF6"/>
        </patternFill>
      </fill>
    </dxf>
    <dxf>
      <font>
        <b/>
        <color rgb="FFC55252"/>
      </font>
      <fill>
        <patternFill>
          <bgColor rgb="FFF8E8E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family val="2"/>
        <scheme val="none"/>
      </font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pt-BR" sz="750"/>
              <a:t>Evolução das atividades Micro — Aderência e Satélites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concluído</c:v>
          </c:tx>
          <c:spPr>
            <a:solidFill>
              <a:srgbClr val="3E9C5D"/>
            </a:solidFill>
          </c:spPr>
          <c:invertIfNegative val="1"/>
          <c:cat>
            <c:strRef>
              <c:f>'Painel Executivo Micro'!$A$13:$A$25</c:f>
              <c:strCache>
                <c:ptCount val="11"/>
                <c:pt idx="0">
                  <c:v>(Financeiro) Aderência</c:v>
                </c:pt>
                <c:pt idx="1">
                  <c:v>(Financeiro) Satélites</c:v>
                </c:pt>
                <c:pt idx="2">
                  <c:v>(Fiscal) Satélites</c:v>
                </c:pt>
                <c:pt idx="3">
                  <c:v>(Contábil) Aderência</c:v>
                </c:pt>
                <c:pt idx="4">
                  <c:v>(Supply) Aderência</c:v>
                </c:pt>
                <c:pt idx="5">
                  <c:v>(Supply) Satélites</c:v>
                </c:pt>
                <c:pt idx="6">
                  <c:v>(CD) Aderência</c:v>
                </c:pt>
                <c:pt idx="7">
                  <c:v>(CD) Satélites</c:v>
                </c:pt>
                <c:pt idx="8">
                  <c:v>(Comercial) Aderência</c:v>
                </c:pt>
                <c:pt idx="9">
                  <c:v>(Comercial) Satélites</c:v>
                </c:pt>
                <c:pt idx="10">
                  <c:v>(Operações) Satélites</c:v>
                </c:pt>
              </c:strCache>
            </c:strRef>
          </c:cat>
          <c:val>
            <c:numRef>
              <c:f>'Painel Executivo Micro'!$K$13:$K$25</c:f>
              <c:numCache>
                <c:formatCode>0%</c:formatCode>
                <c:ptCount val="11"/>
                <c:pt idx="0">
                  <c:v>0.83333333333333337</c:v>
                </c:pt>
                <c:pt idx="1">
                  <c:v>0.6376811594202898</c:v>
                </c:pt>
                <c:pt idx="2">
                  <c:v>0</c:v>
                </c:pt>
                <c:pt idx="3">
                  <c:v>0.1</c:v>
                </c:pt>
                <c:pt idx="4">
                  <c:v>1</c:v>
                </c:pt>
                <c:pt idx="5">
                  <c:v>0.35714285714285715</c:v>
                </c:pt>
                <c:pt idx="6">
                  <c:v>0.63414634146341464</c:v>
                </c:pt>
                <c:pt idx="7">
                  <c:v>0.4</c:v>
                </c:pt>
                <c:pt idx="8">
                  <c:v>0.6</c:v>
                </c:pt>
                <c:pt idx="9">
                  <c:v>0.44444444444444442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DC8-47AA-886F-9FA23840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52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txPr>
          <a:bodyPr anchorCtr="1"/>
          <a:lstStyle/>
          <a:p>
            <a:pPr>
              <a:defRPr sz="525"/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Avanço acumulado por semana • retrospectiva indicativa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'Evolução Semanal Micro'!$N$16</c:f>
              <c:strCache>
                <c:ptCount val="1"/>
                <c:pt idx="0">
                  <c:v>EVOLUÇÃO %</c:v>
                </c:pt>
              </c:strCache>
            </c:strRef>
          </c:tx>
          <c:spPr>
            <a:ln w="38100" cap="rnd">
              <a:solidFill>
                <a:srgbClr val="3E9C5D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FFFFFF"/>
              </a:solidFill>
              <a:ln w="9525">
                <a:solidFill>
                  <a:srgbClr val="3E9C5D"/>
                </a:solidFill>
                <a:prstDash val="solid"/>
              </a:ln>
              <a:effectLst/>
            </c:spPr>
          </c:marker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'Evolução Semanal Micro'!$M$17:$M$28</c:f>
              <c:strCache>
                <c:ptCount val="12"/>
                <c:pt idx="0">
                  <c:v>10/08 – 14/08</c:v>
                </c:pt>
                <c:pt idx="1">
                  <c:v>17/08 – 21/08</c:v>
                </c:pt>
                <c:pt idx="2">
                  <c:v>24/08 – 28/08</c:v>
                </c:pt>
                <c:pt idx="3">
                  <c:v>31/08 – 04/09</c:v>
                </c:pt>
                <c:pt idx="4">
                  <c:v>07/09 – 11/09</c:v>
                </c:pt>
                <c:pt idx="5">
                  <c:v>14/09 – 18/09</c:v>
                </c:pt>
                <c:pt idx="6">
                  <c:v>21/09 – 25/09</c:v>
                </c:pt>
                <c:pt idx="7">
                  <c:v>28/09 – 02/10</c:v>
                </c:pt>
                <c:pt idx="8">
                  <c:v>05/10 – 09/10</c:v>
                </c:pt>
                <c:pt idx="9">
                  <c:v>12/10 – 16/10</c:v>
                </c:pt>
                <c:pt idx="10">
                  <c:v>19/10 – 23/10</c:v>
                </c:pt>
                <c:pt idx="11">
                  <c:v>26/10 – 30/10</c:v>
                </c:pt>
              </c:strCache>
            </c:strRef>
          </c:cat>
          <c:val>
            <c:numRef>
              <c:f>'Evolução Semanal Micro'!$N$17:$N$28</c:f>
              <c:numCache>
                <c:formatCode>0.0%</c:formatCode>
                <c:ptCount val="12"/>
                <c:pt idx="0">
                  <c:v>0.13023255813953488</c:v>
                </c:pt>
                <c:pt idx="1">
                  <c:v>0.16279069767441862</c:v>
                </c:pt>
                <c:pt idx="2">
                  <c:v>0.20930232558139536</c:v>
                </c:pt>
                <c:pt idx="3">
                  <c:v>0.26511627906976742</c:v>
                </c:pt>
                <c:pt idx="4">
                  <c:v>0.30232558139534882</c:v>
                </c:pt>
                <c:pt idx="5">
                  <c:v>0.36279069767441863</c:v>
                </c:pt>
                <c:pt idx="6">
                  <c:v>0.42325581395348838</c:v>
                </c:pt>
                <c:pt idx="7">
                  <c:v>0.44186046511627908</c:v>
                </c:pt>
                <c:pt idx="8">
                  <c:v>0.47</c:v>
                </c:pt>
                <c:pt idx="9">
                  <c:v>0.50697674418604655</c:v>
                </c:pt>
                <c:pt idx="10">
                  <c:v>0.53488372093023251</c:v>
                </c:pt>
                <c:pt idx="11">
                  <c:v>0.54418604651162794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9-4E90-A3D3-24652977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476943"/>
        <c:axId val="1414208591"/>
      </c:lineChart>
      <c:catAx>
        <c:axId val="17944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4208591"/>
        <c:crosses val="autoZero"/>
        <c:auto val="1"/>
        <c:lblAlgn val="ctr"/>
        <c:lblOffset val="100"/>
        <c:noMultiLvlLbl val="0"/>
      </c:catAx>
      <c:valAx>
        <c:axId val="14142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447694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[dados.xlsx]CRs Atividades Micro!Tabela dinâmica6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</c:pivotFmt>
      <c:pivotFmt>
        <c:idx val="3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</c:pivotFmt>
      <c:pivotFmt>
        <c:idx val="7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'CRs Atividades Micro'!$E$1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73-40C7-9488-5C30A998A1B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73-40C7-9488-5C30A998A1BA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73-40C7-9488-5C30A998A1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'CRs Atividades Micro'!$D$2:$D$5</c:f>
              <c:strCache>
                <c:ptCount val="3"/>
                <c:pt idx="0">
                  <c:v>CD</c:v>
                </c:pt>
                <c:pt idx="1">
                  <c:v>Financeiro</c:v>
                </c:pt>
                <c:pt idx="2">
                  <c:v>Fiscal</c:v>
                </c:pt>
              </c:strCache>
            </c:strRef>
          </c:cat>
          <c:val>
            <c:numRef>
              <c:f>'CRs Atividades Micro'!$E$2:$E$5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73-40C7-9488-5C30A998A1B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60960</xdr:rowOff>
    </xdr:from>
    <xdr:to>
      <xdr:col>9</xdr:col>
      <xdr:colOff>0</xdr:colOff>
      <xdr:row>40</xdr:row>
      <xdr:rowOff>441960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D2B597FD-1C91-4B97-88D7-20262C08F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228600</xdr:rowOff>
    </xdr:from>
    <xdr:to>
      <xdr:col>11</xdr:col>
      <xdr:colOff>1315720</xdr:colOff>
      <xdr:row>17</xdr:row>
      <xdr:rowOff>20320</xdr:rowOff>
    </xdr:to>
    <xdr:graphicFrame macro="">
      <xdr:nvGraphicFramePr>
        <xdr:cNvPr id="2" name="Previa_Timeline_Micro">
          <a:extLst>
            <a:ext uri="{FF2B5EF4-FFF2-40B4-BE49-F238E27FC236}">
              <a16:creationId xmlns:a16="http://schemas.microsoft.com/office/drawing/2014/main" id="{E4D0E8BF-E0EE-442A-99B4-812AA55D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6</xdr:row>
      <xdr:rowOff>106680</xdr:rowOff>
    </xdr:from>
    <xdr:to>
      <xdr:col>9</xdr:col>
      <xdr:colOff>544830</xdr:colOff>
      <xdr:row>22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E86B68-8E38-46B7-B7EF-E7A8089D7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EBD42D0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naldo Silva" refreshedDate="46289.487845949072" createdVersion="8" refreshedVersion="8" minRefreshableVersion="3" recordCount="5" xr:uid="{384B8E12-EFD3-4FE1-BA10-6C8C788B34EF}">
  <cacheSource type="worksheet">
    <worksheetSource name="tbl_CRs_Atividades_Micro" r:id="rId2"/>
  </cacheSource>
  <cacheFields count="2">
    <cacheField name="Frente" numFmtId="0">
      <sharedItems count="3">
        <s v="Financeiro"/>
        <s v="Fiscal"/>
        <s v="CD"/>
      </sharedItems>
    </cacheField>
    <cacheField name="Atividade" numFmtId="0">
      <sharedItems/>
    </cacheField>
  </cacheFields>
  <extLst>
    <ext xmlns:x14="http://schemas.microsoft.com/office/spreadsheetml/2009/9/main" uri="{725AE2AE-9491-48be-B2B4-4EB974FC3084}">
      <x14:pivotCacheDefinition pivotCacheId="7138031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CR - Melhorias a serem definidas "/>
  </r>
  <r>
    <x v="1"/>
    <s v="CR - Melhorias a serem definidas (SPR-1092)"/>
  </r>
  <r>
    <x v="2"/>
    <s v="ID-106 |Ajustes CR - pós entrega"/>
  </r>
  <r>
    <x v="2"/>
    <s v="ID-102 | Ajustes CR - pós entrega"/>
  </r>
  <r>
    <x v="2"/>
    <s v="ID-91 |Ajustes CR - pós entreg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B03BD-D650-4872-98B1-12D975BB2F3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D1:E5" firstHeaderRow="1" firstDataRow="1" firstDataCol="1"/>
  <pivotFields count="2"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Atividade" fld="1" subtotal="count" baseField="0" baseItem="0"/>
  </dataFields>
  <chartFormats count="4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440FEF-7AB2-47AB-A557-CA8606F0E735}" name="TabelaAtividadesMacro5" displayName="TabelaAtividadesMacro5" ref="A1:O29" totalsRowShown="0">
  <autoFilter ref="A1:O29" xr:uid="{00000000-0009-0000-0100-000002000000}">
    <filterColumn colId="2">
      <filters>
        <filter val="Operações"/>
      </filters>
    </filterColumn>
  </autoFilter>
  <tableColumns count="15">
    <tableColumn id="1" xr3:uid="{00000000-0010-0000-0000-000001000000}" name="Ticket"/>
    <tableColumn id="2" xr3:uid="{00000000-0010-0000-0000-000002000000}" name="Atividade macro"/>
    <tableColumn id="3" xr3:uid="{00000000-0010-0000-0000-000003000000}" name="Frente"/>
    <tableColumn id="5" xr3:uid="{00000000-0010-0000-0000-000005000000}" name="Data Planejada"/>
    <tableColumn id="6" xr3:uid="{00000000-0010-0000-0000-000006000000}" name="Data fim real"/>
    <tableColumn id="7" xr3:uid="{00000000-0010-0000-0000-000007000000}" name="Atividades macro"/>
    <tableColumn id="8" xr3:uid="{00000000-0010-0000-0000-000008000000}" name="Atividades micro"/>
    <tableColumn id="9" xr3:uid="{00000000-0010-0000-0000-000009000000}" name="Não iniciado"/>
    <tableColumn id="10" xr3:uid="{00000000-0010-0000-0000-00000A000000}" name="Em andamento"/>
    <tableColumn id="11" xr3:uid="{00000000-0010-0000-0000-00000B000000}" name="Testes QA"/>
    <tableColumn id="12" xr3:uid="{00000000-0010-0000-0000-00000C000000}" name="Bloqueado"/>
    <tableColumn id="13" xr3:uid="{00000000-0010-0000-0000-00000D000000}" name="Cancelado"/>
    <tableColumn id="14" xr3:uid="{00000000-0010-0000-0000-00000E000000}" name="Finalizado"/>
    <tableColumn id="15" xr3:uid="{00000000-0010-0000-0000-00000F000000}" name="Status da macro"/>
    <tableColumn id="16" xr3:uid="{00000000-0010-0000-0000-000010000000}" name="% concluído">
      <calculatedColumnFormula>IF(H2+I2+J2+K2+M2&lt;=0,0,M2/(H2+I2+J2+K2+M2))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865E31-8A5E-4C7B-AA74-4AD02FAE2C0B}" name="TabelaAtividadesMicro6" displayName="TabelaAtividadesMicro6" ref="A1:M395" totalsRowShown="0">
  <autoFilter ref="A1:M395" xr:uid="{00000000-0009-0000-0100-000001000000}">
    <filterColumn colId="0">
      <filters>
        <filter val="CD"/>
      </filters>
    </filterColumn>
  </autoFilter>
  <tableColumns count="13">
    <tableColumn id="1" xr3:uid="{00000000-0010-0000-0100-000001000000}" name="Frente consolidada"/>
    <tableColumn id="2" xr3:uid="{00000000-0010-0000-0100-000002000000}" name="Linha macro"/>
    <tableColumn id="3" xr3:uid="{00000000-0010-0000-0100-000003000000}" name="Ticket Epic"/>
    <tableColumn id="4" xr3:uid="{00000000-0010-0000-0100-000004000000}" name="Ticket atividade"/>
    <tableColumn id="5" xr3:uid="{00000000-0010-0000-0100-000005000000}" name="Atividade"/>
    <tableColumn id="6" xr3:uid="{00000000-0010-0000-0100-000006000000}" name="Pai"/>
    <tableColumn id="7" xr3:uid="{00000000-0010-0000-0100-000007000000}" name="Tipo de registro"/>
    <tableColumn id="8" xr3:uid="{00000000-0010-0000-0100-000008000000}" name="Hierarquia"/>
    <tableColumn id="9" xr3:uid="{00000000-0010-0000-0100-000009000000}" name="Categoria"/>
    <tableColumn id="10" xr3:uid="{00000000-0010-0000-0100-00000A000000}" name="Status"/>
    <tableColumn id="11" xr3:uid="{00000000-0010-0000-0100-00000B000000}" name="Data Planejada"/>
    <tableColumn id="12" xr3:uid="{00000000-0010-0000-0100-00000C000000}" name="Data fim real"/>
    <tableColumn id="13" xr3:uid="{00000000-0010-0000-0100-00000D000000}" name="Linha na matri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260B67-331F-4BCF-85A8-6F41FF44F455}" name="tbl_CRs_Atividades_Micro7" displayName="tbl_CRs_Atividades_Micro7" ref="A1:B6" totalsRowShown="0" headerRowDxfId="19" dataDxfId="17" headerRowBorderDxfId="18">
  <autoFilter ref="A1:B6" xr:uid="{4C48442E-F30A-4BB7-A637-F0D2769A886F}"/>
  <tableColumns count="2">
    <tableColumn id="1" xr3:uid="{CCAB662E-3A8F-4711-B110-2B90EBC06639}" name="Frente" dataDxfId="16"/>
    <tableColumn id="2" xr3:uid="{6C0BF958-5D42-4A90-91E6-2600F445303E}" name="Atividad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035F7A-30CE-4D96-BECD-E62A58BEC285}">
  <we:reference id="wa200010215" version="2.0.0.0" store="pt-BR" storeType="OMEX"/>
  <we:alternateReferences>
    <we:reference id="wa200010215" version="2.0.0.0" store="wa200010215" storeType="OMEX"/>
  </we:alternateReferences>
  <we:properties>
    <we:property name="bps.codex_control.document_id" value="&quot;f7c24db1-c365-4626-8331-73226f05f4b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18C2-89F0-4DA3-86ED-C80EBF9916AC}">
  <dimension ref="A1:N57"/>
  <sheetViews>
    <sheetView showGridLines="0" topLeftCell="A2" workbookViewId="0">
      <selection activeCell="K39" sqref="K39"/>
    </sheetView>
  </sheetViews>
  <sheetFormatPr defaultRowHeight="13.8"/>
  <cols>
    <col min="1" max="1" width="31" customWidth="1"/>
    <col min="2" max="2" width="23" customWidth="1"/>
    <col min="3" max="3" width="13" customWidth="1"/>
    <col min="4" max="6" width="11" customWidth="1"/>
    <col min="7" max="10" width="9" customWidth="1"/>
    <col min="11" max="11" width="12" customWidth="1"/>
    <col min="12" max="12" width="4" customWidth="1"/>
    <col min="13" max="13" width="13.19921875" customWidth="1"/>
  </cols>
  <sheetData>
    <row r="1" spans="1:12" ht="22.05" customHeight="1">
      <c r="A1" s="168" t="str">
        <f>"STATUS FUSÃO | PAINEL EXECUTIVO – ATIVIDADES - Frentes acompanhadas:"&amp;COUNTA('Resumo por Frente'!$A$5:$A$17)</f>
        <v>STATUS FUSÃO | PAINEL EXECUTIVO – ATIVIDADES - Frentes acompanhadas:13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2" ht="22.05" customHeight="1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</row>
    <row r="3" spans="1:12" ht="19.05" customHeight="1">
      <c r="A3" s="169" t="s">
        <v>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1:12" ht="4.9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8" customHeight="1">
      <c r="A5" s="170" t="s">
        <v>1</v>
      </c>
      <c r="B5" s="171"/>
      <c r="C5" s="171"/>
      <c r="D5" s="171"/>
      <c r="E5" s="171"/>
      <c r="F5" s="171"/>
      <c r="G5" s="171"/>
      <c r="H5" s="171"/>
      <c r="I5" s="171"/>
      <c r="J5" s="172"/>
      <c r="K5" s="173" t="str">
        <f>"Total: "&amp;COUNTIF('Atividades Micro'!$G$2:$G$554,"Macro")</f>
        <v>Total: 97</v>
      </c>
      <c r="L5" s="174"/>
    </row>
    <row r="6" spans="1:12" ht="16.05" customHeight="1">
      <c r="A6" s="175" t="s">
        <v>2</v>
      </c>
      <c r="B6" s="176"/>
      <c r="C6" s="164" t="s">
        <v>3</v>
      </c>
      <c r="D6" s="165"/>
      <c r="E6" s="177" t="s">
        <v>4</v>
      </c>
      <c r="F6" s="178"/>
      <c r="G6" s="158" t="s">
        <v>5</v>
      </c>
      <c r="H6" s="159"/>
      <c r="I6" s="179" t="s">
        <v>6</v>
      </c>
      <c r="J6" s="180"/>
      <c r="K6" s="150" t="s">
        <v>7</v>
      </c>
      <c r="L6" s="151"/>
    </row>
    <row r="7" spans="1:12" ht="19.95" customHeight="1">
      <c r="A7" s="162">
        <f>COUNTIFS('Atividades Micro'!$G$2:$G$554,"Macro",'Atividades Micro'!$J$2:$J$554,"Não iniciado")</f>
        <v>25</v>
      </c>
      <c r="B7" s="163"/>
      <c r="C7" s="166">
        <f>COUNTIFS('Atividades Micro'!$G$2:$G$554,"Macro",'Atividades Micro'!$J$2:$J$554,"Em andamento")-COUNTIFS('Atividades Micro'!$G$2:$G$554,"Micro",'Atividades Micro'!$E$2:$E$554,"*QA*",'Atividades Micro'!$J$2:$J$554,"Em andamento")</f>
        <v>18</v>
      </c>
      <c r="D7" s="167"/>
      <c r="E7" s="156">
        <f>COUNTIFS('Atividades Micro'!$G$2:$G$554,"Micro",'Atividades Micro'!$E$2:$E$554,"*QA*",'Atividades Micro'!$J$2:$J$554,"Em andamento")</f>
        <v>1</v>
      </c>
      <c r="F7" s="157"/>
      <c r="G7" s="160">
        <f>COUNTIFS('Atividades Micro'!$G$2:$G$554,"Macro",'Atividades Micro'!$J$2:$J$554,"Bloqueado")</f>
        <v>12</v>
      </c>
      <c r="H7" s="161"/>
      <c r="I7" s="146">
        <f>COUNTIFS('Atividades Micro'!$G$2:$G$554,"Macro",'Atividades Micro'!$J$2:$J$554,"Cancelado")</f>
        <v>11</v>
      </c>
      <c r="J7" s="147"/>
      <c r="K7" s="152">
        <f>COUNTIFS('Atividades Micro'!$G$2:$G$554,"Macro",'Atividades Micro'!$J$2:$J$554,"Finalizado")</f>
        <v>30</v>
      </c>
      <c r="L7" s="153"/>
    </row>
    <row r="8" spans="1:12" ht="16.05" customHeight="1">
      <c r="A8" s="154">
        <f>IF(COUNTIFS('Atividades Micro'!$G$2:$G$554,"Macro",'Atividades Micro'!$J$2:$J$554,"&lt;&gt;Cancelado")&lt;=0,0,COUNTIFS('Atividades Micro'!$G$2:$G$554,"Macro",'Atividades Micro'!$J$2:$J$554,"Não iniciado")/COUNTIFS('Atividades Micro'!$G$2:$G$554,"Macro",'Atividades Micro'!$J$2:$J$554,"&lt;&gt;Cancelado"))</f>
        <v>0.29069767441860467</v>
      </c>
      <c r="B8" s="155"/>
      <c r="C8" s="154">
        <f>IF(COUNTIFS('Atividades Micro'!$G$2:$G$554,"Macro",'Atividades Micro'!$J$2:$J$554,"&lt;&gt;Cancelado")&lt;=0,0,C7/COUNTIFS('Atividades Micro'!$G$2:$G$554,"Macro",'Atividades Micro'!$J$2:$J$554,"&lt;&gt;Cancelado"))</f>
        <v>0.20930232558139536</v>
      </c>
      <c r="D8" s="155"/>
      <c r="E8" s="154">
        <f>IF(COUNTIFS('Atividades Micro'!$G$2:$G$554,"Macro",'Atividades Micro'!$J$2:$J$554,"&lt;&gt;Cancelado")&lt;=0,0,E7/COUNTIFS('Atividades Micro'!$G$2:$G$554,"Macro",'Atividades Micro'!$J$2:$J$554,"&lt;&gt;Cancelado"))</f>
        <v>1.1627906976744186E-2</v>
      </c>
      <c r="F8" s="155"/>
      <c r="G8" s="154">
        <f>IF(COUNTIFS('Atividades Micro'!$G$2:$G$554,"Macro",'Atividades Micro'!$J$2:$J$554,"&lt;&gt;Cancelado")&lt;=0,0,COUNTIFS('Atividades Micro'!$G$2:$G$554,"Macro",'Atividades Micro'!$J$2:$J$554,"Bloqueado")/COUNTIFS('Atividades Micro'!$G$2:$G$554,"Macro",'Atividades Micro'!$J$2:$J$554,"&lt;&gt;Cancelado"))</f>
        <v>0.13953488372093023</v>
      </c>
      <c r="H8" s="155"/>
      <c r="I8" s="148" t="s">
        <v>8</v>
      </c>
      <c r="J8" s="149"/>
      <c r="K8" s="154">
        <f>IF(COUNTIFS('Atividades Micro'!$G$2:$G$554,"Macro",'Atividades Micro'!$J$2:$J$554,"&lt;&gt;Cancelado")&lt;=0,0,COUNTIFS('Atividades Micro'!$G$2:$G$554,"Macro",'Atividades Micro'!$J$2:$J$554,"Finalizado")/COUNTIFS('Atividades Micro'!$G$2:$G$554,"Macro",'Atividades Micro'!$J$2:$J$554,"&lt;&gt;Cancelado"))</f>
        <v>0.34883720930232559</v>
      </c>
      <c r="L8" s="155"/>
    </row>
    <row r="9" spans="1:12" ht="4.95" customHeight="1">
      <c r="A9" s="44"/>
      <c r="B9" s="45"/>
      <c r="C9" s="46"/>
      <c r="D9" s="47"/>
      <c r="E9" s="48"/>
      <c r="F9" s="49"/>
      <c r="G9" s="50"/>
      <c r="H9" s="51"/>
      <c r="I9" s="52"/>
      <c r="J9" s="53"/>
      <c r="K9" s="54"/>
      <c r="L9" s="55"/>
    </row>
    <row r="10" spans="1:12" ht="4.9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ht="18" customHeight="1">
      <c r="A11" s="136" t="s">
        <v>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</row>
    <row r="12" spans="1:12" ht="30" customHeight="1">
      <c r="A12" s="56" t="s">
        <v>10</v>
      </c>
      <c r="B12" s="56" t="s">
        <v>11</v>
      </c>
      <c r="C12" s="56" t="s">
        <v>12</v>
      </c>
      <c r="D12" s="56" t="s">
        <v>13</v>
      </c>
      <c r="E12" s="56" t="s">
        <v>2</v>
      </c>
      <c r="F12" s="56" t="s">
        <v>3</v>
      </c>
      <c r="G12" s="56" t="s">
        <v>4</v>
      </c>
      <c r="H12" s="56" t="s">
        <v>5</v>
      </c>
      <c r="I12" s="56" t="s">
        <v>6</v>
      </c>
      <c r="J12" s="56" t="s">
        <v>7</v>
      </c>
      <c r="K12" s="56" t="s">
        <v>14</v>
      </c>
      <c r="L12" s="43"/>
    </row>
    <row r="13" spans="1:12" ht="18" customHeight="1">
      <c r="A13" s="72" t="str">
        <f>'Atividades Macro'!$B2</f>
        <v>Infraestrutura - Fusão - Grupo PetzCobasi</v>
      </c>
      <c r="B13" s="73" t="str">
        <f>'Atividades Macro'!$C2</f>
        <v>(Migração ERP) Infraestrutura</v>
      </c>
      <c r="C13" s="74">
        <f>IF('Atividades Macro'!$D2="","",'Atividades Macro'!$D2)</f>
        <v>46374</v>
      </c>
      <c r="D13" s="75">
        <f>'Atividades Macro'!$F2</f>
        <v>12</v>
      </c>
      <c r="E13" s="75">
        <f>COUNTIFS('Atividades Micro'!$A$2:$A$554,$B13,'Atividades Micro'!$G$2:$G$554,"Macro",'Atividades Micro'!$J$2:$J$554,E$12)</f>
        <v>7</v>
      </c>
      <c r="F13" s="75">
        <f>COUNTIFS('Atividades Micro'!$A$2:$A$554,$B13,'Atividades Micro'!$G$2:$G$554,"Macro",'Atividades Micro'!$J$2:$J$554,"Em andamento")-COUNTIFS('Atividades Micro'!$A$2:$A$554,$B13,'Atividades Micro'!$G$2:$G$554,"Micro",'Atividades Micro'!$E$2:$E$554,"*QA*",'Atividades Micro'!$J$2:$J$554,"Em andamento")</f>
        <v>0</v>
      </c>
      <c r="G13" s="75">
        <f>COUNTIFS('Atividades Micro'!$A$2:$A$554,$B13,'Atividades Micro'!$G$2:$G$554,"Micro",'Atividades Micro'!$E$2:$E$554,"*QA*",'Atividades Micro'!$J$2:$J$554,"Em andamento")</f>
        <v>0</v>
      </c>
      <c r="H13" s="75">
        <f>COUNTIFS('Atividades Micro'!$A$2:$A$554,$B13,'Atividades Micro'!$G$2:$G$554,"Macro",'Atividades Micro'!$J$2:$J$554,H$12)</f>
        <v>0</v>
      </c>
      <c r="I13" s="75">
        <f>COUNTIFS('Atividades Micro'!$A$2:$A$554,$B13,'Atividades Micro'!$G$2:$G$554,"Macro",'Atividades Micro'!$J$2:$J$554,I$12)</f>
        <v>0</v>
      </c>
      <c r="J13" s="75">
        <f>COUNTIFS('Atividades Micro'!$A$2:$A$554,$B13,'Atividades Micro'!$G$2:$G$554,"Macro",'Atividades Micro'!$J$2:$J$554,J$12)</f>
        <v>5</v>
      </c>
      <c r="K13" s="76">
        <v>0.41666666666666702</v>
      </c>
      <c r="L13" s="43"/>
    </row>
    <row r="14" spans="1:12" ht="18" customHeight="1">
      <c r="A14" s="77" t="str">
        <f>'Atividades Macro'!$B3</f>
        <v>Migração de Dados/Saldo Inicial | Fusão Petz Cobasi</v>
      </c>
      <c r="B14" s="78" t="str">
        <f>'Atividades Macro'!$C3</f>
        <v>(Migração ERP) Dados Mestres</v>
      </c>
      <c r="C14" s="79">
        <f>IF('Atividades Macro'!$D3="","",'Atividades Macro'!$D3)</f>
        <v>46346</v>
      </c>
      <c r="D14" s="80">
        <f>'Atividades Macro'!$F3</f>
        <v>14</v>
      </c>
      <c r="E14" s="80">
        <f>COUNTIFS('Atividades Micro'!$A$2:$A$554,$B14,'Atividades Micro'!$G$2:$G$554,"Macro",'Atividades Micro'!$J$2:$J$554,E$12)</f>
        <v>10</v>
      </c>
      <c r="F14" s="80">
        <f>COUNTIFS('Atividades Micro'!$A$2:$A$554,$B14,'Atividades Micro'!$G$2:$G$554,"Macro",'Atividades Micro'!$J$2:$J$554,"Em andamento")-COUNTIFS('Atividades Micro'!$A$2:$A$554,$B14,'Atividades Micro'!$G$2:$G$554,"Micro",'Atividades Micro'!$E$2:$E$554,"*QA*",'Atividades Micro'!$J$2:$J$554,"Em andamento")</f>
        <v>0</v>
      </c>
      <c r="G14" s="80">
        <f>COUNTIFS('Atividades Micro'!$A$2:$A$554,$B14,'Atividades Micro'!$G$2:$G$554,"Micro",'Atividades Micro'!$E$2:$E$554,"*QA*",'Atividades Micro'!$J$2:$J$554,"Em andamento")</f>
        <v>0</v>
      </c>
      <c r="H14" s="80">
        <f>COUNTIFS('Atividades Micro'!$A$2:$A$554,$B14,'Atividades Micro'!$G$2:$G$554,"Macro",'Atividades Micro'!$J$2:$J$554,H$12)</f>
        <v>0</v>
      </c>
      <c r="I14" s="80">
        <f>COUNTIFS('Atividades Micro'!$A$2:$A$554,$B14,'Atividades Micro'!$G$2:$G$554,"Macro",'Atividades Micro'!$J$2:$J$554,I$12)</f>
        <v>0</v>
      </c>
      <c r="J14" s="80">
        <f>COUNTIFS('Atividades Micro'!$A$2:$A$554,$B14,'Atividades Micro'!$G$2:$G$554,"Macro",'Atividades Micro'!$J$2:$J$554,J$12)</f>
        <v>4</v>
      </c>
      <c r="K14" s="81">
        <v>0.25</v>
      </c>
      <c r="L14" s="43"/>
    </row>
    <row r="15" spans="1:12" ht="18" customHeight="1">
      <c r="A15" s="77" t="str">
        <f>'Atividades Macro'!$B4</f>
        <v>Revisão de código e configurações</v>
      </c>
      <c r="B15" s="78" t="str">
        <f>'Atividades Macro'!$C4</f>
        <v>(Migração ERP) Refatoração / Fontes</v>
      </c>
      <c r="C15" s="79">
        <f>IF('Atividades Macro'!$D4="","",'Atividades Macro'!$D4)</f>
        <v>46272</v>
      </c>
      <c r="D15" s="80">
        <f>'Atividades Macro'!$F4</f>
        <v>9</v>
      </c>
      <c r="E15" s="80">
        <f>COUNTIFS('Atividades Micro'!$A$2:$A$554,$B15,'Atividades Micro'!$G$2:$G$554,"Macro",'Atividades Micro'!$J$2:$J$554,E$12)</f>
        <v>1</v>
      </c>
      <c r="F15" s="80">
        <f>COUNTIFS('Atividades Micro'!$A$2:$A$554,$B15,'Atividades Micro'!$G$2:$G$554,"Macro",'Atividades Micro'!$J$2:$J$554,"Em andamento")-COUNTIFS('Atividades Micro'!$A$2:$A$554,$B15,'Atividades Micro'!$G$2:$G$554,"Micro",'Atividades Micro'!$E$2:$E$554,"*QA*",'Atividades Micro'!$J$2:$J$554,"Em andamento")</f>
        <v>4</v>
      </c>
      <c r="G15" s="80">
        <f>COUNTIFS('Atividades Micro'!$A$2:$A$554,$B15,'Atividades Micro'!$G$2:$G$554,"Micro",'Atividades Micro'!$E$2:$E$554,"*QA*",'Atividades Micro'!$J$2:$J$554,"Em andamento")</f>
        <v>0</v>
      </c>
      <c r="H15" s="80">
        <f>COUNTIFS('Atividades Micro'!$A$2:$A$554,$B15,'Atividades Micro'!$G$2:$G$554,"Macro",'Atividades Micro'!$J$2:$J$554,H$12)</f>
        <v>0</v>
      </c>
      <c r="I15" s="80">
        <f>COUNTIFS('Atividades Micro'!$A$2:$A$554,$B15,'Atividades Micro'!$G$2:$G$554,"Macro",'Atividades Micro'!$J$2:$J$554,I$12)</f>
        <v>1</v>
      </c>
      <c r="J15" s="80">
        <f>COUNTIFS('Atividades Micro'!$A$2:$A$554,$B15,'Atividades Micro'!$G$2:$G$554,"Macro",'Atividades Micro'!$J$2:$J$554,J$12)</f>
        <v>3</v>
      </c>
      <c r="K15" s="81">
        <v>0.22222222222222221</v>
      </c>
      <c r="L15" s="43"/>
    </row>
    <row r="16" spans="1:12" ht="18" customHeight="1">
      <c r="A16" s="77" t="str">
        <f>'Atividades Macro'!$B5</f>
        <v>Sistemas Satelites | Fusão Petz Cobasi</v>
      </c>
      <c r="B16" s="78" t="str">
        <f>'Atividades Macro'!$C5</f>
        <v>(Migração ERP) Satélites</v>
      </c>
      <c r="C16" s="79">
        <f>IF('Atividades Macro'!$D5="","",'Atividades Macro'!$D5)</f>
        <v>46248</v>
      </c>
      <c r="D16" s="80">
        <f>'Atividades Macro'!$F5</f>
        <v>2</v>
      </c>
      <c r="E16" s="80">
        <f>COUNTIFS('Atividades Micro'!$A$2:$A$554,$B16,'Atividades Micro'!$G$2:$G$554,"Macro",'Atividades Micro'!$J$2:$J$554,E$12)</f>
        <v>0</v>
      </c>
      <c r="F16" s="80">
        <f>COUNTIFS('Atividades Micro'!$A$2:$A$554,$B16,'Atividades Micro'!$G$2:$G$554,"Macro",'Atividades Micro'!$J$2:$J$554,"Em andamento")-COUNTIFS('Atividades Micro'!$A$2:$A$554,$B16,'Atividades Micro'!$G$2:$G$554,"Micro",'Atividades Micro'!$E$2:$E$554,"*QA*",'Atividades Micro'!$J$2:$J$554,"Em andamento")</f>
        <v>1</v>
      </c>
      <c r="G16" s="80">
        <f>COUNTIFS('Atividades Micro'!$A$2:$A$554,$B16,'Atividades Micro'!$G$2:$G$554,"Micro",'Atividades Micro'!$E$2:$E$554,"*QA*",'Atividades Micro'!$J$2:$J$554,"Em andamento")</f>
        <v>0</v>
      </c>
      <c r="H16" s="80">
        <f>COUNTIFS('Atividades Micro'!$A$2:$A$554,$B16,'Atividades Micro'!$G$2:$G$554,"Macro",'Atividades Micro'!$J$2:$J$554,H$12)</f>
        <v>0</v>
      </c>
      <c r="I16" s="80">
        <f>COUNTIFS('Atividades Micro'!$A$2:$A$554,$B16,'Atividades Micro'!$G$2:$G$554,"Macro",'Atividades Micro'!$J$2:$J$554,I$12)</f>
        <v>0</v>
      </c>
      <c r="J16" s="80">
        <f>COUNTIFS('Atividades Micro'!$A$2:$A$554,$B16,'Atividades Micro'!$G$2:$G$554,"Macro",'Atividades Micro'!$J$2:$J$554,J$12)</f>
        <v>1</v>
      </c>
      <c r="K16" s="81">
        <v>0.5</v>
      </c>
      <c r="L16" s="43"/>
    </row>
    <row r="17" spans="1:14" ht="18" customHeight="1">
      <c r="A17" s="77" t="str">
        <f>'Atividades Macro'!$B6</f>
        <v>FINANCEIRO | Fusão - Grupo Petz Cobasi</v>
      </c>
      <c r="B17" s="78" t="str">
        <f>'Atividades Macro'!$C6</f>
        <v>Financeiro</v>
      </c>
      <c r="C17" s="79">
        <f>IF('Atividades Macro'!$D6="","",'Atividades Macro'!$D6)</f>
        <v>46359</v>
      </c>
      <c r="D17" s="80">
        <f>'Atividades Macro'!$F6</f>
        <v>7</v>
      </c>
      <c r="E17" s="80">
        <f>COUNTIFS('Atividades Micro'!$A$2:$A$554,$B17,'Atividades Micro'!$G$2:$G$554,"Macro",'Atividades Micro'!$J$2:$J$554,E$12)</f>
        <v>2</v>
      </c>
      <c r="F17" s="80">
        <f>COUNTIFS('Atividades Micro'!$A$2:$A$554,$B17,'Atividades Micro'!$G$2:$G$554,"Macro",'Atividades Micro'!$J$2:$J$554,"Em andamento")-COUNTIFS('Atividades Micro'!$A$2:$A$554,$B17,'Atividades Micro'!$G$2:$G$554,"Micro",'Atividades Micro'!$E$2:$E$554,"*QA*",'Atividades Micro'!$J$2:$J$554,"Em andamento")</f>
        <v>2</v>
      </c>
      <c r="G17" s="80">
        <f>COUNTIFS('Atividades Micro'!$A$2:$A$554,$B17,'Atividades Micro'!$G$2:$G$554,"Micro",'Atividades Micro'!$E$2:$E$554,"*QA*",'Atividades Micro'!$J$2:$J$554,"Em andamento")</f>
        <v>0</v>
      </c>
      <c r="H17" s="80">
        <f>COUNTIFS('Atividades Micro'!$A$2:$A$554,$B17,'Atividades Micro'!$G$2:$G$554,"Macro",'Atividades Micro'!$J$2:$J$554,H$12)</f>
        <v>0</v>
      </c>
      <c r="I17" s="80">
        <f>COUNTIFS('Atividades Micro'!$A$2:$A$554,$B17,'Atividades Micro'!$G$2:$G$554,"Macro",'Atividades Micro'!$J$2:$J$554,I$12)</f>
        <v>1</v>
      </c>
      <c r="J17" s="80">
        <f>COUNTIFS('Atividades Micro'!$A$2:$A$554,$B17,'Atividades Micro'!$G$2:$G$554,"Macro",'Atividades Micro'!$J$2:$J$554,J$12)</f>
        <v>2</v>
      </c>
      <c r="K17" s="81">
        <v>0.10256410256410256</v>
      </c>
      <c r="L17" s="43"/>
    </row>
    <row r="18" spans="1:14" ht="18" customHeight="1">
      <c r="A18" s="58" t="str">
        <f>'Atividades Macro'!$B7</f>
        <v>(Financeiro) Aderência</v>
      </c>
      <c r="B18" s="61" t="str">
        <f>'Atividades Macro'!$C7</f>
        <v>Financeiro</v>
      </c>
      <c r="C18" s="64">
        <f>IF('Atividades Macro'!$D7="","",'Atividades Macro'!$D7)</f>
        <v>46238</v>
      </c>
      <c r="D18" s="67">
        <f>'Atividades Macro'!$F7</f>
        <v>3</v>
      </c>
      <c r="E18" s="67">
        <f>COUNTIFS('Atividades Micro'!$B$2:$B$554,$A18,'Atividades Micro'!$G$2:$G$554,"Macro",'Atividades Micro'!$J$2:$J$554,E$12)</f>
        <v>0</v>
      </c>
      <c r="F18" s="67">
        <f>COUNTIFS('Atividades Micro'!$B$2:$B$554,$A18,'Atividades Micro'!$G$2:$G$554,"Macro",'Atividades Micro'!$J$2:$J$554,"Em andamento")-COUNTIFS('Atividades Micro'!$B$2:$B$554,$A18,'Atividades Micro'!$G$2:$G$554,"Micro",'Atividades Micro'!$E$2:$E$554,"*QA*",'Atividades Micro'!$J$2:$J$554,"Em andamento")</f>
        <v>0</v>
      </c>
      <c r="G18" s="67">
        <f>COUNTIFS('Atividades Micro'!$B$2:$B$554,$A18,'Atividades Micro'!$G$2:$G$554,"Micro",'Atividades Micro'!$E$2:$E$554,"*QA*",'Atividades Micro'!$J$2:$J$554,"Em andamento")</f>
        <v>0</v>
      </c>
      <c r="H18" s="67">
        <f>COUNTIFS('Atividades Micro'!$B$2:$B$554,$A18,'Atividades Micro'!$G$2:$G$554,"Macro",'Atividades Micro'!$J$2:$J$554,H$12)</f>
        <v>0</v>
      </c>
      <c r="I18" s="67">
        <f>COUNTIFS('Atividades Micro'!$B$2:$B$554,$A18,'Atividades Micro'!$G$2:$G$554,"Macro",'Atividades Micro'!$J$2:$J$554,I$12)</f>
        <v>1</v>
      </c>
      <c r="J18" s="67">
        <f>COUNTIFS('Atividades Micro'!$B$2:$B$554,$A18,'Atividades Micro'!$G$2:$G$554,"Macro",'Atividades Micro'!$J$2:$J$554,J$12)</f>
        <v>2</v>
      </c>
      <c r="K18" s="70">
        <v>0.7142857142857143</v>
      </c>
      <c r="L18" s="43"/>
    </row>
    <row r="19" spans="1:14" ht="18" customHeight="1">
      <c r="A19" s="58" t="str">
        <f>'Atividades Macro'!$B8</f>
        <v>(Financeiro) Satélites</v>
      </c>
      <c r="B19" s="61" t="str">
        <f>'Atividades Macro'!$C8</f>
        <v>Financeiro</v>
      </c>
      <c r="C19" s="64">
        <f>IF('Atividades Macro'!$D8="","",'Atividades Macro'!$D8)</f>
        <v>46374</v>
      </c>
      <c r="D19" s="67">
        <f>'Atividades Macro'!$F8</f>
        <v>4</v>
      </c>
      <c r="E19" s="67">
        <f>COUNTIFS('Atividades Micro'!$B$2:$B$554,$A19,'Atividades Micro'!$G$2:$G$554,"Macro",'Atividades Micro'!$J$2:$J$554,E$12)</f>
        <v>2</v>
      </c>
      <c r="F19" s="67">
        <f>COUNTIFS('Atividades Micro'!$B$2:$B$554,$A19,'Atividades Micro'!$G$2:$G$554,"Macro",'Atividades Micro'!$J$2:$J$554,"Em andamento")-COUNTIFS('Atividades Micro'!$B$2:$B$554,$A19,'Atividades Micro'!$G$2:$G$554,"Micro",'Atividades Micro'!$E$2:$E$554,"*QA*",'Atividades Micro'!$J$2:$J$554,"Em andamento")</f>
        <v>2</v>
      </c>
      <c r="G19" s="67">
        <f>COUNTIFS('Atividades Micro'!$B$2:$B$554,$A19,'Atividades Micro'!$G$2:$G$554,"Micro",'Atividades Micro'!$E$2:$E$554,"*QA*",'Atividades Micro'!$J$2:$J$554,"Em andamento")</f>
        <v>0</v>
      </c>
      <c r="H19" s="67">
        <f>COUNTIFS('Atividades Micro'!$B$2:$B$554,$A19,'Atividades Micro'!$G$2:$G$554,"Macro",'Atividades Micro'!$J$2:$J$554,H$12)</f>
        <v>0</v>
      </c>
      <c r="I19" s="67">
        <f>COUNTIFS('Atividades Micro'!$B$2:$B$554,$A19,'Atividades Micro'!$G$2:$G$554,"Macro",'Atividades Micro'!$J$2:$J$554,I$12)</f>
        <v>0</v>
      </c>
      <c r="J19" s="67">
        <f>COUNTIFS('Atividades Micro'!$B$2:$B$554,$A19,'Atividades Micro'!$G$2:$G$554,"Macro",'Atividades Micro'!$J$2:$J$554,J$12)</f>
        <v>0</v>
      </c>
      <c r="K19" s="70">
        <v>4.2253521126760563E-2</v>
      </c>
      <c r="L19" s="43"/>
      <c r="M19" s="82" t="s">
        <v>15</v>
      </c>
    </row>
    <row r="20" spans="1:14" ht="18" customHeight="1">
      <c r="A20" s="77" t="str">
        <f>'Atividades Macro'!$B9</f>
        <v>FISCAL | Fusão - Grupo Petz Cobasi</v>
      </c>
      <c r="B20" s="78" t="str">
        <f>'Atividades Macro'!$C9</f>
        <v>Fiscal</v>
      </c>
      <c r="C20" s="79" t="str">
        <f>IF('Atividades Macro'!$D9="","",'Atividades Macro'!$D9)</f>
        <v/>
      </c>
      <c r="D20" s="80">
        <f>'Atividades Macro'!$F9</f>
        <v>2</v>
      </c>
      <c r="E20" s="80">
        <f>COUNTIFS('Atividades Micro'!$A$2:$A$554,$B20,'Atividades Micro'!$G$2:$G$554,"Macro",'Atividades Micro'!$J$2:$J$554,E$12)</f>
        <v>0</v>
      </c>
      <c r="F20" s="80">
        <f>COUNTIFS('Atividades Micro'!$A$2:$A$554,$B20,'Atividades Micro'!$G$2:$G$554,"Macro",'Atividades Micro'!$J$2:$J$554,"Em andamento")-COUNTIFS('Atividades Micro'!$A$2:$A$554,$B20,'Atividades Micro'!$G$2:$G$554,"Micro",'Atividades Micro'!$E$2:$E$554,"*QA*",'Atividades Micro'!$J$2:$J$554,"Em andamento")</f>
        <v>1</v>
      </c>
      <c r="G20" s="80">
        <f>COUNTIFS('Atividades Micro'!$A$2:$A$554,$B20,'Atividades Micro'!$G$2:$G$554,"Micro",'Atividades Micro'!$E$2:$E$554,"*QA*",'Atividades Micro'!$J$2:$J$554,"Em andamento")</f>
        <v>0</v>
      </c>
      <c r="H20" s="80">
        <f>COUNTIFS('Atividades Micro'!$A$2:$A$554,$B20,'Atividades Micro'!$G$2:$G$554,"Macro",'Atividades Micro'!$J$2:$J$554,H$12)</f>
        <v>0</v>
      </c>
      <c r="I20" s="80">
        <f>COUNTIFS('Atividades Micro'!$A$2:$A$554,$B20,'Atividades Micro'!$G$2:$G$554,"Macro",'Atividades Micro'!$J$2:$J$554,I$12)</f>
        <v>1</v>
      </c>
      <c r="J20" s="80">
        <f>COUNTIFS('Atividades Micro'!$A$2:$A$554,$B20,'Atividades Micro'!$G$2:$G$554,"Macro",'Atividades Micro'!$J$2:$J$554,J$12)</f>
        <v>0</v>
      </c>
      <c r="K20" s="81">
        <f>'Atividades Macro'!$O$9</f>
        <v>0</v>
      </c>
      <c r="L20" s="43"/>
    </row>
    <row r="21" spans="1:14" ht="18" customHeight="1">
      <c r="A21" s="58" t="str">
        <f>'Atividades Macro'!$B11</f>
        <v>(Fiscal) Satélites</v>
      </c>
      <c r="B21" s="61" t="str">
        <f>'Atividades Macro'!$C11</f>
        <v>Fiscal</v>
      </c>
      <c r="C21" s="64">
        <f>IF('Atividades Macro'!$D11="","",'Atividades Macro'!$D11)</f>
        <v>46379</v>
      </c>
      <c r="D21" s="67">
        <f>'Atividades Macro'!$F11</f>
        <v>1</v>
      </c>
      <c r="E21" s="67">
        <f>COUNTIFS('Atividades Micro'!$B$2:$B$554,$A21,'Atividades Micro'!$G$2:$G$554,"Macro",'Atividades Micro'!$J$2:$J$554,E$12)</f>
        <v>0</v>
      </c>
      <c r="F21" s="67">
        <f>COUNTIFS('Atividades Micro'!$B$2:$B$554,$A21,'Atividades Micro'!$G$2:$G$554,"Macro",'Atividades Micro'!$J$2:$J$554,"Em andamento")-COUNTIFS('Atividades Micro'!$B$2:$B$554,$A21,'Atividades Micro'!$G$2:$G$554,"Micro",'Atividades Micro'!$E$2:$E$554,"*QA*",'Atividades Micro'!$J$2:$J$554,"Em andamento")</f>
        <v>1</v>
      </c>
      <c r="G21" s="67">
        <f>COUNTIFS('Atividades Micro'!$B$2:$B$554,$A21,'Atividades Micro'!$G$2:$G$554,"Micro",'Atividades Micro'!$E$2:$E$554,"*QA*",'Atividades Micro'!$J$2:$J$554,"Em andamento")</f>
        <v>0</v>
      </c>
      <c r="H21" s="67">
        <f>COUNTIFS('Atividades Micro'!$B$2:$B$554,$A21,'Atividades Micro'!$G$2:$G$554,"Macro",'Atividades Micro'!$J$2:$J$554,H$12)</f>
        <v>0</v>
      </c>
      <c r="I21" s="67">
        <f>COUNTIFS('Atividades Micro'!$B$2:$B$554,$A21,'Atividades Micro'!$G$2:$G$554,"Macro",'Atividades Micro'!$J$2:$J$554,I$12)</f>
        <v>0</v>
      </c>
      <c r="J21" s="67">
        <f>COUNTIFS('Atividades Micro'!$B$2:$B$554,$A21,'Atividades Micro'!$G$2:$G$554,"Macro",'Atividades Micro'!$J$2:$J$554,J$12)</f>
        <v>0</v>
      </c>
      <c r="K21" s="70">
        <v>0</v>
      </c>
      <c r="L21" s="43"/>
      <c r="M21" s="82" t="s">
        <v>16</v>
      </c>
    </row>
    <row r="22" spans="1:14" ht="18" customHeight="1">
      <c r="A22" s="58" t="str">
        <f>'Atividades Macro'!$B10</f>
        <v>(Fiscal) Aderência</v>
      </c>
      <c r="B22" s="61" t="str">
        <f>'Atividades Macro'!$C10</f>
        <v>Fiscal</v>
      </c>
      <c r="C22" s="64" t="str">
        <f>IF('Atividades Macro'!$D10="","",'Atividades Macro'!$D10)</f>
        <v/>
      </c>
      <c r="D22" s="67">
        <f>'Atividades Macro'!$F10</f>
        <v>1</v>
      </c>
      <c r="E22" s="67">
        <f>COUNTIFS('Atividades Micro'!$B$2:$B$554,$A21,'Atividades Micro'!$G$2:$G$554,"Macro",'Atividades Micro'!$J$2:$J$554,E$12)</f>
        <v>0</v>
      </c>
      <c r="F22" s="67">
        <f>COUNTIFS('Atividades Micro'!$B$2:$B$554,$A22,'Atividades Micro'!$G$2:$G$554,"Macro",'Atividades Micro'!$J$2:$J$554,"Em andamento")-COUNTIFS('Atividades Micro'!$B$2:$B$554,$A22,'Atividades Micro'!$G$2:$G$554,"Micro",'Atividades Micro'!$E$2:$E$554,"*QA*",'Atividades Micro'!$J$2:$J$554,"Em andamento")</f>
        <v>0</v>
      </c>
      <c r="G22" s="67">
        <f>COUNTIFS('Atividades Micro'!$B$2:$B$554,$A22,'Atividades Micro'!$G$2:$G$554,"Micro",'Atividades Micro'!$E$2:$E$554,"*QA*",'Atividades Micro'!$J$2:$J$554,"Em andamento")</f>
        <v>0</v>
      </c>
      <c r="H22" s="67">
        <f>COUNTIFS('Atividades Micro'!$B$2:$B$554,$A22,'Atividades Micro'!$G$2:$G$554,"Macro",'Atividades Micro'!$J$2:$J$554,H$12)</f>
        <v>0</v>
      </c>
      <c r="I22" s="67">
        <f>COUNTIFS('Atividades Micro'!$B$2:$B$554,$A22,'Atividades Micro'!$G$2:$G$554,"Macro",'Atividades Micro'!$J$2:$J$554,I$12)</f>
        <v>1</v>
      </c>
      <c r="J22" s="67">
        <f>COUNTIFS('Atividades Micro'!$B$2:$B$554,$A22,'Atividades Micro'!$G$2:$G$554,"Macro",'Atividades Micro'!$J$2:$J$554,J$12)</f>
        <v>0</v>
      </c>
      <c r="K22" s="70">
        <v>0</v>
      </c>
      <c r="L22" s="43"/>
      <c r="M22" s="82"/>
    </row>
    <row r="23" spans="1:14" ht="18" customHeight="1">
      <c r="A23" s="77" t="str">
        <f>'Atividades Macro'!$B12</f>
        <v>CONTÁBIL | Fusão - Grupo Petz Cobasi</v>
      </c>
      <c r="B23" s="78" t="str">
        <f>'Atividades Macro'!$C12</f>
        <v>Contábil</v>
      </c>
      <c r="C23" s="79">
        <f>IF('Atividades Macro'!$D12="","",'Atividades Macro'!$D12)</f>
        <v>46374</v>
      </c>
      <c r="D23" s="80">
        <f>'Atividades Macro'!$F12</f>
        <v>18</v>
      </c>
      <c r="E23" s="80">
        <f>COUNTIFS('Atividades Micro'!$A$2:$A$554,$B23,'Atividades Micro'!$G$2:$G$554,"Macro",'Atividades Micro'!$J$2:$J$554,E$12)</f>
        <v>0</v>
      </c>
      <c r="F23" s="80">
        <f>COUNTIFS('Atividades Micro'!$A$2:$A$554,$B23,'Atividades Micro'!$G$2:$G$554,"Macro",'Atividades Micro'!$J$2:$J$554,"Em andamento")-COUNTIFS('Atividades Micro'!$A$2:$A$554,$B23,'Atividades Micro'!$G$2:$G$554,"Micro",'Atividades Micro'!$E$2:$E$554,"*QA*",'Atividades Micro'!$J$2:$J$554,"Em andamento")</f>
        <v>2</v>
      </c>
      <c r="G23" s="80">
        <f>COUNTIFS('Atividades Micro'!$A$2:$A$554,$B23,'Atividades Micro'!$G$2:$G$554,"Micro",'Atividades Micro'!$E$2:$E$554,"*QA*",'Atividades Micro'!$J$2:$J$554,"Em andamento")</f>
        <v>0</v>
      </c>
      <c r="H23" s="80">
        <f>COUNTIFS('Atividades Micro'!$A$2:$A$554,$B23,'Atividades Micro'!$G$2:$G$554,"Macro",'Atividades Micro'!$J$2:$J$554,H$12)</f>
        <v>12</v>
      </c>
      <c r="I23" s="80">
        <f>COUNTIFS('Atividades Micro'!$A$2:$A$554,$B23,'Atividades Micro'!$G$2:$G$554,"Macro",'Atividades Micro'!$J$2:$J$554,I$12)</f>
        <v>3</v>
      </c>
      <c r="J23" s="80">
        <f>COUNTIFS('Atividades Micro'!$A$2:$A$554,$B23,'Atividades Micro'!$G$2:$G$554,"Macro",'Atividades Micro'!$J$2:$J$554,J$12)</f>
        <v>1</v>
      </c>
      <c r="K23" s="81">
        <f>'Atividades Macro'!$O$12</f>
        <v>8.8888888888888892E-2</v>
      </c>
      <c r="L23" s="43"/>
    </row>
    <row r="24" spans="1:14" ht="18" customHeight="1">
      <c r="A24" s="58" t="str">
        <f>'Atividades Macro'!$B13</f>
        <v>(Contábil) Aderência</v>
      </c>
      <c r="B24" s="61" t="str">
        <f>'Atividades Macro'!$C13</f>
        <v>Contábil</v>
      </c>
      <c r="C24" s="64">
        <f>IF('Atividades Macro'!$D13="","",'Atividades Macro'!$D13)</f>
        <v>46339</v>
      </c>
      <c r="D24" s="67">
        <f>'Atividades Macro'!$F13</f>
        <v>15</v>
      </c>
      <c r="E24" s="67">
        <f>COUNTIFS('Atividades Micro'!$B$2:$B$554,$A24,'Atividades Micro'!$G$2:$G$554,"Macro",'Atividades Micro'!$J$2:$J$554,E$12)</f>
        <v>0</v>
      </c>
      <c r="F24" s="67">
        <f>COUNTIFS('Atividades Micro'!$B$2:$B$554,$A24,'Atividades Micro'!$G$2:$G$554,"Macro",'Atividades Micro'!$J$2:$J$554,"Em andamento")-COUNTIFS('Atividades Micro'!$B$2:$B$554,$A24,'Atividades Micro'!$G$2:$G$554,"Micro",'Atividades Micro'!$E$2:$E$554,"*QA*",'Atividades Micro'!$J$2:$J$554,"Em andamento")</f>
        <v>2</v>
      </c>
      <c r="G24" s="67">
        <f>COUNTIFS('Atividades Micro'!$B$2:$B$554,$A24,'Atividades Micro'!$G$2:$G$554,"Micro",'Atividades Micro'!$E$2:$E$554,"*QA*",'Atividades Micro'!$J$2:$J$554,"Em andamento")</f>
        <v>0</v>
      </c>
      <c r="H24" s="67">
        <f>COUNTIFS('Atividades Micro'!$B$2:$B$554,$A24,'Atividades Micro'!$G$2:$G$554,"Macro",'Atividades Micro'!$J$2:$J$554,H$12)</f>
        <v>12</v>
      </c>
      <c r="I24" s="67">
        <f>COUNTIFS('Atividades Micro'!$B$2:$B$554,$A24,'Atividades Micro'!$G$2:$G$554,"Macro",'Atividades Micro'!$J$2:$J$554,I$12)</f>
        <v>0</v>
      </c>
      <c r="J24" s="67">
        <f>COUNTIFS('Atividades Micro'!$B$2:$B$554,$A24,'Atividades Micro'!$G$2:$G$554,"Macro",'Atividades Micro'!$J$2:$J$554,J$12)</f>
        <v>1</v>
      </c>
      <c r="K24" s="70">
        <v>4.4444444444444446E-2</v>
      </c>
      <c r="L24" s="43"/>
    </row>
    <row r="25" spans="1:14" ht="18" customHeight="1">
      <c r="A25" s="58" t="str">
        <f>'Atividades Macro'!$B14</f>
        <v>(Contábil) Satélites</v>
      </c>
      <c r="B25" s="61" t="str">
        <f>'Atividades Macro'!$C14</f>
        <v>Contábil</v>
      </c>
      <c r="C25" s="64" t="str">
        <f>IF('Atividades Macro'!$D14="","",'Atividades Macro'!$D14)</f>
        <v/>
      </c>
      <c r="D25" s="67">
        <f>'Atividades Macro'!$F14</f>
        <v>3</v>
      </c>
      <c r="E25" s="67">
        <f>COUNTIFS('Atividades Micro'!$B$2:$B$554,$A25,'Atividades Micro'!$G$2:$G$554,"Macro",'Atividades Micro'!$J$2:$J$554,E$12)</f>
        <v>0</v>
      </c>
      <c r="F25" s="67">
        <f>COUNTIFS('Atividades Micro'!$B$2:$B$554,$A25,'Atividades Micro'!$G$2:$G$554,"Macro",'Atividades Micro'!$J$2:$J$554,"Em andamento")-COUNTIFS('Atividades Micro'!$B$2:$B$554,$A25,'Atividades Micro'!$G$2:$G$554,"Micro",'Atividades Micro'!$E$2:$E$554,"*QA*",'Atividades Micro'!$J$2:$J$554,"Em andamento")</f>
        <v>0</v>
      </c>
      <c r="G25" s="67">
        <f>COUNTIFS('Atividades Micro'!$B$2:$B$554,$A25,'Atividades Micro'!$G$2:$G$554,"Micro",'Atividades Micro'!$E$2:$E$554,"*QA*",'Atividades Micro'!$J$2:$J$554,"Em andamento")</f>
        <v>0</v>
      </c>
      <c r="H25" s="67">
        <f>COUNTIFS('Atividades Micro'!$B$2:$B$554,$A25,'Atividades Micro'!$G$2:$G$554,"Macro",'Atividades Micro'!$J$2:$J$554,H$12)</f>
        <v>0</v>
      </c>
      <c r="I25" s="67">
        <f>COUNTIFS('Atividades Micro'!$B$2:$B$554,$A25,'Atividades Micro'!$G$2:$G$554,"Macro",'Atividades Micro'!$J$2:$J$554,I$12)</f>
        <v>3</v>
      </c>
      <c r="J25" s="67">
        <f>COUNTIFS('Atividades Micro'!$B$2:$B$554,$A25,'Atividades Micro'!$G$2:$G$554,"Macro",'Atividades Micro'!$J$2:$J$554,J$12)</f>
        <v>0</v>
      </c>
      <c r="K25" s="70">
        <v>0</v>
      </c>
      <c r="L25" s="43"/>
      <c r="M25" s="82"/>
      <c r="N25" s="82"/>
    </row>
    <row r="26" spans="1:14" ht="18" customHeight="1">
      <c r="A26" s="77" t="str">
        <f>'Atividades Macro'!$B15</f>
        <v>SUPPLY| Fusão - Petz Cobasi</v>
      </c>
      <c r="B26" s="78" t="str">
        <f>'Atividades Macro'!$C15</f>
        <v>Supply</v>
      </c>
      <c r="C26" s="79">
        <f>IF('Atividades Macro'!$D15="","",'Atividades Macro'!$D15)</f>
        <v>46290</v>
      </c>
      <c r="D26" s="80">
        <f>'Atividades Macro'!$F15</f>
        <v>6</v>
      </c>
      <c r="E26" s="80">
        <f>COUNTIFS('Atividades Micro'!$A$2:$A$554,$B26,'Atividades Micro'!$G$2:$G$554,"Macro",'Atividades Micro'!$J$2:$J$554,E$12)</f>
        <v>0</v>
      </c>
      <c r="F26" s="80">
        <f>COUNTIFS('Atividades Micro'!$A$2:$A$554,$B26,'Atividades Micro'!$G$2:$G$554,"Macro",'Atividades Micro'!$J$2:$J$554,"Em andamento")-COUNTIFS('Atividades Micro'!$A$2:$A$554,$B26,'Atividades Micro'!$G$2:$G$554,"Micro",'Atividades Micro'!$E$2:$E$554,"*QA*",'Atividades Micro'!$J$2:$J$554,"Em andamento")</f>
        <v>4</v>
      </c>
      <c r="G26" s="80">
        <f>COUNTIFS('Atividades Micro'!$A$2:$A$554,$B26,'Atividades Micro'!$G$2:$G$554,"Micro",'Atividades Micro'!$E$2:$E$554,"*QA*",'Atividades Micro'!$J$2:$J$554,"Em andamento")</f>
        <v>0</v>
      </c>
      <c r="H26" s="80">
        <f>COUNTIFS('Atividades Micro'!$A$2:$A$554,$B26,'Atividades Micro'!$G$2:$G$554,"Macro",'Atividades Micro'!$J$2:$J$554,H$12)</f>
        <v>0</v>
      </c>
      <c r="I26" s="80">
        <f>COUNTIFS('Atividades Micro'!$A$2:$A$554,$B26,'Atividades Micro'!$G$2:$G$554,"Macro",'Atividades Micro'!$J$2:$J$554,I$12)</f>
        <v>0</v>
      </c>
      <c r="J26" s="80">
        <f>COUNTIFS('Atividades Micro'!$A$2:$A$554,$B26,'Atividades Micro'!$G$2:$G$554,"Macro",'Atividades Micro'!$J$2:$J$554,J$12)</f>
        <v>2</v>
      </c>
      <c r="K26" s="81">
        <v>0.26666666666666666</v>
      </c>
      <c r="L26" s="43"/>
      <c r="M26" s="82"/>
    </row>
    <row r="27" spans="1:14" ht="18" customHeight="1">
      <c r="A27" s="58" t="str">
        <f>'Atividades Macro'!$B16</f>
        <v>(Supply) Aderência</v>
      </c>
      <c r="B27" s="61" t="str">
        <f>'Atividades Macro'!$C16</f>
        <v>Supply</v>
      </c>
      <c r="C27" s="64">
        <f>IF('Atividades Macro'!$D16="","",'Atividades Macro'!$D16)</f>
        <v>46276</v>
      </c>
      <c r="D27" s="67">
        <f>'Atividades Macro'!$F16</f>
        <v>2</v>
      </c>
      <c r="E27" s="67">
        <f>COUNTIFS('Atividades Micro'!$B$2:$B$554,$A27,'Atividades Micro'!$G$2:$G$554,"Macro",'Atividades Micro'!$J$2:$J$554,E$12)</f>
        <v>0</v>
      </c>
      <c r="F27" s="67">
        <f>COUNTIFS('Atividades Micro'!$B$2:$B$554,$A27,'Atividades Micro'!$G$2:$G$554,"Macro",'Atividades Micro'!$J$2:$J$554,"Em andamento")-COUNTIFS('Atividades Micro'!$B$2:$B$554,$A27,'Atividades Micro'!$G$2:$G$554,"Micro",'Atividades Micro'!$E$2:$E$554,"*QA*",'Atividades Micro'!$J$2:$J$554,"Em andamento")</f>
        <v>0</v>
      </c>
      <c r="G27" s="67">
        <f>COUNTIFS('Atividades Micro'!$B$2:$B$554,$A27,'Atividades Micro'!$G$2:$G$554,"Micro",'Atividades Micro'!$E$2:$E$554,"*QA*",'Atividades Micro'!$J$2:$J$554,"Em andamento")</f>
        <v>0</v>
      </c>
      <c r="H27" s="67">
        <f>COUNTIFS('Atividades Micro'!$B$2:$B$554,$A27,'Atividades Micro'!$G$2:$G$554,"Macro",'Atividades Micro'!$J$2:$J$554,H$12)</f>
        <v>0</v>
      </c>
      <c r="I27" s="67">
        <f>COUNTIFS('Atividades Micro'!$B$2:$B$554,$A27,'Atividades Micro'!$G$2:$G$554,"Macro",'Atividades Micro'!$J$2:$J$554,I$12)</f>
        <v>0</v>
      </c>
      <c r="J27" s="67">
        <f>COUNTIFS('Atividades Micro'!$B$2:$B$554,$A27,'Atividades Micro'!$G$2:$G$554,"Macro",'Atividades Micro'!$J$2:$J$554,J$12)</f>
        <v>2</v>
      </c>
      <c r="K27" s="70">
        <v>0.66666666666666663</v>
      </c>
      <c r="L27" s="43"/>
    </row>
    <row r="28" spans="1:14" ht="18" customHeight="1">
      <c r="A28" s="58" t="str">
        <f>'Atividades Macro'!$B17</f>
        <v>(Supply) Satélites</v>
      </c>
      <c r="B28" s="61" t="str">
        <f>'Atividades Macro'!$C17</f>
        <v>Supply</v>
      </c>
      <c r="C28" s="64">
        <f>IF('Atividades Macro'!$D17="","",'Atividades Macro'!$D17)</f>
        <v>46374</v>
      </c>
      <c r="D28" s="67">
        <f>'Atividades Macro'!$F17</f>
        <v>4</v>
      </c>
      <c r="E28" s="67">
        <f>COUNTIFS('Atividades Micro'!$B$2:$B$554,$A28,'Atividades Micro'!$G$2:$G$554,"Macro",'Atividades Micro'!$J$2:$J$554,E$12)</f>
        <v>0</v>
      </c>
      <c r="F28" s="67">
        <f>COUNTIFS('Atividades Micro'!$B$2:$B$554,$A28,'Atividades Micro'!$G$2:$G$554,"Macro",'Atividades Micro'!$J$2:$J$554,"Em andamento")-COUNTIFS('Atividades Micro'!$B$2:$B$554,$A28,'Atividades Micro'!$G$2:$G$554,"Micro",'Atividades Micro'!$E$2:$E$554,"*QA*",'Atividades Micro'!$J$2:$J$554,"Em andamento")</f>
        <v>4</v>
      </c>
      <c r="G28" s="67">
        <f>COUNTIFS('Atividades Micro'!$B$2:$B$554,$A28,'Atividades Micro'!$G$2:$G$554,"Micro",'Atividades Micro'!$E$2:$E$554,"*QA*",'Atividades Micro'!$J$2:$J$554,"Em andamento")</f>
        <v>0</v>
      </c>
      <c r="H28" s="67">
        <f>COUNTIFS('Atividades Micro'!$B$2:$B$554,$A28,'Atividades Micro'!$G$2:$G$554,"Macro",'Atividades Micro'!$J$2:$J$554,H$12)</f>
        <v>0</v>
      </c>
      <c r="I28" s="67">
        <f>COUNTIFS('Atividades Micro'!$B$2:$B$554,$A28,'Atividades Micro'!$G$2:$G$554,"Macro",'Atividades Micro'!$J$2:$J$554,I$12)</f>
        <v>0</v>
      </c>
      <c r="J28" s="67">
        <f>COUNTIFS('Atividades Micro'!$B$2:$B$554,$A28,'Atividades Micro'!$G$2:$G$554,"Macro",'Atividades Micro'!$J$2:$J$554,J$12)</f>
        <v>0</v>
      </c>
      <c r="K28" s="70">
        <v>0</v>
      </c>
      <c r="L28" s="43"/>
      <c r="M28" s="82" t="s">
        <v>17</v>
      </c>
    </row>
    <row r="29" spans="1:14" ht="18" customHeight="1">
      <c r="A29" s="77" t="str">
        <f>'Atividades Macro'!$B18</f>
        <v>CD | Fusão - Grupo Petz Cobasi</v>
      </c>
      <c r="B29" s="78" t="str">
        <f>'Atividades Macro'!$C18</f>
        <v>CD</v>
      </c>
      <c r="C29" s="79">
        <f>IF('Atividades Macro'!$D18="","",'Atividades Macro'!$D18)</f>
        <v>46374</v>
      </c>
      <c r="D29" s="80">
        <f>'Atividades Macro'!$F18</f>
        <v>18</v>
      </c>
      <c r="E29" s="80">
        <f>COUNTIFS('Atividades Micro'!$A$2:$A$554,$B29,'Atividades Micro'!$G$2:$G$554,"Macro",'Atividades Micro'!$J$2:$J$554,E$12)</f>
        <v>3</v>
      </c>
      <c r="F29" s="80">
        <f>COUNTIFS('Atividades Micro'!$A$2:$A$554,$B29,'Atividades Micro'!$G$2:$G$554,"Macro",'Atividades Micro'!$J$2:$J$554,"Em andamento")-COUNTIFS('Atividades Micro'!$A$2:$A$554,$B29,'Atividades Micro'!$G$2:$G$554,"Micro",'Atividades Micro'!$E$2:$E$554,"*QA*",'Atividades Micro'!$J$2:$J$554,"Em andamento")</f>
        <v>-1</v>
      </c>
      <c r="G29" s="80">
        <f>COUNTIFS('Atividades Micro'!$A$2:$A$554,$B29,'Atividades Micro'!$G$2:$G$554,"Micro",'Atividades Micro'!$E$2:$E$554,"*QA*",'Atividades Micro'!$J$2:$J$554,"Em andamento")</f>
        <v>1</v>
      </c>
      <c r="H29" s="80">
        <f>COUNTIFS('Atividades Micro'!$A$2:$A$554,$B29,'Atividades Micro'!$G$2:$G$554,"Macro",'Atividades Micro'!$J$2:$J$554,H$12)</f>
        <v>0</v>
      </c>
      <c r="I29" s="80">
        <f>COUNTIFS('Atividades Micro'!$A$2:$A$554,$B29,'Atividades Micro'!$G$2:$G$554,"Macro",'Atividades Micro'!$J$2:$J$554,I$12)</f>
        <v>4</v>
      </c>
      <c r="J29" s="80">
        <f>COUNTIFS('Atividades Micro'!$A$2:$A$554,$B29,'Atividades Micro'!$G$2:$G$554,"Macro",'Atividades Micro'!$J$2:$J$554,J$12)</f>
        <v>11</v>
      </c>
      <c r="K29" s="81">
        <v>0.14285714285714285</v>
      </c>
      <c r="L29" s="43"/>
    </row>
    <row r="30" spans="1:14" ht="18" customHeight="1">
      <c r="A30" s="58" t="str">
        <f>'Atividades Macro'!$B19</f>
        <v>(CD) Aderência</v>
      </c>
      <c r="B30" s="61" t="str">
        <f>'Atividades Macro'!$C19</f>
        <v>CD</v>
      </c>
      <c r="C30" s="64">
        <f>IF('Atividades Macro'!$D19="","",'Atividades Macro'!$D19)</f>
        <v>46385</v>
      </c>
      <c r="D30" s="67">
        <f>'Atividades Macro'!$F19</f>
        <v>14</v>
      </c>
      <c r="E30" s="67">
        <f>COUNTIFS('Atividades Micro'!$B$2:$B$554,$A30,'Atividades Micro'!$G$2:$G$554,"Macro",'Atividades Micro'!$J$2:$J$554,E$12)</f>
        <v>2</v>
      </c>
      <c r="F30" s="67">
        <f>COUNTIFS('Atividades Micro'!$B$2:$B$554,$A30,'Atividades Micro'!$G$2:$G$554,"Macro",'Atividades Micro'!$J$2:$J$554,"Em andamento")-COUNTIFS('Atividades Micro'!$B$2:$B$554,$A30,'Atividades Micro'!$G$2:$G$554,"Micro",'Atividades Micro'!$E$2:$E$554,"*QA*",'Atividades Micro'!$J$2:$J$554,"Em andamento")</f>
        <v>-1</v>
      </c>
      <c r="G30" s="67">
        <f>COUNTIFS('Atividades Micro'!$B$2:$B$554,$A30,'Atividades Micro'!$G$2:$G$554,"Micro",'Atividades Micro'!$E$2:$E$554,"*QA*",'Atividades Micro'!$J$2:$J$554,"Em andamento")</f>
        <v>1</v>
      </c>
      <c r="H30" s="67">
        <f>COUNTIFS('Atividades Micro'!$B$2:$B$554,$A30,'Atividades Micro'!$G$2:$G$554,"Macro",'Atividades Micro'!$J$2:$J$554,H$12)</f>
        <v>0</v>
      </c>
      <c r="I30" s="67">
        <f>COUNTIFS('Atividades Micro'!$B$2:$B$554,$A30,'Atividades Micro'!$G$2:$G$554,"Macro",'Atividades Micro'!$J$2:$J$554,I$12)</f>
        <v>1</v>
      </c>
      <c r="J30" s="67">
        <f>COUNTIFS('Atividades Micro'!$B$2:$B$554,$A30,'Atividades Micro'!$G$2:$G$554,"Macro",'Atividades Micro'!$J$2:$J$554,J$12)</f>
        <v>11</v>
      </c>
      <c r="K30" s="70">
        <v>0.15384615384615385</v>
      </c>
      <c r="L30" s="43"/>
    </row>
    <row r="31" spans="1:14" ht="18" customHeight="1">
      <c r="A31" s="58" t="str">
        <f>'Atividades Macro'!$B20</f>
        <v>(CD) Satélites</v>
      </c>
      <c r="B31" s="61" t="str">
        <f>'Atividades Macro'!$C20</f>
        <v>CD</v>
      </c>
      <c r="C31" s="64">
        <f>IF('Atividades Macro'!$D20="","",'Atividades Macro'!$D20)</f>
        <v>46279</v>
      </c>
      <c r="D31" s="67">
        <f>'Atividades Macro'!$F20</f>
        <v>4</v>
      </c>
      <c r="E31" s="67">
        <f>COUNTIFS('Atividades Micro'!$B$2:$B$554,$A31,'Atividades Micro'!$G$2:$G$554,"Macro",'Atividades Micro'!$J$2:$J$554,E$12)</f>
        <v>1</v>
      </c>
      <c r="F31" s="67">
        <f>COUNTIFS('Atividades Micro'!$B$2:$B$554,$A31,'Atividades Micro'!$G$2:$G$554,"Macro",'Atividades Micro'!$J$2:$J$554,"Em andamento")-COUNTIFS('Atividades Micro'!$B$2:$B$554,$A31,'Atividades Micro'!$G$2:$G$554,"Micro",'Atividades Micro'!$E$2:$E$554,"*QA*",'Atividades Micro'!$J$2:$J$554,"Em andamento")</f>
        <v>0</v>
      </c>
      <c r="G31" s="67">
        <f>COUNTIFS('Atividades Micro'!$B$2:$B$554,$A31,'Atividades Micro'!$G$2:$G$554,"Micro",'Atividades Micro'!$E$2:$E$554,"*QA*",'Atividades Micro'!$J$2:$J$554,"Em andamento")</f>
        <v>0</v>
      </c>
      <c r="H31" s="67">
        <f>COUNTIFS('Atividades Micro'!$B$2:$B$554,$A31,'Atividades Micro'!$G$2:$G$554,"Macro",'Atividades Micro'!$J$2:$J$554,H$12)</f>
        <v>0</v>
      </c>
      <c r="I31" s="67">
        <f>COUNTIFS('Atividades Micro'!$B$2:$B$554,$A31,'Atividades Micro'!$G$2:$G$554,"Macro",'Atividades Micro'!$J$2:$J$554,I$12)</f>
        <v>3</v>
      </c>
      <c r="J31" s="67">
        <f>COUNTIFS('Atividades Micro'!$B$2:$B$554,$A31,'Atividades Micro'!$G$2:$G$554,"Macro",'Atividades Micro'!$J$2:$J$554,J$12)</f>
        <v>0</v>
      </c>
      <c r="K31" s="70">
        <v>0.1</v>
      </c>
      <c r="L31" s="43"/>
      <c r="M31" s="82" t="s">
        <v>18</v>
      </c>
    </row>
    <row r="32" spans="1:14" ht="18" customHeight="1">
      <c r="A32" s="77" t="str">
        <f>'Atividades Macro'!$B21</f>
        <v>COMERCIAL | Fusão - Petz Cobasi</v>
      </c>
      <c r="B32" s="78" t="str">
        <f>'Atividades Macro'!$C21</f>
        <v>Comercial</v>
      </c>
      <c r="C32" s="79">
        <f>IF('Atividades Macro'!$D21="","",'Atividades Macro'!$D21)</f>
        <v>46304</v>
      </c>
      <c r="D32" s="80">
        <f>'Atividades Macro'!$F21</f>
        <v>4</v>
      </c>
      <c r="E32" s="80">
        <f>COUNTIFS('Atividades Micro'!$A$2:$A$554,$B32,'Atividades Micro'!$G$2:$G$554,"Macro",'Atividades Micro'!$J$2:$J$554,E$12)</f>
        <v>2</v>
      </c>
      <c r="F32" s="80">
        <f>COUNTIFS('Atividades Micro'!$A$2:$A$554,$B32,'Atividades Micro'!$G$2:$G$554,"Macro",'Atividades Micro'!$J$2:$J$554,"Em andamento")-COUNTIFS('Atividades Micro'!$A$2:$A$554,$B32,'Atividades Micro'!$G$2:$G$554,"Micro",'Atividades Micro'!$E$2:$E$554,"*QA*",'Atividades Micro'!$J$2:$J$554,"Em andamento")</f>
        <v>1</v>
      </c>
      <c r="G32" s="80">
        <f>COUNTIFS('Atividades Micro'!$A$2:$A$554,$B32,'Atividades Micro'!$G$2:$G$554,"Micro",'Atividades Micro'!$E$2:$E$554,"*QA*",'Atividades Micro'!$J$2:$J$554,"Em andamento")</f>
        <v>0</v>
      </c>
      <c r="H32" s="80">
        <f>COUNTIFS('Atividades Micro'!$A$2:$A$554,$B32,'Atividades Micro'!$G$2:$G$554,"Macro",'Atividades Micro'!$J$2:$J$554,H$12)</f>
        <v>0</v>
      </c>
      <c r="I32" s="80">
        <f>COUNTIFS('Atividades Micro'!$A$2:$A$554,$B32,'Atividades Micro'!$G$2:$G$554,"Macro",'Atividades Micro'!$J$2:$J$554,I$12)</f>
        <v>0</v>
      </c>
      <c r="J32" s="80">
        <f>COUNTIFS('Atividades Micro'!$A$2:$A$554,$B32,'Atividades Micro'!$G$2:$G$554,"Macro",'Atividades Micro'!$J$2:$J$554,J$12)</f>
        <v>1</v>
      </c>
      <c r="K32" s="81">
        <v>9.0909090909090912E-2</v>
      </c>
      <c r="L32" s="43"/>
    </row>
    <row r="33" spans="1:13" ht="18" customHeight="1">
      <c r="A33" s="58" t="str">
        <f>'Atividades Macro'!$B22</f>
        <v>(Comercial) Aderência</v>
      </c>
      <c r="B33" s="61" t="str">
        <f>'Atividades Macro'!$C22</f>
        <v>Comercial</v>
      </c>
      <c r="C33" s="64">
        <f>IF('Atividades Macro'!$D22="","",'Atividades Macro'!$D22)</f>
        <v>46279</v>
      </c>
      <c r="D33" s="67">
        <f>'Atividades Macro'!$F22</f>
        <v>2</v>
      </c>
      <c r="E33" s="67">
        <f>COUNTIFS('Atividades Micro'!$B$2:$B$554,$A33,'Atividades Micro'!$G$2:$G$554,"Macro",'Atividades Micro'!$J$2:$J$554,E$12)</f>
        <v>1</v>
      </c>
      <c r="F33" s="67">
        <f>COUNTIFS('Atividades Micro'!$B$2:$B$554,$A33,'Atividades Micro'!$G$2:$G$554,"Macro",'Atividades Micro'!$J$2:$J$554,"Em andamento")-COUNTIFS('Atividades Micro'!$B$2:$B$554,$A33,'Atividades Micro'!$G$2:$G$554,"Micro",'Atividades Micro'!$E$2:$E$554,"*QA*",'Atividades Micro'!$J$2:$J$554,"Em andamento")</f>
        <v>0</v>
      </c>
      <c r="G33" s="67">
        <f>COUNTIFS('Atividades Micro'!$B$2:$B$554,$A33,'Atividades Micro'!$G$2:$G$554,"Micro",'Atividades Micro'!$E$2:$E$554,"*QA*",'Atividades Micro'!$J$2:$J$554,"Em andamento")</f>
        <v>0</v>
      </c>
      <c r="H33" s="67">
        <f>COUNTIFS('Atividades Micro'!$B$2:$B$554,$A33,'Atividades Micro'!$G$2:$G$554,"Macro",'Atividades Micro'!$J$2:$J$554,H$12)</f>
        <v>0</v>
      </c>
      <c r="I33" s="67">
        <f>COUNTIFS('Atividades Micro'!$B$2:$B$554,$A33,'Atividades Micro'!$G$2:$G$554,"Macro",'Atividades Micro'!$J$2:$J$554,I$12)</f>
        <v>0</v>
      </c>
      <c r="J33" s="67">
        <f>COUNTIFS('Atividades Micro'!$B$2:$B$554,$A33,'Atividades Micro'!$G$2:$G$554,"Macro",'Atividades Micro'!$J$2:$J$554,J$12)</f>
        <v>1</v>
      </c>
      <c r="K33" s="70">
        <v>0.16666666666666666</v>
      </c>
      <c r="L33" s="43"/>
    </row>
    <row r="34" spans="1:13" ht="18" customHeight="1">
      <c r="A34" s="58" t="str">
        <f>'Atividades Macro'!$B23</f>
        <v>(Comercial) Satélites</v>
      </c>
      <c r="B34" s="61" t="str">
        <f>'Atividades Macro'!$C23</f>
        <v>Comercial</v>
      </c>
      <c r="C34" s="64">
        <f>IF('Atividades Macro'!$D23="","",'Atividades Macro'!$D23)</f>
        <v>46301</v>
      </c>
      <c r="D34" s="67">
        <f>'Atividades Macro'!$F23</f>
        <v>2</v>
      </c>
      <c r="E34" s="67">
        <f>COUNTIFS('Atividades Micro'!$B$2:$B$554,$A34,'Atividades Micro'!$G$2:$G$554,"Macro",'Atividades Micro'!$J$2:$J$554,E$12)</f>
        <v>1</v>
      </c>
      <c r="F34" s="67">
        <f>COUNTIFS('Atividades Micro'!$B$2:$B$554,$A34,'Atividades Micro'!$G$2:$G$554,"Macro",'Atividades Micro'!$J$2:$J$554,"Em andamento")-COUNTIFS('Atividades Micro'!$B$2:$B$554,$A34,'Atividades Micro'!$G$2:$G$554,"Micro",'Atividades Micro'!$E$2:$E$554,"*QA*",'Atividades Micro'!$J$2:$J$554,"Em andamento")</f>
        <v>1</v>
      </c>
      <c r="G34" s="67">
        <f>COUNTIFS('Atividades Micro'!$B$2:$B$554,$A34,'Atividades Micro'!$G$2:$G$554,"Micro",'Atividades Micro'!$E$2:$E$554,"*QA*",'Atividades Micro'!$J$2:$J$554,"Em andamento")</f>
        <v>0</v>
      </c>
      <c r="H34" s="67">
        <f>COUNTIFS('Atividades Micro'!$B$2:$B$554,$A34,'Atividades Micro'!$G$2:$G$554,"Macro",'Atividades Micro'!$J$2:$J$554,H$12)</f>
        <v>0</v>
      </c>
      <c r="I34" s="67">
        <f>COUNTIFS('Atividades Micro'!$B$2:$B$554,$A34,'Atividades Micro'!$G$2:$G$554,"Macro",'Atividades Micro'!$J$2:$J$554,I$12)</f>
        <v>0</v>
      </c>
      <c r="J34" s="67">
        <f>COUNTIFS('Atividades Micro'!$B$2:$B$554,$A34,'Atividades Micro'!$G$2:$G$554,"Macro",'Atividades Micro'!$J$2:$J$554,J$12)</f>
        <v>0</v>
      </c>
      <c r="K34" s="70">
        <v>0</v>
      </c>
      <c r="L34" s="43"/>
      <c r="M34" s="82" t="s">
        <v>19</v>
      </c>
    </row>
    <row r="35" spans="1:13" ht="18" customHeight="1">
      <c r="A35" s="77" t="str">
        <f>'Atividades Macro'!$B24</f>
        <v>TOTVS / RM | Fusão Petz Cobasi</v>
      </c>
      <c r="B35" s="78" t="str">
        <f>'Atividades Macro'!$C24</f>
        <v>TOTVS RM</v>
      </c>
      <c r="C35" s="79">
        <f>IF('Atividades Macro'!$D24="","",'Atividades Macro'!$D24)</f>
        <v>46321</v>
      </c>
      <c r="D35" s="80">
        <f>'Atividades Macro'!$F24</f>
        <v>1</v>
      </c>
      <c r="E35" s="80">
        <f>COUNTIFS('Atividades Micro'!$A$2:$A$554,$B35,'Atividades Micro'!$G$2:$G$554,"Macro",'Atividades Micro'!$J$2:$J$554,E$12)</f>
        <v>0</v>
      </c>
      <c r="F35" s="80">
        <f>COUNTIFS('Atividades Micro'!$A$2:$A$554,$B35,'Atividades Micro'!$G$2:$G$554,"Macro",'Atividades Micro'!$J$2:$J$554,"Em andamento")-COUNTIFS('Atividades Micro'!$A$2:$A$554,$B35,'Atividades Micro'!$G$2:$G$554,"Micro",'Atividades Micro'!$E$2:$E$554,"*QA*",'Atividades Micro'!$J$2:$J$554,"Em andamento")</f>
        <v>1</v>
      </c>
      <c r="G35" s="80">
        <f>COUNTIFS('Atividades Micro'!$A$2:$A$554,$B35,'Atividades Micro'!$G$2:$G$554,"Micro",'Atividades Micro'!$E$2:$E$554,"*QA*",'Atividades Micro'!$J$2:$J$554,"Em andamento")</f>
        <v>0</v>
      </c>
      <c r="H35" s="80">
        <f>COUNTIFS('Atividades Micro'!$A$2:$A$554,$B35,'Atividades Micro'!$G$2:$G$554,"Macro",'Atividades Micro'!$J$2:$J$554,H$12)</f>
        <v>0</v>
      </c>
      <c r="I35" s="80">
        <f>COUNTIFS('Atividades Micro'!$A$2:$A$554,$B35,'Atividades Micro'!$G$2:$G$554,"Macro",'Atividades Micro'!$J$2:$J$554,I$12)</f>
        <v>0</v>
      </c>
      <c r="J35" s="80">
        <f>COUNTIFS('Atividades Micro'!$A$2:$A$554,$B35,'Atividades Micro'!$G$2:$G$554,"Macro",'Atividades Micro'!$J$2:$J$554,J$12)</f>
        <v>0</v>
      </c>
      <c r="K35" s="81">
        <v>0.1</v>
      </c>
      <c r="L35" s="43"/>
    </row>
    <row r="36" spans="1:13" ht="18" customHeight="1">
      <c r="A36" s="58" t="str">
        <f>'Atividades Macro'!$B25</f>
        <v>(TOTVS RM) Aderência</v>
      </c>
      <c r="B36" s="61" t="str">
        <f>'Atividades Macro'!$C25</f>
        <v>TOTVS RM</v>
      </c>
      <c r="C36" s="64">
        <f>IF('Atividades Macro'!$D25="","",'Atividades Macro'!$D25)</f>
        <v>46342</v>
      </c>
      <c r="D36" s="67">
        <f>'Atividades Macro'!$F25</f>
        <v>1</v>
      </c>
      <c r="E36" s="67">
        <f>COUNTIFS('Atividades Micro'!$B$2:$B$554,$A36,'Atividades Micro'!$G$2:$G$554,"Macro",'Atividades Micro'!$J$2:$J$554,E$12)</f>
        <v>0</v>
      </c>
      <c r="F36" s="67">
        <f>COUNTIFS('Atividades Micro'!$B$2:$B$554,$A36,'Atividades Micro'!$G$2:$G$554,"Macro",'Atividades Micro'!$J$2:$J$554,"Em andamento")-COUNTIFS('Atividades Micro'!$B$2:$B$554,$A36,'Atividades Micro'!$G$2:$G$554,"Micro",'Atividades Micro'!$E$2:$E$554,"*QA*",'Atividades Micro'!$J$2:$J$554,"Em andamento")</f>
        <v>1</v>
      </c>
      <c r="G36" s="67">
        <f>COUNTIFS('Atividades Micro'!$B$2:$B$554,$A36,'Atividades Micro'!$G$2:$G$554,"Micro",'Atividades Micro'!$E$2:$E$554,"*QA*",'Atividades Micro'!$J$2:$J$554,"Em andamento")</f>
        <v>0</v>
      </c>
      <c r="H36" s="67">
        <f>COUNTIFS('Atividades Micro'!$B$2:$B$554,$A36,'Atividades Micro'!$G$2:$G$554,"Macro",'Atividades Micro'!$J$2:$J$554,H$12)</f>
        <v>0</v>
      </c>
      <c r="I36" s="67">
        <f>COUNTIFS('Atividades Micro'!$B$2:$B$554,$A36,'Atividades Micro'!$G$2:$G$554,"Macro",'Atividades Micro'!$J$2:$J$554,I$12)</f>
        <v>0</v>
      </c>
      <c r="J36" s="67">
        <f>COUNTIFS('Atividades Micro'!$B$2:$B$554,$A36,'Atividades Micro'!$G$2:$G$554,"Macro",'Atividades Micro'!$J$2:$J$554,J$12)</f>
        <v>0</v>
      </c>
      <c r="K36" s="70">
        <v>0.1</v>
      </c>
      <c r="L36" s="43"/>
    </row>
    <row r="37" spans="1:13" ht="18" customHeight="1">
      <c r="A37" s="77" t="str">
        <f>'Atividades Macro'!$B26</f>
        <v>ZANTHUS PDV | Fusão Petz Cobasi</v>
      </c>
      <c r="B37" s="78" t="str">
        <f>'Atividades Macro'!$C26</f>
        <v>Zanthus</v>
      </c>
      <c r="C37" s="79">
        <f>IF('Atividades Macro'!$D26="","",'Atividades Macro'!$D26)</f>
        <v>46337</v>
      </c>
      <c r="D37" s="80">
        <f>'Atividades Macro'!$F26</f>
        <v>1</v>
      </c>
      <c r="E37" s="80">
        <f>COUNTIFS('Atividades Micro'!$A$2:$A$554,$B37,'Atividades Micro'!$G$2:$G$554,"Macro",'Atividades Micro'!$J$2:$J$554,E$12)</f>
        <v>0</v>
      </c>
      <c r="F37" s="80">
        <f>COUNTIFS('Atividades Micro'!$A$2:$A$554,$B37,'Atividades Micro'!$G$2:$G$554,"Macro",'Atividades Micro'!$J$2:$J$554,"Em andamento")-COUNTIFS('Atividades Micro'!$A$2:$A$554,$B37,'Atividades Micro'!$G$2:$G$554,"Micro",'Atividades Micro'!$E$2:$E$554,"*QA*",'Atividades Micro'!$J$2:$J$554,"Em andamento")</f>
        <v>1</v>
      </c>
      <c r="G37" s="80">
        <f>COUNTIFS('Atividades Micro'!$A$2:$A$554,$B37,'Atividades Micro'!$G$2:$G$554,"Micro",'Atividades Micro'!$E$2:$E$554,"*QA*",'Atividades Micro'!$J$2:$J$554,"Em andamento")</f>
        <v>0</v>
      </c>
      <c r="H37" s="80">
        <f>COUNTIFS('Atividades Micro'!$A$2:$A$554,$B37,'Atividades Micro'!$G$2:$G$554,"Macro",'Atividades Micro'!$J$2:$J$554,H$12)</f>
        <v>0</v>
      </c>
      <c r="I37" s="80">
        <f>COUNTIFS('Atividades Micro'!$A$2:$A$554,$B37,'Atividades Micro'!$G$2:$G$554,"Macro",'Atividades Micro'!$J$2:$J$554,I$12)</f>
        <v>0</v>
      </c>
      <c r="J37" s="80">
        <f>COUNTIFS('Atividades Micro'!$A$2:$A$554,$B37,'Atividades Micro'!$G$2:$G$554,"Macro",'Atividades Micro'!$J$2:$J$554,J$12)</f>
        <v>0</v>
      </c>
      <c r="K37" s="81">
        <v>0.266666666666667</v>
      </c>
      <c r="L37" s="43"/>
    </row>
    <row r="38" spans="1:13" ht="18" customHeight="1">
      <c r="A38" s="58" t="str">
        <f>'Atividades Macro'!$B27</f>
        <v>(Zanthus) Aderência</v>
      </c>
      <c r="B38" s="61" t="str">
        <f>'Atividades Macro'!$C27</f>
        <v>Zanthus</v>
      </c>
      <c r="C38" s="64">
        <f>IF('Atividades Macro'!$D27="","",'Atividades Macro'!$D27)</f>
        <v>46338</v>
      </c>
      <c r="D38" s="67">
        <f>'Atividades Macro'!$F27</f>
        <v>1</v>
      </c>
      <c r="E38" s="67">
        <f>COUNTIFS('Atividades Micro'!$B$2:$B$554,$A38,'Atividades Micro'!$G$2:$G$554,"Macro",'Atividades Micro'!$J$2:$J$554,E$12)</f>
        <v>0</v>
      </c>
      <c r="F38" s="67">
        <f>COUNTIFS('Atividades Micro'!$B$2:$B$554,$A38,'Atividades Micro'!$G$2:$G$554,"Macro",'Atividades Micro'!$J$2:$J$554,"Em andamento")-COUNTIFS('Atividades Micro'!$B$2:$B$554,$A38,'Atividades Micro'!$G$2:$G$554,"Micro",'Atividades Micro'!$E$2:$E$554,"*QA*",'Atividades Micro'!$J$2:$J$554,"Em andamento")</f>
        <v>1</v>
      </c>
      <c r="G38" s="67">
        <f>COUNTIFS('Atividades Micro'!$B$2:$B$554,$A38,'Atividades Micro'!$G$2:$G$554,"Micro",'Atividades Micro'!$E$2:$E$554,"*QA*",'Atividades Micro'!$J$2:$J$554,"Em andamento")</f>
        <v>0</v>
      </c>
      <c r="H38" s="67">
        <f>COUNTIFS('Atividades Micro'!$B$2:$B$554,$A38,'Atividades Micro'!$G$2:$G$554,"Macro",'Atividades Micro'!$J$2:$J$554,H$12)</f>
        <v>0</v>
      </c>
      <c r="I38" s="67">
        <f>COUNTIFS('Atividades Micro'!$B$2:$B$554,$A38,'Atividades Micro'!$G$2:$G$554,"Macro",'Atividades Micro'!$J$2:$J$554,I$12)</f>
        <v>0</v>
      </c>
      <c r="J38" s="67">
        <f>COUNTIFS('Atividades Micro'!$B$2:$B$554,$A38,'Atividades Micro'!$G$2:$G$554,"Macro",'Atividades Micro'!$J$2:$J$554,J$12)</f>
        <v>0</v>
      </c>
      <c r="K38" s="70">
        <v>0.26666666666666666</v>
      </c>
      <c r="L38" s="43"/>
    </row>
    <row r="39" spans="1:13" ht="18" customHeight="1">
      <c r="A39" s="77" t="str">
        <f>'Atividades Macro'!$B28</f>
        <v>OPERAÇÕES | Fusão - Petz Cobasi</v>
      </c>
      <c r="B39" s="78" t="str">
        <f>'Atividades Macro'!$C28</f>
        <v>Operações</v>
      </c>
      <c r="C39" s="79">
        <f>IF('Atividades Macro'!$D28="","",'Atividades Macro'!$D28)</f>
        <v>46288</v>
      </c>
      <c r="D39" s="80">
        <f>'Atividades Macro'!$F28</f>
        <v>2</v>
      </c>
      <c r="E39" s="80">
        <f>COUNTIFS('Atividades Micro'!$A$2:$A$554,$B39,'Atividades Micro'!$G$2:$G$554,"Macro",'Atividades Micro'!$J$2:$J$554,E$12)</f>
        <v>0</v>
      </c>
      <c r="F39" s="80">
        <f>COUNTIFS('Atividades Micro'!$A$2:$A$554,$B39,'Atividades Micro'!$G$2:$G$554,"Macro",'Atividades Micro'!$J$2:$J$554,"Em andamento")-COUNTIFS('Atividades Micro'!$A$2:$A$554,$B39,'Atividades Micro'!$G$2:$G$554,"Micro",'Atividades Micro'!$E$2:$E$554,"*QA*",'Atividades Micro'!$J$2:$J$554,"Em andamento")</f>
        <v>1</v>
      </c>
      <c r="G39" s="80">
        <f>COUNTIFS('Atividades Micro'!$A$2:$A$554,$B39,'Atividades Micro'!$G$2:$G$554,"Micro",'Atividades Micro'!$E$2:$E$554,"*QA*",'Atividades Micro'!$J$2:$J$554,"Em andamento")</f>
        <v>0</v>
      </c>
      <c r="H39" s="80">
        <f>COUNTIFS('Atividades Micro'!$A$2:$A$554,$B39,'Atividades Micro'!$G$2:$G$554,"Macro",'Atividades Micro'!$J$2:$J$554,H$12)</f>
        <v>0</v>
      </c>
      <c r="I39" s="80">
        <f>COUNTIFS('Atividades Micro'!$A$2:$A$554,$B39,'Atividades Micro'!$G$2:$G$554,"Macro",'Atividades Micro'!$J$2:$J$554,I$12)</f>
        <v>1</v>
      </c>
      <c r="J39" s="80">
        <f>COUNTIFS('Atividades Micro'!$A$2:$A$554,$B39,'Atividades Micro'!$G$2:$G$554,"Macro",'Atividades Micro'!$J$2:$J$554,J$12)</f>
        <v>0</v>
      </c>
      <c r="K39" s="81">
        <v>0</v>
      </c>
      <c r="L39" s="43"/>
    </row>
    <row r="40" spans="1:13" ht="18" customHeight="1">
      <c r="A40" s="59" t="str">
        <f>'Atividades Macro'!$B29</f>
        <v>(Operações) Satélites</v>
      </c>
      <c r="B40" s="62" t="str">
        <f>'Atividades Macro'!$C29</f>
        <v>Operações</v>
      </c>
      <c r="C40" s="65">
        <f>IF('Atividades Macro'!$D29="","",'Atividades Macro'!$D29)</f>
        <v>46352</v>
      </c>
      <c r="D40" s="68">
        <f>'Atividades Macro'!$F29</f>
        <v>2</v>
      </c>
      <c r="E40" s="68">
        <f>COUNTIFS('Atividades Micro'!$B$2:$B$554,$A40,'Atividades Micro'!$G$2:$G$554,"Macro",'Atividades Micro'!$J$2:$J$554,E$12)</f>
        <v>0</v>
      </c>
      <c r="F40" s="68">
        <f>COUNTIFS('Atividades Micro'!$B$2:$B$554,$A40,'Atividades Micro'!$G$2:$G$554,"Macro",'Atividades Micro'!$J$2:$J$554,"Em andamento")-COUNTIFS('Atividades Micro'!$B$2:$B$554,$A40,'Atividades Micro'!$G$2:$G$554,"Micro",'Atividades Micro'!$E$2:$E$554,"*QA*",'Atividades Micro'!$J$2:$J$554,"Em andamento")</f>
        <v>1</v>
      </c>
      <c r="G40" s="68">
        <f>COUNTIFS('Atividades Micro'!$B$2:$B$554,$A40,'Atividades Micro'!$G$2:$G$554,"Micro",'Atividades Micro'!$E$2:$E$554,"*QA*",'Atividades Micro'!$J$2:$J$554,"Em andamento")</f>
        <v>0</v>
      </c>
      <c r="H40" s="68">
        <f>COUNTIFS('Atividades Micro'!$B$2:$B$554,$A40,'Atividades Micro'!$G$2:$G$554,"Macro",'Atividades Micro'!$J$2:$J$554,H$12)</f>
        <v>0</v>
      </c>
      <c r="I40" s="68">
        <f>COUNTIFS('Atividades Micro'!$B$2:$B$554,$A40,'Atividades Micro'!$G$2:$G$554,"Macro",'Atividades Micro'!$J$2:$J$554,I$12)</f>
        <v>1</v>
      </c>
      <c r="J40" s="68">
        <f>COUNTIFS('Atividades Micro'!$B$2:$B$554,$A40,'Atividades Micro'!$G$2:$G$554,"Macro",'Atividades Micro'!$J$2:$J$554,J$12)</f>
        <v>0</v>
      </c>
      <c r="K40" s="71">
        <v>0</v>
      </c>
      <c r="L40" s="43"/>
      <c r="M40" s="82" t="s">
        <v>20</v>
      </c>
    </row>
    <row r="41" spans="1:13" ht="6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3" ht="1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3" ht="1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3" ht="1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3" ht="1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3" ht="1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spans="1:13" ht="1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spans="1:13" ht="1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 spans="1:12" ht="1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spans="1:12" ht="1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</row>
    <row r="51" spans="1:12" ht="1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</row>
    <row r="52" spans="1:12" ht="1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3" spans="1:12" ht="1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1:12" ht="6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 spans="1:12" ht="16.95" customHeight="1">
      <c r="A55" s="137" t="s">
        <v>21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9"/>
    </row>
    <row r="56" spans="1:12" ht="16.95" customHeight="1">
      <c r="A56" s="140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2"/>
    </row>
    <row r="57" spans="1:12" ht="16.95" customHeight="1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5"/>
    </row>
  </sheetData>
  <mergeCells count="24">
    <mergeCell ref="C8:D8"/>
    <mergeCell ref="A1:L2"/>
    <mergeCell ref="A3:L3"/>
    <mergeCell ref="A5:J5"/>
    <mergeCell ref="K5:L5"/>
    <mergeCell ref="A6:B6"/>
    <mergeCell ref="E6:F6"/>
    <mergeCell ref="I6:J6"/>
    <mergeCell ref="A11:L11"/>
    <mergeCell ref="A55:L57"/>
    <mergeCell ref="I7:J7"/>
    <mergeCell ref="I8:J8"/>
    <mergeCell ref="K6:L6"/>
    <mergeCell ref="K7:L7"/>
    <mergeCell ref="K8:L8"/>
    <mergeCell ref="E7:F7"/>
    <mergeCell ref="E8:F8"/>
    <mergeCell ref="G6:H6"/>
    <mergeCell ref="G7:H7"/>
    <mergeCell ref="G8:H8"/>
    <mergeCell ref="A7:B7"/>
    <mergeCell ref="A8:B8"/>
    <mergeCell ref="C6:D6"/>
    <mergeCell ref="C7:D7"/>
  </mergeCells>
  <conditionalFormatting sqref="K13:K40">
    <cfRule type="dataBar" priority="1">
      <dataBar>
        <cfvo type="num" val="0"/>
        <cfvo type="num" val="1"/>
        <color rgb="FF3E9C5D"/>
      </dataBar>
    </cfRule>
    <cfRule type="expression" dxfId="14" priority="2">
      <formula>AND($C13&lt;&gt;"",$C13&lt;=TODAY(),$D13-$I13&gt;0,$K13&lt;1)</formula>
    </cfRule>
    <cfRule type="dataBar" priority="3">
      <dataBar>
        <cfvo type="num" val="0"/>
        <cfvo type="num" val="1"/>
        <color rgb="FF3E9C5D"/>
      </dataBar>
    </cfRule>
    <cfRule type="dataBar" priority="4">
      <dataBar>
        <cfvo type="num" val="0"/>
        <cfvo type="num" val="1"/>
        <color rgb="FF3E9C5D"/>
      </dataBar>
    </cfRule>
    <cfRule type="dataBar" priority="5">
      <dataBar>
        <cfvo type="num" val="0"/>
        <cfvo type="num" val="1"/>
        <color rgb="FF3E9C5D"/>
      </dataBar>
    </cfRule>
    <cfRule type="dataBar" priority="6">
      <dataBar>
        <cfvo type="num" val="0"/>
        <cfvo type="num" val="1"/>
        <color rgb="FF3E9C5D"/>
      </dataBar>
    </cfRule>
    <cfRule type="dataBar" priority="7">
      <dataBar>
        <cfvo type="num" val="0"/>
        <cfvo type="num" val="1"/>
        <color rgb="FF3E9C5D"/>
      </dataBar>
    </cfRule>
    <cfRule type="dataBar" priority="8">
      <dataBar>
        <cfvo type="num" val="0"/>
        <cfvo type="num" val="1"/>
        <color rgb="FF3E9C5D"/>
      </dataBar>
    </cfRule>
    <cfRule type="dataBar" priority="9">
      <dataBar>
        <cfvo type="num" val="0"/>
        <cfvo type="num" val="1"/>
        <color rgb="FF3E9C5D"/>
      </dataBar>
      <extLst>
        <ext xmlns:x14="http://schemas.microsoft.com/office/spreadsheetml/2009/9/main" uri="{B025F937-C7B1-47D3-B67F-A62EFF666E3E}">
          <x14:id>{339A061C-D8B2-4D0E-ACE4-CA8383B682D0}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061C-D8B2-4D0E-ACE4-CA8383B682D0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K13:K40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B600-98AC-47C9-A4EB-C8F7A25FB521}">
  <dimension ref="A1:L44"/>
  <sheetViews>
    <sheetView showGridLines="0" topLeftCell="A4" workbookViewId="0">
      <selection activeCell="A21" sqref="A21"/>
    </sheetView>
  </sheetViews>
  <sheetFormatPr defaultRowHeight="13.8"/>
  <cols>
    <col min="1" max="1" width="31" customWidth="1"/>
    <col min="2" max="2" width="23" customWidth="1"/>
    <col min="3" max="3" width="13" customWidth="1"/>
    <col min="4" max="6" width="11" customWidth="1"/>
    <col min="7" max="10" width="9" customWidth="1"/>
    <col min="11" max="11" width="12" customWidth="1"/>
    <col min="12" max="12" width="4" customWidth="1"/>
  </cols>
  <sheetData>
    <row r="1" spans="1:12" ht="22.05" customHeight="1">
      <c r="A1" s="168" t="str">
        <f>"STATUS FUSÃO | PAINEL EXECUTIVO – ATIVIDADES - Frentes acompanhadas:"&amp;COUNTA('Resumo por Frente'!$A$5:$A$17)</f>
        <v>STATUS FUSÃO | PAINEL EXECUTIVO – ATIVIDADES - Frentes acompanhadas:13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2" ht="22.05" customHeight="1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</row>
    <row r="3" spans="1:12" ht="19.05" customHeight="1">
      <c r="A3" s="169" t="s">
        <v>22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1:12" ht="4.9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8" customHeight="1">
      <c r="A5" s="191" t="s">
        <v>23</v>
      </c>
      <c r="B5" s="192"/>
      <c r="C5" s="192"/>
      <c r="D5" s="192"/>
      <c r="E5" s="192"/>
      <c r="F5" s="192"/>
      <c r="G5" s="192"/>
      <c r="H5" s="192"/>
      <c r="I5" s="192"/>
      <c r="J5" s="193"/>
      <c r="K5" s="194" t="str">
        <f>"Total: "&amp;COUNTIFS('Atividades Micro'!$G$2:$G$554,"Micro",'Atividades Micro'!$J$2:$J$554,"&lt;&gt;Cancelado")</f>
        <v>Total: 215</v>
      </c>
      <c r="L5" s="195"/>
    </row>
    <row r="6" spans="1:12" ht="16.05" customHeight="1">
      <c r="A6" s="175" t="s">
        <v>2</v>
      </c>
      <c r="B6" s="176"/>
      <c r="C6" s="164" t="s">
        <v>3</v>
      </c>
      <c r="D6" s="165"/>
      <c r="E6" s="177" t="s">
        <v>4</v>
      </c>
      <c r="F6" s="178"/>
      <c r="G6" s="158" t="s">
        <v>5</v>
      </c>
      <c r="H6" s="159"/>
      <c r="I6" s="179" t="s">
        <v>6</v>
      </c>
      <c r="J6" s="180"/>
      <c r="K6" s="150" t="s">
        <v>7</v>
      </c>
      <c r="L6" s="151"/>
    </row>
    <row r="7" spans="1:12" ht="19.95" customHeight="1">
      <c r="A7" s="162">
        <f>COUNTIFS('Atividades Micro'!$G$2:$G$554,"Micro",'Atividades Micro'!$J$2:$J$554,"Não iniciado")</f>
        <v>48</v>
      </c>
      <c r="B7" s="163"/>
      <c r="C7" s="166">
        <f>COUNTIFS('Atividades Micro'!$G$2:$G$554,"Micro",'Atividades Micro'!$J$2:$J$554,"Em andamento",'Atividades Micro'!$E$2:$E$554,"&lt;&gt;*QA*")</f>
        <v>24</v>
      </c>
      <c r="D7" s="167"/>
      <c r="E7" s="156">
        <f>COUNTIFS('Atividades Micro'!$G$2:$G$554,"Micro",'Atividades Micro'!$E$2:$E$554,"*QA*",'Atividades Micro'!$J$2:$J$554,"Em andamento")</f>
        <v>1</v>
      </c>
      <c r="F7" s="157"/>
      <c r="G7" s="160">
        <f>COUNTIFS('Atividades Micro'!$G$2:$G$554,"Micro",'Atividades Micro'!$J$2:$J$554,"Bloqueado")</f>
        <v>25</v>
      </c>
      <c r="H7" s="161"/>
      <c r="I7" s="146">
        <f>COUNTIFS('Atividades Micro'!$G$2:$G$554,"Micro",'Atividades Micro'!$J$2:$J$554,"Cancelado")</f>
        <v>31</v>
      </c>
      <c r="J7" s="147"/>
      <c r="K7" s="152">
        <f>COUNTIFS('Atividades Micro'!$G$2:$G$554,"Micro",'Atividades Micro'!$J$2:$J$554,"Finalizado")</f>
        <v>117</v>
      </c>
      <c r="L7" s="153"/>
    </row>
    <row r="8" spans="1:12" ht="16.05" customHeight="1">
      <c r="A8" s="154">
        <f>IF(COUNTIFS('Atividades Micro'!$G$2:$G$554,"Micro",'Atividades Micro'!$J$2:$J$554,"&lt;&gt;Cancelado")&lt;=0,0,COUNTIFS('Atividades Micro'!$G$2:$G$554,"Micro",'Atividades Micro'!$J$2:$J$554,"Não iniciado")/COUNTIFS('Atividades Micro'!$G$2:$G$554,"Micro",'Atividades Micro'!$J$2:$J$554,"&lt;&gt;Cancelado"))</f>
        <v>0.22325581395348837</v>
      </c>
      <c r="B8" s="155"/>
      <c r="C8" s="154">
        <f>IF(COUNTIFS('Atividades Micro'!$G$2:$G$554,"Micro",'Atividades Micro'!$J$2:$J$554,"&lt;&gt;Cancelado")&lt;=0,0,C7/COUNTIFS('Atividades Micro'!$G$2:$G$554,"Micro",'Atividades Micro'!$J$2:$J$554,"&lt;&gt;Cancelado"))</f>
        <v>0.11162790697674418</v>
      </c>
      <c r="D8" s="155"/>
      <c r="E8" s="154">
        <f>IF(COUNTIFS('Atividades Micro'!$G$2:$G$554,"Micro",'Atividades Micro'!$J$2:$J$554,"&lt;&gt;Cancelado")&lt;=0,0,E7/COUNTIFS('Atividades Micro'!$G$2:$G$554,"Micro",'Atividades Micro'!$J$2:$J$554,"&lt;&gt;Cancelado"))</f>
        <v>4.6511627906976744E-3</v>
      </c>
      <c r="F8" s="155"/>
      <c r="G8" s="154">
        <f>IF(COUNTIFS('Atividades Micro'!$G$2:$G$554,"Micro",'Atividades Micro'!$J$2:$J$554,"&lt;&gt;Cancelado")&lt;=0,0,COUNTIFS('Atividades Micro'!$G$2:$G$554,"Micro",'Atividades Micro'!$J$2:$J$554,"Bloqueado")/COUNTIFS('Atividades Micro'!$G$2:$G$554,"Micro",'Atividades Micro'!$J$2:$J$554,"&lt;&gt;Cancelado"))</f>
        <v>0.11627906976744186</v>
      </c>
      <c r="H8" s="155"/>
      <c r="I8" s="148" t="s">
        <v>8</v>
      </c>
      <c r="J8" s="149"/>
      <c r="K8" s="154">
        <f>IF(COUNTIFS('Atividades Micro'!$G$2:$G$554,"Micro",'Atividades Micro'!$J$2:$J$554,"&lt;&gt;Cancelado")&lt;=0,0,COUNTIFS('Atividades Micro'!$G$2:$G$554,"Micro",'Atividades Micro'!$J$2:$J$554,"Finalizado")/COUNTIFS('Atividades Micro'!$G$2:$G$554,"Micro",'Atividades Micro'!$J$2:$J$554,"&lt;&gt;Cancelado"))</f>
        <v>0.54418604651162794</v>
      </c>
      <c r="L8" s="155"/>
    </row>
    <row r="9" spans="1:12" ht="4.95" customHeight="1">
      <c r="A9" s="44"/>
      <c r="B9" s="45"/>
      <c r="C9" s="46"/>
      <c r="D9" s="47"/>
      <c r="E9" s="48"/>
      <c r="F9" s="49"/>
      <c r="G9" s="50"/>
      <c r="H9" s="51"/>
      <c r="I9" s="52"/>
      <c r="J9" s="53"/>
      <c r="K9" s="54"/>
      <c r="L9" s="55"/>
    </row>
    <row r="10" spans="1:12" ht="4.9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ht="18" customHeight="1">
      <c r="A11" s="181" t="s">
        <v>24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</row>
    <row r="12" spans="1:12" ht="30" customHeight="1">
      <c r="A12" s="56" t="s">
        <v>25</v>
      </c>
      <c r="B12" s="56" t="s">
        <v>11</v>
      </c>
      <c r="C12" s="56" t="s">
        <v>12</v>
      </c>
      <c r="D12" s="56" t="s">
        <v>26</v>
      </c>
      <c r="E12" s="56" t="s">
        <v>2</v>
      </c>
      <c r="F12" s="56" t="s">
        <v>3</v>
      </c>
      <c r="G12" s="56" t="s">
        <v>4</v>
      </c>
      <c r="H12" s="56" t="s">
        <v>5</v>
      </c>
      <c r="I12" s="56" t="s">
        <v>6</v>
      </c>
      <c r="J12" s="56" t="s">
        <v>7</v>
      </c>
      <c r="K12" s="56" t="s">
        <v>14</v>
      </c>
      <c r="L12" s="43"/>
    </row>
    <row r="13" spans="1:12" ht="18" customHeight="1">
      <c r="A13" s="57" t="str">
        <f>'Atividades Macro'!$B7</f>
        <v>(Financeiro) Aderência</v>
      </c>
      <c r="B13" s="60" t="str">
        <f>'Atividades Macro'!$C7</f>
        <v>Financeiro</v>
      </c>
      <c r="C13" s="63">
        <f>IF('Atividades Macro'!$D7="","",'Atividades Macro'!$D7)</f>
        <v>46238</v>
      </c>
      <c r="D13" s="66">
        <f>'Atividades Macro'!$G7</f>
        <v>6</v>
      </c>
      <c r="E13" s="66">
        <f>COUNTIFS('Atividades Micro'!$B$2:$B$554,$A13,'Atividades Micro'!$G$2:$G$554,"Micro",'Atividades Micro'!$J$2:$J$554,E$12)</f>
        <v>1</v>
      </c>
      <c r="F13" s="66">
        <f>COUNTIFS('Atividades Micro'!$B$2:$B$554,$A13,'Atividades Micro'!$G$2:$G$554,"Micro",'Atividades Micro'!$J$2:$J$554,"Em andamento",'Atividades Micro'!$E$2:$E$554,"&lt;&gt;*QA*")</f>
        <v>0</v>
      </c>
      <c r="G13" s="66">
        <f>COUNTIFS('Atividades Micro'!$B$2:$B$554,$A13,'Atividades Micro'!$G$2:$G$554,"Micro",'Atividades Micro'!$E$2:$E$554,"*QA*",'Atividades Micro'!$J$2:$J$554,"Em andamento")</f>
        <v>0</v>
      </c>
      <c r="H13" s="66">
        <f>COUNTIFS('Atividades Micro'!$B$2:$B$554,$A13,'Atividades Micro'!$G$2:$G$554,"Micro",'Atividades Micro'!$J$2:$J$554,H$12)</f>
        <v>0</v>
      </c>
      <c r="I13" s="66">
        <f>COUNTIFS('Atividades Micro'!$B$2:$B$554,$A13,'Atividades Micro'!$G$2:$G$554,"Micro",'Atividades Micro'!$J$2:$J$554,I$12)</f>
        <v>2</v>
      </c>
      <c r="J13" s="66">
        <f>COUNTIFS('Atividades Micro'!$B$2:$B$554,$A13,'Atividades Micro'!$G$2:$G$554,"Micro",'Atividades Micro'!$J$2:$J$554,J$12)</f>
        <v>5</v>
      </c>
      <c r="K13" s="69">
        <f t="shared" ref="K13:K27" si="0">IF(D13&lt;=0,0,J13/D13)</f>
        <v>0.83333333333333337</v>
      </c>
      <c r="L13" s="43"/>
    </row>
    <row r="14" spans="1:12" ht="18" customHeight="1">
      <c r="A14" s="58" t="str">
        <f>'Atividades Macro'!$B8</f>
        <v>(Financeiro) Satélites</v>
      </c>
      <c r="B14" s="61" t="str">
        <f>'Atividades Macro'!$C8</f>
        <v>Financeiro</v>
      </c>
      <c r="C14" s="64">
        <f>IF('Atividades Macro'!$D8="","",'Atividades Macro'!$D8)</f>
        <v>46374</v>
      </c>
      <c r="D14" s="67">
        <f>'Atividades Macro'!$G8</f>
        <v>69</v>
      </c>
      <c r="E14" s="67">
        <f>COUNTIFS('Atividades Micro'!$B$2:$B$554,$A14,'Atividades Micro'!$G$2:$G$554,"Micro",'Atividades Micro'!$J$2:$J$554,E$12)</f>
        <v>20</v>
      </c>
      <c r="F14" s="67">
        <f>COUNTIFS('Atividades Micro'!$B$2:$B$554,$A14,'Atividades Micro'!$G$2:$G$554,"Micro",'Atividades Micro'!$J$2:$J$554,"Em andamento",'Atividades Micro'!$E$2:$E$554,"&lt;&gt;*QA*")</f>
        <v>5</v>
      </c>
      <c r="G14" s="67">
        <f>COUNTIFS('Atividades Micro'!$B$2:$B$554,$A14,'Atividades Micro'!$G$2:$G$554,"Micro",'Atividades Micro'!$E$2:$E$554,"*QA*",'Atividades Micro'!$J$2:$J$554,"Em andamento")</f>
        <v>0</v>
      </c>
      <c r="H14" s="67">
        <f>COUNTIFS('Atividades Micro'!$B$2:$B$554,$A14,'Atividades Micro'!$G$2:$G$554,"Micro",'Atividades Micro'!$J$2:$J$554,H$12)</f>
        <v>0</v>
      </c>
      <c r="I14" s="67">
        <f>COUNTIFS('Atividades Micro'!$B$2:$B$554,$A14,'Atividades Micro'!$G$2:$G$554,"Micro",'Atividades Micro'!$J$2:$J$554,I$12)</f>
        <v>12</v>
      </c>
      <c r="J14" s="67">
        <f>COUNTIFS('Atividades Micro'!$B$2:$B$554,$A14,'Atividades Micro'!$G$2:$G$554,"Micro",'Atividades Micro'!$J$2:$J$554,J$12)</f>
        <v>44</v>
      </c>
      <c r="K14" s="70">
        <f t="shared" si="0"/>
        <v>0.6376811594202898</v>
      </c>
      <c r="L14" s="43"/>
    </row>
    <row r="15" spans="1:12" ht="18" customHeight="1">
      <c r="A15" s="58" t="str">
        <f>'Atividades Macro'!$B11</f>
        <v>(Fiscal) Satélites</v>
      </c>
      <c r="B15" s="61" t="str">
        <f>'Atividades Macro'!$C11</f>
        <v>Fiscal</v>
      </c>
      <c r="C15" s="64">
        <f>IF('Atividades Macro'!$D11="","",'Atividades Macro'!$D11)</f>
        <v>46379</v>
      </c>
      <c r="D15" s="67">
        <f>'Atividades Macro'!$G11</f>
        <v>3</v>
      </c>
      <c r="E15" s="67">
        <f>COUNTIFS('Atividades Micro'!$B$2:$B$554,$A15,'Atividades Micro'!$G$2:$G$554,"Micro",'Atividades Micro'!$J$2:$J$554,E$12)</f>
        <v>1</v>
      </c>
      <c r="F15" s="67">
        <f>COUNTIFS('Atividades Micro'!$B$2:$B$554,$A15,'Atividades Micro'!$G$2:$G$554,"Micro",'Atividades Micro'!$J$2:$J$554,"Em andamento",'Atividades Micro'!$E$2:$E$554,"&lt;&gt;*QA*")</f>
        <v>2</v>
      </c>
      <c r="G15" s="67">
        <f>COUNTIFS('Atividades Micro'!$B$2:$B$554,$A15,'Atividades Micro'!$G$2:$G$554,"Micro",'Atividades Micro'!$E$2:$E$554,"*QA*",'Atividades Micro'!$J$2:$J$554,"Em andamento")</f>
        <v>0</v>
      </c>
      <c r="H15" s="67">
        <f>COUNTIFS('Atividades Micro'!$B$2:$B$554,$A15,'Atividades Micro'!$G$2:$G$554,"Micro",'Atividades Micro'!$J$2:$J$554,H$12)</f>
        <v>0</v>
      </c>
      <c r="I15" s="67">
        <f>COUNTIFS('Atividades Micro'!$B$2:$B$554,$A15,'Atividades Micro'!$G$2:$G$554,"Micro",'Atividades Micro'!$J$2:$J$554,I$12)</f>
        <v>4</v>
      </c>
      <c r="J15" s="67">
        <f>COUNTIFS('Atividades Micro'!$B$2:$B$554,$A15,'Atividades Micro'!$G$2:$G$554,"Micro",'Atividades Micro'!$J$2:$J$554,J$12)</f>
        <v>0</v>
      </c>
      <c r="K15" s="70">
        <f t="shared" si="0"/>
        <v>0</v>
      </c>
      <c r="L15" s="43"/>
    </row>
    <row r="16" spans="1:12" ht="18" hidden="1" customHeight="1">
      <c r="A16" s="58" t="str">
        <f>'Atividades Macro'!$B10</f>
        <v>(Fiscal) Aderência</v>
      </c>
      <c r="B16" s="61" t="str">
        <f>'Atividades Macro'!$C10</f>
        <v>Fiscal</v>
      </c>
      <c r="C16" s="64" t="str">
        <f>IF('Atividades Macro'!$D10="","",'Atividades Macro'!$D10)</f>
        <v/>
      </c>
      <c r="D16" s="67">
        <f>'Atividades Macro'!$G10</f>
        <v>0</v>
      </c>
      <c r="E16" s="67">
        <f>COUNTIFS('Atividades Micro'!$B$2:$B$554,$A16,'Atividades Micro'!$G$2:$G$554,"Micro",'Atividades Micro'!$J$2:$J$554,E$12)</f>
        <v>0</v>
      </c>
      <c r="F16" s="67">
        <f>COUNTIFS('Atividades Micro'!$B$2:$B$554,$A16,'Atividades Micro'!$G$2:$G$554,"Micro",'Atividades Micro'!$J$2:$J$554,"Em andamento",'Atividades Micro'!$E$2:$E$554,"&lt;&gt;*QA*")</f>
        <v>0</v>
      </c>
      <c r="G16" s="67">
        <f>COUNTIFS('Atividades Micro'!$B$2:$B$554,$A16,'Atividades Micro'!$G$2:$G$554,"Micro",'Atividades Micro'!$E$2:$E$554,"*QA*",'Atividades Micro'!$J$2:$J$554,"Em andamento")</f>
        <v>0</v>
      </c>
      <c r="H16" s="67">
        <f>COUNTIFS('Atividades Micro'!$B$2:$B$554,$A16,'Atividades Micro'!$G$2:$G$554,"Micro",'Atividades Micro'!$J$2:$J$554,H$12)</f>
        <v>0</v>
      </c>
      <c r="I16" s="67">
        <f>COUNTIFS('Atividades Micro'!$B$2:$B$554,$A16,'Atividades Micro'!$G$2:$G$554,"Micro",'Atividades Micro'!$J$2:$J$554,I$12)</f>
        <v>1</v>
      </c>
      <c r="J16" s="67">
        <f>COUNTIFS('Atividades Micro'!$B$2:$B$554,$A16,'Atividades Micro'!$G$2:$G$554,"Micro",'Atividades Micro'!$J$2:$J$554,J$12)</f>
        <v>0</v>
      </c>
      <c r="K16" s="70">
        <f t="shared" si="0"/>
        <v>0</v>
      </c>
      <c r="L16" s="43"/>
    </row>
    <row r="17" spans="1:12" ht="18" customHeight="1">
      <c r="A17" s="58" t="str">
        <f>'Atividades Macro'!$B13</f>
        <v>(Contábil) Aderência</v>
      </c>
      <c r="B17" s="61" t="str">
        <f>'Atividades Macro'!$C13</f>
        <v>Contábil</v>
      </c>
      <c r="C17" s="64">
        <f>IF('Atividades Macro'!$D13="","",'Atividades Macro'!$D13)</f>
        <v>46339</v>
      </c>
      <c r="D17" s="67">
        <f>'Atividades Macro'!$G13</f>
        <v>30</v>
      </c>
      <c r="E17" s="67">
        <f>COUNTIFS('Atividades Micro'!$B$2:$B$554,$A17,'Atividades Micro'!$G$2:$G$554,"Micro",'Atividades Micro'!$J$2:$J$554,E$12)</f>
        <v>1</v>
      </c>
      <c r="F17" s="67">
        <f>COUNTIFS('Atividades Micro'!$B$2:$B$554,$A17,'Atividades Micro'!$G$2:$G$554,"Micro",'Atividades Micro'!$J$2:$J$554,"Em andamento",'Atividades Micro'!$E$2:$E$554,"&lt;&gt;*QA*")</f>
        <v>1</v>
      </c>
      <c r="G17" s="67">
        <f>COUNTIFS('Atividades Micro'!$B$2:$B$554,$A17,'Atividades Micro'!$G$2:$G$554,"Micro",'Atividades Micro'!$E$2:$E$554,"*QA*",'Atividades Micro'!$J$2:$J$554,"Em andamento")</f>
        <v>0</v>
      </c>
      <c r="H17" s="67">
        <f>COUNTIFS('Atividades Micro'!$B$2:$B$554,$A17,'Atividades Micro'!$G$2:$G$554,"Micro",'Atividades Micro'!$J$2:$J$554,H$12)</f>
        <v>25</v>
      </c>
      <c r="I17" s="67">
        <f>COUNTIFS('Atividades Micro'!$B$2:$B$554,$A17,'Atividades Micro'!$G$2:$G$554,"Micro",'Atividades Micro'!$J$2:$J$554,I$12)</f>
        <v>0</v>
      </c>
      <c r="J17" s="67">
        <f>COUNTIFS('Atividades Micro'!$B$2:$B$554,$A17,'Atividades Micro'!$G$2:$G$554,"Micro",'Atividades Micro'!$J$2:$J$554,J$12)</f>
        <v>3</v>
      </c>
      <c r="K17" s="70">
        <f t="shared" si="0"/>
        <v>0.1</v>
      </c>
      <c r="L17" s="43"/>
    </row>
    <row r="18" spans="1:12" ht="18" hidden="1" customHeight="1">
      <c r="A18" s="58" t="str">
        <f>'Atividades Macro'!$B14</f>
        <v>(Contábil) Satélites</v>
      </c>
      <c r="B18" s="61" t="str">
        <f>'Atividades Macro'!$C14</f>
        <v>Contábil</v>
      </c>
      <c r="C18" s="64" t="str">
        <f>IF('Atividades Macro'!$D14="","",'Atividades Macro'!$D14)</f>
        <v/>
      </c>
      <c r="D18" s="67">
        <f>'Atividades Macro'!$G14</f>
        <v>0</v>
      </c>
      <c r="E18" s="67">
        <f>COUNTIFS('Atividades Micro'!$B$2:$B$554,$A18,'Atividades Micro'!$G$2:$G$554,"Micro",'Atividades Micro'!$J$2:$J$554,E$12)</f>
        <v>0</v>
      </c>
      <c r="F18" s="67">
        <f>COUNTIFS('Atividades Micro'!$B$2:$B$554,$A18,'Atividades Micro'!$G$2:$G$554,"Micro",'Atividades Micro'!$J$2:$J$554,"Em andamento",'Atividades Micro'!$E$2:$E$554,"&lt;&gt;*QA*")</f>
        <v>0</v>
      </c>
      <c r="G18" s="67">
        <f>COUNTIFS('Atividades Micro'!$B$2:$B$554,$A18,'Atividades Micro'!$G$2:$G$554,"Micro",'Atividades Micro'!$E$2:$E$554,"*QA*",'Atividades Micro'!$J$2:$J$554,"Em andamento")</f>
        <v>0</v>
      </c>
      <c r="H18" s="67">
        <f>COUNTIFS('Atividades Micro'!$B$2:$B$554,$A18,'Atividades Micro'!$G$2:$G$554,"Micro",'Atividades Micro'!$J$2:$J$554,H$12)</f>
        <v>0</v>
      </c>
      <c r="I18" s="67">
        <f>COUNTIFS('Atividades Micro'!$B$2:$B$554,$A18,'Atividades Micro'!$G$2:$G$554,"Micro",'Atividades Micro'!$J$2:$J$554,I$12)</f>
        <v>0</v>
      </c>
      <c r="J18" s="67">
        <f>COUNTIFS('Atividades Micro'!$B$2:$B$554,$A18,'Atividades Micro'!$G$2:$G$554,"Micro",'Atividades Micro'!$J$2:$J$554,J$12)</f>
        <v>0</v>
      </c>
      <c r="K18" s="70">
        <f t="shared" si="0"/>
        <v>0</v>
      </c>
      <c r="L18" s="43"/>
    </row>
    <row r="19" spans="1:12" ht="18" customHeight="1">
      <c r="A19" s="58" t="str">
        <f>'Atividades Macro'!$B16</f>
        <v>(Supply) Aderência</v>
      </c>
      <c r="B19" s="61" t="str">
        <f>'Atividades Macro'!$C16</f>
        <v>Supply</v>
      </c>
      <c r="C19" s="64">
        <f>IF('Atividades Macro'!$D16="","",'Atividades Macro'!$D16)</f>
        <v>46276</v>
      </c>
      <c r="D19" s="67">
        <f>'Atividades Macro'!$G16</f>
        <v>4</v>
      </c>
      <c r="E19" s="67">
        <f>COUNTIFS('Atividades Micro'!$B$2:$B$554,$A19,'Atividades Micro'!$G$2:$G$554,"Micro",'Atividades Micro'!$J$2:$J$554,E$12)</f>
        <v>0</v>
      </c>
      <c r="F19" s="67">
        <f>COUNTIFS('Atividades Micro'!$B$2:$B$554,$A19,'Atividades Micro'!$G$2:$G$554,"Micro",'Atividades Micro'!$J$2:$J$554,"Em andamento",'Atividades Micro'!$E$2:$E$554,"&lt;&gt;*QA*")</f>
        <v>0</v>
      </c>
      <c r="G19" s="67">
        <f>COUNTIFS('Atividades Micro'!$B$2:$B$554,$A19,'Atividades Micro'!$G$2:$G$554,"Micro",'Atividades Micro'!$E$2:$E$554,"*QA*",'Atividades Micro'!$J$2:$J$554,"Em andamento")</f>
        <v>0</v>
      </c>
      <c r="H19" s="67">
        <f>COUNTIFS('Atividades Micro'!$B$2:$B$554,$A19,'Atividades Micro'!$G$2:$G$554,"Micro",'Atividades Micro'!$J$2:$J$554,H$12)</f>
        <v>0</v>
      </c>
      <c r="I19" s="67">
        <f>COUNTIFS('Atividades Micro'!$B$2:$B$554,$A19,'Atividades Micro'!$G$2:$G$554,"Micro",'Atividades Micro'!$J$2:$J$554,I$12)</f>
        <v>0</v>
      </c>
      <c r="J19" s="67">
        <f>COUNTIFS('Atividades Micro'!$B$2:$B$554,$A19,'Atividades Micro'!$G$2:$G$554,"Micro",'Atividades Micro'!$J$2:$J$554,J$12)</f>
        <v>4</v>
      </c>
      <c r="K19" s="70">
        <f t="shared" si="0"/>
        <v>1</v>
      </c>
      <c r="L19" s="43"/>
    </row>
    <row r="20" spans="1:12" ht="18" customHeight="1">
      <c r="A20" s="58" t="str">
        <f>'Atividades Macro'!$B17</f>
        <v>(Supply) Satélites</v>
      </c>
      <c r="B20" s="61" t="str">
        <f>'Atividades Macro'!$C17</f>
        <v>Supply</v>
      </c>
      <c r="C20" s="64">
        <f>IF('Atividades Macro'!$D17="","",'Atividades Macro'!$D17)</f>
        <v>46374</v>
      </c>
      <c r="D20" s="67">
        <f>'Atividades Macro'!$G17</f>
        <v>14</v>
      </c>
      <c r="E20" s="67">
        <f>COUNTIFS('Atividades Micro'!$B$2:$B$554,$A20,'Atividades Micro'!$G$2:$G$554,"Micro",'Atividades Micro'!$J$2:$J$554,E$12)</f>
        <v>6</v>
      </c>
      <c r="F20" s="67">
        <f>COUNTIFS('Atividades Micro'!$B$2:$B$554,$A20,'Atividades Micro'!$G$2:$G$554,"Micro",'Atividades Micro'!$J$2:$J$554,"Em andamento",'Atividades Micro'!$E$2:$E$554,"&lt;&gt;*QA*")</f>
        <v>3</v>
      </c>
      <c r="G20" s="67">
        <f>COUNTIFS('Atividades Micro'!$B$2:$B$554,$A20,'Atividades Micro'!$G$2:$G$554,"Micro",'Atividades Micro'!$E$2:$E$554,"*QA*",'Atividades Micro'!$J$2:$J$554,"Em andamento")</f>
        <v>0</v>
      </c>
      <c r="H20" s="67">
        <f>COUNTIFS('Atividades Micro'!$B$2:$B$554,$A20,'Atividades Micro'!$G$2:$G$554,"Micro",'Atividades Micro'!$J$2:$J$554,H$12)</f>
        <v>0</v>
      </c>
      <c r="I20" s="67">
        <f>COUNTIFS('Atividades Micro'!$B$2:$B$554,$A20,'Atividades Micro'!$G$2:$G$554,"Micro",'Atividades Micro'!$J$2:$J$554,I$12)</f>
        <v>3</v>
      </c>
      <c r="J20" s="67">
        <f>COUNTIFS('Atividades Micro'!$B$2:$B$554,$A20,'Atividades Micro'!$G$2:$G$554,"Micro",'Atividades Micro'!$J$2:$J$554,J$12)</f>
        <v>5</v>
      </c>
      <c r="K20" s="70">
        <f t="shared" si="0"/>
        <v>0.35714285714285715</v>
      </c>
      <c r="L20" s="43"/>
    </row>
    <row r="21" spans="1:12" ht="18" customHeight="1">
      <c r="A21" s="58" t="str">
        <f>'Atividades Macro'!$B19</f>
        <v>(CD) Aderência</v>
      </c>
      <c r="B21" s="61" t="str">
        <f>'Atividades Macro'!$C19</f>
        <v>CD</v>
      </c>
      <c r="C21" s="64">
        <f>IF('Atividades Macro'!$D19="","",'Atividades Macro'!$D19)</f>
        <v>46385</v>
      </c>
      <c r="D21" s="67">
        <f>'Atividades Macro'!$G19</f>
        <v>41</v>
      </c>
      <c r="E21" s="67">
        <f>COUNTIFS('Atividades Micro'!$B$2:$B$554,$A21,'Atividades Micro'!$G$2:$G$554,"Micro",'Atividades Micro'!$J$2:$J$554,E$12)</f>
        <v>9</v>
      </c>
      <c r="F21" s="67">
        <f>COUNTIFS('Atividades Micro'!$B$2:$B$554,$A21,'Atividades Micro'!$G$2:$G$554,"Micro",'Atividades Micro'!$J$2:$J$554,"Em andamento",'Atividades Micro'!$E$2:$E$554,"&lt;&gt;*QA*")</f>
        <v>5</v>
      </c>
      <c r="G21" s="67">
        <f>COUNTIFS('Atividades Micro'!$B$2:$B$554,$A21,'Atividades Micro'!$G$2:$G$554,"Micro",'Atividades Micro'!$E$2:$E$554,"*QA*",'Atividades Micro'!$J$2:$J$554,"Em andamento")</f>
        <v>1</v>
      </c>
      <c r="H21" s="67">
        <f>COUNTIFS('Atividades Micro'!$B$2:$B$554,$A21,'Atividades Micro'!$G$2:$G$554,"Micro",'Atividades Micro'!$J$2:$J$554,H$12)</f>
        <v>0</v>
      </c>
      <c r="I21" s="67">
        <f>COUNTIFS('Atividades Micro'!$B$2:$B$554,$A21,'Atividades Micro'!$G$2:$G$554,"Micro",'Atividades Micro'!$J$2:$J$554,I$12)</f>
        <v>0</v>
      </c>
      <c r="J21" s="67">
        <f>COUNTIFS('Atividades Micro'!$B$2:$B$554,$A21,'Atividades Micro'!$G$2:$G$554,"Micro",'Atividades Micro'!$J$2:$J$554,J$12)</f>
        <v>26</v>
      </c>
      <c r="K21" s="70">
        <f t="shared" si="0"/>
        <v>0.63414634146341464</v>
      </c>
      <c r="L21" s="43"/>
    </row>
    <row r="22" spans="1:12" ht="18" customHeight="1">
      <c r="A22" s="58" t="str">
        <f>'Atividades Macro'!$B20</f>
        <v>(CD) Satélites</v>
      </c>
      <c r="B22" s="61" t="str">
        <f>'Atividades Macro'!$C20</f>
        <v>CD</v>
      </c>
      <c r="C22" s="64">
        <f>IF('Atividades Macro'!$D20="","",'Atividades Macro'!$D20)</f>
        <v>46279</v>
      </c>
      <c r="D22" s="67">
        <f>'Atividades Macro'!$G20</f>
        <v>5</v>
      </c>
      <c r="E22" s="67">
        <f>COUNTIFS('Atividades Micro'!$B$2:$B$554,$A22,'Atividades Micro'!$G$2:$G$554,"Micro",'Atividades Micro'!$J$2:$J$554,E$12)</f>
        <v>2</v>
      </c>
      <c r="F22" s="67">
        <f>COUNTIFS('Atividades Micro'!$B$2:$B$554,$A22,'Atividades Micro'!$G$2:$G$554,"Micro",'Atividades Micro'!$J$2:$J$554,"Em andamento",'Atividades Micro'!$E$2:$E$554,"&lt;&gt;*QA*")</f>
        <v>1</v>
      </c>
      <c r="G22" s="67">
        <f>COUNTIFS('Atividades Micro'!$B$2:$B$554,$A22,'Atividades Micro'!$G$2:$G$554,"Micro",'Atividades Micro'!$E$2:$E$554,"*QA*",'Atividades Micro'!$J$2:$J$554,"Em andamento")</f>
        <v>0</v>
      </c>
      <c r="H22" s="67">
        <f>COUNTIFS('Atividades Micro'!$B$2:$B$554,$A22,'Atividades Micro'!$G$2:$G$554,"Micro",'Atividades Micro'!$J$2:$J$554,H$12)</f>
        <v>0</v>
      </c>
      <c r="I22" s="67">
        <f>COUNTIFS('Atividades Micro'!$B$2:$B$554,$A22,'Atividades Micro'!$G$2:$G$554,"Micro",'Atividades Micro'!$J$2:$J$554,I$12)</f>
        <v>3</v>
      </c>
      <c r="J22" s="67">
        <f>COUNTIFS('Atividades Micro'!$B$2:$B$554,$A22,'Atividades Micro'!$G$2:$G$554,"Micro",'Atividades Micro'!$J$2:$J$554,J$12)</f>
        <v>2</v>
      </c>
      <c r="K22" s="70">
        <f t="shared" si="0"/>
        <v>0.4</v>
      </c>
      <c r="L22" s="43"/>
    </row>
    <row r="23" spans="1:12" ht="18" customHeight="1">
      <c r="A23" s="58" t="str">
        <f>'Atividades Macro'!$B22</f>
        <v>(Comercial) Aderência</v>
      </c>
      <c r="B23" s="61" t="str">
        <f>'Atividades Macro'!$C22</f>
        <v>Comercial</v>
      </c>
      <c r="C23" s="64">
        <f>IF('Atividades Macro'!$D22="","",'Atividades Macro'!$D22)</f>
        <v>46279</v>
      </c>
      <c r="D23" s="67">
        <f>'Atividades Macro'!$G22</f>
        <v>5</v>
      </c>
      <c r="E23" s="67">
        <f>COUNTIFS('Atividades Micro'!$B$2:$B$554,$A23,'Atividades Micro'!$G$2:$G$554,"Micro",'Atividades Micro'!$J$2:$J$554,E$12)</f>
        <v>2</v>
      </c>
      <c r="F23" s="67">
        <f>COUNTIFS('Atividades Micro'!$B$2:$B$554,$A23,'Atividades Micro'!$G$2:$G$554,"Micro",'Atividades Micro'!$J$2:$J$554,"Em andamento",'Atividades Micro'!$E$2:$E$554,"&lt;&gt;*QA*")</f>
        <v>0</v>
      </c>
      <c r="G23" s="67">
        <f>COUNTIFS('Atividades Micro'!$B$2:$B$554,$A23,'Atividades Micro'!$G$2:$G$554,"Micro",'Atividades Micro'!$E$2:$E$554,"*QA*",'Atividades Micro'!$J$2:$J$554,"Em andamento")</f>
        <v>0</v>
      </c>
      <c r="H23" s="67">
        <f>COUNTIFS('Atividades Micro'!$B$2:$B$554,$A23,'Atividades Micro'!$G$2:$G$554,"Micro",'Atividades Micro'!$J$2:$J$554,H$12)</f>
        <v>0</v>
      </c>
      <c r="I23" s="67">
        <f>COUNTIFS('Atividades Micro'!$B$2:$B$554,$A23,'Atividades Micro'!$G$2:$G$554,"Micro",'Atividades Micro'!$J$2:$J$554,I$12)</f>
        <v>0</v>
      </c>
      <c r="J23" s="67">
        <f>COUNTIFS('Atividades Micro'!$B$2:$B$554,$A23,'Atividades Micro'!$G$2:$G$554,"Micro",'Atividades Micro'!$J$2:$J$554,J$12)</f>
        <v>3</v>
      </c>
      <c r="K23" s="70">
        <f t="shared" si="0"/>
        <v>0.6</v>
      </c>
      <c r="L23" s="43"/>
    </row>
    <row r="24" spans="1:12" ht="18" customHeight="1">
      <c r="A24" s="58" t="str">
        <f>'Atividades Macro'!$B23</f>
        <v>(Comercial) Satélites</v>
      </c>
      <c r="B24" s="61" t="str">
        <f>'Atividades Macro'!$C23</f>
        <v>Comercial</v>
      </c>
      <c r="C24" s="64">
        <f>IF('Atividades Macro'!$D23="","",'Atividades Macro'!$D23)</f>
        <v>46301</v>
      </c>
      <c r="D24" s="67">
        <f>'Atividades Macro'!$G23</f>
        <v>9</v>
      </c>
      <c r="E24" s="67">
        <f>COUNTIFS('Atividades Micro'!$B$2:$B$554,$A24,'Atividades Micro'!$G$2:$G$554,"Micro",'Atividades Micro'!$J$2:$J$554,E$12)</f>
        <v>3</v>
      </c>
      <c r="F24" s="67">
        <f>COUNTIFS('Atividades Micro'!$B$2:$B$554,$A24,'Atividades Micro'!$G$2:$G$554,"Micro",'Atividades Micro'!$J$2:$J$554,"Em andamento",'Atividades Micro'!$E$2:$E$554,"&lt;&gt;*QA*")</f>
        <v>2</v>
      </c>
      <c r="G24" s="67">
        <f>COUNTIFS('Atividades Micro'!$B$2:$B$554,$A24,'Atividades Micro'!$G$2:$G$554,"Micro",'Atividades Micro'!$E$2:$E$554,"*QA*",'Atividades Micro'!$J$2:$J$554,"Em andamento")</f>
        <v>0</v>
      </c>
      <c r="H24" s="67">
        <f>COUNTIFS('Atividades Micro'!$B$2:$B$554,$A24,'Atividades Micro'!$G$2:$G$554,"Micro",'Atividades Micro'!$J$2:$J$554,H$12)</f>
        <v>0</v>
      </c>
      <c r="I24" s="67">
        <f>COUNTIFS('Atividades Micro'!$B$2:$B$554,$A24,'Atividades Micro'!$G$2:$G$554,"Micro",'Atividades Micro'!$J$2:$J$554,I$12)</f>
        <v>4</v>
      </c>
      <c r="J24" s="67">
        <f>COUNTIFS('Atividades Micro'!$B$2:$B$554,$A24,'Atividades Micro'!$G$2:$G$554,"Micro",'Atividades Micro'!$J$2:$J$554,J$12)</f>
        <v>4</v>
      </c>
      <c r="K24" s="70">
        <f t="shared" si="0"/>
        <v>0.44444444444444442</v>
      </c>
      <c r="L24" s="43"/>
    </row>
    <row r="25" spans="1:12" ht="18" customHeight="1">
      <c r="A25" s="59" t="str">
        <f>'Atividades Macro'!$B29</f>
        <v>(Operações) Satélites</v>
      </c>
      <c r="B25" s="62" t="str">
        <f>'Atividades Macro'!$C29</f>
        <v>Operações</v>
      </c>
      <c r="C25" s="65">
        <f>IF('Atividades Macro'!$D29="","",'Atividades Macro'!$D29)</f>
        <v>46352</v>
      </c>
      <c r="D25" s="68">
        <f>'Atividades Macro'!$G29</f>
        <v>2</v>
      </c>
      <c r="E25" s="68">
        <f>COUNTIFS('Atividades Micro'!$B$2:$B$554,$A25,'Atividades Micro'!$G$2:$G$554,"Micro",'Atividades Micro'!$J$2:$J$554,E$12)</f>
        <v>1</v>
      </c>
      <c r="F25" s="68">
        <f>COUNTIFS('Atividades Micro'!$B$2:$B$554,$A25,'Atividades Micro'!$G$2:$G$554,"Micro",'Atividades Micro'!$J$2:$J$554,"Em andamento",'Atividades Micro'!$E$2:$E$554,"&lt;&gt;*QA*")</f>
        <v>1</v>
      </c>
      <c r="G25" s="68">
        <f>COUNTIFS('Atividades Micro'!$B$2:$B$554,$A25,'Atividades Micro'!$G$2:$G$554,"Micro",'Atividades Micro'!$E$2:$E$554,"*QA*",'Atividades Micro'!$J$2:$J$554,"Em andamento")</f>
        <v>0</v>
      </c>
      <c r="H25" s="68">
        <f>COUNTIFS('Atividades Micro'!$B$2:$B$554,$A25,'Atividades Micro'!$G$2:$G$554,"Micro",'Atividades Micro'!$J$2:$J$554,H$12)</f>
        <v>0</v>
      </c>
      <c r="I25" s="68">
        <f>COUNTIFS('Atividades Micro'!$B$2:$B$554,$A25,'Atividades Micro'!$G$2:$G$554,"Micro",'Atividades Micro'!$J$2:$J$554,I$12)</f>
        <v>1</v>
      </c>
      <c r="J25" s="68">
        <f>COUNTIFS('Atividades Micro'!$B$2:$B$554,$A25,'Atividades Micro'!$G$2:$G$554,"Micro",'Atividades Micro'!$J$2:$J$554,J$12)</f>
        <v>0</v>
      </c>
      <c r="K25" s="71">
        <f t="shared" si="0"/>
        <v>0</v>
      </c>
      <c r="L25" s="43"/>
    </row>
    <row r="26" spans="1:12" ht="18" customHeight="1">
      <c r="A26" s="58" t="s">
        <v>27</v>
      </c>
      <c r="B26" s="61" t="s">
        <v>28</v>
      </c>
      <c r="C26" s="64">
        <f>IF('Atividades Macro'!$D27="","",'Atividades Macro'!$D27)</f>
        <v>46338</v>
      </c>
      <c r="D26" s="67">
        <f>'Atividades Macro'!$G27</f>
        <v>14</v>
      </c>
      <c r="E26" s="67">
        <f>COUNTIFS('Atividades Micro'!$B$2:$B$554,$A26,'Atividades Micro'!$G$2:$G$554,"Micro",'Atividades Micro'!$J$2:$J$554,E$12)</f>
        <v>0</v>
      </c>
      <c r="F26" s="67">
        <f>COUNTIFS('Atividades Micro'!$B$2:$B$554,$A26,'Atividades Micro'!$G$2:$G$554,"Micro",'Atividades Micro'!$J$2:$J$554,"Em andamento",'Atividades Micro'!$E$2:$E$554,"&lt;&gt;*QA*")</f>
        <v>1</v>
      </c>
      <c r="G26" s="67">
        <f>COUNTIFS('Atividades Micro'!$B$2:$B$554,$A26,'Atividades Micro'!$G$2:$G$554,"Micro",'Atividades Micro'!$E$2:$E$554,"*QA*",'Atividades Micro'!$J$2:$J$554,"Em andamento")</f>
        <v>0</v>
      </c>
      <c r="H26" s="67">
        <f>COUNTIFS('Atividades Micro'!$B$2:$B$554,$A26,'Atividades Micro'!$G$2:$G$554,"Micro",'Atividades Micro'!$J$2:$J$554,H$12)</f>
        <v>0</v>
      </c>
      <c r="I26" s="67">
        <f>COUNTIFS('Atividades Micro'!$B$2:$B$554,$A26,'Atividades Micro'!$G$2:$G$554,"Micro",'Atividades Micro'!$J$2:$J$554,I$12)</f>
        <v>0</v>
      </c>
      <c r="J26" s="67">
        <f>COUNTIFS('Atividades Micro'!$B$2:$B$554,$A26,'Atividades Micro'!$G$2:$G$554,"Micro",'Atividades Micro'!$J$2:$J$554,J$12)</f>
        <v>13</v>
      </c>
      <c r="K26" s="85">
        <f t="shared" si="0"/>
        <v>0.9285714285714286</v>
      </c>
      <c r="L26" s="43"/>
    </row>
    <row r="27" spans="1:12" ht="18" customHeight="1">
      <c r="A27" s="84" t="s">
        <v>29</v>
      </c>
      <c r="B27" s="62" t="s">
        <v>30</v>
      </c>
      <c r="C27" s="65">
        <f>IF('Atividades Macro'!$D25="","",'Atividades Macro'!$D25)</f>
        <v>46342</v>
      </c>
      <c r="D27" s="68">
        <f>'Atividades Macro'!$G25</f>
        <v>10</v>
      </c>
      <c r="E27" s="68">
        <f>COUNTIFS('Atividades Micro'!$B$2:$B$554,$A27,'Atividades Micro'!$G$2:$G$554,"Micro",'Atividades Micro'!$J$2:$J$554,E$12)</f>
        <v>2</v>
      </c>
      <c r="F27" s="68">
        <f>COUNTIFS('Atividades Micro'!$B$2:$B$554,$A27,'Atividades Micro'!$G$2:$G$554,"Micro",'Atividades Micro'!$J$2:$J$554,"Em andamento",'Atividades Micro'!$E$2:$E$554,"&lt;&gt;*QA*")</f>
        <v>0</v>
      </c>
      <c r="G27" s="68">
        <f>COUNTIFS('Atividades Micro'!$B$2:$B$554,$A27,'Atividades Micro'!$G$2:$G$554,"Micro",'Atividades Micro'!$E$2:$E$554,"*QA*",'Atividades Micro'!$J$2:$J$554,"Em andamento")</f>
        <v>0</v>
      </c>
      <c r="H27" s="68">
        <f>COUNTIFS('Atividades Micro'!$B$2:$B$554,$A27,'Atividades Micro'!$G$2:$G$554,"Micro",'Atividades Micro'!$J$2:$J$554,H$12)</f>
        <v>0</v>
      </c>
      <c r="I27" s="68">
        <f>COUNTIFS('Atividades Micro'!$B$2:$B$554,$A27,'Atividades Micro'!$G$2:$G$554,"Micro",'Atividades Micro'!$J$2:$J$554,I$12)</f>
        <v>1</v>
      </c>
      <c r="J27" s="68">
        <f>COUNTIFS('Atividades Micro'!$B$2:$B$554,$A27,'Atividades Micro'!$G$2:$G$554,"Micro",'Atividades Micro'!$J$2:$J$554,J$12)</f>
        <v>8</v>
      </c>
      <c r="K27" s="85">
        <f t="shared" si="0"/>
        <v>0.8</v>
      </c>
      <c r="L27" s="43"/>
    </row>
    <row r="28" spans="1:12" ht="14.4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</row>
    <row r="29" spans="1:12" ht="2.4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</row>
    <row r="30" spans="1:12" ht="15" hidden="1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spans="1:12" ht="1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</row>
    <row r="32" spans="1:12" ht="1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spans="1:12" ht="1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  <row r="34" spans="1:12" ht="1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spans="1:12" ht="1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12" ht="1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  <row r="37" spans="1:12" ht="1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</row>
    <row r="38" spans="1:12" ht="1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1:12" ht="1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spans="1:12" ht="1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 spans="1:12" ht="43.8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2" ht="16.95" customHeight="1">
      <c r="A42" s="182" t="s">
        <v>31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4"/>
    </row>
    <row r="43" spans="1:12" ht="16.95" customHeight="1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7"/>
    </row>
    <row r="44" spans="1:12" ht="16.95" customHeight="1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90"/>
    </row>
  </sheetData>
  <mergeCells count="24">
    <mergeCell ref="C8:D8"/>
    <mergeCell ref="A1:L2"/>
    <mergeCell ref="A3:L3"/>
    <mergeCell ref="A5:J5"/>
    <mergeCell ref="K5:L5"/>
    <mergeCell ref="A6:B6"/>
    <mergeCell ref="E6:F6"/>
    <mergeCell ref="I6:J6"/>
    <mergeCell ref="A11:L11"/>
    <mergeCell ref="A42:L44"/>
    <mergeCell ref="I7:J7"/>
    <mergeCell ref="I8:J8"/>
    <mergeCell ref="K6:L6"/>
    <mergeCell ref="K7:L7"/>
    <mergeCell ref="K8:L8"/>
    <mergeCell ref="E7:F7"/>
    <mergeCell ref="E8:F8"/>
    <mergeCell ref="G6:H6"/>
    <mergeCell ref="G7:H7"/>
    <mergeCell ref="G8:H8"/>
    <mergeCell ref="A7:B7"/>
    <mergeCell ref="A8:B8"/>
    <mergeCell ref="C6:D6"/>
    <mergeCell ref="C7:D7"/>
  </mergeCells>
  <conditionalFormatting sqref="A13:K27">
    <cfRule type="expression" dxfId="13" priority="3">
      <formula>MOD(ROW(),2)=0</formula>
    </cfRule>
  </conditionalFormatting>
  <conditionalFormatting sqref="K13:K27">
    <cfRule type="dataBar" priority="1">
      <dataBar>
        <cfvo type="num" val="0"/>
        <cfvo type="num" val="1"/>
        <color rgb="FF3E9C5D"/>
      </dataBar>
    </cfRule>
    <cfRule type="expression" dxfId="12" priority="2">
      <formula>AND($C13&lt;&gt;"",$C13&lt;=TODAY(),$D13-$I13&gt;0,$K13&lt;1)</formula>
    </cfRule>
    <cfRule type="dataBar" priority="4">
      <dataBar>
        <cfvo type="num" val="0"/>
        <cfvo type="num" val="1"/>
        <color rgb="FF3E9C5D"/>
      </dataBar>
    </cfRule>
    <cfRule type="dataBar" priority="5">
      <dataBar>
        <cfvo type="num" val="0"/>
        <cfvo type="num" val="1"/>
        <color rgb="FF3E9C5D"/>
      </dataBar>
    </cfRule>
    <cfRule type="dataBar" priority="6">
      <dataBar>
        <cfvo type="num" val="0"/>
        <cfvo type="num" val="1"/>
        <color rgb="FF3E9C5D"/>
      </dataBar>
    </cfRule>
    <cfRule type="dataBar" priority="7">
      <dataBar>
        <cfvo type="num" val="0"/>
        <cfvo type="num" val="1"/>
        <color rgb="FF3E9C5D"/>
      </dataBar>
    </cfRule>
    <cfRule type="dataBar" priority="8">
      <dataBar>
        <cfvo type="num" val="0"/>
        <cfvo type="num" val="1"/>
        <color rgb="FF3E9C5D"/>
      </dataBar>
    </cfRule>
    <cfRule type="dataBar" priority="9">
      <dataBar>
        <cfvo type="num" val="0"/>
        <cfvo type="num" val="1"/>
        <color rgb="FF3E9C5D"/>
      </dataBar>
    </cfRule>
    <cfRule type="dataBar" priority="10">
      <dataBar>
        <cfvo type="num" val="0"/>
        <cfvo type="num" val="1"/>
        <color rgb="FF3E9C5D"/>
      </dataBar>
      <extLst>
        <ext xmlns:x14="http://schemas.microsoft.com/office/spreadsheetml/2009/9/main" uri="{B025F937-C7B1-47D3-B67F-A62EFF666E3E}">
          <x14:id>{A5483631-B5C0-41D5-9CDB-B766A656E4E3}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483631-B5C0-41D5-9CDB-B766A656E4E3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K13:K27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A3F7-75F6-4AA4-8353-D58D75B85592}">
  <dimension ref="A1:L18"/>
  <sheetViews>
    <sheetView showGridLines="0" workbookViewId="0">
      <selection activeCell="A13" sqref="A13"/>
    </sheetView>
  </sheetViews>
  <sheetFormatPr defaultRowHeight="13.8"/>
  <cols>
    <col min="1" max="1" width="34" customWidth="1"/>
    <col min="2" max="3" width="14" customWidth="1"/>
    <col min="4" max="9" width="15" customWidth="1"/>
    <col min="10" max="10" width="14" customWidth="1"/>
    <col min="11" max="12" width="15" customWidth="1"/>
  </cols>
  <sheetData>
    <row r="1" spans="1:12" ht="37.950000000000003" customHeight="1">
      <c r="A1" s="196" t="s">
        <v>32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30" customHeight="1">
      <c r="A2" s="197" t="s">
        <v>33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4" spans="1:12" ht="34.049999999999997" customHeight="1">
      <c r="A4" s="1" t="s">
        <v>11</v>
      </c>
      <c r="B4" s="1" t="s">
        <v>13</v>
      </c>
      <c r="C4" s="1" t="s">
        <v>26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14</v>
      </c>
      <c r="K4" s="1" t="s">
        <v>12</v>
      </c>
      <c r="L4" s="1" t="s">
        <v>34</v>
      </c>
    </row>
    <row r="5" spans="1:12">
      <c r="A5" s="24" t="s">
        <v>35</v>
      </c>
      <c r="B5" s="27">
        <f>'Atividades Macro'!$F2</f>
        <v>12</v>
      </c>
      <c r="C5" s="27">
        <f>'Atividades Macro'!$G2</f>
        <v>0</v>
      </c>
      <c r="D5" s="27">
        <f>'Atividades Macro'!$H2</f>
        <v>7</v>
      </c>
      <c r="E5" s="27">
        <f>'Atividades Macro'!$I2</f>
        <v>0</v>
      </c>
      <c r="F5" s="27">
        <f>'Atividades Macro'!$J2</f>
        <v>0</v>
      </c>
      <c r="G5" s="27">
        <f>'Atividades Macro'!$K2</f>
        <v>0</v>
      </c>
      <c r="H5" s="27">
        <f>'Atividades Macro'!$L2</f>
        <v>0</v>
      </c>
      <c r="I5" s="27">
        <f>'Atividades Macro'!$M2</f>
        <v>5</v>
      </c>
      <c r="J5" s="30">
        <f t="shared" ref="J5:J18" si="0">IF(D5+E5+F5+G5+I5&lt;=0,0,I5/(D5+E5+F5+G5+I5))</f>
        <v>0.41666666666666669</v>
      </c>
      <c r="K5" s="33">
        <f>IF('Atividades Macro'!$D2="","",'Atividades Macro'!$D2)</f>
        <v>46374</v>
      </c>
      <c r="L5" s="34" t="str">
        <f>IF('Atividades Macro'!$E2="","",'Atividades Macro'!$E2)</f>
        <v/>
      </c>
    </row>
    <row r="6" spans="1:12">
      <c r="A6" s="25" t="s">
        <v>36</v>
      </c>
      <c r="B6" s="28">
        <f>'Atividades Macro'!$F3</f>
        <v>14</v>
      </c>
      <c r="C6" s="28">
        <f>'Atividades Macro'!$G3</f>
        <v>0</v>
      </c>
      <c r="D6" s="28">
        <f>'Atividades Macro'!$H3</f>
        <v>10</v>
      </c>
      <c r="E6" s="28">
        <f>'Atividades Macro'!$I3</f>
        <v>0</v>
      </c>
      <c r="F6" s="28">
        <f>'Atividades Macro'!$J3</f>
        <v>0</v>
      </c>
      <c r="G6" s="28">
        <f>'Atividades Macro'!$K3</f>
        <v>0</v>
      </c>
      <c r="H6" s="28">
        <f>'Atividades Macro'!$L3</f>
        <v>0</v>
      </c>
      <c r="I6" s="28">
        <f>'Atividades Macro'!$M3</f>
        <v>4</v>
      </c>
      <c r="J6" s="31">
        <f t="shared" si="0"/>
        <v>0.2857142857142857</v>
      </c>
      <c r="K6" s="35">
        <f>IF('Atividades Macro'!$D3="","",'Atividades Macro'!$D3)</f>
        <v>46346</v>
      </c>
      <c r="L6" s="36" t="str">
        <f>IF('Atividades Macro'!$E3="","",'Atividades Macro'!$E3)</f>
        <v/>
      </c>
    </row>
    <row r="7" spans="1:12">
      <c r="A7" s="25" t="s">
        <v>37</v>
      </c>
      <c r="B7" s="28">
        <f>'Atividades Macro'!$F4</f>
        <v>9</v>
      </c>
      <c r="C7" s="28">
        <f>'Atividades Macro'!$G4</f>
        <v>0</v>
      </c>
      <c r="D7" s="28">
        <f>'Atividades Macro'!$H4</f>
        <v>1</v>
      </c>
      <c r="E7" s="28">
        <f>'Atividades Macro'!$I4</f>
        <v>4</v>
      </c>
      <c r="F7" s="28">
        <f>'Atividades Macro'!$J4</f>
        <v>0</v>
      </c>
      <c r="G7" s="28">
        <f>'Atividades Macro'!$K4</f>
        <v>0</v>
      </c>
      <c r="H7" s="28">
        <f>'Atividades Macro'!$L4</f>
        <v>1</v>
      </c>
      <c r="I7" s="28">
        <f>'Atividades Macro'!$M4</f>
        <v>3</v>
      </c>
      <c r="J7" s="31">
        <f t="shared" si="0"/>
        <v>0.375</v>
      </c>
      <c r="K7" s="35">
        <f>IF('Atividades Macro'!$D4="","",'Atividades Macro'!$D4)</f>
        <v>46272</v>
      </c>
      <c r="L7" s="36" t="str">
        <f>IF('Atividades Macro'!$E4="","",'Atividades Macro'!$E4)</f>
        <v/>
      </c>
    </row>
    <row r="8" spans="1:12">
      <c r="A8" s="25" t="s">
        <v>38</v>
      </c>
      <c r="B8" s="28">
        <f>'Atividades Macro'!$F5</f>
        <v>2</v>
      </c>
      <c r="C8" s="28">
        <f>'Atividades Macro'!$G5</f>
        <v>0</v>
      </c>
      <c r="D8" s="28">
        <f>'Atividades Macro'!$H5</f>
        <v>0</v>
      </c>
      <c r="E8" s="28">
        <f>'Atividades Macro'!$I5</f>
        <v>1</v>
      </c>
      <c r="F8" s="28">
        <f>'Atividades Macro'!$J5</f>
        <v>0</v>
      </c>
      <c r="G8" s="28">
        <f>'Atividades Macro'!$K5</f>
        <v>0</v>
      </c>
      <c r="H8" s="28">
        <f>'Atividades Macro'!$L5</f>
        <v>0</v>
      </c>
      <c r="I8" s="28">
        <f>'Atividades Macro'!$M5</f>
        <v>1</v>
      </c>
      <c r="J8" s="31">
        <f t="shared" si="0"/>
        <v>0.5</v>
      </c>
      <c r="K8" s="35">
        <f>IF('Atividades Macro'!$D5="","",'Atividades Macro'!$D5)</f>
        <v>46248</v>
      </c>
      <c r="L8" s="36" t="str">
        <f>IF('Atividades Macro'!$E5="","",'Atividades Macro'!$E5)</f>
        <v/>
      </c>
    </row>
    <row r="9" spans="1:12">
      <c r="A9" s="25" t="s">
        <v>39</v>
      </c>
      <c r="B9" s="28">
        <f>'Atividades Macro'!$F6</f>
        <v>7</v>
      </c>
      <c r="C9" s="28">
        <f>'Atividades Macro'!$G6</f>
        <v>73</v>
      </c>
      <c r="D9" s="28">
        <f>'Atividades Macro'!$H6</f>
        <v>21</v>
      </c>
      <c r="E9" s="28">
        <f>'Atividades Macro'!$I6</f>
        <v>7</v>
      </c>
      <c r="F9" s="28">
        <f>'Atividades Macro'!$J6</f>
        <v>0</v>
      </c>
      <c r="G9" s="28">
        <f>'Atividades Macro'!$K6</f>
        <v>0</v>
      </c>
      <c r="H9" s="28">
        <f>'Atividades Macro'!$L6</f>
        <v>15</v>
      </c>
      <c r="I9" s="28">
        <f>'Atividades Macro'!$M6</f>
        <v>51</v>
      </c>
      <c r="J9" s="31">
        <f t="shared" si="0"/>
        <v>0.64556962025316456</v>
      </c>
      <c r="K9" s="35">
        <f>IF('Atividades Macro'!$D6="","",'Atividades Macro'!$D6)</f>
        <v>46359</v>
      </c>
      <c r="L9" s="36" t="str">
        <f>IF('Atividades Macro'!$E6="","",'Atividades Macro'!$E6)</f>
        <v/>
      </c>
    </row>
    <row r="10" spans="1:12">
      <c r="A10" s="25" t="s">
        <v>40</v>
      </c>
      <c r="B10" s="28">
        <f>'Atividades Macro'!$F9</f>
        <v>2</v>
      </c>
      <c r="C10" s="28">
        <f>'Atividades Macro'!$G9</f>
        <v>3</v>
      </c>
      <c r="D10" s="28">
        <f>'Atividades Macro'!$H9</f>
        <v>1</v>
      </c>
      <c r="E10" s="28">
        <f>'Atividades Macro'!$I9</f>
        <v>3</v>
      </c>
      <c r="F10" s="28">
        <f>'Atividades Macro'!$J9</f>
        <v>0</v>
      </c>
      <c r="G10" s="28">
        <f>'Atividades Macro'!$K9</f>
        <v>0</v>
      </c>
      <c r="H10" s="28">
        <f>'Atividades Macro'!$L9</f>
        <v>6</v>
      </c>
      <c r="I10" s="28">
        <f>'Atividades Macro'!$M9</f>
        <v>0</v>
      </c>
      <c r="J10" s="31">
        <f t="shared" si="0"/>
        <v>0</v>
      </c>
      <c r="K10" s="35" t="str">
        <f>IF('Atividades Macro'!$D9="","",'Atividades Macro'!$D9)</f>
        <v/>
      </c>
      <c r="L10" s="36" t="str">
        <f>IF('Atividades Macro'!$E9="","",'Atividades Macro'!$E9)</f>
        <v/>
      </c>
    </row>
    <row r="11" spans="1:12">
      <c r="A11" s="25" t="s">
        <v>41</v>
      </c>
      <c r="B11" s="28">
        <f>'Atividades Macro'!$F12</f>
        <v>18</v>
      </c>
      <c r="C11" s="28">
        <f>'Atividades Macro'!$G12</f>
        <v>30</v>
      </c>
      <c r="D11" s="28">
        <f>'Atividades Macro'!$H12</f>
        <v>1</v>
      </c>
      <c r="E11" s="28">
        <f>'Atividades Macro'!$I12</f>
        <v>3</v>
      </c>
      <c r="F11" s="28">
        <f>'Atividades Macro'!$J12</f>
        <v>0</v>
      </c>
      <c r="G11" s="28">
        <f>'Atividades Macro'!$K12</f>
        <v>37</v>
      </c>
      <c r="H11" s="28">
        <f>'Atividades Macro'!$L12</f>
        <v>3</v>
      </c>
      <c r="I11" s="28">
        <f>'Atividades Macro'!$M12</f>
        <v>4</v>
      </c>
      <c r="J11" s="31">
        <f t="shared" si="0"/>
        <v>8.8888888888888892E-2</v>
      </c>
      <c r="K11" s="35">
        <f>IF('Atividades Macro'!$D12="","",'Atividades Macro'!$D12)</f>
        <v>46374</v>
      </c>
      <c r="L11" s="36" t="str">
        <f>IF('Atividades Macro'!$E12="","",'Atividades Macro'!$E12)</f>
        <v/>
      </c>
    </row>
    <row r="12" spans="1:12">
      <c r="A12" s="25" t="s">
        <v>42</v>
      </c>
      <c r="B12" s="28">
        <f>'Atividades Macro'!$F15</f>
        <v>6</v>
      </c>
      <c r="C12" s="28">
        <f>'Atividades Macro'!$G15</f>
        <v>18</v>
      </c>
      <c r="D12" s="28">
        <f>'Atividades Macro'!$H15</f>
        <v>6</v>
      </c>
      <c r="E12" s="28">
        <f>'Atividades Macro'!$I15</f>
        <v>7</v>
      </c>
      <c r="F12" s="28">
        <f>'Atividades Macro'!$J15</f>
        <v>0</v>
      </c>
      <c r="G12" s="28">
        <f>'Atividades Macro'!$K15</f>
        <v>0</v>
      </c>
      <c r="H12" s="28">
        <f>'Atividades Macro'!$L15</f>
        <v>3</v>
      </c>
      <c r="I12" s="28">
        <f>'Atividades Macro'!$M15</f>
        <v>11</v>
      </c>
      <c r="J12" s="31">
        <f t="shared" si="0"/>
        <v>0.45833333333333331</v>
      </c>
      <c r="K12" s="35">
        <f>IF('Atividades Macro'!$D15="","",'Atividades Macro'!$D15)</f>
        <v>46290</v>
      </c>
      <c r="L12" s="36" t="str">
        <f>IF('Atividades Macro'!$E15="","",'Atividades Macro'!$E15)</f>
        <v/>
      </c>
    </row>
    <row r="13" spans="1:12">
      <c r="A13" s="25" t="s">
        <v>43</v>
      </c>
      <c r="B13" s="28">
        <f>'Atividades Macro'!$F18</f>
        <v>18</v>
      </c>
      <c r="C13" s="28">
        <f>'Atividades Macro'!$G18</f>
        <v>46</v>
      </c>
      <c r="D13" s="28">
        <f>'Atividades Macro'!$H18</f>
        <v>14</v>
      </c>
      <c r="E13" s="28">
        <f>'Atividades Macro'!$I18</f>
        <v>7</v>
      </c>
      <c r="F13" s="28">
        <f>'Atividades Macro'!$J18</f>
        <v>0</v>
      </c>
      <c r="G13" s="28">
        <f>'Atividades Macro'!$K18</f>
        <v>0</v>
      </c>
      <c r="H13" s="28">
        <f>'Atividades Macro'!$L18</f>
        <v>7</v>
      </c>
      <c r="I13" s="28">
        <f>'Atividades Macro'!$M18</f>
        <v>39</v>
      </c>
      <c r="J13" s="31">
        <f t="shared" si="0"/>
        <v>0.65</v>
      </c>
      <c r="K13" s="35">
        <f>IF('Atividades Macro'!$D18="","",'Atividades Macro'!$D18)</f>
        <v>46374</v>
      </c>
      <c r="L13" s="36" t="str">
        <f>IF('Atividades Macro'!$E18="","",'Atividades Macro'!$E18)</f>
        <v/>
      </c>
    </row>
    <row r="14" spans="1:12">
      <c r="A14" s="25" t="s">
        <v>44</v>
      </c>
      <c r="B14" s="28">
        <f>'Atividades Macro'!$F21</f>
        <v>4</v>
      </c>
      <c r="C14" s="28">
        <f>'Atividades Macro'!$G21</f>
        <v>13</v>
      </c>
      <c r="D14" s="28">
        <f>'Atividades Macro'!$H21</f>
        <v>6</v>
      </c>
      <c r="E14" s="28">
        <f>'Atividades Macro'!$I21</f>
        <v>3</v>
      </c>
      <c r="F14" s="28">
        <f>'Atividades Macro'!$J21</f>
        <v>0</v>
      </c>
      <c r="G14" s="28">
        <f>'Atividades Macro'!$K21</f>
        <v>0</v>
      </c>
      <c r="H14" s="28">
        <f>'Atividades Macro'!$L21</f>
        <v>4</v>
      </c>
      <c r="I14" s="28">
        <f>'Atividades Macro'!$M21</f>
        <v>8</v>
      </c>
      <c r="J14" s="31">
        <f t="shared" si="0"/>
        <v>0.47058823529411764</v>
      </c>
      <c r="K14" s="35">
        <f>IF('Atividades Macro'!$D21="","",'Atividades Macro'!$D21)</f>
        <v>46304</v>
      </c>
      <c r="L14" s="36" t="str">
        <f>IF('Atividades Macro'!$E21="","",'Atividades Macro'!$E21)</f>
        <v/>
      </c>
    </row>
    <row r="15" spans="1:12">
      <c r="A15" s="25" t="s">
        <v>30</v>
      </c>
      <c r="B15" s="28">
        <f>'Atividades Macro'!$F24</f>
        <v>1</v>
      </c>
      <c r="C15" s="28">
        <f>'Atividades Macro'!$G24</f>
        <v>10</v>
      </c>
      <c r="D15" s="28">
        <f>'Atividades Macro'!$H24</f>
        <v>2</v>
      </c>
      <c r="E15" s="28">
        <f>'Atividades Macro'!$I24</f>
        <v>1</v>
      </c>
      <c r="F15" s="28">
        <f>'Atividades Macro'!$J24</f>
        <v>0</v>
      </c>
      <c r="G15" s="28">
        <f>'Atividades Macro'!$K24</f>
        <v>0</v>
      </c>
      <c r="H15" s="28">
        <f>'Atividades Macro'!$L24</f>
        <v>1</v>
      </c>
      <c r="I15" s="28">
        <f>'Atividades Macro'!$M24</f>
        <v>8</v>
      </c>
      <c r="J15" s="31">
        <f t="shared" si="0"/>
        <v>0.72727272727272729</v>
      </c>
      <c r="K15" s="35">
        <f>IF('Atividades Macro'!$D24="","",'Atividades Macro'!$D24)</f>
        <v>46321</v>
      </c>
      <c r="L15" s="36" t="str">
        <f>IF('Atividades Macro'!$E24="","",'Atividades Macro'!$E24)</f>
        <v/>
      </c>
    </row>
    <row r="16" spans="1:12">
      <c r="A16" s="25" t="s">
        <v>28</v>
      </c>
      <c r="B16" s="28">
        <f>'Atividades Macro'!$F26</f>
        <v>1</v>
      </c>
      <c r="C16" s="28">
        <f>'Atividades Macro'!$G26</f>
        <v>14</v>
      </c>
      <c r="D16" s="28">
        <f>'Atividades Macro'!$H26</f>
        <v>0</v>
      </c>
      <c r="E16" s="28">
        <f>'Atividades Macro'!$I26</f>
        <v>2</v>
      </c>
      <c r="F16" s="28">
        <f>'Atividades Macro'!$J26</f>
        <v>0</v>
      </c>
      <c r="G16" s="28">
        <f>'Atividades Macro'!$K26</f>
        <v>0</v>
      </c>
      <c r="H16" s="28">
        <f>'Atividades Macro'!$L26</f>
        <v>0</v>
      </c>
      <c r="I16" s="28">
        <f>'Atividades Macro'!$M26</f>
        <v>13</v>
      </c>
      <c r="J16" s="31">
        <f t="shared" si="0"/>
        <v>0.8666666666666667</v>
      </c>
      <c r="K16" s="35">
        <f>IF('Atividades Macro'!$D26="","",'Atividades Macro'!$D26)</f>
        <v>46337</v>
      </c>
      <c r="L16" s="36" t="str">
        <f>IF('Atividades Macro'!$E26="","",'Atividades Macro'!$E26)</f>
        <v/>
      </c>
    </row>
    <row r="17" spans="1:12">
      <c r="A17" s="26" t="s">
        <v>45</v>
      </c>
      <c r="B17" s="29">
        <f>'Atividades Macro'!$F28</f>
        <v>2</v>
      </c>
      <c r="C17" s="29">
        <f>'Atividades Macro'!$G28</f>
        <v>2</v>
      </c>
      <c r="D17" s="29">
        <f>'Atividades Macro'!$H28</f>
        <v>1</v>
      </c>
      <c r="E17" s="29">
        <f>'Atividades Macro'!$I28</f>
        <v>2</v>
      </c>
      <c r="F17" s="29">
        <f>'Atividades Macro'!$J28</f>
        <v>0</v>
      </c>
      <c r="G17" s="29">
        <f>'Atividades Macro'!$K28</f>
        <v>0</v>
      </c>
      <c r="H17" s="29">
        <f>'Atividades Macro'!$L28</f>
        <v>2</v>
      </c>
      <c r="I17" s="29">
        <f>'Atividades Macro'!$M28</f>
        <v>0</v>
      </c>
      <c r="J17" s="32">
        <f t="shared" si="0"/>
        <v>0</v>
      </c>
      <c r="K17" s="37">
        <f>IF('Atividades Macro'!$D28="","",'Atividades Macro'!$D28)</f>
        <v>46288</v>
      </c>
      <c r="L17" s="38" t="str">
        <f>IF('Atividades Macro'!$E28="","",'Atividades Macro'!$E28)</f>
        <v/>
      </c>
    </row>
    <row r="18" spans="1:12" ht="14.4" thickBot="1">
      <c r="A18" s="39" t="s">
        <v>46</v>
      </c>
      <c r="B18" s="40">
        <f t="shared" ref="B18:I18" si="1">SUM(B5:B17)</f>
        <v>96</v>
      </c>
      <c r="C18" s="40">
        <f t="shared" si="1"/>
        <v>209</v>
      </c>
      <c r="D18" s="40">
        <f t="shared" si="1"/>
        <v>70</v>
      </c>
      <c r="E18" s="40">
        <f t="shared" si="1"/>
        <v>40</v>
      </c>
      <c r="F18" s="40">
        <f t="shared" si="1"/>
        <v>0</v>
      </c>
      <c r="G18" s="40">
        <f t="shared" si="1"/>
        <v>37</v>
      </c>
      <c r="H18" s="40">
        <f t="shared" si="1"/>
        <v>42</v>
      </c>
      <c r="I18" s="40">
        <f t="shared" si="1"/>
        <v>147</v>
      </c>
      <c r="J18" s="41">
        <f t="shared" si="0"/>
        <v>0.5</v>
      </c>
      <c r="K18" s="42">
        <f>IF(COUNT(K5:K17)=0,"",MIN(K5:K17))</f>
        <v>46248</v>
      </c>
      <c r="L18" s="42" t="str">
        <f>IF(COUNT(L5:L17)=0,"",MAX(L5:L17))</f>
        <v/>
      </c>
    </row>
  </sheetData>
  <mergeCells count="2">
    <mergeCell ref="A1:L1"/>
    <mergeCell ref="A2:L2"/>
  </mergeCells>
  <conditionalFormatting sqref="A5:L17">
    <cfRule type="expression" dxfId="11" priority="2">
      <formula>MOD(ROW(),2)=0</formula>
    </cfRule>
  </conditionalFormatting>
  <conditionalFormatting sqref="J5:J18">
    <cfRule type="dataBar" priority="1">
      <dataBar>
        <cfvo type="num" val="0"/>
        <cfvo type="num" val="1"/>
        <color rgb="FF3E9C5D"/>
      </dataBar>
    </cfRule>
    <cfRule type="dataBar" priority="3">
      <dataBar>
        <cfvo type="num" val="0"/>
        <cfvo type="num" val="1"/>
        <color rgb="FF3E9C5D"/>
      </dataBar>
    </cfRule>
    <cfRule type="dataBar" priority="4">
      <dataBar>
        <cfvo type="num" val="0"/>
        <cfvo type="num" val="1"/>
        <color rgb="FF3E9C5D"/>
      </dataBar>
    </cfRule>
    <cfRule type="dataBar" priority="5">
      <dataBar>
        <cfvo type="num" val="0"/>
        <cfvo type="num" val="1"/>
        <color rgb="FF3E9C5D"/>
      </dataBar>
    </cfRule>
    <cfRule type="dataBar" priority="6">
      <dataBar>
        <cfvo type="num" val="0"/>
        <cfvo type="num" val="1"/>
        <color rgb="FF3E9C5D"/>
      </dataBar>
    </cfRule>
    <cfRule type="dataBar" priority="7">
      <dataBar>
        <cfvo type="num" val="0"/>
        <cfvo type="num" val="1"/>
        <color rgb="FF3E9C5D"/>
      </dataBar>
    </cfRule>
    <cfRule type="dataBar" priority="8">
      <dataBar>
        <cfvo type="num" val="0"/>
        <cfvo type="num" val="1"/>
        <color rgb="FF3E9C5D"/>
      </dataBar>
    </cfRule>
    <cfRule type="dataBar" priority="9">
      <dataBar>
        <cfvo type="num" val="0"/>
        <cfvo type="num" val="1"/>
        <color rgb="FF3E9C5D"/>
      </dataBar>
      <extLst>
        <ext xmlns:x14="http://schemas.microsoft.com/office/spreadsheetml/2009/9/main" uri="{B025F937-C7B1-47D3-B67F-A62EFF666E3E}">
          <x14:id>{E67C6652-37F6-46F1-A1ED-0FE9F9988394}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7C6652-37F6-46F1-A1ED-0FE9F9988394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J5:J18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BFD3-531C-47C2-9FF0-92EF70F7004C}">
  <dimension ref="A1:O29"/>
  <sheetViews>
    <sheetView showGridLines="0" workbookViewId="0">
      <selection activeCell="O29" sqref="O29"/>
    </sheetView>
  </sheetViews>
  <sheetFormatPr defaultRowHeight="13.8"/>
  <cols>
    <col min="1" max="1" width="14" customWidth="1"/>
    <col min="2" max="2" width="43" customWidth="1"/>
    <col min="3" max="3" width="32" customWidth="1"/>
    <col min="4" max="5" width="15" customWidth="1"/>
    <col min="6" max="13" width="14" customWidth="1"/>
    <col min="14" max="14" width="20" customWidth="1"/>
    <col min="15" max="15" width="14" customWidth="1"/>
  </cols>
  <sheetData>
    <row r="1" spans="1:15" ht="37.950000000000003" customHeight="1">
      <c r="A1" s="6" t="s">
        <v>47</v>
      </c>
      <c r="B1" s="6" t="s">
        <v>10</v>
      </c>
      <c r="C1" s="6" t="s">
        <v>11</v>
      </c>
      <c r="D1" s="6" t="s">
        <v>12</v>
      </c>
      <c r="E1" s="6" t="s">
        <v>34</v>
      </c>
      <c r="F1" s="6" t="s">
        <v>13</v>
      </c>
      <c r="G1" s="6" t="s">
        <v>26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48</v>
      </c>
      <c r="O1" s="6" t="s">
        <v>14</v>
      </c>
    </row>
    <row r="2" spans="1:15" ht="30" hidden="1" customHeight="1">
      <c r="A2" s="11" t="s">
        <v>49</v>
      </c>
      <c r="B2" s="11" t="s">
        <v>50</v>
      </c>
      <c r="C2" s="11" t="s">
        <v>35</v>
      </c>
      <c r="D2" s="12">
        <v>46374</v>
      </c>
      <c r="E2" s="12" t="str">
        <f>IF(N2="Finalizado",IF(COUNT('Cálculos (apoio)'!$B$4:$B$502)=0,"",MAX('Cálculos (apoio)'!$B$4:$B$502)),"")</f>
        <v/>
      </c>
      <c r="F2" s="13">
        <f>COUNTIFS('Atividades Micro'!$A$2:$A$554,$C2,'Atividades Micro'!$G$2:$G$554,"Macro")</f>
        <v>12</v>
      </c>
      <c r="G2" s="13">
        <f>COUNTIFS('Atividades Micro'!$A$2:$A$554,$C2,'Atividades Micro'!$G$2:$G$554,"Micro",'Atividades Micro'!$J$2:$J$554,"&lt;&gt;Cancelado")</f>
        <v>0</v>
      </c>
      <c r="H2" s="13">
        <f>COUNTIFS('Atividades Micro'!$A$2:$A$554,$C2,'Atividades Micro'!$J$2:$J$554,H$1)</f>
        <v>7</v>
      </c>
      <c r="I2" s="13">
        <f>COUNTIFS('Atividades Micro'!$A$2:$A$554,$C2,'Atividades Micro'!$J$2:$J$554,I$1)</f>
        <v>0</v>
      </c>
      <c r="J2" s="13">
        <f>COUNTIFS('Atividades Micro'!$A$2:$A$554,$C2,'Atividades Micro'!$J$2:$J$554,J$1)</f>
        <v>0</v>
      </c>
      <c r="K2" s="13">
        <f>COUNTIFS('Atividades Micro'!$A$2:$A$554,$C2,'Atividades Micro'!$J$2:$J$554,K$1)</f>
        <v>0</v>
      </c>
      <c r="L2" s="13">
        <f>COUNTIFS('Atividades Micro'!$A$2:$A$554,$C2,'Atividades Micro'!$J$2:$J$554,L$1)</f>
        <v>0</v>
      </c>
      <c r="M2" s="13">
        <f>COUNTIFS('Atividades Micro'!$A$2:$A$554,$C2,'Atividades Micro'!$J$2:$J$554,M$1)</f>
        <v>5</v>
      </c>
      <c r="N2" s="11" t="str">
        <f t="shared" ref="N2:N9" si="0">IF(H2+I2+J2+K2+M2=0,IF(L2&gt;0,"Cancelado","Não iniciado"),IF(M2=H2+I2+J2+K2+M2,"Finalizado",IF(K2&gt;0,"Bloqueado",IF(J2&gt;0,"Testes QA",IF(OR(I2&gt;0,M2&gt;0),"Em andamento","Não iniciado")))))</f>
        <v>Em andamento</v>
      </c>
      <c r="O2" s="14">
        <f t="shared" ref="O2:O29" si="1">IF(H2+I2+J2+K2+M2&lt;=0,0,M2/(H2+I2+J2+K2+M2))</f>
        <v>0.41666666666666669</v>
      </c>
    </row>
    <row r="3" spans="1:15" ht="30" hidden="1" customHeight="1">
      <c r="A3" s="15" t="s">
        <v>51</v>
      </c>
      <c r="B3" s="15" t="s">
        <v>52</v>
      </c>
      <c r="C3" s="15" t="s">
        <v>36</v>
      </c>
      <c r="D3" s="16">
        <v>46346</v>
      </c>
      <c r="E3" s="16" t="str">
        <f>IF(N3="Finalizado",IF(COUNT('Cálculos (apoio)'!$D$4:$D$502)=0,"",MAX('Cálculos (apoio)'!$D$4:$D$502)),"")</f>
        <v/>
      </c>
      <c r="F3" s="17">
        <f>COUNTIFS('Atividades Micro'!$A$2:$A$554,$C3,'Atividades Micro'!$G$2:$G$554,"Macro")</f>
        <v>14</v>
      </c>
      <c r="G3" s="17">
        <f>COUNTIFS('Atividades Micro'!$A$2:$A$554,$C3,'Atividades Micro'!$G$2:$G$554,"Micro",'Atividades Micro'!$J$2:$J$554,"&lt;&gt;Cancelado")</f>
        <v>0</v>
      </c>
      <c r="H3" s="17">
        <f>COUNTIFS('Atividades Micro'!$A$2:$A$554,$C3,'Atividades Micro'!$J$2:$J$554,H$1)</f>
        <v>10</v>
      </c>
      <c r="I3" s="17">
        <f>COUNTIFS('Atividades Micro'!$A$2:$A$554,$C3,'Atividades Micro'!$J$2:$J$554,I$1)</f>
        <v>0</v>
      </c>
      <c r="J3" s="17">
        <f>COUNTIFS('Atividades Micro'!$A$2:$A$554,$C3,'Atividades Micro'!$J$2:$J$554,J$1)</f>
        <v>0</v>
      </c>
      <c r="K3" s="17">
        <f>COUNTIFS('Atividades Micro'!$A$2:$A$554,$C3,'Atividades Micro'!$J$2:$J$554,K$1)</f>
        <v>0</v>
      </c>
      <c r="L3" s="17">
        <f>COUNTIFS('Atividades Micro'!$A$2:$A$554,$C3,'Atividades Micro'!$J$2:$J$554,L$1)</f>
        <v>0</v>
      </c>
      <c r="M3" s="17">
        <f>COUNTIFS('Atividades Micro'!$A$2:$A$554,$C3,'Atividades Micro'!$J$2:$J$554,M$1)</f>
        <v>4</v>
      </c>
      <c r="N3" s="15" t="str">
        <f t="shared" si="0"/>
        <v>Em andamento</v>
      </c>
      <c r="O3" s="18">
        <f t="shared" si="1"/>
        <v>0.2857142857142857</v>
      </c>
    </row>
    <row r="4" spans="1:15" ht="30" hidden="1" customHeight="1">
      <c r="A4" s="15" t="s">
        <v>53</v>
      </c>
      <c r="B4" s="15" t="s">
        <v>54</v>
      </c>
      <c r="C4" s="15" t="s">
        <v>37</v>
      </c>
      <c r="D4" s="16">
        <v>46272</v>
      </c>
      <c r="E4" s="16" t="str">
        <f>IF(N4="Finalizado",IF(COUNT('Cálculos (apoio)'!$F$4:$F$502)=0,"",MAX('Cálculos (apoio)'!$F$4:$F$502)),"")</f>
        <v/>
      </c>
      <c r="F4" s="17">
        <f>COUNTIFS('Atividades Micro'!$A$2:$A$554,$C4,'Atividades Micro'!$G$2:$G$554,"Macro")</f>
        <v>9</v>
      </c>
      <c r="G4" s="17">
        <f>COUNTIFS('Atividades Micro'!$A$2:$A$554,$C4,'Atividades Micro'!$G$2:$G$554,"Micro",'Atividades Micro'!$J$2:$J$554,"&lt;&gt;Cancelado")</f>
        <v>0</v>
      </c>
      <c r="H4" s="17">
        <f>COUNTIFS('Atividades Micro'!$A$2:$A$554,$C4,'Atividades Micro'!$J$2:$J$554,H$1)</f>
        <v>1</v>
      </c>
      <c r="I4" s="17">
        <f>COUNTIFS('Atividades Micro'!$A$2:$A$554,$C4,'Atividades Micro'!$J$2:$J$554,I$1)</f>
        <v>4</v>
      </c>
      <c r="J4" s="17">
        <f>COUNTIFS('Atividades Micro'!$A$2:$A$554,$C4,'Atividades Micro'!$J$2:$J$554,J$1)</f>
        <v>0</v>
      </c>
      <c r="K4" s="17">
        <f>COUNTIFS('Atividades Micro'!$A$2:$A$554,$C4,'Atividades Micro'!$J$2:$J$554,K$1)</f>
        <v>0</v>
      </c>
      <c r="L4" s="17">
        <f>COUNTIFS('Atividades Micro'!$A$2:$A$554,$C4,'Atividades Micro'!$J$2:$J$554,L$1)</f>
        <v>1</v>
      </c>
      <c r="M4" s="17">
        <f>COUNTIFS('Atividades Micro'!$A$2:$A$554,$C4,'Atividades Micro'!$J$2:$J$554,M$1)</f>
        <v>3</v>
      </c>
      <c r="N4" s="15" t="str">
        <f t="shared" si="0"/>
        <v>Em andamento</v>
      </c>
      <c r="O4" s="18">
        <f t="shared" si="1"/>
        <v>0.375</v>
      </c>
    </row>
    <row r="5" spans="1:15" ht="30" hidden="1" customHeight="1">
      <c r="A5" s="15" t="s">
        <v>55</v>
      </c>
      <c r="B5" s="15" t="s">
        <v>56</v>
      </c>
      <c r="C5" s="15" t="s">
        <v>38</v>
      </c>
      <c r="D5" s="16">
        <v>46248</v>
      </c>
      <c r="E5" s="16" t="str">
        <f>IF(N5="Finalizado",IF(COUNT('Cálculos (apoio)'!$H$4:$H$502)=0,"",MAX('Cálculos (apoio)'!$H$4:$H$502)),"")</f>
        <v/>
      </c>
      <c r="F5" s="17">
        <f>COUNTIFS('Atividades Micro'!$A$2:$A$554,$C5,'Atividades Micro'!$G$2:$G$554,"Macro")</f>
        <v>2</v>
      </c>
      <c r="G5" s="17">
        <f>COUNTIFS('Atividades Micro'!$A$2:$A$554,$C5,'Atividades Micro'!$G$2:$G$554,"Micro",'Atividades Micro'!$J$2:$J$554,"&lt;&gt;Cancelado")</f>
        <v>0</v>
      </c>
      <c r="H5" s="17">
        <f>COUNTIFS('Atividades Micro'!$A$2:$A$554,$C5,'Atividades Micro'!$J$2:$J$554,H$1)</f>
        <v>0</v>
      </c>
      <c r="I5" s="17">
        <f>COUNTIFS('Atividades Micro'!$A$2:$A$554,$C5,'Atividades Micro'!$J$2:$J$554,I$1)</f>
        <v>1</v>
      </c>
      <c r="J5" s="17">
        <f>COUNTIFS('Atividades Micro'!$A$2:$A$554,$C5,'Atividades Micro'!$J$2:$J$554,J$1)</f>
        <v>0</v>
      </c>
      <c r="K5" s="17">
        <f>COUNTIFS('Atividades Micro'!$A$2:$A$554,$C5,'Atividades Micro'!$J$2:$J$554,K$1)</f>
        <v>0</v>
      </c>
      <c r="L5" s="17">
        <f>COUNTIFS('Atividades Micro'!$A$2:$A$554,$C5,'Atividades Micro'!$J$2:$J$554,L$1)</f>
        <v>0</v>
      </c>
      <c r="M5" s="17">
        <f>COUNTIFS('Atividades Micro'!$A$2:$A$554,$C5,'Atividades Micro'!$J$2:$J$554,M$1)</f>
        <v>1</v>
      </c>
      <c r="N5" s="15" t="str">
        <f t="shared" si="0"/>
        <v>Em andamento</v>
      </c>
      <c r="O5" s="18">
        <f t="shared" si="1"/>
        <v>0.5</v>
      </c>
    </row>
    <row r="6" spans="1:15" ht="30" hidden="1" customHeight="1">
      <c r="A6" s="15" t="s">
        <v>57</v>
      </c>
      <c r="B6" s="15" t="s">
        <v>58</v>
      </c>
      <c r="C6" s="15" t="s">
        <v>39</v>
      </c>
      <c r="D6" s="16">
        <v>46359</v>
      </c>
      <c r="E6" s="16" t="str">
        <f>IF(N6="Finalizado",IF(COUNT('Cálculos (apoio)'!$J$4:$J$502)=0,"",MAX('Cálculos (apoio)'!$J$4:$J$502)),"")</f>
        <v/>
      </c>
      <c r="F6" s="17">
        <f>COUNTIFS('Atividades Micro'!$A$2:$A$554,$C6,'Atividades Micro'!$G$2:$G$554,"Macro")</f>
        <v>7</v>
      </c>
      <c r="G6" s="17">
        <f>COUNTIFS('Atividades Micro'!$A$2:$A$554,$C6,'Atividades Micro'!$G$2:$G$554,"Micro",'Atividades Micro'!$J$2:$J$554,"&lt;&gt;Cancelado")</f>
        <v>73</v>
      </c>
      <c r="H6" s="17">
        <f>COUNTIFS('Atividades Micro'!$A$2:$A$554,$C6,'Atividades Micro'!$J$2:$J$554,H$1)</f>
        <v>21</v>
      </c>
      <c r="I6" s="17">
        <f>COUNTIFS('Atividades Micro'!$A$2:$A$554,$C6,'Atividades Micro'!$J$2:$J$554,I$1)</f>
        <v>7</v>
      </c>
      <c r="J6" s="17">
        <f>COUNTIFS('Atividades Micro'!$A$2:$A$554,$C6,'Atividades Micro'!$J$2:$J$554,J$1)</f>
        <v>0</v>
      </c>
      <c r="K6" s="17">
        <f>COUNTIFS('Atividades Micro'!$A$2:$A$554,$C6,'Atividades Micro'!$J$2:$J$554,K$1)</f>
        <v>0</v>
      </c>
      <c r="L6" s="17">
        <f>COUNTIFS('Atividades Micro'!$A$2:$A$554,$C6,'Atividades Micro'!$J$2:$J$554,L$1)</f>
        <v>15</v>
      </c>
      <c r="M6" s="17">
        <f>COUNTIFS('Atividades Micro'!$A$2:$A$554,$C6,'Atividades Micro'!$J$2:$J$554,M$1)</f>
        <v>51</v>
      </c>
      <c r="N6" s="15" t="str">
        <f t="shared" si="0"/>
        <v>Em andamento</v>
      </c>
      <c r="O6" s="18">
        <f t="shared" si="1"/>
        <v>0.64556962025316456</v>
      </c>
    </row>
    <row r="7" spans="1:15" ht="30" hidden="1" customHeight="1">
      <c r="A7" s="2" t="s">
        <v>57</v>
      </c>
      <c r="B7" s="2" t="s">
        <v>59</v>
      </c>
      <c r="C7" s="2" t="s">
        <v>39</v>
      </c>
      <c r="D7" s="4">
        <f>IF(COUNT('Cálculos (apoio)'!$K$4:$K$502)=0,"",MAX('Cálculos (apoio)'!$K$4:$K$502))</f>
        <v>46238</v>
      </c>
      <c r="E7" s="4" t="str">
        <f>IF(N7="Finalizado",IF(COUNT('Cálculos (apoio)'!$L$4:$L$502)=0,"",MAX('Cálculos (apoio)'!$L$4:$L$502)),"")</f>
        <v/>
      </c>
      <c r="F7" s="7">
        <f>COUNTIFS('Atividades Micro'!$B$2:$B$554,$B7,'Atividades Micro'!$G$2:$G$554,"Macro")</f>
        <v>3</v>
      </c>
      <c r="G7" s="7">
        <f>COUNTIFS('Atividades Micro'!$B$2:$B$554,$B7,'Atividades Micro'!$G$2:$G$554,"Micro",'Atividades Micro'!$J$2:$J$554,"&lt;&gt;Cancelado")</f>
        <v>6</v>
      </c>
      <c r="H7" s="7">
        <f>COUNTIFS('Atividades Micro'!$B$2:$B$554,$B7,'Atividades Micro'!$J$2:$J$554,H$1)</f>
        <v>1</v>
      </c>
      <c r="I7" s="7">
        <f>COUNTIFS('Atividades Micro'!$B$2:$B$554,$B7,'Atividades Micro'!$J$2:$J$554,I$1)</f>
        <v>0</v>
      </c>
      <c r="J7" s="7">
        <f>COUNTIFS('Atividades Micro'!$B$2:$B$554,$B7,'Atividades Micro'!$J$2:$J$554,J$1)</f>
        <v>0</v>
      </c>
      <c r="K7" s="7">
        <f>COUNTIFS('Atividades Micro'!$B$2:$B$554,$B7,'Atividades Micro'!$J$2:$J$554,K$1)</f>
        <v>0</v>
      </c>
      <c r="L7" s="7">
        <f>COUNTIFS('Atividades Micro'!$B$2:$B$554,$B7,'Atividades Micro'!$J$2:$J$554,L$1)</f>
        <v>3</v>
      </c>
      <c r="M7" s="7">
        <f>COUNTIFS('Atividades Micro'!$B$2:$B$554,$B7,'Atividades Micro'!$J$2:$J$554,M$1)</f>
        <v>7</v>
      </c>
      <c r="N7" s="2" t="str">
        <f t="shared" si="0"/>
        <v>Em andamento</v>
      </c>
      <c r="O7" s="9">
        <f t="shared" si="1"/>
        <v>0.875</v>
      </c>
    </row>
    <row r="8" spans="1:15" ht="30" hidden="1" customHeight="1">
      <c r="A8" s="2" t="s">
        <v>57</v>
      </c>
      <c r="B8" s="2" t="s">
        <v>60</v>
      </c>
      <c r="C8" s="2" t="s">
        <v>39</v>
      </c>
      <c r="D8" s="4">
        <f>IF(COUNT('Cálculos (apoio)'!$M$4:$M$502)=0,"",MAX('Cálculos (apoio)'!$M$4:$M$502))</f>
        <v>46374</v>
      </c>
      <c r="E8" s="4" t="str">
        <f>IF(N8="Finalizado",IF(COUNT('Cálculos (apoio)'!$N$4:$N$502)=0,"",MAX('Cálculos (apoio)'!$N$4:$N$502)),"")</f>
        <v/>
      </c>
      <c r="F8" s="7">
        <f>COUNTIFS('Atividades Micro'!$B$2:$B$554,$B8,'Atividades Micro'!$G$2:$G$554,"Macro")</f>
        <v>4</v>
      </c>
      <c r="G8" s="7">
        <f>COUNTIFS('Atividades Micro'!$B$2:$B$554,$B8,'Atividades Micro'!$G$2:$G$554,"Micro",'Atividades Micro'!$J$2:$J$554,"&lt;&gt;Cancelado")</f>
        <v>69</v>
      </c>
      <c r="H8" s="7">
        <f>COUNTIFS('Atividades Micro'!$B$2:$B$554,$B8,'Atividades Micro'!$J$2:$J$554,H$1)</f>
        <v>22</v>
      </c>
      <c r="I8" s="7">
        <f>COUNTIFS('Atividades Micro'!$B$2:$B$554,$B8,'Atividades Micro'!$J$2:$J$554,I$1)</f>
        <v>7</v>
      </c>
      <c r="J8" s="7">
        <f>COUNTIFS('Atividades Micro'!$B$2:$B$554,$B8,'Atividades Micro'!$J$2:$J$554,J$1)</f>
        <v>0</v>
      </c>
      <c r="K8" s="7">
        <f>COUNTIFS('Atividades Micro'!$B$2:$B$554,$B8,'Atividades Micro'!$J$2:$J$554,K$1)</f>
        <v>0</v>
      </c>
      <c r="L8" s="7">
        <f>COUNTIFS('Atividades Micro'!$B$2:$B$554,$B8,'Atividades Micro'!$J$2:$J$554,L$1)</f>
        <v>12</v>
      </c>
      <c r="M8" s="7">
        <f>COUNTIFS('Atividades Micro'!$B$2:$B$554,$B8,'Atividades Micro'!$J$2:$J$554,M$1)</f>
        <v>44</v>
      </c>
      <c r="N8" s="2" t="str">
        <f t="shared" si="0"/>
        <v>Em andamento</v>
      </c>
      <c r="O8" s="9">
        <f t="shared" si="1"/>
        <v>0.60273972602739723</v>
      </c>
    </row>
    <row r="9" spans="1:15" ht="30" hidden="1" customHeight="1">
      <c r="A9" s="15" t="s">
        <v>61</v>
      </c>
      <c r="B9" s="15" t="s">
        <v>62</v>
      </c>
      <c r="C9" s="15" t="s">
        <v>40</v>
      </c>
      <c r="D9" s="16"/>
      <c r="E9" s="16" t="str">
        <f>IF(N9="Finalizado",IF(COUNT('Cálculos (apoio)'!$P$4:$P$502)=0,"",MAX('Cálculos (apoio)'!$P$4:$P$502)),"")</f>
        <v/>
      </c>
      <c r="F9" s="17">
        <f>COUNTIFS('Atividades Micro'!$A$2:$A$554,$C9,'Atividades Micro'!$G$2:$G$554,"Macro")</f>
        <v>2</v>
      </c>
      <c r="G9" s="17">
        <f>COUNTIFS('Atividades Micro'!$A$2:$A$554,$C9,'Atividades Micro'!$G$2:$G$554,"Micro",'Atividades Micro'!$J$2:$J$554,"&lt;&gt;Cancelado")</f>
        <v>3</v>
      </c>
      <c r="H9" s="17">
        <f>COUNTIFS('Atividades Micro'!$A$2:$A$554,$C9,'Atividades Micro'!$J$2:$J$554,H$1)</f>
        <v>1</v>
      </c>
      <c r="I9" s="17">
        <f>COUNTIFS('Atividades Micro'!$A$2:$A$554,$C9,'Atividades Micro'!$J$2:$J$554,I$1)</f>
        <v>3</v>
      </c>
      <c r="J9" s="17">
        <f>COUNTIFS('Atividades Micro'!$A$2:$A$554,$C9,'Atividades Micro'!$J$2:$J$554,J$1)</f>
        <v>0</v>
      </c>
      <c r="K9" s="17">
        <f>COUNTIFS('Atividades Micro'!$A$2:$A$554,$C9,'Atividades Micro'!$J$2:$J$554,K$1)</f>
        <v>0</v>
      </c>
      <c r="L9" s="17">
        <f>COUNTIFS('Atividades Micro'!$A$2:$A$554,$C9,'Atividades Micro'!$J$2:$J$554,L$1)</f>
        <v>6</v>
      </c>
      <c r="M9" s="17">
        <f>COUNTIFS('Atividades Micro'!$A$2:$A$554,$C9,'Atividades Micro'!$J$2:$J$554,M$1)</f>
        <v>0</v>
      </c>
      <c r="N9" s="15" t="str">
        <f t="shared" si="0"/>
        <v>Em andamento</v>
      </c>
      <c r="O9" s="18">
        <f t="shared" si="1"/>
        <v>0</v>
      </c>
    </row>
    <row r="10" spans="1:15" ht="30" hidden="1" customHeight="1">
      <c r="A10" s="2" t="s">
        <v>61</v>
      </c>
      <c r="B10" s="2" t="s">
        <v>406</v>
      </c>
      <c r="C10" s="2" t="s">
        <v>40</v>
      </c>
      <c r="D10" s="2"/>
      <c r="E10" s="2"/>
      <c r="F10" s="2">
        <f>COUNTIFS('Atividades Micro'!$B$2:$B$554,$B11,'Atividades Micro'!$G$2:$G$554,"Macro")</f>
        <v>1</v>
      </c>
      <c r="G10" s="2"/>
      <c r="H10" s="2"/>
      <c r="I10" s="2"/>
      <c r="J10" s="2"/>
      <c r="K10" s="2"/>
      <c r="L10" s="2"/>
      <c r="M10" s="2"/>
      <c r="N10" s="2"/>
      <c r="O10" s="2">
        <f t="shared" si="1"/>
        <v>0</v>
      </c>
    </row>
    <row r="11" spans="1:15" ht="30" hidden="1" customHeight="1">
      <c r="A11" s="2" t="s">
        <v>61</v>
      </c>
      <c r="B11" s="2" t="s">
        <v>63</v>
      </c>
      <c r="C11" s="2" t="s">
        <v>40</v>
      </c>
      <c r="D11" s="4">
        <f>IF(COUNT('Cálculos (apoio)'!$Q$4:$Q$502)=0,"",MAX('Cálculos (apoio)'!$Q$4:$Q$502))</f>
        <v>46379</v>
      </c>
      <c r="E11" s="4" t="str">
        <f>IF(N11="Finalizado",IF(COUNT('Cálculos (apoio)'!$R$4:$R$502)=0,"",MAX('Cálculos (apoio)'!$R$4:$R$502)),"")</f>
        <v/>
      </c>
      <c r="F11" s="7">
        <f>COUNTIFS('Atividades Micro'!$B$2:$B$554,$B11,'Atividades Micro'!$G$2:$G$554,"Macro")</f>
        <v>1</v>
      </c>
      <c r="G11" s="7">
        <f>COUNTIFS('Atividades Micro'!$B$2:$B$554,$B11,'Atividades Micro'!$G$2:$G$554,"Micro",'Atividades Micro'!$J$2:$J$554,"&lt;&gt;Cancelado")</f>
        <v>3</v>
      </c>
      <c r="H11" s="7">
        <f>COUNTIFS('Atividades Micro'!$B$2:$B$554,$B11,'Atividades Micro'!$J$2:$J$554,H$1)</f>
        <v>1</v>
      </c>
      <c r="I11" s="7">
        <f>COUNTIFS('Atividades Micro'!$B$2:$B$554,$B11,'Atividades Micro'!$J$2:$J$554,I$1)</f>
        <v>3</v>
      </c>
      <c r="J11" s="7">
        <f>COUNTIFS('Atividades Micro'!$B$2:$B$554,$B11,'Atividades Micro'!$J$2:$J$554,J$1)</f>
        <v>0</v>
      </c>
      <c r="K11" s="7">
        <f>COUNTIFS('Atividades Micro'!$B$2:$B$554,$B11,'Atividades Micro'!$J$2:$J$554,K$1)</f>
        <v>0</v>
      </c>
      <c r="L11" s="7">
        <f>COUNTIFS('Atividades Micro'!$B$2:$B$554,$B11,'Atividades Micro'!$J$2:$J$554,L$1)</f>
        <v>4</v>
      </c>
      <c r="M11" s="7">
        <f>COUNTIFS('Atividades Micro'!$B$2:$B$554,$B11,'Atividades Micro'!$J$2:$J$554,M$1)</f>
        <v>0</v>
      </c>
      <c r="N11" s="2" t="str">
        <f t="shared" ref="N11:N29" si="2">IF(H11+I11+J11+K11+M11=0,IF(L11&gt;0,"Cancelado","Não iniciado"),IF(M11=H11+I11+J11+K11+M11,"Finalizado",IF(K11&gt;0,"Bloqueado",IF(J11&gt;0,"Testes QA",IF(OR(I11&gt;0,M11&gt;0),"Em andamento","Não iniciado")))))</f>
        <v>Em andamento</v>
      </c>
      <c r="O11" s="9">
        <f t="shared" si="1"/>
        <v>0</v>
      </c>
    </row>
    <row r="12" spans="1:15" ht="30" hidden="1" customHeight="1">
      <c r="A12" s="15" t="s">
        <v>64</v>
      </c>
      <c r="B12" s="15" t="s">
        <v>65</v>
      </c>
      <c r="C12" s="15" t="s">
        <v>41</v>
      </c>
      <c r="D12" s="16">
        <v>46374</v>
      </c>
      <c r="E12" s="16" t="str">
        <f>IF(N12="Finalizado",IF(COUNT('Cálculos (apoio)'!$T$4:$T$502)=0,"",MAX('Cálculos (apoio)'!$T$4:$T$502)),"")</f>
        <v/>
      </c>
      <c r="F12" s="17">
        <f>COUNTIFS('Atividades Micro'!$A$2:$A$554,$C12,'Atividades Micro'!$G$2:$G$554,"Macro")</f>
        <v>18</v>
      </c>
      <c r="G12" s="17">
        <f>COUNTIFS('Atividades Micro'!$A$2:$A$554,$C12,'Atividades Micro'!$G$2:$G$554,"Micro",'Atividades Micro'!$J$2:$J$554,"&lt;&gt;Cancelado")</f>
        <v>30</v>
      </c>
      <c r="H12" s="17">
        <f>COUNTIFS('Atividades Micro'!$A$2:$A$554,$C12,'Atividades Micro'!$J$2:$J$554,H$1)</f>
        <v>1</v>
      </c>
      <c r="I12" s="17">
        <f>COUNTIFS('Atividades Micro'!$A$2:$A$554,$C12,'Atividades Micro'!$J$2:$J$554,I$1)</f>
        <v>3</v>
      </c>
      <c r="J12" s="17">
        <f>COUNTIFS('Atividades Micro'!$A$2:$A$554,$C12,'Atividades Micro'!$J$2:$J$554,J$1)</f>
        <v>0</v>
      </c>
      <c r="K12" s="17">
        <f>COUNTIFS('Atividades Micro'!$A$2:$A$554,$C12,'Atividades Micro'!$J$2:$J$554,K$1)</f>
        <v>37</v>
      </c>
      <c r="L12" s="17">
        <f>COUNTIFS('Atividades Micro'!$A$2:$A$554,$C12,'Atividades Micro'!$J$2:$J$554,L$1)</f>
        <v>3</v>
      </c>
      <c r="M12" s="17">
        <f>COUNTIFS('Atividades Micro'!$A$2:$A$554,$C12,'Atividades Micro'!$J$2:$J$554,M$1)</f>
        <v>4</v>
      </c>
      <c r="N12" s="15" t="str">
        <f t="shared" si="2"/>
        <v>Bloqueado</v>
      </c>
      <c r="O12" s="18">
        <f t="shared" si="1"/>
        <v>8.8888888888888892E-2</v>
      </c>
    </row>
    <row r="13" spans="1:15" ht="30" hidden="1" customHeight="1">
      <c r="A13" s="2" t="s">
        <v>64</v>
      </c>
      <c r="B13" s="2" t="s">
        <v>66</v>
      </c>
      <c r="C13" s="2" t="s">
        <v>41</v>
      </c>
      <c r="D13" s="4">
        <f>IF(COUNT('Cálculos (apoio)'!$U$4:$U$502)=0,"",MAX('Cálculos (apoio)'!$U$4:$U$502))</f>
        <v>46339</v>
      </c>
      <c r="E13" s="4" t="str">
        <f>IF(N13="Finalizado",IF(COUNT('Cálculos (apoio)'!$V$4:$V$502)=0,"",MAX('Cálculos (apoio)'!$V$4:$V$502)),"")</f>
        <v/>
      </c>
      <c r="F13" s="7">
        <f>COUNTIFS('Atividades Micro'!$B$2:$B$554,$B13,'Atividades Micro'!$G$2:$G$554,"Macro")</f>
        <v>15</v>
      </c>
      <c r="G13" s="7">
        <f>COUNTIFS('Atividades Micro'!$B$2:$B$554,$B13,'Atividades Micro'!$G$2:$G$554,"Micro",'Atividades Micro'!$J$2:$J$554,"&lt;&gt;Cancelado")</f>
        <v>30</v>
      </c>
      <c r="H13" s="7">
        <f>COUNTIFS('Atividades Micro'!$B$2:$B$554,$B13,'Atividades Micro'!$J$2:$J$554,H$1)</f>
        <v>1</v>
      </c>
      <c r="I13" s="7">
        <f>COUNTIFS('Atividades Micro'!$B$2:$B$554,$B13,'Atividades Micro'!$J$2:$J$554,I$1)</f>
        <v>3</v>
      </c>
      <c r="J13" s="7">
        <f>COUNTIFS('Atividades Micro'!$B$2:$B$554,$B13,'Atividades Micro'!$J$2:$J$554,J$1)</f>
        <v>0</v>
      </c>
      <c r="K13" s="7">
        <f>COUNTIFS('Atividades Micro'!$B$2:$B$554,$B13,'Atividades Micro'!$J$2:$J$554,K$1)</f>
        <v>37</v>
      </c>
      <c r="L13" s="7">
        <f>COUNTIFS('Atividades Micro'!$B$2:$B$554,$B13,'Atividades Micro'!$J$2:$J$554,L$1)</f>
        <v>0</v>
      </c>
      <c r="M13" s="7">
        <f>COUNTIFS('Atividades Micro'!$B$2:$B$554,$B13,'Atividades Micro'!$J$2:$J$554,M$1)</f>
        <v>4</v>
      </c>
      <c r="N13" s="2" t="str">
        <f t="shared" si="2"/>
        <v>Bloqueado</v>
      </c>
      <c r="O13" s="9">
        <f t="shared" si="1"/>
        <v>8.8888888888888892E-2</v>
      </c>
    </row>
    <row r="14" spans="1:15" ht="30" hidden="1" customHeight="1">
      <c r="A14" s="2" t="s">
        <v>64</v>
      </c>
      <c r="B14" s="2" t="s">
        <v>67</v>
      </c>
      <c r="C14" s="2" t="s">
        <v>41</v>
      </c>
      <c r="D14" s="4" t="str">
        <f>IF(COUNT('Cálculos (apoio)'!$W$4:$W$502)=0,"",MAX('Cálculos (apoio)'!$W$4:$W$502))</f>
        <v/>
      </c>
      <c r="E14" s="4" t="str">
        <f>IF(N14="Finalizado",IF(COUNT('Cálculos (apoio)'!$X$4:$X$502)=0,"",MAX('Cálculos (apoio)'!$X$4:$X$502)),"")</f>
        <v/>
      </c>
      <c r="F14" s="7">
        <f>COUNTIFS('Atividades Micro'!$B$2:$B$554,$B14,'Atividades Micro'!$G$2:$G$554,"Macro")</f>
        <v>3</v>
      </c>
      <c r="G14" s="7">
        <f>COUNTIFS('Atividades Micro'!$B$2:$B$554,$B14,'Atividades Micro'!$G$2:$G$554,"Micro",'Atividades Micro'!$J$2:$J$554,"&lt;&gt;Cancelado")</f>
        <v>0</v>
      </c>
      <c r="H14" s="7">
        <f>COUNTIFS('Atividades Micro'!$B$2:$B$554,$B14,'Atividades Micro'!$J$2:$J$554,H$1)</f>
        <v>0</v>
      </c>
      <c r="I14" s="7">
        <f>COUNTIFS('Atividades Micro'!$B$2:$B$554,$B14,'Atividades Micro'!$J$2:$J$554,I$1)</f>
        <v>0</v>
      </c>
      <c r="J14" s="7">
        <f>COUNTIFS('Atividades Micro'!$B$2:$B$554,$B14,'Atividades Micro'!$J$2:$J$554,J$1)</f>
        <v>0</v>
      </c>
      <c r="K14" s="7">
        <f>COUNTIFS('Atividades Micro'!$B$2:$B$554,$B14,'Atividades Micro'!$J$2:$J$554,K$1)</f>
        <v>0</v>
      </c>
      <c r="L14" s="7">
        <f>COUNTIFS('Atividades Micro'!$B$2:$B$554,$B14,'Atividades Micro'!$J$2:$J$554,L$1)</f>
        <v>3</v>
      </c>
      <c r="M14" s="7">
        <f>COUNTIFS('Atividades Micro'!$B$2:$B$554,$B14,'Atividades Micro'!$J$2:$J$554,M$1)</f>
        <v>0</v>
      </c>
      <c r="N14" s="2" t="str">
        <f t="shared" si="2"/>
        <v>Cancelado</v>
      </c>
      <c r="O14" s="9">
        <f t="shared" si="1"/>
        <v>0</v>
      </c>
    </row>
    <row r="15" spans="1:15" ht="30" hidden="1" customHeight="1">
      <c r="A15" s="15" t="s">
        <v>68</v>
      </c>
      <c r="B15" s="15" t="s">
        <v>69</v>
      </c>
      <c r="C15" s="15" t="s">
        <v>42</v>
      </c>
      <c r="D15" s="16">
        <v>46290</v>
      </c>
      <c r="E15" s="16" t="str">
        <f>IF(N15="Finalizado",IF(COUNT('Cálculos (apoio)'!$Z$4:$Z$502)=0,"",MAX('Cálculos (apoio)'!$Z$4:$Z$502)),"")</f>
        <v/>
      </c>
      <c r="F15" s="17">
        <f>COUNTIFS('Atividades Micro'!$A$2:$A$554,$C15,'Atividades Micro'!$G$2:$G$554,"Macro")</f>
        <v>6</v>
      </c>
      <c r="G15" s="17">
        <f>COUNTIFS('Atividades Micro'!$A$2:$A$554,$C15,'Atividades Micro'!$G$2:$G$554,"Micro",'Atividades Micro'!$J$2:$J$554,"&lt;&gt;Cancelado")</f>
        <v>18</v>
      </c>
      <c r="H15" s="17">
        <f>COUNTIFS('Atividades Micro'!$A$2:$A$554,$C15,'Atividades Micro'!$J$2:$J$554,H$1)</f>
        <v>6</v>
      </c>
      <c r="I15" s="17">
        <f>COUNTIFS('Atividades Micro'!$A$2:$A$554,$C15,'Atividades Micro'!$J$2:$J$554,I$1)</f>
        <v>7</v>
      </c>
      <c r="J15" s="17">
        <f>COUNTIFS('Atividades Micro'!$A$2:$A$554,$C15,'Atividades Micro'!$J$2:$J$554,J$1)</f>
        <v>0</v>
      </c>
      <c r="K15" s="17">
        <f>COUNTIFS('Atividades Micro'!$A$2:$A$554,$C15,'Atividades Micro'!$J$2:$J$554,K$1)</f>
        <v>0</v>
      </c>
      <c r="L15" s="17">
        <f>COUNTIFS('Atividades Micro'!$A$2:$A$554,$C15,'Atividades Micro'!$J$2:$J$554,L$1)</f>
        <v>3</v>
      </c>
      <c r="M15" s="17">
        <f>COUNTIFS('Atividades Micro'!$A$2:$A$554,$C15,'Atividades Micro'!$J$2:$J$554,M$1)</f>
        <v>11</v>
      </c>
      <c r="N15" s="15" t="str">
        <f t="shared" si="2"/>
        <v>Em andamento</v>
      </c>
      <c r="O15" s="18">
        <f t="shared" si="1"/>
        <v>0.45833333333333331</v>
      </c>
    </row>
    <row r="16" spans="1:15" ht="30" hidden="1" customHeight="1">
      <c r="A16" s="2" t="s">
        <v>68</v>
      </c>
      <c r="B16" s="2" t="s">
        <v>70</v>
      </c>
      <c r="C16" s="2" t="s">
        <v>42</v>
      </c>
      <c r="D16" s="4">
        <f>IF(COUNT('Cálculos (apoio)'!$AA$4:$AA$502)=0,"",MAX('Cálculos (apoio)'!$AA$4:$AA$502))</f>
        <v>46276</v>
      </c>
      <c r="E16" s="4">
        <f>IF(N16="Finalizado",IF(COUNT('Cálculos (apoio)'!$AB$4:$AB$502)=0,"",MAX('Cálculos (apoio)'!$AB$4:$AB$502)),"")</f>
        <v>46269</v>
      </c>
      <c r="F16" s="7">
        <f>COUNTIFS('Atividades Micro'!$B$2:$B$554,$B16,'Atividades Micro'!$G$2:$G$554,"Macro")</f>
        <v>2</v>
      </c>
      <c r="G16" s="7">
        <f>COUNTIFS('Atividades Micro'!$B$2:$B$554,$B16,'Atividades Micro'!$G$2:$G$554,"Micro",'Atividades Micro'!$J$2:$J$554,"&lt;&gt;Cancelado")</f>
        <v>4</v>
      </c>
      <c r="H16" s="7">
        <f>COUNTIFS('Atividades Micro'!$B$2:$B$554,$B16,'Atividades Micro'!$J$2:$J$554,H$1)</f>
        <v>0</v>
      </c>
      <c r="I16" s="7">
        <f>COUNTIFS('Atividades Micro'!$B$2:$B$554,$B16,'Atividades Micro'!$J$2:$J$554,I$1)</f>
        <v>0</v>
      </c>
      <c r="J16" s="7">
        <f>COUNTIFS('Atividades Micro'!$B$2:$B$554,$B16,'Atividades Micro'!$J$2:$J$554,J$1)</f>
        <v>0</v>
      </c>
      <c r="K16" s="7">
        <f>COUNTIFS('Atividades Micro'!$B$2:$B$554,$B16,'Atividades Micro'!$J$2:$J$554,K$1)</f>
        <v>0</v>
      </c>
      <c r="L16" s="7">
        <f>COUNTIFS('Atividades Micro'!$B$2:$B$554,$B16,'Atividades Micro'!$J$2:$J$554,L$1)</f>
        <v>0</v>
      </c>
      <c r="M16" s="7">
        <f>COUNTIFS('Atividades Micro'!$B$2:$B$554,$B16,'Atividades Micro'!$J$2:$J$554,M$1)</f>
        <v>6</v>
      </c>
      <c r="N16" s="2" t="str">
        <f t="shared" si="2"/>
        <v>Finalizado</v>
      </c>
      <c r="O16" s="9">
        <f t="shared" si="1"/>
        <v>1</v>
      </c>
    </row>
    <row r="17" spans="1:15" ht="30" hidden="1" customHeight="1">
      <c r="A17" s="2" t="s">
        <v>68</v>
      </c>
      <c r="B17" s="2" t="s">
        <v>71</v>
      </c>
      <c r="C17" s="2" t="s">
        <v>42</v>
      </c>
      <c r="D17" s="4">
        <f>IF(COUNT('Cálculos (apoio)'!$AC$4:$AC$502)=0,"",MAX('Cálculos (apoio)'!$AC$4:$AC$502))</f>
        <v>46374</v>
      </c>
      <c r="E17" s="4" t="str">
        <f>IF(N17="Finalizado",IF(COUNT('Cálculos (apoio)'!$AD$4:$AD$502)=0,"",MAX('Cálculos (apoio)'!$AD$4:$AD$502)),"")</f>
        <v/>
      </c>
      <c r="F17" s="7">
        <f>COUNTIFS('Atividades Micro'!$B$2:$B$554,$B17,'Atividades Micro'!$G$2:$G$554,"Macro")</f>
        <v>4</v>
      </c>
      <c r="G17" s="7">
        <f>COUNTIFS('Atividades Micro'!$B$2:$B$554,$B17,'Atividades Micro'!$G$2:$G$554,"Micro",'Atividades Micro'!$J$2:$J$554,"&lt;&gt;Cancelado")</f>
        <v>14</v>
      </c>
      <c r="H17" s="7">
        <f>COUNTIFS('Atividades Micro'!$B$2:$B$554,$B17,'Atividades Micro'!$J$2:$J$554,H$1)</f>
        <v>6</v>
      </c>
      <c r="I17" s="7">
        <f>COUNTIFS('Atividades Micro'!$B$2:$B$554,$B17,'Atividades Micro'!$J$2:$J$554,I$1)</f>
        <v>7</v>
      </c>
      <c r="J17" s="7">
        <f>COUNTIFS('Atividades Micro'!$B$2:$B$554,$B17,'Atividades Micro'!$J$2:$J$554,J$1)</f>
        <v>0</v>
      </c>
      <c r="K17" s="7">
        <f>COUNTIFS('Atividades Micro'!$B$2:$B$554,$B17,'Atividades Micro'!$J$2:$J$554,K$1)</f>
        <v>0</v>
      </c>
      <c r="L17" s="7">
        <f>COUNTIFS('Atividades Micro'!$B$2:$B$554,$B17,'Atividades Micro'!$J$2:$J$554,L$1)</f>
        <v>3</v>
      </c>
      <c r="M17" s="7">
        <f>COUNTIFS('Atividades Micro'!$B$2:$B$554,$B17,'Atividades Micro'!$J$2:$J$554,M$1)</f>
        <v>5</v>
      </c>
      <c r="N17" s="2" t="str">
        <f t="shared" si="2"/>
        <v>Em andamento</v>
      </c>
      <c r="O17" s="9">
        <f t="shared" si="1"/>
        <v>0.27777777777777779</v>
      </c>
    </row>
    <row r="18" spans="1:15" ht="30" hidden="1" customHeight="1">
      <c r="A18" s="15" t="s">
        <v>72</v>
      </c>
      <c r="B18" s="15" t="s">
        <v>73</v>
      </c>
      <c r="C18" s="15" t="s">
        <v>43</v>
      </c>
      <c r="D18" s="16">
        <v>46374</v>
      </c>
      <c r="E18" s="16" t="str">
        <f>IF(N18="Finalizado",IF(COUNT('Cálculos (apoio)'!$AF$4:$AF$502)=0,"",MAX('Cálculos (apoio)'!$AF$4:$AF$502)),"")</f>
        <v/>
      </c>
      <c r="F18" s="17">
        <f>COUNTIFS('Atividades Micro'!$A$2:$A$554,$C18,'Atividades Micro'!$G$2:$G$554,"Macro")</f>
        <v>18</v>
      </c>
      <c r="G18" s="17">
        <f>COUNTIFS('Atividades Micro'!$A$2:$A$554,$C18,'Atividades Micro'!$G$2:$G$554,"Micro",'Atividades Micro'!$J$2:$J$554,"&lt;&gt;Cancelado")</f>
        <v>46</v>
      </c>
      <c r="H18" s="17">
        <f>COUNTIFS('Atividades Micro'!$A$2:$A$554,$C18,'Atividades Micro'!$J$2:$J$554,H$1)</f>
        <v>14</v>
      </c>
      <c r="I18" s="17">
        <f>COUNTIFS('Atividades Micro'!$A$2:$A$554,$C18,'Atividades Micro'!$J$2:$J$554,I$1)</f>
        <v>7</v>
      </c>
      <c r="J18" s="17">
        <f>COUNTIFS('Atividades Micro'!$A$2:$A$554,$C18,'Atividades Micro'!$J$2:$J$554,J$1)</f>
        <v>0</v>
      </c>
      <c r="K18" s="17">
        <f>COUNTIFS('Atividades Micro'!$A$2:$A$554,$C18,'Atividades Micro'!$J$2:$J$554,K$1)</f>
        <v>0</v>
      </c>
      <c r="L18" s="17">
        <f>COUNTIFS('Atividades Micro'!$A$2:$A$554,$C18,'Atividades Micro'!$J$2:$J$554,L$1)</f>
        <v>7</v>
      </c>
      <c r="M18" s="17">
        <f>COUNTIFS('Atividades Micro'!$A$2:$A$554,$C18,'Atividades Micro'!$J$2:$J$554,M$1)</f>
        <v>39</v>
      </c>
      <c r="N18" s="15" t="str">
        <f t="shared" si="2"/>
        <v>Em andamento</v>
      </c>
      <c r="O18" s="18">
        <f t="shared" si="1"/>
        <v>0.65</v>
      </c>
    </row>
    <row r="19" spans="1:15" ht="30" hidden="1" customHeight="1">
      <c r="A19" s="2" t="s">
        <v>72</v>
      </c>
      <c r="B19" s="2" t="s">
        <v>74</v>
      </c>
      <c r="C19" s="2" t="s">
        <v>43</v>
      </c>
      <c r="D19" s="4">
        <f>IF(COUNT('Cálculos (apoio)'!$AG$4:$AG$502)=0,"",MAX('Cálculos (apoio)'!$AG$4:$AG$502))</f>
        <v>46385</v>
      </c>
      <c r="E19" s="4" t="str">
        <f>IF(N19="Finalizado",IF(COUNT('Cálculos (apoio)'!$AH$4:$AH$502)=0,"",MAX('Cálculos (apoio)'!$AH$4:$AH$502)),"")</f>
        <v/>
      </c>
      <c r="F19" s="7">
        <f>COUNTIFS('Atividades Micro'!$B$2:$B$554,$B19,'Atividades Micro'!$G$2:$G$554,"Macro")</f>
        <v>14</v>
      </c>
      <c r="G19" s="7">
        <f>COUNTIFS('Atividades Micro'!$B$2:$B$554,$B19,'Atividades Micro'!$G$2:$G$554,"Micro",'Atividades Micro'!$J$2:$J$554,"&lt;&gt;Cancelado")</f>
        <v>41</v>
      </c>
      <c r="H19" s="7">
        <f>COUNTIFS('Atividades Micro'!$B$2:$B$554,$B19,'Atividades Micro'!$J$2:$J$554,H$1)</f>
        <v>11</v>
      </c>
      <c r="I19" s="7">
        <f>COUNTIFS('Atividades Micro'!$B$2:$B$554,$B19,'Atividades Micro'!$J$2:$J$554,I$1)</f>
        <v>6</v>
      </c>
      <c r="J19" s="7">
        <f>COUNTIFS('Atividades Micro'!$B$2:$B$554,$B19,'Atividades Micro'!$J$2:$J$554,J$1)</f>
        <v>0</v>
      </c>
      <c r="K19" s="7">
        <f>COUNTIFS('Atividades Micro'!$B$2:$B$554,$B19,'Atividades Micro'!$J$2:$J$554,K$1)</f>
        <v>0</v>
      </c>
      <c r="L19" s="7">
        <f>COUNTIFS('Atividades Micro'!$B$2:$B$554,$B19,'Atividades Micro'!$J$2:$J$554,L$1)</f>
        <v>1</v>
      </c>
      <c r="M19" s="7">
        <f>COUNTIFS('Atividades Micro'!$B$2:$B$554,$B19,'Atividades Micro'!$J$2:$J$554,M$1)</f>
        <v>37</v>
      </c>
      <c r="N19" s="2" t="str">
        <f t="shared" si="2"/>
        <v>Em andamento</v>
      </c>
      <c r="O19" s="9">
        <f t="shared" si="1"/>
        <v>0.68518518518518523</v>
      </c>
    </row>
    <row r="20" spans="1:15" ht="30" hidden="1" customHeight="1">
      <c r="A20" s="2" t="s">
        <v>72</v>
      </c>
      <c r="B20" s="2" t="s">
        <v>75</v>
      </c>
      <c r="C20" s="2" t="s">
        <v>43</v>
      </c>
      <c r="D20" s="4">
        <f>IF(COUNT('Cálculos (apoio)'!$AI$4:$AI$502)=0,"",MAX('Cálculos (apoio)'!$AI$4:$AI$502))</f>
        <v>46279</v>
      </c>
      <c r="E20" s="4" t="str">
        <f>IF(N20="Finalizado",IF(COUNT('Cálculos (apoio)'!$AJ$4:$AJ$502)=0,"",MAX('Cálculos (apoio)'!$AJ$4:$AJ$502)),"")</f>
        <v/>
      </c>
      <c r="F20" s="7">
        <f>COUNTIFS('Atividades Micro'!$B$2:$B$554,$B20,'Atividades Micro'!$G$2:$G$554,"Macro")</f>
        <v>4</v>
      </c>
      <c r="G20" s="7">
        <f>COUNTIFS('Atividades Micro'!$B$2:$B$554,$B20,'Atividades Micro'!$G$2:$G$554,"Micro",'Atividades Micro'!$J$2:$J$554,"&lt;&gt;Cancelado")</f>
        <v>5</v>
      </c>
      <c r="H20" s="7">
        <f>COUNTIFS('Atividades Micro'!$B$2:$B$554,$B20,'Atividades Micro'!$J$2:$J$554,H$1)</f>
        <v>3</v>
      </c>
      <c r="I20" s="7">
        <f>COUNTIFS('Atividades Micro'!$B$2:$B$554,$B20,'Atividades Micro'!$J$2:$J$554,I$1)</f>
        <v>1</v>
      </c>
      <c r="J20" s="7">
        <f>COUNTIFS('Atividades Micro'!$B$2:$B$554,$B20,'Atividades Micro'!$J$2:$J$554,J$1)</f>
        <v>0</v>
      </c>
      <c r="K20" s="7">
        <f>COUNTIFS('Atividades Micro'!$B$2:$B$554,$B20,'Atividades Micro'!$J$2:$J$554,K$1)</f>
        <v>0</v>
      </c>
      <c r="L20" s="7">
        <f>COUNTIFS('Atividades Micro'!$B$2:$B$554,$B20,'Atividades Micro'!$J$2:$J$554,L$1)</f>
        <v>6</v>
      </c>
      <c r="M20" s="7">
        <f>COUNTIFS('Atividades Micro'!$B$2:$B$554,$B20,'Atividades Micro'!$J$2:$J$554,M$1)</f>
        <v>2</v>
      </c>
      <c r="N20" s="2" t="str">
        <f t="shared" si="2"/>
        <v>Em andamento</v>
      </c>
      <c r="O20" s="9">
        <f t="shared" si="1"/>
        <v>0.33333333333333331</v>
      </c>
    </row>
    <row r="21" spans="1:15" ht="30" hidden="1" customHeight="1">
      <c r="A21" s="15" t="s">
        <v>76</v>
      </c>
      <c r="B21" s="15" t="s">
        <v>77</v>
      </c>
      <c r="C21" s="15" t="s">
        <v>44</v>
      </c>
      <c r="D21" s="16">
        <v>46304</v>
      </c>
      <c r="E21" s="16" t="str">
        <f>IF(N21="Finalizado",IF(COUNT('Cálculos (apoio)'!$AL$4:$AL$502)=0,"",MAX('Cálculos (apoio)'!$AL$4:$AL$502)),"")</f>
        <v/>
      </c>
      <c r="F21" s="17">
        <f>COUNTIFS('Atividades Micro'!$A$2:$A$554,$C21,'Atividades Micro'!$G$2:$G$554,"Macro")</f>
        <v>4</v>
      </c>
      <c r="G21" s="17">
        <f>COUNTIFS('Atividades Micro'!$A$2:$A$554,$C21,'Atividades Micro'!$G$2:$G$554,"Micro",'Atividades Micro'!$J$2:$J$554,"&lt;&gt;Cancelado")</f>
        <v>13</v>
      </c>
      <c r="H21" s="17">
        <f>COUNTIFS('Atividades Micro'!$A$2:$A$554,$C21,'Atividades Micro'!$J$2:$J$554,H$1)</f>
        <v>6</v>
      </c>
      <c r="I21" s="17">
        <f>COUNTIFS('Atividades Micro'!$A$2:$A$554,$C21,'Atividades Micro'!$J$2:$J$554,I$1)</f>
        <v>3</v>
      </c>
      <c r="J21" s="17">
        <f>COUNTIFS('Atividades Micro'!$A$2:$A$554,$C21,'Atividades Micro'!$J$2:$J$554,J$1)</f>
        <v>0</v>
      </c>
      <c r="K21" s="17">
        <f>COUNTIFS('Atividades Micro'!$A$2:$A$554,$C21,'Atividades Micro'!$J$2:$J$554,K$1)</f>
        <v>0</v>
      </c>
      <c r="L21" s="17">
        <f>COUNTIFS('Atividades Micro'!$A$2:$A$554,$C21,'Atividades Micro'!$J$2:$J$554,L$1)</f>
        <v>4</v>
      </c>
      <c r="M21" s="17">
        <f>COUNTIFS('Atividades Micro'!$A$2:$A$554,$C21,'Atividades Micro'!$J$2:$J$554,M$1)</f>
        <v>8</v>
      </c>
      <c r="N21" s="15" t="str">
        <f t="shared" si="2"/>
        <v>Em andamento</v>
      </c>
      <c r="O21" s="18">
        <f t="shared" si="1"/>
        <v>0.47058823529411764</v>
      </c>
    </row>
    <row r="22" spans="1:15" ht="30" hidden="1" customHeight="1">
      <c r="A22" s="2" t="s">
        <v>76</v>
      </c>
      <c r="B22" s="2" t="s">
        <v>78</v>
      </c>
      <c r="C22" s="2" t="s">
        <v>44</v>
      </c>
      <c r="D22" s="4">
        <f>IF(COUNT('Cálculos (apoio)'!$AM$4:$AM$502)=0,"",MAX('Cálculos (apoio)'!$AM$4:$AM$502))</f>
        <v>46279</v>
      </c>
      <c r="E22" s="4" t="str">
        <f>IF(N22="Finalizado",IF(COUNT('Cálculos (apoio)'!$AN$4:$AN$502)=0,"",MAX('Cálculos (apoio)'!$AN$4:$AN$502)),"")</f>
        <v/>
      </c>
      <c r="F22" s="7">
        <f>COUNTIFS('Atividades Micro'!$B$2:$B$554,$B22,'Atividades Micro'!$G$2:$G$554,"Macro")</f>
        <v>2</v>
      </c>
      <c r="G22" s="7">
        <f>COUNTIFS('Atividades Micro'!$B$2:$B$554,$B22,'Atividades Micro'!$G$2:$G$554,"Micro",'Atividades Micro'!$J$2:$J$554,"&lt;&gt;Cancelado")</f>
        <v>5</v>
      </c>
      <c r="H22" s="7">
        <f>COUNTIFS('Atividades Micro'!$B$2:$B$554,$B22,'Atividades Micro'!$J$2:$J$554,H$1)</f>
        <v>3</v>
      </c>
      <c r="I22" s="7">
        <f>COUNTIFS('Atividades Micro'!$B$2:$B$554,$B22,'Atividades Micro'!$J$2:$J$554,I$1)</f>
        <v>0</v>
      </c>
      <c r="J22" s="7">
        <f>COUNTIFS('Atividades Micro'!$B$2:$B$554,$B22,'Atividades Micro'!$J$2:$J$554,J$1)</f>
        <v>0</v>
      </c>
      <c r="K22" s="7">
        <f>COUNTIFS('Atividades Micro'!$B$2:$B$554,$B22,'Atividades Micro'!$J$2:$J$554,K$1)</f>
        <v>0</v>
      </c>
      <c r="L22" s="7">
        <f>COUNTIFS('Atividades Micro'!$B$2:$B$554,$B22,'Atividades Micro'!$J$2:$J$554,L$1)</f>
        <v>0</v>
      </c>
      <c r="M22" s="7">
        <f>COUNTIFS('Atividades Micro'!$B$2:$B$554,$B22,'Atividades Micro'!$J$2:$J$554,M$1)</f>
        <v>4</v>
      </c>
      <c r="N22" s="2" t="str">
        <f t="shared" si="2"/>
        <v>Em andamento</v>
      </c>
      <c r="O22" s="9">
        <f t="shared" si="1"/>
        <v>0.5714285714285714</v>
      </c>
    </row>
    <row r="23" spans="1:15" ht="30" hidden="1" customHeight="1">
      <c r="A23" s="2" t="s">
        <v>76</v>
      </c>
      <c r="B23" s="2" t="s">
        <v>79</v>
      </c>
      <c r="C23" s="2" t="s">
        <v>44</v>
      </c>
      <c r="D23" s="4">
        <f>IF(COUNT('Cálculos (apoio)'!$AO$4:$AO$502)=0,"",MAX('Cálculos (apoio)'!$AO$4:$AO$502))</f>
        <v>46301</v>
      </c>
      <c r="E23" s="4" t="str">
        <f>IF(N23="Finalizado",IF(COUNT('Cálculos (apoio)'!$AP$4:$AP$502)=0,"",MAX('Cálculos (apoio)'!$AP$4:$AP$502)),"")</f>
        <v/>
      </c>
      <c r="F23" s="7">
        <f>COUNTIFS('Atividades Micro'!$B$2:$B$554,$B23,'Atividades Micro'!$G$2:$G$554,"Macro")</f>
        <v>2</v>
      </c>
      <c r="G23" s="7">
        <f>COUNTIFS('Atividades Micro'!$B$2:$B$554,$B23,'Atividades Micro'!$G$2:$G$554,"Micro",'Atividades Micro'!$J$2:$J$554,"&lt;&gt;Cancelado")</f>
        <v>9</v>
      </c>
      <c r="H23" s="7">
        <f>COUNTIFS('Atividades Micro'!$B$2:$B$554,$B23,'Atividades Micro'!$J$2:$J$554,H$1)</f>
        <v>4</v>
      </c>
      <c r="I23" s="7">
        <f>COUNTIFS('Atividades Micro'!$B$2:$B$554,$B23,'Atividades Micro'!$J$2:$J$554,I$1)</f>
        <v>3</v>
      </c>
      <c r="J23" s="7">
        <f>COUNTIFS('Atividades Micro'!$B$2:$B$554,$B23,'Atividades Micro'!$J$2:$J$554,J$1)</f>
        <v>0</v>
      </c>
      <c r="K23" s="7">
        <f>COUNTIFS('Atividades Micro'!$B$2:$B$554,$B23,'Atividades Micro'!$J$2:$J$554,K$1)</f>
        <v>0</v>
      </c>
      <c r="L23" s="7">
        <f>COUNTIFS('Atividades Micro'!$B$2:$B$554,$B23,'Atividades Micro'!$J$2:$J$554,L$1)</f>
        <v>4</v>
      </c>
      <c r="M23" s="7">
        <f>COUNTIFS('Atividades Micro'!$B$2:$B$554,$B23,'Atividades Micro'!$J$2:$J$554,M$1)</f>
        <v>4</v>
      </c>
      <c r="N23" s="2" t="str">
        <f t="shared" si="2"/>
        <v>Em andamento</v>
      </c>
      <c r="O23" s="9">
        <f t="shared" si="1"/>
        <v>0.36363636363636365</v>
      </c>
    </row>
    <row r="24" spans="1:15" ht="30" hidden="1" customHeight="1">
      <c r="A24" s="15" t="s">
        <v>80</v>
      </c>
      <c r="B24" s="15" t="s">
        <v>81</v>
      </c>
      <c r="C24" s="15" t="s">
        <v>30</v>
      </c>
      <c r="D24" s="16">
        <v>46321</v>
      </c>
      <c r="E24" s="16" t="str">
        <f>IF(N24="Finalizado",IF(COUNT('Cálculos (apoio)'!$AR$4:$AR$502)=0,"",MAX('Cálculos (apoio)'!$AR$4:$AR$502)),"")</f>
        <v/>
      </c>
      <c r="F24" s="17">
        <f>COUNTIFS('Atividades Micro'!$A$2:$A$554,$C24,'Atividades Micro'!$G$2:$G$554,"Macro")</f>
        <v>1</v>
      </c>
      <c r="G24" s="17">
        <f>COUNTIFS('Atividades Micro'!$A$2:$A$554,$C24,'Atividades Micro'!$G$2:$G$554,"Micro",'Atividades Micro'!$J$2:$J$554,"&lt;&gt;Cancelado")</f>
        <v>10</v>
      </c>
      <c r="H24" s="17">
        <f>COUNTIFS('Atividades Micro'!$A$2:$A$554,$C24,'Atividades Micro'!$J$2:$J$554,H$1)</f>
        <v>2</v>
      </c>
      <c r="I24" s="17">
        <f>COUNTIFS('Atividades Micro'!$A$2:$A$554,$C24,'Atividades Micro'!$J$2:$J$554,I$1)</f>
        <v>1</v>
      </c>
      <c r="J24" s="17">
        <f>COUNTIFS('Atividades Micro'!$A$2:$A$554,$C24,'Atividades Micro'!$J$2:$J$554,J$1)</f>
        <v>0</v>
      </c>
      <c r="K24" s="17">
        <f>COUNTIFS('Atividades Micro'!$A$2:$A$554,$C24,'Atividades Micro'!$J$2:$J$554,K$1)</f>
        <v>0</v>
      </c>
      <c r="L24" s="17">
        <f>COUNTIFS('Atividades Micro'!$A$2:$A$554,$C24,'Atividades Micro'!$J$2:$J$554,L$1)</f>
        <v>1</v>
      </c>
      <c r="M24" s="17">
        <f>COUNTIFS('Atividades Micro'!$A$2:$A$554,$C24,'Atividades Micro'!$J$2:$J$554,M$1)</f>
        <v>8</v>
      </c>
      <c r="N24" s="15" t="str">
        <f t="shared" si="2"/>
        <v>Em andamento</v>
      </c>
      <c r="O24" s="18">
        <f t="shared" si="1"/>
        <v>0.72727272727272729</v>
      </c>
    </row>
    <row r="25" spans="1:15" ht="30" hidden="1" customHeight="1">
      <c r="A25" s="2" t="s">
        <v>80</v>
      </c>
      <c r="B25" s="2" t="s">
        <v>29</v>
      </c>
      <c r="C25" s="2" t="s">
        <v>30</v>
      </c>
      <c r="D25" s="4">
        <f>IF(COUNT('Cálculos (apoio)'!$AS$4:$AS$502)=0,"",MAX('Cálculos (apoio)'!$AS$4:$AS$502))</f>
        <v>46342</v>
      </c>
      <c r="E25" s="4" t="str">
        <f>IF(N25="Finalizado",IF(COUNT('Cálculos (apoio)'!$AT$4:$AT$502)=0,"",MAX('Cálculos (apoio)'!$AT$4:$AT$502)),"")</f>
        <v/>
      </c>
      <c r="F25" s="7">
        <f>COUNTIFS('Atividades Micro'!$B$2:$B$554,$B25,'Atividades Micro'!$G$2:$G$554,"Macro")</f>
        <v>1</v>
      </c>
      <c r="G25" s="7">
        <f>COUNTIFS('Atividades Micro'!$B$2:$B$554,$B25,'Atividades Micro'!$G$2:$G$554,"Micro",'Atividades Micro'!$J$2:$J$554,"&lt;&gt;Cancelado")</f>
        <v>10</v>
      </c>
      <c r="H25" s="7">
        <f>COUNTIFS('Atividades Micro'!$B$2:$B$554,$B25,'Atividades Micro'!$J$2:$J$554,H$1)</f>
        <v>2</v>
      </c>
      <c r="I25" s="7">
        <f>COUNTIFS('Atividades Micro'!$B$2:$B$554,$B25,'Atividades Micro'!$J$2:$J$554,I$1)</f>
        <v>1</v>
      </c>
      <c r="J25" s="7">
        <f>COUNTIFS('Atividades Micro'!$B$2:$B$554,$B25,'Atividades Micro'!$J$2:$J$554,J$1)</f>
        <v>0</v>
      </c>
      <c r="K25" s="7">
        <f>COUNTIFS('Atividades Micro'!$B$2:$B$554,$B25,'Atividades Micro'!$J$2:$J$554,K$1)</f>
        <v>0</v>
      </c>
      <c r="L25" s="7">
        <f>COUNTIFS('Atividades Micro'!$B$2:$B$554,$B25,'Atividades Micro'!$J$2:$J$554,L$1)</f>
        <v>1</v>
      </c>
      <c r="M25" s="7">
        <f>COUNTIFS('Atividades Micro'!$B$2:$B$554,$B25,'Atividades Micro'!$J$2:$J$554,M$1)</f>
        <v>8</v>
      </c>
      <c r="N25" s="2" t="str">
        <f t="shared" si="2"/>
        <v>Em andamento</v>
      </c>
      <c r="O25" s="9">
        <f t="shared" si="1"/>
        <v>0.72727272727272729</v>
      </c>
    </row>
    <row r="26" spans="1:15" ht="30" hidden="1" customHeight="1">
      <c r="A26" s="15" t="s">
        <v>82</v>
      </c>
      <c r="B26" s="15" t="s">
        <v>83</v>
      </c>
      <c r="C26" s="15" t="s">
        <v>28</v>
      </c>
      <c r="D26" s="16">
        <v>46337</v>
      </c>
      <c r="E26" s="16" t="str">
        <f>IF(N26="Finalizado",IF(COUNT('Cálculos (apoio)'!$AV$4:$AV$502)=0,"",MAX('Cálculos (apoio)'!$AV$4:$AV$502)),"")</f>
        <v/>
      </c>
      <c r="F26" s="17">
        <f>COUNTIFS('Atividades Micro'!$A$2:$A$554,$C26,'Atividades Micro'!$G$2:$G$554,"Macro")</f>
        <v>1</v>
      </c>
      <c r="G26" s="17">
        <f>COUNTIFS('Atividades Micro'!$A$2:$A$554,$C26,'Atividades Micro'!$G$2:$G$554,"Micro",'Atividades Micro'!$J$2:$J$554,"&lt;&gt;Cancelado")</f>
        <v>14</v>
      </c>
      <c r="H26" s="17">
        <f>COUNTIFS('Atividades Micro'!$A$2:$A$554,$C26,'Atividades Micro'!$J$2:$J$554,H$1)</f>
        <v>0</v>
      </c>
      <c r="I26" s="17">
        <f>COUNTIFS('Atividades Micro'!$A$2:$A$554,$C26,'Atividades Micro'!$J$2:$J$554,I$1)</f>
        <v>2</v>
      </c>
      <c r="J26" s="17">
        <f>COUNTIFS('Atividades Micro'!$A$2:$A$554,$C26,'Atividades Micro'!$J$2:$J$554,J$1)</f>
        <v>0</v>
      </c>
      <c r="K26" s="17">
        <f>COUNTIFS('Atividades Micro'!$A$2:$A$554,$C26,'Atividades Micro'!$J$2:$J$554,K$1)</f>
        <v>0</v>
      </c>
      <c r="L26" s="17">
        <f>COUNTIFS('Atividades Micro'!$A$2:$A$554,$C26,'Atividades Micro'!$J$2:$J$554,L$1)</f>
        <v>0</v>
      </c>
      <c r="M26" s="17">
        <f>COUNTIFS('Atividades Micro'!$A$2:$A$554,$C26,'Atividades Micro'!$J$2:$J$554,M$1)</f>
        <v>13</v>
      </c>
      <c r="N26" s="15" t="str">
        <f t="shared" si="2"/>
        <v>Em andamento</v>
      </c>
      <c r="O26" s="18">
        <f t="shared" si="1"/>
        <v>0.8666666666666667</v>
      </c>
    </row>
    <row r="27" spans="1:15" ht="30" hidden="1" customHeight="1">
      <c r="A27" s="2" t="s">
        <v>82</v>
      </c>
      <c r="B27" s="2" t="s">
        <v>27</v>
      </c>
      <c r="C27" s="2" t="s">
        <v>28</v>
      </c>
      <c r="D27" s="4">
        <f>IF(COUNT('Cálculos (apoio)'!$AW$4:$AW$502)=0,"",MAX('Cálculos (apoio)'!$AW$4:$AW$502))</f>
        <v>46338</v>
      </c>
      <c r="E27" s="4" t="str">
        <f>IF(N27="Finalizado",IF(COUNT('Cálculos (apoio)'!$AX$4:$AX$502)=0,"",MAX('Cálculos (apoio)'!$AX$4:$AX$502)),"")</f>
        <v/>
      </c>
      <c r="F27" s="7">
        <f>COUNTIFS('Atividades Micro'!$B$2:$B$554,$B27,'Atividades Micro'!$G$2:$G$554,"Macro")</f>
        <v>1</v>
      </c>
      <c r="G27" s="7">
        <f>COUNTIFS('Atividades Micro'!$B$2:$B$554,$B27,'Atividades Micro'!$G$2:$G$554,"Micro",'Atividades Micro'!$J$2:$J$554,"&lt;&gt;Cancelado")</f>
        <v>14</v>
      </c>
      <c r="H27" s="7">
        <f>COUNTIFS('Atividades Micro'!$B$2:$B$554,$B27,'Atividades Micro'!$J$2:$J$554,H$1)</f>
        <v>0</v>
      </c>
      <c r="I27" s="7">
        <f>COUNTIFS('Atividades Micro'!$B$2:$B$554,$B27,'Atividades Micro'!$J$2:$J$554,I$1)</f>
        <v>2</v>
      </c>
      <c r="J27" s="7">
        <f>COUNTIFS('Atividades Micro'!$B$2:$B$554,$B27,'Atividades Micro'!$J$2:$J$554,J$1)</f>
        <v>0</v>
      </c>
      <c r="K27" s="7">
        <f>COUNTIFS('Atividades Micro'!$B$2:$B$554,$B27,'Atividades Micro'!$J$2:$J$554,K$1)</f>
        <v>0</v>
      </c>
      <c r="L27" s="7">
        <f>COUNTIFS('Atividades Micro'!$B$2:$B$554,$B27,'Atividades Micro'!$J$2:$J$554,L$1)</f>
        <v>0</v>
      </c>
      <c r="M27" s="7">
        <f>COUNTIFS('Atividades Micro'!$B$2:$B$554,$B27,'Atividades Micro'!$J$2:$J$554,M$1)</f>
        <v>13</v>
      </c>
      <c r="N27" s="2" t="str">
        <f t="shared" si="2"/>
        <v>Em andamento</v>
      </c>
      <c r="O27" s="9">
        <f t="shared" si="1"/>
        <v>0.8666666666666667</v>
      </c>
    </row>
    <row r="28" spans="1:15" ht="30" customHeight="1">
      <c r="A28" s="15" t="s">
        <v>84</v>
      </c>
      <c r="B28" s="15" t="s">
        <v>85</v>
      </c>
      <c r="C28" s="15" t="s">
        <v>45</v>
      </c>
      <c r="D28" s="16">
        <v>46288</v>
      </c>
      <c r="E28" s="16" t="str">
        <f>IF(N28="Finalizado",IF(COUNT('Cálculos (apoio)'!$AZ$4:$AZ$502)=0,"",MAX('Cálculos (apoio)'!$AZ$4:$AZ$502)),"")</f>
        <v/>
      </c>
      <c r="F28" s="17">
        <f>COUNTIFS('Atividades Micro'!$A$2:$A$554,$C28,'Atividades Micro'!$G$2:$G$554,"Macro")</f>
        <v>2</v>
      </c>
      <c r="G28" s="17">
        <f>COUNTIFS('Atividades Micro'!$A$2:$A$554,$C28,'Atividades Micro'!$G$2:$G$554,"Micro",'Atividades Micro'!$J$2:$J$554,"&lt;&gt;Cancelado")</f>
        <v>2</v>
      </c>
      <c r="H28" s="17">
        <f>COUNTIFS('Atividades Micro'!$A$2:$A$554,$C28,'Atividades Micro'!$J$2:$J$554,H$1)</f>
        <v>1</v>
      </c>
      <c r="I28" s="17">
        <f>COUNTIFS('Atividades Micro'!$A$2:$A$554,$C28,'Atividades Micro'!$J$2:$J$554,I$1)</f>
        <v>2</v>
      </c>
      <c r="J28" s="17">
        <f>COUNTIFS('Atividades Micro'!$A$2:$A$554,$C28,'Atividades Micro'!$J$2:$J$554,J$1)</f>
        <v>0</v>
      </c>
      <c r="K28" s="17">
        <f>COUNTIFS('Atividades Micro'!$A$2:$A$554,$C28,'Atividades Micro'!$J$2:$J$554,K$1)</f>
        <v>0</v>
      </c>
      <c r="L28" s="17">
        <f>COUNTIFS('Atividades Micro'!$A$2:$A$554,$C28,'Atividades Micro'!$J$2:$J$554,L$1)</f>
        <v>2</v>
      </c>
      <c r="M28" s="17">
        <f>COUNTIFS('Atividades Micro'!$A$2:$A$554,$C28,'Atividades Micro'!$J$2:$J$554,M$1)</f>
        <v>0</v>
      </c>
      <c r="N28" s="15" t="str">
        <f t="shared" si="2"/>
        <v>Em andamento</v>
      </c>
      <c r="O28" s="18">
        <f t="shared" si="1"/>
        <v>0</v>
      </c>
    </row>
    <row r="29" spans="1:15" ht="30" customHeight="1">
      <c r="A29" s="3" t="s">
        <v>84</v>
      </c>
      <c r="B29" s="3" t="s">
        <v>86</v>
      </c>
      <c r="C29" s="3" t="s">
        <v>45</v>
      </c>
      <c r="D29" s="5">
        <f>IF(COUNT('Cálculos (apoio)'!$BA$4:$BA$502)=0,"",MAX('Cálculos (apoio)'!$BA$4:$BA$502))</f>
        <v>46352</v>
      </c>
      <c r="E29" s="5" t="str">
        <f>IF(N29="Finalizado",IF(COUNT('Cálculos (apoio)'!$BB$4:$BB$502)=0,"",MAX('Cálculos (apoio)'!$BB$4:$BB$502)),"")</f>
        <v/>
      </c>
      <c r="F29" s="8">
        <f>COUNTIFS('Atividades Micro'!$B$2:$B$554,$B29,'Atividades Micro'!$G$2:$G$554,"Macro")</f>
        <v>2</v>
      </c>
      <c r="G29" s="8">
        <f>COUNTIFS('Atividades Micro'!$B$2:$B$554,$B29,'Atividades Micro'!$G$2:$G$554,"Micro",'Atividades Micro'!$J$2:$J$554,"&lt;&gt;Cancelado")</f>
        <v>2</v>
      </c>
      <c r="H29" s="8">
        <f>COUNTIFS('Atividades Micro'!$B$2:$B$554,$B29,'Atividades Micro'!$J$2:$J$554,H$1)</f>
        <v>1</v>
      </c>
      <c r="I29" s="8">
        <f>COUNTIFS('Atividades Micro'!$B$2:$B$554,$B29,'Atividades Micro'!$J$2:$J$554,I$1)</f>
        <v>2</v>
      </c>
      <c r="J29" s="8">
        <f>COUNTIFS('Atividades Micro'!$B$2:$B$554,$B29,'Atividades Micro'!$J$2:$J$554,J$1)</f>
        <v>0</v>
      </c>
      <c r="K29" s="8">
        <f>COUNTIFS('Atividades Micro'!$B$2:$B$554,$B29,'Atividades Micro'!$J$2:$J$554,K$1)</f>
        <v>0</v>
      </c>
      <c r="L29" s="8">
        <f>COUNTIFS('Atividades Micro'!$B$2:$B$554,$B29,'Atividades Micro'!$J$2:$J$554,L$1)</f>
        <v>2</v>
      </c>
      <c r="M29" s="8">
        <f>COUNTIFS('Atividades Micro'!$B$2:$B$554,$B29,'Atividades Micro'!$J$2:$J$554,M$1)</f>
        <v>0</v>
      </c>
      <c r="N29" s="3" t="str">
        <f t="shared" si="2"/>
        <v>Em andamento</v>
      </c>
      <c r="O29" s="10">
        <f t="shared" si="1"/>
        <v>0</v>
      </c>
    </row>
  </sheetData>
  <conditionalFormatting sqref="N2:N9 N11:N29">
    <cfRule type="containsText" dxfId="10" priority="3" operator="containsText" text="Finalizado"/>
    <cfRule type="containsText" dxfId="9" priority="4" operator="containsText" text="Em andamento"/>
    <cfRule type="containsText" dxfId="8" priority="5" operator="containsText" text="Não iniciado"/>
    <cfRule type="containsText" dxfId="7" priority="6" operator="containsText" text="Bloqueado"/>
  </conditionalFormatting>
  <conditionalFormatting sqref="O2:O9 O11:O29">
    <cfRule type="dataBar" priority="1">
      <dataBar>
        <cfvo type="num" val="0"/>
        <cfvo type="num" val="1"/>
        <color rgb="FF3E9C5D"/>
      </dataBar>
    </cfRule>
    <cfRule type="expression" dxfId="6" priority="2">
      <formula>AND($D2&lt;&gt;"",$D2&lt;=TODAY(),$F2+$G2-$L2&gt;0,$O2&lt;1)</formula>
    </cfRule>
    <cfRule type="dataBar" priority="7">
      <dataBar>
        <cfvo type="num" val="0"/>
        <cfvo type="num" val="1"/>
        <color rgb="FF3E9C5D"/>
      </dataBar>
    </cfRule>
    <cfRule type="dataBar" priority="8">
      <dataBar>
        <cfvo type="num" val="0"/>
        <cfvo type="num" val="1"/>
        <color rgb="FF3E9C5D"/>
      </dataBar>
    </cfRule>
    <cfRule type="dataBar" priority="9">
      <dataBar>
        <cfvo type="num" val="0"/>
        <cfvo type="num" val="1"/>
        <color rgb="FF3E9C5D"/>
      </dataBar>
    </cfRule>
    <cfRule type="dataBar" priority="10">
      <dataBar>
        <cfvo type="num" val="0"/>
        <cfvo type="num" val="1"/>
        <color rgb="FF3E9C5D"/>
      </dataBar>
    </cfRule>
    <cfRule type="dataBar" priority="11">
      <dataBar>
        <cfvo type="num" val="0"/>
        <cfvo type="num" val="1"/>
        <color rgb="FF3E9C5D"/>
      </dataBar>
    </cfRule>
    <cfRule type="dataBar" priority="12">
      <dataBar>
        <cfvo type="num" val="0"/>
        <cfvo type="num" val="1"/>
        <color rgb="FF3E9C5D"/>
      </dataBar>
    </cfRule>
    <cfRule type="dataBar" priority="13">
      <dataBar>
        <cfvo type="num" val="0"/>
        <cfvo type="num" val="1"/>
        <color rgb="FF3E9C5D"/>
      </dataBar>
      <extLst>
        <ext xmlns:x14="http://schemas.microsoft.com/office/spreadsheetml/2009/9/main" uri="{B025F937-C7B1-47D3-B67F-A62EFF666E3E}">
          <x14:id>{B2FCA339-3A7A-4487-BB80-95E76CF9260E}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FCA339-3A7A-4487-BB80-95E76CF9260E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O2:O9 O11:O29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9F59-B03A-4B28-9C75-078FF68707D5}">
  <dimension ref="A1:M395"/>
  <sheetViews>
    <sheetView showGridLines="0" topLeftCell="E238" workbookViewId="0">
      <selection activeCell="J248" sqref="J248"/>
    </sheetView>
  </sheetViews>
  <sheetFormatPr defaultRowHeight="13.8"/>
  <cols>
    <col min="1" max="1" width="30" customWidth="1"/>
    <col min="2" max="2" width="34" customWidth="1"/>
    <col min="3" max="4" width="15" customWidth="1"/>
    <col min="5" max="5" width="46" customWidth="1"/>
    <col min="6" max="6" width="34" customWidth="1"/>
    <col min="7" max="10" width="17" customWidth="1"/>
    <col min="11" max="12" width="15" customWidth="1"/>
    <col min="13" max="13" width="13" customWidth="1"/>
  </cols>
  <sheetData>
    <row r="1" spans="1:13" ht="34.049999999999997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12</v>
      </c>
      <c r="L1" s="1" t="s">
        <v>34</v>
      </c>
      <c r="M1" s="1" t="s">
        <v>97</v>
      </c>
    </row>
    <row r="2" spans="1:13" ht="25.05" hidden="1" customHeight="1">
      <c r="A2" s="86" t="s">
        <v>35</v>
      </c>
      <c r="B2" s="86" t="s">
        <v>50</v>
      </c>
      <c r="C2" s="86" t="s">
        <v>49</v>
      </c>
      <c r="D2" s="86"/>
      <c r="E2" s="86" t="s">
        <v>98</v>
      </c>
      <c r="F2" s="86"/>
      <c r="G2" s="86" t="s">
        <v>99</v>
      </c>
      <c r="H2" s="86" t="s">
        <v>100</v>
      </c>
      <c r="I2" s="86" t="s">
        <v>101</v>
      </c>
      <c r="J2" s="86" t="s">
        <v>7</v>
      </c>
      <c r="K2" s="89">
        <v>46196</v>
      </c>
      <c r="L2" s="89"/>
      <c r="M2" s="86">
        <v>3</v>
      </c>
    </row>
    <row r="3" spans="1:13" ht="25.05" hidden="1" customHeight="1">
      <c r="A3" s="87" t="s">
        <v>35</v>
      </c>
      <c r="B3" s="87" t="s">
        <v>50</v>
      </c>
      <c r="C3" s="87" t="s">
        <v>49</v>
      </c>
      <c r="D3" s="87"/>
      <c r="E3" s="87" t="s">
        <v>102</v>
      </c>
      <c r="F3" s="87"/>
      <c r="G3" s="87" t="s">
        <v>99</v>
      </c>
      <c r="H3" s="87" t="s">
        <v>100</v>
      </c>
      <c r="I3" s="87" t="s">
        <v>101</v>
      </c>
      <c r="J3" s="87" t="s">
        <v>7</v>
      </c>
      <c r="K3" s="90">
        <v>46199</v>
      </c>
      <c r="L3" s="90"/>
      <c r="M3" s="87">
        <v>4</v>
      </c>
    </row>
    <row r="4" spans="1:13" ht="25.05" hidden="1" customHeight="1">
      <c r="A4" s="87" t="s">
        <v>35</v>
      </c>
      <c r="B4" s="87" t="s">
        <v>50</v>
      </c>
      <c r="C4" s="87" t="s">
        <v>49</v>
      </c>
      <c r="D4" s="87"/>
      <c r="E4" s="87" t="s">
        <v>103</v>
      </c>
      <c r="F4" s="87"/>
      <c r="G4" s="87" t="s">
        <v>99</v>
      </c>
      <c r="H4" s="87" t="s">
        <v>100</v>
      </c>
      <c r="I4" s="87" t="s">
        <v>101</v>
      </c>
      <c r="J4" s="87" t="s">
        <v>7</v>
      </c>
      <c r="K4" s="90">
        <v>46210</v>
      </c>
      <c r="L4" s="90">
        <v>46231</v>
      </c>
      <c r="M4" s="87">
        <v>5</v>
      </c>
    </row>
    <row r="5" spans="1:13" ht="25.05" hidden="1" customHeight="1">
      <c r="A5" s="87" t="s">
        <v>35</v>
      </c>
      <c r="B5" s="87" t="s">
        <v>50</v>
      </c>
      <c r="C5" s="87" t="s">
        <v>49</v>
      </c>
      <c r="D5" s="87"/>
      <c r="E5" s="87" t="s">
        <v>104</v>
      </c>
      <c r="F5" s="87"/>
      <c r="G5" s="87" t="s">
        <v>99</v>
      </c>
      <c r="H5" s="87" t="s">
        <v>100</v>
      </c>
      <c r="I5" s="87" t="s">
        <v>101</v>
      </c>
      <c r="J5" s="87" t="s">
        <v>7</v>
      </c>
      <c r="K5" s="90">
        <v>46210</v>
      </c>
      <c r="L5" s="90"/>
      <c r="M5" s="87">
        <v>6</v>
      </c>
    </row>
    <row r="6" spans="1:13" ht="25.05" hidden="1" customHeight="1">
      <c r="A6" s="87" t="s">
        <v>35</v>
      </c>
      <c r="B6" s="87" t="s">
        <v>50</v>
      </c>
      <c r="C6" s="87" t="s">
        <v>49</v>
      </c>
      <c r="D6" s="87"/>
      <c r="E6" s="87" t="s">
        <v>105</v>
      </c>
      <c r="F6" s="87"/>
      <c r="G6" s="87" t="s">
        <v>99</v>
      </c>
      <c r="H6" s="87" t="s">
        <v>100</v>
      </c>
      <c r="I6" s="87" t="s">
        <v>101</v>
      </c>
      <c r="J6" s="87" t="s">
        <v>2</v>
      </c>
      <c r="K6" s="90">
        <v>46398</v>
      </c>
      <c r="L6" s="90"/>
      <c r="M6" s="87">
        <v>7</v>
      </c>
    </row>
    <row r="7" spans="1:13" ht="25.05" hidden="1" customHeight="1">
      <c r="A7" s="87" t="s">
        <v>35</v>
      </c>
      <c r="B7" s="87" t="s">
        <v>50</v>
      </c>
      <c r="C7" s="87" t="s">
        <v>49</v>
      </c>
      <c r="D7" s="87"/>
      <c r="E7" s="87" t="s">
        <v>106</v>
      </c>
      <c r="F7" s="87"/>
      <c r="G7" s="87" t="s">
        <v>99</v>
      </c>
      <c r="H7" s="87" t="s">
        <v>100</v>
      </c>
      <c r="I7" s="87" t="s">
        <v>101</v>
      </c>
      <c r="J7" s="87" t="s">
        <v>2</v>
      </c>
      <c r="K7" s="90">
        <v>46398</v>
      </c>
      <c r="L7" s="90"/>
      <c r="M7" s="87">
        <v>8</v>
      </c>
    </row>
    <row r="8" spans="1:13" ht="25.05" hidden="1" customHeight="1">
      <c r="A8" s="87" t="s">
        <v>35</v>
      </c>
      <c r="B8" s="87" t="s">
        <v>50</v>
      </c>
      <c r="C8" s="87" t="s">
        <v>49</v>
      </c>
      <c r="D8" s="87"/>
      <c r="E8" s="87" t="s">
        <v>107</v>
      </c>
      <c r="F8" s="87"/>
      <c r="G8" s="87" t="s">
        <v>99</v>
      </c>
      <c r="H8" s="87" t="s">
        <v>100</v>
      </c>
      <c r="I8" s="87" t="s">
        <v>101</v>
      </c>
      <c r="J8" s="87" t="s">
        <v>2</v>
      </c>
      <c r="K8" s="90">
        <v>46568</v>
      </c>
      <c r="L8" s="90"/>
      <c r="M8" s="87">
        <v>9</v>
      </c>
    </row>
    <row r="9" spans="1:13" ht="25.05" hidden="1" customHeight="1">
      <c r="A9" s="87" t="s">
        <v>35</v>
      </c>
      <c r="B9" s="87" t="s">
        <v>50</v>
      </c>
      <c r="C9" s="87" t="s">
        <v>49</v>
      </c>
      <c r="D9" s="87"/>
      <c r="E9" s="87" t="s">
        <v>108</v>
      </c>
      <c r="F9" s="87"/>
      <c r="G9" s="87" t="s">
        <v>99</v>
      </c>
      <c r="H9" s="87" t="s">
        <v>100</v>
      </c>
      <c r="I9" s="87" t="s">
        <v>101</v>
      </c>
      <c r="J9" s="87" t="s">
        <v>2</v>
      </c>
      <c r="K9" s="90">
        <v>46568</v>
      </c>
      <c r="L9" s="90"/>
      <c r="M9" s="87">
        <v>10</v>
      </c>
    </row>
    <row r="10" spans="1:13" ht="25.05" hidden="1" customHeight="1">
      <c r="A10" s="87" t="s">
        <v>35</v>
      </c>
      <c r="B10" s="87" t="s">
        <v>50</v>
      </c>
      <c r="C10" s="87" t="s">
        <v>49</v>
      </c>
      <c r="D10" s="87"/>
      <c r="E10" s="87" t="s">
        <v>109</v>
      </c>
      <c r="F10" s="87"/>
      <c r="G10" s="87" t="s">
        <v>99</v>
      </c>
      <c r="H10" s="87" t="s">
        <v>100</v>
      </c>
      <c r="I10" s="87" t="s">
        <v>101</v>
      </c>
      <c r="J10" s="87" t="s">
        <v>2</v>
      </c>
      <c r="K10" s="90">
        <v>46356</v>
      </c>
      <c r="L10" s="90"/>
      <c r="M10" s="87">
        <v>11</v>
      </c>
    </row>
    <row r="11" spans="1:13" ht="25.05" hidden="1" customHeight="1">
      <c r="A11" s="87" t="s">
        <v>35</v>
      </c>
      <c r="B11" s="87" t="s">
        <v>50</v>
      </c>
      <c r="C11" s="87" t="s">
        <v>49</v>
      </c>
      <c r="D11" s="87"/>
      <c r="E11" s="87" t="s">
        <v>110</v>
      </c>
      <c r="F11" s="87"/>
      <c r="G11" s="87" t="s">
        <v>99</v>
      </c>
      <c r="H11" s="87" t="s">
        <v>100</v>
      </c>
      <c r="I11" s="87" t="s">
        <v>101</v>
      </c>
      <c r="J11" s="87" t="s">
        <v>2</v>
      </c>
      <c r="K11" s="90">
        <v>46476</v>
      </c>
      <c r="L11" s="90"/>
      <c r="M11" s="87">
        <v>12</v>
      </c>
    </row>
    <row r="12" spans="1:13" ht="25.05" hidden="1" customHeight="1">
      <c r="A12" s="87"/>
      <c r="B12" s="87" t="s">
        <v>50</v>
      </c>
      <c r="C12" s="87" t="s">
        <v>49</v>
      </c>
      <c r="D12" s="87"/>
      <c r="E12" s="87" t="s">
        <v>447</v>
      </c>
      <c r="F12" s="87"/>
      <c r="G12" s="87" t="s">
        <v>99</v>
      </c>
      <c r="H12" s="87" t="s">
        <v>100</v>
      </c>
      <c r="I12" s="87" t="s">
        <v>101</v>
      </c>
      <c r="J12" s="87" t="s">
        <v>3</v>
      </c>
      <c r="K12" s="90">
        <v>46418</v>
      </c>
      <c r="L12" s="90"/>
      <c r="M12" s="87"/>
    </row>
    <row r="13" spans="1:13" ht="25.05" hidden="1" customHeight="1">
      <c r="A13" s="87" t="s">
        <v>35</v>
      </c>
      <c r="B13" s="87" t="s">
        <v>50</v>
      </c>
      <c r="C13" s="87" t="s">
        <v>49</v>
      </c>
      <c r="D13" s="87"/>
      <c r="E13" s="87" t="s">
        <v>111</v>
      </c>
      <c r="F13" s="87"/>
      <c r="G13" s="87" t="s">
        <v>99</v>
      </c>
      <c r="H13" s="87" t="s">
        <v>100</v>
      </c>
      <c r="I13" s="87" t="s">
        <v>101</v>
      </c>
      <c r="J13" s="87" t="s">
        <v>2</v>
      </c>
      <c r="K13" s="90">
        <v>46295</v>
      </c>
      <c r="L13" s="90"/>
      <c r="M13" s="87">
        <v>13</v>
      </c>
    </row>
    <row r="14" spans="1:13" ht="25.05" hidden="1" customHeight="1">
      <c r="A14" s="87" t="s">
        <v>35</v>
      </c>
      <c r="B14" s="87" t="s">
        <v>50</v>
      </c>
      <c r="C14" s="87" t="s">
        <v>49</v>
      </c>
      <c r="D14" s="87"/>
      <c r="E14" s="87" t="s">
        <v>112</v>
      </c>
      <c r="F14" s="87"/>
      <c r="G14" s="87" t="s">
        <v>99</v>
      </c>
      <c r="H14" s="87" t="s">
        <v>100</v>
      </c>
      <c r="I14" s="87" t="s">
        <v>101</v>
      </c>
      <c r="J14" s="87" t="s">
        <v>7</v>
      </c>
      <c r="K14" s="90">
        <v>46210</v>
      </c>
      <c r="L14" s="90"/>
      <c r="M14" s="87">
        <v>14</v>
      </c>
    </row>
    <row r="15" spans="1:13" ht="25.05" hidden="1" customHeight="1">
      <c r="A15" s="87" t="s">
        <v>39</v>
      </c>
      <c r="B15" s="87" t="s">
        <v>59</v>
      </c>
      <c r="C15" s="87" t="s">
        <v>57</v>
      </c>
      <c r="D15" s="87" t="s">
        <v>113</v>
      </c>
      <c r="E15" s="87" t="s">
        <v>114</v>
      </c>
      <c r="F15" s="87"/>
      <c r="G15" s="87" t="s">
        <v>99</v>
      </c>
      <c r="H15" s="87" t="s">
        <v>100</v>
      </c>
      <c r="I15" s="87" t="s">
        <v>115</v>
      </c>
      <c r="J15" s="87" t="s">
        <v>7</v>
      </c>
      <c r="K15" s="90">
        <v>46225</v>
      </c>
      <c r="L15" s="90"/>
      <c r="M15" s="87">
        <v>16</v>
      </c>
    </row>
    <row r="16" spans="1:13" ht="25.05" hidden="1" customHeight="1">
      <c r="A16" s="2" t="s">
        <v>39</v>
      </c>
      <c r="B16" s="2" t="s">
        <v>59</v>
      </c>
      <c r="C16" s="2" t="s">
        <v>57</v>
      </c>
      <c r="D16" s="2"/>
      <c r="E16" s="2" t="s">
        <v>116</v>
      </c>
      <c r="F16" s="2"/>
      <c r="G16" s="2" t="s">
        <v>117</v>
      </c>
      <c r="H16" s="2" t="s">
        <v>91</v>
      </c>
      <c r="I16" s="2" t="s">
        <v>115</v>
      </c>
      <c r="J16" s="2" t="s">
        <v>7</v>
      </c>
      <c r="K16" s="4">
        <v>46216</v>
      </c>
      <c r="L16" s="4">
        <v>46216</v>
      </c>
      <c r="M16" s="2">
        <v>17</v>
      </c>
    </row>
    <row r="17" spans="1:13" ht="25.05" hidden="1" customHeight="1">
      <c r="A17" s="2" t="s">
        <v>39</v>
      </c>
      <c r="B17" s="2" t="s">
        <v>59</v>
      </c>
      <c r="C17" s="2" t="s">
        <v>57</v>
      </c>
      <c r="D17" s="2"/>
      <c r="E17" s="2" t="s">
        <v>118</v>
      </c>
      <c r="F17" s="2"/>
      <c r="G17" s="2" t="s">
        <v>117</v>
      </c>
      <c r="H17" s="2" t="s">
        <v>91</v>
      </c>
      <c r="I17" s="2" t="s">
        <v>115</v>
      </c>
      <c r="J17" s="2" t="s">
        <v>7</v>
      </c>
      <c r="K17" s="4">
        <v>46223</v>
      </c>
      <c r="L17" s="4">
        <v>46223</v>
      </c>
      <c r="M17" s="2">
        <v>18</v>
      </c>
    </row>
    <row r="18" spans="1:13" ht="25.05" hidden="1" customHeight="1">
      <c r="A18" s="2" t="s">
        <v>39</v>
      </c>
      <c r="B18" s="2" t="s">
        <v>59</v>
      </c>
      <c r="C18" s="2" t="s">
        <v>57</v>
      </c>
      <c r="D18" s="2"/>
      <c r="E18" s="2" t="s">
        <v>4</v>
      </c>
      <c r="F18" s="2"/>
      <c r="G18" s="2" t="s">
        <v>117</v>
      </c>
      <c r="H18" s="2" t="s">
        <v>91</v>
      </c>
      <c r="I18" s="2" t="s">
        <v>115</v>
      </c>
      <c r="J18" s="2" t="s">
        <v>7</v>
      </c>
      <c r="K18" s="4">
        <v>46225</v>
      </c>
      <c r="L18" s="4">
        <v>46225</v>
      </c>
      <c r="M18" s="2">
        <v>19</v>
      </c>
    </row>
    <row r="19" spans="1:13" ht="25.05" hidden="1" customHeight="1">
      <c r="A19" s="87" t="s">
        <v>39</v>
      </c>
      <c r="B19" s="87" t="s">
        <v>59</v>
      </c>
      <c r="C19" s="87" t="s">
        <v>57</v>
      </c>
      <c r="D19" s="87" t="s">
        <v>119</v>
      </c>
      <c r="E19" s="87" t="s">
        <v>120</v>
      </c>
      <c r="F19" s="87"/>
      <c r="G19" s="87" t="s">
        <v>99</v>
      </c>
      <c r="H19" s="87" t="s">
        <v>100</v>
      </c>
      <c r="I19" s="87" t="s">
        <v>115</v>
      </c>
      <c r="J19" s="87" t="s">
        <v>6</v>
      </c>
      <c r="K19" s="90">
        <v>46226</v>
      </c>
      <c r="L19" s="90"/>
      <c r="M19" s="87">
        <v>20</v>
      </c>
    </row>
    <row r="20" spans="1:13" ht="25.05" hidden="1" customHeight="1">
      <c r="A20" s="2" t="s">
        <v>39</v>
      </c>
      <c r="B20" s="2" t="s">
        <v>59</v>
      </c>
      <c r="C20" s="2" t="s">
        <v>57</v>
      </c>
      <c r="D20" s="2"/>
      <c r="E20" s="2" t="s">
        <v>118</v>
      </c>
      <c r="F20" s="2"/>
      <c r="G20" s="2" t="s">
        <v>117</v>
      </c>
      <c r="H20" s="2" t="s">
        <v>91</v>
      </c>
      <c r="I20" s="2" t="s">
        <v>115</v>
      </c>
      <c r="J20" s="2" t="s">
        <v>6</v>
      </c>
      <c r="K20" s="4">
        <v>46233</v>
      </c>
      <c r="L20" s="4"/>
      <c r="M20" s="2">
        <v>21</v>
      </c>
    </row>
    <row r="21" spans="1:13" ht="25.05" hidden="1" customHeight="1">
      <c r="A21" s="2" t="s">
        <v>39</v>
      </c>
      <c r="B21" s="2" t="s">
        <v>59</v>
      </c>
      <c r="C21" s="2" t="s">
        <v>57</v>
      </c>
      <c r="D21" s="2"/>
      <c r="E21" s="2" t="s">
        <v>4</v>
      </c>
      <c r="F21" s="2"/>
      <c r="G21" s="2" t="s">
        <v>117</v>
      </c>
      <c r="H21" s="2" t="s">
        <v>91</v>
      </c>
      <c r="I21" s="2" t="s">
        <v>115</v>
      </c>
      <c r="J21" s="2" t="s">
        <v>6</v>
      </c>
      <c r="K21" s="4">
        <v>46238</v>
      </c>
      <c r="L21" s="4"/>
      <c r="M21" s="2">
        <v>22</v>
      </c>
    </row>
    <row r="22" spans="1:13" ht="25.05" hidden="1" customHeight="1">
      <c r="A22" s="87" t="s">
        <v>39</v>
      </c>
      <c r="B22" s="87" t="s">
        <v>59</v>
      </c>
      <c r="C22" s="87" t="s">
        <v>57</v>
      </c>
      <c r="D22" s="87" t="s">
        <v>121</v>
      </c>
      <c r="E22" s="87" t="s">
        <v>122</v>
      </c>
      <c r="F22" s="87"/>
      <c r="G22" s="87" t="s">
        <v>99</v>
      </c>
      <c r="H22" s="87" t="s">
        <v>100</v>
      </c>
      <c r="I22" s="87" t="s">
        <v>115</v>
      </c>
      <c r="J22" s="87" t="s">
        <v>7</v>
      </c>
      <c r="K22" s="90">
        <v>46234</v>
      </c>
      <c r="L22" s="90"/>
      <c r="M22" s="87">
        <v>23</v>
      </c>
    </row>
    <row r="23" spans="1:13" ht="25.05" hidden="1" customHeight="1">
      <c r="A23" s="2" t="s">
        <v>39</v>
      </c>
      <c r="B23" s="2" t="s">
        <v>59</v>
      </c>
      <c r="C23" s="2" t="s">
        <v>57</v>
      </c>
      <c r="D23" s="2"/>
      <c r="E23" s="2" t="s">
        <v>118</v>
      </c>
      <c r="F23" s="2"/>
      <c r="G23" s="2" t="s">
        <v>117</v>
      </c>
      <c r="H23" s="2" t="s">
        <v>91</v>
      </c>
      <c r="I23" s="2" t="s">
        <v>115</v>
      </c>
      <c r="J23" s="2" t="s">
        <v>7</v>
      </c>
      <c r="K23" s="4">
        <v>46232</v>
      </c>
      <c r="L23" s="4">
        <v>46227</v>
      </c>
      <c r="M23" s="2">
        <v>24</v>
      </c>
    </row>
    <row r="24" spans="1:13" ht="25.05" hidden="1" customHeight="1">
      <c r="A24" s="2" t="s">
        <v>39</v>
      </c>
      <c r="B24" s="2" t="s">
        <v>59</v>
      </c>
      <c r="C24" s="2" t="s">
        <v>57</v>
      </c>
      <c r="D24" s="2"/>
      <c r="E24" s="2" t="s">
        <v>4</v>
      </c>
      <c r="F24" s="2"/>
      <c r="G24" s="2" t="s">
        <v>117</v>
      </c>
      <c r="H24" s="2" t="s">
        <v>91</v>
      </c>
      <c r="I24" s="2" t="s">
        <v>115</v>
      </c>
      <c r="J24" s="2" t="s">
        <v>7</v>
      </c>
      <c r="K24" s="4">
        <v>46234</v>
      </c>
      <c r="L24" s="4">
        <v>46234</v>
      </c>
      <c r="M24" s="2">
        <v>25</v>
      </c>
    </row>
    <row r="25" spans="1:13" ht="25.05" hidden="1" customHeight="1">
      <c r="A25" s="2" t="s">
        <v>39</v>
      </c>
      <c r="B25" s="2" t="s">
        <v>59</v>
      </c>
      <c r="C25" s="2" t="s">
        <v>57</v>
      </c>
      <c r="D25" s="2"/>
      <c r="E25" s="2" t="s">
        <v>392</v>
      </c>
      <c r="F25" s="2"/>
      <c r="G25" s="2" t="s">
        <v>117</v>
      </c>
      <c r="H25" s="2" t="s">
        <v>91</v>
      </c>
      <c r="I25" s="2" t="s">
        <v>115</v>
      </c>
      <c r="J25" s="2" t="s">
        <v>2</v>
      </c>
      <c r="K25" s="4"/>
      <c r="L25" s="4"/>
      <c r="M25" s="2"/>
    </row>
    <row r="26" spans="1:13" ht="25.05" hidden="1" customHeight="1">
      <c r="A26" s="87" t="s">
        <v>39</v>
      </c>
      <c r="B26" s="87" t="s">
        <v>60</v>
      </c>
      <c r="C26" s="87" t="s">
        <v>57</v>
      </c>
      <c r="D26" s="87" t="s">
        <v>123</v>
      </c>
      <c r="E26" s="87" t="s">
        <v>124</v>
      </c>
      <c r="F26" s="87"/>
      <c r="G26" s="87" t="s">
        <v>99</v>
      </c>
      <c r="H26" s="87" t="s">
        <v>100</v>
      </c>
      <c r="I26" s="87" t="s">
        <v>125</v>
      </c>
      <c r="J26" s="87" t="s">
        <v>3</v>
      </c>
      <c r="K26" s="90">
        <v>46335</v>
      </c>
      <c r="L26" s="90"/>
      <c r="M26" s="87">
        <v>26</v>
      </c>
    </row>
    <row r="27" spans="1:13" ht="25.05" hidden="1" customHeight="1">
      <c r="A27" s="2" t="s">
        <v>39</v>
      </c>
      <c r="B27" s="2" t="s">
        <v>60</v>
      </c>
      <c r="C27" s="2" t="s">
        <v>57</v>
      </c>
      <c r="D27" s="2"/>
      <c r="E27" s="2" t="s">
        <v>126</v>
      </c>
      <c r="F27" s="2"/>
      <c r="G27" s="2" t="s">
        <v>117</v>
      </c>
      <c r="H27" s="2" t="s">
        <v>91</v>
      </c>
      <c r="I27" s="2" t="s">
        <v>125</v>
      </c>
      <c r="J27" s="2" t="s">
        <v>7</v>
      </c>
      <c r="K27" s="4">
        <v>46276</v>
      </c>
      <c r="L27" s="4">
        <v>46317</v>
      </c>
      <c r="M27" s="2">
        <v>27</v>
      </c>
    </row>
    <row r="28" spans="1:13" ht="25.05" hidden="1" customHeight="1">
      <c r="A28" s="2" t="s">
        <v>39</v>
      </c>
      <c r="B28" s="2" t="s">
        <v>60</v>
      </c>
      <c r="C28" s="2" t="s">
        <v>57</v>
      </c>
      <c r="D28" s="2"/>
      <c r="E28" s="2" t="s">
        <v>127</v>
      </c>
      <c r="F28" s="2"/>
      <c r="G28" s="2" t="s">
        <v>117</v>
      </c>
      <c r="H28" s="2" t="s">
        <v>91</v>
      </c>
      <c r="I28" s="2" t="s">
        <v>125</v>
      </c>
      <c r="J28" s="2" t="s">
        <v>7</v>
      </c>
      <c r="K28" s="4">
        <v>46286</v>
      </c>
      <c r="L28" s="95">
        <v>46290</v>
      </c>
      <c r="M28" s="2">
        <v>28</v>
      </c>
    </row>
    <row r="29" spans="1:13" ht="25.05" hidden="1" customHeight="1">
      <c r="A29" s="2" t="s">
        <v>39</v>
      </c>
      <c r="B29" s="2" t="s">
        <v>60</v>
      </c>
      <c r="C29" s="2" t="s">
        <v>57</v>
      </c>
      <c r="D29" s="2"/>
      <c r="E29" s="2" t="s">
        <v>396</v>
      </c>
      <c r="F29" s="2"/>
      <c r="G29" s="87" t="s">
        <v>99</v>
      </c>
      <c r="H29" s="2" t="s">
        <v>91</v>
      </c>
      <c r="I29" s="2" t="s">
        <v>125</v>
      </c>
      <c r="J29" s="2" t="s">
        <v>3</v>
      </c>
      <c r="K29" s="4">
        <v>46363</v>
      </c>
      <c r="L29" s="4"/>
      <c r="M29" s="2">
        <v>29</v>
      </c>
    </row>
    <row r="30" spans="1:13" ht="25.05" hidden="1" customHeight="1">
      <c r="A30" s="2" t="s">
        <v>39</v>
      </c>
      <c r="B30" s="2" t="s">
        <v>60</v>
      </c>
      <c r="C30" s="2" t="s">
        <v>57</v>
      </c>
      <c r="D30" s="2"/>
      <c r="E30" s="2" t="s">
        <v>128</v>
      </c>
      <c r="F30" s="2"/>
      <c r="G30" s="2" t="s">
        <v>117</v>
      </c>
      <c r="H30" s="2" t="s">
        <v>91</v>
      </c>
      <c r="I30" s="2" t="s">
        <v>125</v>
      </c>
      <c r="J30" s="2" t="s">
        <v>3</v>
      </c>
      <c r="K30" s="4">
        <v>46308</v>
      </c>
      <c r="L30" s="4"/>
      <c r="M30" s="2">
        <v>30</v>
      </c>
    </row>
    <row r="31" spans="1:13" ht="25.05" hidden="1" customHeight="1">
      <c r="A31" s="2" t="s">
        <v>39</v>
      </c>
      <c r="B31" s="2" t="s">
        <v>60</v>
      </c>
      <c r="C31" s="2" t="s">
        <v>57</v>
      </c>
      <c r="D31" s="2"/>
      <c r="E31" s="2" t="s">
        <v>4</v>
      </c>
      <c r="F31" s="2"/>
      <c r="G31" s="2" t="s">
        <v>117</v>
      </c>
      <c r="H31" s="2" t="s">
        <v>91</v>
      </c>
      <c r="I31" s="2" t="s">
        <v>125</v>
      </c>
      <c r="J31" s="2" t="s">
        <v>2</v>
      </c>
      <c r="K31" s="4">
        <v>46315</v>
      </c>
      <c r="L31" s="4"/>
      <c r="M31" s="2">
        <v>31</v>
      </c>
    </row>
    <row r="32" spans="1:13" ht="25.05" hidden="1" customHeight="1">
      <c r="A32" s="2" t="s">
        <v>39</v>
      </c>
      <c r="B32" s="2" t="s">
        <v>60</v>
      </c>
      <c r="C32" s="2" t="s">
        <v>57</v>
      </c>
      <c r="D32" s="2"/>
      <c r="E32" s="2" t="s">
        <v>129</v>
      </c>
      <c r="F32" s="2"/>
      <c r="G32" s="2" t="s">
        <v>117</v>
      </c>
      <c r="H32" s="2" t="s">
        <v>91</v>
      </c>
      <c r="I32" s="2" t="s">
        <v>125</v>
      </c>
      <c r="J32" s="2" t="s">
        <v>7</v>
      </c>
      <c r="K32" s="4">
        <v>46318</v>
      </c>
      <c r="L32" s="4">
        <v>46290</v>
      </c>
      <c r="M32" s="2">
        <v>32</v>
      </c>
    </row>
    <row r="33" spans="1:13" ht="25.05" hidden="1" customHeight="1">
      <c r="A33" s="2" t="s">
        <v>39</v>
      </c>
      <c r="B33" s="2" t="s">
        <v>60</v>
      </c>
      <c r="C33" s="2" t="s">
        <v>57</v>
      </c>
      <c r="D33" s="2"/>
      <c r="E33" s="2" t="s">
        <v>4</v>
      </c>
      <c r="F33" s="2"/>
      <c r="G33" s="2" t="s">
        <v>117</v>
      </c>
      <c r="H33" s="2" t="s">
        <v>91</v>
      </c>
      <c r="I33" s="2" t="s">
        <v>125</v>
      </c>
      <c r="J33" s="2" t="s">
        <v>2</v>
      </c>
      <c r="K33" s="4">
        <v>46325</v>
      </c>
      <c r="L33" s="4"/>
      <c r="M33" s="2">
        <v>33</v>
      </c>
    </row>
    <row r="34" spans="1:13" ht="25.05" hidden="1" customHeight="1">
      <c r="A34" s="2" t="s">
        <v>39</v>
      </c>
      <c r="B34" s="2" t="s">
        <v>60</v>
      </c>
      <c r="C34" s="2" t="s">
        <v>57</v>
      </c>
      <c r="D34" s="2"/>
      <c r="E34" s="2" t="s">
        <v>130</v>
      </c>
      <c r="F34" s="2"/>
      <c r="G34" s="2" t="s">
        <v>117</v>
      </c>
      <c r="H34" s="2" t="s">
        <v>91</v>
      </c>
      <c r="I34" s="2" t="s">
        <v>125</v>
      </c>
      <c r="J34" s="2" t="s">
        <v>7</v>
      </c>
      <c r="K34" s="4">
        <v>46331</v>
      </c>
      <c r="L34" s="4">
        <v>46288</v>
      </c>
      <c r="M34" s="2">
        <v>34</v>
      </c>
    </row>
    <row r="35" spans="1:13" ht="25.05" hidden="1" customHeight="1">
      <c r="A35" s="2" t="s">
        <v>39</v>
      </c>
      <c r="B35" s="2" t="s">
        <v>60</v>
      </c>
      <c r="C35" s="2" t="s">
        <v>57</v>
      </c>
      <c r="D35" s="2"/>
      <c r="E35" s="2" t="s">
        <v>4</v>
      </c>
      <c r="F35" s="2"/>
      <c r="G35" s="2" t="s">
        <v>117</v>
      </c>
      <c r="H35" s="2" t="s">
        <v>91</v>
      </c>
      <c r="I35" s="2" t="s">
        <v>125</v>
      </c>
      <c r="J35" s="2" t="s">
        <v>2</v>
      </c>
      <c r="K35" s="4">
        <v>46338</v>
      </c>
      <c r="L35" s="4"/>
      <c r="M35" s="2">
        <v>35</v>
      </c>
    </row>
    <row r="36" spans="1:13" ht="25.05" hidden="1" customHeight="1">
      <c r="A36" s="2" t="s">
        <v>39</v>
      </c>
      <c r="B36" s="2" t="s">
        <v>60</v>
      </c>
      <c r="C36" s="2" t="s">
        <v>57</v>
      </c>
      <c r="D36" s="2"/>
      <c r="E36" s="2" t="s">
        <v>131</v>
      </c>
      <c r="F36" s="2"/>
      <c r="G36" s="2" t="s">
        <v>117</v>
      </c>
      <c r="H36" s="2" t="s">
        <v>91</v>
      </c>
      <c r="I36" s="2" t="s">
        <v>125</v>
      </c>
      <c r="J36" s="2" t="s">
        <v>2</v>
      </c>
      <c r="K36" s="4">
        <v>46344</v>
      </c>
      <c r="L36" s="4"/>
      <c r="M36" s="2">
        <v>36</v>
      </c>
    </row>
    <row r="37" spans="1:13" ht="25.05" hidden="1" customHeight="1">
      <c r="A37" s="2" t="s">
        <v>39</v>
      </c>
      <c r="B37" s="2" t="s">
        <v>60</v>
      </c>
      <c r="C37" s="2" t="s">
        <v>57</v>
      </c>
      <c r="D37" s="2"/>
      <c r="E37" s="2" t="s">
        <v>4</v>
      </c>
      <c r="F37" s="2"/>
      <c r="G37" s="2" t="s">
        <v>117</v>
      </c>
      <c r="H37" s="2" t="s">
        <v>91</v>
      </c>
      <c r="I37" s="2" t="s">
        <v>125</v>
      </c>
      <c r="J37" s="2" t="s">
        <v>2</v>
      </c>
      <c r="K37" s="4">
        <v>46352</v>
      </c>
      <c r="L37" s="4"/>
      <c r="M37" s="2">
        <v>37</v>
      </c>
    </row>
    <row r="38" spans="1:13" ht="25.05" hidden="1" customHeight="1">
      <c r="A38" s="2" t="s">
        <v>39</v>
      </c>
      <c r="B38" s="2" t="s">
        <v>60</v>
      </c>
      <c r="C38" s="2" t="s">
        <v>57</v>
      </c>
      <c r="D38" s="2"/>
      <c r="E38" s="2" t="s">
        <v>132</v>
      </c>
      <c r="F38" s="2"/>
      <c r="G38" s="2" t="s">
        <v>117</v>
      </c>
      <c r="H38" s="2" t="s">
        <v>91</v>
      </c>
      <c r="I38" s="2" t="s">
        <v>125</v>
      </c>
      <c r="J38" s="2" t="s">
        <v>2</v>
      </c>
      <c r="K38" s="4">
        <v>46356</v>
      </c>
      <c r="L38" s="4"/>
      <c r="M38" s="2">
        <v>38</v>
      </c>
    </row>
    <row r="39" spans="1:13" ht="25.05" hidden="1" customHeight="1">
      <c r="A39" s="2" t="s">
        <v>39</v>
      </c>
      <c r="B39" s="2" t="s">
        <v>60</v>
      </c>
      <c r="C39" s="2" t="s">
        <v>57</v>
      </c>
      <c r="D39" s="2"/>
      <c r="E39" s="2" t="s">
        <v>4</v>
      </c>
      <c r="F39" s="2"/>
      <c r="G39" s="2" t="s">
        <v>117</v>
      </c>
      <c r="H39" s="2" t="s">
        <v>91</v>
      </c>
      <c r="I39" s="2" t="s">
        <v>125</v>
      </c>
      <c r="J39" s="2" t="s">
        <v>2</v>
      </c>
      <c r="K39" s="4">
        <v>46363</v>
      </c>
      <c r="L39" s="4"/>
      <c r="M39" s="2">
        <v>39</v>
      </c>
    </row>
    <row r="40" spans="1:13" ht="25.05" hidden="1" customHeight="1">
      <c r="A40" s="2" t="s">
        <v>39</v>
      </c>
      <c r="B40" s="2" t="s">
        <v>60</v>
      </c>
      <c r="C40" s="2" t="s">
        <v>57</v>
      </c>
      <c r="D40" s="2" t="s">
        <v>133</v>
      </c>
      <c r="E40" s="2" t="s">
        <v>134</v>
      </c>
      <c r="F40" s="2"/>
      <c r="G40" s="2" t="s">
        <v>117</v>
      </c>
      <c r="H40" s="2" t="s">
        <v>91</v>
      </c>
      <c r="I40" s="2" t="s">
        <v>125</v>
      </c>
      <c r="J40" s="2" t="s">
        <v>7</v>
      </c>
      <c r="K40" s="4">
        <v>46244</v>
      </c>
      <c r="L40" s="4">
        <v>46246</v>
      </c>
      <c r="M40" s="2">
        <v>40</v>
      </c>
    </row>
    <row r="41" spans="1:13" ht="25.05" hidden="1" customHeight="1">
      <c r="A41" s="2" t="s">
        <v>39</v>
      </c>
      <c r="B41" s="2" t="s">
        <v>60</v>
      </c>
      <c r="C41" s="2" t="s">
        <v>57</v>
      </c>
      <c r="D41" s="2"/>
      <c r="E41" s="2" t="s">
        <v>4</v>
      </c>
      <c r="F41" s="2"/>
      <c r="G41" s="2" t="s">
        <v>117</v>
      </c>
      <c r="H41" s="2" t="s">
        <v>91</v>
      </c>
      <c r="I41" s="2" t="s">
        <v>125</v>
      </c>
      <c r="J41" s="2" t="s">
        <v>7</v>
      </c>
      <c r="K41" s="4">
        <v>46247</v>
      </c>
      <c r="L41" s="4">
        <v>46246</v>
      </c>
      <c r="M41" s="2">
        <v>41</v>
      </c>
    </row>
    <row r="42" spans="1:13" ht="25.05" hidden="1" customHeight="1">
      <c r="A42" s="2" t="s">
        <v>39</v>
      </c>
      <c r="B42" s="2" t="s">
        <v>60</v>
      </c>
      <c r="C42" s="2" t="s">
        <v>57</v>
      </c>
      <c r="D42" s="2" t="s">
        <v>135</v>
      </c>
      <c r="E42" s="2" t="s">
        <v>136</v>
      </c>
      <c r="F42" s="2"/>
      <c r="G42" s="2" t="s">
        <v>117</v>
      </c>
      <c r="H42" s="2" t="s">
        <v>91</v>
      </c>
      <c r="I42" s="2" t="s">
        <v>125</v>
      </c>
      <c r="J42" s="2" t="s">
        <v>7</v>
      </c>
      <c r="K42" s="4">
        <v>46258</v>
      </c>
      <c r="L42" s="4">
        <v>46258</v>
      </c>
      <c r="M42" s="2">
        <v>42</v>
      </c>
    </row>
    <row r="43" spans="1:13" ht="25.05" hidden="1" customHeight="1">
      <c r="A43" s="2" t="s">
        <v>39</v>
      </c>
      <c r="B43" s="2" t="s">
        <v>60</v>
      </c>
      <c r="C43" s="2" t="s">
        <v>57</v>
      </c>
      <c r="D43" s="2"/>
      <c r="E43" s="2" t="s">
        <v>4</v>
      </c>
      <c r="F43" s="2"/>
      <c r="G43" s="2" t="s">
        <v>117</v>
      </c>
      <c r="H43" s="2" t="s">
        <v>91</v>
      </c>
      <c r="I43" s="2" t="s">
        <v>125</v>
      </c>
      <c r="J43" s="2" t="s">
        <v>7</v>
      </c>
      <c r="K43" s="4">
        <v>46265</v>
      </c>
      <c r="L43" s="4">
        <v>46265</v>
      </c>
      <c r="M43" s="2">
        <v>43</v>
      </c>
    </row>
    <row r="44" spans="1:13" ht="25.05" hidden="1" customHeight="1">
      <c r="A44" s="2" t="s">
        <v>39</v>
      </c>
      <c r="B44" s="2" t="s">
        <v>60</v>
      </c>
      <c r="C44" s="2" t="s">
        <v>57</v>
      </c>
      <c r="D44" s="2" t="s">
        <v>137</v>
      </c>
      <c r="E44" s="2" t="s">
        <v>138</v>
      </c>
      <c r="F44" s="2"/>
      <c r="G44" s="2" t="s">
        <v>117</v>
      </c>
      <c r="H44" s="2" t="s">
        <v>91</v>
      </c>
      <c r="I44" s="2" t="s">
        <v>125</v>
      </c>
      <c r="J44" s="2" t="s">
        <v>7</v>
      </c>
      <c r="K44" s="4">
        <v>46267</v>
      </c>
      <c r="L44" s="4">
        <v>46267</v>
      </c>
      <c r="M44" s="2">
        <v>44</v>
      </c>
    </row>
    <row r="45" spans="1:13" ht="25.05" hidden="1" customHeight="1">
      <c r="A45" s="2" t="s">
        <v>39</v>
      </c>
      <c r="B45" s="2" t="s">
        <v>60</v>
      </c>
      <c r="C45" s="2" t="s">
        <v>57</v>
      </c>
      <c r="D45" s="2"/>
      <c r="E45" s="2" t="s">
        <v>4</v>
      </c>
      <c r="F45" s="2"/>
      <c r="G45" s="2" t="s">
        <v>117</v>
      </c>
      <c r="H45" s="2" t="s">
        <v>91</v>
      </c>
      <c r="I45" s="2" t="s">
        <v>125</v>
      </c>
      <c r="J45" s="2" t="s">
        <v>7</v>
      </c>
      <c r="K45" s="4">
        <v>46269</v>
      </c>
      <c r="L45" s="4">
        <v>46269</v>
      </c>
      <c r="M45" s="2">
        <v>45</v>
      </c>
    </row>
    <row r="46" spans="1:13" ht="25.05" hidden="1" customHeight="1">
      <c r="A46" s="2" t="s">
        <v>39</v>
      </c>
      <c r="B46" s="2" t="s">
        <v>60</v>
      </c>
      <c r="C46" s="2" t="s">
        <v>57</v>
      </c>
      <c r="D46" s="2" t="s">
        <v>139</v>
      </c>
      <c r="E46" s="2" t="s">
        <v>140</v>
      </c>
      <c r="F46" s="2"/>
      <c r="G46" s="2" t="s">
        <v>117</v>
      </c>
      <c r="H46" s="2" t="s">
        <v>91</v>
      </c>
      <c r="I46" s="2" t="s">
        <v>125</v>
      </c>
      <c r="J46" s="2" t="s">
        <v>7</v>
      </c>
      <c r="K46" s="4">
        <v>46274</v>
      </c>
      <c r="L46" s="4">
        <v>46274</v>
      </c>
      <c r="M46" s="2">
        <v>46</v>
      </c>
    </row>
    <row r="47" spans="1:13" ht="25.05" hidden="1" customHeight="1">
      <c r="A47" s="2" t="s">
        <v>39</v>
      </c>
      <c r="B47" s="2" t="s">
        <v>60</v>
      </c>
      <c r="C47" s="2" t="s">
        <v>57</v>
      </c>
      <c r="D47" s="2"/>
      <c r="E47" s="2" t="s">
        <v>4</v>
      </c>
      <c r="F47" s="2"/>
      <c r="G47" s="2" t="s">
        <v>117</v>
      </c>
      <c r="H47" s="2" t="s">
        <v>91</v>
      </c>
      <c r="I47" s="2" t="s">
        <v>125</v>
      </c>
      <c r="J47" s="2" t="s">
        <v>7</v>
      </c>
      <c r="K47" s="4">
        <v>46276</v>
      </c>
      <c r="L47" s="4">
        <v>46280</v>
      </c>
      <c r="M47" s="2">
        <v>47</v>
      </c>
    </row>
    <row r="48" spans="1:13" ht="25.05" hidden="1" customHeight="1">
      <c r="A48" s="2" t="s">
        <v>39</v>
      </c>
      <c r="B48" s="2" t="s">
        <v>60</v>
      </c>
      <c r="C48" s="2" t="s">
        <v>57</v>
      </c>
      <c r="D48" s="2" t="s">
        <v>141</v>
      </c>
      <c r="E48" s="2" t="s">
        <v>142</v>
      </c>
      <c r="F48" s="2"/>
      <c r="G48" s="2" t="s">
        <v>117</v>
      </c>
      <c r="H48" s="2" t="s">
        <v>91</v>
      </c>
      <c r="I48" s="2" t="s">
        <v>125</v>
      </c>
      <c r="J48" s="2" t="s">
        <v>7</v>
      </c>
      <c r="K48" s="4">
        <v>46280</v>
      </c>
      <c r="L48" s="4">
        <v>46261</v>
      </c>
      <c r="M48" s="2">
        <v>48</v>
      </c>
    </row>
    <row r="49" spans="1:13" ht="25.05" hidden="1" customHeight="1">
      <c r="A49" s="2" t="s">
        <v>39</v>
      </c>
      <c r="B49" s="2" t="s">
        <v>60</v>
      </c>
      <c r="C49" s="2" t="s">
        <v>57</v>
      </c>
      <c r="D49" s="2"/>
      <c r="E49" s="2" t="s">
        <v>4</v>
      </c>
      <c r="F49" s="2"/>
      <c r="G49" s="2" t="s">
        <v>117</v>
      </c>
      <c r="H49" s="2" t="s">
        <v>91</v>
      </c>
      <c r="I49" s="2" t="s">
        <v>125</v>
      </c>
      <c r="J49" s="2" t="s">
        <v>7</v>
      </c>
      <c r="K49" s="4">
        <v>46281</v>
      </c>
      <c r="L49" s="4">
        <v>46262</v>
      </c>
      <c r="M49" s="2">
        <v>49</v>
      </c>
    </row>
    <row r="50" spans="1:13" ht="25.05" hidden="1" customHeight="1">
      <c r="A50" s="2" t="s">
        <v>39</v>
      </c>
      <c r="B50" s="2" t="s">
        <v>60</v>
      </c>
      <c r="C50" s="2" t="s">
        <v>57</v>
      </c>
      <c r="D50" s="2" t="s">
        <v>143</v>
      </c>
      <c r="E50" s="2" t="s">
        <v>144</v>
      </c>
      <c r="F50" s="2"/>
      <c r="G50" s="2" t="s">
        <v>117</v>
      </c>
      <c r="H50" s="2" t="s">
        <v>91</v>
      </c>
      <c r="I50" s="2" t="s">
        <v>125</v>
      </c>
      <c r="J50" s="2" t="s">
        <v>7</v>
      </c>
      <c r="K50" s="4">
        <v>46283</v>
      </c>
      <c r="L50" s="4">
        <v>46261</v>
      </c>
      <c r="M50" s="2">
        <v>50</v>
      </c>
    </row>
    <row r="51" spans="1:13" ht="25.05" hidden="1" customHeight="1">
      <c r="A51" s="2" t="s">
        <v>39</v>
      </c>
      <c r="B51" s="2" t="s">
        <v>60</v>
      </c>
      <c r="C51" s="2" t="s">
        <v>57</v>
      </c>
      <c r="D51" s="2"/>
      <c r="E51" s="2" t="s">
        <v>4</v>
      </c>
      <c r="F51" s="2"/>
      <c r="G51" s="2" t="s">
        <v>117</v>
      </c>
      <c r="H51" s="2" t="s">
        <v>91</v>
      </c>
      <c r="I51" s="2" t="s">
        <v>125</v>
      </c>
      <c r="J51" s="2" t="s">
        <v>7</v>
      </c>
      <c r="K51" s="4">
        <v>46286</v>
      </c>
      <c r="L51" s="4">
        <v>46262</v>
      </c>
      <c r="M51" s="2">
        <v>51</v>
      </c>
    </row>
    <row r="52" spans="1:13" ht="25.05" hidden="1" customHeight="1">
      <c r="A52" s="2" t="s">
        <v>39</v>
      </c>
      <c r="B52" s="2" t="s">
        <v>60</v>
      </c>
      <c r="C52" s="2" t="s">
        <v>57</v>
      </c>
      <c r="D52" s="2" t="s">
        <v>145</v>
      </c>
      <c r="E52" s="2" t="s">
        <v>146</v>
      </c>
      <c r="F52" s="2"/>
      <c r="G52" s="2" t="s">
        <v>117</v>
      </c>
      <c r="H52" s="2" t="s">
        <v>91</v>
      </c>
      <c r="I52" s="2" t="s">
        <v>125</v>
      </c>
      <c r="J52" s="2" t="s">
        <v>7</v>
      </c>
      <c r="K52" s="4">
        <v>46288</v>
      </c>
      <c r="L52" s="4">
        <v>46266</v>
      </c>
      <c r="M52" s="2">
        <v>52</v>
      </c>
    </row>
    <row r="53" spans="1:13" ht="25.05" hidden="1" customHeight="1">
      <c r="A53" s="2" t="s">
        <v>39</v>
      </c>
      <c r="B53" s="2" t="s">
        <v>60</v>
      </c>
      <c r="C53" s="2" t="s">
        <v>57</v>
      </c>
      <c r="D53" s="2"/>
      <c r="E53" s="2" t="s">
        <v>4</v>
      </c>
      <c r="F53" s="2"/>
      <c r="G53" s="2" t="s">
        <v>117</v>
      </c>
      <c r="H53" s="2" t="s">
        <v>91</v>
      </c>
      <c r="I53" s="2" t="s">
        <v>125</v>
      </c>
      <c r="J53" s="2" t="s">
        <v>7</v>
      </c>
      <c r="K53" s="4">
        <v>46289</v>
      </c>
      <c r="L53" s="4">
        <v>46266</v>
      </c>
      <c r="M53" s="2">
        <v>53</v>
      </c>
    </row>
    <row r="54" spans="1:13" ht="25.05" hidden="1" customHeight="1">
      <c r="A54" s="2" t="s">
        <v>39</v>
      </c>
      <c r="B54" s="2" t="s">
        <v>60</v>
      </c>
      <c r="C54" s="2" t="s">
        <v>57</v>
      </c>
      <c r="D54" s="2" t="s">
        <v>147</v>
      </c>
      <c r="E54" s="2" t="s">
        <v>148</v>
      </c>
      <c r="F54" s="2"/>
      <c r="G54" s="2" t="s">
        <v>117</v>
      </c>
      <c r="H54" s="2" t="s">
        <v>91</v>
      </c>
      <c r="I54" s="2" t="s">
        <v>125</v>
      </c>
      <c r="J54" s="2" t="s">
        <v>7</v>
      </c>
      <c r="K54" s="4">
        <v>46293</v>
      </c>
      <c r="L54" s="4">
        <v>46266</v>
      </c>
      <c r="M54" s="2">
        <v>54</v>
      </c>
    </row>
    <row r="55" spans="1:13" ht="25.05" hidden="1" customHeight="1">
      <c r="A55" s="2" t="s">
        <v>39</v>
      </c>
      <c r="B55" s="2" t="s">
        <v>60</v>
      </c>
      <c r="C55" s="2" t="s">
        <v>57</v>
      </c>
      <c r="D55" s="2"/>
      <c r="E55" s="2" t="s">
        <v>4</v>
      </c>
      <c r="F55" s="2"/>
      <c r="G55" s="2" t="s">
        <v>117</v>
      </c>
      <c r="H55" s="2" t="s">
        <v>91</v>
      </c>
      <c r="I55" s="2" t="s">
        <v>125</v>
      </c>
      <c r="J55" s="2" t="s">
        <v>7</v>
      </c>
      <c r="K55" s="4">
        <v>46294</v>
      </c>
      <c r="L55" s="4">
        <v>46266</v>
      </c>
      <c r="M55" s="2">
        <v>55</v>
      </c>
    </row>
    <row r="56" spans="1:13" ht="25.05" hidden="1" customHeight="1">
      <c r="A56" s="2" t="s">
        <v>39</v>
      </c>
      <c r="B56" s="2" t="s">
        <v>60</v>
      </c>
      <c r="C56" s="2" t="s">
        <v>57</v>
      </c>
      <c r="D56" s="2" t="s">
        <v>149</v>
      </c>
      <c r="E56" s="2" t="s">
        <v>150</v>
      </c>
      <c r="F56" s="2"/>
      <c r="G56" s="2" t="s">
        <v>117</v>
      </c>
      <c r="H56" s="2" t="s">
        <v>91</v>
      </c>
      <c r="I56" s="2" t="s">
        <v>125</v>
      </c>
      <c r="J56" s="2" t="s">
        <v>7</v>
      </c>
      <c r="K56" s="4">
        <v>46303</v>
      </c>
      <c r="L56" s="4">
        <v>46258</v>
      </c>
      <c r="M56" s="2">
        <v>56</v>
      </c>
    </row>
    <row r="57" spans="1:13" ht="25.05" hidden="1" customHeight="1">
      <c r="A57" s="2" t="s">
        <v>39</v>
      </c>
      <c r="B57" s="2" t="s">
        <v>60</v>
      </c>
      <c r="C57" s="2" t="s">
        <v>57</v>
      </c>
      <c r="D57" s="2"/>
      <c r="E57" s="2" t="s">
        <v>4</v>
      </c>
      <c r="F57" s="2"/>
      <c r="G57" s="2" t="s">
        <v>117</v>
      </c>
      <c r="H57" s="2" t="s">
        <v>91</v>
      </c>
      <c r="I57" s="2" t="s">
        <v>125</v>
      </c>
      <c r="J57" s="2" t="s">
        <v>7</v>
      </c>
      <c r="K57" s="4">
        <v>46311</v>
      </c>
      <c r="L57" s="4">
        <v>46301</v>
      </c>
      <c r="M57" s="2">
        <v>57</v>
      </c>
    </row>
    <row r="58" spans="1:13" ht="25.05" hidden="1" customHeight="1">
      <c r="A58" s="2" t="s">
        <v>39</v>
      </c>
      <c r="B58" s="2" t="s">
        <v>60</v>
      </c>
      <c r="C58" s="2" t="s">
        <v>57</v>
      </c>
      <c r="D58" s="2" t="s">
        <v>151</v>
      </c>
      <c r="E58" s="2" t="s">
        <v>152</v>
      </c>
      <c r="F58" s="2"/>
      <c r="G58" s="2" t="s">
        <v>117</v>
      </c>
      <c r="H58" s="2" t="s">
        <v>91</v>
      </c>
      <c r="I58" s="2" t="s">
        <v>125</v>
      </c>
      <c r="J58" s="2" t="s">
        <v>7</v>
      </c>
      <c r="K58" s="4">
        <v>46316</v>
      </c>
      <c r="L58" s="4">
        <v>46308</v>
      </c>
      <c r="M58" s="2">
        <v>58</v>
      </c>
    </row>
    <row r="59" spans="1:13" ht="25.05" hidden="1" customHeight="1">
      <c r="A59" s="2" t="s">
        <v>39</v>
      </c>
      <c r="B59" s="2" t="s">
        <v>60</v>
      </c>
      <c r="C59" s="2" t="s">
        <v>57</v>
      </c>
      <c r="D59" s="2"/>
      <c r="E59" s="2" t="s">
        <v>4</v>
      </c>
      <c r="F59" s="2"/>
      <c r="G59" s="2" t="s">
        <v>117</v>
      </c>
      <c r="H59" s="2" t="s">
        <v>91</v>
      </c>
      <c r="I59" s="2" t="s">
        <v>125</v>
      </c>
      <c r="J59" s="2" t="s">
        <v>7</v>
      </c>
      <c r="K59" s="4">
        <v>46317</v>
      </c>
      <c r="L59" s="4">
        <v>46308</v>
      </c>
      <c r="M59" s="2">
        <v>59</v>
      </c>
    </row>
    <row r="60" spans="1:13" ht="25.05" hidden="1" customHeight="1">
      <c r="A60" s="2" t="s">
        <v>39</v>
      </c>
      <c r="B60" s="2" t="s">
        <v>60</v>
      </c>
      <c r="C60" s="2" t="s">
        <v>57</v>
      </c>
      <c r="D60" s="2" t="s">
        <v>153</v>
      </c>
      <c r="E60" s="2" t="s">
        <v>154</v>
      </c>
      <c r="F60" s="2"/>
      <c r="G60" s="2" t="s">
        <v>117</v>
      </c>
      <c r="H60" s="2" t="s">
        <v>91</v>
      </c>
      <c r="I60" s="2" t="s">
        <v>125</v>
      </c>
      <c r="J60" s="2" t="s">
        <v>7</v>
      </c>
      <c r="K60" s="4">
        <v>46322</v>
      </c>
      <c r="L60" s="4">
        <v>46309</v>
      </c>
      <c r="M60" s="2">
        <v>60</v>
      </c>
    </row>
    <row r="61" spans="1:13" ht="25.05" hidden="1" customHeight="1">
      <c r="A61" s="2" t="s">
        <v>39</v>
      </c>
      <c r="B61" s="2" t="s">
        <v>60</v>
      </c>
      <c r="C61" s="2" t="s">
        <v>57</v>
      </c>
      <c r="D61" s="2"/>
      <c r="E61" s="2" t="s">
        <v>4</v>
      </c>
      <c r="F61" s="2"/>
      <c r="G61" s="2" t="s">
        <v>117</v>
      </c>
      <c r="H61" s="2" t="s">
        <v>91</v>
      </c>
      <c r="I61" s="2" t="s">
        <v>125</v>
      </c>
      <c r="J61" s="2" t="s">
        <v>7</v>
      </c>
      <c r="K61" s="4">
        <v>46323</v>
      </c>
      <c r="L61" s="4">
        <v>46309</v>
      </c>
      <c r="M61" s="2">
        <v>61</v>
      </c>
    </row>
    <row r="62" spans="1:13" ht="25.05" hidden="1" customHeight="1">
      <c r="A62" s="2" t="s">
        <v>39</v>
      </c>
      <c r="B62" s="2" t="s">
        <v>60</v>
      </c>
      <c r="C62" s="2" t="s">
        <v>57</v>
      </c>
      <c r="D62" s="2" t="s">
        <v>155</v>
      </c>
      <c r="E62" s="2" t="s">
        <v>156</v>
      </c>
      <c r="F62" s="2"/>
      <c r="G62" s="2" t="s">
        <v>117</v>
      </c>
      <c r="H62" s="2" t="s">
        <v>91</v>
      </c>
      <c r="I62" s="2" t="s">
        <v>125</v>
      </c>
      <c r="J62" s="2" t="s">
        <v>2</v>
      </c>
      <c r="K62" s="4">
        <v>46330</v>
      </c>
      <c r="L62" s="4"/>
      <c r="M62" s="2">
        <v>62</v>
      </c>
    </row>
    <row r="63" spans="1:13" ht="25.05" hidden="1" customHeight="1">
      <c r="A63" s="2" t="s">
        <v>39</v>
      </c>
      <c r="B63" s="2" t="s">
        <v>60</v>
      </c>
      <c r="C63" s="2" t="s">
        <v>57</v>
      </c>
      <c r="D63" s="2"/>
      <c r="E63" s="2" t="s">
        <v>4</v>
      </c>
      <c r="F63" s="2"/>
      <c r="G63" s="2" t="s">
        <v>117</v>
      </c>
      <c r="H63" s="2" t="s">
        <v>91</v>
      </c>
      <c r="I63" s="2" t="s">
        <v>125</v>
      </c>
      <c r="J63" s="2" t="s">
        <v>2</v>
      </c>
      <c r="K63" s="4">
        <v>46332</v>
      </c>
      <c r="L63" s="4"/>
      <c r="M63" s="2">
        <v>63</v>
      </c>
    </row>
    <row r="64" spans="1:13" ht="25.05" hidden="1" customHeight="1">
      <c r="A64" s="2" t="s">
        <v>39</v>
      </c>
      <c r="B64" s="2" t="s">
        <v>60</v>
      </c>
      <c r="C64" s="2" t="s">
        <v>57</v>
      </c>
      <c r="D64" s="2" t="s">
        <v>157</v>
      </c>
      <c r="E64" s="2" t="s">
        <v>158</v>
      </c>
      <c r="F64" s="2"/>
      <c r="G64" s="2" t="s">
        <v>117</v>
      </c>
      <c r="H64" s="2" t="s">
        <v>91</v>
      </c>
      <c r="I64" s="2" t="s">
        <v>125</v>
      </c>
      <c r="J64" s="2" t="s">
        <v>2</v>
      </c>
      <c r="K64" s="4">
        <v>46337</v>
      </c>
      <c r="L64" s="4"/>
      <c r="M64" s="2">
        <v>64</v>
      </c>
    </row>
    <row r="65" spans="1:13" ht="25.05" hidden="1" customHeight="1">
      <c r="A65" s="2" t="s">
        <v>39</v>
      </c>
      <c r="B65" s="2" t="s">
        <v>60</v>
      </c>
      <c r="C65" s="2" t="s">
        <v>57</v>
      </c>
      <c r="D65" s="2"/>
      <c r="E65" s="2" t="s">
        <v>4</v>
      </c>
      <c r="F65" s="2"/>
      <c r="G65" s="2" t="s">
        <v>117</v>
      </c>
      <c r="H65" s="2" t="s">
        <v>91</v>
      </c>
      <c r="I65" s="2" t="s">
        <v>125</v>
      </c>
      <c r="J65" s="2" t="s">
        <v>2</v>
      </c>
      <c r="K65" s="4">
        <v>46338</v>
      </c>
      <c r="L65" s="4"/>
      <c r="M65" s="2">
        <v>65</v>
      </c>
    </row>
    <row r="66" spans="1:13" ht="25.05" hidden="1" customHeight="1">
      <c r="A66" s="2" t="s">
        <v>39</v>
      </c>
      <c r="B66" s="2" t="s">
        <v>60</v>
      </c>
      <c r="C66" s="2" t="s">
        <v>57</v>
      </c>
      <c r="D66" s="2" t="s">
        <v>159</v>
      </c>
      <c r="E66" s="2" t="s">
        <v>160</v>
      </c>
      <c r="F66" s="2"/>
      <c r="G66" s="2" t="s">
        <v>117</v>
      </c>
      <c r="H66" s="2" t="s">
        <v>91</v>
      </c>
      <c r="I66" s="2" t="s">
        <v>125</v>
      </c>
      <c r="J66" s="2" t="s">
        <v>7</v>
      </c>
      <c r="K66" s="4">
        <v>46342</v>
      </c>
      <c r="L66" s="4">
        <v>46252</v>
      </c>
      <c r="M66" s="2">
        <v>66</v>
      </c>
    </row>
    <row r="67" spans="1:13" ht="25.05" hidden="1" customHeight="1">
      <c r="A67" s="2" t="s">
        <v>39</v>
      </c>
      <c r="B67" s="2" t="s">
        <v>60</v>
      </c>
      <c r="C67" s="2" t="s">
        <v>57</v>
      </c>
      <c r="D67" s="2"/>
      <c r="E67" s="2" t="s">
        <v>4</v>
      </c>
      <c r="F67" s="2"/>
      <c r="G67" s="2" t="s">
        <v>117</v>
      </c>
      <c r="H67" s="2" t="s">
        <v>91</v>
      </c>
      <c r="I67" s="2" t="s">
        <v>125</v>
      </c>
      <c r="J67" s="2" t="s">
        <v>7</v>
      </c>
      <c r="K67" s="4">
        <v>46343</v>
      </c>
      <c r="L67" s="4">
        <v>46255</v>
      </c>
      <c r="M67" s="2">
        <v>67</v>
      </c>
    </row>
    <row r="68" spans="1:13" ht="25.05" hidden="1" customHeight="1">
      <c r="A68" s="2" t="s">
        <v>39</v>
      </c>
      <c r="B68" s="2" t="s">
        <v>60</v>
      </c>
      <c r="C68" s="2" t="s">
        <v>57</v>
      </c>
      <c r="D68" s="2" t="s">
        <v>161</v>
      </c>
      <c r="E68" s="2" t="s">
        <v>162</v>
      </c>
      <c r="F68" s="2"/>
      <c r="G68" s="2" t="s">
        <v>117</v>
      </c>
      <c r="H68" s="2" t="s">
        <v>91</v>
      </c>
      <c r="I68" s="2" t="s">
        <v>125</v>
      </c>
      <c r="J68" s="2" t="s">
        <v>7</v>
      </c>
      <c r="K68" s="4">
        <v>46349</v>
      </c>
      <c r="L68" s="4">
        <v>46253</v>
      </c>
      <c r="M68" s="2">
        <v>68</v>
      </c>
    </row>
    <row r="69" spans="1:13" ht="25.05" hidden="1" customHeight="1">
      <c r="A69" s="2" t="s">
        <v>39</v>
      </c>
      <c r="B69" s="2" t="s">
        <v>60</v>
      </c>
      <c r="C69" s="2" t="s">
        <v>57</v>
      </c>
      <c r="D69" s="2"/>
      <c r="E69" s="2" t="s">
        <v>4</v>
      </c>
      <c r="F69" s="2"/>
      <c r="G69" s="2" t="s">
        <v>117</v>
      </c>
      <c r="H69" s="2" t="s">
        <v>91</v>
      </c>
      <c r="I69" s="2" t="s">
        <v>125</v>
      </c>
      <c r="J69" s="2" t="s">
        <v>7</v>
      </c>
      <c r="K69" s="4">
        <v>46350</v>
      </c>
      <c r="L69" s="4">
        <v>46255</v>
      </c>
      <c r="M69" s="2">
        <v>69</v>
      </c>
    </row>
    <row r="70" spans="1:13" ht="25.05" hidden="1" customHeight="1">
      <c r="A70" s="2" t="s">
        <v>39</v>
      </c>
      <c r="B70" s="2" t="s">
        <v>60</v>
      </c>
      <c r="C70" s="2" t="s">
        <v>57</v>
      </c>
      <c r="D70" s="2" t="s">
        <v>163</v>
      </c>
      <c r="E70" s="2" t="s">
        <v>164</v>
      </c>
      <c r="F70" s="2"/>
      <c r="G70" s="2" t="s">
        <v>117</v>
      </c>
      <c r="H70" s="2" t="s">
        <v>91</v>
      </c>
      <c r="I70" s="2" t="s">
        <v>125</v>
      </c>
      <c r="J70" s="2" t="s">
        <v>7</v>
      </c>
      <c r="K70" s="4">
        <v>46352</v>
      </c>
      <c r="L70" s="4">
        <v>46265</v>
      </c>
      <c r="M70" s="2">
        <v>70</v>
      </c>
    </row>
    <row r="71" spans="1:13" ht="25.05" hidden="1" customHeight="1">
      <c r="A71" s="2" t="s">
        <v>39</v>
      </c>
      <c r="B71" s="2" t="s">
        <v>60</v>
      </c>
      <c r="C71" s="2" t="s">
        <v>57</v>
      </c>
      <c r="D71" s="2"/>
      <c r="E71" s="2" t="s">
        <v>4</v>
      </c>
      <c r="F71" s="2"/>
      <c r="G71" s="2" t="s">
        <v>117</v>
      </c>
      <c r="H71" s="2" t="s">
        <v>91</v>
      </c>
      <c r="I71" s="2" t="s">
        <v>125</v>
      </c>
      <c r="J71" s="2" t="s">
        <v>7</v>
      </c>
      <c r="K71" s="4">
        <v>46353</v>
      </c>
      <c r="L71" s="4">
        <v>46265</v>
      </c>
      <c r="M71" s="2">
        <v>71</v>
      </c>
    </row>
    <row r="72" spans="1:13" ht="25.05" hidden="1" customHeight="1">
      <c r="A72" s="2" t="s">
        <v>39</v>
      </c>
      <c r="B72" s="2" t="s">
        <v>60</v>
      </c>
      <c r="C72" s="2" t="s">
        <v>57</v>
      </c>
      <c r="D72" s="2" t="s">
        <v>165</v>
      </c>
      <c r="E72" s="2" t="s">
        <v>166</v>
      </c>
      <c r="F72" s="2"/>
      <c r="G72" s="2" t="s">
        <v>117</v>
      </c>
      <c r="H72" s="2" t="s">
        <v>91</v>
      </c>
      <c r="I72" s="2" t="s">
        <v>125</v>
      </c>
      <c r="J72" s="2" t="s">
        <v>7</v>
      </c>
      <c r="K72" s="4">
        <v>46345</v>
      </c>
      <c r="L72" s="4">
        <v>46269</v>
      </c>
      <c r="M72" s="2">
        <v>72</v>
      </c>
    </row>
    <row r="73" spans="1:13" ht="25.05" hidden="1" customHeight="1">
      <c r="A73" s="2" t="s">
        <v>39</v>
      </c>
      <c r="B73" s="2" t="s">
        <v>60</v>
      </c>
      <c r="C73" s="2" t="s">
        <v>57</v>
      </c>
      <c r="D73" s="2"/>
      <c r="E73" s="2" t="s">
        <v>4</v>
      </c>
      <c r="F73" s="2"/>
      <c r="G73" s="2" t="s">
        <v>117</v>
      </c>
      <c r="H73" s="2" t="s">
        <v>91</v>
      </c>
      <c r="I73" s="2" t="s">
        <v>125</v>
      </c>
      <c r="J73" s="2" t="s">
        <v>7</v>
      </c>
      <c r="K73" s="4">
        <v>46349</v>
      </c>
      <c r="L73" s="4">
        <v>46269</v>
      </c>
      <c r="M73" s="2">
        <v>73</v>
      </c>
    </row>
    <row r="74" spans="1:13" ht="25.05" hidden="1" customHeight="1">
      <c r="A74" s="2" t="s">
        <v>39</v>
      </c>
      <c r="B74" s="2" t="s">
        <v>60</v>
      </c>
      <c r="C74" s="2" t="s">
        <v>57</v>
      </c>
      <c r="D74" s="2" t="s">
        <v>167</v>
      </c>
      <c r="E74" s="2" t="s">
        <v>168</v>
      </c>
      <c r="F74" s="2"/>
      <c r="G74" s="2" t="s">
        <v>117</v>
      </c>
      <c r="H74" s="2" t="s">
        <v>91</v>
      </c>
      <c r="I74" s="2" t="s">
        <v>125</v>
      </c>
      <c r="J74" s="2" t="s">
        <v>7</v>
      </c>
      <c r="K74" s="4">
        <v>46351</v>
      </c>
      <c r="L74" s="4">
        <v>46281</v>
      </c>
      <c r="M74" s="2">
        <v>74</v>
      </c>
    </row>
    <row r="75" spans="1:13" ht="25.05" hidden="1" customHeight="1">
      <c r="A75" s="2" t="s">
        <v>39</v>
      </c>
      <c r="B75" s="2" t="s">
        <v>60</v>
      </c>
      <c r="C75" s="2" t="s">
        <v>57</v>
      </c>
      <c r="D75" s="2"/>
      <c r="E75" s="2" t="s">
        <v>4</v>
      </c>
      <c r="F75" s="2"/>
      <c r="G75" s="2" t="s">
        <v>117</v>
      </c>
      <c r="H75" s="2" t="s">
        <v>91</v>
      </c>
      <c r="I75" s="2" t="s">
        <v>125</v>
      </c>
      <c r="J75" s="2" t="s">
        <v>7</v>
      </c>
      <c r="K75" s="4">
        <v>46352</v>
      </c>
      <c r="L75" s="4">
        <v>46281</v>
      </c>
      <c r="M75" s="2">
        <v>75</v>
      </c>
    </row>
    <row r="76" spans="1:13" ht="25.05" hidden="1" customHeight="1">
      <c r="A76" s="2" t="s">
        <v>39</v>
      </c>
      <c r="B76" s="2" t="s">
        <v>60</v>
      </c>
      <c r="C76" s="2" t="s">
        <v>57</v>
      </c>
      <c r="D76" s="2" t="s">
        <v>169</v>
      </c>
      <c r="E76" s="2" t="s">
        <v>170</v>
      </c>
      <c r="F76" s="2"/>
      <c r="G76" s="2" t="s">
        <v>117</v>
      </c>
      <c r="H76" s="2" t="s">
        <v>91</v>
      </c>
      <c r="I76" s="2" t="s">
        <v>125</v>
      </c>
      <c r="J76" s="2" t="s">
        <v>7</v>
      </c>
      <c r="K76" s="4">
        <v>46356</v>
      </c>
      <c r="L76" s="4">
        <v>46287</v>
      </c>
      <c r="M76" s="2">
        <v>76</v>
      </c>
    </row>
    <row r="77" spans="1:13" ht="25.05" hidden="1" customHeight="1">
      <c r="A77" s="2" t="s">
        <v>39</v>
      </c>
      <c r="B77" s="2" t="s">
        <v>60</v>
      </c>
      <c r="C77" s="2" t="s">
        <v>57</v>
      </c>
      <c r="D77" s="2"/>
      <c r="E77" s="2" t="s">
        <v>4</v>
      </c>
      <c r="F77" s="2"/>
      <c r="G77" s="2" t="s">
        <v>117</v>
      </c>
      <c r="H77" s="2" t="s">
        <v>91</v>
      </c>
      <c r="I77" s="2" t="s">
        <v>125</v>
      </c>
      <c r="J77" s="2" t="s">
        <v>7</v>
      </c>
      <c r="K77" s="4">
        <v>46357</v>
      </c>
      <c r="L77" s="4">
        <v>46288</v>
      </c>
      <c r="M77" s="2">
        <v>77</v>
      </c>
    </row>
    <row r="78" spans="1:13" ht="25.05" hidden="1" customHeight="1">
      <c r="A78" s="2" t="s">
        <v>39</v>
      </c>
      <c r="B78" s="2" t="s">
        <v>60</v>
      </c>
      <c r="C78" s="2" t="s">
        <v>57</v>
      </c>
      <c r="D78" s="2" t="s">
        <v>171</v>
      </c>
      <c r="E78" s="2" t="s">
        <v>172</v>
      </c>
      <c r="F78" s="2"/>
      <c r="G78" s="2" t="s">
        <v>117</v>
      </c>
      <c r="H78" s="2" t="s">
        <v>91</v>
      </c>
      <c r="I78" s="2" t="s">
        <v>125</v>
      </c>
      <c r="J78" s="2" t="s">
        <v>6</v>
      </c>
      <c r="K78" s="4">
        <v>46359</v>
      </c>
      <c r="L78" s="4"/>
      <c r="M78" s="2">
        <v>78</v>
      </c>
    </row>
    <row r="79" spans="1:13" ht="25.05" hidden="1" customHeight="1">
      <c r="A79" s="2" t="s">
        <v>39</v>
      </c>
      <c r="B79" s="2" t="s">
        <v>60</v>
      </c>
      <c r="C79" s="2" t="s">
        <v>57</v>
      </c>
      <c r="D79" s="2"/>
      <c r="E79" s="2" t="s">
        <v>4</v>
      </c>
      <c r="F79" s="2"/>
      <c r="G79" s="2" t="s">
        <v>117</v>
      </c>
      <c r="H79" s="2" t="s">
        <v>91</v>
      </c>
      <c r="I79" s="2" t="s">
        <v>125</v>
      </c>
      <c r="J79" s="2" t="s">
        <v>6</v>
      </c>
      <c r="K79" s="4">
        <v>46360</v>
      </c>
      <c r="L79" s="4"/>
      <c r="M79" s="2">
        <v>79</v>
      </c>
    </row>
    <row r="80" spans="1:13" ht="25.05" hidden="1" customHeight="1">
      <c r="A80" s="2" t="s">
        <v>39</v>
      </c>
      <c r="B80" s="2" t="s">
        <v>60</v>
      </c>
      <c r="C80" s="2" t="s">
        <v>57</v>
      </c>
      <c r="D80" s="2" t="s">
        <v>173</v>
      </c>
      <c r="E80" s="2" t="s">
        <v>174</v>
      </c>
      <c r="F80" s="2"/>
      <c r="G80" s="2" t="s">
        <v>117</v>
      </c>
      <c r="H80" s="2" t="s">
        <v>91</v>
      </c>
      <c r="I80" s="2" t="s">
        <v>125</v>
      </c>
      <c r="J80" s="2" t="s">
        <v>7</v>
      </c>
      <c r="K80" s="4">
        <v>46364</v>
      </c>
      <c r="L80" s="4">
        <v>46290</v>
      </c>
      <c r="M80" s="2">
        <v>80</v>
      </c>
    </row>
    <row r="81" spans="1:13" ht="25.05" hidden="1" customHeight="1">
      <c r="A81" s="2" t="s">
        <v>39</v>
      </c>
      <c r="B81" s="2" t="s">
        <v>60</v>
      </c>
      <c r="C81" s="2" t="s">
        <v>57</v>
      </c>
      <c r="D81" s="2"/>
      <c r="E81" s="2" t="s">
        <v>4</v>
      </c>
      <c r="F81" s="2"/>
      <c r="G81" s="2" t="s">
        <v>117</v>
      </c>
      <c r="H81" s="2" t="s">
        <v>91</v>
      </c>
      <c r="I81" s="2" t="s">
        <v>125</v>
      </c>
      <c r="J81" s="2" t="s">
        <v>7</v>
      </c>
      <c r="K81" s="4">
        <v>46365</v>
      </c>
      <c r="L81" s="4">
        <v>46293</v>
      </c>
      <c r="M81" s="2">
        <v>81</v>
      </c>
    </row>
    <row r="82" spans="1:13" ht="25.05" hidden="1" customHeight="1">
      <c r="A82" s="2" t="s">
        <v>39</v>
      </c>
      <c r="B82" s="2" t="s">
        <v>60</v>
      </c>
      <c r="C82" s="2" t="s">
        <v>57</v>
      </c>
      <c r="D82" s="2" t="s">
        <v>175</v>
      </c>
      <c r="E82" s="2" t="s">
        <v>176</v>
      </c>
      <c r="F82" s="2"/>
      <c r="G82" s="2" t="s">
        <v>117</v>
      </c>
      <c r="H82" s="2" t="s">
        <v>91</v>
      </c>
      <c r="I82" s="2" t="s">
        <v>125</v>
      </c>
      <c r="J82" s="2" t="s">
        <v>7</v>
      </c>
      <c r="K82" s="4">
        <v>46370</v>
      </c>
      <c r="L82" s="4">
        <v>46301</v>
      </c>
      <c r="M82" s="2">
        <v>82</v>
      </c>
    </row>
    <row r="83" spans="1:13" ht="25.05" hidden="1" customHeight="1">
      <c r="A83" s="2" t="s">
        <v>39</v>
      </c>
      <c r="B83" s="2" t="s">
        <v>60</v>
      </c>
      <c r="C83" s="2" t="s">
        <v>57</v>
      </c>
      <c r="D83" s="2"/>
      <c r="E83" s="2" t="s">
        <v>4</v>
      </c>
      <c r="F83" s="2"/>
      <c r="G83" s="2" t="s">
        <v>117</v>
      </c>
      <c r="H83" s="2" t="s">
        <v>91</v>
      </c>
      <c r="I83" s="2" t="s">
        <v>125</v>
      </c>
      <c r="J83" s="2" t="s">
        <v>7</v>
      </c>
      <c r="K83" s="4">
        <v>46371</v>
      </c>
      <c r="L83" s="4">
        <v>46301</v>
      </c>
      <c r="M83" s="2">
        <v>83</v>
      </c>
    </row>
    <row r="84" spans="1:13" ht="25.05" hidden="1" customHeight="1">
      <c r="A84" s="2" t="s">
        <v>39</v>
      </c>
      <c r="B84" s="2" t="s">
        <v>60</v>
      </c>
      <c r="C84" s="2" t="s">
        <v>57</v>
      </c>
      <c r="D84" s="2" t="s">
        <v>177</v>
      </c>
      <c r="E84" s="2" t="s">
        <v>178</v>
      </c>
      <c r="F84" s="2"/>
      <c r="G84" s="2" t="s">
        <v>117</v>
      </c>
      <c r="H84" s="2" t="s">
        <v>91</v>
      </c>
      <c r="I84" s="2" t="s">
        <v>125</v>
      </c>
      <c r="J84" s="2" t="s">
        <v>6</v>
      </c>
      <c r="K84" s="4">
        <v>46373</v>
      </c>
      <c r="L84" s="4"/>
      <c r="M84" s="2">
        <v>84</v>
      </c>
    </row>
    <row r="85" spans="1:13" ht="25.05" hidden="1" customHeight="1">
      <c r="A85" s="2" t="s">
        <v>39</v>
      </c>
      <c r="B85" s="2" t="s">
        <v>60</v>
      </c>
      <c r="C85" s="2" t="s">
        <v>57</v>
      </c>
      <c r="D85" s="2"/>
      <c r="E85" s="2" t="s">
        <v>4</v>
      </c>
      <c r="F85" s="2"/>
      <c r="G85" s="2" t="s">
        <v>117</v>
      </c>
      <c r="H85" s="2" t="s">
        <v>91</v>
      </c>
      <c r="I85" s="2" t="s">
        <v>125</v>
      </c>
      <c r="J85" s="2" t="s">
        <v>6</v>
      </c>
      <c r="K85" s="4">
        <v>46374</v>
      </c>
      <c r="L85" s="4"/>
      <c r="M85" s="2">
        <v>85</v>
      </c>
    </row>
    <row r="86" spans="1:13" ht="25.05" hidden="1" customHeight="1">
      <c r="A86" s="2"/>
      <c r="B86" s="2" t="s">
        <v>60</v>
      </c>
      <c r="C86" s="2" t="s">
        <v>57</v>
      </c>
      <c r="D86" s="2" t="s">
        <v>410</v>
      </c>
      <c r="E86" s="2" t="s">
        <v>411</v>
      </c>
      <c r="F86" s="2"/>
      <c r="G86" s="2" t="s">
        <v>117</v>
      </c>
      <c r="H86" s="2" t="s">
        <v>91</v>
      </c>
      <c r="I86" s="2" t="s">
        <v>125</v>
      </c>
      <c r="J86" s="2" t="s">
        <v>2</v>
      </c>
      <c r="K86" s="4"/>
      <c r="L86" s="4"/>
      <c r="M86" s="2"/>
    </row>
    <row r="87" spans="1:13" ht="25.05" hidden="1" customHeight="1">
      <c r="A87" s="2"/>
      <c r="B87" s="2" t="s">
        <v>60</v>
      </c>
      <c r="C87" s="2" t="s">
        <v>57</v>
      </c>
      <c r="D87" s="2"/>
      <c r="E87" s="2" t="s">
        <v>4</v>
      </c>
      <c r="F87" s="2"/>
      <c r="G87" s="2" t="s">
        <v>117</v>
      </c>
      <c r="H87" s="2" t="s">
        <v>91</v>
      </c>
      <c r="I87" s="2" t="s">
        <v>125</v>
      </c>
      <c r="J87" s="2" t="s">
        <v>2</v>
      </c>
      <c r="K87" s="4"/>
      <c r="L87" s="4"/>
      <c r="M87" s="2"/>
    </row>
    <row r="88" spans="1:13" ht="25.05" hidden="1" customHeight="1">
      <c r="A88" s="2" t="s">
        <v>39</v>
      </c>
      <c r="B88" s="2" t="s">
        <v>60</v>
      </c>
      <c r="C88" s="2" t="s">
        <v>57</v>
      </c>
      <c r="D88" s="2" t="s">
        <v>410</v>
      </c>
      <c r="E88" s="2" t="s">
        <v>411</v>
      </c>
      <c r="F88" s="2"/>
      <c r="G88" s="2" t="s">
        <v>117</v>
      </c>
      <c r="H88" s="2" t="s">
        <v>91</v>
      </c>
      <c r="I88" s="2" t="s">
        <v>125</v>
      </c>
      <c r="J88" s="2" t="s">
        <v>2</v>
      </c>
      <c r="K88" s="4"/>
      <c r="L88" s="4"/>
      <c r="M88" s="2"/>
    </row>
    <row r="89" spans="1:13" ht="25.05" hidden="1" customHeight="1">
      <c r="A89" s="2" t="s">
        <v>39</v>
      </c>
      <c r="B89" s="2" t="s">
        <v>60</v>
      </c>
      <c r="C89" s="2" t="s">
        <v>57</v>
      </c>
      <c r="D89" s="2"/>
      <c r="E89" s="2"/>
      <c r="F89" s="2"/>
      <c r="G89" s="2" t="s">
        <v>117</v>
      </c>
      <c r="H89" s="2" t="s">
        <v>91</v>
      </c>
      <c r="I89" s="2" t="s">
        <v>125</v>
      </c>
      <c r="J89" s="2" t="s">
        <v>2</v>
      </c>
      <c r="K89" s="4"/>
      <c r="L89" s="4"/>
      <c r="M89" s="2"/>
    </row>
    <row r="90" spans="1:13" ht="25.05" hidden="1" customHeight="1">
      <c r="A90" s="2" t="s">
        <v>39</v>
      </c>
      <c r="B90" s="2" t="s">
        <v>60</v>
      </c>
      <c r="C90" s="2" t="s">
        <v>57</v>
      </c>
      <c r="D90" s="2" t="s">
        <v>397</v>
      </c>
      <c r="E90" s="2" t="s">
        <v>398</v>
      </c>
      <c r="F90" s="2"/>
      <c r="G90" s="2" t="s">
        <v>117</v>
      </c>
      <c r="H90" s="2" t="s">
        <v>91</v>
      </c>
      <c r="I90" s="2" t="s">
        <v>125</v>
      </c>
      <c r="J90" s="2" t="s">
        <v>7</v>
      </c>
      <c r="K90" s="4">
        <v>46280</v>
      </c>
      <c r="L90" s="4">
        <v>46276</v>
      </c>
      <c r="M90" s="2"/>
    </row>
    <row r="91" spans="1:13" ht="25.05" hidden="1" customHeight="1">
      <c r="A91" s="2" t="s">
        <v>39</v>
      </c>
      <c r="B91" s="2" t="s">
        <v>60</v>
      </c>
      <c r="C91" s="2" t="s">
        <v>57</v>
      </c>
      <c r="D91" s="2"/>
      <c r="E91" s="2" t="s">
        <v>4</v>
      </c>
      <c r="F91" s="2"/>
      <c r="G91" s="2" t="s">
        <v>117</v>
      </c>
      <c r="H91" s="2" t="s">
        <v>91</v>
      </c>
      <c r="I91" s="2" t="s">
        <v>125</v>
      </c>
      <c r="J91" s="2" t="s">
        <v>7</v>
      </c>
      <c r="K91" s="4">
        <v>46282</v>
      </c>
      <c r="L91" s="4">
        <v>46280</v>
      </c>
      <c r="M91" s="2"/>
    </row>
    <row r="92" spans="1:13" ht="25.05" hidden="1" customHeight="1">
      <c r="A92" s="87" t="s">
        <v>39</v>
      </c>
      <c r="B92" s="87" t="s">
        <v>60</v>
      </c>
      <c r="C92" s="87" t="s">
        <v>57</v>
      </c>
      <c r="D92" s="87" t="s">
        <v>179</v>
      </c>
      <c r="E92" s="87" t="s">
        <v>180</v>
      </c>
      <c r="F92" s="87"/>
      <c r="G92" s="87" t="s">
        <v>99</v>
      </c>
      <c r="H92" s="87" t="s">
        <v>91</v>
      </c>
      <c r="I92" s="87" t="s">
        <v>125</v>
      </c>
      <c r="J92" s="87" t="s">
        <v>2</v>
      </c>
      <c r="K92" s="90"/>
      <c r="L92" s="90"/>
      <c r="M92" s="87">
        <v>87</v>
      </c>
    </row>
    <row r="93" spans="1:13" ht="25.05" hidden="1" customHeight="1">
      <c r="A93" s="2" t="s">
        <v>39</v>
      </c>
      <c r="B93" s="2" t="s">
        <v>60</v>
      </c>
      <c r="C93" s="2" t="s">
        <v>57</v>
      </c>
      <c r="D93" s="2"/>
      <c r="E93" s="2" t="s">
        <v>181</v>
      </c>
      <c r="F93" s="2"/>
      <c r="G93" s="2" t="s">
        <v>117</v>
      </c>
      <c r="H93" s="2" t="s">
        <v>91</v>
      </c>
      <c r="I93" s="2" t="s">
        <v>125</v>
      </c>
      <c r="J93" s="2" t="s">
        <v>3</v>
      </c>
      <c r="K93" s="4">
        <v>46252</v>
      </c>
      <c r="L93" s="4">
        <v>46276</v>
      </c>
      <c r="M93" s="2">
        <v>88</v>
      </c>
    </row>
    <row r="94" spans="1:13" ht="25.05" hidden="1" customHeight="1">
      <c r="A94" s="2" t="s">
        <v>39</v>
      </c>
      <c r="B94" s="2" t="s">
        <v>60</v>
      </c>
      <c r="C94" s="2" t="s">
        <v>57</v>
      </c>
      <c r="D94" s="2"/>
      <c r="E94" s="2" t="s">
        <v>182</v>
      </c>
      <c r="F94" s="2"/>
      <c r="G94" s="2" t="s">
        <v>117</v>
      </c>
      <c r="H94" s="2" t="s">
        <v>91</v>
      </c>
      <c r="I94" s="2" t="s">
        <v>125</v>
      </c>
      <c r="J94" s="2" t="s">
        <v>3</v>
      </c>
      <c r="K94" s="4">
        <v>46343</v>
      </c>
      <c r="L94" s="4"/>
      <c r="M94" s="2">
        <v>89</v>
      </c>
    </row>
    <row r="95" spans="1:13" ht="25.05" hidden="1" customHeight="1">
      <c r="A95" s="2" t="s">
        <v>39</v>
      </c>
      <c r="B95" s="2" t="s">
        <v>60</v>
      </c>
      <c r="C95" s="2" t="s">
        <v>57</v>
      </c>
      <c r="D95" s="2"/>
      <c r="E95" s="2" t="s">
        <v>183</v>
      </c>
      <c r="F95" s="2"/>
      <c r="G95" s="2" t="s">
        <v>117</v>
      </c>
      <c r="H95" s="2" t="s">
        <v>91</v>
      </c>
      <c r="I95" s="2" t="s">
        <v>125</v>
      </c>
      <c r="J95" s="2" t="s">
        <v>3</v>
      </c>
      <c r="K95" s="4">
        <v>46358</v>
      </c>
      <c r="L95" s="4"/>
      <c r="M95" s="2">
        <v>90</v>
      </c>
    </row>
    <row r="96" spans="1:13" ht="25.05" hidden="1" customHeight="1">
      <c r="A96" s="2" t="s">
        <v>39</v>
      </c>
      <c r="B96" s="2" t="s">
        <v>60</v>
      </c>
      <c r="C96" s="2" t="s">
        <v>57</v>
      </c>
      <c r="D96" s="2"/>
      <c r="E96" s="2" t="s">
        <v>184</v>
      </c>
      <c r="F96" s="2"/>
      <c r="G96" s="2" t="s">
        <v>117</v>
      </c>
      <c r="H96" s="2" t="s">
        <v>91</v>
      </c>
      <c r="I96" s="2" t="s">
        <v>125</v>
      </c>
      <c r="J96" s="2" t="s">
        <v>2</v>
      </c>
      <c r="K96" s="4">
        <v>46366</v>
      </c>
      <c r="L96" s="4"/>
      <c r="M96" s="2">
        <v>91</v>
      </c>
    </row>
    <row r="97" spans="1:13" ht="25.05" hidden="1" customHeight="1">
      <c r="A97" s="87" t="s">
        <v>39</v>
      </c>
      <c r="B97" s="87" t="s">
        <v>60</v>
      </c>
      <c r="C97" s="87" t="s">
        <v>57</v>
      </c>
      <c r="D97" s="87" t="s">
        <v>185</v>
      </c>
      <c r="E97" s="87" t="s">
        <v>186</v>
      </c>
      <c r="F97" s="87"/>
      <c r="G97" s="87" t="s">
        <v>99</v>
      </c>
      <c r="H97" s="87" t="s">
        <v>91</v>
      </c>
      <c r="I97" s="87" t="s">
        <v>125</v>
      </c>
      <c r="J97" s="87" t="s">
        <v>2</v>
      </c>
      <c r="K97" s="90"/>
      <c r="L97" s="90"/>
      <c r="M97" s="87">
        <v>92</v>
      </c>
    </row>
    <row r="98" spans="1:13" ht="25.05" hidden="1" customHeight="1">
      <c r="A98" s="2" t="s">
        <v>39</v>
      </c>
      <c r="B98" s="2" t="s">
        <v>60</v>
      </c>
      <c r="C98" s="2" t="s">
        <v>57</v>
      </c>
      <c r="D98" s="2"/>
      <c r="E98" s="2" t="s">
        <v>181</v>
      </c>
      <c r="F98" s="2"/>
      <c r="G98" s="2" t="s">
        <v>117</v>
      </c>
      <c r="H98" s="2" t="s">
        <v>91</v>
      </c>
      <c r="I98" s="2" t="s">
        <v>125</v>
      </c>
      <c r="J98" s="2" t="s">
        <v>3</v>
      </c>
      <c r="K98" s="83">
        <v>46252</v>
      </c>
      <c r="L98" s="83">
        <v>46276</v>
      </c>
      <c r="M98" s="2">
        <v>93</v>
      </c>
    </row>
    <row r="99" spans="1:13" ht="25.05" hidden="1" customHeight="1">
      <c r="A99" s="2" t="s">
        <v>39</v>
      </c>
      <c r="B99" s="2" t="s">
        <v>60</v>
      </c>
      <c r="C99" s="2" t="s">
        <v>57</v>
      </c>
      <c r="D99" s="2"/>
      <c r="E99" s="2" t="s">
        <v>187</v>
      </c>
      <c r="F99" s="2"/>
      <c r="G99" s="2" t="s">
        <v>117</v>
      </c>
      <c r="H99" s="2" t="s">
        <v>91</v>
      </c>
      <c r="I99" s="2" t="s">
        <v>125</v>
      </c>
      <c r="J99" s="2" t="s">
        <v>2</v>
      </c>
      <c r="K99" s="4"/>
      <c r="L99" s="4"/>
      <c r="M99" s="2">
        <v>94</v>
      </c>
    </row>
    <row r="100" spans="1:13" ht="25.05" hidden="1" customHeight="1">
      <c r="A100" s="2" t="s">
        <v>39</v>
      </c>
      <c r="B100" s="2" t="s">
        <v>60</v>
      </c>
      <c r="C100" s="2" t="s">
        <v>57</v>
      </c>
      <c r="D100" s="2"/>
      <c r="E100" s="2" t="s">
        <v>188</v>
      </c>
      <c r="F100" s="2"/>
      <c r="G100" s="2" t="s">
        <v>117</v>
      </c>
      <c r="H100" s="2" t="s">
        <v>91</v>
      </c>
      <c r="I100" s="2" t="s">
        <v>125</v>
      </c>
      <c r="J100" s="2" t="s">
        <v>2</v>
      </c>
      <c r="K100" s="4"/>
      <c r="L100" s="4"/>
      <c r="M100" s="2">
        <v>95</v>
      </c>
    </row>
    <row r="101" spans="1:13" ht="25.05" hidden="1" customHeight="1">
      <c r="A101" s="2" t="s">
        <v>39</v>
      </c>
      <c r="B101" s="2" t="s">
        <v>60</v>
      </c>
      <c r="C101" s="2" t="s">
        <v>57</v>
      </c>
      <c r="D101" s="2"/>
      <c r="E101" s="2" t="s">
        <v>189</v>
      </c>
      <c r="F101" s="2"/>
      <c r="G101" s="2" t="s">
        <v>117</v>
      </c>
      <c r="H101" s="2" t="s">
        <v>91</v>
      </c>
      <c r="I101" s="2" t="s">
        <v>125</v>
      </c>
      <c r="J101" s="2" t="s">
        <v>2</v>
      </c>
      <c r="K101" s="4"/>
      <c r="L101" s="4"/>
      <c r="M101" s="2">
        <v>96</v>
      </c>
    </row>
    <row r="102" spans="1:13" ht="25.05" hidden="1" customHeight="1">
      <c r="A102" s="2" t="s">
        <v>39</v>
      </c>
      <c r="B102" s="2" t="s">
        <v>60</v>
      </c>
      <c r="C102" s="2" t="s">
        <v>57</v>
      </c>
      <c r="D102" s="2"/>
      <c r="E102" s="2" t="s">
        <v>4</v>
      </c>
      <c r="F102" s="2"/>
      <c r="G102" s="2" t="s">
        <v>117</v>
      </c>
      <c r="H102" s="2" t="s">
        <v>91</v>
      </c>
      <c r="I102" s="2" t="s">
        <v>125</v>
      </c>
      <c r="J102" s="2" t="s">
        <v>2</v>
      </c>
      <c r="K102" s="4"/>
      <c r="L102" s="4"/>
      <c r="M102" s="2">
        <v>97</v>
      </c>
    </row>
    <row r="103" spans="1:13" ht="25.05" hidden="1" customHeight="1">
      <c r="A103" s="2" t="s">
        <v>39</v>
      </c>
      <c r="B103" s="2" t="s">
        <v>60</v>
      </c>
      <c r="C103" s="2" t="s">
        <v>57</v>
      </c>
      <c r="D103" s="2"/>
      <c r="E103" s="2" t="s">
        <v>190</v>
      </c>
      <c r="F103" s="2"/>
      <c r="G103" s="2" t="s">
        <v>117</v>
      </c>
      <c r="H103" s="2" t="s">
        <v>91</v>
      </c>
      <c r="I103" s="2" t="s">
        <v>125</v>
      </c>
      <c r="J103" s="2" t="s">
        <v>6</v>
      </c>
      <c r="K103" s="4"/>
      <c r="L103" s="4"/>
      <c r="M103" s="2">
        <v>98</v>
      </c>
    </row>
    <row r="104" spans="1:13" ht="25.05" hidden="1" customHeight="1">
      <c r="A104" s="2" t="s">
        <v>39</v>
      </c>
      <c r="B104" s="2" t="s">
        <v>60</v>
      </c>
      <c r="C104" s="2" t="s">
        <v>57</v>
      </c>
      <c r="D104" s="2"/>
      <c r="E104" s="2" t="s">
        <v>191</v>
      </c>
      <c r="F104" s="2"/>
      <c r="G104" s="2" t="s">
        <v>117</v>
      </c>
      <c r="H104" s="2" t="s">
        <v>91</v>
      </c>
      <c r="I104" s="2" t="s">
        <v>125</v>
      </c>
      <c r="J104" s="2" t="s">
        <v>6</v>
      </c>
      <c r="K104" s="4"/>
      <c r="L104" s="4"/>
      <c r="M104" s="2">
        <v>99</v>
      </c>
    </row>
    <row r="105" spans="1:13" ht="25.05" hidden="1" customHeight="1">
      <c r="A105" s="2" t="s">
        <v>39</v>
      </c>
      <c r="B105" s="2" t="s">
        <v>60</v>
      </c>
      <c r="C105" s="2" t="s">
        <v>57</v>
      </c>
      <c r="D105" s="2"/>
      <c r="E105" s="2" t="s">
        <v>192</v>
      </c>
      <c r="F105" s="2"/>
      <c r="G105" s="2" t="s">
        <v>117</v>
      </c>
      <c r="H105" s="2" t="s">
        <v>91</v>
      </c>
      <c r="I105" s="2" t="s">
        <v>125</v>
      </c>
      <c r="J105" s="2" t="s">
        <v>6</v>
      </c>
      <c r="K105" s="4"/>
      <c r="L105" s="4"/>
      <c r="M105" s="2">
        <v>100</v>
      </c>
    </row>
    <row r="106" spans="1:13" ht="25.05" hidden="1" customHeight="1">
      <c r="A106" s="2" t="s">
        <v>39</v>
      </c>
      <c r="B106" s="2" t="s">
        <v>60</v>
      </c>
      <c r="C106" s="2" t="s">
        <v>57</v>
      </c>
      <c r="D106" s="2"/>
      <c r="E106" s="2" t="s">
        <v>193</v>
      </c>
      <c r="F106" s="2"/>
      <c r="G106" s="2" t="s">
        <v>117</v>
      </c>
      <c r="H106" s="2" t="s">
        <v>91</v>
      </c>
      <c r="I106" s="2" t="s">
        <v>125</v>
      </c>
      <c r="J106" s="2" t="s">
        <v>6</v>
      </c>
      <c r="K106" s="4"/>
      <c r="L106" s="4"/>
      <c r="M106" s="2">
        <v>101</v>
      </c>
    </row>
    <row r="107" spans="1:13" ht="25.05" hidden="1" customHeight="1">
      <c r="A107" s="2" t="s">
        <v>39</v>
      </c>
      <c r="B107" s="2" t="s">
        <v>60</v>
      </c>
      <c r="C107" s="2" t="s">
        <v>57</v>
      </c>
      <c r="D107" s="2"/>
      <c r="E107" s="2" t="s">
        <v>194</v>
      </c>
      <c r="F107" s="2"/>
      <c r="G107" s="2" t="s">
        <v>117</v>
      </c>
      <c r="H107" s="2" t="s">
        <v>91</v>
      </c>
      <c r="I107" s="2" t="s">
        <v>125</v>
      </c>
      <c r="J107" s="2" t="s">
        <v>6</v>
      </c>
      <c r="K107" s="4"/>
      <c r="L107" s="4"/>
      <c r="M107" s="2">
        <v>102</v>
      </c>
    </row>
    <row r="108" spans="1:13" ht="25.05" hidden="1" customHeight="1">
      <c r="A108" s="2" t="s">
        <v>39</v>
      </c>
      <c r="B108" s="2" t="s">
        <v>60</v>
      </c>
      <c r="C108" s="2" t="s">
        <v>57</v>
      </c>
      <c r="D108" s="2"/>
      <c r="E108" s="2" t="s">
        <v>195</v>
      </c>
      <c r="F108" s="2"/>
      <c r="G108" s="2" t="s">
        <v>117</v>
      </c>
      <c r="H108" s="2" t="s">
        <v>91</v>
      </c>
      <c r="I108" s="2" t="s">
        <v>125</v>
      </c>
      <c r="J108" s="2" t="s">
        <v>6</v>
      </c>
      <c r="K108" s="4"/>
      <c r="L108" s="4"/>
      <c r="M108" s="2">
        <v>103</v>
      </c>
    </row>
    <row r="109" spans="1:13" ht="25.05" hidden="1" customHeight="1">
      <c r="A109" s="2" t="s">
        <v>39</v>
      </c>
      <c r="B109" s="2" t="s">
        <v>60</v>
      </c>
      <c r="C109" s="2" t="s">
        <v>57</v>
      </c>
      <c r="D109" s="2"/>
      <c r="E109" s="2" t="s">
        <v>196</v>
      </c>
      <c r="F109" s="2"/>
      <c r="G109" s="2" t="s">
        <v>117</v>
      </c>
      <c r="H109" s="2" t="s">
        <v>91</v>
      </c>
      <c r="I109" s="2" t="s">
        <v>125</v>
      </c>
      <c r="J109" s="2" t="s">
        <v>6</v>
      </c>
      <c r="K109" s="4"/>
      <c r="L109" s="4"/>
      <c r="M109" s="2">
        <v>104</v>
      </c>
    </row>
    <row r="110" spans="1:13" ht="25.05" hidden="1" customHeight="1">
      <c r="A110" s="2" t="s">
        <v>39</v>
      </c>
      <c r="B110" s="2" t="s">
        <v>60</v>
      </c>
      <c r="C110" s="2" t="s">
        <v>57</v>
      </c>
      <c r="D110" s="2"/>
      <c r="E110" s="2" t="s">
        <v>197</v>
      </c>
      <c r="F110" s="2"/>
      <c r="G110" s="2" t="s">
        <v>117</v>
      </c>
      <c r="H110" s="2" t="s">
        <v>91</v>
      </c>
      <c r="I110" s="2" t="s">
        <v>125</v>
      </c>
      <c r="J110" s="2" t="s">
        <v>6</v>
      </c>
      <c r="K110" s="4"/>
      <c r="L110" s="4"/>
      <c r="M110" s="2">
        <v>105</v>
      </c>
    </row>
    <row r="111" spans="1:13" ht="25.05" hidden="1" customHeight="1">
      <c r="A111" s="87" t="s">
        <v>40</v>
      </c>
      <c r="B111" s="87" t="s">
        <v>406</v>
      </c>
      <c r="C111" s="87" t="s">
        <v>61</v>
      </c>
      <c r="D111" s="87"/>
      <c r="E111" s="87" t="s">
        <v>122</v>
      </c>
      <c r="F111" s="87"/>
      <c r="G111" s="87" t="s">
        <v>99</v>
      </c>
      <c r="H111" s="87" t="s">
        <v>100</v>
      </c>
      <c r="I111" s="87" t="s">
        <v>115</v>
      </c>
      <c r="J111" s="87" t="s">
        <v>6</v>
      </c>
      <c r="K111" s="90"/>
      <c r="L111" s="90"/>
      <c r="M111" s="87"/>
    </row>
    <row r="112" spans="1:13" ht="25.05" hidden="1" customHeight="1">
      <c r="A112" s="2" t="s">
        <v>40</v>
      </c>
      <c r="B112" s="2" t="s">
        <v>406</v>
      </c>
      <c r="C112" s="2" t="s">
        <v>61</v>
      </c>
      <c r="D112" s="2"/>
      <c r="E112" s="2" t="s">
        <v>405</v>
      </c>
      <c r="F112" s="2"/>
      <c r="G112" s="2" t="s">
        <v>117</v>
      </c>
      <c r="H112" s="2" t="s">
        <v>100</v>
      </c>
      <c r="I112" s="2" t="s">
        <v>115</v>
      </c>
      <c r="J112" s="2" t="s">
        <v>6</v>
      </c>
      <c r="K112" s="4">
        <v>46283</v>
      </c>
      <c r="L112" s="4">
        <v>46283</v>
      </c>
      <c r="M112" s="2"/>
    </row>
    <row r="113" spans="1:13" ht="25.05" hidden="1" customHeight="1">
      <c r="A113" s="87" t="s">
        <v>40</v>
      </c>
      <c r="B113" s="87" t="s">
        <v>63</v>
      </c>
      <c r="C113" s="87" t="s">
        <v>61</v>
      </c>
      <c r="D113" s="87"/>
      <c r="E113" s="87" t="s">
        <v>198</v>
      </c>
      <c r="F113" s="87"/>
      <c r="G113" s="87" t="s">
        <v>99</v>
      </c>
      <c r="H113" s="87" t="s">
        <v>100</v>
      </c>
      <c r="I113" s="87" t="s">
        <v>125</v>
      </c>
      <c r="J113" s="87" t="s">
        <v>3</v>
      </c>
      <c r="K113" s="90">
        <v>46374</v>
      </c>
      <c r="L113" s="90"/>
      <c r="M113" s="87">
        <v>107</v>
      </c>
    </row>
    <row r="114" spans="1:13" ht="25.05" hidden="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</row>
    <row r="115" spans="1:13" ht="25.05" hidden="1" customHeight="1">
      <c r="A115" s="2" t="s">
        <v>40</v>
      </c>
      <c r="B115" s="2" t="s">
        <v>63</v>
      </c>
      <c r="C115" s="2" t="s">
        <v>61</v>
      </c>
      <c r="D115" s="2"/>
      <c r="E115" s="2" t="s">
        <v>181</v>
      </c>
      <c r="F115" s="2"/>
      <c r="G115" s="2" t="s">
        <v>117</v>
      </c>
      <c r="H115" s="2" t="s">
        <v>91</v>
      </c>
      <c r="I115" s="2" t="s">
        <v>125</v>
      </c>
      <c r="J115" s="2" t="s">
        <v>3</v>
      </c>
      <c r="K115" s="4">
        <v>46252</v>
      </c>
      <c r="L115" s="4">
        <v>46276</v>
      </c>
      <c r="M115" s="2">
        <v>109</v>
      </c>
    </row>
    <row r="116" spans="1:13" ht="25.05" hidden="1" customHeight="1">
      <c r="A116" s="2" t="s">
        <v>40</v>
      </c>
      <c r="B116" s="2" t="s">
        <v>63</v>
      </c>
      <c r="C116" s="2" t="s">
        <v>61</v>
      </c>
      <c r="D116" s="2"/>
      <c r="E116" s="2" t="s">
        <v>199</v>
      </c>
      <c r="F116" s="2"/>
      <c r="G116" s="2" t="s">
        <v>117</v>
      </c>
      <c r="H116" s="2" t="s">
        <v>91</v>
      </c>
      <c r="I116" s="2" t="s">
        <v>125</v>
      </c>
      <c r="J116" s="2" t="s">
        <v>3</v>
      </c>
      <c r="K116" s="4">
        <v>46358</v>
      </c>
      <c r="L116" s="4"/>
      <c r="M116" s="2">
        <v>110</v>
      </c>
    </row>
    <row r="117" spans="1:13" ht="25.05" hidden="1" customHeight="1">
      <c r="A117" s="2" t="s">
        <v>40</v>
      </c>
      <c r="B117" s="2" t="s">
        <v>63</v>
      </c>
      <c r="C117" s="2" t="s">
        <v>61</v>
      </c>
      <c r="D117" s="2"/>
      <c r="E117" s="2" t="s">
        <v>184</v>
      </c>
      <c r="F117" s="2"/>
      <c r="G117" s="2" t="s">
        <v>117</v>
      </c>
      <c r="H117" s="2" t="s">
        <v>91</v>
      </c>
      <c r="I117" s="2" t="s">
        <v>125</v>
      </c>
      <c r="J117" s="2" t="s">
        <v>2</v>
      </c>
      <c r="K117" s="4">
        <v>46379</v>
      </c>
      <c r="L117" s="4"/>
      <c r="M117" s="2">
        <v>111</v>
      </c>
    </row>
    <row r="118" spans="1:13" ht="25.05" hidden="1" customHeight="1">
      <c r="A118" s="2" t="s">
        <v>40</v>
      </c>
      <c r="B118" s="2" t="s">
        <v>63</v>
      </c>
      <c r="C118" s="2" t="s">
        <v>61</v>
      </c>
      <c r="D118" s="2"/>
      <c r="E118" s="2" t="s">
        <v>200</v>
      </c>
      <c r="F118" s="2"/>
      <c r="G118" s="2" t="s">
        <v>117</v>
      </c>
      <c r="H118" s="2" t="s">
        <v>91</v>
      </c>
      <c r="I118" s="2" t="s">
        <v>125</v>
      </c>
      <c r="J118" s="2" t="s">
        <v>6</v>
      </c>
      <c r="K118" s="4"/>
      <c r="L118" s="4"/>
      <c r="M118" s="2">
        <v>112</v>
      </c>
    </row>
    <row r="119" spans="1:13" ht="25.05" hidden="1" customHeight="1">
      <c r="A119" s="2" t="s">
        <v>40</v>
      </c>
      <c r="B119" s="2" t="s">
        <v>63</v>
      </c>
      <c r="C119" s="2" t="s">
        <v>61</v>
      </c>
      <c r="D119" s="2"/>
      <c r="E119" s="2" t="s">
        <v>201</v>
      </c>
      <c r="F119" s="2"/>
      <c r="G119" s="2" t="s">
        <v>117</v>
      </c>
      <c r="H119" s="2" t="s">
        <v>91</v>
      </c>
      <c r="I119" s="2" t="s">
        <v>125</v>
      </c>
      <c r="J119" s="2" t="s">
        <v>6</v>
      </c>
      <c r="K119" s="4"/>
      <c r="L119" s="4"/>
      <c r="M119" s="2">
        <v>113</v>
      </c>
    </row>
    <row r="120" spans="1:13" ht="25.05" hidden="1" customHeight="1">
      <c r="A120" s="2" t="s">
        <v>40</v>
      </c>
      <c r="B120" s="2" t="s">
        <v>63</v>
      </c>
      <c r="C120" s="2" t="s">
        <v>61</v>
      </c>
      <c r="D120" s="2"/>
      <c r="E120" s="2" t="s">
        <v>202</v>
      </c>
      <c r="F120" s="2"/>
      <c r="G120" s="2" t="s">
        <v>117</v>
      </c>
      <c r="H120" s="2" t="s">
        <v>91</v>
      </c>
      <c r="I120" s="2" t="s">
        <v>125</v>
      </c>
      <c r="J120" s="2" t="s">
        <v>6</v>
      </c>
      <c r="K120" s="4"/>
      <c r="L120" s="4"/>
      <c r="M120" s="2">
        <v>114</v>
      </c>
    </row>
    <row r="121" spans="1:13" ht="25.05" hidden="1" customHeight="1">
      <c r="A121" s="2" t="s">
        <v>40</v>
      </c>
      <c r="B121" s="2" t="s">
        <v>63</v>
      </c>
      <c r="C121" s="2" t="s">
        <v>61</v>
      </c>
      <c r="D121" s="2"/>
      <c r="E121" s="2" t="s">
        <v>203</v>
      </c>
      <c r="F121" s="2"/>
      <c r="G121" s="2" t="s">
        <v>117</v>
      </c>
      <c r="H121" s="2" t="s">
        <v>91</v>
      </c>
      <c r="I121" s="2" t="s">
        <v>125</v>
      </c>
      <c r="J121" s="2" t="s">
        <v>6</v>
      </c>
      <c r="K121" s="4"/>
      <c r="L121" s="4"/>
      <c r="M121" s="2">
        <v>115</v>
      </c>
    </row>
    <row r="122" spans="1:13" ht="25.05" hidden="1" customHeight="1">
      <c r="A122" s="87" t="s">
        <v>41</v>
      </c>
      <c r="B122" s="87" t="s">
        <v>66</v>
      </c>
      <c r="C122" s="87" t="s">
        <v>64</v>
      </c>
      <c r="D122" s="87" t="s">
        <v>204</v>
      </c>
      <c r="E122" s="87" t="s">
        <v>205</v>
      </c>
      <c r="F122" s="87"/>
      <c r="G122" s="87" t="s">
        <v>99</v>
      </c>
      <c r="H122" s="87" t="s">
        <v>206</v>
      </c>
      <c r="I122" s="87" t="s">
        <v>115</v>
      </c>
      <c r="J122" s="87" t="s">
        <v>3</v>
      </c>
      <c r="K122" s="90">
        <v>46318</v>
      </c>
      <c r="L122" s="90"/>
      <c r="M122" s="87">
        <v>117</v>
      </c>
    </row>
    <row r="123" spans="1:13" ht="25.05" hidden="1" customHeight="1">
      <c r="A123" s="2" t="s">
        <v>41</v>
      </c>
      <c r="B123" s="2" t="s">
        <v>66</v>
      </c>
      <c r="C123" s="2" t="s">
        <v>64</v>
      </c>
      <c r="D123" s="2"/>
      <c r="E123" s="2" t="s">
        <v>207</v>
      </c>
      <c r="F123" s="2"/>
      <c r="G123" s="2" t="s">
        <v>117</v>
      </c>
      <c r="H123" s="2" t="s">
        <v>91</v>
      </c>
      <c r="I123" s="2" t="s">
        <v>115</v>
      </c>
      <c r="J123" s="2" t="s">
        <v>3</v>
      </c>
      <c r="K123" s="4">
        <v>46283</v>
      </c>
      <c r="L123" s="4"/>
      <c r="M123" s="2">
        <v>118</v>
      </c>
    </row>
    <row r="124" spans="1:13" ht="25.05" hidden="1" customHeight="1">
      <c r="A124" s="2" t="s">
        <v>41</v>
      </c>
      <c r="B124" s="2" t="s">
        <v>66</v>
      </c>
      <c r="C124" s="2" t="s">
        <v>64</v>
      </c>
      <c r="D124" s="2"/>
      <c r="E124" s="2" t="s">
        <v>208</v>
      </c>
      <c r="F124" s="2"/>
      <c r="G124" s="2" t="s">
        <v>117</v>
      </c>
      <c r="H124" s="2" t="s">
        <v>91</v>
      </c>
      <c r="I124" s="2" t="s">
        <v>115</v>
      </c>
      <c r="J124" s="2" t="s">
        <v>2</v>
      </c>
      <c r="K124" s="4">
        <v>46318</v>
      </c>
      <c r="L124" s="4"/>
      <c r="M124" s="2">
        <v>119</v>
      </c>
    </row>
    <row r="125" spans="1:13" ht="25.05" hidden="1" customHeight="1">
      <c r="A125" s="87" t="s">
        <v>41</v>
      </c>
      <c r="B125" s="87" t="s">
        <v>66</v>
      </c>
      <c r="C125" s="87" t="s">
        <v>64</v>
      </c>
      <c r="D125" s="87" t="s">
        <v>209</v>
      </c>
      <c r="E125" s="87" t="s">
        <v>210</v>
      </c>
      <c r="F125" s="87"/>
      <c r="G125" s="87" t="s">
        <v>99</v>
      </c>
      <c r="H125" s="87" t="s">
        <v>91</v>
      </c>
      <c r="I125" s="87" t="s">
        <v>115</v>
      </c>
      <c r="J125" s="87" t="s">
        <v>3</v>
      </c>
      <c r="K125" s="90">
        <v>46318</v>
      </c>
      <c r="L125" s="90"/>
      <c r="M125" s="87">
        <v>120</v>
      </c>
    </row>
    <row r="126" spans="1:13" ht="25.05" hidden="1" customHeight="1">
      <c r="A126" s="2" t="s">
        <v>41</v>
      </c>
      <c r="B126" s="2" t="s">
        <v>66</v>
      </c>
      <c r="C126" s="2" t="s">
        <v>64</v>
      </c>
      <c r="D126" s="2"/>
      <c r="E126" s="2" t="s">
        <v>118</v>
      </c>
      <c r="F126" s="2"/>
      <c r="G126" s="2" t="s">
        <v>117</v>
      </c>
      <c r="H126" s="2" t="s">
        <v>91</v>
      </c>
      <c r="I126" s="2" t="s">
        <v>115</v>
      </c>
      <c r="J126" s="2" t="s">
        <v>7</v>
      </c>
      <c r="K126" s="4">
        <v>46223</v>
      </c>
      <c r="L126" s="4">
        <v>46227</v>
      </c>
      <c r="M126" s="2">
        <v>121</v>
      </c>
    </row>
    <row r="127" spans="1:13" ht="25.05" hidden="1" customHeight="1">
      <c r="A127" s="2" t="s">
        <v>41</v>
      </c>
      <c r="B127" s="2" t="s">
        <v>66</v>
      </c>
      <c r="C127" s="2" t="s">
        <v>64</v>
      </c>
      <c r="D127" s="2"/>
      <c r="E127" s="2" t="s">
        <v>4</v>
      </c>
      <c r="F127" s="2"/>
      <c r="G127" s="2" t="s">
        <v>117</v>
      </c>
      <c r="H127" s="2" t="s">
        <v>91</v>
      </c>
      <c r="I127" s="2" t="s">
        <v>115</v>
      </c>
      <c r="J127" s="2" t="s">
        <v>5</v>
      </c>
      <c r="K127" s="4">
        <v>46318</v>
      </c>
      <c r="L127" s="4"/>
      <c r="M127" s="2">
        <v>122</v>
      </c>
    </row>
    <row r="128" spans="1:13" ht="25.05" hidden="1" customHeight="1">
      <c r="A128" s="87" t="s">
        <v>41</v>
      </c>
      <c r="B128" s="87" t="s">
        <v>66</v>
      </c>
      <c r="C128" s="87" t="s">
        <v>64</v>
      </c>
      <c r="D128" s="87" t="s">
        <v>211</v>
      </c>
      <c r="E128" s="87" t="s">
        <v>212</v>
      </c>
      <c r="F128" s="87"/>
      <c r="G128" s="87" t="s">
        <v>99</v>
      </c>
      <c r="H128" s="87" t="s">
        <v>91</v>
      </c>
      <c r="I128" s="87" t="s">
        <v>115</v>
      </c>
      <c r="J128" s="87" t="s">
        <v>5</v>
      </c>
      <c r="K128" s="90"/>
      <c r="L128" s="90"/>
      <c r="M128" s="87">
        <v>123</v>
      </c>
    </row>
    <row r="129" spans="1:13" ht="25.05" hidden="1" customHeight="1">
      <c r="A129" s="2" t="s">
        <v>41</v>
      </c>
      <c r="B129" s="2" t="s">
        <v>66</v>
      </c>
      <c r="C129" s="2" t="s">
        <v>64</v>
      </c>
      <c r="D129" s="2"/>
      <c r="E129" s="2" t="s">
        <v>118</v>
      </c>
      <c r="F129" s="2"/>
      <c r="G129" s="2" t="s">
        <v>117</v>
      </c>
      <c r="H129" s="2" t="s">
        <v>91</v>
      </c>
      <c r="I129" s="2" t="s">
        <v>115</v>
      </c>
      <c r="J129" s="2" t="s">
        <v>5</v>
      </c>
      <c r="K129" s="4">
        <v>46240</v>
      </c>
      <c r="L129" s="4"/>
      <c r="M129" s="2">
        <v>124</v>
      </c>
    </row>
    <row r="130" spans="1:13" ht="25.05" hidden="1" customHeight="1">
      <c r="A130" s="2" t="s">
        <v>41</v>
      </c>
      <c r="B130" s="2" t="s">
        <v>66</v>
      </c>
      <c r="C130" s="2" t="s">
        <v>64</v>
      </c>
      <c r="D130" s="2"/>
      <c r="E130" s="2" t="s">
        <v>4</v>
      </c>
      <c r="F130" s="2"/>
      <c r="G130" s="2" t="s">
        <v>117</v>
      </c>
      <c r="H130" s="2" t="s">
        <v>91</v>
      </c>
      <c r="I130" s="2" t="s">
        <v>115</v>
      </c>
      <c r="J130" s="2" t="s">
        <v>5</v>
      </c>
      <c r="K130" s="4">
        <v>46244</v>
      </c>
      <c r="L130" s="4"/>
      <c r="M130" s="2">
        <v>125</v>
      </c>
    </row>
    <row r="131" spans="1:13" ht="25.05" hidden="1" customHeight="1">
      <c r="A131" s="87" t="s">
        <v>41</v>
      </c>
      <c r="B131" s="87" t="s">
        <v>66</v>
      </c>
      <c r="C131" s="87" t="s">
        <v>64</v>
      </c>
      <c r="D131" s="87" t="s">
        <v>213</v>
      </c>
      <c r="E131" s="87" t="s">
        <v>214</v>
      </c>
      <c r="F131" s="87"/>
      <c r="G131" s="87" t="s">
        <v>99</v>
      </c>
      <c r="H131" s="87" t="s">
        <v>91</v>
      </c>
      <c r="I131" s="87" t="s">
        <v>115</v>
      </c>
      <c r="J131" s="87" t="s">
        <v>5</v>
      </c>
      <c r="K131" s="90"/>
      <c r="L131" s="90"/>
      <c r="M131" s="87">
        <v>126</v>
      </c>
    </row>
    <row r="132" spans="1:13" ht="25.05" hidden="1" customHeight="1">
      <c r="A132" s="2" t="s">
        <v>41</v>
      </c>
      <c r="B132" s="2" t="s">
        <v>66</v>
      </c>
      <c r="C132" s="2" t="s">
        <v>64</v>
      </c>
      <c r="D132" s="2"/>
      <c r="E132" s="2" t="s">
        <v>118</v>
      </c>
      <c r="F132" s="2"/>
      <c r="G132" s="2" t="s">
        <v>117</v>
      </c>
      <c r="H132" s="2" t="s">
        <v>91</v>
      </c>
      <c r="I132" s="2" t="s">
        <v>115</v>
      </c>
      <c r="J132" s="2" t="s">
        <v>5</v>
      </c>
      <c r="K132" s="4">
        <v>46248</v>
      </c>
      <c r="L132" s="4"/>
      <c r="M132" s="2">
        <v>127</v>
      </c>
    </row>
    <row r="133" spans="1:13" ht="25.05" hidden="1" customHeight="1">
      <c r="A133" s="2" t="s">
        <v>41</v>
      </c>
      <c r="B133" s="2" t="s">
        <v>66</v>
      </c>
      <c r="C133" s="2" t="s">
        <v>64</v>
      </c>
      <c r="D133" s="2"/>
      <c r="E133" s="2" t="s">
        <v>4</v>
      </c>
      <c r="F133" s="2"/>
      <c r="G133" s="2" t="s">
        <v>117</v>
      </c>
      <c r="H133" s="2" t="s">
        <v>91</v>
      </c>
      <c r="I133" s="2" t="s">
        <v>115</v>
      </c>
      <c r="J133" s="2" t="s">
        <v>5</v>
      </c>
      <c r="K133" s="4">
        <v>46252</v>
      </c>
      <c r="L133" s="4"/>
      <c r="M133" s="2">
        <v>128</v>
      </c>
    </row>
    <row r="134" spans="1:13" ht="25.05" hidden="1" customHeight="1">
      <c r="A134" s="87" t="s">
        <v>41</v>
      </c>
      <c r="B134" s="87" t="s">
        <v>66</v>
      </c>
      <c r="C134" s="87" t="s">
        <v>64</v>
      </c>
      <c r="D134" s="87" t="s">
        <v>215</v>
      </c>
      <c r="E134" s="87" t="s">
        <v>216</v>
      </c>
      <c r="F134" s="87"/>
      <c r="G134" s="87" t="s">
        <v>99</v>
      </c>
      <c r="H134" s="87" t="s">
        <v>91</v>
      </c>
      <c r="I134" s="87" t="s">
        <v>115</v>
      </c>
      <c r="J134" s="87" t="s">
        <v>5</v>
      </c>
      <c r="K134" s="90"/>
      <c r="L134" s="90"/>
      <c r="M134" s="87">
        <v>129</v>
      </c>
    </row>
    <row r="135" spans="1:13" ht="25.05" hidden="1" customHeight="1">
      <c r="A135" s="2" t="s">
        <v>41</v>
      </c>
      <c r="B135" s="2" t="s">
        <v>66</v>
      </c>
      <c r="C135" s="2" t="s">
        <v>64</v>
      </c>
      <c r="D135" s="2"/>
      <c r="E135" s="2" t="s">
        <v>118</v>
      </c>
      <c r="F135" s="2"/>
      <c r="G135" s="2" t="s">
        <v>117</v>
      </c>
      <c r="H135" s="2" t="s">
        <v>91</v>
      </c>
      <c r="I135" s="2" t="s">
        <v>115</v>
      </c>
      <c r="J135" s="2" t="s">
        <v>5</v>
      </c>
      <c r="K135" s="4">
        <v>46258</v>
      </c>
      <c r="L135" s="4"/>
      <c r="M135" s="2">
        <v>130</v>
      </c>
    </row>
    <row r="136" spans="1:13" ht="25.05" hidden="1" customHeight="1">
      <c r="A136" s="2" t="s">
        <v>41</v>
      </c>
      <c r="B136" s="2" t="s">
        <v>66</v>
      </c>
      <c r="C136" s="2" t="s">
        <v>64</v>
      </c>
      <c r="D136" s="2"/>
      <c r="E136" s="2" t="s">
        <v>4</v>
      </c>
      <c r="F136" s="2"/>
      <c r="G136" s="2" t="s">
        <v>117</v>
      </c>
      <c r="H136" s="2" t="s">
        <v>91</v>
      </c>
      <c r="I136" s="2" t="s">
        <v>115</v>
      </c>
      <c r="J136" s="2" t="s">
        <v>5</v>
      </c>
      <c r="K136" s="4">
        <v>46260</v>
      </c>
      <c r="L136" s="4"/>
      <c r="M136" s="2">
        <v>131</v>
      </c>
    </row>
    <row r="137" spans="1:13" ht="25.05" hidden="1" customHeight="1">
      <c r="A137" s="87" t="s">
        <v>41</v>
      </c>
      <c r="B137" s="87" t="s">
        <v>66</v>
      </c>
      <c r="C137" s="87" t="s">
        <v>64</v>
      </c>
      <c r="D137" s="87" t="s">
        <v>217</v>
      </c>
      <c r="E137" s="87" t="s">
        <v>218</v>
      </c>
      <c r="F137" s="87"/>
      <c r="G137" s="87" t="s">
        <v>99</v>
      </c>
      <c r="H137" s="87" t="s">
        <v>91</v>
      </c>
      <c r="I137" s="87" t="s">
        <v>115</v>
      </c>
      <c r="J137" s="87" t="s">
        <v>5</v>
      </c>
      <c r="K137" s="90"/>
      <c r="L137" s="90"/>
      <c r="M137" s="87">
        <v>132</v>
      </c>
    </row>
    <row r="138" spans="1:13" ht="25.05" hidden="1" customHeight="1">
      <c r="A138" s="2" t="s">
        <v>41</v>
      </c>
      <c r="B138" s="2" t="s">
        <v>66</v>
      </c>
      <c r="C138" s="2" t="s">
        <v>64</v>
      </c>
      <c r="D138" s="2"/>
      <c r="E138" s="2" t="s">
        <v>118</v>
      </c>
      <c r="F138" s="2"/>
      <c r="G138" s="2" t="s">
        <v>117</v>
      </c>
      <c r="H138" s="2" t="s">
        <v>91</v>
      </c>
      <c r="I138" s="2" t="s">
        <v>115</v>
      </c>
      <c r="J138" s="2" t="s">
        <v>5</v>
      </c>
      <c r="K138" s="4">
        <v>46266</v>
      </c>
      <c r="L138" s="4"/>
      <c r="M138" s="2">
        <v>133</v>
      </c>
    </row>
    <row r="139" spans="1:13" ht="25.05" hidden="1" customHeight="1">
      <c r="A139" s="2" t="s">
        <v>41</v>
      </c>
      <c r="B139" s="2" t="s">
        <v>66</v>
      </c>
      <c r="C139" s="2" t="s">
        <v>64</v>
      </c>
      <c r="D139" s="2"/>
      <c r="E139" s="2" t="s">
        <v>4</v>
      </c>
      <c r="F139" s="2"/>
      <c r="G139" s="2" t="s">
        <v>117</v>
      </c>
      <c r="H139" s="2" t="s">
        <v>91</v>
      </c>
      <c r="I139" s="2" t="s">
        <v>115</v>
      </c>
      <c r="J139" s="2" t="s">
        <v>5</v>
      </c>
      <c r="K139" s="4">
        <v>46268</v>
      </c>
      <c r="L139" s="4"/>
      <c r="M139" s="2">
        <v>134</v>
      </c>
    </row>
    <row r="140" spans="1:13" ht="25.05" hidden="1" customHeight="1">
      <c r="A140" s="87" t="s">
        <v>41</v>
      </c>
      <c r="B140" s="87" t="s">
        <v>66</v>
      </c>
      <c r="C140" s="87" t="s">
        <v>64</v>
      </c>
      <c r="D140" s="87" t="s">
        <v>219</v>
      </c>
      <c r="E140" s="87" t="s">
        <v>220</v>
      </c>
      <c r="F140" s="87"/>
      <c r="G140" s="87" t="s">
        <v>99</v>
      </c>
      <c r="H140" s="87" t="s">
        <v>91</v>
      </c>
      <c r="I140" s="87" t="s">
        <v>115</v>
      </c>
      <c r="J140" s="87" t="s">
        <v>5</v>
      </c>
      <c r="K140" s="90"/>
      <c r="L140" s="90"/>
      <c r="M140" s="87">
        <v>135</v>
      </c>
    </row>
    <row r="141" spans="1:13" ht="25.05" hidden="1" customHeight="1">
      <c r="A141" s="2" t="s">
        <v>41</v>
      </c>
      <c r="B141" s="2" t="s">
        <v>66</v>
      </c>
      <c r="C141" s="2" t="s">
        <v>64</v>
      </c>
      <c r="D141" s="2"/>
      <c r="E141" s="2" t="s">
        <v>118</v>
      </c>
      <c r="F141" s="2"/>
      <c r="G141" s="2" t="s">
        <v>117</v>
      </c>
      <c r="H141" s="2" t="s">
        <v>91</v>
      </c>
      <c r="I141" s="2" t="s">
        <v>115</v>
      </c>
      <c r="J141" s="2" t="s">
        <v>5</v>
      </c>
      <c r="K141" s="4">
        <v>46275</v>
      </c>
      <c r="L141" s="4"/>
      <c r="M141" s="2">
        <v>136</v>
      </c>
    </row>
    <row r="142" spans="1:13" ht="25.05" hidden="1" customHeight="1">
      <c r="A142" s="2" t="s">
        <v>41</v>
      </c>
      <c r="B142" s="2" t="s">
        <v>66</v>
      </c>
      <c r="C142" s="2" t="s">
        <v>64</v>
      </c>
      <c r="D142" s="2"/>
      <c r="E142" s="2" t="s">
        <v>4</v>
      </c>
      <c r="F142" s="2"/>
      <c r="G142" s="2" t="s">
        <v>117</v>
      </c>
      <c r="H142" s="2" t="s">
        <v>91</v>
      </c>
      <c r="I142" s="2" t="s">
        <v>115</v>
      </c>
      <c r="J142" s="2" t="s">
        <v>5</v>
      </c>
      <c r="K142" s="4">
        <v>46279</v>
      </c>
      <c r="L142" s="4"/>
      <c r="M142" s="2">
        <v>137</v>
      </c>
    </row>
    <row r="143" spans="1:13" ht="25.05" hidden="1" customHeight="1">
      <c r="A143" s="87" t="s">
        <v>41</v>
      </c>
      <c r="B143" s="87" t="s">
        <v>66</v>
      </c>
      <c r="C143" s="87" t="s">
        <v>64</v>
      </c>
      <c r="D143" s="87" t="s">
        <v>221</v>
      </c>
      <c r="E143" s="87" t="s">
        <v>222</v>
      </c>
      <c r="F143" s="87"/>
      <c r="G143" s="87" t="s">
        <v>99</v>
      </c>
      <c r="H143" s="87" t="s">
        <v>91</v>
      </c>
      <c r="I143" s="87" t="s">
        <v>115</v>
      </c>
      <c r="J143" s="87" t="s">
        <v>5</v>
      </c>
      <c r="K143" s="90"/>
      <c r="L143" s="90"/>
      <c r="M143" s="87">
        <v>138</v>
      </c>
    </row>
    <row r="144" spans="1:13" ht="25.05" hidden="1" customHeight="1">
      <c r="A144" s="2" t="s">
        <v>41</v>
      </c>
      <c r="B144" s="2" t="s">
        <v>66</v>
      </c>
      <c r="C144" s="2" t="s">
        <v>64</v>
      </c>
      <c r="D144" s="2"/>
      <c r="E144" s="2" t="s">
        <v>118</v>
      </c>
      <c r="F144" s="2"/>
      <c r="G144" s="2" t="s">
        <v>117</v>
      </c>
      <c r="H144" s="2" t="s">
        <v>91</v>
      </c>
      <c r="I144" s="2" t="s">
        <v>115</v>
      </c>
      <c r="J144" s="2" t="s">
        <v>5</v>
      </c>
      <c r="K144" s="4">
        <v>46283</v>
      </c>
      <c r="L144" s="4"/>
      <c r="M144" s="2">
        <v>139</v>
      </c>
    </row>
    <row r="145" spans="1:13" ht="25.05" hidden="1" customHeight="1">
      <c r="A145" s="2" t="s">
        <v>41</v>
      </c>
      <c r="B145" s="2" t="s">
        <v>66</v>
      </c>
      <c r="C145" s="2" t="s">
        <v>64</v>
      </c>
      <c r="D145" s="2"/>
      <c r="E145" s="2" t="s">
        <v>4</v>
      </c>
      <c r="F145" s="2"/>
      <c r="G145" s="2" t="s">
        <v>117</v>
      </c>
      <c r="H145" s="2" t="s">
        <v>91</v>
      </c>
      <c r="I145" s="2" t="s">
        <v>115</v>
      </c>
      <c r="J145" s="2" t="s">
        <v>5</v>
      </c>
      <c r="K145" s="4">
        <v>46287</v>
      </c>
      <c r="L145" s="4"/>
      <c r="M145" s="2">
        <v>140</v>
      </c>
    </row>
    <row r="146" spans="1:13" ht="25.05" hidden="1" customHeight="1">
      <c r="A146" s="87" t="s">
        <v>41</v>
      </c>
      <c r="B146" s="87" t="s">
        <v>66</v>
      </c>
      <c r="C146" s="87" t="s">
        <v>64</v>
      </c>
      <c r="D146" s="87" t="s">
        <v>223</v>
      </c>
      <c r="E146" s="87" t="s">
        <v>224</v>
      </c>
      <c r="F146" s="87"/>
      <c r="G146" s="87" t="s">
        <v>99</v>
      </c>
      <c r="H146" s="87" t="s">
        <v>91</v>
      </c>
      <c r="I146" s="87" t="s">
        <v>115</v>
      </c>
      <c r="J146" s="87" t="s">
        <v>5</v>
      </c>
      <c r="K146" s="90"/>
      <c r="L146" s="90"/>
      <c r="M146" s="87">
        <v>141</v>
      </c>
    </row>
    <row r="147" spans="1:13" ht="25.05" hidden="1" customHeight="1">
      <c r="A147" s="2" t="s">
        <v>41</v>
      </c>
      <c r="B147" s="2" t="s">
        <v>66</v>
      </c>
      <c r="C147" s="2" t="s">
        <v>64</v>
      </c>
      <c r="D147" s="2"/>
      <c r="E147" s="2" t="s">
        <v>118</v>
      </c>
      <c r="F147" s="2"/>
      <c r="G147" s="2" t="s">
        <v>117</v>
      </c>
      <c r="H147" s="2" t="s">
        <v>91</v>
      </c>
      <c r="I147" s="2" t="s">
        <v>115</v>
      </c>
      <c r="J147" s="2" t="s">
        <v>5</v>
      </c>
      <c r="K147" s="4">
        <v>46293</v>
      </c>
      <c r="L147" s="4"/>
      <c r="M147" s="2">
        <v>142</v>
      </c>
    </row>
    <row r="148" spans="1:13" ht="25.05" hidden="1" customHeight="1">
      <c r="A148" s="2" t="s">
        <v>41</v>
      </c>
      <c r="B148" s="2" t="s">
        <v>66</v>
      </c>
      <c r="C148" s="2" t="s">
        <v>64</v>
      </c>
      <c r="D148" s="2"/>
      <c r="E148" s="2" t="s">
        <v>4</v>
      </c>
      <c r="F148" s="2"/>
      <c r="G148" s="2" t="s">
        <v>117</v>
      </c>
      <c r="H148" s="2" t="s">
        <v>91</v>
      </c>
      <c r="I148" s="2" t="s">
        <v>115</v>
      </c>
      <c r="J148" s="2" t="s">
        <v>5</v>
      </c>
      <c r="K148" s="4">
        <v>46295</v>
      </c>
      <c r="L148" s="4"/>
      <c r="M148" s="2">
        <v>143</v>
      </c>
    </row>
    <row r="149" spans="1:13" ht="25.05" hidden="1" customHeight="1">
      <c r="A149" s="87" t="s">
        <v>41</v>
      </c>
      <c r="B149" s="87" t="s">
        <v>66</v>
      </c>
      <c r="C149" s="87" t="s">
        <v>64</v>
      </c>
      <c r="D149" s="87" t="s">
        <v>225</v>
      </c>
      <c r="E149" s="87" t="s">
        <v>226</v>
      </c>
      <c r="F149" s="87"/>
      <c r="G149" s="87" t="s">
        <v>99</v>
      </c>
      <c r="H149" s="87" t="s">
        <v>91</v>
      </c>
      <c r="I149" s="87" t="s">
        <v>115</v>
      </c>
      <c r="J149" s="87" t="s">
        <v>5</v>
      </c>
      <c r="K149" s="90"/>
      <c r="L149" s="90"/>
      <c r="M149" s="87">
        <v>144</v>
      </c>
    </row>
    <row r="150" spans="1:13" ht="25.05" hidden="1" customHeight="1">
      <c r="A150" s="2" t="s">
        <v>41</v>
      </c>
      <c r="B150" s="2" t="s">
        <v>66</v>
      </c>
      <c r="C150" s="2" t="s">
        <v>64</v>
      </c>
      <c r="D150" s="2"/>
      <c r="E150" s="2" t="s">
        <v>118</v>
      </c>
      <c r="F150" s="2"/>
      <c r="G150" s="2" t="s">
        <v>117</v>
      </c>
      <c r="H150" s="2" t="s">
        <v>91</v>
      </c>
      <c r="I150" s="2" t="s">
        <v>115</v>
      </c>
      <c r="J150" s="2" t="s">
        <v>5</v>
      </c>
      <c r="K150" s="4">
        <v>46301</v>
      </c>
      <c r="L150" s="4"/>
      <c r="M150" s="2">
        <v>145</v>
      </c>
    </row>
    <row r="151" spans="1:13" ht="25.05" hidden="1" customHeight="1">
      <c r="A151" s="2" t="s">
        <v>41</v>
      </c>
      <c r="B151" s="2" t="s">
        <v>66</v>
      </c>
      <c r="C151" s="2" t="s">
        <v>64</v>
      </c>
      <c r="D151" s="2"/>
      <c r="E151" s="2" t="s">
        <v>4</v>
      </c>
      <c r="F151" s="2"/>
      <c r="G151" s="2" t="s">
        <v>117</v>
      </c>
      <c r="H151" s="2" t="s">
        <v>91</v>
      </c>
      <c r="I151" s="2" t="s">
        <v>115</v>
      </c>
      <c r="J151" s="2" t="s">
        <v>5</v>
      </c>
      <c r="K151" s="4">
        <v>46303</v>
      </c>
      <c r="L151" s="4"/>
      <c r="M151" s="2">
        <v>146</v>
      </c>
    </row>
    <row r="152" spans="1:13" ht="25.05" hidden="1" customHeight="1">
      <c r="A152" s="87" t="s">
        <v>41</v>
      </c>
      <c r="B152" s="87" t="s">
        <v>66</v>
      </c>
      <c r="C152" s="87" t="s">
        <v>64</v>
      </c>
      <c r="D152" s="87" t="s">
        <v>227</v>
      </c>
      <c r="E152" s="87" t="s">
        <v>228</v>
      </c>
      <c r="F152" s="87"/>
      <c r="G152" s="87" t="s">
        <v>99</v>
      </c>
      <c r="H152" s="87" t="s">
        <v>91</v>
      </c>
      <c r="I152" s="87" t="s">
        <v>115</v>
      </c>
      <c r="J152" s="87" t="s">
        <v>5</v>
      </c>
      <c r="K152" s="90"/>
      <c r="L152" s="90"/>
      <c r="M152" s="87">
        <v>147</v>
      </c>
    </row>
    <row r="153" spans="1:13" ht="25.05" hidden="1" customHeight="1">
      <c r="A153" s="2" t="s">
        <v>41</v>
      </c>
      <c r="B153" s="2" t="s">
        <v>66</v>
      </c>
      <c r="C153" s="2" t="s">
        <v>64</v>
      </c>
      <c r="D153" s="2"/>
      <c r="E153" s="2" t="s">
        <v>118</v>
      </c>
      <c r="F153" s="2"/>
      <c r="G153" s="2" t="s">
        <v>117</v>
      </c>
      <c r="H153" s="2" t="s">
        <v>91</v>
      </c>
      <c r="I153" s="2" t="s">
        <v>115</v>
      </c>
      <c r="J153" s="2" t="s">
        <v>5</v>
      </c>
      <c r="K153" s="4">
        <v>46310</v>
      </c>
      <c r="L153" s="4"/>
      <c r="M153" s="2">
        <v>148</v>
      </c>
    </row>
    <row r="154" spans="1:13" ht="25.05" hidden="1" customHeight="1">
      <c r="A154" s="2" t="s">
        <v>41</v>
      </c>
      <c r="B154" s="2" t="s">
        <v>66</v>
      </c>
      <c r="C154" s="2" t="s">
        <v>64</v>
      </c>
      <c r="D154" s="2"/>
      <c r="E154" s="2" t="s">
        <v>4</v>
      </c>
      <c r="F154" s="2"/>
      <c r="G154" s="2" t="s">
        <v>117</v>
      </c>
      <c r="H154" s="2" t="s">
        <v>91</v>
      </c>
      <c r="I154" s="2" t="s">
        <v>115</v>
      </c>
      <c r="J154" s="2" t="s">
        <v>5</v>
      </c>
      <c r="K154" s="4">
        <v>46314</v>
      </c>
      <c r="L154" s="4"/>
      <c r="M154" s="2">
        <v>149</v>
      </c>
    </row>
    <row r="155" spans="1:13" ht="25.05" hidden="1" customHeight="1">
      <c r="A155" s="87" t="s">
        <v>41</v>
      </c>
      <c r="B155" s="87" t="s">
        <v>66</v>
      </c>
      <c r="C155" s="87" t="s">
        <v>64</v>
      </c>
      <c r="D155" s="87" t="s">
        <v>227</v>
      </c>
      <c r="E155" s="87" t="s">
        <v>229</v>
      </c>
      <c r="F155" s="87"/>
      <c r="G155" s="87" t="s">
        <v>99</v>
      </c>
      <c r="H155" s="87" t="s">
        <v>91</v>
      </c>
      <c r="I155" s="87" t="s">
        <v>115</v>
      </c>
      <c r="J155" s="87" t="s">
        <v>5</v>
      </c>
      <c r="K155" s="90"/>
      <c r="L155" s="90"/>
      <c r="M155" s="87">
        <v>150</v>
      </c>
    </row>
    <row r="156" spans="1:13" ht="25.05" hidden="1" customHeight="1">
      <c r="A156" s="2" t="s">
        <v>41</v>
      </c>
      <c r="B156" s="2" t="s">
        <v>66</v>
      </c>
      <c r="C156" s="2" t="s">
        <v>64</v>
      </c>
      <c r="D156" s="2"/>
      <c r="E156" s="2" t="s">
        <v>118</v>
      </c>
      <c r="F156" s="2"/>
      <c r="G156" s="2" t="s">
        <v>117</v>
      </c>
      <c r="H156" s="2" t="s">
        <v>91</v>
      </c>
      <c r="I156" s="2" t="s">
        <v>115</v>
      </c>
      <c r="J156" s="2" t="s">
        <v>5</v>
      </c>
      <c r="K156" s="4">
        <v>46318</v>
      </c>
      <c r="L156" s="4"/>
      <c r="M156" s="2">
        <v>151</v>
      </c>
    </row>
    <row r="157" spans="1:13" ht="25.05" hidden="1" customHeight="1">
      <c r="A157" s="2" t="s">
        <v>41</v>
      </c>
      <c r="B157" s="2" t="s">
        <v>66</v>
      </c>
      <c r="C157" s="2" t="s">
        <v>64</v>
      </c>
      <c r="D157" s="2"/>
      <c r="E157" s="2" t="s">
        <v>4</v>
      </c>
      <c r="F157" s="2"/>
      <c r="G157" s="2" t="s">
        <v>117</v>
      </c>
      <c r="H157" s="2" t="s">
        <v>91</v>
      </c>
      <c r="I157" s="2" t="s">
        <v>115</v>
      </c>
      <c r="J157" s="2" t="s">
        <v>5</v>
      </c>
      <c r="K157" s="4">
        <v>46322</v>
      </c>
      <c r="L157" s="4"/>
      <c r="M157" s="2">
        <v>152</v>
      </c>
    </row>
    <row r="158" spans="1:13" ht="25.05" hidden="1" customHeight="1">
      <c r="A158" s="87" t="s">
        <v>41</v>
      </c>
      <c r="B158" s="87" t="s">
        <v>66</v>
      </c>
      <c r="C158" s="87" t="s">
        <v>64</v>
      </c>
      <c r="D158" s="87" t="s">
        <v>230</v>
      </c>
      <c r="E158" s="87" t="s">
        <v>231</v>
      </c>
      <c r="F158" s="87"/>
      <c r="G158" s="87" t="s">
        <v>99</v>
      </c>
      <c r="H158" s="87" t="s">
        <v>91</v>
      </c>
      <c r="I158" s="87" t="s">
        <v>115</v>
      </c>
      <c r="J158" s="87" t="s">
        <v>5</v>
      </c>
      <c r="K158" s="90"/>
      <c r="L158" s="90"/>
      <c r="M158" s="87">
        <v>153</v>
      </c>
    </row>
    <row r="159" spans="1:13" ht="25.05" hidden="1" customHeight="1">
      <c r="A159" s="2" t="s">
        <v>41</v>
      </c>
      <c r="B159" s="2" t="s">
        <v>66</v>
      </c>
      <c r="C159" s="2" t="s">
        <v>64</v>
      </c>
      <c r="D159" s="2"/>
      <c r="E159" s="2" t="s">
        <v>118</v>
      </c>
      <c r="F159" s="2"/>
      <c r="G159" s="2" t="s">
        <v>117</v>
      </c>
      <c r="H159" s="2" t="s">
        <v>91</v>
      </c>
      <c r="I159" s="2" t="s">
        <v>115</v>
      </c>
      <c r="J159" s="2" t="s">
        <v>5</v>
      </c>
      <c r="K159" s="4">
        <v>46329</v>
      </c>
      <c r="L159" s="4"/>
      <c r="M159" s="2">
        <v>154</v>
      </c>
    </row>
    <row r="160" spans="1:13" ht="25.05" hidden="1" customHeight="1">
      <c r="A160" s="2" t="s">
        <v>41</v>
      </c>
      <c r="B160" s="2" t="s">
        <v>66</v>
      </c>
      <c r="C160" s="2" t="s">
        <v>64</v>
      </c>
      <c r="D160" s="2"/>
      <c r="E160" s="2" t="s">
        <v>4</v>
      </c>
      <c r="F160" s="2"/>
      <c r="G160" s="2" t="s">
        <v>117</v>
      </c>
      <c r="H160" s="2" t="s">
        <v>91</v>
      </c>
      <c r="I160" s="2" t="s">
        <v>115</v>
      </c>
      <c r="J160" s="2" t="s">
        <v>5</v>
      </c>
      <c r="K160" s="4">
        <v>46331</v>
      </c>
      <c r="L160" s="4"/>
      <c r="M160" s="2">
        <v>155</v>
      </c>
    </row>
    <row r="161" spans="1:13" ht="25.05" hidden="1" customHeight="1">
      <c r="A161" s="87" t="s">
        <v>41</v>
      </c>
      <c r="B161" s="87" t="s">
        <v>66</v>
      </c>
      <c r="C161" s="87" t="s">
        <v>64</v>
      </c>
      <c r="D161" s="87" t="s">
        <v>232</v>
      </c>
      <c r="E161" s="87" t="s">
        <v>233</v>
      </c>
      <c r="F161" s="87"/>
      <c r="G161" s="87" t="s">
        <v>99</v>
      </c>
      <c r="H161" s="87" t="s">
        <v>91</v>
      </c>
      <c r="I161" s="87" t="s">
        <v>115</v>
      </c>
      <c r="J161" s="87" t="s">
        <v>5</v>
      </c>
      <c r="K161" s="90"/>
      <c r="L161" s="90"/>
      <c r="M161" s="87">
        <v>156</v>
      </c>
    </row>
    <row r="162" spans="1:13" ht="25.05" hidden="1" customHeight="1">
      <c r="A162" s="2" t="s">
        <v>41</v>
      </c>
      <c r="B162" s="2" t="s">
        <v>66</v>
      </c>
      <c r="C162" s="2" t="s">
        <v>64</v>
      </c>
      <c r="D162" s="2"/>
      <c r="E162" s="2" t="s">
        <v>118</v>
      </c>
      <c r="F162" s="2"/>
      <c r="G162" s="2" t="s">
        <v>117</v>
      </c>
      <c r="H162" s="2" t="s">
        <v>91</v>
      </c>
      <c r="I162" s="2" t="s">
        <v>115</v>
      </c>
      <c r="J162" s="2" t="s">
        <v>5</v>
      </c>
      <c r="K162" s="4">
        <v>46337</v>
      </c>
      <c r="L162" s="4"/>
      <c r="M162" s="2">
        <v>157</v>
      </c>
    </row>
    <row r="163" spans="1:13" ht="25.05" hidden="1" customHeight="1">
      <c r="A163" s="2" t="s">
        <v>41</v>
      </c>
      <c r="B163" s="2" t="s">
        <v>66</v>
      </c>
      <c r="C163" s="2" t="s">
        <v>64</v>
      </c>
      <c r="D163" s="2"/>
      <c r="E163" s="2" t="s">
        <v>4</v>
      </c>
      <c r="F163" s="2"/>
      <c r="G163" s="2" t="s">
        <v>117</v>
      </c>
      <c r="H163" s="2" t="s">
        <v>91</v>
      </c>
      <c r="I163" s="2" t="s">
        <v>115</v>
      </c>
      <c r="J163" s="2" t="s">
        <v>5</v>
      </c>
      <c r="K163" s="4">
        <v>46339</v>
      </c>
      <c r="L163" s="4"/>
      <c r="M163" s="2">
        <v>158</v>
      </c>
    </row>
    <row r="164" spans="1:13" ht="25.05" hidden="1" customHeight="1">
      <c r="A164" s="87" t="s">
        <v>41</v>
      </c>
      <c r="B164" s="87" t="s">
        <v>66</v>
      </c>
      <c r="C164" s="87" t="s">
        <v>64</v>
      </c>
      <c r="D164" s="87" t="s">
        <v>234</v>
      </c>
      <c r="E164" s="87" t="s">
        <v>235</v>
      </c>
      <c r="F164" s="87"/>
      <c r="G164" s="87" t="s">
        <v>99</v>
      </c>
      <c r="H164" s="87" t="s">
        <v>206</v>
      </c>
      <c r="I164" s="87" t="s">
        <v>115</v>
      </c>
      <c r="J164" s="87" t="s">
        <v>7</v>
      </c>
      <c r="K164" s="90">
        <v>46293</v>
      </c>
      <c r="L164" s="90">
        <v>46247</v>
      </c>
      <c r="M164" s="87">
        <v>159</v>
      </c>
    </row>
    <row r="165" spans="1:13" ht="25.05" hidden="1" customHeight="1">
      <c r="A165" s="2" t="s">
        <v>41</v>
      </c>
      <c r="B165" s="2" t="s">
        <v>66</v>
      </c>
      <c r="C165" s="2" t="s">
        <v>64</v>
      </c>
      <c r="D165" s="2"/>
      <c r="E165" s="2" t="s">
        <v>118</v>
      </c>
      <c r="F165" s="2"/>
      <c r="G165" s="2" t="s">
        <v>117</v>
      </c>
      <c r="H165" s="2" t="s">
        <v>91</v>
      </c>
      <c r="I165" s="2" t="s">
        <v>115</v>
      </c>
      <c r="J165" s="2" t="s">
        <v>7</v>
      </c>
      <c r="K165" s="4">
        <v>46290</v>
      </c>
      <c r="L165" s="4">
        <v>46240</v>
      </c>
      <c r="M165" s="2">
        <v>160</v>
      </c>
    </row>
    <row r="166" spans="1:13" ht="25.05" hidden="1" customHeight="1">
      <c r="A166" s="2" t="s">
        <v>41</v>
      </c>
      <c r="B166" s="2" t="s">
        <v>66</v>
      </c>
      <c r="C166" s="2" t="s">
        <v>64</v>
      </c>
      <c r="D166" s="2"/>
      <c r="E166" s="2" t="s">
        <v>208</v>
      </c>
      <c r="F166" s="2"/>
      <c r="G166" s="2" t="s">
        <v>117</v>
      </c>
      <c r="H166" s="2" t="s">
        <v>91</v>
      </c>
      <c r="I166" s="2" t="s">
        <v>115</v>
      </c>
      <c r="J166" s="2" t="s">
        <v>7</v>
      </c>
      <c r="K166" s="4">
        <v>46293</v>
      </c>
      <c r="L166" s="4">
        <v>46247</v>
      </c>
      <c r="M166" s="2">
        <v>161</v>
      </c>
    </row>
    <row r="167" spans="1:13" ht="25.05" hidden="1" customHeight="1">
      <c r="A167" s="87" t="s">
        <v>41</v>
      </c>
      <c r="B167" s="87" t="s">
        <v>67</v>
      </c>
      <c r="C167" s="87" t="s">
        <v>64</v>
      </c>
      <c r="D167" s="87"/>
      <c r="E167" s="87" t="s">
        <v>236</v>
      </c>
      <c r="F167" s="87"/>
      <c r="G167" s="87" t="s">
        <v>99</v>
      </c>
      <c r="H167" s="87" t="s">
        <v>91</v>
      </c>
      <c r="I167" s="87" t="s">
        <v>125</v>
      </c>
      <c r="J167" s="87" t="s">
        <v>6</v>
      </c>
      <c r="K167" s="90"/>
      <c r="L167" s="90"/>
      <c r="M167" s="87">
        <v>163</v>
      </c>
    </row>
    <row r="168" spans="1:13" ht="25.05" hidden="1" customHeight="1">
      <c r="A168" s="87" t="s">
        <v>41</v>
      </c>
      <c r="B168" s="87" t="s">
        <v>67</v>
      </c>
      <c r="C168" s="87" t="s">
        <v>64</v>
      </c>
      <c r="D168" s="87"/>
      <c r="E168" s="87" t="s">
        <v>237</v>
      </c>
      <c r="F168" s="87"/>
      <c r="G168" s="87" t="s">
        <v>99</v>
      </c>
      <c r="H168" s="87" t="s">
        <v>91</v>
      </c>
      <c r="I168" s="87" t="s">
        <v>125</v>
      </c>
      <c r="J168" s="87" t="s">
        <v>6</v>
      </c>
      <c r="K168" s="90"/>
      <c r="L168" s="90"/>
      <c r="M168" s="87">
        <v>164</v>
      </c>
    </row>
    <row r="169" spans="1:13" ht="25.05" hidden="1" customHeight="1">
      <c r="A169" s="87" t="s">
        <v>41</v>
      </c>
      <c r="B169" s="87" t="s">
        <v>67</v>
      </c>
      <c r="C169" s="87" t="s">
        <v>64</v>
      </c>
      <c r="D169" s="87"/>
      <c r="E169" s="87" t="s">
        <v>238</v>
      </c>
      <c r="F169" s="87"/>
      <c r="G169" s="87" t="s">
        <v>99</v>
      </c>
      <c r="H169" s="87" t="s">
        <v>91</v>
      </c>
      <c r="I169" s="87" t="s">
        <v>125</v>
      </c>
      <c r="J169" s="87" t="s">
        <v>6</v>
      </c>
      <c r="K169" s="90"/>
      <c r="L169" s="90"/>
      <c r="M169" s="87">
        <v>165</v>
      </c>
    </row>
    <row r="170" spans="1:13" ht="25.05" hidden="1" customHeight="1">
      <c r="A170" s="87" t="s">
        <v>42</v>
      </c>
      <c r="B170" s="87" t="s">
        <v>70</v>
      </c>
      <c r="C170" s="87" t="s">
        <v>68</v>
      </c>
      <c r="D170" s="87" t="s">
        <v>239</v>
      </c>
      <c r="E170" s="87" t="s">
        <v>240</v>
      </c>
      <c r="F170" s="87"/>
      <c r="G170" s="87" t="s">
        <v>99</v>
      </c>
      <c r="H170" s="87" t="s">
        <v>100</v>
      </c>
      <c r="I170" s="87" t="s">
        <v>115</v>
      </c>
      <c r="J170" s="87" t="s">
        <v>7</v>
      </c>
      <c r="K170" s="90">
        <v>46276</v>
      </c>
      <c r="L170" s="90">
        <v>46269</v>
      </c>
      <c r="M170" s="87">
        <v>167</v>
      </c>
    </row>
    <row r="171" spans="1:13" ht="25.05" hidden="1" customHeight="1">
      <c r="A171" s="2" t="s">
        <v>42</v>
      </c>
      <c r="B171" s="2" t="s">
        <v>70</v>
      </c>
      <c r="C171" s="2" t="s">
        <v>68</v>
      </c>
      <c r="D171" s="2"/>
      <c r="E171" s="2" t="s">
        <v>241</v>
      </c>
      <c r="F171" s="2"/>
      <c r="G171" s="2" t="s">
        <v>117</v>
      </c>
      <c r="H171" s="2" t="s">
        <v>91</v>
      </c>
      <c r="I171" s="2" t="s">
        <v>115</v>
      </c>
      <c r="J171" s="2" t="s">
        <v>7</v>
      </c>
      <c r="K171" s="4">
        <v>46238</v>
      </c>
      <c r="L171" s="4">
        <v>46230</v>
      </c>
      <c r="M171" s="2">
        <v>168</v>
      </c>
    </row>
    <row r="172" spans="1:13" ht="25.05" hidden="1" customHeight="1">
      <c r="A172" s="2" t="s">
        <v>42</v>
      </c>
      <c r="B172" s="2" t="s">
        <v>70</v>
      </c>
      <c r="C172" s="2" t="s">
        <v>68</v>
      </c>
      <c r="D172" s="2"/>
      <c r="E172" s="2" t="s">
        <v>242</v>
      </c>
      <c r="F172" s="2"/>
      <c r="G172" s="2" t="s">
        <v>117</v>
      </c>
      <c r="H172" s="2" t="s">
        <v>91</v>
      </c>
      <c r="I172" s="2" t="s">
        <v>115</v>
      </c>
      <c r="J172" s="2" t="s">
        <v>7</v>
      </c>
      <c r="K172" s="4">
        <v>46269</v>
      </c>
      <c r="L172" s="4">
        <v>46269</v>
      </c>
      <c r="M172" s="2">
        <v>169</v>
      </c>
    </row>
    <row r="173" spans="1:13" ht="25.05" hidden="1" customHeight="1">
      <c r="A173" s="87" t="s">
        <v>42</v>
      </c>
      <c r="B173" s="87" t="s">
        <v>70</v>
      </c>
      <c r="C173" s="87" t="s">
        <v>68</v>
      </c>
      <c r="D173" s="87" t="s">
        <v>243</v>
      </c>
      <c r="E173" s="87" t="s">
        <v>244</v>
      </c>
      <c r="F173" s="87"/>
      <c r="G173" s="87" t="s">
        <v>99</v>
      </c>
      <c r="H173" s="87" t="s">
        <v>100</v>
      </c>
      <c r="I173" s="87" t="s">
        <v>115</v>
      </c>
      <c r="J173" s="87" t="s">
        <v>7</v>
      </c>
      <c r="K173" s="90">
        <v>46237</v>
      </c>
      <c r="L173" s="90">
        <v>46234</v>
      </c>
      <c r="M173" s="87">
        <v>170</v>
      </c>
    </row>
    <row r="174" spans="1:13" ht="25.05" hidden="1" customHeight="1">
      <c r="A174" s="2" t="s">
        <v>42</v>
      </c>
      <c r="B174" s="2" t="s">
        <v>70</v>
      </c>
      <c r="C174" s="2" t="s">
        <v>68</v>
      </c>
      <c r="D174" s="2"/>
      <c r="E174" s="2" t="s">
        <v>245</v>
      </c>
      <c r="F174" s="2"/>
      <c r="G174" s="2" t="s">
        <v>117</v>
      </c>
      <c r="H174" s="2" t="s">
        <v>91</v>
      </c>
      <c r="I174" s="2" t="s">
        <v>115</v>
      </c>
      <c r="J174" s="2" t="s">
        <v>7</v>
      </c>
      <c r="K174" s="4">
        <v>46220</v>
      </c>
      <c r="L174" s="4">
        <v>46220</v>
      </c>
      <c r="M174" s="2">
        <v>171</v>
      </c>
    </row>
    <row r="175" spans="1:13" ht="25.05" hidden="1" customHeight="1">
      <c r="A175" s="2" t="s">
        <v>42</v>
      </c>
      <c r="B175" s="2" t="s">
        <v>70</v>
      </c>
      <c r="C175" s="2" t="s">
        <v>68</v>
      </c>
      <c r="D175" s="2"/>
      <c r="E175" s="2" t="s">
        <v>246</v>
      </c>
      <c r="F175" s="2"/>
      <c r="G175" s="2" t="s">
        <v>117</v>
      </c>
      <c r="H175" s="2" t="s">
        <v>91</v>
      </c>
      <c r="I175" s="2" t="s">
        <v>115</v>
      </c>
      <c r="J175" s="2" t="s">
        <v>7</v>
      </c>
      <c r="K175" s="4">
        <v>46237</v>
      </c>
      <c r="L175" s="4">
        <v>46234</v>
      </c>
      <c r="M175" s="2">
        <v>172</v>
      </c>
    </row>
    <row r="176" spans="1:13" ht="25.05" hidden="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</row>
    <row r="177" spans="1:13" ht="25.05" hidden="1" customHeight="1">
      <c r="A177" s="87" t="s">
        <v>42</v>
      </c>
      <c r="B177" s="87" t="s">
        <v>71</v>
      </c>
      <c r="C177" s="87" t="s">
        <v>68</v>
      </c>
      <c r="D177" s="87" t="s">
        <v>401</v>
      </c>
      <c r="E177" s="87" t="s">
        <v>247</v>
      </c>
      <c r="F177" s="87"/>
      <c r="G177" s="87" t="s">
        <v>99</v>
      </c>
      <c r="H177" s="87" t="s">
        <v>91</v>
      </c>
      <c r="I177" s="87" t="s">
        <v>125</v>
      </c>
      <c r="J177" s="87" t="s">
        <v>3</v>
      </c>
      <c r="K177" s="90">
        <v>46338</v>
      </c>
      <c r="L177" s="90"/>
      <c r="M177" s="87">
        <v>174</v>
      </c>
    </row>
    <row r="178" spans="1:13" ht="25.05" hidden="1" customHeight="1">
      <c r="A178" s="2" t="s">
        <v>42</v>
      </c>
      <c r="B178" s="2" t="s">
        <v>71</v>
      </c>
      <c r="C178" s="2" t="s">
        <v>68</v>
      </c>
      <c r="D178" s="2"/>
      <c r="E178" s="2" t="s">
        <v>181</v>
      </c>
      <c r="F178" s="2"/>
      <c r="G178" s="2" t="s">
        <v>117</v>
      </c>
      <c r="H178" s="2" t="s">
        <v>91</v>
      </c>
      <c r="I178" s="2" t="s">
        <v>125</v>
      </c>
      <c r="J178" s="2" t="s">
        <v>6</v>
      </c>
      <c r="K178" s="4">
        <v>46276</v>
      </c>
      <c r="L178" s="4"/>
      <c r="M178" s="2">
        <v>175</v>
      </c>
    </row>
    <row r="179" spans="1:13" ht="25.05" hidden="1" customHeight="1">
      <c r="A179" s="2" t="s">
        <v>42</v>
      </c>
      <c r="B179" s="2" t="s">
        <v>71</v>
      </c>
      <c r="C179" s="2" t="s">
        <v>68</v>
      </c>
      <c r="D179" s="2"/>
      <c r="E179" s="2" t="s">
        <v>248</v>
      </c>
      <c r="F179" s="2"/>
      <c r="G179" s="2" t="s">
        <v>117</v>
      </c>
      <c r="H179" s="2" t="s">
        <v>91</v>
      </c>
      <c r="I179" s="2" t="s">
        <v>125</v>
      </c>
      <c r="J179" s="2" t="s">
        <v>7</v>
      </c>
      <c r="K179" s="4">
        <v>46288</v>
      </c>
      <c r="L179" s="4">
        <v>46288</v>
      </c>
      <c r="M179" s="2">
        <v>176</v>
      </c>
    </row>
    <row r="180" spans="1:13" ht="25.05" hidden="1" customHeight="1">
      <c r="A180" s="2" t="s">
        <v>42</v>
      </c>
      <c r="B180" s="2" t="s">
        <v>71</v>
      </c>
      <c r="C180" s="2" t="s">
        <v>68</v>
      </c>
      <c r="D180" s="2"/>
      <c r="E180" s="2" t="s">
        <v>249</v>
      </c>
      <c r="F180" s="2"/>
      <c r="G180" s="2" t="s">
        <v>117</v>
      </c>
      <c r="H180" s="2" t="s">
        <v>91</v>
      </c>
      <c r="I180" s="2" t="s">
        <v>125</v>
      </c>
      <c r="J180" s="2" t="s">
        <v>2</v>
      </c>
      <c r="K180" s="4">
        <v>46324</v>
      </c>
      <c r="L180" s="4"/>
      <c r="M180" s="2">
        <v>177</v>
      </c>
    </row>
    <row r="181" spans="1:13" ht="25.05" hidden="1" customHeight="1">
      <c r="A181" s="2" t="s">
        <v>42</v>
      </c>
      <c r="B181" s="2" t="s">
        <v>71</v>
      </c>
      <c r="C181" s="2" t="s">
        <v>68</v>
      </c>
      <c r="D181" s="2"/>
      <c r="E181" s="2" t="s">
        <v>250</v>
      </c>
      <c r="F181" s="2"/>
      <c r="G181" s="2" t="s">
        <v>117</v>
      </c>
      <c r="H181" s="2" t="s">
        <v>91</v>
      </c>
      <c r="I181" s="2" t="s">
        <v>125</v>
      </c>
      <c r="J181" s="2" t="s">
        <v>7</v>
      </c>
      <c r="K181" s="4">
        <v>46308</v>
      </c>
      <c r="L181" s="4">
        <v>46308</v>
      </c>
      <c r="M181" s="2">
        <v>178</v>
      </c>
    </row>
    <row r="182" spans="1:13" ht="25.05" hidden="1" customHeight="1">
      <c r="A182" s="2" t="s">
        <v>42</v>
      </c>
      <c r="B182" s="2" t="s">
        <v>71</v>
      </c>
      <c r="C182" s="2" t="s">
        <v>68</v>
      </c>
      <c r="D182" s="2"/>
      <c r="E182" s="2" t="s">
        <v>251</v>
      </c>
      <c r="F182" s="2"/>
      <c r="G182" s="2" t="s">
        <v>117</v>
      </c>
      <c r="H182" s="2" t="s">
        <v>91</v>
      </c>
      <c r="I182" s="2" t="s">
        <v>125</v>
      </c>
      <c r="J182" s="2" t="s">
        <v>7</v>
      </c>
      <c r="K182" s="4">
        <v>46314</v>
      </c>
      <c r="L182" s="4">
        <v>46317</v>
      </c>
      <c r="M182" s="2">
        <v>179</v>
      </c>
    </row>
    <row r="183" spans="1:13" ht="25.05" hidden="1" customHeight="1">
      <c r="A183" s="2" t="s">
        <v>42</v>
      </c>
      <c r="B183" s="2" t="s">
        <v>71</v>
      </c>
      <c r="C183" s="2" t="s">
        <v>68</v>
      </c>
      <c r="D183" s="2"/>
      <c r="E183" s="2" t="s">
        <v>252</v>
      </c>
      <c r="F183" s="2"/>
      <c r="G183" s="2" t="s">
        <v>117</v>
      </c>
      <c r="H183" s="2" t="s">
        <v>91</v>
      </c>
      <c r="I183" s="2" t="s">
        <v>125</v>
      </c>
      <c r="J183" s="2" t="s">
        <v>2</v>
      </c>
      <c r="K183" s="4">
        <v>46338</v>
      </c>
      <c r="L183" s="4"/>
      <c r="M183" s="2">
        <v>180</v>
      </c>
    </row>
    <row r="184" spans="1:13" ht="25.05" hidden="1" customHeight="1">
      <c r="A184" s="87" t="s">
        <v>42</v>
      </c>
      <c r="B184" s="87" t="s">
        <v>71</v>
      </c>
      <c r="C184" s="87" t="s">
        <v>68</v>
      </c>
      <c r="D184" s="87" t="s">
        <v>253</v>
      </c>
      <c r="E184" s="87" t="s">
        <v>254</v>
      </c>
      <c r="F184" s="87"/>
      <c r="G184" s="87" t="s">
        <v>99</v>
      </c>
      <c r="H184" s="87" t="s">
        <v>91</v>
      </c>
      <c r="I184" s="87" t="s">
        <v>125</v>
      </c>
      <c r="J184" s="87" t="s">
        <v>3</v>
      </c>
      <c r="K184" s="90"/>
      <c r="L184" s="90"/>
      <c r="M184" s="87">
        <v>181</v>
      </c>
    </row>
    <row r="185" spans="1:13" ht="25.05" hidden="1" customHeight="1">
      <c r="A185" s="2" t="s">
        <v>42</v>
      </c>
      <c r="B185" s="2" t="s">
        <v>71</v>
      </c>
      <c r="C185" s="2" t="s">
        <v>68</v>
      </c>
      <c r="D185" s="2"/>
      <c r="E185" s="2" t="s">
        <v>118</v>
      </c>
      <c r="F185" s="2"/>
      <c r="G185" s="2" t="s">
        <v>117</v>
      </c>
      <c r="H185" s="2" t="s">
        <v>91</v>
      </c>
      <c r="I185" s="2" t="s">
        <v>125</v>
      </c>
      <c r="J185" s="2" t="s">
        <v>3</v>
      </c>
      <c r="K185" s="4">
        <v>46358</v>
      </c>
      <c r="L185" s="4"/>
      <c r="M185" s="2"/>
    </row>
    <row r="186" spans="1:13" ht="25.05" hidden="1" customHeight="1">
      <c r="A186" s="2" t="s">
        <v>42</v>
      </c>
      <c r="B186" s="2" t="s">
        <v>71</v>
      </c>
      <c r="C186" s="2" t="s">
        <v>68</v>
      </c>
      <c r="D186" s="2"/>
      <c r="E186" s="82" t="s">
        <v>255</v>
      </c>
      <c r="F186" s="2"/>
      <c r="G186" s="2" t="s">
        <v>117</v>
      </c>
      <c r="H186" s="2" t="s">
        <v>91</v>
      </c>
      <c r="I186" s="2" t="s">
        <v>125</v>
      </c>
      <c r="J186" s="2" t="s">
        <v>2</v>
      </c>
      <c r="K186" s="4">
        <v>46360</v>
      </c>
      <c r="L186" s="4"/>
      <c r="M186" s="2"/>
    </row>
    <row r="187" spans="1:13" ht="25.05" hidden="1" customHeight="1">
      <c r="A187" s="87" t="s">
        <v>42</v>
      </c>
      <c r="B187" s="87" t="s">
        <v>71</v>
      </c>
      <c r="C187" s="87" t="s">
        <v>68</v>
      </c>
      <c r="D187" s="87" t="s">
        <v>256</v>
      </c>
      <c r="E187" s="87" t="s">
        <v>257</v>
      </c>
      <c r="F187" s="87"/>
      <c r="G187" s="87" t="s">
        <v>99</v>
      </c>
      <c r="H187" s="87" t="s">
        <v>91</v>
      </c>
      <c r="I187" s="87" t="s">
        <v>125</v>
      </c>
      <c r="J187" s="87" t="s">
        <v>3</v>
      </c>
      <c r="K187" s="90"/>
      <c r="L187" s="90"/>
      <c r="M187" s="87"/>
    </row>
    <row r="188" spans="1:13" ht="25.05" hidden="1" customHeight="1">
      <c r="A188" s="2" t="s">
        <v>42</v>
      </c>
      <c r="B188" s="2" t="s">
        <v>71</v>
      </c>
      <c r="C188" s="2" t="s">
        <v>68</v>
      </c>
      <c r="D188" s="2"/>
      <c r="E188" s="2" t="s">
        <v>258</v>
      </c>
      <c r="F188" s="2"/>
      <c r="G188" s="2" t="s">
        <v>117</v>
      </c>
      <c r="H188" s="2" t="s">
        <v>91</v>
      </c>
      <c r="I188" s="2" t="s">
        <v>125</v>
      </c>
      <c r="J188" s="2" t="s">
        <v>7</v>
      </c>
      <c r="K188" s="4">
        <v>46308</v>
      </c>
      <c r="L188" s="4">
        <v>46308</v>
      </c>
      <c r="M188" s="2"/>
    </row>
    <row r="189" spans="1:13" ht="25.05" hidden="1" customHeight="1">
      <c r="A189" s="2" t="s">
        <v>42</v>
      </c>
      <c r="B189" s="2" t="s">
        <v>71</v>
      </c>
      <c r="C189" s="2" t="s">
        <v>68</v>
      </c>
      <c r="D189" s="2"/>
      <c r="E189" s="2" t="s">
        <v>259</v>
      </c>
      <c r="F189" s="2"/>
      <c r="G189" s="2" t="s">
        <v>117</v>
      </c>
      <c r="H189" s="2" t="s">
        <v>91</v>
      </c>
      <c r="I189" s="2" t="s">
        <v>125</v>
      </c>
      <c r="J189" s="2" t="s">
        <v>3</v>
      </c>
      <c r="K189" s="4">
        <v>46373</v>
      </c>
      <c r="L189" s="4"/>
      <c r="M189" s="2"/>
    </row>
    <row r="190" spans="1:13" ht="25.05" hidden="1" customHeight="1">
      <c r="A190" s="2" t="s">
        <v>42</v>
      </c>
      <c r="B190" s="2" t="s">
        <v>71</v>
      </c>
      <c r="C190" s="2" t="s">
        <v>68</v>
      </c>
      <c r="D190" s="2"/>
      <c r="E190" s="2" t="s">
        <v>255</v>
      </c>
      <c r="F190" s="2"/>
      <c r="G190" s="2" t="s">
        <v>117</v>
      </c>
      <c r="H190" s="2" t="s">
        <v>91</v>
      </c>
      <c r="I190" s="2" t="s">
        <v>125</v>
      </c>
      <c r="J190" s="2" t="s">
        <v>2</v>
      </c>
      <c r="K190" s="4">
        <v>46043</v>
      </c>
      <c r="L190" s="4"/>
      <c r="M190" s="2"/>
    </row>
    <row r="191" spans="1:13" ht="25.05" hidden="1" customHeight="1">
      <c r="A191" s="87" t="s">
        <v>42</v>
      </c>
      <c r="B191" s="87" t="s">
        <v>71</v>
      </c>
      <c r="C191" s="87" t="s">
        <v>68</v>
      </c>
      <c r="D191" s="87" t="s">
        <v>260</v>
      </c>
      <c r="E191" s="87" t="s">
        <v>261</v>
      </c>
      <c r="F191" s="87"/>
      <c r="G191" s="87" t="s">
        <v>99</v>
      </c>
      <c r="H191" s="87" t="s">
        <v>91</v>
      </c>
      <c r="I191" s="87" t="s">
        <v>125</v>
      </c>
      <c r="J191" s="87" t="s">
        <v>3</v>
      </c>
      <c r="K191" s="90"/>
      <c r="L191" s="90"/>
      <c r="M191" s="87"/>
    </row>
    <row r="192" spans="1:13" ht="25.05" hidden="1" customHeight="1">
      <c r="A192" s="2" t="s">
        <v>42</v>
      </c>
      <c r="B192" s="2" t="s">
        <v>71</v>
      </c>
      <c r="C192" s="2" t="s">
        <v>68</v>
      </c>
      <c r="D192" s="2"/>
      <c r="E192" s="2" t="s">
        <v>258</v>
      </c>
      <c r="F192" s="2"/>
      <c r="G192" s="2" t="s">
        <v>117</v>
      </c>
      <c r="H192" s="2" t="s">
        <v>91</v>
      </c>
      <c r="I192" s="2" t="s">
        <v>125</v>
      </c>
      <c r="J192" s="2" t="s">
        <v>7</v>
      </c>
      <c r="K192" s="4">
        <v>46308</v>
      </c>
      <c r="L192" s="4">
        <v>46308</v>
      </c>
      <c r="M192" s="2"/>
    </row>
    <row r="193" spans="1:13" ht="25.05" hidden="1" customHeight="1">
      <c r="A193" s="2" t="s">
        <v>42</v>
      </c>
      <c r="B193" s="2" t="s">
        <v>71</v>
      </c>
      <c r="C193" s="2" t="s">
        <v>68</v>
      </c>
      <c r="D193" s="2"/>
      <c r="E193" s="2" t="s">
        <v>259</v>
      </c>
      <c r="F193" s="2"/>
      <c r="G193" s="2" t="s">
        <v>117</v>
      </c>
      <c r="H193" s="2" t="s">
        <v>91</v>
      </c>
      <c r="I193" s="2" t="s">
        <v>125</v>
      </c>
      <c r="J193" s="2" t="s">
        <v>3</v>
      </c>
      <c r="K193" s="4">
        <v>46371</v>
      </c>
      <c r="L193" s="4"/>
      <c r="M193" s="2"/>
    </row>
    <row r="194" spans="1:13" ht="25.05" hidden="1" customHeight="1">
      <c r="A194" s="2" t="s">
        <v>42</v>
      </c>
      <c r="B194" s="2" t="s">
        <v>71</v>
      </c>
      <c r="C194" s="2" t="s">
        <v>68</v>
      </c>
      <c r="D194" s="2"/>
      <c r="E194" s="82" t="s">
        <v>255</v>
      </c>
      <c r="F194" s="2"/>
      <c r="G194" s="2" t="s">
        <v>117</v>
      </c>
      <c r="H194" s="2" t="s">
        <v>91</v>
      </c>
      <c r="I194" s="2" t="s">
        <v>125</v>
      </c>
      <c r="J194" s="2" t="s">
        <v>2</v>
      </c>
      <c r="K194" s="4">
        <v>46029</v>
      </c>
      <c r="L194" s="4"/>
      <c r="M194" s="2"/>
    </row>
    <row r="195" spans="1:13" ht="25.05" hidden="1" customHeight="1">
      <c r="A195" s="2" t="s">
        <v>42</v>
      </c>
      <c r="B195" s="2" t="s">
        <v>71</v>
      </c>
      <c r="C195" s="2" t="s">
        <v>68</v>
      </c>
      <c r="D195" s="2"/>
      <c r="E195" s="2" t="s">
        <v>262</v>
      </c>
      <c r="F195" s="2"/>
      <c r="G195" s="2" t="s">
        <v>117</v>
      </c>
      <c r="H195" s="2" t="s">
        <v>91</v>
      </c>
      <c r="I195" s="2" t="s">
        <v>125</v>
      </c>
      <c r="J195" s="2" t="s">
        <v>2</v>
      </c>
      <c r="K195" s="4">
        <v>46374</v>
      </c>
      <c r="L195" s="4"/>
      <c r="M195" s="2">
        <v>182</v>
      </c>
    </row>
    <row r="196" spans="1:13" ht="25.05" hidden="1" customHeight="1">
      <c r="A196" s="2" t="s">
        <v>42</v>
      </c>
      <c r="B196" s="2" t="s">
        <v>71</v>
      </c>
      <c r="C196" s="2" t="s">
        <v>68</v>
      </c>
      <c r="D196" s="2"/>
      <c r="E196" s="2" t="s">
        <v>263</v>
      </c>
      <c r="F196" s="2"/>
      <c r="G196" s="2" t="s">
        <v>117</v>
      </c>
      <c r="H196" s="2" t="s">
        <v>91</v>
      </c>
      <c r="I196" s="2" t="s">
        <v>125</v>
      </c>
      <c r="J196" s="2" t="s">
        <v>6</v>
      </c>
      <c r="K196" s="4"/>
      <c r="L196" s="4"/>
      <c r="M196" s="2">
        <v>183</v>
      </c>
    </row>
    <row r="197" spans="1:13" ht="25.05" hidden="1" customHeight="1">
      <c r="A197" s="2" t="s">
        <v>42</v>
      </c>
      <c r="B197" s="2" t="s">
        <v>71</v>
      </c>
      <c r="C197" s="2" t="s">
        <v>68</v>
      </c>
      <c r="D197" s="2"/>
      <c r="E197" s="2" t="s">
        <v>264</v>
      </c>
      <c r="F197" s="2"/>
      <c r="G197" s="2" t="s">
        <v>117</v>
      </c>
      <c r="H197" s="2" t="s">
        <v>91</v>
      </c>
      <c r="I197" s="2" t="s">
        <v>125</v>
      </c>
      <c r="J197" s="2" t="s">
        <v>6</v>
      </c>
      <c r="K197" s="4"/>
      <c r="L197" s="4"/>
      <c r="M197" s="2">
        <v>184</v>
      </c>
    </row>
    <row r="198" spans="1:13" ht="25.05" customHeight="1">
      <c r="A198" s="87" t="s">
        <v>43</v>
      </c>
      <c r="B198" s="87" t="s">
        <v>74</v>
      </c>
      <c r="C198" s="87" t="s">
        <v>72</v>
      </c>
      <c r="D198" s="87" t="s">
        <v>265</v>
      </c>
      <c r="E198" s="87" t="s">
        <v>266</v>
      </c>
      <c r="F198" s="87"/>
      <c r="G198" s="87" t="s">
        <v>99</v>
      </c>
      <c r="H198" s="87" t="s">
        <v>206</v>
      </c>
      <c r="I198" s="87" t="s">
        <v>115</v>
      </c>
      <c r="J198" s="87" t="s">
        <v>6</v>
      </c>
      <c r="K198" s="90"/>
      <c r="L198" s="90"/>
      <c r="M198" s="87">
        <v>186</v>
      </c>
    </row>
    <row r="199" spans="1:13" ht="25.05" customHeight="1">
      <c r="A199" s="87" t="s">
        <v>43</v>
      </c>
      <c r="B199" s="87" t="s">
        <v>74</v>
      </c>
      <c r="C199" s="87" t="s">
        <v>72</v>
      </c>
      <c r="D199" s="87" t="s">
        <v>267</v>
      </c>
      <c r="E199" s="87" t="s">
        <v>268</v>
      </c>
      <c r="F199" s="87"/>
      <c r="G199" s="87" t="s">
        <v>99</v>
      </c>
      <c r="H199" s="87" t="s">
        <v>100</v>
      </c>
      <c r="I199" s="87" t="s">
        <v>115</v>
      </c>
      <c r="J199" s="87" t="s">
        <v>7</v>
      </c>
      <c r="K199" s="90">
        <v>46289</v>
      </c>
      <c r="L199" s="90">
        <v>46290</v>
      </c>
      <c r="M199" s="87">
        <v>187</v>
      </c>
    </row>
    <row r="200" spans="1:13" ht="25.05" customHeight="1">
      <c r="A200" s="2" t="s">
        <v>43</v>
      </c>
      <c r="B200" s="2" t="s">
        <v>74</v>
      </c>
      <c r="C200" s="2" t="s">
        <v>72</v>
      </c>
      <c r="D200" s="2"/>
      <c r="E200" s="2" t="s">
        <v>269</v>
      </c>
      <c r="F200" s="2"/>
      <c r="G200" s="2" t="s">
        <v>117</v>
      </c>
      <c r="H200" s="2" t="s">
        <v>91</v>
      </c>
      <c r="I200" s="2" t="s">
        <v>115</v>
      </c>
      <c r="J200" s="2" t="s">
        <v>7</v>
      </c>
      <c r="K200" s="4">
        <v>46244</v>
      </c>
      <c r="L200" s="4">
        <v>46244</v>
      </c>
      <c r="M200" s="2">
        <v>188</v>
      </c>
    </row>
    <row r="201" spans="1:13" ht="25.05" customHeight="1">
      <c r="A201" s="2" t="s">
        <v>43</v>
      </c>
      <c r="B201" s="2" t="s">
        <v>74</v>
      </c>
      <c r="C201" s="2" t="s">
        <v>72</v>
      </c>
      <c r="D201" s="2"/>
      <c r="E201" s="2" t="s">
        <v>270</v>
      </c>
      <c r="F201" s="2"/>
      <c r="G201" s="2" t="s">
        <v>117</v>
      </c>
      <c r="H201" s="2" t="s">
        <v>91</v>
      </c>
      <c r="I201" s="2" t="s">
        <v>115</v>
      </c>
      <c r="J201" s="2" t="s">
        <v>7</v>
      </c>
      <c r="K201" s="4">
        <v>46289</v>
      </c>
      <c r="L201" s="4">
        <v>46290</v>
      </c>
      <c r="M201" s="2">
        <v>189</v>
      </c>
    </row>
    <row r="202" spans="1:13" ht="25.05" customHeight="1">
      <c r="A202" s="87" t="s">
        <v>43</v>
      </c>
      <c r="B202" s="87" t="s">
        <v>74</v>
      </c>
      <c r="C202" s="87" t="s">
        <v>72</v>
      </c>
      <c r="D202" s="87" t="s">
        <v>271</v>
      </c>
      <c r="E202" s="87" t="s">
        <v>272</v>
      </c>
      <c r="F202" s="87"/>
      <c r="G202" s="87" t="s">
        <v>99</v>
      </c>
      <c r="H202" s="87" t="s">
        <v>100</v>
      </c>
      <c r="I202" s="87" t="s">
        <v>115</v>
      </c>
      <c r="J202" s="87" t="s">
        <v>7</v>
      </c>
      <c r="K202" s="90">
        <v>46231</v>
      </c>
      <c r="L202" s="90">
        <v>46274</v>
      </c>
      <c r="M202" s="87">
        <v>190</v>
      </c>
    </row>
    <row r="203" spans="1:13" ht="25.05" customHeight="1">
      <c r="A203" s="2" t="s">
        <v>43</v>
      </c>
      <c r="B203" s="2" t="s">
        <v>74</v>
      </c>
      <c r="C203" s="2" t="s">
        <v>72</v>
      </c>
      <c r="D203" s="2"/>
      <c r="E203" s="2" t="s">
        <v>273</v>
      </c>
      <c r="F203" s="2"/>
      <c r="G203" s="2" t="s">
        <v>117</v>
      </c>
      <c r="H203" s="2" t="s">
        <v>91</v>
      </c>
      <c r="I203" s="2" t="s">
        <v>115</v>
      </c>
      <c r="J203" s="2" t="s">
        <v>7</v>
      </c>
      <c r="K203" s="4">
        <v>46218</v>
      </c>
      <c r="L203" s="4">
        <v>46225</v>
      </c>
      <c r="M203" s="2">
        <v>191</v>
      </c>
    </row>
    <row r="204" spans="1:13" ht="25.05" customHeight="1">
      <c r="A204" s="2" t="s">
        <v>43</v>
      </c>
      <c r="B204" s="2" t="s">
        <v>74</v>
      </c>
      <c r="C204" s="2" t="s">
        <v>72</v>
      </c>
      <c r="D204" s="2"/>
      <c r="E204" s="2" t="s">
        <v>274</v>
      </c>
      <c r="F204" s="2"/>
      <c r="G204" s="2" t="s">
        <v>117</v>
      </c>
      <c r="H204" s="2" t="s">
        <v>91</v>
      </c>
      <c r="I204" s="2" t="s">
        <v>115</v>
      </c>
      <c r="J204" s="2" t="s">
        <v>7</v>
      </c>
      <c r="K204" s="4">
        <v>46231</v>
      </c>
      <c r="L204" s="4">
        <v>46231</v>
      </c>
      <c r="M204" s="2">
        <v>192</v>
      </c>
    </row>
    <row r="205" spans="1:13" ht="25.05" hidden="1" customHeight="1">
      <c r="A205" s="2"/>
      <c r="B205" s="2"/>
      <c r="C205" s="2" t="s">
        <v>72</v>
      </c>
      <c r="D205" s="2"/>
      <c r="E205" s="2" t="s">
        <v>395</v>
      </c>
      <c r="F205" s="2"/>
      <c r="G205" s="2" t="s">
        <v>117</v>
      </c>
      <c r="H205" s="2" t="s">
        <v>91</v>
      </c>
      <c r="I205" s="2" t="s">
        <v>115</v>
      </c>
      <c r="J205" s="2" t="s">
        <v>3</v>
      </c>
      <c r="K205" s="4"/>
      <c r="L205" s="4"/>
      <c r="M205" s="2"/>
    </row>
    <row r="206" spans="1:13" ht="25.05" customHeight="1">
      <c r="A206" s="2" t="s">
        <v>43</v>
      </c>
      <c r="B206" s="2" t="s">
        <v>74</v>
      </c>
      <c r="C206" s="2" t="s">
        <v>72</v>
      </c>
      <c r="D206" s="2"/>
      <c r="E206" s="2" t="s">
        <v>395</v>
      </c>
      <c r="F206" s="2"/>
      <c r="G206" s="2" t="s">
        <v>117</v>
      </c>
      <c r="H206" s="2" t="s">
        <v>91</v>
      </c>
      <c r="I206" s="2" t="s">
        <v>115</v>
      </c>
      <c r="J206" s="2" t="s">
        <v>7</v>
      </c>
      <c r="K206" s="4">
        <v>46275</v>
      </c>
      <c r="L206" s="4">
        <v>46274</v>
      </c>
      <c r="M206" s="2"/>
    </row>
    <row r="207" spans="1:13" ht="25.05" customHeight="1">
      <c r="A207" s="87" t="s">
        <v>43</v>
      </c>
      <c r="B207" s="87" t="s">
        <v>74</v>
      </c>
      <c r="C207" s="87" t="s">
        <v>72</v>
      </c>
      <c r="D207" s="87" t="s">
        <v>275</v>
      </c>
      <c r="E207" s="87" t="s">
        <v>276</v>
      </c>
      <c r="F207" s="87"/>
      <c r="G207" s="87" t="s">
        <v>99</v>
      </c>
      <c r="H207" s="87" t="s">
        <v>100</v>
      </c>
      <c r="I207" s="87" t="s">
        <v>115</v>
      </c>
      <c r="J207" s="87" t="s">
        <v>7</v>
      </c>
      <c r="K207" s="90">
        <v>46245</v>
      </c>
      <c r="L207" s="90">
        <v>46245</v>
      </c>
      <c r="M207" s="87">
        <v>193</v>
      </c>
    </row>
    <row r="208" spans="1:13" ht="25.05" customHeight="1">
      <c r="A208" s="2" t="s">
        <v>43</v>
      </c>
      <c r="B208" s="2" t="s">
        <v>74</v>
      </c>
      <c r="C208" s="2" t="s">
        <v>72</v>
      </c>
      <c r="D208" s="2"/>
      <c r="E208" s="2" t="s">
        <v>277</v>
      </c>
      <c r="F208" s="2"/>
      <c r="G208" s="2" t="s">
        <v>117</v>
      </c>
      <c r="H208" s="2" t="s">
        <v>91</v>
      </c>
      <c r="I208" s="2" t="s">
        <v>115</v>
      </c>
      <c r="J208" s="2" t="s">
        <v>7</v>
      </c>
      <c r="K208" s="4">
        <v>46230</v>
      </c>
      <c r="L208" s="4">
        <v>46230</v>
      </c>
      <c r="M208" s="2">
        <v>194</v>
      </c>
    </row>
    <row r="209" spans="1:13" ht="25.05" customHeight="1">
      <c r="A209" s="2" t="s">
        <v>43</v>
      </c>
      <c r="B209" s="2" t="s">
        <v>74</v>
      </c>
      <c r="C209" s="2" t="s">
        <v>72</v>
      </c>
      <c r="D209" s="2"/>
      <c r="E209" s="2" t="s">
        <v>278</v>
      </c>
      <c r="F209" s="2"/>
      <c r="G209" s="2" t="s">
        <v>117</v>
      </c>
      <c r="H209" s="2" t="s">
        <v>91</v>
      </c>
      <c r="I209" s="2" t="s">
        <v>115</v>
      </c>
      <c r="J209" s="2" t="s">
        <v>7</v>
      </c>
      <c r="K209" s="4">
        <v>46245</v>
      </c>
      <c r="L209" s="4">
        <v>46244</v>
      </c>
      <c r="M209" s="2">
        <v>195</v>
      </c>
    </row>
    <row r="210" spans="1:13" ht="25.05" customHeight="1">
      <c r="A210" s="87" t="s">
        <v>43</v>
      </c>
      <c r="B210" s="87" t="s">
        <v>74</v>
      </c>
      <c r="C210" s="87" t="s">
        <v>72</v>
      </c>
      <c r="D210" s="87" t="s">
        <v>279</v>
      </c>
      <c r="E210" s="87" t="s">
        <v>280</v>
      </c>
      <c r="F210" s="87"/>
      <c r="G210" s="87" t="s">
        <v>99</v>
      </c>
      <c r="H210" s="87" t="s">
        <v>100</v>
      </c>
      <c r="I210" s="87" t="s">
        <v>115</v>
      </c>
      <c r="J210" s="87" t="s">
        <v>7</v>
      </c>
      <c r="K210" s="90">
        <v>46258</v>
      </c>
      <c r="L210" s="90">
        <v>46274</v>
      </c>
      <c r="M210" s="87">
        <v>196</v>
      </c>
    </row>
    <row r="211" spans="1:13" ht="25.05" customHeight="1">
      <c r="A211" s="2" t="s">
        <v>43</v>
      </c>
      <c r="B211" s="2" t="s">
        <v>74</v>
      </c>
      <c r="C211" s="2" t="s">
        <v>72</v>
      </c>
      <c r="D211" s="2"/>
      <c r="E211" s="2" t="s">
        <v>281</v>
      </c>
      <c r="F211" s="2"/>
      <c r="G211" s="2" t="s">
        <v>117</v>
      </c>
      <c r="H211" s="2" t="s">
        <v>91</v>
      </c>
      <c r="I211" s="2" t="s">
        <v>115</v>
      </c>
      <c r="J211" s="2" t="s">
        <v>7</v>
      </c>
      <c r="K211" s="4">
        <v>46241</v>
      </c>
      <c r="L211" s="4">
        <v>46240</v>
      </c>
      <c r="M211" s="2">
        <v>197</v>
      </c>
    </row>
    <row r="212" spans="1:13" ht="25.05" customHeight="1">
      <c r="A212" s="2" t="s">
        <v>43</v>
      </c>
      <c r="B212" s="2" t="s">
        <v>74</v>
      </c>
      <c r="C212" s="2" t="s">
        <v>72</v>
      </c>
      <c r="D212" s="2"/>
      <c r="E212" s="2" t="s">
        <v>282</v>
      </c>
      <c r="F212" s="2"/>
      <c r="G212" s="2" t="s">
        <v>117</v>
      </c>
      <c r="H212" s="2" t="s">
        <v>91</v>
      </c>
      <c r="I212" s="2" t="s">
        <v>115</v>
      </c>
      <c r="J212" s="2" t="s">
        <v>7</v>
      </c>
      <c r="K212" s="4">
        <v>46258</v>
      </c>
      <c r="L212" s="4">
        <v>46258</v>
      </c>
      <c r="M212" s="2">
        <v>198</v>
      </c>
    </row>
    <row r="213" spans="1:13" ht="25.05" hidden="1" customHeight="1">
      <c r="A213" s="2"/>
      <c r="B213" s="2"/>
      <c r="C213" s="2" t="s">
        <v>72</v>
      </c>
      <c r="D213" s="2"/>
      <c r="E213" s="2" t="s">
        <v>393</v>
      </c>
      <c r="F213" s="2"/>
      <c r="G213" s="2" t="s">
        <v>117</v>
      </c>
      <c r="H213" s="2" t="s">
        <v>91</v>
      </c>
      <c r="I213" s="2" t="s">
        <v>115</v>
      </c>
      <c r="J213" s="2" t="s">
        <v>3</v>
      </c>
      <c r="K213" s="4"/>
      <c r="L213" s="4"/>
      <c r="M213" s="2"/>
    </row>
    <row r="214" spans="1:13" ht="25.05" customHeight="1">
      <c r="A214" s="2" t="s">
        <v>43</v>
      </c>
      <c r="B214" s="2" t="s">
        <v>74</v>
      </c>
      <c r="C214" s="2" t="s">
        <v>72</v>
      </c>
      <c r="D214" s="2"/>
      <c r="E214" s="2" t="s">
        <v>399</v>
      </c>
      <c r="F214" s="2"/>
      <c r="G214" s="2" t="s">
        <v>117</v>
      </c>
      <c r="H214" s="2" t="s">
        <v>91</v>
      </c>
      <c r="I214" s="2" t="s">
        <v>115</v>
      </c>
      <c r="J214" s="2" t="s">
        <v>7</v>
      </c>
      <c r="K214" s="4">
        <v>46275</v>
      </c>
      <c r="L214" s="4">
        <v>46274</v>
      </c>
      <c r="M214" s="2"/>
    </row>
    <row r="215" spans="1:13" ht="25.05" customHeight="1">
      <c r="A215" s="87" t="s">
        <v>43</v>
      </c>
      <c r="B215" s="87" t="s">
        <v>74</v>
      </c>
      <c r="C215" s="87" t="s">
        <v>72</v>
      </c>
      <c r="D215" s="87" t="s">
        <v>283</v>
      </c>
      <c r="E215" s="87" t="s">
        <v>284</v>
      </c>
      <c r="F215" s="87"/>
      <c r="G215" s="87" t="s">
        <v>99</v>
      </c>
      <c r="H215" s="87" t="s">
        <v>100</v>
      </c>
      <c r="I215" s="87" t="s">
        <v>115</v>
      </c>
      <c r="J215" s="87" t="s">
        <v>7</v>
      </c>
      <c r="K215" s="90">
        <v>46275</v>
      </c>
      <c r="L215" s="90">
        <v>46279</v>
      </c>
      <c r="M215" s="87">
        <v>199</v>
      </c>
    </row>
    <row r="216" spans="1:13" ht="25.05" customHeight="1">
      <c r="A216" s="2" t="s">
        <v>43</v>
      </c>
      <c r="B216" s="2" t="s">
        <v>74</v>
      </c>
      <c r="C216" s="2" t="s">
        <v>72</v>
      </c>
      <c r="D216" s="2"/>
      <c r="E216" s="2" t="s">
        <v>285</v>
      </c>
      <c r="F216" s="2"/>
      <c r="G216" s="2" t="s">
        <v>117</v>
      </c>
      <c r="H216" s="2" t="s">
        <v>91</v>
      </c>
      <c r="I216" s="2" t="s">
        <v>115</v>
      </c>
      <c r="J216" s="2" t="s">
        <v>7</v>
      </c>
      <c r="K216" s="4">
        <v>46255</v>
      </c>
      <c r="L216" s="4">
        <v>46254</v>
      </c>
      <c r="M216" s="2">
        <v>200</v>
      </c>
    </row>
    <row r="217" spans="1:13" ht="25.05" customHeight="1">
      <c r="A217" s="2" t="s">
        <v>43</v>
      </c>
      <c r="B217" s="2" t="s">
        <v>74</v>
      </c>
      <c r="C217" s="2" t="s">
        <v>72</v>
      </c>
      <c r="D217" s="2"/>
      <c r="E217" s="2" t="s">
        <v>286</v>
      </c>
      <c r="F217" s="2"/>
      <c r="G217" s="2" t="s">
        <v>117</v>
      </c>
      <c r="H217" s="2" t="s">
        <v>91</v>
      </c>
      <c r="I217" s="2" t="s">
        <v>115</v>
      </c>
      <c r="J217" s="2" t="s">
        <v>7</v>
      </c>
      <c r="K217" s="4">
        <v>46275</v>
      </c>
      <c r="L217" s="4">
        <v>46279</v>
      </c>
      <c r="M217" s="2">
        <v>201</v>
      </c>
    </row>
    <row r="218" spans="1:13" ht="25.05" hidden="1" customHeight="1">
      <c r="A218" s="2"/>
      <c r="B218" s="2"/>
      <c r="C218" s="2" t="s">
        <v>72</v>
      </c>
      <c r="D218" s="2"/>
      <c r="E218" s="2" t="s">
        <v>394</v>
      </c>
      <c r="F218" s="2"/>
      <c r="G218" s="2" t="s">
        <v>117</v>
      </c>
      <c r="H218" s="2" t="s">
        <v>91</v>
      </c>
      <c r="I218" s="2" t="s">
        <v>115</v>
      </c>
      <c r="J218" s="2" t="s">
        <v>3</v>
      </c>
      <c r="K218" s="4"/>
      <c r="L218" s="4"/>
      <c r="M218" s="2"/>
    </row>
    <row r="219" spans="1:13" ht="25.05" customHeight="1">
      <c r="A219" s="2" t="s">
        <v>43</v>
      </c>
      <c r="B219" s="2" t="s">
        <v>74</v>
      </c>
      <c r="C219" s="2" t="s">
        <v>72</v>
      </c>
      <c r="D219" s="2"/>
      <c r="E219" s="2" t="s">
        <v>394</v>
      </c>
      <c r="F219" s="2"/>
      <c r="G219" s="2" t="s">
        <v>117</v>
      </c>
      <c r="H219" s="2" t="s">
        <v>91</v>
      </c>
      <c r="I219" s="2" t="s">
        <v>115</v>
      </c>
      <c r="J219" s="2" t="s">
        <v>7</v>
      </c>
      <c r="K219" s="4">
        <v>46275</v>
      </c>
      <c r="L219" s="4">
        <v>46275</v>
      </c>
      <c r="M219" s="2"/>
    </row>
    <row r="220" spans="1:13" ht="25.05" customHeight="1">
      <c r="A220" s="87" t="s">
        <v>43</v>
      </c>
      <c r="B220" s="87" t="s">
        <v>74</v>
      </c>
      <c r="C220" s="87" t="s">
        <v>72</v>
      </c>
      <c r="D220" s="87" t="s">
        <v>287</v>
      </c>
      <c r="E220" s="87" t="s">
        <v>288</v>
      </c>
      <c r="F220" s="87"/>
      <c r="G220" s="87" t="s">
        <v>99</v>
      </c>
      <c r="H220" s="87" t="s">
        <v>100</v>
      </c>
      <c r="I220" s="87" t="s">
        <v>115</v>
      </c>
      <c r="J220" s="87" t="s">
        <v>2</v>
      </c>
      <c r="K220" s="90">
        <v>46321</v>
      </c>
      <c r="L220" s="90"/>
      <c r="M220" s="87">
        <v>202</v>
      </c>
    </row>
    <row r="221" spans="1:13" ht="25.05" customHeight="1">
      <c r="A221" s="2" t="s">
        <v>43</v>
      </c>
      <c r="B221" s="2" t="s">
        <v>74</v>
      </c>
      <c r="C221" s="2" t="s">
        <v>72</v>
      </c>
      <c r="D221" s="2"/>
      <c r="E221" s="2" t="s">
        <v>289</v>
      </c>
      <c r="F221" s="2"/>
      <c r="G221" s="2" t="s">
        <v>117</v>
      </c>
      <c r="H221" s="2" t="s">
        <v>91</v>
      </c>
      <c r="I221" s="2" t="s">
        <v>115</v>
      </c>
      <c r="J221" s="2" t="s">
        <v>2</v>
      </c>
      <c r="K221" s="4">
        <v>46359</v>
      </c>
      <c r="L221" s="4"/>
      <c r="M221" s="2">
        <v>203</v>
      </c>
    </row>
    <row r="222" spans="1:13" ht="25.05" customHeight="1">
      <c r="A222" s="2" t="s">
        <v>43</v>
      </c>
      <c r="B222" s="2" t="s">
        <v>74</v>
      </c>
      <c r="C222" s="2" t="s">
        <v>72</v>
      </c>
      <c r="D222" s="2"/>
      <c r="E222" s="2" t="s">
        <v>290</v>
      </c>
      <c r="F222" s="2"/>
      <c r="G222" s="2" t="s">
        <v>117</v>
      </c>
      <c r="H222" s="2" t="s">
        <v>91</v>
      </c>
      <c r="I222" s="2" t="s">
        <v>115</v>
      </c>
      <c r="J222" s="2" t="s">
        <v>2</v>
      </c>
      <c r="K222" s="4">
        <v>46385</v>
      </c>
      <c r="L222" s="4"/>
      <c r="M222" s="2">
        <v>204</v>
      </c>
    </row>
    <row r="223" spans="1:13" ht="25.05" customHeight="1">
      <c r="A223" s="87" t="s">
        <v>43</v>
      </c>
      <c r="B223" s="87" t="s">
        <v>74</v>
      </c>
      <c r="C223" s="87" t="s">
        <v>72</v>
      </c>
      <c r="D223" s="87" t="s">
        <v>291</v>
      </c>
      <c r="E223" s="87" t="s">
        <v>292</v>
      </c>
      <c r="F223" s="87"/>
      <c r="G223" s="87" t="s">
        <v>99</v>
      </c>
      <c r="H223" s="87" t="s">
        <v>100</v>
      </c>
      <c r="I223" s="87" t="s">
        <v>115</v>
      </c>
      <c r="J223" s="87" t="s">
        <v>7</v>
      </c>
      <c r="K223" s="90">
        <v>46288</v>
      </c>
      <c r="L223" s="90">
        <v>46288</v>
      </c>
      <c r="M223" s="87">
        <v>205</v>
      </c>
    </row>
    <row r="224" spans="1:13" ht="25.05" customHeight="1">
      <c r="A224" s="2" t="s">
        <v>43</v>
      </c>
      <c r="B224" s="2" t="s">
        <v>74</v>
      </c>
      <c r="C224" s="2" t="s">
        <v>72</v>
      </c>
      <c r="D224" s="2"/>
      <c r="E224" s="2" t="s">
        <v>293</v>
      </c>
      <c r="F224" s="2"/>
      <c r="G224" s="2" t="s">
        <v>117</v>
      </c>
      <c r="H224" s="2" t="s">
        <v>91</v>
      </c>
      <c r="I224" s="2" t="s">
        <v>115</v>
      </c>
      <c r="J224" s="2" t="s">
        <v>7</v>
      </c>
      <c r="K224" s="4">
        <v>46269</v>
      </c>
      <c r="L224" s="4">
        <v>46254</v>
      </c>
      <c r="M224" s="2">
        <v>206</v>
      </c>
    </row>
    <row r="225" spans="1:13" ht="25.05" customHeight="1">
      <c r="A225" s="2" t="s">
        <v>43</v>
      </c>
      <c r="B225" s="2" t="s">
        <v>74</v>
      </c>
      <c r="C225" s="2" t="s">
        <v>72</v>
      </c>
      <c r="D225" s="2"/>
      <c r="E225" s="2" t="s">
        <v>294</v>
      </c>
      <c r="F225" s="2"/>
      <c r="G225" s="2" t="s">
        <v>117</v>
      </c>
      <c r="H225" s="2" t="s">
        <v>91</v>
      </c>
      <c r="I225" s="2" t="s">
        <v>115</v>
      </c>
      <c r="J225" s="2" t="s">
        <v>7</v>
      </c>
      <c r="K225" s="4">
        <v>46288</v>
      </c>
      <c r="L225" s="4">
        <v>46288</v>
      </c>
      <c r="M225" s="2">
        <v>207</v>
      </c>
    </row>
    <row r="226" spans="1:13" ht="25.05" customHeight="1">
      <c r="A226" s="87" t="s">
        <v>43</v>
      </c>
      <c r="B226" s="87" t="s">
        <v>74</v>
      </c>
      <c r="C226" s="87" t="s">
        <v>72</v>
      </c>
      <c r="D226" s="87" t="s">
        <v>295</v>
      </c>
      <c r="E226" s="87" t="s">
        <v>296</v>
      </c>
      <c r="F226" s="87"/>
      <c r="G226" s="87" t="s">
        <v>99</v>
      </c>
      <c r="H226" s="87" t="s">
        <v>100</v>
      </c>
      <c r="I226" s="87" t="s">
        <v>115</v>
      </c>
      <c r="J226" s="87" t="s">
        <v>7</v>
      </c>
      <c r="K226" s="90">
        <v>46302</v>
      </c>
      <c r="L226" s="90">
        <v>46314</v>
      </c>
      <c r="M226" s="87">
        <v>208</v>
      </c>
    </row>
    <row r="227" spans="1:13" ht="25.05" customHeight="1">
      <c r="A227" s="2" t="s">
        <v>43</v>
      </c>
      <c r="B227" s="2" t="s">
        <v>74</v>
      </c>
      <c r="C227" s="2" t="s">
        <v>72</v>
      </c>
      <c r="D227" s="2"/>
      <c r="E227" s="2" t="s">
        <v>297</v>
      </c>
      <c r="F227" s="2"/>
      <c r="G227" s="2" t="s">
        <v>117</v>
      </c>
      <c r="H227" s="2" t="s">
        <v>91</v>
      </c>
      <c r="I227" s="2" t="s">
        <v>115</v>
      </c>
      <c r="J227" s="2" t="s">
        <v>7</v>
      </c>
      <c r="K227" s="4">
        <v>46286</v>
      </c>
      <c r="L227" s="4">
        <v>46259</v>
      </c>
      <c r="M227" s="2">
        <v>209</v>
      </c>
    </row>
    <row r="228" spans="1:13" ht="25.05" customHeight="1">
      <c r="A228" s="2" t="s">
        <v>43</v>
      </c>
      <c r="B228" s="2" t="s">
        <v>74</v>
      </c>
      <c r="C228" s="2" t="s">
        <v>72</v>
      </c>
      <c r="D228" s="2"/>
      <c r="E228" s="2" t="s">
        <v>298</v>
      </c>
      <c r="F228" s="2"/>
      <c r="G228" s="2" t="s">
        <v>117</v>
      </c>
      <c r="H228" s="2" t="s">
        <v>91</v>
      </c>
      <c r="I228" s="2" t="s">
        <v>115</v>
      </c>
      <c r="J228" s="2" t="s">
        <v>7</v>
      </c>
      <c r="K228" s="4">
        <v>46302</v>
      </c>
      <c r="L228" s="4">
        <v>46314</v>
      </c>
      <c r="M228" s="2">
        <v>210</v>
      </c>
    </row>
    <row r="229" spans="1:13" ht="25.05" customHeight="1">
      <c r="A229" s="87" t="s">
        <v>43</v>
      </c>
      <c r="B229" s="87" t="s">
        <v>74</v>
      </c>
      <c r="C229" s="87" t="s">
        <v>72</v>
      </c>
      <c r="D229" s="87" t="s">
        <v>299</v>
      </c>
      <c r="E229" s="87" t="s">
        <v>300</v>
      </c>
      <c r="F229" s="87"/>
      <c r="G229" s="87" t="s">
        <v>99</v>
      </c>
      <c r="H229" s="87" t="s">
        <v>100</v>
      </c>
      <c r="I229" s="87" t="s">
        <v>115</v>
      </c>
      <c r="J229" s="87" t="s">
        <v>7</v>
      </c>
      <c r="K229" s="90">
        <v>46336</v>
      </c>
      <c r="L229" s="90">
        <v>46315</v>
      </c>
      <c r="M229" s="87">
        <v>211</v>
      </c>
    </row>
    <row r="230" spans="1:13" ht="25.05" customHeight="1">
      <c r="A230" s="2" t="s">
        <v>43</v>
      </c>
      <c r="B230" s="2" t="s">
        <v>74</v>
      </c>
      <c r="C230" s="2" t="s">
        <v>72</v>
      </c>
      <c r="D230" s="2"/>
      <c r="E230" s="2" t="s">
        <v>301</v>
      </c>
      <c r="F230" s="2"/>
      <c r="G230" s="2" t="s">
        <v>117</v>
      </c>
      <c r="H230" s="2" t="s">
        <v>91</v>
      </c>
      <c r="I230" s="2" t="s">
        <v>115</v>
      </c>
      <c r="J230" s="2" t="s">
        <v>7</v>
      </c>
      <c r="K230" s="4">
        <v>46303</v>
      </c>
      <c r="L230" s="4">
        <v>46281</v>
      </c>
      <c r="M230" s="2">
        <v>212</v>
      </c>
    </row>
    <row r="231" spans="1:13" ht="25.05" customHeight="1">
      <c r="A231" s="2" t="s">
        <v>43</v>
      </c>
      <c r="B231" s="2" t="s">
        <v>74</v>
      </c>
      <c r="C231" s="2" t="s">
        <v>72</v>
      </c>
      <c r="D231" s="2"/>
      <c r="E231" s="2" t="s">
        <v>302</v>
      </c>
      <c r="F231" s="2"/>
      <c r="G231" s="2" t="s">
        <v>117</v>
      </c>
      <c r="H231" s="2" t="s">
        <v>91</v>
      </c>
      <c r="I231" s="2" t="s">
        <v>115</v>
      </c>
      <c r="J231" s="2" t="s">
        <v>7</v>
      </c>
      <c r="K231" s="4">
        <v>46336</v>
      </c>
      <c r="L231" s="4">
        <v>46315</v>
      </c>
      <c r="M231" s="2">
        <v>213</v>
      </c>
    </row>
    <row r="232" spans="1:13" ht="25.05" customHeight="1">
      <c r="A232" s="87" t="s">
        <v>43</v>
      </c>
      <c r="B232" s="87" t="s">
        <v>74</v>
      </c>
      <c r="C232" s="87" t="s">
        <v>72</v>
      </c>
      <c r="D232" s="87" t="s">
        <v>303</v>
      </c>
      <c r="E232" s="87" t="s">
        <v>304</v>
      </c>
      <c r="F232" s="87"/>
      <c r="G232" s="87" t="s">
        <v>99</v>
      </c>
      <c r="H232" s="87" t="s">
        <v>100</v>
      </c>
      <c r="I232" s="87" t="s">
        <v>115</v>
      </c>
      <c r="J232" s="87" t="s">
        <v>7</v>
      </c>
      <c r="K232" s="90">
        <v>46321</v>
      </c>
      <c r="L232" s="90">
        <v>46316</v>
      </c>
      <c r="M232" s="87">
        <v>214</v>
      </c>
    </row>
    <row r="233" spans="1:13" ht="25.05" customHeight="1">
      <c r="A233" s="2" t="s">
        <v>43</v>
      </c>
      <c r="B233" s="2" t="s">
        <v>74</v>
      </c>
      <c r="C233" s="2" t="s">
        <v>72</v>
      </c>
      <c r="D233" s="2"/>
      <c r="E233" s="2" t="s">
        <v>305</v>
      </c>
      <c r="F233" s="2"/>
      <c r="G233" s="2" t="s">
        <v>117</v>
      </c>
      <c r="H233" s="2" t="s">
        <v>91</v>
      </c>
      <c r="I233" s="2" t="s">
        <v>115</v>
      </c>
      <c r="J233" s="2" t="s">
        <v>7</v>
      </c>
      <c r="K233" s="4">
        <v>46300</v>
      </c>
      <c r="L233" s="4">
        <v>46281</v>
      </c>
      <c r="M233" s="2">
        <v>215</v>
      </c>
    </row>
    <row r="234" spans="1:13" ht="25.05" customHeight="1">
      <c r="A234" s="2" t="s">
        <v>43</v>
      </c>
      <c r="B234" s="2" t="s">
        <v>74</v>
      </c>
      <c r="C234" s="2" t="s">
        <v>72</v>
      </c>
      <c r="D234" s="2"/>
      <c r="E234" s="2" t="s">
        <v>306</v>
      </c>
      <c r="F234" s="2"/>
      <c r="G234" s="2" t="s">
        <v>117</v>
      </c>
      <c r="H234" s="2" t="s">
        <v>91</v>
      </c>
      <c r="I234" s="2" t="s">
        <v>115</v>
      </c>
      <c r="J234" s="2" t="s">
        <v>7</v>
      </c>
      <c r="K234" s="4">
        <v>46321</v>
      </c>
      <c r="L234" s="4">
        <v>46316</v>
      </c>
      <c r="M234" s="2">
        <v>216</v>
      </c>
    </row>
    <row r="235" spans="1:13" ht="25.05" customHeight="1">
      <c r="A235" s="87" t="s">
        <v>43</v>
      </c>
      <c r="B235" s="87" t="s">
        <v>74</v>
      </c>
      <c r="C235" s="87" t="s">
        <v>72</v>
      </c>
      <c r="D235" s="87" t="s">
        <v>307</v>
      </c>
      <c r="E235" s="87" t="s">
        <v>308</v>
      </c>
      <c r="F235" s="87"/>
      <c r="G235" s="87" t="s">
        <v>99</v>
      </c>
      <c r="H235" s="87" t="s">
        <v>100</v>
      </c>
      <c r="I235" s="87" t="s">
        <v>115</v>
      </c>
      <c r="J235" s="87" t="s">
        <v>7</v>
      </c>
      <c r="K235" s="90">
        <v>46344</v>
      </c>
      <c r="L235" s="90">
        <v>46309</v>
      </c>
      <c r="M235" s="87">
        <v>217</v>
      </c>
    </row>
    <row r="236" spans="1:13" ht="25.05" customHeight="1">
      <c r="A236" s="2" t="s">
        <v>43</v>
      </c>
      <c r="B236" s="2" t="s">
        <v>74</v>
      </c>
      <c r="C236" s="2" t="s">
        <v>72</v>
      </c>
      <c r="D236" s="2"/>
      <c r="E236" s="2" t="s">
        <v>309</v>
      </c>
      <c r="F236" s="2"/>
      <c r="G236" s="2" t="s">
        <v>117</v>
      </c>
      <c r="H236" s="2" t="s">
        <v>91</v>
      </c>
      <c r="I236" s="2" t="s">
        <v>115</v>
      </c>
      <c r="J236" s="2" t="s">
        <v>7</v>
      </c>
      <c r="K236" s="4">
        <v>46321</v>
      </c>
      <c r="L236" s="4">
        <v>46279</v>
      </c>
      <c r="M236" s="2">
        <v>218</v>
      </c>
    </row>
    <row r="237" spans="1:13" ht="25.05" customHeight="1">
      <c r="A237" s="2" t="s">
        <v>43</v>
      </c>
      <c r="B237" s="2" t="s">
        <v>74</v>
      </c>
      <c r="C237" s="2" t="s">
        <v>72</v>
      </c>
      <c r="D237" s="2"/>
      <c r="E237" s="2" t="s">
        <v>310</v>
      </c>
      <c r="F237" s="2"/>
      <c r="G237" s="2" t="s">
        <v>117</v>
      </c>
      <c r="H237" s="2" t="s">
        <v>91</v>
      </c>
      <c r="I237" s="2" t="s">
        <v>115</v>
      </c>
      <c r="J237" s="2" t="s">
        <v>7</v>
      </c>
      <c r="K237" s="4">
        <v>46344</v>
      </c>
      <c r="L237" s="4">
        <v>46309</v>
      </c>
      <c r="M237" s="2">
        <v>219</v>
      </c>
    </row>
    <row r="238" spans="1:13" ht="25.05" customHeight="1">
      <c r="A238" s="87" t="s">
        <v>43</v>
      </c>
      <c r="B238" s="87" t="s">
        <v>74</v>
      </c>
      <c r="C238" s="87" t="s">
        <v>72</v>
      </c>
      <c r="D238" s="87" t="s">
        <v>311</v>
      </c>
      <c r="E238" s="87" t="s">
        <v>312</v>
      </c>
      <c r="F238" s="87"/>
      <c r="G238" s="87" t="s">
        <v>99</v>
      </c>
      <c r="H238" s="87" t="s">
        <v>100</v>
      </c>
      <c r="I238" s="87" t="s">
        <v>115</v>
      </c>
      <c r="J238" s="87" t="s">
        <v>2</v>
      </c>
      <c r="K238" s="90">
        <v>46370</v>
      </c>
      <c r="L238" s="90"/>
      <c r="M238" s="87">
        <v>220</v>
      </c>
    </row>
    <row r="239" spans="1:13" ht="25.05" customHeight="1">
      <c r="A239" s="2" t="s">
        <v>43</v>
      </c>
      <c r="B239" s="2" t="s">
        <v>74</v>
      </c>
      <c r="C239" s="2" t="s">
        <v>72</v>
      </c>
      <c r="D239" s="2"/>
      <c r="E239" s="2" t="s">
        <v>309</v>
      </c>
      <c r="F239" s="2"/>
      <c r="G239" s="2" t="s">
        <v>117</v>
      </c>
      <c r="H239" s="2" t="s">
        <v>91</v>
      </c>
      <c r="I239" s="2" t="s">
        <v>115</v>
      </c>
      <c r="J239" s="2" t="s">
        <v>7</v>
      </c>
      <c r="K239" s="4">
        <v>46343</v>
      </c>
      <c r="L239" s="4">
        <v>46296</v>
      </c>
      <c r="M239" s="2">
        <v>221</v>
      </c>
    </row>
    <row r="240" spans="1:13" ht="25.05" customHeight="1">
      <c r="A240" s="2" t="s">
        <v>43</v>
      </c>
      <c r="B240" s="2" t="s">
        <v>74</v>
      </c>
      <c r="C240" s="2" t="s">
        <v>72</v>
      </c>
      <c r="D240" s="2"/>
      <c r="E240" s="2" t="s">
        <v>310</v>
      </c>
      <c r="F240" s="2"/>
      <c r="G240" s="2" t="s">
        <v>117</v>
      </c>
      <c r="H240" s="2" t="s">
        <v>91</v>
      </c>
      <c r="I240" s="2" t="s">
        <v>115</v>
      </c>
      <c r="J240" s="2" t="s">
        <v>3</v>
      </c>
      <c r="K240" s="4">
        <v>46370</v>
      </c>
      <c r="L240" s="4"/>
      <c r="M240" s="2">
        <v>222</v>
      </c>
    </row>
    <row r="241" spans="1:13" ht="25.05" customHeight="1">
      <c r="A241" s="87" t="s">
        <v>43</v>
      </c>
      <c r="B241" s="87" t="s">
        <v>74</v>
      </c>
      <c r="C241" s="87" t="s">
        <v>72</v>
      </c>
      <c r="D241" s="87" t="s">
        <v>313</v>
      </c>
      <c r="E241" s="87" t="s">
        <v>314</v>
      </c>
      <c r="F241" s="87"/>
      <c r="G241" s="87" t="s">
        <v>99</v>
      </c>
      <c r="H241" s="87" t="s">
        <v>100</v>
      </c>
      <c r="I241" s="87" t="s">
        <v>115</v>
      </c>
      <c r="J241" s="87" t="s">
        <v>7</v>
      </c>
      <c r="K241" s="90">
        <v>46374</v>
      </c>
      <c r="L241" s="90">
        <v>46309</v>
      </c>
      <c r="M241" s="87">
        <v>223</v>
      </c>
    </row>
    <row r="242" spans="1:13" ht="25.05" customHeight="1">
      <c r="A242" s="2" t="s">
        <v>43</v>
      </c>
      <c r="B242" s="2" t="s">
        <v>74</v>
      </c>
      <c r="C242" s="2" t="s">
        <v>72</v>
      </c>
      <c r="D242" s="2"/>
      <c r="E242" s="2" t="s">
        <v>315</v>
      </c>
      <c r="F242" s="2"/>
      <c r="G242" s="2" t="s">
        <v>117</v>
      </c>
      <c r="H242" s="2" t="s">
        <v>91</v>
      </c>
      <c r="I242" s="2" t="s">
        <v>115</v>
      </c>
      <c r="J242" s="2" t="s">
        <v>7</v>
      </c>
      <c r="K242" s="4">
        <v>46359</v>
      </c>
      <c r="L242" s="4">
        <v>46259</v>
      </c>
      <c r="M242" s="2">
        <v>224</v>
      </c>
    </row>
    <row r="243" spans="1:13" ht="25.05" customHeight="1">
      <c r="A243" s="2" t="s">
        <v>43</v>
      </c>
      <c r="B243" s="2" t="s">
        <v>74</v>
      </c>
      <c r="C243" s="2" t="s">
        <v>72</v>
      </c>
      <c r="D243" s="2"/>
      <c r="E243" s="2" t="s">
        <v>316</v>
      </c>
      <c r="F243" s="2"/>
      <c r="G243" s="2" t="s">
        <v>117</v>
      </c>
      <c r="H243" s="2" t="s">
        <v>91</v>
      </c>
      <c r="I243" s="2" t="s">
        <v>115</v>
      </c>
      <c r="J243" s="2" t="s">
        <v>7</v>
      </c>
      <c r="K243" s="4">
        <v>46374</v>
      </c>
      <c r="L243" s="4">
        <v>46309</v>
      </c>
      <c r="M243" s="2">
        <v>225</v>
      </c>
    </row>
    <row r="244" spans="1:13" ht="25.05" customHeight="1">
      <c r="A244" s="2" t="s">
        <v>43</v>
      </c>
      <c r="B244" s="2" t="s">
        <v>74</v>
      </c>
      <c r="C244" s="2"/>
      <c r="D244" s="87" t="s">
        <v>453</v>
      </c>
      <c r="E244" s="2" t="s">
        <v>454</v>
      </c>
      <c r="F244" s="2"/>
      <c r="G244" s="2" t="s">
        <v>117</v>
      </c>
      <c r="H244" s="2" t="s">
        <v>91</v>
      </c>
      <c r="I244" s="2" t="s">
        <v>115</v>
      </c>
      <c r="J244" s="2" t="s">
        <v>2</v>
      </c>
      <c r="K244" s="4">
        <v>46386</v>
      </c>
      <c r="L244" s="4"/>
      <c r="M244" s="2"/>
    </row>
    <row r="245" spans="1:13" ht="25.05" customHeight="1">
      <c r="A245" s="2" t="s">
        <v>43</v>
      </c>
      <c r="B245" s="2" t="s">
        <v>74</v>
      </c>
      <c r="C245" s="2"/>
      <c r="D245" s="2"/>
      <c r="E245" s="2" t="s">
        <v>118</v>
      </c>
      <c r="F245" s="2"/>
      <c r="G245" s="2" t="s">
        <v>117</v>
      </c>
      <c r="H245" s="2" t="s">
        <v>91</v>
      </c>
      <c r="I245" s="2" t="s">
        <v>115</v>
      </c>
      <c r="J245" s="2" t="s">
        <v>2</v>
      </c>
      <c r="K245" s="4">
        <v>46363</v>
      </c>
      <c r="L245" s="4"/>
      <c r="M245" s="2"/>
    </row>
    <row r="246" spans="1:13" ht="25.05" customHeight="1">
      <c r="A246" s="2" t="s">
        <v>43</v>
      </c>
      <c r="B246" s="2" t="s">
        <v>74</v>
      </c>
      <c r="C246" s="2"/>
      <c r="D246" s="2"/>
      <c r="E246" s="2" t="s">
        <v>4</v>
      </c>
      <c r="F246" s="2"/>
      <c r="G246" s="2" t="s">
        <v>117</v>
      </c>
      <c r="H246" s="2" t="s">
        <v>91</v>
      </c>
      <c r="I246" s="2" t="s">
        <v>115</v>
      </c>
      <c r="J246" s="2" t="s">
        <v>2</v>
      </c>
      <c r="K246" s="4">
        <v>46386</v>
      </c>
      <c r="L246" s="4"/>
      <c r="M246" s="2"/>
    </row>
    <row r="247" spans="1:13" ht="25.05" customHeight="1">
      <c r="A247" s="2" t="s">
        <v>43</v>
      </c>
      <c r="B247" s="2" t="s">
        <v>74</v>
      </c>
      <c r="C247" s="2"/>
      <c r="D247" s="87" t="s">
        <v>455</v>
      </c>
      <c r="E247" s="2" t="s">
        <v>456</v>
      </c>
      <c r="F247" s="2"/>
      <c r="G247" s="2" t="s">
        <v>117</v>
      </c>
      <c r="H247" s="2" t="s">
        <v>91</v>
      </c>
      <c r="I247" s="2" t="s">
        <v>115</v>
      </c>
      <c r="J247" s="2" t="s">
        <v>2</v>
      </c>
      <c r="K247" s="4">
        <v>46363</v>
      </c>
      <c r="L247" s="4"/>
      <c r="M247" s="2"/>
    </row>
    <row r="248" spans="1:13" ht="25.05" customHeight="1">
      <c r="A248" s="2" t="s">
        <v>43</v>
      </c>
      <c r="B248" s="2" t="s">
        <v>74</v>
      </c>
      <c r="C248" s="2"/>
      <c r="D248" s="2"/>
      <c r="E248" s="2" t="s">
        <v>118</v>
      </c>
      <c r="F248" s="2"/>
      <c r="G248" s="2" t="s">
        <v>117</v>
      </c>
      <c r="H248" s="2" t="s">
        <v>91</v>
      </c>
      <c r="I248" s="2" t="s">
        <v>115</v>
      </c>
      <c r="J248" s="2" t="s">
        <v>3</v>
      </c>
      <c r="K248" s="4">
        <v>46343</v>
      </c>
      <c r="L248" s="4"/>
      <c r="M248" s="2"/>
    </row>
    <row r="249" spans="1:13" ht="25.05" customHeight="1">
      <c r="A249" s="2" t="s">
        <v>43</v>
      </c>
      <c r="B249" s="2" t="s">
        <v>74</v>
      </c>
      <c r="C249" s="2"/>
      <c r="D249" s="2"/>
      <c r="E249" s="2" t="s">
        <v>4</v>
      </c>
      <c r="F249" s="2"/>
      <c r="G249" s="2" t="s">
        <v>117</v>
      </c>
      <c r="H249" s="2" t="s">
        <v>91</v>
      </c>
      <c r="I249" s="2" t="s">
        <v>115</v>
      </c>
      <c r="J249" s="2" t="s">
        <v>2</v>
      </c>
      <c r="K249" s="4">
        <v>46363</v>
      </c>
      <c r="L249" s="4"/>
      <c r="M249" s="2"/>
    </row>
    <row r="250" spans="1:13" ht="25.05" customHeight="1">
      <c r="A250" s="2" t="s">
        <v>43</v>
      </c>
      <c r="B250" s="2" t="s">
        <v>74</v>
      </c>
      <c r="C250" s="2"/>
      <c r="D250" s="87" t="s">
        <v>457</v>
      </c>
      <c r="E250" s="2" t="s">
        <v>458</v>
      </c>
      <c r="F250" s="2"/>
      <c r="G250" s="2" t="s">
        <v>117</v>
      </c>
      <c r="H250" s="2" t="s">
        <v>91</v>
      </c>
      <c r="I250" s="2" t="s">
        <v>115</v>
      </c>
      <c r="J250" s="2" t="s">
        <v>3</v>
      </c>
      <c r="K250" s="4">
        <v>46337</v>
      </c>
      <c r="L250" s="4"/>
      <c r="M250" s="2"/>
    </row>
    <row r="251" spans="1:13" ht="25.05" customHeight="1">
      <c r="A251" s="2" t="s">
        <v>43</v>
      </c>
      <c r="B251" s="2" t="s">
        <v>74</v>
      </c>
      <c r="C251" s="2"/>
      <c r="D251" s="2"/>
      <c r="E251" s="2" t="s">
        <v>118</v>
      </c>
      <c r="F251" s="2"/>
      <c r="G251" s="2" t="s">
        <v>117</v>
      </c>
      <c r="H251" s="2" t="s">
        <v>91</v>
      </c>
      <c r="I251" s="2" t="s">
        <v>115</v>
      </c>
      <c r="J251" s="2" t="s">
        <v>3</v>
      </c>
      <c r="K251" s="4">
        <v>46325</v>
      </c>
      <c r="L251" s="4"/>
      <c r="M251" s="2"/>
    </row>
    <row r="252" spans="1:13" ht="25.05" customHeight="1">
      <c r="A252" s="2" t="s">
        <v>43</v>
      </c>
      <c r="B252" s="2" t="s">
        <v>74</v>
      </c>
      <c r="C252" s="2"/>
      <c r="D252" s="2"/>
      <c r="E252" s="2" t="s">
        <v>4</v>
      </c>
      <c r="F252" s="2"/>
      <c r="G252" s="2" t="s">
        <v>117</v>
      </c>
      <c r="H252" s="2" t="s">
        <v>91</v>
      </c>
      <c r="I252" s="2" t="s">
        <v>115</v>
      </c>
      <c r="J252" s="2" t="s">
        <v>2</v>
      </c>
      <c r="K252" s="4">
        <v>46337</v>
      </c>
      <c r="L252" s="4"/>
      <c r="M252" s="2"/>
    </row>
    <row r="253" spans="1:13" ht="25.05" customHeight="1">
      <c r="A253" s="2" t="s">
        <v>43</v>
      </c>
      <c r="B253" s="2" t="s">
        <v>74</v>
      </c>
      <c r="C253" s="2"/>
      <c r="D253" s="87" t="s">
        <v>459</v>
      </c>
      <c r="E253" s="2" t="s">
        <v>460</v>
      </c>
      <c r="F253" s="2"/>
      <c r="G253" s="2" t="s">
        <v>117</v>
      </c>
      <c r="H253" s="2" t="s">
        <v>91</v>
      </c>
      <c r="I253" s="2" t="s">
        <v>115</v>
      </c>
      <c r="J253" s="2" t="s">
        <v>3</v>
      </c>
      <c r="K253" s="4">
        <v>46339</v>
      </c>
      <c r="L253" s="4"/>
      <c r="M253" s="2"/>
    </row>
    <row r="254" spans="1:13" ht="25.05" customHeight="1">
      <c r="A254" s="2" t="s">
        <v>43</v>
      </c>
      <c r="B254" s="2" t="s">
        <v>74</v>
      </c>
      <c r="C254" s="2"/>
      <c r="D254" s="2"/>
      <c r="E254" s="2" t="s">
        <v>118</v>
      </c>
      <c r="F254" s="2"/>
      <c r="G254" s="2" t="s">
        <v>117</v>
      </c>
      <c r="H254" s="2" t="s">
        <v>91</v>
      </c>
      <c r="I254" s="2" t="s">
        <v>115</v>
      </c>
      <c r="J254" s="2" t="s">
        <v>3</v>
      </c>
      <c r="K254" s="4">
        <v>46329</v>
      </c>
      <c r="L254" s="4"/>
      <c r="M254" s="2"/>
    </row>
    <row r="255" spans="1:13" ht="25.05" customHeight="1">
      <c r="A255" s="2" t="s">
        <v>43</v>
      </c>
      <c r="B255" s="2" t="s">
        <v>74</v>
      </c>
      <c r="C255" s="2"/>
      <c r="D255" s="2"/>
      <c r="E255" s="2" t="s">
        <v>4</v>
      </c>
      <c r="F255" s="2"/>
      <c r="G255" s="2" t="s">
        <v>117</v>
      </c>
      <c r="H255" s="2" t="s">
        <v>91</v>
      </c>
      <c r="I255" s="2" t="s">
        <v>115</v>
      </c>
      <c r="J255" s="2" t="s">
        <v>2</v>
      </c>
      <c r="K255" s="4">
        <v>46339</v>
      </c>
      <c r="L255" s="4"/>
      <c r="M255" s="2"/>
    </row>
    <row r="256" spans="1:13" ht="25.05" customHeight="1">
      <c r="A256" s="87" t="s">
        <v>43</v>
      </c>
      <c r="B256" s="87" t="s">
        <v>75</v>
      </c>
      <c r="C256" s="87" t="s">
        <v>72</v>
      </c>
      <c r="D256" s="87" t="s">
        <v>317</v>
      </c>
      <c r="E256" s="87" t="s">
        <v>318</v>
      </c>
      <c r="F256" s="87"/>
      <c r="G256" s="87" t="s">
        <v>99</v>
      </c>
      <c r="H256" s="87" t="s">
        <v>100</v>
      </c>
      <c r="I256" s="87" t="s">
        <v>125</v>
      </c>
      <c r="J256" s="87" t="s">
        <v>6</v>
      </c>
      <c r="K256" s="90"/>
      <c r="L256" s="90"/>
      <c r="M256" s="87">
        <v>227</v>
      </c>
    </row>
    <row r="257" spans="1:13" ht="25.05" customHeight="1">
      <c r="A257" s="2" t="s">
        <v>43</v>
      </c>
      <c r="B257" s="2" t="s">
        <v>75</v>
      </c>
      <c r="C257" s="2" t="s">
        <v>72</v>
      </c>
      <c r="D257" s="2"/>
      <c r="E257" s="2" t="s">
        <v>181</v>
      </c>
      <c r="F257" s="2"/>
      <c r="G257" s="2" t="s">
        <v>117</v>
      </c>
      <c r="H257" s="2" t="s">
        <v>100</v>
      </c>
      <c r="I257" s="2" t="s">
        <v>125</v>
      </c>
      <c r="J257" s="2" t="s">
        <v>6</v>
      </c>
      <c r="K257" s="4"/>
      <c r="L257" s="4"/>
      <c r="M257" s="2"/>
    </row>
    <row r="258" spans="1:13" ht="25.05" customHeight="1">
      <c r="A258" s="2" t="s">
        <v>43</v>
      </c>
      <c r="B258" s="2" t="s">
        <v>75</v>
      </c>
      <c r="C258" s="2" t="s">
        <v>72</v>
      </c>
      <c r="D258" s="2"/>
      <c r="E258" s="2" t="s">
        <v>118</v>
      </c>
      <c r="F258" s="2"/>
      <c r="G258" s="2" t="s">
        <v>117</v>
      </c>
      <c r="H258" s="2" t="s">
        <v>91</v>
      </c>
      <c r="I258" s="2" t="s">
        <v>125</v>
      </c>
      <c r="J258" s="2" t="s">
        <v>6</v>
      </c>
      <c r="K258" s="4"/>
      <c r="L258" s="4"/>
      <c r="M258" s="2">
        <v>228</v>
      </c>
    </row>
    <row r="259" spans="1:13" ht="25.05" customHeight="1">
      <c r="A259" s="2" t="s">
        <v>43</v>
      </c>
      <c r="B259" s="2" t="s">
        <v>75</v>
      </c>
      <c r="C259" s="2" t="s">
        <v>72</v>
      </c>
      <c r="D259" s="2"/>
      <c r="E259" s="82" t="s">
        <v>4</v>
      </c>
      <c r="F259" s="2"/>
      <c r="G259" s="2" t="s">
        <v>117</v>
      </c>
      <c r="H259" s="2" t="s">
        <v>91</v>
      </c>
      <c r="I259" s="2" t="s">
        <v>125</v>
      </c>
      <c r="J259" s="2" t="s">
        <v>6</v>
      </c>
      <c r="K259" s="4"/>
      <c r="L259" s="4"/>
      <c r="M259" s="2">
        <v>229</v>
      </c>
    </row>
    <row r="260" spans="1:13" ht="25.05" customHeight="1">
      <c r="A260" s="87" t="s">
        <v>43</v>
      </c>
      <c r="B260" s="87" t="s">
        <v>75</v>
      </c>
      <c r="C260" s="87" t="s">
        <v>72</v>
      </c>
      <c r="D260" s="87" t="s">
        <v>446</v>
      </c>
      <c r="E260" s="87" t="s">
        <v>319</v>
      </c>
      <c r="F260" s="87"/>
      <c r="G260" s="87" t="s">
        <v>99</v>
      </c>
      <c r="H260" s="87" t="s">
        <v>91</v>
      </c>
      <c r="I260" s="87" t="s">
        <v>125</v>
      </c>
      <c r="J260" s="87" t="s">
        <v>2</v>
      </c>
      <c r="K260" s="90"/>
      <c r="L260" s="90"/>
      <c r="M260" s="87">
        <v>230</v>
      </c>
    </row>
    <row r="261" spans="1:13" ht="25.05" customHeight="1">
      <c r="A261" s="2" t="s">
        <v>43</v>
      </c>
      <c r="B261" s="2" t="s">
        <v>75</v>
      </c>
      <c r="C261" s="2" t="s">
        <v>72</v>
      </c>
      <c r="D261" s="2"/>
      <c r="E261" s="2" t="s">
        <v>181</v>
      </c>
      <c r="F261" s="2"/>
      <c r="G261" s="2" t="s">
        <v>117</v>
      </c>
      <c r="H261" s="2" t="s">
        <v>91</v>
      </c>
      <c r="I261" s="2" t="s">
        <v>125</v>
      </c>
      <c r="J261" s="2" t="s">
        <v>3</v>
      </c>
      <c r="K261" s="4">
        <v>46276</v>
      </c>
      <c r="L261" s="4">
        <v>46276</v>
      </c>
      <c r="M261" s="2"/>
    </row>
    <row r="262" spans="1:13" ht="25.05" customHeight="1">
      <c r="A262" s="2" t="s">
        <v>43</v>
      </c>
      <c r="B262" s="2" t="s">
        <v>75</v>
      </c>
      <c r="C262" s="2" t="s">
        <v>72</v>
      </c>
      <c r="D262" s="2"/>
      <c r="E262" s="2" t="s">
        <v>320</v>
      </c>
      <c r="F262" s="2"/>
      <c r="G262" s="2" t="s">
        <v>117</v>
      </c>
      <c r="H262" s="2" t="s">
        <v>91</v>
      </c>
      <c r="I262" s="2" t="s">
        <v>125</v>
      </c>
      <c r="J262" s="2" t="s">
        <v>7</v>
      </c>
      <c r="K262" s="4">
        <v>46249</v>
      </c>
      <c r="L262" s="4">
        <v>46248</v>
      </c>
      <c r="M262" s="2">
        <v>231</v>
      </c>
    </row>
    <row r="263" spans="1:13" ht="25.05" customHeight="1">
      <c r="A263" s="2" t="s">
        <v>43</v>
      </c>
      <c r="B263" s="2" t="s">
        <v>75</v>
      </c>
      <c r="C263" s="2" t="s">
        <v>72</v>
      </c>
      <c r="D263" s="2"/>
      <c r="E263" s="2" t="s">
        <v>321</v>
      </c>
      <c r="F263" s="2"/>
      <c r="G263" s="2" t="s">
        <v>117</v>
      </c>
      <c r="H263" s="2" t="s">
        <v>91</v>
      </c>
      <c r="I263" s="2" t="s">
        <v>125</v>
      </c>
      <c r="J263" s="2" t="s">
        <v>2</v>
      </c>
      <c r="K263" s="4"/>
      <c r="L263" s="4"/>
      <c r="M263" s="2">
        <v>232</v>
      </c>
    </row>
    <row r="264" spans="1:13" ht="25.05" customHeight="1">
      <c r="A264" s="2" t="s">
        <v>43</v>
      </c>
      <c r="B264" s="2" t="s">
        <v>75</v>
      </c>
      <c r="C264" s="2" t="s">
        <v>72</v>
      </c>
      <c r="D264" s="2"/>
      <c r="E264" s="2" t="s">
        <v>118</v>
      </c>
      <c r="F264" s="2"/>
      <c r="G264" s="2" t="s">
        <v>117</v>
      </c>
      <c r="H264" s="2" t="s">
        <v>91</v>
      </c>
      <c r="I264" s="2" t="s">
        <v>125</v>
      </c>
      <c r="J264" s="2" t="s">
        <v>7</v>
      </c>
      <c r="K264" s="4">
        <v>46279</v>
      </c>
      <c r="L264" s="4">
        <v>46314</v>
      </c>
      <c r="M264" s="2">
        <v>233</v>
      </c>
    </row>
    <row r="265" spans="1:13" ht="25.05" customHeight="1">
      <c r="A265" s="2" t="s">
        <v>43</v>
      </c>
      <c r="B265" s="2" t="s">
        <v>75</v>
      </c>
      <c r="C265" s="2" t="s">
        <v>72</v>
      </c>
      <c r="D265" s="2"/>
      <c r="E265" s="2" t="s">
        <v>4</v>
      </c>
      <c r="F265" s="2"/>
      <c r="G265" s="2" t="s">
        <v>117</v>
      </c>
      <c r="H265" s="2" t="s">
        <v>91</v>
      </c>
      <c r="I265" s="2" t="s">
        <v>125</v>
      </c>
      <c r="J265" s="2" t="s">
        <v>2</v>
      </c>
      <c r="K265" s="4">
        <v>46049</v>
      </c>
      <c r="L265" s="4"/>
      <c r="M265" s="2">
        <v>234</v>
      </c>
    </row>
    <row r="266" spans="1:13" ht="25.05" hidden="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4"/>
      <c r="L266" s="4"/>
      <c r="M266" s="2"/>
    </row>
    <row r="267" spans="1:13" ht="25.05" customHeight="1">
      <c r="A267" s="87" t="s">
        <v>43</v>
      </c>
      <c r="B267" s="87" t="s">
        <v>75</v>
      </c>
      <c r="C267" s="87" t="s">
        <v>72</v>
      </c>
      <c r="D267" s="87"/>
      <c r="E267" s="87" t="s">
        <v>322</v>
      </c>
      <c r="F267" s="87"/>
      <c r="G267" s="87" t="s">
        <v>99</v>
      </c>
      <c r="H267" s="87" t="s">
        <v>91</v>
      </c>
      <c r="I267" s="87" t="s">
        <v>125</v>
      </c>
      <c r="J267" s="87" t="s">
        <v>6</v>
      </c>
      <c r="K267" s="90"/>
      <c r="L267" s="90"/>
      <c r="M267" s="87">
        <v>236</v>
      </c>
    </row>
    <row r="268" spans="1:13" ht="25.05" customHeight="1">
      <c r="A268" s="87" t="s">
        <v>43</v>
      </c>
      <c r="B268" s="87" t="s">
        <v>75</v>
      </c>
      <c r="C268" s="87" t="s">
        <v>72</v>
      </c>
      <c r="D268" s="87"/>
      <c r="E268" s="87" t="s">
        <v>323</v>
      </c>
      <c r="F268" s="87"/>
      <c r="G268" s="87" t="s">
        <v>99</v>
      </c>
      <c r="H268" s="87" t="s">
        <v>91</v>
      </c>
      <c r="I268" s="87" t="s">
        <v>125</v>
      </c>
      <c r="J268" s="87" t="s">
        <v>6</v>
      </c>
      <c r="K268" s="90"/>
      <c r="L268" s="90"/>
      <c r="M268" s="87">
        <v>237</v>
      </c>
    </row>
    <row r="269" spans="1:13" ht="25.05" hidden="1" customHeight="1">
      <c r="A269" s="87" t="s">
        <v>44</v>
      </c>
      <c r="B269" s="87" t="s">
        <v>78</v>
      </c>
      <c r="C269" s="87" t="s">
        <v>76</v>
      </c>
      <c r="D269" s="87" t="s">
        <v>324</v>
      </c>
      <c r="E269" s="87" t="s">
        <v>325</v>
      </c>
      <c r="F269" s="87"/>
      <c r="G269" s="87" t="s">
        <v>99</v>
      </c>
      <c r="H269" s="87" t="s">
        <v>100</v>
      </c>
      <c r="I269" s="87" t="s">
        <v>115</v>
      </c>
      <c r="J269" s="87" t="s">
        <v>2</v>
      </c>
      <c r="K269" s="90">
        <v>46266</v>
      </c>
      <c r="L269" s="90"/>
      <c r="M269" s="87">
        <v>239</v>
      </c>
    </row>
    <row r="270" spans="1:13" ht="25.05" hidden="1" customHeight="1">
      <c r="A270" s="2" t="s">
        <v>44</v>
      </c>
      <c r="B270" s="2" t="s">
        <v>78</v>
      </c>
      <c r="C270" s="2" t="s">
        <v>76</v>
      </c>
      <c r="D270" s="2"/>
      <c r="E270" s="2" t="s">
        <v>326</v>
      </c>
      <c r="F270" s="2"/>
      <c r="G270" s="2" t="s">
        <v>117</v>
      </c>
      <c r="H270" s="2" t="s">
        <v>100</v>
      </c>
      <c r="I270" s="2" t="s">
        <v>115</v>
      </c>
      <c r="J270" s="2" t="s">
        <v>7</v>
      </c>
      <c r="K270" s="4">
        <v>46295</v>
      </c>
      <c r="L270" s="4">
        <v>46295</v>
      </c>
      <c r="M270" s="2"/>
    </row>
    <row r="271" spans="1:13" ht="25.05" hidden="1" customHeight="1">
      <c r="A271" s="2" t="s">
        <v>44</v>
      </c>
      <c r="B271" s="2" t="s">
        <v>78</v>
      </c>
      <c r="C271" s="2" t="s">
        <v>76</v>
      </c>
      <c r="D271" s="2"/>
      <c r="E271" s="2" t="s">
        <v>327</v>
      </c>
      <c r="F271" s="2"/>
      <c r="G271" s="2" t="s">
        <v>117</v>
      </c>
      <c r="H271" s="2" t="s">
        <v>91</v>
      </c>
      <c r="I271" s="2" t="s">
        <v>115</v>
      </c>
      <c r="J271" s="2" t="s">
        <v>2</v>
      </c>
      <c r="K271" s="4">
        <v>46230</v>
      </c>
      <c r="L271" s="4"/>
      <c r="M271" s="2">
        <v>240</v>
      </c>
    </row>
    <row r="272" spans="1:13" ht="25.05" hidden="1" customHeight="1">
      <c r="A272" s="2" t="s">
        <v>44</v>
      </c>
      <c r="B272" s="2" t="s">
        <v>78</v>
      </c>
      <c r="C272" s="2" t="s">
        <v>76</v>
      </c>
      <c r="D272" s="2"/>
      <c r="E272" s="2" t="s">
        <v>328</v>
      </c>
      <c r="F272" s="2"/>
      <c r="G272" s="2" t="s">
        <v>117</v>
      </c>
      <c r="H272" s="2" t="s">
        <v>91</v>
      </c>
      <c r="I272" s="2" t="s">
        <v>115</v>
      </c>
      <c r="J272" s="2" t="s">
        <v>2</v>
      </c>
      <c r="K272" s="4">
        <v>46266</v>
      </c>
      <c r="L272" s="4"/>
      <c r="M272" s="2">
        <v>241</v>
      </c>
    </row>
    <row r="273" spans="1:13" ht="25.05" hidden="1" customHeight="1">
      <c r="A273" s="87" t="s">
        <v>44</v>
      </c>
      <c r="B273" s="87" t="s">
        <v>78</v>
      </c>
      <c r="C273" s="87" t="s">
        <v>76</v>
      </c>
      <c r="D273" s="87" t="s">
        <v>329</v>
      </c>
      <c r="E273" s="87" t="s">
        <v>330</v>
      </c>
      <c r="F273" s="87"/>
      <c r="G273" s="87" t="s">
        <v>99</v>
      </c>
      <c r="H273" s="87" t="s">
        <v>100</v>
      </c>
      <c r="I273" s="87" t="s">
        <v>115</v>
      </c>
      <c r="J273" s="87" t="s">
        <v>7</v>
      </c>
      <c r="K273" s="90">
        <v>46279</v>
      </c>
      <c r="L273" s="90">
        <v>46279</v>
      </c>
      <c r="M273" s="87">
        <v>242</v>
      </c>
    </row>
    <row r="274" spans="1:13" ht="25.05" hidden="1" customHeight="1">
      <c r="A274" s="2" t="s">
        <v>44</v>
      </c>
      <c r="B274" s="2" t="s">
        <v>78</v>
      </c>
      <c r="C274" s="2" t="s">
        <v>76</v>
      </c>
      <c r="D274" s="2"/>
      <c r="E274" s="2" t="s">
        <v>331</v>
      </c>
      <c r="F274" s="2"/>
      <c r="G274" s="2" t="s">
        <v>117</v>
      </c>
      <c r="H274" s="2" t="s">
        <v>91</v>
      </c>
      <c r="I274" s="2" t="s">
        <v>115</v>
      </c>
      <c r="J274" s="2" t="s">
        <v>7</v>
      </c>
      <c r="K274" s="4">
        <v>46239</v>
      </c>
      <c r="L274" s="4">
        <v>46227</v>
      </c>
      <c r="M274" s="2">
        <v>243</v>
      </c>
    </row>
    <row r="275" spans="1:13" ht="25.05" hidden="1" customHeight="1">
      <c r="A275" s="2" t="s">
        <v>44</v>
      </c>
      <c r="B275" s="2" t="s">
        <v>78</v>
      </c>
      <c r="C275" s="2" t="s">
        <v>76</v>
      </c>
      <c r="D275" s="2"/>
      <c r="E275" s="2" t="s">
        <v>332</v>
      </c>
      <c r="F275" s="2"/>
      <c r="G275" s="2" t="s">
        <v>117</v>
      </c>
      <c r="H275" s="2" t="s">
        <v>91</v>
      </c>
      <c r="I275" s="2" t="s">
        <v>115</v>
      </c>
      <c r="J275" s="2" t="s">
        <v>7</v>
      </c>
      <c r="K275" s="4">
        <v>46279</v>
      </c>
      <c r="L275" s="4">
        <v>46279</v>
      </c>
      <c r="M275" s="2">
        <v>244</v>
      </c>
    </row>
    <row r="276" spans="1:13" ht="25.05" hidden="1" customHeight="1">
      <c r="A276" s="87" t="s">
        <v>44</v>
      </c>
      <c r="B276" s="87" t="s">
        <v>79</v>
      </c>
      <c r="C276" s="87" t="s">
        <v>76</v>
      </c>
      <c r="D276" s="87"/>
      <c r="E276" s="87" t="s">
        <v>333</v>
      </c>
      <c r="F276" s="87"/>
      <c r="G276" s="87" t="s">
        <v>99</v>
      </c>
      <c r="H276" s="87" t="s">
        <v>91</v>
      </c>
      <c r="I276" s="87" t="s">
        <v>125</v>
      </c>
      <c r="J276" s="87" t="s">
        <v>2</v>
      </c>
      <c r="K276" s="90"/>
      <c r="L276" s="90"/>
      <c r="M276" s="87">
        <v>246</v>
      </c>
    </row>
    <row r="277" spans="1:13" ht="25.05" hidden="1" customHeight="1">
      <c r="A277" s="2"/>
      <c r="B277" s="2" t="s">
        <v>79</v>
      </c>
      <c r="C277" s="2" t="s">
        <v>76</v>
      </c>
      <c r="D277" s="2"/>
      <c r="E277" s="2" t="s">
        <v>181</v>
      </c>
      <c r="F277" s="2"/>
      <c r="G277" s="2" t="s">
        <v>117</v>
      </c>
      <c r="H277" s="2" t="s">
        <v>91</v>
      </c>
      <c r="I277" s="2" t="s">
        <v>125</v>
      </c>
      <c r="J277" s="2" t="s">
        <v>2</v>
      </c>
      <c r="K277" s="121">
        <v>46252</v>
      </c>
      <c r="L277" s="121">
        <v>46276</v>
      </c>
      <c r="M277" s="2"/>
    </row>
    <row r="278" spans="1:13" ht="25.05" hidden="1" customHeight="1">
      <c r="A278" s="2" t="s">
        <v>44</v>
      </c>
      <c r="B278" s="2" t="s">
        <v>79</v>
      </c>
      <c r="C278" s="2" t="s">
        <v>76</v>
      </c>
      <c r="D278" s="2"/>
      <c r="E278" s="2" t="s">
        <v>181</v>
      </c>
      <c r="F278" s="2"/>
      <c r="G278" s="2" t="s">
        <v>117</v>
      </c>
      <c r="H278" s="2" t="s">
        <v>91</v>
      </c>
      <c r="I278" s="2" t="s">
        <v>125</v>
      </c>
      <c r="J278" s="2" t="s">
        <v>3</v>
      </c>
      <c r="K278" s="4">
        <v>46252</v>
      </c>
      <c r="L278" s="4">
        <v>46276</v>
      </c>
      <c r="M278" s="2"/>
    </row>
    <row r="279" spans="1:13" ht="25.05" hidden="1" customHeight="1">
      <c r="A279" s="2" t="s">
        <v>44</v>
      </c>
      <c r="B279" s="2" t="s">
        <v>79</v>
      </c>
      <c r="C279" s="2" t="s">
        <v>76</v>
      </c>
      <c r="D279" s="2"/>
      <c r="E279" s="2" t="s">
        <v>334</v>
      </c>
      <c r="F279" s="2"/>
      <c r="G279" s="2" t="s">
        <v>117</v>
      </c>
      <c r="H279" s="2" t="s">
        <v>91</v>
      </c>
      <c r="I279" s="2" t="s">
        <v>125</v>
      </c>
      <c r="J279" s="2" t="s">
        <v>7</v>
      </c>
      <c r="K279" s="4">
        <v>46288</v>
      </c>
      <c r="L279" s="4">
        <v>46288</v>
      </c>
      <c r="M279" s="2">
        <v>247</v>
      </c>
    </row>
    <row r="280" spans="1:13" ht="25.05" hidden="1" customHeight="1">
      <c r="A280" s="2" t="s">
        <v>44</v>
      </c>
      <c r="B280" s="2" t="s">
        <v>79</v>
      </c>
      <c r="C280" s="2" t="s">
        <v>76</v>
      </c>
      <c r="D280" s="2"/>
      <c r="E280" s="2" t="s">
        <v>335</v>
      </c>
      <c r="F280" s="2"/>
      <c r="G280" s="2" t="s">
        <v>117</v>
      </c>
      <c r="H280" s="2" t="s">
        <v>91</v>
      </c>
      <c r="I280" s="2" t="s">
        <v>125</v>
      </c>
      <c r="J280" s="2" t="s">
        <v>7</v>
      </c>
      <c r="K280" s="4">
        <v>46288</v>
      </c>
      <c r="L280" s="4">
        <v>46288</v>
      </c>
      <c r="M280" s="2">
        <v>248</v>
      </c>
    </row>
    <row r="281" spans="1:13" ht="25.05" hidden="1" customHeight="1">
      <c r="A281" s="2" t="s">
        <v>44</v>
      </c>
      <c r="B281" s="2" t="s">
        <v>79</v>
      </c>
      <c r="C281" s="2" t="s">
        <v>76</v>
      </c>
      <c r="D281" s="2"/>
      <c r="E281" s="2" t="s">
        <v>255</v>
      </c>
      <c r="F281" s="2"/>
      <c r="G281" s="2" t="s">
        <v>117</v>
      </c>
      <c r="H281" s="2" t="s">
        <v>91</v>
      </c>
      <c r="I281" s="2" t="s">
        <v>125</v>
      </c>
      <c r="J281" s="2" t="s">
        <v>7</v>
      </c>
      <c r="K281" s="4">
        <v>46301</v>
      </c>
      <c r="L281" s="4">
        <v>46301</v>
      </c>
      <c r="M281" s="2">
        <v>249</v>
      </c>
    </row>
    <row r="282" spans="1:13" ht="25.05" hidden="1" customHeight="1">
      <c r="A282" s="2" t="s">
        <v>44</v>
      </c>
      <c r="B282" s="2" t="s">
        <v>79</v>
      </c>
      <c r="C282" s="2" t="s">
        <v>76</v>
      </c>
      <c r="D282" s="2"/>
      <c r="E282" s="2" t="s">
        <v>400</v>
      </c>
      <c r="F282" s="2"/>
      <c r="G282" s="2" t="s">
        <v>117</v>
      </c>
      <c r="H282" s="2" t="s">
        <v>91</v>
      </c>
      <c r="I282" s="2" t="s">
        <v>125</v>
      </c>
      <c r="J282" s="2" t="s">
        <v>3</v>
      </c>
      <c r="K282" s="4">
        <v>46315</v>
      </c>
      <c r="L282" s="4"/>
      <c r="M282" s="2"/>
    </row>
    <row r="283" spans="1:13" ht="25.05" hidden="1" customHeight="1">
      <c r="A283" s="87" t="s">
        <v>44</v>
      </c>
      <c r="B283" s="87" t="s">
        <v>79</v>
      </c>
      <c r="C283" s="87" t="s">
        <v>76</v>
      </c>
      <c r="D283" s="87"/>
      <c r="E283" s="87" t="s">
        <v>336</v>
      </c>
      <c r="F283" s="87"/>
      <c r="G283" s="87" t="s">
        <v>99</v>
      </c>
      <c r="H283" s="87" t="s">
        <v>91</v>
      </c>
      <c r="I283" s="87" t="s">
        <v>125</v>
      </c>
      <c r="J283" s="87" t="s">
        <v>3</v>
      </c>
      <c r="K283" s="90"/>
      <c r="L283" s="90"/>
      <c r="M283" s="87">
        <v>250</v>
      </c>
    </row>
    <row r="284" spans="1:13" ht="25.05" hidden="1" customHeight="1">
      <c r="A284" s="2" t="s">
        <v>44</v>
      </c>
      <c r="B284" s="2" t="s">
        <v>79</v>
      </c>
      <c r="C284" s="2" t="s">
        <v>76</v>
      </c>
      <c r="D284" s="2"/>
      <c r="E284" s="2" t="s">
        <v>337</v>
      </c>
      <c r="F284" s="2"/>
      <c r="G284" s="2" t="s">
        <v>117</v>
      </c>
      <c r="H284" s="2" t="s">
        <v>91</v>
      </c>
      <c r="I284" s="2" t="s">
        <v>125</v>
      </c>
      <c r="J284" s="2" t="s">
        <v>7</v>
      </c>
      <c r="K284" s="4">
        <v>46281</v>
      </c>
      <c r="L284" s="4">
        <v>46281</v>
      </c>
      <c r="M284" s="2"/>
    </row>
    <row r="285" spans="1:13" ht="25.05" hidden="1" customHeight="1">
      <c r="A285" s="2" t="s">
        <v>44</v>
      </c>
      <c r="B285" s="2" t="s">
        <v>79</v>
      </c>
      <c r="C285" s="2" t="s">
        <v>76</v>
      </c>
      <c r="D285" s="2"/>
      <c r="E285" s="2" t="s">
        <v>402</v>
      </c>
      <c r="F285" s="2"/>
      <c r="G285" s="2" t="s">
        <v>117</v>
      </c>
      <c r="H285" s="2" t="s">
        <v>91</v>
      </c>
      <c r="I285" s="2" t="s">
        <v>125</v>
      </c>
      <c r="J285" s="2" t="s">
        <v>2</v>
      </c>
      <c r="K285" s="4"/>
      <c r="L285" s="4"/>
      <c r="M285" s="2"/>
    </row>
    <row r="286" spans="1:13" ht="25.05" hidden="1" customHeight="1">
      <c r="A286" s="2" t="s">
        <v>44</v>
      </c>
      <c r="B286" s="2" t="s">
        <v>79</v>
      </c>
      <c r="C286" s="2" t="s">
        <v>76</v>
      </c>
      <c r="D286" s="2"/>
      <c r="E286" s="2" t="s">
        <v>4</v>
      </c>
      <c r="F286" s="2"/>
      <c r="G286" s="2" t="s">
        <v>117</v>
      </c>
      <c r="H286" s="2" t="s">
        <v>91</v>
      </c>
      <c r="I286" s="2" t="s">
        <v>125</v>
      </c>
      <c r="J286" s="2" t="s">
        <v>2</v>
      </c>
      <c r="K286" s="4"/>
      <c r="L286" s="4"/>
      <c r="M286" s="2"/>
    </row>
    <row r="287" spans="1:13" ht="25.05" hidden="1" customHeight="1">
      <c r="A287" s="2" t="s">
        <v>44</v>
      </c>
      <c r="B287" s="2" t="s">
        <v>79</v>
      </c>
      <c r="C287" s="2" t="s">
        <v>76</v>
      </c>
      <c r="D287" s="2"/>
      <c r="E287" s="2" t="s">
        <v>338</v>
      </c>
      <c r="F287" s="2"/>
      <c r="G287" s="2" t="s">
        <v>117</v>
      </c>
      <c r="H287" s="2" t="s">
        <v>91</v>
      </c>
      <c r="I287" s="2" t="s">
        <v>125</v>
      </c>
      <c r="J287" s="2" t="s">
        <v>6</v>
      </c>
      <c r="K287" s="4"/>
      <c r="L287" s="4"/>
      <c r="M287" s="2">
        <v>251</v>
      </c>
    </row>
    <row r="288" spans="1:13" ht="25.05" hidden="1" customHeight="1">
      <c r="A288" s="2" t="s">
        <v>44</v>
      </c>
      <c r="B288" s="2" t="s">
        <v>79</v>
      </c>
      <c r="C288" s="2" t="s">
        <v>76</v>
      </c>
      <c r="D288" s="2"/>
      <c r="E288" s="2" t="s">
        <v>339</v>
      </c>
      <c r="F288" s="2"/>
      <c r="G288" s="2" t="s">
        <v>117</v>
      </c>
      <c r="H288" s="2" t="s">
        <v>91</v>
      </c>
      <c r="I288" s="2" t="s">
        <v>125</v>
      </c>
      <c r="J288" s="2" t="s">
        <v>6</v>
      </c>
      <c r="K288" s="4"/>
      <c r="L288" s="4"/>
      <c r="M288" s="2">
        <v>252</v>
      </c>
    </row>
    <row r="289" spans="1:13" ht="25.05" hidden="1" customHeight="1">
      <c r="A289" s="2" t="s">
        <v>44</v>
      </c>
      <c r="B289" s="2" t="s">
        <v>79</v>
      </c>
      <c r="C289" s="2" t="s">
        <v>76</v>
      </c>
      <c r="D289" s="2"/>
      <c r="E289" s="2" t="s">
        <v>340</v>
      </c>
      <c r="F289" s="2"/>
      <c r="G289" s="2" t="s">
        <v>117</v>
      </c>
      <c r="H289" s="2" t="s">
        <v>91</v>
      </c>
      <c r="I289" s="2" t="s">
        <v>125</v>
      </c>
      <c r="J289" s="2" t="s">
        <v>6</v>
      </c>
      <c r="K289" s="4"/>
      <c r="L289" s="4"/>
      <c r="M289" s="2">
        <v>253</v>
      </c>
    </row>
    <row r="290" spans="1:13" ht="25.05" hidden="1" customHeight="1">
      <c r="A290" s="2" t="s">
        <v>44</v>
      </c>
      <c r="B290" s="2" t="s">
        <v>79</v>
      </c>
      <c r="C290" s="2" t="s">
        <v>76</v>
      </c>
      <c r="D290" s="2"/>
      <c r="E290" s="2" t="s">
        <v>341</v>
      </c>
      <c r="F290" s="2"/>
      <c r="G290" s="2" t="s">
        <v>117</v>
      </c>
      <c r="H290" s="2" t="s">
        <v>91</v>
      </c>
      <c r="I290" s="2" t="s">
        <v>125</v>
      </c>
      <c r="J290" s="2" t="s">
        <v>6</v>
      </c>
      <c r="K290" s="4"/>
      <c r="L290" s="4"/>
      <c r="M290" s="2">
        <v>254</v>
      </c>
    </row>
    <row r="291" spans="1:13" ht="25.05" hidden="1" customHeight="1">
      <c r="A291" s="87" t="s">
        <v>36</v>
      </c>
      <c r="B291" s="87" t="s">
        <v>52</v>
      </c>
      <c r="C291" s="87" t="s">
        <v>51</v>
      </c>
      <c r="D291" s="87"/>
      <c r="E291" s="87" t="s">
        <v>342</v>
      </c>
      <c r="F291" s="87"/>
      <c r="G291" s="87" t="s">
        <v>99</v>
      </c>
      <c r="H291" s="87" t="s">
        <v>100</v>
      </c>
      <c r="I291" s="87" t="s">
        <v>343</v>
      </c>
      <c r="J291" s="87" t="s">
        <v>7</v>
      </c>
      <c r="K291" s="90">
        <v>46188</v>
      </c>
      <c r="L291" s="90"/>
      <c r="M291" s="87">
        <v>256</v>
      </c>
    </row>
    <row r="292" spans="1:13" ht="25.05" hidden="1" customHeight="1">
      <c r="A292" s="87" t="s">
        <v>36</v>
      </c>
      <c r="B292" s="87" t="s">
        <v>52</v>
      </c>
      <c r="C292" s="87" t="s">
        <v>51</v>
      </c>
      <c r="D292" s="87"/>
      <c r="E292" s="87" t="s">
        <v>344</v>
      </c>
      <c r="F292" s="87"/>
      <c r="G292" s="87" t="s">
        <v>99</v>
      </c>
      <c r="H292" s="87" t="s">
        <v>100</v>
      </c>
      <c r="I292" s="87" t="s">
        <v>343</v>
      </c>
      <c r="J292" s="87" t="s">
        <v>7</v>
      </c>
      <c r="K292" s="90">
        <v>46203</v>
      </c>
      <c r="L292" s="90"/>
      <c r="M292" s="87">
        <v>257</v>
      </c>
    </row>
    <row r="293" spans="1:13" ht="25.05" hidden="1" customHeight="1">
      <c r="A293" s="87" t="s">
        <v>36</v>
      </c>
      <c r="B293" s="87" t="s">
        <v>52</v>
      </c>
      <c r="C293" s="87" t="s">
        <v>51</v>
      </c>
      <c r="D293" s="87"/>
      <c r="E293" s="87" t="s">
        <v>345</v>
      </c>
      <c r="F293" s="87"/>
      <c r="G293" s="87" t="s">
        <v>99</v>
      </c>
      <c r="H293" s="87" t="s">
        <v>100</v>
      </c>
      <c r="I293" s="87" t="s">
        <v>343</v>
      </c>
      <c r="J293" s="87" t="s">
        <v>7</v>
      </c>
      <c r="K293" s="90">
        <v>46227</v>
      </c>
      <c r="L293" s="90"/>
      <c r="M293" s="87">
        <v>258</v>
      </c>
    </row>
    <row r="294" spans="1:13" ht="25.05" hidden="1" customHeight="1">
      <c r="A294" s="87" t="s">
        <v>36</v>
      </c>
      <c r="B294" s="87" t="s">
        <v>52</v>
      </c>
      <c r="C294" s="87" t="s">
        <v>51</v>
      </c>
      <c r="D294" s="87"/>
      <c r="E294" s="87" t="s">
        <v>346</v>
      </c>
      <c r="F294" s="87"/>
      <c r="G294" s="87" t="s">
        <v>99</v>
      </c>
      <c r="H294" s="87" t="s">
        <v>100</v>
      </c>
      <c r="I294" s="87" t="s">
        <v>343</v>
      </c>
      <c r="J294" s="87" t="s">
        <v>7</v>
      </c>
      <c r="K294" s="90">
        <v>46248</v>
      </c>
      <c r="L294" s="90">
        <v>46283</v>
      </c>
      <c r="M294" s="87">
        <v>259</v>
      </c>
    </row>
    <row r="295" spans="1:13" ht="25.05" hidden="1" customHeight="1">
      <c r="A295" s="87" t="s">
        <v>36</v>
      </c>
      <c r="B295" s="87" t="s">
        <v>52</v>
      </c>
      <c r="C295" s="87" t="s">
        <v>51</v>
      </c>
      <c r="D295" s="87"/>
      <c r="E295" s="87" t="s">
        <v>412</v>
      </c>
      <c r="F295" s="87"/>
      <c r="G295" s="87" t="s">
        <v>99</v>
      </c>
      <c r="H295" s="87" t="s">
        <v>100</v>
      </c>
      <c r="I295" s="87" t="s">
        <v>343</v>
      </c>
      <c r="J295" s="87" t="s">
        <v>2</v>
      </c>
      <c r="K295" s="90">
        <v>46293</v>
      </c>
      <c r="L295" s="90"/>
      <c r="M295" s="87"/>
    </row>
    <row r="296" spans="1:13" ht="25.05" hidden="1" customHeight="1">
      <c r="A296" s="87" t="s">
        <v>36</v>
      </c>
      <c r="B296" s="87" t="s">
        <v>52</v>
      </c>
      <c r="C296" s="87" t="s">
        <v>51</v>
      </c>
      <c r="D296" s="87"/>
      <c r="E296" s="87" t="s">
        <v>347</v>
      </c>
      <c r="F296" s="87"/>
      <c r="G296" s="87" t="s">
        <v>99</v>
      </c>
      <c r="H296" s="87" t="s">
        <v>100</v>
      </c>
      <c r="I296" s="87" t="s">
        <v>343</v>
      </c>
      <c r="J296" s="87" t="s">
        <v>2</v>
      </c>
      <c r="K296" s="90">
        <v>46328</v>
      </c>
      <c r="L296" s="90"/>
      <c r="M296" s="87">
        <v>260</v>
      </c>
    </row>
    <row r="297" spans="1:13" ht="25.05" hidden="1" customHeight="1">
      <c r="A297" s="87" t="s">
        <v>36</v>
      </c>
      <c r="B297" s="87" t="s">
        <v>52</v>
      </c>
      <c r="C297" s="87" t="s">
        <v>51</v>
      </c>
      <c r="D297" s="87"/>
      <c r="E297" s="87" t="s">
        <v>413</v>
      </c>
      <c r="F297" s="87"/>
      <c r="G297" s="87" t="s">
        <v>99</v>
      </c>
      <c r="H297" s="87" t="s">
        <v>100</v>
      </c>
      <c r="I297" s="87" t="s">
        <v>343</v>
      </c>
      <c r="J297" s="87" t="s">
        <v>2</v>
      </c>
      <c r="K297" s="90">
        <v>46336</v>
      </c>
      <c r="L297" s="90"/>
      <c r="M297" s="87"/>
    </row>
    <row r="298" spans="1:13" ht="25.05" hidden="1" customHeight="1">
      <c r="A298" s="87" t="s">
        <v>36</v>
      </c>
      <c r="B298" s="87" t="s">
        <v>52</v>
      </c>
      <c r="C298" s="87" t="s">
        <v>51</v>
      </c>
      <c r="D298" s="87"/>
      <c r="E298" s="87" t="s">
        <v>348</v>
      </c>
      <c r="F298" s="87"/>
      <c r="G298" s="87" t="s">
        <v>99</v>
      </c>
      <c r="H298" s="87" t="s">
        <v>100</v>
      </c>
      <c r="I298" s="87" t="s">
        <v>343</v>
      </c>
      <c r="J298" s="87" t="s">
        <v>2</v>
      </c>
      <c r="K298" s="90">
        <v>46370</v>
      </c>
      <c r="L298" s="90"/>
      <c r="M298" s="87">
        <v>261</v>
      </c>
    </row>
    <row r="299" spans="1:13" ht="25.05" hidden="1" customHeight="1">
      <c r="A299" s="87" t="s">
        <v>36</v>
      </c>
      <c r="B299" s="87" t="s">
        <v>52</v>
      </c>
      <c r="C299" s="87" t="s">
        <v>51</v>
      </c>
      <c r="D299" s="87"/>
      <c r="E299" s="87" t="s">
        <v>349</v>
      </c>
      <c r="F299" s="87"/>
      <c r="G299" s="87" t="s">
        <v>99</v>
      </c>
      <c r="H299" s="87" t="s">
        <v>100</v>
      </c>
      <c r="I299" s="87" t="s">
        <v>343</v>
      </c>
      <c r="J299" s="87" t="s">
        <v>2</v>
      </c>
      <c r="K299" s="90">
        <v>46408</v>
      </c>
      <c r="L299" s="90"/>
      <c r="M299" s="87">
        <v>262</v>
      </c>
    </row>
    <row r="300" spans="1:13" ht="25.05" hidden="1" customHeight="1">
      <c r="A300" s="87" t="s">
        <v>36</v>
      </c>
      <c r="B300" s="87" t="s">
        <v>52</v>
      </c>
      <c r="C300" s="87" t="s">
        <v>51</v>
      </c>
      <c r="D300" s="87"/>
      <c r="E300" s="87" t="s">
        <v>350</v>
      </c>
      <c r="F300" s="87"/>
      <c r="G300" s="87" t="s">
        <v>99</v>
      </c>
      <c r="H300" s="87" t="s">
        <v>100</v>
      </c>
      <c r="I300" s="87" t="s">
        <v>343</v>
      </c>
      <c r="J300" s="87" t="s">
        <v>2</v>
      </c>
      <c r="K300" s="90">
        <v>46423</v>
      </c>
      <c r="L300" s="90"/>
      <c r="M300" s="87">
        <v>263</v>
      </c>
    </row>
    <row r="301" spans="1:13" ht="25.05" hidden="1" customHeight="1">
      <c r="A301" s="87" t="s">
        <v>36</v>
      </c>
      <c r="B301" s="87" t="s">
        <v>52</v>
      </c>
      <c r="C301" s="87" t="s">
        <v>51</v>
      </c>
      <c r="D301" s="87"/>
      <c r="E301" s="87" t="s">
        <v>351</v>
      </c>
      <c r="F301" s="87"/>
      <c r="G301" s="87" t="s">
        <v>99</v>
      </c>
      <c r="H301" s="87" t="s">
        <v>100</v>
      </c>
      <c r="I301" s="87" t="s">
        <v>343</v>
      </c>
      <c r="J301" s="87" t="s">
        <v>2</v>
      </c>
      <c r="K301" s="90">
        <v>46423</v>
      </c>
      <c r="L301" s="90"/>
      <c r="M301" s="87">
        <v>264</v>
      </c>
    </row>
    <row r="302" spans="1:13" ht="25.05" hidden="1" customHeight="1">
      <c r="A302" s="87" t="s">
        <v>36</v>
      </c>
      <c r="B302" s="87" t="s">
        <v>52</v>
      </c>
      <c r="C302" s="87" t="s">
        <v>51</v>
      </c>
      <c r="D302" s="87"/>
      <c r="E302" s="87" t="s">
        <v>352</v>
      </c>
      <c r="F302" s="87"/>
      <c r="G302" s="87" t="s">
        <v>99</v>
      </c>
      <c r="H302" s="87" t="s">
        <v>100</v>
      </c>
      <c r="I302" s="87" t="s">
        <v>343</v>
      </c>
      <c r="J302" s="87" t="s">
        <v>2</v>
      </c>
      <c r="K302" s="90">
        <v>46457</v>
      </c>
      <c r="L302" s="90"/>
      <c r="M302" s="87">
        <v>265</v>
      </c>
    </row>
    <row r="303" spans="1:13" ht="25.05" hidden="1" customHeight="1">
      <c r="A303" s="87" t="s">
        <v>36</v>
      </c>
      <c r="B303" s="87" t="s">
        <v>52</v>
      </c>
      <c r="C303" s="87" t="s">
        <v>51</v>
      </c>
      <c r="D303" s="87"/>
      <c r="E303" s="87" t="s">
        <v>414</v>
      </c>
      <c r="F303" s="87"/>
      <c r="G303" s="87" t="s">
        <v>99</v>
      </c>
      <c r="H303" s="87" t="s">
        <v>100</v>
      </c>
      <c r="I303" s="87" t="s">
        <v>343</v>
      </c>
      <c r="J303" s="87" t="s">
        <v>2</v>
      </c>
      <c r="K303" s="90">
        <v>46477</v>
      </c>
      <c r="L303" s="90"/>
      <c r="M303" s="87">
        <v>266</v>
      </c>
    </row>
    <row r="304" spans="1:13" ht="25.05" hidden="1" customHeight="1">
      <c r="A304" s="87" t="s">
        <v>36</v>
      </c>
      <c r="B304" s="87" t="s">
        <v>52</v>
      </c>
      <c r="C304" s="87" t="s">
        <v>51</v>
      </c>
      <c r="D304" s="87"/>
      <c r="E304" s="87" t="s">
        <v>353</v>
      </c>
      <c r="F304" s="87"/>
      <c r="G304" s="87" t="s">
        <v>99</v>
      </c>
      <c r="H304" s="87" t="s">
        <v>100</v>
      </c>
      <c r="I304" s="87" t="s">
        <v>343</v>
      </c>
      <c r="J304" s="87" t="s">
        <v>2</v>
      </c>
      <c r="K304" s="90">
        <v>46598</v>
      </c>
      <c r="L304" s="90"/>
      <c r="M304" s="87">
        <v>267</v>
      </c>
    </row>
    <row r="305" spans="1:13" ht="25.05" hidden="1" customHeight="1"/>
    <row r="306" spans="1:13" ht="25.05" hidden="1" customHeight="1">
      <c r="A306" s="87" t="s">
        <v>30</v>
      </c>
      <c r="B306" s="87" t="s">
        <v>29</v>
      </c>
      <c r="C306" s="87" t="s">
        <v>80</v>
      </c>
      <c r="D306" s="87"/>
      <c r="E306" s="88" t="s">
        <v>354</v>
      </c>
      <c r="F306" s="87"/>
      <c r="G306" s="87" t="s">
        <v>99</v>
      </c>
      <c r="H306" s="87" t="s">
        <v>100</v>
      </c>
      <c r="I306" s="87" t="s">
        <v>115</v>
      </c>
      <c r="J306" s="87" t="s">
        <v>3</v>
      </c>
      <c r="K306" s="90">
        <v>46321</v>
      </c>
      <c r="L306" s="90"/>
      <c r="M306" s="87"/>
    </row>
    <row r="307" spans="1:13" ht="25.05" hidden="1" customHeight="1">
      <c r="A307" s="2" t="s">
        <v>30</v>
      </c>
      <c r="B307" s="2" t="s">
        <v>29</v>
      </c>
      <c r="C307" s="2" t="s">
        <v>80</v>
      </c>
      <c r="D307" s="2" t="s">
        <v>355</v>
      </c>
      <c r="E307" s="2" t="s">
        <v>356</v>
      </c>
      <c r="F307" s="2"/>
      <c r="G307" s="2" t="s">
        <v>117</v>
      </c>
      <c r="H307" s="2" t="s">
        <v>100</v>
      </c>
      <c r="I307" s="2" t="s">
        <v>115</v>
      </c>
      <c r="J307" s="2" t="s">
        <v>7</v>
      </c>
      <c r="K307" s="4">
        <v>46213</v>
      </c>
      <c r="L307" s="4"/>
      <c r="M307" s="2">
        <v>269</v>
      </c>
    </row>
    <row r="308" spans="1:13" ht="25.05" hidden="1" customHeight="1">
      <c r="A308" s="2" t="s">
        <v>30</v>
      </c>
      <c r="B308" s="2" t="s">
        <v>29</v>
      </c>
      <c r="C308" s="2" t="s">
        <v>80</v>
      </c>
      <c r="D308" s="2"/>
      <c r="E308" s="2" t="s">
        <v>357</v>
      </c>
      <c r="F308" s="2"/>
      <c r="G308" s="2" t="s">
        <v>117</v>
      </c>
      <c r="H308" s="2" t="s">
        <v>100</v>
      </c>
      <c r="I308" s="2" t="s">
        <v>115</v>
      </c>
      <c r="J308" s="2" t="s">
        <v>7</v>
      </c>
      <c r="K308" s="4">
        <v>46248</v>
      </c>
      <c r="L308" s="4">
        <v>46248</v>
      </c>
      <c r="M308" s="2">
        <v>270</v>
      </c>
    </row>
    <row r="309" spans="1:13" ht="25.05" hidden="1" customHeight="1">
      <c r="A309" s="2" t="s">
        <v>30</v>
      </c>
      <c r="B309" s="2" t="s">
        <v>29</v>
      </c>
      <c r="C309" s="2" t="s">
        <v>80</v>
      </c>
      <c r="D309" s="2"/>
      <c r="E309" s="2" t="s">
        <v>358</v>
      </c>
      <c r="F309" s="2"/>
      <c r="G309" s="2" t="s">
        <v>117</v>
      </c>
      <c r="H309" s="2" t="s">
        <v>100</v>
      </c>
      <c r="I309" s="2" t="s">
        <v>115</v>
      </c>
      <c r="J309" s="2" t="s">
        <v>7</v>
      </c>
      <c r="K309" s="4">
        <v>46248</v>
      </c>
      <c r="L309" s="4">
        <v>46248</v>
      </c>
      <c r="M309" s="2">
        <v>271</v>
      </c>
    </row>
    <row r="310" spans="1:13" ht="25.05" hidden="1" customHeight="1">
      <c r="A310" s="2" t="s">
        <v>30</v>
      </c>
      <c r="B310" s="2" t="s">
        <v>29</v>
      </c>
      <c r="C310" s="2" t="s">
        <v>80</v>
      </c>
      <c r="D310" s="2"/>
      <c r="E310" s="2" t="s">
        <v>359</v>
      </c>
      <c r="F310" s="2"/>
      <c r="G310" s="2" t="s">
        <v>117</v>
      </c>
      <c r="H310" s="2" t="s">
        <v>100</v>
      </c>
      <c r="I310" s="2" t="s">
        <v>115</v>
      </c>
      <c r="J310" s="2" t="s">
        <v>7</v>
      </c>
      <c r="K310" s="4">
        <v>46282</v>
      </c>
      <c r="L310" s="4">
        <v>46276</v>
      </c>
      <c r="M310" s="2">
        <v>272</v>
      </c>
    </row>
    <row r="311" spans="1:13" ht="25.05" hidden="1" customHeight="1">
      <c r="A311" s="2" t="s">
        <v>30</v>
      </c>
      <c r="B311" s="2" t="s">
        <v>29</v>
      </c>
      <c r="C311" s="2" t="s">
        <v>80</v>
      </c>
      <c r="D311" s="2"/>
      <c r="E311" s="2" t="s">
        <v>404</v>
      </c>
      <c r="F311" s="2"/>
      <c r="G311" s="2" t="s">
        <v>117</v>
      </c>
      <c r="H311" s="2" t="s">
        <v>100</v>
      </c>
      <c r="I311" s="2" t="s">
        <v>115</v>
      </c>
      <c r="J311" s="2" t="s">
        <v>7</v>
      </c>
      <c r="K311" s="4">
        <v>46289</v>
      </c>
      <c r="L311" s="4">
        <v>46287</v>
      </c>
      <c r="M311" s="2">
        <v>273</v>
      </c>
    </row>
    <row r="312" spans="1:13" ht="25.05" hidden="1" customHeight="1">
      <c r="A312" s="2" t="s">
        <v>30</v>
      </c>
      <c r="B312" s="2" t="s">
        <v>29</v>
      </c>
      <c r="C312" s="2" t="s">
        <v>80</v>
      </c>
      <c r="D312" s="2"/>
      <c r="E312" s="2" t="s">
        <v>415</v>
      </c>
      <c r="F312" s="2"/>
      <c r="G312" s="2" t="s">
        <v>117</v>
      </c>
      <c r="H312" s="2" t="s">
        <v>100</v>
      </c>
      <c r="I312" s="2" t="s">
        <v>115</v>
      </c>
      <c r="J312" s="2" t="s">
        <v>7</v>
      </c>
      <c r="K312" s="4">
        <v>46321</v>
      </c>
      <c r="L312" s="4">
        <v>46288</v>
      </c>
      <c r="M312" s="2">
        <v>274</v>
      </c>
    </row>
    <row r="313" spans="1:13" ht="25.05" hidden="1" customHeight="1">
      <c r="A313" s="2" t="s">
        <v>30</v>
      </c>
      <c r="B313" s="2" t="s">
        <v>29</v>
      </c>
      <c r="C313" s="2" t="s">
        <v>80</v>
      </c>
      <c r="D313" s="2"/>
      <c r="E313" s="2" t="s">
        <v>417</v>
      </c>
      <c r="F313" s="2"/>
      <c r="G313" s="2" t="s">
        <v>117</v>
      </c>
      <c r="H313" s="2" t="s">
        <v>100</v>
      </c>
      <c r="I313" s="2" t="s">
        <v>115</v>
      </c>
      <c r="J313" s="2" t="s">
        <v>7</v>
      </c>
      <c r="K313" s="4">
        <v>46237</v>
      </c>
      <c r="L313" s="4">
        <v>46238</v>
      </c>
      <c r="M313" s="2">
        <v>275</v>
      </c>
    </row>
    <row r="314" spans="1:13" ht="25.05" hidden="1" customHeight="1">
      <c r="A314" s="2" t="s">
        <v>30</v>
      </c>
      <c r="B314" s="2" t="s">
        <v>29</v>
      </c>
      <c r="C314" s="2" t="s">
        <v>80</v>
      </c>
      <c r="D314" s="2"/>
      <c r="E314" s="2" t="s">
        <v>418</v>
      </c>
      <c r="F314" s="2"/>
      <c r="G314" s="2" t="s">
        <v>117</v>
      </c>
      <c r="H314" s="2" t="s">
        <v>100</v>
      </c>
      <c r="I314" s="2" t="s">
        <v>115</v>
      </c>
      <c r="J314" s="2" t="s">
        <v>6</v>
      </c>
      <c r="K314" s="4">
        <v>46302</v>
      </c>
      <c r="L314" s="4"/>
      <c r="M314" s="2"/>
    </row>
    <row r="315" spans="1:13" ht="25.05" hidden="1" customHeight="1">
      <c r="A315" s="2" t="s">
        <v>30</v>
      </c>
      <c r="B315" s="2" t="s">
        <v>29</v>
      </c>
      <c r="C315" s="2" t="s">
        <v>80</v>
      </c>
      <c r="D315" s="2"/>
      <c r="E315" s="2" t="s">
        <v>360</v>
      </c>
      <c r="F315" s="2"/>
      <c r="G315" s="2" t="s">
        <v>117</v>
      </c>
      <c r="H315" s="2" t="s">
        <v>100</v>
      </c>
      <c r="I315" s="2" t="s">
        <v>115</v>
      </c>
      <c r="J315" s="2" t="s">
        <v>2</v>
      </c>
      <c r="K315" s="4">
        <v>46342</v>
      </c>
      <c r="L315" s="4"/>
      <c r="M315" s="2">
        <v>276</v>
      </c>
    </row>
    <row r="316" spans="1:13" ht="25.05" hidden="1" customHeight="1">
      <c r="A316" s="2" t="s">
        <v>30</v>
      </c>
      <c r="B316" s="2" t="s">
        <v>29</v>
      </c>
      <c r="C316" s="2" t="s">
        <v>80</v>
      </c>
      <c r="D316" s="2"/>
      <c r="E316" s="2" t="s">
        <v>403</v>
      </c>
      <c r="F316" s="2"/>
      <c r="G316" s="2" t="s">
        <v>117</v>
      </c>
      <c r="H316" s="2" t="s">
        <v>100</v>
      </c>
      <c r="I316" s="2" t="s">
        <v>115</v>
      </c>
      <c r="J316" s="2" t="s">
        <v>7</v>
      </c>
      <c r="K316" s="4">
        <v>46374</v>
      </c>
      <c r="L316" s="4">
        <v>46304</v>
      </c>
      <c r="M316" s="2"/>
    </row>
    <row r="317" spans="1:13" ht="25.05" hidden="1" customHeight="1">
      <c r="A317" s="2" t="s">
        <v>30</v>
      </c>
      <c r="B317" s="2" t="s">
        <v>29</v>
      </c>
      <c r="C317" s="2" t="s">
        <v>80</v>
      </c>
      <c r="D317" s="2"/>
      <c r="E317" s="2" t="s">
        <v>461</v>
      </c>
      <c r="F317" s="2"/>
      <c r="G317" s="2" t="s">
        <v>117</v>
      </c>
      <c r="H317" s="2" t="s">
        <v>100</v>
      </c>
      <c r="I317" s="2" t="s">
        <v>115</v>
      </c>
      <c r="J317" s="2" t="s">
        <v>2</v>
      </c>
      <c r="K317" s="4">
        <v>46303</v>
      </c>
      <c r="L317" s="4"/>
      <c r="M317" s="2">
        <v>277</v>
      </c>
    </row>
    <row r="318" spans="1:13" ht="25.05" hidden="1" customHeight="1">
      <c r="A318" s="87" t="s">
        <v>28</v>
      </c>
      <c r="B318" s="87" t="s">
        <v>27</v>
      </c>
      <c r="C318" s="87" t="s">
        <v>82</v>
      </c>
      <c r="D318" s="87"/>
      <c r="E318" s="87" t="s">
        <v>361</v>
      </c>
      <c r="F318" s="87"/>
      <c r="G318" s="87" t="s">
        <v>99</v>
      </c>
      <c r="H318" s="87" t="s">
        <v>362</v>
      </c>
      <c r="I318" s="87" t="s">
        <v>115</v>
      </c>
      <c r="J318" s="87" t="s">
        <v>3</v>
      </c>
      <c r="K318" s="90">
        <v>46338</v>
      </c>
      <c r="L318" s="90"/>
      <c r="M318" s="87"/>
    </row>
    <row r="319" spans="1:13" ht="25.05" hidden="1" customHeight="1">
      <c r="A319" s="2" t="s">
        <v>28</v>
      </c>
      <c r="B319" s="2" t="s">
        <v>27</v>
      </c>
      <c r="C319" s="2" t="s">
        <v>82</v>
      </c>
      <c r="D319" s="2"/>
      <c r="E319" s="2" t="s">
        <v>363</v>
      </c>
      <c r="F319" s="2"/>
      <c r="G319" s="2" t="s">
        <v>117</v>
      </c>
      <c r="H319" s="2" t="s">
        <v>100</v>
      </c>
      <c r="I319" s="2" t="s">
        <v>115</v>
      </c>
      <c r="J319" s="2" t="s">
        <v>7</v>
      </c>
      <c r="K319" s="4">
        <v>46188</v>
      </c>
      <c r="L319" s="4"/>
      <c r="M319" s="2">
        <v>279</v>
      </c>
    </row>
    <row r="320" spans="1:13" ht="25.05" hidden="1" customHeight="1">
      <c r="A320" s="2" t="s">
        <v>28</v>
      </c>
      <c r="B320" s="2" t="s">
        <v>27</v>
      </c>
      <c r="C320" s="2" t="s">
        <v>82</v>
      </c>
      <c r="D320" s="2"/>
      <c r="E320" s="2" t="s">
        <v>364</v>
      </c>
      <c r="F320" s="2"/>
      <c r="G320" s="2" t="s">
        <v>117</v>
      </c>
      <c r="H320" s="2" t="s">
        <v>100</v>
      </c>
      <c r="I320" s="2" t="s">
        <v>115</v>
      </c>
      <c r="J320" s="2" t="s">
        <v>7</v>
      </c>
      <c r="K320" s="4">
        <v>46188</v>
      </c>
      <c r="L320" s="4">
        <v>46188</v>
      </c>
      <c r="M320" s="2">
        <v>280</v>
      </c>
    </row>
    <row r="321" spans="1:13" ht="25.05" hidden="1" customHeight="1">
      <c r="A321" s="2" t="s">
        <v>28</v>
      </c>
      <c r="B321" s="2" t="s">
        <v>27</v>
      </c>
      <c r="C321" s="2" t="s">
        <v>82</v>
      </c>
      <c r="D321" s="2"/>
      <c r="E321" s="2" t="s">
        <v>365</v>
      </c>
      <c r="F321" s="2"/>
      <c r="G321" s="2" t="s">
        <v>117</v>
      </c>
      <c r="H321" s="2" t="s">
        <v>100</v>
      </c>
      <c r="I321" s="2" t="s">
        <v>115</v>
      </c>
      <c r="J321" s="2" t="s">
        <v>7</v>
      </c>
      <c r="K321" s="4">
        <v>46188</v>
      </c>
      <c r="L321" s="4">
        <v>46188</v>
      </c>
      <c r="M321" s="2">
        <v>281</v>
      </c>
    </row>
    <row r="322" spans="1:13" ht="25.05" hidden="1" customHeight="1">
      <c r="A322" s="2" t="s">
        <v>28</v>
      </c>
      <c r="B322" s="2" t="s">
        <v>27</v>
      </c>
      <c r="C322" s="2" t="s">
        <v>82</v>
      </c>
      <c r="D322" s="2"/>
      <c r="E322" s="2" t="s">
        <v>366</v>
      </c>
      <c r="F322" s="2"/>
      <c r="G322" s="2" t="s">
        <v>117</v>
      </c>
      <c r="H322" s="2" t="s">
        <v>100</v>
      </c>
      <c r="I322" s="2" t="s">
        <v>115</v>
      </c>
      <c r="J322" s="2" t="s">
        <v>7</v>
      </c>
      <c r="K322" s="4">
        <v>46258</v>
      </c>
      <c r="L322" s="4">
        <v>46258</v>
      </c>
      <c r="M322" s="2">
        <v>282</v>
      </c>
    </row>
    <row r="323" spans="1:13" ht="25.05" hidden="1" customHeight="1">
      <c r="A323" s="2" t="s">
        <v>28</v>
      </c>
      <c r="B323" s="2" t="s">
        <v>27</v>
      </c>
      <c r="C323" s="2" t="s">
        <v>82</v>
      </c>
      <c r="D323" s="2"/>
      <c r="E323" s="2" t="s">
        <v>367</v>
      </c>
      <c r="F323" s="2"/>
      <c r="G323" s="2" t="s">
        <v>117</v>
      </c>
      <c r="H323" s="2" t="s">
        <v>100</v>
      </c>
      <c r="I323" s="2" t="s">
        <v>115</v>
      </c>
      <c r="J323" s="2" t="s">
        <v>7</v>
      </c>
      <c r="K323" s="4">
        <v>46234</v>
      </c>
      <c r="L323" s="4">
        <v>46296</v>
      </c>
      <c r="M323" s="2">
        <v>283</v>
      </c>
    </row>
    <row r="324" spans="1:13" ht="25.05" hidden="1" customHeight="1">
      <c r="A324" s="2" t="s">
        <v>28</v>
      </c>
      <c r="B324" s="2" t="s">
        <v>27</v>
      </c>
      <c r="C324" s="2" t="s">
        <v>82</v>
      </c>
      <c r="D324" s="2"/>
      <c r="E324" s="2" t="s">
        <v>368</v>
      </c>
      <c r="F324" s="2"/>
      <c r="G324" s="2" t="s">
        <v>117</v>
      </c>
      <c r="H324" s="2" t="s">
        <v>100</v>
      </c>
      <c r="I324" s="2" t="s">
        <v>115</v>
      </c>
      <c r="J324" s="2" t="s">
        <v>7</v>
      </c>
      <c r="K324" s="4">
        <v>46262</v>
      </c>
      <c r="L324" s="4">
        <v>46231</v>
      </c>
      <c r="M324" s="2">
        <v>284</v>
      </c>
    </row>
    <row r="325" spans="1:13" ht="25.05" hidden="1" customHeight="1">
      <c r="A325" s="2" t="s">
        <v>28</v>
      </c>
      <c r="B325" s="2" t="s">
        <v>27</v>
      </c>
      <c r="C325" s="2" t="s">
        <v>82</v>
      </c>
      <c r="D325" s="2"/>
      <c r="E325" s="2" t="s">
        <v>369</v>
      </c>
      <c r="F325" s="2"/>
      <c r="G325" s="2" t="s">
        <v>117</v>
      </c>
      <c r="H325" s="2" t="s">
        <v>100</v>
      </c>
      <c r="I325" s="2" t="s">
        <v>115</v>
      </c>
      <c r="J325" s="2" t="s">
        <v>7</v>
      </c>
      <c r="K325" s="4">
        <v>46280</v>
      </c>
      <c r="L325" s="4">
        <v>46252</v>
      </c>
      <c r="M325" s="2">
        <v>285</v>
      </c>
    </row>
    <row r="326" spans="1:13" ht="25.05" hidden="1" customHeight="1">
      <c r="A326" s="2" t="s">
        <v>28</v>
      </c>
      <c r="B326" s="2" t="s">
        <v>27</v>
      </c>
      <c r="C326" s="2" t="s">
        <v>82</v>
      </c>
      <c r="D326" s="2"/>
      <c r="E326" s="2" t="s">
        <v>370</v>
      </c>
      <c r="F326" s="2"/>
      <c r="G326" s="2" t="s">
        <v>117</v>
      </c>
      <c r="H326" s="2" t="s">
        <v>100</v>
      </c>
      <c r="I326" s="2" t="s">
        <v>115</v>
      </c>
      <c r="J326" s="2" t="s">
        <v>7</v>
      </c>
      <c r="K326" s="4">
        <v>46283</v>
      </c>
      <c r="L326" s="4">
        <v>46283</v>
      </c>
      <c r="M326" s="2">
        <v>286</v>
      </c>
    </row>
    <row r="327" spans="1:13" ht="25.05" hidden="1" customHeight="1">
      <c r="A327" s="2" t="s">
        <v>28</v>
      </c>
      <c r="B327" s="2" t="s">
        <v>27</v>
      </c>
      <c r="C327" s="2" t="s">
        <v>82</v>
      </c>
      <c r="D327" s="2"/>
      <c r="E327" s="2" t="s">
        <v>371</v>
      </c>
      <c r="F327" s="2"/>
      <c r="G327" s="2" t="s">
        <v>117</v>
      </c>
      <c r="H327" s="2" t="s">
        <v>100</v>
      </c>
      <c r="I327" s="2" t="s">
        <v>115</v>
      </c>
      <c r="J327" s="2" t="s">
        <v>7</v>
      </c>
      <c r="K327" s="4">
        <v>46290</v>
      </c>
      <c r="L327" s="4">
        <v>46244</v>
      </c>
      <c r="M327" s="2">
        <v>287</v>
      </c>
    </row>
    <row r="328" spans="1:13" ht="25.05" hidden="1" customHeight="1">
      <c r="A328" s="2" t="s">
        <v>28</v>
      </c>
      <c r="B328" s="2" t="s">
        <v>27</v>
      </c>
      <c r="C328" s="2" t="s">
        <v>82</v>
      </c>
      <c r="D328" s="2"/>
      <c r="E328" s="2" t="s">
        <v>372</v>
      </c>
      <c r="F328" s="2"/>
      <c r="G328" s="2" t="s">
        <v>117</v>
      </c>
      <c r="H328" s="2" t="s">
        <v>100</v>
      </c>
      <c r="I328" s="2" t="s">
        <v>115</v>
      </c>
      <c r="J328" s="2" t="s">
        <v>7</v>
      </c>
      <c r="K328" s="4">
        <v>46304</v>
      </c>
      <c r="L328" s="4">
        <v>46275</v>
      </c>
      <c r="M328" s="2">
        <v>288</v>
      </c>
    </row>
    <row r="329" spans="1:13" ht="25.05" hidden="1" customHeight="1">
      <c r="A329" s="2" t="s">
        <v>28</v>
      </c>
      <c r="B329" s="2" t="s">
        <v>27</v>
      </c>
      <c r="C329" s="2" t="s">
        <v>82</v>
      </c>
      <c r="D329" s="2"/>
      <c r="E329" s="2" t="s">
        <v>373</v>
      </c>
      <c r="F329" s="2"/>
      <c r="G329" s="2" t="s">
        <v>117</v>
      </c>
      <c r="H329" s="2" t="s">
        <v>100</v>
      </c>
      <c r="I329" s="2" t="s">
        <v>115</v>
      </c>
      <c r="J329" s="2" t="s">
        <v>7</v>
      </c>
      <c r="K329" s="4">
        <v>46269</v>
      </c>
      <c r="L329" s="4">
        <v>46273</v>
      </c>
      <c r="M329" s="2">
        <v>289</v>
      </c>
    </row>
    <row r="330" spans="1:13" ht="25.05" hidden="1" customHeight="1">
      <c r="A330" s="2" t="s">
        <v>28</v>
      </c>
      <c r="B330" s="2" t="s">
        <v>27</v>
      </c>
      <c r="C330" s="2" t="s">
        <v>82</v>
      </c>
      <c r="D330" s="2"/>
      <c r="E330" s="2" t="s">
        <v>374</v>
      </c>
      <c r="F330" s="2"/>
      <c r="G330" s="2" t="s">
        <v>117</v>
      </c>
      <c r="H330" s="2" t="s">
        <v>100</v>
      </c>
      <c r="I330" s="2" t="s">
        <v>115</v>
      </c>
      <c r="J330" s="2" t="s">
        <v>7</v>
      </c>
      <c r="K330" s="4">
        <v>46283</v>
      </c>
      <c r="L330" s="4">
        <v>46283</v>
      </c>
      <c r="M330" s="2">
        <v>290</v>
      </c>
    </row>
    <row r="331" spans="1:13" ht="25.05" hidden="1" customHeight="1">
      <c r="A331" s="2" t="s">
        <v>28</v>
      </c>
      <c r="B331" s="2" t="s">
        <v>27</v>
      </c>
      <c r="C331" s="2" t="s">
        <v>82</v>
      </c>
      <c r="D331" s="2"/>
      <c r="E331" s="2" t="s">
        <v>375</v>
      </c>
      <c r="F331" s="2"/>
      <c r="G331" s="2" t="s">
        <v>117</v>
      </c>
      <c r="H331" s="2" t="s">
        <v>100</v>
      </c>
      <c r="I331" s="2" t="s">
        <v>115</v>
      </c>
      <c r="J331" s="2" t="s">
        <v>7</v>
      </c>
      <c r="K331" s="4">
        <v>46304</v>
      </c>
      <c r="L331" s="4">
        <v>46283</v>
      </c>
      <c r="M331" s="2">
        <v>291</v>
      </c>
    </row>
    <row r="332" spans="1:13" ht="25.05" hidden="1" customHeight="1">
      <c r="A332" s="2" t="s">
        <v>28</v>
      </c>
      <c r="B332" s="2" t="s">
        <v>27</v>
      </c>
      <c r="C332" s="2" t="s">
        <v>82</v>
      </c>
      <c r="D332" s="2"/>
      <c r="E332" s="2" t="s">
        <v>452</v>
      </c>
      <c r="F332" s="2"/>
      <c r="G332" s="2" t="s">
        <v>117</v>
      </c>
      <c r="H332" s="2" t="s">
        <v>100</v>
      </c>
      <c r="I332" s="2" t="s">
        <v>115</v>
      </c>
      <c r="J332" s="2" t="s">
        <v>3</v>
      </c>
      <c r="K332" s="4">
        <v>46338</v>
      </c>
      <c r="L332" s="4"/>
      <c r="M332" s="2">
        <v>292</v>
      </c>
    </row>
    <row r="333" spans="1:13" ht="25.05" hidden="1" customHeight="1">
      <c r="A333" s="87" t="s">
        <v>38</v>
      </c>
      <c r="B333" s="87" t="s">
        <v>56</v>
      </c>
      <c r="C333" s="87" t="s">
        <v>55</v>
      </c>
      <c r="D333" s="87"/>
      <c r="E333" s="87" t="s">
        <v>342</v>
      </c>
      <c r="F333" s="87"/>
      <c r="G333" s="87" t="s">
        <v>99</v>
      </c>
      <c r="H333" s="87" t="s">
        <v>100</v>
      </c>
      <c r="I333" s="87" t="s">
        <v>125</v>
      </c>
      <c r="J333" s="87" t="s">
        <v>7</v>
      </c>
      <c r="K333" s="90">
        <v>46185</v>
      </c>
      <c r="L333" s="90"/>
      <c r="M333" s="87">
        <v>294</v>
      </c>
    </row>
    <row r="334" spans="1:13" ht="25.05" hidden="1" customHeight="1">
      <c r="A334" s="87" t="s">
        <v>38</v>
      </c>
      <c r="B334" s="87" t="s">
        <v>56</v>
      </c>
      <c r="C334" s="87" t="s">
        <v>55</v>
      </c>
      <c r="D334" s="87"/>
      <c r="E334" s="87" t="s">
        <v>344</v>
      </c>
      <c r="F334" s="87"/>
      <c r="G334" s="87" t="s">
        <v>99</v>
      </c>
      <c r="H334" s="87" t="s">
        <v>100</v>
      </c>
      <c r="I334" s="87" t="s">
        <v>125</v>
      </c>
      <c r="J334" s="87" t="s">
        <v>3</v>
      </c>
      <c r="K334" s="90">
        <v>46248</v>
      </c>
      <c r="L334" s="90"/>
      <c r="M334" s="87">
        <v>295</v>
      </c>
    </row>
    <row r="335" spans="1:13" ht="25.05" hidden="1" customHeight="1">
      <c r="A335" s="87" t="s">
        <v>37</v>
      </c>
      <c r="B335" s="87" t="s">
        <v>54</v>
      </c>
      <c r="C335" s="87" t="s">
        <v>53</v>
      </c>
      <c r="D335" s="87"/>
      <c r="E335" s="87" t="s">
        <v>376</v>
      </c>
      <c r="F335" s="87"/>
      <c r="G335" s="87" t="s">
        <v>99</v>
      </c>
      <c r="H335" s="87" t="s">
        <v>100</v>
      </c>
      <c r="I335" s="87" t="s">
        <v>377</v>
      </c>
      <c r="J335" s="87" t="s">
        <v>7</v>
      </c>
      <c r="K335" s="90">
        <v>46199</v>
      </c>
      <c r="L335" s="90"/>
      <c r="M335" s="87">
        <v>297</v>
      </c>
    </row>
    <row r="336" spans="1:13" ht="25.05" hidden="1" customHeight="1">
      <c r="A336" s="87" t="s">
        <v>37</v>
      </c>
      <c r="B336" s="87" t="s">
        <v>54</v>
      </c>
      <c r="C336" s="87" t="s">
        <v>53</v>
      </c>
      <c r="D336" s="87"/>
      <c r="E336" s="87" t="s">
        <v>378</v>
      </c>
      <c r="F336" s="87"/>
      <c r="G336" s="87" t="s">
        <v>99</v>
      </c>
      <c r="H336" s="87" t="s">
        <v>100</v>
      </c>
      <c r="I336" s="87" t="s">
        <v>377</v>
      </c>
      <c r="J336" s="87" t="s">
        <v>7</v>
      </c>
      <c r="K336" s="90">
        <v>46203</v>
      </c>
      <c r="L336" s="90"/>
      <c r="M336" s="87">
        <v>298</v>
      </c>
    </row>
    <row r="337" spans="1:13" ht="25.05" hidden="1" customHeight="1">
      <c r="A337" s="87" t="s">
        <v>37</v>
      </c>
      <c r="B337" s="87" t="s">
        <v>54</v>
      </c>
      <c r="C337" s="87" t="s">
        <v>53</v>
      </c>
      <c r="D337" s="87"/>
      <c r="E337" s="87" t="s">
        <v>379</v>
      </c>
      <c r="F337" s="87"/>
      <c r="G337" s="87" t="s">
        <v>99</v>
      </c>
      <c r="H337" s="87" t="s">
        <v>100</v>
      </c>
      <c r="I337" s="87" t="s">
        <v>377</v>
      </c>
      <c r="J337" s="87" t="s">
        <v>7</v>
      </c>
      <c r="K337" s="90">
        <v>46265</v>
      </c>
      <c r="L337" s="90">
        <v>46261</v>
      </c>
      <c r="M337" s="87">
        <v>299</v>
      </c>
    </row>
    <row r="338" spans="1:13" ht="25.05" hidden="1" customHeight="1">
      <c r="A338" s="87" t="s">
        <v>37</v>
      </c>
      <c r="B338" s="87" t="s">
        <v>54</v>
      </c>
      <c r="C338" s="87" t="s">
        <v>53</v>
      </c>
      <c r="D338" s="87"/>
      <c r="E338" s="87" t="s">
        <v>380</v>
      </c>
      <c r="F338" s="87"/>
      <c r="G338" s="87" t="s">
        <v>99</v>
      </c>
      <c r="H338" s="87" t="s">
        <v>100</v>
      </c>
      <c r="I338" s="87" t="s">
        <v>377</v>
      </c>
      <c r="J338" s="87" t="s">
        <v>3</v>
      </c>
      <c r="K338" s="90">
        <v>46374</v>
      </c>
      <c r="L338" s="90"/>
      <c r="M338" s="87">
        <v>300</v>
      </c>
    </row>
    <row r="339" spans="1:13" ht="25.05" hidden="1" customHeight="1">
      <c r="A339" s="87" t="s">
        <v>37</v>
      </c>
      <c r="B339" s="87" t="s">
        <v>54</v>
      </c>
      <c r="C339" s="87" t="s">
        <v>53</v>
      </c>
      <c r="D339" s="87"/>
      <c r="E339" s="87" t="s">
        <v>381</v>
      </c>
      <c r="F339" s="87"/>
      <c r="G339" s="87" t="s">
        <v>99</v>
      </c>
      <c r="H339" s="87" t="s">
        <v>100</v>
      </c>
      <c r="I339" s="87" t="s">
        <v>377</v>
      </c>
      <c r="J339" s="87" t="s">
        <v>3</v>
      </c>
      <c r="K339" s="90">
        <v>46374</v>
      </c>
      <c r="L339" s="90"/>
      <c r="M339" s="87">
        <v>301</v>
      </c>
    </row>
    <row r="340" spans="1:13" ht="25.05" hidden="1" customHeight="1">
      <c r="A340" s="87" t="s">
        <v>37</v>
      </c>
      <c r="B340" s="87" t="s">
        <v>54</v>
      </c>
      <c r="C340" s="87" t="s">
        <v>53</v>
      </c>
      <c r="D340" s="87"/>
      <c r="E340" s="87" t="s">
        <v>382</v>
      </c>
      <c r="F340" s="87"/>
      <c r="G340" s="87" t="s">
        <v>99</v>
      </c>
      <c r="H340" s="87" t="s">
        <v>100</v>
      </c>
      <c r="I340" s="87" t="s">
        <v>377</v>
      </c>
      <c r="J340" s="87" t="s">
        <v>3</v>
      </c>
      <c r="K340" s="90">
        <v>46374</v>
      </c>
      <c r="L340" s="90"/>
      <c r="M340" s="87">
        <v>302</v>
      </c>
    </row>
    <row r="341" spans="1:13" ht="25.05" hidden="1" customHeight="1">
      <c r="A341" s="87" t="s">
        <v>37</v>
      </c>
      <c r="B341" s="87" t="s">
        <v>54</v>
      </c>
      <c r="C341" s="87" t="s">
        <v>53</v>
      </c>
      <c r="D341" s="87"/>
      <c r="E341" s="87" t="s">
        <v>383</v>
      </c>
      <c r="F341" s="87"/>
      <c r="G341" s="87" t="s">
        <v>99</v>
      </c>
      <c r="H341" s="87" t="s">
        <v>100</v>
      </c>
      <c r="I341" s="87" t="s">
        <v>377</v>
      </c>
      <c r="J341" s="87" t="s">
        <v>3</v>
      </c>
      <c r="K341" s="90">
        <v>46374</v>
      </c>
      <c r="L341" s="90"/>
      <c r="M341" s="87">
        <v>303</v>
      </c>
    </row>
    <row r="342" spans="1:13" ht="25.05" hidden="1" customHeight="1">
      <c r="A342" s="87" t="s">
        <v>37</v>
      </c>
      <c r="B342" s="87" t="s">
        <v>54</v>
      </c>
      <c r="C342" s="87" t="s">
        <v>53</v>
      </c>
      <c r="D342" s="87"/>
      <c r="E342" s="87" t="s">
        <v>384</v>
      </c>
      <c r="F342" s="87"/>
      <c r="G342" s="87" t="s">
        <v>99</v>
      </c>
      <c r="H342" s="87" t="s">
        <v>100</v>
      </c>
      <c r="I342" s="87" t="s">
        <v>377</v>
      </c>
      <c r="J342" s="87" t="s">
        <v>6</v>
      </c>
      <c r="K342" s="90">
        <v>46374</v>
      </c>
      <c r="L342" s="90"/>
      <c r="M342" s="87">
        <v>304</v>
      </c>
    </row>
    <row r="343" spans="1:13" ht="25.05" hidden="1" customHeight="1">
      <c r="A343" s="87" t="s">
        <v>37</v>
      </c>
      <c r="B343" s="87" t="s">
        <v>54</v>
      </c>
      <c r="C343" s="87" t="s">
        <v>53</v>
      </c>
      <c r="D343" s="87"/>
      <c r="E343" s="87" t="s">
        <v>416</v>
      </c>
      <c r="F343" s="87"/>
      <c r="G343" s="87" t="s">
        <v>99</v>
      </c>
      <c r="H343" s="87" t="s">
        <v>100</v>
      </c>
      <c r="I343" s="87" t="s">
        <v>377</v>
      </c>
      <c r="J343" s="87" t="s">
        <v>2</v>
      </c>
      <c r="K343" s="90">
        <v>46395</v>
      </c>
      <c r="L343" s="90"/>
      <c r="M343" s="87">
        <v>305</v>
      </c>
    </row>
    <row r="344" spans="1:13" ht="25.05" hidden="1" customHeight="1">
      <c r="A344" s="87" t="s">
        <v>45</v>
      </c>
      <c r="B344" s="87" t="s">
        <v>86</v>
      </c>
      <c r="C344" s="87" t="s">
        <v>84</v>
      </c>
      <c r="D344" s="87" t="s">
        <v>385</v>
      </c>
      <c r="E344" s="87" t="s">
        <v>386</v>
      </c>
      <c r="F344" s="87"/>
      <c r="G344" s="87" t="s">
        <v>99</v>
      </c>
      <c r="H344" s="87" t="s">
        <v>100</v>
      </c>
      <c r="I344" s="87" t="s">
        <v>125</v>
      </c>
      <c r="J344" s="87" t="s">
        <v>3</v>
      </c>
      <c r="K344" s="90">
        <v>46352</v>
      </c>
      <c r="L344" s="90"/>
      <c r="M344" s="87">
        <v>308</v>
      </c>
    </row>
    <row r="345" spans="1:13" ht="25.05" hidden="1" customHeight="1">
      <c r="A345" s="2" t="s">
        <v>45</v>
      </c>
      <c r="B345" s="2" t="s">
        <v>86</v>
      </c>
      <c r="C345" s="2" t="s">
        <v>84</v>
      </c>
      <c r="D345" s="2"/>
      <c r="E345" s="2" t="s">
        <v>181</v>
      </c>
      <c r="F345" s="2"/>
      <c r="G345" s="2" t="s">
        <v>117</v>
      </c>
      <c r="H345" s="2" t="s">
        <v>100</v>
      </c>
      <c r="I345" s="2" t="s">
        <v>125</v>
      </c>
      <c r="J345" s="2" t="s">
        <v>6</v>
      </c>
      <c r="K345" s="4"/>
      <c r="L345" s="4"/>
      <c r="M345" s="2">
        <v>309</v>
      </c>
    </row>
    <row r="346" spans="1:13" ht="25.05" hidden="1" customHeight="1">
      <c r="A346" s="2" t="s">
        <v>45</v>
      </c>
      <c r="B346" s="2" t="s">
        <v>86</v>
      </c>
      <c r="C346" s="2" t="s">
        <v>84</v>
      </c>
      <c r="D346" s="2"/>
      <c r="E346" s="2" t="s">
        <v>387</v>
      </c>
      <c r="F346" s="2"/>
      <c r="G346" s="2" t="s">
        <v>117</v>
      </c>
      <c r="H346" s="2" t="s">
        <v>100</v>
      </c>
      <c r="I346" s="2" t="s">
        <v>125</v>
      </c>
      <c r="J346" s="2" t="s">
        <v>3</v>
      </c>
      <c r="K346" s="4">
        <v>46288</v>
      </c>
      <c r="L346" s="4"/>
      <c r="M346" s="2">
        <v>310</v>
      </c>
    </row>
    <row r="347" spans="1:13" ht="25.05" hidden="1" customHeight="1">
      <c r="A347" s="2" t="s">
        <v>45</v>
      </c>
      <c r="B347" s="2" t="s">
        <v>86</v>
      </c>
      <c r="C347" s="2" t="s">
        <v>84</v>
      </c>
      <c r="D347" s="2"/>
      <c r="E347" s="2" t="s">
        <v>4</v>
      </c>
      <c r="F347" s="2"/>
      <c r="G347" s="2" t="s">
        <v>117</v>
      </c>
      <c r="H347" s="2" t="s">
        <v>100</v>
      </c>
      <c r="I347" s="2" t="s">
        <v>125</v>
      </c>
      <c r="J347" s="2" t="s">
        <v>2</v>
      </c>
      <c r="K347" s="4">
        <v>46302</v>
      </c>
      <c r="L347" s="4"/>
      <c r="M347" s="2">
        <v>311</v>
      </c>
    </row>
    <row r="348" spans="1:13" ht="25.05" hidden="1" customHeight="1">
      <c r="A348" s="87" t="s">
        <v>45</v>
      </c>
      <c r="B348" s="87" t="s">
        <v>86</v>
      </c>
      <c r="C348" s="87" t="s">
        <v>84</v>
      </c>
      <c r="D348" s="87"/>
      <c r="E348" s="87" t="s">
        <v>388</v>
      </c>
      <c r="F348" s="87"/>
      <c r="G348" s="87" t="s">
        <v>99</v>
      </c>
      <c r="H348" s="87" t="s">
        <v>100</v>
      </c>
      <c r="I348" s="87" t="s">
        <v>125</v>
      </c>
      <c r="J348" s="87" t="s">
        <v>6</v>
      </c>
      <c r="K348" s="90"/>
      <c r="L348" s="90"/>
      <c r="M348" s="87">
        <v>312</v>
      </c>
    </row>
    <row r="349" spans="1:13" ht="25.05" hidden="1" customHeight="1">
      <c r="A349" s="2"/>
      <c r="B349" s="2"/>
      <c r="C349" s="2"/>
      <c r="D349" s="2"/>
      <c r="E349" s="2"/>
      <c r="F349" s="2"/>
      <c r="G349" s="2"/>
      <c r="H349" s="2"/>
      <c r="I349" s="2"/>
      <c r="J349" s="2" t="s">
        <v>2</v>
      </c>
      <c r="K349" s="4"/>
      <c r="L349" s="4"/>
      <c r="M349" s="2"/>
    </row>
    <row r="350" spans="1:13" ht="25.05" hidden="1" customHeight="1">
      <c r="A350" s="2"/>
      <c r="B350" s="2"/>
      <c r="C350" s="2"/>
      <c r="D350" s="2"/>
      <c r="E350" s="2"/>
      <c r="F350" s="2"/>
      <c r="G350" s="2"/>
      <c r="H350" s="2"/>
      <c r="I350" s="2"/>
      <c r="J350" s="2" t="s">
        <v>2</v>
      </c>
      <c r="K350" s="4"/>
      <c r="L350" s="4"/>
      <c r="M350" s="2"/>
    </row>
    <row r="351" spans="1:13" ht="25.05" hidden="1" customHeight="1">
      <c r="A351" s="2"/>
      <c r="B351" s="2"/>
      <c r="C351" s="2"/>
      <c r="D351" s="2"/>
      <c r="E351" s="2"/>
      <c r="F351" s="2"/>
      <c r="G351" s="2"/>
      <c r="H351" s="2"/>
      <c r="I351" s="2"/>
      <c r="J351" s="2" t="s">
        <v>2</v>
      </c>
      <c r="K351" s="4"/>
      <c r="L351" s="4"/>
      <c r="M351" s="2"/>
    </row>
    <row r="352" spans="1:13" ht="25.05" hidden="1" customHeight="1">
      <c r="A352" s="2"/>
      <c r="B352" s="2"/>
      <c r="C352" s="2"/>
      <c r="D352" s="2"/>
      <c r="E352" s="2"/>
      <c r="F352" s="2"/>
      <c r="G352" s="2"/>
      <c r="H352" s="2"/>
      <c r="I352" s="2"/>
      <c r="J352" s="2" t="s">
        <v>2</v>
      </c>
      <c r="K352" s="4"/>
      <c r="L352" s="4"/>
      <c r="M352" s="2"/>
    </row>
    <row r="353" spans="1:13" ht="25.05" hidden="1" customHeight="1">
      <c r="A353" s="2"/>
      <c r="B353" s="2"/>
      <c r="C353" s="2"/>
      <c r="D353" s="2"/>
      <c r="E353" s="2"/>
      <c r="F353" s="2"/>
      <c r="G353" s="2"/>
      <c r="H353" s="2"/>
      <c r="I353" s="2"/>
      <c r="J353" s="2" t="s">
        <v>2</v>
      </c>
      <c r="K353" s="4"/>
      <c r="L353" s="4"/>
      <c r="M353" s="2"/>
    </row>
    <row r="354" spans="1:13" ht="25.05" hidden="1" customHeight="1">
      <c r="A354" s="2"/>
      <c r="B354" s="2"/>
      <c r="C354" s="2"/>
      <c r="D354" s="2"/>
      <c r="E354" s="2"/>
      <c r="F354" s="2"/>
      <c r="G354" s="2"/>
      <c r="H354" s="2"/>
      <c r="I354" s="2"/>
      <c r="J354" s="2" t="s">
        <v>2</v>
      </c>
      <c r="K354" s="4"/>
      <c r="L354" s="4"/>
      <c r="M354" s="2"/>
    </row>
    <row r="355" spans="1:13" ht="25.05" hidden="1" customHeight="1">
      <c r="A355" s="2"/>
      <c r="B355" s="2"/>
      <c r="C355" s="2"/>
      <c r="D355" s="2"/>
      <c r="E355" s="2"/>
      <c r="F355" s="2"/>
      <c r="G355" s="2"/>
      <c r="H355" s="2"/>
      <c r="I355" s="2"/>
      <c r="J355" s="2" t="s">
        <v>2</v>
      </c>
      <c r="K355" s="4"/>
      <c r="L355" s="4"/>
      <c r="M355" s="2"/>
    </row>
    <row r="356" spans="1:13" ht="25.05" hidden="1" customHeight="1">
      <c r="A356" s="2"/>
      <c r="B356" s="2"/>
      <c r="C356" s="2"/>
      <c r="D356" s="2"/>
      <c r="E356" s="2"/>
      <c r="F356" s="2"/>
      <c r="G356" s="2"/>
      <c r="H356" s="2"/>
      <c r="I356" s="2"/>
      <c r="J356" s="2" t="s">
        <v>2</v>
      </c>
      <c r="K356" s="4"/>
      <c r="L356" s="4"/>
      <c r="M356" s="2"/>
    </row>
    <row r="357" spans="1:13" ht="25.05" hidden="1" customHeight="1">
      <c r="A357" s="2"/>
      <c r="B357" s="2"/>
      <c r="C357" s="2"/>
      <c r="D357" s="2"/>
      <c r="E357" s="2"/>
      <c r="F357" s="2"/>
      <c r="G357" s="2"/>
      <c r="H357" s="2"/>
      <c r="I357" s="2"/>
      <c r="J357" s="2" t="s">
        <v>2</v>
      </c>
      <c r="K357" s="4"/>
      <c r="L357" s="4"/>
      <c r="M357" s="2"/>
    </row>
    <row r="358" spans="1:13" ht="25.05" hidden="1" customHeight="1">
      <c r="A358" s="2"/>
      <c r="B358" s="2"/>
      <c r="C358" s="2"/>
      <c r="D358" s="2"/>
      <c r="E358" s="2"/>
      <c r="F358" s="2"/>
      <c r="G358" s="2"/>
      <c r="H358" s="2"/>
      <c r="I358" s="2"/>
      <c r="J358" s="2" t="s">
        <v>2</v>
      </c>
      <c r="K358" s="4"/>
      <c r="L358" s="4"/>
      <c r="M358" s="2"/>
    </row>
    <row r="359" spans="1:13" ht="25.05" hidden="1" customHeight="1">
      <c r="A359" s="2"/>
      <c r="B359" s="2"/>
      <c r="C359" s="2"/>
      <c r="D359" s="2"/>
      <c r="E359" s="2"/>
      <c r="F359" s="2"/>
      <c r="G359" s="2"/>
      <c r="H359" s="2"/>
      <c r="I359" s="2"/>
      <c r="J359" s="2" t="s">
        <v>2</v>
      </c>
      <c r="K359" s="4"/>
      <c r="L359" s="4"/>
      <c r="M359" s="2"/>
    </row>
    <row r="360" spans="1:13" ht="25.05" hidden="1" customHeight="1">
      <c r="A360" s="2"/>
      <c r="B360" s="2"/>
      <c r="C360" s="2"/>
      <c r="D360" s="2"/>
      <c r="E360" s="2"/>
      <c r="F360" s="2"/>
      <c r="G360" s="2"/>
      <c r="H360" s="2"/>
      <c r="I360" s="2"/>
      <c r="J360" s="2" t="s">
        <v>2</v>
      </c>
      <c r="K360" s="4"/>
      <c r="L360" s="4"/>
      <c r="M360" s="2"/>
    </row>
    <row r="361" spans="1:13" ht="25.05" hidden="1" customHeight="1">
      <c r="A361" s="2"/>
      <c r="B361" s="2"/>
      <c r="C361" s="2"/>
      <c r="D361" s="2"/>
      <c r="E361" s="2"/>
      <c r="F361" s="2"/>
      <c r="G361" s="2"/>
      <c r="H361" s="2"/>
      <c r="I361" s="2"/>
      <c r="J361" s="2" t="s">
        <v>2</v>
      </c>
      <c r="K361" s="4"/>
      <c r="L361" s="4"/>
      <c r="M361" s="2"/>
    </row>
    <row r="362" spans="1:13" ht="25.05" hidden="1" customHeight="1">
      <c r="A362" s="2"/>
      <c r="B362" s="2"/>
      <c r="C362" s="2"/>
      <c r="D362" s="2"/>
      <c r="E362" s="2"/>
      <c r="F362" s="2"/>
      <c r="G362" s="2"/>
      <c r="H362" s="2"/>
      <c r="I362" s="2"/>
      <c r="J362" s="2" t="s">
        <v>2</v>
      </c>
      <c r="K362" s="4"/>
      <c r="L362" s="4"/>
      <c r="M362" s="2"/>
    </row>
    <row r="363" spans="1:13" ht="25.05" hidden="1" customHeight="1">
      <c r="A363" s="2"/>
      <c r="B363" s="2"/>
      <c r="C363" s="2"/>
      <c r="D363" s="2"/>
      <c r="E363" s="2"/>
      <c r="F363" s="2"/>
      <c r="G363" s="2"/>
      <c r="H363" s="2"/>
      <c r="I363" s="2"/>
      <c r="J363" s="2" t="s">
        <v>2</v>
      </c>
      <c r="K363" s="4"/>
      <c r="L363" s="4"/>
      <c r="M363" s="2"/>
    </row>
    <row r="364" spans="1:13" ht="25.05" hidden="1" customHeight="1">
      <c r="A364" s="2"/>
      <c r="B364" s="2"/>
      <c r="C364" s="2"/>
      <c r="D364" s="2"/>
      <c r="E364" s="2"/>
      <c r="F364" s="2"/>
      <c r="G364" s="2"/>
      <c r="H364" s="2"/>
      <c r="I364" s="2"/>
      <c r="J364" s="2" t="s">
        <v>2</v>
      </c>
      <c r="K364" s="4"/>
      <c r="L364" s="4"/>
      <c r="M364" s="2"/>
    </row>
    <row r="365" spans="1:13" ht="25.05" hidden="1" customHeight="1">
      <c r="A365" s="2"/>
      <c r="B365" s="2"/>
      <c r="C365" s="2"/>
      <c r="D365" s="2"/>
      <c r="E365" s="2"/>
      <c r="F365" s="2"/>
      <c r="G365" s="2"/>
      <c r="H365" s="2"/>
      <c r="I365" s="2"/>
      <c r="J365" s="2" t="s">
        <v>2</v>
      </c>
      <c r="K365" s="4"/>
      <c r="L365" s="4"/>
      <c r="M365" s="2"/>
    </row>
    <row r="366" spans="1:13" ht="25.05" hidden="1" customHeight="1">
      <c r="A366" s="2"/>
      <c r="B366" s="2"/>
      <c r="C366" s="2"/>
      <c r="D366" s="2"/>
      <c r="E366" s="2"/>
      <c r="F366" s="2"/>
      <c r="G366" s="2"/>
      <c r="H366" s="2"/>
      <c r="I366" s="2"/>
      <c r="J366" s="2" t="s">
        <v>2</v>
      </c>
      <c r="K366" s="4"/>
      <c r="L366" s="4"/>
      <c r="M366" s="2"/>
    </row>
    <row r="367" spans="1:13" ht="25.05" hidden="1" customHeight="1">
      <c r="A367" s="2"/>
      <c r="B367" s="2"/>
      <c r="C367" s="2"/>
      <c r="D367" s="2"/>
      <c r="E367" s="2"/>
      <c r="F367" s="2"/>
      <c r="G367" s="2"/>
      <c r="H367" s="2"/>
      <c r="I367" s="2"/>
      <c r="J367" s="2" t="s">
        <v>2</v>
      </c>
      <c r="K367" s="4"/>
      <c r="L367" s="4"/>
      <c r="M367" s="2"/>
    </row>
    <row r="368" spans="1:13" ht="25.05" hidden="1" customHeight="1">
      <c r="A368" s="2"/>
      <c r="B368" s="2"/>
      <c r="C368" s="2"/>
      <c r="D368" s="2"/>
      <c r="E368" s="2"/>
      <c r="F368" s="2"/>
      <c r="G368" s="2"/>
      <c r="H368" s="2"/>
      <c r="I368" s="2"/>
      <c r="J368" s="2" t="s">
        <v>2</v>
      </c>
      <c r="K368" s="4"/>
      <c r="L368" s="4"/>
      <c r="M368" s="2"/>
    </row>
    <row r="369" spans="1:13" ht="25.05" hidden="1" customHeight="1">
      <c r="A369" s="2"/>
      <c r="B369" s="2"/>
      <c r="C369" s="2"/>
      <c r="D369" s="2"/>
      <c r="E369" s="2"/>
      <c r="F369" s="2"/>
      <c r="G369" s="2"/>
      <c r="H369" s="2"/>
      <c r="I369" s="2"/>
      <c r="J369" s="2" t="s">
        <v>2</v>
      </c>
      <c r="K369" s="4"/>
      <c r="L369" s="4"/>
      <c r="M369" s="2"/>
    </row>
    <row r="370" spans="1:13" ht="25.05" hidden="1" customHeight="1">
      <c r="A370" s="2"/>
      <c r="B370" s="2"/>
      <c r="C370" s="2"/>
      <c r="D370" s="2"/>
      <c r="E370" s="2"/>
      <c r="F370" s="2"/>
      <c r="G370" s="2"/>
      <c r="H370" s="2"/>
      <c r="I370" s="2"/>
      <c r="J370" s="2" t="s">
        <v>2</v>
      </c>
      <c r="K370" s="4"/>
      <c r="L370" s="4"/>
      <c r="M370" s="2"/>
    </row>
    <row r="371" spans="1:13" ht="25.05" hidden="1" customHeight="1">
      <c r="A371" s="2"/>
      <c r="B371" s="2"/>
      <c r="C371" s="2"/>
      <c r="D371" s="2"/>
      <c r="E371" s="2"/>
      <c r="F371" s="2"/>
      <c r="G371" s="2"/>
      <c r="H371" s="2"/>
      <c r="I371" s="2"/>
      <c r="J371" s="2" t="s">
        <v>2</v>
      </c>
      <c r="K371" s="4"/>
      <c r="L371" s="4"/>
      <c r="M371" s="2"/>
    </row>
    <row r="372" spans="1:13" ht="25.05" hidden="1" customHeight="1">
      <c r="A372" s="2"/>
      <c r="B372" s="2"/>
      <c r="C372" s="2"/>
      <c r="D372" s="2"/>
      <c r="E372" s="2"/>
      <c r="F372" s="2"/>
      <c r="G372" s="2"/>
      <c r="H372" s="2"/>
      <c r="I372" s="2"/>
      <c r="J372" s="2" t="s">
        <v>2</v>
      </c>
      <c r="K372" s="4"/>
      <c r="L372" s="4"/>
      <c r="M372" s="2"/>
    </row>
    <row r="373" spans="1:13" ht="25.05" hidden="1" customHeight="1">
      <c r="A373" s="2"/>
      <c r="B373" s="2"/>
      <c r="C373" s="2"/>
      <c r="D373" s="2"/>
      <c r="E373" s="2"/>
      <c r="F373" s="2"/>
      <c r="G373" s="2"/>
      <c r="H373" s="2"/>
      <c r="I373" s="2"/>
      <c r="J373" s="2" t="s">
        <v>2</v>
      </c>
      <c r="K373" s="4"/>
      <c r="L373" s="4"/>
      <c r="M373" s="2"/>
    </row>
    <row r="374" spans="1:13" ht="25.05" hidden="1" customHeight="1">
      <c r="A374" s="2"/>
      <c r="B374" s="2"/>
      <c r="C374" s="2"/>
      <c r="D374" s="2"/>
      <c r="E374" s="2"/>
      <c r="F374" s="2"/>
      <c r="G374" s="2"/>
      <c r="H374" s="2"/>
      <c r="I374" s="2"/>
      <c r="J374" s="2" t="s">
        <v>2</v>
      </c>
      <c r="K374" s="4"/>
      <c r="L374" s="4"/>
      <c r="M374" s="2"/>
    </row>
    <row r="375" spans="1:13" ht="25.05" hidden="1" customHeight="1">
      <c r="A375" s="2"/>
      <c r="B375" s="2"/>
      <c r="C375" s="2"/>
      <c r="D375" s="2"/>
      <c r="E375" s="2"/>
      <c r="F375" s="2"/>
      <c r="G375" s="2"/>
      <c r="H375" s="2"/>
      <c r="I375" s="2"/>
      <c r="J375" s="2" t="s">
        <v>2</v>
      </c>
      <c r="K375" s="4"/>
      <c r="L375" s="4"/>
      <c r="M375" s="2"/>
    </row>
    <row r="376" spans="1:13" ht="25.05" hidden="1" customHeight="1">
      <c r="A376" s="2"/>
      <c r="B376" s="2"/>
      <c r="C376" s="2"/>
      <c r="D376" s="2"/>
      <c r="E376" s="2"/>
      <c r="F376" s="2"/>
      <c r="G376" s="2"/>
      <c r="H376" s="2"/>
      <c r="I376" s="2"/>
      <c r="J376" s="2" t="s">
        <v>2</v>
      </c>
      <c r="K376" s="4"/>
      <c r="L376" s="4"/>
      <c r="M376" s="2"/>
    </row>
    <row r="377" spans="1:13" ht="25.05" hidden="1" customHeight="1">
      <c r="A377" s="2"/>
      <c r="B377" s="2"/>
      <c r="C377" s="2"/>
      <c r="D377" s="2"/>
      <c r="E377" s="2"/>
      <c r="F377" s="2"/>
      <c r="G377" s="2"/>
      <c r="H377" s="2"/>
      <c r="I377" s="2"/>
      <c r="J377" s="2" t="s">
        <v>2</v>
      </c>
      <c r="K377" s="4"/>
      <c r="L377" s="4"/>
      <c r="M377" s="2"/>
    </row>
    <row r="378" spans="1:13" ht="25.05" hidden="1" customHeight="1">
      <c r="A378" s="2"/>
      <c r="B378" s="2"/>
      <c r="C378" s="2"/>
      <c r="D378" s="2"/>
      <c r="E378" s="2"/>
      <c r="F378" s="2"/>
      <c r="G378" s="2"/>
      <c r="H378" s="2"/>
      <c r="I378" s="2"/>
      <c r="J378" s="2" t="s">
        <v>2</v>
      </c>
      <c r="K378" s="4"/>
      <c r="L378" s="4"/>
      <c r="M378" s="2"/>
    </row>
    <row r="379" spans="1:13" ht="25.05" hidden="1" customHeight="1">
      <c r="A379" s="2"/>
      <c r="B379" s="2"/>
      <c r="C379" s="2"/>
      <c r="D379" s="2"/>
      <c r="E379" s="2"/>
      <c r="F379" s="2"/>
      <c r="G379" s="2"/>
      <c r="H379" s="2"/>
      <c r="I379" s="2"/>
      <c r="J379" s="2" t="s">
        <v>2</v>
      </c>
      <c r="K379" s="4"/>
      <c r="L379" s="4"/>
      <c r="M379" s="2"/>
    </row>
    <row r="380" spans="1:13" ht="25.05" hidden="1" customHeight="1">
      <c r="A380" s="2"/>
      <c r="B380" s="2"/>
      <c r="C380" s="2"/>
      <c r="D380" s="2"/>
      <c r="E380" s="2"/>
      <c r="F380" s="2"/>
      <c r="G380" s="2"/>
      <c r="H380" s="2"/>
      <c r="I380" s="2"/>
      <c r="J380" s="2" t="s">
        <v>2</v>
      </c>
      <c r="K380" s="4"/>
      <c r="L380" s="4"/>
      <c r="M380" s="2"/>
    </row>
    <row r="381" spans="1:13" ht="25.05" hidden="1" customHeight="1">
      <c r="A381" s="2"/>
      <c r="B381" s="2"/>
      <c r="C381" s="2"/>
      <c r="D381" s="2"/>
      <c r="E381" s="2"/>
      <c r="F381" s="2"/>
      <c r="G381" s="2"/>
      <c r="H381" s="2"/>
      <c r="I381" s="2"/>
      <c r="J381" s="2" t="s">
        <v>2</v>
      </c>
      <c r="K381" s="4"/>
      <c r="L381" s="4"/>
      <c r="M381" s="2"/>
    </row>
    <row r="382" spans="1:13" ht="25.05" hidden="1" customHeight="1">
      <c r="A382" s="2"/>
      <c r="B382" s="2"/>
      <c r="C382" s="2"/>
      <c r="D382" s="2"/>
      <c r="E382" s="2"/>
      <c r="F382" s="2"/>
      <c r="G382" s="2"/>
      <c r="H382" s="2"/>
      <c r="I382" s="2"/>
      <c r="J382" s="2" t="s">
        <v>2</v>
      </c>
      <c r="K382" s="4"/>
      <c r="L382" s="4"/>
      <c r="M382" s="2"/>
    </row>
    <row r="383" spans="1:13" ht="25.05" hidden="1" customHeight="1">
      <c r="A383" s="2"/>
      <c r="B383" s="2"/>
      <c r="C383" s="2"/>
      <c r="D383" s="2"/>
      <c r="E383" s="2"/>
      <c r="F383" s="2"/>
      <c r="G383" s="2"/>
      <c r="H383" s="2"/>
      <c r="I383" s="2"/>
      <c r="J383" s="2" t="s">
        <v>2</v>
      </c>
      <c r="K383" s="4"/>
      <c r="L383" s="4"/>
      <c r="M383" s="2"/>
    </row>
    <row r="384" spans="1:13" ht="25.05" hidden="1" customHeight="1">
      <c r="A384" s="2"/>
      <c r="B384" s="2"/>
      <c r="C384" s="2"/>
      <c r="D384" s="2"/>
      <c r="E384" s="2"/>
      <c r="F384" s="2"/>
      <c r="G384" s="2"/>
      <c r="H384" s="2"/>
      <c r="I384" s="2"/>
      <c r="J384" s="2" t="s">
        <v>2</v>
      </c>
      <c r="K384" s="4"/>
      <c r="L384" s="4"/>
      <c r="M384" s="2"/>
    </row>
    <row r="385" spans="1:13" ht="25.05" hidden="1" customHeight="1">
      <c r="A385" s="2"/>
      <c r="B385" s="2"/>
      <c r="C385" s="2"/>
      <c r="D385" s="2"/>
      <c r="E385" s="2"/>
      <c r="F385" s="2"/>
      <c r="G385" s="2"/>
      <c r="H385" s="2"/>
      <c r="I385" s="2"/>
      <c r="J385" s="2" t="s">
        <v>2</v>
      </c>
      <c r="K385" s="4"/>
      <c r="L385" s="4"/>
      <c r="M385" s="2"/>
    </row>
    <row r="386" spans="1:13" ht="25.05" hidden="1" customHeight="1">
      <c r="A386" s="2"/>
      <c r="B386" s="2"/>
      <c r="C386" s="2"/>
      <c r="D386" s="2"/>
      <c r="E386" s="2"/>
      <c r="F386" s="2"/>
      <c r="G386" s="2"/>
      <c r="H386" s="2"/>
      <c r="I386" s="2"/>
      <c r="J386" s="2" t="s">
        <v>2</v>
      </c>
      <c r="K386" s="4"/>
      <c r="L386" s="4"/>
      <c r="M386" s="2"/>
    </row>
    <row r="387" spans="1:13" ht="25.05" hidden="1" customHeight="1">
      <c r="A387" s="2"/>
      <c r="B387" s="2"/>
      <c r="C387" s="2"/>
      <c r="D387" s="2"/>
      <c r="E387" s="2"/>
      <c r="F387" s="2"/>
      <c r="G387" s="2"/>
      <c r="H387" s="2"/>
      <c r="I387" s="2"/>
      <c r="J387" s="2" t="s">
        <v>2</v>
      </c>
      <c r="K387" s="4"/>
      <c r="L387" s="4"/>
      <c r="M387" s="2"/>
    </row>
    <row r="388" spans="1:13" ht="25.05" hidden="1" customHeight="1">
      <c r="A388" s="2"/>
      <c r="B388" s="2"/>
      <c r="C388" s="2"/>
      <c r="D388" s="2"/>
      <c r="E388" s="2"/>
      <c r="F388" s="2"/>
      <c r="G388" s="2"/>
      <c r="H388" s="2"/>
      <c r="I388" s="2"/>
      <c r="J388" s="2" t="s">
        <v>2</v>
      </c>
      <c r="K388" s="4"/>
      <c r="L388" s="4"/>
      <c r="M388" s="2"/>
    </row>
    <row r="389" spans="1:13" ht="25.05" hidden="1" customHeight="1">
      <c r="A389" s="2"/>
      <c r="B389" s="2"/>
      <c r="C389" s="2"/>
      <c r="D389" s="2"/>
      <c r="E389" s="2"/>
      <c r="F389" s="2"/>
      <c r="G389" s="2"/>
      <c r="H389" s="2"/>
      <c r="I389" s="2"/>
      <c r="J389" s="2" t="s">
        <v>2</v>
      </c>
      <c r="K389" s="4"/>
      <c r="L389" s="4"/>
      <c r="M389" s="2"/>
    </row>
    <row r="390" spans="1:13" ht="25.05" hidden="1" customHeight="1">
      <c r="A390" s="2"/>
      <c r="B390" s="2"/>
      <c r="C390" s="2"/>
      <c r="D390" s="2"/>
      <c r="E390" s="2"/>
      <c r="F390" s="2"/>
      <c r="G390" s="2"/>
      <c r="H390" s="2"/>
      <c r="I390" s="2"/>
      <c r="J390" s="2" t="s">
        <v>2</v>
      </c>
      <c r="K390" s="4"/>
      <c r="L390" s="4"/>
      <c r="M390" s="2"/>
    </row>
    <row r="391" spans="1:13" ht="25.05" hidden="1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4"/>
      <c r="L391" s="4"/>
      <c r="M391" s="2"/>
    </row>
    <row r="392" spans="1:13" ht="25.05" hidden="1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4"/>
      <c r="L392" s="4"/>
      <c r="M392" s="2"/>
    </row>
    <row r="393" spans="1:13" ht="25.05" hidden="1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4"/>
      <c r="L393" s="4"/>
      <c r="M393" s="2"/>
    </row>
    <row r="394" spans="1:13" ht="25.05" hidden="1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4"/>
      <c r="L394" s="4"/>
      <c r="M394" s="2"/>
    </row>
    <row r="395" spans="1:13" ht="25.0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5"/>
      <c r="L395" s="5"/>
      <c r="M395" s="3"/>
    </row>
  </sheetData>
  <conditionalFormatting sqref="G2:G395">
    <cfRule type="containsText" dxfId="5" priority="6" operator="containsText" text="Macro"/>
  </conditionalFormatting>
  <conditionalFormatting sqref="J2:J395">
    <cfRule type="containsText" dxfId="4" priority="1" operator="containsText" text="Finalizado"/>
    <cfRule type="containsText" dxfId="3" priority="2" operator="containsText" text="Em andamento"/>
    <cfRule type="containsText" dxfId="2" priority="3" operator="containsText" text="Não iniciado"/>
    <cfRule type="containsText" dxfId="1" priority="4" operator="containsText" text="Bloqueado"/>
    <cfRule type="containsText" dxfId="0" priority="5" operator="containsText" text="Cancelado"/>
  </conditionalFormatting>
  <dataValidations count="1">
    <dataValidation type="list" sqref="J2:J554" xr:uid="{00000000-0002-0000-0400-000000000000}">
      <formula1>"Não iniciado,Em andamento,Testes QA,Bloqueado,Cancelado,Finalizado"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7D22-C446-450D-ACFA-22BEBF0D50E8}">
  <sheetPr>
    <tabColor rgb="FF3E9C5D"/>
  </sheetPr>
  <dimension ref="A1:N54"/>
  <sheetViews>
    <sheetView showGridLines="0" showRowColHeaders="0" tabSelected="1" topLeftCell="E1" zoomScale="85" zoomScaleNormal="85" workbookViewId="0">
      <selection activeCell="J20" sqref="J20"/>
    </sheetView>
  </sheetViews>
  <sheetFormatPr defaultRowHeight="13.8"/>
  <cols>
    <col min="1" max="1" width="4" customWidth="1"/>
    <col min="2" max="2" width="28" customWidth="1"/>
    <col min="3" max="4" width="14.19921875" customWidth="1"/>
    <col min="5" max="5" width="16.19921875" customWidth="1"/>
    <col min="6" max="6" width="18.19921875" customWidth="1"/>
    <col min="7" max="7" width="19.5" customWidth="1"/>
    <col min="8" max="8" width="16.5" customWidth="1"/>
    <col min="9" max="9" width="19.5" customWidth="1"/>
    <col min="10" max="10" width="18.296875" customWidth="1"/>
    <col min="11" max="11" width="16.796875" customWidth="1"/>
    <col min="12" max="12" width="20.69921875" customWidth="1"/>
    <col min="13" max="14" width="17.796875" hidden="1" customWidth="1"/>
  </cols>
  <sheetData>
    <row r="1" spans="1:14" ht="22.95" customHeight="1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96"/>
      <c r="N1" s="96"/>
    </row>
    <row r="2" spans="1:14" ht="37.049999999999997" customHeight="1">
      <c r="A2" s="122"/>
      <c r="B2" s="123" t="s">
        <v>445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96"/>
      <c r="N2" s="96"/>
    </row>
    <row r="3" spans="1:14" ht="30" customHeight="1">
      <c r="A3" s="122"/>
      <c r="B3" s="124" t="s">
        <v>419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96"/>
      <c r="N3" s="96"/>
    </row>
    <row r="4" spans="1:14" ht="31.05" customHeight="1">
      <c r="A4" s="122"/>
      <c r="B4" s="125" t="s">
        <v>462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96"/>
      <c r="N4" s="96"/>
    </row>
    <row r="5" spans="1:14" ht="22.95" customHeight="1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96"/>
      <c r="N5" s="96"/>
    </row>
    <row r="6" spans="1:14" ht="16.95" customHeight="1">
      <c r="A6" s="122"/>
      <c r="B6" s="126" t="s">
        <v>420</v>
      </c>
      <c r="C6" s="122"/>
      <c r="D6" s="122"/>
      <c r="E6" s="122"/>
      <c r="F6" s="126" t="s">
        <v>421</v>
      </c>
      <c r="G6" s="122"/>
      <c r="H6" s="122"/>
      <c r="I6" s="122"/>
      <c r="J6" s="126" t="s">
        <v>422</v>
      </c>
      <c r="K6" s="122"/>
      <c r="L6" s="122"/>
      <c r="M6" s="96"/>
      <c r="N6" s="96"/>
    </row>
    <row r="7" spans="1:14" ht="25.95" customHeight="1">
      <c r="A7" s="122"/>
      <c r="B7" s="127">
        <f>'Painel Executivo Micro'!K8</f>
        <v>0.54418604651162794</v>
      </c>
      <c r="C7" s="122"/>
      <c r="D7" s="122"/>
      <c r="E7" s="122"/>
      <c r="F7" s="127">
        <f ca="1">G44</f>
        <v>0.53488372093023251</v>
      </c>
      <c r="G7" s="122"/>
      <c r="H7" s="122"/>
      <c r="I7" s="122"/>
      <c r="J7" s="127">
        <f>D45</f>
        <v>46325</v>
      </c>
      <c r="K7" s="122"/>
      <c r="L7" s="122"/>
      <c r="M7" s="96"/>
      <c r="N7" s="96"/>
    </row>
    <row r="8" spans="1:14" ht="18" customHeight="1">
      <c r="A8" s="122"/>
      <c r="B8" s="128" t="str">
        <f>'Painel Executivo Micro'!K7&amp;" finalizadas / "&amp;L46&amp;" ativas"</f>
        <v>117 finalizadas / 215 ativas</v>
      </c>
      <c r="C8" s="122"/>
      <c r="D8" s="122"/>
      <c r="E8" s="122"/>
      <c r="F8" s="128" t="str">
        <f>B44&amp;"/26 • reconstruído"</f>
        <v>19/10 – 23/10/26 • reconstruído</v>
      </c>
      <c r="G8" s="122"/>
      <c r="H8" s="122"/>
      <c r="I8" s="122"/>
      <c r="J8" s="128" t="str">
        <f ca="1">B45&amp;"/26"&amp;IF(TODAY()&lt;=D45," • em curso"," • encerrado")</f>
        <v>26/10 – 30/10/26 • em curso</v>
      </c>
      <c r="K8" s="122"/>
      <c r="L8" s="122"/>
      <c r="M8" s="96"/>
      <c r="N8" s="96"/>
    </row>
    <row r="9" spans="1:14" ht="16.05" customHeight="1">
      <c r="A9" s="122"/>
      <c r="B9" s="122"/>
      <c r="C9" s="122"/>
      <c r="D9" s="122"/>
      <c r="E9" s="122"/>
      <c r="F9" s="128" t="s">
        <v>451</v>
      </c>
      <c r="G9" s="122"/>
      <c r="H9" s="122"/>
      <c r="I9" s="122"/>
      <c r="J9" s="128" t="str">
        <f ca="1">IF(TODAY()&lt;=D45,"Ponto parcial • fechamento previsto em 30/10","Fechamento reconstruído pelas datas reais")</f>
        <v>Ponto parcial • fechamento previsto em 30/10</v>
      </c>
      <c r="K9" s="122"/>
      <c r="L9" s="122"/>
      <c r="M9" s="96"/>
      <c r="N9" s="96"/>
    </row>
    <row r="10" spans="1:14" ht="22.95" customHeight="1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96"/>
      <c r="N10" s="96"/>
    </row>
    <row r="11" spans="1:14" ht="22.95" customHeight="1">
      <c r="A11" s="122"/>
      <c r="B11" s="129" t="s">
        <v>423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96"/>
      <c r="N11" s="96"/>
    </row>
    <row r="12" spans="1:14" ht="22.95" customHeight="1">
      <c r="A12" s="122"/>
      <c r="B12" s="125" t="str">
        <f ca="1">"● Linha verde: histórico por datas reais • 05/10–09/10: 47% informado • 26/10–30/10"&amp;IF(TODAY()&lt;=D45,": % atual do painel (parcial)",": por datas reais")</f>
        <v>● Linha verde: histórico por datas reais • 05/10–09/10: 47% informado • 26/10–30/10: % atual do painel (parcial)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6"/>
      <c r="N12" s="96"/>
    </row>
    <row r="13" spans="1:14" ht="22.9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96"/>
      <c r="N13" s="96"/>
    </row>
    <row r="14" spans="1:14" ht="22.95" customHeight="1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96"/>
      <c r="N14" s="96"/>
    </row>
    <row r="15" spans="1:14" ht="22.9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96"/>
      <c r="N15" s="96"/>
    </row>
    <row r="16" spans="1:14" ht="22.95" customHeight="1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02" t="s">
        <v>443</v>
      </c>
      <c r="N16" s="102" t="s">
        <v>444</v>
      </c>
    </row>
    <row r="17" spans="1:14" ht="22.9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03" t="str">
        <f>B34</f>
        <v>10/08 – 14/08</v>
      </c>
      <c r="N17" s="135">
        <f>G34</f>
        <v>0.13023255813953488</v>
      </c>
    </row>
    <row r="18" spans="1:14" ht="22.95" customHeight="1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03" t="str">
        <f t="shared" ref="M18:M24" si="0">B35</f>
        <v>17/08 – 21/08</v>
      </c>
      <c r="N18" s="135">
        <f t="shared" ref="N18:N24" si="1">G35</f>
        <v>0.16279069767441862</v>
      </c>
    </row>
    <row r="19" spans="1:14" ht="22.9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03" t="str">
        <f t="shared" si="0"/>
        <v>24/08 – 28/08</v>
      </c>
      <c r="N19" s="135">
        <f t="shared" si="1"/>
        <v>0.20930232558139536</v>
      </c>
    </row>
    <row r="20" spans="1:14" ht="22.95" customHeight="1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03" t="str">
        <f t="shared" si="0"/>
        <v>31/08 – 04/09</v>
      </c>
      <c r="N20" s="135">
        <f t="shared" si="1"/>
        <v>0.26511627906976742</v>
      </c>
    </row>
    <row r="21" spans="1:14" ht="22.9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03" t="str">
        <f t="shared" si="0"/>
        <v>07/09 – 11/09</v>
      </c>
      <c r="N21" s="135">
        <f t="shared" si="1"/>
        <v>0.30232558139534882</v>
      </c>
    </row>
    <row r="22" spans="1:14" ht="22.95" customHeight="1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03" t="str">
        <f t="shared" si="0"/>
        <v>14/09 – 18/09</v>
      </c>
      <c r="N22" s="135">
        <f t="shared" si="1"/>
        <v>0.36279069767441863</v>
      </c>
    </row>
    <row r="23" spans="1:14" ht="22.95" customHeight="1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03" t="str">
        <f t="shared" si="0"/>
        <v>21/09 – 25/09</v>
      </c>
      <c r="N23" s="135">
        <f t="shared" si="1"/>
        <v>0.42325581395348838</v>
      </c>
    </row>
    <row r="24" spans="1:14" ht="22.95" customHeight="1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03" t="str">
        <f t="shared" si="0"/>
        <v>28/09 – 02/10</v>
      </c>
      <c r="N24" s="135">
        <f t="shared" si="1"/>
        <v>0.44186046511627908</v>
      </c>
    </row>
    <row r="25" spans="1:14" ht="22.95" customHeight="1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03" t="str">
        <f>B42</f>
        <v>05/10 – 09/10</v>
      </c>
      <c r="N25" s="135">
        <f>G42</f>
        <v>0.47</v>
      </c>
    </row>
    <row r="26" spans="1:14" ht="22.95" customHeight="1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03" t="str">
        <f>B43</f>
        <v>12/10 – 16/10</v>
      </c>
      <c r="N26" s="135">
        <f ca="1">G43</f>
        <v>0.50697674418604655</v>
      </c>
    </row>
    <row r="27" spans="1:14" ht="19.95" customHeight="1">
      <c r="A27" s="122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96" t="str">
        <f>B44</f>
        <v>19/10 – 23/10</v>
      </c>
      <c r="N27" s="134">
        <f ca="1">G44</f>
        <v>0.53488372093023251</v>
      </c>
    </row>
    <row r="28" spans="1:14" ht="28.95" customHeight="1">
      <c r="A28" s="122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96" t="str">
        <f>B45</f>
        <v>26/10 – 30/10</v>
      </c>
      <c r="N28" s="134">
        <f ca="1">G45</f>
        <v>0.54418604651162794</v>
      </c>
    </row>
    <row r="29" spans="1:14" ht="19.95" customHeight="1">
      <c r="A29" s="122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96"/>
      <c r="N29" s="96"/>
    </row>
    <row r="30" spans="1:14" ht="28.05" hidden="1" customHeight="1">
      <c r="A30" s="96"/>
      <c r="B30" s="101" t="s">
        <v>424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6"/>
      <c r="N30" s="96"/>
    </row>
    <row r="31" spans="1:14" ht="28.95" hidden="1" customHeight="1">
      <c r="A31" s="96"/>
      <c r="B31" s="102" t="s">
        <v>425</v>
      </c>
      <c r="C31" s="102" t="s">
        <v>426</v>
      </c>
      <c r="D31" s="102" t="s">
        <v>427</v>
      </c>
      <c r="E31" s="102" t="s">
        <v>428</v>
      </c>
      <c r="F31" s="102" t="s">
        <v>429</v>
      </c>
      <c r="G31" s="102" t="s">
        <v>430</v>
      </c>
      <c r="H31" s="102" t="s">
        <v>431</v>
      </c>
      <c r="I31" s="102" t="s">
        <v>432</v>
      </c>
      <c r="J31" s="102" t="s">
        <v>433</v>
      </c>
      <c r="K31" s="96"/>
      <c r="L31" s="96"/>
      <c r="M31" s="96"/>
      <c r="N31" s="96"/>
    </row>
    <row r="32" spans="1:14" ht="25.95" hidden="1" customHeight="1">
      <c r="A32" s="96"/>
      <c r="B32" s="98" t="str">
        <f t="shared" ref="B32:B43" si="2">TEXT(C32,"dd/mm")&amp;" – "&amp;TEXT(D32,"dd/mm")</f>
        <v>27/07 – 31/07</v>
      </c>
      <c r="C32" s="106">
        <f>DATE(2026,7,27)</f>
        <v>46230</v>
      </c>
      <c r="D32" s="106">
        <f t="shared" ref="D32:D43" si="3">C32+4</f>
        <v>46234</v>
      </c>
      <c r="E32" s="107">
        <f>COUNTIFS(TabelaAtividadesMicro6[Tipo de registro],"Micro",TabelaAtividadesMicro6[Status],"Finalizado",TabelaAtividadesMicro6[Data fim real],"&gt;="&amp;C32,TabelaAtividadesMicro6[Data fim real],"&lt;="&amp;D32)</f>
        <v>6</v>
      </c>
      <c r="F32" s="107">
        <f>COUNTIFS(TabelaAtividadesMicro6[Tipo de registro],"Micro",TabelaAtividadesMicro6[Status],"Finalizado",TabelaAtividadesMicro6[Data fim real],"&gt;0",TabelaAtividadesMicro6[Data fim real],"&lt;="&amp;D32)</f>
        <v>16</v>
      </c>
      <c r="G32" s="108">
        <f t="shared" ref="G32:G41" si="4">IF($L$46=0,0,F32/$L$46)</f>
        <v>7.441860465116279E-2</v>
      </c>
      <c r="H32" s="109">
        <f t="shared" ref="H32:H41" si="5">IF($L$46=0,0,100*E32/$L$46)</f>
        <v>2.7906976744186047</v>
      </c>
      <c r="I32" s="118" t="s">
        <v>438</v>
      </c>
      <c r="J32" s="118" t="s">
        <v>439</v>
      </c>
      <c r="K32" s="96"/>
      <c r="L32" s="96"/>
      <c r="M32" s="96"/>
      <c r="N32" s="96"/>
    </row>
    <row r="33" spans="1:14" ht="25.95" hidden="1" customHeight="1">
      <c r="A33" s="96"/>
      <c r="B33" s="98" t="str">
        <f t="shared" si="2"/>
        <v>03/08 – 07/08</v>
      </c>
      <c r="C33" s="106">
        <f t="shared" ref="C33:C45" si="6">C32+7</f>
        <v>46237</v>
      </c>
      <c r="D33" s="106">
        <f t="shared" si="3"/>
        <v>46241</v>
      </c>
      <c r="E33" s="107">
        <f>COUNTIFS(TabelaAtividadesMicro6[Tipo de registro],"Micro",TabelaAtividadesMicro6[Status],"Finalizado",TabelaAtividadesMicro6[Data fim real],"&gt;"&amp;D32,TabelaAtividadesMicro6[Data fim real],"&lt;="&amp;D33)</f>
        <v>3</v>
      </c>
      <c r="F33" s="107">
        <f t="shared" ref="F33:F41" si="7">F32+E33</f>
        <v>19</v>
      </c>
      <c r="G33" s="108">
        <f t="shared" si="4"/>
        <v>8.8372093023255813E-2</v>
      </c>
      <c r="H33" s="109">
        <f t="shared" si="5"/>
        <v>1.3953488372093024</v>
      </c>
      <c r="I33" s="118" t="s">
        <v>438</v>
      </c>
      <c r="J33" s="118" t="s">
        <v>439</v>
      </c>
      <c r="K33" s="96"/>
      <c r="L33" s="96"/>
      <c r="M33" s="96"/>
      <c r="N33" s="96"/>
    </row>
    <row r="34" spans="1:14" ht="25.95" hidden="1" customHeight="1">
      <c r="A34" s="96"/>
      <c r="B34" s="98" t="str">
        <f t="shared" si="2"/>
        <v>10/08 – 14/08</v>
      </c>
      <c r="C34" s="106">
        <f t="shared" si="6"/>
        <v>46244</v>
      </c>
      <c r="D34" s="106">
        <f t="shared" si="3"/>
        <v>46248</v>
      </c>
      <c r="E34" s="107">
        <f>COUNTIFS('Atividades Micro'!$G$2:$G$554,"Micro",'Atividades Micro'!$J$2:$J$554,"Finalizado",'Atividades Micro'!$L$2:$L$554,"&gt;"&amp;D33,'Atividades Micro'!$L$2:$L$554,"&lt;="&amp;D34)</f>
        <v>9</v>
      </c>
      <c r="F34" s="107">
        <f t="shared" si="7"/>
        <v>28</v>
      </c>
      <c r="G34" s="108">
        <f t="shared" si="4"/>
        <v>0.13023255813953488</v>
      </c>
      <c r="H34" s="109">
        <f t="shared" si="5"/>
        <v>4.1860465116279073</v>
      </c>
      <c r="I34" s="118" t="s">
        <v>438</v>
      </c>
      <c r="J34" s="118" t="s">
        <v>439</v>
      </c>
      <c r="K34" s="96"/>
      <c r="L34" s="96"/>
      <c r="M34" s="96"/>
      <c r="N34" s="96"/>
    </row>
    <row r="35" spans="1:14" ht="25.95" hidden="1" customHeight="1">
      <c r="A35" s="96"/>
      <c r="B35" s="98" t="str">
        <f t="shared" si="2"/>
        <v>17/08 – 21/08</v>
      </c>
      <c r="C35" s="106">
        <f t="shared" si="6"/>
        <v>46251</v>
      </c>
      <c r="D35" s="106">
        <f t="shared" si="3"/>
        <v>46255</v>
      </c>
      <c r="E35" s="107">
        <f>COUNTIFS('Atividades Micro'!$G$2:$G$554,"Micro",'Atividades Micro'!$J$2:$J$554,"Finalizado",'Atividades Micro'!$L$2:$L$554,"&gt;"&amp;D34,'Atividades Micro'!$L$2:$L$554,"&lt;="&amp;D35)</f>
        <v>7</v>
      </c>
      <c r="F35" s="107">
        <f t="shared" si="7"/>
        <v>35</v>
      </c>
      <c r="G35" s="108">
        <f t="shared" si="4"/>
        <v>0.16279069767441862</v>
      </c>
      <c r="H35" s="109">
        <f t="shared" si="5"/>
        <v>3.2558139534883721</v>
      </c>
      <c r="I35" s="118" t="s">
        <v>438</v>
      </c>
      <c r="J35" s="118" t="s">
        <v>439</v>
      </c>
      <c r="K35" s="96"/>
      <c r="L35" s="96"/>
      <c r="M35" s="96"/>
      <c r="N35" s="96"/>
    </row>
    <row r="36" spans="1:14" ht="25.95" hidden="1" customHeight="1">
      <c r="A36" s="96"/>
      <c r="B36" s="98" t="str">
        <f t="shared" si="2"/>
        <v>24/08 – 28/08</v>
      </c>
      <c r="C36" s="106">
        <f t="shared" si="6"/>
        <v>46258</v>
      </c>
      <c r="D36" s="106">
        <f t="shared" si="3"/>
        <v>46262</v>
      </c>
      <c r="E36" s="107">
        <f>COUNTIFS('Atividades Micro'!$G$2:$G$554,"Micro",'Atividades Micro'!$J$2:$J$554,"Finalizado",'Atividades Micro'!$L$2:$L$554,"&gt;"&amp;D35,'Atividades Micro'!$L$2:$L$554,"&lt;="&amp;D36)</f>
        <v>10</v>
      </c>
      <c r="F36" s="107">
        <f t="shared" si="7"/>
        <v>45</v>
      </c>
      <c r="G36" s="108">
        <f t="shared" si="4"/>
        <v>0.20930232558139536</v>
      </c>
      <c r="H36" s="109">
        <f t="shared" si="5"/>
        <v>4.6511627906976747</v>
      </c>
      <c r="I36" s="118" t="s">
        <v>438</v>
      </c>
      <c r="J36" s="118" t="s">
        <v>439</v>
      </c>
      <c r="K36" s="96"/>
      <c r="L36" s="96"/>
      <c r="M36" s="96"/>
      <c r="N36" s="96"/>
    </row>
    <row r="37" spans="1:14" ht="25.95" hidden="1" customHeight="1">
      <c r="A37" s="96"/>
      <c r="B37" s="98" t="str">
        <f t="shared" si="2"/>
        <v>31/08 – 04/09</v>
      </c>
      <c r="C37" s="106">
        <f t="shared" si="6"/>
        <v>46265</v>
      </c>
      <c r="D37" s="106">
        <f t="shared" si="3"/>
        <v>46269</v>
      </c>
      <c r="E37" s="107">
        <f>COUNTIFS('Atividades Micro'!$G$2:$G$554,"Micro",'Atividades Micro'!$J$2:$J$554,"Finalizado",'Atividades Micro'!$L$2:$L$554,"&gt;"&amp;D36,'Atividades Micro'!$L$2:$L$554,"&lt;="&amp;D37)</f>
        <v>12</v>
      </c>
      <c r="F37" s="107">
        <f t="shared" si="7"/>
        <v>57</v>
      </c>
      <c r="G37" s="108">
        <f t="shared" si="4"/>
        <v>0.26511627906976742</v>
      </c>
      <c r="H37" s="109">
        <f t="shared" si="5"/>
        <v>5.5813953488372094</v>
      </c>
      <c r="I37" s="118" t="s">
        <v>438</v>
      </c>
      <c r="J37" s="118" t="s">
        <v>439</v>
      </c>
      <c r="K37" s="96"/>
      <c r="L37" s="96"/>
      <c r="M37" s="96"/>
      <c r="N37" s="96"/>
    </row>
    <row r="38" spans="1:14" ht="25.95" hidden="1" customHeight="1">
      <c r="A38" s="96"/>
      <c r="B38" s="98" t="str">
        <f t="shared" si="2"/>
        <v>07/09 – 11/09</v>
      </c>
      <c r="C38" s="106">
        <f t="shared" si="6"/>
        <v>46272</v>
      </c>
      <c r="D38" s="106">
        <f t="shared" si="3"/>
        <v>46276</v>
      </c>
      <c r="E38" s="107">
        <f>COUNTIFS('Atividades Micro'!$G$2:$G$554,"Micro",'Atividades Micro'!$J$2:$J$554,"Finalizado",'Atividades Micro'!$L$2:$L$554,"&gt;"&amp;D37,'Atividades Micro'!$L$2:$L$554,"&lt;="&amp;D38)</f>
        <v>8</v>
      </c>
      <c r="F38" s="107">
        <f t="shared" si="7"/>
        <v>65</v>
      </c>
      <c r="G38" s="108">
        <f t="shared" si="4"/>
        <v>0.30232558139534882</v>
      </c>
      <c r="H38" s="109">
        <f t="shared" si="5"/>
        <v>3.7209302325581395</v>
      </c>
      <c r="I38" s="118" t="s">
        <v>438</v>
      </c>
      <c r="J38" s="118" t="s">
        <v>439</v>
      </c>
      <c r="K38" s="96"/>
      <c r="L38" s="96"/>
      <c r="M38" s="96"/>
      <c r="N38" s="96"/>
    </row>
    <row r="39" spans="1:14" ht="25.95" hidden="1" customHeight="1">
      <c r="A39" s="96"/>
      <c r="B39" s="98" t="str">
        <f t="shared" si="2"/>
        <v>14/09 – 18/09</v>
      </c>
      <c r="C39" s="106">
        <f t="shared" si="6"/>
        <v>46279</v>
      </c>
      <c r="D39" s="106">
        <f t="shared" si="3"/>
        <v>46283</v>
      </c>
      <c r="E39" s="107">
        <f>COUNTIFS('Atividades Micro'!$G$2:$G$554,"Micro",'Atividades Micro'!$J$2:$J$554,"Finalizado",'Atividades Micro'!$L$2:$L$554,"&gt;"&amp;D38,'Atividades Micro'!$L$2:$L$554,"&lt;="&amp;D39)</f>
        <v>13</v>
      </c>
      <c r="F39" s="107">
        <f t="shared" si="7"/>
        <v>78</v>
      </c>
      <c r="G39" s="108">
        <f t="shared" si="4"/>
        <v>0.36279069767441863</v>
      </c>
      <c r="H39" s="109">
        <f t="shared" si="5"/>
        <v>6.0465116279069768</v>
      </c>
      <c r="I39" s="118" t="s">
        <v>438</v>
      </c>
      <c r="J39" s="118" t="s">
        <v>439</v>
      </c>
      <c r="K39" s="96"/>
      <c r="L39" s="96"/>
      <c r="M39" s="96"/>
      <c r="N39" s="96"/>
    </row>
    <row r="40" spans="1:14" ht="25.95" hidden="1" customHeight="1">
      <c r="A40" s="96"/>
      <c r="B40" s="98" t="str">
        <f t="shared" si="2"/>
        <v>21/09 – 25/09</v>
      </c>
      <c r="C40" s="106">
        <f t="shared" si="6"/>
        <v>46286</v>
      </c>
      <c r="D40" s="106">
        <f t="shared" si="3"/>
        <v>46290</v>
      </c>
      <c r="E40" s="107">
        <f>COUNTIFS('Atividades Micro'!$G$2:$G$554,"Micro",'Atividades Micro'!$J$2:$J$554,"Finalizado",'Atividades Micro'!$L$2:$L$554,"&gt;"&amp;D39,'Atividades Micro'!$L$2:$L$554,"&lt;="&amp;D40)</f>
        <v>13</v>
      </c>
      <c r="F40" s="107">
        <f t="shared" si="7"/>
        <v>91</v>
      </c>
      <c r="G40" s="108">
        <f t="shared" si="4"/>
        <v>0.42325581395348838</v>
      </c>
      <c r="H40" s="109">
        <f t="shared" si="5"/>
        <v>6.0465116279069768</v>
      </c>
      <c r="I40" s="118" t="s">
        <v>438</v>
      </c>
      <c r="J40" s="118" t="s">
        <v>439</v>
      </c>
      <c r="K40" s="96"/>
      <c r="L40" s="96"/>
      <c r="M40" s="96"/>
      <c r="N40" s="96"/>
    </row>
    <row r="41" spans="1:14" ht="25.95" hidden="1" customHeight="1">
      <c r="A41" s="96"/>
      <c r="B41" s="101" t="str">
        <f t="shared" si="2"/>
        <v>28/09 – 02/10</v>
      </c>
      <c r="C41" s="110">
        <f t="shared" si="6"/>
        <v>46293</v>
      </c>
      <c r="D41" s="110">
        <f t="shared" si="3"/>
        <v>46297</v>
      </c>
      <c r="E41" s="111">
        <f>COUNTIFS('Atividades Micro'!$G$2:$G$554,"Micro",'Atividades Micro'!$J$2:$J$554,"Finalizado",'Atividades Micro'!$L$2:$L$554,"&gt;"&amp;D40,'Atividades Micro'!$L$2:$L$554,"&lt;="&amp;D41)</f>
        <v>4</v>
      </c>
      <c r="F41" s="111">
        <f t="shared" si="7"/>
        <v>95</v>
      </c>
      <c r="G41" s="112">
        <f t="shared" si="4"/>
        <v>0.44186046511627908</v>
      </c>
      <c r="H41" s="113">
        <f t="shared" si="5"/>
        <v>1.8604651162790697</v>
      </c>
      <c r="I41" s="119" t="s">
        <v>438</v>
      </c>
      <c r="J41" s="119" t="s">
        <v>439</v>
      </c>
      <c r="K41" s="96"/>
      <c r="L41" s="96"/>
      <c r="M41" s="96"/>
      <c r="N41" s="96"/>
    </row>
    <row r="42" spans="1:14" ht="25.95" hidden="1" customHeight="1">
      <c r="A42" s="96"/>
      <c r="B42" s="100" t="str">
        <f t="shared" si="2"/>
        <v>05/10 – 09/10</v>
      </c>
      <c r="C42" s="114">
        <f t="shared" si="6"/>
        <v>46300</v>
      </c>
      <c r="D42" s="114">
        <f t="shared" si="3"/>
        <v>46304</v>
      </c>
      <c r="E42" s="111">
        <f>COUNTIFS('Atividades Micro'!$G$2:$G$554,"Micro",'Atividades Micro'!$J$2:$J$554,"Finalizado",'Atividades Micro'!$L$2:$L$554,"&gt;"&amp;D41,'Atividades Micro'!$L$2:$L$554,"&lt;="&amp;D42)</f>
        <v>5</v>
      </c>
      <c r="F42" s="111">
        <f t="shared" ref="F42" si="8">F41+E42</f>
        <v>100</v>
      </c>
      <c r="G42" s="112">
        <v>0.47</v>
      </c>
      <c r="H42" s="113">
        <f>100*(G42-G41)</f>
        <v>2.8139534883720896</v>
      </c>
      <c r="I42" s="120" t="s">
        <v>448</v>
      </c>
      <c r="J42" s="115" t="s">
        <v>449</v>
      </c>
      <c r="K42" s="96"/>
      <c r="L42" s="96"/>
      <c r="M42" s="96"/>
      <c r="N42" s="96"/>
    </row>
    <row r="43" spans="1:14" ht="25.95" hidden="1" customHeight="1">
      <c r="A43" s="96"/>
      <c r="B43" s="96" t="str">
        <f t="shared" si="2"/>
        <v>12/10 – 16/10</v>
      </c>
      <c r="C43" s="116">
        <f t="shared" si="6"/>
        <v>46307</v>
      </c>
      <c r="D43" s="116">
        <f t="shared" si="3"/>
        <v>46311</v>
      </c>
      <c r="E43" s="131">
        <f ca="1">COUNTIFS('Atividades Micro'!$G$2:$G$554,"Micro",'Atividades Micro'!$J$2:$J$554,"Finalizado",'Atividades Micro'!$L$2:$L$554,"&gt;"&amp;D42,'Atividades Micro'!$L$2:$L$554,"&lt;="&amp;MIN(TODAY(),D43))</f>
        <v>9</v>
      </c>
      <c r="F43" s="131">
        <f ca="1">F42+E43</f>
        <v>109</v>
      </c>
      <c r="G43" s="132">
        <f ca="1">IF($L$46=0,0,F43/$L$46)</f>
        <v>0.50697674418604655</v>
      </c>
      <c r="H43" s="133">
        <f ca="1">100*(G43-G42)</f>
        <v>3.6976744186046573</v>
      </c>
      <c r="I43" s="117" t="s">
        <v>438</v>
      </c>
      <c r="J43" s="117" t="s">
        <v>450</v>
      </c>
      <c r="K43" s="96"/>
      <c r="L43" s="96"/>
      <c r="M43" s="96"/>
      <c r="N43" s="96"/>
    </row>
    <row r="44" spans="1:14" ht="22.95" hidden="1" customHeight="1">
      <c r="A44" s="96"/>
      <c r="B44" s="96" t="str">
        <f t="shared" ref="B44:B45" si="9">TEXT(C44,"dd/mm")&amp;" – "&amp;TEXT(D44,"dd/mm")</f>
        <v>19/10 – 23/10</v>
      </c>
      <c r="C44" s="116">
        <f t="shared" si="6"/>
        <v>46314</v>
      </c>
      <c r="D44" s="116">
        <f t="shared" ref="D44:D45" si="10">C44+4</f>
        <v>46318</v>
      </c>
      <c r="E44" s="131">
        <f ca="1">COUNTIFS('Atividades Micro'!$G$2:$G$554,"Micro",'Atividades Micro'!$J$2:$J$554,"Finalizado",'Atividades Micro'!$L$2:$L$554,"&gt;"&amp;D43,'Atividades Micro'!$L$2:$L$554,"&lt;="&amp;MIN(TODAY(),D44))</f>
        <v>6</v>
      </c>
      <c r="F44" s="131">
        <f ca="1">F43+E44</f>
        <v>115</v>
      </c>
      <c r="G44" s="132">
        <f ca="1">IF($L$46=0,0,F44/$L$46)</f>
        <v>0.53488372093023251</v>
      </c>
      <c r="H44" s="133">
        <f ca="1">100*(G44-G43)</f>
        <v>2.7906976744185963</v>
      </c>
      <c r="I44" s="117" t="s">
        <v>438</v>
      </c>
      <c r="J44" s="117" t="s">
        <v>450</v>
      </c>
      <c r="K44" s="96"/>
      <c r="L44" s="96"/>
      <c r="M44" s="96"/>
      <c r="N44" s="96"/>
    </row>
    <row r="45" spans="1:14" ht="22.95" hidden="1" customHeight="1">
      <c r="A45" s="96"/>
      <c r="B45" s="96" t="str">
        <f t="shared" si="9"/>
        <v>26/10 – 30/10</v>
      </c>
      <c r="C45" s="116">
        <f t="shared" si="6"/>
        <v>46321</v>
      </c>
      <c r="D45" s="116">
        <f t="shared" si="10"/>
        <v>46325</v>
      </c>
      <c r="E45" s="131">
        <f ca="1">COUNTIFS('Atividades Micro'!$G$2:$G$554,"Micro",'Atividades Micro'!$J$2:$J$554,"Finalizado",'Atividades Micro'!$L$2:$L$554,"&gt;"&amp;D44,'Atividades Micro'!$L$2:$L$554,"&lt;="&amp;MIN(TODAY(),D45))</f>
        <v>0</v>
      </c>
      <c r="F45" s="131">
        <f ca="1">F44+E45</f>
        <v>115</v>
      </c>
      <c r="G45" s="132">
        <f ca="1">IF(TODAY()&lt;=D45,B7,IF($L$46=0,0,F45/$L$46))</f>
        <v>0.54418604651162794</v>
      </c>
      <c r="H45" s="133">
        <f ca="1">100*(G45-G44)</f>
        <v>0.9302325581395432</v>
      </c>
      <c r="I45" s="117" t="str">
        <f ca="1">IF(TODAY()&lt;=D45,"Parcial • em andamento","Reconstruído")</f>
        <v>Parcial • em andamento</v>
      </c>
      <c r="J45" s="117" t="str">
        <f ca="1">IF(TODAY()&lt;=D45,"Status atual até "&amp;TEXT(MIN(TODAY(),D45),"dd/mm")&amp;"; não fechada","Fechamento por datas reais; não informado")</f>
        <v>Status atual até 26/10; não fechada</v>
      </c>
      <c r="K45" s="96"/>
      <c r="L45" s="96"/>
      <c r="M45" s="96"/>
      <c r="N45" s="96"/>
    </row>
    <row r="46" spans="1:14" ht="22.95" hidden="1" customHeight="1">
      <c r="A46" s="96"/>
      <c r="B46" s="101" t="s">
        <v>440</v>
      </c>
      <c r="C46" s="99"/>
      <c r="D46" s="99"/>
      <c r="E46" s="99"/>
      <c r="F46" s="99"/>
      <c r="G46" s="99"/>
      <c r="H46" s="99"/>
      <c r="I46" s="99"/>
      <c r="J46" s="99"/>
      <c r="K46" s="104" t="s">
        <v>434</v>
      </c>
      <c r="L46" s="105">
        <f>COUNTIFS(TabelaAtividadesMicro6[Tipo de registro],"Micro",TabelaAtividadesMicro6[Status],"&lt;&gt;Cancelado")</f>
        <v>215</v>
      </c>
      <c r="M46" s="96"/>
      <c r="N46" s="96"/>
    </row>
    <row r="47" spans="1:14" ht="25.05" hidden="1" customHeight="1">
      <c r="A47" s="96"/>
      <c r="B47" s="97" t="s">
        <v>441</v>
      </c>
      <c r="C47" s="96"/>
      <c r="D47" s="96"/>
      <c r="E47" s="96"/>
      <c r="F47" s="96"/>
      <c r="G47" s="96"/>
      <c r="H47" s="96"/>
      <c r="I47" s="96"/>
      <c r="J47" s="96"/>
      <c r="K47" s="104" t="s">
        <v>435</v>
      </c>
      <c r="L47" s="105">
        <f>'Painel Executivo Micro'!K7</f>
        <v>117</v>
      </c>
      <c r="M47" s="96"/>
      <c r="N47" s="96"/>
    </row>
    <row r="48" spans="1:14" ht="25.05" hidden="1" customHeight="1">
      <c r="A48" s="96"/>
      <c r="B48" s="97" t="s">
        <v>442</v>
      </c>
      <c r="C48" s="96"/>
      <c r="D48" s="96"/>
      <c r="E48" s="96"/>
      <c r="F48" s="96"/>
      <c r="G48" s="96"/>
      <c r="H48" s="96"/>
      <c r="I48" s="96"/>
      <c r="J48" s="96"/>
      <c r="K48" s="104" t="s">
        <v>436</v>
      </c>
      <c r="L48" s="105">
        <f>COUNTIFS(TabelaAtividadesMicro6[Tipo de registro],"Micro",TabelaAtividadesMicro6[Status],"Finalizado",TabelaAtividadesMicro6[Data fim real],"")</f>
        <v>2</v>
      </c>
      <c r="M48" s="96"/>
      <c r="N48" s="96"/>
    </row>
    <row r="49" spans="1:14" ht="25.05" hidden="1" customHeight="1">
      <c r="A49" s="96"/>
      <c r="B49" s="97" t="str">
        <f ca="1">"³ Histórico = finalizadas com data real ÷ base ativa atual; 05/10–09/10: 47% informado; 26/10–30/10: "&amp;IF(TODAY()&lt;=D45,"percentual atual do painel (inclui finalizadas sem data; ponto parcial).","reconstruído por datas reais.")</f>
        <v>³ Histórico = finalizadas com data real ÷ base ativa atual; 05/10–09/10: 47% informado; 26/10–30/10: percentual atual do painel (inclui finalizadas sem data; ponto parcial).</v>
      </c>
      <c r="C49" s="96"/>
      <c r="D49" s="96"/>
      <c r="E49" s="96"/>
      <c r="F49" s="96"/>
      <c r="G49" s="96"/>
      <c r="H49" s="96"/>
      <c r="I49" s="96"/>
      <c r="J49" s="96"/>
      <c r="K49" s="104" t="s">
        <v>437</v>
      </c>
      <c r="L49" s="105">
        <f>L47-L48</f>
        <v>115</v>
      </c>
      <c r="M49" s="96"/>
      <c r="N49" s="96"/>
    </row>
    <row r="50" spans="1:14" ht="25.05" hidden="1" customHeight="1">
      <c r="A50" s="96"/>
      <c r="B50" s="97" t="str">
        <f ca="1">"A semana 19/10–23/10 foi reconstruída pelas datas reais; 26/10–30/10 "&amp;IF(TODAY()&lt;=D45,"mostra o percentual atual do painel como ponto parcial, não como fechamento.","mostra o fechamento reconstruído pelas datas reais.")</f>
        <v>A semana 19/10–23/10 foi reconstruída pelas datas reais; 26/10–30/10 mostra o percentual atual do painel como ponto parcial, não como fechamento.</v>
      </c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</row>
    <row r="51" spans="1:14" ht="22.95" hidden="1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</row>
    <row r="52" spans="1:14" ht="22.95" hidden="1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</row>
    <row r="53" spans="1:14" ht="22.95" hidden="1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</row>
    <row r="54" spans="1:14" ht="22.95" hidden="1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A4D0-5E0F-4C47-8335-6292E462867A}">
  <dimension ref="A1:E6"/>
  <sheetViews>
    <sheetView showGridLines="0" workbookViewId="0">
      <selection activeCell="L13" sqref="L13"/>
    </sheetView>
  </sheetViews>
  <sheetFormatPr defaultRowHeight="13.8"/>
  <cols>
    <col min="1" max="1" width="10.19921875" bestFit="1" customWidth="1"/>
    <col min="2" max="2" width="36.09765625" bestFit="1" customWidth="1"/>
    <col min="4" max="4" width="17.69921875" bestFit="1" customWidth="1"/>
    <col min="5" max="5" width="21.69921875" bestFit="1" customWidth="1"/>
  </cols>
  <sheetData>
    <row r="1" spans="1:5" ht="15" thickBot="1">
      <c r="A1" s="92" t="s">
        <v>11</v>
      </c>
      <c r="B1" s="92" t="s">
        <v>91</v>
      </c>
      <c r="D1" s="93" t="s">
        <v>407</v>
      </c>
      <c r="E1" t="s">
        <v>409</v>
      </c>
    </row>
    <row r="2" spans="1:5" ht="15" thickTop="1">
      <c r="A2" s="91" t="s">
        <v>39</v>
      </c>
      <c r="B2" s="91" t="s">
        <v>392</v>
      </c>
      <c r="D2" s="94" t="s">
        <v>43</v>
      </c>
      <c r="E2">
        <v>3</v>
      </c>
    </row>
    <row r="3" spans="1:5" ht="14.4">
      <c r="A3" s="91" t="s">
        <v>40</v>
      </c>
      <c r="B3" s="91" t="s">
        <v>405</v>
      </c>
      <c r="D3" s="94" t="s">
        <v>39</v>
      </c>
      <c r="E3">
        <v>1</v>
      </c>
    </row>
    <row r="4" spans="1:5" ht="14.4">
      <c r="A4" s="91" t="s">
        <v>43</v>
      </c>
      <c r="B4" s="91" t="s">
        <v>395</v>
      </c>
      <c r="D4" s="94" t="s">
        <v>40</v>
      </c>
      <c r="E4">
        <v>1</v>
      </c>
    </row>
    <row r="5" spans="1:5" ht="14.4">
      <c r="A5" s="91" t="s">
        <v>43</v>
      </c>
      <c r="B5" s="91" t="s">
        <v>399</v>
      </c>
      <c r="D5" s="94" t="s">
        <v>408</v>
      </c>
      <c r="E5">
        <v>5</v>
      </c>
    </row>
    <row r="6" spans="1:5" ht="14.4">
      <c r="A6" s="91" t="s">
        <v>43</v>
      </c>
      <c r="B6" s="91" t="s">
        <v>394</v>
      </c>
    </row>
  </sheetData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4DE7-0230-446F-B51F-5F600531E987}">
  <dimension ref="A1:CO502"/>
  <sheetViews>
    <sheetView showGridLines="0" topLeftCell="M1" workbookViewId="0">
      <selection activeCell="O4" sqref="O4"/>
    </sheetView>
  </sheetViews>
  <sheetFormatPr defaultRowHeight="13.8"/>
  <cols>
    <col min="1" max="93" width="16" customWidth="1"/>
  </cols>
  <sheetData>
    <row r="1" spans="1:93" ht="31.95" customHeight="1">
      <c r="A1" s="198" t="s">
        <v>389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98"/>
      <c r="BG1" s="198"/>
      <c r="BH1" s="198"/>
      <c r="BI1" s="198"/>
      <c r="BJ1" s="198"/>
      <c r="BK1" s="198"/>
      <c r="BL1" s="198"/>
      <c r="BM1" s="198"/>
      <c r="BN1" s="198"/>
      <c r="BO1" s="198"/>
      <c r="BP1" s="198"/>
      <c r="BQ1" s="198"/>
      <c r="BR1" s="198"/>
      <c r="BS1" s="198"/>
      <c r="BT1" s="198"/>
      <c r="BU1" s="198"/>
      <c r="BV1" s="198"/>
      <c r="BW1" s="198"/>
      <c r="BX1" s="198"/>
      <c r="BY1" s="198"/>
      <c r="BZ1" s="198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  <c r="CO1" s="198"/>
    </row>
    <row r="2" spans="1:93" ht="30" customHeight="1">
      <c r="A2" s="19" t="s">
        <v>35</v>
      </c>
      <c r="B2" s="19" t="s">
        <v>35</v>
      </c>
      <c r="C2" s="22" t="s">
        <v>36</v>
      </c>
      <c r="D2" s="22" t="s">
        <v>36</v>
      </c>
      <c r="E2" s="19" t="s">
        <v>37</v>
      </c>
      <c r="F2" s="19" t="s">
        <v>37</v>
      </c>
      <c r="G2" s="22" t="s">
        <v>38</v>
      </c>
      <c r="H2" s="22" t="s">
        <v>38</v>
      </c>
      <c r="I2" s="19" t="s">
        <v>39</v>
      </c>
      <c r="J2" s="19" t="s">
        <v>39</v>
      </c>
      <c r="K2" s="22" t="s">
        <v>59</v>
      </c>
      <c r="L2" s="22" t="s">
        <v>59</v>
      </c>
      <c r="M2" s="19" t="s">
        <v>60</v>
      </c>
      <c r="N2" s="19" t="s">
        <v>60</v>
      </c>
      <c r="O2" s="22" t="s">
        <v>40</v>
      </c>
      <c r="P2" s="22" t="s">
        <v>40</v>
      </c>
      <c r="Q2" s="19" t="s">
        <v>63</v>
      </c>
      <c r="R2" s="19" t="s">
        <v>63</v>
      </c>
      <c r="S2" s="22" t="s">
        <v>41</v>
      </c>
      <c r="T2" s="22" t="s">
        <v>41</v>
      </c>
      <c r="U2" s="19" t="s">
        <v>66</v>
      </c>
      <c r="V2" s="19" t="s">
        <v>66</v>
      </c>
      <c r="W2" s="22" t="s">
        <v>67</v>
      </c>
      <c r="X2" s="22" t="s">
        <v>67</v>
      </c>
      <c r="Y2" s="19" t="s">
        <v>42</v>
      </c>
      <c r="Z2" s="19" t="s">
        <v>42</v>
      </c>
      <c r="AA2" s="22" t="s">
        <v>70</v>
      </c>
      <c r="AB2" s="22" t="s">
        <v>70</v>
      </c>
      <c r="AC2" s="19" t="s">
        <v>71</v>
      </c>
      <c r="AD2" s="19" t="s">
        <v>71</v>
      </c>
      <c r="AE2" s="22" t="s">
        <v>43</v>
      </c>
      <c r="AF2" s="22" t="s">
        <v>43</v>
      </c>
      <c r="AG2" s="19" t="s">
        <v>74</v>
      </c>
      <c r="AH2" s="19" t="s">
        <v>74</v>
      </c>
      <c r="AI2" s="22" t="s">
        <v>75</v>
      </c>
      <c r="AJ2" s="22" t="s">
        <v>75</v>
      </c>
      <c r="AK2" s="19" t="s">
        <v>44</v>
      </c>
      <c r="AL2" s="19" t="s">
        <v>44</v>
      </c>
      <c r="AM2" s="22" t="s">
        <v>78</v>
      </c>
      <c r="AN2" s="22" t="s">
        <v>78</v>
      </c>
      <c r="AO2" s="19" t="s">
        <v>79</v>
      </c>
      <c r="AP2" s="19" t="s">
        <v>79</v>
      </c>
      <c r="AQ2" s="22" t="s">
        <v>30</v>
      </c>
      <c r="AR2" s="22" t="s">
        <v>30</v>
      </c>
      <c r="AS2" s="19" t="s">
        <v>29</v>
      </c>
      <c r="AT2" s="19" t="s">
        <v>29</v>
      </c>
      <c r="AU2" s="22" t="s">
        <v>28</v>
      </c>
      <c r="AV2" s="22" t="s">
        <v>28</v>
      </c>
      <c r="AW2" s="19" t="s">
        <v>27</v>
      </c>
      <c r="AX2" s="19" t="s">
        <v>27</v>
      </c>
      <c r="AY2" s="22" t="s">
        <v>45</v>
      </c>
      <c r="AZ2" s="22" t="s">
        <v>45</v>
      </c>
      <c r="BA2" s="19" t="s">
        <v>86</v>
      </c>
      <c r="BB2" s="19" t="s">
        <v>86</v>
      </c>
      <c r="BC2" s="19" t="s">
        <v>35</v>
      </c>
      <c r="BD2" s="19" t="s">
        <v>36</v>
      </c>
      <c r="BE2" s="19" t="s">
        <v>37</v>
      </c>
      <c r="BF2" s="19" t="s">
        <v>38</v>
      </c>
      <c r="BG2" s="19" t="s">
        <v>39</v>
      </c>
      <c r="BH2" s="19" t="s">
        <v>59</v>
      </c>
      <c r="BI2" s="19" t="s">
        <v>60</v>
      </c>
      <c r="BJ2" s="19" t="s">
        <v>40</v>
      </c>
      <c r="BK2" s="19" t="s">
        <v>63</v>
      </c>
      <c r="BL2" s="19" t="s">
        <v>41</v>
      </c>
      <c r="BM2" s="19" t="s">
        <v>66</v>
      </c>
      <c r="BN2" s="19" t="s">
        <v>67</v>
      </c>
      <c r="BO2" s="19" t="s">
        <v>42</v>
      </c>
      <c r="BP2" s="19" t="s">
        <v>70</v>
      </c>
      <c r="BQ2" s="19" t="s">
        <v>71</v>
      </c>
      <c r="BR2" s="19" t="s">
        <v>43</v>
      </c>
      <c r="BS2" s="19" t="s">
        <v>74</v>
      </c>
      <c r="BT2" s="19" t="s">
        <v>75</v>
      </c>
      <c r="BU2" s="19" t="s">
        <v>44</v>
      </c>
      <c r="BV2" s="19" t="s">
        <v>78</v>
      </c>
      <c r="BW2" s="19" t="s">
        <v>79</v>
      </c>
      <c r="BX2" s="19" t="s">
        <v>30</v>
      </c>
      <c r="BY2" s="19" t="s">
        <v>29</v>
      </c>
      <c r="BZ2" s="19" t="s">
        <v>28</v>
      </c>
      <c r="CA2" s="19" t="s">
        <v>27</v>
      </c>
      <c r="CB2" s="19" t="s">
        <v>45</v>
      </c>
      <c r="CC2" s="19" t="s">
        <v>86</v>
      </c>
      <c r="CD2" s="22" t="s">
        <v>59</v>
      </c>
      <c r="CE2" s="22" t="s">
        <v>60</v>
      </c>
      <c r="CF2" s="22" t="s">
        <v>63</v>
      </c>
      <c r="CG2" s="22" t="s">
        <v>66</v>
      </c>
      <c r="CH2" s="22" t="s">
        <v>67</v>
      </c>
      <c r="CI2" s="22" t="s">
        <v>70</v>
      </c>
      <c r="CJ2" s="22" t="s">
        <v>71</v>
      </c>
      <c r="CK2" s="22" t="s">
        <v>74</v>
      </c>
      <c r="CL2" s="22" t="s">
        <v>75</v>
      </c>
      <c r="CM2" s="22" t="s">
        <v>78</v>
      </c>
      <c r="CN2" s="22" t="s">
        <v>79</v>
      </c>
      <c r="CO2" s="22" t="s">
        <v>86</v>
      </c>
    </row>
    <row r="3" spans="1:93" ht="30" customHeight="1">
      <c r="A3" s="20" t="s">
        <v>12</v>
      </c>
      <c r="B3" s="20" t="s">
        <v>34</v>
      </c>
      <c r="C3" s="20" t="s">
        <v>12</v>
      </c>
      <c r="D3" s="20" t="s">
        <v>34</v>
      </c>
      <c r="E3" s="20" t="s">
        <v>12</v>
      </c>
      <c r="F3" s="20" t="s">
        <v>34</v>
      </c>
      <c r="G3" s="20" t="s">
        <v>12</v>
      </c>
      <c r="H3" s="20" t="s">
        <v>34</v>
      </c>
      <c r="I3" s="20" t="s">
        <v>12</v>
      </c>
      <c r="J3" s="20" t="s">
        <v>34</v>
      </c>
      <c r="K3" s="20" t="s">
        <v>12</v>
      </c>
      <c r="L3" s="20" t="s">
        <v>34</v>
      </c>
      <c r="M3" s="20" t="s">
        <v>12</v>
      </c>
      <c r="N3" s="20" t="s">
        <v>34</v>
      </c>
      <c r="O3" s="20" t="s">
        <v>12</v>
      </c>
      <c r="P3" s="20" t="s">
        <v>34</v>
      </c>
      <c r="Q3" s="20" t="s">
        <v>12</v>
      </c>
      <c r="R3" s="20" t="s">
        <v>34</v>
      </c>
      <c r="S3" s="20" t="s">
        <v>12</v>
      </c>
      <c r="T3" s="20" t="s">
        <v>34</v>
      </c>
      <c r="U3" s="20" t="s">
        <v>12</v>
      </c>
      <c r="V3" s="20" t="s">
        <v>34</v>
      </c>
      <c r="W3" s="20" t="s">
        <v>12</v>
      </c>
      <c r="X3" s="20" t="s">
        <v>34</v>
      </c>
      <c r="Y3" s="20" t="s">
        <v>12</v>
      </c>
      <c r="Z3" s="20" t="s">
        <v>34</v>
      </c>
      <c r="AA3" s="20" t="s">
        <v>12</v>
      </c>
      <c r="AB3" s="20" t="s">
        <v>34</v>
      </c>
      <c r="AC3" s="20" t="s">
        <v>12</v>
      </c>
      <c r="AD3" s="20" t="s">
        <v>34</v>
      </c>
      <c r="AE3" s="20" t="s">
        <v>12</v>
      </c>
      <c r="AF3" s="20" t="s">
        <v>34</v>
      </c>
      <c r="AG3" s="20" t="s">
        <v>12</v>
      </c>
      <c r="AH3" s="20" t="s">
        <v>34</v>
      </c>
      <c r="AI3" s="20" t="s">
        <v>12</v>
      </c>
      <c r="AJ3" s="20" t="s">
        <v>34</v>
      </c>
      <c r="AK3" s="20" t="s">
        <v>12</v>
      </c>
      <c r="AL3" s="20" t="s">
        <v>34</v>
      </c>
      <c r="AM3" s="20" t="s">
        <v>12</v>
      </c>
      <c r="AN3" s="20" t="s">
        <v>34</v>
      </c>
      <c r="AO3" s="20" t="s">
        <v>12</v>
      </c>
      <c r="AP3" s="20" t="s">
        <v>34</v>
      </c>
      <c r="AQ3" s="20" t="s">
        <v>12</v>
      </c>
      <c r="AR3" s="20" t="s">
        <v>34</v>
      </c>
      <c r="AS3" s="20" t="s">
        <v>12</v>
      </c>
      <c r="AT3" s="20" t="s">
        <v>34</v>
      </c>
      <c r="AU3" s="20" t="s">
        <v>12</v>
      </c>
      <c r="AV3" s="20" t="s">
        <v>34</v>
      </c>
      <c r="AW3" s="20" t="s">
        <v>12</v>
      </c>
      <c r="AX3" s="20" t="s">
        <v>34</v>
      </c>
      <c r="AY3" s="20" t="s">
        <v>12</v>
      </c>
      <c r="AZ3" s="20" t="s">
        <v>34</v>
      </c>
      <c r="BA3" s="20" t="s">
        <v>12</v>
      </c>
      <c r="BB3" s="20" t="s">
        <v>34</v>
      </c>
      <c r="BC3" s="23" t="s">
        <v>390</v>
      </c>
      <c r="BD3" s="23" t="s">
        <v>390</v>
      </c>
      <c r="BE3" s="23" t="s">
        <v>390</v>
      </c>
      <c r="BF3" s="23" t="s">
        <v>390</v>
      </c>
      <c r="BG3" s="23" t="s">
        <v>390</v>
      </c>
      <c r="BH3" s="23" t="s">
        <v>390</v>
      </c>
      <c r="BI3" s="23" t="s">
        <v>390</v>
      </c>
      <c r="BJ3" s="23" t="s">
        <v>390</v>
      </c>
      <c r="BK3" s="23" t="s">
        <v>390</v>
      </c>
      <c r="BL3" s="23" t="s">
        <v>390</v>
      </c>
      <c r="BM3" s="23" t="s">
        <v>390</v>
      </c>
      <c r="BN3" s="23" t="s">
        <v>390</v>
      </c>
      <c r="BO3" s="23" t="s">
        <v>390</v>
      </c>
      <c r="BP3" s="23" t="s">
        <v>390</v>
      </c>
      <c r="BQ3" s="23" t="s">
        <v>390</v>
      </c>
      <c r="BR3" s="23" t="s">
        <v>390</v>
      </c>
      <c r="BS3" s="23" t="s">
        <v>390</v>
      </c>
      <c r="BT3" s="23" t="s">
        <v>390</v>
      </c>
      <c r="BU3" s="23" t="s">
        <v>390</v>
      </c>
      <c r="BV3" s="23" t="s">
        <v>390</v>
      </c>
      <c r="BW3" s="23" t="s">
        <v>390</v>
      </c>
      <c r="BX3" s="23" t="s">
        <v>390</v>
      </c>
      <c r="BY3" s="23" t="s">
        <v>390</v>
      </c>
      <c r="BZ3" s="23" t="s">
        <v>390</v>
      </c>
      <c r="CA3" s="23" t="s">
        <v>390</v>
      </c>
      <c r="CB3" s="23" t="s">
        <v>390</v>
      </c>
      <c r="CC3" s="23" t="s">
        <v>390</v>
      </c>
      <c r="CD3" s="23" t="s">
        <v>391</v>
      </c>
      <c r="CE3" s="23" t="s">
        <v>391</v>
      </c>
      <c r="CF3" s="23" t="s">
        <v>391</v>
      </c>
      <c r="CG3" s="23" t="s">
        <v>391</v>
      </c>
      <c r="CH3" s="23" t="s">
        <v>391</v>
      </c>
      <c r="CI3" s="23" t="s">
        <v>391</v>
      </c>
      <c r="CJ3" s="23" t="s">
        <v>391</v>
      </c>
      <c r="CK3" s="23" t="s">
        <v>391</v>
      </c>
      <c r="CL3" s="23" t="s">
        <v>391</v>
      </c>
      <c r="CM3" s="23" t="s">
        <v>391</v>
      </c>
      <c r="CN3" s="23" t="s">
        <v>391</v>
      </c>
      <c r="CO3" s="23" t="s">
        <v>391</v>
      </c>
    </row>
    <row r="4" spans="1:93">
      <c r="A4" s="21">
        <f>IF(AND('Atividades Micro'!$A2=A$2,'Atividades Micro'!$K2&lt;&gt;""),'Atividades Micro'!$K2,"")</f>
        <v>46196</v>
      </c>
      <c r="B4" s="21" t="str">
        <f>IF(AND('Atividades Micro'!$A2=B$2,'Atividades Micro'!$L2&lt;&gt;""),'Atividades Micro'!$L2,"")</f>
        <v/>
      </c>
      <c r="C4" s="21" t="str">
        <f>IF(AND('Atividades Micro'!$A2=C$2,'Atividades Micro'!$K2&lt;&gt;""),'Atividades Micro'!$K2,"")</f>
        <v/>
      </c>
      <c r="D4" s="21" t="str">
        <f>IF(AND('Atividades Micro'!$A2=D$2,'Atividades Micro'!$L2&lt;&gt;""),'Atividades Micro'!$L2,"")</f>
        <v/>
      </c>
      <c r="E4" s="21" t="str">
        <f>IF(AND('Atividades Micro'!$A2=E$2,'Atividades Micro'!$K2&lt;&gt;""),'Atividades Micro'!$K2,"")</f>
        <v/>
      </c>
      <c r="F4" s="21" t="str">
        <f>IF(AND('Atividades Micro'!$A2=F$2,'Atividades Micro'!$L2&lt;&gt;""),'Atividades Micro'!$L2,"")</f>
        <v/>
      </c>
      <c r="G4" s="21" t="str">
        <f>IF(AND('Atividades Micro'!$A2=G$2,'Atividades Micro'!$K2&lt;&gt;""),'Atividades Micro'!$K2,"")</f>
        <v/>
      </c>
      <c r="H4" s="21" t="str">
        <f>IF(AND('Atividades Micro'!$A2=H$2,'Atividades Micro'!$L2&lt;&gt;""),'Atividades Micro'!$L2,"")</f>
        <v/>
      </c>
      <c r="I4" s="21" t="str">
        <f>IF(AND('Atividades Micro'!$A2=I$2,'Atividades Micro'!$K2&lt;&gt;""),'Atividades Micro'!$K2,"")</f>
        <v/>
      </c>
      <c r="J4" s="21" t="str">
        <f>IF(AND('Atividades Micro'!$A2=J$2,'Atividades Micro'!$L2&lt;&gt;""),'Atividades Micro'!$L2,"")</f>
        <v/>
      </c>
      <c r="K4" s="21" t="str">
        <f>IF(AND('Atividades Micro'!$B2=K$2,'Atividades Micro'!$K2&lt;&gt;""),'Atividades Micro'!$K2,"")</f>
        <v/>
      </c>
      <c r="L4" s="21" t="str">
        <f>IF(AND('Atividades Micro'!$B2=L$2,'Atividades Micro'!$L2&lt;&gt;""),'Atividades Micro'!$L2,"")</f>
        <v/>
      </c>
      <c r="M4" s="21" t="str">
        <f>IF(AND('Atividades Micro'!$B2=M$2,'Atividades Micro'!$K2&lt;&gt;""),'Atividades Micro'!$K2,"")</f>
        <v/>
      </c>
      <c r="N4" s="21" t="str">
        <f>IF(AND('Atividades Micro'!$B2=N$2,'Atividades Micro'!$L2&lt;&gt;""),'Atividades Micro'!$L2,"")</f>
        <v/>
      </c>
      <c r="O4" s="21" t="str">
        <f>IF(AND('Atividades Micro'!$A2=O$2,'Atividades Micro'!$K2&lt;&gt;""),'Atividades Micro'!$K2,"")</f>
        <v/>
      </c>
      <c r="P4" s="21" t="str">
        <f>IF(AND('Atividades Micro'!$A2=P$2,'Atividades Micro'!$L2&lt;&gt;""),'Atividades Micro'!$L2,"")</f>
        <v/>
      </c>
      <c r="Q4" s="21" t="str">
        <f>IF(AND('Atividades Micro'!$B2=Q$2,'Atividades Micro'!$K2&lt;&gt;""),'Atividades Micro'!$K2,"")</f>
        <v/>
      </c>
      <c r="R4" s="21" t="str">
        <f>IF(AND('Atividades Micro'!$B2=R$2,'Atividades Micro'!$L2&lt;&gt;""),'Atividades Micro'!$L2,"")</f>
        <v/>
      </c>
      <c r="S4" s="21" t="str">
        <f>IF(AND('Atividades Micro'!$A2=S$2,'Atividades Micro'!$K2&lt;&gt;""),'Atividades Micro'!$K2,"")</f>
        <v/>
      </c>
      <c r="T4" s="21" t="str">
        <f>IF(AND('Atividades Micro'!$A2=T$2,'Atividades Micro'!$L2&lt;&gt;""),'Atividades Micro'!$L2,"")</f>
        <v/>
      </c>
      <c r="U4" s="21" t="str">
        <f>IF(AND('Atividades Micro'!$B2=U$2,'Atividades Micro'!$K2&lt;&gt;""),'Atividades Micro'!$K2,"")</f>
        <v/>
      </c>
      <c r="V4" s="21" t="str">
        <f>IF(AND('Atividades Micro'!$B2=V$2,'Atividades Micro'!$L2&lt;&gt;""),'Atividades Micro'!$L2,"")</f>
        <v/>
      </c>
      <c r="W4" s="21" t="str">
        <f>IF(AND('Atividades Micro'!$B2=W$2,'Atividades Micro'!$K2&lt;&gt;""),'Atividades Micro'!$K2,"")</f>
        <v/>
      </c>
      <c r="X4" s="21" t="str">
        <f>IF(AND('Atividades Micro'!$B2=X$2,'Atividades Micro'!$L2&lt;&gt;""),'Atividades Micro'!$L2,"")</f>
        <v/>
      </c>
      <c r="Y4" s="21" t="str">
        <f>IF(AND('Atividades Micro'!$A2=Y$2,'Atividades Micro'!$K2&lt;&gt;""),'Atividades Micro'!$K2,"")</f>
        <v/>
      </c>
      <c r="Z4" s="21" t="str">
        <f>IF(AND('Atividades Micro'!$A2=Z$2,'Atividades Micro'!$L2&lt;&gt;""),'Atividades Micro'!$L2,"")</f>
        <v/>
      </c>
      <c r="AA4" s="21" t="str">
        <f>IF(AND('Atividades Micro'!$B2=AA$2,'Atividades Micro'!$K2&lt;&gt;""),'Atividades Micro'!$K2,"")</f>
        <v/>
      </c>
      <c r="AB4" s="21" t="str">
        <f>IF(AND('Atividades Micro'!$B2=AB$2,'Atividades Micro'!$L2&lt;&gt;""),'Atividades Micro'!$L2,"")</f>
        <v/>
      </c>
      <c r="AC4" s="21" t="str">
        <f>IF(AND('Atividades Micro'!$B2=AC$2,'Atividades Micro'!$K2&lt;&gt;""),'Atividades Micro'!$K2,"")</f>
        <v/>
      </c>
      <c r="AD4" s="21" t="str">
        <f>IF(AND('Atividades Micro'!$B2=AD$2,'Atividades Micro'!$L2&lt;&gt;""),'Atividades Micro'!$L2,"")</f>
        <v/>
      </c>
      <c r="AE4" s="21" t="str">
        <f>IF(AND('Atividades Micro'!$A2=AE$2,'Atividades Micro'!$K2&lt;&gt;""),'Atividades Micro'!$K2,"")</f>
        <v/>
      </c>
      <c r="AF4" s="21" t="str">
        <f>IF(AND('Atividades Micro'!$A2=AF$2,'Atividades Micro'!$L2&lt;&gt;""),'Atividades Micro'!$L2,"")</f>
        <v/>
      </c>
      <c r="AG4" s="21" t="str">
        <f>IF(AND('Atividades Micro'!$B2=AG$2,'Atividades Micro'!$K2&lt;&gt;""),'Atividades Micro'!$K2,"")</f>
        <v/>
      </c>
      <c r="AH4" s="21" t="str">
        <f>IF(AND('Atividades Micro'!$B2=AH$2,'Atividades Micro'!$L2&lt;&gt;""),'Atividades Micro'!$L2,"")</f>
        <v/>
      </c>
      <c r="AI4" s="21" t="str">
        <f>IF(AND('Atividades Micro'!$B2=AI$2,'Atividades Micro'!$K2&lt;&gt;""),'Atividades Micro'!$K2,"")</f>
        <v/>
      </c>
      <c r="AJ4" s="21" t="str">
        <f>IF(AND('Atividades Micro'!$B2=AJ$2,'Atividades Micro'!$L2&lt;&gt;""),'Atividades Micro'!$L2,"")</f>
        <v/>
      </c>
      <c r="AK4" s="21" t="str">
        <f>IF(AND('Atividades Micro'!$A2=AK$2,'Atividades Micro'!$K2&lt;&gt;""),'Atividades Micro'!$K2,"")</f>
        <v/>
      </c>
      <c r="AL4" s="21" t="str">
        <f>IF(AND('Atividades Micro'!$A2=AL$2,'Atividades Micro'!$L2&lt;&gt;""),'Atividades Micro'!$L2,"")</f>
        <v/>
      </c>
      <c r="AM4" s="21" t="str">
        <f>IF(AND('Atividades Micro'!$B2=AM$2,'Atividades Micro'!$K2&lt;&gt;""),'Atividades Micro'!$K2,"")</f>
        <v/>
      </c>
      <c r="AN4" s="21" t="str">
        <f>IF(AND('Atividades Micro'!$B2=AN$2,'Atividades Micro'!$L2&lt;&gt;""),'Atividades Micro'!$L2,"")</f>
        <v/>
      </c>
      <c r="AO4" s="21" t="str">
        <f>IF(AND('Atividades Micro'!$B2=AO$2,'Atividades Micro'!$K2&lt;&gt;""),'Atividades Micro'!$K2,"")</f>
        <v/>
      </c>
      <c r="AP4" s="21" t="str">
        <f>IF(AND('Atividades Micro'!$B2=AP$2,'Atividades Micro'!$L2&lt;&gt;""),'Atividades Micro'!$L2,"")</f>
        <v/>
      </c>
      <c r="AQ4" s="21" t="str">
        <f>IF(AND('Atividades Micro'!$A2=AQ$2,'Atividades Micro'!$K2&lt;&gt;""),'Atividades Micro'!$K2,"")</f>
        <v/>
      </c>
      <c r="AR4" s="21" t="str">
        <f>IF(AND('Atividades Micro'!$A2=AR$2,'Atividades Micro'!$L2&lt;&gt;""),'Atividades Micro'!$L2,"")</f>
        <v/>
      </c>
      <c r="AS4" s="21" t="str">
        <f>IF(AND('Atividades Micro'!$B2=AS$2,'Atividades Micro'!$K2&lt;&gt;""),'Atividades Micro'!$K2,"")</f>
        <v/>
      </c>
      <c r="AT4" s="21" t="str">
        <f>IF(AND('Atividades Micro'!$B2=AT$2,'Atividades Micro'!$L2&lt;&gt;""),'Atividades Micro'!$L2,"")</f>
        <v/>
      </c>
      <c r="AU4" s="21" t="str">
        <f>IF(AND('Atividades Micro'!$A2=AU$2,'Atividades Micro'!$K2&lt;&gt;""),'Atividades Micro'!$K2,"")</f>
        <v/>
      </c>
      <c r="AV4" s="21" t="str">
        <f>IF(AND('Atividades Micro'!$A2=AV$2,'Atividades Micro'!$L2&lt;&gt;""),'Atividades Micro'!$L2,"")</f>
        <v/>
      </c>
      <c r="AW4" s="21" t="str">
        <f>IF(AND('Atividades Micro'!$B2=AW$2,'Atividades Micro'!$K2&lt;&gt;""),'Atividades Micro'!$K2,"")</f>
        <v/>
      </c>
      <c r="AX4" s="21" t="str">
        <f>IF(AND('Atividades Micro'!$B2=AX$2,'Atividades Micro'!$L2&lt;&gt;""),'Atividades Micro'!$L2,"")</f>
        <v/>
      </c>
      <c r="AY4" s="21" t="str">
        <f>IF(AND('Atividades Micro'!$A2=AY$2,'Atividades Micro'!$K2&lt;&gt;""),'Atividades Micro'!$K2,"")</f>
        <v/>
      </c>
      <c r="AZ4" s="21" t="str">
        <f>IF(AND('Atividades Micro'!$A2=AZ$2,'Atividades Micro'!$L2&lt;&gt;""),'Atividades Micro'!$L2,"")</f>
        <v/>
      </c>
      <c r="BA4" s="21" t="str">
        <f>IF(AND('Atividades Micro'!$B2=BA$2,'Atividades Micro'!$K2&lt;&gt;""),'Atividades Micro'!$K2,"")</f>
        <v/>
      </c>
      <c r="BB4" s="21" t="str">
        <f>IF(AND('Atividades Micro'!$B2=BB$2,'Atividades Micro'!$L2&lt;&gt;""),'Atividades Micro'!$L2,"")</f>
        <v/>
      </c>
      <c r="BC4" s="21" t="str">
        <f>IF(AND('Atividades Micro'!$B2=BC$2,'Atividades Micro'!$G2="Macro",'Atividades Micro'!$K2&lt;&gt;""),'Atividades Micro'!$K2,"")</f>
        <v/>
      </c>
      <c r="BD4" s="21" t="str">
        <f>IF(AND('Atividades Micro'!$B2=BD$2,'Atividades Micro'!$G2="Macro",'Atividades Micro'!$K2&lt;&gt;""),'Atividades Micro'!$K2,"")</f>
        <v/>
      </c>
      <c r="BE4" s="21" t="str">
        <f>IF(AND('Atividades Micro'!$B2=BE$2,'Atividades Micro'!$G2="Macro",'Atividades Micro'!$K2&lt;&gt;""),'Atividades Micro'!$K2,"")</f>
        <v/>
      </c>
      <c r="BF4" s="21" t="str">
        <f>IF(AND('Atividades Micro'!$B2=BF$2,'Atividades Micro'!$G2="Macro",'Atividades Micro'!$K2&lt;&gt;""),'Atividades Micro'!$K2,"")</f>
        <v/>
      </c>
      <c r="BG4" s="21" t="str">
        <f>IF(AND('Atividades Micro'!$B2=BG$2,'Atividades Micro'!$G2="Macro",'Atividades Micro'!$K2&lt;&gt;""),'Atividades Micro'!$K2,"")</f>
        <v/>
      </c>
      <c r="BH4" s="21" t="str">
        <f>IF(AND('Atividades Micro'!$B2=BH$2,'Atividades Micro'!$G2="Macro",'Atividades Micro'!$K2&lt;&gt;""),'Atividades Micro'!$K2,"")</f>
        <v/>
      </c>
      <c r="BI4" s="21" t="str">
        <f>IF(AND('Atividades Micro'!$B2=BI$2,'Atividades Micro'!$G2="Macro",'Atividades Micro'!$K2&lt;&gt;""),'Atividades Micro'!$K2,"")</f>
        <v/>
      </c>
      <c r="BJ4" s="21" t="str">
        <f>IF(AND('Atividades Micro'!$B2=BJ$2,'Atividades Micro'!$G2="Macro",'Atividades Micro'!$K2&lt;&gt;""),'Atividades Micro'!$K2,"")</f>
        <v/>
      </c>
      <c r="BK4" s="21" t="str">
        <f>IF(AND('Atividades Micro'!$B2=BK$2,'Atividades Micro'!$G2="Macro",'Atividades Micro'!$K2&lt;&gt;""),'Atividades Micro'!$K2,"")</f>
        <v/>
      </c>
      <c r="BL4" s="21" t="str">
        <f>IF(AND('Atividades Micro'!$B2=BL$2,'Atividades Micro'!$G2="Macro",'Atividades Micro'!$K2&lt;&gt;""),'Atividades Micro'!$K2,"")</f>
        <v/>
      </c>
      <c r="BM4" s="21" t="str">
        <f>IF(AND('Atividades Micro'!$B2=BM$2,'Atividades Micro'!$G2="Macro",'Atividades Micro'!$K2&lt;&gt;""),'Atividades Micro'!$K2,"")</f>
        <v/>
      </c>
      <c r="BN4" s="21" t="str">
        <f>IF(AND('Atividades Micro'!$B2=BN$2,'Atividades Micro'!$G2="Macro",'Atividades Micro'!$K2&lt;&gt;""),'Atividades Micro'!$K2,"")</f>
        <v/>
      </c>
      <c r="BO4" s="21" t="str">
        <f>IF(AND('Atividades Micro'!$B2=BO$2,'Atividades Micro'!$G2="Macro",'Atividades Micro'!$K2&lt;&gt;""),'Atividades Micro'!$K2,"")</f>
        <v/>
      </c>
      <c r="BP4" s="21" t="str">
        <f>IF(AND('Atividades Micro'!$B2=BP$2,'Atividades Micro'!$G2="Macro",'Atividades Micro'!$K2&lt;&gt;""),'Atividades Micro'!$K2,"")</f>
        <v/>
      </c>
      <c r="BQ4" s="21" t="str">
        <f>IF(AND('Atividades Micro'!$B2=BQ$2,'Atividades Micro'!$G2="Macro",'Atividades Micro'!$K2&lt;&gt;""),'Atividades Micro'!$K2,"")</f>
        <v/>
      </c>
      <c r="BR4" s="21" t="str">
        <f>IF(AND('Atividades Micro'!$B2=BR$2,'Atividades Micro'!$G2="Macro",'Atividades Micro'!$K2&lt;&gt;""),'Atividades Micro'!$K2,"")</f>
        <v/>
      </c>
      <c r="BS4" s="21" t="str">
        <f>IF(AND('Atividades Micro'!$B2=BS$2,'Atividades Micro'!$G2="Macro",'Atividades Micro'!$K2&lt;&gt;""),'Atividades Micro'!$K2,"")</f>
        <v/>
      </c>
      <c r="BT4" s="21" t="str">
        <f>IF(AND('Atividades Micro'!$B2=BT$2,'Atividades Micro'!$G2="Macro",'Atividades Micro'!$K2&lt;&gt;""),'Atividades Micro'!$K2,"")</f>
        <v/>
      </c>
      <c r="BU4" s="21" t="str">
        <f>IF(AND('Atividades Micro'!$B2=BU$2,'Atividades Micro'!$G2="Macro",'Atividades Micro'!$K2&lt;&gt;""),'Atividades Micro'!$K2,"")</f>
        <v/>
      </c>
      <c r="BV4" s="21" t="str">
        <f>IF(AND('Atividades Micro'!$B2=BV$2,'Atividades Micro'!$G2="Macro",'Atividades Micro'!$K2&lt;&gt;""),'Atividades Micro'!$K2,"")</f>
        <v/>
      </c>
      <c r="BW4" s="21" t="str">
        <f>IF(AND('Atividades Micro'!$B2=BW$2,'Atividades Micro'!$G2="Macro",'Atividades Micro'!$K2&lt;&gt;""),'Atividades Micro'!$K2,"")</f>
        <v/>
      </c>
      <c r="BX4" s="21" t="str">
        <f>IF(AND('Atividades Micro'!$B2=BX$2,'Atividades Micro'!$G2="Macro",'Atividades Micro'!$K2&lt;&gt;""),'Atividades Micro'!$K2,"")</f>
        <v/>
      </c>
      <c r="BY4" s="21" t="str">
        <f>IF(AND('Atividades Micro'!$B2=BY$2,'Atividades Micro'!$G2="Macro",'Atividades Micro'!$K2&lt;&gt;""),'Atividades Micro'!$K2,"")</f>
        <v/>
      </c>
      <c r="BZ4" s="21" t="str">
        <f>IF(AND('Atividades Micro'!$B2=BZ$2,'Atividades Micro'!$G2="Macro",'Atividades Micro'!$K2&lt;&gt;""),'Atividades Micro'!$K2,"")</f>
        <v/>
      </c>
      <c r="CA4" s="21" t="str">
        <f>IF(AND('Atividades Micro'!$B2=CA$2,'Atividades Micro'!$G2="Macro",'Atividades Micro'!$K2&lt;&gt;""),'Atividades Micro'!$K2,"")</f>
        <v/>
      </c>
      <c r="CB4" s="21" t="str">
        <f>IF(AND('Atividades Micro'!$B2=CB$2,'Atividades Micro'!$G2="Macro",'Atividades Micro'!$K2&lt;&gt;""),'Atividades Micro'!$K2,"")</f>
        <v/>
      </c>
      <c r="CC4" s="21" t="str">
        <f>IF(AND('Atividades Micro'!$B2=CC$2,'Atividades Micro'!$G2="Macro",'Atividades Micro'!$K2&lt;&gt;""),'Atividades Micro'!$K2,"")</f>
        <v/>
      </c>
      <c r="CD4" s="21" t="str">
        <f>IF(AND('Atividades Micro'!$B2=CD$2,'Atividades Micro'!$G2="Micro",'Atividades Micro'!$K2&lt;&gt;""),'Atividades Micro'!$K2,"")</f>
        <v/>
      </c>
      <c r="CE4" s="21" t="str">
        <f>IF(AND('Atividades Micro'!$B2=CE$2,'Atividades Micro'!$G2="Micro",'Atividades Micro'!$K2&lt;&gt;""),'Atividades Micro'!$K2,"")</f>
        <v/>
      </c>
      <c r="CF4" s="21" t="str">
        <f>IF(AND('Atividades Micro'!$B2=CF$2,'Atividades Micro'!$G2="Micro",'Atividades Micro'!$K2&lt;&gt;""),'Atividades Micro'!$K2,"")</f>
        <v/>
      </c>
      <c r="CG4" s="21" t="str">
        <f>IF(AND('Atividades Micro'!$B2=CG$2,'Atividades Micro'!$G2="Micro",'Atividades Micro'!$K2&lt;&gt;""),'Atividades Micro'!$K2,"")</f>
        <v/>
      </c>
      <c r="CH4" s="21" t="str">
        <f>IF(AND('Atividades Micro'!$B2=CH$2,'Atividades Micro'!$G2="Micro",'Atividades Micro'!$K2&lt;&gt;""),'Atividades Micro'!$K2,"")</f>
        <v/>
      </c>
      <c r="CI4" s="21" t="str">
        <f>IF(AND('Atividades Micro'!$B2=CI$2,'Atividades Micro'!$G2="Micro",'Atividades Micro'!$K2&lt;&gt;""),'Atividades Micro'!$K2,"")</f>
        <v/>
      </c>
      <c r="CJ4" s="21" t="str">
        <f>IF(AND('Atividades Micro'!$B2=CJ$2,'Atividades Micro'!$G2="Micro",'Atividades Micro'!$K2&lt;&gt;""),'Atividades Micro'!$K2,"")</f>
        <v/>
      </c>
      <c r="CK4" s="21" t="str">
        <f>IF(AND('Atividades Micro'!$B2=CK$2,'Atividades Micro'!$G2="Micro",'Atividades Micro'!$K2&lt;&gt;""),'Atividades Micro'!$K2,"")</f>
        <v/>
      </c>
      <c r="CL4" s="21" t="str">
        <f>IF(AND('Atividades Micro'!$B2=CL$2,'Atividades Micro'!$G2="Micro",'Atividades Micro'!$K2&lt;&gt;""),'Atividades Micro'!$K2,"")</f>
        <v/>
      </c>
      <c r="CM4" s="21" t="str">
        <f>IF(AND('Atividades Micro'!$B2=CM$2,'Atividades Micro'!$G2="Micro",'Atividades Micro'!$K2&lt;&gt;""),'Atividades Micro'!$K2,"")</f>
        <v/>
      </c>
      <c r="CN4" s="21" t="str">
        <f>IF(AND('Atividades Micro'!$B2=CN$2,'Atividades Micro'!$G2="Micro",'Atividades Micro'!$K2&lt;&gt;""),'Atividades Micro'!$K2,"")</f>
        <v/>
      </c>
      <c r="CO4" s="21" t="str">
        <f>IF(AND('Atividades Micro'!$B2=CO$2,'Atividades Micro'!$G2="Micro",'Atividades Micro'!$K2&lt;&gt;""),'Atividades Micro'!$K2,"")</f>
        <v/>
      </c>
    </row>
    <row r="5" spans="1:93">
      <c r="A5" s="21">
        <f>IF(AND('Atividades Micro'!$A3=A$2,'Atividades Micro'!$K3&lt;&gt;""),'Atividades Micro'!$K3,"")</f>
        <v>46199</v>
      </c>
      <c r="B5" s="21" t="str">
        <f>IF(AND('Atividades Micro'!$A3=B$2,'Atividades Micro'!$L3&lt;&gt;""),'Atividades Micro'!$L3,"")</f>
        <v/>
      </c>
      <c r="C5" s="21" t="str">
        <f>IF(AND('Atividades Micro'!$A3=C$2,'Atividades Micro'!$K3&lt;&gt;""),'Atividades Micro'!$K3,"")</f>
        <v/>
      </c>
      <c r="D5" s="21" t="str">
        <f>IF(AND('Atividades Micro'!$A3=D$2,'Atividades Micro'!$L3&lt;&gt;""),'Atividades Micro'!$L3,"")</f>
        <v/>
      </c>
      <c r="E5" s="21" t="str">
        <f>IF(AND('Atividades Micro'!$A3=E$2,'Atividades Micro'!$K3&lt;&gt;""),'Atividades Micro'!$K3,"")</f>
        <v/>
      </c>
      <c r="F5" s="21" t="str">
        <f>IF(AND('Atividades Micro'!$A3=F$2,'Atividades Micro'!$L3&lt;&gt;""),'Atividades Micro'!$L3,"")</f>
        <v/>
      </c>
      <c r="G5" s="21" t="str">
        <f>IF(AND('Atividades Micro'!$A3=G$2,'Atividades Micro'!$K3&lt;&gt;""),'Atividades Micro'!$K3,"")</f>
        <v/>
      </c>
      <c r="H5" s="21" t="str">
        <f>IF(AND('Atividades Micro'!$A3=H$2,'Atividades Micro'!$L3&lt;&gt;""),'Atividades Micro'!$L3,"")</f>
        <v/>
      </c>
      <c r="I5" s="21" t="str">
        <f>IF(AND('Atividades Micro'!$A3=I$2,'Atividades Micro'!$K3&lt;&gt;""),'Atividades Micro'!$K3,"")</f>
        <v/>
      </c>
      <c r="J5" s="21" t="str">
        <f>IF(AND('Atividades Micro'!$A3=J$2,'Atividades Micro'!$L3&lt;&gt;""),'Atividades Micro'!$L3,"")</f>
        <v/>
      </c>
      <c r="K5" s="21" t="str">
        <f>IF(AND('Atividades Micro'!$B3=K$2,'Atividades Micro'!$K3&lt;&gt;""),'Atividades Micro'!$K3,"")</f>
        <v/>
      </c>
      <c r="L5" s="21" t="str">
        <f>IF(AND('Atividades Micro'!$B3=L$2,'Atividades Micro'!$L3&lt;&gt;""),'Atividades Micro'!$L3,"")</f>
        <v/>
      </c>
      <c r="M5" s="21" t="str">
        <f>IF(AND('Atividades Micro'!$B3=M$2,'Atividades Micro'!$K3&lt;&gt;""),'Atividades Micro'!$K3,"")</f>
        <v/>
      </c>
      <c r="N5" s="21" t="str">
        <f>IF(AND('Atividades Micro'!$B3=N$2,'Atividades Micro'!$L3&lt;&gt;""),'Atividades Micro'!$L3,"")</f>
        <v/>
      </c>
      <c r="O5" s="21" t="str">
        <f>IF(AND('Atividades Micro'!$A3=O$2,'Atividades Micro'!$K3&lt;&gt;""),'Atividades Micro'!$K3,"")</f>
        <v/>
      </c>
      <c r="P5" s="21" t="str">
        <f>IF(AND('Atividades Micro'!$A3=P$2,'Atividades Micro'!$L3&lt;&gt;""),'Atividades Micro'!$L3,"")</f>
        <v/>
      </c>
      <c r="Q5" s="21" t="str">
        <f>IF(AND('Atividades Micro'!$B3=Q$2,'Atividades Micro'!$K3&lt;&gt;""),'Atividades Micro'!$K3,"")</f>
        <v/>
      </c>
      <c r="R5" s="21" t="str">
        <f>IF(AND('Atividades Micro'!$B3=R$2,'Atividades Micro'!$L3&lt;&gt;""),'Atividades Micro'!$L3,"")</f>
        <v/>
      </c>
      <c r="S5" s="21" t="str">
        <f>IF(AND('Atividades Micro'!$A3=S$2,'Atividades Micro'!$K3&lt;&gt;""),'Atividades Micro'!$K3,"")</f>
        <v/>
      </c>
      <c r="T5" s="21" t="str">
        <f>IF(AND('Atividades Micro'!$A3=T$2,'Atividades Micro'!$L3&lt;&gt;""),'Atividades Micro'!$L3,"")</f>
        <v/>
      </c>
      <c r="U5" s="21" t="str">
        <f>IF(AND('Atividades Micro'!$B3=U$2,'Atividades Micro'!$K3&lt;&gt;""),'Atividades Micro'!$K3,"")</f>
        <v/>
      </c>
      <c r="V5" s="21" t="str">
        <f>IF(AND('Atividades Micro'!$B3=V$2,'Atividades Micro'!$L3&lt;&gt;""),'Atividades Micro'!$L3,"")</f>
        <v/>
      </c>
      <c r="W5" s="21" t="str">
        <f>IF(AND('Atividades Micro'!$B3=W$2,'Atividades Micro'!$K3&lt;&gt;""),'Atividades Micro'!$K3,"")</f>
        <v/>
      </c>
      <c r="X5" s="21" t="str">
        <f>IF(AND('Atividades Micro'!$B3=X$2,'Atividades Micro'!$L3&lt;&gt;""),'Atividades Micro'!$L3,"")</f>
        <v/>
      </c>
      <c r="Y5" s="21" t="str">
        <f>IF(AND('Atividades Micro'!$A3=Y$2,'Atividades Micro'!$K3&lt;&gt;""),'Atividades Micro'!$K3,"")</f>
        <v/>
      </c>
      <c r="Z5" s="21" t="str">
        <f>IF(AND('Atividades Micro'!$A3=Z$2,'Atividades Micro'!$L3&lt;&gt;""),'Atividades Micro'!$L3,"")</f>
        <v/>
      </c>
      <c r="AA5" s="21" t="str">
        <f>IF(AND('Atividades Micro'!$B3=AA$2,'Atividades Micro'!$K3&lt;&gt;""),'Atividades Micro'!$K3,"")</f>
        <v/>
      </c>
      <c r="AB5" s="21" t="str">
        <f>IF(AND('Atividades Micro'!$B3=AB$2,'Atividades Micro'!$L3&lt;&gt;""),'Atividades Micro'!$L3,"")</f>
        <v/>
      </c>
      <c r="AC5" s="21" t="str">
        <f>IF(AND('Atividades Micro'!$B3=AC$2,'Atividades Micro'!$K3&lt;&gt;""),'Atividades Micro'!$K3,"")</f>
        <v/>
      </c>
      <c r="AD5" s="21" t="str">
        <f>IF(AND('Atividades Micro'!$B3=AD$2,'Atividades Micro'!$L3&lt;&gt;""),'Atividades Micro'!$L3,"")</f>
        <v/>
      </c>
      <c r="AE5" s="21" t="str">
        <f>IF(AND('Atividades Micro'!$A3=AE$2,'Atividades Micro'!$K3&lt;&gt;""),'Atividades Micro'!$K3,"")</f>
        <v/>
      </c>
      <c r="AF5" s="21" t="str">
        <f>IF(AND('Atividades Micro'!$A3=AF$2,'Atividades Micro'!$L3&lt;&gt;""),'Atividades Micro'!$L3,"")</f>
        <v/>
      </c>
      <c r="AG5" s="21" t="str">
        <f>IF(AND('Atividades Micro'!$B3=AG$2,'Atividades Micro'!$K3&lt;&gt;""),'Atividades Micro'!$K3,"")</f>
        <v/>
      </c>
      <c r="AH5" s="21" t="str">
        <f>IF(AND('Atividades Micro'!$B3=AH$2,'Atividades Micro'!$L3&lt;&gt;""),'Atividades Micro'!$L3,"")</f>
        <v/>
      </c>
      <c r="AI5" s="21" t="str">
        <f>IF(AND('Atividades Micro'!$B3=AI$2,'Atividades Micro'!$K3&lt;&gt;""),'Atividades Micro'!$K3,"")</f>
        <v/>
      </c>
      <c r="AJ5" s="21" t="str">
        <f>IF(AND('Atividades Micro'!$B3=AJ$2,'Atividades Micro'!$L3&lt;&gt;""),'Atividades Micro'!$L3,"")</f>
        <v/>
      </c>
      <c r="AK5" s="21" t="str">
        <f>IF(AND('Atividades Micro'!$A3=AK$2,'Atividades Micro'!$K3&lt;&gt;""),'Atividades Micro'!$K3,"")</f>
        <v/>
      </c>
      <c r="AL5" s="21" t="str">
        <f>IF(AND('Atividades Micro'!$A3=AL$2,'Atividades Micro'!$L3&lt;&gt;""),'Atividades Micro'!$L3,"")</f>
        <v/>
      </c>
      <c r="AM5" s="21" t="str">
        <f>IF(AND('Atividades Micro'!$B3=AM$2,'Atividades Micro'!$K3&lt;&gt;""),'Atividades Micro'!$K3,"")</f>
        <v/>
      </c>
      <c r="AN5" s="21" t="str">
        <f>IF(AND('Atividades Micro'!$B3=AN$2,'Atividades Micro'!$L3&lt;&gt;""),'Atividades Micro'!$L3,"")</f>
        <v/>
      </c>
      <c r="AO5" s="21" t="str">
        <f>IF(AND('Atividades Micro'!$B3=AO$2,'Atividades Micro'!$K3&lt;&gt;""),'Atividades Micro'!$K3,"")</f>
        <v/>
      </c>
      <c r="AP5" s="21" t="str">
        <f>IF(AND('Atividades Micro'!$B3=AP$2,'Atividades Micro'!$L3&lt;&gt;""),'Atividades Micro'!$L3,"")</f>
        <v/>
      </c>
      <c r="AQ5" s="21" t="str">
        <f>IF(AND('Atividades Micro'!$A3=AQ$2,'Atividades Micro'!$K3&lt;&gt;""),'Atividades Micro'!$K3,"")</f>
        <v/>
      </c>
      <c r="AR5" s="21" t="str">
        <f>IF(AND('Atividades Micro'!$A3=AR$2,'Atividades Micro'!$L3&lt;&gt;""),'Atividades Micro'!$L3,"")</f>
        <v/>
      </c>
      <c r="AS5" s="21" t="str">
        <f>IF(AND('Atividades Micro'!$B3=AS$2,'Atividades Micro'!$K3&lt;&gt;""),'Atividades Micro'!$K3,"")</f>
        <v/>
      </c>
      <c r="AT5" s="21" t="str">
        <f>IF(AND('Atividades Micro'!$B3=AT$2,'Atividades Micro'!$L3&lt;&gt;""),'Atividades Micro'!$L3,"")</f>
        <v/>
      </c>
      <c r="AU5" s="21" t="str">
        <f>IF(AND('Atividades Micro'!$A3=AU$2,'Atividades Micro'!$K3&lt;&gt;""),'Atividades Micro'!$K3,"")</f>
        <v/>
      </c>
      <c r="AV5" s="21" t="str">
        <f>IF(AND('Atividades Micro'!$A3=AV$2,'Atividades Micro'!$L3&lt;&gt;""),'Atividades Micro'!$L3,"")</f>
        <v/>
      </c>
      <c r="AW5" s="21" t="str">
        <f>IF(AND('Atividades Micro'!$B3=AW$2,'Atividades Micro'!$K3&lt;&gt;""),'Atividades Micro'!$K3,"")</f>
        <v/>
      </c>
      <c r="AX5" s="21" t="str">
        <f>IF(AND('Atividades Micro'!$B3=AX$2,'Atividades Micro'!$L3&lt;&gt;""),'Atividades Micro'!$L3,"")</f>
        <v/>
      </c>
      <c r="AY5" s="21" t="str">
        <f>IF(AND('Atividades Micro'!$A3=AY$2,'Atividades Micro'!$K3&lt;&gt;""),'Atividades Micro'!$K3,"")</f>
        <v/>
      </c>
      <c r="AZ5" s="21" t="str">
        <f>IF(AND('Atividades Micro'!$A3=AZ$2,'Atividades Micro'!$L3&lt;&gt;""),'Atividades Micro'!$L3,"")</f>
        <v/>
      </c>
      <c r="BA5" s="21" t="str">
        <f>IF(AND('Atividades Micro'!$B3=BA$2,'Atividades Micro'!$K3&lt;&gt;""),'Atividades Micro'!$K3,"")</f>
        <v/>
      </c>
      <c r="BB5" s="21" t="str">
        <f>IF(AND('Atividades Micro'!$B3=BB$2,'Atividades Micro'!$L3&lt;&gt;""),'Atividades Micro'!$L3,"")</f>
        <v/>
      </c>
      <c r="BC5" s="21" t="str">
        <f>IF(AND('Atividades Micro'!$B3=BC$2,'Atividades Micro'!$G3="Macro",'Atividades Micro'!$K3&lt;&gt;""),'Atividades Micro'!$K3,"")</f>
        <v/>
      </c>
      <c r="BD5" s="21" t="str">
        <f>IF(AND('Atividades Micro'!$B3=BD$2,'Atividades Micro'!$G3="Macro",'Atividades Micro'!$K3&lt;&gt;""),'Atividades Micro'!$K3,"")</f>
        <v/>
      </c>
      <c r="BE5" s="21" t="str">
        <f>IF(AND('Atividades Micro'!$B3=BE$2,'Atividades Micro'!$G3="Macro",'Atividades Micro'!$K3&lt;&gt;""),'Atividades Micro'!$K3,"")</f>
        <v/>
      </c>
      <c r="BF5" s="21" t="str">
        <f>IF(AND('Atividades Micro'!$B3=BF$2,'Atividades Micro'!$G3="Macro",'Atividades Micro'!$K3&lt;&gt;""),'Atividades Micro'!$K3,"")</f>
        <v/>
      </c>
      <c r="BG5" s="21" t="str">
        <f>IF(AND('Atividades Micro'!$B3=BG$2,'Atividades Micro'!$G3="Macro",'Atividades Micro'!$K3&lt;&gt;""),'Atividades Micro'!$K3,"")</f>
        <v/>
      </c>
      <c r="BH5" s="21" t="str">
        <f>IF(AND('Atividades Micro'!$B3=BH$2,'Atividades Micro'!$G3="Macro",'Atividades Micro'!$K3&lt;&gt;""),'Atividades Micro'!$K3,"")</f>
        <v/>
      </c>
      <c r="BI5" s="21" t="str">
        <f>IF(AND('Atividades Micro'!$B3=BI$2,'Atividades Micro'!$G3="Macro",'Atividades Micro'!$K3&lt;&gt;""),'Atividades Micro'!$K3,"")</f>
        <v/>
      </c>
      <c r="BJ5" s="21" t="str">
        <f>IF(AND('Atividades Micro'!$B3=BJ$2,'Atividades Micro'!$G3="Macro",'Atividades Micro'!$K3&lt;&gt;""),'Atividades Micro'!$K3,"")</f>
        <v/>
      </c>
      <c r="BK5" s="21" t="str">
        <f>IF(AND('Atividades Micro'!$B3=BK$2,'Atividades Micro'!$G3="Macro",'Atividades Micro'!$K3&lt;&gt;""),'Atividades Micro'!$K3,"")</f>
        <v/>
      </c>
      <c r="BL5" s="21" t="str">
        <f>IF(AND('Atividades Micro'!$B3=BL$2,'Atividades Micro'!$G3="Macro",'Atividades Micro'!$K3&lt;&gt;""),'Atividades Micro'!$K3,"")</f>
        <v/>
      </c>
      <c r="BM5" s="21" t="str">
        <f>IF(AND('Atividades Micro'!$B3=BM$2,'Atividades Micro'!$G3="Macro",'Atividades Micro'!$K3&lt;&gt;""),'Atividades Micro'!$K3,"")</f>
        <v/>
      </c>
      <c r="BN5" s="21" t="str">
        <f>IF(AND('Atividades Micro'!$B3=BN$2,'Atividades Micro'!$G3="Macro",'Atividades Micro'!$K3&lt;&gt;""),'Atividades Micro'!$K3,"")</f>
        <v/>
      </c>
      <c r="BO5" s="21" t="str">
        <f>IF(AND('Atividades Micro'!$B3=BO$2,'Atividades Micro'!$G3="Macro",'Atividades Micro'!$K3&lt;&gt;""),'Atividades Micro'!$K3,"")</f>
        <v/>
      </c>
      <c r="BP5" s="21" t="str">
        <f>IF(AND('Atividades Micro'!$B3=BP$2,'Atividades Micro'!$G3="Macro",'Atividades Micro'!$K3&lt;&gt;""),'Atividades Micro'!$K3,"")</f>
        <v/>
      </c>
      <c r="BQ5" s="21" t="str">
        <f>IF(AND('Atividades Micro'!$B3=BQ$2,'Atividades Micro'!$G3="Macro",'Atividades Micro'!$K3&lt;&gt;""),'Atividades Micro'!$K3,"")</f>
        <v/>
      </c>
      <c r="BR5" s="21" t="str">
        <f>IF(AND('Atividades Micro'!$B3=BR$2,'Atividades Micro'!$G3="Macro",'Atividades Micro'!$K3&lt;&gt;""),'Atividades Micro'!$K3,"")</f>
        <v/>
      </c>
      <c r="BS5" s="21" t="str">
        <f>IF(AND('Atividades Micro'!$B3=BS$2,'Atividades Micro'!$G3="Macro",'Atividades Micro'!$K3&lt;&gt;""),'Atividades Micro'!$K3,"")</f>
        <v/>
      </c>
      <c r="BT5" s="21" t="str">
        <f>IF(AND('Atividades Micro'!$B3=BT$2,'Atividades Micro'!$G3="Macro",'Atividades Micro'!$K3&lt;&gt;""),'Atividades Micro'!$K3,"")</f>
        <v/>
      </c>
      <c r="BU5" s="21" t="str">
        <f>IF(AND('Atividades Micro'!$B3=BU$2,'Atividades Micro'!$G3="Macro",'Atividades Micro'!$K3&lt;&gt;""),'Atividades Micro'!$K3,"")</f>
        <v/>
      </c>
      <c r="BV5" s="21" t="str">
        <f>IF(AND('Atividades Micro'!$B3=BV$2,'Atividades Micro'!$G3="Macro",'Atividades Micro'!$K3&lt;&gt;""),'Atividades Micro'!$K3,"")</f>
        <v/>
      </c>
      <c r="BW5" s="21" t="str">
        <f>IF(AND('Atividades Micro'!$B3=BW$2,'Atividades Micro'!$G3="Macro",'Atividades Micro'!$K3&lt;&gt;""),'Atividades Micro'!$K3,"")</f>
        <v/>
      </c>
      <c r="BX5" s="21" t="str">
        <f>IF(AND('Atividades Micro'!$B3=BX$2,'Atividades Micro'!$G3="Macro",'Atividades Micro'!$K3&lt;&gt;""),'Atividades Micro'!$K3,"")</f>
        <v/>
      </c>
      <c r="BY5" s="21" t="str">
        <f>IF(AND('Atividades Micro'!$B3=BY$2,'Atividades Micro'!$G3="Macro",'Atividades Micro'!$K3&lt;&gt;""),'Atividades Micro'!$K3,"")</f>
        <v/>
      </c>
      <c r="BZ5" s="21" t="str">
        <f>IF(AND('Atividades Micro'!$B3=BZ$2,'Atividades Micro'!$G3="Macro",'Atividades Micro'!$K3&lt;&gt;""),'Atividades Micro'!$K3,"")</f>
        <v/>
      </c>
      <c r="CA5" s="21" t="str">
        <f>IF(AND('Atividades Micro'!$B3=CA$2,'Atividades Micro'!$G3="Macro",'Atividades Micro'!$K3&lt;&gt;""),'Atividades Micro'!$K3,"")</f>
        <v/>
      </c>
      <c r="CB5" s="21" t="str">
        <f>IF(AND('Atividades Micro'!$B3=CB$2,'Atividades Micro'!$G3="Macro",'Atividades Micro'!$K3&lt;&gt;""),'Atividades Micro'!$K3,"")</f>
        <v/>
      </c>
      <c r="CC5" s="21" t="str">
        <f>IF(AND('Atividades Micro'!$B3=CC$2,'Atividades Micro'!$G3="Macro",'Atividades Micro'!$K3&lt;&gt;""),'Atividades Micro'!$K3,"")</f>
        <v/>
      </c>
      <c r="CD5" s="21" t="str">
        <f>IF(AND('Atividades Micro'!$B3=CD$2,'Atividades Micro'!$G3="Micro",'Atividades Micro'!$K3&lt;&gt;""),'Atividades Micro'!$K3,"")</f>
        <v/>
      </c>
      <c r="CE5" s="21" t="str">
        <f>IF(AND('Atividades Micro'!$B3=CE$2,'Atividades Micro'!$G3="Micro",'Atividades Micro'!$K3&lt;&gt;""),'Atividades Micro'!$K3,"")</f>
        <v/>
      </c>
      <c r="CF5" s="21" t="str">
        <f>IF(AND('Atividades Micro'!$B3=CF$2,'Atividades Micro'!$G3="Micro",'Atividades Micro'!$K3&lt;&gt;""),'Atividades Micro'!$K3,"")</f>
        <v/>
      </c>
      <c r="CG5" s="21" t="str">
        <f>IF(AND('Atividades Micro'!$B3=CG$2,'Atividades Micro'!$G3="Micro",'Atividades Micro'!$K3&lt;&gt;""),'Atividades Micro'!$K3,"")</f>
        <v/>
      </c>
      <c r="CH5" s="21" t="str">
        <f>IF(AND('Atividades Micro'!$B3=CH$2,'Atividades Micro'!$G3="Micro",'Atividades Micro'!$K3&lt;&gt;""),'Atividades Micro'!$K3,"")</f>
        <v/>
      </c>
      <c r="CI5" s="21" t="str">
        <f>IF(AND('Atividades Micro'!$B3=CI$2,'Atividades Micro'!$G3="Micro",'Atividades Micro'!$K3&lt;&gt;""),'Atividades Micro'!$K3,"")</f>
        <v/>
      </c>
      <c r="CJ5" s="21" t="str">
        <f>IF(AND('Atividades Micro'!$B3=CJ$2,'Atividades Micro'!$G3="Micro",'Atividades Micro'!$K3&lt;&gt;""),'Atividades Micro'!$K3,"")</f>
        <v/>
      </c>
      <c r="CK5" s="21" t="str">
        <f>IF(AND('Atividades Micro'!$B3=CK$2,'Atividades Micro'!$G3="Micro",'Atividades Micro'!$K3&lt;&gt;""),'Atividades Micro'!$K3,"")</f>
        <v/>
      </c>
      <c r="CL5" s="21" t="str">
        <f>IF(AND('Atividades Micro'!$B3=CL$2,'Atividades Micro'!$G3="Micro",'Atividades Micro'!$K3&lt;&gt;""),'Atividades Micro'!$K3,"")</f>
        <v/>
      </c>
      <c r="CM5" s="21" t="str">
        <f>IF(AND('Atividades Micro'!$B3=CM$2,'Atividades Micro'!$G3="Micro",'Atividades Micro'!$K3&lt;&gt;""),'Atividades Micro'!$K3,"")</f>
        <v/>
      </c>
      <c r="CN5" s="21" t="str">
        <f>IF(AND('Atividades Micro'!$B3=CN$2,'Atividades Micro'!$G3="Micro",'Atividades Micro'!$K3&lt;&gt;""),'Atividades Micro'!$K3,"")</f>
        <v/>
      </c>
      <c r="CO5" s="21" t="str">
        <f>IF(AND('Atividades Micro'!$B3=CO$2,'Atividades Micro'!$G3="Micro",'Atividades Micro'!$K3&lt;&gt;""),'Atividades Micro'!$K3,"")</f>
        <v/>
      </c>
    </row>
    <row r="6" spans="1:93">
      <c r="A6" s="21">
        <f>IF(AND('Atividades Micro'!$A4=A$2,'Atividades Micro'!$K4&lt;&gt;""),'Atividades Micro'!$K4,"")</f>
        <v>46210</v>
      </c>
      <c r="B6" s="21">
        <f>IF(AND('Atividades Micro'!$A4=B$2,'Atividades Micro'!$L4&lt;&gt;""),'Atividades Micro'!$L4,"")</f>
        <v>46231</v>
      </c>
      <c r="C6" s="21" t="str">
        <f>IF(AND('Atividades Micro'!$A4=C$2,'Atividades Micro'!$K4&lt;&gt;""),'Atividades Micro'!$K4,"")</f>
        <v/>
      </c>
      <c r="D6" s="21" t="str">
        <f>IF(AND('Atividades Micro'!$A4=D$2,'Atividades Micro'!$L4&lt;&gt;""),'Atividades Micro'!$L4,"")</f>
        <v/>
      </c>
      <c r="E6" s="21" t="str">
        <f>IF(AND('Atividades Micro'!$A4=E$2,'Atividades Micro'!$K4&lt;&gt;""),'Atividades Micro'!$K4,"")</f>
        <v/>
      </c>
      <c r="F6" s="21" t="str">
        <f>IF(AND('Atividades Micro'!$A4=F$2,'Atividades Micro'!$L4&lt;&gt;""),'Atividades Micro'!$L4,"")</f>
        <v/>
      </c>
      <c r="G6" s="21" t="str">
        <f>IF(AND('Atividades Micro'!$A4=G$2,'Atividades Micro'!$K4&lt;&gt;""),'Atividades Micro'!$K4,"")</f>
        <v/>
      </c>
      <c r="H6" s="21" t="str">
        <f>IF(AND('Atividades Micro'!$A4=H$2,'Atividades Micro'!$L4&lt;&gt;""),'Atividades Micro'!$L4,"")</f>
        <v/>
      </c>
      <c r="I6" s="21" t="str">
        <f>IF(AND('Atividades Micro'!$A4=I$2,'Atividades Micro'!$K4&lt;&gt;""),'Atividades Micro'!$K4,"")</f>
        <v/>
      </c>
      <c r="J6" s="21" t="str">
        <f>IF(AND('Atividades Micro'!$A4=J$2,'Atividades Micro'!$L4&lt;&gt;""),'Atividades Micro'!$L4,"")</f>
        <v/>
      </c>
      <c r="K6" s="21" t="str">
        <f>IF(AND('Atividades Micro'!$B4=K$2,'Atividades Micro'!$K4&lt;&gt;""),'Atividades Micro'!$K4,"")</f>
        <v/>
      </c>
      <c r="L6" s="21" t="str">
        <f>IF(AND('Atividades Micro'!$B4=L$2,'Atividades Micro'!$L4&lt;&gt;""),'Atividades Micro'!$L4,"")</f>
        <v/>
      </c>
      <c r="M6" s="21" t="str">
        <f>IF(AND('Atividades Micro'!$B4=M$2,'Atividades Micro'!$K4&lt;&gt;""),'Atividades Micro'!$K4,"")</f>
        <v/>
      </c>
      <c r="N6" s="21" t="str">
        <f>IF(AND('Atividades Micro'!$B4=N$2,'Atividades Micro'!$L4&lt;&gt;""),'Atividades Micro'!$L4,"")</f>
        <v/>
      </c>
      <c r="O6" s="21" t="str">
        <f>IF(AND('Atividades Micro'!$A4=O$2,'Atividades Micro'!$K4&lt;&gt;""),'Atividades Micro'!$K4,"")</f>
        <v/>
      </c>
      <c r="P6" s="21" t="str">
        <f>IF(AND('Atividades Micro'!$A4=P$2,'Atividades Micro'!$L4&lt;&gt;""),'Atividades Micro'!$L4,"")</f>
        <v/>
      </c>
      <c r="Q6" s="21" t="str">
        <f>IF(AND('Atividades Micro'!$B4=Q$2,'Atividades Micro'!$K4&lt;&gt;""),'Atividades Micro'!$K4,"")</f>
        <v/>
      </c>
      <c r="R6" s="21" t="str">
        <f>IF(AND('Atividades Micro'!$B4=R$2,'Atividades Micro'!$L4&lt;&gt;""),'Atividades Micro'!$L4,"")</f>
        <v/>
      </c>
      <c r="S6" s="21" t="str">
        <f>IF(AND('Atividades Micro'!$A4=S$2,'Atividades Micro'!$K4&lt;&gt;""),'Atividades Micro'!$K4,"")</f>
        <v/>
      </c>
      <c r="T6" s="21" t="str">
        <f>IF(AND('Atividades Micro'!$A4=T$2,'Atividades Micro'!$L4&lt;&gt;""),'Atividades Micro'!$L4,"")</f>
        <v/>
      </c>
      <c r="U6" s="21" t="str">
        <f>IF(AND('Atividades Micro'!$B4=U$2,'Atividades Micro'!$K4&lt;&gt;""),'Atividades Micro'!$K4,"")</f>
        <v/>
      </c>
      <c r="V6" s="21" t="str">
        <f>IF(AND('Atividades Micro'!$B4=V$2,'Atividades Micro'!$L4&lt;&gt;""),'Atividades Micro'!$L4,"")</f>
        <v/>
      </c>
      <c r="W6" s="21" t="str">
        <f>IF(AND('Atividades Micro'!$B4=W$2,'Atividades Micro'!$K4&lt;&gt;""),'Atividades Micro'!$K4,"")</f>
        <v/>
      </c>
      <c r="X6" s="21" t="str">
        <f>IF(AND('Atividades Micro'!$B4=X$2,'Atividades Micro'!$L4&lt;&gt;""),'Atividades Micro'!$L4,"")</f>
        <v/>
      </c>
      <c r="Y6" s="21" t="str">
        <f>IF(AND('Atividades Micro'!$A4=Y$2,'Atividades Micro'!$K4&lt;&gt;""),'Atividades Micro'!$K4,"")</f>
        <v/>
      </c>
      <c r="Z6" s="21" t="str">
        <f>IF(AND('Atividades Micro'!$A4=Z$2,'Atividades Micro'!$L4&lt;&gt;""),'Atividades Micro'!$L4,"")</f>
        <v/>
      </c>
      <c r="AA6" s="21" t="str">
        <f>IF(AND('Atividades Micro'!$B4=AA$2,'Atividades Micro'!$K4&lt;&gt;""),'Atividades Micro'!$K4,"")</f>
        <v/>
      </c>
      <c r="AB6" s="21" t="str">
        <f>IF(AND('Atividades Micro'!$B4=AB$2,'Atividades Micro'!$L4&lt;&gt;""),'Atividades Micro'!$L4,"")</f>
        <v/>
      </c>
      <c r="AC6" s="21" t="str">
        <f>IF(AND('Atividades Micro'!$B4=AC$2,'Atividades Micro'!$K4&lt;&gt;""),'Atividades Micro'!$K4,"")</f>
        <v/>
      </c>
      <c r="AD6" s="21" t="str">
        <f>IF(AND('Atividades Micro'!$B4=AD$2,'Atividades Micro'!$L4&lt;&gt;""),'Atividades Micro'!$L4,"")</f>
        <v/>
      </c>
      <c r="AE6" s="21" t="str">
        <f>IF(AND('Atividades Micro'!$A4=AE$2,'Atividades Micro'!$K4&lt;&gt;""),'Atividades Micro'!$K4,"")</f>
        <v/>
      </c>
      <c r="AF6" s="21" t="str">
        <f>IF(AND('Atividades Micro'!$A4=AF$2,'Atividades Micro'!$L4&lt;&gt;""),'Atividades Micro'!$L4,"")</f>
        <v/>
      </c>
      <c r="AG6" s="21" t="str">
        <f>IF(AND('Atividades Micro'!$B4=AG$2,'Atividades Micro'!$K4&lt;&gt;""),'Atividades Micro'!$K4,"")</f>
        <v/>
      </c>
      <c r="AH6" s="21" t="str">
        <f>IF(AND('Atividades Micro'!$B4=AH$2,'Atividades Micro'!$L4&lt;&gt;""),'Atividades Micro'!$L4,"")</f>
        <v/>
      </c>
      <c r="AI6" s="21" t="str">
        <f>IF(AND('Atividades Micro'!$B4=AI$2,'Atividades Micro'!$K4&lt;&gt;""),'Atividades Micro'!$K4,"")</f>
        <v/>
      </c>
      <c r="AJ6" s="21" t="str">
        <f>IF(AND('Atividades Micro'!$B4=AJ$2,'Atividades Micro'!$L4&lt;&gt;""),'Atividades Micro'!$L4,"")</f>
        <v/>
      </c>
      <c r="AK6" s="21" t="str">
        <f>IF(AND('Atividades Micro'!$A4=AK$2,'Atividades Micro'!$K4&lt;&gt;""),'Atividades Micro'!$K4,"")</f>
        <v/>
      </c>
      <c r="AL6" s="21" t="str">
        <f>IF(AND('Atividades Micro'!$A4=AL$2,'Atividades Micro'!$L4&lt;&gt;""),'Atividades Micro'!$L4,"")</f>
        <v/>
      </c>
      <c r="AM6" s="21" t="str">
        <f>IF(AND('Atividades Micro'!$B4=AM$2,'Atividades Micro'!$K4&lt;&gt;""),'Atividades Micro'!$K4,"")</f>
        <v/>
      </c>
      <c r="AN6" s="21" t="str">
        <f>IF(AND('Atividades Micro'!$B4=AN$2,'Atividades Micro'!$L4&lt;&gt;""),'Atividades Micro'!$L4,"")</f>
        <v/>
      </c>
      <c r="AO6" s="21" t="str">
        <f>IF(AND('Atividades Micro'!$B4=AO$2,'Atividades Micro'!$K4&lt;&gt;""),'Atividades Micro'!$K4,"")</f>
        <v/>
      </c>
      <c r="AP6" s="21" t="str">
        <f>IF(AND('Atividades Micro'!$B4=AP$2,'Atividades Micro'!$L4&lt;&gt;""),'Atividades Micro'!$L4,"")</f>
        <v/>
      </c>
      <c r="AQ6" s="21" t="str">
        <f>IF(AND('Atividades Micro'!$A4=AQ$2,'Atividades Micro'!$K4&lt;&gt;""),'Atividades Micro'!$K4,"")</f>
        <v/>
      </c>
      <c r="AR6" s="21" t="str">
        <f>IF(AND('Atividades Micro'!$A4=AR$2,'Atividades Micro'!$L4&lt;&gt;""),'Atividades Micro'!$L4,"")</f>
        <v/>
      </c>
      <c r="AS6" s="21" t="str">
        <f>IF(AND('Atividades Micro'!$B4=AS$2,'Atividades Micro'!$K4&lt;&gt;""),'Atividades Micro'!$K4,"")</f>
        <v/>
      </c>
      <c r="AT6" s="21" t="str">
        <f>IF(AND('Atividades Micro'!$B4=AT$2,'Atividades Micro'!$L4&lt;&gt;""),'Atividades Micro'!$L4,"")</f>
        <v/>
      </c>
      <c r="AU6" s="21" t="str">
        <f>IF(AND('Atividades Micro'!$A4=AU$2,'Atividades Micro'!$K4&lt;&gt;""),'Atividades Micro'!$K4,"")</f>
        <v/>
      </c>
      <c r="AV6" s="21" t="str">
        <f>IF(AND('Atividades Micro'!$A4=AV$2,'Atividades Micro'!$L4&lt;&gt;""),'Atividades Micro'!$L4,"")</f>
        <v/>
      </c>
      <c r="AW6" s="21" t="str">
        <f>IF(AND('Atividades Micro'!$B4=AW$2,'Atividades Micro'!$K4&lt;&gt;""),'Atividades Micro'!$K4,"")</f>
        <v/>
      </c>
      <c r="AX6" s="21" t="str">
        <f>IF(AND('Atividades Micro'!$B4=AX$2,'Atividades Micro'!$L4&lt;&gt;""),'Atividades Micro'!$L4,"")</f>
        <v/>
      </c>
      <c r="AY6" s="21" t="str">
        <f>IF(AND('Atividades Micro'!$A4=AY$2,'Atividades Micro'!$K4&lt;&gt;""),'Atividades Micro'!$K4,"")</f>
        <v/>
      </c>
      <c r="AZ6" s="21" t="str">
        <f>IF(AND('Atividades Micro'!$A4=AZ$2,'Atividades Micro'!$L4&lt;&gt;""),'Atividades Micro'!$L4,"")</f>
        <v/>
      </c>
      <c r="BA6" s="21" t="str">
        <f>IF(AND('Atividades Micro'!$B4=BA$2,'Atividades Micro'!$K4&lt;&gt;""),'Atividades Micro'!$K4,"")</f>
        <v/>
      </c>
      <c r="BB6" s="21" t="str">
        <f>IF(AND('Atividades Micro'!$B4=BB$2,'Atividades Micro'!$L4&lt;&gt;""),'Atividades Micro'!$L4,"")</f>
        <v/>
      </c>
      <c r="BC6" s="21" t="str">
        <f>IF(AND('Atividades Micro'!$B4=BC$2,'Atividades Micro'!$G4="Macro",'Atividades Micro'!$K4&lt;&gt;""),'Atividades Micro'!$K4,"")</f>
        <v/>
      </c>
      <c r="BD6" s="21" t="str">
        <f>IF(AND('Atividades Micro'!$B4=BD$2,'Atividades Micro'!$G4="Macro",'Atividades Micro'!$K4&lt;&gt;""),'Atividades Micro'!$K4,"")</f>
        <v/>
      </c>
      <c r="BE6" s="21" t="str">
        <f>IF(AND('Atividades Micro'!$B4=BE$2,'Atividades Micro'!$G4="Macro",'Atividades Micro'!$K4&lt;&gt;""),'Atividades Micro'!$K4,"")</f>
        <v/>
      </c>
      <c r="BF6" s="21" t="str">
        <f>IF(AND('Atividades Micro'!$B4=BF$2,'Atividades Micro'!$G4="Macro",'Atividades Micro'!$K4&lt;&gt;""),'Atividades Micro'!$K4,"")</f>
        <v/>
      </c>
      <c r="BG6" s="21" t="str">
        <f>IF(AND('Atividades Micro'!$B4=BG$2,'Atividades Micro'!$G4="Macro",'Atividades Micro'!$K4&lt;&gt;""),'Atividades Micro'!$K4,"")</f>
        <v/>
      </c>
      <c r="BH6" s="21" t="str">
        <f>IF(AND('Atividades Micro'!$B4=BH$2,'Atividades Micro'!$G4="Macro",'Atividades Micro'!$K4&lt;&gt;""),'Atividades Micro'!$K4,"")</f>
        <v/>
      </c>
      <c r="BI6" s="21" t="str">
        <f>IF(AND('Atividades Micro'!$B4=BI$2,'Atividades Micro'!$G4="Macro",'Atividades Micro'!$K4&lt;&gt;""),'Atividades Micro'!$K4,"")</f>
        <v/>
      </c>
      <c r="BJ6" s="21" t="str">
        <f>IF(AND('Atividades Micro'!$B4=BJ$2,'Atividades Micro'!$G4="Macro",'Atividades Micro'!$K4&lt;&gt;""),'Atividades Micro'!$K4,"")</f>
        <v/>
      </c>
      <c r="BK6" s="21" t="str">
        <f>IF(AND('Atividades Micro'!$B4=BK$2,'Atividades Micro'!$G4="Macro",'Atividades Micro'!$K4&lt;&gt;""),'Atividades Micro'!$K4,"")</f>
        <v/>
      </c>
      <c r="BL6" s="21" t="str">
        <f>IF(AND('Atividades Micro'!$B4=BL$2,'Atividades Micro'!$G4="Macro",'Atividades Micro'!$K4&lt;&gt;""),'Atividades Micro'!$K4,"")</f>
        <v/>
      </c>
      <c r="BM6" s="21" t="str">
        <f>IF(AND('Atividades Micro'!$B4=BM$2,'Atividades Micro'!$G4="Macro",'Atividades Micro'!$K4&lt;&gt;""),'Atividades Micro'!$K4,"")</f>
        <v/>
      </c>
      <c r="BN6" s="21" t="str">
        <f>IF(AND('Atividades Micro'!$B4=BN$2,'Atividades Micro'!$G4="Macro",'Atividades Micro'!$K4&lt;&gt;""),'Atividades Micro'!$K4,"")</f>
        <v/>
      </c>
      <c r="BO6" s="21" t="str">
        <f>IF(AND('Atividades Micro'!$B4=BO$2,'Atividades Micro'!$G4="Macro",'Atividades Micro'!$K4&lt;&gt;""),'Atividades Micro'!$K4,"")</f>
        <v/>
      </c>
      <c r="BP6" s="21" t="str">
        <f>IF(AND('Atividades Micro'!$B4=BP$2,'Atividades Micro'!$G4="Macro",'Atividades Micro'!$K4&lt;&gt;""),'Atividades Micro'!$K4,"")</f>
        <v/>
      </c>
      <c r="BQ6" s="21" t="str">
        <f>IF(AND('Atividades Micro'!$B4=BQ$2,'Atividades Micro'!$G4="Macro",'Atividades Micro'!$K4&lt;&gt;""),'Atividades Micro'!$K4,"")</f>
        <v/>
      </c>
      <c r="BR6" s="21" t="str">
        <f>IF(AND('Atividades Micro'!$B4=BR$2,'Atividades Micro'!$G4="Macro",'Atividades Micro'!$K4&lt;&gt;""),'Atividades Micro'!$K4,"")</f>
        <v/>
      </c>
      <c r="BS6" s="21" t="str">
        <f>IF(AND('Atividades Micro'!$B4=BS$2,'Atividades Micro'!$G4="Macro",'Atividades Micro'!$K4&lt;&gt;""),'Atividades Micro'!$K4,"")</f>
        <v/>
      </c>
      <c r="BT6" s="21" t="str">
        <f>IF(AND('Atividades Micro'!$B4=BT$2,'Atividades Micro'!$G4="Macro",'Atividades Micro'!$K4&lt;&gt;""),'Atividades Micro'!$K4,"")</f>
        <v/>
      </c>
      <c r="BU6" s="21" t="str">
        <f>IF(AND('Atividades Micro'!$B4=BU$2,'Atividades Micro'!$G4="Macro",'Atividades Micro'!$K4&lt;&gt;""),'Atividades Micro'!$K4,"")</f>
        <v/>
      </c>
      <c r="BV6" s="21" t="str">
        <f>IF(AND('Atividades Micro'!$B4=BV$2,'Atividades Micro'!$G4="Macro",'Atividades Micro'!$K4&lt;&gt;""),'Atividades Micro'!$K4,"")</f>
        <v/>
      </c>
      <c r="BW6" s="21" t="str">
        <f>IF(AND('Atividades Micro'!$B4=BW$2,'Atividades Micro'!$G4="Macro",'Atividades Micro'!$K4&lt;&gt;""),'Atividades Micro'!$K4,"")</f>
        <v/>
      </c>
      <c r="BX6" s="21" t="str">
        <f>IF(AND('Atividades Micro'!$B4=BX$2,'Atividades Micro'!$G4="Macro",'Atividades Micro'!$K4&lt;&gt;""),'Atividades Micro'!$K4,"")</f>
        <v/>
      </c>
      <c r="BY6" s="21" t="str">
        <f>IF(AND('Atividades Micro'!$B4=BY$2,'Atividades Micro'!$G4="Macro",'Atividades Micro'!$K4&lt;&gt;""),'Atividades Micro'!$K4,"")</f>
        <v/>
      </c>
      <c r="BZ6" s="21" t="str">
        <f>IF(AND('Atividades Micro'!$B4=BZ$2,'Atividades Micro'!$G4="Macro",'Atividades Micro'!$K4&lt;&gt;""),'Atividades Micro'!$K4,"")</f>
        <v/>
      </c>
      <c r="CA6" s="21" t="str">
        <f>IF(AND('Atividades Micro'!$B4=CA$2,'Atividades Micro'!$G4="Macro",'Atividades Micro'!$K4&lt;&gt;""),'Atividades Micro'!$K4,"")</f>
        <v/>
      </c>
      <c r="CB6" s="21" t="str">
        <f>IF(AND('Atividades Micro'!$B4=CB$2,'Atividades Micro'!$G4="Macro",'Atividades Micro'!$K4&lt;&gt;""),'Atividades Micro'!$K4,"")</f>
        <v/>
      </c>
      <c r="CC6" s="21" t="str">
        <f>IF(AND('Atividades Micro'!$B4=CC$2,'Atividades Micro'!$G4="Macro",'Atividades Micro'!$K4&lt;&gt;""),'Atividades Micro'!$K4,"")</f>
        <v/>
      </c>
      <c r="CD6" s="21" t="str">
        <f>IF(AND('Atividades Micro'!$B4=CD$2,'Atividades Micro'!$G4="Micro",'Atividades Micro'!$K4&lt;&gt;""),'Atividades Micro'!$K4,"")</f>
        <v/>
      </c>
      <c r="CE6" s="21" t="str">
        <f>IF(AND('Atividades Micro'!$B4=CE$2,'Atividades Micro'!$G4="Micro",'Atividades Micro'!$K4&lt;&gt;""),'Atividades Micro'!$K4,"")</f>
        <v/>
      </c>
      <c r="CF6" s="21" t="str">
        <f>IF(AND('Atividades Micro'!$B4=CF$2,'Atividades Micro'!$G4="Micro",'Atividades Micro'!$K4&lt;&gt;""),'Atividades Micro'!$K4,"")</f>
        <v/>
      </c>
      <c r="CG6" s="21" t="str">
        <f>IF(AND('Atividades Micro'!$B4=CG$2,'Atividades Micro'!$G4="Micro",'Atividades Micro'!$K4&lt;&gt;""),'Atividades Micro'!$K4,"")</f>
        <v/>
      </c>
      <c r="CH6" s="21" t="str">
        <f>IF(AND('Atividades Micro'!$B4=CH$2,'Atividades Micro'!$G4="Micro",'Atividades Micro'!$K4&lt;&gt;""),'Atividades Micro'!$K4,"")</f>
        <v/>
      </c>
      <c r="CI6" s="21" t="str">
        <f>IF(AND('Atividades Micro'!$B4=CI$2,'Atividades Micro'!$G4="Micro",'Atividades Micro'!$K4&lt;&gt;""),'Atividades Micro'!$K4,"")</f>
        <v/>
      </c>
      <c r="CJ6" s="21" t="str">
        <f>IF(AND('Atividades Micro'!$B4=CJ$2,'Atividades Micro'!$G4="Micro",'Atividades Micro'!$K4&lt;&gt;""),'Atividades Micro'!$K4,"")</f>
        <v/>
      </c>
      <c r="CK6" s="21" t="str">
        <f>IF(AND('Atividades Micro'!$B4=CK$2,'Atividades Micro'!$G4="Micro",'Atividades Micro'!$K4&lt;&gt;""),'Atividades Micro'!$K4,"")</f>
        <v/>
      </c>
      <c r="CL6" s="21" t="str">
        <f>IF(AND('Atividades Micro'!$B4=CL$2,'Atividades Micro'!$G4="Micro",'Atividades Micro'!$K4&lt;&gt;""),'Atividades Micro'!$K4,"")</f>
        <v/>
      </c>
      <c r="CM6" s="21" t="str">
        <f>IF(AND('Atividades Micro'!$B4=CM$2,'Atividades Micro'!$G4="Micro",'Atividades Micro'!$K4&lt;&gt;""),'Atividades Micro'!$K4,"")</f>
        <v/>
      </c>
      <c r="CN6" s="21" t="str">
        <f>IF(AND('Atividades Micro'!$B4=CN$2,'Atividades Micro'!$G4="Micro",'Atividades Micro'!$K4&lt;&gt;""),'Atividades Micro'!$K4,"")</f>
        <v/>
      </c>
      <c r="CO6" s="21" t="str">
        <f>IF(AND('Atividades Micro'!$B4=CO$2,'Atividades Micro'!$G4="Micro",'Atividades Micro'!$K4&lt;&gt;""),'Atividades Micro'!$K4,"")</f>
        <v/>
      </c>
    </row>
    <row r="7" spans="1:93">
      <c r="A7" s="21">
        <f>IF(AND('Atividades Micro'!$A5=A$2,'Atividades Micro'!$K5&lt;&gt;""),'Atividades Micro'!$K5,"")</f>
        <v>46210</v>
      </c>
      <c r="B7" s="21" t="str">
        <f>IF(AND('Atividades Micro'!$A5=B$2,'Atividades Micro'!$L5&lt;&gt;""),'Atividades Micro'!$L5,"")</f>
        <v/>
      </c>
      <c r="C7" s="21" t="str">
        <f>IF(AND('Atividades Micro'!$A5=C$2,'Atividades Micro'!$K5&lt;&gt;""),'Atividades Micro'!$K5,"")</f>
        <v/>
      </c>
      <c r="D7" s="21" t="str">
        <f>IF(AND('Atividades Micro'!$A5=D$2,'Atividades Micro'!$L5&lt;&gt;""),'Atividades Micro'!$L5,"")</f>
        <v/>
      </c>
      <c r="E7" s="21" t="str">
        <f>IF(AND('Atividades Micro'!$A5=E$2,'Atividades Micro'!$K5&lt;&gt;""),'Atividades Micro'!$K5,"")</f>
        <v/>
      </c>
      <c r="F7" s="21" t="str">
        <f>IF(AND('Atividades Micro'!$A5=F$2,'Atividades Micro'!$L5&lt;&gt;""),'Atividades Micro'!$L5,"")</f>
        <v/>
      </c>
      <c r="G7" s="21" t="str">
        <f>IF(AND('Atividades Micro'!$A5=G$2,'Atividades Micro'!$K5&lt;&gt;""),'Atividades Micro'!$K5,"")</f>
        <v/>
      </c>
      <c r="H7" s="21" t="str">
        <f>IF(AND('Atividades Micro'!$A5=H$2,'Atividades Micro'!$L5&lt;&gt;""),'Atividades Micro'!$L5,"")</f>
        <v/>
      </c>
      <c r="I7" s="21" t="str">
        <f>IF(AND('Atividades Micro'!$A5=I$2,'Atividades Micro'!$K5&lt;&gt;""),'Atividades Micro'!$K5,"")</f>
        <v/>
      </c>
      <c r="J7" s="21" t="str">
        <f>IF(AND('Atividades Micro'!$A5=J$2,'Atividades Micro'!$L5&lt;&gt;""),'Atividades Micro'!$L5,"")</f>
        <v/>
      </c>
      <c r="K7" s="21" t="str">
        <f>IF(AND('Atividades Micro'!$B5=K$2,'Atividades Micro'!$K5&lt;&gt;""),'Atividades Micro'!$K5,"")</f>
        <v/>
      </c>
      <c r="L7" s="21" t="str">
        <f>IF(AND('Atividades Micro'!$B5=L$2,'Atividades Micro'!$L5&lt;&gt;""),'Atividades Micro'!$L5,"")</f>
        <v/>
      </c>
      <c r="M7" s="21" t="str">
        <f>IF(AND('Atividades Micro'!$B5=M$2,'Atividades Micro'!$K5&lt;&gt;""),'Atividades Micro'!$K5,"")</f>
        <v/>
      </c>
      <c r="N7" s="21" t="str">
        <f>IF(AND('Atividades Micro'!$B5=N$2,'Atividades Micro'!$L5&lt;&gt;""),'Atividades Micro'!$L5,"")</f>
        <v/>
      </c>
      <c r="O7" s="21" t="str">
        <f>IF(AND('Atividades Micro'!$A5=O$2,'Atividades Micro'!$K5&lt;&gt;""),'Atividades Micro'!$K5,"")</f>
        <v/>
      </c>
      <c r="P7" s="21" t="str">
        <f>IF(AND('Atividades Micro'!$A5=P$2,'Atividades Micro'!$L5&lt;&gt;""),'Atividades Micro'!$L5,"")</f>
        <v/>
      </c>
      <c r="Q7" s="21" t="str">
        <f>IF(AND('Atividades Micro'!$B5=Q$2,'Atividades Micro'!$K5&lt;&gt;""),'Atividades Micro'!$K5,"")</f>
        <v/>
      </c>
      <c r="R7" s="21" t="str">
        <f>IF(AND('Atividades Micro'!$B5=R$2,'Atividades Micro'!$L5&lt;&gt;""),'Atividades Micro'!$L5,"")</f>
        <v/>
      </c>
      <c r="S7" s="21" t="str">
        <f>IF(AND('Atividades Micro'!$A5=S$2,'Atividades Micro'!$K5&lt;&gt;""),'Atividades Micro'!$K5,"")</f>
        <v/>
      </c>
      <c r="T7" s="21" t="str">
        <f>IF(AND('Atividades Micro'!$A5=T$2,'Atividades Micro'!$L5&lt;&gt;""),'Atividades Micro'!$L5,"")</f>
        <v/>
      </c>
      <c r="U7" s="21" t="str">
        <f>IF(AND('Atividades Micro'!$B5=U$2,'Atividades Micro'!$K5&lt;&gt;""),'Atividades Micro'!$K5,"")</f>
        <v/>
      </c>
      <c r="V7" s="21" t="str">
        <f>IF(AND('Atividades Micro'!$B5=V$2,'Atividades Micro'!$L5&lt;&gt;""),'Atividades Micro'!$L5,"")</f>
        <v/>
      </c>
      <c r="W7" s="21" t="str">
        <f>IF(AND('Atividades Micro'!$B5=W$2,'Atividades Micro'!$K5&lt;&gt;""),'Atividades Micro'!$K5,"")</f>
        <v/>
      </c>
      <c r="X7" s="21" t="str">
        <f>IF(AND('Atividades Micro'!$B5=X$2,'Atividades Micro'!$L5&lt;&gt;""),'Atividades Micro'!$L5,"")</f>
        <v/>
      </c>
      <c r="Y7" s="21" t="str">
        <f>IF(AND('Atividades Micro'!$A5=Y$2,'Atividades Micro'!$K5&lt;&gt;""),'Atividades Micro'!$K5,"")</f>
        <v/>
      </c>
      <c r="Z7" s="21" t="str">
        <f>IF(AND('Atividades Micro'!$A5=Z$2,'Atividades Micro'!$L5&lt;&gt;""),'Atividades Micro'!$L5,"")</f>
        <v/>
      </c>
      <c r="AA7" s="21" t="str">
        <f>IF(AND('Atividades Micro'!$B5=AA$2,'Atividades Micro'!$K5&lt;&gt;""),'Atividades Micro'!$K5,"")</f>
        <v/>
      </c>
      <c r="AB7" s="21" t="str">
        <f>IF(AND('Atividades Micro'!$B5=AB$2,'Atividades Micro'!$L5&lt;&gt;""),'Atividades Micro'!$L5,"")</f>
        <v/>
      </c>
      <c r="AC7" s="21" t="str">
        <f>IF(AND('Atividades Micro'!$B5=AC$2,'Atividades Micro'!$K5&lt;&gt;""),'Atividades Micro'!$K5,"")</f>
        <v/>
      </c>
      <c r="AD7" s="21" t="str">
        <f>IF(AND('Atividades Micro'!$B5=AD$2,'Atividades Micro'!$L5&lt;&gt;""),'Atividades Micro'!$L5,"")</f>
        <v/>
      </c>
      <c r="AE7" s="21" t="str">
        <f>IF(AND('Atividades Micro'!$A5=AE$2,'Atividades Micro'!$K5&lt;&gt;""),'Atividades Micro'!$K5,"")</f>
        <v/>
      </c>
      <c r="AF7" s="21" t="str">
        <f>IF(AND('Atividades Micro'!$A5=AF$2,'Atividades Micro'!$L5&lt;&gt;""),'Atividades Micro'!$L5,"")</f>
        <v/>
      </c>
      <c r="AG7" s="21" t="str">
        <f>IF(AND('Atividades Micro'!$B5=AG$2,'Atividades Micro'!$K5&lt;&gt;""),'Atividades Micro'!$K5,"")</f>
        <v/>
      </c>
      <c r="AH7" s="21" t="str">
        <f>IF(AND('Atividades Micro'!$B5=AH$2,'Atividades Micro'!$L5&lt;&gt;""),'Atividades Micro'!$L5,"")</f>
        <v/>
      </c>
      <c r="AI7" s="21" t="str">
        <f>IF(AND('Atividades Micro'!$B5=AI$2,'Atividades Micro'!$K5&lt;&gt;""),'Atividades Micro'!$K5,"")</f>
        <v/>
      </c>
      <c r="AJ7" s="21" t="str">
        <f>IF(AND('Atividades Micro'!$B5=AJ$2,'Atividades Micro'!$L5&lt;&gt;""),'Atividades Micro'!$L5,"")</f>
        <v/>
      </c>
      <c r="AK7" s="21" t="str">
        <f>IF(AND('Atividades Micro'!$A5=AK$2,'Atividades Micro'!$K5&lt;&gt;""),'Atividades Micro'!$K5,"")</f>
        <v/>
      </c>
      <c r="AL7" s="21" t="str">
        <f>IF(AND('Atividades Micro'!$A5=AL$2,'Atividades Micro'!$L5&lt;&gt;""),'Atividades Micro'!$L5,"")</f>
        <v/>
      </c>
      <c r="AM7" s="21" t="str">
        <f>IF(AND('Atividades Micro'!$B5=AM$2,'Atividades Micro'!$K5&lt;&gt;""),'Atividades Micro'!$K5,"")</f>
        <v/>
      </c>
      <c r="AN7" s="21" t="str">
        <f>IF(AND('Atividades Micro'!$B5=AN$2,'Atividades Micro'!$L5&lt;&gt;""),'Atividades Micro'!$L5,"")</f>
        <v/>
      </c>
      <c r="AO7" s="21" t="str">
        <f>IF(AND('Atividades Micro'!$B5=AO$2,'Atividades Micro'!$K5&lt;&gt;""),'Atividades Micro'!$K5,"")</f>
        <v/>
      </c>
      <c r="AP7" s="21" t="str">
        <f>IF(AND('Atividades Micro'!$B5=AP$2,'Atividades Micro'!$L5&lt;&gt;""),'Atividades Micro'!$L5,"")</f>
        <v/>
      </c>
      <c r="AQ7" s="21" t="str">
        <f>IF(AND('Atividades Micro'!$A5=AQ$2,'Atividades Micro'!$K5&lt;&gt;""),'Atividades Micro'!$K5,"")</f>
        <v/>
      </c>
      <c r="AR7" s="21" t="str">
        <f>IF(AND('Atividades Micro'!$A5=AR$2,'Atividades Micro'!$L5&lt;&gt;""),'Atividades Micro'!$L5,"")</f>
        <v/>
      </c>
      <c r="AS7" s="21" t="str">
        <f>IF(AND('Atividades Micro'!$B5=AS$2,'Atividades Micro'!$K5&lt;&gt;""),'Atividades Micro'!$K5,"")</f>
        <v/>
      </c>
      <c r="AT7" s="21" t="str">
        <f>IF(AND('Atividades Micro'!$B5=AT$2,'Atividades Micro'!$L5&lt;&gt;""),'Atividades Micro'!$L5,"")</f>
        <v/>
      </c>
      <c r="AU7" s="21" t="str">
        <f>IF(AND('Atividades Micro'!$A5=AU$2,'Atividades Micro'!$K5&lt;&gt;""),'Atividades Micro'!$K5,"")</f>
        <v/>
      </c>
      <c r="AV7" s="21" t="str">
        <f>IF(AND('Atividades Micro'!$A5=AV$2,'Atividades Micro'!$L5&lt;&gt;""),'Atividades Micro'!$L5,"")</f>
        <v/>
      </c>
      <c r="AW7" s="21" t="str">
        <f>IF(AND('Atividades Micro'!$B5=AW$2,'Atividades Micro'!$K5&lt;&gt;""),'Atividades Micro'!$K5,"")</f>
        <v/>
      </c>
      <c r="AX7" s="21" t="str">
        <f>IF(AND('Atividades Micro'!$B5=AX$2,'Atividades Micro'!$L5&lt;&gt;""),'Atividades Micro'!$L5,"")</f>
        <v/>
      </c>
      <c r="AY7" s="21" t="str">
        <f>IF(AND('Atividades Micro'!$A5=AY$2,'Atividades Micro'!$K5&lt;&gt;""),'Atividades Micro'!$K5,"")</f>
        <v/>
      </c>
      <c r="AZ7" s="21" t="str">
        <f>IF(AND('Atividades Micro'!$A5=AZ$2,'Atividades Micro'!$L5&lt;&gt;""),'Atividades Micro'!$L5,"")</f>
        <v/>
      </c>
      <c r="BA7" s="21" t="str">
        <f>IF(AND('Atividades Micro'!$B5=BA$2,'Atividades Micro'!$K5&lt;&gt;""),'Atividades Micro'!$K5,"")</f>
        <v/>
      </c>
      <c r="BB7" s="21" t="str">
        <f>IF(AND('Atividades Micro'!$B5=BB$2,'Atividades Micro'!$L5&lt;&gt;""),'Atividades Micro'!$L5,"")</f>
        <v/>
      </c>
      <c r="BC7" s="21" t="str">
        <f>IF(AND('Atividades Micro'!$B5=BC$2,'Atividades Micro'!$G5="Macro",'Atividades Micro'!$K5&lt;&gt;""),'Atividades Micro'!$K5,"")</f>
        <v/>
      </c>
      <c r="BD7" s="21" t="str">
        <f>IF(AND('Atividades Micro'!$B5=BD$2,'Atividades Micro'!$G5="Macro",'Atividades Micro'!$K5&lt;&gt;""),'Atividades Micro'!$K5,"")</f>
        <v/>
      </c>
      <c r="BE7" s="21" t="str">
        <f>IF(AND('Atividades Micro'!$B5=BE$2,'Atividades Micro'!$G5="Macro",'Atividades Micro'!$K5&lt;&gt;""),'Atividades Micro'!$K5,"")</f>
        <v/>
      </c>
      <c r="BF7" s="21" t="str">
        <f>IF(AND('Atividades Micro'!$B5=BF$2,'Atividades Micro'!$G5="Macro",'Atividades Micro'!$K5&lt;&gt;""),'Atividades Micro'!$K5,"")</f>
        <v/>
      </c>
      <c r="BG7" s="21" t="str">
        <f>IF(AND('Atividades Micro'!$B5=BG$2,'Atividades Micro'!$G5="Macro",'Atividades Micro'!$K5&lt;&gt;""),'Atividades Micro'!$K5,"")</f>
        <v/>
      </c>
      <c r="BH7" s="21" t="str">
        <f>IF(AND('Atividades Micro'!$B5=BH$2,'Atividades Micro'!$G5="Macro",'Atividades Micro'!$K5&lt;&gt;""),'Atividades Micro'!$K5,"")</f>
        <v/>
      </c>
      <c r="BI7" s="21" t="str">
        <f>IF(AND('Atividades Micro'!$B5=BI$2,'Atividades Micro'!$G5="Macro",'Atividades Micro'!$K5&lt;&gt;""),'Atividades Micro'!$K5,"")</f>
        <v/>
      </c>
      <c r="BJ7" s="21" t="str">
        <f>IF(AND('Atividades Micro'!$B5=BJ$2,'Atividades Micro'!$G5="Macro",'Atividades Micro'!$K5&lt;&gt;""),'Atividades Micro'!$K5,"")</f>
        <v/>
      </c>
      <c r="BK7" s="21" t="str">
        <f>IF(AND('Atividades Micro'!$B5=BK$2,'Atividades Micro'!$G5="Macro",'Atividades Micro'!$K5&lt;&gt;""),'Atividades Micro'!$K5,"")</f>
        <v/>
      </c>
      <c r="BL7" s="21" t="str">
        <f>IF(AND('Atividades Micro'!$B5=BL$2,'Atividades Micro'!$G5="Macro",'Atividades Micro'!$K5&lt;&gt;""),'Atividades Micro'!$K5,"")</f>
        <v/>
      </c>
      <c r="BM7" s="21" t="str">
        <f>IF(AND('Atividades Micro'!$B5=BM$2,'Atividades Micro'!$G5="Macro",'Atividades Micro'!$K5&lt;&gt;""),'Atividades Micro'!$K5,"")</f>
        <v/>
      </c>
      <c r="BN7" s="21" t="str">
        <f>IF(AND('Atividades Micro'!$B5=BN$2,'Atividades Micro'!$G5="Macro",'Atividades Micro'!$K5&lt;&gt;""),'Atividades Micro'!$K5,"")</f>
        <v/>
      </c>
      <c r="BO7" s="21" t="str">
        <f>IF(AND('Atividades Micro'!$B5=BO$2,'Atividades Micro'!$G5="Macro",'Atividades Micro'!$K5&lt;&gt;""),'Atividades Micro'!$K5,"")</f>
        <v/>
      </c>
      <c r="BP7" s="21" t="str">
        <f>IF(AND('Atividades Micro'!$B5=BP$2,'Atividades Micro'!$G5="Macro",'Atividades Micro'!$K5&lt;&gt;""),'Atividades Micro'!$K5,"")</f>
        <v/>
      </c>
      <c r="BQ7" s="21" t="str">
        <f>IF(AND('Atividades Micro'!$B5=BQ$2,'Atividades Micro'!$G5="Macro",'Atividades Micro'!$K5&lt;&gt;""),'Atividades Micro'!$K5,"")</f>
        <v/>
      </c>
      <c r="BR7" s="21" t="str">
        <f>IF(AND('Atividades Micro'!$B5=BR$2,'Atividades Micro'!$G5="Macro",'Atividades Micro'!$K5&lt;&gt;""),'Atividades Micro'!$K5,"")</f>
        <v/>
      </c>
      <c r="BS7" s="21" t="str">
        <f>IF(AND('Atividades Micro'!$B5=BS$2,'Atividades Micro'!$G5="Macro",'Atividades Micro'!$K5&lt;&gt;""),'Atividades Micro'!$K5,"")</f>
        <v/>
      </c>
      <c r="BT7" s="21" t="str">
        <f>IF(AND('Atividades Micro'!$B5=BT$2,'Atividades Micro'!$G5="Macro",'Atividades Micro'!$K5&lt;&gt;""),'Atividades Micro'!$K5,"")</f>
        <v/>
      </c>
      <c r="BU7" s="21" t="str">
        <f>IF(AND('Atividades Micro'!$B5=BU$2,'Atividades Micro'!$G5="Macro",'Atividades Micro'!$K5&lt;&gt;""),'Atividades Micro'!$K5,"")</f>
        <v/>
      </c>
      <c r="BV7" s="21" t="str">
        <f>IF(AND('Atividades Micro'!$B5=BV$2,'Atividades Micro'!$G5="Macro",'Atividades Micro'!$K5&lt;&gt;""),'Atividades Micro'!$K5,"")</f>
        <v/>
      </c>
      <c r="BW7" s="21" t="str">
        <f>IF(AND('Atividades Micro'!$B5=BW$2,'Atividades Micro'!$G5="Macro",'Atividades Micro'!$K5&lt;&gt;""),'Atividades Micro'!$K5,"")</f>
        <v/>
      </c>
      <c r="BX7" s="21" t="str">
        <f>IF(AND('Atividades Micro'!$B5=BX$2,'Atividades Micro'!$G5="Macro",'Atividades Micro'!$K5&lt;&gt;""),'Atividades Micro'!$K5,"")</f>
        <v/>
      </c>
      <c r="BY7" s="21" t="str">
        <f>IF(AND('Atividades Micro'!$B5=BY$2,'Atividades Micro'!$G5="Macro",'Atividades Micro'!$K5&lt;&gt;""),'Atividades Micro'!$K5,"")</f>
        <v/>
      </c>
      <c r="BZ7" s="21" t="str">
        <f>IF(AND('Atividades Micro'!$B5=BZ$2,'Atividades Micro'!$G5="Macro",'Atividades Micro'!$K5&lt;&gt;""),'Atividades Micro'!$K5,"")</f>
        <v/>
      </c>
      <c r="CA7" s="21" t="str">
        <f>IF(AND('Atividades Micro'!$B5=CA$2,'Atividades Micro'!$G5="Macro",'Atividades Micro'!$K5&lt;&gt;""),'Atividades Micro'!$K5,"")</f>
        <v/>
      </c>
      <c r="CB7" s="21" t="str">
        <f>IF(AND('Atividades Micro'!$B5=CB$2,'Atividades Micro'!$G5="Macro",'Atividades Micro'!$K5&lt;&gt;""),'Atividades Micro'!$K5,"")</f>
        <v/>
      </c>
      <c r="CC7" s="21" t="str">
        <f>IF(AND('Atividades Micro'!$B5=CC$2,'Atividades Micro'!$G5="Macro",'Atividades Micro'!$K5&lt;&gt;""),'Atividades Micro'!$K5,"")</f>
        <v/>
      </c>
      <c r="CD7" s="21" t="str">
        <f>IF(AND('Atividades Micro'!$B5=CD$2,'Atividades Micro'!$G5="Micro",'Atividades Micro'!$K5&lt;&gt;""),'Atividades Micro'!$K5,"")</f>
        <v/>
      </c>
      <c r="CE7" s="21" t="str">
        <f>IF(AND('Atividades Micro'!$B5=CE$2,'Atividades Micro'!$G5="Micro",'Atividades Micro'!$K5&lt;&gt;""),'Atividades Micro'!$K5,"")</f>
        <v/>
      </c>
      <c r="CF7" s="21" t="str">
        <f>IF(AND('Atividades Micro'!$B5=CF$2,'Atividades Micro'!$G5="Micro",'Atividades Micro'!$K5&lt;&gt;""),'Atividades Micro'!$K5,"")</f>
        <v/>
      </c>
      <c r="CG7" s="21" t="str">
        <f>IF(AND('Atividades Micro'!$B5=CG$2,'Atividades Micro'!$G5="Micro",'Atividades Micro'!$K5&lt;&gt;""),'Atividades Micro'!$K5,"")</f>
        <v/>
      </c>
      <c r="CH7" s="21" t="str">
        <f>IF(AND('Atividades Micro'!$B5=CH$2,'Atividades Micro'!$G5="Micro",'Atividades Micro'!$K5&lt;&gt;""),'Atividades Micro'!$K5,"")</f>
        <v/>
      </c>
      <c r="CI7" s="21" t="str">
        <f>IF(AND('Atividades Micro'!$B5=CI$2,'Atividades Micro'!$G5="Micro",'Atividades Micro'!$K5&lt;&gt;""),'Atividades Micro'!$K5,"")</f>
        <v/>
      </c>
      <c r="CJ7" s="21" t="str">
        <f>IF(AND('Atividades Micro'!$B5=CJ$2,'Atividades Micro'!$G5="Micro",'Atividades Micro'!$K5&lt;&gt;""),'Atividades Micro'!$K5,"")</f>
        <v/>
      </c>
      <c r="CK7" s="21" t="str">
        <f>IF(AND('Atividades Micro'!$B5=CK$2,'Atividades Micro'!$G5="Micro",'Atividades Micro'!$K5&lt;&gt;""),'Atividades Micro'!$K5,"")</f>
        <v/>
      </c>
      <c r="CL7" s="21" t="str">
        <f>IF(AND('Atividades Micro'!$B5=CL$2,'Atividades Micro'!$G5="Micro",'Atividades Micro'!$K5&lt;&gt;""),'Atividades Micro'!$K5,"")</f>
        <v/>
      </c>
      <c r="CM7" s="21" t="str">
        <f>IF(AND('Atividades Micro'!$B5=CM$2,'Atividades Micro'!$G5="Micro",'Atividades Micro'!$K5&lt;&gt;""),'Atividades Micro'!$K5,"")</f>
        <v/>
      </c>
      <c r="CN7" s="21" t="str">
        <f>IF(AND('Atividades Micro'!$B5=CN$2,'Atividades Micro'!$G5="Micro",'Atividades Micro'!$K5&lt;&gt;""),'Atividades Micro'!$K5,"")</f>
        <v/>
      </c>
      <c r="CO7" s="21" t="str">
        <f>IF(AND('Atividades Micro'!$B5=CO$2,'Atividades Micro'!$G5="Micro",'Atividades Micro'!$K5&lt;&gt;""),'Atividades Micro'!$K5,"")</f>
        <v/>
      </c>
    </row>
    <row r="8" spans="1:93">
      <c r="A8" s="21">
        <f>IF(AND('Atividades Micro'!$A6=A$2,'Atividades Micro'!$K6&lt;&gt;""),'Atividades Micro'!$K6,"")</f>
        <v>46398</v>
      </c>
      <c r="B8" s="21" t="str">
        <f>IF(AND('Atividades Micro'!$A6=B$2,'Atividades Micro'!$L6&lt;&gt;""),'Atividades Micro'!$L6,"")</f>
        <v/>
      </c>
      <c r="C8" s="21" t="str">
        <f>IF(AND('Atividades Micro'!$A6=C$2,'Atividades Micro'!$K6&lt;&gt;""),'Atividades Micro'!$K6,"")</f>
        <v/>
      </c>
      <c r="D8" s="21" t="str">
        <f>IF(AND('Atividades Micro'!$A6=D$2,'Atividades Micro'!$L6&lt;&gt;""),'Atividades Micro'!$L6,"")</f>
        <v/>
      </c>
      <c r="E8" s="21" t="str">
        <f>IF(AND('Atividades Micro'!$A6=E$2,'Atividades Micro'!$K6&lt;&gt;""),'Atividades Micro'!$K6,"")</f>
        <v/>
      </c>
      <c r="F8" s="21" t="str">
        <f>IF(AND('Atividades Micro'!$A6=F$2,'Atividades Micro'!$L6&lt;&gt;""),'Atividades Micro'!$L6,"")</f>
        <v/>
      </c>
      <c r="G8" s="21" t="str">
        <f>IF(AND('Atividades Micro'!$A6=G$2,'Atividades Micro'!$K6&lt;&gt;""),'Atividades Micro'!$K6,"")</f>
        <v/>
      </c>
      <c r="H8" s="21" t="str">
        <f>IF(AND('Atividades Micro'!$A6=H$2,'Atividades Micro'!$L6&lt;&gt;""),'Atividades Micro'!$L6,"")</f>
        <v/>
      </c>
      <c r="I8" s="21" t="str">
        <f>IF(AND('Atividades Micro'!$A6=I$2,'Atividades Micro'!$K6&lt;&gt;""),'Atividades Micro'!$K6,"")</f>
        <v/>
      </c>
      <c r="J8" s="21" t="str">
        <f>IF(AND('Atividades Micro'!$A6=J$2,'Atividades Micro'!$L6&lt;&gt;""),'Atividades Micro'!$L6,"")</f>
        <v/>
      </c>
      <c r="K8" s="21" t="str">
        <f>IF(AND('Atividades Micro'!$B6=K$2,'Atividades Micro'!$K6&lt;&gt;""),'Atividades Micro'!$K6,"")</f>
        <v/>
      </c>
      <c r="L8" s="21" t="str">
        <f>IF(AND('Atividades Micro'!$B6=L$2,'Atividades Micro'!$L6&lt;&gt;""),'Atividades Micro'!$L6,"")</f>
        <v/>
      </c>
      <c r="M8" s="21" t="str">
        <f>IF(AND('Atividades Micro'!$B6=M$2,'Atividades Micro'!$K6&lt;&gt;""),'Atividades Micro'!$K6,"")</f>
        <v/>
      </c>
      <c r="N8" s="21" t="str">
        <f>IF(AND('Atividades Micro'!$B6=N$2,'Atividades Micro'!$L6&lt;&gt;""),'Atividades Micro'!$L6,"")</f>
        <v/>
      </c>
      <c r="O8" s="21" t="str">
        <f>IF(AND('Atividades Micro'!$A6=O$2,'Atividades Micro'!$K6&lt;&gt;""),'Atividades Micro'!$K6,"")</f>
        <v/>
      </c>
      <c r="P8" s="21" t="str">
        <f>IF(AND('Atividades Micro'!$A6=P$2,'Atividades Micro'!$L6&lt;&gt;""),'Atividades Micro'!$L6,"")</f>
        <v/>
      </c>
      <c r="Q8" s="21" t="str">
        <f>IF(AND('Atividades Micro'!$B6=Q$2,'Atividades Micro'!$K6&lt;&gt;""),'Atividades Micro'!$K6,"")</f>
        <v/>
      </c>
      <c r="R8" s="21" t="str">
        <f>IF(AND('Atividades Micro'!$B6=R$2,'Atividades Micro'!$L6&lt;&gt;""),'Atividades Micro'!$L6,"")</f>
        <v/>
      </c>
      <c r="S8" s="21" t="str">
        <f>IF(AND('Atividades Micro'!$A6=S$2,'Atividades Micro'!$K6&lt;&gt;""),'Atividades Micro'!$K6,"")</f>
        <v/>
      </c>
      <c r="T8" s="21" t="str">
        <f>IF(AND('Atividades Micro'!$A6=T$2,'Atividades Micro'!$L6&lt;&gt;""),'Atividades Micro'!$L6,"")</f>
        <v/>
      </c>
      <c r="U8" s="21" t="str">
        <f>IF(AND('Atividades Micro'!$B6=U$2,'Atividades Micro'!$K6&lt;&gt;""),'Atividades Micro'!$K6,"")</f>
        <v/>
      </c>
      <c r="V8" s="21" t="str">
        <f>IF(AND('Atividades Micro'!$B6=V$2,'Atividades Micro'!$L6&lt;&gt;""),'Atividades Micro'!$L6,"")</f>
        <v/>
      </c>
      <c r="W8" s="21" t="str">
        <f>IF(AND('Atividades Micro'!$B6=W$2,'Atividades Micro'!$K6&lt;&gt;""),'Atividades Micro'!$K6,"")</f>
        <v/>
      </c>
      <c r="X8" s="21" t="str">
        <f>IF(AND('Atividades Micro'!$B6=X$2,'Atividades Micro'!$L6&lt;&gt;""),'Atividades Micro'!$L6,"")</f>
        <v/>
      </c>
      <c r="Y8" s="21" t="str">
        <f>IF(AND('Atividades Micro'!$A6=Y$2,'Atividades Micro'!$K6&lt;&gt;""),'Atividades Micro'!$K6,"")</f>
        <v/>
      </c>
      <c r="Z8" s="21" t="str">
        <f>IF(AND('Atividades Micro'!$A6=Z$2,'Atividades Micro'!$L6&lt;&gt;""),'Atividades Micro'!$L6,"")</f>
        <v/>
      </c>
      <c r="AA8" s="21" t="str">
        <f>IF(AND('Atividades Micro'!$B6=AA$2,'Atividades Micro'!$K6&lt;&gt;""),'Atividades Micro'!$K6,"")</f>
        <v/>
      </c>
      <c r="AB8" s="21" t="str">
        <f>IF(AND('Atividades Micro'!$B6=AB$2,'Atividades Micro'!$L6&lt;&gt;""),'Atividades Micro'!$L6,"")</f>
        <v/>
      </c>
      <c r="AC8" s="21" t="str">
        <f>IF(AND('Atividades Micro'!$B6=AC$2,'Atividades Micro'!$K6&lt;&gt;""),'Atividades Micro'!$K6,"")</f>
        <v/>
      </c>
      <c r="AD8" s="21" t="str">
        <f>IF(AND('Atividades Micro'!$B6=AD$2,'Atividades Micro'!$L6&lt;&gt;""),'Atividades Micro'!$L6,"")</f>
        <v/>
      </c>
      <c r="AE8" s="21" t="str">
        <f>IF(AND('Atividades Micro'!$A6=AE$2,'Atividades Micro'!$K6&lt;&gt;""),'Atividades Micro'!$K6,"")</f>
        <v/>
      </c>
      <c r="AF8" s="21" t="str">
        <f>IF(AND('Atividades Micro'!$A6=AF$2,'Atividades Micro'!$L6&lt;&gt;""),'Atividades Micro'!$L6,"")</f>
        <v/>
      </c>
      <c r="AG8" s="21" t="str">
        <f>IF(AND('Atividades Micro'!$B6=AG$2,'Atividades Micro'!$K6&lt;&gt;""),'Atividades Micro'!$K6,"")</f>
        <v/>
      </c>
      <c r="AH8" s="21" t="str">
        <f>IF(AND('Atividades Micro'!$B6=AH$2,'Atividades Micro'!$L6&lt;&gt;""),'Atividades Micro'!$L6,"")</f>
        <v/>
      </c>
      <c r="AI8" s="21" t="str">
        <f>IF(AND('Atividades Micro'!$B6=AI$2,'Atividades Micro'!$K6&lt;&gt;""),'Atividades Micro'!$K6,"")</f>
        <v/>
      </c>
      <c r="AJ8" s="21" t="str">
        <f>IF(AND('Atividades Micro'!$B6=AJ$2,'Atividades Micro'!$L6&lt;&gt;""),'Atividades Micro'!$L6,"")</f>
        <v/>
      </c>
      <c r="AK8" s="21" t="str">
        <f>IF(AND('Atividades Micro'!$A6=AK$2,'Atividades Micro'!$K6&lt;&gt;""),'Atividades Micro'!$K6,"")</f>
        <v/>
      </c>
      <c r="AL8" s="21" t="str">
        <f>IF(AND('Atividades Micro'!$A6=AL$2,'Atividades Micro'!$L6&lt;&gt;""),'Atividades Micro'!$L6,"")</f>
        <v/>
      </c>
      <c r="AM8" s="21" t="str">
        <f>IF(AND('Atividades Micro'!$B6=AM$2,'Atividades Micro'!$K6&lt;&gt;""),'Atividades Micro'!$K6,"")</f>
        <v/>
      </c>
      <c r="AN8" s="21" t="str">
        <f>IF(AND('Atividades Micro'!$B6=AN$2,'Atividades Micro'!$L6&lt;&gt;""),'Atividades Micro'!$L6,"")</f>
        <v/>
      </c>
      <c r="AO8" s="21" t="str">
        <f>IF(AND('Atividades Micro'!$B6=AO$2,'Atividades Micro'!$K6&lt;&gt;""),'Atividades Micro'!$K6,"")</f>
        <v/>
      </c>
      <c r="AP8" s="21" t="str">
        <f>IF(AND('Atividades Micro'!$B6=AP$2,'Atividades Micro'!$L6&lt;&gt;""),'Atividades Micro'!$L6,"")</f>
        <v/>
      </c>
      <c r="AQ8" s="21" t="str">
        <f>IF(AND('Atividades Micro'!$A6=AQ$2,'Atividades Micro'!$K6&lt;&gt;""),'Atividades Micro'!$K6,"")</f>
        <v/>
      </c>
      <c r="AR8" s="21" t="str">
        <f>IF(AND('Atividades Micro'!$A6=AR$2,'Atividades Micro'!$L6&lt;&gt;""),'Atividades Micro'!$L6,"")</f>
        <v/>
      </c>
      <c r="AS8" s="21" t="str">
        <f>IF(AND('Atividades Micro'!$B6=AS$2,'Atividades Micro'!$K6&lt;&gt;""),'Atividades Micro'!$K6,"")</f>
        <v/>
      </c>
      <c r="AT8" s="21" t="str">
        <f>IF(AND('Atividades Micro'!$B6=AT$2,'Atividades Micro'!$L6&lt;&gt;""),'Atividades Micro'!$L6,"")</f>
        <v/>
      </c>
      <c r="AU8" s="21" t="str">
        <f>IF(AND('Atividades Micro'!$A6=AU$2,'Atividades Micro'!$K6&lt;&gt;""),'Atividades Micro'!$K6,"")</f>
        <v/>
      </c>
      <c r="AV8" s="21" t="str">
        <f>IF(AND('Atividades Micro'!$A6=AV$2,'Atividades Micro'!$L6&lt;&gt;""),'Atividades Micro'!$L6,"")</f>
        <v/>
      </c>
      <c r="AW8" s="21" t="str">
        <f>IF(AND('Atividades Micro'!$B6=AW$2,'Atividades Micro'!$K6&lt;&gt;""),'Atividades Micro'!$K6,"")</f>
        <v/>
      </c>
      <c r="AX8" s="21" t="str">
        <f>IF(AND('Atividades Micro'!$B6=AX$2,'Atividades Micro'!$L6&lt;&gt;""),'Atividades Micro'!$L6,"")</f>
        <v/>
      </c>
      <c r="AY8" s="21" t="str">
        <f>IF(AND('Atividades Micro'!$A6=AY$2,'Atividades Micro'!$K6&lt;&gt;""),'Atividades Micro'!$K6,"")</f>
        <v/>
      </c>
      <c r="AZ8" s="21" t="str">
        <f>IF(AND('Atividades Micro'!$A6=AZ$2,'Atividades Micro'!$L6&lt;&gt;""),'Atividades Micro'!$L6,"")</f>
        <v/>
      </c>
      <c r="BA8" s="21" t="str">
        <f>IF(AND('Atividades Micro'!$B6=BA$2,'Atividades Micro'!$K6&lt;&gt;""),'Atividades Micro'!$K6,"")</f>
        <v/>
      </c>
      <c r="BB8" s="21" t="str">
        <f>IF(AND('Atividades Micro'!$B6=BB$2,'Atividades Micro'!$L6&lt;&gt;""),'Atividades Micro'!$L6,"")</f>
        <v/>
      </c>
      <c r="BC8" s="21" t="str">
        <f>IF(AND('Atividades Micro'!$B6=BC$2,'Atividades Micro'!$G6="Macro",'Atividades Micro'!$K6&lt;&gt;""),'Atividades Micro'!$K6,"")</f>
        <v/>
      </c>
      <c r="BD8" s="21" t="str">
        <f>IF(AND('Atividades Micro'!$B6=BD$2,'Atividades Micro'!$G6="Macro",'Atividades Micro'!$K6&lt;&gt;""),'Atividades Micro'!$K6,"")</f>
        <v/>
      </c>
      <c r="BE8" s="21" t="str">
        <f>IF(AND('Atividades Micro'!$B6=BE$2,'Atividades Micro'!$G6="Macro",'Atividades Micro'!$K6&lt;&gt;""),'Atividades Micro'!$K6,"")</f>
        <v/>
      </c>
      <c r="BF8" s="21" t="str">
        <f>IF(AND('Atividades Micro'!$B6=BF$2,'Atividades Micro'!$G6="Macro",'Atividades Micro'!$K6&lt;&gt;""),'Atividades Micro'!$K6,"")</f>
        <v/>
      </c>
      <c r="BG8" s="21" t="str">
        <f>IF(AND('Atividades Micro'!$B6=BG$2,'Atividades Micro'!$G6="Macro",'Atividades Micro'!$K6&lt;&gt;""),'Atividades Micro'!$K6,"")</f>
        <v/>
      </c>
      <c r="BH8" s="21" t="str">
        <f>IF(AND('Atividades Micro'!$B6=BH$2,'Atividades Micro'!$G6="Macro",'Atividades Micro'!$K6&lt;&gt;""),'Atividades Micro'!$K6,"")</f>
        <v/>
      </c>
      <c r="BI8" s="21" t="str">
        <f>IF(AND('Atividades Micro'!$B6=BI$2,'Atividades Micro'!$G6="Macro",'Atividades Micro'!$K6&lt;&gt;""),'Atividades Micro'!$K6,"")</f>
        <v/>
      </c>
      <c r="BJ8" s="21" t="str">
        <f>IF(AND('Atividades Micro'!$B6=BJ$2,'Atividades Micro'!$G6="Macro",'Atividades Micro'!$K6&lt;&gt;""),'Atividades Micro'!$K6,"")</f>
        <v/>
      </c>
      <c r="BK8" s="21" t="str">
        <f>IF(AND('Atividades Micro'!$B6=BK$2,'Atividades Micro'!$G6="Macro",'Atividades Micro'!$K6&lt;&gt;""),'Atividades Micro'!$K6,"")</f>
        <v/>
      </c>
      <c r="BL8" s="21" t="str">
        <f>IF(AND('Atividades Micro'!$B6=BL$2,'Atividades Micro'!$G6="Macro",'Atividades Micro'!$K6&lt;&gt;""),'Atividades Micro'!$K6,"")</f>
        <v/>
      </c>
      <c r="BM8" s="21" t="str">
        <f>IF(AND('Atividades Micro'!$B6=BM$2,'Atividades Micro'!$G6="Macro",'Atividades Micro'!$K6&lt;&gt;""),'Atividades Micro'!$K6,"")</f>
        <v/>
      </c>
      <c r="BN8" s="21" t="str">
        <f>IF(AND('Atividades Micro'!$B6=BN$2,'Atividades Micro'!$G6="Macro",'Atividades Micro'!$K6&lt;&gt;""),'Atividades Micro'!$K6,"")</f>
        <v/>
      </c>
      <c r="BO8" s="21" t="str">
        <f>IF(AND('Atividades Micro'!$B6=BO$2,'Atividades Micro'!$G6="Macro",'Atividades Micro'!$K6&lt;&gt;""),'Atividades Micro'!$K6,"")</f>
        <v/>
      </c>
      <c r="BP8" s="21" t="str">
        <f>IF(AND('Atividades Micro'!$B6=BP$2,'Atividades Micro'!$G6="Macro",'Atividades Micro'!$K6&lt;&gt;""),'Atividades Micro'!$K6,"")</f>
        <v/>
      </c>
      <c r="BQ8" s="21" t="str">
        <f>IF(AND('Atividades Micro'!$B6=BQ$2,'Atividades Micro'!$G6="Macro",'Atividades Micro'!$K6&lt;&gt;""),'Atividades Micro'!$K6,"")</f>
        <v/>
      </c>
      <c r="BR8" s="21" t="str">
        <f>IF(AND('Atividades Micro'!$B6=BR$2,'Atividades Micro'!$G6="Macro",'Atividades Micro'!$K6&lt;&gt;""),'Atividades Micro'!$K6,"")</f>
        <v/>
      </c>
      <c r="BS8" s="21" t="str">
        <f>IF(AND('Atividades Micro'!$B6=BS$2,'Atividades Micro'!$G6="Macro",'Atividades Micro'!$K6&lt;&gt;""),'Atividades Micro'!$K6,"")</f>
        <v/>
      </c>
      <c r="BT8" s="21" t="str">
        <f>IF(AND('Atividades Micro'!$B6=BT$2,'Atividades Micro'!$G6="Macro",'Atividades Micro'!$K6&lt;&gt;""),'Atividades Micro'!$K6,"")</f>
        <v/>
      </c>
      <c r="BU8" s="21" t="str">
        <f>IF(AND('Atividades Micro'!$B6=BU$2,'Atividades Micro'!$G6="Macro",'Atividades Micro'!$K6&lt;&gt;""),'Atividades Micro'!$K6,"")</f>
        <v/>
      </c>
      <c r="BV8" s="21" t="str">
        <f>IF(AND('Atividades Micro'!$B6=BV$2,'Atividades Micro'!$G6="Macro",'Atividades Micro'!$K6&lt;&gt;""),'Atividades Micro'!$K6,"")</f>
        <v/>
      </c>
      <c r="BW8" s="21" t="str">
        <f>IF(AND('Atividades Micro'!$B6=BW$2,'Atividades Micro'!$G6="Macro",'Atividades Micro'!$K6&lt;&gt;""),'Atividades Micro'!$K6,"")</f>
        <v/>
      </c>
      <c r="BX8" s="21" t="str">
        <f>IF(AND('Atividades Micro'!$B6=BX$2,'Atividades Micro'!$G6="Macro",'Atividades Micro'!$K6&lt;&gt;""),'Atividades Micro'!$K6,"")</f>
        <v/>
      </c>
      <c r="BY8" s="21" t="str">
        <f>IF(AND('Atividades Micro'!$B6=BY$2,'Atividades Micro'!$G6="Macro",'Atividades Micro'!$K6&lt;&gt;""),'Atividades Micro'!$K6,"")</f>
        <v/>
      </c>
      <c r="BZ8" s="21" t="str">
        <f>IF(AND('Atividades Micro'!$B6=BZ$2,'Atividades Micro'!$G6="Macro",'Atividades Micro'!$K6&lt;&gt;""),'Atividades Micro'!$K6,"")</f>
        <v/>
      </c>
      <c r="CA8" s="21" t="str">
        <f>IF(AND('Atividades Micro'!$B6=CA$2,'Atividades Micro'!$G6="Macro",'Atividades Micro'!$K6&lt;&gt;""),'Atividades Micro'!$K6,"")</f>
        <v/>
      </c>
      <c r="CB8" s="21" t="str">
        <f>IF(AND('Atividades Micro'!$B6=CB$2,'Atividades Micro'!$G6="Macro",'Atividades Micro'!$K6&lt;&gt;""),'Atividades Micro'!$K6,"")</f>
        <v/>
      </c>
      <c r="CC8" s="21" t="str">
        <f>IF(AND('Atividades Micro'!$B6=CC$2,'Atividades Micro'!$G6="Macro",'Atividades Micro'!$K6&lt;&gt;""),'Atividades Micro'!$K6,"")</f>
        <v/>
      </c>
      <c r="CD8" s="21" t="str">
        <f>IF(AND('Atividades Micro'!$B6=CD$2,'Atividades Micro'!$G6="Micro",'Atividades Micro'!$K6&lt;&gt;""),'Atividades Micro'!$K6,"")</f>
        <v/>
      </c>
      <c r="CE8" s="21" t="str">
        <f>IF(AND('Atividades Micro'!$B6=CE$2,'Atividades Micro'!$G6="Micro",'Atividades Micro'!$K6&lt;&gt;""),'Atividades Micro'!$K6,"")</f>
        <v/>
      </c>
      <c r="CF8" s="21" t="str">
        <f>IF(AND('Atividades Micro'!$B6=CF$2,'Atividades Micro'!$G6="Micro",'Atividades Micro'!$K6&lt;&gt;""),'Atividades Micro'!$K6,"")</f>
        <v/>
      </c>
      <c r="CG8" s="21" t="str">
        <f>IF(AND('Atividades Micro'!$B6=CG$2,'Atividades Micro'!$G6="Micro",'Atividades Micro'!$K6&lt;&gt;""),'Atividades Micro'!$K6,"")</f>
        <v/>
      </c>
      <c r="CH8" s="21" t="str">
        <f>IF(AND('Atividades Micro'!$B6=CH$2,'Atividades Micro'!$G6="Micro",'Atividades Micro'!$K6&lt;&gt;""),'Atividades Micro'!$K6,"")</f>
        <v/>
      </c>
      <c r="CI8" s="21" t="str">
        <f>IF(AND('Atividades Micro'!$B6=CI$2,'Atividades Micro'!$G6="Micro",'Atividades Micro'!$K6&lt;&gt;""),'Atividades Micro'!$K6,"")</f>
        <v/>
      </c>
      <c r="CJ8" s="21" t="str">
        <f>IF(AND('Atividades Micro'!$B6=CJ$2,'Atividades Micro'!$G6="Micro",'Atividades Micro'!$K6&lt;&gt;""),'Atividades Micro'!$K6,"")</f>
        <v/>
      </c>
      <c r="CK8" s="21" t="str">
        <f>IF(AND('Atividades Micro'!$B6=CK$2,'Atividades Micro'!$G6="Micro",'Atividades Micro'!$K6&lt;&gt;""),'Atividades Micro'!$K6,"")</f>
        <v/>
      </c>
      <c r="CL8" s="21" t="str">
        <f>IF(AND('Atividades Micro'!$B6=CL$2,'Atividades Micro'!$G6="Micro",'Atividades Micro'!$K6&lt;&gt;""),'Atividades Micro'!$K6,"")</f>
        <v/>
      </c>
      <c r="CM8" s="21" t="str">
        <f>IF(AND('Atividades Micro'!$B6=CM$2,'Atividades Micro'!$G6="Micro",'Atividades Micro'!$K6&lt;&gt;""),'Atividades Micro'!$K6,"")</f>
        <v/>
      </c>
      <c r="CN8" s="21" t="str">
        <f>IF(AND('Atividades Micro'!$B6=CN$2,'Atividades Micro'!$G6="Micro",'Atividades Micro'!$K6&lt;&gt;""),'Atividades Micro'!$K6,"")</f>
        <v/>
      </c>
      <c r="CO8" s="21" t="str">
        <f>IF(AND('Atividades Micro'!$B6=CO$2,'Atividades Micro'!$G6="Micro",'Atividades Micro'!$K6&lt;&gt;""),'Atividades Micro'!$K6,"")</f>
        <v/>
      </c>
    </row>
    <row r="9" spans="1:93">
      <c r="A9" s="21">
        <f>IF(AND('Atividades Micro'!$A7=A$2,'Atividades Micro'!$K7&lt;&gt;""),'Atividades Micro'!$K7,"")</f>
        <v>46398</v>
      </c>
      <c r="B9" s="21" t="str">
        <f>IF(AND('Atividades Micro'!$A7=B$2,'Atividades Micro'!$L7&lt;&gt;""),'Atividades Micro'!$L7,"")</f>
        <v/>
      </c>
      <c r="C9" s="21" t="str">
        <f>IF(AND('Atividades Micro'!$A7=C$2,'Atividades Micro'!$K7&lt;&gt;""),'Atividades Micro'!$K7,"")</f>
        <v/>
      </c>
      <c r="D9" s="21" t="str">
        <f>IF(AND('Atividades Micro'!$A7=D$2,'Atividades Micro'!$L7&lt;&gt;""),'Atividades Micro'!$L7,"")</f>
        <v/>
      </c>
      <c r="E9" s="21" t="str">
        <f>IF(AND('Atividades Micro'!$A7=E$2,'Atividades Micro'!$K7&lt;&gt;""),'Atividades Micro'!$K7,"")</f>
        <v/>
      </c>
      <c r="F9" s="21" t="str">
        <f>IF(AND('Atividades Micro'!$A7=F$2,'Atividades Micro'!$L7&lt;&gt;""),'Atividades Micro'!$L7,"")</f>
        <v/>
      </c>
      <c r="G9" s="21" t="str">
        <f>IF(AND('Atividades Micro'!$A7=G$2,'Atividades Micro'!$K7&lt;&gt;""),'Atividades Micro'!$K7,"")</f>
        <v/>
      </c>
      <c r="H9" s="21" t="str">
        <f>IF(AND('Atividades Micro'!$A7=H$2,'Atividades Micro'!$L7&lt;&gt;""),'Atividades Micro'!$L7,"")</f>
        <v/>
      </c>
      <c r="I9" s="21" t="str">
        <f>IF(AND('Atividades Micro'!$A7=I$2,'Atividades Micro'!$K7&lt;&gt;""),'Atividades Micro'!$K7,"")</f>
        <v/>
      </c>
      <c r="J9" s="21" t="str">
        <f>IF(AND('Atividades Micro'!$A7=J$2,'Atividades Micro'!$L7&lt;&gt;""),'Atividades Micro'!$L7,"")</f>
        <v/>
      </c>
      <c r="K9" s="21" t="str">
        <f>IF(AND('Atividades Micro'!$B7=K$2,'Atividades Micro'!$K7&lt;&gt;""),'Atividades Micro'!$K7,"")</f>
        <v/>
      </c>
      <c r="L9" s="21" t="str">
        <f>IF(AND('Atividades Micro'!$B7=L$2,'Atividades Micro'!$L7&lt;&gt;""),'Atividades Micro'!$L7,"")</f>
        <v/>
      </c>
      <c r="M9" s="21" t="str">
        <f>IF(AND('Atividades Micro'!$B7=M$2,'Atividades Micro'!$K7&lt;&gt;""),'Atividades Micro'!$K7,"")</f>
        <v/>
      </c>
      <c r="N9" s="21" t="str">
        <f>IF(AND('Atividades Micro'!$B7=N$2,'Atividades Micro'!$L7&lt;&gt;""),'Atividades Micro'!$L7,"")</f>
        <v/>
      </c>
      <c r="O9" s="21" t="str">
        <f>IF(AND('Atividades Micro'!$A7=O$2,'Atividades Micro'!$K7&lt;&gt;""),'Atividades Micro'!$K7,"")</f>
        <v/>
      </c>
      <c r="P9" s="21" t="str">
        <f>IF(AND('Atividades Micro'!$A7=P$2,'Atividades Micro'!$L7&lt;&gt;""),'Atividades Micro'!$L7,"")</f>
        <v/>
      </c>
      <c r="Q9" s="21" t="str">
        <f>IF(AND('Atividades Micro'!$B7=Q$2,'Atividades Micro'!$K7&lt;&gt;""),'Atividades Micro'!$K7,"")</f>
        <v/>
      </c>
      <c r="R9" s="21" t="str">
        <f>IF(AND('Atividades Micro'!$B7=R$2,'Atividades Micro'!$L7&lt;&gt;""),'Atividades Micro'!$L7,"")</f>
        <v/>
      </c>
      <c r="S9" s="21" t="str">
        <f>IF(AND('Atividades Micro'!$A7=S$2,'Atividades Micro'!$K7&lt;&gt;""),'Atividades Micro'!$K7,"")</f>
        <v/>
      </c>
      <c r="T9" s="21" t="str">
        <f>IF(AND('Atividades Micro'!$A7=T$2,'Atividades Micro'!$L7&lt;&gt;""),'Atividades Micro'!$L7,"")</f>
        <v/>
      </c>
      <c r="U9" s="21" t="str">
        <f>IF(AND('Atividades Micro'!$B7=U$2,'Atividades Micro'!$K7&lt;&gt;""),'Atividades Micro'!$K7,"")</f>
        <v/>
      </c>
      <c r="V9" s="21" t="str">
        <f>IF(AND('Atividades Micro'!$B7=V$2,'Atividades Micro'!$L7&lt;&gt;""),'Atividades Micro'!$L7,"")</f>
        <v/>
      </c>
      <c r="W9" s="21" t="str">
        <f>IF(AND('Atividades Micro'!$B7=W$2,'Atividades Micro'!$K7&lt;&gt;""),'Atividades Micro'!$K7,"")</f>
        <v/>
      </c>
      <c r="X9" s="21" t="str">
        <f>IF(AND('Atividades Micro'!$B7=X$2,'Atividades Micro'!$L7&lt;&gt;""),'Atividades Micro'!$L7,"")</f>
        <v/>
      </c>
      <c r="Y9" s="21" t="str">
        <f>IF(AND('Atividades Micro'!$A7=Y$2,'Atividades Micro'!$K7&lt;&gt;""),'Atividades Micro'!$K7,"")</f>
        <v/>
      </c>
      <c r="Z9" s="21" t="str">
        <f>IF(AND('Atividades Micro'!$A7=Z$2,'Atividades Micro'!$L7&lt;&gt;""),'Atividades Micro'!$L7,"")</f>
        <v/>
      </c>
      <c r="AA9" s="21" t="str">
        <f>IF(AND('Atividades Micro'!$B7=AA$2,'Atividades Micro'!$K7&lt;&gt;""),'Atividades Micro'!$K7,"")</f>
        <v/>
      </c>
      <c r="AB9" s="21" t="str">
        <f>IF(AND('Atividades Micro'!$B7=AB$2,'Atividades Micro'!$L7&lt;&gt;""),'Atividades Micro'!$L7,"")</f>
        <v/>
      </c>
      <c r="AC9" s="21" t="str">
        <f>IF(AND('Atividades Micro'!$B7=AC$2,'Atividades Micro'!$K7&lt;&gt;""),'Atividades Micro'!$K7,"")</f>
        <v/>
      </c>
      <c r="AD9" s="21" t="str">
        <f>IF(AND('Atividades Micro'!$B7=AD$2,'Atividades Micro'!$L7&lt;&gt;""),'Atividades Micro'!$L7,"")</f>
        <v/>
      </c>
      <c r="AE9" s="21" t="str">
        <f>IF(AND('Atividades Micro'!$A7=AE$2,'Atividades Micro'!$K7&lt;&gt;""),'Atividades Micro'!$K7,"")</f>
        <v/>
      </c>
      <c r="AF9" s="21" t="str">
        <f>IF(AND('Atividades Micro'!$A7=AF$2,'Atividades Micro'!$L7&lt;&gt;""),'Atividades Micro'!$L7,"")</f>
        <v/>
      </c>
      <c r="AG9" s="21" t="str">
        <f>IF(AND('Atividades Micro'!$B7=AG$2,'Atividades Micro'!$K7&lt;&gt;""),'Atividades Micro'!$K7,"")</f>
        <v/>
      </c>
      <c r="AH9" s="21" t="str">
        <f>IF(AND('Atividades Micro'!$B7=AH$2,'Atividades Micro'!$L7&lt;&gt;""),'Atividades Micro'!$L7,"")</f>
        <v/>
      </c>
      <c r="AI9" s="21" t="str">
        <f>IF(AND('Atividades Micro'!$B7=AI$2,'Atividades Micro'!$K7&lt;&gt;""),'Atividades Micro'!$K7,"")</f>
        <v/>
      </c>
      <c r="AJ9" s="21" t="str">
        <f>IF(AND('Atividades Micro'!$B7=AJ$2,'Atividades Micro'!$L7&lt;&gt;""),'Atividades Micro'!$L7,"")</f>
        <v/>
      </c>
      <c r="AK9" s="21" t="str">
        <f>IF(AND('Atividades Micro'!$A7=AK$2,'Atividades Micro'!$K7&lt;&gt;""),'Atividades Micro'!$K7,"")</f>
        <v/>
      </c>
      <c r="AL9" s="21" t="str">
        <f>IF(AND('Atividades Micro'!$A7=AL$2,'Atividades Micro'!$L7&lt;&gt;""),'Atividades Micro'!$L7,"")</f>
        <v/>
      </c>
      <c r="AM9" s="21" t="str">
        <f>IF(AND('Atividades Micro'!$B7=AM$2,'Atividades Micro'!$K7&lt;&gt;""),'Atividades Micro'!$K7,"")</f>
        <v/>
      </c>
      <c r="AN9" s="21" t="str">
        <f>IF(AND('Atividades Micro'!$B7=AN$2,'Atividades Micro'!$L7&lt;&gt;""),'Atividades Micro'!$L7,"")</f>
        <v/>
      </c>
      <c r="AO9" s="21" t="str">
        <f>IF(AND('Atividades Micro'!$B7=AO$2,'Atividades Micro'!$K7&lt;&gt;""),'Atividades Micro'!$K7,"")</f>
        <v/>
      </c>
      <c r="AP9" s="21" t="str">
        <f>IF(AND('Atividades Micro'!$B7=AP$2,'Atividades Micro'!$L7&lt;&gt;""),'Atividades Micro'!$L7,"")</f>
        <v/>
      </c>
      <c r="AQ9" s="21" t="str">
        <f>IF(AND('Atividades Micro'!$A7=AQ$2,'Atividades Micro'!$K7&lt;&gt;""),'Atividades Micro'!$K7,"")</f>
        <v/>
      </c>
      <c r="AR9" s="21" t="str">
        <f>IF(AND('Atividades Micro'!$A7=AR$2,'Atividades Micro'!$L7&lt;&gt;""),'Atividades Micro'!$L7,"")</f>
        <v/>
      </c>
      <c r="AS9" s="21" t="str">
        <f>IF(AND('Atividades Micro'!$B7=AS$2,'Atividades Micro'!$K7&lt;&gt;""),'Atividades Micro'!$K7,"")</f>
        <v/>
      </c>
      <c r="AT9" s="21" t="str">
        <f>IF(AND('Atividades Micro'!$B7=AT$2,'Atividades Micro'!$L7&lt;&gt;""),'Atividades Micro'!$L7,"")</f>
        <v/>
      </c>
      <c r="AU9" s="21" t="str">
        <f>IF(AND('Atividades Micro'!$A7=AU$2,'Atividades Micro'!$K7&lt;&gt;""),'Atividades Micro'!$K7,"")</f>
        <v/>
      </c>
      <c r="AV9" s="21" t="str">
        <f>IF(AND('Atividades Micro'!$A7=AV$2,'Atividades Micro'!$L7&lt;&gt;""),'Atividades Micro'!$L7,"")</f>
        <v/>
      </c>
      <c r="AW9" s="21" t="str">
        <f>IF(AND('Atividades Micro'!$B7=AW$2,'Atividades Micro'!$K7&lt;&gt;""),'Atividades Micro'!$K7,"")</f>
        <v/>
      </c>
      <c r="AX9" s="21" t="str">
        <f>IF(AND('Atividades Micro'!$B7=AX$2,'Atividades Micro'!$L7&lt;&gt;""),'Atividades Micro'!$L7,"")</f>
        <v/>
      </c>
      <c r="AY9" s="21" t="str">
        <f>IF(AND('Atividades Micro'!$A7=AY$2,'Atividades Micro'!$K7&lt;&gt;""),'Atividades Micro'!$K7,"")</f>
        <v/>
      </c>
      <c r="AZ9" s="21" t="str">
        <f>IF(AND('Atividades Micro'!$A7=AZ$2,'Atividades Micro'!$L7&lt;&gt;""),'Atividades Micro'!$L7,"")</f>
        <v/>
      </c>
      <c r="BA9" s="21" t="str">
        <f>IF(AND('Atividades Micro'!$B7=BA$2,'Atividades Micro'!$K7&lt;&gt;""),'Atividades Micro'!$K7,"")</f>
        <v/>
      </c>
      <c r="BB9" s="21" t="str">
        <f>IF(AND('Atividades Micro'!$B7=BB$2,'Atividades Micro'!$L7&lt;&gt;""),'Atividades Micro'!$L7,"")</f>
        <v/>
      </c>
      <c r="BC9" s="21" t="str">
        <f>IF(AND('Atividades Micro'!$B7=BC$2,'Atividades Micro'!$G7="Macro",'Atividades Micro'!$K7&lt;&gt;""),'Atividades Micro'!$K7,"")</f>
        <v/>
      </c>
      <c r="BD9" s="21" t="str">
        <f>IF(AND('Atividades Micro'!$B7=BD$2,'Atividades Micro'!$G7="Macro",'Atividades Micro'!$K7&lt;&gt;""),'Atividades Micro'!$K7,"")</f>
        <v/>
      </c>
      <c r="BE9" s="21" t="str">
        <f>IF(AND('Atividades Micro'!$B7=BE$2,'Atividades Micro'!$G7="Macro",'Atividades Micro'!$K7&lt;&gt;""),'Atividades Micro'!$K7,"")</f>
        <v/>
      </c>
      <c r="BF9" s="21" t="str">
        <f>IF(AND('Atividades Micro'!$B7=BF$2,'Atividades Micro'!$G7="Macro",'Atividades Micro'!$K7&lt;&gt;""),'Atividades Micro'!$K7,"")</f>
        <v/>
      </c>
      <c r="BG9" s="21" t="str">
        <f>IF(AND('Atividades Micro'!$B7=BG$2,'Atividades Micro'!$G7="Macro",'Atividades Micro'!$K7&lt;&gt;""),'Atividades Micro'!$K7,"")</f>
        <v/>
      </c>
      <c r="BH9" s="21" t="str">
        <f>IF(AND('Atividades Micro'!$B7=BH$2,'Atividades Micro'!$G7="Macro",'Atividades Micro'!$K7&lt;&gt;""),'Atividades Micro'!$K7,"")</f>
        <v/>
      </c>
      <c r="BI9" s="21" t="str">
        <f>IF(AND('Atividades Micro'!$B7=BI$2,'Atividades Micro'!$G7="Macro",'Atividades Micro'!$K7&lt;&gt;""),'Atividades Micro'!$K7,"")</f>
        <v/>
      </c>
      <c r="BJ9" s="21" t="str">
        <f>IF(AND('Atividades Micro'!$B7=BJ$2,'Atividades Micro'!$G7="Macro",'Atividades Micro'!$K7&lt;&gt;""),'Atividades Micro'!$K7,"")</f>
        <v/>
      </c>
      <c r="BK9" s="21" t="str">
        <f>IF(AND('Atividades Micro'!$B7=BK$2,'Atividades Micro'!$G7="Macro",'Atividades Micro'!$K7&lt;&gt;""),'Atividades Micro'!$K7,"")</f>
        <v/>
      </c>
      <c r="BL9" s="21" t="str">
        <f>IF(AND('Atividades Micro'!$B7=BL$2,'Atividades Micro'!$G7="Macro",'Atividades Micro'!$K7&lt;&gt;""),'Atividades Micro'!$K7,"")</f>
        <v/>
      </c>
      <c r="BM9" s="21" t="str">
        <f>IF(AND('Atividades Micro'!$B7=BM$2,'Atividades Micro'!$G7="Macro",'Atividades Micro'!$K7&lt;&gt;""),'Atividades Micro'!$K7,"")</f>
        <v/>
      </c>
      <c r="BN9" s="21" t="str">
        <f>IF(AND('Atividades Micro'!$B7=BN$2,'Atividades Micro'!$G7="Macro",'Atividades Micro'!$K7&lt;&gt;""),'Atividades Micro'!$K7,"")</f>
        <v/>
      </c>
      <c r="BO9" s="21" t="str">
        <f>IF(AND('Atividades Micro'!$B7=BO$2,'Atividades Micro'!$G7="Macro",'Atividades Micro'!$K7&lt;&gt;""),'Atividades Micro'!$K7,"")</f>
        <v/>
      </c>
      <c r="BP9" s="21" t="str">
        <f>IF(AND('Atividades Micro'!$B7=BP$2,'Atividades Micro'!$G7="Macro",'Atividades Micro'!$K7&lt;&gt;""),'Atividades Micro'!$K7,"")</f>
        <v/>
      </c>
      <c r="BQ9" s="21" t="str">
        <f>IF(AND('Atividades Micro'!$B7=BQ$2,'Atividades Micro'!$G7="Macro",'Atividades Micro'!$K7&lt;&gt;""),'Atividades Micro'!$K7,"")</f>
        <v/>
      </c>
      <c r="BR9" s="21" t="str">
        <f>IF(AND('Atividades Micro'!$B7=BR$2,'Atividades Micro'!$G7="Macro",'Atividades Micro'!$K7&lt;&gt;""),'Atividades Micro'!$K7,"")</f>
        <v/>
      </c>
      <c r="BS9" s="21" t="str">
        <f>IF(AND('Atividades Micro'!$B7=BS$2,'Atividades Micro'!$G7="Macro",'Atividades Micro'!$K7&lt;&gt;""),'Atividades Micro'!$K7,"")</f>
        <v/>
      </c>
      <c r="BT9" s="21" t="str">
        <f>IF(AND('Atividades Micro'!$B7=BT$2,'Atividades Micro'!$G7="Macro",'Atividades Micro'!$K7&lt;&gt;""),'Atividades Micro'!$K7,"")</f>
        <v/>
      </c>
      <c r="BU9" s="21" t="str">
        <f>IF(AND('Atividades Micro'!$B7=BU$2,'Atividades Micro'!$G7="Macro",'Atividades Micro'!$K7&lt;&gt;""),'Atividades Micro'!$K7,"")</f>
        <v/>
      </c>
      <c r="BV9" s="21" t="str">
        <f>IF(AND('Atividades Micro'!$B7=BV$2,'Atividades Micro'!$G7="Macro",'Atividades Micro'!$K7&lt;&gt;""),'Atividades Micro'!$K7,"")</f>
        <v/>
      </c>
      <c r="BW9" s="21" t="str">
        <f>IF(AND('Atividades Micro'!$B7=BW$2,'Atividades Micro'!$G7="Macro",'Atividades Micro'!$K7&lt;&gt;""),'Atividades Micro'!$K7,"")</f>
        <v/>
      </c>
      <c r="BX9" s="21" t="str">
        <f>IF(AND('Atividades Micro'!$B7=BX$2,'Atividades Micro'!$G7="Macro",'Atividades Micro'!$K7&lt;&gt;""),'Atividades Micro'!$K7,"")</f>
        <v/>
      </c>
      <c r="BY9" s="21" t="str">
        <f>IF(AND('Atividades Micro'!$B7=BY$2,'Atividades Micro'!$G7="Macro",'Atividades Micro'!$K7&lt;&gt;""),'Atividades Micro'!$K7,"")</f>
        <v/>
      </c>
      <c r="BZ9" s="21" t="str">
        <f>IF(AND('Atividades Micro'!$B7=BZ$2,'Atividades Micro'!$G7="Macro",'Atividades Micro'!$K7&lt;&gt;""),'Atividades Micro'!$K7,"")</f>
        <v/>
      </c>
      <c r="CA9" s="21" t="str">
        <f>IF(AND('Atividades Micro'!$B7=CA$2,'Atividades Micro'!$G7="Macro",'Atividades Micro'!$K7&lt;&gt;""),'Atividades Micro'!$K7,"")</f>
        <v/>
      </c>
      <c r="CB9" s="21" t="str">
        <f>IF(AND('Atividades Micro'!$B7=CB$2,'Atividades Micro'!$G7="Macro",'Atividades Micro'!$K7&lt;&gt;""),'Atividades Micro'!$K7,"")</f>
        <v/>
      </c>
      <c r="CC9" s="21" t="str">
        <f>IF(AND('Atividades Micro'!$B7=CC$2,'Atividades Micro'!$G7="Macro",'Atividades Micro'!$K7&lt;&gt;""),'Atividades Micro'!$K7,"")</f>
        <v/>
      </c>
      <c r="CD9" s="21" t="str">
        <f>IF(AND('Atividades Micro'!$B7=CD$2,'Atividades Micro'!$G7="Micro",'Atividades Micro'!$K7&lt;&gt;""),'Atividades Micro'!$K7,"")</f>
        <v/>
      </c>
      <c r="CE9" s="21" t="str">
        <f>IF(AND('Atividades Micro'!$B7=CE$2,'Atividades Micro'!$G7="Micro",'Atividades Micro'!$K7&lt;&gt;""),'Atividades Micro'!$K7,"")</f>
        <v/>
      </c>
      <c r="CF9" s="21" t="str">
        <f>IF(AND('Atividades Micro'!$B7=CF$2,'Atividades Micro'!$G7="Micro",'Atividades Micro'!$K7&lt;&gt;""),'Atividades Micro'!$K7,"")</f>
        <v/>
      </c>
      <c r="CG9" s="21" t="str">
        <f>IF(AND('Atividades Micro'!$B7=CG$2,'Atividades Micro'!$G7="Micro",'Atividades Micro'!$K7&lt;&gt;""),'Atividades Micro'!$K7,"")</f>
        <v/>
      </c>
      <c r="CH9" s="21" t="str">
        <f>IF(AND('Atividades Micro'!$B7=CH$2,'Atividades Micro'!$G7="Micro",'Atividades Micro'!$K7&lt;&gt;""),'Atividades Micro'!$K7,"")</f>
        <v/>
      </c>
      <c r="CI9" s="21" t="str">
        <f>IF(AND('Atividades Micro'!$B7=CI$2,'Atividades Micro'!$G7="Micro",'Atividades Micro'!$K7&lt;&gt;""),'Atividades Micro'!$K7,"")</f>
        <v/>
      </c>
      <c r="CJ9" s="21" t="str">
        <f>IF(AND('Atividades Micro'!$B7=CJ$2,'Atividades Micro'!$G7="Micro",'Atividades Micro'!$K7&lt;&gt;""),'Atividades Micro'!$K7,"")</f>
        <v/>
      </c>
      <c r="CK9" s="21" t="str">
        <f>IF(AND('Atividades Micro'!$B7=CK$2,'Atividades Micro'!$G7="Micro",'Atividades Micro'!$K7&lt;&gt;""),'Atividades Micro'!$K7,"")</f>
        <v/>
      </c>
      <c r="CL9" s="21" t="str">
        <f>IF(AND('Atividades Micro'!$B7=CL$2,'Atividades Micro'!$G7="Micro",'Atividades Micro'!$K7&lt;&gt;""),'Atividades Micro'!$K7,"")</f>
        <v/>
      </c>
      <c r="CM9" s="21" t="str">
        <f>IF(AND('Atividades Micro'!$B7=CM$2,'Atividades Micro'!$G7="Micro",'Atividades Micro'!$K7&lt;&gt;""),'Atividades Micro'!$K7,"")</f>
        <v/>
      </c>
      <c r="CN9" s="21" t="str">
        <f>IF(AND('Atividades Micro'!$B7=CN$2,'Atividades Micro'!$G7="Micro",'Atividades Micro'!$K7&lt;&gt;""),'Atividades Micro'!$K7,"")</f>
        <v/>
      </c>
      <c r="CO9" s="21" t="str">
        <f>IF(AND('Atividades Micro'!$B7=CO$2,'Atividades Micro'!$G7="Micro",'Atividades Micro'!$K7&lt;&gt;""),'Atividades Micro'!$K7,"")</f>
        <v/>
      </c>
    </row>
    <row r="10" spans="1:93">
      <c r="A10" s="21">
        <f>IF(AND('Atividades Micro'!$A8=A$2,'Atividades Micro'!$K8&lt;&gt;""),'Atividades Micro'!$K8,"")</f>
        <v>46568</v>
      </c>
      <c r="B10" s="21" t="str">
        <f>IF(AND('Atividades Micro'!$A8=B$2,'Atividades Micro'!$L8&lt;&gt;""),'Atividades Micro'!$L8,"")</f>
        <v/>
      </c>
      <c r="C10" s="21" t="str">
        <f>IF(AND('Atividades Micro'!$A8=C$2,'Atividades Micro'!$K8&lt;&gt;""),'Atividades Micro'!$K8,"")</f>
        <v/>
      </c>
      <c r="D10" s="21" t="str">
        <f>IF(AND('Atividades Micro'!$A8=D$2,'Atividades Micro'!$L8&lt;&gt;""),'Atividades Micro'!$L8,"")</f>
        <v/>
      </c>
      <c r="E10" s="21" t="str">
        <f>IF(AND('Atividades Micro'!$A8=E$2,'Atividades Micro'!$K8&lt;&gt;""),'Atividades Micro'!$K8,"")</f>
        <v/>
      </c>
      <c r="F10" s="21" t="str">
        <f>IF(AND('Atividades Micro'!$A8=F$2,'Atividades Micro'!$L8&lt;&gt;""),'Atividades Micro'!$L8,"")</f>
        <v/>
      </c>
      <c r="G10" s="21" t="str">
        <f>IF(AND('Atividades Micro'!$A8=G$2,'Atividades Micro'!$K8&lt;&gt;""),'Atividades Micro'!$K8,"")</f>
        <v/>
      </c>
      <c r="H10" s="21" t="str">
        <f>IF(AND('Atividades Micro'!$A8=H$2,'Atividades Micro'!$L8&lt;&gt;""),'Atividades Micro'!$L8,"")</f>
        <v/>
      </c>
      <c r="I10" s="21" t="str">
        <f>IF(AND('Atividades Micro'!$A8=I$2,'Atividades Micro'!$K8&lt;&gt;""),'Atividades Micro'!$K8,"")</f>
        <v/>
      </c>
      <c r="J10" s="21" t="str">
        <f>IF(AND('Atividades Micro'!$A8=J$2,'Atividades Micro'!$L8&lt;&gt;""),'Atividades Micro'!$L8,"")</f>
        <v/>
      </c>
      <c r="K10" s="21" t="str">
        <f>IF(AND('Atividades Micro'!$B8=K$2,'Atividades Micro'!$K8&lt;&gt;""),'Atividades Micro'!$K8,"")</f>
        <v/>
      </c>
      <c r="L10" s="21" t="str">
        <f>IF(AND('Atividades Micro'!$B8=L$2,'Atividades Micro'!$L8&lt;&gt;""),'Atividades Micro'!$L8,"")</f>
        <v/>
      </c>
      <c r="M10" s="21" t="str">
        <f>IF(AND('Atividades Micro'!$B8=M$2,'Atividades Micro'!$K8&lt;&gt;""),'Atividades Micro'!$K8,"")</f>
        <v/>
      </c>
      <c r="N10" s="21" t="str">
        <f>IF(AND('Atividades Micro'!$B8=N$2,'Atividades Micro'!$L8&lt;&gt;""),'Atividades Micro'!$L8,"")</f>
        <v/>
      </c>
      <c r="O10" s="21" t="str">
        <f>IF(AND('Atividades Micro'!$A8=O$2,'Atividades Micro'!$K8&lt;&gt;""),'Atividades Micro'!$K8,"")</f>
        <v/>
      </c>
      <c r="P10" s="21" t="str">
        <f>IF(AND('Atividades Micro'!$A8=P$2,'Atividades Micro'!$L8&lt;&gt;""),'Atividades Micro'!$L8,"")</f>
        <v/>
      </c>
      <c r="Q10" s="21" t="str">
        <f>IF(AND('Atividades Micro'!$B8=Q$2,'Atividades Micro'!$K8&lt;&gt;""),'Atividades Micro'!$K8,"")</f>
        <v/>
      </c>
      <c r="R10" s="21" t="str">
        <f>IF(AND('Atividades Micro'!$B8=R$2,'Atividades Micro'!$L8&lt;&gt;""),'Atividades Micro'!$L8,"")</f>
        <v/>
      </c>
      <c r="S10" s="21" t="str">
        <f>IF(AND('Atividades Micro'!$A8=S$2,'Atividades Micro'!$K8&lt;&gt;""),'Atividades Micro'!$K8,"")</f>
        <v/>
      </c>
      <c r="T10" s="21" t="str">
        <f>IF(AND('Atividades Micro'!$A8=T$2,'Atividades Micro'!$L8&lt;&gt;""),'Atividades Micro'!$L8,"")</f>
        <v/>
      </c>
      <c r="U10" s="21" t="str">
        <f>IF(AND('Atividades Micro'!$B8=U$2,'Atividades Micro'!$K8&lt;&gt;""),'Atividades Micro'!$K8,"")</f>
        <v/>
      </c>
      <c r="V10" s="21" t="str">
        <f>IF(AND('Atividades Micro'!$B8=V$2,'Atividades Micro'!$L8&lt;&gt;""),'Atividades Micro'!$L8,"")</f>
        <v/>
      </c>
      <c r="W10" s="21" t="str">
        <f>IF(AND('Atividades Micro'!$B8=W$2,'Atividades Micro'!$K8&lt;&gt;""),'Atividades Micro'!$K8,"")</f>
        <v/>
      </c>
      <c r="X10" s="21" t="str">
        <f>IF(AND('Atividades Micro'!$B8=X$2,'Atividades Micro'!$L8&lt;&gt;""),'Atividades Micro'!$L8,"")</f>
        <v/>
      </c>
      <c r="Y10" s="21" t="str">
        <f>IF(AND('Atividades Micro'!$A8=Y$2,'Atividades Micro'!$K8&lt;&gt;""),'Atividades Micro'!$K8,"")</f>
        <v/>
      </c>
      <c r="Z10" s="21" t="str">
        <f>IF(AND('Atividades Micro'!$A8=Z$2,'Atividades Micro'!$L8&lt;&gt;""),'Atividades Micro'!$L8,"")</f>
        <v/>
      </c>
      <c r="AA10" s="21" t="str">
        <f>IF(AND('Atividades Micro'!$B8=AA$2,'Atividades Micro'!$K8&lt;&gt;""),'Atividades Micro'!$K8,"")</f>
        <v/>
      </c>
      <c r="AB10" s="21" t="str">
        <f>IF(AND('Atividades Micro'!$B8=AB$2,'Atividades Micro'!$L8&lt;&gt;""),'Atividades Micro'!$L8,"")</f>
        <v/>
      </c>
      <c r="AC10" s="21" t="str">
        <f>IF(AND('Atividades Micro'!$B8=AC$2,'Atividades Micro'!$K8&lt;&gt;""),'Atividades Micro'!$K8,"")</f>
        <v/>
      </c>
      <c r="AD10" s="21" t="str">
        <f>IF(AND('Atividades Micro'!$B8=AD$2,'Atividades Micro'!$L8&lt;&gt;""),'Atividades Micro'!$L8,"")</f>
        <v/>
      </c>
      <c r="AE10" s="21" t="str">
        <f>IF(AND('Atividades Micro'!$A8=AE$2,'Atividades Micro'!$K8&lt;&gt;""),'Atividades Micro'!$K8,"")</f>
        <v/>
      </c>
      <c r="AF10" s="21" t="str">
        <f>IF(AND('Atividades Micro'!$A8=AF$2,'Atividades Micro'!$L8&lt;&gt;""),'Atividades Micro'!$L8,"")</f>
        <v/>
      </c>
      <c r="AG10" s="21" t="str">
        <f>IF(AND('Atividades Micro'!$B8=AG$2,'Atividades Micro'!$K8&lt;&gt;""),'Atividades Micro'!$K8,"")</f>
        <v/>
      </c>
      <c r="AH10" s="21" t="str">
        <f>IF(AND('Atividades Micro'!$B8=AH$2,'Atividades Micro'!$L8&lt;&gt;""),'Atividades Micro'!$L8,"")</f>
        <v/>
      </c>
      <c r="AI10" s="21" t="str">
        <f>IF(AND('Atividades Micro'!$B8=AI$2,'Atividades Micro'!$K8&lt;&gt;""),'Atividades Micro'!$K8,"")</f>
        <v/>
      </c>
      <c r="AJ10" s="21" t="str">
        <f>IF(AND('Atividades Micro'!$B8=AJ$2,'Atividades Micro'!$L8&lt;&gt;""),'Atividades Micro'!$L8,"")</f>
        <v/>
      </c>
      <c r="AK10" s="21" t="str">
        <f>IF(AND('Atividades Micro'!$A8=AK$2,'Atividades Micro'!$K8&lt;&gt;""),'Atividades Micro'!$K8,"")</f>
        <v/>
      </c>
      <c r="AL10" s="21" t="str">
        <f>IF(AND('Atividades Micro'!$A8=AL$2,'Atividades Micro'!$L8&lt;&gt;""),'Atividades Micro'!$L8,"")</f>
        <v/>
      </c>
      <c r="AM10" s="21" t="str">
        <f>IF(AND('Atividades Micro'!$B8=AM$2,'Atividades Micro'!$K8&lt;&gt;""),'Atividades Micro'!$K8,"")</f>
        <v/>
      </c>
      <c r="AN10" s="21" t="str">
        <f>IF(AND('Atividades Micro'!$B8=AN$2,'Atividades Micro'!$L8&lt;&gt;""),'Atividades Micro'!$L8,"")</f>
        <v/>
      </c>
      <c r="AO10" s="21" t="str">
        <f>IF(AND('Atividades Micro'!$B8=AO$2,'Atividades Micro'!$K8&lt;&gt;""),'Atividades Micro'!$K8,"")</f>
        <v/>
      </c>
      <c r="AP10" s="21" t="str">
        <f>IF(AND('Atividades Micro'!$B8=AP$2,'Atividades Micro'!$L8&lt;&gt;""),'Atividades Micro'!$L8,"")</f>
        <v/>
      </c>
      <c r="AQ10" s="21" t="str">
        <f>IF(AND('Atividades Micro'!$A8=AQ$2,'Atividades Micro'!$K8&lt;&gt;""),'Atividades Micro'!$K8,"")</f>
        <v/>
      </c>
      <c r="AR10" s="21" t="str">
        <f>IF(AND('Atividades Micro'!$A8=AR$2,'Atividades Micro'!$L8&lt;&gt;""),'Atividades Micro'!$L8,"")</f>
        <v/>
      </c>
      <c r="AS10" s="21" t="str">
        <f>IF(AND('Atividades Micro'!$B8=AS$2,'Atividades Micro'!$K8&lt;&gt;""),'Atividades Micro'!$K8,"")</f>
        <v/>
      </c>
      <c r="AT10" s="21" t="str">
        <f>IF(AND('Atividades Micro'!$B8=AT$2,'Atividades Micro'!$L8&lt;&gt;""),'Atividades Micro'!$L8,"")</f>
        <v/>
      </c>
      <c r="AU10" s="21" t="str">
        <f>IF(AND('Atividades Micro'!$A8=AU$2,'Atividades Micro'!$K8&lt;&gt;""),'Atividades Micro'!$K8,"")</f>
        <v/>
      </c>
      <c r="AV10" s="21" t="str">
        <f>IF(AND('Atividades Micro'!$A8=AV$2,'Atividades Micro'!$L8&lt;&gt;""),'Atividades Micro'!$L8,"")</f>
        <v/>
      </c>
      <c r="AW10" s="21" t="str">
        <f>IF(AND('Atividades Micro'!$B8=AW$2,'Atividades Micro'!$K8&lt;&gt;""),'Atividades Micro'!$K8,"")</f>
        <v/>
      </c>
      <c r="AX10" s="21" t="str">
        <f>IF(AND('Atividades Micro'!$B8=AX$2,'Atividades Micro'!$L8&lt;&gt;""),'Atividades Micro'!$L8,"")</f>
        <v/>
      </c>
      <c r="AY10" s="21" t="str">
        <f>IF(AND('Atividades Micro'!$A8=AY$2,'Atividades Micro'!$K8&lt;&gt;""),'Atividades Micro'!$K8,"")</f>
        <v/>
      </c>
      <c r="AZ10" s="21" t="str">
        <f>IF(AND('Atividades Micro'!$A8=AZ$2,'Atividades Micro'!$L8&lt;&gt;""),'Atividades Micro'!$L8,"")</f>
        <v/>
      </c>
      <c r="BA10" s="21" t="str">
        <f>IF(AND('Atividades Micro'!$B8=BA$2,'Atividades Micro'!$K8&lt;&gt;""),'Atividades Micro'!$K8,"")</f>
        <v/>
      </c>
      <c r="BB10" s="21" t="str">
        <f>IF(AND('Atividades Micro'!$B8=BB$2,'Atividades Micro'!$L8&lt;&gt;""),'Atividades Micro'!$L8,"")</f>
        <v/>
      </c>
      <c r="BC10" s="21" t="str">
        <f>IF(AND('Atividades Micro'!$B8=BC$2,'Atividades Micro'!$G8="Macro",'Atividades Micro'!$K8&lt;&gt;""),'Atividades Micro'!$K8,"")</f>
        <v/>
      </c>
      <c r="BD10" s="21" t="str">
        <f>IF(AND('Atividades Micro'!$B8=BD$2,'Atividades Micro'!$G8="Macro",'Atividades Micro'!$K8&lt;&gt;""),'Atividades Micro'!$K8,"")</f>
        <v/>
      </c>
      <c r="BE10" s="21" t="str">
        <f>IF(AND('Atividades Micro'!$B8=BE$2,'Atividades Micro'!$G8="Macro",'Atividades Micro'!$K8&lt;&gt;""),'Atividades Micro'!$K8,"")</f>
        <v/>
      </c>
      <c r="BF10" s="21" t="str">
        <f>IF(AND('Atividades Micro'!$B8=BF$2,'Atividades Micro'!$G8="Macro",'Atividades Micro'!$K8&lt;&gt;""),'Atividades Micro'!$K8,"")</f>
        <v/>
      </c>
      <c r="BG10" s="21" t="str">
        <f>IF(AND('Atividades Micro'!$B8=BG$2,'Atividades Micro'!$G8="Macro",'Atividades Micro'!$K8&lt;&gt;""),'Atividades Micro'!$K8,"")</f>
        <v/>
      </c>
      <c r="BH10" s="21" t="str">
        <f>IF(AND('Atividades Micro'!$B8=BH$2,'Atividades Micro'!$G8="Macro",'Atividades Micro'!$K8&lt;&gt;""),'Atividades Micro'!$K8,"")</f>
        <v/>
      </c>
      <c r="BI10" s="21" t="str">
        <f>IF(AND('Atividades Micro'!$B8=BI$2,'Atividades Micro'!$G8="Macro",'Atividades Micro'!$K8&lt;&gt;""),'Atividades Micro'!$K8,"")</f>
        <v/>
      </c>
      <c r="BJ10" s="21" t="str">
        <f>IF(AND('Atividades Micro'!$B8=BJ$2,'Atividades Micro'!$G8="Macro",'Atividades Micro'!$K8&lt;&gt;""),'Atividades Micro'!$K8,"")</f>
        <v/>
      </c>
      <c r="BK10" s="21" t="str">
        <f>IF(AND('Atividades Micro'!$B8=BK$2,'Atividades Micro'!$G8="Macro",'Atividades Micro'!$K8&lt;&gt;""),'Atividades Micro'!$K8,"")</f>
        <v/>
      </c>
      <c r="BL10" s="21" t="str">
        <f>IF(AND('Atividades Micro'!$B8=BL$2,'Atividades Micro'!$G8="Macro",'Atividades Micro'!$K8&lt;&gt;""),'Atividades Micro'!$K8,"")</f>
        <v/>
      </c>
      <c r="BM10" s="21" t="str">
        <f>IF(AND('Atividades Micro'!$B8=BM$2,'Atividades Micro'!$G8="Macro",'Atividades Micro'!$K8&lt;&gt;""),'Atividades Micro'!$K8,"")</f>
        <v/>
      </c>
      <c r="BN10" s="21" t="str">
        <f>IF(AND('Atividades Micro'!$B8=BN$2,'Atividades Micro'!$G8="Macro",'Atividades Micro'!$K8&lt;&gt;""),'Atividades Micro'!$K8,"")</f>
        <v/>
      </c>
      <c r="BO10" s="21" t="str">
        <f>IF(AND('Atividades Micro'!$B8=BO$2,'Atividades Micro'!$G8="Macro",'Atividades Micro'!$K8&lt;&gt;""),'Atividades Micro'!$K8,"")</f>
        <v/>
      </c>
      <c r="BP10" s="21" t="str">
        <f>IF(AND('Atividades Micro'!$B8=BP$2,'Atividades Micro'!$G8="Macro",'Atividades Micro'!$K8&lt;&gt;""),'Atividades Micro'!$K8,"")</f>
        <v/>
      </c>
      <c r="BQ10" s="21" t="str">
        <f>IF(AND('Atividades Micro'!$B8=BQ$2,'Atividades Micro'!$G8="Macro",'Atividades Micro'!$K8&lt;&gt;""),'Atividades Micro'!$K8,"")</f>
        <v/>
      </c>
      <c r="BR10" s="21" t="str">
        <f>IF(AND('Atividades Micro'!$B8=BR$2,'Atividades Micro'!$G8="Macro",'Atividades Micro'!$K8&lt;&gt;""),'Atividades Micro'!$K8,"")</f>
        <v/>
      </c>
      <c r="BS10" s="21" t="str">
        <f>IF(AND('Atividades Micro'!$B8=BS$2,'Atividades Micro'!$G8="Macro",'Atividades Micro'!$K8&lt;&gt;""),'Atividades Micro'!$K8,"")</f>
        <v/>
      </c>
      <c r="BT10" s="21" t="str">
        <f>IF(AND('Atividades Micro'!$B8=BT$2,'Atividades Micro'!$G8="Macro",'Atividades Micro'!$K8&lt;&gt;""),'Atividades Micro'!$K8,"")</f>
        <v/>
      </c>
      <c r="BU10" s="21" t="str">
        <f>IF(AND('Atividades Micro'!$B8=BU$2,'Atividades Micro'!$G8="Macro",'Atividades Micro'!$K8&lt;&gt;""),'Atividades Micro'!$K8,"")</f>
        <v/>
      </c>
      <c r="BV10" s="21" t="str">
        <f>IF(AND('Atividades Micro'!$B8=BV$2,'Atividades Micro'!$G8="Macro",'Atividades Micro'!$K8&lt;&gt;""),'Atividades Micro'!$K8,"")</f>
        <v/>
      </c>
      <c r="BW10" s="21" t="str">
        <f>IF(AND('Atividades Micro'!$B8=BW$2,'Atividades Micro'!$G8="Macro",'Atividades Micro'!$K8&lt;&gt;""),'Atividades Micro'!$K8,"")</f>
        <v/>
      </c>
      <c r="BX10" s="21" t="str">
        <f>IF(AND('Atividades Micro'!$B8=BX$2,'Atividades Micro'!$G8="Macro",'Atividades Micro'!$K8&lt;&gt;""),'Atividades Micro'!$K8,"")</f>
        <v/>
      </c>
      <c r="BY10" s="21" t="str">
        <f>IF(AND('Atividades Micro'!$B8=BY$2,'Atividades Micro'!$G8="Macro",'Atividades Micro'!$K8&lt;&gt;""),'Atividades Micro'!$K8,"")</f>
        <v/>
      </c>
      <c r="BZ10" s="21" t="str">
        <f>IF(AND('Atividades Micro'!$B8=BZ$2,'Atividades Micro'!$G8="Macro",'Atividades Micro'!$K8&lt;&gt;""),'Atividades Micro'!$K8,"")</f>
        <v/>
      </c>
      <c r="CA10" s="21" t="str">
        <f>IF(AND('Atividades Micro'!$B8=CA$2,'Atividades Micro'!$G8="Macro",'Atividades Micro'!$K8&lt;&gt;""),'Atividades Micro'!$K8,"")</f>
        <v/>
      </c>
      <c r="CB10" s="21" t="str">
        <f>IF(AND('Atividades Micro'!$B8=CB$2,'Atividades Micro'!$G8="Macro",'Atividades Micro'!$K8&lt;&gt;""),'Atividades Micro'!$K8,"")</f>
        <v/>
      </c>
      <c r="CC10" s="21" t="str">
        <f>IF(AND('Atividades Micro'!$B8=CC$2,'Atividades Micro'!$G8="Macro",'Atividades Micro'!$K8&lt;&gt;""),'Atividades Micro'!$K8,"")</f>
        <v/>
      </c>
      <c r="CD10" s="21" t="str">
        <f>IF(AND('Atividades Micro'!$B8=CD$2,'Atividades Micro'!$G8="Micro",'Atividades Micro'!$K8&lt;&gt;""),'Atividades Micro'!$K8,"")</f>
        <v/>
      </c>
      <c r="CE10" s="21" t="str">
        <f>IF(AND('Atividades Micro'!$B8=CE$2,'Atividades Micro'!$G8="Micro",'Atividades Micro'!$K8&lt;&gt;""),'Atividades Micro'!$K8,"")</f>
        <v/>
      </c>
      <c r="CF10" s="21" t="str">
        <f>IF(AND('Atividades Micro'!$B8=CF$2,'Atividades Micro'!$G8="Micro",'Atividades Micro'!$K8&lt;&gt;""),'Atividades Micro'!$K8,"")</f>
        <v/>
      </c>
      <c r="CG10" s="21" t="str">
        <f>IF(AND('Atividades Micro'!$B8=CG$2,'Atividades Micro'!$G8="Micro",'Atividades Micro'!$K8&lt;&gt;""),'Atividades Micro'!$K8,"")</f>
        <v/>
      </c>
      <c r="CH10" s="21" t="str">
        <f>IF(AND('Atividades Micro'!$B8=CH$2,'Atividades Micro'!$G8="Micro",'Atividades Micro'!$K8&lt;&gt;""),'Atividades Micro'!$K8,"")</f>
        <v/>
      </c>
      <c r="CI10" s="21" t="str">
        <f>IF(AND('Atividades Micro'!$B8=CI$2,'Atividades Micro'!$G8="Micro",'Atividades Micro'!$K8&lt;&gt;""),'Atividades Micro'!$K8,"")</f>
        <v/>
      </c>
      <c r="CJ10" s="21" t="str">
        <f>IF(AND('Atividades Micro'!$B8=CJ$2,'Atividades Micro'!$G8="Micro",'Atividades Micro'!$K8&lt;&gt;""),'Atividades Micro'!$K8,"")</f>
        <v/>
      </c>
      <c r="CK10" s="21" t="str">
        <f>IF(AND('Atividades Micro'!$B8=CK$2,'Atividades Micro'!$G8="Micro",'Atividades Micro'!$K8&lt;&gt;""),'Atividades Micro'!$K8,"")</f>
        <v/>
      </c>
      <c r="CL10" s="21" t="str">
        <f>IF(AND('Atividades Micro'!$B8=CL$2,'Atividades Micro'!$G8="Micro",'Atividades Micro'!$K8&lt;&gt;""),'Atividades Micro'!$K8,"")</f>
        <v/>
      </c>
      <c r="CM10" s="21" t="str">
        <f>IF(AND('Atividades Micro'!$B8=CM$2,'Atividades Micro'!$G8="Micro",'Atividades Micro'!$K8&lt;&gt;""),'Atividades Micro'!$K8,"")</f>
        <v/>
      </c>
      <c r="CN10" s="21" t="str">
        <f>IF(AND('Atividades Micro'!$B8=CN$2,'Atividades Micro'!$G8="Micro",'Atividades Micro'!$K8&lt;&gt;""),'Atividades Micro'!$K8,"")</f>
        <v/>
      </c>
      <c r="CO10" s="21" t="str">
        <f>IF(AND('Atividades Micro'!$B8=CO$2,'Atividades Micro'!$G8="Micro",'Atividades Micro'!$K8&lt;&gt;""),'Atividades Micro'!$K8,"")</f>
        <v/>
      </c>
    </row>
    <row r="11" spans="1:93">
      <c r="A11" s="21">
        <f>IF(AND('Atividades Micro'!$A9=A$2,'Atividades Micro'!$K9&lt;&gt;""),'Atividades Micro'!$K9,"")</f>
        <v>46568</v>
      </c>
      <c r="B11" s="21" t="str">
        <f>IF(AND('Atividades Micro'!$A9=B$2,'Atividades Micro'!$L9&lt;&gt;""),'Atividades Micro'!$L9,"")</f>
        <v/>
      </c>
      <c r="C11" s="21" t="str">
        <f>IF(AND('Atividades Micro'!$A9=C$2,'Atividades Micro'!$K9&lt;&gt;""),'Atividades Micro'!$K9,"")</f>
        <v/>
      </c>
      <c r="D11" s="21" t="str">
        <f>IF(AND('Atividades Micro'!$A9=D$2,'Atividades Micro'!$L9&lt;&gt;""),'Atividades Micro'!$L9,"")</f>
        <v/>
      </c>
      <c r="E11" s="21" t="str">
        <f>IF(AND('Atividades Micro'!$A9=E$2,'Atividades Micro'!$K9&lt;&gt;""),'Atividades Micro'!$K9,"")</f>
        <v/>
      </c>
      <c r="F11" s="21" t="str">
        <f>IF(AND('Atividades Micro'!$A9=F$2,'Atividades Micro'!$L9&lt;&gt;""),'Atividades Micro'!$L9,"")</f>
        <v/>
      </c>
      <c r="G11" s="21" t="str">
        <f>IF(AND('Atividades Micro'!$A9=G$2,'Atividades Micro'!$K9&lt;&gt;""),'Atividades Micro'!$K9,"")</f>
        <v/>
      </c>
      <c r="H11" s="21" t="str">
        <f>IF(AND('Atividades Micro'!$A9=H$2,'Atividades Micro'!$L9&lt;&gt;""),'Atividades Micro'!$L9,"")</f>
        <v/>
      </c>
      <c r="I11" s="21" t="str">
        <f>IF(AND('Atividades Micro'!$A9=I$2,'Atividades Micro'!$K9&lt;&gt;""),'Atividades Micro'!$K9,"")</f>
        <v/>
      </c>
      <c r="J11" s="21" t="str">
        <f>IF(AND('Atividades Micro'!$A9=J$2,'Atividades Micro'!$L9&lt;&gt;""),'Atividades Micro'!$L9,"")</f>
        <v/>
      </c>
      <c r="K11" s="21" t="str">
        <f>IF(AND('Atividades Micro'!$B9=K$2,'Atividades Micro'!$K9&lt;&gt;""),'Atividades Micro'!$K9,"")</f>
        <v/>
      </c>
      <c r="L11" s="21" t="str">
        <f>IF(AND('Atividades Micro'!$B9=L$2,'Atividades Micro'!$L9&lt;&gt;""),'Atividades Micro'!$L9,"")</f>
        <v/>
      </c>
      <c r="M11" s="21" t="str">
        <f>IF(AND('Atividades Micro'!$B9=M$2,'Atividades Micro'!$K9&lt;&gt;""),'Atividades Micro'!$K9,"")</f>
        <v/>
      </c>
      <c r="N11" s="21" t="str">
        <f>IF(AND('Atividades Micro'!$B9=N$2,'Atividades Micro'!$L9&lt;&gt;""),'Atividades Micro'!$L9,"")</f>
        <v/>
      </c>
      <c r="O11" s="21" t="str">
        <f>IF(AND('Atividades Micro'!$A9=O$2,'Atividades Micro'!$K9&lt;&gt;""),'Atividades Micro'!$K9,"")</f>
        <v/>
      </c>
      <c r="P11" s="21" t="str">
        <f>IF(AND('Atividades Micro'!$A9=P$2,'Atividades Micro'!$L9&lt;&gt;""),'Atividades Micro'!$L9,"")</f>
        <v/>
      </c>
      <c r="Q11" s="21" t="str">
        <f>IF(AND('Atividades Micro'!$B9=Q$2,'Atividades Micro'!$K9&lt;&gt;""),'Atividades Micro'!$K9,"")</f>
        <v/>
      </c>
      <c r="R11" s="21" t="str">
        <f>IF(AND('Atividades Micro'!$B9=R$2,'Atividades Micro'!$L9&lt;&gt;""),'Atividades Micro'!$L9,"")</f>
        <v/>
      </c>
      <c r="S11" s="21" t="str">
        <f>IF(AND('Atividades Micro'!$A9=S$2,'Atividades Micro'!$K9&lt;&gt;""),'Atividades Micro'!$K9,"")</f>
        <v/>
      </c>
      <c r="T11" s="21" t="str">
        <f>IF(AND('Atividades Micro'!$A9=T$2,'Atividades Micro'!$L9&lt;&gt;""),'Atividades Micro'!$L9,"")</f>
        <v/>
      </c>
      <c r="U11" s="21" t="str">
        <f>IF(AND('Atividades Micro'!$B9=U$2,'Atividades Micro'!$K9&lt;&gt;""),'Atividades Micro'!$K9,"")</f>
        <v/>
      </c>
      <c r="V11" s="21" t="str">
        <f>IF(AND('Atividades Micro'!$B9=V$2,'Atividades Micro'!$L9&lt;&gt;""),'Atividades Micro'!$L9,"")</f>
        <v/>
      </c>
      <c r="W11" s="21" t="str">
        <f>IF(AND('Atividades Micro'!$B9=W$2,'Atividades Micro'!$K9&lt;&gt;""),'Atividades Micro'!$K9,"")</f>
        <v/>
      </c>
      <c r="X11" s="21" t="str">
        <f>IF(AND('Atividades Micro'!$B9=X$2,'Atividades Micro'!$L9&lt;&gt;""),'Atividades Micro'!$L9,"")</f>
        <v/>
      </c>
      <c r="Y11" s="21" t="str">
        <f>IF(AND('Atividades Micro'!$A9=Y$2,'Atividades Micro'!$K9&lt;&gt;""),'Atividades Micro'!$K9,"")</f>
        <v/>
      </c>
      <c r="Z11" s="21" t="str">
        <f>IF(AND('Atividades Micro'!$A9=Z$2,'Atividades Micro'!$L9&lt;&gt;""),'Atividades Micro'!$L9,"")</f>
        <v/>
      </c>
      <c r="AA11" s="21" t="str">
        <f>IF(AND('Atividades Micro'!$B9=AA$2,'Atividades Micro'!$K9&lt;&gt;""),'Atividades Micro'!$K9,"")</f>
        <v/>
      </c>
      <c r="AB11" s="21" t="str">
        <f>IF(AND('Atividades Micro'!$B9=AB$2,'Atividades Micro'!$L9&lt;&gt;""),'Atividades Micro'!$L9,"")</f>
        <v/>
      </c>
      <c r="AC11" s="21" t="str">
        <f>IF(AND('Atividades Micro'!$B9=AC$2,'Atividades Micro'!$K9&lt;&gt;""),'Atividades Micro'!$K9,"")</f>
        <v/>
      </c>
      <c r="AD11" s="21" t="str">
        <f>IF(AND('Atividades Micro'!$B9=AD$2,'Atividades Micro'!$L9&lt;&gt;""),'Atividades Micro'!$L9,"")</f>
        <v/>
      </c>
      <c r="AE11" s="21" t="str">
        <f>IF(AND('Atividades Micro'!$A9=AE$2,'Atividades Micro'!$K9&lt;&gt;""),'Atividades Micro'!$K9,"")</f>
        <v/>
      </c>
      <c r="AF11" s="21" t="str">
        <f>IF(AND('Atividades Micro'!$A9=AF$2,'Atividades Micro'!$L9&lt;&gt;""),'Atividades Micro'!$L9,"")</f>
        <v/>
      </c>
      <c r="AG11" s="21" t="str">
        <f>IF(AND('Atividades Micro'!$B9=AG$2,'Atividades Micro'!$K9&lt;&gt;""),'Atividades Micro'!$K9,"")</f>
        <v/>
      </c>
      <c r="AH11" s="21" t="str">
        <f>IF(AND('Atividades Micro'!$B9=AH$2,'Atividades Micro'!$L9&lt;&gt;""),'Atividades Micro'!$L9,"")</f>
        <v/>
      </c>
      <c r="AI11" s="21" t="str">
        <f>IF(AND('Atividades Micro'!$B9=AI$2,'Atividades Micro'!$K9&lt;&gt;""),'Atividades Micro'!$K9,"")</f>
        <v/>
      </c>
      <c r="AJ11" s="21" t="str">
        <f>IF(AND('Atividades Micro'!$B9=AJ$2,'Atividades Micro'!$L9&lt;&gt;""),'Atividades Micro'!$L9,"")</f>
        <v/>
      </c>
      <c r="AK11" s="21" t="str">
        <f>IF(AND('Atividades Micro'!$A9=AK$2,'Atividades Micro'!$K9&lt;&gt;""),'Atividades Micro'!$K9,"")</f>
        <v/>
      </c>
      <c r="AL11" s="21" t="str">
        <f>IF(AND('Atividades Micro'!$A9=AL$2,'Atividades Micro'!$L9&lt;&gt;""),'Atividades Micro'!$L9,"")</f>
        <v/>
      </c>
      <c r="AM11" s="21" t="str">
        <f>IF(AND('Atividades Micro'!$B9=AM$2,'Atividades Micro'!$K9&lt;&gt;""),'Atividades Micro'!$K9,"")</f>
        <v/>
      </c>
      <c r="AN11" s="21" t="str">
        <f>IF(AND('Atividades Micro'!$B9=AN$2,'Atividades Micro'!$L9&lt;&gt;""),'Atividades Micro'!$L9,"")</f>
        <v/>
      </c>
      <c r="AO11" s="21" t="str">
        <f>IF(AND('Atividades Micro'!$B9=AO$2,'Atividades Micro'!$K9&lt;&gt;""),'Atividades Micro'!$K9,"")</f>
        <v/>
      </c>
      <c r="AP11" s="21" t="str">
        <f>IF(AND('Atividades Micro'!$B9=AP$2,'Atividades Micro'!$L9&lt;&gt;""),'Atividades Micro'!$L9,"")</f>
        <v/>
      </c>
      <c r="AQ11" s="21" t="str">
        <f>IF(AND('Atividades Micro'!$A9=AQ$2,'Atividades Micro'!$K9&lt;&gt;""),'Atividades Micro'!$K9,"")</f>
        <v/>
      </c>
      <c r="AR11" s="21" t="str">
        <f>IF(AND('Atividades Micro'!$A9=AR$2,'Atividades Micro'!$L9&lt;&gt;""),'Atividades Micro'!$L9,"")</f>
        <v/>
      </c>
      <c r="AS11" s="21" t="str">
        <f>IF(AND('Atividades Micro'!$B9=AS$2,'Atividades Micro'!$K9&lt;&gt;""),'Atividades Micro'!$K9,"")</f>
        <v/>
      </c>
      <c r="AT11" s="21" t="str">
        <f>IF(AND('Atividades Micro'!$B9=AT$2,'Atividades Micro'!$L9&lt;&gt;""),'Atividades Micro'!$L9,"")</f>
        <v/>
      </c>
      <c r="AU11" s="21" t="str">
        <f>IF(AND('Atividades Micro'!$A9=AU$2,'Atividades Micro'!$K9&lt;&gt;""),'Atividades Micro'!$K9,"")</f>
        <v/>
      </c>
      <c r="AV11" s="21" t="str">
        <f>IF(AND('Atividades Micro'!$A9=AV$2,'Atividades Micro'!$L9&lt;&gt;""),'Atividades Micro'!$L9,"")</f>
        <v/>
      </c>
      <c r="AW11" s="21" t="str">
        <f>IF(AND('Atividades Micro'!$B9=AW$2,'Atividades Micro'!$K9&lt;&gt;""),'Atividades Micro'!$K9,"")</f>
        <v/>
      </c>
      <c r="AX11" s="21" t="str">
        <f>IF(AND('Atividades Micro'!$B9=AX$2,'Atividades Micro'!$L9&lt;&gt;""),'Atividades Micro'!$L9,"")</f>
        <v/>
      </c>
      <c r="AY11" s="21" t="str">
        <f>IF(AND('Atividades Micro'!$A9=AY$2,'Atividades Micro'!$K9&lt;&gt;""),'Atividades Micro'!$K9,"")</f>
        <v/>
      </c>
      <c r="AZ11" s="21" t="str">
        <f>IF(AND('Atividades Micro'!$A9=AZ$2,'Atividades Micro'!$L9&lt;&gt;""),'Atividades Micro'!$L9,"")</f>
        <v/>
      </c>
      <c r="BA11" s="21" t="str">
        <f>IF(AND('Atividades Micro'!$B9=BA$2,'Atividades Micro'!$K9&lt;&gt;""),'Atividades Micro'!$K9,"")</f>
        <v/>
      </c>
      <c r="BB11" s="21" t="str">
        <f>IF(AND('Atividades Micro'!$B9=BB$2,'Atividades Micro'!$L9&lt;&gt;""),'Atividades Micro'!$L9,"")</f>
        <v/>
      </c>
      <c r="BC11" s="21" t="str">
        <f>IF(AND('Atividades Micro'!$B9=BC$2,'Atividades Micro'!$G9="Macro",'Atividades Micro'!$K9&lt;&gt;""),'Atividades Micro'!$K9,"")</f>
        <v/>
      </c>
      <c r="BD11" s="21" t="str">
        <f>IF(AND('Atividades Micro'!$B9=BD$2,'Atividades Micro'!$G9="Macro",'Atividades Micro'!$K9&lt;&gt;""),'Atividades Micro'!$K9,"")</f>
        <v/>
      </c>
      <c r="BE11" s="21" t="str">
        <f>IF(AND('Atividades Micro'!$B9=BE$2,'Atividades Micro'!$G9="Macro",'Atividades Micro'!$K9&lt;&gt;""),'Atividades Micro'!$K9,"")</f>
        <v/>
      </c>
      <c r="BF11" s="21" t="str">
        <f>IF(AND('Atividades Micro'!$B9=BF$2,'Atividades Micro'!$G9="Macro",'Atividades Micro'!$K9&lt;&gt;""),'Atividades Micro'!$K9,"")</f>
        <v/>
      </c>
      <c r="BG11" s="21" t="str">
        <f>IF(AND('Atividades Micro'!$B9=BG$2,'Atividades Micro'!$G9="Macro",'Atividades Micro'!$K9&lt;&gt;""),'Atividades Micro'!$K9,"")</f>
        <v/>
      </c>
      <c r="BH11" s="21" t="str">
        <f>IF(AND('Atividades Micro'!$B9=BH$2,'Atividades Micro'!$G9="Macro",'Atividades Micro'!$K9&lt;&gt;""),'Atividades Micro'!$K9,"")</f>
        <v/>
      </c>
      <c r="BI11" s="21" t="str">
        <f>IF(AND('Atividades Micro'!$B9=BI$2,'Atividades Micro'!$G9="Macro",'Atividades Micro'!$K9&lt;&gt;""),'Atividades Micro'!$K9,"")</f>
        <v/>
      </c>
      <c r="BJ11" s="21" t="str">
        <f>IF(AND('Atividades Micro'!$B9=BJ$2,'Atividades Micro'!$G9="Macro",'Atividades Micro'!$K9&lt;&gt;""),'Atividades Micro'!$K9,"")</f>
        <v/>
      </c>
      <c r="BK11" s="21" t="str">
        <f>IF(AND('Atividades Micro'!$B9=BK$2,'Atividades Micro'!$G9="Macro",'Atividades Micro'!$K9&lt;&gt;""),'Atividades Micro'!$K9,"")</f>
        <v/>
      </c>
      <c r="BL11" s="21" t="str">
        <f>IF(AND('Atividades Micro'!$B9=BL$2,'Atividades Micro'!$G9="Macro",'Atividades Micro'!$K9&lt;&gt;""),'Atividades Micro'!$K9,"")</f>
        <v/>
      </c>
      <c r="BM11" s="21" t="str">
        <f>IF(AND('Atividades Micro'!$B9=BM$2,'Atividades Micro'!$G9="Macro",'Atividades Micro'!$K9&lt;&gt;""),'Atividades Micro'!$K9,"")</f>
        <v/>
      </c>
      <c r="BN11" s="21" t="str">
        <f>IF(AND('Atividades Micro'!$B9=BN$2,'Atividades Micro'!$G9="Macro",'Atividades Micro'!$K9&lt;&gt;""),'Atividades Micro'!$K9,"")</f>
        <v/>
      </c>
      <c r="BO11" s="21" t="str">
        <f>IF(AND('Atividades Micro'!$B9=BO$2,'Atividades Micro'!$G9="Macro",'Atividades Micro'!$K9&lt;&gt;""),'Atividades Micro'!$K9,"")</f>
        <v/>
      </c>
      <c r="BP11" s="21" t="str">
        <f>IF(AND('Atividades Micro'!$B9=BP$2,'Atividades Micro'!$G9="Macro",'Atividades Micro'!$K9&lt;&gt;""),'Atividades Micro'!$K9,"")</f>
        <v/>
      </c>
      <c r="BQ11" s="21" t="str">
        <f>IF(AND('Atividades Micro'!$B9=BQ$2,'Atividades Micro'!$G9="Macro",'Atividades Micro'!$K9&lt;&gt;""),'Atividades Micro'!$K9,"")</f>
        <v/>
      </c>
      <c r="BR11" s="21" t="str">
        <f>IF(AND('Atividades Micro'!$B9=BR$2,'Atividades Micro'!$G9="Macro",'Atividades Micro'!$K9&lt;&gt;""),'Atividades Micro'!$K9,"")</f>
        <v/>
      </c>
      <c r="BS11" s="21" t="str">
        <f>IF(AND('Atividades Micro'!$B9=BS$2,'Atividades Micro'!$G9="Macro",'Atividades Micro'!$K9&lt;&gt;""),'Atividades Micro'!$K9,"")</f>
        <v/>
      </c>
      <c r="BT11" s="21" t="str">
        <f>IF(AND('Atividades Micro'!$B9=BT$2,'Atividades Micro'!$G9="Macro",'Atividades Micro'!$K9&lt;&gt;""),'Atividades Micro'!$K9,"")</f>
        <v/>
      </c>
      <c r="BU11" s="21" t="str">
        <f>IF(AND('Atividades Micro'!$B9=BU$2,'Atividades Micro'!$G9="Macro",'Atividades Micro'!$K9&lt;&gt;""),'Atividades Micro'!$K9,"")</f>
        <v/>
      </c>
      <c r="BV11" s="21" t="str">
        <f>IF(AND('Atividades Micro'!$B9=BV$2,'Atividades Micro'!$G9="Macro",'Atividades Micro'!$K9&lt;&gt;""),'Atividades Micro'!$K9,"")</f>
        <v/>
      </c>
      <c r="BW11" s="21" t="str">
        <f>IF(AND('Atividades Micro'!$B9=BW$2,'Atividades Micro'!$G9="Macro",'Atividades Micro'!$K9&lt;&gt;""),'Atividades Micro'!$K9,"")</f>
        <v/>
      </c>
      <c r="BX11" s="21" t="str">
        <f>IF(AND('Atividades Micro'!$B9=BX$2,'Atividades Micro'!$G9="Macro",'Atividades Micro'!$K9&lt;&gt;""),'Atividades Micro'!$K9,"")</f>
        <v/>
      </c>
      <c r="BY11" s="21" t="str">
        <f>IF(AND('Atividades Micro'!$B9=BY$2,'Atividades Micro'!$G9="Macro",'Atividades Micro'!$K9&lt;&gt;""),'Atividades Micro'!$K9,"")</f>
        <v/>
      </c>
      <c r="BZ11" s="21" t="str">
        <f>IF(AND('Atividades Micro'!$B9=BZ$2,'Atividades Micro'!$G9="Macro",'Atividades Micro'!$K9&lt;&gt;""),'Atividades Micro'!$K9,"")</f>
        <v/>
      </c>
      <c r="CA11" s="21" t="str">
        <f>IF(AND('Atividades Micro'!$B9=CA$2,'Atividades Micro'!$G9="Macro",'Atividades Micro'!$K9&lt;&gt;""),'Atividades Micro'!$K9,"")</f>
        <v/>
      </c>
      <c r="CB11" s="21" t="str">
        <f>IF(AND('Atividades Micro'!$B9=CB$2,'Atividades Micro'!$G9="Macro",'Atividades Micro'!$K9&lt;&gt;""),'Atividades Micro'!$K9,"")</f>
        <v/>
      </c>
      <c r="CC11" s="21" t="str">
        <f>IF(AND('Atividades Micro'!$B9=CC$2,'Atividades Micro'!$G9="Macro",'Atividades Micro'!$K9&lt;&gt;""),'Atividades Micro'!$K9,"")</f>
        <v/>
      </c>
      <c r="CD11" s="21" t="str">
        <f>IF(AND('Atividades Micro'!$B9=CD$2,'Atividades Micro'!$G9="Micro",'Atividades Micro'!$K9&lt;&gt;""),'Atividades Micro'!$K9,"")</f>
        <v/>
      </c>
      <c r="CE11" s="21" t="str">
        <f>IF(AND('Atividades Micro'!$B9=CE$2,'Atividades Micro'!$G9="Micro",'Atividades Micro'!$K9&lt;&gt;""),'Atividades Micro'!$K9,"")</f>
        <v/>
      </c>
      <c r="CF11" s="21" t="str">
        <f>IF(AND('Atividades Micro'!$B9=CF$2,'Atividades Micro'!$G9="Micro",'Atividades Micro'!$K9&lt;&gt;""),'Atividades Micro'!$K9,"")</f>
        <v/>
      </c>
      <c r="CG11" s="21" t="str">
        <f>IF(AND('Atividades Micro'!$B9=CG$2,'Atividades Micro'!$G9="Micro",'Atividades Micro'!$K9&lt;&gt;""),'Atividades Micro'!$K9,"")</f>
        <v/>
      </c>
      <c r="CH11" s="21" t="str">
        <f>IF(AND('Atividades Micro'!$B9=CH$2,'Atividades Micro'!$G9="Micro",'Atividades Micro'!$K9&lt;&gt;""),'Atividades Micro'!$K9,"")</f>
        <v/>
      </c>
      <c r="CI11" s="21" t="str">
        <f>IF(AND('Atividades Micro'!$B9=CI$2,'Atividades Micro'!$G9="Micro",'Atividades Micro'!$K9&lt;&gt;""),'Atividades Micro'!$K9,"")</f>
        <v/>
      </c>
      <c r="CJ11" s="21" t="str">
        <f>IF(AND('Atividades Micro'!$B9=CJ$2,'Atividades Micro'!$G9="Micro",'Atividades Micro'!$K9&lt;&gt;""),'Atividades Micro'!$K9,"")</f>
        <v/>
      </c>
      <c r="CK11" s="21" t="str">
        <f>IF(AND('Atividades Micro'!$B9=CK$2,'Atividades Micro'!$G9="Micro",'Atividades Micro'!$K9&lt;&gt;""),'Atividades Micro'!$K9,"")</f>
        <v/>
      </c>
      <c r="CL11" s="21" t="str">
        <f>IF(AND('Atividades Micro'!$B9=CL$2,'Atividades Micro'!$G9="Micro",'Atividades Micro'!$K9&lt;&gt;""),'Atividades Micro'!$K9,"")</f>
        <v/>
      </c>
      <c r="CM11" s="21" t="str">
        <f>IF(AND('Atividades Micro'!$B9=CM$2,'Atividades Micro'!$G9="Micro",'Atividades Micro'!$K9&lt;&gt;""),'Atividades Micro'!$K9,"")</f>
        <v/>
      </c>
      <c r="CN11" s="21" t="str">
        <f>IF(AND('Atividades Micro'!$B9=CN$2,'Atividades Micro'!$G9="Micro",'Atividades Micro'!$K9&lt;&gt;""),'Atividades Micro'!$K9,"")</f>
        <v/>
      </c>
      <c r="CO11" s="21" t="str">
        <f>IF(AND('Atividades Micro'!$B9=CO$2,'Atividades Micro'!$G9="Micro",'Atividades Micro'!$K9&lt;&gt;""),'Atividades Micro'!$K9,"")</f>
        <v/>
      </c>
    </row>
    <row r="12" spans="1:93">
      <c r="A12" s="21">
        <f>IF(AND('Atividades Micro'!$A10=A$2,'Atividades Micro'!$K10&lt;&gt;""),'Atividades Micro'!$K10,"")</f>
        <v>46356</v>
      </c>
      <c r="B12" s="21" t="str">
        <f>IF(AND('Atividades Micro'!$A10=B$2,'Atividades Micro'!$L10&lt;&gt;""),'Atividades Micro'!$L10,"")</f>
        <v/>
      </c>
      <c r="C12" s="21" t="str">
        <f>IF(AND('Atividades Micro'!$A10=C$2,'Atividades Micro'!$K10&lt;&gt;""),'Atividades Micro'!$K10,"")</f>
        <v/>
      </c>
      <c r="D12" s="21" t="str">
        <f>IF(AND('Atividades Micro'!$A10=D$2,'Atividades Micro'!$L10&lt;&gt;""),'Atividades Micro'!$L10,"")</f>
        <v/>
      </c>
      <c r="E12" s="21" t="str">
        <f>IF(AND('Atividades Micro'!$A10=E$2,'Atividades Micro'!$K10&lt;&gt;""),'Atividades Micro'!$K10,"")</f>
        <v/>
      </c>
      <c r="F12" s="21" t="str">
        <f>IF(AND('Atividades Micro'!$A10=F$2,'Atividades Micro'!$L10&lt;&gt;""),'Atividades Micro'!$L10,"")</f>
        <v/>
      </c>
      <c r="G12" s="21" t="str">
        <f>IF(AND('Atividades Micro'!$A10=G$2,'Atividades Micro'!$K10&lt;&gt;""),'Atividades Micro'!$K10,"")</f>
        <v/>
      </c>
      <c r="H12" s="21" t="str">
        <f>IF(AND('Atividades Micro'!$A10=H$2,'Atividades Micro'!$L10&lt;&gt;""),'Atividades Micro'!$L10,"")</f>
        <v/>
      </c>
      <c r="I12" s="21" t="str">
        <f>IF(AND('Atividades Micro'!$A10=I$2,'Atividades Micro'!$K10&lt;&gt;""),'Atividades Micro'!$K10,"")</f>
        <v/>
      </c>
      <c r="J12" s="21" t="str">
        <f>IF(AND('Atividades Micro'!$A10=J$2,'Atividades Micro'!$L10&lt;&gt;""),'Atividades Micro'!$L10,"")</f>
        <v/>
      </c>
      <c r="K12" s="21" t="str">
        <f>IF(AND('Atividades Micro'!$B10=K$2,'Atividades Micro'!$K10&lt;&gt;""),'Atividades Micro'!$K10,"")</f>
        <v/>
      </c>
      <c r="L12" s="21" t="str">
        <f>IF(AND('Atividades Micro'!$B10=L$2,'Atividades Micro'!$L10&lt;&gt;""),'Atividades Micro'!$L10,"")</f>
        <v/>
      </c>
      <c r="M12" s="21" t="str">
        <f>IF(AND('Atividades Micro'!$B10=M$2,'Atividades Micro'!$K10&lt;&gt;""),'Atividades Micro'!$K10,"")</f>
        <v/>
      </c>
      <c r="N12" s="21" t="str">
        <f>IF(AND('Atividades Micro'!$B10=N$2,'Atividades Micro'!$L10&lt;&gt;""),'Atividades Micro'!$L10,"")</f>
        <v/>
      </c>
      <c r="O12" s="21" t="str">
        <f>IF(AND('Atividades Micro'!$A10=O$2,'Atividades Micro'!$K10&lt;&gt;""),'Atividades Micro'!$K10,"")</f>
        <v/>
      </c>
      <c r="P12" s="21" t="str">
        <f>IF(AND('Atividades Micro'!$A10=P$2,'Atividades Micro'!$L10&lt;&gt;""),'Atividades Micro'!$L10,"")</f>
        <v/>
      </c>
      <c r="Q12" s="21" t="str">
        <f>IF(AND('Atividades Micro'!$B10=Q$2,'Atividades Micro'!$K10&lt;&gt;""),'Atividades Micro'!$K10,"")</f>
        <v/>
      </c>
      <c r="R12" s="21" t="str">
        <f>IF(AND('Atividades Micro'!$B10=R$2,'Atividades Micro'!$L10&lt;&gt;""),'Atividades Micro'!$L10,"")</f>
        <v/>
      </c>
      <c r="S12" s="21" t="str">
        <f>IF(AND('Atividades Micro'!$A10=S$2,'Atividades Micro'!$K10&lt;&gt;""),'Atividades Micro'!$K10,"")</f>
        <v/>
      </c>
      <c r="T12" s="21" t="str">
        <f>IF(AND('Atividades Micro'!$A10=T$2,'Atividades Micro'!$L10&lt;&gt;""),'Atividades Micro'!$L10,"")</f>
        <v/>
      </c>
      <c r="U12" s="21" t="str">
        <f>IF(AND('Atividades Micro'!$B10=U$2,'Atividades Micro'!$K10&lt;&gt;""),'Atividades Micro'!$K10,"")</f>
        <v/>
      </c>
      <c r="V12" s="21" t="str">
        <f>IF(AND('Atividades Micro'!$B10=V$2,'Atividades Micro'!$L10&lt;&gt;""),'Atividades Micro'!$L10,"")</f>
        <v/>
      </c>
      <c r="W12" s="21" t="str">
        <f>IF(AND('Atividades Micro'!$B10=W$2,'Atividades Micro'!$K10&lt;&gt;""),'Atividades Micro'!$K10,"")</f>
        <v/>
      </c>
      <c r="X12" s="21" t="str">
        <f>IF(AND('Atividades Micro'!$B10=X$2,'Atividades Micro'!$L10&lt;&gt;""),'Atividades Micro'!$L10,"")</f>
        <v/>
      </c>
      <c r="Y12" s="21" t="str">
        <f>IF(AND('Atividades Micro'!$A10=Y$2,'Atividades Micro'!$K10&lt;&gt;""),'Atividades Micro'!$K10,"")</f>
        <v/>
      </c>
      <c r="Z12" s="21" t="str">
        <f>IF(AND('Atividades Micro'!$A10=Z$2,'Atividades Micro'!$L10&lt;&gt;""),'Atividades Micro'!$L10,"")</f>
        <v/>
      </c>
      <c r="AA12" s="21" t="str">
        <f>IF(AND('Atividades Micro'!$B10=AA$2,'Atividades Micro'!$K10&lt;&gt;""),'Atividades Micro'!$K10,"")</f>
        <v/>
      </c>
      <c r="AB12" s="21" t="str">
        <f>IF(AND('Atividades Micro'!$B10=AB$2,'Atividades Micro'!$L10&lt;&gt;""),'Atividades Micro'!$L10,"")</f>
        <v/>
      </c>
      <c r="AC12" s="21" t="str">
        <f>IF(AND('Atividades Micro'!$B10=AC$2,'Atividades Micro'!$K10&lt;&gt;""),'Atividades Micro'!$K10,"")</f>
        <v/>
      </c>
      <c r="AD12" s="21" t="str">
        <f>IF(AND('Atividades Micro'!$B10=AD$2,'Atividades Micro'!$L10&lt;&gt;""),'Atividades Micro'!$L10,"")</f>
        <v/>
      </c>
      <c r="AE12" s="21" t="str">
        <f>IF(AND('Atividades Micro'!$A10=AE$2,'Atividades Micro'!$K10&lt;&gt;""),'Atividades Micro'!$K10,"")</f>
        <v/>
      </c>
      <c r="AF12" s="21" t="str">
        <f>IF(AND('Atividades Micro'!$A10=AF$2,'Atividades Micro'!$L10&lt;&gt;""),'Atividades Micro'!$L10,"")</f>
        <v/>
      </c>
      <c r="AG12" s="21" t="str">
        <f>IF(AND('Atividades Micro'!$B10=AG$2,'Atividades Micro'!$K10&lt;&gt;""),'Atividades Micro'!$K10,"")</f>
        <v/>
      </c>
      <c r="AH12" s="21" t="str">
        <f>IF(AND('Atividades Micro'!$B10=AH$2,'Atividades Micro'!$L10&lt;&gt;""),'Atividades Micro'!$L10,"")</f>
        <v/>
      </c>
      <c r="AI12" s="21" t="str">
        <f>IF(AND('Atividades Micro'!$B10=AI$2,'Atividades Micro'!$K10&lt;&gt;""),'Atividades Micro'!$K10,"")</f>
        <v/>
      </c>
      <c r="AJ12" s="21" t="str">
        <f>IF(AND('Atividades Micro'!$B10=AJ$2,'Atividades Micro'!$L10&lt;&gt;""),'Atividades Micro'!$L10,"")</f>
        <v/>
      </c>
      <c r="AK12" s="21" t="str">
        <f>IF(AND('Atividades Micro'!$A10=AK$2,'Atividades Micro'!$K10&lt;&gt;""),'Atividades Micro'!$K10,"")</f>
        <v/>
      </c>
      <c r="AL12" s="21" t="str">
        <f>IF(AND('Atividades Micro'!$A10=AL$2,'Atividades Micro'!$L10&lt;&gt;""),'Atividades Micro'!$L10,"")</f>
        <v/>
      </c>
      <c r="AM12" s="21" t="str">
        <f>IF(AND('Atividades Micro'!$B10=AM$2,'Atividades Micro'!$K10&lt;&gt;""),'Atividades Micro'!$K10,"")</f>
        <v/>
      </c>
      <c r="AN12" s="21" t="str">
        <f>IF(AND('Atividades Micro'!$B10=AN$2,'Atividades Micro'!$L10&lt;&gt;""),'Atividades Micro'!$L10,"")</f>
        <v/>
      </c>
      <c r="AO12" s="21" t="str">
        <f>IF(AND('Atividades Micro'!$B10=AO$2,'Atividades Micro'!$K10&lt;&gt;""),'Atividades Micro'!$K10,"")</f>
        <v/>
      </c>
      <c r="AP12" s="21" t="str">
        <f>IF(AND('Atividades Micro'!$B10=AP$2,'Atividades Micro'!$L10&lt;&gt;""),'Atividades Micro'!$L10,"")</f>
        <v/>
      </c>
      <c r="AQ12" s="21" t="str">
        <f>IF(AND('Atividades Micro'!$A10=AQ$2,'Atividades Micro'!$K10&lt;&gt;""),'Atividades Micro'!$K10,"")</f>
        <v/>
      </c>
      <c r="AR12" s="21" t="str">
        <f>IF(AND('Atividades Micro'!$A10=AR$2,'Atividades Micro'!$L10&lt;&gt;""),'Atividades Micro'!$L10,"")</f>
        <v/>
      </c>
      <c r="AS12" s="21" t="str">
        <f>IF(AND('Atividades Micro'!$B10=AS$2,'Atividades Micro'!$K10&lt;&gt;""),'Atividades Micro'!$K10,"")</f>
        <v/>
      </c>
      <c r="AT12" s="21" t="str">
        <f>IF(AND('Atividades Micro'!$B10=AT$2,'Atividades Micro'!$L10&lt;&gt;""),'Atividades Micro'!$L10,"")</f>
        <v/>
      </c>
      <c r="AU12" s="21" t="str">
        <f>IF(AND('Atividades Micro'!$A10=AU$2,'Atividades Micro'!$K10&lt;&gt;""),'Atividades Micro'!$K10,"")</f>
        <v/>
      </c>
      <c r="AV12" s="21" t="str">
        <f>IF(AND('Atividades Micro'!$A10=AV$2,'Atividades Micro'!$L10&lt;&gt;""),'Atividades Micro'!$L10,"")</f>
        <v/>
      </c>
      <c r="AW12" s="21" t="str">
        <f>IF(AND('Atividades Micro'!$B10=AW$2,'Atividades Micro'!$K10&lt;&gt;""),'Atividades Micro'!$K10,"")</f>
        <v/>
      </c>
      <c r="AX12" s="21" t="str">
        <f>IF(AND('Atividades Micro'!$B10=AX$2,'Atividades Micro'!$L10&lt;&gt;""),'Atividades Micro'!$L10,"")</f>
        <v/>
      </c>
      <c r="AY12" s="21" t="str">
        <f>IF(AND('Atividades Micro'!$A10=AY$2,'Atividades Micro'!$K10&lt;&gt;""),'Atividades Micro'!$K10,"")</f>
        <v/>
      </c>
      <c r="AZ12" s="21" t="str">
        <f>IF(AND('Atividades Micro'!$A10=AZ$2,'Atividades Micro'!$L10&lt;&gt;""),'Atividades Micro'!$L10,"")</f>
        <v/>
      </c>
      <c r="BA12" s="21" t="str">
        <f>IF(AND('Atividades Micro'!$B10=BA$2,'Atividades Micro'!$K10&lt;&gt;""),'Atividades Micro'!$K10,"")</f>
        <v/>
      </c>
      <c r="BB12" s="21" t="str">
        <f>IF(AND('Atividades Micro'!$B10=BB$2,'Atividades Micro'!$L10&lt;&gt;""),'Atividades Micro'!$L10,"")</f>
        <v/>
      </c>
      <c r="BC12" s="21" t="str">
        <f>IF(AND('Atividades Micro'!$B10=BC$2,'Atividades Micro'!$G10="Macro",'Atividades Micro'!$K10&lt;&gt;""),'Atividades Micro'!$K10,"")</f>
        <v/>
      </c>
      <c r="BD12" s="21" t="str">
        <f>IF(AND('Atividades Micro'!$B10=BD$2,'Atividades Micro'!$G10="Macro",'Atividades Micro'!$K10&lt;&gt;""),'Atividades Micro'!$K10,"")</f>
        <v/>
      </c>
      <c r="BE12" s="21" t="str">
        <f>IF(AND('Atividades Micro'!$B10=BE$2,'Atividades Micro'!$G10="Macro",'Atividades Micro'!$K10&lt;&gt;""),'Atividades Micro'!$K10,"")</f>
        <v/>
      </c>
      <c r="BF12" s="21" t="str">
        <f>IF(AND('Atividades Micro'!$B10=BF$2,'Atividades Micro'!$G10="Macro",'Atividades Micro'!$K10&lt;&gt;""),'Atividades Micro'!$K10,"")</f>
        <v/>
      </c>
      <c r="BG12" s="21" t="str">
        <f>IF(AND('Atividades Micro'!$B10=BG$2,'Atividades Micro'!$G10="Macro",'Atividades Micro'!$K10&lt;&gt;""),'Atividades Micro'!$K10,"")</f>
        <v/>
      </c>
      <c r="BH12" s="21" t="str">
        <f>IF(AND('Atividades Micro'!$B10=BH$2,'Atividades Micro'!$G10="Macro",'Atividades Micro'!$K10&lt;&gt;""),'Atividades Micro'!$K10,"")</f>
        <v/>
      </c>
      <c r="BI12" s="21" t="str">
        <f>IF(AND('Atividades Micro'!$B10=BI$2,'Atividades Micro'!$G10="Macro",'Atividades Micro'!$K10&lt;&gt;""),'Atividades Micro'!$K10,"")</f>
        <v/>
      </c>
      <c r="BJ12" s="21" t="str">
        <f>IF(AND('Atividades Micro'!$B10=BJ$2,'Atividades Micro'!$G10="Macro",'Atividades Micro'!$K10&lt;&gt;""),'Atividades Micro'!$K10,"")</f>
        <v/>
      </c>
      <c r="BK12" s="21" t="str">
        <f>IF(AND('Atividades Micro'!$B10=BK$2,'Atividades Micro'!$G10="Macro",'Atividades Micro'!$K10&lt;&gt;""),'Atividades Micro'!$K10,"")</f>
        <v/>
      </c>
      <c r="BL12" s="21" t="str">
        <f>IF(AND('Atividades Micro'!$B10=BL$2,'Atividades Micro'!$G10="Macro",'Atividades Micro'!$K10&lt;&gt;""),'Atividades Micro'!$K10,"")</f>
        <v/>
      </c>
      <c r="BM12" s="21" t="str">
        <f>IF(AND('Atividades Micro'!$B10=BM$2,'Atividades Micro'!$G10="Macro",'Atividades Micro'!$K10&lt;&gt;""),'Atividades Micro'!$K10,"")</f>
        <v/>
      </c>
      <c r="BN12" s="21" t="str">
        <f>IF(AND('Atividades Micro'!$B10=BN$2,'Atividades Micro'!$G10="Macro",'Atividades Micro'!$K10&lt;&gt;""),'Atividades Micro'!$K10,"")</f>
        <v/>
      </c>
      <c r="BO12" s="21" t="str">
        <f>IF(AND('Atividades Micro'!$B10=BO$2,'Atividades Micro'!$G10="Macro",'Atividades Micro'!$K10&lt;&gt;""),'Atividades Micro'!$K10,"")</f>
        <v/>
      </c>
      <c r="BP12" s="21" t="str">
        <f>IF(AND('Atividades Micro'!$B10=BP$2,'Atividades Micro'!$G10="Macro",'Atividades Micro'!$K10&lt;&gt;""),'Atividades Micro'!$K10,"")</f>
        <v/>
      </c>
      <c r="BQ12" s="21" t="str">
        <f>IF(AND('Atividades Micro'!$B10=BQ$2,'Atividades Micro'!$G10="Macro",'Atividades Micro'!$K10&lt;&gt;""),'Atividades Micro'!$K10,"")</f>
        <v/>
      </c>
      <c r="BR12" s="21" t="str">
        <f>IF(AND('Atividades Micro'!$B10=BR$2,'Atividades Micro'!$G10="Macro",'Atividades Micro'!$K10&lt;&gt;""),'Atividades Micro'!$K10,"")</f>
        <v/>
      </c>
      <c r="BS12" s="21" t="str">
        <f>IF(AND('Atividades Micro'!$B10=BS$2,'Atividades Micro'!$G10="Macro",'Atividades Micro'!$K10&lt;&gt;""),'Atividades Micro'!$K10,"")</f>
        <v/>
      </c>
      <c r="BT12" s="21" t="str">
        <f>IF(AND('Atividades Micro'!$B10=BT$2,'Atividades Micro'!$G10="Macro",'Atividades Micro'!$K10&lt;&gt;""),'Atividades Micro'!$K10,"")</f>
        <v/>
      </c>
      <c r="BU12" s="21" t="str">
        <f>IF(AND('Atividades Micro'!$B10=BU$2,'Atividades Micro'!$G10="Macro",'Atividades Micro'!$K10&lt;&gt;""),'Atividades Micro'!$K10,"")</f>
        <v/>
      </c>
      <c r="BV12" s="21" t="str">
        <f>IF(AND('Atividades Micro'!$B10=BV$2,'Atividades Micro'!$G10="Macro",'Atividades Micro'!$K10&lt;&gt;""),'Atividades Micro'!$K10,"")</f>
        <v/>
      </c>
      <c r="BW12" s="21" t="str">
        <f>IF(AND('Atividades Micro'!$B10=BW$2,'Atividades Micro'!$G10="Macro",'Atividades Micro'!$K10&lt;&gt;""),'Atividades Micro'!$K10,"")</f>
        <v/>
      </c>
      <c r="BX12" s="21" t="str">
        <f>IF(AND('Atividades Micro'!$B10=BX$2,'Atividades Micro'!$G10="Macro",'Atividades Micro'!$K10&lt;&gt;""),'Atividades Micro'!$K10,"")</f>
        <v/>
      </c>
      <c r="BY12" s="21" t="str">
        <f>IF(AND('Atividades Micro'!$B10=BY$2,'Atividades Micro'!$G10="Macro",'Atividades Micro'!$K10&lt;&gt;""),'Atividades Micro'!$K10,"")</f>
        <v/>
      </c>
      <c r="BZ12" s="21" t="str">
        <f>IF(AND('Atividades Micro'!$B10=BZ$2,'Atividades Micro'!$G10="Macro",'Atividades Micro'!$K10&lt;&gt;""),'Atividades Micro'!$K10,"")</f>
        <v/>
      </c>
      <c r="CA12" s="21" t="str">
        <f>IF(AND('Atividades Micro'!$B10=CA$2,'Atividades Micro'!$G10="Macro",'Atividades Micro'!$K10&lt;&gt;""),'Atividades Micro'!$K10,"")</f>
        <v/>
      </c>
      <c r="CB12" s="21" t="str">
        <f>IF(AND('Atividades Micro'!$B10=CB$2,'Atividades Micro'!$G10="Macro",'Atividades Micro'!$K10&lt;&gt;""),'Atividades Micro'!$K10,"")</f>
        <v/>
      </c>
      <c r="CC12" s="21" t="str">
        <f>IF(AND('Atividades Micro'!$B10=CC$2,'Atividades Micro'!$G10="Macro",'Atividades Micro'!$K10&lt;&gt;""),'Atividades Micro'!$K10,"")</f>
        <v/>
      </c>
      <c r="CD12" s="21" t="str">
        <f>IF(AND('Atividades Micro'!$B10=CD$2,'Atividades Micro'!$G10="Micro",'Atividades Micro'!$K10&lt;&gt;""),'Atividades Micro'!$K10,"")</f>
        <v/>
      </c>
      <c r="CE12" s="21" t="str">
        <f>IF(AND('Atividades Micro'!$B10=CE$2,'Atividades Micro'!$G10="Micro",'Atividades Micro'!$K10&lt;&gt;""),'Atividades Micro'!$K10,"")</f>
        <v/>
      </c>
      <c r="CF12" s="21" t="str">
        <f>IF(AND('Atividades Micro'!$B10=CF$2,'Atividades Micro'!$G10="Micro",'Atividades Micro'!$K10&lt;&gt;""),'Atividades Micro'!$K10,"")</f>
        <v/>
      </c>
      <c r="CG12" s="21" t="str">
        <f>IF(AND('Atividades Micro'!$B10=CG$2,'Atividades Micro'!$G10="Micro",'Atividades Micro'!$K10&lt;&gt;""),'Atividades Micro'!$K10,"")</f>
        <v/>
      </c>
      <c r="CH12" s="21" t="str">
        <f>IF(AND('Atividades Micro'!$B10=CH$2,'Atividades Micro'!$G10="Micro",'Atividades Micro'!$K10&lt;&gt;""),'Atividades Micro'!$K10,"")</f>
        <v/>
      </c>
      <c r="CI12" s="21" t="str">
        <f>IF(AND('Atividades Micro'!$B10=CI$2,'Atividades Micro'!$G10="Micro",'Atividades Micro'!$K10&lt;&gt;""),'Atividades Micro'!$K10,"")</f>
        <v/>
      </c>
      <c r="CJ12" s="21" t="str">
        <f>IF(AND('Atividades Micro'!$B10=CJ$2,'Atividades Micro'!$G10="Micro",'Atividades Micro'!$K10&lt;&gt;""),'Atividades Micro'!$K10,"")</f>
        <v/>
      </c>
      <c r="CK12" s="21" t="str">
        <f>IF(AND('Atividades Micro'!$B10=CK$2,'Atividades Micro'!$G10="Micro",'Atividades Micro'!$K10&lt;&gt;""),'Atividades Micro'!$K10,"")</f>
        <v/>
      </c>
      <c r="CL12" s="21" t="str">
        <f>IF(AND('Atividades Micro'!$B10=CL$2,'Atividades Micro'!$G10="Micro",'Atividades Micro'!$K10&lt;&gt;""),'Atividades Micro'!$K10,"")</f>
        <v/>
      </c>
      <c r="CM12" s="21" t="str">
        <f>IF(AND('Atividades Micro'!$B10=CM$2,'Atividades Micro'!$G10="Micro",'Atividades Micro'!$K10&lt;&gt;""),'Atividades Micro'!$K10,"")</f>
        <v/>
      </c>
      <c r="CN12" s="21" t="str">
        <f>IF(AND('Atividades Micro'!$B10=CN$2,'Atividades Micro'!$G10="Micro",'Atividades Micro'!$K10&lt;&gt;""),'Atividades Micro'!$K10,"")</f>
        <v/>
      </c>
      <c r="CO12" s="21" t="str">
        <f>IF(AND('Atividades Micro'!$B10=CO$2,'Atividades Micro'!$G10="Micro",'Atividades Micro'!$K10&lt;&gt;""),'Atividades Micro'!$K10,"")</f>
        <v/>
      </c>
    </row>
    <row r="13" spans="1:93">
      <c r="A13" s="21">
        <f>IF(AND('Atividades Micro'!$A11=A$2,'Atividades Micro'!$K11&lt;&gt;""),'Atividades Micro'!$K11,"")</f>
        <v>46476</v>
      </c>
      <c r="B13" s="21" t="str">
        <f>IF(AND('Atividades Micro'!$A11=B$2,'Atividades Micro'!$L11&lt;&gt;""),'Atividades Micro'!$L11,"")</f>
        <v/>
      </c>
      <c r="C13" s="21" t="str">
        <f>IF(AND('Atividades Micro'!$A11=C$2,'Atividades Micro'!$K11&lt;&gt;""),'Atividades Micro'!$K11,"")</f>
        <v/>
      </c>
      <c r="D13" s="21" t="str">
        <f>IF(AND('Atividades Micro'!$A11=D$2,'Atividades Micro'!$L11&lt;&gt;""),'Atividades Micro'!$L11,"")</f>
        <v/>
      </c>
      <c r="E13" s="21" t="str">
        <f>IF(AND('Atividades Micro'!$A11=E$2,'Atividades Micro'!$K11&lt;&gt;""),'Atividades Micro'!$K11,"")</f>
        <v/>
      </c>
      <c r="F13" s="21" t="str">
        <f>IF(AND('Atividades Micro'!$A11=F$2,'Atividades Micro'!$L11&lt;&gt;""),'Atividades Micro'!$L11,"")</f>
        <v/>
      </c>
      <c r="G13" s="21" t="str">
        <f>IF(AND('Atividades Micro'!$A11=G$2,'Atividades Micro'!$K11&lt;&gt;""),'Atividades Micro'!$K11,"")</f>
        <v/>
      </c>
      <c r="H13" s="21" t="str">
        <f>IF(AND('Atividades Micro'!$A11=H$2,'Atividades Micro'!$L11&lt;&gt;""),'Atividades Micro'!$L11,"")</f>
        <v/>
      </c>
      <c r="I13" s="21" t="str">
        <f>IF(AND('Atividades Micro'!$A11=I$2,'Atividades Micro'!$K11&lt;&gt;""),'Atividades Micro'!$K11,"")</f>
        <v/>
      </c>
      <c r="J13" s="21" t="str">
        <f>IF(AND('Atividades Micro'!$A11=J$2,'Atividades Micro'!$L11&lt;&gt;""),'Atividades Micro'!$L11,"")</f>
        <v/>
      </c>
      <c r="K13" s="21" t="str">
        <f>IF(AND('Atividades Micro'!$B11=K$2,'Atividades Micro'!$K11&lt;&gt;""),'Atividades Micro'!$K11,"")</f>
        <v/>
      </c>
      <c r="L13" s="21" t="str">
        <f>IF(AND('Atividades Micro'!$B11=L$2,'Atividades Micro'!$L11&lt;&gt;""),'Atividades Micro'!$L11,"")</f>
        <v/>
      </c>
      <c r="M13" s="21" t="str">
        <f>IF(AND('Atividades Micro'!$B11=M$2,'Atividades Micro'!$K11&lt;&gt;""),'Atividades Micro'!$K11,"")</f>
        <v/>
      </c>
      <c r="N13" s="21" t="str">
        <f>IF(AND('Atividades Micro'!$B11=N$2,'Atividades Micro'!$L11&lt;&gt;""),'Atividades Micro'!$L11,"")</f>
        <v/>
      </c>
      <c r="O13" s="21" t="str">
        <f>IF(AND('Atividades Micro'!$A11=O$2,'Atividades Micro'!$K11&lt;&gt;""),'Atividades Micro'!$K11,"")</f>
        <v/>
      </c>
      <c r="P13" s="21" t="str">
        <f>IF(AND('Atividades Micro'!$A11=P$2,'Atividades Micro'!$L11&lt;&gt;""),'Atividades Micro'!$L11,"")</f>
        <v/>
      </c>
      <c r="Q13" s="21" t="str">
        <f>IF(AND('Atividades Micro'!$B11=Q$2,'Atividades Micro'!$K11&lt;&gt;""),'Atividades Micro'!$K11,"")</f>
        <v/>
      </c>
      <c r="R13" s="21" t="str">
        <f>IF(AND('Atividades Micro'!$B11=R$2,'Atividades Micro'!$L11&lt;&gt;""),'Atividades Micro'!$L11,"")</f>
        <v/>
      </c>
      <c r="S13" s="21" t="str">
        <f>IF(AND('Atividades Micro'!$A11=S$2,'Atividades Micro'!$K11&lt;&gt;""),'Atividades Micro'!$K11,"")</f>
        <v/>
      </c>
      <c r="T13" s="21" t="str">
        <f>IF(AND('Atividades Micro'!$A11=T$2,'Atividades Micro'!$L11&lt;&gt;""),'Atividades Micro'!$L11,"")</f>
        <v/>
      </c>
      <c r="U13" s="21" t="str">
        <f>IF(AND('Atividades Micro'!$B11=U$2,'Atividades Micro'!$K11&lt;&gt;""),'Atividades Micro'!$K11,"")</f>
        <v/>
      </c>
      <c r="V13" s="21" t="str">
        <f>IF(AND('Atividades Micro'!$B11=V$2,'Atividades Micro'!$L11&lt;&gt;""),'Atividades Micro'!$L11,"")</f>
        <v/>
      </c>
      <c r="W13" s="21" t="str">
        <f>IF(AND('Atividades Micro'!$B11=W$2,'Atividades Micro'!$K11&lt;&gt;""),'Atividades Micro'!$K11,"")</f>
        <v/>
      </c>
      <c r="X13" s="21" t="str">
        <f>IF(AND('Atividades Micro'!$B11=X$2,'Atividades Micro'!$L11&lt;&gt;""),'Atividades Micro'!$L11,"")</f>
        <v/>
      </c>
      <c r="Y13" s="21" t="str">
        <f>IF(AND('Atividades Micro'!$A11=Y$2,'Atividades Micro'!$K11&lt;&gt;""),'Atividades Micro'!$K11,"")</f>
        <v/>
      </c>
      <c r="Z13" s="21" t="str">
        <f>IF(AND('Atividades Micro'!$A11=Z$2,'Atividades Micro'!$L11&lt;&gt;""),'Atividades Micro'!$L11,"")</f>
        <v/>
      </c>
      <c r="AA13" s="21" t="str">
        <f>IF(AND('Atividades Micro'!$B11=AA$2,'Atividades Micro'!$K11&lt;&gt;""),'Atividades Micro'!$K11,"")</f>
        <v/>
      </c>
      <c r="AB13" s="21" t="str">
        <f>IF(AND('Atividades Micro'!$B11=AB$2,'Atividades Micro'!$L11&lt;&gt;""),'Atividades Micro'!$L11,"")</f>
        <v/>
      </c>
      <c r="AC13" s="21" t="str">
        <f>IF(AND('Atividades Micro'!$B11=AC$2,'Atividades Micro'!$K11&lt;&gt;""),'Atividades Micro'!$K11,"")</f>
        <v/>
      </c>
      <c r="AD13" s="21" t="str">
        <f>IF(AND('Atividades Micro'!$B11=AD$2,'Atividades Micro'!$L11&lt;&gt;""),'Atividades Micro'!$L11,"")</f>
        <v/>
      </c>
      <c r="AE13" s="21" t="str">
        <f>IF(AND('Atividades Micro'!$A11=AE$2,'Atividades Micro'!$K11&lt;&gt;""),'Atividades Micro'!$K11,"")</f>
        <v/>
      </c>
      <c r="AF13" s="21" t="str">
        <f>IF(AND('Atividades Micro'!$A11=AF$2,'Atividades Micro'!$L11&lt;&gt;""),'Atividades Micro'!$L11,"")</f>
        <v/>
      </c>
      <c r="AG13" s="21" t="str">
        <f>IF(AND('Atividades Micro'!$B11=AG$2,'Atividades Micro'!$K11&lt;&gt;""),'Atividades Micro'!$K11,"")</f>
        <v/>
      </c>
      <c r="AH13" s="21" t="str">
        <f>IF(AND('Atividades Micro'!$B11=AH$2,'Atividades Micro'!$L11&lt;&gt;""),'Atividades Micro'!$L11,"")</f>
        <v/>
      </c>
      <c r="AI13" s="21" t="str">
        <f>IF(AND('Atividades Micro'!$B11=AI$2,'Atividades Micro'!$K11&lt;&gt;""),'Atividades Micro'!$K11,"")</f>
        <v/>
      </c>
      <c r="AJ13" s="21" t="str">
        <f>IF(AND('Atividades Micro'!$B11=AJ$2,'Atividades Micro'!$L11&lt;&gt;""),'Atividades Micro'!$L11,"")</f>
        <v/>
      </c>
      <c r="AK13" s="21" t="str">
        <f>IF(AND('Atividades Micro'!$A11=AK$2,'Atividades Micro'!$K11&lt;&gt;""),'Atividades Micro'!$K11,"")</f>
        <v/>
      </c>
      <c r="AL13" s="21" t="str">
        <f>IF(AND('Atividades Micro'!$A11=AL$2,'Atividades Micro'!$L11&lt;&gt;""),'Atividades Micro'!$L11,"")</f>
        <v/>
      </c>
      <c r="AM13" s="21" t="str">
        <f>IF(AND('Atividades Micro'!$B11=AM$2,'Atividades Micro'!$K11&lt;&gt;""),'Atividades Micro'!$K11,"")</f>
        <v/>
      </c>
      <c r="AN13" s="21" t="str">
        <f>IF(AND('Atividades Micro'!$B11=AN$2,'Atividades Micro'!$L11&lt;&gt;""),'Atividades Micro'!$L11,"")</f>
        <v/>
      </c>
      <c r="AO13" s="21" t="str">
        <f>IF(AND('Atividades Micro'!$B11=AO$2,'Atividades Micro'!$K11&lt;&gt;""),'Atividades Micro'!$K11,"")</f>
        <v/>
      </c>
      <c r="AP13" s="21" t="str">
        <f>IF(AND('Atividades Micro'!$B11=AP$2,'Atividades Micro'!$L11&lt;&gt;""),'Atividades Micro'!$L11,"")</f>
        <v/>
      </c>
      <c r="AQ13" s="21" t="str">
        <f>IF(AND('Atividades Micro'!$A11=AQ$2,'Atividades Micro'!$K11&lt;&gt;""),'Atividades Micro'!$K11,"")</f>
        <v/>
      </c>
      <c r="AR13" s="21" t="str">
        <f>IF(AND('Atividades Micro'!$A11=AR$2,'Atividades Micro'!$L11&lt;&gt;""),'Atividades Micro'!$L11,"")</f>
        <v/>
      </c>
      <c r="AS13" s="21" t="str">
        <f>IF(AND('Atividades Micro'!$B11=AS$2,'Atividades Micro'!$K11&lt;&gt;""),'Atividades Micro'!$K11,"")</f>
        <v/>
      </c>
      <c r="AT13" s="21" t="str">
        <f>IF(AND('Atividades Micro'!$B11=AT$2,'Atividades Micro'!$L11&lt;&gt;""),'Atividades Micro'!$L11,"")</f>
        <v/>
      </c>
      <c r="AU13" s="21" t="str">
        <f>IF(AND('Atividades Micro'!$A11=AU$2,'Atividades Micro'!$K11&lt;&gt;""),'Atividades Micro'!$K11,"")</f>
        <v/>
      </c>
      <c r="AV13" s="21" t="str">
        <f>IF(AND('Atividades Micro'!$A11=AV$2,'Atividades Micro'!$L11&lt;&gt;""),'Atividades Micro'!$L11,"")</f>
        <v/>
      </c>
      <c r="AW13" s="21" t="str">
        <f>IF(AND('Atividades Micro'!$B11=AW$2,'Atividades Micro'!$K11&lt;&gt;""),'Atividades Micro'!$K11,"")</f>
        <v/>
      </c>
      <c r="AX13" s="21" t="str">
        <f>IF(AND('Atividades Micro'!$B11=AX$2,'Atividades Micro'!$L11&lt;&gt;""),'Atividades Micro'!$L11,"")</f>
        <v/>
      </c>
      <c r="AY13" s="21" t="str">
        <f>IF(AND('Atividades Micro'!$A11=AY$2,'Atividades Micro'!$K11&lt;&gt;""),'Atividades Micro'!$K11,"")</f>
        <v/>
      </c>
      <c r="AZ13" s="21" t="str">
        <f>IF(AND('Atividades Micro'!$A11=AZ$2,'Atividades Micro'!$L11&lt;&gt;""),'Atividades Micro'!$L11,"")</f>
        <v/>
      </c>
      <c r="BA13" s="21" t="str">
        <f>IF(AND('Atividades Micro'!$B11=BA$2,'Atividades Micro'!$K11&lt;&gt;""),'Atividades Micro'!$K11,"")</f>
        <v/>
      </c>
      <c r="BB13" s="21" t="str">
        <f>IF(AND('Atividades Micro'!$B11=BB$2,'Atividades Micro'!$L11&lt;&gt;""),'Atividades Micro'!$L11,"")</f>
        <v/>
      </c>
      <c r="BC13" s="21" t="str">
        <f>IF(AND('Atividades Micro'!$B11=BC$2,'Atividades Micro'!$G11="Macro",'Atividades Micro'!$K11&lt;&gt;""),'Atividades Micro'!$K11,"")</f>
        <v/>
      </c>
      <c r="BD13" s="21" t="str">
        <f>IF(AND('Atividades Micro'!$B11=BD$2,'Atividades Micro'!$G11="Macro",'Atividades Micro'!$K11&lt;&gt;""),'Atividades Micro'!$K11,"")</f>
        <v/>
      </c>
      <c r="BE13" s="21" t="str">
        <f>IF(AND('Atividades Micro'!$B11=BE$2,'Atividades Micro'!$G11="Macro",'Atividades Micro'!$K11&lt;&gt;""),'Atividades Micro'!$K11,"")</f>
        <v/>
      </c>
      <c r="BF13" s="21" t="str">
        <f>IF(AND('Atividades Micro'!$B11=BF$2,'Atividades Micro'!$G11="Macro",'Atividades Micro'!$K11&lt;&gt;""),'Atividades Micro'!$K11,"")</f>
        <v/>
      </c>
      <c r="BG13" s="21" t="str">
        <f>IF(AND('Atividades Micro'!$B11=BG$2,'Atividades Micro'!$G11="Macro",'Atividades Micro'!$K11&lt;&gt;""),'Atividades Micro'!$K11,"")</f>
        <v/>
      </c>
      <c r="BH13" s="21" t="str">
        <f>IF(AND('Atividades Micro'!$B11=BH$2,'Atividades Micro'!$G11="Macro",'Atividades Micro'!$K11&lt;&gt;""),'Atividades Micro'!$K11,"")</f>
        <v/>
      </c>
      <c r="BI13" s="21" t="str">
        <f>IF(AND('Atividades Micro'!$B11=BI$2,'Atividades Micro'!$G11="Macro",'Atividades Micro'!$K11&lt;&gt;""),'Atividades Micro'!$K11,"")</f>
        <v/>
      </c>
      <c r="BJ13" s="21" t="str">
        <f>IF(AND('Atividades Micro'!$B11=BJ$2,'Atividades Micro'!$G11="Macro",'Atividades Micro'!$K11&lt;&gt;""),'Atividades Micro'!$K11,"")</f>
        <v/>
      </c>
      <c r="BK13" s="21" t="str">
        <f>IF(AND('Atividades Micro'!$B11=BK$2,'Atividades Micro'!$G11="Macro",'Atividades Micro'!$K11&lt;&gt;""),'Atividades Micro'!$K11,"")</f>
        <v/>
      </c>
      <c r="BL13" s="21" t="str">
        <f>IF(AND('Atividades Micro'!$B11=BL$2,'Atividades Micro'!$G11="Macro",'Atividades Micro'!$K11&lt;&gt;""),'Atividades Micro'!$K11,"")</f>
        <v/>
      </c>
      <c r="BM13" s="21" t="str">
        <f>IF(AND('Atividades Micro'!$B11=BM$2,'Atividades Micro'!$G11="Macro",'Atividades Micro'!$K11&lt;&gt;""),'Atividades Micro'!$K11,"")</f>
        <v/>
      </c>
      <c r="BN13" s="21" t="str">
        <f>IF(AND('Atividades Micro'!$B11=BN$2,'Atividades Micro'!$G11="Macro",'Atividades Micro'!$K11&lt;&gt;""),'Atividades Micro'!$K11,"")</f>
        <v/>
      </c>
      <c r="BO13" s="21" t="str">
        <f>IF(AND('Atividades Micro'!$B11=BO$2,'Atividades Micro'!$G11="Macro",'Atividades Micro'!$K11&lt;&gt;""),'Atividades Micro'!$K11,"")</f>
        <v/>
      </c>
      <c r="BP13" s="21" t="str">
        <f>IF(AND('Atividades Micro'!$B11=BP$2,'Atividades Micro'!$G11="Macro",'Atividades Micro'!$K11&lt;&gt;""),'Atividades Micro'!$K11,"")</f>
        <v/>
      </c>
      <c r="BQ13" s="21" t="str">
        <f>IF(AND('Atividades Micro'!$B11=BQ$2,'Atividades Micro'!$G11="Macro",'Atividades Micro'!$K11&lt;&gt;""),'Atividades Micro'!$K11,"")</f>
        <v/>
      </c>
      <c r="BR13" s="21" t="str">
        <f>IF(AND('Atividades Micro'!$B11=BR$2,'Atividades Micro'!$G11="Macro",'Atividades Micro'!$K11&lt;&gt;""),'Atividades Micro'!$K11,"")</f>
        <v/>
      </c>
      <c r="BS13" s="21" t="str">
        <f>IF(AND('Atividades Micro'!$B11=BS$2,'Atividades Micro'!$G11="Macro",'Atividades Micro'!$K11&lt;&gt;""),'Atividades Micro'!$K11,"")</f>
        <v/>
      </c>
      <c r="BT13" s="21" t="str">
        <f>IF(AND('Atividades Micro'!$B11=BT$2,'Atividades Micro'!$G11="Macro",'Atividades Micro'!$K11&lt;&gt;""),'Atividades Micro'!$K11,"")</f>
        <v/>
      </c>
      <c r="BU13" s="21" t="str">
        <f>IF(AND('Atividades Micro'!$B11=BU$2,'Atividades Micro'!$G11="Macro",'Atividades Micro'!$K11&lt;&gt;""),'Atividades Micro'!$K11,"")</f>
        <v/>
      </c>
      <c r="BV13" s="21" t="str">
        <f>IF(AND('Atividades Micro'!$B11=BV$2,'Atividades Micro'!$G11="Macro",'Atividades Micro'!$K11&lt;&gt;""),'Atividades Micro'!$K11,"")</f>
        <v/>
      </c>
      <c r="BW13" s="21" t="str">
        <f>IF(AND('Atividades Micro'!$B11=BW$2,'Atividades Micro'!$G11="Macro",'Atividades Micro'!$K11&lt;&gt;""),'Atividades Micro'!$K11,"")</f>
        <v/>
      </c>
      <c r="BX13" s="21" t="str">
        <f>IF(AND('Atividades Micro'!$B11=BX$2,'Atividades Micro'!$G11="Macro",'Atividades Micro'!$K11&lt;&gt;""),'Atividades Micro'!$K11,"")</f>
        <v/>
      </c>
      <c r="BY13" s="21" t="str">
        <f>IF(AND('Atividades Micro'!$B11=BY$2,'Atividades Micro'!$G11="Macro",'Atividades Micro'!$K11&lt;&gt;""),'Atividades Micro'!$K11,"")</f>
        <v/>
      </c>
      <c r="BZ13" s="21" t="str">
        <f>IF(AND('Atividades Micro'!$B11=BZ$2,'Atividades Micro'!$G11="Macro",'Atividades Micro'!$K11&lt;&gt;""),'Atividades Micro'!$K11,"")</f>
        <v/>
      </c>
      <c r="CA13" s="21" t="str">
        <f>IF(AND('Atividades Micro'!$B11=CA$2,'Atividades Micro'!$G11="Macro",'Atividades Micro'!$K11&lt;&gt;""),'Atividades Micro'!$K11,"")</f>
        <v/>
      </c>
      <c r="CB13" s="21" t="str">
        <f>IF(AND('Atividades Micro'!$B11=CB$2,'Atividades Micro'!$G11="Macro",'Atividades Micro'!$K11&lt;&gt;""),'Atividades Micro'!$K11,"")</f>
        <v/>
      </c>
      <c r="CC13" s="21" t="str">
        <f>IF(AND('Atividades Micro'!$B11=CC$2,'Atividades Micro'!$G11="Macro",'Atividades Micro'!$K11&lt;&gt;""),'Atividades Micro'!$K11,"")</f>
        <v/>
      </c>
      <c r="CD13" s="21" t="str">
        <f>IF(AND('Atividades Micro'!$B11=CD$2,'Atividades Micro'!$G11="Micro",'Atividades Micro'!$K11&lt;&gt;""),'Atividades Micro'!$K11,"")</f>
        <v/>
      </c>
      <c r="CE13" s="21" t="str">
        <f>IF(AND('Atividades Micro'!$B11=CE$2,'Atividades Micro'!$G11="Micro",'Atividades Micro'!$K11&lt;&gt;""),'Atividades Micro'!$K11,"")</f>
        <v/>
      </c>
      <c r="CF13" s="21" t="str">
        <f>IF(AND('Atividades Micro'!$B11=CF$2,'Atividades Micro'!$G11="Micro",'Atividades Micro'!$K11&lt;&gt;""),'Atividades Micro'!$K11,"")</f>
        <v/>
      </c>
      <c r="CG13" s="21" t="str">
        <f>IF(AND('Atividades Micro'!$B11=CG$2,'Atividades Micro'!$G11="Micro",'Atividades Micro'!$K11&lt;&gt;""),'Atividades Micro'!$K11,"")</f>
        <v/>
      </c>
      <c r="CH13" s="21" t="str">
        <f>IF(AND('Atividades Micro'!$B11=CH$2,'Atividades Micro'!$G11="Micro",'Atividades Micro'!$K11&lt;&gt;""),'Atividades Micro'!$K11,"")</f>
        <v/>
      </c>
      <c r="CI13" s="21" t="str">
        <f>IF(AND('Atividades Micro'!$B11=CI$2,'Atividades Micro'!$G11="Micro",'Atividades Micro'!$K11&lt;&gt;""),'Atividades Micro'!$K11,"")</f>
        <v/>
      </c>
      <c r="CJ13" s="21" t="str">
        <f>IF(AND('Atividades Micro'!$B11=CJ$2,'Atividades Micro'!$G11="Micro",'Atividades Micro'!$K11&lt;&gt;""),'Atividades Micro'!$K11,"")</f>
        <v/>
      </c>
      <c r="CK13" s="21" t="str">
        <f>IF(AND('Atividades Micro'!$B11=CK$2,'Atividades Micro'!$G11="Micro",'Atividades Micro'!$K11&lt;&gt;""),'Atividades Micro'!$K11,"")</f>
        <v/>
      </c>
      <c r="CL13" s="21" t="str">
        <f>IF(AND('Atividades Micro'!$B11=CL$2,'Atividades Micro'!$G11="Micro",'Atividades Micro'!$K11&lt;&gt;""),'Atividades Micro'!$K11,"")</f>
        <v/>
      </c>
      <c r="CM13" s="21" t="str">
        <f>IF(AND('Atividades Micro'!$B11=CM$2,'Atividades Micro'!$G11="Micro",'Atividades Micro'!$K11&lt;&gt;""),'Atividades Micro'!$K11,"")</f>
        <v/>
      </c>
      <c r="CN13" s="21" t="str">
        <f>IF(AND('Atividades Micro'!$B11=CN$2,'Atividades Micro'!$G11="Micro",'Atividades Micro'!$K11&lt;&gt;""),'Atividades Micro'!$K11,"")</f>
        <v/>
      </c>
      <c r="CO13" s="21" t="str">
        <f>IF(AND('Atividades Micro'!$B11=CO$2,'Atividades Micro'!$G11="Micro",'Atividades Micro'!$K11&lt;&gt;""),'Atividades Micro'!$K11,"")</f>
        <v/>
      </c>
    </row>
    <row r="14" spans="1:93">
      <c r="A14" s="21">
        <f>IF(AND('Atividades Micro'!$A13=A$2,'Atividades Micro'!$K13&lt;&gt;""),'Atividades Micro'!$K13,"")</f>
        <v>46295</v>
      </c>
      <c r="B14" s="21" t="str">
        <f>IF(AND('Atividades Micro'!$A13=B$2,'Atividades Micro'!$L13&lt;&gt;""),'Atividades Micro'!$L13,"")</f>
        <v/>
      </c>
      <c r="C14" s="21" t="str">
        <f>IF(AND('Atividades Micro'!$A13=C$2,'Atividades Micro'!$K13&lt;&gt;""),'Atividades Micro'!$K13,"")</f>
        <v/>
      </c>
      <c r="D14" s="21" t="str">
        <f>IF(AND('Atividades Micro'!$A13=D$2,'Atividades Micro'!$L13&lt;&gt;""),'Atividades Micro'!$L13,"")</f>
        <v/>
      </c>
      <c r="E14" s="21" t="str">
        <f>IF(AND('Atividades Micro'!$A13=E$2,'Atividades Micro'!$K13&lt;&gt;""),'Atividades Micro'!$K13,"")</f>
        <v/>
      </c>
      <c r="F14" s="21" t="str">
        <f>IF(AND('Atividades Micro'!$A13=F$2,'Atividades Micro'!$L13&lt;&gt;""),'Atividades Micro'!$L13,"")</f>
        <v/>
      </c>
      <c r="G14" s="21" t="str">
        <f>IF(AND('Atividades Micro'!$A13=G$2,'Atividades Micro'!$K13&lt;&gt;""),'Atividades Micro'!$K13,"")</f>
        <v/>
      </c>
      <c r="H14" s="21" t="str">
        <f>IF(AND('Atividades Micro'!$A13=H$2,'Atividades Micro'!$L13&lt;&gt;""),'Atividades Micro'!$L13,"")</f>
        <v/>
      </c>
      <c r="I14" s="21" t="str">
        <f>IF(AND('Atividades Micro'!$A13=I$2,'Atividades Micro'!$K13&lt;&gt;""),'Atividades Micro'!$K13,"")</f>
        <v/>
      </c>
      <c r="J14" s="21" t="str">
        <f>IF(AND('Atividades Micro'!$A13=J$2,'Atividades Micro'!$L13&lt;&gt;""),'Atividades Micro'!$L13,"")</f>
        <v/>
      </c>
      <c r="K14" s="21" t="str">
        <f>IF(AND('Atividades Micro'!$B13=K$2,'Atividades Micro'!$K13&lt;&gt;""),'Atividades Micro'!$K13,"")</f>
        <v/>
      </c>
      <c r="L14" s="21" t="str">
        <f>IF(AND('Atividades Micro'!$B13=L$2,'Atividades Micro'!$L13&lt;&gt;""),'Atividades Micro'!$L13,"")</f>
        <v/>
      </c>
      <c r="M14" s="21" t="str">
        <f>IF(AND('Atividades Micro'!$B13=M$2,'Atividades Micro'!$K13&lt;&gt;""),'Atividades Micro'!$K13,"")</f>
        <v/>
      </c>
      <c r="N14" s="21" t="str">
        <f>IF(AND('Atividades Micro'!$B13=N$2,'Atividades Micro'!$L13&lt;&gt;""),'Atividades Micro'!$L13,"")</f>
        <v/>
      </c>
      <c r="O14" s="21" t="str">
        <f>IF(AND('Atividades Micro'!$A13=O$2,'Atividades Micro'!$K13&lt;&gt;""),'Atividades Micro'!$K13,"")</f>
        <v/>
      </c>
      <c r="P14" s="21" t="str">
        <f>IF(AND('Atividades Micro'!$A13=P$2,'Atividades Micro'!$L13&lt;&gt;""),'Atividades Micro'!$L13,"")</f>
        <v/>
      </c>
      <c r="Q14" s="21" t="str">
        <f>IF(AND('Atividades Micro'!$B13=Q$2,'Atividades Micro'!$K13&lt;&gt;""),'Atividades Micro'!$K13,"")</f>
        <v/>
      </c>
      <c r="R14" s="21" t="str">
        <f>IF(AND('Atividades Micro'!$B13=R$2,'Atividades Micro'!$L13&lt;&gt;""),'Atividades Micro'!$L13,"")</f>
        <v/>
      </c>
      <c r="S14" s="21" t="str">
        <f>IF(AND('Atividades Micro'!$A13=S$2,'Atividades Micro'!$K13&lt;&gt;""),'Atividades Micro'!$K13,"")</f>
        <v/>
      </c>
      <c r="T14" s="21" t="str">
        <f>IF(AND('Atividades Micro'!$A13=T$2,'Atividades Micro'!$L13&lt;&gt;""),'Atividades Micro'!$L13,"")</f>
        <v/>
      </c>
      <c r="U14" s="21" t="str">
        <f>IF(AND('Atividades Micro'!$B13=U$2,'Atividades Micro'!$K13&lt;&gt;""),'Atividades Micro'!$K13,"")</f>
        <v/>
      </c>
      <c r="V14" s="21" t="str">
        <f>IF(AND('Atividades Micro'!$B13=V$2,'Atividades Micro'!$L13&lt;&gt;""),'Atividades Micro'!$L13,"")</f>
        <v/>
      </c>
      <c r="W14" s="21" t="str">
        <f>IF(AND('Atividades Micro'!$B13=W$2,'Atividades Micro'!$K13&lt;&gt;""),'Atividades Micro'!$K13,"")</f>
        <v/>
      </c>
      <c r="X14" s="21" t="str">
        <f>IF(AND('Atividades Micro'!$B13=X$2,'Atividades Micro'!$L13&lt;&gt;""),'Atividades Micro'!$L13,"")</f>
        <v/>
      </c>
      <c r="Y14" s="21" t="str">
        <f>IF(AND('Atividades Micro'!$A13=Y$2,'Atividades Micro'!$K13&lt;&gt;""),'Atividades Micro'!$K13,"")</f>
        <v/>
      </c>
      <c r="Z14" s="21" t="str">
        <f>IF(AND('Atividades Micro'!$A13=Z$2,'Atividades Micro'!$L13&lt;&gt;""),'Atividades Micro'!$L13,"")</f>
        <v/>
      </c>
      <c r="AA14" s="21" t="str">
        <f>IF(AND('Atividades Micro'!$B13=AA$2,'Atividades Micro'!$K13&lt;&gt;""),'Atividades Micro'!$K13,"")</f>
        <v/>
      </c>
      <c r="AB14" s="21" t="str">
        <f>IF(AND('Atividades Micro'!$B13=AB$2,'Atividades Micro'!$L13&lt;&gt;""),'Atividades Micro'!$L13,"")</f>
        <v/>
      </c>
      <c r="AC14" s="21" t="str">
        <f>IF(AND('Atividades Micro'!$B13=AC$2,'Atividades Micro'!$K13&lt;&gt;""),'Atividades Micro'!$K13,"")</f>
        <v/>
      </c>
      <c r="AD14" s="21" t="str">
        <f>IF(AND('Atividades Micro'!$B13=AD$2,'Atividades Micro'!$L13&lt;&gt;""),'Atividades Micro'!$L13,"")</f>
        <v/>
      </c>
      <c r="AE14" s="21" t="str">
        <f>IF(AND('Atividades Micro'!$A13=AE$2,'Atividades Micro'!$K13&lt;&gt;""),'Atividades Micro'!$K13,"")</f>
        <v/>
      </c>
      <c r="AF14" s="21" t="str">
        <f>IF(AND('Atividades Micro'!$A13=AF$2,'Atividades Micro'!$L13&lt;&gt;""),'Atividades Micro'!$L13,"")</f>
        <v/>
      </c>
      <c r="AG14" s="21" t="str">
        <f>IF(AND('Atividades Micro'!$B13=AG$2,'Atividades Micro'!$K13&lt;&gt;""),'Atividades Micro'!$K13,"")</f>
        <v/>
      </c>
      <c r="AH14" s="21" t="str">
        <f>IF(AND('Atividades Micro'!$B13=AH$2,'Atividades Micro'!$L13&lt;&gt;""),'Atividades Micro'!$L13,"")</f>
        <v/>
      </c>
      <c r="AI14" s="21" t="str">
        <f>IF(AND('Atividades Micro'!$B13=AI$2,'Atividades Micro'!$K13&lt;&gt;""),'Atividades Micro'!$K13,"")</f>
        <v/>
      </c>
      <c r="AJ14" s="21" t="str">
        <f>IF(AND('Atividades Micro'!$B13=AJ$2,'Atividades Micro'!$L13&lt;&gt;""),'Atividades Micro'!$L13,"")</f>
        <v/>
      </c>
      <c r="AK14" s="21" t="str">
        <f>IF(AND('Atividades Micro'!$A13=AK$2,'Atividades Micro'!$K13&lt;&gt;""),'Atividades Micro'!$K13,"")</f>
        <v/>
      </c>
      <c r="AL14" s="21" t="str">
        <f>IF(AND('Atividades Micro'!$A13=AL$2,'Atividades Micro'!$L13&lt;&gt;""),'Atividades Micro'!$L13,"")</f>
        <v/>
      </c>
      <c r="AM14" s="21" t="str">
        <f>IF(AND('Atividades Micro'!$B13=AM$2,'Atividades Micro'!$K13&lt;&gt;""),'Atividades Micro'!$K13,"")</f>
        <v/>
      </c>
      <c r="AN14" s="21" t="str">
        <f>IF(AND('Atividades Micro'!$B13=AN$2,'Atividades Micro'!$L13&lt;&gt;""),'Atividades Micro'!$L13,"")</f>
        <v/>
      </c>
      <c r="AO14" s="21" t="str">
        <f>IF(AND('Atividades Micro'!$B13=AO$2,'Atividades Micro'!$K13&lt;&gt;""),'Atividades Micro'!$K13,"")</f>
        <v/>
      </c>
      <c r="AP14" s="21" t="str">
        <f>IF(AND('Atividades Micro'!$B13=AP$2,'Atividades Micro'!$L13&lt;&gt;""),'Atividades Micro'!$L13,"")</f>
        <v/>
      </c>
      <c r="AQ14" s="21" t="str">
        <f>IF(AND('Atividades Micro'!$A13=AQ$2,'Atividades Micro'!$K13&lt;&gt;""),'Atividades Micro'!$K13,"")</f>
        <v/>
      </c>
      <c r="AR14" s="21" t="str">
        <f>IF(AND('Atividades Micro'!$A13=AR$2,'Atividades Micro'!$L13&lt;&gt;""),'Atividades Micro'!$L13,"")</f>
        <v/>
      </c>
      <c r="AS14" s="21" t="str">
        <f>IF(AND('Atividades Micro'!$B13=AS$2,'Atividades Micro'!$K13&lt;&gt;""),'Atividades Micro'!$K13,"")</f>
        <v/>
      </c>
      <c r="AT14" s="21" t="str">
        <f>IF(AND('Atividades Micro'!$B13=AT$2,'Atividades Micro'!$L13&lt;&gt;""),'Atividades Micro'!$L13,"")</f>
        <v/>
      </c>
      <c r="AU14" s="21" t="str">
        <f>IF(AND('Atividades Micro'!$A13=AU$2,'Atividades Micro'!$K13&lt;&gt;""),'Atividades Micro'!$K13,"")</f>
        <v/>
      </c>
      <c r="AV14" s="21" t="str">
        <f>IF(AND('Atividades Micro'!$A13=AV$2,'Atividades Micro'!$L13&lt;&gt;""),'Atividades Micro'!$L13,"")</f>
        <v/>
      </c>
      <c r="AW14" s="21" t="str">
        <f>IF(AND('Atividades Micro'!$B13=AW$2,'Atividades Micro'!$K13&lt;&gt;""),'Atividades Micro'!$K13,"")</f>
        <v/>
      </c>
      <c r="AX14" s="21" t="str">
        <f>IF(AND('Atividades Micro'!$B13=AX$2,'Atividades Micro'!$L13&lt;&gt;""),'Atividades Micro'!$L13,"")</f>
        <v/>
      </c>
      <c r="AY14" s="21" t="str">
        <f>IF(AND('Atividades Micro'!$A13=AY$2,'Atividades Micro'!$K13&lt;&gt;""),'Atividades Micro'!$K13,"")</f>
        <v/>
      </c>
      <c r="AZ14" s="21" t="str">
        <f>IF(AND('Atividades Micro'!$A13=AZ$2,'Atividades Micro'!$L13&lt;&gt;""),'Atividades Micro'!$L13,"")</f>
        <v/>
      </c>
      <c r="BA14" s="21" t="str">
        <f>IF(AND('Atividades Micro'!$B13=BA$2,'Atividades Micro'!$K13&lt;&gt;""),'Atividades Micro'!$K13,"")</f>
        <v/>
      </c>
      <c r="BB14" s="21" t="str">
        <f>IF(AND('Atividades Micro'!$B13=BB$2,'Atividades Micro'!$L13&lt;&gt;""),'Atividades Micro'!$L13,"")</f>
        <v/>
      </c>
      <c r="BC14" s="21" t="str">
        <f>IF(AND('Atividades Micro'!$B13=BC$2,'Atividades Micro'!$G13="Macro",'Atividades Micro'!$K13&lt;&gt;""),'Atividades Micro'!$K13,"")</f>
        <v/>
      </c>
      <c r="BD14" s="21" t="str">
        <f>IF(AND('Atividades Micro'!$B13=BD$2,'Atividades Micro'!$G13="Macro",'Atividades Micro'!$K13&lt;&gt;""),'Atividades Micro'!$K13,"")</f>
        <v/>
      </c>
      <c r="BE14" s="21" t="str">
        <f>IF(AND('Atividades Micro'!$B13=BE$2,'Atividades Micro'!$G13="Macro",'Atividades Micro'!$K13&lt;&gt;""),'Atividades Micro'!$K13,"")</f>
        <v/>
      </c>
      <c r="BF14" s="21" t="str">
        <f>IF(AND('Atividades Micro'!$B13=BF$2,'Atividades Micro'!$G13="Macro",'Atividades Micro'!$K13&lt;&gt;""),'Atividades Micro'!$K13,"")</f>
        <v/>
      </c>
      <c r="BG14" s="21" t="str">
        <f>IF(AND('Atividades Micro'!$B13=BG$2,'Atividades Micro'!$G13="Macro",'Atividades Micro'!$K13&lt;&gt;""),'Atividades Micro'!$K13,"")</f>
        <v/>
      </c>
      <c r="BH14" s="21" t="str">
        <f>IF(AND('Atividades Micro'!$B13=BH$2,'Atividades Micro'!$G13="Macro",'Atividades Micro'!$K13&lt;&gt;""),'Atividades Micro'!$K13,"")</f>
        <v/>
      </c>
      <c r="BI14" s="21" t="str">
        <f>IF(AND('Atividades Micro'!$B13=BI$2,'Atividades Micro'!$G13="Macro",'Atividades Micro'!$K13&lt;&gt;""),'Atividades Micro'!$K13,"")</f>
        <v/>
      </c>
      <c r="BJ14" s="21" t="str">
        <f>IF(AND('Atividades Micro'!$B13=BJ$2,'Atividades Micro'!$G13="Macro",'Atividades Micro'!$K13&lt;&gt;""),'Atividades Micro'!$K13,"")</f>
        <v/>
      </c>
      <c r="BK14" s="21" t="str">
        <f>IF(AND('Atividades Micro'!$B13=BK$2,'Atividades Micro'!$G13="Macro",'Atividades Micro'!$K13&lt;&gt;""),'Atividades Micro'!$K13,"")</f>
        <v/>
      </c>
      <c r="BL14" s="21" t="str">
        <f>IF(AND('Atividades Micro'!$B13=BL$2,'Atividades Micro'!$G13="Macro",'Atividades Micro'!$K13&lt;&gt;""),'Atividades Micro'!$K13,"")</f>
        <v/>
      </c>
      <c r="BM14" s="21" t="str">
        <f>IF(AND('Atividades Micro'!$B13=BM$2,'Atividades Micro'!$G13="Macro",'Atividades Micro'!$K13&lt;&gt;""),'Atividades Micro'!$K13,"")</f>
        <v/>
      </c>
      <c r="BN14" s="21" t="str">
        <f>IF(AND('Atividades Micro'!$B13=BN$2,'Atividades Micro'!$G13="Macro",'Atividades Micro'!$K13&lt;&gt;""),'Atividades Micro'!$K13,"")</f>
        <v/>
      </c>
      <c r="BO14" s="21" t="str">
        <f>IF(AND('Atividades Micro'!$B13=BO$2,'Atividades Micro'!$G13="Macro",'Atividades Micro'!$K13&lt;&gt;""),'Atividades Micro'!$K13,"")</f>
        <v/>
      </c>
      <c r="BP14" s="21" t="str">
        <f>IF(AND('Atividades Micro'!$B13=BP$2,'Atividades Micro'!$G13="Macro",'Atividades Micro'!$K13&lt;&gt;""),'Atividades Micro'!$K13,"")</f>
        <v/>
      </c>
      <c r="BQ14" s="21" t="str">
        <f>IF(AND('Atividades Micro'!$B13=BQ$2,'Atividades Micro'!$G13="Macro",'Atividades Micro'!$K13&lt;&gt;""),'Atividades Micro'!$K13,"")</f>
        <v/>
      </c>
      <c r="BR14" s="21" t="str">
        <f>IF(AND('Atividades Micro'!$B13=BR$2,'Atividades Micro'!$G13="Macro",'Atividades Micro'!$K13&lt;&gt;""),'Atividades Micro'!$K13,"")</f>
        <v/>
      </c>
      <c r="BS14" s="21" t="str">
        <f>IF(AND('Atividades Micro'!$B13=BS$2,'Atividades Micro'!$G13="Macro",'Atividades Micro'!$K13&lt;&gt;""),'Atividades Micro'!$K13,"")</f>
        <v/>
      </c>
      <c r="BT14" s="21" t="str">
        <f>IF(AND('Atividades Micro'!$B13=BT$2,'Atividades Micro'!$G13="Macro",'Atividades Micro'!$K13&lt;&gt;""),'Atividades Micro'!$K13,"")</f>
        <v/>
      </c>
      <c r="BU14" s="21" t="str">
        <f>IF(AND('Atividades Micro'!$B13=BU$2,'Atividades Micro'!$G13="Macro",'Atividades Micro'!$K13&lt;&gt;""),'Atividades Micro'!$K13,"")</f>
        <v/>
      </c>
      <c r="BV14" s="21" t="str">
        <f>IF(AND('Atividades Micro'!$B13=BV$2,'Atividades Micro'!$G13="Macro",'Atividades Micro'!$K13&lt;&gt;""),'Atividades Micro'!$K13,"")</f>
        <v/>
      </c>
      <c r="BW14" s="21" t="str">
        <f>IF(AND('Atividades Micro'!$B13=BW$2,'Atividades Micro'!$G13="Macro",'Atividades Micro'!$K13&lt;&gt;""),'Atividades Micro'!$K13,"")</f>
        <v/>
      </c>
      <c r="BX14" s="21" t="str">
        <f>IF(AND('Atividades Micro'!$B13=BX$2,'Atividades Micro'!$G13="Macro",'Atividades Micro'!$K13&lt;&gt;""),'Atividades Micro'!$K13,"")</f>
        <v/>
      </c>
      <c r="BY14" s="21" t="str">
        <f>IF(AND('Atividades Micro'!$B13=BY$2,'Atividades Micro'!$G13="Macro",'Atividades Micro'!$K13&lt;&gt;""),'Atividades Micro'!$K13,"")</f>
        <v/>
      </c>
      <c r="BZ14" s="21" t="str">
        <f>IF(AND('Atividades Micro'!$B13=BZ$2,'Atividades Micro'!$G13="Macro",'Atividades Micro'!$K13&lt;&gt;""),'Atividades Micro'!$K13,"")</f>
        <v/>
      </c>
      <c r="CA14" s="21" t="str">
        <f>IF(AND('Atividades Micro'!$B13=CA$2,'Atividades Micro'!$G13="Macro",'Atividades Micro'!$K13&lt;&gt;""),'Atividades Micro'!$K13,"")</f>
        <v/>
      </c>
      <c r="CB14" s="21" t="str">
        <f>IF(AND('Atividades Micro'!$B13=CB$2,'Atividades Micro'!$G13="Macro",'Atividades Micro'!$K13&lt;&gt;""),'Atividades Micro'!$K13,"")</f>
        <v/>
      </c>
      <c r="CC14" s="21" t="str">
        <f>IF(AND('Atividades Micro'!$B13=CC$2,'Atividades Micro'!$G13="Macro",'Atividades Micro'!$K13&lt;&gt;""),'Atividades Micro'!$K13,"")</f>
        <v/>
      </c>
      <c r="CD14" s="21" t="str">
        <f>IF(AND('Atividades Micro'!$B13=CD$2,'Atividades Micro'!$G13="Micro",'Atividades Micro'!$K13&lt;&gt;""),'Atividades Micro'!$K13,"")</f>
        <v/>
      </c>
      <c r="CE14" s="21" t="str">
        <f>IF(AND('Atividades Micro'!$B13=CE$2,'Atividades Micro'!$G13="Micro",'Atividades Micro'!$K13&lt;&gt;""),'Atividades Micro'!$K13,"")</f>
        <v/>
      </c>
      <c r="CF14" s="21" t="str">
        <f>IF(AND('Atividades Micro'!$B13=CF$2,'Atividades Micro'!$G13="Micro",'Atividades Micro'!$K13&lt;&gt;""),'Atividades Micro'!$K13,"")</f>
        <v/>
      </c>
      <c r="CG14" s="21" t="str">
        <f>IF(AND('Atividades Micro'!$B13=CG$2,'Atividades Micro'!$G13="Micro",'Atividades Micro'!$K13&lt;&gt;""),'Atividades Micro'!$K13,"")</f>
        <v/>
      </c>
      <c r="CH14" s="21" t="str">
        <f>IF(AND('Atividades Micro'!$B13=CH$2,'Atividades Micro'!$G13="Micro",'Atividades Micro'!$K13&lt;&gt;""),'Atividades Micro'!$K13,"")</f>
        <v/>
      </c>
      <c r="CI14" s="21" t="str">
        <f>IF(AND('Atividades Micro'!$B13=CI$2,'Atividades Micro'!$G13="Micro",'Atividades Micro'!$K13&lt;&gt;""),'Atividades Micro'!$K13,"")</f>
        <v/>
      </c>
      <c r="CJ14" s="21" t="str">
        <f>IF(AND('Atividades Micro'!$B13=CJ$2,'Atividades Micro'!$G13="Micro",'Atividades Micro'!$K13&lt;&gt;""),'Atividades Micro'!$K13,"")</f>
        <v/>
      </c>
      <c r="CK14" s="21" t="str">
        <f>IF(AND('Atividades Micro'!$B13=CK$2,'Atividades Micro'!$G13="Micro",'Atividades Micro'!$K13&lt;&gt;""),'Atividades Micro'!$K13,"")</f>
        <v/>
      </c>
      <c r="CL14" s="21" t="str">
        <f>IF(AND('Atividades Micro'!$B13=CL$2,'Atividades Micro'!$G13="Micro",'Atividades Micro'!$K13&lt;&gt;""),'Atividades Micro'!$K13,"")</f>
        <v/>
      </c>
      <c r="CM14" s="21" t="str">
        <f>IF(AND('Atividades Micro'!$B13=CM$2,'Atividades Micro'!$G13="Micro",'Atividades Micro'!$K13&lt;&gt;""),'Atividades Micro'!$K13,"")</f>
        <v/>
      </c>
      <c r="CN14" s="21" t="str">
        <f>IF(AND('Atividades Micro'!$B13=CN$2,'Atividades Micro'!$G13="Micro",'Atividades Micro'!$K13&lt;&gt;""),'Atividades Micro'!$K13,"")</f>
        <v/>
      </c>
      <c r="CO14" s="21" t="str">
        <f>IF(AND('Atividades Micro'!$B13=CO$2,'Atividades Micro'!$G13="Micro",'Atividades Micro'!$K13&lt;&gt;""),'Atividades Micro'!$K13,"")</f>
        <v/>
      </c>
    </row>
    <row r="15" spans="1:93">
      <c r="A15" s="21">
        <f>IF(AND('Atividades Micro'!$A14=A$2,'Atividades Micro'!$K14&lt;&gt;""),'Atividades Micro'!$K14,"")</f>
        <v>46210</v>
      </c>
      <c r="B15" s="21" t="str">
        <f>IF(AND('Atividades Micro'!$A14=B$2,'Atividades Micro'!$L14&lt;&gt;""),'Atividades Micro'!$L14,"")</f>
        <v/>
      </c>
      <c r="C15" s="21" t="str">
        <f>IF(AND('Atividades Micro'!$A14=C$2,'Atividades Micro'!$K14&lt;&gt;""),'Atividades Micro'!$K14,"")</f>
        <v/>
      </c>
      <c r="D15" s="21" t="str">
        <f>IF(AND('Atividades Micro'!$A14=D$2,'Atividades Micro'!$L14&lt;&gt;""),'Atividades Micro'!$L14,"")</f>
        <v/>
      </c>
      <c r="E15" s="21" t="str">
        <f>IF(AND('Atividades Micro'!$A14=E$2,'Atividades Micro'!$K14&lt;&gt;""),'Atividades Micro'!$K14,"")</f>
        <v/>
      </c>
      <c r="F15" s="21" t="str">
        <f>IF(AND('Atividades Micro'!$A14=F$2,'Atividades Micro'!$L14&lt;&gt;""),'Atividades Micro'!$L14,"")</f>
        <v/>
      </c>
      <c r="G15" s="21" t="str">
        <f>IF(AND('Atividades Micro'!$A14=G$2,'Atividades Micro'!$K14&lt;&gt;""),'Atividades Micro'!$K14,"")</f>
        <v/>
      </c>
      <c r="H15" s="21" t="str">
        <f>IF(AND('Atividades Micro'!$A14=H$2,'Atividades Micro'!$L14&lt;&gt;""),'Atividades Micro'!$L14,"")</f>
        <v/>
      </c>
      <c r="I15" s="21" t="str">
        <f>IF(AND('Atividades Micro'!$A14=I$2,'Atividades Micro'!$K14&lt;&gt;""),'Atividades Micro'!$K14,"")</f>
        <v/>
      </c>
      <c r="J15" s="21" t="str">
        <f>IF(AND('Atividades Micro'!$A14=J$2,'Atividades Micro'!$L14&lt;&gt;""),'Atividades Micro'!$L14,"")</f>
        <v/>
      </c>
      <c r="K15" s="21" t="str">
        <f>IF(AND('Atividades Micro'!$B14=K$2,'Atividades Micro'!$K14&lt;&gt;""),'Atividades Micro'!$K14,"")</f>
        <v/>
      </c>
      <c r="L15" s="21" t="str">
        <f>IF(AND('Atividades Micro'!$B14=L$2,'Atividades Micro'!$L14&lt;&gt;""),'Atividades Micro'!$L14,"")</f>
        <v/>
      </c>
      <c r="M15" s="21" t="str">
        <f>IF(AND('Atividades Micro'!$B14=M$2,'Atividades Micro'!$K14&lt;&gt;""),'Atividades Micro'!$K14,"")</f>
        <v/>
      </c>
      <c r="N15" s="21" t="str">
        <f>IF(AND('Atividades Micro'!$B14=N$2,'Atividades Micro'!$L14&lt;&gt;""),'Atividades Micro'!$L14,"")</f>
        <v/>
      </c>
      <c r="O15" s="21" t="str">
        <f>IF(AND('Atividades Micro'!$A14=O$2,'Atividades Micro'!$K14&lt;&gt;""),'Atividades Micro'!$K14,"")</f>
        <v/>
      </c>
      <c r="P15" s="21" t="str">
        <f>IF(AND('Atividades Micro'!$A14=P$2,'Atividades Micro'!$L14&lt;&gt;""),'Atividades Micro'!$L14,"")</f>
        <v/>
      </c>
      <c r="Q15" s="21" t="str">
        <f>IF(AND('Atividades Micro'!$B14=Q$2,'Atividades Micro'!$K14&lt;&gt;""),'Atividades Micro'!$K14,"")</f>
        <v/>
      </c>
      <c r="R15" s="21" t="str">
        <f>IF(AND('Atividades Micro'!$B14=R$2,'Atividades Micro'!$L14&lt;&gt;""),'Atividades Micro'!$L14,"")</f>
        <v/>
      </c>
      <c r="S15" s="21" t="str">
        <f>IF(AND('Atividades Micro'!$A14=S$2,'Atividades Micro'!$K14&lt;&gt;""),'Atividades Micro'!$K14,"")</f>
        <v/>
      </c>
      <c r="T15" s="21" t="str">
        <f>IF(AND('Atividades Micro'!$A14=T$2,'Atividades Micro'!$L14&lt;&gt;""),'Atividades Micro'!$L14,"")</f>
        <v/>
      </c>
      <c r="U15" s="21" t="str">
        <f>IF(AND('Atividades Micro'!$B14=U$2,'Atividades Micro'!$K14&lt;&gt;""),'Atividades Micro'!$K14,"")</f>
        <v/>
      </c>
      <c r="V15" s="21" t="str">
        <f>IF(AND('Atividades Micro'!$B14=V$2,'Atividades Micro'!$L14&lt;&gt;""),'Atividades Micro'!$L14,"")</f>
        <v/>
      </c>
      <c r="W15" s="21" t="str">
        <f>IF(AND('Atividades Micro'!$B14=W$2,'Atividades Micro'!$K14&lt;&gt;""),'Atividades Micro'!$K14,"")</f>
        <v/>
      </c>
      <c r="X15" s="21" t="str">
        <f>IF(AND('Atividades Micro'!$B14=X$2,'Atividades Micro'!$L14&lt;&gt;""),'Atividades Micro'!$L14,"")</f>
        <v/>
      </c>
      <c r="Y15" s="21" t="str">
        <f>IF(AND('Atividades Micro'!$A14=Y$2,'Atividades Micro'!$K14&lt;&gt;""),'Atividades Micro'!$K14,"")</f>
        <v/>
      </c>
      <c r="Z15" s="21" t="str">
        <f>IF(AND('Atividades Micro'!$A14=Z$2,'Atividades Micro'!$L14&lt;&gt;""),'Atividades Micro'!$L14,"")</f>
        <v/>
      </c>
      <c r="AA15" s="21" t="str">
        <f>IF(AND('Atividades Micro'!$B14=AA$2,'Atividades Micro'!$K14&lt;&gt;""),'Atividades Micro'!$K14,"")</f>
        <v/>
      </c>
      <c r="AB15" s="21" t="str">
        <f>IF(AND('Atividades Micro'!$B14=AB$2,'Atividades Micro'!$L14&lt;&gt;""),'Atividades Micro'!$L14,"")</f>
        <v/>
      </c>
      <c r="AC15" s="21" t="str">
        <f>IF(AND('Atividades Micro'!$B14=AC$2,'Atividades Micro'!$K14&lt;&gt;""),'Atividades Micro'!$K14,"")</f>
        <v/>
      </c>
      <c r="AD15" s="21" t="str">
        <f>IF(AND('Atividades Micro'!$B14=AD$2,'Atividades Micro'!$L14&lt;&gt;""),'Atividades Micro'!$L14,"")</f>
        <v/>
      </c>
      <c r="AE15" s="21" t="str">
        <f>IF(AND('Atividades Micro'!$A14=AE$2,'Atividades Micro'!$K14&lt;&gt;""),'Atividades Micro'!$K14,"")</f>
        <v/>
      </c>
      <c r="AF15" s="21" t="str">
        <f>IF(AND('Atividades Micro'!$A14=AF$2,'Atividades Micro'!$L14&lt;&gt;""),'Atividades Micro'!$L14,"")</f>
        <v/>
      </c>
      <c r="AG15" s="21" t="str">
        <f>IF(AND('Atividades Micro'!$B14=AG$2,'Atividades Micro'!$K14&lt;&gt;""),'Atividades Micro'!$K14,"")</f>
        <v/>
      </c>
      <c r="AH15" s="21" t="str">
        <f>IF(AND('Atividades Micro'!$B14=AH$2,'Atividades Micro'!$L14&lt;&gt;""),'Atividades Micro'!$L14,"")</f>
        <v/>
      </c>
      <c r="AI15" s="21" t="str">
        <f>IF(AND('Atividades Micro'!$B14=AI$2,'Atividades Micro'!$K14&lt;&gt;""),'Atividades Micro'!$K14,"")</f>
        <v/>
      </c>
      <c r="AJ15" s="21" t="str">
        <f>IF(AND('Atividades Micro'!$B14=AJ$2,'Atividades Micro'!$L14&lt;&gt;""),'Atividades Micro'!$L14,"")</f>
        <v/>
      </c>
      <c r="AK15" s="21" t="str">
        <f>IF(AND('Atividades Micro'!$A14=AK$2,'Atividades Micro'!$K14&lt;&gt;""),'Atividades Micro'!$K14,"")</f>
        <v/>
      </c>
      <c r="AL15" s="21" t="str">
        <f>IF(AND('Atividades Micro'!$A14=AL$2,'Atividades Micro'!$L14&lt;&gt;""),'Atividades Micro'!$L14,"")</f>
        <v/>
      </c>
      <c r="AM15" s="21" t="str">
        <f>IF(AND('Atividades Micro'!$B14=AM$2,'Atividades Micro'!$K14&lt;&gt;""),'Atividades Micro'!$K14,"")</f>
        <v/>
      </c>
      <c r="AN15" s="21" t="str">
        <f>IF(AND('Atividades Micro'!$B14=AN$2,'Atividades Micro'!$L14&lt;&gt;""),'Atividades Micro'!$L14,"")</f>
        <v/>
      </c>
      <c r="AO15" s="21" t="str">
        <f>IF(AND('Atividades Micro'!$B14=AO$2,'Atividades Micro'!$K14&lt;&gt;""),'Atividades Micro'!$K14,"")</f>
        <v/>
      </c>
      <c r="AP15" s="21" t="str">
        <f>IF(AND('Atividades Micro'!$B14=AP$2,'Atividades Micro'!$L14&lt;&gt;""),'Atividades Micro'!$L14,"")</f>
        <v/>
      </c>
      <c r="AQ15" s="21" t="str">
        <f>IF(AND('Atividades Micro'!$A14=AQ$2,'Atividades Micro'!$K14&lt;&gt;""),'Atividades Micro'!$K14,"")</f>
        <v/>
      </c>
      <c r="AR15" s="21" t="str">
        <f>IF(AND('Atividades Micro'!$A14=AR$2,'Atividades Micro'!$L14&lt;&gt;""),'Atividades Micro'!$L14,"")</f>
        <v/>
      </c>
      <c r="AS15" s="21" t="str">
        <f>IF(AND('Atividades Micro'!$B14=AS$2,'Atividades Micro'!$K14&lt;&gt;""),'Atividades Micro'!$K14,"")</f>
        <v/>
      </c>
      <c r="AT15" s="21" t="str">
        <f>IF(AND('Atividades Micro'!$B14=AT$2,'Atividades Micro'!$L14&lt;&gt;""),'Atividades Micro'!$L14,"")</f>
        <v/>
      </c>
      <c r="AU15" s="21" t="str">
        <f>IF(AND('Atividades Micro'!$A14=AU$2,'Atividades Micro'!$K14&lt;&gt;""),'Atividades Micro'!$K14,"")</f>
        <v/>
      </c>
      <c r="AV15" s="21" t="str">
        <f>IF(AND('Atividades Micro'!$A14=AV$2,'Atividades Micro'!$L14&lt;&gt;""),'Atividades Micro'!$L14,"")</f>
        <v/>
      </c>
      <c r="AW15" s="21" t="str">
        <f>IF(AND('Atividades Micro'!$B14=AW$2,'Atividades Micro'!$K14&lt;&gt;""),'Atividades Micro'!$K14,"")</f>
        <v/>
      </c>
      <c r="AX15" s="21" t="str">
        <f>IF(AND('Atividades Micro'!$B14=AX$2,'Atividades Micro'!$L14&lt;&gt;""),'Atividades Micro'!$L14,"")</f>
        <v/>
      </c>
      <c r="AY15" s="21" t="str">
        <f>IF(AND('Atividades Micro'!$A14=AY$2,'Atividades Micro'!$K14&lt;&gt;""),'Atividades Micro'!$K14,"")</f>
        <v/>
      </c>
      <c r="AZ15" s="21" t="str">
        <f>IF(AND('Atividades Micro'!$A14=AZ$2,'Atividades Micro'!$L14&lt;&gt;""),'Atividades Micro'!$L14,"")</f>
        <v/>
      </c>
      <c r="BA15" s="21" t="str">
        <f>IF(AND('Atividades Micro'!$B14=BA$2,'Atividades Micro'!$K14&lt;&gt;""),'Atividades Micro'!$K14,"")</f>
        <v/>
      </c>
      <c r="BB15" s="21" t="str">
        <f>IF(AND('Atividades Micro'!$B14=BB$2,'Atividades Micro'!$L14&lt;&gt;""),'Atividades Micro'!$L14,"")</f>
        <v/>
      </c>
      <c r="BC15" s="21" t="str">
        <f>IF(AND('Atividades Micro'!$B14=BC$2,'Atividades Micro'!$G14="Macro",'Atividades Micro'!$K14&lt;&gt;""),'Atividades Micro'!$K14,"")</f>
        <v/>
      </c>
      <c r="BD15" s="21" t="str">
        <f>IF(AND('Atividades Micro'!$B14=BD$2,'Atividades Micro'!$G14="Macro",'Atividades Micro'!$K14&lt;&gt;""),'Atividades Micro'!$K14,"")</f>
        <v/>
      </c>
      <c r="BE15" s="21" t="str">
        <f>IF(AND('Atividades Micro'!$B14=BE$2,'Atividades Micro'!$G14="Macro",'Atividades Micro'!$K14&lt;&gt;""),'Atividades Micro'!$K14,"")</f>
        <v/>
      </c>
      <c r="BF15" s="21" t="str">
        <f>IF(AND('Atividades Micro'!$B14=BF$2,'Atividades Micro'!$G14="Macro",'Atividades Micro'!$K14&lt;&gt;""),'Atividades Micro'!$K14,"")</f>
        <v/>
      </c>
      <c r="BG15" s="21" t="str">
        <f>IF(AND('Atividades Micro'!$B14=BG$2,'Atividades Micro'!$G14="Macro",'Atividades Micro'!$K14&lt;&gt;""),'Atividades Micro'!$K14,"")</f>
        <v/>
      </c>
      <c r="BH15" s="21" t="str">
        <f>IF(AND('Atividades Micro'!$B14=BH$2,'Atividades Micro'!$G14="Macro",'Atividades Micro'!$K14&lt;&gt;""),'Atividades Micro'!$K14,"")</f>
        <v/>
      </c>
      <c r="BI15" s="21" t="str">
        <f>IF(AND('Atividades Micro'!$B14=BI$2,'Atividades Micro'!$G14="Macro",'Atividades Micro'!$K14&lt;&gt;""),'Atividades Micro'!$K14,"")</f>
        <v/>
      </c>
      <c r="BJ15" s="21" t="str">
        <f>IF(AND('Atividades Micro'!$B14=BJ$2,'Atividades Micro'!$G14="Macro",'Atividades Micro'!$K14&lt;&gt;""),'Atividades Micro'!$K14,"")</f>
        <v/>
      </c>
      <c r="BK15" s="21" t="str">
        <f>IF(AND('Atividades Micro'!$B14=BK$2,'Atividades Micro'!$G14="Macro",'Atividades Micro'!$K14&lt;&gt;""),'Atividades Micro'!$K14,"")</f>
        <v/>
      </c>
      <c r="BL15" s="21" t="str">
        <f>IF(AND('Atividades Micro'!$B14=BL$2,'Atividades Micro'!$G14="Macro",'Atividades Micro'!$K14&lt;&gt;""),'Atividades Micro'!$K14,"")</f>
        <v/>
      </c>
      <c r="BM15" s="21" t="str">
        <f>IF(AND('Atividades Micro'!$B14=BM$2,'Atividades Micro'!$G14="Macro",'Atividades Micro'!$K14&lt;&gt;""),'Atividades Micro'!$K14,"")</f>
        <v/>
      </c>
      <c r="BN15" s="21" t="str">
        <f>IF(AND('Atividades Micro'!$B14=BN$2,'Atividades Micro'!$G14="Macro",'Atividades Micro'!$K14&lt;&gt;""),'Atividades Micro'!$K14,"")</f>
        <v/>
      </c>
      <c r="BO15" s="21" t="str">
        <f>IF(AND('Atividades Micro'!$B14=BO$2,'Atividades Micro'!$G14="Macro",'Atividades Micro'!$K14&lt;&gt;""),'Atividades Micro'!$K14,"")</f>
        <v/>
      </c>
      <c r="BP15" s="21" t="str">
        <f>IF(AND('Atividades Micro'!$B14=BP$2,'Atividades Micro'!$G14="Macro",'Atividades Micro'!$K14&lt;&gt;""),'Atividades Micro'!$K14,"")</f>
        <v/>
      </c>
      <c r="BQ15" s="21" t="str">
        <f>IF(AND('Atividades Micro'!$B14=BQ$2,'Atividades Micro'!$G14="Macro",'Atividades Micro'!$K14&lt;&gt;""),'Atividades Micro'!$K14,"")</f>
        <v/>
      </c>
      <c r="BR15" s="21" t="str">
        <f>IF(AND('Atividades Micro'!$B14=BR$2,'Atividades Micro'!$G14="Macro",'Atividades Micro'!$K14&lt;&gt;""),'Atividades Micro'!$K14,"")</f>
        <v/>
      </c>
      <c r="BS15" s="21" t="str">
        <f>IF(AND('Atividades Micro'!$B14=BS$2,'Atividades Micro'!$G14="Macro",'Atividades Micro'!$K14&lt;&gt;""),'Atividades Micro'!$K14,"")</f>
        <v/>
      </c>
      <c r="BT15" s="21" t="str">
        <f>IF(AND('Atividades Micro'!$B14=BT$2,'Atividades Micro'!$G14="Macro",'Atividades Micro'!$K14&lt;&gt;""),'Atividades Micro'!$K14,"")</f>
        <v/>
      </c>
      <c r="BU15" s="21" t="str">
        <f>IF(AND('Atividades Micro'!$B14=BU$2,'Atividades Micro'!$G14="Macro",'Atividades Micro'!$K14&lt;&gt;""),'Atividades Micro'!$K14,"")</f>
        <v/>
      </c>
      <c r="BV15" s="21" t="str">
        <f>IF(AND('Atividades Micro'!$B14=BV$2,'Atividades Micro'!$G14="Macro",'Atividades Micro'!$K14&lt;&gt;""),'Atividades Micro'!$K14,"")</f>
        <v/>
      </c>
      <c r="BW15" s="21" t="str">
        <f>IF(AND('Atividades Micro'!$B14=BW$2,'Atividades Micro'!$G14="Macro",'Atividades Micro'!$K14&lt;&gt;""),'Atividades Micro'!$K14,"")</f>
        <v/>
      </c>
      <c r="BX15" s="21" t="str">
        <f>IF(AND('Atividades Micro'!$B14=BX$2,'Atividades Micro'!$G14="Macro",'Atividades Micro'!$K14&lt;&gt;""),'Atividades Micro'!$K14,"")</f>
        <v/>
      </c>
      <c r="BY15" s="21" t="str">
        <f>IF(AND('Atividades Micro'!$B14=BY$2,'Atividades Micro'!$G14="Macro",'Atividades Micro'!$K14&lt;&gt;""),'Atividades Micro'!$K14,"")</f>
        <v/>
      </c>
      <c r="BZ15" s="21" t="str">
        <f>IF(AND('Atividades Micro'!$B14=BZ$2,'Atividades Micro'!$G14="Macro",'Atividades Micro'!$K14&lt;&gt;""),'Atividades Micro'!$K14,"")</f>
        <v/>
      </c>
      <c r="CA15" s="21" t="str">
        <f>IF(AND('Atividades Micro'!$B14=CA$2,'Atividades Micro'!$G14="Macro",'Atividades Micro'!$K14&lt;&gt;""),'Atividades Micro'!$K14,"")</f>
        <v/>
      </c>
      <c r="CB15" s="21" t="str">
        <f>IF(AND('Atividades Micro'!$B14=CB$2,'Atividades Micro'!$G14="Macro",'Atividades Micro'!$K14&lt;&gt;""),'Atividades Micro'!$K14,"")</f>
        <v/>
      </c>
      <c r="CC15" s="21" t="str">
        <f>IF(AND('Atividades Micro'!$B14=CC$2,'Atividades Micro'!$G14="Macro",'Atividades Micro'!$K14&lt;&gt;""),'Atividades Micro'!$K14,"")</f>
        <v/>
      </c>
      <c r="CD15" s="21" t="str">
        <f>IF(AND('Atividades Micro'!$B14=CD$2,'Atividades Micro'!$G14="Micro",'Atividades Micro'!$K14&lt;&gt;""),'Atividades Micro'!$K14,"")</f>
        <v/>
      </c>
      <c r="CE15" s="21" t="str">
        <f>IF(AND('Atividades Micro'!$B14=CE$2,'Atividades Micro'!$G14="Micro",'Atividades Micro'!$K14&lt;&gt;""),'Atividades Micro'!$K14,"")</f>
        <v/>
      </c>
      <c r="CF15" s="21" t="str">
        <f>IF(AND('Atividades Micro'!$B14=CF$2,'Atividades Micro'!$G14="Micro",'Atividades Micro'!$K14&lt;&gt;""),'Atividades Micro'!$K14,"")</f>
        <v/>
      </c>
      <c r="CG15" s="21" t="str">
        <f>IF(AND('Atividades Micro'!$B14=CG$2,'Atividades Micro'!$G14="Micro",'Atividades Micro'!$K14&lt;&gt;""),'Atividades Micro'!$K14,"")</f>
        <v/>
      </c>
      <c r="CH15" s="21" t="str">
        <f>IF(AND('Atividades Micro'!$B14=CH$2,'Atividades Micro'!$G14="Micro",'Atividades Micro'!$K14&lt;&gt;""),'Atividades Micro'!$K14,"")</f>
        <v/>
      </c>
      <c r="CI15" s="21" t="str">
        <f>IF(AND('Atividades Micro'!$B14=CI$2,'Atividades Micro'!$G14="Micro",'Atividades Micro'!$K14&lt;&gt;""),'Atividades Micro'!$K14,"")</f>
        <v/>
      </c>
      <c r="CJ15" s="21" t="str">
        <f>IF(AND('Atividades Micro'!$B14=CJ$2,'Atividades Micro'!$G14="Micro",'Atividades Micro'!$K14&lt;&gt;""),'Atividades Micro'!$K14,"")</f>
        <v/>
      </c>
      <c r="CK15" s="21" t="str">
        <f>IF(AND('Atividades Micro'!$B14=CK$2,'Atividades Micro'!$G14="Micro",'Atividades Micro'!$K14&lt;&gt;""),'Atividades Micro'!$K14,"")</f>
        <v/>
      </c>
      <c r="CL15" s="21" t="str">
        <f>IF(AND('Atividades Micro'!$B14=CL$2,'Atividades Micro'!$G14="Micro",'Atividades Micro'!$K14&lt;&gt;""),'Atividades Micro'!$K14,"")</f>
        <v/>
      </c>
      <c r="CM15" s="21" t="str">
        <f>IF(AND('Atividades Micro'!$B14=CM$2,'Atividades Micro'!$G14="Micro",'Atividades Micro'!$K14&lt;&gt;""),'Atividades Micro'!$K14,"")</f>
        <v/>
      </c>
      <c r="CN15" s="21" t="str">
        <f>IF(AND('Atividades Micro'!$B14=CN$2,'Atividades Micro'!$G14="Micro",'Atividades Micro'!$K14&lt;&gt;""),'Atividades Micro'!$K14,"")</f>
        <v/>
      </c>
      <c r="CO15" s="21" t="str">
        <f>IF(AND('Atividades Micro'!$B14=CO$2,'Atividades Micro'!$G14="Micro",'Atividades Micro'!$K14&lt;&gt;""),'Atividades Micro'!$K14,"")</f>
        <v/>
      </c>
    </row>
    <row r="16" spans="1:93">
      <c r="A16" s="21" t="str">
        <f>IF(AND('Atividades Micro'!$A15=A$2,'Atividades Micro'!$K15&lt;&gt;""),'Atividades Micro'!$K15,"")</f>
        <v/>
      </c>
      <c r="B16" s="21" t="str">
        <f>IF(AND('Atividades Micro'!$A15=B$2,'Atividades Micro'!$L15&lt;&gt;""),'Atividades Micro'!$L15,"")</f>
        <v/>
      </c>
      <c r="C16" s="21" t="str">
        <f>IF(AND('Atividades Micro'!$A15=C$2,'Atividades Micro'!$K15&lt;&gt;""),'Atividades Micro'!$K15,"")</f>
        <v/>
      </c>
      <c r="D16" s="21" t="str">
        <f>IF(AND('Atividades Micro'!$A15=D$2,'Atividades Micro'!$L15&lt;&gt;""),'Atividades Micro'!$L15,"")</f>
        <v/>
      </c>
      <c r="E16" s="21" t="str">
        <f>IF(AND('Atividades Micro'!$A15=E$2,'Atividades Micro'!$K15&lt;&gt;""),'Atividades Micro'!$K15,"")</f>
        <v/>
      </c>
      <c r="F16" s="21" t="str">
        <f>IF(AND('Atividades Micro'!$A15=F$2,'Atividades Micro'!$L15&lt;&gt;""),'Atividades Micro'!$L15,"")</f>
        <v/>
      </c>
      <c r="G16" s="21" t="str">
        <f>IF(AND('Atividades Micro'!$A15=G$2,'Atividades Micro'!$K15&lt;&gt;""),'Atividades Micro'!$K15,"")</f>
        <v/>
      </c>
      <c r="H16" s="21" t="str">
        <f>IF(AND('Atividades Micro'!$A15=H$2,'Atividades Micro'!$L15&lt;&gt;""),'Atividades Micro'!$L15,"")</f>
        <v/>
      </c>
      <c r="I16" s="21">
        <f>IF(AND('Atividades Micro'!$A15=I$2,'Atividades Micro'!$K15&lt;&gt;""),'Atividades Micro'!$K15,"")</f>
        <v>46225</v>
      </c>
      <c r="J16" s="21" t="str">
        <f>IF(AND('Atividades Micro'!$A15=J$2,'Atividades Micro'!$L15&lt;&gt;""),'Atividades Micro'!$L15,"")</f>
        <v/>
      </c>
      <c r="K16" s="21">
        <f>IF(AND('Atividades Micro'!$B15=K$2,'Atividades Micro'!$K15&lt;&gt;""),'Atividades Micro'!$K15,"")</f>
        <v>46225</v>
      </c>
      <c r="L16" s="21" t="str">
        <f>IF(AND('Atividades Micro'!$B15=L$2,'Atividades Micro'!$L15&lt;&gt;""),'Atividades Micro'!$L15,"")</f>
        <v/>
      </c>
      <c r="M16" s="21" t="str">
        <f>IF(AND('Atividades Micro'!$B15=M$2,'Atividades Micro'!$K15&lt;&gt;""),'Atividades Micro'!$K15,"")</f>
        <v/>
      </c>
      <c r="N16" s="21" t="str">
        <f>IF(AND('Atividades Micro'!$B15=N$2,'Atividades Micro'!$L15&lt;&gt;""),'Atividades Micro'!$L15,"")</f>
        <v/>
      </c>
      <c r="O16" s="21" t="str">
        <f>IF(AND('Atividades Micro'!$A15=O$2,'Atividades Micro'!$K15&lt;&gt;""),'Atividades Micro'!$K15,"")</f>
        <v/>
      </c>
      <c r="P16" s="21" t="str">
        <f>IF(AND('Atividades Micro'!$A15=P$2,'Atividades Micro'!$L15&lt;&gt;""),'Atividades Micro'!$L15,"")</f>
        <v/>
      </c>
      <c r="Q16" s="21" t="str">
        <f>IF(AND('Atividades Micro'!$B15=Q$2,'Atividades Micro'!$K15&lt;&gt;""),'Atividades Micro'!$K15,"")</f>
        <v/>
      </c>
      <c r="R16" s="21" t="str">
        <f>IF(AND('Atividades Micro'!$B15=R$2,'Atividades Micro'!$L15&lt;&gt;""),'Atividades Micro'!$L15,"")</f>
        <v/>
      </c>
      <c r="S16" s="21" t="str">
        <f>IF(AND('Atividades Micro'!$A15=S$2,'Atividades Micro'!$K15&lt;&gt;""),'Atividades Micro'!$K15,"")</f>
        <v/>
      </c>
      <c r="T16" s="21" t="str">
        <f>IF(AND('Atividades Micro'!$A15=T$2,'Atividades Micro'!$L15&lt;&gt;""),'Atividades Micro'!$L15,"")</f>
        <v/>
      </c>
      <c r="U16" s="21" t="str">
        <f>IF(AND('Atividades Micro'!$B15=U$2,'Atividades Micro'!$K15&lt;&gt;""),'Atividades Micro'!$K15,"")</f>
        <v/>
      </c>
      <c r="V16" s="21" t="str">
        <f>IF(AND('Atividades Micro'!$B15=V$2,'Atividades Micro'!$L15&lt;&gt;""),'Atividades Micro'!$L15,"")</f>
        <v/>
      </c>
      <c r="W16" s="21" t="str">
        <f>IF(AND('Atividades Micro'!$B15=W$2,'Atividades Micro'!$K15&lt;&gt;""),'Atividades Micro'!$K15,"")</f>
        <v/>
      </c>
      <c r="X16" s="21" t="str">
        <f>IF(AND('Atividades Micro'!$B15=X$2,'Atividades Micro'!$L15&lt;&gt;""),'Atividades Micro'!$L15,"")</f>
        <v/>
      </c>
      <c r="Y16" s="21" t="str">
        <f>IF(AND('Atividades Micro'!$A15=Y$2,'Atividades Micro'!$K15&lt;&gt;""),'Atividades Micro'!$K15,"")</f>
        <v/>
      </c>
      <c r="Z16" s="21" t="str">
        <f>IF(AND('Atividades Micro'!$A15=Z$2,'Atividades Micro'!$L15&lt;&gt;""),'Atividades Micro'!$L15,"")</f>
        <v/>
      </c>
      <c r="AA16" s="21" t="str">
        <f>IF(AND('Atividades Micro'!$B15=AA$2,'Atividades Micro'!$K15&lt;&gt;""),'Atividades Micro'!$K15,"")</f>
        <v/>
      </c>
      <c r="AB16" s="21" t="str">
        <f>IF(AND('Atividades Micro'!$B15=AB$2,'Atividades Micro'!$L15&lt;&gt;""),'Atividades Micro'!$L15,"")</f>
        <v/>
      </c>
      <c r="AC16" s="21" t="str">
        <f>IF(AND('Atividades Micro'!$B15=AC$2,'Atividades Micro'!$K15&lt;&gt;""),'Atividades Micro'!$K15,"")</f>
        <v/>
      </c>
      <c r="AD16" s="21" t="str">
        <f>IF(AND('Atividades Micro'!$B15=AD$2,'Atividades Micro'!$L15&lt;&gt;""),'Atividades Micro'!$L15,"")</f>
        <v/>
      </c>
      <c r="AE16" s="21" t="str">
        <f>IF(AND('Atividades Micro'!$A15=AE$2,'Atividades Micro'!$K15&lt;&gt;""),'Atividades Micro'!$K15,"")</f>
        <v/>
      </c>
      <c r="AF16" s="21" t="str">
        <f>IF(AND('Atividades Micro'!$A15=AF$2,'Atividades Micro'!$L15&lt;&gt;""),'Atividades Micro'!$L15,"")</f>
        <v/>
      </c>
      <c r="AG16" s="21" t="str">
        <f>IF(AND('Atividades Micro'!$B15=AG$2,'Atividades Micro'!$K15&lt;&gt;""),'Atividades Micro'!$K15,"")</f>
        <v/>
      </c>
      <c r="AH16" s="21" t="str">
        <f>IF(AND('Atividades Micro'!$B15=AH$2,'Atividades Micro'!$L15&lt;&gt;""),'Atividades Micro'!$L15,"")</f>
        <v/>
      </c>
      <c r="AI16" s="21" t="str">
        <f>IF(AND('Atividades Micro'!$B15=AI$2,'Atividades Micro'!$K15&lt;&gt;""),'Atividades Micro'!$K15,"")</f>
        <v/>
      </c>
      <c r="AJ16" s="21" t="str">
        <f>IF(AND('Atividades Micro'!$B15=AJ$2,'Atividades Micro'!$L15&lt;&gt;""),'Atividades Micro'!$L15,"")</f>
        <v/>
      </c>
      <c r="AK16" s="21" t="str">
        <f>IF(AND('Atividades Micro'!$A15=AK$2,'Atividades Micro'!$K15&lt;&gt;""),'Atividades Micro'!$K15,"")</f>
        <v/>
      </c>
      <c r="AL16" s="21" t="str">
        <f>IF(AND('Atividades Micro'!$A15=AL$2,'Atividades Micro'!$L15&lt;&gt;""),'Atividades Micro'!$L15,"")</f>
        <v/>
      </c>
      <c r="AM16" s="21" t="str">
        <f>IF(AND('Atividades Micro'!$B15=AM$2,'Atividades Micro'!$K15&lt;&gt;""),'Atividades Micro'!$K15,"")</f>
        <v/>
      </c>
      <c r="AN16" s="21" t="str">
        <f>IF(AND('Atividades Micro'!$B15=AN$2,'Atividades Micro'!$L15&lt;&gt;""),'Atividades Micro'!$L15,"")</f>
        <v/>
      </c>
      <c r="AO16" s="21" t="str">
        <f>IF(AND('Atividades Micro'!$B15=AO$2,'Atividades Micro'!$K15&lt;&gt;""),'Atividades Micro'!$K15,"")</f>
        <v/>
      </c>
      <c r="AP16" s="21" t="str">
        <f>IF(AND('Atividades Micro'!$B15=AP$2,'Atividades Micro'!$L15&lt;&gt;""),'Atividades Micro'!$L15,"")</f>
        <v/>
      </c>
      <c r="AQ16" s="21" t="str">
        <f>IF(AND('Atividades Micro'!$A15=AQ$2,'Atividades Micro'!$K15&lt;&gt;""),'Atividades Micro'!$K15,"")</f>
        <v/>
      </c>
      <c r="AR16" s="21" t="str">
        <f>IF(AND('Atividades Micro'!$A15=AR$2,'Atividades Micro'!$L15&lt;&gt;""),'Atividades Micro'!$L15,"")</f>
        <v/>
      </c>
      <c r="AS16" s="21" t="str">
        <f>IF(AND('Atividades Micro'!$B15=AS$2,'Atividades Micro'!$K15&lt;&gt;""),'Atividades Micro'!$K15,"")</f>
        <v/>
      </c>
      <c r="AT16" s="21" t="str">
        <f>IF(AND('Atividades Micro'!$B15=AT$2,'Atividades Micro'!$L15&lt;&gt;""),'Atividades Micro'!$L15,"")</f>
        <v/>
      </c>
      <c r="AU16" s="21" t="str">
        <f>IF(AND('Atividades Micro'!$A15=AU$2,'Atividades Micro'!$K15&lt;&gt;""),'Atividades Micro'!$K15,"")</f>
        <v/>
      </c>
      <c r="AV16" s="21" t="str">
        <f>IF(AND('Atividades Micro'!$A15=AV$2,'Atividades Micro'!$L15&lt;&gt;""),'Atividades Micro'!$L15,"")</f>
        <v/>
      </c>
      <c r="AW16" s="21" t="str">
        <f>IF(AND('Atividades Micro'!$B15=AW$2,'Atividades Micro'!$K15&lt;&gt;""),'Atividades Micro'!$K15,"")</f>
        <v/>
      </c>
      <c r="AX16" s="21" t="str">
        <f>IF(AND('Atividades Micro'!$B15=AX$2,'Atividades Micro'!$L15&lt;&gt;""),'Atividades Micro'!$L15,"")</f>
        <v/>
      </c>
      <c r="AY16" s="21" t="str">
        <f>IF(AND('Atividades Micro'!$A15=AY$2,'Atividades Micro'!$K15&lt;&gt;""),'Atividades Micro'!$K15,"")</f>
        <v/>
      </c>
      <c r="AZ16" s="21" t="str">
        <f>IF(AND('Atividades Micro'!$A15=AZ$2,'Atividades Micro'!$L15&lt;&gt;""),'Atividades Micro'!$L15,"")</f>
        <v/>
      </c>
      <c r="BA16" s="21" t="str">
        <f>IF(AND('Atividades Micro'!$B15=BA$2,'Atividades Micro'!$K15&lt;&gt;""),'Atividades Micro'!$K15,"")</f>
        <v/>
      </c>
      <c r="BB16" s="21" t="str">
        <f>IF(AND('Atividades Micro'!$B15=BB$2,'Atividades Micro'!$L15&lt;&gt;""),'Atividades Micro'!$L15,"")</f>
        <v/>
      </c>
      <c r="BC16" s="21" t="str">
        <f>IF(AND('Atividades Micro'!$B15=BC$2,'Atividades Micro'!$G15="Macro",'Atividades Micro'!$K15&lt;&gt;""),'Atividades Micro'!$K15,"")</f>
        <v/>
      </c>
      <c r="BD16" s="21" t="str">
        <f>IF(AND('Atividades Micro'!$B15=BD$2,'Atividades Micro'!$G15="Macro",'Atividades Micro'!$K15&lt;&gt;""),'Atividades Micro'!$K15,"")</f>
        <v/>
      </c>
      <c r="BE16" s="21" t="str">
        <f>IF(AND('Atividades Micro'!$B15=BE$2,'Atividades Micro'!$G15="Macro",'Atividades Micro'!$K15&lt;&gt;""),'Atividades Micro'!$K15,"")</f>
        <v/>
      </c>
      <c r="BF16" s="21" t="str">
        <f>IF(AND('Atividades Micro'!$B15=BF$2,'Atividades Micro'!$G15="Macro",'Atividades Micro'!$K15&lt;&gt;""),'Atividades Micro'!$K15,"")</f>
        <v/>
      </c>
      <c r="BG16" s="21" t="str">
        <f>IF(AND('Atividades Micro'!$B15=BG$2,'Atividades Micro'!$G15="Macro",'Atividades Micro'!$K15&lt;&gt;""),'Atividades Micro'!$K15,"")</f>
        <v/>
      </c>
      <c r="BH16" s="21">
        <f>IF(AND('Atividades Micro'!$B15=BH$2,'Atividades Micro'!$G15="Macro",'Atividades Micro'!$K15&lt;&gt;""),'Atividades Micro'!$K15,"")</f>
        <v>46225</v>
      </c>
      <c r="BI16" s="21" t="str">
        <f>IF(AND('Atividades Micro'!$B15=BI$2,'Atividades Micro'!$G15="Macro",'Atividades Micro'!$K15&lt;&gt;""),'Atividades Micro'!$K15,"")</f>
        <v/>
      </c>
      <c r="BJ16" s="21" t="str">
        <f>IF(AND('Atividades Micro'!$B15=BJ$2,'Atividades Micro'!$G15="Macro",'Atividades Micro'!$K15&lt;&gt;""),'Atividades Micro'!$K15,"")</f>
        <v/>
      </c>
      <c r="BK16" s="21" t="str">
        <f>IF(AND('Atividades Micro'!$B15=BK$2,'Atividades Micro'!$G15="Macro",'Atividades Micro'!$K15&lt;&gt;""),'Atividades Micro'!$K15,"")</f>
        <v/>
      </c>
      <c r="BL16" s="21" t="str">
        <f>IF(AND('Atividades Micro'!$B15=BL$2,'Atividades Micro'!$G15="Macro",'Atividades Micro'!$K15&lt;&gt;""),'Atividades Micro'!$K15,"")</f>
        <v/>
      </c>
      <c r="BM16" s="21" t="str">
        <f>IF(AND('Atividades Micro'!$B15=BM$2,'Atividades Micro'!$G15="Macro",'Atividades Micro'!$K15&lt;&gt;""),'Atividades Micro'!$K15,"")</f>
        <v/>
      </c>
      <c r="BN16" s="21" t="str">
        <f>IF(AND('Atividades Micro'!$B15=BN$2,'Atividades Micro'!$G15="Macro",'Atividades Micro'!$K15&lt;&gt;""),'Atividades Micro'!$K15,"")</f>
        <v/>
      </c>
      <c r="BO16" s="21" t="str">
        <f>IF(AND('Atividades Micro'!$B15=BO$2,'Atividades Micro'!$G15="Macro",'Atividades Micro'!$K15&lt;&gt;""),'Atividades Micro'!$K15,"")</f>
        <v/>
      </c>
      <c r="BP16" s="21" t="str">
        <f>IF(AND('Atividades Micro'!$B15=BP$2,'Atividades Micro'!$G15="Macro",'Atividades Micro'!$K15&lt;&gt;""),'Atividades Micro'!$K15,"")</f>
        <v/>
      </c>
      <c r="BQ16" s="21" t="str">
        <f>IF(AND('Atividades Micro'!$B15=BQ$2,'Atividades Micro'!$G15="Macro",'Atividades Micro'!$K15&lt;&gt;""),'Atividades Micro'!$K15,"")</f>
        <v/>
      </c>
      <c r="BR16" s="21" t="str">
        <f>IF(AND('Atividades Micro'!$B15=BR$2,'Atividades Micro'!$G15="Macro",'Atividades Micro'!$K15&lt;&gt;""),'Atividades Micro'!$K15,"")</f>
        <v/>
      </c>
      <c r="BS16" s="21" t="str">
        <f>IF(AND('Atividades Micro'!$B15=BS$2,'Atividades Micro'!$G15="Macro",'Atividades Micro'!$K15&lt;&gt;""),'Atividades Micro'!$K15,"")</f>
        <v/>
      </c>
      <c r="BT16" s="21" t="str">
        <f>IF(AND('Atividades Micro'!$B15=BT$2,'Atividades Micro'!$G15="Macro",'Atividades Micro'!$K15&lt;&gt;""),'Atividades Micro'!$K15,"")</f>
        <v/>
      </c>
      <c r="BU16" s="21" t="str">
        <f>IF(AND('Atividades Micro'!$B15=BU$2,'Atividades Micro'!$G15="Macro",'Atividades Micro'!$K15&lt;&gt;""),'Atividades Micro'!$K15,"")</f>
        <v/>
      </c>
      <c r="BV16" s="21" t="str">
        <f>IF(AND('Atividades Micro'!$B15=BV$2,'Atividades Micro'!$G15="Macro",'Atividades Micro'!$K15&lt;&gt;""),'Atividades Micro'!$K15,"")</f>
        <v/>
      </c>
      <c r="BW16" s="21" t="str">
        <f>IF(AND('Atividades Micro'!$B15=BW$2,'Atividades Micro'!$G15="Macro",'Atividades Micro'!$K15&lt;&gt;""),'Atividades Micro'!$K15,"")</f>
        <v/>
      </c>
      <c r="BX16" s="21" t="str">
        <f>IF(AND('Atividades Micro'!$B15=BX$2,'Atividades Micro'!$G15="Macro",'Atividades Micro'!$K15&lt;&gt;""),'Atividades Micro'!$K15,"")</f>
        <v/>
      </c>
      <c r="BY16" s="21" t="str">
        <f>IF(AND('Atividades Micro'!$B15=BY$2,'Atividades Micro'!$G15="Macro",'Atividades Micro'!$K15&lt;&gt;""),'Atividades Micro'!$K15,"")</f>
        <v/>
      </c>
      <c r="BZ16" s="21" t="str">
        <f>IF(AND('Atividades Micro'!$B15=BZ$2,'Atividades Micro'!$G15="Macro",'Atividades Micro'!$K15&lt;&gt;""),'Atividades Micro'!$K15,"")</f>
        <v/>
      </c>
      <c r="CA16" s="21" t="str">
        <f>IF(AND('Atividades Micro'!$B15=CA$2,'Atividades Micro'!$G15="Macro",'Atividades Micro'!$K15&lt;&gt;""),'Atividades Micro'!$K15,"")</f>
        <v/>
      </c>
      <c r="CB16" s="21" t="str">
        <f>IF(AND('Atividades Micro'!$B15=CB$2,'Atividades Micro'!$G15="Macro",'Atividades Micro'!$K15&lt;&gt;""),'Atividades Micro'!$K15,"")</f>
        <v/>
      </c>
      <c r="CC16" s="21" t="str">
        <f>IF(AND('Atividades Micro'!$B15=CC$2,'Atividades Micro'!$G15="Macro",'Atividades Micro'!$K15&lt;&gt;""),'Atividades Micro'!$K15,"")</f>
        <v/>
      </c>
      <c r="CD16" s="21" t="str">
        <f>IF(AND('Atividades Micro'!$B15=CD$2,'Atividades Micro'!$G15="Micro",'Atividades Micro'!$K15&lt;&gt;""),'Atividades Micro'!$K15,"")</f>
        <v/>
      </c>
      <c r="CE16" s="21" t="str">
        <f>IF(AND('Atividades Micro'!$B15=CE$2,'Atividades Micro'!$G15="Micro",'Atividades Micro'!$K15&lt;&gt;""),'Atividades Micro'!$K15,"")</f>
        <v/>
      </c>
      <c r="CF16" s="21" t="str">
        <f>IF(AND('Atividades Micro'!$B15=CF$2,'Atividades Micro'!$G15="Micro",'Atividades Micro'!$K15&lt;&gt;""),'Atividades Micro'!$K15,"")</f>
        <v/>
      </c>
      <c r="CG16" s="21" t="str">
        <f>IF(AND('Atividades Micro'!$B15=CG$2,'Atividades Micro'!$G15="Micro",'Atividades Micro'!$K15&lt;&gt;""),'Atividades Micro'!$K15,"")</f>
        <v/>
      </c>
      <c r="CH16" s="21" t="str">
        <f>IF(AND('Atividades Micro'!$B15=CH$2,'Atividades Micro'!$G15="Micro",'Atividades Micro'!$K15&lt;&gt;""),'Atividades Micro'!$K15,"")</f>
        <v/>
      </c>
      <c r="CI16" s="21" t="str">
        <f>IF(AND('Atividades Micro'!$B15=CI$2,'Atividades Micro'!$G15="Micro",'Atividades Micro'!$K15&lt;&gt;""),'Atividades Micro'!$K15,"")</f>
        <v/>
      </c>
      <c r="CJ16" s="21" t="str">
        <f>IF(AND('Atividades Micro'!$B15=CJ$2,'Atividades Micro'!$G15="Micro",'Atividades Micro'!$K15&lt;&gt;""),'Atividades Micro'!$K15,"")</f>
        <v/>
      </c>
      <c r="CK16" s="21" t="str">
        <f>IF(AND('Atividades Micro'!$B15=CK$2,'Atividades Micro'!$G15="Micro",'Atividades Micro'!$K15&lt;&gt;""),'Atividades Micro'!$K15,"")</f>
        <v/>
      </c>
      <c r="CL16" s="21" t="str">
        <f>IF(AND('Atividades Micro'!$B15=CL$2,'Atividades Micro'!$G15="Micro",'Atividades Micro'!$K15&lt;&gt;""),'Atividades Micro'!$K15,"")</f>
        <v/>
      </c>
      <c r="CM16" s="21" t="str">
        <f>IF(AND('Atividades Micro'!$B15=CM$2,'Atividades Micro'!$G15="Micro",'Atividades Micro'!$K15&lt;&gt;""),'Atividades Micro'!$K15,"")</f>
        <v/>
      </c>
      <c r="CN16" s="21" t="str">
        <f>IF(AND('Atividades Micro'!$B15=CN$2,'Atividades Micro'!$G15="Micro",'Atividades Micro'!$K15&lt;&gt;""),'Atividades Micro'!$K15,"")</f>
        <v/>
      </c>
      <c r="CO16" s="21" t="str">
        <f>IF(AND('Atividades Micro'!$B15=CO$2,'Atividades Micro'!$G15="Micro",'Atividades Micro'!$K15&lt;&gt;""),'Atividades Micro'!$K15,"")</f>
        <v/>
      </c>
    </row>
    <row r="17" spans="1:93">
      <c r="A17" s="21" t="str">
        <f>IF(AND('Atividades Micro'!$A16=A$2,'Atividades Micro'!$K16&lt;&gt;""),'Atividades Micro'!$K16,"")</f>
        <v/>
      </c>
      <c r="B17" s="21" t="str">
        <f>IF(AND('Atividades Micro'!$A16=B$2,'Atividades Micro'!$L16&lt;&gt;""),'Atividades Micro'!$L16,"")</f>
        <v/>
      </c>
      <c r="C17" s="21" t="str">
        <f>IF(AND('Atividades Micro'!$A16=C$2,'Atividades Micro'!$K16&lt;&gt;""),'Atividades Micro'!$K16,"")</f>
        <v/>
      </c>
      <c r="D17" s="21" t="str">
        <f>IF(AND('Atividades Micro'!$A16=D$2,'Atividades Micro'!$L16&lt;&gt;""),'Atividades Micro'!$L16,"")</f>
        <v/>
      </c>
      <c r="E17" s="21" t="str">
        <f>IF(AND('Atividades Micro'!$A16=E$2,'Atividades Micro'!$K16&lt;&gt;""),'Atividades Micro'!$K16,"")</f>
        <v/>
      </c>
      <c r="F17" s="21" t="str">
        <f>IF(AND('Atividades Micro'!$A16=F$2,'Atividades Micro'!$L16&lt;&gt;""),'Atividades Micro'!$L16,"")</f>
        <v/>
      </c>
      <c r="G17" s="21" t="str">
        <f>IF(AND('Atividades Micro'!$A16=G$2,'Atividades Micro'!$K16&lt;&gt;""),'Atividades Micro'!$K16,"")</f>
        <v/>
      </c>
      <c r="H17" s="21" t="str">
        <f>IF(AND('Atividades Micro'!$A16=H$2,'Atividades Micro'!$L16&lt;&gt;""),'Atividades Micro'!$L16,"")</f>
        <v/>
      </c>
      <c r="I17" s="21">
        <f>IF(AND('Atividades Micro'!$A16=I$2,'Atividades Micro'!$K16&lt;&gt;""),'Atividades Micro'!$K16,"")</f>
        <v>46216</v>
      </c>
      <c r="J17" s="21">
        <f>IF(AND('Atividades Micro'!$A16=J$2,'Atividades Micro'!$L16&lt;&gt;""),'Atividades Micro'!$L16,"")</f>
        <v>46216</v>
      </c>
      <c r="K17" s="21">
        <f>IF(AND('Atividades Micro'!$B16=K$2,'Atividades Micro'!$K16&lt;&gt;""),'Atividades Micro'!$K16,"")</f>
        <v>46216</v>
      </c>
      <c r="L17" s="21">
        <f>IF(AND('Atividades Micro'!$B16=L$2,'Atividades Micro'!$L16&lt;&gt;""),'Atividades Micro'!$L16,"")</f>
        <v>46216</v>
      </c>
      <c r="M17" s="21" t="str">
        <f>IF(AND('Atividades Micro'!$B16=M$2,'Atividades Micro'!$K16&lt;&gt;""),'Atividades Micro'!$K16,"")</f>
        <v/>
      </c>
      <c r="N17" s="21" t="str">
        <f>IF(AND('Atividades Micro'!$B16=N$2,'Atividades Micro'!$L16&lt;&gt;""),'Atividades Micro'!$L16,"")</f>
        <v/>
      </c>
      <c r="O17" s="21" t="str">
        <f>IF(AND('Atividades Micro'!$A16=O$2,'Atividades Micro'!$K16&lt;&gt;""),'Atividades Micro'!$K16,"")</f>
        <v/>
      </c>
      <c r="P17" s="21" t="str">
        <f>IF(AND('Atividades Micro'!$A16=P$2,'Atividades Micro'!$L16&lt;&gt;""),'Atividades Micro'!$L16,"")</f>
        <v/>
      </c>
      <c r="Q17" s="21" t="str">
        <f>IF(AND('Atividades Micro'!$B16=Q$2,'Atividades Micro'!$K16&lt;&gt;""),'Atividades Micro'!$K16,"")</f>
        <v/>
      </c>
      <c r="R17" s="21" t="str">
        <f>IF(AND('Atividades Micro'!$B16=R$2,'Atividades Micro'!$L16&lt;&gt;""),'Atividades Micro'!$L16,"")</f>
        <v/>
      </c>
      <c r="S17" s="21" t="str">
        <f>IF(AND('Atividades Micro'!$A16=S$2,'Atividades Micro'!$K16&lt;&gt;""),'Atividades Micro'!$K16,"")</f>
        <v/>
      </c>
      <c r="T17" s="21" t="str">
        <f>IF(AND('Atividades Micro'!$A16=T$2,'Atividades Micro'!$L16&lt;&gt;""),'Atividades Micro'!$L16,"")</f>
        <v/>
      </c>
      <c r="U17" s="21" t="str">
        <f>IF(AND('Atividades Micro'!$B16=U$2,'Atividades Micro'!$K16&lt;&gt;""),'Atividades Micro'!$K16,"")</f>
        <v/>
      </c>
      <c r="V17" s="21" t="str">
        <f>IF(AND('Atividades Micro'!$B16=V$2,'Atividades Micro'!$L16&lt;&gt;""),'Atividades Micro'!$L16,"")</f>
        <v/>
      </c>
      <c r="W17" s="21" t="str">
        <f>IF(AND('Atividades Micro'!$B16=W$2,'Atividades Micro'!$K16&lt;&gt;""),'Atividades Micro'!$K16,"")</f>
        <v/>
      </c>
      <c r="X17" s="21" t="str">
        <f>IF(AND('Atividades Micro'!$B16=X$2,'Atividades Micro'!$L16&lt;&gt;""),'Atividades Micro'!$L16,"")</f>
        <v/>
      </c>
      <c r="Y17" s="21" t="str">
        <f>IF(AND('Atividades Micro'!$A16=Y$2,'Atividades Micro'!$K16&lt;&gt;""),'Atividades Micro'!$K16,"")</f>
        <v/>
      </c>
      <c r="Z17" s="21" t="str">
        <f>IF(AND('Atividades Micro'!$A16=Z$2,'Atividades Micro'!$L16&lt;&gt;""),'Atividades Micro'!$L16,"")</f>
        <v/>
      </c>
      <c r="AA17" s="21" t="str">
        <f>IF(AND('Atividades Micro'!$B16=AA$2,'Atividades Micro'!$K16&lt;&gt;""),'Atividades Micro'!$K16,"")</f>
        <v/>
      </c>
      <c r="AB17" s="21" t="str">
        <f>IF(AND('Atividades Micro'!$B16=AB$2,'Atividades Micro'!$L16&lt;&gt;""),'Atividades Micro'!$L16,"")</f>
        <v/>
      </c>
      <c r="AC17" s="21" t="str">
        <f>IF(AND('Atividades Micro'!$B16=AC$2,'Atividades Micro'!$K16&lt;&gt;""),'Atividades Micro'!$K16,"")</f>
        <v/>
      </c>
      <c r="AD17" s="21" t="str">
        <f>IF(AND('Atividades Micro'!$B16=AD$2,'Atividades Micro'!$L16&lt;&gt;""),'Atividades Micro'!$L16,"")</f>
        <v/>
      </c>
      <c r="AE17" s="21" t="str">
        <f>IF(AND('Atividades Micro'!$A16=AE$2,'Atividades Micro'!$K16&lt;&gt;""),'Atividades Micro'!$K16,"")</f>
        <v/>
      </c>
      <c r="AF17" s="21" t="str">
        <f>IF(AND('Atividades Micro'!$A16=AF$2,'Atividades Micro'!$L16&lt;&gt;""),'Atividades Micro'!$L16,"")</f>
        <v/>
      </c>
      <c r="AG17" s="21" t="str">
        <f>IF(AND('Atividades Micro'!$B16=AG$2,'Atividades Micro'!$K16&lt;&gt;""),'Atividades Micro'!$K16,"")</f>
        <v/>
      </c>
      <c r="AH17" s="21" t="str">
        <f>IF(AND('Atividades Micro'!$B16=AH$2,'Atividades Micro'!$L16&lt;&gt;""),'Atividades Micro'!$L16,"")</f>
        <v/>
      </c>
      <c r="AI17" s="21" t="str">
        <f>IF(AND('Atividades Micro'!$B16=AI$2,'Atividades Micro'!$K16&lt;&gt;""),'Atividades Micro'!$K16,"")</f>
        <v/>
      </c>
      <c r="AJ17" s="21" t="str">
        <f>IF(AND('Atividades Micro'!$B16=AJ$2,'Atividades Micro'!$L16&lt;&gt;""),'Atividades Micro'!$L16,"")</f>
        <v/>
      </c>
      <c r="AK17" s="21" t="str">
        <f>IF(AND('Atividades Micro'!$A16=AK$2,'Atividades Micro'!$K16&lt;&gt;""),'Atividades Micro'!$K16,"")</f>
        <v/>
      </c>
      <c r="AL17" s="21" t="str">
        <f>IF(AND('Atividades Micro'!$A16=AL$2,'Atividades Micro'!$L16&lt;&gt;""),'Atividades Micro'!$L16,"")</f>
        <v/>
      </c>
      <c r="AM17" s="21" t="str">
        <f>IF(AND('Atividades Micro'!$B16=AM$2,'Atividades Micro'!$K16&lt;&gt;""),'Atividades Micro'!$K16,"")</f>
        <v/>
      </c>
      <c r="AN17" s="21" t="str">
        <f>IF(AND('Atividades Micro'!$B16=AN$2,'Atividades Micro'!$L16&lt;&gt;""),'Atividades Micro'!$L16,"")</f>
        <v/>
      </c>
      <c r="AO17" s="21" t="str">
        <f>IF(AND('Atividades Micro'!$B16=AO$2,'Atividades Micro'!$K16&lt;&gt;""),'Atividades Micro'!$K16,"")</f>
        <v/>
      </c>
      <c r="AP17" s="21" t="str">
        <f>IF(AND('Atividades Micro'!$B16=AP$2,'Atividades Micro'!$L16&lt;&gt;""),'Atividades Micro'!$L16,"")</f>
        <v/>
      </c>
      <c r="AQ17" s="21" t="str">
        <f>IF(AND('Atividades Micro'!$A16=AQ$2,'Atividades Micro'!$K16&lt;&gt;""),'Atividades Micro'!$K16,"")</f>
        <v/>
      </c>
      <c r="AR17" s="21" t="str">
        <f>IF(AND('Atividades Micro'!$A16=AR$2,'Atividades Micro'!$L16&lt;&gt;""),'Atividades Micro'!$L16,"")</f>
        <v/>
      </c>
      <c r="AS17" s="21" t="str">
        <f>IF(AND('Atividades Micro'!$B16=AS$2,'Atividades Micro'!$K16&lt;&gt;""),'Atividades Micro'!$K16,"")</f>
        <v/>
      </c>
      <c r="AT17" s="21" t="str">
        <f>IF(AND('Atividades Micro'!$B16=AT$2,'Atividades Micro'!$L16&lt;&gt;""),'Atividades Micro'!$L16,"")</f>
        <v/>
      </c>
      <c r="AU17" s="21" t="str">
        <f>IF(AND('Atividades Micro'!$A16=AU$2,'Atividades Micro'!$K16&lt;&gt;""),'Atividades Micro'!$K16,"")</f>
        <v/>
      </c>
      <c r="AV17" s="21" t="str">
        <f>IF(AND('Atividades Micro'!$A16=AV$2,'Atividades Micro'!$L16&lt;&gt;""),'Atividades Micro'!$L16,"")</f>
        <v/>
      </c>
      <c r="AW17" s="21" t="str">
        <f>IF(AND('Atividades Micro'!$B16=AW$2,'Atividades Micro'!$K16&lt;&gt;""),'Atividades Micro'!$K16,"")</f>
        <v/>
      </c>
      <c r="AX17" s="21" t="str">
        <f>IF(AND('Atividades Micro'!$B16=AX$2,'Atividades Micro'!$L16&lt;&gt;""),'Atividades Micro'!$L16,"")</f>
        <v/>
      </c>
      <c r="AY17" s="21" t="str">
        <f>IF(AND('Atividades Micro'!$A16=AY$2,'Atividades Micro'!$K16&lt;&gt;""),'Atividades Micro'!$K16,"")</f>
        <v/>
      </c>
      <c r="AZ17" s="21" t="str">
        <f>IF(AND('Atividades Micro'!$A16=AZ$2,'Atividades Micro'!$L16&lt;&gt;""),'Atividades Micro'!$L16,"")</f>
        <v/>
      </c>
      <c r="BA17" s="21" t="str">
        <f>IF(AND('Atividades Micro'!$B16=BA$2,'Atividades Micro'!$K16&lt;&gt;""),'Atividades Micro'!$K16,"")</f>
        <v/>
      </c>
      <c r="BB17" s="21" t="str">
        <f>IF(AND('Atividades Micro'!$B16=BB$2,'Atividades Micro'!$L16&lt;&gt;""),'Atividades Micro'!$L16,"")</f>
        <v/>
      </c>
      <c r="BC17" s="21" t="str">
        <f>IF(AND('Atividades Micro'!$B16=BC$2,'Atividades Micro'!$G16="Macro",'Atividades Micro'!$K16&lt;&gt;""),'Atividades Micro'!$K16,"")</f>
        <v/>
      </c>
      <c r="BD17" s="21" t="str">
        <f>IF(AND('Atividades Micro'!$B16=BD$2,'Atividades Micro'!$G16="Macro",'Atividades Micro'!$K16&lt;&gt;""),'Atividades Micro'!$K16,"")</f>
        <v/>
      </c>
      <c r="BE17" s="21" t="str">
        <f>IF(AND('Atividades Micro'!$B16=BE$2,'Atividades Micro'!$G16="Macro",'Atividades Micro'!$K16&lt;&gt;""),'Atividades Micro'!$K16,"")</f>
        <v/>
      </c>
      <c r="BF17" s="21" t="str">
        <f>IF(AND('Atividades Micro'!$B16=BF$2,'Atividades Micro'!$G16="Macro",'Atividades Micro'!$K16&lt;&gt;""),'Atividades Micro'!$K16,"")</f>
        <v/>
      </c>
      <c r="BG17" s="21" t="str">
        <f>IF(AND('Atividades Micro'!$B16=BG$2,'Atividades Micro'!$G16="Macro",'Atividades Micro'!$K16&lt;&gt;""),'Atividades Micro'!$K16,"")</f>
        <v/>
      </c>
      <c r="BH17" s="21" t="str">
        <f>IF(AND('Atividades Micro'!$B16=BH$2,'Atividades Micro'!$G16="Macro",'Atividades Micro'!$K16&lt;&gt;""),'Atividades Micro'!$K16,"")</f>
        <v/>
      </c>
      <c r="BI17" s="21" t="str">
        <f>IF(AND('Atividades Micro'!$B16=BI$2,'Atividades Micro'!$G16="Macro",'Atividades Micro'!$K16&lt;&gt;""),'Atividades Micro'!$K16,"")</f>
        <v/>
      </c>
      <c r="BJ17" s="21" t="str">
        <f>IF(AND('Atividades Micro'!$B16=BJ$2,'Atividades Micro'!$G16="Macro",'Atividades Micro'!$K16&lt;&gt;""),'Atividades Micro'!$K16,"")</f>
        <v/>
      </c>
      <c r="BK17" s="21" t="str">
        <f>IF(AND('Atividades Micro'!$B16=BK$2,'Atividades Micro'!$G16="Macro",'Atividades Micro'!$K16&lt;&gt;""),'Atividades Micro'!$K16,"")</f>
        <v/>
      </c>
      <c r="BL17" s="21" t="str">
        <f>IF(AND('Atividades Micro'!$B16=BL$2,'Atividades Micro'!$G16="Macro",'Atividades Micro'!$K16&lt;&gt;""),'Atividades Micro'!$K16,"")</f>
        <v/>
      </c>
      <c r="BM17" s="21" t="str">
        <f>IF(AND('Atividades Micro'!$B16=BM$2,'Atividades Micro'!$G16="Macro",'Atividades Micro'!$K16&lt;&gt;""),'Atividades Micro'!$K16,"")</f>
        <v/>
      </c>
      <c r="BN17" s="21" t="str">
        <f>IF(AND('Atividades Micro'!$B16=BN$2,'Atividades Micro'!$G16="Macro",'Atividades Micro'!$K16&lt;&gt;""),'Atividades Micro'!$K16,"")</f>
        <v/>
      </c>
      <c r="BO17" s="21" t="str">
        <f>IF(AND('Atividades Micro'!$B16=BO$2,'Atividades Micro'!$G16="Macro",'Atividades Micro'!$K16&lt;&gt;""),'Atividades Micro'!$K16,"")</f>
        <v/>
      </c>
      <c r="BP17" s="21" t="str">
        <f>IF(AND('Atividades Micro'!$B16=BP$2,'Atividades Micro'!$G16="Macro",'Atividades Micro'!$K16&lt;&gt;""),'Atividades Micro'!$K16,"")</f>
        <v/>
      </c>
      <c r="BQ17" s="21" t="str">
        <f>IF(AND('Atividades Micro'!$B16=BQ$2,'Atividades Micro'!$G16="Macro",'Atividades Micro'!$K16&lt;&gt;""),'Atividades Micro'!$K16,"")</f>
        <v/>
      </c>
      <c r="BR17" s="21" t="str">
        <f>IF(AND('Atividades Micro'!$B16=BR$2,'Atividades Micro'!$G16="Macro",'Atividades Micro'!$K16&lt;&gt;""),'Atividades Micro'!$K16,"")</f>
        <v/>
      </c>
      <c r="BS17" s="21" t="str">
        <f>IF(AND('Atividades Micro'!$B16=BS$2,'Atividades Micro'!$G16="Macro",'Atividades Micro'!$K16&lt;&gt;""),'Atividades Micro'!$K16,"")</f>
        <v/>
      </c>
      <c r="BT17" s="21" t="str">
        <f>IF(AND('Atividades Micro'!$B16=BT$2,'Atividades Micro'!$G16="Macro",'Atividades Micro'!$K16&lt;&gt;""),'Atividades Micro'!$K16,"")</f>
        <v/>
      </c>
      <c r="BU17" s="21" t="str">
        <f>IF(AND('Atividades Micro'!$B16=BU$2,'Atividades Micro'!$G16="Macro",'Atividades Micro'!$K16&lt;&gt;""),'Atividades Micro'!$K16,"")</f>
        <v/>
      </c>
      <c r="BV17" s="21" t="str">
        <f>IF(AND('Atividades Micro'!$B16=BV$2,'Atividades Micro'!$G16="Macro",'Atividades Micro'!$K16&lt;&gt;""),'Atividades Micro'!$K16,"")</f>
        <v/>
      </c>
      <c r="BW17" s="21" t="str">
        <f>IF(AND('Atividades Micro'!$B16=BW$2,'Atividades Micro'!$G16="Macro",'Atividades Micro'!$K16&lt;&gt;""),'Atividades Micro'!$K16,"")</f>
        <v/>
      </c>
      <c r="BX17" s="21" t="str">
        <f>IF(AND('Atividades Micro'!$B16=BX$2,'Atividades Micro'!$G16="Macro",'Atividades Micro'!$K16&lt;&gt;""),'Atividades Micro'!$K16,"")</f>
        <v/>
      </c>
      <c r="BY17" s="21" t="str">
        <f>IF(AND('Atividades Micro'!$B16=BY$2,'Atividades Micro'!$G16="Macro",'Atividades Micro'!$K16&lt;&gt;""),'Atividades Micro'!$K16,"")</f>
        <v/>
      </c>
      <c r="BZ17" s="21" t="str">
        <f>IF(AND('Atividades Micro'!$B16=BZ$2,'Atividades Micro'!$G16="Macro",'Atividades Micro'!$K16&lt;&gt;""),'Atividades Micro'!$K16,"")</f>
        <v/>
      </c>
      <c r="CA17" s="21" t="str">
        <f>IF(AND('Atividades Micro'!$B16=CA$2,'Atividades Micro'!$G16="Macro",'Atividades Micro'!$K16&lt;&gt;""),'Atividades Micro'!$K16,"")</f>
        <v/>
      </c>
      <c r="CB17" s="21" t="str">
        <f>IF(AND('Atividades Micro'!$B16=CB$2,'Atividades Micro'!$G16="Macro",'Atividades Micro'!$K16&lt;&gt;""),'Atividades Micro'!$K16,"")</f>
        <v/>
      </c>
      <c r="CC17" s="21" t="str">
        <f>IF(AND('Atividades Micro'!$B16=CC$2,'Atividades Micro'!$G16="Macro",'Atividades Micro'!$K16&lt;&gt;""),'Atividades Micro'!$K16,"")</f>
        <v/>
      </c>
      <c r="CD17" s="21">
        <f>IF(AND('Atividades Micro'!$B16=CD$2,'Atividades Micro'!$G16="Micro",'Atividades Micro'!$K16&lt;&gt;""),'Atividades Micro'!$K16,"")</f>
        <v>46216</v>
      </c>
      <c r="CE17" s="21" t="str">
        <f>IF(AND('Atividades Micro'!$B16=CE$2,'Atividades Micro'!$G16="Micro",'Atividades Micro'!$K16&lt;&gt;""),'Atividades Micro'!$K16,"")</f>
        <v/>
      </c>
      <c r="CF17" s="21" t="str">
        <f>IF(AND('Atividades Micro'!$B16=CF$2,'Atividades Micro'!$G16="Micro",'Atividades Micro'!$K16&lt;&gt;""),'Atividades Micro'!$K16,"")</f>
        <v/>
      </c>
      <c r="CG17" s="21" t="str">
        <f>IF(AND('Atividades Micro'!$B16=CG$2,'Atividades Micro'!$G16="Micro",'Atividades Micro'!$K16&lt;&gt;""),'Atividades Micro'!$K16,"")</f>
        <v/>
      </c>
      <c r="CH17" s="21" t="str">
        <f>IF(AND('Atividades Micro'!$B16=CH$2,'Atividades Micro'!$G16="Micro",'Atividades Micro'!$K16&lt;&gt;""),'Atividades Micro'!$K16,"")</f>
        <v/>
      </c>
      <c r="CI17" s="21" t="str">
        <f>IF(AND('Atividades Micro'!$B16=CI$2,'Atividades Micro'!$G16="Micro",'Atividades Micro'!$K16&lt;&gt;""),'Atividades Micro'!$K16,"")</f>
        <v/>
      </c>
      <c r="CJ17" s="21" t="str">
        <f>IF(AND('Atividades Micro'!$B16=CJ$2,'Atividades Micro'!$G16="Micro",'Atividades Micro'!$K16&lt;&gt;""),'Atividades Micro'!$K16,"")</f>
        <v/>
      </c>
      <c r="CK17" s="21" t="str">
        <f>IF(AND('Atividades Micro'!$B16=CK$2,'Atividades Micro'!$G16="Micro",'Atividades Micro'!$K16&lt;&gt;""),'Atividades Micro'!$K16,"")</f>
        <v/>
      </c>
      <c r="CL17" s="21" t="str">
        <f>IF(AND('Atividades Micro'!$B16=CL$2,'Atividades Micro'!$G16="Micro",'Atividades Micro'!$K16&lt;&gt;""),'Atividades Micro'!$K16,"")</f>
        <v/>
      </c>
      <c r="CM17" s="21" t="str">
        <f>IF(AND('Atividades Micro'!$B16=CM$2,'Atividades Micro'!$G16="Micro",'Atividades Micro'!$K16&lt;&gt;""),'Atividades Micro'!$K16,"")</f>
        <v/>
      </c>
      <c r="CN17" s="21" t="str">
        <f>IF(AND('Atividades Micro'!$B16=CN$2,'Atividades Micro'!$G16="Micro",'Atividades Micro'!$K16&lt;&gt;""),'Atividades Micro'!$K16,"")</f>
        <v/>
      </c>
      <c r="CO17" s="21" t="str">
        <f>IF(AND('Atividades Micro'!$B16=CO$2,'Atividades Micro'!$G16="Micro",'Atividades Micro'!$K16&lt;&gt;""),'Atividades Micro'!$K16,"")</f>
        <v/>
      </c>
    </row>
    <row r="18" spans="1:93">
      <c r="A18" s="21" t="str">
        <f>IF(AND('Atividades Micro'!$A17=A$2,'Atividades Micro'!$K17&lt;&gt;""),'Atividades Micro'!$K17,"")</f>
        <v/>
      </c>
      <c r="B18" s="21" t="str">
        <f>IF(AND('Atividades Micro'!$A17=B$2,'Atividades Micro'!$L17&lt;&gt;""),'Atividades Micro'!$L17,"")</f>
        <v/>
      </c>
      <c r="C18" s="21" t="str">
        <f>IF(AND('Atividades Micro'!$A17=C$2,'Atividades Micro'!$K17&lt;&gt;""),'Atividades Micro'!$K17,"")</f>
        <v/>
      </c>
      <c r="D18" s="21" t="str">
        <f>IF(AND('Atividades Micro'!$A17=D$2,'Atividades Micro'!$L17&lt;&gt;""),'Atividades Micro'!$L17,"")</f>
        <v/>
      </c>
      <c r="E18" s="21" t="str">
        <f>IF(AND('Atividades Micro'!$A17=E$2,'Atividades Micro'!$K17&lt;&gt;""),'Atividades Micro'!$K17,"")</f>
        <v/>
      </c>
      <c r="F18" s="21" t="str">
        <f>IF(AND('Atividades Micro'!$A17=F$2,'Atividades Micro'!$L17&lt;&gt;""),'Atividades Micro'!$L17,"")</f>
        <v/>
      </c>
      <c r="G18" s="21" t="str">
        <f>IF(AND('Atividades Micro'!$A17=G$2,'Atividades Micro'!$K17&lt;&gt;""),'Atividades Micro'!$K17,"")</f>
        <v/>
      </c>
      <c r="H18" s="21" t="str">
        <f>IF(AND('Atividades Micro'!$A17=H$2,'Atividades Micro'!$L17&lt;&gt;""),'Atividades Micro'!$L17,"")</f>
        <v/>
      </c>
      <c r="I18" s="21">
        <f>IF(AND('Atividades Micro'!$A17=I$2,'Atividades Micro'!$K17&lt;&gt;""),'Atividades Micro'!$K17,"")</f>
        <v>46223</v>
      </c>
      <c r="J18" s="21">
        <f>IF(AND('Atividades Micro'!$A17=J$2,'Atividades Micro'!$L17&lt;&gt;""),'Atividades Micro'!$L17,"")</f>
        <v>46223</v>
      </c>
      <c r="K18" s="21">
        <f>IF(AND('Atividades Micro'!$B17=K$2,'Atividades Micro'!$K17&lt;&gt;""),'Atividades Micro'!$K17,"")</f>
        <v>46223</v>
      </c>
      <c r="L18" s="21">
        <f>IF(AND('Atividades Micro'!$B17=L$2,'Atividades Micro'!$L17&lt;&gt;""),'Atividades Micro'!$L17,"")</f>
        <v>46223</v>
      </c>
      <c r="M18" s="21" t="str">
        <f>IF(AND('Atividades Micro'!$B17=M$2,'Atividades Micro'!$K17&lt;&gt;""),'Atividades Micro'!$K17,"")</f>
        <v/>
      </c>
      <c r="N18" s="21" t="str">
        <f>IF(AND('Atividades Micro'!$B17=N$2,'Atividades Micro'!$L17&lt;&gt;""),'Atividades Micro'!$L17,"")</f>
        <v/>
      </c>
      <c r="O18" s="21" t="str">
        <f>IF(AND('Atividades Micro'!$A17=O$2,'Atividades Micro'!$K17&lt;&gt;""),'Atividades Micro'!$K17,"")</f>
        <v/>
      </c>
      <c r="P18" s="21" t="str">
        <f>IF(AND('Atividades Micro'!$A17=P$2,'Atividades Micro'!$L17&lt;&gt;""),'Atividades Micro'!$L17,"")</f>
        <v/>
      </c>
      <c r="Q18" s="21" t="str">
        <f>IF(AND('Atividades Micro'!$B17=Q$2,'Atividades Micro'!$K17&lt;&gt;""),'Atividades Micro'!$K17,"")</f>
        <v/>
      </c>
      <c r="R18" s="21" t="str">
        <f>IF(AND('Atividades Micro'!$B17=R$2,'Atividades Micro'!$L17&lt;&gt;""),'Atividades Micro'!$L17,"")</f>
        <v/>
      </c>
      <c r="S18" s="21" t="str">
        <f>IF(AND('Atividades Micro'!$A17=S$2,'Atividades Micro'!$K17&lt;&gt;""),'Atividades Micro'!$K17,"")</f>
        <v/>
      </c>
      <c r="T18" s="21" t="str">
        <f>IF(AND('Atividades Micro'!$A17=T$2,'Atividades Micro'!$L17&lt;&gt;""),'Atividades Micro'!$L17,"")</f>
        <v/>
      </c>
      <c r="U18" s="21" t="str">
        <f>IF(AND('Atividades Micro'!$B17=U$2,'Atividades Micro'!$K17&lt;&gt;""),'Atividades Micro'!$K17,"")</f>
        <v/>
      </c>
      <c r="V18" s="21" t="str">
        <f>IF(AND('Atividades Micro'!$B17=V$2,'Atividades Micro'!$L17&lt;&gt;""),'Atividades Micro'!$L17,"")</f>
        <v/>
      </c>
      <c r="W18" s="21" t="str">
        <f>IF(AND('Atividades Micro'!$B17=W$2,'Atividades Micro'!$K17&lt;&gt;""),'Atividades Micro'!$K17,"")</f>
        <v/>
      </c>
      <c r="X18" s="21" t="str">
        <f>IF(AND('Atividades Micro'!$B17=X$2,'Atividades Micro'!$L17&lt;&gt;""),'Atividades Micro'!$L17,"")</f>
        <v/>
      </c>
      <c r="Y18" s="21" t="str">
        <f>IF(AND('Atividades Micro'!$A17=Y$2,'Atividades Micro'!$K17&lt;&gt;""),'Atividades Micro'!$K17,"")</f>
        <v/>
      </c>
      <c r="Z18" s="21" t="str">
        <f>IF(AND('Atividades Micro'!$A17=Z$2,'Atividades Micro'!$L17&lt;&gt;""),'Atividades Micro'!$L17,"")</f>
        <v/>
      </c>
      <c r="AA18" s="21" t="str">
        <f>IF(AND('Atividades Micro'!$B17=AA$2,'Atividades Micro'!$K17&lt;&gt;""),'Atividades Micro'!$K17,"")</f>
        <v/>
      </c>
      <c r="AB18" s="21" t="str">
        <f>IF(AND('Atividades Micro'!$B17=AB$2,'Atividades Micro'!$L17&lt;&gt;""),'Atividades Micro'!$L17,"")</f>
        <v/>
      </c>
      <c r="AC18" s="21" t="str">
        <f>IF(AND('Atividades Micro'!$B17=AC$2,'Atividades Micro'!$K17&lt;&gt;""),'Atividades Micro'!$K17,"")</f>
        <v/>
      </c>
      <c r="AD18" s="21" t="str">
        <f>IF(AND('Atividades Micro'!$B17=AD$2,'Atividades Micro'!$L17&lt;&gt;""),'Atividades Micro'!$L17,"")</f>
        <v/>
      </c>
      <c r="AE18" s="21" t="str">
        <f>IF(AND('Atividades Micro'!$A17=AE$2,'Atividades Micro'!$K17&lt;&gt;""),'Atividades Micro'!$K17,"")</f>
        <v/>
      </c>
      <c r="AF18" s="21" t="str">
        <f>IF(AND('Atividades Micro'!$A17=AF$2,'Atividades Micro'!$L17&lt;&gt;""),'Atividades Micro'!$L17,"")</f>
        <v/>
      </c>
      <c r="AG18" s="21" t="str">
        <f>IF(AND('Atividades Micro'!$B17=AG$2,'Atividades Micro'!$K17&lt;&gt;""),'Atividades Micro'!$K17,"")</f>
        <v/>
      </c>
      <c r="AH18" s="21" t="str">
        <f>IF(AND('Atividades Micro'!$B17=AH$2,'Atividades Micro'!$L17&lt;&gt;""),'Atividades Micro'!$L17,"")</f>
        <v/>
      </c>
      <c r="AI18" s="21" t="str">
        <f>IF(AND('Atividades Micro'!$B17=AI$2,'Atividades Micro'!$K17&lt;&gt;""),'Atividades Micro'!$K17,"")</f>
        <v/>
      </c>
      <c r="AJ18" s="21" t="str">
        <f>IF(AND('Atividades Micro'!$B17=AJ$2,'Atividades Micro'!$L17&lt;&gt;""),'Atividades Micro'!$L17,"")</f>
        <v/>
      </c>
      <c r="AK18" s="21" t="str">
        <f>IF(AND('Atividades Micro'!$A17=AK$2,'Atividades Micro'!$K17&lt;&gt;""),'Atividades Micro'!$K17,"")</f>
        <v/>
      </c>
      <c r="AL18" s="21" t="str">
        <f>IF(AND('Atividades Micro'!$A17=AL$2,'Atividades Micro'!$L17&lt;&gt;""),'Atividades Micro'!$L17,"")</f>
        <v/>
      </c>
      <c r="AM18" s="21" t="str">
        <f>IF(AND('Atividades Micro'!$B17=AM$2,'Atividades Micro'!$K17&lt;&gt;""),'Atividades Micro'!$K17,"")</f>
        <v/>
      </c>
      <c r="AN18" s="21" t="str">
        <f>IF(AND('Atividades Micro'!$B17=AN$2,'Atividades Micro'!$L17&lt;&gt;""),'Atividades Micro'!$L17,"")</f>
        <v/>
      </c>
      <c r="AO18" s="21" t="str">
        <f>IF(AND('Atividades Micro'!$B17=AO$2,'Atividades Micro'!$K17&lt;&gt;""),'Atividades Micro'!$K17,"")</f>
        <v/>
      </c>
      <c r="AP18" s="21" t="str">
        <f>IF(AND('Atividades Micro'!$B17=AP$2,'Atividades Micro'!$L17&lt;&gt;""),'Atividades Micro'!$L17,"")</f>
        <v/>
      </c>
      <c r="AQ18" s="21" t="str">
        <f>IF(AND('Atividades Micro'!$A17=AQ$2,'Atividades Micro'!$K17&lt;&gt;""),'Atividades Micro'!$K17,"")</f>
        <v/>
      </c>
      <c r="AR18" s="21" t="str">
        <f>IF(AND('Atividades Micro'!$A17=AR$2,'Atividades Micro'!$L17&lt;&gt;""),'Atividades Micro'!$L17,"")</f>
        <v/>
      </c>
      <c r="AS18" s="21" t="str">
        <f>IF(AND('Atividades Micro'!$B17=AS$2,'Atividades Micro'!$K17&lt;&gt;""),'Atividades Micro'!$K17,"")</f>
        <v/>
      </c>
      <c r="AT18" s="21" t="str">
        <f>IF(AND('Atividades Micro'!$B17=AT$2,'Atividades Micro'!$L17&lt;&gt;""),'Atividades Micro'!$L17,"")</f>
        <v/>
      </c>
      <c r="AU18" s="21" t="str">
        <f>IF(AND('Atividades Micro'!$A17=AU$2,'Atividades Micro'!$K17&lt;&gt;""),'Atividades Micro'!$K17,"")</f>
        <v/>
      </c>
      <c r="AV18" s="21" t="str">
        <f>IF(AND('Atividades Micro'!$A17=AV$2,'Atividades Micro'!$L17&lt;&gt;""),'Atividades Micro'!$L17,"")</f>
        <v/>
      </c>
      <c r="AW18" s="21" t="str">
        <f>IF(AND('Atividades Micro'!$B17=AW$2,'Atividades Micro'!$K17&lt;&gt;""),'Atividades Micro'!$K17,"")</f>
        <v/>
      </c>
      <c r="AX18" s="21" t="str">
        <f>IF(AND('Atividades Micro'!$B17=AX$2,'Atividades Micro'!$L17&lt;&gt;""),'Atividades Micro'!$L17,"")</f>
        <v/>
      </c>
      <c r="AY18" s="21" t="str">
        <f>IF(AND('Atividades Micro'!$A17=AY$2,'Atividades Micro'!$K17&lt;&gt;""),'Atividades Micro'!$K17,"")</f>
        <v/>
      </c>
      <c r="AZ18" s="21" t="str">
        <f>IF(AND('Atividades Micro'!$A17=AZ$2,'Atividades Micro'!$L17&lt;&gt;""),'Atividades Micro'!$L17,"")</f>
        <v/>
      </c>
      <c r="BA18" s="21" t="str">
        <f>IF(AND('Atividades Micro'!$B17=BA$2,'Atividades Micro'!$K17&lt;&gt;""),'Atividades Micro'!$K17,"")</f>
        <v/>
      </c>
      <c r="BB18" s="21" t="str">
        <f>IF(AND('Atividades Micro'!$B17=BB$2,'Atividades Micro'!$L17&lt;&gt;""),'Atividades Micro'!$L17,"")</f>
        <v/>
      </c>
      <c r="BC18" s="21" t="str">
        <f>IF(AND('Atividades Micro'!$B17=BC$2,'Atividades Micro'!$G17="Macro",'Atividades Micro'!$K17&lt;&gt;""),'Atividades Micro'!$K17,"")</f>
        <v/>
      </c>
      <c r="BD18" s="21" t="str">
        <f>IF(AND('Atividades Micro'!$B17=BD$2,'Atividades Micro'!$G17="Macro",'Atividades Micro'!$K17&lt;&gt;""),'Atividades Micro'!$K17,"")</f>
        <v/>
      </c>
      <c r="BE18" s="21" t="str">
        <f>IF(AND('Atividades Micro'!$B17=BE$2,'Atividades Micro'!$G17="Macro",'Atividades Micro'!$K17&lt;&gt;""),'Atividades Micro'!$K17,"")</f>
        <v/>
      </c>
      <c r="BF18" s="21" t="str">
        <f>IF(AND('Atividades Micro'!$B17=BF$2,'Atividades Micro'!$G17="Macro",'Atividades Micro'!$K17&lt;&gt;""),'Atividades Micro'!$K17,"")</f>
        <v/>
      </c>
      <c r="BG18" s="21" t="str">
        <f>IF(AND('Atividades Micro'!$B17=BG$2,'Atividades Micro'!$G17="Macro",'Atividades Micro'!$K17&lt;&gt;""),'Atividades Micro'!$K17,"")</f>
        <v/>
      </c>
      <c r="BH18" s="21" t="str">
        <f>IF(AND('Atividades Micro'!$B17=BH$2,'Atividades Micro'!$G17="Macro",'Atividades Micro'!$K17&lt;&gt;""),'Atividades Micro'!$K17,"")</f>
        <v/>
      </c>
      <c r="BI18" s="21" t="str">
        <f>IF(AND('Atividades Micro'!$B17=BI$2,'Atividades Micro'!$G17="Macro",'Atividades Micro'!$K17&lt;&gt;""),'Atividades Micro'!$K17,"")</f>
        <v/>
      </c>
      <c r="BJ18" s="21" t="str">
        <f>IF(AND('Atividades Micro'!$B17=BJ$2,'Atividades Micro'!$G17="Macro",'Atividades Micro'!$K17&lt;&gt;""),'Atividades Micro'!$K17,"")</f>
        <v/>
      </c>
      <c r="BK18" s="21" t="str">
        <f>IF(AND('Atividades Micro'!$B17=BK$2,'Atividades Micro'!$G17="Macro",'Atividades Micro'!$K17&lt;&gt;""),'Atividades Micro'!$K17,"")</f>
        <v/>
      </c>
      <c r="BL18" s="21" t="str">
        <f>IF(AND('Atividades Micro'!$B17=BL$2,'Atividades Micro'!$G17="Macro",'Atividades Micro'!$K17&lt;&gt;""),'Atividades Micro'!$K17,"")</f>
        <v/>
      </c>
      <c r="BM18" s="21" t="str">
        <f>IF(AND('Atividades Micro'!$B17=BM$2,'Atividades Micro'!$G17="Macro",'Atividades Micro'!$K17&lt;&gt;""),'Atividades Micro'!$K17,"")</f>
        <v/>
      </c>
      <c r="BN18" s="21" t="str">
        <f>IF(AND('Atividades Micro'!$B17=BN$2,'Atividades Micro'!$G17="Macro",'Atividades Micro'!$K17&lt;&gt;""),'Atividades Micro'!$K17,"")</f>
        <v/>
      </c>
      <c r="BO18" s="21" t="str">
        <f>IF(AND('Atividades Micro'!$B17=BO$2,'Atividades Micro'!$G17="Macro",'Atividades Micro'!$K17&lt;&gt;""),'Atividades Micro'!$K17,"")</f>
        <v/>
      </c>
      <c r="BP18" s="21" t="str">
        <f>IF(AND('Atividades Micro'!$B17=BP$2,'Atividades Micro'!$G17="Macro",'Atividades Micro'!$K17&lt;&gt;""),'Atividades Micro'!$K17,"")</f>
        <v/>
      </c>
      <c r="BQ18" s="21" t="str">
        <f>IF(AND('Atividades Micro'!$B17=BQ$2,'Atividades Micro'!$G17="Macro",'Atividades Micro'!$K17&lt;&gt;""),'Atividades Micro'!$K17,"")</f>
        <v/>
      </c>
      <c r="BR18" s="21" t="str">
        <f>IF(AND('Atividades Micro'!$B17=BR$2,'Atividades Micro'!$G17="Macro",'Atividades Micro'!$K17&lt;&gt;""),'Atividades Micro'!$K17,"")</f>
        <v/>
      </c>
      <c r="BS18" s="21" t="str">
        <f>IF(AND('Atividades Micro'!$B17=BS$2,'Atividades Micro'!$G17="Macro",'Atividades Micro'!$K17&lt;&gt;""),'Atividades Micro'!$K17,"")</f>
        <v/>
      </c>
      <c r="BT18" s="21" t="str">
        <f>IF(AND('Atividades Micro'!$B17=BT$2,'Atividades Micro'!$G17="Macro",'Atividades Micro'!$K17&lt;&gt;""),'Atividades Micro'!$K17,"")</f>
        <v/>
      </c>
      <c r="BU18" s="21" t="str">
        <f>IF(AND('Atividades Micro'!$B17=BU$2,'Atividades Micro'!$G17="Macro",'Atividades Micro'!$K17&lt;&gt;""),'Atividades Micro'!$K17,"")</f>
        <v/>
      </c>
      <c r="BV18" s="21" t="str">
        <f>IF(AND('Atividades Micro'!$B17=BV$2,'Atividades Micro'!$G17="Macro",'Atividades Micro'!$K17&lt;&gt;""),'Atividades Micro'!$K17,"")</f>
        <v/>
      </c>
      <c r="BW18" s="21" t="str">
        <f>IF(AND('Atividades Micro'!$B17=BW$2,'Atividades Micro'!$G17="Macro",'Atividades Micro'!$K17&lt;&gt;""),'Atividades Micro'!$K17,"")</f>
        <v/>
      </c>
      <c r="BX18" s="21" t="str">
        <f>IF(AND('Atividades Micro'!$B17=BX$2,'Atividades Micro'!$G17="Macro",'Atividades Micro'!$K17&lt;&gt;""),'Atividades Micro'!$K17,"")</f>
        <v/>
      </c>
      <c r="BY18" s="21" t="str">
        <f>IF(AND('Atividades Micro'!$B17=BY$2,'Atividades Micro'!$G17="Macro",'Atividades Micro'!$K17&lt;&gt;""),'Atividades Micro'!$K17,"")</f>
        <v/>
      </c>
      <c r="BZ18" s="21" t="str">
        <f>IF(AND('Atividades Micro'!$B17=BZ$2,'Atividades Micro'!$G17="Macro",'Atividades Micro'!$K17&lt;&gt;""),'Atividades Micro'!$K17,"")</f>
        <v/>
      </c>
      <c r="CA18" s="21" t="str">
        <f>IF(AND('Atividades Micro'!$B17=CA$2,'Atividades Micro'!$G17="Macro",'Atividades Micro'!$K17&lt;&gt;""),'Atividades Micro'!$K17,"")</f>
        <v/>
      </c>
      <c r="CB18" s="21" t="str">
        <f>IF(AND('Atividades Micro'!$B17=CB$2,'Atividades Micro'!$G17="Macro",'Atividades Micro'!$K17&lt;&gt;""),'Atividades Micro'!$K17,"")</f>
        <v/>
      </c>
      <c r="CC18" s="21" t="str">
        <f>IF(AND('Atividades Micro'!$B17=CC$2,'Atividades Micro'!$G17="Macro",'Atividades Micro'!$K17&lt;&gt;""),'Atividades Micro'!$K17,"")</f>
        <v/>
      </c>
      <c r="CD18" s="21">
        <f>IF(AND('Atividades Micro'!$B17=CD$2,'Atividades Micro'!$G17="Micro",'Atividades Micro'!$K17&lt;&gt;""),'Atividades Micro'!$K17,"")</f>
        <v>46223</v>
      </c>
      <c r="CE18" s="21" t="str">
        <f>IF(AND('Atividades Micro'!$B17=CE$2,'Atividades Micro'!$G17="Micro",'Atividades Micro'!$K17&lt;&gt;""),'Atividades Micro'!$K17,"")</f>
        <v/>
      </c>
      <c r="CF18" s="21" t="str">
        <f>IF(AND('Atividades Micro'!$B17=CF$2,'Atividades Micro'!$G17="Micro",'Atividades Micro'!$K17&lt;&gt;""),'Atividades Micro'!$K17,"")</f>
        <v/>
      </c>
      <c r="CG18" s="21" t="str">
        <f>IF(AND('Atividades Micro'!$B17=CG$2,'Atividades Micro'!$G17="Micro",'Atividades Micro'!$K17&lt;&gt;""),'Atividades Micro'!$K17,"")</f>
        <v/>
      </c>
      <c r="CH18" s="21" t="str">
        <f>IF(AND('Atividades Micro'!$B17=CH$2,'Atividades Micro'!$G17="Micro",'Atividades Micro'!$K17&lt;&gt;""),'Atividades Micro'!$K17,"")</f>
        <v/>
      </c>
      <c r="CI18" s="21" t="str">
        <f>IF(AND('Atividades Micro'!$B17=CI$2,'Atividades Micro'!$G17="Micro",'Atividades Micro'!$K17&lt;&gt;""),'Atividades Micro'!$K17,"")</f>
        <v/>
      </c>
      <c r="CJ18" s="21" t="str">
        <f>IF(AND('Atividades Micro'!$B17=CJ$2,'Atividades Micro'!$G17="Micro",'Atividades Micro'!$K17&lt;&gt;""),'Atividades Micro'!$K17,"")</f>
        <v/>
      </c>
      <c r="CK18" s="21" t="str">
        <f>IF(AND('Atividades Micro'!$B17=CK$2,'Atividades Micro'!$G17="Micro",'Atividades Micro'!$K17&lt;&gt;""),'Atividades Micro'!$K17,"")</f>
        <v/>
      </c>
      <c r="CL18" s="21" t="str">
        <f>IF(AND('Atividades Micro'!$B17=CL$2,'Atividades Micro'!$G17="Micro",'Atividades Micro'!$K17&lt;&gt;""),'Atividades Micro'!$K17,"")</f>
        <v/>
      </c>
      <c r="CM18" s="21" t="str">
        <f>IF(AND('Atividades Micro'!$B17=CM$2,'Atividades Micro'!$G17="Micro",'Atividades Micro'!$K17&lt;&gt;""),'Atividades Micro'!$K17,"")</f>
        <v/>
      </c>
      <c r="CN18" s="21" t="str">
        <f>IF(AND('Atividades Micro'!$B17=CN$2,'Atividades Micro'!$G17="Micro",'Atividades Micro'!$K17&lt;&gt;""),'Atividades Micro'!$K17,"")</f>
        <v/>
      </c>
      <c r="CO18" s="21" t="str">
        <f>IF(AND('Atividades Micro'!$B17=CO$2,'Atividades Micro'!$G17="Micro",'Atividades Micro'!$K17&lt;&gt;""),'Atividades Micro'!$K17,"")</f>
        <v/>
      </c>
    </row>
    <row r="19" spans="1:93">
      <c r="A19" s="21" t="str">
        <f>IF(AND('Atividades Micro'!$A18=A$2,'Atividades Micro'!$K18&lt;&gt;""),'Atividades Micro'!$K18,"")</f>
        <v/>
      </c>
      <c r="B19" s="21" t="str">
        <f>IF(AND('Atividades Micro'!$A18=B$2,'Atividades Micro'!$L18&lt;&gt;""),'Atividades Micro'!$L18,"")</f>
        <v/>
      </c>
      <c r="C19" s="21" t="str">
        <f>IF(AND('Atividades Micro'!$A18=C$2,'Atividades Micro'!$K18&lt;&gt;""),'Atividades Micro'!$K18,"")</f>
        <v/>
      </c>
      <c r="D19" s="21" t="str">
        <f>IF(AND('Atividades Micro'!$A18=D$2,'Atividades Micro'!$L18&lt;&gt;""),'Atividades Micro'!$L18,"")</f>
        <v/>
      </c>
      <c r="E19" s="21" t="str">
        <f>IF(AND('Atividades Micro'!$A18=E$2,'Atividades Micro'!$K18&lt;&gt;""),'Atividades Micro'!$K18,"")</f>
        <v/>
      </c>
      <c r="F19" s="21" t="str">
        <f>IF(AND('Atividades Micro'!$A18=F$2,'Atividades Micro'!$L18&lt;&gt;""),'Atividades Micro'!$L18,"")</f>
        <v/>
      </c>
      <c r="G19" s="21" t="str">
        <f>IF(AND('Atividades Micro'!$A18=G$2,'Atividades Micro'!$K18&lt;&gt;""),'Atividades Micro'!$K18,"")</f>
        <v/>
      </c>
      <c r="H19" s="21" t="str">
        <f>IF(AND('Atividades Micro'!$A18=H$2,'Atividades Micro'!$L18&lt;&gt;""),'Atividades Micro'!$L18,"")</f>
        <v/>
      </c>
      <c r="I19" s="21">
        <f>IF(AND('Atividades Micro'!$A18=I$2,'Atividades Micro'!$K18&lt;&gt;""),'Atividades Micro'!$K18,"")</f>
        <v>46225</v>
      </c>
      <c r="J19" s="21">
        <f>IF(AND('Atividades Micro'!$A18=J$2,'Atividades Micro'!$L18&lt;&gt;""),'Atividades Micro'!$L18,"")</f>
        <v>46225</v>
      </c>
      <c r="K19" s="21">
        <f>IF(AND('Atividades Micro'!$B18=K$2,'Atividades Micro'!$K18&lt;&gt;""),'Atividades Micro'!$K18,"")</f>
        <v>46225</v>
      </c>
      <c r="L19" s="21">
        <f>IF(AND('Atividades Micro'!$B18=L$2,'Atividades Micro'!$L18&lt;&gt;""),'Atividades Micro'!$L18,"")</f>
        <v>46225</v>
      </c>
      <c r="M19" s="21" t="str">
        <f>IF(AND('Atividades Micro'!$B18=M$2,'Atividades Micro'!$K18&lt;&gt;""),'Atividades Micro'!$K18,"")</f>
        <v/>
      </c>
      <c r="N19" s="21" t="str">
        <f>IF(AND('Atividades Micro'!$B18=N$2,'Atividades Micro'!$L18&lt;&gt;""),'Atividades Micro'!$L18,"")</f>
        <v/>
      </c>
      <c r="O19" s="21" t="str">
        <f>IF(AND('Atividades Micro'!$A18=O$2,'Atividades Micro'!$K18&lt;&gt;""),'Atividades Micro'!$K18,"")</f>
        <v/>
      </c>
      <c r="P19" s="21" t="str">
        <f>IF(AND('Atividades Micro'!$A18=P$2,'Atividades Micro'!$L18&lt;&gt;""),'Atividades Micro'!$L18,"")</f>
        <v/>
      </c>
      <c r="Q19" s="21" t="str">
        <f>IF(AND('Atividades Micro'!$B18=Q$2,'Atividades Micro'!$K18&lt;&gt;""),'Atividades Micro'!$K18,"")</f>
        <v/>
      </c>
      <c r="R19" s="21" t="str">
        <f>IF(AND('Atividades Micro'!$B18=R$2,'Atividades Micro'!$L18&lt;&gt;""),'Atividades Micro'!$L18,"")</f>
        <v/>
      </c>
      <c r="S19" s="21" t="str">
        <f>IF(AND('Atividades Micro'!$A18=S$2,'Atividades Micro'!$K18&lt;&gt;""),'Atividades Micro'!$K18,"")</f>
        <v/>
      </c>
      <c r="T19" s="21" t="str">
        <f>IF(AND('Atividades Micro'!$A18=T$2,'Atividades Micro'!$L18&lt;&gt;""),'Atividades Micro'!$L18,"")</f>
        <v/>
      </c>
      <c r="U19" s="21" t="str">
        <f>IF(AND('Atividades Micro'!$B18=U$2,'Atividades Micro'!$K18&lt;&gt;""),'Atividades Micro'!$K18,"")</f>
        <v/>
      </c>
      <c r="V19" s="21" t="str">
        <f>IF(AND('Atividades Micro'!$B18=V$2,'Atividades Micro'!$L18&lt;&gt;""),'Atividades Micro'!$L18,"")</f>
        <v/>
      </c>
      <c r="W19" s="21" t="str">
        <f>IF(AND('Atividades Micro'!$B18=W$2,'Atividades Micro'!$K18&lt;&gt;""),'Atividades Micro'!$K18,"")</f>
        <v/>
      </c>
      <c r="X19" s="21" t="str">
        <f>IF(AND('Atividades Micro'!$B18=X$2,'Atividades Micro'!$L18&lt;&gt;""),'Atividades Micro'!$L18,"")</f>
        <v/>
      </c>
      <c r="Y19" s="21" t="str">
        <f>IF(AND('Atividades Micro'!$A18=Y$2,'Atividades Micro'!$K18&lt;&gt;""),'Atividades Micro'!$K18,"")</f>
        <v/>
      </c>
      <c r="Z19" s="21" t="str">
        <f>IF(AND('Atividades Micro'!$A18=Z$2,'Atividades Micro'!$L18&lt;&gt;""),'Atividades Micro'!$L18,"")</f>
        <v/>
      </c>
      <c r="AA19" s="21" t="str">
        <f>IF(AND('Atividades Micro'!$B18=AA$2,'Atividades Micro'!$K18&lt;&gt;""),'Atividades Micro'!$K18,"")</f>
        <v/>
      </c>
      <c r="AB19" s="21" t="str">
        <f>IF(AND('Atividades Micro'!$B18=AB$2,'Atividades Micro'!$L18&lt;&gt;""),'Atividades Micro'!$L18,"")</f>
        <v/>
      </c>
      <c r="AC19" s="21" t="str">
        <f>IF(AND('Atividades Micro'!$B18=AC$2,'Atividades Micro'!$K18&lt;&gt;""),'Atividades Micro'!$K18,"")</f>
        <v/>
      </c>
      <c r="AD19" s="21" t="str">
        <f>IF(AND('Atividades Micro'!$B18=AD$2,'Atividades Micro'!$L18&lt;&gt;""),'Atividades Micro'!$L18,"")</f>
        <v/>
      </c>
      <c r="AE19" s="21" t="str">
        <f>IF(AND('Atividades Micro'!$A18=AE$2,'Atividades Micro'!$K18&lt;&gt;""),'Atividades Micro'!$K18,"")</f>
        <v/>
      </c>
      <c r="AF19" s="21" t="str">
        <f>IF(AND('Atividades Micro'!$A18=AF$2,'Atividades Micro'!$L18&lt;&gt;""),'Atividades Micro'!$L18,"")</f>
        <v/>
      </c>
      <c r="AG19" s="21" t="str">
        <f>IF(AND('Atividades Micro'!$B18=AG$2,'Atividades Micro'!$K18&lt;&gt;""),'Atividades Micro'!$K18,"")</f>
        <v/>
      </c>
      <c r="AH19" s="21" t="str">
        <f>IF(AND('Atividades Micro'!$B18=AH$2,'Atividades Micro'!$L18&lt;&gt;""),'Atividades Micro'!$L18,"")</f>
        <v/>
      </c>
      <c r="AI19" s="21" t="str">
        <f>IF(AND('Atividades Micro'!$B18=AI$2,'Atividades Micro'!$K18&lt;&gt;""),'Atividades Micro'!$K18,"")</f>
        <v/>
      </c>
      <c r="AJ19" s="21" t="str">
        <f>IF(AND('Atividades Micro'!$B18=AJ$2,'Atividades Micro'!$L18&lt;&gt;""),'Atividades Micro'!$L18,"")</f>
        <v/>
      </c>
      <c r="AK19" s="21" t="str">
        <f>IF(AND('Atividades Micro'!$A18=AK$2,'Atividades Micro'!$K18&lt;&gt;""),'Atividades Micro'!$K18,"")</f>
        <v/>
      </c>
      <c r="AL19" s="21" t="str">
        <f>IF(AND('Atividades Micro'!$A18=AL$2,'Atividades Micro'!$L18&lt;&gt;""),'Atividades Micro'!$L18,"")</f>
        <v/>
      </c>
      <c r="AM19" s="21" t="str">
        <f>IF(AND('Atividades Micro'!$B18=AM$2,'Atividades Micro'!$K18&lt;&gt;""),'Atividades Micro'!$K18,"")</f>
        <v/>
      </c>
      <c r="AN19" s="21" t="str">
        <f>IF(AND('Atividades Micro'!$B18=AN$2,'Atividades Micro'!$L18&lt;&gt;""),'Atividades Micro'!$L18,"")</f>
        <v/>
      </c>
      <c r="AO19" s="21" t="str">
        <f>IF(AND('Atividades Micro'!$B18=AO$2,'Atividades Micro'!$K18&lt;&gt;""),'Atividades Micro'!$K18,"")</f>
        <v/>
      </c>
      <c r="AP19" s="21" t="str">
        <f>IF(AND('Atividades Micro'!$B18=AP$2,'Atividades Micro'!$L18&lt;&gt;""),'Atividades Micro'!$L18,"")</f>
        <v/>
      </c>
      <c r="AQ19" s="21" t="str">
        <f>IF(AND('Atividades Micro'!$A18=AQ$2,'Atividades Micro'!$K18&lt;&gt;""),'Atividades Micro'!$K18,"")</f>
        <v/>
      </c>
      <c r="AR19" s="21" t="str">
        <f>IF(AND('Atividades Micro'!$A18=AR$2,'Atividades Micro'!$L18&lt;&gt;""),'Atividades Micro'!$L18,"")</f>
        <v/>
      </c>
      <c r="AS19" s="21" t="str">
        <f>IF(AND('Atividades Micro'!$B18=AS$2,'Atividades Micro'!$K18&lt;&gt;""),'Atividades Micro'!$K18,"")</f>
        <v/>
      </c>
      <c r="AT19" s="21" t="str">
        <f>IF(AND('Atividades Micro'!$B18=AT$2,'Atividades Micro'!$L18&lt;&gt;""),'Atividades Micro'!$L18,"")</f>
        <v/>
      </c>
      <c r="AU19" s="21" t="str">
        <f>IF(AND('Atividades Micro'!$A18=AU$2,'Atividades Micro'!$K18&lt;&gt;""),'Atividades Micro'!$K18,"")</f>
        <v/>
      </c>
      <c r="AV19" s="21" t="str">
        <f>IF(AND('Atividades Micro'!$A18=AV$2,'Atividades Micro'!$L18&lt;&gt;""),'Atividades Micro'!$L18,"")</f>
        <v/>
      </c>
      <c r="AW19" s="21" t="str">
        <f>IF(AND('Atividades Micro'!$B18=AW$2,'Atividades Micro'!$K18&lt;&gt;""),'Atividades Micro'!$K18,"")</f>
        <v/>
      </c>
      <c r="AX19" s="21" t="str">
        <f>IF(AND('Atividades Micro'!$B18=AX$2,'Atividades Micro'!$L18&lt;&gt;""),'Atividades Micro'!$L18,"")</f>
        <v/>
      </c>
      <c r="AY19" s="21" t="str">
        <f>IF(AND('Atividades Micro'!$A18=AY$2,'Atividades Micro'!$K18&lt;&gt;""),'Atividades Micro'!$K18,"")</f>
        <v/>
      </c>
      <c r="AZ19" s="21" t="str">
        <f>IF(AND('Atividades Micro'!$A18=AZ$2,'Atividades Micro'!$L18&lt;&gt;""),'Atividades Micro'!$L18,"")</f>
        <v/>
      </c>
      <c r="BA19" s="21" t="str">
        <f>IF(AND('Atividades Micro'!$B18=BA$2,'Atividades Micro'!$K18&lt;&gt;""),'Atividades Micro'!$K18,"")</f>
        <v/>
      </c>
      <c r="BB19" s="21" t="str">
        <f>IF(AND('Atividades Micro'!$B18=BB$2,'Atividades Micro'!$L18&lt;&gt;""),'Atividades Micro'!$L18,"")</f>
        <v/>
      </c>
      <c r="BC19" s="21" t="str">
        <f>IF(AND('Atividades Micro'!$B18=BC$2,'Atividades Micro'!$G18="Macro",'Atividades Micro'!$K18&lt;&gt;""),'Atividades Micro'!$K18,"")</f>
        <v/>
      </c>
      <c r="BD19" s="21" t="str">
        <f>IF(AND('Atividades Micro'!$B18=BD$2,'Atividades Micro'!$G18="Macro",'Atividades Micro'!$K18&lt;&gt;""),'Atividades Micro'!$K18,"")</f>
        <v/>
      </c>
      <c r="BE19" s="21" t="str">
        <f>IF(AND('Atividades Micro'!$B18=BE$2,'Atividades Micro'!$G18="Macro",'Atividades Micro'!$K18&lt;&gt;""),'Atividades Micro'!$K18,"")</f>
        <v/>
      </c>
      <c r="BF19" s="21" t="str">
        <f>IF(AND('Atividades Micro'!$B18=BF$2,'Atividades Micro'!$G18="Macro",'Atividades Micro'!$K18&lt;&gt;""),'Atividades Micro'!$K18,"")</f>
        <v/>
      </c>
      <c r="BG19" s="21" t="str">
        <f>IF(AND('Atividades Micro'!$B18=BG$2,'Atividades Micro'!$G18="Macro",'Atividades Micro'!$K18&lt;&gt;""),'Atividades Micro'!$K18,"")</f>
        <v/>
      </c>
      <c r="BH19" s="21" t="str">
        <f>IF(AND('Atividades Micro'!$B18=BH$2,'Atividades Micro'!$G18="Macro",'Atividades Micro'!$K18&lt;&gt;""),'Atividades Micro'!$K18,"")</f>
        <v/>
      </c>
      <c r="BI19" s="21" t="str">
        <f>IF(AND('Atividades Micro'!$B18=BI$2,'Atividades Micro'!$G18="Macro",'Atividades Micro'!$K18&lt;&gt;""),'Atividades Micro'!$K18,"")</f>
        <v/>
      </c>
      <c r="BJ19" s="21" t="str">
        <f>IF(AND('Atividades Micro'!$B18=BJ$2,'Atividades Micro'!$G18="Macro",'Atividades Micro'!$K18&lt;&gt;""),'Atividades Micro'!$K18,"")</f>
        <v/>
      </c>
      <c r="BK19" s="21" t="str">
        <f>IF(AND('Atividades Micro'!$B18=BK$2,'Atividades Micro'!$G18="Macro",'Atividades Micro'!$K18&lt;&gt;""),'Atividades Micro'!$K18,"")</f>
        <v/>
      </c>
      <c r="BL19" s="21" t="str">
        <f>IF(AND('Atividades Micro'!$B18=BL$2,'Atividades Micro'!$G18="Macro",'Atividades Micro'!$K18&lt;&gt;""),'Atividades Micro'!$K18,"")</f>
        <v/>
      </c>
      <c r="BM19" s="21" t="str">
        <f>IF(AND('Atividades Micro'!$B18=BM$2,'Atividades Micro'!$G18="Macro",'Atividades Micro'!$K18&lt;&gt;""),'Atividades Micro'!$K18,"")</f>
        <v/>
      </c>
      <c r="BN19" s="21" t="str">
        <f>IF(AND('Atividades Micro'!$B18=BN$2,'Atividades Micro'!$G18="Macro",'Atividades Micro'!$K18&lt;&gt;""),'Atividades Micro'!$K18,"")</f>
        <v/>
      </c>
      <c r="BO19" s="21" t="str">
        <f>IF(AND('Atividades Micro'!$B18=BO$2,'Atividades Micro'!$G18="Macro",'Atividades Micro'!$K18&lt;&gt;""),'Atividades Micro'!$K18,"")</f>
        <v/>
      </c>
      <c r="BP19" s="21" t="str">
        <f>IF(AND('Atividades Micro'!$B18=BP$2,'Atividades Micro'!$G18="Macro",'Atividades Micro'!$K18&lt;&gt;""),'Atividades Micro'!$K18,"")</f>
        <v/>
      </c>
      <c r="BQ19" s="21" t="str">
        <f>IF(AND('Atividades Micro'!$B18=BQ$2,'Atividades Micro'!$G18="Macro",'Atividades Micro'!$K18&lt;&gt;""),'Atividades Micro'!$K18,"")</f>
        <v/>
      </c>
      <c r="BR19" s="21" t="str">
        <f>IF(AND('Atividades Micro'!$B18=BR$2,'Atividades Micro'!$G18="Macro",'Atividades Micro'!$K18&lt;&gt;""),'Atividades Micro'!$K18,"")</f>
        <v/>
      </c>
      <c r="BS19" s="21" t="str">
        <f>IF(AND('Atividades Micro'!$B18=BS$2,'Atividades Micro'!$G18="Macro",'Atividades Micro'!$K18&lt;&gt;""),'Atividades Micro'!$K18,"")</f>
        <v/>
      </c>
      <c r="BT19" s="21" t="str">
        <f>IF(AND('Atividades Micro'!$B18=BT$2,'Atividades Micro'!$G18="Macro",'Atividades Micro'!$K18&lt;&gt;""),'Atividades Micro'!$K18,"")</f>
        <v/>
      </c>
      <c r="BU19" s="21" t="str">
        <f>IF(AND('Atividades Micro'!$B18=BU$2,'Atividades Micro'!$G18="Macro",'Atividades Micro'!$K18&lt;&gt;""),'Atividades Micro'!$K18,"")</f>
        <v/>
      </c>
      <c r="BV19" s="21" t="str">
        <f>IF(AND('Atividades Micro'!$B18=BV$2,'Atividades Micro'!$G18="Macro",'Atividades Micro'!$K18&lt;&gt;""),'Atividades Micro'!$K18,"")</f>
        <v/>
      </c>
      <c r="BW19" s="21" t="str">
        <f>IF(AND('Atividades Micro'!$B18=BW$2,'Atividades Micro'!$G18="Macro",'Atividades Micro'!$K18&lt;&gt;""),'Atividades Micro'!$K18,"")</f>
        <v/>
      </c>
      <c r="BX19" s="21" t="str">
        <f>IF(AND('Atividades Micro'!$B18=BX$2,'Atividades Micro'!$G18="Macro",'Atividades Micro'!$K18&lt;&gt;""),'Atividades Micro'!$K18,"")</f>
        <v/>
      </c>
      <c r="BY19" s="21" t="str">
        <f>IF(AND('Atividades Micro'!$B18=BY$2,'Atividades Micro'!$G18="Macro",'Atividades Micro'!$K18&lt;&gt;""),'Atividades Micro'!$K18,"")</f>
        <v/>
      </c>
      <c r="BZ19" s="21" t="str">
        <f>IF(AND('Atividades Micro'!$B18=BZ$2,'Atividades Micro'!$G18="Macro",'Atividades Micro'!$K18&lt;&gt;""),'Atividades Micro'!$K18,"")</f>
        <v/>
      </c>
      <c r="CA19" s="21" t="str">
        <f>IF(AND('Atividades Micro'!$B18=CA$2,'Atividades Micro'!$G18="Macro",'Atividades Micro'!$K18&lt;&gt;""),'Atividades Micro'!$K18,"")</f>
        <v/>
      </c>
      <c r="CB19" s="21" t="str">
        <f>IF(AND('Atividades Micro'!$B18=CB$2,'Atividades Micro'!$G18="Macro",'Atividades Micro'!$K18&lt;&gt;""),'Atividades Micro'!$K18,"")</f>
        <v/>
      </c>
      <c r="CC19" s="21" t="str">
        <f>IF(AND('Atividades Micro'!$B18=CC$2,'Atividades Micro'!$G18="Macro",'Atividades Micro'!$K18&lt;&gt;""),'Atividades Micro'!$K18,"")</f>
        <v/>
      </c>
      <c r="CD19" s="21">
        <f>IF(AND('Atividades Micro'!$B18=CD$2,'Atividades Micro'!$G18="Micro",'Atividades Micro'!$K18&lt;&gt;""),'Atividades Micro'!$K18,"")</f>
        <v>46225</v>
      </c>
      <c r="CE19" s="21" t="str">
        <f>IF(AND('Atividades Micro'!$B18=CE$2,'Atividades Micro'!$G18="Micro",'Atividades Micro'!$K18&lt;&gt;""),'Atividades Micro'!$K18,"")</f>
        <v/>
      </c>
      <c r="CF19" s="21" t="str">
        <f>IF(AND('Atividades Micro'!$B18=CF$2,'Atividades Micro'!$G18="Micro",'Atividades Micro'!$K18&lt;&gt;""),'Atividades Micro'!$K18,"")</f>
        <v/>
      </c>
      <c r="CG19" s="21" t="str">
        <f>IF(AND('Atividades Micro'!$B18=CG$2,'Atividades Micro'!$G18="Micro",'Atividades Micro'!$K18&lt;&gt;""),'Atividades Micro'!$K18,"")</f>
        <v/>
      </c>
      <c r="CH19" s="21" t="str">
        <f>IF(AND('Atividades Micro'!$B18=CH$2,'Atividades Micro'!$G18="Micro",'Atividades Micro'!$K18&lt;&gt;""),'Atividades Micro'!$K18,"")</f>
        <v/>
      </c>
      <c r="CI19" s="21" t="str">
        <f>IF(AND('Atividades Micro'!$B18=CI$2,'Atividades Micro'!$G18="Micro",'Atividades Micro'!$K18&lt;&gt;""),'Atividades Micro'!$K18,"")</f>
        <v/>
      </c>
      <c r="CJ19" s="21" t="str">
        <f>IF(AND('Atividades Micro'!$B18=CJ$2,'Atividades Micro'!$G18="Micro",'Atividades Micro'!$K18&lt;&gt;""),'Atividades Micro'!$K18,"")</f>
        <v/>
      </c>
      <c r="CK19" s="21" t="str">
        <f>IF(AND('Atividades Micro'!$B18=CK$2,'Atividades Micro'!$G18="Micro",'Atividades Micro'!$K18&lt;&gt;""),'Atividades Micro'!$K18,"")</f>
        <v/>
      </c>
      <c r="CL19" s="21" t="str">
        <f>IF(AND('Atividades Micro'!$B18=CL$2,'Atividades Micro'!$G18="Micro",'Atividades Micro'!$K18&lt;&gt;""),'Atividades Micro'!$K18,"")</f>
        <v/>
      </c>
      <c r="CM19" s="21" t="str">
        <f>IF(AND('Atividades Micro'!$B18=CM$2,'Atividades Micro'!$G18="Micro",'Atividades Micro'!$K18&lt;&gt;""),'Atividades Micro'!$K18,"")</f>
        <v/>
      </c>
      <c r="CN19" s="21" t="str">
        <f>IF(AND('Atividades Micro'!$B18=CN$2,'Atividades Micro'!$G18="Micro",'Atividades Micro'!$K18&lt;&gt;""),'Atividades Micro'!$K18,"")</f>
        <v/>
      </c>
      <c r="CO19" s="21" t="str">
        <f>IF(AND('Atividades Micro'!$B18=CO$2,'Atividades Micro'!$G18="Micro",'Atividades Micro'!$K18&lt;&gt;""),'Atividades Micro'!$K18,"")</f>
        <v/>
      </c>
    </row>
    <row r="20" spans="1:93">
      <c r="A20" s="21" t="str">
        <f>IF(AND('Atividades Micro'!$A19=A$2,'Atividades Micro'!$K19&lt;&gt;""),'Atividades Micro'!$K19,"")</f>
        <v/>
      </c>
      <c r="B20" s="21" t="str">
        <f>IF(AND('Atividades Micro'!$A19=B$2,'Atividades Micro'!$L19&lt;&gt;""),'Atividades Micro'!$L19,"")</f>
        <v/>
      </c>
      <c r="C20" s="21" t="str">
        <f>IF(AND('Atividades Micro'!$A19=C$2,'Atividades Micro'!$K19&lt;&gt;""),'Atividades Micro'!$K19,"")</f>
        <v/>
      </c>
      <c r="D20" s="21" t="str">
        <f>IF(AND('Atividades Micro'!$A19=D$2,'Atividades Micro'!$L19&lt;&gt;""),'Atividades Micro'!$L19,"")</f>
        <v/>
      </c>
      <c r="E20" s="21" t="str">
        <f>IF(AND('Atividades Micro'!$A19=E$2,'Atividades Micro'!$K19&lt;&gt;""),'Atividades Micro'!$K19,"")</f>
        <v/>
      </c>
      <c r="F20" s="21" t="str">
        <f>IF(AND('Atividades Micro'!$A19=F$2,'Atividades Micro'!$L19&lt;&gt;""),'Atividades Micro'!$L19,"")</f>
        <v/>
      </c>
      <c r="G20" s="21" t="str">
        <f>IF(AND('Atividades Micro'!$A19=G$2,'Atividades Micro'!$K19&lt;&gt;""),'Atividades Micro'!$K19,"")</f>
        <v/>
      </c>
      <c r="H20" s="21" t="str">
        <f>IF(AND('Atividades Micro'!$A19=H$2,'Atividades Micro'!$L19&lt;&gt;""),'Atividades Micro'!$L19,"")</f>
        <v/>
      </c>
      <c r="I20" s="21">
        <f>IF(AND('Atividades Micro'!$A19=I$2,'Atividades Micro'!$K19&lt;&gt;""),'Atividades Micro'!$K19,"")</f>
        <v>46226</v>
      </c>
      <c r="J20" s="21" t="str">
        <f>IF(AND('Atividades Micro'!$A19=J$2,'Atividades Micro'!$L19&lt;&gt;""),'Atividades Micro'!$L19,"")</f>
        <v/>
      </c>
      <c r="K20" s="21">
        <f>IF(AND('Atividades Micro'!$B19=K$2,'Atividades Micro'!$K19&lt;&gt;""),'Atividades Micro'!$K19,"")</f>
        <v>46226</v>
      </c>
      <c r="L20" s="21" t="str">
        <f>IF(AND('Atividades Micro'!$B19=L$2,'Atividades Micro'!$L19&lt;&gt;""),'Atividades Micro'!$L19,"")</f>
        <v/>
      </c>
      <c r="M20" s="21" t="str">
        <f>IF(AND('Atividades Micro'!$B19=M$2,'Atividades Micro'!$K19&lt;&gt;""),'Atividades Micro'!$K19,"")</f>
        <v/>
      </c>
      <c r="N20" s="21" t="str">
        <f>IF(AND('Atividades Micro'!$B19=N$2,'Atividades Micro'!$L19&lt;&gt;""),'Atividades Micro'!$L19,"")</f>
        <v/>
      </c>
      <c r="O20" s="21" t="str">
        <f>IF(AND('Atividades Micro'!$A19=O$2,'Atividades Micro'!$K19&lt;&gt;""),'Atividades Micro'!$K19,"")</f>
        <v/>
      </c>
      <c r="P20" s="21" t="str">
        <f>IF(AND('Atividades Micro'!$A19=P$2,'Atividades Micro'!$L19&lt;&gt;""),'Atividades Micro'!$L19,"")</f>
        <v/>
      </c>
      <c r="Q20" s="21" t="str">
        <f>IF(AND('Atividades Micro'!$B19=Q$2,'Atividades Micro'!$K19&lt;&gt;""),'Atividades Micro'!$K19,"")</f>
        <v/>
      </c>
      <c r="R20" s="21" t="str">
        <f>IF(AND('Atividades Micro'!$B19=R$2,'Atividades Micro'!$L19&lt;&gt;""),'Atividades Micro'!$L19,"")</f>
        <v/>
      </c>
      <c r="S20" s="21" t="str">
        <f>IF(AND('Atividades Micro'!$A19=S$2,'Atividades Micro'!$K19&lt;&gt;""),'Atividades Micro'!$K19,"")</f>
        <v/>
      </c>
      <c r="T20" s="21" t="str">
        <f>IF(AND('Atividades Micro'!$A19=T$2,'Atividades Micro'!$L19&lt;&gt;""),'Atividades Micro'!$L19,"")</f>
        <v/>
      </c>
      <c r="U20" s="21" t="str">
        <f>IF(AND('Atividades Micro'!$B19=U$2,'Atividades Micro'!$K19&lt;&gt;""),'Atividades Micro'!$K19,"")</f>
        <v/>
      </c>
      <c r="V20" s="21" t="str">
        <f>IF(AND('Atividades Micro'!$B19=V$2,'Atividades Micro'!$L19&lt;&gt;""),'Atividades Micro'!$L19,"")</f>
        <v/>
      </c>
      <c r="W20" s="21" t="str">
        <f>IF(AND('Atividades Micro'!$B19=W$2,'Atividades Micro'!$K19&lt;&gt;""),'Atividades Micro'!$K19,"")</f>
        <v/>
      </c>
      <c r="X20" s="21" t="str">
        <f>IF(AND('Atividades Micro'!$B19=X$2,'Atividades Micro'!$L19&lt;&gt;""),'Atividades Micro'!$L19,"")</f>
        <v/>
      </c>
      <c r="Y20" s="21" t="str">
        <f>IF(AND('Atividades Micro'!$A19=Y$2,'Atividades Micro'!$K19&lt;&gt;""),'Atividades Micro'!$K19,"")</f>
        <v/>
      </c>
      <c r="Z20" s="21" t="str">
        <f>IF(AND('Atividades Micro'!$A19=Z$2,'Atividades Micro'!$L19&lt;&gt;""),'Atividades Micro'!$L19,"")</f>
        <v/>
      </c>
      <c r="AA20" s="21" t="str">
        <f>IF(AND('Atividades Micro'!$B19=AA$2,'Atividades Micro'!$K19&lt;&gt;""),'Atividades Micro'!$K19,"")</f>
        <v/>
      </c>
      <c r="AB20" s="21" t="str">
        <f>IF(AND('Atividades Micro'!$B19=AB$2,'Atividades Micro'!$L19&lt;&gt;""),'Atividades Micro'!$L19,"")</f>
        <v/>
      </c>
      <c r="AC20" s="21" t="str">
        <f>IF(AND('Atividades Micro'!$B19=AC$2,'Atividades Micro'!$K19&lt;&gt;""),'Atividades Micro'!$K19,"")</f>
        <v/>
      </c>
      <c r="AD20" s="21" t="str">
        <f>IF(AND('Atividades Micro'!$B19=AD$2,'Atividades Micro'!$L19&lt;&gt;""),'Atividades Micro'!$L19,"")</f>
        <v/>
      </c>
      <c r="AE20" s="21" t="str">
        <f>IF(AND('Atividades Micro'!$A19=AE$2,'Atividades Micro'!$K19&lt;&gt;""),'Atividades Micro'!$K19,"")</f>
        <v/>
      </c>
      <c r="AF20" s="21" t="str">
        <f>IF(AND('Atividades Micro'!$A19=AF$2,'Atividades Micro'!$L19&lt;&gt;""),'Atividades Micro'!$L19,"")</f>
        <v/>
      </c>
      <c r="AG20" s="21" t="str">
        <f>IF(AND('Atividades Micro'!$B19=AG$2,'Atividades Micro'!$K19&lt;&gt;""),'Atividades Micro'!$K19,"")</f>
        <v/>
      </c>
      <c r="AH20" s="21" t="str">
        <f>IF(AND('Atividades Micro'!$B19=AH$2,'Atividades Micro'!$L19&lt;&gt;""),'Atividades Micro'!$L19,"")</f>
        <v/>
      </c>
      <c r="AI20" s="21" t="str">
        <f>IF(AND('Atividades Micro'!$B19=AI$2,'Atividades Micro'!$K19&lt;&gt;""),'Atividades Micro'!$K19,"")</f>
        <v/>
      </c>
      <c r="AJ20" s="21" t="str">
        <f>IF(AND('Atividades Micro'!$B19=AJ$2,'Atividades Micro'!$L19&lt;&gt;""),'Atividades Micro'!$L19,"")</f>
        <v/>
      </c>
      <c r="AK20" s="21" t="str">
        <f>IF(AND('Atividades Micro'!$A19=AK$2,'Atividades Micro'!$K19&lt;&gt;""),'Atividades Micro'!$K19,"")</f>
        <v/>
      </c>
      <c r="AL20" s="21" t="str">
        <f>IF(AND('Atividades Micro'!$A19=AL$2,'Atividades Micro'!$L19&lt;&gt;""),'Atividades Micro'!$L19,"")</f>
        <v/>
      </c>
      <c r="AM20" s="21" t="str">
        <f>IF(AND('Atividades Micro'!$B19=AM$2,'Atividades Micro'!$K19&lt;&gt;""),'Atividades Micro'!$K19,"")</f>
        <v/>
      </c>
      <c r="AN20" s="21" t="str">
        <f>IF(AND('Atividades Micro'!$B19=AN$2,'Atividades Micro'!$L19&lt;&gt;""),'Atividades Micro'!$L19,"")</f>
        <v/>
      </c>
      <c r="AO20" s="21" t="str">
        <f>IF(AND('Atividades Micro'!$B19=AO$2,'Atividades Micro'!$K19&lt;&gt;""),'Atividades Micro'!$K19,"")</f>
        <v/>
      </c>
      <c r="AP20" s="21" t="str">
        <f>IF(AND('Atividades Micro'!$B19=AP$2,'Atividades Micro'!$L19&lt;&gt;""),'Atividades Micro'!$L19,"")</f>
        <v/>
      </c>
      <c r="AQ20" s="21" t="str">
        <f>IF(AND('Atividades Micro'!$A19=AQ$2,'Atividades Micro'!$K19&lt;&gt;""),'Atividades Micro'!$K19,"")</f>
        <v/>
      </c>
      <c r="AR20" s="21" t="str">
        <f>IF(AND('Atividades Micro'!$A19=AR$2,'Atividades Micro'!$L19&lt;&gt;""),'Atividades Micro'!$L19,"")</f>
        <v/>
      </c>
      <c r="AS20" s="21" t="str">
        <f>IF(AND('Atividades Micro'!$B19=AS$2,'Atividades Micro'!$K19&lt;&gt;""),'Atividades Micro'!$K19,"")</f>
        <v/>
      </c>
      <c r="AT20" s="21" t="str">
        <f>IF(AND('Atividades Micro'!$B19=AT$2,'Atividades Micro'!$L19&lt;&gt;""),'Atividades Micro'!$L19,"")</f>
        <v/>
      </c>
      <c r="AU20" s="21" t="str">
        <f>IF(AND('Atividades Micro'!$A19=AU$2,'Atividades Micro'!$K19&lt;&gt;""),'Atividades Micro'!$K19,"")</f>
        <v/>
      </c>
      <c r="AV20" s="21" t="str">
        <f>IF(AND('Atividades Micro'!$A19=AV$2,'Atividades Micro'!$L19&lt;&gt;""),'Atividades Micro'!$L19,"")</f>
        <v/>
      </c>
      <c r="AW20" s="21" t="str">
        <f>IF(AND('Atividades Micro'!$B19=AW$2,'Atividades Micro'!$K19&lt;&gt;""),'Atividades Micro'!$K19,"")</f>
        <v/>
      </c>
      <c r="AX20" s="21" t="str">
        <f>IF(AND('Atividades Micro'!$B19=AX$2,'Atividades Micro'!$L19&lt;&gt;""),'Atividades Micro'!$L19,"")</f>
        <v/>
      </c>
      <c r="AY20" s="21" t="str">
        <f>IF(AND('Atividades Micro'!$A19=AY$2,'Atividades Micro'!$K19&lt;&gt;""),'Atividades Micro'!$K19,"")</f>
        <v/>
      </c>
      <c r="AZ20" s="21" t="str">
        <f>IF(AND('Atividades Micro'!$A19=AZ$2,'Atividades Micro'!$L19&lt;&gt;""),'Atividades Micro'!$L19,"")</f>
        <v/>
      </c>
      <c r="BA20" s="21" t="str">
        <f>IF(AND('Atividades Micro'!$B19=BA$2,'Atividades Micro'!$K19&lt;&gt;""),'Atividades Micro'!$K19,"")</f>
        <v/>
      </c>
      <c r="BB20" s="21" t="str">
        <f>IF(AND('Atividades Micro'!$B19=BB$2,'Atividades Micro'!$L19&lt;&gt;""),'Atividades Micro'!$L19,"")</f>
        <v/>
      </c>
      <c r="BC20" s="21" t="str">
        <f>IF(AND('Atividades Micro'!$B19=BC$2,'Atividades Micro'!$G19="Macro",'Atividades Micro'!$K19&lt;&gt;""),'Atividades Micro'!$K19,"")</f>
        <v/>
      </c>
      <c r="BD20" s="21" t="str">
        <f>IF(AND('Atividades Micro'!$B19=BD$2,'Atividades Micro'!$G19="Macro",'Atividades Micro'!$K19&lt;&gt;""),'Atividades Micro'!$K19,"")</f>
        <v/>
      </c>
      <c r="BE20" s="21" t="str">
        <f>IF(AND('Atividades Micro'!$B19=BE$2,'Atividades Micro'!$G19="Macro",'Atividades Micro'!$K19&lt;&gt;""),'Atividades Micro'!$K19,"")</f>
        <v/>
      </c>
      <c r="BF20" s="21" t="str">
        <f>IF(AND('Atividades Micro'!$B19=BF$2,'Atividades Micro'!$G19="Macro",'Atividades Micro'!$K19&lt;&gt;""),'Atividades Micro'!$K19,"")</f>
        <v/>
      </c>
      <c r="BG20" s="21" t="str">
        <f>IF(AND('Atividades Micro'!$B19=BG$2,'Atividades Micro'!$G19="Macro",'Atividades Micro'!$K19&lt;&gt;""),'Atividades Micro'!$K19,"")</f>
        <v/>
      </c>
      <c r="BH20" s="21">
        <f>IF(AND('Atividades Micro'!$B19=BH$2,'Atividades Micro'!$G19="Macro",'Atividades Micro'!$K19&lt;&gt;""),'Atividades Micro'!$K19,"")</f>
        <v>46226</v>
      </c>
      <c r="BI20" s="21" t="str">
        <f>IF(AND('Atividades Micro'!$B19=BI$2,'Atividades Micro'!$G19="Macro",'Atividades Micro'!$K19&lt;&gt;""),'Atividades Micro'!$K19,"")</f>
        <v/>
      </c>
      <c r="BJ20" s="21" t="str">
        <f>IF(AND('Atividades Micro'!$B19=BJ$2,'Atividades Micro'!$G19="Macro",'Atividades Micro'!$K19&lt;&gt;""),'Atividades Micro'!$K19,"")</f>
        <v/>
      </c>
      <c r="BK20" s="21" t="str">
        <f>IF(AND('Atividades Micro'!$B19=BK$2,'Atividades Micro'!$G19="Macro",'Atividades Micro'!$K19&lt;&gt;""),'Atividades Micro'!$K19,"")</f>
        <v/>
      </c>
      <c r="BL20" s="21" t="str">
        <f>IF(AND('Atividades Micro'!$B19=BL$2,'Atividades Micro'!$G19="Macro",'Atividades Micro'!$K19&lt;&gt;""),'Atividades Micro'!$K19,"")</f>
        <v/>
      </c>
      <c r="BM20" s="21" t="str">
        <f>IF(AND('Atividades Micro'!$B19=BM$2,'Atividades Micro'!$G19="Macro",'Atividades Micro'!$K19&lt;&gt;""),'Atividades Micro'!$K19,"")</f>
        <v/>
      </c>
      <c r="BN20" s="21" t="str">
        <f>IF(AND('Atividades Micro'!$B19=BN$2,'Atividades Micro'!$G19="Macro",'Atividades Micro'!$K19&lt;&gt;""),'Atividades Micro'!$K19,"")</f>
        <v/>
      </c>
      <c r="BO20" s="21" t="str">
        <f>IF(AND('Atividades Micro'!$B19=BO$2,'Atividades Micro'!$G19="Macro",'Atividades Micro'!$K19&lt;&gt;""),'Atividades Micro'!$K19,"")</f>
        <v/>
      </c>
      <c r="BP20" s="21" t="str">
        <f>IF(AND('Atividades Micro'!$B19=BP$2,'Atividades Micro'!$G19="Macro",'Atividades Micro'!$K19&lt;&gt;""),'Atividades Micro'!$K19,"")</f>
        <v/>
      </c>
      <c r="BQ20" s="21" t="str">
        <f>IF(AND('Atividades Micro'!$B19=BQ$2,'Atividades Micro'!$G19="Macro",'Atividades Micro'!$K19&lt;&gt;""),'Atividades Micro'!$K19,"")</f>
        <v/>
      </c>
      <c r="BR20" s="21" t="str">
        <f>IF(AND('Atividades Micro'!$B19=BR$2,'Atividades Micro'!$G19="Macro",'Atividades Micro'!$K19&lt;&gt;""),'Atividades Micro'!$K19,"")</f>
        <v/>
      </c>
      <c r="BS20" s="21" t="str">
        <f>IF(AND('Atividades Micro'!$B19=BS$2,'Atividades Micro'!$G19="Macro",'Atividades Micro'!$K19&lt;&gt;""),'Atividades Micro'!$K19,"")</f>
        <v/>
      </c>
      <c r="BT20" s="21" t="str">
        <f>IF(AND('Atividades Micro'!$B19=BT$2,'Atividades Micro'!$G19="Macro",'Atividades Micro'!$K19&lt;&gt;""),'Atividades Micro'!$K19,"")</f>
        <v/>
      </c>
      <c r="BU20" s="21" t="str">
        <f>IF(AND('Atividades Micro'!$B19=BU$2,'Atividades Micro'!$G19="Macro",'Atividades Micro'!$K19&lt;&gt;""),'Atividades Micro'!$K19,"")</f>
        <v/>
      </c>
      <c r="BV20" s="21" t="str">
        <f>IF(AND('Atividades Micro'!$B19=BV$2,'Atividades Micro'!$G19="Macro",'Atividades Micro'!$K19&lt;&gt;""),'Atividades Micro'!$K19,"")</f>
        <v/>
      </c>
      <c r="BW20" s="21" t="str">
        <f>IF(AND('Atividades Micro'!$B19=BW$2,'Atividades Micro'!$G19="Macro",'Atividades Micro'!$K19&lt;&gt;""),'Atividades Micro'!$K19,"")</f>
        <v/>
      </c>
      <c r="BX20" s="21" t="str">
        <f>IF(AND('Atividades Micro'!$B19=BX$2,'Atividades Micro'!$G19="Macro",'Atividades Micro'!$K19&lt;&gt;""),'Atividades Micro'!$K19,"")</f>
        <v/>
      </c>
      <c r="BY20" s="21" t="str">
        <f>IF(AND('Atividades Micro'!$B19=BY$2,'Atividades Micro'!$G19="Macro",'Atividades Micro'!$K19&lt;&gt;""),'Atividades Micro'!$K19,"")</f>
        <v/>
      </c>
      <c r="BZ20" s="21" t="str">
        <f>IF(AND('Atividades Micro'!$B19=BZ$2,'Atividades Micro'!$G19="Macro",'Atividades Micro'!$K19&lt;&gt;""),'Atividades Micro'!$K19,"")</f>
        <v/>
      </c>
      <c r="CA20" s="21" t="str">
        <f>IF(AND('Atividades Micro'!$B19=CA$2,'Atividades Micro'!$G19="Macro",'Atividades Micro'!$K19&lt;&gt;""),'Atividades Micro'!$K19,"")</f>
        <v/>
      </c>
      <c r="CB20" s="21" t="str">
        <f>IF(AND('Atividades Micro'!$B19=CB$2,'Atividades Micro'!$G19="Macro",'Atividades Micro'!$K19&lt;&gt;""),'Atividades Micro'!$K19,"")</f>
        <v/>
      </c>
      <c r="CC20" s="21" t="str">
        <f>IF(AND('Atividades Micro'!$B19=CC$2,'Atividades Micro'!$G19="Macro",'Atividades Micro'!$K19&lt;&gt;""),'Atividades Micro'!$K19,"")</f>
        <v/>
      </c>
      <c r="CD20" s="21" t="str">
        <f>IF(AND('Atividades Micro'!$B19=CD$2,'Atividades Micro'!$G19="Micro",'Atividades Micro'!$K19&lt;&gt;""),'Atividades Micro'!$K19,"")</f>
        <v/>
      </c>
      <c r="CE20" s="21" t="str">
        <f>IF(AND('Atividades Micro'!$B19=CE$2,'Atividades Micro'!$G19="Micro",'Atividades Micro'!$K19&lt;&gt;""),'Atividades Micro'!$K19,"")</f>
        <v/>
      </c>
      <c r="CF20" s="21" t="str">
        <f>IF(AND('Atividades Micro'!$B19=CF$2,'Atividades Micro'!$G19="Micro",'Atividades Micro'!$K19&lt;&gt;""),'Atividades Micro'!$K19,"")</f>
        <v/>
      </c>
      <c r="CG20" s="21" t="str">
        <f>IF(AND('Atividades Micro'!$B19=CG$2,'Atividades Micro'!$G19="Micro",'Atividades Micro'!$K19&lt;&gt;""),'Atividades Micro'!$K19,"")</f>
        <v/>
      </c>
      <c r="CH20" s="21" t="str">
        <f>IF(AND('Atividades Micro'!$B19=CH$2,'Atividades Micro'!$G19="Micro",'Atividades Micro'!$K19&lt;&gt;""),'Atividades Micro'!$K19,"")</f>
        <v/>
      </c>
      <c r="CI20" s="21" t="str">
        <f>IF(AND('Atividades Micro'!$B19=CI$2,'Atividades Micro'!$G19="Micro",'Atividades Micro'!$K19&lt;&gt;""),'Atividades Micro'!$K19,"")</f>
        <v/>
      </c>
      <c r="CJ20" s="21" t="str">
        <f>IF(AND('Atividades Micro'!$B19=CJ$2,'Atividades Micro'!$G19="Micro",'Atividades Micro'!$K19&lt;&gt;""),'Atividades Micro'!$K19,"")</f>
        <v/>
      </c>
      <c r="CK20" s="21" t="str">
        <f>IF(AND('Atividades Micro'!$B19=CK$2,'Atividades Micro'!$G19="Micro",'Atividades Micro'!$K19&lt;&gt;""),'Atividades Micro'!$K19,"")</f>
        <v/>
      </c>
      <c r="CL20" s="21" t="str">
        <f>IF(AND('Atividades Micro'!$B19=CL$2,'Atividades Micro'!$G19="Micro",'Atividades Micro'!$K19&lt;&gt;""),'Atividades Micro'!$K19,"")</f>
        <v/>
      </c>
      <c r="CM20" s="21" t="str">
        <f>IF(AND('Atividades Micro'!$B19=CM$2,'Atividades Micro'!$G19="Micro",'Atividades Micro'!$K19&lt;&gt;""),'Atividades Micro'!$K19,"")</f>
        <v/>
      </c>
      <c r="CN20" s="21" t="str">
        <f>IF(AND('Atividades Micro'!$B19=CN$2,'Atividades Micro'!$G19="Micro",'Atividades Micro'!$K19&lt;&gt;""),'Atividades Micro'!$K19,"")</f>
        <v/>
      </c>
      <c r="CO20" s="21" t="str">
        <f>IF(AND('Atividades Micro'!$B19=CO$2,'Atividades Micro'!$G19="Micro",'Atividades Micro'!$K19&lt;&gt;""),'Atividades Micro'!$K19,"")</f>
        <v/>
      </c>
    </row>
    <row r="21" spans="1:93">
      <c r="A21" s="21" t="str">
        <f>IF(AND('Atividades Micro'!$A20=A$2,'Atividades Micro'!$K20&lt;&gt;""),'Atividades Micro'!$K20,"")</f>
        <v/>
      </c>
      <c r="B21" s="21" t="str">
        <f>IF(AND('Atividades Micro'!$A20=B$2,'Atividades Micro'!$L20&lt;&gt;""),'Atividades Micro'!$L20,"")</f>
        <v/>
      </c>
      <c r="C21" s="21" t="str">
        <f>IF(AND('Atividades Micro'!$A20=C$2,'Atividades Micro'!$K20&lt;&gt;""),'Atividades Micro'!$K20,"")</f>
        <v/>
      </c>
      <c r="D21" s="21" t="str">
        <f>IF(AND('Atividades Micro'!$A20=D$2,'Atividades Micro'!$L20&lt;&gt;""),'Atividades Micro'!$L20,"")</f>
        <v/>
      </c>
      <c r="E21" s="21" t="str">
        <f>IF(AND('Atividades Micro'!$A20=E$2,'Atividades Micro'!$K20&lt;&gt;""),'Atividades Micro'!$K20,"")</f>
        <v/>
      </c>
      <c r="F21" s="21" t="str">
        <f>IF(AND('Atividades Micro'!$A20=F$2,'Atividades Micro'!$L20&lt;&gt;""),'Atividades Micro'!$L20,"")</f>
        <v/>
      </c>
      <c r="G21" s="21" t="str">
        <f>IF(AND('Atividades Micro'!$A20=G$2,'Atividades Micro'!$K20&lt;&gt;""),'Atividades Micro'!$K20,"")</f>
        <v/>
      </c>
      <c r="H21" s="21" t="str">
        <f>IF(AND('Atividades Micro'!$A20=H$2,'Atividades Micro'!$L20&lt;&gt;""),'Atividades Micro'!$L20,"")</f>
        <v/>
      </c>
      <c r="I21" s="21">
        <f>IF(AND('Atividades Micro'!$A20=I$2,'Atividades Micro'!$K20&lt;&gt;""),'Atividades Micro'!$K20,"")</f>
        <v>46233</v>
      </c>
      <c r="J21" s="21" t="str">
        <f>IF(AND('Atividades Micro'!$A20=J$2,'Atividades Micro'!$L20&lt;&gt;""),'Atividades Micro'!$L20,"")</f>
        <v/>
      </c>
      <c r="K21" s="21">
        <f>IF(AND('Atividades Micro'!$B20=K$2,'Atividades Micro'!$K20&lt;&gt;""),'Atividades Micro'!$K20,"")</f>
        <v>46233</v>
      </c>
      <c r="L21" s="21" t="str">
        <f>IF(AND('Atividades Micro'!$B20=L$2,'Atividades Micro'!$L20&lt;&gt;""),'Atividades Micro'!$L20,"")</f>
        <v/>
      </c>
      <c r="M21" s="21" t="str">
        <f>IF(AND('Atividades Micro'!$B20=M$2,'Atividades Micro'!$K20&lt;&gt;""),'Atividades Micro'!$K20,"")</f>
        <v/>
      </c>
      <c r="N21" s="21" t="str">
        <f>IF(AND('Atividades Micro'!$B20=N$2,'Atividades Micro'!$L20&lt;&gt;""),'Atividades Micro'!$L20,"")</f>
        <v/>
      </c>
      <c r="O21" s="21" t="str">
        <f>IF(AND('Atividades Micro'!$A20=O$2,'Atividades Micro'!$K20&lt;&gt;""),'Atividades Micro'!$K20,"")</f>
        <v/>
      </c>
      <c r="P21" s="21" t="str">
        <f>IF(AND('Atividades Micro'!$A20=P$2,'Atividades Micro'!$L20&lt;&gt;""),'Atividades Micro'!$L20,"")</f>
        <v/>
      </c>
      <c r="Q21" s="21" t="str">
        <f>IF(AND('Atividades Micro'!$B20=Q$2,'Atividades Micro'!$K20&lt;&gt;""),'Atividades Micro'!$K20,"")</f>
        <v/>
      </c>
      <c r="R21" s="21" t="str">
        <f>IF(AND('Atividades Micro'!$B20=R$2,'Atividades Micro'!$L20&lt;&gt;""),'Atividades Micro'!$L20,"")</f>
        <v/>
      </c>
      <c r="S21" s="21" t="str">
        <f>IF(AND('Atividades Micro'!$A20=S$2,'Atividades Micro'!$K20&lt;&gt;""),'Atividades Micro'!$K20,"")</f>
        <v/>
      </c>
      <c r="T21" s="21" t="str">
        <f>IF(AND('Atividades Micro'!$A20=T$2,'Atividades Micro'!$L20&lt;&gt;""),'Atividades Micro'!$L20,"")</f>
        <v/>
      </c>
      <c r="U21" s="21" t="str">
        <f>IF(AND('Atividades Micro'!$B20=U$2,'Atividades Micro'!$K20&lt;&gt;""),'Atividades Micro'!$K20,"")</f>
        <v/>
      </c>
      <c r="V21" s="21" t="str">
        <f>IF(AND('Atividades Micro'!$B20=V$2,'Atividades Micro'!$L20&lt;&gt;""),'Atividades Micro'!$L20,"")</f>
        <v/>
      </c>
      <c r="W21" s="21" t="str">
        <f>IF(AND('Atividades Micro'!$B20=W$2,'Atividades Micro'!$K20&lt;&gt;""),'Atividades Micro'!$K20,"")</f>
        <v/>
      </c>
      <c r="X21" s="21" t="str">
        <f>IF(AND('Atividades Micro'!$B20=X$2,'Atividades Micro'!$L20&lt;&gt;""),'Atividades Micro'!$L20,"")</f>
        <v/>
      </c>
      <c r="Y21" s="21" t="str">
        <f>IF(AND('Atividades Micro'!$A20=Y$2,'Atividades Micro'!$K20&lt;&gt;""),'Atividades Micro'!$K20,"")</f>
        <v/>
      </c>
      <c r="Z21" s="21" t="str">
        <f>IF(AND('Atividades Micro'!$A20=Z$2,'Atividades Micro'!$L20&lt;&gt;""),'Atividades Micro'!$L20,"")</f>
        <v/>
      </c>
      <c r="AA21" s="21" t="str">
        <f>IF(AND('Atividades Micro'!$B20=AA$2,'Atividades Micro'!$K20&lt;&gt;""),'Atividades Micro'!$K20,"")</f>
        <v/>
      </c>
      <c r="AB21" s="21" t="str">
        <f>IF(AND('Atividades Micro'!$B20=AB$2,'Atividades Micro'!$L20&lt;&gt;""),'Atividades Micro'!$L20,"")</f>
        <v/>
      </c>
      <c r="AC21" s="21" t="str">
        <f>IF(AND('Atividades Micro'!$B20=AC$2,'Atividades Micro'!$K20&lt;&gt;""),'Atividades Micro'!$K20,"")</f>
        <v/>
      </c>
      <c r="AD21" s="21" t="str">
        <f>IF(AND('Atividades Micro'!$B20=AD$2,'Atividades Micro'!$L20&lt;&gt;""),'Atividades Micro'!$L20,"")</f>
        <v/>
      </c>
      <c r="AE21" s="21" t="str">
        <f>IF(AND('Atividades Micro'!$A20=AE$2,'Atividades Micro'!$K20&lt;&gt;""),'Atividades Micro'!$K20,"")</f>
        <v/>
      </c>
      <c r="AF21" s="21" t="str">
        <f>IF(AND('Atividades Micro'!$A20=AF$2,'Atividades Micro'!$L20&lt;&gt;""),'Atividades Micro'!$L20,"")</f>
        <v/>
      </c>
      <c r="AG21" s="21" t="str">
        <f>IF(AND('Atividades Micro'!$B20=AG$2,'Atividades Micro'!$K20&lt;&gt;""),'Atividades Micro'!$K20,"")</f>
        <v/>
      </c>
      <c r="AH21" s="21" t="str">
        <f>IF(AND('Atividades Micro'!$B20=AH$2,'Atividades Micro'!$L20&lt;&gt;""),'Atividades Micro'!$L20,"")</f>
        <v/>
      </c>
      <c r="AI21" s="21" t="str">
        <f>IF(AND('Atividades Micro'!$B20=AI$2,'Atividades Micro'!$K20&lt;&gt;""),'Atividades Micro'!$K20,"")</f>
        <v/>
      </c>
      <c r="AJ21" s="21" t="str">
        <f>IF(AND('Atividades Micro'!$B20=AJ$2,'Atividades Micro'!$L20&lt;&gt;""),'Atividades Micro'!$L20,"")</f>
        <v/>
      </c>
      <c r="AK21" s="21" t="str">
        <f>IF(AND('Atividades Micro'!$A20=AK$2,'Atividades Micro'!$K20&lt;&gt;""),'Atividades Micro'!$K20,"")</f>
        <v/>
      </c>
      <c r="AL21" s="21" t="str">
        <f>IF(AND('Atividades Micro'!$A20=AL$2,'Atividades Micro'!$L20&lt;&gt;""),'Atividades Micro'!$L20,"")</f>
        <v/>
      </c>
      <c r="AM21" s="21" t="str">
        <f>IF(AND('Atividades Micro'!$B20=AM$2,'Atividades Micro'!$K20&lt;&gt;""),'Atividades Micro'!$K20,"")</f>
        <v/>
      </c>
      <c r="AN21" s="21" t="str">
        <f>IF(AND('Atividades Micro'!$B20=AN$2,'Atividades Micro'!$L20&lt;&gt;""),'Atividades Micro'!$L20,"")</f>
        <v/>
      </c>
      <c r="AO21" s="21" t="str">
        <f>IF(AND('Atividades Micro'!$B20=AO$2,'Atividades Micro'!$K20&lt;&gt;""),'Atividades Micro'!$K20,"")</f>
        <v/>
      </c>
      <c r="AP21" s="21" t="str">
        <f>IF(AND('Atividades Micro'!$B20=AP$2,'Atividades Micro'!$L20&lt;&gt;""),'Atividades Micro'!$L20,"")</f>
        <v/>
      </c>
      <c r="AQ21" s="21" t="str">
        <f>IF(AND('Atividades Micro'!$A20=AQ$2,'Atividades Micro'!$K20&lt;&gt;""),'Atividades Micro'!$K20,"")</f>
        <v/>
      </c>
      <c r="AR21" s="21" t="str">
        <f>IF(AND('Atividades Micro'!$A20=AR$2,'Atividades Micro'!$L20&lt;&gt;""),'Atividades Micro'!$L20,"")</f>
        <v/>
      </c>
      <c r="AS21" s="21" t="str">
        <f>IF(AND('Atividades Micro'!$B20=AS$2,'Atividades Micro'!$K20&lt;&gt;""),'Atividades Micro'!$K20,"")</f>
        <v/>
      </c>
      <c r="AT21" s="21" t="str">
        <f>IF(AND('Atividades Micro'!$B20=AT$2,'Atividades Micro'!$L20&lt;&gt;""),'Atividades Micro'!$L20,"")</f>
        <v/>
      </c>
      <c r="AU21" s="21" t="str">
        <f>IF(AND('Atividades Micro'!$A20=AU$2,'Atividades Micro'!$K20&lt;&gt;""),'Atividades Micro'!$K20,"")</f>
        <v/>
      </c>
      <c r="AV21" s="21" t="str">
        <f>IF(AND('Atividades Micro'!$A20=AV$2,'Atividades Micro'!$L20&lt;&gt;""),'Atividades Micro'!$L20,"")</f>
        <v/>
      </c>
      <c r="AW21" s="21" t="str">
        <f>IF(AND('Atividades Micro'!$B20=AW$2,'Atividades Micro'!$K20&lt;&gt;""),'Atividades Micro'!$K20,"")</f>
        <v/>
      </c>
      <c r="AX21" s="21" t="str">
        <f>IF(AND('Atividades Micro'!$B20=AX$2,'Atividades Micro'!$L20&lt;&gt;""),'Atividades Micro'!$L20,"")</f>
        <v/>
      </c>
      <c r="AY21" s="21" t="str">
        <f>IF(AND('Atividades Micro'!$A20=AY$2,'Atividades Micro'!$K20&lt;&gt;""),'Atividades Micro'!$K20,"")</f>
        <v/>
      </c>
      <c r="AZ21" s="21" t="str">
        <f>IF(AND('Atividades Micro'!$A20=AZ$2,'Atividades Micro'!$L20&lt;&gt;""),'Atividades Micro'!$L20,"")</f>
        <v/>
      </c>
      <c r="BA21" s="21" t="str">
        <f>IF(AND('Atividades Micro'!$B20=BA$2,'Atividades Micro'!$K20&lt;&gt;""),'Atividades Micro'!$K20,"")</f>
        <v/>
      </c>
      <c r="BB21" s="21" t="str">
        <f>IF(AND('Atividades Micro'!$B20=BB$2,'Atividades Micro'!$L20&lt;&gt;""),'Atividades Micro'!$L20,"")</f>
        <v/>
      </c>
      <c r="BC21" s="21" t="str">
        <f>IF(AND('Atividades Micro'!$B20=BC$2,'Atividades Micro'!$G20="Macro",'Atividades Micro'!$K20&lt;&gt;""),'Atividades Micro'!$K20,"")</f>
        <v/>
      </c>
      <c r="BD21" s="21" t="str">
        <f>IF(AND('Atividades Micro'!$B20=BD$2,'Atividades Micro'!$G20="Macro",'Atividades Micro'!$K20&lt;&gt;""),'Atividades Micro'!$K20,"")</f>
        <v/>
      </c>
      <c r="BE21" s="21" t="str">
        <f>IF(AND('Atividades Micro'!$B20=BE$2,'Atividades Micro'!$G20="Macro",'Atividades Micro'!$K20&lt;&gt;""),'Atividades Micro'!$K20,"")</f>
        <v/>
      </c>
      <c r="BF21" s="21" t="str">
        <f>IF(AND('Atividades Micro'!$B20=BF$2,'Atividades Micro'!$G20="Macro",'Atividades Micro'!$K20&lt;&gt;""),'Atividades Micro'!$K20,"")</f>
        <v/>
      </c>
      <c r="BG21" s="21" t="str">
        <f>IF(AND('Atividades Micro'!$B20=BG$2,'Atividades Micro'!$G20="Macro",'Atividades Micro'!$K20&lt;&gt;""),'Atividades Micro'!$K20,"")</f>
        <v/>
      </c>
      <c r="BH21" s="21" t="str">
        <f>IF(AND('Atividades Micro'!$B20=BH$2,'Atividades Micro'!$G20="Macro",'Atividades Micro'!$K20&lt;&gt;""),'Atividades Micro'!$K20,"")</f>
        <v/>
      </c>
      <c r="BI21" s="21" t="str">
        <f>IF(AND('Atividades Micro'!$B20=BI$2,'Atividades Micro'!$G20="Macro",'Atividades Micro'!$K20&lt;&gt;""),'Atividades Micro'!$K20,"")</f>
        <v/>
      </c>
      <c r="BJ21" s="21" t="str">
        <f>IF(AND('Atividades Micro'!$B20=BJ$2,'Atividades Micro'!$G20="Macro",'Atividades Micro'!$K20&lt;&gt;""),'Atividades Micro'!$K20,"")</f>
        <v/>
      </c>
      <c r="BK21" s="21" t="str">
        <f>IF(AND('Atividades Micro'!$B20=BK$2,'Atividades Micro'!$G20="Macro",'Atividades Micro'!$K20&lt;&gt;""),'Atividades Micro'!$K20,"")</f>
        <v/>
      </c>
      <c r="BL21" s="21" t="str">
        <f>IF(AND('Atividades Micro'!$B20=BL$2,'Atividades Micro'!$G20="Macro",'Atividades Micro'!$K20&lt;&gt;""),'Atividades Micro'!$K20,"")</f>
        <v/>
      </c>
      <c r="BM21" s="21" t="str">
        <f>IF(AND('Atividades Micro'!$B20=BM$2,'Atividades Micro'!$G20="Macro",'Atividades Micro'!$K20&lt;&gt;""),'Atividades Micro'!$K20,"")</f>
        <v/>
      </c>
      <c r="BN21" s="21" t="str">
        <f>IF(AND('Atividades Micro'!$B20=BN$2,'Atividades Micro'!$G20="Macro",'Atividades Micro'!$K20&lt;&gt;""),'Atividades Micro'!$K20,"")</f>
        <v/>
      </c>
      <c r="BO21" s="21" t="str">
        <f>IF(AND('Atividades Micro'!$B20=BO$2,'Atividades Micro'!$G20="Macro",'Atividades Micro'!$K20&lt;&gt;""),'Atividades Micro'!$K20,"")</f>
        <v/>
      </c>
      <c r="BP21" s="21" t="str">
        <f>IF(AND('Atividades Micro'!$B20=BP$2,'Atividades Micro'!$G20="Macro",'Atividades Micro'!$K20&lt;&gt;""),'Atividades Micro'!$K20,"")</f>
        <v/>
      </c>
      <c r="BQ21" s="21" t="str">
        <f>IF(AND('Atividades Micro'!$B20=BQ$2,'Atividades Micro'!$G20="Macro",'Atividades Micro'!$K20&lt;&gt;""),'Atividades Micro'!$K20,"")</f>
        <v/>
      </c>
      <c r="BR21" s="21" t="str">
        <f>IF(AND('Atividades Micro'!$B20=BR$2,'Atividades Micro'!$G20="Macro",'Atividades Micro'!$K20&lt;&gt;""),'Atividades Micro'!$K20,"")</f>
        <v/>
      </c>
      <c r="BS21" s="21" t="str">
        <f>IF(AND('Atividades Micro'!$B20=BS$2,'Atividades Micro'!$G20="Macro",'Atividades Micro'!$K20&lt;&gt;""),'Atividades Micro'!$K20,"")</f>
        <v/>
      </c>
      <c r="BT21" s="21" t="str">
        <f>IF(AND('Atividades Micro'!$B20=BT$2,'Atividades Micro'!$G20="Macro",'Atividades Micro'!$K20&lt;&gt;""),'Atividades Micro'!$K20,"")</f>
        <v/>
      </c>
      <c r="BU21" s="21" t="str">
        <f>IF(AND('Atividades Micro'!$B20=BU$2,'Atividades Micro'!$G20="Macro",'Atividades Micro'!$K20&lt;&gt;""),'Atividades Micro'!$K20,"")</f>
        <v/>
      </c>
      <c r="BV21" s="21" t="str">
        <f>IF(AND('Atividades Micro'!$B20=BV$2,'Atividades Micro'!$G20="Macro",'Atividades Micro'!$K20&lt;&gt;""),'Atividades Micro'!$K20,"")</f>
        <v/>
      </c>
      <c r="BW21" s="21" t="str">
        <f>IF(AND('Atividades Micro'!$B20=BW$2,'Atividades Micro'!$G20="Macro",'Atividades Micro'!$K20&lt;&gt;""),'Atividades Micro'!$K20,"")</f>
        <v/>
      </c>
      <c r="BX21" s="21" t="str">
        <f>IF(AND('Atividades Micro'!$B20=BX$2,'Atividades Micro'!$G20="Macro",'Atividades Micro'!$K20&lt;&gt;""),'Atividades Micro'!$K20,"")</f>
        <v/>
      </c>
      <c r="BY21" s="21" t="str">
        <f>IF(AND('Atividades Micro'!$B20=BY$2,'Atividades Micro'!$G20="Macro",'Atividades Micro'!$K20&lt;&gt;""),'Atividades Micro'!$K20,"")</f>
        <v/>
      </c>
      <c r="BZ21" s="21" t="str">
        <f>IF(AND('Atividades Micro'!$B20=BZ$2,'Atividades Micro'!$G20="Macro",'Atividades Micro'!$K20&lt;&gt;""),'Atividades Micro'!$K20,"")</f>
        <v/>
      </c>
      <c r="CA21" s="21" t="str">
        <f>IF(AND('Atividades Micro'!$B20=CA$2,'Atividades Micro'!$G20="Macro",'Atividades Micro'!$K20&lt;&gt;""),'Atividades Micro'!$K20,"")</f>
        <v/>
      </c>
      <c r="CB21" s="21" t="str">
        <f>IF(AND('Atividades Micro'!$B20=CB$2,'Atividades Micro'!$G20="Macro",'Atividades Micro'!$K20&lt;&gt;""),'Atividades Micro'!$K20,"")</f>
        <v/>
      </c>
      <c r="CC21" s="21" t="str">
        <f>IF(AND('Atividades Micro'!$B20=CC$2,'Atividades Micro'!$G20="Macro",'Atividades Micro'!$K20&lt;&gt;""),'Atividades Micro'!$K20,"")</f>
        <v/>
      </c>
      <c r="CD21" s="21">
        <f>IF(AND('Atividades Micro'!$B20=CD$2,'Atividades Micro'!$G20="Micro",'Atividades Micro'!$K20&lt;&gt;""),'Atividades Micro'!$K20,"")</f>
        <v>46233</v>
      </c>
      <c r="CE21" s="21" t="str">
        <f>IF(AND('Atividades Micro'!$B20=CE$2,'Atividades Micro'!$G20="Micro",'Atividades Micro'!$K20&lt;&gt;""),'Atividades Micro'!$K20,"")</f>
        <v/>
      </c>
      <c r="CF21" s="21" t="str">
        <f>IF(AND('Atividades Micro'!$B20=CF$2,'Atividades Micro'!$G20="Micro",'Atividades Micro'!$K20&lt;&gt;""),'Atividades Micro'!$K20,"")</f>
        <v/>
      </c>
      <c r="CG21" s="21" t="str">
        <f>IF(AND('Atividades Micro'!$B20=CG$2,'Atividades Micro'!$G20="Micro",'Atividades Micro'!$K20&lt;&gt;""),'Atividades Micro'!$K20,"")</f>
        <v/>
      </c>
      <c r="CH21" s="21" t="str">
        <f>IF(AND('Atividades Micro'!$B20=CH$2,'Atividades Micro'!$G20="Micro",'Atividades Micro'!$K20&lt;&gt;""),'Atividades Micro'!$K20,"")</f>
        <v/>
      </c>
      <c r="CI21" s="21" t="str">
        <f>IF(AND('Atividades Micro'!$B20=CI$2,'Atividades Micro'!$G20="Micro",'Atividades Micro'!$K20&lt;&gt;""),'Atividades Micro'!$K20,"")</f>
        <v/>
      </c>
      <c r="CJ21" s="21" t="str">
        <f>IF(AND('Atividades Micro'!$B20=CJ$2,'Atividades Micro'!$G20="Micro",'Atividades Micro'!$K20&lt;&gt;""),'Atividades Micro'!$K20,"")</f>
        <v/>
      </c>
      <c r="CK21" s="21" t="str">
        <f>IF(AND('Atividades Micro'!$B20=CK$2,'Atividades Micro'!$G20="Micro",'Atividades Micro'!$K20&lt;&gt;""),'Atividades Micro'!$K20,"")</f>
        <v/>
      </c>
      <c r="CL21" s="21" t="str">
        <f>IF(AND('Atividades Micro'!$B20=CL$2,'Atividades Micro'!$G20="Micro",'Atividades Micro'!$K20&lt;&gt;""),'Atividades Micro'!$K20,"")</f>
        <v/>
      </c>
      <c r="CM21" s="21" t="str">
        <f>IF(AND('Atividades Micro'!$B20=CM$2,'Atividades Micro'!$G20="Micro",'Atividades Micro'!$K20&lt;&gt;""),'Atividades Micro'!$K20,"")</f>
        <v/>
      </c>
      <c r="CN21" s="21" t="str">
        <f>IF(AND('Atividades Micro'!$B20=CN$2,'Atividades Micro'!$G20="Micro",'Atividades Micro'!$K20&lt;&gt;""),'Atividades Micro'!$K20,"")</f>
        <v/>
      </c>
      <c r="CO21" s="21" t="str">
        <f>IF(AND('Atividades Micro'!$B20=CO$2,'Atividades Micro'!$G20="Micro",'Atividades Micro'!$K20&lt;&gt;""),'Atividades Micro'!$K20,"")</f>
        <v/>
      </c>
    </row>
    <row r="22" spans="1:93">
      <c r="A22" s="21" t="str">
        <f>IF(AND('Atividades Micro'!$A21=A$2,'Atividades Micro'!$K21&lt;&gt;""),'Atividades Micro'!$K21,"")</f>
        <v/>
      </c>
      <c r="B22" s="21" t="str">
        <f>IF(AND('Atividades Micro'!$A21=B$2,'Atividades Micro'!$L21&lt;&gt;""),'Atividades Micro'!$L21,"")</f>
        <v/>
      </c>
      <c r="C22" s="21" t="str">
        <f>IF(AND('Atividades Micro'!$A21=C$2,'Atividades Micro'!$K21&lt;&gt;""),'Atividades Micro'!$K21,"")</f>
        <v/>
      </c>
      <c r="D22" s="21" t="str">
        <f>IF(AND('Atividades Micro'!$A21=D$2,'Atividades Micro'!$L21&lt;&gt;""),'Atividades Micro'!$L21,"")</f>
        <v/>
      </c>
      <c r="E22" s="21" t="str">
        <f>IF(AND('Atividades Micro'!$A21=E$2,'Atividades Micro'!$K21&lt;&gt;""),'Atividades Micro'!$K21,"")</f>
        <v/>
      </c>
      <c r="F22" s="21" t="str">
        <f>IF(AND('Atividades Micro'!$A21=F$2,'Atividades Micro'!$L21&lt;&gt;""),'Atividades Micro'!$L21,"")</f>
        <v/>
      </c>
      <c r="G22" s="21" t="str">
        <f>IF(AND('Atividades Micro'!$A21=G$2,'Atividades Micro'!$K21&lt;&gt;""),'Atividades Micro'!$K21,"")</f>
        <v/>
      </c>
      <c r="H22" s="21" t="str">
        <f>IF(AND('Atividades Micro'!$A21=H$2,'Atividades Micro'!$L21&lt;&gt;""),'Atividades Micro'!$L21,"")</f>
        <v/>
      </c>
      <c r="I22" s="21">
        <f>IF(AND('Atividades Micro'!$A21=I$2,'Atividades Micro'!$K21&lt;&gt;""),'Atividades Micro'!$K21,"")</f>
        <v>46238</v>
      </c>
      <c r="J22" s="21" t="str">
        <f>IF(AND('Atividades Micro'!$A21=J$2,'Atividades Micro'!$L21&lt;&gt;""),'Atividades Micro'!$L21,"")</f>
        <v/>
      </c>
      <c r="K22" s="21">
        <f>IF(AND('Atividades Micro'!$B21=K$2,'Atividades Micro'!$K21&lt;&gt;""),'Atividades Micro'!$K21,"")</f>
        <v>46238</v>
      </c>
      <c r="L22" s="21" t="str">
        <f>IF(AND('Atividades Micro'!$B21=L$2,'Atividades Micro'!$L21&lt;&gt;""),'Atividades Micro'!$L21,"")</f>
        <v/>
      </c>
      <c r="M22" s="21" t="str">
        <f>IF(AND('Atividades Micro'!$B21=M$2,'Atividades Micro'!$K21&lt;&gt;""),'Atividades Micro'!$K21,"")</f>
        <v/>
      </c>
      <c r="N22" s="21" t="str">
        <f>IF(AND('Atividades Micro'!$B21=N$2,'Atividades Micro'!$L21&lt;&gt;""),'Atividades Micro'!$L21,"")</f>
        <v/>
      </c>
      <c r="O22" s="21" t="str">
        <f>IF(AND('Atividades Micro'!$A21=O$2,'Atividades Micro'!$K21&lt;&gt;""),'Atividades Micro'!$K21,"")</f>
        <v/>
      </c>
      <c r="P22" s="21" t="str">
        <f>IF(AND('Atividades Micro'!$A21=P$2,'Atividades Micro'!$L21&lt;&gt;""),'Atividades Micro'!$L21,"")</f>
        <v/>
      </c>
      <c r="Q22" s="21" t="str">
        <f>IF(AND('Atividades Micro'!$B21=Q$2,'Atividades Micro'!$K21&lt;&gt;""),'Atividades Micro'!$K21,"")</f>
        <v/>
      </c>
      <c r="R22" s="21" t="str">
        <f>IF(AND('Atividades Micro'!$B21=R$2,'Atividades Micro'!$L21&lt;&gt;""),'Atividades Micro'!$L21,"")</f>
        <v/>
      </c>
      <c r="S22" s="21" t="str">
        <f>IF(AND('Atividades Micro'!$A21=S$2,'Atividades Micro'!$K21&lt;&gt;""),'Atividades Micro'!$K21,"")</f>
        <v/>
      </c>
      <c r="T22" s="21" t="str">
        <f>IF(AND('Atividades Micro'!$A21=T$2,'Atividades Micro'!$L21&lt;&gt;""),'Atividades Micro'!$L21,"")</f>
        <v/>
      </c>
      <c r="U22" s="21" t="str">
        <f>IF(AND('Atividades Micro'!$B21=U$2,'Atividades Micro'!$K21&lt;&gt;""),'Atividades Micro'!$K21,"")</f>
        <v/>
      </c>
      <c r="V22" s="21" t="str">
        <f>IF(AND('Atividades Micro'!$B21=V$2,'Atividades Micro'!$L21&lt;&gt;""),'Atividades Micro'!$L21,"")</f>
        <v/>
      </c>
      <c r="W22" s="21" t="str">
        <f>IF(AND('Atividades Micro'!$B21=W$2,'Atividades Micro'!$K21&lt;&gt;""),'Atividades Micro'!$K21,"")</f>
        <v/>
      </c>
      <c r="X22" s="21" t="str">
        <f>IF(AND('Atividades Micro'!$B21=X$2,'Atividades Micro'!$L21&lt;&gt;""),'Atividades Micro'!$L21,"")</f>
        <v/>
      </c>
      <c r="Y22" s="21" t="str">
        <f>IF(AND('Atividades Micro'!$A21=Y$2,'Atividades Micro'!$K21&lt;&gt;""),'Atividades Micro'!$K21,"")</f>
        <v/>
      </c>
      <c r="Z22" s="21" t="str">
        <f>IF(AND('Atividades Micro'!$A21=Z$2,'Atividades Micro'!$L21&lt;&gt;""),'Atividades Micro'!$L21,"")</f>
        <v/>
      </c>
      <c r="AA22" s="21" t="str">
        <f>IF(AND('Atividades Micro'!$B21=AA$2,'Atividades Micro'!$K21&lt;&gt;""),'Atividades Micro'!$K21,"")</f>
        <v/>
      </c>
      <c r="AB22" s="21" t="str">
        <f>IF(AND('Atividades Micro'!$B21=AB$2,'Atividades Micro'!$L21&lt;&gt;""),'Atividades Micro'!$L21,"")</f>
        <v/>
      </c>
      <c r="AC22" s="21" t="str">
        <f>IF(AND('Atividades Micro'!$B21=AC$2,'Atividades Micro'!$K21&lt;&gt;""),'Atividades Micro'!$K21,"")</f>
        <v/>
      </c>
      <c r="AD22" s="21" t="str">
        <f>IF(AND('Atividades Micro'!$B21=AD$2,'Atividades Micro'!$L21&lt;&gt;""),'Atividades Micro'!$L21,"")</f>
        <v/>
      </c>
      <c r="AE22" s="21" t="str">
        <f>IF(AND('Atividades Micro'!$A21=AE$2,'Atividades Micro'!$K21&lt;&gt;""),'Atividades Micro'!$K21,"")</f>
        <v/>
      </c>
      <c r="AF22" s="21" t="str">
        <f>IF(AND('Atividades Micro'!$A21=AF$2,'Atividades Micro'!$L21&lt;&gt;""),'Atividades Micro'!$L21,"")</f>
        <v/>
      </c>
      <c r="AG22" s="21" t="str">
        <f>IF(AND('Atividades Micro'!$B21=AG$2,'Atividades Micro'!$K21&lt;&gt;""),'Atividades Micro'!$K21,"")</f>
        <v/>
      </c>
      <c r="AH22" s="21" t="str">
        <f>IF(AND('Atividades Micro'!$B21=AH$2,'Atividades Micro'!$L21&lt;&gt;""),'Atividades Micro'!$L21,"")</f>
        <v/>
      </c>
      <c r="AI22" s="21" t="str">
        <f>IF(AND('Atividades Micro'!$B21=AI$2,'Atividades Micro'!$K21&lt;&gt;""),'Atividades Micro'!$K21,"")</f>
        <v/>
      </c>
      <c r="AJ22" s="21" t="str">
        <f>IF(AND('Atividades Micro'!$B21=AJ$2,'Atividades Micro'!$L21&lt;&gt;""),'Atividades Micro'!$L21,"")</f>
        <v/>
      </c>
      <c r="AK22" s="21" t="str">
        <f>IF(AND('Atividades Micro'!$A21=AK$2,'Atividades Micro'!$K21&lt;&gt;""),'Atividades Micro'!$K21,"")</f>
        <v/>
      </c>
      <c r="AL22" s="21" t="str">
        <f>IF(AND('Atividades Micro'!$A21=AL$2,'Atividades Micro'!$L21&lt;&gt;""),'Atividades Micro'!$L21,"")</f>
        <v/>
      </c>
      <c r="AM22" s="21" t="str">
        <f>IF(AND('Atividades Micro'!$B21=AM$2,'Atividades Micro'!$K21&lt;&gt;""),'Atividades Micro'!$K21,"")</f>
        <v/>
      </c>
      <c r="AN22" s="21" t="str">
        <f>IF(AND('Atividades Micro'!$B21=AN$2,'Atividades Micro'!$L21&lt;&gt;""),'Atividades Micro'!$L21,"")</f>
        <v/>
      </c>
      <c r="AO22" s="21" t="str">
        <f>IF(AND('Atividades Micro'!$B21=AO$2,'Atividades Micro'!$K21&lt;&gt;""),'Atividades Micro'!$K21,"")</f>
        <v/>
      </c>
      <c r="AP22" s="21" t="str">
        <f>IF(AND('Atividades Micro'!$B21=AP$2,'Atividades Micro'!$L21&lt;&gt;""),'Atividades Micro'!$L21,"")</f>
        <v/>
      </c>
      <c r="AQ22" s="21" t="str">
        <f>IF(AND('Atividades Micro'!$A21=AQ$2,'Atividades Micro'!$K21&lt;&gt;""),'Atividades Micro'!$K21,"")</f>
        <v/>
      </c>
      <c r="AR22" s="21" t="str">
        <f>IF(AND('Atividades Micro'!$A21=AR$2,'Atividades Micro'!$L21&lt;&gt;""),'Atividades Micro'!$L21,"")</f>
        <v/>
      </c>
      <c r="AS22" s="21" t="str">
        <f>IF(AND('Atividades Micro'!$B21=AS$2,'Atividades Micro'!$K21&lt;&gt;""),'Atividades Micro'!$K21,"")</f>
        <v/>
      </c>
      <c r="AT22" s="21" t="str">
        <f>IF(AND('Atividades Micro'!$B21=AT$2,'Atividades Micro'!$L21&lt;&gt;""),'Atividades Micro'!$L21,"")</f>
        <v/>
      </c>
      <c r="AU22" s="21" t="str">
        <f>IF(AND('Atividades Micro'!$A21=AU$2,'Atividades Micro'!$K21&lt;&gt;""),'Atividades Micro'!$K21,"")</f>
        <v/>
      </c>
      <c r="AV22" s="21" t="str">
        <f>IF(AND('Atividades Micro'!$A21=AV$2,'Atividades Micro'!$L21&lt;&gt;""),'Atividades Micro'!$L21,"")</f>
        <v/>
      </c>
      <c r="AW22" s="21" t="str">
        <f>IF(AND('Atividades Micro'!$B21=AW$2,'Atividades Micro'!$K21&lt;&gt;""),'Atividades Micro'!$K21,"")</f>
        <v/>
      </c>
      <c r="AX22" s="21" t="str">
        <f>IF(AND('Atividades Micro'!$B21=AX$2,'Atividades Micro'!$L21&lt;&gt;""),'Atividades Micro'!$L21,"")</f>
        <v/>
      </c>
      <c r="AY22" s="21" t="str">
        <f>IF(AND('Atividades Micro'!$A21=AY$2,'Atividades Micro'!$K21&lt;&gt;""),'Atividades Micro'!$K21,"")</f>
        <v/>
      </c>
      <c r="AZ22" s="21" t="str">
        <f>IF(AND('Atividades Micro'!$A21=AZ$2,'Atividades Micro'!$L21&lt;&gt;""),'Atividades Micro'!$L21,"")</f>
        <v/>
      </c>
      <c r="BA22" s="21" t="str">
        <f>IF(AND('Atividades Micro'!$B21=BA$2,'Atividades Micro'!$K21&lt;&gt;""),'Atividades Micro'!$K21,"")</f>
        <v/>
      </c>
      <c r="BB22" s="21" t="str">
        <f>IF(AND('Atividades Micro'!$B21=BB$2,'Atividades Micro'!$L21&lt;&gt;""),'Atividades Micro'!$L21,"")</f>
        <v/>
      </c>
      <c r="BC22" s="21" t="str">
        <f>IF(AND('Atividades Micro'!$B21=BC$2,'Atividades Micro'!$G21="Macro",'Atividades Micro'!$K21&lt;&gt;""),'Atividades Micro'!$K21,"")</f>
        <v/>
      </c>
      <c r="BD22" s="21" t="str">
        <f>IF(AND('Atividades Micro'!$B21=BD$2,'Atividades Micro'!$G21="Macro",'Atividades Micro'!$K21&lt;&gt;""),'Atividades Micro'!$K21,"")</f>
        <v/>
      </c>
      <c r="BE22" s="21" t="str">
        <f>IF(AND('Atividades Micro'!$B21=BE$2,'Atividades Micro'!$G21="Macro",'Atividades Micro'!$K21&lt;&gt;""),'Atividades Micro'!$K21,"")</f>
        <v/>
      </c>
      <c r="BF22" s="21" t="str">
        <f>IF(AND('Atividades Micro'!$B21=BF$2,'Atividades Micro'!$G21="Macro",'Atividades Micro'!$K21&lt;&gt;""),'Atividades Micro'!$K21,"")</f>
        <v/>
      </c>
      <c r="BG22" s="21" t="str">
        <f>IF(AND('Atividades Micro'!$B21=BG$2,'Atividades Micro'!$G21="Macro",'Atividades Micro'!$K21&lt;&gt;""),'Atividades Micro'!$K21,"")</f>
        <v/>
      </c>
      <c r="BH22" s="21" t="str">
        <f>IF(AND('Atividades Micro'!$B21=BH$2,'Atividades Micro'!$G21="Macro",'Atividades Micro'!$K21&lt;&gt;""),'Atividades Micro'!$K21,"")</f>
        <v/>
      </c>
      <c r="BI22" s="21" t="str">
        <f>IF(AND('Atividades Micro'!$B21=BI$2,'Atividades Micro'!$G21="Macro",'Atividades Micro'!$K21&lt;&gt;""),'Atividades Micro'!$K21,"")</f>
        <v/>
      </c>
      <c r="BJ22" s="21" t="str">
        <f>IF(AND('Atividades Micro'!$B21=BJ$2,'Atividades Micro'!$G21="Macro",'Atividades Micro'!$K21&lt;&gt;""),'Atividades Micro'!$K21,"")</f>
        <v/>
      </c>
      <c r="BK22" s="21" t="str">
        <f>IF(AND('Atividades Micro'!$B21=BK$2,'Atividades Micro'!$G21="Macro",'Atividades Micro'!$K21&lt;&gt;""),'Atividades Micro'!$K21,"")</f>
        <v/>
      </c>
      <c r="BL22" s="21" t="str">
        <f>IF(AND('Atividades Micro'!$B21=BL$2,'Atividades Micro'!$G21="Macro",'Atividades Micro'!$K21&lt;&gt;""),'Atividades Micro'!$K21,"")</f>
        <v/>
      </c>
      <c r="BM22" s="21" t="str">
        <f>IF(AND('Atividades Micro'!$B21=BM$2,'Atividades Micro'!$G21="Macro",'Atividades Micro'!$K21&lt;&gt;""),'Atividades Micro'!$K21,"")</f>
        <v/>
      </c>
      <c r="BN22" s="21" t="str">
        <f>IF(AND('Atividades Micro'!$B21=BN$2,'Atividades Micro'!$G21="Macro",'Atividades Micro'!$K21&lt;&gt;""),'Atividades Micro'!$K21,"")</f>
        <v/>
      </c>
      <c r="BO22" s="21" t="str">
        <f>IF(AND('Atividades Micro'!$B21=BO$2,'Atividades Micro'!$G21="Macro",'Atividades Micro'!$K21&lt;&gt;""),'Atividades Micro'!$K21,"")</f>
        <v/>
      </c>
      <c r="BP22" s="21" t="str">
        <f>IF(AND('Atividades Micro'!$B21=BP$2,'Atividades Micro'!$G21="Macro",'Atividades Micro'!$K21&lt;&gt;""),'Atividades Micro'!$K21,"")</f>
        <v/>
      </c>
      <c r="BQ22" s="21" t="str">
        <f>IF(AND('Atividades Micro'!$B21=BQ$2,'Atividades Micro'!$G21="Macro",'Atividades Micro'!$K21&lt;&gt;""),'Atividades Micro'!$K21,"")</f>
        <v/>
      </c>
      <c r="BR22" s="21" t="str">
        <f>IF(AND('Atividades Micro'!$B21=BR$2,'Atividades Micro'!$G21="Macro",'Atividades Micro'!$K21&lt;&gt;""),'Atividades Micro'!$K21,"")</f>
        <v/>
      </c>
      <c r="BS22" s="21" t="str">
        <f>IF(AND('Atividades Micro'!$B21=BS$2,'Atividades Micro'!$G21="Macro",'Atividades Micro'!$K21&lt;&gt;""),'Atividades Micro'!$K21,"")</f>
        <v/>
      </c>
      <c r="BT22" s="21" t="str">
        <f>IF(AND('Atividades Micro'!$B21=BT$2,'Atividades Micro'!$G21="Macro",'Atividades Micro'!$K21&lt;&gt;""),'Atividades Micro'!$K21,"")</f>
        <v/>
      </c>
      <c r="BU22" s="21" t="str">
        <f>IF(AND('Atividades Micro'!$B21=BU$2,'Atividades Micro'!$G21="Macro",'Atividades Micro'!$K21&lt;&gt;""),'Atividades Micro'!$K21,"")</f>
        <v/>
      </c>
      <c r="BV22" s="21" t="str">
        <f>IF(AND('Atividades Micro'!$B21=BV$2,'Atividades Micro'!$G21="Macro",'Atividades Micro'!$K21&lt;&gt;""),'Atividades Micro'!$K21,"")</f>
        <v/>
      </c>
      <c r="BW22" s="21" t="str">
        <f>IF(AND('Atividades Micro'!$B21=BW$2,'Atividades Micro'!$G21="Macro",'Atividades Micro'!$K21&lt;&gt;""),'Atividades Micro'!$K21,"")</f>
        <v/>
      </c>
      <c r="BX22" s="21" t="str">
        <f>IF(AND('Atividades Micro'!$B21=BX$2,'Atividades Micro'!$G21="Macro",'Atividades Micro'!$K21&lt;&gt;""),'Atividades Micro'!$K21,"")</f>
        <v/>
      </c>
      <c r="BY22" s="21" t="str">
        <f>IF(AND('Atividades Micro'!$B21=BY$2,'Atividades Micro'!$G21="Macro",'Atividades Micro'!$K21&lt;&gt;""),'Atividades Micro'!$K21,"")</f>
        <v/>
      </c>
      <c r="BZ22" s="21" t="str">
        <f>IF(AND('Atividades Micro'!$B21=BZ$2,'Atividades Micro'!$G21="Macro",'Atividades Micro'!$K21&lt;&gt;""),'Atividades Micro'!$K21,"")</f>
        <v/>
      </c>
      <c r="CA22" s="21" t="str">
        <f>IF(AND('Atividades Micro'!$B21=CA$2,'Atividades Micro'!$G21="Macro",'Atividades Micro'!$K21&lt;&gt;""),'Atividades Micro'!$K21,"")</f>
        <v/>
      </c>
      <c r="CB22" s="21" t="str">
        <f>IF(AND('Atividades Micro'!$B21=CB$2,'Atividades Micro'!$G21="Macro",'Atividades Micro'!$K21&lt;&gt;""),'Atividades Micro'!$K21,"")</f>
        <v/>
      </c>
      <c r="CC22" s="21" t="str">
        <f>IF(AND('Atividades Micro'!$B21=CC$2,'Atividades Micro'!$G21="Macro",'Atividades Micro'!$K21&lt;&gt;""),'Atividades Micro'!$K21,"")</f>
        <v/>
      </c>
      <c r="CD22" s="21">
        <f>IF(AND('Atividades Micro'!$B21=CD$2,'Atividades Micro'!$G21="Micro",'Atividades Micro'!$K21&lt;&gt;""),'Atividades Micro'!$K21,"")</f>
        <v>46238</v>
      </c>
      <c r="CE22" s="21" t="str">
        <f>IF(AND('Atividades Micro'!$B21=CE$2,'Atividades Micro'!$G21="Micro",'Atividades Micro'!$K21&lt;&gt;""),'Atividades Micro'!$K21,"")</f>
        <v/>
      </c>
      <c r="CF22" s="21" t="str">
        <f>IF(AND('Atividades Micro'!$B21=CF$2,'Atividades Micro'!$G21="Micro",'Atividades Micro'!$K21&lt;&gt;""),'Atividades Micro'!$K21,"")</f>
        <v/>
      </c>
      <c r="CG22" s="21" t="str">
        <f>IF(AND('Atividades Micro'!$B21=CG$2,'Atividades Micro'!$G21="Micro",'Atividades Micro'!$K21&lt;&gt;""),'Atividades Micro'!$K21,"")</f>
        <v/>
      </c>
      <c r="CH22" s="21" t="str">
        <f>IF(AND('Atividades Micro'!$B21=CH$2,'Atividades Micro'!$G21="Micro",'Atividades Micro'!$K21&lt;&gt;""),'Atividades Micro'!$K21,"")</f>
        <v/>
      </c>
      <c r="CI22" s="21" t="str">
        <f>IF(AND('Atividades Micro'!$B21=CI$2,'Atividades Micro'!$G21="Micro",'Atividades Micro'!$K21&lt;&gt;""),'Atividades Micro'!$K21,"")</f>
        <v/>
      </c>
      <c r="CJ22" s="21" t="str">
        <f>IF(AND('Atividades Micro'!$B21=CJ$2,'Atividades Micro'!$G21="Micro",'Atividades Micro'!$K21&lt;&gt;""),'Atividades Micro'!$K21,"")</f>
        <v/>
      </c>
      <c r="CK22" s="21" t="str">
        <f>IF(AND('Atividades Micro'!$B21=CK$2,'Atividades Micro'!$G21="Micro",'Atividades Micro'!$K21&lt;&gt;""),'Atividades Micro'!$K21,"")</f>
        <v/>
      </c>
      <c r="CL22" s="21" t="str">
        <f>IF(AND('Atividades Micro'!$B21=CL$2,'Atividades Micro'!$G21="Micro",'Atividades Micro'!$K21&lt;&gt;""),'Atividades Micro'!$K21,"")</f>
        <v/>
      </c>
      <c r="CM22" s="21" t="str">
        <f>IF(AND('Atividades Micro'!$B21=CM$2,'Atividades Micro'!$G21="Micro",'Atividades Micro'!$K21&lt;&gt;""),'Atividades Micro'!$K21,"")</f>
        <v/>
      </c>
      <c r="CN22" s="21" t="str">
        <f>IF(AND('Atividades Micro'!$B21=CN$2,'Atividades Micro'!$G21="Micro",'Atividades Micro'!$K21&lt;&gt;""),'Atividades Micro'!$K21,"")</f>
        <v/>
      </c>
      <c r="CO22" s="21" t="str">
        <f>IF(AND('Atividades Micro'!$B21=CO$2,'Atividades Micro'!$G21="Micro",'Atividades Micro'!$K21&lt;&gt;""),'Atividades Micro'!$K21,"")</f>
        <v/>
      </c>
    </row>
    <row r="23" spans="1:93">
      <c r="A23" s="21" t="str">
        <f>IF(AND('Atividades Micro'!$A22=A$2,'Atividades Micro'!$K22&lt;&gt;""),'Atividades Micro'!$K22,"")</f>
        <v/>
      </c>
      <c r="B23" s="21" t="str">
        <f>IF(AND('Atividades Micro'!$A22=B$2,'Atividades Micro'!$L22&lt;&gt;""),'Atividades Micro'!$L22,"")</f>
        <v/>
      </c>
      <c r="C23" s="21" t="str">
        <f>IF(AND('Atividades Micro'!$A22=C$2,'Atividades Micro'!$K22&lt;&gt;""),'Atividades Micro'!$K22,"")</f>
        <v/>
      </c>
      <c r="D23" s="21" t="str">
        <f>IF(AND('Atividades Micro'!$A22=D$2,'Atividades Micro'!$L22&lt;&gt;""),'Atividades Micro'!$L22,"")</f>
        <v/>
      </c>
      <c r="E23" s="21" t="str">
        <f>IF(AND('Atividades Micro'!$A22=E$2,'Atividades Micro'!$K22&lt;&gt;""),'Atividades Micro'!$K22,"")</f>
        <v/>
      </c>
      <c r="F23" s="21" t="str">
        <f>IF(AND('Atividades Micro'!$A22=F$2,'Atividades Micro'!$L22&lt;&gt;""),'Atividades Micro'!$L22,"")</f>
        <v/>
      </c>
      <c r="G23" s="21" t="str">
        <f>IF(AND('Atividades Micro'!$A22=G$2,'Atividades Micro'!$K22&lt;&gt;""),'Atividades Micro'!$K22,"")</f>
        <v/>
      </c>
      <c r="H23" s="21" t="str">
        <f>IF(AND('Atividades Micro'!$A22=H$2,'Atividades Micro'!$L22&lt;&gt;""),'Atividades Micro'!$L22,"")</f>
        <v/>
      </c>
      <c r="I23" s="21">
        <f>IF(AND('Atividades Micro'!$A22=I$2,'Atividades Micro'!$K22&lt;&gt;""),'Atividades Micro'!$K22,"")</f>
        <v>46234</v>
      </c>
      <c r="J23" s="21" t="str">
        <f>IF(AND('Atividades Micro'!$A22=J$2,'Atividades Micro'!$L22&lt;&gt;""),'Atividades Micro'!$L22,"")</f>
        <v/>
      </c>
      <c r="K23" s="21">
        <f>IF(AND('Atividades Micro'!$B22=K$2,'Atividades Micro'!$K22&lt;&gt;""),'Atividades Micro'!$K22,"")</f>
        <v>46234</v>
      </c>
      <c r="L23" s="21" t="str">
        <f>IF(AND('Atividades Micro'!$B22=L$2,'Atividades Micro'!$L22&lt;&gt;""),'Atividades Micro'!$L22,"")</f>
        <v/>
      </c>
      <c r="M23" s="21" t="str">
        <f>IF(AND('Atividades Micro'!$B22=M$2,'Atividades Micro'!$K22&lt;&gt;""),'Atividades Micro'!$K22,"")</f>
        <v/>
      </c>
      <c r="N23" s="21" t="str">
        <f>IF(AND('Atividades Micro'!$B22=N$2,'Atividades Micro'!$L22&lt;&gt;""),'Atividades Micro'!$L22,"")</f>
        <v/>
      </c>
      <c r="O23" s="21" t="str">
        <f>IF(AND('Atividades Micro'!$A22=O$2,'Atividades Micro'!$K22&lt;&gt;""),'Atividades Micro'!$K22,"")</f>
        <v/>
      </c>
      <c r="P23" s="21" t="str">
        <f>IF(AND('Atividades Micro'!$A22=P$2,'Atividades Micro'!$L22&lt;&gt;""),'Atividades Micro'!$L22,"")</f>
        <v/>
      </c>
      <c r="Q23" s="21" t="str">
        <f>IF(AND('Atividades Micro'!$B22=Q$2,'Atividades Micro'!$K22&lt;&gt;""),'Atividades Micro'!$K22,"")</f>
        <v/>
      </c>
      <c r="R23" s="21" t="str">
        <f>IF(AND('Atividades Micro'!$B22=R$2,'Atividades Micro'!$L22&lt;&gt;""),'Atividades Micro'!$L22,"")</f>
        <v/>
      </c>
      <c r="S23" s="21" t="str">
        <f>IF(AND('Atividades Micro'!$A22=S$2,'Atividades Micro'!$K22&lt;&gt;""),'Atividades Micro'!$K22,"")</f>
        <v/>
      </c>
      <c r="T23" s="21" t="str">
        <f>IF(AND('Atividades Micro'!$A22=T$2,'Atividades Micro'!$L22&lt;&gt;""),'Atividades Micro'!$L22,"")</f>
        <v/>
      </c>
      <c r="U23" s="21" t="str">
        <f>IF(AND('Atividades Micro'!$B22=U$2,'Atividades Micro'!$K22&lt;&gt;""),'Atividades Micro'!$K22,"")</f>
        <v/>
      </c>
      <c r="V23" s="21" t="str">
        <f>IF(AND('Atividades Micro'!$B22=V$2,'Atividades Micro'!$L22&lt;&gt;""),'Atividades Micro'!$L22,"")</f>
        <v/>
      </c>
      <c r="W23" s="21" t="str">
        <f>IF(AND('Atividades Micro'!$B22=W$2,'Atividades Micro'!$K22&lt;&gt;""),'Atividades Micro'!$K22,"")</f>
        <v/>
      </c>
      <c r="X23" s="21" t="str">
        <f>IF(AND('Atividades Micro'!$B22=X$2,'Atividades Micro'!$L22&lt;&gt;""),'Atividades Micro'!$L22,"")</f>
        <v/>
      </c>
      <c r="Y23" s="21" t="str">
        <f>IF(AND('Atividades Micro'!$A22=Y$2,'Atividades Micro'!$K22&lt;&gt;""),'Atividades Micro'!$K22,"")</f>
        <v/>
      </c>
      <c r="Z23" s="21" t="str">
        <f>IF(AND('Atividades Micro'!$A22=Z$2,'Atividades Micro'!$L22&lt;&gt;""),'Atividades Micro'!$L22,"")</f>
        <v/>
      </c>
      <c r="AA23" s="21" t="str">
        <f>IF(AND('Atividades Micro'!$B22=AA$2,'Atividades Micro'!$K22&lt;&gt;""),'Atividades Micro'!$K22,"")</f>
        <v/>
      </c>
      <c r="AB23" s="21" t="str">
        <f>IF(AND('Atividades Micro'!$B22=AB$2,'Atividades Micro'!$L22&lt;&gt;""),'Atividades Micro'!$L22,"")</f>
        <v/>
      </c>
      <c r="AC23" s="21" t="str">
        <f>IF(AND('Atividades Micro'!$B22=AC$2,'Atividades Micro'!$K22&lt;&gt;""),'Atividades Micro'!$K22,"")</f>
        <v/>
      </c>
      <c r="AD23" s="21" t="str">
        <f>IF(AND('Atividades Micro'!$B22=AD$2,'Atividades Micro'!$L22&lt;&gt;""),'Atividades Micro'!$L22,"")</f>
        <v/>
      </c>
      <c r="AE23" s="21" t="str">
        <f>IF(AND('Atividades Micro'!$A22=AE$2,'Atividades Micro'!$K22&lt;&gt;""),'Atividades Micro'!$K22,"")</f>
        <v/>
      </c>
      <c r="AF23" s="21" t="str">
        <f>IF(AND('Atividades Micro'!$A22=AF$2,'Atividades Micro'!$L22&lt;&gt;""),'Atividades Micro'!$L22,"")</f>
        <v/>
      </c>
      <c r="AG23" s="21" t="str">
        <f>IF(AND('Atividades Micro'!$B22=AG$2,'Atividades Micro'!$K22&lt;&gt;""),'Atividades Micro'!$K22,"")</f>
        <v/>
      </c>
      <c r="AH23" s="21" t="str">
        <f>IF(AND('Atividades Micro'!$B22=AH$2,'Atividades Micro'!$L22&lt;&gt;""),'Atividades Micro'!$L22,"")</f>
        <v/>
      </c>
      <c r="AI23" s="21" t="str">
        <f>IF(AND('Atividades Micro'!$B22=AI$2,'Atividades Micro'!$K22&lt;&gt;""),'Atividades Micro'!$K22,"")</f>
        <v/>
      </c>
      <c r="AJ23" s="21" t="str">
        <f>IF(AND('Atividades Micro'!$B22=AJ$2,'Atividades Micro'!$L22&lt;&gt;""),'Atividades Micro'!$L22,"")</f>
        <v/>
      </c>
      <c r="AK23" s="21" t="str">
        <f>IF(AND('Atividades Micro'!$A22=AK$2,'Atividades Micro'!$K22&lt;&gt;""),'Atividades Micro'!$K22,"")</f>
        <v/>
      </c>
      <c r="AL23" s="21" t="str">
        <f>IF(AND('Atividades Micro'!$A22=AL$2,'Atividades Micro'!$L22&lt;&gt;""),'Atividades Micro'!$L22,"")</f>
        <v/>
      </c>
      <c r="AM23" s="21" t="str">
        <f>IF(AND('Atividades Micro'!$B22=AM$2,'Atividades Micro'!$K22&lt;&gt;""),'Atividades Micro'!$K22,"")</f>
        <v/>
      </c>
      <c r="AN23" s="21" t="str">
        <f>IF(AND('Atividades Micro'!$B22=AN$2,'Atividades Micro'!$L22&lt;&gt;""),'Atividades Micro'!$L22,"")</f>
        <v/>
      </c>
      <c r="AO23" s="21" t="str">
        <f>IF(AND('Atividades Micro'!$B22=AO$2,'Atividades Micro'!$K22&lt;&gt;""),'Atividades Micro'!$K22,"")</f>
        <v/>
      </c>
      <c r="AP23" s="21" t="str">
        <f>IF(AND('Atividades Micro'!$B22=AP$2,'Atividades Micro'!$L22&lt;&gt;""),'Atividades Micro'!$L22,"")</f>
        <v/>
      </c>
      <c r="AQ23" s="21" t="str">
        <f>IF(AND('Atividades Micro'!$A22=AQ$2,'Atividades Micro'!$K22&lt;&gt;""),'Atividades Micro'!$K22,"")</f>
        <v/>
      </c>
      <c r="AR23" s="21" t="str">
        <f>IF(AND('Atividades Micro'!$A22=AR$2,'Atividades Micro'!$L22&lt;&gt;""),'Atividades Micro'!$L22,"")</f>
        <v/>
      </c>
      <c r="AS23" s="21" t="str">
        <f>IF(AND('Atividades Micro'!$B22=AS$2,'Atividades Micro'!$K22&lt;&gt;""),'Atividades Micro'!$K22,"")</f>
        <v/>
      </c>
      <c r="AT23" s="21" t="str">
        <f>IF(AND('Atividades Micro'!$B22=AT$2,'Atividades Micro'!$L22&lt;&gt;""),'Atividades Micro'!$L22,"")</f>
        <v/>
      </c>
      <c r="AU23" s="21" t="str">
        <f>IF(AND('Atividades Micro'!$A22=AU$2,'Atividades Micro'!$K22&lt;&gt;""),'Atividades Micro'!$K22,"")</f>
        <v/>
      </c>
      <c r="AV23" s="21" t="str">
        <f>IF(AND('Atividades Micro'!$A22=AV$2,'Atividades Micro'!$L22&lt;&gt;""),'Atividades Micro'!$L22,"")</f>
        <v/>
      </c>
      <c r="AW23" s="21" t="str">
        <f>IF(AND('Atividades Micro'!$B22=AW$2,'Atividades Micro'!$K22&lt;&gt;""),'Atividades Micro'!$K22,"")</f>
        <v/>
      </c>
      <c r="AX23" s="21" t="str">
        <f>IF(AND('Atividades Micro'!$B22=AX$2,'Atividades Micro'!$L22&lt;&gt;""),'Atividades Micro'!$L22,"")</f>
        <v/>
      </c>
      <c r="AY23" s="21" t="str">
        <f>IF(AND('Atividades Micro'!$A22=AY$2,'Atividades Micro'!$K22&lt;&gt;""),'Atividades Micro'!$K22,"")</f>
        <v/>
      </c>
      <c r="AZ23" s="21" t="str">
        <f>IF(AND('Atividades Micro'!$A22=AZ$2,'Atividades Micro'!$L22&lt;&gt;""),'Atividades Micro'!$L22,"")</f>
        <v/>
      </c>
      <c r="BA23" s="21" t="str">
        <f>IF(AND('Atividades Micro'!$B22=BA$2,'Atividades Micro'!$K22&lt;&gt;""),'Atividades Micro'!$K22,"")</f>
        <v/>
      </c>
      <c r="BB23" s="21" t="str">
        <f>IF(AND('Atividades Micro'!$B22=BB$2,'Atividades Micro'!$L22&lt;&gt;""),'Atividades Micro'!$L22,"")</f>
        <v/>
      </c>
      <c r="BC23" s="21" t="str">
        <f>IF(AND('Atividades Micro'!$B22=BC$2,'Atividades Micro'!$G22="Macro",'Atividades Micro'!$K22&lt;&gt;""),'Atividades Micro'!$K22,"")</f>
        <v/>
      </c>
      <c r="BD23" s="21" t="str">
        <f>IF(AND('Atividades Micro'!$B22=BD$2,'Atividades Micro'!$G22="Macro",'Atividades Micro'!$K22&lt;&gt;""),'Atividades Micro'!$K22,"")</f>
        <v/>
      </c>
      <c r="BE23" s="21" t="str">
        <f>IF(AND('Atividades Micro'!$B22=BE$2,'Atividades Micro'!$G22="Macro",'Atividades Micro'!$K22&lt;&gt;""),'Atividades Micro'!$K22,"")</f>
        <v/>
      </c>
      <c r="BF23" s="21" t="str">
        <f>IF(AND('Atividades Micro'!$B22=BF$2,'Atividades Micro'!$G22="Macro",'Atividades Micro'!$K22&lt;&gt;""),'Atividades Micro'!$K22,"")</f>
        <v/>
      </c>
      <c r="BG23" s="21" t="str">
        <f>IF(AND('Atividades Micro'!$B22=BG$2,'Atividades Micro'!$G22="Macro",'Atividades Micro'!$K22&lt;&gt;""),'Atividades Micro'!$K22,"")</f>
        <v/>
      </c>
      <c r="BH23" s="21">
        <f>IF(AND('Atividades Micro'!$B22=BH$2,'Atividades Micro'!$G22="Macro",'Atividades Micro'!$K22&lt;&gt;""),'Atividades Micro'!$K22,"")</f>
        <v>46234</v>
      </c>
      <c r="BI23" s="21" t="str">
        <f>IF(AND('Atividades Micro'!$B22=BI$2,'Atividades Micro'!$G22="Macro",'Atividades Micro'!$K22&lt;&gt;""),'Atividades Micro'!$K22,"")</f>
        <v/>
      </c>
      <c r="BJ23" s="21" t="str">
        <f>IF(AND('Atividades Micro'!$B22=BJ$2,'Atividades Micro'!$G22="Macro",'Atividades Micro'!$K22&lt;&gt;""),'Atividades Micro'!$K22,"")</f>
        <v/>
      </c>
      <c r="BK23" s="21" t="str">
        <f>IF(AND('Atividades Micro'!$B22=BK$2,'Atividades Micro'!$G22="Macro",'Atividades Micro'!$K22&lt;&gt;""),'Atividades Micro'!$K22,"")</f>
        <v/>
      </c>
      <c r="BL23" s="21" t="str">
        <f>IF(AND('Atividades Micro'!$B22=BL$2,'Atividades Micro'!$G22="Macro",'Atividades Micro'!$K22&lt;&gt;""),'Atividades Micro'!$K22,"")</f>
        <v/>
      </c>
      <c r="BM23" s="21" t="str">
        <f>IF(AND('Atividades Micro'!$B22=BM$2,'Atividades Micro'!$G22="Macro",'Atividades Micro'!$K22&lt;&gt;""),'Atividades Micro'!$K22,"")</f>
        <v/>
      </c>
      <c r="BN23" s="21" t="str">
        <f>IF(AND('Atividades Micro'!$B22=BN$2,'Atividades Micro'!$G22="Macro",'Atividades Micro'!$K22&lt;&gt;""),'Atividades Micro'!$K22,"")</f>
        <v/>
      </c>
      <c r="BO23" s="21" t="str">
        <f>IF(AND('Atividades Micro'!$B22=BO$2,'Atividades Micro'!$G22="Macro",'Atividades Micro'!$K22&lt;&gt;""),'Atividades Micro'!$K22,"")</f>
        <v/>
      </c>
      <c r="BP23" s="21" t="str">
        <f>IF(AND('Atividades Micro'!$B22=BP$2,'Atividades Micro'!$G22="Macro",'Atividades Micro'!$K22&lt;&gt;""),'Atividades Micro'!$K22,"")</f>
        <v/>
      </c>
      <c r="BQ23" s="21" t="str">
        <f>IF(AND('Atividades Micro'!$B22=BQ$2,'Atividades Micro'!$G22="Macro",'Atividades Micro'!$K22&lt;&gt;""),'Atividades Micro'!$K22,"")</f>
        <v/>
      </c>
      <c r="BR23" s="21" t="str">
        <f>IF(AND('Atividades Micro'!$B22=BR$2,'Atividades Micro'!$G22="Macro",'Atividades Micro'!$K22&lt;&gt;""),'Atividades Micro'!$K22,"")</f>
        <v/>
      </c>
      <c r="BS23" s="21" t="str">
        <f>IF(AND('Atividades Micro'!$B22=BS$2,'Atividades Micro'!$G22="Macro",'Atividades Micro'!$K22&lt;&gt;""),'Atividades Micro'!$K22,"")</f>
        <v/>
      </c>
      <c r="BT23" s="21" t="str">
        <f>IF(AND('Atividades Micro'!$B22=BT$2,'Atividades Micro'!$G22="Macro",'Atividades Micro'!$K22&lt;&gt;""),'Atividades Micro'!$K22,"")</f>
        <v/>
      </c>
      <c r="BU23" s="21" t="str">
        <f>IF(AND('Atividades Micro'!$B22=BU$2,'Atividades Micro'!$G22="Macro",'Atividades Micro'!$K22&lt;&gt;""),'Atividades Micro'!$K22,"")</f>
        <v/>
      </c>
      <c r="BV23" s="21" t="str">
        <f>IF(AND('Atividades Micro'!$B22=BV$2,'Atividades Micro'!$G22="Macro",'Atividades Micro'!$K22&lt;&gt;""),'Atividades Micro'!$K22,"")</f>
        <v/>
      </c>
      <c r="BW23" s="21" t="str">
        <f>IF(AND('Atividades Micro'!$B22=BW$2,'Atividades Micro'!$G22="Macro",'Atividades Micro'!$K22&lt;&gt;""),'Atividades Micro'!$K22,"")</f>
        <v/>
      </c>
      <c r="BX23" s="21" t="str">
        <f>IF(AND('Atividades Micro'!$B22=BX$2,'Atividades Micro'!$G22="Macro",'Atividades Micro'!$K22&lt;&gt;""),'Atividades Micro'!$K22,"")</f>
        <v/>
      </c>
      <c r="BY23" s="21" t="str">
        <f>IF(AND('Atividades Micro'!$B22=BY$2,'Atividades Micro'!$G22="Macro",'Atividades Micro'!$K22&lt;&gt;""),'Atividades Micro'!$K22,"")</f>
        <v/>
      </c>
      <c r="BZ23" s="21" t="str">
        <f>IF(AND('Atividades Micro'!$B22=BZ$2,'Atividades Micro'!$G22="Macro",'Atividades Micro'!$K22&lt;&gt;""),'Atividades Micro'!$K22,"")</f>
        <v/>
      </c>
      <c r="CA23" s="21" t="str">
        <f>IF(AND('Atividades Micro'!$B22=CA$2,'Atividades Micro'!$G22="Macro",'Atividades Micro'!$K22&lt;&gt;""),'Atividades Micro'!$K22,"")</f>
        <v/>
      </c>
      <c r="CB23" s="21" t="str">
        <f>IF(AND('Atividades Micro'!$B22=CB$2,'Atividades Micro'!$G22="Macro",'Atividades Micro'!$K22&lt;&gt;""),'Atividades Micro'!$K22,"")</f>
        <v/>
      </c>
      <c r="CC23" s="21" t="str">
        <f>IF(AND('Atividades Micro'!$B22=CC$2,'Atividades Micro'!$G22="Macro",'Atividades Micro'!$K22&lt;&gt;""),'Atividades Micro'!$K22,"")</f>
        <v/>
      </c>
      <c r="CD23" s="21" t="str">
        <f>IF(AND('Atividades Micro'!$B22=CD$2,'Atividades Micro'!$G22="Micro",'Atividades Micro'!$K22&lt;&gt;""),'Atividades Micro'!$K22,"")</f>
        <v/>
      </c>
      <c r="CE23" s="21" t="str">
        <f>IF(AND('Atividades Micro'!$B22=CE$2,'Atividades Micro'!$G22="Micro",'Atividades Micro'!$K22&lt;&gt;""),'Atividades Micro'!$K22,"")</f>
        <v/>
      </c>
      <c r="CF23" s="21" t="str">
        <f>IF(AND('Atividades Micro'!$B22=CF$2,'Atividades Micro'!$G22="Micro",'Atividades Micro'!$K22&lt;&gt;""),'Atividades Micro'!$K22,"")</f>
        <v/>
      </c>
      <c r="CG23" s="21" t="str">
        <f>IF(AND('Atividades Micro'!$B22=CG$2,'Atividades Micro'!$G22="Micro",'Atividades Micro'!$K22&lt;&gt;""),'Atividades Micro'!$K22,"")</f>
        <v/>
      </c>
      <c r="CH23" s="21" t="str">
        <f>IF(AND('Atividades Micro'!$B22=CH$2,'Atividades Micro'!$G22="Micro",'Atividades Micro'!$K22&lt;&gt;""),'Atividades Micro'!$K22,"")</f>
        <v/>
      </c>
      <c r="CI23" s="21" t="str">
        <f>IF(AND('Atividades Micro'!$B22=CI$2,'Atividades Micro'!$G22="Micro",'Atividades Micro'!$K22&lt;&gt;""),'Atividades Micro'!$K22,"")</f>
        <v/>
      </c>
      <c r="CJ23" s="21" t="str">
        <f>IF(AND('Atividades Micro'!$B22=CJ$2,'Atividades Micro'!$G22="Micro",'Atividades Micro'!$K22&lt;&gt;""),'Atividades Micro'!$K22,"")</f>
        <v/>
      </c>
      <c r="CK23" s="21" t="str">
        <f>IF(AND('Atividades Micro'!$B22=CK$2,'Atividades Micro'!$G22="Micro",'Atividades Micro'!$K22&lt;&gt;""),'Atividades Micro'!$K22,"")</f>
        <v/>
      </c>
      <c r="CL23" s="21" t="str">
        <f>IF(AND('Atividades Micro'!$B22=CL$2,'Atividades Micro'!$G22="Micro",'Atividades Micro'!$K22&lt;&gt;""),'Atividades Micro'!$K22,"")</f>
        <v/>
      </c>
      <c r="CM23" s="21" t="str">
        <f>IF(AND('Atividades Micro'!$B22=CM$2,'Atividades Micro'!$G22="Micro",'Atividades Micro'!$K22&lt;&gt;""),'Atividades Micro'!$K22,"")</f>
        <v/>
      </c>
      <c r="CN23" s="21" t="str">
        <f>IF(AND('Atividades Micro'!$B22=CN$2,'Atividades Micro'!$G22="Micro",'Atividades Micro'!$K22&lt;&gt;""),'Atividades Micro'!$K22,"")</f>
        <v/>
      </c>
      <c r="CO23" s="21" t="str">
        <f>IF(AND('Atividades Micro'!$B22=CO$2,'Atividades Micro'!$G22="Micro",'Atividades Micro'!$K22&lt;&gt;""),'Atividades Micro'!$K22,"")</f>
        <v/>
      </c>
    </row>
    <row r="24" spans="1:93">
      <c r="A24" s="21" t="str">
        <f>IF(AND('Atividades Micro'!$A23=A$2,'Atividades Micro'!$K23&lt;&gt;""),'Atividades Micro'!$K23,"")</f>
        <v/>
      </c>
      <c r="B24" s="21" t="str">
        <f>IF(AND('Atividades Micro'!$A23=B$2,'Atividades Micro'!$L23&lt;&gt;""),'Atividades Micro'!$L23,"")</f>
        <v/>
      </c>
      <c r="C24" s="21" t="str">
        <f>IF(AND('Atividades Micro'!$A23=C$2,'Atividades Micro'!$K23&lt;&gt;""),'Atividades Micro'!$K23,"")</f>
        <v/>
      </c>
      <c r="D24" s="21" t="str">
        <f>IF(AND('Atividades Micro'!$A23=D$2,'Atividades Micro'!$L23&lt;&gt;""),'Atividades Micro'!$L23,"")</f>
        <v/>
      </c>
      <c r="E24" s="21" t="str">
        <f>IF(AND('Atividades Micro'!$A23=E$2,'Atividades Micro'!$K23&lt;&gt;""),'Atividades Micro'!$K23,"")</f>
        <v/>
      </c>
      <c r="F24" s="21" t="str">
        <f>IF(AND('Atividades Micro'!$A23=F$2,'Atividades Micro'!$L23&lt;&gt;""),'Atividades Micro'!$L23,"")</f>
        <v/>
      </c>
      <c r="G24" s="21" t="str">
        <f>IF(AND('Atividades Micro'!$A23=G$2,'Atividades Micro'!$K23&lt;&gt;""),'Atividades Micro'!$K23,"")</f>
        <v/>
      </c>
      <c r="H24" s="21" t="str">
        <f>IF(AND('Atividades Micro'!$A23=H$2,'Atividades Micro'!$L23&lt;&gt;""),'Atividades Micro'!$L23,"")</f>
        <v/>
      </c>
      <c r="I24" s="21">
        <f>IF(AND('Atividades Micro'!$A23=I$2,'Atividades Micro'!$K23&lt;&gt;""),'Atividades Micro'!$K23,"")</f>
        <v>46232</v>
      </c>
      <c r="J24" s="21">
        <f>IF(AND('Atividades Micro'!$A23=J$2,'Atividades Micro'!$L23&lt;&gt;""),'Atividades Micro'!$L23,"")</f>
        <v>46227</v>
      </c>
      <c r="K24" s="21">
        <f>IF(AND('Atividades Micro'!$B23=K$2,'Atividades Micro'!$K23&lt;&gt;""),'Atividades Micro'!$K23,"")</f>
        <v>46232</v>
      </c>
      <c r="L24" s="21">
        <f>IF(AND('Atividades Micro'!$B23=L$2,'Atividades Micro'!$L23&lt;&gt;""),'Atividades Micro'!$L23,"")</f>
        <v>46227</v>
      </c>
      <c r="M24" s="21" t="str">
        <f>IF(AND('Atividades Micro'!$B23=M$2,'Atividades Micro'!$K23&lt;&gt;""),'Atividades Micro'!$K23,"")</f>
        <v/>
      </c>
      <c r="N24" s="21" t="str">
        <f>IF(AND('Atividades Micro'!$B23=N$2,'Atividades Micro'!$L23&lt;&gt;""),'Atividades Micro'!$L23,"")</f>
        <v/>
      </c>
      <c r="O24" s="21" t="str">
        <f>IF(AND('Atividades Micro'!$A23=O$2,'Atividades Micro'!$K23&lt;&gt;""),'Atividades Micro'!$K23,"")</f>
        <v/>
      </c>
      <c r="P24" s="21" t="str">
        <f>IF(AND('Atividades Micro'!$A23=P$2,'Atividades Micro'!$L23&lt;&gt;""),'Atividades Micro'!$L23,"")</f>
        <v/>
      </c>
      <c r="Q24" s="21" t="str">
        <f>IF(AND('Atividades Micro'!$B23=Q$2,'Atividades Micro'!$K23&lt;&gt;""),'Atividades Micro'!$K23,"")</f>
        <v/>
      </c>
      <c r="R24" s="21" t="str">
        <f>IF(AND('Atividades Micro'!$B23=R$2,'Atividades Micro'!$L23&lt;&gt;""),'Atividades Micro'!$L23,"")</f>
        <v/>
      </c>
      <c r="S24" s="21" t="str">
        <f>IF(AND('Atividades Micro'!$A23=S$2,'Atividades Micro'!$K23&lt;&gt;""),'Atividades Micro'!$K23,"")</f>
        <v/>
      </c>
      <c r="T24" s="21" t="str">
        <f>IF(AND('Atividades Micro'!$A23=T$2,'Atividades Micro'!$L23&lt;&gt;""),'Atividades Micro'!$L23,"")</f>
        <v/>
      </c>
      <c r="U24" s="21" t="str">
        <f>IF(AND('Atividades Micro'!$B23=U$2,'Atividades Micro'!$K23&lt;&gt;""),'Atividades Micro'!$K23,"")</f>
        <v/>
      </c>
      <c r="V24" s="21" t="str">
        <f>IF(AND('Atividades Micro'!$B23=V$2,'Atividades Micro'!$L23&lt;&gt;""),'Atividades Micro'!$L23,"")</f>
        <v/>
      </c>
      <c r="W24" s="21" t="str">
        <f>IF(AND('Atividades Micro'!$B23=W$2,'Atividades Micro'!$K23&lt;&gt;""),'Atividades Micro'!$K23,"")</f>
        <v/>
      </c>
      <c r="X24" s="21" t="str">
        <f>IF(AND('Atividades Micro'!$B23=X$2,'Atividades Micro'!$L23&lt;&gt;""),'Atividades Micro'!$L23,"")</f>
        <v/>
      </c>
      <c r="Y24" s="21" t="str">
        <f>IF(AND('Atividades Micro'!$A23=Y$2,'Atividades Micro'!$K23&lt;&gt;""),'Atividades Micro'!$K23,"")</f>
        <v/>
      </c>
      <c r="Z24" s="21" t="str">
        <f>IF(AND('Atividades Micro'!$A23=Z$2,'Atividades Micro'!$L23&lt;&gt;""),'Atividades Micro'!$L23,"")</f>
        <v/>
      </c>
      <c r="AA24" s="21" t="str">
        <f>IF(AND('Atividades Micro'!$B23=AA$2,'Atividades Micro'!$K23&lt;&gt;""),'Atividades Micro'!$K23,"")</f>
        <v/>
      </c>
      <c r="AB24" s="21" t="str">
        <f>IF(AND('Atividades Micro'!$B23=AB$2,'Atividades Micro'!$L23&lt;&gt;""),'Atividades Micro'!$L23,"")</f>
        <v/>
      </c>
      <c r="AC24" s="21" t="str">
        <f>IF(AND('Atividades Micro'!$B23=AC$2,'Atividades Micro'!$K23&lt;&gt;""),'Atividades Micro'!$K23,"")</f>
        <v/>
      </c>
      <c r="AD24" s="21" t="str">
        <f>IF(AND('Atividades Micro'!$B23=AD$2,'Atividades Micro'!$L23&lt;&gt;""),'Atividades Micro'!$L23,"")</f>
        <v/>
      </c>
      <c r="AE24" s="21" t="str">
        <f>IF(AND('Atividades Micro'!$A23=AE$2,'Atividades Micro'!$K23&lt;&gt;""),'Atividades Micro'!$K23,"")</f>
        <v/>
      </c>
      <c r="AF24" s="21" t="str">
        <f>IF(AND('Atividades Micro'!$A23=AF$2,'Atividades Micro'!$L23&lt;&gt;""),'Atividades Micro'!$L23,"")</f>
        <v/>
      </c>
      <c r="AG24" s="21" t="str">
        <f>IF(AND('Atividades Micro'!$B23=AG$2,'Atividades Micro'!$K23&lt;&gt;""),'Atividades Micro'!$K23,"")</f>
        <v/>
      </c>
      <c r="AH24" s="21" t="str">
        <f>IF(AND('Atividades Micro'!$B23=AH$2,'Atividades Micro'!$L23&lt;&gt;""),'Atividades Micro'!$L23,"")</f>
        <v/>
      </c>
      <c r="AI24" s="21" t="str">
        <f>IF(AND('Atividades Micro'!$B23=AI$2,'Atividades Micro'!$K23&lt;&gt;""),'Atividades Micro'!$K23,"")</f>
        <v/>
      </c>
      <c r="AJ24" s="21" t="str">
        <f>IF(AND('Atividades Micro'!$B23=AJ$2,'Atividades Micro'!$L23&lt;&gt;""),'Atividades Micro'!$L23,"")</f>
        <v/>
      </c>
      <c r="AK24" s="21" t="str">
        <f>IF(AND('Atividades Micro'!$A23=AK$2,'Atividades Micro'!$K23&lt;&gt;""),'Atividades Micro'!$K23,"")</f>
        <v/>
      </c>
      <c r="AL24" s="21" t="str">
        <f>IF(AND('Atividades Micro'!$A23=AL$2,'Atividades Micro'!$L23&lt;&gt;""),'Atividades Micro'!$L23,"")</f>
        <v/>
      </c>
      <c r="AM24" s="21" t="str">
        <f>IF(AND('Atividades Micro'!$B23=AM$2,'Atividades Micro'!$K23&lt;&gt;""),'Atividades Micro'!$K23,"")</f>
        <v/>
      </c>
      <c r="AN24" s="21" t="str">
        <f>IF(AND('Atividades Micro'!$B23=AN$2,'Atividades Micro'!$L23&lt;&gt;""),'Atividades Micro'!$L23,"")</f>
        <v/>
      </c>
      <c r="AO24" s="21" t="str">
        <f>IF(AND('Atividades Micro'!$B23=AO$2,'Atividades Micro'!$K23&lt;&gt;""),'Atividades Micro'!$K23,"")</f>
        <v/>
      </c>
      <c r="AP24" s="21" t="str">
        <f>IF(AND('Atividades Micro'!$B23=AP$2,'Atividades Micro'!$L23&lt;&gt;""),'Atividades Micro'!$L23,"")</f>
        <v/>
      </c>
      <c r="AQ24" s="21" t="str">
        <f>IF(AND('Atividades Micro'!$A23=AQ$2,'Atividades Micro'!$K23&lt;&gt;""),'Atividades Micro'!$K23,"")</f>
        <v/>
      </c>
      <c r="AR24" s="21" t="str">
        <f>IF(AND('Atividades Micro'!$A23=AR$2,'Atividades Micro'!$L23&lt;&gt;""),'Atividades Micro'!$L23,"")</f>
        <v/>
      </c>
      <c r="AS24" s="21" t="str">
        <f>IF(AND('Atividades Micro'!$B23=AS$2,'Atividades Micro'!$K23&lt;&gt;""),'Atividades Micro'!$K23,"")</f>
        <v/>
      </c>
      <c r="AT24" s="21" t="str">
        <f>IF(AND('Atividades Micro'!$B23=AT$2,'Atividades Micro'!$L23&lt;&gt;""),'Atividades Micro'!$L23,"")</f>
        <v/>
      </c>
      <c r="AU24" s="21" t="str">
        <f>IF(AND('Atividades Micro'!$A23=AU$2,'Atividades Micro'!$K23&lt;&gt;""),'Atividades Micro'!$K23,"")</f>
        <v/>
      </c>
      <c r="AV24" s="21" t="str">
        <f>IF(AND('Atividades Micro'!$A23=AV$2,'Atividades Micro'!$L23&lt;&gt;""),'Atividades Micro'!$L23,"")</f>
        <v/>
      </c>
      <c r="AW24" s="21" t="str">
        <f>IF(AND('Atividades Micro'!$B23=AW$2,'Atividades Micro'!$K23&lt;&gt;""),'Atividades Micro'!$K23,"")</f>
        <v/>
      </c>
      <c r="AX24" s="21" t="str">
        <f>IF(AND('Atividades Micro'!$B23=AX$2,'Atividades Micro'!$L23&lt;&gt;""),'Atividades Micro'!$L23,"")</f>
        <v/>
      </c>
      <c r="AY24" s="21" t="str">
        <f>IF(AND('Atividades Micro'!$A23=AY$2,'Atividades Micro'!$K23&lt;&gt;""),'Atividades Micro'!$K23,"")</f>
        <v/>
      </c>
      <c r="AZ24" s="21" t="str">
        <f>IF(AND('Atividades Micro'!$A23=AZ$2,'Atividades Micro'!$L23&lt;&gt;""),'Atividades Micro'!$L23,"")</f>
        <v/>
      </c>
      <c r="BA24" s="21" t="str">
        <f>IF(AND('Atividades Micro'!$B23=BA$2,'Atividades Micro'!$K23&lt;&gt;""),'Atividades Micro'!$K23,"")</f>
        <v/>
      </c>
      <c r="BB24" s="21" t="str">
        <f>IF(AND('Atividades Micro'!$B23=BB$2,'Atividades Micro'!$L23&lt;&gt;""),'Atividades Micro'!$L23,"")</f>
        <v/>
      </c>
      <c r="BC24" s="21" t="str">
        <f>IF(AND('Atividades Micro'!$B23=BC$2,'Atividades Micro'!$G23="Macro",'Atividades Micro'!$K23&lt;&gt;""),'Atividades Micro'!$K23,"")</f>
        <v/>
      </c>
      <c r="BD24" s="21" t="str">
        <f>IF(AND('Atividades Micro'!$B23=BD$2,'Atividades Micro'!$G23="Macro",'Atividades Micro'!$K23&lt;&gt;""),'Atividades Micro'!$K23,"")</f>
        <v/>
      </c>
      <c r="BE24" s="21" t="str">
        <f>IF(AND('Atividades Micro'!$B23=BE$2,'Atividades Micro'!$G23="Macro",'Atividades Micro'!$K23&lt;&gt;""),'Atividades Micro'!$K23,"")</f>
        <v/>
      </c>
      <c r="BF24" s="21" t="str">
        <f>IF(AND('Atividades Micro'!$B23=BF$2,'Atividades Micro'!$G23="Macro",'Atividades Micro'!$K23&lt;&gt;""),'Atividades Micro'!$K23,"")</f>
        <v/>
      </c>
      <c r="BG24" s="21" t="str">
        <f>IF(AND('Atividades Micro'!$B23=BG$2,'Atividades Micro'!$G23="Macro",'Atividades Micro'!$K23&lt;&gt;""),'Atividades Micro'!$K23,"")</f>
        <v/>
      </c>
      <c r="BH24" s="21" t="str">
        <f>IF(AND('Atividades Micro'!$B23=BH$2,'Atividades Micro'!$G23="Macro",'Atividades Micro'!$K23&lt;&gt;""),'Atividades Micro'!$K23,"")</f>
        <v/>
      </c>
      <c r="BI24" s="21" t="str">
        <f>IF(AND('Atividades Micro'!$B23=BI$2,'Atividades Micro'!$G23="Macro",'Atividades Micro'!$K23&lt;&gt;""),'Atividades Micro'!$K23,"")</f>
        <v/>
      </c>
      <c r="BJ24" s="21" t="str">
        <f>IF(AND('Atividades Micro'!$B23=BJ$2,'Atividades Micro'!$G23="Macro",'Atividades Micro'!$K23&lt;&gt;""),'Atividades Micro'!$K23,"")</f>
        <v/>
      </c>
      <c r="BK24" s="21" t="str">
        <f>IF(AND('Atividades Micro'!$B23=BK$2,'Atividades Micro'!$G23="Macro",'Atividades Micro'!$K23&lt;&gt;""),'Atividades Micro'!$K23,"")</f>
        <v/>
      </c>
      <c r="BL24" s="21" t="str">
        <f>IF(AND('Atividades Micro'!$B23=BL$2,'Atividades Micro'!$G23="Macro",'Atividades Micro'!$K23&lt;&gt;""),'Atividades Micro'!$K23,"")</f>
        <v/>
      </c>
      <c r="BM24" s="21" t="str">
        <f>IF(AND('Atividades Micro'!$B23=BM$2,'Atividades Micro'!$G23="Macro",'Atividades Micro'!$K23&lt;&gt;""),'Atividades Micro'!$K23,"")</f>
        <v/>
      </c>
      <c r="BN24" s="21" t="str">
        <f>IF(AND('Atividades Micro'!$B23=BN$2,'Atividades Micro'!$G23="Macro",'Atividades Micro'!$K23&lt;&gt;""),'Atividades Micro'!$K23,"")</f>
        <v/>
      </c>
      <c r="BO24" s="21" t="str">
        <f>IF(AND('Atividades Micro'!$B23=BO$2,'Atividades Micro'!$G23="Macro",'Atividades Micro'!$K23&lt;&gt;""),'Atividades Micro'!$K23,"")</f>
        <v/>
      </c>
      <c r="BP24" s="21" t="str">
        <f>IF(AND('Atividades Micro'!$B23=BP$2,'Atividades Micro'!$G23="Macro",'Atividades Micro'!$K23&lt;&gt;""),'Atividades Micro'!$K23,"")</f>
        <v/>
      </c>
      <c r="BQ24" s="21" t="str">
        <f>IF(AND('Atividades Micro'!$B23=BQ$2,'Atividades Micro'!$G23="Macro",'Atividades Micro'!$K23&lt;&gt;""),'Atividades Micro'!$K23,"")</f>
        <v/>
      </c>
      <c r="BR24" s="21" t="str">
        <f>IF(AND('Atividades Micro'!$B23=BR$2,'Atividades Micro'!$G23="Macro",'Atividades Micro'!$K23&lt;&gt;""),'Atividades Micro'!$K23,"")</f>
        <v/>
      </c>
      <c r="BS24" s="21" t="str">
        <f>IF(AND('Atividades Micro'!$B23=BS$2,'Atividades Micro'!$G23="Macro",'Atividades Micro'!$K23&lt;&gt;""),'Atividades Micro'!$K23,"")</f>
        <v/>
      </c>
      <c r="BT24" s="21" t="str">
        <f>IF(AND('Atividades Micro'!$B23=BT$2,'Atividades Micro'!$G23="Macro",'Atividades Micro'!$K23&lt;&gt;""),'Atividades Micro'!$K23,"")</f>
        <v/>
      </c>
      <c r="BU24" s="21" t="str">
        <f>IF(AND('Atividades Micro'!$B23=BU$2,'Atividades Micro'!$G23="Macro",'Atividades Micro'!$K23&lt;&gt;""),'Atividades Micro'!$K23,"")</f>
        <v/>
      </c>
      <c r="BV24" s="21" t="str">
        <f>IF(AND('Atividades Micro'!$B23=BV$2,'Atividades Micro'!$G23="Macro",'Atividades Micro'!$K23&lt;&gt;""),'Atividades Micro'!$K23,"")</f>
        <v/>
      </c>
      <c r="BW24" s="21" t="str">
        <f>IF(AND('Atividades Micro'!$B23=BW$2,'Atividades Micro'!$G23="Macro",'Atividades Micro'!$K23&lt;&gt;""),'Atividades Micro'!$K23,"")</f>
        <v/>
      </c>
      <c r="BX24" s="21" t="str">
        <f>IF(AND('Atividades Micro'!$B23=BX$2,'Atividades Micro'!$G23="Macro",'Atividades Micro'!$K23&lt;&gt;""),'Atividades Micro'!$K23,"")</f>
        <v/>
      </c>
      <c r="BY24" s="21" t="str">
        <f>IF(AND('Atividades Micro'!$B23=BY$2,'Atividades Micro'!$G23="Macro",'Atividades Micro'!$K23&lt;&gt;""),'Atividades Micro'!$K23,"")</f>
        <v/>
      </c>
      <c r="BZ24" s="21" t="str">
        <f>IF(AND('Atividades Micro'!$B23=BZ$2,'Atividades Micro'!$G23="Macro",'Atividades Micro'!$K23&lt;&gt;""),'Atividades Micro'!$K23,"")</f>
        <v/>
      </c>
      <c r="CA24" s="21" t="str">
        <f>IF(AND('Atividades Micro'!$B23=CA$2,'Atividades Micro'!$G23="Macro",'Atividades Micro'!$K23&lt;&gt;""),'Atividades Micro'!$K23,"")</f>
        <v/>
      </c>
      <c r="CB24" s="21" t="str">
        <f>IF(AND('Atividades Micro'!$B23=CB$2,'Atividades Micro'!$G23="Macro",'Atividades Micro'!$K23&lt;&gt;""),'Atividades Micro'!$K23,"")</f>
        <v/>
      </c>
      <c r="CC24" s="21" t="str">
        <f>IF(AND('Atividades Micro'!$B23=CC$2,'Atividades Micro'!$G23="Macro",'Atividades Micro'!$K23&lt;&gt;""),'Atividades Micro'!$K23,"")</f>
        <v/>
      </c>
      <c r="CD24" s="21">
        <f>IF(AND('Atividades Micro'!$B23=CD$2,'Atividades Micro'!$G23="Micro",'Atividades Micro'!$K23&lt;&gt;""),'Atividades Micro'!$K23,"")</f>
        <v>46232</v>
      </c>
      <c r="CE24" s="21" t="str">
        <f>IF(AND('Atividades Micro'!$B23=CE$2,'Atividades Micro'!$G23="Micro",'Atividades Micro'!$K23&lt;&gt;""),'Atividades Micro'!$K23,"")</f>
        <v/>
      </c>
      <c r="CF24" s="21" t="str">
        <f>IF(AND('Atividades Micro'!$B23=CF$2,'Atividades Micro'!$G23="Micro",'Atividades Micro'!$K23&lt;&gt;""),'Atividades Micro'!$K23,"")</f>
        <v/>
      </c>
      <c r="CG24" s="21" t="str">
        <f>IF(AND('Atividades Micro'!$B23=CG$2,'Atividades Micro'!$G23="Micro",'Atividades Micro'!$K23&lt;&gt;""),'Atividades Micro'!$K23,"")</f>
        <v/>
      </c>
      <c r="CH24" s="21" t="str">
        <f>IF(AND('Atividades Micro'!$B23=CH$2,'Atividades Micro'!$G23="Micro",'Atividades Micro'!$K23&lt;&gt;""),'Atividades Micro'!$K23,"")</f>
        <v/>
      </c>
      <c r="CI24" s="21" t="str">
        <f>IF(AND('Atividades Micro'!$B23=CI$2,'Atividades Micro'!$G23="Micro",'Atividades Micro'!$K23&lt;&gt;""),'Atividades Micro'!$K23,"")</f>
        <v/>
      </c>
      <c r="CJ24" s="21" t="str">
        <f>IF(AND('Atividades Micro'!$B23=CJ$2,'Atividades Micro'!$G23="Micro",'Atividades Micro'!$K23&lt;&gt;""),'Atividades Micro'!$K23,"")</f>
        <v/>
      </c>
      <c r="CK24" s="21" t="str">
        <f>IF(AND('Atividades Micro'!$B23=CK$2,'Atividades Micro'!$G23="Micro",'Atividades Micro'!$K23&lt;&gt;""),'Atividades Micro'!$K23,"")</f>
        <v/>
      </c>
      <c r="CL24" s="21" t="str">
        <f>IF(AND('Atividades Micro'!$B23=CL$2,'Atividades Micro'!$G23="Micro",'Atividades Micro'!$K23&lt;&gt;""),'Atividades Micro'!$K23,"")</f>
        <v/>
      </c>
      <c r="CM24" s="21" t="str">
        <f>IF(AND('Atividades Micro'!$B23=CM$2,'Atividades Micro'!$G23="Micro",'Atividades Micro'!$K23&lt;&gt;""),'Atividades Micro'!$K23,"")</f>
        <v/>
      </c>
      <c r="CN24" s="21" t="str">
        <f>IF(AND('Atividades Micro'!$B23=CN$2,'Atividades Micro'!$G23="Micro",'Atividades Micro'!$K23&lt;&gt;""),'Atividades Micro'!$K23,"")</f>
        <v/>
      </c>
      <c r="CO24" s="21" t="str">
        <f>IF(AND('Atividades Micro'!$B23=CO$2,'Atividades Micro'!$G23="Micro",'Atividades Micro'!$K23&lt;&gt;""),'Atividades Micro'!$K23,"")</f>
        <v/>
      </c>
    </row>
    <row r="25" spans="1:93">
      <c r="A25" s="21" t="str">
        <f>IF(AND('Atividades Micro'!$A24=A$2,'Atividades Micro'!$K24&lt;&gt;""),'Atividades Micro'!$K24,"")</f>
        <v/>
      </c>
      <c r="B25" s="21" t="str">
        <f>IF(AND('Atividades Micro'!$A24=B$2,'Atividades Micro'!$L24&lt;&gt;""),'Atividades Micro'!$L24,"")</f>
        <v/>
      </c>
      <c r="C25" s="21" t="str">
        <f>IF(AND('Atividades Micro'!$A24=C$2,'Atividades Micro'!$K24&lt;&gt;""),'Atividades Micro'!$K24,"")</f>
        <v/>
      </c>
      <c r="D25" s="21" t="str">
        <f>IF(AND('Atividades Micro'!$A24=D$2,'Atividades Micro'!$L24&lt;&gt;""),'Atividades Micro'!$L24,"")</f>
        <v/>
      </c>
      <c r="E25" s="21" t="str">
        <f>IF(AND('Atividades Micro'!$A24=E$2,'Atividades Micro'!$K24&lt;&gt;""),'Atividades Micro'!$K24,"")</f>
        <v/>
      </c>
      <c r="F25" s="21" t="str">
        <f>IF(AND('Atividades Micro'!$A24=F$2,'Atividades Micro'!$L24&lt;&gt;""),'Atividades Micro'!$L24,"")</f>
        <v/>
      </c>
      <c r="G25" s="21" t="str">
        <f>IF(AND('Atividades Micro'!$A24=G$2,'Atividades Micro'!$K24&lt;&gt;""),'Atividades Micro'!$K24,"")</f>
        <v/>
      </c>
      <c r="H25" s="21" t="str">
        <f>IF(AND('Atividades Micro'!$A24=H$2,'Atividades Micro'!$L24&lt;&gt;""),'Atividades Micro'!$L24,"")</f>
        <v/>
      </c>
      <c r="I25" s="21">
        <f>IF(AND('Atividades Micro'!$A24=I$2,'Atividades Micro'!$K24&lt;&gt;""),'Atividades Micro'!$K24,"")</f>
        <v>46234</v>
      </c>
      <c r="J25" s="21">
        <f>IF(AND('Atividades Micro'!$A24=J$2,'Atividades Micro'!$L24&lt;&gt;""),'Atividades Micro'!$L24,"")</f>
        <v>46234</v>
      </c>
      <c r="K25" s="21">
        <f>IF(AND('Atividades Micro'!$B24=K$2,'Atividades Micro'!$K24&lt;&gt;""),'Atividades Micro'!$K24,"")</f>
        <v>46234</v>
      </c>
      <c r="L25" s="21">
        <f>IF(AND('Atividades Micro'!$B24=L$2,'Atividades Micro'!$L24&lt;&gt;""),'Atividades Micro'!$L24,"")</f>
        <v>46234</v>
      </c>
      <c r="M25" s="21" t="str">
        <f>IF(AND('Atividades Micro'!$B24=M$2,'Atividades Micro'!$K24&lt;&gt;""),'Atividades Micro'!$K24,"")</f>
        <v/>
      </c>
      <c r="N25" s="21" t="str">
        <f>IF(AND('Atividades Micro'!$B24=N$2,'Atividades Micro'!$L24&lt;&gt;""),'Atividades Micro'!$L24,"")</f>
        <v/>
      </c>
      <c r="O25" s="21" t="str">
        <f>IF(AND('Atividades Micro'!$A24=O$2,'Atividades Micro'!$K24&lt;&gt;""),'Atividades Micro'!$K24,"")</f>
        <v/>
      </c>
      <c r="P25" s="21" t="str">
        <f>IF(AND('Atividades Micro'!$A24=P$2,'Atividades Micro'!$L24&lt;&gt;""),'Atividades Micro'!$L24,"")</f>
        <v/>
      </c>
      <c r="Q25" s="21" t="str">
        <f>IF(AND('Atividades Micro'!$B24=Q$2,'Atividades Micro'!$K24&lt;&gt;""),'Atividades Micro'!$K24,"")</f>
        <v/>
      </c>
      <c r="R25" s="21" t="str">
        <f>IF(AND('Atividades Micro'!$B24=R$2,'Atividades Micro'!$L24&lt;&gt;""),'Atividades Micro'!$L24,"")</f>
        <v/>
      </c>
      <c r="S25" s="21" t="str">
        <f>IF(AND('Atividades Micro'!$A24=S$2,'Atividades Micro'!$K24&lt;&gt;""),'Atividades Micro'!$K24,"")</f>
        <v/>
      </c>
      <c r="T25" s="21" t="str">
        <f>IF(AND('Atividades Micro'!$A24=T$2,'Atividades Micro'!$L24&lt;&gt;""),'Atividades Micro'!$L24,"")</f>
        <v/>
      </c>
      <c r="U25" s="21" t="str">
        <f>IF(AND('Atividades Micro'!$B24=U$2,'Atividades Micro'!$K24&lt;&gt;""),'Atividades Micro'!$K24,"")</f>
        <v/>
      </c>
      <c r="V25" s="21" t="str">
        <f>IF(AND('Atividades Micro'!$B24=V$2,'Atividades Micro'!$L24&lt;&gt;""),'Atividades Micro'!$L24,"")</f>
        <v/>
      </c>
      <c r="W25" s="21" t="str">
        <f>IF(AND('Atividades Micro'!$B24=W$2,'Atividades Micro'!$K24&lt;&gt;""),'Atividades Micro'!$K24,"")</f>
        <v/>
      </c>
      <c r="X25" s="21" t="str">
        <f>IF(AND('Atividades Micro'!$B24=X$2,'Atividades Micro'!$L24&lt;&gt;""),'Atividades Micro'!$L24,"")</f>
        <v/>
      </c>
      <c r="Y25" s="21" t="str">
        <f>IF(AND('Atividades Micro'!$A24=Y$2,'Atividades Micro'!$K24&lt;&gt;""),'Atividades Micro'!$K24,"")</f>
        <v/>
      </c>
      <c r="Z25" s="21" t="str">
        <f>IF(AND('Atividades Micro'!$A24=Z$2,'Atividades Micro'!$L24&lt;&gt;""),'Atividades Micro'!$L24,"")</f>
        <v/>
      </c>
      <c r="AA25" s="21" t="str">
        <f>IF(AND('Atividades Micro'!$B24=AA$2,'Atividades Micro'!$K24&lt;&gt;""),'Atividades Micro'!$K24,"")</f>
        <v/>
      </c>
      <c r="AB25" s="21" t="str">
        <f>IF(AND('Atividades Micro'!$B24=AB$2,'Atividades Micro'!$L24&lt;&gt;""),'Atividades Micro'!$L24,"")</f>
        <v/>
      </c>
      <c r="AC25" s="21" t="str">
        <f>IF(AND('Atividades Micro'!$B24=AC$2,'Atividades Micro'!$K24&lt;&gt;""),'Atividades Micro'!$K24,"")</f>
        <v/>
      </c>
      <c r="AD25" s="21" t="str">
        <f>IF(AND('Atividades Micro'!$B24=AD$2,'Atividades Micro'!$L24&lt;&gt;""),'Atividades Micro'!$L24,"")</f>
        <v/>
      </c>
      <c r="AE25" s="21" t="str">
        <f>IF(AND('Atividades Micro'!$A24=AE$2,'Atividades Micro'!$K24&lt;&gt;""),'Atividades Micro'!$K24,"")</f>
        <v/>
      </c>
      <c r="AF25" s="21" t="str">
        <f>IF(AND('Atividades Micro'!$A24=AF$2,'Atividades Micro'!$L24&lt;&gt;""),'Atividades Micro'!$L24,"")</f>
        <v/>
      </c>
      <c r="AG25" s="21" t="str">
        <f>IF(AND('Atividades Micro'!$B24=AG$2,'Atividades Micro'!$K24&lt;&gt;""),'Atividades Micro'!$K24,"")</f>
        <v/>
      </c>
      <c r="AH25" s="21" t="str">
        <f>IF(AND('Atividades Micro'!$B24=AH$2,'Atividades Micro'!$L24&lt;&gt;""),'Atividades Micro'!$L24,"")</f>
        <v/>
      </c>
      <c r="AI25" s="21" t="str">
        <f>IF(AND('Atividades Micro'!$B24=AI$2,'Atividades Micro'!$K24&lt;&gt;""),'Atividades Micro'!$K24,"")</f>
        <v/>
      </c>
      <c r="AJ25" s="21" t="str">
        <f>IF(AND('Atividades Micro'!$B24=AJ$2,'Atividades Micro'!$L24&lt;&gt;""),'Atividades Micro'!$L24,"")</f>
        <v/>
      </c>
      <c r="AK25" s="21" t="str">
        <f>IF(AND('Atividades Micro'!$A24=AK$2,'Atividades Micro'!$K24&lt;&gt;""),'Atividades Micro'!$K24,"")</f>
        <v/>
      </c>
      <c r="AL25" s="21" t="str">
        <f>IF(AND('Atividades Micro'!$A24=AL$2,'Atividades Micro'!$L24&lt;&gt;""),'Atividades Micro'!$L24,"")</f>
        <v/>
      </c>
      <c r="AM25" s="21" t="str">
        <f>IF(AND('Atividades Micro'!$B24=AM$2,'Atividades Micro'!$K24&lt;&gt;""),'Atividades Micro'!$K24,"")</f>
        <v/>
      </c>
      <c r="AN25" s="21" t="str">
        <f>IF(AND('Atividades Micro'!$B24=AN$2,'Atividades Micro'!$L24&lt;&gt;""),'Atividades Micro'!$L24,"")</f>
        <v/>
      </c>
      <c r="AO25" s="21" t="str">
        <f>IF(AND('Atividades Micro'!$B24=AO$2,'Atividades Micro'!$K24&lt;&gt;""),'Atividades Micro'!$K24,"")</f>
        <v/>
      </c>
      <c r="AP25" s="21" t="str">
        <f>IF(AND('Atividades Micro'!$B24=AP$2,'Atividades Micro'!$L24&lt;&gt;""),'Atividades Micro'!$L24,"")</f>
        <v/>
      </c>
      <c r="AQ25" s="21" t="str">
        <f>IF(AND('Atividades Micro'!$A24=AQ$2,'Atividades Micro'!$K24&lt;&gt;""),'Atividades Micro'!$K24,"")</f>
        <v/>
      </c>
      <c r="AR25" s="21" t="str">
        <f>IF(AND('Atividades Micro'!$A24=AR$2,'Atividades Micro'!$L24&lt;&gt;""),'Atividades Micro'!$L24,"")</f>
        <v/>
      </c>
      <c r="AS25" s="21" t="str">
        <f>IF(AND('Atividades Micro'!$B24=AS$2,'Atividades Micro'!$K24&lt;&gt;""),'Atividades Micro'!$K24,"")</f>
        <v/>
      </c>
      <c r="AT25" s="21" t="str">
        <f>IF(AND('Atividades Micro'!$B24=AT$2,'Atividades Micro'!$L24&lt;&gt;""),'Atividades Micro'!$L24,"")</f>
        <v/>
      </c>
      <c r="AU25" s="21" t="str">
        <f>IF(AND('Atividades Micro'!$A24=AU$2,'Atividades Micro'!$K24&lt;&gt;""),'Atividades Micro'!$K24,"")</f>
        <v/>
      </c>
      <c r="AV25" s="21" t="str">
        <f>IF(AND('Atividades Micro'!$A24=AV$2,'Atividades Micro'!$L24&lt;&gt;""),'Atividades Micro'!$L24,"")</f>
        <v/>
      </c>
      <c r="AW25" s="21" t="str">
        <f>IF(AND('Atividades Micro'!$B24=AW$2,'Atividades Micro'!$K24&lt;&gt;""),'Atividades Micro'!$K24,"")</f>
        <v/>
      </c>
      <c r="AX25" s="21" t="str">
        <f>IF(AND('Atividades Micro'!$B24=AX$2,'Atividades Micro'!$L24&lt;&gt;""),'Atividades Micro'!$L24,"")</f>
        <v/>
      </c>
      <c r="AY25" s="21" t="str">
        <f>IF(AND('Atividades Micro'!$A24=AY$2,'Atividades Micro'!$K24&lt;&gt;""),'Atividades Micro'!$K24,"")</f>
        <v/>
      </c>
      <c r="AZ25" s="21" t="str">
        <f>IF(AND('Atividades Micro'!$A24=AZ$2,'Atividades Micro'!$L24&lt;&gt;""),'Atividades Micro'!$L24,"")</f>
        <v/>
      </c>
      <c r="BA25" s="21" t="str">
        <f>IF(AND('Atividades Micro'!$B24=BA$2,'Atividades Micro'!$K24&lt;&gt;""),'Atividades Micro'!$K24,"")</f>
        <v/>
      </c>
      <c r="BB25" s="21" t="str">
        <f>IF(AND('Atividades Micro'!$B24=BB$2,'Atividades Micro'!$L24&lt;&gt;""),'Atividades Micro'!$L24,"")</f>
        <v/>
      </c>
      <c r="BC25" s="21" t="str">
        <f>IF(AND('Atividades Micro'!$B24=BC$2,'Atividades Micro'!$G24="Macro",'Atividades Micro'!$K24&lt;&gt;""),'Atividades Micro'!$K24,"")</f>
        <v/>
      </c>
      <c r="BD25" s="21" t="str">
        <f>IF(AND('Atividades Micro'!$B24=BD$2,'Atividades Micro'!$G24="Macro",'Atividades Micro'!$K24&lt;&gt;""),'Atividades Micro'!$K24,"")</f>
        <v/>
      </c>
      <c r="BE25" s="21" t="str">
        <f>IF(AND('Atividades Micro'!$B24=BE$2,'Atividades Micro'!$G24="Macro",'Atividades Micro'!$K24&lt;&gt;""),'Atividades Micro'!$K24,"")</f>
        <v/>
      </c>
      <c r="BF25" s="21" t="str">
        <f>IF(AND('Atividades Micro'!$B24=BF$2,'Atividades Micro'!$G24="Macro",'Atividades Micro'!$K24&lt;&gt;""),'Atividades Micro'!$K24,"")</f>
        <v/>
      </c>
      <c r="BG25" s="21" t="str">
        <f>IF(AND('Atividades Micro'!$B24=BG$2,'Atividades Micro'!$G24="Macro",'Atividades Micro'!$K24&lt;&gt;""),'Atividades Micro'!$K24,"")</f>
        <v/>
      </c>
      <c r="BH25" s="21" t="str">
        <f>IF(AND('Atividades Micro'!$B24=BH$2,'Atividades Micro'!$G24="Macro",'Atividades Micro'!$K24&lt;&gt;""),'Atividades Micro'!$K24,"")</f>
        <v/>
      </c>
      <c r="BI25" s="21" t="str">
        <f>IF(AND('Atividades Micro'!$B24=BI$2,'Atividades Micro'!$G24="Macro",'Atividades Micro'!$K24&lt;&gt;""),'Atividades Micro'!$K24,"")</f>
        <v/>
      </c>
      <c r="BJ25" s="21" t="str">
        <f>IF(AND('Atividades Micro'!$B24=BJ$2,'Atividades Micro'!$G24="Macro",'Atividades Micro'!$K24&lt;&gt;""),'Atividades Micro'!$K24,"")</f>
        <v/>
      </c>
      <c r="BK25" s="21" t="str">
        <f>IF(AND('Atividades Micro'!$B24=BK$2,'Atividades Micro'!$G24="Macro",'Atividades Micro'!$K24&lt;&gt;""),'Atividades Micro'!$K24,"")</f>
        <v/>
      </c>
      <c r="BL25" s="21" t="str">
        <f>IF(AND('Atividades Micro'!$B24=BL$2,'Atividades Micro'!$G24="Macro",'Atividades Micro'!$K24&lt;&gt;""),'Atividades Micro'!$K24,"")</f>
        <v/>
      </c>
      <c r="BM25" s="21" t="str">
        <f>IF(AND('Atividades Micro'!$B24=BM$2,'Atividades Micro'!$G24="Macro",'Atividades Micro'!$K24&lt;&gt;""),'Atividades Micro'!$K24,"")</f>
        <v/>
      </c>
      <c r="BN25" s="21" t="str">
        <f>IF(AND('Atividades Micro'!$B24=BN$2,'Atividades Micro'!$G24="Macro",'Atividades Micro'!$K24&lt;&gt;""),'Atividades Micro'!$K24,"")</f>
        <v/>
      </c>
      <c r="BO25" s="21" t="str">
        <f>IF(AND('Atividades Micro'!$B24=BO$2,'Atividades Micro'!$G24="Macro",'Atividades Micro'!$K24&lt;&gt;""),'Atividades Micro'!$K24,"")</f>
        <v/>
      </c>
      <c r="BP25" s="21" t="str">
        <f>IF(AND('Atividades Micro'!$B24=BP$2,'Atividades Micro'!$G24="Macro",'Atividades Micro'!$K24&lt;&gt;""),'Atividades Micro'!$K24,"")</f>
        <v/>
      </c>
      <c r="BQ25" s="21" t="str">
        <f>IF(AND('Atividades Micro'!$B24=BQ$2,'Atividades Micro'!$G24="Macro",'Atividades Micro'!$K24&lt;&gt;""),'Atividades Micro'!$K24,"")</f>
        <v/>
      </c>
      <c r="BR25" s="21" t="str">
        <f>IF(AND('Atividades Micro'!$B24=BR$2,'Atividades Micro'!$G24="Macro",'Atividades Micro'!$K24&lt;&gt;""),'Atividades Micro'!$K24,"")</f>
        <v/>
      </c>
      <c r="BS25" s="21" t="str">
        <f>IF(AND('Atividades Micro'!$B24=BS$2,'Atividades Micro'!$G24="Macro",'Atividades Micro'!$K24&lt;&gt;""),'Atividades Micro'!$K24,"")</f>
        <v/>
      </c>
      <c r="BT25" s="21" t="str">
        <f>IF(AND('Atividades Micro'!$B24=BT$2,'Atividades Micro'!$G24="Macro",'Atividades Micro'!$K24&lt;&gt;""),'Atividades Micro'!$K24,"")</f>
        <v/>
      </c>
      <c r="BU25" s="21" t="str">
        <f>IF(AND('Atividades Micro'!$B24=BU$2,'Atividades Micro'!$G24="Macro",'Atividades Micro'!$K24&lt;&gt;""),'Atividades Micro'!$K24,"")</f>
        <v/>
      </c>
      <c r="BV25" s="21" t="str">
        <f>IF(AND('Atividades Micro'!$B24=BV$2,'Atividades Micro'!$G24="Macro",'Atividades Micro'!$K24&lt;&gt;""),'Atividades Micro'!$K24,"")</f>
        <v/>
      </c>
      <c r="BW25" s="21" t="str">
        <f>IF(AND('Atividades Micro'!$B24=BW$2,'Atividades Micro'!$G24="Macro",'Atividades Micro'!$K24&lt;&gt;""),'Atividades Micro'!$K24,"")</f>
        <v/>
      </c>
      <c r="BX25" s="21" t="str">
        <f>IF(AND('Atividades Micro'!$B24=BX$2,'Atividades Micro'!$G24="Macro",'Atividades Micro'!$K24&lt;&gt;""),'Atividades Micro'!$K24,"")</f>
        <v/>
      </c>
      <c r="BY25" s="21" t="str">
        <f>IF(AND('Atividades Micro'!$B24=BY$2,'Atividades Micro'!$G24="Macro",'Atividades Micro'!$K24&lt;&gt;""),'Atividades Micro'!$K24,"")</f>
        <v/>
      </c>
      <c r="BZ25" s="21" t="str">
        <f>IF(AND('Atividades Micro'!$B24=BZ$2,'Atividades Micro'!$G24="Macro",'Atividades Micro'!$K24&lt;&gt;""),'Atividades Micro'!$K24,"")</f>
        <v/>
      </c>
      <c r="CA25" s="21" t="str">
        <f>IF(AND('Atividades Micro'!$B24=CA$2,'Atividades Micro'!$G24="Macro",'Atividades Micro'!$K24&lt;&gt;""),'Atividades Micro'!$K24,"")</f>
        <v/>
      </c>
      <c r="CB25" s="21" t="str">
        <f>IF(AND('Atividades Micro'!$B24=CB$2,'Atividades Micro'!$G24="Macro",'Atividades Micro'!$K24&lt;&gt;""),'Atividades Micro'!$K24,"")</f>
        <v/>
      </c>
      <c r="CC25" s="21" t="str">
        <f>IF(AND('Atividades Micro'!$B24=CC$2,'Atividades Micro'!$G24="Macro",'Atividades Micro'!$K24&lt;&gt;""),'Atividades Micro'!$K24,"")</f>
        <v/>
      </c>
      <c r="CD25" s="21">
        <f>IF(AND('Atividades Micro'!$B24=CD$2,'Atividades Micro'!$G24="Micro",'Atividades Micro'!$K24&lt;&gt;""),'Atividades Micro'!$K24,"")</f>
        <v>46234</v>
      </c>
      <c r="CE25" s="21" t="str">
        <f>IF(AND('Atividades Micro'!$B24=CE$2,'Atividades Micro'!$G24="Micro",'Atividades Micro'!$K24&lt;&gt;""),'Atividades Micro'!$K24,"")</f>
        <v/>
      </c>
      <c r="CF25" s="21" t="str">
        <f>IF(AND('Atividades Micro'!$B24=CF$2,'Atividades Micro'!$G24="Micro",'Atividades Micro'!$K24&lt;&gt;""),'Atividades Micro'!$K24,"")</f>
        <v/>
      </c>
      <c r="CG25" s="21" t="str">
        <f>IF(AND('Atividades Micro'!$B24=CG$2,'Atividades Micro'!$G24="Micro",'Atividades Micro'!$K24&lt;&gt;""),'Atividades Micro'!$K24,"")</f>
        <v/>
      </c>
      <c r="CH25" s="21" t="str">
        <f>IF(AND('Atividades Micro'!$B24=CH$2,'Atividades Micro'!$G24="Micro",'Atividades Micro'!$K24&lt;&gt;""),'Atividades Micro'!$K24,"")</f>
        <v/>
      </c>
      <c r="CI25" s="21" t="str">
        <f>IF(AND('Atividades Micro'!$B24=CI$2,'Atividades Micro'!$G24="Micro",'Atividades Micro'!$K24&lt;&gt;""),'Atividades Micro'!$K24,"")</f>
        <v/>
      </c>
      <c r="CJ25" s="21" t="str">
        <f>IF(AND('Atividades Micro'!$B24=CJ$2,'Atividades Micro'!$G24="Micro",'Atividades Micro'!$K24&lt;&gt;""),'Atividades Micro'!$K24,"")</f>
        <v/>
      </c>
      <c r="CK25" s="21" t="str">
        <f>IF(AND('Atividades Micro'!$B24=CK$2,'Atividades Micro'!$G24="Micro",'Atividades Micro'!$K24&lt;&gt;""),'Atividades Micro'!$K24,"")</f>
        <v/>
      </c>
      <c r="CL25" s="21" t="str">
        <f>IF(AND('Atividades Micro'!$B24=CL$2,'Atividades Micro'!$G24="Micro",'Atividades Micro'!$K24&lt;&gt;""),'Atividades Micro'!$K24,"")</f>
        <v/>
      </c>
      <c r="CM25" s="21" t="str">
        <f>IF(AND('Atividades Micro'!$B24=CM$2,'Atividades Micro'!$G24="Micro",'Atividades Micro'!$K24&lt;&gt;""),'Atividades Micro'!$K24,"")</f>
        <v/>
      </c>
      <c r="CN25" s="21" t="str">
        <f>IF(AND('Atividades Micro'!$B24=CN$2,'Atividades Micro'!$G24="Micro",'Atividades Micro'!$K24&lt;&gt;""),'Atividades Micro'!$K24,"")</f>
        <v/>
      </c>
      <c r="CO25" s="21" t="str">
        <f>IF(AND('Atividades Micro'!$B24=CO$2,'Atividades Micro'!$G24="Micro",'Atividades Micro'!$K24&lt;&gt;""),'Atividades Micro'!$K24,"")</f>
        <v/>
      </c>
    </row>
    <row r="26" spans="1:93">
      <c r="A26" s="21" t="str">
        <f>IF(AND('Atividades Micro'!$A26=A$2,'Atividades Micro'!$K26&lt;&gt;""),'Atividades Micro'!$K26,"")</f>
        <v/>
      </c>
      <c r="B26" s="21" t="str">
        <f>IF(AND('Atividades Micro'!$A26=B$2,'Atividades Micro'!$L26&lt;&gt;""),'Atividades Micro'!$L26,"")</f>
        <v/>
      </c>
      <c r="C26" s="21" t="str">
        <f>IF(AND('Atividades Micro'!$A26=C$2,'Atividades Micro'!$K26&lt;&gt;""),'Atividades Micro'!$K26,"")</f>
        <v/>
      </c>
      <c r="D26" s="21" t="str">
        <f>IF(AND('Atividades Micro'!$A26=D$2,'Atividades Micro'!$L26&lt;&gt;""),'Atividades Micro'!$L26,"")</f>
        <v/>
      </c>
      <c r="E26" s="21" t="str">
        <f>IF(AND('Atividades Micro'!$A26=E$2,'Atividades Micro'!$K26&lt;&gt;""),'Atividades Micro'!$K26,"")</f>
        <v/>
      </c>
      <c r="F26" s="21" t="str">
        <f>IF(AND('Atividades Micro'!$A26=F$2,'Atividades Micro'!$L26&lt;&gt;""),'Atividades Micro'!$L26,"")</f>
        <v/>
      </c>
      <c r="G26" s="21" t="str">
        <f>IF(AND('Atividades Micro'!$A26=G$2,'Atividades Micro'!$K26&lt;&gt;""),'Atividades Micro'!$K26,"")</f>
        <v/>
      </c>
      <c r="H26" s="21" t="str">
        <f>IF(AND('Atividades Micro'!$A26=H$2,'Atividades Micro'!$L26&lt;&gt;""),'Atividades Micro'!$L26,"")</f>
        <v/>
      </c>
      <c r="I26" s="21">
        <f>IF(AND('Atividades Micro'!$A26=I$2,'Atividades Micro'!$K26&lt;&gt;""),'Atividades Micro'!$K26,"")</f>
        <v>46335</v>
      </c>
      <c r="J26" s="21" t="str">
        <f>IF(AND('Atividades Micro'!$A26=J$2,'Atividades Micro'!$L26&lt;&gt;""),'Atividades Micro'!$L26,"")</f>
        <v/>
      </c>
      <c r="K26" s="21" t="str">
        <f>IF(AND('Atividades Micro'!$B26=K$2,'Atividades Micro'!$K26&lt;&gt;""),'Atividades Micro'!$K26,"")</f>
        <v/>
      </c>
      <c r="L26" s="21" t="str">
        <f>IF(AND('Atividades Micro'!$B26=L$2,'Atividades Micro'!$L26&lt;&gt;""),'Atividades Micro'!$L26,"")</f>
        <v/>
      </c>
      <c r="M26" s="21">
        <f>IF(AND('Atividades Micro'!$B26=M$2,'Atividades Micro'!$K26&lt;&gt;""),'Atividades Micro'!$K26,"")</f>
        <v>46335</v>
      </c>
      <c r="N26" s="21" t="str">
        <f>IF(AND('Atividades Micro'!$B26=N$2,'Atividades Micro'!$L26&lt;&gt;""),'Atividades Micro'!$L26,"")</f>
        <v/>
      </c>
      <c r="O26" s="21" t="str">
        <f>IF(AND('Atividades Micro'!$A26=O$2,'Atividades Micro'!$K26&lt;&gt;""),'Atividades Micro'!$K26,"")</f>
        <v/>
      </c>
      <c r="P26" s="21" t="str">
        <f>IF(AND('Atividades Micro'!$A26=P$2,'Atividades Micro'!$L26&lt;&gt;""),'Atividades Micro'!$L26,"")</f>
        <v/>
      </c>
      <c r="Q26" s="21" t="str">
        <f>IF(AND('Atividades Micro'!$B26=Q$2,'Atividades Micro'!$K26&lt;&gt;""),'Atividades Micro'!$K26,"")</f>
        <v/>
      </c>
      <c r="R26" s="21" t="str">
        <f>IF(AND('Atividades Micro'!$B26=R$2,'Atividades Micro'!$L26&lt;&gt;""),'Atividades Micro'!$L26,"")</f>
        <v/>
      </c>
      <c r="S26" s="21" t="str">
        <f>IF(AND('Atividades Micro'!$A26=S$2,'Atividades Micro'!$K26&lt;&gt;""),'Atividades Micro'!$K26,"")</f>
        <v/>
      </c>
      <c r="T26" s="21" t="str">
        <f>IF(AND('Atividades Micro'!$A26=T$2,'Atividades Micro'!$L26&lt;&gt;""),'Atividades Micro'!$L26,"")</f>
        <v/>
      </c>
      <c r="U26" s="21" t="str">
        <f>IF(AND('Atividades Micro'!$B26=U$2,'Atividades Micro'!$K26&lt;&gt;""),'Atividades Micro'!$K26,"")</f>
        <v/>
      </c>
      <c r="V26" s="21" t="str">
        <f>IF(AND('Atividades Micro'!$B26=V$2,'Atividades Micro'!$L26&lt;&gt;""),'Atividades Micro'!$L26,"")</f>
        <v/>
      </c>
      <c r="W26" s="21" t="str">
        <f>IF(AND('Atividades Micro'!$B26=W$2,'Atividades Micro'!$K26&lt;&gt;""),'Atividades Micro'!$K26,"")</f>
        <v/>
      </c>
      <c r="X26" s="21" t="str">
        <f>IF(AND('Atividades Micro'!$B26=X$2,'Atividades Micro'!$L26&lt;&gt;""),'Atividades Micro'!$L26,"")</f>
        <v/>
      </c>
      <c r="Y26" s="21" t="str">
        <f>IF(AND('Atividades Micro'!$A26=Y$2,'Atividades Micro'!$K26&lt;&gt;""),'Atividades Micro'!$K26,"")</f>
        <v/>
      </c>
      <c r="Z26" s="21" t="str">
        <f>IF(AND('Atividades Micro'!$A26=Z$2,'Atividades Micro'!$L26&lt;&gt;""),'Atividades Micro'!$L26,"")</f>
        <v/>
      </c>
      <c r="AA26" s="21" t="str">
        <f>IF(AND('Atividades Micro'!$B26=AA$2,'Atividades Micro'!$K26&lt;&gt;""),'Atividades Micro'!$K26,"")</f>
        <v/>
      </c>
      <c r="AB26" s="21" t="str">
        <f>IF(AND('Atividades Micro'!$B26=AB$2,'Atividades Micro'!$L26&lt;&gt;""),'Atividades Micro'!$L26,"")</f>
        <v/>
      </c>
      <c r="AC26" s="21" t="str">
        <f>IF(AND('Atividades Micro'!$B26=AC$2,'Atividades Micro'!$K26&lt;&gt;""),'Atividades Micro'!$K26,"")</f>
        <v/>
      </c>
      <c r="AD26" s="21" t="str">
        <f>IF(AND('Atividades Micro'!$B26=AD$2,'Atividades Micro'!$L26&lt;&gt;""),'Atividades Micro'!$L26,"")</f>
        <v/>
      </c>
      <c r="AE26" s="21" t="str">
        <f>IF(AND('Atividades Micro'!$A26=AE$2,'Atividades Micro'!$K26&lt;&gt;""),'Atividades Micro'!$K26,"")</f>
        <v/>
      </c>
      <c r="AF26" s="21" t="str">
        <f>IF(AND('Atividades Micro'!$A26=AF$2,'Atividades Micro'!$L26&lt;&gt;""),'Atividades Micro'!$L26,"")</f>
        <v/>
      </c>
      <c r="AG26" s="21" t="str">
        <f>IF(AND('Atividades Micro'!$B26=AG$2,'Atividades Micro'!$K26&lt;&gt;""),'Atividades Micro'!$K26,"")</f>
        <v/>
      </c>
      <c r="AH26" s="21" t="str">
        <f>IF(AND('Atividades Micro'!$B26=AH$2,'Atividades Micro'!$L26&lt;&gt;""),'Atividades Micro'!$L26,"")</f>
        <v/>
      </c>
      <c r="AI26" s="21" t="str">
        <f>IF(AND('Atividades Micro'!$B26=AI$2,'Atividades Micro'!$K26&lt;&gt;""),'Atividades Micro'!$K26,"")</f>
        <v/>
      </c>
      <c r="AJ26" s="21" t="str">
        <f>IF(AND('Atividades Micro'!$B26=AJ$2,'Atividades Micro'!$L26&lt;&gt;""),'Atividades Micro'!$L26,"")</f>
        <v/>
      </c>
      <c r="AK26" s="21" t="str">
        <f>IF(AND('Atividades Micro'!$A26=AK$2,'Atividades Micro'!$K26&lt;&gt;""),'Atividades Micro'!$K26,"")</f>
        <v/>
      </c>
      <c r="AL26" s="21" t="str">
        <f>IF(AND('Atividades Micro'!$A26=AL$2,'Atividades Micro'!$L26&lt;&gt;""),'Atividades Micro'!$L26,"")</f>
        <v/>
      </c>
      <c r="AM26" s="21" t="str">
        <f>IF(AND('Atividades Micro'!$B26=AM$2,'Atividades Micro'!$K26&lt;&gt;""),'Atividades Micro'!$K26,"")</f>
        <v/>
      </c>
      <c r="AN26" s="21" t="str">
        <f>IF(AND('Atividades Micro'!$B26=AN$2,'Atividades Micro'!$L26&lt;&gt;""),'Atividades Micro'!$L26,"")</f>
        <v/>
      </c>
      <c r="AO26" s="21" t="str">
        <f>IF(AND('Atividades Micro'!$B26=AO$2,'Atividades Micro'!$K26&lt;&gt;""),'Atividades Micro'!$K26,"")</f>
        <v/>
      </c>
      <c r="AP26" s="21" t="str">
        <f>IF(AND('Atividades Micro'!$B26=AP$2,'Atividades Micro'!$L26&lt;&gt;""),'Atividades Micro'!$L26,"")</f>
        <v/>
      </c>
      <c r="AQ26" s="21" t="str">
        <f>IF(AND('Atividades Micro'!$A26=AQ$2,'Atividades Micro'!$K26&lt;&gt;""),'Atividades Micro'!$K26,"")</f>
        <v/>
      </c>
      <c r="AR26" s="21" t="str">
        <f>IF(AND('Atividades Micro'!$A26=AR$2,'Atividades Micro'!$L26&lt;&gt;""),'Atividades Micro'!$L26,"")</f>
        <v/>
      </c>
      <c r="AS26" s="21" t="str">
        <f>IF(AND('Atividades Micro'!$B26=AS$2,'Atividades Micro'!$K26&lt;&gt;""),'Atividades Micro'!$K26,"")</f>
        <v/>
      </c>
      <c r="AT26" s="21" t="str">
        <f>IF(AND('Atividades Micro'!$B26=AT$2,'Atividades Micro'!$L26&lt;&gt;""),'Atividades Micro'!$L26,"")</f>
        <v/>
      </c>
      <c r="AU26" s="21" t="str">
        <f>IF(AND('Atividades Micro'!$A26=AU$2,'Atividades Micro'!$K26&lt;&gt;""),'Atividades Micro'!$K26,"")</f>
        <v/>
      </c>
      <c r="AV26" s="21" t="str">
        <f>IF(AND('Atividades Micro'!$A26=AV$2,'Atividades Micro'!$L26&lt;&gt;""),'Atividades Micro'!$L26,"")</f>
        <v/>
      </c>
      <c r="AW26" s="21" t="str">
        <f>IF(AND('Atividades Micro'!$B26=AW$2,'Atividades Micro'!$K26&lt;&gt;""),'Atividades Micro'!$K26,"")</f>
        <v/>
      </c>
      <c r="AX26" s="21" t="str">
        <f>IF(AND('Atividades Micro'!$B26=AX$2,'Atividades Micro'!$L26&lt;&gt;""),'Atividades Micro'!$L26,"")</f>
        <v/>
      </c>
      <c r="AY26" s="21" t="str">
        <f>IF(AND('Atividades Micro'!$A26=AY$2,'Atividades Micro'!$K26&lt;&gt;""),'Atividades Micro'!$K26,"")</f>
        <v/>
      </c>
      <c r="AZ26" s="21" t="str">
        <f>IF(AND('Atividades Micro'!$A26=AZ$2,'Atividades Micro'!$L26&lt;&gt;""),'Atividades Micro'!$L26,"")</f>
        <v/>
      </c>
      <c r="BA26" s="21" t="str">
        <f>IF(AND('Atividades Micro'!$B26=BA$2,'Atividades Micro'!$K26&lt;&gt;""),'Atividades Micro'!$K26,"")</f>
        <v/>
      </c>
      <c r="BB26" s="21" t="str">
        <f>IF(AND('Atividades Micro'!$B26=BB$2,'Atividades Micro'!$L26&lt;&gt;""),'Atividades Micro'!$L26,"")</f>
        <v/>
      </c>
      <c r="BC26" s="21" t="str">
        <f>IF(AND('Atividades Micro'!$B26=BC$2,'Atividades Micro'!$G26="Macro",'Atividades Micro'!$K26&lt;&gt;""),'Atividades Micro'!$K26,"")</f>
        <v/>
      </c>
      <c r="BD26" s="21" t="str">
        <f>IF(AND('Atividades Micro'!$B26=BD$2,'Atividades Micro'!$G26="Macro",'Atividades Micro'!$K26&lt;&gt;""),'Atividades Micro'!$K26,"")</f>
        <v/>
      </c>
      <c r="BE26" s="21" t="str">
        <f>IF(AND('Atividades Micro'!$B26=BE$2,'Atividades Micro'!$G26="Macro",'Atividades Micro'!$K26&lt;&gt;""),'Atividades Micro'!$K26,"")</f>
        <v/>
      </c>
      <c r="BF26" s="21" t="str">
        <f>IF(AND('Atividades Micro'!$B26=BF$2,'Atividades Micro'!$G26="Macro",'Atividades Micro'!$K26&lt;&gt;""),'Atividades Micro'!$K26,"")</f>
        <v/>
      </c>
      <c r="BG26" s="21" t="str">
        <f>IF(AND('Atividades Micro'!$B26=BG$2,'Atividades Micro'!$G26="Macro",'Atividades Micro'!$K26&lt;&gt;""),'Atividades Micro'!$K26,"")</f>
        <v/>
      </c>
      <c r="BH26" s="21" t="str">
        <f>IF(AND('Atividades Micro'!$B26=BH$2,'Atividades Micro'!$G26="Macro",'Atividades Micro'!$K26&lt;&gt;""),'Atividades Micro'!$K26,"")</f>
        <v/>
      </c>
      <c r="BI26" s="21">
        <f>IF(AND('Atividades Micro'!$B26=BI$2,'Atividades Micro'!$G26="Macro",'Atividades Micro'!$K26&lt;&gt;""),'Atividades Micro'!$K26,"")</f>
        <v>46335</v>
      </c>
      <c r="BJ26" s="21" t="str">
        <f>IF(AND('Atividades Micro'!$B26=BJ$2,'Atividades Micro'!$G26="Macro",'Atividades Micro'!$K26&lt;&gt;""),'Atividades Micro'!$K26,"")</f>
        <v/>
      </c>
      <c r="BK26" s="21" t="str">
        <f>IF(AND('Atividades Micro'!$B26=BK$2,'Atividades Micro'!$G26="Macro",'Atividades Micro'!$K26&lt;&gt;""),'Atividades Micro'!$K26,"")</f>
        <v/>
      </c>
      <c r="BL26" s="21" t="str">
        <f>IF(AND('Atividades Micro'!$B26=BL$2,'Atividades Micro'!$G26="Macro",'Atividades Micro'!$K26&lt;&gt;""),'Atividades Micro'!$K26,"")</f>
        <v/>
      </c>
      <c r="BM26" s="21" t="str">
        <f>IF(AND('Atividades Micro'!$B26=BM$2,'Atividades Micro'!$G26="Macro",'Atividades Micro'!$K26&lt;&gt;""),'Atividades Micro'!$K26,"")</f>
        <v/>
      </c>
      <c r="BN26" s="21" t="str">
        <f>IF(AND('Atividades Micro'!$B26=BN$2,'Atividades Micro'!$G26="Macro",'Atividades Micro'!$K26&lt;&gt;""),'Atividades Micro'!$K26,"")</f>
        <v/>
      </c>
      <c r="BO26" s="21" t="str">
        <f>IF(AND('Atividades Micro'!$B26=BO$2,'Atividades Micro'!$G26="Macro",'Atividades Micro'!$K26&lt;&gt;""),'Atividades Micro'!$K26,"")</f>
        <v/>
      </c>
      <c r="BP26" s="21" t="str">
        <f>IF(AND('Atividades Micro'!$B26=BP$2,'Atividades Micro'!$G26="Macro",'Atividades Micro'!$K26&lt;&gt;""),'Atividades Micro'!$K26,"")</f>
        <v/>
      </c>
      <c r="BQ26" s="21" t="str">
        <f>IF(AND('Atividades Micro'!$B26=BQ$2,'Atividades Micro'!$G26="Macro",'Atividades Micro'!$K26&lt;&gt;""),'Atividades Micro'!$K26,"")</f>
        <v/>
      </c>
      <c r="BR26" s="21" t="str">
        <f>IF(AND('Atividades Micro'!$B26=BR$2,'Atividades Micro'!$G26="Macro",'Atividades Micro'!$K26&lt;&gt;""),'Atividades Micro'!$K26,"")</f>
        <v/>
      </c>
      <c r="BS26" s="21" t="str">
        <f>IF(AND('Atividades Micro'!$B26=BS$2,'Atividades Micro'!$G26="Macro",'Atividades Micro'!$K26&lt;&gt;""),'Atividades Micro'!$K26,"")</f>
        <v/>
      </c>
      <c r="BT26" s="21" t="str">
        <f>IF(AND('Atividades Micro'!$B26=BT$2,'Atividades Micro'!$G26="Macro",'Atividades Micro'!$K26&lt;&gt;""),'Atividades Micro'!$K26,"")</f>
        <v/>
      </c>
      <c r="BU26" s="21" t="str">
        <f>IF(AND('Atividades Micro'!$B26=BU$2,'Atividades Micro'!$G26="Macro",'Atividades Micro'!$K26&lt;&gt;""),'Atividades Micro'!$K26,"")</f>
        <v/>
      </c>
      <c r="BV26" s="21" t="str">
        <f>IF(AND('Atividades Micro'!$B26=BV$2,'Atividades Micro'!$G26="Macro",'Atividades Micro'!$K26&lt;&gt;""),'Atividades Micro'!$K26,"")</f>
        <v/>
      </c>
      <c r="BW26" s="21" t="str">
        <f>IF(AND('Atividades Micro'!$B26=BW$2,'Atividades Micro'!$G26="Macro",'Atividades Micro'!$K26&lt;&gt;""),'Atividades Micro'!$K26,"")</f>
        <v/>
      </c>
      <c r="BX26" s="21" t="str">
        <f>IF(AND('Atividades Micro'!$B26=BX$2,'Atividades Micro'!$G26="Macro",'Atividades Micro'!$K26&lt;&gt;""),'Atividades Micro'!$K26,"")</f>
        <v/>
      </c>
      <c r="BY26" s="21" t="str">
        <f>IF(AND('Atividades Micro'!$B26=BY$2,'Atividades Micro'!$G26="Macro",'Atividades Micro'!$K26&lt;&gt;""),'Atividades Micro'!$K26,"")</f>
        <v/>
      </c>
      <c r="BZ26" s="21" t="str">
        <f>IF(AND('Atividades Micro'!$B26=BZ$2,'Atividades Micro'!$G26="Macro",'Atividades Micro'!$K26&lt;&gt;""),'Atividades Micro'!$K26,"")</f>
        <v/>
      </c>
      <c r="CA26" s="21" t="str">
        <f>IF(AND('Atividades Micro'!$B26=CA$2,'Atividades Micro'!$G26="Macro",'Atividades Micro'!$K26&lt;&gt;""),'Atividades Micro'!$K26,"")</f>
        <v/>
      </c>
      <c r="CB26" s="21" t="str">
        <f>IF(AND('Atividades Micro'!$B26=CB$2,'Atividades Micro'!$G26="Macro",'Atividades Micro'!$K26&lt;&gt;""),'Atividades Micro'!$K26,"")</f>
        <v/>
      </c>
      <c r="CC26" s="21" t="str">
        <f>IF(AND('Atividades Micro'!$B26=CC$2,'Atividades Micro'!$G26="Macro",'Atividades Micro'!$K26&lt;&gt;""),'Atividades Micro'!$K26,"")</f>
        <v/>
      </c>
      <c r="CD26" s="21" t="str">
        <f>IF(AND('Atividades Micro'!$B26=CD$2,'Atividades Micro'!$G26="Micro",'Atividades Micro'!$K26&lt;&gt;""),'Atividades Micro'!$K26,"")</f>
        <v/>
      </c>
      <c r="CE26" s="21" t="str">
        <f>IF(AND('Atividades Micro'!$B26=CE$2,'Atividades Micro'!$G26="Micro",'Atividades Micro'!$K26&lt;&gt;""),'Atividades Micro'!$K26,"")</f>
        <v/>
      </c>
      <c r="CF26" s="21" t="str">
        <f>IF(AND('Atividades Micro'!$B26=CF$2,'Atividades Micro'!$G26="Micro",'Atividades Micro'!$K26&lt;&gt;""),'Atividades Micro'!$K26,"")</f>
        <v/>
      </c>
      <c r="CG26" s="21" t="str">
        <f>IF(AND('Atividades Micro'!$B26=CG$2,'Atividades Micro'!$G26="Micro",'Atividades Micro'!$K26&lt;&gt;""),'Atividades Micro'!$K26,"")</f>
        <v/>
      </c>
      <c r="CH26" s="21" t="str">
        <f>IF(AND('Atividades Micro'!$B26=CH$2,'Atividades Micro'!$G26="Micro",'Atividades Micro'!$K26&lt;&gt;""),'Atividades Micro'!$K26,"")</f>
        <v/>
      </c>
      <c r="CI26" s="21" t="str">
        <f>IF(AND('Atividades Micro'!$B26=CI$2,'Atividades Micro'!$G26="Micro",'Atividades Micro'!$K26&lt;&gt;""),'Atividades Micro'!$K26,"")</f>
        <v/>
      </c>
      <c r="CJ26" s="21" t="str">
        <f>IF(AND('Atividades Micro'!$B26=CJ$2,'Atividades Micro'!$G26="Micro",'Atividades Micro'!$K26&lt;&gt;""),'Atividades Micro'!$K26,"")</f>
        <v/>
      </c>
      <c r="CK26" s="21" t="str">
        <f>IF(AND('Atividades Micro'!$B26=CK$2,'Atividades Micro'!$G26="Micro",'Atividades Micro'!$K26&lt;&gt;""),'Atividades Micro'!$K26,"")</f>
        <v/>
      </c>
      <c r="CL26" s="21" t="str">
        <f>IF(AND('Atividades Micro'!$B26=CL$2,'Atividades Micro'!$G26="Micro",'Atividades Micro'!$K26&lt;&gt;""),'Atividades Micro'!$K26,"")</f>
        <v/>
      </c>
      <c r="CM26" s="21" t="str">
        <f>IF(AND('Atividades Micro'!$B26=CM$2,'Atividades Micro'!$G26="Micro",'Atividades Micro'!$K26&lt;&gt;""),'Atividades Micro'!$K26,"")</f>
        <v/>
      </c>
      <c r="CN26" s="21" t="str">
        <f>IF(AND('Atividades Micro'!$B26=CN$2,'Atividades Micro'!$G26="Micro",'Atividades Micro'!$K26&lt;&gt;""),'Atividades Micro'!$K26,"")</f>
        <v/>
      </c>
      <c r="CO26" s="21" t="str">
        <f>IF(AND('Atividades Micro'!$B26=CO$2,'Atividades Micro'!$G26="Micro",'Atividades Micro'!$K26&lt;&gt;""),'Atividades Micro'!$K26,"")</f>
        <v/>
      </c>
    </row>
    <row r="27" spans="1:93">
      <c r="A27" s="21" t="str">
        <f>IF(AND('Atividades Micro'!$A27=A$2,'Atividades Micro'!$K27&lt;&gt;""),'Atividades Micro'!$K27,"")</f>
        <v/>
      </c>
      <c r="B27" s="21" t="str">
        <f>IF(AND('Atividades Micro'!$A27=B$2,'Atividades Micro'!$L27&lt;&gt;""),'Atividades Micro'!$L27,"")</f>
        <v/>
      </c>
      <c r="C27" s="21" t="str">
        <f>IF(AND('Atividades Micro'!$A27=C$2,'Atividades Micro'!$K27&lt;&gt;""),'Atividades Micro'!$K27,"")</f>
        <v/>
      </c>
      <c r="D27" s="21" t="str">
        <f>IF(AND('Atividades Micro'!$A27=D$2,'Atividades Micro'!$L27&lt;&gt;""),'Atividades Micro'!$L27,"")</f>
        <v/>
      </c>
      <c r="E27" s="21" t="str">
        <f>IF(AND('Atividades Micro'!$A27=E$2,'Atividades Micro'!$K27&lt;&gt;""),'Atividades Micro'!$K27,"")</f>
        <v/>
      </c>
      <c r="F27" s="21" t="str">
        <f>IF(AND('Atividades Micro'!$A27=F$2,'Atividades Micro'!$L27&lt;&gt;""),'Atividades Micro'!$L27,"")</f>
        <v/>
      </c>
      <c r="G27" s="21" t="str">
        <f>IF(AND('Atividades Micro'!$A27=G$2,'Atividades Micro'!$K27&lt;&gt;""),'Atividades Micro'!$K27,"")</f>
        <v/>
      </c>
      <c r="H27" s="21" t="str">
        <f>IF(AND('Atividades Micro'!$A27=H$2,'Atividades Micro'!$L27&lt;&gt;""),'Atividades Micro'!$L27,"")</f>
        <v/>
      </c>
      <c r="I27" s="21">
        <f>IF(AND('Atividades Micro'!$A27=I$2,'Atividades Micro'!$K27&lt;&gt;""),'Atividades Micro'!$K27,"")</f>
        <v>46276</v>
      </c>
      <c r="J27" s="21">
        <f>IF(AND('Atividades Micro'!$A27=J$2,'Atividades Micro'!$L27&lt;&gt;""),'Atividades Micro'!$L27,"")</f>
        <v>46317</v>
      </c>
      <c r="K27" s="21" t="str">
        <f>IF(AND('Atividades Micro'!$B27=K$2,'Atividades Micro'!$K27&lt;&gt;""),'Atividades Micro'!$K27,"")</f>
        <v/>
      </c>
      <c r="L27" s="21" t="str">
        <f>IF(AND('Atividades Micro'!$B27=L$2,'Atividades Micro'!$L27&lt;&gt;""),'Atividades Micro'!$L27,"")</f>
        <v/>
      </c>
      <c r="M27" s="21">
        <f>IF(AND('Atividades Micro'!$B27=M$2,'Atividades Micro'!$K27&lt;&gt;""),'Atividades Micro'!$K27,"")</f>
        <v>46276</v>
      </c>
      <c r="N27" s="21">
        <f>IF(AND('Atividades Micro'!$B27=N$2,'Atividades Micro'!$L27&lt;&gt;""),'Atividades Micro'!$L27,"")</f>
        <v>46317</v>
      </c>
      <c r="O27" s="21" t="str">
        <f>IF(AND('Atividades Micro'!$A27=O$2,'Atividades Micro'!$K27&lt;&gt;""),'Atividades Micro'!$K27,"")</f>
        <v/>
      </c>
      <c r="P27" s="21" t="str">
        <f>IF(AND('Atividades Micro'!$A27=P$2,'Atividades Micro'!$L27&lt;&gt;""),'Atividades Micro'!$L27,"")</f>
        <v/>
      </c>
      <c r="Q27" s="21" t="str">
        <f>IF(AND('Atividades Micro'!$B27=Q$2,'Atividades Micro'!$K27&lt;&gt;""),'Atividades Micro'!$K27,"")</f>
        <v/>
      </c>
      <c r="R27" s="21" t="str">
        <f>IF(AND('Atividades Micro'!$B27=R$2,'Atividades Micro'!$L27&lt;&gt;""),'Atividades Micro'!$L27,"")</f>
        <v/>
      </c>
      <c r="S27" s="21" t="str">
        <f>IF(AND('Atividades Micro'!$A27=S$2,'Atividades Micro'!$K27&lt;&gt;""),'Atividades Micro'!$K27,"")</f>
        <v/>
      </c>
      <c r="T27" s="21" t="str">
        <f>IF(AND('Atividades Micro'!$A27=T$2,'Atividades Micro'!$L27&lt;&gt;""),'Atividades Micro'!$L27,"")</f>
        <v/>
      </c>
      <c r="U27" s="21" t="str">
        <f>IF(AND('Atividades Micro'!$B27=U$2,'Atividades Micro'!$K27&lt;&gt;""),'Atividades Micro'!$K27,"")</f>
        <v/>
      </c>
      <c r="V27" s="21" t="str">
        <f>IF(AND('Atividades Micro'!$B27=V$2,'Atividades Micro'!$L27&lt;&gt;""),'Atividades Micro'!$L27,"")</f>
        <v/>
      </c>
      <c r="W27" s="21" t="str">
        <f>IF(AND('Atividades Micro'!$B27=W$2,'Atividades Micro'!$K27&lt;&gt;""),'Atividades Micro'!$K27,"")</f>
        <v/>
      </c>
      <c r="X27" s="21" t="str">
        <f>IF(AND('Atividades Micro'!$B27=X$2,'Atividades Micro'!$L27&lt;&gt;""),'Atividades Micro'!$L27,"")</f>
        <v/>
      </c>
      <c r="Y27" s="21" t="str">
        <f>IF(AND('Atividades Micro'!$A27=Y$2,'Atividades Micro'!$K27&lt;&gt;""),'Atividades Micro'!$K27,"")</f>
        <v/>
      </c>
      <c r="Z27" s="21" t="str">
        <f>IF(AND('Atividades Micro'!$A27=Z$2,'Atividades Micro'!$L27&lt;&gt;""),'Atividades Micro'!$L27,"")</f>
        <v/>
      </c>
      <c r="AA27" s="21" t="str">
        <f>IF(AND('Atividades Micro'!$B27=AA$2,'Atividades Micro'!$K27&lt;&gt;""),'Atividades Micro'!$K27,"")</f>
        <v/>
      </c>
      <c r="AB27" s="21" t="str">
        <f>IF(AND('Atividades Micro'!$B27=AB$2,'Atividades Micro'!$L27&lt;&gt;""),'Atividades Micro'!$L27,"")</f>
        <v/>
      </c>
      <c r="AC27" s="21" t="str">
        <f>IF(AND('Atividades Micro'!$B27=AC$2,'Atividades Micro'!$K27&lt;&gt;""),'Atividades Micro'!$K27,"")</f>
        <v/>
      </c>
      <c r="AD27" s="21" t="str">
        <f>IF(AND('Atividades Micro'!$B27=AD$2,'Atividades Micro'!$L27&lt;&gt;""),'Atividades Micro'!$L27,"")</f>
        <v/>
      </c>
      <c r="AE27" s="21" t="str">
        <f>IF(AND('Atividades Micro'!$A27=AE$2,'Atividades Micro'!$K27&lt;&gt;""),'Atividades Micro'!$K27,"")</f>
        <v/>
      </c>
      <c r="AF27" s="21" t="str">
        <f>IF(AND('Atividades Micro'!$A27=AF$2,'Atividades Micro'!$L27&lt;&gt;""),'Atividades Micro'!$L27,"")</f>
        <v/>
      </c>
      <c r="AG27" s="21" t="str">
        <f>IF(AND('Atividades Micro'!$B27=AG$2,'Atividades Micro'!$K27&lt;&gt;""),'Atividades Micro'!$K27,"")</f>
        <v/>
      </c>
      <c r="AH27" s="21" t="str">
        <f>IF(AND('Atividades Micro'!$B27=AH$2,'Atividades Micro'!$L27&lt;&gt;""),'Atividades Micro'!$L27,"")</f>
        <v/>
      </c>
      <c r="AI27" s="21" t="str">
        <f>IF(AND('Atividades Micro'!$B27=AI$2,'Atividades Micro'!$K27&lt;&gt;""),'Atividades Micro'!$K27,"")</f>
        <v/>
      </c>
      <c r="AJ27" s="21" t="str">
        <f>IF(AND('Atividades Micro'!$B27=AJ$2,'Atividades Micro'!$L27&lt;&gt;""),'Atividades Micro'!$L27,"")</f>
        <v/>
      </c>
      <c r="AK27" s="21" t="str">
        <f>IF(AND('Atividades Micro'!$A27=AK$2,'Atividades Micro'!$K27&lt;&gt;""),'Atividades Micro'!$K27,"")</f>
        <v/>
      </c>
      <c r="AL27" s="21" t="str">
        <f>IF(AND('Atividades Micro'!$A27=AL$2,'Atividades Micro'!$L27&lt;&gt;""),'Atividades Micro'!$L27,"")</f>
        <v/>
      </c>
      <c r="AM27" s="21" t="str">
        <f>IF(AND('Atividades Micro'!$B27=AM$2,'Atividades Micro'!$K27&lt;&gt;""),'Atividades Micro'!$K27,"")</f>
        <v/>
      </c>
      <c r="AN27" s="21" t="str">
        <f>IF(AND('Atividades Micro'!$B27=AN$2,'Atividades Micro'!$L27&lt;&gt;""),'Atividades Micro'!$L27,"")</f>
        <v/>
      </c>
      <c r="AO27" s="21" t="str">
        <f>IF(AND('Atividades Micro'!$B27=AO$2,'Atividades Micro'!$K27&lt;&gt;""),'Atividades Micro'!$K27,"")</f>
        <v/>
      </c>
      <c r="AP27" s="21" t="str">
        <f>IF(AND('Atividades Micro'!$B27=AP$2,'Atividades Micro'!$L27&lt;&gt;""),'Atividades Micro'!$L27,"")</f>
        <v/>
      </c>
      <c r="AQ27" s="21" t="str">
        <f>IF(AND('Atividades Micro'!$A27=AQ$2,'Atividades Micro'!$K27&lt;&gt;""),'Atividades Micro'!$K27,"")</f>
        <v/>
      </c>
      <c r="AR27" s="21" t="str">
        <f>IF(AND('Atividades Micro'!$A27=AR$2,'Atividades Micro'!$L27&lt;&gt;""),'Atividades Micro'!$L27,"")</f>
        <v/>
      </c>
      <c r="AS27" s="21" t="str">
        <f>IF(AND('Atividades Micro'!$B27=AS$2,'Atividades Micro'!$K27&lt;&gt;""),'Atividades Micro'!$K27,"")</f>
        <v/>
      </c>
      <c r="AT27" s="21" t="str">
        <f>IF(AND('Atividades Micro'!$B27=AT$2,'Atividades Micro'!$L27&lt;&gt;""),'Atividades Micro'!$L27,"")</f>
        <v/>
      </c>
      <c r="AU27" s="21" t="str">
        <f>IF(AND('Atividades Micro'!$A27=AU$2,'Atividades Micro'!$K27&lt;&gt;""),'Atividades Micro'!$K27,"")</f>
        <v/>
      </c>
      <c r="AV27" s="21" t="str">
        <f>IF(AND('Atividades Micro'!$A27=AV$2,'Atividades Micro'!$L27&lt;&gt;""),'Atividades Micro'!$L27,"")</f>
        <v/>
      </c>
      <c r="AW27" s="21" t="str">
        <f>IF(AND('Atividades Micro'!$B27=AW$2,'Atividades Micro'!$K27&lt;&gt;""),'Atividades Micro'!$K27,"")</f>
        <v/>
      </c>
      <c r="AX27" s="21" t="str">
        <f>IF(AND('Atividades Micro'!$B27=AX$2,'Atividades Micro'!$L27&lt;&gt;""),'Atividades Micro'!$L27,"")</f>
        <v/>
      </c>
      <c r="AY27" s="21" t="str">
        <f>IF(AND('Atividades Micro'!$A27=AY$2,'Atividades Micro'!$K27&lt;&gt;""),'Atividades Micro'!$K27,"")</f>
        <v/>
      </c>
      <c r="AZ27" s="21" t="str">
        <f>IF(AND('Atividades Micro'!$A27=AZ$2,'Atividades Micro'!$L27&lt;&gt;""),'Atividades Micro'!$L27,"")</f>
        <v/>
      </c>
      <c r="BA27" s="21" t="str">
        <f>IF(AND('Atividades Micro'!$B27=BA$2,'Atividades Micro'!$K27&lt;&gt;""),'Atividades Micro'!$K27,"")</f>
        <v/>
      </c>
      <c r="BB27" s="21" t="str">
        <f>IF(AND('Atividades Micro'!$B27=BB$2,'Atividades Micro'!$L27&lt;&gt;""),'Atividades Micro'!$L27,"")</f>
        <v/>
      </c>
      <c r="BC27" s="21" t="str">
        <f>IF(AND('Atividades Micro'!$B27=BC$2,'Atividades Micro'!$G27="Macro",'Atividades Micro'!$K27&lt;&gt;""),'Atividades Micro'!$K27,"")</f>
        <v/>
      </c>
      <c r="BD27" s="21" t="str">
        <f>IF(AND('Atividades Micro'!$B27=BD$2,'Atividades Micro'!$G27="Macro",'Atividades Micro'!$K27&lt;&gt;""),'Atividades Micro'!$K27,"")</f>
        <v/>
      </c>
      <c r="BE27" s="21" t="str">
        <f>IF(AND('Atividades Micro'!$B27=BE$2,'Atividades Micro'!$G27="Macro",'Atividades Micro'!$K27&lt;&gt;""),'Atividades Micro'!$K27,"")</f>
        <v/>
      </c>
      <c r="BF27" s="21" t="str">
        <f>IF(AND('Atividades Micro'!$B27=BF$2,'Atividades Micro'!$G27="Macro",'Atividades Micro'!$K27&lt;&gt;""),'Atividades Micro'!$K27,"")</f>
        <v/>
      </c>
      <c r="BG27" s="21" t="str">
        <f>IF(AND('Atividades Micro'!$B27=BG$2,'Atividades Micro'!$G27="Macro",'Atividades Micro'!$K27&lt;&gt;""),'Atividades Micro'!$K27,"")</f>
        <v/>
      </c>
      <c r="BH27" s="21" t="str">
        <f>IF(AND('Atividades Micro'!$B27=BH$2,'Atividades Micro'!$G27="Macro",'Atividades Micro'!$K27&lt;&gt;""),'Atividades Micro'!$K27,"")</f>
        <v/>
      </c>
      <c r="BI27" s="21" t="str">
        <f>IF(AND('Atividades Micro'!$B27=BI$2,'Atividades Micro'!$G27="Macro",'Atividades Micro'!$K27&lt;&gt;""),'Atividades Micro'!$K27,"")</f>
        <v/>
      </c>
      <c r="BJ27" s="21" t="str">
        <f>IF(AND('Atividades Micro'!$B27=BJ$2,'Atividades Micro'!$G27="Macro",'Atividades Micro'!$K27&lt;&gt;""),'Atividades Micro'!$K27,"")</f>
        <v/>
      </c>
      <c r="BK27" s="21" t="str">
        <f>IF(AND('Atividades Micro'!$B27=BK$2,'Atividades Micro'!$G27="Macro",'Atividades Micro'!$K27&lt;&gt;""),'Atividades Micro'!$K27,"")</f>
        <v/>
      </c>
      <c r="BL27" s="21" t="str">
        <f>IF(AND('Atividades Micro'!$B27=BL$2,'Atividades Micro'!$G27="Macro",'Atividades Micro'!$K27&lt;&gt;""),'Atividades Micro'!$K27,"")</f>
        <v/>
      </c>
      <c r="BM27" s="21" t="str">
        <f>IF(AND('Atividades Micro'!$B27=BM$2,'Atividades Micro'!$G27="Macro",'Atividades Micro'!$K27&lt;&gt;""),'Atividades Micro'!$K27,"")</f>
        <v/>
      </c>
      <c r="BN27" s="21" t="str">
        <f>IF(AND('Atividades Micro'!$B27=BN$2,'Atividades Micro'!$G27="Macro",'Atividades Micro'!$K27&lt;&gt;""),'Atividades Micro'!$K27,"")</f>
        <v/>
      </c>
      <c r="BO27" s="21" t="str">
        <f>IF(AND('Atividades Micro'!$B27=BO$2,'Atividades Micro'!$G27="Macro",'Atividades Micro'!$K27&lt;&gt;""),'Atividades Micro'!$K27,"")</f>
        <v/>
      </c>
      <c r="BP27" s="21" t="str">
        <f>IF(AND('Atividades Micro'!$B27=BP$2,'Atividades Micro'!$G27="Macro",'Atividades Micro'!$K27&lt;&gt;""),'Atividades Micro'!$K27,"")</f>
        <v/>
      </c>
      <c r="BQ27" s="21" t="str">
        <f>IF(AND('Atividades Micro'!$B27=BQ$2,'Atividades Micro'!$G27="Macro",'Atividades Micro'!$K27&lt;&gt;""),'Atividades Micro'!$K27,"")</f>
        <v/>
      </c>
      <c r="BR27" s="21" t="str">
        <f>IF(AND('Atividades Micro'!$B27=BR$2,'Atividades Micro'!$G27="Macro",'Atividades Micro'!$K27&lt;&gt;""),'Atividades Micro'!$K27,"")</f>
        <v/>
      </c>
      <c r="BS27" s="21" t="str">
        <f>IF(AND('Atividades Micro'!$B27=BS$2,'Atividades Micro'!$G27="Macro",'Atividades Micro'!$K27&lt;&gt;""),'Atividades Micro'!$K27,"")</f>
        <v/>
      </c>
      <c r="BT27" s="21" t="str">
        <f>IF(AND('Atividades Micro'!$B27=BT$2,'Atividades Micro'!$G27="Macro",'Atividades Micro'!$K27&lt;&gt;""),'Atividades Micro'!$K27,"")</f>
        <v/>
      </c>
      <c r="BU27" s="21" t="str">
        <f>IF(AND('Atividades Micro'!$B27=BU$2,'Atividades Micro'!$G27="Macro",'Atividades Micro'!$K27&lt;&gt;""),'Atividades Micro'!$K27,"")</f>
        <v/>
      </c>
      <c r="BV27" s="21" t="str">
        <f>IF(AND('Atividades Micro'!$B27=BV$2,'Atividades Micro'!$G27="Macro",'Atividades Micro'!$K27&lt;&gt;""),'Atividades Micro'!$K27,"")</f>
        <v/>
      </c>
      <c r="BW27" s="21" t="str">
        <f>IF(AND('Atividades Micro'!$B27=BW$2,'Atividades Micro'!$G27="Macro",'Atividades Micro'!$K27&lt;&gt;""),'Atividades Micro'!$K27,"")</f>
        <v/>
      </c>
      <c r="BX27" s="21" t="str">
        <f>IF(AND('Atividades Micro'!$B27=BX$2,'Atividades Micro'!$G27="Macro",'Atividades Micro'!$K27&lt;&gt;""),'Atividades Micro'!$K27,"")</f>
        <v/>
      </c>
      <c r="BY27" s="21" t="str">
        <f>IF(AND('Atividades Micro'!$B27=BY$2,'Atividades Micro'!$G27="Macro",'Atividades Micro'!$K27&lt;&gt;""),'Atividades Micro'!$K27,"")</f>
        <v/>
      </c>
      <c r="BZ27" s="21" t="str">
        <f>IF(AND('Atividades Micro'!$B27=BZ$2,'Atividades Micro'!$G27="Macro",'Atividades Micro'!$K27&lt;&gt;""),'Atividades Micro'!$K27,"")</f>
        <v/>
      </c>
      <c r="CA27" s="21" t="str">
        <f>IF(AND('Atividades Micro'!$B27=CA$2,'Atividades Micro'!$G27="Macro",'Atividades Micro'!$K27&lt;&gt;""),'Atividades Micro'!$K27,"")</f>
        <v/>
      </c>
      <c r="CB27" s="21" t="str">
        <f>IF(AND('Atividades Micro'!$B27=CB$2,'Atividades Micro'!$G27="Macro",'Atividades Micro'!$K27&lt;&gt;""),'Atividades Micro'!$K27,"")</f>
        <v/>
      </c>
      <c r="CC27" s="21" t="str">
        <f>IF(AND('Atividades Micro'!$B27=CC$2,'Atividades Micro'!$G27="Macro",'Atividades Micro'!$K27&lt;&gt;""),'Atividades Micro'!$K27,"")</f>
        <v/>
      </c>
      <c r="CD27" s="21" t="str">
        <f>IF(AND('Atividades Micro'!$B27=CD$2,'Atividades Micro'!$G27="Micro",'Atividades Micro'!$K27&lt;&gt;""),'Atividades Micro'!$K27,"")</f>
        <v/>
      </c>
      <c r="CE27" s="21">
        <f>IF(AND('Atividades Micro'!$B27=CE$2,'Atividades Micro'!$G27="Micro",'Atividades Micro'!$K27&lt;&gt;""),'Atividades Micro'!$K27,"")</f>
        <v>46276</v>
      </c>
      <c r="CF27" s="21" t="str">
        <f>IF(AND('Atividades Micro'!$B27=CF$2,'Atividades Micro'!$G27="Micro",'Atividades Micro'!$K27&lt;&gt;""),'Atividades Micro'!$K27,"")</f>
        <v/>
      </c>
      <c r="CG27" s="21" t="str">
        <f>IF(AND('Atividades Micro'!$B27=CG$2,'Atividades Micro'!$G27="Micro",'Atividades Micro'!$K27&lt;&gt;""),'Atividades Micro'!$K27,"")</f>
        <v/>
      </c>
      <c r="CH27" s="21" t="str">
        <f>IF(AND('Atividades Micro'!$B27=CH$2,'Atividades Micro'!$G27="Micro",'Atividades Micro'!$K27&lt;&gt;""),'Atividades Micro'!$K27,"")</f>
        <v/>
      </c>
      <c r="CI27" s="21" t="str">
        <f>IF(AND('Atividades Micro'!$B27=CI$2,'Atividades Micro'!$G27="Micro",'Atividades Micro'!$K27&lt;&gt;""),'Atividades Micro'!$K27,"")</f>
        <v/>
      </c>
      <c r="CJ27" s="21" t="str">
        <f>IF(AND('Atividades Micro'!$B27=CJ$2,'Atividades Micro'!$G27="Micro",'Atividades Micro'!$K27&lt;&gt;""),'Atividades Micro'!$K27,"")</f>
        <v/>
      </c>
      <c r="CK27" s="21" t="str">
        <f>IF(AND('Atividades Micro'!$B27=CK$2,'Atividades Micro'!$G27="Micro",'Atividades Micro'!$K27&lt;&gt;""),'Atividades Micro'!$K27,"")</f>
        <v/>
      </c>
      <c r="CL27" s="21" t="str">
        <f>IF(AND('Atividades Micro'!$B27=CL$2,'Atividades Micro'!$G27="Micro",'Atividades Micro'!$K27&lt;&gt;""),'Atividades Micro'!$K27,"")</f>
        <v/>
      </c>
      <c r="CM27" s="21" t="str">
        <f>IF(AND('Atividades Micro'!$B27=CM$2,'Atividades Micro'!$G27="Micro",'Atividades Micro'!$K27&lt;&gt;""),'Atividades Micro'!$K27,"")</f>
        <v/>
      </c>
      <c r="CN27" s="21" t="str">
        <f>IF(AND('Atividades Micro'!$B27=CN$2,'Atividades Micro'!$G27="Micro",'Atividades Micro'!$K27&lt;&gt;""),'Atividades Micro'!$K27,"")</f>
        <v/>
      </c>
      <c r="CO27" s="21" t="str">
        <f>IF(AND('Atividades Micro'!$B27=CO$2,'Atividades Micro'!$G27="Micro",'Atividades Micro'!$K27&lt;&gt;""),'Atividades Micro'!$K27,"")</f>
        <v/>
      </c>
    </row>
    <row r="28" spans="1:93">
      <c r="A28" s="21" t="str">
        <f>IF(AND('Atividades Micro'!$A28=A$2,'Atividades Micro'!$K28&lt;&gt;""),'Atividades Micro'!$K28,"")</f>
        <v/>
      </c>
      <c r="B28" s="21" t="str">
        <f>IF(AND('Atividades Micro'!$A28=B$2,'Atividades Micro'!$L28&lt;&gt;""),'Atividades Micro'!$L28,"")</f>
        <v/>
      </c>
      <c r="C28" s="21" t="str">
        <f>IF(AND('Atividades Micro'!$A28=C$2,'Atividades Micro'!$K28&lt;&gt;""),'Atividades Micro'!$K28,"")</f>
        <v/>
      </c>
      <c r="D28" s="21" t="str">
        <f>IF(AND('Atividades Micro'!$A28=D$2,'Atividades Micro'!$L28&lt;&gt;""),'Atividades Micro'!$L28,"")</f>
        <v/>
      </c>
      <c r="E28" s="21" t="str">
        <f>IF(AND('Atividades Micro'!$A28=E$2,'Atividades Micro'!$K28&lt;&gt;""),'Atividades Micro'!$K28,"")</f>
        <v/>
      </c>
      <c r="F28" s="21" t="str">
        <f>IF(AND('Atividades Micro'!$A28=F$2,'Atividades Micro'!$L28&lt;&gt;""),'Atividades Micro'!$L28,"")</f>
        <v/>
      </c>
      <c r="G28" s="21" t="str">
        <f>IF(AND('Atividades Micro'!$A28=G$2,'Atividades Micro'!$K28&lt;&gt;""),'Atividades Micro'!$K28,"")</f>
        <v/>
      </c>
      <c r="H28" s="21" t="str">
        <f>IF(AND('Atividades Micro'!$A28=H$2,'Atividades Micro'!$L28&lt;&gt;""),'Atividades Micro'!$L28,"")</f>
        <v/>
      </c>
      <c r="I28" s="21">
        <f>IF(AND('Atividades Micro'!$A28=I$2,'Atividades Micro'!$K28&lt;&gt;""),'Atividades Micro'!$K28,"")</f>
        <v>46286</v>
      </c>
      <c r="J28" s="21">
        <f>IF(AND('Atividades Micro'!$A28=J$2,'Atividades Micro'!$L28&lt;&gt;""),'Atividades Micro'!$L28,"")</f>
        <v>46290</v>
      </c>
      <c r="K28" s="21" t="str">
        <f>IF(AND('Atividades Micro'!$B28=K$2,'Atividades Micro'!$K28&lt;&gt;""),'Atividades Micro'!$K28,"")</f>
        <v/>
      </c>
      <c r="L28" s="21" t="str">
        <f>IF(AND('Atividades Micro'!$B28=L$2,'Atividades Micro'!$L28&lt;&gt;""),'Atividades Micro'!$L28,"")</f>
        <v/>
      </c>
      <c r="M28" s="21">
        <f>IF(AND('Atividades Micro'!$B28=M$2,'Atividades Micro'!$K28&lt;&gt;""),'Atividades Micro'!$K28,"")</f>
        <v>46286</v>
      </c>
      <c r="N28" s="21">
        <f>IF(AND('Atividades Micro'!$B28=N$2,'Atividades Micro'!$L28&lt;&gt;""),'Atividades Micro'!$L28,"")</f>
        <v>46290</v>
      </c>
      <c r="O28" s="21" t="str">
        <f>IF(AND('Atividades Micro'!$A28=O$2,'Atividades Micro'!$K28&lt;&gt;""),'Atividades Micro'!$K28,"")</f>
        <v/>
      </c>
      <c r="P28" s="21" t="str">
        <f>IF(AND('Atividades Micro'!$A28=P$2,'Atividades Micro'!$L28&lt;&gt;""),'Atividades Micro'!$L28,"")</f>
        <v/>
      </c>
      <c r="Q28" s="21" t="str">
        <f>IF(AND('Atividades Micro'!$B28=Q$2,'Atividades Micro'!$K28&lt;&gt;""),'Atividades Micro'!$K28,"")</f>
        <v/>
      </c>
      <c r="R28" s="21" t="str">
        <f>IF(AND('Atividades Micro'!$B28=R$2,'Atividades Micro'!$L28&lt;&gt;""),'Atividades Micro'!$L28,"")</f>
        <v/>
      </c>
      <c r="S28" s="21" t="str">
        <f>IF(AND('Atividades Micro'!$A28=S$2,'Atividades Micro'!$K28&lt;&gt;""),'Atividades Micro'!$K28,"")</f>
        <v/>
      </c>
      <c r="T28" s="21" t="str">
        <f>IF(AND('Atividades Micro'!$A28=T$2,'Atividades Micro'!$L28&lt;&gt;""),'Atividades Micro'!$L28,"")</f>
        <v/>
      </c>
      <c r="U28" s="21" t="str">
        <f>IF(AND('Atividades Micro'!$B28=U$2,'Atividades Micro'!$K28&lt;&gt;""),'Atividades Micro'!$K28,"")</f>
        <v/>
      </c>
      <c r="V28" s="21" t="str">
        <f>IF(AND('Atividades Micro'!$B28=V$2,'Atividades Micro'!$L28&lt;&gt;""),'Atividades Micro'!$L28,"")</f>
        <v/>
      </c>
      <c r="W28" s="21" t="str">
        <f>IF(AND('Atividades Micro'!$B28=W$2,'Atividades Micro'!$K28&lt;&gt;""),'Atividades Micro'!$K28,"")</f>
        <v/>
      </c>
      <c r="X28" s="21" t="str">
        <f>IF(AND('Atividades Micro'!$B28=X$2,'Atividades Micro'!$L28&lt;&gt;""),'Atividades Micro'!$L28,"")</f>
        <v/>
      </c>
      <c r="Y28" s="21" t="str">
        <f>IF(AND('Atividades Micro'!$A28=Y$2,'Atividades Micro'!$K28&lt;&gt;""),'Atividades Micro'!$K28,"")</f>
        <v/>
      </c>
      <c r="Z28" s="21" t="str">
        <f>IF(AND('Atividades Micro'!$A28=Z$2,'Atividades Micro'!$L28&lt;&gt;""),'Atividades Micro'!$L28,"")</f>
        <v/>
      </c>
      <c r="AA28" s="21" t="str">
        <f>IF(AND('Atividades Micro'!$B28=AA$2,'Atividades Micro'!$K28&lt;&gt;""),'Atividades Micro'!$K28,"")</f>
        <v/>
      </c>
      <c r="AB28" s="21" t="str">
        <f>IF(AND('Atividades Micro'!$B28=AB$2,'Atividades Micro'!$L28&lt;&gt;""),'Atividades Micro'!$L28,"")</f>
        <v/>
      </c>
      <c r="AC28" s="21" t="str">
        <f>IF(AND('Atividades Micro'!$B28=AC$2,'Atividades Micro'!$K28&lt;&gt;""),'Atividades Micro'!$K28,"")</f>
        <v/>
      </c>
      <c r="AD28" s="21" t="str">
        <f>IF(AND('Atividades Micro'!$B28=AD$2,'Atividades Micro'!$L28&lt;&gt;""),'Atividades Micro'!$L28,"")</f>
        <v/>
      </c>
      <c r="AE28" s="21" t="str">
        <f>IF(AND('Atividades Micro'!$A28=AE$2,'Atividades Micro'!$K28&lt;&gt;""),'Atividades Micro'!$K28,"")</f>
        <v/>
      </c>
      <c r="AF28" s="21" t="str">
        <f>IF(AND('Atividades Micro'!$A28=AF$2,'Atividades Micro'!$L28&lt;&gt;""),'Atividades Micro'!$L28,"")</f>
        <v/>
      </c>
      <c r="AG28" s="21" t="str">
        <f>IF(AND('Atividades Micro'!$B28=AG$2,'Atividades Micro'!$K28&lt;&gt;""),'Atividades Micro'!$K28,"")</f>
        <v/>
      </c>
      <c r="AH28" s="21" t="str">
        <f>IF(AND('Atividades Micro'!$B28=AH$2,'Atividades Micro'!$L28&lt;&gt;""),'Atividades Micro'!$L28,"")</f>
        <v/>
      </c>
      <c r="AI28" s="21" t="str">
        <f>IF(AND('Atividades Micro'!$B28=AI$2,'Atividades Micro'!$K28&lt;&gt;""),'Atividades Micro'!$K28,"")</f>
        <v/>
      </c>
      <c r="AJ28" s="21" t="str">
        <f>IF(AND('Atividades Micro'!$B28=AJ$2,'Atividades Micro'!$L28&lt;&gt;""),'Atividades Micro'!$L28,"")</f>
        <v/>
      </c>
      <c r="AK28" s="21" t="str">
        <f>IF(AND('Atividades Micro'!$A28=AK$2,'Atividades Micro'!$K28&lt;&gt;""),'Atividades Micro'!$K28,"")</f>
        <v/>
      </c>
      <c r="AL28" s="21" t="str">
        <f>IF(AND('Atividades Micro'!$A28=AL$2,'Atividades Micro'!$L28&lt;&gt;""),'Atividades Micro'!$L28,"")</f>
        <v/>
      </c>
      <c r="AM28" s="21" t="str">
        <f>IF(AND('Atividades Micro'!$B28=AM$2,'Atividades Micro'!$K28&lt;&gt;""),'Atividades Micro'!$K28,"")</f>
        <v/>
      </c>
      <c r="AN28" s="21" t="str">
        <f>IF(AND('Atividades Micro'!$B28=AN$2,'Atividades Micro'!$L28&lt;&gt;""),'Atividades Micro'!$L28,"")</f>
        <v/>
      </c>
      <c r="AO28" s="21" t="str">
        <f>IF(AND('Atividades Micro'!$B28=AO$2,'Atividades Micro'!$K28&lt;&gt;""),'Atividades Micro'!$K28,"")</f>
        <v/>
      </c>
      <c r="AP28" s="21" t="str">
        <f>IF(AND('Atividades Micro'!$B28=AP$2,'Atividades Micro'!$L28&lt;&gt;""),'Atividades Micro'!$L28,"")</f>
        <v/>
      </c>
      <c r="AQ28" s="21" t="str">
        <f>IF(AND('Atividades Micro'!$A28=AQ$2,'Atividades Micro'!$K28&lt;&gt;""),'Atividades Micro'!$K28,"")</f>
        <v/>
      </c>
      <c r="AR28" s="21" t="str">
        <f>IF(AND('Atividades Micro'!$A28=AR$2,'Atividades Micro'!$L28&lt;&gt;""),'Atividades Micro'!$L28,"")</f>
        <v/>
      </c>
      <c r="AS28" s="21" t="str">
        <f>IF(AND('Atividades Micro'!$B28=AS$2,'Atividades Micro'!$K28&lt;&gt;""),'Atividades Micro'!$K28,"")</f>
        <v/>
      </c>
      <c r="AT28" s="21" t="str">
        <f>IF(AND('Atividades Micro'!$B28=AT$2,'Atividades Micro'!$L28&lt;&gt;""),'Atividades Micro'!$L28,"")</f>
        <v/>
      </c>
      <c r="AU28" s="21" t="str">
        <f>IF(AND('Atividades Micro'!$A28=AU$2,'Atividades Micro'!$K28&lt;&gt;""),'Atividades Micro'!$K28,"")</f>
        <v/>
      </c>
      <c r="AV28" s="21" t="str">
        <f>IF(AND('Atividades Micro'!$A28=AV$2,'Atividades Micro'!$L28&lt;&gt;""),'Atividades Micro'!$L28,"")</f>
        <v/>
      </c>
      <c r="AW28" s="21" t="str">
        <f>IF(AND('Atividades Micro'!$B28=AW$2,'Atividades Micro'!$K28&lt;&gt;""),'Atividades Micro'!$K28,"")</f>
        <v/>
      </c>
      <c r="AX28" s="21" t="str">
        <f>IF(AND('Atividades Micro'!$B28=AX$2,'Atividades Micro'!$L28&lt;&gt;""),'Atividades Micro'!$L28,"")</f>
        <v/>
      </c>
      <c r="AY28" s="21" t="str">
        <f>IF(AND('Atividades Micro'!$A28=AY$2,'Atividades Micro'!$K28&lt;&gt;""),'Atividades Micro'!$K28,"")</f>
        <v/>
      </c>
      <c r="AZ28" s="21" t="str">
        <f>IF(AND('Atividades Micro'!$A28=AZ$2,'Atividades Micro'!$L28&lt;&gt;""),'Atividades Micro'!$L28,"")</f>
        <v/>
      </c>
      <c r="BA28" s="21" t="str">
        <f>IF(AND('Atividades Micro'!$B28=BA$2,'Atividades Micro'!$K28&lt;&gt;""),'Atividades Micro'!$K28,"")</f>
        <v/>
      </c>
      <c r="BB28" s="21" t="str">
        <f>IF(AND('Atividades Micro'!$B28=BB$2,'Atividades Micro'!$L28&lt;&gt;""),'Atividades Micro'!$L28,"")</f>
        <v/>
      </c>
      <c r="BC28" s="21" t="str">
        <f>IF(AND('Atividades Micro'!$B28=BC$2,'Atividades Micro'!$G28="Macro",'Atividades Micro'!$K28&lt;&gt;""),'Atividades Micro'!$K28,"")</f>
        <v/>
      </c>
      <c r="BD28" s="21" t="str">
        <f>IF(AND('Atividades Micro'!$B28=BD$2,'Atividades Micro'!$G28="Macro",'Atividades Micro'!$K28&lt;&gt;""),'Atividades Micro'!$K28,"")</f>
        <v/>
      </c>
      <c r="BE28" s="21" t="str">
        <f>IF(AND('Atividades Micro'!$B28=BE$2,'Atividades Micro'!$G28="Macro",'Atividades Micro'!$K28&lt;&gt;""),'Atividades Micro'!$K28,"")</f>
        <v/>
      </c>
      <c r="BF28" s="21" t="str">
        <f>IF(AND('Atividades Micro'!$B28=BF$2,'Atividades Micro'!$G28="Macro",'Atividades Micro'!$K28&lt;&gt;""),'Atividades Micro'!$K28,"")</f>
        <v/>
      </c>
      <c r="BG28" s="21" t="str">
        <f>IF(AND('Atividades Micro'!$B28=BG$2,'Atividades Micro'!$G28="Macro",'Atividades Micro'!$K28&lt;&gt;""),'Atividades Micro'!$K28,"")</f>
        <v/>
      </c>
      <c r="BH28" s="21" t="str">
        <f>IF(AND('Atividades Micro'!$B28=BH$2,'Atividades Micro'!$G28="Macro",'Atividades Micro'!$K28&lt;&gt;""),'Atividades Micro'!$K28,"")</f>
        <v/>
      </c>
      <c r="BI28" s="21" t="str">
        <f>IF(AND('Atividades Micro'!$B28=BI$2,'Atividades Micro'!$G28="Macro",'Atividades Micro'!$K28&lt;&gt;""),'Atividades Micro'!$K28,"")</f>
        <v/>
      </c>
      <c r="BJ28" s="21" t="str">
        <f>IF(AND('Atividades Micro'!$B28=BJ$2,'Atividades Micro'!$G28="Macro",'Atividades Micro'!$K28&lt;&gt;""),'Atividades Micro'!$K28,"")</f>
        <v/>
      </c>
      <c r="BK28" s="21" t="str">
        <f>IF(AND('Atividades Micro'!$B28=BK$2,'Atividades Micro'!$G28="Macro",'Atividades Micro'!$K28&lt;&gt;""),'Atividades Micro'!$K28,"")</f>
        <v/>
      </c>
      <c r="BL28" s="21" t="str">
        <f>IF(AND('Atividades Micro'!$B28=BL$2,'Atividades Micro'!$G28="Macro",'Atividades Micro'!$K28&lt;&gt;""),'Atividades Micro'!$K28,"")</f>
        <v/>
      </c>
      <c r="BM28" s="21" t="str">
        <f>IF(AND('Atividades Micro'!$B28=BM$2,'Atividades Micro'!$G28="Macro",'Atividades Micro'!$K28&lt;&gt;""),'Atividades Micro'!$K28,"")</f>
        <v/>
      </c>
      <c r="BN28" s="21" t="str">
        <f>IF(AND('Atividades Micro'!$B28=BN$2,'Atividades Micro'!$G28="Macro",'Atividades Micro'!$K28&lt;&gt;""),'Atividades Micro'!$K28,"")</f>
        <v/>
      </c>
      <c r="BO28" s="21" t="str">
        <f>IF(AND('Atividades Micro'!$B28=BO$2,'Atividades Micro'!$G28="Macro",'Atividades Micro'!$K28&lt;&gt;""),'Atividades Micro'!$K28,"")</f>
        <v/>
      </c>
      <c r="BP28" s="21" t="str">
        <f>IF(AND('Atividades Micro'!$B28=BP$2,'Atividades Micro'!$G28="Macro",'Atividades Micro'!$K28&lt;&gt;""),'Atividades Micro'!$K28,"")</f>
        <v/>
      </c>
      <c r="BQ28" s="21" t="str">
        <f>IF(AND('Atividades Micro'!$B28=BQ$2,'Atividades Micro'!$G28="Macro",'Atividades Micro'!$K28&lt;&gt;""),'Atividades Micro'!$K28,"")</f>
        <v/>
      </c>
      <c r="BR28" s="21" t="str">
        <f>IF(AND('Atividades Micro'!$B28=BR$2,'Atividades Micro'!$G28="Macro",'Atividades Micro'!$K28&lt;&gt;""),'Atividades Micro'!$K28,"")</f>
        <v/>
      </c>
      <c r="BS28" s="21" t="str">
        <f>IF(AND('Atividades Micro'!$B28=BS$2,'Atividades Micro'!$G28="Macro",'Atividades Micro'!$K28&lt;&gt;""),'Atividades Micro'!$K28,"")</f>
        <v/>
      </c>
      <c r="BT28" s="21" t="str">
        <f>IF(AND('Atividades Micro'!$B28=BT$2,'Atividades Micro'!$G28="Macro",'Atividades Micro'!$K28&lt;&gt;""),'Atividades Micro'!$K28,"")</f>
        <v/>
      </c>
      <c r="BU28" s="21" t="str">
        <f>IF(AND('Atividades Micro'!$B28=BU$2,'Atividades Micro'!$G28="Macro",'Atividades Micro'!$K28&lt;&gt;""),'Atividades Micro'!$K28,"")</f>
        <v/>
      </c>
      <c r="BV28" s="21" t="str">
        <f>IF(AND('Atividades Micro'!$B28=BV$2,'Atividades Micro'!$G28="Macro",'Atividades Micro'!$K28&lt;&gt;""),'Atividades Micro'!$K28,"")</f>
        <v/>
      </c>
      <c r="BW28" s="21" t="str">
        <f>IF(AND('Atividades Micro'!$B28=BW$2,'Atividades Micro'!$G28="Macro",'Atividades Micro'!$K28&lt;&gt;""),'Atividades Micro'!$K28,"")</f>
        <v/>
      </c>
      <c r="BX28" s="21" t="str">
        <f>IF(AND('Atividades Micro'!$B28=BX$2,'Atividades Micro'!$G28="Macro",'Atividades Micro'!$K28&lt;&gt;""),'Atividades Micro'!$K28,"")</f>
        <v/>
      </c>
      <c r="BY28" s="21" t="str">
        <f>IF(AND('Atividades Micro'!$B28=BY$2,'Atividades Micro'!$G28="Macro",'Atividades Micro'!$K28&lt;&gt;""),'Atividades Micro'!$K28,"")</f>
        <v/>
      </c>
      <c r="BZ28" s="21" t="str">
        <f>IF(AND('Atividades Micro'!$B28=BZ$2,'Atividades Micro'!$G28="Macro",'Atividades Micro'!$K28&lt;&gt;""),'Atividades Micro'!$K28,"")</f>
        <v/>
      </c>
      <c r="CA28" s="21" t="str">
        <f>IF(AND('Atividades Micro'!$B28=CA$2,'Atividades Micro'!$G28="Macro",'Atividades Micro'!$K28&lt;&gt;""),'Atividades Micro'!$K28,"")</f>
        <v/>
      </c>
      <c r="CB28" s="21" t="str">
        <f>IF(AND('Atividades Micro'!$B28=CB$2,'Atividades Micro'!$G28="Macro",'Atividades Micro'!$K28&lt;&gt;""),'Atividades Micro'!$K28,"")</f>
        <v/>
      </c>
      <c r="CC28" s="21" t="str">
        <f>IF(AND('Atividades Micro'!$B28=CC$2,'Atividades Micro'!$G28="Macro",'Atividades Micro'!$K28&lt;&gt;""),'Atividades Micro'!$K28,"")</f>
        <v/>
      </c>
      <c r="CD28" s="21" t="str">
        <f>IF(AND('Atividades Micro'!$B28=CD$2,'Atividades Micro'!$G28="Micro",'Atividades Micro'!$K28&lt;&gt;""),'Atividades Micro'!$K28,"")</f>
        <v/>
      </c>
      <c r="CE28" s="21">
        <f>IF(AND('Atividades Micro'!$B28=CE$2,'Atividades Micro'!$G28="Micro",'Atividades Micro'!$K28&lt;&gt;""),'Atividades Micro'!$K28,"")</f>
        <v>46286</v>
      </c>
      <c r="CF28" s="21" t="str">
        <f>IF(AND('Atividades Micro'!$B28=CF$2,'Atividades Micro'!$G28="Micro",'Atividades Micro'!$K28&lt;&gt;""),'Atividades Micro'!$K28,"")</f>
        <v/>
      </c>
      <c r="CG28" s="21" t="str">
        <f>IF(AND('Atividades Micro'!$B28=CG$2,'Atividades Micro'!$G28="Micro",'Atividades Micro'!$K28&lt;&gt;""),'Atividades Micro'!$K28,"")</f>
        <v/>
      </c>
      <c r="CH28" s="21" t="str">
        <f>IF(AND('Atividades Micro'!$B28=CH$2,'Atividades Micro'!$G28="Micro",'Atividades Micro'!$K28&lt;&gt;""),'Atividades Micro'!$K28,"")</f>
        <v/>
      </c>
      <c r="CI28" s="21" t="str">
        <f>IF(AND('Atividades Micro'!$B28=CI$2,'Atividades Micro'!$G28="Micro",'Atividades Micro'!$K28&lt;&gt;""),'Atividades Micro'!$K28,"")</f>
        <v/>
      </c>
      <c r="CJ28" s="21" t="str">
        <f>IF(AND('Atividades Micro'!$B28=CJ$2,'Atividades Micro'!$G28="Micro",'Atividades Micro'!$K28&lt;&gt;""),'Atividades Micro'!$K28,"")</f>
        <v/>
      </c>
      <c r="CK28" s="21" t="str">
        <f>IF(AND('Atividades Micro'!$B28=CK$2,'Atividades Micro'!$G28="Micro",'Atividades Micro'!$K28&lt;&gt;""),'Atividades Micro'!$K28,"")</f>
        <v/>
      </c>
      <c r="CL28" s="21" t="str">
        <f>IF(AND('Atividades Micro'!$B28=CL$2,'Atividades Micro'!$G28="Micro",'Atividades Micro'!$K28&lt;&gt;""),'Atividades Micro'!$K28,"")</f>
        <v/>
      </c>
      <c r="CM28" s="21" t="str">
        <f>IF(AND('Atividades Micro'!$B28=CM$2,'Atividades Micro'!$G28="Micro",'Atividades Micro'!$K28&lt;&gt;""),'Atividades Micro'!$K28,"")</f>
        <v/>
      </c>
      <c r="CN28" s="21" t="str">
        <f>IF(AND('Atividades Micro'!$B28=CN$2,'Atividades Micro'!$G28="Micro",'Atividades Micro'!$K28&lt;&gt;""),'Atividades Micro'!$K28,"")</f>
        <v/>
      </c>
      <c r="CO28" s="21" t="str">
        <f>IF(AND('Atividades Micro'!$B28=CO$2,'Atividades Micro'!$G28="Micro",'Atividades Micro'!$K28&lt;&gt;""),'Atividades Micro'!$K28,"")</f>
        <v/>
      </c>
    </row>
    <row r="29" spans="1:93">
      <c r="A29" s="21" t="str">
        <f>IF(AND('Atividades Micro'!$A29=A$2,'Atividades Micro'!$K29&lt;&gt;""),'Atividades Micro'!$K29,"")</f>
        <v/>
      </c>
      <c r="B29" s="21" t="str">
        <f>IF(AND('Atividades Micro'!$A29=B$2,'Atividades Micro'!$L29&lt;&gt;""),'Atividades Micro'!$L29,"")</f>
        <v/>
      </c>
      <c r="C29" s="21" t="str">
        <f>IF(AND('Atividades Micro'!$A29=C$2,'Atividades Micro'!$K29&lt;&gt;""),'Atividades Micro'!$K29,"")</f>
        <v/>
      </c>
      <c r="D29" s="21" t="str">
        <f>IF(AND('Atividades Micro'!$A29=D$2,'Atividades Micro'!$L29&lt;&gt;""),'Atividades Micro'!$L29,"")</f>
        <v/>
      </c>
      <c r="E29" s="21" t="str">
        <f>IF(AND('Atividades Micro'!$A29=E$2,'Atividades Micro'!$K29&lt;&gt;""),'Atividades Micro'!$K29,"")</f>
        <v/>
      </c>
      <c r="F29" s="21" t="str">
        <f>IF(AND('Atividades Micro'!$A29=F$2,'Atividades Micro'!$L29&lt;&gt;""),'Atividades Micro'!$L29,"")</f>
        <v/>
      </c>
      <c r="G29" s="21" t="str">
        <f>IF(AND('Atividades Micro'!$A29=G$2,'Atividades Micro'!$K29&lt;&gt;""),'Atividades Micro'!$K29,"")</f>
        <v/>
      </c>
      <c r="H29" s="21" t="str">
        <f>IF(AND('Atividades Micro'!$A29=H$2,'Atividades Micro'!$L29&lt;&gt;""),'Atividades Micro'!$L29,"")</f>
        <v/>
      </c>
      <c r="I29" s="21">
        <f>IF(AND('Atividades Micro'!$A29=I$2,'Atividades Micro'!$K29&lt;&gt;""),'Atividades Micro'!$K29,"")</f>
        <v>46363</v>
      </c>
      <c r="J29" s="21" t="str">
        <f>IF(AND('Atividades Micro'!$A29=J$2,'Atividades Micro'!$L29&lt;&gt;""),'Atividades Micro'!$L29,"")</f>
        <v/>
      </c>
      <c r="K29" s="21" t="str">
        <f>IF(AND('Atividades Micro'!$B29=K$2,'Atividades Micro'!$K29&lt;&gt;""),'Atividades Micro'!$K29,"")</f>
        <v/>
      </c>
      <c r="L29" s="21" t="str">
        <f>IF(AND('Atividades Micro'!$B29=L$2,'Atividades Micro'!$L29&lt;&gt;""),'Atividades Micro'!$L29,"")</f>
        <v/>
      </c>
      <c r="M29" s="21">
        <f>IF(AND('Atividades Micro'!$B29=M$2,'Atividades Micro'!$K29&lt;&gt;""),'Atividades Micro'!$K29,"")</f>
        <v>46363</v>
      </c>
      <c r="N29" s="21" t="str">
        <f>IF(AND('Atividades Micro'!$B29=N$2,'Atividades Micro'!$L29&lt;&gt;""),'Atividades Micro'!$L29,"")</f>
        <v/>
      </c>
      <c r="O29" s="21" t="str">
        <f>IF(AND('Atividades Micro'!$A29=O$2,'Atividades Micro'!$K29&lt;&gt;""),'Atividades Micro'!$K29,"")</f>
        <v/>
      </c>
      <c r="P29" s="21" t="str">
        <f>IF(AND('Atividades Micro'!$A29=P$2,'Atividades Micro'!$L29&lt;&gt;""),'Atividades Micro'!$L29,"")</f>
        <v/>
      </c>
      <c r="Q29" s="21" t="str">
        <f>IF(AND('Atividades Micro'!$B29=Q$2,'Atividades Micro'!$K29&lt;&gt;""),'Atividades Micro'!$K29,"")</f>
        <v/>
      </c>
      <c r="R29" s="21" t="str">
        <f>IF(AND('Atividades Micro'!$B29=R$2,'Atividades Micro'!$L29&lt;&gt;""),'Atividades Micro'!$L29,"")</f>
        <v/>
      </c>
      <c r="S29" s="21" t="str">
        <f>IF(AND('Atividades Micro'!$A29=S$2,'Atividades Micro'!$K29&lt;&gt;""),'Atividades Micro'!$K29,"")</f>
        <v/>
      </c>
      <c r="T29" s="21" t="str">
        <f>IF(AND('Atividades Micro'!$A29=T$2,'Atividades Micro'!$L29&lt;&gt;""),'Atividades Micro'!$L29,"")</f>
        <v/>
      </c>
      <c r="U29" s="21" t="str">
        <f>IF(AND('Atividades Micro'!$B29=U$2,'Atividades Micro'!$K29&lt;&gt;""),'Atividades Micro'!$K29,"")</f>
        <v/>
      </c>
      <c r="V29" s="21" t="str">
        <f>IF(AND('Atividades Micro'!$B29=V$2,'Atividades Micro'!$L29&lt;&gt;""),'Atividades Micro'!$L29,"")</f>
        <v/>
      </c>
      <c r="W29" s="21" t="str">
        <f>IF(AND('Atividades Micro'!$B29=W$2,'Atividades Micro'!$K29&lt;&gt;""),'Atividades Micro'!$K29,"")</f>
        <v/>
      </c>
      <c r="X29" s="21" t="str">
        <f>IF(AND('Atividades Micro'!$B29=X$2,'Atividades Micro'!$L29&lt;&gt;""),'Atividades Micro'!$L29,"")</f>
        <v/>
      </c>
      <c r="Y29" s="21" t="str">
        <f>IF(AND('Atividades Micro'!$A29=Y$2,'Atividades Micro'!$K29&lt;&gt;""),'Atividades Micro'!$K29,"")</f>
        <v/>
      </c>
      <c r="Z29" s="21" t="str">
        <f>IF(AND('Atividades Micro'!$A29=Z$2,'Atividades Micro'!$L29&lt;&gt;""),'Atividades Micro'!$L29,"")</f>
        <v/>
      </c>
      <c r="AA29" s="21" t="str">
        <f>IF(AND('Atividades Micro'!$B29=AA$2,'Atividades Micro'!$K29&lt;&gt;""),'Atividades Micro'!$K29,"")</f>
        <v/>
      </c>
      <c r="AB29" s="21" t="str">
        <f>IF(AND('Atividades Micro'!$B29=AB$2,'Atividades Micro'!$L29&lt;&gt;""),'Atividades Micro'!$L29,"")</f>
        <v/>
      </c>
      <c r="AC29" s="21" t="str">
        <f>IF(AND('Atividades Micro'!$B29=AC$2,'Atividades Micro'!$K29&lt;&gt;""),'Atividades Micro'!$K29,"")</f>
        <v/>
      </c>
      <c r="AD29" s="21" t="str">
        <f>IF(AND('Atividades Micro'!$B29=AD$2,'Atividades Micro'!$L29&lt;&gt;""),'Atividades Micro'!$L29,"")</f>
        <v/>
      </c>
      <c r="AE29" s="21" t="str">
        <f>IF(AND('Atividades Micro'!$A29=AE$2,'Atividades Micro'!$K29&lt;&gt;""),'Atividades Micro'!$K29,"")</f>
        <v/>
      </c>
      <c r="AF29" s="21" t="str">
        <f>IF(AND('Atividades Micro'!$A29=AF$2,'Atividades Micro'!$L29&lt;&gt;""),'Atividades Micro'!$L29,"")</f>
        <v/>
      </c>
      <c r="AG29" s="21" t="str">
        <f>IF(AND('Atividades Micro'!$B29=AG$2,'Atividades Micro'!$K29&lt;&gt;""),'Atividades Micro'!$K29,"")</f>
        <v/>
      </c>
      <c r="AH29" s="21" t="str">
        <f>IF(AND('Atividades Micro'!$B29=AH$2,'Atividades Micro'!$L29&lt;&gt;""),'Atividades Micro'!$L29,"")</f>
        <v/>
      </c>
      <c r="AI29" s="21" t="str">
        <f>IF(AND('Atividades Micro'!$B29=AI$2,'Atividades Micro'!$K29&lt;&gt;""),'Atividades Micro'!$K29,"")</f>
        <v/>
      </c>
      <c r="AJ29" s="21" t="str">
        <f>IF(AND('Atividades Micro'!$B29=AJ$2,'Atividades Micro'!$L29&lt;&gt;""),'Atividades Micro'!$L29,"")</f>
        <v/>
      </c>
      <c r="AK29" s="21" t="str">
        <f>IF(AND('Atividades Micro'!$A29=AK$2,'Atividades Micro'!$K29&lt;&gt;""),'Atividades Micro'!$K29,"")</f>
        <v/>
      </c>
      <c r="AL29" s="21" t="str">
        <f>IF(AND('Atividades Micro'!$A29=AL$2,'Atividades Micro'!$L29&lt;&gt;""),'Atividades Micro'!$L29,"")</f>
        <v/>
      </c>
      <c r="AM29" s="21" t="str">
        <f>IF(AND('Atividades Micro'!$B29=AM$2,'Atividades Micro'!$K29&lt;&gt;""),'Atividades Micro'!$K29,"")</f>
        <v/>
      </c>
      <c r="AN29" s="21" t="str">
        <f>IF(AND('Atividades Micro'!$B29=AN$2,'Atividades Micro'!$L29&lt;&gt;""),'Atividades Micro'!$L29,"")</f>
        <v/>
      </c>
      <c r="AO29" s="21" t="str">
        <f>IF(AND('Atividades Micro'!$B29=AO$2,'Atividades Micro'!$K29&lt;&gt;""),'Atividades Micro'!$K29,"")</f>
        <v/>
      </c>
      <c r="AP29" s="21" t="str">
        <f>IF(AND('Atividades Micro'!$B29=AP$2,'Atividades Micro'!$L29&lt;&gt;""),'Atividades Micro'!$L29,"")</f>
        <v/>
      </c>
      <c r="AQ29" s="21" t="str">
        <f>IF(AND('Atividades Micro'!$A29=AQ$2,'Atividades Micro'!$K29&lt;&gt;""),'Atividades Micro'!$K29,"")</f>
        <v/>
      </c>
      <c r="AR29" s="21" t="str">
        <f>IF(AND('Atividades Micro'!$A29=AR$2,'Atividades Micro'!$L29&lt;&gt;""),'Atividades Micro'!$L29,"")</f>
        <v/>
      </c>
      <c r="AS29" s="21" t="str">
        <f>IF(AND('Atividades Micro'!$B29=AS$2,'Atividades Micro'!$K29&lt;&gt;""),'Atividades Micro'!$K29,"")</f>
        <v/>
      </c>
      <c r="AT29" s="21" t="str">
        <f>IF(AND('Atividades Micro'!$B29=AT$2,'Atividades Micro'!$L29&lt;&gt;""),'Atividades Micro'!$L29,"")</f>
        <v/>
      </c>
      <c r="AU29" s="21" t="str">
        <f>IF(AND('Atividades Micro'!$A29=AU$2,'Atividades Micro'!$K29&lt;&gt;""),'Atividades Micro'!$K29,"")</f>
        <v/>
      </c>
      <c r="AV29" s="21" t="str">
        <f>IF(AND('Atividades Micro'!$A29=AV$2,'Atividades Micro'!$L29&lt;&gt;""),'Atividades Micro'!$L29,"")</f>
        <v/>
      </c>
      <c r="AW29" s="21" t="str">
        <f>IF(AND('Atividades Micro'!$B29=AW$2,'Atividades Micro'!$K29&lt;&gt;""),'Atividades Micro'!$K29,"")</f>
        <v/>
      </c>
      <c r="AX29" s="21" t="str">
        <f>IF(AND('Atividades Micro'!$B29=AX$2,'Atividades Micro'!$L29&lt;&gt;""),'Atividades Micro'!$L29,"")</f>
        <v/>
      </c>
      <c r="AY29" s="21" t="str">
        <f>IF(AND('Atividades Micro'!$A29=AY$2,'Atividades Micro'!$K29&lt;&gt;""),'Atividades Micro'!$K29,"")</f>
        <v/>
      </c>
      <c r="AZ29" s="21" t="str">
        <f>IF(AND('Atividades Micro'!$A29=AZ$2,'Atividades Micro'!$L29&lt;&gt;""),'Atividades Micro'!$L29,"")</f>
        <v/>
      </c>
      <c r="BA29" s="21" t="str">
        <f>IF(AND('Atividades Micro'!$B29=BA$2,'Atividades Micro'!$K29&lt;&gt;""),'Atividades Micro'!$K29,"")</f>
        <v/>
      </c>
      <c r="BB29" s="21" t="str">
        <f>IF(AND('Atividades Micro'!$B29=BB$2,'Atividades Micro'!$L29&lt;&gt;""),'Atividades Micro'!$L29,"")</f>
        <v/>
      </c>
      <c r="BC29" s="21" t="str">
        <f>IF(AND('Atividades Micro'!$B29=BC$2,'Atividades Micro'!$G29="Macro",'Atividades Micro'!$K29&lt;&gt;""),'Atividades Micro'!$K29,"")</f>
        <v/>
      </c>
      <c r="BD29" s="21" t="str">
        <f>IF(AND('Atividades Micro'!$B29=BD$2,'Atividades Micro'!$G29="Macro",'Atividades Micro'!$K29&lt;&gt;""),'Atividades Micro'!$K29,"")</f>
        <v/>
      </c>
      <c r="BE29" s="21" t="str">
        <f>IF(AND('Atividades Micro'!$B29=BE$2,'Atividades Micro'!$G29="Macro",'Atividades Micro'!$K29&lt;&gt;""),'Atividades Micro'!$K29,"")</f>
        <v/>
      </c>
      <c r="BF29" s="21" t="str">
        <f>IF(AND('Atividades Micro'!$B29=BF$2,'Atividades Micro'!$G29="Macro",'Atividades Micro'!$K29&lt;&gt;""),'Atividades Micro'!$K29,"")</f>
        <v/>
      </c>
      <c r="BG29" s="21" t="str">
        <f>IF(AND('Atividades Micro'!$B29=BG$2,'Atividades Micro'!$G29="Macro",'Atividades Micro'!$K29&lt;&gt;""),'Atividades Micro'!$K29,"")</f>
        <v/>
      </c>
      <c r="BH29" s="21" t="str">
        <f>IF(AND('Atividades Micro'!$B29=BH$2,'Atividades Micro'!$G29="Macro",'Atividades Micro'!$K29&lt;&gt;""),'Atividades Micro'!$K29,"")</f>
        <v/>
      </c>
      <c r="BI29" s="21">
        <f>IF(AND('Atividades Micro'!$B29=BI$2,'Atividades Micro'!$G29="Macro",'Atividades Micro'!$K29&lt;&gt;""),'Atividades Micro'!$K29,"")</f>
        <v>46363</v>
      </c>
      <c r="BJ29" s="21" t="str">
        <f>IF(AND('Atividades Micro'!$B29=BJ$2,'Atividades Micro'!$G29="Macro",'Atividades Micro'!$K29&lt;&gt;""),'Atividades Micro'!$K29,"")</f>
        <v/>
      </c>
      <c r="BK29" s="21" t="str">
        <f>IF(AND('Atividades Micro'!$B29=BK$2,'Atividades Micro'!$G29="Macro",'Atividades Micro'!$K29&lt;&gt;""),'Atividades Micro'!$K29,"")</f>
        <v/>
      </c>
      <c r="BL29" s="21" t="str">
        <f>IF(AND('Atividades Micro'!$B29=BL$2,'Atividades Micro'!$G29="Macro",'Atividades Micro'!$K29&lt;&gt;""),'Atividades Micro'!$K29,"")</f>
        <v/>
      </c>
      <c r="BM29" s="21" t="str">
        <f>IF(AND('Atividades Micro'!$B29=BM$2,'Atividades Micro'!$G29="Macro",'Atividades Micro'!$K29&lt;&gt;""),'Atividades Micro'!$K29,"")</f>
        <v/>
      </c>
      <c r="BN29" s="21" t="str">
        <f>IF(AND('Atividades Micro'!$B29=BN$2,'Atividades Micro'!$G29="Macro",'Atividades Micro'!$K29&lt;&gt;""),'Atividades Micro'!$K29,"")</f>
        <v/>
      </c>
      <c r="BO29" s="21" t="str">
        <f>IF(AND('Atividades Micro'!$B29=BO$2,'Atividades Micro'!$G29="Macro",'Atividades Micro'!$K29&lt;&gt;""),'Atividades Micro'!$K29,"")</f>
        <v/>
      </c>
      <c r="BP29" s="21" t="str">
        <f>IF(AND('Atividades Micro'!$B29=BP$2,'Atividades Micro'!$G29="Macro",'Atividades Micro'!$K29&lt;&gt;""),'Atividades Micro'!$K29,"")</f>
        <v/>
      </c>
      <c r="BQ29" s="21" t="str">
        <f>IF(AND('Atividades Micro'!$B29=BQ$2,'Atividades Micro'!$G29="Macro",'Atividades Micro'!$K29&lt;&gt;""),'Atividades Micro'!$K29,"")</f>
        <v/>
      </c>
      <c r="BR29" s="21" t="str">
        <f>IF(AND('Atividades Micro'!$B29=BR$2,'Atividades Micro'!$G29="Macro",'Atividades Micro'!$K29&lt;&gt;""),'Atividades Micro'!$K29,"")</f>
        <v/>
      </c>
      <c r="BS29" s="21" t="str">
        <f>IF(AND('Atividades Micro'!$B29=BS$2,'Atividades Micro'!$G29="Macro",'Atividades Micro'!$K29&lt;&gt;""),'Atividades Micro'!$K29,"")</f>
        <v/>
      </c>
      <c r="BT29" s="21" t="str">
        <f>IF(AND('Atividades Micro'!$B29=BT$2,'Atividades Micro'!$G29="Macro",'Atividades Micro'!$K29&lt;&gt;""),'Atividades Micro'!$K29,"")</f>
        <v/>
      </c>
      <c r="BU29" s="21" t="str">
        <f>IF(AND('Atividades Micro'!$B29=BU$2,'Atividades Micro'!$G29="Macro",'Atividades Micro'!$K29&lt;&gt;""),'Atividades Micro'!$K29,"")</f>
        <v/>
      </c>
      <c r="BV29" s="21" t="str">
        <f>IF(AND('Atividades Micro'!$B29=BV$2,'Atividades Micro'!$G29="Macro",'Atividades Micro'!$K29&lt;&gt;""),'Atividades Micro'!$K29,"")</f>
        <v/>
      </c>
      <c r="BW29" s="21" t="str">
        <f>IF(AND('Atividades Micro'!$B29=BW$2,'Atividades Micro'!$G29="Macro",'Atividades Micro'!$K29&lt;&gt;""),'Atividades Micro'!$K29,"")</f>
        <v/>
      </c>
      <c r="BX29" s="21" t="str">
        <f>IF(AND('Atividades Micro'!$B29=BX$2,'Atividades Micro'!$G29="Macro",'Atividades Micro'!$K29&lt;&gt;""),'Atividades Micro'!$K29,"")</f>
        <v/>
      </c>
      <c r="BY29" s="21" t="str">
        <f>IF(AND('Atividades Micro'!$B29=BY$2,'Atividades Micro'!$G29="Macro",'Atividades Micro'!$K29&lt;&gt;""),'Atividades Micro'!$K29,"")</f>
        <v/>
      </c>
      <c r="BZ29" s="21" t="str">
        <f>IF(AND('Atividades Micro'!$B29=BZ$2,'Atividades Micro'!$G29="Macro",'Atividades Micro'!$K29&lt;&gt;""),'Atividades Micro'!$K29,"")</f>
        <v/>
      </c>
      <c r="CA29" s="21" t="str">
        <f>IF(AND('Atividades Micro'!$B29=CA$2,'Atividades Micro'!$G29="Macro",'Atividades Micro'!$K29&lt;&gt;""),'Atividades Micro'!$K29,"")</f>
        <v/>
      </c>
      <c r="CB29" s="21" t="str">
        <f>IF(AND('Atividades Micro'!$B29=CB$2,'Atividades Micro'!$G29="Macro",'Atividades Micro'!$K29&lt;&gt;""),'Atividades Micro'!$K29,"")</f>
        <v/>
      </c>
      <c r="CC29" s="21" t="str">
        <f>IF(AND('Atividades Micro'!$B29=CC$2,'Atividades Micro'!$G29="Macro",'Atividades Micro'!$K29&lt;&gt;""),'Atividades Micro'!$K29,"")</f>
        <v/>
      </c>
      <c r="CD29" s="21" t="str">
        <f>IF(AND('Atividades Micro'!$B29=CD$2,'Atividades Micro'!$G29="Micro",'Atividades Micro'!$K29&lt;&gt;""),'Atividades Micro'!$K29,"")</f>
        <v/>
      </c>
      <c r="CE29" s="21" t="str">
        <f>IF(AND('Atividades Micro'!$B29=CE$2,'Atividades Micro'!$G29="Micro",'Atividades Micro'!$K29&lt;&gt;""),'Atividades Micro'!$K29,"")</f>
        <v/>
      </c>
      <c r="CF29" s="21" t="str">
        <f>IF(AND('Atividades Micro'!$B29=CF$2,'Atividades Micro'!$G29="Micro",'Atividades Micro'!$K29&lt;&gt;""),'Atividades Micro'!$K29,"")</f>
        <v/>
      </c>
      <c r="CG29" s="21" t="str">
        <f>IF(AND('Atividades Micro'!$B29=CG$2,'Atividades Micro'!$G29="Micro",'Atividades Micro'!$K29&lt;&gt;""),'Atividades Micro'!$K29,"")</f>
        <v/>
      </c>
      <c r="CH29" s="21" t="str">
        <f>IF(AND('Atividades Micro'!$B29=CH$2,'Atividades Micro'!$G29="Micro",'Atividades Micro'!$K29&lt;&gt;""),'Atividades Micro'!$K29,"")</f>
        <v/>
      </c>
      <c r="CI29" s="21" t="str">
        <f>IF(AND('Atividades Micro'!$B29=CI$2,'Atividades Micro'!$G29="Micro",'Atividades Micro'!$K29&lt;&gt;""),'Atividades Micro'!$K29,"")</f>
        <v/>
      </c>
      <c r="CJ29" s="21" t="str">
        <f>IF(AND('Atividades Micro'!$B29=CJ$2,'Atividades Micro'!$G29="Micro",'Atividades Micro'!$K29&lt;&gt;""),'Atividades Micro'!$K29,"")</f>
        <v/>
      </c>
      <c r="CK29" s="21" t="str">
        <f>IF(AND('Atividades Micro'!$B29=CK$2,'Atividades Micro'!$G29="Micro",'Atividades Micro'!$K29&lt;&gt;""),'Atividades Micro'!$K29,"")</f>
        <v/>
      </c>
      <c r="CL29" s="21" t="str">
        <f>IF(AND('Atividades Micro'!$B29=CL$2,'Atividades Micro'!$G29="Micro",'Atividades Micro'!$K29&lt;&gt;""),'Atividades Micro'!$K29,"")</f>
        <v/>
      </c>
      <c r="CM29" s="21" t="str">
        <f>IF(AND('Atividades Micro'!$B29=CM$2,'Atividades Micro'!$G29="Micro",'Atividades Micro'!$K29&lt;&gt;""),'Atividades Micro'!$K29,"")</f>
        <v/>
      </c>
      <c r="CN29" s="21" t="str">
        <f>IF(AND('Atividades Micro'!$B29=CN$2,'Atividades Micro'!$G29="Micro",'Atividades Micro'!$K29&lt;&gt;""),'Atividades Micro'!$K29,"")</f>
        <v/>
      </c>
      <c r="CO29" s="21" t="str">
        <f>IF(AND('Atividades Micro'!$B29=CO$2,'Atividades Micro'!$G29="Micro",'Atividades Micro'!$K29&lt;&gt;""),'Atividades Micro'!$K29,"")</f>
        <v/>
      </c>
    </row>
    <row r="30" spans="1:93">
      <c r="A30" s="21" t="str">
        <f>IF(AND('Atividades Micro'!$A30=A$2,'Atividades Micro'!$K30&lt;&gt;""),'Atividades Micro'!$K30,"")</f>
        <v/>
      </c>
      <c r="B30" s="21" t="str">
        <f>IF(AND('Atividades Micro'!$A30=B$2,'Atividades Micro'!$L30&lt;&gt;""),'Atividades Micro'!$L30,"")</f>
        <v/>
      </c>
      <c r="C30" s="21" t="str">
        <f>IF(AND('Atividades Micro'!$A30=C$2,'Atividades Micro'!$K30&lt;&gt;""),'Atividades Micro'!$K30,"")</f>
        <v/>
      </c>
      <c r="D30" s="21" t="str">
        <f>IF(AND('Atividades Micro'!$A30=D$2,'Atividades Micro'!$L30&lt;&gt;""),'Atividades Micro'!$L30,"")</f>
        <v/>
      </c>
      <c r="E30" s="21" t="str">
        <f>IF(AND('Atividades Micro'!$A30=E$2,'Atividades Micro'!$K30&lt;&gt;""),'Atividades Micro'!$K30,"")</f>
        <v/>
      </c>
      <c r="F30" s="21" t="str">
        <f>IF(AND('Atividades Micro'!$A30=F$2,'Atividades Micro'!$L30&lt;&gt;""),'Atividades Micro'!$L30,"")</f>
        <v/>
      </c>
      <c r="G30" s="21" t="str">
        <f>IF(AND('Atividades Micro'!$A30=G$2,'Atividades Micro'!$K30&lt;&gt;""),'Atividades Micro'!$K30,"")</f>
        <v/>
      </c>
      <c r="H30" s="21" t="str">
        <f>IF(AND('Atividades Micro'!$A30=H$2,'Atividades Micro'!$L30&lt;&gt;""),'Atividades Micro'!$L30,"")</f>
        <v/>
      </c>
      <c r="I30" s="21">
        <f>IF(AND('Atividades Micro'!$A30=I$2,'Atividades Micro'!$K30&lt;&gt;""),'Atividades Micro'!$K30,"")</f>
        <v>46308</v>
      </c>
      <c r="J30" s="21" t="str">
        <f>IF(AND('Atividades Micro'!$A30=J$2,'Atividades Micro'!$L30&lt;&gt;""),'Atividades Micro'!$L30,"")</f>
        <v/>
      </c>
      <c r="K30" s="21" t="str">
        <f>IF(AND('Atividades Micro'!$B30=K$2,'Atividades Micro'!$K30&lt;&gt;""),'Atividades Micro'!$K30,"")</f>
        <v/>
      </c>
      <c r="L30" s="21" t="str">
        <f>IF(AND('Atividades Micro'!$B30=L$2,'Atividades Micro'!$L30&lt;&gt;""),'Atividades Micro'!$L30,"")</f>
        <v/>
      </c>
      <c r="M30" s="21">
        <f>IF(AND('Atividades Micro'!$B30=M$2,'Atividades Micro'!$K30&lt;&gt;""),'Atividades Micro'!$K30,"")</f>
        <v>46308</v>
      </c>
      <c r="N30" s="21" t="str">
        <f>IF(AND('Atividades Micro'!$B30=N$2,'Atividades Micro'!$L30&lt;&gt;""),'Atividades Micro'!$L30,"")</f>
        <v/>
      </c>
      <c r="O30" s="21" t="str">
        <f>IF(AND('Atividades Micro'!$A30=O$2,'Atividades Micro'!$K30&lt;&gt;""),'Atividades Micro'!$K30,"")</f>
        <v/>
      </c>
      <c r="P30" s="21" t="str">
        <f>IF(AND('Atividades Micro'!$A30=P$2,'Atividades Micro'!$L30&lt;&gt;""),'Atividades Micro'!$L30,"")</f>
        <v/>
      </c>
      <c r="Q30" s="21" t="str">
        <f>IF(AND('Atividades Micro'!$B30=Q$2,'Atividades Micro'!$K30&lt;&gt;""),'Atividades Micro'!$K30,"")</f>
        <v/>
      </c>
      <c r="R30" s="21" t="str">
        <f>IF(AND('Atividades Micro'!$B30=R$2,'Atividades Micro'!$L30&lt;&gt;""),'Atividades Micro'!$L30,"")</f>
        <v/>
      </c>
      <c r="S30" s="21" t="str">
        <f>IF(AND('Atividades Micro'!$A30=S$2,'Atividades Micro'!$K30&lt;&gt;""),'Atividades Micro'!$K30,"")</f>
        <v/>
      </c>
      <c r="T30" s="21" t="str">
        <f>IF(AND('Atividades Micro'!$A30=T$2,'Atividades Micro'!$L30&lt;&gt;""),'Atividades Micro'!$L30,"")</f>
        <v/>
      </c>
      <c r="U30" s="21" t="str">
        <f>IF(AND('Atividades Micro'!$B30=U$2,'Atividades Micro'!$K30&lt;&gt;""),'Atividades Micro'!$K30,"")</f>
        <v/>
      </c>
      <c r="V30" s="21" t="str">
        <f>IF(AND('Atividades Micro'!$B30=V$2,'Atividades Micro'!$L30&lt;&gt;""),'Atividades Micro'!$L30,"")</f>
        <v/>
      </c>
      <c r="W30" s="21" t="str">
        <f>IF(AND('Atividades Micro'!$B30=W$2,'Atividades Micro'!$K30&lt;&gt;""),'Atividades Micro'!$K30,"")</f>
        <v/>
      </c>
      <c r="X30" s="21" t="str">
        <f>IF(AND('Atividades Micro'!$B30=X$2,'Atividades Micro'!$L30&lt;&gt;""),'Atividades Micro'!$L30,"")</f>
        <v/>
      </c>
      <c r="Y30" s="21" t="str">
        <f>IF(AND('Atividades Micro'!$A30=Y$2,'Atividades Micro'!$K30&lt;&gt;""),'Atividades Micro'!$K30,"")</f>
        <v/>
      </c>
      <c r="Z30" s="21" t="str">
        <f>IF(AND('Atividades Micro'!$A30=Z$2,'Atividades Micro'!$L30&lt;&gt;""),'Atividades Micro'!$L30,"")</f>
        <v/>
      </c>
      <c r="AA30" s="21" t="str">
        <f>IF(AND('Atividades Micro'!$B30=AA$2,'Atividades Micro'!$K30&lt;&gt;""),'Atividades Micro'!$K30,"")</f>
        <v/>
      </c>
      <c r="AB30" s="21" t="str">
        <f>IF(AND('Atividades Micro'!$B30=AB$2,'Atividades Micro'!$L30&lt;&gt;""),'Atividades Micro'!$L30,"")</f>
        <v/>
      </c>
      <c r="AC30" s="21" t="str">
        <f>IF(AND('Atividades Micro'!$B30=AC$2,'Atividades Micro'!$K30&lt;&gt;""),'Atividades Micro'!$K30,"")</f>
        <v/>
      </c>
      <c r="AD30" s="21" t="str">
        <f>IF(AND('Atividades Micro'!$B30=AD$2,'Atividades Micro'!$L30&lt;&gt;""),'Atividades Micro'!$L30,"")</f>
        <v/>
      </c>
      <c r="AE30" s="21" t="str">
        <f>IF(AND('Atividades Micro'!$A30=AE$2,'Atividades Micro'!$K30&lt;&gt;""),'Atividades Micro'!$K30,"")</f>
        <v/>
      </c>
      <c r="AF30" s="21" t="str">
        <f>IF(AND('Atividades Micro'!$A30=AF$2,'Atividades Micro'!$L30&lt;&gt;""),'Atividades Micro'!$L30,"")</f>
        <v/>
      </c>
      <c r="AG30" s="21" t="str">
        <f>IF(AND('Atividades Micro'!$B30=AG$2,'Atividades Micro'!$K30&lt;&gt;""),'Atividades Micro'!$K30,"")</f>
        <v/>
      </c>
      <c r="AH30" s="21" t="str">
        <f>IF(AND('Atividades Micro'!$B30=AH$2,'Atividades Micro'!$L30&lt;&gt;""),'Atividades Micro'!$L30,"")</f>
        <v/>
      </c>
      <c r="AI30" s="21" t="str">
        <f>IF(AND('Atividades Micro'!$B30=AI$2,'Atividades Micro'!$K30&lt;&gt;""),'Atividades Micro'!$K30,"")</f>
        <v/>
      </c>
      <c r="AJ30" s="21" t="str">
        <f>IF(AND('Atividades Micro'!$B30=AJ$2,'Atividades Micro'!$L30&lt;&gt;""),'Atividades Micro'!$L30,"")</f>
        <v/>
      </c>
      <c r="AK30" s="21" t="str">
        <f>IF(AND('Atividades Micro'!$A30=AK$2,'Atividades Micro'!$K30&lt;&gt;""),'Atividades Micro'!$K30,"")</f>
        <v/>
      </c>
      <c r="AL30" s="21" t="str">
        <f>IF(AND('Atividades Micro'!$A30=AL$2,'Atividades Micro'!$L30&lt;&gt;""),'Atividades Micro'!$L30,"")</f>
        <v/>
      </c>
      <c r="AM30" s="21" t="str">
        <f>IF(AND('Atividades Micro'!$B30=AM$2,'Atividades Micro'!$K30&lt;&gt;""),'Atividades Micro'!$K30,"")</f>
        <v/>
      </c>
      <c r="AN30" s="21" t="str">
        <f>IF(AND('Atividades Micro'!$B30=AN$2,'Atividades Micro'!$L30&lt;&gt;""),'Atividades Micro'!$L30,"")</f>
        <v/>
      </c>
      <c r="AO30" s="21" t="str">
        <f>IF(AND('Atividades Micro'!$B30=AO$2,'Atividades Micro'!$K30&lt;&gt;""),'Atividades Micro'!$K30,"")</f>
        <v/>
      </c>
      <c r="AP30" s="21" t="str">
        <f>IF(AND('Atividades Micro'!$B30=AP$2,'Atividades Micro'!$L30&lt;&gt;""),'Atividades Micro'!$L30,"")</f>
        <v/>
      </c>
      <c r="AQ30" s="21" t="str">
        <f>IF(AND('Atividades Micro'!$A30=AQ$2,'Atividades Micro'!$K30&lt;&gt;""),'Atividades Micro'!$K30,"")</f>
        <v/>
      </c>
      <c r="AR30" s="21" t="str">
        <f>IF(AND('Atividades Micro'!$A30=AR$2,'Atividades Micro'!$L30&lt;&gt;""),'Atividades Micro'!$L30,"")</f>
        <v/>
      </c>
      <c r="AS30" s="21" t="str">
        <f>IF(AND('Atividades Micro'!$B30=AS$2,'Atividades Micro'!$K30&lt;&gt;""),'Atividades Micro'!$K30,"")</f>
        <v/>
      </c>
      <c r="AT30" s="21" t="str">
        <f>IF(AND('Atividades Micro'!$B30=AT$2,'Atividades Micro'!$L30&lt;&gt;""),'Atividades Micro'!$L30,"")</f>
        <v/>
      </c>
      <c r="AU30" s="21" t="str">
        <f>IF(AND('Atividades Micro'!$A30=AU$2,'Atividades Micro'!$K30&lt;&gt;""),'Atividades Micro'!$K30,"")</f>
        <v/>
      </c>
      <c r="AV30" s="21" t="str">
        <f>IF(AND('Atividades Micro'!$A30=AV$2,'Atividades Micro'!$L30&lt;&gt;""),'Atividades Micro'!$L30,"")</f>
        <v/>
      </c>
      <c r="AW30" s="21" t="str">
        <f>IF(AND('Atividades Micro'!$B30=AW$2,'Atividades Micro'!$K30&lt;&gt;""),'Atividades Micro'!$K30,"")</f>
        <v/>
      </c>
      <c r="AX30" s="21" t="str">
        <f>IF(AND('Atividades Micro'!$B30=AX$2,'Atividades Micro'!$L30&lt;&gt;""),'Atividades Micro'!$L30,"")</f>
        <v/>
      </c>
      <c r="AY30" s="21" t="str">
        <f>IF(AND('Atividades Micro'!$A30=AY$2,'Atividades Micro'!$K30&lt;&gt;""),'Atividades Micro'!$K30,"")</f>
        <v/>
      </c>
      <c r="AZ30" s="21" t="str">
        <f>IF(AND('Atividades Micro'!$A30=AZ$2,'Atividades Micro'!$L30&lt;&gt;""),'Atividades Micro'!$L30,"")</f>
        <v/>
      </c>
      <c r="BA30" s="21" t="str">
        <f>IF(AND('Atividades Micro'!$B30=BA$2,'Atividades Micro'!$K30&lt;&gt;""),'Atividades Micro'!$K30,"")</f>
        <v/>
      </c>
      <c r="BB30" s="21" t="str">
        <f>IF(AND('Atividades Micro'!$B30=BB$2,'Atividades Micro'!$L30&lt;&gt;""),'Atividades Micro'!$L30,"")</f>
        <v/>
      </c>
      <c r="BC30" s="21" t="str">
        <f>IF(AND('Atividades Micro'!$B30=BC$2,'Atividades Micro'!$G30="Macro",'Atividades Micro'!$K30&lt;&gt;""),'Atividades Micro'!$K30,"")</f>
        <v/>
      </c>
      <c r="BD30" s="21" t="str">
        <f>IF(AND('Atividades Micro'!$B30=BD$2,'Atividades Micro'!$G30="Macro",'Atividades Micro'!$K30&lt;&gt;""),'Atividades Micro'!$K30,"")</f>
        <v/>
      </c>
      <c r="BE30" s="21" t="str">
        <f>IF(AND('Atividades Micro'!$B30=BE$2,'Atividades Micro'!$G30="Macro",'Atividades Micro'!$K30&lt;&gt;""),'Atividades Micro'!$K30,"")</f>
        <v/>
      </c>
      <c r="BF30" s="21" t="str">
        <f>IF(AND('Atividades Micro'!$B30=BF$2,'Atividades Micro'!$G30="Macro",'Atividades Micro'!$K30&lt;&gt;""),'Atividades Micro'!$K30,"")</f>
        <v/>
      </c>
      <c r="BG30" s="21" t="str">
        <f>IF(AND('Atividades Micro'!$B30=BG$2,'Atividades Micro'!$G30="Macro",'Atividades Micro'!$K30&lt;&gt;""),'Atividades Micro'!$K30,"")</f>
        <v/>
      </c>
      <c r="BH30" s="21" t="str">
        <f>IF(AND('Atividades Micro'!$B30=BH$2,'Atividades Micro'!$G30="Macro",'Atividades Micro'!$K30&lt;&gt;""),'Atividades Micro'!$K30,"")</f>
        <v/>
      </c>
      <c r="BI30" s="21" t="str">
        <f>IF(AND('Atividades Micro'!$B30=BI$2,'Atividades Micro'!$G30="Macro",'Atividades Micro'!$K30&lt;&gt;""),'Atividades Micro'!$K30,"")</f>
        <v/>
      </c>
      <c r="BJ30" s="21" t="str">
        <f>IF(AND('Atividades Micro'!$B30=BJ$2,'Atividades Micro'!$G30="Macro",'Atividades Micro'!$K30&lt;&gt;""),'Atividades Micro'!$K30,"")</f>
        <v/>
      </c>
      <c r="BK30" s="21" t="str">
        <f>IF(AND('Atividades Micro'!$B30=BK$2,'Atividades Micro'!$G30="Macro",'Atividades Micro'!$K30&lt;&gt;""),'Atividades Micro'!$K30,"")</f>
        <v/>
      </c>
      <c r="BL30" s="21" t="str">
        <f>IF(AND('Atividades Micro'!$B30=BL$2,'Atividades Micro'!$G30="Macro",'Atividades Micro'!$K30&lt;&gt;""),'Atividades Micro'!$K30,"")</f>
        <v/>
      </c>
      <c r="BM30" s="21" t="str">
        <f>IF(AND('Atividades Micro'!$B30=BM$2,'Atividades Micro'!$G30="Macro",'Atividades Micro'!$K30&lt;&gt;""),'Atividades Micro'!$K30,"")</f>
        <v/>
      </c>
      <c r="BN30" s="21" t="str">
        <f>IF(AND('Atividades Micro'!$B30=BN$2,'Atividades Micro'!$G30="Macro",'Atividades Micro'!$K30&lt;&gt;""),'Atividades Micro'!$K30,"")</f>
        <v/>
      </c>
      <c r="BO30" s="21" t="str">
        <f>IF(AND('Atividades Micro'!$B30=BO$2,'Atividades Micro'!$G30="Macro",'Atividades Micro'!$K30&lt;&gt;""),'Atividades Micro'!$K30,"")</f>
        <v/>
      </c>
      <c r="BP30" s="21" t="str">
        <f>IF(AND('Atividades Micro'!$B30=BP$2,'Atividades Micro'!$G30="Macro",'Atividades Micro'!$K30&lt;&gt;""),'Atividades Micro'!$K30,"")</f>
        <v/>
      </c>
      <c r="BQ30" s="21" t="str">
        <f>IF(AND('Atividades Micro'!$B30=BQ$2,'Atividades Micro'!$G30="Macro",'Atividades Micro'!$K30&lt;&gt;""),'Atividades Micro'!$K30,"")</f>
        <v/>
      </c>
      <c r="BR30" s="21" t="str">
        <f>IF(AND('Atividades Micro'!$B30=BR$2,'Atividades Micro'!$G30="Macro",'Atividades Micro'!$K30&lt;&gt;""),'Atividades Micro'!$K30,"")</f>
        <v/>
      </c>
      <c r="BS30" s="21" t="str">
        <f>IF(AND('Atividades Micro'!$B30=BS$2,'Atividades Micro'!$G30="Macro",'Atividades Micro'!$K30&lt;&gt;""),'Atividades Micro'!$K30,"")</f>
        <v/>
      </c>
      <c r="BT30" s="21" t="str">
        <f>IF(AND('Atividades Micro'!$B30=BT$2,'Atividades Micro'!$G30="Macro",'Atividades Micro'!$K30&lt;&gt;""),'Atividades Micro'!$K30,"")</f>
        <v/>
      </c>
      <c r="BU30" s="21" t="str">
        <f>IF(AND('Atividades Micro'!$B30=BU$2,'Atividades Micro'!$G30="Macro",'Atividades Micro'!$K30&lt;&gt;""),'Atividades Micro'!$K30,"")</f>
        <v/>
      </c>
      <c r="BV30" s="21" t="str">
        <f>IF(AND('Atividades Micro'!$B30=BV$2,'Atividades Micro'!$G30="Macro",'Atividades Micro'!$K30&lt;&gt;""),'Atividades Micro'!$K30,"")</f>
        <v/>
      </c>
      <c r="BW30" s="21" t="str">
        <f>IF(AND('Atividades Micro'!$B30=BW$2,'Atividades Micro'!$G30="Macro",'Atividades Micro'!$K30&lt;&gt;""),'Atividades Micro'!$K30,"")</f>
        <v/>
      </c>
      <c r="BX30" s="21" t="str">
        <f>IF(AND('Atividades Micro'!$B30=BX$2,'Atividades Micro'!$G30="Macro",'Atividades Micro'!$K30&lt;&gt;""),'Atividades Micro'!$K30,"")</f>
        <v/>
      </c>
      <c r="BY30" s="21" t="str">
        <f>IF(AND('Atividades Micro'!$B30=BY$2,'Atividades Micro'!$G30="Macro",'Atividades Micro'!$K30&lt;&gt;""),'Atividades Micro'!$K30,"")</f>
        <v/>
      </c>
      <c r="BZ30" s="21" t="str">
        <f>IF(AND('Atividades Micro'!$B30=BZ$2,'Atividades Micro'!$G30="Macro",'Atividades Micro'!$K30&lt;&gt;""),'Atividades Micro'!$K30,"")</f>
        <v/>
      </c>
      <c r="CA30" s="21" t="str">
        <f>IF(AND('Atividades Micro'!$B30=CA$2,'Atividades Micro'!$G30="Macro",'Atividades Micro'!$K30&lt;&gt;""),'Atividades Micro'!$K30,"")</f>
        <v/>
      </c>
      <c r="CB30" s="21" t="str">
        <f>IF(AND('Atividades Micro'!$B30=CB$2,'Atividades Micro'!$G30="Macro",'Atividades Micro'!$K30&lt;&gt;""),'Atividades Micro'!$K30,"")</f>
        <v/>
      </c>
      <c r="CC30" s="21" t="str">
        <f>IF(AND('Atividades Micro'!$B30=CC$2,'Atividades Micro'!$G30="Macro",'Atividades Micro'!$K30&lt;&gt;""),'Atividades Micro'!$K30,"")</f>
        <v/>
      </c>
      <c r="CD30" s="21" t="str">
        <f>IF(AND('Atividades Micro'!$B30=CD$2,'Atividades Micro'!$G30="Micro",'Atividades Micro'!$K30&lt;&gt;""),'Atividades Micro'!$K30,"")</f>
        <v/>
      </c>
      <c r="CE30" s="21">
        <f>IF(AND('Atividades Micro'!$B30=CE$2,'Atividades Micro'!$G30="Micro",'Atividades Micro'!$K30&lt;&gt;""),'Atividades Micro'!$K30,"")</f>
        <v>46308</v>
      </c>
      <c r="CF30" s="21" t="str">
        <f>IF(AND('Atividades Micro'!$B30=CF$2,'Atividades Micro'!$G30="Micro",'Atividades Micro'!$K30&lt;&gt;""),'Atividades Micro'!$K30,"")</f>
        <v/>
      </c>
      <c r="CG30" s="21" t="str">
        <f>IF(AND('Atividades Micro'!$B30=CG$2,'Atividades Micro'!$G30="Micro",'Atividades Micro'!$K30&lt;&gt;""),'Atividades Micro'!$K30,"")</f>
        <v/>
      </c>
      <c r="CH30" s="21" t="str">
        <f>IF(AND('Atividades Micro'!$B30=CH$2,'Atividades Micro'!$G30="Micro",'Atividades Micro'!$K30&lt;&gt;""),'Atividades Micro'!$K30,"")</f>
        <v/>
      </c>
      <c r="CI30" s="21" t="str">
        <f>IF(AND('Atividades Micro'!$B30=CI$2,'Atividades Micro'!$G30="Micro",'Atividades Micro'!$K30&lt;&gt;""),'Atividades Micro'!$K30,"")</f>
        <v/>
      </c>
      <c r="CJ30" s="21" t="str">
        <f>IF(AND('Atividades Micro'!$B30=CJ$2,'Atividades Micro'!$G30="Micro",'Atividades Micro'!$K30&lt;&gt;""),'Atividades Micro'!$K30,"")</f>
        <v/>
      </c>
      <c r="CK30" s="21" t="str">
        <f>IF(AND('Atividades Micro'!$B30=CK$2,'Atividades Micro'!$G30="Micro",'Atividades Micro'!$K30&lt;&gt;""),'Atividades Micro'!$K30,"")</f>
        <v/>
      </c>
      <c r="CL30" s="21" t="str">
        <f>IF(AND('Atividades Micro'!$B30=CL$2,'Atividades Micro'!$G30="Micro",'Atividades Micro'!$K30&lt;&gt;""),'Atividades Micro'!$K30,"")</f>
        <v/>
      </c>
      <c r="CM30" s="21" t="str">
        <f>IF(AND('Atividades Micro'!$B30=CM$2,'Atividades Micro'!$G30="Micro",'Atividades Micro'!$K30&lt;&gt;""),'Atividades Micro'!$K30,"")</f>
        <v/>
      </c>
      <c r="CN30" s="21" t="str">
        <f>IF(AND('Atividades Micro'!$B30=CN$2,'Atividades Micro'!$G30="Micro",'Atividades Micro'!$K30&lt;&gt;""),'Atividades Micro'!$K30,"")</f>
        <v/>
      </c>
      <c r="CO30" s="21" t="str">
        <f>IF(AND('Atividades Micro'!$B30=CO$2,'Atividades Micro'!$G30="Micro",'Atividades Micro'!$K30&lt;&gt;""),'Atividades Micro'!$K30,"")</f>
        <v/>
      </c>
    </row>
    <row r="31" spans="1:93">
      <c r="A31" s="21" t="str">
        <f>IF(AND('Atividades Micro'!$A31=A$2,'Atividades Micro'!$K31&lt;&gt;""),'Atividades Micro'!$K31,"")</f>
        <v/>
      </c>
      <c r="B31" s="21" t="str">
        <f>IF(AND('Atividades Micro'!$A31=B$2,'Atividades Micro'!$L31&lt;&gt;""),'Atividades Micro'!$L31,"")</f>
        <v/>
      </c>
      <c r="C31" s="21" t="str">
        <f>IF(AND('Atividades Micro'!$A31=C$2,'Atividades Micro'!$K31&lt;&gt;""),'Atividades Micro'!$K31,"")</f>
        <v/>
      </c>
      <c r="D31" s="21" t="str">
        <f>IF(AND('Atividades Micro'!$A31=D$2,'Atividades Micro'!$L31&lt;&gt;""),'Atividades Micro'!$L31,"")</f>
        <v/>
      </c>
      <c r="E31" s="21" t="str">
        <f>IF(AND('Atividades Micro'!$A31=E$2,'Atividades Micro'!$K31&lt;&gt;""),'Atividades Micro'!$K31,"")</f>
        <v/>
      </c>
      <c r="F31" s="21" t="str">
        <f>IF(AND('Atividades Micro'!$A31=F$2,'Atividades Micro'!$L31&lt;&gt;""),'Atividades Micro'!$L31,"")</f>
        <v/>
      </c>
      <c r="G31" s="21" t="str">
        <f>IF(AND('Atividades Micro'!$A31=G$2,'Atividades Micro'!$K31&lt;&gt;""),'Atividades Micro'!$K31,"")</f>
        <v/>
      </c>
      <c r="H31" s="21" t="str">
        <f>IF(AND('Atividades Micro'!$A31=H$2,'Atividades Micro'!$L31&lt;&gt;""),'Atividades Micro'!$L31,"")</f>
        <v/>
      </c>
      <c r="I31" s="21">
        <f>IF(AND('Atividades Micro'!$A31=I$2,'Atividades Micro'!$K31&lt;&gt;""),'Atividades Micro'!$K31,"")</f>
        <v>46315</v>
      </c>
      <c r="J31" s="21" t="str">
        <f>IF(AND('Atividades Micro'!$A31=J$2,'Atividades Micro'!$L31&lt;&gt;""),'Atividades Micro'!$L31,"")</f>
        <v/>
      </c>
      <c r="K31" s="21" t="str">
        <f>IF(AND('Atividades Micro'!$B31=K$2,'Atividades Micro'!$K31&lt;&gt;""),'Atividades Micro'!$K31,"")</f>
        <v/>
      </c>
      <c r="L31" s="21" t="str">
        <f>IF(AND('Atividades Micro'!$B31=L$2,'Atividades Micro'!$L31&lt;&gt;""),'Atividades Micro'!$L31,"")</f>
        <v/>
      </c>
      <c r="M31" s="21">
        <f>IF(AND('Atividades Micro'!$B31=M$2,'Atividades Micro'!$K31&lt;&gt;""),'Atividades Micro'!$K31,"")</f>
        <v>46315</v>
      </c>
      <c r="N31" s="21" t="str">
        <f>IF(AND('Atividades Micro'!$B31=N$2,'Atividades Micro'!$L31&lt;&gt;""),'Atividades Micro'!$L31,"")</f>
        <v/>
      </c>
      <c r="O31" s="21" t="str">
        <f>IF(AND('Atividades Micro'!$A31=O$2,'Atividades Micro'!$K31&lt;&gt;""),'Atividades Micro'!$K31,"")</f>
        <v/>
      </c>
      <c r="P31" s="21" t="str">
        <f>IF(AND('Atividades Micro'!$A31=P$2,'Atividades Micro'!$L31&lt;&gt;""),'Atividades Micro'!$L31,"")</f>
        <v/>
      </c>
      <c r="Q31" s="21" t="str">
        <f>IF(AND('Atividades Micro'!$B31=Q$2,'Atividades Micro'!$K31&lt;&gt;""),'Atividades Micro'!$K31,"")</f>
        <v/>
      </c>
      <c r="R31" s="21" t="str">
        <f>IF(AND('Atividades Micro'!$B31=R$2,'Atividades Micro'!$L31&lt;&gt;""),'Atividades Micro'!$L31,"")</f>
        <v/>
      </c>
      <c r="S31" s="21" t="str">
        <f>IF(AND('Atividades Micro'!$A31=S$2,'Atividades Micro'!$K31&lt;&gt;""),'Atividades Micro'!$K31,"")</f>
        <v/>
      </c>
      <c r="T31" s="21" t="str">
        <f>IF(AND('Atividades Micro'!$A31=T$2,'Atividades Micro'!$L31&lt;&gt;""),'Atividades Micro'!$L31,"")</f>
        <v/>
      </c>
      <c r="U31" s="21" t="str">
        <f>IF(AND('Atividades Micro'!$B31=U$2,'Atividades Micro'!$K31&lt;&gt;""),'Atividades Micro'!$K31,"")</f>
        <v/>
      </c>
      <c r="V31" s="21" t="str">
        <f>IF(AND('Atividades Micro'!$B31=V$2,'Atividades Micro'!$L31&lt;&gt;""),'Atividades Micro'!$L31,"")</f>
        <v/>
      </c>
      <c r="W31" s="21" t="str">
        <f>IF(AND('Atividades Micro'!$B31=W$2,'Atividades Micro'!$K31&lt;&gt;""),'Atividades Micro'!$K31,"")</f>
        <v/>
      </c>
      <c r="X31" s="21" t="str">
        <f>IF(AND('Atividades Micro'!$B31=X$2,'Atividades Micro'!$L31&lt;&gt;""),'Atividades Micro'!$L31,"")</f>
        <v/>
      </c>
      <c r="Y31" s="21" t="str">
        <f>IF(AND('Atividades Micro'!$A31=Y$2,'Atividades Micro'!$K31&lt;&gt;""),'Atividades Micro'!$K31,"")</f>
        <v/>
      </c>
      <c r="Z31" s="21" t="str">
        <f>IF(AND('Atividades Micro'!$A31=Z$2,'Atividades Micro'!$L31&lt;&gt;""),'Atividades Micro'!$L31,"")</f>
        <v/>
      </c>
      <c r="AA31" s="21" t="str">
        <f>IF(AND('Atividades Micro'!$B31=AA$2,'Atividades Micro'!$K31&lt;&gt;""),'Atividades Micro'!$K31,"")</f>
        <v/>
      </c>
      <c r="AB31" s="21" t="str">
        <f>IF(AND('Atividades Micro'!$B31=AB$2,'Atividades Micro'!$L31&lt;&gt;""),'Atividades Micro'!$L31,"")</f>
        <v/>
      </c>
      <c r="AC31" s="21" t="str">
        <f>IF(AND('Atividades Micro'!$B31=AC$2,'Atividades Micro'!$K31&lt;&gt;""),'Atividades Micro'!$K31,"")</f>
        <v/>
      </c>
      <c r="AD31" s="21" t="str">
        <f>IF(AND('Atividades Micro'!$B31=AD$2,'Atividades Micro'!$L31&lt;&gt;""),'Atividades Micro'!$L31,"")</f>
        <v/>
      </c>
      <c r="AE31" s="21" t="str">
        <f>IF(AND('Atividades Micro'!$A31=AE$2,'Atividades Micro'!$K31&lt;&gt;""),'Atividades Micro'!$K31,"")</f>
        <v/>
      </c>
      <c r="AF31" s="21" t="str">
        <f>IF(AND('Atividades Micro'!$A31=AF$2,'Atividades Micro'!$L31&lt;&gt;""),'Atividades Micro'!$L31,"")</f>
        <v/>
      </c>
      <c r="AG31" s="21" t="str">
        <f>IF(AND('Atividades Micro'!$B31=AG$2,'Atividades Micro'!$K31&lt;&gt;""),'Atividades Micro'!$K31,"")</f>
        <v/>
      </c>
      <c r="AH31" s="21" t="str">
        <f>IF(AND('Atividades Micro'!$B31=AH$2,'Atividades Micro'!$L31&lt;&gt;""),'Atividades Micro'!$L31,"")</f>
        <v/>
      </c>
      <c r="AI31" s="21" t="str">
        <f>IF(AND('Atividades Micro'!$B31=AI$2,'Atividades Micro'!$K31&lt;&gt;""),'Atividades Micro'!$K31,"")</f>
        <v/>
      </c>
      <c r="AJ31" s="21" t="str">
        <f>IF(AND('Atividades Micro'!$B31=AJ$2,'Atividades Micro'!$L31&lt;&gt;""),'Atividades Micro'!$L31,"")</f>
        <v/>
      </c>
      <c r="AK31" s="21" t="str">
        <f>IF(AND('Atividades Micro'!$A31=AK$2,'Atividades Micro'!$K31&lt;&gt;""),'Atividades Micro'!$K31,"")</f>
        <v/>
      </c>
      <c r="AL31" s="21" t="str">
        <f>IF(AND('Atividades Micro'!$A31=AL$2,'Atividades Micro'!$L31&lt;&gt;""),'Atividades Micro'!$L31,"")</f>
        <v/>
      </c>
      <c r="AM31" s="21" t="str">
        <f>IF(AND('Atividades Micro'!$B31=AM$2,'Atividades Micro'!$K31&lt;&gt;""),'Atividades Micro'!$K31,"")</f>
        <v/>
      </c>
      <c r="AN31" s="21" t="str">
        <f>IF(AND('Atividades Micro'!$B31=AN$2,'Atividades Micro'!$L31&lt;&gt;""),'Atividades Micro'!$L31,"")</f>
        <v/>
      </c>
      <c r="AO31" s="21" t="str">
        <f>IF(AND('Atividades Micro'!$B31=AO$2,'Atividades Micro'!$K31&lt;&gt;""),'Atividades Micro'!$K31,"")</f>
        <v/>
      </c>
      <c r="AP31" s="21" t="str">
        <f>IF(AND('Atividades Micro'!$B31=AP$2,'Atividades Micro'!$L31&lt;&gt;""),'Atividades Micro'!$L31,"")</f>
        <v/>
      </c>
      <c r="AQ31" s="21" t="str">
        <f>IF(AND('Atividades Micro'!$A31=AQ$2,'Atividades Micro'!$K31&lt;&gt;""),'Atividades Micro'!$K31,"")</f>
        <v/>
      </c>
      <c r="AR31" s="21" t="str">
        <f>IF(AND('Atividades Micro'!$A31=AR$2,'Atividades Micro'!$L31&lt;&gt;""),'Atividades Micro'!$L31,"")</f>
        <v/>
      </c>
      <c r="AS31" s="21" t="str">
        <f>IF(AND('Atividades Micro'!$B31=AS$2,'Atividades Micro'!$K31&lt;&gt;""),'Atividades Micro'!$K31,"")</f>
        <v/>
      </c>
      <c r="AT31" s="21" t="str">
        <f>IF(AND('Atividades Micro'!$B31=AT$2,'Atividades Micro'!$L31&lt;&gt;""),'Atividades Micro'!$L31,"")</f>
        <v/>
      </c>
      <c r="AU31" s="21" t="str">
        <f>IF(AND('Atividades Micro'!$A31=AU$2,'Atividades Micro'!$K31&lt;&gt;""),'Atividades Micro'!$K31,"")</f>
        <v/>
      </c>
      <c r="AV31" s="21" t="str">
        <f>IF(AND('Atividades Micro'!$A31=AV$2,'Atividades Micro'!$L31&lt;&gt;""),'Atividades Micro'!$L31,"")</f>
        <v/>
      </c>
      <c r="AW31" s="21" t="str">
        <f>IF(AND('Atividades Micro'!$B31=AW$2,'Atividades Micro'!$K31&lt;&gt;""),'Atividades Micro'!$K31,"")</f>
        <v/>
      </c>
      <c r="AX31" s="21" t="str">
        <f>IF(AND('Atividades Micro'!$B31=AX$2,'Atividades Micro'!$L31&lt;&gt;""),'Atividades Micro'!$L31,"")</f>
        <v/>
      </c>
      <c r="AY31" s="21" t="str">
        <f>IF(AND('Atividades Micro'!$A31=AY$2,'Atividades Micro'!$K31&lt;&gt;""),'Atividades Micro'!$K31,"")</f>
        <v/>
      </c>
      <c r="AZ31" s="21" t="str">
        <f>IF(AND('Atividades Micro'!$A31=AZ$2,'Atividades Micro'!$L31&lt;&gt;""),'Atividades Micro'!$L31,"")</f>
        <v/>
      </c>
      <c r="BA31" s="21" t="str">
        <f>IF(AND('Atividades Micro'!$B31=BA$2,'Atividades Micro'!$K31&lt;&gt;""),'Atividades Micro'!$K31,"")</f>
        <v/>
      </c>
      <c r="BB31" s="21" t="str">
        <f>IF(AND('Atividades Micro'!$B31=BB$2,'Atividades Micro'!$L31&lt;&gt;""),'Atividades Micro'!$L31,"")</f>
        <v/>
      </c>
      <c r="BC31" s="21" t="str">
        <f>IF(AND('Atividades Micro'!$B31=BC$2,'Atividades Micro'!$G31="Macro",'Atividades Micro'!$K31&lt;&gt;""),'Atividades Micro'!$K31,"")</f>
        <v/>
      </c>
      <c r="BD31" s="21" t="str">
        <f>IF(AND('Atividades Micro'!$B31=BD$2,'Atividades Micro'!$G31="Macro",'Atividades Micro'!$K31&lt;&gt;""),'Atividades Micro'!$K31,"")</f>
        <v/>
      </c>
      <c r="BE31" s="21" t="str">
        <f>IF(AND('Atividades Micro'!$B31=BE$2,'Atividades Micro'!$G31="Macro",'Atividades Micro'!$K31&lt;&gt;""),'Atividades Micro'!$K31,"")</f>
        <v/>
      </c>
      <c r="BF31" s="21" t="str">
        <f>IF(AND('Atividades Micro'!$B31=BF$2,'Atividades Micro'!$G31="Macro",'Atividades Micro'!$K31&lt;&gt;""),'Atividades Micro'!$K31,"")</f>
        <v/>
      </c>
      <c r="BG31" s="21" t="str">
        <f>IF(AND('Atividades Micro'!$B31=BG$2,'Atividades Micro'!$G31="Macro",'Atividades Micro'!$K31&lt;&gt;""),'Atividades Micro'!$K31,"")</f>
        <v/>
      </c>
      <c r="BH31" s="21" t="str">
        <f>IF(AND('Atividades Micro'!$B31=BH$2,'Atividades Micro'!$G31="Macro",'Atividades Micro'!$K31&lt;&gt;""),'Atividades Micro'!$K31,"")</f>
        <v/>
      </c>
      <c r="BI31" s="21" t="str">
        <f>IF(AND('Atividades Micro'!$B31=BI$2,'Atividades Micro'!$G31="Macro",'Atividades Micro'!$K31&lt;&gt;""),'Atividades Micro'!$K31,"")</f>
        <v/>
      </c>
      <c r="BJ31" s="21" t="str">
        <f>IF(AND('Atividades Micro'!$B31=BJ$2,'Atividades Micro'!$G31="Macro",'Atividades Micro'!$K31&lt;&gt;""),'Atividades Micro'!$K31,"")</f>
        <v/>
      </c>
      <c r="BK31" s="21" t="str">
        <f>IF(AND('Atividades Micro'!$B31=BK$2,'Atividades Micro'!$G31="Macro",'Atividades Micro'!$K31&lt;&gt;""),'Atividades Micro'!$K31,"")</f>
        <v/>
      </c>
      <c r="BL31" s="21" t="str">
        <f>IF(AND('Atividades Micro'!$B31=BL$2,'Atividades Micro'!$G31="Macro",'Atividades Micro'!$K31&lt;&gt;""),'Atividades Micro'!$K31,"")</f>
        <v/>
      </c>
      <c r="BM31" s="21" t="str">
        <f>IF(AND('Atividades Micro'!$B31=BM$2,'Atividades Micro'!$G31="Macro",'Atividades Micro'!$K31&lt;&gt;""),'Atividades Micro'!$K31,"")</f>
        <v/>
      </c>
      <c r="BN31" s="21" t="str">
        <f>IF(AND('Atividades Micro'!$B31=BN$2,'Atividades Micro'!$G31="Macro",'Atividades Micro'!$K31&lt;&gt;""),'Atividades Micro'!$K31,"")</f>
        <v/>
      </c>
      <c r="BO31" s="21" t="str">
        <f>IF(AND('Atividades Micro'!$B31=BO$2,'Atividades Micro'!$G31="Macro",'Atividades Micro'!$K31&lt;&gt;""),'Atividades Micro'!$K31,"")</f>
        <v/>
      </c>
      <c r="BP31" s="21" t="str">
        <f>IF(AND('Atividades Micro'!$B31=BP$2,'Atividades Micro'!$G31="Macro",'Atividades Micro'!$K31&lt;&gt;""),'Atividades Micro'!$K31,"")</f>
        <v/>
      </c>
      <c r="BQ31" s="21" t="str">
        <f>IF(AND('Atividades Micro'!$B31=BQ$2,'Atividades Micro'!$G31="Macro",'Atividades Micro'!$K31&lt;&gt;""),'Atividades Micro'!$K31,"")</f>
        <v/>
      </c>
      <c r="BR31" s="21" t="str">
        <f>IF(AND('Atividades Micro'!$B31=BR$2,'Atividades Micro'!$G31="Macro",'Atividades Micro'!$K31&lt;&gt;""),'Atividades Micro'!$K31,"")</f>
        <v/>
      </c>
      <c r="BS31" s="21" t="str">
        <f>IF(AND('Atividades Micro'!$B31=BS$2,'Atividades Micro'!$G31="Macro",'Atividades Micro'!$K31&lt;&gt;""),'Atividades Micro'!$K31,"")</f>
        <v/>
      </c>
      <c r="BT31" s="21" t="str">
        <f>IF(AND('Atividades Micro'!$B31=BT$2,'Atividades Micro'!$G31="Macro",'Atividades Micro'!$K31&lt;&gt;""),'Atividades Micro'!$K31,"")</f>
        <v/>
      </c>
      <c r="BU31" s="21" t="str">
        <f>IF(AND('Atividades Micro'!$B31=BU$2,'Atividades Micro'!$G31="Macro",'Atividades Micro'!$K31&lt;&gt;""),'Atividades Micro'!$K31,"")</f>
        <v/>
      </c>
      <c r="BV31" s="21" t="str">
        <f>IF(AND('Atividades Micro'!$B31=BV$2,'Atividades Micro'!$G31="Macro",'Atividades Micro'!$K31&lt;&gt;""),'Atividades Micro'!$K31,"")</f>
        <v/>
      </c>
      <c r="BW31" s="21" t="str">
        <f>IF(AND('Atividades Micro'!$B31=BW$2,'Atividades Micro'!$G31="Macro",'Atividades Micro'!$K31&lt;&gt;""),'Atividades Micro'!$K31,"")</f>
        <v/>
      </c>
      <c r="BX31" s="21" t="str">
        <f>IF(AND('Atividades Micro'!$B31=BX$2,'Atividades Micro'!$G31="Macro",'Atividades Micro'!$K31&lt;&gt;""),'Atividades Micro'!$K31,"")</f>
        <v/>
      </c>
      <c r="BY31" s="21" t="str">
        <f>IF(AND('Atividades Micro'!$B31=BY$2,'Atividades Micro'!$G31="Macro",'Atividades Micro'!$K31&lt;&gt;""),'Atividades Micro'!$K31,"")</f>
        <v/>
      </c>
      <c r="BZ31" s="21" t="str">
        <f>IF(AND('Atividades Micro'!$B31=BZ$2,'Atividades Micro'!$G31="Macro",'Atividades Micro'!$K31&lt;&gt;""),'Atividades Micro'!$K31,"")</f>
        <v/>
      </c>
      <c r="CA31" s="21" t="str">
        <f>IF(AND('Atividades Micro'!$B31=CA$2,'Atividades Micro'!$G31="Macro",'Atividades Micro'!$K31&lt;&gt;""),'Atividades Micro'!$K31,"")</f>
        <v/>
      </c>
      <c r="CB31" s="21" t="str">
        <f>IF(AND('Atividades Micro'!$B31=CB$2,'Atividades Micro'!$G31="Macro",'Atividades Micro'!$K31&lt;&gt;""),'Atividades Micro'!$K31,"")</f>
        <v/>
      </c>
      <c r="CC31" s="21" t="str">
        <f>IF(AND('Atividades Micro'!$B31=CC$2,'Atividades Micro'!$G31="Macro",'Atividades Micro'!$K31&lt;&gt;""),'Atividades Micro'!$K31,"")</f>
        <v/>
      </c>
      <c r="CD31" s="21" t="str">
        <f>IF(AND('Atividades Micro'!$B31=CD$2,'Atividades Micro'!$G31="Micro",'Atividades Micro'!$K31&lt;&gt;""),'Atividades Micro'!$K31,"")</f>
        <v/>
      </c>
      <c r="CE31" s="21">
        <f>IF(AND('Atividades Micro'!$B31=CE$2,'Atividades Micro'!$G31="Micro",'Atividades Micro'!$K31&lt;&gt;""),'Atividades Micro'!$K31,"")</f>
        <v>46315</v>
      </c>
      <c r="CF31" s="21" t="str">
        <f>IF(AND('Atividades Micro'!$B31=CF$2,'Atividades Micro'!$G31="Micro",'Atividades Micro'!$K31&lt;&gt;""),'Atividades Micro'!$K31,"")</f>
        <v/>
      </c>
      <c r="CG31" s="21" t="str">
        <f>IF(AND('Atividades Micro'!$B31=CG$2,'Atividades Micro'!$G31="Micro",'Atividades Micro'!$K31&lt;&gt;""),'Atividades Micro'!$K31,"")</f>
        <v/>
      </c>
      <c r="CH31" s="21" t="str">
        <f>IF(AND('Atividades Micro'!$B31=CH$2,'Atividades Micro'!$G31="Micro",'Atividades Micro'!$K31&lt;&gt;""),'Atividades Micro'!$K31,"")</f>
        <v/>
      </c>
      <c r="CI31" s="21" t="str">
        <f>IF(AND('Atividades Micro'!$B31=CI$2,'Atividades Micro'!$G31="Micro",'Atividades Micro'!$K31&lt;&gt;""),'Atividades Micro'!$K31,"")</f>
        <v/>
      </c>
      <c r="CJ31" s="21" t="str">
        <f>IF(AND('Atividades Micro'!$B31=CJ$2,'Atividades Micro'!$G31="Micro",'Atividades Micro'!$K31&lt;&gt;""),'Atividades Micro'!$K31,"")</f>
        <v/>
      </c>
      <c r="CK31" s="21" t="str">
        <f>IF(AND('Atividades Micro'!$B31=CK$2,'Atividades Micro'!$G31="Micro",'Atividades Micro'!$K31&lt;&gt;""),'Atividades Micro'!$K31,"")</f>
        <v/>
      </c>
      <c r="CL31" s="21" t="str">
        <f>IF(AND('Atividades Micro'!$B31=CL$2,'Atividades Micro'!$G31="Micro",'Atividades Micro'!$K31&lt;&gt;""),'Atividades Micro'!$K31,"")</f>
        <v/>
      </c>
      <c r="CM31" s="21" t="str">
        <f>IF(AND('Atividades Micro'!$B31=CM$2,'Atividades Micro'!$G31="Micro",'Atividades Micro'!$K31&lt;&gt;""),'Atividades Micro'!$K31,"")</f>
        <v/>
      </c>
      <c r="CN31" s="21" t="str">
        <f>IF(AND('Atividades Micro'!$B31=CN$2,'Atividades Micro'!$G31="Micro",'Atividades Micro'!$K31&lt;&gt;""),'Atividades Micro'!$K31,"")</f>
        <v/>
      </c>
      <c r="CO31" s="21" t="str">
        <f>IF(AND('Atividades Micro'!$B31=CO$2,'Atividades Micro'!$G31="Micro",'Atividades Micro'!$K31&lt;&gt;""),'Atividades Micro'!$K31,"")</f>
        <v/>
      </c>
    </row>
    <row r="32" spans="1:93">
      <c r="A32" s="21" t="str">
        <f>IF(AND('Atividades Micro'!$A32=A$2,'Atividades Micro'!$K32&lt;&gt;""),'Atividades Micro'!$K32,"")</f>
        <v/>
      </c>
      <c r="B32" s="21" t="str">
        <f>IF(AND('Atividades Micro'!$A32=B$2,'Atividades Micro'!$L32&lt;&gt;""),'Atividades Micro'!$L32,"")</f>
        <v/>
      </c>
      <c r="C32" s="21" t="str">
        <f>IF(AND('Atividades Micro'!$A32=C$2,'Atividades Micro'!$K32&lt;&gt;""),'Atividades Micro'!$K32,"")</f>
        <v/>
      </c>
      <c r="D32" s="21" t="str">
        <f>IF(AND('Atividades Micro'!$A32=D$2,'Atividades Micro'!$L32&lt;&gt;""),'Atividades Micro'!$L32,"")</f>
        <v/>
      </c>
      <c r="E32" s="21" t="str">
        <f>IF(AND('Atividades Micro'!$A32=E$2,'Atividades Micro'!$K32&lt;&gt;""),'Atividades Micro'!$K32,"")</f>
        <v/>
      </c>
      <c r="F32" s="21" t="str">
        <f>IF(AND('Atividades Micro'!$A32=F$2,'Atividades Micro'!$L32&lt;&gt;""),'Atividades Micro'!$L32,"")</f>
        <v/>
      </c>
      <c r="G32" s="21" t="str">
        <f>IF(AND('Atividades Micro'!$A32=G$2,'Atividades Micro'!$K32&lt;&gt;""),'Atividades Micro'!$K32,"")</f>
        <v/>
      </c>
      <c r="H32" s="21" t="str">
        <f>IF(AND('Atividades Micro'!$A32=H$2,'Atividades Micro'!$L32&lt;&gt;""),'Atividades Micro'!$L32,"")</f>
        <v/>
      </c>
      <c r="I32" s="21">
        <f>IF(AND('Atividades Micro'!$A32=I$2,'Atividades Micro'!$K32&lt;&gt;""),'Atividades Micro'!$K32,"")</f>
        <v>46318</v>
      </c>
      <c r="J32" s="21">
        <f>IF(AND('Atividades Micro'!$A32=J$2,'Atividades Micro'!$L32&lt;&gt;""),'Atividades Micro'!$L32,"")</f>
        <v>46290</v>
      </c>
      <c r="K32" s="21" t="str">
        <f>IF(AND('Atividades Micro'!$B32=K$2,'Atividades Micro'!$K32&lt;&gt;""),'Atividades Micro'!$K32,"")</f>
        <v/>
      </c>
      <c r="L32" s="21" t="str">
        <f>IF(AND('Atividades Micro'!$B32=L$2,'Atividades Micro'!$L32&lt;&gt;""),'Atividades Micro'!$L32,"")</f>
        <v/>
      </c>
      <c r="M32" s="21">
        <f>IF(AND('Atividades Micro'!$B32=M$2,'Atividades Micro'!$K32&lt;&gt;""),'Atividades Micro'!$K32,"")</f>
        <v>46318</v>
      </c>
      <c r="N32" s="21">
        <f>IF(AND('Atividades Micro'!$B32=N$2,'Atividades Micro'!$L32&lt;&gt;""),'Atividades Micro'!$L32,"")</f>
        <v>46290</v>
      </c>
      <c r="O32" s="21" t="str">
        <f>IF(AND('Atividades Micro'!$A32=O$2,'Atividades Micro'!$K32&lt;&gt;""),'Atividades Micro'!$K32,"")</f>
        <v/>
      </c>
      <c r="P32" s="21" t="str">
        <f>IF(AND('Atividades Micro'!$A32=P$2,'Atividades Micro'!$L32&lt;&gt;""),'Atividades Micro'!$L32,"")</f>
        <v/>
      </c>
      <c r="Q32" s="21" t="str">
        <f>IF(AND('Atividades Micro'!$B32=Q$2,'Atividades Micro'!$K32&lt;&gt;""),'Atividades Micro'!$K32,"")</f>
        <v/>
      </c>
      <c r="R32" s="21" t="str">
        <f>IF(AND('Atividades Micro'!$B32=R$2,'Atividades Micro'!$L32&lt;&gt;""),'Atividades Micro'!$L32,"")</f>
        <v/>
      </c>
      <c r="S32" s="21" t="str">
        <f>IF(AND('Atividades Micro'!$A32=S$2,'Atividades Micro'!$K32&lt;&gt;""),'Atividades Micro'!$K32,"")</f>
        <v/>
      </c>
      <c r="T32" s="21" t="str">
        <f>IF(AND('Atividades Micro'!$A32=T$2,'Atividades Micro'!$L32&lt;&gt;""),'Atividades Micro'!$L32,"")</f>
        <v/>
      </c>
      <c r="U32" s="21" t="str">
        <f>IF(AND('Atividades Micro'!$B32=U$2,'Atividades Micro'!$K32&lt;&gt;""),'Atividades Micro'!$K32,"")</f>
        <v/>
      </c>
      <c r="V32" s="21" t="str">
        <f>IF(AND('Atividades Micro'!$B32=V$2,'Atividades Micro'!$L32&lt;&gt;""),'Atividades Micro'!$L32,"")</f>
        <v/>
      </c>
      <c r="W32" s="21" t="str">
        <f>IF(AND('Atividades Micro'!$B32=W$2,'Atividades Micro'!$K32&lt;&gt;""),'Atividades Micro'!$K32,"")</f>
        <v/>
      </c>
      <c r="X32" s="21" t="str">
        <f>IF(AND('Atividades Micro'!$B32=X$2,'Atividades Micro'!$L32&lt;&gt;""),'Atividades Micro'!$L32,"")</f>
        <v/>
      </c>
      <c r="Y32" s="21" t="str">
        <f>IF(AND('Atividades Micro'!$A32=Y$2,'Atividades Micro'!$K32&lt;&gt;""),'Atividades Micro'!$K32,"")</f>
        <v/>
      </c>
      <c r="Z32" s="21" t="str">
        <f>IF(AND('Atividades Micro'!$A32=Z$2,'Atividades Micro'!$L32&lt;&gt;""),'Atividades Micro'!$L32,"")</f>
        <v/>
      </c>
      <c r="AA32" s="21" t="str">
        <f>IF(AND('Atividades Micro'!$B32=AA$2,'Atividades Micro'!$K32&lt;&gt;""),'Atividades Micro'!$K32,"")</f>
        <v/>
      </c>
      <c r="AB32" s="21" t="str">
        <f>IF(AND('Atividades Micro'!$B32=AB$2,'Atividades Micro'!$L32&lt;&gt;""),'Atividades Micro'!$L32,"")</f>
        <v/>
      </c>
      <c r="AC32" s="21" t="str">
        <f>IF(AND('Atividades Micro'!$B32=AC$2,'Atividades Micro'!$K32&lt;&gt;""),'Atividades Micro'!$K32,"")</f>
        <v/>
      </c>
      <c r="AD32" s="21" t="str">
        <f>IF(AND('Atividades Micro'!$B32=AD$2,'Atividades Micro'!$L32&lt;&gt;""),'Atividades Micro'!$L32,"")</f>
        <v/>
      </c>
      <c r="AE32" s="21" t="str">
        <f>IF(AND('Atividades Micro'!$A32=AE$2,'Atividades Micro'!$K32&lt;&gt;""),'Atividades Micro'!$K32,"")</f>
        <v/>
      </c>
      <c r="AF32" s="21" t="str">
        <f>IF(AND('Atividades Micro'!$A32=AF$2,'Atividades Micro'!$L32&lt;&gt;""),'Atividades Micro'!$L32,"")</f>
        <v/>
      </c>
      <c r="AG32" s="21" t="str">
        <f>IF(AND('Atividades Micro'!$B32=AG$2,'Atividades Micro'!$K32&lt;&gt;""),'Atividades Micro'!$K32,"")</f>
        <v/>
      </c>
      <c r="AH32" s="21" t="str">
        <f>IF(AND('Atividades Micro'!$B32=AH$2,'Atividades Micro'!$L32&lt;&gt;""),'Atividades Micro'!$L32,"")</f>
        <v/>
      </c>
      <c r="AI32" s="21" t="str">
        <f>IF(AND('Atividades Micro'!$B32=AI$2,'Atividades Micro'!$K32&lt;&gt;""),'Atividades Micro'!$K32,"")</f>
        <v/>
      </c>
      <c r="AJ32" s="21" t="str">
        <f>IF(AND('Atividades Micro'!$B32=AJ$2,'Atividades Micro'!$L32&lt;&gt;""),'Atividades Micro'!$L32,"")</f>
        <v/>
      </c>
      <c r="AK32" s="21" t="str">
        <f>IF(AND('Atividades Micro'!$A32=AK$2,'Atividades Micro'!$K32&lt;&gt;""),'Atividades Micro'!$K32,"")</f>
        <v/>
      </c>
      <c r="AL32" s="21" t="str">
        <f>IF(AND('Atividades Micro'!$A32=AL$2,'Atividades Micro'!$L32&lt;&gt;""),'Atividades Micro'!$L32,"")</f>
        <v/>
      </c>
      <c r="AM32" s="21" t="str">
        <f>IF(AND('Atividades Micro'!$B32=AM$2,'Atividades Micro'!$K32&lt;&gt;""),'Atividades Micro'!$K32,"")</f>
        <v/>
      </c>
      <c r="AN32" s="21" t="str">
        <f>IF(AND('Atividades Micro'!$B32=AN$2,'Atividades Micro'!$L32&lt;&gt;""),'Atividades Micro'!$L32,"")</f>
        <v/>
      </c>
      <c r="AO32" s="21" t="str">
        <f>IF(AND('Atividades Micro'!$B32=AO$2,'Atividades Micro'!$K32&lt;&gt;""),'Atividades Micro'!$K32,"")</f>
        <v/>
      </c>
      <c r="AP32" s="21" t="str">
        <f>IF(AND('Atividades Micro'!$B32=AP$2,'Atividades Micro'!$L32&lt;&gt;""),'Atividades Micro'!$L32,"")</f>
        <v/>
      </c>
      <c r="AQ32" s="21" t="str">
        <f>IF(AND('Atividades Micro'!$A32=AQ$2,'Atividades Micro'!$K32&lt;&gt;""),'Atividades Micro'!$K32,"")</f>
        <v/>
      </c>
      <c r="AR32" s="21" t="str">
        <f>IF(AND('Atividades Micro'!$A32=AR$2,'Atividades Micro'!$L32&lt;&gt;""),'Atividades Micro'!$L32,"")</f>
        <v/>
      </c>
      <c r="AS32" s="21" t="str">
        <f>IF(AND('Atividades Micro'!$B32=AS$2,'Atividades Micro'!$K32&lt;&gt;""),'Atividades Micro'!$K32,"")</f>
        <v/>
      </c>
      <c r="AT32" s="21" t="str">
        <f>IF(AND('Atividades Micro'!$B32=AT$2,'Atividades Micro'!$L32&lt;&gt;""),'Atividades Micro'!$L32,"")</f>
        <v/>
      </c>
      <c r="AU32" s="21" t="str">
        <f>IF(AND('Atividades Micro'!$A32=AU$2,'Atividades Micro'!$K32&lt;&gt;""),'Atividades Micro'!$K32,"")</f>
        <v/>
      </c>
      <c r="AV32" s="21" t="str">
        <f>IF(AND('Atividades Micro'!$A32=AV$2,'Atividades Micro'!$L32&lt;&gt;""),'Atividades Micro'!$L32,"")</f>
        <v/>
      </c>
      <c r="AW32" s="21" t="str">
        <f>IF(AND('Atividades Micro'!$B32=AW$2,'Atividades Micro'!$K32&lt;&gt;""),'Atividades Micro'!$K32,"")</f>
        <v/>
      </c>
      <c r="AX32" s="21" t="str">
        <f>IF(AND('Atividades Micro'!$B32=AX$2,'Atividades Micro'!$L32&lt;&gt;""),'Atividades Micro'!$L32,"")</f>
        <v/>
      </c>
      <c r="AY32" s="21" t="str">
        <f>IF(AND('Atividades Micro'!$A32=AY$2,'Atividades Micro'!$K32&lt;&gt;""),'Atividades Micro'!$K32,"")</f>
        <v/>
      </c>
      <c r="AZ32" s="21" t="str">
        <f>IF(AND('Atividades Micro'!$A32=AZ$2,'Atividades Micro'!$L32&lt;&gt;""),'Atividades Micro'!$L32,"")</f>
        <v/>
      </c>
      <c r="BA32" s="21" t="str">
        <f>IF(AND('Atividades Micro'!$B32=BA$2,'Atividades Micro'!$K32&lt;&gt;""),'Atividades Micro'!$K32,"")</f>
        <v/>
      </c>
      <c r="BB32" s="21" t="str">
        <f>IF(AND('Atividades Micro'!$B32=BB$2,'Atividades Micro'!$L32&lt;&gt;""),'Atividades Micro'!$L32,"")</f>
        <v/>
      </c>
      <c r="BC32" s="21" t="str">
        <f>IF(AND('Atividades Micro'!$B32=BC$2,'Atividades Micro'!$G32="Macro",'Atividades Micro'!$K32&lt;&gt;""),'Atividades Micro'!$K32,"")</f>
        <v/>
      </c>
      <c r="BD32" s="21" t="str">
        <f>IF(AND('Atividades Micro'!$B32=BD$2,'Atividades Micro'!$G32="Macro",'Atividades Micro'!$K32&lt;&gt;""),'Atividades Micro'!$K32,"")</f>
        <v/>
      </c>
      <c r="BE32" s="21" t="str">
        <f>IF(AND('Atividades Micro'!$B32=BE$2,'Atividades Micro'!$G32="Macro",'Atividades Micro'!$K32&lt;&gt;""),'Atividades Micro'!$K32,"")</f>
        <v/>
      </c>
      <c r="BF32" s="21" t="str">
        <f>IF(AND('Atividades Micro'!$B32=BF$2,'Atividades Micro'!$G32="Macro",'Atividades Micro'!$K32&lt;&gt;""),'Atividades Micro'!$K32,"")</f>
        <v/>
      </c>
      <c r="BG32" s="21" t="str">
        <f>IF(AND('Atividades Micro'!$B32=BG$2,'Atividades Micro'!$G32="Macro",'Atividades Micro'!$K32&lt;&gt;""),'Atividades Micro'!$K32,"")</f>
        <v/>
      </c>
      <c r="BH32" s="21" t="str">
        <f>IF(AND('Atividades Micro'!$B32=BH$2,'Atividades Micro'!$G32="Macro",'Atividades Micro'!$K32&lt;&gt;""),'Atividades Micro'!$K32,"")</f>
        <v/>
      </c>
      <c r="BI32" s="21" t="str">
        <f>IF(AND('Atividades Micro'!$B32=BI$2,'Atividades Micro'!$G32="Macro",'Atividades Micro'!$K32&lt;&gt;""),'Atividades Micro'!$K32,"")</f>
        <v/>
      </c>
      <c r="BJ32" s="21" t="str">
        <f>IF(AND('Atividades Micro'!$B32=BJ$2,'Atividades Micro'!$G32="Macro",'Atividades Micro'!$K32&lt;&gt;""),'Atividades Micro'!$K32,"")</f>
        <v/>
      </c>
      <c r="BK32" s="21" t="str">
        <f>IF(AND('Atividades Micro'!$B32=BK$2,'Atividades Micro'!$G32="Macro",'Atividades Micro'!$K32&lt;&gt;""),'Atividades Micro'!$K32,"")</f>
        <v/>
      </c>
      <c r="BL32" s="21" t="str">
        <f>IF(AND('Atividades Micro'!$B32=BL$2,'Atividades Micro'!$G32="Macro",'Atividades Micro'!$K32&lt;&gt;""),'Atividades Micro'!$K32,"")</f>
        <v/>
      </c>
      <c r="BM32" s="21" t="str">
        <f>IF(AND('Atividades Micro'!$B32=BM$2,'Atividades Micro'!$G32="Macro",'Atividades Micro'!$K32&lt;&gt;""),'Atividades Micro'!$K32,"")</f>
        <v/>
      </c>
      <c r="BN32" s="21" t="str">
        <f>IF(AND('Atividades Micro'!$B32=BN$2,'Atividades Micro'!$G32="Macro",'Atividades Micro'!$K32&lt;&gt;""),'Atividades Micro'!$K32,"")</f>
        <v/>
      </c>
      <c r="BO32" s="21" t="str">
        <f>IF(AND('Atividades Micro'!$B32=BO$2,'Atividades Micro'!$G32="Macro",'Atividades Micro'!$K32&lt;&gt;""),'Atividades Micro'!$K32,"")</f>
        <v/>
      </c>
      <c r="BP32" s="21" t="str">
        <f>IF(AND('Atividades Micro'!$B32=BP$2,'Atividades Micro'!$G32="Macro",'Atividades Micro'!$K32&lt;&gt;""),'Atividades Micro'!$K32,"")</f>
        <v/>
      </c>
      <c r="BQ32" s="21" t="str">
        <f>IF(AND('Atividades Micro'!$B32=BQ$2,'Atividades Micro'!$G32="Macro",'Atividades Micro'!$K32&lt;&gt;""),'Atividades Micro'!$K32,"")</f>
        <v/>
      </c>
      <c r="BR32" s="21" t="str">
        <f>IF(AND('Atividades Micro'!$B32=BR$2,'Atividades Micro'!$G32="Macro",'Atividades Micro'!$K32&lt;&gt;""),'Atividades Micro'!$K32,"")</f>
        <v/>
      </c>
      <c r="BS32" s="21" t="str">
        <f>IF(AND('Atividades Micro'!$B32=BS$2,'Atividades Micro'!$G32="Macro",'Atividades Micro'!$K32&lt;&gt;""),'Atividades Micro'!$K32,"")</f>
        <v/>
      </c>
      <c r="BT32" s="21" t="str">
        <f>IF(AND('Atividades Micro'!$B32=BT$2,'Atividades Micro'!$G32="Macro",'Atividades Micro'!$K32&lt;&gt;""),'Atividades Micro'!$K32,"")</f>
        <v/>
      </c>
      <c r="BU32" s="21" t="str">
        <f>IF(AND('Atividades Micro'!$B32=BU$2,'Atividades Micro'!$G32="Macro",'Atividades Micro'!$K32&lt;&gt;""),'Atividades Micro'!$K32,"")</f>
        <v/>
      </c>
      <c r="BV32" s="21" t="str">
        <f>IF(AND('Atividades Micro'!$B32=BV$2,'Atividades Micro'!$G32="Macro",'Atividades Micro'!$K32&lt;&gt;""),'Atividades Micro'!$K32,"")</f>
        <v/>
      </c>
      <c r="BW32" s="21" t="str">
        <f>IF(AND('Atividades Micro'!$B32=BW$2,'Atividades Micro'!$G32="Macro",'Atividades Micro'!$K32&lt;&gt;""),'Atividades Micro'!$K32,"")</f>
        <v/>
      </c>
      <c r="BX32" s="21" t="str">
        <f>IF(AND('Atividades Micro'!$B32=BX$2,'Atividades Micro'!$G32="Macro",'Atividades Micro'!$K32&lt;&gt;""),'Atividades Micro'!$K32,"")</f>
        <v/>
      </c>
      <c r="BY32" s="21" t="str">
        <f>IF(AND('Atividades Micro'!$B32=BY$2,'Atividades Micro'!$G32="Macro",'Atividades Micro'!$K32&lt;&gt;""),'Atividades Micro'!$K32,"")</f>
        <v/>
      </c>
      <c r="BZ32" s="21" t="str">
        <f>IF(AND('Atividades Micro'!$B32=BZ$2,'Atividades Micro'!$G32="Macro",'Atividades Micro'!$K32&lt;&gt;""),'Atividades Micro'!$K32,"")</f>
        <v/>
      </c>
      <c r="CA32" s="21" t="str">
        <f>IF(AND('Atividades Micro'!$B32=CA$2,'Atividades Micro'!$G32="Macro",'Atividades Micro'!$K32&lt;&gt;""),'Atividades Micro'!$K32,"")</f>
        <v/>
      </c>
      <c r="CB32" s="21" t="str">
        <f>IF(AND('Atividades Micro'!$B32=CB$2,'Atividades Micro'!$G32="Macro",'Atividades Micro'!$K32&lt;&gt;""),'Atividades Micro'!$K32,"")</f>
        <v/>
      </c>
      <c r="CC32" s="21" t="str">
        <f>IF(AND('Atividades Micro'!$B32=CC$2,'Atividades Micro'!$G32="Macro",'Atividades Micro'!$K32&lt;&gt;""),'Atividades Micro'!$K32,"")</f>
        <v/>
      </c>
      <c r="CD32" s="21" t="str">
        <f>IF(AND('Atividades Micro'!$B32=CD$2,'Atividades Micro'!$G32="Micro",'Atividades Micro'!$K32&lt;&gt;""),'Atividades Micro'!$K32,"")</f>
        <v/>
      </c>
      <c r="CE32" s="21">
        <f>IF(AND('Atividades Micro'!$B32=CE$2,'Atividades Micro'!$G32="Micro",'Atividades Micro'!$K32&lt;&gt;""),'Atividades Micro'!$K32,"")</f>
        <v>46318</v>
      </c>
      <c r="CF32" s="21" t="str">
        <f>IF(AND('Atividades Micro'!$B32=CF$2,'Atividades Micro'!$G32="Micro",'Atividades Micro'!$K32&lt;&gt;""),'Atividades Micro'!$K32,"")</f>
        <v/>
      </c>
      <c r="CG32" s="21" t="str">
        <f>IF(AND('Atividades Micro'!$B32=CG$2,'Atividades Micro'!$G32="Micro",'Atividades Micro'!$K32&lt;&gt;""),'Atividades Micro'!$K32,"")</f>
        <v/>
      </c>
      <c r="CH32" s="21" t="str">
        <f>IF(AND('Atividades Micro'!$B32=CH$2,'Atividades Micro'!$G32="Micro",'Atividades Micro'!$K32&lt;&gt;""),'Atividades Micro'!$K32,"")</f>
        <v/>
      </c>
      <c r="CI32" s="21" t="str">
        <f>IF(AND('Atividades Micro'!$B32=CI$2,'Atividades Micro'!$G32="Micro",'Atividades Micro'!$K32&lt;&gt;""),'Atividades Micro'!$K32,"")</f>
        <v/>
      </c>
      <c r="CJ32" s="21" t="str">
        <f>IF(AND('Atividades Micro'!$B32=CJ$2,'Atividades Micro'!$G32="Micro",'Atividades Micro'!$K32&lt;&gt;""),'Atividades Micro'!$K32,"")</f>
        <v/>
      </c>
      <c r="CK32" s="21" t="str">
        <f>IF(AND('Atividades Micro'!$B32=CK$2,'Atividades Micro'!$G32="Micro",'Atividades Micro'!$K32&lt;&gt;""),'Atividades Micro'!$K32,"")</f>
        <v/>
      </c>
      <c r="CL32" s="21" t="str">
        <f>IF(AND('Atividades Micro'!$B32=CL$2,'Atividades Micro'!$G32="Micro",'Atividades Micro'!$K32&lt;&gt;""),'Atividades Micro'!$K32,"")</f>
        <v/>
      </c>
      <c r="CM32" s="21" t="str">
        <f>IF(AND('Atividades Micro'!$B32=CM$2,'Atividades Micro'!$G32="Micro",'Atividades Micro'!$K32&lt;&gt;""),'Atividades Micro'!$K32,"")</f>
        <v/>
      </c>
      <c r="CN32" s="21" t="str">
        <f>IF(AND('Atividades Micro'!$B32=CN$2,'Atividades Micro'!$G32="Micro",'Atividades Micro'!$K32&lt;&gt;""),'Atividades Micro'!$K32,"")</f>
        <v/>
      </c>
      <c r="CO32" s="21" t="str">
        <f>IF(AND('Atividades Micro'!$B32=CO$2,'Atividades Micro'!$G32="Micro",'Atividades Micro'!$K32&lt;&gt;""),'Atividades Micro'!$K32,"")</f>
        <v/>
      </c>
    </row>
    <row r="33" spans="1:93">
      <c r="A33" s="21" t="str">
        <f>IF(AND('Atividades Micro'!$A33=A$2,'Atividades Micro'!$K33&lt;&gt;""),'Atividades Micro'!$K33,"")</f>
        <v/>
      </c>
      <c r="B33" s="21" t="str">
        <f>IF(AND('Atividades Micro'!$A33=B$2,'Atividades Micro'!$L33&lt;&gt;""),'Atividades Micro'!$L33,"")</f>
        <v/>
      </c>
      <c r="C33" s="21" t="str">
        <f>IF(AND('Atividades Micro'!$A33=C$2,'Atividades Micro'!$K33&lt;&gt;""),'Atividades Micro'!$K33,"")</f>
        <v/>
      </c>
      <c r="D33" s="21" t="str">
        <f>IF(AND('Atividades Micro'!$A33=D$2,'Atividades Micro'!$L33&lt;&gt;""),'Atividades Micro'!$L33,"")</f>
        <v/>
      </c>
      <c r="E33" s="21" t="str">
        <f>IF(AND('Atividades Micro'!$A33=E$2,'Atividades Micro'!$K33&lt;&gt;""),'Atividades Micro'!$K33,"")</f>
        <v/>
      </c>
      <c r="F33" s="21" t="str">
        <f>IF(AND('Atividades Micro'!$A33=F$2,'Atividades Micro'!$L33&lt;&gt;""),'Atividades Micro'!$L33,"")</f>
        <v/>
      </c>
      <c r="G33" s="21" t="str">
        <f>IF(AND('Atividades Micro'!$A33=G$2,'Atividades Micro'!$K33&lt;&gt;""),'Atividades Micro'!$K33,"")</f>
        <v/>
      </c>
      <c r="H33" s="21" t="str">
        <f>IF(AND('Atividades Micro'!$A33=H$2,'Atividades Micro'!$L33&lt;&gt;""),'Atividades Micro'!$L33,"")</f>
        <v/>
      </c>
      <c r="I33" s="21">
        <f>IF(AND('Atividades Micro'!$A33=I$2,'Atividades Micro'!$K33&lt;&gt;""),'Atividades Micro'!$K33,"")</f>
        <v>46325</v>
      </c>
      <c r="J33" s="21" t="str">
        <f>IF(AND('Atividades Micro'!$A33=J$2,'Atividades Micro'!$L33&lt;&gt;""),'Atividades Micro'!$L33,"")</f>
        <v/>
      </c>
      <c r="K33" s="21" t="str">
        <f>IF(AND('Atividades Micro'!$B33=K$2,'Atividades Micro'!$K33&lt;&gt;""),'Atividades Micro'!$K33,"")</f>
        <v/>
      </c>
      <c r="L33" s="21" t="str">
        <f>IF(AND('Atividades Micro'!$B33=L$2,'Atividades Micro'!$L33&lt;&gt;""),'Atividades Micro'!$L33,"")</f>
        <v/>
      </c>
      <c r="M33" s="21">
        <f>IF(AND('Atividades Micro'!$B33=M$2,'Atividades Micro'!$K33&lt;&gt;""),'Atividades Micro'!$K33,"")</f>
        <v>46325</v>
      </c>
      <c r="N33" s="21" t="str">
        <f>IF(AND('Atividades Micro'!$B33=N$2,'Atividades Micro'!$L33&lt;&gt;""),'Atividades Micro'!$L33,"")</f>
        <v/>
      </c>
      <c r="O33" s="21" t="str">
        <f>IF(AND('Atividades Micro'!$A33=O$2,'Atividades Micro'!$K33&lt;&gt;""),'Atividades Micro'!$K33,"")</f>
        <v/>
      </c>
      <c r="P33" s="21" t="str">
        <f>IF(AND('Atividades Micro'!$A33=P$2,'Atividades Micro'!$L33&lt;&gt;""),'Atividades Micro'!$L33,"")</f>
        <v/>
      </c>
      <c r="Q33" s="21" t="str">
        <f>IF(AND('Atividades Micro'!$B33=Q$2,'Atividades Micro'!$K33&lt;&gt;""),'Atividades Micro'!$K33,"")</f>
        <v/>
      </c>
      <c r="R33" s="21" t="str">
        <f>IF(AND('Atividades Micro'!$B33=R$2,'Atividades Micro'!$L33&lt;&gt;""),'Atividades Micro'!$L33,"")</f>
        <v/>
      </c>
      <c r="S33" s="21" t="str">
        <f>IF(AND('Atividades Micro'!$A33=S$2,'Atividades Micro'!$K33&lt;&gt;""),'Atividades Micro'!$K33,"")</f>
        <v/>
      </c>
      <c r="T33" s="21" t="str">
        <f>IF(AND('Atividades Micro'!$A33=T$2,'Atividades Micro'!$L33&lt;&gt;""),'Atividades Micro'!$L33,"")</f>
        <v/>
      </c>
      <c r="U33" s="21" t="str">
        <f>IF(AND('Atividades Micro'!$B33=U$2,'Atividades Micro'!$K33&lt;&gt;""),'Atividades Micro'!$K33,"")</f>
        <v/>
      </c>
      <c r="V33" s="21" t="str">
        <f>IF(AND('Atividades Micro'!$B33=V$2,'Atividades Micro'!$L33&lt;&gt;""),'Atividades Micro'!$L33,"")</f>
        <v/>
      </c>
      <c r="W33" s="21" t="str">
        <f>IF(AND('Atividades Micro'!$B33=W$2,'Atividades Micro'!$K33&lt;&gt;""),'Atividades Micro'!$K33,"")</f>
        <v/>
      </c>
      <c r="X33" s="21" t="str">
        <f>IF(AND('Atividades Micro'!$B33=X$2,'Atividades Micro'!$L33&lt;&gt;""),'Atividades Micro'!$L33,"")</f>
        <v/>
      </c>
      <c r="Y33" s="21" t="str">
        <f>IF(AND('Atividades Micro'!$A33=Y$2,'Atividades Micro'!$K33&lt;&gt;""),'Atividades Micro'!$K33,"")</f>
        <v/>
      </c>
      <c r="Z33" s="21" t="str">
        <f>IF(AND('Atividades Micro'!$A33=Z$2,'Atividades Micro'!$L33&lt;&gt;""),'Atividades Micro'!$L33,"")</f>
        <v/>
      </c>
      <c r="AA33" s="21" t="str">
        <f>IF(AND('Atividades Micro'!$B33=AA$2,'Atividades Micro'!$K33&lt;&gt;""),'Atividades Micro'!$K33,"")</f>
        <v/>
      </c>
      <c r="AB33" s="21" t="str">
        <f>IF(AND('Atividades Micro'!$B33=AB$2,'Atividades Micro'!$L33&lt;&gt;""),'Atividades Micro'!$L33,"")</f>
        <v/>
      </c>
      <c r="AC33" s="21" t="str">
        <f>IF(AND('Atividades Micro'!$B33=AC$2,'Atividades Micro'!$K33&lt;&gt;""),'Atividades Micro'!$K33,"")</f>
        <v/>
      </c>
      <c r="AD33" s="21" t="str">
        <f>IF(AND('Atividades Micro'!$B33=AD$2,'Atividades Micro'!$L33&lt;&gt;""),'Atividades Micro'!$L33,"")</f>
        <v/>
      </c>
      <c r="AE33" s="21" t="str">
        <f>IF(AND('Atividades Micro'!$A33=AE$2,'Atividades Micro'!$K33&lt;&gt;""),'Atividades Micro'!$K33,"")</f>
        <v/>
      </c>
      <c r="AF33" s="21" t="str">
        <f>IF(AND('Atividades Micro'!$A33=AF$2,'Atividades Micro'!$L33&lt;&gt;""),'Atividades Micro'!$L33,"")</f>
        <v/>
      </c>
      <c r="AG33" s="21" t="str">
        <f>IF(AND('Atividades Micro'!$B33=AG$2,'Atividades Micro'!$K33&lt;&gt;""),'Atividades Micro'!$K33,"")</f>
        <v/>
      </c>
      <c r="AH33" s="21" t="str">
        <f>IF(AND('Atividades Micro'!$B33=AH$2,'Atividades Micro'!$L33&lt;&gt;""),'Atividades Micro'!$L33,"")</f>
        <v/>
      </c>
      <c r="AI33" s="21" t="str">
        <f>IF(AND('Atividades Micro'!$B33=AI$2,'Atividades Micro'!$K33&lt;&gt;""),'Atividades Micro'!$K33,"")</f>
        <v/>
      </c>
      <c r="AJ33" s="21" t="str">
        <f>IF(AND('Atividades Micro'!$B33=AJ$2,'Atividades Micro'!$L33&lt;&gt;""),'Atividades Micro'!$L33,"")</f>
        <v/>
      </c>
      <c r="AK33" s="21" t="str">
        <f>IF(AND('Atividades Micro'!$A33=AK$2,'Atividades Micro'!$K33&lt;&gt;""),'Atividades Micro'!$K33,"")</f>
        <v/>
      </c>
      <c r="AL33" s="21" t="str">
        <f>IF(AND('Atividades Micro'!$A33=AL$2,'Atividades Micro'!$L33&lt;&gt;""),'Atividades Micro'!$L33,"")</f>
        <v/>
      </c>
      <c r="AM33" s="21" t="str">
        <f>IF(AND('Atividades Micro'!$B33=AM$2,'Atividades Micro'!$K33&lt;&gt;""),'Atividades Micro'!$K33,"")</f>
        <v/>
      </c>
      <c r="AN33" s="21" t="str">
        <f>IF(AND('Atividades Micro'!$B33=AN$2,'Atividades Micro'!$L33&lt;&gt;""),'Atividades Micro'!$L33,"")</f>
        <v/>
      </c>
      <c r="AO33" s="21" t="str">
        <f>IF(AND('Atividades Micro'!$B33=AO$2,'Atividades Micro'!$K33&lt;&gt;""),'Atividades Micro'!$K33,"")</f>
        <v/>
      </c>
      <c r="AP33" s="21" t="str">
        <f>IF(AND('Atividades Micro'!$B33=AP$2,'Atividades Micro'!$L33&lt;&gt;""),'Atividades Micro'!$L33,"")</f>
        <v/>
      </c>
      <c r="AQ33" s="21" t="str">
        <f>IF(AND('Atividades Micro'!$A33=AQ$2,'Atividades Micro'!$K33&lt;&gt;""),'Atividades Micro'!$K33,"")</f>
        <v/>
      </c>
      <c r="AR33" s="21" t="str">
        <f>IF(AND('Atividades Micro'!$A33=AR$2,'Atividades Micro'!$L33&lt;&gt;""),'Atividades Micro'!$L33,"")</f>
        <v/>
      </c>
      <c r="AS33" s="21" t="str">
        <f>IF(AND('Atividades Micro'!$B33=AS$2,'Atividades Micro'!$K33&lt;&gt;""),'Atividades Micro'!$K33,"")</f>
        <v/>
      </c>
      <c r="AT33" s="21" t="str">
        <f>IF(AND('Atividades Micro'!$B33=AT$2,'Atividades Micro'!$L33&lt;&gt;""),'Atividades Micro'!$L33,"")</f>
        <v/>
      </c>
      <c r="AU33" s="21" t="str">
        <f>IF(AND('Atividades Micro'!$A33=AU$2,'Atividades Micro'!$K33&lt;&gt;""),'Atividades Micro'!$K33,"")</f>
        <v/>
      </c>
      <c r="AV33" s="21" t="str">
        <f>IF(AND('Atividades Micro'!$A33=AV$2,'Atividades Micro'!$L33&lt;&gt;""),'Atividades Micro'!$L33,"")</f>
        <v/>
      </c>
      <c r="AW33" s="21" t="str">
        <f>IF(AND('Atividades Micro'!$B33=AW$2,'Atividades Micro'!$K33&lt;&gt;""),'Atividades Micro'!$K33,"")</f>
        <v/>
      </c>
      <c r="AX33" s="21" t="str">
        <f>IF(AND('Atividades Micro'!$B33=AX$2,'Atividades Micro'!$L33&lt;&gt;""),'Atividades Micro'!$L33,"")</f>
        <v/>
      </c>
      <c r="AY33" s="21" t="str">
        <f>IF(AND('Atividades Micro'!$A33=AY$2,'Atividades Micro'!$K33&lt;&gt;""),'Atividades Micro'!$K33,"")</f>
        <v/>
      </c>
      <c r="AZ33" s="21" t="str">
        <f>IF(AND('Atividades Micro'!$A33=AZ$2,'Atividades Micro'!$L33&lt;&gt;""),'Atividades Micro'!$L33,"")</f>
        <v/>
      </c>
      <c r="BA33" s="21" t="str">
        <f>IF(AND('Atividades Micro'!$B33=BA$2,'Atividades Micro'!$K33&lt;&gt;""),'Atividades Micro'!$K33,"")</f>
        <v/>
      </c>
      <c r="BB33" s="21" t="str">
        <f>IF(AND('Atividades Micro'!$B33=BB$2,'Atividades Micro'!$L33&lt;&gt;""),'Atividades Micro'!$L33,"")</f>
        <v/>
      </c>
      <c r="BC33" s="21" t="str">
        <f>IF(AND('Atividades Micro'!$B33=BC$2,'Atividades Micro'!$G33="Macro",'Atividades Micro'!$K33&lt;&gt;""),'Atividades Micro'!$K33,"")</f>
        <v/>
      </c>
      <c r="BD33" s="21" t="str">
        <f>IF(AND('Atividades Micro'!$B33=BD$2,'Atividades Micro'!$G33="Macro",'Atividades Micro'!$K33&lt;&gt;""),'Atividades Micro'!$K33,"")</f>
        <v/>
      </c>
      <c r="BE33" s="21" t="str">
        <f>IF(AND('Atividades Micro'!$B33=BE$2,'Atividades Micro'!$G33="Macro",'Atividades Micro'!$K33&lt;&gt;""),'Atividades Micro'!$K33,"")</f>
        <v/>
      </c>
      <c r="BF33" s="21" t="str">
        <f>IF(AND('Atividades Micro'!$B33=BF$2,'Atividades Micro'!$G33="Macro",'Atividades Micro'!$K33&lt;&gt;""),'Atividades Micro'!$K33,"")</f>
        <v/>
      </c>
      <c r="BG33" s="21" t="str">
        <f>IF(AND('Atividades Micro'!$B33=BG$2,'Atividades Micro'!$G33="Macro",'Atividades Micro'!$K33&lt;&gt;""),'Atividades Micro'!$K33,"")</f>
        <v/>
      </c>
      <c r="BH33" s="21" t="str">
        <f>IF(AND('Atividades Micro'!$B33=BH$2,'Atividades Micro'!$G33="Macro",'Atividades Micro'!$K33&lt;&gt;""),'Atividades Micro'!$K33,"")</f>
        <v/>
      </c>
      <c r="BI33" s="21" t="str">
        <f>IF(AND('Atividades Micro'!$B33=BI$2,'Atividades Micro'!$G33="Macro",'Atividades Micro'!$K33&lt;&gt;""),'Atividades Micro'!$K33,"")</f>
        <v/>
      </c>
      <c r="BJ33" s="21" t="str">
        <f>IF(AND('Atividades Micro'!$B33=BJ$2,'Atividades Micro'!$G33="Macro",'Atividades Micro'!$K33&lt;&gt;""),'Atividades Micro'!$K33,"")</f>
        <v/>
      </c>
      <c r="BK33" s="21" t="str">
        <f>IF(AND('Atividades Micro'!$B33=BK$2,'Atividades Micro'!$G33="Macro",'Atividades Micro'!$K33&lt;&gt;""),'Atividades Micro'!$K33,"")</f>
        <v/>
      </c>
      <c r="BL33" s="21" t="str">
        <f>IF(AND('Atividades Micro'!$B33=BL$2,'Atividades Micro'!$G33="Macro",'Atividades Micro'!$K33&lt;&gt;""),'Atividades Micro'!$K33,"")</f>
        <v/>
      </c>
      <c r="BM33" s="21" t="str">
        <f>IF(AND('Atividades Micro'!$B33=BM$2,'Atividades Micro'!$G33="Macro",'Atividades Micro'!$K33&lt;&gt;""),'Atividades Micro'!$K33,"")</f>
        <v/>
      </c>
      <c r="BN33" s="21" t="str">
        <f>IF(AND('Atividades Micro'!$B33=BN$2,'Atividades Micro'!$G33="Macro",'Atividades Micro'!$K33&lt;&gt;""),'Atividades Micro'!$K33,"")</f>
        <v/>
      </c>
      <c r="BO33" s="21" t="str">
        <f>IF(AND('Atividades Micro'!$B33=BO$2,'Atividades Micro'!$G33="Macro",'Atividades Micro'!$K33&lt;&gt;""),'Atividades Micro'!$K33,"")</f>
        <v/>
      </c>
      <c r="BP33" s="21" t="str">
        <f>IF(AND('Atividades Micro'!$B33=BP$2,'Atividades Micro'!$G33="Macro",'Atividades Micro'!$K33&lt;&gt;""),'Atividades Micro'!$K33,"")</f>
        <v/>
      </c>
      <c r="BQ33" s="21" t="str">
        <f>IF(AND('Atividades Micro'!$B33=BQ$2,'Atividades Micro'!$G33="Macro",'Atividades Micro'!$K33&lt;&gt;""),'Atividades Micro'!$K33,"")</f>
        <v/>
      </c>
      <c r="BR33" s="21" t="str">
        <f>IF(AND('Atividades Micro'!$B33=BR$2,'Atividades Micro'!$G33="Macro",'Atividades Micro'!$K33&lt;&gt;""),'Atividades Micro'!$K33,"")</f>
        <v/>
      </c>
      <c r="BS33" s="21" t="str">
        <f>IF(AND('Atividades Micro'!$B33=BS$2,'Atividades Micro'!$G33="Macro",'Atividades Micro'!$K33&lt;&gt;""),'Atividades Micro'!$K33,"")</f>
        <v/>
      </c>
      <c r="BT33" s="21" t="str">
        <f>IF(AND('Atividades Micro'!$B33=BT$2,'Atividades Micro'!$G33="Macro",'Atividades Micro'!$K33&lt;&gt;""),'Atividades Micro'!$K33,"")</f>
        <v/>
      </c>
      <c r="BU33" s="21" t="str">
        <f>IF(AND('Atividades Micro'!$B33=BU$2,'Atividades Micro'!$G33="Macro",'Atividades Micro'!$K33&lt;&gt;""),'Atividades Micro'!$K33,"")</f>
        <v/>
      </c>
      <c r="BV33" s="21" t="str">
        <f>IF(AND('Atividades Micro'!$B33=BV$2,'Atividades Micro'!$G33="Macro",'Atividades Micro'!$K33&lt;&gt;""),'Atividades Micro'!$K33,"")</f>
        <v/>
      </c>
      <c r="BW33" s="21" t="str">
        <f>IF(AND('Atividades Micro'!$B33=BW$2,'Atividades Micro'!$G33="Macro",'Atividades Micro'!$K33&lt;&gt;""),'Atividades Micro'!$K33,"")</f>
        <v/>
      </c>
      <c r="BX33" s="21" t="str">
        <f>IF(AND('Atividades Micro'!$B33=BX$2,'Atividades Micro'!$G33="Macro",'Atividades Micro'!$K33&lt;&gt;""),'Atividades Micro'!$K33,"")</f>
        <v/>
      </c>
      <c r="BY33" s="21" t="str">
        <f>IF(AND('Atividades Micro'!$B33=BY$2,'Atividades Micro'!$G33="Macro",'Atividades Micro'!$K33&lt;&gt;""),'Atividades Micro'!$K33,"")</f>
        <v/>
      </c>
      <c r="BZ33" s="21" t="str">
        <f>IF(AND('Atividades Micro'!$B33=BZ$2,'Atividades Micro'!$G33="Macro",'Atividades Micro'!$K33&lt;&gt;""),'Atividades Micro'!$K33,"")</f>
        <v/>
      </c>
      <c r="CA33" s="21" t="str">
        <f>IF(AND('Atividades Micro'!$B33=CA$2,'Atividades Micro'!$G33="Macro",'Atividades Micro'!$K33&lt;&gt;""),'Atividades Micro'!$K33,"")</f>
        <v/>
      </c>
      <c r="CB33" s="21" t="str">
        <f>IF(AND('Atividades Micro'!$B33=CB$2,'Atividades Micro'!$G33="Macro",'Atividades Micro'!$K33&lt;&gt;""),'Atividades Micro'!$K33,"")</f>
        <v/>
      </c>
      <c r="CC33" s="21" t="str">
        <f>IF(AND('Atividades Micro'!$B33=CC$2,'Atividades Micro'!$G33="Macro",'Atividades Micro'!$K33&lt;&gt;""),'Atividades Micro'!$K33,"")</f>
        <v/>
      </c>
      <c r="CD33" s="21" t="str">
        <f>IF(AND('Atividades Micro'!$B33=CD$2,'Atividades Micro'!$G33="Micro",'Atividades Micro'!$K33&lt;&gt;""),'Atividades Micro'!$K33,"")</f>
        <v/>
      </c>
      <c r="CE33" s="21">
        <f>IF(AND('Atividades Micro'!$B33=CE$2,'Atividades Micro'!$G33="Micro",'Atividades Micro'!$K33&lt;&gt;""),'Atividades Micro'!$K33,"")</f>
        <v>46325</v>
      </c>
      <c r="CF33" s="21" t="str">
        <f>IF(AND('Atividades Micro'!$B33=CF$2,'Atividades Micro'!$G33="Micro",'Atividades Micro'!$K33&lt;&gt;""),'Atividades Micro'!$K33,"")</f>
        <v/>
      </c>
      <c r="CG33" s="21" t="str">
        <f>IF(AND('Atividades Micro'!$B33=CG$2,'Atividades Micro'!$G33="Micro",'Atividades Micro'!$K33&lt;&gt;""),'Atividades Micro'!$K33,"")</f>
        <v/>
      </c>
      <c r="CH33" s="21" t="str">
        <f>IF(AND('Atividades Micro'!$B33=CH$2,'Atividades Micro'!$G33="Micro",'Atividades Micro'!$K33&lt;&gt;""),'Atividades Micro'!$K33,"")</f>
        <v/>
      </c>
      <c r="CI33" s="21" t="str">
        <f>IF(AND('Atividades Micro'!$B33=CI$2,'Atividades Micro'!$G33="Micro",'Atividades Micro'!$K33&lt;&gt;""),'Atividades Micro'!$K33,"")</f>
        <v/>
      </c>
      <c r="CJ33" s="21" t="str">
        <f>IF(AND('Atividades Micro'!$B33=CJ$2,'Atividades Micro'!$G33="Micro",'Atividades Micro'!$K33&lt;&gt;""),'Atividades Micro'!$K33,"")</f>
        <v/>
      </c>
      <c r="CK33" s="21" t="str">
        <f>IF(AND('Atividades Micro'!$B33=CK$2,'Atividades Micro'!$G33="Micro",'Atividades Micro'!$K33&lt;&gt;""),'Atividades Micro'!$K33,"")</f>
        <v/>
      </c>
      <c r="CL33" s="21" t="str">
        <f>IF(AND('Atividades Micro'!$B33=CL$2,'Atividades Micro'!$G33="Micro",'Atividades Micro'!$K33&lt;&gt;""),'Atividades Micro'!$K33,"")</f>
        <v/>
      </c>
      <c r="CM33" s="21" t="str">
        <f>IF(AND('Atividades Micro'!$B33=CM$2,'Atividades Micro'!$G33="Micro",'Atividades Micro'!$K33&lt;&gt;""),'Atividades Micro'!$K33,"")</f>
        <v/>
      </c>
      <c r="CN33" s="21" t="str">
        <f>IF(AND('Atividades Micro'!$B33=CN$2,'Atividades Micro'!$G33="Micro",'Atividades Micro'!$K33&lt;&gt;""),'Atividades Micro'!$K33,"")</f>
        <v/>
      </c>
      <c r="CO33" s="21" t="str">
        <f>IF(AND('Atividades Micro'!$B33=CO$2,'Atividades Micro'!$G33="Micro",'Atividades Micro'!$K33&lt;&gt;""),'Atividades Micro'!$K33,"")</f>
        <v/>
      </c>
    </row>
    <row r="34" spans="1:93">
      <c r="A34" s="21" t="str">
        <f>IF(AND('Atividades Micro'!$A34=A$2,'Atividades Micro'!$K34&lt;&gt;""),'Atividades Micro'!$K34,"")</f>
        <v/>
      </c>
      <c r="B34" s="21" t="str">
        <f>IF(AND('Atividades Micro'!$A34=B$2,'Atividades Micro'!$L34&lt;&gt;""),'Atividades Micro'!$L34,"")</f>
        <v/>
      </c>
      <c r="C34" s="21" t="str">
        <f>IF(AND('Atividades Micro'!$A34=C$2,'Atividades Micro'!$K34&lt;&gt;""),'Atividades Micro'!$K34,"")</f>
        <v/>
      </c>
      <c r="D34" s="21" t="str">
        <f>IF(AND('Atividades Micro'!$A34=D$2,'Atividades Micro'!$L34&lt;&gt;""),'Atividades Micro'!$L34,"")</f>
        <v/>
      </c>
      <c r="E34" s="21" t="str">
        <f>IF(AND('Atividades Micro'!$A34=E$2,'Atividades Micro'!$K34&lt;&gt;""),'Atividades Micro'!$K34,"")</f>
        <v/>
      </c>
      <c r="F34" s="21" t="str">
        <f>IF(AND('Atividades Micro'!$A34=F$2,'Atividades Micro'!$L34&lt;&gt;""),'Atividades Micro'!$L34,"")</f>
        <v/>
      </c>
      <c r="G34" s="21" t="str">
        <f>IF(AND('Atividades Micro'!$A34=G$2,'Atividades Micro'!$K34&lt;&gt;""),'Atividades Micro'!$K34,"")</f>
        <v/>
      </c>
      <c r="H34" s="21" t="str">
        <f>IF(AND('Atividades Micro'!$A34=H$2,'Atividades Micro'!$L34&lt;&gt;""),'Atividades Micro'!$L34,"")</f>
        <v/>
      </c>
      <c r="I34" s="21">
        <f>IF(AND('Atividades Micro'!$A34=I$2,'Atividades Micro'!$K34&lt;&gt;""),'Atividades Micro'!$K34,"")</f>
        <v>46331</v>
      </c>
      <c r="J34" s="21">
        <f>IF(AND('Atividades Micro'!$A34=J$2,'Atividades Micro'!$L34&lt;&gt;""),'Atividades Micro'!$L34,"")</f>
        <v>46288</v>
      </c>
      <c r="K34" s="21" t="str">
        <f>IF(AND('Atividades Micro'!$B34=K$2,'Atividades Micro'!$K34&lt;&gt;""),'Atividades Micro'!$K34,"")</f>
        <v/>
      </c>
      <c r="L34" s="21" t="str">
        <f>IF(AND('Atividades Micro'!$B34=L$2,'Atividades Micro'!$L34&lt;&gt;""),'Atividades Micro'!$L34,"")</f>
        <v/>
      </c>
      <c r="M34" s="21">
        <f>IF(AND('Atividades Micro'!$B34=M$2,'Atividades Micro'!$K34&lt;&gt;""),'Atividades Micro'!$K34,"")</f>
        <v>46331</v>
      </c>
      <c r="N34" s="21">
        <f>IF(AND('Atividades Micro'!$B34=N$2,'Atividades Micro'!$L34&lt;&gt;""),'Atividades Micro'!$L34,"")</f>
        <v>46288</v>
      </c>
      <c r="O34" s="21" t="str">
        <f>IF(AND('Atividades Micro'!$A34=O$2,'Atividades Micro'!$K34&lt;&gt;""),'Atividades Micro'!$K34,"")</f>
        <v/>
      </c>
      <c r="P34" s="21" t="str">
        <f>IF(AND('Atividades Micro'!$A34=P$2,'Atividades Micro'!$L34&lt;&gt;""),'Atividades Micro'!$L34,"")</f>
        <v/>
      </c>
      <c r="Q34" s="21" t="str">
        <f>IF(AND('Atividades Micro'!$B34=Q$2,'Atividades Micro'!$K34&lt;&gt;""),'Atividades Micro'!$K34,"")</f>
        <v/>
      </c>
      <c r="R34" s="21" t="str">
        <f>IF(AND('Atividades Micro'!$B34=R$2,'Atividades Micro'!$L34&lt;&gt;""),'Atividades Micro'!$L34,"")</f>
        <v/>
      </c>
      <c r="S34" s="21" t="str">
        <f>IF(AND('Atividades Micro'!$A34=S$2,'Atividades Micro'!$K34&lt;&gt;""),'Atividades Micro'!$K34,"")</f>
        <v/>
      </c>
      <c r="T34" s="21" t="str">
        <f>IF(AND('Atividades Micro'!$A34=T$2,'Atividades Micro'!$L34&lt;&gt;""),'Atividades Micro'!$L34,"")</f>
        <v/>
      </c>
      <c r="U34" s="21" t="str">
        <f>IF(AND('Atividades Micro'!$B34=U$2,'Atividades Micro'!$K34&lt;&gt;""),'Atividades Micro'!$K34,"")</f>
        <v/>
      </c>
      <c r="V34" s="21" t="str">
        <f>IF(AND('Atividades Micro'!$B34=V$2,'Atividades Micro'!$L34&lt;&gt;""),'Atividades Micro'!$L34,"")</f>
        <v/>
      </c>
      <c r="W34" s="21" t="str">
        <f>IF(AND('Atividades Micro'!$B34=W$2,'Atividades Micro'!$K34&lt;&gt;""),'Atividades Micro'!$K34,"")</f>
        <v/>
      </c>
      <c r="X34" s="21" t="str">
        <f>IF(AND('Atividades Micro'!$B34=X$2,'Atividades Micro'!$L34&lt;&gt;""),'Atividades Micro'!$L34,"")</f>
        <v/>
      </c>
      <c r="Y34" s="21" t="str">
        <f>IF(AND('Atividades Micro'!$A34=Y$2,'Atividades Micro'!$K34&lt;&gt;""),'Atividades Micro'!$K34,"")</f>
        <v/>
      </c>
      <c r="Z34" s="21" t="str">
        <f>IF(AND('Atividades Micro'!$A34=Z$2,'Atividades Micro'!$L34&lt;&gt;""),'Atividades Micro'!$L34,"")</f>
        <v/>
      </c>
      <c r="AA34" s="21" t="str">
        <f>IF(AND('Atividades Micro'!$B34=AA$2,'Atividades Micro'!$K34&lt;&gt;""),'Atividades Micro'!$K34,"")</f>
        <v/>
      </c>
      <c r="AB34" s="21" t="str">
        <f>IF(AND('Atividades Micro'!$B34=AB$2,'Atividades Micro'!$L34&lt;&gt;""),'Atividades Micro'!$L34,"")</f>
        <v/>
      </c>
      <c r="AC34" s="21" t="str">
        <f>IF(AND('Atividades Micro'!$B34=AC$2,'Atividades Micro'!$K34&lt;&gt;""),'Atividades Micro'!$K34,"")</f>
        <v/>
      </c>
      <c r="AD34" s="21" t="str">
        <f>IF(AND('Atividades Micro'!$B34=AD$2,'Atividades Micro'!$L34&lt;&gt;""),'Atividades Micro'!$L34,"")</f>
        <v/>
      </c>
      <c r="AE34" s="21" t="str">
        <f>IF(AND('Atividades Micro'!$A34=AE$2,'Atividades Micro'!$K34&lt;&gt;""),'Atividades Micro'!$K34,"")</f>
        <v/>
      </c>
      <c r="AF34" s="21" t="str">
        <f>IF(AND('Atividades Micro'!$A34=AF$2,'Atividades Micro'!$L34&lt;&gt;""),'Atividades Micro'!$L34,"")</f>
        <v/>
      </c>
      <c r="AG34" s="21" t="str">
        <f>IF(AND('Atividades Micro'!$B34=AG$2,'Atividades Micro'!$K34&lt;&gt;""),'Atividades Micro'!$K34,"")</f>
        <v/>
      </c>
      <c r="AH34" s="21" t="str">
        <f>IF(AND('Atividades Micro'!$B34=AH$2,'Atividades Micro'!$L34&lt;&gt;""),'Atividades Micro'!$L34,"")</f>
        <v/>
      </c>
      <c r="AI34" s="21" t="str">
        <f>IF(AND('Atividades Micro'!$B34=AI$2,'Atividades Micro'!$K34&lt;&gt;""),'Atividades Micro'!$K34,"")</f>
        <v/>
      </c>
      <c r="AJ34" s="21" t="str">
        <f>IF(AND('Atividades Micro'!$B34=AJ$2,'Atividades Micro'!$L34&lt;&gt;""),'Atividades Micro'!$L34,"")</f>
        <v/>
      </c>
      <c r="AK34" s="21" t="str">
        <f>IF(AND('Atividades Micro'!$A34=AK$2,'Atividades Micro'!$K34&lt;&gt;""),'Atividades Micro'!$K34,"")</f>
        <v/>
      </c>
      <c r="AL34" s="21" t="str">
        <f>IF(AND('Atividades Micro'!$A34=AL$2,'Atividades Micro'!$L34&lt;&gt;""),'Atividades Micro'!$L34,"")</f>
        <v/>
      </c>
      <c r="AM34" s="21" t="str">
        <f>IF(AND('Atividades Micro'!$B34=AM$2,'Atividades Micro'!$K34&lt;&gt;""),'Atividades Micro'!$K34,"")</f>
        <v/>
      </c>
      <c r="AN34" s="21" t="str">
        <f>IF(AND('Atividades Micro'!$B34=AN$2,'Atividades Micro'!$L34&lt;&gt;""),'Atividades Micro'!$L34,"")</f>
        <v/>
      </c>
      <c r="AO34" s="21" t="str">
        <f>IF(AND('Atividades Micro'!$B34=AO$2,'Atividades Micro'!$K34&lt;&gt;""),'Atividades Micro'!$K34,"")</f>
        <v/>
      </c>
      <c r="AP34" s="21" t="str">
        <f>IF(AND('Atividades Micro'!$B34=AP$2,'Atividades Micro'!$L34&lt;&gt;""),'Atividades Micro'!$L34,"")</f>
        <v/>
      </c>
      <c r="AQ34" s="21" t="str">
        <f>IF(AND('Atividades Micro'!$A34=AQ$2,'Atividades Micro'!$K34&lt;&gt;""),'Atividades Micro'!$K34,"")</f>
        <v/>
      </c>
      <c r="AR34" s="21" t="str">
        <f>IF(AND('Atividades Micro'!$A34=AR$2,'Atividades Micro'!$L34&lt;&gt;""),'Atividades Micro'!$L34,"")</f>
        <v/>
      </c>
      <c r="AS34" s="21" t="str">
        <f>IF(AND('Atividades Micro'!$B34=AS$2,'Atividades Micro'!$K34&lt;&gt;""),'Atividades Micro'!$K34,"")</f>
        <v/>
      </c>
      <c r="AT34" s="21" t="str">
        <f>IF(AND('Atividades Micro'!$B34=AT$2,'Atividades Micro'!$L34&lt;&gt;""),'Atividades Micro'!$L34,"")</f>
        <v/>
      </c>
      <c r="AU34" s="21" t="str">
        <f>IF(AND('Atividades Micro'!$A34=AU$2,'Atividades Micro'!$K34&lt;&gt;""),'Atividades Micro'!$K34,"")</f>
        <v/>
      </c>
      <c r="AV34" s="21" t="str">
        <f>IF(AND('Atividades Micro'!$A34=AV$2,'Atividades Micro'!$L34&lt;&gt;""),'Atividades Micro'!$L34,"")</f>
        <v/>
      </c>
      <c r="AW34" s="21" t="str">
        <f>IF(AND('Atividades Micro'!$B34=AW$2,'Atividades Micro'!$K34&lt;&gt;""),'Atividades Micro'!$K34,"")</f>
        <v/>
      </c>
      <c r="AX34" s="21" t="str">
        <f>IF(AND('Atividades Micro'!$B34=AX$2,'Atividades Micro'!$L34&lt;&gt;""),'Atividades Micro'!$L34,"")</f>
        <v/>
      </c>
      <c r="AY34" s="21" t="str">
        <f>IF(AND('Atividades Micro'!$A34=AY$2,'Atividades Micro'!$K34&lt;&gt;""),'Atividades Micro'!$K34,"")</f>
        <v/>
      </c>
      <c r="AZ34" s="21" t="str">
        <f>IF(AND('Atividades Micro'!$A34=AZ$2,'Atividades Micro'!$L34&lt;&gt;""),'Atividades Micro'!$L34,"")</f>
        <v/>
      </c>
      <c r="BA34" s="21" t="str">
        <f>IF(AND('Atividades Micro'!$B34=BA$2,'Atividades Micro'!$K34&lt;&gt;""),'Atividades Micro'!$K34,"")</f>
        <v/>
      </c>
      <c r="BB34" s="21" t="str">
        <f>IF(AND('Atividades Micro'!$B34=BB$2,'Atividades Micro'!$L34&lt;&gt;""),'Atividades Micro'!$L34,"")</f>
        <v/>
      </c>
      <c r="BC34" s="21" t="str">
        <f>IF(AND('Atividades Micro'!$B34=BC$2,'Atividades Micro'!$G34="Macro",'Atividades Micro'!$K34&lt;&gt;""),'Atividades Micro'!$K34,"")</f>
        <v/>
      </c>
      <c r="BD34" s="21" t="str">
        <f>IF(AND('Atividades Micro'!$B34=BD$2,'Atividades Micro'!$G34="Macro",'Atividades Micro'!$K34&lt;&gt;""),'Atividades Micro'!$K34,"")</f>
        <v/>
      </c>
      <c r="BE34" s="21" t="str">
        <f>IF(AND('Atividades Micro'!$B34=BE$2,'Atividades Micro'!$G34="Macro",'Atividades Micro'!$K34&lt;&gt;""),'Atividades Micro'!$K34,"")</f>
        <v/>
      </c>
      <c r="BF34" s="21" t="str">
        <f>IF(AND('Atividades Micro'!$B34=BF$2,'Atividades Micro'!$G34="Macro",'Atividades Micro'!$K34&lt;&gt;""),'Atividades Micro'!$K34,"")</f>
        <v/>
      </c>
      <c r="BG34" s="21" t="str">
        <f>IF(AND('Atividades Micro'!$B34=BG$2,'Atividades Micro'!$G34="Macro",'Atividades Micro'!$K34&lt;&gt;""),'Atividades Micro'!$K34,"")</f>
        <v/>
      </c>
      <c r="BH34" s="21" t="str">
        <f>IF(AND('Atividades Micro'!$B34=BH$2,'Atividades Micro'!$G34="Macro",'Atividades Micro'!$K34&lt;&gt;""),'Atividades Micro'!$K34,"")</f>
        <v/>
      </c>
      <c r="BI34" s="21" t="str">
        <f>IF(AND('Atividades Micro'!$B34=BI$2,'Atividades Micro'!$G34="Macro",'Atividades Micro'!$K34&lt;&gt;""),'Atividades Micro'!$K34,"")</f>
        <v/>
      </c>
      <c r="BJ34" s="21" t="str">
        <f>IF(AND('Atividades Micro'!$B34=BJ$2,'Atividades Micro'!$G34="Macro",'Atividades Micro'!$K34&lt;&gt;""),'Atividades Micro'!$K34,"")</f>
        <v/>
      </c>
      <c r="BK34" s="21" t="str">
        <f>IF(AND('Atividades Micro'!$B34=BK$2,'Atividades Micro'!$G34="Macro",'Atividades Micro'!$K34&lt;&gt;""),'Atividades Micro'!$K34,"")</f>
        <v/>
      </c>
      <c r="BL34" s="21" t="str">
        <f>IF(AND('Atividades Micro'!$B34=BL$2,'Atividades Micro'!$G34="Macro",'Atividades Micro'!$K34&lt;&gt;""),'Atividades Micro'!$K34,"")</f>
        <v/>
      </c>
      <c r="BM34" s="21" t="str">
        <f>IF(AND('Atividades Micro'!$B34=BM$2,'Atividades Micro'!$G34="Macro",'Atividades Micro'!$K34&lt;&gt;""),'Atividades Micro'!$K34,"")</f>
        <v/>
      </c>
      <c r="BN34" s="21" t="str">
        <f>IF(AND('Atividades Micro'!$B34=BN$2,'Atividades Micro'!$G34="Macro",'Atividades Micro'!$K34&lt;&gt;""),'Atividades Micro'!$K34,"")</f>
        <v/>
      </c>
      <c r="BO34" s="21" t="str">
        <f>IF(AND('Atividades Micro'!$B34=BO$2,'Atividades Micro'!$G34="Macro",'Atividades Micro'!$K34&lt;&gt;""),'Atividades Micro'!$K34,"")</f>
        <v/>
      </c>
      <c r="BP34" s="21" t="str">
        <f>IF(AND('Atividades Micro'!$B34=BP$2,'Atividades Micro'!$G34="Macro",'Atividades Micro'!$K34&lt;&gt;""),'Atividades Micro'!$K34,"")</f>
        <v/>
      </c>
      <c r="BQ34" s="21" t="str">
        <f>IF(AND('Atividades Micro'!$B34=BQ$2,'Atividades Micro'!$G34="Macro",'Atividades Micro'!$K34&lt;&gt;""),'Atividades Micro'!$K34,"")</f>
        <v/>
      </c>
      <c r="BR34" s="21" t="str">
        <f>IF(AND('Atividades Micro'!$B34=BR$2,'Atividades Micro'!$G34="Macro",'Atividades Micro'!$K34&lt;&gt;""),'Atividades Micro'!$K34,"")</f>
        <v/>
      </c>
      <c r="BS34" s="21" t="str">
        <f>IF(AND('Atividades Micro'!$B34=BS$2,'Atividades Micro'!$G34="Macro",'Atividades Micro'!$K34&lt;&gt;""),'Atividades Micro'!$K34,"")</f>
        <v/>
      </c>
      <c r="BT34" s="21" t="str">
        <f>IF(AND('Atividades Micro'!$B34=BT$2,'Atividades Micro'!$G34="Macro",'Atividades Micro'!$K34&lt;&gt;""),'Atividades Micro'!$K34,"")</f>
        <v/>
      </c>
      <c r="BU34" s="21" t="str">
        <f>IF(AND('Atividades Micro'!$B34=BU$2,'Atividades Micro'!$G34="Macro",'Atividades Micro'!$K34&lt;&gt;""),'Atividades Micro'!$K34,"")</f>
        <v/>
      </c>
      <c r="BV34" s="21" t="str">
        <f>IF(AND('Atividades Micro'!$B34=BV$2,'Atividades Micro'!$G34="Macro",'Atividades Micro'!$K34&lt;&gt;""),'Atividades Micro'!$K34,"")</f>
        <v/>
      </c>
      <c r="BW34" s="21" t="str">
        <f>IF(AND('Atividades Micro'!$B34=BW$2,'Atividades Micro'!$G34="Macro",'Atividades Micro'!$K34&lt;&gt;""),'Atividades Micro'!$K34,"")</f>
        <v/>
      </c>
      <c r="BX34" s="21" t="str">
        <f>IF(AND('Atividades Micro'!$B34=BX$2,'Atividades Micro'!$G34="Macro",'Atividades Micro'!$K34&lt;&gt;""),'Atividades Micro'!$K34,"")</f>
        <v/>
      </c>
      <c r="BY34" s="21" t="str">
        <f>IF(AND('Atividades Micro'!$B34=BY$2,'Atividades Micro'!$G34="Macro",'Atividades Micro'!$K34&lt;&gt;""),'Atividades Micro'!$K34,"")</f>
        <v/>
      </c>
      <c r="BZ34" s="21" t="str">
        <f>IF(AND('Atividades Micro'!$B34=BZ$2,'Atividades Micro'!$G34="Macro",'Atividades Micro'!$K34&lt;&gt;""),'Atividades Micro'!$K34,"")</f>
        <v/>
      </c>
      <c r="CA34" s="21" t="str">
        <f>IF(AND('Atividades Micro'!$B34=CA$2,'Atividades Micro'!$G34="Macro",'Atividades Micro'!$K34&lt;&gt;""),'Atividades Micro'!$K34,"")</f>
        <v/>
      </c>
      <c r="CB34" s="21" t="str">
        <f>IF(AND('Atividades Micro'!$B34=CB$2,'Atividades Micro'!$G34="Macro",'Atividades Micro'!$K34&lt;&gt;""),'Atividades Micro'!$K34,"")</f>
        <v/>
      </c>
      <c r="CC34" s="21" t="str">
        <f>IF(AND('Atividades Micro'!$B34=CC$2,'Atividades Micro'!$G34="Macro",'Atividades Micro'!$K34&lt;&gt;""),'Atividades Micro'!$K34,"")</f>
        <v/>
      </c>
      <c r="CD34" s="21" t="str">
        <f>IF(AND('Atividades Micro'!$B34=CD$2,'Atividades Micro'!$G34="Micro",'Atividades Micro'!$K34&lt;&gt;""),'Atividades Micro'!$K34,"")</f>
        <v/>
      </c>
      <c r="CE34" s="21">
        <f>IF(AND('Atividades Micro'!$B34=CE$2,'Atividades Micro'!$G34="Micro",'Atividades Micro'!$K34&lt;&gt;""),'Atividades Micro'!$K34,"")</f>
        <v>46331</v>
      </c>
      <c r="CF34" s="21" t="str">
        <f>IF(AND('Atividades Micro'!$B34=CF$2,'Atividades Micro'!$G34="Micro",'Atividades Micro'!$K34&lt;&gt;""),'Atividades Micro'!$K34,"")</f>
        <v/>
      </c>
      <c r="CG34" s="21" t="str">
        <f>IF(AND('Atividades Micro'!$B34=CG$2,'Atividades Micro'!$G34="Micro",'Atividades Micro'!$K34&lt;&gt;""),'Atividades Micro'!$K34,"")</f>
        <v/>
      </c>
      <c r="CH34" s="21" t="str">
        <f>IF(AND('Atividades Micro'!$B34=CH$2,'Atividades Micro'!$G34="Micro",'Atividades Micro'!$K34&lt;&gt;""),'Atividades Micro'!$K34,"")</f>
        <v/>
      </c>
      <c r="CI34" s="21" t="str">
        <f>IF(AND('Atividades Micro'!$B34=CI$2,'Atividades Micro'!$G34="Micro",'Atividades Micro'!$K34&lt;&gt;""),'Atividades Micro'!$K34,"")</f>
        <v/>
      </c>
      <c r="CJ34" s="21" t="str">
        <f>IF(AND('Atividades Micro'!$B34=CJ$2,'Atividades Micro'!$G34="Micro",'Atividades Micro'!$K34&lt;&gt;""),'Atividades Micro'!$K34,"")</f>
        <v/>
      </c>
      <c r="CK34" s="21" t="str">
        <f>IF(AND('Atividades Micro'!$B34=CK$2,'Atividades Micro'!$G34="Micro",'Atividades Micro'!$K34&lt;&gt;""),'Atividades Micro'!$K34,"")</f>
        <v/>
      </c>
      <c r="CL34" s="21" t="str">
        <f>IF(AND('Atividades Micro'!$B34=CL$2,'Atividades Micro'!$G34="Micro",'Atividades Micro'!$K34&lt;&gt;""),'Atividades Micro'!$K34,"")</f>
        <v/>
      </c>
      <c r="CM34" s="21" t="str">
        <f>IF(AND('Atividades Micro'!$B34=CM$2,'Atividades Micro'!$G34="Micro",'Atividades Micro'!$K34&lt;&gt;""),'Atividades Micro'!$K34,"")</f>
        <v/>
      </c>
      <c r="CN34" s="21" t="str">
        <f>IF(AND('Atividades Micro'!$B34=CN$2,'Atividades Micro'!$G34="Micro",'Atividades Micro'!$K34&lt;&gt;""),'Atividades Micro'!$K34,"")</f>
        <v/>
      </c>
      <c r="CO34" s="21" t="str">
        <f>IF(AND('Atividades Micro'!$B34=CO$2,'Atividades Micro'!$G34="Micro",'Atividades Micro'!$K34&lt;&gt;""),'Atividades Micro'!$K34,"")</f>
        <v/>
      </c>
    </row>
    <row r="35" spans="1:93">
      <c r="A35" s="21" t="str">
        <f>IF(AND('Atividades Micro'!$A35=A$2,'Atividades Micro'!$K35&lt;&gt;""),'Atividades Micro'!$K35,"")</f>
        <v/>
      </c>
      <c r="B35" s="21" t="str">
        <f>IF(AND('Atividades Micro'!$A35=B$2,'Atividades Micro'!$L35&lt;&gt;""),'Atividades Micro'!$L35,"")</f>
        <v/>
      </c>
      <c r="C35" s="21" t="str">
        <f>IF(AND('Atividades Micro'!$A35=C$2,'Atividades Micro'!$K35&lt;&gt;""),'Atividades Micro'!$K35,"")</f>
        <v/>
      </c>
      <c r="D35" s="21" t="str">
        <f>IF(AND('Atividades Micro'!$A35=D$2,'Atividades Micro'!$L35&lt;&gt;""),'Atividades Micro'!$L35,"")</f>
        <v/>
      </c>
      <c r="E35" s="21" t="str">
        <f>IF(AND('Atividades Micro'!$A35=E$2,'Atividades Micro'!$K35&lt;&gt;""),'Atividades Micro'!$K35,"")</f>
        <v/>
      </c>
      <c r="F35" s="21" t="str">
        <f>IF(AND('Atividades Micro'!$A35=F$2,'Atividades Micro'!$L35&lt;&gt;""),'Atividades Micro'!$L35,"")</f>
        <v/>
      </c>
      <c r="G35" s="21" t="str">
        <f>IF(AND('Atividades Micro'!$A35=G$2,'Atividades Micro'!$K35&lt;&gt;""),'Atividades Micro'!$K35,"")</f>
        <v/>
      </c>
      <c r="H35" s="21" t="str">
        <f>IF(AND('Atividades Micro'!$A35=H$2,'Atividades Micro'!$L35&lt;&gt;""),'Atividades Micro'!$L35,"")</f>
        <v/>
      </c>
      <c r="I35" s="21">
        <f>IF(AND('Atividades Micro'!$A35=I$2,'Atividades Micro'!$K35&lt;&gt;""),'Atividades Micro'!$K35,"")</f>
        <v>46338</v>
      </c>
      <c r="J35" s="21" t="str">
        <f>IF(AND('Atividades Micro'!$A35=J$2,'Atividades Micro'!$L35&lt;&gt;""),'Atividades Micro'!$L35,"")</f>
        <v/>
      </c>
      <c r="K35" s="21" t="str">
        <f>IF(AND('Atividades Micro'!$B35=K$2,'Atividades Micro'!$K35&lt;&gt;""),'Atividades Micro'!$K35,"")</f>
        <v/>
      </c>
      <c r="L35" s="21" t="str">
        <f>IF(AND('Atividades Micro'!$B35=L$2,'Atividades Micro'!$L35&lt;&gt;""),'Atividades Micro'!$L35,"")</f>
        <v/>
      </c>
      <c r="M35" s="21">
        <f>IF(AND('Atividades Micro'!$B35=M$2,'Atividades Micro'!$K35&lt;&gt;""),'Atividades Micro'!$K35,"")</f>
        <v>46338</v>
      </c>
      <c r="N35" s="21" t="str">
        <f>IF(AND('Atividades Micro'!$B35=N$2,'Atividades Micro'!$L35&lt;&gt;""),'Atividades Micro'!$L35,"")</f>
        <v/>
      </c>
      <c r="O35" s="21" t="str">
        <f>IF(AND('Atividades Micro'!$A35=O$2,'Atividades Micro'!$K35&lt;&gt;""),'Atividades Micro'!$K35,"")</f>
        <v/>
      </c>
      <c r="P35" s="21" t="str">
        <f>IF(AND('Atividades Micro'!$A35=P$2,'Atividades Micro'!$L35&lt;&gt;""),'Atividades Micro'!$L35,"")</f>
        <v/>
      </c>
      <c r="Q35" s="21" t="str">
        <f>IF(AND('Atividades Micro'!$B35=Q$2,'Atividades Micro'!$K35&lt;&gt;""),'Atividades Micro'!$K35,"")</f>
        <v/>
      </c>
      <c r="R35" s="21" t="str">
        <f>IF(AND('Atividades Micro'!$B35=R$2,'Atividades Micro'!$L35&lt;&gt;""),'Atividades Micro'!$L35,"")</f>
        <v/>
      </c>
      <c r="S35" s="21" t="str">
        <f>IF(AND('Atividades Micro'!$A35=S$2,'Atividades Micro'!$K35&lt;&gt;""),'Atividades Micro'!$K35,"")</f>
        <v/>
      </c>
      <c r="T35" s="21" t="str">
        <f>IF(AND('Atividades Micro'!$A35=T$2,'Atividades Micro'!$L35&lt;&gt;""),'Atividades Micro'!$L35,"")</f>
        <v/>
      </c>
      <c r="U35" s="21" t="str">
        <f>IF(AND('Atividades Micro'!$B35=U$2,'Atividades Micro'!$K35&lt;&gt;""),'Atividades Micro'!$K35,"")</f>
        <v/>
      </c>
      <c r="V35" s="21" t="str">
        <f>IF(AND('Atividades Micro'!$B35=V$2,'Atividades Micro'!$L35&lt;&gt;""),'Atividades Micro'!$L35,"")</f>
        <v/>
      </c>
      <c r="W35" s="21" t="str">
        <f>IF(AND('Atividades Micro'!$B35=W$2,'Atividades Micro'!$K35&lt;&gt;""),'Atividades Micro'!$K35,"")</f>
        <v/>
      </c>
      <c r="X35" s="21" t="str">
        <f>IF(AND('Atividades Micro'!$B35=X$2,'Atividades Micro'!$L35&lt;&gt;""),'Atividades Micro'!$L35,"")</f>
        <v/>
      </c>
      <c r="Y35" s="21" t="str">
        <f>IF(AND('Atividades Micro'!$A35=Y$2,'Atividades Micro'!$K35&lt;&gt;""),'Atividades Micro'!$K35,"")</f>
        <v/>
      </c>
      <c r="Z35" s="21" t="str">
        <f>IF(AND('Atividades Micro'!$A35=Z$2,'Atividades Micro'!$L35&lt;&gt;""),'Atividades Micro'!$L35,"")</f>
        <v/>
      </c>
      <c r="AA35" s="21" t="str">
        <f>IF(AND('Atividades Micro'!$B35=AA$2,'Atividades Micro'!$K35&lt;&gt;""),'Atividades Micro'!$K35,"")</f>
        <v/>
      </c>
      <c r="AB35" s="21" t="str">
        <f>IF(AND('Atividades Micro'!$B35=AB$2,'Atividades Micro'!$L35&lt;&gt;""),'Atividades Micro'!$L35,"")</f>
        <v/>
      </c>
      <c r="AC35" s="21" t="str">
        <f>IF(AND('Atividades Micro'!$B35=AC$2,'Atividades Micro'!$K35&lt;&gt;""),'Atividades Micro'!$K35,"")</f>
        <v/>
      </c>
      <c r="AD35" s="21" t="str">
        <f>IF(AND('Atividades Micro'!$B35=AD$2,'Atividades Micro'!$L35&lt;&gt;""),'Atividades Micro'!$L35,"")</f>
        <v/>
      </c>
      <c r="AE35" s="21" t="str">
        <f>IF(AND('Atividades Micro'!$A35=AE$2,'Atividades Micro'!$K35&lt;&gt;""),'Atividades Micro'!$K35,"")</f>
        <v/>
      </c>
      <c r="AF35" s="21" t="str">
        <f>IF(AND('Atividades Micro'!$A35=AF$2,'Atividades Micro'!$L35&lt;&gt;""),'Atividades Micro'!$L35,"")</f>
        <v/>
      </c>
      <c r="AG35" s="21" t="str">
        <f>IF(AND('Atividades Micro'!$B35=AG$2,'Atividades Micro'!$K35&lt;&gt;""),'Atividades Micro'!$K35,"")</f>
        <v/>
      </c>
      <c r="AH35" s="21" t="str">
        <f>IF(AND('Atividades Micro'!$B35=AH$2,'Atividades Micro'!$L35&lt;&gt;""),'Atividades Micro'!$L35,"")</f>
        <v/>
      </c>
      <c r="AI35" s="21" t="str">
        <f>IF(AND('Atividades Micro'!$B35=AI$2,'Atividades Micro'!$K35&lt;&gt;""),'Atividades Micro'!$K35,"")</f>
        <v/>
      </c>
      <c r="AJ35" s="21" t="str">
        <f>IF(AND('Atividades Micro'!$B35=AJ$2,'Atividades Micro'!$L35&lt;&gt;""),'Atividades Micro'!$L35,"")</f>
        <v/>
      </c>
      <c r="AK35" s="21" t="str">
        <f>IF(AND('Atividades Micro'!$A35=AK$2,'Atividades Micro'!$K35&lt;&gt;""),'Atividades Micro'!$K35,"")</f>
        <v/>
      </c>
      <c r="AL35" s="21" t="str">
        <f>IF(AND('Atividades Micro'!$A35=AL$2,'Atividades Micro'!$L35&lt;&gt;""),'Atividades Micro'!$L35,"")</f>
        <v/>
      </c>
      <c r="AM35" s="21" t="str">
        <f>IF(AND('Atividades Micro'!$B35=AM$2,'Atividades Micro'!$K35&lt;&gt;""),'Atividades Micro'!$K35,"")</f>
        <v/>
      </c>
      <c r="AN35" s="21" t="str">
        <f>IF(AND('Atividades Micro'!$B35=AN$2,'Atividades Micro'!$L35&lt;&gt;""),'Atividades Micro'!$L35,"")</f>
        <v/>
      </c>
      <c r="AO35" s="21" t="str">
        <f>IF(AND('Atividades Micro'!$B35=AO$2,'Atividades Micro'!$K35&lt;&gt;""),'Atividades Micro'!$K35,"")</f>
        <v/>
      </c>
      <c r="AP35" s="21" t="str">
        <f>IF(AND('Atividades Micro'!$B35=AP$2,'Atividades Micro'!$L35&lt;&gt;""),'Atividades Micro'!$L35,"")</f>
        <v/>
      </c>
      <c r="AQ35" s="21" t="str">
        <f>IF(AND('Atividades Micro'!$A35=AQ$2,'Atividades Micro'!$K35&lt;&gt;""),'Atividades Micro'!$K35,"")</f>
        <v/>
      </c>
      <c r="AR35" s="21" t="str">
        <f>IF(AND('Atividades Micro'!$A35=AR$2,'Atividades Micro'!$L35&lt;&gt;""),'Atividades Micro'!$L35,"")</f>
        <v/>
      </c>
      <c r="AS35" s="21" t="str">
        <f>IF(AND('Atividades Micro'!$B35=AS$2,'Atividades Micro'!$K35&lt;&gt;""),'Atividades Micro'!$K35,"")</f>
        <v/>
      </c>
      <c r="AT35" s="21" t="str">
        <f>IF(AND('Atividades Micro'!$B35=AT$2,'Atividades Micro'!$L35&lt;&gt;""),'Atividades Micro'!$L35,"")</f>
        <v/>
      </c>
      <c r="AU35" s="21" t="str">
        <f>IF(AND('Atividades Micro'!$A35=AU$2,'Atividades Micro'!$K35&lt;&gt;""),'Atividades Micro'!$K35,"")</f>
        <v/>
      </c>
      <c r="AV35" s="21" t="str">
        <f>IF(AND('Atividades Micro'!$A35=AV$2,'Atividades Micro'!$L35&lt;&gt;""),'Atividades Micro'!$L35,"")</f>
        <v/>
      </c>
      <c r="AW35" s="21" t="str">
        <f>IF(AND('Atividades Micro'!$B35=AW$2,'Atividades Micro'!$K35&lt;&gt;""),'Atividades Micro'!$K35,"")</f>
        <v/>
      </c>
      <c r="AX35" s="21" t="str">
        <f>IF(AND('Atividades Micro'!$B35=AX$2,'Atividades Micro'!$L35&lt;&gt;""),'Atividades Micro'!$L35,"")</f>
        <v/>
      </c>
      <c r="AY35" s="21" t="str">
        <f>IF(AND('Atividades Micro'!$A35=AY$2,'Atividades Micro'!$K35&lt;&gt;""),'Atividades Micro'!$K35,"")</f>
        <v/>
      </c>
      <c r="AZ35" s="21" t="str">
        <f>IF(AND('Atividades Micro'!$A35=AZ$2,'Atividades Micro'!$L35&lt;&gt;""),'Atividades Micro'!$L35,"")</f>
        <v/>
      </c>
      <c r="BA35" s="21" t="str">
        <f>IF(AND('Atividades Micro'!$B35=BA$2,'Atividades Micro'!$K35&lt;&gt;""),'Atividades Micro'!$K35,"")</f>
        <v/>
      </c>
      <c r="BB35" s="21" t="str">
        <f>IF(AND('Atividades Micro'!$B35=BB$2,'Atividades Micro'!$L35&lt;&gt;""),'Atividades Micro'!$L35,"")</f>
        <v/>
      </c>
      <c r="BC35" s="21" t="str">
        <f>IF(AND('Atividades Micro'!$B35=BC$2,'Atividades Micro'!$G35="Macro",'Atividades Micro'!$K35&lt;&gt;""),'Atividades Micro'!$K35,"")</f>
        <v/>
      </c>
      <c r="BD35" s="21" t="str">
        <f>IF(AND('Atividades Micro'!$B35=BD$2,'Atividades Micro'!$G35="Macro",'Atividades Micro'!$K35&lt;&gt;""),'Atividades Micro'!$K35,"")</f>
        <v/>
      </c>
      <c r="BE35" s="21" t="str">
        <f>IF(AND('Atividades Micro'!$B35=BE$2,'Atividades Micro'!$G35="Macro",'Atividades Micro'!$K35&lt;&gt;""),'Atividades Micro'!$K35,"")</f>
        <v/>
      </c>
      <c r="BF35" s="21" t="str">
        <f>IF(AND('Atividades Micro'!$B35=BF$2,'Atividades Micro'!$G35="Macro",'Atividades Micro'!$K35&lt;&gt;""),'Atividades Micro'!$K35,"")</f>
        <v/>
      </c>
      <c r="BG35" s="21" t="str">
        <f>IF(AND('Atividades Micro'!$B35=BG$2,'Atividades Micro'!$G35="Macro",'Atividades Micro'!$K35&lt;&gt;""),'Atividades Micro'!$K35,"")</f>
        <v/>
      </c>
      <c r="BH35" s="21" t="str">
        <f>IF(AND('Atividades Micro'!$B35=BH$2,'Atividades Micro'!$G35="Macro",'Atividades Micro'!$K35&lt;&gt;""),'Atividades Micro'!$K35,"")</f>
        <v/>
      </c>
      <c r="BI35" s="21" t="str">
        <f>IF(AND('Atividades Micro'!$B35=BI$2,'Atividades Micro'!$G35="Macro",'Atividades Micro'!$K35&lt;&gt;""),'Atividades Micro'!$K35,"")</f>
        <v/>
      </c>
      <c r="BJ35" s="21" t="str">
        <f>IF(AND('Atividades Micro'!$B35=BJ$2,'Atividades Micro'!$G35="Macro",'Atividades Micro'!$K35&lt;&gt;""),'Atividades Micro'!$K35,"")</f>
        <v/>
      </c>
      <c r="BK35" s="21" t="str">
        <f>IF(AND('Atividades Micro'!$B35=BK$2,'Atividades Micro'!$G35="Macro",'Atividades Micro'!$K35&lt;&gt;""),'Atividades Micro'!$K35,"")</f>
        <v/>
      </c>
      <c r="BL35" s="21" t="str">
        <f>IF(AND('Atividades Micro'!$B35=BL$2,'Atividades Micro'!$G35="Macro",'Atividades Micro'!$K35&lt;&gt;""),'Atividades Micro'!$K35,"")</f>
        <v/>
      </c>
      <c r="BM35" s="21" t="str">
        <f>IF(AND('Atividades Micro'!$B35=BM$2,'Atividades Micro'!$G35="Macro",'Atividades Micro'!$K35&lt;&gt;""),'Atividades Micro'!$K35,"")</f>
        <v/>
      </c>
      <c r="BN35" s="21" t="str">
        <f>IF(AND('Atividades Micro'!$B35=BN$2,'Atividades Micro'!$G35="Macro",'Atividades Micro'!$K35&lt;&gt;""),'Atividades Micro'!$K35,"")</f>
        <v/>
      </c>
      <c r="BO35" s="21" t="str">
        <f>IF(AND('Atividades Micro'!$B35=BO$2,'Atividades Micro'!$G35="Macro",'Atividades Micro'!$K35&lt;&gt;""),'Atividades Micro'!$K35,"")</f>
        <v/>
      </c>
      <c r="BP35" s="21" t="str">
        <f>IF(AND('Atividades Micro'!$B35=BP$2,'Atividades Micro'!$G35="Macro",'Atividades Micro'!$K35&lt;&gt;""),'Atividades Micro'!$K35,"")</f>
        <v/>
      </c>
      <c r="BQ35" s="21" t="str">
        <f>IF(AND('Atividades Micro'!$B35=BQ$2,'Atividades Micro'!$G35="Macro",'Atividades Micro'!$K35&lt;&gt;""),'Atividades Micro'!$K35,"")</f>
        <v/>
      </c>
      <c r="BR35" s="21" t="str">
        <f>IF(AND('Atividades Micro'!$B35=BR$2,'Atividades Micro'!$G35="Macro",'Atividades Micro'!$K35&lt;&gt;""),'Atividades Micro'!$K35,"")</f>
        <v/>
      </c>
      <c r="BS35" s="21" t="str">
        <f>IF(AND('Atividades Micro'!$B35=BS$2,'Atividades Micro'!$G35="Macro",'Atividades Micro'!$K35&lt;&gt;""),'Atividades Micro'!$K35,"")</f>
        <v/>
      </c>
      <c r="BT35" s="21" t="str">
        <f>IF(AND('Atividades Micro'!$B35=BT$2,'Atividades Micro'!$G35="Macro",'Atividades Micro'!$K35&lt;&gt;""),'Atividades Micro'!$K35,"")</f>
        <v/>
      </c>
      <c r="BU35" s="21" t="str">
        <f>IF(AND('Atividades Micro'!$B35=BU$2,'Atividades Micro'!$G35="Macro",'Atividades Micro'!$K35&lt;&gt;""),'Atividades Micro'!$K35,"")</f>
        <v/>
      </c>
      <c r="BV35" s="21" t="str">
        <f>IF(AND('Atividades Micro'!$B35=BV$2,'Atividades Micro'!$G35="Macro",'Atividades Micro'!$K35&lt;&gt;""),'Atividades Micro'!$K35,"")</f>
        <v/>
      </c>
      <c r="BW35" s="21" t="str">
        <f>IF(AND('Atividades Micro'!$B35=BW$2,'Atividades Micro'!$G35="Macro",'Atividades Micro'!$K35&lt;&gt;""),'Atividades Micro'!$K35,"")</f>
        <v/>
      </c>
      <c r="BX35" s="21" t="str">
        <f>IF(AND('Atividades Micro'!$B35=BX$2,'Atividades Micro'!$G35="Macro",'Atividades Micro'!$K35&lt;&gt;""),'Atividades Micro'!$K35,"")</f>
        <v/>
      </c>
      <c r="BY35" s="21" t="str">
        <f>IF(AND('Atividades Micro'!$B35=BY$2,'Atividades Micro'!$G35="Macro",'Atividades Micro'!$K35&lt;&gt;""),'Atividades Micro'!$K35,"")</f>
        <v/>
      </c>
      <c r="BZ35" s="21" t="str">
        <f>IF(AND('Atividades Micro'!$B35=BZ$2,'Atividades Micro'!$G35="Macro",'Atividades Micro'!$K35&lt;&gt;""),'Atividades Micro'!$K35,"")</f>
        <v/>
      </c>
      <c r="CA35" s="21" t="str">
        <f>IF(AND('Atividades Micro'!$B35=CA$2,'Atividades Micro'!$G35="Macro",'Atividades Micro'!$K35&lt;&gt;""),'Atividades Micro'!$K35,"")</f>
        <v/>
      </c>
      <c r="CB35" s="21" t="str">
        <f>IF(AND('Atividades Micro'!$B35=CB$2,'Atividades Micro'!$G35="Macro",'Atividades Micro'!$K35&lt;&gt;""),'Atividades Micro'!$K35,"")</f>
        <v/>
      </c>
      <c r="CC35" s="21" t="str">
        <f>IF(AND('Atividades Micro'!$B35=CC$2,'Atividades Micro'!$G35="Macro",'Atividades Micro'!$K35&lt;&gt;""),'Atividades Micro'!$K35,"")</f>
        <v/>
      </c>
      <c r="CD35" s="21" t="str">
        <f>IF(AND('Atividades Micro'!$B35=CD$2,'Atividades Micro'!$G35="Micro",'Atividades Micro'!$K35&lt;&gt;""),'Atividades Micro'!$K35,"")</f>
        <v/>
      </c>
      <c r="CE35" s="21">
        <f>IF(AND('Atividades Micro'!$B35=CE$2,'Atividades Micro'!$G35="Micro",'Atividades Micro'!$K35&lt;&gt;""),'Atividades Micro'!$K35,"")</f>
        <v>46338</v>
      </c>
      <c r="CF35" s="21" t="str">
        <f>IF(AND('Atividades Micro'!$B35=CF$2,'Atividades Micro'!$G35="Micro",'Atividades Micro'!$K35&lt;&gt;""),'Atividades Micro'!$K35,"")</f>
        <v/>
      </c>
      <c r="CG35" s="21" t="str">
        <f>IF(AND('Atividades Micro'!$B35=CG$2,'Atividades Micro'!$G35="Micro",'Atividades Micro'!$K35&lt;&gt;""),'Atividades Micro'!$K35,"")</f>
        <v/>
      </c>
      <c r="CH35" s="21" t="str">
        <f>IF(AND('Atividades Micro'!$B35=CH$2,'Atividades Micro'!$G35="Micro",'Atividades Micro'!$K35&lt;&gt;""),'Atividades Micro'!$K35,"")</f>
        <v/>
      </c>
      <c r="CI35" s="21" t="str">
        <f>IF(AND('Atividades Micro'!$B35=CI$2,'Atividades Micro'!$G35="Micro",'Atividades Micro'!$K35&lt;&gt;""),'Atividades Micro'!$K35,"")</f>
        <v/>
      </c>
      <c r="CJ35" s="21" t="str">
        <f>IF(AND('Atividades Micro'!$B35=CJ$2,'Atividades Micro'!$G35="Micro",'Atividades Micro'!$K35&lt;&gt;""),'Atividades Micro'!$K35,"")</f>
        <v/>
      </c>
      <c r="CK35" s="21" t="str">
        <f>IF(AND('Atividades Micro'!$B35=CK$2,'Atividades Micro'!$G35="Micro",'Atividades Micro'!$K35&lt;&gt;""),'Atividades Micro'!$K35,"")</f>
        <v/>
      </c>
      <c r="CL35" s="21" t="str">
        <f>IF(AND('Atividades Micro'!$B35=CL$2,'Atividades Micro'!$G35="Micro",'Atividades Micro'!$K35&lt;&gt;""),'Atividades Micro'!$K35,"")</f>
        <v/>
      </c>
      <c r="CM35" s="21" t="str">
        <f>IF(AND('Atividades Micro'!$B35=CM$2,'Atividades Micro'!$G35="Micro",'Atividades Micro'!$K35&lt;&gt;""),'Atividades Micro'!$K35,"")</f>
        <v/>
      </c>
      <c r="CN35" s="21" t="str">
        <f>IF(AND('Atividades Micro'!$B35=CN$2,'Atividades Micro'!$G35="Micro",'Atividades Micro'!$K35&lt;&gt;""),'Atividades Micro'!$K35,"")</f>
        <v/>
      </c>
      <c r="CO35" s="21" t="str">
        <f>IF(AND('Atividades Micro'!$B35=CO$2,'Atividades Micro'!$G35="Micro",'Atividades Micro'!$K35&lt;&gt;""),'Atividades Micro'!$K35,"")</f>
        <v/>
      </c>
    </row>
    <row r="36" spans="1:93">
      <c r="A36" s="21" t="str">
        <f>IF(AND('Atividades Micro'!$A36=A$2,'Atividades Micro'!$K36&lt;&gt;""),'Atividades Micro'!$K36,"")</f>
        <v/>
      </c>
      <c r="B36" s="21" t="str">
        <f>IF(AND('Atividades Micro'!$A36=B$2,'Atividades Micro'!$L36&lt;&gt;""),'Atividades Micro'!$L36,"")</f>
        <v/>
      </c>
      <c r="C36" s="21" t="str">
        <f>IF(AND('Atividades Micro'!$A36=C$2,'Atividades Micro'!$K36&lt;&gt;""),'Atividades Micro'!$K36,"")</f>
        <v/>
      </c>
      <c r="D36" s="21" t="str">
        <f>IF(AND('Atividades Micro'!$A36=D$2,'Atividades Micro'!$L36&lt;&gt;""),'Atividades Micro'!$L36,"")</f>
        <v/>
      </c>
      <c r="E36" s="21" t="str">
        <f>IF(AND('Atividades Micro'!$A36=E$2,'Atividades Micro'!$K36&lt;&gt;""),'Atividades Micro'!$K36,"")</f>
        <v/>
      </c>
      <c r="F36" s="21" t="str">
        <f>IF(AND('Atividades Micro'!$A36=F$2,'Atividades Micro'!$L36&lt;&gt;""),'Atividades Micro'!$L36,"")</f>
        <v/>
      </c>
      <c r="G36" s="21" t="str">
        <f>IF(AND('Atividades Micro'!$A36=G$2,'Atividades Micro'!$K36&lt;&gt;""),'Atividades Micro'!$K36,"")</f>
        <v/>
      </c>
      <c r="H36" s="21" t="str">
        <f>IF(AND('Atividades Micro'!$A36=H$2,'Atividades Micro'!$L36&lt;&gt;""),'Atividades Micro'!$L36,"")</f>
        <v/>
      </c>
      <c r="I36" s="21">
        <f>IF(AND('Atividades Micro'!$A36=I$2,'Atividades Micro'!$K36&lt;&gt;""),'Atividades Micro'!$K36,"")</f>
        <v>46344</v>
      </c>
      <c r="J36" s="21" t="str">
        <f>IF(AND('Atividades Micro'!$A36=J$2,'Atividades Micro'!$L36&lt;&gt;""),'Atividades Micro'!$L36,"")</f>
        <v/>
      </c>
      <c r="K36" s="21" t="str">
        <f>IF(AND('Atividades Micro'!$B36=K$2,'Atividades Micro'!$K36&lt;&gt;""),'Atividades Micro'!$K36,"")</f>
        <v/>
      </c>
      <c r="L36" s="21" t="str">
        <f>IF(AND('Atividades Micro'!$B36=L$2,'Atividades Micro'!$L36&lt;&gt;""),'Atividades Micro'!$L36,"")</f>
        <v/>
      </c>
      <c r="M36" s="21">
        <f>IF(AND('Atividades Micro'!$B36=M$2,'Atividades Micro'!$K36&lt;&gt;""),'Atividades Micro'!$K36,"")</f>
        <v>46344</v>
      </c>
      <c r="N36" s="21" t="str">
        <f>IF(AND('Atividades Micro'!$B36=N$2,'Atividades Micro'!$L36&lt;&gt;""),'Atividades Micro'!$L36,"")</f>
        <v/>
      </c>
      <c r="O36" s="21" t="str">
        <f>IF(AND('Atividades Micro'!$A36=O$2,'Atividades Micro'!$K36&lt;&gt;""),'Atividades Micro'!$K36,"")</f>
        <v/>
      </c>
      <c r="P36" s="21" t="str">
        <f>IF(AND('Atividades Micro'!$A36=P$2,'Atividades Micro'!$L36&lt;&gt;""),'Atividades Micro'!$L36,"")</f>
        <v/>
      </c>
      <c r="Q36" s="21" t="str">
        <f>IF(AND('Atividades Micro'!$B36=Q$2,'Atividades Micro'!$K36&lt;&gt;""),'Atividades Micro'!$K36,"")</f>
        <v/>
      </c>
      <c r="R36" s="21" t="str">
        <f>IF(AND('Atividades Micro'!$B36=R$2,'Atividades Micro'!$L36&lt;&gt;""),'Atividades Micro'!$L36,"")</f>
        <v/>
      </c>
      <c r="S36" s="21" t="str">
        <f>IF(AND('Atividades Micro'!$A36=S$2,'Atividades Micro'!$K36&lt;&gt;""),'Atividades Micro'!$K36,"")</f>
        <v/>
      </c>
      <c r="T36" s="21" t="str">
        <f>IF(AND('Atividades Micro'!$A36=T$2,'Atividades Micro'!$L36&lt;&gt;""),'Atividades Micro'!$L36,"")</f>
        <v/>
      </c>
      <c r="U36" s="21" t="str">
        <f>IF(AND('Atividades Micro'!$B36=U$2,'Atividades Micro'!$K36&lt;&gt;""),'Atividades Micro'!$K36,"")</f>
        <v/>
      </c>
      <c r="V36" s="21" t="str">
        <f>IF(AND('Atividades Micro'!$B36=V$2,'Atividades Micro'!$L36&lt;&gt;""),'Atividades Micro'!$L36,"")</f>
        <v/>
      </c>
      <c r="W36" s="21" t="str">
        <f>IF(AND('Atividades Micro'!$B36=W$2,'Atividades Micro'!$K36&lt;&gt;""),'Atividades Micro'!$K36,"")</f>
        <v/>
      </c>
      <c r="X36" s="21" t="str">
        <f>IF(AND('Atividades Micro'!$B36=X$2,'Atividades Micro'!$L36&lt;&gt;""),'Atividades Micro'!$L36,"")</f>
        <v/>
      </c>
      <c r="Y36" s="21" t="str">
        <f>IF(AND('Atividades Micro'!$A36=Y$2,'Atividades Micro'!$K36&lt;&gt;""),'Atividades Micro'!$K36,"")</f>
        <v/>
      </c>
      <c r="Z36" s="21" t="str">
        <f>IF(AND('Atividades Micro'!$A36=Z$2,'Atividades Micro'!$L36&lt;&gt;""),'Atividades Micro'!$L36,"")</f>
        <v/>
      </c>
      <c r="AA36" s="21" t="str">
        <f>IF(AND('Atividades Micro'!$B36=AA$2,'Atividades Micro'!$K36&lt;&gt;""),'Atividades Micro'!$K36,"")</f>
        <v/>
      </c>
      <c r="AB36" s="21" t="str">
        <f>IF(AND('Atividades Micro'!$B36=AB$2,'Atividades Micro'!$L36&lt;&gt;""),'Atividades Micro'!$L36,"")</f>
        <v/>
      </c>
      <c r="AC36" s="21" t="str">
        <f>IF(AND('Atividades Micro'!$B36=AC$2,'Atividades Micro'!$K36&lt;&gt;""),'Atividades Micro'!$K36,"")</f>
        <v/>
      </c>
      <c r="AD36" s="21" t="str">
        <f>IF(AND('Atividades Micro'!$B36=AD$2,'Atividades Micro'!$L36&lt;&gt;""),'Atividades Micro'!$L36,"")</f>
        <v/>
      </c>
      <c r="AE36" s="21" t="str">
        <f>IF(AND('Atividades Micro'!$A36=AE$2,'Atividades Micro'!$K36&lt;&gt;""),'Atividades Micro'!$K36,"")</f>
        <v/>
      </c>
      <c r="AF36" s="21" t="str">
        <f>IF(AND('Atividades Micro'!$A36=AF$2,'Atividades Micro'!$L36&lt;&gt;""),'Atividades Micro'!$L36,"")</f>
        <v/>
      </c>
      <c r="AG36" s="21" t="str">
        <f>IF(AND('Atividades Micro'!$B36=AG$2,'Atividades Micro'!$K36&lt;&gt;""),'Atividades Micro'!$K36,"")</f>
        <v/>
      </c>
      <c r="AH36" s="21" t="str">
        <f>IF(AND('Atividades Micro'!$B36=AH$2,'Atividades Micro'!$L36&lt;&gt;""),'Atividades Micro'!$L36,"")</f>
        <v/>
      </c>
      <c r="AI36" s="21" t="str">
        <f>IF(AND('Atividades Micro'!$B36=AI$2,'Atividades Micro'!$K36&lt;&gt;""),'Atividades Micro'!$K36,"")</f>
        <v/>
      </c>
      <c r="AJ36" s="21" t="str">
        <f>IF(AND('Atividades Micro'!$B36=AJ$2,'Atividades Micro'!$L36&lt;&gt;""),'Atividades Micro'!$L36,"")</f>
        <v/>
      </c>
      <c r="AK36" s="21" t="str">
        <f>IF(AND('Atividades Micro'!$A36=AK$2,'Atividades Micro'!$K36&lt;&gt;""),'Atividades Micro'!$K36,"")</f>
        <v/>
      </c>
      <c r="AL36" s="21" t="str">
        <f>IF(AND('Atividades Micro'!$A36=AL$2,'Atividades Micro'!$L36&lt;&gt;""),'Atividades Micro'!$L36,"")</f>
        <v/>
      </c>
      <c r="AM36" s="21" t="str">
        <f>IF(AND('Atividades Micro'!$B36=AM$2,'Atividades Micro'!$K36&lt;&gt;""),'Atividades Micro'!$K36,"")</f>
        <v/>
      </c>
      <c r="AN36" s="21" t="str">
        <f>IF(AND('Atividades Micro'!$B36=AN$2,'Atividades Micro'!$L36&lt;&gt;""),'Atividades Micro'!$L36,"")</f>
        <v/>
      </c>
      <c r="AO36" s="21" t="str">
        <f>IF(AND('Atividades Micro'!$B36=AO$2,'Atividades Micro'!$K36&lt;&gt;""),'Atividades Micro'!$K36,"")</f>
        <v/>
      </c>
      <c r="AP36" s="21" t="str">
        <f>IF(AND('Atividades Micro'!$B36=AP$2,'Atividades Micro'!$L36&lt;&gt;""),'Atividades Micro'!$L36,"")</f>
        <v/>
      </c>
      <c r="AQ36" s="21" t="str">
        <f>IF(AND('Atividades Micro'!$A36=AQ$2,'Atividades Micro'!$K36&lt;&gt;""),'Atividades Micro'!$K36,"")</f>
        <v/>
      </c>
      <c r="AR36" s="21" t="str">
        <f>IF(AND('Atividades Micro'!$A36=AR$2,'Atividades Micro'!$L36&lt;&gt;""),'Atividades Micro'!$L36,"")</f>
        <v/>
      </c>
      <c r="AS36" s="21" t="str">
        <f>IF(AND('Atividades Micro'!$B36=AS$2,'Atividades Micro'!$K36&lt;&gt;""),'Atividades Micro'!$K36,"")</f>
        <v/>
      </c>
      <c r="AT36" s="21" t="str">
        <f>IF(AND('Atividades Micro'!$B36=AT$2,'Atividades Micro'!$L36&lt;&gt;""),'Atividades Micro'!$L36,"")</f>
        <v/>
      </c>
      <c r="AU36" s="21" t="str">
        <f>IF(AND('Atividades Micro'!$A36=AU$2,'Atividades Micro'!$K36&lt;&gt;""),'Atividades Micro'!$K36,"")</f>
        <v/>
      </c>
      <c r="AV36" s="21" t="str">
        <f>IF(AND('Atividades Micro'!$A36=AV$2,'Atividades Micro'!$L36&lt;&gt;""),'Atividades Micro'!$L36,"")</f>
        <v/>
      </c>
      <c r="AW36" s="21" t="str">
        <f>IF(AND('Atividades Micro'!$B36=AW$2,'Atividades Micro'!$K36&lt;&gt;""),'Atividades Micro'!$K36,"")</f>
        <v/>
      </c>
      <c r="AX36" s="21" t="str">
        <f>IF(AND('Atividades Micro'!$B36=AX$2,'Atividades Micro'!$L36&lt;&gt;""),'Atividades Micro'!$L36,"")</f>
        <v/>
      </c>
      <c r="AY36" s="21" t="str">
        <f>IF(AND('Atividades Micro'!$A36=AY$2,'Atividades Micro'!$K36&lt;&gt;""),'Atividades Micro'!$K36,"")</f>
        <v/>
      </c>
      <c r="AZ36" s="21" t="str">
        <f>IF(AND('Atividades Micro'!$A36=AZ$2,'Atividades Micro'!$L36&lt;&gt;""),'Atividades Micro'!$L36,"")</f>
        <v/>
      </c>
      <c r="BA36" s="21" t="str">
        <f>IF(AND('Atividades Micro'!$B36=BA$2,'Atividades Micro'!$K36&lt;&gt;""),'Atividades Micro'!$K36,"")</f>
        <v/>
      </c>
      <c r="BB36" s="21" t="str">
        <f>IF(AND('Atividades Micro'!$B36=BB$2,'Atividades Micro'!$L36&lt;&gt;""),'Atividades Micro'!$L36,"")</f>
        <v/>
      </c>
      <c r="BC36" s="21" t="str">
        <f>IF(AND('Atividades Micro'!$B36=BC$2,'Atividades Micro'!$G36="Macro",'Atividades Micro'!$K36&lt;&gt;""),'Atividades Micro'!$K36,"")</f>
        <v/>
      </c>
      <c r="BD36" s="21" t="str">
        <f>IF(AND('Atividades Micro'!$B36=BD$2,'Atividades Micro'!$G36="Macro",'Atividades Micro'!$K36&lt;&gt;""),'Atividades Micro'!$K36,"")</f>
        <v/>
      </c>
      <c r="BE36" s="21" t="str">
        <f>IF(AND('Atividades Micro'!$B36=BE$2,'Atividades Micro'!$G36="Macro",'Atividades Micro'!$K36&lt;&gt;""),'Atividades Micro'!$K36,"")</f>
        <v/>
      </c>
      <c r="BF36" s="21" t="str">
        <f>IF(AND('Atividades Micro'!$B36=BF$2,'Atividades Micro'!$G36="Macro",'Atividades Micro'!$K36&lt;&gt;""),'Atividades Micro'!$K36,"")</f>
        <v/>
      </c>
      <c r="BG36" s="21" t="str">
        <f>IF(AND('Atividades Micro'!$B36=BG$2,'Atividades Micro'!$G36="Macro",'Atividades Micro'!$K36&lt;&gt;""),'Atividades Micro'!$K36,"")</f>
        <v/>
      </c>
      <c r="BH36" s="21" t="str">
        <f>IF(AND('Atividades Micro'!$B36=BH$2,'Atividades Micro'!$G36="Macro",'Atividades Micro'!$K36&lt;&gt;""),'Atividades Micro'!$K36,"")</f>
        <v/>
      </c>
      <c r="BI36" s="21" t="str">
        <f>IF(AND('Atividades Micro'!$B36=BI$2,'Atividades Micro'!$G36="Macro",'Atividades Micro'!$K36&lt;&gt;""),'Atividades Micro'!$K36,"")</f>
        <v/>
      </c>
      <c r="BJ36" s="21" t="str">
        <f>IF(AND('Atividades Micro'!$B36=BJ$2,'Atividades Micro'!$G36="Macro",'Atividades Micro'!$K36&lt;&gt;""),'Atividades Micro'!$K36,"")</f>
        <v/>
      </c>
      <c r="BK36" s="21" t="str">
        <f>IF(AND('Atividades Micro'!$B36=BK$2,'Atividades Micro'!$G36="Macro",'Atividades Micro'!$K36&lt;&gt;""),'Atividades Micro'!$K36,"")</f>
        <v/>
      </c>
      <c r="BL36" s="21" t="str">
        <f>IF(AND('Atividades Micro'!$B36=BL$2,'Atividades Micro'!$G36="Macro",'Atividades Micro'!$K36&lt;&gt;""),'Atividades Micro'!$K36,"")</f>
        <v/>
      </c>
      <c r="BM36" s="21" t="str">
        <f>IF(AND('Atividades Micro'!$B36=BM$2,'Atividades Micro'!$G36="Macro",'Atividades Micro'!$K36&lt;&gt;""),'Atividades Micro'!$K36,"")</f>
        <v/>
      </c>
      <c r="BN36" s="21" t="str">
        <f>IF(AND('Atividades Micro'!$B36=BN$2,'Atividades Micro'!$G36="Macro",'Atividades Micro'!$K36&lt;&gt;""),'Atividades Micro'!$K36,"")</f>
        <v/>
      </c>
      <c r="BO36" s="21" t="str">
        <f>IF(AND('Atividades Micro'!$B36=BO$2,'Atividades Micro'!$G36="Macro",'Atividades Micro'!$K36&lt;&gt;""),'Atividades Micro'!$K36,"")</f>
        <v/>
      </c>
      <c r="BP36" s="21" t="str">
        <f>IF(AND('Atividades Micro'!$B36=BP$2,'Atividades Micro'!$G36="Macro",'Atividades Micro'!$K36&lt;&gt;""),'Atividades Micro'!$K36,"")</f>
        <v/>
      </c>
      <c r="BQ36" s="21" t="str">
        <f>IF(AND('Atividades Micro'!$B36=BQ$2,'Atividades Micro'!$G36="Macro",'Atividades Micro'!$K36&lt;&gt;""),'Atividades Micro'!$K36,"")</f>
        <v/>
      </c>
      <c r="BR36" s="21" t="str">
        <f>IF(AND('Atividades Micro'!$B36=BR$2,'Atividades Micro'!$G36="Macro",'Atividades Micro'!$K36&lt;&gt;""),'Atividades Micro'!$K36,"")</f>
        <v/>
      </c>
      <c r="BS36" s="21" t="str">
        <f>IF(AND('Atividades Micro'!$B36=BS$2,'Atividades Micro'!$G36="Macro",'Atividades Micro'!$K36&lt;&gt;""),'Atividades Micro'!$K36,"")</f>
        <v/>
      </c>
      <c r="BT36" s="21" t="str">
        <f>IF(AND('Atividades Micro'!$B36=BT$2,'Atividades Micro'!$G36="Macro",'Atividades Micro'!$K36&lt;&gt;""),'Atividades Micro'!$K36,"")</f>
        <v/>
      </c>
      <c r="BU36" s="21" t="str">
        <f>IF(AND('Atividades Micro'!$B36=BU$2,'Atividades Micro'!$G36="Macro",'Atividades Micro'!$K36&lt;&gt;""),'Atividades Micro'!$K36,"")</f>
        <v/>
      </c>
      <c r="BV36" s="21" t="str">
        <f>IF(AND('Atividades Micro'!$B36=BV$2,'Atividades Micro'!$G36="Macro",'Atividades Micro'!$K36&lt;&gt;""),'Atividades Micro'!$K36,"")</f>
        <v/>
      </c>
      <c r="BW36" s="21" t="str">
        <f>IF(AND('Atividades Micro'!$B36=BW$2,'Atividades Micro'!$G36="Macro",'Atividades Micro'!$K36&lt;&gt;""),'Atividades Micro'!$K36,"")</f>
        <v/>
      </c>
      <c r="BX36" s="21" t="str">
        <f>IF(AND('Atividades Micro'!$B36=BX$2,'Atividades Micro'!$G36="Macro",'Atividades Micro'!$K36&lt;&gt;""),'Atividades Micro'!$K36,"")</f>
        <v/>
      </c>
      <c r="BY36" s="21" t="str">
        <f>IF(AND('Atividades Micro'!$B36=BY$2,'Atividades Micro'!$G36="Macro",'Atividades Micro'!$K36&lt;&gt;""),'Atividades Micro'!$K36,"")</f>
        <v/>
      </c>
      <c r="BZ36" s="21" t="str">
        <f>IF(AND('Atividades Micro'!$B36=BZ$2,'Atividades Micro'!$G36="Macro",'Atividades Micro'!$K36&lt;&gt;""),'Atividades Micro'!$K36,"")</f>
        <v/>
      </c>
      <c r="CA36" s="21" t="str">
        <f>IF(AND('Atividades Micro'!$B36=CA$2,'Atividades Micro'!$G36="Macro",'Atividades Micro'!$K36&lt;&gt;""),'Atividades Micro'!$K36,"")</f>
        <v/>
      </c>
      <c r="CB36" s="21" t="str">
        <f>IF(AND('Atividades Micro'!$B36=CB$2,'Atividades Micro'!$G36="Macro",'Atividades Micro'!$K36&lt;&gt;""),'Atividades Micro'!$K36,"")</f>
        <v/>
      </c>
      <c r="CC36" s="21" t="str">
        <f>IF(AND('Atividades Micro'!$B36=CC$2,'Atividades Micro'!$G36="Macro",'Atividades Micro'!$K36&lt;&gt;""),'Atividades Micro'!$K36,"")</f>
        <v/>
      </c>
      <c r="CD36" s="21" t="str">
        <f>IF(AND('Atividades Micro'!$B36=CD$2,'Atividades Micro'!$G36="Micro",'Atividades Micro'!$K36&lt;&gt;""),'Atividades Micro'!$K36,"")</f>
        <v/>
      </c>
      <c r="CE36" s="21">
        <f>IF(AND('Atividades Micro'!$B36=CE$2,'Atividades Micro'!$G36="Micro",'Atividades Micro'!$K36&lt;&gt;""),'Atividades Micro'!$K36,"")</f>
        <v>46344</v>
      </c>
      <c r="CF36" s="21" t="str">
        <f>IF(AND('Atividades Micro'!$B36=CF$2,'Atividades Micro'!$G36="Micro",'Atividades Micro'!$K36&lt;&gt;""),'Atividades Micro'!$K36,"")</f>
        <v/>
      </c>
      <c r="CG36" s="21" t="str">
        <f>IF(AND('Atividades Micro'!$B36=CG$2,'Atividades Micro'!$G36="Micro",'Atividades Micro'!$K36&lt;&gt;""),'Atividades Micro'!$K36,"")</f>
        <v/>
      </c>
      <c r="CH36" s="21" t="str">
        <f>IF(AND('Atividades Micro'!$B36=CH$2,'Atividades Micro'!$G36="Micro",'Atividades Micro'!$K36&lt;&gt;""),'Atividades Micro'!$K36,"")</f>
        <v/>
      </c>
      <c r="CI36" s="21" t="str">
        <f>IF(AND('Atividades Micro'!$B36=CI$2,'Atividades Micro'!$G36="Micro",'Atividades Micro'!$K36&lt;&gt;""),'Atividades Micro'!$K36,"")</f>
        <v/>
      </c>
      <c r="CJ36" s="21" t="str">
        <f>IF(AND('Atividades Micro'!$B36=CJ$2,'Atividades Micro'!$G36="Micro",'Atividades Micro'!$K36&lt;&gt;""),'Atividades Micro'!$K36,"")</f>
        <v/>
      </c>
      <c r="CK36" s="21" t="str">
        <f>IF(AND('Atividades Micro'!$B36=CK$2,'Atividades Micro'!$G36="Micro",'Atividades Micro'!$K36&lt;&gt;""),'Atividades Micro'!$K36,"")</f>
        <v/>
      </c>
      <c r="CL36" s="21" t="str">
        <f>IF(AND('Atividades Micro'!$B36=CL$2,'Atividades Micro'!$G36="Micro",'Atividades Micro'!$K36&lt;&gt;""),'Atividades Micro'!$K36,"")</f>
        <v/>
      </c>
      <c r="CM36" s="21" t="str">
        <f>IF(AND('Atividades Micro'!$B36=CM$2,'Atividades Micro'!$G36="Micro",'Atividades Micro'!$K36&lt;&gt;""),'Atividades Micro'!$K36,"")</f>
        <v/>
      </c>
      <c r="CN36" s="21" t="str">
        <f>IF(AND('Atividades Micro'!$B36=CN$2,'Atividades Micro'!$G36="Micro",'Atividades Micro'!$K36&lt;&gt;""),'Atividades Micro'!$K36,"")</f>
        <v/>
      </c>
      <c r="CO36" s="21" t="str">
        <f>IF(AND('Atividades Micro'!$B36=CO$2,'Atividades Micro'!$G36="Micro",'Atividades Micro'!$K36&lt;&gt;""),'Atividades Micro'!$K36,"")</f>
        <v/>
      </c>
    </row>
    <row r="37" spans="1:93">
      <c r="A37" s="21" t="str">
        <f>IF(AND('Atividades Micro'!$A37=A$2,'Atividades Micro'!$K37&lt;&gt;""),'Atividades Micro'!$K37,"")</f>
        <v/>
      </c>
      <c r="B37" s="21" t="str">
        <f>IF(AND('Atividades Micro'!$A37=B$2,'Atividades Micro'!$L37&lt;&gt;""),'Atividades Micro'!$L37,"")</f>
        <v/>
      </c>
      <c r="C37" s="21" t="str">
        <f>IF(AND('Atividades Micro'!$A37=C$2,'Atividades Micro'!$K37&lt;&gt;""),'Atividades Micro'!$K37,"")</f>
        <v/>
      </c>
      <c r="D37" s="21" t="str">
        <f>IF(AND('Atividades Micro'!$A37=D$2,'Atividades Micro'!$L37&lt;&gt;""),'Atividades Micro'!$L37,"")</f>
        <v/>
      </c>
      <c r="E37" s="21" t="str">
        <f>IF(AND('Atividades Micro'!$A37=E$2,'Atividades Micro'!$K37&lt;&gt;""),'Atividades Micro'!$K37,"")</f>
        <v/>
      </c>
      <c r="F37" s="21" t="str">
        <f>IF(AND('Atividades Micro'!$A37=F$2,'Atividades Micro'!$L37&lt;&gt;""),'Atividades Micro'!$L37,"")</f>
        <v/>
      </c>
      <c r="G37" s="21" t="str">
        <f>IF(AND('Atividades Micro'!$A37=G$2,'Atividades Micro'!$K37&lt;&gt;""),'Atividades Micro'!$K37,"")</f>
        <v/>
      </c>
      <c r="H37" s="21" t="str">
        <f>IF(AND('Atividades Micro'!$A37=H$2,'Atividades Micro'!$L37&lt;&gt;""),'Atividades Micro'!$L37,"")</f>
        <v/>
      </c>
      <c r="I37" s="21">
        <f>IF(AND('Atividades Micro'!$A37=I$2,'Atividades Micro'!$K37&lt;&gt;""),'Atividades Micro'!$K37,"")</f>
        <v>46352</v>
      </c>
      <c r="J37" s="21" t="str">
        <f>IF(AND('Atividades Micro'!$A37=J$2,'Atividades Micro'!$L37&lt;&gt;""),'Atividades Micro'!$L37,"")</f>
        <v/>
      </c>
      <c r="K37" s="21" t="str">
        <f>IF(AND('Atividades Micro'!$B37=K$2,'Atividades Micro'!$K37&lt;&gt;""),'Atividades Micro'!$K37,"")</f>
        <v/>
      </c>
      <c r="L37" s="21" t="str">
        <f>IF(AND('Atividades Micro'!$B37=L$2,'Atividades Micro'!$L37&lt;&gt;""),'Atividades Micro'!$L37,"")</f>
        <v/>
      </c>
      <c r="M37" s="21">
        <f>IF(AND('Atividades Micro'!$B37=M$2,'Atividades Micro'!$K37&lt;&gt;""),'Atividades Micro'!$K37,"")</f>
        <v>46352</v>
      </c>
      <c r="N37" s="21" t="str">
        <f>IF(AND('Atividades Micro'!$B37=N$2,'Atividades Micro'!$L37&lt;&gt;""),'Atividades Micro'!$L37,"")</f>
        <v/>
      </c>
      <c r="O37" s="21" t="str">
        <f>IF(AND('Atividades Micro'!$A37=O$2,'Atividades Micro'!$K37&lt;&gt;""),'Atividades Micro'!$K37,"")</f>
        <v/>
      </c>
      <c r="P37" s="21" t="str">
        <f>IF(AND('Atividades Micro'!$A37=P$2,'Atividades Micro'!$L37&lt;&gt;""),'Atividades Micro'!$L37,"")</f>
        <v/>
      </c>
      <c r="Q37" s="21" t="str">
        <f>IF(AND('Atividades Micro'!$B37=Q$2,'Atividades Micro'!$K37&lt;&gt;""),'Atividades Micro'!$K37,"")</f>
        <v/>
      </c>
      <c r="R37" s="21" t="str">
        <f>IF(AND('Atividades Micro'!$B37=R$2,'Atividades Micro'!$L37&lt;&gt;""),'Atividades Micro'!$L37,"")</f>
        <v/>
      </c>
      <c r="S37" s="21" t="str">
        <f>IF(AND('Atividades Micro'!$A37=S$2,'Atividades Micro'!$K37&lt;&gt;""),'Atividades Micro'!$K37,"")</f>
        <v/>
      </c>
      <c r="T37" s="21" t="str">
        <f>IF(AND('Atividades Micro'!$A37=T$2,'Atividades Micro'!$L37&lt;&gt;""),'Atividades Micro'!$L37,"")</f>
        <v/>
      </c>
      <c r="U37" s="21" t="str">
        <f>IF(AND('Atividades Micro'!$B37=U$2,'Atividades Micro'!$K37&lt;&gt;""),'Atividades Micro'!$K37,"")</f>
        <v/>
      </c>
      <c r="V37" s="21" t="str">
        <f>IF(AND('Atividades Micro'!$B37=V$2,'Atividades Micro'!$L37&lt;&gt;""),'Atividades Micro'!$L37,"")</f>
        <v/>
      </c>
      <c r="W37" s="21" t="str">
        <f>IF(AND('Atividades Micro'!$B37=W$2,'Atividades Micro'!$K37&lt;&gt;""),'Atividades Micro'!$K37,"")</f>
        <v/>
      </c>
      <c r="X37" s="21" t="str">
        <f>IF(AND('Atividades Micro'!$B37=X$2,'Atividades Micro'!$L37&lt;&gt;""),'Atividades Micro'!$L37,"")</f>
        <v/>
      </c>
      <c r="Y37" s="21" t="str">
        <f>IF(AND('Atividades Micro'!$A37=Y$2,'Atividades Micro'!$K37&lt;&gt;""),'Atividades Micro'!$K37,"")</f>
        <v/>
      </c>
      <c r="Z37" s="21" t="str">
        <f>IF(AND('Atividades Micro'!$A37=Z$2,'Atividades Micro'!$L37&lt;&gt;""),'Atividades Micro'!$L37,"")</f>
        <v/>
      </c>
      <c r="AA37" s="21" t="str">
        <f>IF(AND('Atividades Micro'!$B37=AA$2,'Atividades Micro'!$K37&lt;&gt;""),'Atividades Micro'!$K37,"")</f>
        <v/>
      </c>
      <c r="AB37" s="21" t="str">
        <f>IF(AND('Atividades Micro'!$B37=AB$2,'Atividades Micro'!$L37&lt;&gt;""),'Atividades Micro'!$L37,"")</f>
        <v/>
      </c>
      <c r="AC37" s="21" t="str">
        <f>IF(AND('Atividades Micro'!$B37=AC$2,'Atividades Micro'!$K37&lt;&gt;""),'Atividades Micro'!$K37,"")</f>
        <v/>
      </c>
      <c r="AD37" s="21" t="str">
        <f>IF(AND('Atividades Micro'!$B37=AD$2,'Atividades Micro'!$L37&lt;&gt;""),'Atividades Micro'!$L37,"")</f>
        <v/>
      </c>
      <c r="AE37" s="21" t="str">
        <f>IF(AND('Atividades Micro'!$A37=AE$2,'Atividades Micro'!$K37&lt;&gt;""),'Atividades Micro'!$K37,"")</f>
        <v/>
      </c>
      <c r="AF37" s="21" t="str">
        <f>IF(AND('Atividades Micro'!$A37=AF$2,'Atividades Micro'!$L37&lt;&gt;""),'Atividades Micro'!$L37,"")</f>
        <v/>
      </c>
      <c r="AG37" s="21" t="str">
        <f>IF(AND('Atividades Micro'!$B37=AG$2,'Atividades Micro'!$K37&lt;&gt;""),'Atividades Micro'!$K37,"")</f>
        <v/>
      </c>
      <c r="AH37" s="21" t="str">
        <f>IF(AND('Atividades Micro'!$B37=AH$2,'Atividades Micro'!$L37&lt;&gt;""),'Atividades Micro'!$L37,"")</f>
        <v/>
      </c>
      <c r="AI37" s="21" t="str">
        <f>IF(AND('Atividades Micro'!$B37=AI$2,'Atividades Micro'!$K37&lt;&gt;""),'Atividades Micro'!$K37,"")</f>
        <v/>
      </c>
      <c r="AJ37" s="21" t="str">
        <f>IF(AND('Atividades Micro'!$B37=AJ$2,'Atividades Micro'!$L37&lt;&gt;""),'Atividades Micro'!$L37,"")</f>
        <v/>
      </c>
      <c r="AK37" s="21" t="str">
        <f>IF(AND('Atividades Micro'!$A37=AK$2,'Atividades Micro'!$K37&lt;&gt;""),'Atividades Micro'!$K37,"")</f>
        <v/>
      </c>
      <c r="AL37" s="21" t="str">
        <f>IF(AND('Atividades Micro'!$A37=AL$2,'Atividades Micro'!$L37&lt;&gt;""),'Atividades Micro'!$L37,"")</f>
        <v/>
      </c>
      <c r="AM37" s="21" t="str">
        <f>IF(AND('Atividades Micro'!$B37=AM$2,'Atividades Micro'!$K37&lt;&gt;""),'Atividades Micro'!$K37,"")</f>
        <v/>
      </c>
      <c r="AN37" s="21" t="str">
        <f>IF(AND('Atividades Micro'!$B37=AN$2,'Atividades Micro'!$L37&lt;&gt;""),'Atividades Micro'!$L37,"")</f>
        <v/>
      </c>
      <c r="AO37" s="21" t="str">
        <f>IF(AND('Atividades Micro'!$B37=AO$2,'Atividades Micro'!$K37&lt;&gt;""),'Atividades Micro'!$K37,"")</f>
        <v/>
      </c>
      <c r="AP37" s="21" t="str">
        <f>IF(AND('Atividades Micro'!$B37=AP$2,'Atividades Micro'!$L37&lt;&gt;""),'Atividades Micro'!$L37,"")</f>
        <v/>
      </c>
      <c r="AQ37" s="21" t="str">
        <f>IF(AND('Atividades Micro'!$A37=AQ$2,'Atividades Micro'!$K37&lt;&gt;""),'Atividades Micro'!$K37,"")</f>
        <v/>
      </c>
      <c r="AR37" s="21" t="str">
        <f>IF(AND('Atividades Micro'!$A37=AR$2,'Atividades Micro'!$L37&lt;&gt;""),'Atividades Micro'!$L37,"")</f>
        <v/>
      </c>
      <c r="AS37" s="21" t="str">
        <f>IF(AND('Atividades Micro'!$B37=AS$2,'Atividades Micro'!$K37&lt;&gt;""),'Atividades Micro'!$K37,"")</f>
        <v/>
      </c>
      <c r="AT37" s="21" t="str">
        <f>IF(AND('Atividades Micro'!$B37=AT$2,'Atividades Micro'!$L37&lt;&gt;""),'Atividades Micro'!$L37,"")</f>
        <v/>
      </c>
      <c r="AU37" s="21" t="str">
        <f>IF(AND('Atividades Micro'!$A37=AU$2,'Atividades Micro'!$K37&lt;&gt;""),'Atividades Micro'!$K37,"")</f>
        <v/>
      </c>
      <c r="AV37" s="21" t="str">
        <f>IF(AND('Atividades Micro'!$A37=AV$2,'Atividades Micro'!$L37&lt;&gt;""),'Atividades Micro'!$L37,"")</f>
        <v/>
      </c>
      <c r="AW37" s="21" t="str">
        <f>IF(AND('Atividades Micro'!$B37=AW$2,'Atividades Micro'!$K37&lt;&gt;""),'Atividades Micro'!$K37,"")</f>
        <v/>
      </c>
      <c r="AX37" s="21" t="str">
        <f>IF(AND('Atividades Micro'!$B37=AX$2,'Atividades Micro'!$L37&lt;&gt;""),'Atividades Micro'!$L37,"")</f>
        <v/>
      </c>
      <c r="AY37" s="21" t="str">
        <f>IF(AND('Atividades Micro'!$A37=AY$2,'Atividades Micro'!$K37&lt;&gt;""),'Atividades Micro'!$K37,"")</f>
        <v/>
      </c>
      <c r="AZ37" s="21" t="str">
        <f>IF(AND('Atividades Micro'!$A37=AZ$2,'Atividades Micro'!$L37&lt;&gt;""),'Atividades Micro'!$L37,"")</f>
        <v/>
      </c>
      <c r="BA37" s="21" t="str">
        <f>IF(AND('Atividades Micro'!$B37=BA$2,'Atividades Micro'!$K37&lt;&gt;""),'Atividades Micro'!$K37,"")</f>
        <v/>
      </c>
      <c r="BB37" s="21" t="str">
        <f>IF(AND('Atividades Micro'!$B37=BB$2,'Atividades Micro'!$L37&lt;&gt;""),'Atividades Micro'!$L37,"")</f>
        <v/>
      </c>
      <c r="BC37" s="21" t="str">
        <f>IF(AND('Atividades Micro'!$B37=BC$2,'Atividades Micro'!$G37="Macro",'Atividades Micro'!$K37&lt;&gt;""),'Atividades Micro'!$K37,"")</f>
        <v/>
      </c>
      <c r="BD37" s="21" t="str">
        <f>IF(AND('Atividades Micro'!$B37=BD$2,'Atividades Micro'!$G37="Macro",'Atividades Micro'!$K37&lt;&gt;""),'Atividades Micro'!$K37,"")</f>
        <v/>
      </c>
      <c r="BE37" s="21" t="str">
        <f>IF(AND('Atividades Micro'!$B37=BE$2,'Atividades Micro'!$G37="Macro",'Atividades Micro'!$K37&lt;&gt;""),'Atividades Micro'!$K37,"")</f>
        <v/>
      </c>
      <c r="BF37" s="21" t="str">
        <f>IF(AND('Atividades Micro'!$B37=BF$2,'Atividades Micro'!$G37="Macro",'Atividades Micro'!$K37&lt;&gt;""),'Atividades Micro'!$K37,"")</f>
        <v/>
      </c>
      <c r="BG37" s="21" t="str">
        <f>IF(AND('Atividades Micro'!$B37=BG$2,'Atividades Micro'!$G37="Macro",'Atividades Micro'!$K37&lt;&gt;""),'Atividades Micro'!$K37,"")</f>
        <v/>
      </c>
      <c r="BH37" s="21" t="str">
        <f>IF(AND('Atividades Micro'!$B37=BH$2,'Atividades Micro'!$G37="Macro",'Atividades Micro'!$K37&lt;&gt;""),'Atividades Micro'!$K37,"")</f>
        <v/>
      </c>
      <c r="BI37" s="21" t="str">
        <f>IF(AND('Atividades Micro'!$B37=BI$2,'Atividades Micro'!$G37="Macro",'Atividades Micro'!$K37&lt;&gt;""),'Atividades Micro'!$K37,"")</f>
        <v/>
      </c>
      <c r="BJ37" s="21" t="str">
        <f>IF(AND('Atividades Micro'!$B37=BJ$2,'Atividades Micro'!$G37="Macro",'Atividades Micro'!$K37&lt;&gt;""),'Atividades Micro'!$K37,"")</f>
        <v/>
      </c>
      <c r="BK37" s="21" t="str">
        <f>IF(AND('Atividades Micro'!$B37=BK$2,'Atividades Micro'!$G37="Macro",'Atividades Micro'!$K37&lt;&gt;""),'Atividades Micro'!$K37,"")</f>
        <v/>
      </c>
      <c r="BL37" s="21" t="str">
        <f>IF(AND('Atividades Micro'!$B37=BL$2,'Atividades Micro'!$G37="Macro",'Atividades Micro'!$K37&lt;&gt;""),'Atividades Micro'!$K37,"")</f>
        <v/>
      </c>
      <c r="BM37" s="21" t="str">
        <f>IF(AND('Atividades Micro'!$B37=BM$2,'Atividades Micro'!$G37="Macro",'Atividades Micro'!$K37&lt;&gt;""),'Atividades Micro'!$K37,"")</f>
        <v/>
      </c>
      <c r="BN37" s="21" t="str">
        <f>IF(AND('Atividades Micro'!$B37=BN$2,'Atividades Micro'!$G37="Macro",'Atividades Micro'!$K37&lt;&gt;""),'Atividades Micro'!$K37,"")</f>
        <v/>
      </c>
      <c r="BO37" s="21" t="str">
        <f>IF(AND('Atividades Micro'!$B37=BO$2,'Atividades Micro'!$G37="Macro",'Atividades Micro'!$K37&lt;&gt;""),'Atividades Micro'!$K37,"")</f>
        <v/>
      </c>
      <c r="BP37" s="21" t="str">
        <f>IF(AND('Atividades Micro'!$B37=BP$2,'Atividades Micro'!$G37="Macro",'Atividades Micro'!$K37&lt;&gt;""),'Atividades Micro'!$K37,"")</f>
        <v/>
      </c>
      <c r="BQ37" s="21" t="str">
        <f>IF(AND('Atividades Micro'!$B37=BQ$2,'Atividades Micro'!$G37="Macro",'Atividades Micro'!$K37&lt;&gt;""),'Atividades Micro'!$K37,"")</f>
        <v/>
      </c>
      <c r="BR37" s="21" t="str">
        <f>IF(AND('Atividades Micro'!$B37=BR$2,'Atividades Micro'!$G37="Macro",'Atividades Micro'!$K37&lt;&gt;""),'Atividades Micro'!$K37,"")</f>
        <v/>
      </c>
      <c r="BS37" s="21" t="str">
        <f>IF(AND('Atividades Micro'!$B37=BS$2,'Atividades Micro'!$G37="Macro",'Atividades Micro'!$K37&lt;&gt;""),'Atividades Micro'!$K37,"")</f>
        <v/>
      </c>
      <c r="BT37" s="21" t="str">
        <f>IF(AND('Atividades Micro'!$B37=BT$2,'Atividades Micro'!$G37="Macro",'Atividades Micro'!$K37&lt;&gt;""),'Atividades Micro'!$K37,"")</f>
        <v/>
      </c>
      <c r="BU37" s="21" t="str">
        <f>IF(AND('Atividades Micro'!$B37=BU$2,'Atividades Micro'!$G37="Macro",'Atividades Micro'!$K37&lt;&gt;""),'Atividades Micro'!$K37,"")</f>
        <v/>
      </c>
      <c r="BV37" s="21" t="str">
        <f>IF(AND('Atividades Micro'!$B37=BV$2,'Atividades Micro'!$G37="Macro",'Atividades Micro'!$K37&lt;&gt;""),'Atividades Micro'!$K37,"")</f>
        <v/>
      </c>
      <c r="BW37" s="21" t="str">
        <f>IF(AND('Atividades Micro'!$B37=BW$2,'Atividades Micro'!$G37="Macro",'Atividades Micro'!$K37&lt;&gt;""),'Atividades Micro'!$K37,"")</f>
        <v/>
      </c>
      <c r="BX37" s="21" t="str">
        <f>IF(AND('Atividades Micro'!$B37=BX$2,'Atividades Micro'!$G37="Macro",'Atividades Micro'!$K37&lt;&gt;""),'Atividades Micro'!$K37,"")</f>
        <v/>
      </c>
      <c r="BY37" s="21" t="str">
        <f>IF(AND('Atividades Micro'!$B37=BY$2,'Atividades Micro'!$G37="Macro",'Atividades Micro'!$K37&lt;&gt;""),'Atividades Micro'!$K37,"")</f>
        <v/>
      </c>
      <c r="BZ37" s="21" t="str">
        <f>IF(AND('Atividades Micro'!$B37=BZ$2,'Atividades Micro'!$G37="Macro",'Atividades Micro'!$K37&lt;&gt;""),'Atividades Micro'!$K37,"")</f>
        <v/>
      </c>
      <c r="CA37" s="21" t="str">
        <f>IF(AND('Atividades Micro'!$B37=CA$2,'Atividades Micro'!$G37="Macro",'Atividades Micro'!$K37&lt;&gt;""),'Atividades Micro'!$K37,"")</f>
        <v/>
      </c>
      <c r="CB37" s="21" t="str">
        <f>IF(AND('Atividades Micro'!$B37=CB$2,'Atividades Micro'!$G37="Macro",'Atividades Micro'!$K37&lt;&gt;""),'Atividades Micro'!$K37,"")</f>
        <v/>
      </c>
      <c r="CC37" s="21" t="str">
        <f>IF(AND('Atividades Micro'!$B37=CC$2,'Atividades Micro'!$G37="Macro",'Atividades Micro'!$K37&lt;&gt;""),'Atividades Micro'!$K37,"")</f>
        <v/>
      </c>
      <c r="CD37" s="21" t="str">
        <f>IF(AND('Atividades Micro'!$B37=CD$2,'Atividades Micro'!$G37="Micro",'Atividades Micro'!$K37&lt;&gt;""),'Atividades Micro'!$K37,"")</f>
        <v/>
      </c>
      <c r="CE37" s="21">
        <f>IF(AND('Atividades Micro'!$B37=CE$2,'Atividades Micro'!$G37="Micro",'Atividades Micro'!$K37&lt;&gt;""),'Atividades Micro'!$K37,"")</f>
        <v>46352</v>
      </c>
      <c r="CF37" s="21" t="str">
        <f>IF(AND('Atividades Micro'!$B37=CF$2,'Atividades Micro'!$G37="Micro",'Atividades Micro'!$K37&lt;&gt;""),'Atividades Micro'!$K37,"")</f>
        <v/>
      </c>
      <c r="CG37" s="21" t="str">
        <f>IF(AND('Atividades Micro'!$B37=CG$2,'Atividades Micro'!$G37="Micro",'Atividades Micro'!$K37&lt;&gt;""),'Atividades Micro'!$K37,"")</f>
        <v/>
      </c>
      <c r="CH37" s="21" t="str">
        <f>IF(AND('Atividades Micro'!$B37=CH$2,'Atividades Micro'!$G37="Micro",'Atividades Micro'!$K37&lt;&gt;""),'Atividades Micro'!$K37,"")</f>
        <v/>
      </c>
      <c r="CI37" s="21" t="str">
        <f>IF(AND('Atividades Micro'!$B37=CI$2,'Atividades Micro'!$G37="Micro",'Atividades Micro'!$K37&lt;&gt;""),'Atividades Micro'!$K37,"")</f>
        <v/>
      </c>
      <c r="CJ37" s="21" t="str">
        <f>IF(AND('Atividades Micro'!$B37=CJ$2,'Atividades Micro'!$G37="Micro",'Atividades Micro'!$K37&lt;&gt;""),'Atividades Micro'!$K37,"")</f>
        <v/>
      </c>
      <c r="CK37" s="21" t="str">
        <f>IF(AND('Atividades Micro'!$B37=CK$2,'Atividades Micro'!$G37="Micro",'Atividades Micro'!$K37&lt;&gt;""),'Atividades Micro'!$K37,"")</f>
        <v/>
      </c>
      <c r="CL37" s="21" t="str">
        <f>IF(AND('Atividades Micro'!$B37=CL$2,'Atividades Micro'!$G37="Micro",'Atividades Micro'!$K37&lt;&gt;""),'Atividades Micro'!$K37,"")</f>
        <v/>
      </c>
      <c r="CM37" s="21" t="str">
        <f>IF(AND('Atividades Micro'!$B37=CM$2,'Atividades Micro'!$G37="Micro",'Atividades Micro'!$K37&lt;&gt;""),'Atividades Micro'!$K37,"")</f>
        <v/>
      </c>
      <c r="CN37" s="21" t="str">
        <f>IF(AND('Atividades Micro'!$B37=CN$2,'Atividades Micro'!$G37="Micro",'Atividades Micro'!$K37&lt;&gt;""),'Atividades Micro'!$K37,"")</f>
        <v/>
      </c>
      <c r="CO37" s="21" t="str">
        <f>IF(AND('Atividades Micro'!$B37=CO$2,'Atividades Micro'!$G37="Micro",'Atividades Micro'!$K37&lt;&gt;""),'Atividades Micro'!$K37,"")</f>
        <v/>
      </c>
    </row>
    <row r="38" spans="1:93">
      <c r="A38" s="21" t="str">
        <f>IF(AND('Atividades Micro'!$A38=A$2,'Atividades Micro'!$K38&lt;&gt;""),'Atividades Micro'!$K38,"")</f>
        <v/>
      </c>
      <c r="B38" s="21" t="str">
        <f>IF(AND('Atividades Micro'!$A38=B$2,'Atividades Micro'!$L38&lt;&gt;""),'Atividades Micro'!$L38,"")</f>
        <v/>
      </c>
      <c r="C38" s="21" t="str">
        <f>IF(AND('Atividades Micro'!$A38=C$2,'Atividades Micro'!$K38&lt;&gt;""),'Atividades Micro'!$K38,"")</f>
        <v/>
      </c>
      <c r="D38" s="21" t="str">
        <f>IF(AND('Atividades Micro'!$A38=D$2,'Atividades Micro'!$L38&lt;&gt;""),'Atividades Micro'!$L38,"")</f>
        <v/>
      </c>
      <c r="E38" s="21" t="str">
        <f>IF(AND('Atividades Micro'!$A38=E$2,'Atividades Micro'!$K38&lt;&gt;""),'Atividades Micro'!$K38,"")</f>
        <v/>
      </c>
      <c r="F38" s="21" t="str">
        <f>IF(AND('Atividades Micro'!$A38=F$2,'Atividades Micro'!$L38&lt;&gt;""),'Atividades Micro'!$L38,"")</f>
        <v/>
      </c>
      <c r="G38" s="21" t="str">
        <f>IF(AND('Atividades Micro'!$A38=G$2,'Atividades Micro'!$K38&lt;&gt;""),'Atividades Micro'!$K38,"")</f>
        <v/>
      </c>
      <c r="H38" s="21" t="str">
        <f>IF(AND('Atividades Micro'!$A38=H$2,'Atividades Micro'!$L38&lt;&gt;""),'Atividades Micro'!$L38,"")</f>
        <v/>
      </c>
      <c r="I38" s="21">
        <f>IF(AND('Atividades Micro'!$A38=I$2,'Atividades Micro'!$K38&lt;&gt;""),'Atividades Micro'!$K38,"")</f>
        <v>46356</v>
      </c>
      <c r="J38" s="21" t="str">
        <f>IF(AND('Atividades Micro'!$A38=J$2,'Atividades Micro'!$L38&lt;&gt;""),'Atividades Micro'!$L38,"")</f>
        <v/>
      </c>
      <c r="K38" s="21" t="str">
        <f>IF(AND('Atividades Micro'!$B38=K$2,'Atividades Micro'!$K38&lt;&gt;""),'Atividades Micro'!$K38,"")</f>
        <v/>
      </c>
      <c r="L38" s="21" t="str">
        <f>IF(AND('Atividades Micro'!$B38=L$2,'Atividades Micro'!$L38&lt;&gt;""),'Atividades Micro'!$L38,"")</f>
        <v/>
      </c>
      <c r="M38" s="21">
        <f>IF(AND('Atividades Micro'!$B38=M$2,'Atividades Micro'!$K38&lt;&gt;""),'Atividades Micro'!$K38,"")</f>
        <v>46356</v>
      </c>
      <c r="N38" s="21" t="str">
        <f>IF(AND('Atividades Micro'!$B38=N$2,'Atividades Micro'!$L38&lt;&gt;""),'Atividades Micro'!$L38,"")</f>
        <v/>
      </c>
      <c r="O38" s="21" t="str">
        <f>IF(AND('Atividades Micro'!$A38=O$2,'Atividades Micro'!$K38&lt;&gt;""),'Atividades Micro'!$K38,"")</f>
        <v/>
      </c>
      <c r="P38" s="21" t="str">
        <f>IF(AND('Atividades Micro'!$A38=P$2,'Atividades Micro'!$L38&lt;&gt;""),'Atividades Micro'!$L38,"")</f>
        <v/>
      </c>
      <c r="Q38" s="21" t="str">
        <f>IF(AND('Atividades Micro'!$B38=Q$2,'Atividades Micro'!$K38&lt;&gt;""),'Atividades Micro'!$K38,"")</f>
        <v/>
      </c>
      <c r="R38" s="21" t="str">
        <f>IF(AND('Atividades Micro'!$B38=R$2,'Atividades Micro'!$L38&lt;&gt;""),'Atividades Micro'!$L38,"")</f>
        <v/>
      </c>
      <c r="S38" s="21" t="str">
        <f>IF(AND('Atividades Micro'!$A38=S$2,'Atividades Micro'!$K38&lt;&gt;""),'Atividades Micro'!$K38,"")</f>
        <v/>
      </c>
      <c r="T38" s="21" t="str">
        <f>IF(AND('Atividades Micro'!$A38=T$2,'Atividades Micro'!$L38&lt;&gt;""),'Atividades Micro'!$L38,"")</f>
        <v/>
      </c>
      <c r="U38" s="21" t="str">
        <f>IF(AND('Atividades Micro'!$B38=U$2,'Atividades Micro'!$K38&lt;&gt;""),'Atividades Micro'!$K38,"")</f>
        <v/>
      </c>
      <c r="V38" s="21" t="str">
        <f>IF(AND('Atividades Micro'!$B38=V$2,'Atividades Micro'!$L38&lt;&gt;""),'Atividades Micro'!$L38,"")</f>
        <v/>
      </c>
      <c r="W38" s="21" t="str">
        <f>IF(AND('Atividades Micro'!$B38=W$2,'Atividades Micro'!$K38&lt;&gt;""),'Atividades Micro'!$K38,"")</f>
        <v/>
      </c>
      <c r="X38" s="21" t="str">
        <f>IF(AND('Atividades Micro'!$B38=X$2,'Atividades Micro'!$L38&lt;&gt;""),'Atividades Micro'!$L38,"")</f>
        <v/>
      </c>
      <c r="Y38" s="21" t="str">
        <f>IF(AND('Atividades Micro'!$A38=Y$2,'Atividades Micro'!$K38&lt;&gt;""),'Atividades Micro'!$K38,"")</f>
        <v/>
      </c>
      <c r="Z38" s="21" t="str">
        <f>IF(AND('Atividades Micro'!$A38=Z$2,'Atividades Micro'!$L38&lt;&gt;""),'Atividades Micro'!$L38,"")</f>
        <v/>
      </c>
      <c r="AA38" s="21" t="str">
        <f>IF(AND('Atividades Micro'!$B38=AA$2,'Atividades Micro'!$K38&lt;&gt;""),'Atividades Micro'!$K38,"")</f>
        <v/>
      </c>
      <c r="AB38" s="21" t="str">
        <f>IF(AND('Atividades Micro'!$B38=AB$2,'Atividades Micro'!$L38&lt;&gt;""),'Atividades Micro'!$L38,"")</f>
        <v/>
      </c>
      <c r="AC38" s="21" t="str">
        <f>IF(AND('Atividades Micro'!$B38=AC$2,'Atividades Micro'!$K38&lt;&gt;""),'Atividades Micro'!$K38,"")</f>
        <v/>
      </c>
      <c r="AD38" s="21" t="str">
        <f>IF(AND('Atividades Micro'!$B38=AD$2,'Atividades Micro'!$L38&lt;&gt;""),'Atividades Micro'!$L38,"")</f>
        <v/>
      </c>
      <c r="AE38" s="21" t="str">
        <f>IF(AND('Atividades Micro'!$A38=AE$2,'Atividades Micro'!$K38&lt;&gt;""),'Atividades Micro'!$K38,"")</f>
        <v/>
      </c>
      <c r="AF38" s="21" t="str">
        <f>IF(AND('Atividades Micro'!$A38=AF$2,'Atividades Micro'!$L38&lt;&gt;""),'Atividades Micro'!$L38,"")</f>
        <v/>
      </c>
      <c r="AG38" s="21" t="str">
        <f>IF(AND('Atividades Micro'!$B38=AG$2,'Atividades Micro'!$K38&lt;&gt;""),'Atividades Micro'!$K38,"")</f>
        <v/>
      </c>
      <c r="AH38" s="21" t="str">
        <f>IF(AND('Atividades Micro'!$B38=AH$2,'Atividades Micro'!$L38&lt;&gt;""),'Atividades Micro'!$L38,"")</f>
        <v/>
      </c>
      <c r="AI38" s="21" t="str">
        <f>IF(AND('Atividades Micro'!$B38=AI$2,'Atividades Micro'!$K38&lt;&gt;""),'Atividades Micro'!$K38,"")</f>
        <v/>
      </c>
      <c r="AJ38" s="21" t="str">
        <f>IF(AND('Atividades Micro'!$B38=AJ$2,'Atividades Micro'!$L38&lt;&gt;""),'Atividades Micro'!$L38,"")</f>
        <v/>
      </c>
      <c r="AK38" s="21" t="str">
        <f>IF(AND('Atividades Micro'!$A38=AK$2,'Atividades Micro'!$K38&lt;&gt;""),'Atividades Micro'!$K38,"")</f>
        <v/>
      </c>
      <c r="AL38" s="21" t="str">
        <f>IF(AND('Atividades Micro'!$A38=AL$2,'Atividades Micro'!$L38&lt;&gt;""),'Atividades Micro'!$L38,"")</f>
        <v/>
      </c>
      <c r="AM38" s="21" t="str">
        <f>IF(AND('Atividades Micro'!$B38=AM$2,'Atividades Micro'!$K38&lt;&gt;""),'Atividades Micro'!$K38,"")</f>
        <v/>
      </c>
      <c r="AN38" s="21" t="str">
        <f>IF(AND('Atividades Micro'!$B38=AN$2,'Atividades Micro'!$L38&lt;&gt;""),'Atividades Micro'!$L38,"")</f>
        <v/>
      </c>
      <c r="AO38" s="21" t="str">
        <f>IF(AND('Atividades Micro'!$B38=AO$2,'Atividades Micro'!$K38&lt;&gt;""),'Atividades Micro'!$K38,"")</f>
        <v/>
      </c>
      <c r="AP38" s="21" t="str">
        <f>IF(AND('Atividades Micro'!$B38=AP$2,'Atividades Micro'!$L38&lt;&gt;""),'Atividades Micro'!$L38,"")</f>
        <v/>
      </c>
      <c r="AQ38" s="21" t="str">
        <f>IF(AND('Atividades Micro'!$A38=AQ$2,'Atividades Micro'!$K38&lt;&gt;""),'Atividades Micro'!$K38,"")</f>
        <v/>
      </c>
      <c r="AR38" s="21" t="str">
        <f>IF(AND('Atividades Micro'!$A38=AR$2,'Atividades Micro'!$L38&lt;&gt;""),'Atividades Micro'!$L38,"")</f>
        <v/>
      </c>
      <c r="AS38" s="21" t="str">
        <f>IF(AND('Atividades Micro'!$B38=AS$2,'Atividades Micro'!$K38&lt;&gt;""),'Atividades Micro'!$K38,"")</f>
        <v/>
      </c>
      <c r="AT38" s="21" t="str">
        <f>IF(AND('Atividades Micro'!$B38=AT$2,'Atividades Micro'!$L38&lt;&gt;""),'Atividades Micro'!$L38,"")</f>
        <v/>
      </c>
      <c r="AU38" s="21" t="str">
        <f>IF(AND('Atividades Micro'!$A38=AU$2,'Atividades Micro'!$K38&lt;&gt;""),'Atividades Micro'!$K38,"")</f>
        <v/>
      </c>
      <c r="AV38" s="21" t="str">
        <f>IF(AND('Atividades Micro'!$A38=AV$2,'Atividades Micro'!$L38&lt;&gt;""),'Atividades Micro'!$L38,"")</f>
        <v/>
      </c>
      <c r="AW38" s="21" t="str">
        <f>IF(AND('Atividades Micro'!$B38=AW$2,'Atividades Micro'!$K38&lt;&gt;""),'Atividades Micro'!$K38,"")</f>
        <v/>
      </c>
      <c r="AX38" s="21" t="str">
        <f>IF(AND('Atividades Micro'!$B38=AX$2,'Atividades Micro'!$L38&lt;&gt;""),'Atividades Micro'!$L38,"")</f>
        <v/>
      </c>
      <c r="AY38" s="21" t="str">
        <f>IF(AND('Atividades Micro'!$A38=AY$2,'Atividades Micro'!$K38&lt;&gt;""),'Atividades Micro'!$K38,"")</f>
        <v/>
      </c>
      <c r="AZ38" s="21" t="str">
        <f>IF(AND('Atividades Micro'!$A38=AZ$2,'Atividades Micro'!$L38&lt;&gt;""),'Atividades Micro'!$L38,"")</f>
        <v/>
      </c>
      <c r="BA38" s="21" t="str">
        <f>IF(AND('Atividades Micro'!$B38=BA$2,'Atividades Micro'!$K38&lt;&gt;""),'Atividades Micro'!$K38,"")</f>
        <v/>
      </c>
      <c r="BB38" s="21" t="str">
        <f>IF(AND('Atividades Micro'!$B38=BB$2,'Atividades Micro'!$L38&lt;&gt;""),'Atividades Micro'!$L38,"")</f>
        <v/>
      </c>
      <c r="BC38" s="21" t="str">
        <f>IF(AND('Atividades Micro'!$B38=BC$2,'Atividades Micro'!$G38="Macro",'Atividades Micro'!$K38&lt;&gt;""),'Atividades Micro'!$K38,"")</f>
        <v/>
      </c>
      <c r="BD38" s="21" t="str">
        <f>IF(AND('Atividades Micro'!$B38=BD$2,'Atividades Micro'!$G38="Macro",'Atividades Micro'!$K38&lt;&gt;""),'Atividades Micro'!$K38,"")</f>
        <v/>
      </c>
      <c r="BE38" s="21" t="str">
        <f>IF(AND('Atividades Micro'!$B38=BE$2,'Atividades Micro'!$G38="Macro",'Atividades Micro'!$K38&lt;&gt;""),'Atividades Micro'!$K38,"")</f>
        <v/>
      </c>
      <c r="BF38" s="21" t="str">
        <f>IF(AND('Atividades Micro'!$B38=BF$2,'Atividades Micro'!$G38="Macro",'Atividades Micro'!$K38&lt;&gt;""),'Atividades Micro'!$K38,"")</f>
        <v/>
      </c>
      <c r="BG38" s="21" t="str">
        <f>IF(AND('Atividades Micro'!$B38=BG$2,'Atividades Micro'!$G38="Macro",'Atividades Micro'!$K38&lt;&gt;""),'Atividades Micro'!$K38,"")</f>
        <v/>
      </c>
      <c r="BH38" s="21" t="str">
        <f>IF(AND('Atividades Micro'!$B38=BH$2,'Atividades Micro'!$G38="Macro",'Atividades Micro'!$K38&lt;&gt;""),'Atividades Micro'!$K38,"")</f>
        <v/>
      </c>
      <c r="BI38" s="21" t="str">
        <f>IF(AND('Atividades Micro'!$B38=BI$2,'Atividades Micro'!$G38="Macro",'Atividades Micro'!$K38&lt;&gt;""),'Atividades Micro'!$K38,"")</f>
        <v/>
      </c>
      <c r="BJ38" s="21" t="str">
        <f>IF(AND('Atividades Micro'!$B38=BJ$2,'Atividades Micro'!$G38="Macro",'Atividades Micro'!$K38&lt;&gt;""),'Atividades Micro'!$K38,"")</f>
        <v/>
      </c>
      <c r="BK38" s="21" t="str">
        <f>IF(AND('Atividades Micro'!$B38=BK$2,'Atividades Micro'!$G38="Macro",'Atividades Micro'!$K38&lt;&gt;""),'Atividades Micro'!$K38,"")</f>
        <v/>
      </c>
      <c r="BL38" s="21" t="str">
        <f>IF(AND('Atividades Micro'!$B38=BL$2,'Atividades Micro'!$G38="Macro",'Atividades Micro'!$K38&lt;&gt;""),'Atividades Micro'!$K38,"")</f>
        <v/>
      </c>
      <c r="BM38" s="21" t="str">
        <f>IF(AND('Atividades Micro'!$B38=BM$2,'Atividades Micro'!$G38="Macro",'Atividades Micro'!$K38&lt;&gt;""),'Atividades Micro'!$K38,"")</f>
        <v/>
      </c>
      <c r="BN38" s="21" t="str">
        <f>IF(AND('Atividades Micro'!$B38=BN$2,'Atividades Micro'!$G38="Macro",'Atividades Micro'!$K38&lt;&gt;""),'Atividades Micro'!$K38,"")</f>
        <v/>
      </c>
      <c r="BO38" s="21" t="str">
        <f>IF(AND('Atividades Micro'!$B38=BO$2,'Atividades Micro'!$G38="Macro",'Atividades Micro'!$K38&lt;&gt;""),'Atividades Micro'!$K38,"")</f>
        <v/>
      </c>
      <c r="BP38" s="21" t="str">
        <f>IF(AND('Atividades Micro'!$B38=BP$2,'Atividades Micro'!$G38="Macro",'Atividades Micro'!$K38&lt;&gt;""),'Atividades Micro'!$K38,"")</f>
        <v/>
      </c>
      <c r="BQ38" s="21" t="str">
        <f>IF(AND('Atividades Micro'!$B38=BQ$2,'Atividades Micro'!$G38="Macro",'Atividades Micro'!$K38&lt;&gt;""),'Atividades Micro'!$K38,"")</f>
        <v/>
      </c>
      <c r="BR38" s="21" t="str">
        <f>IF(AND('Atividades Micro'!$B38=BR$2,'Atividades Micro'!$G38="Macro",'Atividades Micro'!$K38&lt;&gt;""),'Atividades Micro'!$K38,"")</f>
        <v/>
      </c>
      <c r="BS38" s="21" t="str">
        <f>IF(AND('Atividades Micro'!$B38=BS$2,'Atividades Micro'!$G38="Macro",'Atividades Micro'!$K38&lt;&gt;""),'Atividades Micro'!$K38,"")</f>
        <v/>
      </c>
      <c r="BT38" s="21" t="str">
        <f>IF(AND('Atividades Micro'!$B38=BT$2,'Atividades Micro'!$G38="Macro",'Atividades Micro'!$K38&lt;&gt;""),'Atividades Micro'!$K38,"")</f>
        <v/>
      </c>
      <c r="BU38" s="21" t="str">
        <f>IF(AND('Atividades Micro'!$B38=BU$2,'Atividades Micro'!$G38="Macro",'Atividades Micro'!$K38&lt;&gt;""),'Atividades Micro'!$K38,"")</f>
        <v/>
      </c>
      <c r="BV38" s="21" t="str">
        <f>IF(AND('Atividades Micro'!$B38=BV$2,'Atividades Micro'!$G38="Macro",'Atividades Micro'!$K38&lt;&gt;""),'Atividades Micro'!$K38,"")</f>
        <v/>
      </c>
      <c r="BW38" s="21" t="str">
        <f>IF(AND('Atividades Micro'!$B38=BW$2,'Atividades Micro'!$G38="Macro",'Atividades Micro'!$K38&lt;&gt;""),'Atividades Micro'!$K38,"")</f>
        <v/>
      </c>
      <c r="BX38" s="21" t="str">
        <f>IF(AND('Atividades Micro'!$B38=BX$2,'Atividades Micro'!$G38="Macro",'Atividades Micro'!$K38&lt;&gt;""),'Atividades Micro'!$K38,"")</f>
        <v/>
      </c>
      <c r="BY38" s="21" t="str">
        <f>IF(AND('Atividades Micro'!$B38=BY$2,'Atividades Micro'!$G38="Macro",'Atividades Micro'!$K38&lt;&gt;""),'Atividades Micro'!$K38,"")</f>
        <v/>
      </c>
      <c r="BZ38" s="21" t="str">
        <f>IF(AND('Atividades Micro'!$B38=BZ$2,'Atividades Micro'!$G38="Macro",'Atividades Micro'!$K38&lt;&gt;""),'Atividades Micro'!$K38,"")</f>
        <v/>
      </c>
      <c r="CA38" s="21" t="str">
        <f>IF(AND('Atividades Micro'!$B38=CA$2,'Atividades Micro'!$G38="Macro",'Atividades Micro'!$K38&lt;&gt;""),'Atividades Micro'!$K38,"")</f>
        <v/>
      </c>
      <c r="CB38" s="21" t="str">
        <f>IF(AND('Atividades Micro'!$B38=CB$2,'Atividades Micro'!$G38="Macro",'Atividades Micro'!$K38&lt;&gt;""),'Atividades Micro'!$K38,"")</f>
        <v/>
      </c>
      <c r="CC38" s="21" t="str">
        <f>IF(AND('Atividades Micro'!$B38=CC$2,'Atividades Micro'!$G38="Macro",'Atividades Micro'!$K38&lt;&gt;""),'Atividades Micro'!$K38,"")</f>
        <v/>
      </c>
      <c r="CD38" s="21" t="str">
        <f>IF(AND('Atividades Micro'!$B38=CD$2,'Atividades Micro'!$G38="Micro",'Atividades Micro'!$K38&lt;&gt;""),'Atividades Micro'!$K38,"")</f>
        <v/>
      </c>
      <c r="CE38" s="21">
        <f>IF(AND('Atividades Micro'!$B38=CE$2,'Atividades Micro'!$G38="Micro",'Atividades Micro'!$K38&lt;&gt;""),'Atividades Micro'!$K38,"")</f>
        <v>46356</v>
      </c>
      <c r="CF38" s="21" t="str">
        <f>IF(AND('Atividades Micro'!$B38=CF$2,'Atividades Micro'!$G38="Micro",'Atividades Micro'!$K38&lt;&gt;""),'Atividades Micro'!$K38,"")</f>
        <v/>
      </c>
      <c r="CG38" s="21" t="str">
        <f>IF(AND('Atividades Micro'!$B38=CG$2,'Atividades Micro'!$G38="Micro",'Atividades Micro'!$K38&lt;&gt;""),'Atividades Micro'!$K38,"")</f>
        <v/>
      </c>
      <c r="CH38" s="21" t="str">
        <f>IF(AND('Atividades Micro'!$B38=CH$2,'Atividades Micro'!$G38="Micro",'Atividades Micro'!$K38&lt;&gt;""),'Atividades Micro'!$K38,"")</f>
        <v/>
      </c>
      <c r="CI38" s="21" t="str">
        <f>IF(AND('Atividades Micro'!$B38=CI$2,'Atividades Micro'!$G38="Micro",'Atividades Micro'!$K38&lt;&gt;""),'Atividades Micro'!$K38,"")</f>
        <v/>
      </c>
      <c r="CJ38" s="21" t="str">
        <f>IF(AND('Atividades Micro'!$B38=CJ$2,'Atividades Micro'!$G38="Micro",'Atividades Micro'!$K38&lt;&gt;""),'Atividades Micro'!$K38,"")</f>
        <v/>
      </c>
      <c r="CK38" s="21" t="str">
        <f>IF(AND('Atividades Micro'!$B38=CK$2,'Atividades Micro'!$G38="Micro",'Atividades Micro'!$K38&lt;&gt;""),'Atividades Micro'!$K38,"")</f>
        <v/>
      </c>
      <c r="CL38" s="21" t="str">
        <f>IF(AND('Atividades Micro'!$B38=CL$2,'Atividades Micro'!$G38="Micro",'Atividades Micro'!$K38&lt;&gt;""),'Atividades Micro'!$K38,"")</f>
        <v/>
      </c>
      <c r="CM38" s="21" t="str">
        <f>IF(AND('Atividades Micro'!$B38=CM$2,'Atividades Micro'!$G38="Micro",'Atividades Micro'!$K38&lt;&gt;""),'Atividades Micro'!$K38,"")</f>
        <v/>
      </c>
      <c r="CN38" s="21" t="str">
        <f>IF(AND('Atividades Micro'!$B38=CN$2,'Atividades Micro'!$G38="Micro",'Atividades Micro'!$K38&lt;&gt;""),'Atividades Micro'!$K38,"")</f>
        <v/>
      </c>
      <c r="CO38" s="21" t="str">
        <f>IF(AND('Atividades Micro'!$B38=CO$2,'Atividades Micro'!$G38="Micro",'Atividades Micro'!$K38&lt;&gt;""),'Atividades Micro'!$K38,"")</f>
        <v/>
      </c>
    </row>
    <row r="39" spans="1:93">
      <c r="A39" s="21" t="str">
        <f>IF(AND('Atividades Micro'!$A39=A$2,'Atividades Micro'!$K39&lt;&gt;""),'Atividades Micro'!$K39,"")</f>
        <v/>
      </c>
      <c r="B39" s="21" t="str">
        <f>IF(AND('Atividades Micro'!$A39=B$2,'Atividades Micro'!$L39&lt;&gt;""),'Atividades Micro'!$L39,"")</f>
        <v/>
      </c>
      <c r="C39" s="21" t="str">
        <f>IF(AND('Atividades Micro'!$A39=C$2,'Atividades Micro'!$K39&lt;&gt;""),'Atividades Micro'!$K39,"")</f>
        <v/>
      </c>
      <c r="D39" s="21" t="str">
        <f>IF(AND('Atividades Micro'!$A39=D$2,'Atividades Micro'!$L39&lt;&gt;""),'Atividades Micro'!$L39,"")</f>
        <v/>
      </c>
      <c r="E39" s="21" t="str">
        <f>IF(AND('Atividades Micro'!$A39=E$2,'Atividades Micro'!$K39&lt;&gt;""),'Atividades Micro'!$K39,"")</f>
        <v/>
      </c>
      <c r="F39" s="21" t="str">
        <f>IF(AND('Atividades Micro'!$A39=F$2,'Atividades Micro'!$L39&lt;&gt;""),'Atividades Micro'!$L39,"")</f>
        <v/>
      </c>
      <c r="G39" s="21" t="str">
        <f>IF(AND('Atividades Micro'!$A39=G$2,'Atividades Micro'!$K39&lt;&gt;""),'Atividades Micro'!$K39,"")</f>
        <v/>
      </c>
      <c r="H39" s="21" t="str">
        <f>IF(AND('Atividades Micro'!$A39=H$2,'Atividades Micro'!$L39&lt;&gt;""),'Atividades Micro'!$L39,"")</f>
        <v/>
      </c>
      <c r="I39" s="21">
        <f>IF(AND('Atividades Micro'!$A39=I$2,'Atividades Micro'!$K39&lt;&gt;""),'Atividades Micro'!$K39,"")</f>
        <v>46363</v>
      </c>
      <c r="J39" s="21" t="str">
        <f>IF(AND('Atividades Micro'!$A39=J$2,'Atividades Micro'!$L39&lt;&gt;""),'Atividades Micro'!$L39,"")</f>
        <v/>
      </c>
      <c r="K39" s="21" t="str">
        <f>IF(AND('Atividades Micro'!$B39=K$2,'Atividades Micro'!$K39&lt;&gt;""),'Atividades Micro'!$K39,"")</f>
        <v/>
      </c>
      <c r="L39" s="21" t="str">
        <f>IF(AND('Atividades Micro'!$B39=L$2,'Atividades Micro'!$L39&lt;&gt;""),'Atividades Micro'!$L39,"")</f>
        <v/>
      </c>
      <c r="M39" s="21">
        <f>IF(AND('Atividades Micro'!$B39=M$2,'Atividades Micro'!$K39&lt;&gt;""),'Atividades Micro'!$K39,"")</f>
        <v>46363</v>
      </c>
      <c r="N39" s="21" t="str">
        <f>IF(AND('Atividades Micro'!$B39=N$2,'Atividades Micro'!$L39&lt;&gt;""),'Atividades Micro'!$L39,"")</f>
        <v/>
      </c>
      <c r="O39" s="21" t="str">
        <f>IF(AND('Atividades Micro'!$A39=O$2,'Atividades Micro'!$K39&lt;&gt;""),'Atividades Micro'!$K39,"")</f>
        <v/>
      </c>
      <c r="P39" s="21" t="str">
        <f>IF(AND('Atividades Micro'!$A39=P$2,'Atividades Micro'!$L39&lt;&gt;""),'Atividades Micro'!$L39,"")</f>
        <v/>
      </c>
      <c r="Q39" s="21" t="str">
        <f>IF(AND('Atividades Micro'!$B39=Q$2,'Atividades Micro'!$K39&lt;&gt;""),'Atividades Micro'!$K39,"")</f>
        <v/>
      </c>
      <c r="R39" s="21" t="str">
        <f>IF(AND('Atividades Micro'!$B39=R$2,'Atividades Micro'!$L39&lt;&gt;""),'Atividades Micro'!$L39,"")</f>
        <v/>
      </c>
      <c r="S39" s="21" t="str">
        <f>IF(AND('Atividades Micro'!$A39=S$2,'Atividades Micro'!$K39&lt;&gt;""),'Atividades Micro'!$K39,"")</f>
        <v/>
      </c>
      <c r="T39" s="21" t="str">
        <f>IF(AND('Atividades Micro'!$A39=T$2,'Atividades Micro'!$L39&lt;&gt;""),'Atividades Micro'!$L39,"")</f>
        <v/>
      </c>
      <c r="U39" s="21" t="str">
        <f>IF(AND('Atividades Micro'!$B39=U$2,'Atividades Micro'!$K39&lt;&gt;""),'Atividades Micro'!$K39,"")</f>
        <v/>
      </c>
      <c r="V39" s="21" t="str">
        <f>IF(AND('Atividades Micro'!$B39=V$2,'Atividades Micro'!$L39&lt;&gt;""),'Atividades Micro'!$L39,"")</f>
        <v/>
      </c>
      <c r="W39" s="21" t="str">
        <f>IF(AND('Atividades Micro'!$B39=W$2,'Atividades Micro'!$K39&lt;&gt;""),'Atividades Micro'!$K39,"")</f>
        <v/>
      </c>
      <c r="X39" s="21" t="str">
        <f>IF(AND('Atividades Micro'!$B39=X$2,'Atividades Micro'!$L39&lt;&gt;""),'Atividades Micro'!$L39,"")</f>
        <v/>
      </c>
      <c r="Y39" s="21" t="str">
        <f>IF(AND('Atividades Micro'!$A39=Y$2,'Atividades Micro'!$K39&lt;&gt;""),'Atividades Micro'!$K39,"")</f>
        <v/>
      </c>
      <c r="Z39" s="21" t="str">
        <f>IF(AND('Atividades Micro'!$A39=Z$2,'Atividades Micro'!$L39&lt;&gt;""),'Atividades Micro'!$L39,"")</f>
        <v/>
      </c>
      <c r="AA39" s="21" t="str">
        <f>IF(AND('Atividades Micro'!$B39=AA$2,'Atividades Micro'!$K39&lt;&gt;""),'Atividades Micro'!$K39,"")</f>
        <v/>
      </c>
      <c r="AB39" s="21" t="str">
        <f>IF(AND('Atividades Micro'!$B39=AB$2,'Atividades Micro'!$L39&lt;&gt;""),'Atividades Micro'!$L39,"")</f>
        <v/>
      </c>
      <c r="AC39" s="21" t="str">
        <f>IF(AND('Atividades Micro'!$B39=AC$2,'Atividades Micro'!$K39&lt;&gt;""),'Atividades Micro'!$K39,"")</f>
        <v/>
      </c>
      <c r="AD39" s="21" t="str">
        <f>IF(AND('Atividades Micro'!$B39=AD$2,'Atividades Micro'!$L39&lt;&gt;""),'Atividades Micro'!$L39,"")</f>
        <v/>
      </c>
      <c r="AE39" s="21" t="str">
        <f>IF(AND('Atividades Micro'!$A39=AE$2,'Atividades Micro'!$K39&lt;&gt;""),'Atividades Micro'!$K39,"")</f>
        <v/>
      </c>
      <c r="AF39" s="21" t="str">
        <f>IF(AND('Atividades Micro'!$A39=AF$2,'Atividades Micro'!$L39&lt;&gt;""),'Atividades Micro'!$L39,"")</f>
        <v/>
      </c>
      <c r="AG39" s="21" t="str">
        <f>IF(AND('Atividades Micro'!$B39=AG$2,'Atividades Micro'!$K39&lt;&gt;""),'Atividades Micro'!$K39,"")</f>
        <v/>
      </c>
      <c r="AH39" s="21" t="str">
        <f>IF(AND('Atividades Micro'!$B39=AH$2,'Atividades Micro'!$L39&lt;&gt;""),'Atividades Micro'!$L39,"")</f>
        <v/>
      </c>
      <c r="AI39" s="21" t="str">
        <f>IF(AND('Atividades Micro'!$B39=AI$2,'Atividades Micro'!$K39&lt;&gt;""),'Atividades Micro'!$K39,"")</f>
        <v/>
      </c>
      <c r="AJ39" s="21" t="str">
        <f>IF(AND('Atividades Micro'!$B39=AJ$2,'Atividades Micro'!$L39&lt;&gt;""),'Atividades Micro'!$L39,"")</f>
        <v/>
      </c>
      <c r="AK39" s="21" t="str">
        <f>IF(AND('Atividades Micro'!$A39=AK$2,'Atividades Micro'!$K39&lt;&gt;""),'Atividades Micro'!$K39,"")</f>
        <v/>
      </c>
      <c r="AL39" s="21" t="str">
        <f>IF(AND('Atividades Micro'!$A39=AL$2,'Atividades Micro'!$L39&lt;&gt;""),'Atividades Micro'!$L39,"")</f>
        <v/>
      </c>
      <c r="AM39" s="21" t="str">
        <f>IF(AND('Atividades Micro'!$B39=AM$2,'Atividades Micro'!$K39&lt;&gt;""),'Atividades Micro'!$K39,"")</f>
        <v/>
      </c>
      <c r="AN39" s="21" t="str">
        <f>IF(AND('Atividades Micro'!$B39=AN$2,'Atividades Micro'!$L39&lt;&gt;""),'Atividades Micro'!$L39,"")</f>
        <v/>
      </c>
      <c r="AO39" s="21" t="str">
        <f>IF(AND('Atividades Micro'!$B39=AO$2,'Atividades Micro'!$K39&lt;&gt;""),'Atividades Micro'!$K39,"")</f>
        <v/>
      </c>
      <c r="AP39" s="21" t="str">
        <f>IF(AND('Atividades Micro'!$B39=AP$2,'Atividades Micro'!$L39&lt;&gt;""),'Atividades Micro'!$L39,"")</f>
        <v/>
      </c>
      <c r="AQ39" s="21" t="str">
        <f>IF(AND('Atividades Micro'!$A39=AQ$2,'Atividades Micro'!$K39&lt;&gt;""),'Atividades Micro'!$K39,"")</f>
        <v/>
      </c>
      <c r="AR39" s="21" t="str">
        <f>IF(AND('Atividades Micro'!$A39=AR$2,'Atividades Micro'!$L39&lt;&gt;""),'Atividades Micro'!$L39,"")</f>
        <v/>
      </c>
      <c r="AS39" s="21" t="str">
        <f>IF(AND('Atividades Micro'!$B39=AS$2,'Atividades Micro'!$K39&lt;&gt;""),'Atividades Micro'!$K39,"")</f>
        <v/>
      </c>
      <c r="AT39" s="21" t="str">
        <f>IF(AND('Atividades Micro'!$B39=AT$2,'Atividades Micro'!$L39&lt;&gt;""),'Atividades Micro'!$L39,"")</f>
        <v/>
      </c>
      <c r="AU39" s="21" t="str">
        <f>IF(AND('Atividades Micro'!$A39=AU$2,'Atividades Micro'!$K39&lt;&gt;""),'Atividades Micro'!$K39,"")</f>
        <v/>
      </c>
      <c r="AV39" s="21" t="str">
        <f>IF(AND('Atividades Micro'!$A39=AV$2,'Atividades Micro'!$L39&lt;&gt;""),'Atividades Micro'!$L39,"")</f>
        <v/>
      </c>
      <c r="AW39" s="21" t="str">
        <f>IF(AND('Atividades Micro'!$B39=AW$2,'Atividades Micro'!$K39&lt;&gt;""),'Atividades Micro'!$K39,"")</f>
        <v/>
      </c>
      <c r="AX39" s="21" t="str">
        <f>IF(AND('Atividades Micro'!$B39=AX$2,'Atividades Micro'!$L39&lt;&gt;""),'Atividades Micro'!$L39,"")</f>
        <v/>
      </c>
      <c r="AY39" s="21" t="str">
        <f>IF(AND('Atividades Micro'!$A39=AY$2,'Atividades Micro'!$K39&lt;&gt;""),'Atividades Micro'!$K39,"")</f>
        <v/>
      </c>
      <c r="AZ39" s="21" t="str">
        <f>IF(AND('Atividades Micro'!$A39=AZ$2,'Atividades Micro'!$L39&lt;&gt;""),'Atividades Micro'!$L39,"")</f>
        <v/>
      </c>
      <c r="BA39" s="21" t="str">
        <f>IF(AND('Atividades Micro'!$B39=BA$2,'Atividades Micro'!$K39&lt;&gt;""),'Atividades Micro'!$K39,"")</f>
        <v/>
      </c>
      <c r="BB39" s="21" t="str">
        <f>IF(AND('Atividades Micro'!$B39=BB$2,'Atividades Micro'!$L39&lt;&gt;""),'Atividades Micro'!$L39,"")</f>
        <v/>
      </c>
      <c r="BC39" s="21" t="str">
        <f>IF(AND('Atividades Micro'!$B39=BC$2,'Atividades Micro'!$G39="Macro",'Atividades Micro'!$K39&lt;&gt;""),'Atividades Micro'!$K39,"")</f>
        <v/>
      </c>
      <c r="BD39" s="21" t="str">
        <f>IF(AND('Atividades Micro'!$B39=BD$2,'Atividades Micro'!$G39="Macro",'Atividades Micro'!$K39&lt;&gt;""),'Atividades Micro'!$K39,"")</f>
        <v/>
      </c>
      <c r="BE39" s="21" t="str">
        <f>IF(AND('Atividades Micro'!$B39=BE$2,'Atividades Micro'!$G39="Macro",'Atividades Micro'!$K39&lt;&gt;""),'Atividades Micro'!$K39,"")</f>
        <v/>
      </c>
      <c r="BF39" s="21" t="str">
        <f>IF(AND('Atividades Micro'!$B39=BF$2,'Atividades Micro'!$G39="Macro",'Atividades Micro'!$K39&lt;&gt;""),'Atividades Micro'!$K39,"")</f>
        <v/>
      </c>
      <c r="BG39" s="21" t="str">
        <f>IF(AND('Atividades Micro'!$B39=BG$2,'Atividades Micro'!$G39="Macro",'Atividades Micro'!$K39&lt;&gt;""),'Atividades Micro'!$K39,"")</f>
        <v/>
      </c>
      <c r="BH39" s="21" t="str">
        <f>IF(AND('Atividades Micro'!$B39=BH$2,'Atividades Micro'!$G39="Macro",'Atividades Micro'!$K39&lt;&gt;""),'Atividades Micro'!$K39,"")</f>
        <v/>
      </c>
      <c r="BI39" s="21" t="str">
        <f>IF(AND('Atividades Micro'!$B39=BI$2,'Atividades Micro'!$G39="Macro",'Atividades Micro'!$K39&lt;&gt;""),'Atividades Micro'!$K39,"")</f>
        <v/>
      </c>
      <c r="BJ39" s="21" t="str">
        <f>IF(AND('Atividades Micro'!$B39=BJ$2,'Atividades Micro'!$G39="Macro",'Atividades Micro'!$K39&lt;&gt;""),'Atividades Micro'!$K39,"")</f>
        <v/>
      </c>
      <c r="BK39" s="21" t="str">
        <f>IF(AND('Atividades Micro'!$B39=BK$2,'Atividades Micro'!$G39="Macro",'Atividades Micro'!$K39&lt;&gt;""),'Atividades Micro'!$K39,"")</f>
        <v/>
      </c>
      <c r="BL39" s="21" t="str">
        <f>IF(AND('Atividades Micro'!$B39=BL$2,'Atividades Micro'!$G39="Macro",'Atividades Micro'!$K39&lt;&gt;""),'Atividades Micro'!$K39,"")</f>
        <v/>
      </c>
      <c r="BM39" s="21" t="str">
        <f>IF(AND('Atividades Micro'!$B39=BM$2,'Atividades Micro'!$G39="Macro",'Atividades Micro'!$K39&lt;&gt;""),'Atividades Micro'!$K39,"")</f>
        <v/>
      </c>
      <c r="BN39" s="21" t="str">
        <f>IF(AND('Atividades Micro'!$B39=BN$2,'Atividades Micro'!$G39="Macro",'Atividades Micro'!$K39&lt;&gt;""),'Atividades Micro'!$K39,"")</f>
        <v/>
      </c>
      <c r="BO39" s="21" t="str">
        <f>IF(AND('Atividades Micro'!$B39=BO$2,'Atividades Micro'!$G39="Macro",'Atividades Micro'!$K39&lt;&gt;""),'Atividades Micro'!$K39,"")</f>
        <v/>
      </c>
      <c r="BP39" s="21" t="str">
        <f>IF(AND('Atividades Micro'!$B39=BP$2,'Atividades Micro'!$G39="Macro",'Atividades Micro'!$K39&lt;&gt;""),'Atividades Micro'!$K39,"")</f>
        <v/>
      </c>
      <c r="BQ39" s="21" t="str">
        <f>IF(AND('Atividades Micro'!$B39=BQ$2,'Atividades Micro'!$G39="Macro",'Atividades Micro'!$K39&lt;&gt;""),'Atividades Micro'!$K39,"")</f>
        <v/>
      </c>
      <c r="BR39" s="21" t="str">
        <f>IF(AND('Atividades Micro'!$B39=BR$2,'Atividades Micro'!$G39="Macro",'Atividades Micro'!$K39&lt;&gt;""),'Atividades Micro'!$K39,"")</f>
        <v/>
      </c>
      <c r="BS39" s="21" t="str">
        <f>IF(AND('Atividades Micro'!$B39=BS$2,'Atividades Micro'!$G39="Macro",'Atividades Micro'!$K39&lt;&gt;""),'Atividades Micro'!$K39,"")</f>
        <v/>
      </c>
      <c r="BT39" s="21" t="str">
        <f>IF(AND('Atividades Micro'!$B39=BT$2,'Atividades Micro'!$G39="Macro",'Atividades Micro'!$K39&lt;&gt;""),'Atividades Micro'!$K39,"")</f>
        <v/>
      </c>
      <c r="BU39" s="21" t="str">
        <f>IF(AND('Atividades Micro'!$B39=BU$2,'Atividades Micro'!$G39="Macro",'Atividades Micro'!$K39&lt;&gt;""),'Atividades Micro'!$K39,"")</f>
        <v/>
      </c>
      <c r="BV39" s="21" t="str">
        <f>IF(AND('Atividades Micro'!$B39=BV$2,'Atividades Micro'!$G39="Macro",'Atividades Micro'!$K39&lt;&gt;""),'Atividades Micro'!$K39,"")</f>
        <v/>
      </c>
      <c r="BW39" s="21" t="str">
        <f>IF(AND('Atividades Micro'!$B39=BW$2,'Atividades Micro'!$G39="Macro",'Atividades Micro'!$K39&lt;&gt;""),'Atividades Micro'!$K39,"")</f>
        <v/>
      </c>
      <c r="BX39" s="21" t="str">
        <f>IF(AND('Atividades Micro'!$B39=BX$2,'Atividades Micro'!$G39="Macro",'Atividades Micro'!$K39&lt;&gt;""),'Atividades Micro'!$K39,"")</f>
        <v/>
      </c>
      <c r="BY39" s="21" t="str">
        <f>IF(AND('Atividades Micro'!$B39=BY$2,'Atividades Micro'!$G39="Macro",'Atividades Micro'!$K39&lt;&gt;""),'Atividades Micro'!$K39,"")</f>
        <v/>
      </c>
      <c r="BZ39" s="21" t="str">
        <f>IF(AND('Atividades Micro'!$B39=BZ$2,'Atividades Micro'!$G39="Macro",'Atividades Micro'!$K39&lt;&gt;""),'Atividades Micro'!$K39,"")</f>
        <v/>
      </c>
      <c r="CA39" s="21" t="str">
        <f>IF(AND('Atividades Micro'!$B39=CA$2,'Atividades Micro'!$G39="Macro",'Atividades Micro'!$K39&lt;&gt;""),'Atividades Micro'!$K39,"")</f>
        <v/>
      </c>
      <c r="CB39" s="21" t="str">
        <f>IF(AND('Atividades Micro'!$B39=CB$2,'Atividades Micro'!$G39="Macro",'Atividades Micro'!$K39&lt;&gt;""),'Atividades Micro'!$K39,"")</f>
        <v/>
      </c>
      <c r="CC39" s="21" t="str">
        <f>IF(AND('Atividades Micro'!$B39=CC$2,'Atividades Micro'!$G39="Macro",'Atividades Micro'!$K39&lt;&gt;""),'Atividades Micro'!$K39,"")</f>
        <v/>
      </c>
      <c r="CD39" s="21" t="str">
        <f>IF(AND('Atividades Micro'!$B39=CD$2,'Atividades Micro'!$G39="Micro",'Atividades Micro'!$K39&lt;&gt;""),'Atividades Micro'!$K39,"")</f>
        <v/>
      </c>
      <c r="CE39" s="21">
        <f>IF(AND('Atividades Micro'!$B39=CE$2,'Atividades Micro'!$G39="Micro",'Atividades Micro'!$K39&lt;&gt;""),'Atividades Micro'!$K39,"")</f>
        <v>46363</v>
      </c>
      <c r="CF39" s="21" t="str">
        <f>IF(AND('Atividades Micro'!$B39=CF$2,'Atividades Micro'!$G39="Micro",'Atividades Micro'!$K39&lt;&gt;""),'Atividades Micro'!$K39,"")</f>
        <v/>
      </c>
      <c r="CG39" s="21" t="str">
        <f>IF(AND('Atividades Micro'!$B39=CG$2,'Atividades Micro'!$G39="Micro",'Atividades Micro'!$K39&lt;&gt;""),'Atividades Micro'!$K39,"")</f>
        <v/>
      </c>
      <c r="CH39" s="21" t="str">
        <f>IF(AND('Atividades Micro'!$B39=CH$2,'Atividades Micro'!$G39="Micro",'Atividades Micro'!$K39&lt;&gt;""),'Atividades Micro'!$K39,"")</f>
        <v/>
      </c>
      <c r="CI39" s="21" t="str">
        <f>IF(AND('Atividades Micro'!$B39=CI$2,'Atividades Micro'!$G39="Micro",'Atividades Micro'!$K39&lt;&gt;""),'Atividades Micro'!$K39,"")</f>
        <v/>
      </c>
      <c r="CJ39" s="21" t="str">
        <f>IF(AND('Atividades Micro'!$B39=CJ$2,'Atividades Micro'!$G39="Micro",'Atividades Micro'!$K39&lt;&gt;""),'Atividades Micro'!$K39,"")</f>
        <v/>
      </c>
      <c r="CK39" s="21" t="str">
        <f>IF(AND('Atividades Micro'!$B39=CK$2,'Atividades Micro'!$G39="Micro",'Atividades Micro'!$K39&lt;&gt;""),'Atividades Micro'!$K39,"")</f>
        <v/>
      </c>
      <c r="CL39" s="21" t="str">
        <f>IF(AND('Atividades Micro'!$B39=CL$2,'Atividades Micro'!$G39="Micro",'Atividades Micro'!$K39&lt;&gt;""),'Atividades Micro'!$K39,"")</f>
        <v/>
      </c>
      <c r="CM39" s="21" t="str">
        <f>IF(AND('Atividades Micro'!$B39=CM$2,'Atividades Micro'!$G39="Micro",'Atividades Micro'!$K39&lt;&gt;""),'Atividades Micro'!$K39,"")</f>
        <v/>
      </c>
      <c r="CN39" s="21" t="str">
        <f>IF(AND('Atividades Micro'!$B39=CN$2,'Atividades Micro'!$G39="Micro",'Atividades Micro'!$K39&lt;&gt;""),'Atividades Micro'!$K39,"")</f>
        <v/>
      </c>
      <c r="CO39" s="21" t="str">
        <f>IF(AND('Atividades Micro'!$B39=CO$2,'Atividades Micro'!$G39="Micro",'Atividades Micro'!$K39&lt;&gt;""),'Atividades Micro'!$K39,"")</f>
        <v/>
      </c>
    </row>
    <row r="40" spans="1:93">
      <c r="A40" s="21" t="str">
        <f>IF(AND('Atividades Micro'!$A40=A$2,'Atividades Micro'!$K40&lt;&gt;""),'Atividades Micro'!$K40,"")</f>
        <v/>
      </c>
      <c r="B40" s="21" t="str">
        <f>IF(AND('Atividades Micro'!$A40=B$2,'Atividades Micro'!$L40&lt;&gt;""),'Atividades Micro'!$L40,"")</f>
        <v/>
      </c>
      <c r="C40" s="21" t="str">
        <f>IF(AND('Atividades Micro'!$A40=C$2,'Atividades Micro'!$K40&lt;&gt;""),'Atividades Micro'!$K40,"")</f>
        <v/>
      </c>
      <c r="D40" s="21" t="str">
        <f>IF(AND('Atividades Micro'!$A40=D$2,'Atividades Micro'!$L40&lt;&gt;""),'Atividades Micro'!$L40,"")</f>
        <v/>
      </c>
      <c r="E40" s="21" t="str">
        <f>IF(AND('Atividades Micro'!$A40=E$2,'Atividades Micro'!$K40&lt;&gt;""),'Atividades Micro'!$K40,"")</f>
        <v/>
      </c>
      <c r="F40" s="21" t="str">
        <f>IF(AND('Atividades Micro'!$A40=F$2,'Atividades Micro'!$L40&lt;&gt;""),'Atividades Micro'!$L40,"")</f>
        <v/>
      </c>
      <c r="G40" s="21" t="str">
        <f>IF(AND('Atividades Micro'!$A40=G$2,'Atividades Micro'!$K40&lt;&gt;""),'Atividades Micro'!$K40,"")</f>
        <v/>
      </c>
      <c r="H40" s="21" t="str">
        <f>IF(AND('Atividades Micro'!$A40=H$2,'Atividades Micro'!$L40&lt;&gt;""),'Atividades Micro'!$L40,"")</f>
        <v/>
      </c>
      <c r="I40" s="21">
        <f>IF(AND('Atividades Micro'!$A40=I$2,'Atividades Micro'!$K40&lt;&gt;""),'Atividades Micro'!$K40,"")</f>
        <v>46244</v>
      </c>
      <c r="J40" s="21">
        <f>IF(AND('Atividades Micro'!$A40=J$2,'Atividades Micro'!$L40&lt;&gt;""),'Atividades Micro'!$L40,"")</f>
        <v>46246</v>
      </c>
      <c r="K40" s="21" t="str">
        <f>IF(AND('Atividades Micro'!$B40=K$2,'Atividades Micro'!$K40&lt;&gt;""),'Atividades Micro'!$K40,"")</f>
        <v/>
      </c>
      <c r="L40" s="21" t="str">
        <f>IF(AND('Atividades Micro'!$B40=L$2,'Atividades Micro'!$L40&lt;&gt;""),'Atividades Micro'!$L40,"")</f>
        <v/>
      </c>
      <c r="M40" s="21">
        <f>IF(AND('Atividades Micro'!$B40=M$2,'Atividades Micro'!$K40&lt;&gt;""),'Atividades Micro'!$K40,"")</f>
        <v>46244</v>
      </c>
      <c r="N40" s="21">
        <f>IF(AND('Atividades Micro'!$B40=N$2,'Atividades Micro'!$L40&lt;&gt;""),'Atividades Micro'!$L40,"")</f>
        <v>46246</v>
      </c>
      <c r="O40" s="21" t="str">
        <f>IF(AND('Atividades Micro'!$A40=O$2,'Atividades Micro'!$K40&lt;&gt;""),'Atividades Micro'!$K40,"")</f>
        <v/>
      </c>
      <c r="P40" s="21" t="str">
        <f>IF(AND('Atividades Micro'!$A40=P$2,'Atividades Micro'!$L40&lt;&gt;""),'Atividades Micro'!$L40,"")</f>
        <v/>
      </c>
      <c r="Q40" s="21" t="str">
        <f>IF(AND('Atividades Micro'!$B40=Q$2,'Atividades Micro'!$K40&lt;&gt;""),'Atividades Micro'!$K40,"")</f>
        <v/>
      </c>
      <c r="R40" s="21" t="str">
        <f>IF(AND('Atividades Micro'!$B40=R$2,'Atividades Micro'!$L40&lt;&gt;""),'Atividades Micro'!$L40,"")</f>
        <v/>
      </c>
      <c r="S40" s="21" t="str">
        <f>IF(AND('Atividades Micro'!$A40=S$2,'Atividades Micro'!$K40&lt;&gt;""),'Atividades Micro'!$K40,"")</f>
        <v/>
      </c>
      <c r="T40" s="21" t="str">
        <f>IF(AND('Atividades Micro'!$A40=T$2,'Atividades Micro'!$L40&lt;&gt;""),'Atividades Micro'!$L40,"")</f>
        <v/>
      </c>
      <c r="U40" s="21" t="str">
        <f>IF(AND('Atividades Micro'!$B40=U$2,'Atividades Micro'!$K40&lt;&gt;""),'Atividades Micro'!$K40,"")</f>
        <v/>
      </c>
      <c r="V40" s="21" t="str">
        <f>IF(AND('Atividades Micro'!$B40=V$2,'Atividades Micro'!$L40&lt;&gt;""),'Atividades Micro'!$L40,"")</f>
        <v/>
      </c>
      <c r="W40" s="21" t="str">
        <f>IF(AND('Atividades Micro'!$B40=W$2,'Atividades Micro'!$K40&lt;&gt;""),'Atividades Micro'!$K40,"")</f>
        <v/>
      </c>
      <c r="X40" s="21" t="str">
        <f>IF(AND('Atividades Micro'!$B40=X$2,'Atividades Micro'!$L40&lt;&gt;""),'Atividades Micro'!$L40,"")</f>
        <v/>
      </c>
      <c r="Y40" s="21" t="str">
        <f>IF(AND('Atividades Micro'!$A40=Y$2,'Atividades Micro'!$K40&lt;&gt;""),'Atividades Micro'!$K40,"")</f>
        <v/>
      </c>
      <c r="Z40" s="21" t="str">
        <f>IF(AND('Atividades Micro'!$A40=Z$2,'Atividades Micro'!$L40&lt;&gt;""),'Atividades Micro'!$L40,"")</f>
        <v/>
      </c>
      <c r="AA40" s="21" t="str">
        <f>IF(AND('Atividades Micro'!$B40=AA$2,'Atividades Micro'!$K40&lt;&gt;""),'Atividades Micro'!$K40,"")</f>
        <v/>
      </c>
      <c r="AB40" s="21" t="str">
        <f>IF(AND('Atividades Micro'!$B40=AB$2,'Atividades Micro'!$L40&lt;&gt;""),'Atividades Micro'!$L40,"")</f>
        <v/>
      </c>
      <c r="AC40" s="21" t="str">
        <f>IF(AND('Atividades Micro'!$B40=AC$2,'Atividades Micro'!$K40&lt;&gt;""),'Atividades Micro'!$K40,"")</f>
        <v/>
      </c>
      <c r="AD40" s="21" t="str">
        <f>IF(AND('Atividades Micro'!$B40=AD$2,'Atividades Micro'!$L40&lt;&gt;""),'Atividades Micro'!$L40,"")</f>
        <v/>
      </c>
      <c r="AE40" s="21" t="str">
        <f>IF(AND('Atividades Micro'!$A40=AE$2,'Atividades Micro'!$K40&lt;&gt;""),'Atividades Micro'!$K40,"")</f>
        <v/>
      </c>
      <c r="AF40" s="21" t="str">
        <f>IF(AND('Atividades Micro'!$A40=AF$2,'Atividades Micro'!$L40&lt;&gt;""),'Atividades Micro'!$L40,"")</f>
        <v/>
      </c>
      <c r="AG40" s="21" t="str">
        <f>IF(AND('Atividades Micro'!$B40=AG$2,'Atividades Micro'!$K40&lt;&gt;""),'Atividades Micro'!$K40,"")</f>
        <v/>
      </c>
      <c r="AH40" s="21" t="str">
        <f>IF(AND('Atividades Micro'!$B40=AH$2,'Atividades Micro'!$L40&lt;&gt;""),'Atividades Micro'!$L40,"")</f>
        <v/>
      </c>
      <c r="AI40" s="21" t="str">
        <f>IF(AND('Atividades Micro'!$B40=AI$2,'Atividades Micro'!$K40&lt;&gt;""),'Atividades Micro'!$K40,"")</f>
        <v/>
      </c>
      <c r="AJ40" s="21" t="str">
        <f>IF(AND('Atividades Micro'!$B40=AJ$2,'Atividades Micro'!$L40&lt;&gt;""),'Atividades Micro'!$L40,"")</f>
        <v/>
      </c>
      <c r="AK40" s="21" t="str">
        <f>IF(AND('Atividades Micro'!$A40=AK$2,'Atividades Micro'!$K40&lt;&gt;""),'Atividades Micro'!$K40,"")</f>
        <v/>
      </c>
      <c r="AL40" s="21" t="str">
        <f>IF(AND('Atividades Micro'!$A40=AL$2,'Atividades Micro'!$L40&lt;&gt;""),'Atividades Micro'!$L40,"")</f>
        <v/>
      </c>
      <c r="AM40" s="21" t="str">
        <f>IF(AND('Atividades Micro'!$B40=AM$2,'Atividades Micro'!$K40&lt;&gt;""),'Atividades Micro'!$K40,"")</f>
        <v/>
      </c>
      <c r="AN40" s="21" t="str">
        <f>IF(AND('Atividades Micro'!$B40=AN$2,'Atividades Micro'!$L40&lt;&gt;""),'Atividades Micro'!$L40,"")</f>
        <v/>
      </c>
      <c r="AO40" s="21" t="str">
        <f>IF(AND('Atividades Micro'!$B40=AO$2,'Atividades Micro'!$K40&lt;&gt;""),'Atividades Micro'!$K40,"")</f>
        <v/>
      </c>
      <c r="AP40" s="21" t="str">
        <f>IF(AND('Atividades Micro'!$B40=AP$2,'Atividades Micro'!$L40&lt;&gt;""),'Atividades Micro'!$L40,"")</f>
        <v/>
      </c>
      <c r="AQ40" s="21" t="str">
        <f>IF(AND('Atividades Micro'!$A40=AQ$2,'Atividades Micro'!$K40&lt;&gt;""),'Atividades Micro'!$K40,"")</f>
        <v/>
      </c>
      <c r="AR40" s="21" t="str">
        <f>IF(AND('Atividades Micro'!$A40=AR$2,'Atividades Micro'!$L40&lt;&gt;""),'Atividades Micro'!$L40,"")</f>
        <v/>
      </c>
      <c r="AS40" s="21" t="str">
        <f>IF(AND('Atividades Micro'!$B40=AS$2,'Atividades Micro'!$K40&lt;&gt;""),'Atividades Micro'!$K40,"")</f>
        <v/>
      </c>
      <c r="AT40" s="21" t="str">
        <f>IF(AND('Atividades Micro'!$B40=AT$2,'Atividades Micro'!$L40&lt;&gt;""),'Atividades Micro'!$L40,"")</f>
        <v/>
      </c>
      <c r="AU40" s="21" t="str">
        <f>IF(AND('Atividades Micro'!$A40=AU$2,'Atividades Micro'!$K40&lt;&gt;""),'Atividades Micro'!$K40,"")</f>
        <v/>
      </c>
      <c r="AV40" s="21" t="str">
        <f>IF(AND('Atividades Micro'!$A40=AV$2,'Atividades Micro'!$L40&lt;&gt;""),'Atividades Micro'!$L40,"")</f>
        <v/>
      </c>
      <c r="AW40" s="21" t="str">
        <f>IF(AND('Atividades Micro'!$B40=AW$2,'Atividades Micro'!$K40&lt;&gt;""),'Atividades Micro'!$K40,"")</f>
        <v/>
      </c>
      <c r="AX40" s="21" t="str">
        <f>IF(AND('Atividades Micro'!$B40=AX$2,'Atividades Micro'!$L40&lt;&gt;""),'Atividades Micro'!$L40,"")</f>
        <v/>
      </c>
      <c r="AY40" s="21" t="str">
        <f>IF(AND('Atividades Micro'!$A40=AY$2,'Atividades Micro'!$K40&lt;&gt;""),'Atividades Micro'!$K40,"")</f>
        <v/>
      </c>
      <c r="AZ40" s="21" t="str">
        <f>IF(AND('Atividades Micro'!$A40=AZ$2,'Atividades Micro'!$L40&lt;&gt;""),'Atividades Micro'!$L40,"")</f>
        <v/>
      </c>
      <c r="BA40" s="21" t="str">
        <f>IF(AND('Atividades Micro'!$B40=BA$2,'Atividades Micro'!$K40&lt;&gt;""),'Atividades Micro'!$K40,"")</f>
        <v/>
      </c>
      <c r="BB40" s="21" t="str">
        <f>IF(AND('Atividades Micro'!$B40=BB$2,'Atividades Micro'!$L40&lt;&gt;""),'Atividades Micro'!$L40,"")</f>
        <v/>
      </c>
      <c r="BC40" s="21" t="str">
        <f>IF(AND('Atividades Micro'!$B40=BC$2,'Atividades Micro'!$G40="Macro",'Atividades Micro'!$K40&lt;&gt;""),'Atividades Micro'!$K40,"")</f>
        <v/>
      </c>
      <c r="BD40" s="21" t="str">
        <f>IF(AND('Atividades Micro'!$B40=BD$2,'Atividades Micro'!$G40="Macro",'Atividades Micro'!$K40&lt;&gt;""),'Atividades Micro'!$K40,"")</f>
        <v/>
      </c>
      <c r="BE40" s="21" t="str">
        <f>IF(AND('Atividades Micro'!$B40=BE$2,'Atividades Micro'!$G40="Macro",'Atividades Micro'!$K40&lt;&gt;""),'Atividades Micro'!$K40,"")</f>
        <v/>
      </c>
      <c r="BF40" s="21" t="str">
        <f>IF(AND('Atividades Micro'!$B40=BF$2,'Atividades Micro'!$G40="Macro",'Atividades Micro'!$K40&lt;&gt;""),'Atividades Micro'!$K40,"")</f>
        <v/>
      </c>
      <c r="BG40" s="21" t="str">
        <f>IF(AND('Atividades Micro'!$B40=BG$2,'Atividades Micro'!$G40="Macro",'Atividades Micro'!$K40&lt;&gt;""),'Atividades Micro'!$K40,"")</f>
        <v/>
      </c>
      <c r="BH40" s="21" t="str">
        <f>IF(AND('Atividades Micro'!$B40=BH$2,'Atividades Micro'!$G40="Macro",'Atividades Micro'!$K40&lt;&gt;""),'Atividades Micro'!$K40,"")</f>
        <v/>
      </c>
      <c r="BI40" s="21" t="str">
        <f>IF(AND('Atividades Micro'!$B40=BI$2,'Atividades Micro'!$G40="Macro",'Atividades Micro'!$K40&lt;&gt;""),'Atividades Micro'!$K40,"")</f>
        <v/>
      </c>
      <c r="BJ40" s="21" t="str">
        <f>IF(AND('Atividades Micro'!$B40=BJ$2,'Atividades Micro'!$G40="Macro",'Atividades Micro'!$K40&lt;&gt;""),'Atividades Micro'!$K40,"")</f>
        <v/>
      </c>
      <c r="BK40" s="21" t="str">
        <f>IF(AND('Atividades Micro'!$B40=BK$2,'Atividades Micro'!$G40="Macro",'Atividades Micro'!$K40&lt;&gt;""),'Atividades Micro'!$K40,"")</f>
        <v/>
      </c>
      <c r="BL40" s="21" t="str">
        <f>IF(AND('Atividades Micro'!$B40=BL$2,'Atividades Micro'!$G40="Macro",'Atividades Micro'!$K40&lt;&gt;""),'Atividades Micro'!$K40,"")</f>
        <v/>
      </c>
      <c r="BM40" s="21" t="str">
        <f>IF(AND('Atividades Micro'!$B40=BM$2,'Atividades Micro'!$G40="Macro",'Atividades Micro'!$K40&lt;&gt;""),'Atividades Micro'!$K40,"")</f>
        <v/>
      </c>
      <c r="BN40" s="21" t="str">
        <f>IF(AND('Atividades Micro'!$B40=BN$2,'Atividades Micro'!$G40="Macro",'Atividades Micro'!$K40&lt;&gt;""),'Atividades Micro'!$K40,"")</f>
        <v/>
      </c>
      <c r="BO40" s="21" t="str">
        <f>IF(AND('Atividades Micro'!$B40=BO$2,'Atividades Micro'!$G40="Macro",'Atividades Micro'!$K40&lt;&gt;""),'Atividades Micro'!$K40,"")</f>
        <v/>
      </c>
      <c r="BP40" s="21" t="str">
        <f>IF(AND('Atividades Micro'!$B40=BP$2,'Atividades Micro'!$G40="Macro",'Atividades Micro'!$K40&lt;&gt;""),'Atividades Micro'!$K40,"")</f>
        <v/>
      </c>
      <c r="BQ40" s="21" t="str">
        <f>IF(AND('Atividades Micro'!$B40=BQ$2,'Atividades Micro'!$G40="Macro",'Atividades Micro'!$K40&lt;&gt;""),'Atividades Micro'!$K40,"")</f>
        <v/>
      </c>
      <c r="BR40" s="21" t="str">
        <f>IF(AND('Atividades Micro'!$B40=BR$2,'Atividades Micro'!$G40="Macro",'Atividades Micro'!$K40&lt;&gt;""),'Atividades Micro'!$K40,"")</f>
        <v/>
      </c>
      <c r="BS40" s="21" t="str">
        <f>IF(AND('Atividades Micro'!$B40=BS$2,'Atividades Micro'!$G40="Macro",'Atividades Micro'!$K40&lt;&gt;""),'Atividades Micro'!$K40,"")</f>
        <v/>
      </c>
      <c r="BT40" s="21" t="str">
        <f>IF(AND('Atividades Micro'!$B40=BT$2,'Atividades Micro'!$G40="Macro",'Atividades Micro'!$K40&lt;&gt;""),'Atividades Micro'!$K40,"")</f>
        <v/>
      </c>
      <c r="BU40" s="21" t="str">
        <f>IF(AND('Atividades Micro'!$B40=BU$2,'Atividades Micro'!$G40="Macro",'Atividades Micro'!$K40&lt;&gt;""),'Atividades Micro'!$K40,"")</f>
        <v/>
      </c>
      <c r="BV40" s="21" t="str">
        <f>IF(AND('Atividades Micro'!$B40=BV$2,'Atividades Micro'!$G40="Macro",'Atividades Micro'!$K40&lt;&gt;""),'Atividades Micro'!$K40,"")</f>
        <v/>
      </c>
      <c r="BW40" s="21" t="str">
        <f>IF(AND('Atividades Micro'!$B40=BW$2,'Atividades Micro'!$G40="Macro",'Atividades Micro'!$K40&lt;&gt;""),'Atividades Micro'!$K40,"")</f>
        <v/>
      </c>
      <c r="BX40" s="21" t="str">
        <f>IF(AND('Atividades Micro'!$B40=BX$2,'Atividades Micro'!$G40="Macro",'Atividades Micro'!$K40&lt;&gt;""),'Atividades Micro'!$K40,"")</f>
        <v/>
      </c>
      <c r="BY40" s="21" t="str">
        <f>IF(AND('Atividades Micro'!$B40=BY$2,'Atividades Micro'!$G40="Macro",'Atividades Micro'!$K40&lt;&gt;""),'Atividades Micro'!$K40,"")</f>
        <v/>
      </c>
      <c r="BZ40" s="21" t="str">
        <f>IF(AND('Atividades Micro'!$B40=BZ$2,'Atividades Micro'!$G40="Macro",'Atividades Micro'!$K40&lt;&gt;""),'Atividades Micro'!$K40,"")</f>
        <v/>
      </c>
      <c r="CA40" s="21" t="str">
        <f>IF(AND('Atividades Micro'!$B40=CA$2,'Atividades Micro'!$G40="Macro",'Atividades Micro'!$K40&lt;&gt;""),'Atividades Micro'!$K40,"")</f>
        <v/>
      </c>
      <c r="CB40" s="21" t="str">
        <f>IF(AND('Atividades Micro'!$B40=CB$2,'Atividades Micro'!$G40="Macro",'Atividades Micro'!$K40&lt;&gt;""),'Atividades Micro'!$K40,"")</f>
        <v/>
      </c>
      <c r="CC40" s="21" t="str">
        <f>IF(AND('Atividades Micro'!$B40=CC$2,'Atividades Micro'!$G40="Macro",'Atividades Micro'!$K40&lt;&gt;""),'Atividades Micro'!$K40,"")</f>
        <v/>
      </c>
      <c r="CD40" s="21" t="str">
        <f>IF(AND('Atividades Micro'!$B40=CD$2,'Atividades Micro'!$G40="Micro",'Atividades Micro'!$K40&lt;&gt;""),'Atividades Micro'!$K40,"")</f>
        <v/>
      </c>
      <c r="CE40" s="21">
        <f>IF(AND('Atividades Micro'!$B40=CE$2,'Atividades Micro'!$G40="Micro",'Atividades Micro'!$K40&lt;&gt;""),'Atividades Micro'!$K40,"")</f>
        <v>46244</v>
      </c>
      <c r="CF40" s="21" t="str">
        <f>IF(AND('Atividades Micro'!$B40=CF$2,'Atividades Micro'!$G40="Micro",'Atividades Micro'!$K40&lt;&gt;""),'Atividades Micro'!$K40,"")</f>
        <v/>
      </c>
      <c r="CG40" s="21" t="str">
        <f>IF(AND('Atividades Micro'!$B40=CG$2,'Atividades Micro'!$G40="Micro",'Atividades Micro'!$K40&lt;&gt;""),'Atividades Micro'!$K40,"")</f>
        <v/>
      </c>
      <c r="CH40" s="21" t="str">
        <f>IF(AND('Atividades Micro'!$B40=CH$2,'Atividades Micro'!$G40="Micro",'Atividades Micro'!$K40&lt;&gt;""),'Atividades Micro'!$K40,"")</f>
        <v/>
      </c>
      <c r="CI40" s="21" t="str">
        <f>IF(AND('Atividades Micro'!$B40=CI$2,'Atividades Micro'!$G40="Micro",'Atividades Micro'!$K40&lt;&gt;""),'Atividades Micro'!$K40,"")</f>
        <v/>
      </c>
      <c r="CJ40" s="21" t="str">
        <f>IF(AND('Atividades Micro'!$B40=CJ$2,'Atividades Micro'!$G40="Micro",'Atividades Micro'!$K40&lt;&gt;""),'Atividades Micro'!$K40,"")</f>
        <v/>
      </c>
      <c r="CK40" s="21" t="str">
        <f>IF(AND('Atividades Micro'!$B40=CK$2,'Atividades Micro'!$G40="Micro",'Atividades Micro'!$K40&lt;&gt;""),'Atividades Micro'!$K40,"")</f>
        <v/>
      </c>
      <c r="CL40" s="21" t="str">
        <f>IF(AND('Atividades Micro'!$B40=CL$2,'Atividades Micro'!$G40="Micro",'Atividades Micro'!$K40&lt;&gt;""),'Atividades Micro'!$K40,"")</f>
        <v/>
      </c>
      <c r="CM40" s="21" t="str">
        <f>IF(AND('Atividades Micro'!$B40=CM$2,'Atividades Micro'!$G40="Micro",'Atividades Micro'!$K40&lt;&gt;""),'Atividades Micro'!$K40,"")</f>
        <v/>
      </c>
      <c r="CN40" s="21" t="str">
        <f>IF(AND('Atividades Micro'!$B40=CN$2,'Atividades Micro'!$G40="Micro",'Atividades Micro'!$K40&lt;&gt;""),'Atividades Micro'!$K40,"")</f>
        <v/>
      </c>
      <c r="CO40" s="21" t="str">
        <f>IF(AND('Atividades Micro'!$B40=CO$2,'Atividades Micro'!$G40="Micro",'Atividades Micro'!$K40&lt;&gt;""),'Atividades Micro'!$K40,"")</f>
        <v/>
      </c>
    </row>
    <row r="41" spans="1:93">
      <c r="A41" s="21" t="str">
        <f>IF(AND('Atividades Micro'!$A41=A$2,'Atividades Micro'!$K41&lt;&gt;""),'Atividades Micro'!$K41,"")</f>
        <v/>
      </c>
      <c r="B41" s="21" t="str">
        <f>IF(AND('Atividades Micro'!$A41=B$2,'Atividades Micro'!$L41&lt;&gt;""),'Atividades Micro'!$L41,"")</f>
        <v/>
      </c>
      <c r="C41" s="21" t="str">
        <f>IF(AND('Atividades Micro'!$A41=C$2,'Atividades Micro'!$K41&lt;&gt;""),'Atividades Micro'!$K41,"")</f>
        <v/>
      </c>
      <c r="D41" s="21" t="str">
        <f>IF(AND('Atividades Micro'!$A41=D$2,'Atividades Micro'!$L41&lt;&gt;""),'Atividades Micro'!$L41,"")</f>
        <v/>
      </c>
      <c r="E41" s="21" t="str">
        <f>IF(AND('Atividades Micro'!$A41=E$2,'Atividades Micro'!$K41&lt;&gt;""),'Atividades Micro'!$K41,"")</f>
        <v/>
      </c>
      <c r="F41" s="21" t="str">
        <f>IF(AND('Atividades Micro'!$A41=F$2,'Atividades Micro'!$L41&lt;&gt;""),'Atividades Micro'!$L41,"")</f>
        <v/>
      </c>
      <c r="G41" s="21" t="str">
        <f>IF(AND('Atividades Micro'!$A41=G$2,'Atividades Micro'!$K41&lt;&gt;""),'Atividades Micro'!$K41,"")</f>
        <v/>
      </c>
      <c r="H41" s="21" t="str">
        <f>IF(AND('Atividades Micro'!$A41=H$2,'Atividades Micro'!$L41&lt;&gt;""),'Atividades Micro'!$L41,"")</f>
        <v/>
      </c>
      <c r="I41" s="21">
        <f>IF(AND('Atividades Micro'!$A41=I$2,'Atividades Micro'!$K41&lt;&gt;""),'Atividades Micro'!$K41,"")</f>
        <v>46247</v>
      </c>
      <c r="J41" s="21">
        <f>IF(AND('Atividades Micro'!$A41=J$2,'Atividades Micro'!$L41&lt;&gt;""),'Atividades Micro'!$L41,"")</f>
        <v>46246</v>
      </c>
      <c r="K41" s="21" t="str">
        <f>IF(AND('Atividades Micro'!$B41=K$2,'Atividades Micro'!$K41&lt;&gt;""),'Atividades Micro'!$K41,"")</f>
        <v/>
      </c>
      <c r="L41" s="21" t="str">
        <f>IF(AND('Atividades Micro'!$B41=L$2,'Atividades Micro'!$L41&lt;&gt;""),'Atividades Micro'!$L41,"")</f>
        <v/>
      </c>
      <c r="M41" s="21">
        <f>IF(AND('Atividades Micro'!$B41=M$2,'Atividades Micro'!$K41&lt;&gt;""),'Atividades Micro'!$K41,"")</f>
        <v>46247</v>
      </c>
      <c r="N41" s="21">
        <f>IF(AND('Atividades Micro'!$B41=N$2,'Atividades Micro'!$L41&lt;&gt;""),'Atividades Micro'!$L41,"")</f>
        <v>46246</v>
      </c>
      <c r="O41" s="21" t="str">
        <f>IF(AND('Atividades Micro'!$A41=O$2,'Atividades Micro'!$K41&lt;&gt;""),'Atividades Micro'!$K41,"")</f>
        <v/>
      </c>
      <c r="P41" s="21" t="str">
        <f>IF(AND('Atividades Micro'!$A41=P$2,'Atividades Micro'!$L41&lt;&gt;""),'Atividades Micro'!$L41,"")</f>
        <v/>
      </c>
      <c r="Q41" s="21" t="str">
        <f>IF(AND('Atividades Micro'!$B41=Q$2,'Atividades Micro'!$K41&lt;&gt;""),'Atividades Micro'!$K41,"")</f>
        <v/>
      </c>
      <c r="R41" s="21" t="str">
        <f>IF(AND('Atividades Micro'!$B41=R$2,'Atividades Micro'!$L41&lt;&gt;""),'Atividades Micro'!$L41,"")</f>
        <v/>
      </c>
      <c r="S41" s="21" t="str">
        <f>IF(AND('Atividades Micro'!$A41=S$2,'Atividades Micro'!$K41&lt;&gt;""),'Atividades Micro'!$K41,"")</f>
        <v/>
      </c>
      <c r="T41" s="21" t="str">
        <f>IF(AND('Atividades Micro'!$A41=T$2,'Atividades Micro'!$L41&lt;&gt;""),'Atividades Micro'!$L41,"")</f>
        <v/>
      </c>
      <c r="U41" s="21" t="str">
        <f>IF(AND('Atividades Micro'!$B41=U$2,'Atividades Micro'!$K41&lt;&gt;""),'Atividades Micro'!$K41,"")</f>
        <v/>
      </c>
      <c r="V41" s="21" t="str">
        <f>IF(AND('Atividades Micro'!$B41=V$2,'Atividades Micro'!$L41&lt;&gt;""),'Atividades Micro'!$L41,"")</f>
        <v/>
      </c>
      <c r="W41" s="21" t="str">
        <f>IF(AND('Atividades Micro'!$B41=W$2,'Atividades Micro'!$K41&lt;&gt;""),'Atividades Micro'!$K41,"")</f>
        <v/>
      </c>
      <c r="X41" s="21" t="str">
        <f>IF(AND('Atividades Micro'!$B41=X$2,'Atividades Micro'!$L41&lt;&gt;""),'Atividades Micro'!$L41,"")</f>
        <v/>
      </c>
      <c r="Y41" s="21" t="str">
        <f>IF(AND('Atividades Micro'!$A41=Y$2,'Atividades Micro'!$K41&lt;&gt;""),'Atividades Micro'!$K41,"")</f>
        <v/>
      </c>
      <c r="Z41" s="21" t="str">
        <f>IF(AND('Atividades Micro'!$A41=Z$2,'Atividades Micro'!$L41&lt;&gt;""),'Atividades Micro'!$L41,"")</f>
        <v/>
      </c>
      <c r="AA41" s="21" t="str">
        <f>IF(AND('Atividades Micro'!$B41=AA$2,'Atividades Micro'!$K41&lt;&gt;""),'Atividades Micro'!$K41,"")</f>
        <v/>
      </c>
      <c r="AB41" s="21" t="str">
        <f>IF(AND('Atividades Micro'!$B41=AB$2,'Atividades Micro'!$L41&lt;&gt;""),'Atividades Micro'!$L41,"")</f>
        <v/>
      </c>
      <c r="AC41" s="21" t="str">
        <f>IF(AND('Atividades Micro'!$B41=AC$2,'Atividades Micro'!$K41&lt;&gt;""),'Atividades Micro'!$K41,"")</f>
        <v/>
      </c>
      <c r="AD41" s="21" t="str">
        <f>IF(AND('Atividades Micro'!$B41=AD$2,'Atividades Micro'!$L41&lt;&gt;""),'Atividades Micro'!$L41,"")</f>
        <v/>
      </c>
      <c r="AE41" s="21" t="str">
        <f>IF(AND('Atividades Micro'!$A41=AE$2,'Atividades Micro'!$K41&lt;&gt;""),'Atividades Micro'!$K41,"")</f>
        <v/>
      </c>
      <c r="AF41" s="21" t="str">
        <f>IF(AND('Atividades Micro'!$A41=AF$2,'Atividades Micro'!$L41&lt;&gt;""),'Atividades Micro'!$L41,"")</f>
        <v/>
      </c>
      <c r="AG41" s="21" t="str">
        <f>IF(AND('Atividades Micro'!$B41=AG$2,'Atividades Micro'!$K41&lt;&gt;""),'Atividades Micro'!$K41,"")</f>
        <v/>
      </c>
      <c r="AH41" s="21" t="str">
        <f>IF(AND('Atividades Micro'!$B41=AH$2,'Atividades Micro'!$L41&lt;&gt;""),'Atividades Micro'!$L41,"")</f>
        <v/>
      </c>
      <c r="AI41" s="21" t="str">
        <f>IF(AND('Atividades Micro'!$B41=AI$2,'Atividades Micro'!$K41&lt;&gt;""),'Atividades Micro'!$K41,"")</f>
        <v/>
      </c>
      <c r="AJ41" s="21" t="str">
        <f>IF(AND('Atividades Micro'!$B41=AJ$2,'Atividades Micro'!$L41&lt;&gt;""),'Atividades Micro'!$L41,"")</f>
        <v/>
      </c>
      <c r="AK41" s="21" t="str">
        <f>IF(AND('Atividades Micro'!$A41=AK$2,'Atividades Micro'!$K41&lt;&gt;""),'Atividades Micro'!$K41,"")</f>
        <v/>
      </c>
      <c r="AL41" s="21" t="str">
        <f>IF(AND('Atividades Micro'!$A41=AL$2,'Atividades Micro'!$L41&lt;&gt;""),'Atividades Micro'!$L41,"")</f>
        <v/>
      </c>
      <c r="AM41" s="21" t="str">
        <f>IF(AND('Atividades Micro'!$B41=AM$2,'Atividades Micro'!$K41&lt;&gt;""),'Atividades Micro'!$K41,"")</f>
        <v/>
      </c>
      <c r="AN41" s="21" t="str">
        <f>IF(AND('Atividades Micro'!$B41=AN$2,'Atividades Micro'!$L41&lt;&gt;""),'Atividades Micro'!$L41,"")</f>
        <v/>
      </c>
      <c r="AO41" s="21" t="str">
        <f>IF(AND('Atividades Micro'!$B41=AO$2,'Atividades Micro'!$K41&lt;&gt;""),'Atividades Micro'!$K41,"")</f>
        <v/>
      </c>
      <c r="AP41" s="21" t="str">
        <f>IF(AND('Atividades Micro'!$B41=AP$2,'Atividades Micro'!$L41&lt;&gt;""),'Atividades Micro'!$L41,"")</f>
        <v/>
      </c>
      <c r="AQ41" s="21" t="str">
        <f>IF(AND('Atividades Micro'!$A41=AQ$2,'Atividades Micro'!$K41&lt;&gt;""),'Atividades Micro'!$K41,"")</f>
        <v/>
      </c>
      <c r="AR41" s="21" t="str">
        <f>IF(AND('Atividades Micro'!$A41=AR$2,'Atividades Micro'!$L41&lt;&gt;""),'Atividades Micro'!$L41,"")</f>
        <v/>
      </c>
      <c r="AS41" s="21" t="str">
        <f>IF(AND('Atividades Micro'!$B41=AS$2,'Atividades Micro'!$K41&lt;&gt;""),'Atividades Micro'!$K41,"")</f>
        <v/>
      </c>
      <c r="AT41" s="21" t="str">
        <f>IF(AND('Atividades Micro'!$B41=AT$2,'Atividades Micro'!$L41&lt;&gt;""),'Atividades Micro'!$L41,"")</f>
        <v/>
      </c>
      <c r="AU41" s="21" t="str">
        <f>IF(AND('Atividades Micro'!$A41=AU$2,'Atividades Micro'!$K41&lt;&gt;""),'Atividades Micro'!$K41,"")</f>
        <v/>
      </c>
      <c r="AV41" s="21" t="str">
        <f>IF(AND('Atividades Micro'!$A41=AV$2,'Atividades Micro'!$L41&lt;&gt;""),'Atividades Micro'!$L41,"")</f>
        <v/>
      </c>
      <c r="AW41" s="21" t="str">
        <f>IF(AND('Atividades Micro'!$B41=AW$2,'Atividades Micro'!$K41&lt;&gt;""),'Atividades Micro'!$K41,"")</f>
        <v/>
      </c>
      <c r="AX41" s="21" t="str">
        <f>IF(AND('Atividades Micro'!$B41=AX$2,'Atividades Micro'!$L41&lt;&gt;""),'Atividades Micro'!$L41,"")</f>
        <v/>
      </c>
      <c r="AY41" s="21" t="str">
        <f>IF(AND('Atividades Micro'!$A41=AY$2,'Atividades Micro'!$K41&lt;&gt;""),'Atividades Micro'!$K41,"")</f>
        <v/>
      </c>
      <c r="AZ41" s="21" t="str">
        <f>IF(AND('Atividades Micro'!$A41=AZ$2,'Atividades Micro'!$L41&lt;&gt;""),'Atividades Micro'!$L41,"")</f>
        <v/>
      </c>
      <c r="BA41" s="21" t="str">
        <f>IF(AND('Atividades Micro'!$B41=BA$2,'Atividades Micro'!$K41&lt;&gt;""),'Atividades Micro'!$K41,"")</f>
        <v/>
      </c>
      <c r="BB41" s="21" t="str">
        <f>IF(AND('Atividades Micro'!$B41=BB$2,'Atividades Micro'!$L41&lt;&gt;""),'Atividades Micro'!$L41,"")</f>
        <v/>
      </c>
      <c r="BC41" s="21" t="str">
        <f>IF(AND('Atividades Micro'!$B41=BC$2,'Atividades Micro'!$G41="Macro",'Atividades Micro'!$K41&lt;&gt;""),'Atividades Micro'!$K41,"")</f>
        <v/>
      </c>
      <c r="BD41" s="21" t="str">
        <f>IF(AND('Atividades Micro'!$B41=BD$2,'Atividades Micro'!$G41="Macro",'Atividades Micro'!$K41&lt;&gt;""),'Atividades Micro'!$K41,"")</f>
        <v/>
      </c>
      <c r="BE41" s="21" t="str">
        <f>IF(AND('Atividades Micro'!$B41=BE$2,'Atividades Micro'!$G41="Macro",'Atividades Micro'!$K41&lt;&gt;""),'Atividades Micro'!$K41,"")</f>
        <v/>
      </c>
      <c r="BF41" s="21" t="str">
        <f>IF(AND('Atividades Micro'!$B41=BF$2,'Atividades Micro'!$G41="Macro",'Atividades Micro'!$K41&lt;&gt;""),'Atividades Micro'!$K41,"")</f>
        <v/>
      </c>
      <c r="BG41" s="21" t="str">
        <f>IF(AND('Atividades Micro'!$B41=BG$2,'Atividades Micro'!$G41="Macro",'Atividades Micro'!$K41&lt;&gt;""),'Atividades Micro'!$K41,"")</f>
        <v/>
      </c>
      <c r="BH41" s="21" t="str">
        <f>IF(AND('Atividades Micro'!$B41=BH$2,'Atividades Micro'!$G41="Macro",'Atividades Micro'!$K41&lt;&gt;""),'Atividades Micro'!$K41,"")</f>
        <v/>
      </c>
      <c r="BI41" s="21" t="str">
        <f>IF(AND('Atividades Micro'!$B41=BI$2,'Atividades Micro'!$G41="Macro",'Atividades Micro'!$K41&lt;&gt;""),'Atividades Micro'!$K41,"")</f>
        <v/>
      </c>
      <c r="BJ41" s="21" t="str">
        <f>IF(AND('Atividades Micro'!$B41=BJ$2,'Atividades Micro'!$G41="Macro",'Atividades Micro'!$K41&lt;&gt;""),'Atividades Micro'!$K41,"")</f>
        <v/>
      </c>
      <c r="BK41" s="21" t="str">
        <f>IF(AND('Atividades Micro'!$B41=BK$2,'Atividades Micro'!$G41="Macro",'Atividades Micro'!$K41&lt;&gt;""),'Atividades Micro'!$K41,"")</f>
        <v/>
      </c>
      <c r="BL41" s="21" t="str">
        <f>IF(AND('Atividades Micro'!$B41=BL$2,'Atividades Micro'!$G41="Macro",'Atividades Micro'!$K41&lt;&gt;""),'Atividades Micro'!$K41,"")</f>
        <v/>
      </c>
      <c r="BM41" s="21" t="str">
        <f>IF(AND('Atividades Micro'!$B41=BM$2,'Atividades Micro'!$G41="Macro",'Atividades Micro'!$K41&lt;&gt;""),'Atividades Micro'!$K41,"")</f>
        <v/>
      </c>
      <c r="BN41" s="21" t="str">
        <f>IF(AND('Atividades Micro'!$B41=BN$2,'Atividades Micro'!$G41="Macro",'Atividades Micro'!$K41&lt;&gt;""),'Atividades Micro'!$K41,"")</f>
        <v/>
      </c>
      <c r="BO41" s="21" t="str">
        <f>IF(AND('Atividades Micro'!$B41=BO$2,'Atividades Micro'!$G41="Macro",'Atividades Micro'!$K41&lt;&gt;""),'Atividades Micro'!$K41,"")</f>
        <v/>
      </c>
      <c r="BP41" s="21" t="str">
        <f>IF(AND('Atividades Micro'!$B41=BP$2,'Atividades Micro'!$G41="Macro",'Atividades Micro'!$K41&lt;&gt;""),'Atividades Micro'!$K41,"")</f>
        <v/>
      </c>
      <c r="BQ41" s="21" t="str">
        <f>IF(AND('Atividades Micro'!$B41=BQ$2,'Atividades Micro'!$G41="Macro",'Atividades Micro'!$K41&lt;&gt;""),'Atividades Micro'!$K41,"")</f>
        <v/>
      </c>
      <c r="BR41" s="21" t="str">
        <f>IF(AND('Atividades Micro'!$B41=BR$2,'Atividades Micro'!$G41="Macro",'Atividades Micro'!$K41&lt;&gt;""),'Atividades Micro'!$K41,"")</f>
        <v/>
      </c>
      <c r="BS41" s="21" t="str">
        <f>IF(AND('Atividades Micro'!$B41=BS$2,'Atividades Micro'!$G41="Macro",'Atividades Micro'!$K41&lt;&gt;""),'Atividades Micro'!$K41,"")</f>
        <v/>
      </c>
      <c r="BT41" s="21" t="str">
        <f>IF(AND('Atividades Micro'!$B41=BT$2,'Atividades Micro'!$G41="Macro",'Atividades Micro'!$K41&lt;&gt;""),'Atividades Micro'!$K41,"")</f>
        <v/>
      </c>
      <c r="BU41" s="21" t="str">
        <f>IF(AND('Atividades Micro'!$B41=BU$2,'Atividades Micro'!$G41="Macro",'Atividades Micro'!$K41&lt;&gt;""),'Atividades Micro'!$K41,"")</f>
        <v/>
      </c>
      <c r="BV41" s="21" t="str">
        <f>IF(AND('Atividades Micro'!$B41=BV$2,'Atividades Micro'!$G41="Macro",'Atividades Micro'!$K41&lt;&gt;""),'Atividades Micro'!$K41,"")</f>
        <v/>
      </c>
      <c r="BW41" s="21" t="str">
        <f>IF(AND('Atividades Micro'!$B41=BW$2,'Atividades Micro'!$G41="Macro",'Atividades Micro'!$K41&lt;&gt;""),'Atividades Micro'!$K41,"")</f>
        <v/>
      </c>
      <c r="BX41" s="21" t="str">
        <f>IF(AND('Atividades Micro'!$B41=BX$2,'Atividades Micro'!$G41="Macro",'Atividades Micro'!$K41&lt;&gt;""),'Atividades Micro'!$K41,"")</f>
        <v/>
      </c>
      <c r="BY41" s="21" t="str">
        <f>IF(AND('Atividades Micro'!$B41=BY$2,'Atividades Micro'!$G41="Macro",'Atividades Micro'!$K41&lt;&gt;""),'Atividades Micro'!$K41,"")</f>
        <v/>
      </c>
      <c r="BZ41" s="21" t="str">
        <f>IF(AND('Atividades Micro'!$B41=BZ$2,'Atividades Micro'!$G41="Macro",'Atividades Micro'!$K41&lt;&gt;""),'Atividades Micro'!$K41,"")</f>
        <v/>
      </c>
      <c r="CA41" s="21" t="str">
        <f>IF(AND('Atividades Micro'!$B41=CA$2,'Atividades Micro'!$G41="Macro",'Atividades Micro'!$K41&lt;&gt;""),'Atividades Micro'!$K41,"")</f>
        <v/>
      </c>
      <c r="CB41" s="21" t="str">
        <f>IF(AND('Atividades Micro'!$B41=CB$2,'Atividades Micro'!$G41="Macro",'Atividades Micro'!$K41&lt;&gt;""),'Atividades Micro'!$K41,"")</f>
        <v/>
      </c>
      <c r="CC41" s="21" t="str">
        <f>IF(AND('Atividades Micro'!$B41=CC$2,'Atividades Micro'!$G41="Macro",'Atividades Micro'!$K41&lt;&gt;""),'Atividades Micro'!$K41,"")</f>
        <v/>
      </c>
      <c r="CD41" s="21" t="str">
        <f>IF(AND('Atividades Micro'!$B41=CD$2,'Atividades Micro'!$G41="Micro",'Atividades Micro'!$K41&lt;&gt;""),'Atividades Micro'!$K41,"")</f>
        <v/>
      </c>
      <c r="CE41" s="21">
        <f>IF(AND('Atividades Micro'!$B41=CE$2,'Atividades Micro'!$G41="Micro",'Atividades Micro'!$K41&lt;&gt;""),'Atividades Micro'!$K41,"")</f>
        <v>46247</v>
      </c>
      <c r="CF41" s="21" t="str">
        <f>IF(AND('Atividades Micro'!$B41=CF$2,'Atividades Micro'!$G41="Micro",'Atividades Micro'!$K41&lt;&gt;""),'Atividades Micro'!$K41,"")</f>
        <v/>
      </c>
      <c r="CG41" s="21" t="str">
        <f>IF(AND('Atividades Micro'!$B41=CG$2,'Atividades Micro'!$G41="Micro",'Atividades Micro'!$K41&lt;&gt;""),'Atividades Micro'!$K41,"")</f>
        <v/>
      </c>
      <c r="CH41" s="21" t="str">
        <f>IF(AND('Atividades Micro'!$B41=CH$2,'Atividades Micro'!$G41="Micro",'Atividades Micro'!$K41&lt;&gt;""),'Atividades Micro'!$K41,"")</f>
        <v/>
      </c>
      <c r="CI41" s="21" t="str">
        <f>IF(AND('Atividades Micro'!$B41=CI$2,'Atividades Micro'!$G41="Micro",'Atividades Micro'!$K41&lt;&gt;""),'Atividades Micro'!$K41,"")</f>
        <v/>
      </c>
      <c r="CJ41" s="21" t="str">
        <f>IF(AND('Atividades Micro'!$B41=CJ$2,'Atividades Micro'!$G41="Micro",'Atividades Micro'!$K41&lt;&gt;""),'Atividades Micro'!$K41,"")</f>
        <v/>
      </c>
      <c r="CK41" s="21" t="str">
        <f>IF(AND('Atividades Micro'!$B41=CK$2,'Atividades Micro'!$G41="Micro",'Atividades Micro'!$K41&lt;&gt;""),'Atividades Micro'!$K41,"")</f>
        <v/>
      </c>
      <c r="CL41" s="21" t="str">
        <f>IF(AND('Atividades Micro'!$B41=CL$2,'Atividades Micro'!$G41="Micro",'Atividades Micro'!$K41&lt;&gt;""),'Atividades Micro'!$K41,"")</f>
        <v/>
      </c>
      <c r="CM41" s="21" t="str">
        <f>IF(AND('Atividades Micro'!$B41=CM$2,'Atividades Micro'!$G41="Micro",'Atividades Micro'!$K41&lt;&gt;""),'Atividades Micro'!$K41,"")</f>
        <v/>
      </c>
      <c r="CN41" s="21" t="str">
        <f>IF(AND('Atividades Micro'!$B41=CN$2,'Atividades Micro'!$G41="Micro",'Atividades Micro'!$K41&lt;&gt;""),'Atividades Micro'!$K41,"")</f>
        <v/>
      </c>
      <c r="CO41" s="21" t="str">
        <f>IF(AND('Atividades Micro'!$B41=CO$2,'Atividades Micro'!$G41="Micro",'Atividades Micro'!$K41&lt;&gt;""),'Atividades Micro'!$K41,"")</f>
        <v/>
      </c>
    </row>
    <row r="42" spans="1:93">
      <c r="A42" s="21" t="str">
        <f>IF(AND('Atividades Micro'!$A42=A$2,'Atividades Micro'!$K42&lt;&gt;""),'Atividades Micro'!$K42,"")</f>
        <v/>
      </c>
      <c r="B42" s="21" t="str">
        <f>IF(AND('Atividades Micro'!$A42=B$2,'Atividades Micro'!$L42&lt;&gt;""),'Atividades Micro'!$L42,"")</f>
        <v/>
      </c>
      <c r="C42" s="21" t="str">
        <f>IF(AND('Atividades Micro'!$A42=C$2,'Atividades Micro'!$K42&lt;&gt;""),'Atividades Micro'!$K42,"")</f>
        <v/>
      </c>
      <c r="D42" s="21" t="str">
        <f>IF(AND('Atividades Micro'!$A42=D$2,'Atividades Micro'!$L42&lt;&gt;""),'Atividades Micro'!$L42,"")</f>
        <v/>
      </c>
      <c r="E42" s="21" t="str">
        <f>IF(AND('Atividades Micro'!$A42=E$2,'Atividades Micro'!$K42&lt;&gt;""),'Atividades Micro'!$K42,"")</f>
        <v/>
      </c>
      <c r="F42" s="21" t="str">
        <f>IF(AND('Atividades Micro'!$A42=F$2,'Atividades Micro'!$L42&lt;&gt;""),'Atividades Micro'!$L42,"")</f>
        <v/>
      </c>
      <c r="G42" s="21" t="str">
        <f>IF(AND('Atividades Micro'!$A42=G$2,'Atividades Micro'!$K42&lt;&gt;""),'Atividades Micro'!$K42,"")</f>
        <v/>
      </c>
      <c r="H42" s="21" t="str">
        <f>IF(AND('Atividades Micro'!$A42=H$2,'Atividades Micro'!$L42&lt;&gt;""),'Atividades Micro'!$L42,"")</f>
        <v/>
      </c>
      <c r="I42" s="21">
        <f>IF(AND('Atividades Micro'!$A42=I$2,'Atividades Micro'!$K42&lt;&gt;""),'Atividades Micro'!$K42,"")</f>
        <v>46258</v>
      </c>
      <c r="J42" s="21">
        <f>IF(AND('Atividades Micro'!$A42=J$2,'Atividades Micro'!$L42&lt;&gt;""),'Atividades Micro'!$L42,"")</f>
        <v>46258</v>
      </c>
      <c r="K42" s="21" t="str">
        <f>IF(AND('Atividades Micro'!$B42=K$2,'Atividades Micro'!$K42&lt;&gt;""),'Atividades Micro'!$K42,"")</f>
        <v/>
      </c>
      <c r="L42" s="21" t="str">
        <f>IF(AND('Atividades Micro'!$B42=L$2,'Atividades Micro'!$L42&lt;&gt;""),'Atividades Micro'!$L42,"")</f>
        <v/>
      </c>
      <c r="M42" s="21">
        <f>IF(AND('Atividades Micro'!$B42=M$2,'Atividades Micro'!$K42&lt;&gt;""),'Atividades Micro'!$K42,"")</f>
        <v>46258</v>
      </c>
      <c r="N42" s="21">
        <f>IF(AND('Atividades Micro'!$B42=N$2,'Atividades Micro'!$L42&lt;&gt;""),'Atividades Micro'!$L42,"")</f>
        <v>46258</v>
      </c>
      <c r="O42" s="21" t="str">
        <f>IF(AND('Atividades Micro'!$A42=O$2,'Atividades Micro'!$K42&lt;&gt;""),'Atividades Micro'!$K42,"")</f>
        <v/>
      </c>
      <c r="P42" s="21" t="str">
        <f>IF(AND('Atividades Micro'!$A42=P$2,'Atividades Micro'!$L42&lt;&gt;""),'Atividades Micro'!$L42,"")</f>
        <v/>
      </c>
      <c r="Q42" s="21" t="str">
        <f>IF(AND('Atividades Micro'!$B42=Q$2,'Atividades Micro'!$K42&lt;&gt;""),'Atividades Micro'!$K42,"")</f>
        <v/>
      </c>
      <c r="R42" s="21" t="str">
        <f>IF(AND('Atividades Micro'!$B42=R$2,'Atividades Micro'!$L42&lt;&gt;""),'Atividades Micro'!$L42,"")</f>
        <v/>
      </c>
      <c r="S42" s="21" t="str">
        <f>IF(AND('Atividades Micro'!$A42=S$2,'Atividades Micro'!$K42&lt;&gt;""),'Atividades Micro'!$K42,"")</f>
        <v/>
      </c>
      <c r="T42" s="21" t="str">
        <f>IF(AND('Atividades Micro'!$A42=T$2,'Atividades Micro'!$L42&lt;&gt;""),'Atividades Micro'!$L42,"")</f>
        <v/>
      </c>
      <c r="U42" s="21" t="str">
        <f>IF(AND('Atividades Micro'!$B42=U$2,'Atividades Micro'!$K42&lt;&gt;""),'Atividades Micro'!$K42,"")</f>
        <v/>
      </c>
      <c r="V42" s="21" t="str">
        <f>IF(AND('Atividades Micro'!$B42=V$2,'Atividades Micro'!$L42&lt;&gt;""),'Atividades Micro'!$L42,"")</f>
        <v/>
      </c>
      <c r="W42" s="21" t="str">
        <f>IF(AND('Atividades Micro'!$B42=W$2,'Atividades Micro'!$K42&lt;&gt;""),'Atividades Micro'!$K42,"")</f>
        <v/>
      </c>
      <c r="X42" s="21" t="str">
        <f>IF(AND('Atividades Micro'!$B42=X$2,'Atividades Micro'!$L42&lt;&gt;""),'Atividades Micro'!$L42,"")</f>
        <v/>
      </c>
      <c r="Y42" s="21" t="str">
        <f>IF(AND('Atividades Micro'!$A42=Y$2,'Atividades Micro'!$K42&lt;&gt;""),'Atividades Micro'!$K42,"")</f>
        <v/>
      </c>
      <c r="Z42" s="21" t="str">
        <f>IF(AND('Atividades Micro'!$A42=Z$2,'Atividades Micro'!$L42&lt;&gt;""),'Atividades Micro'!$L42,"")</f>
        <v/>
      </c>
      <c r="AA42" s="21" t="str">
        <f>IF(AND('Atividades Micro'!$B42=AA$2,'Atividades Micro'!$K42&lt;&gt;""),'Atividades Micro'!$K42,"")</f>
        <v/>
      </c>
      <c r="AB42" s="21" t="str">
        <f>IF(AND('Atividades Micro'!$B42=AB$2,'Atividades Micro'!$L42&lt;&gt;""),'Atividades Micro'!$L42,"")</f>
        <v/>
      </c>
      <c r="AC42" s="21" t="str">
        <f>IF(AND('Atividades Micro'!$B42=AC$2,'Atividades Micro'!$K42&lt;&gt;""),'Atividades Micro'!$K42,"")</f>
        <v/>
      </c>
      <c r="AD42" s="21" t="str">
        <f>IF(AND('Atividades Micro'!$B42=AD$2,'Atividades Micro'!$L42&lt;&gt;""),'Atividades Micro'!$L42,"")</f>
        <v/>
      </c>
      <c r="AE42" s="21" t="str">
        <f>IF(AND('Atividades Micro'!$A42=AE$2,'Atividades Micro'!$K42&lt;&gt;""),'Atividades Micro'!$K42,"")</f>
        <v/>
      </c>
      <c r="AF42" s="21" t="str">
        <f>IF(AND('Atividades Micro'!$A42=AF$2,'Atividades Micro'!$L42&lt;&gt;""),'Atividades Micro'!$L42,"")</f>
        <v/>
      </c>
      <c r="AG42" s="21" t="str">
        <f>IF(AND('Atividades Micro'!$B42=AG$2,'Atividades Micro'!$K42&lt;&gt;""),'Atividades Micro'!$K42,"")</f>
        <v/>
      </c>
      <c r="AH42" s="21" t="str">
        <f>IF(AND('Atividades Micro'!$B42=AH$2,'Atividades Micro'!$L42&lt;&gt;""),'Atividades Micro'!$L42,"")</f>
        <v/>
      </c>
      <c r="AI42" s="21" t="str">
        <f>IF(AND('Atividades Micro'!$B42=AI$2,'Atividades Micro'!$K42&lt;&gt;""),'Atividades Micro'!$K42,"")</f>
        <v/>
      </c>
      <c r="AJ42" s="21" t="str">
        <f>IF(AND('Atividades Micro'!$B42=AJ$2,'Atividades Micro'!$L42&lt;&gt;""),'Atividades Micro'!$L42,"")</f>
        <v/>
      </c>
      <c r="AK42" s="21" t="str">
        <f>IF(AND('Atividades Micro'!$A42=AK$2,'Atividades Micro'!$K42&lt;&gt;""),'Atividades Micro'!$K42,"")</f>
        <v/>
      </c>
      <c r="AL42" s="21" t="str">
        <f>IF(AND('Atividades Micro'!$A42=AL$2,'Atividades Micro'!$L42&lt;&gt;""),'Atividades Micro'!$L42,"")</f>
        <v/>
      </c>
      <c r="AM42" s="21" t="str">
        <f>IF(AND('Atividades Micro'!$B42=AM$2,'Atividades Micro'!$K42&lt;&gt;""),'Atividades Micro'!$K42,"")</f>
        <v/>
      </c>
      <c r="AN42" s="21" t="str">
        <f>IF(AND('Atividades Micro'!$B42=AN$2,'Atividades Micro'!$L42&lt;&gt;""),'Atividades Micro'!$L42,"")</f>
        <v/>
      </c>
      <c r="AO42" s="21" t="str">
        <f>IF(AND('Atividades Micro'!$B42=AO$2,'Atividades Micro'!$K42&lt;&gt;""),'Atividades Micro'!$K42,"")</f>
        <v/>
      </c>
      <c r="AP42" s="21" t="str">
        <f>IF(AND('Atividades Micro'!$B42=AP$2,'Atividades Micro'!$L42&lt;&gt;""),'Atividades Micro'!$L42,"")</f>
        <v/>
      </c>
      <c r="AQ42" s="21" t="str">
        <f>IF(AND('Atividades Micro'!$A42=AQ$2,'Atividades Micro'!$K42&lt;&gt;""),'Atividades Micro'!$K42,"")</f>
        <v/>
      </c>
      <c r="AR42" s="21" t="str">
        <f>IF(AND('Atividades Micro'!$A42=AR$2,'Atividades Micro'!$L42&lt;&gt;""),'Atividades Micro'!$L42,"")</f>
        <v/>
      </c>
      <c r="AS42" s="21" t="str">
        <f>IF(AND('Atividades Micro'!$B42=AS$2,'Atividades Micro'!$K42&lt;&gt;""),'Atividades Micro'!$K42,"")</f>
        <v/>
      </c>
      <c r="AT42" s="21" t="str">
        <f>IF(AND('Atividades Micro'!$B42=AT$2,'Atividades Micro'!$L42&lt;&gt;""),'Atividades Micro'!$L42,"")</f>
        <v/>
      </c>
      <c r="AU42" s="21" t="str">
        <f>IF(AND('Atividades Micro'!$A42=AU$2,'Atividades Micro'!$K42&lt;&gt;""),'Atividades Micro'!$K42,"")</f>
        <v/>
      </c>
      <c r="AV42" s="21" t="str">
        <f>IF(AND('Atividades Micro'!$A42=AV$2,'Atividades Micro'!$L42&lt;&gt;""),'Atividades Micro'!$L42,"")</f>
        <v/>
      </c>
      <c r="AW42" s="21" t="str">
        <f>IF(AND('Atividades Micro'!$B42=AW$2,'Atividades Micro'!$K42&lt;&gt;""),'Atividades Micro'!$K42,"")</f>
        <v/>
      </c>
      <c r="AX42" s="21" t="str">
        <f>IF(AND('Atividades Micro'!$B42=AX$2,'Atividades Micro'!$L42&lt;&gt;""),'Atividades Micro'!$L42,"")</f>
        <v/>
      </c>
      <c r="AY42" s="21" t="str">
        <f>IF(AND('Atividades Micro'!$A42=AY$2,'Atividades Micro'!$K42&lt;&gt;""),'Atividades Micro'!$K42,"")</f>
        <v/>
      </c>
      <c r="AZ42" s="21" t="str">
        <f>IF(AND('Atividades Micro'!$A42=AZ$2,'Atividades Micro'!$L42&lt;&gt;""),'Atividades Micro'!$L42,"")</f>
        <v/>
      </c>
      <c r="BA42" s="21" t="str">
        <f>IF(AND('Atividades Micro'!$B42=BA$2,'Atividades Micro'!$K42&lt;&gt;""),'Atividades Micro'!$K42,"")</f>
        <v/>
      </c>
      <c r="BB42" s="21" t="str">
        <f>IF(AND('Atividades Micro'!$B42=BB$2,'Atividades Micro'!$L42&lt;&gt;""),'Atividades Micro'!$L42,"")</f>
        <v/>
      </c>
      <c r="BC42" s="21" t="str">
        <f>IF(AND('Atividades Micro'!$B42=BC$2,'Atividades Micro'!$G42="Macro",'Atividades Micro'!$K42&lt;&gt;""),'Atividades Micro'!$K42,"")</f>
        <v/>
      </c>
      <c r="BD42" s="21" t="str">
        <f>IF(AND('Atividades Micro'!$B42=BD$2,'Atividades Micro'!$G42="Macro",'Atividades Micro'!$K42&lt;&gt;""),'Atividades Micro'!$K42,"")</f>
        <v/>
      </c>
      <c r="BE42" s="21" t="str">
        <f>IF(AND('Atividades Micro'!$B42=BE$2,'Atividades Micro'!$G42="Macro",'Atividades Micro'!$K42&lt;&gt;""),'Atividades Micro'!$K42,"")</f>
        <v/>
      </c>
      <c r="BF42" s="21" t="str">
        <f>IF(AND('Atividades Micro'!$B42=BF$2,'Atividades Micro'!$G42="Macro",'Atividades Micro'!$K42&lt;&gt;""),'Atividades Micro'!$K42,"")</f>
        <v/>
      </c>
      <c r="BG42" s="21" t="str">
        <f>IF(AND('Atividades Micro'!$B42=BG$2,'Atividades Micro'!$G42="Macro",'Atividades Micro'!$K42&lt;&gt;""),'Atividades Micro'!$K42,"")</f>
        <v/>
      </c>
      <c r="BH42" s="21" t="str">
        <f>IF(AND('Atividades Micro'!$B42=BH$2,'Atividades Micro'!$G42="Macro",'Atividades Micro'!$K42&lt;&gt;""),'Atividades Micro'!$K42,"")</f>
        <v/>
      </c>
      <c r="BI42" s="21" t="str">
        <f>IF(AND('Atividades Micro'!$B42=BI$2,'Atividades Micro'!$G42="Macro",'Atividades Micro'!$K42&lt;&gt;""),'Atividades Micro'!$K42,"")</f>
        <v/>
      </c>
      <c r="BJ42" s="21" t="str">
        <f>IF(AND('Atividades Micro'!$B42=BJ$2,'Atividades Micro'!$G42="Macro",'Atividades Micro'!$K42&lt;&gt;""),'Atividades Micro'!$K42,"")</f>
        <v/>
      </c>
      <c r="BK42" s="21" t="str">
        <f>IF(AND('Atividades Micro'!$B42=BK$2,'Atividades Micro'!$G42="Macro",'Atividades Micro'!$K42&lt;&gt;""),'Atividades Micro'!$K42,"")</f>
        <v/>
      </c>
      <c r="BL42" s="21" t="str">
        <f>IF(AND('Atividades Micro'!$B42=BL$2,'Atividades Micro'!$G42="Macro",'Atividades Micro'!$K42&lt;&gt;""),'Atividades Micro'!$K42,"")</f>
        <v/>
      </c>
      <c r="BM42" s="21" t="str">
        <f>IF(AND('Atividades Micro'!$B42=BM$2,'Atividades Micro'!$G42="Macro",'Atividades Micro'!$K42&lt;&gt;""),'Atividades Micro'!$K42,"")</f>
        <v/>
      </c>
      <c r="BN42" s="21" t="str">
        <f>IF(AND('Atividades Micro'!$B42=BN$2,'Atividades Micro'!$G42="Macro",'Atividades Micro'!$K42&lt;&gt;""),'Atividades Micro'!$K42,"")</f>
        <v/>
      </c>
      <c r="BO42" s="21" t="str">
        <f>IF(AND('Atividades Micro'!$B42=BO$2,'Atividades Micro'!$G42="Macro",'Atividades Micro'!$K42&lt;&gt;""),'Atividades Micro'!$K42,"")</f>
        <v/>
      </c>
      <c r="BP42" s="21" t="str">
        <f>IF(AND('Atividades Micro'!$B42=BP$2,'Atividades Micro'!$G42="Macro",'Atividades Micro'!$K42&lt;&gt;""),'Atividades Micro'!$K42,"")</f>
        <v/>
      </c>
      <c r="BQ42" s="21" t="str">
        <f>IF(AND('Atividades Micro'!$B42=BQ$2,'Atividades Micro'!$G42="Macro",'Atividades Micro'!$K42&lt;&gt;""),'Atividades Micro'!$K42,"")</f>
        <v/>
      </c>
      <c r="BR42" s="21" t="str">
        <f>IF(AND('Atividades Micro'!$B42=BR$2,'Atividades Micro'!$G42="Macro",'Atividades Micro'!$K42&lt;&gt;""),'Atividades Micro'!$K42,"")</f>
        <v/>
      </c>
      <c r="BS42" s="21" t="str">
        <f>IF(AND('Atividades Micro'!$B42=BS$2,'Atividades Micro'!$G42="Macro",'Atividades Micro'!$K42&lt;&gt;""),'Atividades Micro'!$K42,"")</f>
        <v/>
      </c>
      <c r="BT42" s="21" t="str">
        <f>IF(AND('Atividades Micro'!$B42=BT$2,'Atividades Micro'!$G42="Macro",'Atividades Micro'!$K42&lt;&gt;""),'Atividades Micro'!$K42,"")</f>
        <v/>
      </c>
      <c r="BU42" s="21" t="str">
        <f>IF(AND('Atividades Micro'!$B42=BU$2,'Atividades Micro'!$G42="Macro",'Atividades Micro'!$K42&lt;&gt;""),'Atividades Micro'!$K42,"")</f>
        <v/>
      </c>
      <c r="BV42" s="21" t="str">
        <f>IF(AND('Atividades Micro'!$B42=BV$2,'Atividades Micro'!$G42="Macro",'Atividades Micro'!$K42&lt;&gt;""),'Atividades Micro'!$K42,"")</f>
        <v/>
      </c>
      <c r="BW42" s="21" t="str">
        <f>IF(AND('Atividades Micro'!$B42=BW$2,'Atividades Micro'!$G42="Macro",'Atividades Micro'!$K42&lt;&gt;""),'Atividades Micro'!$K42,"")</f>
        <v/>
      </c>
      <c r="BX42" s="21" t="str">
        <f>IF(AND('Atividades Micro'!$B42=BX$2,'Atividades Micro'!$G42="Macro",'Atividades Micro'!$K42&lt;&gt;""),'Atividades Micro'!$K42,"")</f>
        <v/>
      </c>
      <c r="BY42" s="21" t="str">
        <f>IF(AND('Atividades Micro'!$B42=BY$2,'Atividades Micro'!$G42="Macro",'Atividades Micro'!$K42&lt;&gt;""),'Atividades Micro'!$K42,"")</f>
        <v/>
      </c>
      <c r="BZ42" s="21" t="str">
        <f>IF(AND('Atividades Micro'!$B42=BZ$2,'Atividades Micro'!$G42="Macro",'Atividades Micro'!$K42&lt;&gt;""),'Atividades Micro'!$K42,"")</f>
        <v/>
      </c>
      <c r="CA42" s="21" t="str">
        <f>IF(AND('Atividades Micro'!$B42=CA$2,'Atividades Micro'!$G42="Macro",'Atividades Micro'!$K42&lt;&gt;""),'Atividades Micro'!$K42,"")</f>
        <v/>
      </c>
      <c r="CB42" s="21" t="str">
        <f>IF(AND('Atividades Micro'!$B42=CB$2,'Atividades Micro'!$G42="Macro",'Atividades Micro'!$K42&lt;&gt;""),'Atividades Micro'!$K42,"")</f>
        <v/>
      </c>
      <c r="CC42" s="21" t="str">
        <f>IF(AND('Atividades Micro'!$B42=CC$2,'Atividades Micro'!$G42="Macro",'Atividades Micro'!$K42&lt;&gt;""),'Atividades Micro'!$K42,"")</f>
        <v/>
      </c>
      <c r="CD42" s="21" t="str">
        <f>IF(AND('Atividades Micro'!$B42=CD$2,'Atividades Micro'!$G42="Micro",'Atividades Micro'!$K42&lt;&gt;""),'Atividades Micro'!$K42,"")</f>
        <v/>
      </c>
      <c r="CE42" s="21">
        <f>IF(AND('Atividades Micro'!$B42=CE$2,'Atividades Micro'!$G42="Micro",'Atividades Micro'!$K42&lt;&gt;""),'Atividades Micro'!$K42,"")</f>
        <v>46258</v>
      </c>
      <c r="CF42" s="21" t="str">
        <f>IF(AND('Atividades Micro'!$B42=CF$2,'Atividades Micro'!$G42="Micro",'Atividades Micro'!$K42&lt;&gt;""),'Atividades Micro'!$K42,"")</f>
        <v/>
      </c>
      <c r="CG42" s="21" t="str">
        <f>IF(AND('Atividades Micro'!$B42=CG$2,'Atividades Micro'!$G42="Micro",'Atividades Micro'!$K42&lt;&gt;""),'Atividades Micro'!$K42,"")</f>
        <v/>
      </c>
      <c r="CH42" s="21" t="str">
        <f>IF(AND('Atividades Micro'!$B42=CH$2,'Atividades Micro'!$G42="Micro",'Atividades Micro'!$K42&lt;&gt;""),'Atividades Micro'!$K42,"")</f>
        <v/>
      </c>
      <c r="CI42" s="21" t="str">
        <f>IF(AND('Atividades Micro'!$B42=CI$2,'Atividades Micro'!$G42="Micro",'Atividades Micro'!$K42&lt;&gt;""),'Atividades Micro'!$K42,"")</f>
        <v/>
      </c>
      <c r="CJ42" s="21" t="str">
        <f>IF(AND('Atividades Micro'!$B42=CJ$2,'Atividades Micro'!$G42="Micro",'Atividades Micro'!$K42&lt;&gt;""),'Atividades Micro'!$K42,"")</f>
        <v/>
      </c>
      <c r="CK42" s="21" t="str">
        <f>IF(AND('Atividades Micro'!$B42=CK$2,'Atividades Micro'!$G42="Micro",'Atividades Micro'!$K42&lt;&gt;""),'Atividades Micro'!$K42,"")</f>
        <v/>
      </c>
      <c r="CL42" s="21" t="str">
        <f>IF(AND('Atividades Micro'!$B42=CL$2,'Atividades Micro'!$G42="Micro",'Atividades Micro'!$K42&lt;&gt;""),'Atividades Micro'!$K42,"")</f>
        <v/>
      </c>
      <c r="CM42" s="21" t="str">
        <f>IF(AND('Atividades Micro'!$B42=CM$2,'Atividades Micro'!$G42="Micro",'Atividades Micro'!$K42&lt;&gt;""),'Atividades Micro'!$K42,"")</f>
        <v/>
      </c>
      <c r="CN42" s="21" t="str">
        <f>IF(AND('Atividades Micro'!$B42=CN$2,'Atividades Micro'!$G42="Micro",'Atividades Micro'!$K42&lt;&gt;""),'Atividades Micro'!$K42,"")</f>
        <v/>
      </c>
      <c r="CO42" s="21" t="str">
        <f>IF(AND('Atividades Micro'!$B42=CO$2,'Atividades Micro'!$G42="Micro",'Atividades Micro'!$K42&lt;&gt;""),'Atividades Micro'!$K42,"")</f>
        <v/>
      </c>
    </row>
    <row r="43" spans="1:93">
      <c r="A43" s="21" t="str">
        <f>IF(AND('Atividades Micro'!$A43=A$2,'Atividades Micro'!$K43&lt;&gt;""),'Atividades Micro'!$K43,"")</f>
        <v/>
      </c>
      <c r="B43" s="21" t="str">
        <f>IF(AND('Atividades Micro'!$A43=B$2,'Atividades Micro'!$L43&lt;&gt;""),'Atividades Micro'!$L43,"")</f>
        <v/>
      </c>
      <c r="C43" s="21" t="str">
        <f>IF(AND('Atividades Micro'!$A43=C$2,'Atividades Micro'!$K43&lt;&gt;""),'Atividades Micro'!$K43,"")</f>
        <v/>
      </c>
      <c r="D43" s="21" t="str">
        <f>IF(AND('Atividades Micro'!$A43=D$2,'Atividades Micro'!$L43&lt;&gt;""),'Atividades Micro'!$L43,"")</f>
        <v/>
      </c>
      <c r="E43" s="21" t="str">
        <f>IF(AND('Atividades Micro'!$A43=E$2,'Atividades Micro'!$K43&lt;&gt;""),'Atividades Micro'!$K43,"")</f>
        <v/>
      </c>
      <c r="F43" s="21" t="str">
        <f>IF(AND('Atividades Micro'!$A43=F$2,'Atividades Micro'!$L43&lt;&gt;""),'Atividades Micro'!$L43,"")</f>
        <v/>
      </c>
      <c r="G43" s="21" t="str">
        <f>IF(AND('Atividades Micro'!$A43=G$2,'Atividades Micro'!$K43&lt;&gt;""),'Atividades Micro'!$K43,"")</f>
        <v/>
      </c>
      <c r="H43" s="21" t="str">
        <f>IF(AND('Atividades Micro'!$A43=H$2,'Atividades Micro'!$L43&lt;&gt;""),'Atividades Micro'!$L43,"")</f>
        <v/>
      </c>
      <c r="I43" s="21">
        <f>IF(AND('Atividades Micro'!$A43=I$2,'Atividades Micro'!$K43&lt;&gt;""),'Atividades Micro'!$K43,"")</f>
        <v>46265</v>
      </c>
      <c r="J43" s="21">
        <f>IF(AND('Atividades Micro'!$A43=J$2,'Atividades Micro'!$L43&lt;&gt;""),'Atividades Micro'!$L43,"")</f>
        <v>46265</v>
      </c>
      <c r="K43" s="21" t="str">
        <f>IF(AND('Atividades Micro'!$B43=K$2,'Atividades Micro'!$K43&lt;&gt;""),'Atividades Micro'!$K43,"")</f>
        <v/>
      </c>
      <c r="L43" s="21" t="str">
        <f>IF(AND('Atividades Micro'!$B43=L$2,'Atividades Micro'!$L43&lt;&gt;""),'Atividades Micro'!$L43,"")</f>
        <v/>
      </c>
      <c r="M43" s="21">
        <f>IF(AND('Atividades Micro'!$B43=M$2,'Atividades Micro'!$K43&lt;&gt;""),'Atividades Micro'!$K43,"")</f>
        <v>46265</v>
      </c>
      <c r="N43" s="21">
        <f>IF(AND('Atividades Micro'!$B43=N$2,'Atividades Micro'!$L43&lt;&gt;""),'Atividades Micro'!$L43,"")</f>
        <v>46265</v>
      </c>
      <c r="O43" s="21" t="str">
        <f>IF(AND('Atividades Micro'!$A43=O$2,'Atividades Micro'!$K43&lt;&gt;""),'Atividades Micro'!$K43,"")</f>
        <v/>
      </c>
      <c r="P43" s="21" t="str">
        <f>IF(AND('Atividades Micro'!$A43=P$2,'Atividades Micro'!$L43&lt;&gt;""),'Atividades Micro'!$L43,"")</f>
        <v/>
      </c>
      <c r="Q43" s="21" t="str">
        <f>IF(AND('Atividades Micro'!$B43=Q$2,'Atividades Micro'!$K43&lt;&gt;""),'Atividades Micro'!$K43,"")</f>
        <v/>
      </c>
      <c r="R43" s="21" t="str">
        <f>IF(AND('Atividades Micro'!$B43=R$2,'Atividades Micro'!$L43&lt;&gt;""),'Atividades Micro'!$L43,"")</f>
        <v/>
      </c>
      <c r="S43" s="21" t="str">
        <f>IF(AND('Atividades Micro'!$A43=S$2,'Atividades Micro'!$K43&lt;&gt;""),'Atividades Micro'!$K43,"")</f>
        <v/>
      </c>
      <c r="T43" s="21" t="str">
        <f>IF(AND('Atividades Micro'!$A43=T$2,'Atividades Micro'!$L43&lt;&gt;""),'Atividades Micro'!$L43,"")</f>
        <v/>
      </c>
      <c r="U43" s="21" t="str">
        <f>IF(AND('Atividades Micro'!$B43=U$2,'Atividades Micro'!$K43&lt;&gt;""),'Atividades Micro'!$K43,"")</f>
        <v/>
      </c>
      <c r="V43" s="21" t="str">
        <f>IF(AND('Atividades Micro'!$B43=V$2,'Atividades Micro'!$L43&lt;&gt;""),'Atividades Micro'!$L43,"")</f>
        <v/>
      </c>
      <c r="W43" s="21" t="str">
        <f>IF(AND('Atividades Micro'!$B43=W$2,'Atividades Micro'!$K43&lt;&gt;""),'Atividades Micro'!$K43,"")</f>
        <v/>
      </c>
      <c r="X43" s="21" t="str">
        <f>IF(AND('Atividades Micro'!$B43=X$2,'Atividades Micro'!$L43&lt;&gt;""),'Atividades Micro'!$L43,"")</f>
        <v/>
      </c>
      <c r="Y43" s="21" t="str">
        <f>IF(AND('Atividades Micro'!$A43=Y$2,'Atividades Micro'!$K43&lt;&gt;""),'Atividades Micro'!$K43,"")</f>
        <v/>
      </c>
      <c r="Z43" s="21" t="str">
        <f>IF(AND('Atividades Micro'!$A43=Z$2,'Atividades Micro'!$L43&lt;&gt;""),'Atividades Micro'!$L43,"")</f>
        <v/>
      </c>
      <c r="AA43" s="21" t="str">
        <f>IF(AND('Atividades Micro'!$B43=AA$2,'Atividades Micro'!$K43&lt;&gt;""),'Atividades Micro'!$K43,"")</f>
        <v/>
      </c>
      <c r="AB43" s="21" t="str">
        <f>IF(AND('Atividades Micro'!$B43=AB$2,'Atividades Micro'!$L43&lt;&gt;""),'Atividades Micro'!$L43,"")</f>
        <v/>
      </c>
      <c r="AC43" s="21" t="str">
        <f>IF(AND('Atividades Micro'!$B43=AC$2,'Atividades Micro'!$K43&lt;&gt;""),'Atividades Micro'!$K43,"")</f>
        <v/>
      </c>
      <c r="AD43" s="21" t="str">
        <f>IF(AND('Atividades Micro'!$B43=AD$2,'Atividades Micro'!$L43&lt;&gt;""),'Atividades Micro'!$L43,"")</f>
        <v/>
      </c>
      <c r="AE43" s="21" t="str">
        <f>IF(AND('Atividades Micro'!$A43=AE$2,'Atividades Micro'!$K43&lt;&gt;""),'Atividades Micro'!$K43,"")</f>
        <v/>
      </c>
      <c r="AF43" s="21" t="str">
        <f>IF(AND('Atividades Micro'!$A43=AF$2,'Atividades Micro'!$L43&lt;&gt;""),'Atividades Micro'!$L43,"")</f>
        <v/>
      </c>
      <c r="AG43" s="21" t="str">
        <f>IF(AND('Atividades Micro'!$B43=AG$2,'Atividades Micro'!$K43&lt;&gt;""),'Atividades Micro'!$K43,"")</f>
        <v/>
      </c>
      <c r="AH43" s="21" t="str">
        <f>IF(AND('Atividades Micro'!$B43=AH$2,'Atividades Micro'!$L43&lt;&gt;""),'Atividades Micro'!$L43,"")</f>
        <v/>
      </c>
      <c r="AI43" s="21" t="str">
        <f>IF(AND('Atividades Micro'!$B43=AI$2,'Atividades Micro'!$K43&lt;&gt;""),'Atividades Micro'!$K43,"")</f>
        <v/>
      </c>
      <c r="AJ43" s="21" t="str">
        <f>IF(AND('Atividades Micro'!$B43=AJ$2,'Atividades Micro'!$L43&lt;&gt;""),'Atividades Micro'!$L43,"")</f>
        <v/>
      </c>
      <c r="AK43" s="21" t="str">
        <f>IF(AND('Atividades Micro'!$A43=AK$2,'Atividades Micro'!$K43&lt;&gt;""),'Atividades Micro'!$K43,"")</f>
        <v/>
      </c>
      <c r="AL43" s="21" t="str">
        <f>IF(AND('Atividades Micro'!$A43=AL$2,'Atividades Micro'!$L43&lt;&gt;""),'Atividades Micro'!$L43,"")</f>
        <v/>
      </c>
      <c r="AM43" s="21" t="str">
        <f>IF(AND('Atividades Micro'!$B43=AM$2,'Atividades Micro'!$K43&lt;&gt;""),'Atividades Micro'!$K43,"")</f>
        <v/>
      </c>
      <c r="AN43" s="21" t="str">
        <f>IF(AND('Atividades Micro'!$B43=AN$2,'Atividades Micro'!$L43&lt;&gt;""),'Atividades Micro'!$L43,"")</f>
        <v/>
      </c>
      <c r="AO43" s="21" t="str">
        <f>IF(AND('Atividades Micro'!$B43=AO$2,'Atividades Micro'!$K43&lt;&gt;""),'Atividades Micro'!$K43,"")</f>
        <v/>
      </c>
      <c r="AP43" s="21" t="str">
        <f>IF(AND('Atividades Micro'!$B43=AP$2,'Atividades Micro'!$L43&lt;&gt;""),'Atividades Micro'!$L43,"")</f>
        <v/>
      </c>
      <c r="AQ43" s="21" t="str">
        <f>IF(AND('Atividades Micro'!$A43=AQ$2,'Atividades Micro'!$K43&lt;&gt;""),'Atividades Micro'!$K43,"")</f>
        <v/>
      </c>
      <c r="AR43" s="21" t="str">
        <f>IF(AND('Atividades Micro'!$A43=AR$2,'Atividades Micro'!$L43&lt;&gt;""),'Atividades Micro'!$L43,"")</f>
        <v/>
      </c>
      <c r="AS43" s="21" t="str">
        <f>IF(AND('Atividades Micro'!$B43=AS$2,'Atividades Micro'!$K43&lt;&gt;""),'Atividades Micro'!$K43,"")</f>
        <v/>
      </c>
      <c r="AT43" s="21" t="str">
        <f>IF(AND('Atividades Micro'!$B43=AT$2,'Atividades Micro'!$L43&lt;&gt;""),'Atividades Micro'!$L43,"")</f>
        <v/>
      </c>
      <c r="AU43" s="21" t="str">
        <f>IF(AND('Atividades Micro'!$A43=AU$2,'Atividades Micro'!$K43&lt;&gt;""),'Atividades Micro'!$K43,"")</f>
        <v/>
      </c>
      <c r="AV43" s="21" t="str">
        <f>IF(AND('Atividades Micro'!$A43=AV$2,'Atividades Micro'!$L43&lt;&gt;""),'Atividades Micro'!$L43,"")</f>
        <v/>
      </c>
      <c r="AW43" s="21" t="str">
        <f>IF(AND('Atividades Micro'!$B43=AW$2,'Atividades Micro'!$K43&lt;&gt;""),'Atividades Micro'!$K43,"")</f>
        <v/>
      </c>
      <c r="AX43" s="21" t="str">
        <f>IF(AND('Atividades Micro'!$B43=AX$2,'Atividades Micro'!$L43&lt;&gt;""),'Atividades Micro'!$L43,"")</f>
        <v/>
      </c>
      <c r="AY43" s="21" t="str">
        <f>IF(AND('Atividades Micro'!$A43=AY$2,'Atividades Micro'!$K43&lt;&gt;""),'Atividades Micro'!$K43,"")</f>
        <v/>
      </c>
      <c r="AZ43" s="21" t="str">
        <f>IF(AND('Atividades Micro'!$A43=AZ$2,'Atividades Micro'!$L43&lt;&gt;""),'Atividades Micro'!$L43,"")</f>
        <v/>
      </c>
      <c r="BA43" s="21" t="str">
        <f>IF(AND('Atividades Micro'!$B43=BA$2,'Atividades Micro'!$K43&lt;&gt;""),'Atividades Micro'!$K43,"")</f>
        <v/>
      </c>
      <c r="BB43" s="21" t="str">
        <f>IF(AND('Atividades Micro'!$B43=BB$2,'Atividades Micro'!$L43&lt;&gt;""),'Atividades Micro'!$L43,"")</f>
        <v/>
      </c>
      <c r="BC43" s="21" t="str">
        <f>IF(AND('Atividades Micro'!$B43=BC$2,'Atividades Micro'!$G43="Macro",'Atividades Micro'!$K43&lt;&gt;""),'Atividades Micro'!$K43,"")</f>
        <v/>
      </c>
      <c r="BD43" s="21" t="str">
        <f>IF(AND('Atividades Micro'!$B43=BD$2,'Atividades Micro'!$G43="Macro",'Atividades Micro'!$K43&lt;&gt;""),'Atividades Micro'!$K43,"")</f>
        <v/>
      </c>
      <c r="BE43" s="21" t="str">
        <f>IF(AND('Atividades Micro'!$B43=BE$2,'Atividades Micro'!$G43="Macro",'Atividades Micro'!$K43&lt;&gt;""),'Atividades Micro'!$K43,"")</f>
        <v/>
      </c>
      <c r="BF43" s="21" t="str">
        <f>IF(AND('Atividades Micro'!$B43=BF$2,'Atividades Micro'!$G43="Macro",'Atividades Micro'!$K43&lt;&gt;""),'Atividades Micro'!$K43,"")</f>
        <v/>
      </c>
      <c r="BG43" s="21" t="str">
        <f>IF(AND('Atividades Micro'!$B43=BG$2,'Atividades Micro'!$G43="Macro",'Atividades Micro'!$K43&lt;&gt;""),'Atividades Micro'!$K43,"")</f>
        <v/>
      </c>
      <c r="BH43" s="21" t="str">
        <f>IF(AND('Atividades Micro'!$B43=BH$2,'Atividades Micro'!$G43="Macro",'Atividades Micro'!$K43&lt;&gt;""),'Atividades Micro'!$K43,"")</f>
        <v/>
      </c>
      <c r="BI43" s="21" t="str">
        <f>IF(AND('Atividades Micro'!$B43=BI$2,'Atividades Micro'!$G43="Macro",'Atividades Micro'!$K43&lt;&gt;""),'Atividades Micro'!$K43,"")</f>
        <v/>
      </c>
      <c r="BJ43" s="21" t="str">
        <f>IF(AND('Atividades Micro'!$B43=BJ$2,'Atividades Micro'!$G43="Macro",'Atividades Micro'!$K43&lt;&gt;""),'Atividades Micro'!$K43,"")</f>
        <v/>
      </c>
      <c r="BK43" s="21" t="str">
        <f>IF(AND('Atividades Micro'!$B43=BK$2,'Atividades Micro'!$G43="Macro",'Atividades Micro'!$K43&lt;&gt;""),'Atividades Micro'!$K43,"")</f>
        <v/>
      </c>
      <c r="BL43" s="21" t="str">
        <f>IF(AND('Atividades Micro'!$B43=BL$2,'Atividades Micro'!$G43="Macro",'Atividades Micro'!$K43&lt;&gt;""),'Atividades Micro'!$K43,"")</f>
        <v/>
      </c>
      <c r="BM43" s="21" t="str">
        <f>IF(AND('Atividades Micro'!$B43=BM$2,'Atividades Micro'!$G43="Macro",'Atividades Micro'!$K43&lt;&gt;""),'Atividades Micro'!$K43,"")</f>
        <v/>
      </c>
      <c r="BN43" s="21" t="str">
        <f>IF(AND('Atividades Micro'!$B43=BN$2,'Atividades Micro'!$G43="Macro",'Atividades Micro'!$K43&lt;&gt;""),'Atividades Micro'!$K43,"")</f>
        <v/>
      </c>
      <c r="BO43" s="21" t="str">
        <f>IF(AND('Atividades Micro'!$B43=BO$2,'Atividades Micro'!$G43="Macro",'Atividades Micro'!$K43&lt;&gt;""),'Atividades Micro'!$K43,"")</f>
        <v/>
      </c>
      <c r="BP43" s="21" t="str">
        <f>IF(AND('Atividades Micro'!$B43=BP$2,'Atividades Micro'!$G43="Macro",'Atividades Micro'!$K43&lt;&gt;""),'Atividades Micro'!$K43,"")</f>
        <v/>
      </c>
      <c r="BQ43" s="21" t="str">
        <f>IF(AND('Atividades Micro'!$B43=BQ$2,'Atividades Micro'!$G43="Macro",'Atividades Micro'!$K43&lt;&gt;""),'Atividades Micro'!$K43,"")</f>
        <v/>
      </c>
      <c r="BR43" s="21" t="str">
        <f>IF(AND('Atividades Micro'!$B43=BR$2,'Atividades Micro'!$G43="Macro",'Atividades Micro'!$K43&lt;&gt;""),'Atividades Micro'!$K43,"")</f>
        <v/>
      </c>
      <c r="BS43" s="21" t="str">
        <f>IF(AND('Atividades Micro'!$B43=BS$2,'Atividades Micro'!$G43="Macro",'Atividades Micro'!$K43&lt;&gt;""),'Atividades Micro'!$K43,"")</f>
        <v/>
      </c>
      <c r="BT43" s="21" t="str">
        <f>IF(AND('Atividades Micro'!$B43=BT$2,'Atividades Micro'!$G43="Macro",'Atividades Micro'!$K43&lt;&gt;""),'Atividades Micro'!$K43,"")</f>
        <v/>
      </c>
      <c r="BU43" s="21" t="str">
        <f>IF(AND('Atividades Micro'!$B43=BU$2,'Atividades Micro'!$G43="Macro",'Atividades Micro'!$K43&lt;&gt;""),'Atividades Micro'!$K43,"")</f>
        <v/>
      </c>
      <c r="BV43" s="21" t="str">
        <f>IF(AND('Atividades Micro'!$B43=BV$2,'Atividades Micro'!$G43="Macro",'Atividades Micro'!$K43&lt;&gt;""),'Atividades Micro'!$K43,"")</f>
        <v/>
      </c>
      <c r="BW43" s="21" t="str">
        <f>IF(AND('Atividades Micro'!$B43=BW$2,'Atividades Micro'!$G43="Macro",'Atividades Micro'!$K43&lt;&gt;""),'Atividades Micro'!$K43,"")</f>
        <v/>
      </c>
      <c r="BX43" s="21" t="str">
        <f>IF(AND('Atividades Micro'!$B43=BX$2,'Atividades Micro'!$G43="Macro",'Atividades Micro'!$K43&lt;&gt;""),'Atividades Micro'!$K43,"")</f>
        <v/>
      </c>
      <c r="BY43" s="21" t="str">
        <f>IF(AND('Atividades Micro'!$B43=BY$2,'Atividades Micro'!$G43="Macro",'Atividades Micro'!$K43&lt;&gt;""),'Atividades Micro'!$K43,"")</f>
        <v/>
      </c>
      <c r="BZ43" s="21" t="str">
        <f>IF(AND('Atividades Micro'!$B43=BZ$2,'Atividades Micro'!$G43="Macro",'Atividades Micro'!$K43&lt;&gt;""),'Atividades Micro'!$K43,"")</f>
        <v/>
      </c>
      <c r="CA43" s="21" t="str">
        <f>IF(AND('Atividades Micro'!$B43=CA$2,'Atividades Micro'!$G43="Macro",'Atividades Micro'!$K43&lt;&gt;""),'Atividades Micro'!$K43,"")</f>
        <v/>
      </c>
      <c r="CB43" s="21" t="str">
        <f>IF(AND('Atividades Micro'!$B43=CB$2,'Atividades Micro'!$G43="Macro",'Atividades Micro'!$K43&lt;&gt;""),'Atividades Micro'!$K43,"")</f>
        <v/>
      </c>
      <c r="CC43" s="21" t="str">
        <f>IF(AND('Atividades Micro'!$B43=CC$2,'Atividades Micro'!$G43="Macro",'Atividades Micro'!$K43&lt;&gt;""),'Atividades Micro'!$K43,"")</f>
        <v/>
      </c>
      <c r="CD43" s="21" t="str">
        <f>IF(AND('Atividades Micro'!$B43=CD$2,'Atividades Micro'!$G43="Micro",'Atividades Micro'!$K43&lt;&gt;""),'Atividades Micro'!$K43,"")</f>
        <v/>
      </c>
      <c r="CE43" s="21">
        <f>IF(AND('Atividades Micro'!$B43=CE$2,'Atividades Micro'!$G43="Micro",'Atividades Micro'!$K43&lt;&gt;""),'Atividades Micro'!$K43,"")</f>
        <v>46265</v>
      </c>
      <c r="CF43" s="21" t="str">
        <f>IF(AND('Atividades Micro'!$B43=CF$2,'Atividades Micro'!$G43="Micro",'Atividades Micro'!$K43&lt;&gt;""),'Atividades Micro'!$K43,"")</f>
        <v/>
      </c>
      <c r="CG43" s="21" t="str">
        <f>IF(AND('Atividades Micro'!$B43=CG$2,'Atividades Micro'!$G43="Micro",'Atividades Micro'!$K43&lt;&gt;""),'Atividades Micro'!$K43,"")</f>
        <v/>
      </c>
      <c r="CH43" s="21" t="str">
        <f>IF(AND('Atividades Micro'!$B43=CH$2,'Atividades Micro'!$G43="Micro",'Atividades Micro'!$K43&lt;&gt;""),'Atividades Micro'!$K43,"")</f>
        <v/>
      </c>
      <c r="CI43" s="21" t="str">
        <f>IF(AND('Atividades Micro'!$B43=CI$2,'Atividades Micro'!$G43="Micro",'Atividades Micro'!$K43&lt;&gt;""),'Atividades Micro'!$K43,"")</f>
        <v/>
      </c>
      <c r="CJ43" s="21" t="str">
        <f>IF(AND('Atividades Micro'!$B43=CJ$2,'Atividades Micro'!$G43="Micro",'Atividades Micro'!$K43&lt;&gt;""),'Atividades Micro'!$K43,"")</f>
        <v/>
      </c>
      <c r="CK43" s="21" t="str">
        <f>IF(AND('Atividades Micro'!$B43=CK$2,'Atividades Micro'!$G43="Micro",'Atividades Micro'!$K43&lt;&gt;""),'Atividades Micro'!$K43,"")</f>
        <v/>
      </c>
      <c r="CL43" s="21" t="str">
        <f>IF(AND('Atividades Micro'!$B43=CL$2,'Atividades Micro'!$G43="Micro",'Atividades Micro'!$K43&lt;&gt;""),'Atividades Micro'!$K43,"")</f>
        <v/>
      </c>
      <c r="CM43" s="21" t="str">
        <f>IF(AND('Atividades Micro'!$B43=CM$2,'Atividades Micro'!$G43="Micro",'Atividades Micro'!$K43&lt;&gt;""),'Atividades Micro'!$K43,"")</f>
        <v/>
      </c>
      <c r="CN43" s="21" t="str">
        <f>IF(AND('Atividades Micro'!$B43=CN$2,'Atividades Micro'!$G43="Micro",'Atividades Micro'!$K43&lt;&gt;""),'Atividades Micro'!$K43,"")</f>
        <v/>
      </c>
      <c r="CO43" s="21" t="str">
        <f>IF(AND('Atividades Micro'!$B43=CO$2,'Atividades Micro'!$G43="Micro",'Atividades Micro'!$K43&lt;&gt;""),'Atividades Micro'!$K43,"")</f>
        <v/>
      </c>
    </row>
    <row r="44" spans="1:93">
      <c r="A44" s="21" t="str">
        <f>IF(AND('Atividades Micro'!$A44=A$2,'Atividades Micro'!$K44&lt;&gt;""),'Atividades Micro'!$K44,"")</f>
        <v/>
      </c>
      <c r="B44" s="21" t="str">
        <f>IF(AND('Atividades Micro'!$A44=B$2,'Atividades Micro'!$L44&lt;&gt;""),'Atividades Micro'!$L44,"")</f>
        <v/>
      </c>
      <c r="C44" s="21" t="str">
        <f>IF(AND('Atividades Micro'!$A44=C$2,'Atividades Micro'!$K44&lt;&gt;""),'Atividades Micro'!$K44,"")</f>
        <v/>
      </c>
      <c r="D44" s="21" t="str">
        <f>IF(AND('Atividades Micro'!$A44=D$2,'Atividades Micro'!$L44&lt;&gt;""),'Atividades Micro'!$L44,"")</f>
        <v/>
      </c>
      <c r="E44" s="21" t="str">
        <f>IF(AND('Atividades Micro'!$A44=E$2,'Atividades Micro'!$K44&lt;&gt;""),'Atividades Micro'!$K44,"")</f>
        <v/>
      </c>
      <c r="F44" s="21" t="str">
        <f>IF(AND('Atividades Micro'!$A44=F$2,'Atividades Micro'!$L44&lt;&gt;""),'Atividades Micro'!$L44,"")</f>
        <v/>
      </c>
      <c r="G44" s="21" t="str">
        <f>IF(AND('Atividades Micro'!$A44=G$2,'Atividades Micro'!$K44&lt;&gt;""),'Atividades Micro'!$K44,"")</f>
        <v/>
      </c>
      <c r="H44" s="21" t="str">
        <f>IF(AND('Atividades Micro'!$A44=H$2,'Atividades Micro'!$L44&lt;&gt;""),'Atividades Micro'!$L44,"")</f>
        <v/>
      </c>
      <c r="I44" s="21">
        <f>IF(AND('Atividades Micro'!$A44=I$2,'Atividades Micro'!$K44&lt;&gt;""),'Atividades Micro'!$K44,"")</f>
        <v>46267</v>
      </c>
      <c r="J44" s="21">
        <f>IF(AND('Atividades Micro'!$A44=J$2,'Atividades Micro'!$L44&lt;&gt;""),'Atividades Micro'!$L44,"")</f>
        <v>46267</v>
      </c>
      <c r="K44" s="21" t="str">
        <f>IF(AND('Atividades Micro'!$B44=K$2,'Atividades Micro'!$K44&lt;&gt;""),'Atividades Micro'!$K44,"")</f>
        <v/>
      </c>
      <c r="L44" s="21" t="str">
        <f>IF(AND('Atividades Micro'!$B44=L$2,'Atividades Micro'!$L44&lt;&gt;""),'Atividades Micro'!$L44,"")</f>
        <v/>
      </c>
      <c r="M44" s="21">
        <f>IF(AND('Atividades Micro'!$B44=M$2,'Atividades Micro'!$K44&lt;&gt;""),'Atividades Micro'!$K44,"")</f>
        <v>46267</v>
      </c>
      <c r="N44" s="21">
        <f>IF(AND('Atividades Micro'!$B44=N$2,'Atividades Micro'!$L44&lt;&gt;""),'Atividades Micro'!$L44,"")</f>
        <v>46267</v>
      </c>
      <c r="O44" s="21" t="str">
        <f>IF(AND('Atividades Micro'!$A44=O$2,'Atividades Micro'!$K44&lt;&gt;""),'Atividades Micro'!$K44,"")</f>
        <v/>
      </c>
      <c r="P44" s="21" t="str">
        <f>IF(AND('Atividades Micro'!$A44=P$2,'Atividades Micro'!$L44&lt;&gt;""),'Atividades Micro'!$L44,"")</f>
        <v/>
      </c>
      <c r="Q44" s="21" t="str">
        <f>IF(AND('Atividades Micro'!$B44=Q$2,'Atividades Micro'!$K44&lt;&gt;""),'Atividades Micro'!$K44,"")</f>
        <v/>
      </c>
      <c r="R44" s="21" t="str">
        <f>IF(AND('Atividades Micro'!$B44=R$2,'Atividades Micro'!$L44&lt;&gt;""),'Atividades Micro'!$L44,"")</f>
        <v/>
      </c>
      <c r="S44" s="21" t="str">
        <f>IF(AND('Atividades Micro'!$A44=S$2,'Atividades Micro'!$K44&lt;&gt;""),'Atividades Micro'!$K44,"")</f>
        <v/>
      </c>
      <c r="T44" s="21" t="str">
        <f>IF(AND('Atividades Micro'!$A44=T$2,'Atividades Micro'!$L44&lt;&gt;""),'Atividades Micro'!$L44,"")</f>
        <v/>
      </c>
      <c r="U44" s="21" t="str">
        <f>IF(AND('Atividades Micro'!$B44=U$2,'Atividades Micro'!$K44&lt;&gt;""),'Atividades Micro'!$K44,"")</f>
        <v/>
      </c>
      <c r="V44" s="21" t="str">
        <f>IF(AND('Atividades Micro'!$B44=V$2,'Atividades Micro'!$L44&lt;&gt;""),'Atividades Micro'!$L44,"")</f>
        <v/>
      </c>
      <c r="W44" s="21" t="str">
        <f>IF(AND('Atividades Micro'!$B44=W$2,'Atividades Micro'!$K44&lt;&gt;""),'Atividades Micro'!$K44,"")</f>
        <v/>
      </c>
      <c r="X44" s="21" t="str">
        <f>IF(AND('Atividades Micro'!$B44=X$2,'Atividades Micro'!$L44&lt;&gt;""),'Atividades Micro'!$L44,"")</f>
        <v/>
      </c>
      <c r="Y44" s="21" t="str">
        <f>IF(AND('Atividades Micro'!$A44=Y$2,'Atividades Micro'!$K44&lt;&gt;""),'Atividades Micro'!$K44,"")</f>
        <v/>
      </c>
      <c r="Z44" s="21" t="str">
        <f>IF(AND('Atividades Micro'!$A44=Z$2,'Atividades Micro'!$L44&lt;&gt;""),'Atividades Micro'!$L44,"")</f>
        <v/>
      </c>
      <c r="AA44" s="21" t="str">
        <f>IF(AND('Atividades Micro'!$B44=AA$2,'Atividades Micro'!$K44&lt;&gt;""),'Atividades Micro'!$K44,"")</f>
        <v/>
      </c>
      <c r="AB44" s="21" t="str">
        <f>IF(AND('Atividades Micro'!$B44=AB$2,'Atividades Micro'!$L44&lt;&gt;""),'Atividades Micro'!$L44,"")</f>
        <v/>
      </c>
      <c r="AC44" s="21" t="str">
        <f>IF(AND('Atividades Micro'!$B44=AC$2,'Atividades Micro'!$K44&lt;&gt;""),'Atividades Micro'!$K44,"")</f>
        <v/>
      </c>
      <c r="AD44" s="21" t="str">
        <f>IF(AND('Atividades Micro'!$B44=AD$2,'Atividades Micro'!$L44&lt;&gt;""),'Atividades Micro'!$L44,"")</f>
        <v/>
      </c>
      <c r="AE44" s="21" t="str">
        <f>IF(AND('Atividades Micro'!$A44=AE$2,'Atividades Micro'!$K44&lt;&gt;""),'Atividades Micro'!$K44,"")</f>
        <v/>
      </c>
      <c r="AF44" s="21" t="str">
        <f>IF(AND('Atividades Micro'!$A44=AF$2,'Atividades Micro'!$L44&lt;&gt;""),'Atividades Micro'!$L44,"")</f>
        <v/>
      </c>
      <c r="AG44" s="21" t="str">
        <f>IF(AND('Atividades Micro'!$B44=AG$2,'Atividades Micro'!$K44&lt;&gt;""),'Atividades Micro'!$K44,"")</f>
        <v/>
      </c>
      <c r="AH44" s="21" t="str">
        <f>IF(AND('Atividades Micro'!$B44=AH$2,'Atividades Micro'!$L44&lt;&gt;""),'Atividades Micro'!$L44,"")</f>
        <v/>
      </c>
      <c r="AI44" s="21" t="str">
        <f>IF(AND('Atividades Micro'!$B44=AI$2,'Atividades Micro'!$K44&lt;&gt;""),'Atividades Micro'!$K44,"")</f>
        <v/>
      </c>
      <c r="AJ44" s="21" t="str">
        <f>IF(AND('Atividades Micro'!$B44=AJ$2,'Atividades Micro'!$L44&lt;&gt;""),'Atividades Micro'!$L44,"")</f>
        <v/>
      </c>
      <c r="AK44" s="21" t="str">
        <f>IF(AND('Atividades Micro'!$A44=AK$2,'Atividades Micro'!$K44&lt;&gt;""),'Atividades Micro'!$K44,"")</f>
        <v/>
      </c>
      <c r="AL44" s="21" t="str">
        <f>IF(AND('Atividades Micro'!$A44=AL$2,'Atividades Micro'!$L44&lt;&gt;""),'Atividades Micro'!$L44,"")</f>
        <v/>
      </c>
      <c r="AM44" s="21" t="str">
        <f>IF(AND('Atividades Micro'!$B44=AM$2,'Atividades Micro'!$K44&lt;&gt;""),'Atividades Micro'!$K44,"")</f>
        <v/>
      </c>
      <c r="AN44" s="21" t="str">
        <f>IF(AND('Atividades Micro'!$B44=AN$2,'Atividades Micro'!$L44&lt;&gt;""),'Atividades Micro'!$L44,"")</f>
        <v/>
      </c>
      <c r="AO44" s="21" t="str">
        <f>IF(AND('Atividades Micro'!$B44=AO$2,'Atividades Micro'!$K44&lt;&gt;""),'Atividades Micro'!$K44,"")</f>
        <v/>
      </c>
      <c r="AP44" s="21" t="str">
        <f>IF(AND('Atividades Micro'!$B44=AP$2,'Atividades Micro'!$L44&lt;&gt;""),'Atividades Micro'!$L44,"")</f>
        <v/>
      </c>
      <c r="AQ44" s="21" t="str">
        <f>IF(AND('Atividades Micro'!$A44=AQ$2,'Atividades Micro'!$K44&lt;&gt;""),'Atividades Micro'!$K44,"")</f>
        <v/>
      </c>
      <c r="AR44" s="21" t="str">
        <f>IF(AND('Atividades Micro'!$A44=AR$2,'Atividades Micro'!$L44&lt;&gt;""),'Atividades Micro'!$L44,"")</f>
        <v/>
      </c>
      <c r="AS44" s="21" t="str">
        <f>IF(AND('Atividades Micro'!$B44=AS$2,'Atividades Micro'!$K44&lt;&gt;""),'Atividades Micro'!$K44,"")</f>
        <v/>
      </c>
      <c r="AT44" s="21" t="str">
        <f>IF(AND('Atividades Micro'!$B44=AT$2,'Atividades Micro'!$L44&lt;&gt;""),'Atividades Micro'!$L44,"")</f>
        <v/>
      </c>
      <c r="AU44" s="21" t="str">
        <f>IF(AND('Atividades Micro'!$A44=AU$2,'Atividades Micro'!$K44&lt;&gt;""),'Atividades Micro'!$K44,"")</f>
        <v/>
      </c>
      <c r="AV44" s="21" t="str">
        <f>IF(AND('Atividades Micro'!$A44=AV$2,'Atividades Micro'!$L44&lt;&gt;""),'Atividades Micro'!$L44,"")</f>
        <v/>
      </c>
      <c r="AW44" s="21" t="str">
        <f>IF(AND('Atividades Micro'!$B44=AW$2,'Atividades Micro'!$K44&lt;&gt;""),'Atividades Micro'!$K44,"")</f>
        <v/>
      </c>
      <c r="AX44" s="21" t="str">
        <f>IF(AND('Atividades Micro'!$B44=AX$2,'Atividades Micro'!$L44&lt;&gt;""),'Atividades Micro'!$L44,"")</f>
        <v/>
      </c>
      <c r="AY44" s="21" t="str">
        <f>IF(AND('Atividades Micro'!$A44=AY$2,'Atividades Micro'!$K44&lt;&gt;""),'Atividades Micro'!$K44,"")</f>
        <v/>
      </c>
      <c r="AZ44" s="21" t="str">
        <f>IF(AND('Atividades Micro'!$A44=AZ$2,'Atividades Micro'!$L44&lt;&gt;""),'Atividades Micro'!$L44,"")</f>
        <v/>
      </c>
      <c r="BA44" s="21" t="str">
        <f>IF(AND('Atividades Micro'!$B44=BA$2,'Atividades Micro'!$K44&lt;&gt;""),'Atividades Micro'!$K44,"")</f>
        <v/>
      </c>
      <c r="BB44" s="21" t="str">
        <f>IF(AND('Atividades Micro'!$B44=BB$2,'Atividades Micro'!$L44&lt;&gt;""),'Atividades Micro'!$L44,"")</f>
        <v/>
      </c>
      <c r="BC44" s="21" t="str">
        <f>IF(AND('Atividades Micro'!$B44=BC$2,'Atividades Micro'!$G44="Macro",'Atividades Micro'!$K44&lt;&gt;""),'Atividades Micro'!$K44,"")</f>
        <v/>
      </c>
      <c r="BD44" s="21" t="str">
        <f>IF(AND('Atividades Micro'!$B44=BD$2,'Atividades Micro'!$G44="Macro",'Atividades Micro'!$K44&lt;&gt;""),'Atividades Micro'!$K44,"")</f>
        <v/>
      </c>
      <c r="BE44" s="21" t="str">
        <f>IF(AND('Atividades Micro'!$B44=BE$2,'Atividades Micro'!$G44="Macro",'Atividades Micro'!$K44&lt;&gt;""),'Atividades Micro'!$K44,"")</f>
        <v/>
      </c>
      <c r="BF44" s="21" t="str">
        <f>IF(AND('Atividades Micro'!$B44=BF$2,'Atividades Micro'!$G44="Macro",'Atividades Micro'!$K44&lt;&gt;""),'Atividades Micro'!$K44,"")</f>
        <v/>
      </c>
      <c r="BG44" s="21" t="str">
        <f>IF(AND('Atividades Micro'!$B44=BG$2,'Atividades Micro'!$G44="Macro",'Atividades Micro'!$K44&lt;&gt;""),'Atividades Micro'!$K44,"")</f>
        <v/>
      </c>
      <c r="BH44" s="21" t="str">
        <f>IF(AND('Atividades Micro'!$B44=BH$2,'Atividades Micro'!$G44="Macro",'Atividades Micro'!$K44&lt;&gt;""),'Atividades Micro'!$K44,"")</f>
        <v/>
      </c>
      <c r="BI44" s="21" t="str">
        <f>IF(AND('Atividades Micro'!$B44=BI$2,'Atividades Micro'!$G44="Macro",'Atividades Micro'!$K44&lt;&gt;""),'Atividades Micro'!$K44,"")</f>
        <v/>
      </c>
      <c r="BJ44" s="21" t="str">
        <f>IF(AND('Atividades Micro'!$B44=BJ$2,'Atividades Micro'!$G44="Macro",'Atividades Micro'!$K44&lt;&gt;""),'Atividades Micro'!$K44,"")</f>
        <v/>
      </c>
      <c r="BK44" s="21" t="str">
        <f>IF(AND('Atividades Micro'!$B44=BK$2,'Atividades Micro'!$G44="Macro",'Atividades Micro'!$K44&lt;&gt;""),'Atividades Micro'!$K44,"")</f>
        <v/>
      </c>
      <c r="BL44" s="21" t="str">
        <f>IF(AND('Atividades Micro'!$B44=BL$2,'Atividades Micro'!$G44="Macro",'Atividades Micro'!$K44&lt;&gt;""),'Atividades Micro'!$K44,"")</f>
        <v/>
      </c>
      <c r="BM44" s="21" t="str">
        <f>IF(AND('Atividades Micro'!$B44=BM$2,'Atividades Micro'!$G44="Macro",'Atividades Micro'!$K44&lt;&gt;""),'Atividades Micro'!$K44,"")</f>
        <v/>
      </c>
      <c r="BN44" s="21" t="str">
        <f>IF(AND('Atividades Micro'!$B44=BN$2,'Atividades Micro'!$G44="Macro",'Atividades Micro'!$K44&lt;&gt;""),'Atividades Micro'!$K44,"")</f>
        <v/>
      </c>
      <c r="BO44" s="21" t="str">
        <f>IF(AND('Atividades Micro'!$B44=BO$2,'Atividades Micro'!$G44="Macro",'Atividades Micro'!$K44&lt;&gt;""),'Atividades Micro'!$K44,"")</f>
        <v/>
      </c>
      <c r="BP44" s="21" t="str">
        <f>IF(AND('Atividades Micro'!$B44=BP$2,'Atividades Micro'!$G44="Macro",'Atividades Micro'!$K44&lt;&gt;""),'Atividades Micro'!$K44,"")</f>
        <v/>
      </c>
      <c r="BQ44" s="21" t="str">
        <f>IF(AND('Atividades Micro'!$B44=BQ$2,'Atividades Micro'!$G44="Macro",'Atividades Micro'!$K44&lt;&gt;""),'Atividades Micro'!$K44,"")</f>
        <v/>
      </c>
      <c r="BR44" s="21" t="str">
        <f>IF(AND('Atividades Micro'!$B44=BR$2,'Atividades Micro'!$G44="Macro",'Atividades Micro'!$K44&lt;&gt;""),'Atividades Micro'!$K44,"")</f>
        <v/>
      </c>
      <c r="BS44" s="21" t="str">
        <f>IF(AND('Atividades Micro'!$B44=BS$2,'Atividades Micro'!$G44="Macro",'Atividades Micro'!$K44&lt;&gt;""),'Atividades Micro'!$K44,"")</f>
        <v/>
      </c>
      <c r="BT44" s="21" t="str">
        <f>IF(AND('Atividades Micro'!$B44=BT$2,'Atividades Micro'!$G44="Macro",'Atividades Micro'!$K44&lt;&gt;""),'Atividades Micro'!$K44,"")</f>
        <v/>
      </c>
      <c r="BU44" s="21" t="str">
        <f>IF(AND('Atividades Micro'!$B44=BU$2,'Atividades Micro'!$G44="Macro",'Atividades Micro'!$K44&lt;&gt;""),'Atividades Micro'!$K44,"")</f>
        <v/>
      </c>
      <c r="BV44" s="21" t="str">
        <f>IF(AND('Atividades Micro'!$B44=BV$2,'Atividades Micro'!$G44="Macro",'Atividades Micro'!$K44&lt;&gt;""),'Atividades Micro'!$K44,"")</f>
        <v/>
      </c>
      <c r="BW44" s="21" t="str">
        <f>IF(AND('Atividades Micro'!$B44=BW$2,'Atividades Micro'!$G44="Macro",'Atividades Micro'!$K44&lt;&gt;""),'Atividades Micro'!$K44,"")</f>
        <v/>
      </c>
      <c r="BX44" s="21" t="str">
        <f>IF(AND('Atividades Micro'!$B44=BX$2,'Atividades Micro'!$G44="Macro",'Atividades Micro'!$K44&lt;&gt;""),'Atividades Micro'!$K44,"")</f>
        <v/>
      </c>
      <c r="BY44" s="21" t="str">
        <f>IF(AND('Atividades Micro'!$B44=BY$2,'Atividades Micro'!$G44="Macro",'Atividades Micro'!$K44&lt;&gt;""),'Atividades Micro'!$K44,"")</f>
        <v/>
      </c>
      <c r="BZ44" s="21" t="str">
        <f>IF(AND('Atividades Micro'!$B44=BZ$2,'Atividades Micro'!$G44="Macro",'Atividades Micro'!$K44&lt;&gt;""),'Atividades Micro'!$K44,"")</f>
        <v/>
      </c>
      <c r="CA44" s="21" t="str">
        <f>IF(AND('Atividades Micro'!$B44=CA$2,'Atividades Micro'!$G44="Macro",'Atividades Micro'!$K44&lt;&gt;""),'Atividades Micro'!$K44,"")</f>
        <v/>
      </c>
      <c r="CB44" s="21" t="str">
        <f>IF(AND('Atividades Micro'!$B44=CB$2,'Atividades Micro'!$G44="Macro",'Atividades Micro'!$K44&lt;&gt;""),'Atividades Micro'!$K44,"")</f>
        <v/>
      </c>
      <c r="CC44" s="21" t="str">
        <f>IF(AND('Atividades Micro'!$B44=CC$2,'Atividades Micro'!$G44="Macro",'Atividades Micro'!$K44&lt;&gt;""),'Atividades Micro'!$K44,"")</f>
        <v/>
      </c>
      <c r="CD44" s="21" t="str">
        <f>IF(AND('Atividades Micro'!$B44=CD$2,'Atividades Micro'!$G44="Micro",'Atividades Micro'!$K44&lt;&gt;""),'Atividades Micro'!$K44,"")</f>
        <v/>
      </c>
      <c r="CE44" s="21">
        <f>IF(AND('Atividades Micro'!$B44=CE$2,'Atividades Micro'!$G44="Micro",'Atividades Micro'!$K44&lt;&gt;""),'Atividades Micro'!$K44,"")</f>
        <v>46267</v>
      </c>
      <c r="CF44" s="21" t="str">
        <f>IF(AND('Atividades Micro'!$B44=CF$2,'Atividades Micro'!$G44="Micro",'Atividades Micro'!$K44&lt;&gt;""),'Atividades Micro'!$K44,"")</f>
        <v/>
      </c>
      <c r="CG44" s="21" t="str">
        <f>IF(AND('Atividades Micro'!$B44=CG$2,'Atividades Micro'!$G44="Micro",'Atividades Micro'!$K44&lt;&gt;""),'Atividades Micro'!$K44,"")</f>
        <v/>
      </c>
      <c r="CH44" s="21" t="str">
        <f>IF(AND('Atividades Micro'!$B44=CH$2,'Atividades Micro'!$G44="Micro",'Atividades Micro'!$K44&lt;&gt;""),'Atividades Micro'!$K44,"")</f>
        <v/>
      </c>
      <c r="CI44" s="21" t="str">
        <f>IF(AND('Atividades Micro'!$B44=CI$2,'Atividades Micro'!$G44="Micro",'Atividades Micro'!$K44&lt;&gt;""),'Atividades Micro'!$K44,"")</f>
        <v/>
      </c>
      <c r="CJ44" s="21" t="str">
        <f>IF(AND('Atividades Micro'!$B44=CJ$2,'Atividades Micro'!$G44="Micro",'Atividades Micro'!$K44&lt;&gt;""),'Atividades Micro'!$K44,"")</f>
        <v/>
      </c>
      <c r="CK44" s="21" t="str">
        <f>IF(AND('Atividades Micro'!$B44=CK$2,'Atividades Micro'!$G44="Micro",'Atividades Micro'!$K44&lt;&gt;""),'Atividades Micro'!$K44,"")</f>
        <v/>
      </c>
      <c r="CL44" s="21" t="str">
        <f>IF(AND('Atividades Micro'!$B44=CL$2,'Atividades Micro'!$G44="Micro",'Atividades Micro'!$K44&lt;&gt;""),'Atividades Micro'!$K44,"")</f>
        <v/>
      </c>
      <c r="CM44" s="21" t="str">
        <f>IF(AND('Atividades Micro'!$B44=CM$2,'Atividades Micro'!$G44="Micro",'Atividades Micro'!$K44&lt;&gt;""),'Atividades Micro'!$K44,"")</f>
        <v/>
      </c>
      <c r="CN44" s="21" t="str">
        <f>IF(AND('Atividades Micro'!$B44=CN$2,'Atividades Micro'!$G44="Micro",'Atividades Micro'!$K44&lt;&gt;""),'Atividades Micro'!$K44,"")</f>
        <v/>
      </c>
      <c r="CO44" s="21" t="str">
        <f>IF(AND('Atividades Micro'!$B44=CO$2,'Atividades Micro'!$G44="Micro",'Atividades Micro'!$K44&lt;&gt;""),'Atividades Micro'!$K44,"")</f>
        <v/>
      </c>
    </row>
    <row r="45" spans="1:93">
      <c r="A45" s="21" t="str">
        <f>IF(AND('Atividades Micro'!$A45=A$2,'Atividades Micro'!$K45&lt;&gt;""),'Atividades Micro'!$K45,"")</f>
        <v/>
      </c>
      <c r="B45" s="21" t="str">
        <f>IF(AND('Atividades Micro'!$A45=B$2,'Atividades Micro'!$L45&lt;&gt;""),'Atividades Micro'!$L45,"")</f>
        <v/>
      </c>
      <c r="C45" s="21" t="str">
        <f>IF(AND('Atividades Micro'!$A45=C$2,'Atividades Micro'!$K45&lt;&gt;""),'Atividades Micro'!$K45,"")</f>
        <v/>
      </c>
      <c r="D45" s="21" t="str">
        <f>IF(AND('Atividades Micro'!$A45=D$2,'Atividades Micro'!$L45&lt;&gt;""),'Atividades Micro'!$L45,"")</f>
        <v/>
      </c>
      <c r="E45" s="21" t="str">
        <f>IF(AND('Atividades Micro'!$A45=E$2,'Atividades Micro'!$K45&lt;&gt;""),'Atividades Micro'!$K45,"")</f>
        <v/>
      </c>
      <c r="F45" s="21" t="str">
        <f>IF(AND('Atividades Micro'!$A45=F$2,'Atividades Micro'!$L45&lt;&gt;""),'Atividades Micro'!$L45,"")</f>
        <v/>
      </c>
      <c r="G45" s="21" t="str">
        <f>IF(AND('Atividades Micro'!$A45=G$2,'Atividades Micro'!$K45&lt;&gt;""),'Atividades Micro'!$K45,"")</f>
        <v/>
      </c>
      <c r="H45" s="21" t="str">
        <f>IF(AND('Atividades Micro'!$A45=H$2,'Atividades Micro'!$L45&lt;&gt;""),'Atividades Micro'!$L45,"")</f>
        <v/>
      </c>
      <c r="I45" s="21">
        <f>IF(AND('Atividades Micro'!$A45=I$2,'Atividades Micro'!$K45&lt;&gt;""),'Atividades Micro'!$K45,"")</f>
        <v>46269</v>
      </c>
      <c r="J45" s="21">
        <f>IF(AND('Atividades Micro'!$A45=J$2,'Atividades Micro'!$L45&lt;&gt;""),'Atividades Micro'!$L45,"")</f>
        <v>46269</v>
      </c>
      <c r="K45" s="21" t="str">
        <f>IF(AND('Atividades Micro'!$B45=K$2,'Atividades Micro'!$K45&lt;&gt;""),'Atividades Micro'!$K45,"")</f>
        <v/>
      </c>
      <c r="L45" s="21" t="str">
        <f>IF(AND('Atividades Micro'!$B45=L$2,'Atividades Micro'!$L45&lt;&gt;""),'Atividades Micro'!$L45,"")</f>
        <v/>
      </c>
      <c r="M45" s="21">
        <f>IF(AND('Atividades Micro'!$B45=M$2,'Atividades Micro'!$K45&lt;&gt;""),'Atividades Micro'!$K45,"")</f>
        <v>46269</v>
      </c>
      <c r="N45" s="21">
        <f>IF(AND('Atividades Micro'!$B45=N$2,'Atividades Micro'!$L45&lt;&gt;""),'Atividades Micro'!$L45,"")</f>
        <v>46269</v>
      </c>
      <c r="O45" s="21" t="str">
        <f>IF(AND('Atividades Micro'!$A45=O$2,'Atividades Micro'!$K45&lt;&gt;""),'Atividades Micro'!$K45,"")</f>
        <v/>
      </c>
      <c r="P45" s="21" t="str">
        <f>IF(AND('Atividades Micro'!$A45=P$2,'Atividades Micro'!$L45&lt;&gt;""),'Atividades Micro'!$L45,"")</f>
        <v/>
      </c>
      <c r="Q45" s="21" t="str">
        <f>IF(AND('Atividades Micro'!$B45=Q$2,'Atividades Micro'!$K45&lt;&gt;""),'Atividades Micro'!$K45,"")</f>
        <v/>
      </c>
      <c r="R45" s="21" t="str">
        <f>IF(AND('Atividades Micro'!$B45=R$2,'Atividades Micro'!$L45&lt;&gt;""),'Atividades Micro'!$L45,"")</f>
        <v/>
      </c>
      <c r="S45" s="21" t="str">
        <f>IF(AND('Atividades Micro'!$A45=S$2,'Atividades Micro'!$K45&lt;&gt;""),'Atividades Micro'!$K45,"")</f>
        <v/>
      </c>
      <c r="T45" s="21" t="str">
        <f>IF(AND('Atividades Micro'!$A45=T$2,'Atividades Micro'!$L45&lt;&gt;""),'Atividades Micro'!$L45,"")</f>
        <v/>
      </c>
      <c r="U45" s="21" t="str">
        <f>IF(AND('Atividades Micro'!$B45=U$2,'Atividades Micro'!$K45&lt;&gt;""),'Atividades Micro'!$K45,"")</f>
        <v/>
      </c>
      <c r="V45" s="21" t="str">
        <f>IF(AND('Atividades Micro'!$B45=V$2,'Atividades Micro'!$L45&lt;&gt;""),'Atividades Micro'!$L45,"")</f>
        <v/>
      </c>
      <c r="W45" s="21" t="str">
        <f>IF(AND('Atividades Micro'!$B45=W$2,'Atividades Micro'!$K45&lt;&gt;""),'Atividades Micro'!$K45,"")</f>
        <v/>
      </c>
      <c r="X45" s="21" t="str">
        <f>IF(AND('Atividades Micro'!$B45=X$2,'Atividades Micro'!$L45&lt;&gt;""),'Atividades Micro'!$L45,"")</f>
        <v/>
      </c>
      <c r="Y45" s="21" t="str">
        <f>IF(AND('Atividades Micro'!$A45=Y$2,'Atividades Micro'!$K45&lt;&gt;""),'Atividades Micro'!$K45,"")</f>
        <v/>
      </c>
      <c r="Z45" s="21" t="str">
        <f>IF(AND('Atividades Micro'!$A45=Z$2,'Atividades Micro'!$L45&lt;&gt;""),'Atividades Micro'!$L45,"")</f>
        <v/>
      </c>
      <c r="AA45" s="21" t="str">
        <f>IF(AND('Atividades Micro'!$B45=AA$2,'Atividades Micro'!$K45&lt;&gt;""),'Atividades Micro'!$K45,"")</f>
        <v/>
      </c>
      <c r="AB45" s="21" t="str">
        <f>IF(AND('Atividades Micro'!$B45=AB$2,'Atividades Micro'!$L45&lt;&gt;""),'Atividades Micro'!$L45,"")</f>
        <v/>
      </c>
      <c r="AC45" s="21" t="str">
        <f>IF(AND('Atividades Micro'!$B45=AC$2,'Atividades Micro'!$K45&lt;&gt;""),'Atividades Micro'!$K45,"")</f>
        <v/>
      </c>
      <c r="AD45" s="21" t="str">
        <f>IF(AND('Atividades Micro'!$B45=AD$2,'Atividades Micro'!$L45&lt;&gt;""),'Atividades Micro'!$L45,"")</f>
        <v/>
      </c>
      <c r="AE45" s="21" t="str">
        <f>IF(AND('Atividades Micro'!$A45=AE$2,'Atividades Micro'!$K45&lt;&gt;""),'Atividades Micro'!$K45,"")</f>
        <v/>
      </c>
      <c r="AF45" s="21" t="str">
        <f>IF(AND('Atividades Micro'!$A45=AF$2,'Atividades Micro'!$L45&lt;&gt;""),'Atividades Micro'!$L45,"")</f>
        <v/>
      </c>
      <c r="AG45" s="21" t="str">
        <f>IF(AND('Atividades Micro'!$B45=AG$2,'Atividades Micro'!$K45&lt;&gt;""),'Atividades Micro'!$K45,"")</f>
        <v/>
      </c>
      <c r="AH45" s="21" t="str">
        <f>IF(AND('Atividades Micro'!$B45=AH$2,'Atividades Micro'!$L45&lt;&gt;""),'Atividades Micro'!$L45,"")</f>
        <v/>
      </c>
      <c r="AI45" s="21" t="str">
        <f>IF(AND('Atividades Micro'!$B45=AI$2,'Atividades Micro'!$K45&lt;&gt;""),'Atividades Micro'!$K45,"")</f>
        <v/>
      </c>
      <c r="AJ45" s="21" t="str">
        <f>IF(AND('Atividades Micro'!$B45=AJ$2,'Atividades Micro'!$L45&lt;&gt;""),'Atividades Micro'!$L45,"")</f>
        <v/>
      </c>
      <c r="AK45" s="21" t="str">
        <f>IF(AND('Atividades Micro'!$A45=AK$2,'Atividades Micro'!$K45&lt;&gt;""),'Atividades Micro'!$K45,"")</f>
        <v/>
      </c>
      <c r="AL45" s="21" t="str">
        <f>IF(AND('Atividades Micro'!$A45=AL$2,'Atividades Micro'!$L45&lt;&gt;""),'Atividades Micro'!$L45,"")</f>
        <v/>
      </c>
      <c r="AM45" s="21" t="str">
        <f>IF(AND('Atividades Micro'!$B45=AM$2,'Atividades Micro'!$K45&lt;&gt;""),'Atividades Micro'!$K45,"")</f>
        <v/>
      </c>
      <c r="AN45" s="21" t="str">
        <f>IF(AND('Atividades Micro'!$B45=AN$2,'Atividades Micro'!$L45&lt;&gt;""),'Atividades Micro'!$L45,"")</f>
        <v/>
      </c>
      <c r="AO45" s="21" t="str">
        <f>IF(AND('Atividades Micro'!$B45=AO$2,'Atividades Micro'!$K45&lt;&gt;""),'Atividades Micro'!$K45,"")</f>
        <v/>
      </c>
      <c r="AP45" s="21" t="str">
        <f>IF(AND('Atividades Micro'!$B45=AP$2,'Atividades Micro'!$L45&lt;&gt;""),'Atividades Micro'!$L45,"")</f>
        <v/>
      </c>
      <c r="AQ45" s="21" t="str">
        <f>IF(AND('Atividades Micro'!$A45=AQ$2,'Atividades Micro'!$K45&lt;&gt;""),'Atividades Micro'!$K45,"")</f>
        <v/>
      </c>
      <c r="AR45" s="21" t="str">
        <f>IF(AND('Atividades Micro'!$A45=AR$2,'Atividades Micro'!$L45&lt;&gt;""),'Atividades Micro'!$L45,"")</f>
        <v/>
      </c>
      <c r="AS45" s="21" t="str">
        <f>IF(AND('Atividades Micro'!$B45=AS$2,'Atividades Micro'!$K45&lt;&gt;""),'Atividades Micro'!$K45,"")</f>
        <v/>
      </c>
      <c r="AT45" s="21" t="str">
        <f>IF(AND('Atividades Micro'!$B45=AT$2,'Atividades Micro'!$L45&lt;&gt;""),'Atividades Micro'!$L45,"")</f>
        <v/>
      </c>
      <c r="AU45" s="21" t="str">
        <f>IF(AND('Atividades Micro'!$A45=AU$2,'Atividades Micro'!$K45&lt;&gt;""),'Atividades Micro'!$K45,"")</f>
        <v/>
      </c>
      <c r="AV45" s="21" t="str">
        <f>IF(AND('Atividades Micro'!$A45=AV$2,'Atividades Micro'!$L45&lt;&gt;""),'Atividades Micro'!$L45,"")</f>
        <v/>
      </c>
      <c r="AW45" s="21" t="str">
        <f>IF(AND('Atividades Micro'!$B45=AW$2,'Atividades Micro'!$K45&lt;&gt;""),'Atividades Micro'!$K45,"")</f>
        <v/>
      </c>
      <c r="AX45" s="21" t="str">
        <f>IF(AND('Atividades Micro'!$B45=AX$2,'Atividades Micro'!$L45&lt;&gt;""),'Atividades Micro'!$L45,"")</f>
        <v/>
      </c>
      <c r="AY45" s="21" t="str">
        <f>IF(AND('Atividades Micro'!$A45=AY$2,'Atividades Micro'!$K45&lt;&gt;""),'Atividades Micro'!$K45,"")</f>
        <v/>
      </c>
      <c r="AZ45" s="21" t="str">
        <f>IF(AND('Atividades Micro'!$A45=AZ$2,'Atividades Micro'!$L45&lt;&gt;""),'Atividades Micro'!$L45,"")</f>
        <v/>
      </c>
      <c r="BA45" s="21" t="str">
        <f>IF(AND('Atividades Micro'!$B45=BA$2,'Atividades Micro'!$K45&lt;&gt;""),'Atividades Micro'!$K45,"")</f>
        <v/>
      </c>
      <c r="BB45" s="21" t="str">
        <f>IF(AND('Atividades Micro'!$B45=BB$2,'Atividades Micro'!$L45&lt;&gt;""),'Atividades Micro'!$L45,"")</f>
        <v/>
      </c>
      <c r="BC45" s="21" t="str">
        <f>IF(AND('Atividades Micro'!$B45=BC$2,'Atividades Micro'!$G45="Macro",'Atividades Micro'!$K45&lt;&gt;""),'Atividades Micro'!$K45,"")</f>
        <v/>
      </c>
      <c r="BD45" s="21" t="str">
        <f>IF(AND('Atividades Micro'!$B45=BD$2,'Atividades Micro'!$G45="Macro",'Atividades Micro'!$K45&lt;&gt;""),'Atividades Micro'!$K45,"")</f>
        <v/>
      </c>
      <c r="BE45" s="21" t="str">
        <f>IF(AND('Atividades Micro'!$B45=BE$2,'Atividades Micro'!$G45="Macro",'Atividades Micro'!$K45&lt;&gt;""),'Atividades Micro'!$K45,"")</f>
        <v/>
      </c>
      <c r="BF45" s="21" t="str">
        <f>IF(AND('Atividades Micro'!$B45=BF$2,'Atividades Micro'!$G45="Macro",'Atividades Micro'!$K45&lt;&gt;""),'Atividades Micro'!$K45,"")</f>
        <v/>
      </c>
      <c r="BG45" s="21" t="str">
        <f>IF(AND('Atividades Micro'!$B45=BG$2,'Atividades Micro'!$G45="Macro",'Atividades Micro'!$K45&lt;&gt;""),'Atividades Micro'!$K45,"")</f>
        <v/>
      </c>
      <c r="BH45" s="21" t="str">
        <f>IF(AND('Atividades Micro'!$B45=BH$2,'Atividades Micro'!$G45="Macro",'Atividades Micro'!$K45&lt;&gt;""),'Atividades Micro'!$K45,"")</f>
        <v/>
      </c>
      <c r="BI45" s="21" t="str">
        <f>IF(AND('Atividades Micro'!$B45=BI$2,'Atividades Micro'!$G45="Macro",'Atividades Micro'!$K45&lt;&gt;""),'Atividades Micro'!$K45,"")</f>
        <v/>
      </c>
      <c r="BJ45" s="21" t="str">
        <f>IF(AND('Atividades Micro'!$B45=BJ$2,'Atividades Micro'!$G45="Macro",'Atividades Micro'!$K45&lt;&gt;""),'Atividades Micro'!$K45,"")</f>
        <v/>
      </c>
      <c r="BK45" s="21" t="str">
        <f>IF(AND('Atividades Micro'!$B45=BK$2,'Atividades Micro'!$G45="Macro",'Atividades Micro'!$K45&lt;&gt;""),'Atividades Micro'!$K45,"")</f>
        <v/>
      </c>
      <c r="BL45" s="21" t="str">
        <f>IF(AND('Atividades Micro'!$B45=BL$2,'Atividades Micro'!$G45="Macro",'Atividades Micro'!$K45&lt;&gt;""),'Atividades Micro'!$K45,"")</f>
        <v/>
      </c>
      <c r="BM45" s="21" t="str">
        <f>IF(AND('Atividades Micro'!$B45=BM$2,'Atividades Micro'!$G45="Macro",'Atividades Micro'!$K45&lt;&gt;""),'Atividades Micro'!$K45,"")</f>
        <v/>
      </c>
      <c r="BN45" s="21" t="str">
        <f>IF(AND('Atividades Micro'!$B45=BN$2,'Atividades Micro'!$G45="Macro",'Atividades Micro'!$K45&lt;&gt;""),'Atividades Micro'!$K45,"")</f>
        <v/>
      </c>
      <c r="BO45" s="21" t="str">
        <f>IF(AND('Atividades Micro'!$B45=BO$2,'Atividades Micro'!$G45="Macro",'Atividades Micro'!$K45&lt;&gt;""),'Atividades Micro'!$K45,"")</f>
        <v/>
      </c>
      <c r="BP45" s="21" t="str">
        <f>IF(AND('Atividades Micro'!$B45=BP$2,'Atividades Micro'!$G45="Macro",'Atividades Micro'!$K45&lt;&gt;""),'Atividades Micro'!$K45,"")</f>
        <v/>
      </c>
      <c r="BQ45" s="21" t="str">
        <f>IF(AND('Atividades Micro'!$B45=BQ$2,'Atividades Micro'!$G45="Macro",'Atividades Micro'!$K45&lt;&gt;""),'Atividades Micro'!$K45,"")</f>
        <v/>
      </c>
      <c r="BR45" s="21" t="str">
        <f>IF(AND('Atividades Micro'!$B45=BR$2,'Atividades Micro'!$G45="Macro",'Atividades Micro'!$K45&lt;&gt;""),'Atividades Micro'!$K45,"")</f>
        <v/>
      </c>
      <c r="BS45" s="21" t="str">
        <f>IF(AND('Atividades Micro'!$B45=BS$2,'Atividades Micro'!$G45="Macro",'Atividades Micro'!$K45&lt;&gt;""),'Atividades Micro'!$K45,"")</f>
        <v/>
      </c>
      <c r="BT45" s="21" t="str">
        <f>IF(AND('Atividades Micro'!$B45=BT$2,'Atividades Micro'!$G45="Macro",'Atividades Micro'!$K45&lt;&gt;""),'Atividades Micro'!$K45,"")</f>
        <v/>
      </c>
      <c r="BU45" s="21" t="str">
        <f>IF(AND('Atividades Micro'!$B45=BU$2,'Atividades Micro'!$G45="Macro",'Atividades Micro'!$K45&lt;&gt;""),'Atividades Micro'!$K45,"")</f>
        <v/>
      </c>
      <c r="BV45" s="21" t="str">
        <f>IF(AND('Atividades Micro'!$B45=BV$2,'Atividades Micro'!$G45="Macro",'Atividades Micro'!$K45&lt;&gt;""),'Atividades Micro'!$K45,"")</f>
        <v/>
      </c>
      <c r="BW45" s="21" t="str">
        <f>IF(AND('Atividades Micro'!$B45=BW$2,'Atividades Micro'!$G45="Macro",'Atividades Micro'!$K45&lt;&gt;""),'Atividades Micro'!$K45,"")</f>
        <v/>
      </c>
      <c r="BX45" s="21" t="str">
        <f>IF(AND('Atividades Micro'!$B45=BX$2,'Atividades Micro'!$G45="Macro",'Atividades Micro'!$K45&lt;&gt;""),'Atividades Micro'!$K45,"")</f>
        <v/>
      </c>
      <c r="BY45" s="21" t="str">
        <f>IF(AND('Atividades Micro'!$B45=BY$2,'Atividades Micro'!$G45="Macro",'Atividades Micro'!$K45&lt;&gt;""),'Atividades Micro'!$K45,"")</f>
        <v/>
      </c>
      <c r="BZ45" s="21" t="str">
        <f>IF(AND('Atividades Micro'!$B45=BZ$2,'Atividades Micro'!$G45="Macro",'Atividades Micro'!$K45&lt;&gt;""),'Atividades Micro'!$K45,"")</f>
        <v/>
      </c>
      <c r="CA45" s="21" t="str">
        <f>IF(AND('Atividades Micro'!$B45=CA$2,'Atividades Micro'!$G45="Macro",'Atividades Micro'!$K45&lt;&gt;""),'Atividades Micro'!$K45,"")</f>
        <v/>
      </c>
      <c r="CB45" s="21" t="str">
        <f>IF(AND('Atividades Micro'!$B45=CB$2,'Atividades Micro'!$G45="Macro",'Atividades Micro'!$K45&lt;&gt;""),'Atividades Micro'!$K45,"")</f>
        <v/>
      </c>
      <c r="CC45" s="21" t="str">
        <f>IF(AND('Atividades Micro'!$B45=CC$2,'Atividades Micro'!$G45="Macro",'Atividades Micro'!$K45&lt;&gt;""),'Atividades Micro'!$K45,"")</f>
        <v/>
      </c>
      <c r="CD45" s="21" t="str">
        <f>IF(AND('Atividades Micro'!$B45=CD$2,'Atividades Micro'!$G45="Micro",'Atividades Micro'!$K45&lt;&gt;""),'Atividades Micro'!$K45,"")</f>
        <v/>
      </c>
      <c r="CE45" s="21">
        <f>IF(AND('Atividades Micro'!$B45=CE$2,'Atividades Micro'!$G45="Micro",'Atividades Micro'!$K45&lt;&gt;""),'Atividades Micro'!$K45,"")</f>
        <v>46269</v>
      </c>
      <c r="CF45" s="21" t="str">
        <f>IF(AND('Atividades Micro'!$B45=CF$2,'Atividades Micro'!$G45="Micro",'Atividades Micro'!$K45&lt;&gt;""),'Atividades Micro'!$K45,"")</f>
        <v/>
      </c>
      <c r="CG45" s="21" t="str">
        <f>IF(AND('Atividades Micro'!$B45=CG$2,'Atividades Micro'!$G45="Micro",'Atividades Micro'!$K45&lt;&gt;""),'Atividades Micro'!$K45,"")</f>
        <v/>
      </c>
      <c r="CH45" s="21" t="str">
        <f>IF(AND('Atividades Micro'!$B45=CH$2,'Atividades Micro'!$G45="Micro",'Atividades Micro'!$K45&lt;&gt;""),'Atividades Micro'!$K45,"")</f>
        <v/>
      </c>
      <c r="CI45" s="21" t="str">
        <f>IF(AND('Atividades Micro'!$B45=CI$2,'Atividades Micro'!$G45="Micro",'Atividades Micro'!$K45&lt;&gt;""),'Atividades Micro'!$K45,"")</f>
        <v/>
      </c>
      <c r="CJ45" s="21" t="str">
        <f>IF(AND('Atividades Micro'!$B45=CJ$2,'Atividades Micro'!$G45="Micro",'Atividades Micro'!$K45&lt;&gt;""),'Atividades Micro'!$K45,"")</f>
        <v/>
      </c>
      <c r="CK45" s="21" t="str">
        <f>IF(AND('Atividades Micro'!$B45=CK$2,'Atividades Micro'!$G45="Micro",'Atividades Micro'!$K45&lt;&gt;""),'Atividades Micro'!$K45,"")</f>
        <v/>
      </c>
      <c r="CL45" s="21" t="str">
        <f>IF(AND('Atividades Micro'!$B45=CL$2,'Atividades Micro'!$G45="Micro",'Atividades Micro'!$K45&lt;&gt;""),'Atividades Micro'!$K45,"")</f>
        <v/>
      </c>
      <c r="CM45" s="21" t="str">
        <f>IF(AND('Atividades Micro'!$B45=CM$2,'Atividades Micro'!$G45="Micro",'Atividades Micro'!$K45&lt;&gt;""),'Atividades Micro'!$K45,"")</f>
        <v/>
      </c>
      <c r="CN45" s="21" t="str">
        <f>IF(AND('Atividades Micro'!$B45=CN$2,'Atividades Micro'!$G45="Micro",'Atividades Micro'!$K45&lt;&gt;""),'Atividades Micro'!$K45,"")</f>
        <v/>
      </c>
      <c r="CO45" s="21" t="str">
        <f>IF(AND('Atividades Micro'!$B45=CO$2,'Atividades Micro'!$G45="Micro",'Atividades Micro'!$K45&lt;&gt;""),'Atividades Micro'!$K45,"")</f>
        <v/>
      </c>
    </row>
    <row r="46" spans="1:93">
      <c r="A46" s="21" t="str">
        <f>IF(AND('Atividades Micro'!$A46=A$2,'Atividades Micro'!$K46&lt;&gt;""),'Atividades Micro'!$K46,"")</f>
        <v/>
      </c>
      <c r="B46" s="21" t="str">
        <f>IF(AND('Atividades Micro'!$A46=B$2,'Atividades Micro'!$L46&lt;&gt;""),'Atividades Micro'!$L46,"")</f>
        <v/>
      </c>
      <c r="C46" s="21" t="str">
        <f>IF(AND('Atividades Micro'!$A46=C$2,'Atividades Micro'!$K46&lt;&gt;""),'Atividades Micro'!$K46,"")</f>
        <v/>
      </c>
      <c r="D46" s="21" t="str">
        <f>IF(AND('Atividades Micro'!$A46=D$2,'Atividades Micro'!$L46&lt;&gt;""),'Atividades Micro'!$L46,"")</f>
        <v/>
      </c>
      <c r="E46" s="21" t="str">
        <f>IF(AND('Atividades Micro'!$A46=E$2,'Atividades Micro'!$K46&lt;&gt;""),'Atividades Micro'!$K46,"")</f>
        <v/>
      </c>
      <c r="F46" s="21" t="str">
        <f>IF(AND('Atividades Micro'!$A46=F$2,'Atividades Micro'!$L46&lt;&gt;""),'Atividades Micro'!$L46,"")</f>
        <v/>
      </c>
      <c r="G46" s="21" t="str">
        <f>IF(AND('Atividades Micro'!$A46=G$2,'Atividades Micro'!$K46&lt;&gt;""),'Atividades Micro'!$K46,"")</f>
        <v/>
      </c>
      <c r="H46" s="21" t="str">
        <f>IF(AND('Atividades Micro'!$A46=H$2,'Atividades Micro'!$L46&lt;&gt;""),'Atividades Micro'!$L46,"")</f>
        <v/>
      </c>
      <c r="I46" s="21">
        <f>IF(AND('Atividades Micro'!$A46=I$2,'Atividades Micro'!$K46&lt;&gt;""),'Atividades Micro'!$K46,"")</f>
        <v>46274</v>
      </c>
      <c r="J46" s="21">
        <f>IF(AND('Atividades Micro'!$A46=J$2,'Atividades Micro'!$L46&lt;&gt;""),'Atividades Micro'!$L46,"")</f>
        <v>46274</v>
      </c>
      <c r="K46" s="21" t="str">
        <f>IF(AND('Atividades Micro'!$B46=K$2,'Atividades Micro'!$K46&lt;&gt;""),'Atividades Micro'!$K46,"")</f>
        <v/>
      </c>
      <c r="L46" s="21" t="str">
        <f>IF(AND('Atividades Micro'!$B46=L$2,'Atividades Micro'!$L46&lt;&gt;""),'Atividades Micro'!$L46,"")</f>
        <v/>
      </c>
      <c r="M46" s="21">
        <f>IF(AND('Atividades Micro'!$B46=M$2,'Atividades Micro'!$K46&lt;&gt;""),'Atividades Micro'!$K46,"")</f>
        <v>46274</v>
      </c>
      <c r="N46" s="21">
        <f>IF(AND('Atividades Micro'!$B46=N$2,'Atividades Micro'!$L46&lt;&gt;""),'Atividades Micro'!$L46,"")</f>
        <v>46274</v>
      </c>
      <c r="O46" s="21" t="str">
        <f>IF(AND('Atividades Micro'!$A46=O$2,'Atividades Micro'!$K46&lt;&gt;""),'Atividades Micro'!$K46,"")</f>
        <v/>
      </c>
      <c r="P46" s="21" t="str">
        <f>IF(AND('Atividades Micro'!$A46=P$2,'Atividades Micro'!$L46&lt;&gt;""),'Atividades Micro'!$L46,"")</f>
        <v/>
      </c>
      <c r="Q46" s="21" t="str">
        <f>IF(AND('Atividades Micro'!$B46=Q$2,'Atividades Micro'!$K46&lt;&gt;""),'Atividades Micro'!$K46,"")</f>
        <v/>
      </c>
      <c r="R46" s="21" t="str">
        <f>IF(AND('Atividades Micro'!$B46=R$2,'Atividades Micro'!$L46&lt;&gt;""),'Atividades Micro'!$L46,"")</f>
        <v/>
      </c>
      <c r="S46" s="21" t="str">
        <f>IF(AND('Atividades Micro'!$A46=S$2,'Atividades Micro'!$K46&lt;&gt;""),'Atividades Micro'!$K46,"")</f>
        <v/>
      </c>
      <c r="T46" s="21" t="str">
        <f>IF(AND('Atividades Micro'!$A46=T$2,'Atividades Micro'!$L46&lt;&gt;""),'Atividades Micro'!$L46,"")</f>
        <v/>
      </c>
      <c r="U46" s="21" t="str">
        <f>IF(AND('Atividades Micro'!$B46=U$2,'Atividades Micro'!$K46&lt;&gt;""),'Atividades Micro'!$K46,"")</f>
        <v/>
      </c>
      <c r="V46" s="21" t="str">
        <f>IF(AND('Atividades Micro'!$B46=V$2,'Atividades Micro'!$L46&lt;&gt;""),'Atividades Micro'!$L46,"")</f>
        <v/>
      </c>
      <c r="W46" s="21" t="str">
        <f>IF(AND('Atividades Micro'!$B46=W$2,'Atividades Micro'!$K46&lt;&gt;""),'Atividades Micro'!$K46,"")</f>
        <v/>
      </c>
      <c r="X46" s="21" t="str">
        <f>IF(AND('Atividades Micro'!$B46=X$2,'Atividades Micro'!$L46&lt;&gt;""),'Atividades Micro'!$L46,"")</f>
        <v/>
      </c>
      <c r="Y46" s="21" t="str">
        <f>IF(AND('Atividades Micro'!$A46=Y$2,'Atividades Micro'!$K46&lt;&gt;""),'Atividades Micro'!$K46,"")</f>
        <v/>
      </c>
      <c r="Z46" s="21" t="str">
        <f>IF(AND('Atividades Micro'!$A46=Z$2,'Atividades Micro'!$L46&lt;&gt;""),'Atividades Micro'!$L46,"")</f>
        <v/>
      </c>
      <c r="AA46" s="21" t="str">
        <f>IF(AND('Atividades Micro'!$B46=AA$2,'Atividades Micro'!$K46&lt;&gt;""),'Atividades Micro'!$K46,"")</f>
        <v/>
      </c>
      <c r="AB46" s="21" t="str">
        <f>IF(AND('Atividades Micro'!$B46=AB$2,'Atividades Micro'!$L46&lt;&gt;""),'Atividades Micro'!$L46,"")</f>
        <v/>
      </c>
      <c r="AC46" s="21" t="str">
        <f>IF(AND('Atividades Micro'!$B46=AC$2,'Atividades Micro'!$K46&lt;&gt;""),'Atividades Micro'!$K46,"")</f>
        <v/>
      </c>
      <c r="AD46" s="21" t="str">
        <f>IF(AND('Atividades Micro'!$B46=AD$2,'Atividades Micro'!$L46&lt;&gt;""),'Atividades Micro'!$L46,"")</f>
        <v/>
      </c>
      <c r="AE46" s="21" t="str">
        <f>IF(AND('Atividades Micro'!$A46=AE$2,'Atividades Micro'!$K46&lt;&gt;""),'Atividades Micro'!$K46,"")</f>
        <v/>
      </c>
      <c r="AF46" s="21" t="str">
        <f>IF(AND('Atividades Micro'!$A46=AF$2,'Atividades Micro'!$L46&lt;&gt;""),'Atividades Micro'!$L46,"")</f>
        <v/>
      </c>
      <c r="AG46" s="21" t="str">
        <f>IF(AND('Atividades Micro'!$B46=AG$2,'Atividades Micro'!$K46&lt;&gt;""),'Atividades Micro'!$K46,"")</f>
        <v/>
      </c>
      <c r="AH46" s="21" t="str">
        <f>IF(AND('Atividades Micro'!$B46=AH$2,'Atividades Micro'!$L46&lt;&gt;""),'Atividades Micro'!$L46,"")</f>
        <v/>
      </c>
      <c r="AI46" s="21" t="str">
        <f>IF(AND('Atividades Micro'!$B46=AI$2,'Atividades Micro'!$K46&lt;&gt;""),'Atividades Micro'!$K46,"")</f>
        <v/>
      </c>
      <c r="AJ46" s="21" t="str">
        <f>IF(AND('Atividades Micro'!$B46=AJ$2,'Atividades Micro'!$L46&lt;&gt;""),'Atividades Micro'!$L46,"")</f>
        <v/>
      </c>
      <c r="AK46" s="21" t="str">
        <f>IF(AND('Atividades Micro'!$A46=AK$2,'Atividades Micro'!$K46&lt;&gt;""),'Atividades Micro'!$K46,"")</f>
        <v/>
      </c>
      <c r="AL46" s="21" t="str">
        <f>IF(AND('Atividades Micro'!$A46=AL$2,'Atividades Micro'!$L46&lt;&gt;""),'Atividades Micro'!$L46,"")</f>
        <v/>
      </c>
      <c r="AM46" s="21" t="str">
        <f>IF(AND('Atividades Micro'!$B46=AM$2,'Atividades Micro'!$K46&lt;&gt;""),'Atividades Micro'!$K46,"")</f>
        <v/>
      </c>
      <c r="AN46" s="21" t="str">
        <f>IF(AND('Atividades Micro'!$B46=AN$2,'Atividades Micro'!$L46&lt;&gt;""),'Atividades Micro'!$L46,"")</f>
        <v/>
      </c>
      <c r="AO46" s="21" t="str">
        <f>IF(AND('Atividades Micro'!$B46=AO$2,'Atividades Micro'!$K46&lt;&gt;""),'Atividades Micro'!$K46,"")</f>
        <v/>
      </c>
      <c r="AP46" s="21" t="str">
        <f>IF(AND('Atividades Micro'!$B46=AP$2,'Atividades Micro'!$L46&lt;&gt;""),'Atividades Micro'!$L46,"")</f>
        <v/>
      </c>
      <c r="AQ46" s="21" t="str">
        <f>IF(AND('Atividades Micro'!$A46=AQ$2,'Atividades Micro'!$K46&lt;&gt;""),'Atividades Micro'!$K46,"")</f>
        <v/>
      </c>
      <c r="AR46" s="21" t="str">
        <f>IF(AND('Atividades Micro'!$A46=AR$2,'Atividades Micro'!$L46&lt;&gt;""),'Atividades Micro'!$L46,"")</f>
        <v/>
      </c>
      <c r="AS46" s="21" t="str">
        <f>IF(AND('Atividades Micro'!$B46=AS$2,'Atividades Micro'!$K46&lt;&gt;""),'Atividades Micro'!$K46,"")</f>
        <v/>
      </c>
      <c r="AT46" s="21" t="str">
        <f>IF(AND('Atividades Micro'!$B46=AT$2,'Atividades Micro'!$L46&lt;&gt;""),'Atividades Micro'!$L46,"")</f>
        <v/>
      </c>
      <c r="AU46" s="21" t="str">
        <f>IF(AND('Atividades Micro'!$A46=AU$2,'Atividades Micro'!$K46&lt;&gt;""),'Atividades Micro'!$K46,"")</f>
        <v/>
      </c>
      <c r="AV46" s="21" t="str">
        <f>IF(AND('Atividades Micro'!$A46=AV$2,'Atividades Micro'!$L46&lt;&gt;""),'Atividades Micro'!$L46,"")</f>
        <v/>
      </c>
      <c r="AW46" s="21" t="str">
        <f>IF(AND('Atividades Micro'!$B46=AW$2,'Atividades Micro'!$K46&lt;&gt;""),'Atividades Micro'!$K46,"")</f>
        <v/>
      </c>
      <c r="AX46" s="21" t="str">
        <f>IF(AND('Atividades Micro'!$B46=AX$2,'Atividades Micro'!$L46&lt;&gt;""),'Atividades Micro'!$L46,"")</f>
        <v/>
      </c>
      <c r="AY46" s="21" t="str">
        <f>IF(AND('Atividades Micro'!$A46=AY$2,'Atividades Micro'!$K46&lt;&gt;""),'Atividades Micro'!$K46,"")</f>
        <v/>
      </c>
      <c r="AZ46" s="21" t="str">
        <f>IF(AND('Atividades Micro'!$A46=AZ$2,'Atividades Micro'!$L46&lt;&gt;""),'Atividades Micro'!$L46,"")</f>
        <v/>
      </c>
      <c r="BA46" s="21" t="str">
        <f>IF(AND('Atividades Micro'!$B46=BA$2,'Atividades Micro'!$K46&lt;&gt;""),'Atividades Micro'!$K46,"")</f>
        <v/>
      </c>
      <c r="BB46" s="21" t="str">
        <f>IF(AND('Atividades Micro'!$B46=BB$2,'Atividades Micro'!$L46&lt;&gt;""),'Atividades Micro'!$L46,"")</f>
        <v/>
      </c>
      <c r="BC46" s="21" t="str">
        <f>IF(AND('Atividades Micro'!$B46=BC$2,'Atividades Micro'!$G46="Macro",'Atividades Micro'!$K46&lt;&gt;""),'Atividades Micro'!$K46,"")</f>
        <v/>
      </c>
      <c r="BD46" s="21" t="str">
        <f>IF(AND('Atividades Micro'!$B46=BD$2,'Atividades Micro'!$G46="Macro",'Atividades Micro'!$K46&lt;&gt;""),'Atividades Micro'!$K46,"")</f>
        <v/>
      </c>
      <c r="BE46" s="21" t="str">
        <f>IF(AND('Atividades Micro'!$B46=BE$2,'Atividades Micro'!$G46="Macro",'Atividades Micro'!$K46&lt;&gt;""),'Atividades Micro'!$K46,"")</f>
        <v/>
      </c>
      <c r="BF46" s="21" t="str">
        <f>IF(AND('Atividades Micro'!$B46=BF$2,'Atividades Micro'!$G46="Macro",'Atividades Micro'!$K46&lt;&gt;""),'Atividades Micro'!$K46,"")</f>
        <v/>
      </c>
      <c r="BG46" s="21" t="str">
        <f>IF(AND('Atividades Micro'!$B46=BG$2,'Atividades Micro'!$G46="Macro",'Atividades Micro'!$K46&lt;&gt;""),'Atividades Micro'!$K46,"")</f>
        <v/>
      </c>
      <c r="BH46" s="21" t="str">
        <f>IF(AND('Atividades Micro'!$B46=BH$2,'Atividades Micro'!$G46="Macro",'Atividades Micro'!$K46&lt;&gt;""),'Atividades Micro'!$K46,"")</f>
        <v/>
      </c>
      <c r="BI46" s="21" t="str">
        <f>IF(AND('Atividades Micro'!$B46=BI$2,'Atividades Micro'!$G46="Macro",'Atividades Micro'!$K46&lt;&gt;""),'Atividades Micro'!$K46,"")</f>
        <v/>
      </c>
      <c r="BJ46" s="21" t="str">
        <f>IF(AND('Atividades Micro'!$B46=BJ$2,'Atividades Micro'!$G46="Macro",'Atividades Micro'!$K46&lt;&gt;""),'Atividades Micro'!$K46,"")</f>
        <v/>
      </c>
      <c r="BK46" s="21" t="str">
        <f>IF(AND('Atividades Micro'!$B46=BK$2,'Atividades Micro'!$G46="Macro",'Atividades Micro'!$K46&lt;&gt;""),'Atividades Micro'!$K46,"")</f>
        <v/>
      </c>
      <c r="BL46" s="21" t="str">
        <f>IF(AND('Atividades Micro'!$B46=BL$2,'Atividades Micro'!$G46="Macro",'Atividades Micro'!$K46&lt;&gt;""),'Atividades Micro'!$K46,"")</f>
        <v/>
      </c>
      <c r="BM46" s="21" t="str">
        <f>IF(AND('Atividades Micro'!$B46=BM$2,'Atividades Micro'!$G46="Macro",'Atividades Micro'!$K46&lt;&gt;""),'Atividades Micro'!$K46,"")</f>
        <v/>
      </c>
      <c r="BN46" s="21" t="str">
        <f>IF(AND('Atividades Micro'!$B46=BN$2,'Atividades Micro'!$G46="Macro",'Atividades Micro'!$K46&lt;&gt;""),'Atividades Micro'!$K46,"")</f>
        <v/>
      </c>
      <c r="BO46" s="21" t="str">
        <f>IF(AND('Atividades Micro'!$B46=BO$2,'Atividades Micro'!$G46="Macro",'Atividades Micro'!$K46&lt;&gt;""),'Atividades Micro'!$K46,"")</f>
        <v/>
      </c>
      <c r="BP46" s="21" t="str">
        <f>IF(AND('Atividades Micro'!$B46=BP$2,'Atividades Micro'!$G46="Macro",'Atividades Micro'!$K46&lt;&gt;""),'Atividades Micro'!$K46,"")</f>
        <v/>
      </c>
      <c r="BQ46" s="21" t="str">
        <f>IF(AND('Atividades Micro'!$B46=BQ$2,'Atividades Micro'!$G46="Macro",'Atividades Micro'!$K46&lt;&gt;""),'Atividades Micro'!$K46,"")</f>
        <v/>
      </c>
      <c r="BR46" s="21" t="str">
        <f>IF(AND('Atividades Micro'!$B46=BR$2,'Atividades Micro'!$G46="Macro",'Atividades Micro'!$K46&lt;&gt;""),'Atividades Micro'!$K46,"")</f>
        <v/>
      </c>
      <c r="BS46" s="21" t="str">
        <f>IF(AND('Atividades Micro'!$B46=BS$2,'Atividades Micro'!$G46="Macro",'Atividades Micro'!$K46&lt;&gt;""),'Atividades Micro'!$K46,"")</f>
        <v/>
      </c>
      <c r="BT46" s="21" t="str">
        <f>IF(AND('Atividades Micro'!$B46=BT$2,'Atividades Micro'!$G46="Macro",'Atividades Micro'!$K46&lt;&gt;""),'Atividades Micro'!$K46,"")</f>
        <v/>
      </c>
      <c r="BU46" s="21" t="str">
        <f>IF(AND('Atividades Micro'!$B46=BU$2,'Atividades Micro'!$G46="Macro",'Atividades Micro'!$K46&lt;&gt;""),'Atividades Micro'!$K46,"")</f>
        <v/>
      </c>
      <c r="BV46" s="21" t="str">
        <f>IF(AND('Atividades Micro'!$B46=BV$2,'Atividades Micro'!$G46="Macro",'Atividades Micro'!$K46&lt;&gt;""),'Atividades Micro'!$K46,"")</f>
        <v/>
      </c>
      <c r="BW46" s="21" t="str">
        <f>IF(AND('Atividades Micro'!$B46=BW$2,'Atividades Micro'!$G46="Macro",'Atividades Micro'!$K46&lt;&gt;""),'Atividades Micro'!$K46,"")</f>
        <v/>
      </c>
      <c r="BX46" s="21" t="str">
        <f>IF(AND('Atividades Micro'!$B46=BX$2,'Atividades Micro'!$G46="Macro",'Atividades Micro'!$K46&lt;&gt;""),'Atividades Micro'!$K46,"")</f>
        <v/>
      </c>
      <c r="BY46" s="21" t="str">
        <f>IF(AND('Atividades Micro'!$B46=BY$2,'Atividades Micro'!$G46="Macro",'Atividades Micro'!$K46&lt;&gt;""),'Atividades Micro'!$K46,"")</f>
        <v/>
      </c>
      <c r="BZ46" s="21" t="str">
        <f>IF(AND('Atividades Micro'!$B46=BZ$2,'Atividades Micro'!$G46="Macro",'Atividades Micro'!$K46&lt;&gt;""),'Atividades Micro'!$K46,"")</f>
        <v/>
      </c>
      <c r="CA46" s="21" t="str">
        <f>IF(AND('Atividades Micro'!$B46=CA$2,'Atividades Micro'!$G46="Macro",'Atividades Micro'!$K46&lt;&gt;""),'Atividades Micro'!$K46,"")</f>
        <v/>
      </c>
      <c r="CB46" s="21" t="str">
        <f>IF(AND('Atividades Micro'!$B46=CB$2,'Atividades Micro'!$G46="Macro",'Atividades Micro'!$K46&lt;&gt;""),'Atividades Micro'!$K46,"")</f>
        <v/>
      </c>
      <c r="CC46" s="21" t="str">
        <f>IF(AND('Atividades Micro'!$B46=CC$2,'Atividades Micro'!$G46="Macro",'Atividades Micro'!$K46&lt;&gt;""),'Atividades Micro'!$K46,"")</f>
        <v/>
      </c>
      <c r="CD46" s="21" t="str">
        <f>IF(AND('Atividades Micro'!$B46=CD$2,'Atividades Micro'!$G46="Micro",'Atividades Micro'!$K46&lt;&gt;""),'Atividades Micro'!$K46,"")</f>
        <v/>
      </c>
      <c r="CE46" s="21">
        <f>IF(AND('Atividades Micro'!$B46=CE$2,'Atividades Micro'!$G46="Micro",'Atividades Micro'!$K46&lt;&gt;""),'Atividades Micro'!$K46,"")</f>
        <v>46274</v>
      </c>
      <c r="CF46" s="21" t="str">
        <f>IF(AND('Atividades Micro'!$B46=CF$2,'Atividades Micro'!$G46="Micro",'Atividades Micro'!$K46&lt;&gt;""),'Atividades Micro'!$K46,"")</f>
        <v/>
      </c>
      <c r="CG46" s="21" t="str">
        <f>IF(AND('Atividades Micro'!$B46=CG$2,'Atividades Micro'!$G46="Micro",'Atividades Micro'!$K46&lt;&gt;""),'Atividades Micro'!$K46,"")</f>
        <v/>
      </c>
      <c r="CH46" s="21" t="str">
        <f>IF(AND('Atividades Micro'!$B46=CH$2,'Atividades Micro'!$G46="Micro",'Atividades Micro'!$K46&lt;&gt;""),'Atividades Micro'!$K46,"")</f>
        <v/>
      </c>
      <c r="CI46" s="21" t="str">
        <f>IF(AND('Atividades Micro'!$B46=CI$2,'Atividades Micro'!$G46="Micro",'Atividades Micro'!$K46&lt;&gt;""),'Atividades Micro'!$K46,"")</f>
        <v/>
      </c>
      <c r="CJ46" s="21" t="str">
        <f>IF(AND('Atividades Micro'!$B46=CJ$2,'Atividades Micro'!$G46="Micro",'Atividades Micro'!$K46&lt;&gt;""),'Atividades Micro'!$K46,"")</f>
        <v/>
      </c>
      <c r="CK46" s="21" t="str">
        <f>IF(AND('Atividades Micro'!$B46=CK$2,'Atividades Micro'!$G46="Micro",'Atividades Micro'!$K46&lt;&gt;""),'Atividades Micro'!$K46,"")</f>
        <v/>
      </c>
      <c r="CL46" s="21" t="str">
        <f>IF(AND('Atividades Micro'!$B46=CL$2,'Atividades Micro'!$G46="Micro",'Atividades Micro'!$K46&lt;&gt;""),'Atividades Micro'!$K46,"")</f>
        <v/>
      </c>
      <c r="CM46" s="21" t="str">
        <f>IF(AND('Atividades Micro'!$B46=CM$2,'Atividades Micro'!$G46="Micro",'Atividades Micro'!$K46&lt;&gt;""),'Atividades Micro'!$K46,"")</f>
        <v/>
      </c>
      <c r="CN46" s="21" t="str">
        <f>IF(AND('Atividades Micro'!$B46=CN$2,'Atividades Micro'!$G46="Micro",'Atividades Micro'!$K46&lt;&gt;""),'Atividades Micro'!$K46,"")</f>
        <v/>
      </c>
      <c r="CO46" s="21" t="str">
        <f>IF(AND('Atividades Micro'!$B46=CO$2,'Atividades Micro'!$G46="Micro",'Atividades Micro'!$K46&lt;&gt;""),'Atividades Micro'!$K46,"")</f>
        <v/>
      </c>
    </row>
    <row r="47" spans="1:93">
      <c r="A47" s="21" t="str">
        <f>IF(AND('Atividades Micro'!$A47=A$2,'Atividades Micro'!$K47&lt;&gt;""),'Atividades Micro'!$K47,"")</f>
        <v/>
      </c>
      <c r="B47" s="21" t="str">
        <f>IF(AND('Atividades Micro'!$A47=B$2,'Atividades Micro'!$L47&lt;&gt;""),'Atividades Micro'!$L47,"")</f>
        <v/>
      </c>
      <c r="C47" s="21" t="str">
        <f>IF(AND('Atividades Micro'!$A47=C$2,'Atividades Micro'!$K47&lt;&gt;""),'Atividades Micro'!$K47,"")</f>
        <v/>
      </c>
      <c r="D47" s="21" t="str">
        <f>IF(AND('Atividades Micro'!$A47=D$2,'Atividades Micro'!$L47&lt;&gt;""),'Atividades Micro'!$L47,"")</f>
        <v/>
      </c>
      <c r="E47" s="21" t="str">
        <f>IF(AND('Atividades Micro'!$A47=E$2,'Atividades Micro'!$K47&lt;&gt;""),'Atividades Micro'!$K47,"")</f>
        <v/>
      </c>
      <c r="F47" s="21" t="str">
        <f>IF(AND('Atividades Micro'!$A47=F$2,'Atividades Micro'!$L47&lt;&gt;""),'Atividades Micro'!$L47,"")</f>
        <v/>
      </c>
      <c r="G47" s="21" t="str">
        <f>IF(AND('Atividades Micro'!$A47=G$2,'Atividades Micro'!$K47&lt;&gt;""),'Atividades Micro'!$K47,"")</f>
        <v/>
      </c>
      <c r="H47" s="21" t="str">
        <f>IF(AND('Atividades Micro'!$A47=H$2,'Atividades Micro'!$L47&lt;&gt;""),'Atividades Micro'!$L47,"")</f>
        <v/>
      </c>
      <c r="I47" s="21">
        <f>IF(AND('Atividades Micro'!$A47=I$2,'Atividades Micro'!$K47&lt;&gt;""),'Atividades Micro'!$K47,"")</f>
        <v>46276</v>
      </c>
      <c r="J47" s="21">
        <f>IF(AND('Atividades Micro'!$A47=J$2,'Atividades Micro'!$L47&lt;&gt;""),'Atividades Micro'!$L47,"")</f>
        <v>46280</v>
      </c>
      <c r="K47" s="21" t="str">
        <f>IF(AND('Atividades Micro'!$B47=K$2,'Atividades Micro'!$K47&lt;&gt;""),'Atividades Micro'!$K47,"")</f>
        <v/>
      </c>
      <c r="L47" s="21" t="str">
        <f>IF(AND('Atividades Micro'!$B47=L$2,'Atividades Micro'!$L47&lt;&gt;""),'Atividades Micro'!$L47,"")</f>
        <v/>
      </c>
      <c r="M47" s="21">
        <f>IF(AND('Atividades Micro'!$B47=M$2,'Atividades Micro'!$K47&lt;&gt;""),'Atividades Micro'!$K47,"")</f>
        <v>46276</v>
      </c>
      <c r="N47" s="21">
        <f>IF(AND('Atividades Micro'!$B47=N$2,'Atividades Micro'!$L47&lt;&gt;""),'Atividades Micro'!$L47,"")</f>
        <v>46280</v>
      </c>
      <c r="O47" s="21" t="str">
        <f>IF(AND('Atividades Micro'!$A47=O$2,'Atividades Micro'!$K47&lt;&gt;""),'Atividades Micro'!$K47,"")</f>
        <v/>
      </c>
      <c r="P47" s="21" t="str">
        <f>IF(AND('Atividades Micro'!$A47=P$2,'Atividades Micro'!$L47&lt;&gt;""),'Atividades Micro'!$L47,"")</f>
        <v/>
      </c>
      <c r="Q47" s="21" t="str">
        <f>IF(AND('Atividades Micro'!$B47=Q$2,'Atividades Micro'!$K47&lt;&gt;""),'Atividades Micro'!$K47,"")</f>
        <v/>
      </c>
      <c r="R47" s="21" t="str">
        <f>IF(AND('Atividades Micro'!$B47=R$2,'Atividades Micro'!$L47&lt;&gt;""),'Atividades Micro'!$L47,"")</f>
        <v/>
      </c>
      <c r="S47" s="21" t="str">
        <f>IF(AND('Atividades Micro'!$A47=S$2,'Atividades Micro'!$K47&lt;&gt;""),'Atividades Micro'!$K47,"")</f>
        <v/>
      </c>
      <c r="T47" s="21" t="str">
        <f>IF(AND('Atividades Micro'!$A47=T$2,'Atividades Micro'!$L47&lt;&gt;""),'Atividades Micro'!$L47,"")</f>
        <v/>
      </c>
      <c r="U47" s="21" t="str">
        <f>IF(AND('Atividades Micro'!$B47=U$2,'Atividades Micro'!$K47&lt;&gt;""),'Atividades Micro'!$K47,"")</f>
        <v/>
      </c>
      <c r="V47" s="21" t="str">
        <f>IF(AND('Atividades Micro'!$B47=V$2,'Atividades Micro'!$L47&lt;&gt;""),'Atividades Micro'!$L47,"")</f>
        <v/>
      </c>
      <c r="W47" s="21" t="str">
        <f>IF(AND('Atividades Micro'!$B47=W$2,'Atividades Micro'!$K47&lt;&gt;""),'Atividades Micro'!$K47,"")</f>
        <v/>
      </c>
      <c r="X47" s="21" t="str">
        <f>IF(AND('Atividades Micro'!$B47=X$2,'Atividades Micro'!$L47&lt;&gt;""),'Atividades Micro'!$L47,"")</f>
        <v/>
      </c>
      <c r="Y47" s="21" t="str">
        <f>IF(AND('Atividades Micro'!$A47=Y$2,'Atividades Micro'!$K47&lt;&gt;""),'Atividades Micro'!$K47,"")</f>
        <v/>
      </c>
      <c r="Z47" s="21" t="str">
        <f>IF(AND('Atividades Micro'!$A47=Z$2,'Atividades Micro'!$L47&lt;&gt;""),'Atividades Micro'!$L47,"")</f>
        <v/>
      </c>
      <c r="AA47" s="21" t="str">
        <f>IF(AND('Atividades Micro'!$B47=AA$2,'Atividades Micro'!$K47&lt;&gt;""),'Atividades Micro'!$K47,"")</f>
        <v/>
      </c>
      <c r="AB47" s="21" t="str">
        <f>IF(AND('Atividades Micro'!$B47=AB$2,'Atividades Micro'!$L47&lt;&gt;""),'Atividades Micro'!$L47,"")</f>
        <v/>
      </c>
      <c r="AC47" s="21" t="str">
        <f>IF(AND('Atividades Micro'!$B47=AC$2,'Atividades Micro'!$K47&lt;&gt;""),'Atividades Micro'!$K47,"")</f>
        <v/>
      </c>
      <c r="AD47" s="21" t="str">
        <f>IF(AND('Atividades Micro'!$B47=AD$2,'Atividades Micro'!$L47&lt;&gt;""),'Atividades Micro'!$L47,"")</f>
        <v/>
      </c>
      <c r="AE47" s="21" t="str">
        <f>IF(AND('Atividades Micro'!$A47=AE$2,'Atividades Micro'!$K47&lt;&gt;""),'Atividades Micro'!$K47,"")</f>
        <v/>
      </c>
      <c r="AF47" s="21" t="str">
        <f>IF(AND('Atividades Micro'!$A47=AF$2,'Atividades Micro'!$L47&lt;&gt;""),'Atividades Micro'!$L47,"")</f>
        <v/>
      </c>
      <c r="AG47" s="21" t="str">
        <f>IF(AND('Atividades Micro'!$B47=AG$2,'Atividades Micro'!$K47&lt;&gt;""),'Atividades Micro'!$K47,"")</f>
        <v/>
      </c>
      <c r="AH47" s="21" t="str">
        <f>IF(AND('Atividades Micro'!$B47=AH$2,'Atividades Micro'!$L47&lt;&gt;""),'Atividades Micro'!$L47,"")</f>
        <v/>
      </c>
      <c r="AI47" s="21" t="str">
        <f>IF(AND('Atividades Micro'!$B47=AI$2,'Atividades Micro'!$K47&lt;&gt;""),'Atividades Micro'!$K47,"")</f>
        <v/>
      </c>
      <c r="AJ47" s="21" t="str">
        <f>IF(AND('Atividades Micro'!$B47=AJ$2,'Atividades Micro'!$L47&lt;&gt;""),'Atividades Micro'!$L47,"")</f>
        <v/>
      </c>
      <c r="AK47" s="21" t="str">
        <f>IF(AND('Atividades Micro'!$A47=AK$2,'Atividades Micro'!$K47&lt;&gt;""),'Atividades Micro'!$K47,"")</f>
        <v/>
      </c>
      <c r="AL47" s="21" t="str">
        <f>IF(AND('Atividades Micro'!$A47=AL$2,'Atividades Micro'!$L47&lt;&gt;""),'Atividades Micro'!$L47,"")</f>
        <v/>
      </c>
      <c r="AM47" s="21" t="str">
        <f>IF(AND('Atividades Micro'!$B47=AM$2,'Atividades Micro'!$K47&lt;&gt;""),'Atividades Micro'!$K47,"")</f>
        <v/>
      </c>
      <c r="AN47" s="21" t="str">
        <f>IF(AND('Atividades Micro'!$B47=AN$2,'Atividades Micro'!$L47&lt;&gt;""),'Atividades Micro'!$L47,"")</f>
        <v/>
      </c>
      <c r="AO47" s="21" t="str">
        <f>IF(AND('Atividades Micro'!$B47=AO$2,'Atividades Micro'!$K47&lt;&gt;""),'Atividades Micro'!$K47,"")</f>
        <v/>
      </c>
      <c r="AP47" s="21" t="str">
        <f>IF(AND('Atividades Micro'!$B47=AP$2,'Atividades Micro'!$L47&lt;&gt;""),'Atividades Micro'!$L47,"")</f>
        <v/>
      </c>
      <c r="AQ47" s="21" t="str">
        <f>IF(AND('Atividades Micro'!$A47=AQ$2,'Atividades Micro'!$K47&lt;&gt;""),'Atividades Micro'!$K47,"")</f>
        <v/>
      </c>
      <c r="AR47" s="21" t="str">
        <f>IF(AND('Atividades Micro'!$A47=AR$2,'Atividades Micro'!$L47&lt;&gt;""),'Atividades Micro'!$L47,"")</f>
        <v/>
      </c>
      <c r="AS47" s="21" t="str">
        <f>IF(AND('Atividades Micro'!$B47=AS$2,'Atividades Micro'!$K47&lt;&gt;""),'Atividades Micro'!$K47,"")</f>
        <v/>
      </c>
      <c r="AT47" s="21" t="str">
        <f>IF(AND('Atividades Micro'!$B47=AT$2,'Atividades Micro'!$L47&lt;&gt;""),'Atividades Micro'!$L47,"")</f>
        <v/>
      </c>
      <c r="AU47" s="21" t="str">
        <f>IF(AND('Atividades Micro'!$A47=AU$2,'Atividades Micro'!$K47&lt;&gt;""),'Atividades Micro'!$K47,"")</f>
        <v/>
      </c>
      <c r="AV47" s="21" t="str">
        <f>IF(AND('Atividades Micro'!$A47=AV$2,'Atividades Micro'!$L47&lt;&gt;""),'Atividades Micro'!$L47,"")</f>
        <v/>
      </c>
      <c r="AW47" s="21" t="str">
        <f>IF(AND('Atividades Micro'!$B47=AW$2,'Atividades Micro'!$K47&lt;&gt;""),'Atividades Micro'!$K47,"")</f>
        <v/>
      </c>
      <c r="AX47" s="21" t="str">
        <f>IF(AND('Atividades Micro'!$B47=AX$2,'Atividades Micro'!$L47&lt;&gt;""),'Atividades Micro'!$L47,"")</f>
        <v/>
      </c>
      <c r="AY47" s="21" t="str">
        <f>IF(AND('Atividades Micro'!$A47=AY$2,'Atividades Micro'!$K47&lt;&gt;""),'Atividades Micro'!$K47,"")</f>
        <v/>
      </c>
      <c r="AZ47" s="21" t="str">
        <f>IF(AND('Atividades Micro'!$A47=AZ$2,'Atividades Micro'!$L47&lt;&gt;""),'Atividades Micro'!$L47,"")</f>
        <v/>
      </c>
      <c r="BA47" s="21" t="str">
        <f>IF(AND('Atividades Micro'!$B47=BA$2,'Atividades Micro'!$K47&lt;&gt;""),'Atividades Micro'!$K47,"")</f>
        <v/>
      </c>
      <c r="BB47" s="21" t="str">
        <f>IF(AND('Atividades Micro'!$B47=BB$2,'Atividades Micro'!$L47&lt;&gt;""),'Atividades Micro'!$L47,"")</f>
        <v/>
      </c>
      <c r="BC47" s="21" t="str">
        <f>IF(AND('Atividades Micro'!$B47=BC$2,'Atividades Micro'!$G47="Macro",'Atividades Micro'!$K47&lt;&gt;""),'Atividades Micro'!$K47,"")</f>
        <v/>
      </c>
      <c r="BD47" s="21" t="str">
        <f>IF(AND('Atividades Micro'!$B47=BD$2,'Atividades Micro'!$G47="Macro",'Atividades Micro'!$K47&lt;&gt;""),'Atividades Micro'!$K47,"")</f>
        <v/>
      </c>
      <c r="BE47" s="21" t="str">
        <f>IF(AND('Atividades Micro'!$B47=BE$2,'Atividades Micro'!$G47="Macro",'Atividades Micro'!$K47&lt;&gt;""),'Atividades Micro'!$K47,"")</f>
        <v/>
      </c>
      <c r="BF47" s="21" t="str">
        <f>IF(AND('Atividades Micro'!$B47=BF$2,'Atividades Micro'!$G47="Macro",'Atividades Micro'!$K47&lt;&gt;""),'Atividades Micro'!$K47,"")</f>
        <v/>
      </c>
      <c r="BG47" s="21" t="str">
        <f>IF(AND('Atividades Micro'!$B47=BG$2,'Atividades Micro'!$G47="Macro",'Atividades Micro'!$K47&lt;&gt;""),'Atividades Micro'!$K47,"")</f>
        <v/>
      </c>
      <c r="BH47" s="21" t="str">
        <f>IF(AND('Atividades Micro'!$B47=BH$2,'Atividades Micro'!$G47="Macro",'Atividades Micro'!$K47&lt;&gt;""),'Atividades Micro'!$K47,"")</f>
        <v/>
      </c>
      <c r="BI47" s="21" t="str">
        <f>IF(AND('Atividades Micro'!$B47=BI$2,'Atividades Micro'!$G47="Macro",'Atividades Micro'!$K47&lt;&gt;""),'Atividades Micro'!$K47,"")</f>
        <v/>
      </c>
      <c r="BJ47" s="21" t="str">
        <f>IF(AND('Atividades Micro'!$B47=BJ$2,'Atividades Micro'!$G47="Macro",'Atividades Micro'!$K47&lt;&gt;""),'Atividades Micro'!$K47,"")</f>
        <v/>
      </c>
      <c r="BK47" s="21" t="str">
        <f>IF(AND('Atividades Micro'!$B47=BK$2,'Atividades Micro'!$G47="Macro",'Atividades Micro'!$K47&lt;&gt;""),'Atividades Micro'!$K47,"")</f>
        <v/>
      </c>
      <c r="BL47" s="21" t="str">
        <f>IF(AND('Atividades Micro'!$B47=BL$2,'Atividades Micro'!$G47="Macro",'Atividades Micro'!$K47&lt;&gt;""),'Atividades Micro'!$K47,"")</f>
        <v/>
      </c>
      <c r="BM47" s="21" t="str">
        <f>IF(AND('Atividades Micro'!$B47=BM$2,'Atividades Micro'!$G47="Macro",'Atividades Micro'!$K47&lt;&gt;""),'Atividades Micro'!$K47,"")</f>
        <v/>
      </c>
      <c r="BN47" s="21" t="str">
        <f>IF(AND('Atividades Micro'!$B47=BN$2,'Atividades Micro'!$G47="Macro",'Atividades Micro'!$K47&lt;&gt;""),'Atividades Micro'!$K47,"")</f>
        <v/>
      </c>
      <c r="BO47" s="21" t="str">
        <f>IF(AND('Atividades Micro'!$B47=BO$2,'Atividades Micro'!$G47="Macro",'Atividades Micro'!$K47&lt;&gt;""),'Atividades Micro'!$K47,"")</f>
        <v/>
      </c>
      <c r="BP47" s="21" t="str">
        <f>IF(AND('Atividades Micro'!$B47=BP$2,'Atividades Micro'!$G47="Macro",'Atividades Micro'!$K47&lt;&gt;""),'Atividades Micro'!$K47,"")</f>
        <v/>
      </c>
      <c r="BQ47" s="21" t="str">
        <f>IF(AND('Atividades Micro'!$B47=BQ$2,'Atividades Micro'!$G47="Macro",'Atividades Micro'!$K47&lt;&gt;""),'Atividades Micro'!$K47,"")</f>
        <v/>
      </c>
      <c r="BR47" s="21" t="str">
        <f>IF(AND('Atividades Micro'!$B47=BR$2,'Atividades Micro'!$G47="Macro",'Atividades Micro'!$K47&lt;&gt;""),'Atividades Micro'!$K47,"")</f>
        <v/>
      </c>
      <c r="BS47" s="21" t="str">
        <f>IF(AND('Atividades Micro'!$B47=BS$2,'Atividades Micro'!$G47="Macro",'Atividades Micro'!$K47&lt;&gt;""),'Atividades Micro'!$K47,"")</f>
        <v/>
      </c>
      <c r="BT47" s="21" t="str">
        <f>IF(AND('Atividades Micro'!$B47=BT$2,'Atividades Micro'!$G47="Macro",'Atividades Micro'!$K47&lt;&gt;""),'Atividades Micro'!$K47,"")</f>
        <v/>
      </c>
      <c r="BU47" s="21" t="str">
        <f>IF(AND('Atividades Micro'!$B47=BU$2,'Atividades Micro'!$G47="Macro",'Atividades Micro'!$K47&lt;&gt;""),'Atividades Micro'!$K47,"")</f>
        <v/>
      </c>
      <c r="BV47" s="21" t="str">
        <f>IF(AND('Atividades Micro'!$B47=BV$2,'Atividades Micro'!$G47="Macro",'Atividades Micro'!$K47&lt;&gt;""),'Atividades Micro'!$K47,"")</f>
        <v/>
      </c>
      <c r="BW47" s="21" t="str">
        <f>IF(AND('Atividades Micro'!$B47=BW$2,'Atividades Micro'!$G47="Macro",'Atividades Micro'!$K47&lt;&gt;""),'Atividades Micro'!$K47,"")</f>
        <v/>
      </c>
      <c r="BX47" s="21" t="str">
        <f>IF(AND('Atividades Micro'!$B47=BX$2,'Atividades Micro'!$G47="Macro",'Atividades Micro'!$K47&lt;&gt;""),'Atividades Micro'!$K47,"")</f>
        <v/>
      </c>
      <c r="BY47" s="21" t="str">
        <f>IF(AND('Atividades Micro'!$B47=BY$2,'Atividades Micro'!$G47="Macro",'Atividades Micro'!$K47&lt;&gt;""),'Atividades Micro'!$K47,"")</f>
        <v/>
      </c>
      <c r="BZ47" s="21" t="str">
        <f>IF(AND('Atividades Micro'!$B47=BZ$2,'Atividades Micro'!$G47="Macro",'Atividades Micro'!$K47&lt;&gt;""),'Atividades Micro'!$K47,"")</f>
        <v/>
      </c>
      <c r="CA47" s="21" t="str">
        <f>IF(AND('Atividades Micro'!$B47=CA$2,'Atividades Micro'!$G47="Macro",'Atividades Micro'!$K47&lt;&gt;""),'Atividades Micro'!$K47,"")</f>
        <v/>
      </c>
      <c r="CB47" s="21" t="str">
        <f>IF(AND('Atividades Micro'!$B47=CB$2,'Atividades Micro'!$G47="Macro",'Atividades Micro'!$K47&lt;&gt;""),'Atividades Micro'!$K47,"")</f>
        <v/>
      </c>
      <c r="CC47" s="21" t="str">
        <f>IF(AND('Atividades Micro'!$B47=CC$2,'Atividades Micro'!$G47="Macro",'Atividades Micro'!$K47&lt;&gt;""),'Atividades Micro'!$K47,"")</f>
        <v/>
      </c>
      <c r="CD47" s="21" t="str">
        <f>IF(AND('Atividades Micro'!$B47=CD$2,'Atividades Micro'!$G47="Micro",'Atividades Micro'!$K47&lt;&gt;""),'Atividades Micro'!$K47,"")</f>
        <v/>
      </c>
      <c r="CE47" s="21">
        <f>IF(AND('Atividades Micro'!$B47=CE$2,'Atividades Micro'!$G47="Micro",'Atividades Micro'!$K47&lt;&gt;""),'Atividades Micro'!$K47,"")</f>
        <v>46276</v>
      </c>
      <c r="CF47" s="21" t="str">
        <f>IF(AND('Atividades Micro'!$B47=CF$2,'Atividades Micro'!$G47="Micro",'Atividades Micro'!$K47&lt;&gt;""),'Atividades Micro'!$K47,"")</f>
        <v/>
      </c>
      <c r="CG47" s="21" t="str">
        <f>IF(AND('Atividades Micro'!$B47=CG$2,'Atividades Micro'!$G47="Micro",'Atividades Micro'!$K47&lt;&gt;""),'Atividades Micro'!$K47,"")</f>
        <v/>
      </c>
      <c r="CH47" s="21" t="str">
        <f>IF(AND('Atividades Micro'!$B47=CH$2,'Atividades Micro'!$G47="Micro",'Atividades Micro'!$K47&lt;&gt;""),'Atividades Micro'!$K47,"")</f>
        <v/>
      </c>
      <c r="CI47" s="21" t="str">
        <f>IF(AND('Atividades Micro'!$B47=CI$2,'Atividades Micro'!$G47="Micro",'Atividades Micro'!$K47&lt;&gt;""),'Atividades Micro'!$K47,"")</f>
        <v/>
      </c>
      <c r="CJ47" s="21" t="str">
        <f>IF(AND('Atividades Micro'!$B47=CJ$2,'Atividades Micro'!$G47="Micro",'Atividades Micro'!$K47&lt;&gt;""),'Atividades Micro'!$K47,"")</f>
        <v/>
      </c>
      <c r="CK47" s="21" t="str">
        <f>IF(AND('Atividades Micro'!$B47=CK$2,'Atividades Micro'!$G47="Micro",'Atividades Micro'!$K47&lt;&gt;""),'Atividades Micro'!$K47,"")</f>
        <v/>
      </c>
      <c r="CL47" s="21" t="str">
        <f>IF(AND('Atividades Micro'!$B47=CL$2,'Atividades Micro'!$G47="Micro",'Atividades Micro'!$K47&lt;&gt;""),'Atividades Micro'!$K47,"")</f>
        <v/>
      </c>
      <c r="CM47" s="21" t="str">
        <f>IF(AND('Atividades Micro'!$B47=CM$2,'Atividades Micro'!$G47="Micro",'Atividades Micro'!$K47&lt;&gt;""),'Atividades Micro'!$K47,"")</f>
        <v/>
      </c>
      <c r="CN47" s="21" t="str">
        <f>IF(AND('Atividades Micro'!$B47=CN$2,'Atividades Micro'!$G47="Micro",'Atividades Micro'!$K47&lt;&gt;""),'Atividades Micro'!$K47,"")</f>
        <v/>
      </c>
      <c r="CO47" s="21" t="str">
        <f>IF(AND('Atividades Micro'!$B47=CO$2,'Atividades Micro'!$G47="Micro",'Atividades Micro'!$K47&lt;&gt;""),'Atividades Micro'!$K47,"")</f>
        <v/>
      </c>
    </row>
    <row r="48" spans="1:93">
      <c r="A48" s="21" t="str">
        <f>IF(AND('Atividades Micro'!$A48=A$2,'Atividades Micro'!$K48&lt;&gt;""),'Atividades Micro'!$K48,"")</f>
        <v/>
      </c>
      <c r="B48" s="21" t="str">
        <f>IF(AND('Atividades Micro'!$A48=B$2,'Atividades Micro'!$L48&lt;&gt;""),'Atividades Micro'!$L48,"")</f>
        <v/>
      </c>
      <c r="C48" s="21" t="str">
        <f>IF(AND('Atividades Micro'!$A48=C$2,'Atividades Micro'!$K48&lt;&gt;""),'Atividades Micro'!$K48,"")</f>
        <v/>
      </c>
      <c r="D48" s="21" t="str">
        <f>IF(AND('Atividades Micro'!$A48=D$2,'Atividades Micro'!$L48&lt;&gt;""),'Atividades Micro'!$L48,"")</f>
        <v/>
      </c>
      <c r="E48" s="21" t="str">
        <f>IF(AND('Atividades Micro'!$A48=E$2,'Atividades Micro'!$K48&lt;&gt;""),'Atividades Micro'!$K48,"")</f>
        <v/>
      </c>
      <c r="F48" s="21" t="str">
        <f>IF(AND('Atividades Micro'!$A48=F$2,'Atividades Micro'!$L48&lt;&gt;""),'Atividades Micro'!$L48,"")</f>
        <v/>
      </c>
      <c r="G48" s="21" t="str">
        <f>IF(AND('Atividades Micro'!$A48=G$2,'Atividades Micro'!$K48&lt;&gt;""),'Atividades Micro'!$K48,"")</f>
        <v/>
      </c>
      <c r="H48" s="21" t="str">
        <f>IF(AND('Atividades Micro'!$A48=H$2,'Atividades Micro'!$L48&lt;&gt;""),'Atividades Micro'!$L48,"")</f>
        <v/>
      </c>
      <c r="I48" s="21">
        <f>IF(AND('Atividades Micro'!$A48=I$2,'Atividades Micro'!$K48&lt;&gt;""),'Atividades Micro'!$K48,"")</f>
        <v>46280</v>
      </c>
      <c r="J48" s="21">
        <f>IF(AND('Atividades Micro'!$A48=J$2,'Atividades Micro'!$L48&lt;&gt;""),'Atividades Micro'!$L48,"")</f>
        <v>46261</v>
      </c>
      <c r="K48" s="21" t="str">
        <f>IF(AND('Atividades Micro'!$B48=K$2,'Atividades Micro'!$K48&lt;&gt;""),'Atividades Micro'!$K48,"")</f>
        <v/>
      </c>
      <c r="L48" s="21" t="str">
        <f>IF(AND('Atividades Micro'!$B48=L$2,'Atividades Micro'!$L48&lt;&gt;""),'Atividades Micro'!$L48,"")</f>
        <v/>
      </c>
      <c r="M48" s="21">
        <f>IF(AND('Atividades Micro'!$B48=M$2,'Atividades Micro'!$K48&lt;&gt;""),'Atividades Micro'!$K48,"")</f>
        <v>46280</v>
      </c>
      <c r="N48" s="21">
        <f>IF(AND('Atividades Micro'!$B48=N$2,'Atividades Micro'!$L48&lt;&gt;""),'Atividades Micro'!$L48,"")</f>
        <v>46261</v>
      </c>
      <c r="O48" s="21" t="str">
        <f>IF(AND('Atividades Micro'!$A48=O$2,'Atividades Micro'!$K48&lt;&gt;""),'Atividades Micro'!$K48,"")</f>
        <v/>
      </c>
      <c r="P48" s="21" t="str">
        <f>IF(AND('Atividades Micro'!$A48=P$2,'Atividades Micro'!$L48&lt;&gt;""),'Atividades Micro'!$L48,"")</f>
        <v/>
      </c>
      <c r="Q48" s="21" t="str">
        <f>IF(AND('Atividades Micro'!$B48=Q$2,'Atividades Micro'!$K48&lt;&gt;""),'Atividades Micro'!$K48,"")</f>
        <v/>
      </c>
      <c r="R48" s="21" t="str">
        <f>IF(AND('Atividades Micro'!$B48=R$2,'Atividades Micro'!$L48&lt;&gt;""),'Atividades Micro'!$L48,"")</f>
        <v/>
      </c>
      <c r="S48" s="21" t="str">
        <f>IF(AND('Atividades Micro'!$A48=S$2,'Atividades Micro'!$K48&lt;&gt;""),'Atividades Micro'!$K48,"")</f>
        <v/>
      </c>
      <c r="T48" s="21" t="str">
        <f>IF(AND('Atividades Micro'!$A48=T$2,'Atividades Micro'!$L48&lt;&gt;""),'Atividades Micro'!$L48,"")</f>
        <v/>
      </c>
      <c r="U48" s="21" t="str">
        <f>IF(AND('Atividades Micro'!$B48=U$2,'Atividades Micro'!$K48&lt;&gt;""),'Atividades Micro'!$K48,"")</f>
        <v/>
      </c>
      <c r="V48" s="21" t="str">
        <f>IF(AND('Atividades Micro'!$B48=V$2,'Atividades Micro'!$L48&lt;&gt;""),'Atividades Micro'!$L48,"")</f>
        <v/>
      </c>
      <c r="W48" s="21" t="str">
        <f>IF(AND('Atividades Micro'!$B48=W$2,'Atividades Micro'!$K48&lt;&gt;""),'Atividades Micro'!$K48,"")</f>
        <v/>
      </c>
      <c r="X48" s="21" t="str">
        <f>IF(AND('Atividades Micro'!$B48=X$2,'Atividades Micro'!$L48&lt;&gt;""),'Atividades Micro'!$L48,"")</f>
        <v/>
      </c>
      <c r="Y48" s="21" t="str">
        <f>IF(AND('Atividades Micro'!$A48=Y$2,'Atividades Micro'!$K48&lt;&gt;""),'Atividades Micro'!$K48,"")</f>
        <v/>
      </c>
      <c r="Z48" s="21" t="str">
        <f>IF(AND('Atividades Micro'!$A48=Z$2,'Atividades Micro'!$L48&lt;&gt;""),'Atividades Micro'!$L48,"")</f>
        <v/>
      </c>
      <c r="AA48" s="21" t="str">
        <f>IF(AND('Atividades Micro'!$B48=AA$2,'Atividades Micro'!$K48&lt;&gt;""),'Atividades Micro'!$K48,"")</f>
        <v/>
      </c>
      <c r="AB48" s="21" t="str">
        <f>IF(AND('Atividades Micro'!$B48=AB$2,'Atividades Micro'!$L48&lt;&gt;""),'Atividades Micro'!$L48,"")</f>
        <v/>
      </c>
      <c r="AC48" s="21" t="str">
        <f>IF(AND('Atividades Micro'!$B48=AC$2,'Atividades Micro'!$K48&lt;&gt;""),'Atividades Micro'!$K48,"")</f>
        <v/>
      </c>
      <c r="AD48" s="21" t="str">
        <f>IF(AND('Atividades Micro'!$B48=AD$2,'Atividades Micro'!$L48&lt;&gt;""),'Atividades Micro'!$L48,"")</f>
        <v/>
      </c>
      <c r="AE48" s="21" t="str">
        <f>IF(AND('Atividades Micro'!$A48=AE$2,'Atividades Micro'!$K48&lt;&gt;""),'Atividades Micro'!$K48,"")</f>
        <v/>
      </c>
      <c r="AF48" s="21" t="str">
        <f>IF(AND('Atividades Micro'!$A48=AF$2,'Atividades Micro'!$L48&lt;&gt;""),'Atividades Micro'!$L48,"")</f>
        <v/>
      </c>
      <c r="AG48" s="21" t="str">
        <f>IF(AND('Atividades Micro'!$B48=AG$2,'Atividades Micro'!$K48&lt;&gt;""),'Atividades Micro'!$K48,"")</f>
        <v/>
      </c>
      <c r="AH48" s="21" t="str">
        <f>IF(AND('Atividades Micro'!$B48=AH$2,'Atividades Micro'!$L48&lt;&gt;""),'Atividades Micro'!$L48,"")</f>
        <v/>
      </c>
      <c r="AI48" s="21" t="str">
        <f>IF(AND('Atividades Micro'!$B48=AI$2,'Atividades Micro'!$K48&lt;&gt;""),'Atividades Micro'!$K48,"")</f>
        <v/>
      </c>
      <c r="AJ48" s="21" t="str">
        <f>IF(AND('Atividades Micro'!$B48=AJ$2,'Atividades Micro'!$L48&lt;&gt;""),'Atividades Micro'!$L48,"")</f>
        <v/>
      </c>
      <c r="AK48" s="21" t="str">
        <f>IF(AND('Atividades Micro'!$A48=AK$2,'Atividades Micro'!$K48&lt;&gt;""),'Atividades Micro'!$K48,"")</f>
        <v/>
      </c>
      <c r="AL48" s="21" t="str">
        <f>IF(AND('Atividades Micro'!$A48=AL$2,'Atividades Micro'!$L48&lt;&gt;""),'Atividades Micro'!$L48,"")</f>
        <v/>
      </c>
      <c r="AM48" s="21" t="str">
        <f>IF(AND('Atividades Micro'!$B48=AM$2,'Atividades Micro'!$K48&lt;&gt;""),'Atividades Micro'!$K48,"")</f>
        <v/>
      </c>
      <c r="AN48" s="21" t="str">
        <f>IF(AND('Atividades Micro'!$B48=AN$2,'Atividades Micro'!$L48&lt;&gt;""),'Atividades Micro'!$L48,"")</f>
        <v/>
      </c>
      <c r="AO48" s="21" t="str">
        <f>IF(AND('Atividades Micro'!$B48=AO$2,'Atividades Micro'!$K48&lt;&gt;""),'Atividades Micro'!$K48,"")</f>
        <v/>
      </c>
      <c r="AP48" s="21" t="str">
        <f>IF(AND('Atividades Micro'!$B48=AP$2,'Atividades Micro'!$L48&lt;&gt;""),'Atividades Micro'!$L48,"")</f>
        <v/>
      </c>
      <c r="AQ48" s="21" t="str">
        <f>IF(AND('Atividades Micro'!$A48=AQ$2,'Atividades Micro'!$K48&lt;&gt;""),'Atividades Micro'!$K48,"")</f>
        <v/>
      </c>
      <c r="AR48" s="21" t="str">
        <f>IF(AND('Atividades Micro'!$A48=AR$2,'Atividades Micro'!$L48&lt;&gt;""),'Atividades Micro'!$L48,"")</f>
        <v/>
      </c>
      <c r="AS48" s="21" t="str">
        <f>IF(AND('Atividades Micro'!$B48=AS$2,'Atividades Micro'!$K48&lt;&gt;""),'Atividades Micro'!$K48,"")</f>
        <v/>
      </c>
      <c r="AT48" s="21" t="str">
        <f>IF(AND('Atividades Micro'!$B48=AT$2,'Atividades Micro'!$L48&lt;&gt;""),'Atividades Micro'!$L48,"")</f>
        <v/>
      </c>
      <c r="AU48" s="21" t="str">
        <f>IF(AND('Atividades Micro'!$A48=AU$2,'Atividades Micro'!$K48&lt;&gt;""),'Atividades Micro'!$K48,"")</f>
        <v/>
      </c>
      <c r="AV48" s="21" t="str">
        <f>IF(AND('Atividades Micro'!$A48=AV$2,'Atividades Micro'!$L48&lt;&gt;""),'Atividades Micro'!$L48,"")</f>
        <v/>
      </c>
      <c r="AW48" s="21" t="str">
        <f>IF(AND('Atividades Micro'!$B48=AW$2,'Atividades Micro'!$K48&lt;&gt;""),'Atividades Micro'!$K48,"")</f>
        <v/>
      </c>
      <c r="AX48" s="21" t="str">
        <f>IF(AND('Atividades Micro'!$B48=AX$2,'Atividades Micro'!$L48&lt;&gt;""),'Atividades Micro'!$L48,"")</f>
        <v/>
      </c>
      <c r="AY48" s="21" t="str">
        <f>IF(AND('Atividades Micro'!$A48=AY$2,'Atividades Micro'!$K48&lt;&gt;""),'Atividades Micro'!$K48,"")</f>
        <v/>
      </c>
      <c r="AZ48" s="21" t="str">
        <f>IF(AND('Atividades Micro'!$A48=AZ$2,'Atividades Micro'!$L48&lt;&gt;""),'Atividades Micro'!$L48,"")</f>
        <v/>
      </c>
      <c r="BA48" s="21" t="str">
        <f>IF(AND('Atividades Micro'!$B48=BA$2,'Atividades Micro'!$K48&lt;&gt;""),'Atividades Micro'!$K48,"")</f>
        <v/>
      </c>
      <c r="BB48" s="21" t="str">
        <f>IF(AND('Atividades Micro'!$B48=BB$2,'Atividades Micro'!$L48&lt;&gt;""),'Atividades Micro'!$L48,"")</f>
        <v/>
      </c>
      <c r="BC48" s="21" t="str">
        <f>IF(AND('Atividades Micro'!$B48=BC$2,'Atividades Micro'!$G48="Macro",'Atividades Micro'!$K48&lt;&gt;""),'Atividades Micro'!$K48,"")</f>
        <v/>
      </c>
      <c r="BD48" s="21" t="str">
        <f>IF(AND('Atividades Micro'!$B48=BD$2,'Atividades Micro'!$G48="Macro",'Atividades Micro'!$K48&lt;&gt;""),'Atividades Micro'!$K48,"")</f>
        <v/>
      </c>
      <c r="BE48" s="21" t="str">
        <f>IF(AND('Atividades Micro'!$B48=BE$2,'Atividades Micro'!$G48="Macro",'Atividades Micro'!$K48&lt;&gt;""),'Atividades Micro'!$K48,"")</f>
        <v/>
      </c>
      <c r="BF48" s="21" t="str">
        <f>IF(AND('Atividades Micro'!$B48=BF$2,'Atividades Micro'!$G48="Macro",'Atividades Micro'!$K48&lt;&gt;""),'Atividades Micro'!$K48,"")</f>
        <v/>
      </c>
      <c r="BG48" s="21" t="str">
        <f>IF(AND('Atividades Micro'!$B48=BG$2,'Atividades Micro'!$G48="Macro",'Atividades Micro'!$K48&lt;&gt;""),'Atividades Micro'!$K48,"")</f>
        <v/>
      </c>
      <c r="BH48" s="21" t="str">
        <f>IF(AND('Atividades Micro'!$B48=BH$2,'Atividades Micro'!$G48="Macro",'Atividades Micro'!$K48&lt;&gt;""),'Atividades Micro'!$K48,"")</f>
        <v/>
      </c>
      <c r="BI48" s="21" t="str">
        <f>IF(AND('Atividades Micro'!$B48=BI$2,'Atividades Micro'!$G48="Macro",'Atividades Micro'!$K48&lt;&gt;""),'Atividades Micro'!$K48,"")</f>
        <v/>
      </c>
      <c r="BJ48" s="21" t="str">
        <f>IF(AND('Atividades Micro'!$B48=BJ$2,'Atividades Micro'!$G48="Macro",'Atividades Micro'!$K48&lt;&gt;""),'Atividades Micro'!$K48,"")</f>
        <v/>
      </c>
      <c r="BK48" s="21" t="str">
        <f>IF(AND('Atividades Micro'!$B48=BK$2,'Atividades Micro'!$G48="Macro",'Atividades Micro'!$K48&lt;&gt;""),'Atividades Micro'!$K48,"")</f>
        <v/>
      </c>
      <c r="BL48" s="21" t="str">
        <f>IF(AND('Atividades Micro'!$B48=BL$2,'Atividades Micro'!$G48="Macro",'Atividades Micro'!$K48&lt;&gt;""),'Atividades Micro'!$K48,"")</f>
        <v/>
      </c>
      <c r="BM48" s="21" t="str">
        <f>IF(AND('Atividades Micro'!$B48=BM$2,'Atividades Micro'!$G48="Macro",'Atividades Micro'!$K48&lt;&gt;""),'Atividades Micro'!$K48,"")</f>
        <v/>
      </c>
      <c r="BN48" s="21" t="str">
        <f>IF(AND('Atividades Micro'!$B48=BN$2,'Atividades Micro'!$G48="Macro",'Atividades Micro'!$K48&lt;&gt;""),'Atividades Micro'!$K48,"")</f>
        <v/>
      </c>
      <c r="BO48" s="21" t="str">
        <f>IF(AND('Atividades Micro'!$B48=BO$2,'Atividades Micro'!$G48="Macro",'Atividades Micro'!$K48&lt;&gt;""),'Atividades Micro'!$K48,"")</f>
        <v/>
      </c>
      <c r="BP48" s="21" t="str">
        <f>IF(AND('Atividades Micro'!$B48=BP$2,'Atividades Micro'!$G48="Macro",'Atividades Micro'!$K48&lt;&gt;""),'Atividades Micro'!$K48,"")</f>
        <v/>
      </c>
      <c r="BQ48" s="21" t="str">
        <f>IF(AND('Atividades Micro'!$B48=BQ$2,'Atividades Micro'!$G48="Macro",'Atividades Micro'!$K48&lt;&gt;""),'Atividades Micro'!$K48,"")</f>
        <v/>
      </c>
      <c r="BR48" s="21" t="str">
        <f>IF(AND('Atividades Micro'!$B48=BR$2,'Atividades Micro'!$G48="Macro",'Atividades Micro'!$K48&lt;&gt;""),'Atividades Micro'!$K48,"")</f>
        <v/>
      </c>
      <c r="BS48" s="21" t="str">
        <f>IF(AND('Atividades Micro'!$B48=BS$2,'Atividades Micro'!$G48="Macro",'Atividades Micro'!$K48&lt;&gt;""),'Atividades Micro'!$K48,"")</f>
        <v/>
      </c>
      <c r="BT48" s="21" t="str">
        <f>IF(AND('Atividades Micro'!$B48=BT$2,'Atividades Micro'!$G48="Macro",'Atividades Micro'!$K48&lt;&gt;""),'Atividades Micro'!$K48,"")</f>
        <v/>
      </c>
      <c r="BU48" s="21" t="str">
        <f>IF(AND('Atividades Micro'!$B48=BU$2,'Atividades Micro'!$G48="Macro",'Atividades Micro'!$K48&lt;&gt;""),'Atividades Micro'!$K48,"")</f>
        <v/>
      </c>
      <c r="BV48" s="21" t="str">
        <f>IF(AND('Atividades Micro'!$B48=BV$2,'Atividades Micro'!$G48="Macro",'Atividades Micro'!$K48&lt;&gt;""),'Atividades Micro'!$K48,"")</f>
        <v/>
      </c>
      <c r="BW48" s="21" t="str">
        <f>IF(AND('Atividades Micro'!$B48=BW$2,'Atividades Micro'!$G48="Macro",'Atividades Micro'!$K48&lt;&gt;""),'Atividades Micro'!$K48,"")</f>
        <v/>
      </c>
      <c r="BX48" s="21" t="str">
        <f>IF(AND('Atividades Micro'!$B48=BX$2,'Atividades Micro'!$G48="Macro",'Atividades Micro'!$K48&lt;&gt;""),'Atividades Micro'!$K48,"")</f>
        <v/>
      </c>
      <c r="BY48" s="21" t="str">
        <f>IF(AND('Atividades Micro'!$B48=BY$2,'Atividades Micro'!$G48="Macro",'Atividades Micro'!$K48&lt;&gt;""),'Atividades Micro'!$K48,"")</f>
        <v/>
      </c>
      <c r="BZ48" s="21" t="str">
        <f>IF(AND('Atividades Micro'!$B48=BZ$2,'Atividades Micro'!$G48="Macro",'Atividades Micro'!$K48&lt;&gt;""),'Atividades Micro'!$K48,"")</f>
        <v/>
      </c>
      <c r="CA48" s="21" t="str">
        <f>IF(AND('Atividades Micro'!$B48=CA$2,'Atividades Micro'!$G48="Macro",'Atividades Micro'!$K48&lt;&gt;""),'Atividades Micro'!$K48,"")</f>
        <v/>
      </c>
      <c r="CB48" s="21" t="str">
        <f>IF(AND('Atividades Micro'!$B48=CB$2,'Atividades Micro'!$G48="Macro",'Atividades Micro'!$K48&lt;&gt;""),'Atividades Micro'!$K48,"")</f>
        <v/>
      </c>
      <c r="CC48" s="21" t="str">
        <f>IF(AND('Atividades Micro'!$B48=CC$2,'Atividades Micro'!$G48="Macro",'Atividades Micro'!$K48&lt;&gt;""),'Atividades Micro'!$K48,"")</f>
        <v/>
      </c>
      <c r="CD48" s="21" t="str">
        <f>IF(AND('Atividades Micro'!$B48=CD$2,'Atividades Micro'!$G48="Micro",'Atividades Micro'!$K48&lt;&gt;""),'Atividades Micro'!$K48,"")</f>
        <v/>
      </c>
      <c r="CE48" s="21">
        <f>IF(AND('Atividades Micro'!$B48=CE$2,'Atividades Micro'!$G48="Micro",'Atividades Micro'!$K48&lt;&gt;""),'Atividades Micro'!$K48,"")</f>
        <v>46280</v>
      </c>
      <c r="CF48" s="21" t="str">
        <f>IF(AND('Atividades Micro'!$B48=CF$2,'Atividades Micro'!$G48="Micro",'Atividades Micro'!$K48&lt;&gt;""),'Atividades Micro'!$K48,"")</f>
        <v/>
      </c>
      <c r="CG48" s="21" t="str">
        <f>IF(AND('Atividades Micro'!$B48=CG$2,'Atividades Micro'!$G48="Micro",'Atividades Micro'!$K48&lt;&gt;""),'Atividades Micro'!$K48,"")</f>
        <v/>
      </c>
      <c r="CH48" s="21" t="str">
        <f>IF(AND('Atividades Micro'!$B48=CH$2,'Atividades Micro'!$G48="Micro",'Atividades Micro'!$K48&lt;&gt;""),'Atividades Micro'!$K48,"")</f>
        <v/>
      </c>
      <c r="CI48" s="21" t="str">
        <f>IF(AND('Atividades Micro'!$B48=CI$2,'Atividades Micro'!$G48="Micro",'Atividades Micro'!$K48&lt;&gt;""),'Atividades Micro'!$K48,"")</f>
        <v/>
      </c>
      <c r="CJ48" s="21" t="str">
        <f>IF(AND('Atividades Micro'!$B48=CJ$2,'Atividades Micro'!$G48="Micro",'Atividades Micro'!$K48&lt;&gt;""),'Atividades Micro'!$K48,"")</f>
        <v/>
      </c>
      <c r="CK48" s="21" t="str">
        <f>IF(AND('Atividades Micro'!$B48=CK$2,'Atividades Micro'!$G48="Micro",'Atividades Micro'!$K48&lt;&gt;""),'Atividades Micro'!$K48,"")</f>
        <v/>
      </c>
      <c r="CL48" s="21" t="str">
        <f>IF(AND('Atividades Micro'!$B48=CL$2,'Atividades Micro'!$G48="Micro",'Atividades Micro'!$K48&lt;&gt;""),'Atividades Micro'!$K48,"")</f>
        <v/>
      </c>
      <c r="CM48" s="21" t="str">
        <f>IF(AND('Atividades Micro'!$B48=CM$2,'Atividades Micro'!$G48="Micro",'Atividades Micro'!$K48&lt;&gt;""),'Atividades Micro'!$K48,"")</f>
        <v/>
      </c>
      <c r="CN48" s="21" t="str">
        <f>IF(AND('Atividades Micro'!$B48=CN$2,'Atividades Micro'!$G48="Micro",'Atividades Micro'!$K48&lt;&gt;""),'Atividades Micro'!$K48,"")</f>
        <v/>
      </c>
      <c r="CO48" s="21" t="str">
        <f>IF(AND('Atividades Micro'!$B48=CO$2,'Atividades Micro'!$G48="Micro",'Atividades Micro'!$K48&lt;&gt;""),'Atividades Micro'!$K48,"")</f>
        <v/>
      </c>
    </row>
    <row r="49" spans="1:93">
      <c r="A49" s="21" t="str">
        <f>IF(AND('Atividades Micro'!$A49=A$2,'Atividades Micro'!$K49&lt;&gt;""),'Atividades Micro'!$K49,"")</f>
        <v/>
      </c>
      <c r="B49" s="21" t="str">
        <f>IF(AND('Atividades Micro'!$A49=B$2,'Atividades Micro'!$L49&lt;&gt;""),'Atividades Micro'!$L49,"")</f>
        <v/>
      </c>
      <c r="C49" s="21" t="str">
        <f>IF(AND('Atividades Micro'!$A49=C$2,'Atividades Micro'!$K49&lt;&gt;""),'Atividades Micro'!$K49,"")</f>
        <v/>
      </c>
      <c r="D49" s="21" t="str">
        <f>IF(AND('Atividades Micro'!$A49=D$2,'Atividades Micro'!$L49&lt;&gt;""),'Atividades Micro'!$L49,"")</f>
        <v/>
      </c>
      <c r="E49" s="21" t="str">
        <f>IF(AND('Atividades Micro'!$A49=E$2,'Atividades Micro'!$K49&lt;&gt;""),'Atividades Micro'!$K49,"")</f>
        <v/>
      </c>
      <c r="F49" s="21" t="str">
        <f>IF(AND('Atividades Micro'!$A49=F$2,'Atividades Micro'!$L49&lt;&gt;""),'Atividades Micro'!$L49,"")</f>
        <v/>
      </c>
      <c r="G49" s="21" t="str">
        <f>IF(AND('Atividades Micro'!$A49=G$2,'Atividades Micro'!$K49&lt;&gt;""),'Atividades Micro'!$K49,"")</f>
        <v/>
      </c>
      <c r="H49" s="21" t="str">
        <f>IF(AND('Atividades Micro'!$A49=H$2,'Atividades Micro'!$L49&lt;&gt;""),'Atividades Micro'!$L49,"")</f>
        <v/>
      </c>
      <c r="I49" s="21">
        <f>IF(AND('Atividades Micro'!$A49=I$2,'Atividades Micro'!$K49&lt;&gt;""),'Atividades Micro'!$K49,"")</f>
        <v>46281</v>
      </c>
      <c r="J49" s="21">
        <f>IF(AND('Atividades Micro'!$A49=J$2,'Atividades Micro'!$L49&lt;&gt;""),'Atividades Micro'!$L49,"")</f>
        <v>46262</v>
      </c>
      <c r="K49" s="21" t="str">
        <f>IF(AND('Atividades Micro'!$B49=K$2,'Atividades Micro'!$K49&lt;&gt;""),'Atividades Micro'!$K49,"")</f>
        <v/>
      </c>
      <c r="L49" s="21" t="str">
        <f>IF(AND('Atividades Micro'!$B49=L$2,'Atividades Micro'!$L49&lt;&gt;""),'Atividades Micro'!$L49,"")</f>
        <v/>
      </c>
      <c r="M49" s="21">
        <f>IF(AND('Atividades Micro'!$B49=M$2,'Atividades Micro'!$K49&lt;&gt;""),'Atividades Micro'!$K49,"")</f>
        <v>46281</v>
      </c>
      <c r="N49" s="21">
        <f>IF(AND('Atividades Micro'!$B49=N$2,'Atividades Micro'!$L49&lt;&gt;""),'Atividades Micro'!$L49,"")</f>
        <v>46262</v>
      </c>
      <c r="O49" s="21" t="str">
        <f>IF(AND('Atividades Micro'!$A49=O$2,'Atividades Micro'!$K49&lt;&gt;""),'Atividades Micro'!$K49,"")</f>
        <v/>
      </c>
      <c r="P49" s="21" t="str">
        <f>IF(AND('Atividades Micro'!$A49=P$2,'Atividades Micro'!$L49&lt;&gt;""),'Atividades Micro'!$L49,"")</f>
        <v/>
      </c>
      <c r="Q49" s="21" t="str">
        <f>IF(AND('Atividades Micro'!$B49=Q$2,'Atividades Micro'!$K49&lt;&gt;""),'Atividades Micro'!$K49,"")</f>
        <v/>
      </c>
      <c r="R49" s="21" t="str">
        <f>IF(AND('Atividades Micro'!$B49=R$2,'Atividades Micro'!$L49&lt;&gt;""),'Atividades Micro'!$L49,"")</f>
        <v/>
      </c>
      <c r="S49" s="21" t="str">
        <f>IF(AND('Atividades Micro'!$A49=S$2,'Atividades Micro'!$K49&lt;&gt;""),'Atividades Micro'!$K49,"")</f>
        <v/>
      </c>
      <c r="T49" s="21" t="str">
        <f>IF(AND('Atividades Micro'!$A49=T$2,'Atividades Micro'!$L49&lt;&gt;""),'Atividades Micro'!$L49,"")</f>
        <v/>
      </c>
      <c r="U49" s="21" t="str">
        <f>IF(AND('Atividades Micro'!$B49=U$2,'Atividades Micro'!$K49&lt;&gt;""),'Atividades Micro'!$K49,"")</f>
        <v/>
      </c>
      <c r="V49" s="21" t="str">
        <f>IF(AND('Atividades Micro'!$B49=V$2,'Atividades Micro'!$L49&lt;&gt;""),'Atividades Micro'!$L49,"")</f>
        <v/>
      </c>
      <c r="W49" s="21" t="str">
        <f>IF(AND('Atividades Micro'!$B49=W$2,'Atividades Micro'!$K49&lt;&gt;""),'Atividades Micro'!$K49,"")</f>
        <v/>
      </c>
      <c r="X49" s="21" t="str">
        <f>IF(AND('Atividades Micro'!$B49=X$2,'Atividades Micro'!$L49&lt;&gt;""),'Atividades Micro'!$L49,"")</f>
        <v/>
      </c>
      <c r="Y49" s="21" t="str">
        <f>IF(AND('Atividades Micro'!$A49=Y$2,'Atividades Micro'!$K49&lt;&gt;""),'Atividades Micro'!$K49,"")</f>
        <v/>
      </c>
      <c r="Z49" s="21" t="str">
        <f>IF(AND('Atividades Micro'!$A49=Z$2,'Atividades Micro'!$L49&lt;&gt;""),'Atividades Micro'!$L49,"")</f>
        <v/>
      </c>
      <c r="AA49" s="21" t="str">
        <f>IF(AND('Atividades Micro'!$B49=AA$2,'Atividades Micro'!$K49&lt;&gt;""),'Atividades Micro'!$K49,"")</f>
        <v/>
      </c>
      <c r="AB49" s="21" t="str">
        <f>IF(AND('Atividades Micro'!$B49=AB$2,'Atividades Micro'!$L49&lt;&gt;""),'Atividades Micro'!$L49,"")</f>
        <v/>
      </c>
      <c r="AC49" s="21" t="str">
        <f>IF(AND('Atividades Micro'!$B49=AC$2,'Atividades Micro'!$K49&lt;&gt;""),'Atividades Micro'!$K49,"")</f>
        <v/>
      </c>
      <c r="AD49" s="21" t="str">
        <f>IF(AND('Atividades Micro'!$B49=AD$2,'Atividades Micro'!$L49&lt;&gt;""),'Atividades Micro'!$L49,"")</f>
        <v/>
      </c>
      <c r="AE49" s="21" t="str">
        <f>IF(AND('Atividades Micro'!$A49=AE$2,'Atividades Micro'!$K49&lt;&gt;""),'Atividades Micro'!$K49,"")</f>
        <v/>
      </c>
      <c r="AF49" s="21" t="str">
        <f>IF(AND('Atividades Micro'!$A49=AF$2,'Atividades Micro'!$L49&lt;&gt;""),'Atividades Micro'!$L49,"")</f>
        <v/>
      </c>
      <c r="AG49" s="21" t="str">
        <f>IF(AND('Atividades Micro'!$B49=AG$2,'Atividades Micro'!$K49&lt;&gt;""),'Atividades Micro'!$K49,"")</f>
        <v/>
      </c>
      <c r="AH49" s="21" t="str">
        <f>IF(AND('Atividades Micro'!$B49=AH$2,'Atividades Micro'!$L49&lt;&gt;""),'Atividades Micro'!$L49,"")</f>
        <v/>
      </c>
      <c r="AI49" s="21" t="str">
        <f>IF(AND('Atividades Micro'!$B49=AI$2,'Atividades Micro'!$K49&lt;&gt;""),'Atividades Micro'!$K49,"")</f>
        <v/>
      </c>
      <c r="AJ49" s="21" t="str">
        <f>IF(AND('Atividades Micro'!$B49=AJ$2,'Atividades Micro'!$L49&lt;&gt;""),'Atividades Micro'!$L49,"")</f>
        <v/>
      </c>
      <c r="AK49" s="21" t="str">
        <f>IF(AND('Atividades Micro'!$A49=AK$2,'Atividades Micro'!$K49&lt;&gt;""),'Atividades Micro'!$K49,"")</f>
        <v/>
      </c>
      <c r="AL49" s="21" t="str">
        <f>IF(AND('Atividades Micro'!$A49=AL$2,'Atividades Micro'!$L49&lt;&gt;""),'Atividades Micro'!$L49,"")</f>
        <v/>
      </c>
      <c r="AM49" s="21" t="str">
        <f>IF(AND('Atividades Micro'!$B49=AM$2,'Atividades Micro'!$K49&lt;&gt;""),'Atividades Micro'!$K49,"")</f>
        <v/>
      </c>
      <c r="AN49" s="21" t="str">
        <f>IF(AND('Atividades Micro'!$B49=AN$2,'Atividades Micro'!$L49&lt;&gt;""),'Atividades Micro'!$L49,"")</f>
        <v/>
      </c>
      <c r="AO49" s="21" t="str">
        <f>IF(AND('Atividades Micro'!$B49=AO$2,'Atividades Micro'!$K49&lt;&gt;""),'Atividades Micro'!$K49,"")</f>
        <v/>
      </c>
      <c r="AP49" s="21" t="str">
        <f>IF(AND('Atividades Micro'!$B49=AP$2,'Atividades Micro'!$L49&lt;&gt;""),'Atividades Micro'!$L49,"")</f>
        <v/>
      </c>
      <c r="AQ49" s="21" t="str">
        <f>IF(AND('Atividades Micro'!$A49=AQ$2,'Atividades Micro'!$K49&lt;&gt;""),'Atividades Micro'!$K49,"")</f>
        <v/>
      </c>
      <c r="AR49" s="21" t="str">
        <f>IF(AND('Atividades Micro'!$A49=AR$2,'Atividades Micro'!$L49&lt;&gt;""),'Atividades Micro'!$L49,"")</f>
        <v/>
      </c>
      <c r="AS49" s="21" t="str">
        <f>IF(AND('Atividades Micro'!$B49=AS$2,'Atividades Micro'!$K49&lt;&gt;""),'Atividades Micro'!$K49,"")</f>
        <v/>
      </c>
      <c r="AT49" s="21" t="str">
        <f>IF(AND('Atividades Micro'!$B49=AT$2,'Atividades Micro'!$L49&lt;&gt;""),'Atividades Micro'!$L49,"")</f>
        <v/>
      </c>
      <c r="AU49" s="21" t="str">
        <f>IF(AND('Atividades Micro'!$A49=AU$2,'Atividades Micro'!$K49&lt;&gt;""),'Atividades Micro'!$K49,"")</f>
        <v/>
      </c>
      <c r="AV49" s="21" t="str">
        <f>IF(AND('Atividades Micro'!$A49=AV$2,'Atividades Micro'!$L49&lt;&gt;""),'Atividades Micro'!$L49,"")</f>
        <v/>
      </c>
      <c r="AW49" s="21" t="str">
        <f>IF(AND('Atividades Micro'!$B49=AW$2,'Atividades Micro'!$K49&lt;&gt;""),'Atividades Micro'!$K49,"")</f>
        <v/>
      </c>
      <c r="AX49" s="21" t="str">
        <f>IF(AND('Atividades Micro'!$B49=AX$2,'Atividades Micro'!$L49&lt;&gt;""),'Atividades Micro'!$L49,"")</f>
        <v/>
      </c>
      <c r="AY49" s="21" t="str">
        <f>IF(AND('Atividades Micro'!$A49=AY$2,'Atividades Micro'!$K49&lt;&gt;""),'Atividades Micro'!$K49,"")</f>
        <v/>
      </c>
      <c r="AZ49" s="21" t="str">
        <f>IF(AND('Atividades Micro'!$A49=AZ$2,'Atividades Micro'!$L49&lt;&gt;""),'Atividades Micro'!$L49,"")</f>
        <v/>
      </c>
      <c r="BA49" s="21" t="str">
        <f>IF(AND('Atividades Micro'!$B49=BA$2,'Atividades Micro'!$K49&lt;&gt;""),'Atividades Micro'!$K49,"")</f>
        <v/>
      </c>
      <c r="BB49" s="21" t="str">
        <f>IF(AND('Atividades Micro'!$B49=BB$2,'Atividades Micro'!$L49&lt;&gt;""),'Atividades Micro'!$L49,"")</f>
        <v/>
      </c>
      <c r="BC49" s="21" t="str">
        <f>IF(AND('Atividades Micro'!$B49=BC$2,'Atividades Micro'!$G49="Macro",'Atividades Micro'!$K49&lt;&gt;""),'Atividades Micro'!$K49,"")</f>
        <v/>
      </c>
      <c r="BD49" s="21" t="str">
        <f>IF(AND('Atividades Micro'!$B49=BD$2,'Atividades Micro'!$G49="Macro",'Atividades Micro'!$K49&lt;&gt;""),'Atividades Micro'!$K49,"")</f>
        <v/>
      </c>
      <c r="BE49" s="21" t="str">
        <f>IF(AND('Atividades Micro'!$B49=BE$2,'Atividades Micro'!$G49="Macro",'Atividades Micro'!$K49&lt;&gt;""),'Atividades Micro'!$K49,"")</f>
        <v/>
      </c>
      <c r="BF49" s="21" t="str">
        <f>IF(AND('Atividades Micro'!$B49=BF$2,'Atividades Micro'!$G49="Macro",'Atividades Micro'!$K49&lt;&gt;""),'Atividades Micro'!$K49,"")</f>
        <v/>
      </c>
      <c r="BG49" s="21" t="str">
        <f>IF(AND('Atividades Micro'!$B49=BG$2,'Atividades Micro'!$G49="Macro",'Atividades Micro'!$K49&lt;&gt;""),'Atividades Micro'!$K49,"")</f>
        <v/>
      </c>
      <c r="BH49" s="21" t="str">
        <f>IF(AND('Atividades Micro'!$B49=BH$2,'Atividades Micro'!$G49="Macro",'Atividades Micro'!$K49&lt;&gt;""),'Atividades Micro'!$K49,"")</f>
        <v/>
      </c>
      <c r="BI49" s="21" t="str">
        <f>IF(AND('Atividades Micro'!$B49=BI$2,'Atividades Micro'!$G49="Macro",'Atividades Micro'!$K49&lt;&gt;""),'Atividades Micro'!$K49,"")</f>
        <v/>
      </c>
      <c r="BJ49" s="21" t="str">
        <f>IF(AND('Atividades Micro'!$B49=BJ$2,'Atividades Micro'!$G49="Macro",'Atividades Micro'!$K49&lt;&gt;""),'Atividades Micro'!$K49,"")</f>
        <v/>
      </c>
      <c r="BK49" s="21" t="str">
        <f>IF(AND('Atividades Micro'!$B49=BK$2,'Atividades Micro'!$G49="Macro",'Atividades Micro'!$K49&lt;&gt;""),'Atividades Micro'!$K49,"")</f>
        <v/>
      </c>
      <c r="BL49" s="21" t="str">
        <f>IF(AND('Atividades Micro'!$B49=BL$2,'Atividades Micro'!$G49="Macro",'Atividades Micro'!$K49&lt;&gt;""),'Atividades Micro'!$K49,"")</f>
        <v/>
      </c>
      <c r="BM49" s="21" t="str">
        <f>IF(AND('Atividades Micro'!$B49=BM$2,'Atividades Micro'!$G49="Macro",'Atividades Micro'!$K49&lt;&gt;""),'Atividades Micro'!$K49,"")</f>
        <v/>
      </c>
      <c r="BN49" s="21" t="str">
        <f>IF(AND('Atividades Micro'!$B49=BN$2,'Atividades Micro'!$G49="Macro",'Atividades Micro'!$K49&lt;&gt;""),'Atividades Micro'!$K49,"")</f>
        <v/>
      </c>
      <c r="BO49" s="21" t="str">
        <f>IF(AND('Atividades Micro'!$B49=BO$2,'Atividades Micro'!$G49="Macro",'Atividades Micro'!$K49&lt;&gt;""),'Atividades Micro'!$K49,"")</f>
        <v/>
      </c>
      <c r="BP49" s="21" t="str">
        <f>IF(AND('Atividades Micro'!$B49=BP$2,'Atividades Micro'!$G49="Macro",'Atividades Micro'!$K49&lt;&gt;""),'Atividades Micro'!$K49,"")</f>
        <v/>
      </c>
      <c r="BQ49" s="21" t="str">
        <f>IF(AND('Atividades Micro'!$B49=BQ$2,'Atividades Micro'!$G49="Macro",'Atividades Micro'!$K49&lt;&gt;""),'Atividades Micro'!$K49,"")</f>
        <v/>
      </c>
      <c r="BR49" s="21" t="str">
        <f>IF(AND('Atividades Micro'!$B49=BR$2,'Atividades Micro'!$G49="Macro",'Atividades Micro'!$K49&lt;&gt;""),'Atividades Micro'!$K49,"")</f>
        <v/>
      </c>
      <c r="BS49" s="21" t="str">
        <f>IF(AND('Atividades Micro'!$B49=BS$2,'Atividades Micro'!$G49="Macro",'Atividades Micro'!$K49&lt;&gt;""),'Atividades Micro'!$K49,"")</f>
        <v/>
      </c>
      <c r="BT49" s="21" t="str">
        <f>IF(AND('Atividades Micro'!$B49=BT$2,'Atividades Micro'!$G49="Macro",'Atividades Micro'!$K49&lt;&gt;""),'Atividades Micro'!$K49,"")</f>
        <v/>
      </c>
      <c r="BU49" s="21" t="str">
        <f>IF(AND('Atividades Micro'!$B49=BU$2,'Atividades Micro'!$G49="Macro",'Atividades Micro'!$K49&lt;&gt;""),'Atividades Micro'!$K49,"")</f>
        <v/>
      </c>
      <c r="BV49" s="21" t="str">
        <f>IF(AND('Atividades Micro'!$B49=BV$2,'Atividades Micro'!$G49="Macro",'Atividades Micro'!$K49&lt;&gt;""),'Atividades Micro'!$K49,"")</f>
        <v/>
      </c>
      <c r="BW49" s="21" t="str">
        <f>IF(AND('Atividades Micro'!$B49=BW$2,'Atividades Micro'!$G49="Macro",'Atividades Micro'!$K49&lt;&gt;""),'Atividades Micro'!$K49,"")</f>
        <v/>
      </c>
      <c r="BX49" s="21" t="str">
        <f>IF(AND('Atividades Micro'!$B49=BX$2,'Atividades Micro'!$G49="Macro",'Atividades Micro'!$K49&lt;&gt;""),'Atividades Micro'!$K49,"")</f>
        <v/>
      </c>
      <c r="BY49" s="21" t="str">
        <f>IF(AND('Atividades Micro'!$B49=BY$2,'Atividades Micro'!$G49="Macro",'Atividades Micro'!$K49&lt;&gt;""),'Atividades Micro'!$K49,"")</f>
        <v/>
      </c>
      <c r="BZ49" s="21" t="str">
        <f>IF(AND('Atividades Micro'!$B49=BZ$2,'Atividades Micro'!$G49="Macro",'Atividades Micro'!$K49&lt;&gt;""),'Atividades Micro'!$K49,"")</f>
        <v/>
      </c>
      <c r="CA49" s="21" t="str">
        <f>IF(AND('Atividades Micro'!$B49=CA$2,'Atividades Micro'!$G49="Macro",'Atividades Micro'!$K49&lt;&gt;""),'Atividades Micro'!$K49,"")</f>
        <v/>
      </c>
      <c r="CB49" s="21" t="str">
        <f>IF(AND('Atividades Micro'!$B49=CB$2,'Atividades Micro'!$G49="Macro",'Atividades Micro'!$K49&lt;&gt;""),'Atividades Micro'!$K49,"")</f>
        <v/>
      </c>
      <c r="CC49" s="21" t="str">
        <f>IF(AND('Atividades Micro'!$B49=CC$2,'Atividades Micro'!$G49="Macro",'Atividades Micro'!$K49&lt;&gt;""),'Atividades Micro'!$K49,"")</f>
        <v/>
      </c>
      <c r="CD49" s="21" t="str">
        <f>IF(AND('Atividades Micro'!$B49=CD$2,'Atividades Micro'!$G49="Micro",'Atividades Micro'!$K49&lt;&gt;""),'Atividades Micro'!$K49,"")</f>
        <v/>
      </c>
      <c r="CE49" s="21">
        <f>IF(AND('Atividades Micro'!$B49=CE$2,'Atividades Micro'!$G49="Micro",'Atividades Micro'!$K49&lt;&gt;""),'Atividades Micro'!$K49,"")</f>
        <v>46281</v>
      </c>
      <c r="CF49" s="21" t="str">
        <f>IF(AND('Atividades Micro'!$B49=CF$2,'Atividades Micro'!$G49="Micro",'Atividades Micro'!$K49&lt;&gt;""),'Atividades Micro'!$K49,"")</f>
        <v/>
      </c>
      <c r="CG49" s="21" t="str">
        <f>IF(AND('Atividades Micro'!$B49=CG$2,'Atividades Micro'!$G49="Micro",'Atividades Micro'!$K49&lt;&gt;""),'Atividades Micro'!$K49,"")</f>
        <v/>
      </c>
      <c r="CH49" s="21" t="str">
        <f>IF(AND('Atividades Micro'!$B49=CH$2,'Atividades Micro'!$G49="Micro",'Atividades Micro'!$K49&lt;&gt;""),'Atividades Micro'!$K49,"")</f>
        <v/>
      </c>
      <c r="CI49" s="21" t="str">
        <f>IF(AND('Atividades Micro'!$B49=CI$2,'Atividades Micro'!$G49="Micro",'Atividades Micro'!$K49&lt;&gt;""),'Atividades Micro'!$K49,"")</f>
        <v/>
      </c>
      <c r="CJ49" s="21" t="str">
        <f>IF(AND('Atividades Micro'!$B49=CJ$2,'Atividades Micro'!$G49="Micro",'Atividades Micro'!$K49&lt;&gt;""),'Atividades Micro'!$K49,"")</f>
        <v/>
      </c>
      <c r="CK49" s="21" t="str">
        <f>IF(AND('Atividades Micro'!$B49=CK$2,'Atividades Micro'!$G49="Micro",'Atividades Micro'!$K49&lt;&gt;""),'Atividades Micro'!$K49,"")</f>
        <v/>
      </c>
      <c r="CL49" s="21" t="str">
        <f>IF(AND('Atividades Micro'!$B49=CL$2,'Atividades Micro'!$G49="Micro",'Atividades Micro'!$K49&lt;&gt;""),'Atividades Micro'!$K49,"")</f>
        <v/>
      </c>
      <c r="CM49" s="21" t="str">
        <f>IF(AND('Atividades Micro'!$B49=CM$2,'Atividades Micro'!$G49="Micro",'Atividades Micro'!$K49&lt;&gt;""),'Atividades Micro'!$K49,"")</f>
        <v/>
      </c>
      <c r="CN49" s="21" t="str">
        <f>IF(AND('Atividades Micro'!$B49=CN$2,'Atividades Micro'!$G49="Micro",'Atividades Micro'!$K49&lt;&gt;""),'Atividades Micro'!$K49,"")</f>
        <v/>
      </c>
      <c r="CO49" s="21" t="str">
        <f>IF(AND('Atividades Micro'!$B49=CO$2,'Atividades Micro'!$G49="Micro",'Atividades Micro'!$K49&lt;&gt;""),'Atividades Micro'!$K49,"")</f>
        <v/>
      </c>
    </row>
    <row r="50" spans="1:93">
      <c r="A50" s="21" t="str">
        <f>IF(AND('Atividades Micro'!$A50=A$2,'Atividades Micro'!$K50&lt;&gt;""),'Atividades Micro'!$K50,"")</f>
        <v/>
      </c>
      <c r="B50" s="21" t="str">
        <f>IF(AND('Atividades Micro'!$A50=B$2,'Atividades Micro'!$L50&lt;&gt;""),'Atividades Micro'!$L50,"")</f>
        <v/>
      </c>
      <c r="C50" s="21" t="str">
        <f>IF(AND('Atividades Micro'!$A50=C$2,'Atividades Micro'!$K50&lt;&gt;""),'Atividades Micro'!$K50,"")</f>
        <v/>
      </c>
      <c r="D50" s="21" t="str">
        <f>IF(AND('Atividades Micro'!$A50=D$2,'Atividades Micro'!$L50&lt;&gt;""),'Atividades Micro'!$L50,"")</f>
        <v/>
      </c>
      <c r="E50" s="21" t="str">
        <f>IF(AND('Atividades Micro'!$A50=E$2,'Atividades Micro'!$K50&lt;&gt;""),'Atividades Micro'!$K50,"")</f>
        <v/>
      </c>
      <c r="F50" s="21" t="str">
        <f>IF(AND('Atividades Micro'!$A50=F$2,'Atividades Micro'!$L50&lt;&gt;""),'Atividades Micro'!$L50,"")</f>
        <v/>
      </c>
      <c r="G50" s="21" t="str">
        <f>IF(AND('Atividades Micro'!$A50=G$2,'Atividades Micro'!$K50&lt;&gt;""),'Atividades Micro'!$K50,"")</f>
        <v/>
      </c>
      <c r="H50" s="21" t="str">
        <f>IF(AND('Atividades Micro'!$A50=H$2,'Atividades Micro'!$L50&lt;&gt;""),'Atividades Micro'!$L50,"")</f>
        <v/>
      </c>
      <c r="I50" s="21">
        <f>IF(AND('Atividades Micro'!$A50=I$2,'Atividades Micro'!$K50&lt;&gt;""),'Atividades Micro'!$K50,"")</f>
        <v>46283</v>
      </c>
      <c r="J50" s="21">
        <f>IF(AND('Atividades Micro'!$A50=J$2,'Atividades Micro'!$L50&lt;&gt;""),'Atividades Micro'!$L50,"")</f>
        <v>46261</v>
      </c>
      <c r="K50" s="21" t="str">
        <f>IF(AND('Atividades Micro'!$B50=K$2,'Atividades Micro'!$K50&lt;&gt;""),'Atividades Micro'!$K50,"")</f>
        <v/>
      </c>
      <c r="L50" s="21" t="str">
        <f>IF(AND('Atividades Micro'!$B50=L$2,'Atividades Micro'!$L50&lt;&gt;""),'Atividades Micro'!$L50,"")</f>
        <v/>
      </c>
      <c r="M50" s="21">
        <f>IF(AND('Atividades Micro'!$B50=M$2,'Atividades Micro'!$K50&lt;&gt;""),'Atividades Micro'!$K50,"")</f>
        <v>46283</v>
      </c>
      <c r="N50" s="21">
        <f>IF(AND('Atividades Micro'!$B50=N$2,'Atividades Micro'!$L50&lt;&gt;""),'Atividades Micro'!$L50,"")</f>
        <v>46261</v>
      </c>
      <c r="O50" s="21" t="str">
        <f>IF(AND('Atividades Micro'!$A50=O$2,'Atividades Micro'!$K50&lt;&gt;""),'Atividades Micro'!$K50,"")</f>
        <v/>
      </c>
      <c r="P50" s="21" t="str">
        <f>IF(AND('Atividades Micro'!$A50=P$2,'Atividades Micro'!$L50&lt;&gt;""),'Atividades Micro'!$L50,"")</f>
        <v/>
      </c>
      <c r="Q50" s="21" t="str">
        <f>IF(AND('Atividades Micro'!$B50=Q$2,'Atividades Micro'!$K50&lt;&gt;""),'Atividades Micro'!$K50,"")</f>
        <v/>
      </c>
      <c r="R50" s="21" t="str">
        <f>IF(AND('Atividades Micro'!$B50=R$2,'Atividades Micro'!$L50&lt;&gt;""),'Atividades Micro'!$L50,"")</f>
        <v/>
      </c>
      <c r="S50" s="21" t="str">
        <f>IF(AND('Atividades Micro'!$A50=S$2,'Atividades Micro'!$K50&lt;&gt;""),'Atividades Micro'!$K50,"")</f>
        <v/>
      </c>
      <c r="T50" s="21" t="str">
        <f>IF(AND('Atividades Micro'!$A50=T$2,'Atividades Micro'!$L50&lt;&gt;""),'Atividades Micro'!$L50,"")</f>
        <v/>
      </c>
      <c r="U50" s="21" t="str">
        <f>IF(AND('Atividades Micro'!$B50=U$2,'Atividades Micro'!$K50&lt;&gt;""),'Atividades Micro'!$K50,"")</f>
        <v/>
      </c>
      <c r="V50" s="21" t="str">
        <f>IF(AND('Atividades Micro'!$B50=V$2,'Atividades Micro'!$L50&lt;&gt;""),'Atividades Micro'!$L50,"")</f>
        <v/>
      </c>
      <c r="W50" s="21" t="str">
        <f>IF(AND('Atividades Micro'!$B50=W$2,'Atividades Micro'!$K50&lt;&gt;""),'Atividades Micro'!$K50,"")</f>
        <v/>
      </c>
      <c r="X50" s="21" t="str">
        <f>IF(AND('Atividades Micro'!$B50=X$2,'Atividades Micro'!$L50&lt;&gt;""),'Atividades Micro'!$L50,"")</f>
        <v/>
      </c>
      <c r="Y50" s="21" t="str">
        <f>IF(AND('Atividades Micro'!$A50=Y$2,'Atividades Micro'!$K50&lt;&gt;""),'Atividades Micro'!$K50,"")</f>
        <v/>
      </c>
      <c r="Z50" s="21" t="str">
        <f>IF(AND('Atividades Micro'!$A50=Z$2,'Atividades Micro'!$L50&lt;&gt;""),'Atividades Micro'!$L50,"")</f>
        <v/>
      </c>
      <c r="AA50" s="21" t="str">
        <f>IF(AND('Atividades Micro'!$B50=AA$2,'Atividades Micro'!$K50&lt;&gt;""),'Atividades Micro'!$K50,"")</f>
        <v/>
      </c>
      <c r="AB50" s="21" t="str">
        <f>IF(AND('Atividades Micro'!$B50=AB$2,'Atividades Micro'!$L50&lt;&gt;""),'Atividades Micro'!$L50,"")</f>
        <v/>
      </c>
      <c r="AC50" s="21" t="str">
        <f>IF(AND('Atividades Micro'!$B50=AC$2,'Atividades Micro'!$K50&lt;&gt;""),'Atividades Micro'!$K50,"")</f>
        <v/>
      </c>
      <c r="AD50" s="21" t="str">
        <f>IF(AND('Atividades Micro'!$B50=AD$2,'Atividades Micro'!$L50&lt;&gt;""),'Atividades Micro'!$L50,"")</f>
        <v/>
      </c>
      <c r="AE50" s="21" t="str">
        <f>IF(AND('Atividades Micro'!$A50=AE$2,'Atividades Micro'!$K50&lt;&gt;""),'Atividades Micro'!$K50,"")</f>
        <v/>
      </c>
      <c r="AF50" s="21" t="str">
        <f>IF(AND('Atividades Micro'!$A50=AF$2,'Atividades Micro'!$L50&lt;&gt;""),'Atividades Micro'!$L50,"")</f>
        <v/>
      </c>
      <c r="AG50" s="21" t="str">
        <f>IF(AND('Atividades Micro'!$B50=AG$2,'Atividades Micro'!$K50&lt;&gt;""),'Atividades Micro'!$K50,"")</f>
        <v/>
      </c>
      <c r="AH50" s="21" t="str">
        <f>IF(AND('Atividades Micro'!$B50=AH$2,'Atividades Micro'!$L50&lt;&gt;""),'Atividades Micro'!$L50,"")</f>
        <v/>
      </c>
      <c r="AI50" s="21" t="str">
        <f>IF(AND('Atividades Micro'!$B50=AI$2,'Atividades Micro'!$K50&lt;&gt;""),'Atividades Micro'!$K50,"")</f>
        <v/>
      </c>
      <c r="AJ50" s="21" t="str">
        <f>IF(AND('Atividades Micro'!$B50=AJ$2,'Atividades Micro'!$L50&lt;&gt;""),'Atividades Micro'!$L50,"")</f>
        <v/>
      </c>
      <c r="AK50" s="21" t="str">
        <f>IF(AND('Atividades Micro'!$A50=AK$2,'Atividades Micro'!$K50&lt;&gt;""),'Atividades Micro'!$K50,"")</f>
        <v/>
      </c>
      <c r="AL50" s="21" t="str">
        <f>IF(AND('Atividades Micro'!$A50=AL$2,'Atividades Micro'!$L50&lt;&gt;""),'Atividades Micro'!$L50,"")</f>
        <v/>
      </c>
      <c r="AM50" s="21" t="str">
        <f>IF(AND('Atividades Micro'!$B50=AM$2,'Atividades Micro'!$K50&lt;&gt;""),'Atividades Micro'!$K50,"")</f>
        <v/>
      </c>
      <c r="AN50" s="21" t="str">
        <f>IF(AND('Atividades Micro'!$B50=AN$2,'Atividades Micro'!$L50&lt;&gt;""),'Atividades Micro'!$L50,"")</f>
        <v/>
      </c>
      <c r="AO50" s="21" t="str">
        <f>IF(AND('Atividades Micro'!$B50=AO$2,'Atividades Micro'!$K50&lt;&gt;""),'Atividades Micro'!$K50,"")</f>
        <v/>
      </c>
      <c r="AP50" s="21" t="str">
        <f>IF(AND('Atividades Micro'!$B50=AP$2,'Atividades Micro'!$L50&lt;&gt;""),'Atividades Micro'!$L50,"")</f>
        <v/>
      </c>
      <c r="AQ50" s="21" t="str">
        <f>IF(AND('Atividades Micro'!$A50=AQ$2,'Atividades Micro'!$K50&lt;&gt;""),'Atividades Micro'!$K50,"")</f>
        <v/>
      </c>
      <c r="AR50" s="21" t="str">
        <f>IF(AND('Atividades Micro'!$A50=AR$2,'Atividades Micro'!$L50&lt;&gt;""),'Atividades Micro'!$L50,"")</f>
        <v/>
      </c>
      <c r="AS50" s="21" t="str">
        <f>IF(AND('Atividades Micro'!$B50=AS$2,'Atividades Micro'!$K50&lt;&gt;""),'Atividades Micro'!$K50,"")</f>
        <v/>
      </c>
      <c r="AT50" s="21" t="str">
        <f>IF(AND('Atividades Micro'!$B50=AT$2,'Atividades Micro'!$L50&lt;&gt;""),'Atividades Micro'!$L50,"")</f>
        <v/>
      </c>
      <c r="AU50" s="21" t="str">
        <f>IF(AND('Atividades Micro'!$A50=AU$2,'Atividades Micro'!$K50&lt;&gt;""),'Atividades Micro'!$K50,"")</f>
        <v/>
      </c>
      <c r="AV50" s="21" t="str">
        <f>IF(AND('Atividades Micro'!$A50=AV$2,'Atividades Micro'!$L50&lt;&gt;""),'Atividades Micro'!$L50,"")</f>
        <v/>
      </c>
      <c r="AW50" s="21" t="str">
        <f>IF(AND('Atividades Micro'!$B50=AW$2,'Atividades Micro'!$K50&lt;&gt;""),'Atividades Micro'!$K50,"")</f>
        <v/>
      </c>
      <c r="AX50" s="21" t="str">
        <f>IF(AND('Atividades Micro'!$B50=AX$2,'Atividades Micro'!$L50&lt;&gt;""),'Atividades Micro'!$L50,"")</f>
        <v/>
      </c>
      <c r="AY50" s="21" t="str">
        <f>IF(AND('Atividades Micro'!$A50=AY$2,'Atividades Micro'!$K50&lt;&gt;""),'Atividades Micro'!$K50,"")</f>
        <v/>
      </c>
      <c r="AZ50" s="21" t="str">
        <f>IF(AND('Atividades Micro'!$A50=AZ$2,'Atividades Micro'!$L50&lt;&gt;""),'Atividades Micro'!$L50,"")</f>
        <v/>
      </c>
      <c r="BA50" s="21" t="str">
        <f>IF(AND('Atividades Micro'!$B50=BA$2,'Atividades Micro'!$K50&lt;&gt;""),'Atividades Micro'!$K50,"")</f>
        <v/>
      </c>
      <c r="BB50" s="21" t="str">
        <f>IF(AND('Atividades Micro'!$B50=BB$2,'Atividades Micro'!$L50&lt;&gt;""),'Atividades Micro'!$L50,"")</f>
        <v/>
      </c>
      <c r="BC50" s="21" t="str">
        <f>IF(AND('Atividades Micro'!$B50=BC$2,'Atividades Micro'!$G50="Macro",'Atividades Micro'!$K50&lt;&gt;""),'Atividades Micro'!$K50,"")</f>
        <v/>
      </c>
      <c r="BD50" s="21" t="str">
        <f>IF(AND('Atividades Micro'!$B50=BD$2,'Atividades Micro'!$G50="Macro",'Atividades Micro'!$K50&lt;&gt;""),'Atividades Micro'!$K50,"")</f>
        <v/>
      </c>
      <c r="BE50" s="21" t="str">
        <f>IF(AND('Atividades Micro'!$B50=BE$2,'Atividades Micro'!$G50="Macro",'Atividades Micro'!$K50&lt;&gt;""),'Atividades Micro'!$K50,"")</f>
        <v/>
      </c>
      <c r="BF50" s="21" t="str">
        <f>IF(AND('Atividades Micro'!$B50=BF$2,'Atividades Micro'!$G50="Macro",'Atividades Micro'!$K50&lt;&gt;""),'Atividades Micro'!$K50,"")</f>
        <v/>
      </c>
      <c r="BG50" s="21" t="str">
        <f>IF(AND('Atividades Micro'!$B50=BG$2,'Atividades Micro'!$G50="Macro",'Atividades Micro'!$K50&lt;&gt;""),'Atividades Micro'!$K50,"")</f>
        <v/>
      </c>
      <c r="BH50" s="21" t="str">
        <f>IF(AND('Atividades Micro'!$B50=BH$2,'Atividades Micro'!$G50="Macro",'Atividades Micro'!$K50&lt;&gt;""),'Atividades Micro'!$K50,"")</f>
        <v/>
      </c>
      <c r="BI50" s="21" t="str">
        <f>IF(AND('Atividades Micro'!$B50=BI$2,'Atividades Micro'!$G50="Macro",'Atividades Micro'!$K50&lt;&gt;""),'Atividades Micro'!$K50,"")</f>
        <v/>
      </c>
      <c r="BJ50" s="21" t="str">
        <f>IF(AND('Atividades Micro'!$B50=BJ$2,'Atividades Micro'!$G50="Macro",'Atividades Micro'!$K50&lt;&gt;""),'Atividades Micro'!$K50,"")</f>
        <v/>
      </c>
      <c r="BK50" s="21" t="str">
        <f>IF(AND('Atividades Micro'!$B50=BK$2,'Atividades Micro'!$G50="Macro",'Atividades Micro'!$K50&lt;&gt;""),'Atividades Micro'!$K50,"")</f>
        <v/>
      </c>
      <c r="BL50" s="21" t="str">
        <f>IF(AND('Atividades Micro'!$B50=BL$2,'Atividades Micro'!$G50="Macro",'Atividades Micro'!$K50&lt;&gt;""),'Atividades Micro'!$K50,"")</f>
        <v/>
      </c>
      <c r="BM50" s="21" t="str">
        <f>IF(AND('Atividades Micro'!$B50=BM$2,'Atividades Micro'!$G50="Macro",'Atividades Micro'!$K50&lt;&gt;""),'Atividades Micro'!$K50,"")</f>
        <v/>
      </c>
      <c r="BN50" s="21" t="str">
        <f>IF(AND('Atividades Micro'!$B50=BN$2,'Atividades Micro'!$G50="Macro",'Atividades Micro'!$K50&lt;&gt;""),'Atividades Micro'!$K50,"")</f>
        <v/>
      </c>
      <c r="BO50" s="21" t="str">
        <f>IF(AND('Atividades Micro'!$B50=BO$2,'Atividades Micro'!$G50="Macro",'Atividades Micro'!$K50&lt;&gt;""),'Atividades Micro'!$K50,"")</f>
        <v/>
      </c>
      <c r="BP50" s="21" t="str">
        <f>IF(AND('Atividades Micro'!$B50=BP$2,'Atividades Micro'!$G50="Macro",'Atividades Micro'!$K50&lt;&gt;""),'Atividades Micro'!$K50,"")</f>
        <v/>
      </c>
      <c r="BQ50" s="21" t="str">
        <f>IF(AND('Atividades Micro'!$B50=BQ$2,'Atividades Micro'!$G50="Macro",'Atividades Micro'!$K50&lt;&gt;""),'Atividades Micro'!$K50,"")</f>
        <v/>
      </c>
      <c r="BR50" s="21" t="str">
        <f>IF(AND('Atividades Micro'!$B50=BR$2,'Atividades Micro'!$G50="Macro",'Atividades Micro'!$K50&lt;&gt;""),'Atividades Micro'!$K50,"")</f>
        <v/>
      </c>
      <c r="BS50" s="21" t="str">
        <f>IF(AND('Atividades Micro'!$B50=BS$2,'Atividades Micro'!$G50="Macro",'Atividades Micro'!$K50&lt;&gt;""),'Atividades Micro'!$K50,"")</f>
        <v/>
      </c>
      <c r="BT50" s="21" t="str">
        <f>IF(AND('Atividades Micro'!$B50=BT$2,'Atividades Micro'!$G50="Macro",'Atividades Micro'!$K50&lt;&gt;""),'Atividades Micro'!$K50,"")</f>
        <v/>
      </c>
      <c r="BU50" s="21" t="str">
        <f>IF(AND('Atividades Micro'!$B50=BU$2,'Atividades Micro'!$G50="Macro",'Atividades Micro'!$K50&lt;&gt;""),'Atividades Micro'!$K50,"")</f>
        <v/>
      </c>
      <c r="BV50" s="21" t="str">
        <f>IF(AND('Atividades Micro'!$B50=BV$2,'Atividades Micro'!$G50="Macro",'Atividades Micro'!$K50&lt;&gt;""),'Atividades Micro'!$K50,"")</f>
        <v/>
      </c>
      <c r="BW50" s="21" t="str">
        <f>IF(AND('Atividades Micro'!$B50=BW$2,'Atividades Micro'!$G50="Macro",'Atividades Micro'!$K50&lt;&gt;""),'Atividades Micro'!$K50,"")</f>
        <v/>
      </c>
      <c r="BX50" s="21" t="str">
        <f>IF(AND('Atividades Micro'!$B50=BX$2,'Atividades Micro'!$G50="Macro",'Atividades Micro'!$K50&lt;&gt;""),'Atividades Micro'!$K50,"")</f>
        <v/>
      </c>
      <c r="BY50" s="21" t="str">
        <f>IF(AND('Atividades Micro'!$B50=BY$2,'Atividades Micro'!$G50="Macro",'Atividades Micro'!$K50&lt;&gt;""),'Atividades Micro'!$K50,"")</f>
        <v/>
      </c>
      <c r="BZ50" s="21" t="str">
        <f>IF(AND('Atividades Micro'!$B50=BZ$2,'Atividades Micro'!$G50="Macro",'Atividades Micro'!$K50&lt;&gt;""),'Atividades Micro'!$K50,"")</f>
        <v/>
      </c>
      <c r="CA50" s="21" t="str">
        <f>IF(AND('Atividades Micro'!$B50=CA$2,'Atividades Micro'!$G50="Macro",'Atividades Micro'!$K50&lt;&gt;""),'Atividades Micro'!$K50,"")</f>
        <v/>
      </c>
      <c r="CB50" s="21" t="str">
        <f>IF(AND('Atividades Micro'!$B50=CB$2,'Atividades Micro'!$G50="Macro",'Atividades Micro'!$K50&lt;&gt;""),'Atividades Micro'!$K50,"")</f>
        <v/>
      </c>
      <c r="CC50" s="21" t="str">
        <f>IF(AND('Atividades Micro'!$B50=CC$2,'Atividades Micro'!$G50="Macro",'Atividades Micro'!$K50&lt;&gt;""),'Atividades Micro'!$K50,"")</f>
        <v/>
      </c>
      <c r="CD50" s="21" t="str">
        <f>IF(AND('Atividades Micro'!$B50=CD$2,'Atividades Micro'!$G50="Micro",'Atividades Micro'!$K50&lt;&gt;""),'Atividades Micro'!$K50,"")</f>
        <v/>
      </c>
      <c r="CE50" s="21">
        <f>IF(AND('Atividades Micro'!$B50=CE$2,'Atividades Micro'!$G50="Micro",'Atividades Micro'!$K50&lt;&gt;""),'Atividades Micro'!$K50,"")</f>
        <v>46283</v>
      </c>
      <c r="CF50" s="21" t="str">
        <f>IF(AND('Atividades Micro'!$B50=CF$2,'Atividades Micro'!$G50="Micro",'Atividades Micro'!$K50&lt;&gt;""),'Atividades Micro'!$K50,"")</f>
        <v/>
      </c>
      <c r="CG50" s="21" t="str">
        <f>IF(AND('Atividades Micro'!$B50=CG$2,'Atividades Micro'!$G50="Micro",'Atividades Micro'!$K50&lt;&gt;""),'Atividades Micro'!$K50,"")</f>
        <v/>
      </c>
      <c r="CH50" s="21" t="str">
        <f>IF(AND('Atividades Micro'!$B50=CH$2,'Atividades Micro'!$G50="Micro",'Atividades Micro'!$K50&lt;&gt;""),'Atividades Micro'!$K50,"")</f>
        <v/>
      </c>
      <c r="CI50" s="21" t="str">
        <f>IF(AND('Atividades Micro'!$B50=CI$2,'Atividades Micro'!$G50="Micro",'Atividades Micro'!$K50&lt;&gt;""),'Atividades Micro'!$K50,"")</f>
        <v/>
      </c>
      <c r="CJ50" s="21" t="str">
        <f>IF(AND('Atividades Micro'!$B50=CJ$2,'Atividades Micro'!$G50="Micro",'Atividades Micro'!$K50&lt;&gt;""),'Atividades Micro'!$K50,"")</f>
        <v/>
      </c>
      <c r="CK50" s="21" t="str">
        <f>IF(AND('Atividades Micro'!$B50=CK$2,'Atividades Micro'!$G50="Micro",'Atividades Micro'!$K50&lt;&gt;""),'Atividades Micro'!$K50,"")</f>
        <v/>
      </c>
      <c r="CL50" s="21" t="str">
        <f>IF(AND('Atividades Micro'!$B50=CL$2,'Atividades Micro'!$G50="Micro",'Atividades Micro'!$K50&lt;&gt;""),'Atividades Micro'!$K50,"")</f>
        <v/>
      </c>
      <c r="CM50" s="21" t="str">
        <f>IF(AND('Atividades Micro'!$B50=CM$2,'Atividades Micro'!$G50="Micro",'Atividades Micro'!$K50&lt;&gt;""),'Atividades Micro'!$K50,"")</f>
        <v/>
      </c>
      <c r="CN50" s="21" t="str">
        <f>IF(AND('Atividades Micro'!$B50=CN$2,'Atividades Micro'!$G50="Micro",'Atividades Micro'!$K50&lt;&gt;""),'Atividades Micro'!$K50,"")</f>
        <v/>
      </c>
      <c r="CO50" s="21" t="str">
        <f>IF(AND('Atividades Micro'!$B50=CO$2,'Atividades Micro'!$G50="Micro",'Atividades Micro'!$K50&lt;&gt;""),'Atividades Micro'!$K50,"")</f>
        <v/>
      </c>
    </row>
    <row r="51" spans="1:93">
      <c r="A51" s="21" t="str">
        <f>IF(AND('Atividades Micro'!$A51=A$2,'Atividades Micro'!$K51&lt;&gt;""),'Atividades Micro'!$K51,"")</f>
        <v/>
      </c>
      <c r="B51" s="21" t="str">
        <f>IF(AND('Atividades Micro'!$A51=B$2,'Atividades Micro'!$L51&lt;&gt;""),'Atividades Micro'!$L51,"")</f>
        <v/>
      </c>
      <c r="C51" s="21" t="str">
        <f>IF(AND('Atividades Micro'!$A51=C$2,'Atividades Micro'!$K51&lt;&gt;""),'Atividades Micro'!$K51,"")</f>
        <v/>
      </c>
      <c r="D51" s="21" t="str">
        <f>IF(AND('Atividades Micro'!$A51=D$2,'Atividades Micro'!$L51&lt;&gt;""),'Atividades Micro'!$L51,"")</f>
        <v/>
      </c>
      <c r="E51" s="21" t="str">
        <f>IF(AND('Atividades Micro'!$A51=E$2,'Atividades Micro'!$K51&lt;&gt;""),'Atividades Micro'!$K51,"")</f>
        <v/>
      </c>
      <c r="F51" s="21" t="str">
        <f>IF(AND('Atividades Micro'!$A51=F$2,'Atividades Micro'!$L51&lt;&gt;""),'Atividades Micro'!$L51,"")</f>
        <v/>
      </c>
      <c r="G51" s="21" t="str">
        <f>IF(AND('Atividades Micro'!$A51=G$2,'Atividades Micro'!$K51&lt;&gt;""),'Atividades Micro'!$K51,"")</f>
        <v/>
      </c>
      <c r="H51" s="21" t="str">
        <f>IF(AND('Atividades Micro'!$A51=H$2,'Atividades Micro'!$L51&lt;&gt;""),'Atividades Micro'!$L51,"")</f>
        <v/>
      </c>
      <c r="I51" s="21">
        <f>IF(AND('Atividades Micro'!$A51=I$2,'Atividades Micro'!$K51&lt;&gt;""),'Atividades Micro'!$K51,"")</f>
        <v>46286</v>
      </c>
      <c r="J51" s="21">
        <f>IF(AND('Atividades Micro'!$A51=J$2,'Atividades Micro'!$L51&lt;&gt;""),'Atividades Micro'!$L51,"")</f>
        <v>46262</v>
      </c>
      <c r="K51" s="21" t="str">
        <f>IF(AND('Atividades Micro'!$B51=K$2,'Atividades Micro'!$K51&lt;&gt;""),'Atividades Micro'!$K51,"")</f>
        <v/>
      </c>
      <c r="L51" s="21" t="str">
        <f>IF(AND('Atividades Micro'!$B51=L$2,'Atividades Micro'!$L51&lt;&gt;""),'Atividades Micro'!$L51,"")</f>
        <v/>
      </c>
      <c r="M51" s="21">
        <f>IF(AND('Atividades Micro'!$B51=M$2,'Atividades Micro'!$K51&lt;&gt;""),'Atividades Micro'!$K51,"")</f>
        <v>46286</v>
      </c>
      <c r="N51" s="21">
        <f>IF(AND('Atividades Micro'!$B51=N$2,'Atividades Micro'!$L51&lt;&gt;""),'Atividades Micro'!$L51,"")</f>
        <v>46262</v>
      </c>
      <c r="O51" s="21" t="str">
        <f>IF(AND('Atividades Micro'!$A51=O$2,'Atividades Micro'!$K51&lt;&gt;""),'Atividades Micro'!$K51,"")</f>
        <v/>
      </c>
      <c r="P51" s="21" t="str">
        <f>IF(AND('Atividades Micro'!$A51=P$2,'Atividades Micro'!$L51&lt;&gt;""),'Atividades Micro'!$L51,"")</f>
        <v/>
      </c>
      <c r="Q51" s="21" t="str">
        <f>IF(AND('Atividades Micro'!$B51=Q$2,'Atividades Micro'!$K51&lt;&gt;""),'Atividades Micro'!$K51,"")</f>
        <v/>
      </c>
      <c r="R51" s="21" t="str">
        <f>IF(AND('Atividades Micro'!$B51=R$2,'Atividades Micro'!$L51&lt;&gt;""),'Atividades Micro'!$L51,"")</f>
        <v/>
      </c>
      <c r="S51" s="21" t="str">
        <f>IF(AND('Atividades Micro'!$A51=S$2,'Atividades Micro'!$K51&lt;&gt;""),'Atividades Micro'!$K51,"")</f>
        <v/>
      </c>
      <c r="T51" s="21" t="str">
        <f>IF(AND('Atividades Micro'!$A51=T$2,'Atividades Micro'!$L51&lt;&gt;""),'Atividades Micro'!$L51,"")</f>
        <v/>
      </c>
      <c r="U51" s="21" t="str">
        <f>IF(AND('Atividades Micro'!$B51=U$2,'Atividades Micro'!$K51&lt;&gt;""),'Atividades Micro'!$K51,"")</f>
        <v/>
      </c>
      <c r="V51" s="21" t="str">
        <f>IF(AND('Atividades Micro'!$B51=V$2,'Atividades Micro'!$L51&lt;&gt;""),'Atividades Micro'!$L51,"")</f>
        <v/>
      </c>
      <c r="W51" s="21" t="str">
        <f>IF(AND('Atividades Micro'!$B51=W$2,'Atividades Micro'!$K51&lt;&gt;""),'Atividades Micro'!$K51,"")</f>
        <v/>
      </c>
      <c r="X51" s="21" t="str">
        <f>IF(AND('Atividades Micro'!$B51=X$2,'Atividades Micro'!$L51&lt;&gt;""),'Atividades Micro'!$L51,"")</f>
        <v/>
      </c>
      <c r="Y51" s="21" t="str">
        <f>IF(AND('Atividades Micro'!$A51=Y$2,'Atividades Micro'!$K51&lt;&gt;""),'Atividades Micro'!$K51,"")</f>
        <v/>
      </c>
      <c r="Z51" s="21" t="str">
        <f>IF(AND('Atividades Micro'!$A51=Z$2,'Atividades Micro'!$L51&lt;&gt;""),'Atividades Micro'!$L51,"")</f>
        <v/>
      </c>
      <c r="AA51" s="21" t="str">
        <f>IF(AND('Atividades Micro'!$B51=AA$2,'Atividades Micro'!$K51&lt;&gt;""),'Atividades Micro'!$K51,"")</f>
        <v/>
      </c>
      <c r="AB51" s="21" t="str">
        <f>IF(AND('Atividades Micro'!$B51=AB$2,'Atividades Micro'!$L51&lt;&gt;""),'Atividades Micro'!$L51,"")</f>
        <v/>
      </c>
      <c r="AC51" s="21" t="str">
        <f>IF(AND('Atividades Micro'!$B51=AC$2,'Atividades Micro'!$K51&lt;&gt;""),'Atividades Micro'!$K51,"")</f>
        <v/>
      </c>
      <c r="AD51" s="21" t="str">
        <f>IF(AND('Atividades Micro'!$B51=AD$2,'Atividades Micro'!$L51&lt;&gt;""),'Atividades Micro'!$L51,"")</f>
        <v/>
      </c>
      <c r="AE51" s="21" t="str">
        <f>IF(AND('Atividades Micro'!$A51=AE$2,'Atividades Micro'!$K51&lt;&gt;""),'Atividades Micro'!$K51,"")</f>
        <v/>
      </c>
      <c r="AF51" s="21" t="str">
        <f>IF(AND('Atividades Micro'!$A51=AF$2,'Atividades Micro'!$L51&lt;&gt;""),'Atividades Micro'!$L51,"")</f>
        <v/>
      </c>
      <c r="AG51" s="21" t="str">
        <f>IF(AND('Atividades Micro'!$B51=AG$2,'Atividades Micro'!$K51&lt;&gt;""),'Atividades Micro'!$K51,"")</f>
        <v/>
      </c>
      <c r="AH51" s="21" t="str">
        <f>IF(AND('Atividades Micro'!$B51=AH$2,'Atividades Micro'!$L51&lt;&gt;""),'Atividades Micro'!$L51,"")</f>
        <v/>
      </c>
      <c r="AI51" s="21" t="str">
        <f>IF(AND('Atividades Micro'!$B51=AI$2,'Atividades Micro'!$K51&lt;&gt;""),'Atividades Micro'!$K51,"")</f>
        <v/>
      </c>
      <c r="AJ51" s="21" t="str">
        <f>IF(AND('Atividades Micro'!$B51=AJ$2,'Atividades Micro'!$L51&lt;&gt;""),'Atividades Micro'!$L51,"")</f>
        <v/>
      </c>
      <c r="AK51" s="21" t="str">
        <f>IF(AND('Atividades Micro'!$A51=AK$2,'Atividades Micro'!$K51&lt;&gt;""),'Atividades Micro'!$K51,"")</f>
        <v/>
      </c>
      <c r="AL51" s="21" t="str">
        <f>IF(AND('Atividades Micro'!$A51=AL$2,'Atividades Micro'!$L51&lt;&gt;""),'Atividades Micro'!$L51,"")</f>
        <v/>
      </c>
      <c r="AM51" s="21" t="str">
        <f>IF(AND('Atividades Micro'!$B51=AM$2,'Atividades Micro'!$K51&lt;&gt;""),'Atividades Micro'!$K51,"")</f>
        <v/>
      </c>
      <c r="AN51" s="21" t="str">
        <f>IF(AND('Atividades Micro'!$B51=AN$2,'Atividades Micro'!$L51&lt;&gt;""),'Atividades Micro'!$L51,"")</f>
        <v/>
      </c>
      <c r="AO51" s="21" t="str">
        <f>IF(AND('Atividades Micro'!$B51=AO$2,'Atividades Micro'!$K51&lt;&gt;""),'Atividades Micro'!$K51,"")</f>
        <v/>
      </c>
      <c r="AP51" s="21" t="str">
        <f>IF(AND('Atividades Micro'!$B51=AP$2,'Atividades Micro'!$L51&lt;&gt;""),'Atividades Micro'!$L51,"")</f>
        <v/>
      </c>
      <c r="AQ51" s="21" t="str">
        <f>IF(AND('Atividades Micro'!$A51=AQ$2,'Atividades Micro'!$K51&lt;&gt;""),'Atividades Micro'!$K51,"")</f>
        <v/>
      </c>
      <c r="AR51" s="21" t="str">
        <f>IF(AND('Atividades Micro'!$A51=AR$2,'Atividades Micro'!$L51&lt;&gt;""),'Atividades Micro'!$L51,"")</f>
        <v/>
      </c>
      <c r="AS51" s="21" t="str">
        <f>IF(AND('Atividades Micro'!$B51=AS$2,'Atividades Micro'!$K51&lt;&gt;""),'Atividades Micro'!$K51,"")</f>
        <v/>
      </c>
      <c r="AT51" s="21" t="str">
        <f>IF(AND('Atividades Micro'!$B51=AT$2,'Atividades Micro'!$L51&lt;&gt;""),'Atividades Micro'!$L51,"")</f>
        <v/>
      </c>
      <c r="AU51" s="21" t="str">
        <f>IF(AND('Atividades Micro'!$A51=AU$2,'Atividades Micro'!$K51&lt;&gt;""),'Atividades Micro'!$K51,"")</f>
        <v/>
      </c>
      <c r="AV51" s="21" t="str">
        <f>IF(AND('Atividades Micro'!$A51=AV$2,'Atividades Micro'!$L51&lt;&gt;""),'Atividades Micro'!$L51,"")</f>
        <v/>
      </c>
      <c r="AW51" s="21" t="str">
        <f>IF(AND('Atividades Micro'!$B51=AW$2,'Atividades Micro'!$K51&lt;&gt;""),'Atividades Micro'!$K51,"")</f>
        <v/>
      </c>
      <c r="AX51" s="21" t="str">
        <f>IF(AND('Atividades Micro'!$B51=AX$2,'Atividades Micro'!$L51&lt;&gt;""),'Atividades Micro'!$L51,"")</f>
        <v/>
      </c>
      <c r="AY51" s="21" t="str">
        <f>IF(AND('Atividades Micro'!$A51=AY$2,'Atividades Micro'!$K51&lt;&gt;""),'Atividades Micro'!$K51,"")</f>
        <v/>
      </c>
      <c r="AZ51" s="21" t="str">
        <f>IF(AND('Atividades Micro'!$A51=AZ$2,'Atividades Micro'!$L51&lt;&gt;""),'Atividades Micro'!$L51,"")</f>
        <v/>
      </c>
      <c r="BA51" s="21" t="str">
        <f>IF(AND('Atividades Micro'!$B51=BA$2,'Atividades Micro'!$K51&lt;&gt;""),'Atividades Micro'!$K51,"")</f>
        <v/>
      </c>
      <c r="BB51" s="21" t="str">
        <f>IF(AND('Atividades Micro'!$B51=BB$2,'Atividades Micro'!$L51&lt;&gt;""),'Atividades Micro'!$L51,"")</f>
        <v/>
      </c>
      <c r="BC51" s="21" t="str">
        <f>IF(AND('Atividades Micro'!$B51=BC$2,'Atividades Micro'!$G51="Macro",'Atividades Micro'!$K51&lt;&gt;""),'Atividades Micro'!$K51,"")</f>
        <v/>
      </c>
      <c r="BD51" s="21" t="str">
        <f>IF(AND('Atividades Micro'!$B51=BD$2,'Atividades Micro'!$G51="Macro",'Atividades Micro'!$K51&lt;&gt;""),'Atividades Micro'!$K51,"")</f>
        <v/>
      </c>
      <c r="BE51" s="21" t="str">
        <f>IF(AND('Atividades Micro'!$B51=BE$2,'Atividades Micro'!$G51="Macro",'Atividades Micro'!$K51&lt;&gt;""),'Atividades Micro'!$K51,"")</f>
        <v/>
      </c>
      <c r="BF51" s="21" t="str">
        <f>IF(AND('Atividades Micro'!$B51=BF$2,'Atividades Micro'!$G51="Macro",'Atividades Micro'!$K51&lt;&gt;""),'Atividades Micro'!$K51,"")</f>
        <v/>
      </c>
      <c r="BG51" s="21" t="str">
        <f>IF(AND('Atividades Micro'!$B51=BG$2,'Atividades Micro'!$G51="Macro",'Atividades Micro'!$K51&lt;&gt;""),'Atividades Micro'!$K51,"")</f>
        <v/>
      </c>
      <c r="BH51" s="21" t="str">
        <f>IF(AND('Atividades Micro'!$B51=BH$2,'Atividades Micro'!$G51="Macro",'Atividades Micro'!$K51&lt;&gt;""),'Atividades Micro'!$K51,"")</f>
        <v/>
      </c>
      <c r="BI51" s="21" t="str">
        <f>IF(AND('Atividades Micro'!$B51=BI$2,'Atividades Micro'!$G51="Macro",'Atividades Micro'!$K51&lt;&gt;""),'Atividades Micro'!$K51,"")</f>
        <v/>
      </c>
      <c r="BJ51" s="21" t="str">
        <f>IF(AND('Atividades Micro'!$B51=BJ$2,'Atividades Micro'!$G51="Macro",'Atividades Micro'!$K51&lt;&gt;""),'Atividades Micro'!$K51,"")</f>
        <v/>
      </c>
      <c r="BK51" s="21" t="str">
        <f>IF(AND('Atividades Micro'!$B51=BK$2,'Atividades Micro'!$G51="Macro",'Atividades Micro'!$K51&lt;&gt;""),'Atividades Micro'!$K51,"")</f>
        <v/>
      </c>
      <c r="BL51" s="21" t="str">
        <f>IF(AND('Atividades Micro'!$B51=BL$2,'Atividades Micro'!$G51="Macro",'Atividades Micro'!$K51&lt;&gt;""),'Atividades Micro'!$K51,"")</f>
        <v/>
      </c>
      <c r="BM51" s="21" t="str">
        <f>IF(AND('Atividades Micro'!$B51=BM$2,'Atividades Micro'!$G51="Macro",'Atividades Micro'!$K51&lt;&gt;""),'Atividades Micro'!$K51,"")</f>
        <v/>
      </c>
      <c r="BN51" s="21" t="str">
        <f>IF(AND('Atividades Micro'!$B51=BN$2,'Atividades Micro'!$G51="Macro",'Atividades Micro'!$K51&lt;&gt;""),'Atividades Micro'!$K51,"")</f>
        <v/>
      </c>
      <c r="BO51" s="21" t="str">
        <f>IF(AND('Atividades Micro'!$B51=BO$2,'Atividades Micro'!$G51="Macro",'Atividades Micro'!$K51&lt;&gt;""),'Atividades Micro'!$K51,"")</f>
        <v/>
      </c>
      <c r="BP51" s="21" t="str">
        <f>IF(AND('Atividades Micro'!$B51=BP$2,'Atividades Micro'!$G51="Macro",'Atividades Micro'!$K51&lt;&gt;""),'Atividades Micro'!$K51,"")</f>
        <v/>
      </c>
      <c r="BQ51" s="21" t="str">
        <f>IF(AND('Atividades Micro'!$B51=BQ$2,'Atividades Micro'!$G51="Macro",'Atividades Micro'!$K51&lt;&gt;""),'Atividades Micro'!$K51,"")</f>
        <v/>
      </c>
      <c r="BR51" s="21" t="str">
        <f>IF(AND('Atividades Micro'!$B51=BR$2,'Atividades Micro'!$G51="Macro",'Atividades Micro'!$K51&lt;&gt;""),'Atividades Micro'!$K51,"")</f>
        <v/>
      </c>
      <c r="BS51" s="21" t="str">
        <f>IF(AND('Atividades Micro'!$B51=BS$2,'Atividades Micro'!$G51="Macro",'Atividades Micro'!$K51&lt;&gt;""),'Atividades Micro'!$K51,"")</f>
        <v/>
      </c>
      <c r="BT51" s="21" t="str">
        <f>IF(AND('Atividades Micro'!$B51=BT$2,'Atividades Micro'!$G51="Macro",'Atividades Micro'!$K51&lt;&gt;""),'Atividades Micro'!$K51,"")</f>
        <v/>
      </c>
      <c r="BU51" s="21" t="str">
        <f>IF(AND('Atividades Micro'!$B51=BU$2,'Atividades Micro'!$G51="Macro",'Atividades Micro'!$K51&lt;&gt;""),'Atividades Micro'!$K51,"")</f>
        <v/>
      </c>
      <c r="BV51" s="21" t="str">
        <f>IF(AND('Atividades Micro'!$B51=BV$2,'Atividades Micro'!$G51="Macro",'Atividades Micro'!$K51&lt;&gt;""),'Atividades Micro'!$K51,"")</f>
        <v/>
      </c>
      <c r="BW51" s="21" t="str">
        <f>IF(AND('Atividades Micro'!$B51=BW$2,'Atividades Micro'!$G51="Macro",'Atividades Micro'!$K51&lt;&gt;""),'Atividades Micro'!$K51,"")</f>
        <v/>
      </c>
      <c r="BX51" s="21" t="str">
        <f>IF(AND('Atividades Micro'!$B51=BX$2,'Atividades Micro'!$G51="Macro",'Atividades Micro'!$K51&lt;&gt;""),'Atividades Micro'!$K51,"")</f>
        <v/>
      </c>
      <c r="BY51" s="21" t="str">
        <f>IF(AND('Atividades Micro'!$B51=BY$2,'Atividades Micro'!$G51="Macro",'Atividades Micro'!$K51&lt;&gt;""),'Atividades Micro'!$K51,"")</f>
        <v/>
      </c>
      <c r="BZ51" s="21" t="str">
        <f>IF(AND('Atividades Micro'!$B51=BZ$2,'Atividades Micro'!$G51="Macro",'Atividades Micro'!$K51&lt;&gt;""),'Atividades Micro'!$K51,"")</f>
        <v/>
      </c>
      <c r="CA51" s="21" t="str">
        <f>IF(AND('Atividades Micro'!$B51=CA$2,'Atividades Micro'!$G51="Macro",'Atividades Micro'!$K51&lt;&gt;""),'Atividades Micro'!$K51,"")</f>
        <v/>
      </c>
      <c r="CB51" s="21" t="str">
        <f>IF(AND('Atividades Micro'!$B51=CB$2,'Atividades Micro'!$G51="Macro",'Atividades Micro'!$K51&lt;&gt;""),'Atividades Micro'!$K51,"")</f>
        <v/>
      </c>
      <c r="CC51" s="21" t="str">
        <f>IF(AND('Atividades Micro'!$B51=CC$2,'Atividades Micro'!$G51="Macro",'Atividades Micro'!$K51&lt;&gt;""),'Atividades Micro'!$K51,"")</f>
        <v/>
      </c>
      <c r="CD51" s="21" t="str">
        <f>IF(AND('Atividades Micro'!$B51=CD$2,'Atividades Micro'!$G51="Micro",'Atividades Micro'!$K51&lt;&gt;""),'Atividades Micro'!$K51,"")</f>
        <v/>
      </c>
      <c r="CE51" s="21">
        <f>IF(AND('Atividades Micro'!$B51=CE$2,'Atividades Micro'!$G51="Micro",'Atividades Micro'!$K51&lt;&gt;""),'Atividades Micro'!$K51,"")</f>
        <v>46286</v>
      </c>
      <c r="CF51" s="21" t="str">
        <f>IF(AND('Atividades Micro'!$B51=CF$2,'Atividades Micro'!$G51="Micro",'Atividades Micro'!$K51&lt;&gt;""),'Atividades Micro'!$K51,"")</f>
        <v/>
      </c>
      <c r="CG51" s="21" t="str">
        <f>IF(AND('Atividades Micro'!$B51=CG$2,'Atividades Micro'!$G51="Micro",'Atividades Micro'!$K51&lt;&gt;""),'Atividades Micro'!$K51,"")</f>
        <v/>
      </c>
      <c r="CH51" s="21" t="str">
        <f>IF(AND('Atividades Micro'!$B51=CH$2,'Atividades Micro'!$G51="Micro",'Atividades Micro'!$K51&lt;&gt;""),'Atividades Micro'!$K51,"")</f>
        <v/>
      </c>
      <c r="CI51" s="21" t="str">
        <f>IF(AND('Atividades Micro'!$B51=CI$2,'Atividades Micro'!$G51="Micro",'Atividades Micro'!$K51&lt;&gt;""),'Atividades Micro'!$K51,"")</f>
        <v/>
      </c>
      <c r="CJ51" s="21" t="str">
        <f>IF(AND('Atividades Micro'!$B51=CJ$2,'Atividades Micro'!$G51="Micro",'Atividades Micro'!$K51&lt;&gt;""),'Atividades Micro'!$K51,"")</f>
        <v/>
      </c>
      <c r="CK51" s="21" t="str">
        <f>IF(AND('Atividades Micro'!$B51=CK$2,'Atividades Micro'!$G51="Micro",'Atividades Micro'!$K51&lt;&gt;""),'Atividades Micro'!$K51,"")</f>
        <v/>
      </c>
      <c r="CL51" s="21" t="str">
        <f>IF(AND('Atividades Micro'!$B51=CL$2,'Atividades Micro'!$G51="Micro",'Atividades Micro'!$K51&lt;&gt;""),'Atividades Micro'!$K51,"")</f>
        <v/>
      </c>
      <c r="CM51" s="21" t="str">
        <f>IF(AND('Atividades Micro'!$B51=CM$2,'Atividades Micro'!$G51="Micro",'Atividades Micro'!$K51&lt;&gt;""),'Atividades Micro'!$K51,"")</f>
        <v/>
      </c>
      <c r="CN51" s="21" t="str">
        <f>IF(AND('Atividades Micro'!$B51=CN$2,'Atividades Micro'!$G51="Micro",'Atividades Micro'!$K51&lt;&gt;""),'Atividades Micro'!$K51,"")</f>
        <v/>
      </c>
      <c r="CO51" s="21" t="str">
        <f>IF(AND('Atividades Micro'!$B51=CO$2,'Atividades Micro'!$G51="Micro",'Atividades Micro'!$K51&lt;&gt;""),'Atividades Micro'!$K51,"")</f>
        <v/>
      </c>
    </row>
    <row r="52" spans="1:93">
      <c r="A52" s="21" t="str">
        <f>IF(AND('Atividades Micro'!$A52=A$2,'Atividades Micro'!$K52&lt;&gt;""),'Atividades Micro'!$K52,"")</f>
        <v/>
      </c>
      <c r="B52" s="21" t="str">
        <f>IF(AND('Atividades Micro'!$A52=B$2,'Atividades Micro'!$L52&lt;&gt;""),'Atividades Micro'!$L52,"")</f>
        <v/>
      </c>
      <c r="C52" s="21" t="str">
        <f>IF(AND('Atividades Micro'!$A52=C$2,'Atividades Micro'!$K52&lt;&gt;""),'Atividades Micro'!$K52,"")</f>
        <v/>
      </c>
      <c r="D52" s="21" t="str">
        <f>IF(AND('Atividades Micro'!$A52=D$2,'Atividades Micro'!$L52&lt;&gt;""),'Atividades Micro'!$L52,"")</f>
        <v/>
      </c>
      <c r="E52" s="21" t="str">
        <f>IF(AND('Atividades Micro'!$A52=E$2,'Atividades Micro'!$K52&lt;&gt;""),'Atividades Micro'!$K52,"")</f>
        <v/>
      </c>
      <c r="F52" s="21" t="str">
        <f>IF(AND('Atividades Micro'!$A52=F$2,'Atividades Micro'!$L52&lt;&gt;""),'Atividades Micro'!$L52,"")</f>
        <v/>
      </c>
      <c r="G52" s="21" t="str">
        <f>IF(AND('Atividades Micro'!$A52=G$2,'Atividades Micro'!$K52&lt;&gt;""),'Atividades Micro'!$K52,"")</f>
        <v/>
      </c>
      <c r="H52" s="21" t="str">
        <f>IF(AND('Atividades Micro'!$A52=H$2,'Atividades Micro'!$L52&lt;&gt;""),'Atividades Micro'!$L52,"")</f>
        <v/>
      </c>
      <c r="I52" s="21">
        <f>IF(AND('Atividades Micro'!$A52=I$2,'Atividades Micro'!$K52&lt;&gt;""),'Atividades Micro'!$K52,"")</f>
        <v>46288</v>
      </c>
      <c r="J52" s="21">
        <f>IF(AND('Atividades Micro'!$A52=J$2,'Atividades Micro'!$L52&lt;&gt;""),'Atividades Micro'!$L52,"")</f>
        <v>46266</v>
      </c>
      <c r="K52" s="21" t="str">
        <f>IF(AND('Atividades Micro'!$B52=K$2,'Atividades Micro'!$K52&lt;&gt;""),'Atividades Micro'!$K52,"")</f>
        <v/>
      </c>
      <c r="L52" s="21" t="str">
        <f>IF(AND('Atividades Micro'!$B52=L$2,'Atividades Micro'!$L52&lt;&gt;""),'Atividades Micro'!$L52,"")</f>
        <v/>
      </c>
      <c r="M52" s="21">
        <f>IF(AND('Atividades Micro'!$B52=M$2,'Atividades Micro'!$K52&lt;&gt;""),'Atividades Micro'!$K52,"")</f>
        <v>46288</v>
      </c>
      <c r="N52" s="21">
        <f>IF(AND('Atividades Micro'!$B52=N$2,'Atividades Micro'!$L52&lt;&gt;""),'Atividades Micro'!$L52,"")</f>
        <v>46266</v>
      </c>
      <c r="O52" s="21" t="str">
        <f>IF(AND('Atividades Micro'!$A52=O$2,'Atividades Micro'!$K52&lt;&gt;""),'Atividades Micro'!$K52,"")</f>
        <v/>
      </c>
      <c r="P52" s="21" t="str">
        <f>IF(AND('Atividades Micro'!$A52=P$2,'Atividades Micro'!$L52&lt;&gt;""),'Atividades Micro'!$L52,"")</f>
        <v/>
      </c>
      <c r="Q52" s="21" t="str">
        <f>IF(AND('Atividades Micro'!$B52=Q$2,'Atividades Micro'!$K52&lt;&gt;""),'Atividades Micro'!$K52,"")</f>
        <v/>
      </c>
      <c r="R52" s="21" t="str">
        <f>IF(AND('Atividades Micro'!$B52=R$2,'Atividades Micro'!$L52&lt;&gt;""),'Atividades Micro'!$L52,"")</f>
        <v/>
      </c>
      <c r="S52" s="21" t="str">
        <f>IF(AND('Atividades Micro'!$A52=S$2,'Atividades Micro'!$K52&lt;&gt;""),'Atividades Micro'!$K52,"")</f>
        <v/>
      </c>
      <c r="T52" s="21" t="str">
        <f>IF(AND('Atividades Micro'!$A52=T$2,'Atividades Micro'!$L52&lt;&gt;""),'Atividades Micro'!$L52,"")</f>
        <v/>
      </c>
      <c r="U52" s="21" t="str">
        <f>IF(AND('Atividades Micro'!$B52=U$2,'Atividades Micro'!$K52&lt;&gt;""),'Atividades Micro'!$K52,"")</f>
        <v/>
      </c>
      <c r="V52" s="21" t="str">
        <f>IF(AND('Atividades Micro'!$B52=V$2,'Atividades Micro'!$L52&lt;&gt;""),'Atividades Micro'!$L52,"")</f>
        <v/>
      </c>
      <c r="W52" s="21" t="str">
        <f>IF(AND('Atividades Micro'!$B52=W$2,'Atividades Micro'!$K52&lt;&gt;""),'Atividades Micro'!$K52,"")</f>
        <v/>
      </c>
      <c r="X52" s="21" t="str">
        <f>IF(AND('Atividades Micro'!$B52=X$2,'Atividades Micro'!$L52&lt;&gt;""),'Atividades Micro'!$L52,"")</f>
        <v/>
      </c>
      <c r="Y52" s="21" t="str">
        <f>IF(AND('Atividades Micro'!$A52=Y$2,'Atividades Micro'!$K52&lt;&gt;""),'Atividades Micro'!$K52,"")</f>
        <v/>
      </c>
      <c r="Z52" s="21" t="str">
        <f>IF(AND('Atividades Micro'!$A52=Z$2,'Atividades Micro'!$L52&lt;&gt;""),'Atividades Micro'!$L52,"")</f>
        <v/>
      </c>
      <c r="AA52" s="21" t="str">
        <f>IF(AND('Atividades Micro'!$B52=AA$2,'Atividades Micro'!$K52&lt;&gt;""),'Atividades Micro'!$K52,"")</f>
        <v/>
      </c>
      <c r="AB52" s="21" t="str">
        <f>IF(AND('Atividades Micro'!$B52=AB$2,'Atividades Micro'!$L52&lt;&gt;""),'Atividades Micro'!$L52,"")</f>
        <v/>
      </c>
      <c r="AC52" s="21" t="str">
        <f>IF(AND('Atividades Micro'!$B52=AC$2,'Atividades Micro'!$K52&lt;&gt;""),'Atividades Micro'!$K52,"")</f>
        <v/>
      </c>
      <c r="AD52" s="21" t="str">
        <f>IF(AND('Atividades Micro'!$B52=AD$2,'Atividades Micro'!$L52&lt;&gt;""),'Atividades Micro'!$L52,"")</f>
        <v/>
      </c>
      <c r="AE52" s="21" t="str">
        <f>IF(AND('Atividades Micro'!$A52=AE$2,'Atividades Micro'!$K52&lt;&gt;""),'Atividades Micro'!$K52,"")</f>
        <v/>
      </c>
      <c r="AF52" s="21" t="str">
        <f>IF(AND('Atividades Micro'!$A52=AF$2,'Atividades Micro'!$L52&lt;&gt;""),'Atividades Micro'!$L52,"")</f>
        <v/>
      </c>
      <c r="AG52" s="21" t="str">
        <f>IF(AND('Atividades Micro'!$B52=AG$2,'Atividades Micro'!$K52&lt;&gt;""),'Atividades Micro'!$K52,"")</f>
        <v/>
      </c>
      <c r="AH52" s="21" t="str">
        <f>IF(AND('Atividades Micro'!$B52=AH$2,'Atividades Micro'!$L52&lt;&gt;""),'Atividades Micro'!$L52,"")</f>
        <v/>
      </c>
      <c r="AI52" s="21" t="str">
        <f>IF(AND('Atividades Micro'!$B52=AI$2,'Atividades Micro'!$K52&lt;&gt;""),'Atividades Micro'!$K52,"")</f>
        <v/>
      </c>
      <c r="AJ52" s="21" t="str">
        <f>IF(AND('Atividades Micro'!$B52=AJ$2,'Atividades Micro'!$L52&lt;&gt;""),'Atividades Micro'!$L52,"")</f>
        <v/>
      </c>
      <c r="AK52" s="21" t="str">
        <f>IF(AND('Atividades Micro'!$A52=AK$2,'Atividades Micro'!$K52&lt;&gt;""),'Atividades Micro'!$K52,"")</f>
        <v/>
      </c>
      <c r="AL52" s="21" t="str">
        <f>IF(AND('Atividades Micro'!$A52=AL$2,'Atividades Micro'!$L52&lt;&gt;""),'Atividades Micro'!$L52,"")</f>
        <v/>
      </c>
      <c r="AM52" s="21" t="str">
        <f>IF(AND('Atividades Micro'!$B52=AM$2,'Atividades Micro'!$K52&lt;&gt;""),'Atividades Micro'!$K52,"")</f>
        <v/>
      </c>
      <c r="AN52" s="21" t="str">
        <f>IF(AND('Atividades Micro'!$B52=AN$2,'Atividades Micro'!$L52&lt;&gt;""),'Atividades Micro'!$L52,"")</f>
        <v/>
      </c>
      <c r="AO52" s="21" t="str">
        <f>IF(AND('Atividades Micro'!$B52=AO$2,'Atividades Micro'!$K52&lt;&gt;""),'Atividades Micro'!$K52,"")</f>
        <v/>
      </c>
      <c r="AP52" s="21" t="str">
        <f>IF(AND('Atividades Micro'!$B52=AP$2,'Atividades Micro'!$L52&lt;&gt;""),'Atividades Micro'!$L52,"")</f>
        <v/>
      </c>
      <c r="AQ52" s="21" t="str">
        <f>IF(AND('Atividades Micro'!$A52=AQ$2,'Atividades Micro'!$K52&lt;&gt;""),'Atividades Micro'!$K52,"")</f>
        <v/>
      </c>
      <c r="AR52" s="21" t="str">
        <f>IF(AND('Atividades Micro'!$A52=AR$2,'Atividades Micro'!$L52&lt;&gt;""),'Atividades Micro'!$L52,"")</f>
        <v/>
      </c>
      <c r="AS52" s="21" t="str">
        <f>IF(AND('Atividades Micro'!$B52=AS$2,'Atividades Micro'!$K52&lt;&gt;""),'Atividades Micro'!$K52,"")</f>
        <v/>
      </c>
      <c r="AT52" s="21" t="str">
        <f>IF(AND('Atividades Micro'!$B52=AT$2,'Atividades Micro'!$L52&lt;&gt;""),'Atividades Micro'!$L52,"")</f>
        <v/>
      </c>
      <c r="AU52" s="21" t="str">
        <f>IF(AND('Atividades Micro'!$A52=AU$2,'Atividades Micro'!$K52&lt;&gt;""),'Atividades Micro'!$K52,"")</f>
        <v/>
      </c>
      <c r="AV52" s="21" t="str">
        <f>IF(AND('Atividades Micro'!$A52=AV$2,'Atividades Micro'!$L52&lt;&gt;""),'Atividades Micro'!$L52,"")</f>
        <v/>
      </c>
      <c r="AW52" s="21" t="str">
        <f>IF(AND('Atividades Micro'!$B52=AW$2,'Atividades Micro'!$K52&lt;&gt;""),'Atividades Micro'!$K52,"")</f>
        <v/>
      </c>
      <c r="AX52" s="21" t="str">
        <f>IF(AND('Atividades Micro'!$B52=AX$2,'Atividades Micro'!$L52&lt;&gt;""),'Atividades Micro'!$L52,"")</f>
        <v/>
      </c>
      <c r="AY52" s="21" t="str">
        <f>IF(AND('Atividades Micro'!$A52=AY$2,'Atividades Micro'!$K52&lt;&gt;""),'Atividades Micro'!$K52,"")</f>
        <v/>
      </c>
      <c r="AZ52" s="21" t="str">
        <f>IF(AND('Atividades Micro'!$A52=AZ$2,'Atividades Micro'!$L52&lt;&gt;""),'Atividades Micro'!$L52,"")</f>
        <v/>
      </c>
      <c r="BA52" s="21" t="str">
        <f>IF(AND('Atividades Micro'!$B52=BA$2,'Atividades Micro'!$K52&lt;&gt;""),'Atividades Micro'!$K52,"")</f>
        <v/>
      </c>
      <c r="BB52" s="21" t="str">
        <f>IF(AND('Atividades Micro'!$B52=BB$2,'Atividades Micro'!$L52&lt;&gt;""),'Atividades Micro'!$L52,"")</f>
        <v/>
      </c>
      <c r="BC52" s="21" t="str">
        <f>IF(AND('Atividades Micro'!$B52=BC$2,'Atividades Micro'!$G52="Macro",'Atividades Micro'!$K52&lt;&gt;""),'Atividades Micro'!$K52,"")</f>
        <v/>
      </c>
      <c r="BD52" s="21" t="str">
        <f>IF(AND('Atividades Micro'!$B52=BD$2,'Atividades Micro'!$G52="Macro",'Atividades Micro'!$K52&lt;&gt;""),'Atividades Micro'!$K52,"")</f>
        <v/>
      </c>
      <c r="BE52" s="21" t="str">
        <f>IF(AND('Atividades Micro'!$B52=BE$2,'Atividades Micro'!$G52="Macro",'Atividades Micro'!$K52&lt;&gt;""),'Atividades Micro'!$K52,"")</f>
        <v/>
      </c>
      <c r="BF52" s="21" t="str">
        <f>IF(AND('Atividades Micro'!$B52=BF$2,'Atividades Micro'!$G52="Macro",'Atividades Micro'!$K52&lt;&gt;""),'Atividades Micro'!$K52,"")</f>
        <v/>
      </c>
      <c r="BG52" s="21" t="str">
        <f>IF(AND('Atividades Micro'!$B52=BG$2,'Atividades Micro'!$G52="Macro",'Atividades Micro'!$K52&lt;&gt;""),'Atividades Micro'!$K52,"")</f>
        <v/>
      </c>
      <c r="BH52" s="21" t="str">
        <f>IF(AND('Atividades Micro'!$B52=BH$2,'Atividades Micro'!$G52="Macro",'Atividades Micro'!$K52&lt;&gt;""),'Atividades Micro'!$K52,"")</f>
        <v/>
      </c>
      <c r="BI52" s="21" t="str">
        <f>IF(AND('Atividades Micro'!$B52=BI$2,'Atividades Micro'!$G52="Macro",'Atividades Micro'!$K52&lt;&gt;""),'Atividades Micro'!$K52,"")</f>
        <v/>
      </c>
      <c r="BJ52" s="21" t="str">
        <f>IF(AND('Atividades Micro'!$B52=BJ$2,'Atividades Micro'!$G52="Macro",'Atividades Micro'!$K52&lt;&gt;""),'Atividades Micro'!$K52,"")</f>
        <v/>
      </c>
      <c r="BK52" s="21" t="str">
        <f>IF(AND('Atividades Micro'!$B52=BK$2,'Atividades Micro'!$G52="Macro",'Atividades Micro'!$K52&lt;&gt;""),'Atividades Micro'!$K52,"")</f>
        <v/>
      </c>
      <c r="BL52" s="21" t="str">
        <f>IF(AND('Atividades Micro'!$B52=BL$2,'Atividades Micro'!$G52="Macro",'Atividades Micro'!$K52&lt;&gt;""),'Atividades Micro'!$K52,"")</f>
        <v/>
      </c>
      <c r="BM52" s="21" t="str">
        <f>IF(AND('Atividades Micro'!$B52=BM$2,'Atividades Micro'!$G52="Macro",'Atividades Micro'!$K52&lt;&gt;""),'Atividades Micro'!$K52,"")</f>
        <v/>
      </c>
      <c r="BN52" s="21" t="str">
        <f>IF(AND('Atividades Micro'!$B52=BN$2,'Atividades Micro'!$G52="Macro",'Atividades Micro'!$K52&lt;&gt;""),'Atividades Micro'!$K52,"")</f>
        <v/>
      </c>
      <c r="BO52" s="21" t="str">
        <f>IF(AND('Atividades Micro'!$B52=BO$2,'Atividades Micro'!$G52="Macro",'Atividades Micro'!$K52&lt;&gt;""),'Atividades Micro'!$K52,"")</f>
        <v/>
      </c>
      <c r="BP52" s="21" t="str">
        <f>IF(AND('Atividades Micro'!$B52=BP$2,'Atividades Micro'!$G52="Macro",'Atividades Micro'!$K52&lt;&gt;""),'Atividades Micro'!$K52,"")</f>
        <v/>
      </c>
      <c r="BQ52" s="21" t="str">
        <f>IF(AND('Atividades Micro'!$B52=BQ$2,'Atividades Micro'!$G52="Macro",'Atividades Micro'!$K52&lt;&gt;""),'Atividades Micro'!$K52,"")</f>
        <v/>
      </c>
      <c r="BR52" s="21" t="str">
        <f>IF(AND('Atividades Micro'!$B52=BR$2,'Atividades Micro'!$G52="Macro",'Atividades Micro'!$K52&lt;&gt;""),'Atividades Micro'!$K52,"")</f>
        <v/>
      </c>
      <c r="BS52" s="21" t="str">
        <f>IF(AND('Atividades Micro'!$B52=BS$2,'Atividades Micro'!$G52="Macro",'Atividades Micro'!$K52&lt;&gt;""),'Atividades Micro'!$K52,"")</f>
        <v/>
      </c>
      <c r="BT52" s="21" t="str">
        <f>IF(AND('Atividades Micro'!$B52=BT$2,'Atividades Micro'!$G52="Macro",'Atividades Micro'!$K52&lt;&gt;""),'Atividades Micro'!$K52,"")</f>
        <v/>
      </c>
      <c r="BU52" s="21" t="str">
        <f>IF(AND('Atividades Micro'!$B52=BU$2,'Atividades Micro'!$G52="Macro",'Atividades Micro'!$K52&lt;&gt;""),'Atividades Micro'!$K52,"")</f>
        <v/>
      </c>
      <c r="BV52" s="21" t="str">
        <f>IF(AND('Atividades Micro'!$B52=BV$2,'Atividades Micro'!$G52="Macro",'Atividades Micro'!$K52&lt;&gt;""),'Atividades Micro'!$K52,"")</f>
        <v/>
      </c>
      <c r="BW52" s="21" t="str">
        <f>IF(AND('Atividades Micro'!$B52=BW$2,'Atividades Micro'!$G52="Macro",'Atividades Micro'!$K52&lt;&gt;""),'Atividades Micro'!$K52,"")</f>
        <v/>
      </c>
      <c r="BX52" s="21" t="str">
        <f>IF(AND('Atividades Micro'!$B52=BX$2,'Atividades Micro'!$G52="Macro",'Atividades Micro'!$K52&lt;&gt;""),'Atividades Micro'!$K52,"")</f>
        <v/>
      </c>
      <c r="BY52" s="21" t="str">
        <f>IF(AND('Atividades Micro'!$B52=BY$2,'Atividades Micro'!$G52="Macro",'Atividades Micro'!$K52&lt;&gt;""),'Atividades Micro'!$K52,"")</f>
        <v/>
      </c>
      <c r="BZ52" s="21" t="str">
        <f>IF(AND('Atividades Micro'!$B52=BZ$2,'Atividades Micro'!$G52="Macro",'Atividades Micro'!$K52&lt;&gt;""),'Atividades Micro'!$K52,"")</f>
        <v/>
      </c>
      <c r="CA52" s="21" t="str">
        <f>IF(AND('Atividades Micro'!$B52=CA$2,'Atividades Micro'!$G52="Macro",'Atividades Micro'!$K52&lt;&gt;""),'Atividades Micro'!$K52,"")</f>
        <v/>
      </c>
      <c r="CB52" s="21" t="str">
        <f>IF(AND('Atividades Micro'!$B52=CB$2,'Atividades Micro'!$G52="Macro",'Atividades Micro'!$K52&lt;&gt;""),'Atividades Micro'!$K52,"")</f>
        <v/>
      </c>
      <c r="CC52" s="21" t="str">
        <f>IF(AND('Atividades Micro'!$B52=CC$2,'Atividades Micro'!$G52="Macro",'Atividades Micro'!$K52&lt;&gt;""),'Atividades Micro'!$K52,"")</f>
        <v/>
      </c>
      <c r="CD52" s="21" t="str">
        <f>IF(AND('Atividades Micro'!$B52=CD$2,'Atividades Micro'!$G52="Micro",'Atividades Micro'!$K52&lt;&gt;""),'Atividades Micro'!$K52,"")</f>
        <v/>
      </c>
      <c r="CE52" s="21">
        <f>IF(AND('Atividades Micro'!$B52=CE$2,'Atividades Micro'!$G52="Micro",'Atividades Micro'!$K52&lt;&gt;""),'Atividades Micro'!$K52,"")</f>
        <v>46288</v>
      </c>
      <c r="CF52" s="21" t="str">
        <f>IF(AND('Atividades Micro'!$B52=CF$2,'Atividades Micro'!$G52="Micro",'Atividades Micro'!$K52&lt;&gt;""),'Atividades Micro'!$K52,"")</f>
        <v/>
      </c>
      <c r="CG52" s="21" t="str">
        <f>IF(AND('Atividades Micro'!$B52=CG$2,'Atividades Micro'!$G52="Micro",'Atividades Micro'!$K52&lt;&gt;""),'Atividades Micro'!$K52,"")</f>
        <v/>
      </c>
      <c r="CH52" s="21" t="str">
        <f>IF(AND('Atividades Micro'!$B52=CH$2,'Atividades Micro'!$G52="Micro",'Atividades Micro'!$K52&lt;&gt;""),'Atividades Micro'!$K52,"")</f>
        <v/>
      </c>
      <c r="CI52" s="21" t="str">
        <f>IF(AND('Atividades Micro'!$B52=CI$2,'Atividades Micro'!$G52="Micro",'Atividades Micro'!$K52&lt;&gt;""),'Atividades Micro'!$K52,"")</f>
        <v/>
      </c>
      <c r="CJ52" s="21" t="str">
        <f>IF(AND('Atividades Micro'!$B52=CJ$2,'Atividades Micro'!$G52="Micro",'Atividades Micro'!$K52&lt;&gt;""),'Atividades Micro'!$K52,"")</f>
        <v/>
      </c>
      <c r="CK52" s="21" t="str">
        <f>IF(AND('Atividades Micro'!$B52=CK$2,'Atividades Micro'!$G52="Micro",'Atividades Micro'!$K52&lt;&gt;""),'Atividades Micro'!$K52,"")</f>
        <v/>
      </c>
      <c r="CL52" s="21" t="str">
        <f>IF(AND('Atividades Micro'!$B52=CL$2,'Atividades Micro'!$G52="Micro",'Atividades Micro'!$K52&lt;&gt;""),'Atividades Micro'!$K52,"")</f>
        <v/>
      </c>
      <c r="CM52" s="21" t="str">
        <f>IF(AND('Atividades Micro'!$B52=CM$2,'Atividades Micro'!$G52="Micro",'Atividades Micro'!$K52&lt;&gt;""),'Atividades Micro'!$K52,"")</f>
        <v/>
      </c>
      <c r="CN52" s="21" t="str">
        <f>IF(AND('Atividades Micro'!$B52=CN$2,'Atividades Micro'!$G52="Micro",'Atividades Micro'!$K52&lt;&gt;""),'Atividades Micro'!$K52,"")</f>
        <v/>
      </c>
      <c r="CO52" s="21" t="str">
        <f>IF(AND('Atividades Micro'!$B52=CO$2,'Atividades Micro'!$G52="Micro",'Atividades Micro'!$K52&lt;&gt;""),'Atividades Micro'!$K52,"")</f>
        <v/>
      </c>
    </row>
    <row r="53" spans="1:93">
      <c r="A53" s="21" t="str">
        <f>IF(AND('Atividades Micro'!$A53=A$2,'Atividades Micro'!$K53&lt;&gt;""),'Atividades Micro'!$K53,"")</f>
        <v/>
      </c>
      <c r="B53" s="21" t="str">
        <f>IF(AND('Atividades Micro'!$A53=B$2,'Atividades Micro'!$L53&lt;&gt;""),'Atividades Micro'!$L53,"")</f>
        <v/>
      </c>
      <c r="C53" s="21" t="str">
        <f>IF(AND('Atividades Micro'!$A53=C$2,'Atividades Micro'!$K53&lt;&gt;""),'Atividades Micro'!$K53,"")</f>
        <v/>
      </c>
      <c r="D53" s="21" t="str">
        <f>IF(AND('Atividades Micro'!$A53=D$2,'Atividades Micro'!$L53&lt;&gt;""),'Atividades Micro'!$L53,"")</f>
        <v/>
      </c>
      <c r="E53" s="21" t="str">
        <f>IF(AND('Atividades Micro'!$A53=E$2,'Atividades Micro'!$K53&lt;&gt;""),'Atividades Micro'!$K53,"")</f>
        <v/>
      </c>
      <c r="F53" s="21" t="str">
        <f>IF(AND('Atividades Micro'!$A53=F$2,'Atividades Micro'!$L53&lt;&gt;""),'Atividades Micro'!$L53,"")</f>
        <v/>
      </c>
      <c r="G53" s="21" t="str">
        <f>IF(AND('Atividades Micro'!$A53=G$2,'Atividades Micro'!$K53&lt;&gt;""),'Atividades Micro'!$K53,"")</f>
        <v/>
      </c>
      <c r="H53" s="21" t="str">
        <f>IF(AND('Atividades Micro'!$A53=H$2,'Atividades Micro'!$L53&lt;&gt;""),'Atividades Micro'!$L53,"")</f>
        <v/>
      </c>
      <c r="I53" s="21">
        <f>IF(AND('Atividades Micro'!$A53=I$2,'Atividades Micro'!$K53&lt;&gt;""),'Atividades Micro'!$K53,"")</f>
        <v>46289</v>
      </c>
      <c r="J53" s="21">
        <f>IF(AND('Atividades Micro'!$A53=J$2,'Atividades Micro'!$L53&lt;&gt;""),'Atividades Micro'!$L53,"")</f>
        <v>46266</v>
      </c>
      <c r="K53" s="21" t="str">
        <f>IF(AND('Atividades Micro'!$B53=K$2,'Atividades Micro'!$K53&lt;&gt;""),'Atividades Micro'!$K53,"")</f>
        <v/>
      </c>
      <c r="L53" s="21" t="str">
        <f>IF(AND('Atividades Micro'!$B53=L$2,'Atividades Micro'!$L53&lt;&gt;""),'Atividades Micro'!$L53,"")</f>
        <v/>
      </c>
      <c r="M53" s="21">
        <f>IF(AND('Atividades Micro'!$B53=M$2,'Atividades Micro'!$K53&lt;&gt;""),'Atividades Micro'!$K53,"")</f>
        <v>46289</v>
      </c>
      <c r="N53" s="21">
        <f>IF(AND('Atividades Micro'!$B53=N$2,'Atividades Micro'!$L53&lt;&gt;""),'Atividades Micro'!$L53,"")</f>
        <v>46266</v>
      </c>
      <c r="O53" s="21" t="str">
        <f>IF(AND('Atividades Micro'!$A53=O$2,'Atividades Micro'!$K53&lt;&gt;""),'Atividades Micro'!$K53,"")</f>
        <v/>
      </c>
      <c r="P53" s="21" t="str">
        <f>IF(AND('Atividades Micro'!$A53=P$2,'Atividades Micro'!$L53&lt;&gt;""),'Atividades Micro'!$L53,"")</f>
        <v/>
      </c>
      <c r="Q53" s="21" t="str">
        <f>IF(AND('Atividades Micro'!$B53=Q$2,'Atividades Micro'!$K53&lt;&gt;""),'Atividades Micro'!$K53,"")</f>
        <v/>
      </c>
      <c r="R53" s="21" t="str">
        <f>IF(AND('Atividades Micro'!$B53=R$2,'Atividades Micro'!$L53&lt;&gt;""),'Atividades Micro'!$L53,"")</f>
        <v/>
      </c>
      <c r="S53" s="21" t="str">
        <f>IF(AND('Atividades Micro'!$A53=S$2,'Atividades Micro'!$K53&lt;&gt;""),'Atividades Micro'!$K53,"")</f>
        <v/>
      </c>
      <c r="T53" s="21" t="str">
        <f>IF(AND('Atividades Micro'!$A53=T$2,'Atividades Micro'!$L53&lt;&gt;""),'Atividades Micro'!$L53,"")</f>
        <v/>
      </c>
      <c r="U53" s="21" t="str">
        <f>IF(AND('Atividades Micro'!$B53=U$2,'Atividades Micro'!$K53&lt;&gt;""),'Atividades Micro'!$K53,"")</f>
        <v/>
      </c>
      <c r="V53" s="21" t="str">
        <f>IF(AND('Atividades Micro'!$B53=V$2,'Atividades Micro'!$L53&lt;&gt;""),'Atividades Micro'!$L53,"")</f>
        <v/>
      </c>
      <c r="W53" s="21" t="str">
        <f>IF(AND('Atividades Micro'!$B53=W$2,'Atividades Micro'!$K53&lt;&gt;""),'Atividades Micro'!$K53,"")</f>
        <v/>
      </c>
      <c r="X53" s="21" t="str">
        <f>IF(AND('Atividades Micro'!$B53=X$2,'Atividades Micro'!$L53&lt;&gt;""),'Atividades Micro'!$L53,"")</f>
        <v/>
      </c>
      <c r="Y53" s="21" t="str">
        <f>IF(AND('Atividades Micro'!$A53=Y$2,'Atividades Micro'!$K53&lt;&gt;""),'Atividades Micro'!$K53,"")</f>
        <v/>
      </c>
      <c r="Z53" s="21" t="str">
        <f>IF(AND('Atividades Micro'!$A53=Z$2,'Atividades Micro'!$L53&lt;&gt;""),'Atividades Micro'!$L53,"")</f>
        <v/>
      </c>
      <c r="AA53" s="21" t="str">
        <f>IF(AND('Atividades Micro'!$B53=AA$2,'Atividades Micro'!$K53&lt;&gt;""),'Atividades Micro'!$K53,"")</f>
        <v/>
      </c>
      <c r="AB53" s="21" t="str">
        <f>IF(AND('Atividades Micro'!$B53=AB$2,'Atividades Micro'!$L53&lt;&gt;""),'Atividades Micro'!$L53,"")</f>
        <v/>
      </c>
      <c r="AC53" s="21" t="str">
        <f>IF(AND('Atividades Micro'!$B53=AC$2,'Atividades Micro'!$K53&lt;&gt;""),'Atividades Micro'!$K53,"")</f>
        <v/>
      </c>
      <c r="AD53" s="21" t="str">
        <f>IF(AND('Atividades Micro'!$B53=AD$2,'Atividades Micro'!$L53&lt;&gt;""),'Atividades Micro'!$L53,"")</f>
        <v/>
      </c>
      <c r="AE53" s="21" t="str">
        <f>IF(AND('Atividades Micro'!$A53=AE$2,'Atividades Micro'!$K53&lt;&gt;""),'Atividades Micro'!$K53,"")</f>
        <v/>
      </c>
      <c r="AF53" s="21" t="str">
        <f>IF(AND('Atividades Micro'!$A53=AF$2,'Atividades Micro'!$L53&lt;&gt;""),'Atividades Micro'!$L53,"")</f>
        <v/>
      </c>
      <c r="AG53" s="21" t="str">
        <f>IF(AND('Atividades Micro'!$B53=AG$2,'Atividades Micro'!$K53&lt;&gt;""),'Atividades Micro'!$K53,"")</f>
        <v/>
      </c>
      <c r="AH53" s="21" t="str">
        <f>IF(AND('Atividades Micro'!$B53=AH$2,'Atividades Micro'!$L53&lt;&gt;""),'Atividades Micro'!$L53,"")</f>
        <v/>
      </c>
      <c r="AI53" s="21" t="str">
        <f>IF(AND('Atividades Micro'!$B53=AI$2,'Atividades Micro'!$K53&lt;&gt;""),'Atividades Micro'!$K53,"")</f>
        <v/>
      </c>
      <c r="AJ53" s="21" t="str">
        <f>IF(AND('Atividades Micro'!$B53=AJ$2,'Atividades Micro'!$L53&lt;&gt;""),'Atividades Micro'!$L53,"")</f>
        <v/>
      </c>
      <c r="AK53" s="21" t="str">
        <f>IF(AND('Atividades Micro'!$A53=AK$2,'Atividades Micro'!$K53&lt;&gt;""),'Atividades Micro'!$K53,"")</f>
        <v/>
      </c>
      <c r="AL53" s="21" t="str">
        <f>IF(AND('Atividades Micro'!$A53=AL$2,'Atividades Micro'!$L53&lt;&gt;""),'Atividades Micro'!$L53,"")</f>
        <v/>
      </c>
      <c r="AM53" s="21" t="str">
        <f>IF(AND('Atividades Micro'!$B53=AM$2,'Atividades Micro'!$K53&lt;&gt;""),'Atividades Micro'!$K53,"")</f>
        <v/>
      </c>
      <c r="AN53" s="21" t="str">
        <f>IF(AND('Atividades Micro'!$B53=AN$2,'Atividades Micro'!$L53&lt;&gt;""),'Atividades Micro'!$L53,"")</f>
        <v/>
      </c>
      <c r="AO53" s="21" t="str">
        <f>IF(AND('Atividades Micro'!$B53=AO$2,'Atividades Micro'!$K53&lt;&gt;""),'Atividades Micro'!$K53,"")</f>
        <v/>
      </c>
      <c r="AP53" s="21" t="str">
        <f>IF(AND('Atividades Micro'!$B53=AP$2,'Atividades Micro'!$L53&lt;&gt;""),'Atividades Micro'!$L53,"")</f>
        <v/>
      </c>
      <c r="AQ53" s="21" t="str">
        <f>IF(AND('Atividades Micro'!$A53=AQ$2,'Atividades Micro'!$K53&lt;&gt;""),'Atividades Micro'!$K53,"")</f>
        <v/>
      </c>
      <c r="AR53" s="21" t="str">
        <f>IF(AND('Atividades Micro'!$A53=AR$2,'Atividades Micro'!$L53&lt;&gt;""),'Atividades Micro'!$L53,"")</f>
        <v/>
      </c>
      <c r="AS53" s="21" t="str">
        <f>IF(AND('Atividades Micro'!$B53=AS$2,'Atividades Micro'!$K53&lt;&gt;""),'Atividades Micro'!$K53,"")</f>
        <v/>
      </c>
      <c r="AT53" s="21" t="str">
        <f>IF(AND('Atividades Micro'!$B53=AT$2,'Atividades Micro'!$L53&lt;&gt;""),'Atividades Micro'!$L53,"")</f>
        <v/>
      </c>
      <c r="AU53" s="21" t="str">
        <f>IF(AND('Atividades Micro'!$A53=AU$2,'Atividades Micro'!$K53&lt;&gt;""),'Atividades Micro'!$K53,"")</f>
        <v/>
      </c>
      <c r="AV53" s="21" t="str">
        <f>IF(AND('Atividades Micro'!$A53=AV$2,'Atividades Micro'!$L53&lt;&gt;""),'Atividades Micro'!$L53,"")</f>
        <v/>
      </c>
      <c r="AW53" s="21" t="str">
        <f>IF(AND('Atividades Micro'!$B53=AW$2,'Atividades Micro'!$K53&lt;&gt;""),'Atividades Micro'!$K53,"")</f>
        <v/>
      </c>
      <c r="AX53" s="21" t="str">
        <f>IF(AND('Atividades Micro'!$B53=AX$2,'Atividades Micro'!$L53&lt;&gt;""),'Atividades Micro'!$L53,"")</f>
        <v/>
      </c>
      <c r="AY53" s="21" t="str">
        <f>IF(AND('Atividades Micro'!$A53=AY$2,'Atividades Micro'!$K53&lt;&gt;""),'Atividades Micro'!$K53,"")</f>
        <v/>
      </c>
      <c r="AZ53" s="21" t="str">
        <f>IF(AND('Atividades Micro'!$A53=AZ$2,'Atividades Micro'!$L53&lt;&gt;""),'Atividades Micro'!$L53,"")</f>
        <v/>
      </c>
      <c r="BA53" s="21" t="str">
        <f>IF(AND('Atividades Micro'!$B53=BA$2,'Atividades Micro'!$K53&lt;&gt;""),'Atividades Micro'!$K53,"")</f>
        <v/>
      </c>
      <c r="BB53" s="21" t="str">
        <f>IF(AND('Atividades Micro'!$B53=BB$2,'Atividades Micro'!$L53&lt;&gt;""),'Atividades Micro'!$L53,"")</f>
        <v/>
      </c>
      <c r="BC53" s="21" t="str">
        <f>IF(AND('Atividades Micro'!$B53=BC$2,'Atividades Micro'!$G53="Macro",'Atividades Micro'!$K53&lt;&gt;""),'Atividades Micro'!$K53,"")</f>
        <v/>
      </c>
      <c r="BD53" s="21" t="str">
        <f>IF(AND('Atividades Micro'!$B53=BD$2,'Atividades Micro'!$G53="Macro",'Atividades Micro'!$K53&lt;&gt;""),'Atividades Micro'!$K53,"")</f>
        <v/>
      </c>
      <c r="BE53" s="21" t="str">
        <f>IF(AND('Atividades Micro'!$B53=BE$2,'Atividades Micro'!$G53="Macro",'Atividades Micro'!$K53&lt;&gt;""),'Atividades Micro'!$K53,"")</f>
        <v/>
      </c>
      <c r="BF53" s="21" t="str">
        <f>IF(AND('Atividades Micro'!$B53=BF$2,'Atividades Micro'!$G53="Macro",'Atividades Micro'!$K53&lt;&gt;""),'Atividades Micro'!$K53,"")</f>
        <v/>
      </c>
      <c r="BG53" s="21" t="str">
        <f>IF(AND('Atividades Micro'!$B53=BG$2,'Atividades Micro'!$G53="Macro",'Atividades Micro'!$K53&lt;&gt;""),'Atividades Micro'!$K53,"")</f>
        <v/>
      </c>
      <c r="BH53" s="21" t="str">
        <f>IF(AND('Atividades Micro'!$B53=BH$2,'Atividades Micro'!$G53="Macro",'Atividades Micro'!$K53&lt;&gt;""),'Atividades Micro'!$K53,"")</f>
        <v/>
      </c>
      <c r="BI53" s="21" t="str">
        <f>IF(AND('Atividades Micro'!$B53=BI$2,'Atividades Micro'!$G53="Macro",'Atividades Micro'!$K53&lt;&gt;""),'Atividades Micro'!$K53,"")</f>
        <v/>
      </c>
      <c r="BJ53" s="21" t="str">
        <f>IF(AND('Atividades Micro'!$B53=BJ$2,'Atividades Micro'!$G53="Macro",'Atividades Micro'!$K53&lt;&gt;""),'Atividades Micro'!$K53,"")</f>
        <v/>
      </c>
      <c r="BK53" s="21" t="str">
        <f>IF(AND('Atividades Micro'!$B53=BK$2,'Atividades Micro'!$G53="Macro",'Atividades Micro'!$K53&lt;&gt;""),'Atividades Micro'!$K53,"")</f>
        <v/>
      </c>
      <c r="BL53" s="21" t="str">
        <f>IF(AND('Atividades Micro'!$B53=BL$2,'Atividades Micro'!$G53="Macro",'Atividades Micro'!$K53&lt;&gt;""),'Atividades Micro'!$K53,"")</f>
        <v/>
      </c>
      <c r="BM53" s="21" t="str">
        <f>IF(AND('Atividades Micro'!$B53=BM$2,'Atividades Micro'!$G53="Macro",'Atividades Micro'!$K53&lt;&gt;""),'Atividades Micro'!$K53,"")</f>
        <v/>
      </c>
      <c r="BN53" s="21" t="str">
        <f>IF(AND('Atividades Micro'!$B53=BN$2,'Atividades Micro'!$G53="Macro",'Atividades Micro'!$K53&lt;&gt;""),'Atividades Micro'!$K53,"")</f>
        <v/>
      </c>
      <c r="BO53" s="21" t="str">
        <f>IF(AND('Atividades Micro'!$B53=BO$2,'Atividades Micro'!$G53="Macro",'Atividades Micro'!$K53&lt;&gt;""),'Atividades Micro'!$K53,"")</f>
        <v/>
      </c>
      <c r="BP53" s="21" t="str">
        <f>IF(AND('Atividades Micro'!$B53=BP$2,'Atividades Micro'!$G53="Macro",'Atividades Micro'!$K53&lt;&gt;""),'Atividades Micro'!$K53,"")</f>
        <v/>
      </c>
      <c r="BQ53" s="21" t="str">
        <f>IF(AND('Atividades Micro'!$B53=BQ$2,'Atividades Micro'!$G53="Macro",'Atividades Micro'!$K53&lt;&gt;""),'Atividades Micro'!$K53,"")</f>
        <v/>
      </c>
      <c r="BR53" s="21" t="str">
        <f>IF(AND('Atividades Micro'!$B53=BR$2,'Atividades Micro'!$G53="Macro",'Atividades Micro'!$K53&lt;&gt;""),'Atividades Micro'!$K53,"")</f>
        <v/>
      </c>
      <c r="BS53" s="21" t="str">
        <f>IF(AND('Atividades Micro'!$B53=BS$2,'Atividades Micro'!$G53="Macro",'Atividades Micro'!$K53&lt;&gt;""),'Atividades Micro'!$K53,"")</f>
        <v/>
      </c>
      <c r="BT53" s="21" t="str">
        <f>IF(AND('Atividades Micro'!$B53=BT$2,'Atividades Micro'!$G53="Macro",'Atividades Micro'!$K53&lt;&gt;""),'Atividades Micro'!$K53,"")</f>
        <v/>
      </c>
      <c r="BU53" s="21" t="str">
        <f>IF(AND('Atividades Micro'!$B53=BU$2,'Atividades Micro'!$G53="Macro",'Atividades Micro'!$K53&lt;&gt;""),'Atividades Micro'!$K53,"")</f>
        <v/>
      </c>
      <c r="BV53" s="21" t="str">
        <f>IF(AND('Atividades Micro'!$B53=BV$2,'Atividades Micro'!$G53="Macro",'Atividades Micro'!$K53&lt;&gt;""),'Atividades Micro'!$K53,"")</f>
        <v/>
      </c>
      <c r="BW53" s="21" t="str">
        <f>IF(AND('Atividades Micro'!$B53=BW$2,'Atividades Micro'!$G53="Macro",'Atividades Micro'!$K53&lt;&gt;""),'Atividades Micro'!$K53,"")</f>
        <v/>
      </c>
      <c r="BX53" s="21" t="str">
        <f>IF(AND('Atividades Micro'!$B53=BX$2,'Atividades Micro'!$G53="Macro",'Atividades Micro'!$K53&lt;&gt;""),'Atividades Micro'!$K53,"")</f>
        <v/>
      </c>
      <c r="BY53" s="21" t="str">
        <f>IF(AND('Atividades Micro'!$B53=BY$2,'Atividades Micro'!$G53="Macro",'Atividades Micro'!$K53&lt;&gt;""),'Atividades Micro'!$K53,"")</f>
        <v/>
      </c>
      <c r="BZ53" s="21" t="str">
        <f>IF(AND('Atividades Micro'!$B53=BZ$2,'Atividades Micro'!$G53="Macro",'Atividades Micro'!$K53&lt;&gt;""),'Atividades Micro'!$K53,"")</f>
        <v/>
      </c>
      <c r="CA53" s="21" t="str">
        <f>IF(AND('Atividades Micro'!$B53=CA$2,'Atividades Micro'!$G53="Macro",'Atividades Micro'!$K53&lt;&gt;""),'Atividades Micro'!$K53,"")</f>
        <v/>
      </c>
      <c r="CB53" s="21" t="str">
        <f>IF(AND('Atividades Micro'!$B53=CB$2,'Atividades Micro'!$G53="Macro",'Atividades Micro'!$K53&lt;&gt;""),'Atividades Micro'!$K53,"")</f>
        <v/>
      </c>
      <c r="CC53" s="21" t="str">
        <f>IF(AND('Atividades Micro'!$B53=CC$2,'Atividades Micro'!$G53="Macro",'Atividades Micro'!$K53&lt;&gt;""),'Atividades Micro'!$K53,"")</f>
        <v/>
      </c>
      <c r="CD53" s="21" t="str">
        <f>IF(AND('Atividades Micro'!$B53=CD$2,'Atividades Micro'!$G53="Micro",'Atividades Micro'!$K53&lt;&gt;""),'Atividades Micro'!$K53,"")</f>
        <v/>
      </c>
      <c r="CE53" s="21">
        <f>IF(AND('Atividades Micro'!$B53=CE$2,'Atividades Micro'!$G53="Micro",'Atividades Micro'!$K53&lt;&gt;""),'Atividades Micro'!$K53,"")</f>
        <v>46289</v>
      </c>
      <c r="CF53" s="21" t="str">
        <f>IF(AND('Atividades Micro'!$B53=CF$2,'Atividades Micro'!$G53="Micro",'Atividades Micro'!$K53&lt;&gt;""),'Atividades Micro'!$K53,"")</f>
        <v/>
      </c>
      <c r="CG53" s="21" t="str">
        <f>IF(AND('Atividades Micro'!$B53=CG$2,'Atividades Micro'!$G53="Micro",'Atividades Micro'!$K53&lt;&gt;""),'Atividades Micro'!$K53,"")</f>
        <v/>
      </c>
      <c r="CH53" s="21" t="str">
        <f>IF(AND('Atividades Micro'!$B53=CH$2,'Atividades Micro'!$G53="Micro",'Atividades Micro'!$K53&lt;&gt;""),'Atividades Micro'!$K53,"")</f>
        <v/>
      </c>
      <c r="CI53" s="21" t="str">
        <f>IF(AND('Atividades Micro'!$B53=CI$2,'Atividades Micro'!$G53="Micro",'Atividades Micro'!$K53&lt;&gt;""),'Atividades Micro'!$K53,"")</f>
        <v/>
      </c>
      <c r="CJ53" s="21" t="str">
        <f>IF(AND('Atividades Micro'!$B53=CJ$2,'Atividades Micro'!$G53="Micro",'Atividades Micro'!$K53&lt;&gt;""),'Atividades Micro'!$K53,"")</f>
        <v/>
      </c>
      <c r="CK53" s="21" t="str">
        <f>IF(AND('Atividades Micro'!$B53=CK$2,'Atividades Micro'!$G53="Micro",'Atividades Micro'!$K53&lt;&gt;""),'Atividades Micro'!$K53,"")</f>
        <v/>
      </c>
      <c r="CL53" s="21" t="str">
        <f>IF(AND('Atividades Micro'!$B53=CL$2,'Atividades Micro'!$G53="Micro",'Atividades Micro'!$K53&lt;&gt;""),'Atividades Micro'!$K53,"")</f>
        <v/>
      </c>
      <c r="CM53" s="21" t="str">
        <f>IF(AND('Atividades Micro'!$B53=CM$2,'Atividades Micro'!$G53="Micro",'Atividades Micro'!$K53&lt;&gt;""),'Atividades Micro'!$K53,"")</f>
        <v/>
      </c>
      <c r="CN53" s="21" t="str">
        <f>IF(AND('Atividades Micro'!$B53=CN$2,'Atividades Micro'!$G53="Micro",'Atividades Micro'!$K53&lt;&gt;""),'Atividades Micro'!$K53,"")</f>
        <v/>
      </c>
      <c r="CO53" s="21" t="str">
        <f>IF(AND('Atividades Micro'!$B53=CO$2,'Atividades Micro'!$G53="Micro",'Atividades Micro'!$K53&lt;&gt;""),'Atividades Micro'!$K53,"")</f>
        <v/>
      </c>
    </row>
    <row r="54" spans="1:93">
      <c r="A54" s="21" t="str">
        <f>IF(AND('Atividades Micro'!$A54=A$2,'Atividades Micro'!$K54&lt;&gt;""),'Atividades Micro'!$K54,"")</f>
        <v/>
      </c>
      <c r="B54" s="21" t="str">
        <f>IF(AND('Atividades Micro'!$A54=B$2,'Atividades Micro'!$L54&lt;&gt;""),'Atividades Micro'!$L54,"")</f>
        <v/>
      </c>
      <c r="C54" s="21" t="str">
        <f>IF(AND('Atividades Micro'!$A54=C$2,'Atividades Micro'!$K54&lt;&gt;""),'Atividades Micro'!$K54,"")</f>
        <v/>
      </c>
      <c r="D54" s="21" t="str">
        <f>IF(AND('Atividades Micro'!$A54=D$2,'Atividades Micro'!$L54&lt;&gt;""),'Atividades Micro'!$L54,"")</f>
        <v/>
      </c>
      <c r="E54" s="21" t="str">
        <f>IF(AND('Atividades Micro'!$A54=E$2,'Atividades Micro'!$K54&lt;&gt;""),'Atividades Micro'!$K54,"")</f>
        <v/>
      </c>
      <c r="F54" s="21" t="str">
        <f>IF(AND('Atividades Micro'!$A54=F$2,'Atividades Micro'!$L54&lt;&gt;""),'Atividades Micro'!$L54,"")</f>
        <v/>
      </c>
      <c r="G54" s="21" t="str">
        <f>IF(AND('Atividades Micro'!$A54=G$2,'Atividades Micro'!$K54&lt;&gt;""),'Atividades Micro'!$K54,"")</f>
        <v/>
      </c>
      <c r="H54" s="21" t="str">
        <f>IF(AND('Atividades Micro'!$A54=H$2,'Atividades Micro'!$L54&lt;&gt;""),'Atividades Micro'!$L54,"")</f>
        <v/>
      </c>
      <c r="I54" s="21">
        <f>IF(AND('Atividades Micro'!$A54=I$2,'Atividades Micro'!$K54&lt;&gt;""),'Atividades Micro'!$K54,"")</f>
        <v>46293</v>
      </c>
      <c r="J54" s="21">
        <f>IF(AND('Atividades Micro'!$A54=J$2,'Atividades Micro'!$L54&lt;&gt;""),'Atividades Micro'!$L54,"")</f>
        <v>46266</v>
      </c>
      <c r="K54" s="21" t="str">
        <f>IF(AND('Atividades Micro'!$B54=K$2,'Atividades Micro'!$K54&lt;&gt;""),'Atividades Micro'!$K54,"")</f>
        <v/>
      </c>
      <c r="L54" s="21" t="str">
        <f>IF(AND('Atividades Micro'!$B54=L$2,'Atividades Micro'!$L54&lt;&gt;""),'Atividades Micro'!$L54,"")</f>
        <v/>
      </c>
      <c r="M54" s="21">
        <f>IF(AND('Atividades Micro'!$B54=M$2,'Atividades Micro'!$K54&lt;&gt;""),'Atividades Micro'!$K54,"")</f>
        <v>46293</v>
      </c>
      <c r="N54" s="21">
        <f>IF(AND('Atividades Micro'!$B54=N$2,'Atividades Micro'!$L54&lt;&gt;""),'Atividades Micro'!$L54,"")</f>
        <v>46266</v>
      </c>
      <c r="O54" s="21" t="str">
        <f>IF(AND('Atividades Micro'!$A54=O$2,'Atividades Micro'!$K54&lt;&gt;""),'Atividades Micro'!$K54,"")</f>
        <v/>
      </c>
      <c r="P54" s="21" t="str">
        <f>IF(AND('Atividades Micro'!$A54=P$2,'Atividades Micro'!$L54&lt;&gt;""),'Atividades Micro'!$L54,"")</f>
        <v/>
      </c>
      <c r="Q54" s="21" t="str">
        <f>IF(AND('Atividades Micro'!$B54=Q$2,'Atividades Micro'!$K54&lt;&gt;""),'Atividades Micro'!$K54,"")</f>
        <v/>
      </c>
      <c r="R54" s="21" t="str">
        <f>IF(AND('Atividades Micro'!$B54=R$2,'Atividades Micro'!$L54&lt;&gt;""),'Atividades Micro'!$L54,"")</f>
        <v/>
      </c>
      <c r="S54" s="21" t="str">
        <f>IF(AND('Atividades Micro'!$A54=S$2,'Atividades Micro'!$K54&lt;&gt;""),'Atividades Micro'!$K54,"")</f>
        <v/>
      </c>
      <c r="T54" s="21" t="str">
        <f>IF(AND('Atividades Micro'!$A54=T$2,'Atividades Micro'!$L54&lt;&gt;""),'Atividades Micro'!$L54,"")</f>
        <v/>
      </c>
      <c r="U54" s="21" t="str">
        <f>IF(AND('Atividades Micro'!$B54=U$2,'Atividades Micro'!$K54&lt;&gt;""),'Atividades Micro'!$K54,"")</f>
        <v/>
      </c>
      <c r="V54" s="21" t="str">
        <f>IF(AND('Atividades Micro'!$B54=V$2,'Atividades Micro'!$L54&lt;&gt;""),'Atividades Micro'!$L54,"")</f>
        <v/>
      </c>
      <c r="W54" s="21" t="str">
        <f>IF(AND('Atividades Micro'!$B54=W$2,'Atividades Micro'!$K54&lt;&gt;""),'Atividades Micro'!$K54,"")</f>
        <v/>
      </c>
      <c r="X54" s="21" t="str">
        <f>IF(AND('Atividades Micro'!$B54=X$2,'Atividades Micro'!$L54&lt;&gt;""),'Atividades Micro'!$L54,"")</f>
        <v/>
      </c>
      <c r="Y54" s="21" t="str">
        <f>IF(AND('Atividades Micro'!$A54=Y$2,'Atividades Micro'!$K54&lt;&gt;""),'Atividades Micro'!$K54,"")</f>
        <v/>
      </c>
      <c r="Z54" s="21" t="str">
        <f>IF(AND('Atividades Micro'!$A54=Z$2,'Atividades Micro'!$L54&lt;&gt;""),'Atividades Micro'!$L54,"")</f>
        <v/>
      </c>
      <c r="AA54" s="21" t="str">
        <f>IF(AND('Atividades Micro'!$B54=AA$2,'Atividades Micro'!$K54&lt;&gt;""),'Atividades Micro'!$K54,"")</f>
        <v/>
      </c>
      <c r="AB54" s="21" t="str">
        <f>IF(AND('Atividades Micro'!$B54=AB$2,'Atividades Micro'!$L54&lt;&gt;""),'Atividades Micro'!$L54,"")</f>
        <v/>
      </c>
      <c r="AC54" s="21" t="str">
        <f>IF(AND('Atividades Micro'!$B54=AC$2,'Atividades Micro'!$K54&lt;&gt;""),'Atividades Micro'!$K54,"")</f>
        <v/>
      </c>
      <c r="AD54" s="21" t="str">
        <f>IF(AND('Atividades Micro'!$B54=AD$2,'Atividades Micro'!$L54&lt;&gt;""),'Atividades Micro'!$L54,"")</f>
        <v/>
      </c>
      <c r="AE54" s="21" t="str">
        <f>IF(AND('Atividades Micro'!$A54=AE$2,'Atividades Micro'!$K54&lt;&gt;""),'Atividades Micro'!$K54,"")</f>
        <v/>
      </c>
      <c r="AF54" s="21" t="str">
        <f>IF(AND('Atividades Micro'!$A54=AF$2,'Atividades Micro'!$L54&lt;&gt;""),'Atividades Micro'!$L54,"")</f>
        <v/>
      </c>
      <c r="AG54" s="21" t="str">
        <f>IF(AND('Atividades Micro'!$B54=AG$2,'Atividades Micro'!$K54&lt;&gt;""),'Atividades Micro'!$K54,"")</f>
        <v/>
      </c>
      <c r="AH54" s="21" t="str">
        <f>IF(AND('Atividades Micro'!$B54=AH$2,'Atividades Micro'!$L54&lt;&gt;""),'Atividades Micro'!$L54,"")</f>
        <v/>
      </c>
      <c r="AI54" s="21" t="str">
        <f>IF(AND('Atividades Micro'!$B54=AI$2,'Atividades Micro'!$K54&lt;&gt;""),'Atividades Micro'!$K54,"")</f>
        <v/>
      </c>
      <c r="AJ54" s="21" t="str">
        <f>IF(AND('Atividades Micro'!$B54=AJ$2,'Atividades Micro'!$L54&lt;&gt;""),'Atividades Micro'!$L54,"")</f>
        <v/>
      </c>
      <c r="AK54" s="21" t="str">
        <f>IF(AND('Atividades Micro'!$A54=AK$2,'Atividades Micro'!$K54&lt;&gt;""),'Atividades Micro'!$K54,"")</f>
        <v/>
      </c>
      <c r="AL54" s="21" t="str">
        <f>IF(AND('Atividades Micro'!$A54=AL$2,'Atividades Micro'!$L54&lt;&gt;""),'Atividades Micro'!$L54,"")</f>
        <v/>
      </c>
      <c r="AM54" s="21" t="str">
        <f>IF(AND('Atividades Micro'!$B54=AM$2,'Atividades Micro'!$K54&lt;&gt;""),'Atividades Micro'!$K54,"")</f>
        <v/>
      </c>
      <c r="AN54" s="21" t="str">
        <f>IF(AND('Atividades Micro'!$B54=AN$2,'Atividades Micro'!$L54&lt;&gt;""),'Atividades Micro'!$L54,"")</f>
        <v/>
      </c>
      <c r="AO54" s="21" t="str">
        <f>IF(AND('Atividades Micro'!$B54=AO$2,'Atividades Micro'!$K54&lt;&gt;""),'Atividades Micro'!$K54,"")</f>
        <v/>
      </c>
      <c r="AP54" s="21" t="str">
        <f>IF(AND('Atividades Micro'!$B54=AP$2,'Atividades Micro'!$L54&lt;&gt;""),'Atividades Micro'!$L54,"")</f>
        <v/>
      </c>
      <c r="AQ54" s="21" t="str">
        <f>IF(AND('Atividades Micro'!$A54=AQ$2,'Atividades Micro'!$K54&lt;&gt;""),'Atividades Micro'!$K54,"")</f>
        <v/>
      </c>
      <c r="AR54" s="21" t="str">
        <f>IF(AND('Atividades Micro'!$A54=AR$2,'Atividades Micro'!$L54&lt;&gt;""),'Atividades Micro'!$L54,"")</f>
        <v/>
      </c>
      <c r="AS54" s="21" t="str">
        <f>IF(AND('Atividades Micro'!$B54=AS$2,'Atividades Micro'!$K54&lt;&gt;""),'Atividades Micro'!$K54,"")</f>
        <v/>
      </c>
      <c r="AT54" s="21" t="str">
        <f>IF(AND('Atividades Micro'!$B54=AT$2,'Atividades Micro'!$L54&lt;&gt;""),'Atividades Micro'!$L54,"")</f>
        <v/>
      </c>
      <c r="AU54" s="21" t="str">
        <f>IF(AND('Atividades Micro'!$A54=AU$2,'Atividades Micro'!$K54&lt;&gt;""),'Atividades Micro'!$K54,"")</f>
        <v/>
      </c>
      <c r="AV54" s="21" t="str">
        <f>IF(AND('Atividades Micro'!$A54=AV$2,'Atividades Micro'!$L54&lt;&gt;""),'Atividades Micro'!$L54,"")</f>
        <v/>
      </c>
      <c r="AW54" s="21" t="str">
        <f>IF(AND('Atividades Micro'!$B54=AW$2,'Atividades Micro'!$K54&lt;&gt;""),'Atividades Micro'!$K54,"")</f>
        <v/>
      </c>
      <c r="AX54" s="21" t="str">
        <f>IF(AND('Atividades Micro'!$B54=AX$2,'Atividades Micro'!$L54&lt;&gt;""),'Atividades Micro'!$L54,"")</f>
        <v/>
      </c>
      <c r="AY54" s="21" t="str">
        <f>IF(AND('Atividades Micro'!$A54=AY$2,'Atividades Micro'!$K54&lt;&gt;""),'Atividades Micro'!$K54,"")</f>
        <v/>
      </c>
      <c r="AZ54" s="21" t="str">
        <f>IF(AND('Atividades Micro'!$A54=AZ$2,'Atividades Micro'!$L54&lt;&gt;""),'Atividades Micro'!$L54,"")</f>
        <v/>
      </c>
      <c r="BA54" s="21" t="str">
        <f>IF(AND('Atividades Micro'!$B54=BA$2,'Atividades Micro'!$K54&lt;&gt;""),'Atividades Micro'!$K54,"")</f>
        <v/>
      </c>
      <c r="BB54" s="21" t="str">
        <f>IF(AND('Atividades Micro'!$B54=BB$2,'Atividades Micro'!$L54&lt;&gt;""),'Atividades Micro'!$L54,"")</f>
        <v/>
      </c>
      <c r="BC54" s="21" t="str">
        <f>IF(AND('Atividades Micro'!$B54=BC$2,'Atividades Micro'!$G54="Macro",'Atividades Micro'!$K54&lt;&gt;""),'Atividades Micro'!$K54,"")</f>
        <v/>
      </c>
      <c r="BD54" s="21" t="str">
        <f>IF(AND('Atividades Micro'!$B54=BD$2,'Atividades Micro'!$G54="Macro",'Atividades Micro'!$K54&lt;&gt;""),'Atividades Micro'!$K54,"")</f>
        <v/>
      </c>
      <c r="BE54" s="21" t="str">
        <f>IF(AND('Atividades Micro'!$B54=BE$2,'Atividades Micro'!$G54="Macro",'Atividades Micro'!$K54&lt;&gt;""),'Atividades Micro'!$K54,"")</f>
        <v/>
      </c>
      <c r="BF54" s="21" t="str">
        <f>IF(AND('Atividades Micro'!$B54=BF$2,'Atividades Micro'!$G54="Macro",'Atividades Micro'!$K54&lt;&gt;""),'Atividades Micro'!$K54,"")</f>
        <v/>
      </c>
      <c r="BG54" s="21" t="str">
        <f>IF(AND('Atividades Micro'!$B54=BG$2,'Atividades Micro'!$G54="Macro",'Atividades Micro'!$K54&lt;&gt;""),'Atividades Micro'!$K54,"")</f>
        <v/>
      </c>
      <c r="BH54" s="21" t="str">
        <f>IF(AND('Atividades Micro'!$B54=BH$2,'Atividades Micro'!$G54="Macro",'Atividades Micro'!$K54&lt;&gt;""),'Atividades Micro'!$K54,"")</f>
        <v/>
      </c>
      <c r="BI54" s="21" t="str">
        <f>IF(AND('Atividades Micro'!$B54=BI$2,'Atividades Micro'!$G54="Macro",'Atividades Micro'!$K54&lt;&gt;""),'Atividades Micro'!$K54,"")</f>
        <v/>
      </c>
      <c r="BJ54" s="21" t="str">
        <f>IF(AND('Atividades Micro'!$B54=BJ$2,'Atividades Micro'!$G54="Macro",'Atividades Micro'!$K54&lt;&gt;""),'Atividades Micro'!$K54,"")</f>
        <v/>
      </c>
      <c r="BK54" s="21" t="str">
        <f>IF(AND('Atividades Micro'!$B54=BK$2,'Atividades Micro'!$G54="Macro",'Atividades Micro'!$K54&lt;&gt;""),'Atividades Micro'!$K54,"")</f>
        <v/>
      </c>
      <c r="BL54" s="21" t="str">
        <f>IF(AND('Atividades Micro'!$B54=BL$2,'Atividades Micro'!$G54="Macro",'Atividades Micro'!$K54&lt;&gt;""),'Atividades Micro'!$K54,"")</f>
        <v/>
      </c>
      <c r="BM54" s="21" t="str">
        <f>IF(AND('Atividades Micro'!$B54=BM$2,'Atividades Micro'!$G54="Macro",'Atividades Micro'!$K54&lt;&gt;""),'Atividades Micro'!$K54,"")</f>
        <v/>
      </c>
      <c r="BN54" s="21" t="str">
        <f>IF(AND('Atividades Micro'!$B54=BN$2,'Atividades Micro'!$G54="Macro",'Atividades Micro'!$K54&lt;&gt;""),'Atividades Micro'!$K54,"")</f>
        <v/>
      </c>
      <c r="BO54" s="21" t="str">
        <f>IF(AND('Atividades Micro'!$B54=BO$2,'Atividades Micro'!$G54="Macro",'Atividades Micro'!$K54&lt;&gt;""),'Atividades Micro'!$K54,"")</f>
        <v/>
      </c>
      <c r="BP54" s="21" t="str">
        <f>IF(AND('Atividades Micro'!$B54=BP$2,'Atividades Micro'!$G54="Macro",'Atividades Micro'!$K54&lt;&gt;""),'Atividades Micro'!$K54,"")</f>
        <v/>
      </c>
      <c r="BQ54" s="21" t="str">
        <f>IF(AND('Atividades Micro'!$B54=BQ$2,'Atividades Micro'!$G54="Macro",'Atividades Micro'!$K54&lt;&gt;""),'Atividades Micro'!$K54,"")</f>
        <v/>
      </c>
      <c r="BR54" s="21" t="str">
        <f>IF(AND('Atividades Micro'!$B54=BR$2,'Atividades Micro'!$G54="Macro",'Atividades Micro'!$K54&lt;&gt;""),'Atividades Micro'!$K54,"")</f>
        <v/>
      </c>
      <c r="BS54" s="21" t="str">
        <f>IF(AND('Atividades Micro'!$B54=BS$2,'Atividades Micro'!$G54="Macro",'Atividades Micro'!$K54&lt;&gt;""),'Atividades Micro'!$K54,"")</f>
        <v/>
      </c>
      <c r="BT54" s="21" t="str">
        <f>IF(AND('Atividades Micro'!$B54=BT$2,'Atividades Micro'!$G54="Macro",'Atividades Micro'!$K54&lt;&gt;""),'Atividades Micro'!$K54,"")</f>
        <v/>
      </c>
      <c r="BU54" s="21" t="str">
        <f>IF(AND('Atividades Micro'!$B54=BU$2,'Atividades Micro'!$G54="Macro",'Atividades Micro'!$K54&lt;&gt;""),'Atividades Micro'!$K54,"")</f>
        <v/>
      </c>
      <c r="BV54" s="21" t="str">
        <f>IF(AND('Atividades Micro'!$B54=BV$2,'Atividades Micro'!$G54="Macro",'Atividades Micro'!$K54&lt;&gt;""),'Atividades Micro'!$K54,"")</f>
        <v/>
      </c>
      <c r="BW54" s="21" t="str">
        <f>IF(AND('Atividades Micro'!$B54=BW$2,'Atividades Micro'!$G54="Macro",'Atividades Micro'!$K54&lt;&gt;""),'Atividades Micro'!$K54,"")</f>
        <v/>
      </c>
      <c r="BX54" s="21" t="str">
        <f>IF(AND('Atividades Micro'!$B54=BX$2,'Atividades Micro'!$G54="Macro",'Atividades Micro'!$K54&lt;&gt;""),'Atividades Micro'!$K54,"")</f>
        <v/>
      </c>
      <c r="BY54" s="21" t="str">
        <f>IF(AND('Atividades Micro'!$B54=BY$2,'Atividades Micro'!$G54="Macro",'Atividades Micro'!$K54&lt;&gt;""),'Atividades Micro'!$K54,"")</f>
        <v/>
      </c>
      <c r="BZ54" s="21" t="str">
        <f>IF(AND('Atividades Micro'!$B54=BZ$2,'Atividades Micro'!$G54="Macro",'Atividades Micro'!$K54&lt;&gt;""),'Atividades Micro'!$K54,"")</f>
        <v/>
      </c>
      <c r="CA54" s="21" t="str">
        <f>IF(AND('Atividades Micro'!$B54=CA$2,'Atividades Micro'!$G54="Macro",'Atividades Micro'!$K54&lt;&gt;""),'Atividades Micro'!$K54,"")</f>
        <v/>
      </c>
      <c r="CB54" s="21" t="str">
        <f>IF(AND('Atividades Micro'!$B54=CB$2,'Atividades Micro'!$G54="Macro",'Atividades Micro'!$K54&lt;&gt;""),'Atividades Micro'!$K54,"")</f>
        <v/>
      </c>
      <c r="CC54" s="21" t="str">
        <f>IF(AND('Atividades Micro'!$B54=CC$2,'Atividades Micro'!$G54="Macro",'Atividades Micro'!$K54&lt;&gt;""),'Atividades Micro'!$K54,"")</f>
        <v/>
      </c>
      <c r="CD54" s="21" t="str">
        <f>IF(AND('Atividades Micro'!$B54=CD$2,'Atividades Micro'!$G54="Micro",'Atividades Micro'!$K54&lt;&gt;""),'Atividades Micro'!$K54,"")</f>
        <v/>
      </c>
      <c r="CE54" s="21">
        <f>IF(AND('Atividades Micro'!$B54=CE$2,'Atividades Micro'!$G54="Micro",'Atividades Micro'!$K54&lt;&gt;""),'Atividades Micro'!$K54,"")</f>
        <v>46293</v>
      </c>
      <c r="CF54" s="21" t="str">
        <f>IF(AND('Atividades Micro'!$B54=CF$2,'Atividades Micro'!$G54="Micro",'Atividades Micro'!$K54&lt;&gt;""),'Atividades Micro'!$K54,"")</f>
        <v/>
      </c>
      <c r="CG54" s="21" t="str">
        <f>IF(AND('Atividades Micro'!$B54=CG$2,'Atividades Micro'!$G54="Micro",'Atividades Micro'!$K54&lt;&gt;""),'Atividades Micro'!$K54,"")</f>
        <v/>
      </c>
      <c r="CH54" s="21" t="str">
        <f>IF(AND('Atividades Micro'!$B54=CH$2,'Atividades Micro'!$G54="Micro",'Atividades Micro'!$K54&lt;&gt;""),'Atividades Micro'!$K54,"")</f>
        <v/>
      </c>
      <c r="CI54" s="21" t="str">
        <f>IF(AND('Atividades Micro'!$B54=CI$2,'Atividades Micro'!$G54="Micro",'Atividades Micro'!$K54&lt;&gt;""),'Atividades Micro'!$K54,"")</f>
        <v/>
      </c>
      <c r="CJ54" s="21" t="str">
        <f>IF(AND('Atividades Micro'!$B54=CJ$2,'Atividades Micro'!$G54="Micro",'Atividades Micro'!$K54&lt;&gt;""),'Atividades Micro'!$K54,"")</f>
        <v/>
      </c>
      <c r="CK54" s="21" t="str">
        <f>IF(AND('Atividades Micro'!$B54=CK$2,'Atividades Micro'!$G54="Micro",'Atividades Micro'!$K54&lt;&gt;""),'Atividades Micro'!$K54,"")</f>
        <v/>
      </c>
      <c r="CL54" s="21" t="str">
        <f>IF(AND('Atividades Micro'!$B54=CL$2,'Atividades Micro'!$G54="Micro",'Atividades Micro'!$K54&lt;&gt;""),'Atividades Micro'!$K54,"")</f>
        <v/>
      </c>
      <c r="CM54" s="21" t="str">
        <f>IF(AND('Atividades Micro'!$B54=CM$2,'Atividades Micro'!$G54="Micro",'Atividades Micro'!$K54&lt;&gt;""),'Atividades Micro'!$K54,"")</f>
        <v/>
      </c>
      <c r="CN54" s="21" t="str">
        <f>IF(AND('Atividades Micro'!$B54=CN$2,'Atividades Micro'!$G54="Micro",'Atividades Micro'!$K54&lt;&gt;""),'Atividades Micro'!$K54,"")</f>
        <v/>
      </c>
      <c r="CO54" s="21" t="str">
        <f>IF(AND('Atividades Micro'!$B54=CO$2,'Atividades Micro'!$G54="Micro",'Atividades Micro'!$K54&lt;&gt;""),'Atividades Micro'!$K54,"")</f>
        <v/>
      </c>
    </row>
    <row r="55" spans="1:93">
      <c r="A55" s="21" t="str">
        <f>IF(AND('Atividades Micro'!$A55=A$2,'Atividades Micro'!$K55&lt;&gt;""),'Atividades Micro'!$K55,"")</f>
        <v/>
      </c>
      <c r="B55" s="21" t="str">
        <f>IF(AND('Atividades Micro'!$A55=B$2,'Atividades Micro'!$L55&lt;&gt;""),'Atividades Micro'!$L55,"")</f>
        <v/>
      </c>
      <c r="C55" s="21" t="str">
        <f>IF(AND('Atividades Micro'!$A55=C$2,'Atividades Micro'!$K55&lt;&gt;""),'Atividades Micro'!$K55,"")</f>
        <v/>
      </c>
      <c r="D55" s="21" t="str">
        <f>IF(AND('Atividades Micro'!$A55=D$2,'Atividades Micro'!$L55&lt;&gt;""),'Atividades Micro'!$L55,"")</f>
        <v/>
      </c>
      <c r="E55" s="21" t="str">
        <f>IF(AND('Atividades Micro'!$A55=E$2,'Atividades Micro'!$K55&lt;&gt;""),'Atividades Micro'!$K55,"")</f>
        <v/>
      </c>
      <c r="F55" s="21" t="str">
        <f>IF(AND('Atividades Micro'!$A55=F$2,'Atividades Micro'!$L55&lt;&gt;""),'Atividades Micro'!$L55,"")</f>
        <v/>
      </c>
      <c r="G55" s="21" t="str">
        <f>IF(AND('Atividades Micro'!$A55=G$2,'Atividades Micro'!$K55&lt;&gt;""),'Atividades Micro'!$K55,"")</f>
        <v/>
      </c>
      <c r="H55" s="21" t="str">
        <f>IF(AND('Atividades Micro'!$A55=H$2,'Atividades Micro'!$L55&lt;&gt;""),'Atividades Micro'!$L55,"")</f>
        <v/>
      </c>
      <c r="I55" s="21">
        <f>IF(AND('Atividades Micro'!$A55=I$2,'Atividades Micro'!$K55&lt;&gt;""),'Atividades Micro'!$K55,"")</f>
        <v>46294</v>
      </c>
      <c r="J55" s="21">
        <f>IF(AND('Atividades Micro'!$A55=J$2,'Atividades Micro'!$L55&lt;&gt;""),'Atividades Micro'!$L55,"")</f>
        <v>46266</v>
      </c>
      <c r="K55" s="21" t="str">
        <f>IF(AND('Atividades Micro'!$B55=K$2,'Atividades Micro'!$K55&lt;&gt;""),'Atividades Micro'!$K55,"")</f>
        <v/>
      </c>
      <c r="L55" s="21" t="str">
        <f>IF(AND('Atividades Micro'!$B55=L$2,'Atividades Micro'!$L55&lt;&gt;""),'Atividades Micro'!$L55,"")</f>
        <v/>
      </c>
      <c r="M55" s="21">
        <f>IF(AND('Atividades Micro'!$B55=M$2,'Atividades Micro'!$K55&lt;&gt;""),'Atividades Micro'!$K55,"")</f>
        <v>46294</v>
      </c>
      <c r="N55" s="21">
        <f>IF(AND('Atividades Micro'!$B55=N$2,'Atividades Micro'!$L55&lt;&gt;""),'Atividades Micro'!$L55,"")</f>
        <v>46266</v>
      </c>
      <c r="O55" s="21" t="str">
        <f>IF(AND('Atividades Micro'!$A55=O$2,'Atividades Micro'!$K55&lt;&gt;""),'Atividades Micro'!$K55,"")</f>
        <v/>
      </c>
      <c r="P55" s="21" t="str">
        <f>IF(AND('Atividades Micro'!$A55=P$2,'Atividades Micro'!$L55&lt;&gt;""),'Atividades Micro'!$L55,"")</f>
        <v/>
      </c>
      <c r="Q55" s="21" t="str">
        <f>IF(AND('Atividades Micro'!$B55=Q$2,'Atividades Micro'!$K55&lt;&gt;""),'Atividades Micro'!$K55,"")</f>
        <v/>
      </c>
      <c r="R55" s="21" t="str">
        <f>IF(AND('Atividades Micro'!$B55=R$2,'Atividades Micro'!$L55&lt;&gt;""),'Atividades Micro'!$L55,"")</f>
        <v/>
      </c>
      <c r="S55" s="21" t="str">
        <f>IF(AND('Atividades Micro'!$A55=S$2,'Atividades Micro'!$K55&lt;&gt;""),'Atividades Micro'!$K55,"")</f>
        <v/>
      </c>
      <c r="T55" s="21" t="str">
        <f>IF(AND('Atividades Micro'!$A55=T$2,'Atividades Micro'!$L55&lt;&gt;""),'Atividades Micro'!$L55,"")</f>
        <v/>
      </c>
      <c r="U55" s="21" t="str">
        <f>IF(AND('Atividades Micro'!$B55=U$2,'Atividades Micro'!$K55&lt;&gt;""),'Atividades Micro'!$K55,"")</f>
        <v/>
      </c>
      <c r="V55" s="21" t="str">
        <f>IF(AND('Atividades Micro'!$B55=V$2,'Atividades Micro'!$L55&lt;&gt;""),'Atividades Micro'!$L55,"")</f>
        <v/>
      </c>
      <c r="W55" s="21" t="str">
        <f>IF(AND('Atividades Micro'!$B55=W$2,'Atividades Micro'!$K55&lt;&gt;""),'Atividades Micro'!$K55,"")</f>
        <v/>
      </c>
      <c r="X55" s="21" t="str">
        <f>IF(AND('Atividades Micro'!$B55=X$2,'Atividades Micro'!$L55&lt;&gt;""),'Atividades Micro'!$L55,"")</f>
        <v/>
      </c>
      <c r="Y55" s="21" t="str">
        <f>IF(AND('Atividades Micro'!$A55=Y$2,'Atividades Micro'!$K55&lt;&gt;""),'Atividades Micro'!$K55,"")</f>
        <v/>
      </c>
      <c r="Z55" s="21" t="str">
        <f>IF(AND('Atividades Micro'!$A55=Z$2,'Atividades Micro'!$L55&lt;&gt;""),'Atividades Micro'!$L55,"")</f>
        <v/>
      </c>
      <c r="AA55" s="21" t="str">
        <f>IF(AND('Atividades Micro'!$B55=AA$2,'Atividades Micro'!$K55&lt;&gt;""),'Atividades Micro'!$K55,"")</f>
        <v/>
      </c>
      <c r="AB55" s="21" t="str">
        <f>IF(AND('Atividades Micro'!$B55=AB$2,'Atividades Micro'!$L55&lt;&gt;""),'Atividades Micro'!$L55,"")</f>
        <v/>
      </c>
      <c r="AC55" s="21" t="str">
        <f>IF(AND('Atividades Micro'!$B55=AC$2,'Atividades Micro'!$K55&lt;&gt;""),'Atividades Micro'!$K55,"")</f>
        <v/>
      </c>
      <c r="AD55" s="21" t="str">
        <f>IF(AND('Atividades Micro'!$B55=AD$2,'Atividades Micro'!$L55&lt;&gt;""),'Atividades Micro'!$L55,"")</f>
        <v/>
      </c>
      <c r="AE55" s="21" t="str">
        <f>IF(AND('Atividades Micro'!$A55=AE$2,'Atividades Micro'!$K55&lt;&gt;""),'Atividades Micro'!$K55,"")</f>
        <v/>
      </c>
      <c r="AF55" s="21" t="str">
        <f>IF(AND('Atividades Micro'!$A55=AF$2,'Atividades Micro'!$L55&lt;&gt;""),'Atividades Micro'!$L55,"")</f>
        <v/>
      </c>
      <c r="AG55" s="21" t="str">
        <f>IF(AND('Atividades Micro'!$B55=AG$2,'Atividades Micro'!$K55&lt;&gt;""),'Atividades Micro'!$K55,"")</f>
        <v/>
      </c>
      <c r="AH55" s="21" t="str">
        <f>IF(AND('Atividades Micro'!$B55=AH$2,'Atividades Micro'!$L55&lt;&gt;""),'Atividades Micro'!$L55,"")</f>
        <v/>
      </c>
      <c r="AI55" s="21" t="str">
        <f>IF(AND('Atividades Micro'!$B55=AI$2,'Atividades Micro'!$K55&lt;&gt;""),'Atividades Micro'!$K55,"")</f>
        <v/>
      </c>
      <c r="AJ55" s="21" t="str">
        <f>IF(AND('Atividades Micro'!$B55=AJ$2,'Atividades Micro'!$L55&lt;&gt;""),'Atividades Micro'!$L55,"")</f>
        <v/>
      </c>
      <c r="AK55" s="21" t="str">
        <f>IF(AND('Atividades Micro'!$A55=AK$2,'Atividades Micro'!$K55&lt;&gt;""),'Atividades Micro'!$K55,"")</f>
        <v/>
      </c>
      <c r="AL55" s="21" t="str">
        <f>IF(AND('Atividades Micro'!$A55=AL$2,'Atividades Micro'!$L55&lt;&gt;""),'Atividades Micro'!$L55,"")</f>
        <v/>
      </c>
      <c r="AM55" s="21" t="str">
        <f>IF(AND('Atividades Micro'!$B55=AM$2,'Atividades Micro'!$K55&lt;&gt;""),'Atividades Micro'!$K55,"")</f>
        <v/>
      </c>
      <c r="AN55" s="21" t="str">
        <f>IF(AND('Atividades Micro'!$B55=AN$2,'Atividades Micro'!$L55&lt;&gt;""),'Atividades Micro'!$L55,"")</f>
        <v/>
      </c>
      <c r="AO55" s="21" t="str">
        <f>IF(AND('Atividades Micro'!$B55=AO$2,'Atividades Micro'!$K55&lt;&gt;""),'Atividades Micro'!$K55,"")</f>
        <v/>
      </c>
      <c r="AP55" s="21" t="str">
        <f>IF(AND('Atividades Micro'!$B55=AP$2,'Atividades Micro'!$L55&lt;&gt;""),'Atividades Micro'!$L55,"")</f>
        <v/>
      </c>
      <c r="AQ55" s="21" t="str">
        <f>IF(AND('Atividades Micro'!$A55=AQ$2,'Atividades Micro'!$K55&lt;&gt;""),'Atividades Micro'!$K55,"")</f>
        <v/>
      </c>
      <c r="AR55" s="21" t="str">
        <f>IF(AND('Atividades Micro'!$A55=AR$2,'Atividades Micro'!$L55&lt;&gt;""),'Atividades Micro'!$L55,"")</f>
        <v/>
      </c>
      <c r="AS55" s="21" t="str">
        <f>IF(AND('Atividades Micro'!$B55=AS$2,'Atividades Micro'!$K55&lt;&gt;""),'Atividades Micro'!$K55,"")</f>
        <v/>
      </c>
      <c r="AT55" s="21" t="str">
        <f>IF(AND('Atividades Micro'!$B55=AT$2,'Atividades Micro'!$L55&lt;&gt;""),'Atividades Micro'!$L55,"")</f>
        <v/>
      </c>
      <c r="AU55" s="21" t="str">
        <f>IF(AND('Atividades Micro'!$A55=AU$2,'Atividades Micro'!$K55&lt;&gt;""),'Atividades Micro'!$K55,"")</f>
        <v/>
      </c>
      <c r="AV55" s="21" t="str">
        <f>IF(AND('Atividades Micro'!$A55=AV$2,'Atividades Micro'!$L55&lt;&gt;""),'Atividades Micro'!$L55,"")</f>
        <v/>
      </c>
      <c r="AW55" s="21" t="str">
        <f>IF(AND('Atividades Micro'!$B55=AW$2,'Atividades Micro'!$K55&lt;&gt;""),'Atividades Micro'!$K55,"")</f>
        <v/>
      </c>
      <c r="AX55" s="21" t="str">
        <f>IF(AND('Atividades Micro'!$B55=AX$2,'Atividades Micro'!$L55&lt;&gt;""),'Atividades Micro'!$L55,"")</f>
        <v/>
      </c>
      <c r="AY55" s="21" t="str">
        <f>IF(AND('Atividades Micro'!$A55=AY$2,'Atividades Micro'!$K55&lt;&gt;""),'Atividades Micro'!$K55,"")</f>
        <v/>
      </c>
      <c r="AZ55" s="21" t="str">
        <f>IF(AND('Atividades Micro'!$A55=AZ$2,'Atividades Micro'!$L55&lt;&gt;""),'Atividades Micro'!$L55,"")</f>
        <v/>
      </c>
      <c r="BA55" s="21" t="str">
        <f>IF(AND('Atividades Micro'!$B55=BA$2,'Atividades Micro'!$K55&lt;&gt;""),'Atividades Micro'!$K55,"")</f>
        <v/>
      </c>
      <c r="BB55" s="21" t="str">
        <f>IF(AND('Atividades Micro'!$B55=BB$2,'Atividades Micro'!$L55&lt;&gt;""),'Atividades Micro'!$L55,"")</f>
        <v/>
      </c>
      <c r="BC55" s="21" t="str">
        <f>IF(AND('Atividades Micro'!$B55=BC$2,'Atividades Micro'!$G55="Macro",'Atividades Micro'!$K55&lt;&gt;""),'Atividades Micro'!$K55,"")</f>
        <v/>
      </c>
      <c r="BD55" s="21" t="str">
        <f>IF(AND('Atividades Micro'!$B55=BD$2,'Atividades Micro'!$G55="Macro",'Atividades Micro'!$K55&lt;&gt;""),'Atividades Micro'!$K55,"")</f>
        <v/>
      </c>
      <c r="BE55" s="21" t="str">
        <f>IF(AND('Atividades Micro'!$B55=BE$2,'Atividades Micro'!$G55="Macro",'Atividades Micro'!$K55&lt;&gt;""),'Atividades Micro'!$K55,"")</f>
        <v/>
      </c>
      <c r="BF55" s="21" t="str">
        <f>IF(AND('Atividades Micro'!$B55=BF$2,'Atividades Micro'!$G55="Macro",'Atividades Micro'!$K55&lt;&gt;""),'Atividades Micro'!$K55,"")</f>
        <v/>
      </c>
      <c r="BG55" s="21" t="str">
        <f>IF(AND('Atividades Micro'!$B55=BG$2,'Atividades Micro'!$G55="Macro",'Atividades Micro'!$K55&lt;&gt;""),'Atividades Micro'!$K55,"")</f>
        <v/>
      </c>
      <c r="BH55" s="21" t="str">
        <f>IF(AND('Atividades Micro'!$B55=BH$2,'Atividades Micro'!$G55="Macro",'Atividades Micro'!$K55&lt;&gt;""),'Atividades Micro'!$K55,"")</f>
        <v/>
      </c>
      <c r="BI55" s="21" t="str">
        <f>IF(AND('Atividades Micro'!$B55=BI$2,'Atividades Micro'!$G55="Macro",'Atividades Micro'!$K55&lt;&gt;""),'Atividades Micro'!$K55,"")</f>
        <v/>
      </c>
      <c r="BJ55" s="21" t="str">
        <f>IF(AND('Atividades Micro'!$B55=BJ$2,'Atividades Micro'!$G55="Macro",'Atividades Micro'!$K55&lt;&gt;""),'Atividades Micro'!$K55,"")</f>
        <v/>
      </c>
      <c r="BK55" s="21" t="str">
        <f>IF(AND('Atividades Micro'!$B55=BK$2,'Atividades Micro'!$G55="Macro",'Atividades Micro'!$K55&lt;&gt;""),'Atividades Micro'!$K55,"")</f>
        <v/>
      </c>
      <c r="BL55" s="21" t="str">
        <f>IF(AND('Atividades Micro'!$B55=BL$2,'Atividades Micro'!$G55="Macro",'Atividades Micro'!$K55&lt;&gt;""),'Atividades Micro'!$K55,"")</f>
        <v/>
      </c>
      <c r="BM55" s="21" t="str">
        <f>IF(AND('Atividades Micro'!$B55=BM$2,'Atividades Micro'!$G55="Macro",'Atividades Micro'!$K55&lt;&gt;""),'Atividades Micro'!$K55,"")</f>
        <v/>
      </c>
      <c r="BN55" s="21" t="str">
        <f>IF(AND('Atividades Micro'!$B55=BN$2,'Atividades Micro'!$G55="Macro",'Atividades Micro'!$K55&lt;&gt;""),'Atividades Micro'!$K55,"")</f>
        <v/>
      </c>
      <c r="BO55" s="21" t="str">
        <f>IF(AND('Atividades Micro'!$B55=BO$2,'Atividades Micro'!$G55="Macro",'Atividades Micro'!$K55&lt;&gt;""),'Atividades Micro'!$K55,"")</f>
        <v/>
      </c>
      <c r="BP55" s="21" t="str">
        <f>IF(AND('Atividades Micro'!$B55=BP$2,'Atividades Micro'!$G55="Macro",'Atividades Micro'!$K55&lt;&gt;""),'Atividades Micro'!$K55,"")</f>
        <v/>
      </c>
      <c r="BQ55" s="21" t="str">
        <f>IF(AND('Atividades Micro'!$B55=BQ$2,'Atividades Micro'!$G55="Macro",'Atividades Micro'!$K55&lt;&gt;""),'Atividades Micro'!$K55,"")</f>
        <v/>
      </c>
      <c r="BR55" s="21" t="str">
        <f>IF(AND('Atividades Micro'!$B55=BR$2,'Atividades Micro'!$G55="Macro",'Atividades Micro'!$K55&lt;&gt;""),'Atividades Micro'!$K55,"")</f>
        <v/>
      </c>
      <c r="BS55" s="21" t="str">
        <f>IF(AND('Atividades Micro'!$B55=BS$2,'Atividades Micro'!$G55="Macro",'Atividades Micro'!$K55&lt;&gt;""),'Atividades Micro'!$K55,"")</f>
        <v/>
      </c>
      <c r="BT55" s="21" t="str">
        <f>IF(AND('Atividades Micro'!$B55=BT$2,'Atividades Micro'!$G55="Macro",'Atividades Micro'!$K55&lt;&gt;""),'Atividades Micro'!$K55,"")</f>
        <v/>
      </c>
      <c r="BU55" s="21" t="str">
        <f>IF(AND('Atividades Micro'!$B55=BU$2,'Atividades Micro'!$G55="Macro",'Atividades Micro'!$K55&lt;&gt;""),'Atividades Micro'!$K55,"")</f>
        <v/>
      </c>
      <c r="BV55" s="21" t="str">
        <f>IF(AND('Atividades Micro'!$B55=BV$2,'Atividades Micro'!$G55="Macro",'Atividades Micro'!$K55&lt;&gt;""),'Atividades Micro'!$K55,"")</f>
        <v/>
      </c>
      <c r="BW55" s="21" t="str">
        <f>IF(AND('Atividades Micro'!$B55=BW$2,'Atividades Micro'!$G55="Macro",'Atividades Micro'!$K55&lt;&gt;""),'Atividades Micro'!$K55,"")</f>
        <v/>
      </c>
      <c r="BX55" s="21" t="str">
        <f>IF(AND('Atividades Micro'!$B55=BX$2,'Atividades Micro'!$G55="Macro",'Atividades Micro'!$K55&lt;&gt;""),'Atividades Micro'!$K55,"")</f>
        <v/>
      </c>
      <c r="BY55" s="21" t="str">
        <f>IF(AND('Atividades Micro'!$B55=BY$2,'Atividades Micro'!$G55="Macro",'Atividades Micro'!$K55&lt;&gt;""),'Atividades Micro'!$K55,"")</f>
        <v/>
      </c>
      <c r="BZ55" s="21" t="str">
        <f>IF(AND('Atividades Micro'!$B55=BZ$2,'Atividades Micro'!$G55="Macro",'Atividades Micro'!$K55&lt;&gt;""),'Atividades Micro'!$K55,"")</f>
        <v/>
      </c>
      <c r="CA55" s="21" t="str">
        <f>IF(AND('Atividades Micro'!$B55=CA$2,'Atividades Micro'!$G55="Macro",'Atividades Micro'!$K55&lt;&gt;""),'Atividades Micro'!$K55,"")</f>
        <v/>
      </c>
      <c r="CB55" s="21" t="str">
        <f>IF(AND('Atividades Micro'!$B55=CB$2,'Atividades Micro'!$G55="Macro",'Atividades Micro'!$K55&lt;&gt;""),'Atividades Micro'!$K55,"")</f>
        <v/>
      </c>
      <c r="CC55" s="21" t="str">
        <f>IF(AND('Atividades Micro'!$B55=CC$2,'Atividades Micro'!$G55="Macro",'Atividades Micro'!$K55&lt;&gt;""),'Atividades Micro'!$K55,"")</f>
        <v/>
      </c>
      <c r="CD55" s="21" t="str">
        <f>IF(AND('Atividades Micro'!$B55=CD$2,'Atividades Micro'!$G55="Micro",'Atividades Micro'!$K55&lt;&gt;""),'Atividades Micro'!$K55,"")</f>
        <v/>
      </c>
      <c r="CE55" s="21">
        <f>IF(AND('Atividades Micro'!$B55=CE$2,'Atividades Micro'!$G55="Micro",'Atividades Micro'!$K55&lt;&gt;""),'Atividades Micro'!$K55,"")</f>
        <v>46294</v>
      </c>
      <c r="CF55" s="21" t="str">
        <f>IF(AND('Atividades Micro'!$B55=CF$2,'Atividades Micro'!$G55="Micro",'Atividades Micro'!$K55&lt;&gt;""),'Atividades Micro'!$K55,"")</f>
        <v/>
      </c>
      <c r="CG55" s="21" t="str">
        <f>IF(AND('Atividades Micro'!$B55=CG$2,'Atividades Micro'!$G55="Micro",'Atividades Micro'!$K55&lt;&gt;""),'Atividades Micro'!$K55,"")</f>
        <v/>
      </c>
      <c r="CH55" s="21" t="str">
        <f>IF(AND('Atividades Micro'!$B55=CH$2,'Atividades Micro'!$G55="Micro",'Atividades Micro'!$K55&lt;&gt;""),'Atividades Micro'!$K55,"")</f>
        <v/>
      </c>
      <c r="CI55" s="21" t="str">
        <f>IF(AND('Atividades Micro'!$B55=CI$2,'Atividades Micro'!$G55="Micro",'Atividades Micro'!$K55&lt;&gt;""),'Atividades Micro'!$K55,"")</f>
        <v/>
      </c>
      <c r="CJ55" s="21" t="str">
        <f>IF(AND('Atividades Micro'!$B55=CJ$2,'Atividades Micro'!$G55="Micro",'Atividades Micro'!$K55&lt;&gt;""),'Atividades Micro'!$K55,"")</f>
        <v/>
      </c>
      <c r="CK55" s="21" t="str">
        <f>IF(AND('Atividades Micro'!$B55=CK$2,'Atividades Micro'!$G55="Micro",'Atividades Micro'!$K55&lt;&gt;""),'Atividades Micro'!$K55,"")</f>
        <v/>
      </c>
      <c r="CL55" s="21" t="str">
        <f>IF(AND('Atividades Micro'!$B55=CL$2,'Atividades Micro'!$G55="Micro",'Atividades Micro'!$K55&lt;&gt;""),'Atividades Micro'!$K55,"")</f>
        <v/>
      </c>
      <c r="CM55" s="21" t="str">
        <f>IF(AND('Atividades Micro'!$B55=CM$2,'Atividades Micro'!$G55="Micro",'Atividades Micro'!$K55&lt;&gt;""),'Atividades Micro'!$K55,"")</f>
        <v/>
      </c>
      <c r="CN55" s="21" t="str">
        <f>IF(AND('Atividades Micro'!$B55=CN$2,'Atividades Micro'!$G55="Micro",'Atividades Micro'!$K55&lt;&gt;""),'Atividades Micro'!$K55,"")</f>
        <v/>
      </c>
      <c r="CO55" s="21" t="str">
        <f>IF(AND('Atividades Micro'!$B55=CO$2,'Atividades Micro'!$G55="Micro",'Atividades Micro'!$K55&lt;&gt;""),'Atividades Micro'!$K55,"")</f>
        <v/>
      </c>
    </row>
    <row r="56" spans="1:93">
      <c r="A56" s="21" t="str">
        <f>IF(AND('Atividades Micro'!$A56=A$2,'Atividades Micro'!$K56&lt;&gt;""),'Atividades Micro'!$K56,"")</f>
        <v/>
      </c>
      <c r="B56" s="21" t="str">
        <f>IF(AND('Atividades Micro'!$A56=B$2,'Atividades Micro'!$L56&lt;&gt;""),'Atividades Micro'!$L56,"")</f>
        <v/>
      </c>
      <c r="C56" s="21" t="str">
        <f>IF(AND('Atividades Micro'!$A56=C$2,'Atividades Micro'!$K56&lt;&gt;""),'Atividades Micro'!$K56,"")</f>
        <v/>
      </c>
      <c r="D56" s="21" t="str">
        <f>IF(AND('Atividades Micro'!$A56=D$2,'Atividades Micro'!$L56&lt;&gt;""),'Atividades Micro'!$L56,"")</f>
        <v/>
      </c>
      <c r="E56" s="21" t="str">
        <f>IF(AND('Atividades Micro'!$A56=E$2,'Atividades Micro'!$K56&lt;&gt;""),'Atividades Micro'!$K56,"")</f>
        <v/>
      </c>
      <c r="F56" s="21" t="str">
        <f>IF(AND('Atividades Micro'!$A56=F$2,'Atividades Micro'!$L56&lt;&gt;""),'Atividades Micro'!$L56,"")</f>
        <v/>
      </c>
      <c r="G56" s="21" t="str">
        <f>IF(AND('Atividades Micro'!$A56=G$2,'Atividades Micro'!$K56&lt;&gt;""),'Atividades Micro'!$K56,"")</f>
        <v/>
      </c>
      <c r="H56" s="21" t="str">
        <f>IF(AND('Atividades Micro'!$A56=H$2,'Atividades Micro'!$L56&lt;&gt;""),'Atividades Micro'!$L56,"")</f>
        <v/>
      </c>
      <c r="I56" s="21">
        <f>IF(AND('Atividades Micro'!$A56=I$2,'Atividades Micro'!$K56&lt;&gt;""),'Atividades Micro'!$K56,"")</f>
        <v>46303</v>
      </c>
      <c r="J56" s="21">
        <f>IF(AND('Atividades Micro'!$A56=J$2,'Atividades Micro'!$L56&lt;&gt;""),'Atividades Micro'!$L56,"")</f>
        <v>46258</v>
      </c>
      <c r="K56" s="21" t="str">
        <f>IF(AND('Atividades Micro'!$B56=K$2,'Atividades Micro'!$K56&lt;&gt;""),'Atividades Micro'!$K56,"")</f>
        <v/>
      </c>
      <c r="L56" s="21" t="str">
        <f>IF(AND('Atividades Micro'!$B56=L$2,'Atividades Micro'!$L56&lt;&gt;""),'Atividades Micro'!$L56,"")</f>
        <v/>
      </c>
      <c r="M56" s="21">
        <f>IF(AND('Atividades Micro'!$B56=M$2,'Atividades Micro'!$K56&lt;&gt;""),'Atividades Micro'!$K56,"")</f>
        <v>46303</v>
      </c>
      <c r="N56" s="21">
        <f>IF(AND('Atividades Micro'!$B56=N$2,'Atividades Micro'!$L56&lt;&gt;""),'Atividades Micro'!$L56,"")</f>
        <v>46258</v>
      </c>
      <c r="O56" s="21" t="str">
        <f>IF(AND('Atividades Micro'!$A56=O$2,'Atividades Micro'!$K56&lt;&gt;""),'Atividades Micro'!$K56,"")</f>
        <v/>
      </c>
      <c r="P56" s="21" t="str">
        <f>IF(AND('Atividades Micro'!$A56=P$2,'Atividades Micro'!$L56&lt;&gt;""),'Atividades Micro'!$L56,"")</f>
        <v/>
      </c>
      <c r="Q56" s="21" t="str">
        <f>IF(AND('Atividades Micro'!$B56=Q$2,'Atividades Micro'!$K56&lt;&gt;""),'Atividades Micro'!$K56,"")</f>
        <v/>
      </c>
      <c r="R56" s="21" t="str">
        <f>IF(AND('Atividades Micro'!$B56=R$2,'Atividades Micro'!$L56&lt;&gt;""),'Atividades Micro'!$L56,"")</f>
        <v/>
      </c>
      <c r="S56" s="21" t="str">
        <f>IF(AND('Atividades Micro'!$A56=S$2,'Atividades Micro'!$K56&lt;&gt;""),'Atividades Micro'!$K56,"")</f>
        <v/>
      </c>
      <c r="T56" s="21" t="str">
        <f>IF(AND('Atividades Micro'!$A56=T$2,'Atividades Micro'!$L56&lt;&gt;""),'Atividades Micro'!$L56,"")</f>
        <v/>
      </c>
      <c r="U56" s="21" t="str">
        <f>IF(AND('Atividades Micro'!$B56=U$2,'Atividades Micro'!$K56&lt;&gt;""),'Atividades Micro'!$K56,"")</f>
        <v/>
      </c>
      <c r="V56" s="21" t="str">
        <f>IF(AND('Atividades Micro'!$B56=V$2,'Atividades Micro'!$L56&lt;&gt;""),'Atividades Micro'!$L56,"")</f>
        <v/>
      </c>
      <c r="W56" s="21" t="str">
        <f>IF(AND('Atividades Micro'!$B56=W$2,'Atividades Micro'!$K56&lt;&gt;""),'Atividades Micro'!$K56,"")</f>
        <v/>
      </c>
      <c r="X56" s="21" t="str">
        <f>IF(AND('Atividades Micro'!$B56=X$2,'Atividades Micro'!$L56&lt;&gt;""),'Atividades Micro'!$L56,"")</f>
        <v/>
      </c>
      <c r="Y56" s="21" t="str">
        <f>IF(AND('Atividades Micro'!$A56=Y$2,'Atividades Micro'!$K56&lt;&gt;""),'Atividades Micro'!$K56,"")</f>
        <v/>
      </c>
      <c r="Z56" s="21" t="str">
        <f>IF(AND('Atividades Micro'!$A56=Z$2,'Atividades Micro'!$L56&lt;&gt;""),'Atividades Micro'!$L56,"")</f>
        <v/>
      </c>
      <c r="AA56" s="21" t="str">
        <f>IF(AND('Atividades Micro'!$B56=AA$2,'Atividades Micro'!$K56&lt;&gt;""),'Atividades Micro'!$K56,"")</f>
        <v/>
      </c>
      <c r="AB56" s="21" t="str">
        <f>IF(AND('Atividades Micro'!$B56=AB$2,'Atividades Micro'!$L56&lt;&gt;""),'Atividades Micro'!$L56,"")</f>
        <v/>
      </c>
      <c r="AC56" s="21" t="str">
        <f>IF(AND('Atividades Micro'!$B56=AC$2,'Atividades Micro'!$K56&lt;&gt;""),'Atividades Micro'!$K56,"")</f>
        <v/>
      </c>
      <c r="AD56" s="21" t="str">
        <f>IF(AND('Atividades Micro'!$B56=AD$2,'Atividades Micro'!$L56&lt;&gt;""),'Atividades Micro'!$L56,"")</f>
        <v/>
      </c>
      <c r="AE56" s="21" t="str">
        <f>IF(AND('Atividades Micro'!$A56=AE$2,'Atividades Micro'!$K56&lt;&gt;""),'Atividades Micro'!$K56,"")</f>
        <v/>
      </c>
      <c r="AF56" s="21" t="str">
        <f>IF(AND('Atividades Micro'!$A56=AF$2,'Atividades Micro'!$L56&lt;&gt;""),'Atividades Micro'!$L56,"")</f>
        <v/>
      </c>
      <c r="AG56" s="21" t="str">
        <f>IF(AND('Atividades Micro'!$B56=AG$2,'Atividades Micro'!$K56&lt;&gt;""),'Atividades Micro'!$K56,"")</f>
        <v/>
      </c>
      <c r="AH56" s="21" t="str">
        <f>IF(AND('Atividades Micro'!$B56=AH$2,'Atividades Micro'!$L56&lt;&gt;""),'Atividades Micro'!$L56,"")</f>
        <v/>
      </c>
      <c r="AI56" s="21" t="str">
        <f>IF(AND('Atividades Micro'!$B56=AI$2,'Atividades Micro'!$K56&lt;&gt;""),'Atividades Micro'!$K56,"")</f>
        <v/>
      </c>
      <c r="AJ56" s="21" t="str">
        <f>IF(AND('Atividades Micro'!$B56=AJ$2,'Atividades Micro'!$L56&lt;&gt;""),'Atividades Micro'!$L56,"")</f>
        <v/>
      </c>
      <c r="AK56" s="21" t="str">
        <f>IF(AND('Atividades Micro'!$A56=AK$2,'Atividades Micro'!$K56&lt;&gt;""),'Atividades Micro'!$K56,"")</f>
        <v/>
      </c>
      <c r="AL56" s="21" t="str">
        <f>IF(AND('Atividades Micro'!$A56=AL$2,'Atividades Micro'!$L56&lt;&gt;""),'Atividades Micro'!$L56,"")</f>
        <v/>
      </c>
      <c r="AM56" s="21" t="str">
        <f>IF(AND('Atividades Micro'!$B56=AM$2,'Atividades Micro'!$K56&lt;&gt;""),'Atividades Micro'!$K56,"")</f>
        <v/>
      </c>
      <c r="AN56" s="21" t="str">
        <f>IF(AND('Atividades Micro'!$B56=AN$2,'Atividades Micro'!$L56&lt;&gt;""),'Atividades Micro'!$L56,"")</f>
        <v/>
      </c>
      <c r="AO56" s="21" t="str">
        <f>IF(AND('Atividades Micro'!$B56=AO$2,'Atividades Micro'!$K56&lt;&gt;""),'Atividades Micro'!$K56,"")</f>
        <v/>
      </c>
      <c r="AP56" s="21" t="str">
        <f>IF(AND('Atividades Micro'!$B56=AP$2,'Atividades Micro'!$L56&lt;&gt;""),'Atividades Micro'!$L56,"")</f>
        <v/>
      </c>
      <c r="AQ56" s="21" t="str">
        <f>IF(AND('Atividades Micro'!$A56=AQ$2,'Atividades Micro'!$K56&lt;&gt;""),'Atividades Micro'!$K56,"")</f>
        <v/>
      </c>
      <c r="AR56" s="21" t="str">
        <f>IF(AND('Atividades Micro'!$A56=AR$2,'Atividades Micro'!$L56&lt;&gt;""),'Atividades Micro'!$L56,"")</f>
        <v/>
      </c>
      <c r="AS56" s="21" t="str">
        <f>IF(AND('Atividades Micro'!$B56=AS$2,'Atividades Micro'!$K56&lt;&gt;""),'Atividades Micro'!$K56,"")</f>
        <v/>
      </c>
      <c r="AT56" s="21" t="str">
        <f>IF(AND('Atividades Micro'!$B56=AT$2,'Atividades Micro'!$L56&lt;&gt;""),'Atividades Micro'!$L56,"")</f>
        <v/>
      </c>
      <c r="AU56" s="21" t="str">
        <f>IF(AND('Atividades Micro'!$A56=AU$2,'Atividades Micro'!$K56&lt;&gt;""),'Atividades Micro'!$K56,"")</f>
        <v/>
      </c>
      <c r="AV56" s="21" t="str">
        <f>IF(AND('Atividades Micro'!$A56=AV$2,'Atividades Micro'!$L56&lt;&gt;""),'Atividades Micro'!$L56,"")</f>
        <v/>
      </c>
      <c r="AW56" s="21" t="str">
        <f>IF(AND('Atividades Micro'!$B56=AW$2,'Atividades Micro'!$K56&lt;&gt;""),'Atividades Micro'!$K56,"")</f>
        <v/>
      </c>
      <c r="AX56" s="21" t="str">
        <f>IF(AND('Atividades Micro'!$B56=AX$2,'Atividades Micro'!$L56&lt;&gt;""),'Atividades Micro'!$L56,"")</f>
        <v/>
      </c>
      <c r="AY56" s="21" t="str">
        <f>IF(AND('Atividades Micro'!$A56=AY$2,'Atividades Micro'!$K56&lt;&gt;""),'Atividades Micro'!$K56,"")</f>
        <v/>
      </c>
      <c r="AZ56" s="21" t="str">
        <f>IF(AND('Atividades Micro'!$A56=AZ$2,'Atividades Micro'!$L56&lt;&gt;""),'Atividades Micro'!$L56,"")</f>
        <v/>
      </c>
      <c r="BA56" s="21" t="str">
        <f>IF(AND('Atividades Micro'!$B56=BA$2,'Atividades Micro'!$K56&lt;&gt;""),'Atividades Micro'!$K56,"")</f>
        <v/>
      </c>
      <c r="BB56" s="21" t="str">
        <f>IF(AND('Atividades Micro'!$B56=BB$2,'Atividades Micro'!$L56&lt;&gt;""),'Atividades Micro'!$L56,"")</f>
        <v/>
      </c>
      <c r="BC56" s="21" t="str">
        <f>IF(AND('Atividades Micro'!$B56=BC$2,'Atividades Micro'!$G56="Macro",'Atividades Micro'!$K56&lt;&gt;""),'Atividades Micro'!$K56,"")</f>
        <v/>
      </c>
      <c r="BD56" s="21" t="str">
        <f>IF(AND('Atividades Micro'!$B56=BD$2,'Atividades Micro'!$G56="Macro",'Atividades Micro'!$K56&lt;&gt;""),'Atividades Micro'!$K56,"")</f>
        <v/>
      </c>
      <c r="BE56" s="21" t="str">
        <f>IF(AND('Atividades Micro'!$B56=BE$2,'Atividades Micro'!$G56="Macro",'Atividades Micro'!$K56&lt;&gt;""),'Atividades Micro'!$K56,"")</f>
        <v/>
      </c>
      <c r="BF56" s="21" t="str">
        <f>IF(AND('Atividades Micro'!$B56=BF$2,'Atividades Micro'!$G56="Macro",'Atividades Micro'!$K56&lt;&gt;""),'Atividades Micro'!$K56,"")</f>
        <v/>
      </c>
      <c r="BG56" s="21" t="str">
        <f>IF(AND('Atividades Micro'!$B56=BG$2,'Atividades Micro'!$G56="Macro",'Atividades Micro'!$K56&lt;&gt;""),'Atividades Micro'!$K56,"")</f>
        <v/>
      </c>
      <c r="BH56" s="21" t="str">
        <f>IF(AND('Atividades Micro'!$B56=BH$2,'Atividades Micro'!$G56="Macro",'Atividades Micro'!$K56&lt;&gt;""),'Atividades Micro'!$K56,"")</f>
        <v/>
      </c>
      <c r="BI56" s="21" t="str">
        <f>IF(AND('Atividades Micro'!$B56=BI$2,'Atividades Micro'!$G56="Macro",'Atividades Micro'!$K56&lt;&gt;""),'Atividades Micro'!$K56,"")</f>
        <v/>
      </c>
      <c r="BJ56" s="21" t="str">
        <f>IF(AND('Atividades Micro'!$B56=BJ$2,'Atividades Micro'!$G56="Macro",'Atividades Micro'!$K56&lt;&gt;""),'Atividades Micro'!$K56,"")</f>
        <v/>
      </c>
      <c r="BK56" s="21" t="str">
        <f>IF(AND('Atividades Micro'!$B56=BK$2,'Atividades Micro'!$G56="Macro",'Atividades Micro'!$K56&lt;&gt;""),'Atividades Micro'!$K56,"")</f>
        <v/>
      </c>
      <c r="BL56" s="21" t="str">
        <f>IF(AND('Atividades Micro'!$B56=BL$2,'Atividades Micro'!$G56="Macro",'Atividades Micro'!$K56&lt;&gt;""),'Atividades Micro'!$K56,"")</f>
        <v/>
      </c>
      <c r="BM56" s="21" t="str">
        <f>IF(AND('Atividades Micro'!$B56=BM$2,'Atividades Micro'!$G56="Macro",'Atividades Micro'!$K56&lt;&gt;""),'Atividades Micro'!$K56,"")</f>
        <v/>
      </c>
      <c r="BN56" s="21" t="str">
        <f>IF(AND('Atividades Micro'!$B56=BN$2,'Atividades Micro'!$G56="Macro",'Atividades Micro'!$K56&lt;&gt;""),'Atividades Micro'!$K56,"")</f>
        <v/>
      </c>
      <c r="BO56" s="21" t="str">
        <f>IF(AND('Atividades Micro'!$B56=BO$2,'Atividades Micro'!$G56="Macro",'Atividades Micro'!$K56&lt;&gt;""),'Atividades Micro'!$K56,"")</f>
        <v/>
      </c>
      <c r="BP56" s="21" t="str">
        <f>IF(AND('Atividades Micro'!$B56=BP$2,'Atividades Micro'!$G56="Macro",'Atividades Micro'!$K56&lt;&gt;""),'Atividades Micro'!$K56,"")</f>
        <v/>
      </c>
      <c r="BQ56" s="21" t="str">
        <f>IF(AND('Atividades Micro'!$B56=BQ$2,'Atividades Micro'!$G56="Macro",'Atividades Micro'!$K56&lt;&gt;""),'Atividades Micro'!$K56,"")</f>
        <v/>
      </c>
      <c r="BR56" s="21" t="str">
        <f>IF(AND('Atividades Micro'!$B56=BR$2,'Atividades Micro'!$G56="Macro",'Atividades Micro'!$K56&lt;&gt;""),'Atividades Micro'!$K56,"")</f>
        <v/>
      </c>
      <c r="BS56" s="21" t="str">
        <f>IF(AND('Atividades Micro'!$B56=BS$2,'Atividades Micro'!$G56="Macro",'Atividades Micro'!$K56&lt;&gt;""),'Atividades Micro'!$K56,"")</f>
        <v/>
      </c>
      <c r="BT56" s="21" t="str">
        <f>IF(AND('Atividades Micro'!$B56=BT$2,'Atividades Micro'!$G56="Macro",'Atividades Micro'!$K56&lt;&gt;""),'Atividades Micro'!$K56,"")</f>
        <v/>
      </c>
      <c r="BU56" s="21" t="str">
        <f>IF(AND('Atividades Micro'!$B56=BU$2,'Atividades Micro'!$G56="Macro",'Atividades Micro'!$K56&lt;&gt;""),'Atividades Micro'!$K56,"")</f>
        <v/>
      </c>
      <c r="BV56" s="21" t="str">
        <f>IF(AND('Atividades Micro'!$B56=BV$2,'Atividades Micro'!$G56="Macro",'Atividades Micro'!$K56&lt;&gt;""),'Atividades Micro'!$K56,"")</f>
        <v/>
      </c>
      <c r="BW56" s="21" t="str">
        <f>IF(AND('Atividades Micro'!$B56=BW$2,'Atividades Micro'!$G56="Macro",'Atividades Micro'!$K56&lt;&gt;""),'Atividades Micro'!$K56,"")</f>
        <v/>
      </c>
      <c r="BX56" s="21" t="str">
        <f>IF(AND('Atividades Micro'!$B56=BX$2,'Atividades Micro'!$G56="Macro",'Atividades Micro'!$K56&lt;&gt;""),'Atividades Micro'!$K56,"")</f>
        <v/>
      </c>
      <c r="BY56" s="21" t="str">
        <f>IF(AND('Atividades Micro'!$B56=BY$2,'Atividades Micro'!$G56="Macro",'Atividades Micro'!$K56&lt;&gt;""),'Atividades Micro'!$K56,"")</f>
        <v/>
      </c>
      <c r="BZ56" s="21" t="str">
        <f>IF(AND('Atividades Micro'!$B56=BZ$2,'Atividades Micro'!$G56="Macro",'Atividades Micro'!$K56&lt;&gt;""),'Atividades Micro'!$K56,"")</f>
        <v/>
      </c>
      <c r="CA56" s="21" t="str">
        <f>IF(AND('Atividades Micro'!$B56=CA$2,'Atividades Micro'!$G56="Macro",'Atividades Micro'!$K56&lt;&gt;""),'Atividades Micro'!$K56,"")</f>
        <v/>
      </c>
      <c r="CB56" s="21" t="str">
        <f>IF(AND('Atividades Micro'!$B56=CB$2,'Atividades Micro'!$G56="Macro",'Atividades Micro'!$K56&lt;&gt;""),'Atividades Micro'!$K56,"")</f>
        <v/>
      </c>
      <c r="CC56" s="21" t="str">
        <f>IF(AND('Atividades Micro'!$B56=CC$2,'Atividades Micro'!$G56="Macro",'Atividades Micro'!$K56&lt;&gt;""),'Atividades Micro'!$K56,"")</f>
        <v/>
      </c>
      <c r="CD56" s="21" t="str">
        <f>IF(AND('Atividades Micro'!$B56=CD$2,'Atividades Micro'!$G56="Micro",'Atividades Micro'!$K56&lt;&gt;""),'Atividades Micro'!$K56,"")</f>
        <v/>
      </c>
      <c r="CE56" s="21">
        <f>IF(AND('Atividades Micro'!$B56=CE$2,'Atividades Micro'!$G56="Micro",'Atividades Micro'!$K56&lt;&gt;""),'Atividades Micro'!$K56,"")</f>
        <v>46303</v>
      </c>
      <c r="CF56" s="21" t="str">
        <f>IF(AND('Atividades Micro'!$B56=CF$2,'Atividades Micro'!$G56="Micro",'Atividades Micro'!$K56&lt;&gt;""),'Atividades Micro'!$K56,"")</f>
        <v/>
      </c>
      <c r="CG56" s="21" t="str">
        <f>IF(AND('Atividades Micro'!$B56=CG$2,'Atividades Micro'!$G56="Micro",'Atividades Micro'!$K56&lt;&gt;""),'Atividades Micro'!$K56,"")</f>
        <v/>
      </c>
      <c r="CH56" s="21" t="str">
        <f>IF(AND('Atividades Micro'!$B56=CH$2,'Atividades Micro'!$G56="Micro",'Atividades Micro'!$K56&lt;&gt;""),'Atividades Micro'!$K56,"")</f>
        <v/>
      </c>
      <c r="CI56" s="21" t="str">
        <f>IF(AND('Atividades Micro'!$B56=CI$2,'Atividades Micro'!$G56="Micro",'Atividades Micro'!$K56&lt;&gt;""),'Atividades Micro'!$K56,"")</f>
        <v/>
      </c>
      <c r="CJ56" s="21" t="str">
        <f>IF(AND('Atividades Micro'!$B56=CJ$2,'Atividades Micro'!$G56="Micro",'Atividades Micro'!$K56&lt;&gt;""),'Atividades Micro'!$K56,"")</f>
        <v/>
      </c>
      <c r="CK56" s="21" t="str">
        <f>IF(AND('Atividades Micro'!$B56=CK$2,'Atividades Micro'!$G56="Micro",'Atividades Micro'!$K56&lt;&gt;""),'Atividades Micro'!$K56,"")</f>
        <v/>
      </c>
      <c r="CL56" s="21" t="str">
        <f>IF(AND('Atividades Micro'!$B56=CL$2,'Atividades Micro'!$G56="Micro",'Atividades Micro'!$K56&lt;&gt;""),'Atividades Micro'!$K56,"")</f>
        <v/>
      </c>
      <c r="CM56" s="21" t="str">
        <f>IF(AND('Atividades Micro'!$B56=CM$2,'Atividades Micro'!$G56="Micro",'Atividades Micro'!$K56&lt;&gt;""),'Atividades Micro'!$K56,"")</f>
        <v/>
      </c>
      <c r="CN56" s="21" t="str">
        <f>IF(AND('Atividades Micro'!$B56=CN$2,'Atividades Micro'!$G56="Micro",'Atividades Micro'!$K56&lt;&gt;""),'Atividades Micro'!$K56,"")</f>
        <v/>
      </c>
      <c r="CO56" s="21" t="str">
        <f>IF(AND('Atividades Micro'!$B56=CO$2,'Atividades Micro'!$G56="Micro",'Atividades Micro'!$K56&lt;&gt;""),'Atividades Micro'!$K56,"")</f>
        <v/>
      </c>
    </row>
    <row r="57" spans="1:93">
      <c r="A57" s="21" t="str">
        <f>IF(AND('Atividades Micro'!$A57=A$2,'Atividades Micro'!$K57&lt;&gt;""),'Atividades Micro'!$K57,"")</f>
        <v/>
      </c>
      <c r="B57" s="21" t="str">
        <f>IF(AND('Atividades Micro'!$A57=B$2,'Atividades Micro'!$L57&lt;&gt;""),'Atividades Micro'!$L57,"")</f>
        <v/>
      </c>
      <c r="C57" s="21" t="str">
        <f>IF(AND('Atividades Micro'!$A57=C$2,'Atividades Micro'!$K57&lt;&gt;""),'Atividades Micro'!$K57,"")</f>
        <v/>
      </c>
      <c r="D57" s="21" t="str">
        <f>IF(AND('Atividades Micro'!$A57=D$2,'Atividades Micro'!$L57&lt;&gt;""),'Atividades Micro'!$L57,"")</f>
        <v/>
      </c>
      <c r="E57" s="21" t="str">
        <f>IF(AND('Atividades Micro'!$A57=E$2,'Atividades Micro'!$K57&lt;&gt;""),'Atividades Micro'!$K57,"")</f>
        <v/>
      </c>
      <c r="F57" s="21" t="str">
        <f>IF(AND('Atividades Micro'!$A57=F$2,'Atividades Micro'!$L57&lt;&gt;""),'Atividades Micro'!$L57,"")</f>
        <v/>
      </c>
      <c r="G57" s="21" t="str">
        <f>IF(AND('Atividades Micro'!$A57=G$2,'Atividades Micro'!$K57&lt;&gt;""),'Atividades Micro'!$K57,"")</f>
        <v/>
      </c>
      <c r="H57" s="21" t="str">
        <f>IF(AND('Atividades Micro'!$A57=H$2,'Atividades Micro'!$L57&lt;&gt;""),'Atividades Micro'!$L57,"")</f>
        <v/>
      </c>
      <c r="I57" s="21">
        <f>IF(AND('Atividades Micro'!$A57=I$2,'Atividades Micro'!$K57&lt;&gt;""),'Atividades Micro'!$K57,"")</f>
        <v>46311</v>
      </c>
      <c r="J57" s="21">
        <f>IF(AND('Atividades Micro'!$A57=J$2,'Atividades Micro'!$L57&lt;&gt;""),'Atividades Micro'!$L57,"")</f>
        <v>46301</v>
      </c>
      <c r="K57" s="21" t="str">
        <f>IF(AND('Atividades Micro'!$B57=K$2,'Atividades Micro'!$K57&lt;&gt;""),'Atividades Micro'!$K57,"")</f>
        <v/>
      </c>
      <c r="L57" s="21" t="str">
        <f>IF(AND('Atividades Micro'!$B57=L$2,'Atividades Micro'!$L57&lt;&gt;""),'Atividades Micro'!$L57,"")</f>
        <v/>
      </c>
      <c r="M57" s="21">
        <f>IF(AND('Atividades Micro'!$B57=M$2,'Atividades Micro'!$K57&lt;&gt;""),'Atividades Micro'!$K57,"")</f>
        <v>46311</v>
      </c>
      <c r="N57" s="21">
        <f>IF(AND('Atividades Micro'!$B57=N$2,'Atividades Micro'!$L57&lt;&gt;""),'Atividades Micro'!$L57,"")</f>
        <v>46301</v>
      </c>
      <c r="O57" s="21" t="str">
        <f>IF(AND('Atividades Micro'!$A57=O$2,'Atividades Micro'!$K57&lt;&gt;""),'Atividades Micro'!$K57,"")</f>
        <v/>
      </c>
      <c r="P57" s="21" t="str">
        <f>IF(AND('Atividades Micro'!$A57=P$2,'Atividades Micro'!$L57&lt;&gt;""),'Atividades Micro'!$L57,"")</f>
        <v/>
      </c>
      <c r="Q57" s="21" t="str">
        <f>IF(AND('Atividades Micro'!$B57=Q$2,'Atividades Micro'!$K57&lt;&gt;""),'Atividades Micro'!$K57,"")</f>
        <v/>
      </c>
      <c r="R57" s="21" t="str">
        <f>IF(AND('Atividades Micro'!$B57=R$2,'Atividades Micro'!$L57&lt;&gt;""),'Atividades Micro'!$L57,"")</f>
        <v/>
      </c>
      <c r="S57" s="21" t="str">
        <f>IF(AND('Atividades Micro'!$A57=S$2,'Atividades Micro'!$K57&lt;&gt;""),'Atividades Micro'!$K57,"")</f>
        <v/>
      </c>
      <c r="T57" s="21" t="str">
        <f>IF(AND('Atividades Micro'!$A57=T$2,'Atividades Micro'!$L57&lt;&gt;""),'Atividades Micro'!$L57,"")</f>
        <v/>
      </c>
      <c r="U57" s="21" t="str">
        <f>IF(AND('Atividades Micro'!$B57=U$2,'Atividades Micro'!$K57&lt;&gt;""),'Atividades Micro'!$K57,"")</f>
        <v/>
      </c>
      <c r="V57" s="21" t="str">
        <f>IF(AND('Atividades Micro'!$B57=V$2,'Atividades Micro'!$L57&lt;&gt;""),'Atividades Micro'!$L57,"")</f>
        <v/>
      </c>
      <c r="W57" s="21" t="str">
        <f>IF(AND('Atividades Micro'!$B57=W$2,'Atividades Micro'!$K57&lt;&gt;""),'Atividades Micro'!$K57,"")</f>
        <v/>
      </c>
      <c r="X57" s="21" t="str">
        <f>IF(AND('Atividades Micro'!$B57=X$2,'Atividades Micro'!$L57&lt;&gt;""),'Atividades Micro'!$L57,"")</f>
        <v/>
      </c>
      <c r="Y57" s="21" t="str">
        <f>IF(AND('Atividades Micro'!$A57=Y$2,'Atividades Micro'!$K57&lt;&gt;""),'Atividades Micro'!$K57,"")</f>
        <v/>
      </c>
      <c r="Z57" s="21" t="str">
        <f>IF(AND('Atividades Micro'!$A57=Z$2,'Atividades Micro'!$L57&lt;&gt;""),'Atividades Micro'!$L57,"")</f>
        <v/>
      </c>
      <c r="AA57" s="21" t="str">
        <f>IF(AND('Atividades Micro'!$B57=AA$2,'Atividades Micro'!$K57&lt;&gt;""),'Atividades Micro'!$K57,"")</f>
        <v/>
      </c>
      <c r="AB57" s="21" t="str">
        <f>IF(AND('Atividades Micro'!$B57=AB$2,'Atividades Micro'!$L57&lt;&gt;""),'Atividades Micro'!$L57,"")</f>
        <v/>
      </c>
      <c r="AC57" s="21" t="str">
        <f>IF(AND('Atividades Micro'!$B57=AC$2,'Atividades Micro'!$K57&lt;&gt;""),'Atividades Micro'!$K57,"")</f>
        <v/>
      </c>
      <c r="AD57" s="21" t="str">
        <f>IF(AND('Atividades Micro'!$B57=AD$2,'Atividades Micro'!$L57&lt;&gt;""),'Atividades Micro'!$L57,"")</f>
        <v/>
      </c>
      <c r="AE57" s="21" t="str">
        <f>IF(AND('Atividades Micro'!$A57=AE$2,'Atividades Micro'!$K57&lt;&gt;""),'Atividades Micro'!$K57,"")</f>
        <v/>
      </c>
      <c r="AF57" s="21" t="str">
        <f>IF(AND('Atividades Micro'!$A57=AF$2,'Atividades Micro'!$L57&lt;&gt;""),'Atividades Micro'!$L57,"")</f>
        <v/>
      </c>
      <c r="AG57" s="21" t="str">
        <f>IF(AND('Atividades Micro'!$B57=AG$2,'Atividades Micro'!$K57&lt;&gt;""),'Atividades Micro'!$K57,"")</f>
        <v/>
      </c>
      <c r="AH57" s="21" t="str">
        <f>IF(AND('Atividades Micro'!$B57=AH$2,'Atividades Micro'!$L57&lt;&gt;""),'Atividades Micro'!$L57,"")</f>
        <v/>
      </c>
      <c r="AI57" s="21" t="str">
        <f>IF(AND('Atividades Micro'!$B57=AI$2,'Atividades Micro'!$K57&lt;&gt;""),'Atividades Micro'!$K57,"")</f>
        <v/>
      </c>
      <c r="AJ57" s="21" t="str">
        <f>IF(AND('Atividades Micro'!$B57=AJ$2,'Atividades Micro'!$L57&lt;&gt;""),'Atividades Micro'!$L57,"")</f>
        <v/>
      </c>
      <c r="AK57" s="21" t="str">
        <f>IF(AND('Atividades Micro'!$A57=AK$2,'Atividades Micro'!$K57&lt;&gt;""),'Atividades Micro'!$K57,"")</f>
        <v/>
      </c>
      <c r="AL57" s="21" t="str">
        <f>IF(AND('Atividades Micro'!$A57=AL$2,'Atividades Micro'!$L57&lt;&gt;""),'Atividades Micro'!$L57,"")</f>
        <v/>
      </c>
      <c r="AM57" s="21" t="str">
        <f>IF(AND('Atividades Micro'!$B57=AM$2,'Atividades Micro'!$K57&lt;&gt;""),'Atividades Micro'!$K57,"")</f>
        <v/>
      </c>
      <c r="AN57" s="21" t="str">
        <f>IF(AND('Atividades Micro'!$B57=AN$2,'Atividades Micro'!$L57&lt;&gt;""),'Atividades Micro'!$L57,"")</f>
        <v/>
      </c>
      <c r="AO57" s="21" t="str">
        <f>IF(AND('Atividades Micro'!$B57=AO$2,'Atividades Micro'!$K57&lt;&gt;""),'Atividades Micro'!$K57,"")</f>
        <v/>
      </c>
      <c r="AP57" s="21" t="str">
        <f>IF(AND('Atividades Micro'!$B57=AP$2,'Atividades Micro'!$L57&lt;&gt;""),'Atividades Micro'!$L57,"")</f>
        <v/>
      </c>
      <c r="AQ57" s="21" t="str">
        <f>IF(AND('Atividades Micro'!$A57=AQ$2,'Atividades Micro'!$K57&lt;&gt;""),'Atividades Micro'!$K57,"")</f>
        <v/>
      </c>
      <c r="AR57" s="21" t="str">
        <f>IF(AND('Atividades Micro'!$A57=AR$2,'Atividades Micro'!$L57&lt;&gt;""),'Atividades Micro'!$L57,"")</f>
        <v/>
      </c>
      <c r="AS57" s="21" t="str">
        <f>IF(AND('Atividades Micro'!$B57=AS$2,'Atividades Micro'!$K57&lt;&gt;""),'Atividades Micro'!$K57,"")</f>
        <v/>
      </c>
      <c r="AT57" s="21" t="str">
        <f>IF(AND('Atividades Micro'!$B57=AT$2,'Atividades Micro'!$L57&lt;&gt;""),'Atividades Micro'!$L57,"")</f>
        <v/>
      </c>
      <c r="AU57" s="21" t="str">
        <f>IF(AND('Atividades Micro'!$A57=AU$2,'Atividades Micro'!$K57&lt;&gt;""),'Atividades Micro'!$K57,"")</f>
        <v/>
      </c>
      <c r="AV57" s="21" t="str">
        <f>IF(AND('Atividades Micro'!$A57=AV$2,'Atividades Micro'!$L57&lt;&gt;""),'Atividades Micro'!$L57,"")</f>
        <v/>
      </c>
      <c r="AW57" s="21" t="str">
        <f>IF(AND('Atividades Micro'!$B57=AW$2,'Atividades Micro'!$K57&lt;&gt;""),'Atividades Micro'!$K57,"")</f>
        <v/>
      </c>
      <c r="AX57" s="21" t="str">
        <f>IF(AND('Atividades Micro'!$B57=AX$2,'Atividades Micro'!$L57&lt;&gt;""),'Atividades Micro'!$L57,"")</f>
        <v/>
      </c>
      <c r="AY57" s="21" t="str">
        <f>IF(AND('Atividades Micro'!$A57=AY$2,'Atividades Micro'!$K57&lt;&gt;""),'Atividades Micro'!$K57,"")</f>
        <v/>
      </c>
      <c r="AZ57" s="21" t="str">
        <f>IF(AND('Atividades Micro'!$A57=AZ$2,'Atividades Micro'!$L57&lt;&gt;""),'Atividades Micro'!$L57,"")</f>
        <v/>
      </c>
      <c r="BA57" s="21" t="str">
        <f>IF(AND('Atividades Micro'!$B57=BA$2,'Atividades Micro'!$K57&lt;&gt;""),'Atividades Micro'!$K57,"")</f>
        <v/>
      </c>
      <c r="BB57" s="21" t="str">
        <f>IF(AND('Atividades Micro'!$B57=BB$2,'Atividades Micro'!$L57&lt;&gt;""),'Atividades Micro'!$L57,"")</f>
        <v/>
      </c>
      <c r="BC57" s="21" t="str">
        <f>IF(AND('Atividades Micro'!$B57=BC$2,'Atividades Micro'!$G57="Macro",'Atividades Micro'!$K57&lt;&gt;""),'Atividades Micro'!$K57,"")</f>
        <v/>
      </c>
      <c r="BD57" s="21" t="str">
        <f>IF(AND('Atividades Micro'!$B57=BD$2,'Atividades Micro'!$G57="Macro",'Atividades Micro'!$K57&lt;&gt;""),'Atividades Micro'!$K57,"")</f>
        <v/>
      </c>
      <c r="BE57" s="21" t="str">
        <f>IF(AND('Atividades Micro'!$B57=BE$2,'Atividades Micro'!$G57="Macro",'Atividades Micro'!$K57&lt;&gt;""),'Atividades Micro'!$K57,"")</f>
        <v/>
      </c>
      <c r="BF57" s="21" t="str">
        <f>IF(AND('Atividades Micro'!$B57=BF$2,'Atividades Micro'!$G57="Macro",'Atividades Micro'!$K57&lt;&gt;""),'Atividades Micro'!$K57,"")</f>
        <v/>
      </c>
      <c r="BG57" s="21" t="str">
        <f>IF(AND('Atividades Micro'!$B57=BG$2,'Atividades Micro'!$G57="Macro",'Atividades Micro'!$K57&lt;&gt;""),'Atividades Micro'!$K57,"")</f>
        <v/>
      </c>
      <c r="BH57" s="21" t="str">
        <f>IF(AND('Atividades Micro'!$B57=BH$2,'Atividades Micro'!$G57="Macro",'Atividades Micro'!$K57&lt;&gt;""),'Atividades Micro'!$K57,"")</f>
        <v/>
      </c>
      <c r="BI57" s="21" t="str">
        <f>IF(AND('Atividades Micro'!$B57=BI$2,'Atividades Micro'!$G57="Macro",'Atividades Micro'!$K57&lt;&gt;""),'Atividades Micro'!$K57,"")</f>
        <v/>
      </c>
      <c r="BJ57" s="21" t="str">
        <f>IF(AND('Atividades Micro'!$B57=BJ$2,'Atividades Micro'!$G57="Macro",'Atividades Micro'!$K57&lt;&gt;""),'Atividades Micro'!$K57,"")</f>
        <v/>
      </c>
      <c r="BK57" s="21" t="str">
        <f>IF(AND('Atividades Micro'!$B57=BK$2,'Atividades Micro'!$G57="Macro",'Atividades Micro'!$K57&lt;&gt;""),'Atividades Micro'!$K57,"")</f>
        <v/>
      </c>
      <c r="BL57" s="21" t="str">
        <f>IF(AND('Atividades Micro'!$B57=BL$2,'Atividades Micro'!$G57="Macro",'Atividades Micro'!$K57&lt;&gt;""),'Atividades Micro'!$K57,"")</f>
        <v/>
      </c>
      <c r="BM57" s="21" t="str">
        <f>IF(AND('Atividades Micro'!$B57=BM$2,'Atividades Micro'!$G57="Macro",'Atividades Micro'!$K57&lt;&gt;""),'Atividades Micro'!$K57,"")</f>
        <v/>
      </c>
      <c r="BN57" s="21" t="str">
        <f>IF(AND('Atividades Micro'!$B57=BN$2,'Atividades Micro'!$G57="Macro",'Atividades Micro'!$K57&lt;&gt;""),'Atividades Micro'!$K57,"")</f>
        <v/>
      </c>
      <c r="BO57" s="21" t="str">
        <f>IF(AND('Atividades Micro'!$B57=BO$2,'Atividades Micro'!$G57="Macro",'Atividades Micro'!$K57&lt;&gt;""),'Atividades Micro'!$K57,"")</f>
        <v/>
      </c>
      <c r="BP57" s="21" t="str">
        <f>IF(AND('Atividades Micro'!$B57=BP$2,'Atividades Micro'!$G57="Macro",'Atividades Micro'!$K57&lt;&gt;""),'Atividades Micro'!$K57,"")</f>
        <v/>
      </c>
      <c r="BQ57" s="21" t="str">
        <f>IF(AND('Atividades Micro'!$B57=BQ$2,'Atividades Micro'!$G57="Macro",'Atividades Micro'!$K57&lt;&gt;""),'Atividades Micro'!$K57,"")</f>
        <v/>
      </c>
      <c r="BR57" s="21" t="str">
        <f>IF(AND('Atividades Micro'!$B57=BR$2,'Atividades Micro'!$G57="Macro",'Atividades Micro'!$K57&lt;&gt;""),'Atividades Micro'!$K57,"")</f>
        <v/>
      </c>
      <c r="BS57" s="21" t="str">
        <f>IF(AND('Atividades Micro'!$B57=BS$2,'Atividades Micro'!$G57="Macro",'Atividades Micro'!$K57&lt;&gt;""),'Atividades Micro'!$K57,"")</f>
        <v/>
      </c>
      <c r="BT57" s="21" t="str">
        <f>IF(AND('Atividades Micro'!$B57=BT$2,'Atividades Micro'!$G57="Macro",'Atividades Micro'!$K57&lt;&gt;""),'Atividades Micro'!$K57,"")</f>
        <v/>
      </c>
      <c r="BU57" s="21" t="str">
        <f>IF(AND('Atividades Micro'!$B57=BU$2,'Atividades Micro'!$G57="Macro",'Atividades Micro'!$K57&lt;&gt;""),'Atividades Micro'!$K57,"")</f>
        <v/>
      </c>
      <c r="BV57" s="21" t="str">
        <f>IF(AND('Atividades Micro'!$B57=BV$2,'Atividades Micro'!$G57="Macro",'Atividades Micro'!$K57&lt;&gt;""),'Atividades Micro'!$K57,"")</f>
        <v/>
      </c>
      <c r="BW57" s="21" t="str">
        <f>IF(AND('Atividades Micro'!$B57=BW$2,'Atividades Micro'!$G57="Macro",'Atividades Micro'!$K57&lt;&gt;""),'Atividades Micro'!$K57,"")</f>
        <v/>
      </c>
      <c r="BX57" s="21" t="str">
        <f>IF(AND('Atividades Micro'!$B57=BX$2,'Atividades Micro'!$G57="Macro",'Atividades Micro'!$K57&lt;&gt;""),'Atividades Micro'!$K57,"")</f>
        <v/>
      </c>
      <c r="BY57" s="21" t="str">
        <f>IF(AND('Atividades Micro'!$B57=BY$2,'Atividades Micro'!$G57="Macro",'Atividades Micro'!$K57&lt;&gt;""),'Atividades Micro'!$K57,"")</f>
        <v/>
      </c>
      <c r="BZ57" s="21" t="str">
        <f>IF(AND('Atividades Micro'!$B57=BZ$2,'Atividades Micro'!$G57="Macro",'Atividades Micro'!$K57&lt;&gt;""),'Atividades Micro'!$K57,"")</f>
        <v/>
      </c>
      <c r="CA57" s="21" t="str">
        <f>IF(AND('Atividades Micro'!$B57=CA$2,'Atividades Micro'!$G57="Macro",'Atividades Micro'!$K57&lt;&gt;""),'Atividades Micro'!$K57,"")</f>
        <v/>
      </c>
      <c r="CB57" s="21" t="str">
        <f>IF(AND('Atividades Micro'!$B57=CB$2,'Atividades Micro'!$G57="Macro",'Atividades Micro'!$K57&lt;&gt;""),'Atividades Micro'!$K57,"")</f>
        <v/>
      </c>
      <c r="CC57" s="21" t="str">
        <f>IF(AND('Atividades Micro'!$B57=CC$2,'Atividades Micro'!$G57="Macro",'Atividades Micro'!$K57&lt;&gt;""),'Atividades Micro'!$K57,"")</f>
        <v/>
      </c>
      <c r="CD57" s="21" t="str">
        <f>IF(AND('Atividades Micro'!$B57=CD$2,'Atividades Micro'!$G57="Micro",'Atividades Micro'!$K57&lt;&gt;""),'Atividades Micro'!$K57,"")</f>
        <v/>
      </c>
      <c r="CE57" s="21">
        <f>IF(AND('Atividades Micro'!$B57=CE$2,'Atividades Micro'!$G57="Micro",'Atividades Micro'!$K57&lt;&gt;""),'Atividades Micro'!$K57,"")</f>
        <v>46311</v>
      </c>
      <c r="CF57" s="21" t="str">
        <f>IF(AND('Atividades Micro'!$B57=CF$2,'Atividades Micro'!$G57="Micro",'Atividades Micro'!$K57&lt;&gt;""),'Atividades Micro'!$K57,"")</f>
        <v/>
      </c>
      <c r="CG57" s="21" t="str">
        <f>IF(AND('Atividades Micro'!$B57=CG$2,'Atividades Micro'!$G57="Micro",'Atividades Micro'!$K57&lt;&gt;""),'Atividades Micro'!$K57,"")</f>
        <v/>
      </c>
      <c r="CH57" s="21" t="str">
        <f>IF(AND('Atividades Micro'!$B57=CH$2,'Atividades Micro'!$G57="Micro",'Atividades Micro'!$K57&lt;&gt;""),'Atividades Micro'!$K57,"")</f>
        <v/>
      </c>
      <c r="CI57" s="21" t="str">
        <f>IF(AND('Atividades Micro'!$B57=CI$2,'Atividades Micro'!$G57="Micro",'Atividades Micro'!$K57&lt;&gt;""),'Atividades Micro'!$K57,"")</f>
        <v/>
      </c>
      <c r="CJ57" s="21" t="str">
        <f>IF(AND('Atividades Micro'!$B57=CJ$2,'Atividades Micro'!$G57="Micro",'Atividades Micro'!$K57&lt;&gt;""),'Atividades Micro'!$K57,"")</f>
        <v/>
      </c>
      <c r="CK57" s="21" t="str">
        <f>IF(AND('Atividades Micro'!$B57=CK$2,'Atividades Micro'!$G57="Micro",'Atividades Micro'!$K57&lt;&gt;""),'Atividades Micro'!$K57,"")</f>
        <v/>
      </c>
      <c r="CL57" s="21" t="str">
        <f>IF(AND('Atividades Micro'!$B57=CL$2,'Atividades Micro'!$G57="Micro",'Atividades Micro'!$K57&lt;&gt;""),'Atividades Micro'!$K57,"")</f>
        <v/>
      </c>
      <c r="CM57" s="21" t="str">
        <f>IF(AND('Atividades Micro'!$B57=CM$2,'Atividades Micro'!$G57="Micro",'Atividades Micro'!$K57&lt;&gt;""),'Atividades Micro'!$K57,"")</f>
        <v/>
      </c>
      <c r="CN57" s="21" t="str">
        <f>IF(AND('Atividades Micro'!$B57=CN$2,'Atividades Micro'!$G57="Micro",'Atividades Micro'!$K57&lt;&gt;""),'Atividades Micro'!$K57,"")</f>
        <v/>
      </c>
      <c r="CO57" s="21" t="str">
        <f>IF(AND('Atividades Micro'!$B57=CO$2,'Atividades Micro'!$G57="Micro",'Atividades Micro'!$K57&lt;&gt;""),'Atividades Micro'!$K57,"")</f>
        <v/>
      </c>
    </row>
    <row r="58" spans="1:93">
      <c r="A58" s="21" t="str">
        <f>IF(AND('Atividades Micro'!$A58=A$2,'Atividades Micro'!$K58&lt;&gt;""),'Atividades Micro'!$K58,"")</f>
        <v/>
      </c>
      <c r="B58" s="21" t="str">
        <f>IF(AND('Atividades Micro'!$A58=B$2,'Atividades Micro'!$L58&lt;&gt;""),'Atividades Micro'!$L58,"")</f>
        <v/>
      </c>
      <c r="C58" s="21" t="str">
        <f>IF(AND('Atividades Micro'!$A58=C$2,'Atividades Micro'!$K58&lt;&gt;""),'Atividades Micro'!$K58,"")</f>
        <v/>
      </c>
      <c r="D58" s="21" t="str">
        <f>IF(AND('Atividades Micro'!$A58=D$2,'Atividades Micro'!$L58&lt;&gt;""),'Atividades Micro'!$L58,"")</f>
        <v/>
      </c>
      <c r="E58" s="21" t="str">
        <f>IF(AND('Atividades Micro'!$A58=E$2,'Atividades Micro'!$K58&lt;&gt;""),'Atividades Micro'!$K58,"")</f>
        <v/>
      </c>
      <c r="F58" s="21" t="str">
        <f>IF(AND('Atividades Micro'!$A58=F$2,'Atividades Micro'!$L58&lt;&gt;""),'Atividades Micro'!$L58,"")</f>
        <v/>
      </c>
      <c r="G58" s="21" t="str">
        <f>IF(AND('Atividades Micro'!$A58=G$2,'Atividades Micro'!$K58&lt;&gt;""),'Atividades Micro'!$K58,"")</f>
        <v/>
      </c>
      <c r="H58" s="21" t="str">
        <f>IF(AND('Atividades Micro'!$A58=H$2,'Atividades Micro'!$L58&lt;&gt;""),'Atividades Micro'!$L58,"")</f>
        <v/>
      </c>
      <c r="I58" s="21">
        <f>IF(AND('Atividades Micro'!$A58=I$2,'Atividades Micro'!$K58&lt;&gt;""),'Atividades Micro'!$K58,"")</f>
        <v>46316</v>
      </c>
      <c r="J58" s="21">
        <f>IF(AND('Atividades Micro'!$A58=J$2,'Atividades Micro'!$L58&lt;&gt;""),'Atividades Micro'!$L58,"")</f>
        <v>46308</v>
      </c>
      <c r="K58" s="21" t="str">
        <f>IF(AND('Atividades Micro'!$B58=K$2,'Atividades Micro'!$K58&lt;&gt;""),'Atividades Micro'!$K58,"")</f>
        <v/>
      </c>
      <c r="L58" s="21" t="str">
        <f>IF(AND('Atividades Micro'!$B58=L$2,'Atividades Micro'!$L58&lt;&gt;""),'Atividades Micro'!$L58,"")</f>
        <v/>
      </c>
      <c r="M58" s="21">
        <f>IF(AND('Atividades Micro'!$B58=M$2,'Atividades Micro'!$K58&lt;&gt;""),'Atividades Micro'!$K58,"")</f>
        <v>46316</v>
      </c>
      <c r="N58" s="21">
        <f>IF(AND('Atividades Micro'!$B58=N$2,'Atividades Micro'!$L58&lt;&gt;""),'Atividades Micro'!$L58,"")</f>
        <v>46308</v>
      </c>
      <c r="O58" s="21" t="str">
        <f>IF(AND('Atividades Micro'!$A58=O$2,'Atividades Micro'!$K58&lt;&gt;""),'Atividades Micro'!$K58,"")</f>
        <v/>
      </c>
      <c r="P58" s="21" t="str">
        <f>IF(AND('Atividades Micro'!$A58=P$2,'Atividades Micro'!$L58&lt;&gt;""),'Atividades Micro'!$L58,"")</f>
        <v/>
      </c>
      <c r="Q58" s="21" t="str">
        <f>IF(AND('Atividades Micro'!$B58=Q$2,'Atividades Micro'!$K58&lt;&gt;""),'Atividades Micro'!$K58,"")</f>
        <v/>
      </c>
      <c r="R58" s="21" t="str">
        <f>IF(AND('Atividades Micro'!$B58=R$2,'Atividades Micro'!$L58&lt;&gt;""),'Atividades Micro'!$L58,"")</f>
        <v/>
      </c>
      <c r="S58" s="21" t="str">
        <f>IF(AND('Atividades Micro'!$A58=S$2,'Atividades Micro'!$K58&lt;&gt;""),'Atividades Micro'!$K58,"")</f>
        <v/>
      </c>
      <c r="T58" s="21" t="str">
        <f>IF(AND('Atividades Micro'!$A58=T$2,'Atividades Micro'!$L58&lt;&gt;""),'Atividades Micro'!$L58,"")</f>
        <v/>
      </c>
      <c r="U58" s="21" t="str">
        <f>IF(AND('Atividades Micro'!$B58=U$2,'Atividades Micro'!$K58&lt;&gt;""),'Atividades Micro'!$K58,"")</f>
        <v/>
      </c>
      <c r="V58" s="21" t="str">
        <f>IF(AND('Atividades Micro'!$B58=V$2,'Atividades Micro'!$L58&lt;&gt;""),'Atividades Micro'!$L58,"")</f>
        <v/>
      </c>
      <c r="W58" s="21" t="str">
        <f>IF(AND('Atividades Micro'!$B58=W$2,'Atividades Micro'!$K58&lt;&gt;""),'Atividades Micro'!$K58,"")</f>
        <v/>
      </c>
      <c r="X58" s="21" t="str">
        <f>IF(AND('Atividades Micro'!$B58=X$2,'Atividades Micro'!$L58&lt;&gt;""),'Atividades Micro'!$L58,"")</f>
        <v/>
      </c>
      <c r="Y58" s="21" t="str">
        <f>IF(AND('Atividades Micro'!$A58=Y$2,'Atividades Micro'!$K58&lt;&gt;""),'Atividades Micro'!$K58,"")</f>
        <v/>
      </c>
      <c r="Z58" s="21" t="str">
        <f>IF(AND('Atividades Micro'!$A58=Z$2,'Atividades Micro'!$L58&lt;&gt;""),'Atividades Micro'!$L58,"")</f>
        <v/>
      </c>
      <c r="AA58" s="21" t="str">
        <f>IF(AND('Atividades Micro'!$B58=AA$2,'Atividades Micro'!$K58&lt;&gt;""),'Atividades Micro'!$K58,"")</f>
        <v/>
      </c>
      <c r="AB58" s="21" t="str">
        <f>IF(AND('Atividades Micro'!$B58=AB$2,'Atividades Micro'!$L58&lt;&gt;""),'Atividades Micro'!$L58,"")</f>
        <v/>
      </c>
      <c r="AC58" s="21" t="str">
        <f>IF(AND('Atividades Micro'!$B58=AC$2,'Atividades Micro'!$K58&lt;&gt;""),'Atividades Micro'!$K58,"")</f>
        <v/>
      </c>
      <c r="AD58" s="21" t="str">
        <f>IF(AND('Atividades Micro'!$B58=AD$2,'Atividades Micro'!$L58&lt;&gt;""),'Atividades Micro'!$L58,"")</f>
        <v/>
      </c>
      <c r="AE58" s="21" t="str">
        <f>IF(AND('Atividades Micro'!$A58=AE$2,'Atividades Micro'!$K58&lt;&gt;""),'Atividades Micro'!$K58,"")</f>
        <v/>
      </c>
      <c r="AF58" s="21" t="str">
        <f>IF(AND('Atividades Micro'!$A58=AF$2,'Atividades Micro'!$L58&lt;&gt;""),'Atividades Micro'!$L58,"")</f>
        <v/>
      </c>
      <c r="AG58" s="21" t="str">
        <f>IF(AND('Atividades Micro'!$B58=AG$2,'Atividades Micro'!$K58&lt;&gt;""),'Atividades Micro'!$K58,"")</f>
        <v/>
      </c>
      <c r="AH58" s="21" t="str">
        <f>IF(AND('Atividades Micro'!$B58=AH$2,'Atividades Micro'!$L58&lt;&gt;""),'Atividades Micro'!$L58,"")</f>
        <v/>
      </c>
      <c r="AI58" s="21" t="str">
        <f>IF(AND('Atividades Micro'!$B58=AI$2,'Atividades Micro'!$K58&lt;&gt;""),'Atividades Micro'!$K58,"")</f>
        <v/>
      </c>
      <c r="AJ58" s="21" t="str">
        <f>IF(AND('Atividades Micro'!$B58=AJ$2,'Atividades Micro'!$L58&lt;&gt;""),'Atividades Micro'!$L58,"")</f>
        <v/>
      </c>
      <c r="AK58" s="21" t="str">
        <f>IF(AND('Atividades Micro'!$A58=AK$2,'Atividades Micro'!$K58&lt;&gt;""),'Atividades Micro'!$K58,"")</f>
        <v/>
      </c>
      <c r="AL58" s="21" t="str">
        <f>IF(AND('Atividades Micro'!$A58=AL$2,'Atividades Micro'!$L58&lt;&gt;""),'Atividades Micro'!$L58,"")</f>
        <v/>
      </c>
      <c r="AM58" s="21" t="str">
        <f>IF(AND('Atividades Micro'!$B58=AM$2,'Atividades Micro'!$K58&lt;&gt;""),'Atividades Micro'!$K58,"")</f>
        <v/>
      </c>
      <c r="AN58" s="21" t="str">
        <f>IF(AND('Atividades Micro'!$B58=AN$2,'Atividades Micro'!$L58&lt;&gt;""),'Atividades Micro'!$L58,"")</f>
        <v/>
      </c>
      <c r="AO58" s="21" t="str">
        <f>IF(AND('Atividades Micro'!$B58=AO$2,'Atividades Micro'!$K58&lt;&gt;""),'Atividades Micro'!$K58,"")</f>
        <v/>
      </c>
      <c r="AP58" s="21" t="str">
        <f>IF(AND('Atividades Micro'!$B58=AP$2,'Atividades Micro'!$L58&lt;&gt;""),'Atividades Micro'!$L58,"")</f>
        <v/>
      </c>
      <c r="AQ58" s="21" t="str">
        <f>IF(AND('Atividades Micro'!$A58=AQ$2,'Atividades Micro'!$K58&lt;&gt;""),'Atividades Micro'!$K58,"")</f>
        <v/>
      </c>
      <c r="AR58" s="21" t="str">
        <f>IF(AND('Atividades Micro'!$A58=AR$2,'Atividades Micro'!$L58&lt;&gt;""),'Atividades Micro'!$L58,"")</f>
        <v/>
      </c>
      <c r="AS58" s="21" t="str">
        <f>IF(AND('Atividades Micro'!$B58=AS$2,'Atividades Micro'!$K58&lt;&gt;""),'Atividades Micro'!$K58,"")</f>
        <v/>
      </c>
      <c r="AT58" s="21" t="str">
        <f>IF(AND('Atividades Micro'!$B58=AT$2,'Atividades Micro'!$L58&lt;&gt;""),'Atividades Micro'!$L58,"")</f>
        <v/>
      </c>
      <c r="AU58" s="21" t="str">
        <f>IF(AND('Atividades Micro'!$A58=AU$2,'Atividades Micro'!$K58&lt;&gt;""),'Atividades Micro'!$K58,"")</f>
        <v/>
      </c>
      <c r="AV58" s="21" t="str">
        <f>IF(AND('Atividades Micro'!$A58=AV$2,'Atividades Micro'!$L58&lt;&gt;""),'Atividades Micro'!$L58,"")</f>
        <v/>
      </c>
      <c r="AW58" s="21" t="str">
        <f>IF(AND('Atividades Micro'!$B58=AW$2,'Atividades Micro'!$K58&lt;&gt;""),'Atividades Micro'!$K58,"")</f>
        <v/>
      </c>
      <c r="AX58" s="21" t="str">
        <f>IF(AND('Atividades Micro'!$B58=AX$2,'Atividades Micro'!$L58&lt;&gt;""),'Atividades Micro'!$L58,"")</f>
        <v/>
      </c>
      <c r="AY58" s="21" t="str">
        <f>IF(AND('Atividades Micro'!$A58=AY$2,'Atividades Micro'!$K58&lt;&gt;""),'Atividades Micro'!$K58,"")</f>
        <v/>
      </c>
      <c r="AZ58" s="21" t="str">
        <f>IF(AND('Atividades Micro'!$A58=AZ$2,'Atividades Micro'!$L58&lt;&gt;""),'Atividades Micro'!$L58,"")</f>
        <v/>
      </c>
      <c r="BA58" s="21" t="str">
        <f>IF(AND('Atividades Micro'!$B58=BA$2,'Atividades Micro'!$K58&lt;&gt;""),'Atividades Micro'!$K58,"")</f>
        <v/>
      </c>
      <c r="BB58" s="21" t="str">
        <f>IF(AND('Atividades Micro'!$B58=BB$2,'Atividades Micro'!$L58&lt;&gt;""),'Atividades Micro'!$L58,"")</f>
        <v/>
      </c>
      <c r="BC58" s="21" t="str">
        <f>IF(AND('Atividades Micro'!$B58=BC$2,'Atividades Micro'!$G58="Macro",'Atividades Micro'!$K58&lt;&gt;""),'Atividades Micro'!$K58,"")</f>
        <v/>
      </c>
      <c r="BD58" s="21" t="str">
        <f>IF(AND('Atividades Micro'!$B58=BD$2,'Atividades Micro'!$G58="Macro",'Atividades Micro'!$K58&lt;&gt;""),'Atividades Micro'!$K58,"")</f>
        <v/>
      </c>
      <c r="BE58" s="21" t="str">
        <f>IF(AND('Atividades Micro'!$B58=BE$2,'Atividades Micro'!$G58="Macro",'Atividades Micro'!$K58&lt;&gt;""),'Atividades Micro'!$K58,"")</f>
        <v/>
      </c>
      <c r="BF58" s="21" t="str">
        <f>IF(AND('Atividades Micro'!$B58=BF$2,'Atividades Micro'!$G58="Macro",'Atividades Micro'!$K58&lt;&gt;""),'Atividades Micro'!$K58,"")</f>
        <v/>
      </c>
      <c r="BG58" s="21" t="str">
        <f>IF(AND('Atividades Micro'!$B58=BG$2,'Atividades Micro'!$G58="Macro",'Atividades Micro'!$K58&lt;&gt;""),'Atividades Micro'!$K58,"")</f>
        <v/>
      </c>
      <c r="BH58" s="21" t="str">
        <f>IF(AND('Atividades Micro'!$B58=BH$2,'Atividades Micro'!$G58="Macro",'Atividades Micro'!$K58&lt;&gt;""),'Atividades Micro'!$K58,"")</f>
        <v/>
      </c>
      <c r="BI58" s="21" t="str">
        <f>IF(AND('Atividades Micro'!$B58=BI$2,'Atividades Micro'!$G58="Macro",'Atividades Micro'!$K58&lt;&gt;""),'Atividades Micro'!$K58,"")</f>
        <v/>
      </c>
      <c r="BJ58" s="21" t="str">
        <f>IF(AND('Atividades Micro'!$B58=BJ$2,'Atividades Micro'!$G58="Macro",'Atividades Micro'!$K58&lt;&gt;""),'Atividades Micro'!$K58,"")</f>
        <v/>
      </c>
      <c r="BK58" s="21" t="str">
        <f>IF(AND('Atividades Micro'!$B58=BK$2,'Atividades Micro'!$G58="Macro",'Atividades Micro'!$K58&lt;&gt;""),'Atividades Micro'!$K58,"")</f>
        <v/>
      </c>
      <c r="BL58" s="21" t="str">
        <f>IF(AND('Atividades Micro'!$B58=BL$2,'Atividades Micro'!$G58="Macro",'Atividades Micro'!$K58&lt;&gt;""),'Atividades Micro'!$K58,"")</f>
        <v/>
      </c>
      <c r="BM58" s="21" t="str">
        <f>IF(AND('Atividades Micro'!$B58=BM$2,'Atividades Micro'!$G58="Macro",'Atividades Micro'!$K58&lt;&gt;""),'Atividades Micro'!$K58,"")</f>
        <v/>
      </c>
      <c r="BN58" s="21" t="str">
        <f>IF(AND('Atividades Micro'!$B58=BN$2,'Atividades Micro'!$G58="Macro",'Atividades Micro'!$K58&lt;&gt;""),'Atividades Micro'!$K58,"")</f>
        <v/>
      </c>
      <c r="BO58" s="21" t="str">
        <f>IF(AND('Atividades Micro'!$B58=BO$2,'Atividades Micro'!$G58="Macro",'Atividades Micro'!$K58&lt;&gt;""),'Atividades Micro'!$K58,"")</f>
        <v/>
      </c>
      <c r="BP58" s="21" t="str">
        <f>IF(AND('Atividades Micro'!$B58=BP$2,'Atividades Micro'!$G58="Macro",'Atividades Micro'!$K58&lt;&gt;""),'Atividades Micro'!$K58,"")</f>
        <v/>
      </c>
      <c r="BQ58" s="21" t="str">
        <f>IF(AND('Atividades Micro'!$B58=BQ$2,'Atividades Micro'!$G58="Macro",'Atividades Micro'!$K58&lt;&gt;""),'Atividades Micro'!$K58,"")</f>
        <v/>
      </c>
      <c r="BR58" s="21" t="str">
        <f>IF(AND('Atividades Micro'!$B58=BR$2,'Atividades Micro'!$G58="Macro",'Atividades Micro'!$K58&lt;&gt;""),'Atividades Micro'!$K58,"")</f>
        <v/>
      </c>
      <c r="BS58" s="21" t="str">
        <f>IF(AND('Atividades Micro'!$B58=BS$2,'Atividades Micro'!$G58="Macro",'Atividades Micro'!$K58&lt;&gt;""),'Atividades Micro'!$K58,"")</f>
        <v/>
      </c>
      <c r="BT58" s="21" t="str">
        <f>IF(AND('Atividades Micro'!$B58=BT$2,'Atividades Micro'!$G58="Macro",'Atividades Micro'!$K58&lt;&gt;""),'Atividades Micro'!$K58,"")</f>
        <v/>
      </c>
      <c r="BU58" s="21" t="str">
        <f>IF(AND('Atividades Micro'!$B58=BU$2,'Atividades Micro'!$G58="Macro",'Atividades Micro'!$K58&lt;&gt;""),'Atividades Micro'!$K58,"")</f>
        <v/>
      </c>
      <c r="BV58" s="21" t="str">
        <f>IF(AND('Atividades Micro'!$B58=BV$2,'Atividades Micro'!$G58="Macro",'Atividades Micro'!$K58&lt;&gt;""),'Atividades Micro'!$K58,"")</f>
        <v/>
      </c>
      <c r="BW58" s="21" t="str">
        <f>IF(AND('Atividades Micro'!$B58=BW$2,'Atividades Micro'!$G58="Macro",'Atividades Micro'!$K58&lt;&gt;""),'Atividades Micro'!$K58,"")</f>
        <v/>
      </c>
      <c r="BX58" s="21" t="str">
        <f>IF(AND('Atividades Micro'!$B58=BX$2,'Atividades Micro'!$G58="Macro",'Atividades Micro'!$K58&lt;&gt;""),'Atividades Micro'!$K58,"")</f>
        <v/>
      </c>
      <c r="BY58" s="21" t="str">
        <f>IF(AND('Atividades Micro'!$B58=BY$2,'Atividades Micro'!$G58="Macro",'Atividades Micro'!$K58&lt;&gt;""),'Atividades Micro'!$K58,"")</f>
        <v/>
      </c>
      <c r="BZ58" s="21" t="str">
        <f>IF(AND('Atividades Micro'!$B58=BZ$2,'Atividades Micro'!$G58="Macro",'Atividades Micro'!$K58&lt;&gt;""),'Atividades Micro'!$K58,"")</f>
        <v/>
      </c>
      <c r="CA58" s="21" t="str">
        <f>IF(AND('Atividades Micro'!$B58=CA$2,'Atividades Micro'!$G58="Macro",'Atividades Micro'!$K58&lt;&gt;""),'Atividades Micro'!$K58,"")</f>
        <v/>
      </c>
      <c r="CB58" s="21" t="str">
        <f>IF(AND('Atividades Micro'!$B58=CB$2,'Atividades Micro'!$G58="Macro",'Atividades Micro'!$K58&lt;&gt;""),'Atividades Micro'!$K58,"")</f>
        <v/>
      </c>
      <c r="CC58" s="21" t="str">
        <f>IF(AND('Atividades Micro'!$B58=CC$2,'Atividades Micro'!$G58="Macro",'Atividades Micro'!$K58&lt;&gt;""),'Atividades Micro'!$K58,"")</f>
        <v/>
      </c>
      <c r="CD58" s="21" t="str">
        <f>IF(AND('Atividades Micro'!$B58=CD$2,'Atividades Micro'!$G58="Micro",'Atividades Micro'!$K58&lt;&gt;""),'Atividades Micro'!$K58,"")</f>
        <v/>
      </c>
      <c r="CE58" s="21">
        <f>IF(AND('Atividades Micro'!$B58=CE$2,'Atividades Micro'!$G58="Micro",'Atividades Micro'!$K58&lt;&gt;""),'Atividades Micro'!$K58,"")</f>
        <v>46316</v>
      </c>
      <c r="CF58" s="21" t="str">
        <f>IF(AND('Atividades Micro'!$B58=CF$2,'Atividades Micro'!$G58="Micro",'Atividades Micro'!$K58&lt;&gt;""),'Atividades Micro'!$K58,"")</f>
        <v/>
      </c>
      <c r="CG58" s="21" t="str">
        <f>IF(AND('Atividades Micro'!$B58=CG$2,'Atividades Micro'!$G58="Micro",'Atividades Micro'!$K58&lt;&gt;""),'Atividades Micro'!$K58,"")</f>
        <v/>
      </c>
      <c r="CH58" s="21" t="str">
        <f>IF(AND('Atividades Micro'!$B58=CH$2,'Atividades Micro'!$G58="Micro",'Atividades Micro'!$K58&lt;&gt;""),'Atividades Micro'!$K58,"")</f>
        <v/>
      </c>
      <c r="CI58" s="21" t="str">
        <f>IF(AND('Atividades Micro'!$B58=CI$2,'Atividades Micro'!$G58="Micro",'Atividades Micro'!$K58&lt;&gt;""),'Atividades Micro'!$K58,"")</f>
        <v/>
      </c>
      <c r="CJ58" s="21" t="str">
        <f>IF(AND('Atividades Micro'!$B58=CJ$2,'Atividades Micro'!$G58="Micro",'Atividades Micro'!$K58&lt;&gt;""),'Atividades Micro'!$K58,"")</f>
        <v/>
      </c>
      <c r="CK58" s="21" t="str">
        <f>IF(AND('Atividades Micro'!$B58=CK$2,'Atividades Micro'!$G58="Micro",'Atividades Micro'!$K58&lt;&gt;""),'Atividades Micro'!$K58,"")</f>
        <v/>
      </c>
      <c r="CL58" s="21" t="str">
        <f>IF(AND('Atividades Micro'!$B58=CL$2,'Atividades Micro'!$G58="Micro",'Atividades Micro'!$K58&lt;&gt;""),'Atividades Micro'!$K58,"")</f>
        <v/>
      </c>
      <c r="CM58" s="21" t="str">
        <f>IF(AND('Atividades Micro'!$B58=CM$2,'Atividades Micro'!$G58="Micro",'Atividades Micro'!$K58&lt;&gt;""),'Atividades Micro'!$K58,"")</f>
        <v/>
      </c>
      <c r="CN58" s="21" t="str">
        <f>IF(AND('Atividades Micro'!$B58=CN$2,'Atividades Micro'!$G58="Micro",'Atividades Micro'!$K58&lt;&gt;""),'Atividades Micro'!$K58,"")</f>
        <v/>
      </c>
      <c r="CO58" s="21" t="str">
        <f>IF(AND('Atividades Micro'!$B58=CO$2,'Atividades Micro'!$G58="Micro",'Atividades Micro'!$K58&lt;&gt;""),'Atividades Micro'!$K58,"")</f>
        <v/>
      </c>
    </row>
    <row r="59" spans="1:93">
      <c r="A59" s="21" t="str">
        <f>IF(AND('Atividades Micro'!$A59=A$2,'Atividades Micro'!$K59&lt;&gt;""),'Atividades Micro'!$K59,"")</f>
        <v/>
      </c>
      <c r="B59" s="21" t="str">
        <f>IF(AND('Atividades Micro'!$A59=B$2,'Atividades Micro'!$L59&lt;&gt;""),'Atividades Micro'!$L59,"")</f>
        <v/>
      </c>
      <c r="C59" s="21" t="str">
        <f>IF(AND('Atividades Micro'!$A59=C$2,'Atividades Micro'!$K59&lt;&gt;""),'Atividades Micro'!$K59,"")</f>
        <v/>
      </c>
      <c r="D59" s="21" t="str">
        <f>IF(AND('Atividades Micro'!$A59=D$2,'Atividades Micro'!$L59&lt;&gt;""),'Atividades Micro'!$L59,"")</f>
        <v/>
      </c>
      <c r="E59" s="21" t="str">
        <f>IF(AND('Atividades Micro'!$A59=E$2,'Atividades Micro'!$K59&lt;&gt;""),'Atividades Micro'!$K59,"")</f>
        <v/>
      </c>
      <c r="F59" s="21" t="str">
        <f>IF(AND('Atividades Micro'!$A59=F$2,'Atividades Micro'!$L59&lt;&gt;""),'Atividades Micro'!$L59,"")</f>
        <v/>
      </c>
      <c r="G59" s="21" t="str">
        <f>IF(AND('Atividades Micro'!$A59=G$2,'Atividades Micro'!$K59&lt;&gt;""),'Atividades Micro'!$K59,"")</f>
        <v/>
      </c>
      <c r="H59" s="21" t="str">
        <f>IF(AND('Atividades Micro'!$A59=H$2,'Atividades Micro'!$L59&lt;&gt;""),'Atividades Micro'!$L59,"")</f>
        <v/>
      </c>
      <c r="I59" s="21">
        <f>IF(AND('Atividades Micro'!$A59=I$2,'Atividades Micro'!$K59&lt;&gt;""),'Atividades Micro'!$K59,"")</f>
        <v>46317</v>
      </c>
      <c r="J59" s="21">
        <f>IF(AND('Atividades Micro'!$A59=J$2,'Atividades Micro'!$L59&lt;&gt;""),'Atividades Micro'!$L59,"")</f>
        <v>46308</v>
      </c>
      <c r="K59" s="21" t="str">
        <f>IF(AND('Atividades Micro'!$B59=K$2,'Atividades Micro'!$K59&lt;&gt;""),'Atividades Micro'!$K59,"")</f>
        <v/>
      </c>
      <c r="L59" s="21" t="str">
        <f>IF(AND('Atividades Micro'!$B59=L$2,'Atividades Micro'!$L59&lt;&gt;""),'Atividades Micro'!$L59,"")</f>
        <v/>
      </c>
      <c r="M59" s="21">
        <f>IF(AND('Atividades Micro'!$B59=M$2,'Atividades Micro'!$K59&lt;&gt;""),'Atividades Micro'!$K59,"")</f>
        <v>46317</v>
      </c>
      <c r="N59" s="21">
        <f>IF(AND('Atividades Micro'!$B59=N$2,'Atividades Micro'!$L59&lt;&gt;""),'Atividades Micro'!$L59,"")</f>
        <v>46308</v>
      </c>
      <c r="O59" s="21" t="str">
        <f>IF(AND('Atividades Micro'!$A59=O$2,'Atividades Micro'!$K59&lt;&gt;""),'Atividades Micro'!$K59,"")</f>
        <v/>
      </c>
      <c r="P59" s="21" t="str">
        <f>IF(AND('Atividades Micro'!$A59=P$2,'Atividades Micro'!$L59&lt;&gt;""),'Atividades Micro'!$L59,"")</f>
        <v/>
      </c>
      <c r="Q59" s="21" t="str">
        <f>IF(AND('Atividades Micro'!$B59=Q$2,'Atividades Micro'!$K59&lt;&gt;""),'Atividades Micro'!$K59,"")</f>
        <v/>
      </c>
      <c r="R59" s="21" t="str">
        <f>IF(AND('Atividades Micro'!$B59=R$2,'Atividades Micro'!$L59&lt;&gt;""),'Atividades Micro'!$L59,"")</f>
        <v/>
      </c>
      <c r="S59" s="21" t="str">
        <f>IF(AND('Atividades Micro'!$A59=S$2,'Atividades Micro'!$K59&lt;&gt;""),'Atividades Micro'!$K59,"")</f>
        <v/>
      </c>
      <c r="T59" s="21" t="str">
        <f>IF(AND('Atividades Micro'!$A59=T$2,'Atividades Micro'!$L59&lt;&gt;""),'Atividades Micro'!$L59,"")</f>
        <v/>
      </c>
      <c r="U59" s="21" t="str">
        <f>IF(AND('Atividades Micro'!$B59=U$2,'Atividades Micro'!$K59&lt;&gt;""),'Atividades Micro'!$K59,"")</f>
        <v/>
      </c>
      <c r="V59" s="21" t="str">
        <f>IF(AND('Atividades Micro'!$B59=V$2,'Atividades Micro'!$L59&lt;&gt;""),'Atividades Micro'!$L59,"")</f>
        <v/>
      </c>
      <c r="W59" s="21" t="str">
        <f>IF(AND('Atividades Micro'!$B59=W$2,'Atividades Micro'!$K59&lt;&gt;""),'Atividades Micro'!$K59,"")</f>
        <v/>
      </c>
      <c r="X59" s="21" t="str">
        <f>IF(AND('Atividades Micro'!$B59=X$2,'Atividades Micro'!$L59&lt;&gt;""),'Atividades Micro'!$L59,"")</f>
        <v/>
      </c>
      <c r="Y59" s="21" t="str">
        <f>IF(AND('Atividades Micro'!$A59=Y$2,'Atividades Micro'!$K59&lt;&gt;""),'Atividades Micro'!$K59,"")</f>
        <v/>
      </c>
      <c r="Z59" s="21" t="str">
        <f>IF(AND('Atividades Micro'!$A59=Z$2,'Atividades Micro'!$L59&lt;&gt;""),'Atividades Micro'!$L59,"")</f>
        <v/>
      </c>
      <c r="AA59" s="21" t="str">
        <f>IF(AND('Atividades Micro'!$B59=AA$2,'Atividades Micro'!$K59&lt;&gt;""),'Atividades Micro'!$K59,"")</f>
        <v/>
      </c>
      <c r="AB59" s="21" t="str">
        <f>IF(AND('Atividades Micro'!$B59=AB$2,'Atividades Micro'!$L59&lt;&gt;""),'Atividades Micro'!$L59,"")</f>
        <v/>
      </c>
      <c r="AC59" s="21" t="str">
        <f>IF(AND('Atividades Micro'!$B59=AC$2,'Atividades Micro'!$K59&lt;&gt;""),'Atividades Micro'!$K59,"")</f>
        <v/>
      </c>
      <c r="AD59" s="21" t="str">
        <f>IF(AND('Atividades Micro'!$B59=AD$2,'Atividades Micro'!$L59&lt;&gt;""),'Atividades Micro'!$L59,"")</f>
        <v/>
      </c>
      <c r="AE59" s="21" t="str">
        <f>IF(AND('Atividades Micro'!$A59=AE$2,'Atividades Micro'!$K59&lt;&gt;""),'Atividades Micro'!$K59,"")</f>
        <v/>
      </c>
      <c r="AF59" s="21" t="str">
        <f>IF(AND('Atividades Micro'!$A59=AF$2,'Atividades Micro'!$L59&lt;&gt;""),'Atividades Micro'!$L59,"")</f>
        <v/>
      </c>
      <c r="AG59" s="21" t="str">
        <f>IF(AND('Atividades Micro'!$B59=AG$2,'Atividades Micro'!$K59&lt;&gt;""),'Atividades Micro'!$K59,"")</f>
        <v/>
      </c>
      <c r="AH59" s="21" t="str">
        <f>IF(AND('Atividades Micro'!$B59=AH$2,'Atividades Micro'!$L59&lt;&gt;""),'Atividades Micro'!$L59,"")</f>
        <v/>
      </c>
      <c r="AI59" s="21" t="str">
        <f>IF(AND('Atividades Micro'!$B59=AI$2,'Atividades Micro'!$K59&lt;&gt;""),'Atividades Micro'!$K59,"")</f>
        <v/>
      </c>
      <c r="AJ59" s="21" t="str">
        <f>IF(AND('Atividades Micro'!$B59=AJ$2,'Atividades Micro'!$L59&lt;&gt;""),'Atividades Micro'!$L59,"")</f>
        <v/>
      </c>
      <c r="AK59" s="21" t="str">
        <f>IF(AND('Atividades Micro'!$A59=AK$2,'Atividades Micro'!$K59&lt;&gt;""),'Atividades Micro'!$K59,"")</f>
        <v/>
      </c>
      <c r="AL59" s="21" t="str">
        <f>IF(AND('Atividades Micro'!$A59=AL$2,'Atividades Micro'!$L59&lt;&gt;""),'Atividades Micro'!$L59,"")</f>
        <v/>
      </c>
      <c r="AM59" s="21" t="str">
        <f>IF(AND('Atividades Micro'!$B59=AM$2,'Atividades Micro'!$K59&lt;&gt;""),'Atividades Micro'!$K59,"")</f>
        <v/>
      </c>
      <c r="AN59" s="21" t="str">
        <f>IF(AND('Atividades Micro'!$B59=AN$2,'Atividades Micro'!$L59&lt;&gt;""),'Atividades Micro'!$L59,"")</f>
        <v/>
      </c>
      <c r="AO59" s="21" t="str">
        <f>IF(AND('Atividades Micro'!$B59=AO$2,'Atividades Micro'!$K59&lt;&gt;""),'Atividades Micro'!$K59,"")</f>
        <v/>
      </c>
      <c r="AP59" s="21" t="str">
        <f>IF(AND('Atividades Micro'!$B59=AP$2,'Atividades Micro'!$L59&lt;&gt;""),'Atividades Micro'!$L59,"")</f>
        <v/>
      </c>
      <c r="AQ59" s="21" t="str">
        <f>IF(AND('Atividades Micro'!$A59=AQ$2,'Atividades Micro'!$K59&lt;&gt;""),'Atividades Micro'!$K59,"")</f>
        <v/>
      </c>
      <c r="AR59" s="21" t="str">
        <f>IF(AND('Atividades Micro'!$A59=AR$2,'Atividades Micro'!$L59&lt;&gt;""),'Atividades Micro'!$L59,"")</f>
        <v/>
      </c>
      <c r="AS59" s="21" t="str">
        <f>IF(AND('Atividades Micro'!$B59=AS$2,'Atividades Micro'!$K59&lt;&gt;""),'Atividades Micro'!$K59,"")</f>
        <v/>
      </c>
      <c r="AT59" s="21" t="str">
        <f>IF(AND('Atividades Micro'!$B59=AT$2,'Atividades Micro'!$L59&lt;&gt;""),'Atividades Micro'!$L59,"")</f>
        <v/>
      </c>
      <c r="AU59" s="21" t="str">
        <f>IF(AND('Atividades Micro'!$A59=AU$2,'Atividades Micro'!$K59&lt;&gt;""),'Atividades Micro'!$K59,"")</f>
        <v/>
      </c>
      <c r="AV59" s="21" t="str">
        <f>IF(AND('Atividades Micro'!$A59=AV$2,'Atividades Micro'!$L59&lt;&gt;""),'Atividades Micro'!$L59,"")</f>
        <v/>
      </c>
      <c r="AW59" s="21" t="str">
        <f>IF(AND('Atividades Micro'!$B59=AW$2,'Atividades Micro'!$K59&lt;&gt;""),'Atividades Micro'!$K59,"")</f>
        <v/>
      </c>
      <c r="AX59" s="21" t="str">
        <f>IF(AND('Atividades Micro'!$B59=AX$2,'Atividades Micro'!$L59&lt;&gt;""),'Atividades Micro'!$L59,"")</f>
        <v/>
      </c>
      <c r="AY59" s="21" t="str">
        <f>IF(AND('Atividades Micro'!$A59=AY$2,'Atividades Micro'!$K59&lt;&gt;""),'Atividades Micro'!$K59,"")</f>
        <v/>
      </c>
      <c r="AZ59" s="21" t="str">
        <f>IF(AND('Atividades Micro'!$A59=AZ$2,'Atividades Micro'!$L59&lt;&gt;""),'Atividades Micro'!$L59,"")</f>
        <v/>
      </c>
      <c r="BA59" s="21" t="str">
        <f>IF(AND('Atividades Micro'!$B59=BA$2,'Atividades Micro'!$K59&lt;&gt;""),'Atividades Micro'!$K59,"")</f>
        <v/>
      </c>
      <c r="BB59" s="21" t="str">
        <f>IF(AND('Atividades Micro'!$B59=BB$2,'Atividades Micro'!$L59&lt;&gt;""),'Atividades Micro'!$L59,"")</f>
        <v/>
      </c>
      <c r="BC59" s="21" t="str">
        <f>IF(AND('Atividades Micro'!$B59=BC$2,'Atividades Micro'!$G59="Macro",'Atividades Micro'!$K59&lt;&gt;""),'Atividades Micro'!$K59,"")</f>
        <v/>
      </c>
      <c r="BD59" s="21" t="str">
        <f>IF(AND('Atividades Micro'!$B59=BD$2,'Atividades Micro'!$G59="Macro",'Atividades Micro'!$K59&lt;&gt;""),'Atividades Micro'!$K59,"")</f>
        <v/>
      </c>
      <c r="BE59" s="21" t="str">
        <f>IF(AND('Atividades Micro'!$B59=BE$2,'Atividades Micro'!$G59="Macro",'Atividades Micro'!$K59&lt;&gt;""),'Atividades Micro'!$K59,"")</f>
        <v/>
      </c>
      <c r="BF59" s="21" t="str">
        <f>IF(AND('Atividades Micro'!$B59=BF$2,'Atividades Micro'!$G59="Macro",'Atividades Micro'!$K59&lt;&gt;""),'Atividades Micro'!$K59,"")</f>
        <v/>
      </c>
      <c r="BG59" s="21" t="str">
        <f>IF(AND('Atividades Micro'!$B59=BG$2,'Atividades Micro'!$G59="Macro",'Atividades Micro'!$K59&lt;&gt;""),'Atividades Micro'!$K59,"")</f>
        <v/>
      </c>
      <c r="BH59" s="21" t="str">
        <f>IF(AND('Atividades Micro'!$B59=BH$2,'Atividades Micro'!$G59="Macro",'Atividades Micro'!$K59&lt;&gt;""),'Atividades Micro'!$K59,"")</f>
        <v/>
      </c>
      <c r="BI59" s="21" t="str">
        <f>IF(AND('Atividades Micro'!$B59=BI$2,'Atividades Micro'!$G59="Macro",'Atividades Micro'!$K59&lt;&gt;""),'Atividades Micro'!$K59,"")</f>
        <v/>
      </c>
      <c r="BJ59" s="21" t="str">
        <f>IF(AND('Atividades Micro'!$B59=BJ$2,'Atividades Micro'!$G59="Macro",'Atividades Micro'!$K59&lt;&gt;""),'Atividades Micro'!$K59,"")</f>
        <v/>
      </c>
      <c r="BK59" s="21" t="str">
        <f>IF(AND('Atividades Micro'!$B59=BK$2,'Atividades Micro'!$G59="Macro",'Atividades Micro'!$K59&lt;&gt;""),'Atividades Micro'!$K59,"")</f>
        <v/>
      </c>
      <c r="BL59" s="21" t="str">
        <f>IF(AND('Atividades Micro'!$B59=BL$2,'Atividades Micro'!$G59="Macro",'Atividades Micro'!$K59&lt;&gt;""),'Atividades Micro'!$K59,"")</f>
        <v/>
      </c>
      <c r="BM59" s="21" t="str">
        <f>IF(AND('Atividades Micro'!$B59=BM$2,'Atividades Micro'!$G59="Macro",'Atividades Micro'!$K59&lt;&gt;""),'Atividades Micro'!$K59,"")</f>
        <v/>
      </c>
      <c r="BN59" s="21" t="str">
        <f>IF(AND('Atividades Micro'!$B59=BN$2,'Atividades Micro'!$G59="Macro",'Atividades Micro'!$K59&lt;&gt;""),'Atividades Micro'!$K59,"")</f>
        <v/>
      </c>
      <c r="BO59" s="21" t="str">
        <f>IF(AND('Atividades Micro'!$B59=BO$2,'Atividades Micro'!$G59="Macro",'Atividades Micro'!$K59&lt;&gt;""),'Atividades Micro'!$K59,"")</f>
        <v/>
      </c>
      <c r="BP59" s="21" t="str">
        <f>IF(AND('Atividades Micro'!$B59=BP$2,'Atividades Micro'!$G59="Macro",'Atividades Micro'!$K59&lt;&gt;""),'Atividades Micro'!$K59,"")</f>
        <v/>
      </c>
      <c r="BQ59" s="21" t="str">
        <f>IF(AND('Atividades Micro'!$B59=BQ$2,'Atividades Micro'!$G59="Macro",'Atividades Micro'!$K59&lt;&gt;""),'Atividades Micro'!$K59,"")</f>
        <v/>
      </c>
      <c r="BR59" s="21" t="str">
        <f>IF(AND('Atividades Micro'!$B59=BR$2,'Atividades Micro'!$G59="Macro",'Atividades Micro'!$K59&lt;&gt;""),'Atividades Micro'!$K59,"")</f>
        <v/>
      </c>
      <c r="BS59" s="21" t="str">
        <f>IF(AND('Atividades Micro'!$B59=BS$2,'Atividades Micro'!$G59="Macro",'Atividades Micro'!$K59&lt;&gt;""),'Atividades Micro'!$K59,"")</f>
        <v/>
      </c>
      <c r="BT59" s="21" t="str">
        <f>IF(AND('Atividades Micro'!$B59=BT$2,'Atividades Micro'!$G59="Macro",'Atividades Micro'!$K59&lt;&gt;""),'Atividades Micro'!$K59,"")</f>
        <v/>
      </c>
      <c r="BU59" s="21" t="str">
        <f>IF(AND('Atividades Micro'!$B59=BU$2,'Atividades Micro'!$G59="Macro",'Atividades Micro'!$K59&lt;&gt;""),'Atividades Micro'!$K59,"")</f>
        <v/>
      </c>
      <c r="BV59" s="21" t="str">
        <f>IF(AND('Atividades Micro'!$B59=BV$2,'Atividades Micro'!$G59="Macro",'Atividades Micro'!$K59&lt;&gt;""),'Atividades Micro'!$K59,"")</f>
        <v/>
      </c>
      <c r="BW59" s="21" t="str">
        <f>IF(AND('Atividades Micro'!$B59=BW$2,'Atividades Micro'!$G59="Macro",'Atividades Micro'!$K59&lt;&gt;""),'Atividades Micro'!$K59,"")</f>
        <v/>
      </c>
      <c r="BX59" s="21" t="str">
        <f>IF(AND('Atividades Micro'!$B59=BX$2,'Atividades Micro'!$G59="Macro",'Atividades Micro'!$K59&lt;&gt;""),'Atividades Micro'!$K59,"")</f>
        <v/>
      </c>
      <c r="BY59" s="21" t="str">
        <f>IF(AND('Atividades Micro'!$B59=BY$2,'Atividades Micro'!$G59="Macro",'Atividades Micro'!$K59&lt;&gt;""),'Atividades Micro'!$K59,"")</f>
        <v/>
      </c>
      <c r="BZ59" s="21" t="str">
        <f>IF(AND('Atividades Micro'!$B59=BZ$2,'Atividades Micro'!$G59="Macro",'Atividades Micro'!$K59&lt;&gt;""),'Atividades Micro'!$K59,"")</f>
        <v/>
      </c>
      <c r="CA59" s="21" t="str">
        <f>IF(AND('Atividades Micro'!$B59=CA$2,'Atividades Micro'!$G59="Macro",'Atividades Micro'!$K59&lt;&gt;""),'Atividades Micro'!$K59,"")</f>
        <v/>
      </c>
      <c r="CB59" s="21" t="str">
        <f>IF(AND('Atividades Micro'!$B59=CB$2,'Atividades Micro'!$G59="Macro",'Atividades Micro'!$K59&lt;&gt;""),'Atividades Micro'!$K59,"")</f>
        <v/>
      </c>
      <c r="CC59" s="21" t="str">
        <f>IF(AND('Atividades Micro'!$B59=CC$2,'Atividades Micro'!$G59="Macro",'Atividades Micro'!$K59&lt;&gt;""),'Atividades Micro'!$K59,"")</f>
        <v/>
      </c>
      <c r="CD59" s="21" t="str">
        <f>IF(AND('Atividades Micro'!$B59=CD$2,'Atividades Micro'!$G59="Micro",'Atividades Micro'!$K59&lt;&gt;""),'Atividades Micro'!$K59,"")</f>
        <v/>
      </c>
      <c r="CE59" s="21">
        <f>IF(AND('Atividades Micro'!$B59=CE$2,'Atividades Micro'!$G59="Micro",'Atividades Micro'!$K59&lt;&gt;""),'Atividades Micro'!$K59,"")</f>
        <v>46317</v>
      </c>
      <c r="CF59" s="21" t="str">
        <f>IF(AND('Atividades Micro'!$B59=CF$2,'Atividades Micro'!$G59="Micro",'Atividades Micro'!$K59&lt;&gt;""),'Atividades Micro'!$K59,"")</f>
        <v/>
      </c>
      <c r="CG59" s="21" t="str">
        <f>IF(AND('Atividades Micro'!$B59=CG$2,'Atividades Micro'!$G59="Micro",'Atividades Micro'!$K59&lt;&gt;""),'Atividades Micro'!$K59,"")</f>
        <v/>
      </c>
      <c r="CH59" s="21" t="str">
        <f>IF(AND('Atividades Micro'!$B59=CH$2,'Atividades Micro'!$G59="Micro",'Atividades Micro'!$K59&lt;&gt;""),'Atividades Micro'!$K59,"")</f>
        <v/>
      </c>
      <c r="CI59" s="21" t="str">
        <f>IF(AND('Atividades Micro'!$B59=CI$2,'Atividades Micro'!$G59="Micro",'Atividades Micro'!$K59&lt;&gt;""),'Atividades Micro'!$K59,"")</f>
        <v/>
      </c>
      <c r="CJ59" s="21" t="str">
        <f>IF(AND('Atividades Micro'!$B59=CJ$2,'Atividades Micro'!$G59="Micro",'Atividades Micro'!$K59&lt;&gt;""),'Atividades Micro'!$K59,"")</f>
        <v/>
      </c>
      <c r="CK59" s="21" t="str">
        <f>IF(AND('Atividades Micro'!$B59=CK$2,'Atividades Micro'!$G59="Micro",'Atividades Micro'!$K59&lt;&gt;""),'Atividades Micro'!$K59,"")</f>
        <v/>
      </c>
      <c r="CL59" s="21" t="str">
        <f>IF(AND('Atividades Micro'!$B59=CL$2,'Atividades Micro'!$G59="Micro",'Atividades Micro'!$K59&lt;&gt;""),'Atividades Micro'!$K59,"")</f>
        <v/>
      </c>
      <c r="CM59" s="21" t="str">
        <f>IF(AND('Atividades Micro'!$B59=CM$2,'Atividades Micro'!$G59="Micro",'Atividades Micro'!$K59&lt;&gt;""),'Atividades Micro'!$K59,"")</f>
        <v/>
      </c>
      <c r="CN59" s="21" t="str">
        <f>IF(AND('Atividades Micro'!$B59=CN$2,'Atividades Micro'!$G59="Micro",'Atividades Micro'!$K59&lt;&gt;""),'Atividades Micro'!$K59,"")</f>
        <v/>
      </c>
      <c r="CO59" s="21" t="str">
        <f>IF(AND('Atividades Micro'!$B59=CO$2,'Atividades Micro'!$G59="Micro",'Atividades Micro'!$K59&lt;&gt;""),'Atividades Micro'!$K59,"")</f>
        <v/>
      </c>
    </row>
    <row r="60" spans="1:93">
      <c r="A60" s="21" t="str">
        <f>IF(AND('Atividades Micro'!$A60=A$2,'Atividades Micro'!$K60&lt;&gt;""),'Atividades Micro'!$K60,"")</f>
        <v/>
      </c>
      <c r="B60" s="21" t="str">
        <f>IF(AND('Atividades Micro'!$A60=B$2,'Atividades Micro'!$L60&lt;&gt;""),'Atividades Micro'!$L60,"")</f>
        <v/>
      </c>
      <c r="C60" s="21" t="str">
        <f>IF(AND('Atividades Micro'!$A60=C$2,'Atividades Micro'!$K60&lt;&gt;""),'Atividades Micro'!$K60,"")</f>
        <v/>
      </c>
      <c r="D60" s="21" t="str">
        <f>IF(AND('Atividades Micro'!$A60=D$2,'Atividades Micro'!$L60&lt;&gt;""),'Atividades Micro'!$L60,"")</f>
        <v/>
      </c>
      <c r="E60" s="21" t="str">
        <f>IF(AND('Atividades Micro'!$A60=E$2,'Atividades Micro'!$K60&lt;&gt;""),'Atividades Micro'!$K60,"")</f>
        <v/>
      </c>
      <c r="F60" s="21" t="str">
        <f>IF(AND('Atividades Micro'!$A60=F$2,'Atividades Micro'!$L60&lt;&gt;""),'Atividades Micro'!$L60,"")</f>
        <v/>
      </c>
      <c r="G60" s="21" t="str">
        <f>IF(AND('Atividades Micro'!$A60=G$2,'Atividades Micro'!$K60&lt;&gt;""),'Atividades Micro'!$K60,"")</f>
        <v/>
      </c>
      <c r="H60" s="21" t="str">
        <f>IF(AND('Atividades Micro'!$A60=H$2,'Atividades Micro'!$L60&lt;&gt;""),'Atividades Micro'!$L60,"")</f>
        <v/>
      </c>
      <c r="I60" s="21">
        <f>IF(AND('Atividades Micro'!$A60=I$2,'Atividades Micro'!$K60&lt;&gt;""),'Atividades Micro'!$K60,"")</f>
        <v>46322</v>
      </c>
      <c r="J60" s="21">
        <f>IF(AND('Atividades Micro'!$A60=J$2,'Atividades Micro'!$L60&lt;&gt;""),'Atividades Micro'!$L60,"")</f>
        <v>46309</v>
      </c>
      <c r="K60" s="21" t="str">
        <f>IF(AND('Atividades Micro'!$B60=K$2,'Atividades Micro'!$K60&lt;&gt;""),'Atividades Micro'!$K60,"")</f>
        <v/>
      </c>
      <c r="L60" s="21" t="str">
        <f>IF(AND('Atividades Micro'!$B60=L$2,'Atividades Micro'!$L60&lt;&gt;""),'Atividades Micro'!$L60,"")</f>
        <v/>
      </c>
      <c r="M60" s="21">
        <f>IF(AND('Atividades Micro'!$B60=M$2,'Atividades Micro'!$K60&lt;&gt;""),'Atividades Micro'!$K60,"")</f>
        <v>46322</v>
      </c>
      <c r="N60" s="21">
        <f>IF(AND('Atividades Micro'!$B60=N$2,'Atividades Micro'!$L60&lt;&gt;""),'Atividades Micro'!$L60,"")</f>
        <v>46309</v>
      </c>
      <c r="O60" s="21" t="str">
        <f>IF(AND('Atividades Micro'!$A60=O$2,'Atividades Micro'!$K60&lt;&gt;""),'Atividades Micro'!$K60,"")</f>
        <v/>
      </c>
      <c r="P60" s="21" t="str">
        <f>IF(AND('Atividades Micro'!$A60=P$2,'Atividades Micro'!$L60&lt;&gt;""),'Atividades Micro'!$L60,"")</f>
        <v/>
      </c>
      <c r="Q60" s="21" t="str">
        <f>IF(AND('Atividades Micro'!$B60=Q$2,'Atividades Micro'!$K60&lt;&gt;""),'Atividades Micro'!$K60,"")</f>
        <v/>
      </c>
      <c r="R60" s="21" t="str">
        <f>IF(AND('Atividades Micro'!$B60=R$2,'Atividades Micro'!$L60&lt;&gt;""),'Atividades Micro'!$L60,"")</f>
        <v/>
      </c>
      <c r="S60" s="21" t="str">
        <f>IF(AND('Atividades Micro'!$A60=S$2,'Atividades Micro'!$K60&lt;&gt;""),'Atividades Micro'!$K60,"")</f>
        <v/>
      </c>
      <c r="T60" s="21" t="str">
        <f>IF(AND('Atividades Micro'!$A60=T$2,'Atividades Micro'!$L60&lt;&gt;""),'Atividades Micro'!$L60,"")</f>
        <v/>
      </c>
      <c r="U60" s="21" t="str">
        <f>IF(AND('Atividades Micro'!$B60=U$2,'Atividades Micro'!$K60&lt;&gt;""),'Atividades Micro'!$K60,"")</f>
        <v/>
      </c>
      <c r="V60" s="21" t="str">
        <f>IF(AND('Atividades Micro'!$B60=V$2,'Atividades Micro'!$L60&lt;&gt;""),'Atividades Micro'!$L60,"")</f>
        <v/>
      </c>
      <c r="W60" s="21" t="str">
        <f>IF(AND('Atividades Micro'!$B60=W$2,'Atividades Micro'!$K60&lt;&gt;""),'Atividades Micro'!$K60,"")</f>
        <v/>
      </c>
      <c r="X60" s="21" t="str">
        <f>IF(AND('Atividades Micro'!$B60=X$2,'Atividades Micro'!$L60&lt;&gt;""),'Atividades Micro'!$L60,"")</f>
        <v/>
      </c>
      <c r="Y60" s="21" t="str">
        <f>IF(AND('Atividades Micro'!$A60=Y$2,'Atividades Micro'!$K60&lt;&gt;""),'Atividades Micro'!$K60,"")</f>
        <v/>
      </c>
      <c r="Z60" s="21" t="str">
        <f>IF(AND('Atividades Micro'!$A60=Z$2,'Atividades Micro'!$L60&lt;&gt;""),'Atividades Micro'!$L60,"")</f>
        <v/>
      </c>
      <c r="AA60" s="21" t="str">
        <f>IF(AND('Atividades Micro'!$B60=AA$2,'Atividades Micro'!$K60&lt;&gt;""),'Atividades Micro'!$K60,"")</f>
        <v/>
      </c>
      <c r="AB60" s="21" t="str">
        <f>IF(AND('Atividades Micro'!$B60=AB$2,'Atividades Micro'!$L60&lt;&gt;""),'Atividades Micro'!$L60,"")</f>
        <v/>
      </c>
      <c r="AC60" s="21" t="str">
        <f>IF(AND('Atividades Micro'!$B60=AC$2,'Atividades Micro'!$K60&lt;&gt;""),'Atividades Micro'!$K60,"")</f>
        <v/>
      </c>
      <c r="AD60" s="21" t="str">
        <f>IF(AND('Atividades Micro'!$B60=AD$2,'Atividades Micro'!$L60&lt;&gt;""),'Atividades Micro'!$L60,"")</f>
        <v/>
      </c>
      <c r="AE60" s="21" t="str">
        <f>IF(AND('Atividades Micro'!$A60=AE$2,'Atividades Micro'!$K60&lt;&gt;""),'Atividades Micro'!$K60,"")</f>
        <v/>
      </c>
      <c r="AF60" s="21" t="str">
        <f>IF(AND('Atividades Micro'!$A60=AF$2,'Atividades Micro'!$L60&lt;&gt;""),'Atividades Micro'!$L60,"")</f>
        <v/>
      </c>
      <c r="AG60" s="21" t="str">
        <f>IF(AND('Atividades Micro'!$B60=AG$2,'Atividades Micro'!$K60&lt;&gt;""),'Atividades Micro'!$K60,"")</f>
        <v/>
      </c>
      <c r="AH60" s="21" t="str">
        <f>IF(AND('Atividades Micro'!$B60=AH$2,'Atividades Micro'!$L60&lt;&gt;""),'Atividades Micro'!$L60,"")</f>
        <v/>
      </c>
      <c r="AI60" s="21" t="str">
        <f>IF(AND('Atividades Micro'!$B60=AI$2,'Atividades Micro'!$K60&lt;&gt;""),'Atividades Micro'!$K60,"")</f>
        <v/>
      </c>
      <c r="AJ60" s="21" t="str">
        <f>IF(AND('Atividades Micro'!$B60=AJ$2,'Atividades Micro'!$L60&lt;&gt;""),'Atividades Micro'!$L60,"")</f>
        <v/>
      </c>
      <c r="AK60" s="21" t="str">
        <f>IF(AND('Atividades Micro'!$A60=AK$2,'Atividades Micro'!$K60&lt;&gt;""),'Atividades Micro'!$K60,"")</f>
        <v/>
      </c>
      <c r="AL60" s="21" t="str">
        <f>IF(AND('Atividades Micro'!$A60=AL$2,'Atividades Micro'!$L60&lt;&gt;""),'Atividades Micro'!$L60,"")</f>
        <v/>
      </c>
      <c r="AM60" s="21" t="str">
        <f>IF(AND('Atividades Micro'!$B60=AM$2,'Atividades Micro'!$K60&lt;&gt;""),'Atividades Micro'!$K60,"")</f>
        <v/>
      </c>
      <c r="AN60" s="21" t="str">
        <f>IF(AND('Atividades Micro'!$B60=AN$2,'Atividades Micro'!$L60&lt;&gt;""),'Atividades Micro'!$L60,"")</f>
        <v/>
      </c>
      <c r="AO60" s="21" t="str">
        <f>IF(AND('Atividades Micro'!$B60=AO$2,'Atividades Micro'!$K60&lt;&gt;""),'Atividades Micro'!$K60,"")</f>
        <v/>
      </c>
      <c r="AP60" s="21" t="str">
        <f>IF(AND('Atividades Micro'!$B60=AP$2,'Atividades Micro'!$L60&lt;&gt;""),'Atividades Micro'!$L60,"")</f>
        <v/>
      </c>
      <c r="AQ60" s="21" t="str">
        <f>IF(AND('Atividades Micro'!$A60=AQ$2,'Atividades Micro'!$K60&lt;&gt;""),'Atividades Micro'!$K60,"")</f>
        <v/>
      </c>
      <c r="AR60" s="21" t="str">
        <f>IF(AND('Atividades Micro'!$A60=AR$2,'Atividades Micro'!$L60&lt;&gt;""),'Atividades Micro'!$L60,"")</f>
        <v/>
      </c>
      <c r="AS60" s="21" t="str">
        <f>IF(AND('Atividades Micro'!$B60=AS$2,'Atividades Micro'!$K60&lt;&gt;""),'Atividades Micro'!$K60,"")</f>
        <v/>
      </c>
      <c r="AT60" s="21" t="str">
        <f>IF(AND('Atividades Micro'!$B60=AT$2,'Atividades Micro'!$L60&lt;&gt;""),'Atividades Micro'!$L60,"")</f>
        <v/>
      </c>
      <c r="AU60" s="21" t="str">
        <f>IF(AND('Atividades Micro'!$A60=AU$2,'Atividades Micro'!$K60&lt;&gt;""),'Atividades Micro'!$K60,"")</f>
        <v/>
      </c>
      <c r="AV60" s="21" t="str">
        <f>IF(AND('Atividades Micro'!$A60=AV$2,'Atividades Micro'!$L60&lt;&gt;""),'Atividades Micro'!$L60,"")</f>
        <v/>
      </c>
      <c r="AW60" s="21" t="str">
        <f>IF(AND('Atividades Micro'!$B60=AW$2,'Atividades Micro'!$K60&lt;&gt;""),'Atividades Micro'!$K60,"")</f>
        <v/>
      </c>
      <c r="AX60" s="21" t="str">
        <f>IF(AND('Atividades Micro'!$B60=AX$2,'Atividades Micro'!$L60&lt;&gt;""),'Atividades Micro'!$L60,"")</f>
        <v/>
      </c>
      <c r="AY60" s="21" t="str">
        <f>IF(AND('Atividades Micro'!$A60=AY$2,'Atividades Micro'!$K60&lt;&gt;""),'Atividades Micro'!$K60,"")</f>
        <v/>
      </c>
      <c r="AZ60" s="21" t="str">
        <f>IF(AND('Atividades Micro'!$A60=AZ$2,'Atividades Micro'!$L60&lt;&gt;""),'Atividades Micro'!$L60,"")</f>
        <v/>
      </c>
      <c r="BA60" s="21" t="str">
        <f>IF(AND('Atividades Micro'!$B60=BA$2,'Atividades Micro'!$K60&lt;&gt;""),'Atividades Micro'!$K60,"")</f>
        <v/>
      </c>
      <c r="BB60" s="21" t="str">
        <f>IF(AND('Atividades Micro'!$B60=BB$2,'Atividades Micro'!$L60&lt;&gt;""),'Atividades Micro'!$L60,"")</f>
        <v/>
      </c>
      <c r="BC60" s="21" t="str">
        <f>IF(AND('Atividades Micro'!$B60=BC$2,'Atividades Micro'!$G60="Macro",'Atividades Micro'!$K60&lt;&gt;""),'Atividades Micro'!$K60,"")</f>
        <v/>
      </c>
      <c r="BD60" s="21" t="str">
        <f>IF(AND('Atividades Micro'!$B60=BD$2,'Atividades Micro'!$G60="Macro",'Atividades Micro'!$K60&lt;&gt;""),'Atividades Micro'!$K60,"")</f>
        <v/>
      </c>
      <c r="BE60" s="21" t="str">
        <f>IF(AND('Atividades Micro'!$B60=BE$2,'Atividades Micro'!$G60="Macro",'Atividades Micro'!$K60&lt;&gt;""),'Atividades Micro'!$K60,"")</f>
        <v/>
      </c>
      <c r="BF60" s="21" t="str">
        <f>IF(AND('Atividades Micro'!$B60=BF$2,'Atividades Micro'!$G60="Macro",'Atividades Micro'!$K60&lt;&gt;""),'Atividades Micro'!$K60,"")</f>
        <v/>
      </c>
      <c r="BG60" s="21" t="str">
        <f>IF(AND('Atividades Micro'!$B60=BG$2,'Atividades Micro'!$G60="Macro",'Atividades Micro'!$K60&lt;&gt;""),'Atividades Micro'!$K60,"")</f>
        <v/>
      </c>
      <c r="BH60" s="21" t="str">
        <f>IF(AND('Atividades Micro'!$B60=BH$2,'Atividades Micro'!$G60="Macro",'Atividades Micro'!$K60&lt;&gt;""),'Atividades Micro'!$K60,"")</f>
        <v/>
      </c>
      <c r="BI60" s="21" t="str">
        <f>IF(AND('Atividades Micro'!$B60=BI$2,'Atividades Micro'!$G60="Macro",'Atividades Micro'!$K60&lt;&gt;""),'Atividades Micro'!$K60,"")</f>
        <v/>
      </c>
      <c r="BJ60" s="21" t="str">
        <f>IF(AND('Atividades Micro'!$B60=BJ$2,'Atividades Micro'!$G60="Macro",'Atividades Micro'!$K60&lt;&gt;""),'Atividades Micro'!$K60,"")</f>
        <v/>
      </c>
      <c r="BK60" s="21" t="str">
        <f>IF(AND('Atividades Micro'!$B60=BK$2,'Atividades Micro'!$G60="Macro",'Atividades Micro'!$K60&lt;&gt;""),'Atividades Micro'!$K60,"")</f>
        <v/>
      </c>
      <c r="BL60" s="21" t="str">
        <f>IF(AND('Atividades Micro'!$B60=BL$2,'Atividades Micro'!$G60="Macro",'Atividades Micro'!$K60&lt;&gt;""),'Atividades Micro'!$K60,"")</f>
        <v/>
      </c>
      <c r="BM60" s="21" t="str">
        <f>IF(AND('Atividades Micro'!$B60=BM$2,'Atividades Micro'!$G60="Macro",'Atividades Micro'!$K60&lt;&gt;""),'Atividades Micro'!$K60,"")</f>
        <v/>
      </c>
      <c r="BN60" s="21" t="str">
        <f>IF(AND('Atividades Micro'!$B60=BN$2,'Atividades Micro'!$G60="Macro",'Atividades Micro'!$K60&lt;&gt;""),'Atividades Micro'!$K60,"")</f>
        <v/>
      </c>
      <c r="BO60" s="21" t="str">
        <f>IF(AND('Atividades Micro'!$B60=BO$2,'Atividades Micro'!$G60="Macro",'Atividades Micro'!$K60&lt;&gt;""),'Atividades Micro'!$K60,"")</f>
        <v/>
      </c>
      <c r="BP60" s="21" t="str">
        <f>IF(AND('Atividades Micro'!$B60=BP$2,'Atividades Micro'!$G60="Macro",'Atividades Micro'!$K60&lt;&gt;""),'Atividades Micro'!$K60,"")</f>
        <v/>
      </c>
      <c r="BQ60" s="21" t="str">
        <f>IF(AND('Atividades Micro'!$B60=BQ$2,'Atividades Micro'!$G60="Macro",'Atividades Micro'!$K60&lt;&gt;""),'Atividades Micro'!$K60,"")</f>
        <v/>
      </c>
      <c r="BR60" s="21" t="str">
        <f>IF(AND('Atividades Micro'!$B60=BR$2,'Atividades Micro'!$G60="Macro",'Atividades Micro'!$K60&lt;&gt;""),'Atividades Micro'!$K60,"")</f>
        <v/>
      </c>
      <c r="BS60" s="21" t="str">
        <f>IF(AND('Atividades Micro'!$B60=BS$2,'Atividades Micro'!$G60="Macro",'Atividades Micro'!$K60&lt;&gt;""),'Atividades Micro'!$K60,"")</f>
        <v/>
      </c>
      <c r="BT60" s="21" t="str">
        <f>IF(AND('Atividades Micro'!$B60=BT$2,'Atividades Micro'!$G60="Macro",'Atividades Micro'!$K60&lt;&gt;""),'Atividades Micro'!$K60,"")</f>
        <v/>
      </c>
      <c r="BU60" s="21" t="str">
        <f>IF(AND('Atividades Micro'!$B60=BU$2,'Atividades Micro'!$G60="Macro",'Atividades Micro'!$K60&lt;&gt;""),'Atividades Micro'!$K60,"")</f>
        <v/>
      </c>
      <c r="BV60" s="21" t="str">
        <f>IF(AND('Atividades Micro'!$B60=BV$2,'Atividades Micro'!$G60="Macro",'Atividades Micro'!$K60&lt;&gt;""),'Atividades Micro'!$K60,"")</f>
        <v/>
      </c>
      <c r="BW60" s="21" t="str">
        <f>IF(AND('Atividades Micro'!$B60=BW$2,'Atividades Micro'!$G60="Macro",'Atividades Micro'!$K60&lt;&gt;""),'Atividades Micro'!$K60,"")</f>
        <v/>
      </c>
      <c r="BX60" s="21" t="str">
        <f>IF(AND('Atividades Micro'!$B60=BX$2,'Atividades Micro'!$G60="Macro",'Atividades Micro'!$K60&lt;&gt;""),'Atividades Micro'!$K60,"")</f>
        <v/>
      </c>
      <c r="BY60" s="21" t="str">
        <f>IF(AND('Atividades Micro'!$B60=BY$2,'Atividades Micro'!$G60="Macro",'Atividades Micro'!$K60&lt;&gt;""),'Atividades Micro'!$K60,"")</f>
        <v/>
      </c>
      <c r="BZ60" s="21" t="str">
        <f>IF(AND('Atividades Micro'!$B60=BZ$2,'Atividades Micro'!$G60="Macro",'Atividades Micro'!$K60&lt;&gt;""),'Atividades Micro'!$K60,"")</f>
        <v/>
      </c>
      <c r="CA60" s="21" t="str">
        <f>IF(AND('Atividades Micro'!$B60=CA$2,'Atividades Micro'!$G60="Macro",'Atividades Micro'!$K60&lt;&gt;""),'Atividades Micro'!$K60,"")</f>
        <v/>
      </c>
      <c r="CB60" s="21" t="str">
        <f>IF(AND('Atividades Micro'!$B60=CB$2,'Atividades Micro'!$G60="Macro",'Atividades Micro'!$K60&lt;&gt;""),'Atividades Micro'!$K60,"")</f>
        <v/>
      </c>
      <c r="CC60" s="21" t="str">
        <f>IF(AND('Atividades Micro'!$B60=CC$2,'Atividades Micro'!$G60="Macro",'Atividades Micro'!$K60&lt;&gt;""),'Atividades Micro'!$K60,"")</f>
        <v/>
      </c>
      <c r="CD60" s="21" t="str">
        <f>IF(AND('Atividades Micro'!$B60=CD$2,'Atividades Micro'!$G60="Micro",'Atividades Micro'!$K60&lt;&gt;""),'Atividades Micro'!$K60,"")</f>
        <v/>
      </c>
      <c r="CE60" s="21">
        <f>IF(AND('Atividades Micro'!$B60=CE$2,'Atividades Micro'!$G60="Micro",'Atividades Micro'!$K60&lt;&gt;""),'Atividades Micro'!$K60,"")</f>
        <v>46322</v>
      </c>
      <c r="CF60" s="21" t="str">
        <f>IF(AND('Atividades Micro'!$B60=CF$2,'Atividades Micro'!$G60="Micro",'Atividades Micro'!$K60&lt;&gt;""),'Atividades Micro'!$K60,"")</f>
        <v/>
      </c>
      <c r="CG60" s="21" t="str">
        <f>IF(AND('Atividades Micro'!$B60=CG$2,'Atividades Micro'!$G60="Micro",'Atividades Micro'!$K60&lt;&gt;""),'Atividades Micro'!$K60,"")</f>
        <v/>
      </c>
      <c r="CH60" s="21" t="str">
        <f>IF(AND('Atividades Micro'!$B60=CH$2,'Atividades Micro'!$G60="Micro",'Atividades Micro'!$K60&lt;&gt;""),'Atividades Micro'!$K60,"")</f>
        <v/>
      </c>
      <c r="CI60" s="21" t="str">
        <f>IF(AND('Atividades Micro'!$B60=CI$2,'Atividades Micro'!$G60="Micro",'Atividades Micro'!$K60&lt;&gt;""),'Atividades Micro'!$K60,"")</f>
        <v/>
      </c>
      <c r="CJ60" s="21" t="str">
        <f>IF(AND('Atividades Micro'!$B60=CJ$2,'Atividades Micro'!$G60="Micro",'Atividades Micro'!$K60&lt;&gt;""),'Atividades Micro'!$K60,"")</f>
        <v/>
      </c>
      <c r="CK60" s="21" t="str">
        <f>IF(AND('Atividades Micro'!$B60=CK$2,'Atividades Micro'!$G60="Micro",'Atividades Micro'!$K60&lt;&gt;""),'Atividades Micro'!$K60,"")</f>
        <v/>
      </c>
      <c r="CL60" s="21" t="str">
        <f>IF(AND('Atividades Micro'!$B60=CL$2,'Atividades Micro'!$G60="Micro",'Atividades Micro'!$K60&lt;&gt;""),'Atividades Micro'!$K60,"")</f>
        <v/>
      </c>
      <c r="CM60" s="21" t="str">
        <f>IF(AND('Atividades Micro'!$B60=CM$2,'Atividades Micro'!$G60="Micro",'Atividades Micro'!$K60&lt;&gt;""),'Atividades Micro'!$K60,"")</f>
        <v/>
      </c>
      <c r="CN60" s="21" t="str">
        <f>IF(AND('Atividades Micro'!$B60=CN$2,'Atividades Micro'!$G60="Micro",'Atividades Micro'!$K60&lt;&gt;""),'Atividades Micro'!$K60,"")</f>
        <v/>
      </c>
      <c r="CO60" s="21" t="str">
        <f>IF(AND('Atividades Micro'!$B60=CO$2,'Atividades Micro'!$G60="Micro",'Atividades Micro'!$K60&lt;&gt;""),'Atividades Micro'!$K60,"")</f>
        <v/>
      </c>
    </row>
    <row r="61" spans="1:93">
      <c r="A61" s="21" t="str">
        <f>IF(AND('Atividades Micro'!$A61=A$2,'Atividades Micro'!$K61&lt;&gt;""),'Atividades Micro'!$K61,"")</f>
        <v/>
      </c>
      <c r="B61" s="21" t="str">
        <f>IF(AND('Atividades Micro'!$A61=B$2,'Atividades Micro'!$L61&lt;&gt;""),'Atividades Micro'!$L61,"")</f>
        <v/>
      </c>
      <c r="C61" s="21" t="str">
        <f>IF(AND('Atividades Micro'!$A61=C$2,'Atividades Micro'!$K61&lt;&gt;""),'Atividades Micro'!$K61,"")</f>
        <v/>
      </c>
      <c r="D61" s="21" t="str">
        <f>IF(AND('Atividades Micro'!$A61=D$2,'Atividades Micro'!$L61&lt;&gt;""),'Atividades Micro'!$L61,"")</f>
        <v/>
      </c>
      <c r="E61" s="21" t="str">
        <f>IF(AND('Atividades Micro'!$A61=E$2,'Atividades Micro'!$K61&lt;&gt;""),'Atividades Micro'!$K61,"")</f>
        <v/>
      </c>
      <c r="F61" s="21" t="str">
        <f>IF(AND('Atividades Micro'!$A61=F$2,'Atividades Micro'!$L61&lt;&gt;""),'Atividades Micro'!$L61,"")</f>
        <v/>
      </c>
      <c r="G61" s="21" t="str">
        <f>IF(AND('Atividades Micro'!$A61=G$2,'Atividades Micro'!$K61&lt;&gt;""),'Atividades Micro'!$K61,"")</f>
        <v/>
      </c>
      <c r="H61" s="21" t="str">
        <f>IF(AND('Atividades Micro'!$A61=H$2,'Atividades Micro'!$L61&lt;&gt;""),'Atividades Micro'!$L61,"")</f>
        <v/>
      </c>
      <c r="I61" s="21">
        <f>IF(AND('Atividades Micro'!$A61=I$2,'Atividades Micro'!$K61&lt;&gt;""),'Atividades Micro'!$K61,"")</f>
        <v>46323</v>
      </c>
      <c r="J61" s="21">
        <f>IF(AND('Atividades Micro'!$A61=J$2,'Atividades Micro'!$L61&lt;&gt;""),'Atividades Micro'!$L61,"")</f>
        <v>46309</v>
      </c>
      <c r="K61" s="21" t="str">
        <f>IF(AND('Atividades Micro'!$B61=K$2,'Atividades Micro'!$K61&lt;&gt;""),'Atividades Micro'!$K61,"")</f>
        <v/>
      </c>
      <c r="L61" s="21" t="str">
        <f>IF(AND('Atividades Micro'!$B61=L$2,'Atividades Micro'!$L61&lt;&gt;""),'Atividades Micro'!$L61,"")</f>
        <v/>
      </c>
      <c r="M61" s="21">
        <f>IF(AND('Atividades Micro'!$B61=M$2,'Atividades Micro'!$K61&lt;&gt;""),'Atividades Micro'!$K61,"")</f>
        <v>46323</v>
      </c>
      <c r="N61" s="21">
        <f>IF(AND('Atividades Micro'!$B61=N$2,'Atividades Micro'!$L61&lt;&gt;""),'Atividades Micro'!$L61,"")</f>
        <v>46309</v>
      </c>
      <c r="O61" s="21" t="str">
        <f>IF(AND('Atividades Micro'!$A61=O$2,'Atividades Micro'!$K61&lt;&gt;""),'Atividades Micro'!$K61,"")</f>
        <v/>
      </c>
      <c r="P61" s="21" t="str">
        <f>IF(AND('Atividades Micro'!$A61=P$2,'Atividades Micro'!$L61&lt;&gt;""),'Atividades Micro'!$L61,"")</f>
        <v/>
      </c>
      <c r="Q61" s="21" t="str">
        <f>IF(AND('Atividades Micro'!$B61=Q$2,'Atividades Micro'!$K61&lt;&gt;""),'Atividades Micro'!$K61,"")</f>
        <v/>
      </c>
      <c r="R61" s="21" t="str">
        <f>IF(AND('Atividades Micro'!$B61=R$2,'Atividades Micro'!$L61&lt;&gt;""),'Atividades Micro'!$L61,"")</f>
        <v/>
      </c>
      <c r="S61" s="21" t="str">
        <f>IF(AND('Atividades Micro'!$A61=S$2,'Atividades Micro'!$K61&lt;&gt;""),'Atividades Micro'!$K61,"")</f>
        <v/>
      </c>
      <c r="T61" s="21" t="str">
        <f>IF(AND('Atividades Micro'!$A61=T$2,'Atividades Micro'!$L61&lt;&gt;""),'Atividades Micro'!$L61,"")</f>
        <v/>
      </c>
      <c r="U61" s="21" t="str">
        <f>IF(AND('Atividades Micro'!$B61=U$2,'Atividades Micro'!$K61&lt;&gt;""),'Atividades Micro'!$K61,"")</f>
        <v/>
      </c>
      <c r="V61" s="21" t="str">
        <f>IF(AND('Atividades Micro'!$B61=V$2,'Atividades Micro'!$L61&lt;&gt;""),'Atividades Micro'!$L61,"")</f>
        <v/>
      </c>
      <c r="W61" s="21" t="str">
        <f>IF(AND('Atividades Micro'!$B61=W$2,'Atividades Micro'!$K61&lt;&gt;""),'Atividades Micro'!$K61,"")</f>
        <v/>
      </c>
      <c r="X61" s="21" t="str">
        <f>IF(AND('Atividades Micro'!$B61=X$2,'Atividades Micro'!$L61&lt;&gt;""),'Atividades Micro'!$L61,"")</f>
        <v/>
      </c>
      <c r="Y61" s="21" t="str">
        <f>IF(AND('Atividades Micro'!$A61=Y$2,'Atividades Micro'!$K61&lt;&gt;""),'Atividades Micro'!$K61,"")</f>
        <v/>
      </c>
      <c r="Z61" s="21" t="str">
        <f>IF(AND('Atividades Micro'!$A61=Z$2,'Atividades Micro'!$L61&lt;&gt;""),'Atividades Micro'!$L61,"")</f>
        <v/>
      </c>
      <c r="AA61" s="21" t="str">
        <f>IF(AND('Atividades Micro'!$B61=AA$2,'Atividades Micro'!$K61&lt;&gt;""),'Atividades Micro'!$K61,"")</f>
        <v/>
      </c>
      <c r="AB61" s="21" t="str">
        <f>IF(AND('Atividades Micro'!$B61=AB$2,'Atividades Micro'!$L61&lt;&gt;""),'Atividades Micro'!$L61,"")</f>
        <v/>
      </c>
      <c r="AC61" s="21" t="str">
        <f>IF(AND('Atividades Micro'!$B61=AC$2,'Atividades Micro'!$K61&lt;&gt;""),'Atividades Micro'!$K61,"")</f>
        <v/>
      </c>
      <c r="AD61" s="21" t="str">
        <f>IF(AND('Atividades Micro'!$B61=AD$2,'Atividades Micro'!$L61&lt;&gt;""),'Atividades Micro'!$L61,"")</f>
        <v/>
      </c>
      <c r="AE61" s="21" t="str">
        <f>IF(AND('Atividades Micro'!$A61=AE$2,'Atividades Micro'!$K61&lt;&gt;""),'Atividades Micro'!$K61,"")</f>
        <v/>
      </c>
      <c r="AF61" s="21" t="str">
        <f>IF(AND('Atividades Micro'!$A61=AF$2,'Atividades Micro'!$L61&lt;&gt;""),'Atividades Micro'!$L61,"")</f>
        <v/>
      </c>
      <c r="AG61" s="21" t="str">
        <f>IF(AND('Atividades Micro'!$B61=AG$2,'Atividades Micro'!$K61&lt;&gt;""),'Atividades Micro'!$K61,"")</f>
        <v/>
      </c>
      <c r="AH61" s="21" t="str">
        <f>IF(AND('Atividades Micro'!$B61=AH$2,'Atividades Micro'!$L61&lt;&gt;""),'Atividades Micro'!$L61,"")</f>
        <v/>
      </c>
      <c r="AI61" s="21" t="str">
        <f>IF(AND('Atividades Micro'!$B61=AI$2,'Atividades Micro'!$K61&lt;&gt;""),'Atividades Micro'!$K61,"")</f>
        <v/>
      </c>
      <c r="AJ61" s="21" t="str">
        <f>IF(AND('Atividades Micro'!$B61=AJ$2,'Atividades Micro'!$L61&lt;&gt;""),'Atividades Micro'!$L61,"")</f>
        <v/>
      </c>
      <c r="AK61" s="21" t="str">
        <f>IF(AND('Atividades Micro'!$A61=AK$2,'Atividades Micro'!$K61&lt;&gt;""),'Atividades Micro'!$K61,"")</f>
        <v/>
      </c>
      <c r="AL61" s="21" t="str">
        <f>IF(AND('Atividades Micro'!$A61=AL$2,'Atividades Micro'!$L61&lt;&gt;""),'Atividades Micro'!$L61,"")</f>
        <v/>
      </c>
      <c r="AM61" s="21" t="str">
        <f>IF(AND('Atividades Micro'!$B61=AM$2,'Atividades Micro'!$K61&lt;&gt;""),'Atividades Micro'!$K61,"")</f>
        <v/>
      </c>
      <c r="AN61" s="21" t="str">
        <f>IF(AND('Atividades Micro'!$B61=AN$2,'Atividades Micro'!$L61&lt;&gt;""),'Atividades Micro'!$L61,"")</f>
        <v/>
      </c>
      <c r="AO61" s="21" t="str">
        <f>IF(AND('Atividades Micro'!$B61=AO$2,'Atividades Micro'!$K61&lt;&gt;""),'Atividades Micro'!$K61,"")</f>
        <v/>
      </c>
      <c r="AP61" s="21" t="str">
        <f>IF(AND('Atividades Micro'!$B61=AP$2,'Atividades Micro'!$L61&lt;&gt;""),'Atividades Micro'!$L61,"")</f>
        <v/>
      </c>
      <c r="AQ61" s="21" t="str">
        <f>IF(AND('Atividades Micro'!$A61=AQ$2,'Atividades Micro'!$K61&lt;&gt;""),'Atividades Micro'!$K61,"")</f>
        <v/>
      </c>
      <c r="AR61" s="21" t="str">
        <f>IF(AND('Atividades Micro'!$A61=AR$2,'Atividades Micro'!$L61&lt;&gt;""),'Atividades Micro'!$L61,"")</f>
        <v/>
      </c>
      <c r="AS61" s="21" t="str">
        <f>IF(AND('Atividades Micro'!$B61=AS$2,'Atividades Micro'!$K61&lt;&gt;""),'Atividades Micro'!$K61,"")</f>
        <v/>
      </c>
      <c r="AT61" s="21" t="str">
        <f>IF(AND('Atividades Micro'!$B61=AT$2,'Atividades Micro'!$L61&lt;&gt;""),'Atividades Micro'!$L61,"")</f>
        <v/>
      </c>
      <c r="AU61" s="21" t="str">
        <f>IF(AND('Atividades Micro'!$A61=AU$2,'Atividades Micro'!$K61&lt;&gt;""),'Atividades Micro'!$K61,"")</f>
        <v/>
      </c>
      <c r="AV61" s="21" t="str">
        <f>IF(AND('Atividades Micro'!$A61=AV$2,'Atividades Micro'!$L61&lt;&gt;""),'Atividades Micro'!$L61,"")</f>
        <v/>
      </c>
      <c r="AW61" s="21" t="str">
        <f>IF(AND('Atividades Micro'!$B61=AW$2,'Atividades Micro'!$K61&lt;&gt;""),'Atividades Micro'!$K61,"")</f>
        <v/>
      </c>
      <c r="AX61" s="21" t="str">
        <f>IF(AND('Atividades Micro'!$B61=AX$2,'Atividades Micro'!$L61&lt;&gt;""),'Atividades Micro'!$L61,"")</f>
        <v/>
      </c>
      <c r="AY61" s="21" t="str">
        <f>IF(AND('Atividades Micro'!$A61=AY$2,'Atividades Micro'!$K61&lt;&gt;""),'Atividades Micro'!$K61,"")</f>
        <v/>
      </c>
      <c r="AZ61" s="21" t="str">
        <f>IF(AND('Atividades Micro'!$A61=AZ$2,'Atividades Micro'!$L61&lt;&gt;""),'Atividades Micro'!$L61,"")</f>
        <v/>
      </c>
      <c r="BA61" s="21" t="str">
        <f>IF(AND('Atividades Micro'!$B61=BA$2,'Atividades Micro'!$K61&lt;&gt;""),'Atividades Micro'!$K61,"")</f>
        <v/>
      </c>
      <c r="BB61" s="21" t="str">
        <f>IF(AND('Atividades Micro'!$B61=BB$2,'Atividades Micro'!$L61&lt;&gt;""),'Atividades Micro'!$L61,"")</f>
        <v/>
      </c>
      <c r="BC61" s="21" t="str">
        <f>IF(AND('Atividades Micro'!$B61=BC$2,'Atividades Micro'!$G61="Macro",'Atividades Micro'!$K61&lt;&gt;""),'Atividades Micro'!$K61,"")</f>
        <v/>
      </c>
      <c r="BD61" s="21" t="str">
        <f>IF(AND('Atividades Micro'!$B61=BD$2,'Atividades Micro'!$G61="Macro",'Atividades Micro'!$K61&lt;&gt;""),'Atividades Micro'!$K61,"")</f>
        <v/>
      </c>
      <c r="BE61" s="21" t="str">
        <f>IF(AND('Atividades Micro'!$B61=BE$2,'Atividades Micro'!$G61="Macro",'Atividades Micro'!$K61&lt;&gt;""),'Atividades Micro'!$K61,"")</f>
        <v/>
      </c>
      <c r="BF61" s="21" t="str">
        <f>IF(AND('Atividades Micro'!$B61=BF$2,'Atividades Micro'!$G61="Macro",'Atividades Micro'!$K61&lt;&gt;""),'Atividades Micro'!$K61,"")</f>
        <v/>
      </c>
      <c r="BG61" s="21" t="str">
        <f>IF(AND('Atividades Micro'!$B61=BG$2,'Atividades Micro'!$G61="Macro",'Atividades Micro'!$K61&lt;&gt;""),'Atividades Micro'!$K61,"")</f>
        <v/>
      </c>
      <c r="BH61" s="21" t="str">
        <f>IF(AND('Atividades Micro'!$B61=BH$2,'Atividades Micro'!$G61="Macro",'Atividades Micro'!$K61&lt;&gt;""),'Atividades Micro'!$K61,"")</f>
        <v/>
      </c>
      <c r="BI61" s="21" t="str">
        <f>IF(AND('Atividades Micro'!$B61=BI$2,'Atividades Micro'!$G61="Macro",'Atividades Micro'!$K61&lt;&gt;""),'Atividades Micro'!$K61,"")</f>
        <v/>
      </c>
      <c r="BJ61" s="21" t="str">
        <f>IF(AND('Atividades Micro'!$B61=BJ$2,'Atividades Micro'!$G61="Macro",'Atividades Micro'!$K61&lt;&gt;""),'Atividades Micro'!$K61,"")</f>
        <v/>
      </c>
      <c r="BK61" s="21" t="str">
        <f>IF(AND('Atividades Micro'!$B61=BK$2,'Atividades Micro'!$G61="Macro",'Atividades Micro'!$K61&lt;&gt;""),'Atividades Micro'!$K61,"")</f>
        <v/>
      </c>
      <c r="BL61" s="21" t="str">
        <f>IF(AND('Atividades Micro'!$B61=BL$2,'Atividades Micro'!$G61="Macro",'Atividades Micro'!$K61&lt;&gt;""),'Atividades Micro'!$K61,"")</f>
        <v/>
      </c>
      <c r="BM61" s="21" t="str">
        <f>IF(AND('Atividades Micro'!$B61=BM$2,'Atividades Micro'!$G61="Macro",'Atividades Micro'!$K61&lt;&gt;""),'Atividades Micro'!$K61,"")</f>
        <v/>
      </c>
      <c r="BN61" s="21" t="str">
        <f>IF(AND('Atividades Micro'!$B61=BN$2,'Atividades Micro'!$G61="Macro",'Atividades Micro'!$K61&lt;&gt;""),'Atividades Micro'!$K61,"")</f>
        <v/>
      </c>
      <c r="BO61" s="21" t="str">
        <f>IF(AND('Atividades Micro'!$B61=BO$2,'Atividades Micro'!$G61="Macro",'Atividades Micro'!$K61&lt;&gt;""),'Atividades Micro'!$K61,"")</f>
        <v/>
      </c>
      <c r="BP61" s="21" t="str">
        <f>IF(AND('Atividades Micro'!$B61=BP$2,'Atividades Micro'!$G61="Macro",'Atividades Micro'!$K61&lt;&gt;""),'Atividades Micro'!$K61,"")</f>
        <v/>
      </c>
      <c r="BQ61" s="21" t="str">
        <f>IF(AND('Atividades Micro'!$B61=BQ$2,'Atividades Micro'!$G61="Macro",'Atividades Micro'!$K61&lt;&gt;""),'Atividades Micro'!$K61,"")</f>
        <v/>
      </c>
      <c r="BR61" s="21" t="str">
        <f>IF(AND('Atividades Micro'!$B61=BR$2,'Atividades Micro'!$G61="Macro",'Atividades Micro'!$K61&lt;&gt;""),'Atividades Micro'!$K61,"")</f>
        <v/>
      </c>
      <c r="BS61" s="21" t="str">
        <f>IF(AND('Atividades Micro'!$B61=BS$2,'Atividades Micro'!$G61="Macro",'Atividades Micro'!$K61&lt;&gt;""),'Atividades Micro'!$K61,"")</f>
        <v/>
      </c>
      <c r="BT61" s="21" t="str">
        <f>IF(AND('Atividades Micro'!$B61=BT$2,'Atividades Micro'!$G61="Macro",'Atividades Micro'!$K61&lt;&gt;""),'Atividades Micro'!$K61,"")</f>
        <v/>
      </c>
      <c r="BU61" s="21" t="str">
        <f>IF(AND('Atividades Micro'!$B61=BU$2,'Atividades Micro'!$G61="Macro",'Atividades Micro'!$K61&lt;&gt;""),'Atividades Micro'!$K61,"")</f>
        <v/>
      </c>
      <c r="BV61" s="21" t="str">
        <f>IF(AND('Atividades Micro'!$B61=BV$2,'Atividades Micro'!$G61="Macro",'Atividades Micro'!$K61&lt;&gt;""),'Atividades Micro'!$K61,"")</f>
        <v/>
      </c>
      <c r="BW61" s="21" t="str">
        <f>IF(AND('Atividades Micro'!$B61=BW$2,'Atividades Micro'!$G61="Macro",'Atividades Micro'!$K61&lt;&gt;""),'Atividades Micro'!$K61,"")</f>
        <v/>
      </c>
      <c r="BX61" s="21" t="str">
        <f>IF(AND('Atividades Micro'!$B61=BX$2,'Atividades Micro'!$G61="Macro",'Atividades Micro'!$K61&lt;&gt;""),'Atividades Micro'!$K61,"")</f>
        <v/>
      </c>
      <c r="BY61" s="21" t="str">
        <f>IF(AND('Atividades Micro'!$B61=BY$2,'Atividades Micro'!$G61="Macro",'Atividades Micro'!$K61&lt;&gt;""),'Atividades Micro'!$K61,"")</f>
        <v/>
      </c>
      <c r="BZ61" s="21" t="str">
        <f>IF(AND('Atividades Micro'!$B61=BZ$2,'Atividades Micro'!$G61="Macro",'Atividades Micro'!$K61&lt;&gt;""),'Atividades Micro'!$K61,"")</f>
        <v/>
      </c>
      <c r="CA61" s="21" t="str">
        <f>IF(AND('Atividades Micro'!$B61=CA$2,'Atividades Micro'!$G61="Macro",'Atividades Micro'!$K61&lt;&gt;""),'Atividades Micro'!$K61,"")</f>
        <v/>
      </c>
      <c r="CB61" s="21" t="str">
        <f>IF(AND('Atividades Micro'!$B61=CB$2,'Atividades Micro'!$G61="Macro",'Atividades Micro'!$K61&lt;&gt;""),'Atividades Micro'!$K61,"")</f>
        <v/>
      </c>
      <c r="CC61" s="21" t="str">
        <f>IF(AND('Atividades Micro'!$B61=CC$2,'Atividades Micro'!$G61="Macro",'Atividades Micro'!$K61&lt;&gt;""),'Atividades Micro'!$K61,"")</f>
        <v/>
      </c>
      <c r="CD61" s="21" t="str">
        <f>IF(AND('Atividades Micro'!$B61=CD$2,'Atividades Micro'!$G61="Micro",'Atividades Micro'!$K61&lt;&gt;""),'Atividades Micro'!$K61,"")</f>
        <v/>
      </c>
      <c r="CE61" s="21">
        <f>IF(AND('Atividades Micro'!$B61=CE$2,'Atividades Micro'!$G61="Micro",'Atividades Micro'!$K61&lt;&gt;""),'Atividades Micro'!$K61,"")</f>
        <v>46323</v>
      </c>
      <c r="CF61" s="21" t="str">
        <f>IF(AND('Atividades Micro'!$B61=CF$2,'Atividades Micro'!$G61="Micro",'Atividades Micro'!$K61&lt;&gt;""),'Atividades Micro'!$K61,"")</f>
        <v/>
      </c>
      <c r="CG61" s="21" t="str">
        <f>IF(AND('Atividades Micro'!$B61=CG$2,'Atividades Micro'!$G61="Micro",'Atividades Micro'!$K61&lt;&gt;""),'Atividades Micro'!$K61,"")</f>
        <v/>
      </c>
      <c r="CH61" s="21" t="str">
        <f>IF(AND('Atividades Micro'!$B61=CH$2,'Atividades Micro'!$G61="Micro",'Atividades Micro'!$K61&lt;&gt;""),'Atividades Micro'!$K61,"")</f>
        <v/>
      </c>
      <c r="CI61" s="21" t="str">
        <f>IF(AND('Atividades Micro'!$B61=CI$2,'Atividades Micro'!$G61="Micro",'Atividades Micro'!$K61&lt;&gt;""),'Atividades Micro'!$K61,"")</f>
        <v/>
      </c>
      <c r="CJ61" s="21" t="str">
        <f>IF(AND('Atividades Micro'!$B61=CJ$2,'Atividades Micro'!$G61="Micro",'Atividades Micro'!$K61&lt;&gt;""),'Atividades Micro'!$K61,"")</f>
        <v/>
      </c>
      <c r="CK61" s="21" t="str">
        <f>IF(AND('Atividades Micro'!$B61=CK$2,'Atividades Micro'!$G61="Micro",'Atividades Micro'!$K61&lt;&gt;""),'Atividades Micro'!$K61,"")</f>
        <v/>
      </c>
      <c r="CL61" s="21" t="str">
        <f>IF(AND('Atividades Micro'!$B61=CL$2,'Atividades Micro'!$G61="Micro",'Atividades Micro'!$K61&lt;&gt;""),'Atividades Micro'!$K61,"")</f>
        <v/>
      </c>
      <c r="CM61" s="21" t="str">
        <f>IF(AND('Atividades Micro'!$B61=CM$2,'Atividades Micro'!$G61="Micro",'Atividades Micro'!$K61&lt;&gt;""),'Atividades Micro'!$K61,"")</f>
        <v/>
      </c>
      <c r="CN61" s="21" t="str">
        <f>IF(AND('Atividades Micro'!$B61=CN$2,'Atividades Micro'!$G61="Micro",'Atividades Micro'!$K61&lt;&gt;""),'Atividades Micro'!$K61,"")</f>
        <v/>
      </c>
      <c r="CO61" s="21" t="str">
        <f>IF(AND('Atividades Micro'!$B61=CO$2,'Atividades Micro'!$G61="Micro",'Atividades Micro'!$K61&lt;&gt;""),'Atividades Micro'!$K61,"")</f>
        <v/>
      </c>
    </row>
    <row r="62" spans="1:93">
      <c r="A62" s="21" t="str">
        <f>IF(AND('Atividades Micro'!$A62=A$2,'Atividades Micro'!$K62&lt;&gt;""),'Atividades Micro'!$K62,"")</f>
        <v/>
      </c>
      <c r="B62" s="21" t="str">
        <f>IF(AND('Atividades Micro'!$A62=B$2,'Atividades Micro'!$L62&lt;&gt;""),'Atividades Micro'!$L62,"")</f>
        <v/>
      </c>
      <c r="C62" s="21" t="str">
        <f>IF(AND('Atividades Micro'!$A62=C$2,'Atividades Micro'!$K62&lt;&gt;""),'Atividades Micro'!$K62,"")</f>
        <v/>
      </c>
      <c r="D62" s="21" t="str">
        <f>IF(AND('Atividades Micro'!$A62=D$2,'Atividades Micro'!$L62&lt;&gt;""),'Atividades Micro'!$L62,"")</f>
        <v/>
      </c>
      <c r="E62" s="21" t="str">
        <f>IF(AND('Atividades Micro'!$A62=E$2,'Atividades Micro'!$K62&lt;&gt;""),'Atividades Micro'!$K62,"")</f>
        <v/>
      </c>
      <c r="F62" s="21" t="str">
        <f>IF(AND('Atividades Micro'!$A62=F$2,'Atividades Micro'!$L62&lt;&gt;""),'Atividades Micro'!$L62,"")</f>
        <v/>
      </c>
      <c r="G62" s="21" t="str">
        <f>IF(AND('Atividades Micro'!$A62=G$2,'Atividades Micro'!$K62&lt;&gt;""),'Atividades Micro'!$K62,"")</f>
        <v/>
      </c>
      <c r="H62" s="21" t="str">
        <f>IF(AND('Atividades Micro'!$A62=H$2,'Atividades Micro'!$L62&lt;&gt;""),'Atividades Micro'!$L62,"")</f>
        <v/>
      </c>
      <c r="I62" s="21">
        <f>IF(AND('Atividades Micro'!$A62=I$2,'Atividades Micro'!$K62&lt;&gt;""),'Atividades Micro'!$K62,"")</f>
        <v>46330</v>
      </c>
      <c r="J62" s="21" t="str">
        <f>IF(AND('Atividades Micro'!$A62=J$2,'Atividades Micro'!$L62&lt;&gt;""),'Atividades Micro'!$L62,"")</f>
        <v/>
      </c>
      <c r="K62" s="21" t="str">
        <f>IF(AND('Atividades Micro'!$B62=K$2,'Atividades Micro'!$K62&lt;&gt;""),'Atividades Micro'!$K62,"")</f>
        <v/>
      </c>
      <c r="L62" s="21" t="str">
        <f>IF(AND('Atividades Micro'!$B62=L$2,'Atividades Micro'!$L62&lt;&gt;""),'Atividades Micro'!$L62,"")</f>
        <v/>
      </c>
      <c r="M62" s="21">
        <f>IF(AND('Atividades Micro'!$B62=M$2,'Atividades Micro'!$K62&lt;&gt;""),'Atividades Micro'!$K62,"")</f>
        <v>46330</v>
      </c>
      <c r="N62" s="21" t="str">
        <f>IF(AND('Atividades Micro'!$B62=N$2,'Atividades Micro'!$L62&lt;&gt;""),'Atividades Micro'!$L62,"")</f>
        <v/>
      </c>
      <c r="O62" s="21" t="str">
        <f>IF(AND('Atividades Micro'!$A62=O$2,'Atividades Micro'!$K62&lt;&gt;""),'Atividades Micro'!$K62,"")</f>
        <v/>
      </c>
      <c r="P62" s="21" t="str">
        <f>IF(AND('Atividades Micro'!$A62=P$2,'Atividades Micro'!$L62&lt;&gt;""),'Atividades Micro'!$L62,"")</f>
        <v/>
      </c>
      <c r="Q62" s="21" t="str">
        <f>IF(AND('Atividades Micro'!$B62=Q$2,'Atividades Micro'!$K62&lt;&gt;""),'Atividades Micro'!$K62,"")</f>
        <v/>
      </c>
      <c r="R62" s="21" t="str">
        <f>IF(AND('Atividades Micro'!$B62=R$2,'Atividades Micro'!$L62&lt;&gt;""),'Atividades Micro'!$L62,"")</f>
        <v/>
      </c>
      <c r="S62" s="21" t="str">
        <f>IF(AND('Atividades Micro'!$A62=S$2,'Atividades Micro'!$K62&lt;&gt;""),'Atividades Micro'!$K62,"")</f>
        <v/>
      </c>
      <c r="T62" s="21" t="str">
        <f>IF(AND('Atividades Micro'!$A62=T$2,'Atividades Micro'!$L62&lt;&gt;""),'Atividades Micro'!$L62,"")</f>
        <v/>
      </c>
      <c r="U62" s="21" t="str">
        <f>IF(AND('Atividades Micro'!$B62=U$2,'Atividades Micro'!$K62&lt;&gt;""),'Atividades Micro'!$K62,"")</f>
        <v/>
      </c>
      <c r="V62" s="21" t="str">
        <f>IF(AND('Atividades Micro'!$B62=V$2,'Atividades Micro'!$L62&lt;&gt;""),'Atividades Micro'!$L62,"")</f>
        <v/>
      </c>
      <c r="W62" s="21" t="str">
        <f>IF(AND('Atividades Micro'!$B62=W$2,'Atividades Micro'!$K62&lt;&gt;""),'Atividades Micro'!$K62,"")</f>
        <v/>
      </c>
      <c r="X62" s="21" t="str">
        <f>IF(AND('Atividades Micro'!$B62=X$2,'Atividades Micro'!$L62&lt;&gt;""),'Atividades Micro'!$L62,"")</f>
        <v/>
      </c>
      <c r="Y62" s="21" t="str">
        <f>IF(AND('Atividades Micro'!$A62=Y$2,'Atividades Micro'!$K62&lt;&gt;""),'Atividades Micro'!$K62,"")</f>
        <v/>
      </c>
      <c r="Z62" s="21" t="str">
        <f>IF(AND('Atividades Micro'!$A62=Z$2,'Atividades Micro'!$L62&lt;&gt;""),'Atividades Micro'!$L62,"")</f>
        <v/>
      </c>
      <c r="AA62" s="21" t="str">
        <f>IF(AND('Atividades Micro'!$B62=AA$2,'Atividades Micro'!$K62&lt;&gt;""),'Atividades Micro'!$K62,"")</f>
        <v/>
      </c>
      <c r="AB62" s="21" t="str">
        <f>IF(AND('Atividades Micro'!$B62=AB$2,'Atividades Micro'!$L62&lt;&gt;""),'Atividades Micro'!$L62,"")</f>
        <v/>
      </c>
      <c r="AC62" s="21" t="str">
        <f>IF(AND('Atividades Micro'!$B62=AC$2,'Atividades Micro'!$K62&lt;&gt;""),'Atividades Micro'!$K62,"")</f>
        <v/>
      </c>
      <c r="AD62" s="21" t="str">
        <f>IF(AND('Atividades Micro'!$B62=AD$2,'Atividades Micro'!$L62&lt;&gt;""),'Atividades Micro'!$L62,"")</f>
        <v/>
      </c>
      <c r="AE62" s="21" t="str">
        <f>IF(AND('Atividades Micro'!$A62=AE$2,'Atividades Micro'!$K62&lt;&gt;""),'Atividades Micro'!$K62,"")</f>
        <v/>
      </c>
      <c r="AF62" s="21" t="str">
        <f>IF(AND('Atividades Micro'!$A62=AF$2,'Atividades Micro'!$L62&lt;&gt;""),'Atividades Micro'!$L62,"")</f>
        <v/>
      </c>
      <c r="AG62" s="21" t="str">
        <f>IF(AND('Atividades Micro'!$B62=AG$2,'Atividades Micro'!$K62&lt;&gt;""),'Atividades Micro'!$K62,"")</f>
        <v/>
      </c>
      <c r="AH62" s="21" t="str">
        <f>IF(AND('Atividades Micro'!$B62=AH$2,'Atividades Micro'!$L62&lt;&gt;""),'Atividades Micro'!$L62,"")</f>
        <v/>
      </c>
      <c r="AI62" s="21" t="str">
        <f>IF(AND('Atividades Micro'!$B62=AI$2,'Atividades Micro'!$K62&lt;&gt;""),'Atividades Micro'!$K62,"")</f>
        <v/>
      </c>
      <c r="AJ62" s="21" t="str">
        <f>IF(AND('Atividades Micro'!$B62=AJ$2,'Atividades Micro'!$L62&lt;&gt;""),'Atividades Micro'!$L62,"")</f>
        <v/>
      </c>
      <c r="AK62" s="21" t="str">
        <f>IF(AND('Atividades Micro'!$A62=AK$2,'Atividades Micro'!$K62&lt;&gt;""),'Atividades Micro'!$K62,"")</f>
        <v/>
      </c>
      <c r="AL62" s="21" t="str">
        <f>IF(AND('Atividades Micro'!$A62=AL$2,'Atividades Micro'!$L62&lt;&gt;""),'Atividades Micro'!$L62,"")</f>
        <v/>
      </c>
      <c r="AM62" s="21" t="str">
        <f>IF(AND('Atividades Micro'!$B62=AM$2,'Atividades Micro'!$K62&lt;&gt;""),'Atividades Micro'!$K62,"")</f>
        <v/>
      </c>
      <c r="AN62" s="21" t="str">
        <f>IF(AND('Atividades Micro'!$B62=AN$2,'Atividades Micro'!$L62&lt;&gt;""),'Atividades Micro'!$L62,"")</f>
        <v/>
      </c>
      <c r="AO62" s="21" t="str">
        <f>IF(AND('Atividades Micro'!$B62=AO$2,'Atividades Micro'!$K62&lt;&gt;""),'Atividades Micro'!$K62,"")</f>
        <v/>
      </c>
      <c r="AP62" s="21" t="str">
        <f>IF(AND('Atividades Micro'!$B62=AP$2,'Atividades Micro'!$L62&lt;&gt;""),'Atividades Micro'!$L62,"")</f>
        <v/>
      </c>
      <c r="AQ62" s="21" t="str">
        <f>IF(AND('Atividades Micro'!$A62=AQ$2,'Atividades Micro'!$K62&lt;&gt;""),'Atividades Micro'!$K62,"")</f>
        <v/>
      </c>
      <c r="AR62" s="21" t="str">
        <f>IF(AND('Atividades Micro'!$A62=AR$2,'Atividades Micro'!$L62&lt;&gt;""),'Atividades Micro'!$L62,"")</f>
        <v/>
      </c>
      <c r="AS62" s="21" t="str">
        <f>IF(AND('Atividades Micro'!$B62=AS$2,'Atividades Micro'!$K62&lt;&gt;""),'Atividades Micro'!$K62,"")</f>
        <v/>
      </c>
      <c r="AT62" s="21" t="str">
        <f>IF(AND('Atividades Micro'!$B62=AT$2,'Atividades Micro'!$L62&lt;&gt;""),'Atividades Micro'!$L62,"")</f>
        <v/>
      </c>
      <c r="AU62" s="21" t="str">
        <f>IF(AND('Atividades Micro'!$A62=AU$2,'Atividades Micro'!$K62&lt;&gt;""),'Atividades Micro'!$K62,"")</f>
        <v/>
      </c>
      <c r="AV62" s="21" t="str">
        <f>IF(AND('Atividades Micro'!$A62=AV$2,'Atividades Micro'!$L62&lt;&gt;""),'Atividades Micro'!$L62,"")</f>
        <v/>
      </c>
      <c r="AW62" s="21" t="str">
        <f>IF(AND('Atividades Micro'!$B62=AW$2,'Atividades Micro'!$K62&lt;&gt;""),'Atividades Micro'!$K62,"")</f>
        <v/>
      </c>
      <c r="AX62" s="21" t="str">
        <f>IF(AND('Atividades Micro'!$B62=AX$2,'Atividades Micro'!$L62&lt;&gt;""),'Atividades Micro'!$L62,"")</f>
        <v/>
      </c>
      <c r="AY62" s="21" t="str">
        <f>IF(AND('Atividades Micro'!$A62=AY$2,'Atividades Micro'!$K62&lt;&gt;""),'Atividades Micro'!$K62,"")</f>
        <v/>
      </c>
      <c r="AZ62" s="21" t="str">
        <f>IF(AND('Atividades Micro'!$A62=AZ$2,'Atividades Micro'!$L62&lt;&gt;""),'Atividades Micro'!$L62,"")</f>
        <v/>
      </c>
      <c r="BA62" s="21" t="str">
        <f>IF(AND('Atividades Micro'!$B62=BA$2,'Atividades Micro'!$K62&lt;&gt;""),'Atividades Micro'!$K62,"")</f>
        <v/>
      </c>
      <c r="BB62" s="21" t="str">
        <f>IF(AND('Atividades Micro'!$B62=BB$2,'Atividades Micro'!$L62&lt;&gt;""),'Atividades Micro'!$L62,"")</f>
        <v/>
      </c>
      <c r="BC62" s="21" t="str">
        <f>IF(AND('Atividades Micro'!$B62=BC$2,'Atividades Micro'!$G62="Macro",'Atividades Micro'!$K62&lt;&gt;""),'Atividades Micro'!$K62,"")</f>
        <v/>
      </c>
      <c r="BD62" s="21" t="str">
        <f>IF(AND('Atividades Micro'!$B62=BD$2,'Atividades Micro'!$G62="Macro",'Atividades Micro'!$K62&lt;&gt;""),'Atividades Micro'!$K62,"")</f>
        <v/>
      </c>
      <c r="BE62" s="21" t="str">
        <f>IF(AND('Atividades Micro'!$B62=BE$2,'Atividades Micro'!$G62="Macro",'Atividades Micro'!$K62&lt;&gt;""),'Atividades Micro'!$K62,"")</f>
        <v/>
      </c>
      <c r="BF62" s="21" t="str">
        <f>IF(AND('Atividades Micro'!$B62=BF$2,'Atividades Micro'!$G62="Macro",'Atividades Micro'!$K62&lt;&gt;""),'Atividades Micro'!$K62,"")</f>
        <v/>
      </c>
      <c r="BG62" s="21" t="str">
        <f>IF(AND('Atividades Micro'!$B62=BG$2,'Atividades Micro'!$G62="Macro",'Atividades Micro'!$K62&lt;&gt;""),'Atividades Micro'!$K62,"")</f>
        <v/>
      </c>
      <c r="BH62" s="21" t="str">
        <f>IF(AND('Atividades Micro'!$B62=BH$2,'Atividades Micro'!$G62="Macro",'Atividades Micro'!$K62&lt;&gt;""),'Atividades Micro'!$K62,"")</f>
        <v/>
      </c>
      <c r="BI62" s="21" t="str">
        <f>IF(AND('Atividades Micro'!$B62=BI$2,'Atividades Micro'!$G62="Macro",'Atividades Micro'!$K62&lt;&gt;""),'Atividades Micro'!$K62,"")</f>
        <v/>
      </c>
      <c r="BJ62" s="21" t="str">
        <f>IF(AND('Atividades Micro'!$B62=BJ$2,'Atividades Micro'!$G62="Macro",'Atividades Micro'!$K62&lt;&gt;""),'Atividades Micro'!$K62,"")</f>
        <v/>
      </c>
      <c r="BK62" s="21" t="str">
        <f>IF(AND('Atividades Micro'!$B62=BK$2,'Atividades Micro'!$G62="Macro",'Atividades Micro'!$K62&lt;&gt;""),'Atividades Micro'!$K62,"")</f>
        <v/>
      </c>
      <c r="BL62" s="21" t="str">
        <f>IF(AND('Atividades Micro'!$B62=BL$2,'Atividades Micro'!$G62="Macro",'Atividades Micro'!$K62&lt;&gt;""),'Atividades Micro'!$K62,"")</f>
        <v/>
      </c>
      <c r="BM62" s="21" t="str">
        <f>IF(AND('Atividades Micro'!$B62=BM$2,'Atividades Micro'!$G62="Macro",'Atividades Micro'!$K62&lt;&gt;""),'Atividades Micro'!$K62,"")</f>
        <v/>
      </c>
      <c r="BN62" s="21" t="str">
        <f>IF(AND('Atividades Micro'!$B62=BN$2,'Atividades Micro'!$G62="Macro",'Atividades Micro'!$K62&lt;&gt;""),'Atividades Micro'!$K62,"")</f>
        <v/>
      </c>
      <c r="BO62" s="21" t="str">
        <f>IF(AND('Atividades Micro'!$B62=BO$2,'Atividades Micro'!$G62="Macro",'Atividades Micro'!$K62&lt;&gt;""),'Atividades Micro'!$K62,"")</f>
        <v/>
      </c>
      <c r="BP62" s="21" t="str">
        <f>IF(AND('Atividades Micro'!$B62=BP$2,'Atividades Micro'!$G62="Macro",'Atividades Micro'!$K62&lt;&gt;""),'Atividades Micro'!$K62,"")</f>
        <v/>
      </c>
      <c r="BQ62" s="21" t="str">
        <f>IF(AND('Atividades Micro'!$B62=BQ$2,'Atividades Micro'!$G62="Macro",'Atividades Micro'!$K62&lt;&gt;""),'Atividades Micro'!$K62,"")</f>
        <v/>
      </c>
      <c r="BR62" s="21" t="str">
        <f>IF(AND('Atividades Micro'!$B62=BR$2,'Atividades Micro'!$G62="Macro",'Atividades Micro'!$K62&lt;&gt;""),'Atividades Micro'!$K62,"")</f>
        <v/>
      </c>
      <c r="BS62" s="21" t="str">
        <f>IF(AND('Atividades Micro'!$B62=BS$2,'Atividades Micro'!$G62="Macro",'Atividades Micro'!$K62&lt;&gt;""),'Atividades Micro'!$K62,"")</f>
        <v/>
      </c>
      <c r="BT62" s="21" t="str">
        <f>IF(AND('Atividades Micro'!$B62=BT$2,'Atividades Micro'!$G62="Macro",'Atividades Micro'!$K62&lt;&gt;""),'Atividades Micro'!$K62,"")</f>
        <v/>
      </c>
      <c r="BU62" s="21" t="str">
        <f>IF(AND('Atividades Micro'!$B62=BU$2,'Atividades Micro'!$G62="Macro",'Atividades Micro'!$K62&lt;&gt;""),'Atividades Micro'!$K62,"")</f>
        <v/>
      </c>
      <c r="BV62" s="21" t="str">
        <f>IF(AND('Atividades Micro'!$B62=BV$2,'Atividades Micro'!$G62="Macro",'Atividades Micro'!$K62&lt;&gt;""),'Atividades Micro'!$K62,"")</f>
        <v/>
      </c>
      <c r="BW62" s="21" t="str">
        <f>IF(AND('Atividades Micro'!$B62=BW$2,'Atividades Micro'!$G62="Macro",'Atividades Micro'!$K62&lt;&gt;""),'Atividades Micro'!$K62,"")</f>
        <v/>
      </c>
      <c r="BX62" s="21" t="str">
        <f>IF(AND('Atividades Micro'!$B62=BX$2,'Atividades Micro'!$G62="Macro",'Atividades Micro'!$K62&lt;&gt;""),'Atividades Micro'!$K62,"")</f>
        <v/>
      </c>
      <c r="BY62" s="21" t="str">
        <f>IF(AND('Atividades Micro'!$B62=BY$2,'Atividades Micro'!$G62="Macro",'Atividades Micro'!$K62&lt;&gt;""),'Atividades Micro'!$K62,"")</f>
        <v/>
      </c>
      <c r="BZ62" s="21" t="str">
        <f>IF(AND('Atividades Micro'!$B62=BZ$2,'Atividades Micro'!$G62="Macro",'Atividades Micro'!$K62&lt;&gt;""),'Atividades Micro'!$K62,"")</f>
        <v/>
      </c>
      <c r="CA62" s="21" t="str">
        <f>IF(AND('Atividades Micro'!$B62=CA$2,'Atividades Micro'!$G62="Macro",'Atividades Micro'!$K62&lt;&gt;""),'Atividades Micro'!$K62,"")</f>
        <v/>
      </c>
      <c r="CB62" s="21" t="str">
        <f>IF(AND('Atividades Micro'!$B62=CB$2,'Atividades Micro'!$G62="Macro",'Atividades Micro'!$K62&lt;&gt;""),'Atividades Micro'!$K62,"")</f>
        <v/>
      </c>
      <c r="CC62" s="21" t="str">
        <f>IF(AND('Atividades Micro'!$B62=CC$2,'Atividades Micro'!$G62="Macro",'Atividades Micro'!$K62&lt;&gt;""),'Atividades Micro'!$K62,"")</f>
        <v/>
      </c>
      <c r="CD62" s="21" t="str">
        <f>IF(AND('Atividades Micro'!$B62=CD$2,'Atividades Micro'!$G62="Micro",'Atividades Micro'!$K62&lt;&gt;""),'Atividades Micro'!$K62,"")</f>
        <v/>
      </c>
      <c r="CE62" s="21">
        <f>IF(AND('Atividades Micro'!$B62=CE$2,'Atividades Micro'!$G62="Micro",'Atividades Micro'!$K62&lt;&gt;""),'Atividades Micro'!$K62,"")</f>
        <v>46330</v>
      </c>
      <c r="CF62" s="21" t="str">
        <f>IF(AND('Atividades Micro'!$B62=CF$2,'Atividades Micro'!$G62="Micro",'Atividades Micro'!$K62&lt;&gt;""),'Atividades Micro'!$K62,"")</f>
        <v/>
      </c>
      <c r="CG62" s="21" t="str">
        <f>IF(AND('Atividades Micro'!$B62=CG$2,'Atividades Micro'!$G62="Micro",'Atividades Micro'!$K62&lt;&gt;""),'Atividades Micro'!$K62,"")</f>
        <v/>
      </c>
      <c r="CH62" s="21" t="str">
        <f>IF(AND('Atividades Micro'!$B62=CH$2,'Atividades Micro'!$G62="Micro",'Atividades Micro'!$K62&lt;&gt;""),'Atividades Micro'!$K62,"")</f>
        <v/>
      </c>
      <c r="CI62" s="21" t="str">
        <f>IF(AND('Atividades Micro'!$B62=CI$2,'Atividades Micro'!$G62="Micro",'Atividades Micro'!$K62&lt;&gt;""),'Atividades Micro'!$K62,"")</f>
        <v/>
      </c>
      <c r="CJ62" s="21" t="str">
        <f>IF(AND('Atividades Micro'!$B62=CJ$2,'Atividades Micro'!$G62="Micro",'Atividades Micro'!$K62&lt;&gt;""),'Atividades Micro'!$K62,"")</f>
        <v/>
      </c>
      <c r="CK62" s="21" t="str">
        <f>IF(AND('Atividades Micro'!$B62=CK$2,'Atividades Micro'!$G62="Micro",'Atividades Micro'!$K62&lt;&gt;""),'Atividades Micro'!$K62,"")</f>
        <v/>
      </c>
      <c r="CL62" s="21" t="str">
        <f>IF(AND('Atividades Micro'!$B62=CL$2,'Atividades Micro'!$G62="Micro",'Atividades Micro'!$K62&lt;&gt;""),'Atividades Micro'!$K62,"")</f>
        <v/>
      </c>
      <c r="CM62" s="21" t="str">
        <f>IF(AND('Atividades Micro'!$B62=CM$2,'Atividades Micro'!$G62="Micro",'Atividades Micro'!$K62&lt;&gt;""),'Atividades Micro'!$K62,"")</f>
        <v/>
      </c>
      <c r="CN62" s="21" t="str">
        <f>IF(AND('Atividades Micro'!$B62=CN$2,'Atividades Micro'!$G62="Micro",'Atividades Micro'!$K62&lt;&gt;""),'Atividades Micro'!$K62,"")</f>
        <v/>
      </c>
      <c r="CO62" s="21" t="str">
        <f>IF(AND('Atividades Micro'!$B62=CO$2,'Atividades Micro'!$G62="Micro",'Atividades Micro'!$K62&lt;&gt;""),'Atividades Micro'!$K62,"")</f>
        <v/>
      </c>
    </row>
    <row r="63" spans="1:93">
      <c r="A63" s="21" t="str">
        <f>IF(AND('Atividades Micro'!$A63=A$2,'Atividades Micro'!$K63&lt;&gt;""),'Atividades Micro'!$K63,"")</f>
        <v/>
      </c>
      <c r="B63" s="21" t="str">
        <f>IF(AND('Atividades Micro'!$A63=B$2,'Atividades Micro'!$L63&lt;&gt;""),'Atividades Micro'!$L63,"")</f>
        <v/>
      </c>
      <c r="C63" s="21" t="str">
        <f>IF(AND('Atividades Micro'!$A63=C$2,'Atividades Micro'!$K63&lt;&gt;""),'Atividades Micro'!$K63,"")</f>
        <v/>
      </c>
      <c r="D63" s="21" t="str">
        <f>IF(AND('Atividades Micro'!$A63=D$2,'Atividades Micro'!$L63&lt;&gt;""),'Atividades Micro'!$L63,"")</f>
        <v/>
      </c>
      <c r="E63" s="21" t="str">
        <f>IF(AND('Atividades Micro'!$A63=E$2,'Atividades Micro'!$K63&lt;&gt;""),'Atividades Micro'!$K63,"")</f>
        <v/>
      </c>
      <c r="F63" s="21" t="str">
        <f>IF(AND('Atividades Micro'!$A63=F$2,'Atividades Micro'!$L63&lt;&gt;""),'Atividades Micro'!$L63,"")</f>
        <v/>
      </c>
      <c r="G63" s="21" t="str">
        <f>IF(AND('Atividades Micro'!$A63=G$2,'Atividades Micro'!$K63&lt;&gt;""),'Atividades Micro'!$K63,"")</f>
        <v/>
      </c>
      <c r="H63" s="21" t="str">
        <f>IF(AND('Atividades Micro'!$A63=H$2,'Atividades Micro'!$L63&lt;&gt;""),'Atividades Micro'!$L63,"")</f>
        <v/>
      </c>
      <c r="I63" s="21">
        <f>IF(AND('Atividades Micro'!$A63=I$2,'Atividades Micro'!$K63&lt;&gt;""),'Atividades Micro'!$K63,"")</f>
        <v>46332</v>
      </c>
      <c r="J63" s="21" t="str">
        <f>IF(AND('Atividades Micro'!$A63=J$2,'Atividades Micro'!$L63&lt;&gt;""),'Atividades Micro'!$L63,"")</f>
        <v/>
      </c>
      <c r="K63" s="21" t="str">
        <f>IF(AND('Atividades Micro'!$B63=K$2,'Atividades Micro'!$K63&lt;&gt;""),'Atividades Micro'!$K63,"")</f>
        <v/>
      </c>
      <c r="L63" s="21" t="str">
        <f>IF(AND('Atividades Micro'!$B63=L$2,'Atividades Micro'!$L63&lt;&gt;""),'Atividades Micro'!$L63,"")</f>
        <v/>
      </c>
      <c r="M63" s="21">
        <f>IF(AND('Atividades Micro'!$B63=M$2,'Atividades Micro'!$K63&lt;&gt;""),'Atividades Micro'!$K63,"")</f>
        <v>46332</v>
      </c>
      <c r="N63" s="21" t="str">
        <f>IF(AND('Atividades Micro'!$B63=N$2,'Atividades Micro'!$L63&lt;&gt;""),'Atividades Micro'!$L63,"")</f>
        <v/>
      </c>
      <c r="O63" s="21" t="str">
        <f>IF(AND('Atividades Micro'!$A63=O$2,'Atividades Micro'!$K63&lt;&gt;""),'Atividades Micro'!$K63,"")</f>
        <v/>
      </c>
      <c r="P63" s="21" t="str">
        <f>IF(AND('Atividades Micro'!$A63=P$2,'Atividades Micro'!$L63&lt;&gt;""),'Atividades Micro'!$L63,"")</f>
        <v/>
      </c>
      <c r="Q63" s="21" t="str">
        <f>IF(AND('Atividades Micro'!$B63=Q$2,'Atividades Micro'!$K63&lt;&gt;""),'Atividades Micro'!$K63,"")</f>
        <v/>
      </c>
      <c r="R63" s="21" t="str">
        <f>IF(AND('Atividades Micro'!$B63=R$2,'Atividades Micro'!$L63&lt;&gt;""),'Atividades Micro'!$L63,"")</f>
        <v/>
      </c>
      <c r="S63" s="21" t="str">
        <f>IF(AND('Atividades Micro'!$A63=S$2,'Atividades Micro'!$K63&lt;&gt;""),'Atividades Micro'!$K63,"")</f>
        <v/>
      </c>
      <c r="T63" s="21" t="str">
        <f>IF(AND('Atividades Micro'!$A63=T$2,'Atividades Micro'!$L63&lt;&gt;""),'Atividades Micro'!$L63,"")</f>
        <v/>
      </c>
      <c r="U63" s="21" t="str">
        <f>IF(AND('Atividades Micro'!$B63=U$2,'Atividades Micro'!$K63&lt;&gt;""),'Atividades Micro'!$K63,"")</f>
        <v/>
      </c>
      <c r="V63" s="21" t="str">
        <f>IF(AND('Atividades Micro'!$B63=V$2,'Atividades Micro'!$L63&lt;&gt;""),'Atividades Micro'!$L63,"")</f>
        <v/>
      </c>
      <c r="W63" s="21" t="str">
        <f>IF(AND('Atividades Micro'!$B63=W$2,'Atividades Micro'!$K63&lt;&gt;""),'Atividades Micro'!$K63,"")</f>
        <v/>
      </c>
      <c r="X63" s="21" t="str">
        <f>IF(AND('Atividades Micro'!$B63=X$2,'Atividades Micro'!$L63&lt;&gt;""),'Atividades Micro'!$L63,"")</f>
        <v/>
      </c>
      <c r="Y63" s="21" t="str">
        <f>IF(AND('Atividades Micro'!$A63=Y$2,'Atividades Micro'!$K63&lt;&gt;""),'Atividades Micro'!$K63,"")</f>
        <v/>
      </c>
      <c r="Z63" s="21" t="str">
        <f>IF(AND('Atividades Micro'!$A63=Z$2,'Atividades Micro'!$L63&lt;&gt;""),'Atividades Micro'!$L63,"")</f>
        <v/>
      </c>
      <c r="AA63" s="21" t="str">
        <f>IF(AND('Atividades Micro'!$B63=AA$2,'Atividades Micro'!$K63&lt;&gt;""),'Atividades Micro'!$K63,"")</f>
        <v/>
      </c>
      <c r="AB63" s="21" t="str">
        <f>IF(AND('Atividades Micro'!$B63=AB$2,'Atividades Micro'!$L63&lt;&gt;""),'Atividades Micro'!$L63,"")</f>
        <v/>
      </c>
      <c r="AC63" s="21" t="str">
        <f>IF(AND('Atividades Micro'!$B63=AC$2,'Atividades Micro'!$K63&lt;&gt;""),'Atividades Micro'!$K63,"")</f>
        <v/>
      </c>
      <c r="AD63" s="21" t="str">
        <f>IF(AND('Atividades Micro'!$B63=AD$2,'Atividades Micro'!$L63&lt;&gt;""),'Atividades Micro'!$L63,"")</f>
        <v/>
      </c>
      <c r="AE63" s="21" t="str">
        <f>IF(AND('Atividades Micro'!$A63=AE$2,'Atividades Micro'!$K63&lt;&gt;""),'Atividades Micro'!$K63,"")</f>
        <v/>
      </c>
      <c r="AF63" s="21" t="str">
        <f>IF(AND('Atividades Micro'!$A63=AF$2,'Atividades Micro'!$L63&lt;&gt;""),'Atividades Micro'!$L63,"")</f>
        <v/>
      </c>
      <c r="AG63" s="21" t="str">
        <f>IF(AND('Atividades Micro'!$B63=AG$2,'Atividades Micro'!$K63&lt;&gt;""),'Atividades Micro'!$K63,"")</f>
        <v/>
      </c>
      <c r="AH63" s="21" t="str">
        <f>IF(AND('Atividades Micro'!$B63=AH$2,'Atividades Micro'!$L63&lt;&gt;""),'Atividades Micro'!$L63,"")</f>
        <v/>
      </c>
      <c r="AI63" s="21" t="str">
        <f>IF(AND('Atividades Micro'!$B63=AI$2,'Atividades Micro'!$K63&lt;&gt;""),'Atividades Micro'!$K63,"")</f>
        <v/>
      </c>
      <c r="AJ63" s="21" t="str">
        <f>IF(AND('Atividades Micro'!$B63=AJ$2,'Atividades Micro'!$L63&lt;&gt;""),'Atividades Micro'!$L63,"")</f>
        <v/>
      </c>
      <c r="AK63" s="21" t="str">
        <f>IF(AND('Atividades Micro'!$A63=AK$2,'Atividades Micro'!$K63&lt;&gt;""),'Atividades Micro'!$K63,"")</f>
        <v/>
      </c>
      <c r="AL63" s="21" t="str">
        <f>IF(AND('Atividades Micro'!$A63=AL$2,'Atividades Micro'!$L63&lt;&gt;""),'Atividades Micro'!$L63,"")</f>
        <v/>
      </c>
      <c r="AM63" s="21" t="str">
        <f>IF(AND('Atividades Micro'!$B63=AM$2,'Atividades Micro'!$K63&lt;&gt;""),'Atividades Micro'!$K63,"")</f>
        <v/>
      </c>
      <c r="AN63" s="21" t="str">
        <f>IF(AND('Atividades Micro'!$B63=AN$2,'Atividades Micro'!$L63&lt;&gt;""),'Atividades Micro'!$L63,"")</f>
        <v/>
      </c>
      <c r="AO63" s="21" t="str">
        <f>IF(AND('Atividades Micro'!$B63=AO$2,'Atividades Micro'!$K63&lt;&gt;""),'Atividades Micro'!$K63,"")</f>
        <v/>
      </c>
      <c r="AP63" s="21" t="str">
        <f>IF(AND('Atividades Micro'!$B63=AP$2,'Atividades Micro'!$L63&lt;&gt;""),'Atividades Micro'!$L63,"")</f>
        <v/>
      </c>
      <c r="AQ63" s="21" t="str">
        <f>IF(AND('Atividades Micro'!$A63=AQ$2,'Atividades Micro'!$K63&lt;&gt;""),'Atividades Micro'!$K63,"")</f>
        <v/>
      </c>
      <c r="AR63" s="21" t="str">
        <f>IF(AND('Atividades Micro'!$A63=AR$2,'Atividades Micro'!$L63&lt;&gt;""),'Atividades Micro'!$L63,"")</f>
        <v/>
      </c>
      <c r="AS63" s="21" t="str">
        <f>IF(AND('Atividades Micro'!$B63=AS$2,'Atividades Micro'!$K63&lt;&gt;""),'Atividades Micro'!$K63,"")</f>
        <v/>
      </c>
      <c r="AT63" s="21" t="str">
        <f>IF(AND('Atividades Micro'!$B63=AT$2,'Atividades Micro'!$L63&lt;&gt;""),'Atividades Micro'!$L63,"")</f>
        <v/>
      </c>
      <c r="AU63" s="21" t="str">
        <f>IF(AND('Atividades Micro'!$A63=AU$2,'Atividades Micro'!$K63&lt;&gt;""),'Atividades Micro'!$K63,"")</f>
        <v/>
      </c>
      <c r="AV63" s="21" t="str">
        <f>IF(AND('Atividades Micro'!$A63=AV$2,'Atividades Micro'!$L63&lt;&gt;""),'Atividades Micro'!$L63,"")</f>
        <v/>
      </c>
      <c r="AW63" s="21" t="str">
        <f>IF(AND('Atividades Micro'!$B63=AW$2,'Atividades Micro'!$K63&lt;&gt;""),'Atividades Micro'!$K63,"")</f>
        <v/>
      </c>
      <c r="AX63" s="21" t="str">
        <f>IF(AND('Atividades Micro'!$B63=AX$2,'Atividades Micro'!$L63&lt;&gt;""),'Atividades Micro'!$L63,"")</f>
        <v/>
      </c>
      <c r="AY63" s="21" t="str">
        <f>IF(AND('Atividades Micro'!$A63=AY$2,'Atividades Micro'!$K63&lt;&gt;""),'Atividades Micro'!$K63,"")</f>
        <v/>
      </c>
      <c r="AZ63" s="21" t="str">
        <f>IF(AND('Atividades Micro'!$A63=AZ$2,'Atividades Micro'!$L63&lt;&gt;""),'Atividades Micro'!$L63,"")</f>
        <v/>
      </c>
      <c r="BA63" s="21" t="str">
        <f>IF(AND('Atividades Micro'!$B63=BA$2,'Atividades Micro'!$K63&lt;&gt;""),'Atividades Micro'!$K63,"")</f>
        <v/>
      </c>
      <c r="BB63" s="21" t="str">
        <f>IF(AND('Atividades Micro'!$B63=BB$2,'Atividades Micro'!$L63&lt;&gt;""),'Atividades Micro'!$L63,"")</f>
        <v/>
      </c>
      <c r="BC63" s="21" t="str">
        <f>IF(AND('Atividades Micro'!$B63=BC$2,'Atividades Micro'!$G63="Macro",'Atividades Micro'!$K63&lt;&gt;""),'Atividades Micro'!$K63,"")</f>
        <v/>
      </c>
      <c r="BD63" s="21" t="str">
        <f>IF(AND('Atividades Micro'!$B63=BD$2,'Atividades Micro'!$G63="Macro",'Atividades Micro'!$K63&lt;&gt;""),'Atividades Micro'!$K63,"")</f>
        <v/>
      </c>
      <c r="BE63" s="21" t="str">
        <f>IF(AND('Atividades Micro'!$B63=BE$2,'Atividades Micro'!$G63="Macro",'Atividades Micro'!$K63&lt;&gt;""),'Atividades Micro'!$K63,"")</f>
        <v/>
      </c>
      <c r="BF63" s="21" t="str">
        <f>IF(AND('Atividades Micro'!$B63=BF$2,'Atividades Micro'!$G63="Macro",'Atividades Micro'!$K63&lt;&gt;""),'Atividades Micro'!$K63,"")</f>
        <v/>
      </c>
      <c r="BG63" s="21" t="str">
        <f>IF(AND('Atividades Micro'!$B63=BG$2,'Atividades Micro'!$G63="Macro",'Atividades Micro'!$K63&lt;&gt;""),'Atividades Micro'!$K63,"")</f>
        <v/>
      </c>
      <c r="BH63" s="21" t="str">
        <f>IF(AND('Atividades Micro'!$B63=BH$2,'Atividades Micro'!$G63="Macro",'Atividades Micro'!$K63&lt;&gt;""),'Atividades Micro'!$K63,"")</f>
        <v/>
      </c>
      <c r="BI63" s="21" t="str">
        <f>IF(AND('Atividades Micro'!$B63=BI$2,'Atividades Micro'!$G63="Macro",'Atividades Micro'!$K63&lt;&gt;""),'Atividades Micro'!$K63,"")</f>
        <v/>
      </c>
      <c r="BJ63" s="21" t="str">
        <f>IF(AND('Atividades Micro'!$B63=BJ$2,'Atividades Micro'!$G63="Macro",'Atividades Micro'!$K63&lt;&gt;""),'Atividades Micro'!$K63,"")</f>
        <v/>
      </c>
      <c r="BK63" s="21" t="str">
        <f>IF(AND('Atividades Micro'!$B63=BK$2,'Atividades Micro'!$G63="Macro",'Atividades Micro'!$K63&lt;&gt;""),'Atividades Micro'!$K63,"")</f>
        <v/>
      </c>
      <c r="BL63" s="21" t="str">
        <f>IF(AND('Atividades Micro'!$B63=BL$2,'Atividades Micro'!$G63="Macro",'Atividades Micro'!$K63&lt;&gt;""),'Atividades Micro'!$K63,"")</f>
        <v/>
      </c>
      <c r="BM63" s="21" t="str">
        <f>IF(AND('Atividades Micro'!$B63=BM$2,'Atividades Micro'!$G63="Macro",'Atividades Micro'!$K63&lt;&gt;""),'Atividades Micro'!$K63,"")</f>
        <v/>
      </c>
      <c r="BN63" s="21" t="str">
        <f>IF(AND('Atividades Micro'!$B63=BN$2,'Atividades Micro'!$G63="Macro",'Atividades Micro'!$K63&lt;&gt;""),'Atividades Micro'!$K63,"")</f>
        <v/>
      </c>
      <c r="BO63" s="21" t="str">
        <f>IF(AND('Atividades Micro'!$B63=BO$2,'Atividades Micro'!$G63="Macro",'Atividades Micro'!$K63&lt;&gt;""),'Atividades Micro'!$K63,"")</f>
        <v/>
      </c>
      <c r="BP63" s="21" t="str">
        <f>IF(AND('Atividades Micro'!$B63=BP$2,'Atividades Micro'!$G63="Macro",'Atividades Micro'!$K63&lt;&gt;""),'Atividades Micro'!$K63,"")</f>
        <v/>
      </c>
      <c r="BQ63" s="21" t="str">
        <f>IF(AND('Atividades Micro'!$B63=BQ$2,'Atividades Micro'!$G63="Macro",'Atividades Micro'!$K63&lt;&gt;""),'Atividades Micro'!$K63,"")</f>
        <v/>
      </c>
      <c r="BR63" s="21" t="str">
        <f>IF(AND('Atividades Micro'!$B63=BR$2,'Atividades Micro'!$G63="Macro",'Atividades Micro'!$K63&lt;&gt;""),'Atividades Micro'!$K63,"")</f>
        <v/>
      </c>
      <c r="BS63" s="21" t="str">
        <f>IF(AND('Atividades Micro'!$B63=BS$2,'Atividades Micro'!$G63="Macro",'Atividades Micro'!$K63&lt;&gt;""),'Atividades Micro'!$K63,"")</f>
        <v/>
      </c>
      <c r="BT63" s="21" t="str">
        <f>IF(AND('Atividades Micro'!$B63=BT$2,'Atividades Micro'!$G63="Macro",'Atividades Micro'!$K63&lt;&gt;""),'Atividades Micro'!$K63,"")</f>
        <v/>
      </c>
      <c r="BU63" s="21" t="str">
        <f>IF(AND('Atividades Micro'!$B63=BU$2,'Atividades Micro'!$G63="Macro",'Atividades Micro'!$K63&lt;&gt;""),'Atividades Micro'!$K63,"")</f>
        <v/>
      </c>
      <c r="BV63" s="21" t="str">
        <f>IF(AND('Atividades Micro'!$B63=BV$2,'Atividades Micro'!$G63="Macro",'Atividades Micro'!$K63&lt;&gt;""),'Atividades Micro'!$K63,"")</f>
        <v/>
      </c>
      <c r="BW63" s="21" t="str">
        <f>IF(AND('Atividades Micro'!$B63=BW$2,'Atividades Micro'!$G63="Macro",'Atividades Micro'!$K63&lt;&gt;""),'Atividades Micro'!$K63,"")</f>
        <v/>
      </c>
      <c r="BX63" s="21" t="str">
        <f>IF(AND('Atividades Micro'!$B63=BX$2,'Atividades Micro'!$G63="Macro",'Atividades Micro'!$K63&lt;&gt;""),'Atividades Micro'!$K63,"")</f>
        <v/>
      </c>
      <c r="BY63" s="21" t="str">
        <f>IF(AND('Atividades Micro'!$B63=BY$2,'Atividades Micro'!$G63="Macro",'Atividades Micro'!$K63&lt;&gt;""),'Atividades Micro'!$K63,"")</f>
        <v/>
      </c>
      <c r="BZ63" s="21" t="str">
        <f>IF(AND('Atividades Micro'!$B63=BZ$2,'Atividades Micro'!$G63="Macro",'Atividades Micro'!$K63&lt;&gt;""),'Atividades Micro'!$K63,"")</f>
        <v/>
      </c>
      <c r="CA63" s="21" t="str">
        <f>IF(AND('Atividades Micro'!$B63=CA$2,'Atividades Micro'!$G63="Macro",'Atividades Micro'!$K63&lt;&gt;""),'Atividades Micro'!$K63,"")</f>
        <v/>
      </c>
      <c r="CB63" s="21" t="str">
        <f>IF(AND('Atividades Micro'!$B63=CB$2,'Atividades Micro'!$G63="Macro",'Atividades Micro'!$K63&lt;&gt;""),'Atividades Micro'!$K63,"")</f>
        <v/>
      </c>
      <c r="CC63" s="21" t="str">
        <f>IF(AND('Atividades Micro'!$B63=CC$2,'Atividades Micro'!$G63="Macro",'Atividades Micro'!$K63&lt;&gt;""),'Atividades Micro'!$K63,"")</f>
        <v/>
      </c>
      <c r="CD63" s="21" t="str">
        <f>IF(AND('Atividades Micro'!$B63=CD$2,'Atividades Micro'!$G63="Micro",'Atividades Micro'!$K63&lt;&gt;""),'Atividades Micro'!$K63,"")</f>
        <v/>
      </c>
      <c r="CE63" s="21">
        <f>IF(AND('Atividades Micro'!$B63=CE$2,'Atividades Micro'!$G63="Micro",'Atividades Micro'!$K63&lt;&gt;""),'Atividades Micro'!$K63,"")</f>
        <v>46332</v>
      </c>
      <c r="CF63" s="21" t="str">
        <f>IF(AND('Atividades Micro'!$B63=CF$2,'Atividades Micro'!$G63="Micro",'Atividades Micro'!$K63&lt;&gt;""),'Atividades Micro'!$K63,"")</f>
        <v/>
      </c>
      <c r="CG63" s="21" t="str">
        <f>IF(AND('Atividades Micro'!$B63=CG$2,'Atividades Micro'!$G63="Micro",'Atividades Micro'!$K63&lt;&gt;""),'Atividades Micro'!$K63,"")</f>
        <v/>
      </c>
      <c r="CH63" s="21" t="str">
        <f>IF(AND('Atividades Micro'!$B63=CH$2,'Atividades Micro'!$G63="Micro",'Atividades Micro'!$K63&lt;&gt;""),'Atividades Micro'!$K63,"")</f>
        <v/>
      </c>
      <c r="CI63" s="21" t="str">
        <f>IF(AND('Atividades Micro'!$B63=CI$2,'Atividades Micro'!$G63="Micro",'Atividades Micro'!$K63&lt;&gt;""),'Atividades Micro'!$K63,"")</f>
        <v/>
      </c>
      <c r="CJ63" s="21" t="str">
        <f>IF(AND('Atividades Micro'!$B63=CJ$2,'Atividades Micro'!$G63="Micro",'Atividades Micro'!$K63&lt;&gt;""),'Atividades Micro'!$K63,"")</f>
        <v/>
      </c>
      <c r="CK63" s="21" t="str">
        <f>IF(AND('Atividades Micro'!$B63=CK$2,'Atividades Micro'!$G63="Micro",'Atividades Micro'!$K63&lt;&gt;""),'Atividades Micro'!$K63,"")</f>
        <v/>
      </c>
      <c r="CL63" s="21" t="str">
        <f>IF(AND('Atividades Micro'!$B63=CL$2,'Atividades Micro'!$G63="Micro",'Atividades Micro'!$K63&lt;&gt;""),'Atividades Micro'!$K63,"")</f>
        <v/>
      </c>
      <c r="CM63" s="21" t="str">
        <f>IF(AND('Atividades Micro'!$B63=CM$2,'Atividades Micro'!$G63="Micro",'Atividades Micro'!$K63&lt;&gt;""),'Atividades Micro'!$K63,"")</f>
        <v/>
      </c>
      <c r="CN63" s="21" t="str">
        <f>IF(AND('Atividades Micro'!$B63=CN$2,'Atividades Micro'!$G63="Micro",'Atividades Micro'!$K63&lt;&gt;""),'Atividades Micro'!$K63,"")</f>
        <v/>
      </c>
      <c r="CO63" s="21" t="str">
        <f>IF(AND('Atividades Micro'!$B63=CO$2,'Atividades Micro'!$G63="Micro",'Atividades Micro'!$K63&lt;&gt;""),'Atividades Micro'!$K63,"")</f>
        <v/>
      </c>
    </row>
    <row r="64" spans="1:93">
      <c r="A64" s="21" t="str">
        <f>IF(AND('Atividades Micro'!$A64=A$2,'Atividades Micro'!$K64&lt;&gt;""),'Atividades Micro'!$K64,"")</f>
        <v/>
      </c>
      <c r="B64" s="21" t="str">
        <f>IF(AND('Atividades Micro'!$A64=B$2,'Atividades Micro'!$L64&lt;&gt;""),'Atividades Micro'!$L64,"")</f>
        <v/>
      </c>
      <c r="C64" s="21" t="str">
        <f>IF(AND('Atividades Micro'!$A64=C$2,'Atividades Micro'!$K64&lt;&gt;""),'Atividades Micro'!$K64,"")</f>
        <v/>
      </c>
      <c r="D64" s="21" t="str">
        <f>IF(AND('Atividades Micro'!$A64=D$2,'Atividades Micro'!$L64&lt;&gt;""),'Atividades Micro'!$L64,"")</f>
        <v/>
      </c>
      <c r="E64" s="21" t="str">
        <f>IF(AND('Atividades Micro'!$A64=E$2,'Atividades Micro'!$K64&lt;&gt;""),'Atividades Micro'!$K64,"")</f>
        <v/>
      </c>
      <c r="F64" s="21" t="str">
        <f>IF(AND('Atividades Micro'!$A64=F$2,'Atividades Micro'!$L64&lt;&gt;""),'Atividades Micro'!$L64,"")</f>
        <v/>
      </c>
      <c r="G64" s="21" t="str">
        <f>IF(AND('Atividades Micro'!$A64=G$2,'Atividades Micro'!$K64&lt;&gt;""),'Atividades Micro'!$K64,"")</f>
        <v/>
      </c>
      <c r="H64" s="21" t="str">
        <f>IF(AND('Atividades Micro'!$A64=H$2,'Atividades Micro'!$L64&lt;&gt;""),'Atividades Micro'!$L64,"")</f>
        <v/>
      </c>
      <c r="I64" s="21">
        <f>IF(AND('Atividades Micro'!$A64=I$2,'Atividades Micro'!$K64&lt;&gt;""),'Atividades Micro'!$K64,"")</f>
        <v>46337</v>
      </c>
      <c r="J64" s="21" t="str">
        <f>IF(AND('Atividades Micro'!$A64=J$2,'Atividades Micro'!$L64&lt;&gt;""),'Atividades Micro'!$L64,"")</f>
        <v/>
      </c>
      <c r="K64" s="21" t="str">
        <f>IF(AND('Atividades Micro'!$B64=K$2,'Atividades Micro'!$K64&lt;&gt;""),'Atividades Micro'!$K64,"")</f>
        <v/>
      </c>
      <c r="L64" s="21" t="str">
        <f>IF(AND('Atividades Micro'!$B64=L$2,'Atividades Micro'!$L64&lt;&gt;""),'Atividades Micro'!$L64,"")</f>
        <v/>
      </c>
      <c r="M64" s="21">
        <f>IF(AND('Atividades Micro'!$B64=M$2,'Atividades Micro'!$K64&lt;&gt;""),'Atividades Micro'!$K64,"")</f>
        <v>46337</v>
      </c>
      <c r="N64" s="21" t="str">
        <f>IF(AND('Atividades Micro'!$B64=N$2,'Atividades Micro'!$L64&lt;&gt;""),'Atividades Micro'!$L64,"")</f>
        <v/>
      </c>
      <c r="O64" s="21" t="str">
        <f>IF(AND('Atividades Micro'!$A64=O$2,'Atividades Micro'!$K64&lt;&gt;""),'Atividades Micro'!$K64,"")</f>
        <v/>
      </c>
      <c r="P64" s="21" t="str">
        <f>IF(AND('Atividades Micro'!$A64=P$2,'Atividades Micro'!$L64&lt;&gt;""),'Atividades Micro'!$L64,"")</f>
        <v/>
      </c>
      <c r="Q64" s="21" t="str">
        <f>IF(AND('Atividades Micro'!$B64=Q$2,'Atividades Micro'!$K64&lt;&gt;""),'Atividades Micro'!$K64,"")</f>
        <v/>
      </c>
      <c r="R64" s="21" t="str">
        <f>IF(AND('Atividades Micro'!$B64=R$2,'Atividades Micro'!$L64&lt;&gt;""),'Atividades Micro'!$L64,"")</f>
        <v/>
      </c>
      <c r="S64" s="21" t="str">
        <f>IF(AND('Atividades Micro'!$A64=S$2,'Atividades Micro'!$K64&lt;&gt;""),'Atividades Micro'!$K64,"")</f>
        <v/>
      </c>
      <c r="T64" s="21" t="str">
        <f>IF(AND('Atividades Micro'!$A64=T$2,'Atividades Micro'!$L64&lt;&gt;""),'Atividades Micro'!$L64,"")</f>
        <v/>
      </c>
      <c r="U64" s="21" t="str">
        <f>IF(AND('Atividades Micro'!$B64=U$2,'Atividades Micro'!$K64&lt;&gt;""),'Atividades Micro'!$K64,"")</f>
        <v/>
      </c>
      <c r="V64" s="21" t="str">
        <f>IF(AND('Atividades Micro'!$B64=V$2,'Atividades Micro'!$L64&lt;&gt;""),'Atividades Micro'!$L64,"")</f>
        <v/>
      </c>
      <c r="W64" s="21" t="str">
        <f>IF(AND('Atividades Micro'!$B64=W$2,'Atividades Micro'!$K64&lt;&gt;""),'Atividades Micro'!$K64,"")</f>
        <v/>
      </c>
      <c r="X64" s="21" t="str">
        <f>IF(AND('Atividades Micro'!$B64=X$2,'Atividades Micro'!$L64&lt;&gt;""),'Atividades Micro'!$L64,"")</f>
        <v/>
      </c>
      <c r="Y64" s="21" t="str">
        <f>IF(AND('Atividades Micro'!$A64=Y$2,'Atividades Micro'!$K64&lt;&gt;""),'Atividades Micro'!$K64,"")</f>
        <v/>
      </c>
      <c r="Z64" s="21" t="str">
        <f>IF(AND('Atividades Micro'!$A64=Z$2,'Atividades Micro'!$L64&lt;&gt;""),'Atividades Micro'!$L64,"")</f>
        <v/>
      </c>
      <c r="AA64" s="21" t="str">
        <f>IF(AND('Atividades Micro'!$B64=AA$2,'Atividades Micro'!$K64&lt;&gt;""),'Atividades Micro'!$K64,"")</f>
        <v/>
      </c>
      <c r="AB64" s="21" t="str">
        <f>IF(AND('Atividades Micro'!$B64=AB$2,'Atividades Micro'!$L64&lt;&gt;""),'Atividades Micro'!$L64,"")</f>
        <v/>
      </c>
      <c r="AC64" s="21" t="str">
        <f>IF(AND('Atividades Micro'!$B64=AC$2,'Atividades Micro'!$K64&lt;&gt;""),'Atividades Micro'!$K64,"")</f>
        <v/>
      </c>
      <c r="AD64" s="21" t="str">
        <f>IF(AND('Atividades Micro'!$B64=AD$2,'Atividades Micro'!$L64&lt;&gt;""),'Atividades Micro'!$L64,"")</f>
        <v/>
      </c>
      <c r="AE64" s="21" t="str">
        <f>IF(AND('Atividades Micro'!$A64=AE$2,'Atividades Micro'!$K64&lt;&gt;""),'Atividades Micro'!$K64,"")</f>
        <v/>
      </c>
      <c r="AF64" s="21" t="str">
        <f>IF(AND('Atividades Micro'!$A64=AF$2,'Atividades Micro'!$L64&lt;&gt;""),'Atividades Micro'!$L64,"")</f>
        <v/>
      </c>
      <c r="AG64" s="21" t="str">
        <f>IF(AND('Atividades Micro'!$B64=AG$2,'Atividades Micro'!$K64&lt;&gt;""),'Atividades Micro'!$K64,"")</f>
        <v/>
      </c>
      <c r="AH64" s="21" t="str">
        <f>IF(AND('Atividades Micro'!$B64=AH$2,'Atividades Micro'!$L64&lt;&gt;""),'Atividades Micro'!$L64,"")</f>
        <v/>
      </c>
      <c r="AI64" s="21" t="str">
        <f>IF(AND('Atividades Micro'!$B64=AI$2,'Atividades Micro'!$K64&lt;&gt;""),'Atividades Micro'!$K64,"")</f>
        <v/>
      </c>
      <c r="AJ64" s="21" t="str">
        <f>IF(AND('Atividades Micro'!$B64=AJ$2,'Atividades Micro'!$L64&lt;&gt;""),'Atividades Micro'!$L64,"")</f>
        <v/>
      </c>
      <c r="AK64" s="21" t="str">
        <f>IF(AND('Atividades Micro'!$A64=AK$2,'Atividades Micro'!$K64&lt;&gt;""),'Atividades Micro'!$K64,"")</f>
        <v/>
      </c>
      <c r="AL64" s="21" t="str">
        <f>IF(AND('Atividades Micro'!$A64=AL$2,'Atividades Micro'!$L64&lt;&gt;""),'Atividades Micro'!$L64,"")</f>
        <v/>
      </c>
      <c r="AM64" s="21" t="str">
        <f>IF(AND('Atividades Micro'!$B64=AM$2,'Atividades Micro'!$K64&lt;&gt;""),'Atividades Micro'!$K64,"")</f>
        <v/>
      </c>
      <c r="AN64" s="21" t="str">
        <f>IF(AND('Atividades Micro'!$B64=AN$2,'Atividades Micro'!$L64&lt;&gt;""),'Atividades Micro'!$L64,"")</f>
        <v/>
      </c>
      <c r="AO64" s="21" t="str">
        <f>IF(AND('Atividades Micro'!$B64=AO$2,'Atividades Micro'!$K64&lt;&gt;""),'Atividades Micro'!$K64,"")</f>
        <v/>
      </c>
      <c r="AP64" s="21" t="str">
        <f>IF(AND('Atividades Micro'!$B64=AP$2,'Atividades Micro'!$L64&lt;&gt;""),'Atividades Micro'!$L64,"")</f>
        <v/>
      </c>
      <c r="AQ64" s="21" t="str">
        <f>IF(AND('Atividades Micro'!$A64=AQ$2,'Atividades Micro'!$K64&lt;&gt;""),'Atividades Micro'!$K64,"")</f>
        <v/>
      </c>
      <c r="AR64" s="21" t="str">
        <f>IF(AND('Atividades Micro'!$A64=AR$2,'Atividades Micro'!$L64&lt;&gt;""),'Atividades Micro'!$L64,"")</f>
        <v/>
      </c>
      <c r="AS64" s="21" t="str">
        <f>IF(AND('Atividades Micro'!$B64=AS$2,'Atividades Micro'!$K64&lt;&gt;""),'Atividades Micro'!$K64,"")</f>
        <v/>
      </c>
      <c r="AT64" s="21" t="str">
        <f>IF(AND('Atividades Micro'!$B64=AT$2,'Atividades Micro'!$L64&lt;&gt;""),'Atividades Micro'!$L64,"")</f>
        <v/>
      </c>
      <c r="AU64" s="21" t="str">
        <f>IF(AND('Atividades Micro'!$A64=AU$2,'Atividades Micro'!$K64&lt;&gt;""),'Atividades Micro'!$K64,"")</f>
        <v/>
      </c>
      <c r="AV64" s="21" t="str">
        <f>IF(AND('Atividades Micro'!$A64=AV$2,'Atividades Micro'!$L64&lt;&gt;""),'Atividades Micro'!$L64,"")</f>
        <v/>
      </c>
      <c r="AW64" s="21" t="str">
        <f>IF(AND('Atividades Micro'!$B64=AW$2,'Atividades Micro'!$K64&lt;&gt;""),'Atividades Micro'!$K64,"")</f>
        <v/>
      </c>
      <c r="AX64" s="21" t="str">
        <f>IF(AND('Atividades Micro'!$B64=AX$2,'Atividades Micro'!$L64&lt;&gt;""),'Atividades Micro'!$L64,"")</f>
        <v/>
      </c>
      <c r="AY64" s="21" t="str">
        <f>IF(AND('Atividades Micro'!$A64=AY$2,'Atividades Micro'!$K64&lt;&gt;""),'Atividades Micro'!$K64,"")</f>
        <v/>
      </c>
      <c r="AZ64" s="21" t="str">
        <f>IF(AND('Atividades Micro'!$A64=AZ$2,'Atividades Micro'!$L64&lt;&gt;""),'Atividades Micro'!$L64,"")</f>
        <v/>
      </c>
      <c r="BA64" s="21" t="str">
        <f>IF(AND('Atividades Micro'!$B64=BA$2,'Atividades Micro'!$K64&lt;&gt;""),'Atividades Micro'!$K64,"")</f>
        <v/>
      </c>
      <c r="BB64" s="21" t="str">
        <f>IF(AND('Atividades Micro'!$B64=BB$2,'Atividades Micro'!$L64&lt;&gt;""),'Atividades Micro'!$L64,"")</f>
        <v/>
      </c>
      <c r="BC64" s="21" t="str">
        <f>IF(AND('Atividades Micro'!$B64=BC$2,'Atividades Micro'!$G64="Macro",'Atividades Micro'!$K64&lt;&gt;""),'Atividades Micro'!$K64,"")</f>
        <v/>
      </c>
      <c r="BD64" s="21" t="str">
        <f>IF(AND('Atividades Micro'!$B64=BD$2,'Atividades Micro'!$G64="Macro",'Atividades Micro'!$K64&lt;&gt;""),'Atividades Micro'!$K64,"")</f>
        <v/>
      </c>
      <c r="BE64" s="21" t="str">
        <f>IF(AND('Atividades Micro'!$B64=BE$2,'Atividades Micro'!$G64="Macro",'Atividades Micro'!$K64&lt;&gt;""),'Atividades Micro'!$K64,"")</f>
        <v/>
      </c>
      <c r="BF64" s="21" t="str">
        <f>IF(AND('Atividades Micro'!$B64=BF$2,'Atividades Micro'!$G64="Macro",'Atividades Micro'!$K64&lt;&gt;""),'Atividades Micro'!$K64,"")</f>
        <v/>
      </c>
      <c r="BG64" s="21" t="str">
        <f>IF(AND('Atividades Micro'!$B64=BG$2,'Atividades Micro'!$G64="Macro",'Atividades Micro'!$K64&lt;&gt;""),'Atividades Micro'!$K64,"")</f>
        <v/>
      </c>
      <c r="BH64" s="21" t="str">
        <f>IF(AND('Atividades Micro'!$B64=BH$2,'Atividades Micro'!$G64="Macro",'Atividades Micro'!$K64&lt;&gt;""),'Atividades Micro'!$K64,"")</f>
        <v/>
      </c>
      <c r="BI64" s="21" t="str">
        <f>IF(AND('Atividades Micro'!$B64=BI$2,'Atividades Micro'!$G64="Macro",'Atividades Micro'!$K64&lt;&gt;""),'Atividades Micro'!$K64,"")</f>
        <v/>
      </c>
      <c r="BJ64" s="21" t="str">
        <f>IF(AND('Atividades Micro'!$B64=BJ$2,'Atividades Micro'!$G64="Macro",'Atividades Micro'!$K64&lt;&gt;""),'Atividades Micro'!$K64,"")</f>
        <v/>
      </c>
      <c r="BK64" s="21" t="str">
        <f>IF(AND('Atividades Micro'!$B64=BK$2,'Atividades Micro'!$G64="Macro",'Atividades Micro'!$K64&lt;&gt;""),'Atividades Micro'!$K64,"")</f>
        <v/>
      </c>
      <c r="BL64" s="21" t="str">
        <f>IF(AND('Atividades Micro'!$B64=BL$2,'Atividades Micro'!$G64="Macro",'Atividades Micro'!$K64&lt;&gt;""),'Atividades Micro'!$K64,"")</f>
        <v/>
      </c>
      <c r="BM64" s="21" t="str">
        <f>IF(AND('Atividades Micro'!$B64=BM$2,'Atividades Micro'!$G64="Macro",'Atividades Micro'!$K64&lt;&gt;""),'Atividades Micro'!$K64,"")</f>
        <v/>
      </c>
      <c r="BN64" s="21" t="str">
        <f>IF(AND('Atividades Micro'!$B64=BN$2,'Atividades Micro'!$G64="Macro",'Atividades Micro'!$K64&lt;&gt;""),'Atividades Micro'!$K64,"")</f>
        <v/>
      </c>
      <c r="BO64" s="21" t="str">
        <f>IF(AND('Atividades Micro'!$B64=BO$2,'Atividades Micro'!$G64="Macro",'Atividades Micro'!$K64&lt;&gt;""),'Atividades Micro'!$K64,"")</f>
        <v/>
      </c>
      <c r="BP64" s="21" t="str">
        <f>IF(AND('Atividades Micro'!$B64=BP$2,'Atividades Micro'!$G64="Macro",'Atividades Micro'!$K64&lt;&gt;""),'Atividades Micro'!$K64,"")</f>
        <v/>
      </c>
      <c r="BQ64" s="21" t="str">
        <f>IF(AND('Atividades Micro'!$B64=BQ$2,'Atividades Micro'!$G64="Macro",'Atividades Micro'!$K64&lt;&gt;""),'Atividades Micro'!$K64,"")</f>
        <v/>
      </c>
      <c r="BR64" s="21" t="str">
        <f>IF(AND('Atividades Micro'!$B64=BR$2,'Atividades Micro'!$G64="Macro",'Atividades Micro'!$K64&lt;&gt;""),'Atividades Micro'!$K64,"")</f>
        <v/>
      </c>
      <c r="BS64" s="21" t="str">
        <f>IF(AND('Atividades Micro'!$B64=BS$2,'Atividades Micro'!$G64="Macro",'Atividades Micro'!$K64&lt;&gt;""),'Atividades Micro'!$K64,"")</f>
        <v/>
      </c>
      <c r="BT64" s="21" t="str">
        <f>IF(AND('Atividades Micro'!$B64=BT$2,'Atividades Micro'!$G64="Macro",'Atividades Micro'!$K64&lt;&gt;""),'Atividades Micro'!$K64,"")</f>
        <v/>
      </c>
      <c r="BU64" s="21" t="str">
        <f>IF(AND('Atividades Micro'!$B64=BU$2,'Atividades Micro'!$G64="Macro",'Atividades Micro'!$K64&lt;&gt;""),'Atividades Micro'!$K64,"")</f>
        <v/>
      </c>
      <c r="BV64" s="21" t="str">
        <f>IF(AND('Atividades Micro'!$B64=BV$2,'Atividades Micro'!$G64="Macro",'Atividades Micro'!$K64&lt;&gt;""),'Atividades Micro'!$K64,"")</f>
        <v/>
      </c>
      <c r="BW64" s="21" t="str">
        <f>IF(AND('Atividades Micro'!$B64=BW$2,'Atividades Micro'!$G64="Macro",'Atividades Micro'!$K64&lt;&gt;""),'Atividades Micro'!$K64,"")</f>
        <v/>
      </c>
      <c r="BX64" s="21" t="str">
        <f>IF(AND('Atividades Micro'!$B64=BX$2,'Atividades Micro'!$G64="Macro",'Atividades Micro'!$K64&lt;&gt;""),'Atividades Micro'!$K64,"")</f>
        <v/>
      </c>
      <c r="BY64" s="21" t="str">
        <f>IF(AND('Atividades Micro'!$B64=BY$2,'Atividades Micro'!$G64="Macro",'Atividades Micro'!$K64&lt;&gt;""),'Atividades Micro'!$K64,"")</f>
        <v/>
      </c>
      <c r="BZ64" s="21" t="str">
        <f>IF(AND('Atividades Micro'!$B64=BZ$2,'Atividades Micro'!$G64="Macro",'Atividades Micro'!$K64&lt;&gt;""),'Atividades Micro'!$K64,"")</f>
        <v/>
      </c>
      <c r="CA64" s="21" t="str">
        <f>IF(AND('Atividades Micro'!$B64=CA$2,'Atividades Micro'!$G64="Macro",'Atividades Micro'!$K64&lt;&gt;""),'Atividades Micro'!$K64,"")</f>
        <v/>
      </c>
      <c r="CB64" s="21" t="str">
        <f>IF(AND('Atividades Micro'!$B64=CB$2,'Atividades Micro'!$G64="Macro",'Atividades Micro'!$K64&lt;&gt;""),'Atividades Micro'!$K64,"")</f>
        <v/>
      </c>
      <c r="CC64" s="21" t="str">
        <f>IF(AND('Atividades Micro'!$B64=CC$2,'Atividades Micro'!$G64="Macro",'Atividades Micro'!$K64&lt;&gt;""),'Atividades Micro'!$K64,"")</f>
        <v/>
      </c>
      <c r="CD64" s="21" t="str">
        <f>IF(AND('Atividades Micro'!$B64=CD$2,'Atividades Micro'!$G64="Micro",'Atividades Micro'!$K64&lt;&gt;""),'Atividades Micro'!$K64,"")</f>
        <v/>
      </c>
      <c r="CE64" s="21">
        <f>IF(AND('Atividades Micro'!$B64=CE$2,'Atividades Micro'!$G64="Micro",'Atividades Micro'!$K64&lt;&gt;""),'Atividades Micro'!$K64,"")</f>
        <v>46337</v>
      </c>
      <c r="CF64" s="21" t="str">
        <f>IF(AND('Atividades Micro'!$B64=CF$2,'Atividades Micro'!$G64="Micro",'Atividades Micro'!$K64&lt;&gt;""),'Atividades Micro'!$K64,"")</f>
        <v/>
      </c>
      <c r="CG64" s="21" t="str">
        <f>IF(AND('Atividades Micro'!$B64=CG$2,'Atividades Micro'!$G64="Micro",'Atividades Micro'!$K64&lt;&gt;""),'Atividades Micro'!$K64,"")</f>
        <v/>
      </c>
      <c r="CH64" s="21" t="str">
        <f>IF(AND('Atividades Micro'!$B64=CH$2,'Atividades Micro'!$G64="Micro",'Atividades Micro'!$K64&lt;&gt;""),'Atividades Micro'!$K64,"")</f>
        <v/>
      </c>
      <c r="CI64" s="21" t="str">
        <f>IF(AND('Atividades Micro'!$B64=CI$2,'Atividades Micro'!$G64="Micro",'Atividades Micro'!$K64&lt;&gt;""),'Atividades Micro'!$K64,"")</f>
        <v/>
      </c>
      <c r="CJ64" s="21" t="str">
        <f>IF(AND('Atividades Micro'!$B64=CJ$2,'Atividades Micro'!$G64="Micro",'Atividades Micro'!$K64&lt;&gt;""),'Atividades Micro'!$K64,"")</f>
        <v/>
      </c>
      <c r="CK64" s="21" t="str">
        <f>IF(AND('Atividades Micro'!$B64=CK$2,'Atividades Micro'!$G64="Micro",'Atividades Micro'!$K64&lt;&gt;""),'Atividades Micro'!$K64,"")</f>
        <v/>
      </c>
      <c r="CL64" s="21" t="str">
        <f>IF(AND('Atividades Micro'!$B64=CL$2,'Atividades Micro'!$G64="Micro",'Atividades Micro'!$K64&lt;&gt;""),'Atividades Micro'!$K64,"")</f>
        <v/>
      </c>
      <c r="CM64" s="21" t="str">
        <f>IF(AND('Atividades Micro'!$B64=CM$2,'Atividades Micro'!$G64="Micro",'Atividades Micro'!$K64&lt;&gt;""),'Atividades Micro'!$K64,"")</f>
        <v/>
      </c>
      <c r="CN64" s="21" t="str">
        <f>IF(AND('Atividades Micro'!$B64=CN$2,'Atividades Micro'!$G64="Micro",'Atividades Micro'!$K64&lt;&gt;""),'Atividades Micro'!$K64,"")</f>
        <v/>
      </c>
      <c r="CO64" s="21" t="str">
        <f>IF(AND('Atividades Micro'!$B64=CO$2,'Atividades Micro'!$G64="Micro",'Atividades Micro'!$K64&lt;&gt;""),'Atividades Micro'!$K64,"")</f>
        <v/>
      </c>
    </row>
    <row r="65" spans="1:93">
      <c r="A65" s="21" t="str">
        <f>IF(AND('Atividades Micro'!$A65=A$2,'Atividades Micro'!$K65&lt;&gt;""),'Atividades Micro'!$K65,"")</f>
        <v/>
      </c>
      <c r="B65" s="21" t="str">
        <f>IF(AND('Atividades Micro'!$A65=B$2,'Atividades Micro'!$L65&lt;&gt;""),'Atividades Micro'!$L65,"")</f>
        <v/>
      </c>
      <c r="C65" s="21" t="str">
        <f>IF(AND('Atividades Micro'!$A65=C$2,'Atividades Micro'!$K65&lt;&gt;""),'Atividades Micro'!$K65,"")</f>
        <v/>
      </c>
      <c r="D65" s="21" t="str">
        <f>IF(AND('Atividades Micro'!$A65=D$2,'Atividades Micro'!$L65&lt;&gt;""),'Atividades Micro'!$L65,"")</f>
        <v/>
      </c>
      <c r="E65" s="21" t="str">
        <f>IF(AND('Atividades Micro'!$A65=E$2,'Atividades Micro'!$K65&lt;&gt;""),'Atividades Micro'!$K65,"")</f>
        <v/>
      </c>
      <c r="F65" s="21" t="str">
        <f>IF(AND('Atividades Micro'!$A65=F$2,'Atividades Micro'!$L65&lt;&gt;""),'Atividades Micro'!$L65,"")</f>
        <v/>
      </c>
      <c r="G65" s="21" t="str">
        <f>IF(AND('Atividades Micro'!$A65=G$2,'Atividades Micro'!$K65&lt;&gt;""),'Atividades Micro'!$K65,"")</f>
        <v/>
      </c>
      <c r="H65" s="21" t="str">
        <f>IF(AND('Atividades Micro'!$A65=H$2,'Atividades Micro'!$L65&lt;&gt;""),'Atividades Micro'!$L65,"")</f>
        <v/>
      </c>
      <c r="I65" s="21">
        <f>IF(AND('Atividades Micro'!$A65=I$2,'Atividades Micro'!$K65&lt;&gt;""),'Atividades Micro'!$K65,"")</f>
        <v>46338</v>
      </c>
      <c r="J65" s="21" t="str">
        <f>IF(AND('Atividades Micro'!$A65=J$2,'Atividades Micro'!$L65&lt;&gt;""),'Atividades Micro'!$L65,"")</f>
        <v/>
      </c>
      <c r="K65" s="21" t="str">
        <f>IF(AND('Atividades Micro'!$B65=K$2,'Atividades Micro'!$K65&lt;&gt;""),'Atividades Micro'!$K65,"")</f>
        <v/>
      </c>
      <c r="L65" s="21" t="str">
        <f>IF(AND('Atividades Micro'!$B65=L$2,'Atividades Micro'!$L65&lt;&gt;""),'Atividades Micro'!$L65,"")</f>
        <v/>
      </c>
      <c r="M65" s="21">
        <f>IF(AND('Atividades Micro'!$B65=M$2,'Atividades Micro'!$K65&lt;&gt;""),'Atividades Micro'!$K65,"")</f>
        <v>46338</v>
      </c>
      <c r="N65" s="21" t="str">
        <f>IF(AND('Atividades Micro'!$B65=N$2,'Atividades Micro'!$L65&lt;&gt;""),'Atividades Micro'!$L65,"")</f>
        <v/>
      </c>
      <c r="O65" s="21" t="str">
        <f>IF(AND('Atividades Micro'!$A65=O$2,'Atividades Micro'!$K65&lt;&gt;""),'Atividades Micro'!$K65,"")</f>
        <v/>
      </c>
      <c r="P65" s="21" t="str">
        <f>IF(AND('Atividades Micro'!$A65=P$2,'Atividades Micro'!$L65&lt;&gt;""),'Atividades Micro'!$L65,"")</f>
        <v/>
      </c>
      <c r="Q65" s="21" t="str">
        <f>IF(AND('Atividades Micro'!$B65=Q$2,'Atividades Micro'!$K65&lt;&gt;""),'Atividades Micro'!$K65,"")</f>
        <v/>
      </c>
      <c r="R65" s="21" t="str">
        <f>IF(AND('Atividades Micro'!$B65=R$2,'Atividades Micro'!$L65&lt;&gt;""),'Atividades Micro'!$L65,"")</f>
        <v/>
      </c>
      <c r="S65" s="21" t="str">
        <f>IF(AND('Atividades Micro'!$A65=S$2,'Atividades Micro'!$K65&lt;&gt;""),'Atividades Micro'!$K65,"")</f>
        <v/>
      </c>
      <c r="T65" s="21" t="str">
        <f>IF(AND('Atividades Micro'!$A65=T$2,'Atividades Micro'!$L65&lt;&gt;""),'Atividades Micro'!$L65,"")</f>
        <v/>
      </c>
      <c r="U65" s="21" t="str">
        <f>IF(AND('Atividades Micro'!$B65=U$2,'Atividades Micro'!$K65&lt;&gt;""),'Atividades Micro'!$K65,"")</f>
        <v/>
      </c>
      <c r="V65" s="21" t="str">
        <f>IF(AND('Atividades Micro'!$B65=V$2,'Atividades Micro'!$L65&lt;&gt;""),'Atividades Micro'!$L65,"")</f>
        <v/>
      </c>
      <c r="W65" s="21" t="str">
        <f>IF(AND('Atividades Micro'!$B65=W$2,'Atividades Micro'!$K65&lt;&gt;""),'Atividades Micro'!$K65,"")</f>
        <v/>
      </c>
      <c r="X65" s="21" t="str">
        <f>IF(AND('Atividades Micro'!$B65=X$2,'Atividades Micro'!$L65&lt;&gt;""),'Atividades Micro'!$L65,"")</f>
        <v/>
      </c>
      <c r="Y65" s="21" t="str">
        <f>IF(AND('Atividades Micro'!$A65=Y$2,'Atividades Micro'!$K65&lt;&gt;""),'Atividades Micro'!$K65,"")</f>
        <v/>
      </c>
      <c r="Z65" s="21" t="str">
        <f>IF(AND('Atividades Micro'!$A65=Z$2,'Atividades Micro'!$L65&lt;&gt;""),'Atividades Micro'!$L65,"")</f>
        <v/>
      </c>
      <c r="AA65" s="21" t="str">
        <f>IF(AND('Atividades Micro'!$B65=AA$2,'Atividades Micro'!$K65&lt;&gt;""),'Atividades Micro'!$K65,"")</f>
        <v/>
      </c>
      <c r="AB65" s="21" t="str">
        <f>IF(AND('Atividades Micro'!$B65=AB$2,'Atividades Micro'!$L65&lt;&gt;""),'Atividades Micro'!$L65,"")</f>
        <v/>
      </c>
      <c r="AC65" s="21" t="str">
        <f>IF(AND('Atividades Micro'!$B65=AC$2,'Atividades Micro'!$K65&lt;&gt;""),'Atividades Micro'!$K65,"")</f>
        <v/>
      </c>
      <c r="AD65" s="21" t="str">
        <f>IF(AND('Atividades Micro'!$B65=AD$2,'Atividades Micro'!$L65&lt;&gt;""),'Atividades Micro'!$L65,"")</f>
        <v/>
      </c>
      <c r="AE65" s="21" t="str">
        <f>IF(AND('Atividades Micro'!$A65=AE$2,'Atividades Micro'!$K65&lt;&gt;""),'Atividades Micro'!$K65,"")</f>
        <v/>
      </c>
      <c r="AF65" s="21" t="str">
        <f>IF(AND('Atividades Micro'!$A65=AF$2,'Atividades Micro'!$L65&lt;&gt;""),'Atividades Micro'!$L65,"")</f>
        <v/>
      </c>
      <c r="AG65" s="21" t="str">
        <f>IF(AND('Atividades Micro'!$B65=AG$2,'Atividades Micro'!$K65&lt;&gt;""),'Atividades Micro'!$K65,"")</f>
        <v/>
      </c>
      <c r="AH65" s="21" t="str">
        <f>IF(AND('Atividades Micro'!$B65=AH$2,'Atividades Micro'!$L65&lt;&gt;""),'Atividades Micro'!$L65,"")</f>
        <v/>
      </c>
      <c r="AI65" s="21" t="str">
        <f>IF(AND('Atividades Micro'!$B65=AI$2,'Atividades Micro'!$K65&lt;&gt;""),'Atividades Micro'!$K65,"")</f>
        <v/>
      </c>
      <c r="AJ65" s="21" t="str">
        <f>IF(AND('Atividades Micro'!$B65=AJ$2,'Atividades Micro'!$L65&lt;&gt;""),'Atividades Micro'!$L65,"")</f>
        <v/>
      </c>
      <c r="AK65" s="21" t="str">
        <f>IF(AND('Atividades Micro'!$A65=AK$2,'Atividades Micro'!$K65&lt;&gt;""),'Atividades Micro'!$K65,"")</f>
        <v/>
      </c>
      <c r="AL65" s="21" t="str">
        <f>IF(AND('Atividades Micro'!$A65=AL$2,'Atividades Micro'!$L65&lt;&gt;""),'Atividades Micro'!$L65,"")</f>
        <v/>
      </c>
      <c r="AM65" s="21" t="str">
        <f>IF(AND('Atividades Micro'!$B65=AM$2,'Atividades Micro'!$K65&lt;&gt;""),'Atividades Micro'!$K65,"")</f>
        <v/>
      </c>
      <c r="AN65" s="21" t="str">
        <f>IF(AND('Atividades Micro'!$B65=AN$2,'Atividades Micro'!$L65&lt;&gt;""),'Atividades Micro'!$L65,"")</f>
        <v/>
      </c>
      <c r="AO65" s="21" t="str">
        <f>IF(AND('Atividades Micro'!$B65=AO$2,'Atividades Micro'!$K65&lt;&gt;""),'Atividades Micro'!$K65,"")</f>
        <v/>
      </c>
      <c r="AP65" s="21" t="str">
        <f>IF(AND('Atividades Micro'!$B65=AP$2,'Atividades Micro'!$L65&lt;&gt;""),'Atividades Micro'!$L65,"")</f>
        <v/>
      </c>
      <c r="AQ65" s="21" t="str">
        <f>IF(AND('Atividades Micro'!$A65=AQ$2,'Atividades Micro'!$K65&lt;&gt;""),'Atividades Micro'!$K65,"")</f>
        <v/>
      </c>
      <c r="AR65" s="21" t="str">
        <f>IF(AND('Atividades Micro'!$A65=AR$2,'Atividades Micro'!$L65&lt;&gt;""),'Atividades Micro'!$L65,"")</f>
        <v/>
      </c>
      <c r="AS65" s="21" t="str">
        <f>IF(AND('Atividades Micro'!$B65=AS$2,'Atividades Micro'!$K65&lt;&gt;""),'Atividades Micro'!$K65,"")</f>
        <v/>
      </c>
      <c r="AT65" s="21" t="str">
        <f>IF(AND('Atividades Micro'!$B65=AT$2,'Atividades Micro'!$L65&lt;&gt;""),'Atividades Micro'!$L65,"")</f>
        <v/>
      </c>
      <c r="AU65" s="21" t="str">
        <f>IF(AND('Atividades Micro'!$A65=AU$2,'Atividades Micro'!$K65&lt;&gt;""),'Atividades Micro'!$K65,"")</f>
        <v/>
      </c>
      <c r="AV65" s="21" t="str">
        <f>IF(AND('Atividades Micro'!$A65=AV$2,'Atividades Micro'!$L65&lt;&gt;""),'Atividades Micro'!$L65,"")</f>
        <v/>
      </c>
      <c r="AW65" s="21" t="str">
        <f>IF(AND('Atividades Micro'!$B65=AW$2,'Atividades Micro'!$K65&lt;&gt;""),'Atividades Micro'!$K65,"")</f>
        <v/>
      </c>
      <c r="AX65" s="21" t="str">
        <f>IF(AND('Atividades Micro'!$B65=AX$2,'Atividades Micro'!$L65&lt;&gt;""),'Atividades Micro'!$L65,"")</f>
        <v/>
      </c>
      <c r="AY65" s="21" t="str">
        <f>IF(AND('Atividades Micro'!$A65=AY$2,'Atividades Micro'!$K65&lt;&gt;""),'Atividades Micro'!$K65,"")</f>
        <v/>
      </c>
      <c r="AZ65" s="21" t="str">
        <f>IF(AND('Atividades Micro'!$A65=AZ$2,'Atividades Micro'!$L65&lt;&gt;""),'Atividades Micro'!$L65,"")</f>
        <v/>
      </c>
      <c r="BA65" s="21" t="str">
        <f>IF(AND('Atividades Micro'!$B65=BA$2,'Atividades Micro'!$K65&lt;&gt;""),'Atividades Micro'!$K65,"")</f>
        <v/>
      </c>
      <c r="BB65" s="21" t="str">
        <f>IF(AND('Atividades Micro'!$B65=BB$2,'Atividades Micro'!$L65&lt;&gt;""),'Atividades Micro'!$L65,"")</f>
        <v/>
      </c>
      <c r="BC65" s="21" t="str">
        <f>IF(AND('Atividades Micro'!$B65=BC$2,'Atividades Micro'!$G65="Macro",'Atividades Micro'!$K65&lt;&gt;""),'Atividades Micro'!$K65,"")</f>
        <v/>
      </c>
      <c r="BD65" s="21" t="str">
        <f>IF(AND('Atividades Micro'!$B65=BD$2,'Atividades Micro'!$G65="Macro",'Atividades Micro'!$K65&lt;&gt;""),'Atividades Micro'!$K65,"")</f>
        <v/>
      </c>
      <c r="BE65" s="21" t="str">
        <f>IF(AND('Atividades Micro'!$B65=BE$2,'Atividades Micro'!$G65="Macro",'Atividades Micro'!$K65&lt;&gt;""),'Atividades Micro'!$K65,"")</f>
        <v/>
      </c>
      <c r="BF65" s="21" t="str">
        <f>IF(AND('Atividades Micro'!$B65=BF$2,'Atividades Micro'!$G65="Macro",'Atividades Micro'!$K65&lt;&gt;""),'Atividades Micro'!$K65,"")</f>
        <v/>
      </c>
      <c r="BG65" s="21" t="str">
        <f>IF(AND('Atividades Micro'!$B65=BG$2,'Atividades Micro'!$G65="Macro",'Atividades Micro'!$K65&lt;&gt;""),'Atividades Micro'!$K65,"")</f>
        <v/>
      </c>
      <c r="BH65" s="21" t="str">
        <f>IF(AND('Atividades Micro'!$B65=BH$2,'Atividades Micro'!$G65="Macro",'Atividades Micro'!$K65&lt;&gt;""),'Atividades Micro'!$K65,"")</f>
        <v/>
      </c>
      <c r="BI65" s="21" t="str">
        <f>IF(AND('Atividades Micro'!$B65=BI$2,'Atividades Micro'!$G65="Macro",'Atividades Micro'!$K65&lt;&gt;""),'Atividades Micro'!$K65,"")</f>
        <v/>
      </c>
      <c r="BJ65" s="21" t="str">
        <f>IF(AND('Atividades Micro'!$B65=BJ$2,'Atividades Micro'!$G65="Macro",'Atividades Micro'!$K65&lt;&gt;""),'Atividades Micro'!$K65,"")</f>
        <v/>
      </c>
      <c r="BK65" s="21" t="str">
        <f>IF(AND('Atividades Micro'!$B65=BK$2,'Atividades Micro'!$G65="Macro",'Atividades Micro'!$K65&lt;&gt;""),'Atividades Micro'!$K65,"")</f>
        <v/>
      </c>
      <c r="BL65" s="21" t="str">
        <f>IF(AND('Atividades Micro'!$B65=BL$2,'Atividades Micro'!$G65="Macro",'Atividades Micro'!$K65&lt;&gt;""),'Atividades Micro'!$K65,"")</f>
        <v/>
      </c>
      <c r="BM65" s="21" t="str">
        <f>IF(AND('Atividades Micro'!$B65=BM$2,'Atividades Micro'!$G65="Macro",'Atividades Micro'!$K65&lt;&gt;""),'Atividades Micro'!$K65,"")</f>
        <v/>
      </c>
      <c r="BN65" s="21" t="str">
        <f>IF(AND('Atividades Micro'!$B65=BN$2,'Atividades Micro'!$G65="Macro",'Atividades Micro'!$K65&lt;&gt;""),'Atividades Micro'!$K65,"")</f>
        <v/>
      </c>
      <c r="BO65" s="21" t="str">
        <f>IF(AND('Atividades Micro'!$B65=BO$2,'Atividades Micro'!$G65="Macro",'Atividades Micro'!$K65&lt;&gt;""),'Atividades Micro'!$K65,"")</f>
        <v/>
      </c>
      <c r="BP65" s="21" t="str">
        <f>IF(AND('Atividades Micro'!$B65=BP$2,'Atividades Micro'!$G65="Macro",'Atividades Micro'!$K65&lt;&gt;""),'Atividades Micro'!$K65,"")</f>
        <v/>
      </c>
      <c r="BQ65" s="21" t="str">
        <f>IF(AND('Atividades Micro'!$B65=BQ$2,'Atividades Micro'!$G65="Macro",'Atividades Micro'!$K65&lt;&gt;""),'Atividades Micro'!$K65,"")</f>
        <v/>
      </c>
      <c r="BR65" s="21" t="str">
        <f>IF(AND('Atividades Micro'!$B65=BR$2,'Atividades Micro'!$G65="Macro",'Atividades Micro'!$K65&lt;&gt;""),'Atividades Micro'!$K65,"")</f>
        <v/>
      </c>
      <c r="BS65" s="21" t="str">
        <f>IF(AND('Atividades Micro'!$B65=BS$2,'Atividades Micro'!$G65="Macro",'Atividades Micro'!$K65&lt;&gt;""),'Atividades Micro'!$K65,"")</f>
        <v/>
      </c>
      <c r="BT65" s="21" t="str">
        <f>IF(AND('Atividades Micro'!$B65=BT$2,'Atividades Micro'!$G65="Macro",'Atividades Micro'!$K65&lt;&gt;""),'Atividades Micro'!$K65,"")</f>
        <v/>
      </c>
      <c r="BU65" s="21" t="str">
        <f>IF(AND('Atividades Micro'!$B65=BU$2,'Atividades Micro'!$G65="Macro",'Atividades Micro'!$K65&lt;&gt;""),'Atividades Micro'!$K65,"")</f>
        <v/>
      </c>
      <c r="BV65" s="21" t="str">
        <f>IF(AND('Atividades Micro'!$B65=BV$2,'Atividades Micro'!$G65="Macro",'Atividades Micro'!$K65&lt;&gt;""),'Atividades Micro'!$K65,"")</f>
        <v/>
      </c>
      <c r="BW65" s="21" t="str">
        <f>IF(AND('Atividades Micro'!$B65=BW$2,'Atividades Micro'!$G65="Macro",'Atividades Micro'!$K65&lt;&gt;""),'Atividades Micro'!$K65,"")</f>
        <v/>
      </c>
      <c r="BX65" s="21" t="str">
        <f>IF(AND('Atividades Micro'!$B65=BX$2,'Atividades Micro'!$G65="Macro",'Atividades Micro'!$K65&lt;&gt;""),'Atividades Micro'!$K65,"")</f>
        <v/>
      </c>
      <c r="BY65" s="21" t="str">
        <f>IF(AND('Atividades Micro'!$B65=BY$2,'Atividades Micro'!$G65="Macro",'Atividades Micro'!$K65&lt;&gt;""),'Atividades Micro'!$K65,"")</f>
        <v/>
      </c>
      <c r="BZ65" s="21" t="str">
        <f>IF(AND('Atividades Micro'!$B65=BZ$2,'Atividades Micro'!$G65="Macro",'Atividades Micro'!$K65&lt;&gt;""),'Atividades Micro'!$K65,"")</f>
        <v/>
      </c>
      <c r="CA65" s="21" t="str">
        <f>IF(AND('Atividades Micro'!$B65=CA$2,'Atividades Micro'!$G65="Macro",'Atividades Micro'!$K65&lt;&gt;""),'Atividades Micro'!$K65,"")</f>
        <v/>
      </c>
      <c r="CB65" s="21" t="str">
        <f>IF(AND('Atividades Micro'!$B65=CB$2,'Atividades Micro'!$G65="Macro",'Atividades Micro'!$K65&lt;&gt;""),'Atividades Micro'!$K65,"")</f>
        <v/>
      </c>
      <c r="CC65" s="21" t="str">
        <f>IF(AND('Atividades Micro'!$B65=CC$2,'Atividades Micro'!$G65="Macro",'Atividades Micro'!$K65&lt;&gt;""),'Atividades Micro'!$K65,"")</f>
        <v/>
      </c>
      <c r="CD65" s="21" t="str">
        <f>IF(AND('Atividades Micro'!$B65=CD$2,'Atividades Micro'!$G65="Micro",'Atividades Micro'!$K65&lt;&gt;""),'Atividades Micro'!$K65,"")</f>
        <v/>
      </c>
      <c r="CE65" s="21">
        <f>IF(AND('Atividades Micro'!$B65=CE$2,'Atividades Micro'!$G65="Micro",'Atividades Micro'!$K65&lt;&gt;""),'Atividades Micro'!$K65,"")</f>
        <v>46338</v>
      </c>
      <c r="CF65" s="21" t="str">
        <f>IF(AND('Atividades Micro'!$B65=CF$2,'Atividades Micro'!$G65="Micro",'Atividades Micro'!$K65&lt;&gt;""),'Atividades Micro'!$K65,"")</f>
        <v/>
      </c>
      <c r="CG65" s="21" t="str">
        <f>IF(AND('Atividades Micro'!$B65=CG$2,'Atividades Micro'!$G65="Micro",'Atividades Micro'!$K65&lt;&gt;""),'Atividades Micro'!$K65,"")</f>
        <v/>
      </c>
      <c r="CH65" s="21" t="str">
        <f>IF(AND('Atividades Micro'!$B65=CH$2,'Atividades Micro'!$G65="Micro",'Atividades Micro'!$K65&lt;&gt;""),'Atividades Micro'!$K65,"")</f>
        <v/>
      </c>
      <c r="CI65" s="21" t="str">
        <f>IF(AND('Atividades Micro'!$B65=CI$2,'Atividades Micro'!$G65="Micro",'Atividades Micro'!$K65&lt;&gt;""),'Atividades Micro'!$K65,"")</f>
        <v/>
      </c>
      <c r="CJ65" s="21" t="str">
        <f>IF(AND('Atividades Micro'!$B65=CJ$2,'Atividades Micro'!$G65="Micro",'Atividades Micro'!$K65&lt;&gt;""),'Atividades Micro'!$K65,"")</f>
        <v/>
      </c>
      <c r="CK65" s="21" t="str">
        <f>IF(AND('Atividades Micro'!$B65=CK$2,'Atividades Micro'!$G65="Micro",'Atividades Micro'!$K65&lt;&gt;""),'Atividades Micro'!$K65,"")</f>
        <v/>
      </c>
      <c r="CL65" s="21" t="str">
        <f>IF(AND('Atividades Micro'!$B65=CL$2,'Atividades Micro'!$G65="Micro",'Atividades Micro'!$K65&lt;&gt;""),'Atividades Micro'!$K65,"")</f>
        <v/>
      </c>
      <c r="CM65" s="21" t="str">
        <f>IF(AND('Atividades Micro'!$B65=CM$2,'Atividades Micro'!$G65="Micro",'Atividades Micro'!$K65&lt;&gt;""),'Atividades Micro'!$K65,"")</f>
        <v/>
      </c>
      <c r="CN65" s="21" t="str">
        <f>IF(AND('Atividades Micro'!$B65=CN$2,'Atividades Micro'!$G65="Micro",'Atividades Micro'!$K65&lt;&gt;""),'Atividades Micro'!$K65,"")</f>
        <v/>
      </c>
      <c r="CO65" s="21" t="str">
        <f>IF(AND('Atividades Micro'!$B65=CO$2,'Atividades Micro'!$G65="Micro",'Atividades Micro'!$K65&lt;&gt;""),'Atividades Micro'!$K65,"")</f>
        <v/>
      </c>
    </row>
    <row r="66" spans="1:93">
      <c r="A66" s="21" t="str">
        <f>IF(AND('Atividades Micro'!$A66=A$2,'Atividades Micro'!$K66&lt;&gt;""),'Atividades Micro'!$K66,"")</f>
        <v/>
      </c>
      <c r="B66" s="21" t="str">
        <f>IF(AND('Atividades Micro'!$A66=B$2,'Atividades Micro'!$L66&lt;&gt;""),'Atividades Micro'!$L66,"")</f>
        <v/>
      </c>
      <c r="C66" s="21" t="str">
        <f>IF(AND('Atividades Micro'!$A66=C$2,'Atividades Micro'!$K66&lt;&gt;""),'Atividades Micro'!$K66,"")</f>
        <v/>
      </c>
      <c r="D66" s="21" t="str">
        <f>IF(AND('Atividades Micro'!$A66=D$2,'Atividades Micro'!$L66&lt;&gt;""),'Atividades Micro'!$L66,"")</f>
        <v/>
      </c>
      <c r="E66" s="21" t="str">
        <f>IF(AND('Atividades Micro'!$A66=E$2,'Atividades Micro'!$K66&lt;&gt;""),'Atividades Micro'!$K66,"")</f>
        <v/>
      </c>
      <c r="F66" s="21" t="str">
        <f>IF(AND('Atividades Micro'!$A66=F$2,'Atividades Micro'!$L66&lt;&gt;""),'Atividades Micro'!$L66,"")</f>
        <v/>
      </c>
      <c r="G66" s="21" t="str">
        <f>IF(AND('Atividades Micro'!$A66=G$2,'Atividades Micro'!$K66&lt;&gt;""),'Atividades Micro'!$K66,"")</f>
        <v/>
      </c>
      <c r="H66" s="21" t="str">
        <f>IF(AND('Atividades Micro'!$A66=H$2,'Atividades Micro'!$L66&lt;&gt;""),'Atividades Micro'!$L66,"")</f>
        <v/>
      </c>
      <c r="I66" s="21">
        <f>IF(AND('Atividades Micro'!$A66=I$2,'Atividades Micro'!$K66&lt;&gt;""),'Atividades Micro'!$K66,"")</f>
        <v>46342</v>
      </c>
      <c r="J66" s="21">
        <f>IF(AND('Atividades Micro'!$A66=J$2,'Atividades Micro'!$L66&lt;&gt;""),'Atividades Micro'!$L66,"")</f>
        <v>46252</v>
      </c>
      <c r="K66" s="21" t="str">
        <f>IF(AND('Atividades Micro'!$B66=K$2,'Atividades Micro'!$K66&lt;&gt;""),'Atividades Micro'!$K66,"")</f>
        <v/>
      </c>
      <c r="L66" s="21" t="str">
        <f>IF(AND('Atividades Micro'!$B66=L$2,'Atividades Micro'!$L66&lt;&gt;""),'Atividades Micro'!$L66,"")</f>
        <v/>
      </c>
      <c r="M66" s="21">
        <f>IF(AND('Atividades Micro'!$B66=M$2,'Atividades Micro'!$K66&lt;&gt;""),'Atividades Micro'!$K66,"")</f>
        <v>46342</v>
      </c>
      <c r="N66" s="21">
        <f>IF(AND('Atividades Micro'!$B66=N$2,'Atividades Micro'!$L66&lt;&gt;""),'Atividades Micro'!$L66,"")</f>
        <v>46252</v>
      </c>
      <c r="O66" s="21" t="str">
        <f>IF(AND('Atividades Micro'!$A66=O$2,'Atividades Micro'!$K66&lt;&gt;""),'Atividades Micro'!$K66,"")</f>
        <v/>
      </c>
      <c r="P66" s="21" t="str">
        <f>IF(AND('Atividades Micro'!$A66=P$2,'Atividades Micro'!$L66&lt;&gt;""),'Atividades Micro'!$L66,"")</f>
        <v/>
      </c>
      <c r="Q66" s="21" t="str">
        <f>IF(AND('Atividades Micro'!$B66=Q$2,'Atividades Micro'!$K66&lt;&gt;""),'Atividades Micro'!$K66,"")</f>
        <v/>
      </c>
      <c r="R66" s="21" t="str">
        <f>IF(AND('Atividades Micro'!$B66=R$2,'Atividades Micro'!$L66&lt;&gt;""),'Atividades Micro'!$L66,"")</f>
        <v/>
      </c>
      <c r="S66" s="21" t="str">
        <f>IF(AND('Atividades Micro'!$A66=S$2,'Atividades Micro'!$K66&lt;&gt;""),'Atividades Micro'!$K66,"")</f>
        <v/>
      </c>
      <c r="T66" s="21" t="str">
        <f>IF(AND('Atividades Micro'!$A66=T$2,'Atividades Micro'!$L66&lt;&gt;""),'Atividades Micro'!$L66,"")</f>
        <v/>
      </c>
      <c r="U66" s="21" t="str">
        <f>IF(AND('Atividades Micro'!$B66=U$2,'Atividades Micro'!$K66&lt;&gt;""),'Atividades Micro'!$K66,"")</f>
        <v/>
      </c>
      <c r="V66" s="21" t="str">
        <f>IF(AND('Atividades Micro'!$B66=V$2,'Atividades Micro'!$L66&lt;&gt;""),'Atividades Micro'!$L66,"")</f>
        <v/>
      </c>
      <c r="W66" s="21" t="str">
        <f>IF(AND('Atividades Micro'!$B66=W$2,'Atividades Micro'!$K66&lt;&gt;""),'Atividades Micro'!$K66,"")</f>
        <v/>
      </c>
      <c r="X66" s="21" t="str">
        <f>IF(AND('Atividades Micro'!$B66=X$2,'Atividades Micro'!$L66&lt;&gt;""),'Atividades Micro'!$L66,"")</f>
        <v/>
      </c>
      <c r="Y66" s="21" t="str">
        <f>IF(AND('Atividades Micro'!$A66=Y$2,'Atividades Micro'!$K66&lt;&gt;""),'Atividades Micro'!$K66,"")</f>
        <v/>
      </c>
      <c r="Z66" s="21" t="str">
        <f>IF(AND('Atividades Micro'!$A66=Z$2,'Atividades Micro'!$L66&lt;&gt;""),'Atividades Micro'!$L66,"")</f>
        <v/>
      </c>
      <c r="AA66" s="21" t="str">
        <f>IF(AND('Atividades Micro'!$B66=AA$2,'Atividades Micro'!$K66&lt;&gt;""),'Atividades Micro'!$K66,"")</f>
        <v/>
      </c>
      <c r="AB66" s="21" t="str">
        <f>IF(AND('Atividades Micro'!$B66=AB$2,'Atividades Micro'!$L66&lt;&gt;""),'Atividades Micro'!$L66,"")</f>
        <v/>
      </c>
      <c r="AC66" s="21" t="str">
        <f>IF(AND('Atividades Micro'!$B66=AC$2,'Atividades Micro'!$K66&lt;&gt;""),'Atividades Micro'!$K66,"")</f>
        <v/>
      </c>
      <c r="AD66" s="21" t="str">
        <f>IF(AND('Atividades Micro'!$B66=AD$2,'Atividades Micro'!$L66&lt;&gt;""),'Atividades Micro'!$L66,"")</f>
        <v/>
      </c>
      <c r="AE66" s="21" t="str">
        <f>IF(AND('Atividades Micro'!$A66=AE$2,'Atividades Micro'!$K66&lt;&gt;""),'Atividades Micro'!$K66,"")</f>
        <v/>
      </c>
      <c r="AF66" s="21" t="str">
        <f>IF(AND('Atividades Micro'!$A66=AF$2,'Atividades Micro'!$L66&lt;&gt;""),'Atividades Micro'!$L66,"")</f>
        <v/>
      </c>
      <c r="AG66" s="21" t="str">
        <f>IF(AND('Atividades Micro'!$B66=AG$2,'Atividades Micro'!$K66&lt;&gt;""),'Atividades Micro'!$K66,"")</f>
        <v/>
      </c>
      <c r="AH66" s="21" t="str">
        <f>IF(AND('Atividades Micro'!$B66=AH$2,'Atividades Micro'!$L66&lt;&gt;""),'Atividades Micro'!$L66,"")</f>
        <v/>
      </c>
      <c r="AI66" s="21" t="str">
        <f>IF(AND('Atividades Micro'!$B66=AI$2,'Atividades Micro'!$K66&lt;&gt;""),'Atividades Micro'!$K66,"")</f>
        <v/>
      </c>
      <c r="AJ66" s="21" t="str">
        <f>IF(AND('Atividades Micro'!$B66=AJ$2,'Atividades Micro'!$L66&lt;&gt;""),'Atividades Micro'!$L66,"")</f>
        <v/>
      </c>
      <c r="AK66" s="21" t="str">
        <f>IF(AND('Atividades Micro'!$A66=AK$2,'Atividades Micro'!$K66&lt;&gt;""),'Atividades Micro'!$K66,"")</f>
        <v/>
      </c>
      <c r="AL66" s="21" t="str">
        <f>IF(AND('Atividades Micro'!$A66=AL$2,'Atividades Micro'!$L66&lt;&gt;""),'Atividades Micro'!$L66,"")</f>
        <v/>
      </c>
      <c r="AM66" s="21" t="str">
        <f>IF(AND('Atividades Micro'!$B66=AM$2,'Atividades Micro'!$K66&lt;&gt;""),'Atividades Micro'!$K66,"")</f>
        <v/>
      </c>
      <c r="AN66" s="21" t="str">
        <f>IF(AND('Atividades Micro'!$B66=AN$2,'Atividades Micro'!$L66&lt;&gt;""),'Atividades Micro'!$L66,"")</f>
        <v/>
      </c>
      <c r="AO66" s="21" t="str">
        <f>IF(AND('Atividades Micro'!$B66=AO$2,'Atividades Micro'!$K66&lt;&gt;""),'Atividades Micro'!$K66,"")</f>
        <v/>
      </c>
      <c r="AP66" s="21" t="str">
        <f>IF(AND('Atividades Micro'!$B66=AP$2,'Atividades Micro'!$L66&lt;&gt;""),'Atividades Micro'!$L66,"")</f>
        <v/>
      </c>
      <c r="AQ66" s="21" t="str">
        <f>IF(AND('Atividades Micro'!$A66=AQ$2,'Atividades Micro'!$K66&lt;&gt;""),'Atividades Micro'!$K66,"")</f>
        <v/>
      </c>
      <c r="AR66" s="21" t="str">
        <f>IF(AND('Atividades Micro'!$A66=AR$2,'Atividades Micro'!$L66&lt;&gt;""),'Atividades Micro'!$L66,"")</f>
        <v/>
      </c>
      <c r="AS66" s="21" t="str">
        <f>IF(AND('Atividades Micro'!$B66=AS$2,'Atividades Micro'!$K66&lt;&gt;""),'Atividades Micro'!$K66,"")</f>
        <v/>
      </c>
      <c r="AT66" s="21" t="str">
        <f>IF(AND('Atividades Micro'!$B66=AT$2,'Atividades Micro'!$L66&lt;&gt;""),'Atividades Micro'!$L66,"")</f>
        <v/>
      </c>
      <c r="AU66" s="21" t="str">
        <f>IF(AND('Atividades Micro'!$A66=AU$2,'Atividades Micro'!$K66&lt;&gt;""),'Atividades Micro'!$K66,"")</f>
        <v/>
      </c>
      <c r="AV66" s="21" t="str">
        <f>IF(AND('Atividades Micro'!$A66=AV$2,'Atividades Micro'!$L66&lt;&gt;""),'Atividades Micro'!$L66,"")</f>
        <v/>
      </c>
      <c r="AW66" s="21" t="str">
        <f>IF(AND('Atividades Micro'!$B66=AW$2,'Atividades Micro'!$K66&lt;&gt;""),'Atividades Micro'!$K66,"")</f>
        <v/>
      </c>
      <c r="AX66" s="21" t="str">
        <f>IF(AND('Atividades Micro'!$B66=AX$2,'Atividades Micro'!$L66&lt;&gt;""),'Atividades Micro'!$L66,"")</f>
        <v/>
      </c>
      <c r="AY66" s="21" t="str">
        <f>IF(AND('Atividades Micro'!$A66=AY$2,'Atividades Micro'!$K66&lt;&gt;""),'Atividades Micro'!$K66,"")</f>
        <v/>
      </c>
      <c r="AZ66" s="21" t="str">
        <f>IF(AND('Atividades Micro'!$A66=AZ$2,'Atividades Micro'!$L66&lt;&gt;""),'Atividades Micro'!$L66,"")</f>
        <v/>
      </c>
      <c r="BA66" s="21" t="str">
        <f>IF(AND('Atividades Micro'!$B66=BA$2,'Atividades Micro'!$K66&lt;&gt;""),'Atividades Micro'!$K66,"")</f>
        <v/>
      </c>
      <c r="BB66" s="21" t="str">
        <f>IF(AND('Atividades Micro'!$B66=BB$2,'Atividades Micro'!$L66&lt;&gt;""),'Atividades Micro'!$L66,"")</f>
        <v/>
      </c>
      <c r="BC66" s="21" t="str">
        <f>IF(AND('Atividades Micro'!$B66=BC$2,'Atividades Micro'!$G66="Macro",'Atividades Micro'!$K66&lt;&gt;""),'Atividades Micro'!$K66,"")</f>
        <v/>
      </c>
      <c r="BD66" s="21" t="str">
        <f>IF(AND('Atividades Micro'!$B66=BD$2,'Atividades Micro'!$G66="Macro",'Atividades Micro'!$K66&lt;&gt;""),'Atividades Micro'!$K66,"")</f>
        <v/>
      </c>
      <c r="BE66" s="21" t="str">
        <f>IF(AND('Atividades Micro'!$B66=BE$2,'Atividades Micro'!$G66="Macro",'Atividades Micro'!$K66&lt;&gt;""),'Atividades Micro'!$K66,"")</f>
        <v/>
      </c>
      <c r="BF66" s="21" t="str">
        <f>IF(AND('Atividades Micro'!$B66=BF$2,'Atividades Micro'!$G66="Macro",'Atividades Micro'!$K66&lt;&gt;""),'Atividades Micro'!$K66,"")</f>
        <v/>
      </c>
      <c r="BG66" s="21" t="str">
        <f>IF(AND('Atividades Micro'!$B66=BG$2,'Atividades Micro'!$G66="Macro",'Atividades Micro'!$K66&lt;&gt;""),'Atividades Micro'!$K66,"")</f>
        <v/>
      </c>
      <c r="BH66" s="21" t="str">
        <f>IF(AND('Atividades Micro'!$B66=BH$2,'Atividades Micro'!$G66="Macro",'Atividades Micro'!$K66&lt;&gt;""),'Atividades Micro'!$K66,"")</f>
        <v/>
      </c>
      <c r="BI66" s="21" t="str">
        <f>IF(AND('Atividades Micro'!$B66=BI$2,'Atividades Micro'!$G66="Macro",'Atividades Micro'!$K66&lt;&gt;""),'Atividades Micro'!$K66,"")</f>
        <v/>
      </c>
      <c r="BJ66" s="21" t="str">
        <f>IF(AND('Atividades Micro'!$B66=BJ$2,'Atividades Micro'!$G66="Macro",'Atividades Micro'!$K66&lt;&gt;""),'Atividades Micro'!$K66,"")</f>
        <v/>
      </c>
      <c r="BK66" s="21" t="str">
        <f>IF(AND('Atividades Micro'!$B66=BK$2,'Atividades Micro'!$G66="Macro",'Atividades Micro'!$K66&lt;&gt;""),'Atividades Micro'!$K66,"")</f>
        <v/>
      </c>
      <c r="BL66" s="21" t="str">
        <f>IF(AND('Atividades Micro'!$B66=BL$2,'Atividades Micro'!$G66="Macro",'Atividades Micro'!$K66&lt;&gt;""),'Atividades Micro'!$K66,"")</f>
        <v/>
      </c>
      <c r="BM66" s="21" t="str">
        <f>IF(AND('Atividades Micro'!$B66=BM$2,'Atividades Micro'!$G66="Macro",'Atividades Micro'!$K66&lt;&gt;""),'Atividades Micro'!$K66,"")</f>
        <v/>
      </c>
      <c r="BN66" s="21" t="str">
        <f>IF(AND('Atividades Micro'!$B66=BN$2,'Atividades Micro'!$G66="Macro",'Atividades Micro'!$K66&lt;&gt;""),'Atividades Micro'!$K66,"")</f>
        <v/>
      </c>
      <c r="BO66" s="21" t="str">
        <f>IF(AND('Atividades Micro'!$B66=BO$2,'Atividades Micro'!$G66="Macro",'Atividades Micro'!$K66&lt;&gt;""),'Atividades Micro'!$K66,"")</f>
        <v/>
      </c>
      <c r="BP66" s="21" t="str">
        <f>IF(AND('Atividades Micro'!$B66=BP$2,'Atividades Micro'!$G66="Macro",'Atividades Micro'!$K66&lt;&gt;""),'Atividades Micro'!$K66,"")</f>
        <v/>
      </c>
      <c r="BQ66" s="21" t="str">
        <f>IF(AND('Atividades Micro'!$B66=BQ$2,'Atividades Micro'!$G66="Macro",'Atividades Micro'!$K66&lt;&gt;""),'Atividades Micro'!$K66,"")</f>
        <v/>
      </c>
      <c r="BR66" s="21" t="str">
        <f>IF(AND('Atividades Micro'!$B66=BR$2,'Atividades Micro'!$G66="Macro",'Atividades Micro'!$K66&lt;&gt;""),'Atividades Micro'!$K66,"")</f>
        <v/>
      </c>
      <c r="BS66" s="21" t="str">
        <f>IF(AND('Atividades Micro'!$B66=BS$2,'Atividades Micro'!$G66="Macro",'Atividades Micro'!$K66&lt;&gt;""),'Atividades Micro'!$K66,"")</f>
        <v/>
      </c>
      <c r="BT66" s="21" t="str">
        <f>IF(AND('Atividades Micro'!$B66=BT$2,'Atividades Micro'!$G66="Macro",'Atividades Micro'!$K66&lt;&gt;""),'Atividades Micro'!$K66,"")</f>
        <v/>
      </c>
      <c r="BU66" s="21" t="str">
        <f>IF(AND('Atividades Micro'!$B66=BU$2,'Atividades Micro'!$G66="Macro",'Atividades Micro'!$K66&lt;&gt;""),'Atividades Micro'!$K66,"")</f>
        <v/>
      </c>
      <c r="BV66" s="21" t="str">
        <f>IF(AND('Atividades Micro'!$B66=BV$2,'Atividades Micro'!$G66="Macro",'Atividades Micro'!$K66&lt;&gt;""),'Atividades Micro'!$K66,"")</f>
        <v/>
      </c>
      <c r="BW66" s="21" t="str">
        <f>IF(AND('Atividades Micro'!$B66=BW$2,'Atividades Micro'!$G66="Macro",'Atividades Micro'!$K66&lt;&gt;""),'Atividades Micro'!$K66,"")</f>
        <v/>
      </c>
      <c r="BX66" s="21" t="str">
        <f>IF(AND('Atividades Micro'!$B66=BX$2,'Atividades Micro'!$G66="Macro",'Atividades Micro'!$K66&lt;&gt;""),'Atividades Micro'!$K66,"")</f>
        <v/>
      </c>
      <c r="BY66" s="21" t="str">
        <f>IF(AND('Atividades Micro'!$B66=BY$2,'Atividades Micro'!$G66="Macro",'Atividades Micro'!$K66&lt;&gt;""),'Atividades Micro'!$K66,"")</f>
        <v/>
      </c>
      <c r="BZ66" s="21" t="str">
        <f>IF(AND('Atividades Micro'!$B66=BZ$2,'Atividades Micro'!$G66="Macro",'Atividades Micro'!$K66&lt;&gt;""),'Atividades Micro'!$K66,"")</f>
        <v/>
      </c>
      <c r="CA66" s="21" t="str">
        <f>IF(AND('Atividades Micro'!$B66=CA$2,'Atividades Micro'!$G66="Macro",'Atividades Micro'!$K66&lt;&gt;""),'Atividades Micro'!$K66,"")</f>
        <v/>
      </c>
      <c r="CB66" s="21" t="str">
        <f>IF(AND('Atividades Micro'!$B66=CB$2,'Atividades Micro'!$G66="Macro",'Atividades Micro'!$K66&lt;&gt;""),'Atividades Micro'!$K66,"")</f>
        <v/>
      </c>
      <c r="CC66" s="21" t="str">
        <f>IF(AND('Atividades Micro'!$B66=CC$2,'Atividades Micro'!$G66="Macro",'Atividades Micro'!$K66&lt;&gt;""),'Atividades Micro'!$K66,"")</f>
        <v/>
      </c>
      <c r="CD66" s="21" t="str">
        <f>IF(AND('Atividades Micro'!$B66=CD$2,'Atividades Micro'!$G66="Micro",'Atividades Micro'!$K66&lt;&gt;""),'Atividades Micro'!$K66,"")</f>
        <v/>
      </c>
      <c r="CE66" s="21">
        <f>IF(AND('Atividades Micro'!$B66=CE$2,'Atividades Micro'!$G66="Micro",'Atividades Micro'!$K66&lt;&gt;""),'Atividades Micro'!$K66,"")</f>
        <v>46342</v>
      </c>
      <c r="CF66" s="21" t="str">
        <f>IF(AND('Atividades Micro'!$B66=CF$2,'Atividades Micro'!$G66="Micro",'Atividades Micro'!$K66&lt;&gt;""),'Atividades Micro'!$K66,"")</f>
        <v/>
      </c>
      <c r="CG66" s="21" t="str">
        <f>IF(AND('Atividades Micro'!$B66=CG$2,'Atividades Micro'!$G66="Micro",'Atividades Micro'!$K66&lt;&gt;""),'Atividades Micro'!$K66,"")</f>
        <v/>
      </c>
      <c r="CH66" s="21" t="str">
        <f>IF(AND('Atividades Micro'!$B66=CH$2,'Atividades Micro'!$G66="Micro",'Atividades Micro'!$K66&lt;&gt;""),'Atividades Micro'!$K66,"")</f>
        <v/>
      </c>
      <c r="CI66" s="21" t="str">
        <f>IF(AND('Atividades Micro'!$B66=CI$2,'Atividades Micro'!$G66="Micro",'Atividades Micro'!$K66&lt;&gt;""),'Atividades Micro'!$K66,"")</f>
        <v/>
      </c>
      <c r="CJ66" s="21" t="str">
        <f>IF(AND('Atividades Micro'!$B66=CJ$2,'Atividades Micro'!$G66="Micro",'Atividades Micro'!$K66&lt;&gt;""),'Atividades Micro'!$K66,"")</f>
        <v/>
      </c>
      <c r="CK66" s="21" t="str">
        <f>IF(AND('Atividades Micro'!$B66=CK$2,'Atividades Micro'!$G66="Micro",'Atividades Micro'!$K66&lt;&gt;""),'Atividades Micro'!$K66,"")</f>
        <v/>
      </c>
      <c r="CL66" s="21" t="str">
        <f>IF(AND('Atividades Micro'!$B66=CL$2,'Atividades Micro'!$G66="Micro",'Atividades Micro'!$K66&lt;&gt;""),'Atividades Micro'!$K66,"")</f>
        <v/>
      </c>
      <c r="CM66" s="21" t="str">
        <f>IF(AND('Atividades Micro'!$B66=CM$2,'Atividades Micro'!$G66="Micro",'Atividades Micro'!$K66&lt;&gt;""),'Atividades Micro'!$K66,"")</f>
        <v/>
      </c>
      <c r="CN66" s="21" t="str">
        <f>IF(AND('Atividades Micro'!$B66=CN$2,'Atividades Micro'!$G66="Micro",'Atividades Micro'!$K66&lt;&gt;""),'Atividades Micro'!$K66,"")</f>
        <v/>
      </c>
      <c r="CO66" s="21" t="str">
        <f>IF(AND('Atividades Micro'!$B66=CO$2,'Atividades Micro'!$G66="Micro",'Atividades Micro'!$K66&lt;&gt;""),'Atividades Micro'!$K66,"")</f>
        <v/>
      </c>
    </row>
    <row r="67" spans="1:93">
      <c r="A67" s="21" t="str">
        <f>IF(AND('Atividades Micro'!$A67=A$2,'Atividades Micro'!$K67&lt;&gt;""),'Atividades Micro'!$K67,"")</f>
        <v/>
      </c>
      <c r="B67" s="21" t="str">
        <f>IF(AND('Atividades Micro'!$A67=B$2,'Atividades Micro'!$L67&lt;&gt;""),'Atividades Micro'!$L67,"")</f>
        <v/>
      </c>
      <c r="C67" s="21" t="str">
        <f>IF(AND('Atividades Micro'!$A67=C$2,'Atividades Micro'!$K67&lt;&gt;""),'Atividades Micro'!$K67,"")</f>
        <v/>
      </c>
      <c r="D67" s="21" t="str">
        <f>IF(AND('Atividades Micro'!$A67=D$2,'Atividades Micro'!$L67&lt;&gt;""),'Atividades Micro'!$L67,"")</f>
        <v/>
      </c>
      <c r="E67" s="21" t="str">
        <f>IF(AND('Atividades Micro'!$A67=E$2,'Atividades Micro'!$K67&lt;&gt;""),'Atividades Micro'!$K67,"")</f>
        <v/>
      </c>
      <c r="F67" s="21" t="str">
        <f>IF(AND('Atividades Micro'!$A67=F$2,'Atividades Micro'!$L67&lt;&gt;""),'Atividades Micro'!$L67,"")</f>
        <v/>
      </c>
      <c r="G67" s="21" t="str">
        <f>IF(AND('Atividades Micro'!$A67=G$2,'Atividades Micro'!$K67&lt;&gt;""),'Atividades Micro'!$K67,"")</f>
        <v/>
      </c>
      <c r="H67" s="21" t="str">
        <f>IF(AND('Atividades Micro'!$A67=H$2,'Atividades Micro'!$L67&lt;&gt;""),'Atividades Micro'!$L67,"")</f>
        <v/>
      </c>
      <c r="I67" s="21">
        <f>IF(AND('Atividades Micro'!$A67=I$2,'Atividades Micro'!$K67&lt;&gt;""),'Atividades Micro'!$K67,"")</f>
        <v>46343</v>
      </c>
      <c r="J67" s="21">
        <f>IF(AND('Atividades Micro'!$A67=J$2,'Atividades Micro'!$L67&lt;&gt;""),'Atividades Micro'!$L67,"")</f>
        <v>46255</v>
      </c>
      <c r="K67" s="21" t="str">
        <f>IF(AND('Atividades Micro'!$B67=K$2,'Atividades Micro'!$K67&lt;&gt;""),'Atividades Micro'!$K67,"")</f>
        <v/>
      </c>
      <c r="L67" s="21" t="str">
        <f>IF(AND('Atividades Micro'!$B67=L$2,'Atividades Micro'!$L67&lt;&gt;""),'Atividades Micro'!$L67,"")</f>
        <v/>
      </c>
      <c r="M67" s="21">
        <f>IF(AND('Atividades Micro'!$B67=M$2,'Atividades Micro'!$K67&lt;&gt;""),'Atividades Micro'!$K67,"")</f>
        <v>46343</v>
      </c>
      <c r="N67" s="21">
        <f>IF(AND('Atividades Micro'!$B67=N$2,'Atividades Micro'!$L67&lt;&gt;""),'Atividades Micro'!$L67,"")</f>
        <v>46255</v>
      </c>
      <c r="O67" s="21" t="str">
        <f>IF(AND('Atividades Micro'!$A67=O$2,'Atividades Micro'!$K67&lt;&gt;""),'Atividades Micro'!$K67,"")</f>
        <v/>
      </c>
      <c r="P67" s="21" t="str">
        <f>IF(AND('Atividades Micro'!$A67=P$2,'Atividades Micro'!$L67&lt;&gt;""),'Atividades Micro'!$L67,"")</f>
        <v/>
      </c>
      <c r="Q67" s="21" t="str">
        <f>IF(AND('Atividades Micro'!$B67=Q$2,'Atividades Micro'!$K67&lt;&gt;""),'Atividades Micro'!$K67,"")</f>
        <v/>
      </c>
      <c r="R67" s="21" t="str">
        <f>IF(AND('Atividades Micro'!$B67=R$2,'Atividades Micro'!$L67&lt;&gt;""),'Atividades Micro'!$L67,"")</f>
        <v/>
      </c>
      <c r="S67" s="21" t="str">
        <f>IF(AND('Atividades Micro'!$A67=S$2,'Atividades Micro'!$K67&lt;&gt;""),'Atividades Micro'!$K67,"")</f>
        <v/>
      </c>
      <c r="T67" s="21" t="str">
        <f>IF(AND('Atividades Micro'!$A67=T$2,'Atividades Micro'!$L67&lt;&gt;""),'Atividades Micro'!$L67,"")</f>
        <v/>
      </c>
      <c r="U67" s="21" t="str">
        <f>IF(AND('Atividades Micro'!$B67=U$2,'Atividades Micro'!$K67&lt;&gt;""),'Atividades Micro'!$K67,"")</f>
        <v/>
      </c>
      <c r="V67" s="21" t="str">
        <f>IF(AND('Atividades Micro'!$B67=V$2,'Atividades Micro'!$L67&lt;&gt;""),'Atividades Micro'!$L67,"")</f>
        <v/>
      </c>
      <c r="W67" s="21" t="str">
        <f>IF(AND('Atividades Micro'!$B67=W$2,'Atividades Micro'!$K67&lt;&gt;""),'Atividades Micro'!$K67,"")</f>
        <v/>
      </c>
      <c r="X67" s="21" t="str">
        <f>IF(AND('Atividades Micro'!$B67=X$2,'Atividades Micro'!$L67&lt;&gt;""),'Atividades Micro'!$L67,"")</f>
        <v/>
      </c>
      <c r="Y67" s="21" t="str">
        <f>IF(AND('Atividades Micro'!$A67=Y$2,'Atividades Micro'!$K67&lt;&gt;""),'Atividades Micro'!$K67,"")</f>
        <v/>
      </c>
      <c r="Z67" s="21" t="str">
        <f>IF(AND('Atividades Micro'!$A67=Z$2,'Atividades Micro'!$L67&lt;&gt;""),'Atividades Micro'!$L67,"")</f>
        <v/>
      </c>
      <c r="AA67" s="21" t="str">
        <f>IF(AND('Atividades Micro'!$B67=AA$2,'Atividades Micro'!$K67&lt;&gt;""),'Atividades Micro'!$K67,"")</f>
        <v/>
      </c>
      <c r="AB67" s="21" t="str">
        <f>IF(AND('Atividades Micro'!$B67=AB$2,'Atividades Micro'!$L67&lt;&gt;""),'Atividades Micro'!$L67,"")</f>
        <v/>
      </c>
      <c r="AC67" s="21" t="str">
        <f>IF(AND('Atividades Micro'!$B67=AC$2,'Atividades Micro'!$K67&lt;&gt;""),'Atividades Micro'!$K67,"")</f>
        <v/>
      </c>
      <c r="AD67" s="21" t="str">
        <f>IF(AND('Atividades Micro'!$B67=AD$2,'Atividades Micro'!$L67&lt;&gt;""),'Atividades Micro'!$L67,"")</f>
        <v/>
      </c>
      <c r="AE67" s="21" t="str">
        <f>IF(AND('Atividades Micro'!$A67=AE$2,'Atividades Micro'!$K67&lt;&gt;""),'Atividades Micro'!$K67,"")</f>
        <v/>
      </c>
      <c r="AF67" s="21" t="str">
        <f>IF(AND('Atividades Micro'!$A67=AF$2,'Atividades Micro'!$L67&lt;&gt;""),'Atividades Micro'!$L67,"")</f>
        <v/>
      </c>
      <c r="AG67" s="21" t="str">
        <f>IF(AND('Atividades Micro'!$B67=AG$2,'Atividades Micro'!$K67&lt;&gt;""),'Atividades Micro'!$K67,"")</f>
        <v/>
      </c>
      <c r="AH67" s="21" t="str">
        <f>IF(AND('Atividades Micro'!$B67=AH$2,'Atividades Micro'!$L67&lt;&gt;""),'Atividades Micro'!$L67,"")</f>
        <v/>
      </c>
      <c r="AI67" s="21" t="str">
        <f>IF(AND('Atividades Micro'!$B67=AI$2,'Atividades Micro'!$K67&lt;&gt;""),'Atividades Micro'!$K67,"")</f>
        <v/>
      </c>
      <c r="AJ67" s="21" t="str">
        <f>IF(AND('Atividades Micro'!$B67=AJ$2,'Atividades Micro'!$L67&lt;&gt;""),'Atividades Micro'!$L67,"")</f>
        <v/>
      </c>
      <c r="AK67" s="21" t="str">
        <f>IF(AND('Atividades Micro'!$A67=AK$2,'Atividades Micro'!$K67&lt;&gt;""),'Atividades Micro'!$K67,"")</f>
        <v/>
      </c>
      <c r="AL67" s="21" t="str">
        <f>IF(AND('Atividades Micro'!$A67=AL$2,'Atividades Micro'!$L67&lt;&gt;""),'Atividades Micro'!$L67,"")</f>
        <v/>
      </c>
      <c r="AM67" s="21" t="str">
        <f>IF(AND('Atividades Micro'!$B67=AM$2,'Atividades Micro'!$K67&lt;&gt;""),'Atividades Micro'!$K67,"")</f>
        <v/>
      </c>
      <c r="AN67" s="21" t="str">
        <f>IF(AND('Atividades Micro'!$B67=AN$2,'Atividades Micro'!$L67&lt;&gt;""),'Atividades Micro'!$L67,"")</f>
        <v/>
      </c>
      <c r="AO67" s="21" t="str">
        <f>IF(AND('Atividades Micro'!$B67=AO$2,'Atividades Micro'!$K67&lt;&gt;""),'Atividades Micro'!$K67,"")</f>
        <v/>
      </c>
      <c r="AP67" s="21" t="str">
        <f>IF(AND('Atividades Micro'!$B67=AP$2,'Atividades Micro'!$L67&lt;&gt;""),'Atividades Micro'!$L67,"")</f>
        <v/>
      </c>
      <c r="AQ67" s="21" t="str">
        <f>IF(AND('Atividades Micro'!$A67=AQ$2,'Atividades Micro'!$K67&lt;&gt;""),'Atividades Micro'!$K67,"")</f>
        <v/>
      </c>
      <c r="AR67" s="21" t="str">
        <f>IF(AND('Atividades Micro'!$A67=AR$2,'Atividades Micro'!$L67&lt;&gt;""),'Atividades Micro'!$L67,"")</f>
        <v/>
      </c>
      <c r="AS67" s="21" t="str">
        <f>IF(AND('Atividades Micro'!$B67=AS$2,'Atividades Micro'!$K67&lt;&gt;""),'Atividades Micro'!$K67,"")</f>
        <v/>
      </c>
      <c r="AT67" s="21" t="str">
        <f>IF(AND('Atividades Micro'!$B67=AT$2,'Atividades Micro'!$L67&lt;&gt;""),'Atividades Micro'!$L67,"")</f>
        <v/>
      </c>
      <c r="AU67" s="21" t="str">
        <f>IF(AND('Atividades Micro'!$A67=AU$2,'Atividades Micro'!$K67&lt;&gt;""),'Atividades Micro'!$K67,"")</f>
        <v/>
      </c>
      <c r="AV67" s="21" t="str">
        <f>IF(AND('Atividades Micro'!$A67=AV$2,'Atividades Micro'!$L67&lt;&gt;""),'Atividades Micro'!$L67,"")</f>
        <v/>
      </c>
      <c r="AW67" s="21" t="str">
        <f>IF(AND('Atividades Micro'!$B67=AW$2,'Atividades Micro'!$K67&lt;&gt;""),'Atividades Micro'!$K67,"")</f>
        <v/>
      </c>
      <c r="AX67" s="21" t="str">
        <f>IF(AND('Atividades Micro'!$B67=AX$2,'Atividades Micro'!$L67&lt;&gt;""),'Atividades Micro'!$L67,"")</f>
        <v/>
      </c>
      <c r="AY67" s="21" t="str">
        <f>IF(AND('Atividades Micro'!$A67=AY$2,'Atividades Micro'!$K67&lt;&gt;""),'Atividades Micro'!$K67,"")</f>
        <v/>
      </c>
      <c r="AZ67" s="21" t="str">
        <f>IF(AND('Atividades Micro'!$A67=AZ$2,'Atividades Micro'!$L67&lt;&gt;""),'Atividades Micro'!$L67,"")</f>
        <v/>
      </c>
      <c r="BA67" s="21" t="str">
        <f>IF(AND('Atividades Micro'!$B67=BA$2,'Atividades Micro'!$K67&lt;&gt;""),'Atividades Micro'!$K67,"")</f>
        <v/>
      </c>
      <c r="BB67" s="21" t="str">
        <f>IF(AND('Atividades Micro'!$B67=BB$2,'Atividades Micro'!$L67&lt;&gt;""),'Atividades Micro'!$L67,"")</f>
        <v/>
      </c>
      <c r="BC67" s="21" t="str">
        <f>IF(AND('Atividades Micro'!$B67=BC$2,'Atividades Micro'!$G67="Macro",'Atividades Micro'!$K67&lt;&gt;""),'Atividades Micro'!$K67,"")</f>
        <v/>
      </c>
      <c r="BD67" s="21" t="str">
        <f>IF(AND('Atividades Micro'!$B67=BD$2,'Atividades Micro'!$G67="Macro",'Atividades Micro'!$K67&lt;&gt;""),'Atividades Micro'!$K67,"")</f>
        <v/>
      </c>
      <c r="BE67" s="21" t="str">
        <f>IF(AND('Atividades Micro'!$B67=BE$2,'Atividades Micro'!$G67="Macro",'Atividades Micro'!$K67&lt;&gt;""),'Atividades Micro'!$K67,"")</f>
        <v/>
      </c>
      <c r="BF67" s="21" t="str">
        <f>IF(AND('Atividades Micro'!$B67=BF$2,'Atividades Micro'!$G67="Macro",'Atividades Micro'!$K67&lt;&gt;""),'Atividades Micro'!$K67,"")</f>
        <v/>
      </c>
      <c r="BG67" s="21" t="str">
        <f>IF(AND('Atividades Micro'!$B67=BG$2,'Atividades Micro'!$G67="Macro",'Atividades Micro'!$K67&lt;&gt;""),'Atividades Micro'!$K67,"")</f>
        <v/>
      </c>
      <c r="BH67" s="21" t="str">
        <f>IF(AND('Atividades Micro'!$B67=BH$2,'Atividades Micro'!$G67="Macro",'Atividades Micro'!$K67&lt;&gt;""),'Atividades Micro'!$K67,"")</f>
        <v/>
      </c>
      <c r="BI67" s="21" t="str">
        <f>IF(AND('Atividades Micro'!$B67=BI$2,'Atividades Micro'!$G67="Macro",'Atividades Micro'!$K67&lt;&gt;""),'Atividades Micro'!$K67,"")</f>
        <v/>
      </c>
      <c r="BJ67" s="21" t="str">
        <f>IF(AND('Atividades Micro'!$B67=BJ$2,'Atividades Micro'!$G67="Macro",'Atividades Micro'!$K67&lt;&gt;""),'Atividades Micro'!$K67,"")</f>
        <v/>
      </c>
      <c r="BK67" s="21" t="str">
        <f>IF(AND('Atividades Micro'!$B67=BK$2,'Atividades Micro'!$G67="Macro",'Atividades Micro'!$K67&lt;&gt;""),'Atividades Micro'!$K67,"")</f>
        <v/>
      </c>
      <c r="BL67" s="21" t="str">
        <f>IF(AND('Atividades Micro'!$B67=BL$2,'Atividades Micro'!$G67="Macro",'Atividades Micro'!$K67&lt;&gt;""),'Atividades Micro'!$K67,"")</f>
        <v/>
      </c>
      <c r="BM67" s="21" t="str">
        <f>IF(AND('Atividades Micro'!$B67=BM$2,'Atividades Micro'!$G67="Macro",'Atividades Micro'!$K67&lt;&gt;""),'Atividades Micro'!$K67,"")</f>
        <v/>
      </c>
      <c r="BN67" s="21" t="str">
        <f>IF(AND('Atividades Micro'!$B67=BN$2,'Atividades Micro'!$G67="Macro",'Atividades Micro'!$K67&lt;&gt;""),'Atividades Micro'!$K67,"")</f>
        <v/>
      </c>
      <c r="BO67" s="21" t="str">
        <f>IF(AND('Atividades Micro'!$B67=BO$2,'Atividades Micro'!$G67="Macro",'Atividades Micro'!$K67&lt;&gt;""),'Atividades Micro'!$K67,"")</f>
        <v/>
      </c>
      <c r="BP67" s="21" t="str">
        <f>IF(AND('Atividades Micro'!$B67=BP$2,'Atividades Micro'!$G67="Macro",'Atividades Micro'!$K67&lt;&gt;""),'Atividades Micro'!$K67,"")</f>
        <v/>
      </c>
      <c r="BQ67" s="21" t="str">
        <f>IF(AND('Atividades Micro'!$B67=BQ$2,'Atividades Micro'!$G67="Macro",'Atividades Micro'!$K67&lt;&gt;""),'Atividades Micro'!$K67,"")</f>
        <v/>
      </c>
      <c r="BR67" s="21" t="str">
        <f>IF(AND('Atividades Micro'!$B67=BR$2,'Atividades Micro'!$G67="Macro",'Atividades Micro'!$K67&lt;&gt;""),'Atividades Micro'!$K67,"")</f>
        <v/>
      </c>
      <c r="BS67" s="21" t="str">
        <f>IF(AND('Atividades Micro'!$B67=BS$2,'Atividades Micro'!$G67="Macro",'Atividades Micro'!$K67&lt;&gt;""),'Atividades Micro'!$K67,"")</f>
        <v/>
      </c>
      <c r="BT67" s="21" t="str">
        <f>IF(AND('Atividades Micro'!$B67=BT$2,'Atividades Micro'!$G67="Macro",'Atividades Micro'!$K67&lt;&gt;""),'Atividades Micro'!$K67,"")</f>
        <v/>
      </c>
      <c r="BU67" s="21" t="str">
        <f>IF(AND('Atividades Micro'!$B67=BU$2,'Atividades Micro'!$G67="Macro",'Atividades Micro'!$K67&lt;&gt;""),'Atividades Micro'!$K67,"")</f>
        <v/>
      </c>
      <c r="BV67" s="21" t="str">
        <f>IF(AND('Atividades Micro'!$B67=BV$2,'Atividades Micro'!$G67="Macro",'Atividades Micro'!$K67&lt;&gt;""),'Atividades Micro'!$K67,"")</f>
        <v/>
      </c>
      <c r="BW67" s="21" t="str">
        <f>IF(AND('Atividades Micro'!$B67=BW$2,'Atividades Micro'!$G67="Macro",'Atividades Micro'!$K67&lt;&gt;""),'Atividades Micro'!$K67,"")</f>
        <v/>
      </c>
      <c r="BX67" s="21" t="str">
        <f>IF(AND('Atividades Micro'!$B67=BX$2,'Atividades Micro'!$G67="Macro",'Atividades Micro'!$K67&lt;&gt;""),'Atividades Micro'!$K67,"")</f>
        <v/>
      </c>
      <c r="BY67" s="21" t="str">
        <f>IF(AND('Atividades Micro'!$B67=BY$2,'Atividades Micro'!$G67="Macro",'Atividades Micro'!$K67&lt;&gt;""),'Atividades Micro'!$K67,"")</f>
        <v/>
      </c>
      <c r="BZ67" s="21" t="str">
        <f>IF(AND('Atividades Micro'!$B67=BZ$2,'Atividades Micro'!$G67="Macro",'Atividades Micro'!$K67&lt;&gt;""),'Atividades Micro'!$K67,"")</f>
        <v/>
      </c>
      <c r="CA67" s="21" t="str">
        <f>IF(AND('Atividades Micro'!$B67=CA$2,'Atividades Micro'!$G67="Macro",'Atividades Micro'!$K67&lt;&gt;""),'Atividades Micro'!$K67,"")</f>
        <v/>
      </c>
      <c r="CB67" s="21" t="str">
        <f>IF(AND('Atividades Micro'!$B67=CB$2,'Atividades Micro'!$G67="Macro",'Atividades Micro'!$K67&lt;&gt;""),'Atividades Micro'!$K67,"")</f>
        <v/>
      </c>
      <c r="CC67" s="21" t="str">
        <f>IF(AND('Atividades Micro'!$B67=CC$2,'Atividades Micro'!$G67="Macro",'Atividades Micro'!$K67&lt;&gt;""),'Atividades Micro'!$K67,"")</f>
        <v/>
      </c>
      <c r="CD67" s="21" t="str">
        <f>IF(AND('Atividades Micro'!$B67=CD$2,'Atividades Micro'!$G67="Micro",'Atividades Micro'!$K67&lt;&gt;""),'Atividades Micro'!$K67,"")</f>
        <v/>
      </c>
      <c r="CE67" s="21">
        <f>IF(AND('Atividades Micro'!$B67=CE$2,'Atividades Micro'!$G67="Micro",'Atividades Micro'!$K67&lt;&gt;""),'Atividades Micro'!$K67,"")</f>
        <v>46343</v>
      </c>
      <c r="CF67" s="21" t="str">
        <f>IF(AND('Atividades Micro'!$B67=CF$2,'Atividades Micro'!$G67="Micro",'Atividades Micro'!$K67&lt;&gt;""),'Atividades Micro'!$K67,"")</f>
        <v/>
      </c>
      <c r="CG67" s="21" t="str">
        <f>IF(AND('Atividades Micro'!$B67=CG$2,'Atividades Micro'!$G67="Micro",'Atividades Micro'!$K67&lt;&gt;""),'Atividades Micro'!$K67,"")</f>
        <v/>
      </c>
      <c r="CH67" s="21" t="str">
        <f>IF(AND('Atividades Micro'!$B67=CH$2,'Atividades Micro'!$G67="Micro",'Atividades Micro'!$K67&lt;&gt;""),'Atividades Micro'!$K67,"")</f>
        <v/>
      </c>
      <c r="CI67" s="21" t="str">
        <f>IF(AND('Atividades Micro'!$B67=CI$2,'Atividades Micro'!$G67="Micro",'Atividades Micro'!$K67&lt;&gt;""),'Atividades Micro'!$K67,"")</f>
        <v/>
      </c>
      <c r="CJ67" s="21" t="str">
        <f>IF(AND('Atividades Micro'!$B67=CJ$2,'Atividades Micro'!$G67="Micro",'Atividades Micro'!$K67&lt;&gt;""),'Atividades Micro'!$K67,"")</f>
        <v/>
      </c>
      <c r="CK67" s="21" t="str">
        <f>IF(AND('Atividades Micro'!$B67=CK$2,'Atividades Micro'!$G67="Micro",'Atividades Micro'!$K67&lt;&gt;""),'Atividades Micro'!$K67,"")</f>
        <v/>
      </c>
      <c r="CL67" s="21" t="str">
        <f>IF(AND('Atividades Micro'!$B67=CL$2,'Atividades Micro'!$G67="Micro",'Atividades Micro'!$K67&lt;&gt;""),'Atividades Micro'!$K67,"")</f>
        <v/>
      </c>
      <c r="CM67" s="21" t="str">
        <f>IF(AND('Atividades Micro'!$B67=CM$2,'Atividades Micro'!$G67="Micro",'Atividades Micro'!$K67&lt;&gt;""),'Atividades Micro'!$K67,"")</f>
        <v/>
      </c>
      <c r="CN67" s="21" t="str">
        <f>IF(AND('Atividades Micro'!$B67=CN$2,'Atividades Micro'!$G67="Micro",'Atividades Micro'!$K67&lt;&gt;""),'Atividades Micro'!$K67,"")</f>
        <v/>
      </c>
      <c r="CO67" s="21" t="str">
        <f>IF(AND('Atividades Micro'!$B67=CO$2,'Atividades Micro'!$G67="Micro",'Atividades Micro'!$K67&lt;&gt;""),'Atividades Micro'!$K67,"")</f>
        <v/>
      </c>
    </row>
    <row r="68" spans="1:93">
      <c r="A68" s="21" t="str">
        <f>IF(AND('Atividades Micro'!$A68=A$2,'Atividades Micro'!$K68&lt;&gt;""),'Atividades Micro'!$K68,"")</f>
        <v/>
      </c>
      <c r="B68" s="21" t="str">
        <f>IF(AND('Atividades Micro'!$A68=B$2,'Atividades Micro'!$L68&lt;&gt;""),'Atividades Micro'!$L68,"")</f>
        <v/>
      </c>
      <c r="C68" s="21" t="str">
        <f>IF(AND('Atividades Micro'!$A68=C$2,'Atividades Micro'!$K68&lt;&gt;""),'Atividades Micro'!$K68,"")</f>
        <v/>
      </c>
      <c r="D68" s="21" t="str">
        <f>IF(AND('Atividades Micro'!$A68=D$2,'Atividades Micro'!$L68&lt;&gt;""),'Atividades Micro'!$L68,"")</f>
        <v/>
      </c>
      <c r="E68" s="21" t="str">
        <f>IF(AND('Atividades Micro'!$A68=E$2,'Atividades Micro'!$K68&lt;&gt;""),'Atividades Micro'!$K68,"")</f>
        <v/>
      </c>
      <c r="F68" s="21" t="str">
        <f>IF(AND('Atividades Micro'!$A68=F$2,'Atividades Micro'!$L68&lt;&gt;""),'Atividades Micro'!$L68,"")</f>
        <v/>
      </c>
      <c r="G68" s="21" t="str">
        <f>IF(AND('Atividades Micro'!$A68=G$2,'Atividades Micro'!$K68&lt;&gt;""),'Atividades Micro'!$K68,"")</f>
        <v/>
      </c>
      <c r="H68" s="21" t="str">
        <f>IF(AND('Atividades Micro'!$A68=H$2,'Atividades Micro'!$L68&lt;&gt;""),'Atividades Micro'!$L68,"")</f>
        <v/>
      </c>
      <c r="I68" s="21">
        <f>IF(AND('Atividades Micro'!$A68=I$2,'Atividades Micro'!$K68&lt;&gt;""),'Atividades Micro'!$K68,"")</f>
        <v>46349</v>
      </c>
      <c r="J68" s="21">
        <f>IF(AND('Atividades Micro'!$A68=J$2,'Atividades Micro'!$L68&lt;&gt;""),'Atividades Micro'!$L68,"")</f>
        <v>46253</v>
      </c>
      <c r="K68" s="21" t="str">
        <f>IF(AND('Atividades Micro'!$B68=K$2,'Atividades Micro'!$K68&lt;&gt;""),'Atividades Micro'!$K68,"")</f>
        <v/>
      </c>
      <c r="L68" s="21" t="str">
        <f>IF(AND('Atividades Micro'!$B68=L$2,'Atividades Micro'!$L68&lt;&gt;""),'Atividades Micro'!$L68,"")</f>
        <v/>
      </c>
      <c r="M68" s="21">
        <f>IF(AND('Atividades Micro'!$B68=M$2,'Atividades Micro'!$K68&lt;&gt;""),'Atividades Micro'!$K68,"")</f>
        <v>46349</v>
      </c>
      <c r="N68" s="21">
        <f>IF(AND('Atividades Micro'!$B68=N$2,'Atividades Micro'!$L68&lt;&gt;""),'Atividades Micro'!$L68,"")</f>
        <v>46253</v>
      </c>
      <c r="O68" s="21" t="str">
        <f>IF(AND('Atividades Micro'!$A68=O$2,'Atividades Micro'!$K68&lt;&gt;""),'Atividades Micro'!$K68,"")</f>
        <v/>
      </c>
      <c r="P68" s="21" t="str">
        <f>IF(AND('Atividades Micro'!$A68=P$2,'Atividades Micro'!$L68&lt;&gt;""),'Atividades Micro'!$L68,"")</f>
        <v/>
      </c>
      <c r="Q68" s="21" t="str">
        <f>IF(AND('Atividades Micro'!$B68=Q$2,'Atividades Micro'!$K68&lt;&gt;""),'Atividades Micro'!$K68,"")</f>
        <v/>
      </c>
      <c r="R68" s="21" t="str">
        <f>IF(AND('Atividades Micro'!$B68=R$2,'Atividades Micro'!$L68&lt;&gt;""),'Atividades Micro'!$L68,"")</f>
        <v/>
      </c>
      <c r="S68" s="21" t="str">
        <f>IF(AND('Atividades Micro'!$A68=S$2,'Atividades Micro'!$K68&lt;&gt;""),'Atividades Micro'!$K68,"")</f>
        <v/>
      </c>
      <c r="T68" s="21" t="str">
        <f>IF(AND('Atividades Micro'!$A68=T$2,'Atividades Micro'!$L68&lt;&gt;""),'Atividades Micro'!$L68,"")</f>
        <v/>
      </c>
      <c r="U68" s="21" t="str">
        <f>IF(AND('Atividades Micro'!$B68=U$2,'Atividades Micro'!$K68&lt;&gt;""),'Atividades Micro'!$K68,"")</f>
        <v/>
      </c>
      <c r="V68" s="21" t="str">
        <f>IF(AND('Atividades Micro'!$B68=V$2,'Atividades Micro'!$L68&lt;&gt;""),'Atividades Micro'!$L68,"")</f>
        <v/>
      </c>
      <c r="W68" s="21" t="str">
        <f>IF(AND('Atividades Micro'!$B68=W$2,'Atividades Micro'!$K68&lt;&gt;""),'Atividades Micro'!$K68,"")</f>
        <v/>
      </c>
      <c r="X68" s="21" t="str">
        <f>IF(AND('Atividades Micro'!$B68=X$2,'Atividades Micro'!$L68&lt;&gt;""),'Atividades Micro'!$L68,"")</f>
        <v/>
      </c>
      <c r="Y68" s="21" t="str">
        <f>IF(AND('Atividades Micro'!$A68=Y$2,'Atividades Micro'!$K68&lt;&gt;""),'Atividades Micro'!$K68,"")</f>
        <v/>
      </c>
      <c r="Z68" s="21" t="str">
        <f>IF(AND('Atividades Micro'!$A68=Z$2,'Atividades Micro'!$L68&lt;&gt;""),'Atividades Micro'!$L68,"")</f>
        <v/>
      </c>
      <c r="AA68" s="21" t="str">
        <f>IF(AND('Atividades Micro'!$B68=AA$2,'Atividades Micro'!$K68&lt;&gt;""),'Atividades Micro'!$K68,"")</f>
        <v/>
      </c>
      <c r="AB68" s="21" t="str">
        <f>IF(AND('Atividades Micro'!$B68=AB$2,'Atividades Micro'!$L68&lt;&gt;""),'Atividades Micro'!$L68,"")</f>
        <v/>
      </c>
      <c r="AC68" s="21" t="str">
        <f>IF(AND('Atividades Micro'!$B68=AC$2,'Atividades Micro'!$K68&lt;&gt;""),'Atividades Micro'!$K68,"")</f>
        <v/>
      </c>
      <c r="AD68" s="21" t="str">
        <f>IF(AND('Atividades Micro'!$B68=AD$2,'Atividades Micro'!$L68&lt;&gt;""),'Atividades Micro'!$L68,"")</f>
        <v/>
      </c>
      <c r="AE68" s="21" t="str">
        <f>IF(AND('Atividades Micro'!$A68=AE$2,'Atividades Micro'!$K68&lt;&gt;""),'Atividades Micro'!$K68,"")</f>
        <v/>
      </c>
      <c r="AF68" s="21" t="str">
        <f>IF(AND('Atividades Micro'!$A68=AF$2,'Atividades Micro'!$L68&lt;&gt;""),'Atividades Micro'!$L68,"")</f>
        <v/>
      </c>
      <c r="AG68" s="21" t="str">
        <f>IF(AND('Atividades Micro'!$B68=AG$2,'Atividades Micro'!$K68&lt;&gt;""),'Atividades Micro'!$K68,"")</f>
        <v/>
      </c>
      <c r="AH68" s="21" t="str">
        <f>IF(AND('Atividades Micro'!$B68=AH$2,'Atividades Micro'!$L68&lt;&gt;""),'Atividades Micro'!$L68,"")</f>
        <v/>
      </c>
      <c r="AI68" s="21" t="str">
        <f>IF(AND('Atividades Micro'!$B68=AI$2,'Atividades Micro'!$K68&lt;&gt;""),'Atividades Micro'!$K68,"")</f>
        <v/>
      </c>
      <c r="AJ68" s="21" t="str">
        <f>IF(AND('Atividades Micro'!$B68=AJ$2,'Atividades Micro'!$L68&lt;&gt;""),'Atividades Micro'!$L68,"")</f>
        <v/>
      </c>
      <c r="AK68" s="21" t="str">
        <f>IF(AND('Atividades Micro'!$A68=AK$2,'Atividades Micro'!$K68&lt;&gt;""),'Atividades Micro'!$K68,"")</f>
        <v/>
      </c>
      <c r="AL68" s="21" t="str">
        <f>IF(AND('Atividades Micro'!$A68=AL$2,'Atividades Micro'!$L68&lt;&gt;""),'Atividades Micro'!$L68,"")</f>
        <v/>
      </c>
      <c r="AM68" s="21" t="str">
        <f>IF(AND('Atividades Micro'!$B68=AM$2,'Atividades Micro'!$K68&lt;&gt;""),'Atividades Micro'!$K68,"")</f>
        <v/>
      </c>
      <c r="AN68" s="21" t="str">
        <f>IF(AND('Atividades Micro'!$B68=AN$2,'Atividades Micro'!$L68&lt;&gt;""),'Atividades Micro'!$L68,"")</f>
        <v/>
      </c>
      <c r="AO68" s="21" t="str">
        <f>IF(AND('Atividades Micro'!$B68=AO$2,'Atividades Micro'!$K68&lt;&gt;""),'Atividades Micro'!$K68,"")</f>
        <v/>
      </c>
      <c r="AP68" s="21" t="str">
        <f>IF(AND('Atividades Micro'!$B68=AP$2,'Atividades Micro'!$L68&lt;&gt;""),'Atividades Micro'!$L68,"")</f>
        <v/>
      </c>
      <c r="AQ68" s="21" t="str">
        <f>IF(AND('Atividades Micro'!$A68=AQ$2,'Atividades Micro'!$K68&lt;&gt;""),'Atividades Micro'!$K68,"")</f>
        <v/>
      </c>
      <c r="AR68" s="21" t="str">
        <f>IF(AND('Atividades Micro'!$A68=AR$2,'Atividades Micro'!$L68&lt;&gt;""),'Atividades Micro'!$L68,"")</f>
        <v/>
      </c>
      <c r="AS68" s="21" t="str">
        <f>IF(AND('Atividades Micro'!$B68=AS$2,'Atividades Micro'!$K68&lt;&gt;""),'Atividades Micro'!$K68,"")</f>
        <v/>
      </c>
      <c r="AT68" s="21" t="str">
        <f>IF(AND('Atividades Micro'!$B68=AT$2,'Atividades Micro'!$L68&lt;&gt;""),'Atividades Micro'!$L68,"")</f>
        <v/>
      </c>
      <c r="AU68" s="21" t="str">
        <f>IF(AND('Atividades Micro'!$A68=AU$2,'Atividades Micro'!$K68&lt;&gt;""),'Atividades Micro'!$K68,"")</f>
        <v/>
      </c>
      <c r="AV68" s="21" t="str">
        <f>IF(AND('Atividades Micro'!$A68=AV$2,'Atividades Micro'!$L68&lt;&gt;""),'Atividades Micro'!$L68,"")</f>
        <v/>
      </c>
      <c r="AW68" s="21" t="str">
        <f>IF(AND('Atividades Micro'!$B68=AW$2,'Atividades Micro'!$K68&lt;&gt;""),'Atividades Micro'!$K68,"")</f>
        <v/>
      </c>
      <c r="AX68" s="21" t="str">
        <f>IF(AND('Atividades Micro'!$B68=AX$2,'Atividades Micro'!$L68&lt;&gt;""),'Atividades Micro'!$L68,"")</f>
        <v/>
      </c>
      <c r="AY68" s="21" t="str">
        <f>IF(AND('Atividades Micro'!$A68=AY$2,'Atividades Micro'!$K68&lt;&gt;""),'Atividades Micro'!$K68,"")</f>
        <v/>
      </c>
      <c r="AZ68" s="21" t="str">
        <f>IF(AND('Atividades Micro'!$A68=AZ$2,'Atividades Micro'!$L68&lt;&gt;""),'Atividades Micro'!$L68,"")</f>
        <v/>
      </c>
      <c r="BA68" s="21" t="str">
        <f>IF(AND('Atividades Micro'!$B68=BA$2,'Atividades Micro'!$K68&lt;&gt;""),'Atividades Micro'!$K68,"")</f>
        <v/>
      </c>
      <c r="BB68" s="21" t="str">
        <f>IF(AND('Atividades Micro'!$B68=BB$2,'Atividades Micro'!$L68&lt;&gt;""),'Atividades Micro'!$L68,"")</f>
        <v/>
      </c>
      <c r="BC68" s="21" t="str">
        <f>IF(AND('Atividades Micro'!$B68=BC$2,'Atividades Micro'!$G68="Macro",'Atividades Micro'!$K68&lt;&gt;""),'Atividades Micro'!$K68,"")</f>
        <v/>
      </c>
      <c r="BD68" s="21" t="str">
        <f>IF(AND('Atividades Micro'!$B68=BD$2,'Atividades Micro'!$G68="Macro",'Atividades Micro'!$K68&lt;&gt;""),'Atividades Micro'!$K68,"")</f>
        <v/>
      </c>
      <c r="BE68" s="21" t="str">
        <f>IF(AND('Atividades Micro'!$B68=BE$2,'Atividades Micro'!$G68="Macro",'Atividades Micro'!$K68&lt;&gt;""),'Atividades Micro'!$K68,"")</f>
        <v/>
      </c>
      <c r="BF68" s="21" t="str">
        <f>IF(AND('Atividades Micro'!$B68=BF$2,'Atividades Micro'!$G68="Macro",'Atividades Micro'!$K68&lt;&gt;""),'Atividades Micro'!$K68,"")</f>
        <v/>
      </c>
      <c r="BG68" s="21" t="str">
        <f>IF(AND('Atividades Micro'!$B68=BG$2,'Atividades Micro'!$G68="Macro",'Atividades Micro'!$K68&lt;&gt;""),'Atividades Micro'!$K68,"")</f>
        <v/>
      </c>
      <c r="BH68" s="21" t="str">
        <f>IF(AND('Atividades Micro'!$B68=BH$2,'Atividades Micro'!$G68="Macro",'Atividades Micro'!$K68&lt;&gt;""),'Atividades Micro'!$K68,"")</f>
        <v/>
      </c>
      <c r="BI68" s="21" t="str">
        <f>IF(AND('Atividades Micro'!$B68=BI$2,'Atividades Micro'!$G68="Macro",'Atividades Micro'!$K68&lt;&gt;""),'Atividades Micro'!$K68,"")</f>
        <v/>
      </c>
      <c r="BJ68" s="21" t="str">
        <f>IF(AND('Atividades Micro'!$B68=BJ$2,'Atividades Micro'!$G68="Macro",'Atividades Micro'!$K68&lt;&gt;""),'Atividades Micro'!$K68,"")</f>
        <v/>
      </c>
      <c r="BK68" s="21" t="str">
        <f>IF(AND('Atividades Micro'!$B68=BK$2,'Atividades Micro'!$G68="Macro",'Atividades Micro'!$K68&lt;&gt;""),'Atividades Micro'!$K68,"")</f>
        <v/>
      </c>
      <c r="BL68" s="21" t="str">
        <f>IF(AND('Atividades Micro'!$B68=BL$2,'Atividades Micro'!$G68="Macro",'Atividades Micro'!$K68&lt;&gt;""),'Atividades Micro'!$K68,"")</f>
        <v/>
      </c>
      <c r="BM68" s="21" t="str">
        <f>IF(AND('Atividades Micro'!$B68=BM$2,'Atividades Micro'!$G68="Macro",'Atividades Micro'!$K68&lt;&gt;""),'Atividades Micro'!$K68,"")</f>
        <v/>
      </c>
      <c r="BN68" s="21" t="str">
        <f>IF(AND('Atividades Micro'!$B68=BN$2,'Atividades Micro'!$G68="Macro",'Atividades Micro'!$K68&lt;&gt;""),'Atividades Micro'!$K68,"")</f>
        <v/>
      </c>
      <c r="BO68" s="21" t="str">
        <f>IF(AND('Atividades Micro'!$B68=BO$2,'Atividades Micro'!$G68="Macro",'Atividades Micro'!$K68&lt;&gt;""),'Atividades Micro'!$K68,"")</f>
        <v/>
      </c>
      <c r="BP68" s="21" t="str">
        <f>IF(AND('Atividades Micro'!$B68=BP$2,'Atividades Micro'!$G68="Macro",'Atividades Micro'!$K68&lt;&gt;""),'Atividades Micro'!$K68,"")</f>
        <v/>
      </c>
      <c r="BQ68" s="21" t="str">
        <f>IF(AND('Atividades Micro'!$B68=BQ$2,'Atividades Micro'!$G68="Macro",'Atividades Micro'!$K68&lt;&gt;""),'Atividades Micro'!$K68,"")</f>
        <v/>
      </c>
      <c r="BR68" s="21" t="str">
        <f>IF(AND('Atividades Micro'!$B68=BR$2,'Atividades Micro'!$G68="Macro",'Atividades Micro'!$K68&lt;&gt;""),'Atividades Micro'!$K68,"")</f>
        <v/>
      </c>
      <c r="BS68" s="21" t="str">
        <f>IF(AND('Atividades Micro'!$B68=BS$2,'Atividades Micro'!$G68="Macro",'Atividades Micro'!$K68&lt;&gt;""),'Atividades Micro'!$K68,"")</f>
        <v/>
      </c>
      <c r="BT68" s="21" t="str">
        <f>IF(AND('Atividades Micro'!$B68=BT$2,'Atividades Micro'!$G68="Macro",'Atividades Micro'!$K68&lt;&gt;""),'Atividades Micro'!$K68,"")</f>
        <v/>
      </c>
      <c r="BU68" s="21" t="str">
        <f>IF(AND('Atividades Micro'!$B68=BU$2,'Atividades Micro'!$G68="Macro",'Atividades Micro'!$K68&lt;&gt;""),'Atividades Micro'!$K68,"")</f>
        <v/>
      </c>
      <c r="BV68" s="21" t="str">
        <f>IF(AND('Atividades Micro'!$B68=BV$2,'Atividades Micro'!$G68="Macro",'Atividades Micro'!$K68&lt;&gt;""),'Atividades Micro'!$K68,"")</f>
        <v/>
      </c>
      <c r="BW68" s="21" t="str">
        <f>IF(AND('Atividades Micro'!$B68=BW$2,'Atividades Micro'!$G68="Macro",'Atividades Micro'!$K68&lt;&gt;""),'Atividades Micro'!$K68,"")</f>
        <v/>
      </c>
      <c r="BX68" s="21" t="str">
        <f>IF(AND('Atividades Micro'!$B68=BX$2,'Atividades Micro'!$G68="Macro",'Atividades Micro'!$K68&lt;&gt;""),'Atividades Micro'!$K68,"")</f>
        <v/>
      </c>
      <c r="BY68" s="21" t="str">
        <f>IF(AND('Atividades Micro'!$B68=BY$2,'Atividades Micro'!$G68="Macro",'Atividades Micro'!$K68&lt;&gt;""),'Atividades Micro'!$K68,"")</f>
        <v/>
      </c>
      <c r="BZ68" s="21" t="str">
        <f>IF(AND('Atividades Micro'!$B68=BZ$2,'Atividades Micro'!$G68="Macro",'Atividades Micro'!$K68&lt;&gt;""),'Atividades Micro'!$K68,"")</f>
        <v/>
      </c>
      <c r="CA68" s="21" t="str">
        <f>IF(AND('Atividades Micro'!$B68=CA$2,'Atividades Micro'!$G68="Macro",'Atividades Micro'!$K68&lt;&gt;""),'Atividades Micro'!$K68,"")</f>
        <v/>
      </c>
      <c r="CB68" s="21" t="str">
        <f>IF(AND('Atividades Micro'!$B68=CB$2,'Atividades Micro'!$G68="Macro",'Atividades Micro'!$K68&lt;&gt;""),'Atividades Micro'!$K68,"")</f>
        <v/>
      </c>
      <c r="CC68" s="21" t="str">
        <f>IF(AND('Atividades Micro'!$B68=CC$2,'Atividades Micro'!$G68="Macro",'Atividades Micro'!$K68&lt;&gt;""),'Atividades Micro'!$K68,"")</f>
        <v/>
      </c>
      <c r="CD68" s="21" t="str">
        <f>IF(AND('Atividades Micro'!$B68=CD$2,'Atividades Micro'!$G68="Micro",'Atividades Micro'!$K68&lt;&gt;""),'Atividades Micro'!$K68,"")</f>
        <v/>
      </c>
      <c r="CE68" s="21">
        <f>IF(AND('Atividades Micro'!$B68=CE$2,'Atividades Micro'!$G68="Micro",'Atividades Micro'!$K68&lt;&gt;""),'Atividades Micro'!$K68,"")</f>
        <v>46349</v>
      </c>
      <c r="CF68" s="21" t="str">
        <f>IF(AND('Atividades Micro'!$B68=CF$2,'Atividades Micro'!$G68="Micro",'Atividades Micro'!$K68&lt;&gt;""),'Atividades Micro'!$K68,"")</f>
        <v/>
      </c>
      <c r="CG68" s="21" t="str">
        <f>IF(AND('Atividades Micro'!$B68=CG$2,'Atividades Micro'!$G68="Micro",'Atividades Micro'!$K68&lt;&gt;""),'Atividades Micro'!$K68,"")</f>
        <v/>
      </c>
      <c r="CH68" s="21" t="str">
        <f>IF(AND('Atividades Micro'!$B68=CH$2,'Atividades Micro'!$G68="Micro",'Atividades Micro'!$K68&lt;&gt;""),'Atividades Micro'!$K68,"")</f>
        <v/>
      </c>
      <c r="CI68" s="21" t="str">
        <f>IF(AND('Atividades Micro'!$B68=CI$2,'Atividades Micro'!$G68="Micro",'Atividades Micro'!$K68&lt;&gt;""),'Atividades Micro'!$K68,"")</f>
        <v/>
      </c>
      <c r="CJ68" s="21" t="str">
        <f>IF(AND('Atividades Micro'!$B68=CJ$2,'Atividades Micro'!$G68="Micro",'Atividades Micro'!$K68&lt;&gt;""),'Atividades Micro'!$K68,"")</f>
        <v/>
      </c>
      <c r="CK68" s="21" t="str">
        <f>IF(AND('Atividades Micro'!$B68=CK$2,'Atividades Micro'!$G68="Micro",'Atividades Micro'!$K68&lt;&gt;""),'Atividades Micro'!$K68,"")</f>
        <v/>
      </c>
      <c r="CL68" s="21" t="str">
        <f>IF(AND('Atividades Micro'!$B68=CL$2,'Atividades Micro'!$G68="Micro",'Atividades Micro'!$K68&lt;&gt;""),'Atividades Micro'!$K68,"")</f>
        <v/>
      </c>
      <c r="CM68" s="21" t="str">
        <f>IF(AND('Atividades Micro'!$B68=CM$2,'Atividades Micro'!$G68="Micro",'Atividades Micro'!$K68&lt;&gt;""),'Atividades Micro'!$K68,"")</f>
        <v/>
      </c>
      <c r="CN68" s="21" t="str">
        <f>IF(AND('Atividades Micro'!$B68=CN$2,'Atividades Micro'!$G68="Micro",'Atividades Micro'!$K68&lt;&gt;""),'Atividades Micro'!$K68,"")</f>
        <v/>
      </c>
      <c r="CO68" s="21" t="str">
        <f>IF(AND('Atividades Micro'!$B68=CO$2,'Atividades Micro'!$G68="Micro",'Atividades Micro'!$K68&lt;&gt;""),'Atividades Micro'!$K68,"")</f>
        <v/>
      </c>
    </row>
    <row r="69" spans="1:93">
      <c r="A69" s="21" t="str">
        <f>IF(AND('Atividades Micro'!$A69=A$2,'Atividades Micro'!$K69&lt;&gt;""),'Atividades Micro'!$K69,"")</f>
        <v/>
      </c>
      <c r="B69" s="21" t="str">
        <f>IF(AND('Atividades Micro'!$A69=B$2,'Atividades Micro'!$L69&lt;&gt;""),'Atividades Micro'!$L69,"")</f>
        <v/>
      </c>
      <c r="C69" s="21" t="str">
        <f>IF(AND('Atividades Micro'!$A69=C$2,'Atividades Micro'!$K69&lt;&gt;""),'Atividades Micro'!$K69,"")</f>
        <v/>
      </c>
      <c r="D69" s="21" t="str">
        <f>IF(AND('Atividades Micro'!$A69=D$2,'Atividades Micro'!$L69&lt;&gt;""),'Atividades Micro'!$L69,"")</f>
        <v/>
      </c>
      <c r="E69" s="21" t="str">
        <f>IF(AND('Atividades Micro'!$A69=E$2,'Atividades Micro'!$K69&lt;&gt;""),'Atividades Micro'!$K69,"")</f>
        <v/>
      </c>
      <c r="F69" s="21" t="str">
        <f>IF(AND('Atividades Micro'!$A69=F$2,'Atividades Micro'!$L69&lt;&gt;""),'Atividades Micro'!$L69,"")</f>
        <v/>
      </c>
      <c r="G69" s="21" t="str">
        <f>IF(AND('Atividades Micro'!$A69=G$2,'Atividades Micro'!$K69&lt;&gt;""),'Atividades Micro'!$K69,"")</f>
        <v/>
      </c>
      <c r="H69" s="21" t="str">
        <f>IF(AND('Atividades Micro'!$A69=H$2,'Atividades Micro'!$L69&lt;&gt;""),'Atividades Micro'!$L69,"")</f>
        <v/>
      </c>
      <c r="I69" s="21">
        <f>IF(AND('Atividades Micro'!$A69=I$2,'Atividades Micro'!$K69&lt;&gt;""),'Atividades Micro'!$K69,"")</f>
        <v>46350</v>
      </c>
      <c r="J69" s="21">
        <f>IF(AND('Atividades Micro'!$A69=J$2,'Atividades Micro'!$L69&lt;&gt;""),'Atividades Micro'!$L69,"")</f>
        <v>46255</v>
      </c>
      <c r="K69" s="21" t="str">
        <f>IF(AND('Atividades Micro'!$B69=K$2,'Atividades Micro'!$K69&lt;&gt;""),'Atividades Micro'!$K69,"")</f>
        <v/>
      </c>
      <c r="L69" s="21" t="str">
        <f>IF(AND('Atividades Micro'!$B69=L$2,'Atividades Micro'!$L69&lt;&gt;""),'Atividades Micro'!$L69,"")</f>
        <v/>
      </c>
      <c r="M69" s="21">
        <f>IF(AND('Atividades Micro'!$B69=M$2,'Atividades Micro'!$K69&lt;&gt;""),'Atividades Micro'!$K69,"")</f>
        <v>46350</v>
      </c>
      <c r="N69" s="21">
        <f>IF(AND('Atividades Micro'!$B69=N$2,'Atividades Micro'!$L69&lt;&gt;""),'Atividades Micro'!$L69,"")</f>
        <v>46255</v>
      </c>
      <c r="O69" s="21" t="str">
        <f>IF(AND('Atividades Micro'!$A69=O$2,'Atividades Micro'!$K69&lt;&gt;""),'Atividades Micro'!$K69,"")</f>
        <v/>
      </c>
      <c r="P69" s="21" t="str">
        <f>IF(AND('Atividades Micro'!$A69=P$2,'Atividades Micro'!$L69&lt;&gt;""),'Atividades Micro'!$L69,"")</f>
        <v/>
      </c>
      <c r="Q69" s="21" t="str">
        <f>IF(AND('Atividades Micro'!$B69=Q$2,'Atividades Micro'!$K69&lt;&gt;""),'Atividades Micro'!$K69,"")</f>
        <v/>
      </c>
      <c r="R69" s="21" t="str">
        <f>IF(AND('Atividades Micro'!$B69=R$2,'Atividades Micro'!$L69&lt;&gt;""),'Atividades Micro'!$L69,"")</f>
        <v/>
      </c>
      <c r="S69" s="21" t="str">
        <f>IF(AND('Atividades Micro'!$A69=S$2,'Atividades Micro'!$K69&lt;&gt;""),'Atividades Micro'!$K69,"")</f>
        <v/>
      </c>
      <c r="T69" s="21" t="str">
        <f>IF(AND('Atividades Micro'!$A69=T$2,'Atividades Micro'!$L69&lt;&gt;""),'Atividades Micro'!$L69,"")</f>
        <v/>
      </c>
      <c r="U69" s="21" t="str">
        <f>IF(AND('Atividades Micro'!$B69=U$2,'Atividades Micro'!$K69&lt;&gt;""),'Atividades Micro'!$K69,"")</f>
        <v/>
      </c>
      <c r="V69" s="21" t="str">
        <f>IF(AND('Atividades Micro'!$B69=V$2,'Atividades Micro'!$L69&lt;&gt;""),'Atividades Micro'!$L69,"")</f>
        <v/>
      </c>
      <c r="W69" s="21" t="str">
        <f>IF(AND('Atividades Micro'!$B69=W$2,'Atividades Micro'!$K69&lt;&gt;""),'Atividades Micro'!$K69,"")</f>
        <v/>
      </c>
      <c r="X69" s="21" t="str">
        <f>IF(AND('Atividades Micro'!$B69=X$2,'Atividades Micro'!$L69&lt;&gt;""),'Atividades Micro'!$L69,"")</f>
        <v/>
      </c>
      <c r="Y69" s="21" t="str">
        <f>IF(AND('Atividades Micro'!$A69=Y$2,'Atividades Micro'!$K69&lt;&gt;""),'Atividades Micro'!$K69,"")</f>
        <v/>
      </c>
      <c r="Z69" s="21" t="str">
        <f>IF(AND('Atividades Micro'!$A69=Z$2,'Atividades Micro'!$L69&lt;&gt;""),'Atividades Micro'!$L69,"")</f>
        <v/>
      </c>
      <c r="AA69" s="21" t="str">
        <f>IF(AND('Atividades Micro'!$B69=AA$2,'Atividades Micro'!$K69&lt;&gt;""),'Atividades Micro'!$K69,"")</f>
        <v/>
      </c>
      <c r="AB69" s="21" t="str">
        <f>IF(AND('Atividades Micro'!$B69=AB$2,'Atividades Micro'!$L69&lt;&gt;""),'Atividades Micro'!$L69,"")</f>
        <v/>
      </c>
      <c r="AC69" s="21" t="str">
        <f>IF(AND('Atividades Micro'!$B69=AC$2,'Atividades Micro'!$K69&lt;&gt;""),'Atividades Micro'!$K69,"")</f>
        <v/>
      </c>
      <c r="AD69" s="21" t="str">
        <f>IF(AND('Atividades Micro'!$B69=AD$2,'Atividades Micro'!$L69&lt;&gt;""),'Atividades Micro'!$L69,"")</f>
        <v/>
      </c>
      <c r="AE69" s="21" t="str">
        <f>IF(AND('Atividades Micro'!$A69=AE$2,'Atividades Micro'!$K69&lt;&gt;""),'Atividades Micro'!$K69,"")</f>
        <v/>
      </c>
      <c r="AF69" s="21" t="str">
        <f>IF(AND('Atividades Micro'!$A69=AF$2,'Atividades Micro'!$L69&lt;&gt;""),'Atividades Micro'!$L69,"")</f>
        <v/>
      </c>
      <c r="AG69" s="21" t="str">
        <f>IF(AND('Atividades Micro'!$B69=AG$2,'Atividades Micro'!$K69&lt;&gt;""),'Atividades Micro'!$K69,"")</f>
        <v/>
      </c>
      <c r="AH69" s="21" t="str">
        <f>IF(AND('Atividades Micro'!$B69=AH$2,'Atividades Micro'!$L69&lt;&gt;""),'Atividades Micro'!$L69,"")</f>
        <v/>
      </c>
      <c r="AI69" s="21" t="str">
        <f>IF(AND('Atividades Micro'!$B69=AI$2,'Atividades Micro'!$K69&lt;&gt;""),'Atividades Micro'!$K69,"")</f>
        <v/>
      </c>
      <c r="AJ69" s="21" t="str">
        <f>IF(AND('Atividades Micro'!$B69=AJ$2,'Atividades Micro'!$L69&lt;&gt;""),'Atividades Micro'!$L69,"")</f>
        <v/>
      </c>
      <c r="AK69" s="21" t="str">
        <f>IF(AND('Atividades Micro'!$A69=AK$2,'Atividades Micro'!$K69&lt;&gt;""),'Atividades Micro'!$K69,"")</f>
        <v/>
      </c>
      <c r="AL69" s="21" t="str">
        <f>IF(AND('Atividades Micro'!$A69=AL$2,'Atividades Micro'!$L69&lt;&gt;""),'Atividades Micro'!$L69,"")</f>
        <v/>
      </c>
      <c r="AM69" s="21" t="str">
        <f>IF(AND('Atividades Micro'!$B69=AM$2,'Atividades Micro'!$K69&lt;&gt;""),'Atividades Micro'!$K69,"")</f>
        <v/>
      </c>
      <c r="AN69" s="21" t="str">
        <f>IF(AND('Atividades Micro'!$B69=AN$2,'Atividades Micro'!$L69&lt;&gt;""),'Atividades Micro'!$L69,"")</f>
        <v/>
      </c>
      <c r="AO69" s="21" t="str">
        <f>IF(AND('Atividades Micro'!$B69=AO$2,'Atividades Micro'!$K69&lt;&gt;""),'Atividades Micro'!$K69,"")</f>
        <v/>
      </c>
      <c r="AP69" s="21" t="str">
        <f>IF(AND('Atividades Micro'!$B69=AP$2,'Atividades Micro'!$L69&lt;&gt;""),'Atividades Micro'!$L69,"")</f>
        <v/>
      </c>
      <c r="AQ69" s="21" t="str">
        <f>IF(AND('Atividades Micro'!$A69=AQ$2,'Atividades Micro'!$K69&lt;&gt;""),'Atividades Micro'!$K69,"")</f>
        <v/>
      </c>
      <c r="AR69" s="21" t="str">
        <f>IF(AND('Atividades Micro'!$A69=AR$2,'Atividades Micro'!$L69&lt;&gt;""),'Atividades Micro'!$L69,"")</f>
        <v/>
      </c>
      <c r="AS69" s="21" t="str">
        <f>IF(AND('Atividades Micro'!$B69=AS$2,'Atividades Micro'!$K69&lt;&gt;""),'Atividades Micro'!$K69,"")</f>
        <v/>
      </c>
      <c r="AT69" s="21" t="str">
        <f>IF(AND('Atividades Micro'!$B69=AT$2,'Atividades Micro'!$L69&lt;&gt;""),'Atividades Micro'!$L69,"")</f>
        <v/>
      </c>
      <c r="AU69" s="21" t="str">
        <f>IF(AND('Atividades Micro'!$A69=AU$2,'Atividades Micro'!$K69&lt;&gt;""),'Atividades Micro'!$K69,"")</f>
        <v/>
      </c>
      <c r="AV69" s="21" t="str">
        <f>IF(AND('Atividades Micro'!$A69=AV$2,'Atividades Micro'!$L69&lt;&gt;""),'Atividades Micro'!$L69,"")</f>
        <v/>
      </c>
      <c r="AW69" s="21" t="str">
        <f>IF(AND('Atividades Micro'!$B69=AW$2,'Atividades Micro'!$K69&lt;&gt;""),'Atividades Micro'!$K69,"")</f>
        <v/>
      </c>
      <c r="AX69" s="21" t="str">
        <f>IF(AND('Atividades Micro'!$B69=AX$2,'Atividades Micro'!$L69&lt;&gt;""),'Atividades Micro'!$L69,"")</f>
        <v/>
      </c>
      <c r="AY69" s="21" t="str">
        <f>IF(AND('Atividades Micro'!$A69=AY$2,'Atividades Micro'!$K69&lt;&gt;""),'Atividades Micro'!$K69,"")</f>
        <v/>
      </c>
      <c r="AZ69" s="21" t="str">
        <f>IF(AND('Atividades Micro'!$A69=AZ$2,'Atividades Micro'!$L69&lt;&gt;""),'Atividades Micro'!$L69,"")</f>
        <v/>
      </c>
      <c r="BA69" s="21" t="str">
        <f>IF(AND('Atividades Micro'!$B69=BA$2,'Atividades Micro'!$K69&lt;&gt;""),'Atividades Micro'!$K69,"")</f>
        <v/>
      </c>
      <c r="BB69" s="21" t="str">
        <f>IF(AND('Atividades Micro'!$B69=BB$2,'Atividades Micro'!$L69&lt;&gt;""),'Atividades Micro'!$L69,"")</f>
        <v/>
      </c>
      <c r="BC69" s="21" t="str">
        <f>IF(AND('Atividades Micro'!$B69=BC$2,'Atividades Micro'!$G69="Macro",'Atividades Micro'!$K69&lt;&gt;""),'Atividades Micro'!$K69,"")</f>
        <v/>
      </c>
      <c r="BD69" s="21" t="str">
        <f>IF(AND('Atividades Micro'!$B69=BD$2,'Atividades Micro'!$G69="Macro",'Atividades Micro'!$K69&lt;&gt;""),'Atividades Micro'!$K69,"")</f>
        <v/>
      </c>
      <c r="BE69" s="21" t="str">
        <f>IF(AND('Atividades Micro'!$B69=BE$2,'Atividades Micro'!$G69="Macro",'Atividades Micro'!$K69&lt;&gt;""),'Atividades Micro'!$K69,"")</f>
        <v/>
      </c>
      <c r="BF69" s="21" t="str">
        <f>IF(AND('Atividades Micro'!$B69=BF$2,'Atividades Micro'!$G69="Macro",'Atividades Micro'!$K69&lt;&gt;""),'Atividades Micro'!$K69,"")</f>
        <v/>
      </c>
      <c r="BG69" s="21" t="str">
        <f>IF(AND('Atividades Micro'!$B69=BG$2,'Atividades Micro'!$G69="Macro",'Atividades Micro'!$K69&lt;&gt;""),'Atividades Micro'!$K69,"")</f>
        <v/>
      </c>
      <c r="BH69" s="21" t="str">
        <f>IF(AND('Atividades Micro'!$B69=BH$2,'Atividades Micro'!$G69="Macro",'Atividades Micro'!$K69&lt;&gt;""),'Atividades Micro'!$K69,"")</f>
        <v/>
      </c>
      <c r="BI69" s="21" t="str">
        <f>IF(AND('Atividades Micro'!$B69=BI$2,'Atividades Micro'!$G69="Macro",'Atividades Micro'!$K69&lt;&gt;""),'Atividades Micro'!$K69,"")</f>
        <v/>
      </c>
      <c r="BJ69" s="21" t="str">
        <f>IF(AND('Atividades Micro'!$B69=BJ$2,'Atividades Micro'!$G69="Macro",'Atividades Micro'!$K69&lt;&gt;""),'Atividades Micro'!$K69,"")</f>
        <v/>
      </c>
      <c r="BK69" s="21" t="str">
        <f>IF(AND('Atividades Micro'!$B69=BK$2,'Atividades Micro'!$G69="Macro",'Atividades Micro'!$K69&lt;&gt;""),'Atividades Micro'!$K69,"")</f>
        <v/>
      </c>
      <c r="BL69" s="21" t="str">
        <f>IF(AND('Atividades Micro'!$B69=BL$2,'Atividades Micro'!$G69="Macro",'Atividades Micro'!$K69&lt;&gt;""),'Atividades Micro'!$K69,"")</f>
        <v/>
      </c>
      <c r="BM69" s="21" t="str">
        <f>IF(AND('Atividades Micro'!$B69=BM$2,'Atividades Micro'!$G69="Macro",'Atividades Micro'!$K69&lt;&gt;""),'Atividades Micro'!$K69,"")</f>
        <v/>
      </c>
      <c r="BN69" s="21" t="str">
        <f>IF(AND('Atividades Micro'!$B69=BN$2,'Atividades Micro'!$G69="Macro",'Atividades Micro'!$K69&lt;&gt;""),'Atividades Micro'!$K69,"")</f>
        <v/>
      </c>
      <c r="BO69" s="21" t="str">
        <f>IF(AND('Atividades Micro'!$B69=BO$2,'Atividades Micro'!$G69="Macro",'Atividades Micro'!$K69&lt;&gt;""),'Atividades Micro'!$K69,"")</f>
        <v/>
      </c>
      <c r="BP69" s="21" t="str">
        <f>IF(AND('Atividades Micro'!$B69=BP$2,'Atividades Micro'!$G69="Macro",'Atividades Micro'!$K69&lt;&gt;""),'Atividades Micro'!$K69,"")</f>
        <v/>
      </c>
      <c r="BQ69" s="21" t="str">
        <f>IF(AND('Atividades Micro'!$B69=BQ$2,'Atividades Micro'!$G69="Macro",'Atividades Micro'!$K69&lt;&gt;""),'Atividades Micro'!$K69,"")</f>
        <v/>
      </c>
      <c r="BR69" s="21" t="str">
        <f>IF(AND('Atividades Micro'!$B69=BR$2,'Atividades Micro'!$G69="Macro",'Atividades Micro'!$K69&lt;&gt;""),'Atividades Micro'!$K69,"")</f>
        <v/>
      </c>
      <c r="BS69" s="21" t="str">
        <f>IF(AND('Atividades Micro'!$B69=BS$2,'Atividades Micro'!$G69="Macro",'Atividades Micro'!$K69&lt;&gt;""),'Atividades Micro'!$K69,"")</f>
        <v/>
      </c>
      <c r="BT69" s="21" t="str">
        <f>IF(AND('Atividades Micro'!$B69=BT$2,'Atividades Micro'!$G69="Macro",'Atividades Micro'!$K69&lt;&gt;""),'Atividades Micro'!$K69,"")</f>
        <v/>
      </c>
      <c r="BU69" s="21" t="str">
        <f>IF(AND('Atividades Micro'!$B69=BU$2,'Atividades Micro'!$G69="Macro",'Atividades Micro'!$K69&lt;&gt;""),'Atividades Micro'!$K69,"")</f>
        <v/>
      </c>
      <c r="BV69" s="21" t="str">
        <f>IF(AND('Atividades Micro'!$B69=BV$2,'Atividades Micro'!$G69="Macro",'Atividades Micro'!$K69&lt;&gt;""),'Atividades Micro'!$K69,"")</f>
        <v/>
      </c>
      <c r="BW69" s="21" t="str">
        <f>IF(AND('Atividades Micro'!$B69=BW$2,'Atividades Micro'!$G69="Macro",'Atividades Micro'!$K69&lt;&gt;""),'Atividades Micro'!$K69,"")</f>
        <v/>
      </c>
      <c r="BX69" s="21" t="str">
        <f>IF(AND('Atividades Micro'!$B69=BX$2,'Atividades Micro'!$G69="Macro",'Atividades Micro'!$K69&lt;&gt;""),'Atividades Micro'!$K69,"")</f>
        <v/>
      </c>
      <c r="BY69" s="21" t="str">
        <f>IF(AND('Atividades Micro'!$B69=BY$2,'Atividades Micro'!$G69="Macro",'Atividades Micro'!$K69&lt;&gt;""),'Atividades Micro'!$K69,"")</f>
        <v/>
      </c>
      <c r="BZ69" s="21" t="str">
        <f>IF(AND('Atividades Micro'!$B69=BZ$2,'Atividades Micro'!$G69="Macro",'Atividades Micro'!$K69&lt;&gt;""),'Atividades Micro'!$K69,"")</f>
        <v/>
      </c>
      <c r="CA69" s="21" t="str">
        <f>IF(AND('Atividades Micro'!$B69=CA$2,'Atividades Micro'!$G69="Macro",'Atividades Micro'!$K69&lt;&gt;""),'Atividades Micro'!$K69,"")</f>
        <v/>
      </c>
      <c r="CB69" s="21" t="str">
        <f>IF(AND('Atividades Micro'!$B69=CB$2,'Atividades Micro'!$G69="Macro",'Atividades Micro'!$K69&lt;&gt;""),'Atividades Micro'!$K69,"")</f>
        <v/>
      </c>
      <c r="CC69" s="21" t="str">
        <f>IF(AND('Atividades Micro'!$B69=CC$2,'Atividades Micro'!$G69="Macro",'Atividades Micro'!$K69&lt;&gt;""),'Atividades Micro'!$K69,"")</f>
        <v/>
      </c>
      <c r="CD69" s="21" t="str">
        <f>IF(AND('Atividades Micro'!$B69=CD$2,'Atividades Micro'!$G69="Micro",'Atividades Micro'!$K69&lt;&gt;""),'Atividades Micro'!$K69,"")</f>
        <v/>
      </c>
      <c r="CE69" s="21">
        <f>IF(AND('Atividades Micro'!$B69=CE$2,'Atividades Micro'!$G69="Micro",'Atividades Micro'!$K69&lt;&gt;""),'Atividades Micro'!$K69,"")</f>
        <v>46350</v>
      </c>
      <c r="CF69" s="21" t="str">
        <f>IF(AND('Atividades Micro'!$B69=CF$2,'Atividades Micro'!$G69="Micro",'Atividades Micro'!$K69&lt;&gt;""),'Atividades Micro'!$K69,"")</f>
        <v/>
      </c>
      <c r="CG69" s="21" t="str">
        <f>IF(AND('Atividades Micro'!$B69=CG$2,'Atividades Micro'!$G69="Micro",'Atividades Micro'!$K69&lt;&gt;""),'Atividades Micro'!$K69,"")</f>
        <v/>
      </c>
      <c r="CH69" s="21" t="str">
        <f>IF(AND('Atividades Micro'!$B69=CH$2,'Atividades Micro'!$G69="Micro",'Atividades Micro'!$K69&lt;&gt;""),'Atividades Micro'!$K69,"")</f>
        <v/>
      </c>
      <c r="CI69" s="21" t="str">
        <f>IF(AND('Atividades Micro'!$B69=CI$2,'Atividades Micro'!$G69="Micro",'Atividades Micro'!$K69&lt;&gt;""),'Atividades Micro'!$K69,"")</f>
        <v/>
      </c>
      <c r="CJ69" s="21" t="str">
        <f>IF(AND('Atividades Micro'!$B69=CJ$2,'Atividades Micro'!$G69="Micro",'Atividades Micro'!$K69&lt;&gt;""),'Atividades Micro'!$K69,"")</f>
        <v/>
      </c>
      <c r="CK69" s="21" t="str">
        <f>IF(AND('Atividades Micro'!$B69=CK$2,'Atividades Micro'!$G69="Micro",'Atividades Micro'!$K69&lt;&gt;""),'Atividades Micro'!$K69,"")</f>
        <v/>
      </c>
      <c r="CL69" s="21" t="str">
        <f>IF(AND('Atividades Micro'!$B69=CL$2,'Atividades Micro'!$G69="Micro",'Atividades Micro'!$K69&lt;&gt;""),'Atividades Micro'!$K69,"")</f>
        <v/>
      </c>
      <c r="CM69" s="21" t="str">
        <f>IF(AND('Atividades Micro'!$B69=CM$2,'Atividades Micro'!$G69="Micro",'Atividades Micro'!$K69&lt;&gt;""),'Atividades Micro'!$K69,"")</f>
        <v/>
      </c>
      <c r="CN69" s="21" t="str">
        <f>IF(AND('Atividades Micro'!$B69=CN$2,'Atividades Micro'!$G69="Micro",'Atividades Micro'!$K69&lt;&gt;""),'Atividades Micro'!$K69,"")</f>
        <v/>
      </c>
      <c r="CO69" s="21" t="str">
        <f>IF(AND('Atividades Micro'!$B69=CO$2,'Atividades Micro'!$G69="Micro",'Atividades Micro'!$K69&lt;&gt;""),'Atividades Micro'!$K69,"")</f>
        <v/>
      </c>
    </row>
    <row r="70" spans="1:93">
      <c r="A70" s="21" t="str">
        <f>IF(AND('Atividades Micro'!$A70=A$2,'Atividades Micro'!$K70&lt;&gt;""),'Atividades Micro'!$K70,"")</f>
        <v/>
      </c>
      <c r="B70" s="21" t="str">
        <f>IF(AND('Atividades Micro'!$A70=B$2,'Atividades Micro'!$L70&lt;&gt;""),'Atividades Micro'!$L70,"")</f>
        <v/>
      </c>
      <c r="C70" s="21" t="str">
        <f>IF(AND('Atividades Micro'!$A70=C$2,'Atividades Micro'!$K70&lt;&gt;""),'Atividades Micro'!$K70,"")</f>
        <v/>
      </c>
      <c r="D70" s="21" t="str">
        <f>IF(AND('Atividades Micro'!$A70=D$2,'Atividades Micro'!$L70&lt;&gt;""),'Atividades Micro'!$L70,"")</f>
        <v/>
      </c>
      <c r="E70" s="21" t="str">
        <f>IF(AND('Atividades Micro'!$A70=E$2,'Atividades Micro'!$K70&lt;&gt;""),'Atividades Micro'!$K70,"")</f>
        <v/>
      </c>
      <c r="F70" s="21" t="str">
        <f>IF(AND('Atividades Micro'!$A70=F$2,'Atividades Micro'!$L70&lt;&gt;""),'Atividades Micro'!$L70,"")</f>
        <v/>
      </c>
      <c r="G70" s="21" t="str">
        <f>IF(AND('Atividades Micro'!$A70=G$2,'Atividades Micro'!$K70&lt;&gt;""),'Atividades Micro'!$K70,"")</f>
        <v/>
      </c>
      <c r="H70" s="21" t="str">
        <f>IF(AND('Atividades Micro'!$A70=H$2,'Atividades Micro'!$L70&lt;&gt;""),'Atividades Micro'!$L70,"")</f>
        <v/>
      </c>
      <c r="I70" s="21">
        <f>IF(AND('Atividades Micro'!$A70=I$2,'Atividades Micro'!$K70&lt;&gt;""),'Atividades Micro'!$K70,"")</f>
        <v>46352</v>
      </c>
      <c r="J70" s="21">
        <f>IF(AND('Atividades Micro'!$A70=J$2,'Atividades Micro'!$L70&lt;&gt;""),'Atividades Micro'!$L70,"")</f>
        <v>46265</v>
      </c>
      <c r="K70" s="21" t="str">
        <f>IF(AND('Atividades Micro'!$B70=K$2,'Atividades Micro'!$K70&lt;&gt;""),'Atividades Micro'!$K70,"")</f>
        <v/>
      </c>
      <c r="L70" s="21" t="str">
        <f>IF(AND('Atividades Micro'!$B70=L$2,'Atividades Micro'!$L70&lt;&gt;""),'Atividades Micro'!$L70,"")</f>
        <v/>
      </c>
      <c r="M70" s="21">
        <f>IF(AND('Atividades Micro'!$B70=M$2,'Atividades Micro'!$K70&lt;&gt;""),'Atividades Micro'!$K70,"")</f>
        <v>46352</v>
      </c>
      <c r="N70" s="21">
        <f>IF(AND('Atividades Micro'!$B70=N$2,'Atividades Micro'!$L70&lt;&gt;""),'Atividades Micro'!$L70,"")</f>
        <v>46265</v>
      </c>
      <c r="O70" s="21" t="str">
        <f>IF(AND('Atividades Micro'!$A70=O$2,'Atividades Micro'!$K70&lt;&gt;""),'Atividades Micro'!$K70,"")</f>
        <v/>
      </c>
      <c r="P70" s="21" t="str">
        <f>IF(AND('Atividades Micro'!$A70=P$2,'Atividades Micro'!$L70&lt;&gt;""),'Atividades Micro'!$L70,"")</f>
        <v/>
      </c>
      <c r="Q70" s="21" t="str">
        <f>IF(AND('Atividades Micro'!$B70=Q$2,'Atividades Micro'!$K70&lt;&gt;""),'Atividades Micro'!$K70,"")</f>
        <v/>
      </c>
      <c r="R70" s="21" t="str">
        <f>IF(AND('Atividades Micro'!$B70=R$2,'Atividades Micro'!$L70&lt;&gt;""),'Atividades Micro'!$L70,"")</f>
        <v/>
      </c>
      <c r="S70" s="21" t="str">
        <f>IF(AND('Atividades Micro'!$A70=S$2,'Atividades Micro'!$K70&lt;&gt;""),'Atividades Micro'!$K70,"")</f>
        <v/>
      </c>
      <c r="T70" s="21" t="str">
        <f>IF(AND('Atividades Micro'!$A70=T$2,'Atividades Micro'!$L70&lt;&gt;""),'Atividades Micro'!$L70,"")</f>
        <v/>
      </c>
      <c r="U70" s="21" t="str">
        <f>IF(AND('Atividades Micro'!$B70=U$2,'Atividades Micro'!$K70&lt;&gt;""),'Atividades Micro'!$K70,"")</f>
        <v/>
      </c>
      <c r="V70" s="21" t="str">
        <f>IF(AND('Atividades Micro'!$B70=V$2,'Atividades Micro'!$L70&lt;&gt;""),'Atividades Micro'!$L70,"")</f>
        <v/>
      </c>
      <c r="W70" s="21" t="str">
        <f>IF(AND('Atividades Micro'!$B70=W$2,'Atividades Micro'!$K70&lt;&gt;""),'Atividades Micro'!$K70,"")</f>
        <v/>
      </c>
      <c r="X70" s="21" t="str">
        <f>IF(AND('Atividades Micro'!$B70=X$2,'Atividades Micro'!$L70&lt;&gt;""),'Atividades Micro'!$L70,"")</f>
        <v/>
      </c>
      <c r="Y70" s="21" t="str">
        <f>IF(AND('Atividades Micro'!$A70=Y$2,'Atividades Micro'!$K70&lt;&gt;""),'Atividades Micro'!$K70,"")</f>
        <v/>
      </c>
      <c r="Z70" s="21" t="str">
        <f>IF(AND('Atividades Micro'!$A70=Z$2,'Atividades Micro'!$L70&lt;&gt;""),'Atividades Micro'!$L70,"")</f>
        <v/>
      </c>
      <c r="AA70" s="21" t="str">
        <f>IF(AND('Atividades Micro'!$B70=AA$2,'Atividades Micro'!$K70&lt;&gt;""),'Atividades Micro'!$K70,"")</f>
        <v/>
      </c>
      <c r="AB70" s="21" t="str">
        <f>IF(AND('Atividades Micro'!$B70=AB$2,'Atividades Micro'!$L70&lt;&gt;""),'Atividades Micro'!$L70,"")</f>
        <v/>
      </c>
      <c r="AC70" s="21" t="str">
        <f>IF(AND('Atividades Micro'!$B70=AC$2,'Atividades Micro'!$K70&lt;&gt;""),'Atividades Micro'!$K70,"")</f>
        <v/>
      </c>
      <c r="AD70" s="21" t="str">
        <f>IF(AND('Atividades Micro'!$B70=AD$2,'Atividades Micro'!$L70&lt;&gt;""),'Atividades Micro'!$L70,"")</f>
        <v/>
      </c>
      <c r="AE70" s="21" t="str">
        <f>IF(AND('Atividades Micro'!$A70=AE$2,'Atividades Micro'!$K70&lt;&gt;""),'Atividades Micro'!$K70,"")</f>
        <v/>
      </c>
      <c r="AF70" s="21" t="str">
        <f>IF(AND('Atividades Micro'!$A70=AF$2,'Atividades Micro'!$L70&lt;&gt;""),'Atividades Micro'!$L70,"")</f>
        <v/>
      </c>
      <c r="AG70" s="21" t="str">
        <f>IF(AND('Atividades Micro'!$B70=AG$2,'Atividades Micro'!$K70&lt;&gt;""),'Atividades Micro'!$K70,"")</f>
        <v/>
      </c>
      <c r="AH70" s="21" t="str">
        <f>IF(AND('Atividades Micro'!$B70=AH$2,'Atividades Micro'!$L70&lt;&gt;""),'Atividades Micro'!$L70,"")</f>
        <v/>
      </c>
      <c r="AI70" s="21" t="str">
        <f>IF(AND('Atividades Micro'!$B70=AI$2,'Atividades Micro'!$K70&lt;&gt;""),'Atividades Micro'!$K70,"")</f>
        <v/>
      </c>
      <c r="AJ70" s="21" t="str">
        <f>IF(AND('Atividades Micro'!$B70=AJ$2,'Atividades Micro'!$L70&lt;&gt;""),'Atividades Micro'!$L70,"")</f>
        <v/>
      </c>
      <c r="AK70" s="21" t="str">
        <f>IF(AND('Atividades Micro'!$A70=AK$2,'Atividades Micro'!$K70&lt;&gt;""),'Atividades Micro'!$K70,"")</f>
        <v/>
      </c>
      <c r="AL70" s="21" t="str">
        <f>IF(AND('Atividades Micro'!$A70=AL$2,'Atividades Micro'!$L70&lt;&gt;""),'Atividades Micro'!$L70,"")</f>
        <v/>
      </c>
      <c r="AM70" s="21" t="str">
        <f>IF(AND('Atividades Micro'!$B70=AM$2,'Atividades Micro'!$K70&lt;&gt;""),'Atividades Micro'!$K70,"")</f>
        <v/>
      </c>
      <c r="AN70" s="21" t="str">
        <f>IF(AND('Atividades Micro'!$B70=AN$2,'Atividades Micro'!$L70&lt;&gt;""),'Atividades Micro'!$L70,"")</f>
        <v/>
      </c>
      <c r="AO70" s="21" t="str">
        <f>IF(AND('Atividades Micro'!$B70=AO$2,'Atividades Micro'!$K70&lt;&gt;""),'Atividades Micro'!$K70,"")</f>
        <v/>
      </c>
      <c r="AP70" s="21" t="str">
        <f>IF(AND('Atividades Micro'!$B70=AP$2,'Atividades Micro'!$L70&lt;&gt;""),'Atividades Micro'!$L70,"")</f>
        <v/>
      </c>
      <c r="AQ70" s="21" t="str">
        <f>IF(AND('Atividades Micro'!$A70=AQ$2,'Atividades Micro'!$K70&lt;&gt;""),'Atividades Micro'!$K70,"")</f>
        <v/>
      </c>
      <c r="AR70" s="21" t="str">
        <f>IF(AND('Atividades Micro'!$A70=AR$2,'Atividades Micro'!$L70&lt;&gt;""),'Atividades Micro'!$L70,"")</f>
        <v/>
      </c>
      <c r="AS70" s="21" t="str">
        <f>IF(AND('Atividades Micro'!$B70=AS$2,'Atividades Micro'!$K70&lt;&gt;""),'Atividades Micro'!$K70,"")</f>
        <v/>
      </c>
      <c r="AT70" s="21" t="str">
        <f>IF(AND('Atividades Micro'!$B70=AT$2,'Atividades Micro'!$L70&lt;&gt;""),'Atividades Micro'!$L70,"")</f>
        <v/>
      </c>
      <c r="AU70" s="21" t="str">
        <f>IF(AND('Atividades Micro'!$A70=AU$2,'Atividades Micro'!$K70&lt;&gt;""),'Atividades Micro'!$K70,"")</f>
        <v/>
      </c>
      <c r="AV70" s="21" t="str">
        <f>IF(AND('Atividades Micro'!$A70=AV$2,'Atividades Micro'!$L70&lt;&gt;""),'Atividades Micro'!$L70,"")</f>
        <v/>
      </c>
      <c r="AW70" s="21" t="str">
        <f>IF(AND('Atividades Micro'!$B70=AW$2,'Atividades Micro'!$K70&lt;&gt;""),'Atividades Micro'!$K70,"")</f>
        <v/>
      </c>
      <c r="AX70" s="21" t="str">
        <f>IF(AND('Atividades Micro'!$B70=AX$2,'Atividades Micro'!$L70&lt;&gt;""),'Atividades Micro'!$L70,"")</f>
        <v/>
      </c>
      <c r="AY70" s="21" t="str">
        <f>IF(AND('Atividades Micro'!$A70=AY$2,'Atividades Micro'!$K70&lt;&gt;""),'Atividades Micro'!$K70,"")</f>
        <v/>
      </c>
      <c r="AZ70" s="21" t="str">
        <f>IF(AND('Atividades Micro'!$A70=AZ$2,'Atividades Micro'!$L70&lt;&gt;""),'Atividades Micro'!$L70,"")</f>
        <v/>
      </c>
      <c r="BA70" s="21" t="str">
        <f>IF(AND('Atividades Micro'!$B70=BA$2,'Atividades Micro'!$K70&lt;&gt;""),'Atividades Micro'!$K70,"")</f>
        <v/>
      </c>
      <c r="BB70" s="21" t="str">
        <f>IF(AND('Atividades Micro'!$B70=BB$2,'Atividades Micro'!$L70&lt;&gt;""),'Atividades Micro'!$L70,"")</f>
        <v/>
      </c>
      <c r="BC70" s="21" t="str">
        <f>IF(AND('Atividades Micro'!$B70=BC$2,'Atividades Micro'!$G70="Macro",'Atividades Micro'!$K70&lt;&gt;""),'Atividades Micro'!$K70,"")</f>
        <v/>
      </c>
      <c r="BD70" s="21" t="str">
        <f>IF(AND('Atividades Micro'!$B70=BD$2,'Atividades Micro'!$G70="Macro",'Atividades Micro'!$K70&lt;&gt;""),'Atividades Micro'!$K70,"")</f>
        <v/>
      </c>
      <c r="BE70" s="21" t="str">
        <f>IF(AND('Atividades Micro'!$B70=BE$2,'Atividades Micro'!$G70="Macro",'Atividades Micro'!$K70&lt;&gt;""),'Atividades Micro'!$K70,"")</f>
        <v/>
      </c>
      <c r="BF70" s="21" t="str">
        <f>IF(AND('Atividades Micro'!$B70=BF$2,'Atividades Micro'!$G70="Macro",'Atividades Micro'!$K70&lt;&gt;""),'Atividades Micro'!$K70,"")</f>
        <v/>
      </c>
      <c r="BG70" s="21" t="str">
        <f>IF(AND('Atividades Micro'!$B70=BG$2,'Atividades Micro'!$G70="Macro",'Atividades Micro'!$K70&lt;&gt;""),'Atividades Micro'!$K70,"")</f>
        <v/>
      </c>
      <c r="BH70" s="21" t="str">
        <f>IF(AND('Atividades Micro'!$B70=BH$2,'Atividades Micro'!$G70="Macro",'Atividades Micro'!$K70&lt;&gt;""),'Atividades Micro'!$K70,"")</f>
        <v/>
      </c>
      <c r="BI70" s="21" t="str">
        <f>IF(AND('Atividades Micro'!$B70=BI$2,'Atividades Micro'!$G70="Macro",'Atividades Micro'!$K70&lt;&gt;""),'Atividades Micro'!$K70,"")</f>
        <v/>
      </c>
      <c r="BJ70" s="21" t="str">
        <f>IF(AND('Atividades Micro'!$B70=BJ$2,'Atividades Micro'!$G70="Macro",'Atividades Micro'!$K70&lt;&gt;""),'Atividades Micro'!$K70,"")</f>
        <v/>
      </c>
      <c r="BK70" s="21" t="str">
        <f>IF(AND('Atividades Micro'!$B70=BK$2,'Atividades Micro'!$G70="Macro",'Atividades Micro'!$K70&lt;&gt;""),'Atividades Micro'!$K70,"")</f>
        <v/>
      </c>
      <c r="BL70" s="21" t="str">
        <f>IF(AND('Atividades Micro'!$B70=BL$2,'Atividades Micro'!$G70="Macro",'Atividades Micro'!$K70&lt;&gt;""),'Atividades Micro'!$K70,"")</f>
        <v/>
      </c>
      <c r="BM70" s="21" t="str">
        <f>IF(AND('Atividades Micro'!$B70=BM$2,'Atividades Micro'!$G70="Macro",'Atividades Micro'!$K70&lt;&gt;""),'Atividades Micro'!$K70,"")</f>
        <v/>
      </c>
      <c r="BN70" s="21" t="str">
        <f>IF(AND('Atividades Micro'!$B70=BN$2,'Atividades Micro'!$G70="Macro",'Atividades Micro'!$K70&lt;&gt;""),'Atividades Micro'!$K70,"")</f>
        <v/>
      </c>
      <c r="BO70" s="21" t="str">
        <f>IF(AND('Atividades Micro'!$B70=BO$2,'Atividades Micro'!$G70="Macro",'Atividades Micro'!$K70&lt;&gt;""),'Atividades Micro'!$K70,"")</f>
        <v/>
      </c>
      <c r="BP70" s="21" t="str">
        <f>IF(AND('Atividades Micro'!$B70=BP$2,'Atividades Micro'!$G70="Macro",'Atividades Micro'!$K70&lt;&gt;""),'Atividades Micro'!$K70,"")</f>
        <v/>
      </c>
      <c r="BQ70" s="21" t="str">
        <f>IF(AND('Atividades Micro'!$B70=BQ$2,'Atividades Micro'!$G70="Macro",'Atividades Micro'!$K70&lt;&gt;""),'Atividades Micro'!$K70,"")</f>
        <v/>
      </c>
      <c r="BR70" s="21" t="str">
        <f>IF(AND('Atividades Micro'!$B70=BR$2,'Atividades Micro'!$G70="Macro",'Atividades Micro'!$K70&lt;&gt;""),'Atividades Micro'!$K70,"")</f>
        <v/>
      </c>
      <c r="BS70" s="21" t="str">
        <f>IF(AND('Atividades Micro'!$B70=BS$2,'Atividades Micro'!$G70="Macro",'Atividades Micro'!$K70&lt;&gt;""),'Atividades Micro'!$K70,"")</f>
        <v/>
      </c>
      <c r="BT70" s="21" t="str">
        <f>IF(AND('Atividades Micro'!$B70=BT$2,'Atividades Micro'!$G70="Macro",'Atividades Micro'!$K70&lt;&gt;""),'Atividades Micro'!$K70,"")</f>
        <v/>
      </c>
      <c r="BU70" s="21" t="str">
        <f>IF(AND('Atividades Micro'!$B70=BU$2,'Atividades Micro'!$G70="Macro",'Atividades Micro'!$K70&lt;&gt;""),'Atividades Micro'!$K70,"")</f>
        <v/>
      </c>
      <c r="BV70" s="21" t="str">
        <f>IF(AND('Atividades Micro'!$B70=BV$2,'Atividades Micro'!$G70="Macro",'Atividades Micro'!$K70&lt;&gt;""),'Atividades Micro'!$K70,"")</f>
        <v/>
      </c>
      <c r="BW70" s="21" t="str">
        <f>IF(AND('Atividades Micro'!$B70=BW$2,'Atividades Micro'!$G70="Macro",'Atividades Micro'!$K70&lt;&gt;""),'Atividades Micro'!$K70,"")</f>
        <v/>
      </c>
      <c r="BX70" s="21" t="str">
        <f>IF(AND('Atividades Micro'!$B70=BX$2,'Atividades Micro'!$G70="Macro",'Atividades Micro'!$K70&lt;&gt;""),'Atividades Micro'!$K70,"")</f>
        <v/>
      </c>
      <c r="BY70" s="21" t="str">
        <f>IF(AND('Atividades Micro'!$B70=BY$2,'Atividades Micro'!$G70="Macro",'Atividades Micro'!$K70&lt;&gt;""),'Atividades Micro'!$K70,"")</f>
        <v/>
      </c>
      <c r="BZ70" s="21" t="str">
        <f>IF(AND('Atividades Micro'!$B70=BZ$2,'Atividades Micro'!$G70="Macro",'Atividades Micro'!$K70&lt;&gt;""),'Atividades Micro'!$K70,"")</f>
        <v/>
      </c>
      <c r="CA70" s="21" t="str">
        <f>IF(AND('Atividades Micro'!$B70=CA$2,'Atividades Micro'!$G70="Macro",'Atividades Micro'!$K70&lt;&gt;""),'Atividades Micro'!$K70,"")</f>
        <v/>
      </c>
      <c r="CB70" s="21" t="str">
        <f>IF(AND('Atividades Micro'!$B70=CB$2,'Atividades Micro'!$G70="Macro",'Atividades Micro'!$K70&lt;&gt;""),'Atividades Micro'!$K70,"")</f>
        <v/>
      </c>
      <c r="CC70" s="21" t="str">
        <f>IF(AND('Atividades Micro'!$B70=CC$2,'Atividades Micro'!$G70="Macro",'Atividades Micro'!$K70&lt;&gt;""),'Atividades Micro'!$K70,"")</f>
        <v/>
      </c>
      <c r="CD70" s="21" t="str">
        <f>IF(AND('Atividades Micro'!$B70=CD$2,'Atividades Micro'!$G70="Micro",'Atividades Micro'!$K70&lt;&gt;""),'Atividades Micro'!$K70,"")</f>
        <v/>
      </c>
      <c r="CE70" s="21">
        <f>IF(AND('Atividades Micro'!$B70=CE$2,'Atividades Micro'!$G70="Micro",'Atividades Micro'!$K70&lt;&gt;""),'Atividades Micro'!$K70,"")</f>
        <v>46352</v>
      </c>
      <c r="CF70" s="21" t="str">
        <f>IF(AND('Atividades Micro'!$B70=CF$2,'Atividades Micro'!$G70="Micro",'Atividades Micro'!$K70&lt;&gt;""),'Atividades Micro'!$K70,"")</f>
        <v/>
      </c>
      <c r="CG70" s="21" t="str">
        <f>IF(AND('Atividades Micro'!$B70=CG$2,'Atividades Micro'!$G70="Micro",'Atividades Micro'!$K70&lt;&gt;""),'Atividades Micro'!$K70,"")</f>
        <v/>
      </c>
      <c r="CH70" s="21" t="str">
        <f>IF(AND('Atividades Micro'!$B70=CH$2,'Atividades Micro'!$G70="Micro",'Atividades Micro'!$K70&lt;&gt;""),'Atividades Micro'!$K70,"")</f>
        <v/>
      </c>
      <c r="CI70" s="21" t="str">
        <f>IF(AND('Atividades Micro'!$B70=CI$2,'Atividades Micro'!$G70="Micro",'Atividades Micro'!$K70&lt;&gt;""),'Atividades Micro'!$K70,"")</f>
        <v/>
      </c>
      <c r="CJ70" s="21" t="str">
        <f>IF(AND('Atividades Micro'!$B70=CJ$2,'Atividades Micro'!$G70="Micro",'Atividades Micro'!$K70&lt;&gt;""),'Atividades Micro'!$K70,"")</f>
        <v/>
      </c>
      <c r="CK70" s="21" t="str">
        <f>IF(AND('Atividades Micro'!$B70=CK$2,'Atividades Micro'!$G70="Micro",'Atividades Micro'!$K70&lt;&gt;""),'Atividades Micro'!$K70,"")</f>
        <v/>
      </c>
      <c r="CL70" s="21" t="str">
        <f>IF(AND('Atividades Micro'!$B70=CL$2,'Atividades Micro'!$G70="Micro",'Atividades Micro'!$K70&lt;&gt;""),'Atividades Micro'!$K70,"")</f>
        <v/>
      </c>
      <c r="CM70" s="21" t="str">
        <f>IF(AND('Atividades Micro'!$B70=CM$2,'Atividades Micro'!$G70="Micro",'Atividades Micro'!$K70&lt;&gt;""),'Atividades Micro'!$K70,"")</f>
        <v/>
      </c>
      <c r="CN70" s="21" t="str">
        <f>IF(AND('Atividades Micro'!$B70=CN$2,'Atividades Micro'!$G70="Micro",'Atividades Micro'!$K70&lt;&gt;""),'Atividades Micro'!$K70,"")</f>
        <v/>
      </c>
      <c r="CO70" s="21" t="str">
        <f>IF(AND('Atividades Micro'!$B70=CO$2,'Atividades Micro'!$G70="Micro",'Atividades Micro'!$K70&lt;&gt;""),'Atividades Micro'!$K70,"")</f>
        <v/>
      </c>
    </row>
    <row r="71" spans="1:93">
      <c r="A71" s="21" t="str">
        <f>IF(AND('Atividades Micro'!$A71=A$2,'Atividades Micro'!$K71&lt;&gt;""),'Atividades Micro'!$K71,"")</f>
        <v/>
      </c>
      <c r="B71" s="21" t="str">
        <f>IF(AND('Atividades Micro'!$A71=B$2,'Atividades Micro'!$L71&lt;&gt;""),'Atividades Micro'!$L71,"")</f>
        <v/>
      </c>
      <c r="C71" s="21" t="str">
        <f>IF(AND('Atividades Micro'!$A71=C$2,'Atividades Micro'!$K71&lt;&gt;""),'Atividades Micro'!$K71,"")</f>
        <v/>
      </c>
      <c r="D71" s="21" t="str">
        <f>IF(AND('Atividades Micro'!$A71=D$2,'Atividades Micro'!$L71&lt;&gt;""),'Atividades Micro'!$L71,"")</f>
        <v/>
      </c>
      <c r="E71" s="21" t="str">
        <f>IF(AND('Atividades Micro'!$A71=E$2,'Atividades Micro'!$K71&lt;&gt;""),'Atividades Micro'!$K71,"")</f>
        <v/>
      </c>
      <c r="F71" s="21" t="str">
        <f>IF(AND('Atividades Micro'!$A71=F$2,'Atividades Micro'!$L71&lt;&gt;""),'Atividades Micro'!$L71,"")</f>
        <v/>
      </c>
      <c r="G71" s="21" t="str">
        <f>IF(AND('Atividades Micro'!$A71=G$2,'Atividades Micro'!$K71&lt;&gt;""),'Atividades Micro'!$K71,"")</f>
        <v/>
      </c>
      <c r="H71" s="21" t="str">
        <f>IF(AND('Atividades Micro'!$A71=H$2,'Atividades Micro'!$L71&lt;&gt;""),'Atividades Micro'!$L71,"")</f>
        <v/>
      </c>
      <c r="I71" s="21">
        <f>IF(AND('Atividades Micro'!$A71=I$2,'Atividades Micro'!$K71&lt;&gt;""),'Atividades Micro'!$K71,"")</f>
        <v>46353</v>
      </c>
      <c r="J71" s="21">
        <f>IF(AND('Atividades Micro'!$A71=J$2,'Atividades Micro'!$L71&lt;&gt;""),'Atividades Micro'!$L71,"")</f>
        <v>46265</v>
      </c>
      <c r="K71" s="21" t="str">
        <f>IF(AND('Atividades Micro'!$B71=K$2,'Atividades Micro'!$K71&lt;&gt;""),'Atividades Micro'!$K71,"")</f>
        <v/>
      </c>
      <c r="L71" s="21" t="str">
        <f>IF(AND('Atividades Micro'!$B71=L$2,'Atividades Micro'!$L71&lt;&gt;""),'Atividades Micro'!$L71,"")</f>
        <v/>
      </c>
      <c r="M71" s="21">
        <f>IF(AND('Atividades Micro'!$B71=M$2,'Atividades Micro'!$K71&lt;&gt;""),'Atividades Micro'!$K71,"")</f>
        <v>46353</v>
      </c>
      <c r="N71" s="21">
        <f>IF(AND('Atividades Micro'!$B71=N$2,'Atividades Micro'!$L71&lt;&gt;""),'Atividades Micro'!$L71,"")</f>
        <v>46265</v>
      </c>
      <c r="O71" s="21" t="str">
        <f>IF(AND('Atividades Micro'!$A71=O$2,'Atividades Micro'!$K71&lt;&gt;""),'Atividades Micro'!$K71,"")</f>
        <v/>
      </c>
      <c r="P71" s="21" t="str">
        <f>IF(AND('Atividades Micro'!$A71=P$2,'Atividades Micro'!$L71&lt;&gt;""),'Atividades Micro'!$L71,"")</f>
        <v/>
      </c>
      <c r="Q71" s="21" t="str">
        <f>IF(AND('Atividades Micro'!$B71=Q$2,'Atividades Micro'!$K71&lt;&gt;""),'Atividades Micro'!$K71,"")</f>
        <v/>
      </c>
      <c r="R71" s="21" t="str">
        <f>IF(AND('Atividades Micro'!$B71=R$2,'Atividades Micro'!$L71&lt;&gt;""),'Atividades Micro'!$L71,"")</f>
        <v/>
      </c>
      <c r="S71" s="21" t="str">
        <f>IF(AND('Atividades Micro'!$A71=S$2,'Atividades Micro'!$K71&lt;&gt;""),'Atividades Micro'!$K71,"")</f>
        <v/>
      </c>
      <c r="T71" s="21" t="str">
        <f>IF(AND('Atividades Micro'!$A71=T$2,'Atividades Micro'!$L71&lt;&gt;""),'Atividades Micro'!$L71,"")</f>
        <v/>
      </c>
      <c r="U71" s="21" t="str">
        <f>IF(AND('Atividades Micro'!$B71=U$2,'Atividades Micro'!$K71&lt;&gt;""),'Atividades Micro'!$K71,"")</f>
        <v/>
      </c>
      <c r="V71" s="21" t="str">
        <f>IF(AND('Atividades Micro'!$B71=V$2,'Atividades Micro'!$L71&lt;&gt;""),'Atividades Micro'!$L71,"")</f>
        <v/>
      </c>
      <c r="W71" s="21" t="str">
        <f>IF(AND('Atividades Micro'!$B71=W$2,'Atividades Micro'!$K71&lt;&gt;""),'Atividades Micro'!$K71,"")</f>
        <v/>
      </c>
      <c r="X71" s="21" t="str">
        <f>IF(AND('Atividades Micro'!$B71=X$2,'Atividades Micro'!$L71&lt;&gt;""),'Atividades Micro'!$L71,"")</f>
        <v/>
      </c>
      <c r="Y71" s="21" t="str">
        <f>IF(AND('Atividades Micro'!$A71=Y$2,'Atividades Micro'!$K71&lt;&gt;""),'Atividades Micro'!$K71,"")</f>
        <v/>
      </c>
      <c r="Z71" s="21" t="str">
        <f>IF(AND('Atividades Micro'!$A71=Z$2,'Atividades Micro'!$L71&lt;&gt;""),'Atividades Micro'!$L71,"")</f>
        <v/>
      </c>
      <c r="AA71" s="21" t="str">
        <f>IF(AND('Atividades Micro'!$B71=AA$2,'Atividades Micro'!$K71&lt;&gt;""),'Atividades Micro'!$K71,"")</f>
        <v/>
      </c>
      <c r="AB71" s="21" t="str">
        <f>IF(AND('Atividades Micro'!$B71=AB$2,'Atividades Micro'!$L71&lt;&gt;""),'Atividades Micro'!$L71,"")</f>
        <v/>
      </c>
      <c r="AC71" s="21" t="str">
        <f>IF(AND('Atividades Micro'!$B71=AC$2,'Atividades Micro'!$K71&lt;&gt;""),'Atividades Micro'!$K71,"")</f>
        <v/>
      </c>
      <c r="AD71" s="21" t="str">
        <f>IF(AND('Atividades Micro'!$B71=AD$2,'Atividades Micro'!$L71&lt;&gt;""),'Atividades Micro'!$L71,"")</f>
        <v/>
      </c>
      <c r="AE71" s="21" t="str">
        <f>IF(AND('Atividades Micro'!$A71=AE$2,'Atividades Micro'!$K71&lt;&gt;""),'Atividades Micro'!$K71,"")</f>
        <v/>
      </c>
      <c r="AF71" s="21" t="str">
        <f>IF(AND('Atividades Micro'!$A71=AF$2,'Atividades Micro'!$L71&lt;&gt;""),'Atividades Micro'!$L71,"")</f>
        <v/>
      </c>
      <c r="AG71" s="21" t="str">
        <f>IF(AND('Atividades Micro'!$B71=AG$2,'Atividades Micro'!$K71&lt;&gt;""),'Atividades Micro'!$K71,"")</f>
        <v/>
      </c>
      <c r="AH71" s="21" t="str">
        <f>IF(AND('Atividades Micro'!$B71=AH$2,'Atividades Micro'!$L71&lt;&gt;""),'Atividades Micro'!$L71,"")</f>
        <v/>
      </c>
      <c r="AI71" s="21" t="str">
        <f>IF(AND('Atividades Micro'!$B71=AI$2,'Atividades Micro'!$K71&lt;&gt;""),'Atividades Micro'!$K71,"")</f>
        <v/>
      </c>
      <c r="AJ71" s="21" t="str">
        <f>IF(AND('Atividades Micro'!$B71=AJ$2,'Atividades Micro'!$L71&lt;&gt;""),'Atividades Micro'!$L71,"")</f>
        <v/>
      </c>
      <c r="AK71" s="21" t="str">
        <f>IF(AND('Atividades Micro'!$A71=AK$2,'Atividades Micro'!$K71&lt;&gt;""),'Atividades Micro'!$K71,"")</f>
        <v/>
      </c>
      <c r="AL71" s="21" t="str">
        <f>IF(AND('Atividades Micro'!$A71=AL$2,'Atividades Micro'!$L71&lt;&gt;""),'Atividades Micro'!$L71,"")</f>
        <v/>
      </c>
      <c r="AM71" s="21" t="str">
        <f>IF(AND('Atividades Micro'!$B71=AM$2,'Atividades Micro'!$K71&lt;&gt;""),'Atividades Micro'!$K71,"")</f>
        <v/>
      </c>
      <c r="AN71" s="21" t="str">
        <f>IF(AND('Atividades Micro'!$B71=AN$2,'Atividades Micro'!$L71&lt;&gt;""),'Atividades Micro'!$L71,"")</f>
        <v/>
      </c>
      <c r="AO71" s="21" t="str">
        <f>IF(AND('Atividades Micro'!$B71=AO$2,'Atividades Micro'!$K71&lt;&gt;""),'Atividades Micro'!$K71,"")</f>
        <v/>
      </c>
      <c r="AP71" s="21" t="str">
        <f>IF(AND('Atividades Micro'!$B71=AP$2,'Atividades Micro'!$L71&lt;&gt;""),'Atividades Micro'!$L71,"")</f>
        <v/>
      </c>
      <c r="AQ71" s="21" t="str">
        <f>IF(AND('Atividades Micro'!$A71=AQ$2,'Atividades Micro'!$K71&lt;&gt;""),'Atividades Micro'!$K71,"")</f>
        <v/>
      </c>
      <c r="AR71" s="21" t="str">
        <f>IF(AND('Atividades Micro'!$A71=AR$2,'Atividades Micro'!$L71&lt;&gt;""),'Atividades Micro'!$L71,"")</f>
        <v/>
      </c>
      <c r="AS71" s="21" t="str">
        <f>IF(AND('Atividades Micro'!$B71=AS$2,'Atividades Micro'!$K71&lt;&gt;""),'Atividades Micro'!$K71,"")</f>
        <v/>
      </c>
      <c r="AT71" s="21" t="str">
        <f>IF(AND('Atividades Micro'!$B71=AT$2,'Atividades Micro'!$L71&lt;&gt;""),'Atividades Micro'!$L71,"")</f>
        <v/>
      </c>
      <c r="AU71" s="21" t="str">
        <f>IF(AND('Atividades Micro'!$A71=AU$2,'Atividades Micro'!$K71&lt;&gt;""),'Atividades Micro'!$K71,"")</f>
        <v/>
      </c>
      <c r="AV71" s="21" t="str">
        <f>IF(AND('Atividades Micro'!$A71=AV$2,'Atividades Micro'!$L71&lt;&gt;""),'Atividades Micro'!$L71,"")</f>
        <v/>
      </c>
      <c r="AW71" s="21" t="str">
        <f>IF(AND('Atividades Micro'!$B71=AW$2,'Atividades Micro'!$K71&lt;&gt;""),'Atividades Micro'!$K71,"")</f>
        <v/>
      </c>
      <c r="AX71" s="21" t="str">
        <f>IF(AND('Atividades Micro'!$B71=AX$2,'Atividades Micro'!$L71&lt;&gt;""),'Atividades Micro'!$L71,"")</f>
        <v/>
      </c>
      <c r="AY71" s="21" t="str">
        <f>IF(AND('Atividades Micro'!$A71=AY$2,'Atividades Micro'!$K71&lt;&gt;""),'Atividades Micro'!$K71,"")</f>
        <v/>
      </c>
      <c r="AZ71" s="21" t="str">
        <f>IF(AND('Atividades Micro'!$A71=AZ$2,'Atividades Micro'!$L71&lt;&gt;""),'Atividades Micro'!$L71,"")</f>
        <v/>
      </c>
      <c r="BA71" s="21" t="str">
        <f>IF(AND('Atividades Micro'!$B71=BA$2,'Atividades Micro'!$K71&lt;&gt;""),'Atividades Micro'!$K71,"")</f>
        <v/>
      </c>
      <c r="BB71" s="21" t="str">
        <f>IF(AND('Atividades Micro'!$B71=BB$2,'Atividades Micro'!$L71&lt;&gt;""),'Atividades Micro'!$L71,"")</f>
        <v/>
      </c>
      <c r="BC71" s="21" t="str">
        <f>IF(AND('Atividades Micro'!$B71=BC$2,'Atividades Micro'!$G71="Macro",'Atividades Micro'!$K71&lt;&gt;""),'Atividades Micro'!$K71,"")</f>
        <v/>
      </c>
      <c r="BD71" s="21" t="str">
        <f>IF(AND('Atividades Micro'!$B71=BD$2,'Atividades Micro'!$G71="Macro",'Atividades Micro'!$K71&lt;&gt;""),'Atividades Micro'!$K71,"")</f>
        <v/>
      </c>
      <c r="BE71" s="21" t="str">
        <f>IF(AND('Atividades Micro'!$B71=BE$2,'Atividades Micro'!$G71="Macro",'Atividades Micro'!$K71&lt;&gt;""),'Atividades Micro'!$K71,"")</f>
        <v/>
      </c>
      <c r="BF71" s="21" t="str">
        <f>IF(AND('Atividades Micro'!$B71=BF$2,'Atividades Micro'!$G71="Macro",'Atividades Micro'!$K71&lt;&gt;""),'Atividades Micro'!$K71,"")</f>
        <v/>
      </c>
      <c r="BG71" s="21" t="str">
        <f>IF(AND('Atividades Micro'!$B71=BG$2,'Atividades Micro'!$G71="Macro",'Atividades Micro'!$K71&lt;&gt;""),'Atividades Micro'!$K71,"")</f>
        <v/>
      </c>
      <c r="BH71" s="21" t="str">
        <f>IF(AND('Atividades Micro'!$B71=BH$2,'Atividades Micro'!$G71="Macro",'Atividades Micro'!$K71&lt;&gt;""),'Atividades Micro'!$K71,"")</f>
        <v/>
      </c>
      <c r="BI71" s="21" t="str">
        <f>IF(AND('Atividades Micro'!$B71=BI$2,'Atividades Micro'!$G71="Macro",'Atividades Micro'!$K71&lt;&gt;""),'Atividades Micro'!$K71,"")</f>
        <v/>
      </c>
      <c r="BJ71" s="21" t="str">
        <f>IF(AND('Atividades Micro'!$B71=BJ$2,'Atividades Micro'!$G71="Macro",'Atividades Micro'!$K71&lt;&gt;""),'Atividades Micro'!$K71,"")</f>
        <v/>
      </c>
      <c r="BK71" s="21" t="str">
        <f>IF(AND('Atividades Micro'!$B71=BK$2,'Atividades Micro'!$G71="Macro",'Atividades Micro'!$K71&lt;&gt;""),'Atividades Micro'!$K71,"")</f>
        <v/>
      </c>
      <c r="BL71" s="21" t="str">
        <f>IF(AND('Atividades Micro'!$B71=BL$2,'Atividades Micro'!$G71="Macro",'Atividades Micro'!$K71&lt;&gt;""),'Atividades Micro'!$K71,"")</f>
        <v/>
      </c>
      <c r="BM71" s="21" t="str">
        <f>IF(AND('Atividades Micro'!$B71=BM$2,'Atividades Micro'!$G71="Macro",'Atividades Micro'!$K71&lt;&gt;""),'Atividades Micro'!$K71,"")</f>
        <v/>
      </c>
      <c r="BN71" s="21" t="str">
        <f>IF(AND('Atividades Micro'!$B71=BN$2,'Atividades Micro'!$G71="Macro",'Atividades Micro'!$K71&lt;&gt;""),'Atividades Micro'!$K71,"")</f>
        <v/>
      </c>
      <c r="BO71" s="21" t="str">
        <f>IF(AND('Atividades Micro'!$B71=BO$2,'Atividades Micro'!$G71="Macro",'Atividades Micro'!$K71&lt;&gt;""),'Atividades Micro'!$K71,"")</f>
        <v/>
      </c>
      <c r="BP71" s="21" t="str">
        <f>IF(AND('Atividades Micro'!$B71=BP$2,'Atividades Micro'!$G71="Macro",'Atividades Micro'!$K71&lt;&gt;""),'Atividades Micro'!$K71,"")</f>
        <v/>
      </c>
      <c r="BQ71" s="21" t="str">
        <f>IF(AND('Atividades Micro'!$B71=BQ$2,'Atividades Micro'!$G71="Macro",'Atividades Micro'!$K71&lt;&gt;""),'Atividades Micro'!$K71,"")</f>
        <v/>
      </c>
      <c r="BR71" s="21" t="str">
        <f>IF(AND('Atividades Micro'!$B71=BR$2,'Atividades Micro'!$G71="Macro",'Atividades Micro'!$K71&lt;&gt;""),'Atividades Micro'!$K71,"")</f>
        <v/>
      </c>
      <c r="BS71" s="21" t="str">
        <f>IF(AND('Atividades Micro'!$B71=BS$2,'Atividades Micro'!$G71="Macro",'Atividades Micro'!$K71&lt;&gt;""),'Atividades Micro'!$K71,"")</f>
        <v/>
      </c>
      <c r="BT71" s="21" t="str">
        <f>IF(AND('Atividades Micro'!$B71=BT$2,'Atividades Micro'!$G71="Macro",'Atividades Micro'!$K71&lt;&gt;""),'Atividades Micro'!$K71,"")</f>
        <v/>
      </c>
      <c r="BU71" s="21" t="str">
        <f>IF(AND('Atividades Micro'!$B71=BU$2,'Atividades Micro'!$G71="Macro",'Atividades Micro'!$K71&lt;&gt;""),'Atividades Micro'!$K71,"")</f>
        <v/>
      </c>
      <c r="BV71" s="21" t="str">
        <f>IF(AND('Atividades Micro'!$B71=BV$2,'Atividades Micro'!$G71="Macro",'Atividades Micro'!$K71&lt;&gt;""),'Atividades Micro'!$K71,"")</f>
        <v/>
      </c>
      <c r="BW71" s="21" t="str">
        <f>IF(AND('Atividades Micro'!$B71=BW$2,'Atividades Micro'!$G71="Macro",'Atividades Micro'!$K71&lt;&gt;""),'Atividades Micro'!$K71,"")</f>
        <v/>
      </c>
      <c r="BX71" s="21" t="str">
        <f>IF(AND('Atividades Micro'!$B71=BX$2,'Atividades Micro'!$G71="Macro",'Atividades Micro'!$K71&lt;&gt;""),'Atividades Micro'!$K71,"")</f>
        <v/>
      </c>
      <c r="BY71" s="21" t="str">
        <f>IF(AND('Atividades Micro'!$B71=BY$2,'Atividades Micro'!$G71="Macro",'Atividades Micro'!$K71&lt;&gt;""),'Atividades Micro'!$K71,"")</f>
        <v/>
      </c>
      <c r="BZ71" s="21" t="str">
        <f>IF(AND('Atividades Micro'!$B71=BZ$2,'Atividades Micro'!$G71="Macro",'Atividades Micro'!$K71&lt;&gt;""),'Atividades Micro'!$K71,"")</f>
        <v/>
      </c>
      <c r="CA71" s="21" t="str">
        <f>IF(AND('Atividades Micro'!$B71=CA$2,'Atividades Micro'!$G71="Macro",'Atividades Micro'!$K71&lt;&gt;""),'Atividades Micro'!$K71,"")</f>
        <v/>
      </c>
      <c r="CB71" s="21" t="str">
        <f>IF(AND('Atividades Micro'!$B71=CB$2,'Atividades Micro'!$G71="Macro",'Atividades Micro'!$K71&lt;&gt;""),'Atividades Micro'!$K71,"")</f>
        <v/>
      </c>
      <c r="CC71" s="21" t="str">
        <f>IF(AND('Atividades Micro'!$B71=CC$2,'Atividades Micro'!$G71="Macro",'Atividades Micro'!$K71&lt;&gt;""),'Atividades Micro'!$K71,"")</f>
        <v/>
      </c>
      <c r="CD71" s="21" t="str">
        <f>IF(AND('Atividades Micro'!$B71=CD$2,'Atividades Micro'!$G71="Micro",'Atividades Micro'!$K71&lt;&gt;""),'Atividades Micro'!$K71,"")</f>
        <v/>
      </c>
      <c r="CE71" s="21">
        <f>IF(AND('Atividades Micro'!$B71=CE$2,'Atividades Micro'!$G71="Micro",'Atividades Micro'!$K71&lt;&gt;""),'Atividades Micro'!$K71,"")</f>
        <v>46353</v>
      </c>
      <c r="CF71" s="21" t="str">
        <f>IF(AND('Atividades Micro'!$B71=CF$2,'Atividades Micro'!$G71="Micro",'Atividades Micro'!$K71&lt;&gt;""),'Atividades Micro'!$K71,"")</f>
        <v/>
      </c>
      <c r="CG71" s="21" t="str">
        <f>IF(AND('Atividades Micro'!$B71=CG$2,'Atividades Micro'!$G71="Micro",'Atividades Micro'!$K71&lt;&gt;""),'Atividades Micro'!$K71,"")</f>
        <v/>
      </c>
      <c r="CH71" s="21" t="str">
        <f>IF(AND('Atividades Micro'!$B71=CH$2,'Atividades Micro'!$G71="Micro",'Atividades Micro'!$K71&lt;&gt;""),'Atividades Micro'!$K71,"")</f>
        <v/>
      </c>
      <c r="CI71" s="21" t="str">
        <f>IF(AND('Atividades Micro'!$B71=CI$2,'Atividades Micro'!$G71="Micro",'Atividades Micro'!$K71&lt;&gt;""),'Atividades Micro'!$K71,"")</f>
        <v/>
      </c>
      <c r="CJ71" s="21" t="str">
        <f>IF(AND('Atividades Micro'!$B71=CJ$2,'Atividades Micro'!$G71="Micro",'Atividades Micro'!$K71&lt;&gt;""),'Atividades Micro'!$K71,"")</f>
        <v/>
      </c>
      <c r="CK71" s="21" t="str">
        <f>IF(AND('Atividades Micro'!$B71=CK$2,'Atividades Micro'!$G71="Micro",'Atividades Micro'!$K71&lt;&gt;""),'Atividades Micro'!$K71,"")</f>
        <v/>
      </c>
      <c r="CL71" s="21" t="str">
        <f>IF(AND('Atividades Micro'!$B71=CL$2,'Atividades Micro'!$G71="Micro",'Atividades Micro'!$K71&lt;&gt;""),'Atividades Micro'!$K71,"")</f>
        <v/>
      </c>
      <c r="CM71" s="21" t="str">
        <f>IF(AND('Atividades Micro'!$B71=CM$2,'Atividades Micro'!$G71="Micro",'Atividades Micro'!$K71&lt;&gt;""),'Atividades Micro'!$K71,"")</f>
        <v/>
      </c>
      <c r="CN71" s="21" t="str">
        <f>IF(AND('Atividades Micro'!$B71=CN$2,'Atividades Micro'!$G71="Micro",'Atividades Micro'!$K71&lt;&gt;""),'Atividades Micro'!$K71,"")</f>
        <v/>
      </c>
      <c r="CO71" s="21" t="str">
        <f>IF(AND('Atividades Micro'!$B71=CO$2,'Atividades Micro'!$G71="Micro",'Atividades Micro'!$K71&lt;&gt;""),'Atividades Micro'!$K71,"")</f>
        <v/>
      </c>
    </row>
    <row r="72" spans="1:93">
      <c r="A72" s="21" t="str">
        <f>IF(AND('Atividades Micro'!$A72=A$2,'Atividades Micro'!$K72&lt;&gt;""),'Atividades Micro'!$K72,"")</f>
        <v/>
      </c>
      <c r="B72" s="21" t="str">
        <f>IF(AND('Atividades Micro'!$A72=B$2,'Atividades Micro'!$L72&lt;&gt;""),'Atividades Micro'!$L72,"")</f>
        <v/>
      </c>
      <c r="C72" s="21" t="str">
        <f>IF(AND('Atividades Micro'!$A72=C$2,'Atividades Micro'!$K72&lt;&gt;""),'Atividades Micro'!$K72,"")</f>
        <v/>
      </c>
      <c r="D72" s="21" t="str">
        <f>IF(AND('Atividades Micro'!$A72=D$2,'Atividades Micro'!$L72&lt;&gt;""),'Atividades Micro'!$L72,"")</f>
        <v/>
      </c>
      <c r="E72" s="21" t="str">
        <f>IF(AND('Atividades Micro'!$A72=E$2,'Atividades Micro'!$K72&lt;&gt;""),'Atividades Micro'!$K72,"")</f>
        <v/>
      </c>
      <c r="F72" s="21" t="str">
        <f>IF(AND('Atividades Micro'!$A72=F$2,'Atividades Micro'!$L72&lt;&gt;""),'Atividades Micro'!$L72,"")</f>
        <v/>
      </c>
      <c r="G72" s="21" t="str">
        <f>IF(AND('Atividades Micro'!$A72=G$2,'Atividades Micro'!$K72&lt;&gt;""),'Atividades Micro'!$K72,"")</f>
        <v/>
      </c>
      <c r="H72" s="21" t="str">
        <f>IF(AND('Atividades Micro'!$A72=H$2,'Atividades Micro'!$L72&lt;&gt;""),'Atividades Micro'!$L72,"")</f>
        <v/>
      </c>
      <c r="I72" s="21">
        <f>IF(AND('Atividades Micro'!$A72=I$2,'Atividades Micro'!$K72&lt;&gt;""),'Atividades Micro'!$K72,"")</f>
        <v>46345</v>
      </c>
      <c r="J72" s="21">
        <f>IF(AND('Atividades Micro'!$A72=J$2,'Atividades Micro'!$L72&lt;&gt;""),'Atividades Micro'!$L72,"")</f>
        <v>46269</v>
      </c>
      <c r="K72" s="21" t="str">
        <f>IF(AND('Atividades Micro'!$B72=K$2,'Atividades Micro'!$K72&lt;&gt;""),'Atividades Micro'!$K72,"")</f>
        <v/>
      </c>
      <c r="L72" s="21" t="str">
        <f>IF(AND('Atividades Micro'!$B72=L$2,'Atividades Micro'!$L72&lt;&gt;""),'Atividades Micro'!$L72,"")</f>
        <v/>
      </c>
      <c r="M72" s="21">
        <f>IF(AND('Atividades Micro'!$B72=M$2,'Atividades Micro'!$K72&lt;&gt;""),'Atividades Micro'!$K72,"")</f>
        <v>46345</v>
      </c>
      <c r="N72" s="21">
        <f>IF(AND('Atividades Micro'!$B72=N$2,'Atividades Micro'!$L72&lt;&gt;""),'Atividades Micro'!$L72,"")</f>
        <v>46269</v>
      </c>
      <c r="O72" s="21" t="str">
        <f>IF(AND('Atividades Micro'!$A72=O$2,'Atividades Micro'!$K72&lt;&gt;""),'Atividades Micro'!$K72,"")</f>
        <v/>
      </c>
      <c r="P72" s="21" t="str">
        <f>IF(AND('Atividades Micro'!$A72=P$2,'Atividades Micro'!$L72&lt;&gt;""),'Atividades Micro'!$L72,"")</f>
        <v/>
      </c>
      <c r="Q72" s="21" t="str">
        <f>IF(AND('Atividades Micro'!$B72=Q$2,'Atividades Micro'!$K72&lt;&gt;""),'Atividades Micro'!$K72,"")</f>
        <v/>
      </c>
      <c r="R72" s="21" t="str">
        <f>IF(AND('Atividades Micro'!$B72=R$2,'Atividades Micro'!$L72&lt;&gt;""),'Atividades Micro'!$L72,"")</f>
        <v/>
      </c>
      <c r="S72" s="21" t="str">
        <f>IF(AND('Atividades Micro'!$A72=S$2,'Atividades Micro'!$K72&lt;&gt;""),'Atividades Micro'!$K72,"")</f>
        <v/>
      </c>
      <c r="T72" s="21" t="str">
        <f>IF(AND('Atividades Micro'!$A72=T$2,'Atividades Micro'!$L72&lt;&gt;""),'Atividades Micro'!$L72,"")</f>
        <v/>
      </c>
      <c r="U72" s="21" t="str">
        <f>IF(AND('Atividades Micro'!$B72=U$2,'Atividades Micro'!$K72&lt;&gt;""),'Atividades Micro'!$K72,"")</f>
        <v/>
      </c>
      <c r="V72" s="21" t="str">
        <f>IF(AND('Atividades Micro'!$B72=V$2,'Atividades Micro'!$L72&lt;&gt;""),'Atividades Micro'!$L72,"")</f>
        <v/>
      </c>
      <c r="W72" s="21" t="str">
        <f>IF(AND('Atividades Micro'!$B72=W$2,'Atividades Micro'!$K72&lt;&gt;""),'Atividades Micro'!$K72,"")</f>
        <v/>
      </c>
      <c r="X72" s="21" t="str">
        <f>IF(AND('Atividades Micro'!$B72=X$2,'Atividades Micro'!$L72&lt;&gt;""),'Atividades Micro'!$L72,"")</f>
        <v/>
      </c>
      <c r="Y72" s="21" t="str">
        <f>IF(AND('Atividades Micro'!$A72=Y$2,'Atividades Micro'!$K72&lt;&gt;""),'Atividades Micro'!$K72,"")</f>
        <v/>
      </c>
      <c r="Z72" s="21" t="str">
        <f>IF(AND('Atividades Micro'!$A72=Z$2,'Atividades Micro'!$L72&lt;&gt;""),'Atividades Micro'!$L72,"")</f>
        <v/>
      </c>
      <c r="AA72" s="21" t="str">
        <f>IF(AND('Atividades Micro'!$B72=AA$2,'Atividades Micro'!$K72&lt;&gt;""),'Atividades Micro'!$K72,"")</f>
        <v/>
      </c>
      <c r="AB72" s="21" t="str">
        <f>IF(AND('Atividades Micro'!$B72=AB$2,'Atividades Micro'!$L72&lt;&gt;""),'Atividades Micro'!$L72,"")</f>
        <v/>
      </c>
      <c r="AC72" s="21" t="str">
        <f>IF(AND('Atividades Micro'!$B72=AC$2,'Atividades Micro'!$K72&lt;&gt;""),'Atividades Micro'!$K72,"")</f>
        <v/>
      </c>
      <c r="AD72" s="21" t="str">
        <f>IF(AND('Atividades Micro'!$B72=AD$2,'Atividades Micro'!$L72&lt;&gt;""),'Atividades Micro'!$L72,"")</f>
        <v/>
      </c>
      <c r="AE72" s="21" t="str">
        <f>IF(AND('Atividades Micro'!$A72=AE$2,'Atividades Micro'!$K72&lt;&gt;""),'Atividades Micro'!$K72,"")</f>
        <v/>
      </c>
      <c r="AF72" s="21" t="str">
        <f>IF(AND('Atividades Micro'!$A72=AF$2,'Atividades Micro'!$L72&lt;&gt;""),'Atividades Micro'!$L72,"")</f>
        <v/>
      </c>
      <c r="AG72" s="21" t="str">
        <f>IF(AND('Atividades Micro'!$B72=AG$2,'Atividades Micro'!$K72&lt;&gt;""),'Atividades Micro'!$K72,"")</f>
        <v/>
      </c>
      <c r="AH72" s="21" t="str">
        <f>IF(AND('Atividades Micro'!$B72=AH$2,'Atividades Micro'!$L72&lt;&gt;""),'Atividades Micro'!$L72,"")</f>
        <v/>
      </c>
      <c r="AI72" s="21" t="str">
        <f>IF(AND('Atividades Micro'!$B72=AI$2,'Atividades Micro'!$K72&lt;&gt;""),'Atividades Micro'!$K72,"")</f>
        <v/>
      </c>
      <c r="AJ72" s="21" t="str">
        <f>IF(AND('Atividades Micro'!$B72=AJ$2,'Atividades Micro'!$L72&lt;&gt;""),'Atividades Micro'!$L72,"")</f>
        <v/>
      </c>
      <c r="AK72" s="21" t="str">
        <f>IF(AND('Atividades Micro'!$A72=AK$2,'Atividades Micro'!$K72&lt;&gt;""),'Atividades Micro'!$K72,"")</f>
        <v/>
      </c>
      <c r="AL72" s="21" t="str">
        <f>IF(AND('Atividades Micro'!$A72=AL$2,'Atividades Micro'!$L72&lt;&gt;""),'Atividades Micro'!$L72,"")</f>
        <v/>
      </c>
      <c r="AM72" s="21" t="str">
        <f>IF(AND('Atividades Micro'!$B72=AM$2,'Atividades Micro'!$K72&lt;&gt;""),'Atividades Micro'!$K72,"")</f>
        <v/>
      </c>
      <c r="AN72" s="21" t="str">
        <f>IF(AND('Atividades Micro'!$B72=AN$2,'Atividades Micro'!$L72&lt;&gt;""),'Atividades Micro'!$L72,"")</f>
        <v/>
      </c>
      <c r="AO72" s="21" t="str">
        <f>IF(AND('Atividades Micro'!$B72=AO$2,'Atividades Micro'!$K72&lt;&gt;""),'Atividades Micro'!$K72,"")</f>
        <v/>
      </c>
      <c r="AP72" s="21" t="str">
        <f>IF(AND('Atividades Micro'!$B72=AP$2,'Atividades Micro'!$L72&lt;&gt;""),'Atividades Micro'!$L72,"")</f>
        <v/>
      </c>
      <c r="AQ72" s="21" t="str">
        <f>IF(AND('Atividades Micro'!$A72=AQ$2,'Atividades Micro'!$K72&lt;&gt;""),'Atividades Micro'!$K72,"")</f>
        <v/>
      </c>
      <c r="AR72" s="21" t="str">
        <f>IF(AND('Atividades Micro'!$A72=AR$2,'Atividades Micro'!$L72&lt;&gt;""),'Atividades Micro'!$L72,"")</f>
        <v/>
      </c>
      <c r="AS72" s="21" t="str">
        <f>IF(AND('Atividades Micro'!$B72=AS$2,'Atividades Micro'!$K72&lt;&gt;""),'Atividades Micro'!$K72,"")</f>
        <v/>
      </c>
      <c r="AT72" s="21" t="str">
        <f>IF(AND('Atividades Micro'!$B72=AT$2,'Atividades Micro'!$L72&lt;&gt;""),'Atividades Micro'!$L72,"")</f>
        <v/>
      </c>
      <c r="AU72" s="21" t="str">
        <f>IF(AND('Atividades Micro'!$A72=AU$2,'Atividades Micro'!$K72&lt;&gt;""),'Atividades Micro'!$K72,"")</f>
        <v/>
      </c>
      <c r="AV72" s="21" t="str">
        <f>IF(AND('Atividades Micro'!$A72=AV$2,'Atividades Micro'!$L72&lt;&gt;""),'Atividades Micro'!$L72,"")</f>
        <v/>
      </c>
      <c r="AW72" s="21" t="str">
        <f>IF(AND('Atividades Micro'!$B72=AW$2,'Atividades Micro'!$K72&lt;&gt;""),'Atividades Micro'!$K72,"")</f>
        <v/>
      </c>
      <c r="AX72" s="21" t="str">
        <f>IF(AND('Atividades Micro'!$B72=AX$2,'Atividades Micro'!$L72&lt;&gt;""),'Atividades Micro'!$L72,"")</f>
        <v/>
      </c>
      <c r="AY72" s="21" t="str">
        <f>IF(AND('Atividades Micro'!$A72=AY$2,'Atividades Micro'!$K72&lt;&gt;""),'Atividades Micro'!$K72,"")</f>
        <v/>
      </c>
      <c r="AZ72" s="21" t="str">
        <f>IF(AND('Atividades Micro'!$A72=AZ$2,'Atividades Micro'!$L72&lt;&gt;""),'Atividades Micro'!$L72,"")</f>
        <v/>
      </c>
      <c r="BA72" s="21" t="str">
        <f>IF(AND('Atividades Micro'!$B72=BA$2,'Atividades Micro'!$K72&lt;&gt;""),'Atividades Micro'!$K72,"")</f>
        <v/>
      </c>
      <c r="BB72" s="21" t="str">
        <f>IF(AND('Atividades Micro'!$B72=BB$2,'Atividades Micro'!$L72&lt;&gt;""),'Atividades Micro'!$L72,"")</f>
        <v/>
      </c>
      <c r="BC72" s="21" t="str">
        <f>IF(AND('Atividades Micro'!$B72=BC$2,'Atividades Micro'!$G72="Macro",'Atividades Micro'!$K72&lt;&gt;""),'Atividades Micro'!$K72,"")</f>
        <v/>
      </c>
      <c r="BD72" s="21" t="str">
        <f>IF(AND('Atividades Micro'!$B72=BD$2,'Atividades Micro'!$G72="Macro",'Atividades Micro'!$K72&lt;&gt;""),'Atividades Micro'!$K72,"")</f>
        <v/>
      </c>
      <c r="BE72" s="21" t="str">
        <f>IF(AND('Atividades Micro'!$B72=BE$2,'Atividades Micro'!$G72="Macro",'Atividades Micro'!$K72&lt;&gt;""),'Atividades Micro'!$K72,"")</f>
        <v/>
      </c>
      <c r="BF72" s="21" t="str">
        <f>IF(AND('Atividades Micro'!$B72=BF$2,'Atividades Micro'!$G72="Macro",'Atividades Micro'!$K72&lt;&gt;""),'Atividades Micro'!$K72,"")</f>
        <v/>
      </c>
      <c r="BG72" s="21" t="str">
        <f>IF(AND('Atividades Micro'!$B72=BG$2,'Atividades Micro'!$G72="Macro",'Atividades Micro'!$K72&lt;&gt;""),'Atividades Micro'!$K72,"")</f>
        <v/>
      </c>
      <c r="BH72" s="21" t="str">
        <f>IF(AND('Atividades Micro'!$B72=BH$2,'Atividades Micro'!$G72="Macro",'Atividades Micro'!$K72&lt;&gt;""),'Atividades Micro'!$K72,"")</f>
        <v/>
      </c>
      <c r="BI72" s="21" t="str">
        <f>IF(AND('Atividades Micro'!$B72=BI$2,'Atividades Micro'!$G72="Macro",'Atividades Micro'!$K72&lt;&gt;""),'Atividades Micro'!$K72,"")</f>
        <v/>
      </c>
      <c r="BJ72" s="21" t="str">
        <f>IF(AND('Atividades Micro'!$B72=BJ$2,'Atividades Micro'!$G72="Macro",'Atividades Micro'!$K72&lt;&gt;""),'Atividades Micro'!$K72,"")</f>
        <v/>
      </c>
      <c r="BK72" s="21" t="str">
        <f>IF(AND('Atividades Micro'!$B72=BK$2,'Atividades Micro'!$G72="Macro",'Atividades Micro'!$K72&lt;&gt;""),'Atividades Micro'!$K72,"")</f>
        <v/>
      </c>
      <c r="BL72" s="21" t="str">
        <f>IF(AND('Atividades Micro'!$B72=BL$2,'Atividades Micro'!$G72="Macro",'Atividades Micro'!$K72&lt;&gt;""),'Atividades Micro'!$K72,"")</f>
        <v/>
      </c>
      <c r="BM72" s="21" t="str">
        <f>IF(AND('Atividades Micro'!$B72=BM$2,'Atividades Micro'!$G72="Macro",'Atividades Micro'!$K72&lt;&gt;""),'Atividades Micro'!$K72,"")</f>
        <v/>
      </c>
      <c r="BN72" s="21" t="str">
        <f>IF(AND('Atividades Micro'!$B72=BN$2,'Atividades Micro'!$G72="Macro",'Atividades Micro'!$K72&lt;&gt;""),'Atividades Micro'!$K72,"")</f>
        <v/>
      </c>
      <c r="BO72" s="21" t="str">
        <f>IF(AND('Atividades Micro'!$B72=BO$2,'Atividades Micro'!$G72="Macro",'Atividades Micro'!$K72&lt;&gt;""),'Atividades Micro'!$K72,"")</f>
        <v/>
      </c>
      <c r="BP72" s="21" t="str">
        <f>IF(AND('Atividades Micro'!$B72=BP$2,'Atividades Micro'!$G72="Macro",'Atividades Micro'!$K72&lt;&gt;""),'Atividades Micro'!$K72,"")</f>
        <v/>
      </c>
      <c r="BQ72" s="21" t="str">
        <f>IF(AND('Atividades Micro'!$B72=BQ$2,'Atividades Micro'!$G72="Macro",'Atividades Micro'!$K72&lt;&gt;""),'Atividades Micro'!$K72,"")</f>
        <v/>
      </c>
      <c r="BR72" s="21" t="str">
        <f>IF(AND('Atividades Micro'!$B72=BR$2,'Atividades Micro'!$G72="Macro",'Atividades Micro'!$K72&lt;&gt;""),'Atividades Micro'!$K72,"")</f>
        <v/>
      </c>
      <c r="BS72" s="21" t="str">
        <f>IF(AND('Atividades Micro'!$B72=BS$2,'Atividades Micro'!$G72="Macro",'Atividades Micro'!$K72&lt;&gt;""),'Atividades Micro'!$K72,"")</f>
        <v/>
      </c>
      <c r="BT72" s="21" t="str">
        <f>IF(AND('Atividades Micro'!$B72=BT$2,'Atividades Micro'!$G72="Macro",'Atividades Micro'!$K72&lt;&gt;""),'Atividades Micro'!$K72,"")</f>
        <v/>
      </c>
      <c r="BU72" s="21" t="str">
        <f>IF(AND('Atividades Micro'!$B72=BU$2,'Atividades Micro'!$G72="Macro",'Atividades Micro'!$K72&lt;&gt;""),'Atividades Micro'!$K72,"")</f>
        <v/>
      </c>
      <c r="BV72" s="21" t="str">
        <f>IF(AND('Atividades Micro'!$B72=BV$2,'Atividades Micro'!$G72="Macro",'Atividades Micro'!$K72&lt;&gt;""),'Atividades Micro'!$K72,"")</f>
        <v/>
      </c>
      <c r="BW72" s="21" t="str">
        <f>IF(AND('Atividades Micro'!$B72=BW$2,'Atividades Micro'!$G72="Macro",'Atividades Micro'!$K72&lt;&gt;""),'Atividades Micro'!$K72,"")</f>
        <v/>
      </c>
      <c r="BX72" s="21" t="str">
        <f>IF(AND('Atividades Micro'!$B72=BX$2,'Atividades Micro'!$G72="Macro",'Atividades Micro'!$K72&lt;&gt;""),'Atividades Micro'!$K72,"")</f>
        <v/>
      </c>
      <c r="BY72" s="21" t="str">
        <f>IF(AND('Atividades Micro'!$B72=BY$2,'Atividades Micro'!$G72="Macro",'Atividades Micro'!$K72&lt;&gt;""),'Atividades Micro'!$K72,"")</f>
        <v/>
      </c>
      <c r="BZ72" s="21" t="str">
        <f>IF(AND('Atividades Micro'!$B72=BZ$2,'Atividades Micro'!$G72="Macro",'Atividades Micro'!$K72&lt;&gt;""),'Atividades Micro'!$K72,"")</f>
        <v/>
      </c>
      <c r="CA72" s="21" t="str">
        <f>IF(AND('Atividades Micro'!$B72=CA$2,'Atividades Micro'!$G72="Macro",'Atividades Micro'!$K72&lt;&gt;""),'Atividades Micro'!$K72,"")</f>
        <v/>
      </c>
      <c r="CB72" s="21" t="str">
        <f>IF(AND('Atividades Micro'!$B72=CB$2,'Atividades Micro'!$G72="Macro",'Atividades Micro'!$K72&lt;&gt;""),'Atividades Micro'!$K72,"")</f>
        <v/>
      </c>
      <c r="CC72" s="21" t="str">
        <f>IF(AND('Atividades Micro'!$B72=CC$2,'Atividades Micro'!$G72="Macro",'Atividades Micro'!$K72&lt;&gt;""),'Atividades Micro'!$K72,"")</f>
        <v/>
      </c>
      <c r="CD72" s="21" t="str">
        <f>IF(AND('Atividades Micro'!$B72=CD$2,'Atividades Micro'!$G72="Micro",'Atividades Micro'!$K72&lt;&gt;""),'Atividades Micro'!$K72,"")</f>
        <v/>
      </c>
      <c r="CE72" s="21">
        <f>IF(AND('Atividades Micro'!$B72=CE$2,'Atividades Micro'!$G72="Micro",'Atividades Micro'!$K72&lt;&gt;""),'Atividades Micro'!$K72,"")</f>
        <v>46345</v>
      </c>
      <c r="CF72" s="21" t="str">
        <f>IF(AND('Atividades Micro'!$B72=CF$2,'Atividades Micro'!$G72="Micro",'Atividades Micro'!$K72&lt;&gt;""),'Atividades Micro'!$K72,"")</f>
        <v/>
      </c>
      <c r="CG72" s="21" t="str">
        <f>IF(AND('Atividades Micro'!$B72=CG$2,'Atividades Micro'!$G72="Micro",'Atividades Micro'!$K72&lt;&gt;""),'Atividades Micro'!$K72,"")</f>
        <v/>
      </c>
      <c r="CH72" s="21" t="str">
        <f>IF(AND('Atividades Micro'!$B72=CH$2,'Atividades Micro'!$G72="Micro",'Atividades Micro'!$K72&lt;&gt;""),'Atividades Micro'!$K72,"")</f>
        <v/>
      </c>
      <c r="CI72" s="21" t="str">
        <f>IF(AND('Atividades Micro'!$B72=CI$2,'Atividades Micro'!$G72="Micro",'Atividades Micro'!$K72&lt;&gt;""),'Atividades Micro'!$K72,"")</f>
        <v/>
      </c>
      <c r="CJ72" s="21" t="str">
        <f>IF(AND('Atividades Micro'!$B72=CJ$2,'Atividades Micro'!$G72="Micro",'Atividades Micro'!$K72&lt;&gt;""),'Atividades Micro'!$K72,"")</f>
        <v/>
      </c>
      <c r="CK72" s="21" t="str">
        <f>IF(AND('Atividades Micro'!$B72=CK$2,'Atividades Micro'!$G72="Micro",'Atividades Micro'!$K72&lt;&gt;""),'Atividades Micro'!$K72,"")</f>
        <v/>
      </c>
      <c r="CL72" s="21" t="str">
        <f>IF(AND('Atividades Micro'!$B72=CL$2,'Atividades Micro'!$G72="Micro",'Atividades Micro'!$K72&lt;&gt;""),'Atividades Micro'!$K72,"")</f>
        <v/>
      </c>
      <c r="CM72" s="21" t="str">
        <f>IF(AND('Atividades Micro'!$B72=CM$2,'Atividades Micro'!$G72="Micro",'Atividades Micro'!$K72&lt;&gt;""),'Atividades Micro'!$K72,"")</f>
        <v/>
      </c>
      <c r="CN72" s="21" t="str">
        <f>IF(AND('Atividades Micro'!$B72=CN$2,'Atividades Micro'!$G72="Micro",'Atividades Micro'!$K72&lt;&gt;""),'Atividades Micro'!$K72,"")</f>
        <v/>
      </c>
      <c r="CO72" s="21" t="str">
        <f>IF(AND('Atividades Micro'!$B72=CO$2,'Atividades Micro'!$G72="Micro",'Atividades Micro'!$K72&lt;&gt;""),'Atividades Micro'!$K72,"")</f>
        <v/>
      </c>
    </row>
    <row r="73" spans="1:93">
      <c r="A73" s="21" t="str">
        <f>IF(AND('Atividades Micro'!$A73=A$2,'Atividades Micro'!$K73&lt;&gt;""),'Atividades Micro'!$K73,"")</f>
        <v/>
      </c>
      <c r="B73" s="21" t="str">
        <f>IF(AND('Atividades Micro'!$A73=B$2,'Atividades Micro'!$L73&lt;&gt;""),'Atividades Micro'!$L73,"")</f>
        <v/>
      </c>
      <c r="C73" s="21" t="str">
        <f>IF(AND('Atividades Micro'!$A73=C$2,'Atividades Micro'!$K73&lt;&gt;""),'Atividades Micro'!$K73,"")</f>
        <v/>
      </c>
      <c r="D73" s="21" t="str">
        <f>IF(AND('Atividades Micro'!$A73=D$2,'Atividades Micro'!$L73&lt;&gt;""),'Atividades Micro'!$L73,"")</f>
        <v/>
      </c>
      <c r="E73" s="21" t="str">
        <f>IF(AND('Atividades Micro'!$A73=E$2,'Atividades Micro'!$K73&lt;&gt;""),'Atividades Micro'!$K73,"")</f>
        <v/>
      </c>
      <c r="F73" s="21" t="str">
        <f>IF(AND('Atividades Micro'!$A73=F$2,'Atividades Micro'!$L73&lt;&gt;""),'Atividades Micro'!$L73,"")</f>
        <v/>
      </c>
      <c r="G73" s="21" t="str">
        <f>IF(AND('Atividades Micro'!$A73=G$2,'Atividades Micro'!$K73&lt;&gt;""),'Atividades Micro'!$K73,"")</f>
        <v/>
      </c>
      <c r="H73" s="21" t="str">
        <f>IF(AND('Atividades Micro'!$A73=H$2,'Atividades Micro'!$L73&lt;&gt;""),'Atividades Micro'!$L73,"")</f>
        <v/>
      </c>
      <c r="I73" s="21">
        <f>IF(AND('Atividades Micro'!$A73=I$2,'Atividades Micro'!$K73&lt;&gt;""),'Atividades Micro'!$K73,"")</f>
        <v>46349</v>
      </c>
      <c r="J73" s="21">
        <f>IF(AND('Atividades Micro'!$A73=J$2,'Atividades Micro'!$L73&lt;&gt;""),'Atividades Micro'!$L73,"")</f>
        <v>46269</v>
      </c>
      <c r="K73" s="21" t="str">
        <f>IF(AND('Atividades Micro'!$B73=K$2,'Atividades Micro'!$K73&lt;&gt;""),'Atividades Micro'!$K73,"")</f>
        <v/>
      </c>
      <c r="L73" s="21" t="str">
        <f>IF(AND('Atividades Micro'!$B73=L$2,'Atividades Micro'!$L73&lt;&gt;""),'Atividades Micro'!$L73,"")</f>
        <v/>
      </c>
      <c r="M73" s="21">
        <f>IF(AND('Atividades Micro'!$B73=M$2,'Atividades Micro'!$K73&lt;&gt;""),'Atividades Micro'!$K73,"")</f>
        <v>46349</v>
      </c>
      <c r="N73" s="21">
        <f>IF(AND('Atividades Micro'!$B73=N$2,'Atividades Micro'!$L73&lt;&gt;""),'Atividades Micro'!$L73,"")</f>
        <v>46269</v>
      </c>
      <c r="O73" s="21" t="str">
        <f>IF(AND('Atividades Micro'!$A73=O$2,'Atividades Micro'!$K73&lt;&gt;""),'Atividades Micro'!$K73,"")</f>
        <v/>
      </c>
      <c r="P73" s="21" t="str">
        <f>IF(AND('Atividades Micro'!$A73=P$2,'Atividades Micro'!$L73&lt;&gt;""),'Atividades Micro'!$L73,"")</f>
        <v/>
      </c>
      <c r="Q73" s="21" t="str">
        <f>IF(AND('Atividades Micro'!$B73=Q$2,'Atividades Micro'!$K73&lt;&gt;""),'Atividades Micro'!$K73,"")</f>
        <v/>
      </c>
      <c r="R73" s="21" t="str">
        <f>IF(AND('Atividades Micro'!$B73=R$2,'Atividades Micro'!$L73&lt;&gt;""),'Atividades Micro'!$L73,"")</f>
        <v/>
      </c>
      <c r="S73" s="21" t="str">
        <f>IF(AND('Atividades Micro'!$A73=S$2,'Atividades Micro'!$K73&lt;&gt;""),'Atividades Micro'!$K73,"")</f>
        <v/>
      </c>
      <c r="T73" s="21" t="str">
        <f>IF(AND('Atividades Micro'!$A73=T$2,'Atividades Micro'!$L73&lt;&gt;""),'Atividades Micro'!$L73,"")</f>
        <v/>
      </c>
      <c r="U73" s="21" t="str">
        <f>IF(AND('Atividades Micro'!$B73=U$2,'Atividades Micro'!$K73&lt;&gt;""),'Atividades Micro'!$K73,"")</f>
        <v/>
      </c>
      <c r="V73" s="21" t="str">
        <f>IF(AND('Atividades Micro'!$B73=V$2,'Atividades Micro'!$L73&lt;&gt;""),'Atividades Micro'!$L73,"")</f>
        <v/>
      </c>
      <c r="W73" s="21" t="str">
        <f>IF(AND('Atividades Micro'!$B73=W$2,'Atividades Micro'!$K73&lt;&gt;""),'Atividades Micro'!$K73,"")</f>
        <v/>
      </c>
      <c r="X73" s="21" t="str">
        <f>IF(AND('Atividades Micro'!$B73=X$2,'Atividades Micro'!$L73&lt;&gt;""),'Atividades Micro'!$L73,"")</f>
        <v/>
      </c>
      <c r="Y73" s="21" t="str">
        <f>IF(AND('Atividades Micro'!$A73=Y$2,'Atividades Micro'!$K73&lt;&gt;""),'Atividades Micro'!$K73,"")</f>
        <v/>
      </c>
      <c r="Z73" s="21" t="str">
        <f>IF(AND('Atividades Micro'!$A73=Z$2,'Atividades Micro'!$L73&lt;&gt;""),'Atividades Micro'!$L73,"")</f>
        <v/>
      </c>
      <c r="AA73" s="21" t="str">
        <f>IF(AND('Atividades Micro'!$B73=AA$2,'Atividades Micro'!$K73&lt;&gt;""),'Atividades Micro'!$K73,"")</f>
        <v/>
      </c>
      <c r="AB73" s="21" t="str">
        <f>IF(AND('Atividades Micro'!$B73=AB$2,'Atividades Micro'!$L73&lt;&gt;""),'Atividades Micro'!$L73,"")</f>
        <v/>
      </c>
      <c r="AC73" s="21" t="str">
        <f>IF(AND('Atividades Micro'!$B73=AC$2,'Atividades Micro'!$K73&lt;&gt;""),'Atividades Micro'!$K73,"")</f>
        <v/>
      </c>
      <c r="AD73" s="21" t="str">
        <f>IF(AND('Atividades Micro'!$B73=AD$2,'Atividades Micro'!$L73&lt;&gt;""),'Atividades Micro'!$L73,"")</f>
        <v/>
      </c>
      <c r="AE73" s="21" t="str">
        <f>IF(AND('Atividades Micro'!$A73=AE$2,'Atividades Micro'!$K73&lt;&gt;""),'Atividades Micro'!$K73,"")</f>
        <v/>
      </c>
      <c r="AF73" s="21" t="str">
        <f>IF(AND('Atividades Micro'!$A73=AF$2,'Atividades Micro'!$L73&lt;&gt;""),'Atividades Micro'!$L73,"")</f>
        <v/>
      </c>
      <c r="AG73" s="21" t="str">
        <f>IF(AND('Atividades Micro'!$B73=AG$2,'Atividades Micro'!$K73&lt;&gt;""),'Atividades Micro'!$K73,"")</f>
        <v/>
      </c>
      <c r="AH73" s="21" t="str">
        <f>IF(AND('Atividades Micro'!$B73=AH$2,'Atividades Micro'!$L73&lt;&gt;""),'Atividades Micro'!$L73,"")</f>
        <v/>
      </c>
      <c r="AI73" s="21" t="str">
        <f>IF(AND('Atividades Micro'!$B73=AI$2,'Atividades Micro'!$K73&lt;&gt;""),'Atividades Micro'!$K73,"")</f>
        <v/>
      </c>
      <c r="AJ73" s="21" t="str">
        <f>IF(AND('Atividades Micro'!$B73=AJ$2,'Atividades Micro'!$L73&lt;&gt;""),'Atividades Micro'!$L73,"")</f>
        <v/>
      </c>
      <c r="AK73" s="21" t="str">
        <f>IF(AND('Atividades Micro'!$A73=AK$2,'Atividades Micro'!$K73&lt;&gt;""),'Atividades Micro'!$K73,"")</f>
        <v/>
      </c>
      <c r="AL73" s="21" t="str">
        <f>IF(AND('Atividades Micro'!$A73=AL$2,'Atividades Micro'!$L73&lt;&gt;""),'Atividades Micro'!$L73,"")</f>
        <v/>
      </c>
      <c r="AM73" s="21" t="str">
        <f>IF(AND('Atividades Micro'!$B73=AM$2,'Atividades Micro'!$K73&lt;&gt;""),'Atividades Micro'!$K73,"")</f>
        <v/>
      </c>
      <c r="AN73" s="21" t="str">
        <f>IF(AND('Atividades Micro'!$B73=AN$2,'Atividades Micro'!$L73&lt;&gt;""),'Atividades Micro'!$L73,"")</f>
        <v/>
      </c>
      <c r="AO73" s="21" t="str">
        <f>IF(AND('Atividades Micro'!$B73=AO$2,'Atividades Micro'!$K73&lt;&gt;""),'Atividades Micro'!$K73,"")</f>
        <v/>
      </c>
      <c r="AP73" s="21" t="str">
        <f>IF(AND('Atividades Micro'!$B73=AP$2,'Atividades Micro'!$L73&lt;&gt;""),'Atividades Micro'!$L73,"")</f>
        <v/>
      </c>
      <c r="AQ73" s="21" t="str">
        <f>IF(AND('Atividades Micro'!$A73=AQ$2,'Atividades Micro'!$K73&lt;&gt;""),'Atividades Micro'!$K73,"")</f>
        <v/>
      </c>
      <c r="AR73" s="21" t="str">
        <f>IF(AND('Atividades Micro'!$A73=AR$2,'Atividades Micro'!$L73&lt;&gt;""),'Atividades Micro'!$L73,"")</f>
        <v/>
      </c>
      <c r="AS73" s="21" t="str">
        <f>IF(AND('Atividades Micro'!$B73=AS$2,'Atividades Micro'!$K73&lt;&gt;""),'Atividades Micro'!$K73,"")</f>
        <v/>
      </c>
      <c r="AT73" s="21" t="str">
        <f>IF(AND('Atividades Micro'!$B73=AT$2,'Atividades Micro'!$L73&lt;&gt;""),'Atividades Micro'!$L73,"")</f>
        <v/>
      </c>
      <c r="AU73" s="21" t="str">
        <f>IF(AND('Atividades Micro'!$A73=AU$2,'Atividades Micro'!$K73&lt;&gt;""),'Atividades Micro'!$K73,"")</f>
        <v/>
      </c>
      <c r="AV73" s="21" t="str">
        <f>IF(AND('Atividades Micro'!$A73=AV$2,'Atividades Micro'!$L73&lt;&gt;""),'Atividades Micro'!$L73,"")</f>
        <v/>
      </c>
      <c r="AW73" s="21" t="str">
        <f>IF(AND('Atividades Micro'!$B73=AW$2,'Atividades Micro'!$K73&lt;&gt;""),'Atividades Micro'!$K73,"")</f>
        <v/>
      </c>
      <c r="AX73" s="21" t="str">
        <f>IF(AND('Atividades Micro'!$B73=AX$2,'Atividades Micro'!$L73&lt;&gt;""),'Atividades Micro'!$L73,"")</f>
        <v/>
      </c>
      <c r="AY73" s="21" t="str">
        <f>IF(AND('Atividades Micro'!$A73=AY$2,'Atividades Micro'!$K73&lt;&gt;""),'Atividades Micro'!$K73,"")</f>
        <v/>
      </c>
      <c r="AZ73" s="21" t="str">
        <f>IF(AND('Atividades Micro'!$A73=AZ$2,'Atividades Micro'!$L73&lt;&gt;""),'Atividades Micro'!$L73,"")</f>
        <v/>
      </c>
      <c r="BA73" s="21" t="str">
        <f>IF(AND('Atividades Micro'!$B73=BA$2,'Atividades Micro'!$K73&lt;&gt;""),'Atividades Micro'!$K73,"")</f>
        <v/>
      </c>
      <c r="BB73" s="21" t="str">
        <f>IF(AND('Atividades Micro'!$B73=BB$2,'Atividades Micro'!$L73&lt;&gt;""),'Atividades Micro'!$L73,"")</f>
        <v/>
      </c>
      <c r="BC73" s="21" t="str">
        <f>IF(AND('Atividades Micro'!$B73=BC$2,'Atividades Micro'!$G73="Macro",'Atividades Micro'!$K73&lt;&gt;""),'Atividades Micro'!$K73,"")</f>
        <v/>
      </c>
      <c r="BD73" s="21" t="str">
        <f>IF(AND('Atividades Micro'!$B73=BD$2,'Atividades Micro'!$G73="Macro",'Atividades Micro'!$K73&lt;&gt;""),'Atividades Micro'!$K73,"")</f>
        <v/>
      </c>
      <c r="BE73" s="21" t="str">
        <f>IF(AND('Atividades Micro'!$B73=BE$2,'Atividades Micro'!$G73="Macro",'Atividades Micro'!$K73&lt;&gt;""),'Atividades Micro'!$K73,"")</f>
        <v/>
      </c>
      <c r="BF73" s="21" t="str">
        <f>IF(AND('Atividades Micro'!$B73=BF$2,'Atividades Micro'!$G73="Macro",'Atividades Micro'!$K73&lt;&gt;""),'Atividades Micro'!$K73,"")</f>
        <v/>
      </c>
      <c r="BG73" s="21" t="str">
        <f>IF(AND('Atividades Micro'!$B73=BG$2,'Atividades Micro'!$G73="Macro",'Atividades Micro'!$K73&lt;&gt;""),'Atividades Micro'!$K73,"")</f>
        <v/>
      </c>
      <c r="BH73" s="21" t="str">
        <f>IF(AND('Atividades Micro'!$B73=BH$2,'Atividades Micro'!$G73="Macro",'Atividades Micro'!$K73&lt;&gt;""),'Atividades Micro'!$K73,"")</f>
        <v/>
      </c>
      <c r="BI73" s="21" t="str">
        <f>IF(AND('Atividades Micro'!$B73=BI$2,'Atividades Micro'!$G73="Macro",'Atividades Micro'!$K73&lt;&gt;""),'Atividades Micro'!$K73,"")</f>
        <v/>
      </c>
      <c r="BJ73" s="21" t="str">
        <f>IF(AND('Atividades Micro'!$B73=BJ$2,'Atividades Micro'!$G73="Macro",'Atividades Micro'!$K73&lt;&gt;""),'Atividades Micro'!$K73,"")</f>
        <v/>
      </c>
      <c r="BK73" s="21" t="str">
        <f>IF(AND('Atividades Micro'!$B73=BK$2,'Atividades Micro'!$G73="Macro",'Atividades Micro'!$K73&lt;&gt;""),'Atividades Micro'!$K73,"")</f>
        <v/>
      </c>
      <c r="BL73" s="21" t="str">
        <f>IF(AND('Atividades Micro'!$B73=BL$2,'Atividades Micro'!$G73="Macro",'Atividades Micro'!$K73&lt;&gt;""),'Atividades Micro'!$K73,"")</f>
        <v/>
      </c>
      <c r="BM73" s="21" t="str">
        <f>IF(AND('Atividades Micro'!$B73=BM$2,'Atividades Micro'!$G73="Macro",'Atividades Micro'!$K73&lt;&gt;""),'Atividades Micro'!$K73,"")</f>
        <v/>
      </c>
      <c r="BN73" s="21" t="str">
        <f>IF(AND('Atividades Micro'!$B73=BN$2,'Atividades Micro'!$G73="Macro",'Atividades Micro'!$K73&lt;&gt;""),'Atividades Micro'!$K73,"")</f>
        <v/>
      </c>
      <c r="BO73" s="21" t="str">
        <f>IF(AND('Atividades Micro'!$B73=BO$2,'Atividades Micro'!$G73="Macro",'Atividades Micro'!$K73&lt;&gt;""),'Atividades Micro'!$K73,"")</f>
        <v/>
      </c>
      <c r="BP73" s="21" t="str">
        <f>IF(AND('Atividades Micro'!$B73=BP$2,'Atividades Micro'!$G73="Macro",'Atividades Micro'!$K73&lt;&gt;""),'Atividades Micro'!$K73,"")</f>
        <v/>
      </c>
      <c r="BQ73" s="21" t="str">
        <f>IF(AND('Atividades Micro'!$B73=BQ$2,'Atividades Micro'!$G73="Macro",'Atividades Micro'!$K73&lt;&gt;""),'Atividades Micro'!$K73,"")</f>
        <v/>
      </c>
      <c r="BR73" s="21" t="str">
        <f>IF(AND('Atividades Micro'!$B73=BR$2,'Atividades Micro'!$G73="Macro",'Atividades Micro'!$K73&lt;&gt;""),'Atividades Micro'!$K73,"")</f>
        <v/>
      </c>
      <c r="BS73" s="21" t="str">
        <f>IF(AND('Atividades Micro'!$B73=BS$2,'Atividades Micro'!$G73="Macro",'Atividades Micro'!$K73&lt;&gt;""),'Atividades Micro'!$K73,"")</f>
        <v/>
      </c>
      <c r="BT73" s="21" t="str">
        <f>IF(AND('Atividades Micro'!$B73=BT$2,'Atividades Micro'!$G73="Macro",'Atividades Micro'!$K73&lt;&gt;""),'Atividades Micro'!$K73,"")</f>
        <v/>
      </c>
      <c r="BU73" s="21" t="str">
        <f>IF(AND('Atividades Micro'!$B73=BU$2,'Atividades Micro'!$G73="Macro",'Atividades Micro'!$K73&lt;&gt;""),'Atividades Micro'!$K73,"")</f>
        <v/>
      </c>
      <c r="BV73" s="21" t="str">
        <f>IF(AND('Atividades Micro'!$B73=BV$2,'Atividades Micro'!$G73="Macro",'Atividades Micro'!$K73&lt;&gt;""),'Atividades Micro'!$K73,"")</f>
        <v/>
      </c>
      <c r="BW73" s="21" t="str">
        <f>IF(AND('Atividades Micro'!$B73=BW$2,'Atividades Micro'!$G73="Macro",'Atividades Micro'!$K73&lt;&gt;""),'Atividades Micro'!$K73,"")</f>
        <v/>
      </c>
      <c r="BX73" s="21" t="str">
        <f>IF(AND('Atividades Micro'!$B73=BX$2,'Atividades Micro'!$G73="Macro",'Atividades Micro'!$K73&lt;&gt;""),'Atividades Micro'!$K73,"")</f>
        <v/>
      </c>
      <c r="BY73" s="21" t="str">
        <f>IF(AND('Atividades Micro'!$B73=BY$2,'Atividades Micro'!$G73="Macro",'Atividades Micro'!$K73&lt;&gt;""),'Atividades Micro'!$K73,"")</f>
        <v/>
      </c>
      <c r="BZ73" s="21" t="str">
        <f>IF(AND('Atividades Micro'!$B73=BZ$2,'Atividades Micro'!$G73="Macro",'Atividades Micro'!$K73&lt;&gt;""),'Atividades Micro'!$K73,"")</f>
        <v/>
      </c>
      <c r="CA73" s="21" t="str">
        <f>IF(AND('Atividades Micro'!$B73=CA$2,'Atividades Micro'!$G73="Macro",'Atividades Micro'!$K73&lt;&gt;""),'Atividades Micro'!$K73,"")</f>
        <v/>
      </c>
      <c r="CB73" s="21" t="str">
        <f>IF(AND('Atividades Micro'!$B73=CB$2,'Atividades Micro'!$G73="Macro",'Atividades Micro'!$K73&lt;&gt;""),'Atividades Micro'!$K73,"")</f>
        <v/>
      </c>
      <c r="CC73" s="21" t="str">
        <f>IF(AND('Atividades Micro'!$B73=CC$2,'Atividades Micro'!$G73="Macro",'Atividades Micro'!$K73&lt;&gt;""),'Atividades Micro'!$K73,"")</f>
        <v/>
      </c>
      <c r="CD73" s="21" t="str">
        <f>IF(AND('Atividades Micro'!$B73=CD$2,'Atividades Micro'!$G73="Micro",'Atividades Micro'!$K73&lt;&gt;""),'Atividades Micro'!$K73,"")</f>
        <v/>
      </c>
      <c r="CE73" s="21">
        <f>IF(AND('Atividades Micro'!$B73=CE$2,'Atividades Micro'!$G73="Micro",'Atividades Micro'!$K73&lt;&gt;""),'Atividades Micro'!$K73,"")</f>
        <v>46349</v>
      </c>
      <c r="CF73" s="21" t="str">
        <f>IF(AND('Atividades Micro'!$B73=CF$2,'Atividades Micro'!$G73="Micro",'Atividades Micro'!$K73&lt;&gt;""),'Atividades Micro'!$K73,"")</f>
        <v/>
      </c>
      <c r="CG73" s="21" t="str">
        <f>IF(AND('Atividades Micro'!$B73=CG$2,'Atividades Micro'!$G73="Micro",'Atividades Micro'!$K73&lt;&gt;""),'Atividades Micro'!$K73,"")</f>
        <v/>
      </c>
      <c r="CH73" s="21" t="str">
        <f>IF(AND('Atividades Micro'!$B73=CH$2,'Atividades Micro'!$G73="Micro",'Atividades Micro'!$K73&lt;&gt;""),'Atividades Micro'!$K73,"")</f>
        <v/>
      </c>
      <c r="CI73" s="21" t="str">
        <f>IF(AND('Atividades Micro'!$B73=CI$2,'Atividades Micro'!$G73="Micro",'Atividades Micro'!$K73&lt;&gt;""),'Atividades Micro'!$K73,"")</f>
        <v/>
      </c>
      <c r="CJ73" s="21" t="str">
        <f>IF(AND('Atividades Micro'!$B73=CJ$2,'Atividades Micro'!$G73="Micro",'Atividades Micro'!$K73&lt;&gt;""),'Atividades Micro'!$K73,"")</f>
        <v/>
      </c>
      <c r="CK73" s="21" t="str">
        <f>IF(AND('Atividades Micro'!$B73=CK$2,'Atividades Micro'!$G73="Micro",'Atividades Micro'!$K73&lt;&gt;""),'Atividades Micro'!$K73,"")</f>
        <v/>
      </c>
      <c r="CL73" s="21" t="str">
        <f>IF(AND('Atividades Micro'!$B73=CL$2,'Atividades Micro'!$G73="Micro",'Atividades Micro'!$K73&lt;&gt;""),'Atividades Micro'!$K73,"")</f>
        <v/>
      </c>
      <c r="CM73" s="21" t="str">
        <f>IF(AND('Atividades Micro'!$B73=CM$2,'Atividades Micro'!$G73="Micro",'Atividades Micro'!$K73&lt;&gt;""),'Atividades Micro'!$K73,"")</f>
        <v/>
      </c>
      <c r="CN73" s="21" t="str">
        <f>IF(AND('Atividades Micro'!$B73=CN$2,'Atividades Micro'!$G73="Micro",'Atividades Micro'!$K73&lt;&gt;""),'Atividades Micro'!$K73,"")</f>
        <v/>
      </c>
      <c r="CO73" s="21" t="str">
        <f>IF(AND('Atividades Micro'!$B73=CO$2,'Atividades Micro'!$G73="Micro",'Atividades Micro'!$K73&lt;&gt;""),'Atividades Micro'!$K73,"")</f>
        <v/>
      </c>
    </row>
    <row r="74" spans="1:93">
      <c r="A74" s="21" t="str">
        <f>IF(AND('Atividades Micro'!$A74=A$2,'Atividades Micro'!$K74&lt;&gt;""),'Atividades Micro'!$K74,"")</f>
        <v/>
      </c>
      <c r="B74" s="21" t="str">
        <f>IF(AND('Atividades Micro'!$A74=B$2,'Atividades Micro'!$L74&lt;&gt;""),'Atividades Micro'!$L74,"")</f>
        <v/>
      </c>
      <c r="C74" s="21" t="str">
        <f>IF(AND('Atividades Micro'!$A74=C$2,'Atividades Micro'!$K74&lt;&gt;""),'Atividades Micro'!$K74,"")</f>
        <v/>
      </c>
      <c r="D74" s="21" t="str">
        <f>IF(AND('Atividades Micro'!$A74=D$2,'Atividades Micro'!$L74&lt;&gt;""),'Atividades Micro'!$L74,"")</f>
        <v/>
      </c>
      <c r="E74" s="21" t="str">
        <f>IF(AND('Atividades Micro'!$A74=E$2,'Atividades Micro'!$K74&lt;&gt;""),'Atividades Micro'!$K74,"")</f>
        <v/>
      </c>
      <c r="F74" s="21" t="str">
        <f>IF(AND('Atividades Micro'!$A74=F$2,'Atividades Micro'!$L74&lt;&gt;""),'Atividades Micro'!$L74,"")</f>
        <v/>
      </c>
      <c r="G74" s="21" t="str">
        <f>IF(AND('Atividades Micro'!$A74=G$2,'Atividades Micro'!$K74&lt;&gt;""),'Atividades Micro'!$K74,"")</f>
        <v/>
      </c>
      <c r="H74" s="21" t="str">
        <f>IF(AND('Atividades Micro'!$A74=H$2,'Atividades Micro'!$L74&lt;&gt;""),'Atividades Micro'!$L74,"")</f>
        <v/>
      </c>
      <c r="I74" s="21">
        <f>IF(AND('Atividades Micro'!$A74=I$2,'Atividades Micro'!$K74&lt;&gt;""),'Atividades Micro'!$K74,"")</f>
        <v>46351</v>
      </c>
      <c r="J74" s="21">
        <f>IF(AND('Atividades Micro'!$A74=J$2,'Atividades Micro'!$L74&lt;&gt;""),'Atividades Micro'!$L74,"")</f>
        <v>46281</v>
      </c>
      <c r="K74" s="21" t="str">
        <f>IF(AND('Atividades Micro'!$B74=K$2,'Atividades Micro'!$K74&lt;&gt;""),'Atividades Micro'!$K74,"")</f>
        <v/>
      </c>
      <c r="L74" s="21" t="str">
        <f>IF(AND('Atividades Micro'!$B74=L$2,'Atividades Micro'!$L74&lt;&gt;""),'Atividades Micro'!$L74,"")</f>
        <v/>
      </c>
      <c r="M74" s="21">
        <f>IF(AND('Atividades Micro'!$B74=M$2,'Atividades Micro'!$K74&lt;&gt;""),'Atividades Micro'!$K74,"")</f>
        <v>46351</v>
      </c>
      <c r="N74" s="21">
        <f>IF(AND('Atividades Micro'!$B74=N$2,'Atividades Micro'!$L74&lt;&gt;""),'Atividades Micro'!$L74,"")</f>
        <v>46281</v>
      </c>
      <c r="O74" s="21" t="str">
        <f>IF(AND('Atividades Micro'!$A74=O$2,'Atividades Micro'!$K74&lt;&gt;""),'Atividades Micro'!$K74,"")</f>
        <v/>
      </c>
      <c r="P74" s="21" t="str">
        <f>IF(AND('Atividades Micro'!$A74=P$2,'Atividades Micro'!$L74&lt;&gt;""),'Atividades Micro'!$L74,"")</f>
        <v/>
      </c>
      <c r="Q74" s="21" t="str">
        <f>IF(AND('Atividades Micro'!$B74=Q$2,'Atividades Micro'!$K74&lt;&gt;""),'Atividades Micro'!$K74,"")</f>
        <v/>
      </c>
      <c r="R74" s="21" t="str">
        <f>IF(AND('Atividades Micro'!$B74=R$2,'Atividades Micro'!$L74&lt;&gt;""),'Atividades Micro'!$L74,"")</f>
        <v/>
      </c>
      <c r="S74" s="21" t="str">
        <f>IF(AND('Atividades Micro'!$A74=S$2,'Atividades Micro'!$K74&lt;&gt;""),'Atividades Micro'!$K74,"")</f>
        <v/>
      </c>
      <c r="T74" s="21" t="str">
        <f>IF(AND('Atividades Micro'!$A74=T$2,'Atividades Micro'!$L74&lt;&gt;""),'Atividades Micro'!$L74,"")</f>
        <v/>
      </c>
      <c r="U74" s="21" t="str">
        <f>IF(AND('Atividades Micro'!$B74=U$2,'Atividades Micro'!$K74&lt;&gt;""),'Atividades Micro'!$K74,"")</f>
        <v/>
      </c>
      <c r="V74" s="21" t="str">
        <f>IF(AND('Atividades Micro'!$B74=V$2,'Atividades Micro'!$L74&lt;&gt;""),'Atividades Micro'!$L74,"")</f>
        <v/>
      </c>
      <c r="W74" s="21" t="str">
        <f>IF(AND('Atividades Micro'!$B74=W$2,'Atividades Micro'!$K74&lt;&gt;""),'Atividades Micro'!$K74,"")</f>
        <v/>
      </c>
      <c r="X74" s="21" t="str">
        <f>IF(AND('Atividades Micro'!$B74=X$2,'Atividades Micro'!$L74&lt;&gt;""),'Atividades Micro'!$L74,"")</f>
        <v/>
      </c>
      <c r="Y74" s="21" t="str">
        <f>IF(AND('Atividades Micro'!$A74=Y$2,'Atividades Micro'!$K74&lt;&gt;""),'Atividades Micro'!$K74,"")</f>
        <v/>
      </c>
      <c r="Z74" s="21" t="str">
        <f>IF(AND('Atividades Micro'!$A74=Z$2,'Atividades Micro'!$L74&lt;&gt;""),'Atividades Micro'!$L74,"")</f>
        <v/>
      </c>
      <c r="AA74" s="21" t="str">
        <f>IF(AND('Atividades Micro'!$B74=AA$2,'Atividades Micro'!$K74&lt;&gt;""),'Atividades Micro'!$K74,"")</f>
        <v/>
      </c>
      <c r="AB74" s="21" t="str">
        <f>IF(AND('Atividades Micro'!$B74=AB$2,'Atividades Micro'!$L74&lt;&gt;""),'Atividades Micro'!$L74,"")</f>
        <v/>
      </c>
      <c r="AC74" s="21" t="str">
        <f>IF(AND('Atividades Micro'!$B74=AC$2,'Atividades Micro'!$K74&lt;&gt;""),'Atividades Micro'!$K74,"")</f>
        <v/>
      </c>
      <c r="AD74" s="21" t="str">
        <f>IF(AND('Atividades Micro'!$B74=AD$2,'Atividades Micro'!$L74&lt;&gt;""),'Atividades Micro'!$L74,"")</f>
        <v/>
      </c>
      <c r="AE74" s="21" t="str">
        <f>IF(AND('Atividades Micro'!$A74=AE$2,'Atividades Micro'!$K74&lt;&gt;""),'Atividades Micro'!$K74,"")</f>
        <v/>
      </c>
      <c r="AF74" s="21" t="str">
        <f>IF(AND('Atividades Micro'!$A74=AF$2,'Atividades Micro'!$L74&lt;&gt;""),'Atividades Micro'!$L74,"")</f>
        <v/>
      </c>
      <c r="AG74" s="21" t="str">
        <f>IF(AND('Atividades Micro'!$B74=AG$2,'Atividades Micro'!$K74&lt;&gt;""),'Atividades Micro'!$K74,"")</f>
        <v/>
      </c>
      <c r="AH74" s="21" t="str">
        <f>IF(AND('Atividades Micro'!$B74=AH$2,'Atividades Micro'!$L74&lt;&gt;""),'Atividades Micro'!$L74,"")</f>
        <v/>
      </c>
      <c r="AI74" s="21" t="str">
        <f>IF(AND('Atividades Micro'!$B74=AI$2,'Atividades Micro'!$K74&lt;&gt;""),'Atividades Micro'!$K74,"")</f>
        <v/>
      </c>
      <c r="AJ74" s="21" t="str">
        <f>IF(AND('Atividades Micro'!$B74=AJ$2,'Atividades Micro'!$L74&lt;&gt;""),'Atividades Micro'!$L74,"")</f>
        <v/>
      </c>
      <c r="AK74" s="21" t="str">
        <f>IF(AND('Atividades Micro'!$A74=AK$2,'Atividades Micro'!$K74&lt;&gt;""),'Atividades Micro'!$K74,"")</f>
        <v/>
      </c>
      <c r="AL74" s="21" t="str">
        <f>IF(AND('Atividades Micro'!$A74=AL$2,'Atividades Micro'!$L74&lt;&gt;""),'Atividades Micro'!$L74,"")</f>
        <v/>
      </c>
      <c r="AM74" s="21" t="str">
        <f>IF(AND('Atividades Micro'!$B74=AM$2,'Atividades Micro'!$K74&lt;&gt;""),'Atividades Micro'!$K74,"")</f>
        <v/>
      </c>
      <c r="AN74" s="21" t="str">
        <f>IF(AND('Atividades Micro'!$B74=AN$2,'Atividades Micro'!$L74&lt;&gt;""),'Atividades Micro'!$L74,"")</f>
        <v/>
      </c>
      <c r="AO74" s="21" t="str">
        <f>IF(AND('Atividades Micro'!$B74=AO$2,'Atividades Micro'!$K74&lt;&gt;""),'Atividades Micro'!$K74,"")</f>
        <v/>
      </c>
      <c r="AP74" s="21" t="str">
        <f>IF(AND('Atividades Micro'!$B74=AP$2,'Atividades Micro'!$L74&lt;&gt;""),'Atividades Micro'!$L74,"")</f>
        <v/>
      </c>
      <c r="AQ74" s="21" t="str">
        <f>IF(AND('Atividades Micro'!$A74=AQ$2,'Atividades Micro'!$K74&lt;&gt;""),'Atividades Micro'!$K74,"")</f>
        <v/>
      </c>
      <c r="AR74" s="21" t="str">
        <f>IF(AND('Atividades Micro'!$A74=AR$2,'Atividades Micro'!$L74&lt;&gt;""),'Atividades Micro'!$L74,"")</f>
        <v/>
      </c>
      <c r="AS74" s="21" t="str">
        <f>IF(AND('Atividades Micro'!$B74=AS$2,'Atividades Micro'!$K74&lt;&gt;""),'Atividades Micro'!$K74,"")</f>
        <v/>
      </c>
      <c r="AT74" s="21" t="str">
        <f>IF(AND('Atividades Micro'!$B74=AT$2,'Atividades Micro'!$L74&lt;&gt;""),'Atividades Micro'!$L74,"")</f>
        <v/>
      </c>
      <c r="AU74" s="21" t="str">
        <f>IF(AND('Atividades Micro'!$A74=AU$2,'Atividades Micro'!$K74&lt;&gt;""),'Atividades Micro'!$K74,"")</f>
        <v/>
      </c>
      <c r="AV74" s="21" t="str">
        <f>IF(AND('Atividades Micro'!$A74=AV$2,'Atividades Micro'!$L74&lt;&gt;""),'Atividades Micro'!$L74,"")</f>
        <v/>
      </c>
      <c r="AW74" s="21" t="str">
        <f>IF(AND('Atividades Micro'!$B74=AW$2,'Atividades Micro'!$K74&lt;&gt;""),'Atividades Micro'!$K74,"")</f>
        <v/>
      </c>
      <c r="AX74" s="21" t="str">
        <f>IF(AND('Atividades Micro'!$B74=AX$2,'Atividades Micro'!$L74&lt;&gt;""),'Atividades Micro'!$L74,"")</f>
        <v/>
      </c>
      <c r="AY74" s="21" t="str">
        <f>IF(AND('Atividades Micro'!$A74=AY$2,'Atividades Micro'!$K74&lt;&gt;""),'Atividades Micro'!$K74,"")</f>
        <v/>
      </c>
      <c r="AZ74" s="21" t="str">
        <f>IF(AND('Atividades Micro'!$A74=AZ$2,'Atividades Micro'!$L74&lt;&gt;""),'Atividades Micro'!$L74,"")</f>
        <v/>
      </c>
      <c r="BA74" s="21" t="str">
        <f>IF(AND('Atividades Micro'!$B74=BA$2,'Atividades Micro'!$K74&lt;&gt;""),'Atividades Micro'!$K74,"")</f>
        <v/>
      </c>
      <c r="BB74" s="21" t="str">
        <f>IF(AND('Atividades Micro'!$B74=BB$2,'Atividades Micro'!$L74&lt;&gt;""),'Atividades Micro'!$L74,"")</f>
        <v/>
      </c>
      <c r="BC74" s="21" t="str">
        <f>IF(AND('Atividades Micro'!$B74=BC$2,'Atividades Micro'!$G74="Macro",'Atividades Micro'!$K74&lt;&gt;""),'Atividades Micro'!$K74,"")</f>
        <v/>
      </c>
      <c r="BD74" s="21" t="str">
        <f>IF(AND('Atividades Micro'!$B74=BD$2,'Atividades Micro'!$G74="Macro",'Atividades Micro'!$K74&lt;&gt;""),'Atividades Micro'!$K74,"")</f>
        <v/>
      </c>
      <c r="BE74" s="21" t="str">
        <f>IF(AND('Atividades Micro'!$B74=BE$2,'Atividades Micro'!$G74="Macro",'Atividades Micro'!$K74&lt;&gt;""),'Atividades Micro'!$K74,"")</f>
        <v/>
      </c>
      <c r="BF74" s="21" t="str">
        <f>IF(AND('Atividades Micro'!$B74=BF$2,'Atividades Micro'!$G74="Macro",'Atividades Micro'!$K74&lt;&gt;""),'Atividades Micro'!$K74,"")</f>
        <v/>
      </c>
      <c r="BG74" s="21" t="str">
        <f>IF(AND('Atividades Micro'!$B74=BG$2,'Atividades Micro'!$G74="Macro",'Atividades Micro'!$K74&lt;&gt;""),'Atividades Micro'!$K74,"")</f>
        <v/>
      </c>
      <c r="BH74" s="21" t="str">
        <f>IF(AND('Atividades Micro'!$B74=BH$2,'Atividades Micro'!$G74="Macro",'Atividades Micro'!$K74&lt;&gt;""),'Atividades Micro'!$K74,"")</f>
        <v/>
      </c>
      <c r="BI74" s="21" t="str">
        <f>IF(AND('Atividades Micro'!$B74=BI$2,'Atividades Micro'!$G74="Macro",'Atividades Micro'!$K74&lt;&gt;""),'Atividades Micro'!$K74,"")</f>
        <v/>
      </c>
      <c r="BJ74" s="21" t="str">
        <f>IF(AND('Atividades Micro'!$B74=BJ$2,'Atividades Micro'!$G74="Macro",'Atividades Micro'!$K74&lt;&gt;""),'Atividades Micro'!$K74,"")</f>
        <v/>
      </c>
      <c r="BK74" s="21" t="str">
        <f>IF(AND('Atividades Micro'!$B74=BK$2,'Atividades Micro'!$G74="Macro",'Atividades Micro'!$K74&lt;&gt;""),'Atividades Micro'!$K74,"")</f>
        <v/>
      </c>
      <c r="BL74" s="21" t="str">
        <f>IF(AND('Atividades Micro'!$B74=BL$2,'Atividades Micro'!$G74="Macro",'Atividades Micro'!$K74&lt;&gt;""),'Atividades Micro'!$K74,"")</f>
        <v/>
      </c>
      <c r="BM74" s="21" t="str">
        <f>IF(AND('Atividades Micro'!$B74=BM$2,'Atividades Micro'!$G74="Macro",'Atividades Micro'!$K74&lt;&gt;""),'Atividades Micro'!$K74,"")</f>
        <v/>
      </c>
      <c r="BN74" s="21" t="str">
        <f>IF(AND('Atividades Micro'!$B74=BN$2,'Atividades Micro'!$G74="Macro",'Atividades Micro'!$K74&lt;&gt;""),'Atividades Micro'!$K74,"")</f>
        <v/>
      </c>
      <c r="BO74" s="21" t="str">
        <f>IF(AND('Atividades Micro'!$B74=BO$2,'Atividades Micro'!$G74="Macro",'Atividades Micro'!$K74&lt;&gt;""),'Atividades Micro'!$K74,"")</f>
        <v/>
      </c>
      <c r="BP74" s="21" t="str">
        <f>IF(AND('Atividades Micro'!$B74=BP$2,'Atividades Micro'!$G74="Macro",'Atividades Micro'!$K74&lt;&gt;""),'Atividades Micro'!$K74,"")</f>
        <v/>
      </c>
      <c r="BQ74" s="21" t="str">
        <f>IF(AND('Atividades Micro'!$B74=BQ$2,'Atividades Micro'!$G74="Macro",'Atividades Micro'!$K74&lt;&gt;""),'Atividades Micro'!$K74,"")</f>
        <v/>
      </c>
      <c r="BR74" s="21" t="str">
        <f>IF(AND('Atividades Micro'!$B74=BR$2,'Atividades Micro'!$G74="Macro",'Atividades Micro'!$K74&lt;&gt;""),'Atividades Micro'!$K74,"")</f>
        <v/>
      </c>
      <c r="BS74" s="21" t="str">
        <f>IF(AND('Atividades Micro'!$B74=BS$2,'Atividades Micro'!$G74="Macro",'Atividades Micro'!$K74&lt;&gt;""),'Atividades Micro'!$K74,"")</f>
        <v/>
      </c>
      <c r="BT74" s="21" t="str">
        <f>IF(AND('Atividades Micro'!$B74=BT$2,'Atividades Micro'!$G74="Macro",'Atividades Micro'!$K74&lt;&gt;""),'Atividades Micro'!$K74,"")</f>
        <v/>
      </c>
      <c r="BU74" s="21" t="str">
        <f>IF(AND('Atividades Micro'!$B74=BU$2,'Atividades Micro'!$G74="Macro",'Atividades Micro'!$K74&lt;&gt;""),'Atividades Micro'!$K74,"")</f>
        <v/>
      </c>
      <c r="BV74" s="21" t="str">
        <f>IF(AND('Atividades Micro'!$B74=BV$2,'Atividades Micro'!$G74="Macro",'Atividades Micro'!$K74&lt;&gt;""),'Atividades Micro'!$K74,"")</f>
        <v/>
      </c>
      <c r="BW74" s="21" t="str">
        <f>IF(AND('Atividades Micro'!$B74=BW$2,'Atividades Micro'!$G74="Macro",'Atividades Micro'!$K74&lt;&gt;""),'Atividades Micro'!$K74,"")</f>
        <v/>
      </c>
      <c r="BX74" s="21" t="str">
        <f>IF(AND('Atividades Micro'!$B74=BX$2,'Atividades Micro'!$G74="Macro",'Atividades Micro'!$K74&lt;&gt;""),'Atividades Micro'!$K74,"")</f>
        <v/>
      </c>
      <c r="BY74" s="21" t="str">
        <f>IF(AND('Atividades Micro'!$B74=BY$2,'Atividades Micro'!$G74="Macro",'Atividades Micro'!$K74&lt;&gt;""),'Atividades Micro'!$K74,"")</f>
        <v/>
      </c>
      <c r="BZ74" s="21" t="str">
        <f>IF(AND('Atividades Micro'!$B74=BZ$2,'Atividades Micro'!$G74="Macro",'Atividades Micro'!$K74&lt;&gt;""),'Atividades Micro'!$K74,"")</f>
        <v/>
      </c>
      <c r="CA74" s="21" t="str">
        <f>IF(AND('Atividades Micro'!$B74=CA$2,'Atividades Micro'!$G74="Macro",'Atividades Micro'!$K74&lt;&gt;""),'Atividades Micro'!$K74,"")</f>
        <v/>
      </c>
      <c r="CB74" s="21" t="str">
        <f>IF(AND('Atividades Micro'!$B74=CB$2,'Atividades Micro'!$G74="Macro",'Atividades Micro'!$K74&lt;&gt;""),'Atividades Micro'!$K74,"")</f>
        <v/>
      </c>
      <c r="CC74" s="21" t="str">
        <f>IF(AND('Atividades Micro'!$B74=CC$2,'Atividades Micro'!$G74="Macro",'Atividades Micro'!$K74&lt;&gt;""),'Atividades Micro'!$K74,"")</f>
        <v/>
      </c>
      <c r="CD74" s="21" t="str">
        <f>IF(AND('Atividades Micro'!$B74=CD$2,'Atividades Micro'!$G74="Micro",'Atividades Micro'!$K74&lt;&gt;""),'Atividades Micro'!$K74,"")</f>
        <v/>
      </c>
      <c r="CE74" s="21">
        <f>IF(AND('Atividades Micro'!$B74=CE$2,'Atividades Micro'!$G74="Micro",'Atividades Micro'!$K74&lt;&gt;""),'Atividades Micro'!$K74,"")</f>
        <v>46351</v>
      </c>
      <c r="CF74" s="21" t="str">
        <f>IF(AND('Atividades Micro'!$B74=CF$2,'Atividades Micro'!$G74="Micro",'Atividades Micro'!$K74&lt;&gt;""),'Atividades Micro'!$K74,"")</f>
        <v/>
      </c>
      <c r="CG74" s="21" t="str">
        <f>IF(AND('Atividades Micro'!$B74=CG$2,'Atividades Micro'!$G74="Micro",'Atividades Micro'!$K74&lt;&gt;""),'Atividades Micro'!$K74,"")</f>
        <v/>
      </c>
      <c r="CH74" s="21" t="str">
        <f>IF(AND('Atividades Micro'!$B74=CH$2,'Atividades Micro'!$G74="Micro",'Atividades Micro'!$K74&lt;&gt;""),'Atividades Micro'!$K74,"")</f>
        <v/>
      </c>
      <c r="CI74" s="21" t="str">
        <f>IF(AND('Atividades Micro'!$B74=CI$2,'Atividades Micro'!$G74="Micro",'Atividades Micro'!$K74&lt;&gt;""),'Atividades Micro'!$K74,"")</f>
        <v/>
      </c>
      <c r="CJ74" s="21" t="str">
        <f>IF(AND('Atividades Micro'!$B74=CJ$2,'Atividades Micro'!$G74="Micro",'Atividades Micro'!$K74&lt;&gt;""),'Atividades Micro'!$K74,"")</f>
        <v/>
      </c>
      <c r="CK74" s="21" t="str">
        <f>IF(AND('Atividades Micro'!$B74=CK$2,'Atividades Micro'!$G74="Micro",'Atividades Micro'!$K74&lt;&gt;""),'Atividades Micro'!$K74,"")</f>
        <v/>
      </c>
      <c r="CL74" s="21" t="str">
        <f>IF(AND('Atividades Micro'!$B74=CL$2,'Atividades Micro'!$G74="Micro",'Atividades Micro'!$K74&lt;&gt;""),'Atividades Micro'!$K74,"")</f>
        <v/>
      </c>
      <c r="CM74" s="21" t="str">
        <f>IF(AND('Atividades Micro'!$B74=CM$2,'Atividades Micro'!$G74="Micro",'Atividades Micro'!$K74&lt;&gt;""),'Atividades Micro'!$K74,"")</f>
        <v/>
      </c>
      <c r="CN74" s="21" t="str">
        <f>IF(AND('Atividades Micro'!$B74=CN$2,'Atividades Micro'!$G74="Micro",'Atividades Micro'!$K74&lt;&gt;""),'Atividades Micro'!$K74,"")</f>
        <v/>
      </c>
      <c r="CO74" s="21" t="str">
        <f>IF(AND('Atividades Micro'!$B74=CO$2,'Atividades Micro'!$G74="Micro",'Atividades Micro'!$K74&lt;&gt;""),'Atividades Micro'!$K74,"")</f>
        <v/>
      </c>
    </row>
    <row r="75" spans="1:93">
      <c r="A75" s="21" t="str">
        <f>IF(AND('Atividades Micro'!$A75=A$2,'Atividades Micro'!$K75&lt;&gt;""),'Atividades Micro'!$K75,"")</f>
        <v/>
      </c>
      <c r="B75" s="21" t="str">
        <f>IF(AND('Atividades Micro'!$A75=B$2,'Atividades Micro'!$L75&lt;&gt;""),'Atividades Micro'!$L75,"")</f>
        <v/>
      </c>
      <c r="C75" s="21" t="str">
        <f>IF(AND('Atividades Micro'!$A75=C$2,'Atividades Micro'!$K75&lt;&gt;""),'Atividades Micro'!$K75,"")</f>
        <v/>
      </c>
      <c r="D75" s="21" t="str">
        <f>IF(AND('Atividades Micro'!$A75=D$2,'Atividades Micro'!$L75&lt;&gt;""),'Atividades Micro'!$L75,"")</f>
        <v/>
      </c>
      <c r="E75" s="21" t="str">
        <f>IF(AND('Atividades Micro'!$A75=E$2,'Atividades Micro'!$K75&lt;&gt;""),'Atividades Micro'!$K75,"")</f>
        <v/>
      </c>
      <c r="F75" s="21" t="str">
        <f>IF(AND('Atividades Micro'!$A75=F$2,'Atividades Micro'!$L75&lt;&gt;""),'Atividades Micro'!$L75,"")</f>
        <v/>
      </c>
      <c r="G75" s="21" t="str">
        <f>IF(AND('Atividades Micro'!$A75=G$2,'Atividades Micro'!$K75&lt;&gt;""),'Atividades Micro'!$K75,"")</f>
        <v/>
      </c>
      <c r="H75" s="21" t="str">
        <f>IF(AND('Atividades Micro'!$A75=H$2,'Atividades Micro'!$L75&lt;&gt;""),'Atividades Micro'!$L75,"")</f>
        <v/>
      </c>
      <c r="I75" s="21">
        <f>IF(AND('Atividades Micro'!$A75=I$2,'Atividades Micro'!$K75&lt;&gt;""),'Atividades Micro'!$K75,"")</f>
        <v>46352</v>
      </c>
      <c r="J75" s="21">
        <f>IF(AND('Atividades Micro'!$A75=J$2,'Atividades Micro'!$L75&lt;&gt;""),'Atividades Micro'!$L75,"")</f>
        <v>46281</v>
      </c>
      <c r="K75" s="21" t="str">
        <f>IF(AND('Atividades Micro'!$B75=K$2,'Atividades Micro'!$K75&lt;&gt;""),'Atividades Micro'!$K75,"")</f>
        <v/>
      </c>
      <c r="L75" s="21" t="str">
        <f>IF(AND('Atividades Micro'!$B75=L$2,'Atividades Micro'!$L75&lt;&gt;""),'Atividades Micro'!$L75,"")</f>
        <v/>
      </c>
      <c r="M75" s="21">
        <f>IF(AND('Atividades Micro'!$B75=M$2,'Atividades Micro'!$K75&lt;&gt;""),'Atividades Micro'!$K75,"")</f>
        <v>46352</v>
      </c>
      <c r="N75" s="21">
        <f>IF(AND('Atividades Micro'!$B75=N$2,'Atividades Micro'!$L75&lt;&gt;""),'Atividades Micro'!$L75,"")</f>
        <v>46281</v>
      </c>
      <c r="O75" s="21" t="str">
        <f>IF(AND('Atividades Micro'!$A75=O$2,'Atividades Micro'!$K75&lt;&gt;""),'Atividades Micro'!$K75,"")</f>
        <v/>
      </c>
      <c r="P75" s="21" t="str">
        <f>IF(AND('Atividades Micro'!$A75=P$2,'Atividades Micro'!$L75&lt;&gt;""),'Atividades Micro'!$L75,"")</f>
        <v/>
      </c>
      <c r="Q75" s="21" t="str">
        <f>IF(AND('Atividades Micro'!$B75=Q$2,'Atividades Micro'!$K75&lt;&gt;""),'Atividades Micro'!$K75,"")</f>
        <v/>
      </c>
      <c r="R75" s="21" t="str">
        <f>IF(AND('Atividades Micro'!$B75=R$2,'Atividades Micro'!$L75&lt;&gt;""),'Atividades Micro'!$L75,"")</f>
        <v/>
      </c>
      <c r="S75" s="21" t="str">
        <f>IF(AND('Atividades Micro'!$A75=S$2,'Atividades Micro'!$K75&lt;&gt;""),'Atividades Micro'!$K75,"")</f>
        <v/>
      </c>
      <c r="T75" s="21" t="str">
        <f>IF(AND('Atividades Micro'!$A75=T$2,'Atividades Micro'!$L75&lt;&gt;""),'Atividades Micro'!$L75,"")</f>
        <v/>
      </c>
      <c r="U75" s="21" t="str">
        <f>IF(AND('Atividades Micro'!$B75=U$2,'Atividades Micro'!$K75&lt;&gt;""),'Atividades Micro'!$K75,"")</f>
        <v/>
      </c>
      <c r="V75" s="21" t="str">
        <f>IF(AND('Atividades Micro'!$B75=V$2,'Atividades Micro'!$L75&lt;&gt;""),'Atividades Micro'!$L75,"")</f>
        <v/>
      </c>
      <c r="W75" s="21" t="str">
        <f>IF(AND('Atividades Micro'!$B75=W$2,'Atividades Micro'!$K75&lt;&gt;""),'Atividades Micro'!$K75,"")</f>
        <v/>
      </c>
      <c r="X75" s="21" t="str">
        <f>IF(AND('Atividades Micro'!$B75=X$2,'Atividades Micro'!$L75&lt;&gt;""),'Atividades Micro'!$L75,"")</f>
        <v/>
      </c>
      <c r="Y75" s="21" t="str">
        <f>IF(AND('Atividades Micro'!$A75=Y$2,'Atividades Micro'!$K75&lt;&gt;""),'Atividades Micro'!$K75,"")</f>
        <v/>
      </c>
      <c r="Z75" s="21" t="str">
        <f>IF(AND('Atividades Micro'!$A75=Z$2,'Atividades Micro'!$L75&lt;&gt;""),'Atividades Micro'!$L75,"")</f>
        <v/>
      </c>
      <c r="AA75" s="21" t="str">
        <f>IF(AND('Atividades Micro'!$B75=AA$2,'Atividades Micro'!$K75&lt;&gt;""),'Atividades Micro'!$K75,"")</f>
        <v/>
      </c>
      <c r="AB75" s="21" t="str">
        <f>IF(AND('Atividades Micro'!$B75=AB$2,'Atividades Micro'!$L75&lt;&gt;""),'Atividades Micro'!$L75,"")</f>
        <v/>
      </c>
      <c r="AC75" s="21" t="str">
        <f>IF(AND('Atividades Micro'!$B75=AC$2,'Atividades Micro'!$K75&lt;&gt;""),'Atividades Micro'!$K75,"")</f>
        <v/>
      </c>
      <c r="AD75" s="21" t="str">
        <f>IF(AND('Atividades Micro'!$B75=AD$2,'Atividades Micro'!$L75&lt;&gt;""),'Atividades Micro'!$L75,"")</f>
        <v/>
      </c>
      <c r="AE75" s="21" t="str">
        <f>IF(AND('Atividades Micro'!$A75=AE$2,'Atividades Micro'!$K75&lt;&gt;""),'Atividades Micro'!$K75,"")</f>
        <v/>
      </c>
      <c r="AF75" s="21" t="str">
        <f>IF(AND('Atividades Micro'!$A75=AF$2,'Atividades Micro'!$L75&lt;&gt;""),'Atividades Micro'!$L75,"")</f>
        <v/>
      </c>
      <c r="AG75" s="21" t="str">
        <f>IF(AND('Atividades Micro'!$B75=AG$2,'Atividades Micro'!$K75&lt;&gt;""),'Atividades Micro'!$K75,"")</f>
        <v/>
      </c>
      <c r="AH75" s="21" t="str">
        <f>IF(AND('Atividades Micro'!$B75=AH$2,'Atividades Micro'!$L75&lt;&gt;""),'Atividades Micro'!$L75,"")</f>
        <v/>
      </c>
      <c r="AI75" s="21" t="str">
        <f>IF(AND('Atividades Micro'!$B75=AI$2,'Atividades Micro'!$K75&lt;&gt;""),'Atividades Micro'!$K75,"")</f>
        <v/>
      </c>
      <c r="AJ75" s="21" t="str">
        <f>IF(AND('Atividades Micro'!$B75=AJ$2,'Atividades Micro'!$L75&lt;&gt;""),'Atividades Micro'!$L75,"")</f>
        <v/>
      </c>
      <c r="AK75" s="21" t="str">
        <f>IF(AND('Atividades Micro'!$A75=AK$2,'Atividades Micro'!$K75&lt;&gt;""),'Atividades Micro'!$K75,"")</f>
        <v/>
      </c>
      <c r="AL75" s="21" t="str">
        <f>IF(AND('Atividades Micro'!$A75=AL$2,'Atividades Micro'!$L75&lt;&gt;""),'Atividades Micro'!$L75,"")</f>
        <v/>
      </c>
      <c r="AM75" s="21" t="str">
        <f>IF(AND('Atividades Micro'!$B75=AM$2,'Atividades Micro'!$K75&lt;&gt;""),'Atividades Micro'!$K75,"")</f>
        <v/>
      </c>
      <c r="AN75" s="21" t="str">
        <f>IF(AND('Atividades Micro'!$B75=AN$2,'Atividades Micro'!$L75&lt;&gt;""),'Atividades Micro'!$L75,"")</f>
        <v/>
      </c>
      <c r="AO75" s="21" t="str">
        <f>IF(AND('Atividades Micro'!$B75=AO$2,'Atividades Micro'!$K75&lt;&gt;""),'Atividades Micro'!$K75,"")</f>
        <v/>
      </c>
      <c r="AP75" s="21" t="str">
        <f>IF(AND('Atividades Micro'!$B75=AP$2,'Atividades Micro'!$L75&lt;&gt;""),'Atividades Micro'!$L75,"")</f>
        <v/>
      </c>
      <c r="AQ75" s="21" t="str">
        <f>IF(AND('Atividades Micro'!$A75=AQ$2,'Atividades Micro'!$K75&lt;&gt;""),'Atividades Micro'!$K75,"")</f>
        <v/>
      </c>
      <c r="AR75" s="21" t="str">
        <f>IF(AND('Atividades Micro'!$A75=AR$2,'Atividades Micro'!$L75&lt;&gt;""),'Atividades Micro'!$L75,"")</f>
        <v/>
      </c>
      <c r="AS75" s="21" t="str">
        <f>IF(AND('Atividades Micro'!$B75=AS$2,'Atividades Micro'!$K75&lt;&gt;""),'Atividades Micro'!$K75,"")</f>
        <v/>
      </c>
      <c r="AT75" s="21" t="str">
        <f>IF(AND('Atividades Micro'!$B75=AT$2,'Atividades Micro'!$L75&lt;&gt;""),'Atividades Micro'!$L75,"")</f>
        <v/>
      </c>
      <c r="AU75" s="21" t="str">
        <f>IF(AND('Atividades Micro'!$A75=AU$2,'Atividades Micro'!$K75&lt;&gt;""),'Atividades Micro'!$K75,"")</f>
        <v/>
      </c>
      <c r="AV75" s="21" t="str">
        <f>IF(AND('Atividades Micro'!$A75=AV$2,'Atividades Micro'!$L75&lt;&gt;""),'Atividades Micro'!$L75,"")</f>
        <v/>
      </c>
      <c r="AW75" s="21" t="str">
        <f>IF(AND('Atividades Micro'!$B75=AW$2,'Atividades Micro'!$K75&lt;&gt;""),'Atividades Micro'!$K75,"")</f>
        <v/>
      </c>
      <c r="AX75" s="21" t="str">
        <f>IF(AND('Atividades Micro'!$B75=AX$2,'Atividades Micro'!$L75&lt;&gt;""),'Atividades Micro'!$L75,"")</f>
        <v/>
      </c>
      <c r="AY75" s="21" t="str">
        <f>IF(AND('Atividades Micro'!$A75=AY$2,'Atividades Micro'!$K75&lt;&gt;""),'Atividades Micro'!$K75,"")</f>
        <v/>
      </c>
      <c r="AZ75" s="21" t="str">
        <f>IF(AND('Atividades Micro'!$A75=AZ$2,'Atividades Micro'!$L75&lt;&gt;""),'Atividades Micro'!$L75,"")</f>
        <v/>
      </c>
      <c r="BA75" s="21" t="str">
        <f>IF(AND('Atividades Micro'!$B75=BA$2,'Atividades Micro'!$K75&lt;&gt;""),'Atividades Micro'!$K75,"")</f>
        <v/>
      </c>
      <c r="BB75" s="21" t="str">
        <f>IF(AND('Atividades Micro'!$B75=BB$2,'Atividades Micro'!$L75&lt;&gt;""),'Atividades Micro'!$L75,"")</f>
        <v/>
      </c>
      <c r="BC75" s="21" t="str">
        <f>IF(AND('Atividades Micro'!$B75=BC$2,'Atividades Micro'!$G75="Macro",'Atividades Micro'!$K75&lt;&gt;""),'Atividades Micro'!$K75,"")</f>
        <v/>
      </c>
      <c r="BD75" s="21" t="str">
        <f>IF(AND('Atividades Micro'!$B75=BD$2,'Atividades Micro'!$G75="Macro",'Atividades Micro'!$K75&lt;&gt;""),'Atividades Micro'!$K75,"")</f>
        <v/>
      </c>
      <c r="BE75" s="21" t="str">
        <f>IF(AND('Atividades Micro'!$B75=BE$2,'Atividades Micro'!$G75="Macro",'Atividades Micro'!$K75&lt;&gt;""),'Atividades Micro'!$K75,"")</f>
        <v/>
      </c>
      <c r="BF75" s="21" t="str">
        <f>IF(AND('Atividades Micro'!$B75=BF$2,'Atividades Micro'!$G75="Macro",'Atividades Micro'!$K75&lt;&gt;""),'Atividades Micro'!$K75,"")</f>
        <v/>
      </c>
      <c r="BG75" s="21" t="str">
        <f>IF(AND('Atividades Micro'!$B75=BG$2,'Atividades Micro'!$G75="Macro",'Atividades Micro'!$K75&lt;&gt;""),'Atividades Micro'!$K75,"")</f>
        <v/>
      </c>
      <c r="BH75" s="21" t="str">
        <f>IF(AND('Atividades Micro'!$B75=BH$2,'Atividades Micro'!$G75="Macro",'Atividades Micro'!$K75&lt;&gt;""),'Atividades Micro'!$K75,"")</f>
        <v/>
      </c>
      <c r="BI75" s="21" t="str">
        <f>IF(AND('Atividades Micro'!$B75=BI$2,'Atividades Micro'!$G75="Macro",'Atividades Micro'!$K75&lt;&gt;""),'Atividades Micro'!$K75,"")</f>
        <v/>
      </c>
      <c r="BJ75" s="21" t="str">
        <f>IF(AND('Atividades Micro'!$B75=BJ$2,'Atividades Micro'!$G75="Macro",'Atividades Micro'!$K75&lt;&gt;""),'Atividades Micro'!$K75,"")</f>
        <v/>
      </c>
      <c r="BK75" s="21" t="str">
        <f>IF(AND('Atividades Micro'!$B75=BK$2,'Atividades Micro'!$G75="Macro",'Atividades Micro'!$K75&lt;&gt;""),'Atividades Micro'!$K75,"")</f>
        <v/>
      </c>
      <c r="BL75" s="21" t="str">
        <f>IF(AND('Atividades Micro'!$B75=BL$2,'Atividades Micro'!$G75="Macro",'Atividades Micro'!$K75&lt;&gt;""),'Atividades Micro'!$K75,"")</f>
        <v/>
      </c>
      <c r="BM75" s="21" t="str">
        <f>IF(AND('Atividades Micro'!$B75=BM$2,'Atividades Micro'!$G75="Macro",'Atividades Micro'!$K75&lt;&gt;""),'Atividades Micro'!$K75,"")</f>
        <v/>
      </c>
      <c r="BN75" s="21" t="str">
        <f>IF(AND('Atividades Micro'!$B75=BN$2,'Atividades Micro'!$G75="Macro",'Atividades Micro'!$K75&lt;&gt;""),'Atividades Micro'!$K75,"")</f>
        <v/>
      </c>
      <c r="BO75" s="21" t="str">
        <f>IF(AND('Atividades Micro'!$B75=BO$2,'Atividades Micro'!$G75="Macro",'Atividades Micro'!$K75&lt;&gt;""),'Atividades Micro'!$K75,"")</f>
        <v/>
      </c>
      <c r="BP75" s="21" t="str">
        <f>IF(AND('Atividades Micro'!$B75=BP$2,'Atividades Micro'!$G75="Macro",'Atividades Micro'!$K75&lt;&gt;""),'Atividades Micro'!$K75,"")</f>
        <v/>
      </c>
      <c r="BQ75" s="21" t="str">
        <f>IF(AND('Atividades Micro'!$B75=BQ$2,'Atividades Micro'!$G75="Macro",'Atividades Micro'!$K75&lt;&gt;""),'Atividades Micro'!$K75,"")</f>
        <v/>
      </c>
      <c r="BR75" s="21" t="str">
        <f>IF(AND('Atividades Micro'!$B75=BR$2,'Atividades Micro'!$G75="Macro",'Atividades Micro'!$K75&lt;&gt;""),'Atividades Micro'!$K75,"")</f>
        <v/>
      </c>
      <c r="BS75" s="21" t="str">
        <f>IF(AND('Atividades Micro'!$B75=BS$2,'Atividades Micro'!$G75="Macro",'Atividades Micro'!$K75&lt;&gt;""),'Atividades Micro'!$K75,"")</f>
        <v/>
      </c>
      <c r="BT75" s="21" t="str">
        <f>IF(AND('Atividades Micro'!$B75=BT$2,'Atividades Micro'!$G75="Macro",'Atividades Micro'!$K75&lt;&gt;""),'Atividades Micro'!$K75,"")</f>
        <v/>
      </c>
      <c r="BU75" s="21" t="str">
        <f>IF(AND('Atividades Micro'!$B75=BU$2,'Atividades Micro'!$G75="Macro",'Atividades Micro'!$K75&lt;&gt;""),'Atividades Micro'!$K75,"")</f>
        <v/>
      </c>
      <c r="BV75" s="21" t="str">
        <f>IF(AND('Atividades Micro'!$B75=BV$2,'Atividades Micro'!$G75="Macro",'Atividades Micro'!$K75&lt;&gt;""),'Atividades Micro'!$K75,"")</f>
        <v/>
      </c>
      <c r="BW75" s="21" t="str">
        <f>IF(AND('Atividades Micro'!$B75=BW$2,'Atividades Micro'!$G75="Macro",'Atividades Micro'!$K75&lt;&gt;""),'Atividades Micro'!$K75,"")</f>
        <v/>
      </c>
      <c r="BX75" s="21" t="str">
        <f>IF(AND('Atividades Micro'!$B75=BX$2,'Atividades Micro'!$G75="Macro",'Atividades Micro'!$K75&lt;&gt;""),'Atividades Micro'!$K75,"")</f>
        <v/>
      </c>
      <c r="BY75" s="21" t="str">
        <f>IF(AND('Atividades Micro'!$B75=BY$2,'Atividades Micro'!$G75="Macro",'Atividades Micro'!$K75&lt;&gt;""),'Atividades Micro'!$K75,"")</f>
        <v/>
      </c>
      <c r="BZ75" s="21" t="str">
        <f>IF(AND('Atividades Micro'!$B75=BZ$2,'Atividades Micro'!$G75="Macro",'Atividades Micro'!$K75&lt;&gt;""),'Atividades Micro'!$K75,"")</f>
        <v/>
      </c>
      <c r="CA75" s="21" t="str">
        <f>IF(AND('Atividades Micro'!$B75=CA$2,'Atividades Micro'!$G75="Macro",'Atividades Micro'!$K75&lt;&gt;""),'Atividades Micro'!$K75,"")</f>
        <v/>
      </c>
      <c r="CB75" s="21" t="str">
        <f>IF(AND('Atividades Micro'!$B75=CB$2,'Atividades Micro'!$G75="Macro",'Atividades Micro'!$K75&lt;&gt;""),'Atividades Micro'!$K75,"")</f>
        <v/>
      </c>
      <c r="CC75" s="21" t="str">
        <f>IF(AND('Atividades Micro'!$B75=CC$2,'Atividades Micro'!$G75="Macro",'Atividades Micro'!$K75&lt;&gt;""),'Atividades Micro'!$K75,"")</f>
        <v/>
      </c>
      <c r="CD75" s="21" t="str">
        <f>IF(AND('Atividades Micro'!$B75=CD$2,'Atividades Micro'!$G75="Micro",'Atividades Micro'!$K75&lt;&gt;""),'Atividades Micro'!$K75,"")</f>
        <v/>
      </c>
      <c r="CE75" s="21">
        <f>IF(AND('Atividades Micro'!$B75=CE$2,'Atividades Micro'!$G75="Micro",'Atividades Micro'!$K75&lt;&gt;""),'Atividades Micro'!$K75,"")</f>
        <v>46352</v>
      </c>
      <c r="CF75" s="21" t="str">
        <f>IF(AND('Atividades Micro'!$B75=CF$2,'Atividades Micro'!$G75="Micro",'Atividades Micro'!$K75&lt;&gt;""),'Atividades Micro'!$K75,"")</f>
        <v/>
      </c>
      <c r="CG75" s="21" t="str">
        <f>IF(AND('Atividades Micro'!$B75=CG$2,'Atividades Micro'!$G75="Micro",'Atividades Micro'!$K75&lt;&gt;""),'Atividades Micro'!$K75,"")</f>
        <v/>
      </c>
      <c r="CH75" s="21" t="str">
        <f>IF(AND('Atividades Micro'!$B75=CH$2,'Atividades Micro'!$G75="Micro",'Atividades Micro'!$K75&lt;&gt;""),'Atividades Micro'!$K75,"")</f>
        <v/>
      </c>
      <c r="CI75" s="21" t="str">
        <f>IF(AND('Atividades Micro'!$B75=CI$2,'Atividades Micro'!$G75="Micro",'Atividades Micro'!$K75&lt;&gt;""),'Atividades Micro'!$K75,"")</f>
        <v/>
      </c>
      <c r="CJ75" s="21" t="str">
        <f>IF(AND('Atividades Micro'!$B75=CJ$2,'Atividades Micro'!$G75="Micro",'Atividades Micro'!$K75&lt;&gt;""),'Atividades Micro'!$K75,"")</f>
        <v/>
      </c>
      <c r="CK75" s="21" t="str">
        <f>IF(AND('Atividades Micro'!$B75=CK$2,'Atividades Micro'!$G75="Micro",'Atividades Micro'!$K75&lt;&gt;""),'Atividades Micro'!$K75,"")</f>
        <v/>
      </c>
      <c r="CL75" s="21" t="str">
        <f>IF(AND('Atividades Micro'!$B75=CL$2,'Atividades Micro'!$G75="Micro",'Atividades Micro'!$K75&lt;&gt;""),'Atividades Micro'!$K75,"")</f>
        <v/>
      </c>
      <c r="CM75" s="21" t="str">
        <f>IF(AND('Atividades Micro'!$B75=CM$2,'Atividades Micro'!$G75="Micro",'Atividades Micro'!$K75&lt;&gt;""),'Atividades Micro'!$K75,"")</f>
        <v/>
      </c>
      <c r="CN75" s="21" t="str">
        <f>IF(AND('Atividades Micro'!$B75=CN$2,'Atividades Micro'!$G75="Micro",'Atividades Micro'!$K75&lt;&gt;""),'Atividades Micro'!$K75,"")</f>
        <v/>
      </c>
      <c r="CO75" s="21" t="str">
        <f>IF(AND('Atividades Micro'!$B75=CO$2,'Atividades Micro'!$G75="Micro",'Atividades Micro'!$K75&lt;&gt;""),'Atividades Micro'!$K75,"")</f>
        <v/>
      </c>
    </row>
    <row r="76" spans="1:93">
      <c r="A76" s="21" t="str">
        <f>IF(AND('Atividades Micro'!$A76=A$2,'Atividades Micro'!$K76&lt;&gt;""),'Atividades Micro'!$K76,"")</f>
        <v/>
      </c>
      <c r="B76" s="21" t="str">
        <f>IF(AND('Atividades Micro'!$A76=B$2,'Atividades Micro'!$L76&lt;&gt;""),'Atividades Micro'!$L76,"")</f>
        <v/>
      </c>
      <c r="C76" s="21" t="str">
        <f>IF(AND('Atividades Micro'!$A76=C$2,'Atividades Micro'!$K76&lt;&gt;""),'Atividades Micro'!$K76,"")</f>
        <v/>
      </c>
      <c r="D76" s="21" t="str">
        <f>IF(AND('Atividades Micro'!$A76=D$2,'Atividades Micro'!$L76&lt;&gt;""),'Atividades Micro'!$L76,"")</f>
        <v/>
      </c>
      <c r="E76" s="21" t="str">
        <f>IF(AND('Atividades Micro'!$A76=E$2,'Atividades Micro'!$K76&lt;&gt;""),'Atividades Micro'!$K76,"")</f>
        <v/>
      </c>
      <c r="F76" s="21" t="str">
        <f>IF(AND('Atividades Micro'!$A76=F$2,'Atividades Micro'!$L76&lt;&gt;""),'Atividades Micro'!$L76,"")</f>
        <v/>
      </c>
      <c r="G76" s="21" t="str">
        <f>IF(AND('Atividades Micro'!$A76=G$2,'Atividades Micro'!$K76&lt;&gt;""),'Atividades Micro'!$K76,"")</f>
        <v/>
      </c>
      <c r="H76" s="21" t="str">
        <f>IF(AND('Atividades Micro'!$A76=H$2,'Atividades Micro'!$L76&lt;&gt;""),'Atividades Micro'!$L76,"")</f>
        <v/>
      </c>
      <c r="I76" s="21">
        <f>IF(AND('Atividades Micro'!$A76=I$2,'Atividades Micro'!$K76&lt;&gt;""),'Atividades Micro'!$K76,"")</f>
        <v>46356</v>
      </c>
      <c r="J76" s="21">
        <f>IF(AND('Atividades Micro'!$A76=J$2,'Atividades Micro'!$L76&lt;&gt;""),'Atividades Micro'!$L76,"")</f>
        <v>46287</v>
      </c>
      <c r="K76" s="21" t="str">
        <f>IF(AND('Atividades Micro'!$B76=K$2,'Atividades Micro'!$K76&lt;&gt;""),'Atividades Micro'!$K76,"")</f>
        <v/>
      </c>
      <c r="L76" s="21" t="str">
        <f>IF(AND('Atividades Micro'!$B76=L$2,'Atividades Micro'!$L76&lt;&gt;""),'Atividades Micro'!$L76,"")</f>
        <v/>
      </c>
      <c r="M76" s="21">
        <f>IF(AND('Atividades Micro'!$B76=M$2,'Atividades Micro'!$K76&lt;&gt;""),'Atividades Micro'!$K76,"")</f>
        <v>46356</v>
      </c>
      <c r="N76" s="21">
        <f>IF(AND('Atividades Micro'!$B76=N$2,'Atividades Micro'!$L76&lt;&gt;""),'Atividades Micro'!$L76,"")</f>
        <v>46287</v>
      </c>
      <c r="O76" s="21" t="str">
        <f>IF(AND('Atividades Micro'!$A76=O$2,'Atividades Micro'!$K76&lt;&gt;""),'Atividades Micro'!$K76,"")</f>
        <v/>
      </c>
      <c r="P76" s="21" t="str">
        <f>IF(AND('Atividades Micro'!$A76=P$2,'Atividades Micro'!$L76&lt;&gt;""),'Atividades Micro'!$L76,"")</f>
        <v/>
      </c>
      <c r="Q76" s="21" t="str">
        <f>IF(AND('Atividades Micro'!$B76=Q$2,'Atividades Micro'!$K76&lt;&gt;""),'Atividades Micro'!$K76,"")</f>
        <v/>
      </c>
      <c r="R76" s="21" t="str">
        <f>IF(AND('Atividades Micro'!$B76=R$2,'Atividades Micro'!$L76&lt;&gt;""),'Atividades Micro'!$L76,"")</f>
        <v/>
      </c>
      <c r="S76" s="21" t="str">
        <f>IF(AND('Atividades Micro'!$A76=S$2,'Atividades Micro'!$K76&lt;&gt;""),'Atividades Micro'!$K76,"")</f>
        <v/>
      </c>
      <c r="T76" s="21" t="str">
        <f>IF(AND('Atividades Micro'!$A76=T$2,'Atividades Micro'!$L76&lt;&gt;""),'Atividades Micro'!$L76,"")</f>
        <v/>
      </c>
      <c r="U76" s="21" t="str">
        <f>IF(AND('Atividades Micro'!$B76=U$2,'Atividades Micro'!$K76&lt;&gt;""),'Atividades Micro'!$K76,"")</f>
        <v/>
      </c>
      <c r="V76" s="21" t="str">
        <f>IF(AND('Atividades Micro'!$B76=V$2,'Atividades Micro'!$L76&lt;&gt;""),'Atividades Micro'!$L76,"")</f>
        <v/>
      </c>
      <c r="W76" s="21" t="str">
        <f>IF(AND('Atividades Micro'!$B76=W$2,'Atividades Micro'!$K76&lt;&gt;""),'Atividades Micro'!$K76,"")</f>
        <v/>
      </c>
      <c r="X76" s="21" t="str">
        <f>IF(AND('Atividades Micro'!$B76=X$2,'Atividades Micro'!$L76&lt;&gt;""),'Atividades Micro'!$L76,"")</f>
        <v/>
      </c>
      <c r="Y76" s="21" t="str">
        <f>IF(AND('Atividades Micro'!$A76=Y$2,'Atividades Micro'!$K76&lt;&gt;""),'Atividades Micro'!$K76,"")</f>
        <v/>
      </c>
      <c r="Z76" s="21" t="str">
        <f>IF(AND('Atividades Micro'!$A76=Z$2,'Atividades Micro'!$L76&lt;&gt;""),'Atividades Micro'!$L76,"")</f>
        <v/>
      </c>
      <c r="AA76" s="21" t="str">
        <f>IF(AND('Atividades Micro'!$B76=AA$2,'Atividades Micro'!$K76&lt;&gt;""),'Atividades Micro'!$K76,"")</f>
        <v/>
      </c>
      <c r="AB76" s="21" t="str">
        <f>IF(AND('Atividades Micro'!$B76=AB$2,'Atividades Micro'!$L76&lt;&gt;""),'Atividades Micro'!$L76,"")</f>
        <v/>
      </c>
      <c r="AC76" s="21" t="str">
        <f>IF(AND('Atividades Micro'!$B76=AC$2,'Atividades Micro'!$K76&lt;&gt;""),'Atividades Micro'!$K76,"")</f>
        <v/>
      </c>
      <c r="AD76" s="21" t="str">
        <f>IF(AND('Atividades Micro'!$B76=AD$2,'Atividades Micro'!$L76&lt;&gt;""),'Atividades Micro'!$L76,"")</f>
        <v/>
      </c>
      <c r="AE76" s="21" t="str">
        <f>IF(AND('Atividades Micro'!$A76=AE$2,'Atividades Micro'!$K76&lt;&gt;""),'Atividades Micro'!$K76,"")</f>
        <v/>
      </c>
      <c r="AF76" s="21" t="str">
        <f>IF(AND('Atividades Micro'!$A76=AF$2,'Atividades Micro'!$L76&lt;&gt;""),'Atividades Micro'!$L76,"")</f>
        <v/>
      </c>
      <c r="AG76" s="21" t="str">
        <f>IF(AND('Atividades Micro'!$B76=AG$2,'Atividades Micro'!$K76&lt;&gt;""),'Atividades Micro'!$K76,"")</f>
        <v/>
      </c>
      <c r="AH76" s="21" t="str">
        <f>IF(AND('Atividades Micro'!$B76=AH$2,'Atividades Micro'!$L76&lt;&gt;""),'Atividades Micro'!$L76,"")</f>
        <v/>
      </c>
      <c r="AI76" s="21" t="str">
        <f>IF(AND('Atividades Micro'!$B76=AI$2,'Atividades Micro'!$K76&lt;&gt;""),'Atividades Micro'!$K76,"")</f>
        <v/>
      </c>
      <c r="AJ76" s="21" t="str">
        <f>IF(AND('Atividades Micro'!$B76=AJ$2,'Atividades Micro'!$L76&lt;&gt;""),'Atividades Micro'!$L76,"")</f>
        <v/>
      </c>
      <c r="AK76" s="21" t="str">
        <f>IF(AND('Atividades Micro'!$A76=AK$2,'Atividades Micro'!$K76&lt;&gt;""),'Atividades Micro'!$K76,"")</f>
        <v/>
      </c>
      <c r="AL76" s="21" t="str">
        <f>IF(AND('Atividades Micro'!$A76=AL$2,'Atividades Micro'!$L76&lt;&gt;""),'Atividades Micro'!$L76,"")</f>
        <v/>
      </c>
      <c r="AM76" s="21" t="str">
        <f>IF(AND('Atividades Micro'!$B76=AM$2,'Atividades Micro'!$K76&lt;&gt;""),'Atividades Micro'!$K76,"")</f>
        <v/>
      </c>
      <c r="AN76" s="21" t="str">
        <f>IF(AND('Atividades Micro'!$B76=AN$2,'Atividades Micro'!$L76&lt;&gt;""),'Atividades Micro'!$L76,"")</f>
        <v/>
      </c>
      <c r="AO76" s="21" t="str">
        <f>IF(AND('Atividades Micro'!$B76=AO$2,'Atividades Micro'!$K76&lt;&gt;""),'Atividades Micro'!$K76,"")</f>
        <v/>
      </c>
      <c r="AP76" s="21" t="str">
        <f>IF(AND('Atividades Micro'!$B76=AP$2,'Atividades Micro'!$L76&lt;&gt;""),'Atividades Micro'!$L76,"")</f>
        <v/>
      </c>
      <c r="AQ76" s="21" t="str">
        <f>IF(AND('Atividades Micro'!$A76=AQ$2,'Atividades Micro'!$K76&lt;&gt;""),'Atividades Micro'!$K76,"")</f>
        <v/>
      </c>
      <c r="AR76" s="21" t="str">
        <f>IF(AND('Atividades Micro'!$A76=AR$2,'Atividades Micro'!$L76&lt;&gt;""),'Atividades Micro'!$L76,"")</f>
        <v/>
      </c>
      <c r="AS76" s="21" t="str">
        <f>IF(AND('Atividades Micro'!$B76=AS$2,'Atividades Micro'!$K76&lt;&gt;""),'Atividades Micro'!$K76,"")</f>
        <v/>
      </c>
      <c r="AT76" s="21" t="str">
        <f>IF(AND('Atividades Micro'!$B76=AT$2,'Atividades Micro'!$L76&lt;&gt;""),'Atividades Micro'!$L76,"")</f>
        <v/>
      </c>
      <c r="AU76" s="21" t="str">
        <f>IF(AND('Atividades Micro'!$A76=AU$2,'Atividades Micro'!$K76&lt;&gt;""),'Atividades Micro'!$K76,"")</f>
        <v/>
      </c>
      <c r="AV76" s="21" t="str">
        <f>IF(AND('Atividades Micro'!$A76=AV$2,'Atividades Micro'!$L76&lt;&gt;""),'Atividades Micro'!$L76,"")</f>
        <v/>
      </c>
      <c r="AW76" s="21" t="str">
        <f>IF(AND('Atividades Micro'!$B76=AW$2,'Atividades Micro'!$K76&lt;&gt;""),'Atividades Micro'!$K76,"")</f>
        <v/>
      </c>
      <c r="AX76" s="21" t="str">
        <f>IF(AND('Atividades Micro'!$B76=AX$2,'Atividades Micro'!$L76&lt;&gt;""),'Atividades Micro'!$L76,"")</f>
        <v/>
      </c>
      <c r="AY76" s="21" t="str">
        <f>IF(AND('Atividades Micro'!$A76=AY$2,'Atividades Micro'!$K76&lt;&gt;""),'Atividades Micro'!$K76,"")</f>
        <v/>
      </c>
      <c r="AZ76" s="21" t="str">
        <f>IF(AND('Atividades Micro'!$A76=AZ$2,'Atividades Micro'!$L76&lt;&gt;""),'Atividades Micro'!$L76,"")</f>
        <v/>
      </c>
      <c r="BA76" s="21" t="str">
        <f>IF(AND('Atividades Micro'!$B76=BA$2,'Atividades Micro'!$K76&lt;&gt;""),'Atividades Micro'!$K76,"")</f>
        <v/>
      </c>
      <c r="BB76" s="21" t="str">
        <f>IF(AND('Atividades Micro'!$B76=BB$2,'Atividades Micro'!$L76&lt;&gt;""),'Atividades Micro'!$L76,"")</f>
        <v/>
      </c>
      <c r="BC76" s="21" t="str">
        <f>IF(AND('Atividades Micro'!$B76=BC$2,'Atividades Micro'!$G76="Macro",'Atividades Micro'!$K76&lt;&gt;""),'Atividades Micro'!$K76,"")</f>
        <v/>
      </c>
      <c r="BD76" s="21" t="str">
        <f>IF(AND('Atividades Micro'!$B76=BD$2,'Atividades Micro'!$G76="Macro",'Atividades Micro'!$K76&lt;&gt;""),'Atividades Micro'!$K76,"")</f>
        <v/>
      </c>
      <c r="BE76" s="21" t="str">
        <f>IF(AND('Atividades Micro'!$B76=BE$2,'Atividades Micro'!$G76="Macro",'Atividades Micro'!$K76&lt;&gt;""),'Atividades Micro'!$K76,"")</f>
        <v/>
      </c>
      <c r="BF76" s="21" t="str">
        <f>IF(AND('Atividades Micro'!$B76=BF$2,'Atividades Micro'!$G76="Macro",'Atividades Micro'!$K76&lt;&gt;""),'Atividades Micro'!$K76,"")</f>
        <v/>
      </c>
      <c r="BG76" s="21" t="str">
        <f>IF(AND('Atividades Micro'!$B76=BG$2,'Atividades Micro'!$G76="Macro",'Atividades Micro'!$K76&lt;&gt;""),'Atividades Micro'!$K76,"")</f>
        <v/>
      </c>
      <c r="BH76" s="21" t="str">
        <f>IF(AND('Atividades Micro'!$B76=BH$2,'Atividades Micro'!$G76="Macro",'Atividades Micro'!$K76&lt;&gt;""),'Atividades Micro'!$K76,"")</f>
        <v/>
      </c>
      <c r="BI76" s="21" t="str">
        <f>IF(AND('Atividades Micro'!$B76=BI$2,'Atividades Micro'!$G76="Macro",'Atividades Micro'!$K76&lt;&gt;""),'Atividades Micro'!$K76,"")</f>
        <v/>
      </c>
      <c r="BJ76" s="21" t="str">
        <f>IF(AND('Atividades Micro'!$B76=BJ$2,'Atividades Micro'!$G76="Macro",'Atividades Micro'!$K76&lt;&gt;""),'Atividades Micro'!$K76,"")</f>
        <v/>
      </c>
      <c r="BK76" s="21" t="str">
        <f>IF(AND('Atividades Micro'!$B76=BK$2,'Atividades Micro'!$G76="Macro",'Atividades Micro'!$K76&lt;&gt;""),'Atividades Micro'!$K76,"")</f>
        <v/>
      </c>
      <c r="BL76" s="21" t="str">
        <f>IF(AND('Atividades Micro'!$B76=BL$2,'Atividades Micro'!$G76="Macro",'Atividades Micro'!$K76&lt;&gt;""),'Atividades Micro'!$K76,"")</f>
        <v/>
      </c>
      <c r="BM76" s="21" t="str">
        <f>IF(AND('Atividades Micro'!$B76=BM$2,'Atividades Micro'!$G76="Macro",'Atividades Micro'!$K76&lt;&gt;""),'Atividades Micro'!$K76,"")</f>
        <v/>
      </c>
      <c r="BN76" s="21" t="str">
        <f>IF(AND('Atividades Micro'!$B76=BN$2,'Atividades Micro'!$G76="Macro",'Atividades Micro'!$K76&lt;&gt;""),'Atividades Micro'!$K76,"")</f>
        <v/>
      </c>
      <c r="BO76" s="21" t="str">
        <f>IF(AND('Atividades Micro'!$B76=BO$2,'Atividades Micro'!$G76="Macro",'Atividades Micro'!$K76&lt;&gt;""),'Atividades Micro'!$K76,"")</f>
        <v/>
      </c>
      <c r="BP76" s="21" t="str">
        <f>IF(AND('Atividades Micro'!$B76=BP$2,'Atividades Micro'!$G76="Macro",'Atividades Micro'!$K76&lt;&gt;""),'Atividades Micro'!$K76,"")</f>
        <v/>
      </c>
      <c r="BQ76" s="21" t="str">
        <f>IF(AND('Atividades Micro'!$B76=BQ$2,'Atividades Micro'!$G76="Macro",'Atividades Micro'!$K76&lt;&gt;""),'Atividades Micro'!$K76,"")</f>
        <v/>
      </c>
      <c r="BR76" s="21" t="str">
        <f>IF(AND('Atividades Micro'!$B76=BR$2,'Atividades Micro'!$G76="Macro",'Atividades Micro'!$K76&lt;&gt;""),'Atividades Micro'!$K76,"")</f>
        <v/>
      </c>
      <c r="BS76" s="21" t="str">
        <f>IF(AND('Atividades Micro'!$B76=BS$2,'Atividades Micro'!$G76="Macro",'Atividades Micro'!$K76&lt;&gt;""),'Atividades Micro'!$K76,"")</f>
        <v/>
      </c>
      <c r="BT76" s="21" t="str">
        <f>IF(AND('Atividades Micro'!$B76=BT$2,'Atividades Micro'!$G76="Macro",'Atividades Micro'!$K76&lt;&gt;""),'Atividades Micro'!$K76,"")</f>
        <v/>
      </c>
      <c r="BU76" s="21" t="str">
        <f>IF(AND('Atividades Micro'!$B76=BU$2,'Atividades Micro'!$G76="Macro",'Atividades Micro'!$K76&lt;&gt;""),'Atividades Micro'!$K76,"")</f>
        <v/>
      </c>
      <c r="BV76" s="21" t="str">
        <f>IF(AND('Atividades Micro'!$B76=BV$2,'Atividades Micro'!$G76="Macro",'Atividades Micro'!$K76&lt;&gt;""),'Atividades Micro'!$K76,"")</f>
        <v/>
      </c>
      <c r="BW76" s="21" t="str">
        <f>IF(AND('Atividades Micro'!$B76=BW$2,'Atividades Micro'!$G76="Macro",'Atividades Micro'!$K76&lt;&gt;""),'Atividades Micro'!$K76,"")</f>
        <v/>
      </c>
      <c r="BX76" s="21" t="str">
        <f>IF(AND('Atividades Micro'!$B76=BX$2,'Atividades Micro'!$G76="Macro",'Atividades Micro'!$K76&lt;&gt;""),'Atividades Micro'!$K76,"")</f>
        <v/>
      </c>
      <c r="BY76" s="21" t="str">
        <f>IF(AND('Atividades Micro'!$B76=BY$2,'Atividades Micro'!$G76="Macro",'Atividades Micro'!$K76&lt;&gt;""),'Atividades Micro'!$K76,"")</f>
        <v/>
      </c>
      <c r="BZ76" s="21" t="str">
        <f>IF(AND('Atividades Micro'!$B76=BZ$2,'Atividades Micro'!$G76="Macro",'Atividades Micro'!$K76&lt;&gt;""),'Atividades Micro'!$K76,"")</f>
        <v/>
      </c>
      <c r="CA76" s="21" t="str">
        <f>IF(AND('Atividades Micro'!$B76=CA$2,'Atividades Micro'!$G76="Macro",'Atividades Micro'!$K76&lt;&gt;""),'Atividades Micro'!$K76,"")</f>
        <v/>
      </c>
      <c r="CB76" s="21" t="str">
        <f>IF(AND('Atividades Micro'!$B76=CB$2,'Atividades Micro'!$G76="Macro",'Atividades Micro'!$K76&lt;&gt;""),'Atividades Micro'!$K76,"")</f>
        <v/>
      </c>
      <c r="CC76" s="21" t="str">
        <f>IF(AND('Atividades Micro'!$B76=CC$2,'Atividades Micro'!$G76="Macro",'Atividades Micro'!$K76&lt;&gt;""),'Atividades Micro'!$K76,"")</f>
        <v/>
      </c>
      <c r="CD76" s="21" t="str">
        <f>IF(AND('Atividades Micro'!$B76=CD$2,'Atividades Micro'!$G76="Micro",'Atividades Micro'!$K76&lt;&gt;""),'Atividades Micro'!$K76,"")</f>
        <v/>
      </c>
      <c r="CE76" s="21">
        <f>IF(AND('Atividades Micro'!$B76=CE$2,'Atividades Micro'!$G76="Micro",'Atividades Micro'!$K76&lt;&gt;""),'Atividades Micro'!$K76,"")</f>
        <v>46356</v>
      </c>
      <c r="CF76" s="21" t="str">
        <f>IF(AND('Atividades Micro'!$B76=CF$2,'Atividades Micro'!$G76="Micro",'Atividades Micro'!$K76&lt;&gt;""),'Atividades Micro'!$K76,"")</f>
        <v/>
      </c>
      <c r="CG76" s="21" t="str">
        <f>IF(AND('Atividades Micro'!$B76=CG$2,'Atividades Micro'!$G76="Micro",'Atividades Micro'!$K76&lt;&gt;""),'Atividades Micro'!$K76,"")</f>
        <v/>
      </c>
      <c r="CH76" s="21" t="str">
        <f>IF(AND('Atividades Micro'!$B76=CH$2,'Atividades Micro'!$G76="Micro",'Atividades Micro'!$K76&lt;&gt;""),'Atividades Micro'!$K76,"")</f>
        <v/>
      </c>
      <c r="CI76" s="21" t="str">
        <f>IF(AND('Atividades Micro'!$B76=CI$2,'Atividades Micro'!$G76="Micro",'Atividades Micro'!$K76&lt;&gt;""),'Atividades Micro'!$K76,"")</f>
        <v/>
      </c>
      <c r="CJ76" s="21" t="str">
        <f>IF(AND('Atividades Micro'!$B76=CJ$2,'Atividades Micro'!$G76="Micro",'Atividades Micro'!$K76&lt;&gt;""),'Atividades Micro'!$K76,"")</f>
        <v/>
      </c>
      <c r="CK76" s="21" t="str">
        <f>IF(AND('Atividades Micro'!$B76=CK$2,'Atividades Micro'!$G76="Micro",'Atividades Micro'!$K76&lt;&gt;""),'Atividades Micro'!$K76,"")</f>
        <v/>
      </c>
      <c r="CL76" s="21" t="str">
        <f>IF(AND('Atividades Micro'!$B76=CL$2,'Atividades Micro'!$G76="Micro",'Atividades Micro'!$K76&lt;&gt;""),'Atividades Micro'!$K76,"")</f>
        <v/>
      </c>
      <c r="CM76" s="21" t="str">
        <f>IF(AND('Atividades Micro'!$B76=CM$2,'Atividades Micro'!$G76="Micro",'Atividades Micro'!$K76&lt;&gt;""),'Atividades Micro'!$K76,"")</f>
        <v/>
      </c>
      <c r="CN76" s="21" t="str">
        <f>IF(AND('Atividades Micro'!$B76=CN$2,'Atividades Micro'!$G76="Micro",'Atividades Micro'!$K76&lt;&gt;""),'Atividades Micro'!$K76,"")</f>
        <v/>
      </c>
      <c r="CO76" s="21" t="str">
        <f>IF(AND('Atividades Micro'!$B76=CO$2,'Atividades Micro'!$G76="Micro",'Atividades Micro'!$K76&lt;&gt;""),'Atividades Micro'!$K76,"")</f>
        <v/>
      </c>
    </row>
    <row r="77" spans="1:93">
      <c r="A77" s="21" t="str">
        <f>IF(AND('Atividades Micro'!$A77=A$2,'Atividades Micro'!$K77&lt;&gt;""),'Atividades Micro'!$K77,"")</f>
        <v/>
      </c>
      <c r="B77" s="21" t="str">
        <f>IF(AND('Atividades Micro'!$A77=B$2,'Atividades Micro'!$L77&lt;&gt;""),'Atividades Micro'!$L77,"")</f>
        <v/>
      </c>
      <c r="C77" s="21" t="str">
        <f>IF(AND('Atividades Micro'!$A77=C$2,'Atividades Micro'!$K77&lt;&gt;""),'Atividades Micro'!$K77,"")</f>
        <v/>
      </c>
      <c r="D77" s="21" t="str">
        <f>IF(AND('Atividades Micro'!$A77=D$2,'Atividades Micro'!$L77&lt;&gt;""),'Atividades Micro'!$L77,"")</f>
        <v/>
      </c>
      <c r="E77" s="21" t="str">
        <f>IF(AND('Atividades Micro'!$A77=E$2,'Atividades Micro'!$K77&lt;&gt;""),'Atividades Micro'!$K77,"")</f>
        <v/>
      </c>
      <c r="F77" s="21" t="str">
        <f>IF(AND('Atividades Micro'!$A77=F$2,'Atividades Micro'!$L77&lt;&gt;""),'Atividades Micro'!$L77,"")</f>
        <v/>
      </c>
      <c r="G77" s="21" t="str">
        <f>IF(AND('Atividades Micro'!$A77=G$2,'Atividades Micro'!$K77&lt;&gt;""),'Atividades Micro'!$K77,"")</f>
        <v/>
      </c>
      <c r="H77" s="21" t="str">
        <f>IF(AND('Atividades Micro'!$A77=H$2,'Atividades Micro'!$L77&lt;&gt;""),'Atividades Micro'!$L77,"")</f>
        <v/>
      </c>
      <c r="I77" s="21">
        <f>IF(AND('Atividades Micro'!$A77=I$2,'Atividades Micro'!$K77&lt;&gt;""),'Atividades Micro'!$K77,"")</f>
        <v>46357</v>
      </c>
      <c r="J77" s="21">
        <f>IF(AND('Atividades Micro'!$A77=J$2,'Atividades Micro'!$L77&lt;&gt;""),'Atividades Micro'!$L77,"")</f>
        <v>46288</v>
      </c>
      <c r="K77" s="21" t="str">
        <f>IF(AND('Atividades Micro'!$B77=K$2,'Atividades Micro'!$K77&lt;&gt;""),'Atividades Micro'!$K77,"")</f>
        <v/>
      </c>
      <c r="L77" s="21" t="str">
        <f>IF(AND('Atividades Micro'!$B77=L$2,'Atividades Micro'!$L77&lt;&gt;""),'Atividades Micro'!$L77,"")</f>
        <v/>
      </c>
      <c r="M77" s="21">
        <f>IF(AND('Atividades Micro'!$B77=M$2,'Atividades Micro'!$K77&lt;&gt;""),'Atividades Micro'!$K77,"")</f>
        <v>46357</v>
      </c>
      <c r="N77" s="21">
        <f>IF(AND('Atividades Micro'!$B77=N$2,'Atividades Micro'!$L77&lt;&gt;""),'Atividades Micro'!$L77,"")</f>
        <v>46288</v>
      </c>
      <c r="O77" s="21" t="str">
        <f>IF(AND('Atividades Micro'!$A77=O$2,'Atividades Micro'!$K77&lt;&gt;""),'Atividades Micro'!$K77,"")</f>
        <v/>
      </c>
      <c r="P77" s="21" t="str">
        <f>IF(AND('Atividades Micro'!$A77=P$2,'Atividades Micro'!$L77&lt;&gt;""),'Atividades Micro'!$L77,"")</f>
        <v/>
      </c>
      <c r="Q77" s="21" t="str">
        <f>IF(AND('Atividades Micro'!$B77=Q$2,'Atividades Micro'!$K77&lt;&gt;""),'Atividades Micro'!$K77,"")</f>
        <v/>
      </c>
      <c r="R77" s="21" t="str">
        <f>IF(AND('Atividades Micro'!$B77=R$2,'Atividades Micro'!$L77&lt;&gt;""),'Atividades Micro'!$L77,"")</f>
        <v/>
      </c>
      <c r="S77" s="21" t="str">
        <f>IF(AND('Atividades Micro'!$A77=S$2,'Atividades Micro'!$K77&lt;&gt;""),'Atividades Micro'!$K77,"")</f>
        <v/>
      </c>
      <c r="T77" s="21" t="str">
        <f>IF(AND('Atividades Micro'!$A77=T$2,'Atividades Micro'!$L77&lt;&gt;""),'Atividades Micro'!$L77,"")</f>
        <v/>
      </c>
      <c r="U77" s="21" t="str">
        <f>IF(AND('Atividades Micro'!$B77=U$2,'Atividades Micro'!$K77&lt;&gt;""),'Atividades Micro'!$K77,"")</f>
        <v/>
      </c>
      <c r="V77" s="21" t="str">
        <f>IF(AND('Atividades Micro'!$B77=V$2,'Atividades Micro'!$L77&lt;&gt;""),'Atividades Micro'!$L77,"")</f>
        <v/>
      </c>
      <c r="W77" s="21" t="str">
        <f>IF(AND('Atividades Micro'!$B77=W$2,'Atividades Micro'!$K77&lt;&gt;""),'Atividades Micro'!$K77,"")</f>
        <v/>
      </c>
      <c r="X77" s="21" t="str">
        <f>IF(AND('Atividades Micro'!$B77=X$2,'Atividades Micro'!$L77&lt;&gt;""),'Atividades Micro'!$L77,"")</f>
        <v/>
      </c>
      <c r="Y77" s="21" t="str">
        <f>IF(AND('Atividades Micro'!$A77=Y$2,'Atividades Micro'!$K77&lt;&gt;""),'Atividades Micro'!$K77,"")</f>
        <v/>
      </c>
      <c r="Z77" s="21" t="str">
        <f>IF(AND('Atividades Micro'!$A77=Z$2,'Atividades Micro'!$L77&lt;&gt;""),'Atividades Micro'!$L77,"")</f>
        <v/>
      </c>
      <c r="AA77" s="21" t="str">
        <f>IF(AND('Atividades Micro'!$B77=AA$2,'Atividades Micro'!$K77&lt;&gt;""),'Atividades Micro'!$K77,"")</f>
        <v/>
      </c>
      <c r="AB77" s="21" t="str">
        <f>IF(AND('Atividades Micro'!$B77=AB$2,'Atividades Micro'!$L77&lt;&gt;""),'Atividades Micro'!$L77,"")</f>
        <v/>
      </c>
      <c r="AC77" s="21" t="str">
        <f>IF(AND('Atividades Micro'!$B77=AC$2,'Atividades Micro'!$K77&lt;&gt;""),'Atividades Micro'!$K77,"")</f>
        <v/>
      </c>
      <c r="AD77" s="21" t="str">
        <f>IF(AND('Atividades Micro'!$B77=AD$2,'Atividades Micro'!$L77&lt;&gt;""),'Atividades Micro'!$L77,"")</f>
        <v/>
      </c>
      <c r="AE77" s="21" t="str">
        <f>IF(AND('Atividades Micro'!$A77=AE$2,'Atividades Micro'!$K77&lt;&gt;""),'Atividades Micro'!$K77,"")</f>
        <v/>
      </c>
      <c r="AF77" s="21" t="str">
        <f>IF(AND('Atividades Micro'!$A77=AF$2,'Atividades Micro'!$L77&lt;&gt;""),'Atividades Micro'!$L77,"")</f>
        <v/>
      </c>
      <c r="AG77" s="21" t="str">
        <f>IF(AND('Atividades Micro'!$B77=AG$2,'Atividades Micro'!$K77&lt;&gt;""),'Atividades Micro'!$K77,"")</f>
        <v/>
      </c>
      <c r="AH77" s="21" t="str">
        <f>IF(AND('Atividades Micro'!$B77=AH$2,'Atividades Micro'!$L77&lt;&gt;""),'Atividades Micro'!$L77,"")</f>
        <v/>
      </c>
      <c r="AI77" s="21" t="str">
        <f>IF(AND('Atividades Micro'!$B77=AI$2,'Atividades Micro'!$K77&lt;&gt;""),'Atividades Micro'!$K77,"")</f>
        <v/>
      </c>
      <c r="AJ77" s="21" t="str">
        <f>IF(AND('Atividades Micro'!$B77=AJ$2,'Atividades Micro'!$L77&lt;&gt;""),'Atividades Micro'!$L77,"")</f>
        <v/>
      </c>
      <c r="AK77" s="21" t="str">
        <f>IF(AND('Atividades Micro'!$A77=AK$2,'Atividades Micro'!$K77&lt;&gt;""),'Atividades Micro'!$K77,"")</f>
        <v/>
      </c>
      <c r="AL77" s="21" t="str">
        <f>IF(AND('Atividades Micro'!$A77=AL$2,'Atividades Micro'!$L77&lt;&gt;""),'Atividades Micro'!$L77,"")</f>
        <v/>
      </c>
      <c r="AM77" s="21" t="str">
        <f>IF(AND('Atividades Micro'!$B77=AM$2,'Atividades Micro'!$K77&lt;&gt;""),'Atividades Micro'!$K77,"")</f>
        <v/>
      </c>
      <c r="AN77" s="21" t="str">
        <f>IF(AND('Atividades Micro'!$B77=AN$2,'Atividades Micro'!$L77&lt;&gt;""),'Atividades Micro'!$L77,"")</f>
        <v/>
      </c>
      <c r="AO77" s="21" t="str">
        <f>IF(AND('Atividades Micro'!$B77=AO$2,'Atividades Micro'!$K77&lt;&gt;""),'Atividades Micro'!$K77,"")</f>
        <v/>
      </c>
      <c r="AP77" s="21" t="str">
        <f>IF(AND('Atividades Micro'!$B77=AP$2,'Atividades Micro'!$L77&lt;&gt;""),'Atividades Micro'!$L77,"")</f>
        <v/>
      </c>
      <c r="AQ77" s="21" t="str">
        <f>IF(AND('Atividades Micro'!$A77=AQ$2,'Atividades Micro'!$K77&lt;&gt;""),'Atividades Micro'!$K77,"")</f>
        <v/>
      </c>
      <c r="AR77" s="21" t="str">
        <f>IF(AND('Atividades Micro'!$A77=AR$2,'Atividades Micro'!$L77&lt;&gt;""),'Atividades Micro'!$L77,"")</f>
        <v/>
      </c>
      <c r="AS77" s="21" t="str">
        <f>IF(AND('Atividades Micro'!$B77=AS$2,'Atividades Micro'!$K77&lt;&gt;""),'Atividades Micro'!$K77,"")</f>
        <v/>
      </c>
      <c r="AT77" s="21" t="str">
        <f>IF(AND('Atividades Micro'!$B77=AT$2,'Atividades Micro'!$L77&lt;&gt;""),'Atividades Micro'!$L77,"")</f>
        <v/>
      </c>
      <c r="AU77" s="21" t="str">
        <f>IF(AND('Atividades Micro'!$A77=AU$2,'Atividades Micro'!$K77&lt;&gt;""),'Atividades Micro'!$K77,"")</f>
        <v/>
      </c>
      <c r="AV77" s="21" t="str">
        <f>IF(AND('Atividades Micro'!$A77=AV$2,'Atividades Micro'!$L77&lt;&gt;""),'Atividades Micro'!$L77,"")</f>
        <v/>
      </c>
      <c r="AW77" s="21" t="str">
        <f>IF(AND('Atividades Micro'!$B77=AW$2,'Atividades Micro'!$K77&lt;&gt;""),'Atividades Micro'!$K77,"")</f>
        <v/>
      </c>
      <c r="AX77" s="21" t="str">
        <f>IF(AND('Atividades Micro'!$B77=AX$2,'Atividades Micro'!$L77&lt;&gt;""),'Atividades Micro'!$L77,"")</f>
        <v/>
      </c>
      <c r="AY77" s="21" t="str">
        <f>IF(AND('Atividades Micro'!$A77=AY$2,'Atividades Micro'!$K77&lt;&gt;""),'Atividades Micro'!$K77,"")</f>
        <v/>
      </c>
      <c r="AZ77" s="21" t="str">
        <f>IF(AND('Atividades Micro'!$A77=AZ$2,'Atividades Micro'!$L77&lt;&gt;""),'Atividades Micro'!$L77,"")</f>
        <v/>
      </c>
      <c r="BA77" s="21" t="str">
        <f>IF(AND('Atividades Micro'!$B77=BA$2,'Atividades Micro'!$K77&lt;&gt;""),'Atividades Micro'!$K77,"")</f>
        <v/>
      </c>
      <c r="BB77" s="21" t="str">
        <f>IF(AND('Atividades Micro'!$B77=BB$2,'Atividades Micro'!$L77&lt;&gt;""),'Atividades Micro'!$L77,"")</f>
        <v/>
      </c>
      <c r="BC77" s="21" t="str">
        <f>IF(AND('Atividades Micro'!$B77=BC$2,'Atividades Micro'!$G77="Macro",'Atividades Micro'!$K77&lt;&gt;""),'Atividades Micro'!$K77,"")</f>
        <v/>
      </c>
      <c r="BD77" s="21" t="str">
        <f>IF(AND('Atividades Micro'!$B77=BD$2,'Atividades Micro'!$G77="Macro",'Atividades Micro'!$K77&lt;&gt;""),'Atividades Micro'!$K77,"")</f>
        <v/>
      </c>
      <c r="BE77" s="21" t="str">
        <f>IF(AND('Atividades Micro'!$B77=BE$2,'Atividades Micro'!$G77="Macro",'Atividades Micro'!$K77&lt;&gt;""),'Atividades Micro'!$K77,"")</f>
        <v/>
      </c>
      <c r="BF77" s="21" t="str">
        <f>IF(AND('Atividades Micro'!$B77=BF$2,'Atividades Micro'!$G77="Macro",'Atividades Micro'!$K77&lt;&gt;""),'Atividades Micro'!$K77,"")</f>
        <v/>
      </c>
      <c r="BG77" s="21" t="str">
        <f>IF(AND('Atividades Micro'!$B77=BG$2,'Atividades Micro'!$G77="Macro",'Atividades Micro'!$K77&lt;&gt;""),'Atividades Micro'!$K77,"")</f>
        <v/>
      </c>
      <c r="BH77" s="21" t="str">
        <f>IF(AND('Atividades Micro'!$B77=BH$2,'Atividades Micro'!$G77="Macro",'Atividades Micro'!$K77&lt;&gt;""),'Atividades Micro'!$K77,"")</f>
        <v/>
      </c>
      <c r="BI77" s="21" t="str">
        <f>IF(AND('Atividades Micro'!$B77=BI$2,'Atividades Micro'!$G77="Macro",'Atividades Micro'!$K77&lt;&gt;""),'Atividades Micro'!$K77,"")</f>
        <v/>
      </c>
      <c r="BJ77" s="21" t="str">
        <f>IF(AND('Atividades Micro'!$B77=BJ$2,'Atividades Micro'!$G77="Macro",'Atividades Micro'!$K77&lt;&gt;""),'Atividades Micro'!$K77,"")</f>
        <v/>
      </c>
      <c r="BK77" s="21" t="str">
        <f>IF(AND('Atividades Micro'!$B77=BK$2,'Atividades Micro'!$G77="Macro",'Atividades Micro'!$K77&lt;&gt;""),'Atividades Micro'!$K77,"")</f>
        <v/>
      </c>
      <c r="BL77" s="21" t="str">
        <f>IF(AND('Atividades Micro'!$B77=BL$2,'Atividades Micro'!$G77="Macro",'Atividades Micro'!$K77&lt;&gt;""),'Atividades Micro'!$K77,"")</f>
        <v/>
      </c>
      <c r="BM77" s="21" t="str">
        <f>IF(AND('Atividades Micro'!$B77=BM$2,'Atividades Micro'!$G77="Macro",'Atividades Micro'!$K77&lt;&gt;""),'Atividades Micro'!$K77,"")</f>
        <v/>
      </c>
      <c r="BN77" s="21" t="str">
        <f>IF(AND('Atividades Micro'!$B77=BN$2,'Atividades Micro'!$G77="Macro",'Atividades Micro'!$K77&lt;&gt;""),'Atividades Micro'!$K77,"")</f>
        <v/>
      </c>
      <c r="BO77" s="21" t="str">
        <f>IF(AND('Atividades Micro'!$B77=BO$2,'Atividades Micro'!$G77="Macro",'Atividades Micro'!$K77&lt;&gt;""),'Atividades Micro'!$K77,"")</f>
        <v/>
      </c>
      <c r="BP77" s="21" t="str">
        <f>IF(AND('Atividades Micro'!$B77=BP$2,'Atividades Micro'!$G77="Macro",'Atividades Micro'!$K77&lt;&gt;""),'Atividades Micro'!$K77,"")</f>
        <v/>
      </c>
      <c r="BQ77" s="21" t="str">
        <f>IF(AND('Atividades Micro'!$B77=BQ$2,'Atividades Micro'!$G77="Macro",'Atividades Micro'!$K77&lt;&gt;""),'Atividades Micro'!$K77,"")</f>
        <v/>
      </c>
      <c r="BR77" s="21" t="str">
        <f>IF(AND('Atividades Micro'!$B77=BR$2,'Atividades Micro'!$G77="Macro",'Atividades Micro'!$K77&lt;&gt;""),'Atividades Micro'!$K77,"")</f>
        <v/>
      </c>
      <c r="BS77" s="21" t="str">
        <f>IF(AND('Atividades Micro'!$B77=BS$2,'Atividades Micro'!$G77="Macro",'Atividades Micro'!$K77&lt;&gt;""),'Atividades Micro'!$K77,"")</f>
        <v/>
      </c>
      <c r="BT77" s="21" t="str">
        <f>IF(AND('Atividades Micro'!$B77=BT$2,'Atividades Micro'!$G77="Macro",'Atividades Micro'!$K77&lt;&gt;""),'Atividades Micro'!$K77,"")</f>
        <v/>
      </c>
      <c r="BU77" s="21" t="str">
        <f>IF(AND('Atividades Micro'!$B77=BU$2,'Atividades Micro'!$G77="Macro",'Atividades Micro'!$K77&lt;&gt;""),'Atividades Micro'!$K77,"")</f>
        <v/>
      </c>
      <c r="BV77" s="21" t="str">
        <f>IF(AND('Atividades Micro'!$B77=BV$2,'Atividades Micro'!$G77="Macro",'Atividades Micro'!$K77&lt;&gt;""),'Atividades Micro'!$K77,"")</f>
        <v/>
      </c>
      <c r="BW77" s="21" t="str">
        <f>IF(AND('Atividades Micro'!$B77=BW$2,'Atividades Micro'!$G77="Macro",'Atividades Micro'!$K77&lt;&gt;""),'Atividades Micro'!$K77,"")</f>
        <v/>
      </c>
      <c r="BX77" s="21" t="str">
        <f>IF(AND('Atividades Micro'!$B77=BX$2,'Atividades Micro'!$G77="Macro",'Atividades Micro'!$K77&lt;&gt;""),'Atividades Micro'!$K77,"")</f>
        <v/>
      </c>
      <c r="BY77" s="21" t="str">
        <f>IF(AND('Atividades Micro'!$B77=BY$2,'Atividades Micro'!$G77="Macro",'Atividades Micro'!$K77&lt;&gt;""),'Atividades Micro'!$K77,"")</f>
        <v/>
      </c>
      <c r="BZ77" s="21" t="str">
        <f>IF(AND('Atividades Micro'!$B77=BZ$2,'Atividades Micro'!$G77="Macro",'Atividades Micro'!$K77&lt;&gt;""),'Atividades Micro'!$K77,"")</f>
        <v/>
      </c>
      <c r="CA77" s="21" t="str">
        <f>IF(AND('Atividades Micro'!$B77=CA$2,'Atividades Micro'!$G77="Macro",'Atividades Micro'!$K77&lt;&gt;""),'Atividades Micro'!$K77,"")</f>
        <v/>
      </c>
      <c r="CB77" s="21" t="str">
        <f>IF(AND('Atividades Micro'!$B77=CB$2,'Atividades Micro'!$G77="Macro",'Atividades Micro'!$K77&lt;&gt;""),'Atividades Micro'!$K77,"")</f>
        <v/>
      </c>
      <c r="CC77" s="21" t="str">
        <f>IF(AND('Atividades Micro'!$B77=CC$2,'Atividades Micro'!$G77="Macro",'Atividades Micro'!$K77&lt;&gt;""),'Atividades Micro'!$K77,"")</f>
        <v/>
      </c>
      <c r="CD77" s="21" t="str">
        <f>IF(AND('Atividades Micro'!$B77=CD$2,'Atividades Micro'!$G77="Micro",'Atividades Micro'!$K77&lt;&gt;""),'Atividades Micro'!$K77,"")</f>
        <v/>
      </c>
      <c r="CE77" s="21">
        <f>IF(AND('Atividades Micro'!$B77=CE$2,'Atividades Micro'!$G77="Micro",'Atividades Micro'!$K77&lt;&gt;""),'Atividades Micro'!$K77,"")</f>
        <v>46357</v>
      </c>
      <c r="CF77" s="21" t="str">
        <f>IF(AND('Atividades Micro'!$B77=CF$2,'Atividades Micro'!$G77="Micro",'Atividades Micro'!$K77&lt;&gt;""),'Atividades Micro'!$K77,"")</f>
        <v/>
      </c>
      <c r="CG77" s="21" t="str">
        <f>IF(AND('Atividades Micro'!$B77=CG$2,'Atividades Micro'!$G77="Micro",'Atividades Micro'!$K77&lt;&gt;""),'Atividades Micro'!$K77,"")</f>
        <v/>
      </c>
      <c r="CH77" s="21" t="str">
        <f>IF(AND('Atividades Micro'!$B77=CH$2,'Atividades Micro'!$G77="Micro",'Atividades Micro'!$K77&lt;&gt;""),'Atividades Micro'!$K77,"")</f>
        <v/>
      </c>
      <c r="CI77" s="21" t="str">
        <f>IF(AND('Atividades Micro'!$B77=CI$2,'Atividades Micro'!$G77="Micro",'Atividades Micro'!$K77&lt;&gt;""),'Atividades Micro'!$K77,"")</f>
        <v/>
      </c>
      <c r="CJ77" s="21" t="str">
        <f>IF(AND('Atividades Micro'!$B77=CJ$2,'Atividades Micro'!$G77="Micro",'Atividades Micro'!$K77&lt;&gt;""),'Atividades Micro'!$K77,"")</f>
        <v/>
      </c>
      <c r="CK77" s="21" t="str">
        <f>IF(AND('Atividades Micro'!$B77=CK$2,'Atividades Micro'!$G77="Micro",'Atividades Micro'!$K77&lt;&gt;""),'Atividades Micro'!$K77,"")</f>
        <v/>
      </c>
      <c r="CL77" s="21" t="str">
        <f>IF(AND('Atividades Micro'!$B77=CL$2,'Atividades Micro'!$G77="Micro",'Atividades Micro'!$K77&lt;&gt;""),'Atividades Micro'!$K77,"")</f>
        <v/>
      </c>
      <c r="CM77" s="21" t="str">
        <f>IF(AND('Atividades Micro'!$B77=CM$2,'Atividades Micro'!$G77="Micro",'Atividades Micro'!$K77&lt;&gt;""),'Atividades Micro'!$K77,"")</f>
        <v/>
      </c>
      <c r="CN77" s="21" t="str">
        <f>IF(AND('Atividades Micro'!$B77=CN$2,'Atividades Micro'!$G77="Micro",'Atividades Micro'!$K77&lt;&gt;""),'Atividades Micro'!$K77,"")</f>
        <v/>
      </c>
      <c r="CO77" s="21" t="str">
        <f>IF(AND('Atividades Micro'!$B77=CO$2,'Atividades Micro'!$G77="Micro",'Atividades Micro'!$K77&lt;&gt;""),'Atividades Micro'!$K77,"")</f>
        <v/>
      </c>
    </row>
    <row r="78" spans="1:93">
      <c r="A78" s="21" t="str">
        <f>IF(AND('Atividades Micro'!$A78=A$2,'Atividades Micro'!$K78&lt;&gt;""),'Atividades Micro'!$K78,"")</f>
        <v/>
      </c>
      <c r="B78" s="21" t="str">
        <f>IF(AND('Atividades Micro'!$A78=B$2,'Atividades Micro'!$L78&lt;&gt;""),'Atividades Micro'!$L78,"")</f>
        <v/>
      </c>
      <c r="C78" s="21" t="str">
        <f>IF(AND('Atividades Micro'!$A78=C$2,'Atividades Micro'!$K78&lt;&gt;""),'Atividades Micro'!$K78,"")</f>
        <v/>
      </c>
      <c r="D78" s="21" t="str">
        <f>IF(AND('Atividades Micro'!$A78=D$2,'Atividades Micro'!$L78&lt;&gt;""),'Atividades Micro'!$L78,"")</f>
        <v/>
      </c>
      <c r="E78" s="21" t="str">
        <f>IF(AND('Atividades Micro'!$A78=E$2,'Atividades Micro'!$K78&lt;&gt;""),'Atividades Micro'!$K78,"")</f>
        <v/>
      </c>
      <c r="F78" s="21" t="str">
        <f>IF(AND('Atividades Micro'!$A78=F$2,'Atividades Micro'!$L78&lt;&gt;""),'Atividades Micro'!$L78,"")</f>
        <v/>
      </c>
      <c r="G78" s="21" t="str">
        <f>IF(AND('Atividades Micro'!$A78=G$2,'Atividades Micro'!$K78&lt;&gt;""),'Atividades Micro'!$K78,"")</f>
        <v/>
      </c>
      <c r="H78" s="21" t="str">
        <f>IF(AND('Atividades Micro'!$A78=H$2,'Atividades Micro'!$L78&lt;&gt;""),'Atividades Micro'!$L78,"")</f>
        <v/>
      </c>
      <c r="I78" s="21">
        <f>IF(AND('Atividades Micro'!$A78=I$2,'Atividades Micro'!$K78&lt;&gt;""),'Atividades Micro'!$K78,"")</f>
        <v>46359</v>
      </c>
      <c r="J78" s="21" t="str">
        <f>IF(AND('Atividades Micro'!$A78=J$2,'Atividades Micro'!$L78&lt;&gt;""),'Atividades Micro'!$L78,"")</f>
        <v/>
      </c>
      <c r="K78" s="21" t="str">
        <f>IF(AND('Atividades Micro'!$B78=K$2,'Atividades Micro'!$K78&lt;&gt;""),'Atividades Micro'!$K78,"")</f>
        <v/>
      </c>
      <c r="L78" s="21" t="str">
        <f>IF(AND('Atividades Micro'!$B78=L$2,'Atividades Micro'!$L78&lt;&gt;""),'Atividades Micro'!$L78,"")</f>
        <v/>
      </c>
      <c r="M78" s="21">
        <f>IF(AND('Atividades Micro'!$B78=M$2,'Atividades Micro'!$K78&lt;&gt;""),'Atividades Micro'!$K78,"")</f>
        <v>46359</v>
      </c>
      <c r="N78" s="21" t="str">
        <f>IF(AND('Atividades Micro'!$B78=N$2,'Atividades Micro'!$L78&lt;&gt;""),'Atividades Micro'!$L78,"")</f>
        <v/>
      </c>
      <c r="O78" s="21" t="str">
        <f>IF(AND('Atividades Micro'!$A78=O$2,'Atividades Micro'!$K78&lt;&gt;""),'Atividades Micro'!$K78,"")</f>
        <v/>
      </c>
      <c r="P78" s="21" t="str">
        <f>IF(AND('Atividades Micro'!$A78=P$2,'Atividades Micro'!$L78&lt;&gt;""),'Atividades Micro'!$L78,"")</f>
        <v/>
      </c>
      <c r="Q78" s="21" t="str">
        <f>IF(AND('Atividades Micro'!$B78=Q$2,'Atividades Micro'!$K78&lt;&gt;""),'Atividades Micro'!$K78,"")</f>
        <v/>
      </c>
      <c r="R78" s="21" t="str">
        <f>IF(AND('Atividades Micro'!$B78=R$2,'Atividades Micro'!$L78&lt;&gt;""),'Atividades Micro'!$L78,"")</f>
        <v/>
      </c>
      <c r="S78" s="21" t="str">
        <f>IF(AND('Atividades Micro'!$A78=S$2,'Atividades Micro'!$K78&lt;&gt;""),'Atividades Micro'!$K78,"")</f>
        <v/>
      </c>
      <c r="T78" s="21" t="str">
        <f>IF(AND('Atividades Micro'!$A78=T$2,'Atividades Micro'!$L78&lt;&gt;""),'Atividades Micro'!$L78,"")</f>
        <v/>
      </c>
      <c r="U78" s="21" t="str">
        <f>IF(AND('Atividades Micro'!$B78=U$2,'Atividades Micro'!$K78&lt;&gt;""),'Atividades Micro'!$K78,"")</f>
        <v/>
      </c>
      <c r="V78" s="21" t="str">
        <f>IF(AND('Atividades Micro'!$B78=V$2,'Atividades Micro'!$L78&lt;&gt;""),'Atividades Micro'!$L78,"")</f>
        <v/>
      </c>
      <c r="W78" s="21" t="str">
        <f>IF(AND('Atividades Micro'!$B78=W$2,'Atividades Micro'!$K78&lt;&gt;""),'Atividades Micro'!$K78,"")</f>
        <v/>
      </c>
      <c r="X78" s="21" t="str">
        <f>IF(AND('Atividades Micro'!$B78=X$2,'Atividades Micro'!$L78&lt;&gt;""),'Atividades Micro'!$L78,"")</f>
        <v/>
      </c>
      <c r="Y78" s="21" t="str">
        <f>IF(AND('Atividades Micro'!$A78=Y$2,'Atividades Micro'!$K78&lt;&gt;""),'Atividades Micro'!$K78,"")</f>
        <v/>
      </c>
      <c r="Z78" s="21" t="str">
        <f>IF(AND('Atividades Micro'!$A78=Z$2,'Atividades Micro'!$L78&lt;&gt;""),'Atividades Micro'!$L78,"")</f>
        <v/>
      </c>
      <c r="AA78" s="21" t="str">
        <f>IF(AND('Atividades Micro'!$B78=AA$2,'Atividades Micro'!$K78&lt;&gt;""),'Atividades Micro'!$K78,"")</f>
        <v/>
      </c>
      <c r="AB78" s="21" t="str">
        <f>IF(AND('Atividades Micro'!$B78=AB$2,'Atividades Micro'!$L78&lt;&gt;""),'Atividades Micro'!$L78,"")</f>
        <v/>
      </c>
      <c r="AC78" s="21" t="str">
        <f>IF(AND('Atividades Micro'!$B78=AC$2,'Atividades Micro'!$K78&lt;&gt;""),'Atividades Micro'!$K78,"")</f>
        <v/>
      </c>
      <c r="AD78" s="21" t="str">
        <f>IF(AND('Atividades Micro'!$B78=AD$2,'Atividades Micro'!$L78&lt;&gt;""),'Atividades Micro'!$L78,"")</f>
        <v/>
      </c>
      <c r="AE78" s="21" t="str">
        <f>IF(AND('Atividades Micro'!$A78=AE$2,'Atividades Micro'!$K78&lt;&gt;""),'Atividades Micro'!$K78,"")</f>
        <v/>
      </c>
      <c r="AF78" s="21" t="str">
        <f>IF(AND('Atividades Micro'!$A78=AF$2,'Atividades Micro'!$L78&lt;&gt;""),'Atividades Micro'!$L78,"")</f>
        <v/>
      </c>
      <c r="AG78" s="21" t="str">
        <f>IF(AND('Atividades Micro'!$B78=AG$2,'Atividades Micro'!$K78&lt;&gt;""),'Atividades Micro'!$K78,"")</f>
        <v/>
      </c>
      <c r="AH78" s="21" t="str">
        <f>IF(AND('Atividades Micro'!$B78=AH$2,'Atividades Micro'!$L78&lt;&gt;""),'Atividades Micro'!$L78,"")</f>
        <v/>
      </c>
      <c r="AI78" s="21" t="str">
        <f>IF(AND('Atividades Micro'!$B78=AI$2,'Atividades Micro'!$K78&lt;&gt;""),'Atividades Micro'!$K78,"")</f>
        <v/>
      </c>
      <c r="AJ78" s="21" t="str">
        <f>IF(AND('Atividades Micro'!$B78=AJ$2,'Atividades Micro'!$L78&lt;&gt;""),'Atividades Micro'!$L78,"")</f>
        <v/>
      </c>
      <c r="AK78" s="21" t="str">
        <f>IF(AND('Atividades Micro'!$A78=AK$2,'Atividades Micro'!$K78&lt;&gt;""),'Atividades Micro'!$K78,"")</f>
        <v/>
      </c>
      <c r="AL78" s="21" t="str">
        <f>IF(AND('Atividades Micro'!$A78=AL$2,'Atividades Micro'!$L78&lt;&gt;""),'Atividades Micro'!$L78,"")</f>
        <v/>
      </c>
      <c r="AM78" s="21" t="str">
        <f>IF(AND('Atividades Micro'!$B78=AM$2,'Atividades Micro'!$K78&lt;&gt;""),'Atividades Micro'!$K78,"")</f>
        <v/>
      </c>
      <c r="AN78" s="21" t="str">
        <f>IF(AND('Atividades Micro'!$B78=AN$2,'Atividades Micro'!$L78&lt;&gt;""),'Atividades Micro'!$L78,"")</f>
        <v/>
      </c>
      <c r="AO78" s="21" t="str">
        <f>IF(AND('Atividades Micro'!$B78=AO$2,'Atividades Micro'!$K78&lt;&gt;""),'Atividades Micro'!$K78,"")</f>
        <v/>
      </c>
      <c r="AP78" s="21" t="str">
        <f>IF(AND('Atividades Micro'!$B78=AP$2,'Atividades Micro'!$L78&lt;&gt;""),'Atividades Micro'!$L78,"")</f>
        <v/>
      </c>
      <c r="AQ78" s="21" t="str">
        <f>IF(AND('Atividades Micro'!$A78=AQ$2,'Atividades Micro'!$K78&lt;&gt;""),'Atividades Micro'!$K78,"")</f>
        <v/>
      </c>
      <c r="AR78" s="21" t="str">
        <f>IF(AND('Atividades Micro'!$A78=AR$2,'Atividades Micro'!$L78&lt;&gt;""),'Atividades Micro'!$L78,"")</f>
        <v/>
      </c>
      <c r="AS78" s="21" t="str">
        <f>IF(AND('Atividades Micro'!$B78=AS$2,'Atividades Micro'!$K78&lt;&gt;""),'Atividades Micro'!$K78,"")</f>
        <v/>
      </c>
      <c r="AT78" s="21" t="str">
        <f>IF(AND('Atividades Micro'!$B78=AT$2,'Atividades Micro'!$L78&lt;&gt;""),'Atividades Micro'!$L78,"")</f>
        <v/>
      </c>
      <c r="AU78" s="21" t="str">
        <f>IF(AND('Atividades Micro'!$A78=AU$2,'Atividades Micro'!$K78&lt;&gt;""),'Atividades Micro'!$K78,"")</f>
        <v/>
      </c>
      <c r="AV78" s="21" t="str">
        <f>IF(AND('Atividades Micro'!$A78=AV$2,'Atividades Micro'!$L78&lt;&gt;""),'Atividades Micro'!$L78,"")</f>
        <v/>
      </c>
      <c r="AW78" s="21" t="str">
        <f>IF(AND('Atividades Micro'!$B78=AW$2,'Atividades Micro'!$K78&lt;&gt;""),'Atividades Micro'!$K78,"")</f>
        <v/>
      </c>
      <c r="AX78" s="21" t="str">
        <f>IF(AND('Atividades Micro'!$B78=AX$2,'Atividades Micro'!$L78&lt;&gt;""),'Atividades Micro'!$L78,"")</f>
        <v/>
      </c>
      <c r="AY78" s="21" t="str">
        <f>IF(AND('Atividades Micro'!$A78=AY$2,'Atividades Micro'!$K78&lt;&gt;""),'Atividades Micro'!$K78,"")</f>
        <v/>
      </c>
      <c r="AZ78" s="21" t="str">
        <f>IF(AND('Atividades Micro'!$A78=AZ$2,'Atividades Micro'!$L78&lt;&gt;""),'Atividades Micro'!$L78,"")</f>
        <v/>
      </c>
      <c r="BA78" s="21" t="str">
        <f>IF(AND('Atividades Micro'!$B78=BA$2,'Atividades Micro'!$K78&lt;&gt;""),'Atividades Micro'!$K78,"")</f>
        <v/>
      </c>
      <c r="BB78" s="21" t="str">
        <f>IF(AND('Atividades Micro'!$B78=BB$2,'Atividades Micro'!$L78&lt;&gt;""),'Atividades Micro'!$L78,"")</f>
        <v/>
      </c>
      <c r="BC78" s="21" t="str">
        <f>IF(AND('Atividades Micro'!$B78=BC$2,'Atividades Micro'!$G78="Macro",'Atividades Micro'!$K78&lt;&gt;""),'Atividades Micro'!$K78,"")</f>
        <v/>
      </c>
      <c r="BD78" s="21" t="str">
        <f>IF(AND('Atividades Micro'!$B78=BD$2,'Atividades Micro'!$G78="Macro",'Atividades Micro'!$K78&lt;&gt;""),'Atividades Micro'!$K78,"")</f>
        <v/>
      </c>
      <c r="BE78" s="21" t="str">
        <f>IF(AND('Atividades Micro'!$B78=BE$2,'Atividades Micro'!$G78="Macro",'Atividades Micro'!$K78&lt;&gt;""),'Atividades Micro'!$K78,"")</f>
        <v/>
      </c>
      <c r="BF78" s="21" t="str">
        <f>IF(AND('Atividades Micro'!$B78=BF$2,'Atividades Micro'!$G78="Macro",'Atividades Micro'!$K78&lt;&gt;""),'Atividades Micro'!$K78,"")</f>
        <v/>
      </c>
      <c r="BG78" s="21" t="str">
        <f>IF(AND('Atividades Micro'!$B78=BG$2,'Atividades Micro'!$G78="Macro",'Atividades Micro'!$K78&lt;&gt;""),'Atividades Micro'!$K78,"")</f>
        <v/>
      </c>
      <c r="BH78" s="21" t="str">
        <f>IF(AND('Atividades Micro'!$B78=BH$2,'Atividades Micro'!$G78="Macro",'Atividades Micro'!$K78&lt;&gt;""),'Atividades Micro'!$K78,"")</f>
        <v/>
      </c>
      <c r="BI78" s="21" t="str">
        <f>IF(AND('Atividades Micro'!$B78=BI$2,'Atividades Micro'!$G78="Macro",'Atividades Micro'!$K78&lt;&gt;""),'Atividades Micro'!$K78,"")</f>
        <v/>
      </c>
      <c r="BJ78" s="21" t="str">
        <f>IF(AND('Atividades Micro'!$B78=BJ$2,'Atividades Micro'!$G78="Macro",'Atividades Micro'!$K78&lt;&gt;""),'Atividades Micro'!$K78,"")</f>
        <v/>
      </c>
      <c r="BK78" s="21" t="str">
        <f>IF(AND('Atividades Micro'!$B78=BK$2,'Atividades Micro'!$G78="Macro",'Atividades Micro'!$K78&lt;&gt;""),'Atividades Micro'!$K78,"")</f>
        <v/>
      </c>
      <c r="BL78" s="21" t="str">
        <f>IF(AND('Atividades Micro'!$B78=BL$2,'Atividades Micro'!$G78="Macro",'Atividades Micro'!$K78&lt;&gt;""),'Atividades Micro'!$K78,"")</f>
        <v/>
      </c>
      <c r="BM78" s="21" t="str">
        <f>IF(AND('Atividades Micro'!$B78=BM$2,'Atividades Micro'!$G78="Macro",'Atividades Micro'!$K78&lt;&gt;""),'Atividades Micro'!$K78,"")</f>
        <v/>
      </c>
      <c r="BN78" s="21" t="str">
        <f>IF(AND('Atividades Micro'!$B78=BN$2,'Atividades Micro'!$G78="Macro",'Atividades Micro'!$K78&lt;&gt;""),'Atividades Micro'!$K78,"")</f>
        <v/>
      </c>
      <c r="BO78" s="21" t="str">
        <f>IF(AND('Atividades Micro'!$B78=BO$2,'Atividades Micro'!$G78="Macro",'Atividades Micro'!$K78&lt;&gt;""),'Atividades Micro'!$K78,"")</f>
        <v/>
      </c>
      <c r="BP78" s="21" t="str">
        <f>IF(AND('Atividades Micro'!$B78=BP$2,'Atividades Micro'!$G78="Macro",'Atividades Micro'!$K78&lt;&gt;""),'Atividades Micro'!$K78,"")</f>
        <v/>
      </c>
      <c r="BQ78" s="21" t="str">
        <f>IF(AND('Atividades Micro'!$B78=BQ$2,'Atividades Micro'!$G78="Macro",'Atividades Micro'!$K78&lt;&gt;""),'Atividades Micro'!$K78,"")</f>
        <v/>
      </c>
      <c r="BR78" s="21" t="str">
        <f>IF(AND('Atividades Micro'!$B78=BR$2,'Atividades Micro'!$G78="Macro",'Atividades Micro'!$K78&lt;&gt;""),'Atividades Micro'!$K78,"")</f>
        <v/>
      </c>
      <c r="BS78" s="21" t="str">
        <f>IF(AND('Atividades Micro'!$B78=BS$2,'Atividades Micro'!$G78="Macro",'Atividades Micro'!$K78&lt;&gt;""),'Atividades Micro'!$K78,"")</f>
        <v/>
      </c>
      <c r="BT78" s="21" t="str">
        <f>IF(AND('Atividades Micro'!$B78=BT$2,'Atividades Micro'!$G78="Macro",'Atividades Micro'!$K78&lt;&gt;""),'Atividades Micro'!$K78,"")</f>
        <v/>
      </c>
      <c r="BU78" s="21" t="str">
        <f>IF(AND('Atividades Micro'!$B78=BU$2,'Atividades Micro'!$G78="Macro",'Atividades Micro'!$K78&lt;&gt;""),'Atividades Micro'!$K78,"")</f>
        <v/>
      </c>
      <c r="BV78" s="21" t="str">
        <f>IF(AND('Atividades Micro'!$B78=BV$2,'Atividades Micro'!$G78="Macro",'Atividades Micro'!$K78&lt;&gt;""),'Atividades Micro'!$K78,"")</f>
        <v/>
      </c>
      <c r="BW78" s="21" t="str">
        <f>IF(AND('Atividades Micro'!$B78=BW$2,'Atividades Micro'!$G78="Macro",'Atividades Micro'!$K78&lt;&gt;""),'Atividades Micro'!$K78,"")</f>
        <v/>
      </c>
      <c r="BX78" s="21" t="str">
        <f>IF(AND('Atividades Micro'!$B78=BX$2,'Atividades Micro'!$G78="Macro",'Atividades Micro'!$K78&lt;&gt;""),'Atividades Micro'!$K78,"")</f>
        <v/>
      </c>
      <c r="BY78" s="21" t="str">
        <f>IF(AND('Atividades Micro'!$B78=BY$2,'Atividades Micro'!$G78="Macro",'Atividades Micro'!$K78&lt;&gt;""),'Atividades Micro'!$K78,"")</f>
        <v/>
      </c>
      <c r="BZ78" s="21" t="str">
        <f>IF(AND('Atividades Micro'!$B78=BZ$2,'Atividades Micro'!$G78="Macro",'Atividades Micro'!$K78&lt;&gt;""),'Atividades Micro'!$K78,"")</f>
        <v/>
      </c>
      <c r="CA78" s="21" t="str">
        <f>IF(AND('Atividades Micro'!$B78=CA$2,'Atividades Micro'!$G78="Macro",'Atividades Micro'!$K78&lt;&gt;""),'Atividades Micro'!$K78,"")</f>
        <v/>
      </c>
      <c r="CB78" s="21" t="str">
        <f>IF(AND('Atividades Micro'!$B78=CB$2,'Atividades Micro'!$G78="Macro",'Atividades Micro'!$K78&lt;&gt;""),'Atividades Micro'!$K78,"")</f>
        <v/>
      </c>
      <c r="CC78" s="21" t="str">
        <f>IF(AND('Atividades Micro'!$B78=CC$2,'Atividades Micro'!$G78="Macro",'Atividades Micro'!$K78&lt;&gt;""),'Atividades Micro'!$K78,"")</f>
        <v/>
      </c>
      <c r="CD78" s="21" t="str">
        <f>IF(AND('Atividades Micro'!$B78=CD$2,'Atividades Micro'!$G78="Micro",'Atividades Micro'!$K78&lt;&gt;""),'Atividades Micro'!$K78,"")</f>
        <v/>
      </c>
      <c r="CE78" s="21">
        <f>IF(AND('Atividades Micro'!$B78=CE$2,'Atividades Micro'!$G78="Micro",'Atividades Micro'!$K78&lt;&gt;""),'Atividades Micro'!$K78,"")</f>
        <v>46359</v>
      </c>
      <c r="CF78" s="21" t="str">
        <f>IF(AND('Atividades Micro'!$B78=CF$2,'Atividades Micro'!$G78="Micro",'Atividades Micro'!$K78&lt;&gt;""),'Atividades Micro'!$K78,"")</f>
        <v/>
      </c>
      <c r="CG78" s="21" t="str">
        <f>IF(AND('Atividades Micro'!$B78=CG$2,'Atividades Micro'!$G78="Micro",'Atividades Micro'!$K78&lt;&gt;""),'Atividades Micro'!$K78,"")</f>
        <v/>
      </c>
      <c r="CH78" s="21" t="str">
        <f>IF(AND('Atividades Micro'!$B78=CH$2,'Atividades Micro'!$G78="Micro",'Atividades Micro'!$K78&lt;&gt;""),'Atividades Micro'!$K78,"")</f>
        <v/>
      </c>
      <c r="CI78" s="21" t="str">
        <f>IF(AND('Atividades Micro'!$B78=CI$2,'Atividades Micro'!$G78="Micro",'Atividades Micro'!$K78&lt;&gt;""),'Atividades Micro'!$K78,"")</f>
        <v/>
      </c>
      <c r="CJ78" s="21" t="str">
        <f>IF(AND('Atividades Micro'!$B78=CJ$2,'Atividades Micro'!$G78="Micro",'Atividades Micro'!$K78&lt;&gt;""),'Atividades Micro'!$K78,"")</f>
        <v/>
      </c>
      <c r="CK78" s="21" t="str">
        <f>IF(AND('Atividades Micro'!$B78=CK$2,'Atividades Micro'!$G78="Micro",'Atividades Micro'!$K78&lt;&gt;""),'Atividades Micro'!$K78,"")</f>
        <v/>
      </c>
      <c r="CL78" s="21" t="str">
        <f>IF(AND('Atividades Micro'!$B78=CL$2,'Atividades Micro'!$G78="Micro",'Atividades Micro'!$K78&lt;&gt;""),'Atividades Micro'!$K78,"")</f>
        <v/>
      </c>
      <c r="CM78" s="21" t="str">
        <f>IF(AND('Atividades Micro'!$B78=CM$2,'Atividades Micro'!$G78="Micro",'Atividades Micro'!$K78&lt;&gt;""),'Atividades Micro'!$K78,"")</f>
        <v/>
      </c>
      <c r="CN78" s="21" t="str">
        <f>IF(AND('Atividades Micro'!$B78=CN$2,'Atividades Micro'!$G78="Micro",'Atividades Micro'!$K78&lt;&gt;""),'Atividades Micro'!$K78,"")</f>
        <v/>
      </c>
      <c r="CO78" s="21" t="str">
        <f>IF(AND('Atividades Micro'!$B78=CO$2,'Atividades Micro'!$G78="Micro",'Atividades Micro'!$K78&lt;&gt;""),'Atividades Micro'!$K78,"")</f>
        <v/>
      </c>
    </row>
    <row r="79" spans="1:93">
      <c r="A79" s="21" t="str">
        <f>IF(AND('Atividades Micro'!$A79=A$2,'Atividades Micro'!$K79&lt;&gt;""),'Atividades Micro'!$K79,"")</f>
        <v/>
      </c>
      <c r="B79" s="21" t="str">
        <f>IF(AND('Atividades Micro'!$A79=B$2,'Atividades Micro'!$L79&lt;&gt;""),'Atividades Micro'!$L79,"")</f>
        <v/>
      </c>
      <c r="C79" s="21" t="str">
        <f>IF(AND('Atividades Micro'!$A79=C$2,'Atividades Micro'!$K79&lt;&gt;""),'Atividades Micro'!$K79,"")</f>
        <v/>
      </c>
      <c r="D79" s="21" t="str">
        <f>IF(AND('Atividades Micro'!$A79=D$2,'Atividades Micro'!$L79&lt;&gt;""),'Atividades Micro'!$L79,"")</f>
        <v/>
      </c>
      <c r="E79" s="21" t="str">
        <f>IF(AND('Atividades Micro'!$A79=E$2,'Atividades Micro'!$K79&lt;&gt;""),'Atividades Micro'!$K79,"")</f>
        <v/>
      </c>
      <c r="F79" s="21" t="str">
        <f>IF(AND('Atividades Micro'!$A79=F$2,'Atividades Micro'!$L79&lt;&gt;""),'Atividades Micro'!$L79,"")</f>
        <v/>
      </c>
      <c r="G79" s="21" t="str">
        <f>IF(AND('Atividades Micro'!$A79=G$2,'Atividades Micro'!$K79&lt;&gt;""),'Atividades Micro'!$K79,"")</f>
        <v/>
      </c>
      <c r="H79" s="21" t="str">
        <f>IF(AND('Atividades Micro'!$A79=H$2,'Atividades Micro'!$L79&lt;&gt;""),'Atividades Micro'!$L79,"")</f>
        <v/>
      </c>
      <c r="I79" s="21">
        <f>IF(AND('Atividades Micro'!$A79=I$2,'Atividades Micro'!$K79&lt;&gt;""),'Atividades Micro'!$K79,"")</f>
        <v>46360</v>
      </c>
      <c r="J79" s="21" t="str">
        <f>IF(AND('Atividades Micro'!$A79=J$2,'Atividades Micro'!$L79&lt;&gt;""),'Atividades Micro'!$L79,"")</f>
        <v/>
      </c>
      <c r="K79" s="21" t="str">
        <f>IF(AND('Atividades Micro'!$B79=K$2,'Atividades Micro'!$K79&lt;&gt;""),'Atividades Micro'!$K79,"")</f>
        <v/>
      </c>
      <c r="L79" s="21" t="str">
        <f>IF(AND('Atividades Micro'!$B79=L$2,'Atividades Micro'!$L79&lt;&gt;""),'Atividades Micro'!$L79,"")</f>
        <v/>
      </c>
      <c r="M79" s="21">
        <f>IF(AND('Atividades Micro'!$B79=M$2,'Atividades Micro'!$K79&lt;&gt;""),'Atividades Micro'!$K79,"")</f>
        <v>46360</v>
      </c>
      <c r="N79" s="21" t="str">
        <f>IF(AND('Atividades Micro'!$B79=N$2,'Atividades Micro'!$L79&lt;&gt;""),'Atividades Micro'!$L79,"")</f>
        <v/>
      </c>
      <c r="O79" s="21" t="str">
        <f>IF(AND('Atividades Micro'!$A79=O$2,'Atividades Micro'!$K79&lt;&gt;""),'Atividades Micro'!$K79,"")</f>
        <v/>
      </c>
      <c r="P79" s="21" t="str">
        <f>IF(AND('Atividades Micro'!$A79=P$2,'Atividades Micro'!$L79&lt;&gt;""),'Atividades Micro'!$L79,"")</f>
        <v/>
      </c>
      <c r="Q79" s="21" t="str">
        <f>IF(AND('Atividades Micro'!$B79=Q$2,'Atividades Micro'!$K79&lt;&gt;""),'Atividades Micro'!$K79,"")</f>
        <v/>
      </c>
      <c r="R79" s="21" t="str">
        <f>IF(AND('Atividades Micro'!$B79=R$2,'Atividades Micro'!$L79&lt;&gt;""),'Atividades Micro'!$L79,"")</f>
        <v/>
      </c>
      <c r="S79" s="21" t="str">
        <f>IF(AND('Atividades Micro'!$A79=S$2,'Atividades Micro'!$K79&lt;&gt;""),'Atividades Micro'!$K79,"")</f>
        <v/>
      </c>
      <c r="T79" s="21" t="str">
        <f>IF(AND('Atividades Micro'!$A79=T$2,'Atividades Micro'!$L79&lt;&gt;""),'Atividades Micro'!$L79,"")</f>
        <v/>
      </c>
      <c r="U79" s="21" t="str">
        <f>IF(AND('Atividades Micro'!$B79=U$2,'Atividades Micro'!$K79&lt;&gt;""),'Atividades Micro'!$K79,"")</f>
        <v/>
      </c>
      <c r="V79" s="21" t="str">
        <f>IF(AND('Atividades Micro'!$B79=V$2,'Atividades Micro'!$L79&lt;&gt;""),'Atividades Micro'!$L79,"")</f>
        <v/>
      </c>
      <c r="W79" s="21" t="str">
        <f>IF(AND('Atividades Micro'!$B79=W$2,'Atividades Micro'!$K79&lt;&gt;""),'Atividades Micro'!$K79,"")</f>
        <v/>
      </c>
      <c r="X79" s="21" t="str">
        <f>IF(AND('Atividades Micro'!$B79=X$2,'Atividades Micro'!$L79&lt;&gt;""),'Atividades Micro'!$L79,"")</f>
        <v/>
      </c>
      <c r="Y79" s="21" t="str">
        <f>IF(AND('Atividades Micro'!$A79=Y$2,'Atividades Micro'!$K79&lt;&gt;""),'Atividades Micro'!$K79,"")</f>
        <v/>
      </c>
      <c r="Z79" s="21" t="str">
        <f>IF(AND('Atividades Micro'!$A79=Z$2,'Atividades Micro'!$L79&lt;&gt;""),'Atividades Micro'!$L79,"")</f>
        <v/>
      </c>
      <c r="AA79" s="21" t="str">
        <f>IF(AND('Atividades Micro'!$B79=AA$2,'Atividades Micro'!$K79&lt;&gt;""),'Atividades Micro'!$K79,"")</f>
        <v/>
      </c>
      <c r="AB79" s="21" t="str">
        <f>IF(AND('Atividades Micro'!$B79=AB$2,'Atividades Micro'!$L79&lt;&gt;""),'Atividades Micro'!$L79,"")</f>
        <v/>
      </c>
      <c r="AC79" s="21" t="str">
        <f>IF(AND('Atividades Micro'!$B79=AC$2,'Atividades Micro'!$K79&lt;&gt;""),'Atividades Micro'!$K79,"")</f>
        <v/>
      </c>
      <c r="AD79" s="21" t="str">
        <f>IF(AND('Atividades Micro'!$B79=AD$2,'Atividades Micro'!$L79&lt;&gt;""),'Atividades Micro'!$L79,"")</f>
        <v/>
      </c>
      <c r="AE79" s="21" t="str">
        <f>IF(AND('Atividades Micro'!$A79=AE$2,'Atividades Micro'!$K79&lt;&gt;""),'Atividades Micro'!$K79,"")</f>
        <v/>
      </c>
      <c r="AF79" s="21" t="str">
        <f>IF(AND('Atividades Micro'!$A79=AF$2,'Atividades Micro'!$L79&lt;&gt;""),'Atividades Micro'!$L79,"")</f>
        <v/>
      </c>
      <c r="AG79" s="21" t="str">
        <f>IF(AND('Atividades Micro'!$B79=AG$2,'Atividades Micro'!$K79&lt;&gt;""),'Atividades Micro'!$K79,"")</f>
        <v/>
      </c>
      <c r="AH79" s="21" t="str">
        <f>IF(AND('Atividades Micro'!$B79=AH$2,'Atividades Micro'!$L79&lt;&gt;""),'Atividades Micro'!$L79,"")</f>
        <v/>
      </c>
      <c r="AI79" s="21" t="str">
        <f>IF(AND('Atividades Micro'!$B79=AI$2,'Atividades Micro'!$K79&lt;&gt;""),'Atividades Micro'!$K79,"")</f>
        <v/>
      </c>
      <c r="AJ79" s="21" t="str">
        <f>IF(AND('Atividades Micro'!$B79=AJ$2,'Atividades Micro'!$L79&lt;&gt;""),'Atividades Micro'!$L79,"")</f>
        <v/>
      </c>
      <c r="AK79" s="21" t="str">
        <f>IF(AND('Atividades Micro'!$A79=AK$2,'Atividades Micro'!$K79&lt;&gt;""),'Atividades Micro'!$K79,"")</f>
        <v/>
      </c>
      <c r="AL79" s="21" t="str">
        <f>IF(AND('Atividades Micro'!$A79=AL$2,'Atividades Micro'!$L79&lt;&gt;""),'Atividades Micro'!$L79,"")</f>
        <v/>
      </c>
      <c r="AM79" s="21" t="str">
        <f>IF(AND('Atividades Micro'!$B79=AM$2,'Atividades Micro'!$K79&lt;&gt;""),'Atividades Micro'!$K79,"")</f>
        <v/>
      </c>
      <c r="AN79" s="21" t="str">
        <f>IF(AND('Atividades Micro'!$B79=AN$2,'Atividades Micro'!$L79&lt;&gt;""),'Atividades Micro'!$L79,"")</f>
        <v/>
      </c>
      <c r="AO79" s="21" t="str">
        <f>IF(AND('Atividades Micro'!$B79=AO$2,'Atividades Micro'!$K79&lt;&gt;""),'Atividades Micro'!$K79,"")</f>
        <v/>
      </c>
      <c r="AP79" s="21" t="str">
        <f>IF(AND('Atividades Micro'!$B79=AP$2,'Atividades Micro'!$L79&lt;&gt;""),'Atividades Micro'!$L79,"")</f>
        <v/>
      </c>
      <c r="AQ79" s="21" t="str">
        <f>IF(AND('Atividades Micro'!$A79=AQ$2,'Atividades Micro'!$K79&lt;&gt;""),'Atividades Micro'!$K79,"")</f>
        <v/>
      </c>
      <c r="AR79" s="21" t="str">
        <f>IF(AND('Atividades Micro'!$A79=AR$2,'Atividades Micro'!$L79&lt;&gt;""),'Atividades Micro'!$L79,"")</f>
        <v/>
      </c>
      <c r="AS79" s="21" t="str">
        <f>IF(AND('Atividades Micro'!$B79=AS$2,'Atividades Micro'!$K79&lt;&gt;""),'Atividades Micro'!$K79,"")</f>
        <v/>
      </c>
      <c r="AT79" s="21" t="str">
        <f>IF(AND('Atividades Micro'!$B79=AT$2,'Atividades Micro'!$L79&lt;&gt;""),'Atividades Micro'!$L79,"")</f>
        <v/>
      </c>
      <c r="AU79" s="21" t="str">
        <f>IF(AND('Atividades Micro'!$A79=AU$2,'Atividades Micro'!$K79&lt;&gt;""),'Atividades Micro'!$K79,"")</f>
        <v/>
      </c>
      <c r="AV79" s="21" t="str">
        <f>IF(AND('Atividades Micro'!$A79=AV$2,'Atividades Micro'!$L79&lt;&gt;""),'Atividades Micro'!$L79,"")</f>
        <v/>
      </c>
      <c r="AW79" s="21" t="str">
        <f>IF(AND('Atividades Micro'!$B79=AW$2,'Atividades Micro'!$K79&lt;&gt;""),'Atividades Micro'!$K79,"")</f>
        <v/>
      </c>
      <c r="AX79" s="21" t="str">
        <f>IF(AND('Atividades Micro'!$B79=AX$2,'Atividades Micro'!$L79&lt;&gt;""),'Atividades Micro'!$L79,"")</f>
        <v/>
      </c>
      <c r="AY79" s="21" t="str">
        <f>IF(AND('Atividades Micro'!$A79=AY$2,'Atividades Micro'!$K79&lt;&gt;""),'Atividades Micro'!$K79,"")</f>
        <v/>
      </c>
      <c r="AZ79" s="21" t="str">
        <f>IF(AND('Atividades Micro'!$A79=AZ$2,'Atividades Micro'!$L79&lt;&gt;""),'Atividades Micro'!$L79,"")</f>
        <v/>
      </c>
      <c r="BA79" s="21" t="str">
        <f>IF(AND('Atividades Micro'!$B79=BA$2,'Atividades Micro'!$K79&lt;&gt;""),'Atividades Micro'!$K79,"")</f>
        <v/>
      </c>
      <c r="BB79" s="21" t="str">
        <f>IF(AND('Atividades Micro'!$B79=BB$2,'Atividades Micro'!$L79&lt;&gt;""),'Atividades Micro'!$L79,"")</f>
        <v/>
      </c>
      <c r="BC79" s="21" t="str">
        <f>IF(AND('Atividades Micro'!$B79=BC$2,'Atividades Micro'!$G79="Macro",'Atividades Micro'!$K79&lt;&gt;""),'Atividades Micro'!$K79,"")</f>
        <v/>
      </c>
      <c r="BD79" s="21" t="str">
        <f>IF(AND('Atividades Micro'!$B79=BD$2,'Atividades Micro'!$G79="Macro",'Atividades Micro'!$K79&lt;&gt;""),'Atividades Micro'!$K79,"")</f>
        <v/>
      </c>
      <c r="BE79" s="21" t="str">
        <f>IF(AND('Atividades Micro'!$B79=BE$2,'Atividades Micro'!$G79="Macro",'Atividades Micro'!$K79&lt;&gt;""),'Atividades Micro'!$K79,"")</f>
        <v/>
      </c>
      <c r="BF79" s="21" t="str">
        <f>IF(AND('Atividades Micro'!$B79=BF$2,'Atividades Micro'!$G79="Macro",'Atividades Micro'!$K79&lt;&gt;""),'Atividades Micro'!$K79,"")</f>
        <v/>
      </c>
      <c r="BG79" s="21" t="str">
        <f>IF(AND('Atividades Micro'!$B79=BG$2,'Atividades Micro'!$G79="Macro",'Atividades Micro'!$K79&lt;&gt;""),'Atividades Micro'!$K79,"")</f>
        <v/>
      </c>
      <c r="BH79" s="21" t="str">
        <f>IF(AND('Atividades Micro'!$B79=BH$2,'Atividades Micro'!$G79="Macro",'Atividades Micro'!$K79&lt;&gt;""),'Atividades Micro'!$K79,"")</f>
        <v/>
      </c>
      <c r="BI79" s="21" t="str">
        <f>IF(AND('Atividades Micro'!$B79=BI$2,'Atividades Micro'!$G79="Macro",'Atividades Micro'!$K79&lt;&gt;""),'Atividades Micro'!$K79,"")</f>
        <v/>
      </c>
      <c r="BJ79" s="21" t="str">
        <f>IF(AND('Atividades Micro'!$B79=BJ$2,'Atividades Micro'!$G79="Macro",'Atividades Micro'!$K79&lt;&gt;""),'Atividades Micro'!$K79,"")</f>
        <v/>
      </c>
      <c r="BK79" s="21" t="str">
        <f>IF(AND('Atividades Micro'!$B79=BK$2,'Atividades Micro'!$G79="Macro",'Atividades Micro'!$K79&lt;&gt;""),'Atividades Micro'!$K79,"")</f>
        <v/>
      </c>
      <c r="BL79" s="21" t="str">
        <f>IF(AND('Atividades Micro'!$B79=BL$2,'Atividades Micro'!$G79="Macro",'Atividades Micro'!$K79&lt;&gt;""),'Atividades Micro'!$K79,"")</f>
        <v/>
      </c>
      <c r="BM79" s="21" t="str">
        <f>IF(AND('Atividades Micro'!$B79=BM$2,'Atividades Micro'!$G79="Macro",'Atividades Micro'!$K79&lt;&gt;""),'Atividades Micro'!$K79,"")</f>
        <v/>
      </c>
      <c r="BN79" s="21" t="str">
        <f>IF(AND('Atividades Micro'!$B79=BN$2,'Atividades Micro'!$G79="Macro",'Atividades Micro'!$K79&lt;&gt;""),'Atividades Micro'!$K79,"")</f>
        <v/>
      </c>
      <c r="BO79" s="21" t="str">
        <f>IF(AND('Atividades Micro'!$B79=BO$2,'Atividades Micro'!$G79="Macro",'Atividades Micro'!$K79&lt;&gt;""),'Atividades Micro'!$K79,"")</f>
        <v/>
      </c>
      <c r="BP79" s="21" t="str">
        <f>IF(AND('Atividades Micro'!$B79=BP$2,'Atividades Micro'!$G79="Macro",'Atividades Micro'!$K79&lt;&gt;""),'Atividades Micro'!$K79,"")</f>
        <v/>
      </c>
      <c r="BQ79" s="21" t="str">
        <f>IF(AND('Atividades Micro'!$B79=BQ$2,'Atividades Micro'!$G79="Macro",'Atividades Micro'!$K79&lt;&gt;""),'Atividades Micro'!$K79,"")</f>
        <v/>
      </c>
      <c r="BR79" s="21" t="str">
        <f>IF(AND('Atividades Micro'!$B79=BR$2,'Atividades Micro'!$G79="Macro",'Atividades Micro'!$K79&lt;&gt;""),'Atividades Micro'!$K79,"")</f>
        <v/>
      </c>
      <c r="BS79" s="21" t="str">
        <f>IF(AND('Atividades Micro'!$B79=BS$2,'Atividades Micro'!$G79="Macro",'Atividades Micro'!$K79&lt;&gt;""),'Atividades Micro'!$K79,"")</f>
        <v/>
      </c>
      <c r="BT79" s="21" t="str">
        <f>IF(AND('Atividades Micro'!$B79=BT$2,'Atividades Micro'!$G79="Macro",'Atividades Micro'!$K79&lt;&gt;""),'Atividades Micro'!$K79,"")</f>
        <v/>
      </c>
      <c r="BU79" s="21" t="str">
        <f>IF(AND('Atividades Micro'!$B79=BU$2,'Atividades Micro'!$G79="Macro",'Atividades Micro'!$K79&lt;&gt;""),'Atividades Micro'!$K79,"")</f>
        <v/>
      </c>
      <c r="BV79" s="21" t="str">
        <f>IF(AND('Atividades Micro'!$B79=BV$2,'Atividades Micro'!$G79="Macro",'Atividades Micro'!$K79&lt;&gt;""),'Atividades Micro'!$K79,"")</f>
        <v/>
      </c>
      <c r="BW79" s="21" t="str">
        <f>IF(AND('Atividades Micro'!$B79=BW$2,'Atividades Micro'!$G79="Macro",'Atividades Micro'!$K79&lt;&gt;""),'Atividades Micro'!$K79,"")</f>
        <v/>
      </c>
      <c r="BX79" s="21" t="str">
        <f>IF(AND('Atividades Micro'!$B79=BX$2,'Atividades Micro'!$G79="Macro",'Atividades Micro'!$K79&lt;&gt;""),'Atividades Micro'!$K79,"")</f>
        <v/>
      </c>
      <c r="BY79" s="21" t="str">
        <f>IF(AND('Atividades Micro'!$B79=BY$2,'Atividades Micro'!$G79="Macro",'Atividades Micro'!$K79&lt;&gt;""),'Atividades Micro'!$K79,"")</f>
        <v/>
      </c>
      <c r="BZ79" s="21" t="str">
        <f>IF(AND('Atividades Micro'!$B79=BZ$2,'Atividades Micro'!$G79="Macro",'Atividades Micro'!$K79&lt;&gt;""),'Atividades Micro'!$K79,"")</f>
        <v/>
      </c>
      <c r="CA79" s="21" t="str">
        <f>IF(AND('Atividades Micro'!$B79=CA$2,'Atividades Micro'!$G79="Macro",'Atividades Micro'!$K79&lt;&gt;""),'Atividades Micro'!$K79,"")</f>
        <v/>
      </c>
      <c r="CB79" s="21" t="str">
        <f>IF(AND('Atividades Micro'!$B79=CB$2,'Atividades Micro'!$G79="Macro",'Atividades Micro'!$K79&lt;&gt;""),'Atividades Micro'!$K79,"")</f>
        <v/>
      </c>
      <c r="CC79" s="21" t="str">
        <f>IF(AND('Atividades Micro'!$B79=CC$2,'Atividades Micro'!$G79="Macro",'Atividades Micro'!$K79&lt;&gt;""),'Atividades Micro'!$K79,"")</f>
        <v/>
      </c>
      <c r="CD79" s="21" t="str">
        <f>IF(AND('Atividades Micro'!$B79=CD$2,'Atividades Micro'!$G79="Micro",'Atividades Micro'!$K79&lt;&gt;""),'Atividades Micro'!$K79,"")</f>
        <v/>
      </c>
      <c r="CE79" s="21">
        <f>IF(AND('Atividades Micro'!$B79=CE$2,'Atividades Micro'!$G79="Micro",'Atividades Micro'!$K79&lt;&gt;""),'Atividades Micro'!$K79,"")</f>
        <v>46360</v>
      </c>
      <c r="CF79" s="21" t="str">
        <f>IF(AND('Atividades Micro'!$B79=CF$2,'Atividades Micro'!$G79="Micro",'Atividades Micro'!$K79&lt;&gt;""),'Atividades Micro'!$K79,"")</f>
        <v/>
      </c>
      <c r="CG79" s="21" t="str">
        <f>IF(AND('Atividades Micro'!$B79=CG$2,'Atividades Micro'!$G79="Micro",'Atividades Micro'!$K79&lt;&gt;""),'Atividades Micro'!$K79,"")</f>
        <v/>
      </c>
      <c r="CH79" s="21" t="str">
        <f>IF(AND('Atividades Micro'!$B79=CH$2,'Atividades Micro'!$G79="Micro",'Atividades Micro'!$K79&lt;&gt;""),'Atividades Micro'!$K79,"")</f>
        <v/>
      </c>
      <c r="CI79" s="21" t="str">
        <f>IF(AND('Atividades Micro'!$B79=CI$2,'Atividades Micro'!$G79="Micro",'Atividades Micro'!$K79&lt;&gt;""),'Atividades Micro'!$K79,"")</f>
        <v/>
      </c>
      <c r="CJ79" s="21" t="str">
        <f>IF(AND('Atividades Micro'!$B79=CJ$2,'Atividades Micro'!$G79="Micro",'Atividades Micro'!$K79&lt;&gt;""),'Atividades Micro'!$K79,"")</f>
        <v/>
      </c>
      <c r="CK79" s="21" t="str">
        <f>IF(AND('Atividades Micro'!$B79=CK$2,'Atividades Micro'!$G79="Micro",'Atividades Micro'!$K79&lt;&gt;""),'Atividades Micro'!$K79,"")</f>
        <v/>
      </c>
      <c r="CL79" s="21" t="str">
        <f>IF(AND('Atividades Micro'!$B79=CL$2,'Atividades Micro'!$G79="Micro",'Atividades Micro'!$K79&lt;&gt;""),'Atividades Micro'!$K79,"")</f>
        <v/>
      </c>
      <c r="CM79" s="21" t="str">
        <f>IF(AND('Atividades Micro'!$B79=CM$2,'Atividades Micro'!$G79="Micro",'Atividades Micro'!$K79&lt;&gt;""),'Atividades Micro'!$K79,"")</f>
        <v/>
      </c>
      <c r="CN79" s="21" t="str">
        <f>IF(AND('Atividades Micro'!$B79=CN$2,'Atividades Micro'!$G79="Micro",'Atividades Micro'!$K79&lt;&gt;""),'Atividades Micro'!$K79,"")</f>
        <v/>
      </c>
      <c r="CO79" s="21" t="str">
        <f>IF(AND('Atividades Micro'!$B79=CO$2,'Atividades Micro'!$G79="Micro",'Atividades Micro'!$K79&lt;&gt;""),'Atividades Micro'!$K79,"")</f>
        <v/>
      </c>
    </row>
    <row r="80" spans="1:93">
      <c r="A80" s="21" t="str">
        <f>IF(AND('Atividades Micro'!$A80=A$2,'Atividades Micro'!$K80&lt;&gt;""),'Atividades Micro'!$K80,"")</f>
        <v/>
      </c>
      <c r="B80" s="21" t="str">
        <f>IF(AND('Atividades Micro'!$A80=B$2,'Atividades Micro'!$L80&lt;&gt;""),'Atividades Micro'!$L80,"")</f>
        <v/>
      </c>
      <c r="C80" s="21" t="str">
        <f>IF(AND('Atividades Micro'!$A80=C$2,'Atividades Micro'!$K80&lt;&gt;""),'Atividades Micro'!$K80,"")</f>
        <v/>
      </c>
      <c r="D80" s="21" t="str">
        <f>IF(AND('Atividades Micro'!$A80=D$2,'Atividades Micro'!$L80&lt;&gt;""),'Atividades Micro'!$L80,"")</f>
        <v/>
      </c>
      <c r="E80" s="21" t="str">
        <f>IF(AND('Atividades Micro'!$A80=E$2,'Atividades Micro'!$K80&lt;&gt;""),'Atividades Micro'!$K80,"")</f>
        <v/>
      </c>
      <c r="F80" s="21" t="str">
        <f>IF(AND('Atividades Micro'!$A80=F$2,'Atividades Micro'!$L80&lt;&gt;""),'Atividades Micro'!$L80,"")</f>
        <v/>
      </c>
      <c r="G80" s="21" t="str">
        <f>IF(AND('Atividades Micro'!$A80=G$2,'Atividades Micro'!$K80&lt;&gt;""),'Atividades Micro'!$K80,"")</f>
        <v/>
      </c>
      <c r="H80" s="21" t="str">
        <f>IF(AND('Atividades Micro'!$A80=H$2,'Atividades Micro'!$L80&lt;&gt;""),'Atividades Micro'!$L80,"")</f>
        <v/>
      </c>
      <c r="I80" s="21">
        <f>IF(AND('Atividades Micro'!$A80=I$2,'Atividades Micro'!$K80&lt;&gt;""),'Atividades Micro'!$K80,"")</f>
        <v>46364</v>
      </c>
      <c r="J80" s="21">
        <f>IF(AND('Atividades Micro'!$A80=J$2,'Atividades Micro'!$L80&lt;&gt;""),'Atividades Micro'!$L80,"")</f>
        <v>46290</v>
      </c>
      <c r="K80" s="21" t="str">
        <f>IF(AND('Atividades Micro'!$B80=K$2,'Atividades Micro'!$K80&lt;&gt;""),'Atividades Micro'!$K80,"")</f>
        <v/>
      </c>
      <c r="L80" s="21" t="str">
        <f>IF(AND('Atividades Micro'!$B80=L$2,'Atividades Micro'!$L80&lt;&gt;""),'Atividades Micro'!$L80,"")</f>
        <v/>
      </c>
      <c r="M80" s="21">
        <f>IF(AND('Atividades Micro'!$B80=M$2,'Atividades Micro'!$K80&lt;&gt;""),'Atividades Micro'!$K80,"")</f>
        <v>46364</v>
      </c>
      <c r="N80" s="21">
        <f>IF(AND('Atividades Micro'!$B80=N$2,'Atividades Micro'!$L80&lt;&gt;""),'Atividades Micro'!$L80,"")</f>
        <v>46290</v>
      </c>
      <c r="O80" s="21" t="str">
        <f>IF(AND('Atividades Micro'!$A80=O$2,'Atividades Micro'!$K80&lt;&gt;""),'Atividades Micro'!$K80,"")</f>
        <v/>
      </c>
      <c r="P80" s="21" t="str">
        <f>IF(AND('Atividades Micro'!$A80=P$2,'Atividades Micro'!$L80&lt;&gt;""),'Atividades Micro'!$L80,"")</f>
        <v/>
      </c>
      <c r="Q80" s="21" t="str">
        <f>IF(AND('Atividades Micro'!$B80=Q$2,'Atividades Micro'!$K80&lt;&gt;""),'Atividades Micro'!$K80,"")</f>
        <v/>
      </c>
      <c r="R80" s="21" t="str">
        <f>IF(AND('Atividades Micro'!$B80=R$2,'Atividades Micro'!$L80&lt;&gt;""),'Atividades Micro'!$L80,"")</f>
        <v/>
      </c>
      <c r="S80" s="21" t="str">
        <f>IF(AND('Atividades Micro'!$A80=S$2,'Atividades Micro'!$K80&lt;&gt;""),'Atividades Micro'!$K80,"")</f>
        <v/>
      </c>
      <c r="T80" s="21" t="str">
        <f>IF(AND('Atividades Micro'!$A80=T$2,'Atividades Micro'!$L80&lt;&gt;""),'Atividades Micro'!$L80,"")</f>
        <v/>
      </c>
      <c r="U80" s="21" t="str">
        <f>IF(AND('Atividades Micro'!$B80=U$2,'Atividades Micro'!$K80&lt;&gt;""),'Atividades Micro'!$K80,"")</f>
        <v/>
      </c>
      <c r="V80" s="21" t="str">
        <f>IF(AND('Atividades Micro'!$B80=V$2,'Atividades Micro'!$L80&lt;&gt;""),'Atividades Micro'!$L80,"")</f>
        <v/>
      </c>
      <c r="W80" s="21" t="str">
        <f>IF(AND('Atividades Micro'!$B80=W$2,'Atividades Micro'!$K80&lt;&gt;""),'Atividades Micro'!$K80,"")</f>
        <v/>
      </c>
      <c r="X80" s="21" t="str">
        <f>IF(AND('Atividades Micro'!$B80=X$2,'Atividades Micro'!$L80&lt;&gt;""),'Atividades Micro'!$L80,"")</f>
        <v/>
      </c>
      <c r="Y80" s="21" t="str">
        <f>IF(AND('Atividades Micro'!$A80=Y$2,'Atividades Micro'!$K80&lt;&gt;""),'Atividades Micro'!$K80,"")</f>
        <v/>
      </c>
      <c r="Z80" s="21" t="str">
        <f>IF(AND('Atividades Micro'!$A80=Z$2,'Atividades Micro'!$L80&lt;&gt;""),'Atividades Micro'!$L80,"")</f>
        <v/>
      </c>
      <c r="AA80" s="21" t="str">
        <f>IF(AND('Atividades Micro'!$B80=AA$2,'Atividades Micro'!$K80&lt;&gt;""),'Atividades Micro'!$K80,"")</f>
        <v/>
      </c>
      <c r="AB80" s="21" t="str">
        <f>IF(AND('Atividades Micro'!$B80=AB$2,'Atividades Micro'!$L80&lt;&gt;""),'Atividades Micro'!$L80,"")</f>
        <v/>
      </c>
      <c r="AC80" s="21" t="str">
        <f>IF(AND('Atividades Micro'!$B80=AC$2,'Atividades Micro'!$K80&lt;&gt;""),'Atividades Micro'!$K80,"")</f>
        <v/>
      </c>
      <c r="AD80" s="21" t="str">
        <f>IF(AND('Atividades Micro'!$B80=AD$2,'Atividades Micro'!$L80&lt;&gt;""),'Atividades Micro'!$L80,"")</f>
        <v/>
      </c>
      <c r="AE80" s="21" t="str">
        <f>IF(AND('Atividades Micro'!$A80=AE$2,'Atividades Micro'!$K80&lt;&gt;""),'Atividades Micro'!$K80,"")</f>
        <v/>
      </c>
      <c r="AF80" s="21" t="str">
        <f>IF(AND('Atividades Micro'!$A80=AF$2,'Atividades Micro'!$L80&lt;&gt;""),'Atividades Micro'!$L80,"")</f>
        <v/>
      </c>
      <c r="AG80" s="21" t="str">
        <f>IF(AND('Atividades Micro'!$B80=AG$2,'Atividades Micro'!$K80&lt;&gt;""),'Atividades Micro'!$K80,"")</f>
        <v/>
      </c>
      <c r="AH80" s="21" t="str">
        <f>IF(AND('Atividades Micro'!$B80=AH$2,'Atividades Micro'!$L80&lt;&gt;""),'Atividades Micro'!$L80,"")</f>
        <v/>
      </c>
      <c r="AI80" s="21" t="str">
        <f>IF(AND('Atividades Micro'!$B80=AI$2,'Atividades Micro'!$K80&lt;&gt;""),'Atividades Micro'!$K80,"")</f>
        <v/>
      </c>
      <c r="AJ80" s="21" t="str">
        <f>IF(AND('Atividades Micro'!$B80=AJ$2,'Atividades Micro'!$L80&lt;&gt;""),'Atividades Micro'!$L80,"")</f>
        <v/>
      </c>
      <c r="AK80" s="21" t="str">
        <f>IF(AND('Atividades Micro'!$A80=AK$2,'Atividades Micro'!$K80&lt;&gt;""),'Atividades Micro'!$K80,"")</f>
        <v/>
      </c>
      <c r="AL80" s="21" t="str">
        <f>IF(AND('Atividades Micro'!$A80=AL$2,'Atividades Micro'!$L80&lt;&gt;""),'Atividades Micro'!$L80,"")</f>
        <v/>
      </c>
      <c r="AM80" s="21" t="str">
        <f>IF(AND('Atividades Micro'!$B80=AM$2,'Atividades Micro'!$K80&lt;&gt;""),'Atividades Micro'!$K80,"")</f>
        <v/>
      </c>
      <c r="AN80" s="21" t="str">
        <f>IF(AND('Atividades Micro'!$B80=AN$2,'Atividades Micro'!$L80&lt;&gt;""),'Atividades Micro'!$L80,"")</f>
        <v/>
      </c>
      <c r="AO80" s="21" t="str">
        <f>IF(AND('Atividades Micro'!$B80=AO$2,'Atividades Micro'!$K80&lt;&gt;""),'Atividades Micro'!$K80,"")</f>
        <v/>
      </c>
      <c r="AP80" s="21" t="str">
        <f>IF(AND('Atividades Micro'!$B80=AP$2,'Atividades Micro'!$L80&lt;&gt;""),'Atividades Micro'!$L80,"")</f>
        <v/>
      </c>
      <c r="AQ80" s="21" t="str">
        <f>IF(AND('Atividades Micro'!$A80=AQ$2,'Atividades Micro'!$K80&lt;&gt;""),'Atividades Micro'!$K80,"")</f>
        <v/>
      </c>
      <c r="AR80" s="21" t="str">
        <f>IF(AND('Atividades Micro'!$A80=AR$2,'Atividades Micro'!$L80&lt;&gt;""),'Atividades Micro'!$L80,"")</f>
        <v/>
      </c>
      <c r="AS80" s="21" t="str">
        <f>IF(AND('Atividades Micro'!$B80=AS$2,'Atividades Micro'!$K80&lt;&gt;""),'Atividades Micro'!$K80,"")</f>
        <v/>
      </c>
      <c r="AT80" s="21" t="str">
        <f>IF(AND('Atividades Micro'!$B80=AT$2,'Atividades Micro'!$L80&lt;&gt;""),'Atividades Micro'!$L80,"")</f>
        <v/>
      </c>
      <c r="AU80" s="21" t="str">
        <f>IF(AND('Atividades Micro'!$A80=AU$2,'Atividades Micro'!$K80&lt;&gt;""),'Atividades Micro'!$K80,"")</f>
        <v/>
      </c>
      <c r="AV80" s="21" t="str">
        <f>IF(AND('Atividades Micro'!$A80=AV$2,'Atividades Micro'!$L80&lt;&gt;""),'Atividades Micro'!$L80,"")</f>
        <v/>
      </c>
      <c r="AW80" s="21" t="str">
        <f>IF(AND('Atividades Micro'!$B80=AW$2,'Atividades Micro'!$K80&lt;&gt;""),'Atividades Micro'!$K80,"")</f>
        <v/>
      </c>
      <c r="AX80" s="21" t="str">
        <f>IF(AND('Atividades Micro'!$B80=AX$2,'Atividades Micro'!$L80&lt;&gt;""),'Atividades Micro'!$L80,"")</f>
        <v/>
      </c>
      <c r="AY80" s="21" t="str">
        <f>IF(AND('Atividades Micro'!$A80=AY$2,'Atividades Micro'!$K80&lt;&gt;""),'Atividades Micro'!$K80,"")</f>
        <v/>
      </c>
      <c r="AZ80" s="21" t="str">
        <f>IF(AND('Atividades Micro'!$A80=AZ$2,'Atividades Micro'!$L80&lt;&gt;""),'Atividades Micro'!$L80,"")</f>
        <v/>
      </c>
      <c r="BA80" s="21" t="str">
        <f>IF(AND('Atividades Micro'!$B80=BA$2,'Atividades Micro'!$K80&lt;&gt;""),'Atividades Micro'!$K80,"")</f>
        <v/>
      </c>
      <c r="BB80" s="21" t="str">
        <f>IF(AND('Atividades Micro'!$B80=BB$2,'Atividades Micro'!$L80&lt;&gt;""),'Atividades Micro'!$L80,"")</f>
        <v/>
      </c>
      <c r="BC80" s="21" t="str">
        <f>IF(AND('Atividades Micro'!$B80=BC$2,'Atividades Micro'!$G80="Macro",'Atividades Micro'!$K80&lt;&gt;""),'Atividades Micro'!$K80,"")</f>
        <v/>
      </c>
      <c r="BD80" s="21" t="str">
        <f>IF(AND('Atividades Micro'!$B80=BD$2,'Atividades Micro'!$G80="Macro",'Atividades Micro'!$K80&lt;&gt;""),'Atividades Micro'!$K80,"")</f>
        <v/>
      </c>
      <c r="BE80" s="21" t="str">
        <f>IF(AND('Atividades Micro'!$B80=BE$2,'Atividades Micro'!$G80="Macro",'Atividades Micro'!$K80&lt;&gt;""),'Atividades Micro'!$K80,"")</f>
        <v/>
      </c>
      <c r="BF80" s="21" t="str">
        <f>IF(AND('Atividades Micro'!$B80=BF$2,'Atividades Micro'!$G80="Macro",'Atividades Micro'!$K80&lt;&gt;""),'Atividades Micro'!$K80,"")</f>
        <v/>
      </c>
      <c r="BG80" s="21" t="str">
        <f>IF(AND('Atividades Micro'!$B80=BG$2,'Atividades Micro'!$G80="Macro",'Atividades Micro'!$K80&lt;&gt;""),'Atividades Micro'!$K80,"")</f>
        <v/>
      </c>
      <c r="BH80" s="21" t="str">
        <f>IF(AND('Atividades Micro'!$B80=BH$2,'Atividades Micro'!$G80="Macro",'Atividades Micro'!$K80&lt;&gt;""),'Atividades Micro'!$K80,"")</f>
        <v/>
      </c>
      <c r="BI80" s="21" t="str">
        <f>IF(AND('Atividades Micro'!$B80=BI$2,'Atividades Micro'!$G80="Macro",'Atividades Micro'!$K80&lt;&gt;""),'Atividades Micro'!$K80,"")</f>
        <v/>
      </c>
      <c r="BJ80" s="21" t="str">
        <f>IF(AND('Atividades Micro'!$B80=BJ$2,'Atividades Micro'!$G80="Macro",'Atividades Micro'!$K80&lt;&gt;""),'Atividades Micro'!$K80,"")</f>
        <v/>
      </c>
      <c r="BK80" s="21" t="str">
        <f>IF(AND('Atividades Micro'!$B80=BK$2,'Atividades Micro'!$G80="Macro",'Atividades Micro'!$K80&lt;&gt;""),'Atividades Micro'!$K80,"")</f>
        <v/>
      </c>
      <c r="BL80" s="21" t="str">
        <f>IF(AND('Atividades Micro'!$B80=BL$2,'Atividades Micro'!$G80="Macro",'Atividades Micro'!$K80&lt;&gt;""),'Atividades Micro'!$K80,"")</f>
        <v/>
      </c>
      <c r="BM80" s="21" t="str">
        <f>IF(AND('Atividades Micro'!$B80=BM$2,'Atividades Micro'!$G80="Macro",'Atividades Micro'!$K80&lt;&gt;""),'Atividades Micro'!$K80,"")</f>
        <v/>
      </c>
      <c r="BN80" s="21" t="str">
        <f>IF(AND('Atividades Micro'!$B80=BN$2,'Atividades Micro'!$G80="Macro",'Atividades Micro'!$K80&lt;&gt;""),'Atividades Micro'!$K80,"")</f>
        <v/>
      </c>
      <c r="BO80" s="21" t="str">
        <f>IF(AND('Atividades Micro'!$B80=BO$2,'Atividades Micro'!$G80="Macro",'Atividades Micro'!$K80&lt;&gt;""),'Atividades Micro'!$K80,"")</f>
        <v/>
      </c>
      <c r="BP80" s="21" t="str">
        <f>IF(AND('Atividades Micro'!$B80=BP$2,'Atividades Micro'!$G80="Macro",'Atividades Micro'!$K80&lt;&gt;""),'Atividades Micro'!$K80,"")</f>
        <v/>
      </c>
      <c r="BQ80" s="21" t="str">
        <f>IF(AND('Atividades Micro'!$B80=BQ$2,'Atividades Micro'!$G80="Macro",'Atividades Micro'!$K80&lt;&gt;""),'Atividades Micro'!$K80,"")</f>
        <v/>
      </c>
      <c r="BR80" s="21" t="str">
        <f>IF(AND('Atividades Micro'!$B80=BR$2,'Atividades Micro'!$G80="Macro",'Atividades Micro'!$K80&lt;&gt;""),'Atividades Micro'!$K80,"")</f>
        <v/>
      </c>
      <c r="BS80" s="21" t="str">
        <f>IF(AND('Atividades Micro'!$B80=BS$2,'Atividades Micro'!$G80="Macro",'Atividades Micro'!$K80&lt;&gt;""),'Atividades Micro'!$K80,"")</f>
        <v/>
      </c>
      <c r="BT80" s="21" t="str">
        <f>IF(AND('Atividades Micro'!$B80=BT$2,'Atividades Micro'!$G80="Macro",'Atividades Micro'!$K80&lt;&gt;""),'Atividades Micro'!$K80,"")</f>
        <v/>
      </c>
      <c r="BU80" s="21" t="str">
        <f>IF(AND('Atividades Micro'!$B80=BU$2,'Atividades Micro'!$G80="Macro",'Atividades Micro'!$K80&lt;&gt;""),'Atividades Micro'!$K80,"")</f>
        <v/>
      </c>
      <c r="BV80" s="21" t="str">
        <f>IF(AND('Atividades Micro'!$B80=BV$2,'Atividades Micro'!$G80="Macro",'Atividades Micro'!$K80&lt;&gt;""),'Atividades Micro'!$K80,"")</f>
        <v/>
      </c>
      <c r="BW80" s="21" t="str">
        <f>IF(AND('Atividades Micro'!$B80=BW$2,'Atividades Micro'!$G80="Macro",'Atividades Micro'!$K80&lt;&gt;""),'Atividades Micro'!$K80,"")</f>
        <v/>
      </c>
      <c r="BX80" s="21" t="str">
        <f>IF(AND('Atividades Micro'!$B80=BX$2,'Atividades Micro'!$G80="Macro",'Atividades Micro'!$K80&lt;&gt;""),'Atividades Micro'!$K80,"")</f>
        <v/>
      </c>
      <c r="BY80" s="21" t="str">
        <f>IF(AND('Atividades Micro'!$B80=BY$2,'Atividades Micro'!$G80="Macro",'Atividades Micro'!$K80&lt;&gt;""),'Atividades Micro'!$K80,"")</f>
        <v/>
      </c>
      <c r="BZ80" s="21" t="str">
        <f>IF(AND('Atividades Micro'!$B80=BZ$2,'Atividades Micro'!$G80="Macro",'Atividades Micro'!$K80&lt;&gt;""),'Atividades Micro'!$K80,"")</f>
        <v/>
      </c>
      <c r="CA80" s="21" t="str">
        <f>IF(AND('Atividades Micro'!$B80=CA$2,'Atividades Micro'!$G80="Macro",'Atividades Micro'!$K80&lt;&gt;""),'Atividades Micro'!$K80,"")</f>
        <v/>
      </c>
      <c r="CB80" s="21" t="str">
        <f>IF(AND('Atividades Micro'!$B80=CB$2,'Atividades Micro'!$G80="Macro",'Atividades Micro'!$K80&lt;&gt;""),'Atividades Micro'!$K80,"")</f>
        <v/>
      </c>
      <c r="CC80" s="21" t="str">
        <f>IF(AND('Atividades Micro'!$B80=CC$2,'Atividades Micro'!$G80="Macro",'Atividades Micro'!$K80&lt;&gt;""),'Atividades Micro'!$K80,"")</f>
        <v/>
      </c>
      <c r="CD80" s="21" t="str">
        <f>IF(AND('Atividades Micro'!$B80=CD$2,'Atividades Micro'!$G80="Micro",'Atividades Micro'!$K80&lt;&gt;""),'Atividades Micro'!$K80,"")</f>
        <v/>
      </c>
      <c r="CE80" s="21">
        <f>IF(AND('Atividades Micro'!$B80=CE$2,'Atividades Micro'!$G80="Micro",'Atividades Micro'!$K80&lt;&gt;""),'Atividades Micro'!$K80,"")</f>
        <v>46364</v>
      </c>
      <c r="CF80" s="21" t="str">
        <f>IF(AND('Atividades Micro'!$B80=CF$2,'Atividades Micro'!$G80="Micro",'Atividades Micro'!$K80&lt;&gt;""),'Atividades Micro'!$K80,"")</f>
        <v/>
      </c>
      <c r="CG80" s="21" t="str">
        <f>IF(AND('Atividades Micro'!$B80=CG$2,'Atividades Micro'!$G80="Micro",'Atividades Micro'!$K80&lt;&gt;""),'Atividades Micro'!$K80,"")</f>
        <v/>
      </c>
      <c r="CH80" s="21" t="str">
        <f>IF(AND('Atividades Micro'!$B80=CH$2,'Atividades Micro'!$G80="Micro",'Atividades Micro'!$K80&lt;&gt;""),'Atividades Micro'!$K80,"")</f>
        <v/>
      </c>
      <c r="CI80" s="21" t="str">
        <f>IF(AND('Atividades Micro'!$B80=CI$2,'Atividades Micro'!$G80="Micro",'Atividades Micro'!$K80&lt;&gt;""),'Atividades Micro'!$K80,"")</f>
        <v/>
      </c>
      <c r="CJ80" s="21" t="str">
        <f>IF(AND('Atividades Micro'!$B80=CJ$2,'Atividades Micro'!$G80="Micro",'Atividades Micro'!$K80&lt;&gt;""),'Atividades Micro'!$K80,"")</f>
        <v/>
      </c>
      <c r="CK80" s="21" t="str">
        <f>IF(AND('Atividades Micro'!$B80=CK$2,'Atividades Micro'!$G80="Micro",'Atividades Micro'!$K80&lt;&gt;""),'Atividades Micro'!$K80,"")</f>
        <v/>
      </c>
      <c r="CL80" s="21" t="str">
        <f>IF(AND('Atividades Micro'!$B80=CL$2,'Atividades Micro'!$G80="Micro",'Atividades Micro'!$K80&lt;&gt;""),'Atividades Micro'!$K80,"")</f>
        <v/>
      </c>
      <c r="CM80" s="21" t="str">
        <f>IF(AND('Atividades Micro'!$B80=CM$2,'Atividades Micro'!$G80="Micro",'Atividades Micro'!$K80&lt;&gt;""),'Atividades Micro'!$K80,"")</f>
        <v/>
      </c>
      <c r="CN80" s="21" t="str">
        <f>IF(AND('Atividades Micro'!$B80=CN$2,'Atividades Micro'!$G80="Micro",'Atividades Micro'!$K80&lt;&gt;""),'Atividades Micro'!$K80,"")</f>
        <v/>
      </c>
      <c r="CO80" s="21" t="str">
        <f>IF(AND('Atividades Micro'!$B80=CO$2,'Atividades Micro'!$G80="Micro",'Atividades Micro'!$K80&lt;&gt;""),'Atividades Micro'!$K80,"")</f>
        <v/>
      </c>
    </row>
    <row r="81" spans="1:93">
      <c r="A81" s="21" t="str">
        <f>IF(AND('Atividades Micro'!$A81=A$2,'Atividades Micro'!$K81&lt;&gt;""),'Atividades Micro'!$K81,"")</f>
        <v/>
      </c>
      <c r="B81" s="21" t="str">
        <f>IF(AND('Atividades Micro'!$A81=B$2,'Atividades Micro'!$L81&lt;&gt;""),'Atividades Micro'!$L81,"")</f>
        <v/>
      </c>
      <c r="C81" s="21" t="str">
        <f>IF(AND('Atividades Micro'!$A81=C$2,'Atividades Micro'!$K81&lt;&gt;""),'Atividades Micro'!$K81,"")</f>
        <v/>
      </c>
      <c r="D81" s="21" t="str">
        <f>IF(AND('Atividades Micro'!$A81=D$2,'Atividades Micro'!$L81&lt;&gt;""),'Atividades Micro'!$L81,"")</f>
        <v/>
      </c>
      <c r="E81" s="21" t="str">
        <f>IF(AND('Atividades Micro'!$A81=E$2,'Atividades Micro'!$K81&lt;&gt;""),'Atividades Micro'!$K81,"")</f>
        <v/>
      </c>
      <c r="F81" s="21" t="str">
        <f>IF(AND('Atividades Micro'!$A81=F$2,'Atividades Micro'!$L81&lt;&gt;""),'Atividades Micro'!$L81,"")</f>
        <v/>
      </c>
      <c r="G81" s="21" t="str">
        <f>IF(AND('Atividades Micro'!$A81=G$2,'Atividades Micro'!$K81&lt;&gt;""),'Atividades Micro'!$K81,"")</f>
        <v/>
      </c>
      <c r="H81" s="21" t="str">
        <f>IF(AND('Atividades Micro'!$A81=H$2,'Atividades Micro'!$L81&lt;&gt;""),'Atividades Micro'!$L81,"")</f>
        <v/>
      </c>
      <c r="I81" s="21">
        <f>IF(AND('Atividades Micro'!$A81=I$2,'Atividades Micro'!$K81&lt;&gt;""),'Atividades Micro'!$K81,"")</f>
        <v>46365</v>
      </c>
      <c r="J81" s="21">
        <f>IF(AND('Atividades Micro'!$A81=J$2,'Atividades Micro'!$L81&lt;&gt;""),'Atividades Micro'!$L81,"")</f>
        <v>46293</v>
      </c>
      <c r="K81" s="21" t="str">
        <f>IF(AND('Atividades Micro'!$B81=K$2,'Atividades Micro'!$K81&lt;&gt;""),'Atividades Micro'!$K81,"")</f>
        <v/>
      </c>
      <c r="L81" s="21" t="str">
        <f>IF(AND('Atividades Micro'!$B81=L$2,'Atividades Micro'!$L81&lt;&gt;""),'Atividades Micro'!$L81,"")</f>
        <v/>
      </c>
      <c r="M81" s="21">
        <f>IF(AND('Atividades Micro'!$B81=M$2,'Atividades Micro'!$K81&lt;&gt;""),'Atividades Micro'!$K81,"")</f>
        <v>46365</v>
      </c>
      <c r="N81" s="21">
        <f>IF(AND('Atividades Micro'!$B81=N$2,'Atividades Micro'!$L81&lt;&gt;""),'Atividades Micro'!$L81,"")</f>
        <v>46293</v>
      </c>
      <c r="O81" s="21" t="str">
        <f>IF(AND('Atividades Micro'!$A81=O$2,'Atividades Micro'!$K81&lt;&gt;""),'Atividades Micro'!$K81,"")</f>
        <v/>
      </c>
      <c r="P81" s="21" t="str">
        <f>IF(AND('Atividades Micro'!$A81=P$2,'Atividades Micro'!$L81&lt;&gt;""),'Atividades Micro'!$L81,"")</f>
        <v/>
      </c>
      <c r="Q81" s="21" t="str">
        <f>IF(AND('Atividades Micro'!$B81=Q$2,'Atividades Micro'!$K81&lt;&gt;""),'Atividades Micro'!$K81,"")</f>
        <v/>
      </c>
      <c r="R81" s="21" t="str">
        <f>IF(AND('Atividades Micro'!$B81=R$2,'Atividades Micro'!$L81&lt;&gt;""),'Atividades Micro'!$L81,"")</f>
        <v/>
      </c>
      <c r="S81" s="21" t="str">
        <f>IF(AND('Atividades Micro'!$A81=S$2,'Atividades Micro'!$K81&lt;&gt;""),'Atividades Micro'!$K81,"")</f>
        <v/>
      </c>
      <c r="T81" s="21" t="str">
        <f>IF(AND('Atividades Micro'!$A81=T$2,'Atividades Micro'!$L81&lt;&gt;""),'Atividades Micro'!$L81,"")</f>
        <v/>
      </c>
      <c r="U81" s="21" t="str">
        <f>IF(AND('Atividades Micro'!$B81=U$2,'Atividades Micro'!$K81&lt;&gt;""),'Atividades Micro'!$K81,"")</f>
        <v/>
      </c>
      <c r="V81" s="21" t="str">
        <f>IF(AND('Atividades Micro'!$B81=V$2,'Atividades Micro'!$L81&lt;&gt;""),'Atividades Micro'!$L81,"")</f>
        <v/>
      </c>
      <c r="W81" s="21" t="str">
        <f>IF(AND('Atividades Micro'!$B81=W$2,'Atividades Micro'!$K81&lt;&gt;""),'Atividades Micro'!$K81,"")</f>
        <v/>
      </c>
      <c r="X81" s="21" t="str">
        <f>IF(AND('Atividades Micro'!$B81=X$2,'Atividades Micro'!$L81&lt;&gt;""),'Atividades Micro'!$L81,"")</f>
        <v/>
      </c>
      <c r="Y81" s="21" t="str">
        <f>IF(AND('Atividades Micro'!$A81=Y$2,'Atividades Micro'!$K81&lt;&gt;""),'Atividades Micro'!$K81,"")</f>
        <v/>
      </c>
      <c r="Z81" s="21" t="str">
        <f>IF(AND('Atividades Micro'!$A81=Z$2,'Atividades Micro'!$L81&lt;&gt;""),'Atividades Micro'!$L81,"")</f>
        <v/>
      </c>
      <c r="AA81" s="21" t="str">
        <f>IF(AND('Atividades Micro'!$B81=AA$2,'Atividades Micro'!$K81&lt;&gt;""),'Atividades Micro'!$K81,"")</f>
        <v/>
      </c>
      <c r="AB81" s="21" t="str">
        <f>IF(AND('Atividades Micro'!$B81=AB$2,'Atividades Micro'!$L81&lt;&gt;""),'Atividades Micro'!$L81,"")</f>
        <v/>
      </c>
      <c r="AC81" s="21" t="str">
        <f>IF(AND('Atividades Micro'!$B81=AC$2,'Atividades Micro'!$K81&lt;&gt;""),'Atividades Micro'!$K81,"")</f>
        <v/>
      </c>
      <c r="AD81" s="21" t="str">
        <f>IF(AND('Atividades Micro'!$B81=AD$2,'Atividades Micro'!$L81&lt;&gt;""),'Atividades Micro'!$L81,"")</f>
        <v/>
      </c>
      <c r="AE81" s="21" t="str">
        <f>IF(AND('Atividades Micro'!$A81=AE$2,'Atividades Micro'!$K81&lt;&gt;""),'Atividades Micro'!$K81,"")</f>
        <v/>
      </c>
      <c r="AF81" s="21" t="str">
        <f>IF(AND('Atividades Micro'!$A81=AF$2,'Atividades Micro'!$L81&lt;&gt;""),'Atividades Micro'!$L81,"")</f>
        <v/>
      </c>
      <c r="AG81" s="21" t="str">
        <f>IF(AND('Atividades Micro'!$B81=AG$2,'Atividades Micro'!$K81&lt;&gt;""),'Atividades Micro'!$K81,"")</f>
        <v/>
      </c>
      <c r="AH81" s="21" t="str">
        <f>IF(AND('Atividades Micro'!$B81=AH$2,'Atividades Micro'!$L81&lt;&gt;""),'Atividades Micro'!$L81,"")</f>
        <v/>
      </c>
      <c r="AI81" s="21" t="str">
        <f>IF(AND('Atividades Micro'!$B81=AI$2,'Atividades Micro'!$K81&lt;&gt;""),'Atividades Micro'!$K81,"")</f>
        <v/>
      </c>
      <c r="AJ81" s="21" t="str">
        <f>IF(AND('Atividades Micro'!$B81=AJ$2,'Atividades Micro'!$L81&lt;&gt;""),'Atividades Micro'!$L81,"")</f>
        <v/>
      </c>
      <c r="AK81" s="21" t="str">
        <f>IF(AND('Atividades Micro'!$A81=AK$2,'Atividades Micro'!$K81&lt;&gt;""),'Atividades Micro'!$K81,"")</f>
        <v/>
      </c>
      <c r="AL81" s="21" t="str">
        <f>IF(AND('Atividades Micro'!$A81=AL$2,'Atividades Micro'!$L81&lt;&gt;""),'Atividades Micro'!$L81,"")</f>
        <v/>
      </c>
      <c r="AM81" s="21" t="str">
        <f>IF(AND('Atividades Micro'!$B81=AM$2,'Atividades Micro'!$K81&lt;&gt;""),'Atividades Micro'!$K81,"")</f>
        <v/>
      </c>
      <c r="AN81" s="21" t="str">
        <f>IF(AND('Atividades Micro'!$B81=AN$2,'Atividades Micro'!$L81&lt;&gt;""),'Atividades Micro'!$L81,"")</f>
        <v/>
      </c>
      <c r="AO81" s="21" t="str">
        <f>IF(AND('Atividades Micro'!$B81=AO$2,'Atividades Micro'!$K81&lt;&gt;""),'Atividades Micro'!$K81,"")</f>
        <v/>
      </c>
      <c r="AP81" s="21" t="str">
        <f>IF(AND('Atividades Micro'!$B81=AP$2,'Atividades Micro'!$L81&lt;&gt;""),'Atividades Micro'!$L81,"")</f>
        <v/>
      </c>
      <c r="AQ81" s="21" t="str">
        <f>IF(AND('Atividades Micro'!$A81=AQ$2,'Atividades Micro'!$K81&lt;&gt;""),'Atividades Micro'!$K81,"")</f>
        <v/>
      </c>
      <c r="AR81" s="21" t="str">
        <f>IF(AND('Atividades Micro'!$A81=AR$2,'Atividades Micro'!$L81&lt;&gt;""),'Atividades Micro'!$L81,"")</f>
        <v/>
      </c>
      <c r="AS81" s="21" t="str">
        <f>IF(AND('Atividades Micro'!$B81=AS$2,'Atividades Micro'!$K81&lt;&gt;""),'Atividades Micro'!$K81,"")</f>
        <v/>
      </c>
      <c r="AT81" s="21" t="str">
        <f>IF(AND('Atividades Micro'!$B81=AT$2,'Atividades Micro'!$L81&lt;&gt;""),'Atividades Micro'!$L81,"")</f>
        <v/>
      </c>
      <c r="AU81" s="21" t="str">
        <f>IF(AND('Atividades Micro'!$A81=AU$2,'Atividades Micro'!$K81&lt;&gt;""),'Atividades Micro'!$K81,"")</f>
        <v/>
      </c>
      <c r="AV81" s="21" t="str">
        <f>IF(AND('Atividades Micro'!$A81=AV$2,'Atividades Micro'!$L81&lt;&gt;""),'Atividades Micro'!$L81,"")</f>
        <v/>
      </c>
      <c r="AW81" s="21" t="str">
        <f>IF(AND('Atividades Micro'!$B81=AW$2,'Atividades Micro'!$K81&lt;&gt;""),'Atividades Micro'!$K81,"")</f>
        <v/>
      </c>
      <c r="AX81" s="21" t="str">
        <f>IF(AND('Atividades Micro'!$B81=AX$2,'Atividades Micro'!$L81&lt;&gt;""),'Atividades Micro'!$L81,"")</f>
        <v/>
      </c>
      <c r="AY81" s="21" t="str">
        <f>IF(AND('Atividades Micro'!$A81=AY$2,'Atividades Micro'!$K81&lt;&gt;""),'Atividades Micro'!$K81,"")</f>
        <v/>
      </c>
      <c r="AZ81" s="21" t="str">
        <f>IF(AND('Atividades Micro'!$A81=AZ$2,'Atividades Micro'!$L81&lt;&gt;""),'Atividades Micro'!$L81,"")</f>
        <v/>
      </c>
      <c r="BA81" s="21" t="str">
        <f>IF(AND('Atividades Micro'!$B81=BA$2,'Atividades Micro'!$K81&lt;&gt;""),'Atividades Micro'!$K81,"")</f>
        <v/>
      </c>
      <c r="BB81" s="21" t="str">
        <f>IF(AND('Atividades Micro'!$B81=BB$2,'Atividades Micro'!$L81&lt;&gt;""),'Atividades Micro'!$L81,"")</f>
        <v/>
      </c>
      <c r="BC81" s="21" t="str">
        <f>IF(AND('Atividades Micro'!$B81=BC$2,'Atividades Micro'!$G81="Macro",'Atividades Micro'!$K81&lt;&gt;""),'Atividades Micro'!$K81,"")</f>
        <v/>
      </c>
      <c r="BD81" s="21" t="str">
        <f>IF(AND('Atividades Micro'!$B81=BD$2,'Atividades Micro'!$G81="Macro",'Atividades Micro'!$K81&lt;&gt;""),'Atividades Micro'!$K81,"")</f>
        <v/>
      </c>
      <c r="BE81" s="21" t="str">
        <f>IF(AND('Atividades Micro'!$B81=BE$2,'Atividades Micro'!$G81="Macro",'Atividades Micro'!$K81&lt;&gt;""),'Atividades Micro'!$K81,"")</f>
        <v/>
      </c>
      <c r="BF81" s="21" t="str">
        <f>IF(AND('Atividades Micro'!$B81=BF$2,'Atividades Micro'!$G81="Macro",'Atividades Micro'!$K81&lt;&gt;""),'Atividades Micro'!$K81,"")</f>
        <v/>
      </c>
      <c r="BG81" s="21" t="str">
        <f>IF(AND('Atividades Micro'!$B81=BG$2,'Atividades Micro'!$G81="Macro",'Atividades Micro'!$K81&lt;&gt;""),'Atividades Micro'!$K81,"")</f>
        <v/>
      </c>
      <c r="BH81" s="21" t="str">
        <f>IF(AND('Atividades Micro'!$B81=BH$2,'Atividades Micro'!$G81="Macro",'Atividades Micro'!$K81&lt;&gt;""),'Atividades Micro'!$K81,"")</f>
        <v/>
      </c>
      <c r="BI81" s="21" t="str">
        <f>IF(AND('Atividades Micro'!$B81=BI$2,'Atividades Micro'!$G81="Macro",'Atividades Micro'!$K81&lt;&gt;""),'Atividades Micro'!$K81,"")</f>
        <v/>
      </c>
      <c r="BJ81" s="21" t="str">
        <f>IF(AND('Atividades Micro'!$B81=BJ$2,'Atividades Micro'!$G81="Macro",'Atividades Micro'!$K81&lt;&gt;""),'Atividades Micro'!$K81,"")</f>
        <v/>
      </c>
      <c r="BK81" s="21" t="str">
        <f>IF(AND('Atividades Micro'!$B81=BK$2,'Atividades Micro'!$G81="Macro",'Atividades Micro'!$K81&lt;&gt;""),'Atividades Micro'!$K81,"")</f>
        <v/>
      </c>
      <c r="BL81" s="21" t="str">
        <f>IF(AND('Atividades Micro'!$B81=BL$2,'Atividades Micro'!$G81="Macro",'Atividades Micro'!$K81&lt;&gt;""),'Atividades Micro'!$K81,"")</f>
        <v/>
      </c>
      <c r="BM81" s="21" t="str">
        <f>IF(AND('Atividades Micro'!$B81=BM$2,'Atividades Micro'!$G81="Macro",'Atividades Micro'!$K81&lt;&gt;""),'Atividades Micro'!$K81,"")</f>
        <v/>
      </c>
      <c r="BN81" s="21" t="str">
        <f>IF(AND('Atividades Micro'!$B81=BN$2,'Atividades Micro'!$G81="Macro",'Atividades Micro'!$K81&lt;&gt;""),'Atividades Micro'!$K81,"")</f>
        <v/>
      </c>
      <c r="BO81" s="21" t="str">
        <f>IF(AND('Atividades Micro'!$B81=BO$2,'Atividades Micro'!$G81="Macro",'Atividades Micro'!$K81&lt;&gt;""),'Atividades Micro'!$K81,"")</f>
        <v/>
      </c>
      <c r="BP81" s="21" t="str">
        <f>IF(AND('Atividades Micro'!$B81=BP$2,'Atividades Micro'!$G81="Macro",'Atividades Micro'!$K81&lt;&gt;""),'Atividades Micro'!$K81,"")</f>
        <v/>
      </c>
      <c r="BQ81" s="21" t="str">
        <f>IF(AND('Atividades Micro'!$B81=BQ$2,'Atividades Micro'!$G81="Macro",'Atividades Micro'!$K81&lt;&gt;""),'Atividades Micro'!$K81,"")</f>
        <v/>
      </c>
      <c r="BR81" s="21" t="str">
        <f>IF(AND('Atividades Micro'!$B81=BR$2,'Atividades Micro'!$G81="Macro",'Atividades Micro'!$K81&lt;&gt;""),'Atividades Micro'!$K81,"")</f>
        <v/>
      </c>
      <c r="BS81" s="21" t="str">
        <f>IF(AND('Atividades Micro'!$B81=BS$2,'Atividades Micro'!$G81="Macro",'Atividades Micro'!$K81&lt;&gt;""),'Atividades Micro'!$K81,"")</f>
        <v/>
      </c>
      <c r="BT81" s="21" t="str">
        <f>IF(AND('Atividades Micro'!$B81=BT$2,'Atividades Micro'!$G81="Macro",'Atividades Micro'!$K81&lt;&gt;""),'Atividades Micro'!$K81,"")</f>
        <v/>
      </c>
      <c r="BU81" s="21" t="str">
        <f>IF(AND('Atividades Micro'!$B81=BU$2,'Atividades Micro'!$G81="Macro",'Atividades Micro'!$K81&lt;&gt;""),'Atividades Micro'!$K81,"")</f>
        <v/>
      </c>
      <c r="BV81" s="21" t="str">
        <f>IF(AND('Atividades Micro'!$B81=BV$2,'Atividades Micro'!$G81="Macro",'Atividades Micro'!$K81&lt;&gt;""),'Atividades Micro'!$K81,"")</f>
        <v/>
      </c>
      <c r="BW81" s="21" t="str">
        <f>IF(AND('Atividades Micro'!$B81=BW$2,'Atividades Micro'!$G81="Macro",'Atividades Micro'!$K81&lt;&gt;""),'Atividades Micro'!$K81,"")</f>
        <v/>
      </c>
      <c r="BX81" s="21" t="str">
        <f>IF(AND('Atividades Micro'!$B81=BX$2,'Atividades Micro'!$G81="Macro",'Atividades Micro'!$K81&lt;&gt;""),'Atividades Micro'!$K81,"")</f>
        <v/>
      </c>
      <c r="BY81" s="21" t="str">
        <f>IF(AND('Atividades Micro'!$B81=BY$2,'Atividades Micro'!$G81="Macro",'Atividades Micro'!$K81&lt;&gt;""),'Atividades Micro'!$K81,"")</f>
        <v/>
      </c>
      <c r="BZ81" s="21" t="str">
        <f>IF(AND('Atividades Micro'!$B81=BZ$2,'Atividades Micro'!$G81="Macro",'Atividades Micro'!$K81&lt;&gt;""),'Atividades Micro'!$K81,"")</f>
        <v/>
      </c>
      <c r="CA81" s="21" t="str">
        <f>IF(AND('Atividades Micro'!$B81=CA$2,'Atividades Micro'!$G81="Macro",'Atividades Micro'!$K81&lt;&gt;""),'Atividades Micro'!$K81,"")</f>
        <v/>
      </c>
      <c r="CB81" s="21" t="str">
        <f>IF(AND('Atividades Micro'!$B81=CB$2,'Atividades Micro'!$G81="Macro",'Atividades Micro'!$K81&lt;&gt;""),'Atividades Micro'!$K81,"")</f>
        <v/>
      </c>
      <c r="CC81" s="21" t="str">
        <f>IF(AND('Atividades Micro'!$B81=CC$2,'Atividades Micro'!$G81="Macro",'Atividades Micro'!$K81&lt;&gt;""),'Atividades Micro'!$K81,"")</f>
        <v/>
      </c>
      <c r="CD81" s="21" t="str">
        <f>IF(AND('Atividades Micro'!$B81=CD$2,'Atividades Micro'!$G81="Micro",'Atividades Micro'!$K81&lt;&gt;""),'Atividades Micro'!$K81,"")</f>
        <v/>
      </c>
      <c r="CE81" s="21">
        <f>IF(AND('Atividades Micro'!$B81=CE$2,'Atividades Micro'!$G81="Micro",'Atividades Micro'!$K81&lt;&gt;""),'Atividades Micro'!$K81,"")</f>
        <v>46365</v>
      </c>
      <c r="CF81" s="21" t="str">
        <f>IF(AND('Atividades Micro'!$B81=CF$2,'Atividades Micro'!$G81="Micro",'Atividades Micro'!$K81&lt;&gt;""),'Atividades Micro'!$K81,"")</f>
        <v/>
      </c>
      <c r="CG81" s="21" t="str">
        <f>IF(AND('Atividades Micro'!$B81=CG$2,'Atividades Micro'!$G81="Micro",'Atividades Micro'!$K81&lt;&gt;""),'Atividades Micro'!$K81,"")</f>
        <v/>
      </c>
      <c r="CH81" s="21" t="str">
        <f>IF(AND('Atividades Micro'!$B81=CH$2,'Atividades Micro'!$G81="Micro",'Atividades Micro'!$K81&lt;&gt;""),'Atividades Micro'!$K81,"")</f>
        <v/>
      </c>
      <c r="CI81" s="21" t="str">
        <f>IF(AND('Atividades Micro'!$B81=CI$2,'Atividades Micro'!$G81="Micro",'Atividades Micro'!$K81&lt;&gt;""),'Atividades Micro'!$K81,"")</f>
        <v/>
      </c>
      <c r="CJ81" s="21" t="str">
        <f>IF(AND('Atividades Micro'!$B81=CJ$2,'Atividades Micro'!$G81="Micro",'Atividades Micro'!$K81&lt;&gt;""),'Atividades Micro'!$K81,"")</f>
        <v/>
      </c>
      <c r="CK81" s="21" t="str">
        <f>IF(AND('Atividades Micro'!$B81=CK$2,'Atividades Micro'!$G81="Micro",'Atividades Micro'!$K81&lt;&gt;""),'Atividades Micro'!$K81,"")</f>
        <v/>
      </c>
      <c r="CL81" s="21" t="str">
        <f>IF(AND('Atividades Micro'!$B81=CL$2,'Atividades Micro'!$G81="Micro",'Atividades Micro'!$K81&lt;&gt;""),'Atividades Micro'!$K81,"")</f>
        <v/>
      </c>
      <c r="CM81" s="21" t="str">
        <f>IF(AND('Atividades Micro'!$B81=CM$2,'Atividades Micro'!$G81="Micro",'Atividades Micro'!$K81&lt;&gt;""),'Atividades Micro'!$K81,"")</f>
        <v/>
      </c>
      <c r="CN81" s="21" t="str">
        <f>IF(AND('Atividades Micro'!$B81=CN$2,'Atividades Micro'!$G81="Micro",'Atividades Micro'!$K81&lt;&gt;""),'Atividades Micro'!$K81,"")</f>
        <v/>
      </c>
      <c r="CO81" s="21" t="str">
        <f>IF(AND('Atividades Micro'!$B81=CO$2,'Atividades Micro'!$G81="Micro",'Atividades Micro'!$K81&lt;&gt;""),'Atividades Micro'!$K81,"")</f>
        <v/>
      </c>
    </row>
    <row r="82" spans="1:93">
      <c r="A82" s="21" t="str">
        <f>IF(AND('Atividades Micro'!$A82=A$2,'Atividades Micro'!$K82&lt;&gt;""),'Atividades Micro'!$K82,"")</f>
        <v/>
      </c>
      <c r="B82" s="21" t="str">
        <f>IF(AND('Atividades Micro'!$A82=B$2,'Atividades Micro'!$L82&lt;&gt;""),'Atividades Micro'!$L82,"")</f>
        <v/>
      </c>
      <c r="C82" s="21" t="str">
        <f>IF(AND('Atividades Micro'!$A82=C$2,'Atividades Micro'!$K82&lt;&gt;""),'Atividades Micro'!$K82,"")</f>
        <v/>
      </c>
      <c r="D82" s="21" t="str">
        <f>IF(AND('Atividades Micro'!$A82=D$2,'Atividades Micro'!$L82&lt;&gt;""),'Atividades Micro'!$L82,"")</f>
        <v/>
      </c>
      <c r="E82" s="21" t="str">
        <f>IF(AND('Atividades Micro'!$A82=E$2,'Atividades Micro'!$K82&lt;&gt;""),'Atividades Micro'!$K82,"")</f>
        <v/>
      </c>
      <c r="F82" s="21" t="str">
        <f>IF(AND('Atividades Micro'!$A82=F$2,'Atividades Micro'!$L82&lt;&gt;""),'Atividades Micro'!$L82,"")</f>
        <v/>
      </c>
      <c r="G82" s="21" t="str">
        <f>IF(AND('Atividades Micro'!$A82=G$2,'Atividades Micro'!$K82&lt;&gt;""),'Atividades Micro'!$K82,"")</f>
        <v/>
      </c>
      <c r="H82" s="21" t="str">
        <f>IF(AND('Atividades Micro'!$A82=H$2,'Atividades Micro'!$L82&lt;&gt;""),'Atividades Micro'!$L82,"")</f>
        <v/>
      </c>
      <c r="I82" s="21">
        <f>IF(AND('Atividades Micro'!$A82=I$2,'Atividades Micro'!$K82&lt;&gt;""),'Atividades Micro'!$K82,"")</f>
        <v>46370</v>
      </c>
      <c r="J82" s="21">
        <f>IF(AND('Atividades Micro'!$A82=J$2,'Atividades Micro'!$L82&lt;&gt;""),'Atividades Micro'!$L82,"")</f>
        <v>46301</v>
      </c>
      <c r="K82" s="21" t="str">
        <f>IF(AND('Atividades Micro'!$B82=K$2,'Atividades Micro'!$K82&lt;&gt;""),'Atividades Micro'!$K82,"")</f>
        <v/>
      </c>
      <c r="L82" s="21" t="str">
        <f>IF(AND('Atividades Micro'!$B82=L$2,'Atividades Micro'!$L82&lt;&gt;""),'Atividades Micro'!$L82,"")</f>
        <v/>
      </c>
      <c r="M82" s="21">
        <f>IF(AND('Atividades Micro'!$B82=M$2,'Atividades Micro'!$K82&lt;&gt;""),'Atividades Micro'!$K82,"")</f>
        <v>46370</v>
      </c>
      <c r="N82" s="21">
        <f>IF(AND('Atividades Micro'!$B82=N$2,'Atividades Micro'!$L82&lt;&gt;""),'Atividades Micro'!$L82,"")</f>
        <v>46301</v>
      </c>
      <c r="O82" s="21" t="str">
        <f>IF(AND('Atividades Micro'!$A82=O$2,'Atividades Micro'!$K82&lt;&gt;""),'Atividades Micro'!$K82,"")</f>
        <v/>
      </c>
      <c r="P82" s="21" t="str">
        <f>IF(AND('Atividades Micro'!$A82=P$2,'Atividades Micro'!$L82&lt;&gt;""),'Atividades Micro'!$L82,"")</f>
        <v/>
      </c>
      <c r="Q82" s="21" t="str">
        <f>IF(AND('Atividades Micro'!$B82=Q$2,'Atividades Micro'!$K82&lt;&gt;""),'Atividades Micro'!$K82,"")</f>
        <v/>
      </c>
      <c r="R82" s="21" t="str">
        <f>IF(AND('Atividades Micro'!$B82=R$2,'Atividades Micro'!$L82&lt;&gt;""),'Atividades Micro'!$L82,"")</f>
        <v/>
      </c>
      <c r="S82" s="21" t="str">
        <f>IF(AND('Atividades Micro'!$A82=S$2,'Atividades Micro'!$K82&lt;&gt;""),'Atividades Micro'!$K82,"")</f>
        <v/>
      </c>
      <c r="T82" s="21" t="str">
        <f>IF(AND('Atividades Micro'!$A82=T$2,'Atividades Micro'!$L82&lt;&gt;""),'Atividades Micro'!$L82,"")</f>
        <v/>
      </c>
      <c r="U82" s="21" t="str">
        <f>IF(AND('Atividades Micro'!$B82=U$2,'Atividades Micro'!$K82&lt;&gt;""),'Atividades Micro'!$K82,"")</f>
        <v/>
      </c>
      <c r="V82" s="21" t="str">
        <f>IF(AND('Atividades Micro'!$B82=V$2,'Atividades Micro'!$L82&lt;&gt;""),'Atividades Micro'!$L82,"")</f>
        <v/>
      </c>
      <c r="W82" s="21" t="str">
        <f>IF(AND('Atividades Micro'!$B82=W$2,'Atividades Micro'!$K82&lt;&gt;""),'Atividades Micro'!$K82,"")</f>
        <v/>
      </c>
      <c r="X82" s="21" t="str">
        <f>IF(AND('Atividades Micro'!$B82=X$2,'Atividades Micro'!$L82&lt;&gt;""),'Atividades Micro'!$L82,"")</f>
        <v/>
      </c>
      <c r="Y82" s="21" t="str">
        <f>IF(AND('Atividades Micro'!$A82=Y$2,'Atividades Micro'!$K82&lt;&gt;""),'Atividades Micro'!$K82,"")</f>
        <v/>
      </c>
      <c r="Z82" s="21" t="str">
        <f>IF(AND('Atividades Micro'!$A82=Z$2,'Atividades Micro'!$L82&lt;&gt;""),'Atividades Micro'!$L82,"")</f>
        <v/>
      </c>
      <c r="AA82" s="21" t="str">
        <f>IF(AND('Atividades Micro'!$B82=AA$2,'Atividades Micro'!$K82&lt;&gt;""),'Atividades Micro'!$K82,"")</f>
        <v/>
      </c>
      <c r="AB82" s="21" t="str">
        <f>IF(AND('Atividades Micro'!$B82=AB$2,'Atividades Micro'!$L82&lt;&gt;""),'Atividades Micro'!$L82,"")</f>
        <v/>
      </c>
      <c r="AC82" s="21" t="str">
        <f>IF(AND('Atividades Micro'!$B82=AC$2,'Atividades Micro'!$K82&lt;&gt;""),'Atividades Micro'!$K82,"")</f>
        <v/>
      </c>
      <c r="AD82" s="21" t="str">
        <f>IF(AND('Atividades Micro'!$B82=AD$2,'Atividades Micro'!$L82&lt;&gt;""),'Atividades Micro'!$L82,"")</f>
        <v/>
      </c>
      <c r="AE82" s="21" t="str">
        <f>IF(AND('Atividades Micro'!$A82=AE$2,'Atividades Micro'!$K82&lt;&gt;""),'Atividades Micro'!$K82,"")</f>
        <v/>
      </c>
      <c r="AF82" s="21" t="str">
        <f>IF(AND('Atividades Micro'!$A82=AF$2,'Atividades Micro'!$L82&lt;&gt;""),'Atividades Micro'!$L82,"")</f>
        <v/>
      </c>
      <c r="AG82" s="21" t="str">
        <f>IF(AND('Atividades Micro'!$B82=AG$2,'Atividades Micro'!$K82&lt;&gt;""),'Atividades Micro'!$K82,"")</f>
        <v/>
      </c>
      <c r="AH82" s="21" t="str">
        <f>IF(AND('Atividades Micro'!$B82=AH$2,'Atividades Micro'!$L82&lt;&gt;""),'Atividades Micro'!$L82,"")</f>
        <v/>
      </c>
      <c r="AI82" s="21" t="str">
        <f>IF(AND('Atividades Micro'!$B82=AI$2,'Atividades Micro'!$K82&lt;&gt;""),'Atividades Micro'!$K82,"")</f>
        <v/>
      </c>
      <c r="AJ82" s="21" t="str">
        <f>IF(AND('Atividades Micro'!$B82=AJ$2,'Atividades Micro'!$L82&lt;&gt;""),'Atividades Micro'!$L82,"")</f>
        <v/>
      </c>
      <c r="AK82" s="21" t="str">
        <f>IF(AND('Atividades Micro'!$A82=AK$2,'Atividades Micro'!$K82&lt;&gt;""),'Atividades Micro'!$K82,"")</f>
        <v/>
      </c>
      <c r="AL82" s="21" t="str">
        <f>IF(AND('Atividades Micro'!$A82=AL$2,'Atividades Micro'!$L82&lt;&gt;""),'Atividades Micro'!$L82,"")</f>
        <v/>
      </c>
      <c r="AM82" s="21" t="str">
        <f>IF(AND('Atividades Micro'!$B82=AM$2,'Atividades Micro'!$K82&lt;&gt;""),'Atividades Micro'!$K82,"")</f>
        <v/>
      </c>
      <c r="AN82" s="21" t="str">
        <f>IF(AND('Atividades Micro'!$B82=AN$2,'Atividades Micro'!$L82&lt;&gt;""),'Atividades Micro'!$L82,"")</f>
        <v/>
      </c>
      <c r="AO82" s="21" t="str">
        <f>IF(AND('Atividades Micro'!$B82=AO$2,'Atividades Micro'!$K82&lt;&gt;""),'Atividades Micro'!$K82,"")</f>
        <v/>
      </c>
      <c r="AP82" s="21" t="str">
        <f>IF(AND('Atividades Micro'!$B82=AP$2,'Atividades Micro'!$L82&lt;&gt;""),'Atividades Micro'!$L82,"")</f>
        <v/>
      </c>
      <c r="AQ82" s="21" t="str">
        <f>IF(AND('Atividades Micro'!$A82=AQ$2,'Atividades Micro'!$K82&lt;&gt;""),'Atividades Micro'!$K82,"")</f>
        <v/>
      </c>
      <c r="AR82" s="21" t="str">
        <f>IF(AND('Atividades Micro'!$A82=AR$2,'Atividades Micro'!$L82&lt;&gt;""),'Atividades Micro'!$L82,"")</f>
        <v/>
      </c>
      <c r="AS82" s="21" t="str">
        <f>IF(AND('Atividades Micro'!$B82=AS$2,'Atividades Micro'!$K82&lt;&gt;""),'Atividades Micro'!$K82,"")</f>
        <v/>
      </c>
      <c r="AT82" s="21" t="str">
        <f>IF(AND('Atividades Micro'!$B82=AT$2,'Atividades Micro'!$L82&lt;&gt;""),'Atividades Micro'!$L82,"")</f>
        <v/>
      </c>
      <c r="AU82" s="21" t="str">
        <f>IF(AND('Atividades Micro'!$A82=AU$2,'Atividades Micro'!$K82&lt;&gt;""),'Atividades Micro'!$K82,"")</f>
        <v/>
      </c>
      <c r="AV82" s="21" t="str">
        <f>IF(AND('Atividades Micro'!$A82=AV$2,'Atividades Micro'!$L82&lt;&gt;""),'Atividades Micro'!$L82,"")</f>
        <v/>
      </c>
      <c r="AW82" s="21" t="str">
        <f>IF(AND('Atividades Micro'!$B82=AW$2,'Atividades Micro'!$K82&lt;&gt;""),'Atividades Micro'!$K82,"")</f>
        <v/>
      </c>
      <c r="AX82" s="21" t="str">
        <f>IF(AND('Atividades Micro'!$B82=AX$2,'Atividades Micro'!$L82&lt;&gt;""),'Atividades Micro'!$L82,"")</f>
        <v/>
      </c>
      <c r="AY82" s="21" t="str">
        <f>IF(AND('Atividades Micro'!$A82=AY$2,'Atividades Micro'!$K82&lt;&gt;""),'Atividades Micro'!$K82,"")</f>
        <v/>
      </c>
      <c r="AZ82" s="21" t="str">
        <f>IF(AND('Atividades Micro'!$A82=AZ$2,'Atividades Micro'!$L82&lt;&gt;""),'Atividades Micro'!$L82,"")</f>
        <v/>
      </c>
      <c r="BA82" s="21" t="str">
        <f>IF(AND('Atividades Micro'!$B82=BA$2,'Atividades Micro'!$K82&lt;&gt;""),'Atividades Micro'!$K82,"")</f>
        <v/>
      </c>
      <c r="BB82" s="21" t="str">
        <f>IF(AND('Atividades Micro'!$B82=BB$2,'Atividades Micro'!$L82&lt;&gt;""),'Atividades Micro'!$L82,"")</f>
        <v/>
      </c>
      <c r="BC82" s="21" t="str">
        <f>IF(AND('Atividades Micro'!$B82=BC$2,'Atividades Micro'!$G82="Macro",'Atividades Micro'!$K82&lt;&gt;""),'Atividades Micro'!$K82,"")</f>
        <v/>
      </c>
      <c r="BD82" s="21" t="str">
        <f>IF(AND('Atividades Micro'!$B82=BD$2,'Atividades Micro'!$G82="Macro",'Atividades Micro'!$K82&lt;&gt;""),'Atividades Micro'!$K82,"")</f>
        <v/>
      </c>
      <c r="BE82" s="21" t="str">
        <f>IF(AND('Atividades Micro'!$B82=BE$2,'Atividades Micro'!$G82="Macro",'Atividades Micro'!$K82&lt;&gt;""),'Atividades Micro'!$K82,"")</f>
        <v/>
      </c>
      <c r="BF82" s="21" t="str">
        <f>IF(AND('Atividades Micro'!$B82=BF$2,'Atividades Micro'!$G82="Macro",'Atividades Micro'!$K82&lt;&gt;""),'Atividades Micro'!$K82,"")</f>
        <v/>
      </c>
      <c r="BG82" s="21" t="str">
        <f>IF(AND('Atividades Micro'!$B82=BG$2,'Atividades Micro'!$G82="Macro",'Atividades Micro'!$K82&lt;&gt;""),'Atividades Micro'!$K82,"")</f>
        <v/>
      </c>
      <c r="BH82" s="21" t="str">
        <f>IF(AND('Atividades Micro'!$B82=BH$2,'Atividades Micro'!$G82="Macro",'Atividades Micro'!$K82&lt;&gt;""),'Atividades Micro'!$K82,"")</f>
        <v/>
      </c>
      <c r="BI82" s="21" t="str">
        <f>IF(AND('Atividades Micro'!$B82=BI$2,'Atividades Micro'!$G82="Macro",'Atividades Micro'!$K82&lt;&gt;""),'Atividades Micro'!$K82,"")</f>
        <v/>
      </c>
      <c r="BJ82" s="21" t="str">
        <f>IF(AND('Atividades Micro'!$B82=BJ$2,'Atividades Micro'!$G82="Macro",'Atividades Micro'!$K82&lt;&gt;""),'Atividades Micro'!$K82,"")</f>
        <v/>
      </c>
      <c r="BK82" s="21" t="str">
        <f>IF(AND('Atividades Micro'!$B82=BK$2,'Atividades Micro'!$G82="Macro",'Atividades Micro'!$K82&lt;&gt;""),'Atividades Micro'!$K82,"")</f>
        <v/>
      </c>
      <c r="BL82" s="21" t="str">
        <f>IF(AND('Atividades Micro'!$B82=BL$2,'Atividades Micro'!$G82="Macro",'Atividades Micro'!$K82&lt;&gt;""),'Atividades Micro'!$K82,"")</f>
        <v/>
      </c>
      <c r="BM82" s="21" t="str">
        <f>IF(AND('Atividades Micro'!$B82=BM$2,'Atividades Micro'!$G82="Macro",'Atividades Micro'!$K82&lt;&gt;""),'Atividades Micro'!$K82,"")</f>
        <v/>
      </c>
      <c r="BN82" s="21" t="str">
        <f>IF(AND('Atividades Micro'!$B82=BN$2,'Atividades Micro'!$G82="Macro",'Atividades Micro'!$K82&lt;&gt;""),'Atividades Micro'!$K82,"")</f>
        <v/>
      </c>
      <c r="BO82" s="21" t="str">
        <f>IF(AND('Atividades Micro'!$B82=BO$2,'Atividades Micro'!$G82="Macro",'Atividades Micro'!$K82&lt;&gt;""),'Atividades Micro'!$K82,"")</f>
        <v/>
      </c>
      <c r="BP82" s="21" t="str">
        <f>IF(AND('Atividades Micro'!$B82=BP$2,'Atividades Micro'!$G82="Macro",'Atividades Micro'!$K82&lt;&gt;""),'Atividades Micro'!$K82,"")</f>
        <v/>
      </c>
      <c r="BQ82" s="21" t="str">
        <f>IF(AND('Atividades Micro'!$B82=BQ$2,'Atividades Micro'!$G82="Macro",'Atividades Micro'!$K82&lt;&gt;""),'Atividades Micro'!$K82,"")</f>
        <v/>
      </c>
      <c r="BR82" s="21" t="str">
        <f>IF(AND('Atividades Micro'!$B82=BR$2,'Atividades Micro'!$G82="Macro",'Atividades Micro'!$K82&lt;&gt;""),'Atividades Micro'!$K82,"")</f>
        <v/>
      </c>
      <c r="BS82" s="21" t="str">
        <f>IF(AND('Atividades Micro'!$B82=BS$2,'Atividades Micro'!$G82="Macro",'Atividades Micro'!$K82&lt;&gt;""),'Atividades Micro'!$K82,"")</f>
        <v/>
      </c>
      <c r="BT82" s="21" t="str">
        <f>IF(AND('Atividades Micro'!$B82=BT$2,'Atividades Micro'!$G82="Macro",'Atividades Micro'!$K82&lt;&gt;""),'Atividades Micro'!$K82,"")</f>
        <v/>
      </c>
      <c r="BU82" s="21" t="str">
        <f>IF(AND('Atividades Micro'!$B82=BU$2,'Atividades Micro'!$G82="Macro",'Atividades Micro'!$K82&lt;&gt;""),'Atividades Micro'!$K82,"")</f>
        <v/>
      </c>
      <c r="BV82" s="21" t="str">
        <f>IF(AND('Atividades Micro'!$B82=BV$2,'Atividades Micro'!$G82="Macro",'Atividades Micro'!$K82&lt;&gt;""),'Atividades Micro'!$K82,"")</f>
        <v/>
      </c>
      <c r="BW82" s="21" t="str">
        <f>IF(AND('Atividades Micro'!$B82=BW$2,'Atividades Micro'!$G82="Macro",'Atividades Micro'!$K82&lt;&gt;""),'Atividades Micro'!$K82,"")</f>
        <v/>
      </c>
      <c r="BX82" s="21" t="str">
        <f>IF(AND('Atividades Micro'!$B82=BX$2,'Atividades Micro'!$G82="Macro",'Atividades Micro'!$K82&lt;&gt;""),'Atividades Micro'!$K82,"")</f>
        <v/>
      </c>
      <c r="BY82" s="21" t="str">
        <f>IF(AND('Atividades Micro'!$B82=BY$2,'Atividades Micro'!$G82="Macro",'Atividades Micro'!$K82&lt;&gt;""),'Atividades Micro'!$K82,"")</f>
        <v/>
      </c>
      <c r="BZ82" s="21" t="str">
        <f>IF(AND('Atividades Micro'!$B82=BZ$2,'Atividades Micro'!$G82="Macro",'Atividades Micro'!$K82&lt;&gt;""),'Atividades Micro'!$K82,"")</f>
        <v/>
      </c>
      <c r="CA82" s="21" t="str">
        <f>IF(AND('Atividades Micro'!$B82=CA$2,'Atividades Micro'!$G82="Macro",'Atividades Micro'!$K82&lt;&gt;""),'Atividades Micro'!$K82,"")</f>
        <v/>
      </c>
      <c r="CB82" s="21" t="str">
        <f>IF(AND('Atividades Micro'!$B82=CB$2,'Atividades Micro'!$G82="Macro",'Atividades Micro'!$K82&lt;&gt;""),'Atividades Micro'!$K82,"")</f>
        <v/>
      </c>
      <c r="CC82" s="21" t="str">
        <f>IF(AND('Atividades Micro'!$B82=CC$2,'Atividades Micro'!$G82="Macro",'Atividades Micro'!$K82&lt;&gt;""),'Atividades Micro'!$K82,"")</f>
        <v/>
      </c>
      <c r="CD82" s="21" t="str">
        <f>IF(AND('Atividades Micro'!$B82=CD$2,'Atividades Micro'!$G82="Micro",'Atividades Micro'!$K82&lt;&gt;""),'Atividades Micro'!$K82,"")</f>
        <v/>
      </c>
      <c r="CE82" s="21">
        <f>IF(AND('Atividades Micro'!$B82=CE$2,'Atividades Micro'!$G82="Micro",'Atividades Micro'!$K82&lt;&gt;""),'Atividades Micro'!$K82,"")</f>
        <v>46370</v>
      </c>
      <c r="CF82" s="21" t="str">
        <f>IF(AND('Atividades Micro'!$B82=CF$2,'Atividades Micro'!$G82="Micro",'Atividades Micro'!$K82&lt;&gt;""),'Atividades Micro'!$K82,"")</f>
        <v/>
      </c>
      <c r="CG82" s="21" t="str">
        <f>IF(AND('Atividades Micro'!$B82=CG$2,'Atividades Micro'!$G82="Micro",'Atividades Micro'!$K82&lt;&gt;""),'Atividades Micro'!$K82,"")</f>
        <v/>
      </c>
      <c r="CH82" s="21" t="str">
        <f>IF(AND('Atividades Micro'!$B82=CH$2,'Atividades Micro'!$G82="Micro",'Atividades Micro'!$K82&lt;&gt;""),'Atividades Micro'!$K82,"")</f>
        <v/>
      </c>
      <c r="CI82" s="21" t="str">
        <f>IF(AND('Atividades Micro'!$B82=CI$2,'Atividades Micro'!$G82="Micro",'Atividades Micro'!$K82&lt;&gt;""),'Atividades Micro'!$K82,"")</f>
        <v/>
      </c>
      <c r="CJ82" s="21" t="str">
        <f>IF(AND('Atividades Micro'!$B82=CJ$2,'Atividades Micro'!$G82="Micro",'Atividades Micro'!$K82&lt;&gt;""),'Atividades Micro'!$K82,"")</f>
        <v/>
      </c>
      <c r="CK82" s="21" t="str">
        <f>IF(AND('Atividades Micro'!$B82=CK$2,'Atividades Micro'!$G82="Micro",'Atividades Micro'!$K82&lt;&gt;""),'Atividades Micro'!$K82,"")</f>
        <v/>
      </c>
      <c r="CL82" s="21" t="str">
        <f>IF(AND('Atividades Micro'!$B82=CL$2,'Atividades Micro'!$G82="Micro",'Atividades Micro'!$K82&lt;&gt;""),'Atividades Micro'!$K82,"")</f>
        <v/>
      </c>
      <c r="CM82" s="21" t="str">
        <f>IF(AND('Atividades Micro'!$B82=CM$2,'Atividades Micro'!$G82="Micro",'Atividades Micro'!$K82&lt;&gt;""),'Atividades Micro'!$K82,"")</f>
        <v/>
      </c>
      <c r="CN82" s="21" t="str">
        <f>IF(AND('Atividades Micro'!$B82=CN$2,'Atividades Micro'!$G82="Micro",'Atividades Micro'!$K82&lt;&gt;""),'Atividades Micro'!$K82,"")</f>
        <v/>
      </c>
      <c r="CO82" s="21" t="str">
        <f>IF(AND('Atividades Micro'!$B82=CO$2,'Atividades Micro'!$G82="Micro",'Atividades Micro'!$K82&lt;&gt;""),'Atividades Micro'!$K82,"")</f>
        <v/>
      </c>
    </row>
    <row r="83" spans="1:93">
      <c r="A83" s="21" t="str">
        <f>IF(AND('Atividades Micro'!$A83=A$2,'Atividades Micro'!$K83&lt;&gt;""),'Atividades Micro'!$K83,"")</f>
        <v/>
      </c>
      <c r="B83" s="21" t="str">
        <f>IF(AND('Atividades Micro'!$A83=B$2,'Atividades Micro'!$L83&lt;&gt;""),'Atividades Micro'!$L83,"")</f>
        <v/>
      </c>
      <c r="C83" s="21" t="str">
        <f>IF(AND('Atividades Micro'!$A83=C$2,'Atividades Micro'!$K83&lt;&gt;""),'Atividades Micro'!$K83,"")</f>
        <v/>
      </c>
      <c r="D83" s="21" t="str">
        <f>IF(AND('Atividades Micro'!$A83=D$2,'Atividades Micro'!$L83&lt;&gt;""),'Atividades Micro'!$L83,"")</f>
        <v/>
      </c>
      <c r="E83" s="21" t="str">
        <f>IF(AND('Atividades Micro'!$A83=E$2,'Atividades Micro'!$K83&lt;&gt;""),'Atividades Micro'!$K83,"")</f>
        <v/>
      </c>
      <c r="F83" s="21" t="str">
        <f>IF(AND('Atividades Micro'!$A83=F$2,'Atividades Micro'!$L83&lt;&gt;""),'Atividades Micro'!$L83,"")</f>
        <v/>
      </c>
      <c r="G83" s="21" t="str">
        <f>IF(AND('Atividades Micro'!$A83=G$2,'Atividades Micro'!$K83&lt;&gt;""),'Atividades Micro'!$K83,"")</f>
        <v/>
      </c>
      <c r="H83" s="21" t="str">
        <f>IF(AND('Atividades Micro'!$A83=H$2,'Atividades Micro'!$L83&lt;&gt;""),'Atividades Micro'!$L83,"")</f>
        <v/>
      </c>
      <c r="I83" s="21">
        <f>IF(AND('Atividades Micro'!$A83=I$2,'Atividades Micro'!$K83&lt;&gt;""),'Atividades Micro'!$K83,"")</f>
        <v>46371</v>
      </c>
      <c r="J83" s="21">
        <f>IF(AND('Atividades Micro'!$A83=J$2,'Atividades Micro'!$L83&lt;&gt;""),'Atividades Micro'!$L83,"")</f>
        <v>46301</v>
      </c>
      <c r="K83" s="21" t="str">
        <f>IF(AND('Atividades Micro'!$B83=K$2,'Atividades Micro'!$K83&lt;&gt;""),'Atividades Micro'!$K83,"")</f>
        <v/>
      </c>
      <c r="L83" s="21" t="str">
        <f>IF(AND('Atividades Micro'!$B83=L$2,'Atividades Micro'!$L83&lt;&gt;""),'Atividades Micro'!$L83,"")</f>
        <v/>
      </c>
      <c r="M83" s="21">
        <f>IF(AND('Atividades Micro'!$B83=M$2,'Atividades Micro'!$K83&lt;&gt;""),'Atividades Micro'!$K83,"")</f>
        <v>46371</v>
      </c>
      <c r="N83" s="21">
        <f>IF(AND('Atividades Micro'!$B83=N$2,'Atividades Micro'!$L83&lt;&gt;""),'Atividades Micro'!$L83,"")</f>
        <v>46301</v>
      </c>
      <c r="O83" s="21" t="str">
        <f>IF(AND('Atividades Micro'!$A83=O$2,'Atividades Micro'!$K83&lt;&gt;""),'Atividades Micro'!$K83,"")</f>
        <v/>
      </c>
      <c r="P83" s="21" t="str">
        <f>IF(AND('Atividades Micro'!$A83=P$2,'Atividades Micro'!$L83&lt;&gt;""),'Atividades Micro'!$L83,"")</f>
        <v/>
      </c>
      <c r="Q83" s="21" t="str">
        <f>IF(AND('Atividades Micro'!$B83=Q$2,'Atividades Micro'!$K83&lt;&gt;""),'Atividades Micro'!$K83,"")</f>
        <v/>
      </c>
      <c r="R83" s="21" t="str">
        <f>IF(AND('Atividades Micro'!$B83=R$2,'Atividades Micro'!$L83&lt;&gt;""),'Atividades Micro'!$L83,"")</f>
        <v/>
      </c>
      <c r="S83" s="21" t="str">
        <f>IF(AND('Atividades Micro'!$A83=S$2,'Atividades Micro'!$K83&lt;&gt;""),'Atividades Micro'!$K83,"")</f>
        <v/>
      </c>
      <c r="T83" s="21" t="str">
        <f>IF(AND('Atividades Micro'!$A83=T$2,'Atividades Micro'!$L83&lt;&gt;""),'Atividades Micro'!$L83,"")</f>
        <v/>
      </c>
      <c r="U83" s="21" t="str">
        <f>IF(AND('Atividades Micro'!$B83=U$2,'Atividades Micro'!$K83&lt;&gt;""),'Atividades Micro'!$K83,"")</f>
        <v/>
      </c>
      <c r="V83" s="21" t="str">
        <f>IF(AND('Atividades Micro'!$B83=V$2,'Atividades Micro'!$L83&lt;&gt;""),'Atividades Micro'!$L83,"")</f>
        <v/>
      </c>
      <c r="W83" s="21" t="str">
        <f>IF(AND('Atividades Micro'!$B83=W$2,'Atividades Micro'!$K83&lt;&gt;""),'Atividades Micro'!$K83,"")</f>
        <v/>
      </c>
      <c r="X83" s="21" t="str">
        <f>IF(AND('Atividades Micro'!$B83=X$2,'Atividades Micro'!$L83&lt;&gt;""),'Atividades Micro'!$L83,"")</f>
        <v/>
      </c>
      <c r="Y83" s="21" t="str">
        <f>IF(AND('Atividades Micro'!$A83=Y$2,'Atividades Micro'!$K83&lt;&gt;""),'Atividades Micro'!$K83,"")</f>
        <v/>
      </c>
      <c r="Z83" s="21" t="str">
        <f>IF(AND('Atividades Micro'!$A83=Z$2,'Atividades Micro'!$L83&lt;&gt;""),'Atividades Micro'!$L83,"")</f>
        <v/>
      </c>
      <c r="AA83" s="21" t="str">
        <f>IF(AND('Atividades Micro'!$B83=AA$2,'Atividades Micro'!$K83&lt;&gt;""),'Atividades Micro'!$K83,"")</f>
        <v/>
      </c>
      <c r="AB83" s="21" t="str">
        <f>IF(AND('Atividades Micro'!$B83=AB$2,'Atividades Micro'!$L83&lt;&gt;""),'Atividades Micro'!$L83,"")</f>
        <v/>
      </c>
      <c r="AC83" s="21" t="str">
        <f>IF(AND('Atividades Micro'!$B83=AC$2,'Atividades Micro'!$K83&lt;&gt;""),'Atividades Micro'!$K83,"")</f>
        <v/>
      </c>
      <c r="AD83" s="21" t="str">
        <f>IF(AND('Atividades Micro'!$B83=AD$2,'Atividades Micro'!$L83&lt;&gt;""),'Atividades Micro'!$L83,"")</f>
        <v/>
      </c>
      <c r="AE83" s="21" t="str">
        <f>IF(AND('Atividades Micro'!$A83=AE$2,'Atividades Micro'!$K83&lt;&gt;""),'Atividades Micro'!$K83,"")</f>
        <v/>
      </c>
      <c r="AF83" s="21" t="str">
        <f>IF(AND('Atividades Micro'!$A83=AF$2,'Atividades Micro'!$L83&lt;&gt;""),'Atividades Micro'!$L83,"")</f>
        <v/>
      </c>
      <c r="AG83" s="21" t="str">
        <f>IF(AND('Atividades Micro'!$B83=AG$2,'Atividades Micro'!$K83&lt;&gt;""),'Atividades Micro'!$K83,"")</f>
        <v/>
      </c>
      <c r="AH83" s="21" t="str">
        <f>IF(AND('Atividades Micro'!$B83=AH$2,'Atividades Micro'!$L83&lt;&gt;""),'Atividades Micro'!$L83,"")</f>
        <v/>
      </c>
      <c r="AI83" s="21" t="str">
        <f>IF(AND('Atividades Micro'!$B83=AI$2,'Atividades Micro'!$K83&lt;&gt;""),'Atividades Micro'!$K83,"")</f>
        <v/>
      </c>
      <c r="AJ83" s="21" t="str">
        <f>IF(AND('Atividades Micro'!$B83=AJ$2,'Atividades Micro'!$L83&lt;&gt;""),'Atividades Micro'!$L83,"")</f>
        <v/>
      </c>
      <c r="AK83" s="21" t="str">
        <f>IF(AND('Atividades Micro'!$A83=AK$2,'Atividades Micro'!$K83&lt;&gt;""),'Atividades Micro'!$K83,"")</f>
        <v/>
      </c>
      <c r="AL83" s="21" t="str">
        <f>IF(AND('Atividades Micro'!$A83=AL$2,'Atividades Micro'!$L83&lt;&gt;""),'Atividades Micro'!$L83,"")</f>
        <v/>
      </c>
      <c r="AM83" s="21" t="str">
        <f>IF(AND('Atividades Micro'!$B83=AM$2,'Atividades Micro'!$K83&lt;&gt;""),'Atividades Micro'!$K83,"")</f>
        <v/>
      </c>
      <c r="AN83" s="21" t="str">
        <f>IF(AND('Atividades Micro'!$B83=AN$2,'Atividades Micro'!$L83&lt;&gt;""),'Atividades Micro'!$L83,"")</f>
        <v/>
      </c>
      <c r="AO83" s="21" t="str">
        <f>IF(AND('Atividades Micro'!$B83=AO$2,'Atividades Micro'!$K83&lt;&gt;""),'Atividades Micro'!$K83,"")</f>
        <v/>
      </c>
      <c r="AP83" s="21" t="str">
        <f>IF(AND('Atividades Micro'!$B83=AP$2,'Atividades Micro'!$L83&lt;&gt;""),'Atividades Micro'!$L83,"")</f>
        <v/>
      </c>
      <c r="AQ83" s="21" t="str">
        <f>IF(AND('Atividades Micro'!$A83=AQ$2,'Atividades Micro'!$K83&lt;&gt;""),'Atividades Micro'!$K83,"")</f>
        <v/>
      </c>
      <c r="AR83" s="21" t="str">
        <f>IF(AND('Atividades Micro'!$A83=AR$2,'Atividades Micro'!$L83&lt;&gt;""),'Atividades Micro'!$L83,"")</f>
        <v/>
      </c>
      <c r="AS83" s="21" t="str">
        <f>IF(AND('Atividades Micro'!$B83=AS$2,'Atividades Micro'!$K83&lt;&gt;""),'Atividades Micro'!$K83,"")</f>
        <v/>
      </c>
      <c r="AT83" s="21" t="str">
        <f>IF(AND('Atividades Micro'!$B83=AT$2,'Atividades Micro'!$L83&lt;&gt;""),'Atividades Micro'!$L83,"")</f>
        <v/>
      </c>
      <c r="AU83" s="21" t="str">
        <f>IF(AND('Atividades Micro'!$A83=AU$2,'Atividades Micro'!$K83&lt;&gt;""),'Atividades Micro'!$K83,"")</f>
        <v/>
      </c>
      <c r="AV83" s="21" t="str">
        <f>IF(AND('Atividades Micro'!$A83=AV$2,'Atividades Micro'!$L83&lt;&gt;""),'Atividades Micro'!$L83,"")</f>
        <v/>
      </c>
      <c r="AW83" s="21" t="str">
        <f>IF(AND('Atividades Micro'!$B83=AW$2,'Atividades Micro'!$K83&lt;&gt;""),'Atividades Micro'!$K83,"")</f>
        <v/>
      </c>
      <c r="AX83" s="21" t="str">
        <f>IF(AND('Atividades Micro'!$B83=AX$2,'Atividades Micro'!$L83&lt;&gt;""),'Atividades Micro'!$L83,"")</f>
        <v/>
      </c>
      <c r="AY83" s="21" t="str">
        <f>IF(AND('Atividades Micro'!$A83=AY$2,'Atividades Micro'!$K83&lt;&gt;""),'Atividades Micro'!$K83,"")</f>
        <v/>
      </c>
      <c r="AZ83" s="21" t="str">
        <f>IF(AND('Atividades Micro'!$A83=AZ$2,'Atividades Micro'!$L83&lt;&gt;""),'Atividades Micro'!$L83,"")</f>
        <v/>
      </c>
      <c r="BA83" s="21" t="str">
        <f>IF(AND('Atividades Micro'!$B83=BA$2,'Atividades Micro'!$K83&lt;&gt;""),'Atividades Micro'!$K83,"")</f>
        <v/>
      </c>
      <c r="BB83" s="21" t="str">
        <f>IF(AND('Atividades Micro'!$B83=BB$2,'Atividades Micro'!$L83&lt;&gt;""),'Atividades Micro'!$L83,"")</f>
        <v/>
      </c>
      <c r="BC83" s="21" t="str">
        <f>IF(AND('Atividades Micro'!$B83=BC$2,'Atividades Micro'!$G83="Macro",'Atividades Micro'!$K83&lt;&gt;""),'Atividades Micro'!$K83,"")</f>
        <v/>
      </c>
      <c r="BD83" s="21" t="str">
        <f>IF(AND('Atividades Micro'!$B83=BD$2,'Atividades Micro'!$G83="Macro",'Atividades Micro'!$K83&lt;&gt;""),'Atividades Micro'!$K83,"")</f>
        <v/>
      </c>
      <c r="BE83" s="21" t="str">
        <f>IF(AND('Atividades Micro'!$B83=BE$2,'Atividades Micro'!$G83="Macro",'Atividades Micro'!$K83&lt;&gt;""),'Atividades Micro'!$K83,"")</f>
        <v/>
      </c>
      <c r="BF83" s="21" t="str">
        <f>IF(AND('Atividades Micro'!$B83=BF$2,'Atividades Micro'!$G83="Macro",'Atividades Micro'!$K83&lt;&gt;""),'Atividades Micro'!$K83,"")</f>
        <v/>
      </c>
      <c r="BG83" s="21" t="str">
        <f>IF(AND('Atividades Micro'!$B83=BG$2,'Atividades Micro'!$G83="Macro",'Atividades Micro'!$K83&lt;&gt;""),'Atividades Micro'!$K83,"")</f>
        <v/>
      </c>
      <c r="BH83" s="21" t="str">
        <f>IF(AND('Atividades Micro'!$B83=BH$2,'Atividades Micro'!$G83="Macro",'Atividades Micro'!$K83&lt;&gt;""),'Atividades Micro'!$K83,"")</f>
        <v/>
      </c>
      <c r="BI83" s="21" t="str">
        <f>IF(AND('Atividades Micro'!$B83=BI$2,'Atividades Micro'!$G83="Macro",'Atividades Micro'!$K83&lt;&gt;""),'Atividades Micro'!$K83,"")</f>
        <v/>
      </c>
      <c r="BJ83" s="21" t="str">
        <f>IF(AND('Atividades Micro'!$B83=BJ$2,'Atividades Micro'!$G83="Macro",'Atividades Micro'!$K83&lt;&gt;""),'Atividades Micro'!$K83,"")</f>
        <v/>
      </c>
      <c r="BK83" s="21" t="str">
        <f>IF(AND('Atividades Micro'!$B83=BK$2,'Atividades Micro'!$G83="Macro",'Atividades Micro'!$K83&lt;&gt;""),'Atividades Micro'!$K83,"")</f>
        <v/>
      </c>
      <c r="BL83" s="21" t="str">
        <f>IF(AND('Atividades Micro'!$B83=BL$2,'Atividades Micro'!$G83="Macro",'Atividades Micro'!$K83&lt;&gt;""),'Atividades Micro'!$K83,"")</f>
        <v/>
      </c>
      <c r="BM83" s="21" t="str">
        <f>IF(AND('Atividades Micro'!$B83=BM$2,'Atividades Micro'!$G83="Macro",'Atividades Micro'!$K83&lt;&gt;""),'Atividades Micro'!$K83,"")</f>
        <v/>
      </c>
      <c r="BN83" s="21" t="str">
        <f>IF(AND('Atividades Micro'!$B83=BN$2,'Atividades Micro'!$G83="Macro",'Atividades Micro'!$K83&lt;&gt;""),'Atividades Micro'!$K83,"")</f>
        <v/>
      </c>
      <c r="BO83" s="21" t="str">
        <f>IF(AND('Atividades Micro'!$B83=BO$2,'Atividades Micro'!$G83="Macro",'Atividades Micro'!$K83&lt;&gt;""),'Atividades Micro'!$K83,"")</f>
        <v/>
      </c>
      <c r="BP83" s="21" t="str">
        <f>IF(AND('Atividades Micro'!$B83=BP$2,'Atividades Micro'!$G83="Macro",'Atividades Micro'!$K83&lt;&gt;""),'Atividades Micro'!$K83,"")</f>
        <v/>
      </c>
      <c r="BQ83" s="21" t="str">
        <f>IF(AND('Atividades Micro'!$B83=BQ$2,'Atividades Micro'!$G83="Macro",'Atividades Micro'!$K83&lt;&gt;""),'Atividades Micro'!$K83,"")</f>
        <v/>
      </c>
      <c r="BR83" s="21" t="str">
        <f>IF(AND('Atividades Micro'!$B83=BR$2,'Atividades Micro'!$G83="Macro",'Atividades Micro'!$K83&lt;&gt;""),'Atividades Micro'!$K83,"")</f>
        <v/>
      </c>
      <c r="BS83" s="21" t="str">
        <f>IF(AND('Atividades Micro'!$B83=BS$2,'Atividades Micro'!$G83="Macro",'Atividades Micro'!$K83&lt;&gt;""),'Atividades Micro'!$K83,"")</f>
        <v/>
      </c>
      <c r="BT83" s="21" t="str">
        <f>IF(AND('Atividades Micro'!$B83=BT$2,'Atividades Micro'!$G83="Macro",'Atividades Micro'!$K83&lt;&gt;""),'Atividades Micro'!$K83,"")</f>
        <v/>
      </c>
      <c r="BU83" s="21" t="str">
        <f>IF(AND('Atividades Micro'!$B83=BU$2,'Atividades Micro'!$G83="Macro",'Atividades Micro'!$K83&lt;&gt;""),'Atividades Micro'!$K83,"")</f>
        <v/>
      </c>
      <c r="BV83" s="21" t="str">
        <f>IF(AND('Atividades Micro'!$B83=BV$2,'Atividades Micro'!$G83="Macro",'Atividades Micro'!$K83&lt;&gt;""),'Atividades Micro'!$K83,"")</f>
        <v/>
      </c>
      <c r="BW83" s="21" t="str">
        <f>IF(AND('Atividades Micro'!$B83=BW$2,'Atividades Micro'!$G83="Macro",'Atividades Micro'!$K83&lt;&gt;""),'Atividades Micro'!$K83,"")</f>
        <v/>
      </c>
      <c r="BX83" s="21" t="str">
        <f>IF(AND('Atividades Micro'!$B83=BX$2,'Atividades Micro'!$G83="Macro",'Atividades Micro'!$K83&lt;&gt;""),'Atividades Micro'!$K83,"")</f>
        <v/>
      </c>
      <c r="BY83" s="21" t="str">
        <f>IF(AND('Atividades Micro'!$B83=BY$2,'Atividades Micro'!$G83="Macro",'Atividades Micro'!$K83&lt;&gt;""),'Atividades Micro'!$K83,"")</f>
        <v/>
      </c>
      <c r="BZ83" s="21" t="str">
        <f>IF(AND('Atividades Micro'!$B83=BZ$2,'Atividades Micro'!$G83="Macro",'Atividades Micro'!$K83&lt;&gt;""),'Atividades Micro'!$K83,"")</f>
        <v/>
      </c>
      <c r="CA83" s="21" t="str">
        <f>IF(AND('Atividades Micro'!$B83=CA$2,'Atividades Micro'!$G83="Macro",'Atividades Micro'!$K83&lt;&gt;""),'Atividades Micro'!$K83,"")</f>
        <v/>
      </c>
      <c r="CB83" s="21" t="str">
        <f>IF(AND('Atividades Micro'!$B83=CB$2,'Atividades Micro'!$G83="Macro",'Atividades Micro'!$K83&lt;&gt;""),'Atividades Micro'!$K83,"")</f>
        <v/>
      </c>
      <c r="CC83" s="21" t="str">
        <f>IF(AND('Atividades Micro'!$B83=CC$2,'Atividades Micro'!$G83="Macro",'Atividades Micro'!$K83&lt;&gt;""),'Atividades Micro'!$K83,"")</f>
        <v/>
      </c>
      <c r="CD83" s="21" t="str">
        <f>IF(AND('Atividades Micro'!$B83=CD$2,'Atividades Micro'!$G83="Micro",'Atividades Micro'!$K83&lt;&gt;""),'Atividades Micro'!$K83,"")</f>
        <v/>
      </c>
      <c r="CE83" s="21">
        <f>IF(AND('Atividades Micro'!$B83=CE$2,'Atividades Micro'!$G83="Micro",'Atividades Micro'!$K83&lt;&gt;""),'Atividades Micro'!$K83,"")</f>
        <v>46371</v>
      </c>
      <c r="CF83" s="21" t="str">
        <f>IF(AND('Atividades Micro'!$B83=CF$2,'Atividades Micro'!$G83="Micro",'Atividades Micro'!$K83&lt;&gt;""),'Atividades Micro'!$K83,"")</f>
        <v/>
      </c>
      <c r="CG83" s="21" t="str">
        <f>IF(AND('Atividades Micro'!$B83=CG$2,'Atividades Micro'!$G83="Micro",'Atividades Micro'!$K83&lt;&gt;""),'Atividades Micro'!$K83,"")</f>
        <v/>
      </c>
      <c r="CH83" s="21" t="str">
        <f>IF(AND('Atividades Micro'!$B83=CH$2,'Atividades Micro'!$G83="Micro",'Atividades Micro'!$K83&lt;&gt;""),'Atividades Micro'!$K83,"")</f>
        <v/>
      </c>
      <c r="CI83" s="21" t="str">
        <f>IF(AND('Atividades Micro'!$B83=CI$2,'Atividades Micro'!$G83="Micro",'Atividades Micro'!$K83&lt;&gt;""),'Atividades Micro'!$K83,"")</f>
        <v/>
      </c>
      <c r="CJ83" s="21" t="str">
        <f>IF(AND('Atividades Micro'!$B83=CJ$2,'Atividades Micro'!$G83="Micro",'Atividades Micro'!$K83&lt;&gt;""),'Atividades Micro'!$K83,"")</f>
        <v/>
      </c>
      <c r="CK83" s="21" t="str">
        <f>IF(AND('Atividades Micro'!$B83=CK$2,'Atividades Micro'!$G83="Micro",'Atividades Micro'!$K83&lt;&gt;""),'Atividades Micro'!$K83,"")</f>
        <v/>
      </c>
      <c r="CL83" s="21" t="str">
        <f>IF(AND('Atividades Micro'!$B83=CL$2,'Atividades Micro'!$G83="Micro",'Atividades Micro'!$K83&lt;&gt;""),'Atividades Micro'!$K83,"")</f>
        <v/>
      </c>
      <c r="CM83" s="21" t="str">
        <f>IF(AND('Atividades Micro'!$B83=CM$2,'Atividades Micro'!$G83="Micro",'Atividades Micro'!$K83&lt;&gt;""),'Atividades Micro'!$K83,"")</f>
        <v/>
      </c>
      <c r="CN83" s="21" t="str">
        <f>IF(AND('Atividades Micro'!$B83=CN$2,'Atividades Micro'!$G83="Micro",'Atividades Micro'!$K83&lt;&gt;""),'Atividades Micro'!$K83,"")</f>
        <v/>
      </c>
      <c r="CO83" s="21" t="str">
        <f>IF(AND('Atividades Micro'!$B83=CO$2,'Atividades Micro'!$G83="Micro",'Atividades Micro'!$K83&lt;&gt;""),'Atividades Micro'!$K83,"")</f>
        <v/>
      </c>
    </row>
    <row r="84" spans="1:93">
      <c r="A84" s="21" t="str">
        <f>IF(AND('Atividades Micro'!$A84=A$2,'Atividades Micro'!$K84&lt;&gt;""),'Atividades Micro'!$K84,"")</f>
        <v/>
      </c>
      <c r="B84" s="21" t="str">
        <f>IF(AND('Atividades Micro'!$A84=B$2,'Atividades Micro'!$L84&lt;&gt;""),'Atividades Micro'!$L84,"")</f>
        <v/>
      </c>
      <c r="C84" s="21" t="str">
        <f>IF(AND('Atividades Micro'!$A84=C$2,'Atividades Micro'!$K84&lt;&gt;""),'Atividades Micro'!$K84,"")</f>
        <v/>
      </c>
      <c r="D84" s="21" t="str">
        <f>IF(AND('Atividades Micro'!$A84=D$2,'Atividades Micro'!$L84&lt;&gt;""),'Atividades Micro'!$L84,"")</f>
        <v/>
      </c>
      <c r="E84" s="21" t="str">
        <f>IF(AND('Atividades Micro'!$A84=E$2,'Atividades Micro'!$K84&lt;&gt;""),'Atividades Micro'!$K84,"")</f>
        <v/>
      </c>
      <c r="F84" s="21" t="str">
        <f>IF(AND('Atividades Micro'!$A84=F$2,'Atividades Micro'!$L84&lt;&gt;""),'Atividades Micro'!$L84,"")</f>
        <v/>
      </c>
      <c r="G84" s="21" t="str">
        <f>IF(AND('Atividades Micro'!$A84=G$2,'Atividades Micro'!$K84&lt;&gt;""),'Atividades Micro'!$K84,"")</f>
        <v/>
      </c>
      <c r="H84" s="21" t="str">
        <f>IF(AND('Atividades Micro'!$A84=H$2,'Atividades Micro'!$L84&lt;&gt;""),'Atividades Micro'!$L84,"")</f>
        <v/>
      </c>
      <c r="I84" s="21">
        <f>IF(AND('Atividades Micro'!$A84=I$2,'Atividades Micro'!$K84&lt;&gt;""),'Atividades Micro'!$K84,"")</f>
        <v>46373</v>
      </c>
      <c r="J84" s="21" t="str">
        <f>IF(AND('Atividades Micro'!$A84=J$2,'Atividades Micro'!$L84&lt;&gt;""),'Atividades Micro'!$L84,"")</f>
        <v/>
      </c>
      <c r="K84" s="21" t="str">
        <f>IF(AND('Atividades Micro'!$B84=K$2,'Atividades Micro'!$K84&lt;&gt;""),'Atividades Micro'!$K84,"")</f>
        <v/>
      </c>
      <c r="L84" s="21" t="str">
        <f>IF(AND('Atividades Micro'!$B84=L$2,'Atividades Micro'!$L84&lt;&gt;""),'Atividades Micro'!$L84,"")</f>
        <v/>
      </c>
      <c r="M84" s="21">
        <f>IF(AND('Atividades Micro'!$B84=M$2,'Atividades Micro'!$K84&lt;&gt;""),'Atividades Micro'!$K84,"")</f>
        <v>46373</v>
      </c>
      <c r="N84" s="21" t="str">
        <f>IF(AND('Atividades Micro'!$B84=N$2,'Atividades Micro'!$L84&lt;&gt;""),'Atividades Micro'!$L84,"")</f>
        <v/>
      </c>
      <c r="O84" s="21" t="str">
        <f>IF(AND('Atividades Micro'!$A84=O$2,'Atividades Micro'!$K84&lt;&gt;""),'Atividades Micro'!$K84,"")</f>
        <v/>
      </c>
      <c r="P84" s="21" t="str">
        <f>IF(AND('Atividades Micro'!$A84=P$2,'Atividades Micro'!$L84&lt;&gt;""),'Atividades Micro'!$L84,"")</f>
        <v/>
      </c>
      <c r="Q84" s="21" t="str">
        <f>IF(AND('Atividades Micro'!$B84=Q$2,'Atividades Micro'!$K84&lt;&gt;""),'Atividades Micro'!$K84,"")</f>
        <v/>
      </c>
      <c r="R84" s="21" t="str">
        <f>IF(AND('Atividades Micro'!$B84=R$2,'Atividades Micro'!$L84&lt;&gt;""),'Atividades Micro'!$L84,"")</f>
        <v/>
      </c>
      <c r="S84" s="21" t="str">
        <f>IF(AND('Atividades Micro'!$A84=S$2,'Atividades Micro'!$K84&lt;&gt;""),'Atividades Micro'!$K84,"")</f>
        <v/>
      </c>
      <c r="T84" s="21" t="str">
        <f>IF(AND('Atividades Micro'!$A84=T$2,'Atividades Micro'!$L84&lt;&gt;""),'Atividades Micro'!$L84,"")</f>
        <v/>
      </c>
      <c r="U84" s="21" t="str">
        <f>IF(AND('Atividades Micro'!$B84=U$2,'Atividades Micro'!$K84&lt;&gt;""),'Atividades Micro'!$K84,"")</f>
        <v/>
      </c>
      <c r="V84" s="21" t="str">
        <f>IF(AND('Atividades Micro'!$B84=V$2,'Atividades Micro'!$L84&lt;&gt;""),'Atividades Micro'!$L84,"")</f>
        <v/>
      </c>
      <c r="W84" s="21" t="str">
        <f>IF(AND('Atividades Micro'!$B84=W$2,'Atividades Micro'!$K84&lt;&gt;""),'Atividades Micro'!$K84,"")</f>
        <v/>
      </c>
      <c r="X84" s="21" t="str">
        <f>IF(AND('Atividades Micro'!$B84=X$2,'Atividades Micro'!$L84&lt;&gt;""),'Atividades Micro'!$L84,"")</f>
        <v/>
      </c>
      <c r="Y84" s="21" t="str">
        <f>IF(AND('Atividades Micro'!$A84=Y$2,'Atividades Micro'!$K84&lt;&gt;""),'Atividades Micro'!$K84,"")</f>
        <v/>
      </c>
      <c r="Z84" s="21" t="str">
        <f>IF(AND('Atividades Micro'!$A84=Z$2,'Atividades Micro'!$L84&lt;&gt;""),'Atividades Micro'!$L84,"")</f>
        <v/>
      </c>
      <c r="AA84" s="21" t="str">
        <f>IF(AND('Atividades Micro'!$B84=AA$2,'Atividades Micro'!$K84&lt;&gt;""),'Atividades Micro'!$K84,"")</f>
        <v/>
      </c>
      <c r="AB84" s="21" t="str">
        <f>IF(AND('Atividades Micro'!$B84=AB$2,'Atividades Micro'!$L84&lt;&gt;""),'Atividades Micro'!$L84,"")</f>
        <v/>
      </c>
      <c r="AC84" s="21" t="str">
        <f>IF(AND('Atividades Micro'!$B84=AC$2,'Atividades Micro'!$K84&lt;&gt;""),'Atividades Micro'!$K84,"")</f>
        <v/>
      </c>
      <c r="AD84" s="21" t="str">
        <f>IF(AND('Atividades Micro'!$B84=AD$2,'Atividades Micro'!$L84&lt;&gt;""),'Atividades Micro'!$L84,"")</f>
        <v/>
      </c>
      <c r="AE84" s="21" t="str">
        <f>IF(AND('Atividades Micro'!$A84=AE$2,'Atividades Micro'!$K84&lt;&gt;""),'Atividades Micro'!$K84,"")</f>
        <v/>
      </c>
      <c r="AF84" s="21" t="str">
        <f>IF(AND('Atividades Micro'!$A84=AF$2,'Atividades Micro'!$L84&lt;&gt;""),'Atividades Micro'!$L84,"")</f>
        <v/>
      </c>
      <c r="AG84" s="21" t="str">
        <f>IF(AND('Atividades Micro'!$B84=AG$2,'Atividades Micro'!$K84&lt;&gt;""),'Atividades Micro'!$K84,"")</f>
        <v/>
      </c>
      <c r="AH84" s="21" t="str">
        <f>IF(AND('Atividades Micro'!$B84=AH$2,'Atividades Micro'!$L84&lt;&gt;""),'Atividades Micro'!$L84,"")</f>
        <v/>
      </c>
      <c r="AI84" s="21" t="str">
        <f>IF(AND('Atividades Micro'!$B84=AI$2,'Atividades Micro'!$K84&lt;&gt;""),'Atividades Micro'!$K84,"")</f>
        <v/>
      </c>
      <c r="AJ84" s="21" t="str">
        <f>IF(AND('Atividades Micro'!$B84=AJ$2,'Atividades Micro'!$L84&lt;&gt;""),'Atividades Micro'!$L84,"")</f>
        <v/>
      </c>
      <c r="AK84" s="21" t="str">
        <f>IF(AND('Atividades Micro'!$A84=AK$2,'Atividades Micro'!$K84&lt;&gt;""),'Atividades Micro'!$K84,"")</f>
        <v/>
      </c>
      <c r="AL84" s="21" t="str">
        <f>IF(AND('Atividades Micro'!$A84=AL$2,'Atividades Micro'!$L84&lt;&gt;""),'Atividades Micro'!$L84,"")</f>
        <v/>
      </c>
      <c r="AM84" s="21" t="str">
        <f>IF(AND('Atividades Micro'!$B84=AM$2,'Atividades Micro'!$K84&lt;&gt;""),'Atividades Micro'!$K84,"")</f>
        <v/>
      </c>
      <c r="AN84" s="21" t="str">
        <f>IF(AND('Atividades Micro'!$B84=AN$2,'Atividades Micro'!$L84&lt;&gt;""),'Atividades Micro'!$L84,"")</f>
        <v/>
      </c>
      <c r="AO84" s="21" t="str">
        <f>IF(AND('Atividades Micro'!$B84=AO$2,'Atividades Micro'!$K84&lt;&gt;""),'Atividades Micro'!$K84,"")</f>
        <v/>
      </c>
      <c r="AP84" s="21" t="str">
        <f>IF(AND('Atividades Micro'!$B84=AP$2,'Atividades Micro'!$L84&lt;&gt;""),'Atividades Micro'!$L84,"")</f>
        <v/>
      </c>
      <c r="AQ84" s="21" t="str">
        <f>IF(AND('Atividades Micro'!$A84=AQ$2,'Atividades Micro'!$K84&lt;&gt;""),'Atividades Micro'!$K84,"")</f>
        <v/>
      </c>
      <c r="AR84" s="21" t="str">
        <f>IF(AND('Atividades Micro'!$A84=AR$2,'Atividades Micro'!$L84&lt;&gt;""),'Atividades Micro'!$L84,"")</f>
        <v/>
      </c>
      <c r="AS84" s="21" t="str">
        <f>IF(AND('Atividades Micro'!$B84=AS$2,'Atividades Micro'!$K84&lt;&gt;""),'Atividades Micro'!$K84,"")</f>
        <v/>
      </c>
      <c r="AT84" s="21" t="str">
        <f>IF(AND('Atividades Micro'!$B84=AT$2,'Atividades Micro'!$L84&lt;&gt;""),'Atividades Micro'!$L84,"")</f>
        <v/>
      </c>
      <c r="AU84" s="21" t="str">
        <f>IF(AND('Atividades Micro'!$A84=AU$2,'Atividades Micro'!$K84&lt;&gt;""),'Atividades Micro'!$K84,"")</f>
        <v/>
      </c>
      <c r="AV84" s="21" t="str">
        <f>IF(AND('Atividades Micro'!$A84=AV$2,'Atividades Micro'!$L84&lt;&gt;""),'Atividades Micro'!$L84,"")</f>
        <v/>
      </c>
      <c r="AW84" s="21" t="str">
        <f>IF(AND('Atividades Micro'!$B84=AW$2,'Atividades Micro'!$K84&lt;&gt;""),'Atividades Micro'!$K84,"")</f>
        <v/>
      </c>
      <c r="AX84" s="21" t="str">
        <f>IF(AND('Atividades Micro'!$B84=AX$2,'Atividades Micro'!$L84&lt;&gt;""),'Atividades Micro'!$L84,"")</f>
        <v/>
      </c>
      <c r="AY84" s="21" t="str">
        <f>IF(AND('Atividades Micro'!$A84=AY$2,'Atividades Micro'!$K84&lt;&gt;""),'Atividades Micro'!$K84,"")</f>
        <v/>
      </c>
      <c r="AZ84" s="21" t="str">
        <f>IF(AND('Atividades Micro'!$A84=AZ$2,'Atividades Micro'!$L84&lt;&gt;""),'Atividades Micro'!$L84,"")</f>
        <v/>
      </c>
      <c r="BA84" s="21" t="str">
        <f>IF(AND('Atividades Micro'!$B84=BA$2,'Atividades Micro'!$K84&lt;&gt;""),'Atividades Micro'!$K84,"")</f>
        <v/>
      </c>
      <c r="BB84" s="21" t="str">
        <f>IF(AND('Atividades Micro'!$B84=BB$2,'Atividades Micro'!$L84&lt;&gt;""),'Atividades Micro'!$L84,"")</f>
        <v/>
      </c>
      <c r="BC84" s="21" t="str">
        <f>IF(AND('Atividades Micro'!$B84=BC$2,'Atividades Micro'!$G84="Macro",'Atividades Micro'!$K84&lt;&gt;""),'Atividades Micro'!$K84,"")</f>
        <v/>
      </c>
      <c r="BD84" s="21" t="str">
        <f>IF(AND('Atividades Micro'!$B84=BD$2,'Atividades Micro'!$G84="Macro",'Atividades Micro'!$K84&lt;&gt;""),'Atividades Micro'!$K84,"")</f>
        <v/>
      </c>
      <c r="BE84" s="21" t="str">
        <f>IF(AND('Atividades Micro'!$B84=BE$2,'Atividades Micro'!$G84="Macro",'Atividades Micro'!$K84&lt;&gt;""),'Atividades Micro'!$K84,"")</f>
        <v/>
      </c>
      <c r="BF84" s="21" t="str">
        <f>IF(AND('Atividades Micro'!$B84=BF$2,'Atividades Micro'!$G84="Macro",'Atividades Micro'!$K84&lt;&gt;""),'Atividades Micro'!$K84,"")</f>
        <v/>
      </c>
      <c r="BG84" s="21" t="str">
        <f>IF(AND('Atividades Micro'!$B84=BG$2,'Atividades Micro'!$G84="Macro",'Atividades Micro'!$K84&lt;&gt;""),'Atividades Micro'!$K84,"")</f>
        <v/>
      </c>
      <c r="BH84" s="21" t="str">
        <f>IF(AND('Atividades Micro'!$B84=BH$2,'Atividades Micro'!$G84="Macro",'Atividades Micro'!$K84&lt;&gt;""),'Atividades Micro'!$K84,"")</f>
        <v/>
      </c>
      <c r="BI84" s="21" t="str">
        <f>IF(AND('Atividades Micro'!$B84=BI$2,'Atividades Micro'!$G84="Macro",'Atividades Micro'!$K84&lt;&gt;""),'Atividades Micro'!$K84,"")</f>
        <v/>
      </c>
      <c r="BJ84" s="21" t="str">
        <f>IF(AND('Atividades Micro'!$B84=BJ$2,'Atividades Micro'!$G84="Macro",'Atividades Micro'!$K84&lt;&gt;""),'Atividades Micro'!$K84,"")</f>
        <v/>
      </c>
      <c r="BK84" s="21" t="str">
        <f>IF(AND('Atividades Micro'!$B84=BK$2,'Atividades Micro'!$G84="Macro",'Atividades Micro'!$K84&lt;&gt;""),'Atividades Micro'!$K84,"")</f>
        <v/>
      </c>
      <c r="BL84" s="21" t="str">
        <f>IF(AND('Atividades Micro'!$B84=BL$2,'Atividades Micro'!$G84="Macro",'Atividades Micro'!$K84&lt;&gt;""),'Atividades Micro'!$K84,"")</f>
        <v/>
      </c>
      <c r="BM84" s="21" t="str">
        <f>IF(AND('Atividades Micro'!$B84=BM$2,'Atividades Micro'!$G84="Macro",'Atividades Micro'!$K84&lt;&gt;""),'Atividades Micro'!$K84,"")</f>
        <v/>
      </c>
      <c r="BN84" s="21" t="str">
        <f>IF(AND('Atividades Micro'!$B84=BN$2,'Atividades Micro'!$G84="Macro",'Atividades Micro'!$K84&lt;&gt;""),'Atividades Micro'!$K84,"")</f>
        <v/>
      </c>
      <c r="BO84" s="21" t="str">
        <f>IF(AND('Atividades Micro'!$B84=BO$2,'Atividades Micro'!$G84="Macro",'Atividades Micro'!$K84&lt;&gt;""),'Atividades Micro'!$K84,"")</f>
        <v/>
      </c>
      <c r="BP84" s="21" t="str">
        <f>IF(AND('Atividades Micro'!$B84=BP$2,'Atividades Micro'!$G84="Macro",'Atividades Micro'!$K84&lt;&gt;""),'Atividades Micro'!$K84,"")</f>
        <v/>
      </c>
      <c r="BQ84" s="21" t="str">
        <f>IF(AND('Atividades Micro'!$B84=BQ$2,'Atividades Micro'!$G84="Macro",'Atividades Micro'!$K84&lt;&gt;""),'Atividades Micro'!$K84,"")</f>
        <v/>
      </c>
      <c r="BR84" s="21" t="str">
        <f>IF(AND('Atividades Micro'!$B84=BR$2,'Atividades Micro'!$G84="Macro",'Atividades Micro'!$K84&lt;&gt;""),'Atividades Micro'!$K84,"")</f>
        <v/>
      </c>
      <c r="BS84" s="21" t="str">
        <f>IF(AND('Atividades Micro'!$B84=BS$2,'Atividades Micro'!$G84="Macro",'Atividades Micro'!$K84&lt;&gt;""),'Atividades Micro'!$K84,"")</f>
        <v/>
      </c>
      <c r="BT84" s="21" t="str">
        <f>IF(AND('Atividades Micro'!$B84=BT$2,'Atividades Micro'!$G84="Macro",'Atividades Micro'!$K84&lt;&gt;""),'Atividades Micro'!$K84,"")</f>
        <v/>
      </c>
      <c r="BU84" s="21" t="str">
        <f>IF(AND('Atividades Micro'!$B84=BU$2,'Atividades Micro'!$G84="Macro",'Atividades Micro'!$K84&lt;&gt;""),'Atividades Micro'!$K84,"")</f>
        <v/>
      </c>
      <c r="BV84" s="21" t="str">
        <f>IF(AND('Atividades Micro'!$B84=BV$2,'Atividades Micro'!$G84="Macro",'Atividades Micro'!$K84&lt;&gt;""),'Atividades Micro'!$K84,"")</f>
        <v/>
      </c>
      <c r="BW84" s="21" t="str">
        <f>IF(AND('Atividades Micro'!$B84=BW$2,'Atividades Micro'!$G84="Macro",'Atividades Micro'!$K84&lt;&gt;""),'Atividades Micro'!$K84,"")</f>
        <v/>
      </c>
      <c r="BX84" s="21" t="str">
        <f>IF(AND('Atividades Micro'!$B84=BX$2,'Atividades Micro'!$G84="Macro",'Atividades Micro'!$K84&lt;&gt;""),'Atividades Micro'!$K84,"")</f>
        <v/>
      </c>
      <c r="BY84" s="21" t="str">
        <f>IF(AND('Atividades Micro'!$B84=BY$2,'Atividades Micro'!$G84="Macro",'Atividades Micro'!$K84&lt;&gt;""),'Atividades Micro'!$K84,"")</f>
        <v/>
      </c>
      <c r="BZ84" s="21" t="str">
        <f>IF(AND('Atividades Micro'!$B84=BZ$2,'Atividades Micro'!$G84="Macro",'Atividades Micro'!$K84&lt;&gt;""),'Atividades Micro'!$K84,"")</f>
        <v/>
      </c>
      <c r="CA84" s="21" t="str">
        <f>IF(AND('Atividades Micro'!$B84=CA$2,'Atividades Micro'!$G84="Macro",'Atividades Micro'!$K84&lt;&gt;""),'Atividades Micro'!$K84,"")</f>
        <v/>
      </c>
      <c r="CB84" s="21" t="str">
        <f>IF(AND('Atividades Micro'!$B84=CB$2,'Atividades Micro'!$G84="Macro",'Atividades Micro'!$K84&lt;&gt;""),'Atividades Micro'!$K84,"")</f>
        <v/>
      </c>
      <c r="CC84" s="21" t="str">
        <f>IF(AND('Atividades Micro'!$B84=CC$2,'Atividades Micro'!$G84="Macro",'Atividades Micro'!$K84&lt;&gt;""),'Atividades Micro'!$K84,"")</f>
        <v/>
      </c>
      <c r="CD84" s="21" t="str">
        <f>IF(AND('Atividades Micro'!$B84=CD$2,'Atividades Micro'!$G84="Micro",'Atividades Micro'!$K84&lt;&gt;""),'Atividades Micro'!$K84,"")</f>
        <v/>
      </c>
      <c r="CE84" s="21">
        <f>IF(AND('Atividades Micro'!$B84=CE$2,'Atividades Micro'!$G84="Micro",'Atividades Micro'!$K84&lt;&gt;""),'Atividades Micro'!$K84,"")</f>
        <v>46373</v>
      </c>
      <c r="CF84" s="21" t="str">
        <f>IF(AND('Atividades Micro'!$B84=CF$2,'Atividades Micro'!$G84="Micro",'Atividades Micro'!$K84&lt;&gt;""),'Atividades Micro'!$K84,"")</f>
        <v/>
      </c>
      <c r="CG84" s="21" t="str">
        <f>IF(AND('Atividades Micro'!$B84=CG$2,'Atividades Micro'!$G84="Micro",'Atividades Micro'!$K84&lt;&gt;""),'Atividades Micro'!$K84,"")</f>
        <v/>
      </c>
      <c r="CH84" s="21" t="str">
        <f>IF(AND('Atividades Micro'!$B84=CH$2,'Atividades Micro'!$G84="Micro",'Atividades Micro'!$K84&lt;&gt;""),'Atividades Micro'!$K84,"")</f>
        <v/>
      </c>
      <c r="CI84" s="21" t="str">
        <f>IF(AND('Atividades Micro'!$B84=CI$2,'Atividades Micro'!$G84="Micro",'Atividades Micro'!$K84&lt;&gt;""),'Atividades Micro'!$K84,"")</f>
        <v/>
      </c>
      <c r="CJ84" s="21" t="str">
        <f>IF(AND('Atividades Micro'!$B84=CJ$2,'Atividades Micro'!$G84="Micro",'Atividades Micro'!$K84&lt;&gt;""),'Atividades Micro'!$K84,"")</f>
        <v/>
      </c>
      <c r="CK84" s="21" t="str">
        <f>IF(AND('Atividades Micro'!$B84=CK$2,'Atividades Micro'!$G84="Micro",'Atividades Micro'!$K84&lt;&gt;""),'Atividades Micro'!$K84,"")</f>
        <v/>
      </c>
      <c r="CL84" s="21" t="str">
        <f>IF(AND('Atividades Micro'!$B84=CL$2,'Atividades Micro'!$G84="Micro",'Atividades Micro'!$K84&lt;&gt;""),'Atividades Micro'!$K84,"")</f>
        <v/>
      </c>
      <c r="CM84" s="21" t="str">
        <f>IF(AND('Atividades Micro'!$B84=CM$2,'Atividades Micro'!$G84="Micro",'Atividades Micro'!$K84&lt;&gt;""),'Atividades Micro'!$K84,"")</f>
        <v/>
      </c>
      <c r="CN84" s="21" t="str">
        <f>IF(AND('Atividades Micro'!$B84=CN$2,'Atividades Micro'!$G84="Micro",'Atividades Micro'!$K84&lt;&gt;""),'Atividades Micro'!$K84,"")</f>
        <v/>
      </c>
      <c r="CO84" s="21" t="str">
        <f>IF(AND('Atividades Micro'!$B84=CO$2,'Atividades Micro'!$G84="Micro",'Atividades Micro'!$K84&lt;&gt;""),'Atividades Micro'!$K84,"")</f>
        <v/>
      </c>
    </row>
    <row r="85" spans="1:93">
      <c r="A85" s="21" t="str">
        <f>IF(AND('Atividades Micro'!$A85=A$2,'Atividades Micro'!$K85&lt;&gt;""),'Atividades Micro'!$K85,"")</f>
        <v/>
      </c>
      <c r="B85" s="21" t="str">
        <f>IF(AND('Atividades Micro'!$A85=B$2,'Atividades Micro'!$L85&lt;&gt;""),'Atividades Micro'!$L85,"")</f>
        <v/>
      </c>
      <c r="C85" s="21" t="str">
        <f>IF(AND('Atividades Micro'!$A85=C$2,'Atividades Micro'!$K85&lt;&gt;""),'Atividades Micro'!$K85,"")</f>
        <v/>
      </c>
      <c r="D85" s="21" t="str">
        <f>IF(AND('Atividades Micro'!$A85=D$2,'Atividades Micro'!$L85&lt;&gt;""),'Atividades Micro'!$L85,"")</f>
        <v/>
      </c>
      <c r="E85" s="21" t="str">
        <f>IF(AND('Atividades Micro'!$A85=E$2,'Atividades Micro'!$K85&lt;&gt;""),'Atividades Micro'!$K85,"")</f>
        <v/>
      </c>
      <c r="F85" s="21" t="str">
        <f>IF(AND('Atividades Micro'!$A85=F$2,'Atividades Micro'!$L85&lt;&gt;""),'Atividades Micro'!$L85,"")</f>
        <v/>
      </c>
      <c r="G85" s="21" t="str">
        <f>IF(AND('Atividades Micro'!$A85=G$2,'Atividades Micro'!$K85&lt;&gt;""),'Atividades Micro'!$K85,"")</f>
        <v/>
      </c>
      <c r="H85" s="21" t="str">
        <f>IF(AND('Atividades Micro'!$A85=H$2,'Atividades Micro'!$L85&lt;&gt;""),'Atividades Micro'!$L85,"")</f>
        <v/>
      </c>
      <c r="I85" s="21">
        <f>IF(AND('Atividades Micro'!$A85=I$2,'Atividades Micro'!$K85&lt;&gt;""),'Atividades Micro'!$K85,"")</f>
        <v>46374</v>
      </c>
      <c r="J85" s="21" t="str">
        <f>IF(AND('Atividades Micro'!$A85=J$2,'Atividades Micro'!$L85&lt;&gt;""),'Atividades Micro'!$L85,"")</f>
        <v/>
      </c>
      <c r="K85" s="21" t="str">
        <f>IF(AND('Atividades Micro'!$B85=K$2,'Atividades Micro'!$K85&lt;&gt;""),'Atividades Micro'!$K85,"")</f>
        <v/>
      </c>
      <c r="L85" s="21" t="str">
        <f>IF(AND('Atividades Micro'!$B85=L$2,'Atividades Micro'!$L85&lt;&gt;""),'Atividades Micro'!$L85,"")</f>
        <v/>
      </c>
      <c r="M85" s="21">
        <f>IF(AND('Atividades Micro'!$B85=M$2,'Atividades Micro'!$K85&lt;&gt;""),'Atividades Micro'!$K85,"")</f>
        <v>46374</v>
      </c>
      <c r="N85" s="21" t="str">
        <f>IF(AND('Atividades Micro'!$B85=N$2,'Atividades Micro'!$L85&lt;&gt;""),'Atividades Micro'!$L85,"")</f>
        <v/>
      </c>
      <c r="O85" s="21" t="str">
        <f>IF(AND('Atividades Micro'!$A85=O$2,'Atividades Micro'!$K85&lt;&gt;""),'Atividades Micro'!$K85,"")</f>
        <v/>
      </c>
      <c r="P85" s="21" t="str">
        <f>IF(AND('Atividades Micro'!$A85=P$2,'Atividades Micro'!$L85&lt;&gt;""),'Atividades Micro'!$L85,"")</f>
        <v/>
      </c>
      <c r="Q85" s="21" t="str">
        <f>IF(AND('Atividades Micro'!$B85=Q$2,'Atividades Micro'!$K85&lt;&gt;""),'Atividades Micro'!$K85,"")</f>
        <v/>
      </c>
      <c r="R85" s="21" t="str">
        <f>IF(AND('Atividades Micro'!$B85=R$2,'Atividades Micro'!$L85&lt;&gt;""),'Atividades Micro'!$L85,"")</f>
        <v/>
      </c>
      <c r="S85" s="21" t="str">
        <f>IF(AND('Atividades Micro'!$A85=S$2,'Atividades Micro'!$K85&lt;&gt;""),'Atividades Micro'!$K85,"")</f>
        <v/>
      </c>
      <c r="T85" s="21" t="str">
        <f>IF(AND('Atividades Micro'!$A85=T$2,'Atividades Micro'!$L85&lt;&gt;""),'Atividades Micro'!$L85,"")</f>
        <v/>
      </c>
      <c r="U85" s="21" t="str">
        <f>IF(AND('Atividades Micro'!$B85=U$2,'Atividades Micro'!$K85&lt;&gt;""),'Atividades Micro'!$K85,"")</f>
        <v/>
      </c>
      <c r="V85" s="21" t="str">
        <f>IF(AND('Atividades Micro'!$B85=V$2,'Atividades Micro'!$L85&lt;&gt;""),'Atividades Micro'!$L85,"")</f>
        <v/>
      </c>
      <c r="W85" s="21" t="str">
        <f>IF(AND('Atividades Micro'!$B85=W$2,'Atividades Micro'!$K85&lt;&gt;""),'Atividades Micro'!$K85,"")</f>
        <v/>
      </c>
      <c r="X85" s="21" t="str">
        <f>IF(AND('Atividades Micro'!$B85=X$2,'Atividades Micro'!$L85&lt;&gt;""),'Atividades Micro'!$L85,"")</f>
        <v/>
      </c>
      <c r="Y85" s="21" t="str">
        <f>IF(AND('Atividades Micro'!$A85=Y$2,'Atividades Micro'!$K85&lt;&gt;""),'Atividades Micro'!$K85,"")</f>
        <v/>
      </c>
      <c r="Z85" s="21" t="str">
        <f>IF(AND('Atividades Micro'!$A85=Z$2,'Atividades Micro'!$L85&lt;&gt;""),'Atividades Micro'!$L85,"")</f>
        <v/>
      </c>
      <c r="AA85" s="21" t="str">
        <f>IF(AND('Atividades Micro'!$B85=AA$2,'Atividades Micro'!$K85&lt;&gt;""),'Atividades Micro'!$K85,"")</f>
        <v/>
      </c>
      <c r="AB85" s="21" t="str">
        <f>IF(AND('Atividades Micro'!$B85=AB$2,'Atividades Micro'!$L85&lt;&gt;""),'Atividades Micro'!$L85,"")</f>
        <v/>
      </c>
      <c r="AC85" s="21" t="str">
        <f>IF(AND('Atividades Micro'!$B85=AC$2,'Atividades Micro'!$K85&lt;&gt;""),'Atividades Micro'!$K85,"")</f>
        <v/>
      </c>
      <c r="AD85" s="21" t="str">
        <f>IF(AND('Atividades Micro'!$B85=AD$2,'Atividades Micro'!$L85&lt;&gt;""),'Atividades Micro'!$L85,"")</f>
        <v/>
      </c>
      <c r="AE85" s="21" t="str">
        <f>IF(AND('Atividades Micro'!$A85=AE$2,'Atividades Micro'!$K85&lt;&gt;""),'Atividades Micro'!$K85,"")</f>
        <v/>
      </c>
      <c r="AF85" s="21" t="str">
        <f>IF(AND('Atividades Micro'!$A85=AF$2,'Atividades Micro'!$L85&lt;&gt;""),'Atividades Micro'!$L85,"")</f>
        <v/>
      </c>
      <c r="AG85" s="21" t="str">
        <f>IF(AND('Atividades Micro'!$B85=AG$2,'Atividades Micro'!$K85&lt;&gt;""),'Atividades Micro'!$K85,"")</f>
        <v/>
      </c>
      <c r="AH85" s="21" t="str">
        <f>IF(AND('Atividades Micro'!$B85=AH$2,'Atividades Micro'!$L85&lt;&gt;""),'Atividades Micro'!$L85,"")</f>
        <v/>
      </c>
      <c r="AI85" s="21" t="str">
        <f>IF(AND('Atividades Micro'!$B85=AI$2,'Atividades Micro'!$K85&lt;&gt;""),'Atividades Micro'!$K85,"")</f>
        <v/>
      </c>
      <c r="AJ85" s="21" t="str">
        <f>IF(AND('Atividades Micro'!$B85=AJ$2,'Atividades Micro'!$L85&lt;&gt;""),'Atividades Micro'!$L85,"")</f>
        <v/>
      </c>
      <c r="AK85" s="21" t="str">
        <f>IF(AND('Atividades Micro'!$A85=AK$2,'Atividades Micro'!$K85&lt;&gt;""),'Atividades Micro'!$K85,"")</f>
        <v/>
      </c>
      <c r="AL85" s="21" t="str">
        <f>IF(AND('Atividades Micro'!$A85=AL$2,'Atividades Micro'!$L85&lt;&gt;""),'Atividades Micro'!$L85,"")</f>
        <v/>
      </c>
      <c r="AM85" s="21" t="str">
        <f>IF(AND('Atividades Micro'!$B85=AM$2,'Atividades Micro'!$K85&lt;&gt;""),'Atividades Micro'!$K85,"")</f>
        <v/>
      </c>
      <c r="AN85" s="21" t="str">
        <f>IF(AND('Atividades Micro'!$B85=AN$2,'Atividades Micro'!$L85&lt;&gt;""),'Atividades Micro'!$L85,"")</f>
        <v/>
      </c>
      <c r="AO85" s="21" t="str">
        <f>IF(AND('Atividades Micro'!$B85=AO$2,'Atividades Micro'!$K85&lt;&gt;""),'Atividades Micro'!$K85,"")</f>
        <v/>
      </c>
      <c r="AP85" s="21" t="str">
        <f>IF(AND('Atividades Micro'!$B85=AP$2,'Atividades Micro'!$L85&lt;&gt;""),'Atividades Micro'!$L85,"")</f>
        <v/>
      </c>
      <c r="AQ85" s="21" t="str">
        <f>IF(AND('Atividades Micro'!$A85=AQ$2,'Atividades Micro'!$K85&lt;&gt;""),'Atividades Micro'!$K85,"")</f>
        <v/>
      </c>
      <c r="AR85" s="21" t="str">
        <f>IF(AND('Atividades Micro'!$A85=AR$2,'Atividades Micro'!$L85&lt;&gt;""),'Atividades Micro'!$L85,"")</f>
        <v/>
      </c>
      <c r="AS85" s="21" t="str">
        <f>IF(AND('Atividades Micro'!$B85=AS$2,'Atividades Micro'!$K85&lt;&gt;""),'Atividades Micro'!$K85,"")</f>
        <v/>
      </c>
      <c r="AT85" s="21" t="str">
        <f>IF(AND('Atividades Micro'!$B85=AT$2,'Atividades Micro'!$L85&lt;&gt;""),'Atividades Micro'!$L85,"")</f>
        <v/>
      </c>
      <c r="AU85" s="21" t="str">
        <f>IF(AND('Atividades Micro'!$A85=AU$2,'Atividades Micro'!$K85&lt;&gt;""),'Atividades Micro'!$K85,"")</f>
        <v/>
      </c>
      <c r="AV85" s="21" t="str">
        <f>IF(AND('Atividades Micro'!$A85=AV$2,'Atividades Micro'!$L85&lt;&gt;""),'Atividades Micro'!$L85,"")</f>
        <v/>
      </c>
      <c r="AW85" s="21" t="str">
        <f>IF(AND('Atividades Micro'!$B85=AW$2,'Atividades Micro'!$K85&lt;&gt;""),'Atividades Micro'!$K85,"")</f>
        <v/>
      </c>
      <c r="AX85" s="21" t="str">
        <f>IF(AND('Atividades Micro'!$B85=AX$2,'Atividades Micro'!$L85&lt;&gt;""),'Atividades Micro'!$L85,"")</f>
        <v/>
      </c>
      <c r="AY85" s="21" t="str">
        <f>IF(AND('Atividades Micro'!$A85=AY$2,'Atividades Micro'!$K85&lt;&gt;""),'Atividades Micro'!$K85,"")</f>
        <v/>
      </c>
      <c r="AZ85" s="21" t="str">
        <f>IF(AND('Atividades Micro'!$A85=AZ$2,'Atividades Micro'!$L85&lt;&gt;""),'Atividades Micro'!$L85,"")</f>
        <v/>
      </c>
      <c r="BA85" s="21" t="str">
        <f>IF(AND('Atividades Micro'!$B85=BA$2,'Atividades Micro'!$K85&lt;&gt;""),'Atividades Micro'!$K85,"")</f>
        <v/>
      </c>
      <c r="BB85" s="21" t="str">
        <f>IF(AND('Atividades Micro'!$B85=BB$2,'Atividades Micro'!$L85&lt;&gt;""),'Atividades Micro'!$L85,"")</f>
        <v/>
      </c>
      <c r="BC85" s="21" t="str">
        <f>IF(AND('Atividades Micro'!$B85=BC$2,'Atividades Micro'!$G85="Macro",'Atividades Micro'!$K85&lt;&gt;""),'Atividades Micro'!$K85,"")</f>
        <v/>
      </c>
      <c r="BD85" s="21" t="str">
        <f>IF(AND('Atividades Micro'!$B85=BD$2,'Atividades Micro'!$G85="Macro",'Atividades Micro'!$K85&lt;&gt;""),'Atividades Micro'!$K85,"")</f>
        <v/>
      </c>
      <c r="BE85" s="21" t="str">
        <f>IF(AND('Atividades Micro'!$B85=BE$2,'Atividades Micro'!$G85="Macro",'Atividades Micro'!$K85&lt;&gt;""),'Atividades Micro'!$K85,"")</f>
        <v/>
      </c>
      <c r="BF85" s="21" t="str">
        <f>IF(AND('Atividades Micro'!$B85=BF$2,'Atividades Micro'!$G85="Macro",'Atividades Micro'!$K85&lt;&gt;""),'Atividades Micro'!$K85,"")</f>
        <v/>
      </c>
      <c r="BG85" s="21" t="str">
        <f>IF(AND('Atividades Micro'!$B85=BG$2,'Atividades Micro'!$G85="Macro",'Atividades Micro'!$K85&lt;&gt;""),'Atividades Micro'!$K85,"")</f>
        <v/>
      </c>
      <c r="BH85" s="21" t="str">
        <f>IF(AND('Atividades Micro'!$B85=BH$2,'Atividades Micro'!$G85="Macro",'Atividades Micro'!$K85&lt;&gt;""),'Atividades Micro'!$K85,"")</f>
        <v/>
      </c>
      <c r="BI85" s="21" t="str">
        <f>IF(AND('Atividades Micro'!$B85=BI$2,'Atividades Micro'!$G85="Macro",'Atividades Micro'!$K85&lt;&gt;""),'Atividades Micro'!$K85,"")</f>
        <v/>
      </c>
      <c r="BJ85" s="21" t="str">
        <f>IF(AND('Atividades Micro'!$B85=BJ$2,'Atividades Micro'!$G85="Macro",'Atividades Micro'!$K85&lt;&gt;""),'Atividades Micro'!$K85,"")</f>
        <v/>
      </c>
      <c r="BK85" s="21" t="str">
        <f>IF(AND('Atividades Micro'!$B85=BK$2,'Atividades Micro'!$G85="Macro",'Atividades Micro'!$K85&lt;&gt;""),'Atividades Micro'!$K85,"")</f>
        <v/>
      </c>
      <c r="BL85" s="21" t="str">
        <f>IF(AND('Atividades Micro'!$B85=BL$2,'Atividades Micro'!$G85="Macro",'Atividades Micro'!$K85&lt;&gt;""),'Atividades Micro'!$K85,"")</f>
        <v/>
      </c>
      <c r="BM85" s="21" t="str">
        <f>IF(AND('Atividades Micro'!$B85=BM$2,'Atividades Micro'!$G85="Macro",'Atividades Micro'!$K85&lt;&gt;""),'Atividades Micro'!$K85,"")</f>
        <v/>
      </c>
      <c r="BN85" s="21" t="str">
        <f>IF(AND('Atividades Micro'!$B85=BN$2,'Atividades Micro'!$G85="Macro",'Atividades Micro'!$K85&lt;&gt;""),'Atividades Micro'!$K85,"")</f>
        <v/>
      </c>
      <c r="BO85" s="21" t="str">
        <f>IF(AND('Atividades Micro'!$B85=BO$2,'Atividades Micro'!$G85="Macro",'Atividades Micro'!$K85&lt;&gt;""),'Atividades Micro'!$K85,"")</f>
        <v/>
      </c>
      <c r="BP85" s="21" t="str">
        <f>IF(AND('Atividades Micro'!$B85=BP$2,'Atividades Micro'!$G85="Macro",'Atividades Micro'!$K85&lt;&gt;""),'Atividades Micro'!$K85,"")</f>
        <v/>
      </c>
      <c r="BQ85" s="21" t="str">
        <f>IF(AND('Atividades Micro'!$B85=BQ$2,'Atividades Micro'!$G85="Macro",'Atividades Micro'!$K85&lt;&gt;""),'Atividades Micro'!$K85,"")</f>
        <v/>
      </c>
      <c r="BR85" s="21" t="str">
        <f>IF(AND('Atividades Micro'!$B85=BR$2,'Atividades Micro'!$G85="Macro",'Atividades Micro'!$K85&lt;&gt;""),'Atividades Micro'!$K85,"")</f>
        <v/>
      </c>
      <c r="BS85" s="21" t="str">
        <f>IF(AND('Atividades Micro'!$B85=BS$2,'Atividades Micro'!$G85="Macro",'Atividades Micro'!$K85&lt;&gt;""),'Atividades Micro'!$K85,"")</f>
        <v/>
      </c>
      <c r="BT85" s="21" t="str">
        <f>IF(AND('Atividades Micro'!$B85=BT$2,'Atividades Micro'!$G85="Macro",'Atividades Micro'!$K85&lt;&gt;""),'Atividades Micro'!$K85,"")</f>
        <v/>
      </c>
      <c r="BU85" s="21" t="str">
        <f>IF(AND('Atividades Micro'!$B85=BU$2,'Atividades Micro'!$G85="Macro",'Atividades Micro'!$K85&lt;&gt;""),'Atividades Micro'!$K85,"")</f>
        <v/>
      </c>
      <c r="BV85" s="21" t="str">
        <f>IF(AND('Atividades Micro'!$B85=BV$2,'Atividades Micro'!$G85="Macro",'Atividades Micro'!$K85&lt;&gt;""),'Atividades Micro'!$K85,"")</f>
        <v/>
      </c>
      <c r="BW85" s="21" t="str">
        <f>IF(AND('Atividades Micro'!$B85=BW$2,'Atividades Micro'!$G85="Macro",'Atividades Micro'!$K85&lt;&gt;""),'Atividades Micro'!$K85,"")</f>
        <v/>
      </c>
      <c r="BX85" s="21" t="str">
        <f>IF(AND('Atividades Micro'!$B85=BX$2,'Atividades Micro'!$G85="Macro",'Atividades Micro'!$K85&lt;&gt;""),'Atividades Micro'!$K85,"")</f>
        <v/>
      </c>
      <c r="BY85" s="21" t="str">
        <f>IF(AND('Atividades Micro'!$B85=BY$2,'Atividades Micro'!$G85="Macro",'Atividades Micro'!$K85&lt;&gt;""),'Atividades Micro'!$K85,"")</f>
        <v/>
      </c>
      <c r="BZ85" s="21" t="str">
        <f>IF(AND('Atividades Micro'!$B85=BZ$2,'Atividades Micro'!$G85="Macro",'Atividades Micro'!$K85&lt;&gt;""),'Atividades Micro'!$K85,"")</f>
        <v/>
      </c>
      <c r="CA85" s="21" t="str">
        <f>IF(AND('Atividades Micro'!$B85=CA$2,'Atividades Micro'!$G85="Macro",'Atividades Micro'!$K85&lt;&gt;""),'Atividades Micro'!$K85,"")</f>
        <v/>
      </c>
      <c r="CB85" s="21" t="str">
        <f>IF(AND('Atividades Micro'!$B85=CB$2,'Atividades Micro'!$G85="Macro",'Atividades Micro'!$K85&lt;&gt;""),'Atividades Micro'!$K85,"")</f>
        <v/>
      </c>
      <c r="CC85" s="21" t="str">
        <f>IF(AND('Atividades Micro'!$B85=CC$2,'Atividades Micro'!$G85="Macro",'Atividades Micro'!$K85&lt;&gt;""),'Atividades Micro'!$K85,"")</f>
        <v/>
      </c>
      <c r="CD85" s="21" t="str">
        <f>IF(AND('Atividades Micro'!$B85=CD$2,'Atividades Micro'!$G85="Micro",'Atividades Micro'!$K85&lt;&gt;""),'Atividades Micro'!$K85,"")</f>
        <v/>
      </c>
      <c r="CE85" s="21">
        <f>IF(AND('Atividades Micro'!$B85=CE$2,'Atividades Micro'!$G85="Micro",'Atividades Micro'!$K85&lt;&gt;""),'Atividades Micro'!$K85,"")</f>
        <v>46374</v>
      </c>
      <c r="CF85" s="21" t="str">
        <f>IF(AND('Atividades Micro'!$B85=CF$2,'Atividades Micro'!$G85="Micro",'Atividades Micro'!$K85&lt;&gt;""),'Atividades Micro'!$K85,"")</f>
        <v/>
      </c>
      <c r="CG85" s="21" t="str">
        <f>IF(AND('Atividades Micro'!$B85=CG$2,'Atividades Micro'!$G85="Micro",'Atividades Micro'!$K85&lt;&gt;""),'Atividades Micro'!$K85,"")</f>
        <v/>
      </c>
      <c r="CH85" s="21" t="str">
        <f>IF(AND('Atividades Micro'!$B85=CH$2,'Atividades Micro'!$G85="Micro",'Atividades Micro'!$K85&lt;&gt;""),'Atividades Micro'!$K85,"")</f>
        <v/>
      </c>
      <c r="CI85" s="21" t="str">
        <f>IF(AND('Atividades Micro'!$B85=CI$2,'Atividades Micro'!$G85="Micro",'Atividades Micro'!$K85&lt;&gt;""),'Atividades Micro'!$K85,"")</f>
        <v/>
      </c>
      <c r="CJ85" s="21" t="str">
        <f>IF(AND('Atividades Micro'!$B85=CJ$2,'Atividades Micro'!$G85="Micro",'Atividades Micro'!$K85&lt;&gt;""),'Atividades Micro'!$K85,"")</f>
        <v/>
      </c>
      <c r="CK85" s="21" t="str">
        <f>IF(AND('Atividades Micro'!$B85=CK$2,'Atividades Micro'!$G85="Micro",'Atividades Micro'!$K85&lt;&gt;""),'Atividades Micro'!$K85,"")</f>
        <v/>
      </c>
      <c r="CL85" s="21" t="str">
        <f>IF(AND('Atividades Micro'!$B85=CL$2,'Atividades Micro'!$G85="Micro",'Atividades Micro'!$K85&lt;&gt;""),'Atividades Micro'!$K85,"")</f>
        <v/>
      </c>
      <c r="CM85" s="21" t="str">
        <f>IF(AND('Atividades Micro'!$B85=CM$2,'Atividades Micro'!$G85="Micro",'Atividades Micro'!$K85&lt;&gt;""),'Atividades Micro'!$K85,"")</f>
        <v/>
      </c>
      <c r="CN85" s="21" t="str">
        <f>IF(AND('Atividades Micro'!$B85=CN$2,'Atividades Micro'!$G85="Micro",'Atividades Micro'!$K85&lt;&gt;""),'Atividades Micro'!$K85,"")</f>
        <v/>
      </c>
      <c r="CO85" s="21" t="str">
        <f>IF(AND('Atividades Micro'!$B85=CO$2,'Atividades Micro'!$G85="Micro",'Atividades Micro'!$K85&lt;&gt;""),'Atividades Micro'!$K85,"")</f>
        <v/>
      </c>
    </row>
    <row r="86" spans="1:93">
      <c r="A86" s="21" t="str">
        <f>IF(AND('Atividades Micro'!$A92=A$2,'Atividades Micro'!$K92&lt;&gt;""),'Atividades Micro'!$K92,"")</f>
        <v/>
      </c>
      <c r="B86" s="21" t="str">
        <f>IF(AND('Atividades Micro'!$A92=B$2,'Atividades Micro'!$L92&lt;&gt;""),'Atividades Micro'!$L92,"")</f>
        <v/>
      </c>
      <c r="C86" s="21" t="str">
        <f>IF(AND('Atividades Micro'!$A92=C$2,'Atividades Micro'!$K92&lt;&gt;""),'Atividades Micro'!$K92,"")</f>
        <v/>
      </c>
      <c r="D86" s="21" t="str">
        <f>IF(AND('Atividades Micro'!$A92=D$2,'Atividades Micro'!$L92&lt;&gt;""),'Atividades Micro'!$L92,"")</f>
        <v/>
      </c>
      <c r="E86" s="21" t="str">
        <f>IF(AND('Atividades Micro'!$A92=E$2,'Atividades Micro'!$K92&lt;&gt;""),'Atividades Micro'!$K92,"")</f>
        <v/>
      </c>
      <c r="F86" s="21" t="str">
        <f>IF(AND('Atividades Micro'!$A92=F$2,'Atividades Micro'!$L92&lt;&gt;""),'Atividades Micro'!$L92,"")</f>
        <v/>
      </c>
      <c r="G86" s="21" t="str">
        <f>IF(AND('Atividades Micro'!$A92=G$2,'Atividades Micro'!$K92&lt;&gt;""),'Atividades Micro'!$K92,"")</f>
        <v/>
      </c>
      <c r="H86" s="21" t="str">
        <f>IF(AND('Atividades Micro'!$A92=H$2,'Atividades Micro'!$L92&lt;&gt;""),'Atividades Micro'!$L92,"")</f>
        <v/>
      </c>
      <c r="I86" s="21" t="str">
        <f>IF(AND('Atividades Micro'!$A92=I$2,'Atividades Micro'!$K92&lt;&gt;""),'Atividades Micro'!$K92,"")</f>
        <v/>
      </c>
      <c r="J86" s="21" t="str">
        <f>IF(AND('Atividades Micro'!$A92=J$2,'Atividades Micro'!$L92&lt;&gt;""),'Atividades Micro'!$L92,"")</f>
        <v/>
      </c>
      <c r="K86" s="21" t="str">
        <f>IF(AND('Atividades Micro'!$B92=K$2,'Atividades Micro'!$K92&lt;&gt;""),'Atividades Micro'!$K92,"")</f>
        <v/>
      </c>
      <c r="L86" s="21" t="str">
        <f>IF(AND('Atividades Micro'!$B92=L$2,'Atividades Micro'!$L92&lt;&gt;""),'Atividades Micro'!$L92,"")</f>
        <v/>
      </c>
      <c r="M86" s="21" t="str">
        <f>IF(AND('Atividades Micro'!$B92=M$2,'Atividades Micro'!$K92&lt;&gt;""),'Atividades Micro'!$K92,"")</f>
        <v/>
      </c>
      <c r="N86" s="21" t="str">
        <f>IF(AND('Atividades Micro'!$B92=N$2,'Atividades Micro'!$L92&lt;&gt;""),'Atividades Micro'!$L92,"")</f>
        <v/>
      </c>
      <c r="O86" s="21" t="str">
        <f>IF(AND('Atividades Micro'!$A92=O$2,'Atividades Micro'!$K92&lt;&gt;""),'Atividades Micro'!$K92,"")</f>
        <v/>
      </c>
      <c r="P86" s="21" t="str">
        <f>IF(AND('Atividades Micro'!$A92=P$2,'Atividades Micro'!$L92&lt;&gt;""),'Atividades Micro'!$L92,"")</f>
        <v/>
      </c>
      <c r="Q86" s="21" t="str">
        <f>IF(AND('Atividades Micro'!$B92=Q$2,'Atividades Micro'!$K92&lt;&gt;""),'Atividades Micro'!$K92,"")</f>
        <v/>
      </c>
      <c r="R86" s="21" t="str">
        <f>IF(AND('Atividades Micro'!$B92=R$2,'Atividades Micro'!$L92&lt;&gt;""),'Atividades Micro'!$L92,"")</f>
        <v/>
      </c>
      <c r="S86" s="21" t="str">
        <f>IF(AND('Atividades Micro'!$A92=S$2,'Atividades Micro'!$K92&lt;&gt;""),'Atividades Micro'!$K92,"")</f>
        <v/>
      </c>
      <c r="T86" s="21" t="str">
        <f>IF(AND('Atividades Micro'!$A92=T$2,'Atividades Micro'!$L92&lt;&gt;""),'Atividades Micro'!$L92,"")</f>
        <v/>
      </c>
      <c r="U86" s="21" t="str">
        <f>IF(AND('Atividades Micro'!$B92=U$2,'Atividades Micro'!$K92&lt;&gt;""),'Atividades Micro'!$K92,"")</f>
        <v/>
      </c>
      <c r="V86" s="21" t="str">
        <f>IF(AND('Atividades Micro'!$B92=V$2,'Atividades Micro'!$L92&lt;&gt;""),'Atividades Micro'!$L92,"")</f>
        <v/>
      </c>
      <c r="W86" s="21" t="str">
        <f>IF(AND('Atividades Micro'!$B92=W$2,'Atividades Micro'!$K92&lt;&gt;""),'Atividades Micro'!$K92,"")</f>
        <v/>
      </c>
      <c r="X86" s="21" t="str">
        <f>IF(AND('Atividades Micro'!$B92=X$2,'Atividades Micro'!$L92&lt;&gt;""),'Atividades Micro'!$L92,"")</f>
        <v/>
      </c>
      <c r="Y86" s="21" t="str">
        <f>IF(AND('Atividades Micro'!$A92=Y$2,'Atividades Micro'!$K92&lt;&gt;""),'Atividades Micro'!$K92,"")</f>
        <v/>
      </c>
      <c r="Z86" s="21" t="str">
        <f>IF(AND('Atividades Micro'!$A92=Z$2,'Atividades Micro'!$L92&lt;&gt;""),'Atividades Micro'!$L92,"")</f>
        <v/>
      </c>
      <c r="AA86" s="21" t="str">
        <f>IF(AND('Atividades Micro'!$B92=AA$2,'Atividades Micro'!$K92&lt;&gt;""),'Atividades Micro'!$K92,"")</f>
        <v/>
      </c>
      <c r="AB86" s="21" t="str">
        <f>IF(AND('Atividades Micro'!$B92=AB$2,'Atividades Micro'!$L92&lt;&gt;""),'Atividades Micro'!$L92,"")</f>
        <v/>
      </c>
      <c r="AC86" s="21" t="str">
        <f>IF(AND('Atividades Micro'!$B92=AC$2,'Atividades Micro'!$K92&lt;&gt;""),'Atividades Micro'!$K92,"")</f>
        <v/>
      </c>
      <c r="AD86" s="21" t="str">
        <f>IF(AND('Atividades Micro'!$B92=AD$2,'Atividades Micro'!$L92&lt;&gt;""),'Atividades Micro'!$L92,"")</f>
        <v/>
      </c>
      <c r="AE86" s="21" t="str">
        <f>IF(AND('Atividades Micro'!$A92=AE$2,'Atividades Micro'!$K92&lt;&gt;""),'Atividades Micro'!$K92,"")</f>
        <v/>
      </c>
      <c r="AF86" s="21" t="str">
        <f>IF(AND('Atividades Micro'!$A92=AF$2,'Atividades Micro'!$L92&lt;&gt;""),'Atividades Micro'!$L92,"")</f>
        <v/>
      </c>
      <c r="AG86" s="21" t="str">
        <f>IF(AND('Atividades Micro'!$B92=AG$2,'Atividades Micro'!$K92&lt;&gt;""),'Atividades Micro'!$K92,"")</f>
        <v/>
      </c>
      <c r="AH86" s="21" t="str">
        <f>IF(AND('Atividades Micro'!$B92=AH$2,'Atividades Micro'!$L92&lt;&gt;""),'Atividades Micro'!$L92,"")</f>
        <v/>
      </c>
      <c r="AI86" s="21" t="str">
        <f>IF(AND('Atividades Micro'!$B92=AI$2,'Atividades Micro'!$K92&lt;&gt;""),'Atividades Micro'!$K92,"")</f>
        <v/>
      </c>
      <c r="AJ86" s="21" t="str">
        <f>IF(AND('Atividades Micro'!$B92=AJ$2,'Atividades Micro'!$L92&lt;&gt;""),'Atividades Micro'!$L92,"")</f>
        <v/>
      </c>
      <c r="AK86" s="21" t="str">
        <f>IF(AND('Atividades Micro'!$A92=AK$2,'Atividades Micro'!$K92&lt;&gt;""),'Atividades Micro'!$K92,"")</f>
        <v/>
      </c>
      <c r="AL86" s="21" t="str">
        <f>IF(AND('Atividades Micro'!$A92=AL$2,'Atividades Micro'!$L92&lt;&gt;""),'Atividades Micro'!$L92,"")</f>
        <v/>
      </c>
      <c r="AM86" s="21" t="str">
        <f>IF(AND('Atividades Micro'!$B92=AM$2,'Atividades Micro'!$K92&lt;&gt;""),'Atividades Micro'!$K92,"")</f>
        <v/>
      </c>
      <c r="AN86" s="21" t="str">
        <f>IF(AND('Atividades Micro'!$B92=AN$2,'Atividades Micro'!$L92&lt;&gt;""),'Atividades Micro'!$L92,"")</f>
        <v/>
      </c>
      <c r="AO86" s="21" t="str">
        <f>IF(AND('Atividades Micro'!$B92=AO$2,'Atividades Micro'!$K92&lt;&gt;""),'Atividades Micro'!$K92,"")</f>
        <v/>
      </c>
      <c r="AP86" s="21" t="str">
        <f>IF(AND('Atividades Micro'!$B92=AP$2,'Atividades Micro'!$L92&lt;&gt;""),'Atividades Micro'!$L92,"")</f>
        <v/>
      </c>
      <c r="AQ86" s="21" t="str">
        <f>IF(AND('Atividades Micro'!$A92=AQ$2,'Atividades Micro'!$K92&lt;&gt;""),'Atividades Micro'!$K92,"")</f>
        <v/>
      </c>
      <c r="AR86" s="21" t="str">
        <f>IF(AND('Atividades Micro'!$A92=AR$2,'Atividades Micro'!$L92&lt;&gt;""),'Atividades Micro'!$L92,"")</f>
        <v/>
      </c>
      <c r="AS86" s="21" t="str">
        <f>IF(AND('Atividades Micro'!$B92=AS$2,'Atividades Micro'!$K92&lt;&gt;""),'Atividades Micro'!$K92,"")</f>
        <v/>
      </c>
      <c r="AT86" s="21" t="str">
        <f>IF(AND('Atividades Micro'!$B92=AT$2,'Atividades Micro'!$L92&lt;&gt;""),'Atividades Micro'!$L92,"")</f>
        <v/>
      </c>
      <c r="AU86" s="21" t="str">
        <f>IF(AND('Atividades Micro'!$A92=AU$2,'Atividades Micro'!$K92&lt;&gt;""),'Atividades Micro'!$K92,"")</f>
        <v/>
      </c>
      <c r="AV86" s="21" t="str">
        <f>IF(AND('Atividades Micro'!$A92=AV$2,'Atividades Micro'!$L92&lt;&gt;""),'Atividades Micro'!$L92,"")</f>
        <v/>
      </c>
      <c r="AW86" s="21" t="str">
        <f>IF(AND('Atividades Micro'!$B92=AW$2,'Atividades Micro'!$K92&lt;&gt;""),'Atividades Micro'!$K92,"")</f>
        <v/>
      </c>
      <c r="AX86" s="21" t="str">
        <f>IF(AND('Atividades Micro'!$B92=AX$2,'Atividades Micro'!$L92&lt;&gt;""),'Atividades Micro'!$L92,"")</f>
        <v/>
      </c>
      <c r="AY86" s="21" t="str">
        <f>IF(AND('Atividades Micro'!$A92=AY$2,'Atividades Micro'!$K92&lt;&gt;""),'Atividades Micro'!$K92,"")</f>
        <v/>
      </c>
      <c r="AZ86" s="21" t="str">
        <f>IF(AND('Atividades Micro'!$A92=AZ$2,'Atividades Micro'!$L92&lt;&gt;""),'Atividades Micro'!$L92,"")</f>
        <v/>
      </c>
      <c r="BA86" s="21" t="str">
        <f>IF(AND('Atividades Micro'!$B92=BA$2,'Atividades Micro'!$K92&lt;&gt;""),'Atividades Micro'!$K92,"")</f>
        <v/>
      </c>
      <c r="BB86" s="21" t="str">
        <f>IF(AND('Atividades Micro'!$B92=BB$2,'Atividades Micro'!$L92&lt;&gt;""),'Atividades Micro'!$L92,"")</f>
        <v/>
      </c>
      <c r="BC86" s="21" t="str">
        <f>IF(AND('Atividades Micro'!$B92=BC$2,'Atividades Micro'!$G92="Macro",'Atividades Micro'!$K92&lt;&gt;""),'Atividades Micro'!$K92,"")</f>
        <v/>
      </c>
      <c r="BD86" s="21" t="str">
        <f>IF(AND('Atividades Micro'!$B92=BD$2,'Atividades Micro'!$G92="Macro",'Atividades Micro'!$K92&lt;&gt;""),'Atividades Micro'!$K92,"")</f>
        <v/>
      </c>
      <c r="BE86" s="21" t="str">
        <f>IF(AND('Atividades Micro'!$B92=BE$2,'Atividades Micro'!$G92="Macro",'Atividades Micro'!$K92&lt;&gt;""),'Atividades Micro'!$K92,"")</f>
        <v/>
      </c>
      <c r="BF86" s="21" t="str">
        <f>IF(AND('Atividades Micro'!$B92=BF$2,'Atividades Micro'!$G92="Macro",'Atividades Micro'!$K92&lt;&gt;""),'Atividades Micro'!$K92,"")</f>
        <v/>
      </c>
      <c r="BG86" s="21" t="str">
        <f>IF(AND('Atividades Micro'!$B92=BG$2,'Atividades Micro'!$G92="Macro",'Atividades Micro'!$K92&lt;&gt;""),'Atividades Micro'!$K92,"")</f>
        <v/>
      </c>
      <c r="BH86" s="21" t="str">
        <f>IF(AND('Atividades Micro'!$B92=BH$2,'Atividades Micro'!$G92="Macro",'Atividades Micro'!$K92&lt;&gt;""),'Atividades Micro'!$K92,"")</f>
        <v/>
      </c>
      <c r="BI86" s="21" t="str">
        <f>IF(AND('Atividades Micro'!$B92=BI$2,'Atividades Micro'!$G92="Macro",'Atividades Micro'!$K92&lt;&gt;""),'Atividades Micro'!$K92,"")</f>
        <v/>
      </c>
      <c r="BJ86" s="21" t="str">
        <f>IF(AND('Atividades Micro'!$B92=BJ$2,'Atividades Micro'!$G92="Macro",'Atividades Micro'!$K92&lt;&gt;""),'Atividades Micro'!$K92,"")</f>
        <v/>
      </c>
      <c r="BK86" s="21" t="str">
        <f>IF(AND('Atividades Micro'!$B92=BK$2,'Atividades Micro'!$G92="Macro",'Atividades Micro'!$K92&lt;&gt;""),'Atividades Micro'!$K92,"")</f>
        <v/>
      </c>
      <c r="BL86" s="21" t="str">
        <f>IF(AND('Atividades Micro'!$B92=BL$2,'Atividades Micro'!$G92="Macro",'Atividades Micro'!$K92&lt;&gt;""),'Atividades Micro'!$K92,"")</f>
        <v/>
      </c>
      <c r="BM86" s="21" t="str">
        <f>IF(AND('Atividades Micro'!$B92=BM$2,'Atividades Micro'!$G92="Macro",'Atividades Micro'!$K92&lt;&gt;""),'Atividades Micro'!$K92,"")</f>
        <v/>
      </c>
      <c r="BN86" s="21" t="str">
        <f>IF(AND('Atividades Micro'!$B92=BN$2,'Atividades Micro'!$G92="Macro",'Atividades Micro'!$K92&lt;&gt;""),'Atividades Micro'!$K92,"")</f>
        <v/>
      </c>
      <c r="BO86" s="21" t="str">
        <f>IF(AND('Atividades Micro'!$B92=BO$2,'Atividades Micro'!$G92="Macro",'Atividades Micro'!$K92&lt;&gt;""),'Atividades Micro'!$K92,"")</f>
        <v/>
      </c>
      <c r="BP86" s="21" t="str">
        <f>IF(AND('Atividades Micro'!$B92=BP$2,'Atividades Micro'!$G92="Macro",'Atividades Micro'!$K92&lt;&gt;""),'Atividades Micro'!$K92,"")</f>
        <v/>
      </c>
      <c r="BQ86" s="21" t="str">
        <f>IF(AND('Atividades Micro'!$B92=BQ$2,'Atividades Micro'!$G92="Macro",'Atividades Micro'!$K92&lt;&gt;""),'Atividades Micro'!$K92,"")</f>
        <v/>
      </c>
      <c r="BR86" s="21" t="str">
        <f>IF(AND('Atividades Micro'!$B92=BR$2,'Atividades Micro'!$G92="Macro",'Atividades Micro'!$K92&lt;&gt;""),'Atividades Micro'!$K92,"")</f>
        <v/>
      </c>
      <c r="BS86" s="21" t="str">
        <f>IF(AND('Atividades Micro'!$B92=BS$2,'Atividades Micro'!$G92="Macro",'Atividades Micro'!$K92&lt;&gt;""),'Atividades Micro'!$K92,"")</f>
        <v/>
      </c>
      <c r="BT86" s="21" t="str">
        <f>IF(AND('Atividades Micro'!$B92=BT$2,'Atividades Micro'!$G92="Macro",'Atividades Micro'!$K92&lt;&gt;""),'Atividades Micro'!$K92,"")</f>
        <v/>
      </c>
      <c r="BU86" s="21" t="str">
        <f>IF(AND('Atividades Micro'!$B92=BU$2,'Atividades Micro'!$G92="Macro",'Atividades Micro'!$K92&lt;&gt;""),'Atividades Micro'!$K92,"")</f>
        <v/>
      </c>
      <c r="BV86" s="21" t="str">
        <f>IF(AND('Atividades Micro'!$B92=BV$2,'Atividades Micro'!$G92="Macro",'Atividades Micro'!$K92&lt;&gt;""),'Atividades Micro'!$K92,"")</f>
        <v/>
      </c>
      <c r="BW86" s="21" t="str">
        <f>IF(AND('Atividades Micro'!$B92=BW$2,'Atividades Micro'!$G92="Macro",'Atividades Micro'!$K92&lt;&gt;""),'Atividades Micro'!$K92,"")</f>
        <v/>
      </c>
      <c r="BX86" s="21" t="str">
        <f>IF(AND('Atividades Micro'!$B92=BX$2,'Atividades Micro'!$G92="Macro",'Atividades Micro'!$K92&lt;&gt;""),'Atividades Micro'!$K92,"")</f>
        <v/>
      </c>
      <c r="BY86" s="21" t="str">
        <f>IF(AND('Atividades Micro'!$B92=BY$2,'Atividades Micro'!$G92="Macro",'Atividades Micro'!$K92&lt;&gt;""),'Atividades Micro'!$K92,"")</f>
        <v/>
      </c>
      <c r="BZ86" s="21" t="str">
        <f>IF(AND('Atividades Micro'!$B92=BZ$2,'Atividades Micro'!$G92="Macro",'Atividades Micro'!$K92&lt;&gt;""),'Atividades Micro'!$K92,"")</f>
        <v/>
      </c>
      <c r="CA86" s="21" t="str">
        <f>IF(AND('Atividades Micro'!$B92=CA$2,'Atividades Micro'!$G92="Macro",'Atividades Micro'!$K92&lt;&gt;""),'Atividades Micro'!$K92,"")</f>
        <v/>
      </c>
      <c r="CB86" s="21" t="str">
        <f>IF(AND('Atividades Micro'!$B92=CB$2,'Atividades Micro'!$G92="Macro",'Atividades Micro'!$K92&lt;&gt;""),'Atividades Micro'!$K92,"")</f>
        <v/>
      </c>
      <c r="CC86" s="21" t="str">
        <f>IF(AND('Atividades Micro'!$B92=CC$2,'Atividades Micro'!$G92="Macro",'Atividades Micro'!$K92&lt;&gt;""),'Atividades Micro'!$K92,"")</f>
        <v/>
      </c>
      <c r="CD86" s="21" t="str">
        <f>IF(AND('Atividades Micro'!$B92=CD$2,'Atividades Micro'!$G92="Micro",'Atividades Micro'!$K92&lt;&gt;""),'Atividades Micro'!$K92,"")</f>
        <v/>
      </c>
      <c r="CE86" s="21" t="str">
        <f>IF(AND('Atividades Micro'!$B92=CE$2,'Atividades Micro'!$G92="Micro",'Atividades Micro'!$K92&lt;&gt;""),'Atividades Micro'!$K92,"")</f>
        <v/>
      </c>
      <c r="CF86" s="21" t="str">
        <f>IF(AND('Atividades Micro'!$B92=CF$2,'Atividades Micro'!$G92="Micro",'Atividades Micro'!$K92&lt;&gt;""),'Atividades Micro'!$K92,"")</f>
        <v/>
      </c>
      <c r="CG86" s="21" t="str">
        <f>IF(AND('Atividades Micro'!$B92=CG$2,'Atividades Micro'!$G92="Micro",'Atividades Micro'!$K92&lt;&gt;""),'Atividades Micro'!$K92,"")</f>
        <v/>
      </c>
      <c r="CH86" s="21" t="str">
        <f>IF(AND('Atividades Micro'!$B92=CH$2,'Atividades Micro'!$G92="Micro",'Atividades Micro'!$K92&lt;&gt;""),'Atividades Micro'!$K92,"")</f>
        <v/>
      </c>
      <c r="CI86" s="21" t="str">
        <f>IF(AND('Atividades Micro'!$B92=CI$2,'Atividades Micro'!$G92="Micro",'Atividades Micro'!$K92&lt;&gt;""),'Atividades Micro'!$K92,"")</f>
        <v/>
      </c>
      <c r="CJ86" s="21" t="str">
        <f>IF(AND('Atividades Micro'!$B92=CJ$2,'Atividades Micro'!$G92="Micro",'Atividades Micro'!$K92&lt;&gt;""),'Atividades Micro'!$K92,"")</f>
        <v/>
      </c>
      <c r="CK86" s="21" t="str">
        <f>IF(AND('Atividades Micro'!$B92=CK$2,'Atividades Micro'!$G92="Micro",'Atividades Micro'!$K92&lt;&gt;""),'Atividades Micro'!$K92,"")</f>
        <v/>
      </c>
      <c r="CL86" s="21" t="str">
        <f>IF(AND('Atividades Micro'!$B92=CL$2,'Atividades Micro'!$G92="Micro",'Atividades Micro'!$K92&lt;&gt;""),'Atividades Micro'!$K92,"")</f>
        <v/>
      </c>
      <c r="CM86" s="21" t="str">
        <f>IF(AND('Atividades Micro'!$B92=CM$2,'Atividades Micro'!$G92="Micro",'Atividades Micro'!$K92&lt;&gt;""),'Atividades Micro'!$K92,"")</f>
        <v/>
      </c>
      <c r="CN86" s="21" t="str">
        <f>IF(AND('Atividades Micro'!$B92=CN$2,'Atividades Micro'!$G92="Micro",'Atividades Micro'!$K92&lt;&gt;""),'Atividades Micro'!$K92,"")</f>
        <v/>
      </c>
      <c r="CO86" s="21" t="str">
        <f>IF(AND('Atividades Micro'!$B92=CO$2,'Atividades Micro'!$G92="Micro",'Atividades Micro'!$K92&lt;&gt;""),'Atividades Micro'!$K92,"")</f>
        <v/>
      </c>
    </row>
    <row r="87" spans="1:93">
      <c r="A87" s="21" t="str">
        <f>IF(AND('Atividades Micro'!$A93=A$2,'Atividades Micro'!$K93&lt;&gt;""),'Atividades Micro'!$K93,"")</f>
        <v/>
      </c>
      <c r="B87" s="21" t="str">
        <f>IF(AND('Atividades Micro'!$A93=B$2,'Atividades Micro'!$L93&lt;&gt;""),'Atividades Micro'!$L93,"")</f>
        <v/>
      </c>
      <c r="C87" s="21" t="str">
        <f>IF(AND('Atividades Micro'!$A93=C$2,'Atividades Micro'!$K93&lt;&gt;""),'Atividades Micro'!$K93,"")</f>
        <v/>
      </c>
      <c r="D87" s="21" t="str">
        <f>IF(AND('Atividades Micro'!$A93=D$2,'Atividades Micro'!$L93&lt;&gt;""),'Atividades Micro'!$L93,"")</f>
        <v/>
      </c>
      <c r="E87" s="21" t="str">
        <f>IF(AND('Atividades Micro'!$A93=E$2,'Atividades Micro'!$K93&lt;&gt;""),'Atividades Micro'!$K93,"")</f>
        <v/>
      </c>
      <c r="F87" s="21" t="str">
        <f>IF(AND('Atividades Micro'!$A93=F$2,'Atividades Micro'!$L93&lt;&gt;""),'Atividades Micro'!$L93,"")</f>
        <v/>
      </c>
      <c r="G87" s="21" t="str">
        <f>IF(AND('Atividades Micro'!$A93=G$2,'Atividades Micro'!$K93&lt;&gt;""),'Atividades Micro'!$K93,"")</f>
        <v/>
      </c>
      <c r="H87" s="21" t="str">
        <f>IF(AND('Atividades Micro'!$A93=H$2,'Atividades Micro'!$L93&lt;&gt;""),'Atividades Micro'!$L93,"")</f>
        <v/>
      </c>
      <c r="I87" s="21">
        <f>IF(AND('Atividades Micro'!$A93=I$2,'Atividades Micro'!$K93&lt;&gt;""),'Atividades Micro'!$K93,"")</f>
        <v>46252</v>
      </c>
      <c r="J87" s="21">
        <f>IF(AND('Atividades Micro'!$A93=J$2,'Atividades Micro'!$L93&lt;&gt;""),'Atividades Micro'!$L93,"")</f>
        <v>46276</v>
      </c>
      <c r="K87" s="21" t="str">
        <f>IF(AND('Atividades Micro'!$B93=K$2,'Atividades Micro'!$K93&lt;&gt;""),'Atividades Micro'!$K93,"")</f>
        <v/>
      </c>
      <c r="L87" s="21" t="str">
        <f>IF(AND('Atividades Micro'!$B93=L$2,'Atividades Micro'!$L93&lt;&gt;""),'Atividades Micro'!$L93,"")</f>
        <v/>
      </c>
      <c r="M87" s="21">
        <f>IF(AND('Atividades Micro'!$B93=M$2,'Atividades Micro'!$K93&lt;&gt;""),'Atividades Micro'!$K93,"")</f>
        <v>46252</v>
      </c>
      <c r="N87" s="21">
        <f>IF(AND('Atividades Micro'!$B93=N$2,'Atividades Micro'!$L93&lt;&gt;""),'Atividades Micro'!$L93,"")</f>
        <v>46276</v>
      </c>
      <c r="O87" s="21" t="str">
        <f>IF(AND('Atividades Micro'!$A93=O$2,'Atividades Micro'!$K93&lt;&gt;""),'Atividades Micro'!$K93,"")</f>
        <v/>
      </c>
      <c r="P87" s="21" t="str">
        <f>IF(AND('Atividades Micro'!$A93=P$2,'Atividades Micro'!$L93&lt;&gt;""),'Atividades Micro'!$L93,"")</f>
        <v/>
      </c>
      <c r="Q87" s="21" t="str">
        <f>IF(AND('Atividades Micro'!$B93=Q$2,'Atividades Micro'!$K93&lt;&gt;""),'Atividades Micro'!$K93,"")</f>
        <v/>
      </c>
      <c r="R87" s="21" t="str">
        <f>IF(AND('Atividades Micro'!$B93=R$2,'Atividades Micro'!$L93&lt;&gt;""),'Atividades Micro'!$L93,"")</f>
        <v/>
      </c>
      <c r="S87" s="21" t="str">
        <f>IF(AND('Atividades Micro'!$A93=S$2,'Atividades Micro'!$K93&lt;&gt;""),'Atividades Micro'!$K93,"")</f>
        <v/>
      </c>
      <c r="T87" s="21" t="str">
        <f>IF(AND('Atividades Micro'!$A93=T$2,'Atividades Micro'!$L93&lt;&gt;""),'Atividades Micro'!$L93,"")</f>
        <v/>
      </c>
      <c r="U87" s="21" t="str">
        <f>IF(AND('Atividades Micro'!$B93=U$2,'Atividades Micro'!$K93&lt;&gt;""),'Atividades Micro'!$K93,"")</f>
        <v/>
      </c>
      <c r="V87" s="21" t="str">
        <f>IF(AND('Atividades Micro'!$B93=V$2,'Atividades Micro'!$L93&lt;&gt;""),'Atividades Micro'!$L93,"")</f>
        <v/>
      </c>
      <c r="W87" s="21" t="str">
        <f>IF(AND('Atividades Micro'!$B93=W$2,'Atividades Micro'!$K93&lt;&gt;""),'Atividades Micro'!$K93,"")</f>
        <v/>
      </c>
      <c r="X87" s="21" t="str">
        <f>IF(AND('Atividades Micro'!$B93=X$2,'Atividades Micro'!$L93&lt;&gt;""),'Atividades Micro'!$L93,"")</f>
        <v/>
      </c>
      <c r="Y87" s="21" t="str">
        <f>IF(AND('Atividades Micro'!$A93=Y$2,'Atividades Micro'!$K93&lt;&gt;""),'Atividades Micro'!$K93,"")</f>
        <v/>
      </c>
      <c r="Z87" s="21" t="str">
        <f>IF(AND('Atividades Micro'!$A93=Z$2,'Atividades Micro'!$L93&lt;&gt;""),'Atividades Micro'!$L93,"")</f>
        <v/>
      </c>
      <c r="AA87" s="21" t="str">
        <f>IF(AND('Atividades Micro'!$B93=AA$2,'Atividades Micro'!$K93&lt;&gt;""),'Atividades Micro'!$K93,"")</f>
        <v/>
      </c>
      <c r="AB87" s="21" t="str">
        <f>IF(AND('Atividades Micro'!$B93=AB$2,'Atividades Micro'!$L93&lt;&gt;""),'Atividades Micro'!$L93,"")</f>
        <v/>
      </c>
      <c r="AC87" s="21" t="str">
        <f>IF(AND('Atividades Micro'!$B93=AC$2,'Atividades Micro'!$K93&lt;&gt;""),'Atividades Micro'!$K93,"")</f>
        <v/>
      </c>
      <c r="AD87" s="21" t="str">
        <f>IF(AND('Atividades Micro'!$B93=AD$2,'Atividades Micro'!$L93&lt;&gt;""),'Atividades Micro'!$L93,"")</f>
        <v/>
      </c>
      <c r="AE87" s="21" t="str">
        <f>IF(AND('Atividades Micro'!$A93=AE$2,'Atividades Micro'!$K93&lt;&gt;""),'Atividades Micro'!$K93,"")</f>
        <v/>
      </c>
      <c r="AF87" s="21" t="str">
        <f>IF(AND('Atividades Micro'!$A93=AF$2,'Atividades Micro'!$L93&lt;&gt;""),'Atividades Micro'!$L93,"")</f>
        <v/>
      </c>
      <c r="AG87" s="21" t="str">
        <f>IF(AND('Atividades Micro'!$B93=AG$2,'Atividades Micro'!$K93&lt;&gt;""),'Atividades Micro'!$K93,"")</f>
        <v/>
      </c>
      <c r="AH87" s="21" t="str">
        <f>IF(AND('Atividades Micro'!$B93=AH$2,'Atividades Micro'!$L93&lt;&gt;""),'Atividades Micro'!$L93,"")</f>
        <v/>
      </c>
      <c r="AI87" s="21" t="str">
        <f>IF(AND('Atividades Micro'!$B93=AI$2,'Atividades Micro'!$K93&lt;&gt;""),'Atividades Micro'!$K93,"")</f>
        <v/>
      </c>
      <c r="AJ87" s="21" t="str">
        <f>IF(AND('Atividades Micro'!$B93=AJ$2,'Atividades Micro'!$L93&lt;&gt;""),'Atividades Micro'!$L93,"")</f>
        <v/>
      </c>
      <c r="AK87" s="21" t="str">
        <f>IF(AND('Atividades Micro'!$A93=AK$2,'Atividades Micro'!$K93&lt;&gt;""),'Atividades Micro'!$K93,"")</f>
        <v/>
      </c>
      <c r="AL87" s="21" t="str">
        <f>IF(AND('Atividades Micro'!$A93=AL$2,'Atividades Micro'!$L93&lt;&gt;""),'Atividades Micro'!$L93,"")</f>
        <v/>
      </c>
      <c r="AM87" s="21" t="str">
        <f>IF(AND('Atividades Micro'!$B93=AM$2,'Atividades Micro'!$K93&lt;&gt;""),'Atividades Micro'!$K93,"")</f>
        <v/>
      </c>
      <c r="AN87" s="21" t="str">
        <f>IF(AND('Atividades Micro'!$B93=AN$2,'Atividades Micro'!$L93&lt;&gt;""),'Atividades Micro'!$L93,"")</f>
        <v/>
      </c>
      <c r="AO87" s="21" t="str">
        <f>IF(AND('Atividades Micro'!$B93=AO$2,'Atividades Micro'!$K93&lt;&gt;""),'Atividades Micro'!$K93,"")</f>
        <v/>
      </c>
      <c r="AP87" s="21" t="str">
        <f>IF(AND('Atividades Micro'!$B93=AP$2,'Atividades Micro'!$L93&lt;&gt;""),'Atividades Micro'!$L93,"")</f>
        <v/>
      </c>
      <c r="AQ87" s="21" t="str">
        <f>IF(AND('Atividades Micro'!$A93=AQ$2,'Atividades Micro'!$K93&lt;&gt;""),'Atividades Micro'!$K93,"")</f>
        <v/>
      </c>
      <c r="AR87" s="21" t="str">
        <f>IF(AND('Atividades Micro'!$A93=AR$2,'Atividades Micro'!$L93&lt;&gt;""),'Atividades Micro'!$L93,"")</f>
        <v/>
      </c>
      <c r="AS87" s="21" t="str">
        <f>IF(AND('Atividades Micro'!$B93=AS$2,'Atividades Micro'!$K93&lt;&gt;""),'Atividades Micro'!$K93,"")</f>
        <v/>
      </c>
      <c r="AT87" s="21" t="str">
        <f>IF(AND('Atividades Micro'!$B93=AT$2,'Atividades Micro'!$L93&lt;&gt;""),'Atividades Micro'!$L93,"")</f>
        <v/>
      </c>
      <c r="AU87" s="21" t="str">
        <f>IF(AND('Atividades Micro'!$A93=AU$2,'Atividades Micro'!$K93&lt;&gt;""),'Atividades Micro'!$K93,"")</f>
        <v/>
      </c>
      <c r="AV87" s="21" t="str">
        <f>IF(AND('Atividades Micro'!$A93=AV$2,'Atividades Micro'!$L93&lt;&gt;""),'Atividades Micro'!$L93,"")</f>
        <v/>
      </c>
      <c r="AW87" s="21" t="str">
        <f>IF(AND('Atividades Micro'!$B93=AW$2,'Atividades Micro'!$K93&lt;&gt;""),'Atividades Micro'!$K93,"")</f>
        <v/>
      </c>
      <c r="AX87" s="21" t="str">
        <f>IF(AND('Atividades Micro'!$B93=AX$2,'Atividades Micro'!$L93&lt;&gt;""),'Atividades Micro'!$L93,"")</f>
        <v/>
      </c>
      <c r="AY87" s="21" t="str">
        <f>IF(AND('Atividades Micro'!$A93=AY$2,'Atividades Micro'!$K93&lt;&gt;""),'Atividades Micro'!$K93,"")</f>
        <v/>
      </c>
      <c r="AZ87" s="21" t="str">
        <f>IF(AND('Atividades Micro'!$A93=AZ$2,'Atividades Micro'!$L93&lt;&gt;""),'Atividades Micro'!$L93,"")</f>
        <v/>
      </c>
      <c r="BA87" s="21" t="str">
        <f>IF(AND('Atividades Micro'!$B93=BA$2,'Atividades Micro'!$K93&lt;&gt;""),'Atividades Micro'!$K93,"")</f>
        <v/>
      </c>
      <c r="BB87" s="21" t="str">
        <f>IF(AND('Atividades Micro'!$B93=BB$2,'Atividades Micro'!$L93&lt;&gt;""),'Atividades Micro'!$L93,"")</f>
        <v/>
      </c>
      <c r="BC87" s="21" t="str">
        <f>IF(AND('Atividades Micro'!$B93=BC$2,'Atividades Micro'!$G93="Macro",'Atividades Micro'!$K93&lt;&gt;""),'Atividades Micro'!$K93,"")</f>
        <v/>
      </c>
      <c r="BD87" s="21" t="str">
        <f>IF(AND('Atividades Micro'!$B93=BD$2,'Atividades Micro'!$G93="Macro",'Atividades Micro'!$K93&lt;&gt;""),'Atividades Micro'!$K93,"")</f>
        <v/>
      </c>
      <c r="BE87" s="21" t="str">
        <f>IF(AND('Atividades Micro'!$B93=BE$2,'Atividades Micro'!$G93="Macro",'Atividades Micro'!$K93&lt;&gt;""),'Atividades Micro'!$K93,"")</f>
        <v/>
      </c>
      <c r="BF87" s="21" t="str">
        <f>IF(AND('Atividades Micro'!$B93=BF$2,'Atividades Micro'!$G93="Macro",'Atividades Micro'!$K93&lt;&gt;""),'Atividades Micro'!$K93,"")</f>
        <v/>
      </c>
      <c r="BG87" s="21" t="str">
        <f>IF(AND('Atividades Micro'!$B93=BG$2,'Atividades Micro'!$G93="Macro",'Atividades Micro'!$K93&lt;&gt;""),'Atividades Micro'!$K93,"")</f>
        <v/>
      </c>
      <c r="BH87" s="21" t="str">
        <f>IF(AND('Atividades Micro'!$B93=BH$2,'Atividades Micro'!$G93="Macro",'Atividades Micro'!$K93&lt;&gt;""),'Atividades Micro'!$K93,"")</f>
        <v/>
      </c>
      <c r="BI87" s="21" t="str">
        <f>IF(AND('Atividades Micro'!$B93=BI$2,'Atividades Micro'!$G93="Macro",'Atividades Micro'!$K93&lt;&gt;""),'Atividades Micro'!$K93,"")</f>
        <v/>
      </c>
      <c r="BJ87" s="21" t="str">
        <f>IF(AND('Atividades Micro'!$B93=BJ$2,'Atividades Micro'!$G93="Macro",'Atividades Micro'!$K93&lt;&gt;""),'Atividades Micro'!$K93,"")</f>
        <v/>
      </c>
      <c r="BK87" s="21" t="str">
        <f>IF(AND('Atividades Micro'!$B93=BK$2,'Atividades Micro'!$G93="Macro",'Atividades Micro'!$K93&lt;&gt;""),'Atividades Micro'!$K93,"")</f>
        <v/>
      </c>
      <c r="BL87" s="21" t="str">
        <f>IF(AND('Atividades Micro'!$B93=BL$2,'Atividades Micro'!$G93="Macro",'Atividades Micro'!$K93&lt;&gt;""),'Atividades Micro'!$K93,"")</f>
        <v/>
      </c>
      <c r="BM87" s="21" t="str">
        <f>IF(AND('Atividades Micro'!$B93=BM$2,'Atividades Micro'!$G93="Macro",'Atividades Micro'!$K93&lt;&gt;""),'Atividades Micro'!$K93,"")</f>
        <v/>
      </c>
      <c r="BN87" s="21" t="str">
        <f>IF(AND('Atividades Micro'!$B93=BN$2,'Atividades Micro'!$G93="Macro",'Atividades Micro'!$K93&lt;&gt;""),'Atividades Micro'!$K93,"")</f>
        <v/>
      </c>
      <c r="BO87" s="21" t="str">
        <f>IF(AND('Atividades Micro'!$B93=BO$2,'Atividades Micro'!$G93="Macro",'Atividades Micro'!$K93&lt;&gt;""),'Atividades Micro'!$K93,"")</f>
        <v/>
      </c>
      <c r="BP87" s="21" t="str">
        <f>IF(AND('Atividades Micro'!$B93=BP$2,'Atividades Micro'!$G93="Macro",'Atividades Micro'!$K93&lt;&gt;""),'Atividades Micro'!$K93,"")</f>
        <v/>
      </c>
      <c r="BQ87" s="21" t="str">
        <f>IF(AND('Atividades Micro'!$B93=BQ$2,'Atividades Micro'!$G93="Macro",'Atividades Micro'!$K93&lt;&gt;""),'Atividades Micro'!$K93,"")</f>
        <v/>
      </c>
      <c r="BR87" s="21" t="str">
        <f>IF(AND('Atividades Micro'!$B93=BR$2,'Atividades Micro'!$G93="Macro",'Atividades Micro'!$K93&lt;&gt;""),'Atividades Micro'!$K93,"")</f>
        <v/>
      </c>
      <c r="BS87" s="21" t="str">
        <f>IF(AND('Atividades Micro'!$B93=BS$2,'Atividades Micro'!$G93="Macro",'Atividades Micro'!$K93&lt;&gt;""),'Atividades Micro'!$K93,"")</f>
        <v/>
      </c>
      <c r="BT87" s="21" t="str">
        <f>IF(AND('Atividades Micro'!$B93=BT$2,'Atividades Micro'!$G93="Macro",'Atividades Micro'!$K93&lt;&gt;""),'Atividades Micro'!$K93,"")</f>
        <v/>
      </c>
      <c r="BU87" s="21" t="str">
        <f>IF(AND('Atividades Micro'!$B93=BU$2,'Atividades Micro'!$G93="Macro",'Atividades Micro'!$K93&lt;&gt;""),'Atividades Micro'!$K93,"")</f>
        <v/>
      </c>
      <c r="BV87" s="21" t="str">
        <f>IF(AND('Atividades Micro'!$B93=BV$2,'Atividades Micro'!$G93="Macro",'Atividades Micro'!$K93&lt;&gt;""),'Atividades Micro'!$K93,"")</f>
        <v/>
      </c>
      <c r="BW87" s="21" t="str">
        <f>IF(AND('Atividades Micro'!$B93=BW$2,'Atividades Micro'!$G93="Macro",'Atividades Micro'!$K93&lt;&gt;""),'Atividades Micro'!$K93,"")</f>
        <v/>
      </c>
      <c r="BX87" s="21" t="str">
        <f>IF(AND('Atividades Micro'!$B93=BX$2,'Atividades Micro'!$G93="Macro",'Atividades Micro'!$K93&lt;&gt;""),'Atividades Micro'!$K93,"")</f>
        <v/>
      </c>
      <c r="BY87" s="21" t="str">
        <f>IF(AND('Atividades Micro'!$B93=BY$2,'Atividades Micro'!$G93="Macro",'Atividades Micro'!$K93&lt;&gt;""),'Atividades Micro'!$K93,"")</f>
        <v/>
      </c>
      <c r="BZ87" s="21" t="str">
        <f>IF(AND('Atividades Micro'!$B93=BZ$2,'Atividades Micro'!$G93="Macro",'Atividades Micro'!$K93&lt;&gt;""),'Atividades Micro'!$K93,"")</f>
        <v/>
      </c>
      <c r="CA87" s="21" t="str">
        <f>IF(AND('Atividades Micro'!$B93=CA$2,'Atividades Micro'!$G93="Macro",'Atividades Micro'!$K93&lt;&gt;""),'Atividades Micro'!$K93,"")</f>
        <v/>
      </c>
      <c r="CB87" s="21" t="str">
        <f>IF(AND('Atividades Micro'!$B93=CB$2,'Atividades Micro'!$G93="Macro",'Atividades Micro'!$K93&lt;&gt;""),'Atividades Micro'!$K93,"")</f>
        <v/>
      </c>
      <c r="CC87" s="21" t="str">
        <f>IF(AND('Atividades Micro'!$B93=CC$2,'Atividades Micro'!$G93="Macro",'Atividades Micro'!$K93&lt;&gt;""),'Atividades Micro'!$K93,"")</f>
        <v/>
      </c>
      <c r="CD87" s="21" t="str">
        <f>IF(AND('Atividades Micro'!$B93=CD$2,'Atividades Micro'!$G93="Micro",'Atividades Micro'!$K93&lt;&gt;""),'Atividades Micro'!$K93,"")</f>
        <v/>
      </c>
      <c r="CE87" s="21">
        <f>IF(AND('Atividades Micro'!$B93=CE$2,'Atividades Micro'!$G93="Micro",'Atividades Micro'!$K93&lt;&gt;""),'Atividades Micro'!$K93,"")</f>
        <v>46252</v>
      </c>
      <c r="CF87" s="21" t="str">
        <f>IF(AND('Atividades Micro'!$B93=CF$2,'Atividades Micro'!$G93="Micro",'Atividades Micro'!$K93&lt;&gt;""),'Atividades Micro'!$K93,"")</f>
        <v/>
      </c>
      <c r="CG87" s="21" t="str">
        <f>IF(AND('Atividades Micro'!$B93=CG$2,'Atividades Micro'!$G93="Micro",'Atividades Micro'!$K93&lt;&gt;""),'Atividades Micro'!$K93,"")</f>
        <v/>
      </c>
      <c r="CH87" s="21" t="str">
        <f>IF(AND('Atividades Micro'!$B93=CH$2,'Atividades Micro'!$G93="Micro",'Atividades Micro'!$K93&lt;&gt;""),'Atividades Micro'!$K93,"")</f>
        <v/>
      </c>
      <c r="CI87" s="21" t="str">
        <f>IF(AND('Atividades Micro'!$B93=CI$2,'Atividades Micro'!$G93="Micro",'Atividades Micro'!$K93&lt;&gt;""),'Atividades Micro'!$K93,"")</f>
        <v/>
      </c>
      <c r="CJ87" s="21" t="str">
        <f>IF(AND('Atividades Micro'!$B93=CJ$2,'Atividades Micro'!$G93="Micro",'Atividades Micro'!$K93&lt;&gt;""),'Atividades Micro'!$K93,"")</f>
        <v/>
      </c>
      <c r="CK87" s="21" t="str">
        <f>IF(AND('Atividades Micro'!$B93=CK$2,'Atividades Micro'!$G93="Micro",'Atividades Micro'!$K93&lt;&gt;""),'Atividades Micro'!$K93,"")</f>
        <v/>
      </c>
      <c r="CL87" s="21" t="str">
        <f>IF(AND('Atividades Micro'!$B93=CL$2,'Atividades Micro'!$G93="Micro",'Atividades Micro'!$K93&lt;&gt;""),'Atividades Micro'!$K93,"")</f>
        <v/>
      </c>
      <c r="CM87" s="21" t="str">
        <f>IF(AND('Atividades Micro'!$B93=CM$2,'Atividades Micro'!$G93="Micro",'Atividades Micro'!$K93&lt;&gt;""),'Atividades Micro'!$K93,"")</f>
        <v/>
      </c>
      <c r="CN87" s="21" t="str">
        <f>IF(AND('Atividades Micro'!$B93=CN$2,'Atividades Micro'!$G93="Micro",'Atividades Micro'!$K93&lt;&gt;""),'Atividades Micro'!$K93,"")</f>
        <v/>
      </c>
      <c r="CO87" s="21" t="str">
        <f>IF(AND('Atividades Micro'!$B93=CO$2,'Atividades Micro'!$G93="Micro",'Atividades Micro'!$K93&lt;&gt;""),'Atividades Micro'!$K93,"")</f>
        <v/>
      </c>
    </row>
    <row r="88" spans="1:93">
      <c r="A88" s="21" t="str">
        <f>IF(AND('Atividades Micro'!$A94=A$2,'Atividades Micro'!$K94&lt;&gt;""),'Atividades Micro'!$K94,"")</f>
        <v/>
      </c>
      <c r="B88" s="21" t="str">
        <f>IF(AND('Atividades Micro'!$A94=B$2,'Atividades Micro'!$L94&lt;&gt;""),'Atividades Micro'!$L94,"")</f>
        <v/>
      </c>
      <c r="C88" s="21" t="str">
        <f>IF(AND('Atividades Micro'!$A94=C$2,'Atividades Micro'!$K94&lt;&gt;""),'Atividades Micro'!$K94,"")</f>
        <v/>
      </c>
      <c r="D88" s="21" t="str">
        <f>IF(AND('Atividades Micro'!$A94=D$2,'Atividades Micro'!$L94&lt;&gt;""),'Atividades Micro'!$L94,"")</f>
        <v/>
      </c>
      <c r="E88" s="21" t="str">
        <f>IF(AND('Atividades Micro'!$A94=E$2,'Atividades Micro'!$K94&lt;&gt;""),'Atividades Micro'!$K94,"")</f>
        <v/>
      </c>
      <c r="F88" s="21" t="str">
        <f>IF(AND('Atividades Micro'!$A94=F$2,'Atividades Micro'!$L94&lt;&gt;""),'Atividades Micro'!$L94,"")</f>
        <v/>
      </c>
      <c r="G88" s="21" t="str">
        <f>IF(AND('Atividades Micro'!$A94=G$2,'Atividades Micro'!$K94&lt;&gt;""),'Atividades Micro'!$K94,"")</f>
        <v/>
      </c>
      <c r="H88" s="21" t="str">
        <f>IF(AND('Atividades Micro'!$A94=H$2,'Atividades Micro'!$L94&lt;&gt;""),'Atividades Micro'!$L94,"")</f>
        <v/>
      </c>
      <c r="I88" s="21">
        <f>IF(AND('Atividades Micro'!$A94=I$2,'Atividades Micro'!$K94&lt;&gt;""),'Atividades Micro'!$K94,"")</f>
        <v>46343</v>
      </c>
      <c r="J88" s="21" t="str">
        <f>IF(AND('Atividades Micro'!$A94=J$2,'Atividades Micro'!$L94&lt;&gt;""),'Atividades Micro'!$L94,"")</f>
        <v/>
      </c>
      <c r="K88" s="21" t="str">
        <f>IF(AND('Atividades Micro'!$B94=K$2,'Atividades Micro'!$K94&lt;&gt;""),'Atividades Micro'!$K94,"")</f>
        <v/>
      </c>
      <c r="L88" s="21" t="str">
        <f>IF(AND('Atividades Micro'!$B94=L$2,'Atividades Micro'!$L94&lt;&gt;""),'Atividades Micro'!$L94,"")</f>
        <v/>
      </c>
      <c r="M88" s="21">
        <f>IF(AND('Atividades Micro'!$B94=M$2,'Atividades Micro'!$K94&lt;&gt;""),'Atividades Micro'!$K94,"")</f>
        <v>46343</v>
      </c>
      <c r="N88" s="21" t="str">
        <f>IF(AND('Atividades Micro'!$B94=N$2,'Atividades Micro'!$L94&lt;&gt;""),'Atividades Micro'!$L94,"")</f>
        <v/>
      </c>
      <c r="O88" s="21" t="str">
        <f>IF(AND('Atividades Micro'!$A94=O$2,'Atividades Micro'!$K94&lt;&gt;""),'Atividades Micro'!$K94,"")</f>
        <v/>
      </c>
      <c r="P88" s="21" t="str">
        <f>IF(AND('Atividades Micro'!$A94=P$2,'Atividades Micro'!$L94&lt;&gt;""),'Atividades Micro'!$L94,"")</f>
        <v/>
      </c>
      <c r="Q88" s="21" t="str">
        <f>IF(AND('Atividades Micro'!$B94=Q$2,'Atividades Micro'!$K94&lt;&gt;""),'Atividades Micro'!$K94,"")</f>
        <v/>
      </c>
      <c r="R88" s="21" t="str">
        <f>IF(AND('Atividades Micro'!$B94=R$2,'Atividades Micro'!$L94&lt;&gt;""),'Atividades Micro'!$L94,"")</f>
        <v/>
      </c>
      <c r="S88" s="21" t="str">
        <f>IF(AND('Atividades Micro'!$A94=S$2,'Atividades Micro'!$K94&lt;&gt;""),'Atividades Micro'!$K94,"")</f>
        <v/>
      </c>
      <c r="T88" s="21" t="str">
        <f>IF(AND('Atividades Micro'!$A94=T$2,'Atividades Micro'!$L94&lt;&gt;""),'Atividades Micro'!$L94,"")</f>
        <v/>
      </c>
      <c r="U88" s="21" t="str">
        <f>IF(AND('Atividades Micro'!$B94=U$2,'Atividades Micro'!$K94&lt;&gt;""),'Atividades Micro'!$K94,"")</f>
        <v/>
      </c>
      <c r="V88" s="21" t="str">
        <f>IF(AND('Atividades Micro'!$B94=V$2,'Atividades Micro'!$L94&lt;&gt;""),'Atividades Micro'!$L94,"")</f>
        <v/>
      </c>
      <c r="W88" s="21" t="str">
        <f>IF(AND('Atividades Micro'!$B94=W$2,'Atividades Micro'!$K94&lt;&gt;""),'Atividades Micro'!$K94,"")</f>
        <v/>
      </c>
      <c r="X88" s="21" t="str">
        <f>IF(AND('Atividades Micro'!$B94=X$2,'Atividades Micro'!$L94&lt;&gt;""),'Atividades Micro'!$L94,"")</f>
        <v/>
      </c>
      <c r="Y88" s="21" t="str">
        <f>IF(AND('Atividades Micro'!$A94=Y$2,'Atividades Micro'!$K94&lt;&gt;""),'Atividades Micro'!$K94,"")</f>
        <v/>
      </c>
      <c r="Z88" s="21" t="str">
        <f>IF(AND('Atividades Micro'!$A94=Z$2,'Atividades Micro'!$L94&lt;&gt;""),'Atividades Micro'!$L94,"")</f>
        <v/>
      </c>
      <c r="AA88" s="21" t="str">
        <f>IF(AND('Atividades Micro'!$B94=AA$2,'Atividades Micro'!$K94&lt;&gt;""),'Atividades Micro'!$K94,"")</f>
        <v/>
      </c>
      <c r="AB88" s="21" t="str">
        <f>IF(AND('Atividades Micro'!$B94=AB$2,'Atividades Micro'!$L94&lt;&gt;""),'Atividades Micro'!$L94,"")</f>
        <v/>
      </c>
      <c r="AC88" s="21" t="str">
        <f>IF(AND('Atividades Micro'!$B94=AC$2,'Atividades Micro'!$K94&lt;&gt;""),'Atividades Micro'!$K94,"")</f>
        <v/>
      </c>
      <c r="AD88" s="21" t="str">
        <f>IF(AND('Atividades Micro'!$B94=AD$2,'Atividades Micro'!$L94&lt;&gt;""),'Atividades Micro'!$L94,"")</f>
        <v/>
      </c>
      <c r="AE88" s="21" t="str">
        <f>IF(AND('Atividades Micro'!$A94=AE$2,'Atividades Micro'!$K94&lt;&gt;""),'Atividades Micro'!$K94,"")</f>
        <v/>
      </c>
      <c r="AF88" s="21" t="str">
        <f>IF(AND('Atividades Micro'!$A94=AF$2,'Atividades Micro'!$L94&lt;&gt;""),'Atividades Micro'!$L94,"")</f>
        <v/>
      </c>
      <c r="AG88" s="21" t="str">
        <f>IF(AND('Atividades Micro'!$B94=AG$2,'Atividades Micro'!$K94&lt;&gt;""),'Atividades Micro'!$K94,"")</f>
        <v/>
      </c>
      <c r="AH88" s="21" t="str">
        <f>IF(AND('Atividades Micro'!$B94=AH$2,'Atividades Micro'!$L94&lt;&gt;""),'Atividades Micro'!$L94,"")</f>
        <v/>
      </c>
      <c r="AI88" s="21" t="str">
        <f>IF(AND('Atividades Micro'!$B94=AI$2,'Atividades Micro'!$K94&lt;&gt;""),'Atividades Micro'!$K94,"")</f>
        <v/>
      </c>
      <c r="AJ88" s="21" t="str">
        <f>IF(AND('Atividades Micro'!$B94=AJ$2,'Atividades Micro'!$L94&lt;&gt;""),'Atividades Micro'!$L94,"")</f>
        <v/>
      </c>
      <c r="AK88" s="21" t="str">
        <f>IF(AND('Atividades Micro'!$A94=AK$2,'Atividades Micro'!$K94&lt;&gt;""),'Atividades Micro'!$K94,"")</f>
        <v/>
      </c>
      <c r="AL88" s="21" t="str">
        <f>IF(AND('Atividades Micro'!$A94=AL$2,'Atividades Micro'!$L94&lt;&gt;""),'Atividades Micro'!$L94,"")</f>
        <v/>
      </c>
      <c r="AM88" s="21" t="str">
        <f>IF(AND('Atividades Micro'!$B94=AM$2,'Atividades Micro'!$K94&lt;&gt;""),'Atividades Micro'!$K94,"")</f>
        <v/>
      </c>
      <c r="AN88" s="21" t="str">
        <f>IF(AND('Atividades Micro'!$B94=AN$2,'Atividades Micro'!$L94&lt;&gt;""),'Atividades Micro'!$L94,"")</f>
        <v/>
      </c>
      <c r="AO88" s="21" t="str">
        <f>IF(AND('Atividades Micro'!$B94=AO$2,'Atividades Micro'!$K94&lt;&gt;""),'Atividades Micro'!$K94,"")</f>
        <v/>
      </c>
      <c r="AP88" s="21" t="str">
        <f>IF(AND('Atividades Micro'!$B94=AP$2,'Atividades Micro'!$L94&lt;&gt;""),'Atividades Micro'!$L94,"")</f>
        <v/>
      </c>
      <c r="AQ88" s="21" t="str">
        <f>IF(AND('Atividades Micro'!$A94=AQ$2,'Atividades Micro'!$K94&lt;&gt;""),'Atividades Micro'!$K94,"")</f>
        <v/>
      </c>
      <c r="AR88" s="21" t="str">
        <f>IF(AND('Atividades Micro'!$A94=AR$2,'Atividades Micro'!$L94&lt;&gt;""),'Atividades Micro'!$L94,"")</f>
        <v/>
      </c>
      <c r="AS88" s="21" t="str">
        <f>IF(AND('Atividades Micro'!$B94=AS$2,'Atividades Micro'!$K94&lt;&gt;""),'Atividades Micro'!$K94,"")</f>
        <v/>
      </c>
      <c r="AT88" s="21" t="str">
        <f>IF(AND('Atividades Micro'!$B94=AT$2,'Atividades Micro'!$L94&lt;&gt;""),'Atividades Micro'!$L94,"")</f>
        <v/>
      </c>
      <c r="AU88" s="21" t="str">
        <f>IF(AND('Atividades Micro'!$A94=AU$2,'Atividades Micro'!$K94&lt;&gt;""),'Atividades Micro'!$K94,"")</f>
        <v/>
      </c>
      <c r="AV88" s="21" t="str">
        <f>IF(AND('Atividades Micro'!$A94=AV$2,'Atividades Micro'!$L94&lt;&gt;""),'Atividades Micro'!$L94,"")</f>
        <v/>
      </c>
      <c r="AW88" s="21" t="str">
        <f>IF(AND('Atividades Micro'!$B94=AW$2,'Atividades Micro'!$K94&lt;&gt;""),'Atividades Micro'!$K94,"")</f>
        <v/>
      </c>
      <c r="AX88" s="21" t="str">
        <f>IF(AND('Atividades Micro'!$B94=AX$2,'Atividades Micro'!$L94&lt;&gt;""),'Atividades Micro'!$L94,"")</f>
        <v/>
      </c>
      <c r="AY88" s="21" t="str">
        <f>IF(AND('Atividades Micro'!$A94=AY$2,'Atividades Micro'!$K94&lt;&gt;""),'Atividades Micro'!$K94,"")</f>
        <v/>
      </c>
      <c r="AZ88" s="21" t="str">
        <f>IF(AND('Atividades Micro'!$A94=AZ$2,'Atividades Micro'!$L94&lt;&gt;""),'Atividades Micro'!$L94,"")</f>
        <v/>
      </c>
      <c r="BA88" s="21" t="str">
        <f>IF(AND('Atividades Micro'!$B94=BA$2,'Atividades Micro'!$K94&lt;&gt;""),'Atividades Micro'!$K94,"")</f>
        <v/>
      </c>
      <c r="BB88" s="21" t="str">
        <f>IF(AND('Atividades Micro'!$B94=BB$2,'Atividades Micro'!$L94&lt;&gt;""),'Atividades Micro'!$L94,"")</f>
        <v/>
      </c>
      <c r="BC88" s="21" t="str">
        <f>IF(AND('Atividades Micro'!$B94=BC$2,'Atividades Micro'!$G94="Macro",'Atividades Micro'!$K94&lt;&gt;""),'Atividades Micro'!$K94,"")</f>
        <v/>
      </c>
      <c r="BD88" s="21" t="str">
        <f>IF(AND('Atividades Micro'!$B94=BD$2,'Atividades Micro'!$G94="Macro",'Atividades Micro'!$K94&lt;&gt;""),'Atividades Micro'!$K94,"")</f>
        <v/>
      </c>
      <c r="BE88" s="21" t="str">
        <f>IF(AND('Atividades Micro'!$B94=BE$2,'Atividades Micro'!$G94="Macro",'Atividades Micro'!$K94&lt;&gt;""),'Atividades Micro'!$K94,"")</f>
        <v/>
      </c>
      <c r="BF88" s="21" t="str">
        <f>IF(AND('Atividades Micro'!$B94=BF$2,'Atividades Micro'!$G94="Macro",'Atividades Micro'!$K94&lt;&gt;""),'Atividades Micro'!$K94,"")</f>
        <v/>
      </c>
      <c r="BG88" s="21" t="str">
        <f>IF(AND('Atividades Micro'!$B94=BG$2,'Atividades Micro'!$G94="Macro",'Atividades Micro'!$K94&lt;&gt;""),'Atividades Micro'!$K94,"")</f>
        <v/>
      </c>
      <c r="BH88" s="21" t="str">
        <f>IF(AND('Atividades Micro'!$B94=BH$2,'Atividades Micro'!$G94="Macro",'Atividades Micro'!$K94&lt;&gt;""),'Atividades Micro'!$K94,"")</f>
        <v/>
      </c>
      <c r="BI88" s="21" t="str">
        <f>IF(AND('Atividades Micro'!$B94=BI$2,'Atividades Micro'!$G94="Macro",'Atividades Micro'!$K94&lt;&gt;""),'Atividades Micro'!$K94,"")</f>
        <v/>
      </c>
      <c r="BJ88" s="21" t="str">
        <f>IF(AND('Atividades Micro'!$B94=BJ$2,'Atividades Micro'!$G94="Macro",'Atividades Micro'!$K94&lt;&gt;""),'Atividades Micro'!$K94,"")</f>
        <v/>
      </c>
      <c r="BK88" s="21" t="str">
        <f>IF(AND('Atividades Micro'!$B94=BK$2,'Atividades Micro'!$G94="Macro",'Atividades Micro'!$K94&lt;&gt;""),'Atividades Micro'!$K94,"")</f>
        <v/>
      </c>
      <c r="BL88" s="21" t="str">
        <f>IF(AND('Atividades Micro'!$B94=BL$2,'Atividades Micro'!$G94="Macro",'Atividades Micro'!$K94&lt;&gt;""),'Atividades Micro'!$K94,"")</f>
        <v/>
      </c>
      <c r="BM88" s="21" t="str">
        <f>IF(AND('Atividades Micro'!$B94=BM$2,'Atividades Micro'!$G94="Macro",'Atividades Micro'!$K94&lt;&gt;""),'Atividades Micro'!$K94,"")</f>
        <v/>
      </c>
      <c r="BN88" s="21" t="str">
        <f>IF(AND('Atividades Micro'!$B94=BN$2,'Atividades Micro'!$G94="Macro",'Atividades Micro'!$K94&lt;&gt;""),'Atividades Micro'!$K94,"")</f>
        <v/>
      </c>
      <c r="BO88" s="21" t="str">
        <f>IF(AND('Atividades Micro'!$B94=BO$2,'Atividades Micro'!$G94="Macro",'Atividades Micro'!$K94&lt;&gt;""),'Atividades Micro'!$K94,"")</f>
        <v/>
      </c>
      <c r="BP88" s="21" t="str">
        <f>IF(AND('Atividades Micro'!$B94=BP$2,'Atividades Micro'!$G94="Macro",'Atividades Micro'!$K94&lt;&gt;""),'Atividades Micro'!$K94,"")</f>
        <v/>
      </c>
      <c r="BQ88" s="21" t="str">
        <f>IF(AND('Atividades Micro'!$B94=BQ$2,'Atividades Micro'!$G94="Macro",'Atividades Micro'!$K94&lt;&gt;""),'Atividades Micro'!$K94,"")</f>
        <v/>
      </c>
      <c r="BR88" s="21" t="str">
        <f>IF(AND('Atividades Micro'!$B94=BR$2,'Atividades Micro'!$G94="Macro",'Atividades Micro'!$K94&lt;&gt;""),'Atividades Micro'!$K94,"")</f>
        <v/>
      </c>
      <c r="BS88" s="21" t="str">
        <f>IF(AND('Atividades Micro'!$B94=BS$2,'Atividades Micro'!$G94="Macro",'Atividades Micro'!$K94&lt;&gt;""),'Atividades Micro'!$K94,"")</f>
        <v/>
      </c>
      <c r="BT88" s="21" t="str">
        <f>IF(AND('Atividades Micro'!$B94=BT$2,'Atividades Micro'!$G94="Macro",'Atividades Micro'!$K94&lt;&gt;""),'Atividades Micro'!$K94,"")</f>
        <v/>
      </c>
      <c r="BU88" s="21" t="str">
        <f>IF(AND('Atividades Micro'!$B94=BU$2,'Atividades Micro'!$G94="Macro",'Atividades Micro'!$K94&lt;&gt;""),'Atividades Micro'!$K94,"")</f>
        <v/>
      </c>
      <c r="BV88" s="21" t="str">
        <f>IF(AND('Atividades Micro'!$B94=BV$2,'Atividades Micro'!$G94="Macro",'Atividades Micro'!$K94&lt;&gt;""),'Atividades Micro'!$K94,"")</f>
        <v/>
      </c>
      <c r="BW88" s="21" t="str">
        <f>IF(AND('Atividades Micro'!$B94=BW$2,'Atividades Micro'!$G94="Macro",'Atividades Micro'!$K94&lt;&gt;""),'Atividades Micro'!$K94,"")</f>
        <v/>
      </c>
      <c r="BX88" s="21" t="str">
        <f>IF(AND('Atividades Micro'!$B94=BX$2,'Atividades Micro'!$G94="Macro",'Atividades Micro'!$K94&lt;&gt;""),'Atividades Micro'!$K94,"")</f>
        <v/>
      </c>
      <c r="BY88" s="21" t="str">
        <f>IF(AND('Atividades Micro'!$B94=BY$2,'Atividades Micro'!$G94="Macro",'Atividades Micro'!$K94&lt;&gt;""),'Atividades Micro'!$K94,"")</f>
        <v/>
      </c>
      <c r="BZ88" s="21" t="str">
        <f>IF(AND('Atividades Micro'!$B94=BZ$2,'Atividades Micro'!$G94="Macro",'Atividades Micro'!$K94&lt;&gt;""),'Atividades Micro'!$K94,"")</f>
        <v/>
      </c>
      <c r="CA88" s="21" t="str">
        <f>IF(AND('Atividades Micro'!$B94=CA$2,'Atividades Micro'!$G94="Macro",'Atividades Micro'!$K94&lt;&gt;""),'Atividades Micro'!$K94,"")</f>
        <v/>
      </c>
      <c r="CB88" s="21" t="str">
        <f>IF(AND('Atividades Micro'!$B94=CB$2,'Atividades Micro'!$G94="Macro",'Atividades Micro'!$K94&lt;&gt;""),'Atividades Micro'!$K94,"")</f>
        <v/>
      </c>
      <c r="CC88" s="21" t="str">
        <f>IF(AND('Atividades Micro'!$B94=CC$2,'Atividades Micro'!$G94="Macro",'Atividades Micro'!$K94&lt;&gt;""),'Atividades Micro'!$K94,"")</f>
        <v/>
      </c>
      <c r="CD88" s="21" t="str">
        <f>IF(AND('Atividades Micro'!$B94=CD$2,'Atividades Micro'!$G94="Micro",'Atividades Micro'!$K94&lt;&gt;""),'Atividades Micro'!$K94,"")</f>
        <v/>
      </c>
      <c r="CE88" s="21">
        <f>IF(AND('Atividades Micro'!$B94=CE$2,'Atividades Micro'!$G94="Micro",'Atividades Micro'!$K94&lt;&gt;""),'Atividades Micro'!$K94,"")</f>
        <v>46343</v>
      </c>
      <c r="CF88" s="21" t="str">
        <f>IF(AND('Atividades Micro'!$B94=CF$2,'Atividades Micro'!$G94="Micro",'Atividades Micro'!$K94&lt;&gt;""),'Atividades Micro'!$K94,"")</f>
        <v/>
      </c>
      <c r="CG88" s="21" t="str">
        <f>IF(AND('Atividades Micro'!$B94=CG$2,'Atividades Micro'!$G94="Micro",'Atividades Micro'!$K94&lt;&gt;""),'Atividades Micro'!$K94,"")</f>
        <v/>
      </c>
      <c r="CH88" s="21" t="str">
        <f>IF(AND('Atividades Micro'!$B94=CH$2,'Atividades Micro'!$G94="Micro",'Atividades Micro'!$K94&lt;&gt;""),'Atividades Micro'!$K94,"")</f>
        <v/>
      </c>
      <c r="CI88" s="21" t="str">
        <f>IF(AND('Atividades Micro'!$B94=CI$2,'Atividades Micro'!$G94="Micro",'Atividades Micro'!$K94&lt;&gt;""),'Atividades Micro'!$K94,"")</f>
        <v/>
      </c>
      <c r="CJ88" s="21" t="str">
        <f>IF(AND('Atividades Micro'!$B94=CJ$2,'Atividades Micro'!$G94="Micro",'Atividades Micro'!$K94&lt;&gt;""),'Atividades Micro'!$K94,"")</f>
        <v/>
      </c>
      <c r="CK88" s="21" t="str">
        <f>IF(AND('Atividades Micro'!$B94=CK$2,'Atividades Micro'!$G94="Micro",'Atividades Micro'!$K94&lt;&gt;""),'Atividades Micro'!$K94,"")</f>
        <v/>
      </c>
      <c r="CL88" s="21" t="str">
        <f>IF(AND('Atividades Micro'!$B94=CL$2,'Atividades Micro'!$G94="Micro",'Atividades Micro'!$K94&lt;&gt;""),'Atividades Micro'!$K94,"")</f>
        <v/>
      </c>
      <c r="CM88" s="21" t="str">
        <f>IF(AND('Atividades Micro'!$B94=CM$2,'Atividades Micro'!$G94="Micro",'Atividades Micro'!$K94&lt;&gt;""),'Atividades Micro'!$K94,"")</f>
        <v/>
      </c>
      <c r="CN88" s="21" t="str">
        <f>IF(AND('Atividades Micro'!$B94=CN$2,'Atividades Micro'!$G94="Micro",'Atividades Micro'!$K94&lt;&gt;""),'Atividades Micro'!$K94,"")</f>
        <v/>
      </c>
      <c r="CO88" s="21" t="str">
        <f>IF(AND('Atividades Micro'!$B94=CO$2,'Atividades Micro'!$G94="Micro",'Atividades Micro'!$K94&lt;&gt;""),'Atividades Micro'!$K94,"")</f>
        <v/>
      </c>
    </row>
    <row r="89" spans="1:93">
      <c r="A89" s="21" t="str">
        <f>IF(AND('Atividades Micro'!$A95=A$2,'Atividades Micro'!$K95&lt;&gt;""),'Atividades Micro'!$K95,"")</f>
        <v/>
      </c>
      <c r="B89" s="21" t="str">
        <f>IF(AND('Atividades Micro'!$A95=B$2,'Atividades Micro'!$L95&lt;&gt;""),'Atividades Micro'!$L95,"")</f>
        <v/>
      </c>
      <c r="C89" s="21" t="str">
        <f>IF(AND('Atividades Micro'!$A95=C$2,'Atividades Micro'!$K95&lt;&gt;""),'Atividades Micro'!$K95,"")</f>
        <v/>
      </c>
      <c r="D89" s="21" t="str">
        <f>IF(AND('Atividades Micro'!$A95=D$2,'Atividades Micro'!$L95&lt;&gt;""),'Atividades Micro'!$L95,"")</f>
        <v/>
      </c>
      <c r="E89" s="21" t="str">
        <f>IF(AND('Atividades Micro'!$A95=E$2,'Atividades Micro'!$K95&lt;&gt;""),'Atividades Micro'!$K95,"")</f>
        <v/>
      </c>
      <c r="F89" s="21" t="str">
        <f>IF(AND('Atividades Micro'!$A95=F$2,'Atividades Micro'!$L95&lt;&gt;""),'Atividades Micro'!$L95,"")</f>
        <v/>
      </c>
      <c r="G89" s="21" t="str">
        <f>IF(AND('Atividades Micro'!$A95=G$2,'Atividades Micro'!$K95&lt;&gt;""),'Atividades Micro'!$K95,"")</f>
        <v/>
      </c>
      <c r="H89" s="21" t="str">
        <f>IF(AND('Atividades Micro'!$A95=H$2,'Atividades Micro'!$L95&lt;&gt;""),'Atividades Micro'!$L95,"")</f>
        <v/>
      </c>
      <c r="I89" s="21">
        <f>IF(AND('Atividades Micro'!$A95=I$2,'Atividades Micro'!$K95&lt;&gt;""),'Atividades Micro'!$K95,"")</f>
        <v>46358</v>
      </c>
      <c r="J89" s="21" t="str">
        <f>IF(AND('Atividades Micro'!$A95=J$2,'Atividades Micro'!$L95&lt;&gt;""),'Atividades Micro'!$L95,"")</f>
        <v/>
      </c>
      <c r="K89" s="21" t="str">
        <f>IF(AND('Atividades Micro'!$B95=K$2,'Atividades Micro'!$K95&lt;&gt;""),'Atividades Micro'!$K95,"")</f>
        <v/>
      </c>
      <c r="L89" s="21" t="str">
        <f>IF(AND('Atividades Micro'!$B95=L$2,'Atividades Micro'!$L95&lt;&gt;""),'Atividades Micro'!$L95,"")</f>
        <v/>
      </c>
      <c r="M89" s="21">
        <f>IF(AND('Atividades Micro'!$B95=M$2,'Atividades Micro'!$K95&lt;&gt;""),'Atividades Micro'!$K95,"")</f>
        <v>46358</v>
      </c>
      <c r="N89" s="21" t="str">
        <f>IF(AND('Atividades Micro'!$B95=N$2,'Atividades Micro'!$L95&lt;&gt;""),'Atividades Micro'!$L95,"")</f>
        <v/>
      </c>
      <c r="O89" s="21" t="str">
        <f>IF(AND('Atividades Micro'!$A95=O$2,'Atividades Micro'!$K95&lt;&gt;""),'Atividades Micro'!$K95,"")</f>
        <v/>
      </c>
      <c r="P89" s="21" t="str">
        <f>IF(AND('Atividades Micro'!$A95=P$2,'Atividades Micro'!$L95&lt;&gt;""),'Atividades Micro'!$L95,"")</f>
        <v/>
      </c>
      <c r="Q89" s="21" t="str">
        <f>IF(AND('Atividades Micro'!$B95=Q$2,'Atividades Micro'!$K95&lt;&gt;""),'Atividades Micro'!$K95,"")</f>
        <v/>
      </c>
      <c r="R89" s="21" t="str">
        <f>IF(AND('Atividades Micro'!$B95=R$2,'Atividades Micro'!$L95&lt;&gt;""),'Atividades Micro'!$L95,"")</f>
        <v/>
      </c>
      <c r="S89" s="21" t="str">
        <f>IF(AND('Atividades Micro'!$A95=S$2,'Atividades Micro'!$K95&lt;&gt;""),'Atividades Micro'!$K95,"")</f>
        <v/>
      </c>
      <c r="T89" s="21" t="str">
        <f>IF(AND('Atividades Micro'!$A95=T$2,'Atividades Micro'!$L95&lt;&gt;""),'Atividades Micro'!$L95,"")</f>
        <v/>
      </c>
      <c r="U89" s="21" t="str">
        <f>IF(AND('Atividades Micro'!$B95=U$2,'Atividades Micro'!$K95&lt;&gt;""),'Atividades Micro'!$K95,"")</f>
        <v/>
      </c>
      <c r="V89" s="21" t="str">
        <f>IF(AND('Atividades Micro'!$B95=V$2,'Atividades Micro'!$L95&lt;&gt;""),'Atividades Micro'!$L95,"")</f>
        <v/>
      </c>
      <c r="W89" s="21" t="str">
        <f>IF(AND('Atividades Micro'!$B95=W$2,'Atividades Micro'!$K95&lt;&gt;""),'Atividades Micro'!$K95,"")</f>
        <v/>
      </c>
      <c r="X89" s="21" t="str">
        <f>IF(AND('Atividades Micro'!$B95=X$2,'Atividades Micro'!$L95&lt;&gt;""),'Atividades Micro'!$L95,"")</f>
        <v/>
      </c>
      <c r="Y89" s="21" t="str">
        <f>IF(AND('Atividades Micro'!$A95=Y$2,'Atividades Micro'!$K95&lt;&gt;""),'Atividades Micro'!$K95,"")</f>
        <v/>
      </c>
      <c r="Z89" s="21" t="str">
        <f>IF(AND('Atividades Micro'!$A95=Z$2,'Atividades Micro'!$L95&lt;&gt;""),'Atividades Micro'!$L95,"")</f>
        <v/>
      </c>
      <c r="AA89" s="21" t="str">
        <f>IF(AND('Atividades Micro'!$B95=AA$2,'Atividades Micro'!$K95&lt;&gt;""),'Atividades Micro'!$K95,"")</f>
        <v/>
      </c>
      <c r="AB89" s="21" t="str">
        <f>IF(AND('Atividades Micro'!$B95=AB$2,'Atividades Micro'!$L95&lt;&gt;""),'Atividades Micro'!$L95,"")</f>
        <v/>
      </c>
      <c r="AC89" s="21" t="str">
        <f>IF(AND('Atividades Micro'!$B95=AC$2,'Atividades Micro'!$K95&lt;&gt;""),'Atividades Micro'!$K95,"")</f>
        <v/>
      </c>
      <c r="AD89" s="21" t="str">
        <f>IF(AND('Atividades Micro'!$B95=AD$2,'Atividades Micro'!$L95&lt;&gt;""),'Atividades Micro'!$L95,"")</f>
        <v/>
      </c>
      <c r="AE89" s="21" t="str">
        <f>IF(AND('Atividades Micro'!$A95=AE$2,'Atividades Micro'!$K95&lt;&gt;""),'Atividades Micro'!$K95,"")</f>
        <v/>
      </c>
      <c r="AF89" s="21" t="str">
        <f>IF(AND('Atividades Micro'!$A95=AF$2,'Atividades Micro'!$L95&lt;&gt;""),'Atividades Micro'!$L95,"")</f>
        <v/>
      </c>
      <c r="AG89" s="21" t="str">
        <f>IF(AND('Atividades Micro'!$B95=AG$2,'Atividades Micro'!$K95&lt;&gt;""),'Atividades Micro'!$K95,"")</f>
        <v/>
      </c>
      <c r="AH89" s="21" t="str">
        <f>IF(AND('Atividades Micro'!$B95=AH$2,'Atividades Micro'!$L95&lt;&gt;""),'Atividades Micro'!$L95,"")</f>
        <v/>
      </c>
      <c r="AI89" s="21" t="str">
        <f>IF(AND('Atividades Micro'!$B95=AI$2,'Atividades Micro'!$K95&lt;&gt;""),'Atividades Micro'!$K95,"")</f>
        <v/>
      </c>
      <c r="AJ89" s="21" t="str">
        <f>IF(AND('Atividades Micro'!$B95=AJ$2,'Atividades Micro'!$L95&lt;&gt;""),'Atividades Micro'!$L95,"")</f>
        <v/>
      </c>
      <c r="AK89" s="21" t="str">
        <f>IF(AND('Atividades Micro'!$A95=AK$2,'Atividades Micro'!$K95&lt;&gt;""),'Atividades Micro'!$K95,"")</f>
        <v/>
      </c>
      <c r="AL89" s="21" t="str">
        <f>IF(AND('Atividades Micro'!$A95=AL$2,'Atividades Micro'!$L95&lt;&gt;""),'Atividades Micro'!$L95,"")</f>
        <v/>
      </c>
      <c r="AM89" s="21" t="str">
        <f>IF(AND('Atividades Micro'!$B95=AM$2,'Atividades Micro'!$K95&lt;&gt;""),'Atividades Micro'!$K95,"")</f>
        <v/>
      </c>
      <c r="AN89" s="21" t="str">
        <f>IF(AND('Atividades Micro'!$B95=AN$2,'Atividades Micro'!$L95&lt;&gt;""),'Atividades Micro'!$L95,"")</f>
        <v/>
      </c>
      <c r="AO89" s="21" t="str">
        <f>IF(AND('Atividades Micro'!$B95=AO$2,'Atividades Micro'!$K95&lt;&gt;""),'Atividades Micro'!$K95,"")</f>
        <v/>
      </c>
      <c r="AP89" s="21" t="str">
        <f>IF(AND('Atividades Micro'!$B95=AP$2,'Atividades Micro'!$L95&lt;&gt;""),'Atividades Micro'!$L95,"")</f>
        <v/>
      </c>
      <c r="AQ89" s="21" t="str">
        <f>IF(AND('Atividades Micro'!$A95=AQ$2,'Atividades Micro'!$K95&lt;&gt;""),'Atividades Micro'!$K95,"")</f>
        <v/>
      </c>
      <c r="AR89" s="21" t="str">
        <f>IF(AND('Atividades Micro'!$A95=AR$2,'Atividades Micro'!$L95&lt;&gt;""),'Atividades Micro'!$L95,"")</f>
        <v/>
      </c>
      <c r="AS89" s="21" t="str">
        <f>IF(AND('Atividades Micro'!$B95=AS$2,'Atividades Micro'!$K95&lt;&gt;""),'Atividades Micro'!$K95,"")</f>
        <v/>
      </c>
      <c r="AT89" s="21" t="str">
        <f>IF(AND('Atividades Micro'!$B95=AT$2,'Atividades Micro'!$L95&lt;&gt;""),'Atividades Micro'!$L95,"")</f>
        <v/>
      </c>
      <c r="AU89" s="21" t="str">
        <f>IF(AND('Atividades Micro'!$A95=AU$2,'Atividades Micro'!$K95&lt;&gt;""),'Atividades Micro'!$K95,"")</f>
        <v/>
      </c>
      <c r="AV89" s="21" t="str">
        <f>IF(AND('Atividades Micro'!$A95=AV$2,'Atividades Micro'!$L95&lt;&gt;""),'Atividades Micro'!$L95,"")</f>
        <v/>
      </c>
      <c r="AW89" s="21" t="str">
        <f>IF(AND('Atividades Micro'!$B95=AW$2,'Atividades Micro'!$K95&lt;&gt;""),'Atividades Micro'!$K95,"")</f>
        <v/>
      </c>
      <c r="AX89" s="21" t="str">
        <f>IF(AND('Atividades Micro'!$B95=AX$2,'Atividades Micro'!$L95&lt;&gt;""),'Atividades Micro'!$L95,"")</f>
        <v/>
      </c>
      <c r="AY89" s="21" t="str">
        <f>IF(AND('Atividades Micro'!$A95=AY$2,'Atividades Micro'!$K95&lt;&gt;""),'Atividades Micro'!$K95,"")</f>
        <v/>
      </c>
      <c r="AZ89" s="21" t="str">
        <f>IF(AND('Atividades Micro'!$A95=AZ$2,'Atividades Micro'!$L95&lt;&gt;""),'Atividades Micro'!$L95,"")</f>
        <v/>
      </c>
      <c r="BA89" s="21" t="str">
        <f>IF(AND('Atividades Micro'!$B95=BA$2,'Atividades Micro'!$K95&lt;&gt;""),'Atividades Micro'!$K95,"")</f>
        <v/>
      </c>
      <c r="BB89" s="21" t="str">
        <f>IF(AND('Atividades Micro'!$B95=BB$2,'Atividades Micro'!$L95&lt;&gt;""),'Atividades Micro'!$L95,"")</f>
        <v/>
      </c>
      <c r="BC89" s="21" t="str">
        <f>IF(AND('Atividades Micro'!$B95=BC$2,'Atividades Micro'!$G95="Macro",'Atividades Micro'!$K95&lt;&gt;""),'Atividades Micro'!$K95,"")</f>
        <v/>
      </c>
      <c r="BD89" s="21" t="str">
        <f>IF(AND('Atividades Micro'!$B95=BD$2,'Atividades Micro'!$G95="Macro",'Atividades Micro'!$K95&lt;&gt;""),'Atividades Micro'!$K95,"")</f>
        <v/>
      </c>
      <c r="BE89" s="21" t="str">
        <f>IF(AND('Atividades Micro'!$B95=BE$2,'Atividades Micro'!$G95="Macro",'Atividades Micro'!$K95&lt;&gt;""),'Atividades Micro'!$K95,"")</f>
        <v/>
      </c>
      <c r="BF89" s="21" t="str">
        <f>IF(AND('Atividades Micro'!$B95=BF$2,'Atividades Micro'!$G95="Macro",'Atividades Micro'!$K95&lt;&gt;""),'Atividades Micro'!$K95,"")</f>
        <v/>
      </c>
      <c r="BG89" s="21" t="str">
        <f>IF(AND('Atividades Micro'!$B95=BG$2,'Atividades Micro'!$G95="Macro",'Atividades Micro'!$K95&lt;&gt;""),'Atividades Micro'!$K95,"")</f>
        <v/>
      </c>
      <c r="BH89" s="21" t="str">
        <f>IF(AND('Atividades Micro'!$B95=BH$2,'Atividades Micro'!$G95="Macro",'Atividades Micro'!$K95&lt;&gt;""),'Atividades Micro'!$K95,"")</f>
        <v/>
      </c>
      <c r="BI89" s="21" t="str">
        <f>IF(AND('Atividades Micro'!$B95=BI$2,'Atividades Micro'!$G95="Macro",'Atividades Micro'!$K95&lt;&gt;""),'Atividades Micro'!$K95,"")</f>
        <v/>
      </c>
      <c r="BJ89" s="21" t="str">
        <f>IF(AND('Atividades Micro'!$B95=BJ$2,'Atividades Micro'!$G95="Macro",'Atividades Micro'!$K95&lt;&gt;""),'Atividades Micro'!$K95,"")</f>
        <v/>
      </c>
      <c r="BK89" s="21" t="str">
        <f>IF(AND('Atividades Micro'!$B95=BK$2,'Atividades Micro'!$G95="Macro",'Atividades Micro'!$K95&lt;&gt;""),'Atividades Micro'!$K95,"")</f>
        <v/>
      </c>
      <c r="BL89" s="21" t="str">
        <f>IF(AND('Atividades Micro'!$B95=BL$2,'Atividades Micro'!$G95="Macro",'Atividades Micro'!$K95&lt;&gt;""),'Atividades Micro'!$K95,"")</f>
        <v/>
      </c>
      <c r="BM89" s="21" t="str">
        <f>IF(AND('Atividades Micro'!$B95=BM$2,'Atividades Micro'!$G95="Macro",'Atividades Micro'!$K95&lt;&gt;""),'Atividades Micro'!$K95,"")</f>
        <v/>
      </c>
      <c r="BN89" s="21" t="str">
        <f>IF(AND('Atividades Micro'!$B95=BN$2,'Atividades Micro'!$G95="Macro",'Atividades Micro'!$K95&lt;&gt;""),'Atividades Micro'!$K95,"")</f>
        <v/>
      </c>
      <c r="BO89" s="21" t="str">
        <f>IF(AND('Atividades Micro'!$B95=BO$2,'Atividades Micro'!$G95="Macro",'Atividades Micro'!$K95&lt;&gt;""),'Atividades Micro'!$K95,"")</f>
        <v/>
      </c>
      <c r="BP89" s="21" t="str">
        <f>IF(AND('Atividades Micro'!$B95=BP$2,'Atividades Micro'!$G95="Macro",'Atividades Micro'!$K95&lt;&gt;""),'Atividades Micro'!$K95,"")</f>
        <v/>
      </c>
      <c r="BQ89" s="21" t="str">
        <f>IF(AND('Atividades Micro'!$B95=BQ$2,'Atividades Micro'!$G95="Macro",'Atividades Micro'!$K95&lt;&gt;""),'Atividades Micro'!$K95,"")</f>
        <v/>
      </c>
      <c r="BR89" s="21" t="str">
        <f>IF(AND('Atividades Micro'!$B95=BR$2,'Atividades Micro'!$G95="Macro",'Atividades Micro'!$K95&lt;&gt;""),'Atividades Micro'!$K95,"")</f>
        <v/>
      </c>
      <c r="BS89" s="21" t="str">
        <f>IF(AND('Atividades Micro'!$B95=BS$2,'Atividades Micro'!$G95="Macro",'Atividades Micro'!$K95&lt;&gt;""),'Atividades Micro'!$K95,"")</f>
        <v/>
      </c>
      <c r="BT89" s="21" t="str">
        <f>IF(AND('Atividades Micro'!$B95=BT$2,'Atividades Micro'!$G95="Macro",'Atividades Micro'!$K95&lt;&gt;""),'Atividades Micro'!$K95,"")</f>
        <v/>
      </c>
      <c r="BU89" s="21" t="str">
        <f>IF(AND('Atividades Micro'!$B95=BU$2,'Atividades Micro'!$G95="Macro",'Atividades Micro'!$K95&lt;&gt;""),'Atividades Micro'!$K95,"")</f>
        <v/>
      </c>
      <c r="BV89" s="21" t="str">
        <f>IF(AND('Atividades Micro'!$B95=BV$2,'Atividades Micro'!$G95="Macro",'Atividades Micro'!$K95&lt;&gt;""),'Atividades Micro'!$K95,"")</f>
        <v/>
      </c>
      <c r="BW89" s="21" t="str">
        <f>IF(AND('Atividades Micro'!$B95=BW$2,'Atividades Micro'!$G95="Macro",'Atividades Micro'!$K95&lt;&gt;""),'Atividades Micro'!$K95,"")</f>
        <v/>
      </c>
      <c r="BX89" s="21" t="str">
        <f>IF(AND('Atividades Micro'!$B95=BX$2,'Atividades Micro'!$G95="Macro",'Atividades Micro'!$K95&lt;&gt;""),'Atividades Micro'!$K95,"")</f>
        <v/>
      </c>
      <c r="BY89" s="21" t="str">
        <f>IF(AND('Atividades Micro'!$B95=BY$2,'Atividades Micro'!$G95="Macro",'Atividades Micro'!$K95&lt;&gt;""),'Atividades Micro'!$K95,"")</f>
        <v/>
      </c>
      <c r="BZ89" s="21" t="str">
        <f>IF(AND('Atividades Micro'!$B95=BZ$2,'Atividades Micro'!$G95="Macro",'Atividades Micro'!$K95&lt;&gt;""),'Atividades Micro'!$K95,"")</f>
        <v/>
      </c>
      <c r="CA89" s="21" t="str">
        <f>IF(AND('Atividades Micro'!$B95=CA$2,'Atividades Micro'!$G95="Macro",'Atividades Micro'!$K95&lt;&gt;""),'Atividades Micro'!$K95,"")</f>
        <v/>
      </c>
      <c r="CB89" s="21" t="str">
        <f>IF(AND('Atividades Micro'!$B95=CB$2,'Atividades Micro'!$G95="Macro",'Atividades Micro'!$K95&lt;&gt;""),'Atividades Micro'!$K95,"")</f>
        <v/>
      </c>
      <c r="CC89" s="21" t="str">
        <f>IF(AND('Atividades Micro'!$B95=CC$2,'Atividades Micro'!$G95="Macro",'Atividades Micro'!$K95&lt;&gt;""),'Atividades Micro'!$K95,"")</f>
        <v/>
      </c>
      <c r="CD89" s="21" t="str">
        <f>IF(AND('Atividades Micro'!$B95=CD$2,'Atividades Micro'!$G95="Micro",'Atividades Micro'!$K95&lt;&gt;""),'Atividades Micro'!$K95,"")</f>
        <v/>
      </c>
      <c r="CE89" s="21">
        <f>IF(AND('Atividades Micro'!$B95=CE$2,'Atividades Micro'!$G95="Micro",'Atividades Micro'!$K95&lt;&gt;""),'Atividades Micro'!$K95,"")</f>
        <v>46358</v>
      </c>
      <c r="CF89" s="21" t="str">
        <f>IF(AND('Atividades Micro'!$B95=CF$2,'Atividades Micro'!$G95="Micro",'Atividades Micro'!$K95&lt;&gt;""),'Atividades Micro'!$K95,"")</f>
        <v/>
      </c>
      <c r="CG89" s="21" t="str">
        <f>IF(AND('Atividades Micro'!$B95=CG$2,'Atividades Micro'!$G95="Micro",'Atividades Micro'!$K95&lt;&gt;""),'Atividades Micro'!$K95,"")</f>
        <v/>
      </c>
      <c r="CH89" s="21" t="str">
        <f>IF(AND('Atividades Micro'!$B95=CH$2,'Atividades Micro'!$G95="Micro",'Atividades Micro'!$K95&lt;&gt;""),'Atividades Micro'!$K95,"")</f>
        <v/>
      </c>
      <c r="CI89" s="21" t="str">
        <f>IF(AND('Atividades Micro'!$B95=CI$2,'Atividades Micro'!$G95="Micro",'Atividades Micro'!$K95&lt;&gt;""),'Atividades Micro'!$K95,"")</f>
        <v/>
      </c>
      <c r="CJ89" s="21" t="str">
        <f>IF(AND('Atividades Micro'!$B95=CJ$2,'Atividades Micro'!$G95="Micro",'Atividades Micro'!$K95&lt;&gt;""),'Atividades Micro'!$K95,"")</f>
        <v/>
      </c>
      <c r="CK89" s="21" t="str">
        <f>IF(AND('Atividades Micro'!$B95=CK$2,'Atividades Micro'!$G95="Micro",'Atividades Micro'!$K95&lt;&gt;""),'Atividades Micro'!$K95,"")</f>
        <v/>
      </c>
      <c r="CL89" s="21" t="str">
        <f>IF(AND('Atividades Micro'!$B95=CL$2,'Atividades Micro'!$G95="Micro",'Atividades Micro'!$K95&lt;&gt;""),'Atividades Micro'!$K95,"")</f>
        <v/>
      </c>
      <c r="CM89" s="21" t="str">
        <f>IF(AND('Atividades Micro'!$B95=CM$2,'Atividades Micro'!$G95="Micro",'Atividades Micro'!$K95&lt;&gt;""),'Atividades Micro'!$K95,"")</f>
        <v/>
      </c>
      <c r="CN89" s="21" t="str">
        <f>IF(AND('Atividades Micro'!$B95=CN$2,'Atividades Micro'!$G95="Micro",'Atividades Micro'!$K95&lt;&gt;""),'Atividades Micro'!$K95,"")</f>
        <v/>
      </c>
      <c r="CO89" s="21" t="str">
        <f>IF(AND('Atividades Micro'!$B95=CO$2,'Atividades Micro'!$G95="Micro",'Atividades Micro'!$K95&lt;&gt;""),'Atividades Micro'!$K95,"")</f>
        <v/>
      </c>
    </row>
    <row r="90" spans="1:93">
      <c r="A90" s="21" t="str">
        <f>IF(AND('Atividades Micro'!$A96=A$2,'Atividades Micro'!$K96&lt;&gt;""),'Atividades Micro'!$K96,"")</f>
        <v/>
      </c>
      <c r="B90" s="21" t="str">
        <f>IF(AND('Atividades Micro'!$A96=B$2,'Atividades Micro'!$L96&lt;&gt;""),'Atividades Micro'!$L96,"")</f>
        <v/>
      </c>
      <c r="C90" s="21" t="str">
        <f>IF(AND('Atividades Micro'!$A96=C$2,'Atividades Micro'!$K96&lt;&gt;""),'Atividades Micro'!$K96,"")</f>
        <v/>
      </c>
      <c r="D90" s="21" t="str">
        <f>IF(AND('Atividades Micro'!$A96=D$2,'Atividades Micro'!$L96&lt;&gt;""),'Atividades Micro'!$L96,"")</f>
        <v/>
      </c>
      <c r="E90" s="21" t="str">
        <f>IF(AND('Atividades Micro'!$A96=E$2,'Atividades Micro'!$K96&lt;&gt;""),'Atividades Micro'!$K96,"")</f>
        <v/>
      </c>
      <c r="F90" s="21" t="str">
        <f>IF(AND('Atividades Micro'!$A96=F$2,'Atividades Micro'!$L96&lt;&gt;""),'Atividades Micro'!$L96,"")</f>
        <v/>
      </c>
      <c r="G90" s="21" t="str">
        <f>IF(AND('Atividades Micro'!$A96=G$2,'Atividades Micro'!$K96&lt;&gt;""),'Atividades Micro'!$K96,"")</f>
        <v/>
      </c>
      <c r="H90" s="21" t="str">
        <f>IF(AND('Atividades Micro'!$A96=H$2,'Atividades Micro'!$L96&lt;&gt;""),'Atividades Micro'!$L96,"")</f>
        <v/>
      </c>
      <c r="I90" s="21">
        <f>IF(AND('Atividades Micro'!$A96=I$2,'Atividades Micro'!$K96&lt;&gt;""),'Atividades Micro'!$K96,"")</f>
        <v>46366</v>
      </c>
      <c r="J90" s="21" t="str">
        <f>IF(AND('Atividades Micro'!$A96=J$2,'Atividades Micro'!$L96&lt;&gt;""),'Atividades Micro'!$L96,"")</f>
        <v/>
      </c>
      <c r="K90" s="21" t="str">
        <f>IF(AND('Atividades Micro'!$B96=K$2,'Atividades Micro'!$K96&lt;&gt;""),'Atividades Micro'!$K96,"")</f>
        <v/>
      </c>
      <c r="L90" s="21" t="str">
        <f>IF(AND('Atividades Micro'!$B96=L$2,'Atividades Micro'!$L96&lt;&gt;""),'Atividades Micro'!$L96,"")</f>
        <v/>
      </c>
      <c r="M90" s="21">
        <f>IF(AND('Atividades Micro'!$B96=M$2,'Atividades Micro'!$K96&lt;&gt;""),'Atividades Micro'!$K96,"")</f>
        <v>46366</v>
      </c>
      <c r="N90" s="21" t="str">
        <f>IF(AND('Atividades Micro'!$B96=N$2,'Atividades Micro'!$L96&lt;&gt;""),'Atividades Micro'!$L96,"")</f>
        <v/>
      </c>
      <c r="O90" s="21" t="str">
        <f>IF(AND('Atividades Micro'!$A96=O$2,'Atividades Micro'!$K96&lt;&gt;""),'Atividades Micro'!$K96,"")</f>
        <v/>
      </c>
      <c r="P90" s="21" t="str">
        <f>IF(AND('Atividades Micro'!$A96=P$2,'Atividades Micro'!$L96&lt;&gt;""),'Atividades Micro'!$L96,"")</f>
        <v/>
      </c>
      <c r="Q90" s="21" t="str">
        <f>IF(AND('Atividades Micro'!$B96=Q$2,'Atividades Micro'!$K96&lt;&gt;""),'Atividades Micro'!$K96,"")</f>
        <v/>
      </c>
      <c r="R90" s="21" t="str">
        <f>IF(AND('Atividades Micro'!$B96=R$2,'Atividades Micro'!$L96&lt;&gt;""),'Atividades Micro'!$L96,"")</f>
        <v/>
      </c>
      <c r="S90" s="21" t="str">
        <f>IF(AND('Atividades Micro'!$A96=S$2,'Atividades Micro'!$K96&lt;&gt;""),'Atividades Micro'!$K96,"")</f>
        <v/>
      </c>
      <c r="T90" s="21" t="str">
        <f>IF(AND('Atividades Micro'!$A96=T$2,'Atividades Micro'!$L96&lt;&gt;""),'Atividades Micro'!$L96,"")</f>
        <v/>
      </c>
      <c r="U90" s="21" t="str">
        <f>IF(AND('Atividades Micro'!$B96=U$2,'Atividades Micro'!$K96&lt;&gt;""),'Atividades Micro'!$K96,"")</f>
        <v/>
      </c>
      <c r="V90" s="21" t="str">
        <f>IF(AND('Atividades Micro'!$B96=V$2,'Atividades Micro'!$L96&lt;&gt;""),'Atividades Micro'!$L96,"")</f>
        <v/>
      </c>
      <c r="W90" s="21" t="str">
        <f>IF(AND('Atividades Micro'!$B96=W$2,'Atividades Micro'!$K96&lt;&gt;""),'Atividades Micro'!$K96,"")</f>
        <v/>
      </c>
      <c r="X90" s="21" t="str">
        <f>IF(AND('Atividades Micro'!$B96=X$2,'Atividades Micro'!$L96&lt;&gt;""),'Atividades Micro'!$L96,"")</f>
        <v/>
      </c>
      <c r="Y90" s="21" t="str">
        <f>IF(AND('Atividades Micro'!$A96=Y$2,'Atividades Micro'!$K96&lt;&gt;""),'Atividades Micro'!$K96,"")</f>
        <v/>
      </c>
      <c r="Z90" s="21" t="str">
        <f>IF(AND('Atividades Micro'!$A96=Z$2,'Atividades Micro'!$L96&lt;&gt;""),'Atividades Micro'!$L96,"")</f>
        <v/>
      </c>
      <c r="AA90" s="21" t="str">
        <f>IF(AND('Atividades Micro'!$B96=AA$2,'Atividades Micro'!$K96&lt;&gt;""),'Atividades Micro'!$K96,"")</f>
        <v/>
      </c>
      <c r="AB90" s="21" t="str">
        <f>IF(AND('Atividades Micro'!$B96=AB$2,'Atividades Micro'!$L96&lt;&gt;""),'Atividades Micro'!$L96,"")</f>
        <v/>
      </c>
      <c r="AC90" s="21" t="str">
        <f>IF(AND('Atividades Micro'!$B96=AC$2,'Atividades Micro'!$K96&lt;&gt;""),'Atividades Micro'!$K96,"")</f>
        <v/>
      </c>
      <c r="AD90" s="21" t="str">
        <f>IF(AND('Atividades Micro'!$B96=AD$2,'Atividades Micro'!$L96&lt;&gt;""),'Atividades Micro'!$L96,"")</f>
        <v/>
      </c>
      <c r="AE90" s="21" t="str">
        <f>IF(AND('Atividades Micro'!$A96=AE$2,'Atividades Micro'!$K96&lt;&gt;""),'Atividades Micro'!$K96,"")</f>
        <v/>
      </c>
      <c r="AF90" s="21" t="str">
        <f>IF(AND('Atividades Micro'!$A96=AF$2,'Atividades Micro'!$L96&lt;&gt;""),'Atividades Micro'!$L96,"")</f>
        <v/>
      </c>
      <c r="AG90" s="21" t="str">
        <f>IF(AND('Atividades Micro'!$B96=AG$2,'Atividades Micro'!$K96&lt;&gt;""),'Atividades Micro'!$K96,"")</f>
        <v/>
      </c>
      <c r="AH90" s="21" t="str">
        <f>IF(AND('Atividades Micro'!$B96=AH$2,'Atividades Micro'!$L96&lt;&gt;""),'Atividades Micro'!$L96,"")</f>
        <v/>
      </c>
      <c r="AI90" s="21" t="str">
        <f>IF(AND('Atividades Micro'!$B96=AI$2,'Atividades Micro'!$K96&lt;&gt;""),'Atividades Micro'!$K96,"")</f>
        <v/>
      </c>
      <c r="AJ90" s="21" t="str">
        <f>IF(AND('Atividades Micro'!$B96=AJ$2,'Atividades Micro'!$L96&lt;&gt;""),'Atividades Micro'!$L96,"")</f>
        <v/>
      </c>
      <c r="AK90" s="21" t="str">
        <f>IF(AND('Atividades Micro'!$A96=AK$2,'Atividades Micro'!$K96&lt;&gt;""),'Atividades Micro'!$K96,"")</f>
        <v/>
      </c>
      <c r="AL90" s="21" t="str">
        <f>IF(AND('Atividades Micro'!$A96=AL$2,'Atividades Micro'!$L96&lt;&gt;""),'Atividades Micro'!$L96,"")</f>
        <v/>
      </c>
      <c r="AM90" s="21" t="str">
        <f>IF(AND('Atividades Micro'!$B96=AM$2,'Atividades Micro'!$K96&lt;&gt;""),'Atividades Micro'!$K96,"")</f>
        <v/>
      </c>
      <c r="AN90" s="21" t="str">
        <f>IF(AND('Atividades Micro'!$B96=AN$2,'Atividades Micro'!$L96&lt;&gt;""),'Atividades Micro'!$L96,"")</f>
        <v/>
      </c>
      <c r="AO90" s="21" t="str">
        <f>IF(AND('Atividades Micro'!$B96=AO$2,'Atividades Micro'!$K96&lt;&gt;""),'Atividades Micro'!$K96,"")</f>
        <v/>
      </c>
      <c r="AP90" s="21" t="str">
        <f>IF(AND('Atividades Micro'!$B96=AP$2,'Atividades Micro'!$L96&lt;&gt;""),'Atividades Micro'!$L96,"")</f>
        <v/>
      </c>
      <c r="AQ90" s="21" t="str">
        <f>IF(AND('Atividades Micro'!$A96=AQ$2,'Atividades Micro'!$K96&lt;&gt;""),'Atividades Micro'!$K96,"")</f>
        <v/>
      </c>
      <c r="AR90" s="21" t="str">
        <f>IF(AND('Atividades Micro'!$A96=AR$2,'Atividades Micro'!$L96&lt;&gt;""),'Atividades Micro'!$L96,"")</f>
        <v/>
      </c>
      <c r="AS90" s="21" t="str">
        <f>IF(AND('Atividades Micro'!$B96=AS$2,'Atividades Micro'!$K96&lt;&gt;""),'Atividades Micro'!$K96,"")</f>
        <v/>
      </c>
      <c r="AT90" s="21" t="str">
        <f>IF(AND('Atividades Micro'!$B96=AT$2,'Atividades Micro'!$L96&lt;&gt;""),'Atividades Micro'!$L96,"")</f>
        <v/>
      </c>
      <c r="AU90" s="21" t="str">
        <f>IF(AND('Atividades Micro'!$A96=AU$2,'Atividades Micro'!$K96&lt;&gt;""),'Atividades Micro'!$K96,"")</f>
        <v/>
      </c>
      <c r="AV90" s="21" t="str">
        <f>IF(AND('Atividades Micro'!$A96=AV$2,'Atividades Micro'!$L96&lt;&gt;""),'Atividades Micro'!$L96,"")</f>
        <v/>
      </c>
      <c r="AW90" s="21" t="str">
        <f>IF(AND('Atividades Micro'!$B96=AW$2,'Atividades Micro'!$K96&lt;&gt;""),'Atividades Micro'!$K96,"")</f>
        <v/>
      </c>
      <c r="AX90" s="21" t="str">
        <f>IF(AND('Atividades Micro'!$B96=AX$2,'Atividades Micro'!$L96&lt;&gt;""),'Atividades Micro'!$L96,"")</f>
        <v/>
      </c>
      <c r="AY90" s="21" t="str">
        <f>IF(AND('Atividades Micro'!$A96=AY$2,'Atividades Micro'!$K96&lt;&gt;""),'Atividades Micro'!$K96,"")</f>
        <v/>
      </c>
      <c r="AZ90" s="21" t="str">
        <f>IF(AND('Atividades Micro'!$A96=AZ$2,'Atividades Micro'!$L96&lt;&gt;""),'Atividades Micro'!$L96,"")</f>
        <v/>
      </c>
      <c r="BA90" s="21" t="str">
        <f>IF(AND('Atividades Micro'!$B96=BA$2,'Atividades Micro'!$K96&lt;&gt;""),'Atividades Micro'!$K96,"")</f>
        <v/>
      </c>
      <c r="BB90" s="21" t="str">
        <f>IF(AND('Atividades Micro'!$B96=BB$2,'Atividades Micro'!$L96&lt;&gt;""),'Atividades Micro'!$L96,"")</f>
        <v/>
      </c>
      <c r="BC90" s="21" t="str">
        <f>IF(AND('Atividades Micro'!$B96=BC$2,'Atividades Micro'!$G96="Macro",'Atividades Micro'!$K96&lt;&gt;""),'Atividades Micro'!$K96,"")</f>
        <v/>
      </c>
      <c r="BD90" s="21" t="str">
        <f>IF(AND('Atividades Micro'!$B96=BD$2,'Atividades Micro'!$G96="Macro",'Atividades Micro'!$K96&lt;&gt;""),'Atividades Micro'!$K96,"")</f>
        <v/>
      </c>
      <c r="BE90" s="21" t="str">
        <f>IF(AND('Atividades Micro'!$B96=BE$2,'Atividades Micro'!$G96="Macro",'Atividades Micro'!$K96&lt;&gt;""),'Atividades Micro'!$K96,"")</f>
        <v/>
      </c>
      <c r="BF90" s="21" t="str">
        <f>IF(AND('Atividades Micro'!$B96=BF$2,'Atividades Micro'!$G96="Macro",'Atividades Micro'!$K96&lt;&gt;""),'Atividades Micro'!$K96,"")</f>
        <v/>
      </c>
      <c r="BG90" s="21" t="str">
        <f>IF(AND('Atividades Micro'!$B96=BG$2,'Atividades Micro'!$G96="Macro",'Atividades Micro'!$K96&lt;&gt;""),'Atividades Micro'!$K96,"")</f>
        <v/>
      </c>
      <c r="BH90" s="21" t="str">
        <f>IF(AND('Atividades Micro'!$B96=BH$2,'Atividades Micro'!$G96="Macro",'Atividades Micro'!$K96&lt;&gt;""),'Atividades Micro'!$K96,"")</f>
        <v/>
      </c>
      <c r="BI90" s="21" t="str">
        <f>IF(AND('Atividades Micro'!$B96=BI$2,'Atividades Micro'!$G96="Macro",'Atividades Micro'!$K96&lt;&gt;""),'Atividades Micro'!$K96,"")</f>
        <v/>
      </c>
      <c r="BJ90" s="21" t="str">
        <f>IF(AND('Atividades Micro'!$B96=BJ$2,'Atividades Micro'!$G96="Macro",'Atividades Micro'!$K96&lt;&gt;""),'Atividades Micro'!$K96,"")</f>
        <v/>
      </c>
      <c r="BK90" s="21" t="str">
        <f>IF(AND('Atividades Micro'!$B96=BK$2,'Atividades Micro'!$G96="Macro",'Atividades Micro'!$K96&lt;&gt;""),'Atividades Micro'!$K96,"")</f>
        <v/>
      </c>
      <c r="BL90" s="21" t="str">
        <f>IF(AND('Atividades Micro'!$B96=BL$2,'Atividades Micro'!$G96="Macro",'Atividades Micro'!$K96&lt;&gt;""),'Atividades Micro'!$K96,"")</f>
        <v/>
      </c>
      <c r="BM90" s="21" t="str">
        <f>IF(AND('Atividades Micro'!$B96=BM$2,'Atividades Micro'!$G96="Macro",'Atividades Micro'!$K96&lt;&gt;""),'Atividades Micro'!$K96,"")</f>
        <v/>
      </c>
      <c r="BN90" s="21" t="str">
        <f>IF(AND('Atividades Micro'!$B96=BN$2,'Atividades Micro'!$G96="Macro",'Atividades Micro'!$K96&lt;&gt;""),'Atividades Micro'!$K96,"")</f>
        <v/>
      </c>
      <c r="BO90" s="21" t="str">
        <f>IF(AND('Atividades Micro'!$B96=BO$2,'Atividades Micro'!$G96="Macro",'Atividades Micro'!$K96&lt;&gt;""),'Atividades Micro'!$K96,"")</f>
        <v/>
      </c>
      <c r="BP90" s="21" t="str">
        <f>IF(AND('Atividades Micro'!$B96=BP$2,'Atividades Micro'!$G96="Macro",'Atividades Micro'!$K96&lt;&gt;""),'Atividades Micro'!$K96,"")</f>
        <v/>
      </c>
      <c r="BQ90" s="21" t="str">
        <f>IF(AND('Atividades Micro'!$B96=BQ$2,'Atividades Micro'!$G96="Macro",'Atividades Micro'!$K96&lt;&gt;""),'Atividades Micro'!$K96,"")</f>
        <v/>
      </c>
      <c r="BR90" s="21" t="str">
        <f>IF(AND('Atividades Micro'!$B96=BR$2,'Atividades Micro'!$G96="Macro",'Atividades Micro'!$K96&lt;&gt;""),'Atividades Micro'!$K96,"")</f>
        <v/>
      </c>
      <c r="BS90" s="21" t="str">
        <f>IF(AND('Atividades Micro'!$B96=BS$2,'Atividades Micro'!$G96="Macro",'Atividades Micro'!$K96&lt;&gt;""),'Atividades Micro'!$K96,"")</f>
        <v/>
      </c>
      <c r="BT90" s="21" t="str">
        <f>IF(AND('Atividades Micro'!$B96=BT$2,'Atividades Micro'!$G96="Macro",'Atividades Micro'!$K96&lt;&gt;""),'Atividades Micro'!$K96,"")</f>
        <v/>
      </c>
      <c r="BU90" s="21" t="str">
        <f>IF(AND('Atividades Micro'!$B96=BU$2,'Atividades Micro'!$G96="Macro",'Atividades Micro'!$K96&lt;&gt;""),'Atividades Micro'!$K96,"")</f>
        <v/>
      </c>
      <c r="BV90" s="21" t="str">
        <f>IF(AND('Atividades Micro'!$B96=BV$2,'Atividades Micro'!$G96="Macro",'Atividades Micro'!$K96&lt;&gt;""),'Atividades Micro'!$K96,"")</f>
        <v/>
      </c>
      <c r="BW90" s="21" t="str">
        <f>IF(AND('Atividades Micro'!$B96=BW$2,'Atividades Micro'!$G96="Macro",'Atividades Micro'!$K96&lt;&gt;""),'Atividades Micro'!$K96,"")</f>
        <v/>
      </c>
      <c r="BX90" s="21" t="str">
        <f>IF(AND('Atividades Micro'!$B96=BX$2,'Atividades Micro'!$G96="Macro",'Atividades Micro'!$K96&lt;&gt;""),'Atividades Micro'!$K96,"")</f>
        <v/>
      </c>
      <c r="BY90" s="21" t="str">
        <f>IF(AND('Atividades Micro'!$B96=BY$2,'Atividades Micro'!$G96="Macro",'Atividades Micro'!$K96&lt;&gt;""),'Atividades Micro'!$K96,"")</f>
        <v/>
      </c>
      <c r="BZ90" s="21" t="str">
        <f>IF(AND('Atividades Micro'!$B96=BZ$2,'Atividades Micro'!$G96="Macro",'Atividades Micro'!$K96&lt;&gt;""),'Atividades Micro'!$K96,"")</f>
        <v/>
      </c>
      <c r="CA90" s="21" t="str">
        <f>IF(AND('Atividades Micro'!$B96=CA$2,'Atividades Micro'!$G96="Macro",'Atividades Micro'!$K96&lt;&gt;""),'Atividades Micro'!$K96,"")</f>
        <v/>
      </c>
      <c r="CB90" s="21" t="str">
        <f>IF(AND('Atividades Micro'!$B96=CB$2,'Atividades Micro'!$G96="Macro",'Atividades Micro'!$K96&lt;&gt;""),'Atividades Micro'!$K96,"")</f>
        <v/>
      </c>
      <c r="CC90" s="21" t="str">
        <f>IF(AND('Atividades Micro'!$B96=CC$2,'Atividades Micro'!$G96="Macro",'Atividades Micro'!$K96&lt;&gt;""),'Atividades Micro'!$K96,"")</f>
        <v/>
      </c>
      <c r="CD90" s="21" t="str">
        <f>IF(AND('Atividades Micro'!$B96=CD$2,'Atividades Micro'!$G96="Micro",'Atividades Micro'!$K96&lt;&gt;""),'Atividades Micro'!$K96,"")</f>
        <v/>
      </c>
      <c r="CE90" s="21">
        <f>IF(AND('Atividades Micro'!$B96=CE$2,'Atividades Micro'!$G96="Micro",'Atividades Micro'!$K96&lt;&gt;""),'Atividades Micro'!$K96,"")</f>
        <v>46366</v>
      </c>
      <c r="CF90" s="21" t="str">
        <f>IF(AND('Atividades Micro'!$B96=CF$2,'Atividades Micro'!$G96="Micro",'Atividades Micro'!$K96&lt;&gt;""),'Atividades Micro'!$K96,"")</f>
        <v/>
      </c>
      <c r="CG90" s="21" t="str">
        <f>IF(AND('Atividades Micro'!$B96=CG$2,'Atividades Micro'!$G96="Micro",'Atividades Micro'!$K96&lt;&gt;""),'Atividades Micro'!$K96,"")</f>
        <v/>
      </c>
      <c r="CH90" s="21" t="str">
        <f>IF(AND('Atividades Micro'!$B96=CH$2,'Atividades Micro'!$G96="Micro",'Atividades Micro'!$K96&lt;&gt;""),'Atividades Micro'!$K96,"")</f>
        <v/>
      </c>
      <c r="CI90" s="21" t="str">
        <f>IF(AND('Atividades Micro'!$B96=CI$2,'Atividades Micro'!$G96="Micro",'Atividades Micro'!$K96&lt;&gt;""),'Atividades Micro'!$K96,"")</f>
        <v/>
      </c>
      <c r="CJ90" s="21" t="str">
        <f>IF(AND('Atividades Micro'!$B96=CJ$2,'Atividades Micro'!$G96="Micro",'Atividades Micro'!$K96&lt;&gt;""),'Atividades Micro'!$K96,"")</f>
        <v/>
      </c>
      <c r="CK90" s="21" t="str">
        <f>IF(AND('Atividades Micro'!$B96=CK$2,'Atividades Micro'!$G96="Micro",'Atividades Micro'!$K96&lt;&gt;""),'Atividades Micro'!$K96,"")</f>
        <v/>
      </c>
      <c r="CL90" s="21" t="str">
        <f>IF(AND('Atividades Micro'!$B96=CL$2,'Atividades Micro'!$G96="Micro",'Atividades Micro'!$K96&lt;&gt;""),'Atividades Micro'!$K96,"")</f>
        <v/>
      </c>
      <c r="CM90" s="21" t="str">
        <f>IF(AND('Atividades Micro'!$B96=CM$2,'Atividades Micro'!$G96="Micro",'Atividades Micro'!$K96&lt;&gt;""),'Atividades Micro'!$K96,"")</f>
        <v/>
      </c>
      <c r="CN90" s="21" t="str">
        <f>IF(AND('Atividades Micro'!$B96=CN$2,'Atividades Micro'!$G96="Micro",'Atividades Micro'!$K96&lt;&gt;""),'Atividades Micro'!$K96,"")</f>
        <v/>
      </c>
      <c r="CO90" s="21" t="str">
        <f>IF(AND('Atividades Micro'!$B96=CO$2,'Atividades Micro'!$G96="Micro",'Atividades Micro'!$K96&lt;&gt;""),'Atividades Micro'!$K96,"")</f>
        <v/>
      </c>
    </row>
    <row r="91" spans="1:93">
      <c r="A91" s="21" t="str">
        <f>IF(AND('Atividades Micro'!$A97=A$2,'Atividades Micro'!$K97&lt;&gt;""),'Atividades Micro'!$K97,"")</f>
        <v/>
      </c>
      <c r="B91" s="21" t="str">
        <f>IF(AND('Atividades Micro'!$A97=B$2,'Atividades Micro'!$L97&lt;&gt;""),'Atividades Micro'!$L97,"")</f>
        <v/>
      </c>
      <c r="C91" s="21" t="str">
        <f>IF(AND('Atividades Micro'!$A97=C$2,'Atividades Micro'!$K97&lt;&gt;""),'Atividades Micro'!$K97,"")</f>
        <v/>
      </c>
      <c r="D91" s="21" t="str">
        <f>IF(AND('Atividades Micro'!$A97=D$2,'Atividades Micro'!$L97&lt;&gt;""),'Atividades Micro'!$L97,"")</f>
        <v/>
      </c>
      <c r="E91" s="21" t="str">
        <f>IF(AND('Atividades Micro'!$A97=E$2,'Atividades Micro'!$K97&lt;&gt;""),'Atividades Micro'!$K97,"")</f>
        <v/>
      </c>
      <c r="F91" s="21" t="str">
        <f>IF(AND('Atividades Micro'!$A97=F$2,'Atividades Micro'!$L97&lt;&gt;""),'Atividades Micro'!$L97,"")</f>
        <v/>
      </c>
      <c r="G91" s="21" t="str">
        <f>IF(AND('Atividades Micro'!$A97=G$2,'Atividades Micro'!$K97&lt;&gt;""),'Atividades Micro'!$K97,"")</f>
        <v/>
      </c>
      <c r="H91" s="21" t="str">
        <f>IF(AND('Atividades Micro'!$A97=H$2,'Atividades Micro'!$L97&lt;&gt;""),'Atividades Micro'!$L97,"")</f>
        <v/>
      </c>
      <c r="I91" s="21" t="str">
        <f>IF(AND('Atividades Micro'!$A97=I$2,'Atividades Micro'!$K97&lt;&gt;""),'Atividades Micro'!$K97,"")</f>
        <v/>
      </c>
      <c r="J91" s="21" t="str">
        <f>IF(AND('Atividades Micro'!$A97=J$2,'Atividades Micro'!$L97&lt;&gt;""),'Atividades Micro'!$L97,"")</f>
        <v/>
      </c>
      <c r="K91" s="21" t="str">
        <f>IF(AND('Atividades Micro'!$B97=K$2,'Atividades Micro'!$K97&lt;&gt;""),'Atividades Micro'!$K97,"")</f>
        <v/>
      </c>
      <c r="L91" s="21" t="str">
        <f>IF(AND('Atividades Micro'!$B97=L$2,'Atividades Micro'!$L97&lt;&gt;""),'Atividades Micro'!$L97,"")</f>
        <v/>
      </c>
      <c r="M91" s="21" t="str">
        <f>IF(AND('Atividades Micro'!$B97=M$2,'Atividades Micro'!$K97&lt;&gt;""),'Atividades Micro'!$K97,"")</f>
        <v/>
      </c>
      <c r="N91" s="21" t="str">
        <f>IF(AND('Atividades Micro'!$B97=N$2,'Atividades Micro'!$L97&lt;&gt;""),'Atividades Micro'!$L97,"")</f>
        <v/>
      </c>
      <c r="O91" s="21" t="str">
        <f>IF(AND('Atividades Micro'!$A97=O$2,'Atividades Micro'!$K97&lt;&gt;""),'Atividades Micro'!$K97,"")</f>
        <v/>
      </c>
      <c r="P91" s="21" t="str">
        <f>IF(AND('Atividades Micro'!$A97=P$2,'Atividades Micro'!$L97&lt;&gt;""),'Atividades Micro'!$L97,"")</f>
        <v/>
      </c>
      <c r="Q91" s="21" t="str">
        <f>IF(AND('Atividades Micro'!$B97=Q$2,'Atividades Micro'!$K97&lt;&gt;""),'Atividades Micro'!$K97,"")</f>
        <v/>
      </c>
      <c r="R91" s="21" t="str">
        <f>IF(AND('Atividades Micro'!$B97=R$2,'Atividades Micro'!$L97&lt;&gt;""),'Atividades Micro'!$L97,"")</f>
        <v/>
      </c>
      <c r="S91" s="21" t="str">
        <f>IF(AND('Atividades Micro'!$A97=S$2,'Atividades Micro'!$K97&lt;&gt;""),'Atividades Micro'!$K97,"")</f>
        <v/>
      </c>
      <c r="T91" s="21" t="str">
        <f>IF(AND('Atividades Micro'!$A97=T$2,'Atividades Micro'!$L97&lt;&gt;""),'Atividades Micro'!$L97,"")</f>
        <v/>
      </c>
      <c r="U91" s="21" t="str">
        <f>IF(AND('Atividades Micro'!$B97=U$2,'Atividades Micro'!$K97&lt;&gt;""),'Atividades Micro'!$K97,"")</f>
        <v/>
      </c>
      <c r="V91" s="21" t="str">
        <f>IF(AND('Atividades Micro'!$B97=V$2,'Atividades Micro'!$L97&lt;&gt;""),'Atividades Micro'!$L97,"")</f>
        <v/>
      </c>
      <c r="W91" s="21" t="str">
        <f>IF(AND('Atividades Micro'!$B97=W$2,'Atividades Micro'!$K97&lt;&gt;""),'Atividades Micro'!$K97,"")</f>
        <v/>
      </c>
      <c r="X91" s="21" t="str">
        <f>IF(AND('Atividades Micro'!$B97=X$2,'Atividades Micro'!$L97&lt;&gt;""),'Atividades Micro'!$L97,"")</f>
        <v/>
      </c>
      <c r="Y91" s="21" t="str">
        <f>IF(AND('Atividades Micro'!$A97=Y$2,'Atividades Micro'!$K97&lt;&gt;""),'Atividades Micro'!$K97,"")</f>
        <v/>
      </c>
      <c r="Z91" s="21" t="str">
        <f>IF(AND('Atividades Micro'!$A97=Z$2,'Atividades Micro'!$L97&lt;&gt;""),'Atividades Micro'!$L97,"")</f>
        <v/>
      </c>
      <c r="AA91" s="21" t="str">
        <f>IF(AND('Atividades Micro'!$B97=AA$2,'Atividades Micro'!$K97&lt;&gt;""),'Atividades Micro'!$K97,"")</f>
        <v/>
      </c>
      <c r="AB91" s="21" t="str">
        <f>IF(AND('Atividades Micro'!$B97=AB$2,'Atividades Micro'!$L97&lt;&gt;""),'Atividades Micro'!$L97,"")</f>
        <v/>
      </c>
      <c r="AC91" s="21" t="str">
        <f>IF(AND('Atividades Micro'!$B97=AC$2,'Atividades Micro'!$K97&lt;&gt;""),'Atividades Micro'!$K97,"")</f>
        <v/>
      </c>
      <c r="AD91" s="21" t="str">
        <f>IF(AND('Atividades Micro'!$B97=AD$2,'Atividades Micro'!$L97&lt;&gt;""),'Atividades Micro'!$L97,"")</f>
        <v/>
      </c>
      <c r="AE91" s="21" t="str">
        <f>IF(AND('Atividades Micro'!$A97=AE$2,'Atividades Micro'!$K97&lt;&gt;""),'Atividades Micro'!$K97,"")</f>
        <v/>
      </c>
      <c r="AF91" s="21" t="str">
        <f>IF(AND('Atividades Micro'!$A97=AF$2,'Atividades Micro'!$L97&lt;&gt;""),'Atividades Micro'!$L97,"")</f>
        <v/>
      </c>
      <c r="AG91" s="21" t="str">
        <f>IF(AND('Atividades Micro'!$B97=AG$2,'Atividades Micro'!$K97&lt;&gt;""),'Atividades Micro'!$K97,"")</f>
        <v/>
      </c>
      <c r="AH91" s="21" t="str">
        <f>IF(AND('Atividades Micro'!$B97=AH$2,'Atividades Micro'!$L97&lt;&gt;""),'Atividades Micro'!$L97,"")</f>
        <v/>
      </c>
      <c r="AI91" s="21" t="str">
        <f>IF(AND('Atividades Micro'!$B97=AI$2,'Atividades Micro'!$K97&lt;&gt;""),'Atividades Micro'!$K97,"")</f>
        <v/>
      </c>
      <c r="AJ91" s="21" t="str">
        <f>IF(AND('Atividades Micro'!$B97=AJ$2,'Atividades Micro'!$L97&lt;&gt;""),'Atividades Micro'!$L97,"")</f>
        <v/>
      </c>
      <c r="AK91" s="21" t="str">
        <f>IF(AND('Atividades Micro'!$A97=AK$2,'Atividades Micro'!$K97&lt;&gt;""),'Atividades Micro'!$K97,"")</f>
        <v/>
      </c>
      <c r="AL91" s="21" t="str">
        <f>IF(AND('Atividades Micro'!$A97=AL$2,'Atividades Micro'!$L97&lt;&gt;""),'Atividades Micro'!$L97,"")</f>
        <v/>
      </c>
      <c r="AM91" s="21" t="str">
        <f>IF(AND('Atividades Micro'!$B97=AM$2,'Atividades Micro'!$K97&lt;&gt;""),'Atividades Micro'!$K97,"")</f>
        <v/>
      </c>
      <c r="AN91" s="21" t="str">
        <f>IF(AND('Atividades Micro'!$B97=AN$2,'Atividades Micro'!$L97&lt;&gt;""),'Atividades Micro'!$L97,"")</f>
        <v/>
      </c>
      <c r="AO91" s="21" t="str">
        <f>IF(AND('Atividades Micro'!$B97=AO$2,'Atividades Micro'!$K97&lt;&gt;""),'Atividades Micro'!$K97,"")</f>
        <v/>
      </c>
      <c r="AP91" s="21" t="str">
        <f>IF(AND('Atividades Micro'!$B97=AP$2,'Atividades Micro'!$L97&lt;&gt;""),'Atividades Micro'!$L97,"")</f>
        <v/>
      </c>
      <c r="AQ91" s="21" t="str">
        <f>IF(AND('Atividades Micro'!$A97=AQ$2,'Atividades Micro'!$K97&lt;&gt;""),'Atividades Micro'!$K97,"")</f>
        <v/>
      </c>
      <c r="AR91" s="21" t="str">
        <f>IF(AND('Atividades Micro'!$A97=AR$2,'Atividades Micro'!$L97&lt;&gt;""),'Atividades Micro'!$L97,"")</f>
        <v/>
      </c>
      <c r="AS91" s="21" t="str">
        <f>IF(AND('Atividades Micro'!$B97=AS$2,'Atividades Micro'!$K97&lt;&gt;""),'Atividades Micro'!$K97,"")</f>
        <v/>
      </c>
      <c r="AT91" s="21" t="str">
        <f>IF(AND('Atividades Micro'!$B97=AT$2,'Atividades Micro'!$L97&lt;&gt;""),'Atividades Micro'!$L97,"")</f>
        <v/>
      </c>
      <c r="AU91" s="21" t="str">
        <f>IF(AND('Atividades Micro'!$A97=AU$2,'Atividades Micro'!$K97&lt;&gt;""),'Atividades Micro'!$K97,"")</f>
        <v/>
      </c>
      <c r="AV91" s="21" t="str">
        <f>IF(AND('Atividades Micro'!$A97=AV$2,'Atividades Micro'!$L97&lt;&gt;""),'Atividades Micro'!$L97,"")</f>
        <v/>
      </c>
      <c r="AW91" s="21" t="str">
        <f>IF(AND('Atividades Micro'!$B97=AW$2,'Atividades Micro'!$K97&lt;&gt;""),'Atividades Micro'!$K97,"")</f>
        <v/>
      </c>
      <c r="AX91" s="21" t="str">
        <f>IF(AND('Atividades Micro'!$B97=AX$2,'Atividades Micro'!$L97&lt;&gt;""),'Atividades Micro'!$L97,"")</f>
        <v/>
      </c>
      <c r="AY91" s="21" t="str">
        <f>IF(AND('Atividades Micro'!$A97=AY$2,'Atividades Micro'!$K97&lt;&gt;""),'Atividades Micro'!$K97,"")</f>
        <v/>
      </c>
      <c r="AZ91" s="21" t="str">
        <f>IF(AND('Atividades Micro'!$A97=AZ$2,'Atividades Micro'!$L97&lt;&gt;""),'Atividades Micro'!$L97,"")</f>
        <v/>
      </c>
      <c r="BA91" s="21" t="str">
        <f>IF(AND('Atividades Micro'!$B97=BA$2,'Atividades Micro'!$K97&lt;&gt;""),'Atividades Micro'!$K97,"")</f>
        <v/>
      </c>
      <c r="BB91" s="21" t="str">
        <f>IF(AND('Atividades Micro'!$B97=BB$2,'Atividades Micro'!$L97&lt;&gt;""),'Atividades Micro'!$L97,"")</f>
        <v/>
      </c>
      <c r="BC91" s="21" t="str">
        <f>IF(AND('Atividades Micro'!$B97=BC$2,'Atividades Micro'!$G97="Macro",'Atividades Micro'!$K97&lt;&gt;""),'Atividades Micro'!$K97,"")</f>
        <v/>
      </c>
      <c r="BD91" s="21" t="str">
        <f>IF(AND('Atividades Micro'!$B97=BD$2,'Atividades Micro'!$G97="Macro",'Atividades Micro'!$K97&lt;&gt;""),'Atividades Micro'!$K97,"")</f>
        <v/>
      </c>
      <c r="BE91" s="21" t="str">
        <f>IF(AND('Atividades Micro'!$B97=BE$2,'Atividades Micro'!$G97="Macro",'Atividades Micro'!$K97&lt;&gt;""),'Atividades Micro'!$K97,"")</f>
        <v/>
      </c>
      <c r="BF91" s="21" t="str">
        <f>IF(AND('Atividades Micro'!$B97=BF$2,'Atividades Micro'!$G97="Macro",'Atividades Micro'!$K97&lt;&gt;""),'Atividades Micro'!$K97,"")</f>
        <v/>
      </c>
      <c r="BG91" s="21" t="str">
        <f>IF(AND('Atividades Micro'!$B97=BG$2,'Atividades Micro'!$G97="Macro",'Atividades Micro'!$K97&lt;&gt;""),'Atividades Micro'!$K97,"")</f>
        <v/>
      </c>
      <c r="BH91" s="21" t="str">
        <f>IF(AND('Atividades Micro'!$B97=BH$2,'Atividades Micro'!$G97="Macro",'Atividades Micro'!$K97&lt;&gt;""),'Atividades Micro'!$K97,"")</f>
        <v/>
      </c>
      <c r="BI91" s="21" t="str">
        <f>IF(AND('Atividades Micro'!$B97=BI$2,'Atividades Micro'!$G97="Macro",'Atividades Micro'!$K97&lt;&gt;""),'Atividades Micro'!$K97,"")</f>
        <v/>
      </c>
      <c r="BJ91" s="21" t="str">
        <f>IF(AND('Atividades Micro'!$B97=BJ$2,'Atividades Micro'!$G97="Macro",'Atividades Micro'!$K97&lt;&gt;""),'Atividades Micro'!$K97,"")</f>
        <v/>
      </c>
      <c r="BK91" s="21" t="str">
        <f>IF(AND('Atividades Micro'!$B97=BK$2,'Atividades Micro'!$G97="Macro",'Atividades Micro'!$K97&lt;&gt;""),'Atividades Micro'!$K97,"")</f>
        <v/>
      </c>
      <c r="BL91" s="21" t="str">
        <f>IF(AND('Atividades Micro'!$B97=BL$2,'Atividades Micro'!$G97="Macro",'Atividades Micro'!$K97&lt;&gt;""),'Atividades Micro'!$K97,"")</f>
        <v/>
      </c>
      <c r="BM91" s="21" t="str">
        <f>IF(AND('Atividades Micro'!$B97=BM$2,'Atividades Micro'!$G97="Macro",'Atividades Micro'!$K97&lt;&gt;""),'Atividades Micro'!$K97,"")</f>
        <v/>
      </c>
      <c r="BN91" s="21" t="str">
        <f>IF(AND('Atividades Micro'!$B97=BN$2,'Atividades Micro'!$G97="Macro",'Atividades Micro'!$K97&lt;&gt;""),'Atividades Micro'!$K97,"")</f>
        <v/>
      </c>
      <c r="BO91" s="21" t="str">
        <f>IF(AND('Atividades Micro'!$B97=BO$2,'Atividades Micro'!$G97="Macro",'Atividades Micro'!$K97&lt;&gt;""),'Atividades Micro'!$K97,"")</f>
        <v/>
      </c>
      <c r="BP91" s="21" t="str">
        <f>IF(AND('Atividades Micro'!$B97=BP$2,'Atividades Micro'!$G97="Macro",'Atividades Micro'!$K97&lt;&gt;""),'Atividades Micro'!$K97,"")</f>
        <v/>
      </c>
      <c r="BQ91" s="21" t="str">
        <f>IF(AND('Atividades Micro'!$B97=BQ$2,'Atividades Micro'!$G97="Macro",'Atividades Micro'!$K97&lt;&gt;""),'Atividades Micro'!$K97,"")</f>
        <v/>
      </c>
      <c r="BR91" s="21" t="str">
        <f>IF(AND('Atividades Micro'!$B97=BR$2,'Atividades Micro'!$G97="Macro",'Atividades Micro'!$K97&lt;&gt;""),'Atividades Micro'!$K97,"")</f>
        <v/>
      </c>
      <c r="BS91" s="21" t="str">
        <f>IF(AND('Atividades Micro'!$B97=BS$2,'Atividades Micro'!$G97="Macro",'Atividades Micro'!$K97&lt;&gt;""),'Atividades Micro'!$K97,"")</f>
        <v/>
      </c>
      <c r="BT91" s="21" t="str">
        <f>IF(AND('Atividades Micro'!$B97=BT$2,'Atividades Micro'!$G97="Macro",'Atividades Micro'!$K97&lt;&gt;""),'Atividades Micro'!$K97,"")</f>
        <v/>
      </c>
      <c r="BU91" s="21" t="str">
        <f>IF(AND('Atividades Micro'!$B97=BU$2,'Atividades Micro'!$G97="Macro",'Atividades Micro'!$K97&lt;&gt;""),'Atividades Micro'!$K97,"")</f>
        <v/>
      </c>
      <c r="BV91" s="21" t="str">
        <f>IF(AND('Atividades Micro'!$B97=BV$2,'Atividades Micro'!$G97="Macro",'Atividades Micro'!$K97&lt;&gt;""),'Atividades Micro'!$K97,"")</f>
        <v/>
      </c>
      <c r="BW91" s="21" t="str">
        <f>IF(AND('Atividades Micro'!$B97=BW$2,'Atividades Micro'!$G97="Macro",'Atividades Micro'!$K97&lt;&gt;""),'Atividades Micro'!$K97,"")</f>
        <v/>
      </c>
      <c r="BX91" s="21" t="str">
        <f>IF(AND('Atividades Micro'!$B97=BX$2,'Atividades Micro'!$G97="Macro",'Atividades Micro'!$K97&lt;&gt;""),'Atividades Micro'!$K97,"")</f>
        <v/>
      </c>
      <c r="BY91" s="21" t="str">
        <f>IF(AND('Atividades Micro'!$B97=BY$2,'Atividades Micro'!$G97="Macro",'Atividades Micro'!$K97&lt;&gt;""),'Atividades Micro'!$K97,"")</f>
        <v/>
      </c>
      <c r="BZ91" s="21" t="str">
        <f>IF(AND('Atividades Micro'!$B97=BZ$2,'Atividades Micro'!$G97="Macro",'Atividades Micro'!$K97&lt;&gt;""),'Atividades Micro'!$K97,"")</f>
        <v/>
      </c>
      <c r="CA91" s="21" t="str">
        <f>IF(AND('Atividades Micro'!$B97=CA$2,'Atividades Micro'!$G97="Macro",'Atividades Micro'!$K97&lt;&gt;""),'Atividades Micro'!$K97,"")</f>
        <v/>
      </c>
      <c r="CB91" s="21" t="str">
        <f>IF(AND('Atividades Micro'!$B97=CB$2,'Atividades Micro'!$G97="Macro",'Atividades Micro'!$K97&lt;&gt;""),'Atividades Micro'!$K97,"")</f>
        <v/>
      </c>
      <c r="CC91" s="21" t="str">
        <f>IF(AND('Atividades Micro'!$B97=CC$2,'Atividades Micro'!$G97="Macro",'Atividades Micro'!$K97&lt;&gt;""),'Atividades Micro'!$K97,"")</f>
        <v/>
      </c>
      <c r="CD91" s="21" t="str">
        <f>IF(AND('Atividades Micro'!$B97=CD$2,'Atividades Micro'!$G97="Micro",'Atividades Micro'!$K97&lt;&gt;""),'Atividades Micro'!$K97,"")</f>
        <v/>
      </c>
      <c r="CE91" s="21" t="str">
        <f>IF(AND('Atividades Micro'!$B97=CE$2,'Atividades Micro'!$G97="Micro",'Atividades Micro'!$K97&lt;&gt;""),'Atividades Micro'!$K97,"")</f>
        <v/>
      </c>
      <c r="CF91" s="21" t="str">
        <f>IF(AND('Atividades Micro'!$B97=CF$2,'Atividades Micro'!$G97="Micro",'Atividades Micro'!$K97&lt;&gt;""),'Atividades Micro'!$K97,"")</f>
        <v/>
      </c>
      <c r="CG91" s="21" t="str">
        <f>IF(AND('Atividades Micro'!$B97=CG$2,'Atividades Micro'!$G97="Micro",'Atividades Micro'!$K97&lt;&gt;""),'Atividades Micro'!$K97,"")</f>
        <v/>
      </c>
      <c r="CH91" s="21" t="str">
        <f>IF(AND('Atividades Micro'!$B97=CH$2,'Atividades Micro'!$G97="Micro",'Atividades Micro'!$K97&lt;&gt;""),'Atividades Micro'!$K97,"")</f>
        <v/>
      </c>
      <c r="CI91" s="21" t="str">
        <f>IF(AND('Atividades Micro'!$B97=CI$2,'Atividades Micro'!$G97="Micro",'Atividades Micro'!$K97&lt;&gt;""),'Atividades Micro'!$K97,"")</f>
        <v/>
      </c>
      <c r="CJ91" s="21" t="str">
        <f>IF(AND('Atividades Micro'!$B97=CJ$2,'Atividades Micro'!$G97="Micro",'Atividades Micro'!$K97&lt;&gt;""),'Atividades Micro'!$K97,"")</f>
        <v/>
      </c>
      <c r="CK91" s="21" t="str">
        <f>IF(AND('Atividades Micro'!$B97=CK$2,'Atividades Micro'!$G97="Micro",'Atividades Micro'!$K97&lt;&gt;""),'Atividades Micro'!$K97,"")</f>
        <v/>
      </c>
      <c r="CL91" s="21" t="str">
        <f>IF(AND('Atividades Micro'!$B97=CL$2,'Atividades Micro'!$G97="Micro",'Atividades Micro'!$K97&lt;&gt;""),'Atividades Micro'!$K97,"")</f>
        <v/>
      </c>
      <c r="CM91" s="21" t="str">
        <f>IF(AND('Atividades Micro'!$B97=CM$2,'Atividades Micro'!$G97="Micro",'Atividades Micro'!$K97&lt;&gt;""),'Atividades Micro'!$K97,"")</f>
        <v/>
      </c>
      <c r="CN91" s="21" t="str">
        <f>IF(AND('Atividades Micro'!$B97=CN$2,'Atividades Micro'!$G97="Micro",'Atividades Micro'!$K97&lt;&gt;""),'Atividades Micro'!$K97,"")</f>
        <v/>
      </c>
      <c r="CO91" s="21" t="str">
        <f>IF(AND('Atividades Micro'!$B97=CO$2,'Atividades Micro'!$G97="Micro",'Atividades Micro'!$K97&lt;&gt;""),'Atividades Micro'!$K97,"")</f>
        <v/>
      </c>
    </row>
    <row r="92" spans="1:93">
      <c r="A92" s="21" t="str">
        <f>IF(AND('Atividades Micro'!$A98=A$2,'Atividades Micro'!$K98&lt;&gt;""),'Atividades Micro'!$K98,"")</f>
        <v/>
      </c>
      <c r="B92" s="21" t="str">
        <f>IF(AND('Atividades Micro'!$A98=B$2,'Atividades Micro'!$L98&lt;&gt;""),'Atividades Micro'!$L98,"")</f>
        <v/>
      </c>
      <c r="C92" s="21" t="str">
        <f>IF(AND('Atividades Micro'!$A98=C$2,'Atividades Micro'!$K98&lt;&gt;""),'Atividades Micro'!$K98,"")</f>
        <v/>
      </c>
      <c r="D92" s="21" t="str">
        <f>IF(AND('Atividades Micro'!$A98=D$2,'Atividades Micro'!$L98&lt;&gt;""),'Atividades Micro'!$L98,"")</f>
        <v/>
      </c>
      <c r="E92" s="21" t="str">
        <f>IF(AND('Atividades Micro'!$A98=E$2,'Atividades Micro'!$K98&lt;&gt;""),'Atividades Micro'!$K98,"")</f>
        <v/>
      </c>
      <c r="F92" s="21" t="str">
        <f>IF(AND('Atividades Micro'!$A98=F$2,'Atividades Micro'!$L98&lt;&gt;""),'Atividades Micro'!$L98,"")</f>
        <v/>
      </c>
      <c r="G92" s="21" t="str">
        <f>IF(AND('Atividades Micro'!$A98=G$2,'Atividades Micro'!$K98&lt;&gt;""),'Atividades Micro'!$K98,"")</f>
        <v/>
      </c>
      <c r="H92" s="21" t="str">
        <f>IF(AND('Atividades Micro'!$A98=H$2,'Atividades Micro'!$L98&lt;&gt;""),'Atividades Micro'!$L98,"")</f>
        <v/>
      </c>
      <c r="I92" s="21">
        <f>IF(AND('Atividades Micro'!$A98=I$2,'Atividades Micro'!$K98&lt;&gt;""),'Atividades Micro'!$K98,"")</f>
        <v>46252</v>
      </c>
      <c r="J92" s="21">
        <f>IF(AND('Atividades Micro'!$A98=J$2,'Atividades Micro'!$L98&lt;&gt;""),'Atividades Micro'!$L98,"")</f>
        <v>46276</v>
      </c>
      <c r="K92" s="21" t="str">
        <f>IF(AND('Atividades Micro'!$B98=K$2,'Atividades Micro'!$K98&lt;&gt;""),'Atividades Micro'!$K98,"")</f>
        <v/>
      </c>
      <c r="L92" s="21" t="str">
        <f>IF(AND('Atividades Micro'!$B98=L$2,'Atividades Micro'!$L98&lt;&gt;""),'Atividades Micro'!$L98,"")</f>
        <v/>
      </c>
      <c r="M92" s="21">
        <f>IF(AND('Atividades Micro'!$B98=M$2,'Atividades Micro'!$K98&lt;&gt;""),'Atividades Micro'!$K98,"")</f>
        <v>46252</v>
      </c>
      <c r="N92" s="21">
        <f>IF(AND('Atividades Micro'!$B98=N$2,'Atividades Micro'!$L98&lt;&gt;""),'Atividades Micro'!$L98,"")</f>
        <v>46276</v>
      </c>
      <c r="O92" s="21" t="str">
        <f>IF(AND('Atividades Micro'!$A98=O$2,'Atividades Micro'!$K98&lt;&gt;""),'Atividades Micro'!$K98,"")</f>
        <v/>
      </c>
      <c r="P92" s="21" t="str">
        <f>IF(AND('Atividades Micro'!$A98=P$2,'Atividades Micro'!$L98&lt;&gt;""),'Atividades Micro'!$L98,"")</f>
        <v/>
      </c>
      <c r="Q92" s="21" t="str">
        <f>IF(AND('Atividades Micro'!$B98=Q$2,'Atividades Micro'!$K98&lt;&gt;""),'Atividades Micro'!$K98,"")</f>
        <v/>
      </c>
      <c r="R92" s="21" t="str">
        <f>IF(AND('Atividades Micro'!$B98=R$2,'Atividades Micro'!$L98&lt;&gt;""),'Atividades Micro'!$L98,"")</f>
        <v/>
      </c>
      <c r="S92" s="21" t="str">
        <f>IF(AND('Atividades Micro'!$A98=S$2,'Atividades Micro'!$K98&lt;&gt;""),'Atividades Micro'!$K98,"")</f>
        <v/>
      </c>
      <c r="T92" s="21" t="str">
        <f>IF(AND('Atividades Micro'!$A98=T$2,'Atividades Micro'!$L98&lt;&gt;""),'Atividades Micro'!$L98,"")</f>
        <v/>
      </c>
      <c r="U92" s="21" t="str">
        <f>IF(AND('Atividades Micro'!$B98=U$2,'Atividades Micro'!$K98&lt;&gt;""),'Atividades Micro'!$K98,"")</f>
        <v/>
      </c>
      <c r="V92" s="21" t="str">
        <f>IF(AND('Atividades Micro'!$B98=V$2,'Atividades Micro'!$L98&lt;&gt;""),'Atividades Micro'!$L98,"")</f>
        <v/>
      </c>
      <c r="W92" s="21" t="str">
        <f>IF(AND('Atividades Micro'!$B98=W$2,'Atividades Micro'!$K98&lt;&gt;""),'Atividades Micro'!$K98,"")</f>
        <v/>
      </c>
      <c r="X92" s="21" t="str">
        <f>IF(AND('Atividades Micro'!$B98=X$2,'Atividades Micro'!$L98&lt;&gt;""),'Atividades Micro'!$L98,"")</f>
        <v/>
      </c>
      <c r="Y92" s="21" t="str">
        <f>IF(AND('Atividades Micro'!$A98=Y$2,'Atividades Micro'!$K98&lt;&gt;""),'Atividades Micro'!$K98,"")</f>
        <v/>
      </c>
      <c r="Z92" s="21" t="str">
        <f>IF(AND('Atividades Micro'!$A98=Z$2,'Atividades Micro'!$L98&lt;&gt;""),'Atividades Micro'!$L98,"")</f>
        <v/>
      </c>
      <c r="AA92" s="21" t="str">
        <f>IF(AND('Atividades Micro'!$B98=AA$2,'Atividades Micro'!$K98&lt;&gt;""),'Atividades Micro'!$K98,"")</f>
        <v/>
      </c>
      <c r="AB92" s="21" t="str">
        <f>IF(AND('Atividades Micro'!$B98=AB$2,'Atividades Micro'!$L98&lt;&gt;""),'Atividades Micro'!$L98,"")</f>
        <v/>
      </c>
      <c r="AC92" s="21" t="str">
        <f>IF(AND('Atividades Micro'!$B98=AC$2,'Atividades Micro'!$K98&lt;&gt;""),'Atividades Micro'!$K98,"")</f>
        <v/>
      </c>
      <c r="AD92" s="21" t="str">
        <f>IF(AND('Atividades Micro'!$B98=AD$2,'Atividades Micro'!$L98&lt;&gt;""),'Atividades Micro'!$L98,"")</f>
        <v/>
      </c>
      <c r="AE92" s="21" t="str">
        <f>IF(AND('Atividades Micro'!$A98=AE$2,'Atividades Micro'!$K98&lt;&gt;""),'Atividades Micro'!$K98,"")</f>
        <v/>
      </c>
      <c r="AF92" s="21" t="str">
        <f>IF(AND('Atividades Micro'!$A98=AF$2,'Atividades Micro'!$L98&lt;&gt;""),'Atividades Micro'!$L98,"")</f>
        <v/>
      </c>
      <c r="AG92" s="21" t="str">
        <f>IF(AND('Atividades Micro'!$B98=AG$2,'Atividades Micro'!$K98&lt;&gt;""),'Atividades Micro'!$K98,"")</f>
        <v/>
      </c>
      <c r="AH92" s="21" t="str">
        <f>IF(AND('Atividades Micro'!$B98=AH$2,'Atividades Micro'!$L98&lt;&gt;""),'Atividades Micro'!$L98,"")</f>
        <v/>
      </c>
      <c r="AI92" s="21" t="str">
        <f>IF(AND('Atividades Micro'!$B98=AI$2,'Atividades Micro'!$K98&lt;&gt;""),'Atividades Micro'!$K98,"")</f>
        <v/>
      </c>
      <c r="AJ92" s="21" t="str">
        <f>IF(AND('Atividades Micro'!$B98=AJ$2,'Atividades Micro'!$L98&lt;&gt;""),'Atividades Micro'!$L98,"")</f>
        <v/>
      </c>
      <c r="AK92" s="21" t="str">
        <f>IF(AND('Atividades Micro'!$A98=AK$2,'Atividades Micro'!$K98&lt;&gt;""),'Atividades Micro'!$K98,"")</f>
        <v/>
      </c>
      <c r="AL92" s="21" t="str">
        <f>IF(AND('Atividades Micro'!$A98=AL$2,'Atividades Micro'!$L98&lt;&gt;""),'Atividades Micro'!$L98,"")</f>
        <v/>
      </c>
      <c r="AM92" s="21" t="str">
        <f>IF(AND('Atividades Micro'!$B98=AM$2,'Atividades Micro'!$K98&lt;&gt;""),'Atividades Micro'!$K98,"")</f>
        <v/>
      </c>
      <c r="AN92" s="21" t="str">
        <f>IF(AND('Atividades Micro'!$B98=AN$2,'Atividades Micro'!$L98&lt;&gt;""),'Atividades Micro'!$L98,"")</f>
        <v/>
      </c>
      <c r="AO92" s="21" t="str">
        <f>IF(AND('Atividades Micro'!$B98=AO$2,'Atividades Micro'!$K98&lt;&gt;""),'Atividades Micro'!$K98,"")</f>
        <v/>
      </c>
      <c r="AP92" s="21" t="str">
        <f>IF(AND('Atividades Micro'!$B98=AP$2,'Atividades Micro'!$L98&lt;&gt;""),'Atividades Micro'!$L98,"")</f>
        <v/>
      </c>
      <c r="AQ92" s="21" t="str">
        <f>IF(AND('Atividades Micro'!$A98=AQ$2,'Atividades Micro'!$K98&lt;&gt;""),'Atividades Micro'!$K98,"")</f>
        <v/>
      </c>
      <c r="AR92" s="21" t="str">
        <f>IF(AND('Atividades Micro'!$A98=AR$2,'Atividades Micro'!$L98&lt;&gt;""),'Atividades Micro'!$L98,"")</f>
        <v/>
      </c>
      <c r="AS92" s="21" t="str">
        <f>IF(AND('Atividades Micro'!$B98=AS$2,'Atividades Micro'!$K98&lt;&gt;""),'Atividades Micro'!$K98,"")</f>
        <v/>
      </c>
      <c r="AT92" s="21" t="str">
        <f>IF(AND('Atividades Micro'!$B98=AT$2,'Atividades Micro'!$L98&lt;&gt;""),'Atividades Micro'!$L98,"")</f>
        <v/>
      </c>
      <c r="AU92" s="21" t="str">
        <f>IF(AND('Atividades Micro'!$A98=AU$2,'Atividades Micro'!$K98&lt;&gt;""),'Atividades Micro'!$K98,"")</f>
        <v/>
      </c>
      <c r="AV92" s="21" t="str">
        <f>IF(AND('Atividades Micro'!$A98=AV$2,'Atividades Micro'!$L98&lt;&gt;""),'Atividades Micro'!$L98,"")</f>
        <v/>
      </c>
      <c r="AW92" s="21" t="str">
        <f>IF(AND('Atividades Micro'!$B98=AW$2,'Atividades Micro'!$K98&lt;&gt;""),'Atividades Micro'!$K98,"")</f>
        <v/>
      </c>
      <c r="AX92" s="21" t="str">
        <f>IF(AND('Atividades Micro'!$B98=AX$2,'Atividades Micro'!$L98&lt;&gt;""),'Atividades Micro'!$L98,"")</f>
        <v/>
      </c>
      <c r="AY92" s="21" t="str">
        <f>IF(AND('Atividades Micro'!$A98=AY$2,'Atividades Micro'!$K98&lt;&gt;""),'Atividades Micro'!$K98,"")</f>
        <v/>
      </c>
      <c r="AZ92" s="21" t="str">
        <f>IF(AND('Atividades Micro'!$A98=AZ$2,'Atividades Micro'!$L98&lt;&gt;""),'Atividades Micro'!$L98,"")</f>
        <v/>
      </c>
      <c r="BA92" s="21" t="str">
        <f>IF(AND('Atividades Micro'!$B98=BA$2,'Atividades Micro'!$K98&lt;&gt;""),'Atividades Micro'!$K98,"")</f>
        <v/>
      </c>
      <c r="BB92" s="21" t="str">
        <f>IF(AND('Atividades Micro'!$B98=BB$2,'Atividades Micro'!$L98&lt;&gt;""),'Atividades Micro'!$L98,"")</f>
        <v/>
      </c>
      <c r="BC92" s="21" t="str">
        <f>IF(AND('Atividades Micro'!$B98=BC$2,'Atividades Micro'!$G98="Macro",'Atividades Micro'!$K98&lt;&gt;""),'Atividades Micro'!$K98,"")</f>
        <v/>
      </c>
      <c r="BD92" s="21" t="str">
        <f>IF(AND('Atividades Micro'!$B98=BD$2,'Atividades Micro'!$G98="Macro",'Atividades Micro'!$K98&lt;&gt;""),'Atividades Micro'!$K98,"")</f>
        <v/>
      </c>
      <c r="BE92" s="21" t="str">
        <f>IF(AND('Atividades Micro'!$B98=BE$2,'Atividades Micro'!$G98="Macro",'Atividades Micro'!$K98&lt;&gt;""),'Atividades Micro'!$K98,"")</f>
        <v/>
      </c>
      <c r="BF92" s="21" t="str">
        <f>IF(AND('Atividades Micro'!$B98=BF$2,'Atividades Micro'!$G98="Macro",'Atividades Micro'!$K98&lt;&gt;""),'Atividades Micro'!$K98,"")</f>
        <v/>
      </c>
      <c r="BG92" s="21" t="str">
        <f>IF(AND('Atividades Micro'!$B98=BG$2,'Atividades Micro'!$G98="Macro",'Atividades Micro'!$K98&lt;&gt;""),'Atividades Micro'!$K98,"")</f>
        <v/>
      </c>
      <c r="BH92" s="21" t="str">
        <f>IF(AND('Atividades Micro'!$B98=BH$2,'Atividades Micro'!$G98="Macro",'Atividades Micro'!$K98&lt;&gt;""),'Atividades Micro'!$K98,"")</f>
        <v/>
      </c>
      <c r="BI92" s="21" t="str">
        <f>IF(AND('Atividades Micro'!$B98=BI$2,'Atividades Micro'!$G98="Macro",'Atividades Micro'!$K98&lt;&gt;""),'Atividades Micro'!$K98,"")</f>
        <v/>
      </c>
      <c r="BJ92" s="21" t="str">
        <f>IF(AND('Atividades Micro'!$B98=BJ$2,'Atividades Micro'!$G98="Macro",'Atividades Micro'!$K98&lt;&gt;""),'Atividades Micro'!$K98,"")</f>
        <v/>
      </c>
      <c r="BK92" s="21" t="str">
        <f>IF(AND('Atividades Micro'!$B98=BK$2,'Atividades Micro'!$G98="Macro",'Atividades Micro'!$K98&lt;&gt;""),'Atividades Micro'!$K98,"")</f>
        <v/>
      </c>
      <c r="BL92" s="21" t="str">
        <f>IF(AND('Atividades Micro'!$B98=BL$2,'Atividades Micro'!$G98="Macro",'Atividades Micro'!$K98&lt;&gt;""),'Atividades Micro'!$K98,"")</f>
        <v/>
      </c>
      <c r="BM92" s="21" t="str">
        <f>IF(AND('Atividades Micro'!$B98=BM$2,'Atividades Micro'!$G98="Macro",'Atividades Micro'!$K98&lt;&gt;""),'Atividades Micro'!$K98,"")</f>
        <v/>
      </c>
      <c r="BN92" s="21" t="str">
        <f>IF(AND('Atividades Micro'!$B98=BN$2,'Atividades Micro'!$G98="Macro",'Atividades Micro'!$K98&lt;&gt;""),'Atividades Micro'!$K98,"")</f>
        <v/>
      </c>
      <c r="BO92" s="21" t="str">
        <f>IF(AND('Atividades Micro'!$B98=BO$2,'Atividades Micro'!$G98="Macro",'Atividades Micro'!$K98&lt;&gt;""),'Atividades Micro'!$K98,"")</f>
        <v/>
      </c>
      <c r="BP92" s="21" t="str">
        <f>IF(AND('Atividades Micro'!$B98=BP$2,'Atividades Micro'!$G98="Macro",'Atividades Micro'!$K98&lt;&gt;""),'Atividades Micro'!$K98,"")</f>
        <v/>
      </c>
      <c r="BQ92" s="21" t="str">
        <f>IF(AND('Atividades Micro'!$B98=BQ$2,'Atividades Micro'!$G98="Macro",'Atividades Micro'!$K98&lt;&gt;""),'Atividades Micro'!$K98,"")</f>
        <v/>
      </c>
      <c r="BR92" s="21" t="str">
        <f>IF(AND('Atividades Micro'!$B98=BR$2,'Atividades Micro'!$G98="Macro",'Atividades Micro'!$K98&lt;&gt;""),'Atividades Micro'!$K98,"")</f>
        <v/>
      </c>
      <c r="BS92" s="21" t="str">
        <f>IF(AND('Atividades Micro'!$B98=BS$2,'Atividades Micro'!$G98="Macro",'Atividades Micro'!$K98&lt;&gt;""),'Atividades Micro'!$K98,"")</f>
        <v/>
      </c>
      <c r="BT92" s="21" t="str">
        <f>IF(AND('Atividades Micro'!$B98=BT$2,'Atividades Micro'!$G98="Macro",'Atividades Micro'!$K98&lt;&gt;""),'Atividades Micro'!$K98,"")</f>
        <v/>
      </c>
      <c r="BU92" s="21" t="str">
        <f>IF(AND('Atividades Micro'!$B98=BU$2,'Atividades Micro'!$G98="Macro",'Atividades Micro'!$K98&lt;&gt;""),'Atividades Micro'!$K98,"")</f>
        <v/>
      </c>
      <c r="BV92" s="21" t="str">
        <f>IF(AND('Atividades Micro'!$B98=BV$2,'Atividades Micro'!$G98="Macro",'Atividades Micro'!$K98&lt;&gt;""),'Atividades Micro'!$K98,"")</f>
        <v/>
      </c>
      <c r="BW92" s="21" t="str">
        <f>IF(AND('Atividades Micro'!$B98=BW$2,'Atividades Micro'!$G98="Macro",'Atividades Micro'!$K98&lt;&gt;""),'Atividades Micro'!$K98,"")</f>
        <v/>
      </c>
      <c r="BX92" s="21" t="str">
        <f>IF(AND('Atividades Micro'!$B98=BX$2,'Atividades Micro'!$G98="Macro",'Atividades Micro'!$K98&lt;&gt;""),'Atividades Micro'!$K98,"")</f>
        <v/>
      </c>
      <c r="BY92" s="21" t="str">
        <f>IF(AND('Atividades Micro'!$B98=BY$2,'Atividades Micro'!$G98="Macro",'Atividades Micro'!$K98&lt;&gt;""),'Atividades Micro'!$K98,"")</f>
        <v/>
      </c>
      <c r="BZ92" s="21" t="str">
        <f>IF(AND('Atividades Micro'!$B98=BZ$2,'Atividades Micro'!$G98="Macro",'Atividades Micro'!$K98&lt;&gt;""),'Atividades Micro'!$K98,"")</f>
        <v/>
      </c>
      <c r="CA92" s="21" t="str">
        <f>IF(AND('Atividades Micro'!$B98=CA$2,'Atividades Micro'!$G98="Macro",'Atividades Micro'!$K98&lt;&gt;""),'Atividades Micro'!$K98,"")</f>
        <v/>
      </c>
      <c r="CB92" s="21" t="str">
        <f>IF(AND('Atividades Micro'!$B98=CB$2,'Atividades Micro'!$G98="Macro",'Atividades Micro'!$K98&lt;&gt;""),'Atividades Micro'!$K98,"")</f>
        <v/>
      </c>
      <c r="CC92" s="21" t="str">
        <f>IF(AND('Atividades Micro'!$B98=CC$2,'Atividades Micro'!$G98="Macro",'Atividades Micro'!$K98&lt;&gt;""),'Atividades Micro'!$K98,"")</f>
        <v/>
      </c>
      <c r="CD92" s="21" t="str">
        <f>IF(AND('Atividades Micro'!$B98=CD$2,'Atividades Micro'!$G98="Micro",'Atividades Micro'!$K98&lt;&gt;""),'Atividades Micro'!$K98,"")</f>
        <v/>
      </c>
      <c r="CE92" s="21">
        <f>IF(AND('Atividades Micro'!$B98=CE$2,'Atividades Micro'!$G98="Micro",'Atividades Micro'!$K98&lt;&gt;""),'Atividades Micro'!$K98,"")</f>
        <v>46252</v>
      </c>
      <c r="CF92" s="21" t="str">
        <f>IF(AND('Atividades Micro'!$B98=CF$2,'Atividades Micro'!$G98="Micro",'Atividades Micro'!$K98&lt;&gt;""),'Atividades Micro'!$K98,"")</f>
        <v/>
      </c>
      <c r="CG92" s="21" t="str">
        <f>IF(AND('Atividades Micro'!$B98=CG$2,'Atividades Micro'!$G98="Micro",'Atividades Micro'!$K98&lt;&gt;""),'Atividades Micro'!$K98,"")</f>
        <v/>
      </c>
      <c r="CH92" s="21" t="str">
        <f>IF(AND('Atividades Micro'!$B98=CH$2,'Atividades Micro'!$G98="Micro",'Atividades Micro'!$K98&lt;&gt;""),'Atividades Micro'!$K98,"")</f>
        <v/>
      </c>
      <c r="CI92" s="21" t="str">
        <f>IF(AND('Atividades Micro'!$B98=CI$2,'Atividades Micro'!$G98="Micro",'Atividades Micro'!$K98&lt;&gt;""),'Atividades Micro'!$K98,"")</f>
        <v/>
      </c>
      <c r="CJ92" s="21" t="str">
        <f>IF(AND('Atividades Micro'!$B98=CJ$2,'Atividades Micro'!$G98="Micro",'Atividades Micro'!$K98&lt;&gt;""),'Atividades Micro'!$K98,"")</f>
        <v/>
      </c>
      <c r="CK92" s="21" t="str">
        <f>IF(AND('Atividades Micro'!$B98=CK$2,'Atividades Micro'!$G98="Micro",'Atividades Micro'!$K98&lt;&gt;""),'Atividades Micro'!$K98,"")</f>
        <v/>
      </c>
      <c r="CL92" s="21" t="str">
        <f>IF(AND('Atividades Micro'!$B98=CL$2,'Atividades Micro'!$G98="Micro",'Atividades Micro'!$K98&lt;&gt;""),'Atividades Micro'!$K98,"")</f>
        <v/>
      </c>
      <c r="CM92" s="21" t="str">
        <f>IF(AND('Atividades Micro'!$B98=CM$2,'Atividades Micro'!$G98="Micro",'Atividades Micro'!$K98&lt;&gt;""),'Atividades Micro'!$K98,"")</f>
        <v/>
      </c>
      <c r="CN92" s="21" t="str">
        <f>IF(AND('Atividades Micro'!$B98=CN$2,'Atividades Micro'!$G98="Micro",'Atividades Micro'!$K98&lt;&gt;""),'Atividades Micro'!$K98,"")</f>
        <v/>
      </c>
      <c r="CO92" s="21" t="str">
        <f>IF(AND('Atividades Micro'!$B98=CO$2,'Atividades Micro'!$G98="Micro",'Atividades Micro'!$K98&lt;&gt;""),'Atividades Micro'!$K98,"")</f>
        <v/>
      </c>
    </row>
    <row r="93" spans="1:93">
      <c r="A93" s="21" t="str">
        <f>IF(AND('Atividades Micro'!$A99=A$2,'Atividades Micro'!$K99&lt;&gt;""),'Atividades Micro'!$K99,"")</f>
        <v/>
      </c>
      <c r="B93" s="21" t="str">
        <f>IF(AND('Atividades Micro'!$A99=B$2,'Atividades Micro'!$L99&lt;&gt;""),'Atividades Micro'!$L99,"")</f>
        <v/>
      </c>
      <c r="C93" s="21" t="str">
        <f>IF(AND('Atividades Micro'!$A99=C$2,'Atividades Micro'!$K99&lt;&gt;""),'Atividades Micro'!$K99,"")</f>
        <v/>
      </c>
      <c r="D93" s="21" t="str">
        <f>IF(AND('Atividades Micro'!$A99=D$2,'Atividades Micro'!$L99&lt;&gt;""),'Atividades Micro'!$L99,"")</f>
        <v/>
      </c>
      <c r="E93" s="21" t="str">
        <f>IF(AND('Atividades Micro'!$A99=E$2,'Atividades Micro'!$K99&lt;&gt;""),'Atividades Micro'!$K99,"")</f>
        <v/>
      </c>
      <c r="F93" s="21" t="str">
        <f>IF(AND('Atividades Micro'!$A99=F$2,'Atividades Micro'!$L99&lt;&gt;""),'Atividades Micro'!$L99,"")</f>
        <v/>
      </c>
      <c r="G93" s="21" t="str">
        <f>IF(AND('Atividades Micro'!$A99=G$2,'Atividades Micro'!$K99&lt;&gt;""),'Atividades Micro'!$K99,"")</f>
        <v/>
      </c>
      <c r="H93" s="21" t="str">
        <f>IF(AND('Atividades Micro'!$A99=H$2,'Atividades Micro'!$L99&lt;&gt;""),'Atividades Micro'!$L99,"")</f>
        <v/>
      </c>
      <c r="I93" s="21" t="str">
        <f>IF(AND('Atividades Micro'!$A99=I$2,'Atividades Micro'!$K99&lt;&gt;""),'Atividades Micro'!$K99,"")</f>
        <v/>
      </c>
      <c r="J93" s="21" t="str">
        <f>IF(AND('Atividades Micro'!$A99=J$2,'Atividades Micro'!$L99&lt;&gt;""),'Atividades Micro'!$L99,"")</f>
        <v/>
      </c>
      <c r="K93" s="21" t="str">
        <f>IF(AND('Atividades Micro'!$B99=K$2,'Atividades Micro'!$K99&lt;&gt;""),'Atividades Micro'!$K99,"")</f>
        <v/>
      </c>
      <c r="L93" s="21" t="str">
        <f>IF(AND('Atividades Micro'!$B99=L$2,'Atividades Micro'!$L99&lt;&gt;""),'Atividades Micro'!$L99,"")</f>
        <v/>
      </c>
      <c r="M93" s="21" t="str">
        <f>IF(AND('Atividades Micro'!$B99=M$2,'Atividades Micro'!$K99&lt;&gt;""),'Atividades Micro'!$K99,"")</f>
        <v/>
      </c>
      <c r="N93" s="21" t="str">
        <f>IF(AND('Atividades Micro'!$B99=N$2,'Atividades Micro'!$L99&lt;&gt;""),'Atividades Micro'!$L99,"")</f>
        <v/>
      </c>
      <c r="O93" s="21" t="str">
        <f>IF(AND('Atividades Micro'!$A99=O$2,'Atividades Micro'!$K99&lt;&gt;""),'Atividades Micro'!$K99,"")</f>
        <v/>
      </c>
      <c r="P93" s="21" t="str">
        <f>IF(AND('Atividades Micro'!$A99=P$2,'Atividades Micro'!$L99&lt;&gt;""),'Atividades Micro'!$L99,"")</f>
        <v/>
      </c>
      <c r="Q93" s="21" t="str">
        <f>IF(AND('Atividades Micro'!$B99=Q$2,'Atividades Micro'!$K99&lt;&gt;""),'Atividades Micro'!$K99,"")</f>
        <v/>
      </c>
      <c r="R93" s="21" t="str">
        <f>IF(AND('Atividades Micro'!$B99=R$2,'Atividades Micro'!$L99&lt;&gt;""),'Atividades Micro'!$L99,"")</f>
        <v/>
      </c>
      <c r="S93" s="21" t="str">
        <f>IF(AND('Atividades Micro'!$A99=S$2,'Atividades Micro'!$K99&lt;&gt;""),'Atividades Micro'!$K99,"")</f>
        <v/>
      </c>
      <c r="T93" s="21" t="str">
        <f>IF(AND('Atividades Micro'!$A99=T$2,'Atividades Micro'!$L99&lt;&gt;""),'Atividades Micro'!$L99,"")</f>
        <v/>
      </c>
      <c r="U93" s="21" t="str">
        <f>IF(AND('Atividades Micro'!$B99=U$2,'Atividades Micro'!$K99&lt;&gt;""),'Atividades Micro'!$K99,"")</f>
        <v/>
      </c>
      <c r="V93" s="21" t="str">
        <f>IF(AND('Atividades Micro'!$B99=V$2,'Atividades Micro'!$L99&lt;&gt;""),'Atividades Micro'!$L99,"")</f>
        <v/>
      </c>
      <c r="W93" s="21" t="str">
        <f>IF(AND('Atividades Micro'!$B99=W$2,'Atividades Micro'!$K99&lt;&gt;""),'Atividades Micro'!$K99,"")</f>
        <v/>
      </c>
      <c r="X93" s="21" t="str">
        <f>IF(AND('Atividades Micro'!$B99=X$2,'Atividades Micro'!$L99&lt;&gt;""),'Atividades Micro'!$L99,"")</f>
        <v/>
      </c>
      <c r="Y93" s="21" t="str">
        <f>IF(AND('Atividades Micro'!$A99=Y$2,'Atividades Micro'!$K99&lt;&gt;""),'Atividades Micro'!$K99,"")</f>
        <v/>
      </c>
      <c r="Z93" s="21" t="str">
        <f>IF(AND('Atividades Micro'!$A99=Z$2,'Atividades Micro'!$L99&lt;&gt;""),'Atividades Micro'!$L99,"")</f>
        <v/>
      </c>
      <c r="AA93" s="21" t="str">
        <f>IF(AND('Atividades Micro'!$B99=AA$2,'Atividades Micro'!$K99&lt;&gt;""),'Atividades Micro'!$K99,"")</f>
        <v/>
      </c>
      <c r="AB93" s="21" t="str">
        <f>IF(AND('Atividades Micro'!$B99=AB$2,'Atividades Micro'!$L99&lt;&gt;""),'Atividades Micro'!$L99,"")</f>
        <v/>
      </c>
      <c r="AC93" s="21" t="str">
        <f>IF(AND('Atividades Micro'!$B99=AC$2,'Atividades Micro'!$K99&lt;&gt;""),'Atividades Micro'!$K99,"")</f>
        <v/>
      </c>
      <c r="AD93" s="21" t="str">
        <f>IF(AND('Atividades Micro'!$B99=AD$2,'Atividades Micro'!$L99&lt;&gt;""),'Atividades Micro'!$L99,"")</f>
        <v/>
      </c>
      <c r="AE93" s="21" t="str">
        <f>IF(AND('Atividades Micro'!$A99=AE$2,'Atividades Micro'!$K99&lt;&gt;""),'Atividades Micro'!$K99,"")</f>
        <v/>
      </c>
      <c r="AF93" s="21" t="str">
        <f>IF(AND('Atividades Micro'!$A99=AF$2,'Atividades Micro'!$L99&lt;&gt;""),'Atividades Micro'!$L99,"")</f>
        <v/>
      </c>
      <c r="AG93" s="21" t="str">
        <f>IF(AND('Atividades Micro'!$B99=AG$2,'Atividades Micro'!$K99&lt;&gt;""),'Atividades Micro'!$K99,"")</f>
        <v/>
      </c>
      <c r="AH93" s="21" t="str">
        <f>IF(AND('Atividades Micro'!$B99=AH$2,'Atividades Micro'!$L99&lt;&gt;""),'Atividades Micro'!$L99,"")</f>
        <v/>
      </c>
      <c r="AI93" s="21" t="str">
        <f>IF(AND('Atividades Micro'!$B99=AI$2,'Atividades Micro'!$K99&lt;&gt;""),'Atividades Micro'!$K99,"")</f>
        <v/>
      </c>
      <c r="AJ93" s="21" t="str">
        <f>IF(AND('Atividades Micro'!$B99=AJ$2,'Atividades Micro'!$L99&lt;&gt;""),'Atividades Micro'!$L99,"")</f>
        <v/>
      </c>
      <c r="AK93" s="21" t="str">
        <f>IF(AND('Atividades Micro'!$A99=AK$2,'Atividades Micro'!$K99&lt;&gt;""),'Atividades Micro'!$K99,"")</f>
        <v/>
      </c>
      <c r="AL93" s="21" t="str">
        <f>IF(AND('Atividades Micro'!$A99=AL$2,'Atividades Micro'!$L99&lt;&gt;""),'Atividades Micro'!$L99,"")</f>
        <v/>
      </c>
      <c r="AM93" s="21" t="str">
        <f>IF(AND('Atividades Micro'!$B99=AM$2,'Atividades Micro'!$K99&lt;&gt;""),'Atividades Micro'!$K99,"")</f>
        <v/>
      </c>
      <c r="AN93" s="21" t="str">
        <f>IF(AND('Atividades Micro'!$B99=AN$2,'Atividades Micro'!$L99&lt;&gt;""),'Atividades Micro'!$L99,"")</f>
        <v/>
      </c>
      <c r="AO93" s="21" t="str">
        <f>IF(AND('Atividades Micro'!$B99=AO$2,'Atividades Micro'!$K99&lt;&gt;""),'Atividades Micro'!$K99,"")</f>
        <v/>
      </c>
      <c r="AP93" s="21" t="str">
        <f>IF(AND('Atividades Micro'!$B99=AP$2,'Atividades Micro'!$L99&lt;&gt;""),'Atividades Micro'!$L99,"")</f>
        <v/>
      </c>
      <c r="AQ93" s="21" t="str">
        <f>IF(AND('Atividades Micro'!$A99=AQ$2,'Atividades Micro'!$K99&lt;&gt;""),'Atividades Micro'!$K99,"")</f>
        <v/>
      </c>
      <c r="AR93" s="21" t="str">
        <f>IF(AND('Atividades Micro'!$A99=AR$2,'Atividades Micro'!$L99&lt;&gt;""),'Atividades Micro'!$L99,"")</f>
        <v/>
      </c>
      <c r="AS93" s="21" t="str">
        <f>IF(AND('Atividades Micro'!$B99=AS$2,'Atividades Micro'!$K99&lt;&gt;""),'Atividades Micro'!$K99,"")</f>
        <v/>
      </c>
      <c r="AT93" s="21" t="str">
        <f>IF(AND('Atividades Micro'!$B99=AT$2,'Atividades Micro'!$L99&lt;&gt;""),'Atividades Micro'!$L99,"")</f>
        <v/>
      </c>
      <c r="AU93" s="21" t="str">
        <f>IF(AND('Atividades Micro'!$A99=AU$2,'Atividades Micro'!$K99&lt;&gt;""),'Atividades Micro'!$K99,"")</f>
        <v/>
      </c>
      <c r="AV93" s="21" t="str">
        <f>IF(AND('Atividades Micro'!$A99=AV$2,'Atividades Micro'!$L99&lt;&gt;""),'Atividades Micro'!$L99,"")</f>
        <v/>
      </c>
      <c r="AW93" s="21" t="str">
        <f>IF(AND('Atividades Micro'!$B99=AW$2,'Atividades Micro'!$K99&lt;&gt;""),'Atividades Micro'!$K99,"")</f>
        <v/>
      </c>
      <c r="AX93" s="21" t="str">
        <f>IF(AND('Atividades Micro'!$B99=AX$2,'Atividades Micro'!$L99&lt;&gt;""),'Atividades Micro'!$L99,"")</f>
        <v/>
      </c>
      <c r="AY93" s="21" t="str">
        <f>IF(AND('Atividades Micro'!$A99=AY$2,'Atividades Micro'!$K99&lt;&gt;""),'Atividades Micro'!$K99,"")</f>
        <v/>
      </c>
      <c r="AZ93" s="21" t="str">
        <f>IF(AND('Atividades Micro'!$A99=AZ$2,'Atividades Micro'!$L99&lt;&gt;""),'Atividades Micro'!$L99,"")</f>
        <v/>
      </c>
      <c r="BA93" s="21" t="str">
        <f>IF(AND('Atividades Micro'!$B99=BA$2,'Atividades Micro'!$K99&lt;&gt;""),'Atividades Micro'!$K99,"")</f>
        <v/>
      </c>
      <c r="BB93" s="21" t="str">
        <f>IF(AND('Atividades Micro'!$B99=BB$2,'Atividades Micro'!$L99&lt;&gt;""),'Atividades Micro'!$L99,"")</f>
        <v/>
      </c>
      <c r="BC93" s="21" t="str">
        <f>IF(AND('Atividades Micro'!$B99=BC$2,'Atividades Micro'!$G99="Macro",'Atividades Micro'!$K99&lt;&gt;""),'Atividades Micro'!$K99,"")</f>
        <v/>
      </c>
      <c r="BD93" s="21" t="str">
        <f>IF(AND('Atividades Micro'!$B99=BD$2,'Atividades Micro'!$G99="Macro",'Atividades Micro'!$K99&lt;&gt;""),'Atividades Micro'!$K99,"")</f>
        <v/>
      </c>
      <c r="BE93" s="21" t="str">
        <f>IF(AND('Atividades Micro'!$B99=BE$2,'Atividades Micro'!$G99="Macro",'Atividades Micro'!$K99&lt;&gt;""),'Atividades Micro'!$K99,"")</f>
        <v/>
      </c>
      <c r="BF93" s="21" t="str">
        <f>IF(AND('Atividades Micro'!$B99=BF$2,'Atividades Micro'!$G99="Macro",'Atividades Micro'!$K99&lt;&gt;""),'Atividades Micro'!$K99,"")</f>
        <v/>
      </c>
      <c r="BG93" s="21" t="str">
        <f>IF(AND('Atividades Micro'!$B99=BG$2,'Atividades Micro'!$G99="Macro",'Atividades Micro'!$K99&lt;&gt;""),'Atividades Micro'!$K99,"")</f>
        <v/>
      </c>
      <c r="BH93" s="21" t="str">
        <f>IF(AND('Atividades Micro'!$B99=BH$2,'Atividades Micro'!$G99="Macro",'Atividades Micro'!$K99&lt;&gt;""),'Atividades Micro'!$K99,"")</f>
        <v/>
      </c>
      <c r="BI93" s="21" t="str">
        <f>IF(AND('Atividades Micro'!$B99=BI$2,'Atividades Micro'!$G99="Macro",'Atividades Micro'!$K99&lt;&gt;""),'Atividades Micro'!$K99,"")</f>
        <v/>
      </c>
      <c r="BJ93" s="21" t="str">
        <f>IF(AND('Atividades Micro'!$B99=BJ$2,'Atividades Micro'!$G99="Macro",'Atividades Micro'!$K99&lt;&gt;""),'Atividades Micro'!$K99,"")</f>
        <v/>
      </c>
      <c r="BK93" s="21" t="str">
        <f>IF(AND('Atividades Micro'!$B99=BK$2,'Atividades Micro'!$G99="Macro",'Atividades Micro'!$K99&lt;&gt;""),'Atividades Micro'!$K99,"")</f>
        <v/>
      </c>
      <c r="BL93" s="21" t="str">
        <f>IF(AND('Atividades Micro'!$B99=BL$2,'Atividades Micro'!$G99="Macro",'Atividades Micro'!$K99&lt;&gt;""),'Atividades Micro'!$K99,"")</f>
        <v/>
      </c>
      <c r="BM93" s="21" t="str">
        <f>IF(AND('Atividades Micro'!$B99=BM$2,'Atividades Micro'!$G99="Macro",'Atividades Micro'!$K99&lt;&gt;""),'Atividades Micro'!$K99,"")</f>
        <v/>
      </c>
      <c r="BN93" s="21" t="str">
        <f>IF(AND('Atividades Micro'!$B99=BN$2,'Atividades Micro'!$G99="Macro",'Atividades Micro'!$K99&lt;&gt;""),'Atividades Micro'!$K99,"")</f>
        <v/>
      </c>
      <c r="BO93" s="21" t="str">
        <f>IF(AND('Atividades Micro'!$B99=BO$2,'Atividades Micro'!$G99="Macro",'Atividades Micro'!$K99&lt;&gt;""),'Atividades Micro'!$K99,"")</f>
        <v/>
      </c>
      <c r="BP93" s="21" t="str">
        <f>IF(AND('Atividades Micro'!$B99=BP$2,'Atividades Micro'!$G99="Macro",'Atividades Micro'!$K99&lt;&gt;""),'Atividades Micro'!$K99,"")</f>
        <v/>
      </c>
      <c r="BQ93" s="21" t="str">
        <f>IF(AND('Atividades Micro'!$B99=BQ$2,'Atividades Micro'!$G99="Macro",'Atividades Micro'!$K99&lt;&gt;""),'Atividades Micro'!$K99,"")</f>
        <v/>
      </c>
      <c r="BR93" s="21" t="str">
        <f>IF(AND('Atividades Micro'!$B99=BR$2,'Atividades Micro'!$G99="Macro",'Atividades Micro'!$K99&lt;&gt;""),'Atividades Micro'!$K99,"")</f>
        <v/>
      </c>
      <c r="BS93" s="21" t="str">
        <f>IF(AND('Atividades Micro'!$B99=BS$2,'Atividades Micro'!$G99="Macro",'Atividades Micro'!$K99&lt;&gt;""),'Atividades Micro'!$K99,"")</f>
        <v/>
      </c>
      <c r="BT93" s="21" t="str">
        <f>IF(AND('Atividades Micro'!$B99=BT$2,'Atividades Micro'!$G99="Macro",'Atividades Micro'!$K99&lt;&gt;""),'Atividades Micro'!$K99,"")</f>
        <v/>
      </c>
      <c r="BU93" s="21" t="str">
        <f>IF(AND('Atividades Micro'!$B99=BU$2,'Atividades Micro'!$G99="Macro",'Atividades Micro'!$K99&lt;&gt;""),'Atividades Micro'!$K99,"")</f>
        <v/>
      </c>
      <c r="BV93" s="21" t="str">
        <f>IF(AND('Atividades Micro'!$B99=BV$2,'Atividades Micro'!$G99="Macro",'Atividades Micro'!$K99&lt;&gt;""),'Atividades Micro'!$K99,"")</f>
        <v/>
      </c>
      <c r="BW93" s="21" t="str">
        <f>IF(AND('Atividades Micro'!$B99=BW$2,'Atividades Micro'!$G99="Macro",'Atividades Micro'!$K99&lt;&gt;""),'Atividades Micro'!$K99,"")</f>
        <v/>
      </c>
      <c r="BX93" s="21" t="str">
        <f>IF(AND('Atividades Micro'!$B99=BX$2,'Atividades Micro'!$G99="Macro",'Atividades Micro'!$K99&lt;&gt;""),'Atividades Micro'!$K99,"")</f>
        <v/>
      </c>
      <c r="BY93" s="21" t="str">
        <f>IF(AND('Atividades Micro'!$B99=BY$2,'Atividades Micro'!$G99="Macro",'Atividades Micro'!$K99&lt;&gt;""),'Atividades Micro'!$K99,"")</f>
        <v/>
      </c>
      <c r="BZ93" s="21" t="str">
        <f>IF(AND('Atividades Micro'!$B99=BZ$2,'Atividades Micro'!$G99="Macro",'Atividades Micro'!$K99&lt;&gt;""),'Atividades Micro'!$K99,"")</f>
        <v/>
      </c>
      <c r="CA93" s="21" t="str">
        <f>IF(AND('Atividades Micro'!$B99=CA$2,'Atividades Micro'!$G99="Macro",'Atividades Micro'!$K99&lt;&gt;""),'Atividades Micro'!$K99,"")</f>
        <v/>
      </c>
      <c r="CB93" s="21" t="str">
        <f>IF(AND('Atividades Micro'!$B99=CB$2,'Atividades Micro'!$G99="Macro",'Atividades Micro'!$K99&lt;&gt;""),'Atividades Micro'!$K99,"")</f>
        <v/>
      </c>
      <c r="CC93" s="21" t="str">
        <f>IF(AND('Atividades Micro'!$B99=CC$2,'Atividades Micro'!$G99="Macro",'Atividades Micro'!$K99&lt;&gt;""),'Atividades Micro'!$K99,"")</f>
        <v/>
      </c>
      <c r="CD93" s="21" t="str">
        <f>IF(AND('Atividades Micro'!$B99=CD$2,'Atividades Micro'!$G99="Micro",'Atividades Micro'!$K99&lt;&gt;""),'Atividades Micro'!$K99,"")</f>
        <v/>
      </c>
      <c r="CE93" s="21" t="str">
        <f>IF(AND('Atividades Micro'!$B99=CE$2,'Atividades Micro'!$G99="Micro",'Atividades Micro'!$K99&lt;&gt;""),'Atividades Micro'!$K99,"")</f>
        <v/>
      </c>
      <c r="CF93" s="21" t="str">
        <f>IF(AND('Atividades Micro'!$B99=CF$2,'Atividades Micro'!$G99="Micro",'Atividades Micro'!$K99&lt;&gt;""),'Atividades Micro'!$K99,"")</f>
        <v/>
      </c>
      <c r="CG93" s="21" t="str">
        <f>IF(AND('Atividades Micro'!$B99=CG$2,'Atividades Micro'!$G99="Micro",'Atividades Micro'!$K99&lt;&gt;""),'Atividades Micro'!$K99,"")</f>
        <v/>
      </c>
      <c r="CH93" s="21" t="str">
        <f>IF(AND('Atividades Micro'!$B99=CH$2,'Atividades Micro'!$G99="Micro",'Atividades Micro'!$K99&lt;&gt;""),'Atividades Micro'!$K99,"")</f>
        <v/>
      </c>
      <c r="CI93" s="21" t="str">
        <f>IF(AND('Atividades Micro'!$B99=CI$2,'Atividades Micro'!$G99="Micro",'Atividades Micro'!$K99&lt;&gt;""),'Atividades Micro'!$K99,"")</f>
        <v/>
      </c>
      <c r="CJ93" s="21" t="str">
        <f>IF(AND('Atividades Micro'!$B99=CJ$2,'Atividades Micro'!$G99="Micro",'Atividades Micro'!$K99&lt;&gt;""),'Atividades Micro'!$K99,"")</f>
        <v/>
      </c>
      <c r="CK93" s="21" t="str">
        <f>IF(AND('Atividades Micro'!$B99=CK$2,'Atividades Micro'!$G99="Micro",'Atividades Micro'!$K99&lt;&gt;""),'Atividades Micro'!$K99,"")</f>
        <v/>
      </c>
      <c r="CL93" s="21" t="str">
        <f>IF(AND('Atividades Micro'!$B99=CL$2,'Atividades Micro'!$G99="Micro",'Atividades Micro'!$K99&lt;&gt;""),'Atividades Micro'!$K99,"")</f>
        <v/>
      </c>
      <c r="CM93" s="21" t="str">
        <f>IF(AND('Atividades Micro'!$B99=CM$2,'Atividades Micro'!$G99="Micro",'Atividades Micro'!$K99&lt;&gt;""),'Atividades Micro'!$K99,"")</f>
        <v/>
      </c>
      <c r="CN93" s="21" t="str">
        <f>IF(AND('Atividades Micro'!$B99=CN$2,'Atividades Micro'!$G99="Micro",'Atividades Micro'!$K99&lt;&gt;""),'Atividades Micro'!$K99,"")</f>
        <v/>
      </c>
      <c r="CO93" s="21" t="str">
        <f>IF(AND('Atividades Micro'!$B99=CO$2,'Atividades Micro'!$G99="Micro",'Atividades Micro'!$K99&lt;&gt;""),'Atividades Micro'!$K99,"")</f>
        <v/>
      </c>
    </row>
    <row r="94" spans="1:93">
      <c r="A94" s="21" t="str">
        <f>IF(AND('Atividades Micro'!$A100=A$2,'Atividades Micro'!$K100&lt;&gt;""),'Atividades Micro'!$K100,"")</f>
        <v/>
      </c>
      <c r="B94" s="21" t="str">
        <f>IF(AND('Atividades Micro'!$A100=B$2,'Atividades Micro'!$L100&lt;&gt;""),'Atividades Micro'!$L100,"")</f>
        <v/>
      </c>
      <c r="C94" s="21" t="str">
        <f>IF(AND('Atividades Micro'!$A100=C$2,'Atividades Micro'!$K100&lt;&gt;""),'Atividades Micro'!$K100,"")</f>
        <v/>
      </c>
      <c r="D94" s="21" t="str">
        <f>IF(AND('Atividades Micro'!$A100=D$2,'Atividades Micro'!$L100&lt;&gt;""),'Atividades Micro'!$L100,"")</f>
        <v/>
      </c>
      <c r="E94" s="21" t="str">
        <f>IF(AND('Atividades Micro'!$A100=E$2,'Atividades Micro'!$K100&lt;&gt;""),'Atividades Micro'!$K100,"")</f>
        <v/>
      </c>
      <c r="F94" s="21" t="str">
        <f>IF(AND('Atividades Micro'!$A100=F$2,'Atividades Micro'!$L100&lt;&gt;""),'Atividades Micro'!$L100,"")</f>
        <v/>
      </c>
      <c r="G94" s="21" t="str">
        <f>IF(AND('Atividades Micro'!$A100=G$2,'Atividades Micro'!$K100&lt;&gt;""),'Atividades Micro'!$K100,"")</f>
        <v/>
      </c>
      <c r="H94" s="21" t="str">
        <f>IF(AND('Atividades Micro'!$A100=H$2,'Atividades Micro'!$L100&lt;&gt;""),'Atividades Micro'!$L100,"")</f>
        <v/>
      </c>
      <c r="I94" s="21" t="str">
        <f>IF(AND('Atividades Micro'!$A100=I$2,'Atividades Micro'!$K100&lt;&gt;""),'Atividades Micro'!$K100,"")</f>
        <v/>
      </c>
      <c r="J94" s="21" t="str">
        <f>IF(AND('Atividades Micro'!$A100=J$2,'Atividades Micro'!$L100&lt;&gt;""),'Atividades Micro'!$L100,"")</f>
        <v/>
      </c>
      <c r="K94" s="21" t="str">
        <f>IF(AND('Atividades Micro'!$B100=K$2,'Atividades Micro'!$K100&lt;&gt;""),'Atividades Micro'!$K100,"")</f>
        <v/>
      </c>
      <c r="L94" s="21" t="str">
        <f>IF(AND('Atividades Micro'!$B100=L$2,'Atividades Micro'!$L100&lt;&gt;""),'Atividades Micro'!$L100,"")</f>
        <v/>
      </c>
      <c r="M94" s="21" t="str">
        <f>IF(AND('Atividades Micro'!$B100=M$2,'Atividades Micro'!$K100&lt;&gt;""),'Atividades Micro'!$K100,"")</f>
        <v/>
      </c>
      <c r="N94" s="21" t="str">
        <f>IF(AND('Atividades Micro'!$B100=N$2,'Atividades Micro'!$L100&lt;&gt;""),'Atividades Micro'!$L100,"")</f>
        <v/>
      </c>
      <c r="O94" s="21" t="str">
        <f>IF(AND('Atividades Micro'!$A100=O$2,'Atividades Micro'!$K100&lt;&gt;""),'Atividades Micro'!$K100,"")</f>
        <v/>
      </c>
      <c r="P94" s="21" t="str">
        <f>IF(AND('Atividades Micro'!$A100=P$2,'Atividades Micro'!$L100&lt;&gt;""),'Atividades Micro'!$L100,"")</f>
        <v/>
      </c>
      <c r="Q94" s="21" t="str">
        <f>IF(AND('Atividades Micro'!$B100=Q$2,'Atividades Micro'!$K100&lt;&gt;""),'Atividades Micro'!$K100,"")</f>
        <v/>
      </c>
      <c r="R94" s="21" t="str">
        <f>IF(AND('Atividades Micro'!$B100=R$2,'Atividades Micro'!$L100&lt;&gt;""),'Atividades Micro'!$L100,"")</f>
        <v/>
      </c>
      <c r="S94" s="21" t="str">
        <f>IF(AND('Atividades Micro'!$A100=S$2,'Atividades Micro'!$K100&lt;&gt;""),'Atividades Micro'!$K100,"")</f>
        <v/>
      </c>
      <c r="T94" s="21" t="str">
        <f>IF(AND('Atividades Micro'!$A100=T$2,'Atividades Micro'!$L100&lt;&gt;""),'Atividades Micro'!$L100,"")</f>
        <v/>
      </c>
      <c r="U94" s="21" t="str">
        <f>IF(AND('Atividades Micro'!$B100=U$2,'Atividades Micro'!$K100&lt;&gt;""),'Atividades Micro'!$K100,"")</f>
        <v/>
      </c>
      <c r="V94" s="21" t="str">
        <f>IF(AND('Atividades Micro'!$B100=V$2,'Atividades Micro'!$L100&lt;&gt;""),'Atividades Micro'!$L100,"")</f>
        <v/>
      </c>
      <c r="W94" s="21" t="str">
        <f>IF(AND('Atividades Micro'!$B100=W$2,'Atividades Micro'!$K100&lt;&gt;""),'Atividades Micro'!$K100,"")</f>
        <v/>
      </c>
      <c r="X94" s="21" t="str">
        <f>IF(AND('Atividades Micro'!$B100=X$2,'Atividades Micro'!$L100&lt;&gt;""),'Atividades Micro'!$L100,"")</f>
        <v/>
      </c>
      <c r="Y94" s="21" t="str">
        <f>IF(AND('Atividades Micro'!$A100=Y$2,'Atividades Micro'!$K100&lt;&gt;""),'Atividades Micro'!$K100,"")</f>
        <v/>
      </c>
      <c r="Z94" s="21" t="str">
        <f>IF(AND('Atividades Micro'!$A100=Z$2,'Atividades Micro'!$L100&lt;&gt;""),'Atividades Micro'!$L100,"")</f>
        <v/>
      </c>
      <c r="AA94" s="21" t="str">
        <f>IF(AND('Atividades Micro'!$B100=AA$2,'Atividades Micro'!$K100&lt;&gt;""),'Atividades Micro'!$K100,"")</f>
        <v/>
      </c>
      <c r="AB94" s="21" t="str">
        <f>IF(AND('Atividades Micro'!$B100=AB$2,'Atividades Micro'!$L100&lt;&gt;""),'Atividades Micro'!$L100,"")</f>
        <v/>
      </c>
      <c r="AC94" s="21" t="str">
        <f>IF(AND('Atividades Micro'!$B100=AC$2,'Atividades Micro'!$K100&lt;&gt;""),'Atividades Micro'!$K100,"")</f>
        <v/>
      </c>
      <c r="AD94" s="21" t="str">
        <f>IF(AND('Atividades Micro'!$B100=AD$2,'Atividades Micro'!$L100&lt;&gt;""),'Atividades Micro'!$L100,"")</f>
        <v/>
      </c>
      <c r="AE94" s="21" t="str">
        <f>IF(AND('Atividades Micro'!$A100=AE$2,'Atividades Micro'!$K100&lt;&gt;""),'Atividades Micro'!$K100,"")</f>
        <v/>
      </c>
      <c r="AF94" s="21" t="str">
        <f>IF(AND('Atividades Micro'!$A100=AF$2,'Atividades Micro'!$L100&lt;&gt;""),'Atividades Micro'!$L100,"")</f>
        <v/>
      </c>
      <c r="AG94" s="21" t="str">
        <f>IF(AND('Atividades Micro'!$B100=AG$2,'Atividades Micro'!$K100&lt;&gt;""),'Atividades Micro'!$K100,"")</f>
        <v/>
      </c>
      <c r="AH94" s="21" t="str">
        <f>IF(AND('Atividades Micro'!$B100=AH$2,'Atividades Micro'!$L100&lt;&gt;""),'Atividades Micro'!$L100,"")</f>
        <v/>
      </c>
      <c r="AI94" s="21" t="str">
        <f>IF(AND('Atividades Micro'!$B100=AI$2,'Atividades Micro'!$K100&lt;&gt;""),'Atividades Micro'!$K100,"")</f>
        <v/>
      </c>
      <c r="AJ94" s="21" t="str">
        <f>IF(AND('Atividades Micro'!$B100=AJ$2,'Atividades Micro'!$L100&lt;&gt;""),'Atividades Micro'!$L100,"")</f>
        <v/>
      </c>
      <c r="AK94" s="21" t="str">
        <f>IF(AND('Atividades Micro'!$A100=AK$2,'Atividades Micro'!$K100&lt;&gt;""),'Atividades Micro'!$K100,"")</f>
        <v/>
      </c>
      <c r="AL94" s="21" t="str">
        <f>IF(AND('Atividades Micro'!$A100=AL$2,'Atividades Micro'!$L100&lt;&gt;""),'Atividades Micro'!$L100,"")</f>
        <v/>
      </c>
      <c r="AM94" s="21" t="str">
        <f>IF(AND('Atividades Micro'!$B100=AM$2,'Atividades Micro'!$K100&lt;&gt;""),'Atividades Micro'!$K100,"")</f>
        <v/>
      </c>
      <c r="AN94" s="21" t="str">
        <f>IF(AND('Atividades Micro'!$B100=AN$2,'Atividades Micro'!$L100&lt;&gt;""),'Atividades Micro'!$L100,"")</f>
        <v/>
      </c>
      <c r="AO94" s="21" t="str">
        <f>IF(AND('Atividades Micro'!$B100=AO$2,'Atividades Micro'!$K100&lt;&gt;""),'Atividades Micro'!$K100,"")</f>
        <v/>
      </c>
      <c r="AP94" s="21" t="str">
        <f>IF(AND('Atividades Micro'!$B100=AP$2,'Atividades Micro'!$L100&lt;&gt;""),'Atividades Micro'!$L100,"")</f>
        <v/>
      </c>
      <c r="AQ94" s="21" t="str">
        <f>IF(AND('Atividades Micro'!$A100=AQ$2,'Atividades Micro'!$K100&lt;&gt;""),'Atividades Micro'!$K100,"")</f>
        <v/>
      </c>
      <c r="AR94" s="21" t="str">
        <f>IF(AND('Atividades Micro'!$A100=AR$2,'Atividades Micro'!$L100&lt;&gt;""),'Atividades Micro'!$L100,"")</f>
        <v/>
      </c>
      <c r="AS94" s="21" t="str">
        <f>IF(AND('Atividades Micro'!$B100=AS$2,'Atividades Micro'!$K100&lt;&gt;""),'Atividades Micro'!$K100,"")</f>
        <v/>
      </c>
      <c r="AT94" s="21" t="str">
        <f>IF(AND('Atividades Micro'!$B100=AT$2,'Atividades Micro'!$L100&lt;&gt;""),'Atividades Micro'!$L100,"")</f>
        <v/>
      </c>
      <c r="AU94" s="21" t="str">
        <f>IF(AND('Atividades Micro'!$A100=AU$2,'Atividades Micro'!$K100&lt;&gt;""),'Atividades Micro'!$K100,"")</f>
        <v/>
      </c>
      <c r="AV94" s="21" t="str">
        <f>IF(AND('Atividades Micro'!$A100=AV$2,'Atividades Micro'!$L100&lt;&gt;""),'Atividades Micro'!$L100,"")</f>
        <v/>
      </c>
      <c r="AW94" s="21" t="str">
        <f>IF(AND('Atividades Micro'!$B100=AW$2,'Atividades Micro'!$K100&lt;&gt;""),'Atividades Micro'!$K100,"")</f>
        <v/>
      </c>
      <c r="AX94" s="21" t="str">
        <f>IF(AND('Atividades Micro'!$B100=AX$2,'Atividades Micro'!$L100&lt;&gt;""),'Atividades Micro'!$L100,"")</f>
        <v/>
      </c>
      <c r="AY94" s="21" t="str">
        <f>IF(AND('Atividades Micro'!$A100=AY$2,'Atividades Micro'!$K100&lt;&gt;""),'Atividades Micro'!$K100,"")</f>
        <v/>
      </c>
      <c r="AZ94" s="21" t="str">
        <f>IF(AND('Atividades Micro'!$A100=AZ$2,'Atividades Micro'!$L100&lt;&gt;""),'Atividades Micro'!$L100,"")</f>
        <v/>
      </c>
      <c r="BA94" s="21" t="str">
        <f>IF(AND('Atividades Micro'!$B100=BA$2,'Atividades Micro'!$K100&lt;&gt;""),'Atividades Micro'!$K100,"")</f>
        <v/>
      </c>
      <c r="BB94" s="21" t="str">
        <f>IF(AND('Atividades Micro'!$B100=BB$2,'Atividades Micro'!$L100&lt;&gt;""),'Atividades Micro'!$L100,"")</f>
        <v/>
      </c>
      <c r="BC94" s="21" t="str">
        <f>IF(AND('Atividades Micro'!$B100=BC$2,'Atividades Micro'!$G100="Macro",'Atividades Micro'!$K100&lt;&gt;""),'Atividades Micro'!$K100,"")</f>
        <v/>
      </c>
      <c r="BD94" s="21" t="str">
        <f>IF(AND('Atividades Micro'!$B100=BD$2,'Atividades Micro'!$G100="Macro",'Atividades Micro'!$K100&lt;&gt;""),'Atividades Micro'!$K100,"")</f>
        <v/>
      </c>
      <c r="BE94" s="21" t="str">
        <f>IF(AND('Atividades Micro'!$B100=BE$2,'Atividades Micro'!$G100="Macro",'Atividades Micro'!$K100&lt;&gt;""),'Atividades Micro'!$K100,"")</f>
        <v/>
      </c>
      <c r="BF94" s="21" t="str">
        <f>IF(AND('Atividades Micro'!$B100=BF$2,'Atividades Micro'!$G100="Macro",'Atividades Micro'!$K100&lt;&gt;""),'Atividades Micro'!$K100,"")</f>
        <v/>
      </c>
      <c r="BG94" s="21" t="str">
        <f>IF(AND('Atividades Micro'!$B100=BG$2,'Atividades Micro'!$G100="Macro",'Atividades Micro'!$K100&lt;&gt;""),'Atividades Micro'!$K100,"")</f>
        <v/>
      </c>
      <c r="BH94" s="21" t="str">
        <f>IF(AND('Atividades Micro'!$B100=BH$2,'Atividades Micro'!$G100="Macro",'Atividades Micro'!$K100&lt;&gt;""),'Atividades Micro'!$K100,"")</f>
        <v/>
      </c>
      <c r="BI94" s="21" t="str">
        <f>IF(AND('Atividades Micro'!$B100=BI$2,'Atividades Micro'!$G100="Macro",'Atividades Micro'!$K100&lt;&gt;""),'Atividades Micro'!$K100,"")</f>
        <v/>
      </c>
      <c r="BJ94" s="21" t="str">
        <f>IF(AND('Atividades Micro'!$B100=BJ$2,'Atividades Micro'!$G100="Macro",'Atividades Micro'!$K100&lt;&gt;""),'Atividades Micro'!$K100,"")</f>
        <v/>
      </c>
      <c r="BK94" s="21" t="str">
        <f>IF(AND('Atividades Micro'!$B100=BK$2,'Atividades Micro'!$G100="Macro",'Atividades Micro'!$K100&lt;&gt;""),'Atividades Micro'!$K100,"")</f>
        <v/>
      </c>
      <c r="BL94" s="21" t="str">
        <f>IF(AND('Atividades Micro'!$B100=BL$2,'Atividades Micro'!$G100="Macro",'Atividades Micro'!$K100&lt;&gt;""),'Atividades Micro'!$K100,"")</f>
        <v/>
      </c>
      <c r="BM94" s="21" t="str">
        <f>IF(AND('Atividades Micro'!$B100=BM$2,'Atividades Micro'!$G100="Macro",'Atividades Micro'!$K100&lt;&gt;""),'Atividades Micro'!$K100,"")</f>
        <v/>
      </c>
      <c r="BN94" s="21" t="str">
        <f>IF(AND('Atividades Micro'!$B100=BN$2,'Atividades Micro'!$G100="Macro",'Atividades Micro'!$K100&lt;&gt;""),'Atividades Micro'!$K100,"")</f>
        <v/>
      </c>
      <c r="BO94" s="21" t="str">
        <f>IF(AND('Atividades Micro'!$B100=BO$2,'Atividades Micro'!$G100="Macro",'Atividades Micro'!$K100&lt;&gt;""),'Atividades Micro'!$K100,"")</f>
        <v/>
      </c>
      <c r="BP94" s="21" t="str">
        <f>IF(AND('Atividades Micro'!$B100=BP$2,'Atividades Micro'!$G100="Macro",'Atividades Micro'!$K100&lt;&gt;""),'Atividades Micro'!$K100,"")</f>
        <v/>
      </c>
      <c r="BQ94" s="21" t="str">
        <f>IF(AND('Atividades Micro'!$B100=BQ$2,'Atividades Micro'!$G100="Macro",'Atividades Micro'!$K100&lt;&gt;""),'Atividades Micro'!$K100,"")</f>
        <v/>
      </c>
      <c r="BR94" s="21" t="str">
        <f>IF(AND('Atividades Micro'!$B100=BR$2,'Atividades Micro'!$G100="Macro",'Atividades Micro'!$K100&lt;&gt;""),'Atividades Micro'!$K100,"")</f>
        <v/>
      </c>
      <c r="BS94" s="21" t="str">
        <f>IF(AND('Atividades Micro'!$B100=BS$2,'Atividades Micro'!$G100="Macro",'Atividades Micro'!$K100&lt;&gt;""),'Atividades Micro'!$K100,"")</f>
        <v/>
      </c>
      <c r="BT94" s="21" t="str">
        <f>IF(AND('Atividades Micro'!$B100=BT$2,'Atividades Micro'!$G100="Macro",'Atividades Micro'!$K100&lt;&gt;""),'Atividades Micro'!$K100,"")</f>
        <v/>
      </c>
      <c r="BU94" s="21" t="str">
        <f>IF(AND('Atividades Micro'!$B100=BU$2,'Atividades Micro'!$G100="Macro",'Atividades Micro'!$K100&lt;&gt;""),'Atividades Micro'!$K100,"")</f>
        <v/>
      </c>
      <c r="BV94" s="21" t="str">
        <f>IF(AND('Atividades Micro'!$B100=BV$2,'Atividades Micro'!$G100="Macro",'Atividades Micro'!$K100&lt;&gt;""),'Atividades Micro'!$K100,"")</f>
        <v/>
      </c>
      <c r="BW94" s="21" t="str">
        <f>IF(AND('Atividades Micro'!$B100=BW$2,'Atividades Micro'!$G100="Macro",'Atividades Micro'!$K100&lt;&gt;""),'Atividades Micro'!$K100,"")</f>
        <v/>
      </c>
      <c r="BX94" s="21" t="str">
        <f>IF(AND('Atividades Micro'!$B100=BX$2,'Atividades Micro'!$G100="Macro",'Atividades Micro'!$K100&lt;&gt;""),'Atividades Micro'!$K100,"")</f>
        <v/>
      </c>
      <c r="BY94" s="21" t="str">
        <f>IF(AND('Atividades Micro'!$B100=BY$2,'Atividades Micro'!$G100="Macro",'Atividades Micro'!$K100&lt;&gt;""),'Atividades Micro'!$K100,"")</f>
        <v/>
      </c>
      <c r="BZ94" s="21" t="str">
        <f>IF(AND('Atividades Micro'!$B100=BZ$2,'Atividades Micro'!$G100="Macro",'Atividades Micro'!$K100&lt;&gt;""),'Atividades Micro'!$K100,"")</f>
        <v/>
      </c>
      <c r="CA94" s="21" t="str">
        <f>IF(AND('Atividades Micro'!$B100=CA$2,'Atividades Micro'!$G100="Macro",'Atividades Micro'!$K100&lt;&gt;""),'Atividades Micro'!$K100,"")</f>
        <v/>
      </c>
      <c r="CB94" s="21" t="str">
        <f>IF(AND('Atividades Micro'!$B100=CB$2,'Atividades Micro'!$G100="Macro",'Atividades Micro'!$K100&lt;&gt;""),'Atividades Micro'!$K100,"")</f>
        <v/>
      </c>
      <c r="CC94" s="21" t="str">
        <f>IF(AND('Atividades Micro'!$B100=CC$2,'Atividades Micro'!$G100="Macro",'Atividades Micro'!$K100&lt;&gt;""),'Atividades Micro'!$K100,"")</f>
        <v/>
      </c>
      <c r="CD94" s="21" t="str">
        <f>IF(AND('Atividades Micro'!$B100=CD$2,'Atividades Micro'!$G100="Micro",'Atividades Micro'!$K100&lt;&gt;""),'Atividades Micro'!$K100,"")</f>
        <v/>
      </c>
      <c r="CE94" s="21" t="str">
        <f>IF(AND('Atividades Micro'!$B100=CE$2,'Atividades Micro'!$G100="Micro",'Atividades Micro'!$K100&lt;&gt;""),'Atividades Micro'!$K100,"")</f>
        <v/>
      </c>
      <c r="CF94" s="21" t="str">
        <f>IF(AND('Atividades Micro'!$B100=CF$2,'Atividades Micro'!$G100="Micro",'Atividades Micro'!$K100&lt;&gt;""),'Atividades Micro'!$K100,"")</f>
        <v/>
      </c>
      <c r="CG94" s="21" t="str">
        <f>IF(AND('Atividades Micro'!$B100=CG$2,'Atividades Micro'!$G100="Micro",'Atividades Micro'!$K100&lt;&gt;""),'Atividades Micro'!$K100,"")</f>
        <v/>
      </c>
      <c r="CH94" s="21" t="str">
        <f>IF(AND('Atividades Micro'!$B100=CH$2,'Atividades Micro'!$G100="Micro",'Atividades Micro'!$K100&lt;&gt;""),'Atividades Micro'!$K100,"")</f>
        <v/>
      </c>
      <c r="CI94" s="21" t="str">
        <f>IF(AND('Atividades Micro'!$B100=CI$2,'Atividades Micro'!$G100="Micro",'Atividades Micro'!$K100&lt;&gt;""),'Atividades Micro'!$K100,"")</f>
        <v/>
      </c>
      <c r="CJ94" s="21" t="str">
        <f>IF(AND('Atividades Micro'!$B100=CJ$2,'Atividades Micro'!$G100="Micro",'Atividades Micro'!$K100&lt;&gt;""),'Atividades Micro'!$K100,"")</f>
        <v/>
      </c>
      <c r="CK94" s="21" t="str">
        <f>IF(AND('Atividades Micro'!$B100=CK$2,'Atividades Micro'!$G100="Micro",'Atividades Micro'!$K100&lt;&gt;""),'Atividades Micro'!$K100,"")</f>
        <v/>
      </c>
      <c r="CL94" s="21" t="str">
        <f>IF(AND('Atividades Micro'!$B100=CL$2,'Atividades Micro'!$G100="Micro",'Atividades Micro'!$K100&lt;&gt;""),'Atividades Micro'!$K100,"")</f>
        <v/>
      </c>
      <c r="CM94" s="21" t="str">
        <f>IF(AND('Atividades Micro'!$B100=CM$2,'Atividades Micro'!$G100="Micro",'Atividades Micro'!$K100&lt;&gt;""),'Atividades Micro'!$K100,"")</f>
        <v/>
      </c>
      <c r="CN94" s="21" t="str">
        <f>IF(AND('Atividades Micro'!$B100=CN$2,'Atividades Micro'!$G100="Micro",'Atividades Micro'!$K100&lt;&gt;""),'Atividades Micro'!$K100,"")</f>
        <v/>
      </c>
      <c r="CO94" s="21" t="str">
        <f>IF(AND('Atividades Micro'!$B100=CO$2,'Atividades Micro'!$G100="Micro",'Atividades Micro'!$K100&lt;&gt;""),'Atividades Micro'!$K100,"")</f>
        <v/>
      </c>
    </row>
    <row r="95" spans="1:93">
      <c r="A95" s="21" t="str">
        <f>IF(AND('Atividades Micro'!$A101=A$2,'Atividades Micro'!$K101&lt;&gt;""),'Atividades Micro'!$K101,"")</f>
        <v/>
      </c>
      <c r="B95" s="21" t="str">
        <f>IF(AND('Atividades Micro'!$A101=B$2,'Atividades Micro'!$L101&lt;&gt;""),'Atividades Micro'!$L101,"")</f>
        <v/>
      </c>
      <c r="C95" s="21" t="str">
        <f>IF(AND('Atividades Micro'!$A101=C$2,'Atividades Micro'!$K101&lt;&gt;""),'Atividades Micro'!$K101,"")</f>
        <v/>
      </c>
      <c r="D95" s="21" t="str">
        <f>IF(AND('Atividades Micro'!$A101=D$2,'Atividades Micro'!$L101&lt;&gt;""),'Atividades Micro'!$L101,"")</f>
        <v/>
      </c>
      <c r="E95" s="21" t="str">
        <f>IF(AND('Atividades Micro'!$A101=E$2,'Atividades Micro'!$K101&lt;&gt;""),'Atividades Micro'!$K101,"")</f>
        <v/>
      </c>
      <c r="F95" s="21" t="str">
        <f>IF(AND('Atividades Micro'!$A101=F$2,'Atividades Micro'!$L101&lt;&gt;""),'Atividades Micro'!$L101,"")</f>
        <v/>
      </c>
      <c r="G95" s="21" t="str">
        <f>IF(AND('Atividades Micro'!$A101=G$2,'Atividades Micro'!$K101&lt;&gt;""),'Atividades Micro'!$K101,"")</f>
        <v/>
      </c>
      <c r="H95" s="21" t="str">
        <f>IF(AND('Atividades Micro'!$A101=H$2,'Atividades Micro'!$L101&lt;&gt;""),'Atividades Micro'!$L101,"")</f>
        <v/>
      </c>
      <c r="I95" s="21" t="str">
        <f>IF(AND('Atividades Micro'!$A101=I$2,'Atividades Micro'!$K101&lt;&gt;""),'Atividades Micro'!$K101,"")</f>
        <v/>
      </c>
      <c r="J95" s="21" t="str">
        <f>IF(AND('Atividades Micro'!$A101=J$2,'Atividades Micro'!$L101&lt;&gt;""),'Atividades Micro'!$L101,"")</f>
        <v/>
      </c>
      <c r="K95" s="21" t="str">
        <f>IF(AND('Atividades Micro'!$B101=K$2,'Atividades Micro'!$K101&lt;&gt;""),'Atividades Micro'!$K101,"")</f>
        <v/>
      </c>
      <c r="L95" s="21" t="str">
        <f>IF(AND('Atividades Micro'!$B101=L$2,'Atividades Micro'!$L101&lt;&gt;""),'Atividades Micro'!$L101,"")</f>
        <v/>
      </c>
      <c r="M95" s="21" t="str">
        <f>IF(AND('Atividades Micro'!$B101=M$2,'Atividades Micro'!$K101&lt;&gt;""),'Atividades Micro'!$K101,"")</f>
        <v/>
      </c>
      <c r="N95" s="21" t="str">
        <f>IF(AND('Atividades Micro'!$B101=N$2,'Atividades Micro'!$L101&lt;&gt;""),'Atividades Micro'!$L101,"")</f>
        <v/>
      </c>
      <c r="O95" s="21" t="str">
        <f>IF(AND('Atividades Micro'!$A101=O$2,'Atividades Micro'!$K101&lt;&gt;""),'Atividades Micro'!$K101,"")</f>
        <v/>
      </c>
      <c r="P95" s="21" t="str">
        <f>IF(AND('Atividades Micro'!$A101=P$2,'Atividades Micro'!$L101&lt;&gt;""),'Atividades Micro'!$L101,"")</f>
        <v/>
      </c>
      <c r="Q95" s="21" t="str">
        <f>IF(AND('Atividades Micro'!$B101=Q$2,'Atividades Micro'!$K101&lt;&gt;""),'Atividades Micro'!$K101,"")</f>
        <v/>
      </c>
      <c r="R95" s="21" t="str">
        <f>IF(AND('Atividades Micro'!$B101=R$2,'Atividades Micro'!$L101&lt;&gt;""),'Atividades Micro'!$L101,"")</f>
        <v/>
      </c>
      <c r="S95" s="21" t="str">
        <f>IF(AND('Atividades Micro'!$A101=S$2,'Atividades Micro'!$K101&lt;&gt;""),'Atividades Micro'!$K101,"")</f>
        <v/>
      </c>
      <c r="T95" s="21" t="str">
        <f>IF(AND('Atividades Micro'!$A101=T$2,'Atividades Micro'!$L101&lt;&gt;""),'Atividades Micro'!$L101,"")</f>
        <v/>
      </c>
      <c r="U95" s="21" t="str">
        <f>IF(AND('Atividades Micro'!$B101=U$2,'Atividades Micro'!$K101&lt;&gt;""),'Atividades Micro'!$K101,"")</f>
        <v/>
      </c>
      <c r="V95" s="21" t="str">
        <f>IF(AND('Atividades Micro'!$B101=V$2,'Atividades Micro'!$L101&lt;&gt;""),'Atividades Micro'!$L101,"")</f>
        <v/>
      </c>
      <c r="W95" s="21" t="str">
        <f>IF(AND('Atividades Micro'!$B101=W$2,'Atividades Micro'!$K101&lt;&gt;""),'Atividades Micro'!$K101,"")</f>
        <v/>
      </c>
      <c r="X95" s="21" t="str">
        <f>IF(AND('Atividades Micro'!$B101=X$2,'Atividades Micro'!$L101&lt;&gt;""),'Atividades Micro'!$L101,"")</f>
        <v/>
      </c>
      <c r="Y95" s="21" t="str">
        <f>IF(AND('Atividades Micro'!$A101=Y$2,'Atividades Micro'!$K101&lt;&gt;""),'Atividades Micro'!$K101,"")</f>
        <v/>
      </c>
      <c r="Z95" s="21" t="str">
        <f>IF(AND('Atividades Micro'!$A101=Z$2,'Atividades Micro'!$L101&lt;&gt;""),'Atividades Micro'!$L101,"")</f>
        <v/>
      </c>
      <c r="AA95" s="21" t="str">
        <f>IF(AND('Atividades Micro'!$B101=AA$2,'Atividades Micro'!$K101&lt;&gt;""),'Atividades Micro'!$K101,"")</f>
        <v/>
      </c>
      <c r="AB95" s="21" t="str">
        <f>IF(AND('Atividades Micro'!$B101=AB$2,'Atividades Micro'!$L101&lt;&gt;""),'Atividades Micro'!$L101,"")</f>
        <v/>
      </c>
      <c r="AC95" s="21" t="str">
        <f>IF(AND('Atividades Micro'!$B101=AC$2,'Atividades Micro'!$K101&lt;&gt;""),'Atividades Micro'!$K101,"")</f>
        <v/>
      </c>
      <c r="AD95" s="21" t="str">
        <f>IF(AND('Atividades Micro'!$B101=AD$2,'Atividades Micro'!$L101&lt;&gt;""),'Atividades Micro'!$L101,"")</f>
        <v/>
      </c>
      <c r="AE95" s="21" t="str">
        <f>IF(AND('Atividades Micro'!$A101=AE$2,'Atividades Micro'!$K101&lt;&gt;""),'Atividades Micro'!$K101,"")</f>
        <v/>
      </c>
      <c r="AF95" s="21" t="str">
        <f>IF(AND('Atividades Micro'!$A101=AF$2,'Atividades Micro'!$L101&lt;&gt;""),'Atividades Micro'!$L101,"")</f>
        <v/>
      </c>
      <c r="AG95" s="21" t="str">
        <f>IF(AND('Atividades Micro'!$B101=AG$2,'Atividades Micro'!$K101&lt;&gt;""),'Atividades Micro'!$K101,"")</f>
        <v/>
      </c>
      <c r="AH95" s="21" t="str">
        <f>IF(AND('Atividades Micro'!$B101=AH$2,'Atividades Micro'!$L101&lt;&gt;""),'Atividades Micro'!$L101,"")</f>
        <v/>
      </c>
      <c r="AI95" s="21" t="str">
        <f>IF(AND('Atividades Micro'!$B101=AI$2,'Atividades Micro'!$K101&lt;&gt;""),'Atividades Micro'!$K101,"")</f>
        <v/>
      </c>
      <c r="AJ95" s="21" t="str">
        <f>IF(AND('Atividades Micro'!$B101=AJ$2,'Atividades Micro'!$L101&lt;&gt;""),'Atividades Micro'!$L101,"")</f>
        <v/>
      </c>
      <c r="AK95" s="21" t="str">
        <f>IF(AND('Atividades Micro'!$A101=AK$2,'Atividades Micro'!$K101&lt;&gt;""),'Atividades Micro'!$K101,"")</f>
        <v/>
      </c>
      <c r="AL95" s="21" t="str">
        <f>IF(AND('Atividades Micro'!$A101=AL$2,'Atividades Micro'!$L101&lt;&gt;""),'Atividades Micro'!$L101,"")</f>
        <v/>
      </c>
      <c r="AM95" s="21" t="str">
        <f>IF(AND('Atividades Micro'!$B101=AM$2,'Atividades Micro'!$K101&lt;&gt;""),'Atividades Micro'!$K101,"")</f>
        <v/>
      </c>
      <c r="AN95" s="21" t="str">
        <f>IF(AND('Atividades Micro'!$B101=AN$2,'Atividades Micro'!$L101&lt;&gt;""),'Atividades Micro'!$L101,"")</f>
        <v/>
      </c>
      <c r="AO95" s="21" t="str">
        <f>IF(AND('Atividades Micro'!$B101=AO$2,'Atividades Micro'!$K101&lt;&gt;""),'Atividades Micro'!$K101,"")</f>
        <v/>
      </c>
      <c r="AP95" s="21" t="str">
        <f>IF(AND('Atividades Micro'!$B101=AP$2,'Atividades Micro'!$L101&lt;&gt;""),'Atividades Micro'!$L101,"")</f>
        <v/>
      </c>
      <c r="AQ95" s="21" t="str">
        <f>IF(AND('Atividades Micro'!$A101=AQ$2,'Atividades Micro'!$K101&lt;&gt;""),'Atividades Micro'!$K101,"")</f>
        <v/>
      </c>
      <c r="AR95" s="21" t="str">
        <f>IF(AND('Atividades Micro'!$A101=AR$2,'Atividades Micro'!$L101&lt;&gt;""),'Atividades Micro'!$L101,"")</f>
        <v/>
      </c>
      <c r="AS95" s="21" t="str">
        <f>IF(AND('Atividades Micro'!$B101=AS$2,'Atividades Micro'!$K101&lt;&gt;""),'Atividades Micro'!$K101,"")</f>
        <v/>
      </c>
      <c r="AT95" s="21" t="str">
        <f>IF(AND('Atividades Micro'!$B101=AT$2,'Atividades Micro'!$L101&lt;&gt;""),'Atividades Micro'!$L101,"")</f>
        <v/>
      </c>
      <c r="AU95" s="21" t="str">
        <f>IF(AND('Atividades Micro'!$A101=AU$2,'Atividades Micro'!$K101&lt;&gt;""),'Atividades Micro'!$K101,"")</f>
        <v/>
      </c>
      <c r="AV95" s="21" t="str">
        <f>IF(AND('Atividades Micro'!$A101=AV$2,'Atividades Micro'!$L101&lt;&gt;""),'Atividades Micro'!$L101,"")</f>
        <v/>
      </c>
      <c r="AW95" s="21" t="str">
        <f>IF(AND('Atividades Micro'!$B101=AW$2,'Atividades Micro'!$K101&lt;&gt;""),'Atividades Micro'!$K101,"")</f>
        <v/>
      </c>
      <c r="AX95" s="21" t="str">
        <f>IF(AND('Atividades Micro'!$B101=AX$2,'Atividades Micro'!$L101&lt;&gt;""),'Atividades Micro'!$L101,"")</f>
        <v/>
      </c>
      <c r="AY95" s="21" t="str">
        <f>IF(AND('Atividades Micro'!$A101=AY$2,'Atividades Micro'!$K101&lt;&gt;""),'Atividades Micro'!$K101,"")</f>
        <v/>
      </c>
      <c r="AZ95" s="21" t="str">
        <f>IF(AND('Atividades Micro'!$A101=AZ$2,'Atividades Micro'!$L101&lt;&gt;""),'Atividades Micro'!$L101,"")</f>
        <v/>
      </c>
      <c r="BA95" s="21" t="str">
        <f>IF(AND('Atividades Micro'!$B101=BA$2,'Atividades Micro'!$K101&lt;&gt;""),'Atividades Micro'!$K101,"")</f>
        <v/>
      </c>
      <c r="BB95" s="21" t="str">
        <f>IF(AND('Atividades Micro'!$B101=BB$2,'Atividades Micro'!$L101&lt;&gt;""),'Atividades Micro'!$L101,"")</f>
        <v/>
      </c>
      <c r="BC95" s="21" t="str">
        <f>IF(AND('Atividades Micro'!$B101=BC$2,'Atividades Micro'!$G101="Macro",'Atividades Micro'!$K101&lt;&gt;""),'Atividades Micro'!$K101,"")</f>
        <v/>
      </c>
      <c r="BD95" s="21" t="str">
        <f>IF(AND('Atividades Micro'!$B101=BD$2,'Atividades Micro'!$G101="Macro",'Atividades Micro'!$K101&lt;&gt;""),'Atividades Micro'!$K101,"")</f>
        <v/>
      </c>
      <c r="BE95" s="21" t="str">
        <f>IF(AND('Atividades Micro'!$B101=BE$2,'Atividades Micro'!$G101="Macro",'Atividades Micro'!$K101&lt;&gt;""),'Atividades Micro'!$K101,"")</f>
        <v/>
      </c>
      <c r="BF95" s="21" t="str">
        <f>IF(AND('Atividades Micro'!$B101=BF$2,'Atividades Micro'!$G101="Macro",'Atividades Micro'!$K101&lt;&gt;""),'Atividades Micro'!$K101,"")</f>
        <v/>
      </c>
      <c r="BG95" s="21" t="str">
        <f>IF(AND('Atividades Micro'!$B101=BG$2,'Atividades Micro'!$G101="Macro",'Atividades Micro'!$K101&lt;&gt;""),'Atividades Micro'!$K101,"")</f>
        <v/>
      </c>
      <c r="BH95" s="21" t="str">
        <f>IF(AND('Atividades Micro'!$B101=BH$2,'Atividades Micro'!$G101="Macro",'Atividades Micro'!$K101&lt;&gt;""),'Atividades Micro'!$K101,"")</f>
        <v/>
      </c>
      <c r="BI95" s="21" t="str">
        <f>IF(AND('Atividades Micro'!$B101=BI$2,'Atividades Micro'!$G101="Macro",'Atividades Micro'!$K101&lt;&gt;""),'Atividades Micro'!$K101,"")</f>
        <v/>
      </c>
      <c r="BJ95" s="21" t="str">
        <f>IF(AND('Atividades Micro'!$B101=BJ$2,'Atividades Micro'!$G101="Macro",'Atividades Micro'!$K101&lt;&gt;""),'Atividades Micro'!$K101,"")</f>
        <v/>
      </c>
      <c r="BK95" s="21" t="str">
        <f>IF(AND('Atividades Micro'!$B101=BK$2,'Atividades Micro'!$G101="Macro",'Atividades Micro'!$K101&lt;&gt;""),'Atividades Micro'!$K101,"")</f>
        <v/>
      </c>
      <c r="BL95" s="21" t="str">
        <f>IF(AND('Atividades Micro'!$B101=BL$2,'Atividades Micro'!$G101="Macro",'Atividades Micro'!$K101&lt;&gt;""),'Atividades Micro'!$K101,"")</f>
        <v/>
      </c>
      <c r="BM95" s="21" t="str">
        <f>IF(AND('Atividades Micro'!$B101=BM$2,'Atividades Micro'!$G101="Macro",'Atividades Micro'!$K101&lt;&gt;""),'Atividades Micro'!$K101,"")</f>
        <v/>
      </c>
      <c r="BN95" s="21" t="str">
        <f>IF(AND('Atividades Micro'!$B101=BN$2,'Atividades Micro'!$G101="Macro",'Atividades Micro'!$K101&lt;&gt;""),'Atividades Micro'!$K101,"")</f>
        <v/>
      </c>
      <c r="BO95" s="21" t="str">
        <f>IF(AND('Atividades Micro'!$B101=BO$2,'Atividades Micro'!$G101="Macro",'Atividades Micro'!$K101&lt;&gt;""),'Atividades Micro'!$K101,"")</f>
        <v/>
      </c>
      <c r="BP95" s="21" t="str">
        <f>IF(AND('Atividades Micro'!$B101=BP$2,'Atividades Micro'!$G101="Macro",'Atividades Micro'!$K101&lt;&gt;""),'Atividades Micro'!$K101,"")</f>
        <v/>
      </c>
      <c r="BQ95" s="21" t="str">
        <f>IF(AND('Atividades Micro'!$B101=BQ$2,'Atividades Micro'!$G101="Macro",'Atividades Micro'!$K101&lt;&gt;""),'Atividades Micro'!$K101,"")</f>
        <v/>
      </c>
      <c r="BR95" s="21" t="str">
        <f>IF(AND('Atividades Micro'!$B101=BR$2,'Atividades Micro'!$G101="Macro",'Atividades Micro'!$K101&lt;&gt;""),'Atividades Micro'!$K101,"")</f>
        <v/>
      </c>
      <c r="BS95" s="21" t="str">
        <f>IF(AND('Atividades Micro'!$B101=BS$2,'Atividades Micro'!$G101="Macro",'Atividades Micro'!$K101&lt;&gt;""),'Atividades Micro'!$K101,"")</f>
        <v/>
      </c>
      <c r="BT95" s="21" t="str">
        <f>IF(AND('Atividades Micro'!$B101=BT$2,'Atividades Micro'!$G101="Macro",'Atividades Micro'!$K101&lt;&gt;""),'Atividades Micro'!$K101,"")</f>
        <v/>
      </c>
      <c r="BU95" s="21" t="str">
        <f>IF(AND('Atividades Micro'!$B101=BU$2,'Atividades Micro'!$G101="Macro",'Atividades Micro'!$K101&lt;&gt;""),'Atividades Micro'!$K101,"")</f>
        <v/>
      </c>
      <c r="BV95" s="21" t="str">
        <f>IF(AND('Atividades Micro'!$B101=BV$2,'Atividades Micro'!$G101="Macro",'Atividades Micro'!$K101&lt;&gt;""),'Atividades Micro'!$K101,"")</f>
        <v/>
      </c>
      <c r="BW95" s="21" t="str">
        <f>IF(AND('Atividades Micro'!$B101=BW$2,'Atividades Micro'!$G101="Macro",'Atividades Micro'!$K101&lt;&gt;""),'Atividades Micro'!$K101,"")</f>
        <v/>
      </c>
      <c r="BX95" s="21" t="str">
        <f>IF(AND('Atividades Micro'!$B101=BX$2,'Atividades Micro'!$G101="Macro",'Atividades Micro'!$K101&lt;&gt;""),'Atividades Micro'!$K101,"")</f>
        <v/>
      </c>
      <c r="BY95" s="21" t="str">
        <f>IF(AND('Atividades Micro'!$B101=BY$2,'Atividades Micro'!$G101="Macro",'Atividades Micro'!$K101&lt;&gt;""),'Atividades Micro'!$K101,"")</f>
        <v/>
      </c>
      <c r="BZ95" s="21" t="str">
        <f>IF(AND('Atividades Micro'!$B101=BZ$2,'Atividades Micro'!$G101="Macro",'Atividades Micro'!$K101&lt;&gt;""),'Atividades Micro'!$K101,"")</f>
        <v/>
      </c>
      <c r="CA95" s="21" t="str">
        <f>IF(AND('Atividades Micro'!$B101=CA$2,'Atividades Micro'!$G101="Macro",'Atividades Micro'!$K101&lt;&gt;""),'Atividades Micro'!$K101,"")</f>
        <v/>
      </c>
      <c r="CB95" s="21" t="str">
        <f>IF(AND('Atividades Micro'!$B101=CB$2,'Atividades Micro'!$G101="Macro",'Atividades Micro'!$K101&lt;&gt;""),'Atividades Micro'!$K101,"")</f>
        <v/>
      </c>
      <c r="CC95" s="21" t="str">
        <f>IF(AND('Atividades Micro'!$B101=CC$2,'Atividades Micro'!$G101="Macro",'Atividades Micro'!$K101&lt;&gt;""),'Atividades Micro'!$K101,"")</f>
        <v/>
      </c>
      <c r="CD95" s="21" t="str">
        <f>IF(AND('Atividades Micro'!$B101=CD$2,'Atividades Micro'!$G101="Micro",'Atividades Micro'!$K101&lt;&gt;""),'Atividades Micro'!$K101,"")</f>
        <v/>
      </c>
      <c r="CE95" s="21" t="str">
        <f>IF(AND('Atividades Micro'!$B101=CE$2,'Atividades Micro'!$G101="Micro",'Atividades Micro'!$K101&lt;&gt;""),'Atividades Micro'!$K101,"")</f>
        <v/>
      </c>
      <c r="CF95" s="21" t="str">
        <f>IF(AND('Atividades Micro'!$B101=CF$2,'Atividades Micro'!$G101="Micro",'Atividades Micro'!$K101&lt;&gt;""),'Atividades Micro'!$K101,"")</f>
        <v/>
      </c>
      <c r="CG95" s="21" t="str">
        <f>IF(AND('Atividades Micro'!$B101=CG$2,'Atividades Micro'!$G101="Micro",'Atividades Micro'!$K101&lt;&gt;""),'Atividades Micro'!$K101,"")</f>
        <v/>
      </c>
      <c r="CH95" s="21" t="str">
        <f>IF(AND('Atividades Micro'!$B101=CH$2,'Atividades Micro'!$G101="Micro",'Atividades Micro'!$K101&lt;&gt;""),'Atividades Micro'!$K101,"")</f>
        <v/>
      </c>
      <c r="CI95" s="21" t="str">
        <f>IF(AND('Atividades Micro'!$B101=CI$2,'Atividades Micro'!$G101="Micro",'Atividades Micro'!$K101&lt;&gt;""),'Atividades Micro'!$K101,"")</f>
        <v/>
      </c>
      <c r="CJ95" s="21" t="str">
        <f>IF(AND('Atividades Micro'!$B101=CJ$2,'Atividades Micro'!$G101="Micro",'Atividades Micro'!$K101&lt;&gt;""),'Atividades Micro'!$K101,"")</f>
        <v/>
      </c>
      <c r="CK95" s="21" t="str">
        <f>IF(AND('Atividades Micro'!$B101=CK$2,'Atividades Micro'!$G101="Micro",'Atividades Micro'!$K101&lt;&gt;""),'Atividades Micro'!$K101,"")</f>
        <v/>
      </c>
      <c r="CL95" s="21" t="str">
        <f>IF(AND('Atividades Micro'!$B101=CL$2,'Atividades Micro'!$G101="Micro",'Atividades Micro'!$K101&lt;&gt;""),'Atividades Micro'!$K101,"")</f>
        <v/>
      </c>
      <c r="CM95" s="21" t="str">
        <f>IF(AND('Atividades Micro'!$B101=CM$2,'Atividades Micro'!$G101="Micro",'Atividades Micro'!$K101&lt;&gt;""),'Atividades Micro'!$K101,"")</f>
        <v/>
      </c>
      <c r="CN95" s="21" t="str">
        <f>IF(AND('Atividades Micro'!$B101=CN$2,'Atividades Micro'!$G101="Micro",'Atividades Micro'!$K101&lt;&gt;""),'Atividades Micro'!$K101,"")</f>
        <v/>
      </c>
      <c r="CO95" s="21" t="str">
        <f>IF(AND('Atividades Micro'!$B101=CO$2,'Atividades Micro'!$G101="Micro",'Atividades Micro'!$K101&lt;&gt;""),'Atividades Micro'!$K101,"")</f>
        <v/>
      </c>
    </row>
    <row r="96" spans="1:93">
      <c r="A96" s="21" t="str">
        <f>IF(AND('Atividades Micro'!$A102=A$2,'Atividades Micro'!$K102&lt;&gt;""),'Atividades Micro'!$K102,"")</f>
        <v/>
      </c>
      <c r="B96" s="21" t="str">
        <f>IF(AND('Atividades Micro'!$A102=B$2,'Atividades Micro'!$L102&lt;&gt;""),'Atividades Micro'!$L102,"")</f>
        <v/>
      </c>
      <c r="C96" s="21" t="str">
        <f>IF(AND('Atividades Micro'!$A102=C$2,'Atividades Micro'!$K102&lt;&gt;""),'Atividades Micro'!$K102,"")</f>
        <v/>
      </c>
      <c r="D96" s="21" t="str">
        <f>IF(AND('Atividades Micro'!$A102=D$2,'Atividades Micro'!$L102&lt;&gt;""),'Atividades Micro'!$L102,"")</f>
        <v/>
      </c>
      <c r="E96" s="21" t="str">
        <f>IF(AND('Atividades Micro'!$A102=E$2,'Atividades Micro'!$K102&lt;&gt;""),'Atividades Micro'!$K102,"")</f>
        <v/>
      </c>
      <c r="F96" s="21" t="str">
        <f>IF(AND('Atividades Micro'!$A102=F$2,'Atividades Micro'!$L102&lt;&gt;""),'Atividades Micro'!$L102,"")</f>
        <v/>
      </c>
      <c r="G96" s="21" t="str">
        <f>IF(AND('Atividades Micro'!$A102=G$2,'Atividades Micro'!$K102&lt;&gt;""),'Atividades Micro'!$K102,"")</f>
        <v/>
      </c>
      <c r="H96" s="21" t="str">
        <f>IF(AND('Atividades Micro'!$A102=H$2,'Atividades Micro'!$L102&lt;&gt;""),'Atividades Micro'!$L102,"")</f>
        <v/>
      </c>
      <c r="I96" s="21" t="str">
        <f>IF(AND('Atividades Micro'!$A102=I$2,'Atividades Micro'!$K102&lt;&gt;""),'Atividades Micro'!$K102,"")</f>
        <v/>
      </c>
      <c r="J96" s="21" t="str">
        <f>IF(AND('Atividades Micro'!$A102=J$2,'Atividades Micro'!$L102&lt;&gt;""),'Atividades Micro'!$L102,"")</f>
        <v/>
      </c>
      <c r="K96" s="21" t="str">
        <f>IF(AND('Atividades Micro'!$B102=K$2,'Atividades Micro'!$K102&lt;&gt;""),'Atividades Micro'!$K102,"")</f>
        <v/>
      </c>
      <c r="L96" s="21" t="str">
        <f>IF(AND('Atividades Micro'!$B102=L$2,'Atividades Micro'!$L102&lt;&gt;""),'Atividades Micro'!$L102,"")</f>
        <v/>
      </c>
      <c r="M96" s="21" t="str">
        <f>IF(AND('Atividades Micro'!$B102=M$2,'Atividades Micro'!$K102&lt;&gt;""),'Atividades Micro'!$K102,"")</f>
        <v/>
      </c>
      <c r="N96" s="21" t="str">
        <f>IF(AND('Atividades Micro'!$B102=N$2,'Atividades Micro'!$L102&lt;&gt;""),'Atividades Micro'!$L102,"")</f>
        <v/>
      </c>
      <c r="O96" s="21" t="str">
        <f>IF(AND('Atividades Micro'!$A102=O$2,'Atividades Micro'!$K102&lt;&gt;""),'Atividades Micro'!$K102,"")</f>
        <v/>
      </c>
      <c r="P96" s="21" t="str">
        <f>IF(AND('Atividades Micro'!$A102=P$2,'Atividades Micro'!$L102&lt;&gt;""),'Atividades Micro'!$L102,"")</f>
        <v/>
      </c>
      <c r="Q96" s="21" t="str">
        <f>IF(AND('Atividades Micro'!$B102=Q$2,'Atividades Micro'!$K102&lt;&gt;""),'Atividades Micro'!$K102,"")</f>
        <v/>
      </c>
      <c r="R96" s="21" t="str">
        <f>IF(AND('Atividades Micro'!$B102=R$2,'Atividades Micro'!$L102&lt;&gt;""),'Atividades Micro'!$L102,"")</f>
        <v/>
      </c>
      <c r="S96" s="21" t="str">
        <f>IF(AND('Atividades Micro'!$A102=S$2,'Atividades Micro'!$K102&lt;&gt;""),'Atividades Micro'!$K102,"")</f>
        <v/>
      </c>
      <c r="T96" s="21" t="str">
        <f>IF(AND('Atividades Micro'!$A102=T$2,'Atividades Micro'!$L102&lt;&gt;""),'Atividades Micro'!$L102,"")</f>
        <v/>
      </c>
      <c r="U96" s="21" t="str">
        <f>IF(AND('Atividades Micro'!$B102=U$2,'Atividades Micro'!$K102&lt;&gt;""),'Atividades Micro'!$K102,"")</f>
        <v/>
      </c>
      <c r="V96" s="21" t="str">
        <f>IF(AND('Atividades Micro'!$B102=V$2,'Atividades Micro'!$L102&lt;&gt;""),'Atividades Micro'!$L102,"")</f>
        <v/>
      </c>
      <c r="W96" s="21" t="str">
        <f>IF(AND('Atividades Micro'!$B102=W$2,'Atividades Micro'!$K102&lt;&gt;""),'Atividades Micro'!$K102,"")</f>
        <v/>
      </c>
      <c r="X96" s="21" t="str">
        <f>IF(AND('Atividades Micro'!$B102=X$2,'Atividades Micro'!$L102&lt;&gt;""),'Atividades Micro'!$L102,"")</f>
        <v/>
      </c>
      <c r="Y96" s="21" t="str">
        <f>IF(AND('Atividades Micro'!$A102=Y$2,'Atividades Micro'!$K102&lt;&gt;""),'Atividades Micro'!$K102,"")</f>
        <v/>
      </c>
      <c r="Z96" s="21" t="str">
        <f>IF(AND('Atividades Micro'!$A102=Z$2,'Atividades Micro'!$L102&lt;&gt;""),'Atividades Micro'!$L102,"")</f>
        <v/>
      </c>
      <c r="AA96" s="21" t="str">
        <f>IF(AND('Atividades Micro'!$B102=AA$2,'Atividades Micro'!$K102&lt;&gt;""),'Atividades Micro'!$K102,"")</f>
        <v/>
      </c>
      <c r="AB96" s="21" t="str">
        <f>IF(AND('Atividades Micro'!$B102=AB$2,'Atividades Micro'!$L102&lt;&gt;""),'Atividades Micro'!$L102,"")</f>
        <v/>
      </c>
      <c r="AC96" s="21" t="str">
        <f>IF(AND('Atividades Micro'!$B102=AC$2,'Atividades Micro'!$K102&lt;&gt;""),'Atividades Micro'!$K102,"")</f>
        <v/>
      </c>
      <c r="AD96" s="21" t="str">
        <f>IF(AND('Atividades Micro'!$B102=AD$2,'Atividades Micro'!$L102&lt;&gt;""),'Atividades Micro'!$L102,"")</f>
        <v/>
      </c>
      <c r="AE96" s="21" t="str">
        <f>IF(AND('Atividades Micro'!$A102=AE$2,'Atividades Micro'!$K102&lt;&gt;""),'Atividades Micro'!$K102,"")</f>
        <v/>
      </c>
      <c r="AF96" s="21" t="str">
        <f>IF(AND('Atividades Micro'!$A102=AF$2,'Atividades Micro'!$L102&lt;&gt;""),'Atividades Micro'!$L102,"")</f>
        <v/>
      </c>
      <c r="AG96" s="21" t="str">
        <f>IF(AND('Atividades Micro'!$B102=AG$2,'Atividades Micro'!$K102&lt;&gt;""),'Atividades Micro'!$K102,"")</f>
        <v/>
      </c>
      <c r="AH96" s="21" t="str">
        <f>IF(AND('Atividades Micro'!$B102=AH$2,'Atividades Micro'!$L102&lt;&gt;""),'Atividades Micro'!$L102,"")</f>
        <v/>
      </c>
      <c r="AI96" s="21" t="str">
        <f>IF(AND('Atividades Micro'!$B102=AI$2,'Atividades Micro'!$K102&lt;&gt;""),'Atividades Micro'!$K102,"")</f>
        <v/>
      </c>
      <c r="AJ96" s="21" t="str">
        <f>IF(AND('Atividades Micro'!$B102=AJ$2,'Atividades Micro'!$L102&lt;&gt;""),'Atividades Micro'!$L102,"")</f>
        <v/>
      </c>
      <c r="AK96" s="21" t="str">
        <f>IF(AND('Atividades Micro'!$A102=AK$2,'Atividades Micro'!$K102&lt;&gt;""),'Atividades Micro'!$K102,"")</f>
        <v/>
      </c>
      <c r="AL96" s="21" t="str">
        <f>IF(AND('Atividades Micro'!$A102=AL$2,'Atividades Micro'!$L102&lt;&gt;""),'Atividades Micro'!$L102,"")</f>
        <v/>
      </c>
      <c r="AM96" s="21" t="str">
        <f>IF(AND('Atividades Micro'!$B102=AM$2,'Atividades Micro'!$K102&lt;&gt;""),'Atividades Micro'!$K102,"")</f>
        <v/>
      </c>
      <c r="AN96" s="21" t="str">
        <f>IF(AND('Atividades Micro'!$B102=AN$2,'Atividades Micro'!$L102&lt;&gt;""),'Atividades Micro'!$L102,"")</f>
        <v/>
      </c>
      <c r="AO96" s="21" t="str">
        <f>IF(AND('Atividades Micro'!$B102=AO$2,'Atividades Micro'!$K102&lt;&gt;""),'Atividades Micro'!$K102,"")</f>
        <v/>
      </c>
      <c r="AP96" s="21" t="str">
        <f>IF(AND('Atividades Micro'!$B102=AP$2,'Atividades Micro'!$L102&lt;&gt;""),'Atividades Micro'!$L102,"")</f>
        <v/>
      </c>
      <c r="AQ96" s="21" t="str">
        <f>IF(AND('Atividades Micro'!$A102=AQ$2,'Atividades Micro'!$K102&lt;&gt;""),'Atividades Micro'!$K102,"")</f>
        <v/>
      </c>
      <c r="AR96" s="21" t="str">
        <f>IF(AND('Atividades Micro'!$A102=AR$2,'Atividades Micro'!$L102&lt;&gt;""),'Atividades Micro'!$L102,"")</f>
        <v/>
      </c>
      <c r="AS96" s="21" t="str">
        <f>IF(AND('Atividades Micro'!$B102=AS$2,'Atividades Micro'!$K102&lt;&gt;""),'Atividades Micro'!$K102,"")</f>
        <v/>
      </c>
      <c r="AT96" s="21" t="str">
        <f>IF(AND('Atividades Micro'!$B102=AT$2,'Atividades Micro'!$L102&lt;&gt;""),'Atividades Micro'!$L102,"")</f>
        <v/>
      </c>
      <c r="AU96" s="21" t="str">
        <f>IF(AND('Atividades Micro'!$A102=AU$2,'Atividades Micro'!$K102&lt;&gt;""),'Atividades Micro'!$K102,"")</f>
        <v/>
      </c>
      <c r="AV96" s="21" t="str">
        <f>IF(AND('Atividades Micro'!$A102=AV$2,'Atividades Micro'!$L102&lt;&gt;""),'Atividades Micro'!$L102,"")</f>
        <v/>
      </c>
      <c r="AW96" s="21" t="str">
        <f>IF(AND('Atividades Micro'!$B102=AW$2,'Atividades Micro'!$K102&lt;&gt;""),'Atividades Micro'!$K102,"")</f>
        <v/>
      </c>
      <c r="AX96" s="21" t="str">
        <f>IF(AND('Atividades Micro'!$B102=AX$2,'Atividades Micro'!$L102&lt;&gt;""),'Atividades Micro'!$L102,"")</f>
        <v/>
      </c>
      <c r="AY96" s="21" t="str">
        <f>IF(AND('Atividades Micro'!$A102=AY$2,'Atividades Micro'!$K102&lt;&gt;""),'Atividades Micro'!$K102,"")</f>
        <v/>
      </c>
      <c r="AZ96" s="21" t="str">
        <f>IF(AND('Atividades Micro'!$A102=AZ$2,'Atividades Micro'!$L102&lt;&gt;""),'Atividades Micro'!$L102,"")</f>
        <v/>
      </c>
      <c r="BA96" s="21" t="str">
        <f>IF(AND('Atividades Micro'!$B102=BA$2,'Atividades Micro'!$K102&lt;&gt;""),'Atividades Micro'!$K102,"")</f>
        <v/>
      </c>
      <c r="BB96" s="21" t="str">
        <f>IF(AND('Atividades Micro'!$B102=BB$2,'Atividades Micro'!$L102&lt;&gt;""),'Atividades Micro'!$L102,"")</f>
        <v/>
      </c>
      <c r="BC96" s="21" t="str">
        <f>IF(AND('Atividades Micro'!$B102=BC$2,'Atividades Micro'!$G102="Macro",'Atividades Micro'!$K102&lt;&gt;""),'Atividades Micro'!$K102,"")</f>
        <v/>
      </c>
      <c r="BD96" s="21" t="str">
        <f>IF(AND('Atividades Micro'!$B102=BD$2,'Atividades Micro'!$G102="Macro",'Atividades Micro'!$K102&lt;&gt;""),'Atividades Micro'!$K102,"")</f>
        <v/>
      </c>
      <c r="BE96" s="21" t="str">
        <f>IF(AND('Atividades Micro'!$B102=BE$2,'Atividades Micro'!$G102="Macro",'Atividades Micro'!$K102&lt;&gt;""),'Atividades Micro'!$K102,"")</f>
        <v/>
      </c>
      <c r="BF96" s="21" t="str">
        <f>IF(AND('Atividades Micro'!$B102=BF$2,'Atividades Micro'!$G102="Macro",'Atividades Micro'!$K102&lt;&gt;""),'Atividades Micro'!$K102,"")</f>
        <v/>
      </c>
      <c r="BG96" s="21" t="str">
        <f>IF(AND('Atividades Micro'!$B102=BG$2,'Atividades Micro'!$G102="Macro",'Atividades Micro'!$K102&lt;&gt;""),'Atividades Micro'!$K102,"")</f>
        <v/>
      </c>
      <c r="BH96" s="21" t="str">
        <f>IF(AND('Atividades Micro'!$B102=BH$2,'Atividades Micro'!$G102="Macro",'Atividades Micro'!$K102&lt;&gt;""),'Atividades Micro'!$K102,"")</f>
        <v/>
      </c>
      <c r="BI96" s="21" t="str">
        <f>IF(AND('Atividades Micro'!$B102=BI$2,'Atividades Micro'!$G102="Macro",'Atividades Micro'!$K102&lt;&gt;""),'Atividades Micro'!$K102,"")</f>
        <v/>
      </c>
      <c r="BJ96" s="21" t="str">
        <f>IF(AND('Atividades Micro'!$B102=BJ$2,'Atividades Micro'!$G102="Macro",'Atividades Micro'!$K102&lt;&gt;""),'Atividades Micro'!$K102,"")</f>
        <v/>
      </c>
      <c r="BK96" s="21" t="str">
        <f>IF(AND('Atividades Micro'!$B102=BK$2,'Atividades Micro'!$G102="Macro",'Atividades Micro'!$K102&lt;&gt;""),'Atividades Micro'!$K102,"")</f>
        <v/>
      </c>
      <c r="BL96" s="21" t="str">
        <f>IF(AND('Atividades Micro'!$B102=BL$2,'Atividades Micro'!$G102="Macro",'Atividades Micro'!$K102&lt;&gt;""),'Atividades Micro'!$K102,"")</f>
        <v/>
      </c>
      <c r="BM96" s="21" t="str">
        <f>IF(AND('Atividades Micro'!$B102=BM$2,'Atividades Micro'!$G102="Macro",'Atividades Micro'!$K102&lt;&gt;""),'Atividades Micro'!$K102,"")</f>
        <v/>
      </c>
      <c r="BN96" s="21" t="str">
        <f>IF(AND('Atividades Micro'!$B102=BN$2,'Atividades Micro'!$G102="Macro",'Atividades Micro'!$K102&lt;&gt;""),'Atividades Micro'!$K102,"")</f>
        <v/>
      </c>
      <c r="BO96" s="21" t="str">
        <f>IF(AND('Atividades Micro'!$B102=BO$2,'Atividades Micro'!$G102="Macro",'Atividades Micro'!$K102&lt;&gt;""),'Atividades Micro'!$K102,"")</f>
        <v/>
      </c>
      <c r="BP96" s="21" t="str">
        <f>IF(AND('Atividades Micro'!$B102=BP$2,'Atividades Micro'!$G102="Macro",'Atividades Micro'!$K102&lt;&gt;""),'Atividades Micro'!$K102,"")</f>
        <v/>
      </c>
      <c r="BQ96" s="21" t="str">
        <f>IF(AND('Atividades Micro'!$B102=BQ$2,'Atividades Micro'!$G102="Macro",'Atividades Micro'!$K102&lt;&gt;""),'Atividades Micro'!$K102,"")</f>
        <v/>
      </c>
      <c r="BR96" s="21" t="str">
        <f>IF(AND('Atividades Micro'!$B102=BR$2,'Atividades Micro'!$G102="Macro",'Atividades Micro'!$K102&lt;&gt;""),'Atividades Micro'!$K102,"")</f>
        <v/>
      </c>
      <c r="BS96" s="21" t="str">
        <f>IF(AND('Atividades Micro'!$B102=BS$2,'Atividades Micro'!$G102="Macro",'Atividades Micro'!$K102&lt;&gt;""),'Atividades Micro'!$K102,"")</f>
        <v/>
      </c>
      <c r="BT96" s="21" t="str">
        <f>IF(AND('Atividades Micro'!$B102=BT$2,'Atividades Micro'!$G102="Macro",'Atividades Micro'!$K102&lt;&gt;""),'Atividades Micro'!$K102,"")</f>
        <v/>
      </c>
      <c r="BU96" s="21" t="str">
        <f>IF(AND('Atividades Micro'!$B102=BU$2,'Atividades Micro'!$G102="Macro",'Atividades Micro'!$K102&lt;&gt;""),'Atividades Micro'!$K102,"")</f>
        <v/>
      </c>
      <c r="BV96" s="21" t="str">
        <f>IF(AND('Atividades Micro'!$B102=BV$2,'Atividades Micro'!$G102="Macro",'Atividades Micro'!$K102&lt;&gt;""),'Atividades Micro'!$K102,"")</f>
        <v/>
      </c>
      <c r="BW96" s="21" t="str">
        <f>IF(AND('Atividades Micro'!$B102=BW$2,'Atividades Micro'!$G102="Macro",'Atividades Micro'!$K102&lt;&gt;""),'Atividades Micro'!$K102,"")</f>
        <v/>
      </c>
      <c r="BX96" s="21" t="str">
        <f>IF(AND('Atividades Micro'!$B102=BX$2,'Atividades Micro'!$G102="Macro",'Atividades Micro'!$K102&lt;&gt;""),'Atividades Micro'!$K102,"")</f>
        <v/>
      </c>
      <c r="BY96" s="21" t="str">
        <f>IF(AND('Atividades Micro'!$B102=BY$2,'Atividades Micro'!$G102="Macro",'Atividades Micro'!$K102&lt;&gt;""),'Atividades Micro'!$K102,"")</f>
        <v/>
      </c>
      <c r="BZ96" s="21" t="str">
        <f>IF(AND('Atividades Micro'!$B102=BZ$2,'Atividades Micro'!$G102="Macro",'Atividades Micro'!$K102&lt;&gt;""),'Atividades Micro'!$K102,"")</f>
        <v/>
      </c>
      <c r="CA96" s="21" t="str">
        <f>IF(AND('Atividades Micro'!$B102=CA$2,'Atividades Micro'!$G102="Macro",'Atividades Micro'!$K102&lt;&gt;""),'Atividades Micro'!$K102,"")</f>
        <v/>
      </c>
      <c r="CB96" s="21" t="str">
        <f>IF(AND('Atividades Micro'!$B102=CB$2,'Atividades Micro'!$G102="Macro",'Atividades Micro'!$K102&lt;&gt;""),'Atividades Micro'!$K102,"")</f>
        <v/>
      </c>
      <c r="CC96" s="21" t="str">
        <f>IF(AND('Atividades Micro'!$B102=CC$2,'Atividades Micro'!$G102="Macro",'Atividades Micro'!$K102&lt;&gt;""),'Atividades Micro'!$K102,"")</f>
        <v/>
      </c>
      <c r="CD96" s="21" t="str">
        <f>IF(AND('Atividades Micro'!$B102=CD$2,'Atividades Micro'!$G102="Micro",'Atividades Micro'!$K102&lt;&gt;""),'Atividades Micro'!$K102,"")</f>
        <v/>
      </c>
      <c r="CE96" s="21" t="str">
        <f>IF(AND('Atividades Micro'!$B102=CE$2,'Atividades Micro'!$G102="Micro",'Atividades Micro'!$K102&lt;&gt;""),'Atividades Micro'!$K102,"")</f>
        <v/>
      </c>
      <c r="CF96" s="21" t="str">
        <f>IF(AND('Atividades Micro'!$B102=CF$2,'Atividades Micro'!$G102="Micro",'Atividades Micro'!$K102&lt;&gt;""),'Atividades Micro'!$K102,"")</f>
        <v/>
      </c>
      <c r="CG96" s="21" t="str">
        <f>IF(AND('Atividades Micro'!$B102=CG$2,'Atividades Micro'!$G102="Micro",'Atividades Micro'!$K102&lt;&gt;""),'Atividades Micro'!$K102,"")</f>
        <v/>
      </c>
      <c r="CH96" s="21" t="str">
        <f>IF(AND('Atividades Micro'!$B102=CH$2,'Atividades Micro'!$G102="Micro",'Atividades Micro'!$K102&lt;&gt;""),'Atividades Micro'!$K102,"")</f>
        <v/>
      </c>
      <c r="CI96" s="21" t="str">
        <f>IF(AND('Atividades Micro'!$B102=CI$2,'Atividades Micro'!$G102="Micro",'Atividades Micro'!$K102&lt;&gt;""),'Atividades Micro'!$K102,"")</f>
        <v/>
      </c>
      <c r="CJ96" s="21" t="str">
        <f>IF(AND('Atividades Micro'!$B102=CJ$2,'Atividades Micro'!$G102="Micro",'Atividades Micro'!$K102&lt;&gt;""),'Atividades Micro'!$K102,"")</f>
        <v/>
      </c>
      <c r="CK96" s="21" t="str">
        <f>IF(AND('Atividades Micro'!$B102=CK$2,'Atividades Micro'!$G102="Micro",'Atividades Micro'!$K102&lt;&gt;""),'Atividades Micro'!$K102,"")</f>
        <v/>
      </c>
      <c r="CL96" s="21" t="str">
        <f>IF(AND('Atividades Micro'!$B102=CL$2,'Atividades Micro'!$G102="Micro",'Atividades Micro'!$K102&lt;&gt;""),'Atividades Micro'!$K102,"")</f>
        <v/>
      </c>
      <c r="CM96" s="21" t="str">
        <f>IF(AND('Atividades Micro'!$B102=CM$2,'Atividades Micro'!$G102="Micro",'Atividades Micro'!$K102&lt;&gt;""),'Atividades Micro'!$K102,"")</f>
        <v/>
      </c>
      <c r="CN96" s="21" t="str">
        <f>IF(AND('Atividades Micro'!$B102=CN$2,'Atividades Micro'!$G102="Micro",'Atividades Micro'!$K102&lt;&gt;""),'Atividades Micro'!$K102,"")</f>
        <v/>
      </c>
      <c r="CO96" s="21" t="str">
        <f>IF(AND('Atividades Micro'!$B102=CO$2,'Atividades Micro'!$G102="Micro",'Atividades Micro'!$K102&lt;&gt;""),'Atividades Micro'!$K102,"")</f>
        <v/>
      </c>
    </row>
    <row r="97" spans="1:93">
      <c r="A97" s="21" t="str">
        <f>IF(AND('Atividades Micro'!$A103=A$2,'Atividades Micro'!$K103&lt;&gt;""),'Atividades Micro'!$K103,"")</f>
        <v/>
      </c>
      <c r="B97" s="21" t="str">
        <f>IF(AND('Atividades Micro'!$A103=B$2,'Atividades Micro'!$L103&lt;&gt;""),'Atividades Micro'!$L103,"")</f>
        <v/>
      </c>
      <c r="C97" s="21" t="str">
        <f>IF(AND('Atividades Micro'!$A103=C$2,'Atividades Micro'!$K103&lt;&gt;""),'Atividades Micro'!$K103,"")</f>
        <v/>
      </c>
      <c r="D97" s="21" t="str">
        <f>IF(AND('Atividades Micro'!$A103=D$2,'Atividades Micro'!$L103&lt;&gt;""),'Atividades Micro'!$L103,"")</f>
        <v/>
      </c>
      <c r="E97" s="21" t="str">
        <f>IF(AND('Atividades Micro'!$A103=E$2,'Atividades Micro'!$K103&lt;&gt;""),'Atividades Micro'!$K103,"")</f>
        <v/>
      </c>
      <c r="F97" s="21" t="str">
        <f>IF(AND('Atividades Micro'!$A103=F$2,'Atividades Micro'!$L103&lt;&gt;""),'Atividades Micro'!$L103,"")</f>
        <v/>
      </c>
      <c r="G97" s="21" t="str">
        <f>IF(AND('Atividades Micro'!$A103=G$2,'Atividades Micro'!$K103&lt;&gt;""),'Atividades Micro'!$K103,"")</f>
        <v/>
      </c>
      <c r="H97" s="21" t="str">
        <f>IF(AND('Atividades Micro'!$A103=H$2,'Atividades Micro'!$L103&lt;&gt;""),'Atividades Micro'!$L103,"")</f>
        <v/>
      </c>
      <c r="I97" s="21" t="str">
        <f>IF(AND('Atividades Micro'!$A103=I$2,'Atividades Micro'!$K103&lt;&gt;""),'Atividades Micro'!$K103,"")</f>
        <v/>
      </c>
      <c r="J97" s="21" t="str">
        <f>IF(AND('Atividades Micro'!$A103=J$2,'Atividades Micro'!$L103&lt;&gt;""),'Atividades Micro'!$L103,"")</f>
        <v/>
      </c>
      <c r="K97" s="21" t="str">
        <f>IF(AND('Atividades Micro'!$B103=K$2,'Atividades Micro'!$K103&lt;&gt;""),'Atividades Micro'!$K103,"")</f>
        <v/>
      </c>
      <c r="L97" s="21" t="str">
        <f>IF(AND('Atividades Micro'!$B103=L$2,'Atividades Micro'!$L103&lt;&gt;""),'Atividades Micro'!$L103,"")</f>
        <v/>
      </c>
      <c r="M97" s="21" t="str">
        <f>IF(AND('Atividades Micro'!$B103=M$2,'Atividades Micro'!$K103&lt;&gt;""),'Atividades Micro'!$K103,"")</f>
        <v/>
      </c>
      <c r="N97" s="21" t="str">
        <f>IF(AND('Atividades Micro'!$B103=N$2,'Atividades Micro'!$L103&lt;&gt;""),'Atividades Micro'!$L103,"")</f>
        <v/>
      </c>
      <c r="O97" s="21" t="str">
        <f>IF(AND('Atividades Micro'!$A103=O$2,'Atividades Micro'!$K103&lt;&gt;""),'Atividades Micro'!$K103,"")</f>
        <v/>
      </c>
      <c r="P97" s="21" t="str">
        <f>IF(AND('Atividades Micro'!$A103=P$2,'Atividades Micro'!$L103&lt;&gt;""),'Atividades Micro'!$L103,"")</f>
        <v/>
      </c>
      <c r="Q97" s="21" t="str">
        <f>IF(AND('Atividades Micro'!$B103=Q$2,'Atividades Micro'!$K103&lt;&gt;""),'Atividades Micro'!$K103,"")</f>
        <v/>
      </c>
      <c r="R97" s="21" t="str">
        <f>IF(AND('Atividades Micro'!$B103=R$2,'Atividades Micro'!$L103&lt;&gt;""),'Atividades Micro'!$L103,"")</f>
        <v/>
      </c>
      <c r="S97" s="21" t="str">
        <f>IF(AND('Atividades Micro'!$A103=S$2,'Atividades Micro'!$K103&lt;&gt;""),'Atividades Micro'!$K103,"")</f>
        <v/>
      </c>
      <c r="T97" s="21" t="str">
        <f>IF(AND('Atividades Micro'!$A103=T$2,'Atividades Micro'!$L103&lt;&gt;""),'Atividades Micro'!$L103,"")</f>
        <v/>
      </c>
      <c r="U97" s="21" t="str">
        <f>IF(AND('Atividades Micro'!$B103=U$2,'Atividades Micro'!$K103&lt;&gt;""),'Atividades Micro'!$K103,"")</f>
        <v/>
      </c>
      <c r="V97" s="21" t="str">
        <f>IF(AND('Atividades Micro'!$B103=V$2,'Atividades Micro'!$L103&lt;&gt;""),'Atividades Micro'!$L103,"")</f>
        <v/>
      </c>
      <c r="W97" s="21" t="str">
        <f>IF(AND('Atividades Micro'!$B103=W$2,'Atividades Micro'!$K103&lt;&gt;""),'Atividades Micro'!$K103,"")</f>
        <v/>
      </c>
      <c r="X97" s="21" t="str">
        <f>IF(AND('Atividades Micro'!$B103=X$2,'Atividades Micro'!$L103&lt;&gt;""),'Atividades Micro'!$L103,"")</f>
        <v/>
      </c>
      <c r="Y97" s="21" t="str">
        <f>IF(AND('Atividades Micro'!$A103=Y$2,'Atividades Micro'!$K103&lt;&gt;""),'Atividades Micro'!$K103,"")</f>
        <v/>
      </c>
      <c r="Z97" s="21" t="str">
        <f>IF(AND('Atividades Micro'!$A103=Z$2,'Atividades Micro'!$L103&lt;&gt;""),'Atividades Micro'!$L103,"")</f>
        <v/>
      </c>
      <c r="AA97" s="21" t="str">
        <f>IF(AND('Atividades Micro'!$B103=AA$2,'Atividades Micro'!$K103&lt;&gt;""),'Atividades Micro'!$K103,"")</f>
        <v/>
      </c>
      <c r="AB97" s="21" t="str">
        <f>IF(AND('Atividades Micro'!$B103=AB$2,'Atividades Micro'!$L103&lt;&gt;""),'Atividades Micro'!$L103,"")</f>
        <v/>
      </c>
      <c r="AC97" s="21" t="str">
        <f>IF(AND('Atividades Micro'!$B103=AC$2,'Atividades Micro'!$K103&lt;&gt;""),'Atividades Micro'!$K103,"")</f>
        <v/>
      </c>
      <c r="AD97" s="21" t="str">
        <f>IF(AND('Atividades Micro'!$B103=AD$2,'Atividades Micro'!$L103&lt;&gt;""),'Atividades Micro'!$L103,"")</f>
        <v/>
      </c>
      <c r="AE97" s="21" t="str">
        <f>IF(AND('Atividades Micro'!$A103=AE$2,'Atividades Micro'!$K103&lt;&gt;""),'Atividades Micro'!$K103,"")</f>
        <v/>
      </c>
      <c r="AF97" s="21" t="str">
        <f>IF(AND('Atividades Micro'!$A103=AF$2,'Atividades Micro'!$L103&lt;&gt;""),'Atividades Micro'!$L103,"")</f>
        <v/>
      </c>
      <c r="AG97" s="21" t="str">
        <f>IF(AND('Atividades Micro'!$B103=AG$2,'Atividades Micro'!$K103&lt;&gt;""),'Atividades Micro'!$K103,"")</f>
        <v/>
      </c>
      <c r="AH97" s="21" t="str">
        <f>IF(AND('Atividades Micro'!$B103=AH$2,'Atividades Micro'!$L103&lt;&gt;""),'Atividades Micro'!$L103,"")</f>
        <v/>
      </c>
      <c r="AI97" s="21" t="str">
        <f>IF(AND('Atividades Micro'!$B103=AI$2,'Atividades Micro'!$K103&lt;&gt;""),'Atividades Micro'!$K103,"")</f>
        <v/>
      </c>
      <c r="AJ97" s="21" t="str">
        <f>IF(AND('Atividades Micro'!$B103=AJ$2,'Atividades Micro'!$L103&lt;&gt;""),'Atividades Micro'!$L103,"")</f>
        <v/>
      </c>
      <c r="AK97" s="21" t="str">
        <f>IF(AND('Atividades Micro'!$A103=AK$2,'Atividades Micro'!$K103&lt;&gt;""),'Atividades Micro'!$K103,"")</f>
        <v/>
      </c>
      <c r="AL97" s="21" t="str">
        <f>IF(AND('Atividades Micro'!$A103=AL$2,'Atividades Micro'!$L103&lt;&gt;""),'Atividades Micro'!$L103,"")</f>
        <v/>
      </c>
      <c r="AM97" s="21" t="str">
        <f>IF(AND('Atividades Micro'!$B103=AM$2,'Atividades Micro'!$K103&lt;&gt;""),'Atividades Micro'!$K103,"")</f>
        <v/>
      </c>
      <c r="AN97" s="21" t="str">
        <f>IF(AND('Atividades Micro'!$B103=AN$2,'Atividades Micro'!$L103&lt;&gt;""),'Atividades Micro'!$L103,"")</f>
        <v/>
      </c>
      <c r="AO97" s="21" t="str">
        <f>IF(AND('Atividades Micro'!$B103=AO$2,'Atividades Micro'!$K103&lt;&gt;""),'Atividades Micro'!$K103,"")</f>
        <v/>
      </c>
      <c r="AP97" s="21" t="str">
        <f>IF(AND('Atividades Micro'!$B103=AP$2,'Atividades Micro'!$L103&lt;&gt;""),'Atividades Micro'!$L103,"")</f>
        <v/>
      </c>
      <c r="AQ97" s="21" t="str">
        <f>IF(AND('Atividades Micro'!$A103=AQ$2,'Atividades Micro'!$K103&lt;&gt;""),'Atividades Micro'!$K103,"")</f>
        <v/>
      </c>
      <c r="AR97" s="21" t="str">
        <f>IF(AND('Atividades Micro'!$A103=AR$2,'Atividades Micro'!$L103&lt;&gt;""),'Atividades Micro'!$L103,"")</f>
        <v/>
      </c>
      <c r="AS97" s="21" t="str">
        <f>IF(AND('Atividades Micro'!$B103=AS$2,'Atividades Micro'!$K103&lt;&gt;""),'Atividades Micro'!$K103,"")</f>
        <v/>
      </c>
      <c r="AT97" s="21" t="str">
        <f>IF(AND('Atividades Micro'!$B103=AT$2,'Atividades Micro'!$L103&lt;&gt;""),'Atividades Micro'!$L103,"")</f>
        <v/>
      </c>
      <c r="AU97" s="21" t="str">
        <f>IF(AND('Atividades Micro'!$A103=AU$2,'Atividades Micro'!$K103&lt;&gt;""),'Atividades Micro'!$K103,"")</f>
        <v/>
      </c>
      <c r="AV97" s="21" t="str">
        <f>IF(AND('Atividades Micro'!$A103=AV$2,'Atividades Micro'!$L103&lt;&gt;""),'Atividades Micro'!$L103,"")</f>
        <v/>
      </c>
      <c r="AW97" s="21" t="str">
        <f>IF(AND('Atividades Micro'!$B103=AW$2,'Atividades Micro'!$K103&lt;&gt;""),'Atividades Micro'!$K103,"")</f>
        <v/>
      </c>
      <c r="AX97" s="21" t="str">
        <f>IF(AND('Atividades Micro'!$B103=AX$2,'Atividades Micro'!$L103&lt;&gt;""),'Atividades Micro'!$L103,"")</f>
        <v/>
      </c>
      <c r="AY97" s="21" t="str">
        <f>IF(AND('Atividades Micro'!$A103=AY$2,'Atividades Micro'!$K103&lt;&gt;""),'Atividades Micro'!$K103,"")</f>
        <v/>
      </c>
      <c r="AZ97" s="21" t="str">
        <f>IF(AND('Atividades Micro'!$A103=AZ$2,'Atividades Micro'!$L103&lt;&gt;""),'Atividades Micro'!$L103,"")</f>
        <v/>
      </c>
      <c r="BA97" s="21" t="str">
        <f>IF(AND('Atividades Micro'!$B103=BA$2,'Atividades Micro'!$K103&lt;&gt;""),'Atividades Micro'!$K103,"")</f>
        <v/>
      </c>
      <c r="BB97" s="21" t="str">
        <f>IF(AND('Atividades Micro'!$B103=BB$2,'Atividades Micro'!$L103&lt;&gt;""),'Atividades Micro'!$L103,"")</f>
        <v/>
      </c>
      <c r="BC97" s="21" t="str">
        <f>IF(AND('Atividades Micro'!$B103=BC$2,'Atividades Micro'!$G103="Macro",'Atividades Micro'!$K103&lt;&gt;""),'Atividades Micro'!$K103,"")</f>
        <v/>
      </c>
      <c r="BD97" s="21" t="str">
        <f>IF(AND('Atividades Micro'!$B103=BD$2,'Atividades Micro'!$G103="Macro",'Atividades Micro'!$K103&lt;&gt;""),'Atividades Micro'!$K103,"")</f>
        <v/>
      </c>
      <c r="BE97" s="21" t="str">
        <f>IF(AND('Atividades Micro'!$B103=BE$2,'Atividades Micro'!$G103="Macro",'Atividades Micro'!$K103&lt;&gt;""),'Atividades Micro'!$K103,"")</f>
        <v/>
      </c>
      <c r="BF97" s="21" t="str">
        <f>IF(AND('Atividades Micro'!$B103=BF$2,'Atividades Micro'!$G103="Macro",'Atividades Micro'!$K103&lt;&gt;""),'Atividades Micro'!$K103,"")</f>
        <v/>
      </c>
      <c r="BG97" s="21" t="str">
        <f>IF(AND('Atividades Micro'!$B103=BG$2,'Atividades Micro'!$G103="Macro",'Atividades Micro'!$K103&lt;&gt;""),'Atividades Micro'!$K103,"")</f>
        <v/>
      </c>
      <c r="BH97" s="21" t="str">
        <f>IF(AND('Atividades Micro'!$B103=BH$2,'Atividades Micro'!$G103="Macro",'Atividades Micro'!$K103&lt;&gt;""),'Atividades Micro'!$K103,"")</f>
        <v/>
      </c>
      <c r="BI97" s="21" t="str">
        <f>IF(AND('Atividades Micro'!$B103=BI$2,'Atividades Micro'!$G103="Macro",'Atividades Micro'!$K103&lt;&gt;""),'Atividades Micro'!$K103,"")</f>
        <v/>
      </c>
      <c r="BJ97" s="21" t="str">
        <f>IF(AND('Atividades Micro'!$B103=BJ$2,'Atividades Micro'!$G103="Macro",'Atividades Micro'!$K103&lt;&gt;""),'Atividades Micro'!$K103,"")</f>
        <v/>
      </c>
      <c r="BK97" s="21" t="str">
        <f>IF(AND('Atividades Micro'!$B103=BK$2,'Atividades Micro'!$G103="Macro",'Atividades Micro'!$K103&lt;&gt;""),'Atividades Micro'!$K103,"")</f>
        <v/>
      </c>
      <c r="BL97" s="21" t="str">
        <f>IF(AND('Atividades Micro'!$B103=BL$2,'Atividades Micro'!$G103="Macro",'Atividades Micro'!$K103&lt;&gt;""),'Atividades Micro'!$K103,"")</f>
        <v/>
      </c>
      <c r="BM97" s="21" t="str">
        <f>IF(AND('Atividades Micro'!$B103=BM$2,'Atividades Micro'!$G103="Macro",'Atividades Micro'!$K103&lt;&gt;""),'Atividades Micro'!$K103,"")</f>
        <v/>
      </c>
      <c r="BN97" s="21" t="str">
        <f>IF(AND('Atividades Micro'!$B103=BN$2,'Atividades Micro'!$G103="Macro",'Atividades Micro'!$K103&lt;&gt;""),'Atividades Micro'!$K103,"")</f>
        <v/>
      </c>
      <c r="BO97" s="21" t="str">
        <f>IF(AND('Atividades Micro'!$B103=BO$2,'Atividades Micro'!$G103="Macro",'Atividades Micro'!$K103&lt;&gt;""),'Atividades Micro'!$K103,"")</f>
        <v/>
      </c>
      <c r="BP97" s="21" t="str">
        <f>IF(AND('Atividades Micro'!$B103=BP$2,'Atividades Micro'!$G103="Macro",'Atividades Micro'!$K103&lt;&gt;""),'Atividades Micro'!$K103,"")</f>
        <v/>
      </c>
      <c r="BQ97" s="21" t="str">
        <f>IF(AND('Atividades Micro'!$B103=BQ$2,'Atividades Micro'!$G103="Macro",'Atividades Micro'!$K103&lt;&gt;""),'Atividades Micro'!$K103,"")</f>
        <v/>
      </c>
      <c r="BR97" s="21" t="str">
        <f>IF(AND('Atividades Micro'!$B103=BR$2,'Atividades Micro'!$G103="Macro",'Atividades Micro'!$K103&lt;&gt;""),'Atividades Micro'!$K103,"")</f>
        <v/>
      </c>
      <c r="BS97" s="21" t="str">
        <f>IF(AND('Atividades Micro'!$B103=BS$2,'Atividades Micro'!$G103="Macro",'Atividades Micro'!$K103&lt;&gt;""),'Atividades Micro'!$K103,"")</f>
        <v/>
      </c>
      <c r="BT97" s="21" t="str">
        <f>IF(AND('Atividades Micro'!$B103=BT$2,'Atividades Micro'!$G103="Macro",'Atividades Micro'!$K103&lt;&gt;""),'Atividades Micro'!$K103,"")</f>
        <v/>
      </c>
      <c r="BU97" s="21" t="str">
        <f>IF(AND('Atividades Micro'!$B103=BU$2,'Atividades Micro'!$G103="Macro",'Atividades Micro'!$K103&lt;&gt;""),'Atividades Micro'!$K103,"")</f>
        <v/>
      </c>
      <c r="BV97" s="21" t="str">
        <f>IF(AND('Atividades Micro'!$B103=BV$2,'Atividades Micro'!$G103="Macro",'Atividades Micro'!$K103&lt;&gt;""),'Atividades Micro'!$K103,"")</f>
        <v/>
      </c>
      <c r="BW97" s="21" t="str">
        <f>IF(AND('Atividades Micro'!$B103=BW$2,'Atividades Micro'!$G103="Macro",'Atividades Micro'!$K103&lt;&gt;""),'Atividades Micro'!$K103,"")</f>
        <v/>
      </c>
      <c r="BX97" s="21" t="str">
        <f>IF(AND('Atividades Micro'!$B103=BX$2,'Atividades Micro'!$G103="Macro",'Atividades Micro'!$K103&lt;&gt;""),'Atividades Micro'!$K103,"")</f>
        <v/>
      </c>
      <c r="BY97" s="21" t="str">
        <f>IF(AND('Atividades Micro'!$B103=BY$2,'Atividades Micro'!$G103="Macro",'Atividades Micro'!$K103&lt;&gt;""),'Atividades Micro'!$K103,"")</f>
        <v/>
      </c>
      <c r="BZ97" s="21" t="str">
        <f>IF(AND('Atividades Micro'!$B103=BZ$2,'Atividades Micro'!$G103="Macro",'Atividades Micro'!$K103&lt;&gt;""),'Atividades Micro'!$K103,"")</f>
        <v/>
      </c>
      <c r="CA97" s="21" t="str">
        <f>IF(AND('Atividades Micro'!$B103=CA$2,'Atividades Micro'!$G103="Macro",'Atividades Micro'!$K103&lt;&gt;""),'Atividades Micro'!$K103,"")</f>
        <v/>
      </c>
      <c r="CB97" s="21" t="str">
        <f>IF(AND('Atividades Micro'!$B103=CB$2,'Atividades Micro'!$G103="Macro",'Atividades Micro'!$K103&lt;&gt;""),'Atividades Micro'!$K103,"")</f>
        <v/>
      </c>
      <c r="CC97" s="21" t="str">
        <f>IF(AND('Atividades Micro'!$B103=CC$2,'Atividades Micro'!$G103="Macro",'Atividades Micro'!$K103&lt;&gt;""),'Atividades Micro'!$K103,"")</f>
        <v/>
      </c>
      <c r="CD97" s="21" t="str">
        <f>IF(AND('Atividades Micro'!$B103=CD$2,'Atividades Micro'!$G103="Micro",'Atividades Micro'!$K103&lt;&gt;""),'Atividades Micro'!$K103,"")</f>
        <v/>
      </c>
      <c r="CE97" s="21" t="str">
        <f>IF(AND('Atividades Micro'!$B103=CE$2,'Atividades Micro'!$G103="Micro",'Atividades Micro'!$K103&lt;&gt;""),'Atividades Micro'!$K103,"")</f>
        <v/>
      </c>
      <c r="CF97" s="21" t="str">
        <f>IF(AND('Atividades Micro'!$B103=CF$2,'Atividades Micro'!$G103="Micro",'Atividades Micro'!$K103&lt;&gt;""),'Atividades Micro'!$K103,"")</f>
        <v/>
      </c>
      <c r="CG97" s="21" t="str">
        <f>IF(AND('Atividades Micro'!$B103=CG$2,'Atividades Micro'!$G103="Micro",'Atividades Micro'!$K103&lt;&gt;""),'Atividades Micro'!$K103,"")</f>
        <v/>
      </c>
      <c r="CH97" s="21" t="str">
        <f>IF(AND('Atividades Micro'!$B103=CH$2,'Atividades Micro'!$G103="Micro",'Atividades Micro'!$K103&lt;&gt;""),'Atividades Micro'!$K103,"")</f>
        <v/>
      </c>
      <c r="CI97" s="21" t="str">
        <f>IF(AND('Atividades Micro'!$B103=CI$2,'Atividades Micro'!$G103="Micro",'Atividades Micro'!$K103&lt;&gt;""),'Atividades Micro'!$K103,"")</f>
        <v/>
      </c>
      <c r="CJ97" s="21" t="str">
        <f>IF(AND('Atividades Micro'!$B103=CJ$2,'Atividades Micro'!$G103="Micro",'Atividades Micro'!$K103&lt;&gt;""),'Atividades Micro'!$K103,"")</f>
        <v/>
      </c>
      <c r="CK97" s="21" t="str">
        <f>IF(AND('Atividades Micro'!$B103=CK$2,'Atividades Micro'!$G103="Micro",'Atividades Micro'!$K103&lt;&gt;""),'Atividades Micro'!$K103,"")</f>
        <v/>
      </c>
      <c r="CL97" s="21" t="str">
        <f>IF(AND('Atividades Micro'!$B103=CL$2,'Atividades Micro'!$G103="Micro",'Atividades Micro'!$K103&lt;&gt;""),'Atividades Micro'!$K103,"")</f>
        <v/>
      </c>
      <c r="CM97" s="21" t="str">
        <f>IF(AND('Atividades Micro'!$B103=CM$2,'Atividades Micro'!$G103="Micro",'Atividades Micro'!$K103&lt;&gt;""),'Atividades Micro'!$K103,"")</f>
        <v/>
      </c>
      <c r="CN97" s="21" t="str">
        <f>IF(AND('Atividades Micro'!$B103=CN$2,'Atividades Micro'!$G103="Micro",'Atividades Micro'!$K103&lt;&gt;""),'Atividades Micro'!$K103,"")</f>
        <v/>
      </c>
      <c r="CO97" s="21" t="str">
        <f>IF(AND('Atividades Micro'!$B103=CO$2,'Atividades Micro'!$G103="Micro",'Atividades Micro'!$K103&lt;&gt;""),'Atividades Micro'!$K103,"")</f>
        <v/>
      </c>
    </row>
    <row r="98" spans="1:93">
      <c r="A98" s="21" t="str">
        <f>IF(AND('Atividades Micro'!$A104=A$2,'Atividades Micro'!$K104&lt;&gt;""),'Atividades Micro'!$K104,"")</f>
        <v/>
      </c>
      <c r="B98" s="21" t="str">
        <f>IF(AND('Atividades Micro'!$A104=B$2,'Atividades Micro'!$L104&lt;&gt;""),'Atividades Micro'!$L104,"")</f>
        <v/>
      </c>
      <c r="C98" s="21" t="str">
        <f>IF(AND('Atividades Micro'!$A104=C$2,'Atividades Micro'!$K104&lt;&gt;""),'Atividades Micro'!$K104,"")</f>
        <v/>
      </c>
      <c r="D98" s="21" t="str">
        <f>IF(AND('Atividades Micro'!$A104=D$2,'Atividades Micro'!$L104&lt;&gt;""),'Atividades Micro'!$L104,"")</f>
        <v/>
      </c>
      <c r="E98" s="21" t="str">
        <f>IF(AND('Atividades Micro'!$A104=E$2,'Atividades Micro'!$K104&lt;&gt;""),'Atividades Micro'!$K104,"")</f>
        <v/>
      </c>
      <c r="F98" s="21" t="str">
        <f>IF(AND('Atividades Micro'!$A104=F$2,'Atividades Micro'!$L104&lt;&gt;""),'Atividades Micro'!$L104,"")</f>
        <v/>
      </c>
      <c r="G98" s="21" t="str">
        <f>IF(AND('Atividades Micro'!$A104=G$2,'Atividades Micro'!$K104&lt;&gt;""),'Atividades Micro'!$K104,"")</f>
        <v/>
      </c>
      <c r="H98" s="21" t="str">
        <f>IF(AND('Atividades Micro'!$A104=H$2,'Atividades Micro'!$L104&lt;&gt;""),'Atividades Micro'!$L104,"")</f>
        <v/>
      </c>
      <c r="I98" s="21" t="str">
        <f>IF(AND('Atividades Micro'!$A104=I$2,'Atividades Micro'!$K104&lt;&gt;""),'Atividades Micro'!$K104,"")</f>
        <v/>
      </c>
      <c r="J98" s="21" t="str">
        <f>IF(AND('Atividades Micro'!$A104=J$2,'Atividades Micro'!$L104&lt;&gt;""),'Atividades Micro'!$L104,"")</f>
        <v/>
      </c>
      <c r="K98" s="21" t="str">
        <f>IF(AND('Atividades Micro'!$B104=K$2,'Atividades Micro'!$K104&lt;&gt;""),'Atividades Micro'!$K104,"")</f>
        <v/>
      </c>
      <c r="L98" s="21" t="str">
        <f>IF(AND('Atividades Micro'!$B104=L$2,'Atividades Micro'!$L104&lt;&gt;""),'Atividades Micro'!$L104,"")</f>
        <v/>
      </c>
      <c r="M98" s="21" t="str">
        <f>IF(AND('Atividades Micro'!$B104=M$2,'Atividades Micro'!$K104&lt;&gt;""),'Atividades Micro'!$K104,"")</f>
        <v/>
      </c>
      <c r="N98" s="21" t="str">
        <f>IF(AND('Atividades Micro'!$B104=N$2,'Atividades Micro'!$L104&lt;&gt;""),'Atividades Micro'!$L104,"")</f>
        <v/>
      </c>
      <c r="O98" s="21" t="str">
        <f>IF(AND('Atividades Micro'!$A104=O$2,'Atividades Micro'!$K104&lt;&gt;""),'Atividades Micro'!$K104,"")</f>
        <v/>
      </c>
      <c r="P98" s="21" t="str">
        <f>IF(AND('Atividades Micro'!$A104=P$2,'Atividades Micro'!$L104&lt;&gt;""),'Atividades Micro'!$L104,"")</f>
        <v/>
      </c>
      <c r="Q98" s="21" t="str">
        <f>IF(AND('Atividades Micro'!$B104=Q$2,'Atividades Micro'!$K104&lt;&gt;""),'Atividades Micro'!$K104,"")</f>
        <v/>
      </c>
      <c r="R98" s="21" t="str">
        <f>IF(AND('Atividades Micro'!$B104=R$2,'Atividades Micro'!$L104&lt;&gt;""),'Atividades Micro'!$L104,"")</f>
        <v/>
      </c>
      <c r="S98" s="21" t="str">
        <f>IF(AND('Atividades Micro'!$A104=S$2,'Atividades Micro'!$K104&lt;&gt;""),'Atividades Micro'!$K104,"")</f>
        <v/>
      </c>
      <c r="T98" s="21" t="str">
        <f>IF(AND('Atividades Micro'!$A104=T$2,'Atividades Micro'!$L104&lt;&gt;""),'Atividades Micro'!$L104,"")</f>
        <v/>
      </c>
      <c r="U98" s="21" t="str">
        <f>IF(AND('Atividades Micro'!$B104=U$2,'Atividades Micro'!$K104&lt;&gt;""),'Atividades Micro'!$K104,"")</f>
        <v/>
      </c>
      <c r="V98" s="21" t="str">
        <f>IF(AND('Atividades Micro'!$B104=V$2,'Atividades Micro'!$L104&lt;&gt;""),'Atividades Micro'!$L104,"")</f>
        <v/>
      </c>
      <c r="W98" s="21" t="str">
        <f>IF(AND('Atividades Micro'!$B104=W$2,'Atividades Micro'!$K104&lt;&gt;""),'Atividades Micro'!$K104,"")</f>
        <v/>
      </c>
      <c r="X98" s="21" t="str">
        <f>IF(AND('Atividades Micro'!$B104=X$2,'Atividades Micro'!$L104&lt;&gt;""),'Atividades Micro'!$L104,"")</f>
        <v/>
      </c>
      <c r="Y98" s="21" t="str">
        <f>IF(AND('Atividades Micro'!$A104=Y$2,'Atividades Micro'!$K104&lt;&gt;""),'Atividades Micro'!$K104,"")</f>
        <v/>
      </c>
      <c r="Z98" s="21" t="str">
        <f>IF(AND('Atividades Micro'!$A104=Z$2,'Atividades Micro'!$L104&lt;&gt;""),'Atividades Micro'!$L104,"")</f>
        <v/>
      </c>
      <c r="AA98" s="21" t="str">
        <f>IF(AND('Atividades Micro'!$B104=AA$2,'Atividades Micro'!$K104&lt;&gt;""),'Atividades Micro'!$K104,"")</f>
        <v/>
      </c>
      <c r="AB98" s="21" t="str">
        <f>IF(AND('Atividades Micro'!$B104=AB$2,'Atividades Micro'!$L104&lt;&gt;""),'Atividades Micro'!$L104,"")</f>
        <v/>
      </c>
      <c r="AC98" s="21" t="str">
        <f>IF(AND('Atividades Micro'!$B104=AC$2,'Atividades Micro'!$K104&lt;&gt;""),'Atividades Micro'!$K104,"")</f>
        <v/>
      </c>
      <c r="AD98" s="21" t="str">
        <f>IF(AND('Atividades Micro'!$B104=AD$2,'Atividades Micro'!$L104&lt;&gt;""),'Atividades Micro'!$L104,"")</f>
        <v/>
      </c>
      <c r="AE98" s="21" t="str">
        <f>IF(AND('Atividades Micro'!$A104=AE$2,'Atividades Micro'!$K104&lt;&gt;""),'Atividades Micro'!$K104,"")</f>
        <v/>
      </c>
      <c r="AF98" s="21" t="str">
        <f>IF(AND('Atividades Micro'!$A104=AF$2,'Atividades Micro'!$L104&lt;&gt;""),'Atividades Micro'!$L104,"")</f>
        <v/>
      </c>
      <c r="AG98" s="21" t="str">
        <f>IF(AND('Atividades Micro'!$B104=AG$2,'Atividades Micro'!$K104&lt;&gt;""),'Atividades Micro'!$K104,"")</f>
        <v/>
      </c>
      <c r="AH98" s="21" t="str">
        <f>IF(AND('Atividades Micro'!$B104=AH$2,'Atividades Micro'!$L104&lt;&gt;""),'Atividades Micro'!$L104,"")</f>
        <v/>
      </c>
      <c r="AI98" s="21" t="str">
        <f>IF(AND('Atividades Micro'!$B104=AI$2,'Atividades Micro'!$K104&lt;&gt;""),'Atividades Micro'!$K104,"")</f>
        <v/>
      </c>
      <c r="AJ98" s="21" t="str">
        <f>IF(AND('Atividades Micro'!$B104=AJ$2,'Atividades Micro'!$L104&lt;&gt;""),'Atividades Micro'!$L104,"")</f>
        <v/>
      </c>
      <c r="AK98" s="21" t="str">
        <f>IF(AND('Atividades Micro'!$A104=AK$2,'Atividades Micro'!$K104&lt;&gt;""),'Atividades Micro'!$K104,"")</f>
        <v/>
      </c>
      <c r="AL98" s="21" t="str">
        <f>IF(AND('Atividades Micro'!$A104=AL$2,'Atividades Micro'!$L104&lt;&gt;""),'Atividades Micro'!$L104,"")</f>
        <v/>
      </c>
      <c r="AM98" s="21" t="str">
        <f>IF(AND('Atividades Micro'!$B104=AM$2,'Atividades Micro'!$K104&lt;&gt;""),'Atividades Micro'!$K104,"")</f>
        <v/>
      </c>
      <c r="AN98" s="21" t="str">
        <f>IF(AND('Atividades Micro'!$B104=AN$2,'Atividades Micro'!$L104&lt;&gt;""),'Atividades Micro'!$L104,"")</f>
        <v/>
      </c>
      <c r="AO98" s="21" t="str">
        <f>IF(AND('Atividades Micro'!$B104=AO$2,'Atividades Micro'!$K104&lt;&gt;""),'Atividades Micro'!$K104,"")</f>
        <v/>
      </c>
      <c r="AP98" s="21" t="str">
        <f>IF(AND('Atividades Micro'!$B104=AP$2,'Atividades Micro'!$L104&lt;&gt;""),'Atividades Micro'!$L104,"")</f>
        <v/>
      </c>
      <c r="AQ98" s="21" t="str">
        <f>IF(AND('Atividades Micro'!$A104=AQ$2,'Atividades Micro'!$K104&lt;&gt;""),'Atividades Micro'!$K104,"")</f>
        <v/>
      </c>
      <c r="AR98" s="21" t="str">
        <f>IF(AND('Atividades Micro'!$A104=AR$2,'Atividades Micro'!$L104&lt;&gt;""),'Atividades Micro'!$L104,"")</f>
        <v/>
      </c>
      <c r="AS98" s="21" t="str">
        <f>IF(AND('Atividades Micro'!$B104=AS$2,'Atividades Micro'!$K104&lt;&gt;""),'Atividades Micro'!$K104,"")</f>
        <v/>
      </c>
      <c r="AT98" s="21" t="str">
        <f>IF(AND('Atividades Micro'!$B104=AT$2,'Atividades Micro'!$L104&lt;&gt;""),'Atividades Micro'!$L104,"")</f>
        <v/>
      </c>
      <c r="AU98" s="21" t="str">
        <f>IF(AND('Atividades Micro'!$A104=AU$2,'Atividades Micro'!$K104&lt;&gt;""),'Atividades Micro'!$K104,"")</f>
        <v/>
      </c>
      <c r="AV98" s="21" t="str">
        <f>IF(AND('Atividades Micro'!$A104=AV$2,'Atividades Micro'!$L104&lt;&gt;""),'Atividades Micro'!$L104,"")</f>
        <v/>
      </c>
      <c r="AW98" s="21" t="str">
        <f>IF(AND('Atividades Micro'!$B104=AW$2,'Atividades Micro'!$K104&lt;&gt;""),'Atividades Micro'!$K104,"")</f>
        <v/>
      </c>
      <c r="AX98" s="21" t="str">
        <f>IF(AND('Atividades Micro'!$B104=AX$2,'Atividades Micro'!$L104&lt;&gt;""),'Atividades Micro'!$L104,"")</f>
        <v/>
      </c>
      <c r="AY98" s="21" t="str">
        <f>IF(AND('Atividades Micro'!$A104=AY$2,'Atividades Micro'!$K104&lt;&gt;""),'Atividades Micro'!$K104,"")</f>
        <v/>
      </c>
      <c r="AZ98" s="21" t="str">
        <f>IF(AND('Atividades Micro'!$A104=AZ$2,'Atividades Micro'!$L104&lt;&gt;""),'Atividades Micro'!$L104,"")</f>
        <v/>
      </c>
      <c r="BA98" s="21" t="str">
        <f>IF(AND('Atividades Micro'!$B104=BA$2,'Atividades Micro'!$K104&lt;&gt;""),'Atividades Micro'!$K104,"")</f>
        <v/>
      </c>
      <c r="BB98" s="21" t="str">
        <f>IF(AND('Atividades Micro'!$B104=BB$2,'Atividades Micro'!$L104&lt;&gt;""),'Atividades Micro'!$L104,"")</f>
        <v/>
      </c>
      <c r="BC98" s="21" t="str">
        <f>IF(AND('Atividades Micro'!$B104=BC$2,'Atividades Micro'!$G104="Macro",'Atividades Micro'!$K104&lt;&gt;""),'Atividades Micro'!$K104,"")</f>
        <v/>
      </c>
      <c r="BD98" s="21" t="str">
        <f>IF(AND('Atividades Micro'!$B104=BD$2,'Atividades Micro'!$G104="Macro",'Atividades Micro'!$K104&lt;&gt;""),'Atividades Micro'!$K104,"")</f>
        <v/>
      </c>
      <c r="BE98" s="21" t="str">
        <f>IF(AND('Atividades Micro'!$B104=BE$2,'Atividades Micro'!$G104="Macro",'Atividades Micro'!$K104&lt;&gt;""),'Atividades Micro'!$K104,"")</f>
        <v/>
      </c>
      <c r="BF98" s="21" t="str">
        <f>IF(AND('Atividades Micro'!$B104=BF$2,'Atividades Micro'!$G104="Macro",'Atividades Micro'!$K104&lt;&gt;""),'Atividades Micro'!$K104,"")</f>
        <v/>
      </c>
      <c r="BG98" s="21" t="str">
        <f>IF(AND('Atividades Micro'!$B104=BG$2,'Atividades Micro'!$G104="Macro",'Atividades Micro'!$K104&lt;&gt;""),'Atividades Micro'!$K104,"")</f>
        <v/>
      </c>
      <c r="BH98" s="21" t="str">
        <f>IF(AND('Atividades Micro'!$B104=BH$2,'Atividades Micro'!$G104="Macro",'Atividades Micro'!$K104&lt;&gt;""),'Atividades Micro'!$K104,"")</f>
        <v/>
      </c>
      <c r="BI98" s="21" t="str">
        <f>IF(AND('Atividades Micro'!$B104=BI$2,'Atividades Micro'!$G104="Macro",'Atividades Micro'!$K104&lt;&gt;""),'Atividades Micro'!$K104,"")</f>
        <v/>
      </c>
      <c r="BJ98" s="21" t="str">
        <f>IF(AND('Atividades Micro'!$B104=BJ$2,'Atividades Micro'!$G104="Macro",'Atividades Micro'!$K104&lt;&gt;""),'Atividades Micro'!$K104,"")</f>
        <v/>
      </c>
      <c r="BK98" s="21" t="str">
        <f>IF(AND('Atividades Micro'!$B104=BK$2,'Atividades Micro'!$G104="Macro",'Atividades Micro'!$K104&lt;&gt;""),'Atividades Micro'!$K104,"")</f>
        <v/>
      </c>
      <c r="BL98" s="21" t="str">
        <f>IF(AND('Atividades Micro'!$B104=BL$2,'Atividades Micro'!$G104="Macro",'Atividades Micro'!$K104&lt;&gt;""),'Atividades Micro'!$K104,"")</f>
        <v/>
      </c>
      <c r="BM98" s="21" t="str">
        <f>IF(AND('Atividades Micro'!$B104=BM$2,'Atividades Micro'!$G104="Macro",'Atividades Micro'!$K104&lt;&gt;""),'Atividades Micro'!$K104,"")</f>
        <v/>
      </c>
      <c r="BN98" s="21" t="str">
        <f>IF(AND('Atividades Micro'!$B104=BN$2,'Atividades Micro'!$G104="Macro",'Atividades Micro'!$K104&lt;&gt;""),'Atividades Micro'!$K104,"")</f>
        <v/>
      </c>
      <c r="BO98" s="21" t="str">
        <f>IF(AND('Atividades Micro'!$B104=BO$2,'Atividades Micro'!$G104="Macro",'Atividades Micro'!$K104&lt;&gt;""),'Atividades Micro'!$K104,"")</f>
        <v/>
      </c>
      <c r="BP98" s="21" t="str">
        <f>IF(AND('Atividades Micro'!$B104=BP$2,'Atividades Micro'!$G104="Macro",'Atividades Micro'!$K104&lt;&gt;""),'Atividades Micro'!$K104,"")</f>
        <v/>
      </c>
      <c r="BQ98" s="21" t="str">
        <f>IF(AND('Atividades Micro'!$B104=BQ$2,'Atividades Micro'!$G104="Macro",'Atividades Micro'!$K104&lt;&gt;""),'Atividades Micro'!$K104,"")</f>
        <v/>
      </c>
      <c r="BR98" s="21" t="str">
        <f>IF(AND('Atividades Micro'!$B104=BR$2,'Atividades Micro'!$G104="Macro",'Atividades Micro'!$K104&lt;&gt;""),'Atividades Micro'!$K104,"")</f>
        <v/>
      </c>
      <c r="BS98" s="21" t="str">
        <f>IF(AND('Atividades Micro'!$B104=BS$2,'Atividades Micro'!$G104="Macro",'Atividades Micro'!$K104&lt;&gt;""),'Atividades Micro'!$K104,"")</f>
        <v/>
      </c>
      <c r="BT98" s="21" t="str">
        <f>IF(AND('Atividades Micro'!$B104=BT$2,'Atividades Micro'!$G104="Macro",'Atividades Micro'!$K104&lt;&gt;""),'Atividades Micro'!$K104,"")</f>
        <v/>
      </c>
      <c r="BU98" s="21" t="str">
        <f>IF(AND('Atividades Micro'!$B104=BU$2,'Atividades Micro'!$G104="Macro",'Atividades Micro'!$K104&lt;&gt;""),'Atividades Micro'!$K104,"")</f>
        <v/>
      </c>
      <c r="BV98" s="21" t="str">
        <f>IF(AND('Atividades Micro'!$B104=BV$2,'Atividades Micro'!$G104="Macro",'Atividades Micro'!$K104&lt;&gt;""),'Atividades Micro'!$K104,"")</f>
        <v/>
      </c>
      <c r="BW98" s="21" t="str">
        <f>IF(AND('Atividades Micro'!$B104=BW$2,'Atividades Micro'!$G104="Macro",'Atividades Micro'!$K104&lt;&gt;""),'Atividades Micro'!$K104,"")</f>
        <v/>
      </c>
      <c r="BX98" s="21" t="str">
        <f>IF(AND('Atividades Micro'!$B104=BX$2,'Atividades Micro'!$G104="Macro",'Atividades Micro'!$K104&lt;&gt;""),'Atividades Micro'!$K104,"")</f>
        <v/>
      </c>
      <c r="BY98" s="21" t="str">
        <f>IF(AND('Atividades Micro'!$B104=BY$2,'Atividades Micro'!$G104="Macro",'Atividades Micro'!$K104&lt;&gt;""),'Atividades Micro'!$K104,"")</f>
        <v/>
      </c>
      <c r="BZ98" s="21" t="str">
        <f>IF(AND('Atividades Micro'!$B104=BZ$2,'Atividades Micro'!$G104="Macro",'Atividades Micro'!$K104&lt;&gt;""),'Atividades Micro'!$K104,"")</f>
        <v/>
      </c>
      <c r="CA98" s="21" t="str">
        <f>IF(AND('Atividades Micro'!$B104=CA$2,'Atividades Micro'!$G104="Macro",'Atividades Micro'!$K104&lt;&gt;""),'Atividades Micro'!$K104,"")</f>
        <v/>
      </c>
      <c r="CB98" s="21" t="str">
        <f>IF(AND('Atividades Micro'!$B104=CB$2,'Atividades Micro'!$G104="Macro",'Atividades Micro'!$K104&lt;&gt;""),'Atividades Micro'!$K104,"")</f>
        <v/>
      </c>
      <c r="CC98" s="21" t="str">
        <f>IF(AND('Atividades Micro'!$B104=CC$2,'Atividades Micro'!$G104="Macro",'Atividades Micro'!$K104&lt;&gt;""),'Atividades Micro'!$K104,"")</f>
        <v/>
      </c>
      <c r="CD98" s="21" t="str">
        <f>IF(AND('Atividades Micro'!$B104=CD$2,'Atividades Micro'!$G104="Micro",'Atividades Micro'!$K104&lt;&gt;""),'Atividades Micro'!$K104,"")</f>
        <v/>
      </c>
      <c r="CE98" s="21" t="str">
        <f>IF(AND('Atividades Micro'!$B104=CE$2,'Atividades Micro'!$G104="Micro",'Atividades Micro'!$K104&lt;&gt;""),'Atividades Micro'!$K104,"")</f>
        <v/>
      </c>
      <c r="CF98" s="21" t="str">
        <f>IF(AND('Atividades Micro'!$B104=CF$2,'Atividades Micro'!$G104="Micro",'Atividades Micro'!$K104&lt;&gt;""),'Atividades Micro'!$K104,"")</f>
        <v/>
      </c>
      <c r="CG98" s="21" t="str">
        <f>IF(AND('Atividades Micro'!$B104=CG$2,'Atividades Micro'!$G104="Micro",'Atividades Micro'!$K104&lt;&gt;""),'Atividades Micro'!$K104,"")</f>
        <v/>
      </c>
      <c r="CH98" s="21" t="str">
        <f>IF(AND('Atividades Micro'!$B104=CH$2,'Atividades Micro'!$G104="Micro",'Atividades Micro'!$K104&lt;&gt;""),'Atividades Micro'!$K104,"")</f>
        <v/>
      </c>
      <c r="CI98" s="21" t="str">
        <f>IF(AND('Atividades Micro'!$B104=CI$2,'Atividades Micro'!$G104="Micro",'Atividades Micro'!$K104&lt;&gt;""),'Atividades Micro'!$K104,"")</f>
        <v/>
      </c>
      <c r="CJ98" s="21" t="str">
        <f>IF(AND('Atividades Micro'!$B104=CJ$2,'Atividades Micro'!$G104="Micro",'Atividades Micro'!$K104&lt;&gt;""),'Atividades Micro'!$K104,"")</f>
        <v/>
      </c>
      <c r="CK98" s="21" t="str">
        <f>IF(AND('Atividades Micro'!$B104=CK$2,'Atividades Micro'!$G104="Micro",'Atividades Micro'!$K104&lt;&gt;""),'Atividades Micro'!$K104,"")</f>
        <v/>
      </c>
      <c r="CL98" s="21" t="str">
        <f>IF(AND('Atividades Micro'!$B104=CL$2,'Atividades Micro'!$G104="Micro",'Atividades Micro'!$K104&lt;&gt;""),'Atividades Micro'!$K104,"")</f>
        <v/>
      </c>
      <c r="CM98" s="21" t="str">
        <f>IF(AND('Atividades Micro'!$B104=CM$2,'Atividades Micro'!$G104="Micro",'Atividades Micro'!$K104&lt;&gt;""),'Atividades Micro'!$K104,"")</f>
        <v/>
      </c>
      <c r="CN98" s="21" t="str">
        <f>IF(AND('Atividades Micro'!$B104=CN$2,'Atividades Micro'!$G104="Micro",'Atividades Micro'!$K104&lt;&gt;""),'Atividades Micro'!$K104,"")</f>
        <v/>
      </c>
      <c r="CO98" s="21" t="str">
        <f>IF(AND('Atividades Micro'!$B104=CO$2,'Atividades Micro'!$G104="Micro",'Atividades Micro'!$K104&lt;&gt;""),'Atividades Micro'!$K104,"")</f>
        <v/>
      </c>
    </row>
    <row r="99" spans="1:93">
      <c r="A99" s="21" t="str">
        <f>IF(AND('Atividades Micro'!$A105=A$2,'Atividades Micro'!$K105&lt;&gt;""),'Atividades Micro'!$K105,"")</f>
        <v/>
      </c>
      <c r="B99" s="21" t="str">
        <f>IF(AND('Atividades Micro'!$A105=B$2,'Atividades Micro'!$L105&lt;&gt;""),'Atividades Micro'!$L105,"")</f>
        <v/>
      </c>
      <c r="C99" s="21" t="str">
        <f>IF(AND('Atividades Micro'!$A105=C$2,'Atividades Micro'!$K105&lt;&gt;""),'Atividades Micro'!$K105,"")</f>
        <v/>
      </c>
      <c r="D99" s="21" t="str">
        <f>IF(AND('Atividades Micro'!$A105=D$2,'Atividades Micro'!$L105&lt;&gt;""),'Atividades Micro'!$L105,"")</f>
        <v/>
      </c>
      <c r="E99" s="21" t="str">
        <f>IF(AND('Atividades Micro'!$A105=E$2,'Atividades Micro'!$K105&lt;&gt;""),'Atividades Micro'!$K105,"")</f>
        <v/>
      </c>
      <c r="F99" s="21" t="str">
        <f>IF(AND('Atividades Micro'!$A105=F$2,'Atividades Micro'!$L105&lt;&gt;""),'Atividades Micro'!$L105,"")</f>
        <v/>
      </c>
      <c r="G99" s="21" t="str">
        <f>IF(AND('Atividades Micro'!$A105=G$2,'Atividades Micro'!$K105&lt;&gt;""),'Atividades Micro'!$K105,"")</f>
        <v/>
      </c>
      <c r="H99" s="21" t="str">
        <f>IF(AND('Atividades Micro'!$A105=H$2,'Atividades Micro'!$L105&lt;&gt;""),'Atividades Micro'!$L105,"")</f>
        <v/>
      </c>
      <c r="I99" s="21" t="str">
        <f>IF(AND('Atividades Micro'!$A105=I$2,'Atividades Micro'!$K105&lt;&gt;""),'Atividades Micro'!$K105,"")</f>
        <v/>
      </c>
      <c r="J99" s="21" t="str">
        <f>IF(AND('Atividades Micro'!$A105=J$2,'Atividades Micro'!$L105&lt;&gt;""),'Atividades Micro'!$L105,"")</f>
        <v/>
      </c>
      <c r="K99" s="21" t="str">
        <f>IF(AND('Atividades Micro'!$B105=K$2,'Atividades Micro'!$K105&lt;&gt;""),'Atividades Micro'!$K105,"")</f>
        <v/>
      </c>
      <c r="L99" s="21" t="str">
        <f>IF(AND('Atividades Micro'!$B105=L$2,'Atividades Micro'!$L105&lt;&gt;""),'Atividades Micro'!$L105,"")</f>
        <v/>
      </c>
      <c r="M99" s="21" t="str">
        <f>IF(AND('Atividades Micro'!$B105=M$2,'Atividades Micro'!$K105&lt;&gt;""),'Atividades Micro'!$K105,"")</f>
        <v/>
      </c>
      <c r="N99" s="21" t="str">
        <f>IF(AND('Atividades Micro'!$B105=N$2,'Atividades Micro'!$L105&lt;&gt;""),'Atividades Micro'!$L105,"")</f>
        <v/>
      </c>
      <c r="O99" s="21" t="str">
        <f>IF(AND('Atividades Micro'!$A105=O$2,'Atividades Micro'!$K105&lt;&gt;""),'Atividades Micro'!$K105,"")</f>
        <v/>
      </c>
      <c r="P99" s="21" t="str">
        <f>IF(AND('Atividades Micro'!$A105=P$2,'Atividades Micro'!$L105&lt;&gt;""),'Atividades Micro'!$L105,"")</f>
        <v/>
      </c>
      <c r="Q99" s="21" t="str">
        <f>IF(AND('Atividades Micro'!$B105=Q$2,'Atividades Micro'!$K105&lt;&gt;""),'Atividades Micro'!$K105,"")</f>
        <v/>
      </c>
      <c r="R99" s="21" t="str">
        <f>IF(AND('Atividades Micro'!$B105=R$2,'Atividades Micro'!$L105&lt;&gt;""),'Atividades Micro'!$L105,"")</f>
        <v/>
      </c>
      <c r="S99" s="21" t="str">
        <f>IF(AND('Atividades Micro'!$A105=S$2,'Atividades Micro'!$K105&lt;&gt;""),'Atividades Micro'!$K105,"")</f>
        <v/>
      </c>
      <c r="T99" s="21" t="str">
        <f>IF(AND('Atividades Micro'!$A105=T$2,'Atividades Micro'!$L105&lt;&gt;""),'Atividades Micro'!$L105,"")</f>
        <v/>
      </c>
      <c r="U99" s="21" t="str">
        <f>IF(AND('Atividades Micro'!$B105=U$2,'Atividades Micro'!$K105&lt;&gt;""),'Atividades Micro'!$K105,"")</f>
        <v/>
      </c>
      <c r="V99" s="21" t="str">
        <f>IF(AND('Atividades Micro'!$B105=V$2,'Atividades Micro'!$L105&lt;&gt;""),'Atividades Micro'!$L105,"")</f>
        <v/>
      </c>
      <c r="W99" s="21" t="str">
        <f>IF(AND('Atividades Micro'!$B105=W$2,'Atividades Micro'!$K105&lt;&gt;""),'Atividades Micro'!$K105,"")</f>
        <v/>
      </c>
      <c r="X99" s="21" t="str">
        <f>IF(AND('Atividades Micro'!$B105=X$2,'Atividades Micro'!$L105&lt;&gt;""),'Atividades Micro'!$L105,"")</f>
        <v/>
      </c>
      <c r="Y99" s="21" t="str">
        <f>IF(AND('Atividades Micro'!$A105=Y$2,'Atividades Micro'!$K105&lt;&gt;""),'Atividades Micro'!$K105,"")</f>
        <v/>
      </c>
      <c r="Z99" s="21" t="str">
        <f>IF(AND('Atividades Micro'!$A105=Z$2,'Atividades Micro'!$L105&lt;&gt;""),'Atividades Micro'!$L105,"")</f>
        <v/>
      </c>
      <c r="AA99" s="21" t="str">
        <f>IF(AND('Atividades Micro'!$B105=AA$2,'Atividades Micro'!$K105&lt;&gt;""),'Atividades Micro'!$K105,"")</f>
        <v/>
      </c>
      <c r="AB99" s="21" t="str">
        <f>IF(AND('Atividades Micro'!$B105=AB$2,'Atividades Micro'!$L105&lt;&gt;""),'Atividades Micro'!$L105,"")</f>
        <v/>
      </c>
      <c r="AC99" s="21" t="str">
        <f>IF(AND('Atividades Micro'!$B105=AC$2,'Atividades Micro'!$K105&lt;&gt;""),'Atividades Micro'!$K105,"")</f>
        <v/>
      </c>
      <c r="AD99" s="21" t="str">
        <f>IF(AND('Atividades Micro'!$B105=AD$2,'Atividades Micro'!$L105&lt;&gt;""),'Atividades Micro'!$L105,"")</f>
        <v/>
      </c>
      <c r="AE99" s="21" t="str">
        <f>IF(AND('Atividades Micro'!$A105=AE$2,'Atividades Micro'!$K105&lt;&gt;""),'Atividades Micro'!$K105,"")</f>
        <v/>
      </c>
      <c r="AF99" s="21" t="str">
        <f>IF(AND('Atividades Micro'!$A105=AF$2,'Atividades Micro'!$L105&lt;&gt;""),'Atividades Micro'!$L105,"")</f>
        <v/>
      </c>
      <c r="AG99" s="21" t="str">
        <f>IF(AND('Atividades Micro'!$B105=AG$2,'Atividades Micro'!$K105&lt;&gt;""),'Atividades Micro'!$K105,"")</f>
        <v/>
      </c>
      <c r="AH99" s="21" t="str">
        <f>IF(AND('Atividades Micro'!$B105=AH$2,'Atividades Micro'!$L105&lt;&gt;""),'Atividades Micro'!$L105,"")</f>
        <v/>
      </c>
      <c r="AI99" s="21" t="str">
        <f>IF(AND('Atividades Micro'!$B105=AI$2,'Atividades Micro'!$K105&lt;&gt;""),'Atividades Micro'!$K105,"")</f>
        <v/>
      </c>
      <c r="AJ99" s="21" t="str">
        <f>IF(AND('Atividades Micro'!$B105=AJ$2,'Atividades Micro'!$L105&lt;&gt;""),'Atividades Micro'!$L105,"")</f>
        <v/>
      </c>
      <c r="AK99" s="21" t="str">
        <f>IF(AND('Atividades Micro'!$A105=AK$2,'Atividades Micro'!$K105&lt;&gt;""),'Atividades Micro'!$K105,"")</f>
        <v/>
      </c>
      <c r="AL99" s="21" t="str">
        <f>IF(AND('Atividades Micro'!$A105=AL$2,'Atividades Micro'!$L105&lt;&gt;""),'Atividades Micro'!$L105,"")</f>
        <v/>
      </c>
      <c r="AM99" s="21" t="str">
        <f>IF(AND('Atividades Micro'!$B105=AM$2,'Atividades Micro'!$K105&lt;&gt;""),'Atividades Micro'!$K105,"")</f>
        <v/>
      </c>
      <c r="AN99" s="21" t="str">
        <f>IF(AND('Atividades Micro'!$B105=AN$2,'Atividades Micro'!$L105&lt;&gt;""),'Atividades Micro'!$L105,"")</f>
        <v/>
      </c>
      <c r="AO99" s="21" t="str">
        <f>IF(AND('Atividades Micro'!$B105=AO$2,'Atividades Micro'!$K105&lt;&gt;""),'Atividades Micro'!$K105,"")</f>
        <v/>
      </c>
      <c r="AP99" s="21" t="str">
        <f>IF(AND('Atividades Micro'!$B105=AP$2,'Atividades Micro'!$L105&lt;&gt;""),'Atividades Micro'!$L105,"")</f>
        <v/>
      </c>
      <c r="AQ99" s="21" t="str">
        <f>IF(AND('Atividades Micro'!$A105=AQ$2,'Atividades Micro'!$K105&lt;&gt;""),'Atividades Micro'!$K105,"")</f>
        <v/>
      </c>
      <c r="AR99" s="21" t="str">
        <f>IF(AND('Atividades Micro'!$A105=AR$2,'Atividades Micro'!$L105&lt;&gt;""),'Atividades Micro'!$L105,"")</f>
        <v/>
      </c>
      <c r="AS99" s="21" t="str">
        <f>IF(AND('Atividades Micro'!$B105=AS$2,'Atividades Micro'!$K105&lt;&gt;""),'Atividades Micro'!$K105,"")</f>
        <v/>
      </c>
      <c r="AT99" s="21" t="str">
        <f>IF(AND('Atividades Micro'!$B105=AT$2,'Atividades Micro'!$L105&lt;&gt;""),'Atividades Micro'!$L105,"")</f>
        <v/>
      </c>
      <c r="AU99" s="21" t="str">
        <f>IF(AND('Atividades Micro'!$A105=AU$2,'Atividades Micro'!$K105&lt;&gt;""),'Atividades Micro'!$K105,"")</f>
        <v/>
      </c>
      <c r="AV99" s="21" t="str">
        <f>IF(AND('Atividades Micro'!$A105=AV$2,'Atividades Micro'!$L105&lt;&gt;""),'Atividades Micro'!$L105,"")</f>
        <v/>
      </c>
      <c r="AW99" s="21" t="str">
        <f>IF(AND('Atividades Micro'!$B105=AW$2,'Atividades Micro'!$K105&lt;&gt;""),'Atividades Micro'!$K105,"")</f>
        <v/>
      </c>
      <c r="AX99" s="21" t="str">
        <f>IF(AND('Atividades Micro'!$B105=AX$2,'Atividades Micro'!$L105&lt;&gt;""),'Atividades Micro'!$L105,"")</f>
        <v/>
      </c>
      <c r="AY99" s="21" t="str">
        <f>IF(AND('Atividades Micro'!$A105=AY$2,'Atividades Micro'!$K105&lt;&gt;""),'Atividades Micro'!$K105,"")</f>
        <v/>
      </c>
      <c r="AZ99" s="21" t="str">
        <f>IF(AND('Atividades Micro'!$A105=AZ$2,'Atividades Micro'!$L105&lt;&gt;""),'Atividades Micro'!$L105,"")</f>
        <v/>
      </c>
      <c r="BA99" s="21" t="str">
        <f>IF(AND('Atividades Micro'!$B105=BA$2,'Atividades Micro'!$K105&lt;&gt;""),'Atividades Micro'!$K105,"")</f>
        <v/>
      </c>
      <c r="BB99" s="21" t="str">
        <f>IF(AND('Atividades Micro'!$B105=BB$2,'Atividades Micro'!$L105&lt;&gt;""),'Atividades Micro'!$L105,"")</f>
        <v/>
      </c>
      <c r="BC99" s="21" t="str">
        <f>IF(AND('Atividades Micro'!$B105=BC$2,'Atividades Micro'!$G105="Macro",'Atividades Micro'!$K105&lt;&gt;""),'Atividades Micro'!$K105,"")</f>
        <v/>
      </c>
      <c r="BD99" s="21" t="str">
        <f>IF(AND('Atividades Micro'!$B105=BD$2,'Atividades Micro'!$G105="Macro",'Atividades Micro'!$K105&lt;&gt;""),'Atividades Micro'!$K105,"")</f>
        <v/>
      </c>
      <c r="BE99" s="21" t="str">
        <f>IF(AND('Atividades Micro'!$B105=BE$2,'Atividades Micro'!$G105="Macro",'Atividades Micro'!$K105&lt;&gt;""),'Atividades Micro'!$K105,"")</f>
        <v/>
      </c>
      <c r="BF99" s="21" t="str">
        <f>IF(AND('Atividades Micro'!$B105=BF$2,'Atividades Micro'!$G105="Macro",'Atividades Micro'!$K105&lt;&gt;""),'Atividades Micro'!$K105,"")</f>
        <v/>
      </c>
      <c r="BG99" s="21" t="str">
        <f>IF(AND('Atividades Micro'!$B105=BG$2,'Atividades Micro'!$G105="Macro",'Atividades Micro'!$K105&lt;&gt;""),'Atividades Micro'!$K105,"")</f>
        <v/>
      </c>
      <c r="BH99" s="21" t="str">
        <f>IF(AND('Atividades Micro'!$B105=BH$2,'Atividades Micro'!$G105="Macro",'Atividades Micro'!$K105&lt;&gt;""),'Atividades Micro'!$K105,"")</f>
        <v/>
      </c>
      <c r="BI99" s="21" t="str">
        <f>IF(AND('Atividades Micro'!$B105=BI$2,'Atividades Micro'!$G105="Macro",'Atividades Micro'!$K105&lt;&gt;""),'Atividades Micro'!$K105,"")</f>
        <v/>
      </c>
      <c r="BJ99" s="21" t="str">
        <f>IF(AND('Atividades Micro'!$B105=BJ$2,'Atividades Micro'!$G105="Macro",'Atividades Micro'!$K105&lt;&gt;""),'Atividades Micro'!$K105,"")</f>
        <v/>
      </c>
      <c r="BK99" s="21" t="str">
        <f>IF(AND('Atividades Micro'!$B105=BK$2,'Atividades Micro'!$G105="Macro",'Atividades Micro'!$K105&lt;&gt;""),'Atividades Micro'!$K105,"")</f>
        <v/>
      </c>
      <c r="BL99" s="21" t="str">
        <f>IF(AND('Atividades Micro'!$B105=BL$2,'Atividades Micro'!$G105="Macro",'Atividades Micro'!$K105&lt;&gt;""),'Atividades Micro'!$K105,"")</f>
        <v/>
      </c>
      <c r="BM99" s="21" t="str">
        <f>IF(AND('Atividades Micro'!$B105=BM$2,'Atividades Micro'!$G105="Macro",'Atividades Micro'!$K105&lt;&gt;""),'Atividades Micro'!$K105,"")</f>
        <v/>
      </c>
      <c r="BN99" s="21" t="str">
        <f>IF(AND('Atividades Micro'!$B105=BN$2,'Atividades Micro'!$G105="Macro",'Atividades Micro'!$K105&lt;&gt;""),'Atividades Micro'!$K105,"")</f>
        <v/>
      </c>
      <c r="BO99" s="21" t="str">
        <f>IF(AND('Atividades Micro'!$B105=BO$2,'Atividades Micro'!$G105="Macro",'Atividades Micro'!$K105&lt;&gt;""),'Atividades Micro'!$K105,"")</f>
        <v/>
      </c>
      <c r="BP99" s="21" t="str">
        <f>IF(AND('Atividades Micro'!$B105=BP$2,'Atividades Micro'!$G105="Macro",'Atividades Micro'!$K105&lt;&gt;""),'Atividades Micro'!$K105,"")</f>
        <v/>
      </c>
      <c r="BQ99" s="21" t="str">
        <f>IF(AND('Atividades Micro'!$B105=BQ$2,'Atividades Micro'!$G105="Macro",'Atividades Micro'!$K105&lt;&gt;""),'Atividades Micro'!$K105,"")</f>
        <v/>
      </c>
      <c r="BR99" s="21" t="str">
        <f>IF(AND('Atividades Micro'!$B105=BR$2,'Atividades Micro'!$G105="Macro",'Atividades Micro'!$K105&lt;&gt;""),'Atividades Micro'!$K105,"")</f>
        <v/>
      </c>
      <c r="BS99" s="21" t="str">
        <f>IF(AND('Atividades Micro'!$B105=BS$2,'Atividades Micro'!$G105="Macro",'Atividades Micro'!$K105&lt;&gt;""),'Atividades Micro'!$K105,"")</f>
        <v/>
      </c>
      <c r="BT99" s="21" t="str">
        <f>IF(AND('Atividades Micro'!$B105=BT$2,'Atividades Micro'!$G105="Macro",'Atividades Micro'!$K105&lt;&gt;""),'Atividades Micro'!$K105,"")</f>
        <v/>
      </c>
      <c r="BU99" s="21" t="str">
        <f>IF(AND('Atividades Micro'!$B105=BU$2,'Atividades Micro'!$G105="Macro",'Atividades Micro'!$K105&lt;&gt;""),'Atividades Micro'!$K105,"")</f>
        <v/>
      </c>
      <c r="BV99" s="21" t="str">
        <f>IF(AND('Atividades Micro'!$B105=BV$2,'Atividades Micro'!$G105="Macro",'Atividades Micro'!$K105&lt;&gt;""),'Atividades Micro'!$K105,"")</f>
        <v/>
      </c>
      <c r="BW99" s="21" t="str">
        <f>IF(AND('Atividades Micro'!$B105=BW$2,'Atividades Micro'!$G105="Macro",'Atividades Micro'!$K105&lt;&gt;""),'Atividades Micro'!$K105,"")</f>
        <v/>
      </c>
      <c r="BX99" s="21" t="str">
        <f>IF(AND('Atividades Micro'!$B105=BX$2,'Atividades Micro'!$G105="Macro",'Atividades Micro'!$K105&lt;&gt;""),'Atividades Micro'!$K105,"")</f>
        <v/>
      </c>
      <c r="BY99" s="21" t="str">
        <f>IF(AND('Atividades Micro'!$B105=BY$2,'Atividades Micro'!$G105="Macro",'Atividades Micro'!$K105&lt;&gt;""),'Atividades Micro'!$K105,"")</f>
        <v/>
      </c>
      <c r="BZ99" s="21" t="str">
        <f>IF(AND('Atividades Micro'!$B105=BZ$2,'Atividades Micro'!$G105="Macro",'Atividades Micro'!$K105&lt;&gt;""),'Atividades Micro'!$K105,"")</f>
        <v/>
      </c>
      <c r="CA99" s="21" t="str">
        <f>IF(AND('Atividades Micro'!$B105=CA$2,'Atividades Micro'!$G105="Macro",'Atividades Micro'!$K105&lt;&gt;""),'Atividades Micro'!$K105,"")</f>
        <v/>
      </c>
      <c r="CB99" s="21" t="str">
        <f>IF(AND('Atividades Micro'!$B105=CB$2,'Atividades Micro'!$G105="Macro",'Atividades Micro'!$K105&lt;&gt;""),'Atividades Micro'!$K105,"")</f>
        <v/>
      </c>
      <c r="CC99" s="21" t="str">
        <f>IF(AND('Atividades Micro'!$B105=CC$2,'Atividades Micro'!$G105="Macro",'Atividades Micro'!$K105&lt;&gt;""),'Atividades Micro'!$K105,"")</f>
        <v/>
      </c>
      <c r="CD99" s="21" t="str">
        <f>IF(AND('Atividades Micro'!$B105=CD$2,'Atividades Micro'!$G105="Micro",'Atividades Micro'!$K105&lt;&gt;""),'Atividades Micro'!$K105,"")</f>
        <v/>
      </c>
      <c r="CE99" s="21" t="str">
        <f>IF(AND('Atividades Micro'!$B105=CE$2,'Atividades Micro'!$G105="Micro",'Atividades Micro'!$K105&lt;&gt;""),'Atividades Micro'!$K105,"")</f>
        <v/>
      </c>
      <c r="CF99" s="21" t="str">
        <f>IF(AND('Atividades Micro'!$B105=CF$2,'Atividades Micro'!$G105="Micro",'Atividades Micro'!$K105&lt;&gt;""),'Atividades Micro'!$K105,"")</f>
        <v/>
      </c>
      <c r="CG99" s="21" t="str">
        <f>IF(AND('Atividades Micro'!$B105=CG$2,'Atividades Micro'!$G105="Micro",'Atividades Micro'!$K105&lt;&gt;""),'Atividades Micro'!$K105,"")</f>
        <v/>
      </c>
      <c r="CH99" s="21" t="str">
        <f>IF(AND('Atividades Micro'!$B105=CH$2,'Atividades Micro'!$G105="Micro",'Atividades Micro'!$K105&lt;&gt;""),'Atividades Micro'!$K105,"")</f>
        <v/>
      </c>
      <c r="CI99" s="21" t="str">
        <f>IF(AND('Atividades Micro'!$B105=CI$2,'Atividades Micro'!$G105="Micro",'Atividades Micro'!$K105&lt;&gt;""),'Atividades Micro'!$K105,"")</f>
        <v/>
      </c>
      <c r="CJ99" s="21" t="str">
        <f>IF(AND('Atividades Micro'!$B105=CJ$2,'Atividades Micro'!$G105="Micro",'Atividades Micro'!$K105&lt;&gt;""),'Atividades Micro'!$K105,"")</f>
        <v/>
      </c>
      <c r="CK99" s="21" t="str">
        <f>IF(AND('Atividades Micro'!$B105=CK$2,'Atividades Micro'!$G105="Micro",'Atividades Micro'!$K105&lt;&gt;""),'Atividades Micro'!$K105,"")</f>
        <v/>
      </c>
      <c r="CL99" s="21" t="str">
        <f>IF(AND('Atividades Micro'!$B105=CL$2,'Atividades Micro'!$G105="Micro",'Atividades Micro'!$K105&lt;&gt;""),'Atividades Micro'!$K105,"")</f>
        <v/>
      </c>
      <c r="CM99" s="21" t="str">
        <f>IF(AND('Atividades Micro'!$B105=CM$2,'Atividades Micro'!$G105="Micro",'Atividades Micro'!$K105&lt;&gt;""),'Atividades Micro'!$K105,"")</f>
        <v/>
      </c>
      <c r="CN99" s="21" t="str">
        <f>IF(AND('Atividades Micro'!$B105=CN$2,'Atividades Micro'!$G105="Micro",'Atividades Micro'!$K105&lt;&gt;""),'Atividades Micro'!$K105,"")</f>
        <v/>
      </c>
      <c r="CO99" s="21" t="str">
        <f>IF(AND('Atividades Micro'!$B105=CO$2,'Atividades Micro'!$G105="Micro",'Atividades Micro'!$K105&lt;&gt;""),'Atividades Micro'!$K105,"")</f>
        <v/>
      </c>
    </row>
    <row r="100" spans="1:93">
      <c r="A100" s="21" t="str">
        <f>IF(AND('Atividades Micro'!$A106=A$2,'Atividades Micro'!$K106&lt;&gt;""),'Atividades Micro'!$K106,"")</f>
        <v/>
      </c>
      <c r="B100" s="21" t="str">
        <f>IF(AND('Atividades Micro'!$A106=B$2,'Atividades Micro'!$L106&lt;&gt;""),'Atividades Micro'!$L106,"")</f>
        <v/>
      </c>
      <c r="C100" s="21" t="str">
        <f>IF(AND('Atividades Micro'!$A106=C$2,'Atividades Micro'!$K106&lt;&gt;""),'Atividades Micro'!$K106,"")</f>
        <v/>
      </c>
      <c r="D100" s="21" t="str">
        <f>IF(AND('Atividades Micro'!$A106=D$2,'Atividades Micro'!$L106&lt;&gt;""),'Atividades Micro'!$L106,"")</f>
        <v/>
      </c>
      <c r="E100" s="21" t="str">
        <f>IF(AND('Atividades Micro'!$A106=E$2,'Atividades Micro'!$K106&lt;&gt;""),'Atividades Micro'!$K106,"")</f>
        <v/>
      </c>
      <c r="F100" s="21" t="str">
        <f>IF(AND('Atividades Micro'!$A106=F$2,'Atividades Micro'!$L106&lt;&gt;""),'Atividades Micro'!$L106,"")</f>
        <v/>
      </c>
      <c r="G100" s="21" t="str">
        <f>IF(AND('Atividades Micro'!$A106=G$2,'Atividades Micro'!$K106&lt;&gt;""),'Atividades Micro'!$K106,"")</f>
        <v/>
      </c>
      <c r="H100" s="21" t="str">
        <f>IF(AND('Atividades Micro'!$A106=H$2,'Atividades Micro'!$L106&lt;&gt;""),'Atividades Micro'!$L106,"")</f>
        <v/>
      </c>
      <c r="I100" s="21" t="str">
        <f>IF(AND('Atividades Micro'!$A106=I$2,'Atividades Micro'!$K106&lt;&gt;""),'Atividades Micro'!$K106,"")</f>
        <v/>
      </c>
      <c r="J100" s="21" t="str">
        <f>IF(AND('Atividades Micro'!$A106=J$2,'Atividades Micro'!$L106&lt;&gt;""),'Atividades Micro'!$L106,"")</f>
        <v/>
      </c>
      <c r="K100" s="21" t="str">
        <f>IF(AND('Atividades Micro'!$B106=K$2,'Atividades Micro'!$K106&lt;&gt;""),'Atividades Micro'!$K106,"")</f>
        <v/>
      </c>
      <c r="L100" s="21" t="str">
        <f>IF(AND('Atividades Micro'!$B106=L$2,'Atividades Micro'!$L106&lt;&gt;""),'Atividades Micro'!$L106,"")</f>
        <v/>
      </c>
      <c r="M100" s="21" t="str">
        <f>IF(AND('Atividades Micro'!$B106=M$2,'Atividades Micro'!$K106&lt;&gt;""),'Atividades Micro'!$K106,"")</f>
        <v/>
      </c>
      <c r="N100" s="21" t="str">
        <f>IF(AND('Atividades Micro'!$B106=N$2,'Atividades Micro'!$L106&lt;&gt;""),'Atividades Micro'!$L106,"")</f>
        <v/>
      </c>
      <c r="O100" s="21" t="str">
        <f>IF(AND('Atividades Micro'!$A106=O$2,'Atividades Micro'!$K106&lt;&gt;""),'Atividades Micro'!$K106,"")</f>
        <v/>
      </c>
      <c r="P100" s="21" t="str">
        <f>IF(AND('Atividades Micro'!$A106=P$2,'Atividades Micro'!$L106&lt;&gt;""),'Atividades Micro'!$L106,"")</f>
        <v/>
      </c>
      <c r="Q100" s="21" t="str">
        <f>IF(AND('Atividades Micro'!$B106=Q$2,'Atividades Micro'!$K106&lt;&gt;""),'Atividades Micro'!$K106,"")</f>
        <v/>
      </c>
      <c r="R100" s="21" t="str">
        <f>IF(AND('Atividades Micro'!$B106=R$2,'Atividades Micro'!$L106&lt;&gt;""),'Atividades Micro'!$L106,"")</f>
        <v/>
      </c>
      <c r="S100" s="21" t="str">
        <f>IF(AND('Atividades Micro'!$A106=S$2,'Atividades Micro'!$K106&lt;&gt;""),'Atividades Micro'!$K106,"")</f>
        <v/>
      </c>
      <c r="T100" s="21" t="str">
        <f>IF(AND('Atividades Micro'!$A106=T$2,'Atividades Micro'!$L106&lt;&gt;""),'Atividades Micro'!$L106,"")</f>
        <v/>
      </c>
      <c r="U100" s="21" t="str">
        <f>IF(AND('Atividades Micro'!$B106=U$2,'Atividades Micro'!$K106&lt;&gt;""),'Atividades Micro'!$K106,"")</f>
        <v/>
      </c>
      <c r="V100" s="21" t="str">
        <f>IF(AND('Atividades Micro'!$B106=V$2,'Atividades Micro'!$L106&lt;&gt;""),'Atividades Micro'!$L106,"")</f>
        <v/>
      </c>
      <c r="W100" s="21" t="str">
        <f>IF(AND('Atividades Micro'!$B106=W$2,'Atividades Micro'!$K106&lt;&gt;""),'Atividades Micro'!$K106,"")</f>
        <v/>
      </c>
      <c r="X100" s="21" t="str">
        <f>IF(AND('Atividades Micro'!$B106=X$2,'Atividades Micro'!$L106&lt;&gt;""),'Atividades Micro'!$L106,"")</f>
        <v/>
      </c>
      <c r="Y100" s="21" t="str">
        <f>IF(AND('Atividades Micro'!$A106=Y$2,'Atividades Micro'!$K106&lt;&gt;""),'Atividades Micro'!$K106,"")</f>
        <v/>
      </c>
      <c r="Z100" s="21" t="str">
        <f>IF(AND('Atividades Micro'!$A106=Z$2,'Atividades Micro'!$L106&lt;&gt;""),'Atividades Micro'!$L106,"")</f>
        <v/>
      </c>
      <c r="AA100" s="21" t="str">
        <f>IF(AND('Atividades Micro'!$B106=AA$2,'Atividades Micro'!$K106&lt;&gt;""),'Atividades Micro'!$K106,"")</f>
        <v/>
      </c>
      <c r="AB100" s="21" t="str">
        <f>IF(AND('Atividades Micro'!$B106=AB$2,'Atividades Micro'!$L106&lt;&gt;""),'Atividades Micro'!$L106,"")</f>
        <v/>
      </c>
      <c r="AC100" s="21" t="str">
        <f>IF(AND('Atividades Micro'!$B106=AC$2,'Atividades Micro'!$K106&lt;&gt;""),'Atividades Micro'!$K106,"")</f>
        <v/>
      </c>
      <c r="AD100" s="21" t="str">
        <f>IF(AND('Atividades Micro'!$B106=AD$2,'Atividades Micro'!$L106&lt;&gt;""),'Atividades Micro'!$L106,"")</f>
        <v/>
      </c>
      <c r="AE100" s="21" t="str">
        <f>IF(AND('Atividades Micro'!$A106=AE$2,'Atividades Micro'!$K106&lt;&gt;""),'Atividades Micro'!$K106,"")</f>
        <v/>
      </c>
      <c r="AF100" s="21" t="str">
        <f>IF(AND('Atividades Micro'!$A106=AF$2,'Atividades Micro'!$L106&lt;&gt;""),'Atividades Micro'!$L106,"")</f>
        <v/>
      </c>
      <c r="AG100" s="21" t="str">
        <f>IF(AND('Atividades Micro'!$B106=AG$2,'Atividades Micro'!$K106&lt;&gt;""),'Atividades Micro'!$K106,"")</f>
        <v/>
      </c>
      <c r="AH100" s="21" t="str">
        <f>IF(AND('Atividades Micro'!$B106=AH$2,'Atividades Micro'!$L106&lt;&gt;""),'Atividades Micro'!$L106,"")</f>
        <v/>
      </c>
      <c r="AI100" s="21" t="str">
        <f>IF(AND('Atividades Micro'!$B106=AI$2,'Atividades Micro'!$K106&lt;&gt;""),'Atividades Micro'!$K106,"")</f>
        <v/>
      </c>
      <c r="AJ100" s="21" t="str">
        <f>IF(AND('Atividades Micro'!$B106=AJ$2,'Atividades Micro'!$L106&lt;&gt;""),'Atividades Micro'!$L106,"")</f>
        <v/>
      </c>
      <c r="AK100" s="21" t="str">
        <f>IF(AND('Atividades Micro'!$A106=AK$2,'Atividades Micro'!$K106&lt;&gt;""),'Atividades Micro'!$K106,"")</f>
        <v/>
      </c>
      <c r="AL100" s="21" t="str">
        <f>IF(AND('Atividades Micro'!$A106=AL$2,'Atividades Micro'!$L106&lt;&gt;""),'Atividades Micro'!$L106,"")</f>
        <v/>
      </c>
      <c r="AM100" s="21" t="str">
        <f>IF(AND('Atividades Micro'!$B106=AM$2,'Atividades Micro'!$K106&lt;&gt;""),'Atividades Micro'!$K106,"")</f>
        <v/>
      </c>
      <c r="AN100" s="21" t="str">
        <f>IF(AND('Atividades Micro'!$B106=AN$2,'Atividades Micro'!$L106&lt;&gt;""),'Atividades Micro'!$L106,"")</f>
        <v/>
      </c>
      <c r="AO100" s="21" t="str">
        <f>IF(AND('Atividades Micro'!$B106=AO$2,'Atividades Micro'!$K106&lt;&gt;""),'Atividades Micro'!$K106,"")</f>
        <v/>
      </c>
      <c r="AP100" s="21" t="str">
        <f>IF(AND('Atividades Micro'!$B106=AP$2,'Atividades Micro'!$L106&lt;&gt;""),'Atividades Micro'!$L106,"")</f>
        <v/>
      </c>
      <c r="AQ100" s="21" t="str">
        <f>IF(AND('Atividades Micro'!$A106=AQ$2,'Atividades Micro'!$K106&lt;&gt;""),'Atividades Micro'!$K106,"")</f>
        <v/>
      </c>
      <c r="AR100" s="21" t="str">
        <f>IF(AND('Atividades Micro'!$A106=AR$2,'Atividades Micro'!$L106&lt;&gt;""),'Atividades Micro'!$L106,"")</f>
        <v/>
      </c>
      <c r="AS100" s="21" t="str">
        <f>IF(AND('Atividades Micro'!$B106=AS$2,'Atividades Micro'!$K106&lt;&gt;""),'Atividades Micro'!$K106,"")</f>
        <v/>
      </c>
      <c r="AT100" s="21" t="str">
        <f>IF(AND('Atividades Micro'!$B106=AT$2,'Atividades Micro'!$L106&lt;&gt;""),'Atividades Micro'!$L106,"")</f>
        <v/>
      </c>
      <c r="AU100" s="21" t="str">
        <f>IF(AND('Atividades Micro'!$A106=AU$2,'Atividades Micro'!$K106&lt;&gt;""),'Atividades Micro'!$K106,"")</f>
        <v/>
      </c>
      <c r="AV100" s="21" t="str">
        <f>IF(AND('Atividades Micro'!$A106=AV$2,'Atividades Micro'!$L106&lt;&gt;""),'Atividades Micro'!$L106,"")</f>
        <v/>
      </c>
      <c r="AW100" s="21" t="str">
        <f>IF(AND('Atividades Micro'!$B106=AW$2,'Atividades Micro'!$K106&lt;&gt;""),'Atividades Micro'!$K106,"")</f>
        <v/>
      </c>
      <c r="AX100" s="21" t="str">
        <f>IF(AND('Atividades Micro'!$B106=AX$2,'Atividades Micro'!$L106&lt;&gt;""),'Atividades Micro'!$L106,"")</f>
        <v/>
      </c>
      <c r="AY100" s="21" t="str">
        <f>IF(AND('Atividades Micro'!$A106=AY$2,'Atividades Micro'!$K106&lt;&gt;""),'Atividades Micro'!$K106,"")</f>
        <v/>
      </c>
      <c r="AZ100" s="21" t="str">
        <f>IF(AND('Atividades Micro'!$A106=AZ$2,'Atividades Micro'!$L106&lt;&gt;""),'Atividades Micro'!$L106,"")</f>
        <v/>
      </c>
      <c r="BA100" s="21" t="str">
        <f>IF(AND('Atividades Micro'!$B106=BA$2,'Atividades Micro'!$K106&lt;&gt;""),'Atividades Micro'!$K106,"")</f>
        <v/>
      </c>
      <c r="BB100" s="21" t="str">
        <f>IF(AND('Atividades Micro'!$B106=BB$2,'Atividades Micro'!$L106&lt;&gt;""),'Atividades Micro'!$L106,"")</f>
        <v/>
      </c>
      <c r="BC100" s="21" t="str">
        <f>IF(AND('Atividades Micro'!$B106=BC$2,'Atividades Micro'!$G106="Macro",'Atividades Micro'!$K106&lt;&gt;""),'Atividades Micro'!$K106,"")</f>
        <v/>
      </c>
      <c r="BD100" s="21" t="str">
        <f>IF(AND('Atividades Micro'!$B106=BD$2,'Atividades Micro'!$G106="Macro",'Atividades Micro'!$K106&lt;&gt;""),'Atividades Micro'!$K106,"")</f>
        <v/>
      </c>
      <c r="BE100" s="21" t="str">
        <f>IF(AND('Atividades Micro'!$B106=BE$2,'Atividades Micro'!$G106="Macro",'Atividades Micro'!$K106&lt;&gt;""),'Atividades Micro'!$K106,"")</f>
        <v/>
      </c>
      <c r="BF100" s="21" t="str">
        <f>IF(AND('Atividades Micro'!$B106=BF$2,'Atividades Micro'!$G106="Macro",'Atividades Micro'!$K106&lt;&gt;""),'Atividades Micro'!$K106,"")</f>
        <v/>
      </c>
      <c r="BG100" s="21" t="str">
        <f>IF(AND('Atividades Micro'!$B106=BG$2,'Atividades Micro'!$G106="Macro",'Atividades Micro'!$K106&lt;&gt;""),'Atividades Micro'!$K106,"")</f>
        <v/>
      </c>
      <c r="BH100" s="21" t="str">
        <f>IF(AND('Atividades Micro'!$B106=BH$2,'Atividades Micro'!$G106="Macro",'Atividades Micro'!$K106&lt;&gt;""),'Atividades Micro'!$K106,"")</f>
        <v/>
      </c>
      <c r="BI100" s="21" t="str">
        <f>IF(AND('Atividades Micro'!$B106=BI$2,'Atividades Micro'!$G106="Macro",'Atividades Micro'!$K106&lt;&gt;""),'Atividades Micro'!$K106,"")</f>
        <v/>
      </c>
      <c r="BJ100" s="21" t="str">
        <f>IF(AND('Atividades Micro'!$B106=BJ$2,'Atividades Micro'!$G106="Macro",'Atividades Micro'!$K106&lt;&gt;""),'Atividades Micro'!$K106,"")</f>
        <v/>
      </c>
      <c r="BK100" s="21" t="str">
        <f>IF(AND('Atividades Micro'!$B106=BK$2,'Atividades Micro'!$G106="Macro",'Atividades Micro'!$K106&lt;&gt;""),'Atividades Micro'!$K106,"")</f>
        <v/>
      </c>
      <c r="BL100" s="21" t="str">
        <f>IF(AND('Atividades Micro'!$B106=BL$2,'Atividades Micro'!$G106="Macro",'Atividades Micro'!$K106&lt;&gt;""),'Atividades Micro'!$K106,"")</f>
        <v/>
      </c>
      <c r="BM100" s="21" t="str">
        <f>IF(AND('Atividades Micro'!$B106=BM$2,'Atividades Micro'!$G106="Macro",'Atividades Micro'!$K106&lt;&gt;""),'Atividades Micro'!$K106,"")</f>
        <v/>
      </c>
      <c r="BN100" s="21" t="str">
        <f>IF(AND('Atividades Micro'!$B106=BN$2,'Atividades Micro'!$G106="Macro",'Atividades Micro'!$K106&lt;&gt;""),'Atividades Micro'!$K106,"")</f>
        <v/>
      </c>
      <c r="BO100" s="21" t="str">
        <f>IF(AND('Atividades Micro'!$B106=BO$2,'Atividades Micro'!$G106="Macro",'Atividades Micro'!$K106&lt;&gt;""),'Atividades Micro'!$K106,"")</f>
        <v/>
      </c>
      <c r="BP100" s="21" t="str">
        <f>IF(AND('Atividades Micro'!$B106=BP$2,'Atividades Micro'!$G106="Macro",'Atividades Micro'!$K106&lt;&gt;""),'Atividades Micro'!$K106,"")</f>
        <v/>
      </c>
      <c r="BQ100" s="21" t="str">
        <f>IF(AND('Atividades Micro'!$B106=BQ$2,'Atividades Micro'!$G106="Macro",'Atividades Micro'!$K106&lt;&gt;""),'Atividades Micro'!$K106,"")</f>
        <v/>
      </c>
      <c r="BR100" s="21" t="str">
        <f>IF(AND('Atividades Micro'!$B106=BR$2,'Atividades Micro'!$G106="Macro",'Atividades Micro'!$K106&lt;&gt;""),'Atividades Micro'!$K106,"")</f>
        <v/>
      </c>
      <c r="BS100" s="21" t="str">
        <f>IF(AND('Atividades Micro'!$B106=BS$2,'Atividades Micro'!$G106="Macro",'Atividades Micro'!$K106&lt;&gt;""),'Atividades Micro'!$K106,"")</f>
        <v/>
      </c>
      <c r="BT100" s="21" t="str">
        <f>IF(AND('Atividades Micro'!$B106=BT$2,'Atividades Micro'!$G106="Macro",'Atividades Micro'!$K106&lt;&gt;""),'Atividades Micro'!$K106,"")</f>
        <v/>
      </c>
      <c r="BU100" s="21" t="str">
        <f>IF(AND('Atividades Micro'!$B106=BU$2,'Atividades Micro'!$G106="Macro",'Atividades Micro'!$K106&lt;&gt;""),'Atividades Micro'!$K106,"")</f>
        <v/>
      </c>
      <c r="BV100" s="21" t="str">
        <f>IF(AND('Atividades Micro'!$B106=BV$2,'Atividades Micro'!$G106="Macro",'Atividades Micro'!$K106&lt;&gt;""),'Atividades Micro'!$K106,"")</f>
        <v/>
      </c>
      <c r="BW100" s="21" t="str">
        <f>IF(AND('Atividades Micro'!$B106=BW$2,'Atividades Micro'!$G106="Macro",'Atividades Micro'!$K106&lt;&gt;""),'Atividades Micro'!$K106,"")</f>
        <v/>
      </c>
      <c r="BX100" s="21" t="str">
        <f>IF(AND('Atividades Micro'!$B106=BX$2,'Atividades Micro'!$G106="Macro",'Atividades Micro'!$K106&lt;&gt;""),'Atividades Micro'!$K106,"")</f>
        <v/>
      </c>
      <c r="BY100" s="21" t="str">
        <f>IF(AND('Atividades Micro'!$B106=BY$2,'Atividades Micro'!$G106="Macro",'Atividades Micro'!$K106&lt;&gt;""),'Atividades Micro'!$K106,"")</f>
        <v/>
      </c>
      <c r="BZ100" s="21" t="str">
        <f>IF(AND('Atividades Micro'!$B106=BZ$2,'Atividades Micro'!$G106="Macro",'Atividades Micro'!$K106&lt;&gt;""),'Atividades Micro'!$K106,"")</f>
        <v/>
      </c>
      <c r="CA100" s="21" t="str">
        <f>IF(AND('Atividades Micro'!$B106=CA$2,'Atividades Micro'!$G106="Macro",'Atividades Micro'!$K106&lt;&gt;""),'Atividades Micro'!$K106,"")</f>
        <v/>
      </c>
      <c r="CB100" s="21" t="str">
        <f>IF(AND('Atividades Micro'!$B106=CB$2,'Atividades Micro'!$G106="Macro",'Atividades Micro'!$K106&lt;&gt;""),'Atividades Micro'!$K106,"")</f>
        <v/>
      </c>
      <c r="CC100" s="21" t="str">
        <f>IF(AND('Atividades Micro'!$B106=CC$2,'Atividades Micro'!$G106="Macro",'Atividades Micro'!$K106&lt;&gt;""),'Atividades Micro'!$K106,"")</f>
        <v/>
      </c>
      <c r="CD100" s="21" t="str">
        <f>IF(AND('Atividades Micro'!$B106=CD$2,'Atividades Micro'!$G106="Micro",'Atividades Micro'!$K106&lt;&gt;""),'Atividades Micro'!$K106,"")</f>
        <v/>
      </c>
      <c r="CE100" s="21" t="str">
        <f>IF(AND('Atividades Micro'!$B106=CE$2,'Atividades Micro'!$G106="Micro",'Atividades Micro'!$K106&lt;&gt;""),'Atividades Micro'!$K106,"")</f>
        <v/>
      </c>
      <c r="CF100" s="21" t="str">
        <f>IF(AND('Atividades Micro'!$B106=CF$2,'Atividades Micro'!$G106="Micro",'Atividades Micro'!$K106&lt;&gt;""),'Atividades Micro'!$K106,"")</f>
        <v/>
      </c>
      <c r="CG100" s="21" t="str">
        <f>IF(AND('Atividades Micro'!$B106=CG$2,'Atividades Micro'!$G106="Micro",'Atividades Micro'!$K106&lt;&gt;""),'Atividades Micro'!$K106,"")</f>
        <v/>
      </c>
      <c r="CH100" s="21" t="str">
        <f>IF(AND('Atividades Micro'!$B106=CH$2,'Atividades Micro'!$G106="Micro",'Atividades Micro'!$K106&lt;&gt;""),'Atividades Micro'!$K106,"")</f>
        <v/>
      </c>
      <c r="CI100" s="21" t="str">
        <f>IF(AND('Atividades Micro'!$B106=CI$2,'Atividades Micro'!$G106="Micro",'Atividades Micro'!$K106&lt;&gt;""),'Atividades Micro'!$K106,"")</f>
        <v/>
      </c>
      <c r="CJ100" s="21" t="str">
        <f>IF(AND('Atividades Micro'!$B106=CJ$2,'Atividades Micro'!$G106="Micro",'Atividades Micro'!$K106&lt;&gt;""),'Atividades Micro'!$K106,"")</f>
        <v/>
      </c>
      <c r="CK100" s="21" t="str">
        <f>IF(AND('Atividades Micro'!$B106=CK$2,'Atividades Micro'!$G106="Micro",'Atividades Micro'!$K106&lt;&gt;""),'Atividades Micro'!$K106,"")</f>
        <v/>
      </c>
      <c r="CL100" s="21" t="str">
        <f>IF(AND('Atividades Micro'!$B106=CL$2,'Atividades Micro'!$G106="Micro",'Atividades Micro'!$K106&lt;&gt;""),'Atividades Micro'!$K106,"")</f>
        <v/>
      </c>
      <c r="CM100" s="21" t="str">
        <f>IF(AND('Atividades Micro'!$B106=CM$2,'Atividades Micro'!$G106="Micro",'Atividades Micro'!$K106&lt;&gt;""),'Atividades Micro'!$K106,"")</f>
        <v/>
      </c>
      <c r="CN100" s="21" t="str">
        <f>IF(AND('Atividades Micro'!$B106=CN$2,'Atividades Micro'!$G106="Micro",'Atividades Micro'!$K106&lt;&gt;""),'Atividades Micro'!$K106,"")</f>
        <v/>
      </c>
      <c r="CO100" s="21" t="str">
        <f>IF(AND('Atividades Micro'!$B106=CO$2,'Atividades Micro'!$G106="Micro",'Atividades Micro'!$K106&lt;&gt;""),'Atividades Micro'!$K106,"")</f>
        <v/>
      </c>
    </row>
    <row r="101" spans="1:93">
      <c r="A101" s="21" t="str">
        <f>IF(AND('Atividades Micro'!$A107=A$2,'Atividades Micro'!$K107&lt;&gt;""),'Atividades Micro'!$K107,"")</f>
        <v/>
      </c>
      <c r="B101" s="21" t="str">
        <f>IF(AND('Atividades Micro'!$A107=B$2,'Atividades Micro'!$L107&lt;&gt;""),'Atividades Micro'!$L107,"")</f>
        <v/>
      </c>
      <c r="C101" s="21" t="str">
        <f>IF(AND('Atividades Micro'!$A107=C$2,'Atividades Micro'!$K107&lt;&gt;""),'Atividades Micro'!$K107,"")</f>
        <v/>
      </c>
      <c r="D101" s="21" t="str">
        <f>IF(AND('Atividades Micro'!$A107=D$2,'Atividades Micro'!$L107&lt;&gt;""),'Atividades Micro'!$L107,"")</f>
        <v/>
      </c>
      <c r="E101" s="21" t="str">
        <f>IF(AND('Atividades Micro'!$A107=E$2,'Atividades Micro'!$K107&lt;&gt;""),'Atividades Micro'!$K107,"")</f>
        <v/>
      </c>
      <c r="F101" s="21" t="str">
        <f>IF(AND('Atividades Micro'!$A107=F$2,'Atividades Micro'!$L107&lt;&gt;""),'Atividades Micro'!$L107,"")</f>
        <v/>
      </c>
      <c r="G101" s="21" t="str">
        <f>IF(AND('Atividades Micro'!$A107=G$2,'Atividades Micro'!$K107&lt;&gt;""),'Atividades Micro'!$K107,"")</f>
        <v/>
      </c>
      <c r="H101" s="21" t="str">
        <f>IF(AND('Atividades Micro'!$A107=H$2,'Atividades Micro'!$L107&lt;&gt;""),'Atividades Micro'!$L107,"")</f>
        <v/>
      </c>
      <c r="I101" s="21" t="str">
        <f>IF(AND('Atividades Micro'!$A107=I$2,'Atividades Micro'!$K107&lt;&gt;""),'Atividades Micro'!$K107,"")</f>
        <v/>
      </c>
      <c r="J101" s="21" t="str">
        <f>IF(AND('Atividades Micro'!$A107=J$2,'Atividades Micro'!$L107&lt;&gt;""),'Atividades Micro'!$L107,"")</f>
        <v/>
      </c>
      <c r="K101" s="21" t="str">
        <f>IF(AND('Atividades Micro'!$B107=K$2,'Atividades Micro'!$K107&lt;&gt;""),'Atividades Micro'!$K107,"")</f>
        <v/>
      </c>
      <c r="L101" s="21" t="str">
        <f>IF(AND('Atividades Micro'!$B107=L$2,'Atividades Micro'!$L107&lt;&gt;""),'Atividades Micro'!$L107,"")</f>
        <v/>
      </c>
      <c r="M101" s="21" t="str">
        <f>IF(AND('Atividades Micro'!$B107=M$2,'Atividades Micro'!$K107&lt;&gt;""),'Atividades Micro'!$K107,"")</f>
        <v/>
      </c>
      <c r="N101" s="21" t="str">
        <f>IF(AND('Atividades Micro'!$B107=N$2,'Atividades Micro'!$L107&lt;&gt;""),'Atividades Micro'!$L107,"")</f>
        <v/>
      </c>
      <c r="O101" s="21" t="str">
        <f>IF(AND('Atividades Micro'!$A107=O$2,'Atividades Micro'!$K107&lt;&gt;""),'Atividades Micro'!$K107,"")</f>
        <v/>
      </c>
      <c r="P101" s="21" t="str">
        <f>IF(AND('Atividades Micro'!$A107=P$2,'Atividades Micro'!$L107&lt;&gt;""),'Atividades Micro'!$L107,"")</f>
        <v/>
      </c>
      <c r="Q101" s="21" t="str">
        <f>IF(AND('Atividades Micro'!$B107=Q$2,'Atividades Micro'!$K107&lt;&gt;""),'Atividades Micro'!$K107,"")</f>
        <v/>
      </c>
      <c r="R101" s="21" t="str">
        <f>IF(AND('Atividades Micro'!$B107=R$2,'Atividades Micro'!$L107&lt;&gt;""),'Atividades Micro'!$L107,"")</f>
        <v/>
      </c>
      <c r="S101" s="21" t="str">
        <f>IF(AND('Atividades Micro'!$A107=S$2,'Atividades Micro'!$K107&lt;&gt;""),'Atividades Micro'!$K107,"")</f>
        <v/>
      </c>
      <c r="T101" s="21" t="str">
        <f>IF(AND('Atividades Micro'!$A107=T$2,'Atividades Micro'!$L107&lt;&gt;""),'Atividades Micro'!$L107,"")</f>
        <v/>
      </c>
      <c r="U101" s="21" t="str">
        <f>IF(AND('Atividades Micro'!$B107=U$2,'Atividades Micro'!$K107&lt;&gt;""),'Atividades Micro'!$K107,"")</f>
        <v/>
      </c>
      <c r="V101" s="21" t="str">
        <f>IF(AND('Atividades Micro'!$B107=V$2,'Atividades Micro'!$L107&lt;&gt;""),'Atividades Micro'!$L107,"")</f>
        <v/>
      </c>
      <c r="W101" s="21" t="str">
        <f>IF(AND('Atividades Micro'!$B107=W$2,'Atividades Micro'!$K107&lt;&gt;""),'Atividades Micro'!$K107,"")</f>
        <v/>
      </c>
      <c r="X101" s="21" t="str">
        <f>IF(AND('Atividades Micro'!$B107=X$2,'Atividades Micro'!$L107&lt;&gt;""),'Atividades Micro'!$L107,"")</f>
        <v/>
      </c>
      <c r="Y101" s="21" t="str">
        <f>IF(AND('Atividades Micro'!$A107=Y$2,'Atividades Micro'!$K107&lt;&gt;""),'Atividades Micro'!$K107,"")</f>
        <v/>
      </c>
      <c r="Z101" s="21" t="str">
        <f>IF(AND('Atividades Micro'!$A107=Z$2,'Atividades Micro'!$L107&lt;&gt;""),'Atividades Micro'!$L107,"")</f>
        <v/>
      </c>
      <c r="AA101" s="21" t="str">
        <f>IF(AND('Atividades Micro'!$B107=AA$2,'Atividades Micro'!$K107&lt;&gt;""),'Atividades Micro'!$K107,"")</f>
        <v/>
      </c>
      <c r="AB101" s="21" t="str">
        <f>IF(AND('Atividades Micro'!$B107=AB$2,'Atividades Micro'!$L107&lt;&gt;""),'Atividades Micro'!$L107,"")</f>
        <v/>
      </c>
      <c r="AC101" s="21" t="str">
        <f>IF(AND('Atividades Micro'!$B107=AC$2,'Atividades Micro'!$K107&lt;&gt;""),'Atividades Micro'!$K107,"")</f>
        <v/>
      </c>
      <c r="AD101" s="21" t="str">
        <f>IF(AND('Atividades Micro'!$B107=AD$2,'Atividades Micro'!$L107&lt;&gt;""),'Atividades Micro'!$L107,"")</f>
        <v/>
      </c>
      <c r="AE101" s="21" t="str">
        <f>IF(AND('Atividades Micro'!$A107=AE$2,'Atividades Micro'!$K107&lt;&gt;""),'Atividades Micro'!$K107,"")</f>
        <v/>
      </c>
      <c r="AF101" s="21" t="str">
        <f>IF(AND('Atividades Micro'!$A107=AF$2,'Atividades Micro'!$L107&lt;&gt;""),'Atividades Micro'!$L107,"")</f>
        <v/>
      </c>
      <c r="AG101" s="21" t="str">
        <f>IF(AND('Atividades Micro'!$B107=AG$2,'Atividades Micro'!$K107&lt;&gt;""),'Atividades Micro'!$K107,"")</f>
        <v/>
      </c>
      <c r="AH101" s="21" t="str">
        <f>IF(AND('Atividades Micro'!$B107=AH$2,'Atividades Micro'!$L107&lt;&gt;""),'Atividades Micro'!$L107,"")</f>
        <v/>
      </c>
      <c r="AI101" s="21" t="str">
        <f>IF(AND('Atividades Micro'!$B107=AI$2,'Atividades Micro'!$K107&lt;&gt;""),'Atividades Micro'!$K107,"")</f>
        <v/>
      </c>
      <c r="AJ101" s="21" t="str">
        <f>IF(AND('Atividades Micro'!$B107=AJ$2,'Atividades Micro'!$L107&lt;&gt;""),'Atividades Micro'!$L107,"")</f>
        <v/>
      </c>
      <c r="AK101" s="21" t="str">
        <f>IF(AND('Atividades Micro'!$A107=AK$2,'Atividades Micro'!$K107&lt;&gt;""),'Atividades Micro'!$K107,"")</f>
        <v/>
      </c>
      <c r="AL101" s="21" t="str">
        <f>IF(AND('Atividades Micro'!$A107=AL$2,'Atividades Micro'!$L107&lt;&gt;""),'Atividades Micro'!$L107,"")</f>
        <v/>
      </c>
      <c r="AM101" s="21" t="str">
        <f>IF(AND('Atividades Micro'!$B107=AM$2,'Atividades Micro'!$K107&lt;&gt;""),'Atividades Micro'!$K107,"")</f>
        <v/>
      </c>
      <c r="AN101" s="21" t="str">
        <f>IF(AND('Atividades Micro'!$B107=AN$2,'Atividades Micro'!$L107&lt;&gt;""),'Atividades Micro'!$L107,"")</f>
        <v/>
      </c>
      <c r="AO101" s="21" t="str">
        <f>IF(AND('Atividades Micro'!$B107=AO$2,'Atividades Micro'!$K107&lt;&gt;""),'Atividades Micro'!$K107,"")</f>
        <v/>
      </c>
      <c r="AP101" s="21" t="str">
        <f>IF(AND('Atividades Micro'!$B107=AP$2,'Atividades Micro'!$L107&lt;&gt;""),'Atividades Micro'!$L107,"")</f>
        <v/>
      </c>
      <c r="AQ101" s="21" t="str">
        <f>IF(AND('Atividades Micro'!$A107=AQ$2,'Atividades Micro'!$K107&lt;&gt;""),'Atividades Micro'!$K107,"")</f>
        <v/>
      </c>
      <c r="AR101" s="21" t="str">
        <f>IF(AND('Atividades Micro'!$A107=AR$2,'Atividades Micro'!$L107&lt;&gt;""),'Atividades Micro'!$L107,"")</f>
        <v/>
      </c>
      <c r="AS101" s="21" t="str">
        <f>IF(AND('Atividades Micro'!$B107=AS$2,'Atividades Micro'!$K107&lt;&gt;""),'Atividades Micro'!$K107,"")</f>
        <v/>
      </c>
      <c r="AT101" s="21" t="str">
        <f>IF(AND('Atividades Micro'!$B107=AT$2,'Atividades Micro'!$L107&lt;&gt;""),'Atividades Micro'!$L107,"")</f>
        <v/>
      </c>
      <c r="AU101" s="21" t="str">
        <f>IF(AND('Atividades Micro'!$A107=AU$2,'Atividades Micro'!$K107&lt;&gt;""),'Atividades Micro'!$K107,"")</f>
        <v/>
      </c>
      <c r="AV101" s="21" t="str">
        <f>IF(AND('Atividades Micro'!$A107=AV$2,'Atividades Micro'!$L107&lt;&gt;""),'Atividades Micro'!$L107,"")</f>
        <v/>
      </c>
      <c r="AW101" s="21" t="str">
        <f>IF(AND('Atividades Micro'!$B107=AW$2,'Atividades Micro'!$K107&lt;&gt;""),'Atividades Micro'!$K107,"")</f>
        <v/>
      </c>
      <c r="AX101" s="21" t="str">
        <f>IF(AND('Atividades Micro'!$B107=AX$2,'Atividades Micro'!$L107&lt;&gt;""),'Atividades Micro'!$L107,"")</f>
        <v/>
      </c>
      <c r="AY101" s="21" t="str">
        <f>IF(AND('Atividades Micro'!$A107=AY$2,'Atividades Micro'!$K107&lt;&gt;""),'Atividades Micro'!$K107,"")</f>
        <v/>
      </c>
      <c r="AZ101" s="21" t="str">
        <f>IF(AND('Atividades Micro'!$A107=AZ$2,'Atividades Micro'!$L107&lt;&gt;""),'Atividades Micro'!$L107,"")</f>
        <v/>
      </c>
      <c r="BA101" s="21" t="str">
        <f>IF(AND('Atividades Micro'!$B107=BA$2,'Atividades Micro'!$K107&lt;&gt;""),'Atividades Micro'!$K107,"")</f>
        <v/>
      </c>
      <c r="BB101" s="21" t="str">
        <f>IF(AND('Atividades Micro'!$B107=BB$2,'Atividades Micro'!$L107&lt;&gt;""),'Atividades Micro'!$L107,"")</f>
        <v/>
      </c>
      <c r="BC101" s="21" t="str">
        <f>IF(AND('Atividades Micro'!$B107=BC$2,'Atividades Micro'!$G107="Macro",'Atividades Micro'!$K107&lt;&gt;""),'Atividades Micro'!$K107,"")</f>
        <v/>
      </c>
      <c r="BD101" s="21" t="str">
        <f>IF(AND('Atividades Micro'!$B107=BD$2,'Atividades Micro'!$G107="Macro",'Atividades Micro'!$K107&lt;&gt;""),'Atividades Micro'!$K107,"")</f>
        <v/>
      </c>
      <c r="BE101" s="21" t="str">
        <f>IF(AND('Atividades Micro'!$B107=BE$2,'Atividades Micro'!$G107="Macro",'Atividades Micro'!$K107&lt;&gt;""),'Atividades Micro'!$K107,"")</f>
        <v/>
      </c>
      <c r="BF101" s="21" t="str">
        <f>IF(AND('Atividades Micro'!$B107=BF$2,'Atividades Micro'!$G107="Macro",'Atividades Micro'!$K107&lt;&gt;""),'Atividades Micro'!$K107,"")</f>
        <v/>
      </c>
      <c r="BG101" s="21" t="str">
        <f>IF(AND('Atividades Micro'!$B107=BG$2,'Atividades Micro'!$G107="Macro",'Atividades Micro'!$K107&lt;&gt;""),'Atividades Micro'!$K107,"")</f>
        <v/>
      </c>
      <c r="BH101" s="21" t="str">
        <f>IF(AND('Atividades Micro'!$B107=BH$2,'Atividades Micro'!$G107="Macro",'Atividades Micro'!$K107&lt;&gt;""),'Atividades Micro'!$K107,"")</f>
        <v/>
      </c>
      <c r="BI101" s="21" t="str">
        <f>IF(AND('Atividades Micro'!$B107=BI$2,'Atividades Micro'!$G107="Macro",'Atividades Micro'!$K107&lt;&gt;""),'Atividades Micro'!$K107,"")</f>
        <v/>
      </c>
      <c r="BJ101" s="21" t="str">
        <f>IF(AND('Atividades Micro'!$B107=BJ$2,'Atividades Micro'!$G107="Macro",'Atividades Micro'!$K107&lt;&gt;""),'Atividades Micro'!$K107,"")</f>
        <v/>
      </c>
      <c r="BK101" s="21" t="str">
        <f>IF(AND('Atividades Micro'!$B107=BK$2,'Atividades Micro'!$G107="Macro",'Atividades Micro'!$K107&lt;&gt;""),'Atividades Micro'!$K107,"")</f>
        <v/>
      </c>
      <c r="BL101" s="21" t="str">
        <f>IF(AND('Atividades Micro'!$B107=BL$2,'Atividades Micro'!$G107="Macro",'Atividades Micro'!$K107&lt;&gt;""),'Atividades Micro'!$K107,"")</f>
        <v/>
      </c>
      <c r="BM101" s="21" t="str">
        <f>IF(AND('Atividades Micro'!$B107=BM$2,'Atividades Micro'!$G107="Macro",'Atividades Micro'!$K107&lt;&gt;""),'Atividades Micro'!$K107,"")</f>
        <v/>
      </c>
      <c r="BN101" s="21" t="str">
        <f>IF(AND('Atividades Micro'!$B107=BN$2,'Atividades Micro'!$G107="Macro",'Atividades Micro'!$K107&lt;&gt;""),'Atividades Micro'!$K107,"")</f>
        <v/>
      </c>
      <c r="BO101" s="21" t="str">
        <f>IF(AND('Atividades Micro'!$B107=BO$2,'Atividades Micro'!$G107="Macro",'Atividades Micro'!$K107&lt;&gt;""),'Atividades Micro'!$K107,"")</f>
        <v/>
      </c>
      <c r="BP101" s="21" t="str">
        <f>IF(AND('Atividades Micro'!$B107=BP$2,'Atividades Micro'!$G107="Macro",'Atividades Micro'!$K107&lt;&gt;""),'Atividades Micro'!$K107,"")</f>
        <v/>
      </c>
      <c r="BQ101" s="21" t="str">
        <f>IF(AND('Atividades Micro'!$B107=BQ$2,'Atividades Micro'!$G107="Macro",'Atividades Micro'!$K107&lt;&gt;""),'Atividades Micro'!$K107,"")</f>
        <v/>
      </c>
      <c r="BR101" s="21" t="str">
        <f>IF(AND('Atividades Micro'!$B107=BR$2,'Atividades Micro'!$G107="Macro",'Atividades Micro'!$K107&lt;&gt;""),'Atividades Micro'!$K107,"")</f>
        <v/>
      </c>
      <c r="BS101" s="21" t="str">
        <f>IF(AND('Atividades Micro'!$B107=BS$2,'Atividades Micro'!$G107="Macro",'Atividades Micro'!$K107&lt;&gt;""),'Atividades Micro'!$K107,"")</f>
        <v/>
      </c>
      <c r="BT101" s="21" t="str">
        <f>IF(AND('Atividades Micro'!$B107=BT$2,'Atividades Micro'!$G107="Macro",'Atividades Micro'!$K107&lt;&gt;""),'Atividades Micro'!$K107,"")</f>
        <v/>
      </c>
      <c r="BU101" s="21" t="str">
        <f>IF(AND('Atividades Micro'!$B107=BU$2,'Atividades Micro'!$G107="Macro",'Atividades Micro'!$K107&lt;&gt;""),'Atividades Micro'!$K107,"")</f>
        <v/>
      </c>
      <c r="BV101" s="21" t="str">
        <f>IF(AND('Atividades Micro'!$B107=BV$2,'Atividades Micro'!$G107="Macro",'Atividades Micro'!$K107&lt;&gt;""),'Atividades Micro'!$K107,"")</f>
        <v/>
      </c>
      <c r="BW101" s="21" t="str">
        <f>IF(AND('Atividades Micro'!$B107=BW$2,'Atividades Micro'!$G107="Macro",'Atividades Micro'!$K107&lt;&gt;""),'Atividades Micro'!$K107,"")</f>
        <v/>
      </c>
      <c r="BX101" s="21" t="str">
        <f>IF(AND('Atividades Micro'!$B107=BX$2,'Atividades Micro'!$G107="Macro",'Atividades Micro'!$K107&lt;&gt;""),'Atividades Micro'!$K107,"")</f>
        <v/>
      </c>
      <c r="BY101" s="21" t="str">
        <f>IF(AND('Atividades Micro'!$B107=BY$2,'Atividades Micro'!$G107="Macro",'Atividades Micro'!$K107&lt;&gt;""),'Atividades Micro'!$K107,"")</f>
        <v/>
      </c>
      <c r="BZ101" s="21" t="str">
        <f>IF(AND('Atividades Micro'!$B107=BZ$2,'Atividades Micro'!$G107="Macro",'Atividades Micro'!$K107&lt;&gt;""),'Atividades Micro'!$K107,"")</f>
        <v/>
      </c>
      <c r="CA101" s="21" t="str">
        <f>IF(AND('Atividades Micro'!$B107=CA$2,'Atividades Micro'!$G107="Macro",'Atividades Micro'!$K107&lt;&gt;""),'Atividades Micro'!$K107,"")</f>
        <v/>
      </c>
      <c r="CB101" s="21" t="str">
        <f>IF(AND('Atividades Micro'!$B107=CB$2,'Atividades Micro'!$G107="Macro",'Atividades Micro'!$K107&lt;&gt;""),'Atividades Micro'!$K107,"")</f>
        <v/>
      </c>
      <c r="CC101" s="21" t="str">
        <f>IF(AND('Atividades Micro'!$B107=CC$2,'Atividades Micro'!$G107="Macro",'Atividades Micro'!$K107&lt;&gt;""),'Atividades Micro'!$K107,"")</f>
        <v/>
      </c>
      <c r="CD101" s="21" t="str">
        <f>IF(AND('Atividades Micro'!$B107=CD$2,'Atividades Micro'!$G107="Micro",'Atividades Micro'!$K107&lt;&gt;""),'Atividades Micro'!$K107,"")</f>
        <v/>
      </c>
      <c r="CE101" s="21" t="str">
        <f>IF(AND('Atividades Micro'!$B107=CE$2,'Atividades Micro'!$G107="Micro",'Atividades Micro'!$K107&lt;&gt;""),'Atividades Micro'!$K107,"")</f>
        <v/>
      </c>
      <c r="CF101" s="21" t="str">
        <f>IF(AND('Atividades Micro'!$B107=CF$2,'Atividades Micro'!$G107="Micro",'Atividades Micro'!$K107&lt;&gt;""),'Atividades Micro'!$K107,"")</f>
        <v/>
      </c>
      <c r="CG101" s="21" t="str">
        <f>IF(AND('Atividades Micro'!$B107=CG$2,'Atividades Micro'!$G107="Micro",'Atividades Micro'!$K107&lt;&gt;""),'Atividades Micro'!$K107,"")</f>
        <v/>
      </c>
      <c r="CH101" s="21" t="str">
        <f>IF(AND('Atividades Micro'!$B107=CH$2,'Atividades Micro'!$G107="Micro",'Atividades Micro'!$K107&lt;&gt;""),'Atividades Micro'!$K107,"")</f>
        <v/>
      </c>
      <c r="CI101" s="21" t="str">
        <f>IF(AND('Atividades Micro'!$B107=CI$2,'Atividades Micro'!$G107="Micro",'Atividades Micro'!$K107&lt;&gt;""),'Atividades Micro'!$K107,"")</f>
        <v/>
      </c>
      <c r="CJ101" s="21" t="str">
        <f>IF(AND('Atividades Micro'!$B107=CJ$2,'Atividades Micro'!$G107="Micro",'Atividades Micro'!$K107&lt;&gt;""),'Atividades Micro'!$K107,"")</f>
        <v/>
      </c>
      <c r="CK101" s="21" t="str">
        <f>IF(AND('Atividades Micro'!$B107=CK$2,'Atividades Micro'!$G107="Micro",'Atividades Micro'!$K107&lt;&gt;""),'Atividades Micro'!$K107,"")</f>
        <v/>
      </c>
      <c r="CL101" s="21" t="str">
        <f>IF(AND('Atividades Micro'!$B107=CL$2,'Atividades Micro'!$G107="Micro",'Atividades Micro'!$K107&lt;&gt;""),'Atividades Micro'!$K107,"")</f>
        <v/>
      </c>
      <c r="CM101" s="21" t="str">
        <f>IF(AND('Atividades Micro'!$B107=CM$2,'Atividades Micro'!$G107="Micro",'Atividades Micro'!$K107&lt;&gt;""),'Atividades Micro'!$K107,"")</f>
        <v/>
      </c>
      <c r="CN101" s="21" t="str">
        <f>IF(AND('Atividades Micro'!$B107=CN$2,'Atividades Micro'!$G107="Micro",'Atividades Micro'!$K107&lt;&gt;""),'Atividades Micro'!$K107,"")</f>
        <v/>
      </c>
      <c r="CO101" s="21" t="str">
        <f>IF(AND('Atividades Micro'!$B107=CO$2,'Atividades Micro'!$G107="Micro",'Atividades Micro'!$K107&lt;&gt;""),'Atividades Micro'!$K107,"")</f>
        <v/>
      </c>
    </row>
    <row r="102" spans="1:93">
      <c r="A102" s="21" t="str">
        <f>IF(AND('Atividades Micro'!$A108=A$2,'Atividades Micro'!$K108&lt;&gt;""),'Atividades Micro'!$K108,"")</f>
        <v/>
      </c>
      <c r="B102" s="21" t="str">
        <f>IF(AND('Atividades Micro'!$A108=B$2,'Atividades Micro'!$L108&lt;&gt;""),'Atividades Micro'!$L108,"")</f>
        <v/>
      </c>
      <c r="C102" s="21" t="str">
        <f>IF(AND('Atividades Micro'!$A108=C$2,'Atividades Micro'!$K108&lt;&gt;""),'Atividades Micro'!$K108,"")</f>
        <v/>
      </c>
      <c r="D102" s="21" t="str">
        <f>IF(AND('Atividades Micro'!$A108=D$2,'Atividades Micro'!$L108&lt;&gt;""),'Atividades Micro'!$L108,"")</f>
        <v/>
      </c>
      <c r="E102" s="21" t="str">
        <f>IF(AND('Atividades Micro'!$A108=E$2,'Atividades Micro'!$K108&lt;&gt;""),'Atividades Micro'!$K108,"")</f>
        <v/>
      </c>
      <c r="F102" s="21" t="str">
        <f>IF(AND('Atividades Micro'!$A108=F$2,'Atividades Micro'!$L108&lt;&gt;""),'Atividades Micro'!$L108,"")</f>
        <v/>
      </c>
      <c r="G102" s="21" t="str">
        <f>IF(AND('Atividades Micro'!$A108=G$2,'Atividades Micro'!$K108&lt;&gt;""),'Atividades Micro'!$K108,"")</f>
        <v/>
      </c>
      <c r="H102" s="21" t="str">
        <f>IF(AND('Atividades Micro'!$A108=H$2,'Atividades Micro'!$L108&lt;&gt;""),'Atividades Micro'!$L108,"")</f>
        <v/>
      </c>
      <c r="I102" s="21" t="str">
        <f>IF(AND('Atividades Micro'!$A108=I$2,'Atividades Micro'!$K108&lt;&gt;""),'Atividades Micro'!$K108,"")</f>
        <v/>
      </c>
      <c r="J102" s="21" t="str">
        <f>IF(AND('Atividades Micro'!$A108=J$2,'Atividades Micro'!$L108&lt;&gt;""),'Atividades Micro'!$L108,"")</f>
        <v/>
      </c>
      <c r="K102" s="21" t="str">
        <f>IF(AND('Atividades Micro'!$B108=K$2,'Atividades Micro'!$K108&lt;&gt;""),'Atividades Micro'!$K108,"")</f>
        <v/>
      </c>
      <c r="L102" s="21" t="str">
        <f>IF(AND('Atividades Micro'!$B108=L$2,'Atividades Micro'!$L108&lt;&gt;""),'Atividades Micro'!$L108,"")</f>
        <v/>
      </c>
      <c r="M102" s="21" t="str">
        <f>IF(AND('Atividades Micro'!$B108=M$2,'Atividades Micro'!$K108&lt;&gt;""),'Atividades Micro'!$K108,"")</f>
        <v/>
      </c>
      <c r="N102" s="21" t="str">
        <f>IF(AND('Atividades Micro'!$B108=N$2,'Atividades Micro'!$L108&lt;&gt;""),'Atividades Micro'!$L108,"")</f>
        <v/>
      </c>
      <c r="O102" s="21" t="str">
        <f>IF(AND('Atividades Micro'!$A108=O$2,'Atividades Micro'!$K108&lt;&gt;""),'Atividades Micro'!$K108,"")</f>
        <v/>
      </c>
      <c r="P102" s="21" t="str">
        <f>IF(AND('Atividades Micro'!$A108=P$2,'Atividades Micro'!$L108&lt;&gt;""),'Atividades Micro'!$L108,"")</f>
        <v/>
      </c>
      <c r="Q102" s="21" t="str">
        <f>IF(AND('Atividades Micro'!$B108=Q$2,'Atividades Micro'!$K108&lt;&gt;""),'Atividades Micro'!$K108,"")</f>
        <v/>
      </c>
      <c r="R102" s="21" t="str">
        <f>IF(AND('Atividades Micro'!$B108=R$2,'Atividades Micro'!$L108&lt;&gt;""),'Atividades Micro'!$L108,"")</f>
        <v/>
      </c>
      <c r="S102" s="21" t="str">
        <f>IF(AND('Atividades Micro'!$A108=S$2,'Atividades Micro'!$K108&lt;&gt;""),'Atividades Micro'!$K108,"")</f>
        <v/>
      </c>
      <c r="T102" s="21" t="str">
        <f>IF(AND('Atividades Micro'!$A108=T$2,'Atividades Micro'!$L108&lt;&gt;""),'Atividades Micro'!$L108,"")</f>
        <v/>
      </c>
      <c r="U102" s="21" t="str">
        <f>IF(AND('Atividades Micro'!$B108=U$2,'Atividades Micro'!$K108&lt;&gt;""),'Atividades Micro'!$K108,"")</f>
        <v/>
      </c>
      <c r="V102" s="21" t="str">
        <f>IF(AND('Atividades Micro'!$B108=V$2,'Atividades Micro'!$L108&lt;&gt;""),'Atividades Micro'!$L108,"")</f>
        <v/>
      </c>
      <c r="W102" s="21" t="str">
        <f>IF(AND('Atividades Micro'!$B108=W$2,'Atividades Micro'!$K108&lt;&gt;""),'Atividades Micro'!$K108,"")</f>
        <v/>
      </c>
      <c r="X102" s="21" t="str">
        <f>IF(AND('Atividades Micro'!$B108=X$2,'Atividades Micro'!$L108&lt;&gt;""),'Atividades Micro'!$L108,"")</f>
        <v/>
      </c>
      <c r="Y102" s="21" t="str">
        <f>IF(AND('Atividades Micro'!$A108=Y$2,'Atividades Micro'!$K108&lt;&gt;""),'Atividades Micro'!$K108,"")</f>
        <v/>
      </c>
      <c r="Z102" s="21" t="str">
        <f>IF(AND('Atividades Micro'!$A108=Z$2,'Atividades Micro'!$L108&lt;&gt;""),'Atividades Micro'!$L108,"")</f>
        <v/>
      </c>
      <c r="AA102" s="21" t="str">
        <f>IF(AND('Atividades Micro'!$B108=AA$2,'Atividades Micro'!$K108&lt;&gt;""),'Atividades Micro'!$K108,"")</f>
        <v/>
      </c>
      <c r="AB102" s="21" t="str">
        <f>IF(AND('Atividades Micro'!$B108=AB$2,'Atividades Micro'!$L108&lt;&gt;""),'Atividades Micro'!$L108,"")</f>
        <v/>
      </c>
      <c r="AC102" s="21" t="str">
        <f>IF(AND('Atividades Micro'!$B108=AC$2,'Atividades Micro'!$K108&lt;&gt;""),'Atividades Micro'!$K108,"")</f>
        <v/>
      </c>
      <c r="AD102" s="21" t="str">
        <f>IF(AND('Atividades Micro'!$B108=AD$2,'Atividades Micro'!$L108&lt;&gt;""),'Atividades Micro'!$L108,"")</f>
        <v/>
      </c>
      <c r="AE102" s="21" t="str">
        <f>IF(AND('Atividades Micro'!$A108=AE$2,'Atividades Micro'!$K108&lt;&gt;""),'Atividades Micro'!$K108,"")</f>
        <v/>
      </c>
      <c r="AF102" s="21" t="str">
        <f>IF(AND('Atividades Micro'!$A108=AF$2,'Atividades Micro'!$L108&lt;&gt;""),'Atividades Micro'!$L108,"")</f>
        <v/>
      </c>
      <c r="AG102" s="21" t="str">
        <f>IF(AND('Atividades Micro'!$B108=AG$2,'Atividades Micro'!$K108&lt;&gt;""),'Atividades Micro'!$K108,"")</f>
        <v/>
      </c>
      <c r="AH102" s="21" t="str">
        <f>IF(AND('Atividades Micro'!$B108=AH$2,'Atividades Micro'!$L108&lt;&gt;""),'Atividades Micro'!$L108,"")</f>
        <v/>
      </c>
      <c r="AI102" s="21" t="str">
        <f>IF(AND('Atividades Micro'!$B108=AI$2,'Atividades Micro'!$K108&lt;&gt;""),'Atividades Micro'!$K108,"")</f>
        <v/>
      </c>
      <c r="AJ102" s="21" t="str">
        <f>IF(AND('Atividades Micro'!$B108=AJ$2,'Atividades Micro'!$L108&lt;&gt;""),'Atividades Micro'!$L108,"")</f>
        <v/>
      </c>
      <c r="AK102" s="21" t="str">
        <f>IF(AND('Atividades Micro'!$A108=AK$2,'Atividades Micro'!$K108&lt;&gt;""),'Atividades Micro'!$K108,"")</f>
        <v/>
      </c>
      <c r="AL102" s="21" t="str">
        <f>IF(AND('Atividades Micro'!$A108=AL$2,'Atividades Micro'!$L108&lt;&gt;""),'Atividades Micro'!$L108,"")</f>
        <v/>
      </c>
      <c r="AM102" s="21" t="str">
        <f>IF(AND('Atividades Micro'!$B108=AM$2,'Atividades Micro'!$K108&lt;&gt;""),'Atividades Micro'!$K108,"")</f>
        <v/>
      </c>
      <c r="AN102" s="21" t="str">
        <f>IF(AND('Atividades Micro'!$B108=AN$2,'Atividades Micro'!$L108&lt;&gt;""),'Atividades Micro'!$L108,"")</f>
        <v/>
      </c>
      <c r="AO102" s="21" t="str">
        <f>IF(AND('Atividades Micro'!$B108=AO$2,'Atividades Micro'!$K108&lt;&gt;""),'Atividades Micro'!$K108,"")</f>
        <v/>
      </c>
      <c r="AP102" s="21" t="str">
        <f>IF(AND('Atividades Micro'!$B108=AP$2,'Atividades Micro'!$L108&lt;&gt;""),'Atividades Micro'!$L108,"")</f>
        <v/>
      </c>
      <c r="AQ102" s="21" t="str">
        <f>IF(AND('Atividades Micro'!$A108=AQ$2,'Atividades Micro'!$K108&lt;&gt;""),'Atividades Micro'!$K108,"")</f>
        <v/>
      </c>
      <c r="AR102" s="21" t="str">
        <f>IF(AND('Atividades Micro'!$A108=AR$2,'Atividades Micro'!$L108&lt;&gt;""),'Atividades Micro'!$L108,"")</f>
        <v/>
      </c>
      <c r="AS102" s="21" t="str">
        <f>IF(AND('Atividades Micro'!$B108=AS$2,'Atividades Micro'!$K108&lt;&gt;""),'Atividades Micro'!$K108,"")</f>
        <v/>
      </c>
      <c r="AT102" s="21" t="str">
        <f>IF(AND('Atividades Micro'!$B108=AT$2,'Atividades Micro'!$L108&lt;&gt;""),'Atividades Micro'!$L108,"")</f>
        <v/>
      </c>
      <c r="AU102" s="21" t="str">
        <f>IF(AND('Atividades Micro'!$A108=AU$2,'Atividades Micro'!$K108&lt;&gt;""),'Atividades Micro'!$K108,"")</f>
        <v/>
      </c>
      <c r="AV102" s="21" t="str">
        <f>IF(AND('Atividades Micro'!$A108=AV$2,'Atividades Micro'!$L108&lt;&gt;""),'Atividades Micro'!$L108,"")</f>
        <v/>
      </c>
      <c r="AW102" s="21" t="str">
        <f>IF(AND('Atividades Micro'!$B108=AW$2,'Atividades Micro'!$K108&lt;&gt;""),'Atividades Micro'!$K108,"")</f>
        <v/>
      </c>
      <c r="AX102" s="21" t="str">
        <f>IF(AND('Atividades Micro'!$B108=AX$2,'Atividades Micro'!$L108&lt;&gt;""),'Atividades Micro'!$L108,"")</f>
        <v/>
      </c>
      <c r="AY102" s="21" t="str">
        <f>IF(AND('Atividades Micro'!$A108=AY$2,'Atividades Micro'!$K108&lt;&gt;""),'Atividades Micro'!$K108,"")</f>
        <v/>
      </c>
      <c r="AZ102" s="21" t="str">
        <f>IF(AND('Atividades Micro'!$A108=AZ$2,'Atividades Micro'!$L108&lt;&gt;""),'Atividades Micro'!$L108,"")</f>
        <v/>
      </c>
      <c r="BA102" s="21" t="str">
        <f>IF(AND('Atividades Micro'!$B108=BA$2,'Atividades Micro'!$K108&lt;&gt;""),'Atividades Micro'!$K108,"")</f>
        <v/>
      </c>
      <c r="BB102" s="21" t="str">
        <f>IF(AND('Atividades Micro'!$B108=BB$2,'Atividades Micro'!$L108&lt;&gt;""),'Atividades Micro'!$L108,"")</f>
        <v/>
      </c>
      <c r="BC102" s="21" t="str">
        <f>IF(AND('Atividades Micro'!$B108=BC$2,'Atividades Micro'!$G108="Macro",'Atividades Micro'!$K108&lt;&gt;""),'Atividades Micro'!$K108,"")</f>
        <v/>
      </c>
      <c r="BD102" s="21" t="str">
        <f>IF(AND('Atividades Micro'!$B108=BD$2,'Atividades Micro'!$G108="Macro",'Atividades Micro'!$K108&lt;&gt;""),'Atividades Micro'!$K108,"")</f>
        <v/>
      </c>
      <c r="BE102" s="21" t="str">
        <f>IF(AND('Atividades Micro'!$B108=BE$2,'Atividades Micro'!$G108="Macro",'Atividades Micro'!$K108&lt;&gt;""),'Atividades Micro'!$K108,"")</f>
        <v/>
      </c>
      <c r="BF102" s="21" t="str">
        <f>IF(AND('Atividades Micro'!$B108=BF$2,'Atividades Micro'!$G108="Macro",'Atividades Micro'!$K108&lt;&gt;""),'Atividades Micro'!$K108,"")</f>
        <v/>
      </c>
      <c r="BG102" s="21" t="str">
        <f>IF(AND('Atividades Micro'!$B108=BG$2,'Atividades Micro'!$G108="Macro",'Atividades Micro'!$K108&lt;&gt;""),'Atividades Micro'!$K108,"")</f>
        <v/>
      </c>
      <c r="BH102" s="21" t="str">
        <f>IF(AND('Atividades Micro'!$B108=BH$2,'Atividades Micro'!$G108="Macro",'Atividades Micro'!$K108&lt;&gt;""),'Atividades Micro'!$K108,"")</f>
        <v/>
      </c>
      <c r="BI102" s="21" t="str">
        <f>IF(AND('Atividades Micro'!$B108=BI$2,'Atividades Micro'!$G108="Macro",'Atividades Micro'!$K108&lt;&gt;""),'Atividades Micro'!$K108,"")</f>
        <v/>
      </c>
      <c r="BJ102" s="21" t="str">
        <f>IF(AND('Atividades Micro'!$B108=BJ$2,'Atividades Micro'!$G108="Macro",'Atividades Micro'!$K108&lt;&gt;""),'Atividades Micro'!$K108,"")</f>
        <v/>
      </c>
      <c r="BK102" s="21" t="str">
        <f>IF(AND('Atividades Micro'!$B108=BK$2,'Atividades Micro'!$G108="Macro",'Atividades Micro'!$K108&lt;&gt;""),'Atividades Micro'!$K108,"")</f>
        <v/>
      </c>
      <c r="BL102" s="21" t="str">
        <f>IF(AND('Atividades Micro'!$B108=BL$2,'Atividades Micro'!$G108="Macro",'Atividades Micro'!$K108&lt;&gt;""),'Atividades Micro'!$K108,"")</f>
        <v/>
      </c>
      <c r="BM102" s="21" t="str">
        <f>IF(AND('Atividades Micro'!$B108=BM$2,'Atividades Micro'!$G108="Macro",'Atividades Micro'!$K108&lt;&gt;""),'Atividades Micro'!$K108,"")</f>
        <v/>
      </c>
      <c r="BN102" s="21" t="str">
        <f>IF(AND('Atividades Micro'!$B108=BN$2,'Atividades Micro'!$G108="Macro",'Atividades Micro'!$K108&lt;&gt;""),'Atividades Micro'!$K108,"")</f>
        <v/>
      </c>
      <c r="BO102" s="21" t="str">
        <f>IF(AND('Atividades Micro'!$B108=BO$2,'Atividades Micro'!$G108="Macro",'Atividades Micro'!$K108&lt;&gt;""),'Atividades Micro'!$K108,"")</f>
        <v/>
      </c>
      <c r="BP102" s="21" t="str">
        <f>IF(AND('Atividades Micro'!$B108=BP$2,'Atividades Micro'!$G108="Macro",'Atividades Micro'!$K108&lt;&gt;""),'Atividades Micro'!$K108,"")</f>
        <v/>
      </c>
      <c r="BQ102" s="21" t="str">
        <f>IF(AND('Atividades Micro'!$B108=BQ$2,'Atividades Micro'!$G108="Macro",'Atividades Micro'!$K108&lt;&gt;""),'Atividades Micro'!$K108,"")</f>
        <v/>
      </c>
      <c r="BR102" s="21" t="str">
        <f>IF(AND('Atividades Micro'!$B108=BR$2,'Atividades Micro'!$G108="Macro",'Atividades Micro'!$K108&lt;&gt;""),'Atividades Micro'!$K108,"")</f>
        <v/>
      </c>
      <c r="BS102" s="21" t="str">
        <f>IF(AND('Atividades Micro'!$B108=BS$2,'Atividades Micro'!$G108="Macro",'Atividades Micro'!$K108&lt;&gt;""),'Atividades Micro'!$K108,"")</f>
        <v/>
      </c>
      <c r="BT102" s="21" t="str">
        <f>IF(AND('Atividades Micro'!$B108=BT$2,'Atividades Micro'!$G108="Macro",'Atividades Micro'!$K108&lt;&gt;""),'Atividades Micro'!$K108,"")</f>
        <v/>
      </c>
      <c r="BU102" s="21" t="str">
        <f>IF(AND('Atividades Micro'!$B108=BU$2,'Atividades Micro'!$G108="Macro",'Atividades Micro'!$K108&lt;&gt;""),'Atividades Micro'!$K108,"")</f>
        <v/>
      </c>
      <c r="BV102" s="21" t="str">
        <f>IF(AND('Atividades Micro'!$B108=BV$2,'Atividades Micro'!$G108="Macro",'Atividades Micro'!$K108&lt;&gt;""),'Atividades Micro'!$K108,"")</f>
        <v/>
      </c>
      <c r="BW102" s="21" t="str">
        <f>IF(AND('Atividades Micro'!$B108=BW$2,'Atividades Micro'!$G108="Macro",'Atividades Micro'!$K108&lt;&gt;""),'Atividades Micro'!$K108,"")</f>
        <v/>
      </c>
      <c r="BX102" s="21" t="str">
        <f>IF(AND('Atividades Micro'!$B108=BX$2,'Atividades Micro'!$G108="Macro",'Atividades Micro'!$K108&lt;&gt;""),'Atividades Micro'!$K108,"")</f>
        <v/>
      </c>
      <c r="BY102" s="21" t="str">
        <f>IF(AND('Atividades Micro'!$B108=BY$2,'Atividades Micro'!$G108="Macro",'Atividades Micro'!$K108&lt;&gt;""),'Atividades Micro'!$K108,"")</f>
        <v/>
      </c>
      <c r="BZ102" s="21" t="str">
        <f>IF(AND('Atividades Micro'!$B108=BZ$2,'Atividades Micro'!$G108="Macro",'Atividades Micro'!$K108&lt;&gt;""),'Atividades Micro'!$K108,"")</f>
        <v/>
      </c>
      <c r="CA102" s="21" t="str">
        <f>IF(AND('Atividades Micro'!$B108=CA$2,'Atividades Micro'!$G108="Macro",'Atividades Micro'!$K108&lt;&gt;""),'Atividades Micro'!$K108,"")</f>
        <v/>
      </c>
      <c r="CB102" s="21" t="str">
        <f>IF(AND('Atividades Micro'!$B108=CB$2,'Atividades Micro'!$G108="Macro",'Atividades Micro'!$K108&lt;&gt;""),'Atividades Micro'!$K108,"")</f>
        <v/>
      </c>
      <c r="CC102" s="21" t="str">
        <f>IF(AND('Atividades Micro'!$B108=CC$2,'Atividades Micro'!$G108="Macro",'Atividades Micro'!$K108&lt;&gt;""),'Atividades Micro'!$K108,"")</f>
        <v/>
      </c>
      <c r="CD102" s="21" t="str">
        <f>IF(AND('Atividades Micro'!$B108=CD$2,'Atividades Micro'!$G108="Micro",'Atividades Micro'!$K108&lt;&gt;""),'Atividades Micro'!$K108,"")</f>
        <v/>
      </c>
      <c r="CE102" s="21" t="str">
        <f>IF(AND('Atividades Micro'!$B108=CE$2,'Atividades Micro'!$G108="Micro",'Atividades Micro'!$K108&lt;&gt;""),'Atividades Micro'!$K108,"")</f>
        <v/>
      </c>
      <c r="CF102" s="21" t="str">
        <f>IF(AND('Atividades Micro'!$B108=CF$2,'Atividades Micro'!$G108="Micro",'Atividades Micro'!$K108&lt;&gt;""),'Atividades Micro'!$K108,"")</f>
        <v/>
      </c>
      <c r="CG102" s="21" t="str">
        <f>IF(AND('Atividades Micro'!$B108=CG$2,'Atividades Micro'!$G108="Micro",'Atividades Micro'!$K108&lt;&gt;""),'Atividades Micro'!$K108,"")</f>
        <v/>
      </c>
      <c r="CH102" s="21" t="str">
        <f>IF(AND('Atividades Micro'!$B108=CH$2,'Atividades Micro'!$G108="Micro",'Atividades Micro'!$K108&lt;&gt;""),'Atividades Micro'!$K108,"")</f>
        <v/>
      </c>
      <c r="CI102" s="21" t="str">
        <f>IF(AND('Atividades Micro'!$B108=CI$2,'Atividades Micro'!$G108="Micro",'Atividades Micro'!$K108&lt;&gt;""),'Atividades Micro'!$K108,"")</f>
        <v/>
      </c>
      <c r="CJ102" s="21" t="str">
        <f>IF(AND('Atividades Micro'!$B108=CJ$2,'Atividades Micro'!$G108="Micro",'Atividades Micro'!$K108&lt;&gt;""),'Atividades Micro'!$K108,"")</f>
        <v/>
      </c>
      <c r="CK102" s="21" t="str">
        <f>IF(AND('Atividades Micro'!$B108=CK$2,'Atividades Micro'!$G108="Micro",'Atividades Micro'!$K108&lt;&gt;""),'Atividades Micro'!$K108,"")</f>
        <v/>
      </c>
      <c r="CL102" s="21" t="str">
        <f>IF(AND('Atividades Micro'!$B108=CL$2,'Atividades Micro'!$G108="Micro",'Atividades Micro'!$K108&lt;&gt;""),'Atividades Micro'!$K108,"")</f>
        <v/>
      </c>
      <c r="CM102" s="21" t="str">
        <f>IF(AND('Atividades Micro'!$B108=CM$2,'Atividades Micro'!$G108="Micro",'Atividades Micro'!$K108&lt;&gt;""),'Atividades Micro'!$K108,"")</f>
        <v/>
      </c>
      <c r="CN102" s="21" t="str">
        <f>IF(AND('Atividades Micro'!$B108=CN$2,'Atividades Micro'!$G108="Micro",'Atividades Micro'!$K108&lt;&gt;""),'Atividades Micro'!$K108,"")</f>
        <v/>
      </c>
      <c r="CO102" s="21" t="str">
        <f>IF(AND('Atividades Micro'!$B108=CO$2,'Atividades Micro'!$G108="Micro",'Atividades Micro'!$K108&lt;&gt;""),'Atividades Micro'!$K108,"")</f>
        <v/>
      </c>
    </row>
    <row r="103" spans="1:93">
      <c r="A103" s="21" t="str">
        <f>IF(AND('Atividades Micro'!$A109=A$2,'Atividades Micro'!$K109&lt;&gt;""),'Atividades Micro'!$K109,"")</f>
        <v/>
      </c>
      <c r="B103" s="21" t="str">
        <f>IF(AND('Atividades Micro'!$A109=B$2,'Atividades Micro'!$L109&lt;&gt;""),'Atividades Micro'!$L109,"")</f>
        <v/>
      </c>
      <c r="C103" s="21" t="str">
        <f>IF(AND('Atividades Micro'!$A109=C$2,'Atividades Micro'!$K109&lt;&gt;""),'Atividades Micro'!$K109,"")</f>
        <v/>
      </c>
      <c r="D103" s="21" t="str">
        <f>IF(AND('Atividades Micro'!$A109=D$2,'Atividades Micro'!$L109&lt;&gt;""),'Atividades Micro'!$L109,"")</f>
        <v/>
      </c>
      <c r="E103" s="21" t="str">
        <f>IF(AND('Atividades Micro'!$A109=E$2,'Atividades Micro'!$K109&lt;&gt;""),'Atividades Micro'!$K109,"")</f>
        <v/>
      </c>
      <c r="F103" s="21" t="str">
        <f>IF(AND('Atividades Micro'!$A109=F$2,'Atividades Micro'!$L109&lt;&gt;""),'Atividades Micro'!$L109,"")</f>
        <v/>
      </c>
      <c r="G103" s="21" t="str">
        <f>IF(AND('Atividades Micro'!$A109=G$2,'Atividades Micro'!$K109&lt;&gt;""),'Atividades Micro'!$K109,"")</f>
        <v/>
      </c>
      <c r="H103" s="21" t="str">
        <f>IF(AND('Atividades Micro'!$A109=H$2,'Atividades Micro'!$L109&lt;&gt;""),'Atividades Micro'!$L109,"")</f>
        <v/>
      </c>
      <c r="I103" s="21" t="str">
        <f>IF(AND('Atividades Micro'!$A109=I$2,'Atividades Micro'!$K109&lt;&gt;""),'Atividades Micro'!$K109,"")</f>
        <v/>
      </c>
      <c r="J103" s="21" t="str">
        <f>IF(AND('Atividades Micro'!$A109=J$2,'Atividades Micro'!$L109&lt;&gt;""),'Atividades Micro'!$L109,"")</f>
        <v/>
      </c>
      <c r="K103" s="21" t="str">
        <f>IF(AND('Atividades Micro'!$B109=K$2,'Atividades Micro'!$K109&lt;&gt;""),'Atividades Micro'!$K109,"")</f>
        <v/>
      </c>
      <c r="L103" s="21" t="str">
        <f>IF(AND('Atividades Micro'!$B109=L$2,'Atividades Micro'!$L109&lt;&gt;""),'Atividades Micro'!$L109,"")</f>
        <v/>
      </c>
      <c r="M103" s="21" t="str">
        <f>IF(AND('Atividades Micro'!$B109=M$2,'Atividades Micro'!$K109&lt;&gt;""),'Atividades Micro'!$K109,"")</f>
        <v/>
      </c>
      <c r="N103" s="21" t="str">
        <f>IF(AND('Atividades Micro'!$B109=N$2,'Atividades Micro'!$L109&lt;&gt;""),'Atividades Micro'!$L109,"")</f>
        <v/>
      </c>
      <c r="O103" s="21" t="str">
        <f>IF(AND('Atividades Micro'!$A109=O$2,'Atividades Micro'!$K109&lt;&gt;""),'Atividades Micro'!$K109,"")</f>
        <v/>
      </c>
      <c r="P103" s="21" t="str">
        <f>IF(AND('Atividades Micro'!$A109=P$2,'Atividades Micro'!$L109&lt;&gt;""),'Atividades Micro'!$L109,"")</f>
        <v/>
      </c>
      <c r="Q103" s="21" t="str">
        <f>IF(AND('Atividades Micro'!$B109=Q$2,'Atividades Micro'!$K109&lt;&gt;""),'Atividades Micro'!$K109,"")</f>
        <v/>
      </c>
      <c r="R103" s="21" t="str">
        <f>IF(AND('Atividades Micro'!$B109=R$2,'Atividades Micro'!$L109&lt;&gt;""),'Atividades Micro'!$L109,"")</f>
        <v/>
      </c>
      <c r="S103" s="21" t="str">
        <f>IF(AND('Atividades Micro'!$A109=S$2,'Atividades Micro'!$K109&lt;&gt;""),'Atividades Micro'!$K109,"")</f>
        <v/>
      </c>
      <c r="T103" s="21" t="str">
        <f>IF(AND('Atividades Micro'!$A109=T$2,'Atividades Micro'!$L109&lt;&gt;""),'Atividades Micro'!$L109,"")</f>
        <v/>
      </c>
      <c r="U103" s="21" t="str">
        <f>IF(AND('Atividades Micro'!$B109=U$2,'Atividades Micro'!$K109&lt;&gt;""),'Atividades Micro'!$K109,"")</f>
        <v/>
      </c>
      <c r="V103" s="21" t="str">
        <f>IF(AND('Atividades Micro'!$B109=V$2,'Atividades Micro'!$L109&lt;&gt;""),'Atividades Micro'!$L109,"")</f>
        <v/>
      </c>
      <c r="W103" s="21" t="str">
        <f>IF(AND('Atividades Micro'!$B109=W$2,'Atividades Micro'!$K109&lt;&gt;""),'Atividades Micro'!$K109,"")</f>
        <v/>
      </c>
      <c r="X103" s="21" t="str">
        <f>IF(AND('Atividades Micro'!$B109=X$2,'Atividades Micro'!$L109&lt;&gt;""),'Atividades Micro'!$L109,"")</f>
        <v/>
      </c>
      <c r="Y103" s="21" t="str">
        <f>IF(AND('Atividades Micro'!$A109=Y$2,'Atividades Micro'!$K109&lt;&gt;""),'Atividades Micro'!$K109,"")</f>
        <v/>
      </c>
      <c r="Z103" s="21" t="str">
        <f>IF(AND('Atividades Micro'!$A109=Z$2,'Atividades Micro'!$L109&lt;&gt;""),'Atividades Micro'!$L109,"")</f>
        <v/>
      </c>
      <c r="AA103" s="21" t="str">
        <f>IF(AND('Atividades Micro'!$B109=AA$2,'Atividades Micro'!$K109&lt;&gt;""),'Atividades Micro'!$K109,"")</f>
        <v/>
      </c>
      <c r="AB103" s="21" t="str">
        <f>IF(AND('Atividades Micro'!$B109=AB$2,'Atividades Micro'!$L109&lt;&gt;""),'Atividades Micro'!$L109,"")</f>
        <v/>
      </c>
      <c r="AC103" s="21" t="str">
        <f>IF(AND('Atividades Micro'!$B109=AC$2,'Atividades Micro'!$K109&lt;&gt;""),'Atividades Micro'!$K109,"")</f>
        <v/>
      </c>
      <c r="AD103" s="21" t="str">
        <f>IF(AND('Atividades Micro'!$B109=AD$2,'Atividades Micro'!$L109&lt;&gt;""),'Atividades Micro'!$L109,"")</f>
        <v/>
      </c>
      <c r="AE103" s="21" t="str">
        <f>IF(AND('Atividades Micro'!$A109=AE$2,'Atividades Micro'!$K109&lt;&gt;""),'Atividades Micro'!$K109,"")</f>
        <v/>
      </c>
      <c r="AF103" s="21" t="str">
        <f>IF(AND('Atividades Micro'!$A109=AF$2,'Atividades Micro'!$L109&lt;&gt;""),'Atividades Micro'!$L109,"")</f>
        <v/>
      </c>
      <c r="AG103" s="21" t="str">
        <f>IF(AND('Atividades Micro'!$B109=AG$2,'Atividades Micro'!$K109&lt;&gt;""),'Atividades Micro'!$K109,"")</f>
        <v/>
      </c>
      <c r="AH103" s="21" t="str">
        <f>IF(AND('Atividades Micro'!$B109=AH$2,'Atividades Micro'!$L109&lt;&gt;""),'Atividades Micro'!$L109,"")</f>
        <v/>
      </c>
      <c r="AI103" s="21" t="str">
        <f>IF(AND('Atividades Micro'!$B109=AI$2,'Atividades Micro'!$K109&lt;&gt;""),'Atividades Micro'!$K109,"")</f>
        <v/>
      </c>
      <c r="AJ103" s="21" t="str">
        <f>IF(AND('Atividades Micro'!$B109=AJ$2,'Atividades Micro'!$L109&lt;&gt;""),'Atividades Micro'!$L109,"")</f>
        <v/>
      </c>
      <c r="AK103" s="21" t="str">
        <f>IF(AND('Atividades Micro'!$A109=AK$2,'Atividades Micro'!$K109&lt;&gt;""),'Atividades Micro'!$K109,"")</f>
        <v/>
      </c>
      <c r="AL103" s="21" t="str">
        <f>IF(AND('Atividades Micro'!$A109=AL$2,'Atividades Micro'!$L109&lt;&gt;""),'Atividades Micro'!$L109,"")</f>
        <v/>
      </c>
      <c r="AM103" s="21" t="str">
        <f>IF(AND('Atividades Micro'!$B109=AM$2,'Atividades Micro'!$K109&lt;&gt;""),'Atividades Micro'!$K109,"")</f>
        <v/>
      </c>
      <c r="AN103" s="21" t="str">
        <f>IF(AND('Atividades Micro'!$B109=AN$2,'Atividades Micro'!$L109&lt;&gt;""),'Atividades Micro'!$L109,"")</f>
        <v/>
      </c>
      <c r="AO103" s="21" t="str">
        <f>IF(AND('Atividades Micro'!$B109=AO$2,'Atividades Micro'!$K109&lt;&gt;""),'Atividades Micro'!$K109,"")</f>
        <v/>
      </c>
      <c r="AP103" s="21" t="str">
        <f>IF(AND('Atividades Micro'!$B109=AP$2,'Atividades Micro'!$L109&lt;&gt;""),'Atividades Micro'!$L109,"")</f>
        <v/>
      </c>
      <c r="AQ103" s="21" t="str">
        <f>IF(AND('Atividades Micro'!$A109=AQ$2,'Atividades Micro'!$K109&lt;&gt;""),'Atividades Micro'!$K109,"")</f>
        <v/>
      </c>
      <c r="AR103" s="21" t="str">
        <f>IF(AND('Atividades Micro'!$A109=AR$2,'Atividades Micro'!$L109&lt;&gt;""),'Atividades Micro'!$L109,"")</f>
        <v/>
      </c>
      <c r="AS103" s="21" t="str">
        <f>IF(AND('Atividades Micro'!$B109=AS$2,'Atividades Micro'!$K109&lt;&gt;""),'Atividades Micro'!$K109,"")</f>
        <v/>
      </c>
      <c r="AT103" s="21" t="str">
        <f>IF(AND('Atividades Micro'!$B109=AT$2,'Atividades Micro'!$L109&lt;&gt;""),'Atividades Micro'!$L109,"")</f>
        <v/>
      </c>
      <c r="AU103" s="21" t="str">
        <f>IF(AND('Atividades Micro'!$A109=AU$2,'Atividades Micro'!$K109&lt;&gt;""),'Atividades Micro'!$K109,"")</f>
        <v/>
      </c>
      <c r="AV103" s="21" t="str">
        <f>IF(AND('Atividades Micro'!$A109=AV$2,'Atividades Micro'!$L109&lt;&gt;""),'Atividades Micro'!$L109,"")</f>
        <v/>
      </c>
      <c r="AW103" s="21" t="str">
        <f>IF(AND('Atividades Micro'!$B109=AW$2,'Atividades Micro'!$K109&lt;&gt;""),'Atividades Micro'!$K109,"")</f>
        <v/>
      </c>
      <c r="AX103" s="21" t="str">
        <f>IF(AND('Atividades Micro'!$B109=AX$2,'Atividades Micro'!$L109&lt;&gt;""),'Atividades Micro'!$L109,"")</f>
        <v/>
      </c>
      <c r="AY103" s="21" t="str">
        <f>IF(AND('Atividades Micro'!$A109=AY$2,'Atividades Micro'!$K109&lt;&gt;""),'Atividades Micro'!$K109,"")</f>
        <v/>
      </c>
      <c r="AZ103" s="21" t="str">
        <f>IF(AND('Atividades Micro'!$A109=AZ$2,'Atividades Micro'!$L109&lt;&gt;""),'Atividades Micro'!$L109,"")</f>
        <v/>
      </c>
      <c r="BA103" s="21" t="str">
        <f>IF(AND('Atividades Micro'!$B109=BA$2,'Atividades Micro'!$K109&lt;&gt;""),'Atividades Micro'!$K109,"")</f>
        <v/>
      </c>
      <c r="BB103" s="21" t="str">
        <f>IF(AND('Atividades Micro'!$B109=BB$2,'Atividades Micro'!$L109&lt;&gt;""),'Atividades Micro'!$L109,"")</f>
        <v/>
      </c>
      <c r="BC103" s="21" t="str">
        <f>IF(AND('Atividades Micro'!$B109=BC$2,'Atividades Micro'!$G109="Macro",'Atividades Micro'!$K109&lt;&gt;""),'Atividades Micro'!$K109,"")</f>
        <v/>
      </c>
      <c r="BD103" s="21" t="str">
        <f>IF(AND('Atividades Micro'!$B109=BD$2,'Atividades Micro'!$G109="Macro",'Atividades Micro'!$K109&lt;&gt;""),'Atividades Micro'!$K109,"")</f>
        <v/>
      </c>
      <c r="BE103" s="21" t="str">
        <f>IF(AND('Atividades Micro'!$B109=BE$2,'Atividades Micro'!$G109="Macro",'Atividades Micro'!$K109&lt;&gt;""),'Atividades Micro'!$K109,"")</f>
        <v/>
      </c>
      <c r="BF103" s="21" t="str">
        <f>IF(AND('Atividades Micro'!$B109=BF$2,'Atividades Micro'!$G109="Macro",'Atividades Micro'!$K109&lt;&gt;""),'Atividades Micro'!$K109,"")</f>
        <v/>
      </c>
      <c r="BG103" s="21" t="str">
        <f>IF(AND('Atividades Micro'!$B109=BG$2,'Atividades Micro'!$G109="Macro",'Atividades Micro'!$K109&lt;&gt;""),'Atividades Micro'!$K109,"")</f>
        <v/>
      </c>
      <c r="BH103" s="21" t="str">
        <f>IF(AND('Atividades Micro'!$B109=BH$2,'Atividades Micro'!$G109="Macro",'Atividades Micro'!$K109&lt;&gt;""),'Atividades Micro'!$K109,"")</f>
        <v/>
      </c>
      <c r="BI103" s="21" t="str">
        <f>IF(AND('Atividades Micro'!$B109=BI$2,'Atividades Micro'!$G109="Macro",'Atividades Micro'!$K109&lt;&gt;""),'Atividades Micro'!$K109,"")</f>
        <v/>
      </c>
      <c r="BJ103" s="21" t="str">
        <f>IF(AND('Atividades Micro'!$B109=BJ$2,'Atividades Micro'!$G109="Macro",'Atividades Micro'!$K109&lt;&gt;""),'Atividades Micro'!$K109,"")</f>
        <v/>
      </c>
      <c r="BK103" s="21" t="str">
        <f>IF(AND('Atividades Micro'!$B109=BK$2,'Atividades Micro'!$G109="Macro",'Atividades Micro'!$K109&lt;&gt;""),'Atividades Micro'!$K109,"")</f>
        <v/>
      </c>
      <c r="BL103" s="21" t="str">
        <f>IF(AND('Atividades Micro'!$B109=BL$2,'Atividades Micro'!$G109="Macro",'Atividades Micro'!$K109&lt;&gt;""),'Atividades Micro'!$K109,"")</f>
        <v/>
      </c>
      <c r="BM103" s="21" t="str">
        <f>IF(AND('Atividades Micro'!$B109=BM$2,'Atividades Micro'!$G109="Macro",'Atividades Micro'!$K109&lt;&gt;""),'Atividades Micro'!$K109,"")</f>
        <v/>
      </c>
      <c r="BN103" s="21" t="str">
        <f>IF(AND('Atividades Micro'!$B109=BN$2,'Atividades Micro'!$G109="Macro",'Atividades Micro'!$K109&lt;&gt;""),'Atividades Micro'!$K109,"")</f>
        <v/>
      </c>
      <c r="BO103" s="21" t="str">
        <f>IF(AND('Atividades Micro'!$B109=BO$2,'Atividades Micro'!$G109="Macro",'Atividades Micro'!$K109&lt;&gt;""),'Atividades Micro'!$K109,"")</f>
        <v/>
      </c>
      <c r="BP103" s="21" t="str">
        <f>IF(AND('Atividades Micro'!$B109=BP$2,'Atividades Micro'!$G109="Macro",'Atividades Micro'!$K109&lt;&gt;""),'Atividades Micro'!$K109,"")</f>
        <v/>
      </c>
      <c r="BQ103" s="21" t="str">
        <f>IF(AND('Atividades Micro'!$B109=BQ$2,'Atividades Micro'!$G109="Macro",'Atividades Micro'!$K109&lt;&gt;""),'Atividades Micro'!$K109,"")</f>
        <v/>
      </c>
      <c r="BR103" s="21" t="str">
        <f>IF(AND('Atividades Micro'!$B109=BR$2,'Atividades Micro'!$G109="Macro",'Atividades Micro'!$K109&lt;&gt;""),'Atividades Micro'!$K109,"")</f>
        <v/>
      </c>
      <c r="BS103" s="21" t="str">
        <f>IF(AND('Atividades Micro'!$B109=BS$2,'Atividades Micro'!$G109="Macro",'Atividades Micro'!$K109&lt;&gt;""),'Atividades Micro'!$K109,"")</f>
        <v/>
      </c>
      <c r="BT103" s="21" t="str">
        <f>IF(AND('Atividades Micro'!$B109=BT$2,'Atividades Micro'!$G109="Macro",'Atividades Micro'!$K109&lt;&gt;""),'Atividades Micro'!$K109,"")</f>
        <v/>
      </c>
      <c r="BU103" s="21" t="str">
        <f>IF(AND('Atividades Micro'!$B109=BU$2,'Atividades Micro'!$G109="Macro",'Atividades Micro'!$K109&lt;&gt;""),'Atividades Micro'!$K109,"")</f>
        <v/>
      </c>
      <c r="BV103" s="21" t="str">
        <f>IF(AND('Atividades Micro'!$B109=BV$2,'Atividades Micro'!$G109="Macro",'Atividades Micro'!$K109&lt;&gt;""),'Atividades Micro'!$K109,"")</f>
        <v/>
      </c>
      <c r="BW103" s="21" t="str">
        <f>IF(AND('Atividades Micro'!$B109=BW$2,'Atividades Micro'!$G109="Macro",'Atividades Micro'!$K109&lt;&gt;""),'Atividades Micro'!$K109,"")</f>
        <v/>
      </c>
      <c r="BX103" s="21" t="str">
        <f>IF(AND('Atividades Micro'!$B109=BX$2,'Atividades Micro'!$G109="Macro",'Atividades Micro'!$K109&lt;&gt;""),'Atividades Micro'!$K109,"")</f>
        <v/>
      </c>
      <c r="BY103" s="21" t="str">
        <f>IF(AND('Atividades Micro'!$B109=BY$2,'Atividades Micro'!$G109="Macro",'Atividades Micro'!$K109&lt;&gt;""),'Atividades Micro'!$K109,"")</f>
        <v/>
      </c>
      <c r="BZ103" s="21" t="str">
        <f>IF(AND('Atividades Micro'!$B109=BZ$2,'Atividades Micro'!$G109="Macro",'Atividades Micro'!$K109&lt;&gt;""),'Atividades Micro'!$K109,"")</f>
        <v/>
      </c>
      <c r="CA103" s="21" t="str">
        <f>IF(AND('Atividades Micro'!$B109=CA$2,'Atividades Micro'!$G109="Macro",'Atividades Micro'!$K109&lt;&gt;""),'Atividades Micro'!$K109,"")</f>
        <v/>
      </c>
      <c r="CB103" s="21" t="str">
        <f>IF(AND('Atividades Micro'!$B109=CB$2,'Atividades Micro'!$G109="Macro",'Atividades Micro'!$K109&lt;&gt;""),'Atividades Micro'!$K109,"")</f>
        <v/>
      </c>
      <c r="CC103" s="21" t="str">
        <f>IF(AND('Atividades Micro'!$B109=CC$2,'Atividades Micro'!$G109="Macro",'Atividades Micro'!$K109&lt;&gt;""),'Atividades Micro'!$K109,"")</f>
        <v/>
      </c>
      <c r="CD103" s="21" t="str">
        <f>IF(AND('Atividades Micro'!$B109=CD$2,'Atividades Micro'!$G109="Micro",'Atividades Micro'!$K109&lt;&gt;""),'Atividades Micro'!$K109,"")</f>
        <v/>
      </c>
      <c r="CE103" s="21" t="str">
        <f>IF(AND('Atividades Micro'!$B109=CE$2,'Atividades Micro'!$G109="Micro",'Atividades Micro'!$K109&lt;&gt;""),'Atividades Micro'!$K109,"")</f>
        <v/>
      </c>
      <c r="CF103" s="21" t="str">
        <f>IF(AND('Atividades Micro'!$B109=CF$2,'Atividades Micro'!$G109="Micro",'Atividades Micro'!$K109&lt;&gt;""),'Atividades Micro'!$K109,"")</f>
        <v/>
      </c>
      <c r="CG103" s="21" t="str">
        <f>IF(AND('Atividades Micro'!$B109=CG$2,'Atividades Micro'!$G109="Micro",'Atividades Micro'!$K109&lt;&gt;""),'Atividades Micro'!$K109,"")</f>
        <v/>
      </c>
      <c r="CH103" s="21" t="str">
        <f>IF(AND('Atividades Micro'!$B109=CH$2,'Atividades Micro'!$G109="Micro",'Atividades Micro'!$K109&lt;&gt;""),'Atividades Micro'!$K109,"")</f>
        <v/>
      </c>
      <c r="CI103" s="21" t="str">
        <f>IF(AND('Atividades Micro'!$B109=CI$2,'Atividades Micro'!$G109="Micro",'Atividades Micro'!$K109&lt;&gt;""),'Atividades Micro'!$K109,"")</f>
        <v/>
      </c>
      <c r="CJ103" s="21" t="str">
        <f>IF(AND('Atividades Micro'!$B109=CJ$2,'Atividades Micro'!$G109="Micro",'Atividades Micro'!$K109&lt;&gt;""),'Atividades Micro'!$K109,"")</f>
        <v/>
      </c>
      <c r="CK103" s="21" t="str">
        <f>IF(AND('Atividades Micro'!$B109=CK$2,'Atividades Micro'!$G109="Micro",'Atividades Micro'!$K109&lt;&gt;""),'Atividades Micro'!$K109,"")</f>
        <v/>
      </c>
      <c r="CL103" s="21" t="str">
        <f>IF(AND('Atividades Micro'!$B109=CL$2,'Atividades Micro'!$G109="Micro",'Atividades Micro'!$K109&lt;&gt;""),'Atividades Micro'!$K109,"")</f>
        <v/>
      </c>
      <c r="CM103" s="21" t="str">
        <f>IF(AND('Atividades Micro'!$B109=CM$2,'Atividades Micro'!$G109="Micro",'Atividades Micro'!$K109&lt;&gt;""),'Atividades Micro'!$K109,"")</f>
        <v/>
      </c>
      <c r="CN103" s="21" t="str">
        <f>IF(AND('Atividades Micro'!$B109=CN$2,'Atividades Micro'!$G109="Micro",'Atividades Micro'!$K109&lt;&gt;""),'Atividades Micro'!$K109,"")</f>
        <v/>
      </c>
      <c r="CO103" s="21" t="str">
        <f>IF(AND('Atividades Micro'!$B109=CO$2,'Atividades Micro'!$G109="Micro",'Atividades Micro'!$K109&lt;&gt;""),'Atividades Micro'!$K109,"")</f>
        <v/>
      </c>
    </row>
    <row r="104" spans="1:93">
      <c r="A104" s="21" t="str">
        <f>IF(AND('Atividades Micro'!$A110=A$2,'Atividades Micro'!$K110&lt;&gt;""),'Atividades Micro'!$K110,"")</f>
        <v/>
      </c>
      <c r="B104" s="21" t="str">
        <f>IF(AND('Atividades Micro'!$A110=B$2,'Atividades Micro'!$L110&lt;&gt;""),'Atividades Micro'!$L110,"")</f>
        <v/>
      </c>
      <c r="C104" s="21" t="str">
        <f>IF(AND('Atividades Micro'!$A110=C$2,'Atividades Micro'!$K110&lt;&gt;""),'Atividades Micro'!$K110,"")</f>
        <v/>
      </c>
      <c r="D104" s="21" t="str">
        <f>IF(AND('Atividades Micro'!$A110=D$2,'Atividades Micro'!$L110&lt;&gt;""),'Atividades Micro'!$L110,"")</f>
        <v/>
      </c>
      <c r="E104" s="21" t="str">
        <f>IF(AND('Atividades Micro'!$A110=E$2,'Atividades Micro'!$K110&lt;&gt;""),'Atividades Micro'!$K110,"")</f>
        <v/>
      </c>
      <c r="F104" s="21" t="str">
        <f>IF(AND('Atividades Micro'!$A110=F$2,'Atividades Micro'!$L110&lt;&gt;""),'Atividades Micro'!$L110,"")</f>
        <v/>
      </c>
      <c r="G104" s="21" t="str">
        <f>IF(AND('Atividades Micro'!$A110=G$2,'Atividades Micro'!$K110&lt;&gt;""),'Atividades Micro'!$K110,"")</f>
        <v/>
      </c>
      <c r="H104" s="21" t="str">
        <f>IF(AND('Atividades Micro'!$A110=H$2,'Atividades Micro'!$L110&lt;&gt;""),'Atividades Micro'!$L110,"")</f>
        <v/>
      </c>
      <c r="I104" s="21" t="str">
        <f>IF(AND('Atividades Micro'!$A110=I$2,'Atividades Micro'!$K110&lt;&gt;""),'Atividades Micro'!$K110,"")</f>
        <v/>
      </c>
      <c r="J104" s="21" t="str">
        <f>IF(AND('Atividades Micro'!$A110=J$2,'Atividades Micro'!$L110&lt;&gt;""),'Atividades Micro'!$L110,"")</f>
        <v/>
      </c>
      <c r="K104" s="21" t="str">
        <f>IF(AND('Atividades Micro'!$B110=K$2,'Atividades Micro'!$K110&lt;&gt;""),'Atividades Micro'!$K110,"")</f>
        <v/>
      </c>
      <c r="L104" s="21" t="str">
        <f>IF(AND('Atividades Micro'!$B110=L$2,'Atividades Micro'!$L110&lt;&gt;""),'Atividades Micro'!$L110,"")</f>
        <v/>
      </c>
      <c r="M104" s="21" t="str">
        <f>IF(AND('Atividades Micro'!$B110=M$2,'Atividades Micro'!$K110&lt;&gt;""),'Atividades Micro'!$K110,"")</f>
        <v/>
      </c>
      <c r="N104" s="21" t="str">
        <f>IF(AND('Atividades Micro'!$B110=N$2,'Atividades Micro'!$L110&lt;&gt;""),'Atividades Micro'!$L110,"")</f>
        <v/>
      </c>
      <c r="O104" s="21" t="str">
        <f>IF(AND('Atividades Micro'!$A110=O$2,'Atividades Micro'!$K110&lt;&gt;""),'Atividades Micro'!$K110,"")</f>
        <v/>
      </c>
      <c r="P104" s="21" t="str">
        <f>IF(AND('Atividades Micro'!$A110=P$2,'Atividades Micro'!$L110&lt;&gt;""),'Atividades Micro'!$L110,"")</f>
        <v/>
      </c>
      <c r="Q104" s="21" t="str">
        <f>IF(AND('Atividades Micro'!$B110=Q$2,'Atividades Micro'!$K110&lt;&gt;""),'Atividades Micro'!$K110,"")</f>
        <v/>
      </c>
      <c r="R104" s="21" t="str">
        <f>IF(AND('Atividades Micro'!$B110=R$2,'Atividades Micro'!$L110&lt;&gt;""),'Atividades Micro'!$L110,"")</f>
        <v/>
      </c>
      <c r="S104" s="21" t="str">
        <f>IF(AND('Atividades Micro'!$A110=S$2,'Atividades Micro'!$K110&lt;&gt;""),'Atividades Micro'!$K110,"")</f>
        <v/>
      </c>
      <c r="T104" s="21" t="str">
        <f>IF(AND('Atividades Micro'!$A110=T$2,'Atividades Micro'!$L110&lt;&gt;""),'Atividades Micro'!$L110,"")</f>
        <v/>
      </c>
      <c r="U104" s="21" t="str">
        <f>IF(AND('Atividades Micro'!$B110=U$2,'Atividades Micro'!$K110&lt;&gt;""),'Atividades Micro'!$K110,"")</f>
        <v/>
      </c>
      <c r="V104" s="21" t="str">
        <f>IF(AND('Atividades Micro'!$B110=V$2,'Atividades Micro'!$L110&lt;&gt;""),'Atividades Micro'!$L110,"")</f>
        <v/>
      </c>
      <c r="W104" s="21" t="str">
        <f>IF(AND('Atividades Micro'!$B110=W$2,'Atividades Micro'!$K110&lt;&gt;""),'Atividades Micro'!$K110,"")</f>
        <v/>
      </c>
      <c r="X104" s="21" t="str">
        <f>IF(AND('Atividades Micro'!$B110=X$2,'Atividades Micro'!$L110&lt;&gt;""),'Atividades Micro'!$L110,"")</f>
        <v/>
      </c>
      <c r="Y104" s="21" t="str">
        <f>IF(AND('Atividades Micro'!$A110=Y$2,'Atividades Micro'!$K110&lt;&gt;""),'Atividades Micro'!$K110,"")</f>
        <v/>
      </c>
      <c r="Z104" s="21" t="str">
        <f>IF(AND('Atividades Micro'!$A110=Z$2,'Atividades Micro'!$L110&lt;&gt;""),'Atividades Micro'!$L110,"")</f>
        <v/>
      </c>
      <c r="AA104" s="21" t="str">
        <f>IF(AND('Atividades Micro'!$B110=AA$2,'Atividades Micro'!$K110&lt;&gt;""),'Atividades Micro'!$K110,"")</f>
        <v/>
      </c>
      <c r="AB104" s="21" t="str">
        <f>IF(AND('Atividades Micro'!$B110=AB$2,'Atividades Micro'!$L110&lt;&gt;""),'Atividades Micro'!$L110,"")</f>
        <v/>
      </c>
      <c r="AC104" s="21" t="str">
        <f>IF(AND('Atividades Micro'!$B110=AC$2,'Atividades Micro'!$K110&lt;&gt;""),'Atividades Micro'!$K110,"")</f>
        <v/>
      </c>
      <c r="AD104" s="21" t="str">
        <f>IF(AND('Atividades Micro'!$B110=AD$2,'Atividades Micro'!$L110&lt;&gt;""),'Atividades Micro'!$L110,"")</f>
        <v/>
      </c>
      <c r="AE104" s="21" t="str">
        <f>IF(AND('Atividades Micro'!$A110=AE$2,'Atividades Micro'!$K110&lt;&gt;""),'Atividades Micro'!$K110,"")</f>
        <v/>
      </c>
      <c r="AF104" s="21" t="str">
        <f>IF(AND('Atividades Micro'!$A110=AF$2,'Atividades Micro'!$L110&lt;&gt;""),'Atividades Micro'!$L110,"")</f>
        <v/>
      </c>
      <c r="AG104" s="21" t="str">
        <f>IF(AND('Atividades Micro'!$B110=AG$2,'Atividades Micro'!$K110&lt;&gt;""),'Atividades Micro'!$K110,"")</f>
        <v/>
      </c>
      <c r="AH104" s="21" t="str">
        <f>IF(AND('Atividades Micro'!$B110=AH$2,'Atividades Micro'!$L110&lt;&gt;""),'Atividades Micro'!$L110,"")</f>
        <v/>
      </c>
      <c r="AI104" s="21" t="str">
        <f>IF(AND('Atividades Micro'!$B110=AI$2,'Atividades Micro'!$K110&lt;&gt;""),'Atividades Micro'!$K110,"")</f>
        <v/>
      </c>
      <c r="AJ104" s="21" t="str">
        <f>IF(AND('Atividades Micro'!$B110=AJ$2,'Atividades Micro'!$L110&lt;&gt;""),'Atividades Micro'!$L110,"")</f>
        <v/>
      </c>
      <c r="AK104" s="21" t="str">
        <f>IF(AND('Atividades Micro'!$A110=AK$2,'Atividades Micro'!$K110&lt;&gt;""),'Atividades Micro'!$K110,"")</f>
        <v/>
      </c>
      <c r="AL104" s="21" t="str">
        <f>IF(AND('Atividades Micro'!$A110=AL$2,'Atividades Micro'!$L110&lt;&gt;""),'Atividades Micro'!$L110,"")</f>
        <v/>
      </c>
      <c r="AM104" s="21" t="str">
        <f>IF(AND('Atividades Micro'!$B110=AM$2,'Atividades Micro'!$K110&lt;&gt;""),'Atividades Micro'!$K110,"")</f>
        <v/>
      </c>
      <c r="AN104" s="21" t="str">
        <f>IF(AND('Atividades Micro'!$B110=AN$2,'Atividades Micro'!$L110&lt;&gt;""),'Atividades Micro'!$L110,"")</f>
        <v/>
      </c>
      <c r="AO104" s="21" t="str">
        <f>IF(AND('Atividades Micro'!$B110=AO$2,'Atividades Micro'!$K110&lt;&gt;""),'Atividades Micro'!$K110,"")</f>
        <v/>
      </c>
      <c r="AP104" s="21" t="str">
        <f>IF(AND('Atividades Micro'!$B110=AP$2,'Atividades Micro'!$L110&lt;&gt;""),'Atividades Micro'!$L110,"")</f>
        <v/>
      </c>
      <c r="AQ104" s="21" t="str">
        <f>IF(AND('Atividades Micro'!$A110=AQ$2,'Atividades Micro'!$K110&lt;&gt;""),'Atividades Micro'!$K110,"")</f>
        <v/>
      </c>
      <c r="AR104" s="21" t="str">
        <f>IF(AND('Atividades Micro'!$A110=AR$2,'Atividades Micro'!$L110&lt;&gt;""),'Atividades Micro'!$L110,"")</f>
        <v/>
      </c>
      <c r="AS104" s="21" t="str">
        <f>IF(AND('Atividades Micro'!$B110=AS$2,'Atividades Micro'!$K110&lt;&gt;""),'Atividades Micro'!$K110,"")</f>
        <v/>
      </c>
      <c r="AT104" s="21" t="str">
        <f>IF(AND('Atividades Micro'!$B110=AT$2,'Atividades Micro'!$L110&lt;&gt;""),'Atividades Micro'!$L110,"")</f>
        <v/>
      </c>
      <c r="AU104" s="21" t="str">
        <f>IF(AND('Atividades Micro'!$A110=AU$2,'Atividades Micro'!$K110&lt;&gt;""),'Atividades Micro'!$K110,"")</f>
        <v/>
      </c>
      <c r="AV104" s="21" t="str">
        <f>IF(AND('Atividades Micro'!$A110=AV$2,'Atividades Micro'!$L110&lt;&gt;""),'Atividades Micro'!$L110,"")</f>
        <v/>
      </c>
      <c r="AW104" s="21" t="str">
        <f>IF(AND('Atividades Micro'!$B110=AW$2,'Atividades Micro'!$K110&lt;&gt;""),'Atividades Micro'!$K110,"")</f>
        <v/>
      </c>
      <c r="AX104" s="21" t="str">
        <f>IF(AND('Atividades Micro'!$B110=AX$2,'Atividades Micro'!$L110&lt;&gt;""),'Atividades Micro'!$L110,"")</f>
        <v/>
      </c>
      <c r="AY104" s="21" t="str">
        <f>IF(AND('Atividades Micro'!$A110=AY$2,'Atividades Micro'!$K110&lt;&gt;""),'Atividades Micro'!$K110,"")</f>
        <v/>
      </c>
      <c r="AZ104" s="21" t="str">
        <f>IF(AND('Atividades Micro'!$A110=AZ$2,'Atividades Micro'!$L110&lt;&gt;""),'Atividades Micro'!$L110,"")</f>
        <v/>
      </c>
      <c r="BA104" s="21" t="str">
        <f>IF(AND('Atividades Micro'!$B110=BA$2,'Atividades Micro'!$K110&lt;&gt;""),'Atividades Micro'!$K110,"")</f>
        <v/>
      </c>
      <c r="BB104" s="21" t="str">
        <f>IF(AND('Atividades Micro'!$B110=BB$2,'Atividades Micro'!$L110&lt;&gt;""),'Atividades Micro'!$L110,"")</f>
        <v/>
      </c>
      <c r="BC104" s="21" t="str">
        <f>IF(AND('Atividades Micro'!$B110=BC$2,'Atividades Micro'!$G110="Macro",'Atividades Micro'!$K110&lt;&gt;""),'Atividades Micro'!$K110,"")</f>
        <v/>
      </c>
      <c r="BD104" s="21" t="str">
        <f>IF(AND('Atividades Micro'!$B110=BD$2,'Atividades Micro'!$G110="Macro",'Atividades Micro'!$K110&lt;&gt;""),'Atividades Micro'!$K110,"")</f>
        <v/>
      </c>
      <c r="BE104" s="21" t="str">
        <f>IF(AND('Atividades Micro'!$B110=BE$2,'Atividades Micro'!$G110="Macro",'Atividades Micro'!$K110&lt;&gt;""),'Atividades Micro'!$K110,"")</f>
        <v/>
      </c>
      <c r="BF104" s="21" t="str">
        <f>IF(AND('Atividades Micro'!$B110=BF$2,'Atividades Micro'!$G110="Macro",'Atividades Micro'!$K110&lt;&gt;""),'Atividades Micro'!$K110,"")</f>
        <v/>
      </c>
      <c r="BG104" s="21" t="str">
        <f>IF(AND('Atividades Micro'!$B110=BG$2,'Atividades Micro'!$G110="Macro",'Atividades Micro'!$K110&lt;&gt;""),'Atividades Micro'!$K110,"")</f>
        <v/>
      </c>
      <c r="BH104" s="21" t="str">
        <f>IF(AND('Atividades Micro'!$B110=BH$2,'Atividades Micro'!$G110="Macro",'Atividades Micro'!$K110&lt;&gt;""),'Atividades Micro'!$K110,"")</f>
        <v/>
      </c>
      <c r="BI104" s="21" t="str">
        <f>IF(AND('Atividades Micro'!$B110=BI$2,'Atividades Micro'!$G110="Macro",'Atividades Micro'!$K110&lt;&gt;""),'Atividades Micro'!$K110,"")</f>
        <v/>
      </c>
      <c r="BJ104" s="21" t="str">
        <f>IF(AND('Atividades Micro'!$B110=BJ$2,'Atividades Micro'!$G110="Macro",'Atividades Micro'!$K110&lt;&gt;""),'Atividades Micro'!$K110,"")</f>
        <v/>
      </c>
      <c r="BK104" s="21" t="str">
        <f>IF(AND('Atividades Micro'!$B110=BK$2,'Atividades Micro'!$G110="Macro",'Atividades Micro'!$K110&lt;&gt;""),'Atividades Micro'!$K110,"")</f>
        <v/>
      </c>
      <c r="BL104" s="21" t="str">
        <f>IF(AND('Atividades Micro'!$B110=BL$2,'Atividades Micro'!$G110="Macro",'Atividades Micro'!$K110&lt;&gt;""),'Atividades Micro'!$K110,"")</f>
        <v/>
      </c>
      <c r="BM104" s="21" t="str">
        <f>IF(AND('Atividades Micro'!$B110=BM$2,'Atividades Micro'!$G110="Macro",'Atividades Micro'!$K110&lt;&gt;""),'Atividades Micro'!$K110,"")</f>
        <v/>
      </c>
      <c r="BN104" s="21" t="str">
        <f>IF(AND('Atividades Micro'!$B110=BN$2,'Atividades Micro'!$G110="Macro",'Atividades Micro'!$K110&lt;&gt;""),'Atividades Micro'!$K110,"")</f>
        <v/>
      </c>
      <c r="BO104" s="21" t="str">
        <f>IF(AND('Atividades Micro'!$B110=BO$2,'Atividades Micro'!$G110="Macro",'Atividades Micro'!$K110&lt;&gt;""),'Atividades Micro'!$K110,"")</f>
        <v/>
      </c>
      <c r="BP104" s="21" t="str">
        <f>IF(AND('Atividades Micro'!$B110=BP$2,'Atividades Micro'!$G110="Macro",'Atividades Micro'!$K110&lt;&gt;""),'Atividades Micro'!$K110,"")</f>
        <v/>
      </c>
      <c r="BQ104" s="21" t="str">
        <f>IF(AND('Atividades Micro'!$B110=BQ$2,'Atividades Micro'!$G110="Macro",'Atividades Micro'!$K110&lt;&gt;""),'Atividades Micro'!$K110,"")</f>
        <v/>
      </c>
      <c r="BR104" s="21" t="str">
        <f>IF(AND('Atividades Micro'!$B110=BR$2,'Atividades Micro'!$G110="Macro",'Atividades Micro'!$K110&lt;&gt;""),'Atividades Micro'!$K110,"")</f>
        <v/>
      </c>
      <c r="BS104" s="21" t="str">
        <f>IF(AND('Atividades Micro'!$B110=BS$2,'Atividades Micro'!$G110="Macro",'Atividades Micro'!$K110&lt;&gt;""),'Atividades Micro'!$K110,"")</f>
        <v/>
      </c>
      <c r="BT104" s="21" t="str">
        <f>IF(AND('Atividades Micro'!$B110=BT$2,'Atividades Micro'!$G110="Macro",'Atividades Micro'!$K110&lt;&gt;""),'Atividades Micro'!$K110,"")</f>
        <v/>
      </c>
      <c r="BU104" s="21" t="str">
        <f>IF(AND('Atividades Micro'!$B110=BU$2,'Atividades Micro'!$G110="Macro",'Atividades Micro'!$K110&lt;&gt;""),'Atividades Micro'!$K110,"")</f>
        <v/>
      </c>
      <c r="BV104" s="21" t="str">
        <f>IF(AND('Atividades Micro'!$B110=BV$2,'Atividades Micro'!$G110="Macro",'Atividades Micro'!$K110&lt;&gt;""),'Atividades Micro'!$K110,"")</f>
        <v/>
      </c>
      <c r="BW104" s="21" t="str">
        <f>IF(AND('Atividades Micro'!$B110=BW$2,'Atividades Micro'!$G110="Macro",'Atividades Micro'!$K110&lt;&gt;""),'Atividades Micro'!$K110,"")</f>
        <v/>
      </c>
      <c r="BX104" s="21" t="str">
        <f>IF(AND('Atividades Micro'!$B110=BX$2,'Atividades Micro'!$G110="Macro",'Atividades Micro'!$K110&lt;&gt;""),'Atividades Micro'!$K110,"")</f>
        <v/>
      </c>
      <c r="BY104" s="21" t="str">
        <f>IF(AND('Atividades Micro'!$B110=BY$2,'Atividades Micro'!$G110="Macro",'Atividades Micro'!$K110&lt;&gt;""),'Atividades Micro'!$K110,"")</f>
        <v/>
      </c>
      <c r="BZ104" s="21" t="str">
        <f>IF(AND('Atividades Micro'!$B110=BZ$2,'Atividades Micro'!$G110="Macro",'Atividades Micro'!$K110&lt;&gt;""),'Atividades Micro'!$K110,"")</f>
        <v/>
      </c>
      <c r="CA104" s="21" t="str">
        <f>IF(AND('Atividades Micro'!$B110=CA$2,'Atividades Micro'!$G110="Macro",'Atividades Micro'!$K110&lt;&gt;""),'Atividades Micro'!$K110,"")</f>
        <v/>
      </c>
      <c r="CB104" s="21" t="str">
        <f>IF(AND('Atividades Micro'!$B110=CB$2,'Atividades Micro'!$G110="Macro",'Atividades Micro'!$K110&lt;&gt;""),'Atividades Micro'!$K110,"")</f>
        <v/>
      </c>
      <c r="CC104" s="21" t="str">
        <f>IF(AND('Atividades Micro'!$B110=CC$2,'Atividades Micro'!$G110="Macro",'Atividades Micro'!$K110&lt;&gt;""),'Atividades Micro'!$K110,"")</f>
        <v/>
      </c>
      <c r="CD104" s="21" t="str">
        <f>IF(AND('Atividades Micro'!$B110=CD$2,'Atividades Micro'!$G110="Micro",'Atividades Micro'!$K110&lt;&gt;""),'Atividades Micro'!$K110,"")</f>
        <v/>
      </c>
      <c r="CE104" s="21" t="str">
        <f>IF(AND('Atividades Micro'!$B110=CE$2,'Atividades Micro'!$G110="Micro",'Atividades Micro'!$K110&lt;&gt;""),'Atividades Micro'!$K110,"")</f>
        <v/>
      </c>
      <c r="CF104" s="21" t="str">
        <f>IF(AND('Atividades Micro'!$B110=CF$2,'Atividades Micro'!$G110="Micro",'Atividades Micro'!$K110&lt;&gt;""),'Atividades Micro'!$K110,"")</f>
        <v/>
      </c>
      <c r="CG104" s="21" t="str">
        <f>IF(AND('Atividades Micro'!$B110=CG$2,'Atividades Micro'!$G110="Micro",'Atividades Micro'!$K110&lt;&gt;""),'Atividades Micro'!$K110,"")</f>
        <v/>
      </c>
      <c r="CH104" s="21" t="str">
        <f>IF(AND('Atividades Micro'!$B110=CH$2,'Atividades Micro'!$G110="Micro",'Atividades Micro'!$K110&lt;&gt;""),'Atividades Micro'!$K110,"")</f>
        <v/>
      </c>
      <c r="CI104" s="21" t="str">
        <f>IF(AND('Atividades Micro'!$B110=CI$2,'Atividades Micro'!$G110="Micro",'Atividades Micro'!$K110&lt;&gt;""),'Atividades Micro'!$K110,"")</f>
        <v/>
      </c>
      <c r="CJ104" s="21" t="str">
        <f>IF(AND('Atividades Micro'!$B110=CJ$2,'Atividades Micro'!$G110="Micro",'Atividades Micro'!$K110&lt;&gt;""),'Atividades Micro'!$K110,"")</f>
        <v/>
      </c>
      <c r="CK104" s="21" t="str">
        <f>IF(AND('Atividades Micro'!$B110=CK$2,'Atividades Micro'!$G110="Micro",'Atividades Micro'!$K110&lt;&gt;""),'Atividades Micro'!$K110,"")</f>
        <v/>
      </c>
      <c r="CL104" s="21" t="str">
        <f>IF(AND('Atividades Micro'!$B110=CL$2,'Atividades Micro'!$G110="Micro",'Atividades Micro'!$K110&lt;&gt;""),'Atividades Micro'!$K110,"")</f>
        <v/>
      </c>
      <c r="CM104" s="21" t="str">
        <f>IF(AND('Atividades Micro'!$B110=CM$2,'Atividades Micro'!$G110="Micro",'Atividades Micro'!$K110&lt;&gt;""),'Atividades Micro'!$K110,"")</f>
        <v/>
      </c>
      <c r="CN104" s="21" t="str">
        <f>IF(AND('Atividades Micro'!$B110=CN$2,'Atividades Micro'!$G110="Micro",'Atividades Micro'!$K110&lt;&gt;""),'Atividades Micro'!$K110,"")</f>
        <v/>
      </c>
      <c r="CO104" s="21" t="str">
        <f>IF(AND('Atividades Micro'!$B110=CO$2,'Atividades Micro'!$G110="Micro",'Atividades Micro'!$K110&lt;&gt;""),'Atividades Micro'!$K110,"")</f>
        <v/>
      </c>
    </row>
    <row r="105" spans="1:93">
      <c r="A105" s="21" t="str">
        <f>IF(AND('Atividades Micro'!$A113=A$2,'Atividades Micro'!$K113&lt;&gt;""),'Atividades Micro'!$K113,"")</f>
        <v/>
      </c>
      <c r="B105" s="21" t="str">
        <f>IF(AND('Atividades Micro'!$A113=B$2,'Atividades Micro'!$L113&lt;&gt;""),'Atividades Micro'!$L113,"")</f>
        <v/>
      </c>
      <c r="C105" s="21" t="str">
        <f>IF(AND('Atividades Micro'!$A113=C$2,'Atividades Micro'!$K113&lt;&gt;""),'Atividades Micro'!$K113,"")</f>
        <v/>
      </c>
      <c r="D105" s="21" t="str">
        <f>IF(AND('Atividades Micro'!$A113=D$2,'Atividades Micro'!$L113&lt;&gt;""),'Atividades Micro'!$L113,"")</f>
        <v/>
      </c>
      <c r="E105" s="21" t="str">
        <f>IF(AND('Atividades Micro'!$A113=E$2,'Atividades Micro'!$K113&lt;&gt;""),'Atividades Micro'!$K113,"")</f>
        <v/>
      </c>
      <c r="F105" s="21" t="str">
        <f>IF(AND('Atividades Micro'!$A113=F$2,'Atividades Micro'!$L113&lt;&gt;""),'Atividades Micro'!$L113,"")</f>
        <v/>
      </c>
      <c r="G105" s="21" t="str">
        <f>IF(AND('Atividades Micro'!$A113=G$2,'Atividades Micro'!$K113&lt;&gt;""),'Atividades Micro'!$K113,"")</f>
        <v/>
      </c>
      <c r="H105" s="21" t="str">
        <f>IF(AND('Atividades Micro'!$A113=H$2,'Atividades Micro'!$L113&lt;&gt;""),'Atividades Micro'!$L113,"")</f>
        <v/>
      </c>
      <c r="I105" s="21" t="str">
        <f>IF(AND('Atividades Micro'!$A113=I$2,'Atividades Micro'!$K113&lt;&gt;""),'Atividades Micro'!$K113,"")</f>
        <v/>
      </c>
      <c r="J105" s="21" t="str">
        <f>IF(AND('Atividades Micro'!$A113=J$2,'Atividades Micro'!$L113&lt;&gt;""),'Atividades Micro'!$L113,"")</f>
        <v/>
      </c>
      <c r="K105" s="21" t="str">
        <f>IF(AND('Atividades Micro'!$B113=K$2,'Atividades Micro'!$K113&lt;&gt;""),'Atividades Micro'!$K113,"")</f>
        <v/>
      </c>
      <c r="L105" s="21" t="str">
        <f>IF(AND('Atividades Micro'!$B113=L$2,'Atividades Micro'!$L113&lt;&gt;""),'Atividades Micro'!$L113,"")</f>
        <v/>
      </c>
      <c r="M105" s="21" t="str">
        <f>IF(AND('Atividades Micro'!$B113=M$2,'Atividades Micro'!$K113&lt;&gt;""),'Atividades Micro'!$K113,"")</f>
        <v/>
      </c>
      <c r="N105" s="21" t="str">
        <f>IF(AND('Atividades Micro'!$B113=N$2,'Atividades Micro'!$L113&lt;&gt;""),'Atividades Micro'!$L113,"")</f>
        <v/>
      </c>
      <c r="O105" s="21">
        <f>IF(AND('Atividades Micro'!$A113=O$2,'Atividades Micro'!$K113&lt;&gt;""),'Atividades Micro'!$K113,"")</f>
        <v>46374</v>
      </c>
      <c r="P105" s="21" t="str">
        <f>IF(AND('Atividades Micro'!$A113=P$2,'Atividades Micro'!$L113&lt;&gt;""),'Atividades Micro'!$L113,"")</f>
        <v/>
      </c>
      <c r="Q105" s="21">
        <f>IF(AND('Atividades Micro'!$B113=Q$2,'Atividades Micro'!$K113&lt;&gt;""),'Atividades Micro'!$K113,"")</f>
        <v>46374</v>
      </c>
      <c r="R105" s="21" t="str">
        <f>IF(AND('Atividades Micro'!$B113=R$2,'Atividades Micro'!$L113&lt;&gt;""),'Atividades Micro'!$L113,"")</f>
        <v/>
      </c>
      <c r="S105" s="21" t="str">
        <f>IF(AND('Atividades Micro'!$A113=S$2,'Atividades Micro'!$K113&lt;&gt;""),'Atividades Micro'!$K113,"")</f>
        <v/>
      </c>
      <c r="T105" s="21" t="str">
        <f>IF(AND('Atividades Micro'!$A113=T$2,'Atividades Micro'!$L113&lt;&gt;""),'Atividades Micro'!$L113,"")</f>
        <v/>
      </c>
      <c r="U105" s="21" t="str">
        <f>IF(AND('Atividades Micro'!$B113=U$2,'Atividades Micro'!$K113&lt;&gt;""),'Atividades Micro'!$K113,"")</f>
        <v/>
      </c>
      <c r="V105" s="21" t="str">
        <f>IF(AND('Atividades Micro'!$B113=V$2,'Atividades Micro'!$L113&lt;&gt;""),'Atividades Micro'!$L113,"")</f>
        <v/>
      </c>
      <c r="W105" s="21" t="str">
        <f>IF(AND('Atividades Micro'!$B113=W$2,'Atividades Micro'!$K113&lt;&gt;""),'Atividades Micro'!$K113,"")</f>
        <v/>
      </c>
      <c r="X105" s="21" t="str">
        <f>IF(AND('Atividades Micro'!$B113=X$2,'Atividades Micro'!$L113&lt;&gt;""),'Atividades Micro'!$L113,"")</f>
        <v/>
      </c>
      <c r="Y105" s="21" t="str">
        <f>IF(AND('Atividades Micro'!$A113=Y$2,'Atividades Micro'!$K113&lt;&gt;""),'Atividades Micro'!$K113,"")</f>
        <v/>
      </c>
      <c r="Z105" s="21" t="str">
        <f>IF(AND('Atividades Micro'!$A113=Z$2,'Atividades Micro'!$L113&lt;&gt;""),'Atividades Micro'!$L113,"")</f>
        <v/>
      </c>
      <c r="AA105" s="21" t="str">
        <f>IF(AND('Atividades Micro'!$B113=AA$2,'Atividades Micro'!$K113&lt;&gt;""),'Atividades Micro'!$K113,"")</f>
        <v/>
      </c>
      <c r="AB105" s="21" t="str">
        <f>IF(AND('Atividades Micro'!$B113=AB$2,'Atividades Micro'!$L113&lt;&gt;""),'Atividades Micro'!$L113,"")</f>
        <v/>
      </c>
      <c r="AC105" s="21" t="str">
        <f>IF(AND('Atividades Micro'!$B113=AC$2,'Atividades Micro'!$K113&lt;&gt;""),'Atividades Micro'!$K113,"")</f>
        <v/>
      </c>
      <c r="AD105" s="21" t="str">
        <f>IF(AND('Atividades Micro'!$B113=AD$2,'Atividades Micro'!$L113&lt;&gt;""),'Atividades Micro'!$L113,"")</f>
        <v/>
      </c>
      <c r="AE105" s="21" t="str">
        <f>IF(AND('Atividades Micro'!$A113=AE$2,'Atividades Micro'!$K113&lt;&gt;""),'Atividades Micro'!$K113,"")</f>
        <v/>
      </c>
      <c r="AF105" s="21" t="str">
        <f>IF(AND('Atividades Micro'!$A113=AF$2,'Atividades Micro'!$L113&lt;&gt;""),'Atividades Micro'!$L113,"")</f>
        <v/>
      </c>
      <c r="AG105" s="21" t="str">
        <f>IF(AND('Atividades Micro'!$B113=AG$2,'Atividades Micro'!$K113&lt;&gt;""),'Atividades Micro'!$K113,"")</f>
        <v/>
      </c>
      <c r="AH105" s="21" t="str">
        <f>IF(AND('Atividades Micro'!$B113=AH$2,'Atividades Micro'!$L113&lt;&gt;""),'Atividades Micro'!$L113,"")</f>
        <v/>
      </c>
      <c r="AI105" s="21" t="str">
        <f>IF(AND('Atividades Micro'!$B113=AI$2,'Atividades Micro'!$K113&lt;&gt;""),'Atividades Micro'!$K113,"")</f>
        <v/>
      </c>
      <c r="AJ105" s="21" t="str">
        <f>IF(AND('Atividades Micro'!$B113=AJ$2,'Atividades Micro'!$L113&lt;&gt;""),'Atividades Micro'!$L113,"")</f>
        <v/>
      </c>
      <c r="AK105" s="21" t="str">
        <f>IF(AND('Atividades Micro'!$A113=AK$2,'Atividades Micro'!$K113&lt;&gt;""),'Atividades Micro'!$K113,"")</f>
        <v/>
      </c>
      <c r="AL105" s="21" t="str">
        <f>IF(AND('Atividades Micro'!$A113=AL$2,'Atividades Micro'!$L113&lt;&gt;""),'Atividades Micro'!$L113,"")</f>
        <v/>
      </c>
      <c r="AM105" s="21" t="str">
        <f>IF(AND('Atividades Micro'!$B113=AM$2,'Atividades Micro'!$K113&lt;&gt;""),'Atividades Micro'!$K113,"")</f>
        <v/>
      </c>
      <c r="AN105" s="21" t="str">
        <f>IF(AND('Atividades Micro'!$B113=AN$2,'Atividades Micro'!$L113&lt;&gt;""),'Atividades Micro'!$L113,"")</f>
        <v/>
      </c>
      <c r="AO105" s="21" t="str">
        <f>IF(AND('Atividades Micro'!$B113=AO$2,'Atividades Micro'!$K113&lt;&gt;""),'Atividades Micro'!$K113,"")</f>
        <v/>
      </c>
      <c r="AP105" s="21" t="str">
        <f>IF(AND('Atividades Micro'!$B113=AP$2,'Atividades Micro'!$L113&lt;&gt;""),'Atividades Micro'!$L113,"")</f>
        <v/>
      </c>
      <c r="AQ105" s="21" t="str">
        <f>IF(AND('Atividades Micro'!$A113=AQ$2,'Atividades Micro'!$K113&lt;&gt;""),'Atividades Micro'!$K113,"")</f>
        <v/>
      </c>
      <c r="AR105" s="21" t="str">
        <f>IF(AND('Atividades Micro'!$A113=AR$2,'Atividades Micro'!$L113&lt;&gt;""),'Atividades Micro'!$L113,"")</f>
        <v/>
      </c>
      <c r="AS105" s="21" t="str">
        <f>IF(AND('Atividades Micro'!$B113=AS$2,'Atividades Micro'!$K113&lt;&gt;""),'Atividades Micro'!$K113,"")</f>
        <v/>
      </c>
      <c r="AT105" s="21" t="str">
        <f>IF(AND('Atividades Micro'!$B113=AT$2,'Atividades Micro'!$L113&lt;&gt;""),'Atividades Micro'!$L113,"")</f>
        <v/>
      </c>
      <c r="AU105" s="21" t="str">
        <f>IF(AND('Atividades Micro'!$A113=AU$2,'Atividades Micro'!$K113&lt;&gt;""),'Atividades Micro'!$K113,"")</f>
        <v/>
      </c>
      <c r="AV105" s="21" t="str">
        <f>IF(AND('Atividades Micro'!$A113=AV$2,'Atividades Micro'!$L113&lt;&gt;""),'Atividades Micro'!$L113,"")</f>
        <v/>
      </c>
      <c r="AW105" s="21" t="str">
        <f>IF(AND('Atividades Micro'!$B113=AW$2,'Atividades Micro'!$K113&lt;&gt;""),'Atividades Micro'!$K113,"")</f>
        <v/>
      </c>
      <c r="AX105" s="21" t="str">
        <f>IF(AND('Atividades Micro'!$B113=AX$2,'Atividades Micro'!$L113&lt;&gt;""),'Atividades Micro'!$L113,"")</f>
        <v/>
      </c>
      <c r="AY105" s="21" t="str">
        <f>IF(AND('Atividades Micro'!$A113=AY$2,'Atividades Micro'!$K113&lt;&gt;""),'Atividades Micro'!$K113,"")</f>
        <v/>
      </c>
      <c r="AZ105" s="21" t="str">
        <f>IF(AND('Atividades Micro'!$A113=AZ$2,'Atividades Micro'!$L113&lt;&gt;""),'Atividades Micro'!$L113,"")</f>
        <v/>
      </c>
      <c r="BA105" s="21" t="str">
        <f>IF(AND('Atividades Micro'!$B113=BA$2,'Atividades Micro'!$K113&lt;&gt;""),'Atividades Micro'!$K113,"")</f>
        <v/>
      </c>
      <c r="BB105" s="21" t="str">
        <f>IF(AND('Atividades Micro'!$B113=BB$2,'Atividades Micro'!$L113&lt;&gt;""),'Atividades Micro'!$L113,"")</f>
        <v/>
      </c>
      <c r="BC105" s="21" t="str">
        <f>IF(AND('Atividades Micro'!$B113=BC$2,'Atividades Micro'!$G113="Macro",'Atividades Micro'!$K113&lt;&gt;""),'Atividades Micro'!$K113,"")</f>
        <v/>
      </c>
      <c r="BD105" s="21" t="str">
        <f>IF(AND('Atividades Micro'!$B113=BD$2,'Atividades Micro'!$G113="Macro",'Atividades Micro'!$K113&lt;&gt;""),'Atividades Micro'!$K113,"")</f>
        <v/>
      </c>
      <c r="BE105" s="21" t="str">
        <f>IF(AND('Atividades Micro'!$B113=BE$2,'Atividades Micro'!$G113="Macro",'Atividades Micro'!$K113&lt;&gt;""),'Atividades Micro'!$K113,"")</f>
        <v/>
      </c>
      <c r="BF105" s="21" t="str">
        <f>IF(AND('Atividades Micro'!$B113=BF$2,'Atividades Micro'!$G113="Macro",'Atividades Micro'!$K113&lt;&gt;""),'Atividades Micro'!$K113,"")</f>
        <v/>
      </c>
      <c r="BG105" s="21" t="str">
        <f>IF(AND('Atividades Micro'!$B113=BG$2,'Atividades Micro'!$G113="Macro",'Atividades Micro'!$K113&lt;&gt;""),'Atividades Micro'!$K113,"")</f>
        <v/>
      </c>
      <c r="BH105" s="21" t="str">
        <f>IF(AND('Atividades Micro'!$B113=BH$2,'Atividades Micro'!$G113="Macro",'Atividades Micro'!$K113&lt;&gt;""),'Atividades Micro'!$K113,"")</f>
        <v/>
      </c>
      <c r="BI105" s="21" t="str">
        <f>IF(AND('Atividades Micro'!$B113=BI$2,'Atividades Micro'!$G113="Macro",'Atividades Micro'!$K113&lt;&gt;""),'Atividades Micro'!$K113,"")</f>
        <v/>
      </c>
      <c r="BJ105" s="21" t="str">
        <f>IF(AND('Atividades Micro'!$B113=BJ$2,'Atividades Micro'!$G113="Macro",'Atividades Micro'!$K113&lt;&gt;""),'Atividades Micro'!$K113,"")</f>
        <v/>
      </c>
      <c r="BK105" s="21">
        <f>IF(AND('Atividades Micro'!$B113=BK$2,'Atividades Micro'!$G113="Macro",'Atividades Micro'!$K113&lt;&gt;""),'Atividades Micro'!$K113,"")</f>
        <v>46374</v>
      </c>
      <c r="BL105" s="21" t="str">
        <f>IF(AND('Atividades Micro'!$B113=BL$2,'Atividades Micro'!$G113="Macro",'Atividades Micro'!$K113&lt;&gt;""),'Atividades Micro'!$K113,"")</f>
        <v/>
      </c>
      <c r="BM105" s="21" t="str">
        <f>IF(AND('Atividades Micro'!$B113=BM$2,'Atividades Micro'!$G113="Macro",'Atividades Micro'!$K113&lt;&gt;""),'Atividades Micro'!$K113,"")</f>
        <v/>
      </c>
      <c r="BN105" s="21" t="str">
        <f>IF(AND('Atividades Micro'!$B113=BN$2,'Atividades Micro'!$G113="Macro",'Atividades Micro'!$K113&lt;&gt;""),'Atividades Micro'!$K113,"")</f>
        <v/>
      </c>
      <c r="BO105" s="21" t="str">
        <f>IF(AND('Atividades Micro'!$B113=BO$2,'Atividades Micro'!$G113="Macro",'Atividades Micro'!$K113&lt;&gt;""),'Atividades Micro'!$K113,"")</f>
        <v/>
      </c>
      <c r="BP105" s="21" t="str">
        <f>IF(AND('Atividades Micro'!$B113=BP$2,'Atividades Micro'!$G113="Macro",'Atividades Micro'!$K113&lt;&gt;""),'Atividades Micro'!$K113,"")</f>
        <v/>
      </c>
      <c r="BQ105" s="21" t="str">
        <f>IF(AND('Atividades Micro'!$B113=BQ$2,'Atividades Micro'!$G113="Macro",'Atividades Micro'!$K113&lt;&gt;""),'Atividades Micro'!$K113,"")</f>
        <v/>
      </c>
      <c r="BR105" s="21" t="str">
        <f>IF(AND('Atividades Micro'!$B113=BR$2,'Atividades Micro'!$G113="Macro",'Atividades Micro'!$K113&lt;&gt;""),'Atividades Micro'!$K113,"")</f>
        <v/>
      </c>
      <c r="BS105" s="21" t="str">
        <f>IF(AND('Atividades Micro'!$B113=BS$2,'Atividades Micro'!$G113="Macro",'Atividades Micro'!$K113&lt;&gt;""),'Atividades Micro'!$K113,"")</f>
        <v/>
      </c>
      <c r="BT105" s="21" t="str">
        <f>IF(AND('Atividades Micro'!$B113=BT$2,'Atividades Micro'!$G113="Macro",'Atividades Micro'!$K113&lt;&gt;""),'Atividades Micro'!$K113,"")</f>
        <v/>
      </c>
      <c r="BU105" s="21" t="str">
        <f>IF(AND('Atividades Micro'!$B113=BU$2,'Atividades Micro'!$G113="Macro",'Atividades Micro'!$K113&lt;&gt;""),'Atividades Micro'!$K113,"")</f>
        <v/>
      </c>
      <c r="BV105" s="21" t="str">
        <f>IF(AND('Atividades Micro'!$B113=BV$2,'Atividades Micro'!$G113="Macro",'Atividades Micro'!$K113&lt;&gt;""),'Atividades Micro'!$K113,"")</f>
        <v/>
      </c>
      <c r="BW105" s="21" t="str">
        <f>IF(AND('Atividades Micro'!$B113=BW$2,'Atividades Micro'!$G113="Macro",'Atividades Micro'!$K113&lt;&gt;""),'Atividades Micro'!$K113,"")</f>
        <v/>
      </c>
      <c r="BX105" s="21" t="str">
        <f>IF(AND('Atividades Micro'!$B113=BX$2,'Atividades Micro'!$G113="Macro",'Atividades Micro'!$K113&lt;&gt;""),'Atividades Micro'!$K113,"")</f>
        <v/>
      </c>
      <c r="BY105" s="21" t="str">
        <f>IF(AND('Atividades Micro'!$B113=BY$2,'Atividades Micro'!$G113="Macro",'Atividades Micro'!$K113&lt;&gt;""),'Atividades Micro'!$K113,"")</f>
        <v/>
      </c>
      <c r="BZ105" s="21" t="str">
        <f>IF(AND('Atividades Micro'!$B113=BZ$2,'Atividades Micro'!$G113="Macro",'Atividades Micro'!$K113&lt;&gt;""),'Atividades Micro'!$K113,"")</f>
        <v/>
      </c>
      <c r="CA105" s="21" t="str">
        <f>IF(AND('Atividades Micro'!$B113=CA$2,'Atividades Micro'!$G113="Macro",'Atividades Micro'!$K113&lt;&gt;""),'Atividades Micro'!$K113,"")</f>
        <v/>
      </c>
      <c r="CB105" s="21" t="str">
        <f>IF(AND('Atividades Micro'!$B113=CB$2,'Atividades Micro'!$G113="Macro",'Atividades Micro'!$K113&lt;&gt;""),'Atividades Micro'!$K113,"")</f>
        <v/>
      </c>
      <c r="CC105" s="21" t="str">
        <f>IF(AND('Atividades Micro'!$B113=CC$2,'Atividades Micro'!$G113="Macro",'Atividades Micro'!$K113&lt;&gt;""),'Atividades Micro'!$K113,"")</f>
        <v/>
      </c>
      <c r="CD105" s="21" t="str">
        <f>IF(AND('Atividades Micro'!$B113=CD$2,'Atividades Micro'!$G113="Micro",'Atividades Micro'!$K113&lt;&gt;""),'Atividades Micro'!$K113,"")</f>
        <v/>
      </c>
      <c r="CE105" s="21" t="str">
        <f>IF(AND('Atividades Micro'!$B113=CE$2,'Atividades Micro'!$G113="Micro",'Atividades Micro'!$K113&lt;&gt;""),'Atividades Micro'!$K113,"")</f>
        <v/>
      </c>
      <c r="CF105" s="21" t="str">
        <f>IF(AND('Atividades Micro'!$B113=CF$2,'Atividades Micro'!$G113="Micro",'Atividades Micro'!$K113&lt;&gt;""),'Atividades Micro'!$K113,"")</f>
        <v/>
      </c>
      <c r="CG105" s="21" t="str">
        <f>IF(AND('Atividades Micro'!$B113=CG$2,'Atividades Micro'!$G113="Micro",'Atividades Micro'!$K113&lt;&gt;""),'Atividades Micro'!$K113,"")</f>
        <v/>
      </c>
      <c r="CH105" s="21" t="str">
        <f>IF(AND('Atividades Micro'!$B113=CH$2,'Atividades Micro'!$G113="Micro",'Atividades Micro'!$K113&lt;&gt;""),'Atividades Micro'!$K113,"")</f>
        <v/>
      </c>
      <c r="CI105" s="21" t="str">
        <f>IF(AND('Atividades Micro'!$B113=CI$2,'Atividades Micro'!$G113="Micro",'Atividades Micro'!$K113&lt;&gt;""),'Atividades Micro'!$K113,"")</f>
        <v/>
      </c>
      <c r="CJ105" s="21" t="str">
        <f>IF(AND('Atividades Micro'!$B113=CJ$2,'Atividades Micro'!$G113="Micro",'Atividades Micro'!$K113&lt;&gt;""),'Atividades Micro'!$K113,"")</f>
        <v/>
      </c>
      <c r="CK105" s="21" t="str">
        <f>IF(AND('Atividades Micro'!$B113=CK$2,'Atividades Micro'!$G113="Micro",'Atividades Micro'!$K113&lt;&gt;""),'Atividades Micro'!$K113,"")</f>
        <v/>
      </c>
      <c r="CL105" s="21" t="str">
        <f>IF(AND('Atividades Micro'!$B113=CL$2,'Atividades Micro'!$G113="Micro",'Atividades Micro'!$K113&lt;&gt;""),'Atividades Micro'!$K113,"")</f>
        <v/>
      </c>
      <c r="CM105" s="21" t="str">
        <f>IF(AND('Atividades Micro'!$B113=CM$2,'Atividades Micro'!$G113="Micro",'Atividades Micro'!$K113&lt;&gt;""),'Atividades Micro'!$K113,"")</f>
        <v/>
      </c>
      <c r="CN105" s="21" t="str">
        <f>IF(AND('Atividades Micro'!$B113=CN$2,'Atividades Micro'!$G113="Micro",'Atividades Micro'!$K113&lt;&gt;""),'Atividades Micro'!$K113,"")</f>
        <v/>
      </c>
      <c r="CO105" s="21" t="str">
        <f>IF(AND('Atividades Micro'!$B113=CO$2,'Atividades Micro'!$G113="Micro",'Atividades Micro'!$K113&lt;&gt;""),'Atividades Micro'!$K113,"")</f>
        <v/>
      </c>
    </row>
    <row r="106" spans="1:93">
      <c r="A106" s="21" t="str">
        <f>IF(AND('Atividades Micro'!$A114=A$2,'Atividades Micro'!$K114&lt;&gt;""),'Atividades Micro'!$K114,"")</f>
        <v/>
      </c>
      <c r="B106" s="21" t="str">
        <f>IF(AND('Atividades Micro'!$A114=B$2,'Atividades Micro'!$L114&lt;&gt;""),'Atividades Micro'!$L114,"")</f>
        <v/>
      </c>
      <c r="C106" s="21" t="str">
        <f>IF(AND('Atividades Micro'!$A114=C$2,'Atividades Micro'!$K114&lt;&gt;""),'Atividades Micro'!$K114,"")</f>
        <v/>
      </c>
      <c r="D106" s="21" t="str">
        <f>IF(AND('Atividades Micro'!$A114=D$2,'Atividades Micro'!$L114&lt;&gt;""),'Atividades Micro'!$L114,"")</f>
        <v/>
      </c>
      <c r="E106" s="21" t="str">
        <f>IF(AND('Atividades Micro'!$A114=E$2,'Atividades Micro'!$K114&lt;&gt;""),'Atividades Micro'!$K114,"")</f>
        <v/>
      </c>
      <c r="F106" s="21" t="str">
        <f>IF(AND('Atividades Micro'!$A114=F$2,'Atividades Micro'!$L114&lt;&gt;""),'Atividades Micro'!$L114,"")</f>
        <v/>
      </c>
      <c r="G106" s="21" t="str">
        <f>IF(AND('Atividades Micro'!$A114=G$2,'Atividades Micro'!$K114&lt;&gt;""),'Atividades Micro'!$K114,"")</f>
        <v/>
      </c>
      <c r="H106" s="21" t="str">
        <f>IF(AND('Atividades Micro'!$A114=H$2,'Atividades Micro'!$L114&lt;&gt;""),'Atividades Micro'!$L114,"")</f>
        <v/>
      </c>
      <c r="I106" s="21" t="str">
        <f>IF(AND('Atividades Micro'!$A114=I$2,'Atividades Micro'!$K114&lt;&gt;""),'Atividades Micro'!$K114,"")</f>
        <v/>
      </c>
      <c r="J106" s="21" t="str">
        <f>IF(AND('Atividades Micro'!$A114=J$2,'Atividades Micro'!$L114&lt;&gt;""),'Atividades Micro'!$L114,"")</f>
        <v/>
      </c>
      <c r="K106" s="21" t="str">
        <f>IF(AND('Atividades Micro'!$B114=K$2,'Atividades Micro'!$K114&lt;&gt;""),'Atividades Micro'!$K114,"")</f>
        <v/>
      </c>
      <c r="L106" s="21" t="str">
        <f>IF(AND('Atividades Micro'!$B114=L$2,'Atividades Micro'!$L114&lt;&gt;""),'Atividades Micro'!$L114,"")</f>
        <v/>
      </c>
      <c r="M106" s="21" t="str">
        <f>IF(AND('Atividades Micro'!$B114=M$2,'Atividades Micro'!$K114&lt;&gt;""),'Atividades Micro'!$K114,"")</f>
        <v/>
      </c>
      <c r="N106" s="21" t="str">
        <f>IF(AND('Atividades Micro'!$B114=N$2,'Atividades Micro'!$L114&lt;&gt;""),'Atividades Micro'!$L114,"")</f>
        <v/>
      </c>
      <c r="O106" s="21" t="str">
        <f>IF(AND('Atividades Micro'!$A114=O$2,'Atividades Micro'!$K114&lt;&gt;""),'Atividades Micro'!$K114,"")</f>
        <v/>
      </c>
      <c r="P106" s="21" t="str">
        <f>IF(AND('Atividades Micro'!$A114=P$2,'Atividades Micro'!$L114&lt;&gt;""),'Atividades Micro'!$L114,"")</f>
        <v/>
      </c>
      <c r="Q106" s="21" t="str">
        <f>IF(AND('Atividades Micro'!$B114=Q$2,'Atividades Micro'!$K114&lt;&gt;""),'Atividades Micro'!$K114,"")</f>
        <v/>
      </c>
      <c r="R106" s="21" t="str">
        <f>IF(AND('Atividades Micro'!$B114=R$2,'Atividades Micro'!$L114&lt;&gt;""),'Atividades Micro'!$L114,"")</f>
        <v/>
      </c>
      <c r="S106" s="21" t="str">
        <f>IF(AND('Atividades Micro'!$A114=S$2,'Atividades Micro'!$K114&lt;&gt;""),'Atividades Micro'!$K114,"")</f>
        <v/>
      </c>
      <c r="T106" s="21" t="str">
        <f>IF(AND('Atividades Micro'!$A114=T$2,'Atividades Micro'!$L114&lt;&gt;""),'Atividades Micro'!$L114,"")</f>
        <v/>
      </c>
      <c r="U106" s="21" t="str">
        <f>IF(AND('Atividades Micro'!$B114=U$2,'Atividades Micro'!$K114&lt;&gt;""),'Atividades Micro'!$K114,"")</f>
        <v/>
      </c>
      <c r="V106" s="21" t="str">
        <f>IF(AND('Atividades Micro'!$B114=V$2,'Atividades Micro'!$L114&lt;&gt;""),'Atividades Micro'!$L114,"")</f>
        <v/>
      </c>
      <c r="W106" s="21" t="str">
        <f>IF(AND('Atividades Micro'!$B114=W$2,'Atividades Micro'!$K114&lt;&gt;""),'Atividades Micro'!$K114,"")</f>
        <v/>
      </c>
      <c r="X106" s="21" t="str">
        <f>IF(AND('Atividades Micro'!$B114=X$2,'Atividades Micro'!$L114&lt;&gt;""),'Atividades Micro'!$L114,"")</f>
        <v/>
      </c>
      <c r="Y106" s="21" t="str">
        <f>IF(AND('Atividades Micro'!$A114=Y$2,'Atividades Micro'!$K114&lt;&gt;""),'Atividades Micro'!$K114,"")</f>
        <v/>
      </c>
      <c r="Z106" s="21" t="str">
        <f>IF(AND('Atividades Micro'!$A114=Z$2,'Atividades Micro'!$L114&lt;&gt;""),'Atividades Micro'!$L114,"")</f>
        <v/>
      </c>
      <c r="AA106" s="21" t="str">
        <f>IF(AND('Atividades Micro'!$B114=AA$2,'Atividades Micro'!$K114&lt;&gt;""),'Atividades Micro'!$K114,"")</f>
        <v/>
      </c>
      <c r="AB106" s="21" t="str">
        <f>IF(AND('Atividades Micro'!$B114=AB$2,'Atividades Micro'!$L114&lt;&gt;""),'Atividades Micro'!$L114,"")</f>
        <v/>
      </c>
      <c r="AC106" s="21" t="str">
        <f>IF(AND('Atividades Micro'!$B114=AC$2,'Atividades Micro'!$K114&lt;&gt;""),'Atividades Micro'!$K114,"")</f>
        <v/>
      </c>
      <c r="AD106" s="21" t="str">
        <f>IF(AND('Atividades Micro'!$B114=AD$2,'Atividades Micro'!$L114&lt;&gt;""),'Atividades Micro'!$L114,"")</f>
        <v/>
      </c>
      <c r="AE106" s="21" t="str">
        <f>IF(AND('Atividades Micro'!$A114=AE$2,'Atividades Micro'!$K114&lt;&gt;""),'Atividades Micro'!$K114,"")</f>
        <v/>
      </c>
      <c r="AF106" s="21" t="str">
        <f>IF(AND('Atividades Micro'!$A114=AF$2,'Atividades Micro'!$L114&lt;&gt;""),'Atividades Micro'!$L114,"")</f>
        <v/>
      </c>
      <c r="AG106" s="21" t="str">
        <f>IF(AND('Atividades Micro'!$B114=AG$2,'Atividades Micro'!$K114&lt;&gt;""),'Atividades Micro'!$K114,"")</f>
        <v/>
      </c>
      <c r="AH106" s="21" t="str">
        <f>IF(AND('Atividades Micro'!$B114=AH$2,'Atividades Micro'!$L114&lt;&gt;""),'Atividades Micro'!$L114,"")</f>
        <v/>
      </c>
      <c r="AI106" s="21" t="str">
        <f>IF(AND('Atividades Micro'!$B114=AI$2,'Atividades Micro'!$K114&lt;&gt;""),'Atividades Micro'!$K114,"")</f>
        <v/>
      </c>
      <c r="AJ106" s="21" t="str">
        <f>IF(AND('Atividades Micro'!$B114=AJ$2,'Atividades Micro'!$L114&lt;&gt;""),'Atividades Micro'!$L114,"")</f>
        <v/>
      </c>
      <c r="AK106" s="21" t="str">
        <f>IF(AND('Atividades Micro'!$A114=AK$2,'Atividades Micro'!$K114&lt;&gt;""),'Atividades Micro'!$K114,"")</f>
        <v/>
      </c>
      <c r="AL106" s="21" t="str">
        <f>IF(AND('Atividades Micro'!$A114=AL$2,'Atividades Micro'!$L114&lt;&gt;""),'Atividades Micro'!$L114,"")</f>
        <v/>
      </c>
      <c r="AM106" s="21" t="str">
        <f>IF(AND('Atividades Micro'!$B114=AM$2,'Atividades Micro'!$K114&lt;&gt;""),'Atividades Micro'!$K114,"")</f>
        <v/>
      </c>
      <c r="AN106" s="21" t="str">
        <f>IF(AND('Atividades Micro'!$B114=AN$2,'Atividades Micro'!$L114&lt;&gt;""),'Atividades Micro'!$L114,"")</f>
        <v/>
      </c>
      <c r="AO106" s="21" t="str">
        <f>IF(AND('Atividades Micro'!$B114=AO$2,'Atividades Micro'!$K114&lt;&gt;""),'Atividades Micro'!$K114,"")</f>
        <v/>
      </c>
      <c r="AP106" s="21" t="str">
        <f>IF(AND('Atividades Micro'!$B114=AP$2,'Atividades Micro'!$L114&lt;&gt;""),'Atividades Micro'!$L114,"")</f>
        <v/>
      </c>
      <c r="AQ106" s="21" t="str">
        <f>IF(AND('Atividades Micro'!$A114=AQ$2,'Atividades Micro'!$K114&lt;&gt;""),'Atividades Micro'!$K114,"")</f>
        <v/>
      </c>
      <c r="AR106" s="21" t="str">
        <f>IF(AND('Atividades Micro'!$A114=AR$2,'Atividades Micro'!$L114&lt;&gt;""),'Atividades Micro'!$L114,"")</f>
        <v/>
      </c>
      <c r="AS106" s="21" t="str">
        <f>IF(AND('Atividades Micro'!$B114=AS$2,'Atividades Micro'!$K114&lt;&gt;""),'Atividades Micro'!$K114,"")</f>
        <v/>
      </c>
      <c r="AT106" s="21" t="str">
        <f>IF(AND('Atividades Micro'!$B114=AT$2,'Atividades Micro'!$L114&lt;&gt;""),'Atividades Micro'!$L114,"")</f>
        <v/>
      </c>
      <c r="AU106" s="21" t="str">
        <f>IF(AND('Atividades Micro'!$A114=AU$2,'Atividades Micro'!$K114&lt;&gt;""),'Atividades Micro'!$K114,"")</f>
        <v/>
      </c>
      <c r="AV106" s="21" t="str">
        <f>IF(AND('Atividades Micro'!$A114=AV$2,'Atividades Micro'!$L114&lt;&gt;""),'Atividades Micro'!$L114,"")</f>
        <v/>
      </c>
      <c r="AW106" s="21" t="str">
        <f>IF(AND('Atividades Micro'!$B114=AW$2,'Atividades Micro'!$K114&lt;&gt;""),'Atividades Micro'!$K114,"")</f>
        <v/>
      </c>
      <c r="AX106" s="21" t="str">
        <f>IF(AND('Atividades Micro'!$B114=AX$2,'Atividades Micro'!$L114&lt;&gt;""),'Atividades Micro'!$L114,"")</f>
        <v/>
      </c>
      <c r="AY106" s="21" t="str">
        <f>IF(AND('Atividades Micro'!$A114=AY$2,'Atividades Micro'!$K114&lt;&gt;""),'Atividades Micro'!$K114,"")</f>
        <v/>
      </c>
      <c r="AZ106" s="21" t="str">
        <f>IF(AND('Atividades Micro'!$A114=AZ$2,'Atividades Micro'!$L114&lt;&gt;""),'Atividades Micro'!$L114,"")</f>
        <v/>
      </c>
      <c r="BA106" s="21" t="str">
        <f>IF(AND('Atividades Micro'!$B114=BA$2,'Atividades Micro'!$K114&lt;&gt;""),'Atividades Micro'!$K114,"")</f>
        <v/>
      </c>
      <c r="BB106" s="21" t="str">
        <f>IF(AND('Atividades Micro'!$B114=BB$2,'Atividades Micro'!$L114&lt;&gt;""),'Atividades Micro'!$L114,"")</f>
        <v/>
      </c>
      <c r="BC106" s="21" t="str">
        <f>IF(AND('Atividades Micro'!$B114=BC$2,'Atividades Micro'!$G114="Macro",'Atividades Micro'!$K114&lt;&gt;""),'Atividades Micro'!$K114,"")</f>
        <v/>
      </c>
      <c r="BD106" s="21" t="str">
        <f>IF(AND('Atividades Micro'!$B114=BD$2,'Atividades Micro'!$G114="Macro",'Atividades Micro'!$K114&lt;&gt;""),'Atividades Micro'!$K114,"")</f>
        <v/>
      </c>
      <c r="BE106" s="21" t="str">
        <f>IF(AND('Atividades Micro'!$B114=BE$2,'Atividades Micro'!$G114="Macro",'Atividades Micro'!$K114&lt;&gt;""),'Atividades Micro'!$K114,"")</f>
        <v/>
      </c>
      <c r="BF106" s="21" t="str">
        <f>IF(AND('Atividades Micro'!$B114=BF$2,'Atividades Micro'!$G114="Macro",'Atividades Micro'!$K114&lt;&gt;""),'Atividades Micro'!$K114,"")</f>
        <v/>
      </c>
      <c r="BG106" s="21" t="str">
        <f>IF(AND('Atividades Micro'!$B114=BG$2,'Atividades Micro'!$G114="Macro",'Atividades Micro'!$K114&lt;&gt;""),'Atividades Micro'!$K114,"")</f>
        <v/>
      </c>
      <c r="BH106" s="21" t="str">
        <f>IF(AND('Atividades Micro'!$B114=BH$2,'Atividades Micro'!$G114="Macro",'Atividades Micro'!$K114&lt;&gt;""),'Atividades Micro'!$K114,"")</f>
        <v/>
      </c>
      <c r="BI106" s="21" t="str">
        <f>IF(AND('Atividades Micro'!$B114=BI$2,'Atividades Micro'!$G114="Macro",'Atividades Micro'!$K114&lt;&gt;""),'Atividades Micro'!$K114,"")</f>
        <v/>
      </c>
      <c r="BJ106" s="21" t="str">
        <f>IF(AND('Atividades Micro'!$B114=BJ$2,'Atividades Micro'!$G114="Macro",'Atividades Micro'!$K114&lt;&gt;""),'Atividades Micro'!$K114,"")</f>
        <v/>
      </c>
      <c r="BK106" s="21" t="str">
        <f>IF(AND('Atividades Micro'!$B114=BK$2,'Atividades Micro'!$G114="Macro",'Atividades Micro'!$K114&lt;&gt;""),'Atividades Micro'!$K114,"")</f>
        <v/>
      </c>
      <c r="BL106" s="21" t="str">
        <f>IF(AND('Atividades Micro'!$B114=BL$2,'Atividades Micro'!$G114="Macro",'Atividades Micro'!$K114&lt;&gt;""),'Atividades Micro'!$K114,"")</f>
        <v/>
      </c>
      <c r="BM106" s="21" t="str">
        <f>IF(AND('Atividades Micro'!$B114=BM$2,'Atividades Micro'!$G114="Macro",'Atividades Micro'!$K114&lt;&gt;""),'Atividades Micro'!$K114,"")</f>
        <v/>
      </c>
      <c r="BN106" s="21" t="str">
        <f>IF(AND('Atividades Micro'!$B114=BN$2,'Atividades Micro'!$G114="Macro",'Atividades Micro'!$K114&lt;&gt;""),'Atividades Micro'!$K114,"")</f>
        <v/>
      </c>
      <c r="BO106" s="21" t="str">
        <f>IF(AND('Atividades Micro'!$B114=BO$2,'Atividades Micro'!$G114="Macro",'Atividades Micro'!$K114&lt;&gt;""),'Atividades Micro'!$K114,"")</f>
        <v/>
      </c>
      <c r="BP106" s="21" t="str">
        <f>IF(AND('Atividades Micro'!$B114=BP$2,'Atividades Micro'!$G114="Macro",'Atividades Micro'!$K114&lt;&gt;""),'Atividades Micro'!$K114,"")</f>
        <v/>
      </c>
      <c r="BQ106" s="21" t="str">
        <f>IF(AND('Atividades Micro'!$B114=BQ$2,'Atividades Micro'!$G114="Macro",'Atividades Micro'!$K114&lt;&gt;""),'Atividades Micro'!$K114,"")</f>
        <v/>
      </c>
      <c r="BR106" s="21" t="str">
        <f>IF(AND('Atividades Micro'!$B114=BR$2,'Atividades Micro'!$G114="Macro",'Atividades Micro'!$K114&lt;&gt;""),'Atividades Micro'!$K114,"")</f>
        <v/>
      </c>
      <c r="BS106" s="21" t="str">
        <f>IF(AND('Atividades Micro'!$B114=BS$2,'Atividades Micro'!$G114="Macro",'Atividades Micro'!$K114&lt;&gt;""),'Atividades Micro'!$K114,"")</f>
        <v/>
      </c>
      <c r="BT106" s="21" t="str">
        <f>IF(AND('Atividades Micro'!$B114=BT$2,'Atividades Micro'!$G114="Macro",'Atividades Micro'!$K114&lt;&gt;""),'Atividades Micro'!$K114,"")</f>
        <v/>
      </c>
      <c r="BU106" s="21" t="str">
        <f>IF(AND('Atividades Micro'!$B114=BU$2,'Atividades Micro'!$G114="Macro",'Atividades Micro'!$K114&lt;&gt;""),'Atividades Micro'!$K114,"")</f>
        <v/>
      </c>
      <c r="BV106" s="21" t="str">
        <f>IF(AND('Atividades Micro'!$B114=BV$2,'Atividades Micro'!$G114="Macro",'Atividades Micro'!$K114&lt;&gt;""),'Atividades Micro'!$K114,"")</f>
        <v/>
      </c>
      <c r="BW106" s="21" t="str">
        <f>IF(AND('Atividades Micro'!$B114=BW$2,'Atividades Micro'!$G114="Macro",'Atividades Micro'!$K114&lt;&gt;""),'Atividades Micro'!$K114,"")</f>
        <v/>
      </c>
      <c r="BX106" s="21" t="str">
        <f>IF(AND('Atividades Micro'!$B114=BX$2,'Atividades Micro'!$G114="Macro",'Atividades Micro'!$K114&lt;&gt;""),'Atividades Micro'!$K114,"")</f>
        <v/>
      </c>
      <c r="BY106" s="21" t="str">
        <f>IF(AND('Atividades Micro'!$B114=BY$2,'Atividades Micro'!$G114="Macro",'Atividades Micro'!$K114&lt;&gt;""),'Atividades Micro'!$K114,"")</f>
        <v/>
      </c>
      <c r="BZ106" s="21" t="str">
        <f>IF(AND('Atividades Micro'!$B114=BZ$2,'Atividades Micro'!$G114="Macro",'Atividades Micro'!$K114&lt;&gt;""),'Atividades Micro'!$K114,"")</f>
        <v/>
      </c>
      <c r="CA106" s="21" t="str">
        <f>IF(AND('Atividades Micro'!$B114=CA$2,'Atividades Micro'!$G114="Macro",'Atividades Micro'!$K114&lt;&gt;""),'Atividades Micro'!$K114,"")</f>
        <v/>
      </c>
      <c r="CB106" s="21" t="str">
        <f>IF(AND('Atividades Micro'!$B114=CB$2,'Atividades Micro'!$G114="Macro",'Atividades Micro'!$K114&lt;&gt;""),'Atividades Micro'!$K114,"")</f>
        <v/>
      </c>
      <c r="CC106" s="21" t="str">
        <f>IF(AND('Atividades Micro'!$B114=CC$2,'Atividades Micro'!$G114="Macro",'Atividades Micro'!$K114&lt;&gt;""),'Atividades Micro'!$K114,"")</f>
        <v/>
      </c>
      <c r="CD106" s="21" t="str">
        <f>IF(AND('Atividades Micro'!$B114=CD$2,'Atividades Micro'!$G114="Micro",'Atividades Micro'!$K114&lt;&gt;""),'Atividades Micro'!$K114,"")</f>
        <v/>
      </c>
      <c r="CE106" s="21" t="str">
        <f>IF(AND('Atividades Micro'!$B114=CE$2,'Atividades Micro'!$G114="Micro",'Atividades Micro'!$K114&lt;&gt;""),'Atividades Micro'!$K114,"")</f>
        <v/>
      </c>
      <c r="CF106" s="21" t="str">
        <f>IF(AND('Atividades Micro'!$B114=CF$2,'Atividades Micro'!$G114="Micro",'Atividades Micro'!$K114&lt;&gt;""),'Atividades Micro'!$K114,"")</f>
        <v/>
      </c>
      <c r="CG106" s="21" t="str">
        <f>IF(AND('Atividades Micro'!$B114=CG$2,'Atividades Micro'!$G114="Micro",'Atividades Micro'!$K114&lt;&gt;""),'Atividades Micro'!$K114,"")</f>
        <v/>
      </c>
      <c r="CH106" s="21" t="str">
        <f>IF(AND('Atividades Micro'!$B114=CH$2,'Atividades Micro'!$G114="Micro",'Atividades Micro'!$K114&lt;&gt;""),'Atividades Micro'!$K114,"")</f>
        <v/>
      </c>
      <c r="CI106" s="21" t="str">
        <f>IF(AND('Atividades Micro'!$B114=CI$2,'Atividades Micro'!$G114="Micro",'Atividades Micro'!$K114&lt;&gt;""),'Atividades Micro'!$K114,"")</f>
        <v/>
      </c>
      <c r="CJ106" s="21" t="str">
        <f>IF(AND('Atividades Micro'!$B114=CJ$2,'Atividades Micro'!$G114="Micro",'Atividades Micro'!$K114&lt;&gt;""),'Atividades Micro'!$K114,"")</f>
        <v/>
      </c>
      <c r="CK106" s="21" t="str">
        <f>IF(AND('Atividades Micro'!$B114=CK$2,'Atividades Micro'!$G114="Micro",'Atividades Micro'!$K114&lt;&gt;""),'Atividades Micro'!$K114,"")</f>
        <v/>
      </c>
      <c r="CL106" s="21" t="str">
        <f>IF(AND('Atividades Micro'!$B114=CL$2,'Atividades Micro'!$G114="Micro",'Atividades Micro'!$K114&lt;&gt;""),'Atividades Micro'!$K114,"")</f>
        <v/>
      </c>
      <c r="CM106" s="21" t="str">
        <f>IF(AND('Atividades Micro'!$B114=CM$2,'Atividades Micro'!$G114="Micro",'Atividades Micro'!$K114&lt;&gt;""),'Atividades Micro'!$K114,"")</f>
        <v/>
      </c>
      <c r="CN106" s="21" t="str">
        <f>IF(AND('Atividades Micro'!$B114=CN$2,'Atividades Micro'!$G114="Micro",'Atividades Micro'!$K114&lt;&gt;""),'Atividades Micro'!$K114,"")</f>
        <v/>
      </c>
      <c r="CO106" s="21" t="str">
        <f>IF(AND('Atividades Micro'!$B114=CO$2,'Atividades Micro'!$G114="Micro",'Atividades Micro'!$K114&lt;&gt;""),'Atividades Micro'!$K114,"")</f>
        <v/>
      </c>
    </row>
    <row r="107" spans="1:93">
      <c r="A107" s="21" t="str">
        <f>IF(AND('Atividades Micro'!$A115=A$2,'Atividades Micro'!$K115&lt;&gt;""),'Atividades Micro'!$K115,"")</f>
        <v/>
      </c>
      <c r="B107" s="21" t="str">
        <f>IF(AND('Atividades Micro'!$A115=B$2,'Atividades Micro'!$L115&lt;&gt;""),'Atividades Micro'!$L115,"")</f>
        <v/>
      </c>
      <c r="C107" s="21" t="str">
        <f>IF(AND('Atividades Micro'!$A115=C$2,'Atividades Micro'!$K115&lt;&gt;""),'Atividades Micro'!$K115,"")</f>
        <v/>
      </c>
      <c r="D107" s="21" t="str">
        <f>IF(AND('Atividades Micro'!$A115=D$2,'Atividades Micro'!$L115&lt;&gt;""),'Atividades Micro'!$L115,"")</f>
        <v/>
      </c>
      <c r="E107" s="21" t="str">
        <f>IF(AND('Atividades Micro'!$A115=E$2,'Atividades Micro'!$K115&lt;&gt;""),'Atividades Micro'!$K115,"")</f>
        <v/>
      </c>
      <c r="F107" s="21" t="str">
        <f>IF(AND('Atividades Micro'!$A115=F$2,'Atividades Micro'!$L115&lt;&gt;""),'Atividades Micro'!$L115,"")</f>
        <v/>
      </c>
      <c r="G107" s="21" t="str">
        <f>IF(AND('Atividades Micro'!$A115=G$2,'Atividades Micro'!$K115&lt;&gt;""),'Atividades Micro'!$K115,"")</f>
        <v/>
      </c>
      <c r="H107" s="21" t="str">
        <f>IF(AND('Atividades Micro'!$A115=H$2,'Atividades Micro'!$L115&lt;&gt;""),'Atividades Micro'!$L115,"")</f>
        <v/>
      </c>
      <c r="I107" s="21" t="str">
        <f>IF(AND('Atividades Micro'!$A115=I$2,'Atividades Micro'!$K115&lt;&gt;""),'Atividades Micro'!$K115,"")</f>
        <v/>
      </c>
      <c r="J107" s="21" t="str">
        <f>IF(AND('Atividades Micro'!$A115=J$2,'Atividades Micro'!$L115&lt;&gt;""),'Atividades Micro'!$L115,"")</f>
        <v/>
      </c>
      <c r="K107" s="21" t="str">
        <f>IF(AND('Atividades Micro'!$B115=K$2,'Atividades Micro'!$K115&lt;&gt;""),'Atividades Micro'!$K115,"")</f>
        <v/>
      </c>
      <c r="L107" s="21" t="str">
        <f>IF(AND('Atividades Micro'!$B115=L$2,'Atividades Micro'!$L115&lt;&gt;""),'Atividades Micro'!$L115,"")</f>
        <v/>
      </c>
      <c r="M107" s="21" t="str">
        <f>IF(AND('Atividades Micro'!$B115=M$2,'Atividades Micro'!$K115&lt;&gt;""),'Atividades Micro'!$K115,"")</f>
        <v/>
      </c>
      <c r="N107" s="21" t="str">
        <f>IF(AND('Atividades Micro'!$B115=N$2,'Atividades Micro'!$L115&lt;&gt;""),'Atividades Micro'!$L115,"")</f>
        <v/>
      </c>
      <c r="O107" s="21">
        <f>IF(AND('Atividades Micro'!$A115=O$2,'Atividades Micro'!$K115&lt;&gt;""),'Atividades Micro'!$K115,"")</f>
        <v>46252</v>
      </c>
      <c r="P107" s="21">
        <f>IF(AND('Atividades Micro'!$A115=P$2,'Atividades Micro'!$L115&lt;&gt;""),'Atividades Micro'!$L115,"")</f>
        <v>46276</v>
      </c>
      <c r="Q107" s="21">
        <f>IF(AND('Atividades Micro'!$B115=Q$2,'Atividades Micro'!$K115&lt;&gt;""),'Atividades Micro'!$K115,"")</f>
        <v>46252</v>
      </c>
      <c r="R107" s="21">
        <f>IF(AND('Atividades Micro'!$B115=R$2,'Atividades Micro'!$L115&lt;&gt;""),'Atividades Micro'!$L115,"")</f>
        <v>46276</v>
      </c>
      <c r="S107" s="21" t="str">
        <f>IF(AND('Atividades Micro'!$A115=S$2,'Atividades Micro'!$K115&lt;&gt;""),'Atividades Micro'!$K115,"")</f>
        <v/>
      </c>
      <c r="T107" s="21" t="str">
        <f>IF(AND('Atividades Micro'!$A115=T$2,'Atividades Micro'!$L115&lt;&gt;""),'Atividades Micro'!$L115,"")</f>
        <v/>
      </c>
      <c r="U107" s="21" t="str">
        <f>IF(AND('Atividades Micro'!$B115=U$2,'Atividades Micro'!$K115&lt;&gt;""),'Atividades Micro'!$K115,"")</f>
        <v/>
      </c>
      <c r="V107" s="21" t="str">
        <f>IF(AND('Atividades Micro'!$B115=V$2,'Atividades Micro'!$L115&lt;&gt;""),'Atividades Micro'!$L115,"")</f>
        <v/>
      </c>
      <c r="W107" s="21" t="str">
        <f>IF(AND('Atividades Micro'!$B115=W$2,'Atividades Micro'!$K115&lt;&gt;""),'Atividades Micro'!$K115,"")</f>
        <v/>
      </c>
      <c r="X107" s="21" t="str">
        <f>IF(AND('Atividades Micro'!$B115=X$2,'Atividades Micro'!$L115&lt;&gt;""),'Atividades Micro'!$L115,"")</f>
        <v/>
      </c>
      <c r="Y107" s="21" t="str">
        <f>IF(AND('Atividades Micro'!$A115=Y$2,'Atividades Micro'!$K115&lt;&gt;""),'Atividades Micro'!$K115,"")</f>
        <v/>
      </c>
      <c r="Z107" s="21" t="str">
        <f>IF(AND('Atividades Micro'!$A115=Z$2,'Atividades Micro'!$L115&lt;&gt;""),'Atividades Micro'!$L115,"")</f>
        <v/>
      </c>
      <c r="AA107" s="21" t="str">
        <f>IF(AND('Atividades Micro'!$B115=AA$2,'Atividades Micro'!$K115&lt;&gt;""),'Atividades Micro'!$K115,"")</f>
        <v/>
      </c>
      <c r="AB107" s="21" t="str">
        <f>IF(AND('Atividades Micro'!$B115=AB$2,'Atividades Micro'!$L115&lt;&gt;""),'Atividades Micro'!$L115,"")</f>
        <v/>
      </c>
      <c r="AC107" s="21" t="str">
        <f>IF(AND('Atividades Micro'!$B115=AC$2,'Atividades Micro'!$K115&lt;&gt;""),'Atividades Micro'!$K115,"")</f>
        <v/>
      </c>
      <c r="AD107" s="21" t="str">
        <f>IF(AND('Atividades Micro'!$B115=AD$2,'Atividades Micro'!$L115&lt;&gt;""),'Atividades Micro'!$L115,"")</f>
        <v/>
      </c>
      <c r="AE107" s="21" t="str">
        <f>IF(AND('Atividades Micro'!$A115=AE$2,'Atividades Micro'!$K115&lt;&gt;""),'Atividades Micro'!$K115,"")</f>
        <v/>
      </c>
      <c r="AF107" s="21" t="str">
        <f>IF(AND('Atividades Micro'!$A115=AF$2,'Atividades Micro'!$L115&lt;&gt;""),'Atividades Micro'!$L115,"")</f>
        <v/>
      </c>
      <c r="AG107" s="21" t="str">
        <f>IF(AND('Atividades Micro'!$B115=AG$2,'Atividades Micro'!$K115&lt;&gt;""),'Atividades Micro'!$K115,"")</f>
        <v/>
      </c>
      <c r="AH107" s="21" t="str">
        <f>IF(AND('Atividades Micro'!$B115=AH$2,'Atividades Micro'!$L115&lt;&gt;""),'Atividades Micro'!$L115,"")</f>
        <v/>
      </c>
      <c r="AI107" s="21" t="str">
        <f>IF(AND('Atividades Micro'!$B115=AI$2,'Atividades Micro'!$K115&lt;&gt;""),'Atividades Micro'!$K115,"")</f>
        <v/>
      </c>
      <c r="AJ107" s="21" t="str">
        <f>IF(AND('Atividades Micro'!$B115=AJ$2,'Atividades Micro'!$L115&lt;&gt;""),'Atividades Micro'!$L115,"")</f>
        <v/>
      </c>
      <c r="AK107" s="21" t="str">
        <f>IF(AND('Atividades Micro'!$A115=AK$2,'Atividades Micro'!$K115&lt;&gt;""),'Atividades Micro'!$K115,"")</f>
        <v/>
      </c>
      <c r="AL107" s="21" t="str">
        <f>IF(AND('Atividades Micro'!$A115=AL$2,'Atividades Micro'!$L115&lt;&gt;""),'Atividades Micro'!$L115,"")</f>
        <v/>
      </c>
      <c r="AM107" s="21" t="str">
        <f>IF(AND('Atividades Micro'!$B115=AM$2,'Atividades Micro'!$K115&lt;&gt;""),'Atividades Micro'!$K115,"")</f>
        <v/>
      </c>
      <c r="AN107" s="21" t="str">
        <f>IF(AND('Atividades Micro'!$B115=AN$2,'Atividades Micro'!$L115&lt;&gt;""),'Atividades Micro'!$L115,"")</f>
        <v/>
      </c>
      <c r="AO107" s="21" t="str">
        <f>IF(AND('Atividades Micro'!$B115=AO$2,'Atividades Micro'!$K115&lt;&gt;""),'Atividades Micro'!$K115,"")</f>
        <v/>
      </c>
      <c r="AP107" s="21" t="str">
        <f>IF(AND('Atividades Micro'!$B115=AP$2,'Atividades Micro'!$L115&lt;&gt;""),'Atividades Micro'!$L115,"")</f>
        <v/>
      </c>
      <c r="AQ107" s="21" t="str">
        <f>IF(AND('Atividades Micro'!$A115=AQ$2,'Atividades Micro'!$K115&lt;&gt;""),'Atividades Micro'!$K115,"")</f>
        <v/>
      </c>
      <c r="AR107" s="21" t="str">
        <f>IF(AND('Atividades Micro'!$A115=AR$2,'Atividades Micro'!$L115&lt;&gt;""),'Atividades Micro'!$L115,"")</f>
        <v/>
      </c>
      <c r="AS107" s="21" t="str">
        <f>IF(AND('Atividades Micro'!$B115=AS$2,'Atividades Micro'!$K115&lt;&gt;""),'Atividades Micro'!$K115,"")</f>
        <v/>
      </c>
      <c r="AT107" s="21" t="str">
        <f>IF(AND('Atividades Micro'!$B115=AT$2,'Atividades Micro'!$L115&lt;&gt;""),'Atividades Micro'!$L115,"")</f>
        <v/>
      </c>
      <c r="AU107" s="21" t="str">
        <f>IF(AND('Atividades Micro'!$A115=AU$2,'Atividades Micro'!$K115&lt;&gt;""),'Atividades Micro'!$K115,"")</f>
        <v/>
      </c>
      <c r="AV107" s="21" t="str">
        <f>IF(AND('Atividades Micro'!$A115=AV$2,'Atividades Micro'!$L115&lt;&gt;""),'Atividades Micro'!$L115,"")</f>
        <v/>
      </c>
      <c r="AW107" s="21" t="str">
        <f>IF(AND('Atividades Micro'!$B115=AW$2,'Atividades Micro'!$K115&lt;&gt;""),'Atividades Micro'!$K115,"")</f>
        <v/>
      </c>
      <c r="AX107" s="21" t="str">
        <f>IF(AND('Atividades Micro'!$B115=AX$2,'Atividades Micro'!$L115&lt;&gt;""),'Atividades Micro'!$L115,"")</f>
        <v/>
      </c>
      <c r="AY107" s="21" t="str">
        <f>IF(AND('Atividades Micro'!$A115=AY$2,'Atividades Micro'!$K115&lt;&gt;""),'Atividades Micro'!$K115,"")</f>
        <v/>
      </c>
      <c r="AZ107" s="21" t="str">
        <f>IF(AND('Atividades Micro'!$A115=AZ$2,'Atividades Micro'!$L115&lt;&gt;""),'Atividades Micro'!$L115,"")</f>
        <v/>
      </c>
      <c r="BA107" s="21" t="str">
        <f>IF(AND('Atividades Micro'!$B115=BA$2,'Atividades Micro'!$K115&lt;&gt;""),'Atividades Micro'!$K115,"")</f>
        <v/>
      </c>
      <c r="BB107" s="21" t="str">
        <f>IF(AND('Atividades Micro'!$B115=BB$2,'Atividades Micro'!$L115&lt;&gt;""),'Atividades Micro'!$L115,"")</f>
        <v/>
      </c>
      <c r="BC107" s="21" t="str">
        <f>IF(AND('Atividades Micro'!$B115=BC$2,'Atividades Micro'!$G115="Macro",'Atividades Micro'!$K115&lt;&gt;""),'Atividades Micro'!$K115,"")</f>
        <v/>
      </c>
      <c r="BD107" s="21" t="str">
        <f>IF(AND('Atividades Micro'!$B115=BD$2,'Atividades Micro'!$G115="Macro",'Atividades Micro'!$K115&lt;&gt;""),'Atividades Micro'!$K115,"")</f>
        <v/>
      </c>
      <c r="BE107" s="21" t="str">
        <f>IF(AND('Atividades Micro'!$B115=BE$2,'Atividades Micro'!$G115="Macro",'Atividades Micro'!$K115&lt;&gt;""),'Atividades Micro'!$K115,"")</f>
        <v/>
      </c>
      <c r="BF107" s="21" t="str">
        <f>IF(AND('Atividades Micro'!$B115=BF$2,'Atividades Micro'!$G115="Macro",'Atividades Micro'!$K115&lt;&gt;""),'Atividades Micro'!$K115,"")</f>
        <v/>
      </c>
      <c r="BG107" s="21" t="str">
        <f>IF(AND('Atividades Micro'!$B115=BG$2,'Atividades Micro'!$G115="Macro",'Atividades Micro'!$K115&lt;&gt;""),'Atividades Micro'!$K115,"")</f>
        <v/>
      </c>
      <c r="BH107" s="21" t="str">
        <f>IF(AND('Atividades Micro'!$B115=BH$2,'Atividades Micro'!$G115="Macro",'Atividades Micro'!$K115&lt;&gt;""),'Atividades Micro'!$K115,"")</f>
        <v/>
      </c>
      <c r="BI107" s="21" t="str">
        <f>IF(AND('Atividades Micro'!$B115=BI$2,'Atividades Micro'!$G115="Macro",'Atividades Micro'!$K115&lt;&gt;""),'Atividades Micro'!$K115,"")</f>
        <v/>
      </c>
      <c r="BJ107" s="21" t="str">
        <f>IF(AND('Atividades Micro'!$B115=BJ$2,'Atividades Micro'!$G115="Macro",'Atividades Micro'!$K115&lt;&gt;""),'Atividades Micro'!$K115,"")</f>
        <v/>
      </c>
      <c r="BK107" s="21" t="str">
        <f>IF(AND('Atividades Micro'!$B115=BK$2,'Atividades Micro'!$G115="Macro",'Atividades Micro'!$K115&lt;&gt;""),'Atividades Micro'!$K115,"")</f>
        <v/>
      </c>
      <c r="BL107" s="21" t="str">
        <f>IF(AND('Atividades Micro'!$B115=BL$2,'Atividades Micro'!$G115="Macro",'Atividades Micro'!$K115&lt;&gt;""),'Atividades Micro'!$K115,"")</f>
        <v/>
      </c>
      <c r="BM107" s="21" t="str">
        <f>IF(AND('Atividades Micro'!$B115=BM$2,'Atividades Micro'!$G115="Macro",'Atividades Micro'!$K115&lt;&gt;""),'Atividades Micro'!$K115,"")</f>
        <v/>
      </c>
      <c r="BN107" s="21" t="str">
        <f>IF(AND('Atividades Micro'!$B115=BN$2,'Atividades Micro'!$G115="Macro",'Atividades Micro'!$K115&lt;&gt;""),'Atividades Micro'!$K115,"")</f>
        <v/>
      </c>
      <c r="BO107" s="21" t="str">
        <f>IF(AND('Atividades Micro'!$B115=BO$2,'Atividades Micro'!$G115="Macro",'Atividades Micro'!$K115&lt;&gt;""),'Atividades Micro'!$K115,"")</f>
        <v/>
      </c>
      <c r="BP107" s="21" t="str">
        <f>IF(AND('Atividades Micro'!$B115=BP$2,'Atividades Micro'!$G115="Macro",'Atividades Micro'!$K115&lt;&gt;""),'Atividades Micro'!$K115,"")</f>
        <v/>
      </c>
      <c r="BQ107" s="21" t="str">
        <f>IF(AND('Atividades Micro'!$B115=BQ$2,'Atividades Micro'!$G115="Macro",'Atividades Micro'!$K115&lt;&gt;""),'Atividades Micro'!$K115,"")</f>
        <v/>
      </c>
      <c r="BR107" s="21" t="str">
        <f>IF(AND('Atividades Micro'!$B115=BR$2,'Atividades Micro'!$G115="Macro",'Atividades Micro'!$K115&lt;&gt;""),'Atividades Micro'!$K115,"")</f>
        <v/>
      </c>
      <c r="BS107" s="21" t="str">
        <f>IF(AND('Atividades Micro'!$B115=BS$2,'Atividades Micro'!$G115="Macro",'Atividades Micro'!$K115&lt;&gt;""),'Atividades Micro'!$K115,"")</f>
        <v/>
      </c>
      <c r="BT107" s="21" t="str">
        <f>IF(AND('Atividades Micro'!$B115=BT$2,'Atividades Micro'!$G115="Macro",'Atividades Micro'!$K115&lt;&gt;""),'Atividades Micro'!$K115,"")</f>
        <v/>
      </c>
      <c r="BU107" s="21" t="str">
        <f>IF(AND('Atividades Micro'!$B115=BU$2,'Atividades Micro'!$G115="Macro",'Atividades Micro'!$K115&lt;&gt;""),'Atividades Micro'!$K115,"")</f>
        <v/>
      </c>
      <c r="BV107" s="21" t="str">
        <f>IF(AND('Atividades Micro'!$B115=BV$2,'Atividades Micro'!$G115="Macro",'Atividades Micro'!$K115&lt;&gt;""),'Atividades Micro'!$K115,"")</f>
        <v/>
      </c>
      <c r="BW107" s="21" t="str">
        <f>IF(AND('Atividades Micro'!$B115=BW$2,'Atividades Micro'!$G115="Macro",'Atividades Micro'!$K115&lt;&gt;""),'Atividades Micro'!$K115,"")</f>
        <v/>
      </c>
      <c r="BX107" s="21" t="str">
        <f>IF(AND('Atividades Micro'!$B115=BX$2,'Atividades Micro'!$G115="Macro",'Atividades Micro'!$K115&lt;&gt;""),'Atividades Micro'!$K115,"")</f>
        <v/>
      </c>
      <c r="BY107" s="21" t="str">
        <f>IF(AND('Atividades Micro'!$B115=BY$2,'Atividades Micro'!$G115="Macro",'Atividades Micro'!$K115&lt;&gt;""),'Atividades Micro'!$K115,"")</f>
        <v/>
      </c>
      <c r="BZ107" s="21" t="str">
        <f>IF(AND('Atividades Micro'!$B115=BZ$2,'Atividades Micro'!$G115="Macro",'Atividades Micro'!$K115&lt;&gt;""),'Atividades Micro'!$K115,"")</f>
        <v/>
      </c>
      <c r="CA107" s="21" t="str">
        <f>IF(AND('Atividades Micro'!$B115=CA$2,'Atividades Micro'!$G115="Macro",'Atividades Micro'!$K115&lt;&gt;""),'Atividades Micro'!$K115,"")</f>
        <v/>
      </c>
      <c r="CB107" s="21" t="str">
        <f>IF(AND('Atividades Micro'!$B115=CB$2,'Atividades Micro'!$G115="Macro",'Atividades Micro'!$K115&lt;&gt;""),'Atividades Micro'!$K115,"")</f>
        <v/>
      </c>
      <c r="CC107" s="21" t="str">
        <f>IF(AND('Atividades Micro'!$B115=CC$2,'Atividades Micro'!$G115="Macro",'Atividades Micro'!$K115&lt;&gt;""),'Atividades Micro'!$K115,"")</f>
        <v/>
      </c>
      <c r="CD107" s="21" t="str">
        <f>IF(AND('Atividades Micro'!$B115=CD$2,'Atividades Micro'!$G115="Micro",'Atividades Micro'!$K115&lt;&gt;""),'Atividades Micro'!$K115,"")</f>
        <v/>
      </c>
      <c r="CE107" s="21" t="str">
        <f>IF(AND('Atividades Micro'!$B115=CE$2,'Atividades Micro'!$G115="Micro",'Atividades Micro'!$K115&lt;&gt;""),'Atividades Micro'!$K115,"")</f>
        <v/>
      </c>
      <c r="CF107" s="21">
        <f>IF(AND('Atividades Micro'!$B115=CF$2,'Atividades Micro'!$G115="Micro",'Atividades Micro'!$K115&lt;&gt;""),'Atividades Micro'!$K115,"")</f>
        <v>46252</v>
      </c>
      <c r="CG107" s="21" t="str">
        <f>IF(AND('Atividades Micro'!$B115=CG$2,'Atividades Micro'!$G115="Micro",'Atividades Micro'!$K115&lt;&gt;""),'Atividades Micro'!$K115,"")</f>
        <v/>
      </c>
      <c r="CH107" s="21" t="str">
        <f>IF(AND('Atividades Micro'!$B115=CH$2,'Atividades Micro'!$G115="Micro",'Atividades Micro'!$K115&lt;&gt;""),'Atividades Micro'!$K115,"")</f>
        <v/>
      </c>
      <c r="CI107" s="21" t="str">
        <f>IF(AND('Atividades Micro'!$B115=CI$2,'Atividades Micro'!$G115="Micro",'Atividades Micro'!$K115&lt;&gt;""),'Atividades Micro'!$K115,"")</f>
        <v/>
      </c>
      <c r="CJ107" s="21" t="str">
        <f>IF(AND('Atividades Micro'!$B115=CJ$2,'Atividades Micro'!$G115="Micro",'Atividades Micro'!$K115&lt;&gt;""),'Atividades Micro'!$K115,"")</f>
        <v/>
      </c>
      <c r="CK107" s="21" t="str">
        <f>IF(AND('Atividades Micro'!$B115=CK$2,'Atividades Micro'!$G115="Micro",'Atividades Micro'!$K115&lt;&gt;""),'Atividades Micro'!$K115,"")</f>
        <v/>
      </c>
      <c r="CL107" s="21" t="str">
        <f>IF(AND('Atividades Micro'!$B115=CL$2,'Atividades Micro'!$G115="Micro",'Atividades Micro'!$K115&lt;&gt;""),'Atividades Micro'!$K115,"")</f>
        <v/>
      </c>
      <c r="CM107" s="21" t="str">
        <f>IF(AND('Atividades Micro'!$B115=CM$2,'Atividades Micro'!$G115="Micro",'Atividades Micro'!$K115&lt;&gt;""),'Atividades Micro'!$K115,"")</f>
        <v/>
      </c>
      <c r="CN107" s="21" t="str">
        <f>IF(AND('Atividades Micro'!$B115=CN$2,'Atividades Micro'!$G115="Micro",'Atividades Micro'!$K115&lt;&gt;""),'Atividades Micro'!$K115,"")</f>
        <v/>
      </c>
      <c r="CO107" s="21" t="str">
        <f>IF(AND('Atividades Micro'!$B115=CO$2,'Atividades Micro'!$G115="Micro",'Atividades Micro'!$K115&lt;&gt;""),'Atividades Micro'!$K115,"")</f>
        <v/>
      </c>
    </row>
    <row r="108" spans="1:93">
      <c r="A108" s="21" t="str">
        <f>IF(AND('Atividades Micro'!$A116=A$2,'Atividades Micro'!$K116&lt;&gt;""),'Atividades Micro'!$K116,"")</f>
        <v/>
      </c>
      <c r="B108" s="21" t="str">
        <f>IF(AND('Atividades Micro'!$A116=B$2,'Atividades Micro'!$L116&lt;&gt;""),'Atividades Micro'!$L116,"")</f>
        <v/>
      </c>
      <c r="C108" s="21" t="str">
        <f>IF(AND('Atividades Micro'!$A116=C$2,'Atividades Micro'!$K116&lt;&gt;""),'Atividades Micro'!$K116,"")</f>
        <v/>
      </c>
      <c r="D108" s="21" t="str">
        <f>IF(AND('Atividades Micro'!$A116=D$2,'Atividades Micro'!$L116&lt;&gt;""),'Atividades Micro'!$L116,"")</f>
        <v/>
      </c>
      <c r="E108" s="21" t="str">
        <f>IF(AND('Atividades Micro'!$A116=E$2,'Atividades Micro'!$K116&lt;&gt;""),'Atividades Micro'!$K116,"")</f>
        <v/>
      </c>
      <c r="F108" s="21" t="str">
        <f>IF(AND('Atividades Micro'!$A116=F$2,'Atividades Micro'!$L116&lt;&gt;""),'Atividades Micro'!$L116,"")</f>
        <v/>
      </c>
      <c r="G108" s="21" t="str">
        <f>IF(AND('Atividades Micro'!$A116=G$2,'Atividades Micro'!$K116&lt;&gt;""),'Atividades Micro'!$K116,"")</f>
        <v/>
      </c>
      <c r="H108" s="21" t="str">
        <f>IF(AND('Atividades Micro'!$A116=H$2,'Atividades Micro'!$L116&lt;&gt;""),'Atividades Micro'!$L116,"")</f>
        <v/>
      </c>
      <c r="I108" s="21" t="str">
        <f>IF(AND('Atividades Micro'!$A116=I$2,'Atividades Micro'!$K116&lt;&gt;""),'Atividades Micro'!$K116,"")</f>
        <v/>
      </c>
      <c r="J108" s="21" t="str">
        <f>IF(AND('Atividades Micro'!$A116=J$2,'Atividades Micro'!$L116&lt;&gt;""),'Atividades Micro'!$L116,"")</f>
        <v/>
      </c>
      <c r="K108" s="21" t="str">
        <f>IF(AND('Atividades Micro'!$B116=K$2,'Atividades Micro'!$K116&lt;&gt;""),'Atividades Micro'!$K116,"")</f>
        <v/>
      </c>
      <c r="L108" s="21" t="str">
        <f>IF(AND('Atividades Micro'!$B116=L$2,'Atividades Micro'!$L116&lt;&gt;""),'Atividades Micro'!$L116,"")</f>
        <v/>
      </c>
      <c r="M108" s="21" t="str">
        <f>IF(AND('Atividades Micro'!$B116=M$2,'Atividades Micro'!$K116&lt;&gt;""),'Atividades Micro'!$K116,"")</f>
        <v/>
      </c>
      <c r="N108" s="21" t="str">
        <f>IF(AND('Atividades Micro'!$B116=N$2,'Atividades Micro'!$L116&lt;&gt;""),'Atividades Micro'!$L116,"")</f>
        <v/>
      </c>
      <c r="O108" s="21">
        <f>IF(AND('Atividades Micro'!$A116=O$2,'Atividades Micro'!$K116&lt;&gt;""),'Atividades Micro'!$K116,"")</f>
        <v>46358</v>
      </c>
      <c r="P108" s="21" t="str">
        <f>IF(AND('Atividades Micro'!$A116=P$2,'Atividades Micro'!$L116&lt;&gt;""),'Atividades Micro'!$L116,"")</f>
        <v/>
      </c>
      <c r="Q108" s="21">
        <f>IF(AND('Atividades Micro'!$B116=Q$2,'Atividades Micro'!$K116&lt;&gt;""),'Atividades Micro'!$K116,"")</f>
        <v>46358</v>
      </c>
      <c r="R108" s="21" t="str">
        <f>IF(AND('Atividades Micro'!$B116=R$2,'Atividades Micro'!$L116&lt;&gt;""),'Atividades Micro'!$L116,"")</f>
        <v/>
      </c>
      <c r="S108" s="21" t="str">
        <f>IF(AND('Atividades Micro'!$A116=S$2,'Atividades Micro'!$K116&lt;&gt;""),'Atividades Micro'!$K116,"")</f>
        <v/>
      </c>
      <c r="T108" s="21" t="str">
        <f>IF(AND('Atividades Micro'!$A116=T$2,'Atividades Micro'!$L116&lt;&gt;""),'Atividades Micro'!$L116,"")</f>
        <v/>
      </c>
      <c r="U108" s="21" t="str">
        <f>IF(AND('Atividades Micro'!$B116=U$2,'Atividades Micro'!$K116&lt;&gt;""),'Atividades Micro'!$K116,"")</f>
        <v/>
      </c>
      <c r="V108" s="21" t="str">
        <f>IF(AND('Atividades Micro'!$B116=V$2,'Atividades Micro'!$L116&lt;&gt;""),'Atividades Micro'!$L116,"")</f>
        <v/>
      </c>
      <c r="W108" s="21" t="str">
        <f>IF(AND('Atividades Micro'!$B116=W$2,'Atividades Micro'!$K116&lt;&gt;""),'Atividades Micro'!$K116,"")</f>
        <v/>
      </c>
      <c r="X108" s="21" t="str">
        <f>IF(AND('Atividades Micro'!$B116=X$2,'Atividades Micro'!$L116&lt;&gt;""),'Atividades Micro'!$L116,"")</f>
        <v/>
      </c>
      <c r="Y108" s="21" t="str">
        <f>IF(AND('Atividades Micro'!$A116=Y$2,'Atividades Micro'!$K116&lt;&gt;""),'Atividades Micro'!$K116,"")</f>
        <v/>
      </c>
      <c r="Z108" s="21" t="str">
        <f>IF(AND('Atividades Micro'!$A116=Z$2,'Atividades Micro'!$L116&lt;&gt;""),'Atividades Micro'!$L116,"")</f>
        <v/>
      </c>
      <c r="AA108" s="21" t="str">
        <f>IF(AND('Atividades Micro'!$B116=AA$2,'Atividades Micro'!$K116&lt;&gt;""),'Atividades Micro'!$K116,"")</f>
        <v/>
      </c>
      <c r="AB108" s="21" t="str">
        <f>IF(AND('Atividades Micro'!$B116=AB$2,'Atividades Micro'!$L116&lt;&gt;""),'Atividades Micro'!$L116,"")</f>
        <v/>
      </c>
      <c r="AC108" s="21" t="str">
        <f>IF(AND('Atividades Micro'!$B116=AC$2,'Atividades Micro'!$K116&lt;&gt;""),'Atividades Micro'!$K116,"")</f>
        <v/>
      </c>
      <c r="AD108" s="21" t="str">
        <f>IF(AND('Atividades Micro'!$B116=AD$2,'Atividades Micro'!$L116&lt;&gt;""),'Atividades Micro'!$L116,"")</f>
        <v/>
      </c>
      <c r="AE108" s="21" t="str">
        <f>IF(AND('Atividades Micro'!$A116=AE$2,'Atividades Micro'!$K116&lt;&gt;""),'Atividades Micro'!$K116,"")</f>
        <v/>
      </c>
      <c r="AF108" s="21" t="str">
        <f>IF(AND('Atividades Micro'!$A116=AF$2,'Atividades Micro'!$L116&lt;&gt;""),'Atividades Micro'!$L116,"")</f>
        <v/>
      </c>
      <c r="AG108" s="21" t="str">
        <f>IF(AND('Atividades Micro'!$B116=AG$2,'Atividades Micro'!$K116&lt;&gt;""),'Atividades Micro'!$K116,"")</f>
        <v/>
      </c>
      <c r="AH108" s="21" t="str">
        <f>IF(AND('Atividades Micro'!$B116=AH$2,'Atividades Micro'!$L116&lt;&gt;""),'Atividades Micro'!$L116,"")</f>
        <v/>
      </c>
      <c r="AI108" s="21" t="str">
        <f>IF(AND('Atividades Micro'!$B116=AI$2,'Atividades Micro'!$K116&lt;&gt;""),'Atividades Micro'!$K116,"")</f>
        <v/>
      </c>
      <c r="AJ108" s="21" t="str">
        <f>IF(AND('Atividades Micro'!$B116=AJ$2,'Atividades Micro'!$L116&lt;&gt;""),'Atividades Micro'!$L116,"")</f>
        <v/>
      </c>
      <c r="AK108" s="21" t="str">
        <f>IF(AND('Atividades Micro'!$A116=AK$2,'Atividades Micro'!$K116&lt;&gt;""),'Atividades Micro'!$K116,"")</f>
        <v/>
      </c>
      <c r="AL108" s="21" t="str">
        <f>IF(AND('Atividades Micro'!$A116=AL$2,'Atividades Micro'!$L116&lt;&gt;""),'Atividades Micro'!$L116,"")</f>
        <v/>
      </c>
      <c r="AM108" s="21" t="str">
        <f>IF(AND('Atividades Micro'!$B116=AM$2,'Atividades Micro'!$K116&lt;&gt;""),'Atividades Micro'!$K116,"")</f>
        <v/>
      </c>
      <c r="AN108" s="21" t="str">
        <f>IF(AND('Atividades Micro'!$B116=AN$2,'Atividades Micro'!$L116&lt;&gt;""),'Atividades Micro'!$L116,"")</f>
        <v/>
      </c>
      <c r="AO108" s="21" t="str">
        <f>IF(AND('Atividades Micro'!$B116=AO$2,'Atividades Micro'!$K116&lt;&gt;""),'Atividades Micro'!$K116,"")</f>
        <v/>
      </c>
      <c r="AP108" s="21" t="str">
        <f>IF(AND('Atividades Micro'!$B116=AP$2,'Atividades Micro'!$L116&lt;&gt;""),'Atividades Micro'!$L116,"")</f>
        <v/>
      </c>
      <c r="AQ108" s="21" t="str">
        <f>IF(AND('Atividades Micro'!$A116=AQ$2,'Atividades Micro'!$K116&lt;&gt;""),'Atividades Micro'!$K116,"")</f>
        <v/>
      </c>
      <c r="AR108" s="21" t="str">
        <f>IF(AND('Atividades Micro'!$A116=AR$2,'Atividades Micro'!$L116&lt;&gt;""),'Atividades Micro'!$L116,"")</f>
        <v/>
      </c>
      <c r="AS108" s="21" t="str">
        <f>IF(AND('Atividades Micro'!$B116=AS$2,'Atividades Micro'!$K116&lt;&gt;""),'Atividades Micro'!$K116,"")</f>
        <v/>
      </c>
      <c r="AT108" s="21" t="str">
        <f>IF(AND('Atividades Micro'!$B116=AT$2,'Atividades Micro'!$L116&lt;&gt;""),'Atividades Micro'!$L116,"")</f>
        <v/>
      </c>
      <c r="AU108" s="21" t="str">
        <f>IF(AND('Atividades Micro'!$A116=AU$2,'Atividades Micro'!$K116&lt;&gt;""),'Atividades Micro'!$K116,"")</f>
        <v/>
      </c>
      <c r="AV108" s="21" t="str">
        <f>IF(AND('Atividades Micro'!$A116=AV$2,'Atividades Micro'!$L116&lt;&gt;""),'Atividades Micro'!$L116,"")</f>
        <v/>
      </c>
      <c r="AW108" s="21" t="str">
        <f>IF(AND('Atividades Micro'!$B116=AW$2,'Atividades Micro'!$K116&lt;&gt;""),'Atividades Micro'!$K116,"")</f>
        <v/>
      </c>
      <c r="AX108" s="21" t="str">
        <f>IF(AND('Atividades Micro'!$B116=AX$2,'Atividades Micro'!$L116&lt;&gt;""),'Atividades Micro'!$L116,"")</f>
        <v/>
      </c>
      <c r="AY108" s="21" t="str">
        <f>IF(AND('Atividades Micro'!$A116=AY$2,'Atividades Micro'!$K116&lt;&gt;""),'Atividades Micro'!$K116,"")</f>
        <v/>
      </c>
      <c r="AZ108" s="21" t="str">
        <f>IF(AND('Atividades Micro'!$A116=AZ$2,'Atividades Micro'!$L116&lt;&gt;""),'Atividades Micro'!$L116,"")</f>
        <v/>
      </c>
      <c r="BA108" s="21" t="str">
        <f>IF(AND('Atividades Micro'!$B116=BA$2,'Atividades Micro'!$K116&lt;&gt;""),'Atividades Micro'!$K116,"")</f>
        <v/>
      </c>
      <c r="BB108" s="21" t="str">
        <f>IF(AND('Atividades Micro'!$B116=BB$2,'Atividades Micro'!$L116&lt;&gt;""),'Atividades Micro'!$L116,"")</f>
        <v/>
      </c>
      <c r="BC108" s="21" t="str">
        <f>IF(AND('Atividades Micro'!$B116=BC$2,'Atividades Micro'!$G116="Macro",'Atividades Micro'!$K116&lt;&gt;""),'Atividades Micro'!$K116,"")</f>
        <v/>
      </c>
      <c r="BD108" s="21" t="str">
        <f>IF(AND('Atividades Micro'!$B116=BD$2,'Atividades Micro'!$G116="Macro",'Atividades Micro'!$K116&lt;&gt;""),'Atividades Micro'!$K116,"")</f>
        <v/>
      </c>
      <c r="BE108" s="21" t="str">
        <f>IF(AND('Atividades Micro'!$B116=BE$2,'Atividades Micro'!$G116="Macro",'Atividades Micro'!$K116&lt;&gt;""),'Atividades Micro'!$K116,"")</f>
        <v/>
      </c>
      <c r="BF108" s="21" t="str">
        <f>IF(AND('Atividades Micro'!$B116=BF$2,'Atividades Micro'!$G116="Macro",'Atividades Micro'!$K116&lt;&gt;""),'Atividades Micro'!$K116,"")</f>
        <v/>
      </c>
      <c r="BG108" s="21" t="str">
        <f>IF(AND('Atividades Micro'!$B116=BG$2,'Atividades Micro'!$G116="Macro",'Atividades Micro'!$K116&lt;&gt;""),'Atividades Micro'!$K116,"")</f>
        <v/>
      </c>
      <c r="BH108" s="21" t="str">
        <f>IF(AND('Atividades Micro'!$B116=BH$2,'Atividades Micro'!$G116="Macro",'Atividades Micro'!$K116&lt;&gt;""),'Atividades Micro'!$K116,"")</f>
        <v/>
      </c>
      <c r="BI108" s="21" t="str">
        <f>IF(AND('Atividades Micro'!$B116=BI$2,'Atividades Micro'!$G116="Macro",'Atividades Micro'!$K116&lt;&gt;""),'Atividades Micro'!$K116,"")</f>
        <v/>
      </c>
      <c r="BJ108" s="21" t="str">
        <f>IF(AND('Atividades Micro'!$B116=BJ$2,'Atividades Micro'!$G116="Macro",'Atividades Micro'!$K116&lt;&gt;""),'Atividades Micro'!$K116,"")</f>
        <v/>
      </c>
      <c r="BK108" s="21" t="str">
        <f>IF(AND('Atividades Micro'!$B116=BK$2,'Atividades Micro'!$G116="Macro",'Atividades Micro'!$K116&lt;&gt;""),'Atividades Micro'!$K116,"")</f>
        <v/>
      </c>
      <c r="BL108" s="21" t="str">
        <f>IF(AND('Atividades Micro'!$B116=BL$2,'Atividades Micro'!$G116="Macro",'Atividades Micro'!$K116&lt;&gt;""),'Atividades Micro'!$K116,"")</f>
        <v/>
      </c>
      <c r="BM108" s="21" t="str">
        <f>IF(AND('Atividades Micro'!$B116=BM$2,'Atividades Micro'!$G116="Macro",'Atividades Micro'!$K116&lt;&gt;""),'Atividades Micro'!$K116,"")</f>
        <v/>
      </c>
      <c r="BN108" s="21" t="str">
        <f>IF(AND('Atividades Micro'!$B116=BN$2,'Atividades Micro'!$G116="Macro",'Atividades Micro'!$K116&lt;&gt;""),'Atividades Micro'!$K116,"")</f>
        <v/>
      </c>
      <c r="BO108" s="21" t="str">
        <f>IF(AND('Atividades Micro'!$B116=BO$2,'Atividades Micro'!$G116="Macro",'Atividades Micro'!$K116&lt;&gt;""),'Atividades Micro'!$K116,"")</f>
        <v/>
      </c>
      <c r="BP108" s="21" t="str">
        <f>IF(AND('Atividades Micro'!$B116=BP$2,'Atividades Micro'!$G116="Macro",'Atividades Micro'!$K116&lt;&gt;""),'Atividades Micro'!$K116,"")</f>
        <v/>
      </c>
      <c r="BQ108" s="21" t="str">
        <f>IF(AND('Atividades Micro'!$B116=BQ$2,'Atividades Micro'!$G116="Macro",'Atividades Micro'!$K116&lt;&gt;""),'Atividades Micro'!$K116,"")</f>
        <v/>
      </c>
      <c r="BR108" s="21" t="str">
        <f>IF(AND('Atividades Micro'!$B116=BR$2,'Atividades Micro'!$G116="Macro",'Atividades Micro'!$K116&lt;&gt;""),'Atividades Micro'!$K116,"")</f>
        <v/>
      </c>
      <c r="BS108" s="21" t="str">
        <f>IF(AND('Atividades Micro'!$B116=BS$2,'Atividades Micro'!$G116="Macro",'Atividades Micro'!$K116&lt;&gt;""),'Atividades Micro'!$K116,"")</f>
        <v/>
      </c>
      <c r="BT108" s="21" t="str">
        <f>IF(AND('Atividades Micro'!$B116=BT$2,'Atividades Micro'!$G116="Macro",'Atividades Micro'!$K116&lt;&gt;""),'Atividades Micro'!$K116,"")</f>
        <v/>
      </c>
      <c r="BU108" s="21" t="str">
        <f>IF(AND('Atividades Micro'!$B116=BU$2,'Atividades Micro'!$G116="Macro",'Atividades Micro'!$K116&lt;&gt;""),'Atividades Micro'!$K116,"")</f>
        <v/>
      </c>
      <c r="BV108" s="21" t="str">
        <f>IF(AND('Atividades Micro'!$B116=BV$2,'Atividades Micro'!$G116="Macro",'Atividades Micro'!$K116&lt;&gt;""),'Atividades Micro'!$K116,"")</f>
        <v/>
      </c>
      <c r="BW108" s="21" t="str">
        <f>IF(AND('Atividades Micro'!$B116=BW$2,'Atividades Micro'!$G116="Macro",'Atividades Micro'!$K116&lt;&gt;""),'Atividades Micro'!$K116,"")</f>
        <v/>
      </c>
      <c r="BX108" s="21" t="str">
        <f>IF(AND('Atividades Micro'!$B116=BX$2,'Atividades Micro'!$G116="Macro",'Atividades Micro'!$K116&lt;&gt;""),'Atividades Micro'!$K116,"")</f>
        <v/>
      </c>
      <c r="BY108" s="21" t="str">
        <f>IF(AND('Atividades Micro'!$B116=BY$2,'Atividades Micro'!$G116="Macro",'Atividades Micro'!$K116&lt;&gt;""),'Atividades Micro'!$K116,"")</f>
        <v/>
      </c>
      <c r="BZ108" s="21" t="str">
        <f>IF(AND('Atividades Micro'!$B116=BZ$2,'Atividades Micro'!$G116="Macro",'Atividades Micro'!$K116&lt;&gt;""),'Atividades Micro'!$K116,"")</f>
        <v/>
      </c>
      <c r="CA108" s="21" t="str">
        <f>IF(AND('Atividades Micro'!$B116=CA$2,'Atividades Micro'!$G116="Macro",'Atividades Micro'!$K116&lt;&gt;""),'Atividades Micro'!$K116,"")</f>
        <v/>
      </c>
      <c r="CB108" s="21" t="str">
        <f>IF(AND('Atividades Micro'!$B116=CB$2,'Atividades Micro'!$G116="Macro",'Atividades Micro'!$K116&lt;&gt;""),'Atividades Micro'!$K116,"")</f>
        <v/>
      </c>
      <c r="CC108" s="21" t="str">
        <f>IF(AND('Atividades Micro'!$B116=CC$2,'Atividades Micro'!$G116="Macro",'Atividades Micro'!$K116&lt;&gt;""),'Atividades Micro'!$K116,"")</f>
        <v/>
      </c>
      <c r="CD108" s="21" t="str">
        <f>IF(AND('Atividades Micro'!$B116=CD$2,'Atividades Micro'!$G116="Micro",'Atividades Micro'!$K116&lt;&gt;""),'Atividades Micro'!$K116,"")</f>
        <v/>
      </c>
      <c r="CE108" s="21" t="str">
        <f>IF(AND('Atividades Micro'!$B116=CE$2,'Atividades Micro'!$G116="Micro",'Atividades Micro'!$K116&lt;&gt;""),'Atividades Micro'!$K116,"")</f>
        <v/>
      </c>
      <c r="CF108" s="21">
        <f>IF(AND('Atividades Micro'!$B116=CF$2,'Atividades Micro'!$G116="Micro",'Atividades Micro'!$K116&lt;&gt;""),'Atividades Micro'!$K116,"")</f>
        <v>46358</v>
      </c>
      <c r="CG108" s="21" t="str">
        <f>IF(AND('Atividades Micro'!$B116=CG$2,'Atividades Micro'!$G116="Micro",'Atividades Micro'!$K116&lt;&gt;""),'Atividades Micro'!$K116,"")</f>
        <v/>
      </c>
      <c r="CH108" s="21" t="str">
        <f>IF(AND('Atividades Micro'!$B116=CH$2,'Atividades Micro'!$G116="Micro",'Atividades Micro'!$K116&lt;&gt;""),'Atividades Micro'!$K116,"")</f>
        <v/>
      </c>
      <c r="CI108" s="21" t="str">
        <f>IF(AND('Atividades Micro'!$B116=CI$2,'Atividades Micro'!$G116="Micro",'Atividades Micro'!$K116&lt;&gt;""),'Atividades Micro'!$K116,"")</f>
        <v/>
      </c>
      <c r="CJ108" s="21" t="str">
        <f>IF(AND('Atividades Micro'!$B116=CJ$2,'Atividades Micro'!$G116="Micro",'Atividades Micro'!$K116&lt;&gt;""),'Atividades Micro'!$K116,"")</f>
        <v/>
      </c>
      <c r="CK108" s="21" t="str">
        <f>IF(AND('Atividades Micro'!$B116=CK$2,'Atividades Micro'!$G116="Micro",'Atividades Micro'!$K116&lt;&gt;""),'Atividades Micro'!$K116,"")</f>
        <v/>
      </c>
      <c r="CL108" s="21" t="str">
        <f>IF(AND('Atividades Micro'!$B116=CL$2,'Atividades Micro'!$G116="Micro",'Atividades Micro'!$K116&lt;&gt;""),'Atividades Micro'!$K116,"")</f>
        <v/>
      </c>
      <c r="CM108" s="21" t="str">
        <f>IF(AND('Atividades Micro'!$B116=CM$2,'Atividades Micro'!$G116="Micro",'Atividades Micro'!$K116&lt;&gt;""),'Atividades Micro'!$K116,"")</f>
        <v/>
      </c>
      <c r="CN108" s="21" t="str">
        <f>IF(AND('Atividades Micro'!$B116=CN$2,'Atividades Micro'!$G116="Micro",'Atividades Micro'!$K116&lt;&gt;""),'Atividades Micro'!$K116,"")</f>
        <v/>
      </c>
      <c r="CO108" s="21" t="str">
        <f>IF(AND('Atividades Micro'!$B116=CO$2,'Atividades Micro'!$G116="Micro",'Atividades Micro'!$K116&lt;&gt;""),'Atividades Micro'!$K116,"")</f>
        <v/>
      </c>
    </row>
    <row r="109" spans="1:93">
      <c r="A109" s="21" t="str">
        <f>IF(AND('Atividades Micro'!$A117=A$2,'Atividades Micro'!$K117&lt;&gt;""),'Atividades Micro'!$K117,"")</f>
        <v/>
      </c>
      <c r="B109" s="21" t="str">
        <f>IF(AND('Atividades Micro'!$A117=B$2,'Atividades Micro'!$L117&lt;&gt;""),'Atividades Micro'!$L117,"")</f>
        <v/>
      </c>
      <c r="C109" s="21" t="str">
        <f>IF(AND('Atividades Micro'!$A117=C$2,'Atividades Micro'!$K117&lt;&gt;""),'Atividades Micro'!$K117,"")</f>
        <v/>
      </c>
      <c r="D109" s="21" t="str">
        <f>IF(AND('Atividades Micro'!$A117=D$2,'Atividades Micro'!$L117&lt;&gt;""),'Atividades Micro'!$L117,"")</f>
        <v/>
      </c>
      <c r="E109" s="21" t="str">
        <f>IF(AND('Atividades Micro'!$A117=E$2,'Atividades Micro'!$K117&lt;&gt;""),'Atividades Micro'!$K117,"")</f>
        <v/>
      </c>
      <c r="F109" s="21" t="str">
        <f>IF(AND('Atividades Micro'!$A117=F$2,'Atividades Micro'!$L117&lt;&gt;""),'Atividades Micro'!$L117,"")</f>
        <v/>
      </c>
      <c r="G109" s="21" t="str">
        <f>IF(AND('Atividades Micro'!$A117=G$2,'Atividades Micro'!$K117&lt;&gt;""),'Atividades Micro'!$K117,"")</f>
        <v/>
      </c>
      <c r="H109" s="21" t="str">
        <f>IF(AND('Atividades Micro'!$A117=H$2,'Atividades Micro'!$L117&lt;&gt;""),'Atividades Micro'!$L117,"")</f>
        <v/>
      </c>
      <c r="I109" s="21" t="str">
        <f>IF(AND('Atividades Micro'!$A117=I$2,'Atividades Micro'!$K117&lt;&gt;""),'Atividades Micro'!$K117,"")</f>
        <v/>
      </c>
      <c r="J109" s="21" t="str">
        <f>IF(AND('Atividades Micro'!$A117=J$2,'Atividades Micro'!$L117&lt;&gt;""),'Atividades Micro'!$L117,"")</f>
        <v/>
      </c>
      <c r="K109" s="21" t="str">
        <f>IF(AND('Atividades Micro'!$B117=K$2,'Atividades Micro'!$K117&lt;&gt;""),'Atividades Micro'!$K117,"")</f>
        <v/>
      </c>
      <c r="L109" s="21" t="str">
        <f>IF(AND('Atividades Micro'!$B117=L$2,'Atividades Micro'!$L117&lt;&gt;""),'Atividades Micro'!$L117,"")</f>
        <v/>
      </c>
      <c r="M109" s="21" t="str">
        <f>IF(AND('Atividades Micro'!$B117=M$2,'Atividades Micro'!$K117&lt;&gt;""),'Atividades Micro'!$K117,"")</f>
        <v/>
      </c>
      <c r="N109" s="21" t="str">
        <f>IF(AND('Atividades Micro'!$B117=N$2,'Atividades Micro'!$L117&lt;&gt;""),'Atividades Micro'!$L117,"")</f>
        <v/>
      </c>
      <c r="O109" s="21">
        <f>IF(AND('Atividades Micro'!$A117=O$2,'Atividades Micro'!$K117&lt;&gt;""),'Atividades Micro'!$K117,"")</f>
        <v>46379</v>
      </c>
      <c r="P109" s="21" t="str">
        <f>IF(AND('Atividades Micro'!$A117=P$2,'Atividades Micro'!$L117&lt;&gt;""),'Atividades Micro'!$L117,"")</f>
        <v/>
      </c>
      <c r="Q109" s="21">
        <f>IF(AND('Atividades Micro'!$B117=Q$2,'Atividades Micro'!$K117&lt;&gt;""),'Atividades Micro'!$K117,"")</f>
        <v>46379</v>
      </c>
      <c r="R109" s="21" t="str">
        <f>IF(AND('Atividades Micro'!$B117=R$2,'Atividades Micro'!$L117&lt;&gt;""),'Atividades Micro'!$L117,"")</f>
        <v/>
      </c>
      <c r="S109" s="21" t="str">
        <f>IF(AND('Atividades Micro'!$A117=S$2,'Atividades Micro'!$K117&lt;&gt;""),'Atividades Micro'!$K117,"")</f>
        <v/>
      </c>
      <c r="T109" s="21" t="str">
        <f>IF(AND('Atividades Micro'!$A117=T$2,'Atividades Micro'!$L117&lt;&gt;""),'Atividades Micro'!$L117,"")</f>
        <v/>
      </c>
      <c r="U109" s="21" t="str">
        <f>IF(AND('Atividades Micro'!$B117=U$2,'Atividades Micro'!$K117&lt;&gt;""),'Atividades Micro'!$K117,"")</f>
        <v/>
      </c>
      <c r="V109" s="21" t="str">
        <f>IF(AND('Atividades Micro'!$B117=V$2,'Atividades Micro'!$L117&lt;&gt;""),'Atividades Micro'!$L117,"")</f>
        <v/>
      </c>
      <c r="W109" s="21" t="str">
        <f>IF(AND('Atividades Micro'!$B117=W$2,'Atividades Micro'!$K117&lt;&gt;""),'Atividades Micro'!$K117,"")</f>
        <v/>
      </c>
      <c r="X109" s="21" t="str">
        <f>IF(AND('Atividades Micro'!$B117=X$2,'Atividades Micro'!$L117&lt;&gt;""),'Atividades Micro'!$L117,"")</f>
        <v/>
      </c>
      <c r="Y109" s="21" t="str">
        <f>IF(AND('Atividades Micro'!$A117=Y$2,'Atividades Micro'!$K117&lt;&gt;""),'Atividades Micro'!$K117,"")</f>
        <v/>
      </c>
      <c r="Z109" s="21" t="str">
        <f>IF(AND('Atividades Micro'!$A117=Z$2,'Atividades Micro'!$L117&lt;&gt;""),'Atividades Micro'!$L117,"")</f>
        <v/>
      </c>
      <c r="AA109" s="21" t="str">
        <f>IF(AND('Atividades Micro'!$B117=AA$2,'Atividades Micro'!$K117&lt;&gt;""),'Atividades Micro'!$K117,"")</f>
        <v/>
      </c>
      <c r="AB109" s="21" t="str">
        <f>IF(AND('Atividades Micro'!$B117=AB$2,'Atividades Micro'!$L117&lt;&gt;""),'Atividades Micro'!$L117,"")</f>
        <v/>
      </c>
      <c r="AC109" s="21" t="str">
        <f>IF(AND('Atividades Micro'!$B117=AC$2,'Atividades Micro'!$K117&lt;&gt;""),'Atividades Micro'!$K117,"")</f>
        <v/>
      </c>
      <c r="AD109" s="21" t="str">
        <f>IF(AND('Atividades Micro'!$B117=AD$2,'Atividades Micro'!$L117&lt;&gt;""),'Atividades Micro'!$L117,"")</f>
        <v/>
      </c>
      <c r="AE109" s="21" t="str">
        <f>IF(AND('Atividades Micro'!$A117=AE$2,'Atividades Micro'!$K117&lt;&gt;""),'Atividades Micro'!$K117,"")</f>
        <v/>
      </c>
      <c r="AF109" s="21" t="str">
        <f>IF(AND('Atividades Micro'!$A117=AF$2,'Atividades Micro'!$L117&lt;&gt;""),'Atividades Micro'!$L117,"")</f>
        <v/>
      </c>
      <c r="AG109" s="21" t="str">
        <f>IF(AND('Atividades Micro'!$B117=AG$2,'Atividades Micro'!$K117&lt;&gt;""),'Atividades Micro'!$K117,"")</f>
        <v/>
      </c>
      <c r="AH109" s="21" t="str">
        <f>IF(AND('Atividades Micro'!$B117=AH$2,'Atividades Micro'!$L117&lt;&gt;""),'Atividades Micro'!$L117,"")</f>
        <v/>
      </c>
      <c r="AI109" s="21" t="str">
        <f>IF(AND('Atividades Micro'!$B117=AI$2,'Atividades Micro'!$K117&lt;&gt;""),'Atividades Micro'!$K117,"")</f>
        <v/>
      </c>
      <c r="AJ109" s="21" t="str">
        <f>IF(AND('Atividades Micro'!$B117=AJ$2,'Atividades Micro'!$L117&lt;&gt;""),'Atividades Micro'!$L117,"")</f>
        <v/>
      </c>
      <c r="AK109" s="21" t="str">
        <f>IF(AND('Atividades Micro'!$A117=AK$2,'Atividades Micro'!$K117&lt;&gt;""),'Atividades Micro'!$K117,"")</f>
        <v/>
      </c>
      <c r="AL109" s="21" t="str">
        <f>IF(AND('Atividades Micro'!$A117=AL$2,'Atividades Micro'!$L117&lt;&gt;""),'Atividades Micro'!$L117,"")</f>
        <v/>
      </c>
      <c r="AM109" s="21" t="str">
        <f>IF(AND('Atividades Micro'!$B117=AM$2,'Atividades Micro'!$K117&lt;&gt;""),'Atividades Micro'!$K117,"")</f>
        <v/>
      </c>
      <c r="AN109" s="21" t="str">
        <f>IF(AND('Atividades Micro'!$B117=AN$2,'Atividades Micro'!$L117&lt;&gt;""),'Atividades Micro'!$L117,"")</f>
        <v/>
      </c>
      <c r="AO109" s="21" t="str">
        <f>IF(AND('Atividades Micro'!$B117=AO$2,'Atividades Micro'!$K117&lt;&gt;""),'Atividades Micro'!$K117,"")</f>
        <v/>
      </c>
      <c r="AP109" s="21" t="str">
        <f>IF(AND('Atividades Micro'!$B117=AP$2,'Atividades Micro'!$L117&lt;&gt;""),'Atividades Micro'!$L117,"")</f>
        <v/>
      </c>
      <c r="AQ109" s="21" t="str">
        <f>IF(AND('Atividades Micro'!$A117=AQ$2,'Atividades Micro'!$K117&lt;&gt;""),'Atividades Micro'!$K117,"")</f>
        <v/>
      </c>
      <c r="AR109" s="21" t="str">
        <f>IF(AND('Atividades Micro'!$A117=AR$2,'Atividades Micro'!$L117&lt;&gt;""),'Atividades Micro'!$L117,"")</f>
        <v/>
      </c>
      <c r="AS109" s="21" t="str">
        <f>IF(AND('Atividades Micro'!$B117=AS$2,'Atividades Micro'!$K117&lt;&gt;""),'Atividades Micro'!$K117,"")</f>
        <v/>
      </c>
      <c r="AT109" s="21" t="str">
        <f>IF(AND('Atividades Micro'!$B117=AT$2,'Atividades Micro'!$L117&lt;&gt;""),'Atividades Micro'!$L117,"")</f>
        <v/>
      </c>
      <c r="AU109" s="21" t="str">
        <f>IF(AND('Atividades Micro'!$A117=AU$2,'Atividades Micro'!$K117&lt;&gt;""),'Atividades Micro'!$K117,"")</f>
        <v/>
      </c>
      <c r="AV109" s="21" t="str">
        <f>IF(AND('Atividades Micro'!$A117=AV$2,'Atividades Micro'!$L117&lt;&gt;""),'Atividades Micro'!$L117,"")</f>
        <v/>
      </c>
      <c r="AW109" s="21" t="str">
        <f>IF(AND('Atividades Micro'!$B117=AW$2,'Atividades Micro'!$K117&lt;&gt;""),'Atividades Micro'!$K117,"")</f>
        <v/>
      </c>
      <c r="AX109" s="21" t="str">
        <f>IF(AND('Atividades Micro'!$B117=AX$2,'Atividades Micro'!$L117&lt;&gt;""),'Atividades Micro'!$L117,"")</f>
        <v/>
      </c>
      <c r="AY109" s="21" t="str">
        <f>IF(AND('Atividades Micro'!$A117=AY$2,'Atividades Micro'!$K117&lt;&gt;""),'Atividades Micro'!$K117,"")</f>
        <v/>
      </c>
      <c r="AZ109" s="21" t="str">
        <f>IF(AND('Atividades Micro'!$A117=AZ$2,'Atividades Micro'!$L117&lt;&gt;""),'Atividades Micro'!$L117,"")</f>
        <v/>
      </c>
      <c r="BA109" s="21" t="str">
        <f>IF(AND('Atividades Micro'!$B117=BA$2,'Atividades Micro'!$K117&lt;&gt;""),'Atividades Micro'!$K117,"")</f>
        <v/>
      </c>
      <c r="BB109" s="21" t="str">
        <f>IF(AND('Atividades Micro'!$B117=BB$2,'Atividades Micro'!$L117&lt;&gt;""),'Atividades Micro'!$L117,"")</f>
        <v/>
      </c>
      <c r="BC109" s="21" t="str">
        <f>IF(AND('Atividades Micro'!$B117=BC$2,'Atividades Micro'!$G117="Macro",'Atividades Micro'!$K117&lt;&gt;""),'Atividades Micro'!$K117,"")</f>
        <v/>
      </c>
      <c r="BD109" s="21" t="str">
        <f>IF(AND('Atividades Micro'!$B117=BD$2,'Atividades Micro'!$G117="Macro",'Atividades Micro'!$K117&lt;&gt;""),'Atividades Micro'!$K117,"")</f>
        <v/>
      </c>
      <c r="BE109" s="21" t="str">
        <f>IF(AND('Atividades Micro'!$B117=BE$2,'Atividades Micro'!$G117="Macro",'Atividades Micro'!$K117&lt;&gt;""),'Atividades Micro'!$K117,"")</f>
        <v/>
      </c>
      <c r="BF109" s="21" t="str">
        <f>IF(AND('Atividades Micro'!$B117=BF$2,'Atividades Micro'!$G117="Macro",'Atividades Micro'!$K117&lt;&gt;""),'Atividades Micro'!$K117,"")</f>
        <v/>
      </c>
      <c r="BG109" s="21" t="str">
        <f>IF(AND('Atividades Micro'!$B117=BG$2,'Atividades Micro'!$G117="Macro",'Atividades Micro'!$K117&lt;&gt;""),'Atividades Micro'!$K117,"")</f>
        <v/>
      </c>
      <c r="BH109" s="21" t="str">
        <f>IF(AND('Atividades Micro'!$B117=BH$2,'Atividades Micro'!$G117="Macro",'Atividades Micro'!$K117&lt;&gt;""),'Atividades Micro'!$K117,"")</f>
        <v/>
      </c>
      <c r="BI109" s="21" t="str">
        <f>IF(AND('Atividades Micro'!$B117=BI$2,'Atividades Micro'!$G117="Macro",'Atividades Micro'!$K117&lt;&gt;""),'Atividades Micro'!$K117,"")</f>
        <v/>
      </c>
      <c r="BJ109" s="21" t="str">
        <f>IF(AND('Atividades Micro'!$B117=BJ$2,'Atividades Micro'!$G117="Macro",'Atividades Micro'!$K117&lt;&gt;""),'Atividades Micro'!$K117,"")</f>
        <v/>
      </c>
      <c r="BK109" s="21" t="str">
        <f>IF(AND('Atividades Micro'!$B117=BK$2,'Atividades Micro'!$G117="Macro",'Atividades Micro'!$K117&lt;&gt;""),'Atividades Micro'!$K117,"")</f>
        <v/>
      </c>
      <c r="BL109" s="21" t="str">
        <f>IF(AND('Atividades Micro'!$B117=BL$2,'Atividades Micro'!$G117="Macro",'Atividades Micro'!$K117&lt;&gt;""),'Atividades Micro'!$K117,"")</f>
        <v/>
      </c>
      <c r="BM109" s="21" t="str">
        <f>IF(AND('Atividades Micro'!$B117=BM$2,'Atividades Micro'!$G117="Macro",'Atividades Micro'!$K117&lt;&gt;""),'Atividades Micro'!$K117,"")</f>
        <v/>
      </c>
      <c r="BN109" s="21" t="str">
        <f>IF(AND('Atividades Micro'!$B117=BN$2,'Atividades Micro'!$G117="Macro",'Atividades Micro'!$K117&lt;&gt;""),'Atividades Micro'!$K117,"")</f>
        <v/>
      </c>
      <c r="BO109" s="21" t="str">
        <f>IF(AND('Atividades Micro'!$B117=BO$2,'Atividades Micro'!$G117="Macro",'Atividades Micro'!$K117&lt;&gt;""),'Atividades Micro'!$K117,"")</f>
        <v/>
      </c>
      <c r="BP109" s="21" t="str">
        <f>IF(AND('Atividades Micro'!$B117=BP$2,'Atividades Micro'!$G117="Macro",'Atividades Micro'!$K117&lt;&gt;""),'Atividades Micro'!$K117,"")</f>
        <v/>
      </c>
      <c r="BQ109" s="21" t="str">
        <f>IF(AND('Atividades Micro'!$B117=BQ$2,'Atividades Micro'!$G117="Macro",'Atividades Micro'!$K117&lt;&gt;""),'Atividades Micro'!$K117,"")</f>
        <v/>
      </c>
      <c r="BR109" s="21" t="str">
        <f>IF(AND('Atividades Micro'!$B117=BR$2,'Atividades Micro'!$G117="Macro",'Atividades Micro'!$K117&lt;&gt;""),'Atividades Micro'!$K117,"")</f>
        <v/>
      </c>
      <c r="BS109" s="21" t="str">
        <f>IF(AND('Atividades Micro'!$B117=BS$2,'Atividades Micro'!$G117="Macro",'Atividades Micro'!$K117&lt;&gt;""),'Atividades Micro'!$K117,"")</f>
        <v/>
      </c>
      <c r="BT109" s="21" t="str">
        <f>IF(AND('Atividades Micro'!$B117=BT$2,'Atividades Micro'!$G117="Macro",'Atividades Micro'!$K117&lt;&gt;""),'Atividades Micro'!$K117,"")</f>
        <v/>
      </c>
      <c r="BU109" s="21" t="str">
        <f>IF(AND('Atividades Micro'!$B117=BU$2,'Atividades Micro'!$G117="Macro",'Atividades Micro'!$K117&lt;&gt;""),'Atividades Micro'!$K117,"")</f>
        <v/>
      </c>
      <c r="BV109" s="21" t="str">
        <f>IF(AND('Atividades Micro'!$B117=BV$2,'Atividades Micro'!$G117="Macro",'Atividades Micro'!$K117&lt;&gt;""),'Atividades Micro'!$K117,"")</f>
        <v/>
      </c>
      <c r="BW109" s="21" t="str">
        <f>IF(AND('Atividades Micro'!$B117=BW$2,'Atividades Micro'!$G117="Macro",'Atividades Micro'!$K117&lt;&gt;""),'Atividades Micro'!$K117,"")</f>
        <v/>
      </c>
      <c r="BX109" s="21" t="str">
        <f>IF(AND('Atividades Micro'!$B117=BX$2,'Atividades Micro'!$G117="Macro",'Atividades Micro'!$K117&lt;&gt;""),'Atividades Micro'!$K117,"")</f>
        <v/>
      </c>
      <c r="BY109" s="21" t="str">
        <f>IF(AND('Atividades Micro'!$B117=BY$2,'Atividades Micro'!$G117="Macro",'Atividades Micro'!$K117&lt;&gt;""),'Atividades Micro'!$K117,"")</f>
        <v/>
      </c>
      <c r="BZ109" s="21" t="str">
        <f>IF(AND('Atividades Micro'!$B117=BZ$2,'Atividades Micro'!$G117="Macro",'Atividades Micro'!$K117&lt;&gt;""),'Atividades Micro'!$K117,"")</f>
        <v/>
      </c>
      <c r="CA109" s="21" t="str">
        <f>IF(AND('Atividades Micro'!$B117=CA$2,'Atividades Micro'!$G117="Macro",'Atividades Micro'!$K117&lt;&gt;""),'Atividades Micro'!$K117,"")</f>
        <v/>
      </c>
      <c r="CB109" s="21" t="str">
        <f>IF(AND('Atividades Micro'!$B117=CB$2,'Atividades Micro'!$G117="Macro",'Atividades Micro'!$K117&lt;&gt;""),'Atividades Micro'!$K117,"")</f>
        <v/>
      </c>
      <c r="CC109" s="21" t="str">
        <f>IF(AND('Atividades Micro'!$B117=CC$2,'Atividades Micro'!$G117="Macro",'Atividades Micro'!$K117&lt;&gt;""),'Atividades Micro'!$K117,"")</f>
        <v/>
      </c>
      <c r="CD109" s="21" t="str">
        <f>IF(AND('Atividades Micro'!$B117=CD$2,'Atividades Micro'!$G117="Micro",'Atividades Micro'!$K117&lt;&gt;""),'Atividades Micro'!$K117,"")</f>
        <v/>
      </c>
      <c r="CE109" s="21" t="str">
        <f>IF(AND('Atividades Micro'!$B117=CE$2,'Atividades Micro'!$G117="Micro",'Atividades Micro'!$K117&lt;&gt;""),'Atividades Micro'!$K117,"")</f>
        <v/>
      </c>
      <c r="CF109" s="21">
        <f>IF(AND('Atividades Micro'!$B117=CF$2,'Atividades Micro'!$G117="Micro",'Atividades Micro'!$K117&lt;&gt;""),'Atividades Micro'!$K117,"")</f>
        <v>46379</v>
      </c>
      <c r="CG109" s="21" t="str">
        <f>IF(AND('Atividades Micro'!$B117=CG$2,'Atividades Micro'!$G117="Micro",'Atividades Micro'!$K117&lt;&gt;""),'Atividades Micro'!$K117,"")</f>
        <v/>
      </c>
      <c r="CH109" s="21" t="str">
        <f>IF(AND('Atividades Micro'!$B117=CH$2,'Atividades Micro'!$G117="Micro",'Atividades Micro'!$K117&lt;&gt;""),'Atividades Micro'!$K117,"")</f>
        <v/>
      </c>
      <c r="CI109" s="21" t="str">
        <f>IF(AND('Atividades Micro'!$B117=CI$2,'Atividades Micro'!$G117="Micro",'Atividades Micro'!$K117&lt;&gt;""),'Atividades Micro'!$K117,"")</f>
        <v/>
      </c>
      <c r="CJ109" s="21" t="str">
        <f>IF(AND('Atividades Micro'!$B117=CJ$2,'Atividades Micro'!$G117="Micro",'Atividades Micro'!$K117&lt;&gt;""),'Atividades Micro'!$K117,"")</f>
        <v/>
      </c>
      <c r="CK109" s="21" t="str">
        <f>IF(AND('Atividades Micro'!$B117=CK$2,'Atividades Micro'!$G117="Micro",'Atividades Micro'!$K117&lt;&gt;""),'Atividades Micro'!$K117,"")</f>
        <v/>
      </c>
      <c r="CL109" s="21" t="str">
        <f>IF(AND('Atividades Micro'!$B117=CL$2,'Atividades Micro'!$G117="Micro",'Atividades Micro'!$K117&lt;&gt;""),'Atividades Micro'!$K117,"")</f>
        <v/>
      </c>
      <c r="CM109" s="21" t="str">
        <f>IF(AND('Atividades Micro'!$B117=CM$2,'Atividades Micro'!$G117="Micro",'Atividades Micro'!$K117&lt;&gt;""),'Atividades Micro'!$K117,"")</f>
        <v/>
      </c>
      <c r="CN109" s="21" t="str">
        <f>IF(AND('Atividades Micro'!$B117=CN$2,'Atividades Micro'!$G117="Micro",'Atividades Micro'!$K117&lt;&gt;""),'Atividades Micro'!$K117,"")</f>
        <v/>
      </c>
      <c r="CO109" s="21" t="str">
        <f>IF(AND('Atividades Micro'!$B117=CO$2,'Atividades Micro'!$G117="Micro",'Atividades Micro'!$K117&lt;&gt;""),'Atividades Micro'!$K117,"")</f>
        <v/>
      </c>
    </row>
    <row r="110" spans="1:93">
      <c r="A110" s="21" t="str">
        <f>IF(AND('Atividades Micro'!$A118=A$2,'Atividades Micro'!$K118&lt;&gt;""),'Atividades Micro'!$K118,"")</f>
        <v/>
      </c>
      <c r="B110" s="21" t="str">
        <f>IF(AND('Atividades Micro'!$A118=B$2,'Atividades Micro'!$L118&lt;&gt;""),'Atividades Micro'!$L118,"")</f>
        <v/>
      </c>
      <c r="C110" s="21" t="str">
        <f>IF(AND('Atividades Micro'!$A118=C$2,'Atividades Micro'!$K118&lt;&gt;""),'Atividades Micro'!$K118,"")</f>
        <v/>
      </c>
      <c r="D110" s="21" t="str">
        <f>IF(AND('Atividades Micro'!$A118=D$2,'Atividades Micro'!$L118&lt;&gt;""),'Atividades Micro'!$L118,"")</f>
        <v/>
      </c>
      <c r="E110" s="21" t="str">
        <f>IF(AND('Atividades Micro'!$A118=E$2,'Atividades Micro'!$K118&lt;&gt;""),'Atividades Micro'!$K118,"")</f>
        <v/>
      </c>
      <c r="F110" s="21" t="str">
        <f>IF(AND('Atividades Micro'!$A118=F$2,'Atividades Micro'!$L118&lt;&gt;""),'Atividades Micro'!$L118,"")</f>
        <v/>
      </c>
      <c r="G110" s="21" t="str">
        <f>IF(AND('Atividades Micro'!$A118=G$2,'Atividades Micro'!$K118&lt;&gt;""),'Atividades Micro'!$K118,"")</f>
        <v/>
      </c>
      <c r="H110" s="21" t="str">
        <f>IF(AND('Atividades Micro'!$A118=H$2,'Atividades Micro'!$L118&lt;&gt;""),'Atividades Micro'!$L118,"")</f>
        <v/>
      </c>
      <c r="I110" s="21" t="str">
        <f>IF(AND('Atividades Micro'!$A118=I$2,'Atividades Micro'!$K118&lt;&gt;""),'Atividades Micro'!$K118,"")</f>
        <v/>
      </c>
      <c r="J110" s="21" t="str">
        <f>IF(AND('Atividades Micro'!$A118=J$2,'Atividades Micro'!$L118&lt;&gt;""),'Atividades Micro'!$L118,"")</f>
        <v/>
      </c>
      <c r="K110" s="21" t="str">
        <f>IF(AND('Atividades Micro'!$B118=K$2,'Atividades Micro'!$K118&lt;&gt;""),'Atividades Micro'!$K118,"")</f>
        <v/>
      </c>
      <c r="L110" s="21" t="str">
        <f>IF(AND('Atividades Micro'!$B118=L$2,'Atividades Micro'!$L118&lt;&gt;""),'Atividades Micro'!$L118,"")</f>
        <v/>
      </c>
      <c r="M110" s="21" t="str">
        <f>IF(AND('Atividades Micro'!$B118=M$2,'Atividades Micro'!$K118&lt;&gt;""),'Atividades Micro'!$K118,"")</f>
        <v/>
      </c>
      <c r="N110" s="21" t="str">
        <f>IF(AND('Atividades Micro'!$B118=N$2,'Atividades Micro'!$L118&lt;&gt;""),'Atividades Micro'!$L118,"")</f>
        <v/>
      </c>
      <c r="O110" s="21" t="str">
        <f>IF(AND('Atividades Micro'!$A118=O$2,'Atividades Micro'!$K118&lt;&gt;""),'Atividades Micro'!$K118,"")</f>
        <v/>
      </c>
      <c r="P110" s="21" t="str">
        <f>IF(AND('Atividades Micro'!$A118=P$2,'Atividades Micro'!$L118&lt;&gt;""),'Atividades Micro'!$L118,"")</f>
        <v/>
      </c>
      <c r="Q110" s="21" t="str">
        <f>IF(AND('Atividades Micro'!$B118=Q$2,'Atividades Micro'!$K118&lt;&gt;""),'Atividades Micro'!$K118,"")</f>
        <v/>
      </c>
      <c r="R110" s="21" t="str">
        <f>IF(AND('Atividades Micro'!$B118=R$2,'Atividades Micro'!$L118&lt;&gt;""),'Atividades Micro'!$L118,"")</f>
        <v/>
      </c>
      <c r="S110" s="21" t="str">
        <f>IF(AND('Atividades Micro'!$A118=S$2,'Atividades Micro'!$K118&lt;&gt;""),'Atividades Micro'!$K118,"")</f>
        <v/>
      </c>
      <c r="T110" s="21" t="str">
        <f>IF(AND('Atividades Micro'!$A118=T$2,'Atividades Micro'!$L118&lt;&gt;""),'Atividades Micro'!$L118,"")</f>
        <v/>
      </c>
      <c r="U110" s="21" t="str">
        <f>IF(AND('Atividades Micro'!$B118=U$2,'Atividades Micro'!$K118&lt;&gt;""),'Atividades Micro'!$K118,"")</f>
        <v/>
      </c>
      <c r="V110" s="21" t="str">
        <f>IF(AND('Atividades Micro'!$B118=V$2,'Atividades Micro'!$L118&lt;&gt;""),'Atividades Micro'!$L118,"")</f>
        <v/>
      </c>
      <c r="W110" s="21" t="str">
        <f>IF(AND('Atividades Micro'!$B118=W$2,'Atividades Micro'!$K118&lt;&gt;""),'Atividades Micro'!$K118,"")</f>
        <v/>
      </c>
      <c r="X110" s="21" t="str">
        <f>IF(AND('Atividades Micro'!$B118=X$2,'Atividades Micro'!$L118&lt;&gt;""),'Atividades Micro'!$L118,"")</f>
        <v/>
      </c>
      <c r="Y110" s="21" t="str">
        <f>IF(AND('Atividades Micro'!$A118=Y$2,'Atividades Micro'!$K118&lt;&gt;""),'Atividades Micro'!$K118,"")</f>
        <v/>
      </c>
      <c r="Z110" s="21" t="str">
        <f>IF(AND('Atividades Micro'!$A118=Z$2,'Atividades Micro'!$L118&lt;&gt;""),'Atividades Micro'!$L118,"")</f>
        <v/>
      </c>
      <c r="AA110" s="21" t="str">
        <f>IF(AND('Atividades Micro'!$B118=AA$2,'Atividades Micro'!$K118&lt;&gt;""),'Atividades Micro'!$K118,"")</f>
        <v/>
      </c>
      <c r="AB110" s="21" t="str">
        <f>IF(AND('Atividades Micro'!$B118=AB$2,'Atividades Micro'!$L118&lt;&gt;""),'Atividades Micro'!$L118,"")</f>
        <v/>
      </c>
      <c r="AC110" s="21" t="str">
        <f>IF(AND('Atividades Micro'!$B118=AC$2,'Atividades Micro'!$K118&lt;&gt;""),'Atividades Micro'!$K118,"")</f>
        <v/>
      </c>
      <c r="AD110" s="21" t="str">
        <f>IF(AND('Atividades Micro'!$B118=AD$2,'Atividades Micro'!$L118&lt;&gt;""),'Atividades Micro'!$L118,"")</f>
        <v/>
      </c>
      <c r="AE110" s="21" t="str">
        <f>IF(AND('Atividades Micro'!$A118=AE$2,'Atividades Micro'!$K118&lt;&gt;""),'Atividades Micro'!$K118,"")</f>
        <v/>
      </c>
      <c r="AF110" s="21" t="str">
        <f>IF(AND('Atividades Micro'!$A118=AF$2,'Atividades Micro'!$L118&lt;&gt;""),'Atividades Micro'!$L118,"")</f>
        <v/>
      </c>
      <c r="AG110" s="21" t="str">
        <f>IF(AND('Atividades Micro'!$B118=AG$2,'Atividades Micro'!$K118&lt;&gt;""),'Atividades Micro'!$K118,"")</f>
        <v/>
      </c>
      <c r="AH110" s="21" t="str">
        <f>IF(AND('Atividades Micro'!$B118=AH$2,'Atividades Micro'!$L118&lt;&gt;""),'Atividades Micro'!$L118,"")</f>
        <v/>
      </c>
      <c r="AI110" s="21" t="str">
        <f>IF(AND('Atividades Micro'!$B118=AI$2,'Atividades Micro'!$K118&lt;&gt;""),'Atividades Micro'!$K118,"")</f>
        <v/>
      </c>
      <c r="AJ110" s="21" t="str">
        <f>IF(AND('Atividades Micro'!$B118=AJ$2,'Atividades Micro'!$L118&lt;&gt;""),'Atividades Micro'!$L118,"")</f>
        <v/>
      </c>
      <c r="AK110" s="21" t="str">
        <f>IF(AND('Atividades Micro'!$A118=AK$2,'Atividades Micro'!$K118&lt;&gt;""),'Atividades Micro'!$K118,"")</f>
        <v/>
      </c>
      <c r="AL110" s="21" t="str">
        <f>IF(AND('Atividades Micro'!$A118=AL$2,'Atividades Micro'!$L118&lt;&gt;""),'Atividades Micro'!$L118,"")</f>
        <v/>
      </c>
      <c r="AM110" s="21" t="str">
        <f>IF(AND('Atividades Micro'!$B118=AM$2,'Atividades Micro'!$K118&lt;&gt;""),'Atividades Micro'!$K118,"")</f>
        <v/>
      </c>
      <c r="AN110" s="21" t="str">
        <f>IF(AND('Atividades Micro'!$B118=AN$2,'Atividades Micro'!$L118&lt;&gt;""),'Atividades Micro'!$L118,"")</f>
        <v/>
      </c>
      <c r="AO110" s="21" t="str">
        <f>IF(AND('Atividades Micro'!$B118=AO$2,'Atividades Micro'!$K118&lt;&gt;""),'Atividades Micro'!$K118,"")</f>
        <v/>
      </c>
      <c r="AP110" s="21" t="str">
        <f>IF(AND('Atividades Micro'!$B118=AP$2,'Atividades Micro'!$L118&lt;&gt;""),'Atividades Micro'!$L118,"")</f>
        <v/>
      </c>
      <c r="AQ110" s="21" t="str">
        <f>IF(AND('Atividades Micro'!$A118=AQ$2,'Atividades Micro'!$K118&lt;&gt;""),'Atividades Micro'!$K118,"")</f>
        <v/>
      </c>
      <c r="AR110" s="21" t="str">
        <f>IF(AND('Atividades Micro'!$A118=AR$2,'Atividades Micro'!$L118&lt;&gt;""),'Atividades Micro'!$L118,"")</f>
        <v/>
      </c>
      <c r="AS110" s="21" t="str">
        <f>IF(AND('Atividades Micro'!$B118=AS$2,'Atividades Micro'!$K118&lt;&gt;""),'Atividades Micro'!$K118,"")</f>
        <v/>
      </c>
      <c r="AT110" s="21" t="str">
        <f>IF(AND('Atividades Micro'!$B118=AT$2,'Atividades Micro'!$L118&lt;&gt;""),'Atividades Micro'!$L118,"")</f>
        <v/>
      </c>
      <c r="AU110" s="21" t="str">
        <f>IF(AND('Atividades Micro'!$A118=AU$2,'Atividades Micro'!$K118&lt;&gt;""),'Atividades Micro'!$K118,"")</f>
        <v/>
      </c>
      <c r="AV110" s="21" t="str">
        <f>IF(AND('Atividades Micro'!$A118=AV$2,'Atividades Micro'!$L118&lt;&gt;""),'Atividades Micro'!$L118,"")</f>
        <v/>
      </c>
      <c r="AW110" s="21" t="str">
        <f>IF(AND('Atividades Micro'!$B118=AW$2,'Atividades Micro'!$K118&lt;&gt;""),'Atividades Micro'!$K118,"")</f>
        <v/>
      </c>
      <c r="AX110" s="21" t="str">
        <f>IF(AND('Atividades Micro'!$B118=AX$2,'Atividades Micro'!$L118&lt;&gt;""),'Atividades Micro'!$L118,"")</f>
        <v/>
      </c>
      <c r="AY110" s="21" t="str">
        <f>IF(AND('Atividades Micro'!$A118=AY$2,'Atividades Micro'!$K118&lt;&gt;""),'Atividades Micro'!$K118,"")</f>
        <v/>
      </c>
      <c r="AZ110" s="21" t="str">
        <f>IF(AND('Atividades Micro'!$A118=AZ$2,'Atividades Micro'!$L118&lt;&gt;""),'Atividades Micro'!$L118,"")</f>
        <v/>
      </c>
      <c r="BA110" s="21" t="str">
        <f>IF(AND('Atividades Micro'!$B118=BA$2,'Atividades Micro'!$K118&lt;&gt;""),'Atividades Micro'!$K118,"")</f>
        <v/>
      </c>
      <c r="BB110" s="21" t="str">
        <f>IF(AND('Atividades Micro'!$B118=BB$2,'Atividades Micro'!$L118&lt;&gt;""),'Atividades Micro'!$L118,"")</f>
        <v/>
      </c>
      <c r="BC110" s="21" t="str">
        <f>IF(AND('Atividades Micro'!$B118=BC$2,'Atividades Micro'!$G118="Macro",'Atividades Micro'!$K118&lt;&gt;""),'Atividades Micro'!$K118,"")</f>
        <v/>
      </c>
      <c r="BD110" s="21" t="str">
        <f>IF(AND('Atividades Micro'!$B118=BD$2,'Atividades Micro'!$G118="Macro",'Atividades Micro'!$K118&lt;&gt;""),'Atividades Micro'!$K118,"")</f>
        <v/>
      </c>
      <c r="BE110" s="21" t="str">
        <f>IF(AND('Atividades Micro'!$B118=BE$2,'Atividades Micro'!$G118="Macro",'Atividades Micro'!$K118&lt;&gt;""),'Atividades Micro'!$K118,"")</f>
        <v/>
      </c>
      <c r="BF110" s="21" t="str">
        <f>IF(AND('Atividades Micro'!$B118=BF$2,'Atividades Micro'!$G118="Macro",'Atividades Micro'!$K118&lt;&gt;""),'Atividades Micro'!$K118,"")</f>
        <v/>
      </c>
      <c r="BG110" s="21" t="str">
        <f>IF(AND('Atividades Micro'!$B118=BG$2,'Atividades Micro'!$G118="Macro",'Atividades Micro'!$K118&lt;&gt;""),'Atividades Micro'!$K118,"")</f>
        <v/>
      </c>
      <c r="BH110" s="21" t="str">
        <f>IF(AND('Atividades Micro'!$B118=BH$2,'Atividades Micro'!$G118="Macro",'Atividades Micro'!$K118&lt;&gt;""),'Atividades Micro'!$K118,"")</f>
        <v/>
      </c>
      <c r="BI110" s="21" t="str">
        <f>IF(AND('Atividades Micro'!$B118=BI$2,'Atividades Micro'!$G118="Macro",'Atividades Micro'!$K118&lt;&gt;""),'Atividades Micro'!$K118,"")</f>
        <v/>
      </c>
      <c r="BJ110" s="21" t="str">
        <f>IF(AND('Atividades Micro'!$B118=BJ$2,'Atividades Micro'!$G118="Macro",'Atividades Micro'!$K118&lt;&gt;""),'Atividades Micro'!$K118,"")</f>
        <v/>
      </c>
      <c r="BK110" s="21" t="str">
        <f>IF(AND('Atividades Micro'!$B118=BK$2,'Atividades Micro'!$G118="Macro",'Atividades Micro'!$K118&lt;&gt;""),'Atividades Micro'!$K118,"")</f>
        <v/>
      </c>
      <c r="BL110" s="21" t="str">
        <f>IF(AND('Atividades Micro'!$B118=BL$2,'Atividades Micro'!$G118="Macro",'Atividades Micro'!$K118&lt;&gt;""),'Atividades Micro'!$K118,"")</f>
        <v/>
      </c>
      <c r="BM110" s="21" t="str">
        <f>IF(AND('Atividades Micro'!$B118=BM$2,'Atividades Micro'!$G118="Macro",'Atividades Micro'!$K118&lt;&gt;""),'Atividades Micro'!$K118,"")</f>
        <v/>
      </c>
      <c r="BN110" s="21" t="str">
        <f>IF(AND('Atividades Micro'!$B118=BN$2,'Atividades Micro'!$G118="Macro",'Atividades Micro'!$K118&lt;&gt;""),'Atividades Micro'!$K118,"")</f>
        <v/>
      </c>
      <c r="BO110" s="21" t="str">
        <f>IF(AND('Atividades Micro'!$B118=BO$2,'Atividades Micro'!$G118="Macro",'Atividades Micro'!$K118&lt;&gt;""),'Atividades Micro'!$K118,"")</f>
        <v/>
      </c>
      <c r="BP110" s="21" t="str">
        <f>IF(AND('Atividades Micro'!$B118=BP$2,'Atividades Micro'!$G118="Macro",'Atividades Micro'!$K118&lt;&gt;""),'Atividades Micro'!$K118,"")</f>
        <v/>
      </c>
      <c r="BQ110" s="21" t="str">
        <f>IF(AND('Atividades Micro'!$B118=BQ$2,'Atividades Micro'!$G118="Macro",'Atividades Micro'!$K118&lt;&gt;""),'Atividades Micro'!$K118,"")</f>
        <v/>
      </c>
      <c r="BR110" s="21" t="str">
        <f>IF(AND('Atividades Micro'!$B118=BR$2,'Atividades Micro'!$G118="Macro",'Atividades Micro'!$K118&lt;&gt;""),'Atividades Micro'!$K118,"")</f>
        <v/>
      </c>
      <c r="BS110" s="21" t="str">
        <f>IF(AND('Atividades Micro'!$B118=BS$2,'Atividades Micro'!$G118="Macro",'Atividades Micro'!$K118&lt;&gt;""),'Atividades Micro'!$K118,"")</f>
        <v/>
      </c>
      <c r="BT110" s="21" t="str">
        <f>IF(AND('Atividades Micro'!$B118=BT$2,'Atividades Micro'!$G118="Macro",'Atividades Micro'!$K118&lt;&gt;""),'Atividades Micro'!$K118,"")</f>
        <v/>
      </c>
      <c r="BU110" s="21" t="str">
        <f>IF(AND('Atividades Micro'!$B118=BU$2,'Atividades Micro'!$G118="Macro",'Atividades Micro'!$K118&lt;&gt;""),'Atividades Micro'!$K118,"")</f>
        <v/>
      </c>
      <c r="BV110" s="21" t="str">
        <f>IF(AND('Atividades Micro'!$B118=BV$2,'Atividades Micro'!$G118="Macro",'Atividades Micro'!$K118&lt;&gt;""),'Atividades Micro'!$K118,"")</f>
        <v/>
      </c>
      <c r="BW110" s="21" t="str">
        <f>IF(AND('Atividades Micro'!$B118=BW$2,'Atividades Micro'!$G118="Macro",'Atividades Micro'!$K118&lt;&gt;""),'Atividades Micro'!$K118,"")</f>
        <v/>
      </c>
      <c r="BX110" s="21" t="str">
        <f>IF(AND('Atividades Micro'!$B118=BX$2,'Atividades Micro'!$G118="Macro",'Atividades Micro'!$K118&lt;&gt;""),'Atividades Micro'!$K118,"")</f>
        <v/>
      </c>
      <c r="BY110" s="21" t="str">
        <f>IF(AND('Atividades Micro'!$B118=BY$2,'Atividades Micro'!$G118="Macro",'Atividades Micro'!$K118&lt;&gt;""),'Atividades Micro'!$K118,"")</f>
        <v/>
      </c>
      <c r="BZ110" s="21" t="str">
        <f>IF(AND('Atividades Micro'!$B118=BZ$2,'Atividades Micro'!$G118="Macro",'Atividades Micro'!$K118&lt;&gt;""),'Atividades Micro'!$K118,"")</f>
        <v/>
      </c>
      <c r="CA110" s="21" t="str">
        <f>IF(AND('Atividades Micro'!$B118=CA$2,'Atividades Micro'!$G118="Macro",'Atividades Micro'!$K118&lt;&gt;""),'Atividades Micro'!$K118,"")</f>
        <v/>
      </c>
      <c r="CB110" s="21" t="str">
        <f>IF(AND('Atividades Micro'!$B118=CB$2,'Atividades Micro'!$G118="Macro",'Atividades Micro'!$K118&lt;&gt;""),'Atividades Micro'!$K118,"")</f>
        <v/>
      </c>
      <c r="CC110" s="21" t="str">
        <f>IF(AND('Atividades Micro'!$B118=CC$2,'Atividades Micro'!$G118="Macro",'Atividades Micro'!$K118&lt;&gt;""),'Atividades Micro'!$K118,"")</f>
        <v/>
      </c>
      <c r="CD110" s="21" t="str">
        <f>IF(AND('Atividades Micro'!$B118=CD$2,'Atividades Micro'!$G118="Micro",'Atividades Micro'!$K118&lt;&gt;""),'Atividades Micro'!$K118,"")</f>
        <v/>
      </c>
      <c r="CE110" s="21" t="str">
        <f>IF(AND('Atividades Micro'!$B118=CE$2,'Atividades Micro'!$G118="Micro",'Atividades Micro'!$K118&lt;&gt;""),'Atividades Micro'!$K118,"")</f>
        <v/>
      </c>
      <c r="CF110" s="21" t="str">
        <f>IF(AND('Atividades Micro'!$B118=CF$2,'Atividades Micro'!$G118="Micro",'Atividades Micro'!$K118&lt;&gt;""),'Atividades Micro'!$K118,"")</f>
        <v/>
      </c>
      <c r="CG110" s="21" t="str">
        <f>IF(AND('Atividades Micro'!$B118=CG$2,'Atividades Micro'!$G118="Micro",'Atividades Micro'!$K118&lt;&gt;""),'Atividades Micro'!$K118,"")</f>
        <v/>
      </c>
      <c r="CH110" s="21" t="str">
        <f>IF(AND('Atividades Micro'!$B118=CH$2,'Atividades Micro'!$G118="Micro",'Atividades Micro'!$K118&lt;&gt;""),'Atividades Micro'!$K118,"")</f>
        <v/>
      </c>
      <c r="CI110" s="21" t="str">
        <f>IF(AND('Atividades Micro'!$B118=CI$2,'Atividades Micro'!$G118="Micro",'Atividades Micro'!$K118&lt;&gt;""),'Atividades Micro'!$K118,"")</f>
        <v/>
      </c>
      <c r="CJ110" s="21" t="str">
        <f>IF(AND('Atividades Micro'!$B118=CJ$2,'Atividades Micro'!$G118="Micro",'Atividades Micro'!$K118&lt;&gt;""),'Atividades Micro'!$K118,"")</f>
        <v/>
      </c>
      <c r="CK110" s="21" t="str">
        <f>IF(AND('Atividades Micro'!$B118=CK$2,'Atividades Micro'!$G118="Micro",'Atividades Micro'!$K118&lt;&gt;""),'Atividades Micro'!$K118,"")</f>
        <v/>
      </c>
      <c r="CL110" s="21" t="str">
        <f>IF(AND('Atividades Micro'!$B118=CL$2,'Atividades Micro'!$G118="Micro",'Atividades Micro'!$K118&lt;&gt;""),'Atividades Micro'!$K118,"")</f>
        <v/>
      </c>
      <c r="CM110" s="21" t="str">
        <f>IF(AND('Atividades Micro'!$B118=CM$2,'Atividades Micro'!$G118="Micro",'Atividades Micro'!$K118&lt;&gt;""),'Atividades Micro'!$K118,"")</f>
        <v/>
      </c>
      <c r="CN110" s="21" t="str">
        <f>IF(AND('Atividades Micro'!$B118=CN$2,'Atividades Micro'!$G118="Micro",'Atividades Micro'!$K118&lt;&gt;""),'Atividades Micro'!$K118,"")</f>
        <v/>
      </c>
      <c r="CO110" s="21" t="str">
        <f>IF(AND('Atividades Micro'!$B118=CO$2,'Atividades Micro'!$G118="Micro",'Atividades Micro'!$K118&lt;&gt;""),'Atividades Micro'!$K118,"")</f>
        <v/>
      </c>
    </row>
    <row r="111" spans="1:93">
      <c r="A111" s="21" t="str">
        <f>IF(AND('Atividades Micro'!$A119=A$2,'Atividades Micro'!$K119&lt;&gt;""),'Atividades Micro'!$K119,"")</f>
        <v/>
      </c>
      <c r="B111" s="21" t="str">
        <f>IF(AND('Atividades Micro'!$A119=B$2,'Atividades Micro'!$L119&lt;&gt;""),'Atividades Micro'!$L119,"")</f>
        <v/>
      </c>
      <c r="C111" s="21" t="str">
        <f>IF(AND('Atividades Micro'!$A119=C$2,'Atividades Micro'!$K119&lt;&gt;""),'Atividades Micro'!$K119,"")</f>
        <v/>
      </c>
      <c r="D111" s="21" t="str">
        <f>IF(AND('Atividades Micro'!$A119=D$2,'Atividades Micro'!$L119&lt;&gt;""),'Atividades Micro'!$L119,"")</f>
        <v/>
      </c>
      <c r="E111" s="21" t="str">
        <f>IF(AND('Atividades Micro'!$A119=E$2,'Atividades Micro'!$K119&lt;&gt;""),'Atividades Micro'!$K119,"")</f>
        <v/>
      </c>
      <c r="F111" s="21" t="str">
        <f>IF(AND('Atividades Micro'!$A119=F$2,'Atividades Micro'!$L119&lt;&gt;""),'Atividades Micro'!$L119,"")</f>
        <v/>
      </c>
      <c r="G111" s="21" t="str">
        <f>IF(AND('Atividades Micro'!$A119=G$2,'Atividades Micro'!$K119&lt;&gt;""),'Atividades Micro'!$K119,"")</f>
        <v/>
      </c>
      <c r="H111" s="21" t="str">
        <f>IF(AND('Atividades Micro'!$A119=H$2,'Atividades Micro'!$L119&lt;&gt;""),'Atividades Micro'!$L119,"")</f>
        <v/>
      </c>
      <c r="I111" s="21" t="str">
        <f>IF(AND('Atividades Micro'!$A119=I$2,'Atividades Micro'!$K119&lt;&gt;""),'Atividades Micro'!$K119,"")</f>
        <v/>
      </c>
      <c r="J111" s="21" t="str">
        <f>IF(AND('Atividades Micro'!$A119=J$2,'Atividades Micro'!$L119&lt;&gt;""),'Atividades Micro'!$L119,"")</f>
        <v/>
      </c>
      <c r="K111" s="21" t="str">
        <f>IF(AND('Atividades Micro'!$B119=K$2,'Atividades Micro'!$K119&lt;&gt;""),'Atividades Micro'!$K119,"")</f>
        <v/>
      </c>
      <c r="L111" s="21" t="str">
        <f>IF(AND('Atividades Micro'!$B119=L$2,'Atividades Micro'!$L119&lt;&gt;""),'Atividades Micro'!$L119,"")</f>
        <v/>
      </c>
      <c r="M111" s="21" t="str">
        <f>IF(AND('Atividades Micro'!$B119=M$2,'Atividades Micro'!$K119&lt;&gt;""),'Atividades Micro'!$K119,"")</f>
        <v/>
      </c>
      <c r="N111" s="21" t="str">
        <f>IF(AND('Atividades Micro'!$B119=N$2,'Atividades Micro'!$L119&lt;&gt;""),'Atividades Micro'!$L119,"")</f>
        <v/>
      </c>
      <c r="O111" s="21" t="str">
        <f>IF(AND('Atividades Micro'!$A119=O$2,'Atividades Micro'!$K119&lt;&gt;""),'Atividades Micro'!$K119,"")</f>
        <v/>
      </c>
      <c r="P111" s="21" t="str">
        <f>IF(AND('Atividades Micro'!$A119=P$2,'Atividades Micro'!$L119&lt;&gt;""),'Atividades Micro'!$L119,"")</f>
        <v/>
      </c>
      <c r="Q111" s="21" t="str">
        <f>IF(AND('Atividades Micro'!$B119=Q$2,'Atividades Micro'!$K119&lt;&gt;""),'Atividades Micro'!$K119,"")</f>
        <v/>
      </c>
      <c r="R111" s="21" t="str">
        <f>IF(AND('Atividades Micro'!$B119=R$2,'Atividades Micro'!$L119&lt;&gt;""),'Atividades Micro'!$L119,"")</f>
        <v/>
      </c>
      <c r="S111" s="21" t="str">
        <f>IF(AND('Atividades Micro'!$A119=S$2,'Atividades Micro'!$K119&lt;&gt;""),'Atividades Micro'!$K119,"")</f>
        <v/>
      </c>
      <c r="T111" s="21" t="str">
        <f>IF(AND('Atividades Micro'!$A119=T$2,'Atividades Micro'!$L119&lt;&gt;""),'Atividades Micro'!$L119,"")</f>
        <v/>
      </c>
      <c r="U111" s="21" t="str">
        <f>IF(AND('Atividades Micro'!$B119=U$2,'Atividades Micro'!$K119&lt;&gt;""),'Atividades Micro'!$K119,"")</f>
        <v/>
      </c>
      <c r="V111" s="21" t="str">
        <f>IF(AND('Atividades Micro'!$B119=V$2,'Atividades Micro'!$L119&lt;&gt;""),'Atividades Micro'!$L119,"")</f>
        <v/>
      </c>
      <c r="W111" s="21" t="str">
        <f>IF(AND('Atividades Micro'!$B119=W$2,'Atividades Micro'!$K119&lt;&gt;""),'Atividades Micro'!$K119,"")</f>
        <v/>
      </c>
      <c r="X111" s="21" t="str">
        <f>IF(AND('Atividades Micro'!$B119=X$2,'Atividades Micro'!$L119&lt;&gt;""),'Atividades Micro'!$L119,"")</f>
        <v/>
      </c>
      <c r="Y111" s="21" t="str">
        <f>IF(AND('Atividades Micro'!$A119=Y$2,'Atividades Micro'!$K119&lt;&gt;""),'Atividades Micro'!$K119,"")</f>
        <v/>
      </c>
      <c r="Z111" s="21" t="str">
        <f>IF(AND('Atividades Micro'!$A119=Z$2,'Atividades Micro'!$L119&lt;&gt;""),'Atividades Micro'!$L119,"")</f>
        <v/>
      </c>
      <c r="AA111" s="21" t="str">
        <f>IF(AND('Atividades Micro'!$B119=AA$2,'Atividades Micro'!$K119&lt;&gt;""),'Atividades Micro'!$K119,"")</f>
        <v/>
      </c>
      <c r="AB111" s="21" t="str">
        <f>IF(AND('Atividades Micro'!$B119=AB$2,'Atividades Micro'!$L119&lt;&gt;""),'Atividades Micro'!$L119,"")</f>
        <v/>
      </c>
      <c r="AC111" s="21" t="str">
        <f>IF(AND('Atividades Micro'!$B119=AC$2,'Atividades Micro'!$K119&lt;&gt;""),'Atividades Micro'!$K119,"")</f>
        <v/>
      </c>
      <c r="AD111" s="21" t="str">
        <f>IF(AND('Atividades Micro'!$B119=AD$2,'Atividades Micro'!$L119&lt;&gt;""),'Atividades Micro'!$L119,"")</f>
        <v/>
      </c>
      <c r="AE111" s="21" t="str">
        <f>IF(AND('Atividades Micro'!$A119=AE$2,'Atividades Micro'!$K119&lt;&gt;""),'Atividades Micro'!$K119,"")</f>
        <v/>
      </c>
      <c r="AF111" s="21" t="str">
        <f>IF(AND('Atividades Micro'!$A119=AF$2,'Atividades Micro'!$L119&lt;&gt;""),'Atividades Micro'!$L119,"")</f>
        <v/>
      </c>
      <c r="AG111" s="21" t="str">
        <f>IF(AND('Atividades Micro'!$B119=AG$2,'Atividades Micro'!$K119&lt;&gt;""),'Atividades Micro'!$K119,"")</f>
        <v/>
      </c>
      <c r="AH111" s="21" t="str">
        <f>IF(AND('Atividades Micro'!$B119=AH$2,'Atividades Micro'!$L119&lt;&gt;""),'Atividades Micro'!$L119,"")</f>
        <v/>
      </c>
      <c r="AI111" s="21" t="str">
        <f>IF(AND('Atividades Micro'!$B119=AI$2,'Atividades Micro'!$K119&lt;&gt;""),'Atividades Micro'!$K119,"")</f>
        <v/>
      </c>
      <c r="AJ111" s="21" t="str">
        <f>IF(AND('Atividades Micro'!$B119=AJ$2,'Atividades Micro'!$L119&lt;&gt;""),'Atividades Micro'!$L119,"")</f>
        <v/>
      </c>
      <c r="AK111" s="21" t="str">
        <f>IF(AND('Atividades Micro'!$A119=AK$2,'Atividades Micro'!$K119&lt;&gt;""),'Atividades Micro'!$K119,"")</f>
        <v/>
      </c>
      <c r="AL111" s="21" t="str">
        <f>IF(AND('Atividades Micro'!$A119=AL$2,'Atividades Micro'!$L119&lt;&gt;""),'Atividades Micro'!$L119,"")</f>
        <v/>
      </c>
      <c r="AM111" s="21" t="str">
        <f>IF(AND('Atividades Micro'!$B119=AM$2,'Atividades Micro'!$K119&lt;&gt;""),'Atividades Micro'!$K119,"")</f>
        <v/>
      </c>
      <c r="AN111" s="21" t="str">
        <f>IF(AND('Atividades Micro'!$B119=AN$2,'Atividades Micro'!$L119&lt;&gt;""),'Atividades Micro'!$L119,"")</f>
        <v/>
      </c>
      <c r="AO111" s="21" t="str">
        <f>IF(AND('Atividades Micro'!$B119=AO$2,'Atividades Micro'!$K119&lt;&gt;""),'Atividades Micro'!$K119,"")</f>
        <v/>
      </c>
      <c r="AP111" s="21" t="str">
        <f>IF(AND('Atividades Micro'!$B119=AP$2,'Atividades Micro'!$L119&lt;&gt;""),'Atividades Micro'!$L119,"")</f>
        <v/>
      </c>
      <c r="AQ111" s="21" t="str">
        <f>IF(AND('Atividades Micro'!$A119=AQ$2,'Atividades Micro'!$K119&lt;&gt;""),'Atividades Micro'!$K119,"")</f>
        <v/>
      </c>
      <c r="AR111" s="21" t="str">
        <f>IF(AND('Atividades Micro'!$A119=AR$2,'Atividades Micro'!$L119&lt;&gt;""),'Atividades Micro'!$L119,"")</f>
        <v/>
      </c>
      <c r="AS111" s="21" t="str">
        <f>IF(AND('Atividades Micro'!$B119=AS$2,'Atividades Micro'!$K119&lt;&gt;""),'Atividades Micro'!$K119,"")</f>
        <v/>
      </c>
      <c r="AT111" s="21" t="str">
        <f>IF(AND('Atividades Micro'!$B119=AT$2,'Atividades Micro'!$L119&lt;&gt;""),'Atividades Micro'!$L119,"")</f>
        <v/>
      </c>
      <c r="AU111" s="21" t="str">
        <f>IF(AND('Atividades Micro'!$A119=AU$2,'Atividades Micro'!$K119&lt;&gt;""),'Atividades Micro'!$K119,"")</f>
        <v/>
      </c>
      <c r="AV111" s="21" t="str">
        <f>IF(AND('Atividades Micro'!$A119=AV$2,'Atividades Micro'!$L119&lt;&gt;""),'Atividades Micro'!$L119,"")</f>
        <v/>
      </c>
      <c r="AW111" s="21" t="str">
        <f>IF(AND('Atividades Micro'!$B119=AW$2,'Atividades Micro'!$K119&lt;&gt;""),'Atividades Micro'!$K119,"")</f>
        <v/>
      </c>
      <c r="AX111" s="21" t="str">
        <f>IF(AND('Atividades Micro'!$B119=AX$2,'Atividades Micro'!$L119&lt;&gt;""),'Atividades Micro'!$L119,"")</f>
        <v/>
      </c>
      <c r="AY111" s="21" t="str">
        <f>IF(AND('Atividades Micro'!$A119=AY$2,'Atividades Micro'!$K119&lt;&gt;""),'Atividades Micro'!$K119,"")</f>
        <v/>
      </c>
      <c r="AZ111" s="21" t="str">
        <f>IF(AND('Atividades Micro'!$A119=AZ$2,'Atividades Micro'!$L119&lt;&gt;""),'Atividades Micro'!$L119,"")</f>
        <v/>
      </c>
      <c r="BA111" s="21" t="str">
        <f>IF(AND('Atividades Micro'!$B119=BA$2,'Atividades Micro'!$K119&lt;&gt;""),'Atividades Micro'!$K119,"")</f>
        <v/>
      </c>
      <c r="BB111" s="21" t="str">
        <f>IF(AND('Atividades Micro'!$B119=BB$2,'Atividades Micro'!$L119&lt;&gt;""),'Atividades Micro'!$L119,"")</f>
        <v/>
      </c>
      <c r="BC111" s="21" t="str">
        <f>IF(AND('Atividades Micro'!$B119=BC$2,'Atividades Micro'!$G119="Macro",'Atividades Micro'!$K119&lt;&gt;""),'Atividades Micro'!$K119,"")</f>
        <v/>
      </c>
      <c r="BD111" s="21" t="str">
        <f>IF(AND('Atividades Micro'!$B119=BD$2,'Atividades Micro'!$G119="Macro",'Atividades Micro'!$K119&lt;&gt;""),'Atividades Micro'!$K119,"")</f>
        <v/>
      </c>
      <c r="BE111" s="21" t="str">
        <f>IF(AND('Atividades Micro'!$B119=BE$2,'Atividades Micro'!$G119="Macro",'Atividades Micro'!$K119&lt;&gt;""),'Atividades Micro'!$K119,"")</f>
        <v/>
      </c>
      <c r="BF111" s="21" t="str">
        <f>IF(AND('Atividades Micro'!$B119=BF$2,'Atividades Micro'!$G119="Macro",'Atividades Micro'!$K119&lt;&gt;""),'Atividades Micro'!$K119,"")</f>
        <v/>
      </c>
      <c r="BG111" s="21" t="str">
        <f>IF(AND('Atividades Micro'!$B119=BG$2,'Atividades Micro'!$G119="Macro",'Atividades Micro'!$K119&lt;&gt;""),'Atividades Micro'!$K119,"")</f>
        <v/>
      </c>
      <c r="BH111" s="21" t="str">
        <f>IF(AND('Atividades Micro'!$B119=BH$2,'Atividades Micro'!$G119="Macro",'Atividades Micro'!$K119&lt;&gt;""),'Atividades Micro'!$K119,"")</f>
        <v/>
      </c>
      <c r="BI111" s="21" t="str">
        <f>IF(AND('Atividades Micro'!$B119=BI$2,'Atividades Micro'!$G119="Macro",'Atividades Micro'!$K119&lt;&gt;""),'Atividades Micro'!$K119,"")</f>
        <v/>
      </c>
      <c r="BJ111" s="21" t="str">
        <f>IF(AND('Atividades Micro'!$B119=BJ$2,'Atividades Micro'!$G119="Macro",'Atividades Micro'!$K119&lt;&gt;""),'Atividades Micro'!$K119,"")</f>
        <v/>
      </c>
      <c r="BK111" s="21" t="str">
        <f>IF(AND('Atividades Micro'!$B119=BK$2,'Atividades Micro'!$G119="Macro",'Atividades Micro'!$K119&lt;&gt;""),'Atividades Micro'!$K119,"")</f>
        <v/>
      </c>
      <c r="BL111" s="21" t="str">
        <f>IF(AND('Atividades Micro'!$B119=BL$2,'Atividades Micro'!$G119="Macro",'Atividades Micro'!$K119&lt;&gt;""),'Atividades Micro'!$K119,"")</f>
        <v/>
      </c>
      <c r="BM111" s="21" t="str">
        <f>IF(AND('Atividades Micro'!$B119=BM$2,'Atividades Micro'!$G119="Macro",'Atividades Micro'!$K119&lt;&gt;""),'Atividades Micro'!$K119,"")</f>
        <v/>
      </c>
      <c r="BN111" s="21" t="str">
        <f>IF(AND('Atividades Micro'!$B119=BN$2,'Atividades Micro'!$G119="Macro",'Atividades Micro'!$K119&lt;&gt;""),'Atividades Micro'!$K119,"")</f>
        <v/>
      </c>
      <c r="BO111" s="21" t="str">
        <f>IF(AND('Atividades Micro'!$B119=BO$2,'Atividades Micro'!$G119="Macro",'Atividades Micro'!$K119&lt;&gt;""),'Atividades Micro'!$K119,"")</f>
        <v/>
      </c>
      <c r="BP111" s="21" t="str">
        <f>IF(AND('Atividades Micro'!$B119=BP$2,'Atividades Micro'!$G119="Macro",'Atividades Micro'!$K119&lt;&gt;""),'Atividades Micro'!$K119,"")</f>
        <v/>
      </c>
      <c r="BQ111" s="21" t="str">
        <f>IF(AND('Atividades Micro'!$B119=BQ$2,'Atividades Micro'!$G119="Macro",'Atividades Micro'!$K119&lt;&gt;""),'Atividades Micro'!$K119,"")</f>
        <v/>
      </c>
      <c r="BR111" s="21" t="str">
        <f>IF(AND('Atividades Micro'!$B119=BR$2,'Atividades Micro'!$G119="Macro",'Atividades Micro'!$K119&lt;&gt;""),'Atividades Micro'!$K119,"")</f>
        <v/>
      </c>
      <c r="BS111" s="21" t="str">
        <f>IF(AND('Atividades Micro'!$B119=BS$2,'Atividades Micro'!$G119="Macro",'Atividades Micro'!$K119&lt;&gt;""),'Atividades Micro'!$K119,"")</f>
        <v/>
      </c>
      <c r="BT111" s="21" t="str">
        <f>IF(AND('Atividades Micro'!$B119=BT$2,'Atividades Micro'!$G119="Macro",'Atividades Micro'!$K119&lt;&gt;""),'Atividades Micro'!$K119,"")</f>
        <v/>
      </c>
      <c r="BU111" s="21" t="str">
        <f>IF(AND('Atividades Micro'!$B119=BU$2,'Atividades Micro'!$G119="Macro",'Atividades Micro'!$K119&lt;&gt;""),'Atividades Micro'!$K119,"")</f>
        <v/>
      </c>
      <c r="BV111" s="21" t="str">
        <f>IF(AND('Atividades Micro'!$B119=BV$2,'Atividades Micro'!$G119="Macro",'Atividades Micro'!$K119&lt;&gt;""),'Atividades Micro'!$K119,"")</f>
        <v/>
      </c>
      <c r="BW111" s="21" t="str">
        <f>IF(AND('Atividades Micro'!$B119=BW$2,'Atividades Micro'!$G119="Macro",'Atividades Micro'!$K119&lt;&gt;""),'Atividades Micro'!$K119,"")</f>
        <v/>
      </c>
      <c r="BX111" s="21" t="str">
        <f>IF(AND('Atividades Micro'!$B119=BX$2,'Atividades Micro'!$G119="Macro",'Atividades Micro'!$K119&lt;&gt;""),'Atividades Micro'!$K119,"")</f>
        <v/>
      </c>
      <c r="BY111" s="21" t="str">
        <f>IF(AND('Atividades Micro'!$B119=BY$2,'Atividades Micro'!$G119="Macro",'Atividades Micro'!$K119&lt;&gt;""),'Atividades Micro'!$K119,"")</f>
        <v/>
      </c>
      <c r="BZ111" s="21" t="str">
        <f>IF(AND('Atividades Micro'!$B119=BZ$2,'Atividades Micro'!$G119="Macro",'Atividades Micro'!$K119&lt;&gt;""),'Atividades Micro'!$K119,"")</f>
        <v/>
      </c>
      <c r="CA111" s="21" t="str">
        <f>IF(AND('Atividades Micro'!$B119=CA$2,'Atividades Micro'!$G119="Macro",'Atividades Micro'!$K119&lt;&gt;""),'Atividades Micro'!$K119,"")</f>
        <v/>
      </c>
      <c r="CB111" s="21" t="str">
        <f>IF(AND('Atividades Micro'!$B119=CB$2,'Atividades Micro'!$G119="Macro",'Atividades Micro'!$K119&lt;&gt;""),'Atividades Micro'!$K119,"")</f>
        <v/>
      </c>
      <c r="CC111" s="21" t="str">
        <f>IF(AND('Atividades Micro'!$B119=CC$2,'Atividades Micro'!$G119="Macro",'Atividades Micro'!$K119&lt;&gt;""),'Atividades Micro'!$K119,"")</f>
        <v/>
      </c>
      <c r="CD111" s="21" t="str">
        <f>IF(AND('Atividades Micro'!$B119=CD$2,'Atividades Micro'!$G119="Micro",'Atividades Micro'!$K119&lt;&gt;""),'Atividades Micro'!$K119,"")</f>
        <v/>
      </c>
      <c r="CE111" s="21" t="str">
        <f>IF(AND('Atividades Micro'!$B119=CE$2,'Atividades Micro'!$G119="Micro",'Atividades Micro'!$K119&lt;&gt;""),'Atividades Micro'!$K119,"")</f>
        <v/>
      </c>
      <c r="CF111" s="21" t="str">
        <f>IF(AND('Atividades Micro'!$B119=CF$2,'Atividades Micro'!$G119="Micro",'Atividades Micro'!$K119&lt;&gt;""),'Atividades Micro'!$K119,"")</f>
        <v/>
      </c>
      <c r="CG111" s="21" t="str">
        <f>IF(AND('Atividades Micro'!$B119=CG$2,'Atividades Micro'!$G119="Micro",'Atividades Micro'!$K119&lt;&gt;""),'Atividades Micro'!$K119,"")</f>
        <v/>
      </c>
      <c r="CH111" s="21" t="str">
        <f>IF(AND('Atividades Micro'!$B119=CH$2,'Atividades Micro'!$G119="Micro",'Atividades Micro'!$K119&lt;&gt;""),'Atividades Micro'!$K119,"")</f>
        <v/>
      </c>
      <c r="CI111" s="21" t="str">
        <f>IF(AND('Atividades Micro'!$B119=CI$2,'Atividades Micro'!$G119="Micro",'Atividades Micro'!$K119&lt;&gt;""),'Atividades Micro'!$K119,"")</f>
        <v/>
      </c>
      <c r="CJ111" s="21" t="str">
        <f>IF(AND('Atividades Micro'!$B119=CJ$2,'Atividades Micro'!$G119="Micro",'Atividades Micro'!$K119&lt;&gt;""),'Atividades Micro'!$K119,"")</f>
        <v/>
      </c>
      <c r="CK111" s="21" t="str">
        <f>IF(AND('Atividades Micro'!$B119=CK$2,'Atividades Micro'!$G119="Micro",'Atividades Micro'!$K119&lt;&gt;""),'Atividades Micro'!$K119,"")</f>
        <v/>
      </c>
      <c r="CL111" s="21" t="str">
        <f>IF(AND('Atividades Micro'!$B119=CL$2,'Atividades Micro'!$G119="Micro",'Atividades Micro'!$K119&lt;&gt;""),'Atividades Micro'!$K119,"")</f>
        <v/>
      </c>
      <c r="CM111" s="21" t="str">
        <f>IF(AND('Atividades Micro'!$B119=CM$2,'Atividades Micro'!$G119="Micro",'Atividades Micro'!$K119&lt;&gt;""),'Atividades Micro'!$K119,"")</f>
        <v/>
      </c>
      <c r="CN111" s="21" t="str">
        <f>IF(AND('Atividades Micro'!$B119=CN$2,'Atividades Micro'!$G119="Micro",'Atividades Micro'!$K119&lt;&gt;""),'Atividades Micro'!$K119,"")</f>
        <v/>
      </c>
      <c r="CO111" s="21" t="str">
        <f>IF(AND('Atividades Micro'!$B119=CO$2,'Atividades Micro'!$G119="Micro",'Atividades Micro'!$K119&lt;&gt;""),'Atividades Micro'!$K119,"")</f>
        <v/>
      </c>
    </row>
    <row r="112" spans="1:93">
      <c r="A112" s="21" t="str">
        <f>IF(AND('Atividades Micro'!$A120=A$2,'Atividades Micro'!$K120&lt;&gt;""),'Atividades Micro'!$K120,"")</f>
        <v/>
      </c>
      <c r="B112" s="21" t="str">
        <f>IF(AND('Atividades Micro'!$A120=B$2,'Atividades Micro'!$L120&lt;&gt;""),'Atividades Micro'!$L120,"")</f>
        <v/>
      </c>
      <c r="C112" s="21" t="str">
        <f>IF(AND('Atividades Micro'!$A120=C$2,'Atividades Micro'!$K120&lt;&gt;""),'Atividades Micro'!$K120,"")</f>
        <v/>
      </c>
      <c r="D112" s="21" t="str">
        <f>IF(AND('Atividades Micro'!$A120=D$2,'Atividades Micro'!$L120&lt;&gt;""),'Atividades Micro'!$L120,"")</f>
        <v/>
      </c>
      <c r="E112" s="21" t="str">
        <f>IF(AND('Atividades Micro'!$A120=E$2,'Atividades Micro'!$K120&lt;&gt;""),'Atividades Micro'!$K120,"")</f>
        <v/>
      </c>
      <c r="F112" s="21" t="str">
        <f>IF(AND('Atividades Micro'!$A120=F$2,'Atividades Micro'!$L120&lt;&gt;""),'Atividades Micro'!$L120,"")</f>
        <v/>
      </c>
      <c r="G112" s="21" t="str">
        <f>IF(AND('Atividades Micro'!$A120=G$2,'Atividades Micro'!$K120&lt;&gt;""),'Atividades Micro'!$K120,"")</f>
        <v/>
      </c>
      <c r="H112" s="21" t="str">
        <f>IF(AND('Atividades Micro'!$A120=H$2,'Atividades Micro'!$L120&lt;&gt;""),'Atividades Micro'!$L120,"")</f>
        <v/>
      </c>
      <c r="I112" s="21" t="str">
        <f>IF(AND('Atividades Micro'!$A120=I$2,'Atividades Micro'!$K120&lt;&gt;""),'Atividades Micro'!$K120,"")</f>
        <v/>
      </c>
      <c r="J112" s="21" t="str">
        <f>IF(AND('Atividades Micro'!$A120=J$2,'Atividades Micro'!$L120&lt;&gt;""),'Atividades Micro'!$L120,"")</f>
        <v/>
      </c>
      <c r="K112" s="21" t="str">
        <f>IF(AND('Atividades Micro'!$B120=K$2,'Atividades Micro'!$K120&lt;&gt;""),'Atividades Micro'!$K120,"")</f>
        <v/>
      </c>
      <c r="L112" s="21" t="str">
        <f>IF(AND('Atividades Micro'!$B120=L$2,'Atividades Micro'!$L120&lt;&gt;""),'Atividades Micro'!$L120,"")</f>
        <v/>
      </c>
      <c r="M112" s="21" t="str">
        <f>IF(AND('Atividades Micro'!$B120=M$2,'Atividades Micro'!$K120&lt;&gt;""),'Atividades Micro'!$K120,"")</f>
        <v/>
      </c>
      <c r="N112" s="21" t="str">
        <f>IF(AND('Atividades Micro'!$B120=N$2,'Atividades Micro'!$L120&lt;&gt;""),'Atividades Micro'!$L120,"")</f>
        <v/>
      </c>
      <c r="O112" s="21" t="str">
        <f>IF(AND('Atividades Micro'!$A120=O$2,'Atividades Micro'!$K120&lt;&gt;""),'Atividades Micro'!$K120,"")</f>
        <v/>
      </c>
      <c r="P112" s="21" t="str">
        <f>IF(AND('Atividades Micro'!$A120=P$2,'Atividades Micro'!$L120&lt;&gt;""),'Atividades Micro'!$L120,"")</f>
        <v/>
      </c>
      <c r="Q112" s="21" t="str">
        <f>IF(AND('Atividades Micro'!$B120=Q$2,'Atividades Micro'!$K120&lt;&gt;""),'Atividades Micro'!$K120,"")</f>
        <v/>
      </c>
      <c r="R112" s="21" t="str">
        <f>IF(AND('Atividades Micro'!$B120=R$2,'Atividades Micro'!$L120&lt;&gt;""),'Atividades Micro'!$L120,"")</f>
        <v/>
      </c>
      <c r="S112" s="21" t="str">
        <f>IF(AND('Atividades Micro'!$A120=S$2,'Atividades Micro'!$K120&lt;&gt;""),'Atividades Micro'!$K120,"")</f>
        <v/>
      </c>
      <c r="T112" s="21" t="str">
        <f>IF(AND('Atividades Micro'!$A120=T$2,'Atividades Micro'!$L120&lt;&gt;""),'Atividades Micro'!$L120,"")</f>
        <v/>
      </c>
      <c r="U112" s="21" t="str">
        <f>IF(AND('Atividades Micro'!$B120=U$2,'Atividades Micro'!$K120&lt;&gt;""),'Atividades Micro'!$K120,"")</f>
        <v/>
      </c>
      <c r="V112" s="21" t="str">
        <f>IF(AND('Atividades Micro'!$B120=V$2,'Atividades Micro'!$L120&lt;&gt;""),'Atividades Micro'!$L120,"")</f>
        <v/>
      </c>
      <c r="W112" s="21" t="str">
        <f>IF(AND('Atividades Micro'!$B120=W$2,'Atividades Micro'!$K120&lt;&gt;""),'Atividades Micro'!$K120,"")</f>
        <v/>
      </c>
      <c r="X112" s="21" t="str">
        <f>IF(AND('Atividades Micro'!$B120=X$2,'Atividades Micro'!$L120&lt;&gt;""),'Atividades Micro'!$L120,"")</f>
        <v/>
      </c>
      <c r="Y112" s="21" t="str">
        <f>IF(AND('Atividades Micro'!$A120=Y$2,'Atividades Micro'!$K120&lt;&gt;""),'Atividades Micro'!$K120,"")</f>
        <v/>
      </c>
      <c r="Z112" s="21" t="str">
        <f>IF(AND('Atividades Micro'!$A120=Z$2,'Atividades Micro'!$L120&lt;&gt;""),'Atividades Micro'!$L120,"")</f>
        <v/>
      </c>
      <c r="AA112" s="21" t="str">
        <f>IF(AND('Atividades Micro'!$B120=AA$2,'Atividades Micro'!$K120&lt;&gt;""),'Atividades Micro'!$K120,"")</f>
        <v/>
      </c>
      <c r="AB112" s="21" t="str">
        <f>IF(AND('Atividades Micro'!$B120=AB$2,'Atividades Micro'!$L120&lt;&gt;""),'Atividades Micro'!$L120,"")</f>
        <v/>
      </c>
      <c r="AC112" s="21" t="str">
        <f>IF(AND('Atividades Micro'!$B120=AC$2,'Atividades Micro'!$K120&lt;&gt;""),'Atividades Micro'!$K120,"")</f>
        <v/>
      </c>
      <c r="AD112" s="21" t="str">
        <f>IF(AND('Atividades Micro'!$B120=AD$2,'Atividades Micro'!$L120&lt;&gt;""),'Atividades Micro'!$L120,"")</f>
        <v/>
      </c>
      <c r="AE112" s="21" t="str">
        <f>IF(AND('Atividades Micro'!$A120=AE$2,'Atividades Micro'!$K120&lt;&gt;""),'Atividades Micro'!$K120,"")</f>
        <v/>
      </c>
      <c r="AF112" s="21" t="str">
        <f>IF(AND('Atividades Micro'!$A120=AF$2,'Atividades Micro'!$L120&lt;&gt;""),'Atividades Micro'!$L120,"")</f>
        <v/>
      </c>
      <c r="AG112" s="21" t="str">
        <f>IF(AND('Atividades Micro'!$B120=AG$2,'Atividades Micro'!$K120&lt;&gt;""),'Atividades Micro'!$K120,"")</f>
        <v/>
      </c>
      <c r="AH112" s="21" t="str">
        <f>IF(AND('Atividades Micro'!$B120=AH$2,'Atividades Micro'!$L120&lt;&gt;""),'Atividades Micro'!$L120,"")</f>
        <v/>
      </c>
      <c r="AI112" s="21" t="str">
        <f>IF(AND('Atividades Micro'!$B120=AI$2,'Atividades Micro'!$K120&lt;&gt;""),'Atividades Micro'!$K120,"")</f>
        <v/>
      </c>
      <c r="AJ112" s="21" t="str">
        <f>IF(AND('Atividades Micro'!$B120=AJ$2,'Atividades Micro'!$L120&lt;&gt;""),'Atividades Micro'!$L120,"")</f>
        <v/>
      </c>
      <c r="AK112" s="21" t="str">
        <f>IF(AND('Atividades Micro'!$A120=AK$2,'Atividades Micro'!$K120&lt;&gt;""),'Atividades Micro'!$K120,"")</f>
        <v/>
      </c>
      <c r="AL112" s="21" t="str">
        <f>IF(AND('Atividades Micro'!$A120=AL$2,'Atividades Micro'!$L120&lt;&gt;""),'Atividades Micro'!$L120,"")</f>
        <v/>
      </c>
      <c r="AM112" s="21" t="str">
        <f>IF(AND('Atividades Micro'!$B120=AM$2,'Atividades Micro'!$K120&lt;&gt;""),'Atividades Micro'!$K120,"")</f>
        <v/>
      </c>
      <c r="AN112" s="21" t="str">
        <f>IF(AND('Atividades Micro'!$B120=AN$2,'Atividades Micro'!$L120&lt;&gt;""),'Atividades Micro'!$L120,"")</f>
        <v/>
      </c>
      <c r="AO112" s="21" t="str">
        <f>IF(AND('Atividades Micro'!$B120=AO$2,'Atividades Micro'!$K120&lt;&gt;""),'Atividades Micro'!$K120,"")</f>
        <v/>
      </c>
      <c r="AP112" s="21" t="str">
        <f>IF(AND('Atividades Micro'!$B120=AP$2,'Atividades Micro'!$L120&lt;&gt;""),'Atividades Micro'!$L120,"")</f>
        <v/>
      </c>
      <c r="AQ112" s="21" t="str">
        <f>IF(AND('Atividades Micro'!$A120=AQ$2,'Atividades Micro'!$K120&lt;&gt;""),'Atividades Micro'!$K120,"")</f>
        <v/>
      </c>
      <c r="AR112" s="21" t="str">
        <f>IF(AND('Atividades Micro'!$A120=AR$2,'Atividades Micro'!$L120&lt;&gt;""),'Atividades Micro'!$L120,"")</f>
        <v/>
      </c>
      <c r="AS112" s="21" t="str">
        <f>IF(AND('Atividades Micro'!$B120=AS$2,'Atividades Micro'!$K120&lt;&gt;""),'Atividades Micro'!$K120,"")</f>
        <v/>
      </c>
      <c r="AT112" s="21" t="str">
        <f>IF(AND('Atividades Micro'!$B120=AT$2,'Atividades Micro'!$L120&lt;&gt;""),'Atividades Micro'!$L120,"")</f>
        <v/>
      </c>
      <c r="AU112" s="21" t="str">
        <f>IF(AND('Atividades Micro'!$A120=AU$2,'Atividades Micro'!$K120&lt;&gt;""),'Atividades Micro'!$K120,"")</f>
        <v/>
      </c>
      <c r="AV112" s="21" t="str">
        <f>IF(AND('Atividades Micro'!$A120=AV$2,'Atividades Micro'!$L120&lt;&gt;""),'Atividades Micro'!$L120,"")</f>
        <v/>
      </c>
      <c r="AW112" s="21" t="str">
        <f>IF(AND('Atividades Micro'!$B120=AW$2,'Atividades Micro'!$K120&lt;&gt;""),'Atividades Micro'!$K120,"")</f>
        <v/>
      </c>
      <c r="AX112" s="21" t="str">
        <f>IF(AND('Atividades Micro'!$B120=AX$2,'Atividades Micro'!$L120&lt;&gt;""),'Atividades Micro'!$L120,"")</f>
        <v/>
      </c>
      <c r="AY112" s="21" t="str">
        <f>IF(AND('Atividades Micro'!$A120=AY$2,'Atividades Micro'!$K120&lt;&gt;""),'Atividades Micro'!$K120,"")</f>
        <v/>
      </c>
      <c r="AZ112" s="21" t="str">
        <f>IF(AND('Atividades Micro'!$A120=AZ$2,'Atividades Micro'!$L120&lt;&gt;""),'Atividades Micro'!$L120,"")</f>
        <v/>
      </c>
      <c r="BA112" s="21" t="str">
        <f>IF(AND('Atividades Micro'!$B120=BA$2,'Atividades Micro'!$K120&lt;&gt;""),'Atividades Micro'!$K120,"")</f>
        <v/>
      </c>
      <c r="BB112" s="21" t="str">
        <f>IF(AND('Atividades Micro'!$B120=BB$2,'Atividades Micro'!$L120&lt;&gt;""),'Atividades Micro'!$L120,"")</f>
        <v/>
      </c>
      <c r="BC112" s="21" t="str">
        <f>IF(AND('Atividades Micro'!$B120=BC$2,'Atividades Micro'!$G120="Macro",'Atividades Micro'!$K120&lt;&gt;""),'Atividades Micro'!$K120,"")</f>
        <v/>
      </c>
      <c r="BD112" s="21" t="str">
        <f>IF(AND('Atividades Micro'!$B120=BD$2,'Atividades Micro'!$G120="Macro",'Atividades Micro'!$K120&lt;&gt;""),'Atividades Micro'!$K120,"")</f>
        <v/>
      </c>
      <c r="BE112" s="21" t="str">
        <f>IF(AND('Atividades Micro'!$B120=BE$2,'Atividades Micro'!$G120="Macro",'Atividades Micro'!$K120&lt;&gt;""),'Atividades Micro'!$K120,"")</f>
        <v/>
      </c>
      <c r="BF112" s="21" t="str">
        <f>IF(AND('Atividades Micro'!$B120=BF$2,'Atividades Micro'!$G120="Macro",'Atividades Micro'!$K120&lt;&gt;""),'Atividades Micro'!$K120,"")</f>
        <v/>
      </c>
      <c r="BG112" s="21" t="str">
        <f>IF(AND('Atividades Micro'!$B120=BG$2,'Atividades Micro'!$G120="Macro",'Atividades Micro'!$K120&lt;&gt;""),'Atividades Micro'!$K120,"")</f>
        <v/>
      </c>
      <c r="BH112" s="21" t="str">
        <f>IF(AND('Atividades Micro'!$B120=BH$2,'Atividades Micro'!$G120="Macro",'Atividades Micro'!$K120&lt;&gt;""),'Atividades Micro'!$K120,"")</f>
        <v/>
      </c>
      <c r="BI112" s="21" t="str">
        <f>IF(AND('Atividades Micro'!$B120=BI$2,'Atividades Micro'!$G120="Macro",'Atividades Micro'!$K120&lt;&gt;""),'Atividades Micro'!$K120,"")</f>
        <v/>
      </c>
      <c r="BJ112" s="21" t="str">
        <f>IF(AND('Atividades Micro'!$B120=BJ$2,'Atividades Micro'!$G120="Macro",'Atividades Micro'!$K120&lt;&gt;""),'Atividades Micro'!$K120,"")</f>
        <v/>
      </c>
      <c r="BK112" s="21" t="str">
        <f>IF(AND('Atividades Micro'!$B120=BK$2,'Atividades Micro'!$G120="Macro",'Atividades Micro'!$K120&lt;&gt;""),'Atividades Micro'!$K120,"")</f>
        <v/>
      </c>
      <c r="BL112" s="21" t="str">
        <f>IF(AND('Atividades Micro'!$B120=BL$2,'Atividades Micro'!$G120="Macro",'Atividades Micro'!$K120&lt;&gt;""),'Atividades Micro'!$K120,"")</f>
        <v/>
      </c>
      <c r="BM112" s="21" t="str">
        <f>IF(AND('Atividades Micro'!$B120=BM$2,'Atividades Micro'!$G120="Macro",'Atividades Micro'!$K120&lt;&gt;""),'Atividades Micro'!$K120,"")</f>
        <v/>
      </c>
      <c r="BN112" s="21" t="str">
        <f>IF(AND('Atividades Micro'!$B120=BN$2,'Atividades Micro'!$G120="Macro",'Atividades Micro'!$K120&lt;&gt;""),'Atividades Micro'!$K120,"")</f>
        <v/>
      </c>
      <c r="BO112" s="21" t="str">
        <f>IF(AND('Atividades Micro'!$B120=BO$2,'Atividades Micro'!$G120="Macro",'Atividades Micro'!$K120&lt;&gt;""),'Atividades Micro'!$K120,"")</f>
        <v/>
      </c>
      <c r="BP112" s="21" t="str">
        <f>IF(AND('Atividades Micro'!$B120=BP$2,'Atividades Micro'!$G120="Macro",'Atividades Micro'!$K120&lt;&gt;""),'Atividades Micro'!$K120,"")</f>
        <v/>
      </c>
      <c r="BQ112" s="21" t="str">
        <f>IF(AND('Atividades Micro'!$B120=BQ$2,'Atividades Micro'!$G120="Macro",'Atividades Micro'!$K120&lt;&gt;""),'Atividades Micro'!$K120,"")</f>
        <v/>
      </c>
      <c r="BR112" s="21" t="str">
        <f>IF(AND('Atividades Micro'!$B120=BR$2,'Atividades Micro'!$G120="Macro",'Atividades Micro'!$K120&lt;&gt;""),'Atividades Micro'!$K120,"")</f>
        <v/>
      </c>
      <c r="BS112" s="21" t="str">
        <f>IF(AND('Atividades Micro'!$B120=BS$2,'Atividades Micro'!$G120="Macro",'Atividades Micro'!$K120&lt;&gt;""),'Atividades Micro'!$K120,"")</f>
        <v/>
      </c>
      <c r="BT112" s="21" t="str">
        <f>IF(AND('Atividades Micro'!$B120=BT$2,'Atividades Micro'!$G120="Macro",'Atividades Micro'!$K120&lt;&gt;""),'Atividades Micro'!$K120,"")</f>
        <v/>
      </c>
      <c r="BU112" s="21" t="str">
        <f>IF(AND('Atividades Micro'!$B120=BU$2,'Atividades Micro'!$G120="Macro",'Atividades Micro'!$K120&lt;&gt;""),'Atividades Micro'!$K120,"")</f>
        <v/>
      </c>
      <c r="BV112" s="21" t="str">
        <f>IF(AND('Atividades Micro'!$B120=BV$2,'Atividades Micro'!$G120="Macro",'Atividades Micro'!$K120&lt;&gt;""),'Atividades Micro'!$K120,"")</f>
        <v/>
      </c>
      <c r="BW112" s="21" t="str">
        <f>IF(AND('Atividades Micro'!$B120=BW$2,'Atividades Micro'!$G120="Macro",'Atividades Micro'!$K120&lt;&gt;""),'Atividades Micro'!$K120,"")</f>
        <v/>
      </c>
      <c r="BX112" s="21" t="str">
        <f>IF(AND('Atividades Micro'!$B120=BX$2,'Atividades Micro'!$G120="Macro",'Atividades Micro'!$K120&lt;&gt;""),'Atividades Micro'!$K120,"")</f>
        <v/>
      </c>
      <c r="BY112" s="21" t="str">
        <f>IF(AND('Atividades Micro'!$B120=BY$2,'Atividades Micro'!$G120="Macro",'Atividades Micro'!$K120&lt;&gt;""),'Atividades Micro'!$K120,"")</f>
        <v/>
      </c>
      <c r="BZ112" s="21" t="str">
        <f>IF(AND('Atividades Micro'!$B120=BZ$2,'Atividades Micro'!$G120="Macro",'Atividades Micro'!$K120&lt;&gt;""),'Atividades Micro'!$K120,"")</f>
        <v/>
      </c>
      <c r="CA112" s="21" t="str">
        <f>IF(AND('Atividades Micro'!$B120=CA$2,'Atividades Micro'!$G120="Macro",'Atividades Micro'!$K120&lt;&gt;""),'Atividades Micro'!$K120,"")</f>
        <v/>
      </c>
      <c r="CB112" s="21" t="str">
        <f>IF(AND('Atividades Micro'!$B120=CB$2,'Atividades Micro'!$G120="Macro",'Atividades Micro'!$K120&lt;&gt;""),'Atividades Micro'!$K120,"")</f>
        <v/>
      </c>
      <c r="CC112" s="21" t="str">
        <f>IF(AND('Atividades Micro'!$B120=CC$2,'Atividades Micro'!$G120="Macro",'Atividades Micro'!$K120&lt;&gt;""),'Atividades Micro'!$K120,"")</f>
        <v/>
      </c>
      <c r="CD112" s="21" t="str">
        <f>IF(AND('Atividades Micro'!$B120=CD$2,'Atividades Micro'!$G120="Micro",'Atividades Micro'!$K120&lt;&gt;""),'Atividades Micro'!$K120,"")</f>
        <v/>
      </c>
      <c r="CE112" s="21" t="str">
        <f>IF(AND('Atividades Micro'!$B120=CE$2,'Atividades Micro'!$G120="Micro",'Atividades Micro'!$K120&lt;&gt;""),'Atividades Micro'!$K120,"")</f>
        <v/>
      </c>
      <c r="CF112" s="21" t="str">
        <f>IF(AND('Atividades Micro'!$B120=CF$2,'Atividades Micro'!$G120="Micro",'Atividades Micro'!$K120&lt;&gt;""),'Atividades Micro'!$K120,"")</f>
        <v/>
      </c>
      <c r="CG112" s="21" t="str">
        <f>IF(AND('Atividades Micro'!$B120=CG$2,'Atividades Micro'!$G120="Micro",'Atividades Micro'!$K120&lt;&gt;""),'Atividades Micro'!$K120,"")</f>
        <v/>
      </c>
      <c r="CH112" s="21" t="str">
        <f>IF(AND('Atividades Micro'!$B120=CH$2,'Atividades Micro'!$G120="Micro",'Atividades Micro'!$K120&lt;&gt;""),'Atividades Micro'!$K120,"")</f>
        <v/>
      </c>
      <c r="CI112" s="21" t="str">
        <f>IF(AND('Atividades Micro'!$B120=CI$2,'Atividades Micro'!$G120="Micro",'Atividades Micro'!$K120&lt;&gt;""),'Atividades Micro'!$K120,"")</f>
        <v/>
      </c>
      <c r="CJ112" s="21" t="str">
        <f>IF(AND('Atividades Micro'!$B120=CJ$2,'Atividades Micro'!$G120="Micro",'Atividades Micro'!$K120&lt;&gt;""),'Atividades Micro'!$K120,"")</f>
        <v/>
      </c>
      <c r="CK112" s="21" t="str">
        <f>IF(AND('Atividades Micro'!$B120=CK$2,'Atividades Micro'!$G120="Micro",'Atividades Micro'!$K120&lt;&gt;""),'Atividades Micro'!$K120,"")</f>
        <v/>
      </c>
      <c r="CL112" s="21" t="str">
        <f>IF(AND('Atividades Micro'!$B120=CL$2,'Atividades Micro'!$G120="Micro",'Atividades Micro'!$K120&lt;&gt;""),'Atividades Micro'!$K120,"")</f>
        <v/>
      </c>
      <c r="CM112" s="21" t="str">
        <f>IF(AND('Atividades Micro'!$B120=CM$2,'Atividades Micro'!$G120="Micro",'Atividades Micro'!$K120&lt;&gt;""),'Atividades Micro'!$K120,"")</f>
        <v/>
      </c>
      <c r="CN112" s="21" t="str">
        <f>IF(AND('Atividades Micro'!$B120=CN$2,'Atividades Micro'!$G120="Micro",'Atividades Micro'!$K120&lt;&gt;""),'Atividades Micro'!$K120,"")</f>
        <v/>
      </c>
      <c r="CO112" s="21" t="str">
        <f>IF(AND('Atividades Micro'!$B120=CO$2,'Atividades Micro'!$G120="Micro",'Atividades Micro'!$K120&lt;&gt;""),'Atividades Micro'!$K120,"")</f>
        <v/>
      </c>
    </row>
    <row r="113" spans="1:93">
      <c r="A113" s="21" t="str">
        <f>IF(AND('Atividades Micro'!$A121=A$2,'Atividades Micro'!$K121&lt;&gt;""),'Atividades Micro'!$K121,"")</f>
        <v/>
      </c>
      <c r="B113" s="21" t="str">
        <f>IF(AND('Atividades Micro'!$A121=B$2,'Atividades Micro'!$L121&lt;&gt;""),'Atividades Micro'!$L121,"")</f>
        <v/>
      </c>
      <c r="C113" s="21" t="str">
        <f>IF(AND('Atividades Micro'!$A121=C$2,'Atividades Micro'!$K121&lt;&gt;""),'Atividades Micro'!$K121,"")</f>
        <v/>
      </c>
      <c r="D113" s="21" t="str">
        <f>IF(AND('Atividades Micro'!$A121=D$2,'Atividades Micro'!$L121&lt;&gt;""),'Atividades Micro'!$L121,"")</f>
        <v/>
      </c>
      <c r="E113" s="21" t="str">
        <f>IF(AND('Atividades Micro'!$A121=E$2,'Atividades Micro'!$K121&lt;&gt;""),'Atividades Micro'!$K121,"")</f>
        <v/>
      </c>
      <c r="F113" s="21" t="str">
        <f>IF(AND('Atividades Micro'!$A121=F$2,'Atividades Micro'!$L121&lt;&gt;""),'Atividades Micro'!$L121,"")</f>
        <v/>
      </c>
      <c r="G113" s="21" t="str">
        <f>IF(AND('Atividades Micro'!$A121=G$2,'Atividades Micro'!$K121&lt;&gt;""),'Atividades Micro'!$K121,"")</f>
        <v/>
      </c>
      <c r="H113" s="21" t="str">
        <f>IF(AND('Atividades Micro'!$A121=H$2,'Atividades Micro'!$L121&lt;&gt;""),'Atividades Micro'!$L121,"")</f>
        <v/>
      </c>
      <c r="I113" s="21" t="str">
        <f>IF(AND('Atividades Micro'!$A121=I$2,'Atividades Micro'!$K121&lt;&gt;""),'Atividades Micro'!$K121,"")</f>
        <v/>
      </c>
      <c r="J113" s="21" t="str">
        <f>IF(AND('Atividades Micro'!$A121=J$2,'Atividades Micro'!$L121&lt;&gt;""),'Atividades Micro'!$L121,"")</f>
        <v/>
      </c>
      <c r="K113" s="21" t="str">
        <f>IF(AND('Atividades Micro'!$B121=K$2,'Atividades Micro'!$K121&lt;&gt;""),'Atividades Micro'!$K121,"")</f>
        <v/>
      </c>
      <c r="L113" s="21" t="str">
        <f>IF(AND('Atividades Micro'!$B121=L$2,'Atividades Micro'!$L121&lt;&gt;""),'Atividades Micro'!$L121,"")</f>
        <v/>
      </c>
      <c r="M113" s="21" t="str">
        <f>IF(AND('Atividades Micro'!$B121=M$2,'Atividades Micro'!$K121&lt;&gt;""),'Atividades Micro'!$K121,"")</f>
        <v/>
      </c>
      <c r="N113" s="21" t="str">
        <f>IF(AND('Atividades Micro'!$B121=N$2,'Atividades Micro'!$L121&lt;&gt;""),'Atividades Micro'!$L121,"")</f>
        <v/>
      </c>
      <c r="O113" s="21" t="str">
        <f>IF(AND('Atividades Micro'!$A121=O$2,'Atividades Micro'!$K121&lt;&gt;""),'Atividades Micro'!$K121,"")</f>
        <v/>
      </c>
      <c r="P113" s="21" t="str">
        <f>IF(AND('Atividades Micro'!$A121=P$2,'Atividades Micro'!$L121&lt;&gt;""),'Atividades Micro'!$L121,"")</f>
        <v/>
      </c>
      <c r="Q113" s="21" t="str">
        <f>IF(AND('Atividades Micro'!$B121=Q$2,'Atividades Micro'!$K121&lt;&gt;""),'Atividades Micro'!$K121,"")</f>
        <v/>
      </c>
      <c r="R113" s="21" t="str">
        <f>IF(AND('Atividades Micro'!$B121=R$2,'Atividades Micro'!$L121&lt;&gt;""),'Atividades Micro'!$L121,"")</f>
        <v/>
      </c>
      <c r="S113" s="21" t="str">
        <f>IF(AND('Atividades Micro'!$A121=S$2,'Atividades Micro'!$K121&lt;&gt;""),'Atividades Micro'!$K121,"")</f>
        <v/>
      </c>
      <c r="T113" s="21" t="str">
        <f>IF(AND('Atividades Micro'!$A121=T$2,'Atividades Micro'!$L121&lt;&gt;""),'Atividades Micro'!$L121,"")</f>
        <v/>
      </c>
      <c r="U113" s="21" t="str">
        <f>IF(AND('Atividades Micro'!$B121=U$2,'Atividades Micro'!$K121&lt;&gt;""),'Atividades Micro'!$K121,"")</f>
        <v/>
      </c>
      <c r="V113" s="21" t="str">
        <f>IF(AND('Atividades Micro'!$B121=V$2,'Atividades Micro'!$L121&lt;&gt;""),'Atividades Micro'!$L121,"")</f>
        <v/>
      </c>
      <c r="W113" s="21" t="str">
        <f>IF(AND('Atividades Micro'!$B121=W$2,'Atividades Micro'!$K121&lt;&gt;""),'Atividades Micro'!$K121,"")</f>
        <v/>
      </c>
      <c r="X113" s="21" t="str">
        <f>IF(AND('Atividades Micro'!$B121=X$2,'Atividades Micro'!$L121&lt;&gt;""),'Atividades Micro'!$L121,"")</f>
        <v/>
      </c>
      <c r="Y113" s="21" t="str">
        <f>IF(AND('Atividades Micro'!$A121=Y$2,'Atividades Micro'!$K121&lt;&gt;""),'Atividades Micro'!$K121,"")</f>
        <v/>
      </c>
      <c r="Z113" s="21" t="str">
        <f>IF(AND('Atividades Micro'!$A121=Z$2,'Atividades Micro'!$L121&lt;&gt;""),'Atividades Micro'!$L121,"")</f>
        <v/>
      </c>
      <c r="AA113" s="21" t="str">
        <f>IF(AND('Atividades Micro'!$B121=AA$2,'Atividades Micro'!$K121&lt;&gt;""),'Atividades Micro'!$K121,"")</f>
        <v/>
      </c>
      <c r="AB113" s="21" t="str">
        <f>IF(AND('Atividades Micro'!$B121=AB$2,'Atividades Micro'!$L121&lt;&gt;""),'Atividades Micro'!$L121,"")</f>
        <v/>
      </c>
      <c r="AC113" s="21" t="str">
        <f>IF(AND('Atividades Micro'!$B121=AC$2,'Atividades Micro'!$K121&lt;&gt;""),'Atividades Micro'!$K121,"")</f>
        <v/>
      </c>
      <c r="AD113" s="21" t="str">
        <f>IF(AND('Atividades Micro'!$B121=AD$2,'Atividades Micro'!$L121&lt;&gt;""),'Atividades Micro'!$L121,"")</f>
        <v/>
      </c>
      <c r="AE113" s="21" t="str">
        <f>IF(AND('Atividades Micro'!$A121=AE$2,'Atividades Micro'!$K121&lt;&gt;""),'Atividades Micro'!$K121,"")</f>
        <v/>
      </c>
      <c r="AF113" s="21" t="str">
        <f>IF(AND('Atividades Micro'!$A121=AF$2,'Atividades Micro'!$L121&lt;&gt;""),'Atividades Micro'!$L121,"")</f>
        <v/>
      </c>
      <c r="AG113" s="21" t="str">
        <f>IF(AND('Atividades Micro'!$B121=AG$2,'Atividades Micro'!$K121&lt;&gt;""),'Atividades Micro'!$K121,"")</f>
        <v/>
      </c>
      <c r="AH113" s="21" t="str">
        <f>IF(AND('Atividades Micro'!$B121=AH$2,'Atividades Micro'!$L121&lt;&gt;""),'Atividades Micro'!$L121,"")</f>
        <v/>
      </c>
      <c r="AI113" s="21" t="str">
        <f>IF(AND('Atividades Micro'!$B121=AI$2,'Atividades Micro'!$K121&lt;&gt;""),'Atividades Micro'!$K121,"")</f>
        <v/>
      </c>
      <c r="AJ113" s="21" t="str">
        <f>IF(AND('Atividades Micro'!$B121=AJ$2,'Atividades Micro'!$L121&lt;&gt;""),'Atividades Micro'!$L121,"")</f>
        <v/>
      </c>
      <c r="AK113" s="21" t="str">
        <f>IF(AND('Atividades Micro'!$A121=AK$2,'Atividades Micro'!$K121&lt;&gt;""),'Atividades Micro'!$K121,"")</f>
        <v/>
      </c>
      <c r="AL113" s="21" t="str">
        <f>IF(AND('Atividades Micro'!$A121=AL$2,'Atividades Micro'!$L121&lt;&gt;""),'Atividades Micro'!$L121,"")</f>
        <v/>
      </c>
      <c r="AM113" s="21" t="str">
        <f>IF(AND('Atividades Micro'!$B121=AM$2,'Atividades Micro'!$K121&lt;&gt;""),'Atividades Micro'!$K121,"")</f>
        <v/>
      </c>
      <c r="AN113" s="21" t="str">
        <f>IF(AND('Atividades Micro'!$B121=AN$2,'Atividades Micro'!$L121&lt;&gt;""),'Atividades Micro'!$L121,"")</f>
        <v/>
      </c>
      <c r="AO113" s="21" t="str">
        <f>IF(AND('Atividades Micro'!$B121=AO$2,'Atividades Micro'!$K121&lt;&gt;""),'Atividades Micro'!$K121,"")</f>
        <v/>
      </c>
      <c r="AP113" s="21" t="str">
        <f>IF(AND('Atividades Micro'!$B121=AP$2,'Atividades Micro'!$L121&lt;&gt;""),'Atividades Micro'!$L121,"")</f>
        <v/>
      </c>
      <c r="AQ113" s="21" t="str">
        <f>IF(AND('Atividades Micro'!$A121=AQ$2,'Atividades Micro'!$K121&lt;&gt;""),'Atividades Micro'!$K121,"")</f>
        <v/>
      </c>
      <c r="AR113" s="21" t="str">
        <f>IF(AND('Atividades Micro'!$A121=AR$2,'Atividades Micro'!$L121&lt;&gt;""),'Atividades Micro'!$L121,"")</f>
        <v/>
      </c>
      <c r="AS113" s="21" t="str">
        <f>IF(AND('Atividades Micro'!$B121=AS$2,'Atividades Micro'!$K121&lt;&gt;""),'Atividades Micro'!$K121,"")</f>
        <v/>
      </c>
      <c r="AT113" s="21" t="str">
        <f>IF(AND('Atividades Micro'!$B121=AT$2,'Atividades Micro'!$L121&lt;&gt;""),'Atividades Micro'!$L121,"")</f>
        <v/>
      </c>
      <c r="AU113" s="21" t="str">
        <f>IF(AND('Atividades Micro'!$A121=AU$2,'Atividades Micro'!$K121&lt;&gt;""),'Atividades Micro'!$K121,"")</f>
        <v/>
      </c>
      <c r="AV113" s="21" t="str">
        <f>IF(AND('Atividades Micro'!$A121=AV$2,'Atividades Micro'!$L121&lt;&gt;""),'Atividades Micro'!$L121,"")</f>
        <v/>
      </c>
      <c r="AW113" s="21" t="str">
        <f>IF(AND('Atividades Micro'!$B121=AW$2,'Atividades Micro'!$K121&lt;&gt;""),'Atividades Micro'!$K121,"")</f>
        <v/>
      </c>
      <c r="AX113" s="21" t="str">
        <f>IF(AND('Atividades Micro'!$B121=AX$2,'Atividades Micro'!$L121&lt;&gt;""),'Atividades Micro'!$L121,"")</f>
        <v/>
      </c>
      <c r="AY113" s="21" t="str">
        <f>IF(AND('Atividades Micro'!$A121=AY$2,'Atividades Micro'!$K121&lt;&gt;""),'Atividades Micro'!$K121,"")</f>
        <v/>
      </c>
      <c r="AZ113" s="21" t="str">
        <f>IF(AND('Atividades Micro'!$A121=AZ$2,'Atividades Micro'!$L121&lt;&gt;""),'Atividades Micro'!$L121,"")</f>
        <v/>
      </c>
      <c r="BA113" s="21" t="str">
        <f>IF(AND('Atividades Micro'!$B121=BA$2,'Atividades Micro'!$K121&lt;&gt;""),'Atividades Micro'!$K121,"")</f>
        <v/>
      </c>
      <c r="BB113" s="21" t="str">
        <f>IF(AND('Atividades Micro'!$B121=BB$2,'Atividades Micro'!$L121&lt;&gt;""),'Atividades Micro'!$L121,"")</f>
        <v/>
      </c>
      <c r="BC113" s="21" t="str">
        <f>IF(AND('Atividades Micro'!$B121=BC$2,'Atividades Micro'!$G121="Macro",'Atividades Micro'!$K121&lt;&gt;""),'Atividades Micro'!$K121,"")</f>
        <v/>
      </c>
      <c r="BD113" s="21" t="str">
        <f>IF(AND('Atividades Micro'!$B121=BD$2,'Atividades Micro'!$G121="Macro",'Atividades Micro'!$K121&lt;&gt;""),'Atividades Micro'!$K121,"")</f>
        <v/>
      </c>
      <c r="BE113" s="21" t="str">
        <f>IF(AND('Atividades Micro'!$B121=BE$2,'Atividades Micro'!$G121="Macro",'Atividades Micro'!$K121&lt;&gt;""),'Atividades Micro'!$K121,"")</f>
        <v/>
      </c>
      <c r="BF113" s="21" t="str">
        <f>IF(AND('Atividades Micro'!$B121=BF$2,'Atividades Micro'!$G121="Macro",'Atividades Micro'!$K121&lt;&gt;""),'Atividades Micro'!$K121,"")</f>
        <v/>
      </c>
      <c r="BG113" s="21" t="str">
        <f>IF(AND('Atividades Micro'!$B121=BG$2,'Atividades Micro'!$G121="Macro",'Atividades Micro'!$K121&lt;&gt;""),'Atividades Micro'!$K121,"")</f>
        <v/>
      </c>
      <c r="BH113" s="21" t="str">
        <f>IF(AND('Atividades Micro'!$B121=BH$2,'Atividades Micro'!$G121="Macro",'Atividades Micro'!$K121&lt;&gt;""),'Atividades Micro'!$K121,"")</f>
        <v/>
      </c>
      <c r="BI113" s="21" t="str">
        <f>IF(AND('Atividades Micro'!$B121=BI$2,'Atividades Micro'!$G121="Macro",'Atividades Micro'!$K121&lt;&gt;""),'Atividades Micro'!$K121,"")</f>
        <v/>
      </c>
      <c r="BJ113" s="21" t="str">
        <f>IF(AND('Atividades Micro'!$B121=BJ$2,'Atividades Micro'!$G121="Macro",'Atividades Micro'!$K121&lt;&gt;""),'Atividades Micro'!$K121,"")</f>
        <v/>
      </c>
      <c r="BK113" s="21" t="str">
        <f>IF(AND('Atividades Micro'!$B121=BK$2,'Atividades Micro'!$G121="Macro",'Atividades Micro'!$K121&lt;&gt;""),'Atividades Micro'!$K121,"")</f>
        <v/>
      </c>
      <c r="BL113" s="21" t="str">
        <f>IF(AND('Atividades Micro'!$B121=BL$2,'Atividades Micro'!$G121="Macro",'Atividades Micro'!$K121&lt;&gt;""),'Atividades Micro'!$K121,"")</f>
        <v/>
      </c>
      <c r="BM113" s="21" t="str">
        <f>IF(AND('Atividades Micro'!$B121=BM$2,'Atividades Micro'!$G121="Macro",'Atividades Micro'!$K121&lt;&gt;""),'Atividades Micro'!$K121,"")</f>
        <v/>
      </c>
      <c r="BN113" s="21" t="str">
        <f>IF(AND('Atividades Micro'!$B121=BN$2,'Atividades Micro'!$G121="Macro",'Atividades Micro'!$K121&lt;&gt;""),'Atividades Micro'!$K121,"")</f>
        <v/>
      </c>
      <c r="BO113" s="21" t="str">
        <f>IF(AND('Atividades Micro'!$B121=BO$2,'Atividades Micro'!$G121="Macro",'Atividades Micro'!$K121&lt;&gt;""),'Atividades Micro'!$K121,"")</f>
        <v/>
      </c>
      <c r="BP113" s="21" t="str">
        <f>IF(AND('Atividades Micro'!$B121=BP$2,'Atividades Micro'!$G121="Macro",'Atividades Micro'!$K121&lt;&gt;""),'Atividades Micro'!$K121,"")</f>
        <v/>
      </c>
      <c r="BQ113" s="21" t="str">
        <f>IF(AND('Atividades Micro'!$B121=BQ$2,'Atividades Micro'!$G121="Macro",'Atividades Micro'!$K121&lt;&gt;""),'Atividades Micro'!$K121,"")</f>
        <v/>
      </c>
      <c r="BR113" s="21" t="str">
        <f>IF(AND('Atividades Micro'!$B121=BR$2,'Atividades Micro'!$G121="Macro",'Atividades Micro'!$K121&lt;&gt;""),'Atividades Micro'!$K121,"")</f>
        <v/>
      </c>
      <c r="BS113" s="21" t="str">
        <f>IF(AND('Atividades Micro'!$B121=BS$2,'Atividades Micro'!$G121="Macro",'Atividades Micro'!$K121&lt;&gt;""),'Atividades Micro'!$K121,"")</f>
        <v/>
      </c>
      <c r="BT113" s="21" t="str">
        <f>IF(AND('Atividades Micro'!$B121=BT$2,'Atividades Micro'!$G121="Macro",'Atividades Micro'!$K121&lt;&gt;""),'Atividades Micro'!$K121,"")</f>
        <v/>
      </c>
      <c r="BU113" s="21" t="str">
        <f>IF(AND('Atividades Micro'!$B121=BU$2,'Atividades Micro'!$G121="Macro",'Atividades Micro'!$K121&lt;&gt;""),'Atividades Micro'!$K121,"")</f>
        <v/>
      </c>
      <c r="BV113" s="21" t="str">
        <f>IF(AND('Atividades Micro'!$B121=BV$2,'Atividades Micro'!$G121="Macro",'Atividades Micro'!$K121&lt;&gt;""),'Atividades Micro'!$K121,"")</f>
        <v/>
      </c>
      <c r="BW113" s="21" t="str">
        <f>IF(AND('Atividades Micro'!$B121=BW$2,'Atividades Micro'!$G121="Macro",'Atividades Micro'!$K121&lt;&gt;""),'Atividades Micro'!$K121,"")</f>
        <v/>
      </c>
      <c r="BX113" s="21" t="str">
        <f>IF(AND('Atividades Micro'!$B121=BX$2,'Atividades Micro'!$G121="Macro",'Atividades Micro'!$K121&lt;&gt;""),'Atividades Micro'!$K121,"")</f>
        <v/>
      </c>
      <c r="BY113" s="21" t="str">
        <f>IF(AND('Atividades Micro'!$B121=BY$2,'Atividades Micro'!$G121="Macro",'Atividades Micro'!$K121&lt;&gt;""),'Atividades Micro'!$K121,"")</f>
        <v/>
      </c>
      <c r="BZ113" s="21" t="str">
        <f>IF(AND('Atividades Micro'!$B121=BZ$2,'Atividades Micro'!$G121="Macro",'Atividades Micro'!$K121&lt;&gt;""),'Atividades Micro'!$K121,"")</f>
        <v/>
      </c>
      <c r="CA113" s="21" t="str">
        <f>IF(AND('Atividades Micro'!$B121=CA$2,'Atividades Micro'!$G121="Macro",'Atividades Micro'!$K121&lt;&gt;""),'Atividades Micro'!$K121,"")</f>
        <v/>
      </c>
      <c r="CB113" s="21" t="str">
        <f>IF(AND('Atividades Micro'!$B121=CB$2,'Atividades Micro'!$G121="Macro",'Atividades Micro'!$K121&lt;&gt;""),'Atividades Micro'!$K121,"")</f>
        <v/>
      </c>
      <c r="CC113" s="21" t="str">
        <f>IF(AND('Atividades Micro'!$B121=CC$2,'Atividades Micro'!$G121="Macro",'Atividades Micro'!$K121&lt;&gt;""),'Atividades Micro'!$K121,"")</f>
        <v/>
      </c>
      <c r="CD113" s="21" t="str">
        <f>IF(AND('Atividades Micro'!$B121=CD$2,'Atividades Micro'!$G121="Micro",'Atividades Micro'!$K121&lt;&gt;""),'Atividades Micro'!$K121,"")</f>
        <v/>
      </c>
      <c r="CE113" s="21" t="str">
        <f>IF(AND('Atividades Micro'!$B121=CE$2,'Atividades Micro'!$G121="Micro",'Atividades Micro'!$K121&lt;&gt;""),'Atividades Micro'!$K121,"")</f>
        <v/>
      </c>
      <c r="CF113" s="21" t="str">
        <f>IF(AND('Atividades Micro'!$B121=CF$2,'Atividades Micro'!$G121="Micro",'Atividades Micro'!$K121&lt;&gt;""),'Atividades Micro'!$K121,"")</f>
        <v/>
      </c>
      <c r="CG113" s="21" t="str">
        <f>IF(AND('Atividades Micro'!$B121=CG$2,'Atividades Micro'!$G121="Micro",'Atividades Micro'!$K121&lt;&gt;""),'Atividades Micro'!$K121,"")</f>
        <v/>
      </c>
      <c r="CH113" s="21" t="str">
        <f>IF(AND('Atividades Micro'!$B121=CH$2,'Atividades Micro'!$G121="Micro",'Atividades Micro'!$K121&lt;&gt;""),'Atividades Micro'!$K121,"")</f>
        <v/>
      </c>
      <c r="CI113" s="21" t="str">
        <f>IF(AND('Atividades Micro'!$B121=CI$2,'Atividades Micro'!$G121="Micro",'Atividades Micro'!$K121&lt;&gt;""),'Atividades Micro'!$K121,"")</f>
        <v/>
      </c>
      <c r="CJ113" s="21" t="str">
        <f>IF(AND('Atividades Micro'!$B121=CJ$2,'Atividades Micro'!$G121="Micro",'Atividades Micro'!$K121&lt;&gt;""),'Atividades Micro'!$K121,"")</f>
        <v/>
      </c>
      <c r="CK113" s="21" t="str">
        <f>IF(AND('Atividades Micro'!$B121=CK$2,'Atividades Micro'!$G121="Micro",'Atividades Micro'!$K121&lt;&gt;""),'Atividades Micro'!$K121,"")</f>
        <v/>
      </c>
      <c r="CL113" s="21" t="str">
        <f>IF(AND('Atividades Micro'!$B121=CL$2,'Atividades Micro'!$G121="Micro",'Atividades Micro'!$K121&lt;&gt;""),'Atividades Micro'!$K121,"")</f>
        <v/>
      </c>
      <c r="CM113" s="21" t="str">
        <f>IF(AND('Atividades Micro'!$B121=CM$2,'Atividades Micro'!$G121="Micro",'Atividades Micro'!$K121&lt;&gt;""),'Atividades Micro'!$K121,"")</f>
        <v/>
      </c>
      <c r="CN113" s="21" t="str">
        <f>IF(AND('Atividades Micro'!$B121=CN$2,'Atividades Micro'!$G121="Micro",'Atividades Micro'!$K121&lt;&gt;""),'Atividades Micro'!$K121,"")</f>
        <v/>
      </c>
      <c r="CO113" s="21" t="str">
        <f>IF(AND('Atividades Micro'!$B121=CO$2,'Atividades Micro'!$G121="Micro",'Atividades Micro'!$K121&lt;&gt;""),'Atividades Micro'!$K121,"")</f>
        <v/>
      </c>
    </row>
    <row r="114" spans="1:93">
      <c r="A114" s="21" t="str">
        <f>IF(AND('Atividades Micro'!$A122=A$2,'Atividades Micro'!$K122&lt;&gt;""),'Atividades Micro'!$K122,"")</f>
        <v/>
      </c>
      <c r="B114" s="21" t="str">
        <f>IF(AND('Atividades Micro'!$A122=B$2,'Atividades Micro'!$L122&lt;&gt;""),'Atividades Micro'!$L122,"")</f>
        <v/>
      </c>
      <c r="C114" s="21" t="str">
        <f>IF(AND('Atividades Micro'!$A122=C$2,'Atividades Micro'!$K122&lt;&gt;""),'Atividades Micro'!$K122,"")</f>
        <v/>
      </c>
      <c r="D114" s="21" t="str">
        <f>IF(AND('Atividades Micro'!$A122=D$2,'Atividades Micro'!$L122&lt;&gt;""),'Atividades Micro'!$L122,"")</f>
        <v/>
      </c>
      <c r="E114" s="21" t="str">
        <f>IF(AND('Atividades Micro'!$A122=E$2,'Atividades Micro'!$K122&lt;&gt;""),'Atividades Micro'!$K122,"")</f>
        <v/>
      </c>
      <c r="F114" s="21" t="str">
        <f>IF(AND('Atividades Micro'!$A122=F$2,'Atividades Micro'!$L122&lt;&gt;""),'Atividades Micro'!$L122,"")</f>
        <v/>
      </c>
      <c r="G114" s="21" t="str">
        <f>IF(AND('Atividades Micro'!$A122=G$2,'Atividades Micro'!$K122&lt;&gt;""),'Atividades Micro'!$K122,"")</f>
        <v/>
      </c>
      <c r="H114" s="21" t="str">
        <f>IF(AND('Atividades Micro'!$A122=H$2,'Atividades Micro'!$L122&lt;&gt;""),'Atividades Micro'!$L122,"")</f>
        <v/>
      </c>
      <c r="I114" s="21" t="str">
        <f>IF(AND('Atividades Micro'!$A122=I$2,'Atividades Micro'!$K122&lt;&gt;""),'Atividades Micro'!$K122,"")</f>
        <v/>
      </c>
      <c r="J114" s="21" t="str">
        <f>IF(AND('Atividades Micro'!$A122=J$2,'Atividades Micro'!$L122&lt;&gt;""),'Atividades Micro'!$L122,"")</f>
        <v/>
      </c>
      <c r="K114" s="21" t="str">
        <f>IF(AND('Atividades Micro'!$B122=K$2,'Atividades Micro'!$K122&lt;&gt;""),'Atividades Micro'!$K122,"")</f>
        <v/>
      </c>
      <c r="L114" s="21" t="str">
        <f>IF(AND('Atividades Micro'!$B122=L$2,'Atividades Micro'!$L122&lt;&gt;""),'Atividades Micro'!$L122,"")</f>
        <v/>
      </c>
      <c r="M114" s="21" t="str">
        <f>IF(AND('Atividades Micro'!$B122=M$2,'Atividades Micro'!$K122&lt;&gt;""),'Atividades Micro'!$K122,"")</f>
        <v/>
      </c>
      <c r="N114" s="21" t="str">
        <f>IF(AND('Atividades Micro'!$B122=N$2,'Atividades Micro'!$L122&lt;&gt;""),'Atividades Micro'!$L122,"")</f>
        <v/>
      </c>
      <c r="O114" s="21" t="str">
        <f>IF(AND('Atividades Micro'!$A122=O$2,'Atividades Micro'!$K122&lt;&gt;""),'Atividades Micro'!$K122,"")</f>
        <v/>
      </c>
      <c r="P114" s="21" t="str">
        <f>IF(AND('Atividades Micro'!$A122=P$2,'Atividades Micro'!$L122&lt;&gt;""),'Atividades Micro'!$L122,"")</f>
        <v/>
      </c>
      <c r="Q114" s="21" t="str">
        <f>IF(AND('Atividades Micro'!$B122=Q$2,'Atividades Micro'!$K122&lt;&gt;""),'Atividades Micro'!$K122,"")</f>
        <v/>
      </c>
      <c r="R114" s="21" t="str">
        <f>IF(AND('Atividades Micro'!$B122=R$2,'Atividades Micro'!$L122&lt;&gt;""),'Atividades Micro'!$L122,"")</f>
        <v/>
      </c>
      <c r="S114" s="21">
        <f>IF(AND('Atividades Micro'!$A122=S$2,'Atividades Micro'!$K122&lt;&gt;""),'Atividades Micro'!$K122,"")</f>
        <v>46318</v>
      </c>
      <c r="T114" s="21" t="str">
        <f>IF(AND('Atividades Micro'!$A122=T$2,'Atividades Micro'!$L122&lt;&gt;""),'Atividades Micro'!$L122,"")</f>
        <v/>
      </c>
      <c r="U114" s="21">
        <f>IF(AND('Atividades Micro'!$B122=U$2,'Atividades Micro'!$K122&lt;&gt;""),'Atividades Micro'!$K122,"")</f>
        <v>46318</v>
      </c>
      <c r="V114" s="21" t="str">
        <f>IF(AND('Atividades Micro'!$B122=V$2,'Atividades Micro'!$L122&lt;&gt;""),'Atividades Micro'!$L122,"")</f>
        <v/>
      </c>
      <c r="W114" s="21" t="str">
        <f>IF(AND('Atividades Micro'!$B122=W$2,'Atividades Micro'!$K122&lt;&gt;""),'Atividades Micro'!$K122,"")</f>
        <v/>
      </c>
      <c r="X114" s="21" t="str">
        <f>IF(AND('Atividades Micro'!$B122=X$2,'Atividades Micro'!$L122&lt;&gt;""),'Atividades Micro'!$L122,"")</f>
        <v/>
      </c>
      <c r="Y114" s="21" t="str">
        <f>IF(AND('Atividades Micro'!$A122=Y$2,'Atividades Micro'!$K122&lt;&gt;""),'Atividades Micro'!$K122,"")</f>
        <v/>
      </c>
      <c r="Z114" s="21" t="str">
        <f>IF(AND('Atividades Micro'!$A122=Z$2,'Atividades Micro'!$L122&lt;&gt;""),'Atividades Micro'!$L122,"")</f>
        <v/>
      </c>
      <c r="AA114" s="21" t="str">
        <f>IF(AND('Atividades Micro'!$B122=AA$2,'Atividades Micro'!$K122&lt;&gt;""),'Atividades Micro'!$K122,"")</f>
        <v/>
      </c>
      <c r="AB114" s="21" t="str">
        <f>IF(AND('Atividades Micro'!$B122=AB$2,'Atividades Micro'!$L122&lt;&gt;""),'Atividades Micro'!$L122,"")</f>
        <v/>
      </c>
      <c r="AC114" s="21" t="str">
        <f>IF(AND('Atividades Micro'!$B122=AC$2,'Atividades Micro'!$K122&lt;&gt;""),'Atividades Micro'!$K122,"")</f>
        <v/>
      </c>
      <c r="AD114" s="21" t="str">
        <f>IF(AND('Atividades Micro'!$B122=AD$2,'Atividades Micro'!$L122&lt;&gt;""),'Atividades Micro'!$L122,"")</f>
        <v/>
      </c>
      <c r="AE114" s="21" t="str">
        <f>IF(AND('Atividades Micro'!$A122=AE$2,'Atividades Micro'!$K122&lt;&gt;""),'Atividades Micro'!$K122,"")</f>
        <v/>
      </c>
      <c r="AF114" s="21" t="str">
        <f>IF(AND('Atividades Micro'!$A122=AF$2,'Atividades Micro'!$L122&lt;&gt;""),'Atividades Micro'!$L122,"")</f>
        <v/>
      </c>
      <c r="AG114" s="21" t="str">
        <f>IF(AND('Atividades Micro'!$B122=AG$2,'Atividades Micro'!$K122&lt;&gt;""),'Atividades Micro'!$K122,"")</f>
        <v/>
      </c>
      <c r="AH114" s="21" t="str">
        <f>IF(AND('Atividades Micro'!$B122=AH$2,'Atividades Micro'!$L122&lt;&gt;""),'Atividades Micro'!$L122,"")</f>
        <v/>
      </c>
      <c r="AI114" s="21" t="str">
        <f>IF(AND('Atividades Micro'!$B122=AI$2,'Atividades Micro'!$K122&lt;&gt;""),'Atividades Micro'!$K122,"")</f>
        <v/>
      </c>
      <c r="AJ114" s="21" t="str">
        <f>IF(AND('Atividades Micro'!$B122=AJ$2,'Atividades Micro'!$L122&lt;&gt;""),'Atividades Micro'!$L122,"")</f>
        <v/>
      </c>
      <c r="AK114" s="21" t="str">
        <f>IF(AND('Atividades Micro'!$A122=AK$2,'Atividades Micro'!$K122&lt;&gt;""),'Atividades Micro'!$K122,"")</f>
        <v/>
      </c>
      <c r="AL114" s="21" t="str">
        <f>IF(AND('Atividades Micro'!$A122=AL$2,'Atividades Micro'!$L122&lt;&gt;""),'Atividades Micro'!$L122,"")</f>
        <v/>
      </c>
      <c r="AM114" s="21" t="str">
        <f>IF(AND('Atividades Micro'!$B122=AM$2,'Atividades Micro'!$K122&lt;&gt;""),'Atividades Micro'!$K122,"")</f>
        <v/>
      </c>
      <c r="AN114" s="21" t="str">
        <f>IF(AND('Atividades Micro'!$B122=AN$2,'Atividades Micro'!$L122&lt;&gt;""),'Atividades Micro'!$L122,"")</f>
        <v/>
      </c>
      <c r="AO114" s="21" t="str">
        <f>IF(AND('Atividades Micro'!$B122=AO$2,'Atividades Micro'!$K122&lt;&gt;""),'Atividades Micro'!$K122,"")</f>
        <v/>
      </c>
      <c r="AP114" s="21" t="str">
        <f>IF(AND('Atividades Micro'!$B122=AP$2,'Atividades Micro'!$L122&lt;&gt;""),'Atividades Micro'!$L122,"")</f>
        <v/>
      </c>
      <c r="AQ114" s="21" t="str">
        <f>IF(AND('Atividades Micro'!$A122=AQ$2,'Atividades Micro'!$K122&lt;&gt;""),'Atividades Micro'!$K122,"")</f>
        <v/>
      </c>
      <c r="AR114" s="21" t="str">
        <f>IF(AND('Atividades Micro'!$A122=AR$2,'Atividades Micro'!$L122&lt;&gt;""),'Atividades Micro'!$L122,"")</f>
        <v/>
      </c>
      <c r="AS114" s="21" t="str">
        <f>IF(AND('Atividades Micro'!$B122=AS$2,'Atividades Micro'!$K122&lt;&gt;""),'Atividades Micro'!$K122,"")</f>
        <v/>
      </c>
      <c r="AT114" s="21" t="str">
        <f>IF(AND('Atividades Micro'!$B122=AT$2,'Atividades Micro'!$L122&lt;&gt;""),'Atividades Micro'!$L122,"")</f>
        <v/>
      </c>
      <c r="AU114" s="21" t="str">
        <f>IF(AND('Atividades Micro'!$A122=AU$2,'Atividades Micro'!$K122&lt;&gt;""),'Atividades Micro'!$K122,"")</f>
        <v/>
      </c>
      <c r="AV114" s="21" t="str">
        <f>IF(AND('Atividades Micro'!$A122=AV$2,'Atividades Micro'!$L122&lt;&gt;""),'Atividades Micro'!$L122,"")</f>
        <v/>
      </c>
      <c r="AW114" s="21" t="str">
        <f>IF(AND('Atividades Micro'!$B122=AW$2,'Atividades Micro'!$K122&lt;&gt;""),'Atividades Micro'!$K122,"")</f>
        <v/>
      </c>
      <c r="AX114" s="21" t="str">
        <f>IF(AND('Atividades Micro'!$B122=AX$2,'Atividades Micro'!$L122&lt;&gt;""),'Atividades Micro'!$L122,"")</f>
        <v/>
      </c>
      <c r="AY114" s="21" t="str">
        <f>IF(AND('Atividades Micro'!$A122=AY$2,'Atividades Micro'!$K122&lt;&gt;""),'Atividades Micro'!$K122,"")</f>
        <v/>
      </c>
      <c r="AZ114" s="21" t="str">
        <f>IF(AND('Atividades Micro'!$A122=AZ$2,'Atividades Micro'!$L122&lt;&gt;""),'Atividades Micro'!$L122,"")</f>
        <v/>
      </c>
      <c r="BA114" s="21" t="str">
        <f>IF(AND('Atividades Micro'!$B122=BA$2,'Atividades Micro'!$K122&lt;&gt;""),'Atividades Micro'!$K122,"")</f>
        <v/>
      </c>
      <c r="BB114" s="21" t="str">
        <f>IF(AND('Atividades Micro'!$B122=BB$2,'Atividades Micro'!$L122&lt;&gt;""),'Atividades Micro'!$L122,"")</f>
        <v/>
      </c>
      <c r="BC114" s="21" t="str">
        <f>IF(AND('Atividades Micro'!$B122=BC$2,'Atividades Micro'!$G122="Macro",'Atividades Micro'!$K122&lt;&gt;""),'Atividades Micro'!$K122,"")</f>
        <v/>
      </c>
      <c r="BD114" s="21" t="str">
        <f>IF(AND('Atividades Micro'!$B122=BD$2,'Atividades Micro'!$G122="Macro",'Atividades Micro'!$K122&lt;&gt;""),'Atividades Micro'!$K122,"")</f>
        <v/>
      </c>
      <c r="BE114" s="21" t="str">
        <f>IF(AND('Atividades Micro'!$B122=BE$2,'Atividades Micro'!$G122="Macro",'Atividades Micro'!$K122&lt;&gt;""),'Atividades Micro'!$K122,"")</f>
        <v/>
      </c>
      <c r="BF114" s="21" t="str">
        <f>IF(AND('Atividades Micro'!$B122=BF$2,'Atividades Micro'!$G122="Macro",'Atividades Micro'!$K122&lt;&gt;""),'Atividades Micro'!$K122,"")</f>
        <v/>
      </c>
      <c r="BG114" s="21" t="str">
        <f>IF(AND('Atividades Micro'!$B122=BG$2,'Atividades Micro'!$G122="Macro",'Atividades Micro'!$K122&lt;&gt;""),'Atividades Micro'!$K122,"")</f>
        <v/>
      </c>
      <c r="BH114" s="21" t="str">
        <f>IF(AND('Atividades Micro'!$B122=BH$2,'Atividades Micro'!$G122="Macro",'Atividades Micro'!$K122&lt;&gt;""),'Atividades Micro'!$K122,"")</f>
        <v/>
      </c>
      <c r="BI114" s="21" t="str">
        <f>IF(AND('Atividades Micro'!$B122=BI$2,'Atividades Micro'!$G122="Macro",'Atividades Micro'!$K122&lt;&gt;""),'Atividades Micro'!$K122,"")</f>
        <v/>
      </c>
      <c r="BJ114" s="21" t="str">
        <f>IF(AND('Atividades Micro'!$B122=BJ$2,'Atividades Micro'!$G122="Macro",'Atividades Micro'!$K122&lt;&gt;""),'Atividades Micro'!$K122,"")</f>
        <v/>
      </c>
      <c r="BK114" s="21" t="str">
        <f>IF(AND('Atividades Micro'!$B122=BK$2,'Atividades Micro'!$G122="Macro",'Atividades Micro'!$K122&lt;&gt;""),'Atividades Micro'!$K122,"")</f>
        <v/>
      </c>
      <c r="BL114" s="21" t="str">
        <f>IF(AND('Atividades Micro'!$B122=BL$2,'Atividades Micro'!$G122="Macro",'Atividades Micro'!$K122&lt;&gt;""),'Atividades Micro'!$K122,"")</f>
        <v/>
      </c>
      <c r="BM114" s="21">
        <f>IF(AND('Atividades Micro'!$B122=BM$2,'Atividades Micro'!$G122="Macro",'Atividades Micro'!$K122&lt;&gt;""),'Atividades Micro'!$K122,"")</f>
        <v>46318</v>
      </c>
      <c r="BN114" s="21" t="str">
        <f>IF(AND('Atividades Micro'!$B122=BN$2,'Atividades Micro'!$G122="Macro",'Atividades Micro'!$K122&lt;&gt;""),'Atividades Micro'!$K122,"")</f>
        <v/>
      </c>
      <c r="BO114" s="21" t="str">
        <f>IF(AND('Atividades Micro'!$B122=BO$2,'Atividades Micro'!$G122="Macro",'Atividades Micro'!$K122&lt;&gt;""),'Atividades Micro'!$K122,"")</f>
        <v/>
      </c>
      <c r="BP114" s="21" t="str">
        <f>IF(AND('Atividades Micro'!$B122=BP$2,'Atividades Micro'!$G122="Macro",'Atividades Micro'!$K122&lt;&gt;""),'Atividades Micro'!$K122,"")</f>
        <v/>
      </c>
      <c r="BQ114" s="21" t="str">
        <f>IF(AND('Atividades Micro'!$B122=BQ$2,'Atividades Micro'!$G122="Macro",'Atividades Micro'!$K122&lt;&gt;""),'Atividades Micro'!$K122,"")</f>
        <v/>
      </c>
      <c r="BR114" s="21" t="str">
        <f>IF(AND('Atividades Micro'!$B122=BR$2,'Atividades Micro'!$G122="Macro",'Atividades Micro'!$K122&lt;&gt;""),'Atividades Micro'!$K122,"")</f>
        <v/>
      </c>
      <c r="BS114" s="21" t="str">
        <f>IF(AND('Atividades Micro'!$B122=BS$2,'Atividades Micro'!$G122="Macro",'Atividades Micro'!$K122&lt;&gt;""),'Atividades Micro'!$K122,"")</f>
        <v/>
      </c>
      <c r="BT114" s="21" t="str">
        <f>IF(AND('Atividades Micro'!$B122=BT$2,'Atividades Micro'!$G122="Macro",'Atividades Micro'!$K122&lt;&gt;""),'Atividades Micro'!$K122,"")</f>
        <v/>
      </c>
      <c r="BU114" s="21" t="str">
        <f>IF(AND('Atividades Micro'!$B122=BU$2,'Atividades Micro'!$G122="Macro",'Atividades Micro'!$K122&lt;&gt;""),'Atividades Micro'!$K122,"")</f>
        <v/>
      </c>
      <c r="BV114" s="21" t="str">
        <f>IF(AND('Atividades Micro'!$B122=BV$2,'Atividades Micro'!$G122="Macro",'Atividades Micro'!$K122&lt;&gt;""),'Atividades Micro'!$K122,"")</f>
        <v/>
      </c>
      <c r="BW114" s="21" t="str">
        <f>IF(AND('Atividades Micro'!$B122=BW$2,'Atividades Micro'!$G122="Macro",'Atividades Micro'!$K122&lt;&gt;""),'Atividades Micro'!$K122,"")</f>
        <v/>
      </c>
      <c r="BX114" s="21" t="str">
        <f>IF(AND('Atividades Micro'!$B122=BX$2,'Atividades Micro'!$G122="Macro",'Atividades Micro'!$K122&lt;&gt;""),'Atividades Micro'!$K122,"")</f>
        <v/>
      </c>
      <c r="BY114" s="21" t="str">
        <f>IF(AND('Atividades Micro'!$B122=BY$2,'Atividades Micro'!$G122="Macro",'Atividades Micro'!$K122&lt;&gt;""),'Atividades Micro'!$K122,"")</f>
        <v/>
      </c>
      <c r="BZ114" s="21" t="str">
        <f>IF(AND('Atividades Micro'!$B122=BZ$2,'Atividades Micro'!$G122="Macro",'Atividades Micro'!$K122&lt;&gt;""),'Atividades Micro'!$K122,"")</f>
        <v/>
      </c>
      <c r="CA114" s="21" t="str">
        <f>IF(AND('Atividades Micro'!$B122=CA$2,'Atividades Micro'!$G122="Macro",'Atividades Micro'!$K122&lt;&gt;""),'Atividades Micro'!$K122,"")</f>
        <v/>
      </c>
      <c r="CB114" s="21" t="str">
        <f>IF(AND('Atividades Micro'!$B122=CB$2,'Atividades Micro'!$G122="Macro",'Atividades Micro'!$K122&lt;&gt;""),'Atividades Micro'!$K122,"")</f>
        <v/>
      </c>
      <c r="CC114" s="21" t="str">
        <f>IF(AND('Atividades Micro'!$B122=CC$2,'Atividades Micro'!$G122="Macro",'Atividades Micro'!$K122&lt;&gt;""),'Atividades Micro'!$K122,"")</f>
        <v/>
      </c>
      <c r="CD114" s="21" t="str">
        <f>IF(AND('Atividades Micro'!$B122=CD$2,'Atividades Micro'!$G122="Micro",'Atividades Micro'!$K122&lt;&gt;""),'Atividades Micro'!$K122,"")</f>
        <v/>
      </c>
      <c r="CE114" s="21" t="str">
        <f>IF(AND('Atividades Micro'!$B122=CE$2,'Atividades Micro'!$G122="Micro",'Atividades Micro'!$K122&lt;&gt;""),'Atividades Micro'!$K122,"")</f>
        <v/>
      </c>
      <c r="CF114" s="21" t="str">
        <f>IF(AND('Atividades Micro'!$B122=CF$2,'Atividades Micro'!$G122="Micro",'Atividades Micro'!$K122&lt;&gt;""),'Atividades Micro'!$K122,"")</f>
        <v/>
      </c>
      <c r="CG114" s="21" t="str">
        <f>IF(AND('Atividades Micro'!$B122=CG$2,'Atividades Micro'!$G122="Micro",'Atividades Micro'!$K122&lt;&gt;""),'Atividades Micro'!$K122,"")</f>
        <v/>
      </c>
      <c r="CH114" s="21" t="str">
        <f>IF(AND('Atividades Micro'!$B122=CH$2,'Atividades Micro'!$G122="Micro",'Atividades Micro'!$K122&lt;&gt;""),'Atividades Micro'!$K122,"")</f>
        <v/>
      </c>
      <c r="CI114" s="21" t="str">
        <f>IF(AND('Atividades Micro'!$B122=CI$2,'Atividades Micro'!$G122="Micro",'Atividades Micro'!$K122&lt;&gt;""),'Atividades Micro'!$K122,"")</f>
        <v/>
      </c>
      <c r="CJ114" s="21" t="str">
        <f>IF(AND('Atividades Micro'!$B122=CJ$2,'Atividades Micro'!$G122="Micro",'Atividades Micro'!$K122&lt;&gt;""),'Atividades Micro'!$K122,"")</f>
        <v/>
      </c>
      <c r="CK114" s="21" t="str">
        <f>IF(AND('Atividades Micro'!$B122=CK$2,'Atividades Micro'!$G122="Micro",'Atividades Micro'!$K122&lt;&gt;""),'Atividades Micro'!$K122,"")</f>
        <v/>
      </c>
      <c r="CL114" s="21" t="str">
        <f>IF(AND('Atividades Micro'!$B122=CL$2,'Atividades Micro'!$G122="Micro",'Atividades Micro'!$K122&lt;&gt;""),'Atividades Micro'!$K122,"")</f>
        <v/>
      </c>
      <c r="CM114" s="21" t="str">
        <f>IF(AND('Atividades Micro'!$B122=CM$2,'Atividades Micro'!$G122="Micro",'Atividades Micro'!$K122&lt;&gt;""),'Atividades Micro'!$K122,"")</f>
        <v/>
      </c>
      <c r="CN114" s="21" t="str">
        <f>IF(AND('Atividades Micro'!$B122=CN$2,'Atividades Micro'!$G122="Micro",'Atividades Micro'!$K122&lt;&gt;""),'Atividades Micro'!$K122,"")</f>
        <v/>
      </c>
      <c r="CO114" s="21" t="str">
        <f>IF(AND('Atividades Micro'!$B122=CO$2,'Atividades Micro'!$G122="Micro",'Atividades Micro'!$K122&lt;&gt;""),'Atividades Micro'!$K122,"")</f>
        <v/>
      </c>
    </row>
    <row r="115" spans="1:93">
      <c r="A115" s="21" t="str">
        <f>IF(AND('Atividades Micro'!$A123=A$2,'Atividades Micro'!$K123&lt;&gt;""),'Atividades Micro'!$K123,"")</f>
        <v/>
      </c>
      <c r="B115" s="21" t="str">
        <f>IF(AND('Atividades Micro'!$A123=B$2,'Atividades Micro'!$L123&lt;&gt;""),'Atividades Micro'!$L123,"")</f>
        <v/>
      </c>
      <c r="C115" s="21" t="str">
        <f>IF(AND('Atividades Micro'!$A123=C$2,'Atividades Micro'!$K123&lt;&gt;""),'Atividades Micro'!$K123,"")</f>
        <v/>
      </c>
      <c r="D115" s="21" t="str">
        <f>IF(AND('Atividades Micro'!$A123=D$2,'Atividades Micro'!$L123&lt;&gt;""),'Atividades Micro'!$L123,"")</f>
        <v/>
      </c>
      <c r="E115" s="21" t="str">
        <f>IF(AND('Atividades Micro'!$A123=E$2,'Atividades Micro'!$K123&lt;&gt;""),'Atividades Micro'!$K123,"")</f>
        <v/>
      </c>
      <c r="F115" s="21" t="str">
        <f>IF(AND('Atividades Micro'!$A123=F$2,'Atividades Micro'!$L123&lt;&gt;""),'Atividades Micro'!$L123,"")</f>
        <v/>
      </c>
      <c r="G115" s="21" t="str">
        <f>IF(AND('Atividades Micro'!$A123=G$2,'Atividades Micro'!$K123&lt;&gt;""),'Atividades Micro'!$K123,"")</f>
        <v/>
      </c>
      <c r="H115" s="21" t="str">
        <f>IF(AND('Atividades Micro'!$A123=H$2,'Atividades Micro'!$L123&lt;&gt;""),'Atividades Micro'!$L123,"")</f>
        <v/>
      </c>
      <c r="I115" s="21" t="str">
        <f>IF(AND('Atividades Micro'!$A123=I$2,'Atividades Micro'!$K123&lt;&gt;""),'Atividades Micro'!$K123,"")</f>
        <v/>
      </c>
      <c r="J115" s="21" t="str">
        <f>IF(AND('Atividades Micro'!$A123=J$2,'Atividades Micro'!$L123&lt;&gt;""),'Atividades Micro'!$L123,"")</f>
        <v/>
      </c>
      <c r="K115" s="21" t="str">
        <f>IF(AND('Atividades Micro'!$B123=K$2,'Atividades Micro'!$K123&lt;&gt;""),'Atividades Micro'!$K123,"")</f>
        <v/>
      </c>
      <c r="L115" s="21" t="str">
        <f>IF(AND('Atividades Micro'!$B123=L$2,'Atividades Micro'!$L123&lt;&gt;""),'Atividades Micro'!$L123,"")</f>
        <v/>
      </c>
      <c r="M115" s="21" t="str">
        <f>IF(AND('Atividades Micro'!$B123=M$2,'Atividades Micro'!$K123&lt;&gt;""),'Atividades Micro'!$K123,"")</f>
        <v/>
      </c>
      <c r="N115" s="21" t="str">
        <f>IF(AND('Atividades Micro'!$B123=N$2,'Atividades Micro'!$L123&lt;&gt;""),'Atividades Micro'!$L123,"")</f>
        <v/>
      </c>
      <c r="O115" s="21" t="str">
        <f>IF(AND('Atividades Micro'!$A123=O$2,'Atividades Micro'!$K123&lt;&gt;""),'Atividades Micro'!$K123,"")</f>
        <v/>
      </c>
      <c r="P115" s="21" t="str">
        <f>IF(AND('Atividades Micro'!$A123=P$2,'Atividades Micro'!$L123&lt;&gt;""),'Atividades Micro'!$L123,"")</f>
        <v/>
      </c>
      <c r="Q115" s="21" t="str">
        <f>IF(AND('Atividades Micro'!$B123=Q$2,'Atividades Micro'!$K123&lt;&gt;""),'Atividades Micro'!$K123,"")</f>
        <v/>
      </c>
      <c r="R115" s="21" t="str">
        <f>IF(AND('Atividades Micro'!$B123=R$2,'Atividades Micro'!$L123&lt;&gt;""),'Atividades Micro'!$L123,"")</f>
        <v/>
      </c>
      <c r="S115" s="21">
        <f>IF(AND('Atividades Micro'!$A123=S$2,'Atividades Micro'!$K123&lt;&gt;""),'Atividades Micro'!$K123,"")</f>
        <v>46283</v>
      </c>
      <c r="T115" s="21" t="str">
        <f>IF(AND('Atividades Micro'!$A123=T$2,'Atividades Micro'!$L123&lt;&gt;""),'Atividades Micro'!$L123,"")</f>
        <v/>
      </c>
      <c r="U115" s="21">
        <f>IF(AND('Atividades Micro'!$B123=U$2,'Atividades Micro'!$K123&lt;&gt;""),'Atividades Micro'!$K123,"")</f>
        <v>46283</v>
      </c>
      <c r="V115" s="21" t="str">
        <f>IF(AND('Atividades Micro'!$B123=V$2,'Atividades Micro'!$L123&lt;&gt;""),'Atividades Micro'!$L123,"")</f>
        <v/>
      </c>
      <c r="W115" s="21" t="str">
        <f>IF(AND('Atividades Micro'!$B123=W$2,'Atividades Micro'!$K123&lt;&gt;""),'Atividades Micro'!$K123,"")</f>
        <v/>
      </c>
      <c r="X115" s="21" t="str">
        <f>IF(AND('Atividades Micro'!$B123=X$2,'Atividades Micro'!$L123&lt;&gt;""),'Atividades Micro'!$L123,"")</f>
        <v/>
      </c>
      <c r="Y115" s="21" t="str">
        <f>IF(AND('Atividades Micro'!$A123=Y$2,'Atividades Micro'!$K123&lt;&gt;""),'Atividades Micro'!$K123,"")</f>
        <v/>
      </c>
      <c r="Z115" s="21" t="str">
        <f>IF(AND('Atividades Micro'!$A123=Z$2,'Atividades Micro'!$L123&lt;&gt;""),'Atividades Micro'!$L123,"")</f>
        <v/>
      </c>
      <c r="AA115" s="21" t="str">
        <f>IF(AND('Atividades Micro'!$B123=AA$2,'Atividades Micro'!$K123&lt;&gt;""),'Atividades Micro'!$K123,"")</f>
        <v/>
      </c>
      <c r="AB115" s="21" t="str">
        <f>IF(AND('Atividades Micro'!$B123=AB$2,'Atividades Micro'!$L123&lt;&gt;""),'Atividades Micro'!$L123,"")</f>
        <v/>
      </c>
      <c r="AC115" s="21" t="str">
        <f>IF(AND('Atividades Micro'!$B123=AC$2,'Atividades Micro'!$K123&lt;&gt;""),'Atividades Micro'!$K123,"")</f>
        <v/>
      </c>
      <c r="AD115" s="21" t="str">
        <f>IF(AND('Atividades Micro'!$B123=AD$2,'Atividades Micro'!$L123&lt;&gt;""),'Atividades Micro'!$L123,"")</f>
        <v/>
      </c>
      <c r="AE115" s="21" t="str">
        <f>IF(AND('Atividades Micro'!$A123=AE$2,'Atividades Micro'!$K123&lt;&gt;""),'Atividades Micro'!$K123,"")</f>
        <v/>
      </c>
      <c r="AF115" s="21" t="str">
        <f>IF(AND('Atividades Micro'!$A123=AF$2,'Atividades Micro'!$L123&lt;&gt;""),'Atividades Micro'!$L123,"")</f>
        <v/>
      </c>
      <c r="AG115" s="21" t="str">
        <f>IF(AND('Atividades Micro'!$B123=AG$2,'Atividades Micro'!$K123&lt;&gt;""),'Atividades Micro'!$K123,"")</f>
        <v/>
      </c>
      <c r="AH115" s="21" t="str">
        <f>IF(AND('Atividades Micro'!$B123=AH$2,'Atividades Micro'!$L123&lt;&gt;""),'Atividades Micro'!$L123,"")</f>
        <v/>
      </c>
      <c r="AI115" s="21" t="str">
        <f>IF(AND('Atividades Micro'!$B123=AI$2,'Atividades Micro'!$K123&lt;&gt;""),'Atividades Micro'!$K123,"")</f>
        <v/>
      </c>
      <c r="AJ115" s="21" t="str">
        <f>IF(AND('Atividades Micro'!$B123=AJ$2,'Atividades Micro'!$L123&lt;&gt;""),'Atividades Micro'!$L123,"")</f>
        <v/>
      </c>
      <c r="AK115" s="21" t="str">
        <f>IF(AND('Atividades Micro'!$A123=AK$2,'Atividades Micro'!$K123&lt;&gt;""),'Atividades Micro'!$K123,"")</f>
        <v/>
      </c>
      <c r="AL115" s="21" t="str">
        <f>IF(AND('Atividades Micro'!$A123=AL$2,'Atividades Micro'!$L123&lt;&gt;""),'Atividades Micro'!$L123,"")</f>
        <v/>
      </c>
      <c r="AM115" s="21" t="str">
        <f>IF(AND('Atividades Micro'!$B123=AM$2,'Atividades Micro'!$K123&lt;&gt;""),'Atividades Micro'!$K123,"")</f>
        <v/>
      </c>
      <c r="AN115" s="21" t="str">
        <f>IF(AND('Atividades Micro'!$B123=AN$2,'Atividades Micro'!$L123&lt;&gt;""),'Atividades Micro'!$L123,"")</f>
        <v/>
      </c>
      <c r="AO115" s="21" t="str">
        <f>IF(AND('Atividades Micro'!$B123=AO$2,'Atividades Micro'!$K123&lt;&gt;""),'Atividades Micro'!$K123,"")</f>
        <v/>
      </c>
      <c r="AP115" s="21" t="str">
        <f>IF(AND('Atividades Micro'!$B123=AP$2,'Atividades Micro'!$L123&lt;&gt;""),'Atividades Micro'!$L123,"")</f>
        <v/>
      </c>
      <c r="AQ115" s="21" t="str">
        <f>IF(AND('Atividades Micro'!$A123=AQ$2,'Atividades Micro'!$K123&lt;&gt;""),'Atividades Micro'!$K123,"")</f>
        <v/>
      </c>
      <c r="AR115" s="21" t="str">
        <f>IF(AND('Atividades Micro'!$A123=AR$2,'Atividades Micro'!$L123&lt;&gt;""),'Atividades Micro'!$L123,"")</f>
        <v/>
      </c>
      <c r="AS115" s="21" t="str">
        <f>IF(AND('Atividades Micro'!$B123=AS$2,'Atividades Micro'!$K123&lt;&gt;""),'Atividades Micro'!$K123,"")</f>
        <v/>
      </c>
      <c r="AT115" s="21" t="str">
        <f>IF(AND('Atividades Micro'!$B123=AT$2,'Atividades Micro'!$L123&lt;&gt;""),'Atividades Micro'!$L123,"")</f>
        <v/>
      </c>
      <c r="AU115" s="21" t="str">
        <f>IF(AND('Atividades Micro'!$A123=AU$2,'Atividades Micro'!$K123&lt;&gt;""),'Atividades Micro'!$K123,"")</f>
        <v/>
      </c>
      <c r="AV115" s="21" t="str">
        <f>IF(AND('Atividades Micro'!$A123=AV$2,'Atividades Micro'!$L123&lt;&gt;""),'Atividades Micro'!$L123,"")</f>
        <v/>
      </c>
      <c r="AW115" s="21" t="str">
        <f>IF(AND('Atividades Micro'!$B123=AW$2,'Atividades Micro'!$K123&lt;&gt;""),'Atividades Micro'!$K123,"")</f>
        <v/>
      </c>
      <c r="AX115" s="21" t="str">
        <f>IF(AND('Atividades Micro'!$B123=AX$2,'Atividades Micro'!$L123&lt;&gt;""),'Atividades Micro'!$L123,"")</f>
        <v/>
      </c>
      <c r="AY115" s="21" t="str">
        <f>IF(AND('Atividades Micro'!$A123=AY$2,'Atividades Micro'!$K123&lt;&gt;""),'Atividades Micro'!$K123,"")</f>
        <v/>
      </c>
      <c r="AZ115" s="21" t="str">
        <f>IF(AND('Atividades Micro'!$A123=AZ$2,'Atividades Micro'!$L123&lt;&gt;""),'Atividades Micro'!$L123,"")</f>
        <v/>
      </c>
      <c r="BA115" s="21" t="str">
        <f>IF(AND('Atividades Micro'!$B123=BA$2,'Atividades Micro'!$K123&lt;&gt;""),'Atividades Micro'!$K123,"")</f>
        <v/>
      </c>
      <c r="BB115" s="21" t="str">
        <f>IF(AND('Atividades Micro'!$B123=BB$2,'Atividades Micro'!$L123&lt;&gt;""),'Atividades Micro'!$L123,"")</f>
        <v/>
      </c>
      <c r="BC115" s="21" t="str">
        <f>IF(AND('Atividades Micro'!$B123=BC$2,'Atividades Micro'!$G123="Macro",'Atividades Micro'!$K123&lt;&gt;""),'Atividades Micro'!$K123,"")</f>
        <v/>
      </c>
      <c r="BD115" s="21" t="str">
        <f>IF(AND('Atividades Micro'!$B123=BD$2,'Atividades Micro'!$G123="Macro",'Atividades Micro'!$K123&lt;&gt;""),'Atividades Micro'!$K123,"")</f>
        <v/>
      </c>
      <c r="BE115" s="21" t="str">
        <f>IF(AND('Atividades Micro'!$B123=BE$2,'Atividades Micro'!$G123="Macro",'Atividades Micro'!$K123&lt;&gt;""),'Atividades Micro'!$K123,"")</f>
        <v/>
      </c>
      <c r="BF115" s="21" t="str">
        <f>IF(AND('Atividades Micro'!$B123=BF$2,'Atividades Micro'!$G123="Macro",'Atividades Micro'!$K123&lt;&gt;""),'Atividades Micro'!$K123,"")</f>
        <v/>
      </c>
      <c r="BG115" s="21" t="str">
        <f>IF(AND('Atividades Micro'!$B123=BG$2,'Atividades Micro'!$G123="Macro",'Atividades Micro'!$K123&lt;&gt;""),'Atividades Micro'!$K123,"")</f>
        <v/>
      </c>
      <c r="BH115" s="21" t="str">
        <f>IF(AND('Atividades Micro'!$B123=BH$2,'Atividades Micro'!$G123="Macro",'Atividades Micro'!$K123&lt;&gt;""),'Atividades Micro'!$K123,"")</f>
        <v/>
      </c>
      <c r="BI115" s="21" t="str">
        <f>IF(AND('Atividades Micro'!$B123=BI$2,'Atividades Micro'!$G123="Macro",'Atividades Micro'!$K123&lt;&gt;""),'Atividades Micro'!$K123,"")</f>
        <v/>
      </c>
      <c r="BJ115" s="21" t="str">
        <f>IF(AND('Atividades Micro'!$B123=BJ$2,'Atividades Micro'!$G123="Macro",'Atividades Micro'!$K123&lt;&gt;""),'Atividades Micro'!$K123,"")</f>
        <v/>
      </c>
      <c r="BK115" s="21" t="str">
        <f>IF(AND('Atividades Micro'!$B123=BK$2,'Atividades Micro'!$G123="Macro",'Atividades Micro'!$K123&lt;&gt;""),'Atividades Micro'!$K123,"")</f>
        <v/>
      </c>
      <c r="BL115" s="21" t="str">
        <f>IF(AND('Atividades Micro'!$B123=BL$2,'Atividades Micro'!$G123="Macro",'Atividades Micro'!$K123&lt;&gt;""),'Atividades Micro'!$K123,"")</f>
        <v/>
      </c>
      <c r="BM115" s="21" t="str">
        <f>IF(AND('Atividades Micro'!$B123=BM$2,'Atividades Micro'!$G123="Macro",'Atividades Micro'!$K123&lt;&gt;""),'Atividades Micro'!$K123,"")</f>
        <v/>
      </c>
      <c r="BN115" s="21" t="str">
        <f>IF(AND('Atividades Micro'!$B123=BN$2,'Atividades Micro'!$G123="Macro",'Atividades Micro'!$K123&lt;&gt;""),'Atividades Micro'!$K123,"")</f>
        <v/>
      </c>
      <c r="BO115" s="21" t="str">
        <f>IF(AND('Atividades Micro'!$B123=BO$2,'Atividades Micro'!$G123="Macro",'Atividades Micro'!$K123&lt;&gt;""),'Atividades Micro'!$K123,"")</f>
        <v/>
      </c>
      <c r="BP115" s="21" t="str">
        <f>IF(AND('Atividades Micro'!$B123=BP$2,'Atividades Micro'!$G123="Macro",'Atividades Micro'!$K123&lt;&gt;""),'Atividades Micro'!$K123,"")</f>
        <v/>
      </c>
      <c r="BQ115" s="21" t="str">
        <f>IF(AND('Atividades Micro'!$B123=BQ$2,'Atividades Micro'!$G123="Macro",'Atividades Micro'!$K123&lt;&gt;""),'Atividades Micro'!$K123,"")</f>
        <v/>
      </c>
      <c r="BR115" s="21" t="str">
        <f>IF(AND('Atividades Micro'!$B123=BR$2,'Atividades Micro'!$G123="Macro",'Atividades Micro'!$K123&lt;&gt;""),'Atividades Micro'!$K123,"")</f>
        <v/>
      </c>
      <c r="BS115" s="21" t="str">
        <f>IF(AND('Atividades Micro'!$B123=BS$2,'Atividades Micro'!$G123="Macro",'Atividades Micro'!$K123&lt;&gt;""),'Atividades Micro'!$K123,"")</f>
        <v/>
      </c>
      <c r="BT115" s="21" t="str">
        <f>IF(AND('Atividades Micro'!$B123=BT$2,'Atividades Micro'!$G123="Macro",'Atividades Micro'!$K123&lt;&gt;""),'Atividades Micro'!$K123,"")</f>
        <v/>
      </c>
      <c r="BU115" s="21" t="str">
        <f>IF(AND('Atividades Micro'!$B123=BU$2,'Atividades Micro'!$G123="Macro",'Atividades Micro'!$K123&lt;&gt;""),'Atividades Micro'!$K123,"")</f>
        <v/>
      </c>
      <c r="BV115" s="21" t="str">
        <f>IF(AND('Atividades Micro'!$B123=BV$2,'Atividades Micro'!$G123="Macro",'Atividades Micro'!$K123&lt;&gt;""),'Atividades Micro'!$K123,"")</f>
        <v/>
      </c>
      <c r="BW115" s="21" t="str">
        <f>IF(AND('Atividades Micro'!$B123=BW$2,'Atividades Micro'!$G123="Macro",'Atividades Micro'!$K123&lt;&gt;""),'Atividades Micro'!$K123,"")</f>
        <v/>
      </c>
      <c r="BX115" s="21" t="str">
        <f>IF(AND('Atividades Micro'!$B123=BX$2,'Atividades Micro'!$G123="Macro",'Atividades Micro'!$K123&lt;&gt;""),'Atividades Micro'!$K123,"")</f>
        <v/>
      </c>
      <c r="BY115" s="21" t="str">
        <f>IF(AND('Atividades Micro'!$B123=BY$2,'Atividades Micro'!$G123="Macro",'Atividades Micro'!$K123&lt;&gt;""),'Atividades Micro'!$K123,"")</f>
        <v/>
      </c>
      <c r="BZ115" s="21" t="str">
        <f>IF(AND('Atividades Micro'!$B123=BZ$2,'Atividades Micro'!$G123="Macro",'Atividades Micro'!$K123&lt;&gt;""),'Atividades Micro'!$K123,"")</f>
        <v/>
      </c>
      <c r="CA115" s="21" t="str">
        <f>IF(AND('Atividades Micro'!$B123=CA$2,'Atividades Micro'!$G123="Macro",'Atividades Micro'!$K123&lt;&gt;""),'Atividades Micro'!$K123,"")</f>
        <v/>
      </c>
      <c r="CB115" s="21" t="str">
        <f>IF(AND('Atividades Micro'!$B123=CB$2,'Atividades Micro'!$G123="Macro",'Atividades Micro'!$K123&lt;&gt;""),'Atividades Micro'!$K123,"")</f>
        <v/>
      </c>
      <c r="CC115" s="21" t="str">
        <f>IF(AND('Atividades Micro'!$B123=CC$2,'Atividades Micro'!$G123="Macro",'Atividades Micro'!$K123&lt;&gt;""),'Atividades Micro'!$K123,"")</f>
        <v/>
      </c>
      <c r="CD115" s="21" t="str">
        <f>IF(AND('Atividades Micro'!$B123=CD$2,'Atividades Micro'!$G123="Micro",'Atividades Micro'!$K123&lt;&gt;""),'Atividades Micro'!$K123,"")</f>
        <v/>
      </c>
      <c r="CE115" s="21" t="str">
        <f>IF(AND('Atividades Micro'!$B123=CE$2,'Atividades Micro'!$G123="Micro",'Atividades Micro'!$K123&lt;&gt;""),'Atividades Micro'!$K123,"")</f>
        <v/>
      </c>
      <c r="CF115" s="21" t="str">
        <f>IF(AND('Atividades Micro'!$B123=CF$2,'Atividades Micro'!$G123="Micro",'Atividades Micro'!$K123&lt;&gt;""),'Atividades Micro'!$K123,"")</f>
        <v/>
      </c>
      <c r="CG115" s="21">
        <f>IF(AND('Atividades Micro'!$B123=CG$2,'Atividades Micro'!$G123="Micro",'Atividades Micro'!$K123&lt;&gt;""),'Atividades Micro'!$K123,"")</f>
        <v>46283</v>
      </c>
      <c r="CH115" s="21" t="str">
        <f>IF(AND('Atividades Micro'!$B123=CH$2,'Atividades Micro'!$G123="Micro",'Atividades Micro'!$K123&lt;&gt;""),'Atividades Micro'!$K123,"")</f>
        <v/>
      </c>
      <c r="CI115" s="21" t="str">
        <f>IF(AND('Atividades Micro'!$B123=CI$2,'Atividades Micro'!$G123="Micro",'Atividades Micro'!$K123&lt;&gt;""),'Atividades Micro'!$K123,"")</f>
        <v/>
      </c>
      <c r="CJ115" s="21" t="str">
        <f>IF(AND('Atividades Micro'!$B123=CJ$2,'Atividades Micro'!$G123="Micro",'Atividades Micro'!$K123&lt;&gt;""),'Atividades Micro'!$K123,"")</f>
        <v/>
      </c>
      <c r="CK115" s="21" t="str">
        <f>IF(AND('Atividades Micro'!$B123=CK$2,'Atividades Micro'!$G123="Micro",'Atividades Micro'!$K123&lt;&gt;""),'Atividades Micro'!$K123,"")</f>
        <v/>
      </c>
      <c r="CL115" s="21" t="str">
        <f>IF(AND('Atividades Micro'!$B123=CL$2,'Atividades Micro'!$G123="Micro",'Atividades Micro'!$K123&lt;&gt;""),'Atividades Micro'!$K123,"")</f>
        <v/>
      </c>
      <c r="CM115" s="21" t="str">
        <f>IF(AND('Atividades Micro'!$B123=CM$2,'Atividades Micro'!$G123="Micro",'Atividades Micro'!$K123&lt;&gt;""),'Atividades Micro'!$K123,"")</f>
        <v/>
      </c>
      <c r="CN115" s="21" t="str">
        <f>IF(AND('Atividades Micro'!$B123=CN$2,'Atividades Micro'!$G123="Micro",'Atividades Micro'!$K123&lt;&gt;""),'Atividades Micro'!$K123,"")</f>
        <v/>
      </c>
      <c r="CO115" s="21" t="str">
        <f>IF(AND('Atividades Micro'!$B123=CO$2,'Atividades Micro'!$G123="Micro",'Atividades Micro'!$K123&lt;&gt;""),'Atividades Micro'!$K123,"")</f>
        <v/>
      </c>
    </row>
    <row r="116" spans="1:93">
      <c r="A116" s="21" t="str">
        <f>IF(AND('Atividades Micro'!$A124=A$2,'Atividades Micro'!$K124&lt;&gt;""),'Atividades Micro'!$K124,"")</f>
        <v/>
      </c>
      <c r="B116" s="21" t="str">
        <f>IF(AND('Atividades Micro'!$A124=B$2,'Atividades Micro'!$L124&lt;&gt;""),'Atividades Micro'!$L124,"")</f>
        <v/>
      </c>
      <c r="C116" s="21" t="str">
        <f>IF(AND('Atividades Micro'!$A124=C$2,'Atividades Micro'!$K124&lt;&gt;""),'Atividades Micro'!$K124,"")</f>
        <v/>
      </c>
      <c r="D116" s="21" t="str">
        <f>IF(AND('Atividades Micro'!$A124=D$2,'Atividades Micro'!$L124&lt;&gt;""),'Atividades Micro'!$L124,"")</f>
        <v/>
      </c>
      <c r="E116" s="21" t="str">
        <f>IF(AND('Atividades Micro'!$A124=E$2,'Atividades Micro'!$K124&lt;&gt;""),'Atividades Micro'!$K124,"")</f>
        <v/>
      </c>
      <c r="F116" s="21" t="str">
        <f>IF(AND('Atividades Micro'!$A124=F$2,'Atividades Micro'!$L124&lt;&gt;""),'Atividades Micro'!$L124,"")</f>
        <v/>
      </c>
      <c r="G116" s="21" t="str">
        <f>IF(AND('Atividades Micro'!$A124=G$2,'Atividades Micro'!$K124&lt;&gt;""),'Atividades Micro'!$K124,"")</f>
        <v/>
      </c>
      <c r="H116" s="21" t="str">
        <f>IF(AND('Atividades Micro'!$A124=H$2,'Atividades Micro'!$L124&lt;&gt;""),'Atividades Micro'!$L124,"")</f>
        <v/>
      </c>
      <c r="I116" s="21" t="str">
        <f>IF(AND('Atividades Micro'!$A124=I$2,'Atividades Micro'!$K124&lt;&gt;""),'Atividades Micro'!$K124,"")</f>
        <v/>
      </c>
      <c r="J116" s="21" t="str">
        <f>IF(AND('Atividades Micro'!$A124=J$2,'Atividades Micro'!$L124&lt;&gt;""),'Atividades Micro'!$L124,"")</f>
        <v/>
      </c>
      <c r="K116" s="21" t="str">
        <f>IF(AND('Atividades Micro'!$B124=K$2,'Atividades Micro'!$K124&lt;&gt;""),'Atividades Micro'!$K124,"")</f>
        <v/>
      </c>
      <c r="L116" s="21" t="str">
        <f>IF(AND('Atividades Micro'!$B124=L$2,'Atividades Micro'!$L124&lt;&gt;""),'Atividades Micro'!$L124,"")</f>
        <v/>
      </c>
      <c r="M116" s="21" t="str">
        <f>IF(AND('Atividades Micro'!$B124=M$2,'Atividades Micro'!$K124&lt;&gt;""),'Atividades Micro'!$K124,"")</f>
        <v/>
      </c>
      <c r="N116" s="21" t="str">
        <f>IF(AND('Atividades Micro'!$B124=N$2,'Atividades Micro'!$L124&lt;&gt;""),'Atividades Micro'!$L124,"")</f>
        <v/>
      </c>
      <c r="O116" s="21" t="str">
        <f>IF(AND('Atividades Micro'!$A124=O$2,'Atividades Micro'!$K124&lt;&gt;""),'Atividades Micro'!$K124,"")</f>
        <v/>
      </c>
      <c r="P116" s="21" t="str">
        <f>IF(AND('Atividades Micro'!$A124=P$2,'Atividades Micro'!$L124&lt;&gt;""),'Atividades Micro'!$L124,"")</f>
        <v/>
      </c>
      <c r="Q116" s="21" t="str">
        <f>IF(AND('Atividades Micro'!$B124=Q$2,'Atividades Micro'!$K124&lt;&gt;""),'Atividades Micro'!$K124,"")</f>
        <v/>
      </c>
      <c r="R116" s="21" t="str">
        <f>IF(AND('Atividades Micro'!$B124=R$2,'Atividades Micro'!$L124&lt;&gt;""),'Atividades Micro'!$L124,"")</f>
        <v/>
      </c>
      <c r="S116" s="21">
        <f>IF(AND('Atividades Micro'!$A124=S$2,'Atividades Micro'!$K124&lt;&gt;""),'Atividades Micro'!$K124,"")</f>
        <v>46318</v>
      </c>
      <c r="T116" s="21" t="str">
        <f>IF(AND('Atividades Micro'!$A124=T$2,'Atividades Micro'!$L124&lt;&gt;""),'Atividades Micro'!$L124,"")</f>
        <v/>
      </c>
      <c r="U116" s="21">
        <f>IF(AND('Atividades Micro'!$B124=U$2,'Atividades Micro'!$K124&lt;&gt;""),'Atividades Micro'!$K124,"")</f>
        <v>46318</v>
      </c>
      <c r="V116" s="21" t="str">
        <f>IF(AND('Atividades Micro'!$B124=V$2,'Atividades Micro'!$L124&lt;&gt;""),'Atividades Micro'!$L124,"")</f>
        <v/>
      </c>
      <c r="W116" s="21" t="str">
        <f>IF(AND('Atividades Micro'!$B124=W$2,'Atividades Micro'!$K124&lt;&gt;""),'Atividades Micro'!$K124,"")</f>
        <v/>
      </c>
      <c r="X116" s="21" t="str">
        <f>IF(AND('Atividades Micro'!$B124=X$2,'Atividades Micro'!$L124&lt;&gt;""),'Atividades Micro'!$L124,"")</f>
        <v/>
      </c>
      <c r="Y116" s="21" t="str">
        <f>IF(AND('Atividades Micro'!$A124=Y$2,'Atividades Micro'!$K124&lt;&gt;""),'Atividades Micro'!$K124,"")</f>
        <v/>
      </c>
      <c r="Z116" s="21" t="str">
        <f>IF(AND('Atividades Micro'!$A124=Z$2,'Atividades Micro'!$L124&lt;&gt;""),'Atividades Micro'!$L124,"")</f>
        <v/>
      </c>
      <c r="AA116" s="21" t="str">
        <f>IF(AND('Atividades Micro'!$B124=AA$2,'Atividades Micro'!$K124&lt;&gt;""),'Atividades Micro'!$K124,"")</f>
        <v/>
      </c>
      <c r="AB116" s="21" t="str">
        <f>IF(AND('Atividades Micro'!$B124=AB$2,'Atividades Micro'!$L124&lt;&gt;""),'Atividades Micro'!$L124,"")</f>
        <v/>
      </c>
      <c r="AC116" s="21" t="str">
        <f>IF(AND('Atividades Micro'!$B124=AC$2,'Atividades Micro'!$K124&lt;&gt;""),'Atividades Micro'!$K124,"")</f>
        <v/>
      </c>
      <c r="AD116" s="21" t="str">
        <f>IF(AND('Atividades Micro'!$B124=AD$2,'Atividades Micro'!$L124&lt;&gt;""),'Atividades Micro'!$L124,"")</f>
        <v/>
      </c>
      <c r="AE116" s="21" t="str">
        <f>IF(AND('Atividades Micro'!$A124=AE$2,'Atividades Micro'!$K124&lt;&gt;""),'Atividades Micro'!$K124,"")</f>
        <v/>
      </c>
      <c r="AF116" s="21" t="str">
        <f>IF(AND('Atividades Micro'!$A124=AF$2,'Atividades Micro'!$L124&lt;&gt;""),'Atividades Micro'!$L124,"")</f>
        <v/>
      </c>
      <c r="AG116" s="21" t="str">
        <f>IF(AND('Atividades Micro'!$B124=AG$2,'Atividades Micro'!$K124&lt;&gt;""),'Atividades Micro'!$K124,"")</f>
        <v/>
      </c>
      <c r="AH116" s="21" t="str">
        <f>IF(AND('Atividades Micro'!$B124=AH$2,'Atividades Micro'!$L124&lt;&gt;""),'Atividades Micro'!$L124,"")</f>
        <v/>
      </c>
      <c r="AI116" s="21" t="str">
        <f>IF(AND('Atividades Micro'!$B124=AI$2,'Atividades Micro'!$K124&lt;&gt;""),'Atividades Micro'!$K124,"")</f>
        <v/>
      </c>
      <c r="AJ116" s="21" t="str">
        <f>IF(AND('Atividades Micro'!$B124=AJ$2,'Atividades Micro'!$L124&lt;&gt;""),'Atividades Micro'!$L124,"")</f>
        <v/>
      </c>
      <c r="AK116" s="21" t="str">
        <f>IF(AND('Atividades Micro'!$A124=AK$2,'Atividades Micro'!$K124&lt;&gt;""),'Atividades Micro'!$K124,"")</f>
        <v/>
      </c>
      <c r="AL116" s="21" t="str">
        <f>IF(AND('Atividades Micro'!$A124=AL$2,'Atividades Micro'!$L124&lt;&gt;""),'Atividades Micro'!$L124,"")</f>
        <v/>
      </c>
      <c r="AM116" s="21" t="str">
        <f>IF(AND('Atividades Micro'!$B124=AM$2,'Atividades Micro'!$K124&lt;&gt;""),'Atividades Micro'!$K124,"")</f>
        <v/>
      </c>
      <c r="AN116" s="21" t="str">
        <f>IF(AND('Atividades Micro'!$B124=AN$2,'Atividades Micro'!$L124&lt;&gt;""),'Atividades Micro'!$L124,"")</f>
        <v/>
      </c>
      <c r="AO116" s="21" t="str">
        <f>IF(AND('Atividades Micro'!$B124=AO$2,'Atividades Micro'!$K124&lt;&gt;""),'Atividades Micro'!$K124,"")</f>
        <v/>
      </c>
      <c r="AP116" s="21" t="str">
        <f>IF(AND('Atividades Micro'!$B124=AP$2,'Atividades Micro'!$L124&lt;&gt;""),'Atividades Micro'!$L124,"")</f>
        <v/>
      </c>
      <c r="AQ116" s="21" t="str">
        <f>IF(AND('Atividades Micro'!$A124=AQ$2,'Atividades Micro'!$K124&lt;&gt;""),'Atividades Micro'!$K124,"")</f>
        <v/>
      </c>
      <c r="AR116" s="21" t="str">
        <f>IF(AND('Atividades Micro'!$A124=AR$2,'Atividades Micro'!$L124&lt;&gt;""),'Atividades Micro'!$L124,"")</f>
        <v/>
      </c>
      <c r="AS116" s="21" t="str">
        <f>IF(AND('Atividades Micro'!$B124=AS$2,'Atividades Micro'!$K124&lt;&gt;""),'Atividades Micro'!$K124,"")</f>
        <v/>
      </c>
      <c r="AT116" s="21" t="str">
        <f>IF(AND('Atividades Micro'!$B124=AT$2,'Atividades Micro'!$L124&lt;&gt;""),'Atividades Micro'!$L124,"")</f>
        <v/>
      </c>
      <c r="AU116" s="21" t="str">
        <f>IF(AND('Atividades Micro'!$A124=AU$2,'Atividades Micro'!$K124&lt;&gt;""),'Atividades Micro'!$K124,"")</f>
        <v/>
      </c>
      <c r="AV116" s="21" t="str">
        <f>IF(AND('Atividades Micro'!$A124=AV$2,'Atividades Micro'!$L124&lt;&gt;""),'Atividades Micro'!$L124,"")</f>
        <v/>
      </c>
      <c r="AW116" s="21" t="str">
        <f>IF(AND('Atividades Micro'!$B124=AW$2,'Atividades Micro'!$K124&lt;&gt;""),'Atividades Micro'!$K124,"")</f>
        <v/>
      </c>
      <c r="AX116" s="21" t="str">
        <f>IF(AND('Atividades Micro'!$B124=AX$2,'Atividades Micro'!$L124&lt;&gt;""),'Atividades Micro'!$L124,"")</f>
        <v/>
      </c>
      <c r="AY116" s="21" t="str">
        <f>IF(AND('Atividades Micro'!$A124=AY$2,'Atividades Micro'!$K124&lt;&gt;""),'Atividades Micro'!$K124,"")</f>
        <v/>
      </c>
      <c r="AZ116" s="21" t="str">
        <f>IF(AND('Atividades Micro'!$A124=AZ$2,'Atividades Micro'!$L124&lt;&gt;""),'Atividades Micro'!$L124,"")</f>
        <v/>
      </c>
      <c r="BA116" s="21" t="str">
        <f>IF(AND('Atividades Micro'!$B124=BA$2,'Atividades Micro'!$K124&lt;&gt;""),'Atividades Micro'!$K124,"")</f>
        <v/>
      </c>
      <c r="BB116" s="21" t="str">
        <f>IF(AND('Atividades Micro'!$B124=BB$2,'Atividades Micro'!$L124&lt;&gt;""),'Atividades Micro'!$L124,"")</f>
        <v/>
      </c>
      <c r="BC116" s="21" t="str">
        <f>IF(AND('Atividades Micro'!$B124=BC$2,'Atividades Micro'!$G124="Macro",'Atividades Micro'!$K124&lt;&gt;""),'Atividades Micro'!$K124,"")</f>
        <v/>
      </c>
      <c r="BD116" s="21" t="str">
        <f>IF(AND('Atividades Micro'!$B124=BD$2,'Atividades Micro'!$G124="Macro",'Atividades Micro'!$K124&lt;&gt;""),'Atividades Micro'!$K124,"")</f>
        <v/>
      </c>
      <c r="BE116" s="21" t="str">
        <f>IF(AND('Atividades Micro'!$B124=BE$2,'Atividades Micro'!$G124="Macro",'Atividades Micro'!$K124&lt;&gt;""),'Atividades Micro'!$K124,"")</f>
        <v/>
      </c>
      <c r="BF116" s="21" t="str">
        <f>IF(AND('Atividades Micro'!$B124=BF$2,'Atividades Micro'!$G124="Macro",'Atividades Micro'!$K124&lt;&gt;""),'Atividades Micro'!$K124,"")</f>
        <v/>
      </c>
      <c r="BG116" s="21" t="str">
        <f>IF(AND('Atividades Micro'!$B124=BG$2,'Atividades Micro'!$G124="Macro",'Atividades Micro'!$K124&lt;&gt;""),'Atividades Micro'!$K124,"")</f>
        <v/>
      </c>
      <c r="BH116" s="21" t="str">
        <f>IF(AND('Atividades Micro'!$B124=BH$2,'Atividades Micro'!$G124="Macro",'Atividades Micro'!$K124&lt;&gt;""),'Atividades Micro'!$K124,"")</f>
        <v/>
      </c>
      <c r="BI116" s="21" t="str">
        <f>IF(AND('Atividades Micro'!$B124=BI$2,'Atividades Micro'!$G124="Macro",'Atividades Micro'!$K124&lt;&gt;""),'Atividades Micro'!$K124,"")</f>
        <v/>
      </c>
      <c r="BJ116" s="21" t="str">
        <f>IF(AND('Atividades Micro'!$B124=BJ$2,'Atividades Micro'!$G124="Macro",'Atividades Micro'!$K124&lt;&gt;""),'Atividades Micro'!$K124,"")</f>
        <v/>
      </c>
      <c r="BK116" s="21" t="str">
        <f>IF(AND('Atividades Micro'!$B124=BK$2,'Atividades Micro'!$G124="Macro",'Atividades Micro'!$K124&lt;&gt;""),'Atividades Micro'!$K124,"")</f>
        <v/>
      </c>
      <c r="BL116" s="21" t="str">
        <f>IF(AND('Atividades Micro'!$B124=BL$2,'Atividades Micro'!$G124="Macro",'Atividades Micro'!$K124&lt;&gt;""),'Atividades Micro'!$K124,"")</f>
        <v/>
      </c>
      <c r="BM116" s="21" t="str">
        <f>IF(AND('Atividades Micro'!$B124=BM$2,'Atividades Micro'!$G124="Macro",'Atividades Micro'!$K124&lt;&gt;""),'Atividades Micro'!$K124,"")</f>
        <v/>
      </c>
      <c r="BN116" s="21" t="str">
        <f>IF(AND('Atividades Micro'!$B124=BN$2,'Atividades Micro'!$G124="Macro",'Atividades Micro'!$K124&lt;&gt;""),'Atividades Micro'!$K124,"")</f>
        <v/>
      </c>
      <c r="BO116" s="21" t="str">
        <f>IF(AND('Atividades Micro'!$B124=BO$2,'Atividades Micro'!$G124="Macro",'Atividades Micro'!$K124&lt;&gt;""),'Atividades Micro'!$K124,"")</f>
        <v/>
      </c>
      <c r="BP116" s="21" t="str">
        <f>IF(AND('Atividades Micro'!$B124=BP$2,'Atividades Micro'!$G124="Macro",'Atividades Micro'!$K124&lt;&gt;""),'Atividades Micro'!$K124,"")</f>
        <v/>
      </c>
      <c r="BQ116" s="21" t="str">
        <f>IF(AND('Atividades Micro'!$B124=BQ$2,'Atividades Micro'!$G124="Macro",'Atividades Micro'!$K124&lt;&gt;""),'Atividades Micro'!$K124,"")</f>
        <v/>
      </c>
      <c r="BR116" s="21" t="str">
        <f>IF(AND('Atividades Micro'!$B124=BR$2,'Atividades Micro'!$G124="Macro",'Atividades Micro'!$K124&lt;&gt;""),'Atividades Micro'!$K124,"")</f>
        <v/>
      </c>
      <c r="BS116" s="21" t="str">
        <f>IF(AND('Atividades Micro'!$B124=BS$2,'Atividades Micro'!$G124="Macro",'Atividades Micro'!$K124&lt;&gt;""),'Atividades Micro'!$K124,"")</f>
        <v/>
      </c>
      <c r="BT116" s="21" t="str">
        <f>IF(AND('Atividades Micro'!$B124=BT$2,'Atividades Micro'!$G124="Macro",'Atividades Micro'!$K124&lt;&gt;""),'Atividades Micro'!$K124,"")</f>
        <v/>
      </c>
      <c r="BU116" s="21" t="str">
        <f>IF(AND('Atividades Micro'!$B124=BU$2,'Atividades Micro'!$G124="Macro",'Atividades Micro'!$K124&lt;&gt;""),'Atividades Micro'!$K124,"")</f>
        <v/>
      </c>
      <c r="BV116" s="21" t="str">
        <f>IF(AND('Atividades Micro'!$B124=BV$2,'Atividades Micro'!$G124="Macro",'Atividades Micro'!$K124&lt;&gt;""),'Atividades Micro'!$K124,"")</f>
        <v/>
      </c>
      <c r="BW116" s="21" t="str">
        <f>IF(AND('Atividades Micro'!$B124=BW$2,'Atividades Micro'!$G124="Macro",'Atividades Micro'!$K124&lt;&gt;""),'Atividades Micro'!$K124,"")</f>
        <v/>
      </c>
      <c r="BX116" s="21" t="str">
        <f>IF(AND('Atividades Micro'!$B124=BX$2,'Atividades Micro'!$G124="Macro",'Atividades Micro'!$K124&lt;&gt;""),'Atividades Micro'!$K124,"")</f>
        <v/>
      </c>
      <c r="BY116" s="21" t="str">
        <f>IF(AND('Atividades Micro'!$B124=BY$2,'Atividades Micro'!$G124="Macro",'Atividades Micro'!$K124&lt;&gt;""),'Atividades Micro'!$K124,"")</f>
        <v/>
      </c>
      <c r="BZ116" s="21" t="str">
        <f>IF(AND('Atividades Micro'!$B124=BZ$2,'Atividades Micro'!$G124="Macro",'Atividades Micro'!$K124&lt;&gt;""),'Atividades Micro'!$K124,"")</f>
        <v/>
      </c>
      <c r="CA116" s="21" t="str">
        <f>IF(AND('Atividades Micro'!$B124=CA$2,'Atividades Micro'!$G124="Macro",'Atividades Micro'!$K124&lt;&gt;""),'Atividades Micro'!$K124,"")</f>
        <v/>
      </c>
      <c r="CB116" s="21" t="str">
        <f>IF(AND('Atividades Micro'!$B124=CB$2,'Atividades Micro'!$G124="Macro",'Atividades Micro'!$K124&lt;&gt;""),'Atividades Micro'!$K124,"")</f>
        <v/>
      </c>
      <c r="CC116" s="21" t="str">
        <f>IF(AND('Atividades Micro'!$B124=CC$2,'Atividades Micro'!$G124="Macro",'Atividades Micro'!$K124&lt;&gt;""),'Atividades Micro'!$K124,"")</f>
        <v/>
      </c>
      <c r="CD116" s="21" t="str">
        <f>IF(AND('Atividades Micro'!$B124=CD$2,'Atividades Micro'!$G124="Micro",'Atividades Micro'!$K124&lt;&gt;""),'Atividades Micro'!$K124,"")</f>
        <v/>
      </c>
      <c r="CE116" s="21" t="str">
        <f>IF(AND('Atividades Micro'!$B124=CE$2,'Atividades Micro'!$G124="Micro",'Atividades Micro'!$K124&lt;&gt;""),'Atividades Micro'!$K124,"")</f>
        <v/>
      </c>
      <c r="CF116" s="21" t="str">
        <f>IF(AND('Atividades Micro'!$B124=CF$2,'Atividades Micro'!$G124="Micro",'Atividades Micro'!$K124&lt;&gt;""),'Atividades Micro'!$K124,"")</f>
        <v/>
      </c>
      <c r="CG116" s="21">
        <f>IF(AND('Atividades Micro'!$B124=CG$2,'Atividades Micro'!$G124="Micro",'Atividades Micro'!$K124&lt;&gt;""),'Atividades Micro'!$K124,"")</f>
        <v>46318</v>
      </c>
      <c r="CH116" s="21" t="str">
        <f>IF(AND('Atividades Micro'!$B124=CH$2,'Atividades Micro'!$G124="Micro",'Atividades Micro'!$K124&lt;&gt;""),'Atividades Micro'!$K124,"")</f>
        <v/>
      </c>
      <c r="CI116" s="21" t="str">
        <f>IF(AND('Atividades Micro'!$B124=CI$2,'Atividades Micro'!$G124="Micro",'Atividades Micro'!$K124&lt;&gt;""),'Atividades Micro'!$K124,"")</f>
        <v/>
      </c>
      <c r="CJ116" s="21" t="str">
        <f>IF(AND('Atividades Micro'!$B124=CJ$2,'Atividades Micro'!$G124="Micro",'Atividades Micro'!$K124&lt;&gt;""),'Atividades Micro'!$K124,"")</f>
        <v/>
      </c>
      <c r="CK116" s="21" t="str">
        <f>IF(AND('Atividades Micro'!$B124=CK$2,'Atividades Micro'!$G124="Micro",'Atividades Micro'!$K124&lt;&gt;""),'Atividades Micro'!$K124,"")</f>
        <v/>
      </c>
      <c r="CL116" s="21" t="str">
        <f>IF(AND('Atividades Micro'!$B124=CL$2,'Atividades Micro'!$G124="Micro",'Atividades Micro'!$K124&lt;&gt;""),'Atividades Micro'!$K124,"")</f>
        <v/>
      </c>
      <c r="CM116" s="21" t="str">
        <f>IF(AND('Atividades Micro'!$B124=CM$2,'Atividades Micro'!$G124="Micro",'Atividades Micro'!$K124&lt;&gt;""),'Atividades Micro'!$K124,"")</f>
        <v/>
      </c>
      <c r="CN116" s="21" t="str">
        <f>IF(AND('Atividades Micro'!$B124=CN$2,'Atividades Micro'!$G124="Micro",'Atividades Micro'!$K124&lt;&gt;""),'Atividades Micro'!$K124,"")</f>
        <v/>
      </c>
      <c r="CO116" s="21" t="str">
        <f>IF(AND('Atividades Micro'!$B124=CO$2,'Atividades Micro'!$G124="Micro",'Atividades Micro'!$K124&lt;&gt;""),'Atividades Micro'!$K124,"")</f>
        <v/>
      </c>
    </row>
    <row r="117" spans="1:93">
      <c r="A117" s="21" t="str">
        <f>IF(AND('Atividades Micro'!$A125=A$2,'Atividades Micro'!$K125&lt;&gt;""),'Atividades Micro'!$K125,"")</f>
        <v/>
      </c>
      <c r="B117" s="21" t="str">
        <f>IF(AND('Atividades Micro'!$A125=B$2,'Atividades Micro'!$L125&lt;&gt;""),'Atividades Micro'!$L125,"")</f>
        <v/>
      </c>
      <c r="C117" s="21" t="str">
        <f>IF(AND('Atividades Micro'!$A125=C$2,'Atividades Micro'!$K125&lt;&gt;""),'Atividades Micro'!$K125,"")</f>
        <v/>
      </c>
      <c r="D117" s="21" t="str">
        <f>IF(AND('Atividades Micro'!$A125=D$2,'Atividades Micro'!$L125&lt;&gt;""),'Atividades Micro'!$L125,"")</f>
        <v/>
      </c>
      <c r="E117" s="21" t="str">
        <f>IF(AND('Atividades Micro'!$A125=E$2,'Atividades Micro'!$K125&lt;&gt;""),'Atividades Micro'!$K125,"")</f>
        <v/>
      </c>
      <c r="F117" s="21" t="str">
        <f>IF(AND('Atividades Micro'!$A125=F$2,'Atividades Micro'!$L125&lt;&gt;""),'Atividades Micro'!$L125,"")</f>
        <v/>
      </c>
      <c r="G117" s="21" t="str">
        <f>IF(AND('Atividades Micro'!$A125=G$2,'Atividades Micro'!$K125&lt;&gt;""),'Atividades Micro'!$K125,"")</f>
        <v/>
      </c>
      <c r="H117" s="21" t="str">
        <f>IF(AND('Atividades Micro'!$A125=H$2,'Atividades Micro'!$L125&lt;&gt;""),'Atividades Micro'!$L125,"")</f>
        <v/>
      </c>
      <c r="I117" s="21" t="str">
        <f>IF(AND('Atividades Micro'!$A125=I$2,'Atividades Micro'!$K125&lt;&gt;""),'Atividades Micro'!$K125,"")</f>
        <v/>
      </c>
      <c r="J117" s="21" t="str">
        <f>IF(AND('Atividades Micro'!$A125=J$2,'Atividades Micro'!$L125&lt;&gt;""),'Atividades Micro'!$L125,"")</f>
        <v/>
      </c>
      <c r="K117" s="21" t="str">
        <f>IF(AND('Atividades Micro'!$B125=K$2,'Atividades Micro'!$K125&lt;&gt;""),'Atividades Micro'!$K125,"")</f>
        <v/>
      </c>
      <c r="L117" s="21" t="str">
        <f>IF(AND('Atividades Micro'!$B125=L$2,'Atividades Micro'!$L125&lt;&gt;""),'Atividades Micro'!$L125,"")</f>
        <v/>
      </c>
      <c r="M117" s="21" t="str">
        <f>IF(AND('Atividades Micro'!$B125=M$2,'Atividades Micro'!$K125&lt;&gt;""),'Atividades Micro'!$K125,"")</f>
        <v/>
      </c>
      <c r="N117" s="21" t="str">
        <f>IF(AND('Atividades Micro'!$B125=N$2,'Atividades Micro'!$L125&lt;&gt;""),'Atividades Micro'!$L125,"")</f>
        <v/>
      </c>
      <c r="O117" s="21" t="str">
        <f>IF(AND('Atividades Micro'!$A125=O$2,'Atividades Micro'!$K125&lt;&gt;""),'Atividades Micro'!$K125,"")</f>
        <v/>
      </c>
      <c r="P117" s="21" t="str">
        <f>IF(AND('Atividades Micro'!$A125=P$2,'Atividades Micro'!$L125&lt;&gt;""),'Atividades Micro'!$L125,"")</f>
        <v/>
      </c>
      <c r="Q117" s="21" t="str">
        <f>IF(AND('Atividades Micro'!$B125=Q$2,'Atividades Micro'!$K125&lt;&gt;""),'Atividades Micro'!$K125,"")</f>
        <v/>
      </c>
      <c r="R117" s="21" t="str">
        <f>IF(AND('Atividades Micro'!$B125=R$2,'Atividades Micro'!$L125&lt;&gt;""),'Atividades Micro'!$L125,"")</f>
        <v/>
      </c>
      <c r="S117" s="21">
        <f>IF(AND('Atividades Micro'!$A125=S$2,'Atividades Micro'!$K125&lt;&gt;""),'Atividades Micro'!$K125,"")</f>
        <v>46318</v>
      </c>
      <c r="T117" s="21" t="str">
        <f>IF(AND('Atividades Micro'!$A125=T$2,'Atividades Micro'!$L125&lt;&gt;""),'Atividades Micro'!$L125,"")</f>
        <v/>
      </c>
      <c r="U117" s="21">
        <f>IF(AND('Atividades Micro'!$B125=U$2,'Atividades Micro'!$K125&lt;&gt;""),'Atividades Micro'!$K125,"")</f>
        <v>46318</v>
      </c>
      <c r="V117" s="21" t="str">
        <f>IF(AND('Atividades Micro'!$B125=V$2,'Atividades Micro'!$L125&lt;&gt;""),'Atividades Micro'!$L125,"")</f>
        <v/>
      </c>
      <c r="W117" s="21" t="str">
        <f>IF(AND('Atividades Micro'!$B125=W$2,'Atividades Micro'!$K125&lt;&gt;""),'Atividades Micro'!$K125,"")</f>
        <v/>
      </c>
      <c r="X117" s="21" t="str">
        <f>IF(AND('Atividades Micro'!$B125=X$2,'Atividades Micro'!$L125&lt;&gt;""),'Atividades Micro'!$L125,"")</f>
        <v/>
      </c>
      <c r="Y117" s="21" t="str">
        <f>IF(AND('Atividades Micro'!$A125=Y$2,'Atividades Micro'!$K125&lt;&gt;""),'Atividades Micro'!$K125,"")</f>
        <v/>
      </c>
      <c r="Z117" s="21" t="str">
        <f>IF(AND('Atividades Micro'!$A125=Z$2,'Atividades Micro'!$L125&lt;&gt;""),'Atividades Micro'!$L125,"")</f>
        <v/>
      </c>
      <c r="AA117" s="21" t="str">
        <f>IF(AND('Atividades Micro'!$B125=AA$2,'Atividades Micro'!$K125&lt;&gt;""),'Atividades Micro'!$K125,"")</f>
        <v/>
      </c>
      <c r="AB117" s="21" t="str">
        <f>IF(AND('Atividades Micro'!$B125=AB$2,'Atividades Micro'!$L125&lt;&gt;""),'Atividades Micro'!$L125,"")</f>
        <v/>
      </c>
      <c r="AC117" s="21" t="str">
        <f>IF(AND('Atividades Micro'!$B125=AC$2,'Atividades Micro'!$K125&lt;&gt;""),'Atividades Micro'!$K125,"")</f>
        <v/>
      </c>
      <c r="AD117" s="21" t="str">
        <f>IF(AND('Atividades Micro'!$B125=AD$2,'Atividades Micro'!$L125&lt;&gt;""),'Atividades Micro'!$L125,"")</f>
        <v/>
      </c>
      <c r="AE117" s="21" t="str">
        <f>IF(AND('Atividades Micro'!$A125=AE$2,'Atividades Micro'!$K125&lt;&gt;""),'Atividades Micro'!$K125,"")</f>
        <v/>
      </c>
      <c r="AF117" s="21" t="str">
        <f>IF(AND('Atividades Micro'!$A125=AF$2,'Atividades Micro'!$L125&lt;&gt;""),'Atividades Micro'!$L125,"")</f>
        <v/>
      </c>
      <c r="AG117" s="21" t="str">
        <f>IF(AND('Atividades Micro'!$B125=AG$2,'Atividades Micro'!$K125&lt;&gt;""),'Atividades Micro'!$K125,"")</f>
        <v/>
      </c>
      <c r="AH117" s="21" t="str">
        <f>IF(AND('Atividades Micro'!$B125=AH$2,'Atividades Micro'!$L125&lt;&gt;""),'Atividades Micro'!$L125,"")</f>
        <v/>
      </c>
      <c r="AI117" s="21" t="str">
        <f>IF(AND('Atividades Micro'!$B125=AI$2,'Atividades Micro'!$K125&lt;&gt;""),'Atividades Micro'!$K125,"")</f>
        <v/>
      </c>
      <c r="AJ117" s="21" t="str">
        <f>IF(AND('Atividades Micro'!$B125=AJ$2,'Atividades Micro'!$L125&lt;&gt;""),'Atividades Micro'!$L125,"")</f>
        <v/>
      </c>
      <c r="AK117" s="21" t="str">
        <f>IF(AND('Atividades Micro'!$A125=AK$2,'Atividades Micro'!$K125&lt;&gt;""),'Atividades Micro'!$K125,"")</f>
        <v/>
      </c>
      <c r="AL117" s="21" t="str">
        <f>IF(AND('Atividades Micro'!$A125=AL$2,'Atividades Micro'!$L125&lt;&gt;""),'Atividades Micro'!$L125,"")</f>
        <v/>
      </c>
      <c r="AM117" s="21" t="str">
        <f>IF(AND('Atividades Micro'!$B125=AM$2,'Atividades Micro'!$K125&lt;&gt;""),'Atividades Micro'!$K125,"")</f>
        <v/>
      </c>
      <c r="AN117" s="21" t="str">
        <f>IF(AND('Atividades Micro'!$B125=AN$2,'Atividades Micro'!$L125&lt;&gt;""),'Atividades Micro'!$L125,"")</f>
        <v/>
      </c>
      <c r="AO117" s="21" t="str">
        <f>IF(AND('Atividades Micro'!$B125=AO$2,'Atividades Micro'!$K125&lt;&gt;""),'Atividades Micro'!$K125,"")</f>
        <v/>
      </c>
      <c r="AP117" s="21" t="str">
        <f>IF(AND('Atividades Micro'!$B125=AP$2,'Atividades Micro'!$L125&lt;&gt;""),'Atividades Micro'!$L125,"")</f>
        <v/>
      </c>
      <c r="AQ117" s="21" t="str">
        <f>IF(AND('Atividades Micro'!$A125=AQ$2,'Atividades Micro'!$K125&lt;&gt;""),'Atividades Micro'!$K125,"")</f>
        <v/>
      </c>
      <c r="AR117" s="21" t="str">
        <f>IF(AND('Atividades Micro'!$A125=AR$2,'Atividades Micro'!$L125&lt;&gt;""),'Atividades Micro'!$L125,"")</f>
        <v/>
      </c>
      <c r="AS117" s="21" t="str">
        <f>IF(AND('Atividades Micro'!$B125=AS$2,'Atividades Micro'!$K125&lt;&gt;""),'Atividades Micro'!$K125,"")</f>
        <v/>
      </c>
      <c r="AT117" s="21" t="str">
        <f>IF(AND('Atividades Micro'!$B125=AT$2,'Atividades Micro'!$L125&lt;&gt;""),'Atividades Micro'!$L125,"")</f>
        <v/>
      </c>
      <c r="AU117" s="21" t="str">
        <f>IF(AND('Atividades Micro'!$A125=AU$2,'Atividades Micro'!$K125&lt;&gt;""),'Atividades Micro'!$K125,"")</f>
        <v/>
      </c>
      <c r="AV117" s="21" t="str">
        <f>IF(AND('Atividades Micro'!$A125=AV$2,'Atividades Micro'!$L125&lt;&gt;""),'Atividades Micro'!$L125,"")</f>
        <v/>
      </c>
      <c r="AW117" s="21" t="str">
        <f>IF(AND('Atividades Micro'!$B125=AW$2,'Atividades Micro'!$K125&lt;&gt;""),'Atividades Micro'!$K125,"")</f>
        <v/>
      </c>
      <c r="AX117" s="21" t="str">
        <f>IF(AND('Atividades Micro'!$B125=AX$2,'Atividades Micro'!$L125&lt;&gt;""),'Atividades Micro'!$L125,"")</f>
        <v/>
      </c>
      <c r="AY117" s="21" t="str">
        <f>IF(AND('Atividades Micro'!$A125=AY$2,'Atividades Micro'!$K125&lt;&gt;""),'Atividades Micro'!$K125,"")</f>
        <v/>
      </c>
      <c r="AZ117" s="21" t="str">
        <f>IF(AND('Atividades Micro'!$A125=AZ$2,'Atividades Micro'!$L125&lt;&gt;""),'Atividades Micro'!$L125,"")</f>
        <v/>
      </c>
      <c r="BA117" s="21" t="str">
        <f>IF(AND('Atividades Micro'!$B125=BA$2,'Atividades Micro'!$K125&lt;&gt;""),'Atividades Micro'!$K125,"")</f>
        <v/>
      </c>
      <c r="BB117" s="21" t="str">
        <f>IF(AND('Atividades Micro'!$B125=BB$2,'Atividades Micro'!$L125&lt;&gt;""),'Atividades Micro'!$L125,"")</f>
        <v/>
      </c>
      <c r="BC117" s="21" t="str">
        <f>IF(AND('Atividades Micro'!$B125=BC$2,'Atividades Micro'!$G125="Macro",'Atividades Micro'!$K125&lt;&gt;""),'Atividades Micro'!$K125,"")</f>
        <v/>
      </c>
      <c r="BD117" s="21" t="str">
        <f>IF(AND('Atividades Micro'!$B125=BD$2,'Atividades Micro'!$G125="Macro",'Atividades Micro'!$K125&lt;&gt;""),'Atividades Micro'!$K125,"")</f>
        <v/>
      </c>
      <c r="BE117" s="21" t="str">
        <f>IF(AND('Atividades Micro'!$B125=BE$2,'Atividades Micro'!$G125="Macro",'Atividades Micro'!$K125&lt;&gt;""),'Atividades Micro'!$K125,"")</f>
        <v/>
      </c>
      <c r="BF117" s="21" t="str">
        <f>IF(AND('Atividades Micro'!$B125=BF$2,'Atividades Micro'!$G125="Macro",'Atividades Micro'!$K125&lt;&gt;""),'Atividades Micro'!$K125,"")</f>
        <v/>
      </c>
      <c r="BG117" s="21" t="str">
        <f>IF(AND('Atividades Micro'!$B125=BG$2,'Atividades Micro'!$G125="Macro",'Atividades Micro'!$K125&lt;&gt;""),'Atividades Micro'!$K125,"")</f>
        <v/>
      </c>
      <c r="BH117" s="21" t="str">
        <f>IF(AND('Atividades Micro'!$B125=BH$2,'Atividades Micro'!$G125="Macro",'Atividades Micro'!$K125&lt;&gt;""),'Atividades Micro'!$K125,"")</f>
        <v/>
      </c>
      <c r="BI117" s="21" t="str">
        <f>IF(AND('Atividades Micro'!$B125=BI$2,'Atividades Micro'!$G125="Macro",'Atividades Micro'!$K125&lt;&gt;""),'Atividades Micro'!$K125,"")</f>
        <v/>
      </c>
      <c r="BJ117" s="21" t="str">
        <f>IF(AND('Atividades Micro'!$B125=BJ$2,'Atividades Micro'!$G125="Macro",'Atividades Micro'!$K125&lt;&gt;""),'Atividades Micro'!$K125,"")</f>
        <v/>
      </c>
      <c r="BK117" s="21" t="str">
        <f>IF(AND('Atividades Micro'!$B125=BK$2,'Atividades Micro'!$G125="Macro",'Atividades Micro'!$K125&lt;&gt;""),'Atividades Micro'!$K125,"")</f>
        <v/>
      </c>
      <c r="BL117" s="21" t="str">
        <f>IF(AND('Atividades Micro'!$B125=BL$2,'Atividades Micro'!$G125="Macro",'Atividades Micro'!$K125&lt;&gt;""),'Atividades Micro'!$K125,"")</f>
        <v/>
      </c>
      <c r="BM117" s="21">
        <f>IF(AND('Atividades Micro'!$B125=BM$2,'Atividades Micro'!$G125="Macro",'Atividades Micro'!$K125&lt;&gt;""),'Atividades Micro'!$K125,"")</f>
        <v>46318</v>
      </c>
      <c r="BN117" s="21" t="str">
        <f>IF(AND('Atividades Micro'!$B125=BN$2,'Atividades Micro'!$G125="Macro",'Atividades Micro'!$K125&lt;&gt;""),'Atividades Micro'!$K125,"")</f>
        <v/>
      </c>
      <c r="BO117" s="21" t="str">
        <f>IF(AND('Atividades Micro'!$B125=BO$2,'Atividades Micro'!$G125="Macro",'Atividades Micro'!$K125&lt;&gt;""),'Atividades Micro'!$K125,"")</f>
        <v/>
      </c>
      <c r="BP117" s="21" t="str">
        <f>IF(AND('Atividades Micro'!$B125=BP$2,'Atividades Micro'!$G125="Macro",'Atividades Micro'!$K125&lt;&gt;""),'Atividades Micro'!$K125,"")</f>
        <v/>
      </c>
      <c r="BQ117" s="21" t="str">
        <f>IF(AND('Atividades Micro'!$B125=BQ$2,'Atividades Micro'!$G125="Macro",'Atividades Micro'!$K125&lt;&gt;""),'Atividades Micro'!$K125,"")</f>
        <v/>
      </c>
      <c r="BR117" s="21" t="str">
        <f>IF(AND('Atividades Micro'!$B125=BR$2,'Atividades Micro'!$G125="Macro",'Atividades Micro'!$K125&lt;&gt;""),'Atividades Micro'!$K125,"")</f>
        <v/>
      </c>
      <c r="BS117" s="21" t="str">
        <f>IF(AND('Atividades Micro'!$B125=BS$2,'Atividades Micro'!$G125="Macro",'Atividades Micro'!$K125&lt;&gt;""),'Atividades Micro'!$K125,"")</f>
        <v/>
      </c>
      <c r="BT117" s="21" t="str">
        <f>IF(AND('Atividades Micro'!$B125=BT$2,'Atividades Micro'!$G125="Macro",'Atividades Micro'!$K125&lt;&gt;""),'Atividades Micro'!$K125,"")</f>
        <v/>
      </c>
      <c r="BU117" s="21" t="str">
        <f>IF(AND('Atividades Micro'!$B125=BU$2,'Atividades Micro'!$G125="Macro",'Atividades Micro'!$K125&lt;&gt;""),'Atividades Micro'!$K125,"")</f>
        <v/>
      </c>
      <c r="BV117" s="21" t="str">
        <f>IF(AND('Atividades Micro'!$B125=BV$2,'Atividades Micro'!$G125="Macro",'Atividades Micro'!$K125&lt;&gt;""),'Atividades Micro'!$K125,"")</f>
        <v/>
      </c>
      <c r="BW117" s="21" t="str">
        <f>IF(AND('Atividades Micro'!$B125=BW$2,'Atividades Micro'!$G125="Macro",'Atividades Micro'!$K125&lt;&gt;""),'Atividades Micro'!$K125,"")</f>
        <v/>
      </c>
      <c r="BX117" s="21" t="str">
        <f>IF(AND('Atividades Micro'!$B125=BX$2,'Atividades Micro'!$G125="Macro",'Atividades Micro'!$K125&lt;&gt;""),'Atividades Micro'!$K125,"")</f>
        <v/>
      </c>
      <c r="BY117" s="21" t="str">
        <f>IF(AND('Atividades Micro'!$B125=BY$2,'Atividades Micro'!$G125="Macro",'Atividades Micro'!$K125&lt;&gt;""),'Atividades Micro'!$K125,"")</f>
        <v/>
      </c>
      <c r="BZ117" s="21" t="str">
        <f>IF(AND('Atividades Micro'!$B125=BZ$2,'Atividades Micro'!$G125="Macro",'Atividades Micro'!$K125&lt;&gt;""),'Atividades Micro'!$K125,"")</f>
        <v/>
      </c>
      <c r="CA117" s="21" t="str">
        <f>IF(AND('Atividades Micro'!$B125=CA$2,'Atividades Micro'!$G125="Macro",'Atividades Micro'!$K125&lt;&gt;""),'Atividades Micro'!$K125,"")</f>
        <v/>
      </c>
      <c r="CB117" s="21" t="str">
        <f>IF(AND('Atividades Micro'!$B125=CB$2,'Atividades Micro'!$G125="Macro",'Atividades Micro'!$K125&lt;&gt;""),'Atividades Micro'!$K125,"")</f>
        <v/>
      </c>
      <c r="CC117" s="21" t="str">
        <f>IF(AND('Atividades Micro'!$B125=CC$2,'Atividades Micro'!$G125="Macro",'Atividades Micro'!$K125&lt;&gt;""),'Atividades Micro'!$K125,"")</f>
        <v/>
      </c>
      <c r="CD117" s="21" t="str">
        <f>IF(AND('Atividades Micro'!$B125=CD$2,'Atividades Micro'!$G125="Micro",'Atividades Micro'!$K125&lt;&gt;""),'Atividades Micro'!$K125,"")</f>
        <v/>
      </c>
      <c r="CE117" s="21" t="str">
        <f>IF(AND('Atividades Micro'!$B125=CE$2,'Atividades Micro'!$G125="Micro",'Atividades Micro'!$K125&lt;&gt;""),'Atividades Micro'!$K125,"")</f>
        <v/>
      </c>
      <c r="CF117" s="21" t="str">
        <f>IF(AND('Atividades Micro'!$B125=CF$2,'Atividades Micro'!$G125="Micro",'Atividades Micro'!$K125&lt;&gt;""),'Atividades Micro'!$K125,"")</f>
        <v/>
      </c>
      <c r="CG117" s="21" t="str">
        <f>IF(AND('Atividades Micro'!$B125=CG$2,'Atividades Micro'!$G125="Micro",'Atividades Micro'!$K125&lt;&gt;""),'Atividades Micro'!$K125,"")</f>
        <v/>
      </c>
      <c r="CH117" s="21" t="str">
        <f>IF(AND('Atividades Micro'!$B125=CH$2,'Atividades Micro'!$G125="Micro",'Atividades Micro'!$K125&lt;&gt;""),'Atividades Micro'!$K125,"")</f>
        <v/>
      </c>
      <c r="CI117" s="21" t="str">
        <f>IF(AND('Atividades Micro'!$B125=CI$2,'Atividades Micro'!$G125="Micro",'Atividades Micro'!$K125&lt;&gt;""),'Atividades Micro'!$K125,"")</f>
        <v/>
      </c>
      <c r="CJ117" s="21" t="str">
        <f>IF(AND('Atividades Micro'!$B125=CJ$2,'Atividades Micro'!$G125="Micro",'Atividades Micro'!$K125&lt;&gt;""),'Atividades Micro'!$K125,"")</f>
        <v/>
      </c>
      <c r="CK117" s="21" t="str">
        <f>IF(AND('Atividades Micro'!$B125=CK$2,'Atividades Micro'!$G125="Micro",'Atividades Micro'!$K125&lt;&gt;""),'Atividades Micro'!$K125,"")</f>
        <v/>
      </c>
      <c r="CL117" s="21" t="str">
        <f>IF(AND('Atividades Micro'!$B125=CL$2,'Atividades Micro'!$G125="Micro",'Atividades Micro'!$K125&lt;&gt;""),'Atividades Micro'!$K125,"")</f>
        <v/>
      </c>
      <c r="CM117" s="21" t="str">
        <f>IF(AND('Atividades Micro'!$B125=CM$2,'Atividades Micro'!$G125="Micro",'Atividades Micro'!$K125&lt;&gt;""),'Atividades Micro'!$K125,"")</f>
        <v/>
      </c>
      <c r="CN117" s="21" t="str">
        <f>IF(AND('Atividades Micro'!$B125=CN$2,'Atividades Micro'!$G125="Micro",'Atividades Micro'!$K125&lt;&gt;""),'Atividades Micro'!$K125,"")</f>
        <v/>
      </c>
      <c r="CO117" s="21" t="str">
        <f>IF(AND('Atividades Micro'!$B125=CO$2,'Atividades Micro'!$G125="Micro",'Atividades Micro'!$K125&lt;&gt;""),'Atividades Micro'!$K125,"")</f>
        <v/>
      </c>
    </row>
    <row r="118" spans="1:93">
      <c r="A118" s="21" t="str">
        <f>IF(AND('Atividades Micro'!$A126=A$2,'Atividades Micro'!$K126&lt;&gt;""),'Atividades Micro'!$K126,"")</f>
        <v/>
      </c>
      <c r="B118" s="21" t="str">
        <f>IF(AND('Atividades Micro'!$A126=B$2,'Atividades Micro'!$L126&lt;&gt;""),'Atividades Micro'!$L126,"")</f>
        <v/>
      </c>
      <c r="C118" s="21" t="str">
        <f>IF(AND('Atividades Micro'!$A126=C$2,'Atividades Micro'!$K126&lt;&gt;""),'Atividades Micro'!$K126,"")</f>
        <v/>
      </c>
      <c r="D118" s="21" t="str">
        <f>IF(AND('Atividades Micro'!$A126=D$2,'Atividades Micro'!$L126&lt;&gt;""),'Atividades Micro'!$L126,"")</f>
        <v/>
      </c>
      <c r="E118" s="21" t="str">
        <f>IF(AND('Atividades Micro'!$A126=E$2,'Atividades Micro'!$K126&lt;&gt;""),'Atividades Micro'!$K126,"")</f>
        <v/>
      </c>
      <c r="F118" s="21" t="str">
        <f>IF(AND('Atividades Micro'!$A126=F$2,'Atividades Micro'!$L126&lt;&gt;""),'Atividades Micro'!$L126,"")</f>
        <v/>
      </c>
      <c r="G118" s="21" t="str">
        <f>IF(AND('Atividades Micro'!$A126=G$2,'Atividades Micro'!$K126&lt;&gt;""),'Atividades Micro'!$K126,"")</f>
        <v/>
      </c>
      <c r="H118" s="21" t="str">
        <f>IF(AND('Atividades Micro'!$A126=H$2,'Atividades Micro'!$L126&lt;&gt;""),'Atividades Micro'!$L126,"")</f>
        <v/>
      </c>
      <c r="I118" s="21" t="str">
        <f>IF(AND('Atividades Micro'!$A126=I$2,'Atividades Micro'!$K126&lt;&gt;""),'Atividades Micro'!$K126,"")</f>
        <v/>
      </c>
      <c r="J118" s="21" t="str">
        <f>IF(AND('Atividades Micro'!$A126=J$2,'Atividades Micro'!$L126&lt;&gt;""),'Atividades Micro'!$L126,"")</f>
        <v/>
      </c>
      <c r="K118" s="21" t="str">
        <f>IF(AND('Atividades Micro'!$B126=K$2,'Atividades Micro'!$K126&lt;&gt;""),'Atividades Micro'!$K126,"")</f>
        <v/>
      </c>
      <c r="L118" s="21" t="str">
        <f>IF(AND('Atividades Micro'!$B126=L$2,'Atividades Micro'!$L126&lt;&gt;""),'Atividades Micro'!$L126,"")</f>
        <v/>
      </c>
      <c r="M118" s="21" t="str">
        <f>IF(AND('Atividades Micro'!$B126=M$2,'Atividades Micro'!$K126&lt;&gt;""),'Atividades Micro'!$K126,"")</f>
        <v/>
      </c>
      <c r="N118" s="21" t="str">
        <f>IF(AND('Atividades Micro'!$B126=N$2,'Atividades Micro'!$L126&lt;&gt;""),'Atividades Micro'!$L126,"")</f>
        <v/>
      </c>
      <c r="O118" s="21" t="str">
        <f>IF(AND('Atividades Micro'!$A126=O$2,'Atividades Micro'!$K126&lt;&gt;""),'Atividades Micro'!$K126,"")</f>
        <v/>
      </c>
      <c r="P118" s="21" t="str">
        <f>IF(AND('Atividades Micro'!$A126=P$2,'Atividades Micro'!$L126&lt;&gt;""),'Atividades Micro'!$L126,"")</f>
        <v/>
      </c>
      <c r="Q118" s="21" t="str">
        <f>IF(AND('Atividades Micro'!$B126=Q$2,'Atividades Micro'!$K126&lt;&gt;""),'Atividades Micro'!$K126,"")</f>
        <v/>
      </c>
      <c r="R118" s="21" t="str">
        <f>IF(AND('Atividades Micro'!$B126=R$2,'Atividades Micro'!$L126&lt;&gt;""),'Atividades Micro'!$L126,"")</f>
        <v/>
      </c>
      <c r="S118" s="21">
        <f>IF(AND('Atividades Micro'!$A126=S$2,'Atividades Micro'!$K126&lt;&gt;""),'Atividades Micro'!$K126,"")</f>
        <v>46223</v>
      </c>
      <c r="T118" s="21">
        <f>IF(AND('Atividades Micro'!$A126=T$2,'Atividades Micro'!$L126&lt;&gt;""),'Atividades Micro'!$L126,"")</f>
        <v>46227</v>
      </c>
      <c r="U118" s="21">
        <f>IF(AND('Atividades Micro'!$B126=U$2,'Atividades Micro'!$K126&lt;&gt;""),'Atividades Micro'!$K126,"")</f>
        <v>46223</v>
      </c>
      <c r="V118" s="21">
        <f>IF(AND('Atividades Micro'!$B126=V$2,'Atividades Micro'!$L126&lt;&gt;""),'Atividades Micro'!$L126,"")</f>
        <v>46227</v>
      </c>
      <c r="W118" s="21" t="str">
        <f>IF(AND('Atividades Micro'!$B126=W$2,'Atividades Micro'!$K126&lt;&gt;""),'Atividades Micro'!$K126,"")</f>
        <v/>
      </c>
      <c r="X118" s="21" t="str">
        <f>IF(AND('Atividades Micro'!$B126=X$2,'Atividades Micro'!$L126&lt;&gt;""),'Atividades Micro'!$L126,"")</f>
        <v/>
      </c>
      <c r="Y118" s="21" t="str">
        <f>IF(AND('Atividades Micro'!$A126=Y$2,'Atividades Micro'!$K126&lt;&gt;""),'Atividades Micro'!$K126,"")</f>
        <v/>
      </c>
      <c r="Z118" s="21" t="str">
        <f>IF(AND('Atividades Micro'!$A126=Z$2,'Atividades Micro'!$L126&lt;&gt;""),'Atividades Micro'!$L126,"")</f>
        <v/>
      </c>
      <c r="AA118" s="21" t="str">
        <f>IF(AND('Atividades Micro'!$B126=AA$2,'Atividades Micro'!$K126&lt;&gt;""),'Atividades Micro'!$K126,"")</f>
        <v/>
      </c>
      <c r="AB118" s="21" t="str">
        <f>IF(AND('Atividades Micro'!$B126=AB$2,'Atividades Micro'!$L126&lt;&gt;""),'Atividades Micro'!$L126,"")</f>
        <v/>
      </c>
      <c r="AC118" s="21" t="str">
        <f>IF(AND('Atividades Micro'!$B126=AC$2,'Atividades Micro'!$K126&lt;&gt;""),'Atividades Micro'!$K126,"")</f>
        <v/>
      </c>
      <c r="AD118" s="21" t="str">
        <f>IF(AND('Atividades Micro'!$B126=AD$2,'Atividades Micro'!$L126&lt;&gt;""),'Atividades Micro'!$L126,"")</f>
        <v/>
      </c>
      <c r="AE118" s="21" t="str">
        <f>IF(AND('Atividades Micro'!$A126=AE$2,'Atividades Micro'!$K126&lt;&gt;""),'Atividades Micro'!$K126,"")</f>
        <v/>
      </c>
      <c r="AF118" s="21" t="str">
        <f>IF(AND('Atividades Micro'!$A126=AF$2,'Atividades Micro'!$L126&lt;&gt;""),'Atividades Micro'!$L126,"")</f>
        <v/>
      </c>
      <c r="AG118" s="21" t="str">
        <f>IF(AND('Atividades Micro'!$B126=AG$2,'Atividades Micro'!$K126&lt;&gt;""),'Atividades Micro'!$K126,"")</f>
        <v/>
      </c>
      <c r="AH118" s="21" t="str">
        <f>IF(AND('Atividades Micro'!$B126=AH$2,'Atividades Micro'!$L126&lt;&gt;""),'Atividades Micro'!$L126,"")</f>
        <v/>
      </c>
      <c r="AI118" s="21" t="str">
        <f>IF(AND('Atividades Micro'!$B126=AI$2,'Atividades Micro'!$K126&lt;&gt;""),'Atividades Micro'!$K126,"")</f>
        <v/>
      </c>
      <c r="AJ118" s="21" t="str">
        <f>IF(AND('Atividades Micro'!$B126=AJ$2,'Atividades Micro'!$L126&lt;&gt;""),'Atividades Micro'!$L126,"")</f>
        <v/>
      </c>
      <c r="AK118" s="21" t="str">
        <f>IF(AND('Atividades Micro'!$A126=AK$2,'Atividades Micro'!$K126&lt;&gt;""),'Atividades Micro'!$K126,"")</f>
        <v/>
      </c>
      <c r="AL118" s="21" t="str">
        <f>IF(AND('Atividades Micro'!$A126=AL$2,'Atividades Micro'!$L126&lt;&gt;""),'Atividades Micro'!$L126,"")</f>
        <v/>
      </c>
      <c r="AM118" s="21" t="str">
        <f>IF(AND('Atividades Micro'!$B126=AM$2,'Atividades Micro'!$K126&lt;&gt;""),'Atividades Micro'!$K126,"")</f>
        <v/>
      </c>
      <c r="AN118" s="21" t="str">
        <f>IF(AND('Atividades Micro'!$B126=AN$2,'Atividades Micro'!$L126&lt;&gt;""),'Atividades Micro'!$L126,"")</f>
        <v/>
      </c>
      <c r="AO118" s="21" t="str">
        <f>IF(AND('Atividades Micro'!$B126=AO$2,'Atividades Micro'!$K126&lt;&gt;""),'Atividades Micro'!$K126,"")</f>
        <v/>
      </c>
      <c r="AP118" s="21" t="str">
        <f>IF(AND('Atividades Micro'!$B126=AP$2,'Atividades Micro'!$L126&lt;&gt;""),'Atividades Micro'!$L126,"")</f>
        <v/>
      </c>
      <c r="AQ118" s="21" t="str">
        <f>IF(AND('Atividades Micro'!$A126=AQ$2,'Atividades Micro'!$K126&lt;&gt;""),'Atividades Micro'!$K126,"")</f>
        <v/>
      </c>
      <c r="AR118" s="21" t="str">
        <f>IF(AND('Atividades Micro'!$A126=AR$2,'Atividades Micro'!$L126&lt;&gt;""),'Atividades Micro'!$L126,"")</f>
        <v/>
      </c>
      <c r="AS118" s="21" t="str">
        <f>IF(AND('Atividades Micro'!$B126=AS$2,'Atividades Micro'!$K126&lt;&gt;""),'Atividades Micro'!$K126,"")</f>
        <v/>
      </c>
      <c r="AT118" s="21" t="str">
        <f>IF(AND('Atividades Micro'!$B126=AT$2,'Atividades Micro'!$L126&lt;&gt;""),'Atividades Micro'!$L126,"")</f>
        <v/>
      </c>
      <c r="AU118" s="21" t="str">
        <f>IF(AND('Atividades Micro'!$A126=AU$2,'Atividades Micro'!$K126&lt;&gt;""),'Atividades Micro'!$K126,"")</f>
        <v/>
      </c>
      <c r="AV118" s="21" t="str">
        <f>IF(AND('Atividades Micro'!$A126=AV$2,'Atividades Micro'!$L126&lt;&gt;""),'Atividades Micro'!$L126,"")</f>
        <v/>
      </c>
      <c r="AW118" s="21" t="str">
        <f>IF(AND('Atividades Micro'!$B126=AW$2,'Atividades Micro'!$K126&lt;&gt;""),'Atividades Micro'!$K126,"")</f>
        <v/>
      </c>
      <c r="AX118" s="21" t="str">
        <f>IF(AND('Atividades Micro'!$B126=AX$2,'Atividades Micro'!$L126&lt;&gt;""),'Atividades Micro'!$L126,"")</f>
        <v/>
      </c>
      <c r="AY118" s="21" t="str">
        <f>IF(AND('Atividades Micro'!$A126=AY$2,'Atividades Micro'!$K126&lt;&gt;""),'Atividades Micro'!$K126,"")</f>
        <v/>
      </c>
      <c r="AZ118" s="21" t="str">
        <f>IF(AND('Atividades Micro'!$A126=AZ$2,'Atividades Micro'!$L126&lt;&gt;""),'Atividades Micro'!$L126,"")</f>
        <v/>
      </c>
      <c r="BA118" s="21" t="str">
        <f>IF(AND('Atividades Micro'!$B126=BA$2,'Atividades Micro'!$K126&lt;&gt;""),'Atividades Micro'!$K126,"")</f>
        <v/>
      </c>
      <c r="BB118" s="21" t="str">
        <f>IF(AND('Atividades Micro'!$B126=BB$2,'Atividades Micro'!$L126&lt;&gt;""),'Atividades Micro'!$L126,"")</f>
        <v/>
      </c>
      <c r="BC118" s="21" t="str">
        <f>IF(AND('Atividades Micro'!$B126=BC$2,'Atividades Micro'!$G126="Macro",'Atividades Micro'!$K126&lt;&gt;""),'Atividades Micro'!$K126,"")</f>
        <v/>
      </c>
      <c r="BD118" s="21" t="str">
        <f>IF(AND('Atividades Micro'!$B126=BD$2,'Atividades Micro'!$G126="Macro",'Atividades Micro'!$K126&lt;&gt;""),'Atividades Micro'!$K126,"")</f>
        <v/>
      </c>
      <c r="BE118" s="21" t="str">
        <f>IF(AND('Atividades Micro'!$B126=BE$2,'Atividades Micro'!$G126="Macro",'Atividades Micro'!$K126&lt;&gt;""),'Atividades Micro'!$K126,"")</f>
        <v/>
      </c>
      <c r="BF118" s="21" t="str">
        <f>IF(AND('Atividades Micro'!$B126=BF$2,'Atividades Micro'!$G126="Macro",'Atividades Micro'!$K126&lt;&gt;""),'Atividades Micro'!$K126,"")</f>
        <v/>
      </c>
      <c r="BG118" s="21" t="str">
        <f>IF(AND('Atividades Micro'!$B126=BG$2,'Atividades Micro'!$G126="Macro",'Atividades Micro'!$K126&lt;&gt;""),'Atividades Micro'!$K126,"")</f>
        <v/>
      </c>
      <c r="BH118" s="21" t="str">
        <f>IF(AND('Atividades Micro'!$B126=BH$2,'Atividades Micro'!$G126="Macro",'Atividades Micro'!$K126&lt;&gt;""),'Atividades Micro'!$K126,"")</f>
        <v/>
      </c>
      <c r="BI118" s="21" t="str">
        <f>IF(AND('Atividades Micro'!$B126=BI$2,'Atividades Micro'!$G126="Macro",'Atividades Micro'!$K126&lt;&gt;""),'Atividades Micro'!$K126,"")</f>
        <v/>
      </c>
      <c r="BJ118" s="21" t="str">
        <f>IF(AND('Atividades Micro'!$B126=BJ$2,'Atividades Micro'!$G126="Macro",'Atividades Micro'!$K126&lt;&gt;""),'Atividades Micro'!$K126,"")</f>
        <v/>
      </c>
      <c r="BK118" s="21" t="str">
        <f>IF(AND('Atividades Micro'!$B126=BK$2,'Atividades Micro'!$G126="Macro",'Atividades Micro'!$K126&lt;&gt;""),'Atividades Micro'!$K126,"")</f>
        <v/>
      </c>
      <c r="BL118" s="21" t="str">
        <f>IF(AND('Atividades Micro'!$B126=BL$2,'Atividades Micro'!$G126="Macro",'Atividades Micro'!$K126&lt;&gt;""),'Atividades Micro'!$K126,"")</f>
        <v/>
      </c>
      <c r="BM118" s="21" t="str">
        <f>IF(AND('Atividades Micro'!$B126=BM$2,'Atividades Micro'!$G126="Macro",'Atividades Micro'!$K126&lt;&gt;""),'Atividades Micro'!$K126,"")</f>
        <v/>
      </c>
      <c r="BN118" s="21" t="str">
        <f>IF(AND('Atividades Micro'!$B126=BN$2,'Atividades Micro'!$G126="Macro",'Atividades Micro'!$K126&lt;&gt;""),'Atividades Micro'!$K126,"")</f>
        <v/>
      </c>
      <c r="BO118" s="21" t="str">
        <f>IF(AND('Atividades Micro'!$B126=BO$2,'Atividades Micro'!$G126="Macro",'Atividades Micro'!$K126&lt;&gt;""),'Atividades Micro'!$K126,"")</f>
        <v/>
      </c>
      <c r="BP118" s="21" t="str">
        <f>IF(AND('Atividades Micro'!$B126=BP$2,'Atividades Micro'!$G126="Macro",'Atividades Micro'!$K126&lt;&gt;""),'Atividades Micro'!$K126,"")</f>
        <v/>
      </c>
      <c r="BQ118" s="21" t="str">
        <f>IF(AND('Atividades Micro'!$B126=BQ$2,'Atividades Micro'!$G126="Macro",'Atividades Micro'!$K126&lt;&gt;""),'Atividades Micro'!$K126,"")</f>
        <v/>
      </c>
      <c r="BR118" s="21" t="str">
        <f>IF(AND('Atividades Micro'!$B126=BR$2,'Atividades Micro'!$G126="Macro",'Atividades Micro'!$K126&lt;&gt;""),'Atividades Micro'!$K126,"")</f>
        <v/>
      </c>
      <c r="BS118" s="21" t="str">
        <f>IF(AND('Atividades Micro'!$B126=BS$2,'Atividades Micro'!$G126="Macro",'Atividades Micro'!$K126&lt;&gt;""),'Atividades Micro'!$K126,"")</f>
        <v/>
      </c>
      <c r="BT118" s="21" t="str">
        <f>IF(AND('Atividades Micro'!$B126=BT$2,'Atividades Micro'!$G126="Macro",'Atividades Micro'!$K126&lt;&gt;""),'Atividades Micro'!$K126,"")</f>
        <v/>
      </c>
      <c r="BU118" s="21" t="str">
        <f>IF(AND('Atividades Micro'!$B126=BU$2,'Atividades Micro'!$G126="Macro",'Atividades Micro'!$K126&lt;&gt;""),'Atividades Micro'!$K126,"")</f>
        <v/>
      </c>
      <c r="BV118" s="21" t="str">
        <f>IF(AND('Atividades Micro'!$B126=BV$2,'Atividades Micro'!$G126="Macro",'Atividades Micro'!$K126&lt;&gt;""),'Atividades Micro'!$K126,"")</f>
        <v/>
      </c>
      <c r="BW118" s="21" t="str">
        <f>IF(AND('Atividades Micro'!$B126=BW$2,'Atividades Micro'!$G126="Macro",'Atividades Micro'!$K126&lt;&gt;""),'Atividades Micro'!$K126,"")</f>
        <v/>
      </c>
      <c r="BX118" s="21" t="str">
        <f>IF(AND('Atividades Micro'!$B126=BX$2,'Atividades Micro'!$G126="Macro",'Atividades Micro'!$K126&lt;&gt;""),'Atividades Micro'!$K126,"")</f>
        <v/>
      </c>
      <c r="BY118" s="21" t="str">
        <f>IF(AND('Atividades Micro'!$B126=BY$2,'Atividades Micro'!$G126="Macro",'Atividades Micro'!$K126&lt;&gt;""),'Atividades Micro'!$K126,"")</f>
        <v/>
      </c>
      <c r="BZ118" s="21" t="str">
        <f>IF(AND('Atividades Micro'!$B126=BZ$2,'Atividades Micro'!$G126="Macro",'Atividades Micro'!$K126&lt;&gt;""),'Atividades Micro'!$K126,"")</f>
        <v/>
      </c>
      <c r="CA118" s="21" t="str">
        <f>IF(AND('Atividades Micro'!$B126=CA$2,'Atividades Micro'!$G126="Macro",'Atividades Micro'!$K126&lt;&gt;""),'Atividades Micro'!$K126,"")</f>
        <v/>
      </c>
      <c r="CB118" s="21" t="str">
        <f>IF(AND('Atividades Micro'!$B126=CB$2,'Atividades Micro'!$G126="Macro",'Atividades Micro'!$K126&lt;&gt;""),'Atividades Micro'!$K126,"")</f>
        <v/>
      </c>
      <c r="CC118" s="21" t="str">
        <f>IF(AND('Atividades Micro'!$B126=CC$2,'Atividades Micro'!$G126="Macro",'Atividades Micro'!$K126&lt;&gt;""),'Atividades Micro'!$K126,"")</f>
        <v/>
      </c>
      <c r="CD118" s="21" t="str">
        <f>IF(AND('Atividades Micro'!$B126=CD$2,'Atividades Micro'!$G126="Micro",'Atividades Micro'!$K126&lt;&gt;""),'Atividades Micro'!$K126,"")</f>
        <v/>
      </c>
      <c r="CE118" s="21" t="str">
        <f>IF(AND('Atividades Micro'!$B126=CE$2,'Atividades Micro'!$G126="Micro",'Atividades Micro'!$K126&lt;&gt;""),'Atividades Micro'!$K126,"")</f>
        <v/>
      </c>
      <c r="CF118" s="21" t="str">
        <f>IF(AND('Atividades Micro'!$B126=CF$2,'Atividades Micro'!$G126="Micro",'Atividades Micro'!$K126&lt;&gt;""),'Atividades Micro'!$K126,"")</f>
        <v/>
      </c>
      <c r="CG118" s="21">
        <f>IF(AND('Atividades Micro'!$B126=CG$2,'Atividades Micro'!$G126="Micro",'Atividades Micro'!$K126&lt;&gt;""),'Atividades Micro'!$K126,"")</f>
        <v>46223</v>
      </c>
      <c r="CH118" s="21" t="str">
        <f>IF(AND('Atividades Micro'!$B126=CH$2,'Atividades Micro'!$G126="Micro",'Atividades Micro'!$K126&lt;&gt;""),'Atividades Micro'!$K126,"")</f>
        <v/>
      </c>
      <c r="CI118" s="21" t="str">
        <f>IF(AND('Atividades Micro'!$B126=CI$2,'Atividades Micro'!$G126="Micro",'Atividades Micro'!$K126&lt;&gt;""),'Atividades Micro'!$K126,"")</f>
        <v/>
      </c>
      <c r="CJ118" s="21" t="str">
        <f>IF(AND('Atividades Micro'!$B126=CJ$2,'Atividades Micro'!$G126="Micro",'Atividades Micro'!$K126&lt;&gt;""),'Atividades Micro'!$K126,"")</f>
        <v/>
      </c>
      <c r="CK118" s="21" t="str">
        <f>IF(AND('Atividades Micro'!$B126=CK$2,'Atividades Micro'!$G126="Micro",'Atividades Micro'!$K126&lt;&gt;""),'Atividades Micro'!$K126,"")</f>
        <v/>
      </c>
      <c r="CL118" s="21" t="str">
        <f>IF(AND('Atividades Micro'!$B126=CL$2,'Atividades Micro'!$G126="Micro",'Atividades Micro'!$K126&lt;&gt;""),'Atividades Micro'!$K126,"")</f>
        <v/>
      </c>
      <c r="CM118" s="21" t="str">
        <f>IF(AND('Atividades Micro'!$B126=CM$2,'Atividades Micro'!$G126="Micro",'Atividades Micro'!$K126&lt;&gt;""),'Atividades Micro'!$K126,"")</f>
        <v/>
      </c>
      <c r="CN118" s="21" t="str">
        <f>IF(AND('Atividades Micro'!$B126=CN$2,'Atividades Micro'!$G126="Micro",'Atividades Micro'!$K126&lt;&gt;""),'Atividades Micro'!$K126,"")</f>
        <v/>
      </c>
      <c r="CO118" s="21" t="str">
        <f>IF(AND('Atividades Micro'!$B126=CO$2,'Atividades Micro'!$G126="Micro",'Atividades Micro'!$K126&lt;&gt;""),'Atividades Micro'!$K126,"")</f>
        <v/>
      </c>
    </row>
    <row r="119" spans="1:93">
      <c r="A119" s="21" t="str">
        <f>IF(AND('Atividades Micro'!$A127=A$2,'Atividades Micro'!$K127&lt;&gt;""),'Atividades Micro'!$K127,"")</f>
        <v/>
      </c>
      <c r="B119" s="21" t="str">
        <f>IF(AND('Atividades Micro'!$A127=B$2,'Atividades Micro'!$L127&lt;&gt;""),'Atividades Micro'!$L127,"")</f>
        <v/>
      </c>
      <c r="C119" s="21" t="str">
        <f>IF(AND('Atividades Micro'!$A127=C$2,'Atividades Micro'!$K127&lt;&gt;""),'Atividades Micro'!$K127,"")</f>
        <v/>
      </c>
      <c r="D119" s="21" t="str">
        <f>IF(AND('Atividades Micro'!$A127=D$2,'Atividades Micro'!$L127&lt;&gt;""),'Atividades Micro'!$L127,"")</f>
        <v/>
      </c>
      <c r="E119" s="21" t="str">
        <f>IF(AND('Atividades Micro'!$A127=E$2,'Atividades Micro'!$K127&lt;&gt;""),'Atividades Micro'!$K127,"")</f>
        <v/>
      </c>
      <c r="F119" s="21" t="str">
        <f>IF(AND('Atividades Micro'!$A127=F$2,'Atividades Micro'!$L127&lt;&gt;""),'Atividades Micro'!$L127,"")</f>
        <v/>
      </c>
      <c r="G119" s="21" t="str">
        <f>IF(AND('Atividades Micro'!$A127=G$2,'Atividades Micro'!$K127&lt;&gt;""),'Atividades Micro'!$K127,"")</f>
        <v/>
      </c>
      <c r="H119" s="21" t="str">
        <f>IF(AND('Atividades Micro'!$A127=H$2,'Atividades Micro'!$L127&lt;&gt;""),'Atividades Micro'!$L127,"")</f>
        <v/>
      </c>
      <c r="I119" s="21" t="str">
        <f>IF(AND('Atividades Micro'!$A127=I$2,'Atividades Micro'!$K127&lt;&gt;""),'Atividades Micro'!$K127,"")</f>
        <v/>
      </c>
      <c r="J119" s="21" t="str">
        <f>IF(AND('Atividades Micro'!$A127=J$2,'Atividades Micro'!$L127&lt;&gt;""),'Atividades Micro'!$L127,"")</f>
        <v/>
      </c>
      <c r="K119" s="21" t="str">
        <f>IF(AND('Atividades Micro'!$B127=K$2,'Atividades Micro'!$K127&lt;&gt;""),'Atividades Micro'!$K127,"")</f>
        <v/>
      </c>
      <c r="L119" s="21" t="str">
        <f>IF(AND('Atividades Micro'!$B127=L$2,'Atividades Micro'!$L127&lt;&gt;""),'Atividades Micro'!$L127,"")</f>
        <v/>
      </c>
      <c r="M119" s="21" t="str">
        <f>IF(AND('Atividades Micro'!$B127=M$2,'Atividades Micro'!$K127&lt;&gt;""),'Atividades Micro'!$K127,"")</f>
        <v/>
      </c>
      <c r="N119" s="21" t="str">
        <f>IF(AND('Atividades Micro'!$B127=N$2,'Atividades Micro'!$L127&lt;&gt;""),'Atividades Micro'!$L127,"")</f>
        <v/>
      </c>
      <c r="O119" s="21" t="str">
        <f>IF(AND('Atividades Micro'!$A127=O$2,'Atividades Micro'!$K127&lt;&gt;""),'Atividades Micro'!$K127,"")</f>
        <v/>
      </c>
      <c r="P119" s="21" t="str">
        <f>IF(AND('Atividades Micro'!$A127=P$2,'Atividades Micro'!$L127&lt;&gt;""),'Atividades Micro'!$L127,"")</f>
        <v/>
      </c>
      <c r="Q119" s="21" t="str">
        <f>IF(AND('Atividades Micro'!$B127=Q$2,'Atividades Micro'!$K127&lt;&gt;""),'Atividades Micro'!$K127,"")</f>
        <v/>
      </c>
      <c r="R119" s="21" t="str">
        <f>IF(AND('Atividades Micro'!$B127=R$2,'Atividades Micro'!$L127&lt;&gt;""),'Atividades Micro'!$L127,"")</f>
        <v/>
      </c>
      <c r="S119" s="21">
        <f>IF(AND('Atividades Micro'!$A127=S$2,'Atividades Micro'!$K127&lt;&gt;""),'Atividades Micro'!$K127,"")</f>
        <v>46318</v>
      </c>
      <c r="T119" s="21" t="str">
        <f>IF(AND('Atividades Micro'!$A127=T$2,'Atividades Micro'!$L127&lt;&gt;""),'Atividades Micro'!$L127,"")</f>
        <v/>
      </c>
      <c r="U119" s="21">
        <f>IF(AND('Atividades Micro'!$B127=U$2,'Atividades Micro'!$K127&lt;&gt;""),'Atividades Micro'!$K127,"")</f>
        <v>46318</v>
      </c>
      <c r="V119" s="21" t="str">
        <f>IF(AND('Atividades Micro'!$B127=V$2,'Atividades Micro'!$L127&lt;&gt;""),'Atividades Micro'!$L127,"")</f>
        <v/>
      </c>
      <c r="W119" s="21" t="str">
        <f>IF(AND('Atividades Micro'!$B127=W$2,'Atividades Micro'!$K127&lt;&gt;""),'Atividades Micro'!$K127,"")</f>
        <v/>
      </c>
      <c r="X119" s="21" t="str">
        <f>IF(AND('Atividades Micro'!$B127=X$2,'Atividades Micro'!$L127&lt;&gt;""),'Atividades Micro'!$L127,"")</f>
        <v/>
      </c>
      <c r="Y119" s="21" t="str">
        <f>IF(AND('Atividades Micro'!$A127=Y$2,'Atividades Micro'!$K127&lt;&gt;""),'Atividades Micro'!$K127,"")</f>
        <v/>
      </c>
      <c r="Z119" s="21" t="str">
        <f>IF(AND('Atividades Micro'!$A127=Z$2,'Atividades Micro'!$L127&lt;&gt;""),'Atividades Micro'!$L127,"")</f>
        <v/>
      </c>
      <c r="AA119" s="21" t="str">
        <f>IF(AND('Atividades Micro'!$B127=AA$2,'Atividades Micro'!$K127&lt;&gt;""),'Atividades Micro'!$K127,"")</f>
        <v/>
      </c>
      <c r="AB119" s="21" t="str">
        <f>IF(AND('Atividades Micro'!$B127=AB$2,'Atividades Micro'!$L127&lt;&gt;""),'Atividades Micro'!$L127,"")</f>
        <v/>
      </c>
      <c r="AC119" s="21" t="str">
        <f>IF(AND('Atividades Micro'!$B127=AC$2,'Atividades Micro'!$K127&lt;&gt;""),'Atividades Micro'!$K127,"")</f>
        <v/>
      </c>
      <c r="AD119" s="21" t="str">
        <f>IF(AND('Atividades Micro'!$B127=AD$2,'Atividades Micro'!$L127&lt;&gt;""),'Atividades Micro'!$L127,"")</f>
        <v/>
      </c>
      <c r="AE119" s="21" t="str">
        <f>IF(AND('Atividades Micro'!$A127=AE$2,'Atividades Micro'!$K127&lt;&gt;""),'Atividades Micro'!$K127,"")</f>
        <v/>
      </c>
      <c r="AF119" s="21" t="str">
        <f>IF(AND('Atividades Micro'!$A127=AF$2,'Atividades Micro'!$L127&lt;&gt;""),'Atividades Micro'!$L127,"")</f>
        <v/>
      </c>
      <c r="AG119" s="21" t="str">
        <f>IF(AND('Atividades Micro'!$B127=AG$2,'Atividades Micro'!$K127&lt;&gt;""),'Atividades Micro'!$K127,"")</f>
        <v/>
      </c>
      <c r="AH119" s="21" t="str">
        <f>IF(AND('Atividades Micro'!$B127=AH$2,'Atividades Micro'!$L127&lt;&gt;""),'Atividades Micro'!$L127,"")</f>
        <v/>
      </c>
      <c r="AI119" s="21" t="str">
        <f>IF(AND('Atividades Micro'!$B127=AI$2,'Atividades Micro'!$K127&lt;&gt;""),'Atividades Micro'!$K127,"")</f>
        <v/>
      </c>
      <c r="AJ119" s="21" t="str">
        <f>IF(AND('Atividades Micro'!$B127=AJ$2,'Atividades Micro'!$L127&lt;&gt;""),'Atividades Micro'!$L127,"")</f>
        <v/>
      </c>
      <c r="AK119" s="21" t="str">
        <f>IF(AND('Atividades Micro'!$A127=AK$2,'Atividades Micro'!$K127&lt;&gt;""),'Atividades Micro'!$K127,"")</f>
        <v/>
      </c>
      <c r="AL119" s="21" t="str">
        <f>IF(AND('Atividades Micro'!$A127=AL$2,'Atividades Micro'!$L127&lt;&gt;""),'Atividades Micro'!$L127,"")</f>
        <v/>
      </c>
      <c r="AM119" s="21" t="str">
        <f>IF(AND('Atividades Micro'!$B127=AM$2,'Atividades Micro'!$K127&lt;&gt;""),'Atividades Micro'!$K127,"")</f>
        <v/>
      </c>
      <c r="AN119" s="21" t="str">
        <f>IF(AND('Atividades Micro'!$B127=AN$2,'Atividades Micro'!$L127&lt;&gt;""),'Atividades Micro'!$L127,"")</f>
        <v/>
      </c>
      <c r="AO119" s="21" t="str">
        <f>IF(AND('Atividades Micro'!$B127=AO$2,'Atividades Micro'!$K127&lt;&gt;""),'Atividades Micro'!$K127,"")</f>
        <v/>
      </c>
      <c r="AP119" s="21" t="str">
        <f>IF(AND('Atividades Micro'!$B127=AP$2,'Atividades Micro'!$L127&lt;&gt;""),'Atividades Micro'!$L127,"")</f>
        <v/>
      </c>
      <c r="AQ119" s="21" t="str">
        <f>IF(AND('Atividades Micro'!$A127=AQ$2,'Atividades Micro'!$K127&lt;&gt;""),'Atividades Micro'!$K127,"")</f>
        <v/>
      </c>
      <c r="AR119" s="21" t="str">
        <f>IF(AND('Atividades Micro'!$A127=AR$2,'Atividades Micro'!$L127&lt;&gt;""),'Atividades Micro'!$L127,"")</f>
        <v/>
      </c>
      <c r="AS119" s="21" t="str">
        <f>IF(AND('Atividades Micro'!$B127=AS$2,'Atividades Micro'!$K127&lt;&gt;""),'Atividades Micro'!$K127,"")</f>
        <v/>
      </c>
      <c r="AT119" s="21" t="str">
        <f>IF(AND('Atividades Micro'!$B127=AT$2,'Atividades Micro'!$L127&lt;&gt;""),'Atividades Micro'!$L127,"")</f>
        <v/>
      </c>
      <c r="AU119" s="21" t="str">
        <f>IF(AND('Atividades Micro'!$A127=AU$2,'Atividades Micro'!$K127&lt;&gt;""),'Atividades Micro'!$K127,"")</f>
        <v/>
      </c>
      <c r="AV119" s="21" t="str">
        <f>IF(AND('Atividades Micro'!$A127=AV$2,'Atividades Micro'!$L127&lt;&gt;""),'Atividades Micro'!$L127,"")</f>
        <v/>
      </c>
      <c r="AW119" s="21" t="str">
        <f>IF(AND('Atividades Micro'!$B127=AW$2,'Atividades Micro'!$K127&lt;&gt;""),'Atividades Micro'!$K127,"")</f>
        <v/>
      </c>
      <c r="AX119" s="21" t="str">
        <f>IF(AND('Atividades Micro'!$B127=AX$2,'Atividades Micro'!$L127&lt;&gt;""),'Atividades Micro'!$L127,"")</f>
        <v/>
      </c>
      <c r="AY119" s="21" t="str">
        <f>IF(AND('Atividades Micro'!$A127=AY$2,'Atividades Micro'!$K127&lt;&gt;""),'Atividades Micro'!$K127,"")</f>
        <v/>
      </c>
      <c r="AZ119" s="21" t="str">
        <f>IF(AND('Atividades Micro'!$A127=AZ$2,'Atividades Micro'!$L127&lt;&gt;""),'Atividades Micro'!$L127,"")</f>
        <v/>
      </c>
      <c r="BA119" s="21" t="str">
        <f>IF(AND('Atividades Micro'!$B127=BA$2,'Atividades Micro'!$K127&lt;&gt;""),'Atividades Micro'!$K127,"")</f>
        <v/>
      </c>
      <c r="BB119" s="21" t="str">
        <f>IF(AND('Atividades Micro'!$B127=BB$2,'Atividades Micro'!$L127&lt;&gt;""),'Atividades Micro'!$L127,"")</f>
        <v/>
      </c>
      <c r="BC119" s="21" t="str">
        <f>IF(AND('Atividades Micro'!$B127=BC$2,'Atividades Micro'!$G127="Macro",'Atividades Micro'!$K127&lt;&gt;""),'Atividades Micro'!$K127,"")</f>
        <v/>
      </c>
      <c r="BD119" s="21" t="str">
        <f>IF(AND('Atividades Micro'!$B127=BD$2,'Atividades Micro'!$G127="Macro",'Atividades Micro'!$K127&lt;&gt;""),'Atividades Micro'!$K127,"")</f>
        <v/>
      </c>
      <c r="BE119" s="21" t="str">
        <f>IF(AND('Atividades Micro'!$B127=BE$2,'Atividades Micro'!$G127="Macro",'Atividades Micro'!$K127&lt;&gt;""),'Atividades Micro'!$K127,"")</f>
        <v/>
      </c>
      <c r="BF119" s="21" t="str">
        <f>IF(AND('Atividades Micro'!$B127=BF$2,'Atividades Micro'!$G127="Macro",'Atividades Micro'!$K127&lt;&gt;""),'Atividades Micro'!$K127,"")</f>
        <v/>
      </c>
      <c r="BG119" s="21" t="str">
        <f>IF(AND('Atividades Micro'!$B127=BG$2,'Atividades Micro'!$G127="Macro",'Atividades Micro'!$K127&lt;&gt;""),'Atividades Micro'!$K127,"")</f>
        <v/>
      </c>
      <c r="BH119" s="21" t="str">
        <f>IF(AND('Atividades Micro'!$B127=BH$2,'Atividades Micro'!$G127="Macro",'Atividades Micro'!$K127&lt;&gt;""),'Atividades Micro'!$K127,"")</f>
        <v/>
      </c>
      <c r="BI119" s="21" t="str">
        <f>IF(AND('Atividades Micro'!$B127=BI$2,'Atividades Micro'!$G127="Macro",'Atividades Micro'!$K127&lt;&gt;""),'Atividades Micro'!$K127,"")</f>
        <v/>
      </c>
      <c r="BJ119" s="21" t="str">
        <f>IF(AND('Atividades Micro'!$B127=BJ$2,'Atividades Micro'!$G127="Macro",'Atividades Micro'!$K127&lt;&gt;""),'Atividades Micro'!$K127,"")</f>
        <v/>
      </c>
      <c r="BK119" s="21" t="str">
        <f>IF(AND('Atividades Micro'!$B127=BK$2,'Atividades Micro'!$G127="Macro",'Atividades Micro'!$K127&lt;&gt;""),'Atividades Micro'!$K127,"")</f>
        <v/>
      </c>
      <c r="BL119" s="21" t="str">
        <f>IF(AND('Atividades Micro'!$B127=BL$2,'Atividades Micro'!$G127="Macro",'Atividades Micro'!$K127&lt;&gt;""),'Atividades Micro'!$K127,"")</f>
        <v/>
      </c>
      <c r="BM119" s="21" t="str">
        <f>IF(AND('Atividades Micro'!$B127=BM$2,'Atividades Micro'!$G127="Macro",'Atividades Micro'!$K127&lt;&gt;""),'Atividades Micro'!$K127,"")</f>
        <v/>
      </c>
      <c r="BN119" s="21" t="str">
        <f>IF(AND('Atividades Micro'!$B127=BN$2,'Atividades Micro'!$G127="Macro",'Atividades Micro'!$K127&lt;&gt;""),'Atividades Micro'!$K127,"")</f>
        <v/>
      </c>
      <c r="BO119" s="21" t="str">
        <f>IF(AND('Atividades Micro'!$B127=BO$2,'Atividades Micro'!$G127="Macro",'Atividades Micro'!$K127&lt;&gt;""),'Atividades Micro'!$K127,"")</f>
        <v/>
      </c>
      <c r="BP119" s="21" t="str">
        <f>IF(AND('Atividades Micro'!$B127=BP$2,'Atividades Micro'!$G127="Macro",'Atividades Micro'!$K127&lt;&gt;""),'Atividades Micro'!$K127,"")</f>
        <v/>
      </c>
      <c r="BQ119" s="21" t="str">
        <f>IF(AND('Atividades Micro'!$B127=BQ$2,'Atividades Micro'!$G127="Macro",'Atividades Micro'!$K127&lt;&gt;""),'Atividades Micro'!$K127,"")</f>
        <v/>
      </c>
      <c r="BR119" s="21" t="str">
        <f>IF(AND('Atividades Micro'!$B127=BR$2,'Atividades Micro'!$G127="Macro",'Atividades Micro'!$K127&lt;&gt;""),'Atividades Micro'!$K127,"")</f>
        <v/>
      </c>
      <c r="BS119" s="21" t="str">
        <f>IF(AND('Atividades Micro'!$B127=BS$2,'Atividades Micro'!$G127="Macro",'Atividades Micro'!$K127&lt;&gt;""),'Atividades Micro'!$K127,"")</f>
        <v/>
      </c>
      <c r="BT119" s="21" t="str">
        <f>IF(AND('Atividades Micro'!$B127=BT$2,'Atividades Micro'!$G127="Macro",'Atividades Micro'!$K127&lt;&gt;""),'Atividades Micro'!$K127,"")</f>
        <v/>
      </c>
      <c r="BU119" s="21" t="str">
        <f>IF(AND('Atividades Micro'!$B127=BU$2,'Atividades Micro'!$G127="Macro",'Atividades Micro'!$K127&lt;&gt;""),'Atividades Micro'!$K127,"")</f>
        <v/>
      </c>
      <c r="BV119" s="21" t="str">
        <f>IF(AND('Atividades Micro'!$B127=BV$2,'Atividades Micro'!$G127="Macro",'Atividades Micro'!$K127&lt;&gt;""),'Atividades Micro'!$K127,"")</f>
        <v/>
      </c>
      <c r="BW119" s="21" t="str">
        <f>IF(AND('Atividades Micro'!$B127=BW$2,'Atividades Micro'!$G127="Macro",'Atividades Micro'!$K127&lt;&gt;""),'Atividades Micro'!$K127,"")</f>
        <v/>
      </c>
      <c r="BX119" s="21" t="str">
        <f>IF(AND('Atividades Micro'!$B127=BX$2,'Atividades Micro'!$G127="Macro",'Atividades Micro'!$K127&lt;&gt;""),'Atividades Micro'!$K127,"")</f>
        <v/>
      </c>
      <c r="BY119" s="21" t="str">
        <f>IF(AND('Atividades Micro'!$B127=BY$2,'Atividades Micro'!$G127="Macro",'Atividades Micro'!$K127&lt;&gt;""),'Atividades Micro'!$K127,"")</f>
        <v/>
      </c>
      <c r="BZ119" s="21" t="str">
        <f>IF(AND('Atividades Micro'!$B127=BZ$2,'Atividades Micro'!$G127="Macro",'Atividades Micro'!$K127&lt;&gt;""),'Atividades Micro'!$K127,"")</f>
        <v/>
      </c>
      <c r="CA119" s="21" t="str">
        <f>IF(AND('Atividades Micro'!$B127=CA$2,'Atividades Micro'!$G127="Macro",'Atividades Micro'!$K127&lt;&gt;""),'Atividades Micro'!$K127,"")</f>
        <v/>
      </c>
      <c r="CB119" s="21" t="str">
        <f>IF(AND('Atividades Micro'!$B127=CB$2,'Atividades Micro'!$G127="Macro",'Atividades Micro'!$K127&lt;&gt;""),'Atividades Micro'!$K127,"")</f>
        <v/>
      </c>
      <c r="CC119" s="21" t="str">
        <f>IF(AND('Atividades Micro'!$B127=CC$2,'Atividades Micro'!$G127="Macro",'Atividades Micro'!$K127&lt;&gt;""),'Atividades Micro'!$K127,"")</f>
        <v/>
      </c>
      <c r="CD119" s="21" t="str">
        <f>IF(AND('Atividades Micro'!$B127=CD$2,'Atividades Micro'!$G127="Micro",'Atividades Micro'!$K127&lt;&gt;""),'Atividades Micro'!$K127,"")</f>
        <v/>
      </c>
      <c r="CE119" s="21" t="str">
        <f>IF(AND('Atividades Micro'!$B127=CE$2,'Atividades Micro'!$G127="Micro",'Atividades Micro'!$K127&lt;&gt;""),'Atividades Micro'!$K127,"")</f>
        <v/>
      </c>
      <c r="CF119" s="21" t="str">
        <f>IF(AND('Atividades Micro'!$B127=CF$2,'Atividades Micro'!$G127="Micro",'Atividades Micro'!$K127&lt;&gt;""),'Atividades Micro'!$K127,"")</f>
        <v/>
      </c>
      <c r="CG119" s="21">
        <f>IF(AND('Atividades Micro'!$B127=CG$2,'Atividades Micro'!$G127="Micro",'Atividades Micro'!$K127&lt;&gt;""),'Atividades Micro'!$K127,"")</f>
        <v>46318</v>
      </c>
      <c r="CH119" s="21" t="str">
        <f>IF(AND('Atividades Micro'!$B127=CH$2,'Atividades Micro'!$G127="Micro",'Atividades Micro'!$K127&lt;&gt;""),'Atividades Micro'!$K127,"")</f>
        <v/>
      </c>
      <c r="CI119" s="21" t="str">
        <f>IF(AND('Atividades Micro'!$B127=CI$2,'Atividades Micro'!$G127="Micro",'Atividades Micro'!$K127&lt;&gt;""),'Atividades Micro'!$K127,"")</f>
        <v/>
      </c>
      <c r="CJ119" s="21" t="str">
        <f>IF(AND('Atividades Micro'!$B127=CJ$2,'Atividades Micro'!$G127="Micro",'Atividades Micro'!$K127&lt;&gt;""),'Atividades Micro'!$K127,"")</f>
        <v/>
      </c>
      <c r="CK119" s="21" t="str">
        <f>IF(AND('Atividades Micro'!$B127=CK$2,'Atividades Micro'!$G127="Micro",'Atividades Micro'!$K127&lt;&gt;""),'Atividades Micro'!$K127,"")</f>
        <v/>
      </c>
      <c r="CL119" s="21" t="str">
        <f>IF(AND('Atividades Micro'!$B127=CL$2,'Atividades Micro'!$G127="Micro",'Atividades Micro'!$K127&lt;&gt;""),'Atividades Micro'!$K127,"")</f>
        <v/>
      </c>
      <c r="CM119" s="21" t="str">
        <f>IF(AND('Atividades Micro'!$B127=CM$2,'Atividades Micro'!$G127="Micro",'Atividades Micro'!$K127&lt;&gt;""),'Atividades Micro'!$K127,"")</f>
        <v/>
      </c>
      <c r="CN119" s="21" t="str">
        <f>IF(AND('Atividades Micro'!$B127=CN$2,'Atividades Micro'!$G127="Micro",'Atividades Micro'!$K127&lt;&gt;""),'Atividades Micro'!$K127,"")</f>
        <v/>
      </c>
      <c r="CO119" s="21" t="str">
        <f>IF(AND('Atividades Micro'!$B127=CO$2,'Atividades Micro'!$G127="Micro",'Atividades Micro'!$K127&lt;&gt;""),'Atividades Micro'!$K127,"")</f>
        <v/>
      </c>
    </row>
    <row r="120" spans="1:93">
      <c r="A120" s="21" t="str">
        <f>IF(AND('Atividades Micro'!$A128=A$2,'Atividades Micro'!$K128&lt;&gt;""),'Atividades Micro'!$K128,"")</f>
        <v/>
      </c>
      <c r="B120" s="21" t="str">
        <f>IF(AND('Atividades Micro'!$A128=B$2,'Atividades Micro'!$L128&lt;&gt;""),'Atividades Micro'!$L128,"")</f>
        <v/>
      </c>
      <c r="C120" s="21" t="str">
        <f>IF(AND('Atividades Micro'!$A128=C$2,'Atividades Micro'!$K128&lt;&gt;""),'Atividades Micro'!$K128,"")</f>
        <v/>
      </c>
      <c r="D120" s="21" t="str">
        <f>IF(AND('Atividades Micro'!$A128=D$2,'Atividades Micro'!$L128&lt;&gt;""),'Atividades Micro'!$L128,"")</f>
        <v/>
      </c>
      <c r="E120" s="21" t="str">
        <f>IF(AND('Atividades Micro'!$A128=E$2,'Atividades Micro'!$K128&lt;&gt;""),'Atividades Micro'!$K128,"")</f>
        <v/>
      </c>
      <c r="F120" s="21" t="str">
        <f>IF(AND('Atividades Micro'!$A128=F$2,'Atividades Micro'!$L128&lt;&gt;""),'Atividades Micro'!$L128,"")</f>
        <v/>
      </c>
      <c r="G120" s="21" t="str">
        <f>IF(AND('Atividades Micro'!$A128=G$2,'Atividades Micro'!$K128&lt;&gt;""),'Atividades Micro'!$K128,"")</f>
        <v/>
      </c>
      <c r="H120" s="21" t="str">
        <f>IF(AND('Atividades Micro'!$A128=H$2,'Atividades Micro'!$L128&lt;&gt;""),'Atividades Micro'!$L128,"")</f>
        <v/>
      </c>
      <c r="I120" s="21" t="str">
        <f>IF(AND('Atividades Micro'!$A128=I$2,'Atividades Micro'!$K128&lt;&gt;""),'Atividades Micro'!$K128,"")</f>
        <v/>
      </c>
      <c r="J120" s="21" t="str">
        <f>IF(AND('Atividades Micro'!$A128=J$2,'Atividades Micro'!$L128&lt;&gt;""),'Atividades Micro'!$L128,"")</f>
        <v/>
      </c>
      <c r="K120" s="21" t="str">
        <f>IF(AND('Atividades Micro'!$B128=K$2,'Atividades Micro'!$K128&lt;&gt;""),'Atividades Micro'!$K128,"")</f>
        <v/>
      </c>
      <c r="L120" s="21" t="str">
        <f>IF(AND('Atividades Micro'!$B128=L$2,'Atividades Micro'!$L128&lt;&gt;""),'Atividades Micro'!$L128,"")</f>
        <v/>
      </c>
      <c r="M120" s="21" t="str">
        <f>IF(AND('Atividades Micro'!$B128=M$2,'Atividades Micro'!$K128&lt;&gt;""),'Atividades Micro'!$K128,"")</f>
        <v/>
      </c>
      <c r="N120" s="21" t="str">
        <f>IF(AND('Atividades Micro'!$B128=N$2,'Atividades Micro'!$L128&lt;&gt;""),'Atividades Micro'!$L128,"")</f>
        <v/>
      </c>
      <c r="O120" s="21" t="str">
        <f>IF(AND('Atividades Micro'!$A128=O$2,'Atividades Micro'!$K128&lt;&gt;""),'Atividades Micro'!$K128,"")</f>
        <v/>
      </c>
      <c r="P120" s="21" t="str">
        <f>IF(AND('Atividades Micro'!$A128=P$2,'Atividades Micro'!$L128&lt;&gt;""),'Atividades Micro'!$L128,"")</f>
        <v/>
      </c>
      <c r="Q120" s="21" t="str">
        <f>IF(AND('Atividades Micro'!$B128=Q$2,'Atividades Micro'!$K128&lt;&gt;""),'Atividades Micro'!$K128,"")</f>
        <v/>
      </c>
      <c r="R120" s="21" t="str">
        <f>IF(AND('Atividades Micro'!$B128=R$2,'Atividades Micro'!$L128&lt;&gt;""),'Atividades Micro'!$L128,"")</f>
        <v/>
      </c>
      <c r="S120" s="21" t="str">
        <f>IF(AND('Atividades Micro'!$A128=S$2,'Atividades Micro'!$K128&lt;&gt;""),'Atividades Micro'!$K128,"")</f>
        <v/>
      </c>
      <c r="T120" s="21" t="str">
        <f>IF(AND('Atividades Micro'!$A128=T$2,'Atividades Micro'!$L128&lt;&gt;""),'Atividades Micro'!$L128,"")</f>
        <v/>
      </c>
      <c r="U120" s="21" t="str">
        <f>IF(AND('Atividades Micro'!$B128=U$2,'Atividades Micro'!$K128&lt;&gt;""),'Atividades Micro'!$K128,"")</f>
        <v/>
      </c>
      <c r="V120" s="21" t="str">
        <f>IF(AND('Atividades Micro'!$B128=V$2,'Atividades Micro'!$L128&lt;&gt;""),'Atividades Micro'!$L128,"")</f>
        <v/>
      </c>
      <c r="W120" s="21" t="str">
        <f>IF(AND('Atividades Micro'!$B128=W$2,'Atividades Micro'!$K128&lt;&gt;""),'Atividades Micro'!$K128,"")</f>
        <v/>
      </c>
      <c r="X120" s="21" t="str">
        <f>IF(AND('Atividades Micro'!$B128=X$2,'Atividades Micro'!$L128&lt;&gt;""),'Atividades Micro'!$L128,"")</f>
        <v/>
      </c>
      <c r="Y120" s="21" t="str">
        <f>IF(AND('Atividades Micro'!$A128=Y$2,'Atividades Micro'!$K128&lt;&gt;""),'Atividades Micro'!$K128,"")</f>
        <v/>
      </c>
      <c r="Z120" s="21" t="str">
        <f>IF(AND('Atividades Micro'!$A128=Z$2,'Atividades Micro'!$L128&lt;&gt;""),'Atividades Micro'!$L128,"")</f>
        <v/>
      </c>
      <c r="AA120" s="21" t="str">
        <f>IF(AND('Atividades Micro'!$B128=AA$2,'Atividades Micro'!$K128&lt;&gt;""),'Atividades Micro'!$K128,"")</f>
        <v/>
      </c>
      <c r="AB120" s="21" t="str">
        <f>IF(AND('Atividades Micro'!$B128=AB$2,'Atividades Micro'!$L128&lt;&gt;""),'Atividades Micro'!$L128,"")</f>
        <v/>
      </c>
      <c r="AC120" s="21" t="str">
        <f>IF(AND('Atividades Micro'!$B128=AC$2,'Atividades Micro'!$K128&lt;&gt;""),'Atividades Micro'!$K128,"")</f>
        <v/>
      </c>
      <c r="AD120" s="21" t="str">
        <f>IF(AND('Atividades Micro'!$B128=AD$2,'Atividades Micro'!$L128&lt;&gt;""),'Atividades Micro'!$L128,"")</f>
        <v/>
      </c>
      <c r="AE120" s="21" t="str">
        <f>IF(AND('Atividades Micro'!$A128=AE$2,'Atividades Micro'!$K128&lt;&gt;""),'Atividades Micro'!$K128,"")</f>
        <v/>
      </c>
      <c r="AF120" s="21" t="str">
        <f>IF(AND('Atividades Micro'!$A128=AF$2,'Atividades Micro'!$L128&lt;&gt;""),'Atividades Micro'!$L128,"")</f>
        <v/>
      </c>
      <c r="AG120" s="21" t="str">
        <f>IF(AND('Atividades Micro'!$B128=AG$2,'Atividades Micro'!$K128&lt;&gt;""),'Atividades Micro'!$K128,"")</f>
        <v/>
      </c>
      <c r="AH120" s="21" t="str">
        <f>IF(AND('Atividades Micro'!$B128=AH$2,'Atividades Micro'!$L128&lt;&gt;""),'Atividades Micro'!$L128,"")</f>
        <v/>
      </c>
      <c r="AI120" s="21" t="str">
        <f>IF(AND('Atividades Micro'!$B128=AI$2,'Atividades Micro'!$K128&lt;&gt;""),'Atividades Micro'!$K128,"")</f>
        <v/>
      </c>
      <c r="AJ120" s="21" t="str">
        <f>IF(AND('Atividades Micro'!$B128=AJ$2,'Atividades Micro'!$L128&lt;&gt;""),'Atividades Micro'!$L128,"")</f>
        <v/>
      </c>
      <c r="AK120" s="21" t="str">
        <f>IF(AND('Atividades Micro'!$A128=AK$2,'Atividades Micro'!$K128&lt;&gt;""),'Atividades Micro'!$K128,"")</f>
        <v/>
      </c>
      <c r="AL120" s="21" t="str">
        <f>IF(AND('Atividades Micro'!$A128=AL$2,'Atividades Micro'!$L128&lt;&gt;""),'Atividades Micro'!$L128,"")</f>
        <v/>
      </c>
      <c r="AM120" s="21" t="str">
        <f>IF(AND('Atividades Micro'!$B128=AM$2,'Atividades Micro'!$K128&lt;&gt;""),'Atividades Micro'!$K128,"")</f>
        <v/>
      </c>
      <c r="AN120" s="21" t="str">
        <f>IF(AND('Atividades Micro'!$B128=AN$2,'Atividades Micro'!$L128&lt;&gt;""),'Atividades Micro'!$L128,"")</f>
        <v/>
      </c>
      <c r="AO120" s="21" t="str">
        <f>IF(AND('Atividades Micro'!$B128=AO$2,'Atividades Micro'!$K128&lt;&gt;""),'Atividades Micro'!$K128,"")</f>
        <v/>
      </c>
      <c r="AP120" s="21" t="str">
        <f>IF(AND('Atividades Micro'!$B128=AP$2,'Atividades Micro'!$L128&lt;&gt;""),'Atividades Micro'!$L128,"")</f>
        <v/>
      </c>
      <c r="AQ120" s="21" t="str">
        <f>IF(AND('Atividades Micro'!$A128=AQ$2,'Atividades Micro'!$K128&lt;&gt;""),'Atividades Micro'!$K128,"")</f>
        <v/>
      </c>
      <c r="AR120" s="21" t="str">
        <f>IF(AND('Atividades Micro'!$A128=AR$2,'Atividades Micro'!$L128&lt;&gt;""),'Atividades Micro'!$L128,"")</f>
        <v/>
      </c>
      <c r="AS120" s="21" t="str">
        <f>IF(AND('Atividades Micro'!$B128=AS$2,'Atividades Micro'!$K128&lt;&gt;""),'Atividades Micro'!$K128,"")</f>
        <v/>
      </c>
      <c r="AT120" s="21" t="str">
        <f>IF(AND('Atividades Micro'!$B128=AT$2,'Atividades Micro'!$L128&lt;&gt;""),'Atividades Micro'!$L128,"")</f>
        <v/>
      </c>
      <c r="AU120" s="21" t="str">
        <f>IF(AND('Atividades Micro'!$A128=AU$2,'Atividades Micro'!$K128&lt;&gt;""),'Atividades Micro'!$K128,"")</f>
        <v/>
      </c>
      <c r="AV120" s="21" t="str">
        <f>IF(AND('Atividades Micro'!$A128=AV$2,'Atividades Micro'!$L128&lt;&gt;""),'Atividades Micro'!$L128,"")</f>
        <v/>
      </c>
      <c r="AW120" s="21" t="str">
        <f>IF(AND('Atividades Micro'!$B128=AW$2,'Atividades Micro'!$K128&lt;&gt;""),'Atividades Micro'!$K128,"")</f>
        <v/>
      </c>
      <c r="AX120" s="21" t="str">
        <f>IF(AND('Atividades Micro'!$B128=AX$2,'Atividades Micro'!$L128&lt;&gt;""),'Atividades Micro'!$L128,"")</f>
        <v/>
      </c>
      <c r="AY120" s="21" t="str">
        <f>IF(AND('Atividades Micro'!$A128=AY$2,'Atividades Micro'!$K128&lt;&gt;""),'Atividades Micro'!$K128,"")</f>
        <v/>
      </c>
      <c r="AZ120" s="21" t="str">
        <f>IF(AND('Atividades Micro'!$A128=AZ$2,'Atividades Micro'!$L128&lt;&gt;""),'Atividades Micro'!$L128,"")</f>
        <v/>
      </c>
      <c r="BA120" s="21" t="str">
        <f>IF(AND('Atividades Micro'!$B128=BA$2,'Atividades Micro'!$K128&lt;&gt;""),'Atividades Micro'!$K128,"")</f>
        <v/>
      </c>
      <c r="BB120" s="21" t="str">
        <f>IF(AND('Atividades Micro'!$B128=BB$2,'Atividades Micro'!$L128&lt;&gt;""),'Atividades Micro'!$L128,"")</f>
        <v/>
      </c>
      <c r="BC120" s="21" t="str">
        <f>IF(AND('Atividades Micro'!$B128=BC$2,'Atividades Micro'!$G128="Macro",'Atividades Micro'!$K128&lt;&gt;""),'Atividades Micro'!$K128,"")</f>
        <v/>
      </c>
      <c r="BD120" s="21" t="str">
        <f>IF(AND('Atividades Micro'!$B128=BD$2,'Atividades Micro'!$G128="Macro",'Atividades Micro'!$K128&lt;&gt;""),'Atividades Micro'!$K128,"")</f>
        <v/>
      </c>
      <c r="BE120" s="21" t="str">
        <f>IF(AND('Atividades Micro'!$B128=BE$2,'Atividades Micro'!$G128="Macro",'Atividades Micro'!$K128&lt;&gt;""),'Atividades Micro'!$K128,"")</f>
        <v/>
      </c>
      <c r="BF120" s="21" t="str">
        <f>IF(AND('Atividades Micro'!$B128=BF$2,'Atividades Micro'!$G128="Macro",'Atividades Micro'!$K128&lt;&gt;""),'Atividades Micro'!$K128,"")</f>
        <v/>
      </c>
      <c r="BG120" s="21" t="str">
        <f>IF(AND('Atividades Micro'!$B128=BG$2,'Atividades Micro'!$G128="Macro",'Atividades Micro'!$K128&lt;&gt;""),'Atividades Micro'!$K128,"")</f>
        <v/>
      </c>
      <c r="BH120" s="21" t="str">
        <f>IF(AND('Atividades Micro'!$B128=BH$2,'Atividades Micro'!$G128="Macro",'Atividades Micro'!$K128&lt;&gt;""),'Atividades Micro'!$K128,"")</f>
        <v/>
      </c>
      <c r="BI120" s="21" t="str">
        <f>IF(AND('Atividades Micro'!$B128=BI$2,'Atividades Micro'!$G128="Macro",'Atividades Micro'!$K128&lt;&gt;""),'Atividades Micro'!$K128,"")</f>
        <v/>
      </c>
      <c r="BJ120" s="21" t="str">
        <f>IF(AND('Atividades Micro'!$B128=BJ$2,'Atividades Micro'!$G128="Macro",'Atividades Micro'!$K128&lt;&gt;""),'Atividades Micro'!$K128,"")</f>
        <v/>
      </c>
      <c r="BK120" s="21" t="str">
        <f>IF(AND('Atividades Micro'!$B128=BK$2,'Atividades Micro'!$G128="Macro",'Atividades Micro'!$K128&lt;&gt;""),'Atividades Micro'!$K128,"")</f>
        <v/>
      </c>
      <c r="BL120" s="21" t="str">
        <f>IF(AND('Atividades Micro'!$B128=BL$2,'Atividades Micro'!$G128="Macro",'Atividades Micro'!$K128&lt;&gt;""),'Atividades Micro'!$K128,"")</f>
        <v/>
      </c>
      <c r="BM120" s="21" t="str">
        <f>IF(AND('Atividades Micro'!$B128=BM$2,'Atividades Micro'!$G128="Macro",'Atividades Micro'!$K128&lt;&gt;""),'Atividades Micro'!$K128,"")</f>
        <v/>
      </c>
      <c r="BN120" s="21" t="str">
        <f>IF(AND('Atividades Micro'!$B128=BN$2,'Atividades Micro'!$G128="Macro",'Atividades Micro'!$K128&lt;&gt;""),'Atividades Micro'!$K128,"")</f>
        <v/>
      </c>
      <c r="BO120" s="21" t="str">
        <f>IF(AND('Atividades Micro'!$B128=BO$2,'Atividades Micro'!$G128="Macro",'Atividades Micro'!$K128&lt;&gt;""),'Atividades Micro'!$K128,"")</f>
        <v/>
      </c>
      <c r="BP120" s="21" t="str">
        <f>IF(AND('Atividades Micro'!$B128=BP$2,'Atividades Micro'!$G128="Macro",'Atividades Micro'!$K128&lt;&gt;""),'Atividades Micro'!$K128,"")</f>
        <v/>
      </c>
      <c r="BQ120" s="21" t="str">
        <f>IF(AND('Atividades Micro'!$B128=BQ$2,'Atividades Micro'!$G128="Macro",'Atividades Micro'!$K128&lt;&gt;""),'Atividades Micro'!$K128,"")</f>
        <v/>
      </c>
      <c r="BR120" s="21" t="str">
        <f>IF(AND('Atividades Micro'!$B128=BR$2,'Atividades Micro'!$G128="Macro",'Atividades Micro'!$K128&lt;&gt;""),'Atividades Micro'!$K128,"")</f>
        <v/>
      </c>
      <c r="BS120" s="21" t="str">
        <f>IF(AND('Atividades Micro'!$B128=BS$2,'Atividades Micro'!$G128="Macro",'Atividades Micro'!$K128&lt;&gt;""),'Atividades Micro'!$K128,"")</f>
        <v/>
      </c>
      <c r="BT120" s="21" t="str">
        <f>IF(AND('Atividades Micro'!$B128=BT$2,'Atividades Micro'!$G128="Macro",'Atividades Micro'!$K128&lt;&gt;""),'Atividades Micro'!$K128,"")</f>
        <v/>
      </c>
      <c r="BU120" s="21" t="str">
        <f>IF(AND('Atividades Micro'!$B128=BU$2,'Atividades Micro'!$G128="Macro",'Atividades Micro'!$K128&lt;&gt;""),'Atividades Micro'!$K128,"")</f>
        <v/>
      </c>
      <c r="BV120" s="21" t="str">
        <f>IF(AND('Atividades Micro'!$B128=BV$2,'Atividades Micro'!$G128="Macro",'Atividades Micro'!$K128&lt;&gt;""),'Atividades Micro'!$K128,"")</f>
        <v/>
      </c>
      <c r="BW120" s="21" t="str">
        <f>IF(AND('Atividades Micro'!$B128=BW$2,'Atividades Micro'!$G128="Macro",'Atividades Micro'!$K128&lt;&gt;""),'Atividades Micro'!$K128,"")</f>
        <v/>
      </c>
      <c r="BX120" s="21" t="str">
        <f>IF(AND('Atividades Micro'!$B128=BX$2,'Atividades Micro'!$G128="Macro",'Atividades Micro'!$K128&lt;&gt;""),'Atividades Micro'!$K128,"")</f>
        <v/>
      </c>
      <c r="BY120" s="21" t="str">
        <f>IF(AND('Atividades Micro'!$B128=BY$2,'Atividades Micro'!$G128="Macro",'Atividades Micro'!$K128&lt;&gt;""),'Atividades Micro'!$K128,"")</f>
        <v/>
      </c>
      <c r="BZ120" s="21" t="str">
        <f>IF(AND('Atividades Micro'!$B128=BZ$2,'Atividades Micro'!$G128="Macro",'Atividades Micro'!$K128&lt;&gt;""),'Atividades Micro'!$K128,"")</f>
        <v/>
      </c>
      <c r="CA120" s="21" t="str">
        <f>IF(AND('Atividades Micro'!$B128=CA$2,'Atividades Micro'!$G128="Macro",'Atividades Micro'!$K128&lt;&gt;""),'Atividades Micro'!$K128,"")</f>
        <v/>
      </c>
      <c r="CB120" s="21" t="str">
        <f>IF(AND('Atividades Micro'!$B128=CB$2,'Atividades Micro'!$G128="Macro",'Atividades Micro'!$K128&lt;&gt;""),'Atividades Micro'!$K128,"")</f>
        <v/>
      </c>
      <c r="CC120" s="21" t="str">
        <f>IF(AND('Atividades Micro'!$B128=CC$2,'Atividades Micro'!$G128="Macro",'Atividades Micro'!$K128&lt;&gt;""),'Atividades Micro'!$K128,"")</f>
        <v/>
      </c>
      <c r="CD120" s="21" t="str">
        <f>IF(AND('Atividades Micro'!$B128=CD$2,'Atividades Micro'!$G128="Micro",'Atividades Micro'!$K128&lt;&gt;""),'Atividades Micro'!$K128,"")</f>
        <v/>
      </c>
      <c r="CE120" s="21" t="str">
        <f>IF(AND('Atividades Micro'!$B128=CE$2,'Atividades Micro'!$G128="Micro",'Atividades Micro'!$K128&lt;&gt;""),'Atividades Micro'!$K128,"")</f>
        <v/>
      </c>
      <c r="CF120" s="21" t="str">
        <f>IF(AND('Atividades Micro'!$B128=CF$2,'Atividades Micro'!$G128="Micro",'Atividades Micro'!$K128&lt;&gt;""),'Atividades Micro'!$K128,"")</f>
        <v/>
      </c>
      <c r="CG120" s="21" t="str">
        <f>IF(AND('Atividades Micro'!$B128=CG$2,'Atividades Micro'!$G128="Micro",'Atividades Micro'!$K128&lt;&gt;""),'Atividades Micro'!$K128,"")</f>
        <v/>
      </c>
      <c r="CH120" s="21" t="str">
        <f>IF(AND('Atividades Micro'!$B128=CH$2,'Atividades Micro'!$G128="Micro",'Atividades Micro'!$K128&lt;&gt;""),'Atividades Micro'!$K128,"")</f>
        <v/>
      </c>
      <c r="CI120" s="21" t="str">
        <f>IF(AND('Atividades Micro'!$B128=CI$2,'Atividades Micro'!$G128="Micro",'Atividades Micro'!$K128&lt;&gt;""),'Atividades Micro'!$K128,"")</f>
        <v/>
      </c>
      <c r="CJ120" s="21" t="str">
        <f>IF(AND('Atividades Micro'!$B128=CJ$2,'Atividades Micro'!$G128="Micro",'Atividades Micro'!$K128&lt;&gt;""),'Atividades Micro'!$K128,"")</f>
        <v/>
      </c>
      <c r="CK120" s="21" t="str">
        <f>IF(AND('Atividades Micro'!$B128=CK$2,'Atividades Micro'!$G128="Micro",'Atividades Micro'!$K128&lt;&gt;""),'Atividades Micro'!$K128,"")</f>
        <v/>
      </c>
      <c r="CL120" s="21" t="str">
        <f>IF(AND('Atividades Micro'!$B128=CL$2,'Atividades Micro'!$G128="Micro",'Atividades Micro'!$K128&lt;&gt;""),'Atividades Micro'!$K128,"")</f>
        <v/>
      </c>
      <c r="CM120" s="21" t="str">
        <f>IF(AND('Atividades Micro'!$B128=CM$2,'Atividades Micro'!$G128="Micro",'Atividades Micro'!$K128&lt;&gt;""),'Atividades Micro'!$K128,"")</f>
        <v/>
      </c>
      <c r="CN120" s="21" t="str">
        <f>IF(AND('Atividades Micro'!$B128=CN$2,'Atividades Micro'!$G128="Micro",'Atividades Micro'!$K128&lt;&gt;""),'Atividades Micro'!$K128,"")</f>
        <v/>
      </c>
      <c r="CO120" s="21" t="str">
        <f>IF(AND('Atividades Micro'!$B128=CO$2,'Atividades Micro'!$G128="Micro",'Atividades Micro'!$K128&lt;&gt;""),'Atividades Micro'!$K128,"")</f>
        <v/>
      </c>
    </row>
    <row r="121" spans="1:93">
      <c r="A121" s="21" t="str">
        <f>IF(AND('Atividades Micro'!$A129=A$2,'Atividades Micro'!$K129&lt;&gt;""),'Atividades Micro'!$K129,"")</f>
        <v/>
      </c>
      <c r="B121" s="21" t="str">
        <f>IF(AND('Atividades Micro'!$A129=B$2,'Atividades Micro'!$L129&lt;&gt;""),'Atividades Micro'!$L129,"")</f>
        <v/>
      </c>
      <c r="C121" s="21" t="str">
        <f>IF(AND('Atividades Micro'!$A129=C$2,'Atividades Micro'!$K129&lt;&gt;""),'Atividades Micro'!$K129,"")</f>
        <v/>
      </c>
      <c r="D121" s="21" t="str">
        <f>IF(AND('Atividades Micro'!$A129=D$2,'Atividades Micro'!$L129&lt;&gt;""),'Atividades Micro'!$L129,"")</f>
        <v/>
      </c>
      <c r="E121" s="21" t="str">
        <f>IF(AND('Atividades Micro'!$A129=E$2,'Atividades Micro'!$K129&lt;&gt;""),'Atividades Micro'!$K129,"")</f>
        <v/>
      </c>
      <c r="F121" s="21" t="str">
        <f>IF(AND('Atividades Micro'!$A129=F$2,'Atividades Micro'!$L129&lt;&gt;""),'Atividades Micro'!$L129,"")</f>
        <v/>
      </c>
      <c r="G121" s="21" t="str">
        <f>IF(AND('Atividades Micro'!$A129=G$2,'Atividades Micro'!$K129&lt;&gt;""),'Atividades Micro'!$K129,"")</f>
        <v/>
      </c>
      <c r="H121" s="21" t="str">
        <f>IF(AND('Atividades Micro'!$A129=H$2,'Atividades Micro'!$L129&lt;&gt;""),'Atividades Micro'!$L129,"")</f>
        <v/>
      </c>
      <c r="I121" s="21" t="str">
        <f>IF(AND('Atividades Micro'!$A129=I$2,'Atividades Micro'!$K129&lt;&gt;""),'Atividades Micro'!$K129,"")</f>
        <v/>
      </c>
      <c r="J121" s="21" t="str">
        <f>IF(AND('Atividades Micro'!$A129=J$2,'Atividades Micro'!$L129&lt;&gt;""),'Atividades Micro'!$L129,"")</f>
        <v/>
      </c>
      <c r="K121" s="21" t="str">
        <f>IF(AND('Atividades Micro'!$B129=K$2,'Atividades Micro'!$K129&lt;&gt;""),'Atividades Micro'!$K129,"")</f>
        <v/>
      </c>
      <c r="L121" s="21" t="str">
        <f>IF(AND('Atividades Micro'!$B129=L$2,'Atividades Micro'!$L129&lt;&gt;""),'Atividades Micro'!$L129,"")</f>
        <v/>
      </c>
      <c r="M121" s="21" t="str">
        <f>IF(AND('Atividades Micro'!$B129=M$2,'Atividades Micro'!$K129&lt;&gt;""),'Atividades Micro'!$K129,"")</f>
        <v/>
      </c>
      <c r="N121" s="21" t="str">
        <f>IF(AND('Atividades Micro'!$B129=N$2,'Atividades Micro'!$L129&lt;&gt;""),'Atividades Micro'!$L129,"")</f>
        <v/>
      </c>
      <c r="O121" s="21" t="str">
        <f>IF(AND('Atividades Micro'!$A129=O$2,'Atividades Micro'!$K129&lt;&gt;""),'Atividades Micro'!$K129,"")</f>
        <v/>
      </c>
      <c r="P121" s="21" t="str">
        <f>IF(AND('Atividades Micro'!$A129=P$2,'Atividades Micro'!$L129&lt;&gt;""),'Atividades Micro'!$L129,"")</f>
        <v/>
      </c>
      <c r="Q121" s="21" t="str">
        <f>IF(AND('Atividades Micro'!$B129=Q$2,'Atividades Micro'!$K129&lt;&gt;""),'Atividades Micro'!$K129,"")</f>
        <v/>
      </c>
      <c r="R121" s="21" t="str">
        <f>IF(AND('Atividades Micro'!$B129=R$2,'Atividades Micro'!$L129&lt;&gt;""),'Atividades Micro'!$L129,"")</f>
        <v/>
      </c>
      <c r="S121" s="21">
        <f>IF(AND('Atividades Micro'!$A129=S$2,'Atividades Micro'!$K129&lt;&gt;""),'Atividades Micro'!$K129,"")</f>
        <v>46240</v>
      </c>
      <c r="T121" s="21" t="str">
        <f>IF(AND('Atividades Micro'!$A129=T$2,'Atividades Micro'!$L129&lt;&gt;""),'Atividades Micro'!$L129,"")</f>
        <v/>
      </c>
      <c r="U121" s="21">
        <f>IF(AND('Atividades Micro'!$B129=U$2,'Atividades Micro'!$K129&lt;&gt;""),'Atividades Micro'!$K129,"")</f>
        <v>46240</v>
      </c>
      <c r="V121" s="21" t="str">
        <f>IF(AND('Atividades Micro'!$B129=V$2,'Atividades Micro'!$L129&lt;&gt;""),'Atividades Micro'!$L129,"")</f>
        <v/>
      </c>
      <c r="W121" s="21" t="str">
        <f>IF(AND('Atividades Micro'!$B129=W$2,'Atividades Micro'!$K129&lt;&gt;""),'Atividades Micro'!$K129,"")</f>
        <v/>
      </c>
      <c r="X121" s="21" t="str">
        <f>IF(AND('Atividades Micro'!$B129=X$2,'Atividades Micro'!$L129&lt;&gt;""),'Atividades Micro'!$L129,"")</f>
        <v/>
      </c>
      <c r="Y121" s="21" t="str">
        <f>IF(AND('Atividades Micro'!$A129=Y$2,'Atividades Micro'!$K129&lt;&gt;""),'Atividades Micro'!$K129,"")</f>
        <v/>
      </c>
      <c r="Z121" s="21" t="str">
        <f>IF(AND('Atividades Micro'!$A129=Z$2,'Atividades Micro'!$L129&lt;&gt;""),'Atividades Micro'!$L129,"")</f>
        <v/>
      </c>
      <c r="AA121" s="21" t="str">
        <f>IF(AND('Atividades Micro'!$B129=AA$2,'Atividades Micro'!$K129&lt;&gt;""),'Atividades Micro'!$K129,"")</f>
        <v/>
      </c>
      <c r="AB121" s="21" t="str">
        <f>IF(AND('Atividades Micro'!$B129=AB$2,'Atividades Micro'!$L129&lt;&gt;""),'Atividades Micro'!$L129,"")</f>
        <v/>
      </c>
      <c r="AC121" s="21" t="str">
        <f>IF(AND('Atividades Micro'!$B129=AC$2,'Atividades Micro'!$K129&lt;&gt;""),'Atividades Micro'!$K129,"")</f>
        <v/>
      </c>
      <c r="AD121" s="21" t="str">
        <f>IF(AND('Atividades Micro'!$B129=AD$2,'Atividades Micro'!$L129&lt;&gt;""),'Atividades Micro'!$L129,"")</f>
        <v/>
      </c>
      <c r="AE121" s="21" t="str">
        <f>IF(AND('Atividades Micro'!$A129=AE$2,'Atividades Micro'!$K129&lt;&gt;""),'Atividades Micro'!$K129,"")</f>
        <v/>
      </c>
      <c r="AF121" s="21" t="str">
        <f>IF(AND('Atividades Micro'!$A129=AF$2,'Atividades Micro'!$L129&lt;&gt;""),'Atividades Micro'!$L129,"")</f>
        <v/>
      </c>
      <c r="AG121" s="21" t="str">
        <f>IF(AND('Atividades Micro'!$B129=AG$2,'Atividades Micro'!$K129&lt;&gt;""),'Atividades Micro'!$K129,"")</f>
        <v/>
      </c>
      <c r="AH121" s="21" t="str">
        <f>IF(AND('Atividades Micro'!$B129=AH$2,'Atividades Micro'!$L129&lt;&gt;""),'Atividades Micro'!$L129,"")</f>
        <v/>
      </c>
      <c r="AI121" s="21" t="str">
        <f>IF(AND('Atividades Micro'!$B129=AI$2,'Atividades Micro'!$K129&lt;&gt;""),'Atividades Micro'!$K129,"")</f>
        <v/>
      </c>
      <c r="AJ121" s="21" t="str">
        <f>IF(AND('Atividades Micro'!$B129=AJ$2,'Atividades Micro'!$L129&lt;&gt;""),'Atividades Micro'!$L129,"")</f>
        <v/>
      </c>
      <c r="AK121" s="21" t="str">
        <f>IF(AND('Atividades Micro'!$A129=AK$2,'Atividades Micro'!$K129&lt;&gt;""),'Atividades Micro'!$K129,"")</f>
        <v/>
      </c>
      <c r="AL121" s="21" t="str">
        <f>IF(AND('Atividades Micro'!$A129=AL$2,'Atividades Micro'!$L129&lt;&gt;""),'Atividades Micro'!$L129,"")</f>
        <v/>
      </c>
      <c r="AM121" s="21" t="str">
        <f>IF(AND('Atividades Micro'!$B129=AM$2,'Atividades Micro'!$K129&lt;&gt;""),'Atividades Micro'!$K129,"")</f>
        <v/>
      </c>
      <c r="AN121" s="21" t="str">
        <f>IF(AND('Atividades Micro'!$B129=AN$2,'Atividades Micro'!$L129&lt;&gt;""),'Atividades Micro'!$L129,"")</f>
        <v/>
      </c>
      <c r="AO121" s="21" t="str">
        <f>IF(AND('Atividades Micro'!$B129=AO$2,'Atividades Micro'!$K129&lt;&gt;""),'Atividades Micro'!$K129,"")</f>
        <v/>
      </c>
      <c r="AP121" s="21" t="str">
        <f>IF(AND('Atividades Micro'!$B129=AP$2,'Atividades Micro'!$L129&lt;&gt;""),'Atividades Micro'!$L129,"")</f>
        <v/>
      </c>
      <c r="AQ121" s="21" t="str">
        <f>IF(AND('Atividades Micro'!$A129=AQ$2,'Atividades Micro'!$K129&lt;&gt;""),'Atividades Micro'!$K129,"")</f>
        <v/>
      </c>
      <c r="AR121" s="21" t="str">
        <f>IF(AND('Atividades Micro'!$A129=AR$2,'Atividades Micro'!$L129&lt;&gt;""),'Atividades Micro'!$L129,"")</f>
        <v/>
      </c>
      <c r="AS121" s="21" t="str">
        <f>IF(AND('Atividades Micro'!$B129=AS$2,'Atividades Micro'!$K129&lt;&gt;""),'Atividades Micro'!$K129,"")</f>
        <v/>
      </c>
      <c r="AT121" s="21" t="str">
        <f>IF(AND('Atividades Micro'!$B129=AT$2,'Atividades Micro'!$L129&lt;&gt;""),'Atividades Micro'!$L129,"")</f>
        <v/>
      </c>
      <c r="AU121" s="21" t="str">
        <f>IF(AND('Atividades Micro'!$A129=AU$2,'Atividades Micro'!$K129&lt;&gt;""),'Atividades Micro'!$K129,"")</f>
        <v/>
      </c>
      <c r="AV121" s="21" t="str">
        <f>IF(AND('Atividades Micro'!$A129=AV$2,'Atividades Micro'!$L129&lt;&gt;""),'Atividades Micro'!$L129,"")</f>
        <v/>
      </c>
      <c r="AW121" s="21" t="str">
        <f>IF(AND('Atividades Micro'!$B129=AW$2,'Atividades Micro'!$K129&lt;&gt;""),'Atividades Micro'!$K129,"")</f>
        <v/>
      </c>
      <c r="AX121" s="21" t="str">
        <f>IF(AND('Atividades Micro'!$B129=AX$2,'Atividades Micro'!$L129&lt;&gt;""),'Atividades Micro'!$L129,"")</f>
        <v/>
      </c>
      <c r="AY121" s="21" t="str">
        <f>IF(AND('Atividades Micro'!$A129=AY$2,'Atividades Micro'!$K129&lt;&gt;""),'Atividades Micro'!$K129,"")</f>
        <v/>
      </c>
      <c r="AZ121" s="21" t="str">
        <f>IF(AND('Atividades Micro'!$A129=AZ$2,'Atividades Micro'!$L129&lt;&gt;""),'Atividades Micro'!$L129,"")</f>
        <v/>
      </c>
      <c r="BA121" s="21" t="str">
        <f>IF(AND('Atividades Micro'!$B129=BA$2,'Atividades Micro'!$K129&lt;&gt;""),'Atividades Micro'!$K129,"")</f>
        <v/>
      </c>
      <c r="BB121" s="21" t="str">
        <f>IF(AND('Atividades Micro'!$B129=BB$2,'Atividades Micro'!$L129&lt;&gt;""),'Atividades Micro'!$L129,"")</f>
        <v/>
      </c>
      <c r="BC121" s="21" t="str">
        <f>IF(AND('Atividades Micro'!$B129=BC$2,'Atividades Micro'!$G129="Macro",'Atividades Micro'!$K129&lt;&gt;""),'Atividades Micro'!$K129,"")</f>
        <v/>
      </c>
      <c r="BD121" s="21" t="str">
        <f>IF(AND('Atividades Micro'!$B129=BD$2,'Atividades Micro'!$G129="Macro",'Atividades Micro'!$K129&lt;&gt;""),'Atividades Micro'!$K129,"")</f>
        <v/>
      </c>
      <c r="BE121" s="21" t="str">
        <f>IF(AND('Atividades Micro'!$B129=BE$2,'Atividades Micro'!$G129="Macro",'Atividades Micro'!$K129&lt;&gt;""),'Atividades Micro'!$K129,"")</f>
        <v/>
      </c>
      <c r="BF121" s="21" t="str">
        <f>IF(AND('Atividades Micro'!$B129=BF$2,'Atividades Micro'!$G129="Macro",'Atividades Micro'!$K129&lt;&gt;""),'Atividades Micro'!$K129,"")</f>
        <v/>
      </c>
      <c r="BG121" s="21" t="str">
        <f>IF(AND('Atividades Micro'!$B129=BG$2,'Atividades Micro'!$G129="Macro",'Atividades Micro'!$K129&lt;&gt;""),'Atividades Micro'!$K129,"")</f>
        <v/>
      </c>
      <c r="BH121" s="21" t="str">
        <f>IF(AND('Atividades Micro'!$B129=BH$2,'Atividades Micro'!$G129="Macro",'Atividades Micro'!$K129&lt;&gt;""),'Atividades Micro'!$K129,"")</f>
        <v/>
      </c>
      <c r="BI121" s="21" t="str">
        <f>IF(AND('Atividades Micro'!$B129=BI$2,'Atividades Micro'!$G129="Macro",'Atividades Micro'!$K129&lt;&gt;""),'Atividades Micro'!$K129,"")</f>
        <v/>
      </c>
      <c r="BJ121" s="21" t="str">
        <f>IF(AND('Atividades Micro'!$B129=BJ$2,'Atividades Micro'!$G129="Macro",'Atividades Micro'!$K129&lt;&gt;""),'Atividades Micro'!$K129,"")</f>
        <v/>
      </c>
      <c r="BK121" s="21" t="str">
        <f>IF(AND('Atividades Micro'!$B129=BK$2,'Atividades Micro'!$G129="Macro",'Atividades Micro'!$K129&lt;&gt;""),'Atividades Micro'!$K129,"")</f>
        <v/>
      </c>
      <c r="BL121" s="21" t="str">
        <f>IF(AND('Atividades Micro'!$B129=BL$2,'Atividades Micro'!$G129="Macro",'Atividades Micro'!$K129&lt;&gt;""),'Atividades Micro'!$K129,"")</f>
        <v/>
      </c>
      <c r="BM121" s="21" t="str">
        <f>IF(AND('Atividades Micro'!$B129=BM$2,'Atividades Micro'!$G129="Macro",'Atividades Micro'!$K129&lt;&gt;""),'Atividades Micro'!$K129,"")</f>
        <v/>
      </c>
      <c r="BN121" s="21" t="str">
        <f>IF(AND('Atividades Micro'!$B129=BN$2,'Atividades Micro'!$G129="Macro",'Atividades Micro'!$K129&lt;&gt;""),'Atividades Micro'!$K129,"")</f>
        <v/>
      </c>
      <c r="BO121" s="21" t="str">
        <f>IF(AND('Atividades Micro'!$B129=BO$2,'Atividades Micro'!$G129="Macro",'Atividades Micro'!$K129&lt;&gt;""),'Atividades Micro'!$K129,"")</f>
        <v/>
      </c>
      <c r="BP121" s="21" t="str">
        <f>IF(AND('Atividades Micro'!$B129=BP$2,'Atividades Micro'!$G129="Macro",'Atividades Micro'!$K129&lt;&gt;""),'Atividades Micro'!$K129,"")</f>
        <v/>
      </c>
      <c r="BQ121" s="21" t="str">
        <f>IF(AND('Atividades Micro'!$B129=BQ$2,'Atividades Micro'!$G129="Macro",'Atividades Micro'!$K129&lt;&gt;""),'Atividades Micro'!$K129,"")</f>
        <v/>
      </c>
      <c r="BR121" s="21" t="str">
        <f>IF(AND('Atividades Micro'!$B129=BR$2,'Atividades Micro'!$G129="Macro",'Atividades Micro'!$K129&lt;&gt;""),'Atividades Micro'!$K129,"")</f>
        <v/>
      </c>
      <c r="BS121" s="21" t="str">
        <f>IF(AND('Atividades Micro'!$B129=BS$2,'Atividades Micro'!$G129="Macro",'Atividades Micro'!$K129&lt;&gt;""),'Atividades Micro'!$K129,"")</f>
        <v/>
      </c>
      <c r="BT121" s="21" t="str">
        <f>IF(AND('Atividades Micro'!$B129=BT$2,'Atividades Micro'!$G129="Macro",'Atividades Micro'!$K129&lt;&gt;""),'Atividades Micro'!$K129,"")</f>
        <v/>
      </c>
      <c r="BU121" s="21" t="str">
        <f>IF(AND('Atividades Micro'!$B129=BU$2,'Atividades Micro'!$G129="Macro",'Atividades Micro'!$K129&lt;&gt;""),'Atividades Micro'!$K129,"")</f>
        <v/>
      </c>
      <c r="BV121" s="21" t="str">
        <f>IF(AND('Atividades Micro'!$B129=BV$2,'Atividades Micro'!$G129="Macro",'Atividades Micro'!$K129&lt;&gt;""),'Atividades Micro'!$K129,"")</f>
        <v/>
      </c>
      <c r="BW121" s="21" t="str">
        <f>IF(AND('Atividades Micro'!$B129=BW$2,'Atividades Micro'!$G129="Macro",'Atividades Micro'!$K129&lt;&gt;""),'Atividades Micro'!$K129,"")</f>
        <v/>
      </c>
      <c r="BX121" s="21" t="str">
        <f>IF(AND('Atividades Micro'!$B129=BX$2,'Atividades Micro'!$G129="Macro",'Atividades Micro'!$K129&lt;&gt;""),'Atividades Micro'!$K129,"")</f>
        <v/>
      </c>
      <c r="BY121" s="21" t="str">
        <f>IF(AND('Atividades Micro'!$B129=BY$2,'Atividades Micro'!$G129="Macro",'Atividades Micro'!$K129&lt;&gt;""),'Atividades Micro'!$K129,"")</f>
        <v/>
      </c>
      <c r="BZ121" s="21" t="str">
        <f>IF(AND('Atividades Micro'!$B129=BZ$2,'Atividades Micro'!$G129="Macro",'Atividades Micro'!$K129&lt;&gt;""),'Atividades Micro'!$K129,"")</f>
        <v/>
      </c>
      <c r="CA121" s="21" t="str">
        <f>IF(AND('Atividades Micro'!$B129=CA$2,'Atividades Micro'!$G129="Macro",'Atividades Micro'!$K129&lt;&gt;""),'Atividades Micro'!$K129,"")</f>
        <v/>
      </c>
      <c r="CB121" s="21" t="str">
        <f>IF(AND('Atividades Micro'!$B129=CB$2,'Atividades Micro'!$G129="Macro",'Atividades Micro'!$K129&lt;&gt;""),'Atividades Micro'!$K129,"")</f>
        <v/>
      </c>
      <c r="CC121" s="21" t="str">
        <f>IF(AND('Atividades Micro'!$B129=CC$2,'Atividades Micro'!$G129="Macro",'Atividades Micro'!$K129&lt;&gt;""),'Atividades Micro'!$K129,"")</f>
        <v/>
      </c>
      <c r="CD121" s="21" t="str">
        <f>IF(AND('Atividades Micro'!$B129=CD$2,'Atividades Micro'!$G129="Micro",'Atividades Micro'!$K129&lt;&gt;""),'Atividades Micro'!$K129,"")</f>
        <v/>
      </c>
      <c r="CE121" s="21" t="str">
        <f>IF(AND('Atividades Micro'!$B129=CE$2,'Atividades Micro'!$G129="Micro",'Atividades Micro'!$K129&lt;&gt;""),'Atividades Micro'!$K129,"")</f>
        <v/>
      </c>
      <c r="CF121" s="21" t="str">
        <f>IF(AND('Atividades Micro'!$B129=CF$2,'Atividades Micro'!$G129="Micro",'Atividades Micro'!$K129&lt;&gt;""),'Atividades Micro'!$K129,"")</f>
        <v/>
      </c>
      <c r="CG121" s="21">
        <f>IF(AND('Atividades Micro'!$B129=CG$2,'Atividades Micro'!$G129="Micro",'Atividades Micro'!$K129&lt;&gt;""),'Atividades Micro'!$K129,"")</f>
        <v>46240</v>
      </c>
      <c r="CH121" s="21" t="str">
        <f>IF(AND('Atividades Micro'!$B129=CH$2,'Atividades Micro'!$G129="Micro",'Atividades Micro'!$K129&lt;&gt;""),'Atividades Micro'!$K129,"")</f>
        <v/>
      </c>
      <c r="CI121" s="21" t="str">
        <f>IF(AND('Atividades Micro'!$B129=CI$2,'Atividades Micro'!$G129="Micro",'Atividades Micro'!$K129&lt;&gt;""),'Atividades Micro'!$K129,"")</f>
        <v/>
      </c>
      <c r="CJ121" s="21" t="str">
        <f>IF(AND('Atividades Micro'!$B129=CJ$2,'Atividades Micro'!$G129="Micro",'Atividades Micro'!$K129&lt;&gt;""),'Atividades Micro'!$K129,"")</f>
        <v/>
      </c>
      <c r="CK121" s="21" t="str">
        <f>IF(AND('Atividades Micro'!$B129=CK$2,'Atividades Micro'!$G129="Micro",'Atividades Micro'!$K129&lt;&gt;""),'Atividades Micro'!$K129,"")</f>
        <v/>
      </c>
      <c r="CL121" s="21" t="str">
        <f>IF(AND('Atividades Micro'!$B129=CL$2,'Atividades Micro'!$G129="Micro",'Atividades Micro'!$K129&lt;&gt;""),'Atividades Micro'!$K129,"")</f>
        <v/>
      </c>
      <c r="CM121" s="21" t="str">
        <f>IF(AND('Atividades Micro'!$B129=CM$2,'Atividades Micro'!$G129="Micro",'Atividades Micro'!$K129&lt;&gt;""),'Atividades Micro'!$K129,"")</f>
        <v/>
      </c>
      <c r="CN121" s="21" t="str">
        <f>IF(AND('Atividades Micro'!$B129=CN$2,'Atividades Micro'!$G129="Micro",'Atividades Micro'!$K129&lt;&gt;""),'Atividades Micro'!$K129,"")</f>
        <v/>
      </c>
      <c r="CO121" s="21" t="str">
        <f>IF(AND('Atividades Micro'!$B129=CO$2,'Atividades Micro'!$G129="Micro",'Atividades Micro'!$K129&lt;&gt;""),'Atividades Micro'!$K129,"")</f>
        <v/>
      </c>
    </row>
    <row r="122" spans="1:93">
      <c r="A122" s="21" t="str">
        <f>IF(AND('Atividades Micro'!$A130=A$2,'Atividades Micro'!$K130&lt;&gt;""),'Atividades Micro'!$K130,"")</f>
        <v/>
      </c>
      <c r="B122" s="21" t="str">
        <f>IF(AND('Atividades Micro'!$A130=B$2,'Atividades Micro'!$L130&lt;&gt;""),'Atividades Micro'!$L130,"")</f>
        <v/>
      </c>
      <c r="C122" s="21" t="str">
        <f>IF(AND('Atividades Micro'!$A130=C$2,'Atividades Micro'!$K130&lt;&gt;""),'Atividades Micro'!$K130,"")</f>
        <v/>
      </c>
      <c r="D122" s="21" t="str">
        <f>IF(AND('Atividades Micro'!$A130=D$2,'Atividades Micro'!$L130&lt;&gt;""),'Atividades Micro'!$L130,"")</f>
        <v/>
      </c>
      <c r="E122" s="21" t="str">
        <f>IF(AND('Atividades Micro'!$A130=E$2,'Atividades Micro'!$K130&lt;&gt;""),'Atividades Micro'!$K130,"")</f>
        <v/>
      </c>
      <c r="F122" s="21" t="str">
        <f>IF(AND('Atividades Micro'!$A130=F$2,'Atividades Micro'!$L130&lt;&gt;""),'Atividades Micro'!$L130,"")</f>
        <v/>
      </c>
      <c r="G122" s="21" t="str">
        <f>IF(AND('Atividades Micro'!$A130=G$2,'Atividades Micro'!$K130&lt;&gt;""),'Atividades Micro'!$K130,"")</f>
        <v/>
      </c>
      <c r="H122" s="21" t="str">
        <f>IF(AND('Atividades Micro'!$A130=H$2,'Atividades Micro'!$L130&lt;&gt;""),'Atividades Micro'!$L130,"")</f>
        <v/>
      </c>
      <c r="I122" s="21" t="str">
        <f>IF(AND('Atividades Micro'!$A130=I$2,'Atividades Micro'!$K130&lt;&gt;""),'Atividades Micro'!$K130,"")</f>
        <v/>
      </c>
      <c r="J122" s="21" t="str">
        <f>IF(AND('Atividades Micro'!$A130=J$2,'Atividades Micro'!$L130&lt;&gt;""),'Atividades Micro'!$L130,"")</f>
        <v/>
      </c>
      <c r="K122" s="21" t="str">
        <f>IF(AND('Atividades Micro'!$B130=K$2,'Atividades Micro'!$K130&lt;&gt;""),'Atividades Micro'!$K130,"")</f>
        <v/>
      </c>
      <c r="L122" s="21" t="str">
        <f>IF(AND('Atividades Micro'!$B130=L$2,'Atividades Micro'!$L130&lt;&gt;""),'Atividades Micro'!$L130,"")</f>
        <v/>
      </c>
      <c r="M122" s="21" t="str">
        <f>IF(AND('Atividades Micro'!$B130=M$2,'Atividades Micro'!$K130&lt;&gt;""),'Atividades Micro'!$K130,"")</f>
        <v/>
      </c>
      <c r="N122" s="21" t="str">
        <f>IF(AND('Atividades Micro'!$B130=N$2,'Atividades Micro'!$L130&lt;&gt;""),'Atividades Micro'!$L130,"")</f>
        <v/>
      </c>
      <c r="O122" s="21" t="str">
        <f>IF(AND('Atividades Micro'!$A130=O$2,'Atividades Micro'!$K130&lt;&gt;""),'Atividades Micro'!$K130,"")</f>
        <v/>
      </c>
      <c r="P122" s="21" t="str">
        <f>IF(AND('Atividades Micro'!$A130=P$2,'Atividades Micro'!$L130&lt;&gt;""),'Atividades Micro'!$L130,"")</f>
        <v/>
      </c>
      <c r="Q122" s="21" t="str">
        <f>IF(AND('Atividades Micro'!$B130=Q$2,'Atividades Micro'!$K130&lt;&gt;""),'Atividades Micro'!$K130,"")</f>
        <v/>
      </c>
      <c r="R122" s="21" t="str">
        <f>IF(AND('Atividades Micro'!$B130=R$2,'Atividades Micro'!$L130&lt;&gt;""),'Atividades Micro'!$L130,"")</f>
        <v/>
      </c>
      <c r="S122" s="21">
        <f>IF(AND('Atividades Micro'!$A130=S$2,'Atividades Micro'!$K130&lt;&gt;""),'Atividades Micro'!$K130,"")</f>
        <v>46244</v>
      </c>
      <c r="T122" s="21" t="str">
        <f>IF(AND('Atividades Micro'!$A130=T$2,'Atividades Micro'!$L130&lt;&gt;""),'Atividades Micro'!$L130,"")</f>
        <v/>
      </c>
      <c r="U122" s="21">
        <f>IF(AND('Atividades Micro'!$B130=U$2,'Atividades Micro'!$K130&lt;&gt;""),'Atividades Micro'!$K130,"")</f>
        <v>46244</v>
      </c>
      <c r="V122" s="21" t="str">
        <f>IF(AND('Atividades Micro'!$B130=V$2,'Atividades Micro'!$L130&lt;&gt;""),'Atividades Micro'!$L130,"")</f>
        <v/>
      </c>
      <c r="W122" s="21" t="str">
        <f>IF(AND('Atividades Micro'!$B130=W$2,'Atividades Micro'!$K130&lt;&gt;""),'Atividades Micro'!$K130,"")</f>
        <v/>
      </c>
      <c r="X122" s="21" t="str">
        <f>IF(AND('Atividades Micro'!$B130=X$2,'Atividades Micro'!$L130&lt;&gt;""),'Atividades Micro'!$L130,"")</f>
        <v/>
      </c>
      <c r="Y122" s="21" t="str">
        <f>IF(AND('Atividades Micro'!$A130=Y$2,'Atividades Micro'!$K130&lt;&gt;""),'Atividades Micro'!$K130,"")</f>
        <v/>
      </c>
      <c r="Z122" s="21" t="str">
        <f>IF(AND('Atividades Micro'!$A130=Z$2,'Atividades Micro'!$L130&lt;&gt;""),'Atividades Micro'!$L130,"")</f>
        <v/>
      </c>
      <c r="AA122" s="21" t="str">
        <f>IF(AND('Atividades Micro'!$B130=AA$2,'Atividades Micro'!$K130&lt;&gt;""),'Atividades Micro'!$K130,"")</f>
        <v/>
      </c>
      <c r="AB122" s="21" t="str">
        <f>IF(AND('Atividades Micro'!$B130=AB$2,'Atividades Micro'!$L130&lt;&gt;""),'Atividades Micro'!$L130,"")</f>
        <v/>
      </c>
      <c r="AC122" s="21" t="str">
        <f>IF(AND('Atividades Micro'!$B130=AC$2,'Atividades Micro'!$K130&lt;&gt;""),'Atividades Micro'!$K130,"")</f>
        <v/>
      </c>
      <c r="AD122" s="21" t="str">
        <f>IF(AND('Atividades Micro'!$B130=AD$2,'Atividades Micro'!$L130&lt;&gt;""),'Atividades Micro'!$L130,"")</f>
        <v/>
      </c>
      <c r="AE122" s="21" t="str">
        <f>IF(AND('Atividades Micro'!$A130=AE$2,'Atividades Micro'!$K130&lt;&gt;""),'Atividades Micro'!$K130,"")</f>
        <v/>
      </c>
      <c r="AF122" s="21" t="str">
        <f>IF(AND('Atividades Micro'!$A130=AF$2,'Atividades Micro'!$L130&lt;&gt;""),'Atividades Micro'!$L130,"")</f>
        <v/>
      </c>
      <c r="AG122" s="21" t="str">
        <f>IF(AND('Atividades Micro'!$B130=AG$2,'Atividades Micro'!$K130&lt;&gt;""),'Atividades Micro'!$K130,"")</f>
        <v/>
      </c>
      <c r="AH122" s="21" t="str">
        <f>IF(AND('Atividades Micro'!$B130=AH$2,'Atividades Micro'!$L130&lt;&gt;""),'Atividades Micro'!$L130,"")</f>
        <v/>
      </c>
      <c r="AI122" s="21" t="str">
        <f>IF(AND('Atividades Micro'!$B130=AI$2,'Atividades Micro'!$K130&lt;&gt;""),'Atividades Micro'!$K130,"")</f>
        <v/>
      </c>
      <c r="AJ122" s="21" t="str">
        <f>IF(AND('Atividades Micro'!$B130=AJ$2,'Atividades Micro'!$L130&lt;&gt;""),'Atividades Micro'!$L130,"")</f>
        <v/>
      </c>
      <c r="AK122" s="21" t="str">
        <f>IF(AND('Atividades Micro'!$A130=AK$2,'Atividades Micro'!$K130&lt;&gt;""),'Atividades Micro'!$K130,"")</f>
        <v/>
      </c>
      <c r="AL122" s="21" t="str">
        <f>IF(AND('Atividades Micro'!$A130=AL$2,'Atividades Micro'!$L130&lt;&gt;""),'Atividades Micro'!$L130,"")</f>
        <v/>
      </c>
      <c r="AM122" s="21" t="str">
        <f>IF(AND('Atividades Micro'!$B130=AM$2,'Atividades Micro'!$K130&lt;&gt;""),'Atividades Micro'!$K130,"")</f>
        <v/>
      </c>
      <c r="AN122" s="21" t="str">
        <f>IF(AND('Atividades Micro'!$B130=AN$2,'Atividades Micro'!$L130&lt;&gt;""),'Atividades Micro'!$L130,"")</f>
        <v/>
      </c>
      <c r="AO122" s="21" t="str">
        <f>IF(AND('Atividades Micro'!$B130=AO$2,'Atividades Micro'!$K130&lt;&gt;""),'Atividades Micro'!$K130,"")</f>
        <v/>
      </c>
      <c r="AP122" s="21" t="str">
        <f>IF(AND('Atividades Micro'!$B130=AP$2,'Atividades Micro'!$L130&lt;&gt;""),'Atividades Micro'!$L130,"")</f>
        <v/>
      </c>
      <c r="AQ122" s="21" t="str">
        <f>IF(AND('Atividades Micro'!$A130=AQ$2,'Atividades Micro'!$K130&lt;&gt;""),'Atividades Micro'!$K130,"")</f>
        <v/>
      </c>
      <c r="AR122" s="21" t="str">
        <f>IF(AND('Atividades Micro'!$A130=AR$2,'Atividades Micro'!$L130&lt;&gt;""),'Atividades Micro'!$L130,"")</f>
        <v/>
      </c>
      <c r="AS122" s="21" t="str">
        <f>IF(AND('Atividades Micro'!$B130=AS$2,'Atividades Micro'!$K130&lt;&gt;""),'Atividades Micro'!$K130,"")</f>
        <v/>
      </c>
      <c r="AT122" s="21" t="str">
        <f>IF(AND('Atividades Micro'!$B130=AT$2,'Atividades Micro'!$L130&lt;&gt;""),'Atividades Micro'!$L130,"")</f>
        <v/>
      </c>
      <c r="AU122" s="21" t="str">
        <f>IF(AND('Atividades Micro'!$A130=AU$2,'Atividades Micro'!$K130&lt;&gt;""),'Atividades Micro'!$K130,"")</f>
        <v/>
      </c>
      <c r="AV122" s="21" t="str">
        <f>IF(AND('Atividades Micro'!$A130=AV$2,'Atividades Micro'!$L130&lt;&gt;""),'Atividades Micro'!$L130,"")</f>
        <v/>
      </c>
      <c r="AW122" s="21" t="str">
        <f>IF(AND('Atividades Micro'!$B130=AW$2,'Atividades Micro'!$K130&lt;&gt;""),'Atividades Micro'!$K130,"")</f>
        <v/>
      </c>
      <c r="AX122" s="21" t="str">
        <f>IF(AND('Atividades Micro'!$B130=AX$2,'Atividades Micro'!$L130&lt;&gt;""),'Atividades Micro'!$L130,"")</f>
        <v/>
      </c>
      <c r="AY122" s="21" t="str">
        <f>IF(AND('Atividades Micro'!$A130=AY$2,'Atividades Micro'!$K130&lt;&gt;""),'Atividades Micro'!$K130,"")</f>
        <v/>
      </c>
      <c r="AZ122" s="21" t="str">
        <f>IF(AND('Atividades Micro'!$A130=AZ$2,'Atividades Micro'!$L130&lt;&gt;""),'Atividades Micro'!$L130,"")</f>
        <v/>
      </c>
      <c r="BA122" s="21" t="str">
        <f>IF(AND('Atividades Micro'!$B130=BA$2,'Atividades Micro'!$K130&lt;&gt;""),'Atividades Micro'!$K130,"")</f>
        <v/>
      </c>
      <c r="BB122" s="21" t="str">
        <f>IF(AND('Atividades Micro'!$B130=BB$2,'Atividades Micro'!$L130&lt;&gt;""),'Atividades Micro'!$L130,"")</f>
        <v/>
      </c>
      <c r="BC122" s="21" t="str">
        <f>IF(AND('Atividades Micro'!$B130=BC$2,'Atividades Micro'!$G130="Macro",'Atividades Micro'!$K130&lt;&gt;""),'Atividades Micro'!$K130,"")</f>
        <v/>
      </c>
      <c r="BD122" s="21" t="str">
        <f>IF(AND('Atividades Micro'!$B130=BD$2,'Atividades Micro'!$G130="Macro",'Atividades Micro'!$K130&lt;&gt;""),'Atividades Micro'!$K130,"")</f>
        <v/>
      </c>
      <c r="BE122" s="21" t="str">
        <f>IF(AND('Atividades Micro'!$B130=BE$2,'Atividades Micro'!$G130="Macro",'Atividades Micro'!$K130&lt;&gt;""),'Atividades Micro'!$K130,"")</f>
        <v/>
      </c>
      <c r="BF122" s="21" t="str">
        <f>IF(AND('Atividades Micro'!$B130=BF$2,'Atividades Micro'!$G130="Macro",'Atividades Micro'!$K130&lt;&gt;""),'Atividades Micro'!$K130,"")</f>
        <v/>
      </c>
      <c r="BG122" s="21" t="str">
        <f>IF(AND('Atividades Micro'!$B130=BG$2,'Atividades Micro'!$G130="Macro",'Atividades Micro'!$K130&lt;&gt;""),'Atividades Micro'!$K130,"")</f>
        <v/>
      </c>
      <c r="BH122" s="21" t="str">
        <f>IF(AND('Atividades Micro'!$B130=BH$2,'Atividades Micro'!$G130="Macro",'Atividades Micro'!$K130&lt;&gt;""),'Atividades Micro'!$K130,"")</f>
        <v/>
      </c>
      <c r="BI122" s="21" t="str">
        <f>IF(AND('Atividades Micro'!$B130=BI$2,'Atividades Micro'!$G130="Macro",'Atividades Micro'!$K130&lt;&gt;""),'Atividades Micro'!$K130,"")</f>
        <v/>
      </c>
      <c r="BJ122" s="21" t="str">
        <f>IF(AND('Atividades Micro'!$B130=BJ$2,'Atividades Micro'!$G130="Macro",'Atividades Micro'!$K130&lt;&gt;""),'Atividades Micro'!$K130,"")</f>
        <v/>
      </c>
      <c r="BK122" s="21" t="str">
        <f>IF(AND('Atividades Micro'!$B130=BK$2,'Atividades Micro'!$G130="Macro",'Atividades Micro'!$K130&lt;&gt;""),'Atividades Micro'!$K130,"")</f>
        <v/>
      </c>
      <c r="BL122" s="21" t="str">
        <f>IF(AND('Atividades Micro'!$B130=BL$2,'Atividades Micro'!$G130="Macro",'Atividades Micro'!$K130&lt;&gt;""),'Atividades Micro'!$K130,"")</f>
        <v/>
      </c>
      <c r="BM122" s="21" t="str">
        <f>IF(AND('Atividades Micro'!$B130=BM$2,'Atividades Micro'!$G130="Macro",'Atividades Micro'!$K130&lt;&gt;""),'Atividades Micro'!$K130,"")</f>
        <v/>
      </c>
      <c r="BN122" s="21" t="str">
        <f>IF(AND('Atividades Micro'!$B130=BN$2,'Atividades Micro'!$G130="Macro",'Atividades Micro'!$K130&lt;&gt;""),'Atividades Micro'!$K130,"")</f>
        <v/>
      </c>
      <c r="BO122" s="21" t="str">
        <f>IF(AND('Atividades Micro'!$B130=BO$2,'Atividades Micro'!$G130="Macro",'Atividades Micro'!$K130&lt;&gt;""),'Atividades Micro'!$K130,"")</f>
        <v/>
      </c>
      <c r="BP122" s="21" t="str">
        <f>IF(AND('Atividades Micro'!$B130=BP$2,'Atividades Micro'!$G130="Macro",'Atividades Micro'!$K130&lt;&gt;""),'Atividades Micro'!$K130,"")</f>
        <v/>
      </c>
      <c r="BQ122" s="21" t="str">
        <f>IF(AND('Atividades Micro'!$B130=BQ$2,'Atividades Micro'!$G130="Macro",'Atividades Micro'!$K130&lt;&gt;""),'Atividades Micro'!$K130,"")</f>
        <v/>
      </c>
      <c r="BR122" s="21" t="str">
        <f>IF(AND('Atividades Micro'!$B130=BR$2,'Atividades Micro'!$G130="Macro",'Atividades Micro'!$K130&lt;&gt;""),'Atividades Micro'!$K130,"")</f>
        <v/>
      </c>
      <c r="BS122" s="21" t="str">
        <f>IF(AND('Atividades Micro'!$B130=BS$2,'Atividades Micro'!$G130="Macro",'Atividades Micro'!$K130&lt;&gt;""),'Atividades Micro'!$K130,"")</f>
        <v/>
      </c>
      <c r="BT122" s="21" t="str">
        <f>IF(AND('Atividades Micro'!$B130=BT$2,'Atividades Micro'!$G130="Macro",'Atividades Micro'!$K130&lt;&gt;""),'Atividades Micro'!$K130,"")</f>
        <v/>
      </c>
      <c r="BU122" s="21" t="str">
        <f>IF(AND('Atividades Micro'!$B130=BU$2,'Atividades Micro'!$G130="Macro",'Atividades Micro'!$K130&lt;&gt;""),'Atividades Micro'!$K130,"")</f>
        <v/>
      </c>
      <c r="BV122" s="21" t="str">
        <f>IF(AND('Atividades Micro'!$B130=BV$2,'Atividades Micro'!$G130="Macro",'Atividades Micro'!$K130&lt;&gt;""),'Atividades Micro'!$K130,"")</f>
        <v/>
      </c>
      <c r="BW122" s="21" t="str">
        <f>IF(AND('Atividades Micro'!$B130=BW$2,'Atividades Micro'!$G130="Macro",'Atividades Micro'!$K130&lt;&gt;""),'Atividades Micro'!$K130,"")</f>
        <v/>
      </c>
      <c r="BX122" s="21" t="str">
        <f>IF(AND('Atividades Micro'!$B130=BX$2,'Atividades Micro'!$G130="Macro",'Atividades Micro'!$K130&lt;&gt;""),'Atividades Micro'!$K130,"")</f>
        <v/>
      </c>
      <c r="BY122" s="21" t="str">
        <f>IF(AND('Atividades Micro'!$B130=BY$2,'Atividades Micro'!$G130="Macro",'Atividades Micro'!$K130&lt;&gt;""),'Atividades Micro'!$K130,"")</f>
        <v/>
      </c>
      <c r="BZ122" s="21" t="str">
        <f>IF(AND('Atividades Micro'!$B130=BZ$2,'Atividades Micro'!$G130="Macro",'Atividades Micro'!$K130&lt;&gt;""),'Atividades Micro'!$K130,"")</f>
        <v/>
      </c>
      <c r="CA122" s="21" t="str">
        <f>IF(AND('Atividades Micro'!$B130=CA$2,'Atividades Micro'!$G130="Macro",'Atividades Micro'!$K130&lt;&gt;""),'Atividades Micro'!$K130,"")</f>
        <v/>
      </c>
      <c r="CB122" s="21" t="str">
        <f>IF(AND('Atividades Micro'!$B130=CB$2,'Atividades Micro'!$G130="Macro",'Atividades Micro'!$K130&lt;&gt;""),'Atividades Micro'!$K130,"")</f>
        <v/>
      </c>
      <c r="CC122" s="21" t="str">
        <f>IF(AND('Atividades Micro'!$B130=CC$2,'Atividades Micro'!$G130="Macro",'Atividades Micro'!$K130&lt;&gt;""),'Atividades Micro'!$K130,"")</f>
        <v/>
      </c>
      <c r="CD122" s="21" t="str">
        <f>IF(AND('Atividades Micro'!$B130=CD$2,'Atividades Micro'!$G130="Micro",'Atividades Micro'!$K130&lt;&gt;""),'Atividades Micro'!$K130,"")</f>
        <v/>
      </c>
      <c r="CE122" s="21" t="str">
        <f>IF(AND('Atividades Micro'!$B130=CE$2,'Atividades Micro'!$G130="Micro",'Atividades Micro'!$K130&lt;&gt;""),'Atividades Micro'!$K130,"")</f>
        <v/>
      </c>
      <c r="CF122" s="21" t="str">
        <f>IF(AND('Atividades Micro'!$B130=CF$2,'Atividades Micro'!$G130="Micro",'Atividades Micro'!$K130&lt;&gt;""),'Atividades Micro'!$K130,"")</f>
        <v/>
      </c>
      <c r="CG122" s="21">
        <f>IF(AND('Atividades Micro'!$B130=CG$2,'Atividades Micro'!$G130="Micro",'Atividades Micro'!$K130&lt;&gt;""),'Atividades Micro'!$K130,"")</f>
        <v>46244</v>
      </c>
      <c r="CH122" s="21" t="str">
        <f>IF(AND('Atividades Micro'!$B130=CH$2,'Atividades Micro'!$G130="Micro",'Atividades Micro'!$K130&lt;&gt;""),'Atividades Micro'!$K130,"")</f>
        <v/>
      </c>
      <c r="CI122" s="21" t="str">
        <f>IF(AND('Atividades Micro'!$B130=CI$2,'Atividades Micro'!$G130="Micro",'Atividades Micro'!$K130&lt;&gt;""),'Atividades Micro'!$K130,"")</f>
        <v/>
      </c>
      <c r="CJ122" s="21" t="str">
        <f>IF(AND('Atividades Micro'!$B130=CJ$2,'Atividades Micro'!$G130="Micro",'Atividades Micro'!$K130&lt;&gt;""),'Atividades Micro'!$K130,"")</f>
        <v/>
      </c>
      <c r="CK122" s="21" t="str">
        <f>IF(AND('Atividades Micro'!$B130=CK$2,'Atividades Micro'!$G130="Micro",'Atividades Micro'!$K130&lt;&gt;""),'Atividades Micro'!$K130,"")</f>
        <v/>
      </c>
      <c r="CL122" s="21" t="str">
        <f>IF(AND('Atividades Micro'!$B130=CL$2,'Atividades Micro'!$G130="Micro",'Atividades Micro'!$K130&lt;&gt;""),'Atividades Micro'!$K130,"")</f>
        <v/>
      </c>
      <c r="CM122" s="21" t="str">
        <f>IF(AND('Atividades Micro'!$B130=CM$2,'Atividades Micro'!$G130="Micro",'Atividades Micro'!$K130&lt;&gt;""),'Atividades Micro'!$K130,"")</f>
        <v/>
      </c>
      <c r="CN122" s="21" t="str">
        <f>IF(AND('Atividades Micro'!$B130=CN$2,'Atividades Micro'!$G130="Micro",'Atividades Micro'!$K130&lt;&gt;""),'Atividades Micro'!$K130,"")</f>
        <v/>
      </c>
      <c r="CO122" s="21" t="str">
        <f>IF(AND('Atividades Micro'!$B130=CO$2,'Atividades Micro'!$G130="Micro",'Atividades Micro'!$K130&lt;&gt;""),'Atividades Micro'!$K130,"")</f>
        <v/>
      </c>
    </row>
    <row r="123" spans="1:93">
      <c r="A123" s="21" t="str">
        <f>IF(AND('Atividades Micro'!$A131=A$2,'Atividades Micro'!$K131&lt;&gt;""),'Atividades Micro'!$K131,"")</f>
        <v/>
      </c>
      <c r="B123" s="21" t="str">
        <f>IF(AND('Atividades Micro'!$A131=B$2,'Atividades Micro'!$L131&lt;&gt;""),'Atividades Micro'!$L131,"")</f>
        <v/>
      </c>
      <c r="C123" s="21" t="str">
        <f>IF(AND('Atividades Micro'!$A131=C$2,'Atividades Micro'!$K131&lt;&gt;""),'Atividades Micro'!$K131,"")</f>
        <v/>
      </c>
      <c r="D123" s="21" t="str">
        <f>IF(AND('Atividades Micro'!$A131=D$2,'Atividades Micro'!$L131&lt;&gt;""),'Atividades Micro'!$L131,"")</f>
        <v/>
      </c>
      <c r="E123" s="21" t="str">
        <f>IF(AND('Atividades Micro'!$A131=E$2,'Atividades Micro'!$K131&lt;&gt;""),'Atividades Micro'!$K131,"")</f>
        <v/>
      </c>
      <c r="F123" s="21" t="str">
        <f>IF(AND('Atividades Micro'!$A131=F$2,'Atividades Micro'!$L131&lt;&gt;""),'Atividades Micro'!$L131,"")</f>
        <v/>
      </c>
      <c r="G123" s="21" t="str">
        <f>IF(AND('Atividades Micro'!$A131=G$2,'Atividades Micro'!$K131&lt;&gt;""),'Atividades Micro'!$K131,"")</f>
        <v/>
      </c>
      <c r="H123" s="21" t="str">
        <f>IF(AND('Atividades Micro'!$A131=H$2,'Atividades Micro'!$L131&lt;&gt;""),'Atividades Micro'!$L131,"")</f>
        <v/>
      </c>
      <c r="I123" s="21" t="str">
        <f>IF(AND('Atividades Micro'!$A131=I$2,'Atividades Micro'!$K131&lt;&gt;""),'Atividades Micro'!$K131,"")</f>
        <v/>
      </c>
      <c r="J123" s="21" t="str">
        <f>IF(AND('Atividades Micro'!$A131=J$2,'Atividades Micro'!$L131&lt;&gt;""),'Atividades Micro'!$L131,"")</f>
        <v/>
      </c>
      <c r="K123" s="21" t="str">
        <f>IF(AND('Atividades Micro'!$B131=K$2,'Atividades Micro'!$K131&lt;&gt;""),'Atividades Micro'!$K131,"")</f>
        <v/>
      </c>
      <c r="L123" s="21" t="str">
        <f>IF(AND('Atividades Micro'!$B131=L$2,'Atividades Micro'!$L131&lt;&gt;""),'Atividades Micro'!$L131,"")</f>
        <v/>
      </c>
      <c r="M123" s="21" t="str">
        <f>IF(AND('Atividades Micro'!$B131=M$2,'Atividades Micro'!$K131&lt;&gt;""),'Atividades Micro'!$K131,"")</f>
        <v/>
      </c>
      <c r="N123" s="21" t="str">
        <f>IF(AND('Atividades Micro'!$B131=N$2,'Atividades Micro'!$L131&lt;&gt;""),'Atividades Micro'!$L131,"")</f>
        <v/>
      </c>
      <c r="O123" s="21" t="str">
        <f>IF(AND('Atividades Micro'!$A131=O$2,'Atividades Micro'!$K131&lt;&gt;""),'Atividades Micro'!$K131,"")</f>
        <v/>
      </c>
      <c r="P123" s="21" t="str">
        <f>IF(AND('Atividades Micro'!$A131=P$2,'Atividades Micro'!$L131&lt;&gt;""),'Atividades Micro'!$L131,"")</f>
        <v/>
      </c>
      <c r="Q123" s="21" t="str">
        <f>IF(AND('Atividades Micro'!$B131=Q$2,'Atividades Micro'!$K131&lt;&gt;""),'Atividades Micro'!$K131,"")</f>
        <v/>
      </c>
      <c r="R123" s="21" t="str">
        <f>IF(AND('Atividades Micro'!$B131=R$2,'Atividades Micro'!$L131&lt;&gt;""),'Atividades Micro'!$L131,"")</f>
        <v/>
      </c>
      <c r="S123" s="21" t="str">
        <f>IF(AND('Atividades Micro'!$A131=S$2,'Atividades Micro'!$K131&lt;&gt;""),'Atividades Micro'!$K131,"")</f>
        <v/>
      </c>
      <c r="T123" s="21" t="str">
        <f>IF(AND('Atividades Micro'!$A131=T$2,'Atividades Micro'!$L131&lt;&gt;""),'Atividades Micro'!$L131,"")</f>
        <v/>
      </c>
      <c r="U123" s="21" t="str">
        <f>IF(AND('Atividades Micro'!$B131=U$2,'Atividades Micro'!$K131&lt;&gt;""),'Atividades Micro'!$K131,"")</f>
        <v/>
      </c>
      <c r="V123" s="21" t="str">
        <f>IF(AND('Atividades Micro'!$B131=V$2,'Atividades Micro'!$L131&lt;&gt;""),'Atividades Micro'!$L131,"")</f>
        <v/>
      </c>
      <c r="W123" s="21" t="str">
        <f>IF(AND('Atividades Micro'!$B131=W$2,'Atividades Micro'!$K131&lt;&gt;""),'Atividades Micro'!$K131,"")</f>
        <v/>
      </c>
      <c r="X123" s="21" t="str">
        <f>IF(AND('Atividades Micro'!$B131=X$2,'Atividades Micro'!$L131&lt;&gt;""),'Atividades Micro'!$L131,"")</f>
        <v/>
      </c>
      <c r="Y123" s="21" t="str">
        <f>IF(AND('Atividades Micro'!$A131=Y$2,'Atividades Micro'!$K131&lt;&gt;""),'Atividades Micro'!$K131,"")</f>
        <v/>
      </c>
      <c r="Z123" s="21" t="str">
        <f>IF(AND('Atividades Micro'!$A131=Z$2,'Atividades Micro'!$L131&lt;&gt;""),'Atividades Micro'!$L131,"")</f>
        <v/>
      </c>
      <c r="AA123" s="21" t="str">
        <f>IF(AND('Atividades Micro'!$B131=AA$2,'Atividades Micro'!$K131&lt;&gt;""),'Atividades Micro'!$K131,"")</f>
        <v/>
      </c>
      <c r="AB123" s="21" t="str">
        <f>IF(AND('Atividades Micro'!$B131=AB$2,'Atividades Micro'!$L131&lt;&gt;""),'Atividades Micro'!$L131,"")</f>
        <v/>
      </c>
      <c r="AC123" s="21" t="str">
        <f>IF(AND('Atividades Micro'!$B131=AC$2,'Atividades Micro'!$K131&lt;&gt;""),'Atividades Micro'!$K131,"")</f>
        <v/>
      </c>
      <c r="AD123" s="21" t="str">
        <f>IF(AND('Atividades Micro'!$B131=AD$2,'Atividades Micro'!$L131&lt;&gt;""),'Atividades Micro'!$L131,"")</f>
        <v/>
      </c>
      <c r="AE123" s="21" t="str">
        <f>IF(AND('Atividades Micro'!$A131=AE$2,'Atividades Micro'!$K131&lt;&gt;""),'Atividades Micro'!$K131,"")</f>
        <v/>
      </c>
      <c r="AF123" s="21" t="str">
        <f>IF(AND('Atividades Micro'!$A131=AF$2,'Atividades Micro'!$L131&lt;&gt;""),'Atividades Micro'!$L131,"")</f>
        <v/>
      </c>
      <c r="AG123" s="21" t="str">
        <f>IF(AND('Atividades Micro'!$B131=AG$2,'Atividades Micro'!$K131&lt;&gt;""),'Atividades Micro'!$K131,"")</f>
        <v/>
      </c>
      <c r="AH123" s="21" t="str">
        <f>IF(AND('Atividades Micro'!$B131=AH$2,'Atividades Micro'!$L131&lt;&gt;""),'Atividades Micro'!$L131,"")</f>
        <v/>
      </c>
      <c r="AI123" s="21" t="str">
        <f>IF(AND('Atividades Micro'!$B131=AI$2,'Atividades Micro'!$K131&lt;&gt;""),'Atividades Micro'!$K131,"")</f>
        <v/>
      </c>
      <c r="AJ123" s="21" t="str">
        <f>IF(AND('Atividades Micro'!$B131=AJ$2,'Atividades Micro'!$L131&lt;&gt;""),'Atividades Micro'!$L131,"")</f>
        <v/>
      </c>
      <c r="AK123" s="21" t="str">
        <f>IF(AND('Atividades Micro'!$A131=AK$2,'Atividades Micro'!$K131&lt;&gt;""),'Atividades Micro'!$K131,"")</f>
        <v/>
      </c>
      <c r="AL123" s="21" t="str">
        <f>IF(AND('Atividades Micro'!$A131=AL$2,'Atividades Micro'!$L131&lt;&gt;""),'Atividades Micro'!$L131,"")</f>
        <v/>
      </c>
      <c r="AM123" s="21" t="str">
        <f>IF(AND('Atividades Micro'!$B131=AM$2,'Atividades Micro'!$K131&lt;&gt;""),'Atividades Micro'!$K131,"")</f>
        <v/>
      </c>
      <c r="AN123" s="21" t="str">
        <f>IF(AND('Atividades Micro'!$B131=AN$2,'Atividades Micro'!$L131&lt;&gt;""),'Atividades Micro'!$L131,"")</f>
        <v/>
      </c>
      <c r="AO123" s="21" t="str">
        <f>IF(AND('Atividades Micro'!$B131=AO$2,'Atividades Micro'!$K131&lt;&gt;""),'Atividades Micro'!$K131,"")</f>
        <v/>
      </c>
      <c r="AP123" s="21" t="str">
        <f>IF(AND('Atividades Micro'!$B131=AP$2,'Atividades Micro'!$L131&lt;&gt;""),'Atividades Micro'!$L131,"")</f>
        <v/>
      </c>
      <c r="AQ123" s="21" t="str">
        <f>IF(AND('Atividades Micro'!$A131=AQ$2,'Atividades Micro'!$K131&lt;&gt;""),'Atividades Micro'!$K131,"")</f>
        <v/>
      </c>
      <c r="AR123" s="21" t="str">
        <f>IF(AND('Atividades Micro'!$A131=AR$2,'Atividades Micro'!$L131&lt;&gt;""),'Atividades Micro'!$L131,"")</f>
        <v/>
      </c>
      <c r="AS123" s="21" t="str">
        <f>IF(AND('Atividades Micro'!$B131=AS$2,'Atividades Micro'!$K131&lt;&gt;""),'Atividades Micro'!$K131,"")</f>
        <v/>
      </c>
      <c r="AT123" s="21" t="str">
        <f>IF(AND('Atividades Micro'!$B131=AT$2,'Atividades Micro'!$L131&lt;&gt;""),'Atividades Micro'!$L131,"")</f>
        <v/>
      </c>
      <c r="AU123" s="21" t="str">
        <f>IF(AND('Atividades Micro'!$A131=AU$2,'Atividades Micro'!$K131&lt;&gt;""),'Atividades Micro'!$K131,"")</f>
        <v/>
      </c>
      <c r="AV123" s="21" t="str">
        <f>IF(AND('Atividades Micro'!$A131=AV$2,'Atividades Micro'!$L131&lt;&gt;""),'Atividades Micro'!$L131,"")</f>
        <v/>
      </c>
      <c r="AW123" s="21" t="str">
        <f>IF(AND('Atividades Micro'!$B131=AW$2,'Atividades Micro'!$K131&lt;&gt;""),'Atividades Micro'!$K131,"")</f>
        <v/>
      </c>
      <c r="AX123" s="21" t="str">
        <f>IF(AND('Atividades Micro'!$B131=AX$2,'Atividades Micro'!$L131&lt;&gt;""),'Atividades Micro'!$L131,"")</f>
        <v/>
      </c>
      <c r="AY123" s="21" t="str">
        <f>IF(AND('Atividades Micro'!$A131=AY$2,'Atividades Micro'!$K131&lt;&gt;""),'Atividades Micro'!$K131,"")</f>
        <v/>
      </c>
      <c r="AZ123" s="21" t="str">
        <f>IF(AND('Atividades Micro'!$A131=AZ$2,'Atividades Micro'!$L131&lt;&gt;""),'Atividades Micro'!$L131,"")</f>
        <v/>
      </c>
      <c r="BA123" s="21" t="str">
        <f>IF(AND('Atividades Micro'!$B131=BA$2,'Atividades Micro'!$K131&lt;&gt;""),'Atividades Micro'!$K131,"")</f>
        <v/>
      </c>
      <c r="BB123" s="21" t="str">
        <f>IF(AND('Atividades Micro'!$B131=BB$2,'Atividades Micro'!$L131&lt;&gt;""),'Atividades Micro'!$L131,"")</f>
        <v/>
      </c>
      <c r="BC123" s="21" t="str">
        <f>IF(AND('Atividades Micro'!$B131=BC$2,'Atividades Micro'!$G131="Macro",'Atividades Micro'!$K131&lt;&gt;""),'Atividades Micro'!$K131,"")</f>
        <v/>
      </c>
      <c r="BD123" s="21" t="str">
        <f>IF(AND('Atividades Micro'!$B131=BD$2,'Atividades Micro'!$G131="Macro",'Atividades Micro'!$K131&lt;&gt;""),'Atividades Micro'!$K131,"")</f>
        <v/>
      </c>
      <c r="BE123" s="21" t="str">
        <f>IF(AND('Atividades Micro'!$B131=BE$2,'Atividades Micro'!$G131="Macro",'Atividades Micro'!$K131&lt;&gt;""),'Atividades Micro'!$K131,"")</f>
        <v/>
      </c>
      <c r="BF123" s="21" t="str">
        <f>IF(AND('Atividades Micro'!$B131=BF$2,'Atividades Micro'!$G131="Macro",'Atividades Micro'!$K131&lt;&gt;""),'Atividades Micro'!$K131,"")</f>
        <v/>
      </c>
      <c r="BG123" s="21" t="str">
        <f>IF(AND('Atividades Micro'!$B131=BG$2,'Atividades Micro'!$G131="Macro",'Atividades Micro'!$K131&lt;&gt;""),'Atividades Micro'!$K131,"")</f>
        <v/>
      </c>
      <c r="BH123" s="21" t="str">
        <f>IF(AND('Atividades Micro'!$B131=BH$2,'Atividades Micro'!$G131="Macro",'Atividades Micro'!$K131&lt;&gt;""),'Atividades Micro'!$K131,"")</f>
        <v/>
      </c>
      <c r="BI123" s="21" t="str">
        <f>IF(AND('Atividades Micro'!$B131=BI$2,'Atividades Micro'!$G131="Macro",'Atividades Micro'!$K131&lt;&gt;""),'Atividades Micro'!$K131,"")</f>
        <v/>
      </c>
      <c r="BJ123" s="21" t="str">
        <f>IF(AND('Atividades Micro'!$B131=BJ$2,'Atividades Micro'!$G131="Macro",'Atividades Micro'!$K131&lt;&gt;""),'Atividades Micro'!$K131,"")</f>
        <v/>
      </c>
      <c r="BK123" s="21" t="str">
        <f>IF(AND('Atividades Micro'!$B131=BK$2,'Atividades Micro'!$G131="Macro",'Atividades Micro'!$K131&lt;&gt;""),'Atividades Micro'!$K131,"")</f>
        <v/>
      </c>
      <c r="BL123" s="21" t="str">
        <f>IF(AND('Atividades Micro'!$B131=BL$2,'Atividades Micro'!$G131="Macro",'Atividades Micro'!$K131&lt;&gt;""),'Atividades Micro'!$K131,"")</f>
        <v/>
      </c>
      <c r="BM123" s="21" t="str">
        <f>IF(AND('Atividades Micro'!$B131=BM$2,'Atividades Micro'!$G131="Macro",'Atividades Micro'!$K131&lt;&gt;""),'Atividades Micro'!$K131,"")</f>
        <v/>
      </c>
      <c r="BN123" s="21" t="str">
        <f>IF(AND('Atividades Micro'!$B131=BN$2,'Atividades Micro'!$G131="Macro",'Atividades Micro'!$K131&lt;&gt;""),'Atividades Micro'!$K131,"")</f>
        <v/>
      </c>
      <c r="BO123" s="21" t="str">
        <f>IF(AND('Atividades Micro'!$B131=BO$2,'Atividades Micro'!$G131="Macro",'Atividades Micro'!$K131&lt;&gt;""),'Atividades Micro'!$K131,"")</f>
        <v/>
      </c>
      <c r="BP123" s="21" t="str">
        <f>IF(AND('Atividades Micro'!$B131=BP$2,'Atividades Micro'!$G131="Macro",'Atividades Micro'!$K131&lt;&gt;""),'Atividades Micro'!$K131,"")</f>
        <v/>
      </c>
      <c r="BQ123" s="21" t="str">
        <f>IF(AND('Atividades Micro'!$B131=BQ$2,'Atividades Micro'!$G131="Macro",'Atividades Micro'!$K131&lt;&gt;""),'Atividades Micro'!$K131,"")</f>
        <v/>
      </c>
      <c r="BR123" s="21" t="str">
        <f>IF(AND('Atividades Micro'!$B131=BR$2,'Atividades Micro'!$G131="Macro",'Atividades Micro'!$K131&lt;&gt;""),'Atividades Micro'!$K131,"")</f>
        <v/>
      </c>
      <c r="BS123" s="21" t="str">
        <f>IF(AND('Atividades Micro'!$B131=BS$2,'Atividades Micro'!$G131="Macro",'Atividades Micro'!$K131&lt;&gt;""),'Atividades Micro'!$K131,"")</f>
        <v/>
      </c>
      <c r="BT123" s="21" t="str">
        <f>IF(AND('Atividades Micro'!$B131=BT$2,'Atividades Micro'!$G131="Macro",'Atividades Micro'!$K131&lt;&gt;""),'Atividades Micro'!$K131,"")</f>
        <v/>
      </c>
      <c r="BU123" s="21" t="str">
        <f>IF(AND('Atividades Micro'!$B131=BU$2,'Atividades Micro'!$G131="Macro",'Atividades Micro'!$K131&lt;&gt;""),'Atividades Micro'!$K131,"")</f>
        <v/>
      </c>
      <c r="BV123" s="21" t="str">
        <f>IF(AND('Atividades Micro'!$B131=BV$2,'Atividades Micro'!$G131="Macro",'Atividades Micro'!$K131&lt;&gt;""),'Atividades Micro'!$K131,"")</f>
        <v/>
      </c>
      <c r="BW123" s="21" t="str">
        <f>IF(AND('Atividades Micro'!$B131=BW$2,'Atividades Micro'!$G131="Macro",'Atividades Micro'!$K131&lt;&gt;""),'Atividades Micro'!$K131,"")</f>
        <v/>
      </c>
      <c r="BX123" s="21" t="str">
        <f>IF(AND('Atividades Micro'!$B131=BX$2,'Atividades Micro'!$G131="Macro",'Atividades Micro'!$K131&lt;&gt;""),'Atividades Micro'!$K131,"")</f>
        <v/>
      </c>
      <c r="BY123" s="21" t="str">
        <f>IF(AND('Atividades Micro'!$B131=BY$2,'Atividades Micro'!$G131="Macro",'Atividades Micro'!$K131&lt;&gt;""),'Atividades Micro'!$K131,"")</f>
        <v/>
      </c>
      <c r="BZ123" s="21" t="str">
        <f>IF(AND('Atividades Micro'!$B131=BZ$2,'Atividades Micro'!$G131="Macro",'Atividades Micro'!$K131&lt;&gt;""),'Atividades Micro'!$K131,"")</f>
        <v/>
      </c>
      <c r="CA123" s="21" t="str">
        <f>IF(AND('Atividades Micro'!$B131=CA$2,'Atividades Micro'!$G131="Macro",'Atividades Micro'!$K131&lt;&gt;""),'Atividades Micro'!$K131,"")</f>
        <v/>
      </c>
      <c r="CB123" s="21" t="str">
        <f>IF(AND('Atividades Micro'!$B131=CB$2,'Atividades Micro'!$G131="Macro",'Atividades Micro'!$K131&lt;&gt;""),'Atividades Micro'!$K131,"")</f>
        <v/>
      </c>
      <c r="CC123" s="21" t="str">
        <f>IF(AND('Atividades Micro'!$B131=CC$2,'Atividades Micro'!$G131="Macro",'Atividades Micro'!$K131&lt;&gt;""),'Atividades Micro'!$K131,"")</f>
        <v/>
      </c>
      <c r="CD123" s="21" t="str">
        <f>IF(AND('Atividades Micro'!$B131=CD$2,'Atividades Micro'!$G131="Micro",'Atividades Micro'!$K131&lt;&gt;""),'Atividades Micro'!$K131,"")</f>
        <v/>
      </c>
      <c r="CE123" s="21" t="str">
        <f>IF(AND('Atividades Micro'!$B131=CE$2,'Atividades Micro'!$G131="Micro",'Atividades Micro'!$K131&lt;&gt;""),'Atividades Micro'!$K131,"")</f>
        <v/>
      </c>
      <c r="CF123" s="21" t="str">
        <f>IF(AND('Atividades Micro'!$B131=CF$2,'Atividades Micro'!$G131="Micro",'Atividades Micro'!$K131&lt;&gt;""),'Atividades Micro'!$K131,"")</f>
        <v/>
      </c>
      <c r="CG123" s="21" t="str">
        <f>IF(AND('Atividades Micro'!$B131=CG$2,'Atividades Micro'!$G131="Micro",'Atividades Micro'!$K131&lt;&gt;""),'Atividades Micro'!$K131,"")</f>
        <v/>
      </c>
      <c r="CH123" s="21" t="str">
        <f>IF(AND('Atividades Micro'!$B131=CH$2,'Atividades Micro'!$G131="Micro",'Atividades Micro'!$K131&lt;&gt;""),'Atividades Micro'!$K131,"")</f>
        <v/>
      </c>
      <c r="CI123" s="21" t="str">
        <f>IF(AND('Atividades Micro'!$B131=CI$2,'Atividades Micro'!$G131="Micro",'Atividades Micro'!$K131&lt;&gt;""),'Atividades Micro'!$K131,"")</f>
        <v/>
      </c>
      <c r="CJ123" s="21" t="str">
        <f>IF(AND('Atividades Micro'!$B131=CJ$2,'Atividades Micro'!$G131="Micro",'Atividades Micro'!$K131&lt;&gt;""),'Atividades Micro'!$K131,"")</f>
        <v/>
      </c>
      <c r="CK123" s="21" t="str">
        <f>IF(AND('Atividades Micro'!$B131=CK$2,'Atividades Micro'!$G131="Micro",'Atividades Micro'!$K131&lt;&gt;""),'Atividades Micro'!$K131,"")</f>
        <v/>
      </c>
      <c r="CL123" s="21" t="str">
        <f>IF(AND('Atividades Micro'!$B131=CL$2,'Atividades Micro'!$G131="Micro",'Atividades Micro'!$K131&lt;&gt;""),'Atividades Micro'!$K131,"")</f>
        <v/>
      </c>
      <c r="CM123" s="21" t="str">
        <f>IF(AND('Atividades Micro'!$B131=CM$2,'Atividades Micro'!$G131="Micro",'Atividades Micro'!$K131&lt;&gt;""),'Atividades Micro'!$K131,"")</f>
        <v/>
      </c>
      <c r="CN123" s="21" t="str">
        <f>IF(AND('Atividades Micro'!$B131=CN$2,'Atividades Micro'!$G131="Micro",'Atividades Micro'!$K131&lt;&gt;""),'Atividades Micro'!$K131,"")</f>
        <v/>
      </c>
      <c r="CO123" s="21" t="str">
        <f>IF(AND('Atividades Micro'!$B131=CO$2,'Atividades Micro'!$G131="Micro",'Atividades Micro'!$K131&lt;&gt;""),'Atividades Micro'!$K131,"")</f>
        <v/>
      </c>
    </row>
    <row r="124" spans="1:93">
      <c r="A124" s="21" t="str">
        <f>IF(AND('Atividades Micro'!$A132=A$2,'Atividades Micro'!$K132&lt;&gt;""),'Atividades Micro'!$K132,"")</f>
        <v/>
      </c>
      <c r="B124" s="21" t="str">
        <f>IF(AND('Atividades Micro'!$A132=B$2,'Atividades Micro'!$L132&lt;&gt;""),'Atividades Micro'!$L132,"")</f>
        <v/>
      </c>
      <c r="C124" s="21" t="str">
        <f>IF(AND('Atividades Micro'!$A132=C$2,'Atividades Micro'!$K132&lt;&gt;""),'Atividades Micro'!$K132,"")</f>
        <v/>
      </c>
      <c r="D124" s="21" t="str">
        <f>IF(AND('Atividades Micro'!$A132=D$2,'Atividades Micro'!$L132&lt;&gt;""),'Atividades Micro'!$L132,"")</f>
        <v/>
      </c>
      <c r="E124" s="21" t="str">
        <f>IF(AND('Atividades Micro'!$A132=E$2,'Atividades Micro'!$K132&lt;&gt;""),'Atividades Micro'!$K132,"")</f>
        <v/>
      </c>
      <c r="F124" s="21" t="str">
        <f>IF(AND('Atividades Micro'!$A132=F$2,'Atividades Micro'!$L132&lt;&gt;""),'Atividades Micro'!$L132,"")</f>
        <v/>
      </c>
      <c r="G124" s="21" t="str">
        <f>IF(AND('Atividades Micro'!$A132=G$2,'Atividades Micro'!$K132&lt;&gt;""),'Atividades Micro'!$K132,"")</f>
        <v/>
      </c>
      <c r="H124" s="21" t="str">
        <f>IF(AND('Atividades Micro'!$A132=H$2,'Atividades Micro'!$L132&lt;&gt;""),'Atividades Micro'!$L132,"")</f>
        <v/>
      </c>
      <c r="I124" s="21" t="str">
        <f>IF(AND('Atividades Micro'!$A132=I$2,'Atividades Micro'!$K132&lt;&gt;""),'Atividades Micro'!$K132,"")</f>
        <v/>
      </c>
      <c r="J124" s="21" t="str">
        <f>IF(AND('Atividades Micro'!$A132=J$2,'Atividades Micro'!$L132&lt;&gt;""),'Atividades Micro'!$L132,"")</f>
        <v/>
      </c>
      <c r="K124" s="21" t="str">
        <f>IF(AND('Atividades Micro'!$B132=K$2,'Atividades Micro'!$K132&lt;&gt;""),'Atividades Micro'!$K132,"")</f>
        <v/>
      </c>
      <c r="L124" s="21" t="str">
        <f>IF(AND('Atividades Micro'!$B132=L$2,'Atividades Micro'!$L132&lt;&gt;""),'Atividades Micro'!$L132,"")</f>
        <v/>
      </c>
      <c r="M124" s="21" t="str">
        <f>IF(AND('Atividades Micro'!$B132=M$2,'Atividades Micro'!$K132&lt;&gt;""),'Atividades Micro'!$K132,"")</f>
        <v/>
      </c>
      <c r="N124" s="21" t="str">
        <f>IF(AND('Atividades Micro'!$B132=N$2,'Atividades Micro'!$L132&lt;&gt;""),'Atividades Micro'!$L132,"")</f>
        <v/>
      </c>
      <c r="O124" s="21" t="str">
        <f>IF(AND('Atividades Micro'!$A132=O$2,'Atividades Micro'!$K132&lt;&gt;""),'Atividades Micro'!$K132,"")</f>
        <v/>
      </c>
      <c r="P124" s="21" t="str">
        <f>IF(AND('Atividades Micro'!$A132=P$2,'Atividades Micro'!$L132&lt;&gt;""),'Atividades Micro'!$L132,"")</f>
        <v/>
      </c>
      <c r="Q124" s="21" t="str">
        <f>IF(AND('Atividades Micro'!$B132=Q$2,'Atividades Micro'!$K132&lt;&gt;""),'Atividades Micro'!$K132,"")</f>
        <v/>
      </c>
      <c r="R124" s="21" t="str">
        <f>IF(AND('Atividades Micro'!$B132=R$2,'Atividades Micro'!$L132&lt;&gt;""),'Atividades Micro'!$L132,"")</f>
        <v/>
      </c>
      <c r="S124" s="21">
        <f>IF(AND('Atividades Micro'!$A132=S$2,'Atividades Micro'!$K132&lt;&gt;""),'Atividades Micro'!$K132,"")</f>
        <v>46248</v>
      </c>
      <c r="T124" s="21" t="str">
        <f>IF(AND('Atividades Micro'!$A132=T$2,'Atividades Micro'!$L132&lt;&gt;""),'Atividades Micro'!$L132,"")</f>
        <v/>
      </c>
      <c r="U124" s="21">
        <f>IF(AND('Atividades Micro'!$B132=U$2,'Atividades Micro'!$K132&lt;&gt;""),'Atividades Micro'!$K132,"")</f>
        <v>46248</v>
      </c>
      <c r="V124" s="21" t="str">
        <f>IF(AND('Atividades Micro'!$B132=V$2,'Atividades Micro'!$L132&lt;&gt;""),'Atividades Micro'!$L132,"")</f>
        <v/>
      </c>
      <c r="W124" s="21" t="str">
        <f>IF(AND('Atividades Micro'!$B132=W$2,'Atividades Micro'!$K132&lt;&gt;""),'Atividades Micro'!$K132,"")</f>
        <v/>
      </c>
      <c r="X124" s="21" t="str">
        <f>IF(AND('Atividades Micro'!$B132=X$2,'Atividades Micro'!$L132&lt;&gt;""),'Atividades Micro'!$L132,"")</f>
        <v/>
      </c>
      <c r="Y124" s="21" t="str">
        <f>IF(AND('Atividades Micro'!$A132=Y$2,'Atividades Micro'!$K132&lt;&gt;""),'Atividades Micro'!$K132,"")</f>
        <v/>
      </c>
      <c r="Z124" s="21" t="str">
        <f>IF(AND('Atividades Micro'!$A132=Z$2,'Atividades Micro'!$L132&lt;&gt;""),'Atividades Micro'!$L132,"")</f>
        <v/>
      </c>
      <c r="AA124" s="21" t="str">
        <f>IF(AND('Atividades Micro'!$B132=AA$2,'Atividades Micro'!$K132&lt;&gt;""),'Atividades Micro'!$K132,"")</f>
        <v/>
      </c>
      <c r="AB124" s="21" t="str">
        <f>IF(AND('Atividades Micro'!$B132=AB$2,'Atividades Micro'!$L132&lt;&gt;""),'Atividades Micro'!$L132,"")</f>
        <v/>
      </c>
      <c r="AC124" s="21" t="str">
        <f>IF(AND('Atividades Micro'!$B132=AC$2,'Atividades Micro'!$K132&lt;&gt;""),'Atividades Micro'!$K132,"")</f>
        <v/>
      </c>
      <c r="AD124" s="21" t="str">
        <f>IF(AND('Atividades Micro'!$B132=AD$2,'Atividades Micro'!$L132&lt;&gt;""),'Atividades Micro'!$L132,"")</f>
        <v/>
      </c>
      <c r="AE124" s="21" t="str">
        <f>IF(AND('Atividades Micro'!$A132=AE$2,'Atividades Micro'!$K132&lt;&gt;""),'Atividades Micro'!$K132,"")</f>
        <v/>
      </c>
      <c r="AF124" s="21" t="str">
        <f>IF(AND('Atividades Micro'!$A132=AF$2,'Atividades Micro'!$L132&lt;&gt;""),'Atividades Micro'!$L132,"")</f>
        <v/>
      </c>
      <c r="AG124" s="21" t="str">
        <f>IF(AND('Atividades Micro'!$B132=AG$2,'Atividades Micro'!$K132&lt;&gt;""),'Atividades Micro'!$K132,"")</f>
        <v/>
      </c>
      <c r="AH124" s="21" t="str">
        <f>IF(AND('Atividades Micro'!$B132=AH$2,'Atividades Micro'!$L132&lt;&gt;""),'Atividades Micro'!$L132,"")</f>
        <v/>
      </c>
      <c r="AI124" s="21" t="str">
        <f>IF(AND('Atividades Micro'!$B132=AI$2,'Atividades Micro'!$K132&lt;&gt;""),'Atividades Micro'!$K132,"")</f>
        <v/>
      </c>
      <c r="AJ124" s="21" t="str">
        <f>IF(AND('Atividades Micro'!$B132=AJ$2,'Atividades Micro'!$L132&lt;&gt;""),'Atividades Micro'!$L132,"")</f>
        <v/>
      </c>
      <c r="AK124" s="21" t="str">
        <f>IF(AND('Atividades Micro'!$A132=AK$2,'Atividades Micro'!$K132&lt;&gt;""),'Atividades Micro'!$K132,"")</f>
        <v/>
      </c>
      <c r="AL124" s="21" t="str">
        <f>IF(AND('Atividades Micro'!$A132=AL$2,'Atividades Micro'!$L132&lt;&gt;""),'Atividades Micro'!$L132,"")</f>
        <v/>
      </c>
      <c r="AM124" s="21" t="str">
        <f>IF(AND('Atividades Micro'!$B132=AM$2,'Atividades Micro'!$K132&lt;&gt;""),'Atividades Micro'!$K132,"")</f>
        <v/>
      </c>
      <c r="AN124" s="21" t="str">
        <f>IF(AND('Atividades Micro'!$B132=AN$2,'Atividades Micro'!$L132&lt;&gt;""),'Atividades Micro'!$L132,"")</f>
        <v/>
      </c>
      <c r="AO124" s="21" t="str">
        <f>IF(AND('Atividades Micro'!$B132=AO$2,'Atividades Micro'!$K132&lt;&gt;""),'Atividades Micro'!$K132,"")</f>
        <v/>
      </c>
      <c r="AP124" s="21" t="str">
        <f>IF(AND('Atividades Micro'!$B132=AP$2,'Atividades Micro'!$L132&lt;&gt;""),'Atividades Micro'!$L132,"")</f>
        <v/>
      </c>
      <c r="AQ124" s="21" t="str">
        <f>IF(AND('Atividades Micro'!$A132=AQ$2,'Atividades Micro'!$K132&lt;&gt;""),'Atividades Micro'!$K132,"")</f>
        <v/>
      </c>
      <c r="AR124" s="21" t="str">
        <f>IF(AND('Atividades Micro'!$A132=AR$2,'Atividades Micro'!$L132&lt;&gt;""),'Atividades Micro'!$L132,"")</f>
        <v/>
      </c>
      <c r="AS124" s="21" t="str">
        <f>IF(AND('Atividades Micro'!$B132=AS$2,'Atividades Micro'!$K132&lt;&gt;""),'Atividades Micro'!$K132,"")</f>
        <v/>
      </c>
      <c r="AT124" s="21" t="str">
        <f>IF(AND('Atividades Micro'!$B132=AT$2,'Atividades Micro'!$L132&lt;&gt;""),'Atividades Micro'!$L132,"")</f>
        <v/>
      </c>
      <c r="AU124" s="21" t="str">
        <f>IF(AND('Atividades Micro'!$A132=AU$2,'Atividades Micro'!$K132&lt;&gt;""),'Atividades Micro'!$K132,"")</f>
        <v/>
      </c>
      <c r="AV124" s="21" t="str">
        <f>IF(AND('Atividades Micro'!$A132=AV$2,'Atividades Micro'!$L132&lt;&gt;""),'Atividades Micro'!$L132,"")</f>
        <v/>
      </c>
      <c r="AW124" s="21" t="str">
        <f>IF(AND('Atividades Micro'!$B132=AW$2,'Atividades Micro'!$K132&lt;&gt;""),'Atividades Micro'!$K132,"")</f>
        <v/>
      </c>
      <c r="AX124" s="21" t="str">
        <f>IF(AND('Atividades Micro'!$B132=AX$2,'Atividades Micro'!$L132&lt;&gt;""),'Atividades Micro'!$L132,"")</f>
        <v/>
      </c>
      <c r="AY124" s="21" t="str">
        <f>IF(AND('Atividades Micro'!$A132=AY$2,'Atividades Micro'!$K132&lt;&gt;""),'Atividades Micro'!$K132,"")</f>
        <v/>
      </c>
      <c r="AZ124" s="21" t="str">
        <f>IF(AND('Atividades Micro'!$A132=AZ$2,'Atividades Micro'!$L132&lt;&gt;""),'Atividades Micro'!$L132,"")</f>
        <v/>
      </c>
      <c r="BA124" s="21" t="str">
        <f>IF(AND('Atividades Micro'!$B132=BA$2,'Atividades Micro'!$K132&lt;&gt;""),'Atividades Micro'!$K132,"")</f>
        <v/>
      </c>
      <c r="BB124" s="21" t="str">
        <f>IF(AND('Atividades Micro'!$B132=BB$2,'Atividades Micro'!$L132&lt;&gt;""),'Atividades Micro'!$L132,"")</f>
        <v/>
      </c>
      <c r="BC124" s="21" t="str">
        <f>IF(AND('Atividades Micro'!$B132=BC$2,'Atividades Micro'!$G132="Macro",'Atividades Micro'!$K132&lt;&gt;""),'Atividades Micro'!$K132,"")</f>
        <v/>
      </c>
      <c r="BD124" s="21" t="str">
        <f>IF(AND('Atividades Micro'!$B132=BD$2,'Atividades Micro'!$G132="Macro",'Atividades Micro'!$K132&lt;&gt;""),'Atividades Micro'!$K132,"")</f>
        <v/>
      </c>
      <c r="BE124" s="21" t="str">
        <f>IF(AND('Atividades Micro'!$B132=BE$2,'Atividades Micro'!$G132="Macro",'Atividades Micro'!$K132&lt;&gt;""),'Atividades Micro'!$K132,"")</f>
        <v/>
      </c>
      <c r="BF124" s="21" t="str">
        <f>IF(AND('Atividades Micro'!$B132=BF$2,'Atividades Micro'!$G132="Macro",'Atividades Micro'!$K132&lt;&gt;""),'Atividades Micro'!$K132,"")</f>
        <v/>
      </c>
      <c r="BG124" s="21" t="str">
        <f>IF(AND('Atividades Micro'!$B132=BG$2,'Atividades Micro'!$G132="Macro",'Atividades Micro'!$K132&lt;&gt;""),'Atividades Micro'!$K132,"")</f>
        <v/>
      </c>
      <c r="BH124" s="21" t="str">
        <f>IF(AND('Atividades Micro'!$B132=BH$2,'Atividades Micro'!$G132="Macro",'Atividades Micro'!$K132&lt;&gt;""),'Atividades Micro'!$K132,"")</f>
        <v/>
      </c>
      <c r="BI124" s="21" t="str">
        <f>IF(AND('Atividades Micro'!$B132=BI$2,'Atividades Micro'!$G132="Macro",'Atividades Micro'!$K132&lt;&gt;""),'Atividades Micro'!$K132,"")</f>
        <v/>
      </c>
      <c r="BJ124" s="21" t="str">
        <f>IF(AND('Atividades Micro'!$B132=BJ$2,'Atividades Micro'!$G132="Macro",'Atividades Micro'!$K132&lt;&gt;""),'Atividades Micro'!$K132,"")</f>
        <v/>
      </c>
      <c r="BK124" s="21" t="str">
        <f>IF(AND('Atividades Micro'!$B132=BK$2,'Atividades Micro'!$G132="Macro",'Atividades Micro'!$K132&lt;&gt;""),'Atividades Micro'!$K132,"")</f>
        <v/>
      </c>
      <c r="BL124" s="21" t="str">
        <f>IF(AND('Atividades Micro'!$B132=BL$2,'Atividades Micro'!$G132="Macro",'Atividades Micro'!$K132&lt;&gt;""),'Atividades Micro'!$K132,"")</f>
        <v/>
      </c>
      <c r="BM124" s="21" t="str">
        <f>IF(AND('Atividades Micro'!$B132=BM$2,'Atividades Micro'!$G132="Macro",'Atividades Micro'!$K132&lt;&gt;""),'Atividades Micro'!$K132,"")</f>
        <v/>
      </c>
      <c r="BN124" s="21" t="str">
        <f>IF(AND('Atividades Micro'!$B132=BN$2,'Atividades Micro'!$G132="Macro",'Atividades Micro'!$K132&lt;&gt;""),'Atividades Micro'!$K132,"")</f>
        <v/>
      </c>
      <c r="BO124" s="21" t="str">
        <f>IF(AND('Atividades Micro'!$B132=BO$2,'Atividades Micro'!$G132="Macro",'Atividades Micro'!$K132&lt;&gt;""),'Atividades Micro'!$K132,"")</f>
        <v/>
      </c>
      <c r="BP124" s="21" t="str">
        <f>IF(AND('Atividades Micro'!$B132=BP$2,'Atividades Micro'!$G132="Macro",'Atividades Micro'!$K132&lt;&gt;""),'Atividades Micro'!$K132,"")</f>
        <v/>
      </c>
      <c r="BQ124" s="21" t="str">
        <f>IF(AND('Atividades Micro'!$B132=BQ$2,'Atividades Micro'!$G132="Macro",'Atividades Micro'!$K132&lt;&gt;""),'Atividades Micro'!$K132,"")</f>
        <v/>
      </c>
      <c r="BR124" s="21" t="str">
        <f>IF(AND('Atividades Micro'!$B132=BR$2,'Atividades Micro'!$G132="Macro",'Atividades Micro'!$K132&lt;&gt;""),'Atividades Micro'!$K132,"")</f>
        <v/>
      </c>
      <c r="BS124" s="21" t="str">
        <f>IF(AND('Atividades Micro'!$B132=BS$2,'Atividades Micro'!$G132="Macro",'Atividades Micro'!$K132&lt;&gt;""),'Atividades Micro'!$K132,"")</f>
        <v/>
      </c>
      <c r="BT124" s="21" t="str">
        <f>IF(AND('Atividades Micro'!$B132=BT$2,'Atividades Micro'!$G132="Macro",'Atividades Micro'!$K132&lt;&gt;""),'Atividades Micro'!$K132,"")</f>
        <v/>
      </c>
      <c r="BU124" s="21" t="str">
        <f>IF(AND('Atividades Micro'!$B132=BU$2,'Atividades Micro'!$G132="Macro",'Atividades Micro'!$K132&lt;&gt;""),'Atividades Micro'!$K132,"")</f>
        <v/>
      </c>
      <c r="BV124" s="21" t="str">
        <f>IF(AND('Atividades Micro'!$B132=BV$2,'Atividades Micro'!$G132="Macro",'Atividades Micro'!$K132&lt;&gt;""),'Atividades Micro'!$K132,"")</f>
        <v/>
      </c>
      <c r="BW124" s="21" t="str">
        <f>IF(AND('Atividades Micro'!$B132=BW$2,'Atividades Micro'!$G132="Macro",'Atividades Micro'!$K132&lt;&gt;""),'Atividades Micro'!$K132,"")</f>
        <v/>
      </c>
      <c r="BX124" s="21" t="str">
        <f>IF(AND('Atividades Micro'!$B132=BX$2,'Atividades Micro'!$G132="Macro",'Atividades Micro'!$K132&lt;&gt;""),'Atividades Micro'!$K132,"")</f>
        <v/>
      </c>
      <c r="BY124" s="21" t="str">
        <f>IF(AND('Atividades Micro'!$B132=BY$2,'Atividades Micro'!$G132="Macro",'Atividades Micro'!$K132&lt;&gt;""),'Atividades Micro'!$K132,"")</f>
        <v/>
      </c>
      <c r="BZ124" s="21" t="str">
        <f>IF(AND('Atividades Micro'!$B132=BZ$2,'Atividades Micro'!$G132="Macro",'Atividades Micro'!$K132&lt;&gt;""),'Atividades Micro'!$K132,"")</f>
        <v/>
      </c>
      <c r="CA124" s="21" t="str">
        <f>IF(AND('Atividades Micro'!$B132=CA$2,'Atividades Micro'!$G132="Macro",'Atividades Micro'!$K132&lt;&gt;""),'Atividades Micro'!$K132,"")</f>
        <v/>
      </c>
      <c r="CB124" s="21" t="str">
        <f>IF(AND('Atividades Micro'!$B132=CB$2,'Atividades Micro'!$G132="Macro",'Atividades Micro'!$K132&lt;&gt;""),'Atividades Micro'!$K132,"")</f>
        <v/>
      </c>
      <c r="CC124" s="21" t="str">
        <f>IF(AND('Atividades Micro'!$B132=CC$2,'Atividades Micro'!$G132="Macro",'Atividades Micro'!$K132&lt;&gt;""),'Atividades Micro'!$K132,"")</f>
        <v/>
      </c>
      <c r="CD124" s="21" t="str">
        <f>IF(AND('Atividades Micro'!$B132=CD$2,'Atividades Micro'!$G132="Micro",'Atividades Micro'!$K132&lt;&gt;""),'Atividades Micro'!$K132,"")</f>
        <v/>
      </c>
      <c r="CE124" s="21" t="str">
        <f>IF(AND('Atividades Micro'!$B132=CE$2,'Atividades Micro'!$G132="Micro",'Atividades Micro'!$K132&lt;&gt;""),'Atividades Micro'!$K132,"")</f>
        <v/>
      </c>
      <c r="CF124" s="21" t="str">
        <f>IF(AND('Atividades Micro'!$B132=CF$2,'Atividades Micro'!$G132="Micro",'Atividades Micro'!$K132&lt;&gt;""),'Atividades Micro'!$K132,"")</f>
        <v/>
      </c>
      <c r="CG124" s="21">
        <f>IF(AND('Atividades Micro'!$B132=CG$2,'Atividades Micro'!$G132="Micro",'Atividades Micro'!$K132&lt;&gt;""),'Atividades Micro'!$K132,"")</f>
        <v>46248</v>
      </c>
      <c r="CH124" s="21" t="str">
        <f>IF(AND('Atividades Micro'!$B132=CH$2,'Atividades Micro'!$G132="Micro",'Atividades Micro'!$K132&lt;&gt;""),'Atividades Micro'!$K132,"")</f>
        <v/>
      </c>
      <c r="CI124" s="21" t="str">
        <f>IF(AND('Atividades Micro'!$B132=CI$2,'Atividades Micro'!$G132="Micro",'Atividades Micro'!$K132&lt;&gt;""),'Atividades Micro'!$K132,"")</f>
        <v/>
      </c>
      <c r="CJ124" s="21" t="str">
        <f>IF(AND('Atividades Micro'!$B132=CJ$2,'Atividades Micro'!$G132="Micro",'Atividades Micro'!$K132&lt;&gt;""),'Atividades Micro'!$K132,"")</f>
        <v/>
      </c>
      <c r="CK124" s="21" t="str">
        <f>IF(AND('Atividades Micro'!$B132=CK$2,'Atividades Micro'!$G132="Micro",'Atividades Micro'!$K132&lt;&gt;""),'Atividades Micro'!$K132,"")</f>
        <v/>
      </c>
      <c r="CL124" s="21" t="str">
        <f>IF(AND('Atividades Micro'!$B132=CL$2,'Atividades Micro'!$G132="Micro",'Atividades Micro'!$K132&lt;&gt;""),'Atividades Micro'!$K132,"")</f>
        <v/>
      </c>
      <c r="CM124" s="21" t="str">
        <f>IF(AND('Atividades Micro'!$B132=CM$2,'Atividades Micro'!$G132="Micro",'Atividades Micro'!$K132&lt;&gt;""),'Atividades Micro'!$K132,"")</f>
        <v/>
      </c>
      <c r="CN124" s="21" t="str">
        <f>IF(AND('Atividades Micro'!$B132=CN$2,'Atividades Micro'!$G132="Micro",'Atividades Micro'!$K132&lt;&gt;""),'Atividades Micro'!$K132,"")</f>
        <v/>
      </c>
      <c r="CO124" s="21" t="str">
        <f>IF(AND('Atividades Micro'!$B132=CO$2,'Atividades Micro'!$G132="Micro",'Atividades Micro'!$K132&lt;&gt;""),'Atividades Micro'!$K132,"")</f>
        <v/>
      </c>
    </row>
    <row r="125" spans="1:93">
      <c r="A125" s="21" t="str">
        <f>IF(AND('Atividades Micro'!$A133=A$2,'Atividades Micro'!$K133&lt;&gt;""),'Atividades Micro'!$K133,"")</f>
        <v/>
      </c>
      <c r="B125" s="21" t="str">
        <f>IF(AND('Atividades Micro'!$A133=B$2,'Atividades Micro'!$L133&lt;&gt;""),'Atividades Micro'!$L133,"")</f>
        <v/>
      </c>
      <c r="C125" s="21" t="str">
        <f>IF(AND('Atividades Micro'!$A133=C$2,'Atividades Micro'!$K133&lt;&gt;""),'Atividades Micro'!$K133,"")</f>
        <v/>
      </c>
      <c r="D125" s="21" t="str">
        <f>IF(AND('Atividades Micro'!$A133=D$2,'Atividades Micro'!$L133&lt;&gt;""),'Atividades Micro'!$L133,"")</f>
        <v/>
      </c>
      <c r="E125" s="21" t="str">
        <f>IF(AND('Atividades Micro'!$A133=E$2,'Atividades Micro'!$K133&lt;&gt;""),'Atividades Micro'!$K133,"")</f>
        <v/>
      </c>
      <c r="F125" s="21" t="str">
        <f>IF(AND('Atividades Micro'!$A133=F$2,'Atividades Micro'!$L133&lt;&gt;""),'Atividades Micro'!$L133,"")</f>
        <v/>
      </c>
      <c r="G125" s="21" t="str">
        <f>IF(AND('Atividades Micro'!$A133=G$2,'Atividades Micro'!$K133&lt;&gt;""),'Atividades Micro'!$K133,"")</f>
        <v/>
      </c>
      <c r="H125" s="21" t="str">
        <f>IF(AND('Atividades Micro'!$A133=H$2,'Atividades Micro'!$L133&lt;&gt;""),'Atividades Micro'!$L133,"")</f>
        <v/>
      </c>
      <c r="I125" s="21" t="str">
        <f>IF(AND('Atividades Micro'!$A133=I$2,'Atividades Micro'!$K133&lt;&gt;""),'Atividades Micro'!$K133,"")</f>
        <v/>
      </c>
      <c r="J125" s="21" t="str">
        <f>IF(AND('Atividades Micro'!$A133=J$2,'Atividades Micro'!$L133&lt;&gt;""),'Atividades Micro'!$L133,"")</f>
        <v/>
      </c>
      <c r="K125" s="21" t="str">
        <f>IF(AND('Atividades Micro'!$B133=K$2,'Atividades Micro'!$K133&lt;&gt;""),'Atividades Micro'!$K133,"")</f>
        <v/>
      </c>
      <c r="L125" s="21" t="str">
        <f>IF(AND('Atividades Micro'!$B133=L$2,'Atividades Micro'!$L133&lt;&gt;""),'Atividades Micro'!$L133,"")</f>
        <v/>
      </c>
      <c r="M125" s="21" t="str">
        <f>IF(AND('Atividades Micro'!$B133=M$2,'Atividades Micro'!$K133&lt;&gt;""),'Atividades Micro'!$K133,"")</f>
        <v/>
      </c>
      <c r="N125" s="21" t="str">
        <f>IF(AND('Atividades Micro'!$B133=N$2,'Atividades Micro'!$L133&lt;&gt;""),'Atividades Micro'!$L133,"")</f>
        <v/>
      </c>
      <c r="O125" s="21" t="str">
        <f>IF(AND('Atividades Micro'!$A133=O$2,'Atividades Micro'!$K133&lt;&gt;""),'Atividades Micro'!$K133,"")</f>
        <v/>
      </c>
      <c r="P125" s="21" t="str">
        <f>IF(AND('Atividades Micro'!$A133=P$2,'Atividades Micro'!$L133&lt;&gt;""),'Atividades Micro'!$L133,"")</f>
        <v/>
      </c>
      <c r="Q125" s="21" t="str">
        <f>IF(AND('Atividades Micro'!$B133=Q$2,'Atividades Micro'!$K133&lt;&gt;""),'Atividades Micro'!$K133,"")</f>
        <v/>
      </c>
      <c r="R125" s="21" t="str">
        <f>IF(AND('Atividades Micro'!$B133=R$2,'Atividades Micro'!$L133&lt;&gt;""),'Atividades Micro'!$L133,"")</f>
        <v/>
      </c>
      <c r="S125" s="21">
        <f>IF(AND('Atividades Micro'!$A133=S$2,'Atividades Micro'!$K133&lt;&gt;""),'Atividades Micro'!$K133,"")</f>
        <v>46252</v>
      </c>
      <c r="T125" s="21" t="str">
        <f>IF(AND('Atividades Micro'!$A133=T$2,'Atividades Micro'!$L133&lt;&gt;""),'Atividades Micro'!$L133,"")</f>
        <v/>
      </c>
      <c r="U125" s="21">
        <f>IF(AND('Atividades Micro'!$B133=U$2,'Atividades Micro'!$K133&lt;&gt;""),'Atividades Micro'!$K133,"")</f>
        <v>46252</v>
      </c>
      <c r="V125" s="21" t="str">
        <f>IF(AND('Atividades Micro'!$B133=V$2,'Atividades Micro'!$L133&lt;&gt;""),'Atividades Micro'!$L133,"")</f>
        <v/>
      </c>
      <c r="W125" s="21" t="str">
        <f>IF(AND('Atividades Micro'!$B133=W$2,'Atividades Micro'!$K133&lt;&gt;""),'Atividades Micro'!$K133,"")</f>
        <v/>
      </c>
      <c r="X125" s="21" t="str">
        <f>IF(AND('Atividades Micro'!$B133=X$2,'Atividades Micro'!$L133&lt;&gt;""),'Atividades Micro'!$L133,"")</f>
        <v/>
      </c>
      <c r="Y125" s="21" t="str">
        <f>IF(AND('Atividades Micro'!$A133=Y$2,'Atividades Micro'!$K133&lt;&gt;""),'Atividades Micro'!$K133,"")</f>
        <v/>
      </c>
      <c r="Z125" s="21" t="str">
        <f>IF(AND('Atividades Micro'!$A133=Z$2,'Atividades Micro'!$L133&lt;&gt;""),'Atividades Micro'!$L133,"")</f>
        <v/>
      </c>
      <c r="AA125" s="21" t="str">
        <f>IF(AND('Atividades Micro'!$B133=AA$2,'Atividades Micro'!$K133&lt;&gt;""),'Atividades Micro'!$K133,"")</f>
        <v/>
      </c>
      <c r="AB125" s="21" t="str">
        <f>IF(AND('Atividades Micro'!$B133=AB$2,'Atividades Micro'!$L133&lt;&gt;""),'Atividades Micro'!$L133,"")</f>
        <v/>
      </c>
      <c r="AC125" s="21" t="str">
        <f>IF(AND('Atividades Micro'!$B133=AC$2,'Atividades Micro'!$K133&lt;&gt;""),'Atividades Micro'!$K133,"")</f>
        <v/>
      </c>
      <c r="AD125" s="21" t="str">
        <f>IF(AND('Atividades Micro'!$B133=AD$2,'Atividades Micro'!$L133&lt;&gt;""),'Atividades Micro'!$L133,"")</f>
        <v/>
      </c>
      <c r="AE125" s="21" t="str">
        <f>IF(AND('Atividades Micro'!$A133=AE$2,'Atividades Micro'!$K133&lt;&gt;""),'Atividades Micro'!$K133,"")</f>
        <v/>
      </c>
      <c r="AF125" s="21" t="str">
        <f>IF(AND('Atividades Micro'!$A133=AF$2,'Atividades Micro'!$L133&lt;&gt;""),'Atividades Micro'!$L133,"")</f>
        <v/>
      </c>
      <c r="AG125" s="21" t="str">
        <f>IF(AND('Atividades Micro'!$B133=AG$2,'Atividades Micro'!$K133&lt;&gt;""),'Atividades Micro'!$K133,"")</f>
        <v/>
      </c>
      <c r="AH125" s="21" t="str">
        <f>IF(AND('Atividades Micro'!$B133=AH$2,'Atividades Micro'!$L133&lt;&gt;""),'Atividades Micro'!$L133,"")</f>
        <v/>
      </c>
      <c r="AI125" s="21" t="str">
        <f>IF(AND('Atividades Micro'!$B133=AI$2,'Atividades Micro'!$K133&lt;&gt;""),'Atividades Micro'!$K133,"")</f>
        <v/>
      </c>
      <c r="AJ125" s="21" t="str">
        <f>IF(AND('Atividades Micro'!$B133=AJ$2,'Atividades Micro'!$L133&lt;&gt;""),'Atividades Micro'!$L133,"")</f>
        <v/>
      </c>
      <c r="AK125" s="21" t="str">
        <f>IF(AND('Atividades Micro'!$A133=AK$2,'Atividades Micro'!$K133&lt;&gt;""),'Atividades Micro'!$K133,"")</f>
        <v/>
      </c>
      <c r="AL125" s="21" t="str">
        <f>IF(AND('Atividades Micro'!$A133=AL$2,'Atividades Micro'!$L133&lt;&gt;""),'Atividades Micro'!$L133,"")</f>
        <v/>
      </c>
      <c r="AM125" s="21" t="str">
        <f>IF(AND('Atividades Micro'!$B133=AM$2,'Atividades Micro'!$K133&lt;&gt;""),'Atividades Micro'!$K133,"")</f>
        <v/>
      </c>
      <c r="AN125" s="21" t="str">
        <f>IF(AND('Atividades Micro'!$B133=AN$2,'Atividades Micro'!$L133&lt;&gt;""),'Atividades Micro'!$L133,"")</f>
        <v/>
      </c>
      <c r="AO125" s="21" t="str">
        <f>IF(AND('Atividades Micro'!$B133=AO$2,'Atividades Micro'!$K133&lt;&gt;""),'Atividades Micro'!$K133,"")</f>
        <v/>
      </c>
      <c r="AP125" s="21" t="str">
        <f>IF(AND('Atividades Micro'!$B133=AP$2,'Atividades Micro'!$L133&lt;&gt;""),'Atividades Micro'!$L133,"")</f>
        <v/>
      </c>
      <c r="AQ125" s="21" t="str">
        <f>IF(AND('Atividades Micro'!$A133=AQ$2,'Atividades Micro'!$K133&lt;&gt;""),'Atividades Micro'!$K133,"")</f>
        <v/>
      </c>
      <c r="AR125" s="21" t="str">
        <f>IF(AND('Atividades Micro'!$A133=AR$2,'Atividades Micro'!$L133&lt;&gt;""),'Atividades Micro'!$L133,"")</f>
        <v/>
      </c>
      <c r="AS125" s="21" t="str">
        <f>IF(AND('Atividades Micro'!$B133=AS$2,'Atividades Micro'!$K133&lt;&gt;""),'Atividades Micro'!$K133,"")</f>
        <v/>
      </c>
      <c r="AT125" s="21" t="str">
        <f>IF(AND('Atividades Micro'!$B133=AT$2,'Atividades Micro'!$L133&lt;&gt;""),'Atividades Micro'!$L133,"")</f>
        <v/>
      </c>
      <c r="AU125" s="21" t="str">
        <f>IF(AND('Atividades Micro'!$A133=AU$2,'Atividades Micro'!$K133&lt;&gt;""),'Atividades Micro'!$K133,"")</f>
        <v/>
      </c>
      <c r="AV125" s="21" t="str">
        <f>IF(AND('Atividades Micro'!$A133=AV$2,'Atividades Micro'!$L133&lt;&gt;""),'Atividades Micro'!$L133,"")</f>
        <v/>
      </c>
      <c r="AW125" s="21" t="str">
        <f>IF(AND('Atividades Micro'!$B133=AW$2,'Atividades Micro'!$K133&lt;&gt;""),'Atividades Micro'!$K133,"")</f>
        <v/>
      </c>
      <c r="AX125" s="21" t="str">
        <f>IF(AND('Atividades Micro'!$B133=AX$2,'Atividades Micro'!$L133&lt;&gt;""),'Atividades Micro'!$L133,"")</f>
        <v/>
      </c>
      <c r="AY125" s="21" t="str">
        <f>IF(AND('Atividades Micro'!$A133=AY$2,'Atividades Micro'!$K133&lt;&gt;""),'Atividades Micro'!$K133,"")</f>
        <v/>
      </c>
      <c r="AZ125" s="21" t="str">
        <f>IF(AND('Atividades Micro'!$A133=AZ$2,'Atividades Micro'!$L133&lt;&gt;""),'Atividades Micro'!$L133,"")</f>
        <v/>
      </c>
      <c r="BA125" s="21" t="str">
        <f>IF(AND('Atividades Micro'!$B133=BA$2,'Atividades Micro'!$K133&lt;&gt;""),'Atividades Micro'!$K133,"")</f>
        <v/>
      </c>
      <c r="BB125" s="21" t="str">
        <f>IF(AND('Atividades Micro'!$B133=BB$2,'Atividades Micro'!$L133&lt;&gt;""),'Atividades Micro'!$L133,"")</f>
        <v/>
      </c>
      <c r="BC125" s="21" t="str">
        <f>IF(AND('Atividades Micro'!$B133=BC$2,'Atividades Micro'!$G133="Macro",'Atividades Micro'!$K133&lt;&gt;""),'Atividades Micro'!$K133,"")</f>
        <v/>
      </c>
      <c r="BD125" s="21" t="str">
        <f>IF(AND('Atividades Micro'!$B133=BD$2,'Atividades Micro'!$G133="Macro",'Atividades Micro'!$K133&lt;&gt;""),'Atividades Micro'!$K133,"")</f>
        <v/>
      </c>
      <c r="BE125" s="21" t="str">
        <f>IF(AND('Atividades Micro'!$B133=BE$2,'Atividades Micro'!$G133="Macro",'Atividades Micro'!$K133&lt;&gt;""),'Atividades Micro'!$K133,"")</f>
        <v/>
      </c>
      <c r="BF125" s="21" t="str">
        <f>IF(AND('Atividades Micro'!$B133=BF$2,'Atividades Micro'!$G133="Macro",'Atividades Micro'!$K133&lt;&gt;""),'Atividades Micro'!$K133,"")</f>
        <v/>
      </c>
      <c r="BG125" s="21" t="str">
        <f>IF(AND('Atividades Micro'!$B133=BG$2,'Atividades Micro'!$G133="Macro",'Atividades Micro'!$K133&lt;&gt;""),'Atividades Micro'!$K133,"")</f>
        <v/>
      </c>
      <c r="BH125" s="21" t="str">
        <f>IF(AND('Atividades Micro'!$B133=BH$2,'Atividades Micro'!$G133="Macro",'Atividades Micro'!$K133&lt;&gt;""),'Atividades Micro'!$K133,"")</f>
        <v/>
      </c>
      <c r="BI125" s="21" t="str">
        <f>IF(AND('Atividades Micro'!$B133=BI$2,'Atividades Micro'!$G133="Macro",'Atividades Micro'!$K133&lt;&gt;""),'Atividades Micro'!$K133,"")</f>
        <v/>
      </c>
      <c r="BJ125" s="21" t="str">
        <f>IF(AND('Atividades Micro'!$B133=BJ$2,'Atividades Micro'!$G133="Macro",'Atividades Micro'!$K133&lt;&gt;""),'Atividades Micro'!$K133,"")</f>
        <v/>
      </c>
      <c r="BK125" s="21" t="str">
        <f>IF(AND('Atividades Micro'!$B133=BK$2,'Atividades Micro'!$G133="Macro",'Atividades Micro'!$K133&lt;&gt;""),'Atividades Micro'!$K133,"")</f>
        <v/>
      </c>
      <c r="BL125" s="21" t="str">
        <f>IF(AND('Atividades Micro'!$B133=BL$2,'Atividades Micro'!$G133="Macro",'Atividades Micro'!$K133&lt;&gt;""),'Atividades Micro'!$K133,"")</f>
        <v/>
      </c>
      <c r="BM125" s="21" t="str">
        <f>IF(AND('Atividades Micro'!$B133=BM$2,'Atividades Micro'!$G133="Macro",'Atividades Micro'!$K133&lt;&gt;""),'Atividades Micro'!$K133,"")</f>
        <v/>
      </c>
      <c r="BN125" s="21" t="str">
        <f>IF(AND('Atividades Micro'!$B133=BN$2,'Atividades Micro'!$G133="Macro",'Atividades Micro'!$K133&lt;&gt;""),'Atividades Micro'!$K133,"")</f>
        <v/>
      </c>
      <c r="BO125" s="21" t="str">
        <f>IF(AND('Atividades Micro'!$B133=BO$2,'Atividades Micro'!$G133="Macro",'Atividades Micro'!$K133&lt;&gt;""),'Atividades Micro'!$K133,"")</f>
        <v/>
      </c>
      <c r="BP125" s="21" t="str">
        <f>IF(AND('Atividades Micro'!$B133=BP$2,'Atividades Micro'!$G133="Macro",'Atividades Micro'!$K133&lt;&gt;""),'Atividades Micro'!$K133,"")</f>
        <v/>
      </c>
      <c r="BQ125" s="21" t="str">
        <f>IF(AND('Atividades Micro'!$B133=BQ$2,'Atividades Micro'!$G133="Macro",'Atividades Micro'!$K133&lt;&gt;""),'Atividades Micro'!$K133,"")</f>
        <v/>
      </c>
      <c r="BR125" s="21" t="str">
        <f>IF(AND('Atividades Micro'!$B133=BR$2,'Atividades Micro'!$G133="Macro",'Atividades Micro'!$K133&lt;&gt;""),'Atividades Micro'!$K133,"")</f>
        <v/>
      </c>
      <c r="BS125" s="21" t="str">
        <f>IF(AND('Atividades Micro'!$B133=BS$2,'Atividades Micro'!$G133="Macro",'Atividades Micro'!$K133&lt;&gt;""),'Atividades Micro'!$K133,"")</f>
        <v/>
      </c>
      <c r="BT125" s="21" t="str">
        <f>IF(AND('Atividades Micro'!$B133=BT$2,'Atividades Micro'!$G133="Macro",'Atividades Micro'!$K133&lt;&gt;""),'Atividades Micro'!$K133,"")</f>
        <v/>
      </c>
      <c r="BU125" s="21" t="str">
        <f>IF(AND('Atividades Micro'!$B133=BU$2,'Atividades Micro'!$G133="Macro",'Atividades Micro'!$K133&lt;&gt;""),'Atividades Micro'!$K133,"")</f>
        <v/>
      </c>
      <c r="BV125" s="21" t="str">
        <f>IF(AND('Atividades Micro'!$B133=BV$2,'Atividades Micro'!$G133="Macro",'Atividades Micro'!$K133&lt;&gt;""),'Atividades Micro'!$K133,"")</f>
        <v/>
      </c>
      <c r="BW125" s="21" t="str">
        <f>IF(AND('Atividades Micro'!$B133=BW$2,'Atividades Micro'!$G133="Macro",'Atividades Micro'!$K133&lt;&gt;""),'Atividades Micro'!$K133,"")</f>
        <v/>
      </c>
      <c r="BX125" s="21" t="str">
        <f>IF(AND('Atividades Micro'!$B133=BX$2,'Atividades Micro'!$G133="Macro",'Atividades Micro'!$K133&lt;&gt;""),'Atividades Micro'!$K133,"")</f>
        <v/>
      </c>
      <c r="BY125" s="21" t="str">
        <f>IF(AND('Atividades Micro'!$B133=BY$2,'Atividades Micro'!$G133="Macro",'Atividades Micro'!$K133&lt;&gt;""),'Atividades Micro'!$K133,"")</f>
        <v/>
      </c>
      <c r="BZ125" s="21" t="str">
        <f>IF(AND('Atividades Micro'!$B133=BZ$2,'Atividades Micro'!$G133="Macro",'Atividades Micro'!$K133&lt;&gt;""),'Atividades Micro'!$K133,"")</f>
        <v/>
      </c>
      <c r="CA125" s="21" t="str">
        <f>IF(AND('Atividades Micro'!$B133=CA$2,'Atividades Micro'!$G133="Macro",'Atividades Micro'!$K133&lt;&gt;""),'Atividades Micro'!$K133,"")</f>
        <v/>
      </c>
      <c r="CB125" s="21" t="str">
        <f>IF(AND('Atividades Micro'!$B133=CB$2,'Atividades Micro'!$G133="Macro",'Atividades Micro'!$K133&lt;&gt;""),'Atividades Micro'!$K133,"")</f>
        <v/>
      </c>
      <c r="CC125" s="21" t="str">
        <f>IF(AND('Atividades Micro'!$B133=CC$2,'Atividades Micro'!$G133="Macro",'Atividades Micro'!$K133&lt;&gt;""),'Atividades Micro'!$K133,"")</f>
        <v/>
      </c>
      <c r="CD125" s="21" t="str">
        <f>IF(AND('Atividades Micro'!$B133=CD$2,'Atividades Micro'!$G133="Micro",'Atividades Micro'!$K133&lt;&gt;""),'Atividades Micro'!$K133,"")</f>
        <v/>
      </c>
      <c r="CE125" s="21" t="str">
        <f>IF(AND('Atividades Micro'!$B133=CE$2,'Atividades Micro'!$G133="Micro",'Atividades Micro'!$K133&lt;&gt;""),'Atividades Micro'!$K133,"")</f>
        <v/>
      </c>
      <c r="CF125" s="21" t="str">
        <f>IF(AND('Atividades Micro'!$B133=CF$2,'Atividades Micro'!$G133="Micro",'Atividades Micro'!$K133&lt;&gt;""),'Atividades Micro'!$K133,"")</f>
        <v/>
      </c>
      <c r="CG125" s="21">
        <f>IF(AND('Atividades Micro'!$B133=CG$2,'Atividades Micro'!$G133="Micro",'Atividades Micro'!$K133&lt;&gt;""),'Atividades Micro'!$K133,"")</f>
        <v>46252</v>
      </c>
      <c r="CH125" s="21" t="str">
        <f>IF(AND('Atividades Micro'!$B133=CH$2,'Atividades Micro'!$G133="Micro",'Atividades Micro'!$K133&lt;&gt;""),'Atividades Micro'!$K133,"")</f>
        <v/>
      </c>
      <c r="CI125" s="21" t="str">
        <f>IF(AND('Atividades Micro'!$B133=CI$2,'Atividades Micro'!$G133="Micro",'Atividades Micro'!$K133&lt;&gt;""),'Atividades Micro'!$K133,"")</f>
        <v/>
      </c>
      <c r="CJ125" s="21" t="str">
        <f>IF(AND('Atividades Micro'!$B133=CJ$2,'Atividades Micro'!$G133="Micro",'Atividades Micro'!$K133&lt;&gt;""),'Atividades Micro'!$K133,"")</f>
        <v/>
      </c>
      <c r="CK125" s="21" t="str">
        <f>IF(AND('Atividades Micro'!$B133=CK$2,'Atividades Micro'!$G133="Micro",'Atividades Micro'!$K133&lt;&gt;""),'Atividades Micro'!$K133,"")</f>
        <v/>
      </c>
      <c r="CL125" s="21" t="str">
        <f>IF(AND('Atividades Micro'!$B133=CL$2,'Atividades Micro'!$G133="Micro",'Atividades Micro'!$K133&lt;&gt;""),'Atividades Micro'!$K133,"")</f>
        <v/>
      </c>
      <c r="CM125" s="21" t="str">
        <f>IF(AND('Atividades Micro'!$B133=CM$2,'Atividades Micro'!$G133="Micro",'Atividades Micro'!$K133&lt;&gt;""),'Atividades Micro'!$K133,"")</f>
        <v/>
      </c>
      <c r="CN125" s="21" t="str">
        <f>IF(AND('Atividades Micro'!$B133=CN$2,'Atividades Micro'!$G133="Micro",'Atividades Micro'!$K133&lt;&gt;""),'Atividades Micro'!$K133,"")</f>
        <v/>
      </c>
      <c r="CO125" s="21" t="str">
        <f>IF(AND('Atividades Micro'!$B133=CO$2,'Atividades Micro'!$G133="Micro",'Atividades Micro'!$K133&lt;&gt;""),'Atividades Micro'!$K133,"")</f>
        <v/>
      </c>
    </row>
    <row r="126" spans="1:93">
      <c r="A126" s="21" t="str">
        <f>IF(AND('Atividades Micro'!$A134=A$2,'Atividades Micro'!$K134&lt;&gt;""),'Atividades Micro'!$K134,"")</f>
        <v/>
      </c>
      <c r="B126" s="21" t="str">
        <f>IF(AND('Atividades Micro'!$A134=B$2,'Atividades Micro'!$L134&lt;&gt;""),'Atividades Micro'!$L134,"")</f>
        <v/>
      </c>
      <c r="C126" s="21" t="str">
        <f>IF(AND('Atividades Micro'!$A134=C$2,'Atividades Micro'!$K134&lt;&gt;""),'Atividades Micro'!$K134,"")</f>
        <v/>
      </c>
      <c r="D126" s="21" t="str">
        <f>IF(AND('Atividades Micro'!$A134=D$2,'Atividades Micro'!$L134&lt;&gt;""),'Atividades Micro'!$L134,"")</f>
        <v/>
      </c>
      <c r="E126" s="21" t="str">
        <f>IF(AND('Atividades Micro'!$A134=E$2,'Atividades Micro'!$K134&lt;&gt;""),'Atividades Micro'!$K134,"")</f>
        <v/>
      </c>
      <c r="F126" s="21" t="str">
        <f>IF(AND('Atividades Micro'!$A134=F$2,'Atividades Micro'!$L134&lt;&gt;""),'Atividades Micro'!$L134,"")</f>
        <v/>
      </c>
      <c r="G126" s="21" t="str">
        <f>IF(AND('Atividades Micro'!$A134=G$2,'Atividades Micro'!$K134&lt;&gt;""),'Atividades Micro'!$K134,"")</f>
        <v/>
      </c>
      <c r="H126" s="21" t="str">
        <f>IF(AND('Atividades Micro'!$A134=H$2,'Atividades Micro'!$L134&lt;&gt;""),'Atividades Micro'!$L134,"")</f>
        <v/>
      </c>
      <c r="I126" s="21" t="str">
        <f>IF(AND('Atividades Micro'!$A134=I$2,'Atividades Micro'!$K134&lt;&gt;""),'Atividades Micro'!$K134,"")</f>
        <v/>
      </c>
      <c r="J126" s="21" t="str">
        <f>IF(AND('Atividades Micro'!$A134=J$2,'Atividades Micro'!$L134&lt;&gt;""),'Atividades Micro'!$L134,"")</f>
        <v/>
      </c>
      <c r="K126" s="21" t="str">
        <f>IF(AND('Atividades Micro'!$B134=K$2,'Atividades Micro'!$K134&lt;&gt;""),'Atividades Micro'!$K134,"")</f>
        <v/>
      </c>
      <c r="L126" s="21" t="str">
        <f>IF(AND('Atividades Micro'!$B134=L$2,'Atividades Micro'!$L134&lt;&gt;""),'Atividades Micro'!$L134,"")</f>
        <v/>
      </c>
      <c r="M126" s="21" t="str">
        <f>IF(AND('Atividades Micro'!$B134=M$2,'Atividades Micro'!$K134&lt;&gt;""),'Atividades Micro'!$K134,"")</f>
        <v/>
      </c>
      <c r="N126" s="21" t="str">
        <f>IF(AND('Atividades Micro'!$B134=N$2,'Atividades Micro'!$L134&lt;&gt;""),'Atividades Micro'!$L134,"")</f>
        <v/>
      </c>
      <c r="O126" s="21" t="str">
        <f>IF(AND('Atividades Micro'!$A134=O$2,'Atividades Micro'!$K134&lt;&gt;""),'Atividades Micro'!$K134,"")</f>
        <v/>
      </c>
      <c r="P126" s="21" t="str">
        <f>IF(AND('Atividades Micro'!$A134=P$2,'Atividades Micro'!$L134&lt;&gt;""),'Atividades Micro'!$L134,"")</f>
        <v/>
      </c>
      <c r="Q126" s="21" t="str">
        <f>IF(AND('Atividades Micro'!$B134=Q$2,'Atividades Micro'!$K134&lt;&gt;""),'Atividades Micro'!$K134,"")</f>
        <v/>
      </c>
      <c r="R126" s="21" t="str">
        <f>IF(AND('Atividades Micro'!$B134=R$2,'Atividades Micro'!$L134&lt;&gt;""),'Atividades Micro'!$L134,"")</f>
        <v/>
      </c>
      <c r="S126" s="21" t="str">
        <f>IF(AND('Atividades Micro'!$A134=S$2,'Atividades Micro'!$K134&lt;&gt;""),'Atividades Micro'!$K134,"")</f>
        <v/>
      </c>
      <c r="T126" s="21" t="str">
        <f>IF(AND('Atividades Micro'!$A134=T$2,'Atividades Micro'!$L134&lt;&gt;""),'Atividades Micro'!$L134,"")</f>
        <v/>
      </c>
      <c r="U126" s="21" t="str">
        <f>IF(AND('Atividades Micro'!$B134=U$2,'Atividades Micro'!$K134&lt;&gt;""),'Atividades Micro'!$K134,"")</f>
        <v/>
      </c>
      <c r="V126" s="21" t="str">
        <f>IF(AND('Atividades Micro'!$B134=V$2,'Atividades Micro'!$L134&lt;&gt;""),'Atividades Micro'!$L134,"")</f>
        <v/>
      </c>
      <c r="W126" s="21" t="str">
        <f>IF(AND('Atividades Micro'!$B134=W$2,'Atividades Micro'!$K134&lt;&gt;""),'Atividades Micro'!$K134,"")</f>
        <v/>
      </c>
      <c r="X126" s="21" t="str">
        <f>IF(AND('Atividades Micro'!$B134=X$2,'Atividades Micro'!$L134&lt;&gt;""),'Atividades Micro'!$L134,"")</f>
        <v/>
      </c>
      <c r="Y126" s="21" t="str">
        <f>IF(AND('Atividades Micro'!$A134=Y$2,'Atividades Micro'!$K134&lt;&gt;""),'Atividades Micro'!$K134,"")</f>
        <v/>
      </c>
      <c r="Z126" s="21" t="str">
        <f>IF(AND('Atividades Micro'!$A134=Z$2,'Atividades Micro'!$L134&lt;&gt;""),'Atividades Micro'!$L134,"")</f>
        <v/>
      </c>
      <c r="AA126" s="21" t="str">
        <f>IF(AND('Atividades Micro'!$B134=AA$2,'Atividades Micro'!$K134&lt;&gt;""),'Atividades Micro'!$K134,"")</f>
        <v/>
      </c>
      <c r="AB126" s="21" t="str">
        <f>IF(AND('Atividades Micro'!$B134=AB$2,'Atividades Micro'!$L134&lt;&gt;""),'Atividades Micro'!$L134,"")</f>
        <v/>
      </c>
      <c r="AC126" s="21" t="str">
        <f>IF(AND('Atividades Micro'!$B134=AC$2,'Atividades Micro'!$K134&lt;&gt;""),'Atividades Micro'!$K134,"")</f>
        <v/>
      </c>
      <c r="AD126" s="21" t="str">
        <f>IF(AND('Atividades Micro'!$B134=AD$2,'Atividades Micro'!$L134&lt;&gt;""),'Atividades Micro'!$L134,"")</f>
        <v/>
      </c>
      <c r="AE126" s="21" t="str">
        <f>IF(AND('Atividades Micro'!$A134=AE$2,'Atividades Micro'!$K134&lt;&gt;""),'Atividades Micro'!$K134,"")</f>
        <v/>
      </c>
      <c r="AF126" s="21" t="str">
        <f>IF(AND('Atividades Micro'!$A134=AF$2,'Atividades Micro'!$L134&lt;&gt;""),'Atividades Micro'!$L134,"")</f>
        <v/>
      </c>
      <c r="AG126" s="21" t="str">
        <f>IF(AND('Atividades Micro'!$B134=AG$2,'Atividades Micro'!$K134&lt;&gt;""),'Atividades Micro'!$K134,"")</f>
        <v/>
      </c>
      <c r="AH126" s="21" t="str">
        <f>IF(AND('Atividades Micro'!$B134=AH$2,'Atividades Micro'!$L134&lt;&gt;""),'Atividades Micro'!$L134,"")</f>
        <v/>
      </c>
      <c r="AI126" s="21" t="str">
        <f>IF(AND('Atividades Micro'!$B134=AI$2,'Atividades Micro'!$K134&lt;&gt;""),'Atividades Micro'!$K134,"")</f>
        <v/>
      </c>
      <c r="AJ126" s="21" t="str">
        <f>IF(AND('Atividades Micro'!$B134=AJ$2,'Atividades Micro'!$L134&lt;&gt;""),'Atividades Micro'!$L134,"")</f>
        <v/>
      </c>
      <c r="AK126" s="21" t="str">
        <f>IF(AND('Atividades Micro'!$A134=AK$2,'Atividades Micro'!$K134&lt;&gt;""),'Atividades Micro'!$K134,"")</f>
        <v/>
      </c>
      <c r="AL126" s="21" t="str">
        <f>IF(AND('Atividades Micro'!$A134=AL$2,'Atividades Micro'!$L134&lt;&gt;""),'Atividades Micro'!$L134,"")</f>
        <v/>
      </c>
      <c r="AM126" s="21" t="str">
        <f>IF(AND('Atividades Micro'!$B134=AM$2,'Atividades Micro'!$K134&lt;&gt;""),'Atividades Micro'!$K134,"")</f>
        <v/>
      </c>
      <c r="AN126" s="21" t="str">
        <f>IF(AND('Atividades Micro'!$B134=AN$2,'Atividades Micro'!$L134&lt;&gt;""),'Atividades Micro'!$L134,"")</f>
        <v/>
      </c>
      <c r="AO126" s="21" t="str">
        <f>IF(AND('Atividades Micro'!$B134=AO$2,'Atividades Micro'!$K134&lt;&gt;""),'Atividades Micro'!$K134,"")</f>
        <v/>
      </c>
      <c r="AP126" s="21" t="str">
        <f>IF(AND('Atividades Micro'!$B134=AP$2,'Atividades Micro'!$L134&lt;&gt;""),'Atividades Micro'!$L134,"")</f>
        <v/>
      </c>
      <c r="AQ126" s="21" t="str">
        <f>IF(AND('Atividades Micro'!$A134=AQ$2,'Atividades Micro'!$K134&lt;&gt;""),'Atividades Micro'!$K134,"")</f>
        <v/>
      </c>
      <c r="AR126" s="21" t="str">
        <f>IF(AND('Atividades Micro'!$A134=AR$2,'Atividades Micro'!$L134&lt;&gt;""),'Atividades Micro'!$L134,"")</f>
        <v/>
      </c>
      <c r="AS126" s="21" t="str">
        <f>IF(AND('Atividades Micro'!$B134=AS$2,'Atividades Micro'!$K134&lt;&gt;""),'Atividades Micro'!$K134,"")</f>
        <v/>
      </c>
      <c r="AT126" s="21" t="str">
        <f>IF(AND('Atividades Micro'!$B134=AT$2,'Atividades Micro'!$L134&lt;&gt;""),'Atividades Micro'!$L134,"")</f>
        <v/>
      </c>
      <c r="AU126" s="21" t="str">
        <f>IF(AND('Atividades Micro'!$A134=AU$2,'Atividades Micro'!$K134&lt;&gt;""),'Atividades Micro'!$K134,"")</f>
        <v/>
      </c>
      <c r="AV126" s="21" t="str">
        <f>IF(AND('Atividades Micro'!$A134=AV$2,'Atividades Micro'!$L134&lt;&gt;""),'Atividades Micro'!$L134,"")</f>
        <v/>
      </c>
      <c r="AW126" s="21" t="str">
        <f>IF(AND('Atividades Micro'!$B134=AW$2,'Atividades Micro'!$K134&lt;&gt;""),'Atividades Micro'!$K134,"")</f>
        <v/>
      </c>
      <c r="AX126" s="21" t="str">
        <f>IF(AND('Atividades Micro'!$B134=AX$2,'Atividades Micro'!$L134&lt;&gt;""),'Atividades Micro'!$L134,"")</f>
        <v/>
      </c>
      <c r="AY126" s="21" t="str">
        <f>IF(AND('Atividades Micro'!$A134=AY$2,'Atividades Micro'!$K134&lt;&gt;""),'Atividades Micro'!$K134,"")</f>
        <v/>
      </c>
      <c r="AZ126" s="21" t="str">
        <f>IF(AND('Atividades Micro'!$A134=AZ$2,'Atividades Micro'!$L134&lt;&gt;""),'Atividades Micro'!$L134,"")</f>
        <v/>
      </c>
      <c r="BA126" s="21" t="str">
        <f>IF(AND('Atividades Micro'!$B134=BA$2,'Atividades Micro'!$K134&lt;&gt;""),'Atividades Micro'!$K134,"")</f>
        <v/>
      </c>
      <c r="BB126" s="21" t="str">
        <f>IF(AND('Atividades Micro'!$B134=BB$2,'Atividades Micro'!$L134&lt;&gt;""),'Atividades Micro'!$L134,"")</f>
        <v/>
      </c>
      <c r="BC126" s="21" t="str">
        <f>IF(AND('Atividades Micro'!$B134=BC$2,'Atividades Micro'!$G134="Macro",'Atividades Micro'!$K134&lt;&gt;""),'Atividades Micro'!$K134,"")</f>
        <v/>
      </c>
      <c r="BD126" s="21" t="str">
        <f>IF(AND('Atividades Micro'!$B134=BD$2,'Atividades Micro'!$G134="Macro",'Atividades Micro'!$K134&lt;&gt;""),'Atividades Micro'!$K134,"")</f>
        <v/>
      </c>
      <c r="BE126" s="21" t="str">
        <f>IF(AND('Atividades Micro'!$B134=BE$2,'Atividades Micro'!$G134="Macro",'Atividades Micro'!$K134&lt;&gt;""),'Atividades Micro'!$K134,"")</f>
        <v/>
      </c>
      <c r="BF126" s="21" t="str">
        <f>IF(AND('Atividades Micro'!$B134=BF$2,'Atividades Micro'!$G134="Macro",'Atividades Micro'!$K134&lt;&gt;""),'Atividades Micro'!$K134,"")</f>
        <v/>
      </c>
      <c r="BG126" s="21" t="str">
        <f>IF(AND('Atividades Micro'!$B134=BG$2,'Atividades Micro'!$G134="Macro",'Atividades Micro'!$K134&lt;&gt;""),'Atividades Micro'!$K134,"")</f>
        <v/>
      </c>
      <c r="BH126" s="21" t="str">
        <f>IF(AND('Atividades Micro'!$B134=BH$2,'Atividades Micro'!$G134="Macro",'Atividades Micro'!$K134&lt;&gt;""),'Atividades Micro'!$K134,"")</f>
        <v/>
      </c>
      <c r="BI126" s="21" t="str">
        <f>IF(AND('Atividades Micro'!$B134=BI$2,'Atividades Micro'!$G134="Macro",'Atividades Micro'!$K134&lt;&gt;""),'Atividades Micro'!$K134,"")</f>
        <v/>
      </c>
      <c r="BJ126" s="21" t="str">
        <f>IF(AND('Atividades Micro'!$B134=BJ$2,'Atividades Micro'!$G134="Macro",'Atividades Micro'!$K134&lt;&gt;""),'Atividades Micro'!$K134,"")</f>
        <v/>
      </c>
      <c r="BK126" s="21" t="str">
        <f>IF(AND('Atividades Micro'!$B134=BK$2,'Atividades Micro'!$G134="Macro",'Atividades Micro'!$K134&lt;&gt;""),'Atividades Micro'!$K134,"")</f>
        <v/>
      </c>
      <c r="BL126" s="21" t="str">
        <f>IF(AND('Atividades Micro'!$B134=BL$2,'Atividades Micro'!$G134="Macro",'Atividades Micro'!$K134&lt;&gt;""),'Atividades Micro'!$K134,"")</f>
        <v/>
      </c>
      <c r="BM126" s="21" t="str">
        <f>IF(AND('Atividades Micro'!$B134=BM$2,'Atividades Micro'!$G134="Macro",'Atividades Micro'!$K134&lt;&gt;""),'Atividades Micro'!$K134,"")</f>
        <v/>
      </c>
      <c r="BN126" s="21" t="str">
        <f>IF(AND('Atividades Micro'!$B134=BN$2,'Atividades Micro'!$G134="Macro",'Atividades Micro'!$K134&lt;&gt;""),'Atividades Micro'!$K134,"")</f>
        <v/>
      </c>
      <c r="BO126" s="21" t="str">
        <f>IF(AND('Atividades Micro'!$B134=BO$2,'Atividades Micro'!$G134="Macro",'Atividades Micro'!$K134&lt;&gt;""),'Atividades Micro'!$K134,"")</f>
        <v/>
      </c>
      <c r="BP126" s="21" t="str">
        <f>IF(AND('Atividades Micro'!$B134=BP$2,'Atividades Micro'!$G134="Macro",'Atividades Micro'!$K134&lt;&gt;""),'Atividades Micro'!$K134,"")</f>
        <v/>
      </c>
      <c r="BQ126" s="21" t="str">
        <f>IF(AND('Atividades Micro'!$B134=BQ$2,'Atividades Micro'!$G134="Macro",'Atividades Micro'!$K134&lt;&gt;""),'Atividades Micro'!$K134,"")</f>
        <v/>
      </c>
      <c r="BR126" s="21" t="str">
        <f>IF(AND('Atividades Micro'!$B134=BR$2,'Atividades Micro'!$G134="Macro",'Atividades Micro'!$K134&lt;&gt;""),'Atividades Micro'!$K134,"")</f>
        <v/>
      </c>
      <c r="BS126" s="21" t="str">
        <f>IF(AND('Atividades Micro'!$B134=BS$2,'Atividades Micro'!$G134="Macro",'Atividades Micro'!$K134&lt;&gt;""),'Atividades Micro'!$K134,"")</f>
        <v/>
      </c>
      <c r="BT126" s="21" t="str">
        <f>IF(AND('Atividades Micro'!$B134=BT$2,'Atividades Micro'!$G134="Macro",'Atividades Micro'!$K134&lt;&gt;""),'Atividades Micro'!$K134,"")</f>
        <v/>
      </c>
      <c r="BU126" s="21" t="str">
        <f>IF(AND('Atividades Micro'!$B134=BU$2,'Atividades Micro'!$G134="Macro",'Atividades Micro'!$K134&lt;&gt;""),'Atividades Micro'!$K134,"")</f>
        <v/>
      </c>
      <c r="BV126" s="21" t="str">
        <f>IF(AND('Atividades Micro'!$B134=BV$2,'Atividades Micro'!$G134="Macro",'Atividades Micro'!$K134&lt;&gt;""),'Atividades Micro'!$K134,"")</f>
        <v/>
      </c>
      <c r="BW126" s="21" t="str">
        <f>IF(AND('Atividades Micro'!$B134=BW$2,'Atividades Micro'!$G134="Macro",'Atividades Micro'!$K134&lt;&gt;""),'Atividades Micro'!$K134,"")</f>
        <v/>
      </c>
      <c r="BX126" s="21" t="str">
        <f>IF(AND('Atividades Micro'!$B134=BX$2,'Atividades Micro'!$G134="Macro",'Atividades Micro'!$K134&lt;&gt;""),'Atividades Micro'!$K134,"")</f>
        <v/>
      </c>
      <c r="BY126" s="21" t="str">
        <f>IF(AND('Atividades Micro'!$B134=BY$2,'Atividades Micro'!$G134="Macro",'Atividades Micro'!$K134&lt;&gt;""),'Atividades Micro'!$K134,"")</f>
        <v/>
      </c>
      <c r="BZ126" s="21" t="str">
        <f>IF(AND('Atividades Micro'!$B134=BZ$2,'Atividades Micro'!$G134="Macro",'Atividades Micro'!$K134&lt;&gt;""),'Atividades Micro'!$K134,"")</f>
        <v/>
      </c>
      <c r="CA126" s="21" t="str">
        <f>IF(AND('Atividades Micro'!$B134=CA$2,'Atividades Micro'!$G134="Macro",'Atividades Micro'!$K134&lt;&gt;""),'Atividades Micro'!$K134,"")</f>
        <v/>
      </c>
      <c r="CB126" s="21" t="str">
        <f>IF(AND('Atividades Micro'!$B134=CB$2,'Atividades Micro'!$G134="Macro",'Atividades Micro'!$K134&lt;&gt;""),'Atividades Micro'!$K134,"")</f>
        <v/>
      </c>
      <c r="CC126" s="21" t="str">
        <f>IF(AND('Atividades Micro'!$B134=CC$2,'Atividades Micro'!$G134="Macro",'Atividades Micro'!$K134&lt;&gt;""),'Atividades Micro'!$K134,"")</f>
        <v/>
      </c>
      <c r="CD126" s="21" t="str">
        <f>IF(AND('Atividades Micro'!$B134=CD$2,'Atividades Micro'!$G134="Micro",'Atividades Micro'!$K134&lt;&gt;""),'Atividades Micro'!$K134,"")</f>
        <v/>
      </c>
      <c r="CE126" s="21" t="str">
        <f>IF(AND('Atividades Micro'!$B134=CE$2,'Atividades Micro'!$G134="Micro",'Atividades Micro'!$K134&lt;&gt;""),'Atividades Micro'!$K134,"")</f>
        <v/>
      </c>
      <c r="CF126" s="21" t="str">
        <f>IF(AND('Atividades Micro'!$B134=CF$2,'Atividades Micro'!$G134="Micro",'Atividades Micro'!$K134&lt;&gt;""),'Atividades Micro'!$K134,"")</f>
        <v/>
      </c>
      <c r="CG126" s="21" t="str">
        <f>IF(AND('Atividades Micro'!$B134=CG$2,'Atividades Micro'!$G134="Micro",'Atividades Micro'!$K134&lt;&gt;""),'Atividades Micro'!$K134,"")</f>
        <v/>
      </c>
      <c r="CH126" s="21" t="str">
        <f>IF(AND('Atividades Micro'!$B134=CH$2,'Atividades Micro'!$G134="Micro",'Atividades Micro'!$K134&lt;&gt;""),'Atividades Micro'!$K134,"")</f>
        <v/>
      </c>
      <c r="CI126" s="21" t="str">
        <f>IF(AND('Atividades Micro'!$B134=CI$2,'Atividades Micro'!$G134="Micro",'Atividades Micro'!$K134&lt;&gt;""),'Atividades Micro'!$K134,"")</f>
        <v/>
      </c>
      <c r="CJ126" s="21" t="str">
        <f>IF(AND('Atividades Micro'!$B134=CJ$2,'Atividades Micro'!$G134="Micro",'Atividades Micro'!$K134&lt;&gt;""),'Atividades Micro'!$K134,"")</f>
        <v/>
      </c>
      <c r="CK126" s="21" t="str">
        <f>IF(AND('Atividades Micro'!$B134=CK$2,'Atividades Micro'!$G134="Micro",'Atividades Micro'!$K134&lt;&gt;""),'Atividades Micro'!$K134,"")</f>
        <v/>
      </c>
      <c r="CL126" s="21" t="str">
        <f>IF(AND('Atividades Micro'!$B134=CL$2,'Atividades Micro'!$G134="Micro",'Atividades Micro'!$K134&lt;&gt;""),'Atividades Micro'!$K134,"")</f>
        <v/>
      </c>
      <c r="CM126" s="21" t="str">
        <f>IF(AND('Atividades Micro'!$B134=CM$2,'Atividades Micro'!$G134="Micro",'Atividades Micro'!$K134&lt;&gt;""),'Atividades Micro'!$K134,"")</f>
        <v/>
      </c>
      <c r="CN126" s="21" t="str">
        <f>IF(AND('Atividades Micro'!$B134=CN$2,'Atividades Micro'!$G134="Micro",'Atividades Micro'!$K134&lt;&gt;""),'Atividades Micro'!$K134,"")</f>
        <v/>
      </c>
      <c r="CO126" s="21" t="str">
        <f>IF(AND('Atividades Micro'!$B134=CO$2,'Atividades Micro'!$G134="Micro",'Atividades Micro'!$K134&lt;&gt;""),'Atividades Micro'!$K134,"")</f>
        <v/>
      </c>
    </row>
    <row r="127" spans="1:93">
      <c r="A127" s="21" t="str">
        <f>IF(AND('Atividades Micro'!$A135=A$2,'Atividades Micro'!$K135&lt;&gt;""),'Atividades Micro'!$K135,"")</f>
        <v/>
      </c>
      <c r="B127" s="21" t="str">
        <f>IF(AND('Atividades Micro'!$A135=B$2,'Atividades Micro'!$L135&lt;&gt;""),'Atividades Micro'!$L135,"")</f>
        <v/>
      </c>
      <c r="C127" s="21" t="str">
        <f>IF(AND('Atividades Micro'!$A135=C$2,'Atividades Micro'!$K135&lt;&gt;""),'Atividades Micro'!$K135,"")</f>
        <v/>
      </c>
      <c r="D127" s="21" t="str">
        <f>IF(AND('Atividades Micro'!$A135=D$2,'Atividades Micro'!$L135&lt;&gt;""),'Atividades Micro'!$L135,"")</f>
        <v/>
      </c>
      <c r="E127" s="21" t="str">
        <f>IF(AND('Atividades Micro'!$A135=E$2,'Atividades Micro'!$K135&lt;&gt;""),'Atividades Micro'!$K135,"")</f>
        <v/>
      </c>
      <c r="F127" s="21" t="str">
        <f>IF(AND('Atividades Micro'!$A135=F$2,'Atividades Micro'!$L135&lt;&gt;""),'Atividades Micro'!$L135,"")</f>
        <v/>
      </c>
      <c r="G127" s="21" t="str">
        <f>IF(AND('Atividades Micro'!$A135=G$2,'Atividades Micro'!$K135&lt;&gt;""),'Atividades Micro'!$K135,"")</f>
        <v/>
      </c>
      <c r="H127" s="21" t="str">
        <f>IF(AND('Atividades Micro'!$A135=H$2,'Atividades Micro'!$L135&lt;&gt;""),'Atividades Micro'!$L135,"")</f>
        <v/>
      </c>
      <c r="I127" s="21" t="str">
        <f>IF(AND('Atividades Micro'!$A135=I$2,'Atividades Micro'!$K135&lt;&gt;""),'Atividades Micro'!$K135,"")</f>
        <v/>
      </c>
      <c r="J127" s="21" t="str">
        <f>IF(AND('Atividades Micro'!$A135=J$2,'Atividades Micro'!$L135&lt;&gt;""),'Atividades Micro'!$L135,"")</f>
        <v/>
      </c>
      <c r="K127" s="21" t="str">
        <f>IF(AND('Atividades Micro'!$B135=K$2,'Atividades Micro'!$K135&lt;&gt;""),'Atividades Micro'!$K135,"")</f>
        <v/>
      </c>
      <c r="L127" s="21" t="str">
        <f>IF(AND('Atividades Micro'!$B135=L$2,'Atividades Micro'!$L135&lt;&gt;""),'Atividades Micro'!$L135,"")</f>
        <v/>
      </c>
      <c r="M127" s="21" t="str">
        <f>IF(AND('Atividades Micro'!$B135=M$2,'Atividades Micro'!$K135&lt;&gt;""),'Atividades Micro'!$K135,"")</f>
        <v/>
      </c>
      <c r="N127" s="21" t="str">
        <f>IF(AND('Atividades Micro'!$B135=N$2,'Atividades Micro'!$L135&lt;&gt;""),'Atividades Micro'!$L135,"")</f>
        <v/>
      </c>
      <c r="O127" s="21" t="str">
        <f>IF(AND('Atividades Micro'!$A135=O$2,'Atividades Micro'!$K135&lt;&gt;""),'Atividades Micro'!$K135,"")</f>
        <v/>
      </c>
      <c r="P127" s="21" t="str">
        <f>IF(AND('Atividades Micro'!$A135=P$2,'Atividades Micro'!$L135&lt;&gt;""),'Atividades Micro'!$L135,"")</f>
        <v/>
      </c>
      <c r="Q127" s="21" t="str">
        <f>IF(AND('Atividades Micro'!$B135=Q$2,'Atividades Micro'!$K135&lt;&gt;""),'Atividades Micro'!$K135,"")</f>
        <v/>
      </c>
      <c r="R127" s="21" t="str">
        <f>IF(AND('Atividades Micro'!$B135=R$2,'Atividades Micro'!$L135&lt;&gt;""),'Atividades Micro'!$L135,"")</f>
        <v/>
      </c>
      <c r="S127" s="21">
        <f>IF(AND('Atividades Micro'!$A135=S$2,'Atividades Micro'!$K135&lt;&gt;""),'Atividades Micro'!$K135,"")</f>
        <v>46258</v>
      </c>
      <c r="T127" s="21" t="str">
        <f>IF(AND('Atividades Micro'!$A135=T$2,'Atividades Micro'!$L135&lt;&gt;""),'Atividades Micro'!$L135,"")</f>
        <v/>
      </c>
      <c r="U127" s="21">
        <f>IF(AND('Atividades Micro'!$B135=U$2,'Atividades Micro'!$K135&lt;&gt;""),'Atividades Micro'!$K135,"")</f>
        <v>46258</v>
      </c>
      <c r="V127" s="21" t="str">
        <f>IF(AND('Atividades Micro'!$B135=V$2,'Atividades Micro'!$L135&lt;&gt;""),'Atividades Micro'!$L135,"")</f>
        <v/>
      </c>
      <c r="W127" s="21" t="str">
        <f>IF(AND('Atividades Micro'!$B135=W$2,'Atividades Micro'!$K135&lt;&gt;""),'Atividades Micro'!$K135,"")</f>
        <v/>
      </c>
      <c r="X127" s="21" t="str">
        <f>IF(AND('Atividades Micro'!$B135=X$2,'Atividades Micro'!$L135&lt;&gt;""),'Atividades Micro'!$L135,"")</f>
        <v/>
      </c>
      <c r="Y127" s="21" t="str">
        <f>IF(AND('Atividades Micro'!$A135=Y$2,'Atividades Micro'!$K135&lt;&gt;""),'Atividades Micro'!$K135,"")</f>
        <v/>
      </c>
      <c r="Z127" s="21" t="str">
        <f>IF(AND('Atividades Micro'!$A135=Z$2,'Atividades Micro'!$L135&lt;&gt;""),'Atividades Micro'!$L135,"")</f>
        <v/>
      </c>
      <c r="AA127" s="21" t="str">
        <f>IF(AND('Atividades Micro'!$B135=AA$2,'Atividades Micro'!$K135&lt;&gt;""),'Atividades Micro'!$K135,"")</f>
        <v/>
      </c>
      <c r="AB127" s="21" t="str">
        <f>IF(AND('Atividades Micro'!$B135=AB$2,'Atividades Micro'!$L135&lt;&gt;""),'Atividades Micro'!$L135,"")</f>
        <v/>
      </c>
      <c r="AC127" s="21" t="str">
        <f>IF(AND('Atividades Micro'!$B135=AC$2,'Atividades Micro'!$K135&lt;&gt;""),'Atividades Micro'!$K135,"")</f>
        <v/>
      </c>
      <c r="AD127" s="21" t="str">
        <f>IF(AND('Atividades Micro'!$B135=AD$2,'Atividades Micro'!$L135&lt;&gt;""),'Atividades Micro'!$L135,"")</f>
        <v/>
      </c>
      <c r="AE127" s="21" t="str">
        <f>IF(AND('Atividades Micro'!$A135=AE$2,'Atividades Micro'!$K135&lt;&gt;""),'Atividades Micro'!$K135,"")</f>
        <v/>
      </c>
      <c r="AF127" s="21" t="str">
        <f>IF(AND('Atividades Micro'!$A135=AF$2,'Atividades Micro'!$L135&lt;&gt;""),'Atividades Micro'!$L135,"")</f>
        <v/>
      </c>
      <c r="AG127" s="21" t="str">
        <f>IF(AND('Atividades Micro'!$B135=AG$2,'Atividades Micro'!$K135&lt;&gt;""),'Atividades Micro'!$K135,"")</f>
        <v/>
      </c>
      <c r="AH127" s="21" t="str">
        <f>IF(AND('Atividades Micro'!$B135=AH$2,'Atividades Micro'!$L135&lt;&gt;""),'Atividades Micro'!$L135,"")</f>
        <v/>
      </c>
      <c r="AI127" s="21" t="str">
        <f>IF(AND('Atividades Micro'!$B135=AI$2,'Atividades Micro'!$K135&lt;&gt;""),'Atividades Micro'!$K135,"")</f>
        <v/>
      </c>
      <c r="AJ127" s="21" t="str">
        <f>IF(AND('Atividades Micro'!$B135=AJ$2,'Atividades Micro'!$L135&lt;&gt;""),'Atividades Micro'!$L135,"")</f>
        <v/>
      </c>
      <c r="AK127" s="21" t="str">
        <f>IF(AND('Atividades Micro'!$A135=AK$2,'Atividades Micro'!$K135&lt;&gt;""),'Atividades Micro'!$K135,"")</f>
        <v/>
      </c>
      <c r="AL127" s="21" t="str">
        <f>IF(AND('Atividades Micro'!$A135=AL$2,'Atividades Micro'!$L135&lt;&gt;""),'Atividades Micro'!$L135,"")</f>
        <v/>
      </c>
      <c r="AM127" s="21" t="str">
        <f>IF(AND('Atividades Micro'!$B135=AM$2,'Atividades Micro'!$K135&lt;&gt;""),'Atividades Micro'!$K135,"")</f>
        <v/>
      </c>
      <c r="AN127" s="21" t="str">
        <f>IF(AND('Atividades Micro'!$B135=AN$2,'Atividades Micro'!$L135&lt;&gt;""),'Atividades Micro'!$L135,"")</f>
        <v/>
      </c>
      <c r="AO127" s="21" t="str">
        <f>IF(AND('Atividades Micro'!$B135=AO$2,'Atividades Micro'!$K135&lt;&gt;""),'Atividades Micro'!$K135,"")</f>
        <v/>
      </c>
      <c r="AP127" s="21" t="str">
        <f>IF(AND('Atividades Micro'!$B135=AP$2,'Atividades Micro'!$L135&lt;&gt;""),'Atividades Micro'!$L135,"")</f>
        <v/>
      </c>
      <c r="AQ127" s="21" t="str">
        <f>IF(AND('Atividades Micro'!$A135=AQ$2,'Atividades Micro'!$K135&lt;&gt;""),'Atividades Micro'!$K135,"")</f>
        <v/>
      </c>
      <c r="AR127" s="21" t="str">
        <f>IF(AND('Atividades Micro'!$A135=AR$2,'Atividades Micro'!$L135&lt;&gt;""),'Atividades Micro'!$L135,"")</f>
        <v/>
      </c>
      <c r="AS127" s="21" t="str">
        <f>IF(AND('Atividades Micro'!$B135=AS$2,'Atividades Micro'!$K135&lt;&gt;""),'Atividades Micro'!$K135,"")</f>
        <v/>
      </c>
      <c r="AT127" s="21" t="str">
        <f>IF(AND('Atividades Micro'!$B135=AT$2,'Atividades Micro'!$L135&lt;&gt;""),'Atividades Micro'!$L135,"")</f>
        <v/>
      </c>
      <c r="AU127" s="21" t="str">
        <f>IF(AND('Atividades Micro'!$A135=AU$2,'Atividades Micro'!$K135&lt;&gt;""),'Atividades Micro'!$K135,"")</f>
        <v/>
      </c>
      <c r="AV127" s="21" t="str">
        <f>IF(AND('Atividades Micro'!$A135=AV$2,'Atividades Micro'!$L135&lt;&gt;""),'Atividades Micro'!$L135,"")</f>
        <v/>
      </c>
      <c r="AW127" s="21" t="str">
        <f>IF(AND('Atividades Micro'!$B135=AW$2,'Atividades Micro'!$K135&lt;&gt;""),'Atividades Micro'!$K135,"")</f>
        <v/>
      </c>
      <c r="AX127" s="21" t="str">
        <f>IF(AND('Atividades Micro'!$B135=AX$2,'Atividades Micro'!$L135&lt;&gt;""),'Atividades Micro'!$L135,"")</f>
        <v/>
      </c>
      <c r="AY127" s="21" t="str">
        <f>IF(AND('Atividades Micro'!$A135=AY$2,'Atividades Micro'!$K135&lt;&gt;""),'Atividades Micro'!$K135,"")</f>
        <v/>
      </c>
      <c r="AZ127" s="21" t="str">
        <f>IF(AND('Atividades Micro'!$A135=AZ$2,'Atividades Micro'!$L135&lt;&gt;""),'Atividades Micro'!$L135,"")</f>
        <v/>
      </c>
      <c r="BA127" s="21" t="str">
        <f>IF(AND('Atividades Micro'!$B135=BA$2,'Atividades Micro'!$K135&lt;&gt;""),'Atividades Micro'!$K135,"")</f>
        <v/>
      </c>
      <c r="BB127" s="21" t="str">
        <f>IF(AND('Atividades Micro'!$B135=BB$2,'Atividades Micro'!$L135&lt;&gt;""),'Atividades Micro'!$L135,"")</f>
        <v/>
      </c>
      <c r="BC127" s="21" t="str">
        <f>IF(AND('Atividades Micro'!$B135=BC$2,'Atividades Micro'!$G135="Macro",'Atividades Micro'!$K135&lt;&gt;""),'Atividades Micro'!$K135,"")</f>
        <v/>
      </c>
      <c r="BD127" s="21" t="str">
        <f>IF(AND('Atividades Micro'!$B135=BD$2,'Atividades Micro'!$G135="Macro",'Atividades Micro'!$K135&lt;&gt;""),'Atividades Micro'!$K135,"")</f>
        <v/>
      </c>
      <c r="BE127" s="21" t="str">
        <f>IF(AND('Atividades Micro'!$B135=BE$2,'Atividades Micro'!$G135="Macro",'Atividades Micro'!$K135&lt;&gt;""),'Atividades Micro'!$K135,"")</f>
        <v/>
      </c>
      <c r="BF127" s="21" t="str">
        <f>IF(AND('Atividades Micro'!$B135=BF$2,'Atividades Micro'!$G135="Macro",'Atividades Micro'!$K135&lt;&gt;""),'Atividades Micro'!$K135,"")</f>
        <v/>
      </c>
      <c r="BG127" s="21" t="str">
        <f>IF(AND('Atividades Micro'!$B135=BG$2,'Atividades Micro'!$G135="Macro",'Atividades Micro'!$K135&lt;&gt;""),'Atividades Micro'!$K135,"")</f>
        <v/>
      </c>
      <c r="BH127" s="21" t="str">
        <f>IF(AND('Atividades Micro'!$B135=BH$2,'Atividades Micro'!$G135="Macro",'Atividades Micro'!$K135&lt;&gt;""),'Atividades Micro'!$K135,"")</f>
        <v/>
      </c>
      <c r="BI127" s="21" t="str">
        <f>IF(AND('Atividades Micro'!$B135=BI$2,'Atividades Micro'!$G135="Macro",'Atividades Micro'!$K135&lt;&gt;""),'Atividades Micro'!$K135,"")</f>
        <v/>
      </c>
      <c r="BJ127" s="21" t="str">
        <f>IF(AND('Atividades Micro'!$B135=BJ$2,'Atividades Micro'!$G135="Macro",'Atividades Micro'!$K135&lt;&gt;""),'Atividades Micro'!$K135,"")</f>
        <v/>
      </c>
      <c r="BK127" s="21" t="str">
        <f>IF(AND('Atividades Micro'!$B135=BK$2,'Atividades Micro'!$G135="Macro",'Atividades Micro'!$K135&lt;&gt;""),'Atividades Micro'!$K135,"")</f>
        <v/>
      </c>
      <c r="BL127" s="21" t="str">
        <f>IF(AND('Atividades Micro'!$B135=BL$2,'Atividades Micro'!$G135="Macro",'Atividades Micro'!$K135&lt;&gt;""),'Atividades Micro'!$K135,"")</f>
        <v/>
      </c>
      <c r="BM127" s="21" t="str">
        <f>IF(AND('Atividades Micro'!$B135=BM$2,'Atividades Micro'!$G135="Macro",'Atividades Micro'!$K135&lt;&gt;""),'Atividades Micro'!$K135,"")</f>
        <v/>
      </c>
      <c r="BN127" s="21" t="str">
        <f>IF(AND('Atividades Micro'!$B135=BN$2,'Atividades Micro'!$G135="Macro",'Atividades Micro'!$K135&lt;&gt;""),'Atividades Micro'!$K135,"")</f>
        <v/>
      </c>
      <c r="BO127" s="21" t="str">
        <f>IF(AND('Atividades Micro'!$B135=BO$2,'Atividades Micro'!$G135="Macro",'Atividades Micro'!$K135&lt;&gt;""),'Atividades Micro'!$K135,"")</f>
        <v/>
      </c>
      <c r="BP127" s="21" t="str">
        <f>IF(AND('Atividades Micro'!$B135=BP$2,'Atividades Micro'!$G135="Macro",'Atividades Micro'!$K135&lt;&gt;""),'Atividades Micro'!$K135,"")</f>
        <v/>
      </c>
      <c r="BQ127" s="21" t="str">
        <f>IF(AND('Atividades Micro'!$B135=BQ$2,'Atividades Micro'!$G135="Macro",'Atividades Micro'!$K135&lt;&gt;""),'Atividades Micro'!$K135,"")</f>
        <v/>
      </c>
      <c r="BR127" s="21" t="str">
        <f>IF(AND('Atividades Micro'!$B135=BR$2,'Atividades Micro'!$G135="Macro",'Atividades Micro'!$K135&lt;&gt;""),'Atividades Micro'!$K135,"")</f>
        <v/>
      </c>
      <c r="BS127" s="21" t="str">
        <f>IF(AND('Atividades Micro'!$B135=BS$2,'Atividades Micro'!$G135="Macro",'Atividades Micro'!$K135&lt;&gt;""),'Atividades Micro'!$K135,"")</f>
        <v/>
      </c>
      <c r="BT127" s="21" t="str">
        <f>IF(AND('Atividades Micro'!$B135=BT$2,'Atividades Micro'!$G135="Macro",'Atividades Micro'!$K135&lt;&gt;""),'Atividades Micro'!$K135,"")</f>
        <v/>
      </c>
      <c r="BU127" s="21" t="str">
        <f>IF(AND('Atividades Micro'!$B135=BU$2,'Atividades Micro'!$G135="Macro",'Atividades Micro'!$K135&lt;&gt;""),'Atividades Micro'!$K135,"")</f>
        <v/>
      </c>
      <c r="BV127" s="21" t="str">
        <f>IF(AND('Atividades Micro'!$B135=BV$2,'Atividades Micro'!$G135="Macro",'Atividades Micro'!$K135&lt;&gt;""),'Atividades Micro'!$K135,"")</f>
        <v/>
      </c>
      <c r="BW127" s="21" t="str">
        <f>IF(AND('Atividades Micro'!$B135=BW$2,'Atividades Micro'!$G135="Macro",'Atividades Micro'!$K135&lt;&gt;""),'Atividades Micro'!$K135,"")</f>
        <v/>
      </c>
      <c r="BX127" s="21" t="str">
        <f>IF(AND('Atividades Micro'!$B135=BX$2,'Atividades Micro'!$G135="Macro",'Atividades Micro'!$K135&lt;&gt;""),'Atividades Micro'!$K135,"")</f>
        <v/>
      </c>
      <c r="BY127" s="21" t="str">
        <f>IF(AND('Atividades Micro'!$B135=BY$2,'Atividades Micro'!$G135="Macro",'Atividades Micro'!$K135&lt;&gt;""),'Atividades Micro'!$K135,"")</f>
        <v/>
      </c>
      <c r="BZ127" s="21" t="str">
        <f>IF(AND('Atividades Micro'!$B135=BZ$2,'Atividades Micro'!$G135="Macro",'Atividades Micro'!$K135&lt;&gt;""),'Atividades Micro'!$K135,"")</f>
        <v/>
      </c>
      <c r="CA127" s="21" t="str">
        <f>IF(AND('Atividades Micro'!$B135=CA$2,'Atividades Micro'!$G135="Macro",'Atividades Micro'!$K135&lt;&gt;""),'Atividades Micro'!$K135,"")</f>
        <v/>
      </c>
      <c r="CB127" s="21" t="str">
        <f>IF(AND('Atividades Micro'!$B135=CB$2,'Atividades Micro'!$G135="Macro",'Atividades Micro'!$K135&lt;&gt;""),'Atividades Micro'!$K135,"")</f>
        <v/>
      </c>
      <c r="CC127" s="21" t="str">
        <f>IF(AND('Atividades Micro'!$B135=CC$2,'Atividades Micro'!$G135="Macro",'Atividades Micro'!$K135&lt;&gt;""),'Atividades Micro'!$K135,"")</f>
        <v/>
      </c>
      <c r="CD127" s="21" t="str">
        <f>IF(AND('Atividades Micro'!$B135=CD$2,'Atividades Micro'!$G135="Micro",'Atividades Micro'!$K135&lt;&gt;""),'Atividades Micro'!$K135,"")</f>
        <v/>
      </c>
      <c r="CE127" s="21" t="str">
        <f>IF(AND('Atividades Micro'!$B135=CE$2,'Atividades Micro'!$G135="Micro",'Atividades Micro'!$K135&lt;&gt;""),'Atividades Micro'!$K135,"")</f>
        <v/>
      </c>
      <c r="CF127" s="21" t="str">
        <f>IF(AND('Atividades Micro'!$B135=CF$2,'Atividades Micro'!$G135="Micro",'Atividades Micro'!$K135&lt;&gt;""),'Atividades Micro'!$K135,"")</f>
        <v/>
      </c>
      <c r="CG127" s="21">
        <f>IF(AND('Atividades Micro'!$B135=CG$2,'Atividades Micro'!$G135="Micro",'Atividades Micro'!$K135&lt;&gt;""),'Atividades Micro'!$K135,"")</f>
        <v>46258</v>
      </c>
      <c r="CH127" s="21" t="str">
        <f>IF(AND('Atividades Micro'!$B135=CH$2,'Atividades Micro'!$G135="Micro",'Atividades Micro'!$K135&lt;&gt;""),'Atividades Micro'!$K135,"")</f>
        <v/>
      </c>
      <c r="CI127" s="21" t="str">
        <f>IF(AND('Atividades Micro'!$B135=CI$2,'Atividades Micro'!$G135="Micro",'Atividades Micro'!$K135&lt;&gt;""),'Atividades Micro'!$K135,"")</f>
        <v/>
      </c>
      <c r="CJ127" s="21" t="str">
        <f>IF(AND('Atividades Micro'!$B135=CJ$2,'Atividades Micro'!$G135="Micro",'Atividades Micro'!$K135&lt;&gt;""),'Atividades Micro'!$K135,"")</f>
        <v/>
      </c>
      <c r="CK127" s="21" t="str">
        <f>IF(AND('Atividades Micro'!$B135=CK$2,'Atividades Micro'!$G135="Micro",'Atividades Micro'!$K135&lt;&gt;""),'Atividades Micro'!$K135,"")</f>
        <v/>
      </c>
      <c r="CL127" s="21" t="str">
        <f>IF(AND('Atividades Micro'!$B135=CL$2,'Atividades Micro'!$G135="Micro",'Atividades Micro'!$K135&lt;&gt;""),'Atividades Micro'!$K135,"")</f>
        <v/>
      </c>
      <c r="CM127" s="21" t="str">
        <f>IF(AND('Atividades Micro'!$B135=CM$2,'Atividades Micro'!$G135="Micro",'Atividades Micro'!$K135&lt;&gt;""),'Atividades Micro'!$K135,"")</f>
        <v/>
      </c>
      <c r="CN127" s="21" t="str">
        <f>IF(AND('Atividades Micro'!$B135=CN$2,'Atividades Micro'!$G135="Micro",'Atividades Micro'!$K135&lt;&gt;""),'Atividades Micro'!$K135,"")</f>
        <v/>
      </c>
      <c r="CO127" s="21" t="str">
        <f>IF(AND('Atividades Micro'!$B135=CO$2,'Atividades Micro'!$G135="Micro",'Atividades Micro'!$K135&lt;&gt;""),'Atividades Micro'!$K135,"")</f>
        <v/>
      </c>
    </row>
    <row r="128" spans="1:93">
      <c r="A128" s="21" t="str">
        <f>IF(AND('Atividades Micro'!$A136=A$2,'Atividades Micro'!$K136&lt;&gt;""),'Atividades Micro'!$K136,"")</f>
        <v/>
      </c>
      <c r="B128" s="21" t="str">
        <f>IF(AND('Atividades Micro'!$A136=B$2,'Atividades Micro'!$L136&lt;&gt;""),'Atividades Micro'!$L136,"")</f>
        <v/>
      </c>
      <c r="C128" s="21" t="str">
        <f>IF(AND('Atividades Micro'!$A136=C$2,'Atividades Micro'!$K136&lt;&gt;""),'Atividades Micro'!$K136,"")</f>
        <v/>
      </c>
      <c r="D128" s="21" t="str">
        <f>IF(AND('Atividades Micro'!$A136=D$2,'Atividades Micro'!$L136&lt;&gt;""),'Atividades Micro'!$L136,"")</f>
        <v/>
      </c>
      <c r="E128" s="21" t="str">
        <f>IF(AND('Atividades Micro'!$A136=E$2,'Atividades Micro'!$K136&lt;&gt;""),'Atividades Micro'!$K136,"")</f>
        <v/>
      </c>
      <c r="F128" s="21" t="str">
        <f>IF(AND('Atividades Micro'!$A136=F$2,'Atividades Micro'!$L136&lt;&gt;""),'Atividades Micro'!$L136,"")</f>
        <v/>
      </c>
      <c r="G128" s="21" t="str">
        <f>IF(AND('Atividades Micro'!$A136=G$2,'Atividades Micro'!$K136&lt;&gt;""),'Atividades Micro'!$K136,"")</f>
        <v/>
      </c>
      <c r="H128" s="21" t="str">
        <f>IF(AND('Atividades Micro'!$A136=H$2,'Atividades Micro'!$L136&lt;&gt;""),'Atividades Micro'!$L136,"")</f>
        <v/>
      </c>
      <c r="I128" s="21" t="str">
        <f>IF(AND('Atividades Micro'!$A136=I$2,'Atividades Micro'!$K136&lt;&gt;""),'Atividades Micro'!$K136,"")</f>
        <v/>
      </c>
      <c r="J128" s="21" t="str">
        <f>IF(AND('Atividades Micro'!$A136=J$2,'Atividades Micro'!$L136&lt;&gt;""),'Atividades Micro'!$L136,"")</f>
        <v/>
      </c>
      <c r="K128" s="21" t="str">
        <f>IF(AND('Atividades Micro'!$B136=K$2,'Atividades Micro'!$K136&lt;&gt;""),'Atividades Micro'!$K136,"")</f>
        <v/>
      </c>
      <c r="L128" s="21" t="str">
        <f>IF(AND('Atividades Micro'!$B136=L$2,'Atividades Micro'!$L136&lt;&gt;""),'Atividades Micro'!$L136,"")</f>
        <v/>
      </c>
      <c r="M128" s="21" t="str">
        <f>IF(AND('Atividades Micro'!$B136=M$2,'Atividades Micro'!$K136&lt;&gt;""),'Atividades Micro'!$K136,"")</f>
        <v/>
      </c>
      <c r="N128" s="21" t="str">
        <f>IF(AND('Atividades Micro'!$B136=N$2,'Atividades Micro'!$L136&lt;&gt;""),'Atividades Micro'!$L136,"")</f>
        <v/>
      </c>
      <c r="O128" s="21" t="str">
        <f>IF(AND('Atividades Micro'!$A136=O$2,'Atividades Micro'!$K136&lt;&gt;""),'Atividades Micro'!$K136,"")</f>
        <v/>
      </c>
      <c r="P128" s="21" t="str">
        <f>IF(AND('Atividades Micro'!$A136=P$2,'Atividades Micro'!$L136&lt;&gt;""),'Atividades Micro'!$L136,"")</f>
        <v/>
      </c>
      <c r="Q128" s="21" t="str">
        <f>IF(AND('Atividades Micro'!$B136=Q$2,'Atividades Micro'!$K136&lt;&gt;""),'Atividades Micro'!$K136,"")</f>
        <v/>
      </c>
      <c r="R128" s="21" t="str">
        <f>IF(AND('Atividades Micro'!$B136=R$2,'Atividades Micro'!$L136&lt;&gt;""),'Atividades Micro'!$L136,"")</f>
        <v/>
      </c>
      <c r="S128" s="21">
        <f>IF(AND('Atividades Micro'!$A136=S$2,'Atividades Micro'!$K136&lt;&gt;""),'Atividades Micro'!$K136,"")</f>
        <v>46260</v>
      </c>
      <c r="T128" s="21" t="str">
        <f>IF(AND('Atividades Micro'!$A136=T$2,'Atividades Micro'!$L136&lt;&gt;""),'Atividades Micro'!$L136,"")</f>
        <v/>
      </c>
      <c r="U128" s="21">
        <f>IF(AND('Atividades Micro'!$B136=U$2,'Atividades Micro'!$K136&lt;&gt;""),'Atividades Micro'!$K136,"")</f>
        <v>46260</v>
      </c>
      <c r="V128" s="21" t="str">
        <f>IF(AND('Atividades Micro'!$B136=V$2,'Atividades Micro'!$L136&lt;&gt;""),'Atividades Micro'!$L136,"")</f>
        <v/>
      </c>
      <c r="W128" s="21" t="str">
        <f>IF(AND('Atividades Micro'!$B136=W$2,'Atividades Micro'!$K136&lt;&gt;""),'Atividades Micro'!$K136,"")</f>
        <v/>
      </c>
      <c r="X128" s="21" t="str">
        <f>IF(AND('Atividades Micro'!$B136=X$2,'Atividades Micro'!$L136&lt;&gt;""),'Atividades Micro'!$L136,"")</f>
        <v/>
      </c>
      <c r="Y128" s="21" t="str">
        <f>IF(AND('Atividades Micro'!$A136=Y$2,'Atividades Micro'!$K136&lt;&gt;""),'Atividades Micro'!$K136,"")</f>
        <v/>
      </c>
      <c r="Z128" s="21" t="str">
        <f>IF(AND('Atividades Micro'!$A136=Z$2,'Atividades Micro'!$L136&lt;&gt;""),'Atividades Micro'!$L136,"")</f>
        <v/>
      </c>
      <c r="AA128" s="21" t="str">
        <f>IF(AND('Atividades Micro'!$B136=AA$2,'Atividades Micro'!$K136&lt;&gt;""),'Atividades Micro'!$K136,"")</f>
        <v/>
      </c>
      <c r="AB128" s="21" t="str">
        <f>IF(AND('Atividades Micro'!$B136=AB$2,'Atividades Micro'!$L136&lt;&gt;""),'Atividades Micro'!$L136,"")</f>
        <v/>
      </c>
      <c r="AC128" s="21" t="str">
        <f>IF(AND('Atividades Micro'!$B136=AC$2,'Atividades Micro'!$K136&lt;&gt;""),'Atividades Micro'!$K136,"")</f>
        <v/>
      </c>
      <c r="AD128" s="21" t="str">
        <f>IF(AND('Atividades Micro'!$B136=AD$2,'Atividades Micro'!$L136&lt;&gt;""),'Atividades Micro'!$L136,"")</f>
        <v/>
      </c>
      <c r="AE128" s="21" t="str">
        <f>IF(AND('Atividades Micro'!$A136=AE$2,'Atividades Micro'!$K136&lt;&gt;""),'Atividades Micro'!$K136,"")</f>
        <v/>
      </c>
      <c r="AF128" s="21" t="str">
        <f>IF(AND('Atividades Micro'!$A136=AF$2,'Atividades Micro'!$L136&lt;&gt;""),'Atividades Micro'!$L136,"")</f>
        <v/>
      </c>
      <c r="AG128" s="21" t="str">
        <f>IF(AND('Atividades Micro'!$B136=AG$2,'Atividades Micro'!$K136&lt;&gt;""),'Atividades Micro'!$K136,"")</f>
        <v/>
      </c>
      <c r="AH128" s="21" t="str">
        <f>IF(AND('Atividades Micro'!$B136=AH$2,'Atividades Micro'!$L136&lt;&gt;""),'Atividades Micro'!$L136,"")</f>
        <v/>
      </c>
      <c r="AI128" s="21" t="str">
        <f>IF(AND('Atividades Micro'!$B136=AI$2,'Atividades Micro'!$K136&lt;&gt;""),'Atividades Micro'!$K136,"")</f>
        <v/>
      </c>
      <c r="AJ128" s="21" t="str">
        <f>IF(AND('Atividades Micro'!$B136=AJ$2,'Atividades Micro'!$L136&lt;&gt;""),'Atividades Micro'!$L136,"")</f>
        <v/>
      </c>
      <c r="AK128" s="21" t="str">
        <f>IF(AND('Atividades Micro'!$A136=AK$2,'Atividades Micro'!$K136&lt;&gt;""),'Atividades Micro'!$K136,"")</f>
        <v/>
      </c>
      <c r="AL128" s="21" t="str">
        <f>IF(AND('Atividades Micro'!$A136=AL$2,'Atividades Micro'!$L136&lt;&gt;""),'Atividades Micro'!$L136,"")</f>
        <v/>
      </c>
      <c r="AM128" s="21" t="str">
        <f>IF(AND('Atividades Micro'!$B136=AM$2,'Atividades Micro'!$K136&lt;&gt;""),'Atividades Micro'!$K136,"")</f>
        <v/>
      </c>
      <c r="AN128" s="21" t="str">
        <f>IF(AND('Atividades Micro'!$B136=AN$2,'Atividades Micro'!$L136&lt;&gt;""),'Atividades Micro'!$L136,"")</f>
        <v/>
      </c>
      <c r="AO128" s="21" t="str">
        <f>IF(AND('Atividades Micro'!$B136=AO$2,'Atividades Micro'!$K136&lt;&gt;""),'Atividades Micro'!$K136,"")</f>
        <v/>
      </c>
      <c r="AP128" s="21" t="str">
        <f>IF(AND('Atividades Micro'!$B136=AP$2,'Atividades Micro'!$L136&lt;&gt;""),'Atividades Micro'!$L136,"")</f>
        <v/>
      </c>
      <c r="AQ128" s="21" t="str">
        <f>IF(AND('Atividades Micro'!$A136=AQ$2,'Atividades Micro'!$K136&lt;&gt;""),'Atividades Micro'!$K136,"")</f>
        <v/>
      </c>
      <c r="AR128" s="21" t="str">
        <f>IF(AND('Atividades Micro'!$A136=AR$2,'Atividades Micro'!$L136&lt;&gt;""),'Atividades Micro'!$L136,"")</f>
        <v/>
      </c>
      <c r="AS128" s="21" t="str">
        <f>IF(AND('Atividades Micro'!$B136=AS$2,'Atividades Micro'!$K136&lt;&gt;""),'Atividades Micro'!$K136,"")</f>
        <v/>
      </c>
      <c r="AT128" s="21" t="str">
        <f>IF(AND('Atividades Micro'!$B136=AT$2,'Atividades Micro'!$L136&lt;&gt;""),'Atividades Micro'!$L136,"")</f>
        <v/>
      </c>
      <c r="AU128" s="21" t="str">
        <f>IF(AND('Atividades Micro'!$A136=AU$2,'Atividades Micro'!$K136&lt;&gt;""),'Atividades Micro'!$K136,"")</f>
        <v/>
      </c>
      <c r="AV128" s="21" t="str">
        <f>IF(AND('Atividades Micro'!$A136=AV$2,'Atividades Micro'!$L136&lt;&gt;""),'Atividades Micro'!$L136,"")</f>
        <v/>
      </c>
      <c r="AW128" s="21" t="str">
        <f>IF(AND('Atividades Micro'!$B136=AW$2,'Atividades Micro'!$K136&lt;&gt;""),'Atividades Micro'!$K136,"")</f>
        <v/>
      </c>
      <c r="AX128" s="21" t="str">
        <f>IF(AND('Atividades Micro'!$B136=AX$2,'Atividades Micro'!$L136&lt;&gt;""),'Atividades Micro'!$L136,"")</f>
        <v/>
      </c>
      <c r="AY128" s="21" t="str">
        <f>IF(AND('Atividades Micro'!$A136=AY$2,'Atividades Micro'!$K136&lt;&gt;""),'Atividades Micro'!$K136,"")</f>
        <v/>
      </c>
      <c r="AZ128" s="21" t="str">
        <f>IF(AND('Atividades Micro'!$A136=AZ$2,'Atividades Micro'!$L136&lt;&gt;""),'Atividades Micro'!$L136,"")</f>
        <v/>
      </c>
      <c r="BA128" s="21" t="str">
        <f>IF(AND('Atividades Micro'!$B136=BA$2,'Atividades Micro'!$K136&lt;&gt;""),'Atividades Micro'!$K136,"")</f>
        <v/>
      </c>
      <c r="BB128" s="21" t="str">
        <f>IF(AND('Atividades Micro'!$B136=BB$2,'Atividades Micro'!$L136&lt;&gt;""),'Atividades Micro'!$L136,"")</f>
        <v/>
      </c>
      <c r="BC128" s="21" t="str">
        <f>IF(AND('Atividades Micro'!$B136=BC$2,'Atividades Micro'!$G136="Macro",'Atividades Micro'!$K136&lt;&gt;""),'Atividades Micro'!$K136,"")</f>
        <v/>
      </c>
      <c r="BD128" s="21" t="str">
        <f>IF(AND('Atividades Micro'!$B136=BD$2,'Atividades Micro'!$G136="Macro",'Atividades Micro'!$K136&lt;&gt;""),'Atividades Micro'!$K136,"")</f>
        <v/>
      </c>
      <c r="BE128" s="21" t="str">
        <f>IF(AND('Atividades Micro'!$B136=BE$2,'Atividades Micro'!$G136="Macro",'Atividades Micro'!$K136&lt;&gt;""),'Atividades Micro'!$K136,"")</f>
        <v/>
      </c>
      <c r="BF128" s="21" t="str">
        <f>IF(AND('Atividades Micro'!$B136=BF$2,'Atividades Micro'!$G136="Macro",'Atividades Micro'!$K136&lt;&gt;""),'Atividades Micro'!$K136,"")</f>
        <v/>
      </c>
      <c r="BG128" s="21" t="str">
        <f>IF(AND('Atividades Micro'!$B136=BG$2,'Atividades Micro'!$G136="Macro",'Atividades Micro'!$K136&lt;&gt;""),'Atividades Micro'!$K136,"")</f>
        <v/>
      </c>
      <c r="BH128" s="21" t="str">
        <f>IF(AND('Atividades Micro'!$B136=BH$2,'Atividades Micro'!$G136="Macro",'Atividades Micro'!$K136&lt;&gt;""),'Atividades Micro'!$K136,"")</f>
        <v/>
      </c>
      <c r="BI128" s="21" t="str">
        <f>IF(AND('Atividades Micro'!$B136=BI$2,'Atividades Micro'!$G136="Macro",'Atividades Micro'!$K136&lt;&gt;""),'Atividades Micro'!$K136,"")</f>
        <v/>
      </c>
      <c r="BJ128" s="21" t="str">
        <f>IF(AND('Atividades Micro'!$B136=BJ$2,'Atividades Micro'!$G136="Macro",'Atividades Micro'!$K136&lt;&gt;""),'Atividades Micro'!$K136,"")</f>
        <v/>
      </c>
      <c r="BK128" s="21" t="str">
        <f>IF(AND('Atividades Micro'!$B136=BK$2,'Atividades Micro'!$G136="Macro",'Atividades Micro'!$K136&lt;&gt;""),'Atividades Micro'!$K136,"")</f>
        <v/>
      </c>
      <c r="BL128" s="21" t="str">
        <f>IF(AND('Atividades Micro'!$B136=BL$2,'Atividades Micro'!$G136="Macro",'Atividades Micro'!$K136&lt;&gt;""),'Atividades Micro'!$K136,"")</f>
        <v/>
      </c>
      <c r="BM128" s="21" t="str">
        <f>IF(AND('Atividades Micro'!$B136=BM$2,'Atividades Micro'!$G136="Macro",'Atividades Micro'!$K136&lt;&gt;""),'Atividades Micro'!$K136,"")</f>
        <v/>
      </c>
      <c r="BN128" s="21" t="str">
        <f>IF(AND('Atividades Micro'!$B136=BN$2,'Atividades Micro'!$G136="Macro",'Atividades Micro'!$K136&lt;&gt;""),'Atividades Micro'!$K136,"")</f>
        <v/>
      </c>
      <c r="BO128" s="21" t="str">
        <f>IF(AND('Atividades Micro'!$B136=BO$2,'Atividades Micro'!$G136="Macro",'Atividades Micro'!$K136&lt;&gt;""),'Atividades Micro'!$K136,"")</f>
        <v/>
      </c>
      <c r="BP128" s="21" t="str">
        <f>IF(AND('Atividades Micro'!$B136=BP$2,'Atividades Micro'!$G136="Macro",'Atividades Micro'!$K136&lt;&gt;""),'Atividades Micro'!$K136,"")</f>
        <v/>
      </c>
      <c r="BQ128" s="21" t="str">
        <f>IF(AND('Atividades Micro'!$B136=BQ$2,'Atividades Micro'!$G136="Macro",'Atividades Micro'!$K136&lt;&gt;""),'Atividades Micro'!$K136,"")</f>
        <v/>
      </c>
      <c r="BR128" s="21" t="str">
        <f>IF(AND('Atividades Micro'!$B136=BR$2,'Atividades Micro'!$G136="Macro",'Atividades Micro'!$K136&lt;&gt;""),'Atividades Micro'!$K136,"")</f>
        <v/>
      </c>
      <c r="BS128" s="21" t="str">
        <f>IF(AND('Atividades Micro'!$B136=BS$2,'Atividades Micro'!$G136="Macro",'Atividades Micro'!$K136&lt;&gt;""),'Atividades Micro'!$K136,"")</f>
        <v/>
      </c>
      <c r="BT128" s="21" t="str">
        <f>IF(AND('Atividades Micro'!$B136=BT$2,'Atividades Micro'!$G136="Macro",'Atividades Micro'!$K136&lt;&gt;""),'Atividades Micro'!$K136,"")</f>
        <v/>
      </c>
      <c r="BU128" s="21" t="str">
        <f>IF(AND('Atividades Micro'!$B136=BU$2,'Atividades Micro'!$G136="Macro",'Atividades Micro'!$K136&lt;&gt;""),'Atividades Micro'!$K136,"")</f>
        <v/>
      </c>
      <c r="BV128" s="21" t="str">
        <f>IF(AND('Atividades Micro'!$B136=BV$2,'Atividades Micro'!$G136="Macro",'Atividades Micro'!$K136&lt;&gt;""),'Atividades Micro'!$K136,"")</f>
        <v/>
      </c>
      <c r="BW128" s="21" t="str">
        <f>IF(AND('Atividades Micro'!$B136=BW$2,'Atividades Micro'!$G136="Macro",'Atividades Micro'!$K136&lt;&gt;""),'Atividades Micro'!$K136,"")</f>
        <v/>
      </c>
      <c r="BX128" s="21" t="str">
        <f>IF(AND('Atividades Micro'!$B136=BX$2,'Atividades Micro'!$G136="Macro",'Atividades Micro'!$K136&lt;&gt;""),'Atividades Micro'!$K136,"")</f>
        <v/>
      </c>
      <c r="BY128" s="21" t="str">
        <f>IF(AND('Atividades Micro'!$B136=BY$2,'Atividades Micro'!$G136="Macro",'Atividades Micro'!$K136&lt;&gt;""),'Atividades Micro'!$K136,"")</f>
        <v/>
      </c>
      <c r="BZ128" s="21" t="str">
        <f>IF(AND('Atividades Micro'!$B136=BZ$2,'Atividades Micro'!$G136="Macro",'Atividades Micro'!$K136&lt;&gt;""),'Atividades Micro'!$K136,"")</f>
        <v/>
      </c>
      <c r="CA128" s="21" t="str">
        <f>IF(AND('Atividades Micro'!$B136=CA$2,'Atividades Micro'!$G136="Macro",'Atividades Micro'!$K136&lt;&gt;""),'Atividades Micro'!$K136,"")</f>
        <v/>
      </c>
      <c r="CB128" s="21" t="str">
        <f>IF(AND('Atividades Micro'!$B136=CB$2,'Atividades Micro'!$G136="Macro",'Atividades Micro'!$K136&lt;&gt;""),'Atividades Micro'!$K136,"")</f>
        <v/>
      </c>
      <c r="CC128" s="21" t="str">
        <f>IF(AND('Atividades Micro'!$B136=CC$2,'Atividades Micro'!$G136="Macro",'Atividades Micro'!$K136&lt;&gt;""),'Atividades Micro'!$K136,"")</f>
        <v/>
      </c>
      <c r="CD128" s="21" t="str">
        <f>IF(AND('Atividades Micro'!$B136=CD$2,'Atividades Micro'!$G136="Micro",'Atividades Micro'!$K136&lt;&gt;""),'Atividades Micro'!$K136,"")</f>
        <v/>
      </c>
      <c r="CE128" s="21" t="str">
        <f>IF(AND('Atividades Micro'!$B136=CE$2,'Atividades Micro'!$G136="Micro",'Atividades Micro'!$K136&lt;&gt;""),'Atividades Micro'!$K136,"")</f>
        <v/>
      </c>
      <c r="CF128" s="21" t="str">
        <f>IF(AND('Atividades Micro'!$B136=CF$2,'Atividades Micro'!$G136="Micro",'Atividades Micro'!$K136&lt;&gt;""),'Atividades Micro'!$K136,"")</f>
        <v/>
      </c>
      <c r="CG128" s="21">
        <f>IF(AND('Atividades Micro'!$B136=CG$2,'Atividades Micro'!$G136="Micro",'Atividades Micro'!$K136&lt;&gt;""),'Atividades Micro'!$K136,"")</f>
        <v>46260</v>
      </c>
      <c r="CH128" s="21" t="str">
        <f>IF(AND('Atividades Micro'!$B136=CH$2,'Atividades Micro'!$G136="Micro",'Atividades Micro'!$K136&lt;&gt;""),'Atividades Micro'!$K136,"")</f>
        <v/>
      </c>
      <c r="CI128" s="21" t="str">
        <f>IF(AND('Atividades Micro'!$B136=CI$2,'Atividades Micro'!$G136="Micro",'Atividades Micro'!$K136&lt;&gt;""),'Atividades Micro'!$K136,"")</f>
        <v/>
      </c>
      <c r="CJ128" s="21" t="str">
        <f>IF(AND('Atividades Micro'!$B136=CJ$2,'Atividades Micro'!$G136="Micro",'Atividades Micro'!$K136&lt;&gt;""),'Atividades Micro'!$K136,"")</f>
        <v/>
      </c>
      <c r="CK128" s="21" t="str">
        <f>IF(AND('Atividades Micro'!$B136=CK$2,'Atividades Micro'!$G136="Micro",'Atividades Micro'!$K136&lt;&gt;""),'Atividades Micro'!$K136,"")</f>
        <v/>
      </c>
      <c r="CL128" s="21" t="str">
        <f>IF(AND('Atividades Micro'!$B136=CL$2,'Atividades Micro'!$G136="Micro",'Atividades Micro'!$K136&lt;&gt;""),'Atividades Micro'!$K136,"")</f>
        <v/>
      </c>
      <c r="CM128" s="21" t="str">
        <f>IF(AND('Atividades Micro'!$B136=CM$2,'Atividades Micro'!$G136="Micro",'Atividades Micro'!$K136&lt;&gt;""),'Atividades Micro'!$K136,"")</f>
        <v/>
      </c>
      <c r="CN128" s="21" t="str">
        <f>IF(AND('Atividades Micro'!$B136=CN$2,'Atividades Micro'!$G136="Micro",'Atividades Micro'!$K136&lt;&gt;""),'Atividades Micro'!$K136,"")</f>
        <v/>
      </c>
      <c r="CO128" s="21" t="str">
        <f>IF(AND('Atividades Micro'!$B136=CO$2,'Atividades Micro'!$G136="Micro",'Atividades Micro'!$K136&lt;&gt;""),'Atividades Micro'!$K136,"")</f>
        <v/>
      </c>
    </row>
    <row r="129" spans="1:93">
      <c r="A129" s="21" t="str">
        <f>IF(AND('Atividades Micro'!$A137=A$2,'Atividades Micro'!$K137&lt;&gt;""),'Atividades Micro'!$K137,"")</f>
        <v/>
      </c>
      <c r="B129" s="21" t="str">
        <f>IF(AND('Atividades Micro'!$A137=B$2,'Atividades Micro'!$L137&lt;&gt;""),'Atividades Micro'!$L137,"")</f>
        <v/>
      </c>
      <c r="C129" s="21" t="str">
        <f>IF(AND('Atividades Micro'!$A137=C$2,'Atividades Micro'!$K137&lt;&gt;""),'Atividades Micro'!$K137,"")</f>
        <v/>
      </c>
      <c r="D129" s="21" t="str">
        <f>IF(AND('Atividades Micro'!$A137=D$2,'Atividades Micro'!$L137&lt;&gt;""),'Atividades Micro'!$L137,"")</f>
        <v/>
      </c>
      <c r="E129" s="21" t="str">
        <f>IF(AND('Atividades Micro'!$A137=E$2,'Atividades Micro'!$K137&lt;&gt;""),'Atividades Micro'!$K137,"")</f>
        <v/>
      </c>
      <c r="F129" s="21" t="str">
        <f>IF(AND('Atividades Micro'!$A137=F$2,'Atividades Micro'!$L137&lt;&gt;""),'Atividades Micro'!$L137,"")</f>
        <v/>
      </c>
      <c r="G129" s="21" t="str">
        <f>IF(AND('Atividades Micro'!$A137=G$2,'Atividades Micro'!$K137&lt;&gt;""),'Atividades Micro'!$K137,"")</f>
        <v/>
      </c>
      <c r="H129" s="21" t="str">
        <f>IF(AND('Atividades Micro'!$A137=H$2,'Atividades Micro'!$L137&lt;&gt;""),'Atividades Micro'!$L137,"")</f>
        <v/>
      </c>
      <c r="I129" s="21" t="str">
        <f>IF(AND('Atividades Micro'!$A137=I$2,'Atividades Micro'!$K137&lt;&gt;""),'Atividades Micro'!$K137,"")</f>
        <v/>
      </c>
      <c r="J129" s="21" t="str">
        <f>IF(AND('Atividades Micro'!$A137=J$2,'Atividades Micro'!$L137&lt;&gt;""),'Atividades Micro'!$L137,"")</f>
        <v/>
      </c>
      <c r="K129" s="21" t="str">
        <f>IF(AND('Atividades Micro'!$B137=K$2,'Atividades Micro'!$K137&lt;&gt;""),'Atividades Micro'!$K137,"")</f>
        <v/>
      </c>
      <c r="L129" s="21" t="str">
        <f>IF(AND('Atividades Micro'!$B137=L$2,'Atividades Micro'!$L137&lt;&gt;""),'Atividades Micro'!$L137,"")</f>
        <v/>
      </c>
      <c r="M129" s="21" t="str">
        <f>IF(AND('Atividades Micro'!$B137=M$2,'Atividades Micro'!$K137&lt;&gt;""),'Atividades Micro'!$K137,"")</f>
        <v/>
      </c>
      <c r="N129" s="21" t="str">
        <f>IF(AND('Atividades Micro'!$B137=N$2,'Atividades Micro'!$L137&lt;&gt;""),'Atividades Micro'!$L137,"")</f>
        <v/>
      </c>
      <c r="O129" s="21" t="str">
        <f>IF(AND('Atividades Micro'!$A137=O$2,'Atividades Micro'!$K137&lt;&gt;""),'Atividades Micro'!$K137,"")</f>
        <v/>
      </c>
      <c r="P129" s="21" t="str">
        <f>IF(AND('Atividades Micro'!$A137=P$2,'Atividades Micro'!$L137&lt;&gt;""),'Atividades Micro'!$L137,"")</f>
        <v/>
      </c>
      <c r="Q129" s="21" t="str">
        <f>IF(AND('Atividades Micro'!$B137=Q$2,'Atividades Micro'!$K137&lt;&gt;""),'Atividades Micro'!$K137,"")</f>
        <v/>
      </c>
      <c r="R129" s="21" t="str">
        <f>IF(AND('Atividades Micro'!$B137=R$2,'Atividades Micro'!$L137&lt;&gt;""),'Atividades Micro'!$L137,"")</f>
        <v/>
      </c>
      <c r="S129" s="21" t="str">
        <f>IF(AND('Atividades Micro'!$A137=S$2,'Atividades Micro'!$K137&lt;&gt;""),'Atividades Micro'!$K137,"")</f>
        <v/>
      </c>
      <c r="T129" s="21" t="str">
        <f>IF(AND('Atividades Micro'!$A137=T$2,'Atividades Micro'!$L137&lt;&gt;""),'Atividades Micro'!$L137,"")</f>
        <v/>
      </c>
      <c r="U129" s="21" t="str">
        <f>IF(AND('Atividades Micro'!$B137=U$2,'Atividades Micro'!$K137&lt;&gt;""),'Atividades Micro'!$K137,"")</f>
        <v/>
      </c>
      <c r="V129" s="21" t="str">
        <f>IF(AND('Atividades Micro'!$B137=V$2,'Atividades Micro'!$L137&lt;&gt;""),'Atividades Micro'!$L137,"")</f>
        <v/>
      </c>
      <c r="W129" s="21" t="str">
        <f>IF(AND('Atividades Micro'!$B137=W$2,'Atividades Micro'!$K137&lt;&gt;""),'Atividades Micro'!$K137,"")</f>
        <v/>
      </c>
      <c r="X129" s="21" t="str">
        <f>IF(AND('Atividades Micro'!$B137=X$2,'Atividades Micro'!$L137&lt;&gt;""),'Atividades Micro'!$L137,"")</f>
        <v/>
      </c>
      <c r="Y129" s="21" t="str">
        <f>IF(AND('Atividades Micro'!$A137=Y$2,'Atividades Micro'!$K137&lt;&gt;""),'Atividades Micro'!$K137,"")</f>
        <v/>
      </c>
      <c r="Z129" s="21" t="str">
        <f>IF(AND('Atividades Micro'!$A137=Z$2,'Atividades Micro'!$L137&lt;&gt;""),'Atividades Micro'!$L137,"")</f>
        <v/>
      </c>
      <c r="AA129" s="21" t="str">
        <f>IF(AND('Atividades Micro'!$B137=AA$2,'Atividades Micro'!$K137&lt;&gt;""),'Atividades Micro'!$K137,"")</f>
        <v/>
      </c>
      <c r="AB129" s="21" t="str">
        <f>IF(AND('Atividades Micro'!$B137=AB$2,'Atividades Micro'!$L137&lt;&gt;""),'Atividades Micro'!$L137,"")</f>
        <v/>
      </c>
      <c r="AC129" s="21" t="str">
        <f>IF(AND('Atividades Micro'!$B137=AC$2,'Atividades Micro'!$K137&lt;&gt;""),'Atividades Micro'!$K137,"")</f>
        <v/>
      </c>
      <c r="AD129" s="21" t="str">
        <f>IF(AND('Atividades Micro'!$B137=AD$2,'Atividades Micro'!$L137&lt;&gt;""),'Atividades Micro'!$L137,"")</f>
        <v/>
      </c>
      <c r="AE129" s="21" t="str">
        <f>IF(AND('Atividades Micro'!$A137=AE$2,'Atividades Micro'!$K137&lt;&gt;""),'Atividades Micro'!$K137,"")</f>
        <v/>
      </c>
      <c r="AF129" s="21" t="str">
        <f>IF(AND('Atividades Micro'!$A137=AF$2,'Atividades Micro'!$L137&lt;&gt;""),'Atividades Micro'!$L137,"")</f>
        <v/>
      </c>
      <c r="AG129" s="21" t="str">
        <f>IF(AND('Atividades Micro'!$B137=AG$2,'Atividades Micro'!$K137&lt;&gt;""),'Atividades Micro'!$K137,"")</f>
        <v/>
      </c>
      <c r="AH129" s="21" t="str">
        <f>IF(AND('Atividades Micro'!$B137=AH$2,'Atividades Micro'!$L137&lt;&gt;""),'Atividades Micro'!$L137,"")</f>
        <v/>
      </c>
      <c r="AI129" s="21" t="str">
        <f>IF(AND('Atividades Micro'!$B137=AI$2,'Atividades Micro'!$K137&lt;&gt;""),'Atividades Micro'!$K137,"")</f>
        <v/>
      </c>
      <c r="AJ129" s="21" t="str">
        <f>IF(AND('Atividades Micro'!$B137=AJ$2,'Atividades Micro'!$L137&lt;&gt;""),'Atividades Micro'!$L137,"")</f>
        <v/>
      </c>
      <c r="AK129" s="21" t="str">
        <f>IF(AND('Atividades Micro'!$A137=AK$2,'Atividades Micro'!$K137&lt;&gt;""),'Atividades Micro'!$K137,"")</f>
        <v/>
      </c>
      <c r="AL129" s="21" t="str">
        <f>IF(AND('Atividades Micro'!$A137=AL$2,'Atividades Micro'!$L137&lt;&gt;""),'Atividades Micro'!$L137,"")</f>
        <v/>
      </c>
      <c r="AM129" s="21" t="str">
        <f>IF(AND('Atividades Micro'!$B137=AM$2,'Atividades Micro'!$K137&lt;&gt;""),'Atividades Micro'!$K137,"")</f>
        <v/>
      </c>
      <c r="AN129" s="21" t="str">
        <f>IF(AND('Atividades Micro'!$B137=AN$2,'Atividades Micro'!$L137&lt;&gt;""),'Atividades Micro'!$L137,"")</f>
        <v/>
      </c>
      <c r="AO129" s="21" t="str">
        <f>IF(AND('Atividades Micro'!$B137=AO$2,'Atividades Micro'!$K137&lt;&gt;""),'Atividades Micro'!$K137,"")</f>
        <v/>
      </c>
      <c r="AP129" s="21" t="str">
        <f>IF(AND('Atividades Micro'!$B137=AP$2,'Atividades Micro'!$L137&lt;&gt;""),'Atividades Micro'!$L137,"")</f>
        <v/>
      </c>
      <c r="AQ129" s="21" t="str">
        <f>IF(AND('Atividades Micro'!$A137=AQ$2,'Atividades Micro'!$K137&lt;&gt;""),'Atividades Micro'!$K137,"")</f>
        <v/>
      </c>
      <c r="AR129" s="21" t="str">
        <f>IF(AND('Atividades Micro'!$A137=AR$2,'Atividades Micro'!$L137&lt;&gt;""),'Atividades Micro'!$L137,"")</f>
        <v/>
      </c>
      <c r="AS129" s="21" t="str">
        <f>IF(AND('Atividades Micro'!$B137=AS$2,'Atividades Micro'!$K137&lt;&gt;""),'Atividades Micro'!$K137,"")</f>
        <v/>
      </c>
      <c r="AT129" s="21" t="str">
        <f>IF(AND('Atividades Micro'!$B137=AT$2,'Atividades Micro'!$L137&lt;&gt;""),'Atividades Micro'!$L137,"")</f>
        <v/>
      </c>
      <c r="AU129" s="21" t="str">
        <f>IF(AND('Atividades Micro'!$A137=AU$2,'Atividades Micro'!$K137&lt;&gt;""),'Atividades Micro'!$K137,"")</f>
        <v/>
      </c>
      <c r="AV129" s="21" t="str">
        <f>IF(AND('Atividades Micro'!$A137=AV$2,'Atividades Micro'!$L137&lt;&gt;""),'Atividades Micro'!$L137,"")</f>
        <v/>
      </c>
      <c r="AW129" s="21" t="str">
        <f>IF(AND('Atividades Micro'!$B137=AW$2,'Atividades Micro'!$K137&lt;&gt;""),'Atividades Micro'!$K137,"")</f>
        <v/>
      </c>
      <c r="AX129" s="21" t="str">
        <f>IF(AND('Atividades Micro'!$B137=AX$2,'Atividades Micro'!$L137&lt;&gt;""),'Atividades Micro'!$L137,"")</f>
        <v/>
      </c>
      <c r="AY129" s="21" t="str">
        <f>IF(AND('Atividades Micro'!$A137=AY$2,'Atividades Micro'!$K137&lt;&gt;""),'Atividades Micro'!$K137,"")</f>
        <v/>
      </c>
      <c r="AZ129" s="21" t="str">
        <f>IF(AND('Atividades Micro'!$A137=AZ$2,'Atividades Micro'!$L137&lt;&gt;""),'Atividades Micro'!$L137,"")</f>
        <v/>
      </c>
      <c r="BA129" s="21" t="str">
        <f>IF(AND('Atividades Micro'!$B137=BA$2,'Atividades Micro'!$K137&lt;&gt;""),'Atividades Micro'!$K137,"")</f>
        <v/>
      </c>
      <c r="BB129" s="21" t="str">
        <f>IF(AND('Atividades Micro'!$B137=BB$2,'Atividades Micro'!$L137&lt;&gt;""),'Atividades Micro'!$L137,"")</f>
        <v/>
      </c>
      <c r="BC129" s="21" t="str">
        <f>IF(AND('Atividades Micro'!$B137=BC$2,'Atividades Micro'!$G137="Macro",'Atividades Micro'!$K137&lt;&gt;""),'Atividades Micro'!$K137,"")</f>
        <v/>
      </c>
      <c r="BD129" s="21" t="str">
        <f>IF(AND('Atividades Micro'!$B137=BD$2,'Atividades Micro'!$G137="Macro",'Atividades Micro'!$K137&lt;&gt;""),'Atividades Micro'!$K137,"")</f>
        <v/>
      </c>
      <c r="BE129" s="21" t="str">
        <f>IF(AND('Atividades Micro'!$B137=BE$2,'Atividades Micro'!$G137="Macro",'Atividades Micro'!$K137&lt;&gt;""),'Atividades Micro'!$K137,"")</f>
        <v/>
      </c>
      <c r="BF129" s="21" t="str">
        <f>IF(AND('Atividades Micro'!$B137=BF$2,'Atividades Micro'!$G137="Macro",'Atividades Micro'!$K137&lt;&gt;""),'Atividades Micro'!$K137,"")</f>
        <v/>
      </c>
      <c r="BG129" s="21" t="str">
        <f>IF(AND('Atividades Micro'!$B137=BG$2,'Atividades Micro'!$G137="Macro",'Atividades Micro'!$K137&lt;&gt;""),'Atividades Micro'!$K137,"")</f>
        <v/>
      </c>
      <c r="BH129" s="21" t="str">
        <f>IF(AND('Atividades Micro'!$B137=BH$2,'Atividades Micro'!$G137="Macro",'Atividades Micro'!$K137&lt;&gt;""),'Atividades Micro'!$K137,"")</f>
        <v/>
      </c>
      <c r="BI129" s="21" t="str">
        <f>IF(AND('Atividades Micro'!$B137=BI$2,'Atividades Micro'!$G137="Macro",'Atividades Micro'!$K137&lt;&gt;""),'Atividades Micro'!$K137,"")</f>
        <v/>
      </c>
      <c r="BJ129" s="21" t="str">
        <f>IF(AND('Atividades Micro'!$B137=BJ$2,'Atividades Micro'!$G137="Macro",'Atividades Micro'!$K137&lt;&gt;""),'Atividades Micro'!$K137,"")</f>
        <v/>
      </c>
      <c r="BK129" s="21" t="str">
        <f>IF(AND('Atividades Micro'!$B137=BK$2,'Atividades Micro'!$G137="Macro",'Atividades Micro'!$K137&lt;&gt;""),'Atividades Micro'!$K137,"")</f>
        <v/>
      </c>
      <c r="BL129" s="21" t="str">
        <f>IF(AND('Atividades Micro'!$B137=BL$2,'Atividades Micro'!$G137="Macro",'Atividades Micro'!$K137&lt;&gt;""),'Atividades Micro'!$K137,"")</f>
        <v/>
      </c>
      <c r="BM129" s="21" t="str">
        <f>IF(AND('Atividades Micro'!$B137=BM$2,'Atividades Micro'!$G137="Macro",'Atividades Micro'!$K137&lt;&gt;""),'Atividades Micro'!$K137,"")</f>
        <v/>
      </c>
      <c r="BN129" s="21" t="str">
        <f>IF(AND('Atividades Micro'!$B137=BN$2,'Atividades Micro'!$G137="Macro",'Atividades Micro'!$K137&lt;&gt;""),'Atividades Micro'!$K137,"")</f>
        <v/>
      </c>
      <c r="BO129" s="21" t="str">
        <f>IF(AND('Atividades Micro'!$B137=BO$2,'Atividades Micro'!$G137="Macro",'Atividades Micro'!$K137&lt;&gt;""),'Atividades Micro'!$K137,"")</f>
        <v/>
      </c>
      <c r="BP129" s="21" t="str">
        <f>IF(AND('Atividades Micro'!$B137=BP$2,'Atividades Micro'!$G137="Macro",'Atividades Micro'!$K137&lt;&gt;""),'Atividades Micro'!$K137,"")</f>
        <v/>
      </c>
      <c r="BQ129" s="21" t="str">
        <f>IF(AND('Atividades Micro'!$B137=BQ$2,'Atividades Micro'!$G137="Macro",'Atividades Micro'!$K137&lt;&gt;""),'Atividades Micro'!$K137,"")</f>
        <v/>
      </c>
      <c r="BR129" s="21" t="str">
        <f>IF(AND('Atividades Micro'!$B137=BR$2,'Atividades Micro'!$G137="Macro",'Atividades Micro'!$K137&lt;&gt;""),'Atividades Micro'!$K137,"")</f>
        <v/>
      </c>
      <c r="BS129" s="21" t="str">
        <f>IF(AND('Atividades Micro'!$B137=BS$2,'Atividades Micro'!$G137="Macro",'Atividades Micro'!$K137&lt;&gt;""),'Atividades Micro'!$K137,"")</f>
        <v/>
      </c>
      <c r="BT129" s="21" t="str">
        <f>IF(AND('Atividades Micro'!$B137=BT$2,'Atividades Micro'!$G137="Macro",'Atividades Micro'!$K137&lt;&gt;""),'Atividades Micro'!$K137,"")</f>
        <v/>
      </c>
      <c r="BU129" s="21" t="str">
        <f>IF(AND('Atividades Micro'!$B137=BU$2,'Atividades Micro'!$G137="Macro",'Atividades Micro'!$K137&lt;&gt;""),'Atividades Micro'!$K137,"")</f>
        <v/>
      </c>
      <c r="BV129" s="21" t="str">
        <f>IF(AND('Atividades Micro'!$B137=BV$2,'Atividades Micro'!$G137="Macro",'Atividades Micro'!$K137&lt;&gt;""),'Atividades Micro'!$K137,"")</f>
        <v/>
      </c>
      <c r="BW129" s="21" t="str">
        <f>IF(AND('Atividades Micro'!$B137=BW$2,'Atividades Micro'!$G137="Macro",'Atividades Micro'!$K137&lt;&gt;""),'Atividades Micro'!$K137,"")</f>
        <v/>
      </c>
      <c r="BX129" s="21" t="str">
        <f>IF(AND('Atividades Micro'!$B137=BX$2,'Atividades Micro'!$G137="Macro",'Atividades Micro'!$K137&lt;&gt;""),'Atividades Micro'!$K137,"")</f>
        <v/>
      </c>
      <c r="BY129" s="21" t="str">
        <f>IF(AND('Atividades Micro'!$B137=BY$2,'Atividades Micro'!$G137="Macro",'Atividades Micro'!$K137&lt;&gt;""),'Atividades Micro'!$K137,"")</f>
        <v/>
      </c>
      <c r="BZ129" s="21" t="str">
        <f>IF(AND('Atividades Micro'!$B137=BZ$2,'Atividades Micro'!$G137="Macro",'Atividades Micro'!$K137&lt;&gt;""),'Atividades Micro'!$K137,"")</f>
        <v/>
      </c>
      <c r="CA129" s="21" t="str">
        <f>IF(AND('Atividades Micro'!$B137=CA$2,'Atividades Micro'!$G137="Macro",'Atividades Micro'!$K137&lt;&gt;""),'Atividades Micro'!$K137,"")</f>
        <v/>
      </c>
      <c r="CB129" s="21" t="str">
        <f>IF(AND('Atividades Micro'!$B137=CB$2,'Atividades Micro'!$G137="Macro",'Atividades Micro'!$K137&lt;&gt;""),'Atividades Micro'!$K137,"")</f>
        <v/>
      </c>
      <c r="CC129" s="21" t="str">
        <f>IF(AND('Atividades Micro'!$B137=CC$2,'Atividades Micro'!$G137="Macro",'Atividades Micro'!$K137&lt;&gt;""),'Atividades Micro'!$K137,"")</f>
        <v/>
      </c>
      <c r="CD129" s="21" t="str">
        <f>IF(AND('Atividades Micro'!$B137=CD$2,'Atividades Micro'!$G137="Micro",'Atividades Micro'!$K137&lt;&gt;""),'Atividades Micro'!$K137,"")</f>
        <v/>
      </c>
      <c r="CE129" s="21" t="str">
        <f>IF(AND('Atividades Micro'!$B137=CE$2,'Atividades Micro'!$G137="Micro",'Atividades Micro'!$K137&lt;&gt;""),'Atividades Micro'!$K137,"")</f>
        <v/>
      </c>
      <c r="CF129" s="21" t="str">
        <f>IF(AND('Atividades Micro'!$B137=CF$2,'Atividades Micro'!$G137="Micro",'Atividades Micro'!$K137&lt;&gt;""),'Atividades Micro'!$K137,"")</f>
        <v/>
      </c>
      <c r="CG129" s="21" t="str">
        <f>IF(AND('Atividades Micro'!$B137=CG$2,'Atividades Micro'!$G137="Micro",'Atividades Micro'!$K137&lt;&gt;""),'Atividades Micro'!$K137,"")</f>
        <v/>
      </c>
      <c r="CH129" s="21" t="str">
        <f>IF(AND('Atividades Micro'!$B137=CH$2,'Atividades Micro'!$G137="Micro",'Atividades Micro'!$K137&lt;&gt;""),'Atividades Micro'!$K137,"")</f>
        <v/>
      </c>
      <c r="CI129" s="21" t="str">
        <f>IF(AND('Atividades Micro'!$B137=CI$2,'Atividades Micro'!$G137="Micro",'Atividades Micro'!$K137&lt;&gt;""),'Atividades Micro'!$K137,"")</f>
        <v/>
      </c>
      <c r="CJ129" s="21" t="str">
        <f>IF(AND('Atividades Micro'!$B137=CJ$2,'Atividades Micro'!$G137="Micro",'Atividades Micro'!$K137&lt;&gt;""),'Atividades Micro'!$K137,"")</f>
        <v/>
      </c>
      <c r="CK129" s="21" t="str">
        <f>IF(AND('Atividades Micro'!$B137=CK$2,'Atividades Micro'!$G137="Micro",'Atividades Micro'!$K137&lt;&gt;""),'Atividades Micro'!$K137,"")</f>
        <v/>
      </c>
      <c r="CL129" s="21" t="str">
        <f>IF(AND('Atividades Micro'!$B137=CL$2,'Atividades Micro'!$G137="Micro",'Atividades Micro'!$K137&lt;&gt;""),'Atividades Micro'!$K137,"")</f>
        <v/>
      </c>
      <c r="CM129" s="21" t="str">
        <f>IF(AND('Atividades Micro'!$B137=CM$2,'Atividades Micro'!$G137="Micro",'Atividades Micro'!$K137&lt;&gt;""),'Atividades Micro'!$K137,"")</f>
        <v/>
      </c>
      <c r="CN129" s="21" t="str">
        <f>IF(AND('Atividades Micro'!$B137=CN$2,'Atividades Micro'!$G137="Micro",'Atividades Micro'!$K137&lt;&gt;""),'Atividades Micro'!$K137,"")</f>
        <v/>
      </c>
      <c r="CO129" s="21" t="str">
        <f>IF(AND('Atividades Micro'!$B137=CO$2,'Atividades Micro'!$G137="Micro",'Atividades Micro'!$K137&lt;&gt;""),'Atividades Micro'!$K137,"")</f>
        <v/>
      </c>
    </row>
    <row r="130" spans="1:93">
      <c r="A130" s="21" t="str">
        <f>IF(AND('Atividades Micro'!$A138=A$2,'Atividades Micro'!$K138&lt;&gt;""),'Atividades Micro'!$K138,"")</f>
        <v/>
      </c>
      <c r="B130" s="21" t="str">
        <f>IF(AND('Atividades Micro'!$A138=B$2,'Atividades Micro'!$L138&lt;&gt;""),'Atividades Micro'!$L138,"")</f>
        <v/>
      </c>
      <c r="C130" s="21" t="str">
        <f>IF(AND('Atividades Micro'!$A138=C$2,'Atividades Micro'!$K138&lt;&gt;""),'Atividades Micro'!$K138,"")</f>
        <v/>
      </c>
      <c r="D130" s="21" t="str">
        <f>IF(AND('Atividades Micro'!$A138=D$2,'Atividades Micro'!$L138&lt;&gt;""),'Atividades Micro'!$L138,"")</f>
        <v/>
      </c>
      <c r="E130" s="21" t="str">
        <f>IF(AND('Atividades Micro'!$A138=E$2,'Atividades Micro'!$K138&lt;&gt;""),'Atividades Micro'!$K138,"")</f>
        <v/>
      </c>
      <c r="F130" s="21" t="str">
        <f>IF(AND('Atividades Micro'!$A138=F$2,'Atividades Micro'!$L138&lt;&gt;""),'Atividades Micro'!$L138,"")</f>
        <v/>
      </c>
      <c r="G130" s="21" t="str">
        <f>IF(AND('Atividades Micro'!$A138=G$2,'Atividades Micro'!$K138&lt;&gt;""),'Atividades Micro'!$K138,"")</f>
        <v/>
      </c>
      <c r="H130" s="21" t="str">
        <f>IF(AND('Atividades Micro'!$A138=H$2,'Atividades Micro'!$L138&lt;&gt;""),'Atividades Micro'!$L138,"")</f>
        <v/>
      </c>
      <c r="I130" s="21" t="str">
        <f>IF(AND('Atividades Micro'!$A138=I$2,'Atividades Micro'!$K138&lt;&gt;""),'Atividades Micro'!$K138,"")</f>
        <v/>
      </c>
      <c r="J130" s="21" t="str">
        <f>IF(AND('Atividades Micro'!$A138=J$2,'Atividades Micro'!$L138&lt;&gt;""),'Atividades Micro'!$L138,"")</f>
        <v/>
      </c>
      <c r="K130" s="21" t="str">
        <f>IF(AND('Atividades Micro'!$B138=K$2,'Atividades Micro'!$K138&lt;&gt;""),'Atividades Micro'!$K138,"")</f>
        <v/>
      </c>
      <c r="L130" s="21" t="str">
        <f>IF(AND('Atividades Micro'!$B138=L$2,'Atividades Micro'!$L138&lt;&gt;""),'Atividades Micro'!$L138,"")</f>
        <v/>
      </c>
      <c r="M130" s="21" t="str">
        <f>IF(AND('Atividades Micro'!$B138=M$2,'Atividades Micro'!$K138&lt;&gt;""),'Atividades Micro'!$K138,"")</f>
        <v/>
      </c>
      <c r="N130" s="21" t="str">
        <f>IF(AND('Atividades Micro'!$B138=N$2,'Atividades Micro'!$L138&lt;&gt;""),'Atividades Micro'!$L138,"")</f>
        <v/>
      </c>
      <c r="O130" s="21" t="str">
        <f>IF(AND('Atividades Micro'!$A138=O$2,'Atividades Micro'!$K138&lt;&gt;""),'Atividades Micro'!$K138,"")</f>
        <v/>
      </c>
      <c r="P130" s="21" t="str">
        <f>IF(AND('Atividades Micro'!$A138=P$2,'Atividades Micro'!$L138&lt;&gt;""),'Atividades Micro'!$L138,"")</f>
        <v/>
      </c>
      <c r="Q130" s="21" t="str">
        <f>IF(AND('Atividades Micro'!$B138=Q$2,'Atividades Micro'!$K138&lt;&gt;""),'Atividades Micro'!$K138,"")</f>
        <v/>
      </c>
      <c r="R130" s="21" t="str">
        <f>IF(AND('Atividades Micro'!$B138=R$2,'Atividades Micro'!$L138&lt;&gt;""),'Atividades Micro'!$L138,"")</f>
        <v/>
      </c>
      <c r="S130" s="21">
        <f>IF(AND('Atividades Micro'!$A138=S$2,'Atividades Micro'!$K138&lt;&gt;""),'Atividades Micro'!$K138,"")</f>
        <v>46266</v>
      </c>
      <c r="T130" s="21" t="str">
        <f>IF(AND('Atividades Micro'!$A138=T$2,'Atividades Micro'!$L138&lt;&gt;""),'Atividades Micro'!$L138,"")</f>
        <v/>
      </c>
      <c r="U130" s="21">
        <f>IF(AND('Atividades Micro'!$B138=U$2,'Atividades Micro'!$K138&lt;&gt;""),'Atividades Micro'!$K138,"")</f>
        <v>46266</v>
      </c>
      <c r="V130" s="21" t="str">
        <f>IF(AND('Atividades Micro'!$B138=V$2,'Atividades Micro'!$L138&lt;&gt;""),'Atividades Micro'!$L138,"")</f>
        <v/>
      </c>
      <c r="W130" s="21" t="str">
        <f>IF(AND('Atividades Micro'!$B138=W$2,'Atividades Micro'!$K138&lt;&gt;""),'Atividades Micro'!$K138,"")</f>
        <v/>
      </c>
      <c r="X130" s="21" t="str">
        <f>IF(AND('Atividades Micro'!$B138=X$2,'Atividades Micro'!$L138&lt;&gt;""),'Atividades Micro'!$L138,"")</f>
        <v/>
      </c>
      <c r="Y130" s="21" t="str">
        <f>IF(AND('Atividades Micro'!$A138=Y$2,'Atividades Micro'!$K138&lt;&gt;""),'Atividades Micro'!$K138,"")</f>
        <v/>
      </c>
      <c r="Z130" s="21" t="str">
        <f>IF(AND('Atividades Micro'!$A138=Z$2,'Atividades Micro'!$L138&lt;&gt;""),'Atividades Micro'!$L138,"")</f>
        <v/>
      </c>
      <c r="AA130" s="21" t="str">
        <f>IF(AND('Atividades Micro'!$B138=AA$2,'Atividades Micro'!$K138&lt;&gt;""),'Atividades Micro'!$K138,"")</f>
        <v/>
      </c>
      <c r="AB130" s="21" t="str">
        <f>IF(AND('Atividades Micro'!$B138=AB$2,'Atividades Micro'!$L138&lt;&gt;""),'Atividades Micro'!$L138,"")</f>
        <v/>
      </c>
      <c r="AC130" s="21" t="str">
        <f>IF(AND('Atividades Micro'!$B138=AC$2,'Atividades Micro'!$K138&lt;&gt;""),'Atividades Micro'!$K138,"")</f>
        <v/>
      </c>
      <c r="AD130" s="21" t="str">
        <f>IF(AND('Atividades Micro'!$B138=AD$2,'Atividades Micro'!$L138&lt;&gt;""),'Atividades Micro'!$L138,"")</f>
        <v/>
      </c>
      <c r="AE130" s="21" t="str">
        <f>IF(AND('Atividades Micro'!$A138=AE$2,'Atividades Micro'!$K138&lt;&gt;""),'Atividades Micro'!$K138,"")</f>
        <v/>
      </c>
      <c r="AF130" s="21" t="str">
        <f>IF(AND('Atividades Micro'!$A138=AF$2,'Atividades Micro'!$L138&lt;&gt;""),'Atividades Micro'!$L138,"")</f>
        <v/>
      </c>
      <c r="AG130" s="21" t="str">
        <f>IF(AND('Atividades Micro'!$B138=AG$2,'Atividades Micro'!$K138&lt;&gt;""),'Atividades Micro'!$K138,"")</f>
        <v/>
      </c>
      <c r="AH130" s="21" t="str">
        <f>IF(AND('Atividades Micro'!$B138=AH$2,'Atividades Micro'!$L138&lt;&gt;""),'Atividades Micro'!$L138,"")</f>
        <v/>
      </c>
      <c r="AI130" s="21" t="str">
        <f>IF(AND('Atividades Micro'!$B138=AI$2,'Atividades Micro'!$K138&lt;&gt;""),'Atividades Micro'!$K138,"")</f>
        <v/>
      </c>
      <c r="AJ130" s="21" t="str">
        <f>IF(AND('Atividades Micro'!$B138=AJ$2,'Atividades Micro'!$L138&lt;&gt;""),'Atividades Micro'!$L138,"")</f>
        <v/>
      </c>
      <c r="AK130" s="21" t="str">
        <f>IF(AND('Atividades Micro'!$A138=AK$2,'Atividades Micro'!$K138&lt;&gt;""),'Atividades Micro'!$K138,"")</f>
        <v/>
      </c>
      <c r="AL130" s="21" t="str">
        <f>IF(AND('Atividades Micro'!$A138=AL$2,'Atividades Micro'!$L138&lt;&gt;""),'Atividades Micro'!$L138,"")</f>
        <v/>
      </c>
      <c r="AM130" s="21" t="str">
        <f>IF(AND('Atividades Micro'!$B138=AM$2,'Atividades Micro'!$K138&lt;&gt;""),'Atividades Micro'!$K138,"")</f>
        <v/>
      </c>
      <c r="AN130" s="21" t="str">
        <f>IF(AND('Atividades Micro'!$B138=AN$2,'Atividades Micro'!$L138&lt;&gt;""),'Atividades Micro'!$L138,"")</f>
        <v/>
      </c>
      <c r="AO130" s="21" t="str">
        <f>IF(AND('Atividades Micro'!$B138=AO$2,'Atividades Micro'!$K138&lt;&gt;""),'Atividades Micro'!$K138,"")</f>
        <v/>
      </c>
      <c r="AP130" s="21" t="str">
        <f>IF(AND('Atividades Micro'!$B138=AP$2,'Atividades Micro'!$L138&lt;&gt;""),'Atividades Micro'!$L138,"")</f>
        <v/>
      </c>
      <c r="AQ130" s="21" t="str">
        <f>IF(AND('Atividades Micro'!$A138=AQ$2,'Atividades Micro'!$K138&lt;&gt;""),'Atividades Micro'!$K138,"")</f>
        <v/>
      </c>
      <c r="AR130" s="21" t="str">
        <f>IF(AND('Atividades Micro'!$A138=AR$2,'Atividades Micro'!$L138&lt;&gt;""),'Atividades Micro'!$L138,"")</f>
        <v/>
      </c>
      <c r="AS130" s="21" t="str">
        <f>IF(AND('Atividades Micro'!$B138=AS$2,'Atividades Micro'!$K138&lt;&gt;""),'Atividades Micro'!$K138,"")</f>
        <v/>
      </c>
      <c r="AT130" s="21" t="str">
        <f>IF(AND('Atividades Micro'!$B138=AT$2,'Atividades Micro'!$L138&lt;&gt;""),'Atividades Micro'!$L138,"")</f>
        <v/>
      </c>
      <c r="AU130" s="21" t="str">
        <f>IF(AND('Atividades Micro'!$A138=AU$2,'Atividades Micro'!$K138&lt;&gt;""),'Atividades Micro'!$K138,"")</f>
        <v/>
      </c>
      <c r="AV130" s="21" t="str">
        <f>IF(AND('Atividades Micro'!$A138=AV$2,'Atividades Micro'!$L138&lt;&gt;""),'Atividades Micro'!$L138,"")</f>
        <v/>
      </c>
      <c r="AW130" s="21" t="str">
        <f>IF(AND('Atividades Micro'!$B138=AW$2,'Atividades Micro'!$K138&lt;&gt;""),'Atividades Micro'!$K138,"")</f>
        <v/>
      </c>
      <c r="AX130" s="21" t="str">
        <f>IF(AND('Atividades Micro'!$B138=AX$2,'Atividades Micro'!$L138&lt;&gt;""),'Atividades Micro'!$L138,"")</f>
        <v/>
      </c>
      <c r="AY130" s="21" t="str">
        <f>IF(AND('Atividades Micro'!$A138=AY$2,'Atividades Micro'!$K138&lt;&gt;""),'Atividades Micro'!$K138,"")</f>
        <v/>
      </c>
      <c r="AZ130" s="21" t="str">
        <f>IF(AND('Atividades Micro'!$A138=AZ$2,'Atividades Micro'!$L138&lt;&gt;""),'Atividades Micro'!$L138,"")</f>
        <v/>
      </c>
      <c r="BA130" s="21" t="str">
        <f>IF(AND('Atividades Micro'!$B138=BA$2,'Atividades Micro'!$K138&lt;&gt;""),'Atividades Micro'!$K138,"")</f>
        <v/>
      </c>
      <c r="BB130" s="21" t="str">
        <f>IF(AND('Atividades Micro'!$B138=BB$2,'Atividades Micro'!$L138&lt;&gt;""),'Atividades Micro'!$L138,"")</f>
        <v/>
      </c>
      <c r="BC130" s="21" t="str">
        <f>IF(AND('Atividades Micro'!$B138=BC$2,'Atividades Micro'!$G138="Macro",'Atividades Micro'!$K138&lt;&gt;""),'Atividades Micro'!$K138,"")</f>
        <v/>
      </c>
      <c r="BD130" s="21" t="str">
        <f>IF(AND('Atividades Micro'!$B138=BD$2,'Atividades Micro'!$G138="Macro",'Atividades Micro'!$K138&lt;&gt;""),'Atividades Micro'!$K138,"")</f>
        <v/>
      </c>
      <c r="BE130" s="21" t="str">
        <f>IF(AND('Atividades Micro'!$B138=BE$2,'Atividades Micro'!$G138="Macro",'Atividades Micro'!$K138&lt;&gt;""),'Atividades Micro'!$K138,"")</f>
        <v/>
      </c>
      <c r="BF130" s="21" t="str">
        <f>IF(AND('Atividades Micro'!$B138=BF$2,'Atividades Micro'!$G138="Macro",'Atividades Micro'!$K138&lt;&gt;""),'Atividades Micro'!$K138,"")</f>
        <v/>
      </c>
      <c r="BG130" s="21" t="str">
        <f>IF(AND('Atividades Micro'!$B138=BG$2,'Atividades Micro'!$G138="Macro",'Atividades Micro'!$K138&lt;&gt;""),'Atividades Micro'!$K138,"")</f>
        <v/>
      </c>
      <c r="BH130" s="21" t="str">
        <f>IF(AND('Atividades Micro'!$B138=BH$2,'Atividades Micro'!$G138="Macro",'Atividades Micro'!$K138&lt;&gt;""),'Atividades Micro'!$K138,"")</f>
        <v/>
      </c>
      <c r="BI130" s="21" t="str">
        <f>IF(AND('Atividades Micro'!$B138=BI$2,'Atividades Micro'!$G138="Macro",'Atividades Micro'!$K138&lt;&gt;""),'Atividades Micro'!$K138,"")</f>
        <v/>
      </c>
      <c r="BJ130" s="21" t="str">
        <f>IF(AND('Atividades Micro'!$B138=BJ$2,'Atividades Micro'!$G138="Macro",'Atividades Micro'!$K138&lt;&gt;""),'Atividades Micro'!$K138,"")</f>
        <v/>
      </c>
      <c r="BK130" s="21" t="str">
        <f>IF(AND('Atividades Micro'!$B138=BK$2,'Atividades Micro'!$G138="Macro",'Atividades Micro'!$K138&lt;&gt;""),'Atividades Micro'!$K138,"")</f>
        <v/>
      </c>
      <c r="BL130" s="21" t="str">
        <f>IF(AND('Atividades Micro'!$B138=BL$2,'Atividades Micro'!$G138="Macro",'Atividades Micro'!$K138&lt;&gt;""),'Atividades Micro'!$K138,"")</f>
        <v/>
      </c>
      <c r="BM130" s="21" t="str">
        <f>IF(AND('Atividades Micro'!$B138=BM$2,'Atividades Micro'!$G138="Macro",'Atividades Micro'!$K138&lt;&gt;""),'Atividades Micro'!$K138,"")</f>
        <v/>
      </c>
      <c r="BN130" s="21" t="str">
        <f>IF(AND('Atividades Micro'!$B138=BN$2,'Atividades Micro'!$G138="Macro",'Atividades Micro'!$K138&lt;&gt;""),'Atividades Micro'!$K138,"")</f>
        <v/>
      </c>
      <c r="BO130" s="21" t="str">
        <f>IF(AND('Atividades Micro'!$B138=BO$2,'Atividades Micro'!$G138="Macro",'Atividades Micro'!$K138&lt;&gt;""),'Atividades Micro'!$K138,"")</f>
        <v/>
      </c>
      <c r="BP130" s="21" t="str">
        <f>IF(AND('Atividades Micro'!$B138=BP$2,'Atividades Micro'!$G138="Macro",'Atividades Micro'!$K138&lt;&gt;""),'Atividades Micro'!$K138,"")</f>
        <v/>
      </c>
      <c r="BQ130" s="21" t="str">
        <f>IF(AND('Atividades Micro'!$B138=BQ$2,'Atividades Micro'!$G138="Macro",'Atividades Micro'!$K138&lt;&gt;""),'Atividades Micro'!$K138,"")</f>
        <v/>
      </c>
      <c r="BR130" s="21" t="str">
        <f>IF(AND('Atividades Micro'!$B138=BR$2,'Atividades Micro'!$G138="Macro",'Atividades Micro'!$K138&lt;&gt;""),'Atividades Micro'!$K138,"")</f>
        <v/>
      </c>
      <c r="BS130" s="21" t="str">
        <f>IF(AND('Atividades Micro'!$B138=BS$2,'Atividades Micro'!$G138="Macro",'Atividades Micro'!$K138&lt;&gt;""),'Atividades Micro'!$K138,"")</f>
        <v/>
      </c>
      <c r="BT130" s="21" t="str">
        <f>IF(AND('Atividades Micro'!$B138=BT$2,'Atividades Micro'!$G138="Macro",'Atividades Micro'!$K138&lt;&gt;""),'Atividades Micro'!$K138,"")</f>
        <v/>
      </c>
      <c r="BU130" s="21" t="str">
        <f>IF(AND('Atividades Micro'!$B138=BU$2,'Atividades Micro'!$G138="Macro",'Atividades Micro'!$K138&lt;&gt;""),'Atividades Micro'!$K138,"")</f>
        <v/>
      </c>
      <c r="BV130" s="21" t="str">
        <f>IF(AND('Atividades Micro'!$B138=BV$2,'Atividades Micro'!$G138="Macro",'Atividades Micro'!$K138&lt;&gt;""),'Atividades Micro'!$K138,"")</f>
        <v/>
      </c>
      <c r="BW130" s="21" t="str">
        <f>IF(AND('Atividades Micro'!$B138=BW$2,'Atividades Micro'!$G138="Macro",'Atividades Micro'!$K138&lt;&gt;""),'Atividades Micro'!$K138,"")</f>
        <v/>
      </c>
      <c r="BX130" s="21" t="str">
        <f>IF(AND('Atividades Micro'!$B138=BX$2,'Atividades Micro'!$G138="Macro",'Atividades Micro'!$K138&lt;&gt;""),'Atividades Micro'!$K138,"")</f>
        <v/>
      </c>
      <c r="BY130" s="21" t="str">
        <f>IF(AND('Atividades Micro'!$B138=BY$2,'Atividades Micro'!$G138="Macro",'Atividades Micro'!$K138&lt;&gt;""),'Atividades Micro'!$K138,"")</f>
        <v/>
      </c>
      <c r="BZ130" s="21" t="str">
        <f>IF(AND('Atividades Micro'!$B138=BZ$2,'Atividades Micro'!$G138="Macro",'Atividades Micro'!$K138&lt;&gt;""),'Atividades Micro'!$K138,"")</f>
        <v/>
      </c>
      <c r="CA130" s="21" t="str">
        <f>IF(AND('Atividades Micro'!$B138=CA$2,'Atividades Micro'!$G138="Macro",'Atividades Micro'!$K138&lt;&gt;""),'Atividades Micro'!$K138,"")</f>
        <v/>
      </c>
      <c r="CB130" s="21" t="str">
        <f>IF(AND('Atividades Micro'!$B138=CB$2,'Atividades Micro'!$G138="Macro",'Atividades Micro'!$K138&lt;&gt;""),'Atividades Micro'!$K138,"")</f>
        <v/>
      </c>
      <c r="CC130" s="21" t="str">
        <f>IF(AND('Atividades Micro'!$B138=CC$2,'Atividades Micro'!$G138="Macro",'Atividades Micro'!$K138&lt;&gt;""),'Atividades Micro'!$K138,"")</f>
        <v/>
      </c>
      <c r="CD130" s="21" t="str">
        <f>IF(AND('Atividades Micro'!$B138=CD$2,'Atividades Micro'!$G138="Micro",'Atividades Micro'!$K138&lt;&gt;""),'Atividades Micro'!$K138,"")</f>
        <v/>
      </c>
      <c r="CE130" s="21" t="str">
        <f>IF(AND('Atividades Micro'!$B138=CE$2,'Atividades Micro'!$G138="Micro",'Atividades Micro'!$K138&lt;&gt;""),'Atividades Micro'!$K138,"")</f>
        <v/>
      </c>
      <c r="CF130" s="21" t="str">
        <f>IF(AND('Atividades Micro'!$B138=CF$2,'Atividades Micro'!$G138="Micro",'Atividades Micro'!$K138&lt;&gt;""),'Atividades Micro'!$K138,"")</f>
        <v/>
      </c>
      <c r="CG130" s="21">
        <f>IF(AND('Atividades Micro'!$B138=CG$2,'Atividades Micro'!$G138="Micro",'Atividades Micro'!$K138&lt;&gt;""),'Atividades Micro'!$K138,"")</f>
        <v>46266</v>
      </c>
      <c r="CH130" s="21" t="str">
        <f>IF(AND('Atividades Micro'!$B138=CH$2,'Atividades Micro'!$G138="Micro",'Atividades Micro'!$K138&lt;&gt;""),'Atividades Micro'!$K138,"")</f>
        <v/>
      </c>
      <c r="CI130" s="21" t="str">
        <f>IF(AND('Atividades Micro'!$B138=CI$2,'Atividades Micro'!$G138="Micro",'Atividades Micro'!$K138&lt;&gt;""),'Atividades Micro'!$K138,"")</f>
        <v/>
      </c>
      <c r="CJ130" s="21" t="str">
        <f>IF(AND('Atividades Micro'!$B138=CJ$2,'Atividades Micro'!$G138="Micro",'Atividades Micro'!$K138&lt;&gt;""),'Atividades Micro'!$K138,"")</f>
        <v/>
      </c>
      <c r="CK130" s="21" t="str">
        <f>IF(AND('Atividades Micro'!$B138=CK$2,'Atividades Micro'!$G138="Micro",'Atividades Micro'!$K138&lt;&gt;""),'Atividades Micro'!$K138,"")</f>
        <v/>
      </c>
      <c r="CL130" s="21" t="str">
        <f>IF(AND('Atividades Micro'!$B138=CL$2,'Atividades Micro'!$G138="Micro",'Atividades Micro'!$K138&lt;&gt;""),'Atividades Micro'!$K138,"")</f>
        <v/>
      </c>
      <c r="CM130" s="21" t="str">
        <f>IF(AND('Atividades Micro'!$B138=CM$2,'Atividades Micro'!$G138="Micro",'Atividades Micro'!$K138&lt;&gt;""),'Atividades Micro'!$K138,"")</f>
        <v/>
      </c>
      <c r="CN130" s="21" t="str">
        <f>IF(AND('Atividades Micro'!$B138=CN$2,'Atividades Micro'!$G138="Micro",'Atividades Micro'!$K138&lt;&gt;""),'Atividades Micro'!$K138,"")</f>
        <v/>
      </c>
      <c r="CO130" s="21" t="str">
        <f>IF(AND('Atividades Micro'!$B138=CO$2,'Atividades Micro'!$G138="Micro",'Atividades Micro'!$K138&lt;&gt;""),'Atividades Micro'!$K138,"")</f>
        <v/>
      </c>
    </row>
    <row r="131" spans="1:93">
      <c r="A131" s="21" t="str">
        <f>IF(AND('Atividades Micro'!$A139=A$2,'Atividades Micro'!$K139&lt;&gt;""),'Atividades Micro'!$K139,"")</f>
        <v/>
      </c>
      <c r="B131" s="21" t="str">
        <f>IF(AND('Atividades Micro'!$A139=B$2,'Atividades Micro'!$L139&lt;&gt;""),'Atividades Micro'!$L139,"")</f>
        <v/>
      </c>
      <c r="C131" s="21" t="str">
        <f>IF(AND('Atividades Micro'!$A139=C$2,'Atividades Micro'!$K139&lt;&gt;""),'Atividades Micro'!$K139,"")</f>
        <v/>
      </c>
      <c r="D131" s="21" t="str">
        <f>IF(AND('Atividades Micro'!$A139=D$2,'Atividades Micro'!$L139&lt;&gt;""),'Atividades Micro'!$L139,"")</f>
        <v/>
      </c>
      <c r="E131" s="21" t="str">
        <f>IF(AND('Atividades Micro'!$A139=E$2,'Atividades Micro'!$K139&lt;&gt;""),'Atividades Micro'!$K139,"")</f>
        <v/>
      </c>
      <c r="F131" s="21" t="str">
        <f>IF(AND('Atividades Micro'!$A139=F$2,'Atividades Micro'!$L139&lt;&gt;""),'Atividades Micro'!$L139,"")</f>
        <v/>
      </c>
      <c r="G131" s="21" t="str">
        <f>IF(AND('Atividades Micro'!$A139=G$2,'Atividades Micro'!$K139&lt;&gt;""),'Atividades Micro'!$K139,"")</f>
        <v/>
      </c>
      <c r="H131" s="21" t="str">
        <f>IF(AND('Atividades Micro'!$A139=H$2,'Atividades Micro'!$L139&lt;&gt;""),'Atividades Micro'!$L139,"")</f>
        <v/>
      </c>
      <c r="I131" s="21" t="str">
        <f>IF(AND('Atividades Micro'!$A139=I$2,'Atividades Micro'!$K139&lt;&gt;""),'Atividades Micro'!$K139,"")</f>
        <v/>
      </c>
      <c r="J131" s="21" t="str">
        <f>IF(AND('Atividades Micro'!$A139=J$2,'Atividades Micro'!$L139&lt;&gt;""),'Atividades Micro'!$L139,"")</f>
        <v/>
      </c>
      <c r="K131" s="21" t="str">
        <f>IF(AND('Atividades Micro'!$B139=K$2,'Atividades Micro'!$K139&lt;&gt;""),'Atividades Micro'!$K139,"")</f>
        <v/>
      </c>
      <c r="L131" s="21" t="str">
        <f>IF(AND('Atividades Micro'!$B139=L$2,'Atividades Micro'!$L139&lt;&gt;""),'Atividades Micro'!$L139,"")</f>
        <v/>
      </c>
      <c r="M131" s="21" t="str">
        <f>IF(AND('Atividades Micro'!$B139=M$2,'Atividades Micro'!$K139&lt;&gt;""),'Atividades Micro'!$K139,"")</f>
        <v/>
      </c>
      <c r="N131" s="21" t="str">
        <f>IF(AND('Atividades Micro'!$B139=N$2,'Atividades Micro'!$L139&lt;&gt;""),'Atividades Micro'!$L139,"")</f>
        <v/>
      </c>
      <c r="O131" s="21" t="str">
        <f>IF(AND('Atividades Micro'!$A139=O$2,'Atividades Micro'!$K139&lt;&gt;""),'Atividades Micro'!$K139,"")</f>
        <v/>
      </c>
      <c r="P131" s="21" t="str">
        <f>IF(AND('Atividades Micro'!$A139=P$2,'Atividades Micro'!$L139&lt;&gt;""),'Atividades Micro'!$L139,"")</f>
        <v/>
      </c>
      <c r="Q131" s="21" t="str">
        <f>IF(AND('Atividades Micro'!$B139=Q$2,'Atividades Micro'!$K139&lt;&gt;""),'Atividades Micro'!$K139,"")</f>
        <v/>
      </c>
      <c r="R131" s="21" t="str">
        <f>IF(AND('Atividades Micro'!$B139=R$2,'Atividades Micro'!$L139&lt;&gt;""),'Atividades Micro'!$L139,"")</f>
        <v/>
      </c>
      <c r="S131" s="21">
        <f>IF(AND('Atividades Micro'!$A139=S$2,'Atividades Micro'!$K139&lt;&gt;""),'Atividades Micro'!$K139,"")</f>
        <v>46268</v>
      </c>
      <c r="T131" s="21" t="str">
        <f>IF(AND('Atividades Micro'!$A139=T$2,'Atividades Micro'!$L139&lt;&gt;""),'Atividades Micro'!$L139,"")</f>
        <v/>
      </c>
      <c r="U131" s="21">
        <f>IF(AND('Atividades Micro'!$B139=U$2,'Atividades Micro'!$K139&lt;&gt;""),'Atividades Micro'!$K139,"")</f>
        <v>46268</v>
      </c>
      <c r="V131" s="21" t="str">
        <f>IF(AND('Atividades Micro'!$B139=V$2,'Atividades Micro'!$L139&lt;&gt;""),'Atividades Micro'!$L139,"")</f>
        <v/>
      </c>
      <c r="W131" s="21" t="str">
        <f>IF(AND('Atividades Micro'!$B139=W$2,'Atividades Micro'!$K139&lt;&gt;""),'Atividades Micro'!$K139,"")</f>
        <v/>
      </c>
      <c r="X131" s="21" t="str">
        <f>IF(AND('Atividades Micro'!$B139=X$2,'Atividades Micro'!$L139&lt;&gt;""),'Atividades Micro'!$L139,"")</f>
        <v/>
      </c>
      <c r="Y131" s="21" t="str">
        <f>IF(AND('Atividades Micro'!$A139=Y$2,'Atividades Micro'!$K139&lt;&gt;""),'Atividades Micro'!$K139,"")</f>
        <v/>
      </c>
      <c r="Z131" s="21" t="str">
        <f>IF(AND('Atividades Micro'!$A139=Z$2,'Atividades Micro'!$L139&lt;&gt;""),'Atividades Micro'!$L139,"")</f>
        <v/>
      </c>
      <c r="AA131" s="21" t="str">
        <f>IF(AND('Atividades Micro'!$B139=AA$2,'Atividades Micro'!$K139&lt;&gt;""),'Atividades Micro'!$K139,"")</f>
        <v/>
      </c>
      <c r="AB131" s="21" t="str">
        <f>IF(AND('Atividades Micro'!$B139=AB$2,'Atividades Micro'!$L139&lt;&gt;""),'Atividades Micro'!$L139,"")</f>
        <v/>
      </c>
      <c r="AC131" s="21" t="str">
        <f>IF(AND('Atividades Micro'!$B139=AC$2,'Atividades Micro'!$K139&lt;&gt;""),'Atividades Micro'!$K139,"")</f>
        <v/>
      </c>
      <c r="AD131" s="21" t="str">
        <f>IF(AND('Atividades Micro'!$B139=AD$2,'Atividades Micro'!$L139&lt;&gt;""),'Atividades Micro'!$L139,"")</f>
        <v/>
      </c>
      <c r="AE131" s="21" t="str">
        <f>IF(AND('Atividades Micro'!$A139=AE$2,'Atividades Micro'!$K139&lt;&gt;""),'Atividades Micro'!$K139,"")</f>
        <v/>
      </c>
      <c r="AF131" s="21" t="str">
        <f>IF(AND('Atividades Micro'!$A139=AF$2,'Atividades Micro'!$L139&lt;&gt;""),'Atividades Micro'!$L139,"")</f>
        <v/>
      </c>
      <c r="AG131" s="21" t="str">
        <f>IF(AND('Atividades Micro'!$B139=AG$2,'Atividades Micro'!$K139&lt;&gt;""),'Atividades Micro'!$K139,"")</f>
        <v/>
      </c>
      <c r="AH131" s="21" t="str">
        <f>IF(AND('Atividades Micro'!$B139=AH$2,'Atividades Micro'!$L139&lt;&gt;""),'Atividades Micro'!$L139,"")</f>
        <v/>
      </c>
      <c r="AI131" s="21" t="str">
        <f>IF(AND('Atividades Micro'!$B139=AI$2,'Atividades Micro'!$K139&lt;&gt;""),'Atividades Micro'!$K139,"")</f>
        <v/>
      </c>
      <c r="AJ131" s="21" t="str">
        <f>IF(AND('Atividades Micro'!$B139=AJ$2,'Atividades Micro'!$L139&lt;&gt;""),'Atividades Micro'!$L139,"")</f>
        <v/>
      </c>
      <c r="AK131" s="21" t="str">
        <f>IF(AND('Atividades Micro'!$A139=AK$2,'Atividades Micro'!$K139&lt;&gt;""),'Atividades Micro'!$K139,"")</f>
        <v/>
      </c>
      <c r="AL131" s="21" t="str">
        <f>IF(AND('Atividades Micro'!$A139=AL$2,'Atividades Micro'!$L139&lt;&gt;""),'Atividades Micro'!$L139,"")</f>
        <v/>
      </c>
      <c r="AM131" s="21" t="str">
        <f>IF(AND('Atividades Micro'!$B139=AM$2,'Atividades Micro'!$K139&lt;&gt;""),'Atividades Micro'!$K139,"")</f>
        <v/>
      </c>
      <c r="AN131" s="21" t="str">
        <f>IF(AND('Atividades Micro'!$B139=AN$2,'Atividades Micro'!$L139&lt;&gt;""),'Atividades Micro'!$L139,"")</f>
        <v/>
      </c>
      <c r="AO131" s="21" t="str">
        <f>IF(AND('Atividades Micro'!$B139=AO$2,'Atividades Micro'!$K139&lt;&gt;""),'Atividades Micro'!$K139,"")</f>
        <v/>
      </c>
      <c r="AP131" s="21" t="str">
        <f>IF(AND('Atividades Micro'!$B139=AP$2,'Atividades Micro'!$L139&lt;&gt;""),'Atividades Micro'!$L139,"")</f>
        <v/>
      </c>
      <c r="AQ131" s="21" t="str">
        <f>IF(AND('Atividades Micro'!$A139=AQ$2,'Atividades Micro'!$K139&lt;&gt;""),'Atividades Micro'!$K139,"")</f>
        <v/>
      </c>
      <c r="AR131" s="21" t="str">
        <f>IF(AND('Atividades Micro'!$A139=AR$2,'Atividades Micro'!$L139&lt;&gt;""),'Atividades Micro'!$L139,"")</f>
        <v/>
      </c>
      <c r="AS131" s="21" t="str">
        <f>IF(AND('Atividades Micro'!$B139=AS$2,'Atividades Micro'!$K139&lt;&gt;""),'Atividades Micro'!$K139,"")</f>
        <v/>
      </c>
      <c r="AT131" s="21" t="str">
        <f>IF(AND('Atividades Micro'!$B139=AT$2,'Atividades Micro'!$L139&lt;&gt;""),'Atividades Micro'!$L139,"")</f>
        <v/>
      </c>
      <c r="AU131" s="21" t="str">
        <f>IF(AND('Atividades Micro'!$A139=AU$2,'Atividades Micro'!$K139&lt;&gt;""),'Atividades Micro'!$K139,"")</f>
        <v/>
      </c>
      <c r="AV131" s="21" t="str">
        <f>IF(AND('Atividades Micro'!$A139=AV$2,'Atividades Micro'!$L139&lt;&gt;""),'Atividades Micro'!$L139,"")</f>
        <v/>
      </c>
      <c r="AW131" s="21" t="str">
        <f>IF(AND('Atividades Micro'!$B139=AW$2,'Atividades Micro'!$K139&lt;&gt;""),'Atividades Micro'!$K139,"")</f>
        <v/>
      </c>
      <c r="AX131" s="21" t="str">
        <f>IF(AND('Atividades Micro'!$B139=AX$2,'Atividades Micro'!$L139&lt;&gt;""),'Atividades Micro'!$L139,"")</f>
        <v/>
      </c>
      <c r="AY131" s="21" t="str">
        <f>IF(AND('Atividades Micro'!$A139=AY$2,'Atividades Micro'!$K139&lt;&gt;""),'Atividades Micro'!$K139,"")</f>
        <v/>
      </c>
      <c r="AZ131" s="21" t="str">
        <f>IF(AND('Atividades Micro'!$A139=AZ$2,'Atividades Micro'!$L139&lt;&gt;""),'Atividades Micro'!$L139,"")</f>
        <v/>
      </c>
      <c r="BA131" s="21" t="str">
        <f>IF(AND('Atividades Micro'!$B139=BA$2,'Atividades Micro'!$K139&lt;&gt;""),'Atividades Micro'!$K139,"")</f>
        <v/>
      </c>
      <c r="BB131" s="21" t="str">
        <f>IF(AND('Atividades Micro'!$B139=BB$2,'Atividades Micro'!$L139&lt;&gt;""),'Atividades Micro'!$L139,"")</f>
        <v/>
      </c>
      <c r="BC131" s="21" t="str">
        <f>IF(AND('Atividades Micro'!$B139=BC$2,'Atividades Micro'!$G139="Macro",'Atividades Micro'!$K139&lt;&gt;""),'Atividades Micro'!$K139,"")</f>
        <v/>
      </c>
      <c r="BD131" s="21" t="str">
        <f>IF(AND('Atividades Micro'!$B139=BD$2,'Atividades Micro'!$G139="Macro",'Atividades Micro'!$K139&lt;&gt;""),'Atividades Micro'!$K139,"")</f>
        <v/>
      </c>
      <c r="BE131" s="21" t="str">
        <f>IF(AND('Atividades Micro'!$B139=BE$2,'Atividades Micro'!$G139="Macro",'Atividades Micro'!$K139&lt;&gt;""),'Atividades Micro'!$K139,"")</f>
        <v/>
      </c>
      <c r="BF131" s="21" t="str">
        <f>IF(AND('Atividades Micro'!$B139=BF$2,'Atividades Micro'!$G139="Macro",'Atividades Micro'!$K139&lt;&gt;""),'Atividades Micro'!$K139,"")</f>
        <v/>
      </c>
      <c r="BG131" s="21" t="str">
        <f>IF(AND('Atividades Micro'!$B139=BG$2,'Atividades Micro'!$G139="Macro",'Atividades Micro'!$K139&lt;&gt;""),'Atividades Micro'!$K139,"")</f>
        <v/>
      </c>
      <c r="BH131" s="21" t="str">
        <f>IF(AND('Atividades Micro'!$B139=BH$2,'Atividades Micro'!$G139="Macro",'Atividades Micro'!$K139&lt;&gt;""),'Atividades Micro'!$K139,"")</f>
        <v/>
      </c>
      <c r="BI131" s="21" t="str">
        <f>IF(AND('Atividades Micro'!$B139=BI$2,'Atividades Micro'!$G139="Macro",'Atividades Micro'!$K139&lt;&gt;""),'Atividades Micro'!$K139,"")</f>
        <v/>
      </c>
      <c r="BJ131" s="21" t="str">
        <f>IF(AND('Atividades Micro'!$B139=BJ$2,'Atividades Micro'!$G139="Macro",'Atividades Micro'!$K139&lt;&gt;""),'Atividades Micro'!$K139,"")</f>
        <v/>
      </c>
      <c r="BK131" s="21" t="str">
        <f>IF(AND('Atividades Micro'!$B139=BK$2,'Atividades Micro'!$G139="Macro",'Atividades Micro'!$K139&lt;&gt;""),'Atividades Micro'!$K139,"")</f>
        <v/>
      </c>
      <c r="BL131" s="21" t="str">
        <f>IF(AND('Atividades Micro'!$B139=BL$2,'Atividades Micro'!$G139="Macro",'Atividades Micro'!$K139&lt;&gt;""),'Atividades Micro'!$K139,"")</f>
        <v/>
      </c>
      <c r="BM131" s="21" t="str">
        <f>IF(AND('Atividades Micro'!$B139=BM$2,'Atividades Micro'!$G139="Macro",'Atividades Micro'!$K139&lt;&gt;""),'Atividades Micro'!$K139,"")</f>
        <v/>
      </c>
      <c r="BN131" s="21" t="str">
        <f>IF(AND('Atividades Micro'!$B139=BN$2,'Atividades Micro'!$G139="Macro",'Atividades Micro'!$K139&lt;&gt;""),'Atividades Micro'!$K139,"")</f>
        <v/>
      </c>
      <c r="BO131" s="21" t="str">
        <f>IF(AND('Atividades Micro'!$B139=BO$2,'Atividades Micro'!$G139="Macro",'Atividades Micro'!$K139&lt;&gt;""),'Atividades Micro'!$K139,"")</f>
        <v/>
      </c>
      <c r="BP131" s="21" t="str">
        <f>IF(AND('Atividades Micro'!$B139=BP$2,'Atividades Micro'!$G139="Macro",'Atividades Micro'!$K139&lt;&gt;""),'Atividades Micro'!$K139,"")</f>
        <v/>
      </c>
      <c r="BQ131" s="21" t="str">
        <f>IF(AND('Atividades Micro'!$B139=BQ$2,'Atividades Micro'!$G139="Macro",'Atividades Micro'!$K139&lt;&gt;""),'Atividades Micro'!$K139,"")</f>
        <v/>
      </c>
      <c r="BR131" s="21" t="str">
        <f>IF(AND('Atividades Micro'!$B139=BR$2,'Atividades Micro'!$G139="Macro",'Atividades Micro'!$K139&lt;&gt;""),'Atividades Micro'!$K139,"")</f>
        <v/>
      </c>
      <c r="BS131" s="21" t="str">
        <f>IF(AND('Atividades Micro'!$B139=BS$2,'Atividades Micro'!$G139="Macro",'Atividades Micro'!$K139&lt;&gt;""),'Atividades Micro'!$K139,"")</f>
        <v/>
      </c>
      <c r="BT131" s="21" t="str">
        <f>IF(AND('Atividades Micro'!$B139=BT$2,'Atividades Micro'!$G139="Macro",'Atividades Micro'!$K139&lt;&gt;""),'Atividades Micro'!$K139,"")</f>
        <v/>
      </c>
      <c r="BU131" s="21" t="str">
        <f>IF(AND('Atividades Micro'!$B139=BU$2,'Atividades Micro'!$G139="Macro",'Atividades Micro'!$K139&lt;&gt;""),'Atividades Micro'!$K139,"")</f>
        <v/>
      </c>
      <c r="BV131" s="21" t="str">
        <f>IF(AND('Atividades Micro'!$B139=BV$2,'Atividades Micro'!$G139="Macro",'Atividades Micro'!$K139&lt;&gt;""),'Atividades Micro'!$K139,"")</f>
        <v/>
      </c>
      <c r="BW131" s="21" t="str">
        <f>IF(AND('Atividades Micro'!$B139=BW$2,'Atividades Micro'!$G139="Macro",'Atividades Micro'!$K139&lt;&gt;""),'Atividades Micro'!$K139,"")</f>
        <v/>
      </c>
      <c r="BX131" s="21" t="str">
        <f>IF(AND('Atividades Micro'!$B139=BX$2,'Atividades Micro'!$G139="Macro",'Atividades Micro'!$K139&lt;&gt;""),'Atividades Micro'!$K139,"")</f>
        <v/>
      </c>
      <c r="BY131" s="21" t="str">
        <f>IF(AND('Atividades Micro'!$B139=BY$2,'Atividades Micro'!$G139="Macro",'Atividades Micro'!$K139&lt;&gt;""),'Atividades Micro'!$K139,"")</f>
        <v/>
      </c>
      <c r="BZ131" s="21" t="str">
        <f>IF(AND('Atividades Micro'!$B139=BZ$2,'Atividades Micro'!$G139="Macro",'Atividades Micro'!$K139&lt;&gt;""),'Atividades Micro'!$K139,"")</f>
        <v/>
      </c>
      <c r="CA131" s="21" t="str">
        <f>IF(AND('Atividades Micro'!$B139=CA$2,'Atividades Micro'!$G139="Macro",'Atividades Micro'!$K139&lt;&gt;""),'Atividades Micro'!$K139,"")</f>
        <v/>
      </c>
      <c r="CB131" s="21" t="str">
        <f>IF(AND('Atividades Micro'!$B139=CB$2,'Atividades Micro'!$G139="Macro",'Atividades Micro'!$K139&lt;&gt;""),'Atividades Micro'!$K139,"")</f>
        <v/>
      </c>
      <c r="CC131" s="21" t="str">
        <f>IF(AND('Atividades Micro'!$B139=CC$2,'Atividades Micro'!$G139="Macro",'Atividades Micro'!$K139&lt;&gt;""),'Atividades Micro'!$K139,"")</f>
        <v/>
      </c>
      <c r="CD131" s="21" t="str">
        <f>IF(AND('Atividades Micro'!$B139=CD$2,'Atividades Micro'!$G139="Micro",'Atividades Micro'!$K139&lt;&gt;""),'Atividades Micro'!$K139,"")</f>
        <v/>
      </c>
      <c r="CE131" s="21" t="str">
        <f>IF(AND('Atividades Micro'!$B139=CE$2,'Atividades Micro'!$G139="Micro",'Atividades Micro'!$K139&lt;&gt;""),'Atividades Micro'!$K139,"")</f>
        <v/>
      </c>
      <c r="CF131" s="21" t="str">
        <f>IF(AND('Atividades Micro'!$B139=CF$2,'Atividades Micro'!$G139="Micro",'Atividades Micro'!$K139&lt;&gt;""),'Atividades Micro'!$K139,"")</f>
        <v/>
      </c>
      <c r="CG131" s="21">
        <f>IF(AND('Atividades Micro'!$B139=CG$2,'Atividades Micro'!$G139="Micro",'Atividades Micro'!$K139&lt;&gt;""),'Atividades Micro'!$K139,"")</f>
        <v>46268</v>
      </c>
      <c r="CH131" s="21" t="str">
        <f>IF(AND('Atividades Micro'!$B139=CH$2,'Atividades Micro'!$G139="Micro",'Atividades Micro'!$K139&lt;&gt;""),'Atividades Micro'!$K139,"")</f>
        <v/>
      </c>
      <c r="CI131" s="21" t="str">
        <f>IF(AND('Atividades Micro'!$B139=CI$2,'Atividades Micro'!$G139="Micro",'Atividades Micro'!$K139&lt;&gt;""),'Atividades Micro'!$K139,"")</f>
        <v/>
      </c>
      <c r="CJ131" s="21" t="str">
        <f>IF(AND('Atividades Micro'!$B139=CJ$2,'Atividades Micro'!$G139="Micro",'Atividades Micro'!$K139&lt;&gt;""),'Atividades Micro'!$K139,"")</f>
        <v/>
      </c>
      <c r="CK131" s="21" t="str">
        <f>IF(AND('Atividades Micro'!$B139=CK$2,'Atividades Micro'!$G139="Micro",'Atividades Micro'!$K139&lt;&gt;""),'Atividades Micro'!$K139,"")</f>
        <v/>
      </c>
      <c r="CL131" s="21" t="str">
        <f>IF(AND('Atividades Micro'!$B139=CL$2,'Atividades Micro'!$G139="Micro",'Atividades Micro'!$K139&lt;&gt;""),'Atividades Micro'!$K139,"")</f>
        <v/>
      </c>
      <c r="CM131" s="21" t="str">
        <f>IF(AND('Atividades Micro'!$B139=CM$2,'Atividades Micro'!$G139="Micro",'Atividades Micro'!$K139&lt;&gt;""),'Atividades Micro'!$K139,"")</f>
        <v/>
      </c>
      <c r="CN131" s="21" t="str">
        <f>IF(AND('Atividades Micro'!$B139=CN$2,'Atividades Micro'!$G139="Micro",'Atividades Micro'!$K139&lt;&gt;""),'Atividades Micro'!$K139,"")</f>
        <v/>
      </c>
      <c r="CO131" s="21" t="str">
        <f>IF(AND('Atividades Micro'!$B139=CO$2,'Atividades Micro'!$G139="Micro",'Atividades Micro'!$K139&lt;&gt;""),'Atividades Micro'!$K139,"")</f>
        <v/>
      </c>
    </row>
    <row r="132" spans="1:93">
      <c r="A132" s="21" t="str">
        <f>IF(AND('Atividades Micro'!$A140=A$2,'Atividades Micro'!$K140&lt;&gt;""),'Atividades Micro'!$K140,"")</f>
        <v/>
      </c>
      <c r="B132" s="21" t="str">
        <f>IF(AND('Atividades Micro'!$A140=B$2,'Atividades Micro'!$L140&lt;&gt;""),'Atividades Micro'!$L140,"")</f>
        <v/>
      </c>
      <c r="C132" s="21" t="str">
        <f>IF(AND('Atividades Micro'!$A140=C$2,'Atividades Micro'!$K140&lt;&gt;""),'Atividades Micro'!$K140,"")</f>
        <v/>
      </c>
      <c r="D132" s="21" t="str">
        <f>IF(AND('Atividades Micro'!$A140=D$2,'Atividades Micro'!$L140&lt;&gt;""),'Atividades Micro'!$L140,"")</f>
        <v/>
      </c>
      <c r="E132" s="21" t="str">
        <f>IF(AND('Atividades Micro'!$A140=E$2,'Atividades Micro'!$K140&lt;&gt;""),'Atividades Micro'!$K140,"")</f>
        <v/>
      </c>
      <c r="F132" s="21" t="str">
        <f>IF(AND('Atividades Micro'!$A140=F$2,'Atividades Micro'!$L140&lt;&gt;""),'Atividades Micro'!$L140,"")</f>
        <v/>
      </c>
      <c r="G132" s="21" t="str">
        <f>IF(AND('Atividades Micro'!$A140=G$2,'Atividades Micro'!$K140&lt;&gt;""),'Atividades Micro'!$K140,"")</f>
        <v/>
      </c>
      <c r="H132" s="21" t="str">
        <f>IF(AND('Atividades Micro'!$A140=H$2,'Atividades Micro'!$L140&lt;&gt;""),'Atividades Micro'!$L140,"")</f>
        <v/>
      </c>
      <c r="I132" s="21" t="str">
        <f>IF(AND('Atividades Micro'!$A140=I$2,'Atividades Micro'!$K140&lt;&gt;""),'Atividades Micro'!$K140,"")</f>
        <v/>
      </c>
      <c r="J132" s="21" t="str">
        <f>IF(AND('Atividades Micro'!$A140=J$2,'Atividades Micro'!$L140&lt;&gt;""),'Atividades Micro'!$L140,"")</f>
        <v/>
      </c>
      <c r="K132" s="21" t="str">
        <f>IF(AND('Atividades Micro'!$B140=K$2,'Atividades Micro'!$K140&lt;&gt;""),'Atividades Micro'!$K140,"")</f>
        <v/>
      </c>
      <c r="L132" s="21" t="str">
        <f>IF(AND('Atividades Micro'!$B140=L$2,'Atividades Micro'!$L140&lt;&gt;""),'Atividades Micro'!$L140,"")</f>
        <v/>
      </c>
      <c r="M132" s="21" t="str">
        <f>IF(AND('Atividades Micro'!$B140=M$2,'Atividades Micro'!$K140&lt;&gt;""),'Atividades Micro'!$K140,"")</f>
        <v/>
      </c>
      <c r="N132" s="21" t="str">
        <f>IF(AND('Atividades Micro'!$B140=N$2,'Atividades Micro'!$L140&lt;&gt;""),'Atividades Micro'!$L140,"")</f>
        <v/>
      </c>
      <c r="O132" s="21" t="str">
        <f>IF(AND('Atividades Micro'!$A140=O$2,'Atividades Micro'!$K140&lt;&gt;""),'Atividades Micro'!$K140,"")</f>
        <v/>
      </c>
      <c r="P132" s="21" t="str">
        <f>IF(AND('Atividades Micro'!$A140=P$2,'Atividades Micro'!$L140&lt;&gt;""),'Atividades Micro'!$L140,"")</f>
        <v/>
      </c>
      <c r="Q132" s="21" t="str">
        <f>IF(AND('Atividades Micro'!$B140=Q$2,'Atividades Micro'!$K140&lt;&gt;""),'Atividades Micro'!$K140,"")</f>
        <v/>
      </c>
      <c r="R132" s="21" t="str">
        <f>IF(AND('Atividades Micro'!$B140=R$2,'Atividades Micro'!$L140&lt;&gt;""),'Atividades Micro'!$L140,"")</f>
        <v/>
      </c>
      <c r="S132" s="21" t="str">
        <f>IF(AND('Atividades Micro'!$A140=S$2,'Atividades Micro'!$K140&lt;&gt;""),'Atividades Micro'!$K140,"")</f>
        <v/>
      </c>
      <c r="T132" s="21" t="str">
        <f>IF(AND('Atividades Micro'!$A140=T$2,'Atividades Micro'!$L140&lt;&gt;""),'Atividades Micro'!$L140,"")</f>
        <v/>
      </c>
      <c r="U132" s="21" t="str">
        <f>IF(AND('Atividades Micro'!$B140=U$2,'Atividades Micro'!$K140&lt;&gt;""),'Atividades Micro'!$K140,"")</f>
        <v/>
      </c>
      <c r="V132" s="21" t="str">
        <f>IF(AND('Atividades Micro'!$B140=V$2,'Atividades Micro'!$L140&lt;&gt;""),'Atividades Micro'!$L140,"")</f>
        <v/>
      </c>
      <c r="W132" s="21" t="str">
        <f>IF(AND('Atividades Micro'!$B140=W$2,'Atividades Micro'!$K140&lt;&gt;""),'Atividades Micro'!$K140,"")</f>
        <v/>
      </c>
      <c r="X132" s="21" t="str">
        <f>IF(AND('Atividades Micro'!$B140=X$2,'Atividades Micro'!$L140&lt;&gt;""),'Atividades Micro'!$L140,"")</f>
        <v/>
      </c>
      <c r="Y132" s="21" t="str">
        <f>IF(AND('Atividades Micro'!$A140=Y$2,'Atividades Micro'!$K140&lt;&gt;""),'Atividades Micro'!$K140,"")</f>
        <v/>
      </c>
      <c r="Z132" s="21" t="str">
        <f>IF(AND('Atividades Micro'!$A140=Z$2,'Atividades Micro'!$L140&lt;&gt;""),'Atividades Micro'!$L140,"")</f>
        <v/>
      </c>
      <c r="AA132" s="21" t="str">
        <f>IF(AND('Atividades Micro'!$B140=AA$2,'Atividades Micro'!$K140&lt;&gt;""),'Atividades Micro'!$K140,"")</f>
        <v/>
      </c>
      <c r="AB132" s="21" t="str">
        <f>IF(AND('Atividades Micro'!$B140=AB$2,'Atividades Micro'!$L140&lt;&gt;""),'Atividades Micro'!$L140,"")</f>
        <v/>
      </c>
      <c r="AC132" s="21" t="str">
        <f>IF(AND('Atividades Micro'!$B140=AC$2,'Atividades Micro'!$K140&lt;&gt;""),'Atividades Micro'!$K140,"")</f>
        <v/>
      </c>
      <c r="AD132" s="21" t="str">
        <f>IF(AND('Atividades Micro'!$B140=AD$2,'Atividades Micro'!$L140&lt;&gt;""),'Atividades Micro'!$L140,"")</f>
        <v/>
      </c>
      <c r="AE132" s="21" t="str">
        <f>IF(AND('Atividades Micro'!$A140=AE$2,'Atividades Micro'!$K140&lt;&gt;""),'Atividades Micro'!$K140,"")</f>
        <v/>
      </c>
      <c r="AF132" s="21" t="str">
        <f>IF(AND('Atividades Micro'!$A140=AF$2,'Atividades Micro'!$L140&lt;&gt;""),'Atividades Micro'!$L140,"")</f>
        <v/>
      </c>
      <c r="AG132" s="21" t="str">
        <f>IF(AND('Atividades Micro'!$B140=AG$2,'Atividades Micro'!$K140&lt;&gt;""),'Atividades Micro'!$K140,"")</f>
        <v/>
      </c>
      <c r="AH132" s="21" t="str">
        <f>IF(AND('Atividades Micro'!$B140=AH$2,'Atividades Micro'!$L140&lt;&gt;""),'Atividades Micro'!$L140,"")</f>
        <v/>
      </c>
      <c r="AI132" s="21" t="str">
        <f>IF(AND('Atividades Micro'!$B140=AI$2,'Atividades Micro'!$K140&lt;&gt;""),'Atividades Micro'!$K140,"")</f>
        <v/>
      </c>
      <c r="AJ132" s="21" t="str">
        <f>IF(AND('Atividades Micro'!$B140=AJ$2,'Atividades Micro'!$L140&lt;&gt;""),'Atividades Micro'!$L140,"")</f>
        <v/>
      </c>
      <c r="AK132" s="21" t="str">
        <f>IF(AND('Atividades Micro'!$A140=AK$2,'Atividades Micro'!$K140&lt;&gt;""),'Atividades Micro'!$K140,"")</f>
        <v/>
      </c>
      <c r="AL132" s="21" t="str">
        <f>IF(AND('Atividades Micro'!$A140=AL$2,'Atividades Micro'!$L140&lt;&gt;""),'Atividades Micro'!$L140,"")</f>
        <v/>
      </c>
      <c r="AM132" s="21" t="str">
        <f>IF(AND('Atividades Micro'!$B140=AM$2,'Atividades Micro'!$K140&lt;&gt;""),'Atividades Micro'!$K140,"")</f>
        <v/>
      </c>
      <c r="AN132" s="21" t="str">
        <f>IF(AND('Atividades Micro'!$B140=AN$2,'Atividades Micro'!$L140&lt;&gt;""),'Atividades Micro'!$L140,"")</f>
        <v/>
      </c>
      <c r="AO132" s="21" t="str">
        <f>IF(AND('Atividades Micro'!$B140=AO$2,'Atividades Micro'!$K140&lt;&gt;""),'Atividades Micro'!$K140,"")</f>
        <v/>
      </c>
      <c r="AP132" s="21" t="str">
        <f>IF(AND('Atividades Micro'!$B140=AP$2,'Atividades Micro'!$L140&lt;&gt;""),'Atividades Micro'!$L140,"")</f>
        <v/>
      </c>
      <c r="AQ132" s="21" t="str">
        <f>IF(AND('Atividades Micro'!$A140=AQ$2,'Atividades Micro'!$K140&lt;&gt;""),'Atividades Micro'!$K140,"")</f>
        <v/>
      </c>
      <c r="AR132" s="21" t="str">
        <f>IF(AND('Atividades Micro'!$A140=AR$2,'Atividades Micro'!$L140&lt;&gt;""),'Atividades Micro'!$L140,"")</f>
        <v/>
      </c>
      <c r="AS132" s="21" t="str">
        <f>IF(AND('Atividades Micro'!$B140=AS$2,'Atividades Micro'!$K140&lt;&gt;""),'Atividades Micro'!$K140,"")</f>
        <v/>
      </c>
      <c r="AT132" s="21" t="str">
        <f>IF(AND('Atividades Micro'!$B140=AT$2,'Atividades Micro'!$L140&lt;&gt;""),'Atividades Micro'!$L140,"")</f>
        <v/>
      </c>
      <c r="AU132" s="21" t="str">
        <f>IF(AND('Atividades Micro'!$A140=AU$2,'Atividades Micro'!$K140&lt;&gt;""),'Atividades Micro'!$K140,"")</f>
        <v/>
      </c>
      <c r="AV132" s="21" t="str">
        <f>IF(AND('Atividades Micro'!$A140=AV$2,'Atividades Micro'!$L140&lt;&gt;""),'Atividades Micro'!$L140,"")</f>
        <v/>
      </c>
      <c r="AW132" s="21" t="str">
        <f>IF(AND('Atividades Micro'!$B140=AW$2,'Atividades Micro'!$K140&lt;&gt;""),'Atividades Micro'!$K140,"")</f>
        <v/>
      </c>
      <c r="AX132" s="21" t="str">
        <f>IF(AND('Atividades Micro'!$B140=AX$2,'Atividades Micro'!$L140&lt;&gt;""),'Atividades Micro'!$L140,"")</f>
        <v/>
      </c>
      <c r="AY132" s="21" t="str">
        <f>IF(AND('Atividades Micro'!$A140=AY$2,'Atividades Micro'!$K140&lt;&gt;""),'Atividades Micro'!$K140,"")</f>
        <v/>
      </c>
      <c r="AZ132" s="21" t="str">
        <f>IF(AND('Atividades Micro'!$A140=AZ$2,'Atividades Micro'!$L140&lt;&gt;""),'Atividades Micro'!$L140,"")</f>
        <v/>
      </c>
      <c r="BA132" s="21" t="str">
        <f>IF(AND('Atividades Micro'!$B140=BA$2,'Atividades Micro'!$K140&lt;&gt;""),'Atividades Micro'!$K140,"")</f>
        <v/>
      </c>
      <c r="BB132" s="21" t="str">
        <f>IF(AND('Atividades Micro'!$B140=BB$2,'Atividades Micro'!$L140&lt;&gt;""),'Atividades Micro'!$L140,"")</f>
        <v/>
      </c>
      <c r="BC132" s="21" t="str">
        <f>IF(AND('Atividades Micro'!$B140=BC$2,'Atividades Micro'!$G140="Macro",'Atividades Micro'!$K140&lt;&gt;""),'Atividades Micro'!$K140,"")</f>
        <v/>
      </c>
      <c r="BD132" s="21" t="str">
        <f>IF(AND('Atividades Micro'!$B140=BD$2,'Atividades Micro'!$G140="Macro",'Atividades Micro'!$K140&lt;&gt;""),'Atividades Micro'!$K140,"")</f>
        <v/>
      </c>
      <c r="BE132" s="21" t="str">
        <f>IF(AND('Atividades Micro'!$B140=BE$2,'Atividades Micro'!$G140="Macro",'Atividades Micro'!$K140&lt;&gt;""),'Atividades Micro'!$K140,"")</f>
        <v/>
      </c>
      <c r="BF132" s="21" t="str">
        <f>IF(AND('Atividades Micro'!$B140=BF$2,'Atividades Micro'!$G140="Macro",'Atividades Micro'!$K140&lt;&gt;""),'Atividades Micro'!$K140,"")</f>
        <v/>
      </c>
      <c r="BG132" s="21" t="str">
        <f>IF(AND('Atividades Micro'!$B140=BG$2,'Atividades Micro'!$G140="Macro",'Atividades Micro'!$K140&lt;&gt;""),'Atividades Micro'!$K140,"")</f>
        <v/>
      </c>
      <c r="BH132" s="21" t="str">
        <f>IF(AND('Atividades Micro'!$B140=BH$2,'Atividades Micro'!$G140="Macro",'Atividades Micro'!$K140&lt;&gt;""),'Atividades Micro'!$K140,"")</f>
        <v/>
      </c>
      <c r="BI132" s="21" t="str">
        <f>IF(AND('Atividades Micro'!$B140=BI$2,'Atividades Micro'!$G140="Macro",'Atividades Micro'!$K140&lt;&gt;""),'Atividades Micro'!$K140,"")</f>
        <v/>
      </c>
      <c r="BJ132" s="21" t="str">
        <f>IF(AND('Atividades Micro'!$B140=BJ$2,'Atividades Micro'!$G140="Macro",'Atividades Micro'!$K140&lt;&gt;""),'Atividades Micro'!$K140,"")</f>
        <v/>
      </c>
      <c r="BK132" s="21" t="str">
        <f>IF(AND('Atividades Micro'!$B140=BK$2,'Atividades Micro'!$G140="Macro",'Atividades Micro'!$K140&lt;&gt;""),'Atividades Micro'!$K140,"")</f>
        <v/>
      </c>
      <c r="BL132" s="21" t="str">
        <f>IF(AND('Atividades Micro'!$B140=BL$2,'Atividades Micro'!$G140="Macro",'Atividades Micro'!$K140&lt;&gt;""),'Atividades Micro'!$K140,"")</f>
        <v/>
      </c>
      <c r="BM132" s="21" t="str">
        <f>IF(AND('Atividades Micro'!$B140=BM$2,'Atividades Micro'!$G140="Macro",'Atividades Micro'!$K140&lt;&gt;""),'Atividades Micro'!$K140,"")</f>
        <v/>
      </c>
      <c r="BN132" s="21" t="str">
        <f>IF(AND('Atividades Micro'!$B140=BN$2,'Atividades Micro'!$G140="Macro",'Atividades Micro'!$K140&lt;&gt;""),'Atividades Micro'!$K140,"")</f>
        <v/>
      </c>
      <c r="BO132" s="21" t="str">
        <f>IF(AND('Atividades Micro'!$B140=BO$2,'Atividades Micro'!$G140="Macro",'Atividades Micro'!$K140&lt;&gt;""),'Atividades Micro'!$K140,"")</f>
        <v/>
      </c>
      <c r="BP132" s="21" t="str">
        <f>IF(AND('Atividades Micro'!$B140=BP$2,'Atividades Micro'!$G140="Macro",'Atividades Micro'!$K140&lt;&gt;""),'Atividades Micro'!$K140,"")</f>
        <v/>
      </c>
      <c r="BQ132" s="21" t="str">
        <f>IF(AND('Atividades Micro'!$B140=BQ$2,'Atividades Micro'!$G140="Macro",'Atividades Micro'!$K140&lt;&gt;""),'Atividades Micro'!$K140,"")</f>
        <v/>
      </c>
      <c r="BR132" s="21" t="str">
        <f>IF(AND('Atividades Micro'!$B140=BR$2,'Atividades Micro'!$G140="Macro",'Atividades Micro'!$K140&lt;&gt;""),'Atividades Micro'!$K140,"")</f>
        <v/>
      </c>
      <c r="BS132" s="21" t="str">
        <f>IF(AND('Atividades Micro'!$B140=BS$2,'Atividades Micro'!$G140="Macro",'Atividades Micro'!$K140&lt;&gt;""),'Atividades Micro'!$K140,"")</f>
        <v/>
      </c>
      <c r="BT132" s="21" t="str">
        <f>IF(AND('Atividades Micro'!$B140=BT$2,'Atividades Micro'!$G140="Macro",'Atividades Micro'!$K140&lt;&gt;""),'Atividades Micro'!$K140,"")</f>
        <v/>
      </c>
      <c r="BU132" s="21" t="str">
        <f>IF(AND('Atividades Micro'!$B140=BU$2,'Atividades Micro'!$G140="Macro",'Atividades Micro'!$K140&lt;&gt;""),'Atividades Micro'!$K140,"")</f>
        <v/>
      </c>
      <c r="BV132" s="21" t="str">
        <f>IF(AND('Atividades Micro'!$B140=BV$2,'Atividades Micro'!$G140="Macro",'Atividades Micro'!$K140&lt;&gt;""),'Atividades Micro'!$K140,"")</f>
        <v/>
      </c>
      <c r="BW132" s="21" t="str">
        <f>IF(AND('Atividades Micro'!$B140=BW$2,'Atividades Micro'!$G140="Macro",'Atividades Micro'!$K140&lt;&gt;""),'Atividades Micro'!$K140,"")</f>
        <v/>
      </c>
      <c r="BX132" s="21" t="str">
        <f>IF(AND('Atividades Micro'!$B140=BX$2,'Atividades Micro'!$G140="Macro",'Atividades Micro'!$K140&lt;&gt;""),'Atividades Micro'!$K140,"")</f>
        <v/>
      </c>
      <c r="BY132" s="21" t="str">
        <f>IF(AND('Atividades Micro'!$B140=BY$2,'Atividades Micro'!$G140="Macro",'Atividades Micro'!$K140&lt;&gt;""),'Atividades Micro'!$K140,"")</f>
        <v/>
      </c>
      <c r="BZ132" s="21" t="str">
        <f>IF(AND('Atividades Micro'!$B140=BZ$2,'Atividades Micro'!$G140="Macro",'Atividades Micro'!$K140&lt;&gt;""),'Atividades Micro'!$K140,"")</f>
        <v/>
      </c>
      <c r="CA132" s="21" t="str">
        <f>IF(AND('Atividades Micro'!$B140=CA$2,'Atividades Micro'!$G140="Macro",'Atividades Micro'!$K140&lt;&gt;""),'Atividades Micro'!$K140,"")</f>
        <v/>
      </c>
      <c r="CB132" s="21" t="str">
        <f>IF(AND('Atividades Micro'!$B140=CB$2,'Atividades Micro'!$G140="Macro",'Atividades Micro'!$K140&lt;&gt;""),'Atividades Micro'!$K140,"")</f>
        <v/>
      </c>
      <c r="CC132" s="21" t="str">
        <f>IF(AND('Atividades Micro'!$B140=CC$2,'Atividades Micro'!$G140="Macro",'Atividades Micro'!$K140&lt;&gt;""),'Atividades Micro'!$K140,"")</f>
        <v/>
      </c>
      <c r="CD132" s="21" t="str">
        <f>IF(AND('Atividades Micro'!$B140=CD$2,'Atividades Micro'!$G140="Micro",'Atividades Micro'!$K140&lt;&gt;""),'Atividades Micro'!$K140,"")</f>
        <v/>
      </c>
      <c r="CE132" s="21" t="str">
        <f>IF(AND('Atividades Micro'!$B140=CE$2,'Atividades Micro'!$G140="Micro",'Atividades Micro'!$K140&lt;&gt;""),'Atividades Micro'!$K140,"")</f>
        <v/>
      </c>
      <c r="CF132" s="21" t="str">
        <f>IF(AND('Atividades Micro'!$B140=CF$2,'Atividades Micro'!$G140="Micro",'Atividades Micro'!$K140&lt;&gt;""),'Atividades Micro'!$K140,"")</f>
        <v/>
      </c>
      <c r="CG132" s="21" t="str">
        <f>IF(AND('Atividades Micro'!$B140=CG$2,'Atividades Micro'!$G140="Micro",'Atividades Micro'!$K140&lt;&gt;""),'Atividades Micro'!$K140,"")</f>
        <v/>
      </c>
      <c r="CH132" s="21" t="str">
        <f>IF(AND('Atividades Micro'!$B140=CH$2,'Atividades Micro'!$G140="Micro",'Atividades Micro'!$K140&lt;&gt;""),'Atividades Micro'!$K140,"")</f>
        <v/>
      </c>
      <c r="CI132" s="21" t="str">
        <f>IF(AND('Atividades Micro'!$B140=CI$2,'Atividades Micro'!$G140="Micro",'Atividades Micro'!$K140&lt;&gt;""),'Atividades Micro'!$K140,"")</f>
        <v/>
      </c>
      <c r="CJ132" s="21" t="str">
        <f>IF(AND('Atividades Micro'!$B140=CJ$2,'Atividades Micro'!$G140="Micro",'Atividades Micro'!$K140&lt;&gt;""),'Atividades Micro'!$K140,"")</f>
        <v/>
      </c>
      <c r="CK132" s="21" t="str">
        <f>IF(AND('Atividades Micro'!$B140=CK$2,'Atividades Micro'!$G140="Micro",'Atividades Micro'!$K140&lt;&gt;""),'Atividades Micro'!$K140,"")</f>
        <v/>
      </c>
      <c r="CL132" s="21" t="str">
        <f>IF(AND('Atividades Micro'!$B140=CL$2,'Atividades Micro'!$G140="Micro",'Atividades Micro'!$K140&lt;&gt;""),'Atividades Micro'!$K140,"")</f>
        <v/>
      </c>
      <c r="CM132" s="21" t="str">
        <f>IF(AND('Atividades Micro'!$B140=CM$2,'Atividades Micro'!$G140="Micro",'Atividades Micro'!$K140&lt;&gt;""),'Atividades Micro'!$K140,"")</f>
        <v/>
      </c>
      <c r="CN132" s="21" t="str">
        <f>IF(AND('Atividades Micro'!$B140=CN$2,'Atividades Micro'!$G140="Micro",'Atividades Micro'!$K140&lt;&gt;""),'Atividades Micro'!$K140,"")</f>
        <v/>
      </c>
      <c r="CO132" s="21" t="str">
        <f>IF(AND('Atividades Micro'!$B140=CO$2,'Atividades Micro'!$G140="Micro",'Atividades Micro'!$K140&lt;&gt;""),'Atividades Micro'!$K140,"")</f>
        <v/>
      </c>
    </row>
    <row r="133" spans="1:93">
      <c r="A133" s="21" t="str">
        <f>IF(AND('Atividades Micro'!$A141=A$2,'Atividades Micro'!$K141&lt;&gt;""),'Atividades Micro'!$K141,"")</f>
        <v/>
      </c>
      <c r="B133" s="21" t="str">
        <f>IF(AND('Atividades Micro'!$A141=B$2,'Atividades Micro'!$L141&lt;&gt;""),'Atividades Micro'!$L141,"")</f>
        <v/>
      </c>
      <c r="C133" s="21" t="str">
        <f>IF(AND('Atividades Micro'!$A141=C$2,'Atividades Micro'!$K141&lt;&gt;""),'Atividades Micro'!$K141,"")</f>
        <v/>
      </c>
      <c r="D133" s="21" t="str">
        <f>IF(AND('Atividades Micro'!$A141=D$2,'Atividades Micro'!$L141&lt;&gt;""),'Atividades Micro'!$L141,"")</f>
        <v/>
      </c>
      <c r="E133" s="21" t="str">
        <f>IF(AND('Atividades Micro'!$A141=E$2,'Atividades Micro'!$K141&lt;&gt;""),'Atividades Micro'!$K141,"")</f>
        <v/>
      </c>
      <c r="F133" s="21" t="str">
        <f>IF(AND('Atividades Micro'!$A141=F$2,'Atividades Micro'!$L141&lt;&gt;""),'Atividades Micro'!$L141,"")</f>
        <v/>
      </c>
      <c r="G133" s="21" t="str">
        <f>IF(AND('Atividades Micro'!$A141=G$2,'Atividades Micro'!$K141&lt;&gt;""),'Atividades Micro'!$K141,"")</f>
        <v/>
      </c>
      <c r="H133" s="21" t="str">
        <f>IF(AND('Atividades Micro'!$A141=H$2,'Atividades Micro'!$L141&lt;&gt;""),'Atividades Micro'!$L141,"")</f>
        <v/>
      </c>
      <c r="I133" s="21" t="str">
        <f>IF(AND('Atividades Micro'!$A141=I$2,'Atividades Micro'!$K141&lt;&gt;""),'Atividades Micro'!$K141,"")</f>
        <v/>
      </c>
      <c r="J133" s="21" t="str">
        <f>IF(AND('Atividades Micro'!$A141=J$2,'Atividades Micro'!$L141&lt;&gt;""),'Atividades Micro'!$L141,"")</f>
        <v/>
      </c>
      <c r="K133" s="21" t="str">
        <f>IF(AND('Atividades Micro'!$B141=K$2,'Atividades Micro'!$K141&lt;&gt;""),'Atividades Micro'!$K141,"")</f>
        <v/>
      </c>
      <c r="L133" s="21" t="str">
        <f>IF(AND('Atividades Micro'!$B141=L$2,'Atividades Micro'!$L141&lt;&gt;""),'Atividades Micro'!$L141,"")</f>
        <v/>
      </c>
      <c r="M133" s="21" t="str">
        <f>IF(AND('Atividades Micro'!$B141=M$2,'Atividades Micro'!$K141&lt;&gt;""),'Atividades Micro'!$K141,"")</f>
        <v/>
      </c>
      <c r="N133" s="21" t="str">
        <f>IF(AND('Atividades Micro'!$B141=N$2,'Atividades Micro'!$L141&lt;&gt;""),'Atividades Micro'!$L141,"")</f>
        <v/>
      </c>
      <c r="O133" s="21" t="str">
        <f>IF(AND('Atividades Micro'!$A141=O$2,'Atividades Micro'!$K141&lt;&gt;""),'Atividades Micro'!$K141,"")</f>
        <v/>
      </c>
      <c r="P133" s="21" t="str">
        <f>IF(AND('Atividades Micro'!$A141=P$2,'Atividades Micro'!$L141&lt;&gt;""),'Atividades Micro'!$L141,"")</f>
        <v/>
      </c>
      <c r="Q133" s="21" t="str">
        <f>IF(AND('Atividades Micro'!$B141=Q$2,'Atividades Micro'!$K141&lt;&gt;""),'Atividades Micro'!$K141,"")</f>
        <v/>
      </c>
      <c r="R133" s="21" t="str">
        <f>IF(AND('Atividades Micro'!$B141=R$2,'Atividades Micro'!$L141&lt;&gt;""),'Atividades Micro'!$L141,"")</f>
        <v/>
      </c>
      <c r="S133" s="21">
        <f>IF(AND('Atividades Micro'!$A141=S$2,'Atividades Micro'!$K141&lt;&gt;""),'Atividades Micro'!$K141,"")</f>
        <v>46275</v>
      </c>
      <c r="T133" s="21" t="str">
        <f>IF(AND('Atividades Micro'!$A141=T$2,'Atividades Micro'!$L141&lt;&gt;""),'Atividades Micro'!$L141,"")</f>
        <v/>
      </c>
      <c r="U133" s="21">
        <f>IF(AND('Atividades Micro'!$B141=U$2,'Atividades Micro'!$K141&lt;&gt;""),'Atividades Micro'!$K141,"")</f>
        <v>46275</v>
      </c>
      <c r="V133" s="21" t="str">
        <f>IF(AND('Atividades Micro'!$B141=V$2,'Atividades Micro'!$L141&lt;&gt;""),'Atividades Micro'!$L141,"")</f>
        <v/>
      </c>
      <c r="W133" s="21" t="str">
        <f>IF(AND('Atividades Micro'!$B141=W$2,'Atividades Micro'!$K141&lt;&gt;""),'Atividades Micro'!$K141,"")</f>
        <v/>
      </c>
      <c r="X133" s="21" t="str">
        <f>IF(AND('Atividades Micro'!$B141=X$2,'Atividades Micro'!$L141&lt;&gt;""),'Atividades Micro'!$L141,"")</f>
        <v/>
      </c>
      <c r="Y133" s="21" t="str">
        <f>IF(AND('Atividades Micro'!$A141=Y$2,'Atividades Micro'!$K141&lt;&gt;""),'Atividades Micro'!$K141,"")</f>
        <v/>
      </c>
      <c r="Z133" s="21" t="str">
        <f>IF(AND('Atividades Micro'!$A141=Z$2,'Atividades Micro'!$L141&lt;&gt;""),'Atividades Micro'!$L141,"")</f>
        <v/>
      </c>
      <c r="AA133" s="21" t="str">
        <f>IF(AND('Atividades Micro'!$B141=AA$2,'Atividades Micro'!$K141&lt;&gt;""),'Atividades Micro'!$K141,"")</f>
        <v/>
      </c>
      <c r="AB133" s="21" t="str">
        <f>IF(AND('Atividades Micro'!$B141=AB$2,'Atividades Micro'!$L141&lt;&gt;""),'Atividades Micro'!$L141,"")</f>
        <v/>
      </c>
      <c r="AC133" s="21" t="str">
        <f>IF(AND('Atividades Micro'!$B141=AC$2,'Atividades Micro'!$K141&lt;&gt;""),'Atividades Micro'!$K141,"")</f>
        <v/>
      </c>
      <c r="AD133" s="21" t="str">
        <f>IF(AND('Atividades Micro'!$B141=AD$2,'Atividades Micro'!$L141&lt;&gt;""),'Atividades Micro'!$L141,"")</f>
        <v/>
      </c>
      <c r="AE133" s="21" t="str">
        <f>IF(AND('Atividades Micro'!$A141=AE$2,'Atividades Micro'!$K141&lt;&gt;""),'Atividades Micro'!$K141,"")</f>
        <v/>
      </c>
      <c r="AF133" s="21" t="str">
        <f>IF(AND('Atividades Micro'!$A141=AF$2,'Atividades Micro'!$L141&lt;&gt;""),'Atividades Micro'!$L141,"")</f>
        <v/>
      </c>
      <c r="AG133" s="21" t="str">
        <f>IF(AND('Atividades Micro'!$B141=AG$2,'Atividades Micro'!$K141&lt;&gt;""),'Atividades Micro'!$K141,"")</f>
        <v/>
      </c>
      <c r="AH133" s="21" t="str">
        <f>IF(AND('Atividades Micro'!$B141=AH$2,'Atividades Micro'!$L141&lt;&gt;""),'Atividades Micro'!$L141,"")</f>
        <v/>
      </c>
      <c r="AI133" s="21" t="str">
        <f>IF(AND('Atividades Micro'!$B141=AI$2,'Atividades Micro'!$K141&lt;&gt;""),'Atividades Micro'!$K141,"")</f>
        <v/>
      </c>
      <c r="AJ133" s="21" t="str">
        <f>IF(AND('Atividades Micro'!$B141=AJ$2,'Atividades Micro'!$L141&lt;&gt;""),'Atividades Micro'!$L141,"")</f>
        <v/>
      </c>
      <c r="AK133" s="21" t="str">
        <f>IF(AND('Atividades Micro'!$A141=AK$2,'Atividades Micro'!$K141&lt;&gt;""),'Atividades Micro'!$K141,"")</f>
        <v/>
      </c>
      <c r="AL133" s="21" t="str">
        <f>IF(AND('Atividades Micro'!$A141=AL$2,'Atividades Micro'!$L141&lt;&gt;""),'Atividades Micro'!$L141,"")</f>
        <v/>
      </c>
      <c r="AM133" s="21" t="str">
        <f>IF(AND('Atividades Micro'!$B141=AM$2,'Atividades Micro'!$K141&lt;&gt;""),'Atividades Micro'!$K141,"")</f>
        <v/>
      </c>
      <c r="AN133" s="21" t="str">
        <f>IF(AND('Atividades Micro'!$B141=AN$2,'Atividades Micro'!$L141&lt;&gt;""),'Atividades Micro'!$L141,"")</f>
        <v/>
      </c>
      <c r="AO133" s="21" t="str">
        <f>IF(AND('Atividades Micro'!$B141=AO$2,'Atividades Micro'!$K141&lt;&gt;""),'Atividades Micro'!$K141,"")</f>
        <v/>
      </c>
      <c r="AP133" s="21" t="str">
        <f>IF(AND('Atividades Micro'!$B141=AP$2,'Atividades Micro'!$L141&lt;&gt;""),'Atividades Micro'!$L141,"")</f>
        <v/>
      </c>
      <c r="AQ133" s="21" t="str">
        <f>IF(AND('Atividades Micro'!$A141=AQ$2,'Atividades Micro'!$K141&lt;&gt;""),'Atividades Micro'!$K141,"")</f>
        <v/>
      </c>
      <c r="AR133" s="21" t="str">
        <f>IF(AND('Atividades Micro'!$A141=AR$2,'Atividades Micro'!$L141&lt;&gt;""),'Atividades Micro'!$L141,"")</f>
        <v/>
      </c>
      <c r="AS133" s="21" t="str">
        <f>IF(AND('Atividades Micro'!$B141=AS$2,'Atividades Micro'!$K141&lt;&gt;""),'Atividades Micro'!$K141,"")</f>
        <v/>
      </c>
      <c r="AT133" s="21" t="str">
        <f>IF(AND('Atividades Micro'!$B141=AT$2,'Atividades Micro'!$L141&lt;&gt;""),'Atividades Micro'!$L141,"")</f>
        <v/>
      </c>
      <c r="AU133" s="21" t="str">
        <f>IF(AND('Atividades Micro'!$A141=AU$2,'Atividades Micro'!$K141&lt;&gt;""),'Atividades Micro'!$K141,"")</f>
        <v/>
      </c>
      <c r="AV133" s="21" t="str">
        <f>IF(AND('Atividades Micro'!$A141=AV$2,'Atividades Micro'!$L141&lt;&gt;""),'Atividades Micro'!$L141,"")</f>
        <v/>
      </c>
      <c r="AW133" s="21" t="str">
        <f>IF(AND('Atividades Micro'!$B141=AW$2,'Atividades Micro'!$K141&lt;&gt;""),'Atividades Micro'!$K141,"")</f>
        <v/>
      </c>
      <c r="AX133" s="21" t="str">
        <f>IF(AND('Atividades Micro'!$B141=AX$2,'Atividades Micro'!$L141&lt;&gt;""),'Atividades Micro'!$L141,"")</f>
        <v/>
      </c>
      <c r="AY133" s="21" t="str">
        <f>IF(AND('Atividades Micro'!$A141=AY$2,'Atividades Micro'!$K141&lt;&gt;""),'Atividades Micro'!$K141,"")</f>
        <v/>
      </c>
      <c r="AZ133" s="21" t="str">
        <f>IF(AND('Atividades Micro'!$A141=AZ$2,'Atividades Micro'!$L141&lt;&gt;""),'Atividades Micro'!$L141,"")</f>
        <v/>
      </c>
      <c r="BA133" s="21" t="str">
        <f>IF(AND('Atividades Micro'!$B141=BA$2,'Atividades Micro'!$K141&lt;&gt;""),'Atividades Micro'!$K141,"")</f>
        <v/>
      </c>
      <c r="BB133" s="21" t="str">
        <f>IF(AND('Atividades Micro'!$B141=BB$2,'Atividades Micro'!$L141&lt;&gt;""),'Atividades Micro'!$L141,"")</f>
        <v/>
      </c>
      <c r="BC133" s="21" t="str">
        <f>IF(AND('Atividades Micro'!$B141=BC$2,'Atividades Micro'!$G141="Macro",'Atividades Micro'!$K141&lt;&gt;""),'Atividades Micro'!$K141,"")</f>
        <v/>
      </c>
      <c r="BD133" s="21" t="str">
        <f>IF(AND('Atividades Micro'!$B141=BD$2,'Atividades Micro'!$G141="Macro",'Atividades Micro'!$K141&lt;&gt;""),'Atividades Micro'!$K141,"")</f>
        <v/>
      </c>
      <c r="BE133" s="21" t="str">
        <f>IF(AND('Atividades Micro'!$B141=BE$2,'Atividades Micro'!$G141="Macro",'Atividades Micro'!$K141&lt;&gt;""),'Atividades Micro'!$K141,"")</f>
        <v/>
      </c>
      <c r="BF133" s="21" t="str">
        <f>IF(AND('Atividades Micro'!$B141=BF$2,'Atividades Micro'!$G141="Macro",'Atividades Micro'!$K141&lt;&gt;""),'Atividades Micro'!$K141,"")</f>
        <v/>
      </c>
      <c r="BG133" s="21" t="str">
        <f>IF(AND('Atividades Micro'!$B141=BG$2,'Atividades Micro'!$G141="Macro",'Atividades Micro'!$K141&lt;&gt;""),'Atividades Micro'!$K141,"")</f>
        <v/>
      </c>
      <c r="BH133" s="21" t="str">
        <f>IF(AND('Atividades Micro'!$B141=BH$2,'Atividades Micro'!$G141="Macro",'Atividades Micro'!$K141&lt;&gt;""),'Atividades Micro'!$K141,"")</f>
        <v/>
      </c>
      <c r="BI133" s="21" t="str">
        <f>IF(AND('Atividades Micro'!$B141=BI$2,'Atividades Micro'!$G141="Macro",'Atividades Micro'!$K141&lt;&gt;""),'Atividades Micro'!$K141,"")</f>
        <v/>
      </c>
      <c r="BJ133" s="21" t="str">
        <f>IF(AND('Atividades Micro'!$B141=BJ$2,'Atividades Micro'!$G141="Macro",'Atividades Micro'!$K141&lt;&gt;""),'Atividades Micro'!$K141,"")</f>
        <v/>
      </c>
      <c r="BK133" s="21" t="str">
        <f>IF(AND('Atividades Micro'!$B141=BK$2,'Atividades Micro'!$G141="Macro",'Atividades Micro'!$K141&lt;&gt;""),'Atividades Micro'!$K141,"")</f>
        <v/>
      </c>
      <c r="BL133" s="21" t="str">
        <f>IF(AND('Atividades Micro'!$B141=BL$2,'Atividades Micro'!$G141="Macro",'Atividades Micro'!$K141&lt;&gt;""),'Atividades Micro'!$K141,"")</f>
        <v/>
      </c>
      <c r="BM133" s="21" t="str">
        <f>IF(AND('Atividades Micro'!$B141=BM$2,'Atividades Micro'!$G141="Macro",'Atividades Micro'!$K141&lt;&gt;""),'Atividades Micro'!$K141,"")</f>
        <v/>
      </c>
      <c r="BN133" s="21" t="str">
        <f>IF(AND('Atividades Micro'!$B141=BN$2,'Atividades Micro'!$G141="Macro",'Atividades Micro'!$K141&lt;&gt;""),'Atividades Micro'!$K141,"")</f>
        <v/>
      </c>
      <c r="BO133" s="21" t="str">
        <f>IF(AND('Atividades Micro'!$B141=BO$2,'Atividades Micro'!$G141="Macro",'Atividades Micro'!$K141&lt;&gt;""),'Atividades Micro'!$K141,"")</f>
        <v/>
      </c>
      <c r="BP133" s="21" t="str">
        <f>IF(AND('Atividades Micro'!$B141=BP$2,'Atividades Micro'!$G141="Macro",'Atividades Micro'!$K141&lt;&gt;""),'Atividades Micro'!$K141,"")</f>
        <v/>
      </c>
      <c r="BQ133" s="21" t="str">
        <f>IF(AND('Atividades Micro'!$B141=BQ$2,'Atividades Micro'!$G141="Macro",'Atividades Micro'!$K141&lt;&gt;""),'Atividades Micro'!$K141,"")</f>
        <v/>
      </c>
      <c r="BR133" s="21" t="str">
        <f>IF(AND('Atividades Micro'!$B141=BR$2,'Atividades Micro'!$G141="Macro",'Atividades Micro'!$K141&lt;&gt;""),'Atividades Micro'!$K141,"")</f>
        <v/>
      </c>
      <c r="BS133" s="21" t="str">
        <f>IF(AND('Atividades Micro'!$B141=BS$2,'Atividades Micro'!$G141="Macro",'Atividades Micro'!$K141&lt;&gt;""),'Atividades Micro'!$K141,"")</f>
        <v/>
      </c>
      <c r="BT133" s="21" t="str">
        <f>IF(AND('Atividades Micro'!$B141=BT$2,'Atividades Micro'!$G141="Macro",'Atividades Micro'!$K141&lt;&gt;""),'Atividades Micro'!$K141,"")</f>
        <v/>
      </c>
      <c r="BU133" s="21" t="str">
        <f>IF(AND('Atividades Micro'!$B141=BU$2,'Atividades Micro'!$G141="Macro",'Atividades Micro'!$K141&lt;&gt;""),'Atividades Micro'!$K141,"")</f>
        <v/>
      </c>
      <c r="BV133" s="21" t="str">
        <f>IF(AND('Atividades Micro'!$B141=BV$2,'Atividades Micro'!$G141="Macro",'Atividades Micro'!$K141&lt;&gt;""),'Atividades Micro'!$K141,"")</f>
        <v/>
      </c>
      <c r="BW133" s="21" t="str">
        <f>IF(AND('Atividades Micro'!$B141=BW$2,'Atividades Micro'!$G141="Macro",'Atividades Micro'!$K141&lt;&gt;""),'Atividades Micro'!$K141,"")</f>
        <v/>
      </c>
      <c r="BX133" s="21" t="str">
        <f>IF(AND('Atividades Micro'!$B141=BX$2,'Atividades Micro'!$G141="Macro",'Atividades Micro'!$K141&lt;&gt;""),'Atividades Micro'!$K141,"")</f>
        <v/>
      </c>
      <c r="BY133" s="21" t="str">
        <f>IF(AND('Atividades Micro'!$B141=BY$2,'Atividades Micro'!$G141="Macro",'Atividades Micro'!$K141&lt;&gt;""),'Atividades Micro'!$K141,"")</f>
        <v/>
      </c>
      <c r="BZ133" s="21" t="str">
        <f>IF(AND('Atividades Micro'!$B141=BZ$2,'Atividades Micro'!$G141="Macro",'Atividades Micro'!$K141&lt;&gt;""),'Atividades Micro'!$K141,"")</f>
        <v/>
      </c>
      <c r="CA133" s="21" t="str">
        <f>IF(AND('Atividades Micro'!$B141=CA$2,'Atividades Micro'!$G141="Macro",'Atividades Micro'!$K141&lt;&gt;""),'Atividades Micro'!$K141,"")</f>
        <v/>
      </c>
      <c r="CB133" s="21" t="str">
        <f>IF(AND('Atividades Micro'!$B141=CB$2,'Atividades Micro'!$G141="Macro",'Atividades Micro'!$K141&lt;&gt;""),'Atividades Micro'!$K141,"")</f>
        <v/>
      </c>
      <c r="CC133" s="21" t="str">
        <f>IF(AND('Atividades Micro'!$B141=CC$2,'Atividades Micro'!$G141="Macro",'Atividades Micro'!$K141&lt;&gt;""),'Atividades Micro'!$K141,"")</f>
        <v/>
      </c>
      <c r="CD133" s="21" t="str">
        <f>IF(AND('Atividades Micro'!$B141=CD$2,'Atividades Micro'!$G141="Micro",'Atividades Micro'!$K141&lt;&gt;""),'Atividades Micro'!$K141,"")</f>
        <v/>
      </c>
      <c r="CE133" s="21" t="str">
        <f>IF(AND('Atividades Micro'!$B141=CE$2,'Atividades Micro'!$G141="Micro",'Atividades Micro'!$K141&lt;&gt;""),'Atividades Micro'!$K141,"")</f>
        <v/>
      </c>
      <c r="CF133" s="21" t="str">
        <f>IF(AND('Atividades Micro'!$B141=CF$2,'Atividades Micro'!$G141="Micro",'Atividades Micro'!$K141&lt;&gt;""),'Atividades Micro'!$K141,"")</f>
        <v/>
      </c>
      <c r="CG133" s="21">
        <f>IF(AND('Atividades Micro'!$B141=CG$2,'Atividades Micro'!$G141="Micro",'Atividades Micro'!$K141&lt;&gt;""),'Atividades Micro'!$K141,"")</f>
        <v>46275</v>
      </c>
      <c r="CH133" s="21" t="str">
        <f>IF(AND('Atividades Micro'!$B141=CH$2,'Atividades Micro'!$G141="Micro",'Atividades Micro'!$K141&lt;&gt;""),'Atividades Micro'!$K141,"")</f>
        <v/>
      </c>
      <c r="CI133" s="21" t="str">
        <f>IF(AND('Atividades Micro'!$B141=CI$2,'Atividades Micro'!$G141="Micro",'Atividades Micro'!$K141&lt;&gt;""),'Atividades Micro'!$K141,"")</f>
        <v/>
      </c>
      <c r="CJ133" s="21" t="str">
        <f>IF(AND('Atividades Micro'!$B141=CJ$2,'Atividades Micro'!$G141="Micro",'Atividades Micro'!$K141&lt;&gt;""),'Atividades Micro'!$K141,"")</f>
        <v/>
      </c>
      <c r="CK133" s="21" t="str">
        <f>IF(AND('Atividades Micro'!$B141=CK$2,'Atividades Micro'!$G141="Micro",'Atividades Micro'!$K141&lt;&gt;""),'Atividades Micro'!$K141,"")</f>
        <v/>
      </c>
      <c r="CL133" s="21" t="str">
        <f>IF(AND('Atividades Micro'!$B141=CL$2,'Atividades Micro'!$G141="Micro",'Atividades Micro'!$K141&lt;&gt;""),'Atividades Micro'!$K141,"")</f>
        <v/>
      </c>
      <c r="CM133" s="21" t="str">
        <f>IF(AND('Atividades Micro'!$B141=CM$2,'Atividades Micro'!$G141="Micro",'Atividades Micro'!$K141&lt;&gt;""),'Atividades Micro'!$K141,"")</f>
        <v/>
      </c>
      <c r="CN133" s="21" t="str">
        <f>IF(AND('Atividades Micro'!$B141=CN$2,'Atividades Micro'!$G141="Micro",'Atividades Micro'!$K141&lt;&gt;""),'Atividades Micro'!$K141,"")</f>
        <v/>
      </c>
      <c r="CO133" s="21" t="str">
        <f>IF(AND('Atividades Micro'!$B141=CO$2,'Atividades Micro'!$G141="Micro",'Atividades Micro'!$K141&lt;&gt;""),'Atividades Micro'!$K141,"")</f>
        <v/>
      </c>
    </row>
    <row r="134" spans="1:93">
      <c r="A134" s="21" t="str">
        <f>IF(AND('Atividades Micro'!$A142=A$2,'Atividades Micro'!$K142&lt;&gt;""),'Atividades Micro'!$K142,"")</f>
        <v/>
      </c>
      <c r="B134" s="21" t="str">
        <f>IF(AND('Atividades Micro'!$A142=B$2,'Atividades Micro'!$L142&lt;&gt;""),'Atividades Micro'!$L142,"")</f>
        <v/>
      </c>
      <c r="C134" s="21" t="str">
        <f>IF(AND('Atividades Micro'!$A142=C$2,'Atividades Micro'!$K142&lt;&gt;""),'Atividades Micro'!$K142,"")</f>
        <v/>
      </c>
      <c r="D134" s="21" t="str">
        <f>IF(AND('Atividades Micro'!$A142=D$2,'Atividades Micro'!$L142&lt;&gt;""),'Atividades Micro'!$L142,"")</f>
        <v/>
      </c>
      <c r="E134" s="21" t="str">
        <f>IF(AND('Atividades Micro'!$A142=E$2,'Atividades Micro'!$K142&lt;&gt;""),'Atividades Micro'!$K142,"")</f>
        <v/>
      </c>
      <c r="F134" s="21" t="str">
        <f>IF(AND('Atividades Micro'!$A142=F$2,'Atividades Micro'!$L142&lt;&gt;""),'Atividades Micro'!$L142,"")</f>
        <v/>
      </c>
      <c r="G134" s="21" t="str">
        <f>IF(AND('Atividades Micro'!$A142=G$2,'Atividades Micro'!$K142&lt;&gt;""),'Atividades Micro'!$K142,"")</f>
        <v/>
      </c>
      <c r="H134" s="21" t="str">
        <f>IF(AND('Atividades Micro'!$A142=H$2,'Atividades Micro'!$L142&lt;&gt;""),'Atividades Micro'!$L142,"")</f>
        <v/>
      </c>
      <c r="I134" s="21" t="str">
        <f>IF(AND('Atividades Micro'!$A142=I$2,'Atividades Micro'!$K142&lt;&gt;""),'Atividades Micro'!$K142,"")</f>
        <v/>
      </c>
      <c r="J134" s="21" t="str">
        <f>IF(AND('Atividades Micro'!$A142=J$2,'Atividades Micro'!$L142&lt;&gt;""),'Atividades Micro'!$L142,"")</f>
        <v/>
      </c>
      <c r="K134" s="21" t="str">
        <f>IF(AND('Atividades Micro'!$B142=K$2,'Atividades Micro'!$K142&lt;&gt;""),'Atividades Micro'!$K142,"")</f>
        <v/>
      </c>
      <c r="L134" s="21" t="str">
        <f>IF(AND('Atividades Micro'!$B142=L$2,'Atividades Micro'!$L142&lt;&gt;""),'Atividades Micro'!$L142,"")</f>
        <v/>
      </c>
      <c r="M134" s="21" t="str">
        <f>IF(AND('Atividades Micro'!$B142=M$2,'Atividades Micro'!$K142&lt;&gt;""),'Atividades Micro'!$K142,"")</f>
        <v/>
      </c>
      <c r="N134" s="21" t="str">
        <f>IF(AND('Atividades Micro'!$B142=N$2,'Atividades Micro'!$L142&lt;&gt;""),'Atividades Micro'!$L142,"")</f>
        <v/>
      </c>
      <c r="O134" s="21" t="str">
        <f>IF(AND('Atividades Micro'!$A142=O$2,'Atividades Micro'!$K142&lt;&gt;""),'Atividades Micro'!$K142,"")</f>
        <v/>
      </c>
      <c r="P134" s="21" t="str">
        <f>IF(AND('Atividades Micro'!$A142=P$2,'Atividades Micro'!$L142&lt;&gt;""),'Atividades Micro'!$L142,"")</f>
        <v/>
      </c>
      <c r="Q134" s="21" t="str">
        <f>IF(AND('Atividades Micro'!$B142=Q$2,'Atividades Micro'!$K142&lt;&gt;""),'Atividades Micro'!$K142,"")</f>
        <v/>
      </c>
      <c r="R134" s="21" t="str">
        <f>IF(AND('Atividades Micro'!$B142=R$2,'Atividades Micro'!$L142&lt;&gt;""),'Atividades Micro'!$L142,"")</f>
        <v/>
      </c>
      <c r="S134" s="21">
        <f>IF(AND('Atividades Micro'!$A142=S$2,'Atividades Micro'!$K142&lt;&gt;""),'Atividades Micro'!$K142,"")</f>
        <v>46279</v>
      </c>
      <c r="T134" s="21" t="str">
        <f>IF(AND('Atividades Micro'!$A142=T$2,'Atividades Micro'!$L142&lt;&gt;""),'Atividades Micro'!$L142,"")</f>
        <v/>
      </c>
      <c r="U134" s="21">
        <f>IF(AND('Atividades Micro'!$B142=U$2,'Atividades Micro'!$K142&lt;&gt;""),'Atividades Micro'!$K142,"")</f>
        <v>46279</v>
      </c>
      <c r="V134" s="21" t="str">
        <f>IF(AND('Atividades Micro'!$B142=V$2,'Atividades Micro'!$L142&lt;&gt;""),'Atividades Micro'!$L142,"")</f>
        <v/>
      </c>
      <c r="W134" s="21" t="str">
        <f>IF(AND('Atividades Micro'!$B142=W$2,'Atividades Micro'!$K142&lt;&gt;""),'Atividades Micro'!$K142,"")</f>
        <v/>
      </c>
      <c r="X134" s="21" t="str">
        <f>IF(AND('Atividades Micro'!$B142=X$2,'Atividades Micro'!$L142&lt;&gt;""),'Atividades Micro'!$L142,"")</f>
        <v/>
      </c>
      <c r="Y134" s="21" t="str">
        <f>IF(AND('Atividades Micro'!$A142=Y$2,'Atividades Micro'!$K142&lt;&gt;""),'Atividades Micro'!$K142,"")</f>
        <v/>
      </c>
      <c r="Z134" s="21" t="str">
        <f>IF(AND('Atividades Micro'!$A142=Z$2,'Atividades Micro'!$L142&lt;&gt;""),'Atividades Micro'!$L142,"")</f>
        <v/>
      </c>
      <c r="AA134" s="21" t="str">
        <f>IF(AND('Atividades Micro'!$B142=AA$2,'Atividades Micro'!$K142&lt;&gt;""),'Atividades Micro'!$K142,"")</f>
        <v/>
      </c>
      <c r="AB134" s="21" t="str">
        <f>IF(AND('Atividades Micro'!$B142=AB$2,'Atividades Micro'!$L142&lt;&gt;""),'Atividades Micro'!$L142,"")</f>
        <v/>
      </c>
      <c r="AC134" s="21" t="str">
        <f>IF(AND('Atividades Micro'!$B142=AC$2,'Atividades Micro'!$K142&lt;&gt;""),'Atividades Micro'!$K142,"")</f>
        <v/>
      </c>
      <c r="AD134" s="21" t="str">
        <f>IF(AND('Atividades Micro'!$B142=AD$2,'Atividades Micro'!$L142&lt;&gt;""),'Atividades Micro'!$L142,"")</f>
        <v/>
      </c>
      <c r="AE134" s="21" t="str">
        <f>IF(AND('Atividades Micro'!$A142=AE$2,'Atividades Micro'!$K142&lt;&gt;""),'Atividades Micro'!$K142,"")</f>
        <v/>
      </c>
      <c r="AF134" s="21" t="str">
        <f>IF(AND('Atividades Micro'!$A142=AF$2,'Atividades Micro'!$L142&lt;&gt;""),'Atividades Micro'!$L142,"")</f>
        <v/>
      </c>
      <c r="AG134" s="21" t="str">
        <f>IF(AND('Atividades Micro'!$B142=AG$2,'Atividades Micro'!$K142&lt;&gt;""),'Atividades Micro'!$K142,"")</f>
        <v/>
      </c>
      <c r="AH134" s="21" t="str">
        <f>IF(AND('Atividades Micro'!$B142=AH$2,'Atividades Micro'!$L142&lt;&gt;""),'Atividades Micro'!$L142,"")</f>
        <v/>
      </c>
      <c r="AI134" s="21" t="str">
        <f>IF(AND('Atividades Micro'!$B142=AI$2,'Atividades Micro'!$K142&lt;&gt;""),'Atividades Micro'!$K142,"")</f>
        <v/>
      </c>
      <c r="AJ134" s="21" t="str">
        <f>IF(AND('Atividades Micro'!$B142=AJ$2,'Atividades Micro'!$L142&lt;&gt;""),'Atividades Micro'!$L142,"")</f>
        <v/>
      </c>
      <c r="AK134" s="21" t="str">
        <f>IF(AND('Atividades Micro'!$A142=AK$2,'Atividades Micro'!$K142&lt;&gt;""),'Atividades Micro'!$K142,"")</f>
        <v/>
      </c>
      <c r="AL134" s="21" t="str">
        <f>IF(AND('Atividades Micro'!$A142=AL$2,'Atividades Micro'!$L142&lt;&gt;""),'Atividades Micro'!$L142,"")</f>
        <v/>
      </c>
      <c r="AM134" s="21" t="str">
        <f>IF(AND('Atividades Micro'!$B142=AM$2,'Atividades Micro'!$K142&lt;&gt;""),'Atividades Micro'!$K142,"")</f>
        <v/>
      </c>
      <c r="AN134" s="21" t="str">
        <f>IF(AND('Atividades Micro'!$B142=AN$2,'Atividades Micro'!$L142&lt;&gt;""),'Atividades Micro'!$L142,"")</f>
        <v/>
      </c>
      <c r="AO134" s="21" t="str">
        <f>IF(AND('Atividades Micro'!$B142=AO$2,'Atividades Micro'!$K142&lt;&gt;""),'Atividades Micro'!$K142,"")</f>
        <v/>
      </c>
      <c r="AP134" s="21" t="str">
        <f>IF(AND('Atividades Micro'!$B142=AP$2,'Atividades Micro'!$L142&lt;&gt;""),'Atividades Micro'!$L142,"")</f>
        <v/>
      </c>
      <c r="AQ134" s="21" t="str">
        <f>IF(AND('Atividades Micro'!$A142=AQ$2,'Atividades Micro'!$K142&lt;&gt;""),'Atividades Micro'!$K142,"")</f>
        <v/>
      </c>
      <c r="AR134" s="21" t="str">
        <f>IF(AND('Atividades Micro'!$A142=AR$2,'Atividades Micro'!$L142&lt;&gt;""),'Atividades Micro'!$L142,"")</f>
        <v/>
      </c>
      <c r="AS134" s="21" t="str">
        <f>IF(AND('Atividades Micro'!$B142=AS$2,'Atividades Micro'!$K142&lt;&gt;""),'Atividades Micro'!$K142,"")</f>
        <v/>
      </c>
      <c r="AT134" s="21" t="str">
        <f>IF(AND('Atividades Micro'!$B142=AT$2,'Atividades Micro'!$L142&lt;&gt;""),'Atividades Micro'!$L142,"")</f>
        <v/>
      </c>
      <c r="AU134" s="21" t="str">
        <f>IF(AND('Atividades Micro'!$A142=AU$2,'Atividades Micro'!$K142&lt;&gt;""),'Atividades Micro'!$K142,"")</f>
        <v/>
      </c>
      <c r="AV134" s="21" t="str">
        <f>IF(AND('Atividades Micro'!$A142=AV$2,'Atividades Micro'!$L142&lt;&gt;""),'Atividades Micro'!$L142,"")</f>
        <v/>
      </c>
      <c r="AW134" s="21" t="str">
        <f>IF(AND('Atividades Micro'!$B142=AW$2,'Atividades Micro'!$K142&lt;&gt;""),'Atividades Micro'!$K142,"")</f>
        <v/>
      </c>
      <c r="AX134" s="21" t="str">
        <f>IF(AND('Atividades Micro'!$B142=AX$2,'Atividades Micro'!$L142&lt;&gt;""),'Atividades Micro'!$L142,"")</f>
        <v/>
      </c>
      <c r="AY134" s="21" t="str">
        <f>IF(AND('Atividades Micro'!$A142=AY$2,'Atividades Micro'!$K142&lt;&gt;""),'Atividades Micro'!$K142,"")</f>
        <v/>
      </c>
      <c r="AZ134" s="21" t="str">
        <f>IF(AND('Atividades Micro'!$A142=AZ$2,'Atividades Micro'!$L142&lt;&gt;""),'Atividades Micro'!$L142,"")</f>
        <v/>
      </c>
      <c r="BA134" s="21" t="str">
        <f>IF(AND('Atividades Micro'!$B142=BA$2,'Atividades Micro'!$K142&lt;&gt;""),'Atividades Micro'!$K142,"")</f>
        <v/>
      </c>
      <c r="BB134" s="21" t="str">
        <f>IF(AND('Atividades Micro'!$B142=BB$2,'Atividades Micro'!$L142&lt;&gt;""),'Atividades Micro'!$L142,"")</f>
        <v/>
      </c>
      <c r="BC134" s="21" t="str">
        <f>IF(AND('Atividades Micro'!$B142=BC$2,'Atividades Micro'!$G142="Macro",'Atividades Micro'!$K142&lt;&gt;""),'Atividades Micro'!$K142,"")</f>
        <v/>
      </c>
      <c r="BD134" s="21" t="str">
        <f>IF(AND('Atividades Micro'!$B142=BD$2,'Atividades Micro'!$G142="Macro",'Atividades Micro'!$K142&lt;&gt;""),'Atividades Micro'!$K142,"")</f>
        <v/>
      </c>
      <c r="BE134" s="21" t="str">
        <f>IF(AND('Atividades Micro'!$B142=BE$2,'Atividades Micro'!$G142="Macro",'Atividades Micro'!$K142&lt;&gt;""),'Atividades Micro'!$K142,"")</f>
        <v/>
      </c>
      <c r="BF134" s="21" t="str">
        <f>IF(AND('Atividades Micro'!$B142=BF$2,'Atividades Micro'!$G142="Macro",'Atividades Micro'!$K142&lt;&gt;""),'Atividades Micro'!$K142,"")</f>
        <v/>
      </c>
      <c r="BG134" s="21" t="str">
        <f>IF(AND('Atividades Micro'!$B142=BG$2,'Atividades Micro'!$G142="Macro",'Atividades Micro'!$K142&lt;&gt;""),'Atividades Micro'!$K142,"")</f>
        <v/>
      </c>
      <c r="BH134" s="21" t="str">
        <f>IF(AND('Atividades Micro'!$B142=BH$2,'Atividades Micro'!$G142="Macro",'Atividades Micro'!$K142&lt;&gt;""),'Atividades Micro'!$K142,"")</f>
        <v/>
      </c>
      <c r="BI134" s="21" t="str">
        <f>IF(AND('Atividades Micro'!$B142=BI$2,'Atividades Micro'!$G142="Macro",'Atividades Micro'!$K142&lt;&gt;""),'Atividades Micro'!$K142,"")</f>
        <v/>
      </c>
      <c r="BJ134" s="21" t="str">
        <f>IF(AND('Atividades Micro'!$B142=BJ$2,'Atividades Micro'!$G142="Macro",'Atividades Micro'!$K142&lt;&gt;""),'Atividades Micro'!$K142,"")</f>
        <v/>
      </c>
      <c r="BK134" s="21" t="str">
        <f>IF(AND('Atividades Micro'!$B142=BK$2,'Atividades Micro'!$G142="Macro",'Atividades Micro'!$K142&lt;&gt;""),'Atividades Micro'!$K142,"")</f>
        <v/>
      </c>
      <c r="BL134" s="21" t="str">
        <f>IF(AND('Atividades Micro'!$B142=BL$2,'Atividades Micro'!$G142="Macro",'Atividades Micro'!$K142&lt;&gt;""),'Atividades Micro'!$K142,"")</f>
        <v/>
      </c>
      <c r="BM134" s="21" t="str">
        <f>IF(AND('Atividades Micro'!$B142=BM$2,'Atividades Micro'!$G142="Macro",'Atividades Micro'!$K142&lt;&gt;""),'Atividades Micro'!$K142,"")</f>
        <v/>
      </c>
      <c r="BN134" s="21" t="str">
        <f>IF(AND('Atividades Micro'!$B142=BN$2,'Atividades Micro'!$G142="Macro",'Atividades Micro'!$K142&lt;&gt;""),'Atividades Micro'!$K142,"")</f>
        <v/>
      </c>
      <c r="BO134" s="21" t="str">
        <f>IF(AND('Atividades Micro'!$B142=BO$2,'Atividades Micro'!$G142="Macro",'Atividades Micro'!$K142&lt;&gt;""),'Atividades Micro'!$K142,"")</f>
        <v/>
      </c>
      <c r="BP134" s="21" t="str">
        <f>IF(AND('Atividades Micro'!$B142=BP$2,'Atividades Micro'!$G142="Macro",'Atividades Micro'!$K142&lt;&gt;""),'Atividades Micro'!$K142,"")</f>
        <v/>
      </c>
      <c r="BQ134" s="21" t="str">
        <f>IF(AND('Atividades Micro'!$B142=BQ$2,'Atividades Micro'!$G142="Macro",'Atividades Micro'!$K142&lt;&gt;""),'Atividades Micro'!$K142,"")</f>
        <v/>
      </c>
      <c r="BR134" s="21" t="str">
        <f>IF(AND('Atividades Micro'!$B142=BR$2,'Atividades Micro'!$G142="Macro",'Atividades Micro'!$K142&lt;&gt;""),'Atividades Micro'!$K142,"")</f>
        <v/>
      </c>
      <c r="BS134" s="21" t="str">
        <f>IF(AND('Atividades Micro'!$B142=BS$2,'Atividades Micro'!$G142="Macro",'Atividades Micro'!$K142&lt;&gt;""),'Atividades Micro'!$K142,"")</f>
        <v/>
      </c>
      <c r="BT134" s="21" t="str">
        <f>IF(AND('Atividades Micro'!$B142=BT$2,'Atividades Micro'!$G142="Macro",'Atividades Micro'!$K142&lt;&gt;""),'Atividades Micro'!$K142,"")</f>
        <v/>
      </c>
      <c r="BU134" s="21" t="str">
        <f>IF(AND('Atividades Micro'!$B142=BU$2,'Atividades Micro'!$G142="Macro",'Atividades Micro'!$K142&lt;&gt;""),'Atividades Micro'!$K142,"")</f>
        <v/>
      </c>
      <c r="BV134" s="21" t="str">
        <f>IF(AND('Atividades Micro'!$B142=BV$2,'Atividades Micro'!$G142="Macro",'Atividades Micro'!$K142&lt;&gt;""),'Atividades Micro'!$K142,"")</f>
        <v/>
      </c>
      <c r="BW134" s="21" t="str">
        <f>IF(AND('Atividades Micro'!$B142=BW$2,'Atividades Micro'!$G142="Macro",'Atividades Micro'!$K142&lt;&gt;""),'Atividades Micro'!$K142,"")</f>
        <v/>
      </c>
      <c r="BX134" s="21" t="str">
        <f>IF(AND('Atividades Micro'!$B142=BX$2,'Atividades Micro'!$G142="Macro",'Atividades Micro'!$K142&lt;&gt;""),'Atividades Micro'!$K142,"")</f>
        <v/>
      </c>
      <c r="BY134" s="21" t="str">
        <f>IF(AND('Atividades Micro'!$B142=BY$2,'Atividades Micro'!$G142="Macro",'Atividades Micro'!$K142&lt;&gt;""),'Atividades Micro'!$K142,"")</f>
        <v/>
      </c>
      <c r="BZ134" s="21" t="str">
        <f>IF(AND('Atividades Micro'!$B142=BZ$2,'Atividades Micro'!$G142="Macro",'Atividades Micro'!$K142&lt;&gt;""),'Atividades Micro'!$K142,"")</f>
        <v/>
      </c>
      <c r="CA134" s="21" t="str">
        <f>IF(AND('Atividades Micro'!$B142=CA$2,'Atividades Micro'!$G142="Macro",'Atividades Micro'!$K142&lt;&gt;""),'Atividades Micro'!$K142,"")</f>
        <v/>
      </c>
      <c r="CB134" s="21" t="str">
        <f>IF(AND('Atividades Micro'!$B142=CB$2,'Atividades Micro'!$G142="Macro",'Atividades Micro'!$K142&lt;&gt;""),'Atividades Micro'!$K142,"")</f>
        <v/>
      </c>
      <c r="CC134" s="21" t="str">
        <f>IF(AND('Atividades Micro'!$B142=CC$2,'Atividades Micro'!$G142="Macro",'Atividades Micro'!$K142&lt;&gt;""),'Atividades Micro'!$K142,"")</f>
        <v/>
      </c>
      <c r="CD134" s="21" t="str">
        <f>IF(AND('Atividades Micro'!$B142=CD$2,'Atividades Micro'!$G142="Micro",'Atividades Micro'!$K142&lt;&gt;""),'Atividades Micro'!$K142,"")</f>
        <v/>
      </c>
      <c r="CE134" s="21" t="str">
        <f>IF(AND('Atividades Micro'!$B142=CE$2,'Atividades Micro'!$G142="Micro",'Atividades Micro'!$K142&lt;&gt;""),'Atividades Micro'!$K142,"")</f>
        <v/>
      </c>
      <c r="CF134" s="21" t="str">
        <f>IF(AND('Atividades Micro'!$B142=CF$2,'Atividades Micro'!$G142="Micro",'Atividades Micro'!$K142&lt;&gt;""),'Atividades Micro'!$K142,"")</f>
        <v/>
      </c>
      <c r="CG134" s="21">
        <f>IF(AND('Atividades Micro'!$B142=CG$2,'Atividades Micro'!$G142="Micro",'Atividades Micro'!$K142&lt;&gt;""),'Atividades Micro'!$K142,"")</f>
        <v>46279</v>
      </c>
      <c r="CH134" s="21" t="str">
        <f>IF(AND('Atividades Micro'!$B142=CH$2,'Atividades Micro'!$G142="Micro",'Atividades Micro'!$K142&lt;&gt;""),'Atividades Micro'!$K142,"")</f>
        <v/>
      </c>
      <c r="CI134" s="21" t="str">
        <f>IF(AND('Atividades Micro'!$B142=CI$2,'Atividades Micro'!$G142="Micro",'Atividades Micro'!$K142&lt;&gt;""),'Atividades Micro'!$K142,"")</f>
        <v/>
      </c>
      <c r="CJ134" s="21" t="str">
        <f>IF(AND('Atividades Micro'!$B142=CJ$2,'Atividades Micro'!$G142="Micro",'Atividades Micro'!$K142&lt;&gt;""),'Atividades Micro'!$K142,"")</f>
        <v/>
      </c>
      <c r="CK134" s="21" t="str">
        <f>IF(AND('Atividades Micro'!$B142=CK$2,'Atividades Micro'!$G142="Micro",'Atividades Micro'!$K142&lt;&gt;""),'Atividades Micro'!$K142,"")</f>
        <v/>
      </c>
      <c r="CL134" s="21" t="str">
        <f>IF(AND('Atividades Micro'!$B142=CL$2,'Atividades Micro'!$G142="Micro",'Atividades Micro'!$K142&lt;&gt;""),'Atividades Micro'!$K142,"")</f>
        <v/>
      </c>
      <c r="CM134" s="21" t="str">
        <f>IF(AND('Atividades Micro'!$B142=CM$2,'Atividades Micro'!$G142="Micro",'Atividades Micro'!$K142&lt;&gt;""),'Atividades Micro'!$K142,"")</f>
        <v/>
      </c>
      <c r="CN134" s="21" t="str">
        <f>IF(AND('Atividades Micro'!$B142=CN$2,'Atividades Micro'!$G142="Micro",'Atividades Micro'!$K142&lt;&gt;""),'Atividades Micro'!$K142,"")</f>
        <v/>
      </c>
      <c r="CO134" s="21" t="str">
        <f>IF(AND('Atividades Micro'!$B142=CO$2,'Atividades Micro'!$G142="Micro",'Atividades Micro'!$K142&lt;&gt;""),'Atividades Micro'!$K142,"")</f>
        <v/>
      </c>
    </row>
    <row r="135" spans="1:93">
      <c r="A135" s="21" t="str">
        <f>IF(AND('Atividades Micro'!$A143=A$2,'Atividades Micro'!$K143&lt;&gt;""),'Atividades Micro'!$K143,"")</f>
        <v/>
      </c>
      <c r="B135" s="21" t="str">
        <f>IF(AND('Atividades Micro'!$A143=B$2,'Atividades Micro'!$L143&lt;&gt;""),'Atividades Micro'!$L143,"")</f>
        <v/>
      </c>
      <c r="C135" s="21" t="str">
        <f>IF(AND('Atividades Micro'!$A143=C$2,'Atividades Micro'!$K143&lt;&gt;""),'Atividades Micro'!$K143,"")</f>
        <v/>
      </c>
      <c r="D135" s="21" t="str">
        <f>IF(AND('Atividades Micro'!$A143=D$2,'Atividades Micro'!$L143&lt;&gt;""),'Atividades Micro'!$L143,"")</f>
        <v/>
      </c>
      <c r="E135" s="21" t="str">
        <f>IF(AND('Atividades Micro'!$A143=E$2,'Atividades Micro'!$K143&lt;&gt;""),'Atividades Micro'!$K143,"")</f>
        <v/>
      </c>
      <c r="F135" s="21" t="str">
        <f>IF(AND('Atividades Micro'!$A143=F$2,'Atividades Micro'!$L143&lt;&gt;""),'Atividades Micro'!$L143,"")</f>
        <v/>
      </c>
      <c r="G135" s="21" t="str">
        <f>IF(AND('Atividades Micro'!$A143=G$2,'Atividades Micro'!$K143&lt;&gt;""),'Atividades Micro'!$K143,"")</f>
        <v/>
      </c>
      <c r="H135" s="21" t="str">
        <f>IF(AND('Atividades Micro'!$A143=H$2,'Atividades Micro'!$L143&lt;&gt;""),'Atividades Micro'!$L143,"")</f>
        <v/>
      </c>
      <c r="I135" s="21" t="str">
        <f>IF(AND('Atividades Micro'!$A143=I$2,'Atividades Micro'!$K143&lt;&gt;""),'Atividades Micro'!$K143,"")</f>
        <v/>
      </c>
      <c r="J135" s="21" t="str">
        <f>IF(AND('Atividades Micro'!$A143=J$2,'Atividades Micro'!$L143&lt;&gt;""),'Atividades Micro'!$L143,"")</f>
        <v/>
      </c>
      <c r="K135" s="21" t="str">
        <f>IF(AND('Atividades Micro'!$B143=K$2,'Atividades Micro'!$K143&lt;&gt;""),'Atividades Micro'!$K143,"")</f>
        <v/>
      </c>
      <c r="L135" s="21" t="str">
        <f>IF(AND('Atividades Micro'!$B143=L$2,'Atividades Micro'!$L143&lt;&gt;""),'Atividades Micro'!$L143,"")</f>
        <v/>
      </c>
      <c r="M135" s="21" t="str">
        <f>IF(AND('Atividades Micro'!$B143=M$2,'Atividades Micro'!$K143&lt;&gt;""),'Atividades Micro'!$K143,"")</f>
        <v/>
      </c>
      <c r="N135" s="21" t="str">
        <f>IF(AND('Atividades Micro'!$B143=N$2,'Atividades Micro'!$L143&lt;&gt;""),'Atividades Micro'!$L143,"")</f>
        <v/>
      </c>
      <c r="O135" s="21" t="str">
        <f>IF(AND('Atividades Micro'!$A143=O$2,'Atividades Micro'!$K143&lt;&gt;""),'Atividades Micro'!$K143,"")</f>
        <v/>
      </c>
      <c r="P135" s="21" t="str">
        <f>IF(AND('Atividades Micro'!$A143=P$2,'Atividades Micro'!$L143&lt;&gt;""),'Atividades Micro'!$L143,"")</f>
        <v/>
      </c>
      <c r="Q135" s="21" t="str">
        <f>IF(AND('Atividades Micro'!$B143=Q$2,'Atividades Micro'!$K143&lt;&gt;""),'Atividades Micro'!$K143,"")</f>
        <v/>
      </c>
      <c r="R135" s="21" t="str">
        <f>IF(AND('Atividades Micro'!$B143=R$2,'Atividades Micro'!$L143&lt;&gt;""),'Atividades Micro'!$L143,"")</f>
        <v/>
      </c>
      <c r="S135" s="21" t="str">
        <f>IF(AND('Atividades Micro'!$A143=S$2,'Atividades Micro'!$K143&lt;&gt;""),'Atividades Micro'!$K143,"")</f>
        <v/>
      </c>
      <c r="T135" s="21" t="str">
        <f>IF(AND('Atividades Micro'!$A143=T$2,'Atividades Micro'!$L143&lt;&gt;""),'Atividades Micro'!$L143,"")</f>
        <v/>
      </c>
      <c r="U135" s="21" t="str">
        <f>IF(AND('Atividades Micro'!$B143=U$2,'Atividades Micro'!$K143&lt;&gt;""),'Atividades Micro'!$K143,"")</f>
        <v/>
      </c>
      <c r="V135" s="21" t="str">
        <f>IF(AND('Atividades Micro'!$B143=V$2,'Atividades Micro'!$L143&lt;&gt;""),'Atividades Micro'!$L143,"")</f>
        <v/>
      </c>
      <c r="W135" s="21" t="str">
        <f>IF(AND('Atividades Micro'!$B143=W$2,'Atividades Micro'!$K143&lt;&gt;""),'Atividades Micro'!$K143,"")</f>
        <v/>
      </c>
      <c r="X135" s="21" t="str">
        <f>IF(AND('Atividades Micro'!$B143=X$2,'Atividades Micro'!$L143&lt;&gt;""),'Atividades Micro'!$L143,"")</f>
        <v/>
      </c>
      <c r="Y135" s="21" t="str">
        <f>IF(AND('Atividades Micro'!$A143=Y$2,'Atividades Micro'!$K143&lt;&gt;""),'Atividades Micro'!$K143,"")</f>
        <v/>
      </c>
      <c r="Z135" s="21" t="str">
        <f>IF(AND('Atividades Micro'!$A143=Z$2,'Atividades Micro'!$L143&lt;&gt;""),'Atividades Micro'!$L143,"")</f>
        <v/>
      </c>
      <c r="AA135" s="21" t="str">
        <f>IF(AND('Atividades Micro'!$B143=AA$2,'Atividades Micro'!$K143&lt;&gt;""),'Atividades Micro'!$K143,"")</f>
        <v/>
      </c>
      <c r="AB135" s="21" t="str">
        <f>IF(AND('Atividades Micro'!$B143=AB$2,'Atividades Micro'!$L143&lt;&gt;""),'Atividades Micro'!$L143,"")</f>
        <v/>
      </c>
      <c r="AC135" s="21" t="str">
        <f>IF(AND('Atividades Micro'!$B143=AC$2,'Atividades Micro'!$K143&lt;&gt;""),'Atividades Micro'!$K143,"")</f>
        <v/>
      </c>
      <c r="AD135" s="21" t="str">
        <f>IF(AND('Atividades Micro'!$B143=AD$2,'Atividades Micro'!$L143&lt;&gt;""),'Atividades Micro'!$L143,"")</f>
        <v/>
      </c>
      <c r="AE135" s="21" t="str">
        <f>IF(AND('Atividades Micro'!$A143=AE$2,'Atividades Micro'!$K143&lt;&gt;""),'Atividades Micro'!$K143,"")</f>
        <v/>
      </c>
      <c r="AF135" s="21" t="str">
        <f>IF(AND('Atividades Micro'!$A143=AF$2,'Atividades Micro'!$L143&lt;&gt;""),'Atividades Micro'!$L143,"")</f>
        <v/>
      </c>
      <c r="AG135" s="21" t="str">
        <f>IF(AND('Atividades Micro'!$B143=AG$2,'Atividades Micro'!$K143&lt;&gt;""),'Atividades Micro'!$K143,"")</f>
        <v/>
      </c>
      <c r="AH135" s="21" t="str">
        <f>IF(AND('Atividades Micro'!$B143=AH$2,'Atividades Micro'!$L143&lt;&gt;""),'Atividades Micro'!$L143,"")</f>
        <v/>
      </c>
      <c r="AI135" s="21" t="str">
        <f>IF(AND('Atividades Micro'!$B143=AI$2,'Atividades Micro'!$K143&lt;&gt;""),'Atividades Micro'!$K143,"")</f>
        <v/>
      </c>
      <c r="AJ135" s="21" t="str">
        <f>IF(AND('Atividades Micro'!$B143=AJ$2,'Atividades Micro'!$L143&lt;&gt;""),'Atividades Micro'!$L143,"")</f>
        <v/>
      </c>
      <c r="AK135" s="21" t="str">
        <f>IF(AND('Atividades Micro'!$A143=AK$2,'Atividades Micro'!$K143&lt;&gt;""),'Atividades Micro'!$K143,"")</f>
        <v/>
      </c>
      <c r="AL135" s="21" t="str">
        <f>IF(AND('Atividades Micro'!$A143=AL$2,'Atividades Micro'!$L143&lt;&gt;""),'Atividades Micro'!$L143,"")</f>
        <v/>
      </c>
      <c r="AM135" s="21" t="str">
        <f>IF(AND('Atividades Micro'!$B143=AM$2,'Atividades Micro'!$K143&lt;&gt;""),'Atividades Micro'!$K143,"")</f>
        <v/>
      </c>
      <c r="AN135" s="21" t="str">
        <f>IF(AND('Atividades Micro'!$B143=AN$2,'Atividades Micro'!$L143&lt;&gt;""),'Atividades Micro'!$L143,"")</f>
        <v/>
      </c>
      <c r="AO135" s="21" t="str">
        <f>IF(AND('Atividades Micro'!$B143=AO$2,'Atividades Micro'!$K143&lt;&gt;""),'Atividades Micro'!$K143,"")</f>
        <v/>
      </c>
      <c r="AP135" s="21" t="str">
        <f>IF(AND('Atividades Micro'!$B143=AP$2,'Atividades Micro'!$L143&lt;&gt;""),'Atividades Micro'!$L143,"")</f>
        <v/>
      </c>
      <c r="AQ135" s="21" t="str">
        <f>IF(AND('Atividades Micro'!$A143=AQ$2,'Atividades Micro'!$K143&lt;&gt;""),'Atividades Micro'!$K143,"")</f>
        <v/>
      </c>
      <c r="AR135" s="21" t="str">
        <f>IF(AND('Atividades Micro'!$A143=AR$2,'Atividades Micro'!$L143&lt;&gt;""),'Atividades Micro'!$L143,"")</f>
        <v/>
      </c>
      <c r="AS135" s="21" t="str">
        <f>IF(AND('Atividades Micro'!$B143=AS$2,'Atividades Micro'!$K143&lt;&gt;""),'Atividades Micro'!$K143,"")</f>
        <v/>
      </c>
      <c r="AT135" s="21" t="str">
        <f>IF(AND('Atividades Micro'!$B143=AT$2,'Atividades Micro'!$L143&lt;&gt;""),'Atividades Micro'!$L143,"")</f>
        <v/>
      </c>
      <c r="AU135" s="21" t="str">
        <f>IF(AND('Atividades Micro'!$A143=AU$2,'Atividades Micro'!$K143&lt;&gt;""),'Atividades Micro'!$K143,"")</f>
        <v/>
      </c>
      <c r="AV135" s="21" t="str">
        <f>IF(AND('Atividades Micro'!$A143=AV$2,'Atividades Micro'!$L143&lt;&gt;""),'Atividades Micro'!$L143,"")</f>
        <v/>
      </c>
      <c r="AW135" s="21" t="str">
        <f>IF(AND('Atividades Micro'!$B143=AW$2,'Atividades Micro'!$K143&lt;&gt;""),'Atividades Micro'!$K143,"")</f>
        <v/>
      </c>
      <c r="AX135" s="21" t="str">
        <f>IF(AND('Atividades Micro'!$B143=AX$2,'Atividades Micro'!$L143&lt;&gt;""),'Atividades Micro'!$L143,"")</f>
        <v/>
      </c>
      <c r="AY135" s="21" t="str">
        <f>IF(AND('Atividades Micro'!$A143=AY$2,'Atividades Micro'!$K143&lt;&gt;""),'Atividades Micro'!$K143,"")</f>
        <v/>
      </c>
      <c r="AZ135" s="21" t="str">
        <f>IF(AND('Atividades Micro'!$A143=AZ$2,'Atividades Micro'!$L143&lt;&gt;""),'Atividades Micro'!$L143,"")</f>
        <v/>
      </c>
      <c r="BA135" s="21" t="str">
        <f>IF(AND('Atividades Micro'!$B143=BA$2,'Atividades Micro'!$K143&lt;&gt;""),'Atividades Micro'!$K143,"")</f>
        <v/>
      </c>
      <c r="BB135" s="21" t="str">
        <f>IF(AND('Atividades Micro'!$B143=BB$2,'Atividades Micro'!$L143&lt;&gt;""),'Atividades Micro'!$L143,"")</f>
        <v/>
      </c>
      <c r="BC135" s="21" t="str">
        <f>IF(AND('Atividades Micro'!$B143=BC$2,'Atividades Micro'!$G143="Macro",'Atividades Micro'!$K143&lt;&gt;""),'Atividades Micro'!$K143,"")</f>
        <v/>
      </c>
      <c r="BD135" s="21" t="str">
        <f>IF(AND('Atividades Micro'!$B143=BD$2,'Atividades Micro'!$G143="Macro",'Atividades Micro'!$K143&lt;&gt;""),'Atividades Micro'!$K143,"")</f>
        <v/>
      </c>
      <c r="BE135" s="21" t="str">
        <f>IF(AND('Atividades Micro'!$B143=BE$2,'Atividades Micro'!$G143="Macro",'Atividades Micro'!$K143&lt;&gt;""),'Atividades Micro'!$K143,"")</f>
        <v/>
      </c>
      <c r="BF135" s="21" t="str">
        <f>IF(AND('Atividades Micro'!$B143=BF$2,'Atividades Micro'!$G143="Macro",'Atividades Micro'!$K143&lt;&gt;""),'Atividades Micro'!$K143,"")</f>
        <v/>
      </c>
      <c r="BG135" s="21" t="str">
        <f>IF(AND('Atividades Micro'!$B143=BG$2,'Atividades Micro'!$G143="Macro",'Atividades Micro'!$K143&lt;&gt;""),'Atividades Micro'!$K143,"")</f>
        <v/>
      </c>
      <c r="BH135" s="21" t="str">
        <f>IF(AND('Atividades Micro'!$B143=BH$2,'Atividades Micro'!$G143="Macro",'Atividades Micro'!$K143&lt;&gt;""),'Atividades Micro'!$K143,"")</f>
        <v/>
      </c>
      <c r="BI135" s="21" t="str">
        <f>IF(AND('Atividades Micro'!$B143=BI$2,'Atividades Micro'!$G143="Macro",'Atividades Micro'!$K143&lt;&gt;""),'Atividades Micro'!$K143,"")</f>
        <v/>
      </c>
      <c r="BJ135" s="21" t="str">
        <f>IF(AND('Atividades Micro'!$B143=BJ$2,'Atividades Micro'!$G143="Macro",'Atividades Micro'!$K143&lt;&gt;""),'Atividades Micro'!$K143,"")</f>
        <v/>
      </c>
      <c r="BK135" s="21" t="str">
        <f>IF(AND('Atividades Micro'!$B143=BK$2,'Atividades Micro'!$G143="Macro",'Atividades Micro'!$K143&lt;&gt;""),'Atividades Micro'!$K143,"")</f>
        <v/>
      </c>
      <c r="BL135" s="21" t="str">
        <f>IF(AND('Atividades Micro'!$B143=BL$2,'Atividades Micro'!$G143="Macro",'Atividades Micro'!$K143&lt;&gt;""),'Atividades Micro'!$K143,"")</f>
        <v/>
      </c>
      <c r="BM135" s="21" t="str">
        <f>IF(AND('Atividades Micro'!$B143=BM$2,'Atividades Micro'!$G143="Macro",'Atividades Micro'!$K143&lt;&gt;""),'Atividades Micro'!$K143,"")</f>
        <v/>
      </c>
      <c r="BN135" s="21" t="str">
        <f>IF(AND('Atividades Micro'!$B143=BN$2,'Atividades Micro'!$G143="Macro",'Atividades Micro'!$K143&lt;&gt;""),'Atividades Micro'!$K143,"")</f>
        <v/>
      </c>
      <c r="BO135" s="21" t="str">
        <f>IF(AND('Atividades Micro'!$B143=BO$2,'Atividades Micro'!$G143="Macro",'Atividades Micro'!$K143&lt;&gt;""),'Atividades Micro'!$K143,"")</f>
        <v/>
      </c>
      <c r="BP135" s="21" t="str">
        <f>IF(AND('Atividades Micro'!$B143=BP$2,'Atividades Micro'!$G143="Macro",'Atividades Micro'!$K143&lt;&gt;""),'Atividades Micro'!$K143,"")</f>
        <v/>
      </c>
      <c r="BQ135" s="21" t="str">
        <f>IF(AND('Atividades Micro'!$B143=BQ$2,'Atividades Micro'!$G143="Macro",'Atividades Micro'!$K143&lt;&gt;""),'Atividades Micro'!$K143,"")</f>
        <v/>
      </c>
      <c r="BR135" s="21" t="str">
        <f>IF(AND('Atividades Micro'!$B143=BR$2,'Atividades Micro'!$G143="Macro",'Atividades Micro'!$K143&lt;&gt;""),'Atividades Micro'!$K143,"")</f>
        <v/>
      </c>
      <c r="BS135" s="21" t="str">
        <f>IF(AND('Atividades Micro'!$B143=BS$2,'Atividades Micro'!$G143="Macro",'Atividades Micro'!$K143&lt;&gt;""),'Atividades Micro'!$K143,"")</f>
        <v/>
      </c>
      <c r="BT135" s="21" t="str">
        <f>IF(AND('Atividades Micro'!$B143=BT$2,'Atividades Micro'!$G143="Macro",'Atividades Micro'!$K143&lt;&gt;""),'Atividades Micro'!$K143,"")</f>
        <v/>
      </c>
      <c r="BU135" s="21" t="str">
        <f>IF(AND('Atividades Micro'!$B143=BU$2,'Atividades Micro'!$G143="Macro",'Atividades Micro'!$K143&lt;&gt;""),'Atividades Micro'!$K143,"")</f>
        <v/>
      </c>
      <c r="BV135" s="21" t="str">
        <f>IF(AND('Atividades Micro'!$B143=BV$2,'Atividades Micro'!$G143="Macro",'Atividades Micro'!$K143&lt;&gt;""),'Atividades Micro'!$K143,"")</f>
        <v/>
      </c>
      <c r="BW135" s="21" t="str">
        <f>IF(AND('Atividades Micro'!$B143=BW$2,'Atividades Micro'!$G143="Macro",'Atividades Micro'!$K143&lt;&gt;""),'Atividades Micro'!$K143,"")</f>
        <v/>
      </c>
      <c r="BX135" s="21" t="str">
        <f>IF(AND('Atividades Micro'!$B143=BX$2,'Atividades Micro'!$G143="Macro",'Atividades Micro'!$K143&lt;&gt;""),'Atividades Micro'!$K143,"")</f>
        <v/>
      </c>
      <c r="BY135" s="21" t="str">
        <f>IF(AND('Atividades Micro'!$B143=BY$2,'Atividades Micro'!$G143="Macro",'Atividades Micro'!$K143&lt;&gt;""),'Atividades Micro'!$K143,"")</f>
        <v/>
      </c>
      <c r="BZ135" s="21" t="str">
        <f>IF(AND('Atividades Micro'!$B143=BZ$2,'Atividades Micro'!$G143="Macro",'Atividades Micro'!$K143&lt;&gt;""),'Atividades Micro'!$K143,"")</f>
        <v/>
      </c>
      <c r="CA135" s="21" t="str">
        <f>IF(AND('Atividades Micro'!$B143=CA$2,'Atividades Micro'!$G143="Macro",'Atividades Micro'!$K143&lt;&gt;""),'Atividades Micro'!$K143,"")</f>
        <v/>
      </c>
      <c r="CB135" s="21" t="str">
        <f>IF(AND('Atividades Micro'!$B143=CB$2,'Atividades Micro'!$G143="Macro",'Atividades Micro'!$K143&lt;&gt;""),'Atividades Micro'!$K143,"")</f>
        <v/>
      </c>
      <c r="CC135" s="21" t="str">
        <f>IF(AND('Atividades Micro'!$B143=CC$2,'Atividades Micro'!$G143="Macro",'Atividades Micro'!$K143&lt;&gt;""),'Atividades Micro'!$K143,"")</f>
        <v/>
      </c>
      <c r="CD135" s="21" t="str">
        <f>IF(AND('Atividades Micro'!$B143=CD$2,'Atividades Micro'!$G143="Micro",'Atividades Micro'!$K143&lt;&gt;""),'Atividades Micro'!$K143,"")</f>
        <v/>
      </c>
      <c r="CE135" s="21" t="str">
        <f>IF(AND('Atividades Micro'!$B143=CE$2,'Atividades Micro'!$G143="Micro",'Atividades Micro'!$K143&lt;&gt;""),'Atividades Micro'!$K143,"")</f>
        <v/>
      </c>
      <c r="CF135" s="21" t="str">
        <f>IF(AND('Atividades Micro'!$B143=CF$2,'Atividades Micro'!$G143="Micro",'Atividades Micro'!$K143&lt;&gt;""),'Atividades Micro'!$K143,"")</f>
        <v/>
      </c>
      <c r="CG135" s="21" t="str">
        <f>IF(AND('Atividades Micro'!$B143=CG$2,'Atividades Micro'!$G143="Micro",'Atividades Micro'!$K143&lt;&gt;""),'Atividades Micro'!$K143,"")</f>
        <v/>
      </c>
      <c r="CH135" s="21" t="str">
        <f>IF(AND('Atividades Micro'!$B143=CH$2,'Atividades Micro'!$G143="Micro",'Atividades Micro'!$K143&lt;&gt;""),'Atividades Micro'!$K143,"")</f>
        <v/>
      </c>
      <c r="CI135" s="21" t="str">
        <f>IF(AND('Atividades Micro'!$B143=CI$2,'Atividades Micro'!$G143="Micro",'Atividades Micro'!$K143&lt;&gt;""),'Atividades Micro'!$K143,"")</f>
        <v/>
      </c>
      <c r="CJ135" s="21" t="str">
        <f>IF(AND('Atividades Micro'!$B143=CJ$2,'Atividades Micro'!$G143="Micro",'Atividades Micro'!$K143&lt;&gt;""),'Atividades Micro'!$K143,"")</f>
        <v/>
      </c>
      <c r="CK135" s="21" t="str">
        <f>IF(AND('Atividades Micro'!$B143=CK$2,'Atividades Micro'!$G143="Micro",'Atividades Micro'!$K143&lt;&gt;""),'Atividades Micro'!$K143,"")</f>
        <v/>
      </c>
      <c r="CL135" s="21" t="str">
        <f>IF(AND('Atividades Micro'!$B143=CL$2,'Atividades Micro'!$G143="Micro",'Atividades Micro'!$K143&lt;&gt;""),'Atividades Micro'!$K143,"")</f>
        <v/>
      </c>
      <c r="CM135" s="21" t="str">
        <f>IF(AND('Atividades Micro'!$B143=CM$2,'Atividades Micro'!$G143="Micro",'Atividades Micro'!$K143&lt;&gt;""),'Atividades Micro'!$K143,"")</f>
        <v/>
      </c>
      <c r="CN135" s="21" t="str">
        <f>IF(AND('Atividades Micro'!$B143=CN$2,'Atividades Micro'!$G143="Micro",'Atividades Micro'!$K143&lt;&gt;""),'Atividades Micro'!$K143,"")</f>
        <v/>
      </c>
      <c r="CO135" s="21" t="str">
        <f>IF(AND('Atividades Micro'!$B143=CO$2,'Atividades Micro'!$G143="Micro",'Atividades Micro'!$K143&lt;&gt;""),'Atividades Micro'!$K143,"")</f>
        <v/>
      </c>
    </row>
    <row r="136" spans="1:93">
      <c r="A136" s="21" t="str">
        <f>IF(AND('Atividades Micro'!$A144=A$2,'Atividades Micro'!$K144&lt;&gt;""),'Atividades Micro'!$K144,"")</f>
        <v/>
      </c>
      <c r="B136" s="21" t="str">
        <f>IF(AND('Atividades Micro'!$A144=B$2,'Atividades Micro'!$L144&lt;&gt;""),'Atividades Micro'!$L144,"")</f>
        <v/>
      </c>
      <c r="C136" s="21" t="str">
        <f>IF(AND('Atividades Micro'!$A144=C$2,'Atividades Micro'!$K144&lt;&gt;""),'Atividades Micro'!$K144,"")</f>
        <v/>
      </c>
      <c r="D136" s="21" t="str">
        <f>IF(AND('Atividades Micro'!$A144=D$2,'Atividades Micro'!$L144&lt;&gt;""),'Atividades Micro'!$L144,"")</f>
        <v/>
      </c>
      <c r="E136" s="21" t="str">
        <f>IF(AND('Atividades Micro'!$A144=E$2,'Atividades Micro'!$K144&lt;&gt;""),'Atividades Micro'!$K144,"")</f>
        <v/>
      </c>
      <c r="F136" s="21" t="str">
        <f>IF(AND('Atividades Micro'!$A144=F$2,'Atividades Micro'!$L144&lt;&gt;""),'Atividades Micro'!$L144,"")</f>
        <v/>
      </c>
      <c r="G136" s="21" t="str">
        <f>IF(AND('Atividades Micro'!$A144=G$2,'Atividades Micro'!$K144&lt;&gt;""),'Atividades Micro'!$K144,"")</f>
        <v/>
      </c>
      <c r="H136" s="21" t="str">
        <f>IF(AND('Atividades Micro'!$A144=H$2,'Atividades Micro'!$L144&lt;&gt;""),'Atividades Micro'!$L144,"")</f>
        <v/>
      </c>
      <c r="I136" s="21" t="str">
        <f>IF(AND('Atividades Micro'!$A144=I$2,'Atividades Micro'!$K144&lt;&gt;""),'Atividades Micro'!$K144,"")</f>
        <v/>
      </c>
      <c r="J136" s="21" t="str">
        <f>IF(AND('Atividades Micro'!$A144=J$2,'Atividades Micro'!$L144&lt;&gt;""),'Atividades Micro'!$L144,"")</f>
        <v/>
      </c>
      <c r="K136" s="21" t="str">
        <f>IF(AND('Atividades Micro'!$B144=K$2,'Atividades Micro'!$K144&lt;&gt;""),'Atividades Micro'!$K144,"")</f>
        <v/>
      </c>
      <c r="L136" s="21" t="str">
        <f>IF(AND('Atividades Micro'!$B144=L$2,'Atividades Micro'!$L144&lt;&gt;""),'Atividades Micro'!$L144,"")</f>
        <v/>
      </c>
      <c r="M136" s="21" t="str">
        <f>IF(AND('Atividades Micro'!$B144=M$2,'Atividades Micro'!$K144&lt;&gt;""),'Atividades Micro'!$K144,"")</f>
        <v/>
      </c>
      <c r="N136" s="21" t="str">
        <f>IF(AND('Atividades Micro'!$B144=N$2,'Atividades Micro'!$L144&lt;&gt;""),'Atividades Micro'!$L144,"")</f>
        <v/>
      </c>
      <c r="O136" s="21" t="str">
        <f>IF(AND('Atividades Micro'!$A144=O$2,'Atividades Micro'!$K144&lt;&gt;""),'Atividades Micro'!$K144,"")</f>
        <v/>
      </c>
      <c r="P136" s="21" t="str">
        <f>IF(AND('Atividades Micro'!$A144=P$2,'Atividades Micro'!$L144&lt;&gt;""),'Atividades Micro'!$L144,"")</f>
        <v/>
      </c>
      <c r="Q136" s="21" t="str">
        <f>IF(AND('Atividades Micro'!$B144=Q$2,'Atividades Micro'!$K144&lt;&gt;""),'Atividades Micro'!$K144,"")</f>
        <v/>
      </c>
      <c r="R136" s="21" t="str">
        <f>IF(AND('Atividades Micro'!$B144=R$2,'Atividades Micro'!$L144&lt;&gt;""),'Atividades Micro'!$L144,"")</f>
        <v/>
      </c>
      <c r="S136" s="21">
        <f>IF(AND('Atividades Micro'!$A144=S$2,'Atividades Micro'!$K144&lt;&gt;""),'Atividades Micro'!$K144,"")</f>
        <v>46283</v>
      </c>
      <c r="T136" s="21" t="str">
        <f>IF(AND('Atividades Micro'!$A144=T$2,'Atividades Micro'!$L144&lt;&gt;""),'Atividades Micro'!$L144,"")</f>
        <v/>
      </c>
      <c r="U136" s="21">
        <f>IF(AND('Atividades Micro'!$B144=U$2,'Atividades Micro'!$K144&lt;&gt;""),'Atividades Micro'!$K144,"")</f>
        <v>46283</v>
      </c>
      <c r="V136" s="21" t="str">
        <f>IF(AND('Atividades Micro'!$B144=V$2,'Atividades Micro'!$L144&lt;&gt;""),'Atividades Micro'!$L144,"")</f>
        <v/>
      </c>
      <c r="W136" s="21" t="str">
        <f>IF(AND('Atividades Micro'!$B144=W$2,'Atividades Micro'!$K144&lt;&gt;""),'Atividades Micro'!$K144,"")</f>
        <v/>
      </c>
      <c r="X136" s="21" t="str">
        <f>IF(AND('Atividades Micro'!$B144=X$2,'Atividades Micro'!$L144&lt;&gt;""),'Atividades Micro'!$L144,"")</f>
        <v/>
      </c>
      <c r="Y136" s="21" t="str">
        <f>IF(AND('Atividades Micro'!$A144=Y$2,'Atividades Micro'!$K144&lt;&gt;""),'Atividades Micro'!$K144,"")</f>
        <v/>
      </c>
      <c r="Z136" s="21" t="str">
        <f>IF(AND('Atividades Micro'!$A144=Z$2,'Atividades Micro'!$L144&lt;&gt;""),'Atividades Micro'!$L144,"")</f>
        <v/>
      </c>
      <c r="AA136" s="21" t="str">
        <f>IF(AND('Atividades Micro'!$B144=AA$2,'Atividades Micro'!$K144&lt;&gt;""),'Atividades Micro'!$K144,"")</f>
        <v/>
      </c>
      <c r="AB136" s="21" t="str">
        <f>IF(AND('Atividades Micro'!$B144=AB$2,'Atividades Micro'!$L144&lt;&gt;""),'Atividades Micro'!$L144,"")</f>
        <v/>
      </c>
      <c r="AC136" s="21" t="str">
        <f>IF(AND('Atividades Micro'!$B144=AC$2,'Atividades Micro'!$K144&lt;&gt;""),'Atividades Micro'!$K144,"")</f>
        <v/>
      </c>
      <c r="AD136" s="21" t="str">
        <f>IF(AND('Atividades Micro'!$B144=AD$2,'Atividades Micro'!$L144&lt;&gt;""),'Atividades Micro'!$L144,"")</f>
        <v/>
      </c>
      <c r="AE136" s="21" t="str">
        <f>IF(AND('Atividades Micro'!$A144=AE$2,'Atividades Micro'!$K144&lt;&gt;""),'Atividades Micro'!$K144,"")</f>
        <v/>
      </c>
      <c r="AF136" s="21" t="str">
        <f>IF(AND('Atividades Micro'!$A144=AF$2,'Atividades Micro'!$L144&lt;&gt;""),'Atividades Micro'!$L144,"")</f>
        <v/>
      </c>
      <c r="AG136" s="21" t="str">
        <f>IF(AND('Atividades Micro'!$B144=AG$2,'Atividades Micro'!$K144&lt;&gt;""),'Atividades Micro'!$K144,"")</f>
        <v/>
      </c>
      <c r="AH136" s="21" t="str">
        <f>IF(AND('Atividades Micro'!$B144=AH$2,'Atividades Micro'!$L144&lt;&gt;""),'Atividades Micro'!$L144,"")</f>
        <v/>
      </c>
      <c r="AI136" s="21" t="str">
        <f>IF(AND('Atividades Micro'!$B144=AI$2,'Atividades Micro'!$K144&lt;&gt;""),'Atividades Micro'!$K144,"")</f>
        <v/>
      </c>
      <c r="AJ136" s="21" t="str">
        <f>IF(AND('Atividades Micro'!$B144=AJ$2,'Atividades Micro'!$L144&lt;&gt;""),'Atividades Micro'!$L144,"")</f>
        <v/>
      </c>
      <c r="AK136" s="21" t="str">
        <f>IF(AND('Atividades Micro'!$A144=AK$2,'Atividades Micro'!$K144&lt;&gt;""),'Atividades Micro'!$K144,"")</f>
        <v/>
      </c>
      <c r="AL136" s="21" t="str">
        <f>IF(AND('Atividades Micro'!$A144=AL$2,'Atividades Micro'!$L144&lt;&gt;""),'Atividades Micro'!$L144,"")</f>
        <v/>
      </c>
      <c r="AM136" s="21" t="str">
        <f>IF(AND('Atividades Micro'!$B144=AM$2,'Atividades Micro'!$K144&lt;&gt;""),'Atividades Micro'!$K144,"")</f>
        <v/>
      </c>
      <c r="AN136" s="21" t="str">
        <f>IF(AND('Atividades Micro'!$B144=AN$2,'Atividades Micro'!$L144&lt;&gt;""),'Atividades Micro'!$L144,"")</f>
        <v/>
      </c>
      <c r="AO136" s="21" t="str">
        <f>IF(AND('Atividades Micro'!$B144=AO$2,'Atividades Micro'!$K144&lt;&gt;""),'Atividades Micro'!$K144,"")</f>
        <v/>
      </c>
      <c r="AP136" s="21" t="str">
        <f>IF(AND('Atividades Micro'!$B144=AP$2,'Atividades Micro'!$L144&lt;&gt;""),'Atividades Micro'!$L144,"")</f>
        <v/>
      </c>
      <c r="AQ136" s="21" t="str">
        <f>IF(AND('Atividades Micro'!$A144=AQ$2,'Atividades Micro'!$K144&lt;&gt;""),'Atividades Micro'!$K144,"")</f>
        <v/>
      </c>
      <c r="AR136" s="21" t="str">
        <f>IF(AND('Atividades Micro'!$A144=AR$2,'Atividades Micro'!$L144&lt;&gt;""),'Atividades Micro'!$L144,"")</f>
        <v/>
      </c>
      <c r="AS136" s="21" t="str">
        <f>IF(AND('Atividades Micro'!$B144=AS$2,'Atividades Micro'!$K144&lt;&gt;""),'Atividades Micro'!$K144,"")</f>
        <v/>
      </c>
      <c r="AT136" s="21" t="str">
        <f>IF(AND('Atividades Micro'!$B144=AT$2,'Atividades Micro'!$L144&lt;&gt;""),'Atividades Micro'!$L144,"")</f>
        <v/>
      </c>
      <c r="AU136" s="21" t="str">
        <f>IF(AND('Atividades Micro'!$A144=AU$2,'Atividades Micro'!$K144&lt;&gt;""),'Atividades Micro'!$K144,"")</f>
        <v/>
      </c>
      <c r="AV136" s="21" t="str">
        <f>IF(AND('Atividades Micro'!$A144=AV$2,'Atividades Micro'!$L144&lt;&gt;""),'Atividades Micro'!$L144,"")</f>
        <v/>
      </c>
      <c r="AW136" s="21" t="str">
        <f>IF(AND('Atividades Micro'!$B144=AW$2,'Atividades Micro'!$K144&lt;&gt;""),'Atividades Micro'!$K144,"")</f>
        <v/>
      </c>
      <c r="AX136" s="21" t="str">
        <f>IF(AND('Atividades Micro'!$B144=AX$2,'Atividades Micro'!$L144&lt;&gt;""),'Atividades Micro'!$L144,"")</f>
        <v/>
      </c>
      <c r="AY136" s="21" t="str">
        <f>IF(AND('Atividades Micro'!$A144=AY$2,'Atividades Micro'!$K144&lt;&gt;""),'Atividades Micro'!$K144,"")</f>
        <v/>
      </c>
      <c r="AZ136" s="21" t="str">
        <f>IF(AND('Atividades Micro'!$A144=AZ$2,'Atividades Micro'!$L144&lt;&gt;""),'Atividades Micro'!$L144,"")</f>
        <v/>
      </c>
      <c r="BA136" s="21" t="str">
        <f>IF(AND('Atividades Micro'!$B144=BA$2,'Atividades Micro'!$K144&lt;&gt;""),'Atividades Micro'!$K144,"")</f>
        <v/>
      </c>
      <c r="BB136" s="21" t="str">
        <f>IF(AND('Atividades Micro'!$B144=BB$2,'Atividades Micro'!$L144&lt;&gt;""),'Atividades Micro'!$L144,"")</f>
        <v/>
      </c>
      <c r="BC136" s="21" t="str">
        <f>IF(AND('Atividades Micro'!$B144=BC$2,'Atividades Micro'!$G144="Macro",'Atividades Micro'!$K144&lt;&gt;""),'Atividades Micro'!$K144,"")</f>
        <v/>
      </c>
      <c r="BD136" s="21" t="str">
        <f>IF(AND('Atividades Micro'!$B144=BD$2,'Atividades Micro'!$G144="Macro",'Atividades Micro'!$K144&lt;&gt;""),'Atividades Micro'!$K144,"")</f>
        <v/>
      </c>
      <c r="BE136" s="21" t="str">
        <f>IF(AND('Atividades Micro'!$B144=BE$2,'Atividades Micro'!$G144="Macro",'Atividades Micro'!$K144&lt;&gt;""),'Atividades Micro'!$K144,"")</f>
        <v/>
      </c>
      <c r="BF136" s="21" t="str">
        <f>IF(AND('Atividades Micro'!$B144=BF$2,'Atividades Micro'!$G144="Macro",'Atividades Micro'!$K144&lt;&gt;""),'Atividades Micro'!$K144,"")</f>
        <v/>
      </c>
      <c r="BG136" s="21" t="str">
        <f>IF(AND('Atividades Micro'!$B144=BG$2,'Atividades Micro'!$G144="Macro",'Atividades Micro'!$K144&lt;&gt;""),'Atividades Micro'!$K144,"")</f>
        <v/>
      </c>
      <c r="BH136" s="21" t="str">
        <f>IF(AND('Atividades Micro'!$B144=BH$2,'Atividades Micro'!$G144="Macro",'Atividades Micro'!$K144&lt;&gt;""),'Atividades Micro'!$K144,"")</f>
        <v/>
      </c>
      <c r="BI136" s="21" t="str">
        <f>IF(AND('Atividades Micro'!$B144=BI$2,'Atividades Micro'!$G144="Macro",'Atividades Micro'!$K144&lt;&gt;""),'Atividades Micro'!$K144,"")</f>
        <v/>
      </c>
      <c r="BJ136" s="21" t="str">
        <f>IF(AND('Atividades Micro'!$B144=BJ$2,'Atividades Micro'!$G144="Macro",'Atividades Micro'!$K144&lt;&gt;""),'Atividades Micro'!$K144,"")</f>
        <v/>
      </c>
      <c r="BK136" s="21" t="str">
        <f>IF(AND('Atividades Micro'!$B144=BK$2,'Atividades Micro'!$G144="Macro",'Atividades Micro'!$K144&lt;&gt;""),'Atividades Micro'!$K144,"")</f>
        <v/>
      </c>
      <c r="BL136" s="21" t="str">
        <f>IF(AND('Atividades Micro'!$B144=BL$2,'Atividades Micro'!$G144="Macro",'Atividades Micro'!$K144&lt;&gt;""),'Atividades Micro'!$K144,"")</f>
        <v/>
      </c>
      <c r="BM136" s="21" t="str">
        <f>IF(AND('Atividades Micro'!$B144=BM$2,'Atividades Micro'!$G144="Macro",'Atividades Micro'!$K144&lt;&gt;""),'Atividades Micro'!$K144,"")</f>
        <v/>
      </c>
      <c r="BN136" s="21" t="str">
        <f>IF(AND('Atividades Micro'!$B144=BN$2,'Atividades Micro'!$G144="Macro",'Atividades Micro'!$K144&lt;&gt;""),'Atividades Micro'!$K144,"")</f>
        <v/>
      </c>
      <c r="BO136" s="21" t="str">
        <f>IF(AND('Atividades Micro'!$B144=BO$2,'Atividades Micro'!$G144="Macro",'Atividades Micro'!$K144&lt;&gt;""),'Atividades Micro'!$K144,"")</f>
        <v/>
      </c>
      <c r="BP136" s="21" t="str">
        <f>IF(AND('Atividades Micro'!$B144=BP$2,'Atividades Micro'!$G144="Macro",'Atividades Micro'!$K144&lt;&gt;""),'Atividades Micro'!$K144,"")</f>
        <v/>
      </c>
      <c r="BQ136" s="21" t="str">
        <f>IF(AND('Atividades Micro'!$B144=BQ$2,'Atividades Micro'!$G144="Macro",'Atividades Micro'!$K144&lt;&gt;""),'Atividades Micro'!$K144,"")</f>
        <v/>
      </c>
      <c r="BR136" s="21" t="str">
        <f>IF(AND('Atividades Micro'!$B144=BR$2,'Atividades Micro'!$G144="Macro",'Atividades Micro'!$K144&lt;&gt;""),'Atividades Micro'!$K144,"")</f>
        <v/>
      </c>
      <c r="BS136" s="21" t="str">
        <f>IF(AND('Atividades Micro'!$B144=BS$2,'Atividades Micro'!$G144="Macro",'Atividades Micro'!$K144&lt;&gt;""),'Atividades Micro'!$K144,"")</f>
        <v/>
      </c>
      <c r="BT136" s="21" t="str">
        <f>IF(AND('Atividades Micro'!$B144=BT$2,'Atividades Micro'!$G144="Macro",'Atividades Micro'!$K144&lt;&gt;""),'Atividades Micro'!$K144,"")</f>
        <v/>
      </c>
      <c r="BU136" s="21" t="str">
        <f>IF(AND('Atividades Micro'!$B144=BU$2,'Atividades Micro'!$G144="Macro",'Atividades Micro'!$K144&lt;&gt;""),'Atividades Micro'!$K144,"")</f>
        <v/>
      </c>
      <c r="BV136" s="21" t="str">
        <f>IF(AND('Atividades Micro'!$B144=BV$2,'Atividades Micro'!$G144="Macro",'Atividades Micro'!$K144&lt;&gt;""),'Atividades Micro'!$K144,"")</f>
        <v/>
      </c>
      <c r="BW136" s="21" t="str">
        <f>IF(AND('Atividades Micro'!$B144=BW$2,'Atividades Micro'!$G144="Macro",'Atividades Micro'!$K144&lt;&gt;""),'Atividades Micro'!$K144,"")</f>
        <v/>
      </c>
      <c r="BX136" s="21" t="str">
        <f>IF(AND('Atividades Micro'!$B144=BX$2,'Atividades Micro'!$G144="Macro",'Atividades Micro'!$K144&lt;&gt;""),'Atividades Micro'!$K144,"")</f>
        <v/>
      </c>
      <c r="BY136" s="21" t="str">
        <f>IF(AND('Atividades Micro'!$B144=BY$2,'Atividades Micro'!$G144="Macro",'Atividades Micro'!$K144&lt;&gt;""),'Atividades Micro'!$K144,"")</f>
        <v/>
      </c>
      <c r="BZ136" s="21" t="str">
        <f>IF(AND('Atividades Micro'!$B144=BZ$2,'Atividades Micro'!$G144="Macro",'Atividades Micro'!$K144&lt;&gt;""),'Atividades Micro'!$K144,"")</f>
        <v/>
      </c>
      <c r="CA136" s="21" t="str">
        <f>IF(AND('Atividades Micro'!$B144=CA$2,'Atividades Micro'!$G144="Macro",'Atividades Micro'!$K144&lt;&gt;""),'Atividades Micro'!$K144,"")</f>
        <v/>
      </c>
      <c r="CB136" s="21" t="str">
        <f>IF(AND('Atividades Micro'!$B144=CB$2,'Atividades Micro'!$G144="Macro",'Atividades Micro'!$K144&lt;&gt;""),'Atividades Micro'!$K144,"")</f>
        <v/>
      </c>
      <c r="CC136" s="21" t="str">
        <f>IF(AND('Atividades Micro'!$B144=CC$2,'Atividades Micro'!$G144="Macro",'Atividades Micro'!$K144&lt;&gt;""),'Atividades Micro'!$K144,"")</f>
        <v/>
      </c>
      <c r="CD136" s="21" t="str">
        <f>IF(AND('Atividades Micro'!$B144=CD$2,'Atividades Micro'!$G144="Micro",'Atividades Micro'!$K144&lt;&gt;""),'Atividades Micro'!$K144,"")</f>
        <v/>
      </c>
      <c r="CE136" s="21" t="str">
        <f>IF(AND('Atividades Micro'!$B144=CE$2,'Atividades Micro'!$G144="Micro",'Atividades Micro'!$K144&lt;&gt;""),'Atividades Micro'!$K144,"")</f>
        <v/>
      </c>
      <c r="CF136" s="21" t="str">
        <f>IF(AND('Atividades Micro'!$B144=CF$2,'Atividades Micro'!$G144="Micro",'Atividades Micro'!$K144&lt;&gt;""),'Atividades Micro'!$K144,"")</f>
        <v/>
      </c>
      <c r="CG136" s="21">
        <f>IF(AND('Atividades Micro'!$B144=CG$2,'Atividades Micro'!$G144="Micro",'Atividades Micro'!$K144&lt;&gt;""),'Atividades Micro'!$K144,"")</f>
        <v>46283</v>
      </c>
      <c r="CH136" s="21" t="str">
        <f>IF(AND('Atividades Micro'!$B144=CH$2,'Atividades Micro'!$G144="Micro",'Atividades Micro'!$K144&lt;&gt;""),'Atividades Micro'!$K144,"")</f>
        <v/>
      </c>
      <c r="CI136" s="21" t="str">
        <f>IF(AND('Atividades Micro'!$B144=CI$2,'Atividades Micro'!$G144="Micro",'Atividades Micro'!$K144&lt;&gt;""),'Atividades Micro'!$K144,"")</f>
        <v/>
      </c>
      <c r="CJ136" s="21" t="str">
        <f>IF(AND('Atividades Micro'!$B144=CJ$2,'Atividades Micro'!$G144="Micro",'Atividades Micro'!$K144&lt;&gt;""),'Atividades Micro'!$K144,"")</f>
        <v/>
      </c>
      <c r="CK136" s="21" t="str">
        <f>IF(AND('Atividades Micro'!$B144=CK$2,'Atividades Micro'!$G144="Micro",'Atividades Micro'!$K144&lt;&gt;""),'Atividades Micro'!$K144,"")</f>
        <v/>
      </c>
      <c r="CL136" s="21" t="str">
        <f>IF(AND('Atividades Micro'!$B144=CL$2,'Atividades Micro'!$G144="Micro",'Atividades Micro'!$K144&lt;&gt;""),'Atividades Micro'!$K144,"")</f>
        <v/>
      </c>
      <c r="CM136" s="21" t="str">
        <f>IF(AND('Atividades Micro'!$B144=CM$2,'Atividades Micro'!$G144="Micro",'Atividades Micro'!$K144&lt;&gt;""),'Atividades Micro'!$K144,"")</f>
        <v/>
      </c>
      <c r="CN136" s="21" t="str">
        <f>IF(AND('Atividades Micro'!$B144=CN$2,'Atividades Micro'!$G144="Micro",'Atividades Micro'!$K144&lt;&gt;""),'Atividades Micro'!$K144,"")</f>
        <v/>
      </c>
      <c r="CO136" s="21" t="str">
        <f>IF(AND('Atividades Micro'!$B144=CO$2,'Atividades Micro'!$G144="Micro",'Atividades Micro'!$K144&lt;&gt;""),'Atividades Micro'!$K144,"")</f>
        <v/>
      </c>
    </row>
    <row r="137" spans="1:93">
      <c r="A137" s="21" t="str">
        <f>IF(AND('Atividades Micro'!$A145=A$2,'Atividades Micro'!$K145&lt;&gt;""),'Atividades Micro'!$K145,"")</f>
        <v/>
      </c>
      <c r="B137" s="21" t="str">
        <f>IF(AND('Atividades Micro'!$A145=B$2,'Atividades Micro'!$L145&lt;&gt;""),'Atividades Micro'!$L145,"")</f>
        <v/>
      </c>
      <c r="C137" s="21" t="str">
        <f>IF(AND('Atividades Micro'!$A145=C$2,'Atividades Micro'!$K145&lt;&gt;""),'Atividades Micro'!$K145,"")</f>
        <v/>
      </c>
      <c r="D137" s="21" t="str">
        <f>IF(AND('Atividades Micro'!$A145=D$2,'Atividades Micro'!$L145&lt;&gt;""),'Atividades Micro'!$L145,"")</f>
        <v/>
      </c>
      <c r="E137" s="21" t="str">
        <f>IF(AND('Atividades Micro'!$A145=E$2,'Atividades Micro'!$K145&lt;&gt;""),'Atividades Micro'!$K145,"")</f>
        <v/>
      </c>
      <c r="F137" s="21" t="str">
        <f>IF(AND('Atividades Micro'!$A145=F$2,'Atividades Micro'!$L145&lt;&gt;""),'Atividades Micro'!$L145,"")</f>
        <v/>
      </c>
      <c r="G137" s="21" t="str">
        <f>IF(AND('Atividades Micro'!$A145=G$2,'Atividades Micro'!$K145&lt;&gt;""),'Atividades Micro'!$K145,"")</f>
        <v/>
      </c>
      <c r="H137" s="21" t="str">
        <f>IF(AND('Atividades Micro'!$A145=H$2,'Atividades Micro'!$L145&lt;&gt;""),'Atividades Micro'!$L145,"")</f>
        <v/>
      </c>
      <c r="I137" s="21" t="str">
        <f>IF(AND('Atividades Micro'!$A145=I$2,'Atividades Micro'!$K145&lt;&gt;""),'Atividades Micro'!$K145,"")</f>
        <v/>
      </c>
      <c r="J137" s="21" t="str">
        <f>IF(AND('Atividades Micro'!$A145=J$2,'Atividades Micro'!$L145&lt;&gt;""),'Atividades Micro'!$L145,"")</f>
        <v/>
      </c>
      <c r="K137" s="21" t="str">
        <f>IF(AND('Atividades Micro'!$B145=K$2,'Atividades Micro'!$K145&lt;&gt;""),'Atividades Micro'!$K145,"")</f>
        <v/>
      </c>
      <c r="L137" s="21" t="str">
        <f>IF(AND('Atividades Micro'!$B145=L$2,'Atividades Micro'!$L145&lt;&gt;""),'Atividades Micro'!$L145,"")</f>
        <v/>
      </c>
      <c r="M137" s="21" t="str">
        <f>IF(AND('Atividades Micro'!$B145=M$2,'Atividades Micro'!$K145&lt;&gt;""),'Atividades Micro'!$K145,"")</f>
        <v/>
      </c>
      <c r="N137" s="21" t="str">
        <f>IF(AND('Atividades Micro'!$B145=N$2,'Atividades Micro'!$L145&lt;&gt;""),'Atividades Micro'!$L145,"")</f>
        <v/>
      </c>
      <c r="O137" s="21" t="str">
        <f>IF(AND('Atividades Micro'!$A145=O$2,'Atividades Micro'!$K145&lt;&gt;""),'Atividades Micro'!$K145,"")</f>
        <v/>
      </c>
      <c r="P137" s="21" t="str">
        <f>IF(AND('Atividades Micro'!$A145=P$2,'Atividades Micro'!$L145&lt;&gt;""),'Atividades Micro'!$L145,"")</f>
        <v/>
      </c>
      <c r="Q137" s="21" t="str">
        <f>IF(AND('Atividades Micro'!$B145=Q$2,'Atividades Micro'!$K145&lt;&gt;""),'Atividades Micro'!$K145,"")</f>
        <v/>
      </c>
      <c r="R137" s="21" t="str">
        <f>IF(AND('Atividades Micro'!$B145=R$2,'Atividades Micro'!$L145&lt;&gt;""),'Atividades Micro'!$L145,"")</f>
        <v/>
      </c>
      <c r="S137" s="21">
        <f>IF(AND('Atividades Micro'!$A145=S$2,'Atividades Micro'!$K145&lt;&gt;""),'Atividades Micro'!$K145,"")</f>
        <v>46287</v>
      </c>
      <c r="T137" s="21" t="str">
        <f>IF(AND('Atividades Micro'!$A145=T$2,'Atividades Micro'!$L145&lt;&gt;""),'Atividades Micro'!$L145,"")</f>
        <v/>
      </c>
      <c r="U137" s="21">
        <f>IF(AND('Atividades Micro'!$B145=U$2,'Atividades Micro'!$K145&lt;&gt;""),'Atividades Micro'!$K145,"")</f>
        <v>46287</v>
      </c>
      <c r="V137" s="21" t="str">
        <f>IF(AND('Atividades Micro'!$B145=V$2,'Atividades Micro'!$L145&lt;&gt;""),'Atividades Micro'!$L145,"")</f>
        <v/>
      </c>
      <c r="W137" s="21" t="str">
        <f>IF(AND('Atividades Micro'!$B145=W$2,'Atividades Micro'!$K145&lt;&gt;""),'Atividades Micro'!$K145,"")</f>
        <v/>
      </c>
      <c r="X137" s="21" t="str">
        <f>IF(AND('Atividades Micro'!$B145=X$2,'Atividades Micro'!$L145&lt;&gt;""),'Atividades Micro'!$L145,"")</f>
        <v/>
      </c>
      <c r="Y137" s="21" t="str">
        <f>IF(AND('Atividades Micro'!$A145=Y$2,'Atividades Micro'!$K145&lt;&gt;""),'Atividades Micro'!$K145,"")</f>
        <v/>
      </c>
      <c r="Z137" s="21" t="str">
        <f>IF(AND('Atividades Micro'!$A145=Z$2,'Atividades Micro'!$L145&lt;&gt;""),'Atividades Micro'!$L145,"")</f>
        <v/>
      </c>
      <c r="AA137" s="21" t="str">
        <f>IF(AND('Atividades Micro'!$B145=AA$2,'Atividades Micro'!$K145&lt;&gt;""),'Atividades Micro'!$K145,"")</f>
        <v/>
      </c>
      <c r="AB137" s="21" t="str">
        <f>IF(AND('Atividades Micro'!$B145=AB$2,'Atividades Micro'!$L145&lt;&gt;""),'Atividades Micro'!$L145,"")</f>
        <v/>
      </c>
      <c r="AC137" s="21" t="str">
        <f>IF(AND('Atividades Micro'!$B145=AC$2,'Atividades Micro'!$K145&lt;&gt;""),'Atividades Micro'!$K145,"")</f>
        <v/>
      </c>
      <c r="AD137" s="21" t="str">
        <f>IF(AND('Atividades Micro'!$B145=AD$2,'Atividades Micro'!$L145&lt;&gt;""),'Atividades Micro'!$L145,"")</f>
        <v/>
      </c>
      <c r="AE137" s="21" t="str">
        <f>IF(AND('Atividades Micro'!$A145=AE$2,'Atividades Micro'!$K145&lt;&gt;""),'Atividades Micro'!$K145,"")</f>
        <v/>
      </c>
      <c r="AF137" s="21" t="str">
        <f>IF(AND('Atividades Micro'!$A145=AF$2,'Atividades Micro'!$L145&lt;&gt;""),'Atividades Micro'!$L145,"")</f>
        <v/>
      </c>
      <c r="AG137" s="21" t="str">
        <f>IF(AND('Atividades Micro'!$B145=AG$2,'Atividades Micro'!$K145&lt;&gt;""),'Atividades Micro'!$K145,"")</f>
        <v/>
      </c>
      <c r="AH137" s="21" t="str">
        <f>IF(AND('Atividades Micro'!$B145=AH$2,'Atividades Micro'!$L145&lt;&gt;""),'Atividades Micro'!$L145,"")</f>
        <v/>
      </c>
      <c r="AI137" s="21" t="str">
        <f>IF(AND('Atividades Micro'!$B145=AI$2,'Atividades Micro'!$K145&lt;&gt;""),'Atividades Micro'!$K145,"")</f>
        <v/>
      </c>
      <c r="AJ137" s="21" t="str">
        <f>IF(AND('Atividades Micro'!$B145=AJ$2,'Atividades Micro'!$L145&lt;&gt;""),'Atividades Micro'!$L145,"")</f>
        <v/>
      </c>
      <c r="AK137" s="21" t="str">
        <f>IF(AND('Atividades Micro'!$A145=AK$2,'Atividades Micro'!$K145&lt;&gt;""),'Atividades Micro'!$K145,"")</f>
        <v/>
      </c>
      <c r="AL137" s="21" t="str">
        <f>IF(AND('Atividades Micro'!$A145=AL$2,'Atividades Micro'!$L145&lt;&gt;""),'Atividades Micro'!$L145,"")</f>
        <v/>
      </c>
      <c r="AM137" s="21" t="str">
        <f>IF(AND('Atividades Micro'!$B145=AM$2,'Atividades Micro'!$K145&lt;&gt;""),'Atividades Micro'!$K145,"")</f>
        <v/>
      </c>
      <c r="AN137" s="21" t="str">
        <f>IF(AND('Atividades Micro'!$B145=AN$2,'Atividades Micro'!$L145&lt;&gt;""),'Atividades Micro'!$L145,"")</f>
        <v/>
      </c>
      <c r="AO137" s="21" t="str">
        <f>IF(AND('Atividades Micro'!$B145=AO$2,'Atividades Micro'!$K145&lt;&gt;""),'Atividades Micro'!$K145,"")</f>
        <v/>
      </c>
      <c r="AP137" s="21" t="str">
        <f>IF(AND('Atividades Micro'!$B145=AP$2,'Atividades Micro'!$L145&lt;&gt;""),'Atividades Micro'!$L145,"")</f>
        <v/>
      </c>
      <c r="AQ137" s="21" t="str">
        <f>IF(AND('Atividades Micro'!$A145=AQ$2,'Atividades Micro'!$K145&lt;&gt;""),'Atividades Micro'!$K145,"")</f>
        <v/>
      </c>
      <c r="AR137" s="21" t="str">
        <f>IF(AND('Atividades Micro'!$A145=AR$2,'Atividades Micro'!$L145&lt;&gt;""),'Atividades Micro'!$L145,"")</f>
        <v/>
      </c>
      <c r="AS137" s="21" t="str">
        <f>IF(AND('Atividades Micro'!$B145=AS$2,'Atividades Micro'!$K145&lt;&gt;""),'Atividades Micro'!$K145,"")</f>
        <v/>
      </c>
      <c r="AT137" s="21" t="str">
        <f>IF(AND('Atividades Micro'!$B145=AT$2,'Atividades Micro'!$L145&lt;&gt;""),'Atividades Micro'!$L145,"")</f>
        <v/>
      </c>
      <c r="AU137" s="21" t="str">
        <f>IF(AND('Atividades Micro'!$A145=AU$2,'Atividades Micro'!$K145&lt;&gt;""),'Atividades Micro'!$K145,"")</f>
        <v/>
      </c>
      <c r="AV137" s="21" t="str">
        <f>IF(AND('Atividades Micro'!$A145=AV$2,'Atividades Micro'!$L145&lt;&gt;""),'Atividades Micro'!$L145,"")</f>
        <v/>
      </c>
      <c r="AW137" s="21" t="str">
        <f>IF(AND('Atividades Micro'!$B145=AW$2,'Atividades Micro'!$K145&lt;&gt;""),'Atividades Micro'!$K145,"")</f>
        <v/>
      </c>
      <c r="AX137" s="21" t="str">
        <f>IF(AND('Atividades Micro'!$B145=AX$2,'Atividades Micro'!$L145&lt;&gt;""),'Atividades Micro'!$L145,"")</f>
        <v/>
      </c>
      <c r="AY137" s="21" t="str">
        <f>IF(AND('Atividades Micro'!$A145=AY$2,'Atividades Micro'!$K145&lt;&gt;""),'Atividades Micro'!$K145,"")</f>
        <v/>
      </c>
      <c r="AZ137" s="21" t="str">
        <f>IF(AND('Atividades Micro'!$A145=AZ$2,'Atividades Micro'!$L145&lt;&gt;""),'Atividades Micro'!$L145,"")</f>
        <v/>
      </c>
      <c r="BA137" s="21" t="str">
        <f>IF(AND('Atividades Micro'!$B145=BA$2,'Atividades Micro'!$K145&lt;&gt;""),'Atividades Micro'!$K145,"")</f>
        <v/>
      </c>
      <c r="BB137" s="21" t="str">
        <f>IF(AND('Atividades Micro'!$B145=BB$2,'Atividades Micro'!$L145&lt;&gt;""),'Atividades Micro'!$L145,"")</f>
        <v/>
      </c>
      <c r="BC137" s="21" t="str">
        <f>IF(AND('Atividades Micro'!$B145=BC$2,'Atividades Micro'!$G145="Macro",'Atividades Micro'!$K145&lt;&gt;""),'Atividades Micro'!$K145,"")</f>
        <v/>
      </c>
      <c r="BD137" s="21" t="str">
        <f>IF(AND('Atividades Micro'!$B145=BD$2,'Atividades Micro'!$G145="Macro",'Atividades Micro'!$K145&lt;&gt;""),'Atividades Micro'!$K145,"")</f>
        <v/>
      </c>
      <c r="BE137" s="21" t="str">
        <f>IF(AND('Atividades Micro'!$B145=BE$2,'Atividades Micro'!$G145="Macro",'Atividades Micro'!$K145&lt;&gt;""),'Atividades Micro'!$K145,"")</f>
        <v/>
      </c>
      <c r="BF137" s="21" t="str">
        <f>IF(AND('Atividades Micro'!$B145=BF$2,'Atividades Micro'!$G145="Macro",'Atividades Micro'!$K145&lt;&gt;""),'Atividades Micro'!$K145,"")</f>
        <v/>
      </c>
      <c r="BG137" s="21" t="str">
        <f>IF(AND('Atividades Micro'!$B145=BG$2,'Atividades Micro'!$G145="Macro",'Atividades Micro'!$K145&lt;&gt;""),'Atividades Micro'!$K145,"")</f>
        <v/>
      </c>
      <c r="BH137" s="21" t="str">
        <f>IF(AND('Atividades Micro'!$B145=BH$2,'Atividades Micro'!$G145="Macro",'Atividades Micro'!$K145&lt;&gt;""),'Atividades Micro'!$K145,"")</f>
        <v/>
      </c>
      <c r="BI137" s="21" t="str">
        <f>IF(AND('Atividades Micro'!$B145=BI$2,'Atividades Micro'!$G145="Macro",'Atividades Micro'!$K145&lt;&gt;""),'Atividades Micro'!$K145,"")</f>
        <v/>
      </c>
      <c r="BJ137" s="21" t="str">
        <f>IF(AND('Atividades Micro'!$B145=BJ$2,'Atividades Micro'!$G145="Macro",'Atividades Micro'!$K145&lt;&gt;""),'Atividades Micro'!$K145,"")</f>
        <v/>
      </c>
      <c r="BK137" s="21" t="str">
        <f>IF(AND('Atividades Micro'!$B145=BK$2,'Atividades Micro'!$G145="Macro",'Atividades Micro'!$K145&lt;&gt;""),'Atividades Micro'!$K145,"")</f>
        <v/>
      </c>
      <c r="BL137" s="21" t="str">
        <f>IF(AND('Atividades Micro'!$B145=BL$2,'Atividades Micro'!$G145="Macro",'Atividades Micro'!$K145&lt;&gt;""),'Atividades Micro'!$K145,"")</f>
        <v/>
      </c>
      <c r="BM137" s="21" t="str">
        <f>IF(AND('Atividades Micro'!$B145=BM$2,'Atividades Micro'!$G145="Macro",'Atividades Micro'!$K145&lt;&gt;""),'Atividades Micro'!$K145,"")</f>
        <v/>
      </c>
      <c r="BN137" s="21" t="str">
        <f>IF(AND('Atividades Micro'!$B145=BN$2,'Atividades Micro'!$G145="Macro",'Atividades Micro'!$K145&lt;&gt;""),'Atividades Micro'!$K145,"")</f>
        <v/>
      </c>
      <c r="BO137" s="21" t="str">
        <f>IF(AND('Atividades Micro'!$B145=BO$2,'Atividades Micro'!$G145="Macro",'Atividades Micro'!$K145&lt;&gt;""),'Atividades Micro'!$K145,"")</f>
        <v/>
      </c>
      <c r="BP137" s="21" t="str">
        <f>IF(AND('Atividades Micro'!$B145=BP$2,'Atividades Micro'!$G145="Macro",'Atividades Micro'!$K145&lt;&gt;""),'Atividades Micro'!$K145,"")</f>
        <v/>
      </c>
      <c r="BQ137" s="21" t="str">
        <f>IF(AND('Atividades Micro'!$B145=BQ$2,'Atividades Micro'!$G145="Macro",'Atividades Micro'!$K145&lt;&gt;""),'Atividades Micro'!$K145,"")</f>
        <v/>
      </c>
      <c r="BR137" s="21" t="str">
        <f>IF(AND('Atividades Micro'!$B145=BR$2,'Atividades Micro'!$G145="Macro",'Atividades Micro'!$K145&lt;&gt;""),'Atividades Micro'!$K145,"")</f>
        <v/>
      </c>
      <c r="BS137" s="21" t="str">
        <f>IF(AND('Atividades Micro'!$B145=BS$2,'Atividades Micro'!$G145="Macro",'Atividades Micro'!$K145&lt;&gt;""),'Atividades Micro'!$K145,"")</f>
        <v/>
      </c>
      <c r="BT137" s="21" t="str">
        <f>IF(AND('Atividades Micro'!$B145=BT$2,'Atividades Micro'!$G145="Macro",'Atividades Micro'!$K145&lt;&gt;""),'Atividades Micro'!$K145,"")</f>
        <v/>
      </c>
      <c r="BU137" s="21" t="str">
        <f>IF(AND('Atividades Micro'!$B145=BU$2,'Atividades Micro'!$G145="Macro",'Atividades Micro'!$K145&lt;&gt;""),'Atividades Micro'!$K145,"")</f>
        <v/>
      </c>
      <c r="BV137" s="21" t="str">
        <f>IF(AND('Atividades Micro'!$B145=BV$2,'Atividades Micro'!$G145="Macro",'Atividades Micro'!$K145&lt;&gt;""),'Atividades Micro'!$K145,"")</f>
        <v/>
      </c>
      <c r="BW137" s="21" t="str">
        <f>IF(AND('Atividades Micro'!$B145=BW$2,'Atividades Micro'!$G145="Macro",'Atividades Micro'!$K145&lt;&gt;""),'Atividades Micro'!$K145,"")</f>
        <v/>
      </c>
      <c r="BX137" s="21" t="str">
        <f>IF(AND('Atividades Micro'!$B145=BX$2,'Atividades Micro'!$G145="Macro",'Atividades Micro'!$K145&lt;&gt;""),'Atividades Micro'!$K145,"")</f>
        <v/>
      </c>
      <c r="BY137" s="21" t="str">
        <f>IF(AND('Atividades Micro'!$B145=BY$2,'Atividades Micro'!$G145="Macro",'Atividades Micro'!$K145&lt;&gt;""),'Atividades Micro'!$K145,"")</f>
        <v/>
      </c>
      <c r="BZ137" s="21" t="str">
        <f>IF(AND('Atividades Micro'!$B145=BZ$2,'Atividades Micro'!$G145="Macro",'Atividades Micro'!$K145&lt;&gt;""),'Atividades Micro'!$K145,"")</f>
        <v/>
      </c>
      <c r="CA137" s="21" t="str">
        <f>IF(AND('Atividades Micro'!$B145=CA$2,'Atividades Micro'!$G145="Macro",'Atividades Micro'!$K145&lt;&gt;""),'Atividades Micro'!$K145,"")</f>
        <v/>
      </c>
      <c r="CB137" s="21" t="str">
        <f>IF(AND('Atividades Micro'!$B145=CB$2,'Atividades Micro'!$G145="Macro",'Atividades Micro'!$K145&lt;&gt;""),'Atividades Micro'!$K145,"")</f>
        <v/>
      </c>
      <c r="CC137" s="21" t="str">
        <f>IF(AND('Atividades Micro'!$B145=CC$2,'Atividades Micro'!$G145="Macro",'Atividades Micro'!$K145&lt;&gt;""),'Atividades Micro'!$K145,"")</f>
        <v/>
      </c>
      <c r="CD137" s="21" t="str">
        <f>IF(AND('Atividades Micro'!$B145=CD$2,'Atividades Micro'!$G145="Micro",'Atividades Micro'!$K145&lt;&gt;""),'Atividades Micro'!$K145,"")</f>
        <v/>
      </c>
      <c r="CE137" s="21" t="str">
        <f>IF(AND('Atividades Micro'!$B145=CE$2,'Atividades Micro'!$G145="Micro",'Atividades Micro'!$K145&lt;&gt;""),'Atividades Micro'!$K145,"")</f>
        <v/>
      </c>
      <c r="CF137" s="21" t="str">
        <f>IF(AND('Atividades Micro'!$B145=CF$2,'Atividades Micro'!$G145="Micro",'Atividades Micro'!$K145&lt;&gt;""),'Atividades Micro'!$K145,"")</f>
        <v/>
      </c>
      <c r="CG137" s="21">
        <f>IF(AND('Atividades Micro'!$B145=CG$2,'Atividades Micro'!$G145="Micro",'Atividades Micro'!$K145&lt;&gt;""),'Atividades Micro'!$K145,"")</f>
        <v>46287</v>
      </c>
      <c r="CH137" s="21" t="str">
        <f>IF(AND('Atividades Micro'!$B145=CH$2,'Atividades Micro'!$G145="Micro",'Atividades Micro'!$K145&lt;&gt;""),'Atividades Micro'!$K145,"")</f>
        <v/>
      </c>
      <c r="CI137" s="21" t="str">
        <f>IF(AND('Atividades Micro'!$B145=CI$2,'Atividades Micro'!$G145="Micro",'Atividades Micro'!$K145&lt;&gt;""),'Atividades Micro'!$K145,"")</f>
        <v/>
      </c>
      <c r="CJ137" s="21" t="str">
        <f>IF(AND('Atividades Micro'!$B145=CJ$2,'Atividades Micro'!$G145="Micro",'Atividades Micro'!$K145&lt;&gt;""),'Atividades Micro'!$K145,"")</f>
        <v/>
      </c>
      <c r="CK137" s="21" t="str">
        <f>IF(AND('Atividades Micro'!$B145=CK$2,'Atividades Micro'!$G145="Micro",'Atividades Micro'!$K145&lt;&gt;""),'Atividades Micro'!$K145,"")</f>
        <v/>
      </c>
      <c r="CL137" s="21" t="str">
        <f>IF(AND('Atividades Micro'!$B145=CL$2,'Atividades Micro'!$G145="Micro",'Atividades Micro'!$K145&lt;&gt;""),'Atividades Micro'!$K145,"")</f>
        <v/>
      </c>
      <c r="CM137" s="21" t="str">
        <f>IF(AND('Atividades Micro'!$B145=CM$2,'Atividades Micro'!$G145="Micro",'Atividades Micro'!$K145&lt;&gt;""),'Atividades Micro'!$K145,"")</f>
        <v/>
      </c>
      <c r="CN137" s="21" t="str">
        <f>IF(AND('Atividades Micro'!$B145=CN$2,'Atividades Micro'!$G145="Micro",'Atividades Micro'!$K145&lt;&gt;""),'Atividades Micro'!$K145,"")</f>
        <v/>
      </c>
      <c r="CO137" s="21" t="str">
        <f>IF(AND('Atividades Micro'!$B145=CO$2,'Atividades Micro'!$G145="Micro",'Atividades Micro'!$K145&lt;&gt;""),'Atividades Micro'!$K145,"")</f>
        <v/>
      </c>
    </row>
    <row r="138" spans="1:93">
      <c r="A138" s="21" t="str">
        <f>IF(AND('Atividades Micro'!$A146=A$2,'Atividades Micro'!$K146&lt;&gt;""),'Atividades Micro'!$K146,"")</f>
        <v/>
      </c>
      <c r="B138" s="21" t="str">
        <f>IF(AND('Atividades Micro'!$A146=B$2,'Atividades Micro'!$L146&lt;&gt;""),'Atividades Micro'!$L146,"")</f>
        <v/>
      </c>
      <c r="C138" s="21" t="str">
        <f>IF(AND('Atividades Micro'!$A146=C$2,'Atividades Micro'!$K146&lt;&gt;""),'Atividades Micro'!$K146,"")</f>
        <v/>
      </c>
      <c r="D138" s="21" t="str">
        <f>IF(AND('Atividades Micro'!$A146=D$2,'Atividades Micro'!$L146&lt;&gt;""),'Atividades Micro'!$L146,"")</f>
        <v/>
      </c>
      <c r="E138" s="21" t="str">
        <f>IF(AND('Atividades Micro'!$A146=E$2,'Atividades Micro'!$K146&lt;&gt;""),'Atividades Micro'!$K146,"")</f>
        <v/>
      </c>
      <c r="F138" s="21" t="str">
        <f>IF(AND('Atividades Micro'!$A146=F$2,'Atividades Micro'!$L146&lt;&gt;""),'Atividades Micro'!$L146,"")</f>
        <v/>
      </c>
      <c r="G138" s="21" t="str">
        <f>IF(AND('Atividades Micro'!$A146=G$2,'Atividades Micro'!$K146&lt;&gt;""),'Atividades Micro'!$K146,"")</f>
        <v/>
      </c>
      <c r="H138" s="21" t="str">
        <f>IF(AND('Atividades Micro'!$A146=H$2,'Atividades Micro'!$L146&lt;&gt;""),'Atividades Micro'!$L146,"")</f>
        <v/>
      </c>
      <c r="I138" s="21" t="str">
        <f>IF(AND('Atividades Micro'!$A146=I$2,'Atividades Micro'!$K146&lt;&gt;""),'Atividades Micro'!$K146,"")</f>
        <v/>
      </c>
      <c r="J138" s="21" t="str">
        <f>IF(AND('Atividades Micro'!$A146=J$2,'Atividades Micro'!$L146&lt;&gt;""),'Atividades Micro'!$L146,"")</f>
        <v/>
      </c>
      <c r="K138" s="21" t="str">
        <f>IF(AND('Atividades Micro'!$B146=K$2,'Atividades Micro'!$K146&lt;&gt;""),'Atividades Micro'!$K146,"")</f>
        <v/>
      </c>
      <c r="L138" s="21" t="str">
        <f>IF(AND('Atividades Micro'!$B146=L$2,'Atividades Micro'!$L146&lt;&gt;""),'Atividades Micro'!$L146,"")</f>
        <v/>
      </c>
      <c r="M138" s="21" t="str">
        <f>IF(AND('Atividades Micro'!$B146=M$2,'Atividades Micro'!$K146&lt;&gt;""),'Atividades Micro'!$K146,"")</f>
        <v/>
      </c>
      <c r="N138" s="21" t="str">
        <f>IF(AND('Atividades Micro'!$B146=N$2,'Atividades Micro'!$L146&lt;&gt;""),'Atividades Micro'!$L146,"")</f>
        <v/>
      </c>
      <c r="O138" s="21" t="str">
        <f>IF(AND('Atividades Micro'!$A146=O$2,'Atividades Micro'!$K146&lt;&gt;""),'Atividades Micro'!$K146,"")</f>
        <v/>
      </c>
      <c r="P138" s="21" t="str">
        <f>IF(AND('Atividades Micro'!$A146=P$2,'Atividades Micro'!$L146&lt;&gt;""),'Atividades Micro'!$L146,"")</f>
        <v/>
      </c>
      <c r="Q138" s="21" t="str">
        <f>IF(AND('Atividades Micro'!$B146=Q$2,'Atividades Micro'!$K146&lt;&gt;""),'Atividades Micro'!$K146,"")</f>
        <v/>
      </c>
      <c r="R138" s="21" t="str">
        <f>IF(AND('Atividades Micro'!$B146=R$2,'Atividades Micro'!$L146&lt;&gt;""),'Atividades Micro'!$L146,"")</f>
        <v/>
      </c>
      <c r="S138" s="21" t="str">
        <f>IF(AND('Atividades Micro'!$A146=S$2,'Atividades Micro'!$K146&lt;&gt;""),'Atividades Micro'!$K146,"")</f>
        <v/>
      </c>
      <c r="T138" s="21" t="str">
        <f>IF(AND('Atividades Micro'!$A146=T$2,'Atividades Micro'!$L146&lt;&gt;""),'Atividades Micro'!$L146,"")</f>
        <v/>
      </c>
      <c r="U138" s="21" t="str">
        <f>IF(AND('Atividades Micro'!$B146=U$2,'Atividades Micro'!$K146&lt;&gt;""),'Atividades Micro'!$K146,"")</f>
        <v/>
      </c>
      <c r="V138" s="21" t="str">
        <f>IF(AND('Atividades Micro'!$B146=V$2,'Atividades Micro'!$L146&lt;&gt;""),'Atividades Micro'!$L146,"")</f>
        <v/>
      </c>
      <c r="W138" s="21" t="str">
        <f>IF(AND('Atividades Micro'!$B146=W$2,'Atividades Micro'!$K146&lt;&gt;""),'Atividades Micro'!$K146,"")</f>
        <v/>
      </c>
      <c r="X138" s="21" t="str">
        <f>IF(AND('Atividades Micro'!$B146=X$2,'Atividades Micro'!$L146&lt;&gt;""),'Atividades Micro'!$L146,"")</f>
        <v/>
      </c>
      <c r="Y138" s="21" t="str">
        <f>IF(AND('Atividades Micro'!$A146=Y$2,'Atividades Micro'!$K146&lt;&gt;""),'Atividades Micro'!$K146,"")</f>
        <v/>
      </c>
      <c r="Z138" s="21" t="str">
        <f>IF(AND('Atividades Micro'!$A146=Z$2,'Atividades Micro'!$L146&lt;&gt;""),'Atividades Micro'!$L146,"")</f>
        <v/>
      </c>
      <c r="AA138" s="21" t="str">
        <f>IF(AND('Atividades Micro'!$B146=AA$2,'Atividades Micro'!$K146&lt;&gt;""),'Atividades Micro'!$K146,"")</f>
        <v/>
      </c>
      <c r="AB138" s="21" t="str">
        <f>IF(AND('Atividades Micro'!$B146=AB$2,'Atividades Micro'!$L146&lt;&gt;""),'Atividades Micro'!$L146,"")</f>
        <v/>
      </c>
      <c r="AC138" s="21" t="str">
        <f>IF(AND('Atividades Micro'!$B146=AC$2,'Atividades Micro'!$K146&lt;&gt;""),'Atividades Micro'!$K146,"")</f>
        <v/>
      </c>
      <c r="AD138" s="21" t="str">
        <f>IF(AND('Atividades Micro'!$B146=AD$2,'Atividades Micro'!$L146&lt;&gt;""),'Atividades Micro'!$L146,"")</f>
        <v/>
      </c>
      <c r="AE138" s="21" t="str">
        <f>IF(AND('Atividades Micro'!$A146=AE$2,'Atividades Micro'!$K146&lt;&gt;""),'Atividades Micro'!$K146,"")</f>
        <v/>
      </c>
      <c r="AF138" s="21" t="str">
        <f>IF(AND('Atividades Micro'!$A146=AF$2,'Atividades Micro'!$L146&lt;&gt;""),'Atividades Micro'!$L146,"")</f>
        <v/>
      </c>
      <c r="AG138" s="21" t="str">
        <f>IF(AND('Atividades Micro'!$B146=AG$2,'Atividades Micro'!$K146&lt;&gt;""),'Atividades Micro'!$K146,"")</f>
        <v/>
      </c>
      <c r="AH138" s="21" t="str">
        <f>IF(AND('Atividades Micro'!$B146=AH$2,'Atividades Micro'!$L146&lt;&gt;""),'Atividades Micro'!$L146,"")</f>
        <v/>
      </c>
      <c r="AI138" s="21" t="str">
        <f>IF(AND('Atividades Micro'!$B146=AI$2,'Atividades Micro'!$K146&lt;&gt;""),'Atividades Micro'!$K146,"")</f>
        <v/>
      </c>
      <c r="AJ138" s="21" t="str">
        <f>IF(AND('Atividades Micro'!$B146=AJ$2,'Atividades Micro'!$L146&lt;&gt;""),'Atividades Micro'!$L146,"")</f>
        <v/>
      </c>
      <c r="AK138" s="21" t="str">
        <f>IF(AND('Atividades Micro'!$A146=AK$2,'Atividades Micro'!$K146&lt;&gt;""),'Atividades Micro'!$K146,"")</f>
        <v/>
      </c>
      <c r="AL138" s="21" t="str">
        <f>IF(AND('Atividades Micro'!$A146=AL$2,'Atividades Micro'!$L146&lt;&gt;""),'Atividades Micro'!$L146,"")</f>
        <v/>
      </c>
      <c r="AM138" s="21" t="str">
        <f>IF(AND('Atividades Micro'!$B146=AM$2,'Atividades Micro'!$K146&lt;&gt;""),'Atividades Micro'!$K146,"")</f>
        <v/>
      </c>
      <c r="AN138" s="21" t="str">
        <f>IF(AND('Atividades Micro'!$B146=AN$2,'Atividades Micro'!$L146&lt;&gt;""),'Atividades Micro'!$L146,"")</f>
        <v/>
      </c>
      <c r="AO138" s="21" t="str">
        <f>IF(AND('Atividades Micro'!$B146=AO$2,'Atividades Micro'!$K146&lt;&gt;""),'Atividades Micro'!$K146,"")</f>
        <v/>
      </c>
      <c r="AP138" s="21" t="str">
        <f>IF(AND('Atividades Micro'!$B146=AP$2,'Atividades Micro'!$L146&lt;&gt;""),'Atividades Micro'!$L146,"")</f>
        <v/>
      </c>
      <c r="AQ138" s="21" t="str">
        <f>IF(AND('Atividades Micro'!$A146=AQ$2,'Atividades Micro'!$K146&lt;&gt;""),'Atividades Micro'!$K146,"")</f>
        <v/>
      </c>
      <c r="AR138" s="21" t="str">
        <f>IF(AND('Atividades Micro'!$A146=AR$2,'Atividades Micro'!$L146&lt;&gt;""),'Atividades Micro'!$L146,"")</f>
        <v/>
      </c>
      <c r="AS138" s="21" t="str">
        <f>IF(AND('Atividades Micro'!$B146=AS$2,'Atividades Micro'!$K146&lt;&gt;""),'Atividades Micro'!$K146,"")</f>
        <v/>
      </c>
      <c r="AT138" s="21" t="str">
        <f>IF(AND('Atividades Micro'!$B146=AT$2,'Atividades Micro'!$L146&lt;&gt;""),'Atividades Micro'!$L146,"")</f>
        <v/>
      </c>
      <c r="AU138" s="21" t="str">
        <f>IF(AND('Atividades Micro'!$A146=AU$2,'Atividades Micro'!$K146&lt;&gt;""),'Atividades Micro'!$K146,"")</f>
        <v/>
      </c>
      <c r="AV138" s="21" t="str">
        <f>IF(AND('Atividades Micro'!$A146=AV$2,'Atividades Micro'!$L146&lt;&gt;""),'Atividades Micro'!$L146,"")</f>
        <v/>
      </c>
      <c r="AW138" s="21" t="str">
        <f>IF(AND('Atividades Micro'!$B146=AW$2,'Atividades Micro'!$K146&lt;&gt;""),'Atividades Micro'!$K146,"")</f>
        <v/>
      </c>
      <c r="AX138" s="21" t="str">
        <f>IF(AND('Atividades Micro'!$B146=AX$2,'Atividades Micro'!$L146&lt;&gt;""),'Atividades Micro'!$L146,"")</f>
        <v/>
      </c>
      <c r="AY138" s="21" t="str">
        <f>IF(AND('Atividades Micro'!$A146=AY$2,'Atividades Micro'!$K146&lt;&gt;""),'Atividades Micro'!$K146,"")</f>
        <v/>
      </c>
      <c r="AZ138" s="21" t="str">
        <f>IF(AND('Atividades Micro'!$A146=AZ$2,'Atividades Micro'!$L146&lt;&gt;""),'Atividades Micro'!$L146,"")</f>
        <v/>
      </c>
      <c r="BA138" s="21" t="str">
        <f>IF(AND('Atividades Micro'!$B146=BA$2,'Atividades Micro'!$K146&lt;&gt;""),'Atividades Micro'!$K146,"")</f>
        <v/>
      </c>
      <c r="BB138" s="21" t="str">
        <f>IF(AND('Atividades Micro'!$B146=BB$2,'Atividades Micro'!$L146&lt;&gt;""),'Atividades Micro'!$L146,"")</f>
        <v/>
      </c>
      <c r="BC138" s="21" t="str">
        <f>IF(AND('Atividades Micro'!$B146=BC$2,'Atividades Micro'!$G146="Macro",'Atividades Micro'!$K146&lt;&gt;""),'Atividades Micro'!$K146,"")</f>
        <v/>
      </c>
      <c r="BD138" s="21" t="str">
        <f>IF(AND('Atividades Micro'!$B146=BD$2,'Atividades Micro'!$G146="Macro",'Atividades Micro'!$K146&lt;&gt;""),'Atividades Micro'!$K146,"")</f>
        <v/>
      </c>
      <c r="BE138" s="21" t="str">
        <f>IF(AND('Atividades Micro'!$B146=BE$2,'Atividades Micro'!$G146="Macro",'Atividades Micro'!$K146&lt;&gt;""),'Atividades Micro'!$K146,"")</f>
        <v/>
      </c>
      <c r="BF138" s="21" t="str">
        <f>IF(AND('Atividades Micro'!$B146=BF$2,'Atividades Micro'!$G146="Macro",'Atividades Micro'!$K146&lt;&gt;""),'Atividades Micro'!$K146,"")</f>
        <v/>
      </c>
      <c r="BG138" s="21" t="str">
        <f>IF(AND('Atividades Micro'!$B146=BG$2,'Atividades Micro'!$G146="Macro",'Atividades Micro'!$K146&lt;&gt;""),'Atividades Micro'!$K146,"")</f>
        <v/>
      </c>
      <c r="BH138" s="21" t="str">
        <f>IF(AND('Atividades Micro'!$B146=BH$2,'Atividades Micro'!$G146="Macro",'Atividades Micro'!$K146&lt;&gt;""),'Atividades Micro'!$K146,"")</f>
        <v/>
      </c>
      <c r="BI138" s="21" t="str">
        <f>IF(AND('Atividades Micro'!$B146=BI$2,'Atividades Micro'!$G146="Macro",'Atividades Micro'!$K146&lt;&gt;""),'Atividades Micro'!$K146,"")</f>
        <v/>
      </c>
      <c r="BJ138" s="21" t="str">
        <f>IF(AND('Atividades Micro'!$B146=BJ$2,'Atividades Micro'!$G146="Macro",'Atividades Micro'!$K146&lt;&gt;""),'Atividades Micro'!$K146,"")</f>
        <v/>
      </c>
      <c r="BK138" s="21" t="str">
        <f>IF(AND('Atividades Micro'!$B146=BK$2,'Atividades Micro'!$G146="Macro",'Atividades Micro'!$K146&lt;&gt;""),'Atividades Micro'!$K146,"")</f>
        <v/>
      </c>
      <c r="BL138" s="21" t="str">
        <f>IF(AND('Atividades Micro'!$B146=BL$2,'Atividades Micro'!$G146="Macro",'Atividades Micro'!$K146&lt;&gt;""),'Atividades Micro'!$K146,"")</f>
        <v/>
      </c>
      <c r="BM138" s="21" t="str">
        <f>IF(AND('Atividades Micro'!$B146=BM$2,'Atividades Micro'!$G146="Macro",'Atividades Micro'!$K146&lt;&gt;""),'Atividades Micro'!$K146,"")</f>
        <v/>
      </c>
      <c r="BN138" s="21" t="str">
        <f>IF(AND('Atividades Micro'!$B146=BN$2,'Atividades Micro'!$G146="Macro",'Atividades Micro'!$K146&lt;&gt;""),'Atividades Micro'!$K146,"")</f>
        <v/>
      </c>
      <c r="BO138" s="21" t="str">
        <f>IF(AND('Atividades Micro'!$B146=BO$2,'Atividades Micro'!$G146="Macro",'Atividades Micro'!$K146&lt;&gt;""),'Atividades Micro'!$K146,"")</f>
        <v/>
      </c>
      <c r="BP138" s="21" t="str">
        <f>IF(AND('Atividades Micro'!$B146=BP$2,'Atividades Micro'!$G146="Macro",'Atividades Micro'!$K146&lt;&gt;""),'Atividades Micro'!$K146,"")</f>
        <v/>
      </c>
      <c r="BQ138" s="21" t="str">
        <f>IF(AND('Atividades Micro'!$B146=BQ$2,'Atividades Micro'!$G146="Macro",'Atividades Micro'!$K146&lt;&gt;""),'Atividades Micro'!$K146,"")</f>
        <v/>
      </c>
      <c r="BR138" s="21" t="str">
        <f>IF(AND('Atividades Micro'!$B146=BR$2,'Atividades Micro'!$G146="Macro",'Atividades Micro'!$K146&lt;&gt;""),'Atividades Micro'!$K146,"")</f>
        <v/>
      </c>
      <c r="BS138" s="21" t="str">
        <f>IF(AND('Atividades Micro'!$B146=BS$2,'Atividades Micro'!$G146="Macro",'Atividades Micro'!$K146&lt;&gt;""),'Atividades Micro'!$K146,"")</f>
        <v/>
      </c>
      <c r="BT138" s="21" t="str">
        <f>IF(AND('Atividades Micro'!$B146=BT$2,'Atividades Micro'!$G146="Macro",'Atividades Micro'!$K146&lt;&gt;""),'Atividades Micro'!$K146,"")</f>
        <v/>
      </c>
      <c r="BU138" s="21" t="str">
        <f>IF(AND('Atividades Micro'!$B146=BU$2,'Atividades Micro'!$G146="Macro",'Atividades Micro'!$K146&lt;&gt;""),'Atividades Micro'!$K146,"")</f>
        <v/>
      </c>
      <c r="BV138" s="21" t="str">
        <f>IF(AND('Atividades Micro'!$B146=BV$2,'Atividades Micro'!$G146="Macro",'Atividades Micro'!$K146&lt;&gt;""),'Atividades Micro'!$K146,"")</f>
        <v/>
      </c>
      <c r="BW138" s="21" t="str">
        <f>IF(AND('Atividades Micro'!$B146=BW$2,'Atividades Micro'!$G146="Macro",'Atividades Micro'!$K146&lt;&gt;""),'Atividades Micro'!$K146,"")</f>
        <v/>
      </c>
      <c r="BX138" s="21" t="str">
        <f>IF(AND('Atividades Micro'!$B146=BX$2,'Atividades Micro'!$G146="Macro",'Atividades Micro'!$K146&lt;&gt;""),'Atividades Micro'!$K146,"")</f>
        <v/>
      </c>
      <c r="BY138" s="21" t="str">
        <f>IF(AND('Atividades Micro'!$B146=BY$2,'Atividades Micro'!$G146="Macro",'Atividades Micro'!$K146&lt;&gt;""),'Atividades Micro'!$K146,"")</f>
        <v/>
      </c>
      <c r="BZ138" s="21" t="str">
        <f>IF(AND('Atividades Micro'!$B146=BZ$2,'Atividades Micro'!$G146="Macro",'Atividades Micro'!$K146&lt;&gt;""),'Atividades Micro'!$K146,"")</f>
        <v/>
      </c>
      <c r="CA138" s="21" t="str">
        <f>IF(AND('Atividades Micro'!$B146=CA$2,'Atividades Micro'!$G146="Macro",'Atividades Micro'!$K146&lt;&gt;""),'Atividades Micro'!$K146,"")</f>
        <v/>
      </c>
      <c r="CB138" s="21" t="str">
        <f>IF(AND('Atividades Micro'!$B146=CB$2,'Atividades Micro'!$G146="Macro",'Atividades Micro'!$K146&lt;&gt;""),'Atividades Micro'!$K146,"")</f>
        <v/>
      </c>
      <c r="CC138" s="21" t="str">
        <f>IF(AND('Atividades Micro'!$B146=CC$2,'Atividades Micro'!$G146="Macro",'Atividades Micro'!$K146&lt;&gt;""),'Atividades Micro'!$K146,"")</f>
        <v/>
      </c>
      <c r="CD138" s="21" t="str">
        <f>IF(AND('Atividades Micro'!$B146=CD$2,'Atividades Micro'!$G146="Micro",'Atividades Micro'!$K146&lt;&gt;""),'Atividades Micro'!$K146,"")</f>
        <v/>
      </c>
      <c r="CE138" s="21" t="str">
        <f>IF(AND('Atividades Micro'!$B146=CE$2,'Atividades Micro'!$G146="Micro",'Atividades Micro'!$K146&lt;&gt;""),'Atividades Micro'!$K146,"")</f>
        <v/>
      </c>
      <c r="CF138" s="21" t="str">
        <f>IF(AND('Atividades Micro'!$B146=CF$2,'Atividades Micro'!$G146="Micro",'Atividades Micro'!$K146&lt;&gt;""),'Atividades Micro'!$K146,"")</f>
        <v/>
      </c>
      <c r="CG138" s="21" t="str">
        <f>IF(AND('Atividades Micro'!$B146=CG$2,'Atividades Micro'!$G146="Micro",'Atividades Micro'!$K146&lt;&gt;""),'Atividades Micro'!$K146,"")</f>
        <v/>
      </c>
      <c r="CH138" s="21" t="str">
        <f>IF(AND('Atividades Micro'!$B146=CH$2,'Atividades Micro'!$G146="Micro",'Atividades Micro'!$K146&lt;&gt;""),'Atividades Micro'!$K146,"")</f>
        <v/>
      </c>
      <c r="CI138" s="21" t="str">
        <f>IF(AND('Atividades Micro'!$B146=CI$2,'Atividades Micro'!$G146="Micro",'Atividades Micro'!$K146&lt;&gt;""),'Atividades Micro'!$K146,"")</f>
        <v/>
      </c>
      <c r="CJ138" s="21" t="str">
        <f>IF(AND('Atividades Micro'!$B146=CJ$2,'Atividades Micro'!$G146="Micro",'Atividades Micro'!$K146&lt;&gt;""),'Atividades Micro'!$K146,"")</f>
        <v/>
      </c>
      <c r="CK138" s="21" t="str">
        <f>IF(AND('Atividades Micro'!$B146=CK$2,'Atividades Micro'!$G146="Micro",'Atividades Micro'!$K146&lt;&gt;""),'Atividades Micro'!$K146,"")</f>
        <v/>
      </c>
      <c r="CL138" s="21" t="str">
        <f>IF(AND('Atividades Micro'!$B146=CL$2,'Atividades Micro'!$G146="Micro",'Atividades Micro'!$K146&lt;&gt;""),'Atividades Micro'!$K146,"")</f>
        <v/>
      </c>
      <c r="CM138" s="21" t="str">
        <f>IF(AND('Atividades Micro'!$B146=CM$2,'Atividades Micro'!$G146="Micro",'Atividades Micro'!$K146&lt;&gt;""),'Atividades Micro'!$K146,"")</f>
        <v/>
      </c>
      <c r="CN138" s="21" t="str">
        <f>IF(AND('Atividades Micro'!$B146=CN$2,'Atividades Micro'!$G146="Micro",'Atividades Micro'!$K146&lt;&gt;""),'Atividades Micro'!$K146,"")</f>
        <v/>
      </c>
      <c r="CO138" s="21" t="str">
        <f>IF(AND('Atividades Micro'!$B146=CO$2,'Atividades Micro'!$G146="Micro",'Atividades Micro'!$K146&lt;&gt;""),'Atividades Micro'!$K146,"")</f>
        <v/>
      </c>
    </row>
    <row r="139" spans="1:93">
      <c r="A139" s="21" t="str">
        <f>IF(AND('Atividades Micro'!$A147=A$2,'Atividades Micro'!$K147&lt;&gt;""),'Atividades Micro'!$K147,"")</f>
        <v/>
      </c>
      <c r="B139" s="21" t="str">
        <f>IF(AND('Atividades Micro'!$A147=B$2,'Atividades Micro'!$L147&lt;&gt;""),'Atividades Micro'!$L147,"")</f>
        <v/>
      </c>
      <c r="C139" s="21" t="str">
        <f>IF(AND('Atividades Micro'!$A147=C$2,'Atividades Micro'!$K147&lt;&gt;""),'Atividades Micro'!$K147,"")</f>
        <v/>
      </c>
      <c r="D139" s="21" t="str">
        <f>IF(AND('Atividades Micro'!$A147=D$2,'Atividades Micro'!$L147&lt;&gt;""),'Atividades Micro'!$L147,"")</f>
        <v/>
      </c>
      <c r="E139" s="21" t="str">
        <f>IF(AND('Atividades Micro'!$A147=E$2,'Atividades Micro'!$K147&lt;&gt;""),'Atividades Micro'!$K147,"")</f>
        <v/>
      </c>
      <c r="F139" s="21" t="str">
        <f>IF(AND('Atividades Micro'!$A147=F$2,'Atividades Micro'!$L147&lt;&gt;""),'Atividades Micro'!$L147,"")</f>
        <v/>
      </c>
      <c r="G139" s="21" t="str">
        <f>IF(AND('Atividades Micro'!$A147=G$2,'Atividades Micro'!$K147&lt;&gt;""),'Atividades Micro'!$K147,"")</f>
        <v/>
      </c>
      <c r="H139" s="21" t="str">
        <f>IF(AND('Atividades Micro'!$A147=H$2,'Atividades Micro'!$L147&lt;&gt;""),'Atividades Micro'!$L147,"")</f>
        <v/>
      </c>
      <c r="I139" s="21" t="str">
        <f>IF(AND('Atividades Micro'!$A147=I$2,'Atividades Micro'!$K147&lt;&gt;""),'Atividades Micro'!$K147,"")</f>
        <v/>
      </c>
      <c r="J139" s="21" t="str">
        <f>IF(AND('Atividades Micro'!$A147=J$2,'Atividades Micro'!$L147&lt;&gt;""),'Atividades Micro'!$L147,"")</f>
        <v/>
      </c>
      <c r="K139" s="21" t="str">
        <f>IF(AND('Atividades Micro'!$B147=K$2,'Atividades Micro'!$K147&lt;&gt;""),'Atividades Micro'!$K147,"")</f>
        <v/>
      </c>
      <c r="L139" s="21" t="str">
        <f>IF(AND('Atividades Micro'!$B147=L$2,'Atividades Micro'!$L147&lt;&gt;""),'Atividades Micro'!$L147,"")</f>
        <v/>
      </c>
      <c r="M139" s="21" t="str">
        <f>IF(AND('Atividades Micro'!$B147=M$2,'Atividades Micro'!$K147&lt;&gt;""),'Atividades Micro'!$K147,"")</f>
        <v/>
      </c>
      <c r="N139" s="21" t="str">
        <f>IF(AND('Atividades Micro'!$B147=N$2,'Atividades Micro'!$L147&lt;&gt;""),'Atividades Micro'!$L147,"")</f>
        <v/>
      </c>
      <c r="O139" s="21" t="str">
        <f>IF(AND('Atividades Micro'!$A147=O$2,'Atividades Micro'!$K147&lt;&gt;""),'Atividades Micro'!$K147,"")</f>
        <v/>
      </c>
      <c r="P139" s="21" t="str">
        <f>IF(AND('Atividades Micro'!$A147=P$2,'Atividades Micro'!$L147&lt;&gt;""),'Atividades Micro'!$L147,"")</f>
        <v/>
      </c>
      <c r="Q139" s="21" t="str">
        <f>IF(AND('Atividades Micro'!$B147=Q$2,'Atividades Micro'!$K147&lt;&gt;""),'Atividades Micro'!$K147,"")</f>
        <v/>
      </c>
      <c r="R139" s="21" t="str">
        <f>IF(AND('Atividades Micro'!$B147=R$2,'Atividades Micro'!$L147&lt;&gt;""),'Atividades Micro'!$L147,"")</f>
        <v/>
      </c>
      <c r="S139" s="21">
        <f>IF(AND('Atividades Micro'!$A147=S$2,'Atividades Micro'!$K147&lt;&gt;""),'Atividades Micro'!$K147,"")</f>
        <v>46293</v>
      </c>
      <c r="T139" s="21" t="str">
        <f>IF(AND('Atividades Micro'!$A147=T$2,'Atividades Micro'!$L147&lt;&gt;""),'Atividades Micro'!$L147,"")</f>
        <v/>
      </c>
      <c r="U139" s="21">
        <f>IF(AND('Atividades Micro'!$B147=U$2,'Atividades Micro'!$K147&lt;&gt;""),'Atividades Micro'!$K147,"")</f>
        <v>46293</v>
      </c>
      <c r="V139" s="21" t="str">
        <f>IF(AND('Atividades Micro'!$B147=V$2,'Atividades Micro'!$L147&lt;&gt;""),'Atividades Micro'!$L147,"")</f>
        <v/>
      </c>
      <c r="W139" s="21" t="str">
        <f>IF(AND('Atividades Micro'!$B147=W$2,'Atividades Micro'!$K147&lt;&gt;""),'Atividades Micro'!$K147,"")</f>
        <v/>
      </c>
      <c r="X139" s="21" t="str">
        <f>IF(AND('Atividades Micro'!$B147=X$2,'Atividades Micro'!$L147&lt;&gt;""),'Atividades Micro'!$L147,"")</f>
        <v/>
      </c>
      <c r="Y139" s="21" t="str">
        <f>IF(AND('Atividades Micro'!$A147=Y$2,'Atividades Micro'!$K147&lt;&gt;""),'Atividades Micro'!$K147,"")</f>
        <v/>
      </c>
      <c r="Z139" s="21" t="str">
        <f>IF(AND('Atividades Micro'!$A147=Z$2,'Atividades Micro'!$L147&lt;&gt;""),'Atividades Micro'!$L147,"")</f>
        <v/>
      </c>
      <c r="AA139" s="21" t="str">
        <f>IF(AND('Atividades Micro'!$B147=AA$2,'Atividades Micro'!$K147&lt;&gt;""),'Atividades Micro'!$K147,"")</f>
        <v/>
      </c>
      <c r="AB139" s="21" t="str">
        <f>IF(AND('Atividades Micro'!$B147=AB$2,'Atividades Micro'!$L147&lt;&gt;""),'Atividades Micro'!$L147,"")</f>
        <v/>
      </c>
      <c r="AC139" s="21" t="str">
        <f>IF(AND('Atividades Micro'!$B147=AC$2,'Atividades Micro'!$K147&lt;&gt;""),'Atividades Micro'!$K147,"")</f>
        <v/>
      </c>
      <c r="AD139" s="21" t="str">
        <f>IF(AND('Atividades Micro'!$B147=AD$2,'Atividades Micro'!$L147&lt;&gt;""),'Atividades Micro'!$L147,"")</f>
        <v/>
      </c>
      <c r="AE139" s="21" t="str">
        <f>IF(AND('Atividades Micro'!$A147=AE$2,'Atividades Micro'!$K147&lt;&gt;""),'Atividades Micro'!$K147,"")</f>
        <v/>
      </c>
      <c r="AF139" s="21" t="str">
        <f>IF(AND('Atividades Micro'!$A147=AF$2,'Atividades Micro'!$L147&lt;&gt;""),'Atividades Micro'!$L147,"")</f>
        <v/>
      </c>
      <c r="AG139" s="21" t="str">
        <f>IF(AND('Atividades Micro'!$B147=AG$2,'Atividades Micro'!$K147&lt;&gt;""),'Atividades Micro'!$K147,"")</f>
        <v/>
      </c>
      <c r="AH139" s="21" t="str">
        <f>IF(AND('Atividades Micro'!$B147=AH$2,'Atividades Micro'!$L147&lt;&gt;""),'Atividades Micro'!$L147,"")</f>
        <v/>
      </c>
      <c r="AI139" s="21" t="str">
        <f>IF(AND('Atividades Micro'!$B147=AI$2,'Atividades Micro'!$K147&lt;&gt;""),'Atividades Micro'!$K147,"")</f>
        <v/>
      </c>
      <c r="AJ139" s="21" t="str">
        <f>IF(AND('Atividades Micro'!$B147=AJ$2,'Atividades Micro'!$L147&lt;&gt;""),'Atividades Micro'!$L147,"")</f>
        <v/>
      </c>
      <c r="AK139" s="21" t="str">
        <f>IF(AND('Atividades Micro'!$A147=AK$2,'Atividades Micro'!$K147&lt;&gt;""),'Atividades Micro'!$K147,"")</f>
        <v/>
      </c>
      <c r="AL139" s="21" t="str">
        <f>IF(AND('Atividades Micro'!$A147=AL$2,'Atividades Micro'!$L147&lt;&gt;""),'Atividades Micro'!$L147,"")</f>
        <v/>
      </c>
      <c r="AM139" s="21" t="str">
        <f>IF(AND('Atividades Micro'!$B147=AM$2,'Atividades Micro'!$K147&lt;&gt;""),'Atividades Micro'!$K147,"")</f>
        <v/>
      </c>
      <c r="AN139" s="21" t="str">
        <f>IF(AND('Atividades Micro'!$B147=AN$2,'Atividades Micro'!$L147&lt;&gt;""),'Atividades Micro'!$L147,"")</f>
        <v/>
      </c>
      <c r="AO139" s="21" t="str">
        <f>IF(AND('Atividades Micro'!$B147=AO$2,'Atividades Micro'!$K147&lt;&gt;""),'Atividades Micro'!$K147,"")</f>
        <v/>
      </c>
      <c r="AP139" s="21" t="str">
        <f>IF(AND('Atividades Micro'!$B147=AP$2,'Atividades Micro'!$L147&lt;&gt;""),'Atividades Micro'!$L147,"")</f>
        <v/>
      </c>
      <c r="AQ139" s="21" t="str">
        <f>IF(AND('Atividades Micro'!$A147=AQ$2,'Atividades Micro'!$K147&lt;&gt;""),'Atividades Micro'!$K147,"")</f>
        <v/>
      </c>
      <c r="AR139" s="21" t="str">
        <f>IF(AND('Atividades Micro'!$A147=AR$2,'Atividades Micro'!$L147&lt;&gt;""),'Atividades Micro'!$L147,"")</f>
        <v/>
      </c>
      <c r="AS139" s="21" t="str">
        <f>IF(AND('Atividades Micro'!$B147=AS$2,'Atividades Micro'!$K147&lt;&gt;""),'Atividades Micro'!$K147,"")</f>
        <v/>
      </c>
      <c r="AT139" s="21" t="str">
        <f>IF(AND('Atividades Micro'!$B147=AT$2,'Atividades Micro'!$L147&lt;&gt;""),'Atividades Micro'!$L147,"")</f>
        <v/>
      </c>
      <c r="AU139" s="21" t="str">
        <f>IF(AND('Atividades Micro'!$A147=AU$2,'Atividades Micro'!$K147&lt;&gt;""),'Atividades Micro'!$K147,"")</f>
        <v/>
      </c>
      <c r="AV139" s="21" t="str">
        <f>IF(AND('Atividades Micro'!$A147=AV$2,'Atividades Micro'!$L147&lt;&gt;""),'Atividades Micro'!$L147,"")</f>
        <v/>
      </c>
      <c r="AW139" s="21" t="str">
        <f>IF(AND('Atividades Micro'!$B147=AW$2,'Atividades Micro'!$K147&lt;&gt;""),'Atividades Micro'!$K147,"")</f>
        <v/>
      </c>
      <c r="AX139" s="21" t="str">
        <f>IF(AND('Atividades Micro'!$B147=AX$2,'Atividades Micro'!$L147&lt;&gt;""),'Atividades Micro'!$L147,"")</f>
        <v/>
      </c>
      <c r="AY139" s="21" t="str">
        <f>IF(AND('Atividades Micro'!$A147=AY$2,'Atividades Micro'!$K147&lt;&gt;""),'Atividades Micro'!$K147,"")</f>
        <v/>
      </c>
      <c r="AZ139" s="21" t="str">
        <f>IF(AND('Atividades Micro'!$A147=AZ$2,'Atividades Micro'!$L147&lt;&gt;""),'Atividades Micro'!$L147,"")</f>
        <v/>
      </c>
      <c r="BA139" s="21" t="str">
        <f>IF(AND('Atividades Micro'!$B147=BA$2,'Atividades Micro'!$K147&lt;&gt;""),'Atividades Micro'!$K147,"")</f>
        <v/>
      </c>
      <c r="BB139" s="21" t="str">
        <f>IF(AND('Atividades Micro'!$B147=BB$2,'Atividades Micro'!$L147&lt;&gt;""),'Atividades Micro'!$L147,"")</f>
        <v/>
      </c>
      <c r="BC139" s="21" t="str">
        <f>IF(AND('Atividades Micro'!$B147=BC$2,'Atividades Micro'!$G147="Macro",'Atividades Micro'!$K147&lt;&gt;""),'Atividades Micro'!$K147,"")</f>
        <v/>
      </c>
      <c r="BD139" s="21" t="str">
        <f>IF(AND('Atividades Micro'!$B147=BD$2,'Atividades Micro'!$G147="Macro",'Atividades Micro'!$K147&lt;&gt;""),'Atividades Micro'!$K147,"")</f>
        <v/>
      </c>
      <c r="BE139" s="21" t="str">
        <f>IF(AND('Atividades Micro'!$B147=BE$2,'Atividades Micro'!$G147="Macro",'Atividades Micro'!$K147&lt;&gt;""),'Atividades Micro'!$K147,"")</f>
        <v/>
      </c>
      <c r="BF139" s="21" t="str">
        <f>IF(AND('Atividades Micro'!$B147=BF$2,'Atividades Micro'!$G147="Macro",'Atividades Micro'!$K147&lt;&gt;""),'Atividades Micro'!$K147,"")</f>
        <v/>
      </c>
      <c r="BG139" s="21" t="str">
        <f>IF(AND('Atividades Micro'!$B147=BG$2,'Atividades Micro'!$G147="Macro",'Atividades Micro'!$K147&lt;&gt;""),'Atividades Micro'!$K147,"")</f>
        <v/>
      </c>
      <c r="BH139" s="21" t="str">
        <f>IF(AND('Atividades Micro'!$B147=BH$2,'Atividades Micro'!$G147="Macro",'Atividades Micro'!$K147&lt;&gt;""),'Atividades Micro'!$K147,"")</f>
        <v/>
      </c>
      <c r="BI139" s="21" t="str">
        <f>IF(AND('Atividades Micro'!$B147=BI$2,'Atividades Micro'!$G147="Macro",'Atividades Micro'!$K147&lt;&gt;""),'Atividades Micro'!$K147,"")</f>
        <v/>
      </c>
      <c r="BJ139" s="21" t="str">
        <f>IF(AND('Atividades Micro'!$B147=BJ$2,'Atividades Micro'!$G147="Macro",'Atividades Micro'!$K147&lt;&gt;""),'Atividades Micro'!$K147,"")</f>
        <v/>
      </c>
      <c r="BK139" s="21" t="str">
        <f>IF(AND('Atividades Micro'!$B147=BK$2,'Atividades Micro'!$G147="Macro",'Atividades Micro'!$K147&lt;&gt;""),'Atividades Micro'!$K147,"")</f>
        <v/>
      </c>
      <c r="BL139" s="21" t="str">
        <f>IF(AND('Atividades Micro'!$B147=BL$2,'Atividades Micro'!$G147="Macro",'Atividades Micro'!$K147&lt;&gt;""),'Atividades Micro'!$K147,"")</f>
        <v/>
      </c>
      <c r="BM139" s="21" t="str">
        <f>IF(AND('Atividades Micro'!$B147=BM$2,'Atividades Micro'!$G147="Macro",'Atividades Micro'!$K147&lt;&gt;""),'Atividades Micro'!$K147,"")</f>
        <v/>
      </c>
      <c r="BN139" s="21" t="str">
        <f>IF(AND('Atividades Micro'!$B147=BN$2,'Atividades Micro'!$G147="Macro",'Atividades Micro'!$K147&lt;&gt;""),'Atividades Micro'!$K147,"")</f>
        <v/>
      </c>
      <c r="BO139" s="21" t="str">
        <f>IF(AND('Atividades Micro'!$B147=BO$2,'Atividades Micro'!$G147="Macro",'Atividades Micro'!$K147&lt;&gt;""),'Atividades Micro'!$K147,"")</f>
        <v/>
      </c>
      <c r="BP139" s="21" t="str">
        <f>IF(AND('Atividades Micro'!$B147=BP$2,'Atividades Micro'!$G147="Macro",'Atividades Micro'!$K147&lt;&gt;""),'Atividades Micro'!$K147,"")</f>
        <v/>
      </c>
      <c r="BQ139" s="21" t="str">
        <f>IF(AND('Atividades Micro'!$B147=BQ$2,'Atividades Micro'!$G147="Macro",'Atividades Micro'!$K147&lt;&gt;""),'Atividades Micro'!$K147,"")</f>
        <v/>
      </c>
      <c r="BR139" s="21" t="str">
        <f>IF(AND('Atividades Micro'!$B147=BR$2,'Atividades Micro'!$G147="Macro",'Atividades Micro'!$K147&lt;&gt;""),'Atividades Micro'!$K147,"")</f>
        <v/>
      </c>
      <c r="BS139" s="21" t="str">
        <f>IF(AND('Atividades Micro'!$B147=BS$2,'Atividades Micro'!$G147="Macro",'Atividades Micro'!$K147&lt;&gt;""),'Atividades Micro'!$K147,"")</f>
        <v/>
      </c>
      <c r="BT139" s="21" t="str">
        <f>IF(AND('Atividades Micro'!$B147=BT$2,'Atividades Micro'!$G147="Macro",'Atividades Micro'!$K147&lt;&gt;""),'Atividades Micro'!$K147,"")</f>
        <v/>
      </c>
      <c r="BU139" s="21" t="str">
        <f>IF(AND('Atividades Micro'!$B147=BU$2,'Atividades Micro'!$G147="Macro",'Atividades Micro'!$K147&lt;&gt;""),'Atividades Micro'!$K147,"")</f>
        <v/>
      </c>
      <c r="BV139" s="21" t="str">
        <f>IF(AND('Atividades Micro'!$B147=BV$2,'Atividades Micro'!$G147="Macro",'Atividades Micro'!$K147&lt;&gt;""),'Atividades Micro'!$K147,"")</f>
        <v/>
      </c>
      <c r="BW139" s="21" t="str">
        <f>IF(AND('Atividades Micro'!$B147=BW$2,'Atividades Micro'!$G147="Macro",'Atividades Micro'!$K147&lt;&gt;""),'Atividades Micro'!$K147,"")</f>
        <v/>
      </c>
      <c r="BX139" s="21" t="str">
        <f>IF(AND('Atividades Micro'!$B147=BX$2,'Atividades Micro'!$G147="Macro",'Atividades Micro'!$K147&lt;&gt;""),'Atividades Micro'!$K147,"")</f>
        <v/>
      </c>
      <c r="BY139" s="21" t="str">
        <f>IF(AND('Atividades Micro'!$B147=BY$2,'Atividades Micro'!$G147="Macro",'Atividades Micro'!$K147&lt;&gt;""),'Atividades Micro'!$K147,"")</f>
        <v/>
      </c>
      <c r="BZ139" s="21" t="str">
        <f>IF(AND('Atividades Micro'!$B147=BZ$2,'Atividades Micro'!$G147="Macro",'Atividades Micro'!$K147&lt;&gt;""),'Atividades Micro'!$K147,"")</f>
        <v/>
      </c>
      <c r="CA139" s="21" t="str">
        <f>IF(AND('Atividades Micro'!$B147=CA$2,'Atividades Micro'!$G147="Macro",'Atividades Micro'!$K147&lt;&gt;""),'Atividades Micro'!$K147,"")</f>
        <v/>
      </c>
      <c r="CB139" s="21" t="str">
        <f>IF(AND('Atividades Micro'!$B147=CB$2,'Atividades Micro'!$G147="Macro",'Atividades Micro'!$K147&lt;&gt;""),'Atividades Micro'!$K147,"")</f>
        <v/>
      </c>
      <c r="CC139" s="21" t="str">
        <f>IF(AND('Atividades Micro'!$B147=CC$2,'Atividades Micro'!$G147="Macro",'Atividades Micro'!$K147&lt;&gt;""),'Atividades Micro'!$K147,"")</f>
        <v/>
      </c>
      <c r="CD139" s="21" t="str">
        <f>IF(AND('Atividades Micro'!$B147=CD$2,'Atividades Micro'!$G147="Micro",'Atividades Micro'!$K147&lt;&gt;""),'Atividades Micro'!$K147,"")</f>
        <v/>
      </c>
      <c r="CE139" s="21" t="str">
        <f>IF(AND('Atividades Micro'!$B147=CE$2,'Atividades Micro'!$G147="Micro",'Atividades Micro'!$K147&lt;&gt;""),'Atividades Micro'!$K147,"")</f>
        <v/>
      </c>
      <c r="CF139" s="21" t="str">
        <f>IF(AND('Atividades Micro'!$B147=CF$2,'Atividades Micro'!$G147="Micro",'Atividades Micro'!$K147&lt;&gt;""),'Atividades Micro'!$K147,"")</f>
        <v/>
      </c>
      <c r="CG139" s="21">
        <f>IF(AND('Atividades Micro'!$B147=CG$2,'Atividades Micro'!$G147="Micro",'Atividades Micro'!$K147&lt;&gt;""),'Atividades Micro'!$K147,"")</f>
        <v>46293</v>
      </c>
      <c r="CH139" s="21" t="str">
        <f>IF(AND('Atividades Micro'!$B147=CH$2,'Atividades Micro'!$G147="Micro",'Atividades Micro'!$K147&lt;&gt;""),'Atividades Micro'!$K147,"")</f>
        <v/>
      </c>
      <c r="CI139" s="21" t="str">
        <f>IF(AND('Atividades Micro'!$B147=CI$2,'Atividades Micro'!$G147="Micro",'Atividades Micro'!$K147&lt;&gt;""),'Atividades Micro'!$K147,"")</f>
        <v/>
      </c>
      <c r="CJ139" s="21" t="str">
        <f>IF(AND('Atividades Micro'!$B147=CJ$2,'Atividades Micro'!$G147="Micro",'Atividades Micro'!$K147&lt;&gt;""),'Atividades Micro'!$K147,"")</f>
        <v/>
      </c>
      <c r="CK139" s="21" t="str">
        <f>IF(AND('Atividades Micro'!$B147=CK$2,'Atividades Micro'!$G147="Micro",'Atividades Micro'!$K147&lt;&gt;""),'Atividades Micro'!$K147,"")</f>
        <v/>
      </c>
      <c r="CL139" s="21" t="str">
        <f>IF(AND('Atividades Micro'!$B147=CL$2,'Atividades Micro'!$G147="Micro",'Atividades Micro'!$K147&lt;&gt;""),'Atividades Micro'!$K147,"")</f>
        <v/>
      </c>
      <c r="CM139" s="21" t="str">
        <f>IF(AND('Atividades Micro'!$B147=CM$2,'Atividades Micro'!$G147="Micro",'Atividades Micro'!$K147&lt;&gt;""),'Atividades Micro'!$K147,"")</f>
        <v/>
      </c>
      <c r="CN139" s="21" t="str">
        <f>IF(AND('Atividades Micro'!$B147=CN$2,'Atividades Micro'!$G147="Micro",'Atividades Micro'!$K147&lt;&gt;""),'Atividades Micro'!$K147,"")</f>
        <v/>
      </c>
      <c r="CO139" s="21" t="str">
        <f>IF(AND('Atividades Micro'!$B147=CO$2,'Atividades Micro'!$G147="Micro",'Atividades Micro'!$K147&lt;&gt;""),'Atividades Micro'!$K147,"")</f>
        <v/>
      </c>
    </row>
    <row r="140" spans="1:93">
      <c r="A140" s="21" t="str">
        <f>IF(AND('Atividades Micro'!$A148=A$2,'Atividades Micro'!$K148&lt;&gt;""),'Atividades Micro'!$K148,"")</f>
        <v/>
      </c>
      <c r="B140" s="21" t="str">
        <f>IF(AND('Atividades Micro'!$A148=B$2,'Atividades Micro'!$L148&lt;&gt;""),'Atividades Micro'!$L148,"")</f>
        <v/>
      </c>
      <c r="C140" s="21" t="str">
        <f>IF(AND('Atividades Micro'!$A148=C$2,'Atividades Micro'!$K148&lt;&gt;""),'Atividades Micro'!$K148,"")</f>
        <v/>
      </c>
      <c r="D140" s="21" t="str">
        <f>IF(AND('Atividades Micro'!$A148=D$2,'Atividades Micro'!$L148&lt;&gt;""),'Atividades Micro'!$L148,"")</f>
        <v/>
      </c>
      <c r="E140" s="21" t="str">
        <f>IF(AND('Atividades Micro'!$A148=E$2,'Atividades Micro'!$K148&lt;&gt;""),'Atividades Micro'!$K148,"")</f>
        <v/>
      </c>
      <c r="F140" s="21" t="str">
        <f>IF(AND('Atividades Micro'!$A148=F$2,'Atividades Micro'!$L148&lt;&gt;""),'Atividades Micro'!$L148,"")</f>
        <v/>
      </c>
      <c r="G140" s="21" t="str">
        <f>IF(AND('Atividades Micro'!$A148=G$2,'Atividades Micro'!$K148&lt;&gt;""),'Atividades Micro'!$K148,"")</f>
        <v/>
      </c>
      <c r="H140" s="21" t="str">
        <f>IF(AND('Atividades Micro'!$A148=H$2,'Atividades Micro'!$L148&lt;&gt;""),'Atividades Micro'!$L148,"")</f>
        <v/>
      </c>
      <c r="I140" s="21" t="str">
        <f>IF(AND('Atividades Micro'!$A148=I$2,'Atividades Micro'!$K148&lt;&gt;""),'Atividades Micro'!$K148,"")</f>
        <v/>
      </c>
      <c r="J140" s="21" t="str">
        <f>IF(AND('Atividades Micro'!$A148=J$2,'Atividades Micro'!$L148&lt;&gt;""),'Atividades Micro'!$L148,"")</f>
        <v/>
      </c>
      <c r="K140" s="21" t="str">
        <f>IF(AND('Atividades Micro'!$B148=K$2,'Atividades Micro'!$K148&lt;&gt;""),'Atividades Micro'!$K148,"")</f>
        <v/>
      </c>
      <c r="L140" s="21" t="str">
        <f>IF(AND('Atividades Micro'!$B148=L$2,'Atividades Micro'!$L148&lt;&gt;""),'Atividades Micro'!$L148,"")</f>
        <v/>
      </c>
      <c r="M140" s="21" t="str">
        <f>IF(AND('Atividades Micro'!$B148=M$2,'Atividades Micro'!$K148&lt;&gt;""),'Atividades Micro'!$K148,"")</f>
        <v/>
      </c>
      <c r="N140" s="21" t="str">
        <f>IF(AND('Atividades Micro'!$B148=N$2,'Atividades Micro'!$L148&lt;&gt;""),'Atividades Micro'!$L148,"")</f>
        <v/>
      </c>
      <c r="O140" s="21" t="str">
        <f>IF(AND('Atividades Micro'!$A148=O$2,'Atividades Micro'!$K148&lt;&gt;""),'Atividades Micro'!$K148,"")</f>
        <v/>
      </c>
      <c r="P140" s="21" t="str">
        <f>IF(AND('Atividades Micro'!$A148=P$2,'Atividades Micro'!$L148&lt;&gt;""),'Atividades Micro'!$L148,"")</f>
        <v/>
      </c>
      <c r="Q140" s="21" t="str">
        <f>IF(AND('Atividades Micro'!$B148=Q$2,'Atividades Micro'!$K148&lt;&gt;""),'Atividades Micro'!$K148,"")</f>
        <v/>
      </c>
      <c r="R140" s="21" t="str">
        <f>IF(AND('Atividades Micro'!$B148=R$2,'Atividades Micro'!$L148&lt;&gt;""),'Atividades Micro'!$L148,"")</f>
        <v/>
      </c>
      <c r="S140" s="21">
        <f>IF(AND('Atividades Micro'!$A148=S$2,'Atividades Micro'!$K148&lt;&gt;""),'Atividades Micro'!$K148,"")</f>
        <v>46295</v>
      </c>
      <c r="T140" s="21" t="str">
        <f>IF(AND('Atividades Micro'!$A148=T$2,'Atividades Micro'!$L148&lt;&gt;""),'Atividades Micro'!$L148,"")</f>
        <v/>
      </c>
      <c r="U140" s="21">
        <f>IF(AND('Atividades Micro'!$B148=U$2,'Atividades Micro'!$K148&lt;&gt;""),'Atividades Micro'!$K148,"")</f>
        <v>46295</v>
      </c>
      <c r="V140" s="21" t="str">
        <f>IF(AND('Atividades Micro'!$B148=V$2,'Atividades Micro'!$L148&lt;&gt;""),'Atividades Micro'!$L148,"")</f>
        <v/>
      </c>
      <c r="W140" s="21" t="str">
        <f>IF(AND('Atividades Micro'!$B148=W$2,'Atividades Micro'!$K148&lt;&gt;""),'Atividades Micro'!$K148,"")</f>
        <v/>
      </c>
      <c r="X140" s="21" t="str">
        <f>IF(AND('Atividades Micro'!$B148=X$2,'Atividades Micro'!$L148&lt;&gt;""),'Atividades Micro'!$L148,"")</f>
        <v/>
      </c>
      <c r="Y140" s="21" t="str">
        <f>IF(AND('Atividades Micro'!$A148=Y$2,'Atividades Micro'!$K148&lt;&gt;""),'Atividades Micro'!$K148,"")</f>
        <v/>
      </c>
      <c r="Z140" s="21" t="str">
        <f>IF(AND('Atividades Micro'!$A148=Z$2,'Atividades Micro'!$L148&lt;&gt;""),'Atividades Micro'!$L148,"")</f>
        <v/>
      </c>
      <c r="AA140" s="21" t="str">
        <f>IF(AND('Atividades Micro'!$B148=AA$2,'Atividades Micro'!$K148&lt;&gt;""),'Atividades Micro'!$K148,"")</f>
        <v/>
      </c>
      <c r="AB140" s="21" t="str">
        <f>IF(AND('Atividades Micro'!$B148=AB$2,'Atividades Micro'!$L148&lt;&gt;""),'Atividades Micro'!$L148,"")</f>
        <v/>
      </c>
      <c r="AC140" s="21" t="str">
        <f>IF(AND('Atividades Micro'!$B148=AC$2,'Atividades Micro'!$K148&lt;&gt;""),'Atividades Micro'!$K148,"")</f>
        <v/>
      </c>
      <c r="AD140" s="21" t="str">
        <f>IF(AND('Atividades Micro'!$B148=AD$2,'Atividades Micro'!$L148&lt;&gt;""),'Atividades Micro'!$L148,"")</f>
        <v/>
      </c>
      <c r="AE140" s="21" t="str">
        <f>IF(AND('Atividades Micro'!$A148=AE$2,'Atividades Micro'!$K148&lt;&gt;""),'Atividades Micro'!$K148,"")</f>
        <v/>
      </c>
      <c r="AF140" s="21" t="str">
        <f>IF(AND('Atividades Micro'!$A148=AF$2,'Atividades Micro'!$L148&lt;&gt;""),'Atividades Micro'!$L148,"")</f>
        <v/>
      </c>
      <c r="AG140" s="21" t="str">
        <f>IF(AND('Atividades Micro'!$B148=AG$2,'Atividades Micro'!$K148&lt;&gt;""),'Atividades Micro'!$K148,"")</f>
        <v/>
      </c>
      <c r="AH140" s="21" t="str">
        <f>IF(AND('Atividades Micro'!$B148=AH$2,'Atividades Micro'!$L148&lt;&gt;""),'Atividades Micro'!$L148,"")</f>
        <v/>
      </c>
      <c r="AI140" s="21" t="str">
        <f>IF(AND('Atividades Micro'!$B148=AI$2,'Atividades Micro'!$K148&lt;&gt;""),'Atividades Micro'!$K148,"")</f>
        <v/>
      </c>
      <c r="AJ140" s="21" t="str">
        <f>IF(AND('Atividades Micro'!$B148=AJ$2,'Atividades Micro'!$L148&lt;&gt;""),'Atividades Micro'!$L148,"")</f>
        <v/>
      </c>
      <c r="AK140" s="21" t="str">
        <f>IF(AND('Atividades Micro'!$A148=AK$2,'Atividades Micro'!$K148&lt;&gt;""),'Atividades Micro'!$K148,"")</f>
        <v/>
      </c>
      <c r="AL140" s="21" t="str">
        <f>IF(AND('Atividades Micro'!$A148=AL$2,'Atividades Micro'!$L148&lt;&gt;""),'Atividades Micro'!$L148,"")</f>
        <v/>
      </c>
      <c r="AM140" s="21" t="str">
        <f>IF(AND('Atividades Micro'!$B148=AM$2,'Atividades Micro'!$K148&lt;&gt;""),'Atividades Micro'!$K148,"")</f>
        <v/>
      </c>
      <c r="AN140" s="21" t="str">
        <f>IF(AND('Atividades Micro'!$B148=AN$2,'Atividades Micro'!$L148&lt;&gt;""),'Atividades Micro'!$L148,"")</f>
        <v/>
      </c>
      <c r="AO140" s="21" t="str">
        <f>IF(AND('Atividades Micro'!$B148=AO$2,'Atividades Micro'!$K148&lt;&gt;""),'Atividades Micro'!$K148,"")</f>
        <v/>
      </c>
      <c r="AP140" s="21" t="str">
        <f>IF(AND('Atividades Micro'!$B148=AP$2,'Atividades Micro'!$L148&lt;&gt;""),'Atividades Micro'!$L148,"")</f>
        <v/>
      </c>
      <c r="AQ140" s="21" t="str">
        <f>IF(AND('Atividades Micro'!$A148=AQ$2,'Atividades Micro'!$K148&lt;&gt;""),'Atividades Micro'!$K148,"")</f>
        <v/>
      </c>
      <c r="AR140" s="21" t="str">
        <f>IF(AND('Atividades Micro'!$A148=AR$2,'Atividades Micro'!$L148&lt;&gt;""),'Atividades Micro'!$L148,"")</f>
        <v/>
      </c>
      <c r="AS140" s="21" t="str">
        <f>IF(AND('Atividades Micro'!$B148=AS$2,'Atividades Micro'!$K148&lt;&gt;""),'Atividades Micro'!$K148,"")</f>
        <v/>
      </c>
      <c r="AT140" s="21" t="str">
        <f>IF(AND('Atividades Micro'!$B148=AT$2,'Atividades Micro'!$L148&lt;&gt;""),'Atividades Micro'!$L148,"")</f>
        <v/>
      </c>
      <c r="AU140" s="21" t="str">
        <f>IF(AND('Atividades Micro'!$A148=AU$2,'Atividades Micro'!$K148&lt;&gt;""),'Atividades Micro'!$K148,"")</f>
        <v/>
      </c>
      <c r="AV140" s="21" t="str">
        <f>IF(AND('Atividades Micro'!$A148=AV$2,'Atividades Micro'!$L148&lt;&gt;""),'Atividades Micro'!$L148,"")</f>
        <v/>
      </c>
      <c r="AW140" s="21" t="str">
        <f>IF(AND('Atividades Micro'!$B148=AW$2,'Atividades Micro'!$K148&lt;&gt;""),'Atividades Micro'!$K148,"")</f>
        <v/>
      </c>
      <c r="AX140" s="21" t="str">
        <f>IF(AND('Atividades Micro'!$B148=AX$2,'Atividades Micro'!$L148&lt;&gt;""),'Atividades Micro'!$L148,"")</f>
        <v/>
      </c>
      <c r="AY140" s="21" t="str">
        <f>IF(AND('Atividades Micro'!$A148=AY$2,'Atividades Micro'!$K148&lt;&gt;""),'Atividades Micro'!$K148,"")</f>
        <v/>
      </c>
      <c r="AZ140" s="21" t="str">
        <f>IF(AND('Atividades Micro'!$A148=AZ$2,'Atividades Micro'!$L148&lt;&gt;""),'Atividades Micro'!$L148,"")</f>
        <v/>
      </c>
      <c r="BA140" s="21" t="str">
        <f>IF(AND('Atividades Micro'!$B148=BA$2,'Atividades Micro'!$K148&lt;&gt;""),'Atividades Micro'!$K148,"")</f>
        <v/>
      </c>
      <c r="BB140" s="21" t="str">
        <f>IF(AND('Atividades Micro'!$B148=BB$2,'Atividades Micro'!$L148&lt;&gt;""),'Atividades Micro'!$L148,"")</f>
        <v/>
      </c>
      <c r="BC140" s="21" t="str">
        <f>IF(AND('Atividades Micro'!$B148=BC$2,'Atividades Micro'!$G148="Macro",'Atividades Micro'!$K148&lt;&gt;""),'Atividades Micro'!$K148,"")</f>
        <v/>
      </c>
      <c r="BD140" s="21" t="str">
        <f>IF(AND('Atividades Micro'!$B148=BD$2,'Atividades Micro'!$G148="Macro",'Atividades Micro'!$K148&lt;&gt;""),'Atividades Micro'!$K148,"")</f>
        <v/>
      </c>
      <c r="BE140" s="21" t="str">
        <f>IF(AND('Atividades Micro'!$B148=BE$2,'Atividades Micro'!$G148="Macro",'Atividades Micro'!$K148&lt;&gt;""),'Atividades Micro'!$K148,"")</f>
        <v/>
      </c>
      <c r="BF140" s="21" t="str">
        <f>IF(AND('Atividades Micro'!$B148=BF$2,'Atividades Micro'!$G148="Macro",'Atividades Micro'!$K148&lt;&gt;""),'Atividades Micro'!$K148,"")</f>
        <v/>
      </c>
      <c r="BG140" s="21" t="str">
        <f>IF(AND('Atividades Micro'!$B148=BG$2,'Atividades Micro'!$G148="Macro",'Atividades Micro'!$K148&lt;&gt;""),'Atividades Micro'!$K148,"")</f>
        <v/>
      </c>
      <c r="BH140" s="21" t="str">
        <f>IF(AND('Atividades Micro'!$B148=BH$2,'Atividades Micro'!$G148="Macro",'Atividades Micro'!$K148&lt;&gt;""),'Atividades Micro'!$K148,"")</f>
        <v/>
      </c>
      <c r="BI140" s="21" t="str">
        <f>IF(AND('Atividades Micro'!$B148=BI$2,'Atividades Micro'!$G148="Macro",'Atividades Micro'!$K148&lt;&gt;""),'Atividades Micro'!$K148,"")</f>
        <v/>
      </c>
      <c r="BJ140" s="21" t="str">
        <f>IF(AND('Atividades Micro'!$B148=BJ$2,'Atividades Micro'!$G148="Macro",'Atividades Micro'!$K148&lt;&gt;""),'Atividades Micro'!$K148,"")</f>
        <v/>
      </c>
      <c r="BK140" s="21" t="str">
        <f>IF(AND('Atividades Micro'!$B148=BK$2,'Atividades Micro'!$G148="Macro",'Atividades Micro'!$K148&lt;&gt;""),'Atividades Micro'!$K148,"")</f>
        <v/>
      </c>
      <c r="BL140" s="21" t="str">
        <f>IF(AND('Atividades Micro'!$B148=BL$2,'Atividades Micro'!$G148="Macro",'Atividades Micro'!$K148&lt;&gt;""),'Atividades Micro'!$K148,"")</f>
        <v/>
      </c>
      <c r="BM140" s="21" t="str">
        <f>IF(AND('Atividades Micro'!$B148=BM$2,'Atividades Micro'!$G148="Macro",'Atividades Micro'!$K148&lt;&gt;""),'Atividades Micro'!$K148,"")</f>
        <v/>
      </c>
      <c r="BN140" s="21" t="str">
        <f>IF(AND('Atividades Micro'!$B148=BN$2,'Atividades Micro'!$G148="Macro",'Atividades Micro'!$K148&lt;&gt;""),'Atividades Micro'!$K148,"")</f>
        <v/>
      </c>
      <c r="BO140" s="21" t="str">
        <f>IF(AND('Atividades Micro'!$B148=BO$2,'Atividades Micro'!$G148="Macro",'Atividades Micro'!$K148&lt;&gt;""),'Atividades Micro'!$K148,"")</f>
        <v/>
      </c>
      <c r="BP140" s="21" t="str">
        <f>IF(AND('Atividades Micro'!$B148=BP$2,'Atividades Micro'!$G148="Macro",'Atividades Micro'!$K148&lt;&gt;""),'Atividades Micro'!$K148,"")</f>
        <v/>
      </c>
      <c r="BQ140" s="21" t="str">
        <f>IF(AND('Atividades Micro'!$B148=BQ$2,'Atividades Micro'!$G148="Macro",'Atividades Micro'!$K148&lt;&gt;""),'Atividades Micro'!$K148,"")</f>
        <v/>
      </c>
      <c r="BR140" s="21" t="str">
        <f>IF(AND('Atividades Micro'!$B148=BR$2,'Atividades Micro'!$G148="Macro",'Atividades Micro'!$K148&lt;&gt;""),'Atividades Micro'!$K148,"")</f>
        <v/>
      </c>
      <c r="BS140" s="21" t="str">
        <f>IF(AND('Atividades Micro'!$B148=BS$2,'Atividades Micro'!$G148="Macro",'Atividades Micro'!$K148&lt;&gt;""),'Atividades Micro'!$K148,"")</f>
        <v/>
      </c>
      <c r="BT140" s="21" t="str">
        <f>IF(AND('Atividades Micro'!$B148=BT$2,'Atividades Micro'!$G148="Macro",'Atividades Micro'!$K148&lt;&gt;""),'Atividades Micro'!$K148,"")</f>
        <v/>
      </c>
      <c r="BU140" s="21" t="str">
        <f>IF(AND('Atividades Micro'!$B148=BU$2,'Atividades Micro'!$G148="Macro",'Atividades Micro'!$K148&lt;&gt;""),'Atividades Micro'!$K148,"")</f>
        <v/>
      </c>
      <c r="BV140" s="21" t="str">
        <f>IF(AND('Atividades Micro'!$B148=BV$2,'Atividades Micro'!$G148="Macro",'Atividades Micro'!$K148&lt;&gt;""),'Atividades Micro'!$K148,"")</f>
        <v/>
      </c>
      <c r="BW140" s="21" t="str">
        <f>IF(AND('Atividades Micro'!$B148=BW$2,'Atividades Micro'!$G148="Macro",'Atividades Micro'!$K148&lt;&gt;""),'Atividades Micro'!$K148,"")</f>
        <v/>
      </c>
      <c r="BX140" s="21" t="str">
        <f>IF(AND('Atividades Micro'!$B148=BX$2,'Atividades Micro'!$G148="Macro",'Atividades Micro'!$K148&lt;&gt;""),'Atividades Micro'!$K148,"")</f>
        <v/>
      </c>
      <c r="BY140" s="21" t="str">
        <f>IF(AND('Atividades Micro'!$B148=BY$2,'Atividades Micro'!$G148="Macro",'Atividades Micro'!$K148&lt;&gt;""),'Atividades Micro'!$K148,"")</f>
        <v/>
      </c>
      <c r="BZ140" s="21" t="str">
        <f>IF(AND('Atividades Micro'!$B148=BZ$2,'Atividades Micro'!$G148="Macro",'Atividades Micro'!$K148&lt;&gt;""),'Atividades Micro'!$K148,"")</f>
        <v/>
      </c>
      <c r="CA140" s="21" t="str">
        <f>IF(AND('Atividades Micro'!$B148=CA$2,'Atividades Micro'!$G148="Macro",'Atividades Micro'!$K148&lt;&gt;""),'Atividades Micro'!$K148,"")</f>
        <v/>
      </c>
      <c r="CB140" s="21" t="str">
        <f>IF(AND('Atividades Micro'!$B148=CB$2,'Atividades Micro'!$G148="Macro",'Atividades Micro'!$K148&lt;&gt;""),'Atividades Micro'!$K148,"")</f>
        <v/>
      </c>
      <c r="CC140" s="21" t="str">
        <f>IF(AND('Atividades Micro'!$B148=CC$2,'Atividades Micro'!$G148="Macro",'Atividades Micro'!$K148&lt;&gt;""),'Atividades Micro'!$K148,"")</f>
        <v/>
      </c>
      <c r="CD140" s="21" t="str">
        <f>IF(AND('Atividades Micro'!$B148=CD$2,'Atividades Micro'!$G148="Micro",'Atividades Micro'!$K148&lt;&gt;""),'Atividades Micro'!$K148,"")</f>
        <v/>
      </c>
      <c r="CE140" s="21" t="str">
        <f>IF(AND('Atividades Micro'!$B148=CE$2,'Atividades Micro'!$G148="Micro",'Atividades Micro'!$K148&lt;&gt;""),'Atividades Micro'!$K148,"")</f>
        <v/>
      </c>
      <c r="CF140" s="21" t="str">
        <f>IF(AND('Atividades Micro'!$B148=CF$2,'Atividades Micro'!$G148="Micro",'Atividades Micro'!$K148&lt;&gt;""),'Atividades Micro'!$K148,"")</f>
        <v/>
      </c>
      <c r="CG140" s="21">
        <f>IF(AND('Atividades Micro'!$B148=CG$2,'Atividades Micro'!$G148="Micro",'Atividades Micro'!$K148&lt;&gt;""),'Atividades Micro'!$K148,"")</f>
        <v>46295</v>
      </c>
      <c r="CH140" s="21" t="str">
        <f>IF(AND('Atividades Micro'!$B148=CH$2,'Atividades Micro'!$G148="Micro",'Atividades Micro'!$K148&lt;&gt;""),'Atividades Micro'!$K148,"")</f>
        <v/>
      </c>
      <c r="CI140" s="21" t="str">
        <f>IF(AND('Atividades Micro'!$B148=CI$2,'Atividades Micro'!$G148="Micro",'Atividades Micro'!$K148&lt;&gt;""),'Atividades Micro'!$K148,"")</f>
        <v/>
      </c>
      <c r="CJ140" s="21" t="str">
        <f>IF(AND('Atividades Micro'!$B148=CJ$2,'Atividades Micro'!$G148="Micro",'Atividades Micro'!$K148&lt;&gt;""),'Atividades Micro'!$K148,"")</f>
        <v/>
      </c>
      <c r="CK140" s="21" t="str">
        <f>IF(AND('Atividades Micro'!$B148=CK$2,'Atividades Micro'!$G148="Micro",'Atividades Micro'!$K148&lt;&gt;""),'Atividades Micro'!$K148,"")</f>
        <v/>
      </c>
      <c r="CL140" s="21" t="str">
        <f>IF(AND('Atividades Micro'!$B148=CL$2,'Atividades Micro'!$G148="Micro",'Atividades Micro'!$K148&lt;&gt;""),'Atividades Micro'!$K148,"")</f>
        <v/>
      </c>
      <c r="CM140" s="21" t="str">
        <f>IF(AND('Atividades Micro'!$B148=CM$2,'Atividades Micro'!$G148="Micro",'Atividades Micro'!$K148&lt;&gt;""),'Atividades Micro'!$K148,"")</f>
        <v/>
      </c>
      <c r="CN140" s="21" t="str">
        <f>IF(AND('Atividades Micro'!$B148=CN$2,'Atividades Micro'!$G148="Micro",'Atividades Micro'!$K148&lt;&gt;""),'Atividades Micro'!$K148,"")</f>
        <v/>
      </c>
      <c r="CO140" s="21" t="str">
        <f>IF(AND('Atividades Micro'!$B148=CO$2,'Atividades Micro'!$G148="Micro",'Atividades Micro'!$K148&lt;&gt;""),'Atividades Micro'!$K148,"")</f>
        <v/>
      </c>
    </row>
    <row r="141" spans="1:93">
      <c r="A141" s="21" t="str">
        <f>IF(AND('Atividades Micro'!$A149=A$2,'Atividades Micro'!$K149&lt;&gt;""),'Atividades Micro'!$K149,"")</f>
        <v/>
      </c>
      <c r="B141" s="21" t="str">
        <f>IF(AND('Atividades Micro'!$A149=B$2,'Atividades Micro'!$L149&lt;&gt;""),'Atividades Micro'!$L149,"")</f>
        <v/>
      </c>
      <c r="C141" s="21" t="str">
        <f>IF(AND('Atividades Micro'!$A149=C$2,'Atividades Micro'!$K149&lt;&gt;""),'Atividades Micro'!$K149,"")</f>
        <v/>
      </c>
      <c r="D141" s="21" t="str">
        <f>IF(AND('Atividades Micro'!$A149=D$2,'Atividades Micro'!$L149&lt;&gt;""),'Atividades Micro'!$L149,"")</f>
        <v/>
      </c>
      <c r="E141" s="21" t="str">
        <f>IF(AND('Atividades Micro'!$A149=E$2,'Atividades Micro'!$K149&lt;&gt;""),'Atividades Micro'!$K149,"")</f>
        <v/>
      </c>
      <c r="F141" s="21" t="str">
        <f>IF(AND('Atividades Micro'!$A149=F$2,'Atividades Micro'!$L149&lt;&gt;""),'Atividades Micro'!$L149,"")</f>
        <v/>
      </c>
      <c r="G141" s="21" t="str">
        <f>IF(AND('Atividades Micro'!$A149=G$2,'Atividades Micro'!$K149&lt;&gt;""),'Atividades Micro'!$K149,"")</f>
        <v/>
      </c>
      <c r="H141" s="21" t="str">
        <f>IF(AND('Atividades Micro'!$A149=H$2,'Atividades Micro'!$L149&lt;&gt;""),'Atividades Micro'!$L149,"")</f>
        <v/>
      </c>
      <c r="I141" s="21" t="str">
        <f>IF(AND('Atividades Micro'!$A149=I$2,'Atividades Micro'!$K149&lt;&gt;""),'Atividades Micro'!$K149,"")</f>
        <v/>
      </c>
      <c r="J141" s="21" t="str">
        <f>IF(AND('Atividades Micro'!$A149=J$2,'Atividades Micro'!$L149&lt;&gt;""),'Atividades Micro'!$L149,"")</f>
        <v/>
      </c>
      <c r="K141" s="21" t="str">
        <f>IF(AND('Atividades Micro'!$B149=K$2,'Atividades Micro'!$K149&lt;&gt;""),'Atividades Micro'!$K149,"")</f>
        <v/>
      </c>
      <c r="L141" s="21" t="str">
        <f>IF(AND('Atividades Micro'!$B149=L$2,'Atividades Micro'!$L149&lt;&gt;""),'Atividades Micro'!$L149,"")</f>
        <v/>
      </c>
      <c r="M141" s="21" t="str">
        <f>IF(AND('Atividades Micro'!$B149=M$2,'Atividades Micro'!$K149&lt;&gt;""),'Atividades Micro'!$K149,"")</f>
        <v/>
      </c>
      <c r="N141" s="21" t="str">
        <f>IF(AND('Atividades Micro'!$B149=N$2,'Atividades Micro'!$L149&lt;&gt;""),'Atividades Micro'!$L149,"")</f>
        <v/>
      </c>
      <c r="O141" s="21" t="str">
        <f>IF(AND('Atividades Micro'!$A149=O$2,'Atividades Micro'!$K149&lt;&gt;""),'Atividades Micro'!$K149,"")</f>
        <v/>
      </c>
      <c r="P141" s="21" t="str">
        <f>IF(AND('Atividades Micro'!$A149=P$2,'Atividades Micro'!$L149&lt;&gt;""),'Atividades Micro'!$L149,"")</f>
        <v/>
      </c>
      <c r="Q141" s="21" t="str">
        <f>IF(AND('Atividades Micro'!$B149=Q$2,'Atividades Micro'!$K149&lt;&gt;""),'Atividades Micro'!$K149,"")</f>
        <v/>
      </c>
      <c r="R141" s="21" t="str">
        <f>IF(AND('Atividades Micro'!$B149=R$2,'Atividades Micro'!$L149&lt;&gt;""),'Atividades Micro'!$L149,"")</f>
        <v/>
      </c>
      <c r="S141" s="21" t="str">
        <f>IF(AND('Atividades Micro'!$A149=S$2,'Atividades Micro'!$K149&lt;&gt;""),'Atividades Micro'!$K149,"")</f>
        <v/>
      </c>
      <c r="T141" s="21" t="str">
        <f>IF(AND('Atividades Micro'!$A149=T$2,'Atividades Micro'!$L149&lt;&gt;""),'Atividades Micro'!$L149,"")</f>
        <v/>
      </c>
      <c r="U141" s="21" t="str">
        <f>IF(AND('Atividades Micro'!$B149=U$2,'Atividades Micro'!$K149&lt;&gt;""),'Atividades Micro'!$K149,"")</f>
        <v/>
      </c>
      <c r="V141" s="21" t="str">
        <f>IF(AND('Atividades Micro'!$B149=V$2,'Atividades Micro'!$L149&lt;&gt;""),'Atividades Micro'!$L149,"")</f>
        <v/>
      </c>
      <c r="W141" s="21" t="str">
        <f>IF(AND('Atividades Micro'!$B149=W$2,'Atividades Micro'!$K149&lt;&gt;""),'Atividades Micro'!$K149,"")</f>
        <v/>
      </c>
      <c r="X141" s="21" t="str">
        <f>IF(AND('Atividades Micro'!$B149=X$2,'Atividades Micro'!$L149&lt;&gt;""),'Atividades Micro'!$L149,"")</f>
        <v/>
      </c>
      <c r="Y141" s="21" t="str">
        <f>IF(AND('Atividades Micro'!$A149=Y$2,'Atividades Micro'!$K149&lt;&gt;""),'Atividades Micro'!$K149,"")</f>
        <v/>
      </c>
      <c r="Z141" s="21" t="str">
        <f>IF(AND('Atividades Micro'!$A149=Z$2,'Atividades Micro'!$L149&lt;&gt;""),'Atividades Micro'!$L149,"")</f>
        <v/>
      </c>
      <c r="AA141" s="21" t="str">
        <f>IF(AND('Atividades Micro'!$B149=AA$2,'Atividades Micro'!$K149&lt;&gt;""),'Atividades Micro'!$K149,"")</f>
        <v/>
      </c>
      <c r="AB141" s="21" t="str">
        <f>IF(AND('Atividades Micro'!$B149=AB$2,'Atividades Micro'!$L149&lt;&gt;""),'Atividades Micro'!$L149,"")</f>
        <v/>
      </c>
      <c r="AC141" s="21" t="str">
        <f>IF(AND('Atividades Micro'!$B149=AC$2,'Atividades Micro'!$K149&lt;&gt;""),'Atividades Micro'!$K149,"")</f>
        <v/>
      </c>
      <c r="AD141" s="21" t="str">
        <f>IF(AND('Atividades Micro'!$B149=AD$2,'Atividades Micro'!$L149&lt;&gt;""),'Atividades Micro'!$L149,"")</f>
        <v/>
      </c>
      <c r="AE141" s="21" t="str">
        <f>IF(AND('Atividades Micro'!$A149=AE$2,'Atividades Micro'!$K149&lt;&gt;""),'Atividades Micro'!$K149,"")</f>
        <v/>
      </c>
      <c r="AF141" s="21" t="str">
        <f>IF(AND('Atividades Micro'!$A149=AF$2,'Atividades Micro'!$L149&lt;&gt;""),'Atividades Micro'!$L149,"")</f>
        <v/>
      </c>
      <c r="AG141" s="21" t="str">
        <f>IF(AND('Atividades Micro'!$B149=AG$2,'Atividades Micro'!$K149&lt;&gt;""),'Atividades Micro'!$K149,"")</f>
        <v/>
      </c>
      <c r="AH141" s="21" t="str">
        <f>IF(AND('Atividades Micro'!$B149=AH$2,'Atividades Micro'!$L149&lt;&gt;""),'Atividades Micro'!$L149,"")</f>
        <v/>
      </c>
      <c r="AI141" s="21" t="str">
        <f>IF(AND('Atividades Micro'!$B149=AI$2,'Atividades Micro'!$K149&lt;&gt;""),'Atividades Micro'!$K149,"")</f>
        <v/>
      </c>
      <c r="AJ141" s="21" t="str">
        <f>IF(AND('Atividades Micro'!$B149=AJ$2,'Atividades Micro'!$L149&lt;&gt;""),'Atividades Micro'!$L149,"")</f>
        <v/>
      </c>
      <c r="AK141" s="21" t="str">
        <f>IF(AND('Atividades Micro'!$A149=AK$2,'Atividades Micro'!$K149&lt;&gt;""),'Atividades Micro'!$K149,"")</f>
        <v/>
      </c>
      <c r="AL141" s="21" t="str">
        <f>IF(AND('Atividades Micro'!$A149=AL$2,'Atividades Micro'!$L149&lt;&gt;""),'Atividades Micro'!$L149,"")</f>
        <v/>
      </c>
      <c r="AM141" s="21" t="str">
        <f>IF(AND('Atividades Micro'!$B149=AM$2,'Atividades Micro'!$K149&lt;&gt;""),'Atividades Micro'!$K149,"")</f>
        <v/>
      </c>
      <c r="AN141" s="21" t="str">
        <f>IF(AND('Atividades Micro'!$B149=AN$2,'Atividades Micro'!$L149&lt;&gt;""),'Atividades Micro'!$L149,"")</f>
        <v/>
      </c>
      <c r="AO141" s="21" t="str">
        <f>IF(AND('Atividades Micro'!$B149=AO$2,'Atividades Micro'!$K149&lt;&gt;""),'Atividades Micro'!$K149,"")</f>
        <v/>
      </c>
      <c r="AP141" s="21" t="str">
        <f>IF(AND('Atividades Micro'!$B149=AP$2,'Atividades Micro'!$L149&lt;&gt;""),'Atividades Micro'!$L149,"")</f>
        <v/>
      </c>
      <c r="AQ141" s="21" t="str">
        <f>IF(AND('Atividades Micro'!$A149=AQ$2,'Atividades Micro'!$K149&lt;&gt;""),'Atividades Micro'!$K149,"")</f>
        <v/>
      </c>
      <c r="AR141" s="21" t="str">
        <f>IF(AND('Atividades Micro'!$A149=AR$2,'Atividades Micro'!$L149&lt;&gt;""),'Atividades Micro'!$L149,"")</f>
        <v/>
      </c>
      <c r="AS141" s="21" t="str">
        <f>IF(AND('Atividades Micro'!$B149=AS$2,'Atividades Micro'!$K149&lt;&gt;""),'Atividades Micro'!$K149,"")</f>
        <v/>
      </c>
      <c r="AT141" s="21" t="str">
        <f>IF(AND('Atividades Micro'!$B149=AT$2,'Atividades Micro'!$L149&lt;&gt;""),'Atividades Micro'!$L149,"")</f>
        <v/>
      </c>
      <c r="AU141" s="21" t="str">
        <f>IF(AND('Atividades Micro'!$A149=AU$2,'Atividades Micro'!$K149&lt;&gt;""),'Atividades Micro'!$K149,"")</f>
        <v/>
      </c>
      <c r="AV141" s="21" t="str">
        <f>IF(AND('Atividades Micro'!$A149=AV$2,'Atividades Micro'!$L149&lt;&gt;""),'Atividades Micro'!$L149,"")</f>
        <v/>
      </c>
      <c r="AW141" s="21" t="str">
        <f>IF(AND('Atividades Micro'!$B149=AW$2,'Atividades Micro'!$K149&lt;&gt;""),'Atividades Micro'!$K149,"")</f>
        <v/>
      </c>
      <c r="AX141" s="21" t="str">
        <f>IF(AND('Atividades Micro'!$B149=AX$2,'Atividades Micro'!$L149&lt;&gt;""),'Atividades Micro'!$L149,"")</f>
        <v/>
      </c>
      <c r="AY141" s="21" t="str">
        <f>IF(AND('Atividades Micro'!$A149=AY$2,'Atividades Micro'!$K149&lt;&gt;""),'Atividades Micro'!$K149,"")</f>
        <v/>
      </c>
      <c r="AZ141" s="21" t="str">
        <f>IF(AND('Atividades Micro'!$A149=AZ$2,'Atividades Micro'!$L149&lt;&gt;""),'Atividades Micro'!$L149,"")</f>
        <v/>
      </c>
      <c r="BA141" s="21" t="str">
        <f>IF(AND('Atividades Micro'!$B149=BA$2,'Atividades Micro'!$K149&lt;&gt;""),'Atividades Micro'!$K149,"")</f>
        <v/>
      </c>
      <c r="BB141" s="21" t="str">
        <f>IF(AND('Atividades Micro'!$B149=BB$2,'Atividades Micro'!$L149&lt;&gt;""),'Atividades Micro'!$L149,"")</f>
        <v/>
      </c>
      <c r="BC141" s="21" t="str">
        <f>IF(AND('Atividades Micro'!$B149=BC$2,'Atividades Micro'!$G149="Macro",'Atividades Micro'!$K149&lt;&gt;""),'Atividades Micro'!$K149,"")</f>
        <v/>
      </c>
      <c r="BD141" s="21" t="str">
        <f>IF(AND('Atividades Micro'!$B149=BD$2,'Atividades Micro'!$G149="Macro",'Atividades Micro'!$K149&lt;&gt;""),'Atividades Micro'!$K149,"")</f>
        <v/>
      </c>
      <c r="BE141" s="21" t="str">
        <f>IF(AND('Atividades Micro'!$B149=BE$2,'Atividades Micro'!$G149="Macro",'Atividades Micro'!$K149&lt;&gt;""),'Atividades Micro'!$K149,"")</f>
        <v/>
      </c>
      <c r="BF141" s="21" t="str">
        <f>IF(AND('Atividades Micro'!$B149=BF$2,'Atividades Micro'!$G149="Macro",'Atividades Micro'!$K149&lt;&gt;""),'Atividades Micro'!$K149,"")</f>
        <v/>
      </c>
      <c r="BG141" s="21" t="str">
        <f>IF(AND('Atividades Micro'!$B149=BG$2,'Atividades Micro'!$G149="Macro",'Atividades Micro'!$K149&lt;&gt;""),'Atividades Micro'!$K149,"")</f>
        <v/>
      </c>
      <c r="BH141" s="21" t="str">
        <f>IF(AND('Atividades Micro'!$B149=BH$2,'Atividades Micro'!$G149="Macro",'Atividades Micro'!$K149&lt;&gt;""),'Atividades Micro'!$K149,"")</f>
        <v/>
      </c>
      <c r="BI141" s="21" t="str">
        <f>IF(AND('Atividades Micro'!$B149=BI$2,'Atividades Micro'!$G149="Macro",'Atividades Micro'!$K149&lt;&gt;""),'Atividades Micro'!$K149,"")</f>
        <v/>
      </c>
      <c r="BJ141" s="21" t="str">
        <f>IF(AND('Atividades Micro'!$B149=BJ$2,'Atividades Micro'!$G149="Macro",'Atividades Micro'!$K149&lt;&gt;""),'Atividades Micro'!$K149,"")</f>
        <v/>
      </c>
      <c r="BK141" s="21" t="str">
        <f>IF(AND('Atividades Micro'!$B149=BK$2,'Atividades Micro'!$G149="Macro",'Atividades Micro'!$K149&lt;&gt;""),'Atividades Micro'!$K149,"")</f>
        <v/>
      </c>
      <c r="BL141" s="21" t="str">
        <f>IF(AND('Atividades Micro'!$B149=BL$2,'Atividades Micro'!$G149="Macro",'Atividades Micro'!$K149&lt;&gt;""),'Atividades Micro'!$K149,"")</f>
        <v/>
      </c>
      <c r="BM141" s="21" t="str">
        <f>IF(AND('Atividades Micro'!$B149=BM$2,'Atividades Micro'!$G149="Macro",'Atividades Micro'!$K149&lt;&gt;""),'Atividades Micro'!$K149,"")</f>
        <v/>
      </c>
      <c r="BN141" s="21" t="str">
        <f>IF(AND('Atividades Micro'!$B149=BN$2,'Atividades Micro'!$G149="Macro",'Atividades Micro'!$K149&lt;&gt;""),'Atividades Micro'!$K149,"")</f>
        <v/>
      </c>
      <c r="BO141" s="21" t="str">
        <f>IF(AND('Atividades Micro'!$B149=BO$2,'Atividades Micro'!$G149="Macro",'Atividades Micro'!$K149&lt;&gt;""),'Atividades Micro'!$K149,"")</f>
        <v/>
      </c>
      <c r="BP141" s="21" t="str">
        <f>IF(AND('Atividades Micro'!$B149=BP$2,'Atividades Micro'!$G149="Macro",'Atividades Micro'!$K149&lt;&gt;""),'Atividades Micro'!$K149,"")</f>
        <v/>
      </c>
      <c r="BQ141" s="21" t="str">
        <f>IF(AND('Atividades Micro'!$B149=BQ$2,'Atividades Micro'!$G149="Macro",'Atividades Micro'!$K149&lt;&gt;""),'Atividades Micro'!$K149,"")</f>
        <v/>
      </c>
      <c r="BR141" s="21" t="str">
        <f>IF(AND('Atividades Micro'!$B149=BR$2,'Atividades Micro'!$G149="Macro",'Atividades Micro'!$K149&lt;&gt;""),'Atividades Micro'!$K149,"")</f>
        <v/>
      </c>
      <c r="BS141" s="21" t="str">
        <f>IF(AND('Atividades Micro'!$B149=BS$2,'Atividades Micro'!$G149="Macro",'Atividades Micro'!$K149&lt;&gt;""),'Atividades Micro'!$K149,"")</f>
        <v/>
      </c>
      <c r="BT141" s="21" t="str">
        <f>IF(AND('Atividades Micro'!$B149=BT$2,'Atividades Micro'!$G149="Macro",'Atividades Micro'!$K149&lt;&gt;""),'Atividades Micro'!$K149,"")</f>
        <v/>
      </c>
      <c r="BU141" s="21" t="str">
        <f>IF(AND('Atividades Micro'!$B149=BU$2,'Atividades Micro'!$G149="Macro",'Atividades Micro'!$K149&lt;&gt;""),'Atividades Micro'!$K149,"")</f>
        <v/>
      </c>
      <c r="BV141" s="21" t="str">
        <f>IF(AND('Atividades Micro'!$B149=BV$2,'Atividades Micro'!$G149="Macro",'Atividades Micro'!$K149&lt;&gt;""),'Atividades Micro'!$K149,"")</f>
        <v/>
      </c>
      <c r="BW141" s="21" t="str">
        <f>IF(AND('Atividades Micro'!$B149=BW$2,'Atividades Micro'!$G149="Macro",'Atividades Micro'!$K149&lt;&gt;""),'Atividades Micro'!$K149,"")</f>
        <v/>
      </c>
      <c r="BX141" s="21" t="str">
        <f>IF(AND('Atividades Micro'!$B149=BX$2,'Atividades Micro'!$G149="Macro",'Atividades Micro'!$K149&lt;&gt;""),'Atividades Micro'!$K149,"")</f>
        <v/>
      </c>
      <c r="BY141" s="21" t="str">
        <f>IF(AND('Atividades Micro'!$B149=BY$2,'Atividades Micro'!$G149="Macro",'Atividades Micro'!$K149&lt;&gt;""),'Atividades Micro'!$K149,"")</f>
        <v/>
      </c>
      <c r="BZ141" s="21" t="str">
        <f>IF(AND('Atividades Micro'!$B149=BZ$2,'Atividades Micro'!$G149="Macro",'Atividades Micro'!$K149&lt;&gt;""),'Atividades Micro'!$K149,"")</f>
        <v/>
      </c>
      <c r="CA141" s="21" t="str">
        <f>IF(AND('Atividades Micro'!$B149=CA$2,'Atividades Micro'!$G149="Macro",'Atividades Micro'!$K149&lt;&gt;""),'Atividades Micro'!$K149,"")</f>
        <v/>
      </c>
      <c r="CB141" s="21" t="str">
        <f>IF(AND('Atividades Micro'!$B149=CB$2,'Atividades Micro'!$G149="Macro",'Atividades Micro'!$K149&lt;&gt;""),'Atividades Micro'!$K149,"")</f>
        <v/>
      </c>
      <c r="CC141" s="21" t="str">
        <f>IF(AND('Atividades Micro'!$B149=CC$2,'Atividades Micro'!$G149="Macro",'Atividades Micro'!$K149&lt;&gt;""),'Atividades Micro'!$K149,"")</f>
        <v/>
      </c>
      <c r="CD141" s="21" t="str">
        <f>IF(AND('Atividades Micro'!$B149=CD$2,'Atividades Micro'!$G149="Micro",'Atividades Micro'!$K149&lt;&gt;""),'Atividades Micro'!$K149,"")</f>
        <v/>
      </c>
      <c r="CE141" s="21" t="str">
        <f>IF(AND('Atividades Micro'!$B149=CE$2,'Atividades Micro'!$G149="Micro",'Atividades Micro'!$K149&lt;&gt;""),'Atividades Micro'!$K149,"")</f>
        <v/>
      </c>
      <c r="CF141" s="21" t="str">
        <f>IF(AND('Atividades Micro'!$B149=CF$2,'Atividades Micro'!$G149="Micro",'Atividades Micro'!$K149&lt;&gt;""),'Atividades Micro'!$K149,"")</f>
        <v/>
      </c>
      <c r="CG141" s="21" t="str">
        <f>IF(AND('Atividades Micro'!$B149=CG$2,'Atividades Micro'!$G149="Micro",'Atividades Micro'!$K149&lt;&gt;""),'Atividades Micro'!$K149,"")</f>
        <v/>
      </c>
      <c r="CH141" s="21" t="str">
        <f>IF(AND('Atividades Micro'!$B149=CH$2,'Atividades Micro'!$G149="Micro",'Atividades Micro'!$K149&lt;&gt;""),'Atividades Micro'!$K149,"")</f>
        <v/>
      </c>
      <c r="CI141" s="21" t="str">
        <f>IF(AND('Atividades Micro'!$B149=CI$2,'Atividades Micro'!$G149="Micro",'Atividades Micro'!$K149&lt;&gt;""),'Atividades Micro'!$K149,"")</f>
        <v/>
      </c>
      <c r="CJ141" s="21" t="str">
        <f>IF(AND('Atividades Micro'!$B149=CJ$2,'Atividades Micro'!$G149="Micro",'Atividades Micro'!$K149&lt;&gt;""),'Atividades Micro'!$K149,"")</f>
        <v/>
      </c>
      <c r="CK141" s="21" t="str">
        <f>IF(AND('Atividades Micro'!$B149=CK$2,'Atividades Micro'!$G149="Micro",'Atividades Micro'!$K149&lt;&gt;""),'Atividades Micro'!$K149,"")</f>
        <v/>
      </c>
      <c r="CL141" s="21" t="str">
        <f>IF(AND('Atividades Micro'!$B149=CL$2,'Atividades Micro'!$G149="Micro",'Atividades Micro'!$K149&lt;&gt;""),'Atividades Micro'!$K149,"")</f>
        <v/>
      </c>
      <c r="CM141" s="21" t="str">
        <f>IF(AND('Atividades Micro'!$B149=CM$2,'Atividades Micro'!$G149="Micro",'Atividades Micro'!$K149&lt;&gt;""),'Atividades Micro'!$K149,"")</f>
        <v/>
      </c>
      <c r="CN141" s="21" t="str">
        <f>IF(AND('Atividades Micro'!$B149=CN$2,'Atividades Micro'!$G149="Micro",'Atividades Micro'!$K149&lt;&gt;""),'Atividades Micro'!$K149,"")</f>
        <v/>
      </c>
      <c r="CO141" s="21" t="str">
        <f>IF(AND('Atividades Micro'!$B149=CO$2,'Atividades Micro'!$G149="Micro",'Atividades Micro'!$K149&lt;&gt;""),'Atividades Micro'!$K149,"")</f>
        <v/>
      </c>
    </row>
    <row r="142" spans="1:93">
      <c r="A142" s="21" t="str">
        <f>IF(AND('Atividades Micro'!$A150=A$2,'Atividades Micro'!$K150&lt;&gt;""),'Atividades Micro'!$K150,"")</f>
        <v/>
      </c>
      <c r="B142" s="21" t="str">
        <f>IF(AND('Atividades Micro'!$A150=B$2,'Atividades Micro'!$L150&lt;&gt;""),'Atividades Micro'!$L150,"")</f>
        <v/>
      </c>
      <c r="C142" s="21" t="str">
        <f>IF(AND('Atividades Micro'!$A150=C$2,'Atividades Micro'!$K150&lt;&gt;""),'Atividades Micro'!$K150,"")</f>
        <v/>
      </c>
      <c r="D142" s="21" t="str">
        <f>IF(AND('Atividades Micro'!$A150=D$2,'Atividades Micro'!$L150&lt;&gt;""),'Atividades Micro'!$L150,"")</f>
        <v/>
      </c>
      <c r="E142" s="21" t="str">
        <f>IF(AND('Atividades Micro'!$A150=E$2,'Atividades Micro'!$K150&lt;&gt;""),'Atividades Micro'!$K150,"")</f>
        <v/>
      </c>
      <c r="F142" s="21" t="str">
        <f>IF(AND('Atividades Micro'!$A150=F$2,'Atividades Micro'!$L150&lt;&gt;""),'Atividades Micro'!$L150,"")</f>
        <v/>
      </c>
      <c r="G142" s="21" t="str">
        <f>IF(AND('Atividades Micro'!$A150=G$2,'Atividades Micro'!$K150&lt;&gt;""),'Atividades Micro'!$K150,"")</f>
        <v/>
      </c>
      <c r="H142" s="21" t="str">
        <f>IF(AND('Atividades Micro'!$A150=H$2,'Atividades Micro'!$L150&lt;&gt;""),'Atividades Micro'!$L150,"")</f>
        <v/>
      </c>
      <c r="I142" s="21" t="str">
        <f>IF(AND('Atividades Micro'!$A150=I$2,'Atividades Micro'!$K150&lt;&gt;""),'Atividades Micro'!$K150,"")</f>
        <v/>
      </c>
      <c r="J142" s="21" t="str">
        <f>IF(AND('Atividades Micro'!$A150=J$2,'Atividades Micro'!$L150&lt;&gt;""),'Atividades Micro'!$L150,"")</f>
        <v/>
      </c>
      <c r="K142" s="21" t="str">
        <f>IF(AND('Atividades Micro'!$B150=K$2,'Atividades Micro'!$K150&lt;&gt;""),'Atividades Micro'!$K150,"")</f>
        <v/>
      </c>
      <c r="L142" s="21" t="str">
        <f>IF(AND('Atividades Micro'!$B150=L$2,'Atividades Micro'!$L150&lt;&gt;""),'Atividades Micro'!$L150,"")</f>
        <v/>
      </c>
      <c r="M142" s="21" t="str">
        <f>IF(AND('Atividades Micro'!$B150=M$2,'Atividades Micro'!$K150&lt;&gt;""),'Atividades Micro'!$K150,"")</f>
        <v/>
      </c>
      <c r="N142" s="21" t="str">
        <f>IF(AND('Atividades Micro'!$B150=N$2,'Atividades Micro'!$L150&lt;&gt;""),'Atividades Micro'!$L150,"")</f>
        <v/>
      </c>
      <c r="O142" s="21" t="str">
        <f>IF(AND('Atividades Micro'!$A150=O$2,'Atividades Micro'!$K150&lt;&gt;""),'Atividades Micro'!$K150,"")</f>
        <v/>
      </c>
      <c r="P142" s="21" t="str">
        <f>IF(AND('Atividades Micro'!$A150=P$2,'Atividades Micro'!$L150&lt;&gt;""),'Atividades Micro'!$L150,"")</f>
        <v/>
      </c>
      <c r="Q142" s="21" t="str">
        <f>IF(AND('Atividades Micro'!$B150=Q$2,'Atividades Micro'!$K150&lt;&gt;""),'Atividades Micro'!$K150,"")</f>
        <v/>
      </c>
      <c r="R142" s="21" t="str">
        <f>IF(AND('Atividades Micro'!$B150=R$2,'Atividades Micro'!$L150&lt;&gt;""),'Atividades Micro'!$L150,"")</f>
        <v/>
      </c>
      <c r="S142" s="21">
        <f>IF(AND('Atividades Micro'!$A150=S$2,'Atividades Micro'!$K150&lt;&gt;""),'Atividades Micro'!$K150,"")</f>
        <v>46301</v>
      </c>
      <c r="T142" s="21" t="str">
        <f>IF(AND('Atividades Micro'!$A150=T$2,'Atividades Micro'!$L150&lt;&gt;""),'Atividades Micro'!$L150,"")</f>
        <v/>
      </c>
      <c r="U142" s="21">
        <f>IF(AND('Atividades Micro'!$B150=U$2,'Atividades Micro'!$K150&lt;&gt;""),'Atividades Micro'!$K150,"")</f>
        <v>46301</v>
      </c>
      <c r="V142" s="21" t="str">
        <f>IF(AND('Atividades Micro'!$B150=V$2,'Atividades Micro'!$L150&lt;&gt;""),'Atividades Micro'!$L150,"")</f>
        <v/>
      </c>
      <c r="W142" s="21" t="str">
        <f>IF(AND('Atividades Micro'!$B150=W$2,'Atividades Micro'!$K150&lt;&gt;""),'Atividades Micro'!$K150,"")</f>
        <v/>
      </c>
      <c r="X142" s="21" t="str">
        <f>IF(AND('Atividades Micro'!$B150=X$2,'Atividades Micro'!$L150&lt;&gt;""),'Atividades Micro'!$L150,"")</f>
        <v/>
      </c>
      <c r="Y142" s="21" t="str">
        <f>IF(AND('Atividades Micro'!$A150=Y$2,'Atividades Micro'!$K150&lt;&gt;""),'Atividades Micro'!$K150,"")</f>
        <v/>
      </c>
      <c r="Z142" s="21" t="str">
        <f>IF(AND('Atividades Micro'!$A150=Z$2,'Atividades Micro'!$L150&lt;&gt;""),'Atividades Micro'!$L150,"")</f>
        <v/>
      </c>
      <c r="AA142" s="21" t="str">
        <f>IF(AND('Atividades Micro'!$B150=AA$2,'Atividades Micro'!$K150&lt;&gt;""),'Atividades Micro'!$K150,"")</f>
        <v/>
      </c>
      <c r="AB142" s="21" t="str">
        <f>IF(AND('Atividades Micro'!$B150=AB$2,'Atividades Micro'!$L150&lt;&gt;""),'Atividades Micro'!$L150,"")</f>
        <v/>
      </c>
      <c r="AC142" s="21" t="str">
        <f>IF(AND('Atividades Micro'!$B150=AC$2,'Atividades Micro'!$K150&lt;&gt;""),'Atividades Micro'!$K150,"")</f>
        <v/>
      </c>
      <c r="AD142" s="21" t="str">
        <f>IF(AND('Atividades Micro'!$B150=AD$2,'Atividades Micro'!$L150&lt;&gt;""),'Atividades Micro'!$L150,"")</f>
        <v/>
      </c>
      <c r="AE142" s="21" t="str">
        <f>IF(AND('Atividades Micro'!$A150=AE$2,'Atividades Micro'!$K150&lt;&gt;""),'Atividades Micro'!$K150,"")</f>
        <v/>
      </c>
      <c r="AF142" s="21" t="str">
        <f>IF(AND('Atividades Micro'!$A150=AF$2,'Atividades Micro'!$L150&lt;&gt;""),'Atividades Micro'!$L150,"")</f>
        <v/>
      </c>
      <c r="AG142" s="21" t="str">
        <f>IF(AND('Atividades Micro'!$B150=AG$2,'Atividades Micro'!$K150&lt;&gt;""),'Atividades Micro'!$K150,"")</f>
        <v/>
      </c>
      <c r="AH142" s="21" t="str">
        <f>IF(AND('Atividades Micro'!$B150=AH$2,'Atividades Micro'!$L150&lt;&gt;""),'Atividades Micro'!$L150,"")</f>
        <v/>
      </c>
      <c r="AI142" s="21" t="str">
        <f>IF(AND('Atividades Micro'!$B150=AI$2,'Atividades Micro'!$K150&lt;&gt;""),'Atividades Micro'!$K150,"")</f>
        <v/>
      </c>
      <c r="AJ142" s="21" t="str">
        <f>IF(AND('Atividades Micro'!$B150=AJ$2,'Atividades Micro'!$L150&lt;&gt;""),'Atividades Micro'!$L150,"")</f>
        <v/>
      </c>
      <c r="AK142" s="21" t="str">
        <f>IF(AND('Atividades Micro'!$A150=AK$2,'Atividades Micro'!$K150&lt;&gt;""),'Atividades Micro'!$K150,"")</f>
        <v/>
      </c>
      <c r="AL142" s="21" t="str">
        <f>IF(AND('Atividades Micro'!$A150=AL$2,'Atividades Micro'!$L150&lt;&gt;""),'Atividades Micro'!$L150,"")</f>
        <v/>
      </c>
      <c r="AM142" s="21" t="str">
        <f>IF(AND('Atividades Micro'!$B150=AM$2,'Atividades Micro'!$K150&lt;&gt;""),'Atividades Micro'!$K150,"")</f>
        <v/>
      </c>
      <c r="AN142" s="21" t="str">
        <f>IF(AND('Atividades Micro'!$B150=AN$2,'Atividades Micro'!$L150&lt;&gt;""),'Atividades Micro'!$L150,"")</f>
        <v/>
      </c>
      <c r="AO142" s="21" t="str">
        <f>IF(AND('Atividades Micro'!$B150=AO$2,'Atividades Micro'!$K150&lt;&gt;""),'Atividades Micro'!$K150,"")</f>
        <v/>
      </c>
      <c r="AP142" s="21" t="str">
        <f>IF(AND('Atividades Micro'!$B150=AP$2,'Atividades Micro'!$L150&lt;&gt;""),'Atividades Micro'!$L150,"")</f>
        <v/>
      </c>
      <c r="AQ142" s="21" t="str">
        <f>IF(AND('Atividades Micro'!$A150=AQ$2,'Atividades Micro'!$K150&lt;&gt;""),'Atividades Micro'!$K150,"")</f>
        <v/>
      </c>
      <c r="AR142" s="21" t="str">
        <f>IF(AND('Atividades Micro'!$A150=AR$2,'Atividades Micro'!$L150&lt;&gt;""),'Atividades Micro'!$L150,"")</f>
        <v/>
      </c>
      <c r="AS142" s="21" t="str">
        <f>IF(AND('Atividades Micro'!$B150=AS$2,'Atividades Micro'!$K150&lt;&gt;""),'Atividades Micro'!$K150,"")</f>
        <v/>
      </c>
      <c r="AT142" s="21" t="str">
        <f>IF(AND('Atividades Micro'!$B150=AT$2,'Atividades Micro'!$L150&lt;&gt;""),'Atividades Micro'!$L150,"")</f>
        <v/>
      </c>
      <c r="AU142" s="21" t="str">
        <f>IF(AND('Atividades Micro'!$A150=AU$2,'Atividades Micro'!$K150&lt;&gt;""),'Atividades Micro'!$K150,"")</f>
        <v/>
      </c>
      <c r="AV142" s="21" t="str">
        <f>IF(AND('Atividades Micro'!$A150=AV$2,'Atividades Micro'!$L150&lt;&gt;""),'Atividades Micro'!$L150,"")</f>
        <v/>
      </c>
      <c r="AW142" s="21" t="str">
        <f>IF(AND('Atividades Micro'!$B150=AW$2,'Atividades Micro'!$K150&lt;&gt;""),'Atividades Micro'!$K150,"")</f>
        <v/>
      </c>
      <c r="AX142" s="21" t="str">
        <f>IF(AND('Atividades Micro'!$B150=AX$2,'Atividades Micro'!$L150&lt;&gt;""),'Atividades Micro'!$L150,"")</f>
        <v/>
      </c>
      <c r="AY142" s="21" t="str">
        <f>IF(AND('Atividades Micro'!$A150=AY$2,'Atividades Micro'!$K150&lt;&gt;""),'Atividades Micro'!$K150,"")</f>
        <v/>
      </c>
      <c r="AZ142" s="21" t="str">
        <f>IF(AND('Atividades Micro'!$A150=AZ$2,'Atividades Micro'!$L150&lt;&gt;""),'Atividades Micro'!$L150,"")</f>
        <v/>
      </c>
      <c r="BA142" s="21" t="str">
        <f>IF(AND('Atividades Micro'!$B150=BA$2,'Atividades Micro'!$K150&lt;&gt;""),'Atividades Micro'!$K150,"")</f>
        <v/>
      </c>
      <c r="BB142" s="21" t="str">
        <f>IF(AND('Atividades Micro'!$B150=BB$2,'Atividades Micro'!$L150&lt;&gt;""),'Atividades Micro'!$L150,"")</f>
        <v/>
      </c>
      <c r="BC142" s="21" t="str">
        <f>IF(AND('Atividades Micro'!$B150=BC$2,'Atividades Micro'!$G150="Macro",'Atividades Micro'!$K150&lt;&gt;""),'Atividades Micro'!$K150,"")</f>
        <v/>
      </c>
      <c r="BD142" s="21" t="str">
        <f>IF(AND('Atividades Micro'!$B150=BD$2,'Atividades Micro'!$G150="Macro",'Atividades Micro'!$K150&lt;&gt;""),'Atividades Micro'!$K150,"")</f>
        <v/>
      </c>
      <c r="BE142" s="21" t="str">
        <f>IF(AND('Atividades Micro'!$B150=BE$2,'Atividades Micro'!$G150="Macro",'Atividades Micro'!$K150&lt;&gt;""),'Atividades Micro'!$K150,"")</f>
        <v/>
      </c>
      <c r="BF142" s="21" t="str">
        <f>IF(AND('Atividades Micro'!$B150=BF$2,'Atividades Micro'!$G150="Macro",'Atividades Micro'!$K150&lt;&gt;""),'Atividades Micro'!$K150,"")</f>
        <v/>
      </c>
      <c r="BG142" s="21" t="str">
        <f>IF(AND('Atividades Micro'!$B150=BG$2,'Atividades Micro'!$G150="Macro",'Atividades Micro'!$K150&lt;&gt;""),'Atividades Micro'!$K150,"")</f>
        <v/>
      </c>
      <c r="BH142" s="21" t="str">
        <f>IF(AND('Atividades Micro'!$B150=BH$2,'Atividades Micro'!$G150="Macro",'Atividades Micro'!$K150&lt;&gt;""),'Atividades Micro'!$K150,"")</f>
        <v/>
      </c>
      <c r="BI142" s="21" t="str">
        <f>IF(AND('Atividades Micro'!$B150=BI$2,'Atividades Micro'!$G150="Macro",'Atividades Micro'!$K150&lt;&gt;""),'Atividades Micro'!$K150,"")</f>
        <v/>
      </c>
      <c r="BJ142" s="21" t="str">
        <f>IF(AND('Atividades Micro'!$B150=BJ$2,'Atividades Micro'!$G150="Macro",'Atividades Micro'!$K150&lt;&gt;""),'Atividades Micro'!$K150,"")</f>
        <v/>
      </c>
      <c r="BK142" s="21" t="str">
        <f>IF(AND('Atividades Micro'!$B150=BK$2,'Atividades Micro'!$G150="Macro",'Atividades Micro'!$K150&lt;&gt;""),'Atividades Micro'!$K150,"")</f>
        <v/>
      </c>
      <c r="BL142" s="21" t="str">
        <f>IF(AND('Atividades Micro'!$B150=BL$2,'Atividades Micro'!$G150="Macro",'Atividades Micro'!$K150&lt;&gt;""),'Atividades Micro'!$K150,"")</f>
        <v/>
      </c>
      <c r="BM142" s="21" t="str">
        <f>IF(AND('Atividades Micro'!$B150=BM$2,'Atividades Micro'!$G150="Macro",'Atividades Micro'!$K150&lt;&gt;""),'Atividades Micro'!$K150,"")</f>
        <v/>
      </c>
      <c r="BN142" s="21" t="str">
        <f>IF(AND('Atividades Micro'!$B150=BN$2,'Atividades Micro'!$G150="Macro",'Atividades Micro'!$K150&lt;&gt;""),'Atividades Micro'!$K150,"")</f>
        <v/>
      </c>
      <c r="BO142" s="21" t="str">
        <f>IF(AND('Atividades Micro'!$B150=BO$2,'Atividades Micro'!$G150="Macro",'Atividades Micro'!$K150&lt;&gt;""),'Atividades Micro'!$K150,"")</f>
        <v/>
      </c>
      <c r="BP142" s="21" t="str">
        <f>IF(AND('Atividades Micro'!$B150=BP$2,'Atividades Micro'!$G150="Macro",'Atividades Micro'!$K150&lt;&gt;""),'Atividades Micro'!$K150,"")</f>
        <v/>
      </c>
      <c r="BQ142" s="21" t="str">
        <f>IF(AND('Atividades Micro'!$B150=BQ$2,'Atividades Micro'!$G150="Macro",'Atividades Micro'!$K150&lt;&gt;""),'Atividades Micro'!$K150,"")</f>
        <v/>
      </c>
      <c r="BR142" s="21" t="str">
        <f>IF(AND('Atividades Micro'!$B150=BR$2,'Atividades Micro'!$G150="Macro",'Atividades Micro'!$K150&lt;&gt;""),'Atividades Micro'!$K150,"")</f>
        <v/>
      </c>
      <c r="BS142" s="21" t="str">
        <f>IF(AND('Atividades Micro'!$B150=BS$2,'Atividades Micro'!$G150="Macro",'Atividades Micro'!$K150&lt;&gt;""),'Atividades Micro'!$K150,"")</f>
        <v/>
      </c>
      <c r="BT142" s="21" t="str">
        <f>IF(AND('Atividades Micro'!$B150=BT$2,'Atividades Micro'!$G150="Macro",'Atividades Micro'!$K150&lt;&gt;""),'Atividades Micro'!$K150,"")</f>
        <v/>
      </c>
      <c r="BU142" s="21" t="str">
        <f>IF(AND('Atividades Micro'!$B150=BU$2,'Atividades Micro'!$G150="Macro",'Atividades Micro'!$K150&lt;&gt;""),'Atividades Micro'!$K150,"")</f>
        <v/>
      </c>
      <c r="BV142" s="21" t="str">
        <f>IF(AND('Atividades Micro'!$B150=BV$2,'Atividades Micro'!$G150="Macro",'Atividades Micro'!$K150&lt;&gt;""),'Atividades Micro'!$K150,"")</f>
        <v/>
      </c>
      <c r="BW142" s="21" t="str">
        <f>IF(AND('Atividades Micro'!$B150=BW$2,'Atividades Micro'!$G150="Macro",'Atividades Micro'!$K150&lt;&gt;""),'Atividades Micro'!$K150,"")</f>
        <v/>
      </c>
      <c r="BX142" s="21" t="str">
        <f>IF(AND('Atividades Micro'!$B150=BX$2,'Atividades Micro'!$G150="Macro",'Atividades Micro'!$K150&lt;&gt;""),'Atividades Micro'!$K150,"")</f>
        <v/>
      </c>
      <c r="BY142" s="21" t="str">
        <f>IF(AND('Atividades Micro'!$B150=BY$2,'Atividades Micro'!$G150="Macro",'Atividades Micro'!$K150&lt;&gt;""),'Atividades Micro'!$K150,"")</f>
        <v/>
      </c>
      <c r="BZ142" s="21" t="str">
        <f>IF(AND('Atividades Micro'!$B150=BZ$2,'Atividades Micro'!$G150="Macro",'Atividades Micro'!$K150&lt;&gt;""),'Atividades Micro'!$K150,"")</f>
        <v/>
      </c>
      <c r="CA142" s="21" t="str">
        <f>IF(AND('Atividades Micro'!$B150=CA$2,'Atividades Micro'!$G150="Macro",'Atividades Micro'!$K150&lt;&gt;""),'Atividades Micro'!$K150,"")</f>
        <v/>
      </c>
      <c r="CB142" s="21" t="str">
        <f>IF(AND('Atividades Micro'!$B150=CB$2,'Atividades Micro'!$G150="Macro",'Atividades Micro'!$K150&lt;&gt;""),'Atividades Micro'!$K150,"")</f>
        <v/>
      </c>
      <c r="CC142" s="21" t="str">
        <f>IF(AND('Atividades Micro'!$B150=CC$2,'Atividades Micro'!$G150="Macro",'Atividades Micro'!$K150&lt;&gt;""),'Atividades Micro'!$K150,"")</f>
        <v/>
      </c>
      <c r="CD142" s="21" t="str">
        <f>IF(AND('Atividades Micro'!$B150=CD$2,'Atividades Micro'!$G150="Micro",'Atividades Micro'!$K150&lt;&gt;""),'Atividades Micro'!$K150,"")</f>
        <v/>
      </c>
      <c r="CE142" s="21" t="str">
        <f>IF(AND('Atividades Micro'!$B150=CE$2,'Atividades Micro'!$G150="Micro",'Atividades Micro'!$K150&lt;&gt;""),'Atividades Micro'!$K150,"")</f>
        <v/>
      </c>
      <c r="CF142" s="21" t="str">
        <f>IF(AND('Atividades Micro'!$B150=CF$2,'Atividades Micro'!$G150="Micro",'Atividades Micro'!$K150&lt;&gt;""),'Atividades Micro'!$K150,"")</f>
        <v/>
      </c>
      <c r="CG142" s="21">
        <f>IF(AND('Atividades Micro'!$B150=CG$2,'Atividades Micro'!$G150="Micro",'Atividades Micro'!$K150&lt;&gt;""),'Atividades Micro'!$K150,"")</f>
        <v>46301</v>
      </c>
      <c r="CH142" s="21" t="str">
        <f>IF(AND('Atividades Micro'!$B150=CH$2,'Atividades Micro'!$G150="Micro",'Atividades Micro'!$K150&lt;&gt;""),'Atividades Micro'!$K150,"")</f>
        <v/>
      </c>
      <c r="CI142" s="21" t="str">
        <f>IF(AND('Atividades Micro'!$B150=CI$2,'Atividades Micro'!$G150="Micro",'Atividades Micro'!$K150&lt;&gt;""),'Atividades Micro'!$K150,"")</f>
        <v/>
      </c>
      <c r="CJ142" s="21" t="str">
        <f>IF(AND('Atividades Micro'!$B150=CJ$2,'Atividades Micro'!$G150="Micro",'Atividades Micro'!$K150&lt;&gt;""),'Atividades Micro'!$K150,"")</f>
        <v/>
      </c>
      <c r="CK142" s="21" t="str">
        <f>IF(AND('Atividades Micro'!$B150=CK$2,'Atividades Micro'!$G150="Micro",'Atividades Micro'!$K150&lt;&gt;""),'Atividades Micro'!$K150,"")</f>
        <v/>
      </c>
      <c r="CL142" s="21" t="str">
        <f>IF(AND('Atividades Micro'!$B150=CL$2,'Atividades Micro'!$G150="Micro",'Atividades Micro'!$K150&lt;&gt;""),'Atividades Micro'!$K150,"")</f>
        <v/>
      </c>
      <c r="CM142" s="21" t="str">
        <f>IF(AND('Atividades Micro'!$B150=CM$2,'Atividades Micro'!$G150="Micro",'Atividades Micro'!$K150&lt;&gt;""),'Atividades Micro'!$K150,"")</f>
        <v/>
      </c>
      <c r="CN142" s="21" t="str">
        <f>IF(AND('Atividades Micro'!$B150=CN$2,'Atividades Micro'!$G150="Micro",'Atividades Micro'!$K150&lt;&gt;""),'Atividades Micro'!$K150,"")</f>
        <v/>
      </c>
      <c r="CO142" s="21" t="str">
        <f>IF(AND('Atividades Micro'!$B150=CO$2,'Atividades Micro'!$G150="Micro",'Atividades Micro'!$K150&lt;&gt;""),'Atividades Micro'!$K150,"")</f>
        <v/>
      </c>
    </row>
    <row r="143" spans="1:93">
      <c r="A143" s="21" t="str">
        <f>IF(AND('Atividades Micro'!$A151=A$2,'Atividades Micro'!$K151&lt;&gt;""),'Atividades Micro'!$K151,"")</f>
        <v/>
      </c>
      <c r="B143" s="21" t="str">
        <f>IF(AND('Atividades Micro'!$A151=B$2,'Atividades Micro'!$L151&lt;&gt;""),'Atividades Micro'!$L151,"")</f>
        <v/>
      </c>
      <c r="C143" s="21" t="str">
        <f>IF(AND('Atividades Micro'!$A151=C$2,'Atividades Micro'!$K151&lt;&gt;""),'Atividades Micro'!$K151,"")</f>
        <v/>
      </c>
      <c r="D143" s="21" t="str">
        <f>IF(AND('Atividades Micro'!$A151=D$2,'Atividades Micro'!$L151&lt;&gt;""),'Atividades Micro'!$L151,"")</f>
        <v/>
      </c>
      <c r="E143" s="21" t="str">
        <f>IF(AND('Atividades Micro'!$A151=E$2,'Atividades Micro'!$K151&lt;&gt;""),'Atividades Micro'!$K151,"")</f>
        <v/>
      </c>
      <c r="F143" s="21" t="str">
        <f>IF(AND('Atividades Micro'!$A151=F$2,'Atividades Micro'!$L151&lt;&gt;""),'Atividades Micro'!$L151,"")</f>
        <v/>
      </c>
      <c r="G143" s="21" t="str">
        <f>IF(AND('Atividades Micro'!$A151=G$2,'Atividades Micro'!$K151&lt;&gt;""),'Atividades Micro'!$K151,"")</f>
        <v/>
      </c>
      <c r="H143" s="21" t="str">
        <f>IF(AND('Atividades Micro'!$A151=H$2,'Atividades Micro'!$L151&lt;&gt;""),'Atividades Micro'!$L151,"")</f>
        <v/>
      </c>
      <c r="I143" s="21" t="str">
        <f>IF(AND('Atividades Micro'!$A151=I$2,'Atividades Micro'!$K151&lt;&gt;""),'Atividades Micro'!$K151,"")</f>
        <v/>
      </c>
      <c r="J143" s="21" t="str">
        <f>IF(AND('Atividades Micro'!$A151=J$2,'Atividades Micro'!$L151&lt;&gt;""),'Atividades Micro'!$L151,"")</f>
        <v/>
      </c>
      <c r="K143" s="21" t="str">
        <f>IF(AND('Atividades Micro'!$B151=K$2,'Atividades Micro'!$K151&lt;&gt;""),'Atividades Micro'!$K151,"")</f>
        <v/>
      </c>
      <c r="L143" s="21" t="str">
        <f>IF(AND('Atividades Micro'!$B151=L$2,'Atividades Micro'!$L151&lt;&gt;""),'Atividades Micro'!$L151,"")</f>
        <v/>
      </c>
      <c r="M143" s="21" t="str">
        <f>IF(AND('Atividades Micro'!$B151=M$2,'Atividades Micro'!$K151&lt;&gt;""),'Atividades Micro'!$K151,"")</f>
        <v/>
      </c>
      <c r="N143" s="21" t="str">
        <f>IF(AND('Atividades Micro'!$B151=N$2,'Atividades Micro'!$L151&lt;&gt;""),'Atividades Micro'!$L151,"")</f>
        <v/>
      </c>
      <c r="O143" s="21" t="str">
        <f>IF(AND('Atividades Micro'!$A151=O$2,'Atividades Micro'!$K151&lt;&gt;""),'Atividades Micro'!$K151,"")</f>
        <v/>
      </c>
      <c r="P143" s="21" t="str">
        <f>IF(AND('Atividades Micro'!$A151=P$2,'Atividades Micro'!$L151&lt;&gt;""),'Atividades Micro'!$L151,"")</f>
        <v/>
      </c>
      <c r="Q143" s="21" t="str">
        <f>IF(AND('Atividades Micro'!$B151=Q$2,'Atividades Micro'!$K151&lt;&gt;""),'Atividades Micro'!$K151,"")</f>
        <v/>
      </c>
      <c r="R143" s="21" t="str">
        <f>IF(AND('Atividades Micro'!$B151=R$2,'Atividades Micro'!$L151&lt;&gt;""),'Atividades Micro'!$L151,"")</f>
        <v/>
      </c>
      <c r="S143" s="21">
        <f>IF(AND('Atividades Micro'!$A151=S$2,'Atividades Micro'!$K151&lt;&gt;""),'Atividades Micro'!$K151,"")</f>
        <v>46303</v>
      </c>
      <c r="T143" s="21" t="str">
        <f>IF(AND('Atividades Micro'!$A151=T$2,'Atividades Micro'!$L151&lt;&gt;""),'Atividades Micro'!$L151,"")</f>
        <v/>
      </c>
      <c r="U143" s="21">
        <f>IF(AND('Atividades Micro'!$B151=U$2,'Atividades Micro'!$K151&lt;&gt;""),'Atividades Micro'!$K151,"")</f>
        <v>46303</v>
      </c>
      <c r="V143" s="21" t="str">
        <f>IF(AND('Atividades Micro'!$B151=V$2,'Atividades Micro'!$L151&lt;&gt;""),'Atividades Micro'!$L151,"")</f>
        <v/>
      </c>
      <c r="W143" s="21" t="str">
        <f>IF(AND('Atividades Micro'!$B151=W$2,'Atividades Micro'!$K151&lt;&gt;""),'Atividades Micro'!$K151,"")</f>
        <v/>
      </c>
      <c r="X143" s="21" t="str">
        <f>IF(AND('Atividades Micro'!$B151=X$2,'Atividades Micro'!$L151&lt;&gt;""),'Atividades Micro'!$L151,"")</f>
        <v/>
      </c>
      <c r="Y143" s="21" t="str">
        <f>IF(AND('Atividades Micro'!$A151=Y$2,'Atividades Micro'!$K151&lt;&gt;""),'Atividades Micro'!$K151,"")</f>
        <v/>
      </c>
      <c r="Z143" s="21" t="str">
        <f>IF(AND('Atividades Micro'!$A151=Z$2,'Atividades Micro'!$L151&lt;&gt;""),'Atividades Micro'!$L151,"")</f>
        <v/>
      </c>
      <c r="AA143" s="21" t="str">
        <f>IF(AND('Atividades Micro'!$B151=AA$2,'Atividades Micro'!$K151&lt;&gt;""),'Atividades Micro'!$K151,"")</f>
        <v/>
      </c>
      <c r="AB143" s="21" t="str">
        <f>IF(AND('Atividades Micro'!$B151=AB$2,'Atividades Micro'!$L151&lt;&gt;""),'Atividades Micro'!$L151,"")</f>
        <v/>
      </c>
      <c r="AC143" s="21" t="str">
        <f>IF(AND('Atividades Micro'!$B151=AC$2,'Atividades Micro'!$K151&lt;&gt;""),'Atividades Micro'!$K151,"")</f>
        <v/>
      </c>
      <c r="AD143" s="21" t="str">
        <f>IF(AND('Atividades Micro'!$B151=AD$2,'Atividades Micro'!$L151&lt;&gt;""),'Atividades Micro'!$L151,"")</f>
        <v/>
      </c>
      <c r="AE143" s="21" t="str">
        <f>IF(AND('Atividades Micro'!$A151=AE$2,'Atividades Micro'!$K151&lt;&gt;""),'Atividades Micro'!$K151,"")</f>
        <v/>
      </c>
      <c r="AF143" s="21" t="str">
        <f>IF(AND('Atividades Micro'!$A151=AF$2,'Atividades Micro'!$L151&lt;&gt;""),'Atividades Micro'!$L151,"")</f>
        <v/>
      </c>
      <c r="AG143" s="21" t="str">
        <f>IF(AND('Atividades Micro'!$B151=AG$2,'Atividades Micro'!$K151&lt;&gt;""),'Atividades Micro'!$K151,"")</f>
        <v/>
      </c>
      <c r="AH143" s="21" t="str">
        <f>IF(AND('Atividades Micro'!$B151=AH$2,'Atividades Micro'!$L151&lt;&gt;""),'Atividades Micro'!$L151,"")</f>
        <v/>
      </c>
      <c r="AI143" s="21" t="str">
        <f>IF(AND('Atividades Micro'!$B151=AI$2,'Atividades Micro'!$K151&lt;&gt;""),'Atividades Micro'!$K151,"")</f>
        <v/>
      </c>
      <c r="AJ143" s="21" t="str">
        <f>IF(AND('Atividades Micro'!$B151=AJ$2,'Atividades Micro'!$L151&lt;&gt;""),'Atividades Micro'!$L151,"")</f>
        <v/>
      </c>
      <c r="AK143" s="21" t="str">
        <f>IF(AND('Atividades Micro'!$A151=AK$2,'Atividades Micro'!$K151&lt;&gt;""),'Atividades Micro'!$K151,"")</f>
        <v/>
      </c>
      <c r="AL143" s="21" t="str">
        <f>IF(AND('Atividades Micro'!$A151=AL$2,'Atividades Micro'!$L151&lt;&gt;""),'Atividades Micro'!$L151,"")</f>
        <v/>
      </c>
      <c r="AM143" s="21" t="str">
        <f>IF(AND('Atividades Micro'!$B151=AM$2,'Atividades Micro'!$K151&lt;&gt;""),'Atividades Micro'!$K151,"")</f>
        <v/>
      </c>
      <c r="AN143" s="21" t="str">
        <f>IF(AND('Atividades Micro'!$B151=AN$2,'Atividades Micro'!$L151&lt;&gt;""),'Atividades Micro'!$L151,"")</f>
        <v/>
      </c>
      <c r="AO143" s="21" t="str">
        <f>IF(AND('Atividades Micro'!$B151=AO$2,'Atividades Micro'!$K151&lt;&gt;""),'Atividades Micro'!$K151,"")</f>
        <v/>
      </c>
      <c r="AP143" s="21" t="str">
        <f>IF(AND('Atividades Micro'!$B151=AP$2,'Atividades Micro'!$L151&lt;&gt;""),'Atividades Micro'!$L151,"")</f>
        <v/>
      </c>
      <c r="AQ143" s="21" t="str">
        <f>IF(AND('Atividades Micro'!$A151=AQ$2,'Atividades Micro'!$K151&lt;&gt;""),'Atividades Micro'!$K151,"")</f>
        <v/>
      </c>
      <c r="AR143" s="21" t="str">
        <f>IF(AND('Atividades Micro'!$A151=AR$2,'Atividades Micro'!$L151&lt;&gt;""),'Atividades Micro'!$L151,"")</f>
        <v/>
      </c>
      <c r="AS143" s="21" t="str">
        <f>IF(AND('Atividades Micro'!$B151=AS$2,'Atividades Micro'!$K151&lt;&gt;""),'Atividades Micro'!$K151,"")</f>
        <v/>
      </c>
      <c r="AT143" s="21" t="str">
        <f>IF(AND('Atividades Micro'!$B151=AT$2,'Atividades Micro'!$L151&lt;&gt;""),'Atividades Micro'!$L151,"")</f>
        <v/>
      </c>
      <c r="AU143" s="21" t="str">
        <f>IF(AND('Atividades Micro'!$A151=AU$2,'Atividades Micro'!$K151&lt;&gt;""),'Atividades Micro'!$K151,"")</f>
        <v/>
      </c>
      <c r="AV143" s="21" t="str">
        <f>IF(AND('Atividades Micro'!$A151=AV$2,'Atividades Micro'!$L151&lt;&gt;""),'Atividades Micro'!$L151,"")</f>
        <v/>
      </c>
      <c r="AW143" s="21" t="str">
        <f>IF(AND('Atividades Micro'!$B151=AW$2,'Atividades Micro'!$K151&lt;&gt;""),'Atividades Micro'!$K151,"")</f>
        <v/>
      </c>
      <c r="AX143" s="21" t="str">
        <f>IF(AND('Atividades Micro'!$B151=AX$2,'Atividades Micro'!$L151&lt;&gt;""),'Atividades Micro'!$L151,"")</f>
        <v/>
      </c>
      <c r="AY143" s="21" t="str">
        <f>IF(AND('Atividades Micro'!$A151=AY$2,'Atividades Micro'!$K151&lt;&gt;""),'Atividades Micro'!$K151,"")</f>
        <v/>
      </c>
      <c r="AZ143" s="21" t="str">
        <f>IF(AND('Atividades Micro'!$A151=AZ$2,'Atividades Micro'!$L151&lt;&gt;""),'Atividades Micro'!$L151,"")</f>
        <v/>
      </c>
      <c r="BA143" s="21" t="str">
        <f>IF(AND('Atividades Micro'!$B151=BA$2,'Atividades Micro'!$K151&lt;&gt;""),'Atividades Micro'!$K151,"")</f>
        <v/>
      </c>
      <c r="BB143" s="21" t="str">
        <f>IF(AND('Atividades Micro'!$B151=BB$2,'Atividades Micro'!$L151&lt;&gt;""),'Atividades Micro'!$L151,"")</f>
        <v/>
      </c>
      <c r="BC143" s="21" t="str">
        <f>IF(AND('Atividades Micro'!$B151=BC$2,'Atividades Micro'!$G151="Macro",'Atividades Micro'!$K151&lt;&gt;""),'Atividades Micro'!$K151,"")</f>
        <v/>
      </c>
      <c r="BD143" s="21" t="str">
        <f>IF(AND('Atividades Micro'!$B151=BD$2,'Atividades Micro'!$G151="Macro",'Atividades Micro'!$K151&lt;&gt;""),'Atividades Micro'!$K151,"")</f>
        <v/>
      </c>
      <c r="BE143" s="21" t="str">
        <f>IF(AND('Atividades Micro'!$B151=BE$2,'Atividades Micro'!$G151="Macro",'Atividades Micro'!$K151&lt;&gt;""),'Atividades Micro'!$K151,"")</f>
        <v/>
      </c>
      <c r="BF143" s="21" t="str">
        <f>IF(AND('Atividades Micro'!$B151=BF$2,'Atividades Micro'!$G151="Macro",'Atividades Micro'!$K151&lt;&gt;""),'Atividades Micro'!$K151,"")</f>
        <v/>
      </c>
      <c r="BG143" s="21" t="str">
        <f>IF(AND('Atividades Micro'!$B151=BG$2,'Atividades Micro'!$G151="Macro",'Atividades Micro'!$K151&lt;&gt;""),'Atividades Micro'!$K151,"")</f>
        <v/>
      </c>
      <c r="BH143" s="21" t="str">
        <f>IF(AND('Atividades Micro'!$B151=BH$2,'Atividades Micro'!$G151="Macro",'Atividades Micro'!$K151&lt;&gt;""),'Atividades Micro'!$K151,"")</f>
        <v/>
      </c>
      <c r="BI143" s="21" t="str">
        <f>IF(AND('Atividades Micro'!$B151=BI$2,'Atividades Micro'!$G151="Macro",'Atividades Micro'!$K151&lt;&gt;""),'Atividades Micro'!$K151,"")</f>
        <v/>
      </c>
      <c r="BJ143" s="21" t="str">
        <f>IF(AND('Atividades Micro'!$B151=BJ$2,'Atividades Micro'!$G151="Macro",'Atividades Micro'!$K151&lt;&gt;""),'Atividades Micro'!$K151,"")</f>
        <v/>
      </c>
      <c r="BK143" s="21" t="str">
        <f>IF(AND('Atividades Micro'!$B151=BK$2,'Atividades Micro'!$G151="Macro",'Atividades Micro'!$K151&lt;&gt;""),'Atividades Micro'!$K151,"")</f>
        <v/>
      </c>
      <c r="BL143" s="21" t="str">
        <f>IF(AND('Atividades Micro'!$B151=BL$2,'Atividades Micro'!$G151="Macro",'Atividades Micro'!$K151&lt;&gt;""),'Atividades Micro'!$K151,"")</f>
        <v/>
      </c>
      <c r="BM143" s="21" t="str">
        <f>IF(AND('Atividades Micro'!$B151=BM$2,'Atividades Micro'!$G151="Macro",'Atividades Micro'!$K151&lt;&gt;""),'Atividades Micro'!$K151,"")</f>
        <v/>
      </c>
      <c r="BN143" s="21" t="str">
        <f>IF(AND('Atividades Micro'!$B151=BN$2,'Atividades Micro'!$G151="Macro",'Atividades Micro'!$K151&lt;&gt;""),'Atividades Micro'!$K151,"")</f>
        <v/>
      </c>
      <c r="BO143" s="21" t="str">
        <f>IF(AND('Atividades Micro'!$B151=BO$2,'Atividades Micro'!$G151="Macro",'Atividades Micro'!$K151&lt;&gt;""),'Atividades Micro'!$K151,"")</f>
        <v/>
      </c>
      <c r="BP143" s="21" t="str">
        <f>IF(AND('Atividades Micro'!$B151=BP$2,'Atividades Micro'!$G151="Macro",'Atividades Micro'!$K151&lt;&gt;""),'Atividades Micro'!$K151,"")</f>
        <v/>
      </c>
      <c r="BQ143" s="21" t="str">
        <f>IF(AND('Atividades Micro'!$B151=BQ$2,'Atividades Micro'!$G151="Macro",'Atividades Micro'!$K151&lt;&gt;""),'Atividades Micro'!$K151,"")</f>
        <v/>
      </c>
      <c r="BR143" s="21" t="str">
        <f>IF(AND('Atividades Micro'!$B151=BR$2,'Atividades Micro'!$G151="Macro",'Atividades Micro'!$K151&lt;&gt;""),'Atividades Micro'!$K151,"")</f>
        <v/>
      </c>
      <c r="BS143" s="21" t="str">
        <f>IF(AND('Atividades Micro'!$B151=BS$2,'Atividades Micro'!$G151="Macro",'Atividades Micro'!$K151&lt;&gt;""),'Atividades Micro'!$K151,"")</f>
        <v/>
      </c>
      <c r="BT143" s="21" t="str">
        <f>IF(AND('Atividades Micro'!$B151=BT$2,'Atividades Micro'!$G151="Macro",'Atividades Micro'!$K151&lt;&gt;""),'Atividades Micro'!$K151,"")</f>
        <v/>
      </c>
      <c r="BU143" s="21" t="str">
        <f>IF(AND('Atividades Micro'!$B151=BU$2,'Atividades Micro'!$G151="Macro",'Atividades Micro'!$K151&lt;&gt;""),'Atividades Micro'!$K151,"")</f>
        <v/>
      </c>
      <c r="BV143" s="21" t="str">
        <f>IF(AND('Atividades Micro'!$B151=BV$2,'Atividades Micro'!$G151="Macro",'Atividades Micro'!$K151&lt;&gt;""),'Atividades Micro'!$K151,"")</f>
        <v/>
      </c>
      <c r="BW143" s="21" t="str">
        <f>IF(AND('Atividades Micro'!$B151=BW$2,'Atividades Micro'!$G151="Macro",'Atividades Micro'!$K151&lt;&gt;""),'Atividades Micro'!$K151,"")</f>
        <v/>
      </c>
      <c r="BX143" s="21" t="str">
        <f>IF(AND('Atividades Micro'!$B151=BX$2,'Atividades Micro'!$G151="Macro",'Atividades Micro'!$K151&lt;&gt;""),'Atividades Micro'!$K151,"")</f>
        <v/>
      </c>
      <c r="BY143" s="21" t="str">
        <f>IF(AND('Atividades Micro'!$B151=BY$2,'Atividades Micro'!$G151="Macro",'Atividades Micro'!$K151&lt;&gt;""),'Atividades Micro'!$K151,"")</f>
        <v/>
      </c>
      <c r="BZ143" s="21" t="str">
        <f>IF(AND('Atividades Micro'!$B151=BZ$2,'Atividades Micro'!$G151="Macro",'Atividades Micro'!$K151&lt;&gt;""),'Atividades Micro'!$K151,"")</f>
        <v/>
      </c>
      <c r="CA143" s="21" t="str">
        <f>IF(AND('Atividades Micro'!$B151=CA$2,'Atividades Micro'!$G151="Macro",'Atividades Micro'!$K151&lt;&gt;""),'Atividades Micro'!$K151,"")</f>
        <v/>
      </c>
      <c r="CB143" s="21" t="str">
        <f>IF(AND('Atividades Micro'!$B151=CB$2,'Atividades Micro'!$G151="Macro",'Atividades Micro'!$K151&lt;&gt;""),'Atividades Micro'!$K151,"")</f>
        <v/>
      </c>
      <c r="CC143" s="21" t="str">
        <f>IF(AND('Atividades Micro'!$B151=CC$2,'Atividades Micro'!$G151="Macro",'Atividades Micro'!$K151&lt;&gt;""),'Atividades Micro'!$K151,"")</f>
        <v/>
      </c>
      <c r="CD143" s="21" t="str">
        <f>IF(AND('Atividades Micro'!$B151=CD$2,'Atividades Micro'!$G151="Micro",'Atividades Micro'!$K151&lt;&gt;""),'Atividades Micro'!$K151,"")</f>
        <v/>
      </c>
      <c r="CE143" s="21" t="str">
        <f>IF(AND('Atividades Micro'!$B151=CE$2,'Atividades Micro'!$G151="Micro",'Atividades Micro'!$K151&lt;&gt;""),'Atividades Micro'!$K151,"")</f>
        <v/>
      </c>
      <c r="CF143" s="21" t="str">
        <f>IF(AND('Atividades Micro'!$B151=CF$2,'Atividades Micro'!$G151="Micro",'Atividades Micro'!$K151&lt;&gt;""),'Atividades Micro'!$K151,"")</f>
        <v/>
      </c>
      <c r="CG143" s="21">
        <f>IF(AND('Atividades Micro'!$B151=CG$2,'Atividades Micro'!$G151="Micro",'Atividades Micro'!$K151&lt;&gt;""),'Atividades Micro'!$K151,"")</f>
        <v>46303</v>
      </c>
      <c r="CH143" s="21" t="str">
        <f>IF(AND('Atividades Micro'!$B151=CH$2,'Atividades Micro'!$G151="Micro",'Atividades Micro'!$K151&lt;&gt;""),'Atividades Micro'!$K151,"")</f>
        <v/>
      </c>
      <c r="CI143" s="21" t="str">
        <f>IF(AND('Atividades Micro'!$B151=CI$2,'Atividades Micro'!$G151="Micro",'Atividades Micro'!$K151&lt;&gt;""),'Atividades Micro'!$K151,"")</f>
        <v/>
      </c>
      <c r="CJ143" s="21" t="str">
        <f>IF(AND('Atividades Micro'!$B151=CJ$2,'Atividades Micro'!$G151="Micro",'Atividades Micro'!$K151&lt;&gt;""),'Atividades Micro'!$K151,"")</f>
        <v/>
      </c>
      <c r="CK143" s="21" t="str">
        <f>IF(AND('Atividades Micro'!$B151=CK$2,'Atividades Micro'!$G151="Micro",'Atividades Micro'!$K151&lt;&gt;""),'Atividades Micro'!$K151,"")</f>
        <v/>
      </c>
      <c r="CL143" s="21" t="str">
        <f>IF(AND('Atividades Micro'!$B151=CL$2,'Atividades Micro'!$G151="Micro",'Atividades Micro'!$K151&lt;&gt;""),'Atividades Micro'!$K151,"")</f>
        <v/>
      </c>
      <c r="CM143" s="21" t="str">
        <f>IF(AND('Atividades Micro'!$B151=CM$2,'Atividades Micro'!$G151="Micro",'Atividades Micro'!$K151&lt;&gt;""),'Atividades Micro'!$K151,"")</f>
        <v/>
      </c>
      <c r="CN143" s="21" t="str">
        <f>IF(AND('Atividades Micro'!$B151=CN$2,'Atividades Micro'!$G151="Micro",'Atividades Micro'!$K151&lt;&gt;""),'Atividades Micro'!$K151,"")</f>
        <v/>
      </c>
      <c r="CO143" s="21" t="str">
        <f>IF(AND('Atividades Micro'!$B151=CO$2,'Atividades Micro'!$G151="Micro",'Atividades Micro'!$K151&lt;&gt;""),'Atividades Micro'!$K151,"")</f>
        <v/>
      </c>
    </row>
    <row r="144" spans="1:93">
      <c r="A144" s="21" t="str">
        <f>IF(AND('Atividades Micro'!$A152=A$2,'Atividades Micro'!$K152&lt;&gt;""),'Atividades Micro'!$K152,"")</f>
        <v/>
      </c>
      <c r="B144" s="21" t="str">
        <f>IF(AND('Atividades Micro'!$A152=B$2,'Atividades Micro'!$L152&lt;&gt;""),'Atividades Micro'!$L152,"")</f>
        <v/>
      </c>
      <c r="C144" s="21" t="str">
        <f>IF(AND('Atividades Micro'!$A152=C$2,'Atividades Micro'!$K152&lt;&gt;""),'Atividades Micro'!$K152,"")</f>
        <v/>
      </c>
      <c r="D144" s="21" t="str">
        <f>IF(AND('Atividades Micro'!$A152=D$2,'Atividades Micro'!$L152&lt;&gt;""),'Atividades Micro'!$L152,"")</f>
        <v/>
      </c>
      <c r="E144" s="21" t="str">
        <f>IF(AND('Atividades Micro'!$A152=E$2,'Atividades Micro'!$K152&lt;&gt;""),'Atividades Micro'!$K152,"")</f>
        <v/>
      </c>
      <c r="F144" s="21" t="str">
        <f>IF(AND('Atividades Micro'!$A152=F$2,'Atividades Micro'!$L152&lt;&gt;""),'Atividades Micro'!$L152,"")</f>
        <v/>
      </c>
      <c r="G144" s="21" t="str">
        <f>IF(AND('Atividades Micro'!$A152=G$2,'Atividades Micro'!$K152&lt;&gt;""),'Atividades Micro'!$K152,"")</f>
        <v/>
      </c>
      <c r="H144" s="21" t="str">
        <f>IF(AND('Atividades Micro'!$A152=H$2,'Atividades Micro'!$L152&lt;&gt;""),'Atividades Micro'!$L152,"")</f>
        <v/>
      </c>
      <c r="I144" s="21" t="str">
        <f>IF(AND('Atividades Micro'!$A152=I$2,'Atividades Micro'!$K152&lt;&gt;""),'Atividades Micro'!$K152,"")</f>
        <v/>
      </c>
      <c r="J144" s="21" t="str">
        <f>IF(AND('Atividades Micro'!$A152=J$2,'Atividades Micro'!$L152&lt;&gt;""),'Atividades Micro'!$L152,"")</f>
        <v/>
      </c>
      <c r="K144" s="21" t="str">
        <f>IF(AND('Atividades Micro'!$B152=K$2,'Atividades Micro'!$K152&lt;&gt;""),'Atividades Micro'!$K152,"")</f>
        <v/>
      </c>
      <c r="L144" s="21" t="str">
        <f>IF(AND('Atividades Micro'!$B152=L$2,'Atividades Micro'!$L152&lt;&gt;""),'Atividades Micro'!$L152,"")</f>
        <v/>
      </c>
      <c r="M144" s="21" t="str">
        <f>IF(AND('Atividades Micro'!$B152=M$2,'Atividades Micro'!$K152&lt;&gt;""),'Atividades Micro'!$K152,"")</f>
        <v/>
      </c>
      <c r="N144" s="21" t="str">
        <f>IF(AND('Atividades Micro'!$B152=N$2,'Atividades Micro'!$L152&lt;&gt;""),'Atividades Micro'!$L152,"")</f>
        <v/>
      </c>
      <c r="O144" s="21" t="str">
        <f>IF(AND('Atividades Micro'!$A152=O$2,'Atividades Micro'!$K152&lt;&gt;""),'Atividades Micro'!$K152,"")</f>
        <v/>
      </c>
      <c r="P144" s="21" t="str">
        <f>IF(AND('Atividades Micro'!$A152=P$2,'Atividades Micro'!$L152&lt;&gt;""),'Atividades Micro'!$L152,"")</f>
        <v/>
      </c>
      <c r="Q144" s="21" t="str">
        <f>IF(AND('Atividades Micro'!$B152=Q$2,'Atividades Micro'!$K152&lt;&gt;""),'Atividades Micro'!$K152,"")</f>
        <v/>
      </c>
      <c r="R144" s="21" t="str">
        <f>IF(AND('Atividades Micro'!$B152=R$2,'Atividades Micro'!$L152&lt;&gt;""),'Atividades Micro'!$L152,"")</f>
        <v/>
      </c>
      <c r="S144" s="21" t="str">
        <f>IF(AND('Atividades Micro'!$A152=S$2,'Atividades Micro'!$K152&lt;&gt;""),'Atividades Micro'!$K152,"")</f>
        <v/>
      </c>
      <c r="T144" s="21" t="str">
        <f>IF(AND('Atividades Micro'!$A152=T$2,'Atividades Micro'!$L152&lt;&gt;""),'Atividades Micro'!$L152,"")</f>
        <v/>
      </c>
      <c r="U144" s="21" t="str">
        <f>IF(AND('Atividades Micro'!$B152=U$2,'Atividades Micro'!$K152&lt;&gt;""),'Atividades Micro'!$K152,"")</f>
        <v/>
      </c>
      <c r="V144" s="21" t="str">
        <f>IF(AND('Atividades Micro'!$B152=V$2,'Atividades Micro'!$L152&lt;&gt;""),'Atividades Micro'!$L152,"")</f>
        <v/>
      </c>
      <c r="W144" s="21" t="str">
        <f>IF(AND('Atividades Micro'!$B152=W$2,'Atividades Micro'!$K152&lt;&gt;""),'Atividades Micro'!$K152,"")</f>
        <v/>
      </c>
      <c r="X144" s="21" t="str">
        <f>IF(AND('Atividades Micro'!$B152=X$2,'Atividades Micro'!$L152&lt;&gt;""),'Atividades Micro'!$L152,"")</f>
        <v/>
      </c>
      <c r="Y144" s="21" t="str">
        <f>IF(AND('Atividades Micro'!$A152=Y$2,'Atividades Micro'!$K152&lt;&gt;""),'Atividades Micro'!$K152,"")</f>
        <v/>
      </c>
      <c r="Z144" s="21" t="str">
        <f>IF(AND('Atividades Micro'!$A152=Z$2,'Atividades Micro'!$L152&lt;&gt;""),'Atividades Micro'!$L152,"")</f>
        <v/>
      </c>
      <c r="AA144" s="21" t="str">
        <f>IF(AND('Atividades Micro'!$B152=AA$2,'Atividades Micro'!$K152&lt;&gt;""),'Atividades Micro'!$K152,"")</f>
        <v/>
      </c>
      <c r="AB144" s="21" t="str">
        <f>IF(AND('Atividades Micro'!$B152=AB$2,'Atividades Micro'!$L152&lt;&gt;""),'Atividades Micro'!$L152,"")</f>
        <v/>
      </c>
      <c r="AC144" s="21" t="str">
        <f>IF(AND('Atividades Micro'!$B152=AC$2,'Atividades Micro'!$K152&lt;&gt;""),'Atividades Micro'!$K152,"")</f>
        <v/>
      </c>
      <c r="AD144" s="21" t="str">
        <f>IF(AND('Atividades Micro'!$B152=AD$2,'Atividades Micro'!$L152&lt;&gt;""),'Atividades Micro'!$L152,"")</f>
        <v/>
      </c>
      <c r="AE144" s="21" t="str">
        <f>IF(AND('Atividades Micro'!$A152=AE$2,'Atividades Micro'!$K152&lt;&gt;""),'Atividades Micro'!$K152,"")</f>
        <v/>
      </c>
      <c r="AF144" s="21" t="str">
        <f>IF(AND('Atividades Micro'!$A152=AF$2,'Atividades Micro'!$L152&lt;&gt;""),'Atividades Micro'!$L152,"")</f>
        <v/>
      </c>
      <c r="AG144" s="21" t="str">
        <f>IF(AND('Atividades Micro'!$B152=AG$2,'Atividades Micro'!$K152&lt;&gt;""),'Atividades Micro'!$K152,"")</f>
        <v/>
      </c>
      <c r="AH144" s="21" t="str">
        <f>IF(AND('Atividades Micro'!$B152=AH$2,'Atividades Micro'!$L152&lt;&gt;""),'Atividades Micro'!$L152,"")</f>
        <v/>
      </c>
      <c r="AI144" s="21" t="str">
        <f>IF(AND('Atividades Micro'!$B152=AI$2,'Atividades Micro'!$K152&lt;&gt;""),'Atividades Micro'!$K152,"")</f>
        <v/>
      </c>
      <c r="AJ144" s="21" t="str">
        <f>IF(AND('Atividades Micro'!$B152=AJ$2,'Atividades Micro'!$L152&lt;&gt;""),'Atividades Micro'!$L152,"")</f>
        <v/>
      </c>
      <c r="AK144" s="21" t="str">
        <f>IF(AND('Atividades Micro'!$A152=AK$2,'Atividades Micro'!$K152&lt;&gt;""),'Atividades Micro'!$K152,"")</f>
        <v/>
      </c>
      <c r="AL144" s="21" t="str">
        <f>IF(AND('Atividades Micro'!$A152=AL$2,'Atividades Micro'!$L152&lt;&gt;""),'Atividades Micro'!$L152,"")</f>
        <v/>
      </c>
      <c r="AM144" s="21" t="str">
        <f>IF(AND('Atividades Micro'!$B152=AM$2,'Atividades Micro'!$K152&lt;&gt;""),'Atividades Micro'!$K152,"")</f>
        <v/>
      </c>
      <c r="AN144" s="21" t="str">
        <f>IF(AND('Atividades Micro'!$B152=AN$2,'Atividades Micro'!$L152&lt;&gt;""),'Atividades Micro'!$L152,"")</f>
        <v/>
      </c>
      <c r="AO144" s="21" t="str">
        <f>IF(AND('Atividades Micro'!$B152=AO$2,'Atividades Micro'!$K152&lt;&gt;""),'Atividades Micro'!$K152,"")</f>
        <v/>
      </c>
      <c r="AP144" s="21" t="str">
        <f>IF(AND('Atividades Micro'!$B152=AP$2,'Atividades Micro'!$L152&lt;&gt;""),'Atividades Micro'!$L152,"")</f>
        <v/>
      </c>
      <c r="AQ144" s="21" t="str">
        <f>IF(AND('Atividades Micro'!$A152=AQ$2,'Atividades Micro'!$K152&lt;&gt;""),'Atividades Micro'!$K152,"")</f>
        <v/>
      </c>
      <c r="AR144" s="21" t="str">
        <f>IF(AND('Atividades Micro'!$A152=AR$2,'Atividades Micro'!$L152&lt;&gt;""),'Atividades Micro'!$L152,"")</f>
        <v/>
      </c>
      <c r="AS144" s="21" t="str">
        <f>IF(AND('Atividades Micro'!$B152=AS$2,'Atividades Micro'!$K152&lt;&gt;""),'Atividades Micro'!$K152,"")</f>
        <v/>
      </c>
      <c r="AT144" s="21" t="str">
        <f>IF(AND('Atividades Micro'!$B152=AT$2,'Atividades Micro'!$L152&lt;&gt;""),'Atividades Micro'!$L152,"")</f>
        <v/>
      </c>
      <c r="AU144" s="21" t="str">
        <f>IF(AND('Atividades Micro'!$A152=AU$2,'Atividades Micro'!$K152&lt;&gt;""),'Atividades Micro'!$K152,"")</f>
        <v/>
      </c>
      <c r="AV144" s="21" t="str">
        <f>IF(AND('Atividades Micro'!$A152=AV$2,'Atividades Micro'!$L152&lt;&gt;""),'Atividades Micro'!$L152,"")</f>
        <v/>
      </c>
      <c r="AW144" s="21" t="str">
        <f>IF(AND('Atividades Micro'!$B152=AW$2,'Atividades Micro'!$K152&lt;&gt;""),'Atividades Micro'!$K152,"")</f>
        <v/>
      </c>
      <c r="AX144" s="21" t="str">
        <f>IF(AND('Atividades Micro'!$B152=AX$2,'Atividades Micro'!$L152&lt;&gt;""),'Atividades Micro'!$L152,"")</f>
        <v/>
      </c>
      <c r="AY144" s="21" t="str">
        <f>IF(AND('Atividades Micro'!$A152=AY$2,'Atividades Micro'!$K152&lt;&gt;""),'Atividades Micro'!$K152,"")</f>
        <v/>
      </c>
      <c r="AZ144" s="21" t="str">
        <f>IF(AND('Atividades Micro'!$A152=AZ$2,'Atividades Micro'!$L152&lt;&gt;""),'Atividades Micro'!$L152,"")</f>
        <v/>
      </c>
      <c r="BA144" s="21" t="str">
        <f>IF(AND('Atividades Micro'!$B152=BA$2,'Atividades Micro'!$K152&lt;&gt;""),'Atividades Micro'!$K152,"")</f>
        <v/>
      </c>
      <c r="BB144" s="21" t="str">
        <f>IF(AND('Atividades Micro'!$B152=BB$2,'Atividades Micro'!$L152&lt;&gt;""),'Atividades Micro'!$L152,"")</f>
        <v/>
      </c>
      <c r="BC144" s="21" t="str">
        <f>IF(AND('Atividades Micro'!$B152=BC$2,'Atividades Micro'!$G152="Macro",'Atividades Micro'!$K152&lt;&gt;""),'Atividades Micro'!$K152,"")</f>
        <v/>
      </c>
      <c r="BD144" s="21" t="str">
        <f>IF(AND('Atividades Micro'!$B152=BD$2,'Atividades Micro'!$G152="Macro",'Atividades Micro'!$K152&lt;&gt;""),'Atividades Micro'!$K152,"")</f>
        <v/>
      </c>
      <c r="BE144" s="21" t="str">
        <f>IF(AND('Atividades Micro'!$B152=BE$2,'Atividades Micro'!$G152="Macro",'Atividades Micro'!$K152&lt;&gt;""),'Atividades Micro'!$K152,"")</f>
        <v/>
      </c>
      <c r="BF144" s="21" t="str">
        <f>IF(AND('Atividades Micro'!$B152=BF$2,'Atividades Micro'!$G152="Macro",'Atividades Micro'!$K152&lt;&gt;""),'Atividades Micro'!$K152,"")</f>
        <v/>
      </c>
      <c r="BG144" s="21" t="str">
        <f>IF(AND('Atividades Micro'!$B152=BG$2,'Atividades Micro'!$G152="Macro",'Atividades Micro'!$K152&lt;&gt;""),'Atividades Micro'!$K152,"")</f>
        <v/>
      </c>
      <c r="BH144" s="21" t="str">
        <f>IF(AND('Atividades Micro'!$B152=BH$2,'Atividades Micro'!$G152="Macro",'Atividades Micro'!$K152&lt;&gt;""),'Atividades Micro'!$K152,"")</f>
        <v/>
      </c>
      <c r="BI144" s="21" t="str">
        <f>IF(AND('Atividades Micro'!$B152=BI$2,'Atividades Micro'!$G152="Macro",'Atividades Micro'!$K152&lt;&gt;""),'Atividades Micro'!$K152,"")</f>
        <v/>
      </c>
      <c r="BJ144" s="21" t="str">
        <f>IF(AND('Atividades Micro'!$B152=BJ$2,'Atividades Micro'!$G152="Macro",'Atividades Micro'!$K152&lt;&gt;""),'Atividades Micro'!$K152,"")</f>
        <v/>
      </c>
      <c r="BK144" s="21" t="str">
        <f>IF(AND('Atividades Micro'!$B152=BK$2,'Atividades Micro'!$G152="Macro",'Atividades Micro'!$K152&lt;&gt;""),'Atividades Micro'!$K152,"")</f>
        <v/>
      </c>
      <c r="BL144" s="21" t="str">
        <f>IF(AND('Atividades Micro'!$B152=BL$2,'Atividades Micro'!$G152="Macro",'Atividades Micro'!$K152&lt;&gt;""),'Atividades Micro'!$K152,"")</f>
        <v/>
      </c>
      <c r="BM144" s="21" t="str">
        <f>IF(AND('Atividades Micro'!$B152=BM$2,'Atividades Micro'!$G152="Macro",'Atividades Micro'!$K152&lt;&gt;""),'Atividades Micro'!$K152,"")</f>
        <v/>
      </c>
      <c r="BN144" s="21" t="str">
        <f>IF(AND('Atividades Micro'!$B152=BN$2,'Atividades Micro'!$G152="Macro",'Atividades Micro'!$K152&lt;&gt;""),'Atividades Micro'!$K152,"")</f>
        <v/>
      </c>
      <c r="BO144" s="21" t="str">
        <f>IF(AND('Atividades Micro'!$B152=BO$2,'Atividades Micro'!$G152="Macro",'Atividades Micro'!$K152&lt;&gt;""),'Atividades Micro'!$K152,"")</f>
        <v/>
      </c>
      <c r="BP144" s="21" t="str">
        <f>IF(AND('Atividades Micro'!$B152=BP$2,'Atividades Micro'!$G152="Macro",'Atividades Micro'!$K152&lt;&gt;""),'Atividades Micro'!$K152,"")</f>
        <v/>
      </c>
      <c r="BQ144" s="21" t="str">
        <f>IF(AND('Atividades Micro'!$B152=BQ$2,'Atividades Micro'!$G152="Macro",'Atividades Micro'!$K152&lt;&gt;""),'Atividades Micro'!$K152,"")</f>
        <v/>
      </c>
      <c r="BR144" s="21" t="str">
        <f>IF(AND('Atividades Micro'!$B152=BR$2,'Atividades Micro'!$G152="Macro",'Atividades Micro'!$K152&lt;&gt;""),'Atividades Micro'!$K152,"")</f>
        <v/>
      </c>
      <c r="BS144" s="21" t="str">
        <f>IF(AND('Atividades Micro'!$B152=BS$2,'Atividades Micro'!$G152="Macro",'Atividades Micro'!$K152&lt;&gt;""),'Atividades Micro'!$K152,"")</f>
        <v/>
      </c>
      <c r="BT144" s="21" t="str">
        <f>IF(AND('Atividades Micro'!$B152=BT$2,'Atividades Micro'!$G152="Macro",'Atividades Micro'!$K152&lt;&gt;""),'Atividades Micro'!$K152,"")</f>
        <v/>
      </c>
      <c r="BU144" s="21" t="str">
        <f>IF(AND('Atividades Micro'!$B152=BU$2,'Atividades Micro'!$G152="Macro",'Atividades Micro'!$K152&lt;&gt;""),'Atividades Micro'!$K152,"")</f>
        <v/>
      </c>
      <c r="BV144" s="21" t="str">
        <f>IF(AND('Atividades Micro'!$B152=BV$2,'Atividades Micro'!$G152="Macro",'Atividades Micro'!$K152&lt;&gt;""),'Atividades Micro'!$K152,"")</f>
        <v/>
      </c>
      <c r="BW144" s="21" t="str">
        <f>IF(AND('Atividades Micro'!$B152=BW$2,'Atividades Micro'!$G152="Macro",'Atividades Micro'!$K152&lt;&gt;""),'Atividades Micro'!$K152,"")</f>
        <v/>
      </c>
      <c r="BX144" s="21" t="str">
        <f>IF(AND('Atividades Micro'!$B152=BX$2,'Atividades Micro'!$G152="Macro",'Atividades Micro'!$K152&lt;&gt;""),'Atividades Micro'!$K152,"")</f>
        <v/>
      </c>
      <c r="BY144" s="21" t="str">
        <f>IF(AND('Atividades Micro'!$B152=BY$2,'Atividades Micro'!$G152="Macro",'Atividades Micro'!$K152&lt;&gt;""),'Atividades Micro'!$K152,"")</f>
        <v/>
      </c>
      <c r="BZ144" s="21" t="str">
        <f>IF(AND('Atividades Micro'!$B152=BZ$2,'Atividades Micro'!$G152="Macro",'Atividades Micro'!$K152&lt;&gt;""),'Atividades Micro'!$K152,"")</f>
        <v/>
      </c>
      <c r="CA144" s="21" t="str">
        <f>IF(AND('Atividades Micro'!$B152=CA$2,'Atividades Micro'!$G152="Macro",'Atividades Micro'!$K152&lt;&gt;""),'Atividades Micro'!$K152,"")</f>
        <v/>
      </c>
      <c r="CB144" s="21" t="str">
        <f>IF(AND('Atividades Micro'!$B152=CB$2,'Atividades Micro'!$G152="Macro",'Atividades Micro'!$K152&lt;&gt;""),'Atividades Micro'!$K152,"")</f>
        <v/>
      </c>
      <c r="CC144" s="21" t="str">
        <f>IF(AND('Atividades Micro'!$B152=CC$2,'Atividades Micro'!$G152="Macro",'Atividades Micro'!$K152&lt;&gt;""),'Atividades Micro'!$K152,"")</f>
        <v/>
      </c>
      <c r="CD144" s="21" t="str">
        <f>IF(AND('Atividades Micro'!$B152=CD$2,'Atividades Micro'!$G152="Micro",'Atividades Micro'!$K152&lt;&gt;""),'Atividades Micro'!$K152,"")</f>
        <v/>
      </c>
      <c r="CE144" s="21" t="str">
        <f>IF(AND('Atividades Micro'!$B152=CE$2,'Atividades Micro'!$G152="Micro",'Atividades Micro'!$K152&lt;&gt;""),'Atividades Micro'!$K152,"")</f>
        <v/>
      </c>
      <c r="CF144" s="21" t="str">
        <f>IF(AND('Atividades Micro'!$B152=CF$2,'Atividades Micro'!$G152="Micro",'Atividades Micro'!$K152&lt;&gt;""),'Atividades Micro'!$K152,"")</f>
        <v/>
      </c>
      <c r="CG144" s="21" t="str">
        <f>IF(AND('Atividades Micro'!$B152=CG$2,'Atividades Micro'!$G152="Micro",'Atividades Micro'!$K152&lt;&gt;""),'Atividades Micro'!$K152,"")</f>
        <v/>
      </c>
      <c r="CH144" s="21" t="str">
        <f>IF(AND('Atividades Micro'!$B152=CH$2,'Atividades Micro'!$G152="Micro",'Atividades Micro'!$K152&lt;&gt;""),'Atividades Micro'!$K152,"")</f>
        <v/>
      </c>
      <c r="CI144" s="21" t="str">
        <f>IF(AND('Atividades Micro'!$B152=CI$2,'Atividades Micro'!$G152="Micro",'Atividades Micro'!$K152&lt;&gt;""),'Atividades Micro'!$K152,"")</f>
        <v/>
      </c>
      <c r="CJ144" s="21" t="str">
        <f>IF(AND('Atividades Micro'!$B152=CJ$2,'Atividades Micro'!$G152="Micro",'Atividades Micro'!$K152&lt;&gt;""),'Atividades Micro'!$K152,"")</f>
        <v/>
      </c>
      <c r="CK144" s="21" t="str">
        <f>IF(AND('Atividades Micro'!$B152=CK$2,'Atividades Micro'!$G152="Micro",'Atividades Micro'!$K152&lt;&gt;""),'Atividades Micro'!$K152,"")</f>
        <v/>
      </c>
      <c r="CL144" s="21" t="str">
        <f>IF(AND('Atividades Micro'!$B152=CL$2,'Atividades Micro'!$G152="Micro",'Atividades Micro'!$K152&lt;&gt;""),'Atividades Micro'!$K152,"")</f>
        <v/>
      </c>
      <c r="CM144" s="21" t="str">
        <f>IF(AND('Atividades Micro'!$B152=CM$2,'Atividades Micro'!$G152="Micro",'Atividades Micro'!$K152&lt;&gt;""),'Atividades Micro'!$K152,"")</f>
        <v/>
      </c>
      <c r="CN144" s="21" t="str">
        <f>IF(AND('Atividades Micro'!$B152=CN$2,'Atividades Micro'!$G152="Micro",'Atividades Micro'!$K152&lt;&gt;""),'Atividades Micro'!$K152,"")</f>
        <v/>
      </c>
      <c r="CO144" s="21" t="str">
        <f>IF(AND('Atividades Micro'!$B152=CO$2,'Atividades Micro'!$G152="Micro",'Atividades Micro'!$K152&lt;&gt;""),'Atividades Micro'!$K152,"")</f>
        <v/>
      </c>
    </row>
    <row r="145" spans="1:93">
      <c r="A145" s="21" t="str">
        <f>IF(AND('Atividades Micro'!$A153=A$2,'Atividades Micro'!$K153&lt;&gt;""),'Atividades Micro'!$K153,"")</f>
        <v/>
      </c>
      <c r="B145" s="21" t="str">
        <f>IF(AND('Atividades Micro'!$A153=B$2,'Atividades Micro'!$L153&lt;&gt;""),'Atividades Micro'!$L153,"")</f>
        <v/>
      </c>
      <c r="C145" s="21" t="str">
        <f>IF(AND('Atividades Micro'!$A153=C$2,'Atividades Micro'!$K153&lt;&gt;""),'Atividades Micro'!$K153,"")</f>
        <v/>
      </c>
      <c r="D145" s="21" t="str">
        <f>IF(AND('Atividades Micro'!$A153=D$2,'Atividades Micro'!$L153&lt;&gt;""),'Atividades Micro'!$L153,"")</f>
        <v/>
      </c>
      <c r="E145" s="21" t="str">
        <f>IF(AND('Atividades Micro'!$A153=E$2,'Atividades Micro'!$K153&lt;&gt;""),'Atividades Micro'!$K153,"")</f>
        <v/>
      </c>
      <c r="F145" s="21" t="str">
        <f>IF(AND('Atividades Micro'!$A153=F$2,'Atividades Micro'!$L153&lt;&gt;""),'Atividades Micro'!$L153,"")</f>
        <v/>
      </c>
      <c r="G145" s="21" t="str">
        <f>IF(AND('Atividades Micro'!$A153=G$2,'Atividades Micro'!$K153&lt;&gt;""),'Atividades Micro'!$K153,"")</f>
        <v/>
      </c>
      <c r="H145" s="21" t="str">
        <f>IF(AND('Atividades Micro'!$A153=H$2,'Atividades Micro'!$L153&lt;&gt;""),'Atividades Micro'!$L153,"")</f>
        <v/>
      </c>
      <c r="I145" s="21" t="str">
        <f>IF(AND('Atividades Micro'!$A153=I$2,'Atividades Micro'!$K153&lt;&gt;""),'Atividades Micro'!$K153,"")</f>
        <v/>
      </c>
      <c r="J145" s="21" t="str">
        <f>IF(AND('Atividades Micro'!$A153=J$2,'Atividades Micro'!$L153&lt;&gt;""),'Atividades Micro'!$L153,"")</f>
        <v/>
      </c>
      <c r="K145" s="21" t="str">
        <f>IF(AND('Atividades Micro'!$B153=K$2,'Atividades Micro'!$K153&lt;&gt;""),'Atividades Micro'!$K153,"")</f>
        <v/>
      </c>
      <c r="L145" s="21" t="str">
        <f>IF(AND('Atividades Micro'!$B153=L$2,'Atividades Micro'!$L153&lt;&gt;""),'Atividades Micro'!$L153,"")</f>
        <v/>
      </c>
      <c r="M145" s="21" t="str">
        <f>IF(AND('Atividades Micro'!$B153=M$2,'Atividades Micro'!$K153&lt;&gt;""),'Atividades Micro'!$K153,"")</f>
        <v/>
      </c>
      <c r="N145" s="21" t="str">
        <f>IF(AND('Atividades Micro'!$B153=N$2,'Atividades Micro'!$L153&lt;&gt;""),'Atividades Micro'!$L153,"")</f>
        <v/>
      </c>
      <c r="O145" s="21" t="str">
        <f>IF(AND('Atividades Micro'!$A153=O$2,'Atividades Micro'!$K153&lt;&gt;""),'Atividades Micro'!$K153,"")</f>
        <v/>
      </c>
      <c r="P145" s="21" t="str">
        <f>IF(AND('Atividades Micro'!$A153=P$2,'Atividades Micro'!$L153&lt;&gt;""),'Atividades Micro'!$L153,"")</f>
        <v/>
      </c>
      <c r="Q145" s="21" t="str">
        <f>IF(AND('Atividades Micro'!$B153=Q$2,'Atividades Micro'!$K153&lt;&gt;""),'Atividades Micro'!$K153,"")</f>
        <v/>
      </c>
      <c r="R145" s="21" t="str">
        <f>IF(AND('Atividades Micro'!$B153=R$2,'Atividades Micro'!$L153&lt;&gt;""),'Atividades Micro'!$L153,"")</f>
        <v/>
      </c>
      <c r="S145" s="21">
        <f>IF(AND('Atividades Micro'!$A153=S$2,'Atividades Micro'!$K153&lt;&gt;""),'Atividades Micro'!$K153,"")</f>
        <v>46310</v>
      </c>
      <c r="T145" s="21" t="str">
        <f>IF(AND('Atividades Micro'!$A153=T$2,'Atividades Micro'!$L153&lt;&gt;""),'Atividades Micro'!$L153,"")</f>
        <v/>
      </c>
      <c r="U145" s="21">
        <f>IF(AND('Atividades Micro'!$B153=U$2,'Atividades Micro'!$K153&lt;&gt;""),'Atividades Micro'!$K153,"")</f>
        <v>46310</v>
      </c>
      <c r="V145" s="21" t="str">
        <f>IF(AND('Atividades Micro'!$B153=V$2,'Atividades Micro'!$L153&lt;&gt;""),'Atividades Micro'!$L153,"")</f>
        <v/>
      </c>
      <c r="W145" s="21" t="str">
        <f>IF(AND('Atividades Micro'!$B153=W$2,'Atividades Micro'!$K153&lt;&gt;""),'Atividades Micro'!$K153,"")</f>
        <v/>
      </c>
      <c r="X145" s="21" t="str">
        <f>IF(AND('Atividades Micro'!$B153=X$2,'Atividades Micro'!$L153&lt;&gt;""),'Atividades Micro'!$L153,"")</f>
        <v/>
      </c>
      <c r="Y145" s="21" t="str">
        <f>IF(AND('Atividades Micro'!$A153=Y$2,'Atividades Micro'!$K153&lt;&gt;""),'Atividades Micro'!$K153,"")</f>
        <v/>
      </c>
      <c r="Z145" s="21" t="str">
        <f>IF(AND('Atividades Micro'!$A153=Z$2,'Atividades Micro'!$L153&lt;&gt;""),'Atividades Micro'!$L153,"")</f>
        <v/>
      </c>
      <c r="AA145" s="21" t="str">
        <f>IF(AND('Atividades Micro'!$B153=AA$2,'Atividades Micro'!$K153&lt;&gt;""),'Atividades Micro'!$K153,"")</f>
        <v/>
      </c>
      <c r="AB145" s="21" t="str">
        <f>IF(AND('Atividades Micro'!$B153=AB$2,'Atividades Micro'!$L153&lt;&gt;""),'Atividades Micro'!$L153,"")</f>
        <v/>
      </c>
      <c r="AC145" s="21" t="str">
        <f>IF(AND('Atividades Micro'!$B153=AC$2,'Atividades Micro'!$K153&lt;&gt;""),'Atividades Micro'!$K153,"")</f>
        <v/>
      </c>
      <c r="AD145" s="21" t="str">
        <f>IF(AND('Atividades Micro'!$B153=AD$2,'Atividades Micro'!$L153&lt;&gt;""),'Atividades Micro'!$L153,"")</f>
        <v/>
      </c>
      <c r="AE145" s="21" t="str">
        <f>IF(AND('Atividades Micro'!$A153=AE$2,'Atividades Micro'!$K153&lt;&gt;""),'Atividades Micro'!$K153,"")</f>
        <v/>
      </c>
      <c r="AF145" s="21" t="str">
        <f>IF(AND('Atividades Micro'!$A153=AF$2,'Atividades Micro'!$L153&lt;&gt;""),'Atividades Micro'!$L153,"")</f>
        <v/>
      </c>
      <c r="AG145" s="21" t="str">
        <f>IF(AND('Atividades Micro'!$B153=AG$2,'Atividades Micro'!$K153&lt;&gt;""),'Atividades Micro'!$K153,"")</f>
        <v/>
      </c>
      <c r="AH145" s="21" t="str">
        <f>IF(AND('Atividades Micro'!$B153=AH$2,'Atividades Micro'!$L153&lt;&gt;""),'Atividades Micro'!$L153,"")</f>
        <v/>
      </c>
      <c r="AI145" s="21" t="str">
        <f>IF(AND('Atividades Micro'!$B153=AI$2,'Atividades Micro'!$K153&lt;&gt;""),'Atividades Micro'!$K153,"")</f>
        <v/>
      </c>
      <c r="AJ145" s="21" t="str">
        <f>IF(AND('Atividades Micro'!$B153=AJ$2,'Atividades Micro'!$L153&lt;&gt;""),'Atividades Micro'!$L153,"")</f>
        <v/>
      </c>
      <c r="AK145" s="21" t="str">
        <f>IF(AND('Atividades Micro'!$A153=AK$2,'Atividades Micro'!$K153&lt;&gt;""),'Atividades Micro'!$K153,"")</f>
        <v/>
      </c>
      <c r="AL145" s="21" t="str">
        <f>IF(AND('Atividades Micro'!$A153=AL$2,'Atividades Micro'!$L153&lt;&gt;""),'Atividades Micro'!$L153,"")</f>
        <v/>
      </c>
      <c r="AM145" s="21" t="str">
        <f>IF(AND('Atividades Micro'!$B153=AM$2,'Atividades Micro'!$K153&lt;&gt;""),'Atividades Micro'!$K153,"")</f>
        <v/>
      </c>
      <c r="AN145" s="21" t="str">
        <f>IF(AND('Atividades Micro'!$B153=AN$2,'Atividades Micro'!$L153&lt;&gt;""),'Atividades Micro'!$L153,"")</f>
        <v/>
      </c>
      <c r="AO145" s="21" t="str">
        <f>IF(AND('Atividades Micro'!$B153=AO$2,'Atividades Micro'!$K153&lt;&gt;""),'Atividades Micro'!$K153,"")</f>
        <v/>
      </c>
      <c r="AP145" s="21" t="str">
        <f>IF(AND('Atividades Micro'!$B153=AP$2,'Atividades Micro'!$L153&lt;&gt;""),'Atividades Micro'!$L153,"")</f>
        <v/>
      </c>
      <c r="AQ145" s="21" t="str">
        <f>IF(AND('Atividades Micro'!$A153=AQ$2,'Atividades Micro'!$K153&lt;&gt;""),'Atividades Micro'!$K153,"")</f>
        <v/>
      </c>
      <c r="AR145" s="21" t="str">
        <f>IF(AND('Atividades Micro'!$A153=AR$2,'Atividades Micro'!$L153&lt;&gt;""),'Atividades Micro'!$L153,"")</f>
        <v/>
      </c>
      <c r="AS145" s="21" t="str">
        <f>IF(AND('Atividades Micro'!$B153=AS$2,'Atividades Micro'!$K153&lt;&gt;""),'Atividades Micro'!$K153,"")</f>
        <v/>
      </c>
      <c r="AT145" s="21" t="str">
        <f>IF(AND('Atividades Micro'!$B153=AT$2,'Atividades Micro'!$L153&lt;&gt;""),'Atividades Micro'!$L153,"")</f>
        <v/>
      </c>
      <c r="AU145" s="21" t="str">
        <f>IF(AND('Atividades Micro'!$A153=AU$2,'Atividades Micro'!$K153&lt;&gt;""),'Atividades Micro'!$K153,"")</f>
        <v/>
      </c>
      <c r="AV145" s="21" t="str">
        <f>IF(AND('Atividades Micro'!$A153=AV$2,'Atividades Micro'!$L153&lt;&gt;""),'Atividades Micro'!$L153,"")</f>
        <v/>
      </c>
      <c r="AW145" s="21" t="str">
        <f>IF(AND('Atividades Micro'!$B153=AW$2,'Atividades Micro'!$K153&lt;&gt;""),'Atividades Micro'!$K153,"")</f>
        <v/>
      </c>
      <c r="AX145" s="21" t="str">
        <f>IF(AND('Atividades Micro'!$B153=AX$2,'Atividades Micro'!$L153&lt;&gt;""),'Atividades Micro'!$L153,"")</f>
        <v/>
      </c>
      <c r="AY145" s="21" t="str">
        <f>IF(AND('Atividades Micro'!$A153=AY$2,'Atividades Micro'!$K153&lt;&gt;""),'Atividades Micro'!$K153,"")</f>
        <v/>
      </c>
      <c r="AZ145" s="21" t="str">
        <f>IF(AND('Atividades Micro'!$A153=AZ$2,'Atividades Micro'!$L153&lt;&gt;""),'Atividades Micro'!$L153,"")</f>
        <v/>
      </c>
      <c r="BA145" s="21" t="str">
        <f>IF(AND('Atividades Micro'!$B153=BA$2,'Atividades Micro'!$K153&lt;&gt;""),'Atividades Micro'!$K153,"")</f>
        <v/>
      </c>
      <c r="BB145" s="21" t="str">
        <f>IF(AND('Atividades Micro'!$B153=BB$2,'Atividades Micro'!$L153&lt;&gt;""),'Atividades Micro'!$L153,"")</f>
        <v/>
      </c>
      <c r="BC145" s="21" t="str">
        <f>IF(AND('Atividades Micro'!$B153=BC$2,'Atividades Micro'!$G153="Macro",'Atividades Micro'!$K153&lt;&gt;""),'Atividades Micro'!$K153,"")</f>
        <v/>
      </c>
      <c r="BD145" s="21" t="str">
        <f>IF(AND('Atividades Micro'!$B153=BD$2,'Atividades Micro'!$G153="Macro",'Atividades Micro'!$K153&lt;&gt;""),'Atividades Micro'!$K153,"")</f>
        <v/>
      </c>
      <c r="BE145" s="21" t="str">
        <f>IF(AND('Atividades Micro'!$B153=BE$2,'Atividades Micro'!$G153="Macro",'Atividades Micro'!$K153&lt;&gt;""),'Atividades Micro'!$K153,"")</f>
        <v/>
      </c>
      <c r="BF145" s="21" t="str">
        <f>IF(AND('Atividades Micro'!$B153=BF$2,'Atividades Micro'!$G153="Macro",'Atividades Micro'!$K153&lt;&gt;""),'Atividades Micro'!$K153,"")</f>
        <v/>
      </c>
      <c r="BG145" s="21" t="str">
        <f>IF(AND('Atividades Micro'!$B153=BG$2,'Atividades Micro'!$G153="Macro",'Atividades Micro'!$K153&lt;&gt;""),'Atividades Micro'!$K153,"")</f>
        <v/>
      </c>
      <c r="BH145" s="21" t="str">
        <f>IF(AND('Atividades Micro'!$B153=BH$2,'Atividades Micro'!$G153="Macro",'Atividades Micro'!$K153&lt;&gt;""),'Atividades Micro'!$K153,"")</f>
        <v/>
      </c>
      <c r="BI145" s="21" t="str">
        <f>IF(AND('Atividades Micro'!$B153=BI$2,'Atividades Micro'!$G153="Macro",'Atividades Micro'!$K153&lt;&gt;""),'Atividades Micro'!$K153,"")</f>
        <v/>
      </c>
      <c r="BJ145" s="21" t="str">
        <f>IF(AND('Atividades Micro'!$B153=BJ$2,'Atividades Micro'!$G153="Macro",'Atividades Micro'!$K153&lt;&gt;""),'Atividades Micro'!$K153,"")</f>
        <v/>
      </c>
      <c r="BK145" s="21" t="str">
        <f>IF(AND('Atividades Micro'!$B153=BK$2,'Atividades Micro'!$G153="Macro",'Atividades Micro'!$K153&lt;&gt;""),'Atividades Micro'!$K153,"")</f>
        <v/>
      </c>
      <c r="BL145" s="21" t="str">
        <f>IF(AND('Atividades Micro'!$B153=BL$2,'Atividades Micro'!$G153="Macro",'Atividades Micro'!$K153&lt;&gt;""),'Atividades Micro'!$K153,"")</f>
        <v/>
      </c>
      <c r="BM145" s="21" t="str">
        <f>IF(AND('Atividades Micro'!$B153=BM$2,'Atividades Micro'!$G153="Macro",'Atividades Micro'!$K153&lt;&gt;""),'Atividades Micro'!$K153,"")</f>
        <v/>
      </c>
      <c r="BN145" s="21" t="str">
        <f>IF(AND('Atividades Micro'!$B153=BN$2,'Atividades Micro'!$G153="Macro",'Atividades Micro'!$K153&lt;&gt;""),'Atividades Micro'!$K153,"")</f>
        <v/>
      </c>
      <c r="BO145" s="21" t="str">
        <f>IF(AND('Atividades Micro'!$B153=BO$2,'Atividades Micro'!$G153="Macro",'Atividades Micro'!$K153&lt;&gt;""),'Atividades Micro'!$K153,"")</f>
        <v/>
      </c>
      <c r="BP145" s="21" t="str">
        <f>IF(AND('Atividades Micro'!$B153=BP$2,'Atividades Micro'!$G153="Macro",'Atividades Micro'!$K153&lt;&gt;""),'Atividades Micro'!$K153,"")</f>
        <v/>
      </c>
      <c r="BQ145" s="21" t="str">
        <f>IF(AND('Atividades Micro'!$B153=BQ$2,'Atividades Micro'!$G153="Macro",'Atividades Micro'!$K153&lt;&gt;""),'Atividades Micro'!$K153,"")</f>
        <v/>
      </c>
      <c r="BR145" s="21" t="str">
        <f>IF(AND('Atividades Micro'!$B153=BR$2,'Atividades Micro'!$G153="Macro",'Atividades Micro'!$K153&lt;&gt;""),'Atividades Micro'!$K153,"")</f>
        <v/>
      </c>
      <c r="BS145" s="21" t="str">
        <f>IF(AND('Atividades Micro'!$B153=BS$2,'Atividades Micro'!$G153="Macro",'Atividades Micro'!$K153&lt;&gt;""),'Atividades Micro'!$K153,"")</f>
        <v/>
      </c>
      <c r="BT145" s="21" t="str">
        <f>IF(AND('Atividades Micro'!$B153=BT$2,'Atividades Micro'!$G153="Macro",'Atividades Micro'!$K153&lt;&gt;""),'Atividades Micro'!$K153,"")</f>
        <v/>
      </c>
      <c r="BU145" s="21" t="str">
        <f>IF(AND('Atividades Micro'!$B153=BU$2,'Atividades Micro'!$G153="Macro",'Atividades Micro'!$K153&lt;&gt;""),'Atividades Micro'!$K153,"")</f>
        <v/>
      </c>
      <c r="BV145" s="21" t="str">
        <f>IF(AND('Atividades Micro'!$B153=BV$2,'Atividades Micro'!$G153="Macro",'Atividades Micro'!$K153&lt;&gt;""),'Atividades Micro'!$K153,"")</f>
        <v/>
      </c>
      <c r="BW145" s="21" t="str">
        <f>IF(AND('Atividades Micro'!$B153=BW$2,'Atividades Micro'!$G153="Macro",'Atividades Micro'!$K153&lt;&gt;""),'Atividades Micro'!$K153,"")</f>
        <v/>
      </c>
      <c r="BX145" s="21" t="str">
        <f>IF(AND('Atividades Micro'!$B153=BX$2,'Atividades Micro'!$G153="Macro",'Atividades Micro'!$K153&lt;&gt;""),'Atividades Micro'!$K153,"")</f>
        <v/>
      </c>
      <c r="BY145" s="21" t="str">
        <f>IF(AND('Atividades Micro'!$B153=BY$2,'Atividades Micro'!$G153="Macro",'Atividades Micro'!$K153&lt;&gt;""),'Atividades Micro'!$K153,"")</f>
        <v/>
      </c>
      <c r="BZ145" s="21" t="str">
        <f>IF(AND('Atividades Micro'!$B153=BZ$2,'Atividades Micro'!$G153="Macro",'Atividades Micro'!$K153&lt;&gt;""),'Atividades Micro'!$K153,"")</f>
        <v/>
      </c>
      <c r="CA145" s="21" t="str">
        <f>IF(AND('Atividades Micro'!$B153=CA$2,'Atividades Micro'!$G153="Macro",'Atividades Micro'!$K153&lt;&gt;""),'Atividades Micro'!$K153,"")</f>
        <v/>
      </c>
      <c r="CB145" s="21" t="str">
        <f>IF(AND('Atividades Micro'!$B153=CB$2,'Atividades Micro'!$G153="Macro",'Atividades Micro'!$K153&lt;&gt;""),'Atividades Micro'!$K153,"")</f>
        <v/>
      </c>
      <c r="CC145" s="21" t="str">
        <f>IF(AND('Atividades Micro'!$B153=CC$2,'Atividades Micro'!$G153="Macro",'Atividades Micro'!$K153&lt;&gt;""),'Atividades Micro'!$K153,"")</f>
        <v/>
      </c>
      <c r="CD145" s="21" t="str">
        <f>IF(AND('Atividades Micro'!$B153=CD$2,'Atividades Micro'!$G153="Micro",'Atividades Micro'!$K153&lt;&gt;""),'Atividades Micro'!$K153,"")</f>
        <v/>
      </c>
      <c r="CE145" s="21" t="str">
        <f>IF(AND('Atividades Micro'!$B153=CE$2,'Atividades Micro'!$G153="Micro",'Atividades Micro'!$K153&lt;&gt;""),'Atividades Micro'!$K153,"")</f>
        <v/>
      </c>
      <c r="CF145" s="21" t="str">
        <f>IF(AND('Atividades Micro'!$B153=CF$2,'Atividades Micro'!$G153="Micro",'Atividades Micro'!$K153&lt;&gt;""),'Atividades Micro'!$K153,"")</f>
        <v/>
      </c>
      <c r="CG145" s="21">
        <f>IF(AND('Atividades Micro'!$B153=CG$2,'Atividades Micro'!$G153="Micro",'Atividades Micro'!$K153&lt;&gt;""),'Atividades Micro'!$K153,"")</f>
        <v>46310</v>
      </c>
      <c r="CH145" s="21" t="str">
        <f>IF(AND('Atividades Micro'!$B153=CH$2,'Atividades Micro'!$G153="Micro",'Atividades Micro'!$K153&lt;&gt;""),'Atividades Micro'!$K153,"")</f>
        <v/>
      </c>
      <c r="CI145" s="21" t="str">
        <f>IF(AND('Atividades Micro'!$B153=CI$2,'Atividades Micro'!$G153="Micro",'Atividades Micro'!$K153&lt;&gt;""),'Atividades Micro'!$K153,"")</f>
        <v/>
      </c>
      <c r="CJ145" s="21" t="str">
        <f>IF(AND('Atividades Micro'!$B153=CJ$2,'Atividades Micro'!$G153="Micro",'Atividades Micro'!$K153&lt;&gt;""),'Atividades Micro'!$K153,"")</f>
        <v/>
      </c>
      <c r="CK145" s="21" t="str">
        <f>IF(AND('Atividades Micro'!$B153=CK$2,'Atividades Micro'!$G153="Micro",'Atividades Micro'!$K153&lt;&gt;""),'Atividades Micro'!$K153,"")</f>
        <v/>
      </c>
      <c r="CL145" s="21" t="str">
        <f>IF(AND('Atividades Micro'!$B153=CL$2,'Atividades Micro'!$G153="Micro",'Atividades Micro'!$K153&lt;&gt;""),'Atividades Micro'!$K153,"")</f>
        <v/>
      </c>
      <c r="CM145" s="21" t="str">
        <f>IF(AND('Atividades Micro'!$B153=CM$2,'Atividades Micro'!$G153="Micro",'Atividades Micro'!$K153&lt;&gt;""),'Atividades Micro'!$K153,"")</f>
        <v/>
      </c>
      <c r="CN145" s="21" t="str">
        <f>IF(AND('Atividades Micro'!$B153=CN$2,'Atividades Micro'!$G153="Micro",'Atividades Micro'!$K153&lt;&gt;""),'Atividades Micro'!$K153,"")</f>
        <v/>
      </c>
      <c r="CO145" s="21" t="str">
        <f>IF(AND('Atividades Micro'!$B153=CO$2,'Atividades Micro'!$G153="Micro",'Atividades Micro'!$K153&lt;&gt;""),'Atividades Micro'!$K153,"")</f>
        <v/>
      </c>
    </row>
    <row r="146" spans="1:93">
      <c r="A146" s="21" t="str">
        <f>IF(AND('Atividades Micro'!$A154=A$2,'Atividades Micro'!$K154&lt;&gt;""),'Atividades Micro'!$K154,"")</f>
        <v/>
      </c>
      <c r="B146" s="21" t="str">
        <f>IF(AND('Atividades Micro'!$A154=B$2,'Atividades Micro'!$L154&lt;&gt;""),'Atividades Micro'!$L154,"")</f>
        <v/>
      </c>
      <c r="C146" s="21" t="str">
        <f>IF(AND('Atividades Micro'!$A154=C$2,'Atividades Micro'!$K154&lt;&gt;""),'Atividades Micro'!$K154,"")</f>
        <v/>
      </c>
      <c r="D146" s="21" t="str">
        <f>IF(AND('Atividades Micro'!$A154=D$2,'Atividades Micro'!$L154&lt;&gt;""),'Atividades Micro'!$L154,"")</f>
        <v/>
      </c>
      <c r="E146" s="21" t="str">
        <f>IF(AND('Atividades Micro'!$A154=E$2,'Atividades Micro'!$K154&lt;&gt;""),'Atividades Micro'!$K154,"")</f>
        <v/>
      </c>
      <c r="F146" s="21" t="str">
        <f>IF(AND('Atividades Micro'!$A154=F$2,'Atividades Micro'!$L154&lt;&gt;""),'Atividades Micro'!$L154,"")</f>
        <v/>
      </c>
      <c r="G146" s="21" t="str">
        <f>IF(AND('Atividades Micro'!$A154=G$2,'Atividades Micro'!$K154&lt;&gt;""),'Atividades Micro'!$K154,"")</f>
        <v/>
      </c>
      <c r="H146" s="21" t="str">
        <f>IF(AND('Atividades Micro'!$A154=H$2,'Atividades Micro'!$L154&lt;&gt;""),'Atividades Micro'!$L154,"")</f>
        <v/>
      </c>
      <c r="I146" s="21" t="str">
        <f>IF(AND('Atividades Micro'!$A154=I$2,'Atividades Micro'!$K154&lt;&gt;""),'Atividades Micro'!$K154,"")</f>
        <v/>
      </c>
      <c r="J146" s="21" t="str">
        <f>IF(AND('Atividades Micro'!$A154=J$2,'Atividades Micro'!$L154&lt;&gt;""),'Atividades Micro'!$L154,"")</f>
        <v/>
      </c>
      <c r="K146" s="21" t="str">
        <f>IF(AND('Atividades Micro'!$B154=K$2,'Atividades Micro'!$K154&lt;&gt;""),'Atividades Micro'!$K154,"")</f>
        <v/>
      </c>
      <c r="L146" s="21" t="str">
        <f>IF(AND('Atividades Micro'!$B154=L$2,'Atividades Micro'!$L154&lt;&gt;""),'Atividades Micro'!$L154,"")</f>
        <v/>
      </c>
      <c r="M146" s="21" t="str">
        <f>IF(AND('Atividades Micro'!$B154=M$2,'Atividades Micro'!$K154&lt;&gt;""),'Atividades Micro'!$K154,"")</f>
        <v/>
      </c>
      <c r="N146" s="21" t="str">
        <f>IF(AND('Atividades Micro'!$B154=N$2,'Atividades Micro'!$L154&lt;&gt;""),'Atividades Micro'!$L154,"")</f>
        <v/>
      </c>
      <c r="O146" s="21" t="str">
        <f>IF(AND('Atividades Micro'!$A154=O$2,'Atividades Micro'!$K154&lt;&gt;""),'Atividades Micro'!$K154,"")</f>
        <v/>
      </c>
      <c r="P146" s="21" t="str">
        <f>IF(AND('Atividades Micro'!$A154=P$2,'Atividades Micro'!$L154&lt;&gt;""),'Atividades Micro'!$L154,"")</f>
        <v/>
      </c>
      <c r="Q146" s="21" t="str">
        <f>IF(AND('Atividades Micro'!$B154=Q$2,'Atividades Micro'!$K154&lt;&gt;""),'Atividades Micro'!$K154,"")</f>
        <v/>
      </c>
      <c r="R146" s="21" t="str">
        <f>IF(AND('Atividades Micro'!$B154=R$2,'Atividades Micro'!$L154&lt;&gt;""),'Atividades Micro'!$L154,"")</f>
        <v/>
      </c>
      <c r="S146" s="21">
        <f>IF(AND('Atividades Micro'!$A154=S$2,'Atividades Micro'!$K154&lt;&gt;""),'Atividades Micro'!$K154,"")</f>
        <v>46314</v>
      </c>
      <c r="T146" s="21" t="str">
        <f>IF(AND('Atividades Micro'!$A154=T$2,'Atividades Micro'!$L154&lt;&gt;""),'Atividades Micro'!$L154,"")</f>
        <v/>
      </c>
      <c r="U146" s="21">
        <f>IF(AND('Atividades Micro'!$B154=U$2,'Atividades Micro'!$K154&lt;&gt;""),'Atividades Micro'!$K154,"")</f>
        <v>46314</v>
      </c>
      <c r="V146" s="21" t="str">
        <f>IF(AND('Atividades Micro'!$B154=V$2,'Atividades Micro'!$L154&lt;&gt;""),'Atividades Micro'!$L154,"")</f>
        <v/>
      </c>
      <c r="W146" s="21" t="str">
        <f>IF(AND('Atividades Micro'!$B154=W$2,'Atividades Micro'!$K154&lt;&gt;""),'Atividades Micro'!$K154,"")</f>
        <v/>
      </c>
      <c r="X146" s="21" t="str">
        <f>IF(AND('Atividades Micro'!$B154=X$2,'Atividades Micro'!$L154&lt;&gt;""),'Atividades Micro'!$L154,"")</f>
        <v/>
      </c>
      <c r="Y146" s="21" t="str">
        <f>IF(AND('Atividades Micro'!$A154=Y$2,'Atividades Micro'!$K154&lt;&gt;""),'Atividades Micro'!$K154,"")</f>
        <v/>
      </c>
      <c r="Z146" s="21" t="str">
        <f>IF(AND('Atividades Micro'!$A154=Z$2,'Atividades Micro'!$L154&lt;&gt;""),'Atividades Micro'!$L154,"")</f>
        <v/>
      </c>
      <c r="AA146" s="21" t="str">
        <f>IF(AND('Atividades Micro'!$B154=AA$2,'Atividades Micro'!$K154&lt;&gt;""),'Atividades Micro'!$K154,"")</f>
        <v/>
      </c>
      <c r="AB146" s="21" t="str">
        <f>IF(AND('Atividades Micro'!$B154=AB$2,'Atividades Micro'!$L154&lt;&gt;""),'Atividades Micro'!$L154,"")</f>
        <v/>
      </c>
      <c r="AC146" s="21" t="str">
        <f>IF(AND('Atividades Micro'!$B154=AC$2,'Atividades Micro'!$K154&lt;&gt;""),'Atividades Micro'!$K154,"")</f>
        <v/>
      </c>
      <c r="AD146" s="21" t="str">
        <f>IF(AND('Atividades Micro'!$B154=AD$2,'Atividades Micro'!$L154&lt;&gt;""),'Atividades Micro'!$L154,"")</f>
        <v/>
      </c>
      <c r="AE146" s="21" t="str">
        <f>IF(AND('Atividades Micro'!$A154=AE$2,'Atividades Micro'!$K154&lt;&gt;""),'Atividades Micro'!$K154,"")</f>
        <v/>
      </c>
      <c r="AF146" s="21" t="str">
        <f>IF(AND('Atividades Micro'!$A154=AF$2,'Atividades Micro'!$L154&lt;&gt;""),'Atividades Micro'!$L154,"")</f>
        <v/>
      </c>
      <c r="AG146" s="21" t="str">
        <f>IF(AND('Atividades Micro'!$B154=AG$2,'Atividades Micro'!$K154&lt;&gt;""),'Atividades Micro'!$K154,"")</f>
        <v/>
      </c>
      <c r="AH146" s="21" t="str">
        <f>IF(AND('Atividades Micro'!$B154=AH$2,'Atividades Micro'!$L154&lt;&gt;""),'Atividades Micro'!$L154,"")</f>
        <v/>
      </c>
      <c r="AI146" s="21" t="str">
        <f>IF(AND('Atividades Micro'!$B154=AI$2,'Atividades Micro'!$K154&lt;&gt;""),'Atividades Micro'!$K154,"")</f>
        <v/>
      </c>
      <c r="AJ146" s="21" t="str">
        <f>IF(AND('Atividades Micro'!$B154=AJ$2,'Atividades Micro'!$L154&lt;&gt;""),'Atividades Micro'!$L154,"")</f>
        <v/>
      </c>
      <c r="AK146" s="21" t="str">
        <f>IF(AND('Atividades Micro'!$A154=AK$2,'Atividades Micro'!$K154&lt;&gt;""),'Atividades Micro'!$K154,"")</f>
        <v/>
      </c>
      <c r="AL146" s="21" t="str">
        <f>IF(AND('Atividades Micro'!$A154=AL$2,'Atividades Micro'!$L154&lt;&gt;""),'Atividades Micro'!$L154,"")</f>
        <v/>
      </c>
      <c r="AM146" s="21" t="str">
        <f>IF(AND('Atividades Micro'!$B154=AM$2,'Atividades Micro'!$K154&lt;&gt;""),'Atividades Micro'!$K154,"")</f>
        <v/>
      </c>
      <c r="AN146" s="21" t="str">
        <f>IF(AND('Atividades Micro'!$B154=AN$2,'Atividades Micro'!$L154&lt;&gt;""),'Atividades Micro'!$L154,"")</f>
        <v/>
      </c>
      <c r="AO146" s="21" t="str">
        <f>IF(AND('Atividades Micro'!$B154=AO$2,'Atividades Micro'!$K154&lt;&gt;""),'Atividades Micro'!$K154,"")</f>
        <v/>
      </c>
      <c r="AP146" s="21" t="str">
        <f>IF(AND('Atividades Micro'!$B154=AP$2,'Atividades Micro'!$L154&lt;&gt;""),'Atividades Micro'!$L154,"")</f>
        <v/>
      </c>
      <c r="AQ146" s="21" t="str">
        <f>IF(AND('Atividades Micro'!$A154=AQ$2,'Atividades Micro'!$K154&lt;&gt;""),'Atividades Micro'!$K154,"")</f>
        <v/>
      </c>
      <c r="AR146" s="21" t="str">
        <f>IF(AND('Atividades Micro'!$A154=AR$2,'Atividades Micro'!$L154&lt;&gt;""),'Atividades Micro'!$L154,"")</f>
        <v/>
      </c>
      <c r="AS146" s="21" t="str">
        <f>IF(AND('Atividades Micro'!$B154=AS$2,'Atividades Micro'!$K154&lt;&gt;""),'Atividades Micro'!$K154,"")</f>
        <v/>
      </c>
      <c r="AT146" s="21" t="str">
        <f>IF(AND('Atividades Micro'!$B154=AT$2,'Atividades Micro'!$L154&lt;&gt;""),'Atividades Micro'!$L154,"")</f>
        <v/>
      </c>
      <c r="AU146" s="21" t="str">
        <f>IF(AND('Atividades Micro'!$A154=AU$2,'Atividades Micro'!$K154&lt;&gt;""),'Atividades Micro'!$K154,"")</f>
        <v/>
      </c>
      <c r="AV146" s="21" t="str">
        <f>IF(AND('Atividades Micro'!$A154=AV$2,'Atividades Micro'!$L154&lt;&gt;""),'Atividades Micro'!$L154,"")</f>
        <v/>
      </c>
      <c r="AW146" s="21" t="str">
        <f>IF(AND('Atividades Micro'!$B154=AW$2,'Atividades Micro'!$K154&lt;&gt;""),'Atividades Micro'!$K154,"")</f>
        <v/>
      </c>
      <c r="AX146" s="21" t="str">
        <f>IF(AND('Atividades Micro'!$B154=AX$2,'Atividades Micro'!$L154&lt;&gt;""),'Atividades Micro'!$L154,"")</f>
        <v/>
      </c>
      <c r="AY146" s="21" t="str">
        <f>IF(AND('Atividades Micro'!$A154=AY$2,'Atividades Micro'!$K154&lt;&gt;""),'Atividades Micro'!$K154,"")</f>
        <v/>
      </c>
      <c r="AZ146" s="21" t="str">
        <f>IF(AND('Atividades Micro'!$A154=AZ$2,'Atividades Micro'!$L154&lt;&gt;""),'Atividades Micro'!$L154,"")</f>
        <v/>
      </c>
      <c r="BA146" s="21" t="str">
        <f>IF(AND('Atividades Micro'!$B154=BA$2,'Atividades Micro'!$K154&lt;&gt;""),'Atividades Micro'!$K154,"")</f>
        <v/>
      </c>
      <c r="BB146" s="21" t="str">
        <f>IF(AND('Atividades Micro'!$B154=BB$2,'Atividades Micro'!$L154&lt;&gt;""),'Atividades Micro'!$L154,"")</f>
        <v/>
      </c>
      <c r="BC146" s="21" t="str">
        <f>IF(AND('Atividades Micro'!$B154=BC$2,'Atividades Micro'!$G154="Macro",'Atividades Micro'!$K154&lt;&gt;""),'Atividades Micro'!$K154,"")</f>
        <v/>
      </c>
      <c r="BD146" s="21" t="str">
        <f>IF(AND('Atividades Micro'!$B154=BD$2,'Atividades Micro'!$G154="Macro",'Atividades Micro'!$K154&lt;&gt;""),'Atividades Micro'!$K154,"")</f>
        <v/>
      </c>
      <c r="BE146" s="21" t="str">
        <f>IF(AND('Atividades Micro'!$B154=BE$2,'Atividades Micro'!$G154="Macro",'Atividades Micro'!$K154&lt;&gt;""),'Atividades Micro'!$K154,"")</f>
        <v/>
      </c>
      <c r="BF146" s="21" t="str">
        <f>IF(AND('Atividades Micro'!$B154=BF$2,'Atividades Micro'!$G154="Macro",'Atividades Micro'!$K154&lt;&gt;""),'Atividades Micro'!$K154,"")</f>
        <v/>
      </c>
      <c r="BG146" s="21" t="str">
        <f>IF(AND('Atividades Micro'!$B154=BG$2,'Atividades Micro'!$G154="Macro",'Atividades Micro'!$K154&lt;&gt;""),'Atividades Micro'!$K154,"")</f>
        <v/>
      </c>
      <c r="BH146" s="21" t="str">
        <f>IF(AND('Atividades Micro'!$B154=BH$2,'Atividades Micro'!$G154="Macro",'Atividades Micro'!$K154&lt;&gt;""),'Atividades Micro'!$K154,"")</f>
        <v/>
      </c>
      <c r="BI146" s="21" t="str">
        <f>IF(AND('Atividades Micro'!$B154=BI$2,'Atividades Micro'!$G154="Macro",'Atividades Micro'!$K154&lt;&gt;""),'Atividades Micro'!$K154,"")</f>
        <v/>
      </c>
      <c r="BJ146" s="21" t="str">
        <f>IF(AND('Atividades Micro'!$B154=BJ$2,'Atividades Micro'!$G154="Macro",'Atividades Micro'!$K154&lt;&gt;""),'Atividades Micro'!$K154,"")</f>
        <v/>
      </c>
      <c r="BK146" s="21" t="str">
        <f>IF(AND('Atividades Micro'!$B154=BK$2,'Atividades Micro'!$G154="Macro",'Atividades Micro'!$K154&lt;&gt;""),'Atividades Micro'!$K154,"")</f>
        <v/>
      </c>
      <c r="BL146" s="21" t="str">
        <f>IF(AND('Atividades Micro'!$B154=BL$2,'Atividades Micro'!$G154="Macro",'Atividades Micro'!$K154&lt;&gt;""),'Atividades Micro'!$K154,"")</f>
        <v/>
      </c>
      <c r="BM146" s="21" t="str">
        <f>IF(AND('Atividades Micro'!$B154=BM$2,'Atividades Micro'!$G154="Macro",'Atividades Micro'!$K154&lt;&gt;""),'Atividades Micro'!$K154,"")</f>
        <v/>
      </c>
      <c r="BN146" s="21" t="str">
        <f>IF(AND('Atividades Micro'!$B154=BN$2,'Atividades Micro'!$G154="Macro",'Atividades Micro'!$K154&lt;&gt;""),'Atividades Micro'!$K154,"")</f>
        <v/>
      </c>
      <c r="BO146" s="21" t="str">
        <f>IF(AND('Atividades Micro'!$B154=BO$2,'Atividades Micro'!$G154="Macro",'Atividades Micro'!$K154&lt;&gt;""),'Atividades Micro'!$K154,"")</f>
        <v/>
      </c>
      <c r="BP146" s="21" t="str">
        <f>IF(AND('Atividades Micro'!$B154=BP$2,'Atividades Micro'!$G154="Macro",'Atividades Micro'!$K154&lt;&gt;""),'Atividades Micro'!$K154,"")</f>
        <v/>
      </c>
      <c r="BQ146" s="21" t="str">
        <f>IF(AND('Atividades Micro'!$B154=BQ$2,'Atividades Micro'!$G154="Macro",'Atividades Micro'!$K154&lt;&gt;""),'Atividades Micro'!$K154,"")</f>
        <v/>
      </c>
      <c r="BR146" s="21" t="str">
        <f>IF(AND('Atividades Micro'!$B154=BR$2,'Atividades Micro'!$G154="Macro",'Atividades Micro'!$K154&lt;&gt;""),'Atividades Micro'!$K154,"")</f>
        <v/>
      </c>
      <c r="BS146" s="21" t="str">
        <f>IF(AND('Atividades Micro'!$B154=BS$2,'Atividades Micro'!$G154="Macro",'Atividades Micro'!$K154&lt;&gt;""),'Atividades Micro'!$K154,"")</f>
        <v/>
      </c>
      <c r="BT146" s="21" t="str">
        <f>IF(AND('Atividades Micro'!$B154=BT$2,'Atividades Micro'!$G154="Macro",'Atividades Micro'!$K154&lt;&gt;""),'Atividades Micro'!$K154,"")</f>
        <v/>
      </c>
      <c r="BU146" s="21" t="str">
        <f>IF(AND('Atividades Micro'!$B154=BU$2,'Atividades Micro'!$G154="Macro",'Atividades Micro'!$K154&lt;&gt;""),'Atividades Micro'!$K154,"")</f>
        <v/>
      </c>
      <c r="BV146" s="21" t="str">
        <f>IF(AND('Atividades Micro'!$B154=BV$2,'Atividades Micro'!$G154="Macro",'Atividades Micro'!$K154&lt;&gt;""),'Atividades Micro'!$K154,"")</f>
        <v/>
      </c>
      <c r="BW146" s="21" t="str">
        <f>IF(AND('Atividades Micro'!$B154=BW$2,'Atividades Micro'!$G154="Macro",'Atividades Micro'!$K154&lt;&gt;""),'Atividades Micro'!$K154,"")</f>
        <v/>
      </c>
      <c r="BX146" s="21" t="str">
        <f>IF(AND('Atividades Micro'!$B154=BX$2,'Atividades Micro'!$G154="Macro",'Atividades Micro'!$K154&lt;&gt;""),'Atividades Micro'!$K154,"")</f>
        <v/>
      </c>
      <c r="BY146" s="21" t="str">
        <f>IF(AND('Atividades Micro'!$B154=BY$2,'Atividades Micro'!$G154="Macro",'Atividades Micro'!$K154&lt;&gt;""),'Atividades Micro'!$K154,"")</f>
        <v/>
      </c>
      <c r="BZ146" s="21" t="str">
        <f>IF(AND('Atividades Micro'!$B154=BZ$2,'Atividades Micro'!$G154="Macro",'Atividades Micro'!$K154&lt;&gt;""),'Atividades Micro'!$K154,"")</f>
        <v/>
      </c>
      <c r="CA146" s="21" t="str">
        <f>IF(AND('Atividades Micro'!$B154=CA$2,'Atividades Micro'!$G154="Macro",'Atividades Micro'!$K154&lt;&gt;""),'Atividades Micro'!$K154,"")</f>
        <v/>
      </c>
      <c r="CB146" s="21" t="str">
        <f>IF(AND('Atividades Micro'!$B154=CB$2,'Atividades Micro'!$G154="Macro",'Atividades Micro'!$K154&lt;&gt;""),'Atividades Micro'!$K154,"")</f>
        <v/>
      </c>
      <c r="CC146" s="21" t="str">
        <f>IF(AND('Atividades Micro'!$B154=CC$2,'Atividades Micro'!$G154="Macro",'Atividades Micro'!$K154&lt;&gt;""),'Atividades Micro'!$K154,"")</f>
        <v/>
      </c>
      <c r="CD146" s="21" t="str">
        <f>IF(AND('Atividades Micro'!$B154=CD$2,'Atividades Micro'!$G154="Micro",'Atividades Micro'!$K154&lt;&gt;""),'Atividades Micro'!$K154,"")</f>
        <v/>
      </c>
      <c r="CE146" s="21" t="str">
        <f>IF(AND('Atividades Micro'!$B154=CE$2,'Atividades Micro'!$G154="Micro",'Atividades Micro'!$K154&lt;&gt;""),'Atividades Micro'!$K154,"")</f>
        <v/>
      </c>
      <c r="CF146" s="21" t="str">
        <f>IF(AND('Atividades Micro'!$B154=CF$2,'Atividades Micro'!$G154="Micro",'Atividades Micro'!$K154&lt;&gt;""),'Atividades Micro'!$K154,"")</f>
        <v/>
      </c>
      <c r="CG146" s="21">
        <f>IF(AND('Atividades Micro'!$B154=CG$2,'Atividades Micro'!$G154="Micro",'Atividades Micro'!$K154&lt;&gt;""),'Atividades Micro'!$K154,"")</f>
        <v>46314</v>
      </c>
      <c r="CH146" s="21" t="str">
        <f>IF(AND('Atividades Micro'!$B154=CH$2,'Atividades Micro'!$G154="Micro",'Atividades Micro'!$K154&lt;&gt;""),'Atividades Micro'!$K154,"")</f>
        <v/>
      </c>
      <c r="CI146" s="21" t="str">
        <f>IF(AND('Atividades Micro'!$B154=CI$2,'Atividades Micro'!$G154="Micro",'Atividades Micro'!$K154&lt;&gt;""),'Atividades Micro'!$K154,"")</f>
        <v/>
      </c>
      <c r="CJ146" s="21" t="str">
        <f>IF(AND('Atividades Micro'!$B154=CJ$2,'Atividades Micro'!$G154="Micro",'Atividades Micro'!$K154&lt;&gt;""),'Atividades Micro'!$K154,"")</f>
        <v/>
      </c>
      <c r="CK146" s="21" t="str">
        <f>IF(AND('Atividades Micro'!$B154=CK$2,'Atividades Micro'!$G154="Micro",'Atividades Micro'!$K154&lt;&gt;""),'Atividades Micro'!$K154,"")</f>
        <v/>
      </c>
      <c r="CL146" s="21" t="str">
        <f>IF(AND('Atividades Micro'!$B154=CL$2,'Atividades Micro'!$G154="Micro",'Atividades Micro'!$K154&lt;&gt;""),'Atividades Micro'!$K154,"")</f>
        <v/>
      </c>
      <c r="CM146" s="21" t="str">
        <f>IF(AND('Atividades Micro'!$B154=CM$2,'Atividades Micro'!$G154="Micro",'Atividades Micro'!$K154&lt;&gt;""),'Atividades Micro'!$K154,"")</f>
        <v/>
      </c>
      <c r="CN146" s="21" t="str">
        <f>IF(AND('Atividades Micro'!$B154=CN$2,'Atividades Micro'!$G154="Micro",'Atividades Micro'!$K154&lt;&gt;""),'Atividades Micro'!$K154,"")</f>
        <v/>
      </c>
      <c r="CO146" s="21" t="str">
        <f>IF(AND('Atividades Micro'!$B154=CO$2,'Atividades Micro'!$G154="Micro",'Atividades Micro'!$K154&lt;&gt;""),'Atividades Micro'!$K154,"")</f>
        <v/>
      </c>
    </row>
    <row r="147" spans="1:93">
      <c r="A147" s="21" t="str">
        <f>IF(AND('Atividades Micro'!$A155=A$2,'Atividades Micro'!$K155&lt;&gt;""),'Atividades Micro'!$K155,"")</f>
        <v/>
      </c>
      <c r="B147" s="21" t="str">
        <f>IF(AND('Atividades Micro'!$A155=B$2,'Atividades Micro'!$L155&lt;&gt;""),'Atividades Micro'!$L155,"")</f>
        <v/>
      </c>
      <c r="C147" s="21" t="str">
        <f>IF(AND('Atividades Micro'!$A155=C$2,'Atividades Micro'!$K155&lt;&gt;""),'Atividades Micro'!$K155,"")</f>
        <v/>
      </c>
      <c r="D147" s="21" t="str">
        <f>IF(AND('Atividades Micro'!$A155=D$2,'Atividades Micro'!$L155&lt;&gt;""),'Atividades Micro'!$L155,"")</f>
        <v/>
      </c>
      <c r="E147" s="21" t="str">
        <f>IF(AND('Atividades Micro'!$A155=E$2,'Atividades Micro'!$K155&lt;&gt;""),'Atividades Micro'!$K155,"")</f>
        <v/>
      </c>
      <c r="F147" s="21" t="str">
        <f>IF(AND('Atividades Micro'!$A155=F$2,'Atividades Micro'!$L155&lt;&gt;""),'Atividades Micro'!$L155,"")</f>
        <v/>
      </c>
      <c r="G147" s="21" t="str">
        <f>IF(AND('Atividades Micro'!$A155=G$2,'Atividades Micro'!$K155&lt;&gt;""),'Atividades Micro'!$K155,"")</f>
        <v/>
      </c>
      <c r="H147" s="21" t="str">
        <f>IF(AND('Atividades Micro'!$A155=H$2,'Atividades Micro'!$L155&lt;&gt;""),'Atividades Micro'!$L155,"")</f>
        <v/>
      </c>
      <c r="I147" s="21" t="str">
        <f>IF(AND('Atividades Micro'!$A155=I$2,'Atividades Micro'!$K155&lt;&gt;""),'Atividades Micro'!$K155,"")</f>
        <v/>
      </c>
      <c r="J147" s="21" t="str">
        <f>IF(AND('Atividades Micro'!$A155=J$2,'Atividades Micro'!$L155&lt;&gt;""),'Atividades Micro'!$L155,"")</f>
        <v/>
      </c>
      <c r="K147" s="21" t="str">
        <f>IF(AND('Atividades Micro'!$B155=K$2,'Atividades Micro'!$K155&lt;&gt;""),'Atividades Micro'!$K155,"")</f>
        <v/>
      </c>
      <c r="L147" s="21" t="str">
        <f>IF(AND('Atividades Micro'!$B155=L$2,'Atividades Micro'!$L155&lt;&gt;""),'Atividades Micro'!$L155,"")</f>
        <v/>
      </c>
      <c r="M147" s="21" t="str">
        <f>IF(AND('Atividades Micro'!$B155=M$2,'Atividades Micro'!$K155&lt;&gt;""),'Atividades Micro'!$K155,"")</f>
        <v/>
      </c>
      <c r="N147" s="21" t="str">
        <f>IF(AND('Atividades Micro'!$B155=N$2,'Atividades Micro'!$L155&lt;&gt;""),'Atividades Micro'!$L155,"")</f>
        <v/>
      </c>
      <c r="O147" s="21" t="str">
        <f>IF(AND('Atividades Micro'!$A155=O$2,'Atividades Micro'!$K155&lt;&gt;""),'Atividades Micro'!$K155,"")</f>
        <v/>
      </c>
      <c r="P147" s="21" t="str">
        <f>IF(AND('Atividades Micro'!$A155=P$2,'Atividades Micro'!$L155&lt;&gt;""),'Atividades Micro'!$L155,"")</f>
        <v/>
      </c>
      <c r="Q147" s="21" t="str">
        <f>IF(AND('Atividades Micro'!$B155=Q$2,'Atividades Micro'!$K155&lt;&gt;""),'Atividades Micro'!$K155,"")</f>
        <v/>
      </c>
      <c r="R147" s="21" t="str">
        <f>IF(AND('Atividades Micro'!$B155=R$2,'Atividades Micro'!$L155&lt;&gt;""),'Atividades Micro'!$L155,"")</f>
        <v/>
      </c>
      <c r="S147" s="21" t="str">
        <f>IF(AND('Atividades Micro'!$A155=S$2,'Atividades Micro'!$K155&lt;&gt;""),'Atividades Micro'!$K155,"")</f>
        <v/>
      </c>
      <c r="T147" s="21" t="str">
        <f>IF(AND('Atividades Micro'!$A155=T$2,'Atividades Micro'!$L155&lt;&gt;""),'Atividades Micro'!$L155,"")</f>
        <v/>
      </c>
      <c r="U147" s="21" t="str">
        <f>IF(AND('Atividades Micro'!$B155=U$2,'Atividades Micro'!$K155&lt;&gt;""),'Atividades Micro'!$K155,"")</f>
        <v/>
      </c>
      <c r="V147" s="21" t="str">
        <f>IF(AND('Atividades Micro'!$B155=V$2,'Atividades Micro'!$L155&lt;&gt;""),'Atividades Micro'!$L155,"")</f>
        <v/>
      </c>
      <c r="W147" s="21" t="str">
        <f>IF(AND('Atividades Micro'!$B155=W$2,'Atividades Micro'!$K155&lt;&gt;""),'Atividades Micro'!$K155,"")</f>
        <v/>
      </c>
      <c r="X147" s="21" t="str">
        <f>IF(AND('Atividades Micro'!$B155=X$2,'Atividades Micro'!$L155&lt;&gt;""),'Atividades Micro'!$L155,"")</f>
        <v/>
      </c>
      <c r="Y147" s="21" t="str">
        <f>IF(AND('Atividades Micro'!$A155=Y$2,'Atividades Micro'!$K155&lt;&gt;""),'Atividades Micro'!$K155,"")</f>
        <v/>
      </c>
      <c r="Z147" s="21" t="str">
        <f>IF(AND('Atividades Micro'!$A155=Z$2,'Atividades Micro'!$L155&lt;&gt;""),'Atividades Micro'!$L155,"")</f>
        <v/>
      </c>
      <c r="AA147" s="21" t="str">
        <f>IF(AND('Atividades Micro'!$B155=AA$2,'Atividades Micro'!$K155&lt;&gt;""),'Atividades Micro'!$K155,"")</f>
        <v/>
      </c>
      <c r="AB147" s="21" t="str">
        <f>IF(AND('Atividades Micro'!$B155=AB$2,'Atividades Micro'!$L155&lt;&gt;""),'Atividades Micro'!$L155,"")</f>
        <v/>
      </c>
      <c r="AC147" s="21" t="str">
        <f>IF(AND('Atividades Micro'!$B155=AC$2,'Atividades Micro'!$K155&lt;&gt;""),'Atividades Micro'!$K155,"")</f>
        <v/>
      </c>
      <c r="AD147" s="21" t="str">
        <f>IF(AND('Atividades Micro'!$B155=AD$2,'Atividades Micro'!$L155&lt;&gt;""),'Atividades Micro'!$L155,"")</f>
        <v/>
      </c>
      <c r="AE147" s="21" t="str">
        <f>IF(AND('Atividades Micro'!$A155=AE$2,'Atividades Micro'!$K155&lt;&gt;""),'Atividades Micro'!$K155,"")</f>
        <v/>
      </c>
      <c r="AF147" s="21" t="str">
        <f>IF(AND('Atividades Micro'!$A155=AF$2,'Atividades Micro'!$L155&lt;&gt;""),'Atividades Micro'!$L155,"")</f>
        <v/>
      </c>
      <c r="AG147" s="21" t="str">
        <f>IF(AND('Atividades Micro'!$B155=AG$2,'Atividades Micro'!$K155&lt;&gt;""),'Atividades Micro'!$K155,"")</f>
        <v/>
      </c>
      <c r="AH147" s="21" t="str">
        <f>IF(AND('Atividades Micro'!$B155=AH$2,'Atividades Micro'!$L155&lt;&gt;""),'Atividades Micro'!$L155,"")</f>
        <v/>
      </c>
      <c r="AI147" s="21" t="str">
        <f>IF(AND('Atividades Micro'!$B155=AI$2,'Atividades Micro'!$K155&lt;&gt;""),'Atividades Micro'!$K155,"")</f>
        <v/>
      </c>
      <c r="AJ147" s="21" t="str">
        <f>IF(AND('Atividades Micro'!$B155=AJ$2,'Atividades Micro'!$L155&lt;&gt;""),'Atividades Micro'!$L155,"")</f>
        <v/>
      </c>
      <c r="AK147" s="21" t="str">
        <f>IF(AND('Atividades Micro'!$A155=AK$2,'Atividades Micro'!$K155&lt;&gt;""),'Atividades Micro'!$K155,"")</f>
        <v/>
      </c>
      <c r="AL147" s="21" t="str">
        <f>IF(AND('Atividades Micro'!$A155=AL$2,'Atividades Micro'!$L155&lt;&gt;""),'Atividades Micro'!$L155,"")</f>
        <v/>
      </c>
      <c r="AM147" s="21" t="str">
        <f>IF(AND('Atividades Micro'!$B155=AM$2,'Atividades Micro'!$K155&lt;&gt;""),'Atividades Micro'!$K155,"")</f>
        <v/>
      </c>
      <c r="AN147" s="21" t="str">
        <f>IF(AND('Atividades Micro'!$B155=AN$2,'Atividades Micro'!$L155&lt;&gt;""),'Atividades Micro'!$L155,"")</f>
        <v/>
      </c>
      <c r="AO147" s="21" t="str">
        <f>IF(AND('Atividades Micro'!$B155=AO$2,'Atividades Micro'!$K155&lt;&gt;""),'Atividades Micro'!$K155,"")</f>
        <v/>
      </c>
      <c r="AP147" s="21" t="str">
        <f>IF(AND('Atividades Micro'!$B155=AP$2,'Atividades Micro'!$L155&lt;&gt;""),'Atividades Micro'!$L155,"")</f>
        <v/>
      </c>
      <c r="AQ147" s="21" t="str">
        <f>IF(AND('Atividades Micro'!$A155=AQ$2,'Atividades Micro'!$K155&lt;&gt;""),'Atividades Micro'!$K155,"")</f>
        <v/>
      </c>
      <c r="AR147" s="21" t="str">
        <f>IF(AND('Atividades Micro'!$A155=AR$2,'Atividades Micro'!$L155&lt;&gt;""),'Atividades Micro'!$L155,"")</f>
        <v/>
      </c>
      <c r="AS147" s="21" t="str">
        <f>IF(AND('Atividades Micro'!$B155=AS$2,'Atividades Micro'!$K155&lt;&gt;""),'Atividades Micro'!$K155,"")</f>
        <v/>
      </c>
      <c r="AT147" s="21" t="str">
        <f>IF(AND('Atividades Micro'!$B155=AT$2,'Atividades Micro'!$L155&lt;&gt;""),'Atividades Micro'!$L155,"")</f>
        <v/>
      </c>
      <c r="AU147" s="21" t="str">
        <f>IF(AND('Atividades Micro'!$A155=AU$2,'Atividades Micro'!$K155&lt;&gt;""),'Atividades Micro'!$K155,"")</f>
        <v/>
      </c>
      <c r="AV147" s="21" t="str">
        <f>IF(AND('Atividades Micro'!$A155=AV$2,'Atividades Micro'!$L155&lt;&gt;""),'Atividades Micro'!$L155,"")</f>
        <v/>
      </c>
      <c r="AW147" s="21" t="str">
        <f>IF(AND('Atividades Micro'!$B155=AW$2,'Atividades Micro'!$K155&lt;&gt;""),'Atividades Micro'!$K155,"")</f>
        <v/>
      </c>
      <c r="AX147" s="21" t="str">
        <f>IF(AND('Atividades Micro'!$B155=AX$2,'Atividades Micro'!$L155&lt;&gt;""),'Atividades Micro'!$L155,"")</f>
        <v/>
      </c>
      <c r="AY147" s="21" t="str">
        <f>IF(AND('Atividades Micro'!$A155=AY$2,'Atividades Micro'!$K155&lt;&gt;""),'Atividades Micro'!$K155,"")</f>
        <v/>
      </c>
      <c r="AZ147" s="21" t="str">
        <f>IF(AND('Atividades Micro'!$A155=AZ$2,'Atividades Micro'!$L155&lt;&gt;""),'Atividades Micro'!$L155,"")</f>
        <v/>
      </c>
      <c r="BA147" s="21" t="str">
        <f>IF(AND('Atividades Micro'!$B155=BA$2,'Atividades Micro'!$K155&lt;&gt;""),'Atividades Micro'!$K155,"")</f>
        <v/>
      </c>
      <c r="BB147" s="21" t="str">
        <f>IF(AND('Atividades Micro'!$B155=BB$2,'Atividades Micro'!$L155&lt;&gt;""),'Atividades Micro'!$L155,"")</f>
        <v/>
      </c>
      <c r="BC147" s="21" t="str">
        <f>IF(AND('Atividades Micro'!$B155=BC$2,'Atividades Micro'!$G155="Macro",'Atividades Micro'!$K155&lt;&gt;""),'Atividades Micro'!$K155,"")</f>
        <v/>
      </c>
      <c r="BD147" s="21" t="str">
        <f>IF(AND('Atividades Micro'!$B155=BD$2,'Atividades Micro'!$G155="Macro",'Atividades Micro'!$K155&lt;&gt;""),'Atividades Micro'!$K155,"")</f>
        <v/>
      </c>
      <c r="BE147" s="21" t="str">
        <f>IF(AND('Atividades Micro'!$B155=BE$2,'Atividades Micro'!$G155="Macro",'Atividades Micro'!$K155&lt;&gt;""),'Atividades Micro'!$K155,"")</f>
        <v/>
      </c>
      <c r="BF147" s="21" t="str">
        <f>IF(AND('Atividades Micro'!$B155=BF$2,'Atividades Micro'!$G155="Macro",'Atividades Micro'!$K155&lt;&gt;""),'Atividades Micro'!$K155,"")</f>
        <v/>
      </c>
      <c r="BG147" s="21" t="str">
        <f>IF(AND('Atividades Micro'!$B155=BG$2,'Atividades Micro'!$G155="Macro",'Atividades Micro'!$K155&lt;&gt;""),'Atividades Micro'!$K155,"")</f>
        <v/>
      </c>
      <c r="BH147" s="21" t="str">
        <f>IF(AND('Atividades Micro'!$B155=BH$2,'Atividades Micro'!$G155="Macro",'Atividades Micro'!$K155&lt;&gt;""),'Atividades Micro'!$K155,"")</f>
        <v/>
      </c>
      <c r="BI147" s="21" t="str">
        <f>IF(AND('Atividades Micro'!$B155=BI$2,'Atividades Micro'!$G155="Macro",'Atividades Micro'!$K155&lt;&gt;""),'Atividades Micro'!$K155,"")</f>
        <v/>
      </c>
      <c r="BJ147" s="21" t="str">
        <f>IF(AND('Atividades Micro'!$B155=BJ$2,'Atividades Micro'!$G155="Macro",'Atividades Micro'!$K155&lt;&gt;""),'Atividades Micro'!$K155,"")</f>
        <v/>
      </c>
      <c r="BK147" s="21" t="str">
        <f>IF(AND('Atividades Micro'!$B155=BK$2,'Atividades Micro'!$G155="Macro",'Atividades Micro'!$K155&lt;&gt;""),'Atividades Micro'!$K155,"")</f>
        <v/>
      </c>
      <c r="BL147" s="21" t="str">
        <f>IF(AND('Atividades Micro'!$B155=BL$2,'Atividades Micro'!$G155="Macro",'Atividades Micro'!$K155&lt;&gt;""),'Atividades Micro'!$K155,"")</f>
        <v/>
      </c>
      <c r="BM147" s="21" t="str">
        <f>IF(AND('Atividades Micro'!$B155=BM$2,'Atividades Micro'!$G155="Macro",'Atividades Micro'!$K155&lt;&gt;""),'Atividades Micro'!$K155,"")</f>
        <v/>
      </c>
      <c r="BN147" s="21" t="str">
        <f>IF(AND('Atividades Micro'!$B155=BN$2,'Atividades Micro'!$G155="Macro",'Atividades Micro'!$K155&lt;&gt;""),'Atividades Micro'!$K155,"")</f>
        <v/>
      </c>
      <c r="BO147" s="21" t="str">
        <f>IF(AND('Atividades Micro'!$B155=BO$2,'Atividades Micro'!$G155="Macro",'Atividades Micro'!$K155&lt;&gt;""),'Atividades Micro'!$K155,"")</f>
        <v/>
      </c>
      <c r="BP147" s="21" t="str">
        <f>IF(AND('Atividades Micro'!$B155=BP$2,'Atividades Micro'!$G155="Macro",'Atividades Micro'!$K155&lt;&gt;""),'Atividades Micro'!$K155,"")</f>
        <v/>
      </c>
      <c r="BQ147" s="21" t="str">
        <f>IF(AND('Atividades Micro'!$B155=BQ$2,'Atividades Micro'!$G155="Macro",'Atividades Micro'!$K155&lt;&gt;""),'Atividades Micro'!$K155,"")</f>
        <v/>
      </c>
      <c r="BR147" s="21" t="str">
        <f>IF(AND('Atividades Micro'!$B155=BR$2,'Atividades Micro'!$G155="Macro",'Atividades Micro'!$K155&lt;&gt;""),'Atividades Micro'!$K155,"")</f>
        <v/>
      </c>
      <c r="BS147" s="21" t="str">
        <f>IF(AND('Atividades Micro'!$B155=BS$2,'Atividades Micro'!$G155="Macro",'Atividades Micro'!$K155&lt;&gt;""),'Atividades Micro'!$K155,"")</f>
        <v/>
      </c>
      <c r="BT147" s="21" t="str">
        <f>IF(AND('Atividades Micro'!$B155=BT$2,'Atividades Micro'!$G155="Macro",'Atividades Micro'!$K155&lt;&gt;""),'Atividades Micro'!$K155,"")</f>
        <v/>
      </c>
      <c r="BU147" s="21" t="str">
        <f>IF(AND('Atividades Micro'!$B155=BU$2,'Atividades Micro'!$G155="Macro",'Atividades Micro'!$K155&lt;&gt;""),'Atividades Micro'!$K155,"")</f>
        <v/>
      </c>
      <c r="BV147" s="21" t="str">
        <f>IF(AND('Atividades Micro'!$B155=BV$2,'Atividades Micro'!$G155="Macro",'Atividades Micro'!$K155&lt;&gt;""),'Atividades Micro'!$K155,"")</f>
        <v/>
      </c>
      <c r="BW147" s="21" t="str">
        <f>IF(AND('Atividades Micro'!$B155=BW$2,'Atividades Micro'!$G155="Macro",'Atividades Micro'!$K155&lt;&gt;""),'Atividades Micro'!$K155,"")</f>
        <v/>
      </c>
      <c r="BX147" s="21" t="str">
        <f>IF(AND('Atividades Micro'!$B155=BX$2,'Atividades Micro'!$G155="Macro",'Atividades Micro'!$K155&lt;&gt;""),'Atividades Micro'!$K155,"")</f>
        <v/>
      </c>
      <c r="BY147" s="21" t="str">
        <f>IF(AND('Atividades Micro'!$B155=BY$2,'Atividades Micro'!$G155="Macro",'Atividades Micro'!$K155&lt;&gt;""),'Atividades Micro'!$K155,"")</f>
        <v/>
      </c>
      <c r="BZ147" s="21" t="str">
        <f>IF(AND('Atividades Micro'!$B155=BZ$2,'Atividades Micro'!$G155="Macro",'Atividades Micro'!$K155&lt;&gt;""),'Atividades Micro'!$K155,"")</f>
        <v/>
      </c>
      <c r="CA147" s="21" t="str">
        <f>IF(AND('Atividades Micro'!$B155=CA$2,'Atividades Micro'!$G155="Macro",'Atividades Micro'!$K155&lt;&gt;""),'Atividades Micro'!$K155,"")</f>
        <v/>
      </c>
      <c r="CB147" s="21" t="str">
        <f>IF(AND('Atividades Micro'!$B155=CB$2,'Atividades Micro'!$G155="Macro",'Atividades Micro'!$K155&lt;&gt;""),'Atividades Micro'!$K155,"")</f>
        <v/>
      </c>
      <c r="CC147" s="21" t="str">
        <f>IF(AND('Atividades Micro'!$B155=CC$2,'Atividades Micro'!$G155="Macro",'Atividades Micro'!$K155&lt;&gt;""),'Atividades Micro'!$K155,"")</f>
        <v/>
      </c>
      <c r="CD147" s="21" t="str">
        <f>IF(AND('Atividades Micro'!$B155=CD$2,'Atividades Micro'!$G155="Micro",'Atividades Micro'!$K155&lt;&gt;""),'Atividades Micro'!$K155,"")</f>
        <v/>
      </c>
      <c r="CE147" s="21" t="str">
        <f>IF(AND('Atividades Micro'!$B155=CE$2,'Atividades Micro'!$G155="Micro",'Atividades Micro'!$K155&lt;&gt;""),'Atividades Micro'!$K155,"")</f>
        <v/>
      </c>
      <c r="CF147" s="21" t="str">
        <f>IF(AND('Atividades Micro'!$B155=CF$2,'Atividades Micro'!$G155="Micro",'Atividades Micro'!$K155&lt;&gt;""),'Atividades Micro'!$K155,"")</f>
        <v/>
      </c>
      <c r="CG147" s="21" t="str">
        <f>IF(AND('Atividades Micro'!$B155=CG$2,'Atividades Micro'!$G155="Micro",'Atividades Micro'!$K155&lt;&gt;""),'Atividades Micro'!$K155,"")</f>
        <v/>
      </c>
      <c r="CH147" s="21" t="str">
        <f>IF(AND('Atividades Micro'!$B155=CH$2,'Atividades Micro'!$G155="Micro",'Atividades Micro'!$K155&lt;&gt;""),'Atividades Micro'!$K155,"")</f>
        <v/>
      </c>
      <c r="CI147" s="21" t="str">
        <f>IF(AND('Atividades Micro'!$B155=CI$2,'Atividades Micro'!$G155="Micro",'Atividades Micro'!$K155&lt;&gt;""),'Atividades Micro'!$K155,"")</f>
        <v/>
      </c>
      <c r="CJ147" s="21" t="str">
        <f>IF(AND('Atividades Micro'!$B155=CJ$2,'Atividades Micro'!$G155="Micro",'Atividades Micro'!$K155&lt;&gt;""),'Atividades Micro'!$K155,"")</f>
        <v/>
      </c>
      <c r="CK147" s="21" t="str">
        <f>IF(AND('Atividades Micro'!$B155=CK$2,'Atividades Micro'!$G155="Micro",'Atividades Micro'!$K155&lt;&gt;""),'Atividades Micro'!$K155,"")</f>
        <v/>
      </c>
      <c r="CL147" s="21" t="str">
        <f>IF(AND('Atividades Micro'!$B155=CL$2,'Atividades Micro'!$G155="Micro",'Atividades Micro'!$K155&lt;&gt;""),'Atividades Micro'!$K155,"")</f>
        <v/>
      </c>
      <c r="CM147" s="21" t="str">
        <f>IF(AND('Atividades Micro'!$B155=CM$2,'Atividades Micro'!$G155="Micro",'Atividades Micro'!$K155&lt;&gt;""),'Atividades Micro'!$K155,"")</f>
        <v/>
      </c>
      <c r="CN147" s="21" t="str">
        <f>IF(AND('Atividades Micro'!$B155=CN$2,'Atividades Micro'!$G155="Micro",'Atividades Micro'!$K155&lt;&gt;""),'Atividades Micro'!$K155,"")</f>
        <v/>
      </c>
      <c r="CO147" s="21" t="str">
        <f>IF(AND('Atividades Micro'!$B155=CO$2,'Atividades Micro'!$G155="Micro",'Atividades Micro'!$K155&lt;&gt;""),'Atividades Micro'!$K155,"")</f>
        <v/>
      </c>
    </row>
    <row r="148" spans="1:93">
      <c r="A148" s="21" t="str">
        <f>IF(AND('Atividades Micro'!$A156=A$2,'Atividades Micro'!$K156&lt;&gt;""),'Atividades Micro'!$K156,"")</f>
        <v/>
      </c>
      <c r="B148" s="21" t="str">
        <f>IF(AND('Atividades Micro'!$A156=B$2,'Atividades Micro'!$L156&lt;&gt;""),'Atividades Micro'!$L156,"")</f>
        <v/>
      </c>
      <c r="C148" s="21" t="str">
        <f>IF(AND('Atividades Micro'!$A156=C$2,'Atividades Micro'!$K156&lt;&gt;""),'Atividades Micro'!$K156,"")</f>
        <v/>
      </c>
      <c r="D148" s="21" t="str">
        <f>IF(AND('Atividades Micro'!$A156=D$2,'Atividades Micro'!$L156&lt;&gt;""),'Atividades Micro'!$L156,"")</f>
        <v/>
      </c>
      <c r="E148" s="21" t="str">
        <f>IF(AND('Atividades Micro'!$A156=E$2,'Atividades Micro'!$K156&lt;&gt;""),'Atividades Micro'!$K156,"")</f>
        <v/>
      </c>
      <c r="F148" s="21" t="str">
        <f>IF(AND('Atividades Micro'!$A156=F$2,'Atividades Micro'!$L156&lt;&gt;""),'Atividades Micro'!$L156,"")</f>
        <v/>
      </c>
      <c r="G148" s="21" t="str">
        <f>IF(AND('Atividades Micro'!$A156=G$2,'Atividades Micro'!$K156&lt;&gt;""),'Atividades Micro'!$K156,"")</f>
        <v/>
      </c>
      <c r="H148" s="21" t="str">
        <f>IF(AND('Atividades Micro'!$A156=H$2,'Atividades Micro'!$L156&lt;&gt;""),'Atividades Micro'!$L156,"")</f>
        <v/>
      </c>
      <c r="I148" s="21" t="str">
        <f>IF(AND('Atividades Micro'!$A156=I$2,'Atividades Micro'!$K156&lt;&gt;""),'Atividades Micro'!$K156,"")</f>
        <v/>
      </c>
      <c r="J148" s="21" t="str">
        <f>IF(AND('Atividades Micro'!$A156=J$2,'Atividades Micro'!$L156&lt;&gt;""),'Atividades Micro'!$L156,"")</f>
        <v/>
      </c>
      <c r="K148" s="21" t="str">
        <f>IF(AND('Atividades Micro'!$B156=K$2,'Atividades Micro'!$K156&lt;&gt;""),'Atividades Micro'!$K156,"")</f>
        <v/>
      </c>
      <c r="L148" s="21" t="str">
        <f>IF(AND('Atividades Micro'!$B156=L$2,'Atividades Micro'!$L156&lt;&gt;""),'Atividades Micro'!$L156,"")</f>
        <v/>
      </c>
      <c r="M148" s="21" t="str">
        <f>IF(AND('Atividades Micro'!$B156=M$2,'Atividades Micro'!$K156&lt;&gt;""),'Atividades Micro'!$K156,"")</f>
        <v/>
      </c>
      <c r="N148" s="21" t="str">
        <f>IF(AND('Atividades Micro'!$B156=N$2,'Atividades Micro'!$L156&lt;&gt;""),'Atividades Micro'!$L156,"")</f>
        <v/>
      </c>
      <c r="O148" s="21" t="str">
        <f>IF(AND('Atividades Micro'!$A156=O$2,'Atividades Micro'!$K156&lt;&gt;""),'Atividades Micro'!$K156,"")</f>
        <v/>
      </c>
      <c r="P148" s="21" t="str">
        <f>IF(AND('Atividades Micro'!$A156=P$2,'Atividades Micro'!$L156&lt;&gt;""),'Atividades Micro'!$L156,"")</f>
        <v/>
      </c>
      <c r="Q148" s="21" t="str">
        <f>IF(AND('Atividades Micro'!$B156=Q$2,'Atividades Micro'!$K156&lt;&gt;""),'Atividades Micro'!$K156,"")</f>
        <v/>
      </c>
      <c r="R148" s="21" t="str">
        <f>IF(AND('Atividades Micro'!$B156=R$2,'Atividades Micro'!$L156&lt;&gt;""),'Atividades Micro'!$L156,"")</f>
        <v/>
      </c>
      <c r="S148" s="21">
        <f>IF(AND('Atividades Micro'!$A156=S$2,'Atividades Micro'!$K156&lt;&gt;""),'Atividades Micro'!$K156,"")</f>
        <v>46318</v>
      </c>
      <c r="T148" s="21" t="str">
        <f>IF(AND('Atividades Micro'!$A156=T$2,'Atividades Micro'!$L156&lt;&gt;""),'Atividades Micro'!$L156,"")</f>
        <v/>
      </c>
      <c r="U148" s="21">
        <f>IF(AND('Atividades Micro'!$B156=U$2,'Atividades Micro'!$K156&lt;&gt;""),'Atividades Micro'!$K156,"")</f>
        <v>46318</v>
      </c>
      <c r="V148" s="21" t="str">
        <f>IF(AND('Atividades Micro'!$B156=V$2,'Atividades Micro'!$L156&lt;&gt;""),'Atividades Micro'!$L156,"")</f>
        <v/>
      </c>
      <c r="W148" s="21" t="str">
        <f>IF(AND('Atividades Micro'!$B156=W$2,'Atividades Micro'!$K156&lt;&gt;""),'Atividades Micro'!$K156,"")</f>
        <v/>
      </c>
      <c r="X148" s="21" t="str">
        <f>IF(AND('Atividades Micro'!$B156=X$2,'Atividades Micro'!$L156&lt;&gt;""),'Atividades Micro'!$L156,"")</f>
        <v/>
      </c>
      <c r="Y148" s="21" t="str">
        <f>IF(AND('Atividades Micro'!$A156=Y$2,'Atividades Micro'!$K156&lt;&gt;""),'Atividades Micro'!$K156,"")</f>
        <v/>
      </c>
      <c r="Z148" s="21" t="str">
        <f>IF(AND('Atividades Micro'!$A156=Z$2,'Atividades Micro'!$L156&lt;&gt;""),'Atividades Micro'!$L156,"")</f>
        <v/>
      </c>
      <c r="AA148" s="21" t="str">
        <f>IF(AND('Atividades Micro'!$B156=AA$2,'Atividades Micro'!$K156&lt;&gt;""),'Atividades Micro'!$K156,"")</f>
        <v/>
      </c>
      <c r="AB148" s="21" t="str">
        <f>IF(AND('Atividades Micro'!$B156=AB$2,'Atividades Micro'!$L156&lt;&gt;""),'Atividades Micro'!$L156,"")</f>
        <v/>
      </c>
      <c r="AC148" s="21" t="str">
        <f>IF(AND('Atividades Micro'!$B156=AC$2,'Atividades Micro'!$K156&lt;&gt;""),'Atividades Micro'!$K156,"")</f>
        <v/>
      </c>
      <c r="AD148" s="21" t="str">
        <f>IF(AND('Atividades Micro'!$B156=AD$2,'Atividades Micro'!$L156&lt;&gt;""),'Atividades Micro'!$L156,"")</f>
        <v/>
      </c>
      <c r="AE148" s="21" t="str">
        <f>IF(AND('Atividades Micro'!$A156=AE$2,'Atividades Micro'!$K156&lt;&gt;""),'Atividades Micro'!$K156,"")</f>
        <v/>
      </c>
      <c r="AF148" s="21" t="str">
        <f>IF(AND('Atividades Micro'!$A156=AF$2,'Atividades Micro'!$L156&lt;&gt;""),'Atividades Micro'!$L156,"")</f>
        <v/>
      </c>
      <c r="AG148" s="21" t="str">
        <f>IF(AND('Atividades Micro'!$B156=AG$2,'Atividades Micro'!$K156&lt;&gt;""),'Atividades Micro'!$K156,"")</f>
        <v/>
      </c>
      <c r="AH148" s="21" t="str">
        <f>IF(AND('Atividades Micro'!$B156=AH$2,'Atividades Micro'!$L156&lt;&gt;""),'Atividades Micro'!$L156,"")</f>
        <v/>
      </c>
      <c r="AI148" s="21" t="str">
        <f>IF(AND('Atividades Micro'!$B156=AI$2,'Atividades Micro'!$K156&lt;&gt;""),'Atividades Micro'!$K156,"")</f>
        <v/>
      </c>
      <c r="AJ148" s="21" t="str">
        <f>IF(AND('Atividades Micro'!$B156=AJ$2,'Atividades Micro'!$L156&lt;&gt;""),'Atividades Micro'!$L156,"")</f>
        <v/>
      </c>
      <c r="AK148" s="21" t="str">
        <f>IF(AND('Atividades Micro'!$A156=AK$2,'Atividades Micro'!$K156&lt;&gt;""),'Atividades Micro'!$K156,"")</f>
        <v/>
      </c>
      <c r="AL148" s="21" t="str">
        <f>IF(AND('Atividades Micro'!$A156=AL$2,'Atividades Micro'!$L156&lt;&gt;""),'Atividades Micro'!$L156,"")</f>
        <v/>
      </c>
      <c r="AM148" s="21" t="str">
        <f>IF(AND('Atividades Micro'!$B156=AM$2,'Atividades Micro'!$K156&lt;&gt;""),'Atividades Micro'!$K156,"")</f>
        <v/>
      </c>
      <c r="AN148" s="21" t="str">
        <f>IF(AND('Atividades Micro'!$B156=AN$2,'Atividades Micro'!$L156&lt;&gt;""),'Atividades Micro'!$L156,"")</f>
        <v/>
      </c>
      <c r="AO148" s="21" t="str">
        <f>IF(AND('Atividades Micro'!$B156=AO$2,'Atividades Micro'!$K156&lt;&gt;""),'Atividades Micro'!$K156,"")</f>
        <v/>
      </c>
      <c r="AP148" s="21" t="str">
        <f>IF(AND('Atividades Micro'!$B156=AP$2,'Atividades Micro'!$L156&lt;&gt;""),'Atividades Micro'!$L156,"")</f>
        <v/>
      </c>
      <c r="AQ148" s="21" t="str">
        <f>IF(AND('Atividades Micro'!$A156=AQ$2,'Atividades Micro'!$K156&lt;&gt;""),'Atividades Micro'!$K156,"")</f>
        <v/>
      </c>
      <c r="AR148" s="21" t="str">
        <f>IF(AND('Atividades Micro'!$A156=AR$2,'Atividades Micro'!$L156&lt;&gt;""),'Atividades Micro'!$L156,"")</f>
        <v/>
      </c>
      <c r="AS148" s="21" t="str">
        <f>IF(AND('Atividades Micro'!$B156=AS$2,'Atividades Micro'!$K156&lt;&gt;""),'Atividades Micro'!$K156,"")</f>
        <v/>
      </c>
      <c r="AT148" s="21" t="str">
        <f>IF(AND('Atividades Micro'!$B156=AT$2,'Atividades Micro'!$L156&lt;&gt;""),'Atividades Micro'!$L156,"")</f>
        <v/>
      </c>
      <c r="AU148" s="21" t="str">
        <f>IF(AND('Atividades Micro'!$A156=AU$2,'Atividades Micro'!$K156&lt;&gt;""),'Atividades Micro'!$K156,"")</f>
        <v/>
      </c>
      <c r="AV148" s="21" t="str">
        <f>IF(AND('Atividades Micro'!$A156=AV$2,'Atividades Micro'!$L156&lt;&gt;""),'Atividades Micro'!$L156,"")</f>
        <v/>
      </c>
      <c r="AW148" s="21" t="str">
        <f>IF(AND('Atividades Micro'!$B156=AW$2,'Atividades Micro'!$K156&lt;&gt;""),'Atividades Micro'!$K156,"")</f>
        <v/>
      </c>
      <c r="AX148" s="21" t="str">
        <f>IF(AND('Atividades Micro'!$B156=AX$2,'Atividades Micro'!$L156&lt;&gt;""),'Atividades Micro'!$L156,"")</f>
        <v/>
      </c>
      <c r="AY148" s="21" t="str">
        <f>IF(AND('Atividades Micro'!$A156=AY$2,'Atividades Micro'!$K156&lt;&gt;""),'Atividades Micro'!$K156,"")</f>
        <v/>
      </c>
      <c r="AZ148" s="21" t="str">
        <f>IF(AND('Atividades Micro'!$A156=AZ$2,'Atividades Micro'!$L156&lt;&gt;""),'Atividades Micro'!$L156,"")</f>
        <v/>
      </c>
      <c r="BA148" s="21" t="str">
        <f>IF(AND('Atividades Micro'!$B156=BA$2,'Atividades Micro'!$K156&lt;&gt;""),'Atividades Micro'!$K156,"")</f>
        <v/>
      </c>
      <c r="BB148" s="21" t="str">
        <f>IF(AND('Atividades Micro'!$B156=BB$2,'Atividades Micro'!$L156&lt;&gt;""),'Atividades Micro'!$L156,"")</f>
        <v/>
      </c>
      <c r="BC148" s="21" t="str">
        <f>IF(AND('Atividades Micro'!$B156=BC$2,'Atividades Micro'!$G156="Macro",'Atividades Micro'!$K156&lt;&gt;""),'Atividades Micro'!$K156,"")</f>
        <v/>
      </c>
      <c r="BD148" s="21" t="str">
        <f>IF(AND('Atividades Micro'!$B156=BD$2,'Atividades Micro'!$G156="Macro",'Atividades Micro'!$K156&lt;&gt;""),'Atividades Micro'!$K156,"")</f>
        <v/>
      </c>
      <c r="BE148" s="21" t="str">
        <f>IF(AND('Atividades Micro'!$B156=BE$2,'Atividades Micro'!$G156="Macro",'Atividades Micro'!$K156&lt;&gt;""),'Atividades Micro'!$K156,"")</f>
        <v/>
      </c>
      <c r="BF148" s="21" t="str">
        <f>IF(AND('Atividades Micro'!$B156=BF$2,'Atividades Micro'!$G156="Macro",'Atividades Micro'!$K156&lt;&gt;""),'Atividades Micro'!$K156,"")</f>
        <v/>
      </c>
      <c r="BG148" s="21" t="str">
        <f>IF(AND('Atividades Micro'!$B156=BG$2,'Atividades Micro'!$G156="Macro",'Atividades Micro'!$K156&lt;&gt;""),'Atividades Micro'!$K156,"")</f>
        <v/>
      </c>
      <c r="BH148" s="21" t="str">
        <f>IF(AND('Atividades Micro'!$B156=BH$2,'Atividades Micro'!$G156="Macro",'Atividades Micro'!$K156&lt;&gt;""),'Atividades Micro'!$K156,"")</f>
        <v/>
      </c>
      <c r="BI148" s="21" t="str">
        <f>IF(AND('Atividades Micro'!$B156=BI$2,'Atividades Micro'!$G156="Macro",'Atividades Micro'!$K156&lt;&gt;""),'Atividades Micro'!$K156,"")</f>
        <v/>
      </c>
      <c r="BJ148" s="21" t="str">
        <f>IF(AND('Atividades Micro'!$B156=BJ$2,'Atividades Micro'!$G156="Macro",'Atividades Micro'!$K156&lt;&gt;""),'Atividades Micro'!$K156,"")</f>
        <v/>
      </c>
      <c r="BK148" s="21" t="str">
        <f>IF(AND('Atividades Micro'!$B156=BK$2,'Atividades Micro'!$G156="Macro",'Atividades Micro'!$K156&lt;&gt;""),'Atividades Micro'!$K156,"")</f>
        <v/>
      </c>
      <c r="BL148" s="21" t="str">
        <f>IF(AND('Atividades Micro'!$B156=BL$2,'Atividades Micro'!$G156="Macro",'Atividades Micro'!$K156&lt;&gt;""),'Atividades Micro'!$K156,"")</f>
        <v/>
      </c>
      <c r="BM148" s="21" t="str">
        <f>IF(AND('Atividades Micro'!$B156=BM$2,'Atividades Micro'!$G156="Macro",'Atividades Micro'!$K156&lt;&gt;""),'Atividades Micro'!$K156,"")</f>
        <v/>
      </c>
      <c r="BN148" s="21" t="str">
        <f>IF(AND('Atividades Micro'!$B156=BN$2,'Atividades Micro'!$G156="Macro",'Atividades Micro'!$K156&lt;&gt;""),'Atividades Micro'!$K156,"")</f>
        <v/>
      </c>
      <c r="BO148" s="21" t="str">
        <f>IF(AND('Atividades Micro'!$B156=BO$2,'Atividades Micro'!$G156="Macro",'Atividades Micro'!$K156&lt;&gt;""),'Atividades Micro'!$K156,"")</f>
        <v/>
      </c>
      <c r="BP148" s="21" t="str">
        <f>IF(AND('Atividades Micro'!$B156=BP$2,'Atividades Micro'!$G156="Macro",'Atividades Micro'!$K156&lt;&gt;""),'Atividades Micro'!$K156,"")</f>
        <v/>
      </c>
      <c r="BQ148" s="21" t="str">
        <f>IF(AND('Atividades Micro'!$B156=BQ$2,'Atividades Micro'!$G156="Macro",'Atividades Micro'!$K156&lt;&gt;""),'Atividades Micro'!$K156,"")</f>
        <v/>
      </c>
      <c r="BR148" s="21" t="str">
        <f>IF(AND('Atividades Micro'!$B156=BR$2,'Atividades Micro'!$G156="Macro",'Atividades Micro'!$K156&lt;&gt;""),'Atividades Micro'!$K156,"")</f>
        <v/>
      </c>
      <c r="BS148" s="21" t="str">
        <f>IF(AND('Atividades Micro'!$B156=BS$2,'Atividades Micro'!$G156="Macro",'Atividades Micro'!$K156&lt;&gt;""),'Atividades Micro'!$K156,"")</f>
        <v/>
      </c>
      <c r="BT148" s="21" t="str">
        <f>IF(AND('Atividades Micro'!$B156=BT$2,'Atividades Micro'!$G156="Macro",'Atividades Micro'!$K156&lt;&gt;""),'Atividades Micro'!$K156,"")</f>
        <v/>
      </c>
      <c r="BU148" s="21" t="str">
        <f>IF(AND('Atividades Micro'!$B156=BU$2,'Atividades Micro'!$G156="Macro",'Atividades Micro'!$K156&lt;&gt;""),'Atividades Micro'!$K156,"")</f>
        <v/>
      </c>
      <c r="BV148" s="21" t="str">
        <f>IF(AND('Atividades Micro'!$B156=BV$2,'Atividades Micro'!$G156="Macro",'Atividades Micro'!$K156&lt;&gt;""),'Atividades Micro'!$K156,"")</f>
        <v/>
      </c>
      <c r="BW148" s="21" t="str">
        <f>IF(AND('Atividades Micro'!$B156=BW$2,'Atividades Micro'!$G156="Macro",'Atividades Micro'!$K156&lt;&gt;""),'Atividades Micro'!$K156,"")</f>
        <v/>
      </c>
      <c r="BX148" s="21" t="str">
        <f>IF(AND('Atividades Micro'!$B156=BX$2,'Atividades Micro'!$G156="Macro",'Atividades Micro'!$K156&lt;&gt;""),'Atividades Micro'!$K156,"")</f>
        <v/>
      </c>
      <c r="BY148" s="21" t="str">
        <f>IF(AND('Atividades Micro'!$B156=BY$2,'Atividades Micro'!$G156="Macro",'Atividades Micro'!$K156&lt;&gt;""),'Atividades Micro'!$K156,"")</f>
        <v/>
      </c>
      <c r="BZ148" s="21" t="str">
        <f>IF(AND('Atividades Micro'!$B156=BZ$2,'Atividades Micro'!$G156="Macro",'Atividades Micro'!$K156&lt;&gt;""),'Atividades Micro'!$K156,"")</f>
        <v/>
      </c>
      <c r="CA148" s="21" t="str">
        <f>IF(AND('Atividades Micro'!$B156=CA$2,'Atividades Micro'!$G156="Macro",'Atividades Micro'!$K156&lt;&gt;""),'Atividades Micro'!$K156,"")</f>
        <v/>
      </c>
      <c r="CB148" s="21" t="str">
        <f>IF(AND('Atividades Micro'!$B156=CB$2,'Atividades Micro'!$G156="Macro",'Atividades Micro'!$K156&lt;&gt;""),'Atividades Micro'!$K156,"")</f>
        <v/>
      </c>
      <c r="CC148" s="21" t="str">
        <f>IF(AND('Atividades Micro'!$B156=CC$2,'Atividades Micro'!$G156="Macro",'Atividades Micro'!$K156&lt;&gt;""),'Atividades Micro'!$K156,"")</f>
        <v/>
      </c>
      <c r="CD148" s="21" t="str">
        <f>IF(AND('Atividades Micro'!$B156=CD$2,'Atividades Micro'!$G156="Micro",'Atividades Micro'!$K156&lt;&gt;""),'Atividades Micro'!$K156,"")</f>
        <v/>
      </c>
      <c r="CE148" s="21" t="str">
        <f>IF(AND('Atividades Micro'!$B156=CE$2,'Atividades Micro'!$G156="Micro",'Atividades Micro'!$K156&lt;&gt;""),'Atividades Micro'!$K156,"")</f>
        <v/>
      </c>
      <c r="CF148" s="21" t="str">
        <f>IF(AND('Atividades Micro'!$B156=CF$2,'Atividades Micro'!$G156="Micro",'Atividades Micro'!$K156&lt;&gt;""),'Atividades Micro'!$K156,"")</f>
        <v/>
      </c>
      <c r="CG148" s="21">
        <f>IF(AND('Atividades Micro'!$B156=CG$2,'Atividades Micro'!$G156="Micro",'Atividades Micro'!$K156&lt;&gt;""),'Atividades Micro'!$K156,"")</f>
        <v>46318</v>
      </c>
      <c r="CH148" s="21" t="str">
        <f>IF(AND('Atividades Micro'!$B156=CH$2,'Atividades Micro'!$G156="Micro",'Atividades Micro'!$K156&lt;&gt;""),'Atividades Micro'!$K156,"")</f>
        <v/>
      </c>
      <c r="CI148" s="21" t="str">
        <f>IF(AND('Atividades Micro'!$B156=CI$2,'Atividades Micro'!$G156="Micro",'Atividades Micro'!$K156&lt;&gt;""),'Atividades Micro'!$K156,"")</f>
        <v/>
      </c>
      <c r="CJ148" s="21" t="str">
        <f>IF(AND('Atividades Micro'!$B156=CJ$2,'Atividades Micro'!$G156="Micro",'Atividades Micro'!$K156&lt;&gt;""),'Atividades Micro'!$K156,"")</f>
        <v/>
      </c>
      <c r="CK148" s="21" t="str">
        <f>IF(AND('Atividades Micro'!$B156=CK$2,'Atividades Micro'!$G156="Micro",'Atividades Micro'!$K156&lt;&gt;""),'Atividades Micro'!$K156,"")</f>
        <v/>
      </c>
      <c r="CL148" s="21" t="str">
        <f>IF(AND('Atividades Micro'!$B156=CL$2,'Atividades Micro'!$G156="Micro",'Atividades Micro'!$K156&lt;&gt;""),'Atividades Micro'!$K156,"")</f>
        <v/>
      </c>
      <c r="CM148" s="21" t="str">
        <f>IF(AND('Atividades Micro'!$B156=CM$2,'Atividades Micro'!$G156="Micro",'Atividades Micro'!$K156&lt;&gt;""),'Atividades Micro'!$K156,"")</f>
        <v/>
      </c>
      <c r="CN148" s="21" t="str">
        <f>IF(AND('Atividades Micro'!$B156=CN$2,'Atividades Micro'!$G156="Micro",'Atividades Micro'!$K156&lt;&gt;""),'Atividades Micro'!$K156,"")</f>
        <v/>
      </c>
      <c r="CO148" s="21" t="str">
        <f>IF(AND('Atividades Micro'!$B156=CO$2,'Atividades Micro'!$G156="Micro",'Atividades Micro'!$K156&lt;&gt;""),'Atividades Micro'!$K156,"")</f>
        <v/>
      </c>
    </row>
    <row r="149" spans="1:93">
      <c r="A149" s="21" t="str">
        <f>IF(AND('Atividades Micro'!$A157=A$2,'Atividades Micro'!$K157&lt;&gt;""),'Atividades Micro'!$K157,"")</f>
        <v/>
      </c>
      <c r="B149" s="21" t="str">
        <f>IF(AND('Atividades Micro'!$A157=B$2,'Atividades Micro'!$L157&lt;&gt;""),'Atividades Micro'!$L157,"")</f>
        <v/>
      </c>
      <c r="C149" s="21" t="str">
        <f>IF(AND('Atividades Micro'!$A157=C$2,'Atividades Micro'!$K157&lt;&gt;""),'Atividades Micro'!$K157,"")</f>
        <v/>
      </c>
      <c r="D149" s="21" t="str">
        <f>IF(AND('Atividades Micro'!$A157=D$2,'Atividades Micro'!$L157&lt;&gt;""),'Atividades Micro'!$L157,"")</f>
        <v/>
      </c>
      <c r="E149" s="21" t="str">
        <f>IF(AND('Atividades Micro'!$A157=E$2,'Atividades Micro'!$K157&lt;&gt;""),'Atividades Micro'!$K157,"")</f>
        <v/>
      </c>
      <c r="F149" s="21" t="str">
        <f>IF(AND('Atividades Micro'!$A157=F$2,'Atividades Micro'!$L157&lt;&gt;""),'Atividades Micro'!$L157,"")</f>
        <v/>
      </c>
      <c r="G149" s="21" t="str">
        <f>IF(AND('Atividades Micro'!$A157=G$2,'Atividades Micro'!$K157&lt;&gt;""),'Atividades Micro'!$K157,"")</f>
        <v/>
      </c>
      <c r="H149" s="21" t="str">
        <f>IF(AND('Atividades Micro'!$A157=H$2,'Atividades Micro'!$L157&lt;&gt;""),'Atividades Micro'!$L157,"")</f>
        <v/>
      </c>
      <c r="I149" s="21" t="str">
        <f>IF(AND('Atividades Micro'!$A157=I$2,'Atividades Micro'!$K157&lt;&gt;""),'Atividades Micro'!$K157,"")</f>
        <v/>
      </c>
      <c r="J149" s="21" t="str">
        <f>IF(AND('Atividades Micro'!$A157=J$2,'Atividades Micro'!$L157&lt;&gt;""),'Atividades Micro'!$L157,"")</f>
        <v/>
      </c>
      <c r="K149" s="21" t="str">
        <f>IF(AND('Atividades Micro'!$B157=K$2,'Atividades Micro'!$K157&lt;&gt;""),'Atividades Micro'!$K157,"")</f>
        <v/>
      </c>
      <c r="L149" s="21" t="str">
        <f>IF(AND('Atividades Micro'!$B157=L$2,'Atividades Micro'!$L157&lt;&gt;""),'Atividades Micro'!$L157,"")</f>
        <v/>
      </c>
      <c r="M149" s="21" t="str">
        <f>IF(AND('Atividades Micro'!$B157=M$2,'Atividades Micro'!$K157&lt;&gt;""),'Atividades Micro'!$K157,"")</f>
        <v/>
      </c>
      <c r="N149" s="21" t="str">
        <f>IF(AND('Atividades Micro'!$B157=N$2,'Atividades Micro'!$L157&lt;&gt;""),'Atividades Micro'!$L157,"")</f>
        <v/>
      </c>
      <c r="O149" s="21" t="str">
        <f>IF(AND('Atividades Micro'!$A157=O$2,'Atividades Micro'!$K157&lt;&gt;""),'Atividades Micro'!$K157,"")</f>
        <v/>
      </c>
      <c r="P149" s="21" t="str">
        <f>IF(AND('Atividades Micro'!$A157=P$2,'Atividades Micro'!$L157&lt;&gt;""),'Atividades Micro'!$L157,"")</f>
        <v/>
      </c>
      <c r="Q149" s="21" t="str">
        <f>IF(AND('Atividades Micro'!$B157=Q$2,'Atividades Micro'!$K157&lt;&gt;""),'Atividades Micro'!$K157,"")</f>
        <v/>
      </c>
      <c r="R149" s="21" t="str">
        <f>IF(AND('Atividades Micro'!$B157=R$2,'Atividades Micro'!$L157&lt;&gt;""),'Atividades Micro'!$L157,"")</f>
        <v/>
      </c>
      <c r="S149" s="21">
        <f>IF(AND('Atividades Micro'!$A157=S$2,'Atividades Micro'!$K157&lt;&gt;""),'Atividades Micro'!$K157,"")</f>
        <v>46322</v>
      </c>
      <c r="T149" s="21" t="str">
        <f>IF(AND('Atividades Micro'!$A157=T$2,'Atividades Micro'!$L157&lt;&gt;""),'Atividades Micro'!$L157,"")</f>
        <v/>
      </c>
      <c r="U149" s="21">
        <f>IF(AND('Atividades Micro'!$B157=U$2,'Atividades Micro'!$K157&lt;&gt;""),'Atividades Micro'!$K157,"")</f>
        <v>46322</v>
      </c>
      <c r="V149" s="21" t="str">
        <f>IF(AND('Atividades Micro'!$B157=V$2,'Atividades Micro'!$L157&lt;&gt;""),'Atividades Micro'!$L157,"")</f>
        <v/>
      </c>
      <c r="W149" s="21" t="str">
        <f>IF(AND('Atividades Micro'!$B157=W$2,'Atividades Micro'!$K157&lt;&gt;""),'Atividades Micro'!$K157,"")</f>
        <v/>
      </c>
      <c r="X149" s="21" t="str">
        <f>IF(AND('Atividades Micro'!$B157=X$2,'Atividades Micro'!$L157&lt;&gt;""),'Atividades Micro'!$L157,"")</f>
        <v/>
      </c>
      <c r="Y149" s="21" t="str">
        <f>IF(AND('Atividades Micro'!$A157=Y$2,'Atividades Micro'!$K157&lt;&gt;""),'Atividades Micro'!$K157,"")</f>
        <v/>
      </c>
      <c r="Z149" s="21" t="str">
        <f>IF(AND('Atividades Micro'!$A157=Z$2,'Atividades Micro'!$L157&lt;&gt;""),'Atividades Micro'!$L157,"")</f>
        <v/>
      </c>
      <c r="AA149" s="21" t="str">
        <f>IF(AND('Atividades Micro'!$B157=AA$2,'Atividades Micro'!$K157&lt;&gt;""),'Atividades Micro'!$K157,"")</f>
        <v/>
      </c>
      <c r="AB149" s="21" t="str">
        <f>IF(AND('Atividades Micro'!$B157=AB$2,'Atividades Micro'!$L157&lt;&gt;""),'Atividades Micro'!$L157,"")</f>
        <v/>
      </c>
      <c r="AC149" s="21" t="str">
        <f>IF(AND('Atividades Micro'!$B157=AC$2,'Atividades Micro'!$K157&lt;&gt;""),'Atividades Micro'!$K157,"")</f>
        <v/>
      </c>
      <c r="AD149" s="21" t="str">
        <f>IF(AND('Atividades Micro'!$B157=AD$2,'Atividades Micro'!$L157&lt;&gt;""),'Atividades Micro'!$L157,"")</f>
        <v/>
      </c>
      <c r="AE149" s="21" t="str">
        <f>IF(AND('Atividades Micro'!$A157=AE$2,'Atividades Micro'!$K157&lt;&gt;""),'Atividades Micro'!$K157,"")</f>
        <v/>
      </c>
      <c r="AF149" s="21" t="str">
        <f>IF(AND('Atividades Micro'!$A157=AF$2,'Atividades Micro'!$L157&lt;&gt;""),'Atividades Micro'!$L157,"")</f>
        <v/>
      </c>
      <c r="AG149" s="21" t="str">
        <f>IF(AND('Atividades Micro'!$B157=AG$2,'Atividades Micro'!$K157&lt;&gt;""),'Atividades Micro'!$K157,"")</f>
        <v/>
      </c>
      <c r="AH149" s="21" t="str">
        <f>IF(AND('Atividades Micro'!$B157=AH$2,'Atividades Micro'!$L157&lt;&gt;""),'Atividades Micro'!$L157,"")</f>
        <v/>
      </c>
      <c r="AI149" s="21" t="str">
        <f>IF(AND('Atividades Micro'!$B157=AI$2,'Atividades Micro'!$K157&lt;&gt;""),'Atividades Micro'!$K157,"")</f>
        <v/>
      </c>
      <c r="AJ149" s="21" t="str">
        <f>IF(AND('Atividades Micro'!$B157=AJ$2,'Atividades Micro'!$L157&lt;&gt;""),'Atividades Micro'!$L157,"")</f>
        <v/>
      </c>
      <c r="AK149" s="21" t="str">
        <f>IF(AND('Atividades Micro'!$A157=AK$2,'Atividades Micro'!$K157&lt;&gt;""),'Atividades Micro'!$K157,"")</f>
        <v/>
      </c>
      <c r="AL149" s="21" t="str">
        <f>IF(AND('Atividades Micro'!$A157=AL$2,'Atividades Micro'!$L157&lt;&gt;""),'Atividades Micro'!$L157,"")</f>
        <v/>
      </c>
      <c r="AM149" s="21" t="str">
        <f>IF(AND('Atividades Micro'!$B157=AM$2,'Atividades Micro'!$K157&lt;&gt;""),'Atividades Micro'!$K157,"")</f>
        <v/>
      </c>
      <c r="AN149" s="21" t="str">
        <f>IF(AND('Atividades Micro'!$B157=AN$2,'Atividades Micro'!$L157&lt;&gt;""),'Atividades Micro'!$L157,"")</f>
        <v/>
      </c>
      <c r="AO149" s="21" t="str">
        <f>IF(AND('Atividades Micro'!$B157=AO$2,'Atividades Micro'!$K157&lt;&gt;""),'Atividades Micro'!$K157,"")</f>
        <v/>
      </c>
      <c r="AP149" s="21" t="str">
        <f>IF(AND('Atividades Micro'!$B157=AP$2,'Atividades Micro'!$L157&lt;&gt;""),'Atividades Micro'!$L157,"")</f>
        <v/>
      </c>
      <c r="AQ149" s="21" t="str">
        <f>IF(AND('Atividades Micro'!$A157=AQ$2,'Atividades Micro'!$K157&lt;&gt;""),'Atividades Micro'!$K157,"")</f>
        <v/>
      </c>
      <c r="AR149" s="21" t="str">
        <f>IF(AND('Atividades Micro'!$A157=AR$2,'Atividades Micro'!$L157&lt;&gt;""),'Atividades Micro'!$L157,"")</f>
        <v/>
      </c>
      <c r="AS149" s="21" t="str">
        <f>IF(AND('Atividades Micro'!$B157=AS$2,'Atividades Micro'!$K157&lt;&gt;""),'Atividades Micro'!$K157,"")</f>
        <v/>
      </c>
      <c r="AT149" s="21" t="str">
        <f>IF(AND('Atividades Micro'!$B157=AT$2,'Atividades Micro'!$L157&lt;&gt;""),'Atividades Micro'!$L157,"")</f>
        <v/>
      </c>
      <c r="AU149" s="21" t="str">
        <f>IF(AND('Atividades Micro'!$A157=AU$2,'Atividades Micro'!$K157&lt;&gt;""),'Atividades Micro'!$K157,"")</f>
        <v/>
      </c>
      <c r="AV149" s="21" t="str">
        <f>IF(AND('Atividades Micro'!$A157=AV$2,'Atividades Micro'!$L157&lt;&gt;""),'Atividades Micro'!$L157,"")</f>
        <v/>
      </c>
      <c r="AW149" s="21" t="str">
        <f>IF(AND('Atividades Micro'!$B157=AW$2,'Atividades Micro'!$K157&lt;&gt;""),'Atividades Micro'!$K157,"")</f>
        <v/>
      </c>
      <c r="AX149" s="21" t="str">
        <f>IF(AND('Atividades Micro'!$B157=AX$2,'Atividades Micro'!$L157&lt;&gt;""),'Atividades Micro'!$L157,"")</f>
        <v/>
      </c>
      <c r="AY149" s="21" t="str">
        <f>IF(AND('Atividades Micro'!$A157=AY$2,'Atividades Micro'!$K157&lt;&gt;""),'Atividades Micro'!$K157,"")</f>
        <v/>
      </c>
      <c r="AZ149" s="21" t="str">
        <f>IF(AND('Atividades Micro'!$A157=AZ$2,'Atividades Micro'!$L157&lt;&gt;""),'Atividades Micro'!$L157,"")</f>
        <v/>
      </c>
      <c r="BA149" s="21" t="str">
        <f>IF(AND('Atividades Micro'!$B157=BA$2,'Atividades Micro'!$K157&lt;&gt;""),'Atividades Micro'!$K157,"")</f>
        <v/>
      </c>
      <c r="BB149" s="21" t="str">
        <f>IF(AND('Atividades Micro'!$B157=BB$2,'Atividades Micro'!$L157&lt;&gt;""),'Atividades Micro'!$L157,"")</f>
        <v/>
      </c>
      <c r="BC149" s="21" t="str">
        <f>IF(AND('Atividades Micro'!$B157=BC$2,'Atividades Micro'!$G157="Macro",'Atividades Micro'!$K157&lt;&gt;""),'Atividades Micro'!$K157,"")</f>
        <v/>
      </c>
      <c r="BD149" s="21" t="str">
        <f>IF(AND('Atividades Micro'!$B157=BD$2,'Atividades Micro'!$G157="Macro",'Atividades Micro'!$K157&lt;&gt;""),'Atividades Micro'!$K157,"")</f>
        <v/>
      </c>
      <c r="BE149" s="21" t="str">
        <f>IF(AND('Atividades Micro'!$B157=BE$2,'Atividades Micro'!$G157="Macro",'Atividades Micro'!$K157&lt;&gt;""),'Atividades Micro'!$K157,"")</f>
        <v/>
      </c>
      <c r="BF149" s="21" t="str">
        <f>IF(AND('Atividades Micro'!$B157=BF$2,'Atividades Micro'!$G157="Macro",'Atividades Micro'!$K157&lt;&gt;""),'Atividades Micro'!$K157,"")</f>
        <v/>
      </c>
      <c r="BG149" s="21" t="str">
        <f>IF(AND('Atividades Micro'!$B157=BG$2,'Atividades Micro'!$G157="Macro",'Atividades Micro'!$K157&lt;&gt;""),'Atividades Micro'!$K157,"")</f>
        <v/>
      </c>
      <c r="BH149" s="21" t="str">
        <f>IF(AND('Atividades Micro'!$B157=BH$2,'Atividades Micro'!$G157="Macro",'Atividades Micro'!$K157&lt;&gt;""),'Atividades Micro'!$K157,"")</f>
        <v/>
      </c>
      <c r="BI149" s="21" t="str">
        <f>IF(AND('Atividades Micro'!$B157=BI$2,'Atividades Micro'!$G157="Macro",'Atividades Micro'!$K157&lt;&gt;""),'Atividades Micro'!$K157,"")</f>
        <v/>
      </c>
      <c r="BJ149" s="21" t="str">
        <f>IF(AND('Atividades Micro'!$B157=BJ$2,'Atividades Micro'!$G157="Macro",'Atividades Micro'!$K157&lt;&gt;""),'Atividades Micro'!$K157,"")</f>
        <v/>
      </c>
      <c r="BK149" s="21" t="str">
        <f>IF(AND('Atividades Micro'!$B157=BK$2,'Atividades Micro'!$G157="Macro",'Atividades Micro'!$K157&lt;&gt;""),'Atividades Micro'!$K157,"")</f>
        <v/>
      </c>
      <c r="BL149" s="21" t="str">
        <f>IF(AND('Atividades Micro'!$B157=BL$2,'Atividades Micro'!$G157="Macro",'Atividades Micro'!$K157&lt;&gt;""),'Atividades Micro'!$K157,"")</f>
        <v/>
      </c>
      <c r="BM149" s="21" t="str">
        <f>IF(AND('Atividades Micro'!$B157=BM$2,'Atividades Micro'!$G157="Macro",'Atividades Micro'!$K157&lt;&gt;""),'Atividades Micro'!$K157,"")</f>
        <v/>
      </c>
      <c r="BN149" s="21" t="str">
        <f>IF(AND('Atividades Micro'!$B157=BN$2,'Atividades Micro'!$G157="Macro",'Atividades Micro'!$K157&lt;&gt;""),'Atividades Micro'!$K157,"")</f>
        <v/>
      </c>
      <c r="BO149" s="21" t="str">
        <f>IF(AND('Atividades Micro'!$B157=BO$2,'Atividades Micro'!$G157="Macro",'Atividades Micro'!$K157&lt;&gt;""),'Atividades Micro'!$K157,"")</f>
        <v/>
      </c>
      <c r="BP149" s="21" t="str">
        <f>IF(AND('Atividades Micro'!$B157=BP$2,'Atividades Micro'!$G157="Macro",'Atividades Micro'!$K157&lt;&gt;""),'Atividades Micro'!$K157,"")</f>
        <v/>
      </c>
      <c r="BQ149" s="21" t="str">
        <f>IF(AND('Atividades Micro'!$B157=BQ$2,'Atividades Micro'!$G157="Macro",'Atividades Micro'!$K157&lt;&gt;""),'Atividades Micro'!$K157,"")</f>
        <v/>
      </c>
      <c r="BR149" s="21" t="str">
        <f>IF(AND('Atividades Micro'!$B157=BR$2,'Atividades Micro'!$G157="Macro",'Atividades Micro'!$K157&lt;&gt;""),'Atividades Micro'!$K157,"")</f>
        <v/>
      </c>
      <c r="BS149" s="21" t="str">
        <f>IF(AND('Atividades Micro'!$B157=BS$2,'Atividades Micro'!$G157="Macro",'Atividades Micro'!$K157&lt;&gt;""),'Atividades Micro'!$K157,"")</f>
        <v/>
      </c>
      <c r="BT149" s="21" t="str">
        <f>IF(AND('Atividades Micro'!$B157=BT$2,'Atividades Micro'!$G157="Macro",'Atividades Micro'!$K157&lt;&gt;""),'Atividades Micro'!$K157,"")</f>
        <v/>
      </c>
      <c r="BU149" s="21" t="str">
        <f>IF(AND('Atividades Micro'!$B157=BU$2,'Atividades Micro'!$G157="Macro",'Atividades Micro'!$K157&lt;&gt;""),'Atividades Micro'!$K157,"")</f>
        <v/>
      </c>
      <c r="BV149" s="21" t="str">
        <f>IF(AND('Atividades Micro'!$B157=BV$2,'Atividades Micro'!$G157="Macro",'Atividades Micro'!$K157&lt;&gt;""),'Atividades Micro'!$K157,"")</f>
        <v/>
      </c>
      <c r="BW149" s="21" t="str">
        <f>IF(AND('Atividades Micro'!$B157=BW$2,'Atividades Micro'!$G157="Macro",'Atividades Micro'!$K157&lt;&gt;""),'Atividades Micro'!$K157,"")</f>
        <v/>
      </c>
      <c r="BX149" s="21" t="str">
        <f>IF(AND('Atividades Micro'!$B157=BX$2,'Atividades Micro'!$G157="Macro",'Atividades Micro'!$K157&lt;&gt;""),'Atividades Micro'!$K157,"")</f>
        <v/>
      </c>
      <c r="BY149" s="21" t="str">
        <f>IF(AND('Atividades Micro'!$B157=BY$2,'Atividades Micro'!$G157="Macro",'Atividades Micro'!$K157&lt;&gt;""),'Atividades Micro'!$K157,"")</f>
        <v/>
      </c>
      <c r="BZ149" s="21" t="str">
        <f>IF(AND('Atividades Micro'!$B157=BZ$2,'Atividades Micro'!$G157="Macro",'Atividades Micro'!$K157&lt;&gt;""),'Atividades Micro'!$K157,"")</f>
        <v/>
      </c>
      <c r="CA149" s="21" t="str">
        <f>IF(AND('Atividades Micro'!$B157=CA$2,'Atividades Micro'!$G157="Macro",'Atividades Micro'!$K157&lt;&gt;""),'Atividades Micro'!$K157,"")</f>
        <v/>
      </c>
      <c r="CB149" s="21" t="str">
        <f>IF(AND('Atividades Micro'!$B157=CB$2,'Atividades Micro'!$G157="Macro",'Atividades Micro'!$K157&lt;&gt;""),'Atividades Micro'!$K157,"")</f>
        <v/>
      </c>
      <c r="CC149" s="21" t="str">
        <f>IF(AND('Atividades Micro'!$B157=CC$2,'Atividades Micro'!$G157="Macro",'Atividades Micro'!$K157&lt;&gt;""),'Atividades Micro'!$K157,"")</f>
        <v/>
      </c>
      <c r="CD149" s="21" t="str">
        <f>IF(AND('Atividades Micro'!$B157=CD$2,'Atividades Micro'!$G157="Micro",'Atividades Micro'!$K157&lt;&gt;""),'Atividades Micro'!$K157,"")</f>
        <v/>
      </c>
      <c r="CE149" s="21" t="str">
        <f>IF(AND('Atividades Micro'!$B157=CE$2,'Atividades Micro'!$G157="Micro",'Atividades Micro'!$K157&lt;&gt;""),'Atividades Micro'!$K157,"")</f>
        <v/>
      </c>
      <c r="CF149" s="21" t="str">
        <f>IF(AND('Atividades Micro'!$B157=CF$2,'Atividades Micro'!$G157="Micro",'Atividades Micro'!$K157&lt;&gt;""),'Atividades Micro'!$K157,"")</f>
        <v/>
      </c>
      <c r="CG149" s="21">
        <f>IF(AND('Atividades Micro'!$B157=CG$2,'Atividades Micro'!$G157="Micro",'Atividades Micro'!$K157&lt;&gt;""),'Atividades Micro'!$K157,"")</f>
        <v>46322</v>
      </c>
      <c r="CH149" s="21" t="str">
        <f>IF(AND('Atividades Micro'!$B157=CH$2,'Atividades Micro'!$G157="Micro",'Atividades Micro'!$K157&lt;&gt;""),'Atividades Micro'!$K157,"")</f>
        <v/>
      </c>
      <c r="CI149" s="21" t="str">
        <f>IF(AND('Atividades Micro'!$B157=CI$2,'Atividades Micro'!$G157="Micro",'Atividades Micro'!$K157&lt;&gt;""),'Atividades Micro'!$K157,"")</f>
        <v/>
      </c>
      <c r="CJ149" s="21" t="str">
        <f>IF(AND('Atividades Micro'!$B157=CJ$2,'Atividades Micro'!$G157="Micro",'Atividades Micro'!$K157&lt;&gt;""),'Atividades Micro'!$K157,"")</f>
        <v/>
      </c>
      <c r="CK149" s="21" t="str">
        <f>IF(AND('Atividades Micro'!$B157=CK$2,'Atividades Micro'!$G157="Micro",'Atividades Micro'!$K157&lt;&gt;""),'Atividades Micro'!$K157,"")</f>
        <v/>
      </c>
      <c r="CL149" s="21" t="str">
        <f>IF(AND('Atividades Micro'!$B157=CL$2,'Atividades Micro'!$G157="Micro",'Atividades Micro'!$K157&lt;&gt;""),'Atividades Micro'!$K157,"")</f>
        <v/>
      </c>
      <c r="CM149" s="21" t="str">
        <f>IF(AND('Atividades Micro'!$B157=CM$2,'Atividades Micro'!$G157="Micro",'Atividades Micro'!$K157&lt;&gt;""),'Atividades Micro'!$K157,"")</f>
        <v/>
      </c>
      <c r="CN149" s="21" t="str">
        <f>IF(AND('Atividades Micro'!$B157=CN$2,'Atividades Micro'!$G157="Micro",'Atividades Micro'!$K157&lt;&gt;""),'Atividades Micro'!$K157,"")</f>
        <v/>
      </c>
      <c r="CO149" s="21" t="str">
        <f>IF(AND('Atividades Micro'!$B157=CO$2,'Atividades Micro'!$G157="Micro",'Atividades Micro'!$K157&lt;&gt;""),'Atividades Micro'!$K157,"")</f>
        <v/>
      </c>
    </row>
    <row r="150" spans="1:93">
      <c r="A150" s="21" t="str">
        <f>IF(AND('Atividades Micro'!$A158=A$2,'Atividades Micro'!$K158&lt;&gt;""),'Atividades Micro'!$K158,"")</f>
        <v/>
      </c>
      <c r="B150" s="21" t="str">
        <f>IF(AND('Atividades Micro'!$A158=B$2,'Atividades Micro'!$L158&lt;&gt;""),'Atividades Micro'!$L158,"")</f>
        <v/>
      </c>
      <c r="C150" s="21" t="str">
        <f>IF(AND('Atividades Micro'!$A158=C$2,'Atividades Micro'!$K158&lt;&gt;""),'Atividades Micro'!$K158,"")</f>
        <v/>
      </c>
      <c r="D150" s="21" t="str">
        <f>IF(AND('Atividades Micro'!$A158=D$2,'Atividades Micro'!$L158&lt;&gt;""),'Atividades Micro'!$L158,"")</f>
        <v/>
      </c>
      <c r="E150" s="21" t="str">
        <f>IF(AND('Atividades Micro'!$A158=E$2,'Atividades Micro'!$K158&lt;&gt;""),'Atividades Micro'!$K158,"")</f>
        <v/>
      </c>
      <c r="F150" s="21" t="str">
        <f>IF(AND('Atividades Micro'!$A158=F$2,'Atividades Micro'!$L158&lt;&gt;""),'Atividades Micro'!$L158,"")</f>
        <v/>
      </c>
      <c r="G150" s="21" t="str">
        <f>IF(AND('Atividades Micro'!$A158=G$2,'Atividades Micro'!$K158&lt;&gt;""),'Atividades Micro'!$K158,"")</f>
        <v/>
      </c>
      <c r="H150" s="21" t="str">
        <f>IF(AND('Atividades Micro'!$A158=H$2,'Atividades Micro'!$L158&lt;&gt;""),'Atividades Micro'!$L158,"")</f>
        <v/>
      </c>
      <c r="I150" s="21" t="str">
        <f>IF(AND('Atividades Micro'!$A158=I$2,'Atividades Micro'!$K158&lt;&gt;""),'Atividades Micro'!$K158,"")</f>
        <v/>
      </c>
      <c r="J150" s="21" t="str">
        <f>IF(AND('Atividades Micro'!$A158=J$2,'Atividades Micro'!$L158&lt;&gt;""),'Atividades Micro'!$L158,"")</f>
        <v/>
      </c>
      <c r="K150" s="21" t="str">
        <f>IF(AND('Atividades Micro'!$B158=K$2,'Atividades Micro'!$K158&lt;&gt;""),'Atividades Micro'!$K158,"")</f>
        <v/>
      </c>
      <c r="L150" s="21" t="str">
        <f>IF(AND('Atividades Micro'!$B158=L$2,'Atividades Micro'!$L158&lt;&gt;""),'Atividades Micro'!$L158,"")</f>
        <v/>
      </c>
      <c r="M150" s="21" t="str">
        <f>IF(AND('Atividades Micro'!$B158=M$2,'Atividades Micro'!$K158&lt;&gt;""),'Atividades Micro'!$K158,"")</f>
        <v/>
      </c>
      <c r="N150" s="21" t="str">
        <f>IF(AND('Atividades Micro'!$B158=N$2,'Atividades Micro'!$L158&lt;&gt;""),'Atividades Micro'!$L158,"")</f>
        <v/>
      </c>
      <c r="O150" s="21" t="str">
        <f>IF(AND('Atividades Micro'!$A158=O$2,'Atividades Micro'!$K158&lt;&gt;""),'Atividades Micro'!$K158,"")</f>
        <v/>
      </c>
      <c r="P150" s="21" t="str">
        <f>IF(AND('Atividades Micro'!$A158=P$2,'Atividades Micro'!$L158&lt;&gt;""),'Atividades Micro'!$L158,"")</f>
        <v/>
      </c>
      <c r="Q150" s="21" t="str">
        <f>IF(AND('Atividades Micro'!$B158=Q$2,'Atividades Micro'!$K158&lt;&gt;""),'Atividades Micro'!$K158,"")</f>
        <v/>
      </c>
      <c r="R150" s="21" t="str">
        <f>IF(AND('Atividades Micro'!$B158=R$2,'Atividades Micro'!$L158&lt;&gt;""),'Atividades Micro'!$L158,"")</f>
        <v/>
      </c>
      <c r="S150" s="21" t="str">
        <f>IF(AND('Atividades Micro'!$A158=S$2,'Atividades Micro'!$K158&lt;&gt;""),'Atividades Micro'!$K158,"")</f>
        <v/>
      </c>
      <c r="T150" s="21" t="str">
        <f>IF(AND('Atividades Micro'!$A158=T$2,'Atividades Micro'!$L158&lt;&gt;""),'Atividades Micro'!$L158,"")</f>
        <v/>
      </c>
      <c r="U150" s="21" t="str">
        <f>IF(AND('Atividades Micro'!$B158=U$2,'Atividades Micro'!$K158&lt;&gt;""),'Atividades Micro'!$K158,"")</f>
        <v/>
      </c>
      <c r="V150" s="21" t="str">
        <f>IF(AND('Atividades Micro'!$B158=V$2,'Atividades Micro'!$L158&lt;&gt;""),'Atividades Micro'!$L158,"")</f>
        <v/>
      </c>
      <c r="W150" s="21" t="str">
        <f>IF(AND('Atividades Micro'!$B158=W$2,'Atividades Micro'!$K158&lt;&gt;""),'Atividades Micro'!$K158,"")</f>
        <v/>
      </c>
      <c r="X150" s="21" t="str">
        <f>IF(AND('Atividades Micro'!$B158=X$2,'Atividades Micro'!$L158&lt;&gt;""),'Atividades Micro'!$L158,"")</f>
        <v/>
      </c>
      <c r="Y150" s="21" t="str">
        <f>IF(AND('Atividades Micro'!$A158=Y$2,'Atividades Micro'!$K158&lt;&gt;""),'Atividades Micro'!$K158,"")</f>
        <v/>
      </c>
      <c r="Z150" s="21" t="str">
        <f>IF(AND('Atividades Micro'!$A158=Z$2,'Atividades Micro'!$L158&lt;&gt;""),'Atividades Micro'!$L158,"")</f>
        <v/>
      </c>
      <c r="AA150" s="21" t="str">
        <f>IF(AND('Atividades Micro'!$B158=AA$2,'Atividades Micro'!$K158&lt;&gt;""),'Atividades Micro'!$K158,"")</f>
        <v/>
      </c>
      <c r="AB150" s="21" t="str">
        <f>IF(AND('Atividades Micro'!$B158=AB$2,'Atividades Micro'!$L158&lt;&gt;""),'Atividades Micro'!$L158,"")</f>
        <v/>
      </c>
      <c r="AC150" s="21" t="str">
        <f>IF(AND('Atividades Micro'!$B158=AC$2,'Atividades Micro'!$K158&lt;&gt;""),'Atividades Micro'!$K158,"")</f>
        <v/>
      </c>
      <c r="AD150" s="21" t="str">
        <f>IF(AND('Atividades Micro'!$B158=AD$2,'Atividades Micro'!$L158&lt;&gt;""),'Atividades Micro'!$L158,"")</f>
        <v/>
      </c>
      <c r="AE150" s="21" t="str">
        <f>IF(AND('Atividades Micro'!$A158=AE$2,'Atividades Micro'!$K158&lt;&gt;""),'Atividades Micro'!$K158,"")</f>
        <v/>
      </c>
      <c r="AF150" s="21" t="str">
        <f>IF(AND('Atividades Micro'!$A158=AF$2,'Atividades Micro'!$L158&lt;&gt;""),'Atividades Micro'!$L158,"")</f>
        <v/>
      </c>
      <c r="AG150" s="21" t="str">
        <f>IF(AND('Atividades Micro'!$B158=AG$2,'Atividades Micro'!$K158&lt;&gt;""),'Atividades Micro'!$K158,"")</f>
        <v/>
      </c>
      <c r="AH150" s="21" t="str">
        <f>IF(AND('Atividades Micro'!$B158=AH$2,'Atividades Micro'!$L158&lt;&gt;""),'Atividades Micro'!$L158,"")</f>
        <v/>
      </c>
      <c r="AI150" s="21" t="str">
        <f>IF(AND('Atividades Micro'!$B158=AI$2,'Atividades Micro'!$K158&lt;&gt;""),'Atividades Micro'!$K158,"")</f>
        <v/>
      </c>
      <c r="AJ150" s="21" t="str">
        <f>IF(AND('Atividades Micro'!$B158=AJ$2,'Atividades Micro'!$L158&lt;&gt;""),'Atividades Micro'!$L158,"")</f>
        <v/>
      </c>
      <c r="AK150" s="21" t="str">
        <f>IF(AND('Atividades Micro'!$A158=AK$2,'Atividades Micro'!$K158&lt;&gt;""),'Atividades Micro'!$K158,"")</f>
        <v/>
      </c>
      <c r="AL150" s="21" t="str">
        <f>IF(AND('Atividades Micro'!$A158=AL$2,'Atividades Micro'!$L158&lt;&gt;""),'Atividades Micro'!$L158,"")</f>
        <v/>
      </c>
      <c r="AM150" s="21" t="str">
        <f>IF(AND('Atividades Micro'!$B158=AM$2,'Atividades Micro'!$K158&lt;&gt;""),'Atividades Micro'!$K158,"")</f>
        <v/>
      </c>
      <c r="AN150" s="21" t="str">
        <f>IF(AND('Atividades Micro'!$B158=AN$2,'Atividades Micro'!$L158&lt;&gt;""),'Atividades Micro'!$L158,"")</f>
        <v/>
      </c>
      <c r="AO150" s="21" t="str">
        <f>IF(AND('Atividades Micro'!$B158=AO$2,'Atividades Micro'!$K158&lt;&gt;""),'Atividades Micro'!$K158,"")</f>
        <v/>
      </c>
      <c r="AP150" s="21" t="str">
        <f>IF(AND('Atividades Micro'!$B158=AP$2,'Atividades Micro'!$L158&lt;&gt;""),'Atividades Micro'!$L158,"")</f>
        <v/>
      </c>
      <c r="AQ150" s="21" t="str">
        <f>IF(AND('Atividades Micro'!$A158=AQ$2,'Atividades Micro'!$K158&lt;&gt;""),'Atividades Micro'!$K158,"")</f>
        <v/>
      </c>
      <c r="AR150" s="21" t="str">
        <f>IF(AND('Atividades Micro'!$A158=AR$2,'Atividades Micro'!$L158&lt;&gt;""),'Atividades Micro'!$L158,"")</f>
        <v/>
      </c>
      <c r="AS150" s="21" t="str">
        <f>IF(AND('Atividades Micro'!$B158=AS$2,'Atividades Micro'!$K158&lt;&gt;""),'Atividades Micro'!$K158,"")</f>
        <v/>
      </c>
      <c r="AT150" s="21" t="str">
        <f>IF(AND('Atividades Micro'!$B158=AT$2,'Atividades Micro'!$L158&lt;&gt;""),'Atividades Micro'!$L158,"")</f>
        <v/>
      </c>
      <c r="AU150" s="21" t="str">
        <f>IF(AND('Atividades Micro'!$A158=AU$2,'Atividades Micro'!$K158&lt;&gt;""),'Atividades Micro'!$K158,"")</f>
        <v/>
      </c>
      <c r="AV150" s="21" t="str">
        <f>IF(AND('Atividades Micro'!$A158=AV$2,'Atividades Micro'!$L158&lt;&gt;""),'Atividades Micro'!$L158,"")</f>
        <v/>
      </c>
      <c r="AW150" s="21" t="str">
        <f>IF(AND('Atividades Micro'!$B158=AW$2,'Atividades Micro'!$K158&lt;&gt;""),'Atividades Micro'!$K158,"")</f>
        <v/>
      </c>
      <c r="AX150" s="21" t="str">
        <f>IF(AND('Atividades Micro'!$B158=AX$2,'Atividades Micro'!$L158&lt;&gt;""),'Atividades Micro'!$L158,"")</f>
        <v/>
      </c>
      <c r="AY150" s="21" t="str">
        <f>IF(AND('Atividades Micro'!$A158=AY$2,'Atividades Micro'!$K158&lt;&gt;""),'Atividades Micro'!$K158,"")</f>
        <v/>
      </c>
      <c r="AZ150" s="21" t="str">
        <f>IF(AND('Atividades Micro'!$A158=AZ$2,'Atividades Micro'!$L158&lt;&gt;""),'Atividades Micro'!$L158,"")</f>
        <v/>
      </c>
      <c r="BA150" s="21" t="str">
        <f>IF(AND('Atividades Micro'!$B158=BA$2,'Atividades Micro'!$K158&lt;&gt;""),'Atividades Micro'!$K158,"")</f>
        <v/>
      </c>
      <c r="BB150" s="21" t="str">
        <f>IF(AND('Atividades Micro'!$B158=BB$2,'Atividades Micro'!$L158&lt;&gt;""),'Atividades Micro'!$L158,"")</f>
        <v/>
      </c>
      <c r="BC150" s="21" t="str">
        <f>IF(AND('Atividades Micro'!$B158=BC$2,'Atividades Micro'!$G158="Macro",'Atividades Micro'!$K158&lt;&gt;""),'Atividades Micro'!$K158,"")</f>
        <v/>
      </c>
      <c r="BD150" s="21" t="str">
        <f>IF(AND('Atividades Micro'!$B158=BD$2,'Atividades Micro'!$G158="Macro",'Atividades Micro'!$K158&lt;&gt;""),'Atividades Micro'!$K158,"")</f>
        <v/>
      </c>
      <c r="BE150" s="21" t="str">
        <f>IF(AND('Atividades Micro'!$B158=BE$2,'Atividades Micro'!$G158="Macro",'Atividades Micro'!$K158&lt;&gt;""),'Atividades Micro'!$K158,"")</f>
        <v/>
      </c>
      <c r="BF150" s="21" t="str">
        <f>IF(AND('Atividades Micro'!$B158=BF$2,'Atividades Micro'!$G158="Macro",'Atividades Micro'!$K158&lt;&gt;""),'Atividades Micro'!$K158,"")</f>
        <v/>
      </c>
      <c r="BG150" s="21" t="str">
        <f>IF(AND('Atividades Micro'!$B158=BG$2,'Atividades Micro'!$G158="Macro",'Atividades Micro'!$K158&lt;&gt;""),'Atividades Micro'!$K158,"")</f>
        <v/>
      </c>
      <c r="BH150" s="21" t="str">
        <f>IF(AND('Atividades Micro'!$B158=BH$2,'Atividades Micro'!$G158="Macro",'Atividades Micro'!$K158&lt;&gt;""),'Atividades Micro'!$K158,"")</f>
        <v/>
      </c>
      <c r="BI150" s="21" t="str">
        <f>IF(AND('Atividades Micro'!$B158=BI$2,'Atividades Micro'!$G158="Macro",'Atividades Micro'!$K158&lt;&gt;""),'Atividades Micro'!$K158,"")</f>
        <v/>
      </c>
      <c r="BJ150" s="21" t="str">
        <f>IF(AND('Atividades Micro'!$B158=BJ$2,'Atividades Micro'!$G158="Macro",'Atividades Micro'!$K158&lt;&gt;""),'Atividades Micro'!$K158,"")</f>
        <v/>
      </c>
      <c r="BK150" s="21" t="str">
        <f>IF(AND('Atividades Micro'!$B158=BK$2,'Atividades Micro'!$G158="Macro",'Atividades Micro'!$K158&lt;&gt;""),'Atividades Micro'!$K158,"")</f>
        <v/>
      </c>
      <c r="BL150" s="21" t="str">
        <f>IF(AND('Atividades Micro'!$B158=BL$2,'Atividades Micro'!$G158="Macro",'Atividades Micro'!$K158&lt;&gt;""),'Atividades Micro'!$K158,"")</f>
        <v/>
      </c>
      <c r="BM150" s="21" t="str">
        <f>IF(AND('Atividades Micro'!$B158=BM$2,'Atividades Micro'!$G158="Macro",'Atividades Micro'!$K158&lt;&gt;""),'Atividades Micro'!$K158,"")</f>
        <v/>
      </c>
      <c r="BN150" s="21" t="str">
        <f>IF(AND('Atividades Micro'!$B158=BN$2,'Atividades Micro'!$G158="Macro",'Atividades Micro'!$K158&lt;&gt;""),'Atividades Micro'!$K158,"")</f>
        <v/>
      </c>
      <c r="BO150" s="21" t="str">
        <f>IF(AND('Atividades Micro'!$B158=BO$2,'Atividades Micro'!$G158="Macro",'Atividades Micro'!$K158&lt;&gt;""),'Atividades Micro'!$K158,"")</f>
        <v/>
      </c>
      <c r="BP150" s="21" t="str">
        <f>IF(AND('Atividades Micro'!$B158=BP$2,'Atividades Micro'!$G158="Macro",'Atividades Micro'!$K158&lt;&gt;""),'Atividades Micro'!$K158,"")</f>
        <v/>
      </c>
      <c r="BQ150" s="21" t="str">
        <f>IF(AND('Atividades Micro'!$B158=BQ$2,'Atividades Micro'!$G158="Macro",'Atividades Micro'!$K158&lt;&gt;""),'Atividades Micro'!$K158,"")</f>
        <v/>
      </c>
      <c r="BR150" s="21" t="str">
        <f>IF(AND('Atividades Micro'!$B158=BR$2,'Atividades Micro'!$G158="Macro",'Atividades Micro'!$K158&lt;&gt;""),'Atividades Micro'!$K158,"")</f>
        <v/>
      </c>
      <c r="BS150" s="21" t="str">
        <f>IF(AND('Atividades Micro'!$B158=BS$2,'Atividades Micro'!$G158="Macro",'Atividades Micro'!$K158&lt;&gt;""),'Atividades Micro'!$K158,"")</f>
        <v/>
      </c>
      <c r="BT150" s="21" t="str">
        <f>IF(AND('Atividades Micro'!$B158=BT$2,'Atividades Micro'!$G158="Macro",'Atividades Micro'!$K158&lt;&gt;""),'Atividades Micro'!$K158,"")</f>
        <v/>
      </c>
      <c r="BU150" s="21" t="str">
        <f>IF(AND('Atividades Micro'!$B158=BU$2,'Atividades Micro'!$G158="Macro",'Atividades Micro'!$K158&lt;&gt;""),'Atividades Micro'!$K158,"")</f>
        <v/>
      </c>
      <c r="BV150" s="21" t="str">
        <f>IF(AND('Atividades Micro'!$B158=BV$2,'Atividades Micro'!$G158="Macro",'Atividades Micro'!$K158&lt;&gt;""),'Atividades Micro'!$K158,"")</f>
        <v/>
      </c>
      <c r="BW150" s="21" t="str">
        <f>IF(AND('Atividades Micro'!$B158=BW$2,'Atividades Micro'!$G158="Macro",'Atividades Micro'!$K158&lt;&gt;""),'Atividades Micro'!$K158,"")</f>
        <v/>
      </c>
      <c r="BX150" s="21" t="str">
        <f>IF(AND('Atividades Micro'!$B158=BX$2,'Atividades Micro'!$G158="Macro",'Atividades Micro'!$K158&lt;&gt;""),'Atividades Micro'!$K158,"")</f>
        <v/>
      </c>
      <c r="BY150" s="21" t="str">
        <f>IF(AND('Atividades Micro'!$B158=BY$2,'Atividades Micro'!$G158="Macro",'Atividades Micro'!$K158&lt;&gt;""),'Atividades Micro'!$K158,"")</f>
        <v/>
      </c>
      <c r="BZ150" s="21" t="str">
        <f>IF(AND('Atividades Micro'!$B158=BZ$2,'Atividades Micro'!$G158="Macro",'Atividades Micro'!$K158&lt;&gt;""),'Atividades Micro'!$K158,"")</f>
        <v/>
      </c>
      <c r="CA150" s="21" t="str">
        <f>IF(AND('Atividades Micro'!$B158=CA$2,'Atividades Micro'!$G158="Macro",'Atividades Micro'!$K158&lt;&gt;""),'Atividades Micro'!$K158,"")</f>
        <v/>
      </c>
      <c r="CB150" s="21" t="str">
        <f>IF(AND('Atividades Micro'!$B158=CB$2,'Atividades Micro'!$G158="Macro",'Atividades Micro'!$K158&lt;&gt;""),'Atividades Micro'!$K158,"")</f>
        <v/>
      </c>
      <c r="CC150" s="21" t="str">
        <f>IF(AND('Atividades Micro'!$B158=CC$2,'Atividades Micro'!$G158="Macro",'Atividades Micro'!$K158&lt;&gt;""),'Atividades Micro'!$K158,"")</f>
        <v/>
      </c>
      <c r="CD150" s="21" t="str">
        <f>IF(AND('Atividades Micro'!$B158=CD$2,'Atividades Micro'!$G158="Micro",'Atividades Micro'!$K158&lt;&gt;""),'Atividades Micro'!$K158,"")</f>
        <v/>
      </c>
      <c r="CE150" s="21" t="str">
        <f>IF(AND('Atividades Micro'!$B158=CE$2,'Atividades Micro'!$G158="Micro",'Atividades Micro'!$K158&lt;&gt;""),'Atividades Micro'!$K158,"")</f>
        <v/>
      </c>
      <c r="CF150" s="21" t="str">
        <f>IF(AND('Atividades Micro'!$B158=CF$2,'Atividades Micro'!$G158="Micro",'Atividades Micro'!$K158&lt;&gt;""),'Atividades Micro'!$K158,"")</f>
        <v/>
      </c>
      <c r="CG150" s="21" t="str">
        <f>IF(AND('Atividades Micro'!$B158=CG$2,'Atividades Micro'!$G158="Micro",'Atividades Micro'!$K158&lt;&gt;""),'Atividades Micro'!$K158,"")</f>
        <v/>
      </c>
      <c r="CH150" s="21" t="str">
        <f>IF(AND('Atividades Micro'!$B158=CH$2,'Atividades Micro'!$G158="Micro",'Atividades Micro'!$K158&lt;&gt;""),'Atividades Micro'!$K158,"")</f>
        <v/>
      </c>
      <c r="CI150" s="21" t="str">
        <f>IF(AND('Atividades Micro'!$B158=CI$2,'Atividades Micro'!$G158="Micro",'Atividades Micro'!$K158&lt;&gt;""),'Atividades Micro'!$K158,"")</f>
        <v/>
      </c>
      <c r="CJ150" s="21" t="str">
        <f>IF(AND('Atividades Micro'!$B158=CJ$2,'Atividades Micro'!$G158="Micro",'Atividades Micro'!$K158&lt;&gt;""),'Atividades Micro'!$K158,"")</f>
        <v/>
      </c>
      <c r="CK150" s="21" t="str">
        <f>IF(AND('Atividades Micro'!$B158=CK$2,'Atividades Micro'!$G158="Micro",'Atividades Micro'!$K158&lt;&gt;""),'Atividades Micro'!$K158,"")</f>
        <v/>
      </c>
      <c r="CL150" s="21" t="str">
        <f>IF(AND('Atividades Micro'!$B158=CL$2,'Atividades Micro'!$G158="Micro",'Atividades Micro'!$K158&lt;&gt;""),'Atividades Micro'!$K158,"")</f>
        <v/>
      </c>
      <c r="CM150" s="21" t="str">
        <f>IF(AND('Atividades Micro'!$B158=CM$2,'Atividades Micro'!$G158="Micro",'Atividades Micro'!$K158&lt;&gt;""),'Atividades Micro'!$K158,"")</f>
        <v/>
      </c>
      <c r="CN150" s="21" t="str">
        <f>IF(AND('Atividades Micro'!$B158=CN$2,'Atividades Micro'!$G158="Micro",'Atividades Micro'!$K158&lt;&gt;""),'Atividades Micro'!$K158,"")</f>
        <v/>
      </c>
      <c r="CO150" s="21" t="str">
        <f>IF(AND('Atividades Micro'!$B158=CO$2,'Atividades Micro'!$G158="Micro",'Atividades Micro'!$K158&lt;&gt;""),'Atividades Micro'!$K158,"")</f>
        <v/>
      </c>
    </row>
    <row r="151" spans="1:93">
      <c r="A151" s="21" t="str">
        <f>IF(AND('Atividades Micro'!$A159=A$2,'Atividades Micro'!$K159&lt;&gt;""),'Atividades Micro'!$K159,"")</f>
        <v/>
      </c>
      <c r="B151" s="21" t="str">
        <f>IF(AND('Atividades Micro'!$A159=B$2,'Atividades Micro'!$L159&lt;&gt;""),'Atividades Micro'!$L159,"")</f>
        <v/>
      </c>
      <c r="C151" s="21" t="str">
        <f>IF(AND('Atividades Micro'!$A159=C$2,'Atividades Micro'!$K159&lt;&gt;""),'Atividades Micro'!$K159,"")</f>
        <v/>
      </c>
      <c r="D151" s="21" t="str">
        <f>IF(AND('Atividades Micro'!$A159=D$2,'Atividades Micro'!$L159&lt;&gt;""),'Atividades Micro'!$L159,"")</f>
        <v/>
      </c>
      <c r="E151" s="21" t="str">
        <f>IF(AND('Atividades Micro'!$A159=E$2,'Atividades Micro'!$K159&lt;&gt;""),'Atividades Micro'!$K159,"")</f>
        <v/>
      </c>
      <c r="F151" s="21" t="str">
        <f>IF(AND('Atividades Micro'!$A159=F$2,'Atividades Micro'!$L159&lt;&gt;""),'Atividades Micro'!$L159,"")</f>
        <v/>
      </c>
      <c r="G151" s="21" t="str">
        <f>IF(AND('Atividades Micro'!$A159=G$2,'Atividades Micro'!$K159&lt;&gt;""),'Atividades Micro'!$K159,"")</f>
        <v/>
      </c>
      <c r="H151" s="21" t="str">
        <f>IF(AND('Atividades Micro'!$A159=H$2,'Atividades Micro'!$L159&lt;&gt;""),'Atividades Micro'!$L159,"")</f>
        <v/>
      </c>
      <c r="I151" s="21" t="str">
        <f>IF(AND('Atividades Micro'!$A159=I$2,'Atividades Micro'!$K159&lt;&gt;""),'Atividades Micro'!$K159,"")</f>
        <v/>
      </c>
      <c r="J151" s="21" t="str">
        <f>IF(AND('Atividades Micro'!$A159=J$2,'Atividades Micro'!$L159&lt;&gt;""),'Atividades Micro'!$L159,"")</f>
        <v/>
      </c>
      <c r="K151" s="21" t="str">
        <f>IF(AND('Atividades Micro'!$B159=K$2,'Atividades Micro'!$K159&lt;&gt;""),'Atividades Micro'!$K159,"")</f>
        <v/>
      </c>
      <c r="L151" s="21" t="str">
        <f>IF(AND('Atividades Micro'!$B159=L$2,'Atividades Micro'!$L159&lt;&gt;""),'Atividades Micro'!$L159,"")</f>
        <v/>
      </c>
      <c r="M151" s="21" t="str">
        <f>IF(AND('Atividades Micro'!$B159=M$2,'Atividades Micro'!$K159&lt;&gt;""),'Atividades Micro'!$K159,"")</f>
        <v/>
      </c>
      <c r="N151" s="21" t="str">
        <f>IF(AND('Atividades Micro'!$B159=N$2,'Atividades Micro'!$L159&lt;&gt;""),'Atividades Micro'!$L159,"")</f>
        <v/>
      </c>
      <c r="O151" s="21" t="str">
        <f>IF(AND('Atividades Micro'!$A159=O$2,'Atividades Micro'!$K159&lt;&gt;""),'Atividades Micro'!$K159,"")</f>
        <v/>
      </c>
      <c r="P151" s="21" t="str">
        <f>IF(AND('Atividades Micro'!$A159=P$2,'Atividades Micro'!$L159&lt;&gt;""),'Atividades Micro'!$L159,"")</f>
        <v/>
      </c>
      <c r="Q151" s="21" t="str">
        <f>IF(AND('Atividades Micro'!$B159=Q$2,'Atividades Micro'!$K159&lt;&gt;""),'Atividades Micro'!$K159,"")</f>
        <v/>
      </c>
      <c r="R151" s="21" t="str">
        <f>IF(AND('Atividades Micro'!$B159=R$2,'Atividades Micro'!$L159&lt;&gt;""),'Atividades Micro'!$L159,"")</f>
        <v/>
      </c>
      <c r="S151" s="21">
        <f>IF(AND('Atividades Micro'!$A159=S$2,'Atividades Micro'!$K159&lt;&gt;""),'Atividades Micro'!$K159,"")</f>
        <v>46329</v>
      </c>
      <c r="T151" s="21" t="str">
        <f>IF(AND('Atividades Micro'!$A159=T$2,'Atividades Micro'!$L159&lt;&gt;""),'Atividades Micro'!$L159,"")</f>
        <v/>
      </c>
      <c r="U151" s="21">
        <f>IF(AND('Atividades Micro'!$B159=U$2,'Atividades Micro'!$K159&lt;&gt;""),'Atividades Micro'!$K159,"")</f>
        <v>46329</v>
      </c>
      <c r="V151" s="21" t="str">
        <f>IF(AND('Atividades Micro'!$B159=V$2,'Atividades Micro'!$L159&lt;&gt;""),'Atividades Micro'!$L159,"")</f>
        <v/>
      </c>
      <c r="W151" s="21" t="str">
        <f>IF(AND('Atividades Micro'!$B159=W$2,'Atividades Micro'!$K159&lt;&gt;""),'Atividades Micro'!$K159,"")</f>
        <v/>
      </c>
      <c r="X151" s="21" t="str">
        <f>IF(AND('Atividades Micro'!$B159=X$2,'Atividades Micro'!$L159&lt;&gt;""),'Atividades Micro'!$L159,"")</f>
        <v/>
      </c>
      <c r="Y151" s="21" t="str">
        <f>IF(AND('Atividades Micro'!$A159=Y$2,'Atividades Micro'!$K159&lt;&gt;""),'Atividades Micro'!$K159,"")</f>
        <v/>
      </c>
      <c r="Z151" s="21" t="str">
        <f>IF(AND('Atividades Micro'!$A159=Z$2,'Atividades Micro'!$L159&lt;&gt;""),'Atividades Micro'!$L159,"")</f>
        <v/>
      </c>
      <c r="AA151" s="21" t="str">
        <f>IF(AND('Atividades Micro'!$B159=AA$2,'Atividades Micro'!$K159&lt;&gt;""),'Atividades Micro'!$K159,"")</f>
        <v/>
      </c>
      <c r="AB151" s="21" t="str">
        <f>IF(AND('Atividades Micro'!$B159=AB$2,'Atividades Micro'!$L159&lt;&gt;""),'Atividades Micro'!$L159,"")</f>
        <v/>
      </c>
      <c r="AC151" s="21" t="str">
        <f>IF(AND('Atividades Micro'!$B159=AC$2,'Atividades Micro'!$K159&lt;&gt;""),'Atividades Micro'!$K159,"")</f>
        <v/>
      </c>
      <c r="AD151" s="21" t="str">
        <f>IF(AND('Atividades Micro'!$B159=AD$2,'Atividades Micro'!$L159&lt;&gt;""),'Atividades Micro'!$L159,"")</f>
        <v/>
      </c>
      <c r="AE151" s="21" t="str">
        <f>IF(AND('Atividades Micro'!$A159=AE$2,'Atividades Micro'!$K159&lt;&gt;""),'Atividades Micro'!$K159,"")</f>
        <v/>
      </c>
      <c r="AF151" s="21" t="str">
        <f>IF(AND('Atividades Micro'!$A159=AF$2,'Atividades Micro'!$L159&lt;&gt;""),'Atividades Micro'!$L159,"")</f>
        <v/>
      </c>
      <c r="AG151" s="21" t="str">
        <f>IF(AND('Atividades Micro'!$B159=AG$2,'Atividades Micro'!$K159&lt;&gt;""),'Atividades Micro'!$K159,"")</f>
        <v/>
      </c>
      <c r="AH151" s="21" t="str">
        <f>IF(AND('Atividades Micro'!$B159=AH$2,'Atividades Micro'!$L159&lt;&gt;""),'Atividades Micro'!$L159,"")</f>
        <v/>
      </c>
      <c r="AI151" s="21" t="str">
        <f>IF(AND('Atividades Micro'!$B159=AI$2,'Atividades Micro'!$K159&lt;&gt;""),'Atividades Micro'!$K159,"")</f>
        <v/>
      </c>
      <c r="AJ151" s="21" t="str">
        <f>IF(AND('Atividades Micro'!$B159=AJ$2,'Atividades Micro'!$L159&lt;&gt;""),'Atividades Micro'!$L159,"")</f>
        <v/>
      </c>
      <c r="AK151" s="21" t="str">
        <f>IF(AND('Atividades Micro'!$A159=AK$2,'Atividades Micro'!$K159&lt;&gt;""),'Atividades Micro'!$K159,"")</f>
        <v/>
      </c>
      <c r="AL151" s="21" t="str">
        <f>IF(AND('Atividades Micro'!$A159=AL$2,'Atividades Micro'!$L159&lt;&gt;""),'Atividades Micro'!$L159,"")</f>
        <v/>
      </c>
      <c r="AM151" s="21" t="str">
        <f>IF(AND('Atividades Micro'!$B159=AM$2,'Atividades Micro'!$K159&lt;&gt;""),'Atividades Micro'!$K159,"")</f>
        <v/>
      </c>
      <c r="AN151" s="21" t="str">
        <f>IF(AND('Atividades Micro'!$B159=AN$2,'Atividades Micro'!$L159&lt;&gt;""),'Atividades Micro'!$L159,"")</f>
        <v/>
      </c>
      <c r="AO151" s="21" t="str">
        <f>IF(AND('Atividades Micro'!$B159=AO$2,'Atividades Micro'!$K159&lt;&gt;""),'Atividades Micro'!$K159,"")</f>
        <v/>
      </c>
      <c r="AP151" s="21" t="str">
        <f>IF(AND('Atividades Micro'!$B159=AP$2,'Atividades Micro'!$L159&lt;&gt;""),'Atividades Micro'!$L159,"")</f>
        <v/>
      </c>
      <c r="AQ151" s="21" t="str">
        <f>IF(AND('Atividades Micro'!$A159=AQ$2,'Atividades Micro'!$K159&lt;&gt;""),'Atividades Micro'!$K159,"")</f>
        <v/>
      </c>
      <c r="AR151" s="21" t="str">
        <f>IF(AND('Atividades Micro'!$A159=AR$2,'Atividades Micro'!$L159&lt;&gt;""),'Atividades Micro'!$L159,"")</f>
        <v/>
      </c>
      <c r="AS151" s="21" t="str">
        <f>IF(AND('Atividades Micro'!$B159=AS$2,'Atividades Micro'!$K159&lt;&gt;""),'Atividades Micro'!$K159,"")</f>
        <v/>
      </c>
      <c r="AT151" s="21" t="str">
        <f>IF(AND('Atividades Micro'!$B159=AT$2,'Atividades Micro'!$L159&lt;&gt;""),'Atividades Micro'!$L159,"")</f>
        <v/>
      </c>
      <c r="AU151" s="21" t="str">
        <f>IF(AND('Atividades Micro'!$A159=AU$2,'Atividades Micro'!$K159&lt;&gt;""),'Atividades Micro'!$K159,"")</f>
        <v/>
      </c>
      <c r="AV151" s="21" t="str">
        <f>IF(AND('Atividades Micro'!$A159=AV$2,'Atividades Micro'!$L159&lt;&gt;""),'Atividades Micro'!$L159,"")</f>
        <v/>
      </c>
      <c r="AW151" s="21" t="str">
        <f>IF(AND('Atividades Micro'!$B159=AW$2,'Atividades Micro'!$K159&lt;&gt;""),'Atividades Micro'!$K159,"")</f>
        <v/>
      </c>
      <c r="AX151" s="21" t="str">
        <f>IF(AND('Atividades Micro'!$B159=AX$2,'Atividades Micro'!$L159&lt;&gt;""),'Atividades Micro'!$L159,"")</f>
        <v/>
      </c>
      <c r="AY151" s="21" t="str">
        <f>IF(AND('Atividades Micro'!$A159=AY$2,'Atividades Micro'!$K159&lt;&gt;""),'Atividades Micro'!$K159,"")</f>
        <v/>
      </c>
      <c r="AZ151" s="21" t="str">
        <f>IF(AND('Atividades Micro'!$A159=AZ$2,'Atividades Micro'!$L159&lt;&gt;""),'Atividades Micro'!$L159,"")</f>
        <v/>
      </c>
      <c r="BA151" s="21" t="str">
        <f>IF(AND('Atividades Micro'!$B159=BA$2,'Atividades Micro'!$K159&lt;&gt;""),'Atividades Micro'!$K159,"")</f>
        <v/>
      </c>
      <c r="BB151" s="21" t="str">
        <f>IF(AND('Atividades Micro'!$B159=BB$2,'Atividades Micro'!$L159&lt;&gt;""),'Atividades Micro'!$L159,"")</f>
        <v/>
      </c>
      <c r="BC151" s="21" t="str">
        <f>IF(AND('Atividades Micro'!$B159=BC$2,'Atividades Micro'!$G159="Macro",'Atividades Micro'!$K159&lt;&gt;""),'Atividades Micro'!$K159,"")</f>
        <v/>
      </c>
      <c r="BD151" s="21" t="str">
        <f>IF(AND('Atividades Micro'!$B159=BD$2,'Atividades Micro'!$G159="Macro",'Atividades Micro'!$K159&lt;&gt;""),'Atividades Micro'!$K159,"")</f>
        <v/>
      </c>
      <c r="BE151" s="21" t="str">
        <f>IF(AND('Atividades Micro'!$B159=BE$2,'Atividades Micro'!$G159="Macro",'Atividades Micro'!$K159&lt;&gt;""),'Atividades Micro'!$K159,"")</f>
        <v/>
      </c>
      <c r="BF151" s="21" t="str">
        <f>IF(AND('Atividades Micro'!$B159=BF$2,'Atividades Micro'!$G159="Macro",'Atividades Micro'!$K159&lt;&gt;""),'Atividades Micro'!$K159,"")</f>
        <v/>
      </c>
      <c r="BG151" s="21" t="str">
        <f>IF(AND('Atividades Micro'!$B159=BG$2,'Atividades Micro'!$G159="Macro",'Atividades Micro'!$K159&lt;&gt;""),'Atividades Micro'!$K159,"")</f>
        <v/>
      </c>
      <c r="BH151" s="21" t="str">
        <f>IF(AND('Atividades Micro'!$B159=BH$2,'Atividades Micro'!$G159="Macro",'Atividades Micro'!$K159&lt;&gt;""),'Atividades Micro'!$K159,"")</f>
        <v/>
      </c>
      <c r="BI151" s="21" t="str">
        <f>IF(AND('Atividades Micro'!$B159=BI$2,'Atividades Micro'!$G159="Macro",'Atividades Micro'!$K159&lt;&gt;""),'Atividades Micro'!$K159,"")</f>
        <v/>
      </c>
      <c r="BJ151" s="21" t="str">
        <f>IF(AND('Atividades Micro'!$B159=BJ$2,'Atividades Micro'!$G159="Macro",'Atividades Micro'!$K159&lt;&gt;""),'Atividades Micro'!$K159,"")</f>
        <v/>
      </c>
      <c r="BK151" s="21" t="str">
        <f>IF(AND('Atividades Micro'!$B159=BK$2,'Atividades Micro'!$G159="Macro",'Atividades Micro'!$K159&lt;&gt;""),'Atividades Micro'!$K159,"")</f>
        <v/>
      </c>
      <c r="BL151" s="21" t="str">
        <f>IF(AND('Atividades Micro'!$B159=BL$2,'Atividades Micro'!$G159="Macro",'Atividades Micro'!$K159&lt;&gt;""),'Atividades Micro'!$K159,"")</f>
        <v/>
      </c>
      <c r="BM151" s="21" t="str">
        <f>IF(AND('Atividades Micro'!$B159=BM$2,'Atividades Micro'!$G159="Macro",'Atividades Micro'!$K159&lt;&gt;""),'Atividades Micro'!$K159,"")</f>
        <v/>
      </c>
      <c r="BN151" s="21" t="str">
        <f>IF(AND('Atividades Micro'!$B159=BN$2,'Atividades Micro'!$G159="Macro",'Atividades Micro'!$K159&lt;&gt;""),'Atividades Micro'!$K159,"")</f>
        <v/>
      </c>
      <c r="BO151" s="21" t="str">
        <f>IF(AND('Atividades Micro'!$B159=BO$2,'Atividades Micro'!$G159="Macro",'Atividades Micro'!$K159&lt;&gt;""),'Atividades Micro'!$K159,"")</f>
        <v/>
      </c>
      <c r="BP151" s="21" t="str">
        <f>IF(AND('Atividades Micro'!$B159=BP$2,'Atividades Micro'!$G159="Macro",'Atividades Micro'!$K159&lt;&gt;""),'Atividades Micro'!$K159,"")</f>
        <v/>
      </c>
      <c r="BQ151" s="21" t="str">
        <f>IF(AND('Atividades Micro'!$B159=BQ$2,'Atividades Micro'!$G159="Macro",'Atividades Micro'!$K159&lt;&gt;""),'Atividades Micro'!$K159,"")</f>
        <v/>
      </c>
      <c r="BR151" s="21" t="str">
        <f>IF(AND('Atividades Micro'!$B159=BR$2,'Atividades Micro'!$G159="Macro",'Atividades Micro'!$K159&lt;&gt;""),'Atividades Micro'!$K159,"")</f>
        <v/>
      </c>
      <c r="BS151" s="21" t="str">
        <f>IF(AND('Atividades Micro'!$B159=BS$2,'Atividades Micro'!$G159="Macro",'Atividades Micro'!$K159&lt;&gt;""),'Atividades Micro'!$K159,"")</f>
        <v/>
      </c>
      <c r="BT151" s="21" t="str">
        <f>IF(AND('Atividades Micro'!$B159=BT$2,'Atividades Micro'!$G159="Macro",'Atividades Micro'!$K159&lt;&gt;""),'Atividades Micro'!$K159,"")</f>
        <v/>
      </c>
      <c r="BU151" s="21" t="str">
        <f>IF(AND('Atividades Micro'!$B159=BU$2,'Atividades Micro'!$G159="Macro",'Atividades Micro'!$K159&lt;&gt;""),'Atividades Micro'!$K159,"")</f>
        <v/>
      </c>
      <c r="BV151" s="21" t="str">
        <f>IF(AND('Atividades Micro'!$B159=BV$2,'Atividades Micro'!$G159="Macro",'Atividades Micro'!$K159&lt;&gt;""),'Atividades Micro'!$K159,"")</f>
        <v/>
      </c>
      <c r="BW151" s="21" t="str">
        <f>IF(AND('Atividades Micro'!$B159=BW$2,'Atividades Micro'!$G159="Macro",'Atividades Micro'!$K159&lt;&gt;""),'Atividades Micro'!$K159,"")</f>
        <v/>
      </c>
      <c r="BX151" s="21" t="str">
        <f>IF(AND('Atividades Micro'!$B159=BX$2,'Atividades Micro'!$G159="Macro",'Atividades Micro'!$K159&lt;&gt;""),'Atividades Micro'!$K159,"")</f>
        <v/>
      </c>
      <c r="BY151" s="21" t="str">
        <f>IF(AND('Atividades Micro'!$B159=BY$2,'Atividades Micro'!$G159="Macro",'Atividades Micro'!$K159&lt;&gt;""),'Atividades Micro'!$K159,"")</f>
        <v/>
      </c>
      <c r="BZ151" s="21" t="str">
        <f>IF(AND('Atividades Micro'!$B159=BZ$2,'Atividades Micro'!$G159="Macro",'Atividades Micro'!$K159&lt;&gt;""),'Atividades Micro'!$K159,"")</f>
        <v/>
      </c>
      <c r="CA151" s="21" t="str">
        <f>IF(AND('Atividades Micro'!$B159=CA$2,'Atividades Micro'!$G159="Macro",'Atividades Micro'!$K159&lt;&gt;""),'Atividades Micro'!$K159,"")</f>
        <v/>
      </c>
      <c r="CB151" s="21" t="str">
        <f>IF(AND('Atividades Micro'!$B159=CB$2,'Atividades Micro'!$G159="Macro",'Atividades Micro'!$K159&lt;&gt;""),'Atividades Micro'!$K159,"")</f>
        <v/>
      </c>
      <c r="CC151" s="21" t="str">
        <f>IF(AND('Atividades Micro'!$B159=CC$2,'Atividades Micro'!$G159="Macro",'Atividades Micro'!$K159&lt;&gt;""),'Atividades Micro'!$K159,"")</f>
        <v/>
      </c>
      <c r="CD151" s="21" t="str">
        <f>IF(AND('Atividades Micro'!$B159=CD$2,'Atividades Micro'!$G159="Micro",'Atividades Micro'!$K159&lt;&gt;""),'Atividades Micro'!$K159,"")</f>
        <v/>
      </c>
      <c r="CE151" s="21" t="str">
        <f>IF(AND('Atividades Micro'!$B159=CE$2,'Atividades Micro'!$G159="Micro",'Atividades Micro'!$K159&lt;&gt;""),'Atividades Micro'!$K159,"")</f>
        <v/>
      </c>
      <c r="CF151" s="21" t="str">
        <f>IF(AND('Atividades Micro'!$B159=CF$2,'Atividades Micro'!$G159="Micro",'Atividades Micro'!$K159&lt;&gt;""),'Atividades Micro'!$K159,"")</f>
        <v/>
      </c>
      <c r="CG151" s="21">
        <f>IF(AND('Atividades Micro'!$B159=CG$2,'Atividades Micro'!$G159="Micro",'Atividades Micro'!$K159&lt;&gt;""),'Atividades Micro'!$K159,"")</f>
        <v>46329</v>
      </c>
      <c r="CH151" s="21" t="str">
        <f>IF(AND('Atividades Micro'!$B159=CH$2,'Atividades Micro'!$G159="Micro",'Atividades Micro'!$K159&lt;&gt;""),'Atividades Micro'!$K159,"")</f>
        <v/>
      </c>
      <c r="CI151" s="21" t="str">
        <f>IF(AND('Atividades Micro'!$B159=CI$2,'Atividades Micro'!$G159="Micro",'Atividades Micro'!$K159&lt;&gt;""),'Atividades Micro'!$K159,"")</f>
        <v/>
      </c>
      <c r="CJ151" s="21" t="str">
        <f>IF(AND('Atividades Micro'!$B159=CJ$2,'Atividades Micro'!$G159="Micro",'Atividades Micro'!$K159&lt;&gt;""),'Atividades Micro'!$K159,"")</f>
        <v/>
      </c>
      <c r="CK151" s="21" t="str">
        <f>IF(AND('Atividades Micro'!$B159=CK$2,'Atividades Micro'!$G159="Micro",'Atividades Micro'!$K159&lt;&gt;""),'Atividades Micro'!$K159,"")</f>
        <v/>
      </c>
      <c r="CL151" s="21" t="str">
        <f>IF(AND('Atividades Micro'!$B159=CL$2,'Atividades Micro'!$G159="Micro",'Atividades Micro'!$K159&lt;&gt;""),'Atividades Micro'!$K159,"")</f>
        <v/>
      </c>
      <c r="CM151" s="21" t="str">
        <f>IF(AND('Atividades Micro'!$B159=CM$2,'Atividades Micro'!$G159="Micro",'Atividades Micro'!$K159&lt;&gt;""),'Atividades Micro'!$K159,"")</f>
        <v/>
      </c>
      <c r="CN151" s="21" t="str">
        <f>IF(AND('Atividades Micro'!$B159=CN$2,'Atividades Micro'!$G159="Micro",'Atividades Micro'!$K159&lt;&gt;""),'Atividades Micro'!$K159,"")</f>
        <v/>
      </c>
      <c r="CO151" s="21" t="str">
        <f>IF(AND('Atividades Micro'!$B159=CO$2,'Atividades Micro'!$G159="Micro",'Atividades Micro'!$K159&lt;&gt;""),'Atividades Micro'!$K159,"")</f>
        <v/>
      </c>
    </row>
    <row r="152" spans="1:93">
      <c r="A152" s="21" t="str">
        <f>IF(AND('Atividades Micro'!$A160=A$2,'Atividades Micro'!$K160&lt;&gt;""),'Atividades Micro'!$K160,"")</f>
        <v/>
      </c>
      <c r="B152" s="21" t="str">
        <f>IF(AND('Atividades Micro'!$A160=B$2,'Atividades Micro'!$L160&lt;&gt;""),'Atividades Micro'!$L160,"")</f>
        <v/>
      </c>
      <c r="C152" s="21" t="str">
        <f>IF(AND('Atividades Micro'!$A160=C$2,'Atividades Micro'!$K160&lt;&gt;""),'Atividades Micro'!$K160,"")</f>
        <v/>
      </c>
      <c r="D152" s="21" t="str">
        <f>IF(AND('Atividades Micro'!$A160=D$2,'Atividades Micro'!$L160&lt;&gt;""),'Atividades Micro'!$L160,"")</f>
        <v/>
      </c>
      <c r="E152" s="21" t="str">
        <f>IF(AND('Atividades Micro'!$A160=E$2,'Atividades Micro'!$K160&lt;&gt;""),'Atividades Micro'!$K160,"")</f>
        <v/>
      </c>
      <c r="F152" s="21" t="str">
        <f>IF(AND('Atividades Micro'!$A160=F$2,'Atividades Micro'!$L160&lt;&gt;""),'Atividades Micro'!$L160,"")</f>
        <v/>
      </c>
      <c r="G152" s="21" t="str">
        <f>IF(AND('Atividades Micro'!$A160=G$2,'Atividades Micro'!$K160&lt;&gt;""),'Atividades Micro'!$K160,"")</f>
        <v/>
      </c>
      <c r="H152" s="21" t="str">
        <f>IF(AND('Atividades Micro'!$A160=H$2,'Atividades Micro'!$L160&lt;&gt;""),'Atividades Micro'!$L160,"")</f>
        <v/>
      </c>
      <c r="I152" s="21" t="str">
        <f>IF(AND('Atividades Micro'!$A160=I$2,'Atividades Micro'!$K160&lt;&gt;""),'Atividades Micro'!$K160,"")</f>
        <v/>
      </c>
      <c r="J152" s="21" t="str">
        <f>IF(AND('Atividades Micro'!$A160=J$2,'Atividades Micro'!$L160&lt;&gt;""),'Atividades Micro'!$L160,"")</f>
        <v/>
      </c>
      <c r="K152" s="21" t="str">
        <f>IF(AND('Atividades Micro'!$B160=K$2,'Atividades Micro'!$K160&lt;&gt;""),'Atividades Micro'!$K160,"")</f>
        <v/>
      </c>
      <c r="L152" s="21" t="str">
        <f>IF(AND('Atividades Micro'!$B160=L$2,'Atividades Micro'!$L160&lt;&gt;""),'Atividades Micro'!$L160,"")</f>
        <v/>
      </c>
      <c r="M152" s="21" t="str">
        <f>IF(AND('Atividades Micro'!$B160=M$2,'Atividades Micro'!$K160&lt;&gt;""),'Atividades Micro'!$K160,"")</f>
        <v/>
      </c>
      <c r="N152" s="21" t="str">
        <f>IF(AND('Atividades Micro'!$B160=N$2,'Atividades Micro'!$L160&lt;&gt;""),'Atividades Micro'!$L160,"")</f>
        <v/>
      </c>
      <c r="O152" s="21" t="str">
        <f>IF(AND('Atividades Micro'!$A160=O$2,'Atividades Micro'!$K160&lt;&gt;""),'Atividades Micro'!$K160,"")</f>
        <v/>
      </c>
      <c r="P152" s="21" t="str">
        <f>IF(AND('Atividades Micro'!$A160=P$2,'Atividades Micro'!$L160&lt;&gt;""),'Atividades Micro'!$L160,"")</f>
        <v/>
      </c>
      <c r="Q152" s="21" t="str">
        <f>IF(AND('Atividades Micro'!$B160=Q$2,'Atividades Micro'!$K160&lt;&gt;""),'Atividades Micro'!$K160,"")</f>
        <v/>
      </c>
      <c r="R152" s="21" t="str">
        <f>IF(AND('Atividades Micro'!$B160=R$2,'Atividades Micro'!$L160&lt;&gt;""),'Atividades Micro'!$L160,"")</f>
        <v/>
      </c>
      <c r="S152" s="21">
        <f>IF(AND('Atividades Micro'!$A160=S$2,'Atividades Micro'!$K160&lt;&gt;""),'Atividades Micro'!$K160,"")</f>
        <v>46331</v>
      </c>
      <c r="T152" s="21" t="str">
        <f>IF(AND('Atividades Micro'!$A160=T$2,'Atividades Micro'!$L160&lt;&gt;""),'Atividades Micro'!$L160,"")</f>
        <v/>
      </c>
      <c r="U152" s="21">
        <f>IF(AND('Atividades Micro'!$B160=U$2,'Atividades Micro'!$K160&lt;&gt;""),'Atividades Micro'!$K160,"")</f>
        <v>46331</v>
      </c>
      <c r="V152" s="21" t="str">
        <f>IF(AND('Atividades Micro'!$B160=V$2,'Atividades Micro'!$L160&lt;&gt;""),'Atividades Micro'!$L160,"")</f>
        <v/>
      </c>
      <c r="W152" s="21" t="str">
        <f>IF(AND('Atividades Micro'!$B160=W$2,'Atividades Micro'!$K160&lt;&gt;""),'Atividades Micro'!$K160,"")</f>
        <v/>
      </c>
      <c r="X152" s="21" t="str">
        <f>IF(AND('Atividades Micro'!$B160=X$2,'Atividades Micro'!$L160&lt;&gt;""),'Atividades Micro'!$L160,"")</f>
        <v/>
      </c>
      <c r="Y152" s="21" t="str">
        <f>IF(AND('Atividades Micro'!$A160=Y$2,'Atividades Micro'!$K160&lt;&gt;""),'Atividades Micro'!$K160,"")</f>
        <v/>
      </c>
      <c r="Z152" s="21" t="str">
        <f>IF(AND('Atividades Micro'!$A160=Z$2,'Atividades Micro'!$L160&lt;&gt;""),'Atividades Micro'!$L160,"")</f>
        <v/>
      </c>
      <c r="AA152" s="21" t="str">
        <f>IF(AND('Atividades Micro'!$B160=AA$2,'Atividades Micro'!$K160&lt;&gt;""),'Atividades Micro'!$K160,"")</f>
        <v/>
      </c>
      <c r="AB152" s="21" t="str">
        <f>IF(AND('Atividades Micro'!$B160=AB$2,'Atividades Micro'!$L160&lt;&gt;""),'Atividades Micro'!$L160,"")</f>
        <v/>
      </c>
      <c r="AC152" s="21" t="str">
        <f>IF(AND('Atividades Micro'!$B160=AC$2,'Atividades Micro'!$K160&lt;&gt;""),'Atividades Micro'!$K160,"")</f>
        <v/>
      </c>
      <c r="AD152" s="21" t="str">
        <f>IF(AND('Atividades Micro'!$B160=AD$2,'Atividades Micro'!$L160&lt;&gt;""),'Atividades Micro'!$L160,"")</f>
        <v/>
      </c>
      <c r="AE152" s="21" t="str">
        <f>IF(AND('Atividades Micro'!$A160=AE$2,'Atividades Micro'!$K160&lt;&gt;""),'Atividades Micro'!$K160,"")</f>
        <v/>
      </c>
      <c r="AF152" s="21" t="str">
        <f>IF(AND('Atividades Micro'!$A160=AF$2,'Atividades Micro'!$L160&lt;&gt;""),'Atividades Micro'!$L160,"")</f>
        <v/>
      </c>
      <c r="AG152" s="21" t="str">
        <f>IF(AND('Atividades Micro'!$B160=AG$2,'Atividades Micro'!$K160&lt;&gt;""),'Atividades Micro'!$K160,"")</f>
        <v/>
      </c>
      <c r="AH152" s="21" t="str">
        <f>IF(AND('Atividades Micro'!$B160=AH$2,'Atividades Micro'!$L160&lt;&gt;""),'Atividades Micro'!$L160,"")</f>
        <v/>
      </c>
      <c r="AI152" s="21" t="str">
        <f>IF(AND('Atividades Micro'!$B160=AI$2,'Atividades Micro'!$K160&lt;&gt;""),'Atividades Micro'!$K160,"")</f>
        <v/>
      </c>
      <c r="AJ152" s="21" t="str">
        <f>IF(AND('Atividades Micro'!$B160=AJ$2,'Atividades Micro'!$L160&lt;&gt;""),'Atividades Micro'!$L160,"")</f>
        <v/>
      </c>
      <c r="AK152" s="21" t="str">
        <f>IF(AND('Atividades Micro'!$A160=AK$2,'Atividades Micro'!$K160&lt;&gt;""),'Atividades Micro'!$K160,"")</f>
        <v/>
      </c>
      <c r="AL152" s="21" t="str">
        <f>IF(AND('Atividades Micro'!$A160=AL$2,'Atividades Micro'!$L160&lt;&gt;""),'Atividades Micro'!$L160,"")</f>
        <v/>
      </c>
      <c r="AM152" s="21" t="str">
        <f>IF(AND('Atividades Micro'!$B160=AM$2,'Atividades Micro'!$K160&lt;&gt;""),'Atividades Micro'!$K160,"")</f>
        <v/>
      </c>
      <c r="AN152" s="21" t="str">
        <f>IF(AND('Atividades Micro'!$B160=AN$2,'Atividades Micro'!$L160&lt;&gt;""),'Atividades Micro'!$L160,"")</f>
        <v/>
      </c>
      <c r="AO152" s="21" t="str">
        <f>IF(AND('Atividades Micro'!$B160=AO$2,'Atividades Micro'!$K160&lt;&gt;""),'Atividades Micro'!$K160,"")</f>
        <v/>
      </c>
      <c r="AP152" s="21" t="str">
        <f>IF(AND('Atividades Micro'!$B160=AP$2,'Atividades Micro'!$L160&lt;&gt;""),'Atividades Micro'!$L160,"")</f>
        <v/>
      </c>
      <c r="AQ152" s="21" t="str">
        <f>IF(AND('Atividades Micro'!$A160=AQ$2,'Atividades Micro'!$K160&lt;&gt;""),'Atividades Micro'!$K160,"")</f>
        <v/>
      </c>
      <c r="AR152" s="21" t="str">
        <f>IF(AND('Atividades Micro'!$A160=AR$2,'Atividades Micro'!$L160&lt;&gt;""),'Atividades Micro'!$L160,"")</f>
        <v/>
      </c>
      <c r="AS152" s="21" t="str">
        <f>IF(AND('Atividades Micro'!$B160=AS$2,'Atividades Micro'!$K160&lt;&gt;""),'Atividades Micro'!$K160,"")</f>
        <v/>
      </c>
      <c r="AT152" s="21" t="str">
        <f>IF(AND('Atividades Micro'!$B160=AT$2,'Atividades Micro'!$L160&lt;&gt;""),'Atividades Micro'!$L160,"")</f>
        <v/>
      </c>
      <c r="AU152" s="21" t="str">
        <f>IF(AND('Atividades Micro'!$A160=AU$2,'Atividades Micro'!$K160&lt;&gt;""),'Atividades Micro'!$K160,"")</f>
        <v/>
      </c>
      <c r="AV152" s="21" t="str">
        <f>IF(AND('Atividades Micro'!$A160=AV$2,'Atividades Micro'!$L160&lt;&gt;""),'Atividades Micro'!$L160,"")</f>
        <v/>
      </c>
      <c r="AW152" s="21" t="str">
        <f>IF(AND('Atividades Micro'!$B160=AW$2,'Atividades Micro'!$K160&lt;&gt;""),'Atividades Micro'!$K160,"")</f>
        <v/>
      </c>
      <c r="AX152" s="21" t="str">
        <f>IF(AND('Atividades Micro'!$B160=AX$2,'Atividades Micro'!$L160&lt;&gt;""),'Atividades Micro'!$L160,"")</f>
        <v/>
      </c>
      <c r="AY152" s="21" t="str">
        <f>IF(AND('Atividades Micro'!$A160=AY$2,'Atividades Micro'!$K160&lt;&gt;""),'Atividades Micro'!$K160,"")</f>
        <v/>
      </c>
      <c r="AZ152" s="21" t="str">
        <f>IF(AND('Atividades Micro'!$A160=AZ$2,'Atividades Micro'!$L160&lt;&gt;""),'Atividades Micro'!$L160,"")</f>
        <v/>
      </c>
      <c r="BA152" s="21" t="str">
        <f>IF(AND('Atividades Micro'!$B160=BA$2,'Atividades Micro'!$K160&lt;&gt;""),'Atividades Micro'!$K160,"")</f>
        <v/>
      </c>
      <c r="BB152" s="21" t="str">
        <f>IF(AND('Atividades Micro'!$B160=BB$2,'Atividades Micro'!$L160&lt;&gt;""),'Atividades Micro'!$L160,"")</f>
        <v/>
      </c>
      <c r="BC152" s="21" t="str">
        <f>IF(AND('Atividades Micro'!$B160=BC$2,'Atividades Micro'!$G160="Macro",'Atividades Micro'!$K160&lt;&gt;""),'Atividades Micro'!$K160,"")</f>
        <v/>
      </c>
      <c r="BD152" s="21" t="str">
        <f>IF(AND('Atividades Micro'!$B160=BD$2,'Atividades Micro'!$G160="Macro",'Atividades Micro'!$K160&lt;&gt;""),'Atividades Micro'!$K160,"")</f>
        <v/>
      </c>
      <c r="BE152" s="21" t="str">
        <f>IF(AND('Atividades Micro'!$B160=BE$2,'Atividades Micro'!$G160="Macro",'Atividades Micro'!$K160&lt;&gt;""),'Atividades Micro'!$K160,"")</f>
        <v/>
      </c>
      <c r="BF152" s="21" t="str">
        <f>IF(AND('Atividades Micro'!$B160=BF$2,'Atividades Micro'!$G160="Macro",'Atividades Micro'!$K160&lt;&gt;""),'Atividades Micro'!$K160,"")</f>
        <v/>
      </c>
      <c r="BG152" s="21" t="str">
        <f>IF(AND('Atividades Micro'!$B160=BG$2,'Atividades Micro'!$G160="Macro",'Atividades Micro'!$K160&lt;&gt;""),'Atividades Micro'!$K160,"")</f>
        <v/>
      </c>
      <c r="BH152" s="21" t="str">
        <f>IF(AND('Atividades Micro'!$B160=BH$2,'Atividades Micro'!$G160="Macro",'Atividades Micro'!$K160&lt;&gt;""),'Atividades Micro'!$K160,"")</f>
        <v/>
      </c>
      <c r="BI152" s="21" t="str">
        <f>IF(AND('Atividades Micro'!$B160=BI$2,'Atividades Micro'!$G160="Macro",'Atividades Micro'!$K160&lt;&gt;""),'Atividades Micro'!$K160,"")</f>
        <v/>
      </c>
      <c r="BJ152" s="21" t="str">
        <f>IF(AND('Atividades Micro'!$B160=BJ$2,'Atividades Micro'!$G160="Macro",'Atividades Micro'!$K160&lt;&gt;""),'Atividades Micro'!$K160,"")</f>
        <v/>
      </c>
      <c r="BK152" s="21" t="str">
        <f>IF(AND('Atividades Micro'!$B160=BK$2,'Atividades Micro'!$G160="Macro",'Atividades Micro'!$K160&lt;&gt;""),'Atividades Micro'!$K160,"")</f>
        <v/>
      </c>
      <c r="BL152" s="21" t="str">
        <f>IF(AND('Atividades Micro'!$B160=BL$2,'Atividades Micro'!$G160="Macro",'Atividades Micro'!$K160&lt;&gt;""),'Atividades Micro'!$K160,"")</f>
        <v/>
      </c>
      <c r="BM152" s="21" t="str">
        <f>IF(AND('Atividades Micro'!$B160=BM$2,'Atividades Micro'!$G160="Macro",'Atividades Micro'!$K160&lt;&gt;""),'Atividades Micro'!$K160,"")</f>
        <v/>
      </c>
      <c r="BN152" s="21" t="str">
        <f>IF(AND('Atividades Micro'!$B160=BN$2,'Atividades Micro'!$G160="Macro",'Atividades Micro'!$K160&lt;&gt;""),'Atividades Micro'!$K160,"")</f>
        <v/>
      </c>
      <c r="BO152" s="21" t="str">
        <f>IF(AND('Atividades Micro'!$B160=BO$2,'Atividades Micro'!$G160="Macro",'Atividades Micro'!$K160&lt;&gt;""),'Atividades Micro'!$K160,"")</f>
        <v/>
      </c>
      <c r="BP152" s="21" t="str">
        <f>IF(AND('Atividades Micro'!$B160=BP$2,'Atividades Micro'!$G160="Macro",'Atividades Micro'!$K160&lt;&gt;""),'Atividades Micro'!$K160,"")</f>
        <v/>
      </c>
      <c r="BQ152" s="21" t="str">
        <f>IF(AND('Atividades Micro'!$B160=BQ$2,'Atividades Micro'!$G160="Macro",'Atividades Micro'!$K160&lt;&gt;""),'Atividades Micro'!$K160,"")</f>
        <v/>
      </c>
      <c r="BR152" s="21" t="str">
        <f>IF(AND('Atividades Micro'!$B160=BR$2,'Atividades Micro'!$G160="Macro",'Atividades Micro'!$K160&lt;&gt;""),'Atividades Micro'!$K160,"")</f>
        <v/>
      </c>
      <c r="BS152" s="21" t="str">
        <f>IF(AND('Atividades Micro'!$B160=BS$2,'Atividades Micro'!$G160="Macro",'Atividades Micro'!$K160&lt;&gt;""),'Atividades Micro'!$K160,"")</f>
        <v/>
      </c>
      <c r="BT152" s="21" t="str">
        <f>IF(AND('Atividades Micro'!$B160=BT$2,'Atividades Micro'!$G160="Macro",'Atividades Micro'!$K160&lt;&gt;""),'Atividades Micro'!$K160,"")</f>
        <v/>
      </c>
      <c r="BU152" s="21" t="str">
        <f>IF(AND('Atividades Micro'!$B160=BU$2,'Atividades Micro'!$G160="Macro",'Atividades Micro'!$K160&lt;&gt;""),'Atividades Micro'!$K160,"")</f>
        <v/>
      </c>
      <c r="BV152" s="21" t="str">
        <f>IF(AND('Atividades Micro'!$B160=BV$2,'Atividades Micro'!$G160="Macro",'Atividades Micro'!$K160&lt;&gt;""),'Atividades Micro'!$K160,"")</f>
        <v/>
      </c>
      <c r="BW152" s="21" t="str">
        <f>IF(AND('Atividades Micro'!$B160=BW$2,'Atividades Micro'!$G160="Macro",'Atividades Micro'!$K160&lt;&gt;""),'Atividades Micro'!$K160,"")</f>
        <v/>
      </c>
      <c r="BX152" s="21" t="str">
        <f>IF(AND('Atividades Micro'!$B160=BX$2,'Atividades Micro'!$G160="Macro",'Atividades Micro'!$K160&lt;&gt;""),'Atividades Micro'!$K160,"")</f>
        <v/>
      </c>
      <c r="BY152" s="21" t="str">
        <f>IF(AND('Atividades Micro'!$B160=BY$2,'Atividades Micro'!$G160="Macro",'Atividades Micro'!$K160&lt;&gt;""),'Atividades Micro'!$K160,"")</f>
        <v/>
      </c>
      <c r="BZ152" s="21" t="str">
        <f>IF(AND('Atividades Micro'!$B160=BZ$2,'Atividades Micro'!$G160="Macro",'Atividades Micro'!$K160&lt;&gt;""),'Atividades Micro'!$K160,"")</f>
        <v/>
      </c>
      <c r="CA152" s="21" t="str">
        <f>IF(AND('Atividades Micro'!$B160=CA$2,'Atividades Micro'!$G160="Macro",'Atividades Micro'!$K160&lt;&gt;""),'Atividades Micro'!$K160,"")</f>
        <v/>
      </c>
      <c r="CB152" s="21" t="str">
        <f>IF(AND('Atividades Micro'!$B160=CB$2,'Atividades Micro'!$G160="Macro",'Atividades Micro'!$K160&lt;&gt;""),'Atividades Micro'!$K160,"")</f>
        <v/>
      </c>
      <c r="CC152" s="21" t="str">
        <f>IF(AND('Atividades Micro'!$B160=CC$2,'Atividades Micro'!$G160="Macro",'Atividades Micro'!$K160&lt;&gt;""),'Atividades Micro'!$K160,"")</f>
        <v/>
      </c>
      <c r="CD152" s="21" t="str">
        <f>IF(AND('Atividades Micro'!$B160=CD$2,'Atividades Micro'!$G160="Micro",'Atividades Micro'!$K160&lt;&gt;""),'Atividades Micro'!$K160,"")</f>
        <v/>
      </c>
      <c r="CE152" s="21" t="str">
        <f>IF(AND('Atividades Micro'!$B160=CE$2,'Atividades Micro'!$G160="Micro",'Atividades Micro'!$K160&lt;&gt;""),'Atividades Micro'!$K160,"")</f>
        <v/>
      </c>
      <c r="CF152" s="21" t="str">
        <f>IF(AND('Atividades Micro'!$B160=CF$2,'Atividades Micro'!$G160="Micro",'Atividades Micro'!$K160&lt;&gt;""),'Atividades Micro'!$K160,"")</f>
        <v/>
      </c>
      <c r="CG152" s="21">
        <f>IF(AND('Atividades Micro'!$B160=CG$2,'Atividades Micro'!$G160="Micro",'Atividades Micro'!$K160&lt;&gt;""),'Atividades Micro'!$K160,"")</f>
        <v>46331</v>
      </c>
      <c r="CH152" s="21" t="str">
        <f>IF(AND('Atividades Micro'!$B160=CH$2,'Atividades Micro'!$G160="Micro",'Atividades Micro'!$K160&lt;&gt;""),'Atividades Micro'!$K160,"")</f>
        <v/>
      </c>
      <c r="CI152" s="21" t="str">
        <f>IF(AND('Atividades Micro'!$B160=CI$2,'Atividades Micro'!$G160="Micro",'Atividades Micro'!$K160&lt;&gt;""),'Atividades Micro'!$K160,"")</f>
        <v/>
      </c>
      <c r="CJ152" s="21" t="str">
        <f>IF(AND('Atividades Micro'!$B160=CJ$2,'Atividades Micro'!$G160="Micro",'Atividades Micro'!$K160&lt;&gt;""),'Atividades Micro'!$K160,"")</f>
        <v/>
      </c>
      <c r="CK152" s="21" t="str">
        <f>IF(AND('Atividades Micro'!$B160=CK$2,'Atividades Micro'!$G160="Micro",'Atividades Micro'!$K160&lt;&gt;""),'Atividades Micro'!$K160,"")</f>
        <v/>
      </c>
      <c r="CL152" s="21" t="str">
        <f>IF(AND('Atividades Micro'!$B160=CL$2,'Atividades Micro'!$G160="Micro",'Atividades Micro'!$K160&lt;&gt;""),'Atividades Micro'!$K160,"")</f>
        <v/>
      </c>
      <c r="CM152" s="21" t="str">
        <f>IF(AND('Atividades Micro'!$B160=CM$2,'Atividades Micro'!$G160="Micro",'Atividades Micro'!$K160&lt;&gt;""),'Atividades Micro'!$K160,"")</f>
        <v/>
      </c>
      <c r="CN152" s="21" t="str">
        <f>IF(AND('Atividades Micro'!$B160=CN$2,'Atividades Micro'!$G160="Micro",'Atividades Micro'!$K160&lt;&gt;""),'Atividades Micro'!$K160,"")</f>
        <v/>
      </c>
      <c r="CO152" s="21" t="str">
        <f>IF(AND('Atividades Micro'!$B160=CO$2,'Atividades Micro'!$G160="Micro",'Atividades Micro'!$K160&lt;&gt;""),'Atividades Micro'!$K160,"")</f>
        <v/>
      </c>
    </row>
    <row r="153" spans="1:93">
      <c r="A153" s="21" t="str">
        <f>IF(AND('Atividades Micro'!$A161=A$2,'Atividades Micro'!$K161&lt;&gt;""),'Atividades Micro'!$K161,"")</f>
        <v/>
      </c>
      <c r="B153" s="21" t="str">
        <f>IF(AND('Atividades Micro'!$A161=B$2,'Atividades Micro'!$L161&lt;&gt;""),'Atividades Micro'!$L161,"")</f>
        <v/>
      </c>
      <c r="C153" s="21" t="str">
        <f>IF(AND('Atividades Micro'!$A161=C$2,'Atividades Micro'!$K161&lt;&gt;""),'Atividades Micro'!$K161,"")</f>
        <v/>
      </c>
      <c r="D153" s="21" t="str">
        <f>IF(AND('Atividades Micro'!$A161=D$2,'Atividades Micro'!$L161&lt;&gt;""),'Atividades Micro'!$L161,"")</f>
        <v/>
      </c>
      <c r="E153" s="21" t="str">
        <f>IF(AND('Atividades Micro'!$A161=E$2,'Atividades Micro'!$K161&lt;&gt;""),'Atividades Micro'!$K161,"")</f>
        <v/>
      </c>
      <c r="F153" s="21" t="str">
        <f>IF(AND('Atividades Micro'!$A161=F$2,'Atividades Micro'!$L161&lt;&gt;""),'Atividades Micro'!$L161,"")</f>
        <v/>
      </c>
      <c r="G153" s="21" t="str">
        <f>IF(AND('Atividades Micro'!$A161=G$2,'Atividades Micro'!$K161&lt;&gt;""),'Atividades Micro'!$K161,"")</f>
        <v/>
      </c>
      <c r="H153" s="21" t="str">
        <f>IF(AND('Atividades Micro'!$A161=H$2,'Atividades Micro'!$L161&lt;&gt;""),'Atividades Micro'!$L161,"")</f>
        <v/>
      </c>
      <c r="I153" s="21" t="str">
        <f>IF(AND('Atividades Micro'!$A161=I$2,'Atividades Micro'!$K161&lt;&gt;""),'Atividades Micro'!$K161,"")</f>
        <v/>
      </c>
      <c r="J153" s="21" t="str">
        <f>IF(AND('Atividades Micro'!$A161=J$2,'Atividades Micro'!$L161&lt;&gt;""),'Atividades Micro'!$L161,"")</f>
        <v/>
      </c>
      <c r="K153" s="21" t="str">
        <f>IF(AND('Atividades Micro'!$B161=K$2,'Atividades Micro'!$K161&lt;&gt;""),'Atividades Micro'!$K161,"")</f>
        <v/>
      </c>
      <c r="L153" s="21" t="str">
        <f>IF(AND('Atividades Micro'!$B161=L$2,'Atividades Micro'!$L161&lt;&gt;""),'Atividades Micro'!$L161,"")</f>
        <v/>
      </c>
      <c r="M153" s="21" t="str">
        <f>IF(AND('Atividades Micro'!$B161=M$2,'Atividades Micro'!$K161&lt;&gt;""),'Atividades Micro'!$K161,"")</f>
        <v/>
      </c>
      <c r="N153" s="21" t="str">
        <f>IF(AND('Atividades Micro'!$B161=N$2,'Atividades Micro'!$L161&lt;&gt;""),'Atividades Micro'!$L161,"")</f>
        <v/>
      </c>
      <c r="O153" s="21" t="str">
        <f>IF(AND('Atividades Micro'!$A161=O$2,'Atividades Micro'!$K161&lt;&gt;""),'Atividades Micro'!$K161,"")</f>
        <v/>
      </c>
      <c r="P153" s="21" t="str">
        <f>IF(AND('Atividades Micro'!$A161=P$2,'Atividades Micro'!$L161&lt;&gt;""),'Atividades Micro'!$L161,"")</f>
        <v/>
      </c>
      <c r="Q153" s="21" t="str">
        <f>IF(AND('Atividades Micro'!$B161=Q$2,'Atividades Micro'!$K161&lt;&gt;""),'Atividades Micro'!$K161,"")</f>
        <v/>
      </c>
      <c r="R153" s="21" t="str">
        <f>IF(AND('Atividades Micro'!$B161=R$2,'Atividades Micro'!$L161&lt;&gt;""),'Atividades Micro'!$L161,"")</f>
        <v/>
      </c>
      <c r="S153" s="21" t="str">
        <f>IF(AND('Atividades Micro'!$A161=S$2,'Atividades Micro'!$K161&lt;&gt;""),'Atividades Micro'!$K161,"")</f>
        <v/>
      </c>
      <c r="T153" s="21" t="str">
        <f>IF(AND('Atividades Micro'!$A161=T$2,'Atividades Micro'!$L161&lt;&gt;""),'Atividades Micro'!$L161,"")</f>
        <v/>
      </c>
      <c r="U153" s="21" t="str">
        <f>IF(AND('Atividades Micro'!$B161=U$2,'Atividades Micro'!$K161&lt;&gt;""),'Atividades Micro'!$K161,"")</f>
        <v/>
      </c>
      <c r="V153" s="21" t="str">
        <f>IF(AND('Atividades Micro'!$B161=V$2,'Atividades Micro'!$L161&lt;&gt;""),'Atividades Micro'!$L161,"")</f>
        <v/>
      </c>
      <c r="W153" s="21" t="str">
        <f>IF(AND('Atividades Micro'!$B161=W$2,'Atividades Micro'!$K161&lt;&gt;""),'Atividades Micro'!$K161,"")</f>
        <v/>
      </c>
      <c r="X153" s="21" t="str">
        <f>IF(AND('Atividades Micro'!$B161=X$2,'Atividades Micro'!$L161&lt;&gt;""),'Atividades Micro'!$L161,"")</f>
        <v/>
      </c>
      <c r="Y153" s="21" t="str">
        <f>IF(AND('Atividades Micro'!$A161=Y$2,'Atividades Micro'!$K161&lt;&gt;""),'Atividades Micro'!$K161,"")</f>
        <v/>
      </c>
      <c r="Z153" s="21" t="str">
        <f>IF(AND('Atividades Micro'!$A161=Z$2,'Atividades Micro'!$L161&lt;&gt;""),'Atividades Micro'!$L161,"")</f>
        <v/>
      </c>
      <c r="AA153" s="21" t="str">
        <f>IF(AND('Atividades Micro'!$B161=AA$2,'Atividades Micro'!$K161&lt;&gt;""),'Atividades Micro'!$K161,"")</f>
        <v/>
      </c>
      <c r="AB153" s="21" t="str">
        <f>IF(AND('Atividades Micro'!$B161=AB$2,'Atividades Micro'!$L161&lt;&gt;""),'Atividades Micro'!$L161,"")</f>
        <v/>
      </c>
      <c r="AC153" s="21" t="str">
        <f>IF(AND('Atividades Micro'!$B161=AC$2,'Atividades Micro'!$K161&lt;&gt;""),'Atividades Micro'!$K161,"")</f>
        <v/>
      </c>
      <c r="AD153" s="21" t="str">
        <f>IF(AND('Atividades Micro'!$B161=AD$2,'Atividades Micro'!$L161&lt;&gt;""),'Atividades Micro'!$L161,"")</f>
        <v/>
      </c>
      <c r="AE153" s="21" t="str">
        <f>IF(AND('Atividades Micro'!$A161=AE$2,'Atividades Micro'!$K161&lt;&gt;""),'Atividades Micro'!$K161,"")</f>
        <v/>
      </c>
      <c r="AF153" s="21" t="str">
        <f>IF(AND('Atividades Micro'!$A161=AF$2,'Atividades Micro'!$L161&lt;&gt;""),'Atividades Micro'!$L161,"")</f>
        <v/>
      </c>
      <c r="AG153" s="21" t="str">
        <f>IF(AND('Atividades Micro'!$B161=AG$2,'Atividades Micro'!$K161&lt;&gt;""),'Atividades Micro'!$K161,"")</f>
        <v/>
      </c>
      <c r="AH153" s="21" t="str">
        <f>IF(AND('Atividades Micro'!$B161=AH$2,'Atividades Micro'!$L161&lt;&gt;""),'Atividades Micro'!$L161,"")</f>
        <v/>
      </c>
      <c r="AI153" s="21" t="str">
        <f>IF(AND('Atividades Micro'!$B161=AI$2,'Atividades Micro'!$K161&lt;&gt;""),'Atividades Micro'!$K161,"")</f>
        <v/>
      </c>
      <c r="AJ153" s="21" t="str">
        <f>IF(AND('Atividades Micro'!$B161=AJ$2,'Atividades Micro'!$L161&lt;&gt;""),'Atividades Micro'!$L161,"")</f>
        <v/>
      </c>
      <c r="AK153" s="21" t="str">
        <f>IF(AND('Atividades Micro'!$A161=AK$2,'Atividades Micro'!$K161&lt;&gt;""),'Atividades Micro'!$K161,"")</f>
        <v/>
      </c>
      <c r="AL153" s="21" t="str">
        <f>IF(AND('Atividades Micro'!$A161=AL$2,'Atividades Micro'!$L161&lt;&gt;""),'Atividades Micro'!$L161,"")</f>
        <v/>
      </c>
      <c r="AM153" s="21" t="str">
        <f>IF(AND('Atividades Micro'!$B161=AM$2,'Atividades Micro'!$K161&lt;&gt;""),'Atividades Micro'!$K161,"")</f>
        <v/>
      </c>
      <c r="AN153" s="21" t="str">
        <f>IF(AND('Atividades Micro'!$B161=AN$2,'Atividades Micro'!$L161&lt;&gt;""),'Atividades Micro'!$L161,"")</f>
        <v/>
      </c>
      <c r="AO153" s="21" t="str">
        <f>IF(AND('Atividades Micro'!$B161=AO$2,'Atividades Micro'!$K161&lt;&gt;""),'Atividades Micro'!$K161,"")</f>
        <v/>
      </c>
      <c r="AP153" s="21" t="str">
        <f>IF(AND('Atividades Micro'!$B161=AP$2,'Atividades Micro'!$L161&lt;&gt;""),'Atividades Micro'!$L161,"")</f>
        <v/>
      </c>
      <c r="AQ153" s="21" t="str">
        <f>IF(AND('Atividades Micro'!$A161=AQ$2,'Atividades Micro'!$K161&lt;&gt;""),'Atividades Micro'!$K161,"")</f>
        <v/>
      </c>
      <c r="AR153" s="21" t="str">
        <f>IF(AND('Atividades Micro'!$A161=AR$2,'Atividades Micro'!$L161&lt;&gt;""),'Atividades Micro'!$L161,"")</f>
        <v/>
      </c>
      <c r="AS153" s="21" t="str">
        <f>IF(AND('Atividades Micro'!$B161=AS$2,'Atividades Micro'!$K161&lt;&gt;""),'Atividades Micro'!$K161,"")</f>
        <v/>
      </c>
      <c r="AT153" s="21" t="str">
        <f>IF(AND('Atividades Micro'!$B161=AT$2,'Atividades Micro'!$L161&lt;&gt;""),'Atividades Micro'!$L161,"")</f>
        <v/>
      </c>
      <c r="AU153" s="21" t="str">
        <f>IF(AND('Atividades Micro'!$A161=AU$2,'Atividades Micro'!$K161&lt;&gt;""),'Atividades Micro'!$K161,"")</f>
        <v/>
      </c>
      <c r="AV153" s="21" t="str">
        <f>IF(AND('Atividades Micro'!$A161=AV$2,'Atividades Micro'!$L161&lt;&gt;""),'Atividades Micro'!$L161,"")</f>
        <v/>
      </c>
      <c r="AW153" s="21" t="str">
        <f>IF(AND('Atividades Micro'!$B161=AW$2,'Atividades Micro'!$K161&lt;&gt;""),'Atividades Micro'!$K161,"")</f>
        <v/>
      </c>
      <c r="AX153" s="21" t="str">
        <f>IF(AND('Atividades Micro'!$B161=AX$2,'Atividades Micro'!$L161&lt;&gt;""),'Atividades Micro'!$L161,"")</f>
        <v/>
      </c>
      <c r="AY153" s="21" t="str">
        <f>IF(AND('Atividades Micro'!$A161=AY$2,'Atividades Micro'!$K161&lt;&gt;""),'Atividades Micro'!$K161,"")</f>
        <v/>
      </c>
      <c r="AZ153" s="21" t="str">
        <f>IF(AND('Atividades Micro'!$A161=AZ$2,'Atividades Micro'!$L161&lt;&gt;""),'Atividades Micro'!$L161,"")</f>
        <v/>
      </c>
      <c r="BA153" s="21" t="str">
        <f>IF(AND('Atividades Micro'!$B161=BA$2,'Atividades Micro'!$K161&lt;&gt;""),'Atividades Micro'!$K161,"")</f>
        <v/>
      </c>
      <c r="BB153" s="21" t="str">
        <f>IF(AND('Atividades Micro'!$B161=BB$2,'Atividades Micro'!$L161&lt;&gt;""),'Atividades Micro'!$L161,"")</f>
        <v/>
      </c>
      <c r="BC153" s="21" t="str">
        <f>IF(AND('Atividades Micro'!$B161=BC$2,'Atividades Micro'!$G161="Macro",'Atividades Micro'!$K161&lt;&gt;""),'Atividades Micro'!$K161,"")</f>
        <v/>
      </c>
      <c r="BD153" s="21" t="str">
        <f>IF(AND('Atividades Micro'!$B161=BD$2,'Atividades Micro'!$G161="Macro",'Atividades Micro'!$K161&lt;&gt;""),'Atividades Micro'!$K161,"")</f>
        <v/>
      </c>
      <c r="BE153" s="21" t="str">
        <f>IF(AND('Atividades Micro'!$B161=BE$2,'Atividades Micro'!$G161="Macro",'Atividades Micro'!$K161&lt;&gt;""),'Atividades Micro'!$K161,"")</f>
        <v/>
      </c>
      <c r="BF153" s="21" t="str">
        <f>IF(AND('Atividades Micro'!$B161=BF$2,'Atividades Micro'!$G161="Macro",'Atividades Micro'!$K161&lt;&gt;""),'Atividades Micro'!$K161,"")</f>
        <v/>
      </c>
      <c r="BG153" s="21" t="str">
        <f>IF(AND('Atividades Micro'!$B161=BG$2,'Atividades Micro'!$G161="Macro",'Atividades Micro'!$K161&lt;&gt;""),'Atividades Micro'!$K161,"")</f>
        <v/>
      </c>
      <c r="BH153" s="21" t="str">
        <f>IF(AND('Atividades Micro'!$B161=BH$2,'Atividades Micro'!$G161="Macro",'Atividades Micro'!$K161&lt;&gt;""),'Atividades Micro'!$K161,"")</f>
        <v/>
      </c>
      <c r="BI153" s="21" t="str">
        <f>IF(AND('Atividades Micro'!$B161=BI$2,'Atividades Micro'!$G161="Macro",'Atividades Micro'!$K161&lt;&gt;""),'Atividades Micro'!$K161,"")</f>
        <v/>
      </c>
      <c r="BJ153" s="21" t="str">
        <f>IF(AND('Atividades Micro'!$B161=BJ$2,'Atividades Micro'!$G161="Macro",'Atividades Micro'!$K161&lt;&gt;""),'Atividades Micro'!$K161,"")</f>
        <v/>
      </c>
      <c r="BK153" s="21" t="str">
        <f>IF(AND('Atividades Micro'!$B161=BK$2,'Atividades Micro'!$G161="Macro",'Atividades Micro'!$K161&lt;&gt;""),'Atividades Micro'!$K161,"")</f>
        <v/>
      </c>
      <c r="BL153" s="21" t="str">
        <f>IF(AND('Atividades Micro'!$B161=BL$2,'Atividades Micro'!$G161="Macro",'Atividades Micro'!$K161&lt;&gt;""),'Atividades Micro'!$K161,"")</f>
        <v/>
      </c>
      <c r="BM153" s="21" t="str">
        <f>IF(AND('Atividades Micro'!$B161=BM$2,'Atividades Micro'!$G161="Macro",'Atividades Micro'!$K161&lt;&gt;""),'Atividades Micro'!$K161,"")</f>
        <v/>
      </c>
      <c r="BN153" s="21" t="str">
        <f>IF(AND('Atividades Micro'!$B161=BN$2,'Atividades Micro'!$G161="Macro",'Atividades Micro'!$K161&lt;&gt;""),'Atividades Micro'!$K161,"")</f>
        <v/>
      </c>
      <c r="BO153" s="21" t="str">
        <f>IF(AND('Atividades Micro'!$B161=BO$2,'Atividades Micro'!$G161="Macro",'Atividades Micro'!$K161&lt;&gt;""),'Atividades Micro'!$K161,"")</f>
        <v/>
      </c>
      <c r="BP153" s="21" t="str">
        <f>IF(AND('Atividades Micro'!$B161=BP$2,'Atividades Micro'!$G161="Macro",'Atividades Micro'!$K161&lt;&gt;""),'Atividades Micro'!$K161,"")</f>
        <v/>
      </c>
      <c r="BQ153" s="21" t="str">
        <f>IF(AND('Atividades Micro'!$B161=BQ$2,'Atividades Micro'!$G161="Macro",'Atividades Micro'!$K161&lt;&gt;""),'Atividades Micro'!$K161,"")</f>
        <v/>
      </c>
      <c r="BR153" s="21" t="str">
        <f>IF(AND('Atividades Micro'!$B161=BR$2,'Atividades Micro'!$G161="Macro",'Atividades Micro'!$K161&lt;&gt;""),'Atividades Micro'!$K161,"")</f>
        <v/>
      </c>
      <c r="BS153" s="21" t="str">
        <f>IF(AND('Atividades Micro'!$B161=BS$2,'Atividades Micro'!$G161="Macro",'Atividades Micro'!$K161&lt;&gt;""),'Atividades Micro'!$K161,"")</f>
        <v/>
      </c>
      <c r="BT153" s="21" t="str">
        <f>IF(AND('Atividades Micro'!$B161=BT$2,'Atividades Micro'!$G161="Macro",'Atividades Micro'!$K161&lt;&gt;""),'Atividades Micro'!$K161,"")</f>
        <v/>
      </c>
      <c r="BU153" s="21" t="str">
        <f>IF(AND('Atividades Micro'!$B161=BU$2,'Atividades Micro'!$G161="Macro",'Atividades Micro'!$K161&lt;&gt;""),'Atividades Micro'!$K161,"")</f>
        <v/>
      </c>
      <c r="BV153" s="21" t="str">
        <f>IF(AND('Atividades Micro'!$B161=BV$2,'Atividades Micro'!$G161="Macro",'Atividades Micro'!$K161&lt;&gt;""),'Atividades Micro'!$K161,"")</f>
        <v/>
      </c>
      <c r="BW153" s="21" t="str">
        <f>IF(AND('Atividades Micro'!$B161=BW$2,'Atividades Micro'!$G161="Macro",'Atividades Micro'!$K161&lt;&gt;""),'Atividades Micro'!$K161,"")</f>
        <v/>
      </c>
      <c r="BX153" s="21" t="str">
        <f>IF(AND('Atividades Micro'!$B161=BX$2,'Atividades Micro'!$G161="Macro",'Atividades Micro'!$K161&lt;&gt;""),'Atividades Micro'!$K161,"")</f>
        <v/>
      </c>
      <c r="BY153" s="21" t="str">
        <f>IF(AND('Atividades Micro'!$B161=BY$2,'Atividades Micro'!$G161="Macro",'Atividades Micro'!$K161&lt;&gt;""),'Atividades Micro'!$K161,"")</f>
        <v/>
      </c>
      <c r="BZ153" s="21" t="str">
        <f>IF(AND('Atividades Micro'!$B161=BZ$2,'Atividades Micro'!$G161="Macro",'Atividades Micro'!$K161&lt;&gt;""),'Atividades Micro'!$K161,"")</f>
        <v/>
      </c>
      <c r="CA153" s="21" t="str">
        <f>IF(AND('Atividades Micro'!$B161=CA$2,'Atividades Micro'!$G161="Macro",'Atividades Micro'!$K161&lt;&gt;""),'Atividades Micro'!$K161,"")</f>
        <v/>
      </c>
      <c r="CB153" s="21" t="str">
        <f>IF(AND('Atividades Micro'!$B161=CB$2,'Atividades Micro'!$G161="Macro",'Atividades Micro'!$K161&lt;&gt;""),'Atividades Micro'!$K161,"")</f>
        <v/>
      </c>
      <c r="CC153" s="21" t="str">
        <f>IF(AND('Atividades Micro'!$B161=CC$2,'Atividades Micro'!$G161="Macro",'Atividades Micro'!$K161&lt;&gt;""),'Atividades Micro'!$K161,"")</f>
        <v/>
      </c>
      <c r="CD153" s="21" t="str">
        <f>IF(AND('Atividades Micro'!$B161=CD$2,'Atividades Micro'!$G161="Micro",'Atividades Micro'!$K161&lt;&gt;""),'Atividades Micro'!$K161,"")</f>
        <v/>
      </c>
      <c r="CE153" s="21" t="str">
        <f>IF(AND('Atividades Micro'!$B161=CE$2,'Atividades Micro'!$G161="Micro",'Atividades Micro'!$K161&lt;&gt;""),'Atividades Micro'!$K161,"")</f>
        <v/>
      </c>
      <c r="CF153" s="21" t="str">
        <f>IF(AND('Atividades Micro'!$B161=CF$2,'Atividades Micro'!$G161="Micro",'Atividades Micro'!$K161&lt;&gt;""),'Atividades Micro'!$K161,"")</f>
        <v/>
      </c>
      <c r="CG153" s="21" t="str">
        <f>IF(AND('Atividades Micro'!$B161=CG$2,'Atividades Micro'!$G161="Micro",'Atividades Micro'!$K161&lt;&gt;""),'Atividades Micro'!$K161,"")</f>
        <v/>
      </c>
      <c r="CH153" s="21" t="str">
        <f>IF(AND('Atividades Micro'!$B161=CH$2,'Atividades Micro'!$G161="Micro",'Atividades Micro'!$K161&lt;&gt;""),'Atividades Micro'!$K161,"")</f>
        <v/>
      </c>
      <c r="CI153" s="21" t="str">
        <f>IF(AND('Atividades Micro'!$B161=CI$2,'Atividades Micro'!$G161="Micro",'Atividades Micro'!$K161&lt;&gt;""),'Atividades Micro'!$K161,"")</f>
        <v/>
      </c>
      <c r="CJ153" s="21" t="str">
        <f>IF(AND('Atividades Micro'!$B161=CJ$2,'Atividades Micro'!$G161="Micro",'Atividades Micro'!$K161&lt;&gt;""),'Atividades Micro'!$K161,"")</f>
        <v/>
      </c>
      <c r="CK153" s="21" t="str">
        <f>IF(AND('Atividades Micro'!$B161=CK$2,'Atividades Micro'!$G161="Micro",'Atividades Micro'!$K161&lt;&gt;""),'Atividades Micro'!$K161,"")</f>
        <v/>
      </c>
      <c r="CL153" s="21" t="str">
        <f>IF(AND('Atividades Micro'!$B161=CL$2,'Atividades Micro'!$G161="Micro",'Atividades Micro'!$K161&lt;&gt;""),'Atividades Micro'!$K161,"")</f>
        <v/>
      </c>
      <c r="CM153" s="21" t="str">
        <f>IF(AND('Atividades Micro'!$B161=CM$2,'Atividades Micro'!$G161="Micro",'Atividades Micro'!$K161&lt;&gt;""),'Atividades Micro'!$K161,"")</f>
        <v/>
      </c>
      <c r="CN153" s="21" t="str">
        <f>IF(AND('Atividades Micro'!$B161=CN$2,'Atividades Micro'!$G161="Micro",'Atividades Micro'!$K161&lt;&gt;""),'Atividades Micro'!$K161,"")</f>
        <v/>
      </c>
      <c r="CO153" s="21" t="str">
        <f>IF(AND('Atividades Micro'!$B161=CO$2,'Atividades Micro'!$G161="Micro",'Atividades Micro'!$K161&lt;&gt;""),'Atividades Micro'!$K161,"")</f>
        <v/>
      </c>
    </row>
    <row r="154" spans="1:93">
      <c r="A154" s="21" t="str">
        <f>IF(AND('Atividades Micro'!$A162=A$2,'Atividades Micro'!$K162&lt;&gt;""),'Atividades Micro'!$K162,"")</f>
        <v/>
      </c>
      <c r="B154" s="21" t="str">
        <f>IF(AND('Atividades Micro'!$A162=B$2,'Atividades Micro'!$L162&lt;&gt;""),'Atividades Micro'!$L162,"")</f>
        <v/>
      </c>
      <c r="C154" s="21" t="str">
        <f>IF(AND('Atividades Micro'!$A162=C$2,'Atividades Micro'!$K162&lt;&gt;""),'Atividades Micro'!$K162,"")</f>
        <v/>
      </c>
      <c r="D154" s="21" t="str">
        <f>IF(AND('Atividades Micro'!$A162=D$2,'Atividades Micro'!$L162&lt;&gt;""),'Atividades Micro'!$L162,"")</f>
        <v/>
      </c>
      <c r="E154" s="21" t="str">
        <f>IF(AND('Atividades Micro'!$A162=E$2,'Atividades Micro'!$K162&lt;&gt;""),'Atividades Micro'!$K162,"")</f>
        <v/>
      </c>
      <c r="F154" s="21" t="str">
        <f>IF(AND('Atividades Micro'!$A162=F$2,'Atividades Micro'!$L162&lt;&gt;""),'Atividades Micro'!$L162,"")</f>
        <v/>
      </c>
      <c r="G154" s="21" t="str">
        <f>IF(AND('Atividades Micro'!$A162=G$2,'Atividades Micro'!$K162&lt;&gt;""),'Atividades Micro'!$K162,"")</f>
        <v/>
      </c>
      <c r="H154" s="21" t="str">
        <f>IF(AND('Atividades Micro'!$A162=H$2,'Atividades Micro'!$L162&lt;&gt;""),'Atividades Micro'!$L162,"")</f>
        <v/>
      </c>
      <c r="I154" s="21" t="str">
        <f>IF(AND('Atividades Micro'!$A162=I$2,'Atividades Micro'!$K162&lt;&gt;""),'Atividades Micro'!$K162,"")</f>
        <v/>
      </c>
      <c r="J154" s="21" t="str">
        <f>IF(AND('Atividades Micro'!$A162=J$2,'Atividades Micro'!$L162&lt;&gt;""),'Atividades Micro'!$L162,"")</f>
        <v/>
      </c>
      <c r="K154" s="21" t="str">
        <f>IF(AND('Atividades Micro'!$B162=K$2,'Atividades Micro'!$K162&lt;&gt;""),'Atividades Micro'!$K162,"")</f>
        <v/>
      </c>
      <c r="L154" s="21" t="str">
        <f>IF(AND('Atividades Micro'!$B162=L$2,'Atividades Micro'!$L162&lt;&gt;""),'Atividades Micro'!$L162,"")</f>
        <v/>
      </c>
      <c r="M154" s="21" t="str">
        <f>IF(AND('Atividades Micro'!$B162=M$2,'Atividades Micro'!$K162&lt;&gt;""),'Atividades Micro'!$K162,"")</f>
        <v/>
      </c>
      <c r="N154" s="21" t="str">
        <f>IF(AND('Atividades Micro'!$B162=N$2,'Atividades Micro'!$L162&lt;&gt;""),'Atividades Micro'!$L162,"")</f>
        <v/>
      </c>
      <c r="O154" s="21" t="str">
        <f>IF(AND('Atividades Micro'!$A162=O$2,'Atividades Micro'!$K162&lt;&gt;""),'Atividades Micro'!$K162,"")</f>
        <v/>
      </c>
      <c r="P154" s="21" t="str">
        <f>IF(AND('Atividades Micro'!$A162=P$2,'Atividades Micro'!$L162&lt;&gt;""),'Atividades Micro'!$L162,"")</f>
        <v/>
      </c>
      <c r="Q154" s="21" t="str">
        <f>IF(AND('Atividades Micro'!$B162=Q$2,'Atividades Micro'!$K162&lt;&gt;""),'Atividades Micro'!$K162,"")</f>
        <v/>
      </c>
      <c r="R154" s="21" t="str">
        <f>IF(AND('Atividades Micro'!$B162=R$2,'Atividades Micro'!$L162&lt;&gt;""),'Atividades Micro'!$L162,"")</f>
        <v/>
      </c>
      <c r="S154" s="21">
        <f>IF(AND('Atividades Micro'!$A162=S$2,'Atividades Micro'!$K162&lt;&gt;""),'Atividades Micro'!$K162,"")</f>
        <v>46337</v>
      </c>
      <c r="T154" s="21" t="str">
        <f>IF(AND('Atividades Micro'!$A162=T$2,'Atividades Micro'!$L162&lt;&gt;""),'Atividades Micro'!$L162,"")</f>
        <v/>
      </c>
      <c r="U154" s="21">
        <f>IF(AND('Atividades Micro'!$B162=U$2,'Atividades Micro'!$K162&lt;&gt;""),'Atividades Micro'!$K162,"")</f>
        <v>46337</v>
      </c>
      <c r="V154" s="21" t="str">
        <f>IF(AND('Atividades Micro'!$B162=V$2,'Atividades Micro'!$L162&lt;&gt;""),'Atividades Micro'!$L162,"")</f>
        <v/>
      </c>
      <c r="W154" s="21" t="str">
        <f>IF(AND('Atividades Micro'!$B162=W$2,'Atividades Micro'!$K162&lt;&gt;""),'Atividades Micro'!$K162,"")</f>
        <v/>
      </c>
      <c r="X154" s="21" t="str">
        <f>IF(AND('Atividades Micro'!$B162=X$2,'Atividades Micro'!$L162&lt;&gt;""),'Atividades Micro'!$L162,"")</f>
        <v/>
      </c>
      <c r="Y154" s="21" t="str">
        <f>IF(AND('Atividades Micro'!$A162=Y$2,'Atividades Micro'!$K162&lt;&gt;""),'Atividades Micro'!$K162,"")</f>
        <v/>
      </c>
      <c r="Z154" s="21" t="str">
        <f>IF(AND('Atividades Micro'!$A162=Z$2,'Atividades Micro'!$L162&lt;&gt;""),'Atividades Micro'!$L162,"")</f>
        <v/>
      </c>
      <c r="AA154" s="21" t="str">
        <f>IF(AND('Atividades Micro'!$B162=AA$2,'Atividades Micro'!$K162&lt;&gt;""),'Atividades Micro'!$K162,"")</f>
        <v/>
      </c>
      <c r="AB154" s="21" t="str">
        <f>IF(AND('Atividades Micro'!$B162=AB$2,'Atividades Micro'!$L162&lt;&gt;""),'Atividades Micro'!$L162,"")</f>
        <v/>
      </c>
      <c r="AC154" s="21" t="str">
        <f>IF(AND('Atividades Micro'!$B162=AC$2,'Atividades Micro'!$K162&lt;&gt;""),'Atividades Micro'!$K162,"")</f>
        <v/>
      </c>
      <c r="AD154" s="21" t="str">
        <f>IF(AND('Atividades Micro'!$B162=AD$2,'Atividades Micro'!$L162&lt;&gt;""),'Atividades Micro'!$L162,"")</f>
        <v/>
      </c>
      <c r="AE154" s="21" t="str">
        <f>IF(AND('Atividades Micro'!$A162=AE$2,'Atividades Micro'!$K162&lt;&gt;""),'Atividades Micro'!$K162,"")</f>
        <v/>
      </c>
      <c r="AF154" s="21" t="str">
        <f>IF(AND('Atividades Micro'!$A162=AF$2,'Atividades Micro'!$L162&lt;&gt;""),'Atividades Micro'!$L162,"")</f>
        <v/>
      </c>
      <c r="AG154" s="21" t="str">
        <f>IF(AND('Atividades Micro'!$B162=AG$2,'Atividades Micro'!$K162&lt;&gt;""),'Atividades Micro'!$K162,"")</f>
        <v/>
      </c>
      <c r="AH154" s="21" t="str">
        <f>IF(AND('Atividades Micro'!$B162=AH$2,'Atividades Micro'!$L162&lt;&gt;""),'Atividades Micro'!$L162,"")</f>
        <v/>
      </c>
      <c r="AI154" s="21" t="str">
        <f>IF(AND('Atividades Micro'!$B162=AI$2,'Atividades Micro'!$K162&lt;&gt;""),'Atividades Micro'!$K162,"")</f>
        <v/>
      </c>
      <c r="AJ154" s="21" t="str">
        <f>IF(AND('Atividades Micro'!$B162=AJ$2,'Atividades Micro'!$L162&lt;&gt;""),'Atividades Micro'!$L162,"")</f>
        <v/>
      </c>
      <c r="AK154" s="21" t="str">
        <f>IF(AND('Atividades Micro'!$A162=AK$2,'Atividades Micro'!$K162&lt;&gt;""),'Atividades Micro'!$K162,"")</f>
        <v/>
      </c>
      <c r="AL154" s="21" t="str">
        <f>IF(AND('Atividades Micro'!$A162=AL$2,'Atividades Micro'!$L162&lt;&gt;""),'Atividades Micro'!$L162,"")</f>
        <v/>
      </c>
      <c r="AM154" s="21" t="str">
        <f>IF(AND('Atividades Micro'!$B162=AM$2,'Atividades Micro'!$K162&lt;&gt;""),'Atividades Micro'!$K162,"")</f>
        <v/>
      </c>
      <c r="AN154" s="21" t="str">
        <f>IF(AND('Atividades Micro'!$B162=AN$2,'Atividades Micro'!$L162&lt;&gt;""),'Atividades Micro'!$L162,"")</f>
        <v/>
      </c>
      <c r="AO154" s="21" t="str">
        <f>IF(AND('Atividades Micro'!$B162=AO$2,'Atividades Micro'!$K162&lt;&gt;""),'Atividades Micro'!$K162,"")</f>
        <v/>
      </c>
      <c r="AP154" s="21" t="str">
        <f>IF(AND('Atividades Micro'!$B162=AP$2,'Atividades Micro'!$L162&lt;&gt;""),'Atividades Micro'!$L162,"")</f>
        <v/>
      </c>
      <c r="AQ154" s="21" t="str">
        <f>IF(AND('Atividades Micro'!$A162=AQ$2,'Atividades Micro'!$K162&lt;&gt;""),'Atividades Micro'!$K162,"")</f>
        <v/>
      </c>
      <c r="AR154" s="21" t="str">
        <f>IF(AND('Atividades Micro'!$A162=AR$2,'Atividades Micro'!$L162&lt;&gt;""),'Atividades Micro'!$L162,"")</f>
        <v/>
      </c>
      <c r="AS154" s="21" t="str">
        <f>IF(AND('Atividades Micro'!$B162=AS$2,'Atividades Micro'!$K162&lt;&gt;""),'Atividades Micro'!$K162,"")</f>
        <v/>
      </c>
      <c r="AT154" s="21" t="str">
        <f>IF(AND('Atividades Micro'!$B162=AT$2,'Atividades Micro'!$L162&lt;&gt;""),'Atividades Micro'!$L162,"")</f>
        <v/>
      </c>
      <c r="AU154" s="21" t="str">
        <f>IF(AND('Atividades Micro'!$A162=AU$2,'Atividades Micro'!$K162&lt;&gt;""),'Atividades Micro'!$K162,"")</f>
        <v/>
      </c>
      <c r="AV154" s="21" t="str">
        <f>IF(AND('Atividades Micro'!$A162=AV$2,'Atividades Micro'!$L162&lt;&gt;""),'Atividades Micro'!$L162,"")</f>
        <v/>
      </c>
      <c r="AW154" s="21" t="str">
        <f>IF(AND('Atividades Micro'!$B162=AW$2,'Atividades Micro'!$K162&lt;&gt;""),'Atividades Micro'!$K162,"")</f>
        <v/>
      </c>
      <c r="AX154" s="21" t="str">
        <f>IF(AND('Atividades Micro'!$B162=AX$2,'Atividades Micro'!$L162&lt;&gt;""),'Atividades Micro'!$L162,"")</f>
        <v/>
      </c>
      <c r="AY154" s="21" t="str">
        <f>IF(AND('Atividades Micro'!$A162=AY$2,'Atividades Micro'!$K162&lt;&gt;""),'Atividades Micro'!$K162,"")</f>
        <v/>
      </c>
      <c r="AZ154" s="21" t="str">
        <f>IF(AND('Atividades Micro'!$A162=AZ$2,'Atividades Micro'!$L162&lt;&gt;""),'Atividades Micro'!$L162,"")</f>
        <v/>
      </c>
      <c r="BA154" s="21" t="str">
        <f>IF(AND('Atividades Micro'!$B162=BA$2,'Atividades Micro'!$K162&lt;&gt;""),'Atividades Micro'!$K162,"")</f>
        <v/>
      </c>
      <c r="BB154" s="21" t="str">
        <f>IF(AND('Atividades Micro'!$B162=BB$2,'Atividades Micro'!$L162&lt;&gt;""),'Atividades Micro'!$L162,"")</f>
        <v/>
      </c>
      <c r="BC154" s="21" t="str">
        <f>IF(AND('Atividades Micro'!$B162=BC$2,'Atividades Micro'!$G162="Macro",'Atividades Micro'!$K162&lt;&gt;""),'Atividades Micro'!$K162,"")</f>
        <v/>
      </c>
      <c r="BD154" s="21" t="str">
        <f>IF(AND('Atividades Micro'!$B162=BD$2,'Atividades Micro'!$G162="Macro",'Atividades Micro'!$K162&lt;&gt;""),'Atividades Micro'!$K162,"")</f>
        <v/>
      </c>
      <c r="BE154" s="21" t="str">
        <f>IF(AND('Atividades Micro'!$B162=BE$2,'Atividades Micro'!$G162="Macro",'Atividades Micro'!$K162&lt;&gt;""),'Atividades Micro'!$K162,"")</f>
        <v/>
      </c>
      <c r="BF154" s="21" t="str">
        <f>IF(AND('Atividades Micro'!$B162=BF$2,'Atividades Micro'!$G162="Macro",'Atividades Micro'!$K162&lt;&gt;""),'Atividades Micro'!$K162,"")</f>
        <v/>
      </c>
      <c r="BG154" s="21" t="str">
        <f>IF(AND('Atividades Micro'!$B162=BG$2,'Atividades Micro'!$G162="Macro",'Atividades Micro'!$K162&lt;&gt;""),'Atividades Micro'!$K162,"")</f>
        <v/>
      </c>
      <c r="BH154" s="21" t="str">
        <f>IF(AND('Atividades Micro'!$B162=BH$2,'Atividades Micro'!$G162="Macro",'Atividades Micro'!$K162&lt;&gt;""),'Atividades Micro'!$K162,"")</f>
        <v/>
      </c>
      <c r="BI154" s="21" t="str">
        <f>IF(AND('Atividades Micro'!$B162=BI$2,'Atividades Micro'!$G162="Macro",'Atividades Micro'!$K162&lt;&gt;""),'Atividades Micro'!$K162,"")</f>
        <v/>
      </c>
      <c r="BJ154" s="21" t="str">
        <f>IF(AND('Atividades Micro'!$B162=BJ$2,'Atividades Micro'!$G162="Macro",'Atividades Micro'!$K162&lt;&gt;""),'Atividades Micro'!$K162,"")</f>
        <v/>
      </c>
      <c r="BK154" s="21" t="str">
        <f>IF(AND('Atividades Micro'!$B162=BK$2,'Atividades Micro'!$G162="Macro",'Atividades Micro'!$K162&lt;&gt;""),'Atividades Micro'!$K162,"")</f>
        <v/>
      </c>
      <c r="BL154" s="21" t="str">
        <f>IF(AND('Atividades Micro'!$B162=BL$2,'Atividades Micro'!$G162="Macro",'Atividades Micro'!$K162&lt;&gt;""),'Atividades Micro'!$K162,"")</f>
        <v/>
      </c>
      <c r="BM154" s="21" t="str">
        <f>IF(AND('Atividades Micro'!$B162=BM$2,'Atividades Micro'!$G162="Macro",'Atividades Micro'!$K162&lt;&gt;""),'Atividades Micro'!$K162,"")</f>
        <v/>
      </c>
      <c r="BN154" s="21" t="str">
        <f>IF(AND('Atividades Micro'!$B162=BN$2,'Atividades Micro'!$G162="Macro",'Atividades Micro'!$K162&lt;&gt;""),'Atividades Micro'!$K162,"")</f>
        <v/>
      </c>
      <c r="BO154" s="21" t="str">
        <f>IF(AND('Atividades Micro'!$B162=BO$2,'Atividades Micro'!$G162="Macro",'Atividades Micro'!$K162&lt;&gt;""),'Atividades Micro'!$K162,"")</f>
        <v/>
      </c>
      <c r="BP154" s="21" t="str">
        <f>IF(AND('Atividades Micro'!$B162=BP$2,'Atividades Micro'!$G162="Macro",'Atividades Micro'!$K162&lt;&gt;""),'Atividades Micro'!$K162,"")</f>
        <v/>
      </c>
      <c r="BQ154" s="21" t="str">
        <f>IF(AND('Atividades Micro'!$B162=BQ$2,'Atividades Micro'!$G162="Macro",'Atividades Micro'!$K162&lt;&gt;""),'Atividades Micro'!$K162,"")</f>
        <v/>
      </c>
      <c r="BR154" s="21" t="str">
        <f>IF(AND('Atividades Micro'!$B162=BR$2,'Atividades Micro'!$G162="Macro",'Atividades Micro'!$K162&lt;&gt;""),'Atividades Micro'!$K162,"")</f>
        <v/>
      </c>
      <c r="BS154" s="21" t="str">
        <f>IF(AND('Atividades Micro'!$B162=BS$2,'Atividades Micro'!$G162="Macro",'Atividades Micro'!$K162&lt;&gt;""),'Atividades Micro'!$K162,"")</f>
        <v/>
      </c>
      <c r="BT154" s="21" t="str">
        <f>IF(AND('Atividades Micro'!$B162=BT$2,'Atividades Micro'!$G162="Macro",'Atividades Micro'!$K162&lt;&gt;""),'Atividades Micro'!$K162,"")</f>
        <v/>
      </c>
      <c r="BU154" s="21" t="str">
        <f>IF(AND('Atividades Micro'!$B162=BU$2,'Atividades Micro'!$G162="Macro",'Atividades Micro'!$K162&lt;&gt;""),'Atividades Micro'!$K162,"")</f>
        <v/>
      </c>
      <c r="BV154" s="21" t="str">
        <f>IF(AND('Atividades Micro'!$B162=BV$2,'Atividades Micro'!$G162="Macro",'Atividades Micro'!$K162&lt;&gt;""),'Atividades Micro'!$K162,"")</f>
        <v/>
      </c>
      <c r="BW154" s="21" t="str">
        <f>IF(AND('Atividades Micro'!$B162=BW$2,'Atividades Micro'!$G162="Macro",'Atividades Micro'!$K162&lt;&gt;""),'Atividades Micro'!$K162,"")</f>
        <v/>
      </c>
      <c r="BX154" s="21" t="str">
        <f>IF(AND('Atividades Micro'!$B162=BX$2,'Atividades Micro'!$G162="Macro",'Atividades Micro'!$K162&lt;&gt;""),'Atividades Micro'!$K162,"")</f>
        <v/>
      </c>
      <c r="BY154" s="21" t="str">
        <f>IF(AND('Atividades Micro'!$B162=BY$2,'Atividades Micro'!$G162="Macro",'Atividades Micro'!$K162&lt;&gt;""),'Atividades Micro'!$K162,"")</f>
        <v/>
      </c>
      <c r="BZ154" s="21" t="str">
        <f>IF(AND('Atividades Micro'!$B162=BZ$2,'Atividades Micro'!$G162="Macro",'Atividades Micro'!$K162&lt;&gt;""),'Atividades Micro'!$K162,"")</f>
        <v/>
      </c>
      <c r="CA154" s="21" t="str">
        <f>IF(AND('Atividades Micro'!$B162=CA$2,'Atividades Micro'!$G162="Macro",'Atividades Micro'!$K162&lt;&gt;""),'Atividades Micro'!$K162,"")</f>
        <v/>
      </c>
      <c r="CB154" s="21" t="str">
        <f>IF(AND('Atividades Micro'!$B162=CB$2,'Atividades Micro'!$G162="Macro",'Atividades Micro'!$K162&lt;&gt;""),'Atividades Micro'!$K162,"")</f>
        <v/>
      </c>
      <c r="CC154" s="21" t="str">
        <f>IF(AND('Atividades Micro'!$B162=CC$2,'Atividades Micro'!$G162="Macro",'Atividades Micro'!$K162&lt;&gt;""),'Atividades Micro'!$K162,"")</f>
        <v/>
      </c>
      <c r="CD154" s="21" t="str">
        <f>IF(AND('Atividades Micro'!$B162=CD$2,'Atividades Micro'!$G162="Micro",'Atividades Micro'!$K162&lt;&gt;""),'Atividades Micro'!$K162,"")</f>
        <v/>
      </c>
      <c r="CE154" s="21" t="str">
        <f>IF(AND('Atividades Micro'!$B162=CE$2,'Atividades Micro'!$G162="Micro",'Atividades Micro'!$K162&lt;&gt;""),'Atividades Micro'!$K162,"")</f>
        <v/>
      </c>
      <c r="CF154" s="21" t="str">
        <f>IF(AND('Atividades Micro'!$B162=CF$2,'Atividades Micro'!$G162="Micro",'Atividades Micro'!$K162&lt;&gt;""),'Atividades Micro'!$K162,"")</f>
        <v/>
      </c>
      <c r="CG154" s="21">
        <f>IF(AND('Atividades Micro'!$B162=CG$2,'Atividades Micro'!$G162="Micro",'Atividades Micro'!$K162&lt;&gt;""),'Atividades Micro'!$K162,"")</f>
        <v>46337</v>
      </c>
      <c r="CH154" s="21" t="str">
        <f>IF(AND('Atividades Micro'!$B162=CH$2,'Atividades Micro'!$G162="Micro",'Atividades Micro'!$K162&lt;&gt;""),'Atividades Micro'!$K162,"")</f>
        <v/>
      </c>
      <c r="CI154" s="21" t="str">
        <f>IF(AND('Atividades Micro'!$B162=CI$2,'Atividades Micro'!$G162="Micro",'Atividades Micro'!$K162&lt;&gt;""),'Atividades Micro'!$K162,"")</f>
        <v/>
      </c>
      <c r="CJ154" s="21" t="str">
        <f>IF(AND('Atividades Micro'!$B162=CJ$2,'Atividades Micro'!$G162="Micro",'Atividades Micro'!$K162&lt;&gt;""),'Atividades Micro'!$K162,"")</f>
        <v/>
      </c>
      <c r="CK154" s="21" t="str">
        <f>IF(AND('Atividades Micro'!$B162=CK$2,'Atividades Micro'!$G162="Micro",'Atividades Micro'!$K162&lt;&gt;""),'Atividades Micro'!$K162,"")</f>
        <v/>
      </c>
      <c r="CL154" s="21" t="str">
        <f>IF(AND('Atividades Micro'!$B162=CL$2,'Atividades Micro'!$G162="Micro",'Atividades Micro'!$K162&lt;&gt;""),'Atividades Micro'!$K162,"")</f>
        <v/>
      </c>
      <c r="CM154" s="21" t="str">
        <f>IF(AND('Atividades Micro'!$B162=CM$2,'Atividades Micro'!$G162="Micro",'Atividades Micro'!$K162&lt;&gt;""),'Atividades Micro'!$K162,"")</f>
        <v/>
      </c>
      <c r="CN154" s="21" t="str">
        <f>IF(AND('Atividades Micro'!$B162=CN$2,'Atividades Micro'!$G162="Micro",'Atividades Micro'!$K162&lt;&gt;""),'Atividades Micro'!$K162,"")</f>
        <v/>
      </c>
      <c r="CO154" s="21" t="str">
        <f>IF(AND('Atividades Micro'!$B162=CO$2,'Atividades Micro'!$G162="Micro",'Atividades Micro'!$K162&lt;&gt;""),'Atividades Micro'!$K162,"")</f>
        <v/>
      </c>
    </row>
    <row r="155" spans="1:93">
      <c r="A155" s="21" t="str">
        <f>IF(AND('Atividades Micro'!$A163=A$2,'Atividades Micro'!$K163&lt;&gt;""),'Atividades Micro'!$K163,"")</f>
        <v/>
      </c>
      <c r="B155" s="21" t="str">
        <f>IF(AND('Atividades Micro'!$A163=B$2,'Atividades Micro'!$L163&lt;&gt;""),'Atividades Micro'!$L163,"")</f>
        <v/>
      </c>
      <c r="C155" s="21" t="str">
        <f>IF(AND('Atividades Micro'!$A163=C$2,'Atividades Micro'!$K163&lt;&gt;""),'Atividades Micro'!$K163,"")</f>
        <v/>
      </c>
      <c r="D155" s="21" t="str">
        <f>IF(AND('Atividades Micro'!$A163=D$2,'Atividades Micro'!$L163&lt;&gt;""),'Atividades Micro'!$L163,"")</f>
        <v/>
      </c>
      <c r="E155" s="21" t="str">
        <f>IF(AND('Atividades Micro'!$A163=E$2,'Atividades Micro'!$K163&lt;&gt;""),'Atividades Micro'!$K163,"")</f>
        <v/>
      </c>
      <c r="F155" s="21" t="str">
        <f>IF(AND('Atividades Micro'!$A163=F$2,'Atividades Micro'!$L163&lt;&gt;""),'Atividades Micro'!$L163,"")</f>
        <v/>
      </c>
      <c r="G155" s="21" t="str">
        <f>IF(AND('Atividades Micro'!$A163=G$2,'Atividades Micro'!$K163&lt;&gt;""),'Atividades Micro'!$K163,"")</f>
        <v/>
      </c>
      <c r="H155" s="21" t="str">
        <f>IF(AND('Atividades Micro'!$A163=H$2,'Atividades Micro'!$L163&lt;&gt;""),'Atividades Micro'!$L163,"")</f>
        <v/>
      </c>
      <c r="I155" s="21" t="str">
        <f>IF(AND('Atividades Micro'!$A163=I$2,'Atividades Micro'!$K163&lt;&gt;""),'Atividades Micro'!$K163,"")</f>
        <v/>
      </c>
      <c r="J155" s="21" t="str">
        <f>IF(AND('Atividades Micro'!$A163=J$2,'Atividades Micro'!$L163&lt;&gt;""),'Atividades Micro'!$L163,"")</f>
        <v/>
      </c>
      <c r="K155" s="21" t="str">
        <f>IF(AND('Atividades Micro'!$B163=K$2,'Atividades Micro'!$K163&lt;&gt;""),'Atividades Micro'!$K163,"")</f>
        <v/>
      </c>
      <c r="L155" s="21" t="str">
        <f>IF(AND('Atividades Micro'!$B163=L$2,'Atividades Micro'!$L163&lt;&gt;""),'Atividades Micro'!$L163,"")</f>
        <v/>
      </c>
      <c r="M155" s="21" t="str">
        <f>IF(AND('Atividades Micro'!$B163=M$2,'Atividades Micro'!$K163&lt;&gt;""),'Atividades Micro'!$K163,"")</f>
        <v/>
      </c>
      <c r="N155" s="21" t="str">
        <f>IF(AND('Atividades Micro'!$B163=N$2,'Atividades Micro'!$L163&lt;&gt;""),'Atividades Micro'!$L163,"")</f>
        <v/>
      </c>
      <c r="O155" s="21" t="str">
        <f>IF(AND('Atividades Micro'!$A163=O$2,'Atividades Micro'!$K163&lt;&gt;""),'Atividades Micro'!$K163,"")</f>
        <v/>
      </c>
      <c r="P155" s="21" t="str">
        <f>IF(AND('Atividades Micro'!$A163=P$2,'Atividades Micro'!$L163&lt;&gt;""),'Atividades Micro'!$L163,"")</f>
        <v/>
      </c>
      <c r="Q155" s="21" t="str">
        <f>IF(AND('Atividades Micro'!$B163=Q$2,'Atividades Micro'!$K163&lt;&gt;""),'Atividades Micro'!$K163,"")</f>
        <v/>
      </c>
      <c r="R155" s="21" t="str">
        <f>IF(AND('Atividades Micro'!$B163=R$2,'Atividades Micro'!$L163&lt;&gt;""),'Atividades Micro'!$L163,"")</f>
        <v/>
      </c>
      <c r="S155" s="21">
        <f>IF(AND('Atividades Micro'!$A163=S$2,'Atividades Micro'!$K163&lt;&gt;""),'Atividades Micro'!$K163,"")</f>
        <v>46339</v>
      </c>
      <c r="T155" s="21" t="str">
        <f>IF(AND('Atividades Micro'!$A163=T$2,'Atividades Micro'!$L163&lt;&gt;""),'Atividades Micro'!$L163,"")</f>
        <v/>
      </c>
      <c r="U155" s="21">
        <f>IF(AND('Atividades Micro'!$B163=U$2,'Atividades Micro'!$K163&lt;&gt;""),'Atividades Micro'!$K163,"")</f>
        <v>46339</v>
      </c>
      <c r="V155" s="21" t="str">
        <f>IF(AND('Atividades Micro'!$B163=V$2,'Atividades Micro'!$L163&lt;&gt;""),'Atividades Micro'!$L163,"")</f>
        <v/>
      </c>
      <c r="W155" s="21" t="str">
        <f>IF(AND('Atividades Micro'!$B163=W$2,'Atividades Micro'!$K163&lt;&gt;""),'Atividades Micro'!$K163,"")</f>
        <v/>
      </c>
      <c r="X155" s="21" t="str">
        <f>IF(AND('Atividades Micro'!$B163=X$2,'Atividades Micro'!$L163&lt;&gt;""),'Atividades Micro'!$L163,"")</f>
        <v/>
      </c>
      <c r="Y155" s="21" t="str">
        <f>IF(AND('Atividades Micro'!$A163=Y$2,'Atividades Micro'!$K163&lt;&gt;""),'Atividades Micro'!$K163,"")</f>
        <v/>
      </c>
      <c r="Z155" s="21" t="str">
        <f>IF(AND('Atividades Micro'!$A163=Z$2,'Atividades Micro'!$L163&lt;&gt;""),'Atividades Micro'!$L163,"")</f>
        <v/>
      </c>
      <c r="AA155" s="21" t="str">
        <f>IF(AND('Atividades Micro'!$B163=AA$2,'Atividades Micro'!$K163&lt;&gt;""),'Atividades Micro'!$K163,"")</f>
        <v/>
      </c>
      <c r="AB155" s="21" t="str">
        <f>IF(AND('Atividades Micro'!$B163=AB$2,'Atividades Micro'!$L163&lt;&gt;""),'Atividades Micro'!$L163,"")</f>
        <v/>
      </c>
      <c r="AC155" s="21" t="str">
        <f>IF(AND('Atividades Micro'!$B163=AC$2,'Atividades Micro'!$K163&lt;&gt;""),'Atividades Micro'!$K163,"")</f>
        <v/>
      </c>
      <c r="AD155" s="21" t="str">
        <f>IF(AND('Atividades Micro'!$B163=AD$2,'Atividades Micro'!$L163&lt;&gt;""),'Atividades Micro'!$L163,"")</f>
        <v/>
      </c>
      <c r="AE155" s="21" t="str">
        <f>IF(AND('Atividades Micro'!$A163=AE$2,'Atividades Micro'!$K163&lt;&gt;""),'Atividades Micro'!$K163,"")</f>
        <v/>
      </c>
      <c r="AF155" s="21" t="str">
        <f>IF(AND('Atividades Micro'!$A163=AF$2,'Atividades Micro'!$L163&lt;&gt;""),'Atividades Micro'!$L163,"")</f>
        <v/>
      </c>
      <c r="AG155" s="21" t="str">
        <f>IF(AND('Atividades Micro'!$B163=AG$2,'Atividades Micro'!$K163&lt;&gt;""),'Atividades Micro'!$K163,"")</f>
        <v/>
      </c>
      <c r="AH155" s="21" t="str">
        <f>IF(AND('Atividades Micro'!$B163=AH$2,'Atividades Micro'!$L163&lt;&gt;""),'Atividades Micro'!$L163,"")</f>
        <v/>
      </c>
      <c r="AI155" s="21" t="str">
        <f>IF(AND('Atividades Micro'!$B163=AI$2,'Atividades Micro'!$K163&lt;&gt;""),'Atividades Micro'!$K163,"")</f>
        <v/>
      </c>
      <c r="AJ155" s="21" t="str">
        <f>IF(AND('Atividades Micro'!$B163=AJ$2,'Atividades Micro'!$L163&lt;&gt;""),'Atividades Micro'!$L163,"")</f>
        <v/>
      </c>
      <c r="AK155" s="21" t="str">
        <f>IF(AND('Atividades Micro'!$A163=AK$2,'Atividades Micro'!$K163&lt;&gt;""),'Atividades Micro'!$K163,"")</f>
        <v/>
      </c>
      <c r="AL155" s="21" t="str">
        <f>IF(AND('Atividades Micro'!$A163=AL$2,'Atividades Micro'!$L163&lt;&gt;""),'Atividades Micro'!$L163,"")</f>
        <v/>
      </c>
      <c r="AM155" s="21" t="str">
        <f>IF(AND('Atividades Micro'!$B163=AM$2,'Atividades Micro'!$K163&lt;&gt;""),'Atividades Micro'!$K163,"")</f>
        <v/>
      </c>
      <c r="AN155" s="21" t="str">
        <f>IF(AND('Atividades Micro'!$B163=AN$2,'Atividades Micro'!$L163&lt;&gt;""),'Atividades Micro'!$L163,"")</f>
        <v/>
      </c>
      <c r="AO155" s="21" t="str">
        <f>IF(AND('Atividades Micro'!$B163=AO$2,'Atividades Micro'!$K163&lt;&gt;""),'Atividades Micro'!$K163,"")</f>
        <v/>
      </c>
      <c r="AP155" s="21" t="str">
        <f>IF(AND('Atividades Micro'!$B163=AP$2,'Atividades Micro'!$L163&lt;&gt;""),'Atividades Micro'!$L163,"")</f>
        <v/>
      </c>
      <c r="AQ155" s="21" t="str">
        <f>IF(AND('Atividades Micro'!$A163=AQ$2,'Atividades Micro'!$K163&lt;&gt;""),'Atividades Micro'!$K163,"")</f>
        <v/>
      </c>
      <c r="AR155" s="21" t="str">
        <f>IF(AND('Atividades Micro'!$A163=AR$2,'Atividades Micro'!$L163&lt;&gt;""),'Atividades Micro'!$L163,"")</f>
        <v/>
      </c>
      <c r="AS155" s="21" t="str">
        <f>IF(AND('Atividades Micro'!$B163=AS$2,'Atividades Micro'!$K163&lt;&gt;""),'Atividades Micro'!$K163,"")</f>
        <v/>
      </c>
      <c r="AT155" s="21" t="str">
        <f>IF(AND('Atividades Micro'!$B163=AT$2,'Atividades Micro'!$L163&lt;&gt;""),'Atividades Micro'!$L163,"")</f>
        <v/>
      </c>
      <c r="AU155" s="21" t="str">
        <f>IF(AND('Atividades Micro'!$A163=AU$2,'Atividades Micro'!$K163&lt;&gt;""),'Atividades Micro'!$K163,"")</f>
        <v/>
      </c>
      <c r="AV155" s="21" t="str">
        <f>IF(AND('Atividades Micro'!$A163=AV$2,'Atividades Micro'!$L163&lt;&gt;""),'Atividades Micro'!$L163,"")</f>
        <v/>
      </c>
      <c r="AW155" s="21" t="str">
        <f>IF(AND('Atividades Micro'!$B163=AW$2,'Atividades Micro'!$K163&lt;&gt;""),'Atividades Micro'!$K163,"")</f>
        <v/>
      </c>
      <c r="AX155" s="21" t="str">
        <f>IF(AND('Atividades Micro'!$B163=AX$2,'Atividades Micro'!$L163&lt;&gt;""),'Atividades Micro'!$L163,"")</f>
        <v/>
      </c>
      <c r="AY155" s="21" t="str">
        <f>IF(AND('Atividades Micro'!$A163=AY$2,'Atividades Micro'!$K163&lt;&gt;""),'Atividades Micro'!$K163,"")</f>
        <v/>
      </c>
      <c r="AZ155" s="21" t="str">
        <f>IF(AND('Atividades Micro'!$A163=AZ$2,'Atividades Micro'!$L163&lt;&gt;""),'Atividades Micro'!$L163,"")</f>
        <v/>
      </c>
      <c r="BA155" s="21" t="str">
        <f>IF(AND('Atividades Micro'!$B163=BA$2,'Atividades Micro'!$K163&lt;&gt;""),'Atividades Micro'!$K163,"")</f>
        <v/>
      </c>
      <c r="BB155" s="21" t="str">
        <f>IF(AND('Atividades Micro'!$B163=BB$2,'Atividades Micro'!$L163&lt;&gt;""),'Atividades Micro'!$L163,"")</f>
        <v/>
      </c>
      <c r="BC155" s="21" t="str">
        <f>IF(AND('Atividades Micro'!$B163=BC$2,'Atividades Micro'!$G163="Macro",'Atividades Micro'!$K163&lt;&gt;""),'Atividades Micro'!$K163,"")</f>
        <v/>
      </c>
      <c r="BD155" s="21" t="str">
        <f>IF(AND('Atividades Micro'!$B163=BD$2,'Atividades Micro'!$G163="Macro",'Atividades Micro'!$K163&lt;&gt;""),'Atividades Micro'!$K163,"")</f>
        <v/>
      </c>
      <c r="BE155" s="21" t="str">
        <f>IF(AND('Atividades Micro'!$B163=BE$2,'Atividades Micro'!$G163="Macro",'Atividades Micro'!$K163&lt;&gt;""),'Atividades Micro'!$K163,"")</f>
        <v/>
      </c>
      <c r="BF155" s="21" t="str">
        <f>IF(AND('Atividades Micro'!$B163=BF$2,'Atividades Micro'!$G163="Macro",'Atividades Micro'!$K163&lt;&gt;""),'Atividades Micro'!$K163,"")</f>
        <v/>
      </c>
      <c r="BG155" s="21" t="str">
        <f>IF(AND('Atividades Micro'!$B163=BG$2,'Atividades Micro'!$G163="Macro",'Atividades Micro'!$K163&lt;&gt;""),'Atividades Micro'!$K163,"")</f>
        <v/>
      </c>
      <c r="BH155" s="21" t="str">
        <f>IF(AND('Atividades Micro'!$B163=BH$2,'Atividades Micro'!$G163="Macro",'Atividades Micro'!$K163&lt;&gt;""),'Atividades Micro'!$K163,"")</f>
        <v/>
      </c>
      <c r="BI155" s="21" t="str">
        <f>IF(AND('Atividades Micro'!$B163=BI$2,'Atividades Micro'!$G163="Macro",'Atividades Micro'!$K163&lt;&gt;""),'Atividades Micro'!$K163,"")</f>
        <v/>
      </c>
      <c r="BJ155" s="21" t="str">
        <f>IF(AND('Atividades Micro'!$B163=BJ$2,'Atividades Micro'!$G163="Macro",'Atividades Micro'!$K163&lt;&gt;""),'Atividades Micro'!$K163,"")</f>
        <v/>
      </c>
      <c r="BK155" s="21" t="str">
        <f>IF(AND('Atividades Micro'!$B163=BK$2,'Atividades Micro'!$G163="Macro",'Atividades Micro'!$K163&lt;&gt;""),'Atividades Micro'!$K163,"")</f>
        <v/>
      </c>
      <c r="BL155" s="21" t="str">
        <f>IF(AND('Atividades Micro'!$B163=BL$2,'Atividades Micro'!$G163="Macro",'Atividades Micro'!$K163&lt;&gt;""),'Atividades Micro'!$K163,"")</f>
        <v/>
      </c>
      <c r="BM155" s="21" t="str">
        <f>IF(AND('Atividades Micro'!$B163=BM$2,'Atividades Micro'!$G163="Macro",'Atividades Micro'!$K163&lt;&gt;""),'Atividades Micro'!$K163,"")</f>
        <v/>
      </c>
      <c r="BN155" s="21" t="str">
        <f>IF(AND('Atividades Micro'!$B163=BN$2,'Atividades Micro'!$G163="Macro",'Atividades Micro'!$K163&lt;&gt;""),'Atividades Micro'!$K163,"")</f>
        <v/>
      </c>
      <c r="BO155" s="21" t="str">
        <f>IF(AND('Atividades Micro'!$B163=BO$2,'Atividades Micro'!$G163="Macro",'Atividades Micro'!$K163&lt;&gt;""),'Atividades Micro'!$K163,"")</f>
        <v/>
      </c>
      <c r="BP155" s="21" t="str">
        <f>IF(AND('Atividades Micro'!$B163=BP$2,'Atividades Micro'!$G163="Macro",'Atividades Micro'!$K163&lt;&gt;""),'Atividades Micro'!$K163,"")</f>
        <v/>
      </c>
      <c r="BQ155" s="21" t="str">
        <f>IF(AND('Atividades Micro'!$B163=BQ$2,'Atividades Micro'!$G163="Macro",'Atividades Micro'!$K163&lt;&gt;""),'Atividades Micro'!$K163,"")</f>
        <v/>
      </c>
      <c r="BR155" s="21" t="str">
        <f>IF(AND('Atividades Micro'!$B163=BR$2,'Atividades Micro'!$G163="Macro",'Atividades Micro'!$K163&lt;&gt;""),'Atividades Micro'!$K163,"")</f>
        <v/>
      </c>
      <c r="BS155" s="21" t="str">
        <f>IF(AND('Atividades Micro'!$B163=BS$2,'Atividades Micro'!$G163="Macro",'Atividades Micro'!$K163&lt;&gt;""),'Atividades Micro'!$K163,"")</f>
        <v/>
      </c>
      <c r="BT155" s="21" t="str">
        <f>IF(AND('Atividades Micro'!$B163=BT$2,'Atividades Micro'!$G163="Macro",'Atividades Micro'!$K163&lt;&gt;""),'Atividades Micro'!$K163,"")</f>
        <v/>
      </c>
      <c r="BU155" s="21" t="str">
        <f>IF(AND('Atividades Micro'!$B163=BU$2,'Atividades Micro'!$G163="Macro",'Atividades Micro'!$K163&lt;&gt;""),'Atividades Micro'!$K163,"")</f>
        <v/>
      </c>
      <c r="BV155" s="21" t="str">
        <f>IF(AND('Atividades Micro'!$B163=BV$2,'Atividades Micro'!$G163="Macro",'Atividades Micro'!$K163&lt;&gt;""),'Atividades Micro'!$K163,"")</f>
        <v/>
      </c>
      <c r="BW155" s="21" t="str">
        <f>IF(AND('Atividades Micro'!$B163=BW$2,'Atividades Micro'!$G163="Macro",'Atividades Micro'!$K163&lt;&gt;""),'Atividades Micro'!$K163,"")</f>
        <v/>
      </c>
      <c r="BX155" s="21" t="str">
        <f>IF(AND('Atividades Micro'!$B163=BX$2,'Atividades Micro'!$G163="Macro",'Atividades Micro'!$K163&lt;&gt;""),'Atividades Micro'!$K163,"")</f>
        <v/>
      </c>
      <c r="BY155" s="21" t="str">
        <f>IF(AND('Atividades Micro'!$B163=BY$2,'Atividades Micro'!$G163="Macro",'Atividades Micro'!$K163&lt;&gt;""),'Atividades Micro'!$K163,"")</f>
        <v/>
      </c>
      <c r="BZ155" s="21" t="str">
        <f>IF(AND('Atividades Micro'!$B163=BZ$2,'Atividades Micro'!$G163="Macro",'Atividades Micro'!$K163&lt;&gt;""),'Atividades Micro'!$K163,"")</f>
        <v/>
      </c>
      <c r="CA155" s="21" t="str">
        <f>IF(AND('Atividades Micro'!$B163=CA$2,'Atividades Micro'!$G163="Macro",'Atividades Micro'!$K163&lt;&gt;""),'Atividades Micro'!$K163,"")</f>
        <v/>
      </c>
      <c r="CB155" s="21" t="str">
        <f>IF(AND('Atividades Micro'!$B163=CB$2,'Atividades Micro'!$G163="Macro",'Atividades Micro'!$K163&lt;&gt;""),'Atividades Micro'!$K163,"")</f>
        <v/>
      </c>
      <c r="CC155" s="21" t="str">
        <f>IF(AND('Atividades Micro'!$B163=CC$2,'Atividades Micro'!$G163="Macro",'Atividades Micro'!$K163&lt;&gt;""),'Atividades Micro'!$K163,"")</f>
        <v/>
      </c>
      <c r="CD155" s="21" t="str">
        <f>IF(AND('Atividades Micro'!$B163=CD$2,'Atividades Micro'!$G163="Micro",'Atividades Micro'!$K163&lt;&gt;""),'Atividades Micro'!$K163,"")</f>
        <v/>
      </c>
      <c r="CE155" s="21" t="str">
        <f>IF(AND('Atividades Micro'!$B163=CE$2,'Atividades Micro'!$G163="Micro",'Atividades Micro'!$K163&lt;&gt;""),'Atividades Micro'!$K163,"")</f>
        <v/>
      </c>
      <c r="CF155" s="21" t="str">
        <f>IF(AND('Atividades Micro'!$B163=CF$2,'Atividades Micro'!$G163="Micro",'Atividades Micro'!$K163&lt;&gt;""),'Atividades Micro'!$K163,"")</f>
        <v/>
      </c>
      <c r="CG155" s="21">
        <f>IF(AND('Atividades Micro'!$B163=CG$2,'Atividades Micro'!$G163="Micro",'Atividades Micro'!$K163&lt;&gt;""),'Atividades Micro'!$K163,"")</f>
        <v>46339</v>
      </c>
      <c r="CH155" s="21" t="str">
        <f>IF(AND('Atividades Micro'!$B163=CH$2,'Atividades Micro'!$G163="Micro",'Atividades Micro'!$K163&lt;&gt;""),'Atividades Micro'!$K163,"")</f>
        <v/>
      </c>
      <c r="CI155" s="21" t="str">
        <f>IF(AND('Atividades Micro'!$B163=CI$2,'Atividades Micro'!$G163="Micro",'Atividades Micro'!$K163&lt;&gt;""),'Atividades Micro'!$K163,"")</f>
        <v/>
      </c>
      <c r="CJ155" s="21" t="str">
        <f>IF(AND('Atividades Micro'!$B163=CJ$2,'Atividades Micro'!$G163="Micro",'Atividades Micro'!$K163&lt;&gt;""),'Atividades Micro'!$K163,"")</f>
        <v/>
      </c>
      <c r="CK155" s="21" t="str">
        <f>IF(AND('Atividades Micro'!$B163=CK$2,'Atividades Micro'!$G163="Micro",'Atividades Micro'!$K163&lt;&gt;""),'Atividades Micro'!$K163,"")</f>
        <v/>
      </c>
      <c r="CL155" s="21" t="str">
        <f>IF(AND('Atividades Micro'!$B163=CL$2,'Atividades Micro'!$G163="Micro",'Atividades Micro'!$K163&lt;&gt;""),'Atividades Micro'!$K163,"")</f>
        <v/>
      </c>
      <c r="CM155" s="21" t="str">
        <f>IF(AND('Atividades Micro'!$B163=CM$2,'Atividades Micro'!$G163="Micro",'Atividades Micro'!$K163&lt;&gt;""),'Atividades Micro'!$K163,"")</f>
        <v/>
      </c>
      <c r="CN155" s="21" t="str">
        <f>IF(AND('Atividades Micro'!$B163=CN$2,'Atividades Micro'!$G163="Micro",'Atividades Micro'!$K163&lt;&gt;""),'Atividades Micro'!$K163,"")</f>
        <v/>
      </c>
      <c r="CO155" s="21" t="str">
        <f>IF(AND('Atividades Micro'!$B163=CO$2,'Atividades Micro'!$G163="Micro",'Atividades Micro'!$K163&lt;&gt;""),'Atividades Micro'!$K163,"")</f>
        <v/>
      </c>
    </row>
    <row r="156" spans="1:93">
      <c r="A156" s="21" t="str">
        <f>IF(AND('Atividades Micro'!$A164=A$2,'Atividades Micro'!$K164&lt;&gt;""),'Atividades Micro'!$K164,"")</f>
        <v/>
      </c>
      <c r="B156" s="21" t="str">
        <f>IF(AND('Atividades Micro'!$A164=B$2,'Atividades Micro'!$L164&lt;&gt;""),'Atividades Micro'!$L164,"")</f>
        <v/>
      </c>
      <c r="C156" s="21" t="str">
        <f>IF(AND('Atividades Micro'!$A164=C$2,'Atividades Micro'!$K164&lt;&gt;""),'Atividades Micro'!$K164,"")</f>
        <v/>
      </c>
      <c r="D156" s="21" t="str">
        <f>IF(AND('Atividades Micro'!$A164=D$2,'Atividades Micro'!$L164&lt;&gt;""),'Atividades Micro'!$L164,"")</f>
        <v/>
      </c>
      <c r="E156" s="21" t="str">
        <f>IF(AND('Atividades Micro'!$A164=E$2,'Atividades Micro'!$K164&lt;&gt;""),'Atividades Micro'!$K164,"")</f>
        <v/>
      </c>
      <c r="F156" s="21" t="str">
        <f>IF(AND('Atividades Micro'!$A164=F$2,'Atividades Micro'!$L164&lt;&gt;""),'Atividades Micro'!$L164,"")</f>
        <v/>
      </c>
      <c r="G156" s="21" t="str">
        <f>IF(AND('Atividades Micro'!$A164=G$2,'Atividades Micro'!$K164&lt;&gt;""),'Atividades Micro'!$K164,"")</f>
        <v/>
      </c>
      <c r="H156" s="21" t="str">
        <f>IF(AND('Atividades Micro'!$A164=H$2,'Atividades Micro'!$L164&lt;&gt;""),'Atividades Micro'!$L164,"")</f>
        <v/>
      </c>
      <c r="I156" s="21" t="str">
        <f>IF(AND('Atividades Micro'!$A164=I$2,'Atividades Micro'!$K164&lt;&gt;""),'Atividades Micro'!$K164,"")</f>
        <v/>
      </c>
      <c r="J156" s="21" t="str">
        <f>IF(AND('Atividades Micro'!$A164=J$2,'Atividades Micro'!$L164&lt;&gt;""),'Atividades Micro'!$L164,"")</f>
        <v/>
      </c>
      <c r="K156" s="21" t="str">
        <f>IF(AND('Atividades Micro'!$B164=K$2,'Atividades Micro'!$K164&lt;&gt;""),'Atividades Micro'!$K164,"")</f>
        <v/>
      </c>
      <c r="L156" s="21" t="str">
        <f>IF(AND('Atividades Micro'!$B164=L$2,'Atividades Micro'!$L164&lt;&gt;""),'Atividades Micro'!$L164,"")</f>
        <v/>
      </c>
      <c r="M156" s="21" t="str">
        <f>IF(AND('Atividades Micro'!$B164=M$2,'Atividades Micro'!$K164&lt;&gt;""),'Atividades Micro'!$K164,"")</f>
        <v/>
      </c>
      <c r="N156" s="21" t="str">
        <f>IF(AND('Atividades Micro'!$B164=N$2,'Atividades Micro'!$L164&lt;&gt;""),'Atividades Micro'!$L164,"")</f>
        <v/>
      </c>
      <c r="O156" s="21" t="str">
        <f>IF(AND('Atividades Micro'!$A164=O$2,'Atividades Micro'!$K164&lt;&gt;""),'Atividades Micro'!$K164,"")</f>
        <v/>
      </c>
      <c r="P156" s="21" t="str">
        <f>IF(AND('Atividades Micro'!$A164=P$2,'Atividades Micro'!$L164&lt;&gt;""),'Atividades Micro'!$L164,"")</f>
        <v/>
      </c>
      <c r="Q156" s="21" t="str">
        <f>IF(AND('Atividades Micro'!$B164=Q$2,'Atividades Micro'!$K164&lt;&gt;""),'Atividades Micro'!$K164,"")</f>
        <v/>
      </c>
      <c r="R156" s="21" t="str">
        <f>IF(AND('Atividades Micro'!$B164=R$2,'Atividades Micro'!$L164&lt;&gt;""),'Atividades Micro'!$L164,"")</f>
        <v/>
      </c>
      <c r="S156" s="21">
        <f>IF(AND('Atividades Micro'!$A164=S$2,'Atividades Micro'!$K164&lt;&gt;""),'Atividades Micro'!$K164,"")</f>
        <v>46293</v>
      </c>
      <c r="T156" s="21">
        <f>IF(AND('Atividades Micro'!$A164=T$2,'Atividades Micro'!$L164&lt;&gt;""),'Atividades Micro'!$L164,"")</f>
        <v>46247</v>
      </c>
      <c r="U156" s="21">
        <f>IF(AND('Atividades Micro'!$B164=U$2,'Atividades Micro'!$K164&lt;&gt;""),'Atividades Micro'!$K164,"")</f>
        <v>46293</v>
      </c>
      <c r="V156" s="21">
        <f>IF(AND('Atividades Micro'!$B164=V$2,'Atividades Micro'!$L164&lt;&gt;""),'Atividades Micro'!$L164,"")</f>
        <v>46247</v>
      </c>
      <c r="W156" s="21" t="str">
        <f>IF(AND('Atividades Micro'!$B164=W$2,'Atividades Micro'!$K164&lt;&gt;""),'Atividades Micro'!$K164,"")</f>
        <v/>
      </c>
      <c r="X156" s="21" t="str">
        <f>IF(AND('Atividades Micro'!$B164=X$2,'Atividades Micro'!$L164&lt;&gt;""),'Atividades Micro'!$L164,"")</f>
        <v/>
      </c>
      <c r="Y156" s="21" t="str">
        <f>IF(AND('Atividades Micro'!$A164=Y$2,'Atividades Micro'!$K164&lt;&gt;""),'Atividades Micro'!$K164,"")</f>
        <v/>
      </c>
      <c r="Z156" s="21" t="str">
        <f>IF(AND('Atividades Micro'!$A164=Z$2,'Atividades Micro'!$L164&lt;&gt;""),'Atividades Micro'!$L164,"")</f>
        <v/>
      </c>
      <c r="AA156" s="21" t="str">
        <f>IF(AND('Atividades Micro'!$B164=AA$2,'Atividades Micro'!$K164&lt;&gt;""),'Atividades Micro'!$K164,"")</f>
        <v/>
      </c>
      <c r="AB156" s="21" t="str">
        <f>IF(AND('Atividades Micro'!$B164=AB$2,'Atividades Micro'!$L164&lt;&gt;""),'Atividades Micro'!$L164,"")</f>
        <v/>
      </c>
      <c r="AC156" s="21" t="str">
        <f>IF(AND('Atividades Micro'!$B164=AC$2,'Atividades Micro'!$K164&lt;&gt;""),'Atividades Micro'!$K164,"")</f>
        <v/>
      </c>
      <c r="AD156" s="21" t="str">
        <f>IF(AND('Atividades Micro'!$B164=AD$2,'Atividades Micro'!$L164&lt;&gt;""),'Atividades Micro'!$L164,"")</f>
        <v/>
      </c>
      <c r="AE156" s="21" t="str">
        <f>IF(AND('Atividades Micro'!$A164=AE$2,'Atividades Micro'!$K164&lt;&gt;""),'Atividades Micro'!$K164,"")</f>
        <v/>
      </c>
      <c r="AF156" s="21" t="str">
        <f>IF(AND('Atividades Micro'!$A164=AF$2,'Atividades Micro'!$L164&lt;&gt;""),'Atividades Micro'!$L164,"")</f>
        <v/>
      </c>
      <c r="AG156" s="21" t="str">
        <f>IF(AND('Atividades Micro'!$B164=AG$2,'Atividades Micro'!$K164&lt;&gt;""),'Atividades Micro'!$K164,"")</f>
        <v/>
      </c>
      <c r="AH156" s="21" t="str">
        <f>IF(AND('Atividades Micro'!$B164=AH$2,'Atividades Micro'!$L164&lt;&gt;""),'Atividades Micro'!$L164,"")</f>
        <v/>
      </c>
      <c r="AI156" s="21" t="str">
        <f>IF(AND('Atividades Micro'!$B164=AI$2,'Atividades Micro'!$K164&lt;&gt;""),'Atividades Micro'!$K164,"")</f>
        <v/>
      </c>
      <c r="AJ156" s="21" t="str">
        <f>IF(AND('Atividades Micro'!$B164=AJ$2,'Atividades Micro'!$L164&lt;&gt;""),'Atividades Micro'!$L164,"")</f>
        <v/>
      </c>
      <c r="AK156" s="21" t="str">
        <f>IF(AND('Atividades Micro'!$A164=AK$2,'Atividades Micro'!$K164&lt;&gt;""),'Atividades Micro'!$K164,"")</f>
        <v/>
      </c>
      <c r="AL156" s="21" t="str">
        <f>IF(AND('Atividades Micro'!$A164=AL$2,'Atividades Micro'!$L164&lt;&gt;""),'Atividades Micro'!$L164,"")</f>
        <v/>
      </c>
      <c r="AM156" s="21" t="str">
        <f>IF(AND('Atividades Micro'!$B164=AM$2,'Atividades Micro'!$K164&lt;&gt;""),'Atividades Micro'!$K164,"")</f>
        <v/>
      </c>
      <c r="AN156" s="21" t="str">
        <f>IF(AND('Atividades Micro'!$B164=AN$2,'Atividades Micro'!$L164&lt;&gt;""),'Atividades Micro'!$L164,"")</f>
        <v/>
      </c>
      <c r="AO156" s="21" t="str">
        <f>IF(AND('Atividades Micro'!$B164=AO$2,'Atividades Micro'!$K164&lt;&gt;""),'Atividades Micro'!$K164,"")</f>
        <v/>
      </c>
      <c r="AP156" s="21" t="str">
        <f>IF(AND('Atividades Micro'!$B164=AP$2,'Atividades Micro'!$L164&lt;&gt;""),'Atividades Micro'!$L164,"")</f>
        <v/>
      </c>
      <c r="AQ156" s="21" t="str">
        <f>IF(AND('Atividades Micro'!$A164=AQ$2,'Atividades Micro'!$K164&lt;&gt;""),'Atividades Micro'!$K164,"")</f>
        <v/>
      </c>
      <c r="AR156" s="21" t="str">
        <f>IF(AND('Atividades Micro'!$A164=AR$2,'Atividades Micro'!$L164&lt;&gt;""),'Atividades Micro'!$L164,"")</f>
        <v/>
      </c>
      <c r="AS156" s="21" t="str">
        <f>IF(AND('Atividades Micro'!$B164=AS$2,'Atividades Micro'!$K164&lt;&gt;""),'Atividades Micro'!$K164,"")</f>
        <v/>
      </c>
      <c r="AT156" s="21" t="str">
        <f>IF(AND('Atividades Micro'!$B164=AT$2,'Atividades Micro'!$L164&lt;&gt;""),'Atividades Micro'!$L164,"")</f>
        <v/>
      </c>
      <c r="AU156" s="21" t="str">
        <f>IF(AND('Atividades Micro'!$A164=AU$2,'Atividades Micro'!$K164&lt;&gt;""),'Atividades Micro'!$K164,"")</f>
        <v/>
      </c>
      <c r="AV156" s="21" t="str">
        <f>IF(AND('Atividades Micro'!$A164=AV$2,'Atividades Micro'!$L164&lt;&gt;""),'Atividades Micro'!$L164,"")</f>
        <v/>
      </c>
      <c r="AW156" s="21" t="str">
        <f>IF(AND('Atividades Micro'!$B164=AW$2,'Atividades Micro'!$K164&lt;&gt;""),'Atividades Micro'!$K164,"")</f>
        <v/>
      </c>
      <c r="AX156" s="21" t="str">
        <f>IF(AND('Atividades Micro'!$B164=AX$2,'Atividades Micro'!$L164&lt;&gt;""),'Atividades Micro'!$L164,"")</f>
        <v/>
      </c>
      <c r="AY156" s="21" t="str">
        <f>IF(AND('Atividades Micro'!$A164=AY$2,'Atividades Micro'!$K164&lt;&gt;""),'Atividades Micro'!$K164,"")</f>
        <v/>
      </c>
      <c r="AZ156" s="21" t="str">
        <f>IF(AND('Atividades Micro'!$A164=AZ$2,'Atividades Micro'!$L164&lt;&gt;""),'Atividades Micro'!$L164,"")</f>
        <v/>
      </c>
      <c r="BA156" s="21" t="str">
        <f>IF(AND('Atividades Micro'!$B164=BA$2,'Atividades Micro'!$K164&lt;&gt;""),'Atividades Micro'!$K164,"")</f>
        <v/>
      </c>
      <c r="BB156" s="21" t="str">
        <f>IF(AND('Atividades Micro'!$B164=BB$2,'Atividades Micro'!$L164&lt;&gt;""),'Atividades Micro'!$L164,"")</f>
        <v/>
      </c>
      <c r="BC156" s="21" t="str">
        <f>IF(AND('Atividades Micro'!$B164=BC$2,'Atividades Micro'!$G164="Macro",'Atividades Micro'!$K164&lt;&gt;""),'Atividades Micro'!$K164,"")</f>
        <v/>
      </c>
      <c r="BD156" s="21" t="str">
        <f>IF(AND('Atividades Micro'!$B164=BD$2,'Atividades Micro'!$G164="Macro",'Atividades Micro'!$K164&lt;&gt;""),'Atividades Micro'!$K164,"")</f>
        <v/>
      </c>
      <c r="BE156" s="21" t="str">
        <f>IF(AND('Atividades Micro'!$B164=BE$2,'Atividades Micro'!$G164="Macro",'Atividades Micro'!$K164&lt;&gt;""),'Atividades Micro'!$K164,"")</f>
        <v/>
      </c>
      <c r="BF156" s="21" t="str">
        <f>IF(AND('Atividades Micro'!$B164=BF$2,'Atividades Micro'!$G164="Macro",'Atividades Micro'!$K164&lt;&gt;""),'Atividades Micro'!$K164,"")</f>
        <v/>
      </c>
      <c r="BG156" s="21" t="str">
        <f>IF(AND('Atividades Micro'!$B164=BG$2,'Atividades Micro'!$G164="Macro",'Atividades Micro'!$K164&lt;&gt;""),'Atividades Micro'!$K164,"")</f>
        <v/>
      </c>
      <c r="BH156" s="21" t="str">
        <f>IF(AND('Atividades Micro'!$B164=BH$2,'Atividades Micro'!$G164="Macro",'Atividades Micro'!$K164&lt;&gt;""),'Atividades Micro'!$K164,"")</f>
        <v/>
      </c>
      <c r="BI156" s="21" t="str">
        <f>IF(AND('Atividades Micro'!$B164=BI$2,'Atividades Micro'!$G164="Macro",'Atividades Micro'!$K164&lt;&gt;""),'Atividades Micro'!$K164,"")</f>
        <v/>
      </c>
      <c r="BJ156" s="21" t="str">
        <f>IF(AND('Atividades Micro'!$B164=BJ$2,'Atividades Micro'!$G164="Macro",'Atividades Micro'!$K164&lt;&gt;""),'Atividades Micro'!$K164,"")</f>
        <v/>
      </c>
      <c r="BK156" s="21" t="str">
        <f>IF(AND('Atividades Micro'!$B164=BK$2,'Atividades Micro'!$G164="Macro",'Atividades Micro'!$K164&lt;&gt;""),'Atividades Micro'!$K164,"")</f>
        <v/>
      </c>
      <c r="BL156" s="21" t="str">
        <f>IF(AND('Atividades Micro'!$B164=BL$2,'Atividades Micro'!$G164="Macro",'Atividades Micro'!$K164&lt;&gt;""),'Atividades Micro'!$K164,"")</f>
        <v/>
      </c>
      <c r="BM156" s="21">
        <f>IF(AND('Atividades Micro'!$B164=BM$2,'Atividades Micro'!$G164="Macro",'Atividades Micro'!$K164&lt;&gt;""),'Atividades Micro'!$K164,"")</f>
        <v>46293</v>
      </c>
      <c r="BN156" s="21" t="str">
        <f>IF(AND('Atividades Micro'!$B164=BN$2,'Atividades Micro'!$G164="Macro",'Atividades Micro'!$K164&lt;&gt;""),'Atividades Micro'!$K164,"")</f>
        <v/>
      </c>
      <c r="BO156" s="21" t="str">
        <f>IF(AND('Atividades Micro'!$B164=BO$2,'Atividades Micro'!$G164="Macro",'Atividades Micro'!$K164&lt;&gt;""),'Atividades Micro'!$K164,"")</f>
        <v/>
      </c>
      <c r="BP156" s="21" t="str">
        <f>IF(AND('Atividades Micro'!$B164=BP$2,'Atividades Micro'!$G164="Macro",'Atividades Micro'!$K164&lt;&gt;""),'Atividades Micro'!$K164,"")</f>
        <v/>
      </c>
      <c r="BQ156" s="21" t="str">
        <f>IF(AND('Atividades Micro'!$B164=BQ$2,'Atividades Micro'!$G164="Macro",'Atividades Micro'!$K164&lt;&gt;""),'Atividades Micro'!$K164,"")</f>
        <v/>
      </c>
      <c r="BR156" s="21" t="str">
        <f>IF(AND('Atividades Micro'!$B164=BR$2,'Atividades Micro'!$G164="Macro",'Atividades Micro'!$K164&lt;&gt;""),'Atividades Micro'!$K164,"")</f>
        <v/>
      </c>
      <c r="BS156" s="21" t="str">
        <f>IF(AND('Atividades Micro'!$B164=BS$2,'Atividades Micro'!$G164="Macro",'Atividades Micro'!$K164&lt;&gt;""),'Atividades Micro'!$K164,"")</f>
        <v/>
      </c>
      <c r="BT156" s="21" t="str">
        <f>IF(AND('Atividades Micro'!$B164=BT$2,'Atividades Micro'!$G164="Macro",'Atividades Micro'!$K164&lt;&gt;""),'Atividades Micro'!$K164,"")</f>
        <v/>
      </c>
      <c r="BU156" s="21" t="str">
        <f>IF(AND('Atividades Micro'!$B164=BU$2,'Atividades Micro'!$G164="Macro",'Atividades Micro'!$K164&lt;&gt;""),'Atividades Micro'!$K164,"")</f>
        <v/>
      </c>
      <c r="BV156" s="21" t="str">
        <f>IF(AND('Atividades Micro'!$B164=BV$2,'Atividades Micro'!$G164="Macro",'Atividades Micro'!$K164&lt;&gt;""),'Atividades Micro'!$K164,"")</f>
        <v/>
      </c>
      <c r="BW156" s="21" t="str">
        <f>IF(AND('Atividades Micro'!$B164=BW$2,'Atividades Micro'!$G164="Macro",'Atividades Micro'!$K164&lt;&gt;""),'Atividades Micro'!$K164,"")</f>
        <v/>
      </c>
      <c r="BX156" s="21" t="str">
        <f>IF(AND('Atividades Micro'!$B164=BX$2,'Atividades Micro'!$G164="Macro",'Atividades Micro'!$K164&lt;&gt;""),'Atividades Micro'!$K164,"")</f>
        <v/>
      </c>
      <c r="BY156" s="21" t="str">
        <f>IF(AND('Atividades Micro'!$B164=BY$2,'Atividades Micro'!$G164="Macro",'Atividades Micro'!$K164&lt;&gt;""),'Atividades Micro'!$K164,"")</f>
        <v/>
      </c>
      <c r="BZ156" s="21" t="str">
        <f>IF(AND('Atividades Micro'!$B164=BZ$2,'Atividades Micro'!$G164="Macro",'Atividades Micro'!$K164&lt;&gt;""),'Atividades Micro'!$K164,"")</f>
        <v/>
      </c>
      <c r="CA156" s="21" t="str">
        <f>IF(AND('Atividades Micro'!$B164=CA$2,'Atividades Micro'!$G164="Macro",'Atividades Micro'!$K164&lt;&gt;""),'Atividades Micro'!$K164,"")</f>
        <v/>
      </c>
      <c r="CB156" s="21" t="str">
        <f>IF(AND('Atividades Micro'!$B164=CB$2,'Atividades Micro'!$G164="Macro",'Atividades Micro'!$K164&lt;&gt;""),'Atividades Micro'!$K164,"")</f>
        <v/>
      </c>
      <c r="CC156" s="21" t="str">
        <f>IF(AND('Atividades Micro'!$B164=CC$2,'Atividades Micro'!$G164="Macro",'Atividades Micro'!$K164&lt;&gt;""),'Atividades Micro'!$K164,"")</f>
        <v/>
      </c>
      <c r="CD156" s="21" t="str">
        <f>IF(AND('Atividades Micro'!$B164=CD$2,'Atividades Micro'!$G164="Micro",'Atividades Micro'!$K164&lt;&gt;""),'Atividades Micro'!$K164,"")</f>
        <v/>
      </c>
      <c r="CE156" s="21" t="str">
        <f>IF(AND('Atividades Micro'!$B164=CE$2,'Atividades Micro'!$G164="Micro",'Atividades Micro'!$K164&lt;&gt;""),'Atividades Micro'!$K164,"")</f>
        <v/>
      </c>
      <c r="CF156" s="21" t="str">
        <f>IF(AND('Atividades Micro'!$B164=CF$2,'Atividades Micro'!$G164="Micro",'Atividades Micro'!$K164&lt;&gt;""),'Atividades Micro'!$K164,"")</f>
        <v/>
      </c>
      <c r="CG156" s="21" t="str">
        <f>IF(AND('Atividades Micro'!$B164=CG$2,'Atividades Micro'!$G164="Micro",'Atividades Micro'!$K164&lt;&gt;""),'Atividades Micro'!$K164,"")</f>
        <v/>
      </c>
      <c r="CH156" s="21" t="str">
        <f>IF(AND('Atividades Micro'!$B164=CH$2,'Atividades Micro'!$G164="Micro",'Atividades Micro'!$K164&lt;&gt;""),'Atividades Micro'!$K164,"")</f>
        <v/>
      </c>
      <c r="CI156" s="21" t="str">
        <f>IF(AND('Atividades Micro'!$B164=CI$2,'Atividades Micro'!$G164="Micro",'Atividades Micro'!$K164&lt;&gt;""),'Atividades Micro'!$K164,"")</f>
        <v/>
      </c>
      <c r="CJ156" s="21" t="str">
        <f>IF(AND('Atividades Micro'!$B164=CJ$2,'Atividades Micro'!$G164="Micro",'Atividades Micro'!$K164&lt;&gt;""),'Atividades Micro'!$K164,"")</f>
        <v/>
      </c>
      <c r="CK156" s="21" t="str">
        <f>IF(AND('Atividades Micro'!$B164=CK$2,'Atividades Micro'!$G164="Micro",'Atividades Micro'!$K164&lt;&gt;""),'Atividades Micro'!$K164,"")</f>
        <v/>
      </c>
      <c r="CL156" s="21" t="str">
        <f>IF(AND('Atividades Micro'!$B164=CL$2,'Atividades Micro'!$G164="Micro",'Atividades Micro'!$K164&lt;&gt;""),'Atividades Micro'!$K164,"")</f>
        <v/>
      </c>
      <c r="CM156" s="21" t="str">
        <f>IF(AND('Atividades Micro'!$B164=CM$2,'Atividades Micro'!$G164="Micro",'Atividades Micro'!$K164&lt;&gt;""),'Atividades Micro'!$K164,"")</f>
        <v/>
      </c>
      <c r="CN156" s="21" t="str">
        <f>IF(AND('Atividades Micro'!$B164=CN$2,'Atividades Micro'!$G164="Micro",'Atividades Micro'!$K164&lt;&gt;""),'Atividades Micro'!$K164,"")</f>
        <v/>
      </c>
      <c r="CO156" s="21" t="str">
        <f>IF(AND('Atividades Micro'!$B164=CO$2,'Atividades Micro'!$G164="Micro",'Atividades Micro'!$K164&lt;&gt;""),'Atividades Micro'!$K164,"")</f>
        <v/>
      </c>
    </row>
    <row r="157" spans="1:93">
      <c r="A157" s="21" t="str">
        <f>IF(AND('Atividades Micro'!$A165=A$2,'Atividades Micro'!$K165&lt;&gt;""),'Atividades Micro'!$K165,"")</f>
        <v/>
      </c>
      <c r="B157" s="21" t="str">
        <f>IF(AND('Atividades Micro'!$A165=B$2,'Atividades Micro'!$L165&lt;&gt;""),'Atividades Micro'!$L165,"")</f>
        <v/>
      </c>
      <c r="C157" s="21" t="str">
        <f>IF(AND('Atividades Micro'!$A165=C$2,'Atividades Micro'!$K165&lt;&gt;""),'Atividades Micro'!$K165,"")</f>
        <v/>
      </c>
      <c r="D157" s="21" t="str">
        <f>IF(AND('Atividades Micro'!$A165=D$2,'Atividades Micro'!$L165&lt;&gt;""),'Atividades Micro'!$L165,"")</f>
        <v/>
      </c>
      <c r="E157" s="21" t="str">
        <f>IF(AND('Atividades Micro'!$A165=E$2,'Atividades Micro'!$K165&lt;&gt;""),'Atividades Micro'!$K165,"")</f>
        <v/>
      </c>
      <c r="F157" s="21" t="str">
        <f>IF(AND('Atividades Micro'!$A165=F$2,'Atividades Micro'!$L165&lt;&gt;""),'Atividades Micro'!$L165,"")</f>
        <v/>
      </c>
      <c r="G157" s="21" t="str">
        <f>IF(AND('Atividades Micro'!$A165=G$2,'Atividades Micro'!$K165&lt;&gt;""),'Atividades Micro'!$K165,"")</f>
        <v/>
      </c>
      <c r="H157" s="21" t="str">
        <f>IF(AND('Atividades Micro'!$A165=H$2,'Atividades Micro'!$L165&lt;&gt;""),'Atividades Micro'!$L165,"")</f>
        <v/>
      </c>
      <c r="I157" s="21" t="str">
        <f>IF(AND('Atividades Micro'!$A165=I$2,'Atividades Micro'!$K165&lt;&gt;""),'Atividades Micro'!$K165,"")</f>
        <v/>
      </c>
      <c r="J157" s="21" t="str">
        <f>IF(AND('Atividades Micro'!$A165=J$2,'Atividades Micro'!$L165&lt;&gt;""),'Atividades Micro'!$L165,"")</f>
        <v/>
      </c>
      <c r="K157" s="21" t="str">
        <f>IF(AND('Atividades Micro'!$B165=K$2,'Atividades Micro'!$K165&lt;&gt;""),'Atividades Micro'!$K165,"")</f>
        <v/>
      </c>
      <c r="L157" s="21" t="str">
        <f>IF(AND('Atividades Micro'!$B165=L$2,'Atividades Micro'!$L165&lt;&gt;""),'Atividades Micro'!$L165,"")</f>
        <v/>
      </c>
      <c r="M157" s="21" t="str">
        <f>IF(AND('Atividades Micro'!$B165=M$2,'Atividades Micro'!$K165&lt;&gt;""),'Atividades Micro'!$K165,"")</f>
        <v/>
      </c>
      <c r="N157" s="21" t="str">
        <f>IF(AND('Atividades Micro'!$B165=N$2,'Atividades Micro'!$L165&lt;&gt;""),'Atividades Micro'!$L165,"")</f>
        <v/>
      </c>
      <c r="O157" s="21" t="str">
        <f>IF(AND('Atividades Micro'!$A165=O$2,'Atividades Micro'!$K165&lt;&gt;""),'Atividades Micro'!$K165,"")</f>
        <v/>
      </c>
      <c r="P157" s="21" t="str">
        <f>IF(AND('Atividades Micro'!$A165=P$2,'Atividades Micro'!$L165&lt;&gt;""),'Atividades Micro'!$L165,"")</f>
        <v/>
      </c>
      <c r="Q157" s="21" t="str">
        <f>IF(AND('Atividades Micro'!$B165=Q$2,'Atividades Micro'!$K165&lt;&gt;""),'Atividades Micro'!$K165,"")</f>
        <v/>
      </c>
      <c r="R157" s="21" t="str">
        <f>IF(AND('Atividades Micro'!$B165=R$2,'Atividades Micro'!$L165&lt;&gt;""),'Atividades Micro'!$L165,"")</f>
        <v/>
      </c>
      <c r="S157" s="21">
        <f>IF(AND('Atividades Micro'!$A165=S$2,'Atividades Micro'!$K165&lt;&gt;""),'Atividades Micro'!$K165,"")</f>
        <v>46290</v>
      </c>
      <c r="T157" s="21">
        <f>IF(AND('Atividades Micro'!$A165=T$2,'Atividades Micro'!$L165&lt;&gt;""),'Atividades Micro'!$L165,"")</f>
        <v>46240</v>
      </c>
      <c r="U157" s="21">
        <f>IF(AND('Atividades Micro'!$B165=U$2,'Atividades Micro'!$K165&lt;&gt;""),'Atividades Micro'!$K165,"")</f>
        <v>46290</v>
      </c>
      <c r="V157" s="21">
        <f>IF(AND('Atividades Micro'!$B165=V$2,'Atividades Micro'!$L165&lt;&gt;""),'Atividades Micro'!$L165,"")</f>
        <v>46240</v>
      </c>
      <c r="W157" s="21" t="str">
        <f>IF(AND('Atividades Micro'!$B165=W$2,'Atividades Micro'!$K165&lt;&gt;""),'Atividades Micro'!$K165,"")</f>
        <v/>
      </c>
      <c r="X157" s="21" t="str">
        <f>IF(AND('Atividades Micro'!$B165=X$2,'Atividades Micro'!$L165&lt;&gt;""),'Atividades Micro'!$L165,"")</f>
        <v/>
      </c>
      <c r="Y157" s="21" t="str">
        <f>IF(AND('Atividades Micro'!$A165=Y$2,'Atividades Micro'!$K165&lt;&gt;""),'Atividades Micro'!$K165,"")</f>
        <v/>
      </c>
      <c r="Z157" s="21" t="str">
        <f>IF(AND('Atividades Micro'!$A165=Z$2,'Atividades Micro'!$L165&lt;&gt;""),'Atividades Micro'!$L165,"")</f>
        <v/>
      </c>
      <c r="AA157" s="21" t="str">
        <f>IF(AND('Atividades Micro'!$B165=AA$2,'Atividades Micro'!$K165&lt;&gt;""),'Atividades Micro'!$K165,"")</f>
        <v/>
      </c>
      <c r="AB157" s="21" t="str">
        <f>IF(AND('Atividades Micro'!$B165=AB$2,'Atividades Micro'!$L165&lt;&gt;""),'Atividades Micro'!$L165,"")</f>
        <v/>
      </c>
      <c r="AC157" s="21" t="str">
        <f>IF(AND('Atividades Micro'!$B165=AC$2,'Atividades Micro'!$K165&lt;&gt;""),'Atividades Micro'!$K165,"")</f>
        <v/>
      </c>
      <c r="AD157" s="21" t="str">
        <f>IF(AND('Atividades Micro'!$B165=AD$2,'Atividades Micro'!$L165&lt;&gt;""),'Atividades Micro'!$L165,"")</f>
        <v/>
      </c>
      <c r="AE157" s="21" t="str">
        <f>IF(AND('Atividades Micro'!$A165=AE$2,'Atividades Micro'!$K165&lt;&gt;""),'Atividades Micro'!$K165,"")</f>
        <v/>
      </c>
      <c r="AF157" s="21" t="str">
        <f>IF(AND('Atividades Micro'!$A165=AF$2,'Atividades Micro'!$L165&lt;&gt;""),'Atividades Micro'!$L165,"")</f>
        <v/>
      </c>
      <c r="AG157" s="21" t="str">
        <f>IF(AND('Atividades Micro'!$B165=AG$2,'Atividades Micro'!$K165&lt;&gt;""),'Atividades Micro'!$K165,"")</f>
        <v/>
      </c>
      <c r="AH157" s="21" t="str">
        <f>IF(AND('Atividades Micro'!$B165=AH$2,'Atividades Micro'!$L165&lt;&gt;""),'Atividades Micro'!$L165,"")</f>
        <v/>
      </c>
      <c r="AI157" s="21" t="str">
        <f>IF(AND('Atividades Micro'!$B165=AI$2,'Atividades Micro'!$K165&lt;&gt;""),'Atividades Micro'!$K165,"")</f>
        <v/>
      </c>
      <c r="AJ157" s="21" t="str">
        <f>IF(AND('Atividades Micro'!$B165=AJ$2,'Atividades Micro'!$L165&lt;&gt;""),'Atividades Micro'!$L165,"")</f>
        <v/>
      </c>
      <c r="AK157" s="21" t="str">
        <f>IF(AND('Atividades Micro'!$A165=AK$2,'Atividades Micro'!$K165&lt;&gt;""),'Atividades Micro'!$K165,"")</f>
        <v/>
      </c>
      <c r="AL157" s="21" t="str">
        <f>IF(AND('Atividades Micro'!$A165=AL$2,'Atividades Micro'!$L165&lt;&gt;""),'Atividades Micro'!$L165,"")</f>
        <v/>
      </c>
      <c r="AM157" s="21" t="str">
        <f>IF(AND('Atividades Micro'!$B165=AM$2,'Atividades Micro'!$K165&lt;&gt;""),'Atividades Micro'!$K165,"")</f>
        <v/>
      </c>
      <c r="AN157" s="21" t="str">
        <f>IF(AND('Atividades Micro'!$B165=AN$2,'Atividades Micro'!$L165&lt;&gt;""),'Atividades Micro'!$L165,"")</f>
        <v/>
      </c>
      <c r="AO157" s="21" t="str">
        <f>IF(AND('Atividades Micro'!$B165=AO$2,'Atividades Micro'!$K165&lt;&gt;""),'Atividades Micro'!$K165,"")</f>
        <v/>
      </c>
      <c r="AP157" s="21" t="str">
        <f>IF(AND('Atividades Micro'!$B165=AP$2,'Atividades Micro'!$L165&lt;&gt;""),'Atividades Micro'!$L165,"")</f>
        <v/>
      </c>
      <c r="AQ157" s="21" t="str">
        <f>IF(AND('Atividades Micro'!$A165=AQ$2,'Atividades Micro'!$K165&lt;&gt;""),'Atividades Micro'!$K165,"")</f>
        <v/>
      </c>
      <c r="AR157" s="21" t="str">
        <f>IF(AND('Atividades Micro'!$A165=AR$2,'Atividades Micro'!$L165&lt;&gt;""),'Atividades Micro'!$L165,"")</f>
        <v/>
      </c>
      <c r="AS157" s="21" t="str">
        <f>IF(AND('Atividades Micro'!$B165=AS$2,'Atividades Micro'!$K165&lt;&gt;""),'Atividades Micro'!$K165,"")</f>
        <v/>
      </c>
      <c r="AT157" s="21" t="str">
        <f>IF(AND('Atividades Micro'!$B165=AT$2,'Atividades Micro'!$L165&lt;&gt;""),'Atividades Micro'!$L165,"")</f>
        <v/>
      </c>
      <c r="AU157" s="21" t="str">
        <f>IF(AND('Atividades Micro'!$A165=AU$2,'Atividades Micro'!$K165&lt;&gt;""),'Atividades Micro'!$K165,"")</f>
        <v/>
      </c>
      <c r="AV157" s="21" t="str">
        <f>IF(AND('Atividades Micro'!$A165=AV$2,'Atividades Micro'!$L165&lt;&gt;""),'Atividades Micro'!$L165,"")</f>
        <v/>
      </c>
      <c r="AW157" s="21" t="str">
        <f>IF(AND('Atividades Micro'!$B165=AW$2,'Atividades Micro'!$K165&lt;&gt;""),'Atividades Micro'!$K165,"")</f>
        <v/>
      </c>
      <c r="AX157" s="21" t="str">
        <f>IF(AND('Atividades Micro'!$B165=AX$2,'Atividades Micro'!$L165&lt;&gt;""),'Atividades Micro'!$L165,"")</f>
        <v/>
      </c>
      <c r="AY157" s="21" t="str">
        <f>IF(AND('Atividades Micro'!$A165=AY$2,'Atividades Micro'!$K165&lt;&gt;""),'Atividades Micro'!$K165,"")</f>
        <v/>
      </c>
      <c r="AZ157" s="21" t="str">
        <f>IF(AND('Atividades Micro'!$A165=AZ$2,'Atividades Micro'!$L165&lt;&gt;""),'Atividades Micro'!$L165,"")</f>
        <v/>
      </c>
      <c r="BA157" s="21" t="str">
        <f>IF(AND('Atividades Micro'!$B165=BA$2,'Atividades Micro'!$K165&lt;&gt;""),'Atividades Micro'!$K165,"")</f>
        <v/>
      </c>
      <c r="BB157" s="21" t="str">
        <f>IF(AND('Atividades Micro'!$B165=BB$2,'Atividades Micro'!$L165&lt;&gt;""),'Atividades Micro'!$L165,"")</f>
        <v/>
      </c>
      <c r="BC157" s="21" t="str">
        <f>IF(AND('Atividades Micro'!$B165=BC$2,'Atividades Micro'!$G165="Macro",'Atividades Micro'!$K165&lt;&gt;""),'Atividades Micro'!$K165,"")</f>
        <v/>
      </c>
      <c r="BD157" s="21" t="str">
        <f>IF(AND('Atividades Micro'!$B165=BD$2,'Atividades Micro'!$G165="Macro",'Atividades Micro'!$K165&lt;&gt;""),'Atividades Micro'!$K165,"")</f>
        <v/>
      </c>
      <c r="BE157" s="21" t="str">
        <f>IF(AND('Atividades Micro'!$B165=BE$2,'Atividades Micro'!$G165="Macro",'Atividades Micro'!$K165&lt;&gt;""),'Atividades Micro'!$K165,"")</f>
        <v/>
      </c>
      <c r="BF157" s="21" t="str">
        <f>IF(AND('Atividades Micro'!$B165=BF$2,'Atividades Micro'!$G165="Macro",'Atividades Micro'!$K165&lt;&gt;""),'Atividades Micro'!$K165,"")</f>
        <v/>
      </c>
      <c r="BG157" s="21" t="str">
        <f>IF(AND('Atividades Micro'!$B165=BG$2,'Atividades Micro'!$G165="Macro",'Atividades Micro'!$K165&lt;&gt;""),'Atividades Micro'!$K165,"")</f>
        <v/>
      </c>
      <c r="BH157" s="21" t="str">
        <f>IF(AND('Atividades Micro'!$B165=BH$2,'Atividades Micro'!$G165="Macro",'Atividades Micro'!$K165&lt;&gt;""),'Atividades Micro'!$K165,"")</f>
        <v/>
      </c>
      <c r="BI157" s="21" t="str">
        <f>IF(AND('Atividades Micro'!$B165=BI$2,'Atividades Micro'!$G165="Macro",'Atividades Micro'!$K165&lt;&gt;""),'Atividades Micro'!$K165,"")</f>
        <v/>
      </c>
      <c r="BJ157" s="21" t="str">
        <f>IF(AND('Atividades Micro'!$B165=BJ$2,'Atividades Micro'!$G165="Macro",'Atividades Micro'!$K165&lt;&gt;""),'Atividades Micro'!$K165,"")</f>
        <v/>
      </c>
      <c r="BK157" s="21" t="str">
        <f>IF(AND('Atividades Micro'!$B165=BK$2,'Atividades Micro'!$G165="Macro",'Atividades Micro'!$K165&lt;&gt;""),'Atividades Micro'!$K165,"")</f>
        <v/>
      </c>
      <c r="BL157" s="21" t="str">
        <f>IF(AND('Atividades Micro'!$B165=BL$2,'Atividades Micro'!$G165="Macro",'Atividades Micro'!$K165&lt;&gt;""),'Atividades Micro'!$K165,"")</f>
        <v/>
      </c>
      <c r="BM157" s="21" t="str">
        <f>IF(AND('Atividades Micro'!$B165=BM$2,'Atividades Micro'!$G165="Macro",'Atividades Micro'!$K165&lt;&gt;""),'Atividades Micro'!$K165,"")</f>
        <v/>
      </c>
      <c r="BN157" s="21" t="str">
        <f>IF(AND('Atividades Micro'!$B165=BN$2,'Atividades Micro'!$G165="Macro",'Atividades Micro'!$K165&lt;&gt;""),'Atividades Micro'!$K165,"")</f>
        <v/>
      </c>
      <c r="BO157" s="21" t="str">
        <f>IF(AND('Atividades Micro'!$B165=BO$2,'Atividades Micro'!$G165="Macro",'Atividades Micro'!$K165&lt;&gt;""),'Atividades Micro'!$K165,"")</f>
        <v/>
      </c>
      <c r="BP157" s="21" t="str">
        <f>IF(AND('Atividades Micro'!$B165=BP$2,'Atividades Micro'!$G165="Macro",'Atividades Micro'!$K165&lt;&gt;""),'Atividades Micro'!$K165,"")</f>
        <v/>
      </c>
      <c r="BQ157" s="21" t="str">
        <f>IF(AND('Atividades Micro'!$B165=BQ$2,'Atividades Micro'!$G165="Macro",'Atividades Micro'!$K165&lt;&gt;""),'Atividades Micro'!$K165,"")</f>
        <v/>
      </c>
      <c r="BR157" s="21" t="str">
        <f>IF(AND('Atividades Micro'!$B165=BR$2,'Atividades Micro'!$G165="Macro",'Atividades Micro'!$K165&lt;&gt;""),'Atividades Micro'!$K165,"")</f>
        <v/>
      </c>
      <c r="BS157" s="21" t="str">
        <f>IF(AND('Atividades Micro'!$B165=BS$2,'Atividades Micro'!$G165="Macro",'Atividades Micro'!$K165&lt;&gt;""),'Atividades Micro'!$K165,"")</f>
        <v/>
      </c>
      <c r="BT157" s="21" t="str">
        <f>IF(AND('Atividades Micro'!$B165=BT$2,'Atividades Micro'!$G165="Macro",'Atividades Micro'!$K165&lt;&gt;""),'Atividades Micro'!$K165,"")</f>
        <v/>
      </c>
      <c r="BU157" s="21" t="str">
        <f>IF(AND('Atividades Micro'!$B165=BU$2,'Atividades Micro'!$G165="Macro",'Atividades Micro'!$K165&lt;&gt;""),'Atividades Micro'!$K165,"")</f>
        <v/>
      </c>
      <c r="BV157" s="21" t="str">
        <f>IF(AND('Atividades Micro'!$B165=BV$2,'Atividades Micro'!$G165="Macro",'Atividades Micro'!$K165&lt;&gt;""),'Atividades Micro'!$K165,"")</f>
        <v/>
      </c>
      <c r="BW157" s="21" t="str">
        <f>IF(AND('Atividades Micro'!$B165=BW$2,'Atividades Micro'!$G165="Macro",'Atividades Micro'!$K165&lt;&gt;""),'Atividades Micro'!$K165,"")</f>
        <v/>
      </c>
      <c r="BX157" s="21" t="str">
        <f>IF(AND('Atividades Micro'!$B165=BX$2,'Atividades Micro'!$G165="Macro",'Atividades Micro'!$K165&lt;&gt;""),'Atividades Micro'!$K165,"")</f>
        <v/>
      </c>
      <c r="BY157" s="21" t="str">
        <f>IF(AND('Atividades Micro'!$B165=BY$2,'Atividades Micro'!$G165="Macro",'Atividades Micro'!$K165&lt;&gt;""),'Atividades Micro'!$K165,"")</f>
        <v/>
      </c>
      <c r="BZ157" s="21" t="str">
        <f>IF(AND('Atividades Micro'!$B165=BZ$2,'Atividades Micro'!$G165="Macro",'Atividades Micro'!$K165&lt;&gt;""),'Atividades Micro'!$K165,"")</f>
        <v/>
      </c>
      <c r="CA157" s="21" t="str">
        <f>IF(AND('Atividades Micro'!$B165=CA$2,'Atividades Micro'!$G165="Macro",'Atividades Micro'!$K165&lt;&gt;""),'Atividades Micro'!$K165,"")</f>
        <v/>
      </c>
      <c r="CB157" s="21" t="str">
        <f>IF(AND('Atividades Micro'!$B165=CB$2,'Atividades Micro'!$G165="Macro",'Atividades Micro'!$K165&lt;&gt;""),'Atividades Micro'!$K165,"")</f>
        <v/>
      </c>
      <c r="CC157" s="21" t="str">
        <f>IF(AND('Atividades Micro'!$B165=CC$2,'Atividades Micro'!$G165="Macro",'Atividades Micro'!$K165&lt;&gt;""),'Atividades Micro'!$K165,"")</f>
        <v/>
      </c>
      <c r="CD157" s="21" t="str">
        <f>IF(AND('Atividades Micro'!$B165=CD$2,'Atividades Micro'!$G165="Micro",'Atividades Micro'!$K165&lt;&gt;""),'Atividades Micro'!$K165,"")</f>
        <v/>
      </c>
      <c r="CE157" s="21" t="str">
        <f>IF(AND('Atividades Micro'!$B165=CE$2,'Atividades Micro'!$G165="Micro",'Atividades Micro'!$K165&lt;&gt;""),'Atividades Micro'!$K165,"")</f>
        <v/>
      </c>
      <c r="CF157" s="21" t="str">
        <f>IF(AND('Atividades Micro'!$B165=CF$2,'Atividades Micro'!$G165="Micro",'Atividades Micro'!$K165&lt;&gt;""),'Atividades Micro'!$K165,"")</f>
        <v/>
      </c>
      <c r="CG157" s="21">
        <f>IF(AND('Atividades Micro'!$B165=CG$2,'Atividades Micro'!$G165="Micro",'Atividades Micro'!$K165&lt;&gt;""),'Atividades Micro'!$K165,"")</f>
        <v>46290</v>
      </c>
      <c r="CH157" s="21" t="str">
        <f>IF(AND('Atividades Micro'!$B165=CH$2,'Atividades Micro'!$G165="Micro",'Atividades Micro'!$K165&lt;&gt;""),'Atividades Micro'!$K165,"")</f>
        <v/>
      </c>
      <c r="CI157" s="21" t="str">
        <f>IF(AND('Atividades Micro'!$B165=CI$2,'Atividades Micro'!$G165="Micro",'Atividades Micro'!$K165&lt;&gt;""),'Atividades Micro'!$K165,"")</f>
        <v/>
      </c>
      <c r="CJ157" s="21" t="str">
        <f>IF(AND('Atividades Micro'!$B165=CJ$2,'Atividades Micro'!$G165="Micro",'Atividades Micro'!$K165&lt;&gt;""),'Atividades Micro'!$K165,"")</f>
        <v/>
      </c>
      <c r="CK157" s="21" t="str">
        <f>IF(AND('Atividades Micro'!$B165=CK$2,'Atividades Micro'!$G165="Micro",'Atividades Micro'!$K165&lt;&gt;""),'Atividades Micro'!$K165,"")</f>
        <v/>
      </c>
      <c r="CL157" s="21" t="str">
        <f>IF(AND('Atividades Micro'!$B165=CL$2,'Atividades Micro'!$G165="Micro",'Atividades Micro'!$K165&lt;&gt;""),'Atividades Micro'!$K165,"")</f>
        <v/>
      </c>
      <c r="CM157" s="21" t="str">
        <f>IF(AND('Atividades Micro'!$B165=CM$2,'Atividades Micro'!$G165="Micro",'Atividades Micro'!$K165&lt;&gt;""),'Atividades Micro'!$K165,"")</f>
        <v/>
      </c>
      <c r="CN157" s="21" t="str">
        <f>IF(AND('Atividades Micro'!$B165=CN$2,'Atividades Micro'!$G165="Micro",'Atividades Micro'!$K165&lt;&gt;""),'Atividades Micro'!$K165,"")</f>
        <v/>
      </c>
      <c r="CO157" s="21" t="str">
        <f>IF(AND('Atividades Micro'!$B165=CO$2,'Atividades Micro'!$G165="Micro",'Atividades Micro'!$K165&lt;&gt;""),'Atividades Micro'!$K165,"")</f>
        <v/>
      </c>
    </row>
    <row r="158" spans="1:93">
      <c r="A158" s="21" t="str">
        <f>IF(AND('Atividades Micro'!$A166=A$2,'Atividades Micro'!$K166&lt;&gt;""),'Atividades Micro'!$K166,"")</f>
        <v/>
      </c>
      <c r="B158" s="21" t="str">
        <f>IF(AND('Atividades Micro'!$A166=B$2,'Atividades Micro'!$L166&lt;&gt;""),'Atividades Micro'!$L166,"")</f>
        <v/>
      </c>
      <c r="C158" s="21" t="str">
        <f>IF(AND('Atividades Micro'!$A166=C$2,'Atividades Micro'!$K166&lt;&gt;""),'Atividades Micro'!$K166,"")</f>
        <v/>
      </c>
      <c r="D158" s="21" t="str">
        <f>IF(AND('Atividades Micro'!$A166=D$2,'Atividades Micro'!$L166&lt;&gt;""),'Atividades Micro'!$L166,"")</f>
        <v/>
      </c>
      <c r="E158" s="21" t="str">
        <f>IF(AND('Atividades Micro'!$A166=E$2,'Atividades Micro'!$K166&lt;&gt;""),'Atividades Micro'!$K166,"")</f>
        <v/>
      </c>
      <c r="F158" s="21" t="str">
        <f>IF(AND('Atividades Micro'!$A166=F$2,'Atividades Micro'!$L166&lt;&gt;""),'Atividades Micro'!$L166,"")</f>
        <v/>
      </c>
      <c r="G158" s="21" t="str">
        <f>IF(AND('Atividades Micro'!$A166=G$2,'Atividades Micro'!$K166&lt;&gt;""),'Atividades Micro'!$K166,"")</f>
        <v/>
      </c>
      <c r="H158" s="21" t="str">
        <f>IF(AND('Atividades Micro'!$A166=H$2,'Atividades Micro'!$L166&lt;&gt;""),'Atividades Micro'!$L166,"")</f>
        <v/>
      </c>
      <c r="I158" s="21" t="str">
        <f>IF(AND('Atividades Micro'!$A166=I$2,'Atividades Micro'!$K166&lt;&gt;""),'Atividades Micro'!$K166,"")</f>
        <v/>
      </c>
      <c r="J158" s="21" t="str">
        <f>IF(AND('Atividades Micro'!$A166=J$2,'Atividades Micro'!$L166&lt;&gt;""),'Atividades Micro'!$L166,"")</f>
        <v/>
      </c>
      <c r="K158" s="21" t="str">
        <f>IF(AND('Atividades Micro'!$B166=K$2,'Atividades Micro'!$K166&lt;&gt;""),'Atividades Micro'!$K166,"")</f>
        <v/>
      </c>
      <c r="L158" s="21" t="str">
        <f>IF(AND('Atividades Micro'!$B166=L$2,'Atividades Micro'!$L166&lt;&gt;""),'Atividades Micro'!$L166,"")</f>
        <v/>
      </c>
      <c r="M158" s="21" t="str">
        <f>IF(AND('Atividades Micro'!$B166=M$2,'Atividades Micro'!$K166&lt;&gt;""),'Atividades Micro'!$K166,"")</f>
        <v/>
      </c>
      <c r="N158" s="21" t="str">
        <f>IF(AND('Atividades Micro'!$B166=N$2,'Atividades Micro'!$L166&lt;&gt;""),'Atividades Micro'!$L166,"")</f>
        <v/>
      </c>
      <c r="O158" s="21" t="str">
        <f>IF(AND('Atividades Micro'!$A166=O$2,'Atividades Micro'!$K166&lt;&gt;""),'Atividades Micro'!$K166,"")</f>
        <v/>
      </c>
      <c r="P158" s="21" t="str">
        <f>IF(AND('Atividades Micro'!$A166=P$2,'Atividades Micro'!$L166&lt;&gt;""),'Atividades Micro'!$L166,"")</f>
        <v/>
      </c>
      <c r="Q158" s="21" t="str">
        <f>IF(AND('Atividades Micro'!$B166=Q$2,'Atividades Micro'!$K166&lt;&gt;""),'Atividades Micro'!$K166,"")</f>
        <v/>
      </c>
      <c r="R158" s="21" t="str">
        <f>IF(AND('Atividades Micro'!$B166=R$2,'Atividades Micro'!$L166&lt;&gt;""),'Atividades Micro'!$L166,"")</f>
        <v/>
      </c>
      <c r="S158" s="21">
        <f>IF(AND('Atividades Micro'!$A166=S$2,'Atividades Micro'!$K166&lt;&gt;""),'Atividades Micro'!$K166,"")</f>
        <v>46293</v>
      </c>
      <c r="T158" s="21">
        <f>IF(AND('Atividades Micro'!$A166=T$2,'Atividades Micro'!$L166&lt;&gt;""),'Atividades Micro'!$L166,"")</f>
        <v>46247</v>
      </c>
      <c r="U158" s="21">
        <f>IF(AND('Atividades Micro'!$B166=U$2,'Atividades Micro'!$K166&lt;&gt;""),'Atividades Micro'!$K166,"")</f>
        <v>46293</v>
      </c>
      <c r="V158" s="21">
        <f>IF(AND('Atividades Micro'!$B166=V$2,'Atividades Micro'!$L166&lt;&gt;""),'Atividades Micro'!$L166,"")</f>
        <v>46247</v>
      </c>
      <c r="W158" s="21" t="str">
        <f>IF(AND('Atividades Micro'!$B166=W$2,'Atividades Micro'!$K166&lt;&gt;""),'Atividades Micro'!$K166,"")</f>
        <v/>
      </c>
      <c r="X158" s="21" t="str">
        <f>IF(AND('Atividades Micro'!$B166=X$2,'Atividades Micro'!$L166&lt;&gt;""),'Atividades Micro'!$L166,"")</f>
        <v/>
      </c>
      <c r="Y158" s="21" t="str">
        <f>IF(AND('Atividades Micro'!$A166=Y$2,'Atividades Micro'!$K166&lt;&gt;""),'Atividades Micro'!$K166,"")</f>
        <v/>
      </c>
      <c r="Z158" s="21" t="str">
        <f>IF(AND('Atividades Micro'!$A166=Z$2,'Atividades Micro'!$L166&lt;&gt;""),'Atividades Micro'!$L166,"")</f>
        <v/>
      </c>
      <c r="AA158" s="21" t="str">
        <f>IF(AND('Atividades Micro'!$B166=AA$2,'Atividades Micro'!$K166&lt;&gt;""),'Atividades Micro'!$K166,"")</f>
        <v/>
      </c>
      <c r="AB158" s="21" t="str">
        <f>IF(AND('Atividades Micro'!$B166=AB$2,'Atividades Micro'!$L166&lt;&gt;""),'Atividades Micro'!$L166,"")</f>
        <v/>
      </c>
      <c r="AC158" s="21" t="str">
        <f>IF(AND('Atividades Micro'!$B166=AC$2,'Atividades Micro'!$K166&lt;&gt;""),'Atividades Micro'!$K166,"")</f>
        <v/>
      </c>
      <c r="AD158" s="21" t="str">
        <f>IF(AND('Atividades Micro'!$B166=AD$2,'Atividades Micro'!$L166&lt;&gt;""),'Atividades Micro'!$L166,"")</f>
        <v/>
      </c>
      <c r="AE158" s="21" t="str">
        <f>IF(AND('Atividades Micro'!$A166=AE$2,'Atividades Micro'!$K166&lt;&gt;""),'Atividades Micro'!$K166,"")</f>
        <v/>
      </c>
      <c r="AF158" s="21" t="str">
        <f>IF(AND('Atividades Micro'!$A166=AF$2,'Atividades Micro'!$L166&lt;&gt;""),'Atividades Micro'!$L166,"")</f>
        <v/>
      </c>
      <c r="AG158" s="21" t="str">
        <f>IF(AND('Atividades Micro'!$B166=AG$2,'Atividades Micro'!$K166&lt;&gt;""),'Atividades Micro'!$K166,"")</f>
        <v/>
      </c>
      <c r="AH158" s="21" t="str">
        <f>IF(AND('Atividades Micro'!$B166=AH$2,'Atividades Micro'!$L166&lt;&gt;""),'Atividades Micro'!$L166,"")</f>
        <v/>
      </c>
      <c r="AI158" s="21" t="str">
        <f>IF(AND('Atividades Micro'!$B166=AI$2,'Atividades Micro'!$K166&lt;&gt;""),'Atividades Micro'!$K166,"")</f>
        <v/>
      </c>
      <c r="AJ158" s="21" t="str">
        <f>IF(AND('Atividades Micro'!$B166=AJ$2,'Atividades Micro'!$L166&lt;&gt;""),'Atividades Micro'!$L166,"")</f>
        <v/>
      </c>
      <c r="AK158" s="21" t="str">
        <f>IF(AND('Atividades Micro'!$A166=AK$2,'Atividades Micro'!$K166&lt;&gt;""),'Atividades Micro'!$K166,"")</f>
        <v/>
      </c>
      <c r="AL158" s="21" t="str">
        <f>IF(AND('Atividades Micro'!$A166=AL$2,'Atividades Micro'!$L166&lt;&gt;""),'Atividades Micro'!$L166,"")</f>
        <v/>
      </c>
      <c r="AM158" s="21" t="str">
        <f>IF(AND('Atividades Micro'!$B166=AM$2,'Atividades Micro'!$K166&lt;&gt;""),'Atividades Micro'!$K166,"")</f>
        <v/>
      </c>
      <c r="AN158" s="21" t="str">
        <f>IF(AND('Atividades Micro'!$B166=AN$2,'Atividades Micro'!$L166&lt;&gt;""),'Atividades Micro'!$L166,"")</f>
        <v/>
      </c>
      <c r="AO158" s="21" t="str">
        <f>IF(AND('Atividades Micro'!$B166=AO$2,'Atividades Micro'!$K166&lt;&gt;""),'Atividades Micro'!$K166,"")</f>
        <v/>
      </c>
      <c r="AP158" s="21" t="str">
        <f>IF(AND('Atividades Micro'!$B166=AP$2,'Atividades Micro'!$L166&lt;&gt;""),'Atividades Micro'!$L166,"")</f>
        <v/>
      </c>
      <c r="AQ158" s="21" t="str">
        <f>IF(AND('Atividades Micro'!$A166=AQ$2,'Atividades Micro'!$K166&lt;&gt;""),'Atividades Micro'!$K166,"")</f>
        <v/>
      </c>
      <c r="AR158" s="21" t="str">
        <f>IF(AND('Atividades Micro'!$A166=AR$2,'Atividades Micro'!$L166&lt;&gt;""),'Atividades Micro'!$L166,"")</f>
        <v/>
      </c>
      <c r="AS158" s="21" t="str">
        <f>IF(AND('Atividades Micro'!$B166=AS$2,'Atividades Micro'!$K166&lt;&gt;""),'Atividades Micro'!$K166,"")</f>
        <v/>
      </c>
      <c r="AT158" s="21" t="str">
        <f>IF(AND('Atividades Micro'!$B166=AT$2,'Atividades Micro'!$L166&lt;&gt;""),'Atividades Micro'!$L166,"")</f>
        <v/>
      </c>
      <c r="AU158" s="21" t="str">
        <f>IF(AND('Atividades Micro'!$A166=AU$2,'Atividades Micro'!$K166&lt;&gt;""),'Atividades Micro'!$K166,"")</f>
        <v/>
      </c>
      <c r="AV158" s="21" t="str">
        <f>IF(AND('Atividades Micro'!$A166=AV$2,'Atividades Micro'!$L166&lt;&gt;""),'Atividades Micro'!$L166,"")</f>
        <v/>
      </c>
      <c r="AW158" s="21" t="str">
        <f>IF(AND('Atividades Micro'!$B166=AW$2,'Atividades Micro'!$K166&lt;&gt;""),'Atividades Micro'!$K166,"")</f>
        <v/>
      </c>
      <c r="AX158" s="21" t="str">
        <f>IF(AND('Atividades Micro'!$B166=AX$2,'Atividades Micro'!$L166&lt;&gt;""),'Atividades Micro'!$L166,"")</f>
        <v/>
      </c>
      <c r="AY158" s="21" t="str">
        <f>IF(AND('Atividades Micro'!$A166=AY$2,'Atividades Micro'!$K166&lt;&gt;""),'Atividades Micro'!$K166,"")</f>
        <v/>
      </c>
      <c r="AZ158" s="21" t="str">
        <f>IF(AND('Atividades Micro'!$A166=AZ$2,'Atividades Micro'!$L166&lt;&gt;""),'Atividades Micro'!$L166,"")</f>
        <v/>
      </c>
      <c r="BA158" s="21" t="str">
        <f>IF(AND('Atividades Micro'!$B166=BA$2,'Atividades Micro'!$K166&lt;&gt;""),'Atividades Micro'!$K166,"")</f>
        <v/>
      </c>
      <c r="BB158" s="21" t="str">
        <f>IF(AND('Atividades Micro'!$B166=BB$2,'Atividades Micro'!$L166&lt;&gt;""),'Atividades Micro'!$L166,"")</f>
        <v/>
      </c>
      <c r="BC158" s="21" t="str">
        <f>IF(AND('Atividades Micro'!$B166=BC$2,'Atividades Micro'!$G166="Macro",'Atividades Micro'!$K166&lt;&gt;""),'Atividades Micro'!$K166,"")</f>
        <v/>
      </c>
      <c r="BD158" s="21" t="str">
        <f>IF(AND('Atividades Micro'!$B166=BD$2,'Atividades Micro'!$G166="Macro",'Atividades Micro'!$K166&lt;&gt;""),'Atividades Micro'!$K166,"")</f>
        <v/>
      </c>
      <c r="BE158" s="21" t="str">
        <f>IF(AND('Atividades Micro'!$B166=BE$2,'Atividades Micro'!$G166="Macro",'Atividades Micro'!$K166&lt;&gt;""),'Atividades Micro'!$K166,"")</f>
        <v/>
      </c>
      <c r="BF158" s="21" t="str">
        <f>IF(AND('Atividades Micro'!$B166=BF$2,'Atividades Micro'!$G166="Macro",'Atividades Micro'!$K166&lt;&gt;""),'Atividades Micro'!$K166,"")</f>
        <v/>
      </c>
      <c r="BG158" s="21" t="str">
        <f>IF(AND('Atividades Micro'!$B166=BG$2,'Atividades Micro'!$G166="Macro",'Atividades Micro'!$K166&lt;&gt;""),'Atividades Micro'!$K166,"")</f>
        <v/>
      </c>
      <c r="BH158" s="21" t="str">
        <f>IF(AND('Atividades Micro'!$B166=BH$2,'Atividades Micro'!$G166="Macro",'Atividades Micro'!$K166&lt;&gt;""),'Atividades Micro'!$K166,"")</f>
        <v/>
      </c>
      <c r="BI158" s="21" t="str">
        <f>IF(AND('Atividades Micro'!$B166=BI$2,'Atividades Micro'!$G166="Macro",'Atividades Micro'!$K166&lt;&gt;""),'Atividades Micro'!$K166,"")</f>
        <v/>
      </c>
      <c r="BJ158" s="21" t="str">
        <f>IF(AND('Atividades Micro'!$B166=BJ$2,'Atividades Micro'!$G166="Macro",'Atividades Micro'!$K166&lt;&gt;""),'Atividades Micro'!$K166,"")</f>
        <v/>
      </c>
      <c r="BK158" s="21" t="str">
        <f>IF(AND('Atividades Micro'!$B166=BK$2,'Atividades Micro'!$G166="Macro",'Atividades Micro'!$K166&lt;&gt;""),'Atividades Micro'!$K166,"")</f>
        <v/>
      </c>
      <c r="BL158" s="21" t="str">
        <f>IF(AND('Atividades Micro'!$B166=BL$2,'Atividades Micro'!$G166="Macro",'Atividades Micro'!$K166&lt;&gt;""),'Atividades Micro'!$K166,"")</f>
        <v/>
      </c>
      <c r="BM158" s="21" t="str">
        <f>IF(AND('Atividades Micro'!$B166=BM$2,'Atividades Micro'!$G166="Macro",'Atividades Micro'!$K166&lt;&gt;""),'Atividades Micro'!$K166,"")</f>
        <v/>
      </c>
      <c r="BN158" s="21" t="str">
        <f>IF(AND('Atividades Micro'!$B166=BN$2,'Atividades Micro'!$G166="Macro",'Atividades Micro'!$K166&lt;&gt;""),'Atividades Micro'!$K166,"")</f>
        <v/>
      </c>
      <c r="BO158" s="21" t="str">
        <f>IF(AND('Atividades Micro'!$B166=BO$2,'Atividades Micro'!$G166="Macro",'Atividades Micro'!$K166&lt;&gt;""),'Atividades Micro'!$K166,"")</f>
        <v/>
      </c>
      <c r="BP158" s="21" t="str">
        <f>IF(AND('Atividades Micro'!$B166=BP$2,'Atividades Micro'!$G166="Macro",'Atividades Micro'!$K166&lt;&gt;""),'Atividades Micro'!$K166,"")</f>
        <v/>
      </c>
      <c r="BQ158" s="21" t="str">
        <f>IF(AND('Atividades Micro'!$B166=BQ$2,'Atividades Micro'!$G166="Macro",'Atividades Micro'!$K166&lt;&gt;""),'Atividades Micro'!$K166,"")</f>
        <v/>
      </c>
      <c r="BR158" s="21" t="str">
        <f>IF(AND('Atividades Micro'!$B166=BR$2,'Atividades Micro'!$G166="Macro",'Atividades Micro'!$K166&lt;&gt;""),'Atividades Micro'!$K166,"")</f>
        <v/>
      </c>
      <c r="BS158" s="21" t="str">
        <f>IF(AND('Atividades Micro'!$B166=BS$2,'Atividades Micro'!$G166="Macro",'Atividades Micro'!$K166&lt;&gt;""),'Atividades Micro'!$K166,"")</f>
        <v/>
      </c>
      <c r="BT158" s="21" t="str">
        <f>IF(AND('Atividades Micro'!$B166=BT$2,'Atividades Micro'!$G166="Macro",'Atividades Micro'!$K166&lt;&gt;""),'Atividades Micro'!$K166,"")</f>
        <v/>
      </c>
      <c r="BU158" s="21" t="str">
        <f>IF(AND('Atividades Micro'!$B166=BU$2,'Atividades Micro'!$G166="Macro",'Atividades Micro'!$K166&lt;&gt;""),'Atividades Micro'!$K166,"")</f>
        <v/>
      </c>
      <c r="BV158" s="21" t="str">
        <f>IF(AND('Atividades Micro'!$B166=BV$2,'Atividades Micro'!$G166="Macro",'Atividades Micro'!$K166&lt;&gt;""),'Atividades Micro'!$K166,"")</f>
        <v/>
      </c>
      <c r="BW158" s="21" t="str">
        <f>IF(AND('Atividades Micro'!$B166=BW$2,'Atividades Micro'!$G166="Macro",'Atividades Micro'!$K166&lt;&gt;""),'Atividades Micro'!$K166,"")</f>
        <v/>
      </c>
      <c r="BX158" s="21" t="str">
        <f>IF(AND('Atividades Micro'!$B166=BX$2,'Atividades Micro'!$G166="Macro",'Atividades Micro'!$K166&lt;&gt;""),'Atividades Micro'!$K166,"")</f>
        <v/>
      </c>
      <c r="BY158" s="21" t="str">
        <f>IF(AND('Atividades Micro'!$B166=BY$2,'Atividades Micro'!$G166="Macro",'Atividades Micro'!$K166&lt;&gt;""),'Atividades Micro'!$K166,"")</f>
        <v/>
      </c>
      <c r="BZ158" s="21" t="str">
        <f>IF(AND('Atividades Micro'!$B166=BZ$2,'Atividades Micro'!$G166="Macro",'Atividades Micro'!$K166&lt;&gt;""),'Atividades Micro'!$K166,"")</f>
        <v/>
      </c>
      <c r="CA158" s="21" t="str">
        <f>IF(AND('Atividades Micro'!$B166=CA$2,'Atividades Micro'!$G166="Macro",'Atividades Micro'!$K166&lt;&gt;""),'Atividades Micro'!$K166,"")</f>
        <v/>
      </c>
      <c r="CB158" s="21" t="str">
        <f>IF(AND('Atividades Micro'!$B166=CB$2,'Atividades Micro'!$G166="Macro",'Atividades Micro'!$K166&lt;&gt;""),'Atividades Micro'!$K166,"")</f>
        <v/>
      </c>
      <c r="CC158" s="21" t="str">
        <f>IF(AND('Atividades Micro'!$B166=CC$2,'Atividades Micro'!$G166="Macro",'Atividades Micro'!$K166&lt;&gt;""),'Atividades Micro'!$K166,"")</f>
        <v/>
      </c>
      <c r="CD158" s="21" t="str">
        <f>IF(AND('Atividades Micro'!$B166=CD$2,'Atividades Micro'!$G166="Micro",'Atividades Micro'!$K166&lt;&gt;""),'Atividades Micro'!$K166,"")</f>
        <v/>
      </c>
      <c r="CE158" s="21" t="str">
        <f>IF(AND('Atividades Micro'!$B166=CE$2,'Atividades Micro'!$G166="Micro",'Atividades Micro'!$K166&lt;&gt;""),'Atividades Micro'!$K166,"")</f>
        <v/>
      </c>
      <c r="CF158" s="21" t="str">
        <f>IF(AND('Atividades Micro'!$B166=CF$2,'Atividades Micro'!$G166="Micro",'Atividades Micro'!$K166&lt;&gt;""),'Atividades Micro'!$K166,"")</f>
        <v/>
      </c>
      <c r="CG158" s="21">
        <f>IF(AND('Atividades Micro'!$B166=CG$2,'Atividades Micro'!$G166="Micro",'Atividades Micro'!$K166&lt;&gt;""),'Atividades Micro'!$K166,"")</f>
        <v>46293</v>
      </c>
      <c r="CH158" s="21" t="str">
        <f>IF(AND('Atividades Micro'!$B166=CH$2,'Atividades Micro'!$G166="Micro",'Atividades Micro'!$K166&lt;&gt;""),'Atividades Micro'!$K166,"")</f>
        <v/>
      </c>
      <c r="CI158" s="21" t="str">
        <f>IF(AND('Atividades Micro'!$B166=CI$2,'Atividades Micro'!$G166="Micro",'Atividades Micro'!$K166&lt;&gt;""),'Atividades Micro'!$K166,"")</f>
        <v/>
      </c>
      <c r="CJ158" s="21" t="str">
        <f>IF(AND('Atividades Micro'!$B166=CJ$2,'Atividades Micro'!$G166="Micro",'Atividades Micro'!$K166&lt;&gt;""),'Atividades Micro'!$K166,"")</f>
        <v/>
      </c>
      <c r="CK158" s="21" t="str">
        <f>IF(AND('Atividades Micro'!$B166=CK$2,'Atividades Micro'!$G166="Micro",'Atividades Micro'!$K166&lt;&gt;""),'Atividades Micro'!$K166,"")</f>
        <v/>
      </c>
      <c r="CL158" s="21" t="str">
        <f>IF(AND('Atividades Micro'!$B166=CL$2,'Atividades Micro'!$G166="Micro",'Atividades Micro'!$K166&lt;&gt;""),'Atividades Micro'!$K166,"")</f>
        <v/>
      </c>
      <c r="CM158" s="21" t="str">
        <f>IF(AND('Atividades Micro'!$B166=CM$2,'Atividades Micro'!$G166="Micro",'Atividades Micro'!$K166&lt;&gt;""),'Atividades Micro'!$K166,"")</f>
        <v/>
      </c>
      <c r="CN158" s="21" t="str">
        <f>IF(AND('Atividades Micro'!$B166=CN$2,'Atividades Micro'!$G166="Micro",'Atividades Micro'!$K166&lt;&gt;""),'Atividades Micro'!$K166,"")</f>
        <v/>
      </c>
      <c r="CO158" s="21" t="str">
        <f>IF(AND('Atividades Micro'!$B166=CO$2,'Atividades Micro'!$G166="Micro",'Atividades Micro'!$K166&lt;&gt;""),'Atividades Micro'!$K166,"")</f>
        <v/>
      </c>
    </row>
    <row r="159" spans="1:93">
      <c r="A159" s="21" t="str">
        <f>IF(AND('Atividades Micro'!$A167=A$2,'Atividades Micro'!$K167&lt;&gt;""),'Atividades Micro'!$K167,"")</f>
        <v/>
      </c>
      <c r="B159" s="21" t="str">
        <f>IF(AND('Atividades Micro'!$A167=B$2,'Atividades Micro'!$L167&lt;&gt;""),'Atividades Micro'!$L167,"")</f>
        <v/>
      </c>
      <c r="C159" s="21" t="str">
        <f>IF(AND('Atividades Micro'!$A167=C$2,'Atividades Micro'!$K167&lt;&gt;""),'Atividades Micro'!$K167,"")</f>
        <v/>
      </c>
      <c r="D159" s="21" t="str">
        <f>IF(AND('Atividades Micro'!$A167=D$2,'Atividades Micro'!$L167&lt;&gt;""),'Atividades Micro'!$L167,"")</f>
        <v/>
      </c>
      <c r="E159" s="21" t="str">
        <f>IF(AND('Atividades Micro'!$A167=E$2,'Atividades Micro'!$K167&lt;&gt;""),'Atividades Micro'!$K167,"")</f>
        <v/>
      </c>
      <c r="F159" s="21" t="str">
        <f>IF(AND('Atividades Micro'!$A167=F$2,'Atividades Micro'!$L167&lt;&gt;""),'Atividades Micro'!$L167,"")</f>
        <v/>
      </c>
      <c r="G159" s="21" t="str">
        <f>IF(AND('Atividades Micro'!$A167=G$2,'Atividades Micro'!$K167&lt;&gt;""),'Atividades Micro'!$K167,"")</f>
        <v/>
      </c>
      <c r="H159" s="21" t="str">
        <f>IF(AND('Atividades Micro'!$A167=H$2,'Atividades Micro'!$L167&lt;&gt;""),'Atividades Micro'!$L167,"")</f>
        <v/>
      </c>
      <c r="I159" s="21" t="str">
        <f>IF(AND('Atividades Micro'!$A167=I$2,'Atividades Micro'!$K167&lt;&gt;""),'Atividades Micro'!$K167,"")</f>
        <v/>
      </c>
      <c r="J159" s="21" t="str">
        <f>IF(AND('Atividades Micro'!$A167=J$2,'Atividades Micro'!$L167&lt;&gt;""),'Atividades Micro'!$L167,"")</f>
        <v/>
      </c>
      <c r="K159" s="21" t="str">
        <f>IF(AND('Atividades Micro'!$B167=K$2,'Atividades Micro'!$K167&lt;&gt;""),'Atividades Micro'!$K167,"")</f>
        <v/>
      </c>
      <c r="L159" s="21" t="str">
        <f>IF(AND('Atividades Micro'!$B167=L$2,'Atividades Micro'!$L167&lt;&gt;""),'Atividades Micro'!$L167,"")</f>
        <v/>
      </c>
      <c r="M159" s="21" t="str">
        <f>IF(AND('Atividades Micro'!$B167=M$2,'Atividades Micro'!$K167&lt;&gt;""),'Atividades Micro'!$K167,"")</f>
        <v/>
      </c>
      <c r="N159" s="21" t="str">
        <f>IF(AND('Atividades Micro'!$B167=N$2,'Atividades Micro'!$L167&lt;&gt;""),'Atividades Micro'!$L167,"")</f>
        <v/>
      </c>
      <c r="O159" s="21" t="str">
        <f>IF(AND('Atividades Micro'!$A167=O$2,'Atividades Micro'!$K167&lt;&gt;""),'Atividades Micro'!$K167,"")</f>
        <v/>
      </c>
      <c r="P159" s="21" t="str">
        <f>IF(AND('Atividades Micro'!$A167=P$2,'Atividades Micro'!$L167&lt;&gt;""),'Atividades Micro'!$L167,"")</f>
        <v/>
      </c>
      <c r="Q159" s="21" t="str">
        <f>IF(AND('Atividades Micro'!$B167=Q$2,'Atividades Micro'!$K167&lt;&gt;""),'Atividades Micro'!$K167,"")</f>
        <v/>
      </c>
      <c r="R159" s="21" t="str">
        <f>IF(AND('Atividades Micro'!$B167=R$2,'Atividades Micro'!$L167&lt;&gt;""),'Atividades Micro'!$L167,"")</f>
        <v/>
      </c>
      <c r="S159" s="21" t="str">
        <f>IF(AND('Atividades Micro'!$A167=S$2,'Atividades Micro'!$K167&lt;&gt;""),'Atividades Micro'!$K167,"")</f>
        <v/>
      </c>
      <c r="T159" s="21" t="str">
        <f>IF(AND('Atividades Micro'!$A167=T$2,'Atividades Micro'!$L167&lt;&gt;""),'Atividades Micro'!$L167,"")</f>
        <v/>
      </c>
      <c r="U159" s="21" t="str">
        <f>IF(AND('Atividades Micro'!$B167=U$2,'Atividades Micro'!$K167&lt;&gt;""),'Atividades Micro'!$K167,"")</f>
        <v/>
      </c>
      <c r="V159" s="21" t="str">
        <f>IF(AND('Atividades Micro'!$B167=V$2,'Atividades Micro'!$L167&lt;&gt;""),'Atividades Micro'!$L167,"")</f>
        <v/>
      </c>
      <c r="W159" s="21" t="str">
        <f>IF(AND('Atividades Micro'!$B167=W$2,'Atividades Micro'!$K167&lt;&gt;""),'Atividades Micro'!$K167,"")</f>
        <v/>
      </c>
      <c r="X159" s="21" t="str">
        <f>IF(AND('Atividades Micro'!$B167=X$2,'Atividades Micro'!$L167&lt;&gt;""),'Atividades Micro'!$L167,"")</f>
        <v/>
      </c>
      <c r="Y159" s="21" t="str">
        <f>IF(AND('Atividades Micro'!$A167=Y$2,'Atividades Micro'!$K167&lt;&gt;""),'Atividades Micro'!$K167,"")</f>
        <v/>
      </c>
      <c r="Z159" s="21" t="str">
        <f>IF(AND('Atividades Micro'!$A167=Z$2,'Atividades Micro'!$L167&lt;&gt;""),'Atividades Micro'!$L167,"")</f>
        <v/>
      </c>
      <c r="AA159" s="21" t="str">
        <f>IF(AND('Atividades Micro'!$B167=AA$2,'Atividades Micro'!$K167&lt;&gt;""),'Atividades Micro'!$K167,"")</f>
        <v/>
      </c>
      <c r="AB159" s="21" t="str">
        <f>IF(AND('Atividades Micro'!$B167=AB$2,'Atividades Micro'!$L167&lt;&gt;""),'Atividades Micro'!$L167,"")</f>
        <v/>
      </c>
      <c r="AC159" s="21" t="str">
        <f>IF(AND('Atividades Micro'!$B167=AC$2,'Atividades Micro'!$K167&lt;&gt;""),'Atividades Micro'!$K167,"")</f>
        <v/>
      </c>
      <c r="AD159" s="21" t="str">
        <f>IF(AND('Atividades Micro'!$B167=AD$2,'Atividades Micro'!$L167&lt;&gt;""),'Atividades Micro'!$L167,"")</f>
        <v/>
      </c>
      <c r="AE159" s="21" t="str">
        <f>IF(AND('Atividades Micro'!$A167=AE$2,'Atividades Micro'!$K167&lt;&gt;""),'Atividades Micro'!$K167,"")</f>
        <v/>
      </c>
      <c r="AF159" s="21" t="str">
        <f>IF(AND('Atividades Micro'!$A167=AF$2,'Atividades Micro'!$L167&lt;&gt;""),'Atividades Micro'!$L167,"")</f>
        <v/>
      </c>
      <c r="AG159" s="21" t="str">
        <f>IF(AND('Atividades Micro'!$B167=AG$2,'Atividades Micro'!$K167&lt;&gt;""),'Atividades Micro'!$K167,"")</f>
        <v/>
      </c>
      <c r="AH159" s="21" t="str">
        <f>IF(AND('Atividades Micro'!$B167=AH$2,'Atividades Micro'!$L167&lt;&gt;""),'Atividades Micro'!$L167,"")</f>
        <v/>
      </c>
      <c r="AI159" s="21" t="str">
        <f>IF(AND('Atividades Micro'!$B167=AI$2,'Atividades Micro'!$K167&lt;&gt;""),'Atividades Micro'!$K167,"")</f>
        <v/>
      </c>
      <c r="AJ159" s="21" t="str">
        <f>IF(AND('Atividades Micro'!$B167=AJ$2,'Atividades Micro'!$L167&lt;&gt;""),'Atividades Micro'!$L167,"")</f>
        <v/>
      </c>
      <c r="AK159" s="21" t="str">
        <f>IF(AND('Atividades Micro'!$A167=AK$2,'Atividades Micro'!$K167&lt;&gt;""),'Atividades Micro'!$K167,"")</f>
        <v/>
      </c>
      <c r="AL159" s="21" t="str">
        <f>IF(AND('Atividades Micro'!$A167=AL$2,'Atividades Micro'!$L167&lt;&gt;""),'Atividades Micro'!$L167,"")</f>
        <v/>
      </c>
      <c r="AM159" s="21" t="str">
        <f>IF(AND('Atividades Micro'!$B167=AM$2,'Atividades Micro'!$K167&lt;&gt;""),'Atividades Micro'!$K167,"")</f>
        <v/>
      </c>
      <c r="AN159" s="21" t="str">
        <f>IF(AND('Atividades Micro'!$B167=AN$2,'Atividades Micro'!$L167&lt;&gt;""),'Atividades Micro'!$L167,"")</f>
        <v/>
      </c>
      <c r="AO159" s="21" t="str">
        <f>IF(AND('Atividades Micro'!$B167=AO$2,'Atividades Micro'!$K167&lt;&gt;""),'Atividades Micro'!$K167,"")</f>
        <v/>
      </c>
      <c r="AP159" s="21" t="str">
        <f>IF(AND('Atividades Micro'!$B167=AP$2,'Atividades Micro'!$L167&lt;&gt;""),'Atividades Micro'!$L167,"")</f>
        <v/>
      </c>
      <c r="AQ159" s="21" t="str">
        <f>IF(AND('Atividades Micro'!$A167=AQ$2,'Atividades Micro'!$K167&lt;&gt;""),'Atividades Micro'!$K167,"")</f>
        <v/>
      </c>
      <c r="AR159" s="21" t="str">
        <f>IF(AND('Atividades Micro'!$A167=AR$2,'Atividades Micro'!$L167&lt;&gt;""),'Atividades Micro'!$L167,"")</f>
        <v/>
      </c>
      <c r="AS159" s="21" t="str">
        <f>IF(AND('Atividades Micro'!$B167=AS$2,'Atividades Micro'!$K167&lt;&gt;""),'Atividades Micro'!$K167,"")</f>
        <v/>
      </c>
      <c r="AT159" s="21" t="str">
        <f>IF(AND('Atividades Micro'!$B167=AT$2,'Atividades Micro'!$L167&lt;&gt;""),'Atividades Micro'!$L167,"")</f>
        <v/>
      </c>
      <c r="AU159" s="21" t="str">
        <f>IF(AND('Atividades Micro'!$A167=AU$2,'Atividades Micro'!$K167&lt;&gt;""),'Atividades Micro'!$K167,"")</f>
        <v/>
      </c>
      <c r="AV159" s="21" t="str">
        <f>IF(AND('Atividades Micro'!$A167=AV$2,'Atividades Micro'!$L167&lt;&gt;""),'Atividades Micro'!$L167,"")</f>
        <v/>
      </c>
      <c r="AW159" s="21" t="str">
        <f>IF(AND('Atividades Micro'!$B167=AW$2,'Atividades Micro'!$K167&lt;&gt;""),'Atividades Micro'!$K167,"")</f>
        <v/>
      </c>
      <c r="AX159" s="21" t="str">
        <f>IF(AND('Atividades Micro'!$B167=AX$2,'Atividades Micro'!$L167&lt;&gt;""),'Atividades Micro'!$L167,"")</f>
        <v/>
      </c>
      <c r="AY159" s="21" t="str">
        <f>IF(AND('Atividades Micro'!$A167=AY$2,'Atividades Micro'!$K167&lt;&gt;""),'Atividades Micro'!$K167,"")</f>
        <v/>
      </c>
      <c r="AZ159" s="21" t="str">
        <f>IF(AND('Atividades Micro'!$A167=AZ$2,'Atividades Micro'!$L167&lt;&gt;""),'Atividades Micro'!$L167,"")</f>
        <v/>
      </c>
      <c r="BA159" s="21" t="str">
        <f>IF(AND('Atividades Micro'!$B167=BA$2,'Atividades Micro'!$K167&lt;&gt;""),'Atividades Micro'!$K167,"")</f>
        <v/>
      </c>
      <c r="BB159" s="21" t="str">
        <f>IF(AND('Atividades Micro'!$B167=BB$2,'Atividades Micro'!$L167&lt;&gt;""),'Atividades Micro'!$L167,"")</f>
        <v/>
      </c>
      <c r="BC159" s="21" t="str">
        <f>IF(AND('Atividades Micro'!$B167=BC$2,'Atividades Micro'!$G167="Macro",'Atividades Micro'!$K167&lt;&gt;""),'Atividades Micro'!$K167,"")</f>
        <v/>
      </c>
      <c r="BD159" s="21" t="str">
        <f>IF(AND('Atividades Micro'!$B167=BD$2,'Atividades Micro'!$G167="Macro",'Atividades Micro'!$K167&lt;&gt;""),'Atividades Micro'!$K167,"")</f>
        <v/>
      </c>
      <c r="BE159" s="21" t="str">
        <f>IF(AND('Atividades Micro'!$B167=BE$2,'Atividades Micro'!$G167="Macro",'Atividades Micro'!$K167&lt;&gt;""),'Atividades Micro'!$K167,"")</f>
        <v/>
      </c>
      <c r="BF159" s="21" t="str">
        <f>IF(AND('Atividades Micro'!$B167=BF$2,'Atividades Micro'!$G167="Macro",'Atividades Micro'!$K167&lt;&gt;""),'Atividades Micro'!$K167,"")</f>
        <v/>
      </c>
      <c r="BG159" s="21" t="str">
        <f>IF(AND('Atividades Micro'!$B167=BG$2,'Atividades Micro'!$G167="Macro",'Atividades Micro'!$K167&lt;&gt;""),'Atividades Micro'!$K167,"")</f>
        <v/>
      </c>
      <c r="BH159" s="21" t="str">
        <f>IF(AND('Atividades Micro'!$B167=BH$2,'Atividades Micro'!$G167="Macro",'Atividades Micro'!$K167&lt;&gt;""),'Atividades Micro'!$K167,"")</f>
        <v/>
      </c>
      <c r="BI159" s="21" t="str">
        <f>IF(AND('Atividades Micro'!$B167=BI$2,'Atividades Micro'!$G167="Macro",'Atividades Micro'!$K167&lt;&gt;""),'Atividades Micro'!$K167,"")</f>
        <v/>
      </c>
      <c r="BJ159" s="21" t="str">
        <f>IF(AND('Atividades Micro'!$B167=BJ$2,'Atividades Micro'!$G167="Macro",'Atividades Micro'!$K167&lt;&gt;""),'Atividades Micro'!$K167,"")</f>
        <v/>
      </c>
      <c r="BK159" s="21" t="str">
        <f>IF(AND('Atividades Micro'!$B167=BK$2,'Atividades Micro'!$G167="Macro",'Atividades Micro'!$K167&lt;&gt;""),'Atividades Micro'!$K167,"")</f>
        <v/>
      </c>
      <c r="BL159" s="21" t="str">
        <f>IF(AND('Atividades Micro'!$B167=BL$2,'Atividades Micro'!$G167="Macro",'Atividades Micro'!$K167&lt;&gt;""),'Atividades Micro'!$K167,"")</f>
        <v/>
      </c>
      <c r="BM159" s="21" t="str">
        <f>IF(AND('Atividades Micro'!$B167=BM$2,'Atividades Micro'!$G167="Macro",'Atividades Micro'!$K167&lt;&gt;""),'Atividades Micro'!$K167,"")</f>
        <v/>
      </c>
      <c r="BN159" s="21" t="str">
        <f>IF(AND('Atividades Micro'!$B167=BN$2,'Atividades Micro'!$G167="Macro",'Atividades Micro'!$K167&lt;&gt;""),'Atividades Micro'!$K167,"")</f>
        <v/>
      </c>
      <c r="BO159" s="21" t="str">
        <f>IF(AND('Atividades Micro'!$B167=BO$2,'Atividades Micro'!$G167="Macro",'Atividades Micro'!$K167&lt;&gt;""),'Atividades Micro'!$K167,"")</f>
        <v/>
      </c>
      <c r="BP159" s="21" t="str">
        <f>IF(AND('Atividades Micro'!$B167=BP$2,'Atividades Micro'!$G167="Macro",'Atividades Micro'!$K167&lt;&gt;""),'Atividades Micro'!$K167,"")</f>
        <v/>
      </c>
      <c r="BQ159" s="21" t="str">
        <f>IF(AND('Atividades Micro'!$B167=BQ$2,'Atividades Micro'!$G167="Macro",'Atividades Micro'!$K167&lt;&gt;""),'Atividades Micro'!$K167,"")</f>
        <v/>
      </c>
      <c r="BR159" s="21" t="str">
        <f>IF(AND('Atividades Micro'!$B167=BR$2,'Atividades Micro'!$G167="Macro",'Atividades Micro'!$K167&lt;&gt;""),'Atividades Micro'!$K167,"")</f>
        <v/>
      </c>
      <c r="BS159" s="21" t="str">
        <f>IF(AND('Atividades Micro'!$B167=BS$2,'Atividades Micro'!$G167="Macro",'Atividades Micro'!$K167&lt;&gt;""),'Atividades Micro'!$K167,"")</f>
        <v/>
      </c>
      <c r="BT159" s="21" t="str">
        <f>IF(AND('Atividades Micro'!$B167=BT$2,'Atividades Micro'!$G167="Macro",'Atividades Micro'!$K167&lt;&gt;""),'Atividades Micro'!$K167,"")</f>
        <v/>
      </c>
      <c r="BU159" s="21" t="str">
        <f>IF(AND('Atividades Micro'!$B167=BU$2,'Atividades Micro'!$G167="Macro",'Atividades Micro'!$K167&lt;&gt;""),'Atividades Micro'!$K167,"")</f>
        <v/>
      </c>
      <c r="BV159" s="21" t="str">
        <f>IF(AND('Atividades Micro'!$B167=BV$2,'Atividades Micro'!$G167="Macro",'Atividades Micro'!$K167&lt;&gt;""),'Atividades Micro'!$K167,"")</f>
        <v/>
      </c>
      <c r="BW159" s="21" t="str">
        <f>IF(AND('Atividades Micro'!$B167=BW$2,'Atividades Micro'!$G167="Macro",'Atividades Micro'!$K167&lt;&gt;""),'Atividades Micro'!$K167,"")</f>
        <v/>
      </c>
      <c r="BX159" s="21" t="str">
        <f>IF(AND('Atividades Micro'!$B167=BX$2,'Atividades Micro'!$G167="Macro",'Atividades Micro'!$K167&lt;&gt;""),'Atividades Micro'!$K167,"")</f>
        <v/>
      </c>
      <c r="BY159" s="21" t="str">
        <f>IF(AND('Atividades Micro'!$B167=BY$2,'Atividades Micro'!$G167="Macro",'Atividades Micro'!$K167&lt;&gt;""),'Atividades Micro'!$K167,"")</f>
        <v/>
      </c>
      <c r="BZ159" s="21" t="str">
        <f>IF(AND('Atividades Micro'!$B167=BZ$2,'Atividades Micro'!$G167="Macro",'Atividades Micro'!$K167&lt;&gt;""),'Atividades Micro'!$K167,"")</f>
        <v/>
      </c>
      <c r="CA159" s="21" t="str">
        <f>IF(AND('Atividades Micro'!$B167=CA$2,'Atividades Micro'!$G167="Macro",'Atividades Micro'!$K167&lt;&gt;""),'Atividades Micro'!$K167,"")</f>
        <v/>
      </c>
      <c r="CB159" s="21" t="str">
        <f>IF(AND('Atividades Micro'!$B167=CB$2,'Atividades Micro'!$G167="Macro",'Atividades Micro'!$K167&lt;&gt;""),'Atividades Micro'!$K167,"")</f>
        <v/>
      </c>
      <c r="CC159" s="21" t="str">
        <f>IF(AND('Atividades Micro'!$B167=CC$2,'Atividades Micro'!$G167="Macro",'Atividades Micro'!$K167&lt;&gt;""),'Atividades Micro'!$K167,"")</f>
        <v/>
      </c>
      <c r="CD159" s="21" t="str">
        <f>IF(AND('Atividades Micro'!$B167=CD$2,'Atividades Micro'!$G167="Micro",'Atividades Micro'!$K167&lt;&gt;""),'Atividades Micro'!$K167,"")</f>
        <v/>
      </c>
      <c r="CE159" s="21" t="str">
        <f>IF(AND('Atividades Micro'!$B167=CE$2,'Atividades Micro'!$G167="Micro",'Atividades Micro'!$K167&lt;&gt;""),'Atividades Micro'!$K167,"")</f>
        <v/>
      </c>
      <c r="CF159" s="21" t="str">
        <f>IF(AND('Atividades Micro'!$B167=CF$2,'Atividades Micro'!$G167="Micro",'Atividades Micro'!$K167&lt;&gt;""),'Atividades Micro'!$K167,"")</f>
        <v/>
      </c>
      <c r="CG159" s="21" t="str">
        <f>IF(AND('Atividades Micro'!$B167=CG$2,'Atividades Micro'!$G167="Micro",'Atividades Micro'!$K167&lt;&gt;""),'Atividades Micro'!$K167,"")</f>
        <v/>
      </c>
      <c r="CH159" s="21" t="str">
        <f>IF(AND('Atividades Micro'!$B167=CH$2,'Atividades Micro'!$G167="Micro",'Atividades Micro'!$K167&lt;&gt;""),'Atividades Micro'!$K167,"")</f>
        <v/>
      </c>
      <c r="CI159" s="21" t="str">
        <f>IF(AND('Atividades Micro'!$B167=CI$2,'Atividades Micro'!$G167="Micro",'Atividades Micro'!$K167&lt;&gt;""),'Atividades Micro'!$K167,"")</f>
        <v/>
      </c>
      <c r="CJ159" s="21" t="str">
        <f>IF(AND('Atividades Micro'!$B167=CJ$2,'Atividades Micro'!$G167="Micro",'Atividades Micro'!$K167&lt;&gt;""),'Atividades Micro'!$K167,"")</f>
        <v/>
      </c>
      <c r="CK159" s="21" t="str">
        <f>IF(AND('Atividades Micro'!$B167=CK$2,'Atividades Micro'!$G167="Micro",'Atividades Micro'!$K167&lt;&gt;""),'Atividades Micro'!$K167,"")</f>
        <v/>
      </c>
      <c r="CL159" s="21" t="str">
        <f>IF(AND('Atividades Micro'!$B167=CL$2,'Atividades Micro'!$G167="Micro",'Atividades Micro'!$K167&lt;&gt;""),'Atividades Micro'!$K167,"")</f>
        <v/>
      </c>
      <c r="CM159" s="21" t="str">
        <f>IF(AND('Atividades Micro'!$B167=CM$2,'Atividades Micro'!$G167="Micro",'Atividades Micro'!$K167&lt;&gt;""),'Atividades Micro'!$K167,"")</f>
        <v/>
      </c>
      <c r="CN159" s="21" t="str">
        <f>IF(AND('Atividades Micro'!$B167=CN$2,'Atividades Micro'!$G167="Micro",'Atividades Micro'!$K167&lt;&gt;""),'Atividades Micro'!$K167,"")</f>
        <v/>
      </c>
      <c r="CO159" s="21" t="str">
        <f>IF(AND('Atividades Micro'!$B167=CO$2,'Atividades Micro'!$G167="Micro",'Atividades Micro'!$K167&lt;&gt;""),'Atividades Micro'!$K167,"")</f>
        <v/>
      </c>
    </row>
    <row r="160" spans="1:93">
      <c r="A160" s="21" t="str">
        <f>IF(AND('Atividades Micro'!$A168=A$2,'Atividades Micro'!$K168&lt;&gt;""),'Atividades Micro'!$K168,"")</f>
        <v/>
      </c>
      <c r="B160" s="21" t="str">
        <f>IF(AND('Atividades Micro'!$A168=B$2,'Atividades Micro'!$L168&lt;&gt;""),'Atividades Micro'!$L168,"")</f>
        <v/>
      </c>
      <c r="C160" s="21" t="str">
        <f>IF(AND('Atividades Micro'!$A168=C$2,'Atividades Micro'!$K168&lt;&gt;""),'Atividades Micro'!$K168,"")</f>
        <v/>
      </c>
      <c r="D160" s="21" t="str">
        <f>IF(AND('Atividades Micro'!$A168=D$2,'Atividades Micro'!$L168&lt;&gt;""),'Atividades Micro'!$L168,"")</f>
        <v/>
      </c>
      <c r="E160" s="21" t="str">
        <f>IF(AND('Atividades Micro'!$A168=E$2,'Atividades Micro'!$K168&lt;&gt;""),'Atividades Micro'!$K168,"")</f>
        <v/>
      </c>
      <c r="F160" s="21" t="str">
        <f>IF(AND('Atividades Micro'!$A168=F$2,'Atividades Micro'!$L168&lt;&gt;""),'Atividades Micro'!$L168,"")</f>
        <v/>
      </c>
      <c r="G160" s="21" t="str">
        <f>IF(AND('Atividades Micro'!$A168=G$2,'Atividades Micro'!$K168&lt;&gt;""),'Atividades Micro'!$K168,"")</f>
        <v/>
      </c>
      <c r="H160" s="21" t="str">
        <f>IF(AND('Atividades Micro'!$A168=H$2,'Atividades Micro'!$L168&lt;&gt;""),'Atividades Micro'!$L168,"")</f>
        <v/>
      </c>
      <c r="I160" s="21" t="str">
        <f>IF(AND('Atividades Micro'!$A168=I$2,'Atividades Micro'!$K168&lt;&gt;""),'Atividades Micro'!$K168,"")</f>
        <v/>
      </c>
      <c r="J160" s="21" t="str">
        <f>IF(AND('Atividades Micro'!$A168=J$2,'Atividades Micro'!$L168&lt;&gt;""),'Atividades Micro'!$L168,"")</f>
        <v/>
      </c>
      <c r="K160" s="21" t="str">
        <f>IF(AND('Atividades Micro'!$B168=K$2,'Atividades Micro'!$K168&lt;&gt;""),'Atividades Micro'!$K168,"")</f>
        <v/>
      </c>
      <c r="L160" s="21" t="str">
        <f>IF(AND('Atividades Micro'!$B168=L$2,'Atividades Micro'!$L168&lt;&gt;""),'Atividades Micro'!$L168,"")</f>
        <v/>
      </c>
      <c r="M160" s="21" t="str">
        <f>IF(AND('Atividades Micro'!$B168=M$2,'Atividades Micro'!$K168&lt;&gt;""),'Atividades Micro'!$K168,"")</f>
        <v/>
      </c>
      <c r="N160" s="21" t="str">
        <f>IF(AND('Atividades Micro'!$B168=N$2,'Atividades Micro'!$L168&lt;&gt;""),'Atividades Micro'!$L168,"")</f>
        <v/>
      </c>
      <c r="O160" s="21" t="str">
        <f>IF(AND('Atividades Micro'!$A168=O$2,'Atividades Micro'!$K168&lt;&gt;""),'Atividades Micro'!$K168,"")</f>
        <v/>
      </c>
      <c r="P160" s="21" t="str">
        <f>IF(AND('Atividades Micro'!$A168=P$2,'Atividades Micro'!$L168&lt;&gt;""),'Atividades Micro'!$L168,"")</f>
        <v/>
      </c>
      <c r="Q160" s="21" t="str">
        <f>IF(AND('Atividades Micro'!$B168=Q$2,'Atividades Micro'!$K168&lt;&gt;""),'Atividades Micro'!$K168,"")</f>
        <v/>
      </c>
      <c r="R160" s="21" t="str">
        <f>IF(AND('Atividades Micro'!$B168=R$2,'Atividades Micro'!$L168&lt;&gt;""),'Atividades Micro'!$L168,"")</f>
        <v/>
      </c>
      <c r="S160" s="21" t="str">
        <f>IF(AND('Atividades Micro'!$A168=S$2,'Atividades Micro'!$K168&lt;&gt;""),'Atividades Micro'!$K168,"")</f>
        <v/>
      </c>
      <c r="T160" s="21" t="str">
        <f>IF(AND('Atividades Micro'!$A168=T$2,'Atividades Micro'!$L168&lt;&gt;""),'Atividades Micro'!$L168,"")</f>
        <v/>
      </c>
      <c r="U160" s="21" t="str">
        <f>IF(AND('Atividades Micro'!$B168=U$2,'Atividades Micro'!$K168&lt;&gt;""),'Atividades Micro'!$K168,"")</f>
        <v/>
      </c>
      <c r="V160" s="21" t="str">
        <f>IF(AND('Atividades Micro'!$B168=V$2,'Atividades Micro'!$L168&lt;&gt;""),'Atividades Micro'!$L168,"")</f>
        <v/>
      </c>
      <c r="W160" s="21" t="str">
        <f>IF(AND('Atividades Micro'!$B168=W$2,'Atividades Micro'!$K168&lt;&gt;""),'Atividades Micro'!$K168,"")</f>
        <v/>
      </c>
      <c r="X160" s="21" t="str">
        <f>IF(AND('Atividades Micro'!$B168=X$2,'Atividades Micro'!$L168&lt;&gt;""),'Atividades Micro'!$L168,"")</f>
        <v/>
      </c>
      <c r="Y160" s="21" t="str">
        <f>IF(AND('Atividades Micro'!$A168=Y$2,'Atividades Micro'!$K168&lt;&gt;""),'Atividades Micro'!$K168,"")</f>
        <v/>
      </c>
      <c r="Z160" s="21" t="str">
        <f>IF(AND('Atividades Micro'!$A168=Z$2,'Atividades Micro'!$L168&lt;&gt;""),'Atividades Micro'!$L168,"")</f>
        <v/>
      </c>
      <c r="AA160" s="21" t="str">
        <f>IF(AND('Atividades Micro'!$B168=AA$2,'Atividades Micro'!$K168&lt;&gt;""),'Atividades Micro'!$K168,"")</f>
        <v/>
      </c>
      <c r="AB160" s="21" t="str">
        <f>IF(AND('Atividades Micro'!$B168=AB$2,'Atividades Micro'!$L168&lt;&gt;""),'Atividades Micro'!$L168,"")</f>
        <v/>
      </c>
      <c r="AC160" s="21" t="str">
        <f>IF(AND('Atividades Micro'!$B168=AC$2,'Atividades Micro'!$K168&lt;&gt;""),'Atividades Micro'!$K168,"")</f>
        <v/>
      </c>
      <c r="AD160" s="21" t="str">
        <f>IF(AND('Atividades Micro'!$B168=AD$2,'Atividades Micro'!$L168&lt;&gt;""),'Atividades Micro'!$L168,"")</f>
        <v/>
      </c>
      <c r="AE160" s="21" t="str">
        <f>IF(AND('Atividades Micro'!$A168=AE$2,'Atividades Micro'!$K168&lt;&gt;""),'Atividades Micro'!$K168,"")</f>
        <v/>
      </c>
      <c r="AF160" s="21" t="str">
        <f>IF(AND('Atividades Micro'!$A168=AF$2,'Atividades Micro'!$L168&lt;&gt;""),'Atividades Micro'!$L168,"")</f>
        <v/>
      </c>
      <c r="AG160" s="21" t="str">
        <f>IF(AND('Atividades Micro'!$B168=AG$2,'Atividades Micro'!$K168&lt;&gt;""),'Atividades Micro'!$K168,"")</f>
        <v/>
      </c>
      <c r="AH160" s="21" t="str">
        <f>IF(AND('Atividades Micro'!$B168=AH$2,'Atividades Micro'!$L168&lt;&gt;""),'Atividades Micro'!$L168,"")</f>
        <v/>
      </c>
      <c r="AI160" s="21" t="str">
        <f>IF(AND('Atividades Micro'!$B168=AI$2,'Atividades Micro'!$K168&lt;&gt;""),'Atividades Micro'!$K168,"")</f>
        <v/>
      </c>
      <c r="AJ160" s="21" t="str">
        <f>IF(AND('Atividades Micro'!$B168=AJ$2,'Atividades Micro'!$L168&lt;&gt;""),'Atividades Micro'!$L168,"")</f>
        <v/>
      </c>
      <c r="AK160" s="21" t="str">
        <f>IF(AND('Atividades Micro'!$A168=AK$2,'Atividades Micro'!$K168&lt;&gt;""),'Atividades Micro'!$K168,"")</f>
        <v/>
      </c>
      <c r="AL160" s="21" t="str">
        <f>IF(AND('Atividades Micro'!$A168=AL$2,'Atividades Micro'!$L168&lt;&gt;""),'Atividades Micro'!$L168,"")</f>
        <v/>
      </c>
      <c r="AM160" s="21" t="str">
        <f>IF(AND('Atividades Micro'!$B168=AM$2,'Atividades Micro'!$K168&lt;&gt;""),'Atividades Micro'!$K168,"")</f>
        <v/>
      </c>
      <c r="AN160" s="21" t="str">
        <f>IF(AND('Atividades Micro'!$B168=AN$2,'Atividades Micro'!$L168&lt;&gt;""),'Atividades Micro'!$L168,"")</f>
        <v/>
      </c>
      <c r="AO160" s="21" t="str">
        <f>IF(AND('Atividades Micro'!$B168=AO$2,'Atividades Micro'!$K168&lt;&gt;""),'Atividades Micro'!$K168,"")</f>
        <v/>
      </c>
      <c r="AP160" s="21" t="str">
        <f>IF(AND('Atividades Micro'!$B168=AP$2,'Atividades Micro'!$L168&lt;&gt;""),'Atividades Micro'!$L168,"")</f>
        <v/>
      </c>
      <c r="AQ160" s="21" t="str">
        <f>IF(AND('Atividades Micro'!$A168=AQ$2,'Atividades Micro'!$K168&lt;&gt;""),'Atividades Micro'!$K168,"")</f>
        <v/>
      </c>
      <c r="AR160" s="21" t="str">
        <f>IF(AND('Atividades Micro'!$A168=AR$2,'Atividades Micro'!$L168&lt;&gt;""),'Atividades Micro'!$L168,"")</f>
        <v/>
      </c>
      <c r="AS160" s="21" t="str">
        <f>IF(AND('Atividades Micro'!$B168=AS$2,'Atividades Micro'!$K168&lt;&gt;""),'Atividades Micro'!$K168,"")</f>
        <v/>
      </c>
      <c r="AT160" s="21" t="str">
        <f>IF(AND('Atividades Micro'!$B168=AT$2,'Atividades Micro'!$L168&lt;&gt;""),'Atividades Micro'!$L168,"")</f>
        <v/>
      </c>
      <c r="AU160" s="21" t="str">
        <f>IF(AND('Atividades Micro'!$A168=AU$2,'Atividades Micro'!$K168&lt;&gt;""),'Atividades Micro'!$K168,"")</f>
        <v/>
      </c>
      <c r="AV160" s="21" t="str">
        <f>IF(AND('Atividades Micro'!$A168=AV$2,'Atividades Micro'!$L168&lt;&gt;""),'Atividades Micro'!$L168,"")</f>
        <v/>
      </c>
      <c r="AW160" s="21" t="str">
        <f>IF(AND('Atividades Micro'!$B168=AW$2,'Atividades Micro'!$K168&lt;&gt;""),'Atividades Micro'!$K168,"")</f>
        <v/>
      </c>
      <c r="AX160" s="21" t="str">
        <f>IF(AND('Atividades Micro'!$B168=AX$2,'Atividades Micro'!$L168&lt;&gt;""),'Atividades Micro'!$L168,"")</f>
        <v/>
      </c>
      <c r="AY160" s="21" t="str">
        <f>IF(AND('Atividades Micro'!$A168=AY$2,'Atividades Micro'!$K168&lt;&gt;""),'Atividades Micro'!$K168,"")</f>
        <v/>
      </c>
      <c r="AZ160" s="21" t="str">
        <f>IF(AND('Atividades Micro'!$A168=AZ$2,'Atividades Micro'!$L168&lt;&gt;""),'Atividades Micro'!$L168,"")</f>
        <v/>
      </c>
      <c r="BA160" s="21" t="str">
        <f>IF(AND('Atividades Micro'!$B168=BA$2,'Atividades Micro'!$K168&lt;&gt;""),'Atividades Micro'!$K168,"")</f>
        <v/>
      </c>
      <c r="BB160" s="21" t="str">
        <f>IF(AND('Atividades Micro'!$B168=BB$2,'Atividades Micro'!$L168&lt;&gt;""),'Atividades Micro'!$L168,"")</f>
        <v/>
      </c>
      <c r="BC160" s="21" t="str">
        <f>IF(AND('Atividades Micro'!$B168=BC$2,'Atividades Micro'!$G168="Macro",'Atividades Micro'!$K168&lt;&gt;""),'Atividades Micro'!$K168,"")</f>
        <v/>
      </c>
      <c r="BD160" s="21" t="str">
        <f>IF(AND('Atividades Micro'!$B168=BD$2,'Atividades Micro'!$G168="Macro",'Atividades Micro'!$K168&lt;&gt;""),'Atividades Micro'!$K168,"")</f>
        <v/>
      </c>
      <c r="BE160" s="21" t="str">
        <f>IF(AND('Atividades Micro'!$B168=BE$2,'Atividades Micro'!$G168="Macro",'Atividades Micro'!$K168&lt;&gt;""),'Atividades Micro'!$K168,"")</f>
        <v/>
      </c>
      <c r="BF160" s="21" t="str">
        <f>IF(AND('Atividades Micro'!$B168=BF$2,'Atividades Micro'!$G168="Macro",'Atividades Micro'!$K168&lt;&gt;""),'Atividades Micro'!$K168,"")</f>
        <v/>
      </c>
      <c r="BG160" s="21" t="str">
        <f>IF(AND('Atividades Micro'!$B168=BG$2,'Atividades Micro'!$G168="Macro",'Atividades Micro'!$K168&lt;&gt;""),'Atividades Micro'!$K168,"")</f>
        <v/>
      </c>
      <c r="BH160" s="21" t="str">
        <f>IF(AND('Atividades Micro'!$B168=BH$2,'Atividades Micro'!$G168="Macro",'Atividades Micro'!$K168&lt;&gt;""),'Atividades Micro'!$K168,"")</f>
        <v/>
      </c>
      <c r="BI160" s="21" t="str">
        <f>IF(AND('Atividades Micro'!$B168=BI$2,'Atividades Micro'!$G168="Macro",'Atividades Micro'!$K168&lt;&gt;""),'Atividades Micro'!$K168,"")</f>
        <v/>
      </c>
      <c r="BJ160" s="21" t="str">
        <f>IF(AND('Atividades Micro'!$B168=BJ$2,'Atividades Micro'!$G168="Macro",'Atividades Micro'!$K168&lt;&gt;""),'Atividades Micro'!$K168,"")</f>
        <v/>
      </c>
      <c r="BK160" s="21" t="str">
        <f>IF(AND('Atividades Micro'!$B168=BK$2,'Atividades Micro'!$G168="Macro",'Atividades Micro'!$K168&lt;&gt;""),'Atividades Micro'!$K168,"")</f>
        <v/>
      </c>
      <c r="BL160" s="21" t="str">
        <f>IF(AND('Atividades Micro'!$B168=BL$2,'Atividades Micro'!$G168="Macro",'Atividades Micro'!$K168&lt;&gt;""),'Atividades Micro'!$K168,"")</f>
        <v/>
      </c>
      <c r="BM160" s="21" t="str">
        <f>IF(AND('Atividades Micro'!$B168=BM$2,'Atividades Micro'!$G168="Macro",'Atividades Micro'!$K168&lt;&gt;""),'Atividades Micro'!$K168,"")</f>
        <v/>
      </c>
      <c r="BN160" s="21" t="str">
        <f>IF(AND('Atividades Micro'!$B168=BN$2,'Atividades Micro'!$G168="Macro",'Atividades Micro'!$K168&lt;&gt;""),'Atividades Micro'!$K168,"")</f>
        <v/>
      </c>
      <c r="BO160" s="21" t="str">
        <f>IF(AND('Atividades Micro'!$B168=BO$2,'Atividades Micro'!$G168="Macro",'Atividades Micro'!$K168&lt;&gt;""),'Atividades Micro'!$K168,"")</f>
        <v/>
      </c>
      <c r="BP160" s="21" t="str">
        <f>IF(AND('Atividades Micro'!$B168=BP$2,'Atividades Micro'!$G168="Macro",'Atividades Micro'!$K168&lt;&gt;""),'Atividades Micro'!$K168,"")</f>
        <v/>
      </c>
      <c r="BQ160" s="21" t="str">
        <f>IF(AND('Atividades Micro'!$B168=BQ$2,'Atividades Micro'!$G168="Macro",'Atividades Micro'!$K168&lt;&gt;""),'Atividades Micro'!$K168,"")</f>
        <v/>
      </c>
      <c r="BR160" s="21" t="str">
        <f>IF(AND('Atividades Micro'!$B168=BR$2,'Atividades Micro'!$G168="Macro",'Atividades Micro'!$K168&lt;&gt;""),'Atividades Micro'!$K168,"")</f>
        <v/>
      </c>
      <c r="BS160" s="21" t="str">
        <f>IF(AND('Atividades Micro'!$B168=BS$2,'Atividades Micro'!$G168="Macro",'Atividades Micro'!$K168&lt;&gt;""),'Atividades Micro'!$K168,"")</f>
        <v/>
      </c>
      <c r="BT160" s="21" t="str">
        <f>IF(AND('Atividades Micro'!$B168=BT$2,'Atividades Micro'!$G168="Macro",'Atividades Micro'!$K168&lt;&gt;""),'Atividades Micro'!$K168,"")</f>
        <v/>
      </c>
      <c r="BU160" s="21" t="str">
        <f>IF(AND('Atividades Micro'!$B168=BU$2,'Atividades Micro'!$G168="Macro",'Atividades Micro'!$K168&lt;&gt;""),'Atividades Micro'!$K168,"")</f>
        <v/>
      </c>
      <c r="BV160" s="21" t="str">
        <f>IF(AND('Atividades Micro'!$B168=BV$2,'Atividades Micro'!$G168="Macro",'Atividades Micro'!$K168&lt;&gt;""),'Atividades Micro'!$K168,"")</f>
        <v/>
      </c>
      <c r="BW160" s="21" t="str">
        <f>IF(AND('Atividades Micro'!$B168=BW$2,'Atividades Micro'!$G168="Macro",'Atividades Micro'!$K168&lt;&gt;""),'Atividades Micro'!$K168,"")</f>
        <v/>
      </c>
      <c r="BX160" s="21" t="str">
        <f>IF(AND('Atividades Micro'!$B168=BX$2,'Atividades Micro'!$G168="Macro",'Atividades Micro'!$K168&lt;&gt;""),'Atividades Micro'!$K168,"")</f>
        <v/>
      </c>
      <c r="BY160" s="21" t="str">
        <f>IF(AND('Atividades Micro'!$B168=BY$2,'Atividades Micro'!$G168="Macro",'Atividades Micro'!$K168&lt;&gt;""),'Atividades Micro'!$K168,"")</f>
        <v/>
      </c>
      <c r="BZ160" s="21" t="str">
        <f>IF(AND('Atividades Micro'!$B168=BZ$2,'Atividades Micro'!$G168="Macro",'Atividades Micro'!$K168&lt;&gt;""),'Atividades Micro'!$K168,"")</f>
        <v/>
      </c>
      <c r="CA160" s="21" t="str">
        <f>IF(AND('Atividades Micro'!$B168=CA$2,'Atividades Micro'!$G168="Macro",'Atividades Micro'!$K168&lt;&gt;""),'Atividades Micro'!$K168,"")</f>
        <v/>
      </c>
      <c r="CB160" s="21" t="str">
        <f>IF(AND('Atividades Micro'!$B168=CB$2,'Atividades Micro'!$G168="Macro",'Atividades Micro'!$K168&lt;&gt;""),'Atividades Micro'!$K168,"")</f>
        <v/>
      </c>
      <c r="CC160" s="21" t="str">
        <f>IF(AND('Atividades Micro'!$B168=CC$2,'Atividades Micro'!$G168="Macro",'Atividades Micro'!$K168&lt;&gt;""),'Atividades Micro'!$K168,"")</f>
        <v/>
      </c>
      <c r="CD160" s="21" t="str">
        <f>IF(AND('Atividades Micro'!$B168=CD$2,'Atividades Micro'!$G168="Micro",'Atividades Micro'!$K168&lt;&gt;""),'Atividades Micro'!$K168,"")</f>
        <v/>
      </c>
      <c r="CE160" s="21" t="str">
        <f>IF(AND('Atividades Micro'!$B168=CE$2,'Atividades Micro'!$G168="Micro",'Atividades Micro'!$K168&lt;&gt;""),'Atividades Micro'!$K168,"")</f>
        <v/>
      </c>
      <c r="CF160" s="21" t="str">
        <f>IF(AND('Atividades Micro'!$B168=CF$2,'Atividades Micro'!$G168="Micro",'Atividades Micro'!$K168&lt;&gt;""),'Atividades Micro'!$K168,"")</f>
        <v/>
      </c>
      <c r="CG160" s="21" t="str">
        <f>IF(AND('Atividades Micro'!$B168=CG$2,'Atividades Micro'!$G168="Micro",'Atividades Micro'!$K168&lt;&gt;""),'Atividades Micro'!$K168,"")</f>
        <v/>
      </c>
      <c r="CH160" s="21" t="str">
        <f>IF(AND('Atividades Micro'!$B168=CH$2,'Atividades Micro'!$G168="Micro",'Atividades Micro'!$K168&lt;&gt;""),'Atividades Micro'!$K168,"")</f>
        <v/>
      </c>
      <c r="CI160" s="21" t="str">
        <f>IF(AND('Atividades Micro'!$B168=CI$2,'Atividades Micro'!$G168="Micro",'Atividades Micro'!$K168&lt;&gt;""),'Atividades Micro'!$K168,"")</f>
        <v/>
      </c>
      <c r="CJ160" s="21" t="str">
        <f>IF(AND('Atividades Micro'!$B168=CJ$2,'Atividades Micro'!$G168="Micro",'Atividades Micro'!$K168&lt;&gt;""),'Atividades Micro'!$K168,"")</f>
        <v/>
      </c>
      <c r="CK160" s="21" t="str">
        <f>IF(AND('Atividades Micro'!$B168=CK$2,'Atividades Micro'!$G168="Micro",'Atividades Micro'!$K168&lt;&gt;""),'Atividades Micro'!$K168,"")</f>
        <v/>
      </c>
      <c r="CL160" s="21" t="str">
        <f>IF(AND('Atividades Micro'!$B168=CL$2,'Atividades Micro'!$G168="Micro",'Atividades Micro'!$K168&lt;&gt;""),'Atividades Micro'!$K168,"")</f>
        <v/>
      </c>
      <c r="CM160" s="21" t="str">
        <f>IF(AND('Atividades Micro'!$B168=CM$2,'Atividades Micro'!$G168="Micro",'Atividades Micro'!$K168&lt;&gt;""),'Atividades Micro'!$K168,"")</f>
        <v/>
      </c>
      <c r="CN160" s="21" t="str">
        <f>IF(AND('Atividades Micro'!$B168=CN$2,'Atividades Micro'!$G168="Micro",'Atividades Micro'!$K168&lt;&gt;""),'Atividades Micro'!$K168,"")</f>
        <v/>
      </c>
      <c r="CO160" s="21" t="str">
        <f>IF(AND('Atividades Micro'!$B168=CO$2,'Atividades Micro'!$G168="Micro",'Atividades Micro'!$K168&lt;&gt;""),'Atividades Micro'!$K168,"")</f>
        <v/>
      </c>
    </row>
    <row r="161" spans="1:93">
      <c r="A161" s="21" t="str">
        <f>IF(AND('Atividades Micro'!$A169=A$2,'Atividades Micro'!$K169&lt;&gt;""),'Atividades Micro'!$K169,"")</f>
        <v/>
      </c>
      <c r="B161" s="21" t="str">
        <f>IF(AND('Atividades Micro'!$A169=B$2,'Atividades Micro'!$L169&lt;&gt;""),'Atividades Micro'!$L169,"")</f>
        <v/>
      </c>
      <c r="C161" s="21" t="str">
        <f>IF(AND('Atividades Micro'!$A169=C$2,'Atividades Micro'!$K169&lt;&gt;""),'Atividades Micro'!$K169,"")</f>
        <v/>
      </c>
      <c r="D161" s="21" t="str">
        <f>IF(AND('Atividades Micro'!$A169=D$2,'Atividades Micro'!$L169&lt;&gt;""),'Atividades Micro'!$L169,"")</f>
        <v/>
      </c>
      <c r="E161" s="21" t="str">
        <f>IF(AND('Atividades Micro'!$A169=E$2,'Atividades Micro'!$K169&lt;&gt;""),'Atividades Micro'!$K169,"")</f>
        <v/>
      </c>
      <c r="F161" s="21" t="str">
        <f>IF(AND('Atividades Micro'!$A169=F$2,'Atividades Micro'!$L169&lt;&gt;""),'Atividades Micro'!$L169,"")</f>
        <v/>
      </c>
      <c r="G161" s="21" t="str">
        <f>IF(AND('Atividades Micro'!$A169=G$2,'Atividades Micro'!$K169&lt;&gt;""),'Atividades Micro'!$K169,"")</f>
        <v/>
      </c>
      <c r="H161" s="21" t="str">
        <f>IF(AND('Atividades Micro'!$A169=H$2,'Atividades Micro'!$L169&lt;&gt;""),'Atividades Micro'!$L169,"")</f>
        <v/>
      </c>
      <c r="I161" s="21" t="str">
        <f>IF(AND('Atividades Micro'!$A169=I$2,'Atividades Micro'!$K169&lt;&gt;""),'Atividades Micro'!$K169,"")</f>
        <v/>
      </c>
      <c r="J161" s="21" t="str">
        <f>IF(AND('Atividades Micro'!$A169=J$2,'Atividades Micro'!$L169&lt;&gt;""),'Atividades Micro'!$L169,"")</f>
        <v/>
      </c>
      <c r="K161" s="21" t="str">
        <f>IF(AND('Atividades Micro'!$B169=K$2,'Atividades Micro'!$K169&lt;&gt;""),'Atividades Micro'!$K169,"")</f>
        <v/>
      </c>
      <c r="L161" s="21" t="str">
        <f>IF(AND('Atividades Micro'!$B169=L$2,'Atividades Micro'!$L169&lt;&gt;""),'Atividades Micro'!$L169,"")</f>
        <v/>
      </c>
      <c r="M161" s="21" t="str">
        <f>IF(AND('Atividades Micro'!$B169=M$2,'Atividades Micro'!$K169&lt;&gt;""),'Atividades Micro'!$K169,"")</f>
        <v/>
      </c>
      <c r="N161" s="21" t="str">
        <f>IF(AND('Atividades Micro'!$B169=N$2,'Atividades Micro'!$L169&lt;&gt;""),'Atividades Micro'!$L169,"")</f>
        <v/>
      </c>
      <c r="O161" s="21" t="str">
        <f>IF(AND('Atividades Micro'!$A169=O$2,'Atividades Micro'!$K169&lt;&gt;""),'Atividades Micro'!$K169,"")</f>
        <v/>
      </c>
      <c r="P161" s="21" t="str">
        <f>IF(AND('Atividades Micro'!$A169=P$2,'Atividades Micro'!$L169&lt;&gt;""),'Atividades Micro'!$L169,"")</f>
        <v/>
      </c>
      <c r="Q161" s="21" t="str">
        <f>IF(AND('Atividades Micro'!$B169=Q$2,'Atividades Micro'!$K169&lt;&gt;""),'Atividades Micro'!$K169,"")</f>
        <v/>
      </c>
      <c r="R161" s="21" t="str">
        <f>IF(AND('Atividades Micro'!$B169=R$2,'Atividades Micro'!$L169&lt;&gt;""),'Atividades Micro'!$L169,"")</f>
        <v/>
      </c>
      <c r="S161" s="21" t="str">
        <f>IF(AND('Atividades Micro'!$A169=S$2,'Atividades Micro'!$K169&lt;&gt;""),'Atividades Micro'!$K169,"")</f>
        <v/>
      </c>
      <c r="T161" s="21" t="str">
        <f>IF(AND('Atividades Micro'!$A169=T$2,'Atividades Micro'!$L169&lt;&gt;""),'Atividades Micro'!$L169,"")</f>
        <v/>
      </c>
      <c r="U161" s="21" t="str">
        <f>IF(AND('Atividades Micro'!$B169=U$2,'Atividades Micro'!$K169&lt;&gt;""),'Atividades Micro'!$K169,"")</f>
        <v/>
      </c>
      <c r="V161" s="21" t="str">
        <f>IF(AND('Atividades Micro'!$B169=V$2,'Atividades Micro'!$L169&lt;&gt;""),'Atividades Micro'!$L169,"")</f>
        <v/>
      </c>
      <c r="W161" s="21" t="str">
        <f>IF(AND('Atividades Micro'!$B169=W$2,'Atividades Micro'!$K169&lt;&gt;""),'Atividades Micro'!$K169,"")</f>
        <v/>
      </c>
      <c r="X161" s="21" t="str">
        <f>IF(AND('Atividades Micro'!$B169=X$2,'Atividades Micro'!$L169&lt;&gt;""),'Atividades Micro'!$L169,"")</f>
        <v/>
      </c>
      <c r="Y161" s="21" t="str">
        <f>IF(AND('Atividades Micro'!$A169=Y$2,'Atividades Micro'!$K169&lt;&gt;""),'Atividades Micro'!$K169,"")</f>
        <v/>
      </c>
      <c r="Z161" s="21" t="str">
        <f>IF(AND('Atividades Micro'!$A169=Z$2,'Atividades Micro'!$L169&lt;&gt;""),'Atividades Micro'!$L169,"")</f>
        <v/>
      </c>
      <c r="AA161" s="21" t="str">
        <f>IF(AND('Atividades Micro'!$B169=AA$2,'Atividades Micro'!$K169&lt;&gt;""),'Atividades Micro'!$K169,"")</f>
        <v/>
      </c>
      <c r="AB161" s="21" t="str">
        <f>IF(AND('Atividades Micro'!$B169=AB$2,'Atividades Micro'!$L169&lt;&gt;""),'Atividades Micro'!$L169,"")</f>
        <v/>
      </c>
      <c r="AC161" s="21" t="str">
        <f>IF(AND('Atividades Micro'!$B169=AC$2,'Atividades Micro'!$K169&lt;&gt;""),'Atividades Micro'!$K169,"")</f>
        <v/>
      </c>
      <c r="AD161" s="21" t="str">
        <f>IF(AND('Atividades Micro'!$B169=AD$2,'Atividades Micro'!$L169&lt;&gt;""),'Atividades Micro'!$L169,"")</f>
        <v/>
      </c>
      <c r="AE161" s="21" t="str">
        <f>IF(AND('Atividades Micro'!$A169=AE$2,'Atividades Micro'!$K169&lt;&gt;""),'Atividades Micro'!$K169,"")</f>
        <v/>
      </c>
      <c r="AF161" s="21" t="str">
        <f>IF(AND('Atividades Micro'!$A169=AF$2,'Atividades Micro'!$L169&lt;&gt;""),'Atividades Micro'!$L169,"")</f>
        <v/>
      </c>
      <c r="AG161" s="21" t="str">
        <f>IF(AND('Atividades Micro'!$B169=AG$2,'Atividades Micro'!$K169&lt;&gt;""),'Atividades Micro'!$K169,"")</f>
        <v/>
      </c>
      <c r="AH161" s="21" t="str">
        <f>IF(AND('Atividades Micro'!$B169=AH$2,'Atividades Micro'!$L169&lt;&gt;""),'Atividades Micro'!$L169,"")</f>
        <v/>
      </c>
      <c r="AI161" s="21" t="str">
        <f>IF(AND('Atividades Micro'!$B169=AI$2,'Atividades Micro'!$K169&lt;&gt;""),'Atividades Micro'!$K169,"")</f>
        <v/>
      </c>
      <c r="AJ161" s="21" t="str">
        <f>IF(AND('Atividades Micro'!$B169=AJ$2,'Atividades Micro'!$L169&lt;&gt;""),'Atividades Micro'!$L169,"")</f>
        <v/>
      </c>
      <c r="AK161" s="21" t="str">
        <f>IF(AND('Atividades Micro'!$A169=AK$2,'Atividades Micro'!$K169&lt;&gt;""),'Atividades Micro'!$K169,"")</f>
        <v/>
      </c>
      <c r="AL161" s="21" t="str">
        <f>IF(AND('Atividades Micro'!$A169=AL$2,'Atividades Micro'!$L169&lt;&gt;""),'Atividades Micro'!$L169,"")</f>
        <v/>
      </c>
      <c r="AM161" s="21" t="str">
        <f>IF(AND('Atividades Micro'!$B169=AM$2,'Atividades Micro'!$K169&lt;&gt;""),'Atividades Micro'!$K169,"")</f>
        <v/>
      </c>
      <c r="AN161" s="21" t="str">
        <f>IF(AND('Atividades Micro'!$B169=AN$2,'Atividades Micro'!$L169&lt;&gt;""),'Atividades Micro'!$L169,"")</f>
        <v/>
      </c>
      <c r="AO161" s="21" t="str">
        <f>IF(AND('Atividades Micro'!$B169=AO$2,'Atividades Micro'!$K169&lt;&gt;""),'Atividades Micro'!$K169,"")</f>
        <v/>
      </c>
      <c r="AP161" s="21" t="str">
        <f>IF(AND('Atividades Micro'!$B169=AP$2,'Atividades Micro'!$L169&lt;&gt;""),'Atividades Micro'!$L169,"")</f>
        <v/>
      </c>
      <c r="AQ161" s="21" t="str">
        <f>IF(AND('Atividades Micro'!$A169=AQ$2,'Atividades Micro'!$K169&lt;&gt;""),'Atividades Micro'!$K169,"")</f>
        <v/>
      </c>
      <c r="AR161" s="21" t="str">
        <f>IF(AND('Atividades Micro'!$A169=AR$2,'Atividades Micro'!$L169&lt;&gt;""),'Atividades Micro'!$L169,"")</f>
        <v/>
      </c>
      <c r="AS161" s="21" t="str">
        <f>IF(AND('Atividades Micro'!$B169=AS$2,'Atividades Micro'!$K169&lt;&gt;""),'Atividades Micro'!$K169,"")</f>
        <v/>
      </c>
      <c r="AT161" s="21" t="str">
        <f>IF(AND('Atividades Micro'!$B169=AT$2,'Atividades Micro'!$L169&lt;&gt;""),'Atividades Micro'!$L169,"")</f>
        <v/>
      </c>
      <c r="AU161" s="21" t="str">
        <f>IF(AND('Atividades Micro'!$A169=AU$2,'Atividades Micro'!$K169&lt;&gt;""),'Atividades Micro'!$K169,"")</f>
        <v/>
      </c>
      <c r="AV161" s="21" t="str">
        <f>IF(AND('Atividades Micro'!$A169=AV$2,'Atividades Micro'!$L169&lt;&gt;""),'Atividades Micro'!$L169,"")</f>
        <v/>
      </c>
      <c r="AW161" s="21" t="str">
        <f>IF(AND('Atividades Micro'!$B169=AW$2,'Atividades Micro'!$K169&lt;&gt;""),'Atividades Micro'!$K169,"")</f>
        <v/>
      </c>
      <c r="AX161" s="21" t="str">
        <f>IF(AND('Atividades Micro'!$B169=AX$2,'Atividades Micro'!$L169&lt;&gt;""),'Atividades Micro'!$L169,"")</f>
        <v/>
      </c>
      <c r="AY161" s="21" t="str">
        <f>IF(AND('Atividades Micro'!$A169=AY$2,'Atividades Micro'!$K169&lt;&gt;""),'Atividades Micro'!$K169,"")</f>
        <v/>
      </c>
      <c r="AZ161" s="21" t="str">
        <f>IF(AND('Atividades Micro'!$A169=AZ$2,'Atividades Micro'!$L169&lt;&gt;""),'Atividades Micro'!$L169,"")</f>
        <v/>
      </c>
      <c r="BA161" s="21" t="str">
        <f>IF(AND('Atividades Micro'!$B169=BA$2,'Atividades Micro'!$K169&lt;&gt;""),'Atividades Micro'!$K169,"")</f>
        <v/>
      </c>
      <c r="BB161" s="21" t="str">
        <f>IF(AND('Atividades Micro'!$B169=BB$2,'Atividades Micro'!$L169&lt;&gt;""),'Atividades Micro'!$L169,"")</f>
        <v/>
      </c>
      <c r="BC161" s="21" t="str">
        <f>IF(AND('Atividades Micro'!$B169=BC$2,'Atividades Micro'!$G169="Macro",'Atividades Micro'!$K169&lt;&gt;""),'Atividades Micro'!$K169,"")</f>
        <v/>
      </c>
      <c r="BD161" s="21" t="str">
        <f>IF(AND('Atividades Micro'!$B169=BD$2,'Atividades Micro'!$G169="Macro",'Atividades Micro'!$K169&lt;&gt;""),'Atividades Micro'!$K169,"")</f>
        <v/>
      </c>
      <c r="BE161" s="21" t="str">
        <f>IF(AND('Atividades Micro'!$B169=BE$2,'Atividades Micro'!$G169="Macro",'Atividades Micro'!$K169&lt;&gt;""),'Atividades Micro'!$K169,"")</f>
        <v/>
      </c>
      <c r="BF161" s="21" t="str">
        <f>IF(AND('Atividades Micro'!$B169=BF$2,'Atividades Micro'!$G169="Macro",'Atividades Micro'!$K169&lt;&gt;""),'Atividades Micro'!$K169,"")</f>
        <v/>
      </c>
      <c r="BG161" s="21" t="str">
        <f>IF(AND('Atividades Micro'!$B169=BG$2,'Atividades Micro'!$G169="Macro",'Atividades Micro'!$K169&lt;&gt;""),'Atividades Micro'!$K169,"")</f>
        <v/>
      </c>
      <c r="BH161" s="21" t="str">
        <f>IF(AND('Atividades Micro'!$B169=BH$2,'Atividades Micro'!$G169="Macro",'Atividades Micro'!$K169&lt;&gt;""),'Atividades Micro'!$K169,"")</f>
        <v/>
      </c>
      <c r="BI161" s="21" t="str">
        <f>IF(AND('Atividades Micro'!$B169=BI$2,'Atividades Micro'!$G169="Macro",'Atividades Micro'!$K169&lt;&gt;""),'Atividades Micro'!$K169,"")</f>
        <v/>
      </c>
      <c r="BJ161" s="21" t="str">
        <f>IF(AND('Atividades Micro'!$B169=BJ$2,'Atividades Micro'!$G169="Macro",'Atividades Micro'!$K169&lt;&gt;""),'Atividades Micro'!$K169,"")</f>
        <v/>
      </c>
      <c r="BK161" s="21" t="str">
        <f>IF(AND('Atividades Micro'!$B169=BK$2,'Atividades Micro'!$G169="Macro",'Atividades Micro'!$K169&lt;&gt;""),'Atividades Micro'!$K169,"")</f>
        <v/>
      </c>
      <c r="BL161" s="21" t="str">
        <f>IF(AND('Atividades Micro'!$B169=BL$2,'Atividades Micro'!$G169="Macro",'Atividades Micro'!$K169&lt;&gt;""),'Atividades Micro'!$K169,"")</f>
        <v/>
      </c>
      <c r="BM161" s="21" t="str">
        <f>IF(AND('Atividades Micro'!$B169=BM$2,'Atividades Micro'!$G169="Macro",'Atividades Micro'!$K169&lt;&gt;""),'Atividades Micro'!$K169,"")</f>
        <v/>
      </c>
      <c r="BN161" s="21" t="str">
        <f>IF(AND('Atividades Micro'!$B169=BN$2,'Atividades Micro'!$G169="Macro",'Atividades Micro'!$K169&lt;&gt;""),'Atividades Micro'!$K169,"")</f>
        <v/>
      </c>
      <c r="BO161" s="21" t="str">
        <f>IF(AND('Atividades Micro'!$B169=BO$2,'Atividades Micro'!$G169="Macro",'Atividades Micro'!$K169&lt;&gt;""),'Atividades Micro'!$K169,"")</f>
        <v/>
      </c>
      <c r="BP161" s="21" t="str">
        <f>IF(AND('Atividades Micro'!$B169=BP$2,'Atividades Micro'!$G169="Macro",'Atividades Micro'!$K169&lt;&gt;""),'Atividades Micro'!$K169,"")</f>
        <v/>
      </c>
      <c r="BQ161" s="21" t="str">
        <f>IF(AND('Atividades Micro'!$B169=BQ$2,'Atividades Micro'!$G169="Macro",'Atividades Micro'!$K169&lt;&gt;""),'Atividades Micro'!$K169,"")</f>
        <v/>
      </c>
      <c r="BR161" s="21" t="str">
        <f>IF(AND('Atividades Micro'!$B169=BR$2,'Atividades Micro'!$G169="Macro",'Atividades Micro'!$K169&lt;&gt;""),'Atividades Micro'!$K169,"")</f>
        <v/>
      </c>
      <c r="BS161" s="21" t="str">
        <f>IF(AND('Atividades Micro'!$B169=BS$2,'Atividades Micro'!$G169="Macro",'Atividades Micro'!$K169&lt;&gt;""),'Atividades Micro'!$K169,"")</f>
        <v/>
      </c>
      <c r="BT161" s="21" t="str">
        <f>IF(AND('Atividades Micro'!$B169=BT$2,'Atividades Micro'!$G169="Macro",'Atividades Micro'!$K169&lt;&gt;""),'Atividades Micro'!$K169,"")</f>
        <v/>
      </c>
      <c r="BU161" s="21" t="str">
        <f>IF(AND('Atividades Micro'!$B169=BU$2,'Atividades Micro'!$G169="Macro",'Atividades Micro'!$K169&lt;&gt;""),'Atividades Micro'!$K169,"")</f>
        <v/>
      </c>
      <c r="BV161" s="21" t="str">
        <f>IF(AND('Atividades Micro'!$B169=BV$2,'Atividades Micro'!$G169="Macro",'Atividades Micro'!$K169&lt;&gt;""),'Atividades Micro'!$K169,"")</f>
        <v/>
      </c>
      <c r="BW161" s="21" t="str">
        <f>IF(AND('Atividades Micro'!$B169=BW$2,'Atividades Micro'!$G169="Macro",'Atividades Micro'!$K169&lt;&gt;""),'Atividades Micro'!$K169,"")</f>
        <v/>
      </c>
      <c r="BX161" s="21" t="str">
        <f>IF(AND('Atividades Micro'!$B169=BX$2,'Atividades Micro'!$G169="Macro",'Atividades Micro'!$K169&lt;&gt;""),'Atividades Micro'!$K169,"")</f>
        <v/>
      </c>
      <c r="BY161" s="21" t="str">
        <f>IF(AND('Atividades Micro'!$B169=BY$2,'Atividades Micro'!$G169="Macro",'Atividades Micro'!$K169&lt;&gt;""),'Atividades Micro'!$K169,"")</f>
        <v/>
      </c>
      <c r="BZ161" s="21" t="str">
        <f>IF(AND('Atividades Micro'!$B169=BZ$2,'Atividades Micro'!$G169="Macro",'Atividades Micro'!$K169&lt;&gt;""),'Atividades Micro'!$K169,"")</f>
        <v/>
      </c>
      <c r="CA161" s="21" t="str">
        <f>IF(AND('Atividades Micro'!$B169=CA$2,'Atividades Micro'!$G169="Macro",'Atividades Micro'!$K169&lt;&gt;""),'Atividades Micro'!$K169,"")</f>
        <v/>
      </c>
      <c r="CB161" s="21" t="str">
        <f>IF(AND('Atividades Micro'!$B169=CB$2,'Atividades Micro'!$G169="Macro",'Atividades Micro'!$K169&lt;&gt;""),'Atividades Micro'!$K169,"")</f>
        <v/>
      </c>
      <c r="CC161" s="21" t="str">
        <f>IF(AND('Atividades Micro'!$B169=CC$2,'Atividades Micro'!$G169="Macro",'Atividades Micro'!$K169&lt;&gt;""),'Atividades Micro'!$K169,"")</f>
        <v/>
      </c>
      <c r="CD161" s="21" t="str">
        <f>IF(AND('Atividades Micro'!$B169=CD$2,'Atividades Micro'!$G169="Micro",'Atividades Micro'!$K169&lt;&gt;""),'Atividades Micro'!$K169,"")</f>
        <v/>
      </c>
      <c r="CE161" s="21" t="str">
        <f>IF(AND('Atividades Micro'!$B169=CE$2,'Atividades Micro'!$G169="Micro",'Atividades Micro'!$K169&lt;&gt;""),'Atividades Micro'!$K169,"")</f>
        <v/>
      </c>
      <c r="CF161" s="21" t="str">
        <f>IF(AND('Atividades Micro'!$B169=CF$2,'Atividades Micro'!$G169="Micro",'Atividades Micro'!$K169&lt;&gt;""),'Atividades Micro'!$K169,"")</f>
        <v/>
      </c>
      <c r="CG161" s="21" t="str">
        <f>IF(AND('Atividades Micro'!$B169=CG$2,'Atividades Micro'!$G169="Micro",'Atividades Micro'!$K169&lt;&gt;""),'Atividades Micro'!$K169,"")</f>
        <v/>
      </c>
      <c r="CH161" s="21" t="str">
        <f>IF(AND('Atividades Micro'!$B169=CH$2,'Atividades Micro'!$G169="Micro",'Atividades Micro'!$K169&lt;&gt;""),'Atividades Micro'!$K169,"")</f>
        <v/>
      </c>
      <c r="CI161" s="21" t="str">
        <f>IF(AND('Atividades Micro'!$B169=CI$2,'Atividades Micro'!$G169="Micro",'Atividades Micro'!$K169&lt;&gt;""),'Atividades Micro'!$K169,"")</f>
        <v/>
      </c>
      <c r="CJ161" s="21" t="str">
        <f>IF(AND('Atividades Micro'!$B169=CJ$2,'Atividades Micro'!$G169="Micro",'Atividades Micro'!$K169&lt;&gt;""),'Atividades Micro'!$K169,"")</f>
        <v/>
      </c>
      <c r="CK161" s="21" t="str">
        <f>IF(AND('Atividades Micro'!$B169=CK$2,'Atividades Micro'!$G169="Micro",'Atividades Micro'!$K169&lt;&gt;""),'Atividades Micro'!$K169,"")</f>
        <v/>
      </c>
      <c r="CL161" s="21" t="str">
        <f>IF(AND('Atividades Micro'!$B169=CL$2,'Atividades Micro'!$G169="Micro",'Atividades Micro'!$K169&lt;&gt;""),'Atividades Micro'!$K169,"")</f>
        <v/>
      </c>
      <c r="CM161" s="21" t="str">
        <f>IF(AND('Atividades Micro'!$B169=CM$2,'Atividades Micro'!$G169="Micro",'Atividades Micro'!$K169&lt;&gt;""),'Atividades Micro'!$K169,"")</f>
        <v/>
      </c>
      <c r="CN161" s="21" t="str">
        <f>IF(AND('Atividades Micro'!$B169=CN$2,'Atividades Micro'!$G169="Micro",'Atividades Micro'!$K169&lt;&gt;""),'Atividades Micro'!$K169,"")</f>
        <v/>
      </c>
      <c r="CO161" s="21" t="str">
        <f>IF(AND('Atividades Micro'!$B169=CO$2,'Atividades Micro'!$G169="Micro",'Atividades Micro'!$K169&lt;&gt;""),'Atividades Micro'!$K169,"")</f>
        <v/>
      </c>
    </row>
    <row r="162" spans="1:93">
      <c r="A162" s="21" t="str">
        <f>IF(AND('Atividades Micro'!$A170=A$2,'Atividades Micro'!$K170&lt;&gt;""),'Atividades Micro'!$K170,"")</f>
        <v/>
      </c>
      <c r="B162" s="21" t="str">
        <f>IF(AND('Atividades Micro'!$A170=B$2,'Atividades Micro'!$L170&lt;&gt;""),'Atividades Micro'!$L170,"")</f>
        <v/>
      </c>
      <c r="C162" s="21" t="str">
        <f>IF(AND('Atividades Micro'!$A170=C$2,'Atividades Micro'!$K170&lt;&gt;""),'Atividades Micro'!$K170,"")</f>
        <v/>
      </c>
      <c r="D162" s="21" t="str">
        <f>IF(AND('Atividades Micro'!$A170=D$2,'Atividades Micro'!$L170&lt;&gt;""),'Atividades Micro'!$L170,"")</f>
        <v/>
      </c>
      <c r="E162" s="21" t="str">
        <f>IF(AND('Atividades Micro'!$A170=E$2,'Atividades Micro'!$K170&lt;&gt;""),'Atividades Micro'!$K170,"")</f>
        <v/>
      </c>
      <c r="F162" s="21" t="str">
        <f>IF(AND('Atividades Micro'!$A170=F$2,'Atividades Micro'!$L170&lt;&gt;""),'Atividades Micro'!$L170,"")</f>
        <v/>
      </c>
      <c r="G162" s="21" t="str">
        <f>IF(AND('Atividades Micro'!$A170=G$2,'Atividades Micro'!$K170&lt;&gt;""),'Atividades Micro'!$K170,"")</f>
        <v/>
      </c>
      <c r="H162" s="21" t="str">
        <f>IF(AND('Atividades Micro'!$A170=H$2,'Atividades Micro'!$L170&lt;&gt;""),'Atividades Micro'!$L170,"")</f>
        <v/>
      </c>
      <c r="I162" s="21" t="str">
        <f>IF(AND('Atividades Micro'!$A170=I$2,'Atividades Micro'!$K170&lt;&gt;""),'Atividades Micro'!$K170,"")</f>
        <v/>
      </c>
      <c r="J162" s="21" t="str">
        <f>IF(AND('Atividades Micro'!$A170=J$2,'Atividades Micro'!$L170&lt;&gt;""),'Atividades Micro'!$L170,"")</f>
        <v/>
      </c>
      <c r="K162" s="21" t="str">
        <f>IF(AND('Atividades Micro'!$B170=K$2,'Atividades Micro'!$K170&lt;&gt;""),'Atividades Micro'!$K170,"")</f>
        <v/>
      </c>
      <c r="L162" s="21" t="str">
        <f>IF(AND('Atividades Micro'!$B170=L$2,'Atividades Micro'!$L170&lt;&gt;""),'Atividades Micro'!$L170,"")</f>
        <v/>
      </c>
      <c r="M162" s="21" t="str">
        <f>IF(AND('Atividades Micro'!$B170=M$2,'Atividades Micro'!$K170&lt;&gt;""),'Atividades Micro'!$K170,"")</f>
        <v/>
      </c>
      <c r="N162" s="21" t="str">
        <f>IF(AND('Atividades Micro'!$B170=N$2,'Atividades Micro'!$L170&lt;&gt;""),'Atividades Micro'!$L170,"")</f>
        <v/>
      </c>
      <c r="O162" s="21" t="str">
        <f>IF(AND('Atividades Micro'!$A170=O$2,'Atividades Micro'!$K170&lt;&gt;""),'Atividades Micro'!$K170,"")</f>
        <v/>
      </c>
      <c r="P162" s="21" t="str">
        <f>IF(AND('Atividades Micro'!$A170=P$2,'Atividades Micro'!$L170&lt;&gt;""),'Atividades Micro'!$L170,"")</f>
        <v/>
      </c>
      <c r="Q162" s="21" t="str">
        <f>IF(AND('Atividades Micro'!$B170=Q$2,'Atividades Micro'!$K170&lt;&gt;""),'Atividades Micro'!$K170,"")</f>
        <v/>
      </c>
      <c r="R162" s="21" t="str">
        <f>IF(AND('Atividades Micro'!$B170=R$2,'Atividades Micro'!$L170&lt;&gt;""),'Atividades Micro'!$L170,"")</f>
        <v/>
      </c>
      <c r="S162" s="21" t="str">
        <f>IF(AND('Atividades Micro'!$A170=S$2,'Atividades Micro'!$K170&lt;&gt;""),'Atividades Micro'!$K170,"")</f>
        <v/>
      </c>
      <c r="T162" s="21" t="str">
        <f>IF(AND('Atividades Micro'!$A170=T$2,'Atividades Micro'!$L170&lt;&gt;""),'Atividades Micro'!$L170,"")</f>
        <v/>
      </c>
      <c r="U162" s="21" t="str">
        <f>IF(AND('Atividades Micro'!$B170=U$2,'Atividades Micro'!$K170&lt;&gt;""),'Atividades Micro'!$K170,"")</f>
        <v/>
      </c>
      <c r="V162" s="21" t="str">
        <f>IF(AND('Atividades Micro'!$B170=V$2,'Atividades Micro'!$L170&lt;&gt;""),'Atividades Micro'!$L170,"")</f>
        <v/>
      </c>
      <c r="W162" s="21" t="str">
        <f>IF(AND('Atividades Micro'!$B170=W$2,'Atividades Micro'!$K170&lt;&gt;""),'Atividades Micro'!$K170,"")</f>
        <v/>
      </c>
      <c r="X162" s="21" t="str">
        <f>IF(AND('Atividades Micro'!$B170=X$2,'Atividades Micro'!$L170&lt;&gt;""),'Atividades Micro'!$L170,"")</f>
        <v/>
      </c>
      <c r="Y162" s="21">
        <f>IF(AND('Atividades Micro'!$A170=Y$2,'Atividades Micro'!$K170&lt;&gt;""),'Atividades Micro'!$K170,"")</f>
        <v>46276</v>
      </c>
      <c r="Z162" s="21">
        <f>IF(AND('Atividades Micro'!$A170=Z$2,'Atividades Micro'!$L170&lt;&gt;""),'Atividades Micro'!$L170,"")</f>
        <v>46269</v>
      </c>
      <c r="AA162" s="21">
        <f>IF(AND('Atividades Micro'!$B170=AA$2,'Atividades Micro'!$K170&lt;&gt;""),'Atividades Micro'!$K170,"")</f>
        <v>46276</v>
      </c>
      <c r="AB162" s="21">
        <f>IF(AND('Atividades Micro'!$B170=AB$2,'Atividades Micro'!$L170&lt;&gt;""),'Atividades Micro'!$L170,"")</f>
        <v>46269</v>
      </c>
      <c r="AC162" s="21" t="str">
        <f>IF(AND('Atividades Micro'!$B170=AC$2,'Atividades Micro'!$K170&lt;&gt;""),'Atividades Micro'!$K170,"")</f>
        <v/>
      </c>
      <c r="AD162" s="21" t="str">
        <f>IF(AND('Atividades Micro'!$B170=AD$2,'Atividades Micro'!$L170&lt;&gt;""),'Atividades Micro'!$L170,"")</f>
        <v/>
      </c>
      <c r="AE162" s="21" t="str">
        <f>IF(AND('Atividades Micro'!$A170=AE$2,'Atividades Micro'!$K170&lt;&gt;""),'Atividades Micro'!$K170,"")</f>
        <v/>
      </c>
      <c r="AF162" s="21" t="str">
        <f>IF(AND('Atividades Micro'!$A170=AF$2,'Atividades Micro'!$L170&lt;&gt;""),'Atividades Micro'!$L170,"")</f>
        <v/>
      </c>
      <c r="AG162" s="21" t="str">
        <f>IF(AND('Atividades Micro'!$B170=AG$2,'Atividades Micro'!$K170&lt;&gt;""),'Atividades Micro'!$K170,"")</f>
        <v/>
      </c>
      <c r="AH162" s="21" t="str">
        <f>IF(AND('Atividades Micro'!$B170=AH$2,'Atividades Micro'!$L170&lt;&gt;""),'Atividades Micro'!$L170,"")</f>
        <v/>
      </c>
      <c r="AI162" s="21" t="str">
        <f>IF(AND('Atividades Micro'!$B170=AI$2,'Atividades Micro'!$K170&lt;&gt;""),'Atividades Micro'!$K170,"")</f>
        <v/>
      </c>
      <c r="AJ162" s="21" t="str">
        <f>IF(AND('Atividades Micro'!$B170=AJ$2,'Atividades Micro'!$L170&lt;&gt;""),'Atividades Micro'!$L170,"")</f>
        <v/>
      </c>
      <c r="AK162" s="21" t="str">
        <f>IF(AND('Atividades Micro'!$A170=AK$2,'Atividades Micro'!$K170&lt;&gt;""),'Atividades Micro'!$K170,"")</f>
        <v/>
      </c>
      <c r="AL162" s="21" t="str">
        <f>IF(AND('Atividades Micro'!$A170=AL$2,'Atividades Micro'!$L170&lt;&gt;""),'Atividades Micro'!$L170,"")</f>
        <v/>
      </c>
      <c r="AM162" s="21" t="str">
        <f>IF(AND('Atividades Micro'!$B170=AM$2,'Atividades Micro'!$K170&lt;&gt;""),'Atividades Micro'!$K170,"")</f>
        <v/>
      </c>
      <c r="AN162" s="21" t="str">
        <f>IF(AND('Atividades Micro'!$B170=AN$2,'Atividades Micro'!$L170&lt;&gt;""),'Atividades Micro'!$L170,"")</f>
        <v/>
      </c>
      <c r="AO162" s="21" t="str">
        <f>IF(AND('Atividades Micro'!$B170=AO$2,'Atividades Micro'!$K170&lt;&gt;""),'Atividades Micro'!$K170,"")</f>
        <v/>
      </c>
      <c r="AP162" s="21" t="str">
        <f>IF(AND('Atividades Micro'!$B170=AP$2,'Atividades Micro'!$L170&lt;&gt;""),'Atividades Micro'!$L170,"")</f>
        <v/>
      </c>
      <c r="AQ162" s="21" t="str">
        <f>IF(AND('Atividades Micro'!$A170=AQ$2,'Atividades Micro'!$K170&lt;&gt;""),'Atividades Micro'!$K170,"")</f>
        <v/>
      </c>
      <c r="AR162" s="21" t="str">
        <f>IF(AND('Atividades Micro'!$A170=AR$2,'Atividades Micro'!$L170&lt;&gt;""),'Atividades Micro'!$L170,"")</f>
        <v/>
      </c>
      <c r="AS162" s="21" t="str">
        <f>IF(AND('Atividades Micro'!$B170=AS$2,'Atividades Micro'!$K170&lt;&gt;""),'Atividades Micro'!$K170,"")</f>
        <v/>
      </c>
      <c r="AT162" s="21" t="str">
        <f>IF(AND('Atividades Micro'!$B170=AT$2,'Atividades Micro'!$L170&lt;&gt;""),'Atividades Micro'!$L170,"")</f>
        <v/>
      </c>
      <c r="AU162" s="21" t="str">
        <f>IF(AND('Atividades Micro'!$A170=AU$2,'Atividades Micro'!$K170&lt;&gt;""),'Atividades Micro'!$K170,"")</f>
        <v/>
      </c>
      <c r="AV162" s="21" t="str">
        <f>IF(AND('Atividades Micro'!$A170=AV$2,'Atividades Micro'!$L170&lt;&gt;""),'Atividades Micro'!$L170,"")</f>
        <v/>
      </c>
      <c r="AW162" s="21" t="str">
        <f>IF(AND('Atividades Micro'!$B170=AW$2,'Atividades Micro'!$K170&lt;&gt;""),'Atividades Micro'!$K170,"")</f>
        <v/>
      </c>
      <c r="AX162" s="21" t="str">
        <f>IF(AND('Atividades Micro'!$B170=AX$2,'Atividades Micro'!$L170&lt;&gt;""),'Atividades Micro'!$L170,"")</f>
        <v/>
      </c>
      <c r="AY162" s="21" t="str">
        <f>IF(AND('Atividades Micro'!$A170=AY$2,'Atividades Micro'!$K170&lt;&gt;""),'Atividades Micro'!$K170,"")</f>
        <v/>
      </c>
      <c r="AZ162" s="21" t="str">
        <f>IF(AND('Atividades Micro'!$A170=AZ$2,'Atividades Micro'!$L170&lt;&gt;""),'Atividades Micro'!$L170,"")</f>
        <v/>
      </c>
      <c r="BA162" s="21" t="str">
        <f>IF(AND('Atividades Micro'!$B170=BA$2,'Atividades Micro'!$K170&lt;&gt;""),'Atividades Micro'!$K170,"")</f>
        <v/>
      </c>
      <c r="BB162" s="21" t="str">
        <f>IF(AND('Atividades Micro'!$B170=BB$2,'Atividades Micro'!$L170&lt;&gt;""),'Atividades Micro'!$L170,"")</f>
        <v/>
      </c>
      <c r="BC162" s="21" t="str">
        <f>IF(AND('Atividades Micro'!$B170=BC$2,'Atividades Micro'!$G170="Macro",'Atividades Micro'!$K170&lt;&gt;""),'Atividades Micro'!$K170,"")</f>
        <v/>
      </c>
      <c r="BD162" s="21" t="str">
        <f>IF(AND('Atividades Micro'!$B170=BD$2,'Atividades Micro'!$G170="Macro",'Atividades Micro'!$K170&lt;&gt;""),'Atividades Micro'!$K170,"")</f>
        <v/>
      </c>
      <c r="BE162" s="21" t="str">
        <f>IF(AND('Atividades Micro'!$B170=BE$2,'Atividades Micro'!$G170="Macro",'Atividades Micro'!$K170&lt;&gt;""),'Atividades Micro'!$K170,"")</f>
        <v/>
      </c>
      <c r="BF162" s="21" t="str">
        <f>IF(AND('Atividades Micro'!$B170=BF$2,'Atividades Micro'!$G170="Macro",'Atividades Micro'!$K170&lt;&gt;""),'Atividades Micro'!$K170,"")</f>
        <v/>
      </c>
      <c r="BG162" s="21" t="str">
        <f>IF(AND('Atividades Micro'!$B170=BG$2,'Atividades Micro'!$G170="Macro",'Atividades Micro'!$K170&lt;&gt;""),'Atividades Micro'!$K170,"")</f>
        <v/>
      </c>
      <c r="BH162" s="21" t="str">
        <f>IF(AND('Atividades Micro'!$B170=BH$2,'Atividades Micro'!$G170="Macro",'Atividades Micro'!$K170&lt;&gt;""),'Atividades Micro'!$K170,"")</f>
        <v/>
      </c>
      <c r="BI162" s="21" t="str">
        <f>IF(AND('Atividades Micro'!$B170=BI$2,'Atividades Micro'!$G170="Macro",'Atividades Micro'!$K170&lt;&gt;""),'Atividades Micro'!$K170,"")</f>
        <v/>
      </c>
      <c r="BJ162" s="21" t="str">
        <f>IF(AND('Atividades Micro'!$B170=BJ$2,'Atividades Micro'!$G170="Macro",'Atividades Micro'!$K170&lt;&gt;""),'Atividades Micro'!$K170,"")</f>
        <v/>
      </c>
      <c r="BK162" s="21" t="str">
        <f>IF(AND('Atividades Micro'!$B170=BK$2,'Atividades Micro'!$G170="Macro",'Atividades Micro'!$K170&lt;&gt;""),'Atividades Micro'!$K170,"")</f>
        <v/>
      </c>
      <c r="BL162" s="21" t="str">
        <f>IF(AND('Atividades Micro'!$B170=BL$2,'Atividades Micro'!$G170="Macro",'Atividades Micro'!$K170&lt;&gt;""),'Atividades Micro'!$K170,"")</f>
        <v/>
      </c>
      <c r="BM162" s="21" t="str">
        <f>IF(AND('Atividades Micro'!$B170=BM$2,'Atividades Micro'!$G170="Macro",'Atividades Micro'!$K170&lt;&gt;""),'Atividades Micro'!$K170,"")</f>
        <v/>
      </c>
      <c r="BN162" s="21" t="str">
        <f>IF(AND('Atividades Micro'!$B170=BN$2,'Atividades Micro'!$G170="Macro",'Atividades Micro'!$K170&lt;&gt;""),'Atividades Micro'!$K170,"")</f>
        <v/>
      </c>
      <c r="BO162" s="21" t="str">
        <f>IF(AND('Atividades Micro'!$B170=BO$2,'Atividades Micro'!$G170="Macro",'Atividades Micro'!$K170&lt;&gt;""),'Atividades Micro'!$K170,"")</f>
        <v/>
      </c>
      <c r="BP162" s="21">
        <f>IF(AND('Atividades Micro'!$B170=BP$2,'Atividades Micro'!$G170="Macro",'Atividades Micro'!$K170&lt;&gt;""),'Atividades Micro'!$K170,"")</f>
        <v>46276</v>
      </c>
      <c r="BQ162" s="21" t="str">
        <f>IF(AND('Atividades Micro'!$B170=BQ$2,'Atividades Micro'!$G170="Macro",'Atividades Micro'!$K170&lt;&gt;""),'Atividades Micro'!$K170,"")</f>
        <v/>
      </c>
      <c r="BR162" s="21" t="str">
        <f>IF(AND('Atividades Micro'!$B170=BR$2,'Atividades Micro'!$G170="Macro",'Atividades Micro'!$K170&lt;&gt;""),'Atividades Micro'!$K170,"")</f>
        <v/>
      </c>
      <c r="BS162" s="21" t="str">
        <f>IF(AND('Atividades Micro'!$B170=BS$2,'Atividades Micro'!$G170="Macro",'Atividades Micro'!$K170&lt;&gt;""),'Atividades Micro'!$K170,"")</f>
        <v/>
      </c>
      <c r="BT162" s="21" t="str">
        <f>IF(AND('Atividades Micro'!$B170=BT$2,'Atividades Micro'!$G170="Macro",'Atividades Micro'!$K170&lt;&gt;""),'Atividades Micro'!$K170,"")</f>
        <v/>
      </c>
      <c r="BU162" s="21" t="str">
        <f>IF(AND('Atividades Micro'!$B170=BU$2,'Atividades Micro'!$G170="Macro",'Atividades Micro'!$K170&lt;&gt;""),'Atividades Micro'!$K170,"")</f>
        <v/>
      </c>
      <c r="BV162" s="21" t="str">
        <f>IF(AND('Atividades Micro'!$B170=BV$2,'Atividades Micro'!$G170="Macro",'Atividades Micro'!$K170&lt;&gt;""),'Atividades Micro'!$K170,"")</f>
        <v/>
      </c>
      <c r="BW162" s="21" t="str">
        <f>IF(AND('Atividades Micro'!$B170=BW$2,'Atividades Micro'!$G170="Macro",'Atividades Micro'!$K170&lt;&gt;""),'Atividades Micro'!$K170,"")</f>
        <v/>
      </c>
      <c r="BX162" s="21" t="str">
        <f>IF(AND('Atividades Micro'!$B170=BX$2,'Atividades Micro'!$G170="Macro",'Atividades Micro'!$K170&lt;&gt;""),'Atividades Micro'!$K170,"")</f>
        <v/>
      </c>
      <c r="BY162" s="21" t="str">
        <f>IF(AND('Atividades Micro'!$B170=BY$2,'Atividades Micro'!$G170="Macro",'Atividades Micro'!$K170&lt;&gt;""),'Atividades Micro'!$K170,"")</f>
        <v/>
      </c>
      <c r="BZ162" s="21" t="str">
        <f>IF(AND('Atividades Micro'!$B170=BZ$2,'Atividades Micro'!$G170="Macro",'Atividades Micro'!$K170&lt;&gt;""),'Atividades Micro'!$K170,"")</f>
        <v/>
      </c>
      <c r="CA162" s="21" t="str">
        <f>IF(AND('Atividades Micro'!$B170=CA$2,'Atividades Micro'!$G170="Macro",'Atividades Micro'!$K170&lt;&gt;""),'Atividades Micro'!$K170,"")</f>
        <v/>
      </c>
      <c r="CB162" s="21" t="str">
        <f>IF(AND('Atividades Micro'!$B170=CB$2,'Atividades Micro'!$G170="Macro",'Atividades Micro'!$K170&lt;&gt;""),'Atividades Micro'!$K170,"")</f>
        <v/>
      </c>
      <c r="CC162" s="21" t="str">
        <f>IF(AND('Atividades Micro'!$B170=CC$2,'Atividades Micro'!$G170="Macro",'Atividades Micro'!$K170&lt;&gt;""),'Atividades Micro'!$K170,"")</f>
        <v/>
      </c>
      <c r="CD162" s="21" t="str">
        <f>IF(AND('Atividades Micro'!$B170=CD$2,'Atividades Micro'!$G170="Micro",'Atividades Micro'!$K170&lt;&gt;""),'Atividades Micro'!$K170,"")</f>
        <v/>
      </c>
      <c r="CE162" s="21" t="str">
        <f>IF(AND('Atividades Micro'!$B170=CE$2,'Atividades Micro'!$G170="Micro",'Atividades Micro'!$K170&lt;&gt;""),'Atividades Micro'!$K170,"")</f>
        <v/>
      </c>
      <c r="CF162" s="21" t="str">
        <f>IF(AND('Atividades Micro'!$B170=CF$2,'Atividades Micro'!$G170="Micro",'Atividades Micro'!$K170&lt;&gt;""),'Atividades Micro'!$K170,"")</f>
        <v/>
      </c>
      <c r="CG162" s="21" t="str">
        <f>IF(AND('Atividades Micro'!$B170=CG$2,'Atividades Micro'!$G170="Micro",'Atividades Micro'!$K170&lt;&gt;""),'Atividades Micro'!$K170,"")</f>
        <v/>
      </c>
      <c r="CH162" s="21" t="str">
        <f>IF(AND('Atividades Micro'!$B170=CH$2,'Atividades Micro'!$G170="Micro",'Atividades Micro'!$K170&lt;&gt;""),'Atividades Micro'!$K170,"")</f>
        <v/>
      </c>
      <c r="CI162" s="21" t="str">
        <f>IF(AND('Atividades Micro'!$B170=CI$2,'Atividades Micro'!$G170="Micro",'Atividades Micro'!$K170&lt;&gt;""),'Atividades Micro'!$K170,"")</f>
        <v/>
      </c>
      <c r="CJ162" s="21" t="str">
        <f>IF(AND('Atividades Micro'!$B170=CJ$2,'Atividades Micro'!$G170="Micro",'Atividades Micro'!$K170&lt;&gt;""),'Atividades Micro'!$K170,"")</f>
        <v/>
      </c>
      <c r="CK162" s="21" t="str">
        <f>IF(AND('Atividades Micro'!$B170=CK$2,'Atividades Micro'!$G170="Micro",'Atividades Micro'!$K170&lt;&gt;""),'Atividades Micro'!$K170,"")</f>
        <v/>
      </c>
      <c r="CL162" s="21" t="str">
        <f>IF(AND('Atividades Micro'!$B170=CL$2,'Atividades Micro'!$G170="Micro",'Atividades Micro'!$K170&lt;&gt;""),'Atividades Micro'!$K170,"")</f>
        <v/>
      </c>
      <c r="CM162" s="21" t="str">
        <f>IF(AND('Atividades Micro'!$B170=CM$2,'Atividades Micro'!$G170="Micro",'Atividades Micro'!$K170&lt;&gt;""),'Atividades Micro'!$K170,"")</f>
        <v/>
      </c>
      <c r="CN162" s="21" t="str">
        <f>IF(AND('Atividades Micro'!$B170=CN$2,'Atividades Micro'!$G170="Micro",'Atividades Micro'!$K170&lt;&gt;""),'Atividades Micro'!$K170,"")</f>
        <v/>
      </c>
      <c r="CO162" s="21" t="str">
        <f>IF(AND('Atividades Micro'!$B170=CO$2,'Atividades Micro'!$G170="Micro",'Atividades Micro'!$K170&lt;&gt;""),'Atividades Micro'!$K170,"")</f>
        <v/>
      </c>
    </row>
    <row r="163" spans="1:93">
      <c r="A163" s="21" t="str">
        <f>IF(AND('Atividades Micro'!$A171=A$2,'Atividades Micro'!$K171&lt;&gt;""),'Atividades Micro'!$K171,"")</f>
        <v/>
      </c>
      <c r="B163" s="21" t="str">
        <f>IF(AND('Atividades Micro'!$A171=B$2,'Atividades Micro'!$L171&lt;&gt;""),'Atividades Micro'!$L171,"")</f>
        <v/>
      </c>
      <c r="C163" s="21" t="str">
        <f>IF(AND('Atividades Micro'!$A171=C$2,'Atividades Micro'!$K171&lt;&gt;""),'Atividades Micro'!$K171,"")</f>
        <v/>
      </c>
      <c r="D163" s="21" t="str">
        <f>IF(AND('Atividades Micro'!$A171=D$2,'Atividades Micro'!$L171&lt;&gt;""),'Atividades Micro'!$L171,"")</f>
        <v/>
      </c>
      <c r="E163" s="21" t="str">
        <f>IF(AND('Atividades Micro'!$A171=E$2,'Atividades Micro'!$K171&lt;&gt;""),'Atividades Micro'!$K171,"")</f>
        <v/>
      </c>
      <c r="F163" s="21" t="str">
        <f>IF(AND('Atividades Micro'!$A171=F$2,'Atividades Micro'!$L171&lt;&gt;""),'Atividades Micro'!$L171,"")</f>
        <v/>
      </c>
      <c r="G163" s="21" t="str">
        <f>IF(AND('Atividades Micro'!$A171=G$2,'Atividades Micro'!$K171&lt;&gt;""),'Atividades Micro'!$K171,"")</f>
        <v/>
      </c>
      <c r="H163" s="21" t="str">
        <f>IF(AND('Atividades Micro'!$A171=H$2,'Atividades Micro'!$L171&lt;&gt;""),'Atividades Micro'!$L171,"")</f>
        <v/>
      </c>
      <c r="I163" s="21" t="str">
        <f>IF(AND('Atividades Micro'!$A171=I$2,'Atividades Micro'!$K171&lt;&gt;""),'Atividades Micro'!$K171,"")</f>
        <v/>
      </c>
      <c r="J163" s="21" t="str">
        <f>IF(AND('Atividades Micro'!$A171=J$2,'Atividades Micro'!$L171&lt;&gt;""),'Atividades Micro'!$L171,"")</f>
        <v/>
      </c>
      <c r="K163" s="21" t="str">
        <f>IF(AND('Atividades Micro'!$B171=K$2,'Atividades Micro'!$K171&lt;&gt;""),'Atividades Micro'!$K171,"")</f>
        <v/>
      </c>
      <c r="L163" s="21" t="str">
        <f>IF(AND('Atividades Micro'!$B171=L$2,'Atividades Micro'!$L171&lt;&gt;""),'Atividades Micro'!$L171,"")</f>
        <v/>
      </c>
      <c r="M163" s="21" t="str">
        <f>IF(AND('Atividades Micro'!$B171=M$2,'Atividades Micro'!$K171&lt;&gt;""),'Atividades Micro'!$K171,"")</f>
        <v/>
      </c>
      <c r="N163" s="21" t="str">
        <f>IF(AND('Atividades Micro'!$B171=N$2,'Atividades Micro'!$L171&lt;&gt;""),'Atividades Micro'!$L171,"")</f>
        <v/>
      </c>
      <c r="O163" s="21" t="str">
        <f>IF(AND('Atividades Micro'!$A171=O$2,'Atividades Micro'!$K171&lt;&gt;""),'Atividades Micro'!$K171,"")</f>
        <v/>
      </c>
      <c r="P163" s="21" t="str">
        <f>IF(AND('Atividades Micro'!$A171=P$2,'Atividades Micro'!$L171&lt;&gt;""),'Atividades Micro'!$L171,"")</f>
        <v/>
      </c>
      <c r="Q163" s="21" t="str">
        <f>IF(AND('Atividades Micro'!$B171=Q$2,'Atividades Micro'!$K171&lt;&gt;""),'Atividades Micro'!$K171,"")</f>
        <v/>
      </c>
      <c r="R163" s="21" t="str">
        <f>IF(AND('Atividades Micro'!$B171=R$2,'Atividades Micro'!$L171&lt;&gt;""),'Atividades Micro'!$L171,"")</f>
        <v/>
      </c>
      <c r="S163" s="21" t="str">
        <f>IF(AND('Atividades Micro'!$A171=S$2,'Atividades Micro'!$K171&lt;&gt;""),'Atividades Micro'!$K171,"")</f>
        <v/>
      </c>
      <c r="T163" s="21" t="str">
        <f>IF(AND('Atividades Micro'!$A171=T$2,'Atividades Micro'!$L171&lt;&gt;""),'Atividades Micro'!$L171,"")</f>
        <v/>
      </c>
      <c r="U163" s="21" t="str">
        <f>IF(AND('Atividades Micro'!$B171=U$2,'Atividades Micro'!$K171&lt;&gt;""),'Atividades Micro'!$K171,"")</f>
        <v/>
      </c>
      <c r="V163" s="21" t="str">
        <f>IF(AND('Atividades Micro'!$B171=V$2,'Atividades Micro'!$L171&lt;&gt;""),'Atividades Micro'!$L171,"")</f>
        <v/>
      </c>
      <c r="W163" s="21" t="str">
        <f>IF(AND('Atividades Micro'!$B171=W$2,'Atividades Micro'!$K171&lt;&gt;""),'Atividades Micro'!$K171,"")</f>
        <v/>
      </c>
      <c r="X163" s="21" t="str">
        <f>IF(AND('Atividades Micro'!$B171=X$2,'Atividades Micro'!$L171&lt;&gt;""),'Atividades Micro'!$L171,"")</f>
        <v/>
      </c>
      <c r="Y163" s="21">
        <f>IF(AND('Atividades Micro'!$A171=Y$2,'Atividades Micro'!$K171&lt;&gt;""),'Atividades Micro'!$K171,"")</f>
        <v>46238</v>
      </c>
      <c r="Z163" s="21">
        <f>IF(AND('Atividades Micro'!$A171=Z$2,'Atividades Micro'!$L171&lt;&gt;""),'Atividades Micro'!$L171,"")</f>
        <v>46230</v>
      </c>
      <c r="AA163" s="21">
        <f>IF(AND('Atividades Micro'!$B171=AA$2,'Atividades Micro'!$K171&lt;&gt;""),'Atividades Micro'!$K171,"")</f>
        <v>46238</v>
      </c>
      <c r="AB163" s="21">
        <f>IF(AND('Atividades Micro'!$B171=AB$2,'Atividades Micro'!$L171&lt;&gt;""),'Atividades Micro'!$L171,"")</f>
        <v>46230</v>
      </c>
      <c r="AC163" s="21" t="str">
        <f>IF(AND('Atividades Micro'!$B171=AC$2,'Atividades Micro'!$K171&lt;&gt;""),'Atividades Micro'!$K171,"")</f>
        <v/>
      </c>
      <c r="AD163" s="21" t="str">
        <f>IF(AND('Atividades Micro'!$B171=AD$2,'Atividades Micro'!$L171&lt;&gt;""),'Atividades Micro'!$L171,"")</f>
        <v/>
      </c>
      <c r="AE163" s="21" t="str">
        <f>IF(AND('Atividades Micro'!$A171=AE$2,'Atividades Micro'!$K171&lt;&gt;""),'Atividades Micro'!$K171,"")</f>
        <v/>
      </c>
      <c r="AF163" s="21" t="str">
        <f>IF(AND('Atividades Micro'!$A171=AF$2,'Atividades Micro'!$L171&lt;&gt;""),'Atividades Micro'!$L171,"")</f>
        <v/>
      </c>
      <c r="AG163" s="21" t="str">
        <f>IF(AND('Atividades Micro'!$B171=AG$2,'Atividades Micro'!$K171&lt;&gt;""),'Atividades Micro'!$K171,"")</f>
        <v/>
      </c>
      <c r="AH163" s="21" t="str">
        <f>IF(AND('Atividades Micro'!$B171=AH$2,'Atividades Micro'!$L171&lt;&gt;""),'Atividades Micro'!$L171,"")</f>
        <v/>
      </c>
      <c r="AI163" s="21" t="str">
        <f>IF(AND('Atividades Micro'!$B171=AI$2,'Atividades Micro'!$K171&lt;&gt;""),'Atividades Micro'!$K171,"")</f>
        <v/>
      </c>
      <c r="AJ163" s="21" t="str">
        <f>IF(AND('Atividades Micro'!$B171=AJ$2,'Atividades Micro'!$L171&lt;&gt;""),'Atividades Micro'!$L171,"")</f>
        <v/>
      </c>
      <c r="AK163" s="21" t="str">
        <f>IF(AND('Atividades Micro'!$A171=AK$2,'Atividades Micro'!$K171&lt;&gt;""),'Atividades Micro'!$K171,"")</f>
        <v/>
      </c>
      <c r="AL163" s="21" t="str">
        <f>IF(AND('Atividades Micro'!$A171=AL$2,'Atividades Micro'!$L171&lt;&gt;""),'Atividades Micro'!$L171,"")</f>
        <v/>
      </c>
      <c r="AM163" s="21" t="str">
        <f>IF(AND('Atividades Micro'!$B171=AM$2,'Atividades Micro'!$K171&lt;&gt;""),'Atividades Micro'!$K171,"")</f>
        <v/>
      </c>
      <c r="AN163" s="21" t="str">
        <f>IF(AND('Atividades Micro'!$B171=AN$2,'Atividades Micro'!$L171&lt;&gt;""),'Atividades Micro'!$L171,"")</f>
        <v/>
      </c>
      <c r="AO163" s="21" t="str">
        <f>IF(AND('Atividades Micro'!$B171=AO$2,'Atividades Micro'!$K171&lt;&gt;""),'Atividades Micro'!$K171,"")</f>
        <v/>
      </c>
      <c r="AP163" s="21" t="str">
        <f>IF(AND('Atividades Micro'!$B171=AP$2,'Atividades Micro'!$L171&lt;&gt;""),'Atividades Micro'!$L171,"")</f>
        <v/>
      </c>
      <c r="AQ163" s="21" t="str">
        <f>IF(AND('Atividades Micro'!$A171=AQ$2,'Atividades Micro'!$K171&lt;&gt;""),'Atividades Micro'!$K171,"")</f>
        <v/>
      </c>
      <c r="AR163" s="21" t="str">
        <f>IF(AND('Atividades Micro'!$A171=AR$2,'Atividades Micro'!$L171&lt;&gt;""),'Atividades Micro'!$L171,"")</f>
        <v/>
      </c>
      <c r="AS163" s="21" t="str">
        <f>IF(AND('Atividades Micro'!$B171=AS$2,'Atividades Micro'!$K171&lt;&gt;""),'Atividades Micro'!$K171,"")</f>
        <v/>
      </c>
      <c r="AT163" s="21" t="str">
        <f>IF(AND('Atividades Micro'!$B171=AT$2,'Atividades Micro'!$L171&lt;&gt;""),'Atividades Micro'!$L171,"")</f>
        <v/>
      </c>
      <c r="AU163" s="21" t="str">
        <f>IF(AND('Atividades Micro'!$A171=AU$2,'Atividades Micro'!$K171&lt;&gt;""),'Atividades Micro'!$K171,"")</f>
        <v/>
      </c>
      <c r="AV163" s="21" t="str">
        <f>IF(AND('Atividades Micro'!$A171=AV$2,'Atividades Micro'!$L171&lt;&gt;""),'Atividades Micro'!$L171,"")</f>
        <v/>
      </c>
      <c r="AW163" s="21" t="str">
        <f>IF(AND('Atividades Micro'!$B171=AW$2,'Atividades Micro'!$K171&lt;&gt;""),'Atividades Micro'!$K171,"")</f>
        <v/>
      </c>
      <c r="AX163" s="21" t="str">
        <f>IF(AND('Atividades Micro'!$B171=AX$2,'Atividades Micro'!$L171&lt;&gt;""),'Atividades Micro'!$L171,"")</f>
        <v/>
      </c>
      <c r="AY163" s="21" t="str">
        <f>IF(AND('Atividades Micro'!$A171=AY$2,'Atividades Micro'!$K171&lt;&gt;""),'Atividades Micro'!$K171,"")</f>
        <v/>
      </c>
      <c r="AZ163" s="21" t="str">
        <f>IF(AND('Atividades Micro'!$A171=AZ$2,'Atividades Micro'!$L171&lt;&gt;""),'Atividades Micro'!$L171,"")</f>
        <v/>
      </c>
      <c r="BA163" s="21" t="str">
        <f>IF(AND('Atividades Micro'!$B171=BA$2,'Atividades Micro'!$K171&lt;&gt;""),'Atividades Micro'!$K171,"")</f>
        <v/>
      </c>
      <c r="BB163" s="21" t="str">
        <f>IF(AND('Atividades Micro'!$B171=BB$2,'Atividades Micro'!$L171&lt;&gt;""),'Atividades Micro'!$L171,"")</f>
        <v/>
      </c>
      <c r="BC163" s="21" t="str">
        <f>IF(AND('Atividades Micro'!$B171=BC$2,'Atividades Micro'!$G171="Macro",'Atividades Micro'!$K171&lt;&gt;""),'Atividades Micro'!$K171,"")</f>
        <v/>
      </c>
      <c r="BD163" s="21" t="str">
        <f>IF(AND('Atividades Micro'!$B171=BD$2,'Atividades Micro'!$G171="Macro",'Atividades Micro'!$K171&lt;&gt;""),'Atividades Micro'!$K171,"")</f>
        <v/>
      </c>
      <c r="BE163" s="21" t="str">
        <f>IF(AND('Atividades Micro'!$B171=BE$2,'Atividades Micro'!$G171="Macro",'Atividades Micro'!$K171&lt;&gt;""),'Atividades Micro'!$K171,"")</f>
        <v/>
      </c>
      <c r="BF163" s="21" t="str">
        <f>IF(AND('Atividades Micro'!$B171=BF$2,'Atividades Micro'!$G171="Macro",'Atividades Micro'!$K171&lt;&gt;""),'Atividades Micro'!$K171,"")</f>
        <v/>
      </c>
      <c r="BG163" s="21" t="str">
        <f>IF(AND('Atividades Micro'!$B171=BG$2,'Atividades Micro'!$G171="Macro",'Atividades Micro'!$K171&lt;&gt;""),'Atividades Micro'!$K171,"")</f>
        <v/>
      </c>
      <c r="BH163" s="21" t="str">
        <f>IF(AND('Atividades Micro'!$B171=BH$2,'Atividades Micro'!$G171="Macro",'Atividades Micro'!$K171&lt;&gt;""),'Atividades Micro'!$K171,"")</f>
        <v/>
      </c>
      <c r="BI163" s="21" t="str">
        <f>IF(AND('Atividades Micro'!$B171=BI$2,'Atividades Micro'!$G171="Macro",'Atividades Micro'!$K171&lt;&gt;""),'Atividades Micro'!$K171,"")</f>
        <v/>
      </c>
      <c r="BJ163" s="21" t="str">
        <f>IF(AND('Atividades Micro'!$B171=BJ$2,'Atividades Micro'!$G171="Macro",'Atividades Micro'!$K171&lt;&gt;""),'Atividades Micro'!$K171,"")</f>
        <v/>
      </c>
      <c r="BK163" s="21" t="str">
        <f>IF(AND('Atividades Micro'!$B171=BK$2,'Atividades Micro'!$G171="Macro",'Atividades Micro'!$K171&lt;&gt;""),'Atividades Micro'!$K171,"")</f>
        <v/>
      </c>
      <c r="BL163" s="21" t="str">
        <f>IF(AND('Atividades Micro'!$B171=BL$2,'Atividades Micro'!$G171="Macro",'Atividades Micro'!$K171&lt;&gt;""),'Atividades Micro'!$K171,"")</f>
        <v/>
      </c>
      <c r="BM163" s="21" t="str">
        <f>IF(AND('Atividades Micro'!$B171=BM$2,'Atividades Micro'!$G171="Macro",'Atividades Micro'!$K171&lt;&gt;""),'Atividades Micro'!$K171,"")</f>
        <v/>
      </c>
      <c r="BN163" s="21" t="str">
        <f>IF(AND('Atividades Micro'!$B171=BN$2,'Atividades Micro'!$G171="Macro",'Atividades Micro'!$K171&lt;&gt;""),'Atividades Micro'!$K171,"")</f>
        <v/>
      </c>
      <c r="BO163" s="21" t="str">
        <f>IF(AND('Atividades Micro'!$B171=BO$2,'Atividades Micro'!$G171="Macro",'Atividades Micro'!$K171&lt;&gt;""),'Atividades Micro'!$K171,"")</f>
        <v/>
      </c>
      <c r="BP163" s="21" t="str">
        <f>IF(AND('Atividades Micro'!$B171=BP$2,'Atividades Micro'!$G171="Macro",'Atividades Micro'!$K171&lt;&gt;""),'Atividades Micro'!$K171,"")</f>
        <v/>
      </c>
      <c r="BQ163" s="21" t="str">
        <f>IF(AND('Atividades Micro'!$B171=BQ$2,'Atividades Micro'!$G171="Macro",'Atividades Micro'!$K171&lt;&gt;""),'Atividades Micro'!$K171,"")</f>
        <v/>
      </c>
      <c r="BR163" s="21" t="str">
        <f>IF(AND('Atividades Micro'!$B171=BR$2,'Atividades Micro'!$G171="Macro",'Atividades Micro'!$K171&lt;&gt;""),'Atividades Micro'!$K171,"")</f>
        <v/>
      </c>
      <c r="BS163" s="21" t="str">
        <f>IF(AND('Atividades Micro'!$B171=BS$2,'Atividades Micro'!$G171="Macro",'Atividades Micro'!$K171&lt;&gt;""),'Atividades Micro'!$K171,"")</f>
        <v/>
      </c>
      <c r="BT163" s="21" t="str">
        <f>IF(AND('Atividades Micro'!$B171=BT$2,'Atividades Micro'!$G171="Macro",'Atividades Micro'!$K171&lt;&gt;""),'Atividades Micro'!$K171,"")</f>
        <v/>
      </c>
      <c r="BU163" s="21" t="str">
        <f>IF(AND('Atividades Micro'!$B171=BU$2,'Atividades Micro'!$G171="Macro",'Atividades Micro'!$K171&lt;&gt;""),'Atividades Micro'!$K171,"")</f>
        <v/>
      </c>
      <c r="BV163" s="21" t="str">
        <f>IF(AND('Atividades Micro'!$B171=BV$2,'Atividades Micro'!$G171="Macro",'Atividades Micro'!$K171&lt;&gt;""),'Atividades Micro'!$K171,"")</f>
        <v/>
      </c>
      <c r="BW163" s="21" t="str">
        <f>IF(AND('Atividades Micro'!$B171=BW$2,'Atividades Micro'!$G171="Macro",'Atividades Micro'!$K171&lt;&gt;""),'Atividades Micro'!$K171,"")</f>
        <v/>
      </c>
      <c r="BX163" s="21" t="str">
        <f>IF(AND('Atividades Micro'!$B171=BX$2,'Atividades Micro'!$G171="Macro",'Atividades Micro'!$K171&lt;&gt;""),'Atividades Micro'!$K171,"")</f>
        <v/>
      </c>
      <c r="BY163" s="21" t="str">
        <f>IF(AND('Atividades Micro'!$B171=BY$2,'Atividades Micro'!$G171="Macro",'Atividades Micro'!$K171&lt;&gt;""),'Atividades Micro'!$K171,"")</f>
        <v/>
      </c>
      <c r="BZ163" s="21" t="str">
        <f>IF(AND('Atividades Micro'!$B171=BZ$2,'Atividades Micro'!$G171="Macro",'Atividades Micro'!$K171&lt;&gt;""),'Atividades Micro'!$K171,"")</f>
        <v/>
      </c>
      <c r="CA163" s="21" t="str">
        <f>IF(AND('Atividades Micro'!$B171=CA$2,'Atividades Micro'!$G171="Macro",'Atividades Micro'!$K171&lt;&gt;""),'Atividades Micro'!$K171,"")</f>
        <v/>
      </c>
      <c r="CB163" s="21" t="str">
        <f>IF(AND('Atividades Micro'!$B171=CB$2,'Atividades Micro'!$G171="Macro",'Atividades Micro'!$K171&lt;&gt;""),'Atividades Micro'!$K171,"")</f>
        <v/>
      </c>
      <c r="CC163" s="21" t="str">
        <f>IF(AND('Atividades Micro'!$B171=CC$2,'Atividades Micro'!$G171="Macro",'Atividades Micro'!$K171&lt;&gt;""),'Atividades Micro'!$K171,"")</f>
        <v/>
      </c>
      <c r="CD163" s="21" t="str">
        <f>IF(AND('Atividades Micro'!$B171=CD$2,'Atividades Micro'!$G171="Micro",'Atividades Micro'!$K171&lt;&gt;""),'Atividades Micro'!$K171,"")</f>
        <v/>
      </c>
      <c r="CE163" s="21" t="str">
        <f>IF(AND('Atividades Micro'!$B171=CE$2,'Atividades Micro'!$G171="Micro",'Atividades Micro'!$K171&lt;&gt;""),'Atividades Micro'!$K171,"")</f>
        <v/>
      </c>
      <c r="CF163" s="21" t="str">
        <f>IF(AND('Atividades Micro'!$B171=CF$2,'Atividades Micro'!$G171="Micro",'Atividades Micro'!$K171&lt;&gt;""),'Atividades Micro'!$K171,"")</f>
        <v/>
      </c>
      <c r="CG163" s="21" t="str">
        <f>IF(AND('Atividades Micro'!$B171=CG$2,'Atividades Micro'!$G171="Micro",'Atividades Micro'!$K171&lt;&gt;""),'Atividades Micro'!$K171,"")</f>
        <v/>
      </c>
      <c r="CH163" s="21" t="str">
        <f>IF(AND('Atividades Micro'!$B171=CH$2,'Atividades Micro'!$G171="Micro",'Atividades Micro'!$K171&lt;&gt;""),'Atividades Micro'!$K171,"")</f>
        <v/>
      </c>
      <c r="CI163" s="21">
        <f>IF(AND('Atividades Micro'!$B171=CI$2,'Atividades Micro'!$G171="Micro",'Atividades Micro'!$K171&lt;&gt;""),'Atividades Micro'!$K171,"")</f>
        <v>46238</v>
      </c>
      <c r="CJ163" s="21" t="str">
        <f>IF(AND('Atividades Micro'!$B171=CJ$2,'Atividades Micro'!$G171="Micro",'Atividades Micro'!$K171&lt;&gt;""),'Atividades Micro'!$K171,"")</f>
        <v/>
      </c>
      <c r="CK163" s="21" t="str">
        <f>IF(AND('Atividades Micro'!$B171=CK$2,'Atividades Micro'!$G171="Micro",'Atividades Micro'!$K171&lt;&gt;""),'Atividades Micro'!$K171,"")</f>
        <v/>
      </c>
      <c r="CL163" s="21" t="str">
        <f>IF(AND('Atividades Micro'!$B171=CL$2,'Atividades Micro'!$G171="Micro",'Atividades Micro'!$K171&lt;&gt;""),'Atividades Micro'!$K171,"")</f>
        <v/>
      </c>
      <c r="CM163" s="21" t="str">
        <f>IF(AND('Atividades Micro'!$B171=CM$2,'Atividades Micro'!$G171="Micro",'Atividades Micro'!$K171&lt;&gt;""),'Atividades Micro'!$K171,"")</f>
        <v/>
      </c>
      <c r="CN163" s="21" t="str">
        <f>IF(AND('Atividades Micro'!$B171=CN$2,'Atividades Micro'!$G171="Micro",'Atividades Micro'!$K171&lt;&gt;""),'Atividades Micro'!$K171,"")</f>
        <v/>
      </c>
      <c r="CO163" s="21" t="str">
        <f>IF(AND('Atividades Micro'!$B171=CO$2,'Atividades Micro'!$G171="Micro",'Atividades Micro'!$K171&lt;&gt;""),'Atividades Micro'!$K171,"")</f>
        <v/>
      </c>
    </row>
    <row r="164" spans="1:93">
      <c r="A164" s="21" t="str">
        <f>IF(AND('Atividades Micro'!$A172=A$2,'Atividades Micro'!$K172&lt;&gt;""),'Atividades Micro'!$K172,"")</f>
        <v/>
      </c>
      <c r="B164" s="21" t="str">
        <f>IF(AND('Atividades Micro'!$A172=B$2,'Atividades Micro'!$L172&lt;&gt;""),'Atividades Micro'!$L172,"")</f>
        <v/>
      </c>
      <c r="C164" s="21" t="str">
        <f>IF(AND('Atividades Micro'!$A172=C$2,'Atividades Micro'!$K172&lt;&gt;""),'Atividades Micro'!$K172,"")</f>
        <v/>
      </c>
      <c r="D164" s="21" t="str">
        <f>IF(AND('Atividades Micro'!$A172=D$2,'Atividades Micro'!$L172&lt;&gt;""),'Atividades Micro'!$L172,"")</f>
        <v/>
      </c>
      <c r="E164" s="21" t="str">
        <f>IF(AND('Atividades Micro'!$A172=E$2,'Atividades Micro'!$K172&lt;&gt;""),'Atividades Micro'!$K172,"")</f>
        <v/>
      </c>
      <c r="F164" s="21" t="str">
        <f>IF(AND('Atividades Micro'!$A172=F$2,'Atividades Micro'!$L172&lt;&gt;""),'Atividades Micro'!$L172,"")</f>
        <v/>
      </c>
      <c r="G164" s="21" t="str">
        <f>IF(AND('Atividades Micro'!$A172=G$2,'Atividades Micro'!$K172&lt;&gt;""),'Atividades Micro'!$K172,"")</f>
        <v/>
      </c>
      <c r="H164" s="21" t="str">
        <f>IF(AND('Atividades Micro'!$A172=H$2,'Atividades Micro'!$L172&lt;&gt;""),'Atividades Micro'!$L172,"")</f>
        <v/>
      </c>
      <c r="I164" s="21" t="str">
        <f>IF(AND('Atividades Micro'!$A172=I$2,'Atividades Micro'!$K172&lt;&gt;""),'Atividades Micro'!$K172,"")</f>
        <v/>
      </c>
      <c r="J164" s="21" t="str">
        <f>IF(AND('Atividades Micro'!$A172=J$2,'Atividades Micro'!$L172&lt;&gt;""),'Atividades Micro'!$L172,"")</f>
        <v/>
      </c>
      <c r="K164" s="21" t="str">
        <f>IF(AND('Atividades Micro'!$B172=K$2,'Atividades Micro'!$K172&lt;&gt;""),'Atividades Micro'!$K172,"")</f>
        <v/>
      </c>
      <c r="L164" s="21" t="str">
        <f>IF(AND('Atividades Micro'!$B172=L$2,'Atividades Micro'!$L172&lt;&gt;""),'Atividades Micro'!$L172,"")</f>
        <v/>
      </c>
      <c r="M164" s="21" t="str">
        <f>IF(AND('Atividades Micro'!$B172=M$2,'Atividades Micro'!$K172&lt;&gt;""),'Atividades Micro'!$K172,"")</f>
        <v/>
      </c>
      <c r="N164" s="21" t="str">
        <f>IF(AND('Atividades Micro'!$B172=N$2,'Atividades Micro'!$L172&lt;&gt;""),'Atividades Micro'!$L172,"")</f>
        <v/>
      </c>
      <c r="O164" s="21" t="str">
        <f>IF(AND('Atividades Micro'!$A172=O$2,'Atividades Micro'!$K172&lt;&gt;""),'Atividades Micro'!$K172,"")</f>
        <v/>
      </c>
      <c r="P164" s="21" t="str">
        <f>IF(AND('Atividades Micro'!$A172=P$2,'Atividades Micro'!$L172&lt;&gt;""),'Atividades Micro'!$L172,"")</f>
        <v/>
      </c>
      <c r="Q164" s="21" t="str">
        <f>IF(AND('Atividades Micro'!$B172=Q$2,'Atividades Micro'!$K172&lt;&gt;""),'Atividades Micro'!$K172,"")</f>
        <v/>
      </c>
      <c r="R164" s="21" t="str">
        <f>IF(AND('Atividades Micro'!$B172=R$2,'Atividades Micro'!$L172&lt;&gt;""),'Atividades Micro'!$L172,"")</f>
        <v/>
      </c>
      <c r="S164" s="21" t="str">
        <f>IF(AND('Atividades Micro'!$A172=S$2,'Atividades Micro'!$K172&lt;&gt;""),'Atividades Micro'!$K172,"")</f>
        <v/>
      </c>
      <c r="T164" s="21" t="str">
        <f>IF(AND('Atividades Micro'!$A172=T$2,'Atividades Micro'!$L172&lt;&gt;""),'Atividades Micro'!$L172,"")</f>
        <v/>
      </c>
      <c r="U164" s="21" t="str">
        <f>IF(AND('Atividades Micro'!$B172=U$2,'Atividades Micro'!$K172&lt;&gt;""),'Atividades Micro'!$K172,"")</f>
        <v/>
      </c>
      <c r="V164" s="21" t="str">
        <f>IF(AND('Atividades Micro'!$B172=V$2,'Atividades Micro'!$L172&lt;&gt;""),'Atividades Micro'!$L172,"")</f>
        <v/>
      </c>
      <c r="W164" s="21" t="str">
        <f>IF(AND('Atividades Micro'!$B172=W$2,'Atividades Micro'!$K172&lt;&gt;""),'Atividades Micro'!$K172,"")</f>
        <v/>
      </c>
      <c r="X164" s="21" t="str">
        <f>IF(AND('Atividades Micro'!$B172=X$2,'Atividades Micro'!$L172&lt;&gt;""),'Atividades Micro'!$L172,"")</f>
        <v/>
      </c>
      <c r="Y164" s="21">
        <f>IF(AND('Atividades Micro'!$A172=Y$2,'Atividades Micro'!$K172&lt;&gt;""),'Atividades Micro'!$K172,"")</f>
        <v>46269</v>
      </c>
      <c r="Z164" s="21">
        <f>IF(AND('Atividades Micro'!$A172=Z$2,'Atividades Micro'!$L172&lt;&gt;""),'Atividades Micro'!$L172,"")</f>
        <v>46269</v>
      </c>
      <c r="AA164" s="21">
        <f>IF(AND('Atividades Micro'!$B172=AA$2,'Atividades Micro'!$K172&lt;&gt;""),'Atividades Micro'!$K172,"")</f>
        <v>46269</v>
      </c>
      <c r="AB164" s="21">
        <f>IF(AND('Atividades Micro'!$B172=AB$2,'Atividades Micro'!$L172&lt;&gt;""),'Atividades Micro'!$L172,"")</f>
        <v>46269</v>
      </c>
      <c r="AC164" s="21" t="str">
        <f>IF(AND('Atividades Micro'!$B172=AC$2,'Atividades Micro'!$K172&lt;&gt;""),'Atividades Micro'!$K172,"")</f>
        <v/>
      </c>
      <c r="AD164" s="21" t="str">
        <f>IF(AND('Atividades Micro'!$B172=AD$2,'Atividades Micro'!$L172&lt;&gt;""),'Atividades Micro'!$L172,"")</f>
        <v/>
      </c>
      <c r="AE164" s="21" t="str">
        <f>IF(AND('Atividades Micro'!$A172=AE$2,'Atividades Micro'!$K172&lt;&gt;""),'Atividades Micro'!$K172,"")</f>
        <v/>
      </c>
      <c r="AF164" s="21" t="str">
        <f>IF(AND('Atividades Micro'!$A172=AF$2,'Atividades Micro'!$L172&lt;&gt;""),'Atividades Micro'!$L172,"")</f>
        <v/>
      </c>
      <c r="AG164" s="21" t="str">
        <f>IF(AND('Atividades Micro'!$B172=AG$2,'Atividades Micro'!$K172&lt;&gt;""),'Atividades Micro'!$K172,"")</f>
        <v/>
      </c>
      <c r="AH164" s="21" t="str">
        <f>IF(AND('Atividades Micro'!$B172=AH$2,'Atividades Micro'!$L172&lt;&gt;""),'Atividades Micro'!$L172,"")</f>
        <v/>
      </c>
      <c r="AI164" s="21" t="str">
        <f>IF(AND('Atividades Micro'!$B172=AI$2,'Atividades Micro'!$K172&lt;&gt;""),'Atividades Micro'!$K172,"")</f>
        <v/>
      </c>
      <c r="AJ164" s="21" t="str">
        <f>IF(AND('Atividades Micro'!$B172=AJ$2,'Atividades Micro'!$L172&lt;&gt;""),'Atividades Micro'!$L172,"")</f>
        <v/>
      </c>
      <c r="AK164" s="21" t="str">
        <f>IF(AND('Atividades Micro'!$A172=AK$2,'Atividades Micro'!$K172&lt;&gt;""),'Atividades Micro'!$K172,"")</f>
        <v/>
      </c>
      <c r="AL164" s="21" t="str">
        <f>IF(AND('Atividades Micro'!$A172=AL$2,'Atividades Micro'!$L172&lt;&gt;""),'Atividades Micro'!$L172,"")</f>
        <v/>
      </c>
      <c r="AM164" s="21" t="str">
        <f>IF(AND('Atividades Micro'!$B172=AM$2,'Atividades Micro'!$K172&lt;&gt;""),'Atividades Micro'!$K172,"")</f>
        <v/>
      </c>
      <c r="AN164" s="21" t="str">
        <f>IF(AND('Atividades Micro'!$B172=AN$2,'Atividades Micro'!$L172&lt;&gt;""),'Atividades Micro'!$L172,"")</f>
        <v/>
      </c>
      <c r="AO164" s="21" t="str">
        <f>IF(AND('Atividades Micro'!$B172=AO$2,'Atividades Micro'!$K172&lt;&gt;""),'Atividades Micro'!$K172,"")</f>
        <v/>
      </c>
      <c r="AP164" s="21" t="str">
        <f>IF(AND('Atividades Micro'!$B172=AP$2,'Atividades Micro'!$L172&lt;&gt;""),'Atividades Micro'!$L172,"")</f>
        <v/>
      </c>
      <c r="AQ164" s="21" t="str">
        <f>IF(AND('Atividades Micro'!$A172=AQ$2,'Atividades Micro'!$K172&lt;&gt;""),'Atividades Micro'!$K172,"")</f>
        <v/>
      </c>
      <c r="AR164" s="21" t="str">
        <f>IF(AND('Atividades Micro'!$A172=AR$2,'Atividades Micro'!$L172&lt;&gt;""),'Atividades Micro'!$L172,"")</f>
        <v/>
      </c>
      <c r="AS164" s="21" t="str">
        <f>IF(AND('Atividades Micro'!$B172=AS$2,'Atividades Micro'!$K172&lt;&gt;""),'Atividades Micro'!$K172,"")</f>
        <v/>
      </c>
      <c r="AT164" s="21" t="str">
        <f>IF(AND('Atividades Micro'!$B172=AT$2,'Atividades Micro'!$L172&lt;&gt;""),'Atividades Micro'!$L172,"")</f>
        <v/>
      </c>
      <c r="AU164" s="21" t="str">
        <f>IF(AND('Atividades Micro'!$A172=AU$2,'Atividades Micro'!$K172&lt;&gt;""),'Atividades Micro'!$K172,"")</f>
        <v/>
      </c>
      <c r="AV164" s="21" t="str">
        <f>IF(AND('Atividades Micro'!$A172=AV$2,'Atividades Micro'!$L172&lt;&gt;""),'Atividades Micro'!$L172,"")</f>
        <v/>
      </c>
      <c r="AW164" s="21" t="str">
        <f>IF(AND('Atividades Micro'!$B172=AW$2,'Atividades Micro'!$K172&lt;&gt;""),'Atividades Micro'!$K172,"")</f>
        <v/>
      </c>
      <c r="AX164" s="21" t="str">
        <f>IF(AND('Atividades Micro'!$B172=AX$2,'Atividades Micro'!$L172&lt;&gt;""),'Atividades Micro'!$L172,"")</f>
        <v/>
      </c>
      <c r="AY164" s="21" t="str">
        <f>IF(AND('Atividades Micro'!$A172=AY$2,'Atividades Micro'!$K172&lt;&gt;""),'Atividades Micro'!$K172,"")</f>
        <v/>
      </c>
      <c r="AZ164" s="21" t="str">
        <f>IF(AND('Atividades Micro'!$A172=AZ$2,'Atividades Micro'!$L172&lt;&gt;""),'Atividades Micro'!$L172,"")</f>
        <v/>
      </c>
      <c r="BA164" s="21" t="str">
        <f>IF(AND('Atividades Micro'!$B172=BA$2,'Atividades Micro'!$K172&lt;&gt;""),'Atividades Micro'!$K172,"")</f>
        <v/>
      </c>
      <c r="BB164" s="21" t="str">
        <f>IF(AND('Atividades Micro'!$B172=BB$2,'Atividades Micro'!$L172&lt;&gt;""),'Atividades Micro'!$L172,"")</f>
        <v/>
      </c>
      <c r="BC164" s="21" t="str">
        <f>IF(AND('Atividades Micro'!$B172=BC$2,'Atividades Micro'!$G172="Macro",'Atividades Micro'!$K172&lt;&gt;""),'Atividades Micro'!$K172,"")</f>
        <v/>
      </c>
      <c r="BD164" s="21" t="str">
        <f>IF(AND('Atividades Micro'!$B172=BD$2,'Atividades Micro'!$G172="Macro",'Atividades Micro'!$K172&lt;&gt;""),'Atividades Micro'!$K172,"")</f>
        <v/>
      </c>
      <c r="BE164" s="21" t="str">
        <f>IF(AND('Atividades Micro'!$B172=BE$2,'Atividades Micro'!$G172="Macro",'Atividades Micro'!$K172&lt;&gt;""),'Atividades Micro'!$K172,"")</f>
        <v/>
      </c>
      <c r="BF164" s="21" t="str">
        <f>IF(AND('Atividades Micro'!$B172=BF$2,'Atividades Micro'!$G172="Macro",'Atividades Micro'!$K172&lt;&gt;""),'Atividades Micro'!$K172,"")</f>
        <v/>
      </c>
      <c r="BG164" s="21" t="str">
        <f>IF(AND('Atividades Micro'!$B172=BG$2,'Atividades Micro'!$G172="Macro",'Atividades Micro'!$K172&lt;&gt;""),'Atividades Micro'!$K172,"")</f>
        <v/>
      </c>
      <c r="BH164" s="21" t="str">
        <f>IF(AND('Atividades Micro'!$B172=BH$2,'Atividades Micro'!$G172="Macro",'Atividades Micro'!$K172&lt;&gt;""),'Atividades Micro'!$K172,"")</f>
        <v/>
      </c>
      <c r="BI164" s="21" t="str">
        <f>IF(AND('Atividades Micro'!$B172=BI$2,'Atividades Micro'!$G172="Macro",'Atividades Micro'!$K172&lt;&gt;""),'Atividades Micro'!$K172,"")</f>
        <v/>
      </c>
      <c r="BJ164" s="21" t="str">
        <f>IF(AND('Atividades Micro'!$B172=BJ$2,'Atividades Micro'!$G172="Macro",'Atividades Micro'!$K172&lt;&gt;""),'Atividades Micro'!$K172,"")</f>
        <v/>
      </c>
      <c r="BK164" s="21" t="str">
        <f>IF(AND('Atividades Micro'!$B172=BK$2,'Atividades Micro'!$G172="Macro",'Atividades Micro'!$K172&lt;&gt;""),'Atividades Micro'!$K172,"")</f>
        <v/>
      </c>
      <c r="BL164" s="21" t="str">
        <f>IF(AND('Atividades Micro'!$B172=BL$2,'Atividades Micro'!$G172="Macro",'Atividades Micro'!$K172&lt;&gt;""),'Atividades Micro'!$K172,"")</f>
        <v/>
      </c>
      <c r="BM164" s="21" t="str">
        <f>IF(AND('Atividades Micro'!$B172=BM$2,'Atividades Micro'!$G172="Macro",'Atividades Micro'!$K172&lt;&gt;""),'Atividades Micro'!$K172,"")</f>
        <v/>
      </c>
      <c r="BN164" s="21" t="str">
        <f>IF(AND('Atividades Micro'!$B172=BN$2,'Atividades Micro'!$G172="Macro",'Atividades Micro'!$K172&lt;&gt;""),'Atividades Micro'!$K172,"")</f>
        <v/>
      </c>
      <c r="BO164" s="21" t="str">
        <f>IF(AND('Atividades Micro'!$B172=BO$2,'Atividades Micro'!$G172="Macro",'Atividades Micro'!$K172&lt;&gt;""),'Atividades Micro'!$K172,"")</f>
        <v/>
      </c>
      <c r="BP164" s="21" t="str">
        <f>IF(AND('Atividades Micro'!$B172=BP$2,'Atividades Micro'!$G172="Macro",'Atividades Micro'!$K172&lt;&gt;""),'Atividades Micro'!$K172,"")</f>
        <v/>
      </c>
      <c r="BQ164" s="21" t="str">
        <f>IF(AND('Atividades Micro'!$B172=BQ$2,'Atividades Micro'!$G172="Macro",'Atividades Micro'!$K172&lt;&gt;""),'Atividades Micro'!$K172,"")</f>
        <v/>
      </c>
      <c r="BR164" s="21" t="str">
        <f>IF(AND('Atividades Micro'!$B172=BR$2,'Atividades Micro'!$G172="Macro",'Atividades Micro'!$K172&lt;&gt;""),'Atividades Micro'!$K172,"")</f>
        <v/>
      </c>
      <c r="BS164" s="21" t="str">
        <f>IF(AND('Atividades Micro'!$B172=BS$2,'Atividades Micro'!$G172="Macro",'Atividades Micro'!$K172&lt;&gt;""),'Atividades Micro'!$K172,"")</f>
        <v/>
      </c>
      <c r="BT164" s="21" t="str">
        <f>IF(AND('Atividades Micro'!$B172=BT$2,'Atividades Micro'!$G172="Macro",'Atividades Micro'!$K172&lt;&gt;""),'Atividades Micro'!$K172,"")</f>
        <v/>
      </c>
      <c r="BU164" s="21" t="str">
        <f>IF(AND('Atividades Micro'!$B172=BU$2,'Atividades Micro'!$G172="Macro",'Atividades Micro'!$K172&lt;&gt;""),'Atividades Micro'!$K172,"")</f>
        <v/>
      </c>
      <c r="BV164" s="21" t="str">
        <f>IF(AND('Atividades Micro'!$B172=BV$2,'Atividades Micro'!$G172="Macro",'Atividades Micro'!$K172&lt;&gt;""),'Atividades Micro'!$K172,"")</f>
        <v/>
      </c>
      <c r="BW164" s="21" t="str">
        <f>IF(AND('Atividades Micro'!$B172=BW$2,'Atividades Micro'!$G172="Macro",'Atividades Micro'!$K172&lt;&gt;""),'Atividades Micro'!$K172,"")</f>
        <v/>
      </c>
      <c r="BX164" s="21" t="str">
        <f>IF(AND('Atividades Micro'!$B172=BX$2,'Atividades Micro'!$G172="Macro",'Atividades Micro'!$K172&lt;&gt;""),'Atividades Micro'!$K172,"")</f>
        <v/>
      </c>
      <c r="BY164" s="21" t="str">
        <f>IF(AND('Atividades Micro'!$B172=BY$2,'Atividades Micro'!$G172="Macro",'Atividades Micro'!$K172&lt;&gt;""),'Atividades Micro'!$K172,"")</f>
        <v/>
      </c>
      <c r="BZ164" s="21" t="str">
        <f>IF(AND('Atividades Micro'!$B172=BZ$2,'Atividades Micro'!$G172="Macro",'Atividades Micro'!$K172&lt;&gt;""),'Atividades Micro'!$K172,"")</f>
        <v/>
      </c>
      <c r="CA164" s="21" t="str">
        <f>IF(AND('Atividades Micro'!$B172=CA$2,'Atividades Micro'!$G172="Macro",'Atividades Micro'!$K172&lt;&gt;""),'Atividades Micro'!$K172,"")</f>
        <v/>
      </c>
      <c r="CB164" s="21" t="str">
        <f>IF(AND('Atividades Micro'!$B172=CB$2,'Atividades Micro'!$G172="Macro",'Atividades Micro'!$K172&lt;&gt;""),'Atividades Micro'!$K172,"")</f>
        <v/>
      </c>
      <c r="CC164" s="21" t="str">
        <f>IF(AND('Atividades Micro'!$B172=CC$2,'Atividades Micro'!$G172="Macro",'Atividades Micro'!$K172&lt;&gt;""),'Atividades Micro'!$K172,"")</f>
        <v/>
      </c>
      <c r="CD164" s="21" t="str">
        <f>IF(AND('Atividades Micro'!$B172=CD$2,'Atividades Micro'!$G172="Micro",'Atividades Micro'!$K172&lt;&gt;""),'Atividades Micro'!$K172,"")</f>
        <v/>
      </c>
      <c r="CE164" s="21" t="str">
        <f>IF(AND('Atividades Micro'!$B172=CE$2,'Atividades Micro'!$G172="Micro",'Atividades Micro'!$K172&lt;&gt;""),'Atividades Micro'!$K172,"")</f>
        <v/>
      </c>
      <c r="CF164" s="21" t="str">
        <f>IF(AND('Atividades Micro'!$B172=CF$2,'Atividades Micro'!$G172="Micro",'Atividades Micro'!$K172&lt;&gt;""),'Atividades Micro'!$K172,"")</f>
        <v/>
      </c>
      <c r="CG164" s="21" t="str">
        <f>IF(AND('Atividades Micro'!$B172=CG$2,'Atividades Micro'!$G172="Micro",'Atividades Micro'!$K172&lt;&gt;""),'Atividades Micro'!$K172,"")</f>
        <v/>
      </c>
      <c r="CH164" s="21" t="str">
        <f>IF(AND('Atividades Micro'!$B172=CH$2,'Atividades Micro'!$G172="Micro",'Atividades Micro'!$K172&lt;&gt;""),'Atividades Micro'!$K172,"")</f>
        <v/>
      </c>
      <c r="CI164" s="21">
        <f>IF(AND('Atividades Micro'!$B172=CI$2,'Atividades Micro'!$G172="Micro",'Atividades Micro'!$K172&lt;&gt;""),'Atividades Micro'!$K172,"")</f>
        <v>46269</v>
      </c>
      <c r="CJ164" s="21" t="str">
        <f>IF(AND('Atividades Micro'!$B172=CJ$2,'Atividades Micro'!$G172="Micro",'Atividades Micro'!$K172&lt;&gt;""),'Atividades Micro'!$K172,"")</f>
        <v/>
      </c>
      <c r="CK164" s="21" t="str">
        <f>IF(AND('Atividades Micro'!$B172=CK$2,'Atividades Micro'!$G172="Micro",'Atividades Micro'!$K172&lt;&gt;""),'Atividades Micro'!$K172,"")</f>
        <v/>
      </c>
      <c r="CL164" s="21" t="str">
        <f>IF(AND('Atividades Micro'!$B172=CL$2,'Atividades Micro'!$G172="Micro",'Atividades Micro'!$K172&lt;&gt;""),'Atividades Micro'!$K172,"")</f>
        <v/>
      </c>
      <c r="CM164" s="21" t="str">
        <f>IF(AND('Atividades Micro'!$B172=CM$2,'Atividades Micro'!$G172="Micro",'Atividades Micro'!$K172&lt;&gt;""),'Atividades Micro'!$K172,"")</f>
        <v/>
      </c>
      <c r="CN164" s="21" t="str">
        <f>IF(AND('Atividades Micro'!$B172=CN$2,'Atividades Micro'!$G172="Micro",'Atividades Micro'!$K172&lt;&gt;""),'Atividades Micro'!$K172,"")</f>
        <v/>
      </c>
      <c r="CO164" s="21" t="str">
        <f>IF(AND('Atividades Micro'!$B172=CO$2,'Atividades Micro'!$G172="Micro",'Atividades Micro'!$K172&lt;&gt;""),'Atividades Micro'!$K172,"")</f>
        <v/>
      </c>
    </row>
    <row r="165" spans="1:93">
      <c r="A165" s="21" t="str">
        <f>IF(AND('Atividades Micro'!$A173=A$2,'Atividades Micro'!$K173&lt;&gt;""),'Atividades Micro'!$K173,"")</f>
        <v/>
      </c>
      <c r="B165" s="21" t="str">
        <f>IF(AND('Atividades Micro'!$A173=B$2,'Atividades Micro'!$L173&lt;&gt;""),'Atividades Micro'!$L173,"")</f>
        <v/>
      </c>
      <c r="C165" s="21" t="str">
        <f>IF(AND('Atividades Micro'!$A173=C$2,'Atividades Micro'!$K173&lt;&gt;""),'Atividades Micro'!$K173,"")</f>
        <v/>
      </c>
      <c r="D165" s="21" t="str">
        <f>IF(AND('Atividades Micro'!$A173=D$2,'Atividades Micro'!$L173&lt;&gt;""),'Atividades Micro'!$L173,"")</f>
        <v/>
      </c>
      <c r="E165" s="21" t="str">
        <f>IF(AND('Atividades Micro'!$A173=E$2,'Atividades Micro'!$K173&lt;&gt;""),'Atividades Micro'!$K173,"")</f>
        <v/>
      </c>
      <c r="F165" s="21" t="str">
        <f>IF(AND('Atividades Micro'!$A173=F$2,'Atividades Micro'!$L173&lt;&gt;""),'Atividades Micro'!$L173,"")</f>
        <v/>
      </c>
      <c r="G165" s="21" t="str">
        <f>IF(AND('Atividades Micro'!$A173=G$2,'Atividades Micro'!$K173&lt;&gt;""),'Atividades Micro'!$K173,"")</f>
        <v/>
      </c>
      <c r="H165" s="21" t="str">
        <f>IF(AND('Atividades Micro'!$A173=H$2,'Atividades Micro'!$L173&lt;&gt;""),'Atividades Micro'!$L173,"")</f>
        <v/>
      </c>
      <c r="I165" s="21" t="str">
        <f>IF(AND('Atividades Micro'!$A173=I$2,'Atividades Micro'!$K173&lt;&gt;""),'Atividades Micro'!$K173,"")</f>
        <v/>
      </c>
      <c r="J165" s="21" t="str">
        <f>IF(AND('Atividades Micro'!$A173=J$2,'Atividades Micro'!$L173&lt;&gt;""),'Atividades Micro'!$L173,"")</f>
        <v/>
      </c>
      <c r="K165" s="21" t="str">
        <f>IF(AND('Atividades Micro'!$B173=K$2,'Atividades Micro'!$K173&lt;&gt;""),'Atividades Micro'!$K173,"")</f>
        <v/>
      </c>
      <c r="L165" s="21" t="str">
        <f>IF(AND('Atividades Micro'!$B173=L$2,'Atividades Micro'!$L173&lt;&gt;""),'Atividades Micro'!$L173,"")</f>
        <v/>
      </c>
      <c r="M165" s="21" t="str">
        <f>IF(AND('Atividades Micro'!$B173=M$2,'Atividades Micro'!$K173&lt;&gt;""),'Atividades Micro'!$K173,"")</f>
        <v/>
      </c>
      <c r="N165" s="21" t="str">
        <f>IF(AND('Atividades Micro'!$B173=N$2,'Atividades Micro'!$L173&lt;&gt;""),'Atividades Micro'!$L173,"")</f>
        <v/>
      </c>
      <c r="O165" s="21" t="str">
        <f>IF(AND('Atividades Micro'!$A173=O$2,'Atividades Micro'!$K173&lt;&gt;""),'Atividades Micro'!$K173,"")</f>
        <v/>
      </c>
      <c r="P165" s="21" t="str">
        <f>IF(AND('Atividades Micro'!$A173=P$2,'Atividades Micro'!$L173&lt;&gt;""),'Atividades Micro'!$L173,"")</f>
        <v/>
      </c>
      <c r="Q165" s="21" t="str">
        <f>IF(AND('Atividades Micro'!$B173=Q$2,'Atividades Micro'!$K173&lt;&gt;""),'Atividades Micro'!$K173,"")</f>
        <v/>
      </c>
      <c r="R165" s="21" t="str">
        <f>IF(AND('Atividades Micro'!$B173=R$2,'Atividades Micro'!$L173&lt;&gt;""),'Atividades Micro'!$L173,"")</f>
        <v/>
      </c>
      <c r="S165" s="21" t="str">
        <f>IF(AND('Atividades Micro'!$A173=S$2,'Atividades Micro'!$K173&lt;&gt;""),'Atividades Micro'!$K173,"")</f>
        <v/>
      </c>
      <c r="T165" s="21" t="str">
        <f>IF(AND('Atividades Micro'!$A173=T$2,'Atividades Micro'!$L173&lt;&gt;""),'Atividades Micro'!$L173,"")</f>
        <v/>
      </c>
      <c r="U165" s="21" t="str">
        <f>IF(AND('Atividades Micro'!$B173=U$2,'Atividades Micro'!$K173&lt;&gt;""),'Atividades Micro'!$K173,"")</f>
        <v/>
      </c>
      <c r="V165" s="21" t="str">
        <f>IF(AND('Atividades Micro'!$B173=V$2,'Atividades Micro'!$L173&lt;&gt;""),'Atividades Micro'!$L173,"")</f>
        <v/>
      </c>
      <c r="W165" s="21" t="str">
        <f>IF(AND('Atividades Micro'!$B173=W$2,'Atividades Micro'!$K173&lt;&gt;""),'Atividades Micro'!$K173,"")</f>
        <v/>
      </c>
      <c r="X165" s="21" t="str">
        <f>IF(AND('Atividades Micro'!$B173=X$2,'Atividades Micro'!$L173&lt;&gt;""),'Atividades Micro'!$L173,"")</f>
        <v/>
      </c>
      <c r="Y165" s="21">
        <f>IF(AND('Atividades Micro'!$A173=Y$2,'Atividades Micro'!$K173&lt;&gt;""),'Atividades Micro'!$K173,"")</f>
        <v>46237</v>
      </c>
      <c r="Z165" s="21">
        <f>IF(AND('Atividades Micro'!$A173=Z$2,'Atividades Micro'!$L173&lt;&gt;""),'Atividades Micro'!$L173,"")</f>
        <v>46234</v>
      </c>
      <c r="AA165" s="21">
        <f>IF(AND('Atividades Micro'!$B173=AA$2,'Atividades Micro'!$K173&lt;&gt;""),'Atividades Micro'!$K173,"")</f>
        <v>46237</v>
      </c>
      <c r="AB165" s="21">
        <f>IF(AND('Atividades Micro'!$B173=AB$2,'Atividades Micro'!$L173&lt;&gt;""),'Atividades Micro'!$L173,"")</f>
        <v>46234</v>
      </c>
      <c r="AC165" s="21" t="str">
        <f>IF(AND('Atividades Micro'!$B173=AC$2,'Atividades Micro'!$K173&lt;&gt;""),'Atividades Micro'!$K173,"")</f>
        <v/>
      </c>
      <c r="AD165" s="21" t="str">
        <f>IF(AND('Atividades Micro'!$B173=AD$2,'Atividades Micro'!$L173&lt;&gt;""),'Atividades Micro'!$L173,"")</f>
        <v/>
      </c>
      <c r="AE165" s="21" t="str">
        <f>IF(AND('Atividades Micro'!$A173=AE$2,'Atividades Micro'!$K173&lt;&gt;""),'Atividades Micro'!$K173,"")</f>
        <v/>
      </c>
      <c r="AF165" s="21" t="str">
        <f>IF(AND('Atividades Micro'!$A173=AF$2,'Atividades Micro'!$L173&lt;&gt;""),'Atividades Micro'!$L173,"")</f>
        <v/>
      </c>
      <c r="AG165" s="21" t="str">
        <f>IF(AND('Atividades Micro'!$B173=AG$2,'Atividades Micro'!$K173&lt;&gt;""),'Atividades Micro'!$K173,"")</f>
        <v/>
      </c>
      <c r="AH165" s="21" t="str">
        <f>IF(AND('Atividades Micro'!$B173=AH$2,'Atividades Micro'!$L173&lt;&gt;""),'Atividades Micro'!$L173,"")</f>
        <v/>
      </c>
      <c r="AI165" s="21" t="str">
        <f>IF(AND('Atividades Micro'!$B173=AI$2,'Atividades Micro'!$K173&lt;&gt;""),'Atividades Micro'!$K173,"")</f>
        <v/>
      </c>
      <c r="AJ165" s="21" t="str">
        <f>IF(AND('Atividades Micro'!$B173=AJ$2,'Atividades Micro'!$L173&lt;&gt;""),'Atividades Micro'!$L173,"")</f>
        <v/>
      </c>
      <c r="AK165" s="21" t="str">
        <f>IF(AND('Atividades Micro'!$A173=AK$2,'Atividades Micro'!$K173&lt;&gt;""),'Atividades Micro'!$K173,"")</f>
        <v/>
      </c>
      <c r="AL165" s="21" t="str">
        <f>IF(AND('Atividades Micro'!$A173=AL$2,'Atividades Micro'!$L173&lt;&gt;""),'Atividades Micro'!$L173,"")</f>
        <v/>
      </c>
      <c r="AM165" s="21" t="str">
        <f>IF(AND('Atividades Micro'!$B173=AM$2,'Atividades Micro'!$K173&lt;&gt;""),'Atividades Micro'!$K173,"")</f>
        <v/>
      </c>
      <c r="AN165" s="21" t="str">
        <f>IF(AND('Atividades Micro'!$B173=AN$2,'Atividades Micro'!$L173&lt;&gt;""),'Atividades Micro'!$L173,"")</f>
        <v/>
      </c>
      <c r="AO165" s="21" t="str">
        <f>IF(AND('Atividades Micro'!$B173=AO$2,'Atividades Micro'!$K173&lt;&gt;""),'Atividades Micro'!$K173,"")</f>
        <v/>
      </c>
      <c r="AP165" s="21" t="str">
        <f>IF(AND('Atividades Micro'!$B173=AP$2,'Atividades Micro'!$L173&lt;&gt;""),'Atividades Micro'!$L173,"")</f>
        <v/>
      </c>
      <c r="AQ165" s="21" t="str">
        <f>IF(AND('Atividades Micro'!$A173=AQ$2,'Atividades Micro'!$K173&lt;&gt;""),'Atividades Micro'!$K173,"")</f>
        <v/>
      </c>
      <c r="AR165" s="21" t="str">
        <f>IF(AND('Atividades Micro'!$A173=AR$2,'Atividades Micro'!$L173&lt;&gt;""),'Atividades Micro'!$L173,"")</f>
        <v/>
      </c>
      <c r="AS165" s="21" t="str">
        <f>IF(AND('Atividades Micro'!$B173=AS$2,'Atividades Micro'!$K173&lt;&gt;""),'Atividades Micro'!$K173,"")</f>
        <v/>
      </c>
      <c r="AT165" s="21" t="str">
        <f>IF(AND('Atividades Micro'!$B173=AT$2,'Atividades Micro'!$L173&lt;&gt;""),'Atividades Micro'!$L173,"")</f>
        <v/>
      </c>
      <c r="AU165" s="21" t="str">
        <f>IF(AND('Atividades Micro'!$A173=AU$2,'Atividades Micro'!$K173&lt;&gt;""),'Atividades Micro'!$K173,"")</f>
        <v/>
      </c>
      <c r="AV165" s="21" t="str">
        <f>IF(AND('Atividades Micro'!$A173=AV$2,'Atividades Micro'!$L173&lt;&gt;""),'Atividades Micro'!$L173,"")</f>
        <v/>
      </c>
      <c r="AW165" s="21" t="str">
        <f>IF(AND('Atividades Micro'!$B173=AW$2,'Atividades Micro'!$K173&lt;&gt;""),'Atividades Micro'!$K173,"")</f>
        <v/>
      </c>
      <c r="AX165" s="21" t="str">
        <f>IF(AND('Atividades Micro'!$B173=AX$2,'Atividades Micro'!$L173&lt;&gt;""),'Atividades Micro'!$L173,"")</f>
        <v/>
      </c>
      <c r="AY165" s="21" t="str">
        <f>IF(AND('Atividades Micro'!$A173=AY$2,'Atividades Micro'!$K173&lt;&gt;""),'Atividades Micro'!$K173,"")</f>
        <v/>
      </c>
      <c r="AZ165" s="21" t="str">
        <f>IF(AND('Atividades Micro'!$A173=AZ$2,'Atividades Micro'!$L173&lt;&gt;""),'Atividades Micro'!$L173,"")</f>
        <v/>
      </c>
      <c r="BA165" s="21" t="str">
        <f>IF(AND('Atividades Micro'!$B173=BA$2,'Atividades Micro'!$K173&lt;&gt;""),'Atividades Micro'!$K173,"")</f>
        <v/>
      </c>
      <c r="BB165" s="21" t="str">
        <f>IF(AND('Atividades Micro'!$B173=BB$2,'Atividades Micro'!$L173&lt;&gt;""),'Atividades Micro'!$L173,"")</f>
        <v/>
      </c>
      <c r="BC165" s="21" t="str">
        <f>IF(AND('Atividades Micro'!$B173=BC$2,'Atividades Micro'!$G173="Macro",'Atividades Micro'!$K173&lt;&gt;""),'Atividades Micro'!$K173,"")</f>
        <v/>
      </c>
      <c r="BD165" s="21" t="str">
        <f>IF(AND('Atividades Micro'!$B173=BD$2,'Atividades Micro'!$G173="Macro",'Atividades Micro'!$K173&lt;&gt;""),'Atividades Micro'!$K173,"")</f>
        <v/>
      </c>
      <c r="BE165" s="21" t="str">
        <f>IF(AND('Atividades Micro'!$B173=BE$2,'Atividades Micro'!$G173="Macro",'Atividades Micro'!$K173&lt;&gt;""),'Atividades Micro'!$K173,"")</f>
        <v/>
      </c>
      <c r="BF165" s="21" t="str">
        <f>IF(AND('Atividades Micro'!$B173=BF$2,'Atividades Micro'!$G173="Macro",'Atividades Micro'!$K173&lt;&gt;""),'Atividades Micro'!$K173,"")</f>
        <v/>
      </c>
      <c r="BG165" s="21" t="str">
        <f>IF(AND('Atividades Micro'!$B173=BG$2,'Atividades Micro'!$G173="Macro",'Atividades Micro'!$K173&lt;&gt;""),'Atividades Micro'!$K173,"")</f>
        <v/>
      </c>
      <c r="BH165" s="21" t="str">
        <f>IF(AND('Atividades Micro'!$B173=BH$2,'Atividades Micro'!$G173="Macro",'Atividades Micro'!$K173&lt;&gt;""),'Atividades Micro'!$K173,"")</f>
        <v/>
      </c>
      <c r="BI165" s="21" t="str">
        <f>IF(AND('Atividades Micro'!$B173=BI$2,'Atividades Micro'!$G173="Macro",'Atividades Micro'!$K173&lt;&gt;""),'Atividades Micro'!$K173,"")</f>
        <v/>
      </c>
      <c r="BJ165" s="21" t="str">
        <f>IF(AND('Atividades Micro'!$B173=BJ$2,'Atividades Micro'!$G173="Macro",'Atividades Micro'!$K173&lt;&gt;""),'Atividades Micro'!$K173,"")</f>
        <v/>
      </c>
      <c r="BK165" s="21" t="str">
        <f>IF(AND('Atividades Micro'!$B173=BK$2,'Atividades Micro'!$G173="Macro",'Atividades Micro'!$K173&lt;&gt;""),'Atividades Micro'!$K173,"")</f>
        <v/>
      </c>
      <c r="BL165" s="21" t="str">
        <f>IF(AND('Atividades Micro'!$B173=BL$2,'Atividades Micro'!$G173="Macro",'Atividades Micro'!$K173&lt;&gt;""),'Atividades Micro'!$K173,"")</f>
        <v/>
      </c>
      <c r="BM165" s="21" t="str">
        <f>IF(AND('Atividades Micro'!$B173=BM$2,'Atividades Micro'!$G173="Macro",'Atividades Micro'!$K173&lt;&gt;""),'Atividades Micro'!$K173,"")</f>
        <v/>
      </c>
      <c r="BN165" s="21" t="str">
        <f>IF(AND('Atividades Micro'!$B173=BN$2,'Atividades Micro'!$G173="Macro",'Atividades Micro'!$K173&lt;&gt;""),'Atividades Micro'!$K173,"")</f>
        <v/>
      </c>
      <c r="BO165" s="21" t="str">
        <f>IF(AND('Atividades Micro'!$B173=BO$2,'Atividades Micro'!$G173="Macro",'Atividades Micro'!$K173&lt;&gt;""),'Atividades Micro'!$K173,"")</f>
        <v/>
      </c>
      <c r="BP165" s="21">
        <f>IF(AND('Atividades Micro'!$B173=BP$2,'Atividades Micro'!$G173="Macro",'Atividades Micro'!$K173&lt;&gt;""),'Atividades Micro'!$K173,"")</f>
        <v>46237</v>
      </c>
      <c r="BQ165" s="21" t="str">
        <f>IF(AND('Atividades Micro'!$B173=BQ$2,'Atividades Micro'!$G173="Macro",'Atividades Micro'!$K173&lt;&gt;""),'Atividades Micro'!$K173,"")</f>
        <v/>
      </c>
      <c r="BR165" s="21" t="str">
        <f>IF(AND('Atividades Micro'!$B173=BR$2,'Atividades Micro'!$G173="Macro",'Atividades Micro'!$K173&lt;&gt;""),'Atividades Micro'!$K173,"")</f>
        <v/>
      </c>
      <c r="BS165" s="21" t="str">
        <f>IF(AND('Atividades Micro'!$B173=BS$2,'Atividades Micro'!$G173="Macro",'Atividades Micro'!$K173&lt;&gt;""),'Atividades Micro'!$K173,"")</f>
        <v/>
      </c>
      <c r="BT165" s="21" t="str">
        <f>IF(AND('Atividades Micro'!$B173=BT$2,'Atividades Micro'!$G173="Macro",'Atividades Micro'!$K173&lt;&gt;""),'Atividades Micro'!$K173,"")</f>
        <v/>
      </c>
      <c r="BU165" s="21" t="str">
        <f>IF(AND('Atividades Micro'!$B173=BU$2,'Atividades Micro'!$G173="Macro",'Atividades Micro'!$K173&lt;&gt;""),'Atividades Micro'!$K173,"")</f>
        <v/>
      </c>
      <c r="BV165" s="21" t="str">
        <f>IF(AND('Atividades Micro'!$B173=BV$2,'Atividades Micro'!$G173="Macro",'Atividades Micro'!$K173&lt;&gt;""),'Atividades Micro'!$K173,"")</f>
        <v/>
      </c>
      <c r="BW165" s="21" t="str">
        <f>IF(AND('Atividades Micro'!$B173=BW$2,'Atividades Micro'!$G173="Macro",'Atividades Micro'!$K173&lt;&gt;""),'Atividades Micro'!$K173,"")</f>
        <v/>
      </c>
      <c r="BX165" s="21" t="str">
        <f>IF(AND('Atividades Micro'!$B173=BX$2,'Atividades Micro'!$G173="Macro",'Atividades Micro'!$K173&lt;&gt;""),'Atividades Micro'!$K173,"")</f>
        <v/>
      </c>
      <c r="BY165" s="21" t="str">
        <f>IF(AND('Atividades Micro'!$B173=BY$2,'Atividades Micro'!$G173="Macro",'Atividades Micro'!$K173&lt;&gt;""),'Atividades Micro'!$K173,"")</f>
        <v/>
      </c>
      <c r="BZ165" s="21" t="str">
        <f>IF(AND('Atividades Micro'!$B173=BZ$2,'Atividades Micro'!$G173="Macro",'Atividades Micro'!$K173&lt;&gt;""),'Atividades Micro'!$K173,"")</f>
        <v/>
      </c>
      <c r="CA165" s="21" t="str">
        <f>IF(AND('Atividades Micro'!$B173=CA$2,'Atividades Micro'!$G173="Macro",'Atividades Micro'!$K173&lt;&gt;""),'Atividades Micro'!$K173,"")</f>
        <v/>
      </c>
      <c r="CB165" s="21" t="str">
        <f>IF(AND('Atividades Micro'!$B173=CB$2,'Atividades Micro'!$G173="Macro",'Atividades Micro'!$K173&lt;&gt;""),'Atividades Micro'!$K173,"")</f>
        <v/>
      </c>
      <c r="CC165" s="21" t="str">
        <f>IF(AND('Atividades Micro'!$B173=CC$2,'Atividades Micro'!$G173="Macro",'Atividades Micro'!$K173&lt;&gt;""),'Atividades Micro'!$K173,"")</f>
        <v/>
      </c>
      <c r="CD165" s="21" t="str">
        <f>IF(AND('Atividades Micro'!$B173=CD$2,'Atividades Micro'!$G173="Micro",'Atividades Micro'!$K173&lt;&gt;""),'Atividades Micro'!$K173,"")</f>
        <v/>
      </c>
      <c r="CE165" s="21" t="str">
        <f>IF(AND('Atividades Micro'!$B173=CE$2,'Atividades Micro'!$G173="Micro",'Atividades Micro'!$K173&lt;&gt;""),'Atividades Micro'!$K173,"")</f>
        <v/>
      </c>
      <c r="CF165" s="21" t="str">
        <f>IF(AND('Atividades Micro'!$B173=CF$2,'Atividades Micro'!$G173="Micro",'Atividades Micro'!$K173&lt;&gt;""),'Atividades Micro'!$K173,"")</f>
        <v/>
      </c>
      <c r="CG165" s="21" t="str">
        <f>IF(AND('Atividades Micro'!$B173=CG$2,'Atividades Micro'!$G173="Micro",'Atividades Micro'!$K173&lt;&gt;""),'Atividades Micro'!$K173,"")</f>
        <v/>
      </c>
      <c r="CH165" s="21" t="str">
        <f>IF(AND('Atividades Micro'!$B173=CH$2,'Atividades Micro'!$G173="Micro",'Atividades Micro'!$K173&lt;&gt;""),'Atividades Micro'!$K173,"")</f>
        <v/>
      </c>
      <c r="CI165" s="21" t="str">
        <f>IF(AND('Atividades Micro'!$B173=CI$2,'Atividades Micro'!$G173="Micro",'Atividades Micro'!$K173&lt;&gt;""),'Atividades Micro'!$K173,"")</f>
        <v/>
      </c>
      <c r="CJ165" s="21" t="str">
        <f>IF(AND('Atividades Micro'!$B173=CJ$2,'Atividades Micro'!$G173="Micro",'Atividades Micro'!$K173&lt;&gt;""),'Atividades Micro'!$K173,"")</f>
        <v/>
      </c>
      <c r="CK165" s="21" t="str">
        <f>IF(AND('Atividades Micro'!$B173=CK$2,'Atividades Micro'!$G173="Micro",'Atividades Micro'!$K173&lt;&gt;""),'Atividades Micro'!$K173,"")</f>
        <v/>
      </c>
      <c r="CL165" s="21" t="str">
        <f>IF(AND('Atividades Micro'!$B173=CL$2,'Atividades Micro'!$G173="Micro",'Atividades Micro'!$K173&lt;&gt;""),'Atividades Micro'!$K173,"")</f>
        <v/>
      </c>
      <c r="CM165" s="21" t="str">
        <f>IF(AND('Atividades Micro'!$B173=CM$2,'Atividades Micro'!$G173="Micro",'Atividades Micro'!$K173&lt;&gt;""),'Atividades Micro'!$K173,"")</f>
        <v/>
      </c>
      <c r="CN165" s="21" t="str">
        <f>IF(AND('Atividades Micro'!$B173=CN$2,'Atividades Micro'!$G173="Micro",'Atividades Micro'!$K173&lt;&gt;""),'Atividades Micro'!$K173,"")</f>
        <v/>
      </c>
      <c r="CO165" s="21" t="str">
        <f>IF(AND('Atividades Micro'!$B173=CO$2,'Atividades Micro'!$G173="Micro",'Atividades Micro'!$K173&lt;&gt;""),'Atividades Micro'!$K173,"")</f>
        <v/>
      </c>
    </row>
    <row r="166" spans="1:93">
      <c r="A166" s="21" t="str">
        <f>IF(AND('Atividades Micro'!$A174=A$2,'Atividades Micro'!$K174&lt;&gt;""),'Atividades Micro'!$K174,"")</f>
        <v/>
      </c>
      <c r="B166" s="21" t="str">
        <f>IF(AND('Atividades Micro'!$A174=B$2,'Atividades Micro'!$L174&lt;&gt;""),'Atividades Micro'!$L174,"")</f>
        <v/>
      </c>
      <c r="C166" s="21" t="str">
        <f>IF(AND('Atividades Micro'!$A174=C$2,'Atividades Micro'!$K174&lt;&gt;""),'Atividades Micro'!$K174,"")</f>
        <v/>
      </c>
      <c r="D166" s="21" t="str">
        <f>IF(AND('Atividades Micro'!$A174=D$2,'Atividades Micro'!$L174&lt;&gt;""),'Atividades Micro'!$L174,"")</f>
        <v/>
      </c>
      <c r="E166" s="21" t="str">
        <f>IF(AND('Atividades Micro'!$A174=E$2,'Atividades Micro'!$K174&lt;&gt;""),'Atividades Micro'!$K174,"")</f>
        <v/>
      </c>
      <c r="F166" s="21" t="str">
        <f>IF(AND('Atividades Micro'!$A174=F$2,'Atividades Micro'!$L174&lt;&gt;""),'Atividades Micro'!$L174,"")</f>
        <v/>
      </c>
      <c r="G166" s="21" t="str">
        <f>IF(AND('Atividades Micro'!$A174=G$2,'Atividades Micro'!$K174&lt;&gt;""),'Atividades Micro'!$K174,"")</f>
        <v/>
      </c>
      <c r="H166" s="21" t="str">
        <f>IF(AND('Atividades Micro'!$A174=H$2,'Atividades Micro'!$L174&lt;&gt;""),'Atividades Micro'!$L174,"")</f>
        <v/>
      </c>
      <c r="I166" s="21" t="str">
        <f>IF(AND('Atividades Micro'!$A174=I$2,'Atividades Micro'!$K174&lt;&gt;""),'Atividades Micro'!$K174,"")</f>
        <v/>
      </c>
      <c r="J166" s="21" t="str">
        <f>IF(AND('Atividades Micro'!$A174=J$2,'Atividades Micro'!$L174&lt;&gt;""),'Atividades Micro'!$L174,"")</f>
        <v/>
      </c>
      <c r="K166" s="21" t="str">
        <f>IF(AND('Atividades Micro'!$B174=K$2,'Atividades Micro'!$K174&lt;&gt;""),'Atividades Micro'!$K174,"")</f>
        <v/>
      </c>
      <c r="L166" s="21" t="str">
        <f>IF(AND('Atividades Micro'!$B174=L$2,'Atividades Micro'!$L174&lt;&gt;""),'Atividades Micro'!$L174,"")</f>
        <v/>
      </c>
      <c r="M166" s="21" t="str">
        <f>IF(AND('Atividades Micro'!$B174=M$2,'Atividades Micro'!$K174&lt;&gt;""),'Atividades Micro'!$K174,"")</f>
        <v/>
      </c>
      <c r="N166" s="21" t="str">
        <f>IF(AND('Atividades Micro'!$B174=N$2,'Atividades Micro'!$L174&lt;&gt;""),'Atividades Micro'!$L174,"")</f>
        <v/>
      </c>
      <c r="O166" s="21" t="str">
        <f>IF(AND('Atividades Micro'!$A174=O$2,'Atividades Micro'!$K174&lt;&gt;""),'Atividades Micro'!$K174,"")</f>
        <v/>
      </c>
      <c r="P166" s="21" t="str">
        <f>IF(AND('Atividades Micro'!$A174=P$2,'Atividades Micro'!$L174&lt;&gt;""),'Atividades Micro'!$L174,"")</f>
        <v/>
      </c>
      <c r="Q166" s="21" t="str">
        <f>IF(AND('Atividades Micro'!$B174=Q$2,'Atividades Micro'!$K174&lt;&gt;""),'Atividades Micro'!$K174,"")</f>
        <v/>
      </c>
      <c r="R166" s="21" t="str">
        <f>IF(AND('Atividades Micro'!$B174=R$2,'Atividades Micro'!$L174&lt;&gt;""),'Atividades Micro'!$L174,"")</f>
        <v/>
      </c>
      <c r="S166" s="21" t="str">
        <f>IF(AND('Atividades Micro'!$A174=S$2,'Atividades Micro'!$K174&lt;&gt;""),'Atividades Micro'!$K174,"")</f>
        <v/>
      </c>
      <c r="T166" s="21" t="str">
        <f>IF(AND('Atividades Micro'!$A174=T$2,'Atividades Micro'!$L174&lt;&gt;""),'Atividades Micro'!$L174,"")</f>
        <v/>
      </c>
      <c r="U166" s="21" t="str">
        <f>IF(AND('Atividades Micro'!$B174=U$2,'Atividades Micro'!$K174&lt;&gt;""),'Atividades Micro'!$K174,"")</f>
        <v/>
      </c>
      <c r="V166" s="21" t="str">
        <f>IF(AND('Atividades Micro'!$B174=V$2,'Atividades Micro'!$L174&lt;&gt;""),'Atividades Micro'!$L174,"")</f>
        <v/>
      </c>
      <c r="W166" s="21" t="str">
        <f>IF(AND('Atividades Micro'!$B174=W$2,'Atividades Micro'!$K174&lt;&gt;""),'Atividades Micro'!$K174,"")</f>
        <v/>
      </c>
      <c r="X166" s="21" t="str">
        <f>IF(AND('Atividades Micro'!$B174=X$2,'Atividades Micro'!$L174&lt;&gt;""),'Atividades Micro'!$L174,"")</f>
        <v/>
      </c>
      <c r="Y166" s="21">
        <f>IF(AND('Atividades Micro'!$A174=Y$2,'Atividades Micro'!$K174&lt;&gt;""),'Atividades Micro'!$K174,"")</f>
        <v>46220</v>
      </c>
      <c r="Z166" s="21">
        <f>IF(AND('Atividades Micro'!$A174=Z$2,'Atividades Micro'!$L174&lt;&gt;""),'Atividades Micro'!$L174,"")</f>
        <v>46220</v>
      </c>
      <c r="AA166" s="21">
        <f>IF(AND('Atividades Micro'!$B174=AA$2,'Atividades Micro'!$K174&lt;&gt;""),'Atividades Micro'!$K174,"")</f>
        <v>46220</v>
      </c>
      <c r="AB166" s="21">
        <f>IF(AND('Atividades Micro'!$B174=AB$2,'Atividades Micro'!$L174&lt;&gt;""),'Atividades Micro'!$L174,"")</f>
        <v>46220</v>
      </c>
      <c r="AC166" s="21" t="str">
        <f>IF(AND('Atividades Micro'!$B174=AC$2,'Atividades Micro'!$K174&lt;&gt;""),'Atividades Micro'!$K174,"")</f>
        <v/>
      </c>
      <c r="AD166" s="21" t="str">
        <f>IF(AND('Atividades Micro'!$B174=AD$2,'Atividades Micro'!$L174&lt;&gt;""),'Atividades Micro'!$L174,"")</f>
        <v/>
      </c>
      <c r="AE166" s="21" t="str">
        <f>IF(AND('Atividades Micro'!$A174=AE$2,'Atividades Micro'!$K174&lt;&gt;""),'Atividades Micro'!$K174,"")</f>
        <v/>
      </c>
      <c r="AF166" s="21" t="str">
        <f>IF(AND('Atividades Micro'!$A174=AF$2,'Atividades Micro'!$L174&lt;&gt;""),'Atividades Micro'!$L174,"")</f>
        <v/>
      </c>
      <c r="AG166" s="21" t="str">
        <f>IF(AND('Atividades Micro'!$B174=AG$2,'Atividades Micro'!$K174&lt;&gt;""),'Atividades Micro'!$K174,"")</f>
        <v/>
      </c>
      <c r="AH166" s="21" t="str">
        <f>IF(AND('Atividades Micro'!$B174=AH$2,'Atividades Micro'!$L174&lt;&gt;""),'Atividades Micro'!$L174,"")</f>
        <v/>
      </c>
      <c r="AI166" s="21" t="str">
        <f>IF(AND('Atividades Micro'!$B174=AI$2,'Atividades Micro'!$K174&lt;&gt;""),'Atividades Micro'!$K174,"")</f>
        <v/>
      </c>
      <c r="AJ166" s="21" t="str">
        <f>IF(AND('Atividades Micro'!$B174=AJ$2,'Atividades Micro'!$L174&lt;&gt;""),'Atividades Micro'!$L174,"")</f>
        <v/>
      </c>
      <c r="AK166" s="21" t="str">
        <f>IF(AND('Atividades Micro'!$A174=AK$2,'Atividades Micro'!$K174&lt;&gt;""),'Atividades Micro'!$K174,"")</f>
        <v/>
      </c>
      <c r="AL166" s="21" t="str">
        <f>IF(AND('Atividades Micro'!$A174=AL$2,'Atividades Micro'!$L174&lt;&gt;""),'Atividades Micro'!$L174,"")</f>
        <v/>
      </c>
      <c r="AM166" s="21" t="str">
        <f>IF(AND('Atividades Micro'!$B174=AM$2,'Atividades Micro'!$K174&lt;&gt;""),'Atividades Micro'!$K174,"")</f>
        <v/>
      </c>
      <c r="AN166" s="21" t="str">
        <f>IF(AND('Atividades Micro'!$B174=AN$2,'Atividades Micro'!$L174&lt;&gt;""),'Atividades Micro'!$L174,"")</f>
        <v/>
      </c>
      <c r="AO166" s="21" t="str">
        <f>IF(AND('Atividades Micro'!$B174=AO$2,'Atividades Micro'!$K174&lt;&gt;""),'Atividades Micro'!$K174,"")</f>
        <v/>
      </c>
      <c r="AP166" s="21" t="str">
        <f>IF(AND('Atividades Micro'!$B174=AP$2,'Atividades Micro'!$L174&lt;&gt;""),'Atividades Micro'!$L174,"")</f>
        <v/>
      </c>
      <c r="AQ166" s="21" t="str">
        <f>IF(AND('Atividades Micro'!$A174=AQ$2,'Atividades Micro'!$K174&lt;&gt;""),'Atividades Micro'!$K174,"")</f>
        <v/>
      </c>
      <c r="AR166" s="21" t="str">
        <f>IF(AND('Atividades Micro'!$A174=AR$2,'Atividades Micro'!$L174&lt;&gt;""),'Atividades Micro'!$L174,"")</f>
        <v/>
      </c>
      <c r="AS166" s="21" t="str">
        <f>IF(AND('Atividades Micro'!$B174=AS$2,'Atividades Micro'!$K174&lt;&gt;""),'Atividades Micro'!$K174,"")</f>
        <v/>
      </c>
      <c r="AT166" s="21" t="str">
        <f>IF(AND('Atividades Micro'!$B174=AT$2,'Atividades Micro'!$L174&lt;&gt;""),'Atividades Micro'!$L174,"")</f>
        <v/>
      </c>
      <c r="AU166" s="21" t="str">
        <f>IF(AND('Atividades Micro'!$A174=AU$2,'Atividades Micro'!$K174&lt;&gt;""),'Atividades Micro'!$K174,"")</f>
        <v/>
      </c>
      <c r="AV166" s="21" t="str">
        <f>IF(AND('Atividades Micro'!$A174=AV$2,'Atividades Micro'!$L174&lt;&gt;""),'Atividades Micro'!$L174,"")</f>
        <v/>
      </c>
      <c r="AW166" s="21" t="str">
        <f>IF(AND('Atividades Micro'!$B174=AW$2,'Atividades Micro'!$K174&lt;&gt;""),'Atividades Micro'!$K174,"")</f>
        <v/>
      </c>
      <c r="AX166" s="21" t="str">
        <f>IF(AND('Atividades Micro'!$B174=AX$2,'Atividades Micro'!$L174&lt;&gt;""),'Atividades Micro'!$L174,"")</f>
        <v/>
      </c>
      <c r="AY166" s="21" t="str">
        <f>IF(AND('Atividades Micro'!$A174=AY$2,'Atividades Micro'!$K174&lt;&gt;""),'Atividades Micro'!$K174,"")</f>
        <v/>
      </c>
      <c r="AZ166" s="21" t="str">
        <f>IF(AND('Atividades Micro'!$A174=AZ$2,'Atividades Micro'!$L174&lt;&gt;""),'Atividades Micro'!$L174,"")</f>
        <v/>
      </c>
      <c r="BA166" s="21" t="str">
        <f>IF(AND('Atividades Micro'!$B174=BA$2,'Atividades Micro'!$K174&lt;&gt;""),'Atividades Micro'!$K174,"")</f>
        <v/>
      </c>
      <c r="BB166" s="21" t="str">
        <f>IF(AND('Atividades Micro'!$B174=BB$2,'Atividades Micro'!$L174&lt;&gt;""),'Atividades Micro'!$L174,"")</f>
        <v/>
      </c>
      <c r="BC166" s="21" t="str">
        <f>IF(AND('Atividades Micro'!$B174=BC$2,'Atividades Micro'!$G174="Macro",'Atividades Micro'!$K174&lt;&gt;""),'Atividades Micro'!$K174,"")</f>
        <v/>
      </c>
      <c r="BD166" s="21" t="str">
        <f>IF(AND('Atividades Micro'!$B174=BD$2,'Atividades Micro'!$G174="Macro",'Atividades Micro'!$K174&lt;&gt;""),'Atividades Micro'!$K174,"")</f>
        <v/>
      </c>
      <c r="BE166" s="21" t="str">
        <f>IF(AND('Atividades Micro'!$B174=BE$2,'Atividades Micro'!$G174="Macro",'Atividades Micro'!$K174&lt;&gt;""),'Atividades Micro'!$K174,"")</f>
        <v/>
      </c>
      <c r="BF166" s="21" t="str">
        <f>IF(AND('Atividades Micro'!$B174=BF$2,'Atividades Micro'!$G174="Macro",'Atividades Micro'!$K174&lt;&gt;""),'Atividades Micro'!$K174,"")</f>
        <v/>
      </c>
      <c r="BG166" s="21" t="str">
        <f>IF(AND('Atividades Micro'!$B174=BG$2,'Atividades Micro'!$G174="Macro",'Atividades Micro'!$K174&lt;&gt;""),'Atividades Micro'!$K174,"")</f>
        <v/>
      </c>
      <c r="BH166" s="21" t="str">
        <f>IF(AND('Atividades Micro'!$B174=BH$2,'Atividades Micro'!$G174="Macro",'Atividades Micro'!$K174&lt;&gt;""),'Atividades Micro'!$K174,"")</f>
        <v/>
      </c>
      <c r="BI166" s="21" t="str">
        <f>IF(AND('Atividades Micro'!$B174=BI$2,'Atividades Micro'!$G174="Macro",'Atividades Micro'!$K174&lt;&gt;""),'Atividades Micro'!$K174,"")</f>
        <v/>
      </c>
      <c r="BJ166" s="21" t="str">
        <f>IF(AND('Atividades Micro'!$B174=BJ$2,'Atividades Micro'!$G174="Macro",'Atividades Micro'!$K174&lt;&gt;""),'Atividades Micro'!$K174,"")</f>
        <v/>
      </c>
      <c r="BK166" s="21" t="str">
        <f>IF(AND('Atividades Micro'!$B174=BK$2,'Atividades Micro'!$G174="Macro",'Atividades Micro'!$K174&lt;&gt;""),'Atividades Micro'!$K174,"")</f>
        <v/>
      </c>
      <c r="BL166" s="21" t="str">
        <f>IF(AND('Atividades Micro'!$B174=BL$2,'Atividades Micro'!$G174="Macro",'Atividades Micro'!$K174&lt;&gt;""),'Atividades Micro'!$K174,"")</f>
        <v/>
      </c>
      <c r="BM166" s="21" t="str">
        <f>IF(AND('Atividades Micro'!$B174=BM$2,'Atividades Micro'!$G174="Macro",'Atividades Micro'!$K174&lt;&gt;""),'Atividades Micro'!$K174,"")</f>
        <v/>
      </c>
      <c r="BN166" s="21" t="str">
        <f>IF(AND('Atividades Micro'!$B174=BN$2,'Atividades Micro'!$G174="Macro",'Atividades Micro'!$K174&lt;&gt;""),'Atividades Micro'!$K174,"")</f>
        <v/>
      </c>
      <c r="BO166" s="21" t="str">
        <f>IF(AND('Atividades Micro'!$B174=BO$2,'Atividades Micro'!$G174="Macro",'Atividades Micro'!$K174&lt;&gt;""),'Atividades Micro'!$K174,"")</f>
        <v/>
      </c>
      <c r="BP166" s="21" t="str">
        <f>IF(AND('Atividades Micro'!$B174=BP$2,'Atividades Micro'!$G174="Macro",'Atividades Micro'!$K174&lt;&gt;""),'Atividades Micro'!$K174,"")</f>
        <v/>
      </c>
      <c r="BQ166" s="21" t="str">
        <f>IF(AND('Atividades Micro'!$B174=BQ$2,'Atividades Micro'!$G174="Macro",'Atividades Micro'!$K174&lt;&gt;""),'Atividades Micro'!$K174,"")</f>
        <v/>
      </c>
      <c r="BR166" s="21" t="str">
        <f>IF(AND('Atividades Micro'!$B174=BR$2,'Atividades Micro'!$G174="Macro",'Atividades Micro'!$K174&lt;&gt;""),'Atividades Micro'!$K174,"")</f>
        <v/>
      </c>
      <c r="BS166" s="21" t="str">
        <f>IF(AND('Atividades Micro'!$B174=BS$2,'Atividades Micro'!$G174="Macro",'Atividades Micro'!$K174&lt;&gt;""),'Atividades Micro'!$K174,"")</f>
        <v/>
      </c>
      <c r="BT166" s="21" t="str">
        <f>IF(AND('Atividades Micro'!$B174=BT$2,'Atividades Micro'!$G174="Macro",'Atividades Micro'!$K174&lt;&gt;""),'Atividades Micro'!$K174,"")</f>
        <v/>
      </c>
      <c r="BU166" s="21" t="str">
        <f>IF(AND('Atividades Micro'!$B174=BU$2,'Atividades Micro'!$G174="Macro",'Atividades Micro'!$K174&lt;&gt;""),'Atividades Micro'!$K174,"")</f>
        <v/>
      </c>
      <c r="BV166" s="21" t="str">
        <f>IF(AND('Atividades Micro'!$B174=BV$2,'Atividades Micro'!$G174="Macro",'Atividades Micro'!$K174&lt;&gt;""),'Atividades Micro'!$K174,"")</f>
        <v/>
      </c>
      <c r="BW166" s="21" t="str">
        <f>IF(AND('Atividades Micro'!$B174=BW$2,'Atividades Micro'!$G174="Macro",'Atividades Micro'!$K174&lt;&gt;""),'Atividades Micro'!$K174,"")</f>
        <v/>
      </c>
      <c r="BX166" s="21" t="str">
        <f>IF(AND('Atividades Micro'!$B174=BX$2,'Atividades Micro'!$G174="Macro",'Atividades Micro'!$K174&lt;&gt;""),'Atividades Micro'!$K174,"")</f>
        <v/>
      </c>
      <c r="BY166" s="21" t="str">
        <f>IF(AND('Atividades Micro'!$B174=BY$2,'Atividades Micro'!$G174="Macro",'Atividades Micro'!$K174&lt;&gt;""),'Atividades Micro'!$K174,"")</f>
        <v/>
      </c>
      <c r="BZ166" s="21" t="str">
        <f>IF(AND('Atividades Micro'!$B174=BZ$2,'Atividades Micro'!$G174="Macro",'Atividades Micro'!$K174&lt;&gt;""),'Atividades Micro'!$K174,"")</f>
        <v/>
      </c>
      <c r="CA166" s="21" t="str">
        <f>IF(AND('Atividades Micro'!$B174=CA$2,'Atividades Micro'!$G174="Macro",'Atividades Micro'!$K174&lt;&gt;""),'Atividades Micro'!$K174,"")</f>
        <v/>
      </c>
      <c r="CB166" s="21" t="str">
        <f>IF(AND('Atividades Micro'!$B174=CB$2,'Atividades Micro'!$G174="Macro",'Atividades Micro'!$K174&lt;&gt;""),'Atividades Micro'!$K174,"")</f>
        <v/>
      </c>
      <c r="CC166" s="21" t="str">
        <f>IF(AND('Atividades Micro'!$B174=CC$2,'Atividades Micro'!$G174="Macro",'Atividades Micro'!$K174&lt;&gt;""),'Atividades Micro'!$K174,"")</f>
        <v/>
      </c>
      <c r="CD166" s="21" t="str">
        <f>IF(AND('Atividades Micro'!$B174=CD$2,'Atividades Micro'!$G174="Micro",'Atividades Micro'!$K174&lt;&gt;""),'Atividades Micro'!$K174,"")</f>
        <v/>
      </c>
      <c r="CE166" s="21" t="str">
        <f>IF(AND('Atividades Micro'!$B174=CE$2,'Atividades Micro'!$G174="Micro",'Atividades Micro'!$K174&lt;&gt;""),'Atividades Micro'!$K174,"")</f>
        <v/>
      </c>
      <c r="CF166" s="21" t="str">
        <f>IF(AND('Atividades Micro'!$B174=CF$2,'Atividades Micro'!$G174="Micro",'Atividades Micro'!$K174&lt;&gt;""),'Atividades Micro'!$K174,"")</f>
        <v/>
      </c>
      <c r="CG166" s="21" t="str">
        <f>IF(AND('Atividades Micro'!$B174=CG$2,'Atividades Micro'!$G174="Micro",'Atividades Micro'!$K174&lt;&gt;""),'Atividades Micro'!$K174,"")</f>
        <v/>
      </c>
      <c r="CH166" s="21" t="str">
        <f>IF(AND('Atividades Micro'!$B174=CH$2,'Atividades Micro'!$G174="Micro",'Atividades Micro'!$K174&lt;&gt;""),'Atividades Micro'!$K174,"")</f>
        <v/>
      </c>
      <c r="CI166" s="21">
        <f>IF(AND('Atividades Micro'!$B174=CI$2,'Atividades Micro'!$G174="Micro",'Atividades Micro'!$K174&lt;&gt;""),'Atividades Micro'!$K174,"")</f>
        <v>46220</v>
      </c>
      <c r="CJ166" s="21" t="str">
        <f>IF(AND('Atividades Micro'!$B174=CJ$2,'Atividades Micro'!$G174="Micro",'Atividades Micro'!$K174&lt;&gt;""),'Atividades Micro'!$K174,"")</f>
        <v/>
      </c>
      <c r="CK166" s="21" t="str">
        <f>IF(AND('Atividades Micro'!$B174=CK$2,'Atividades Micro'!$G174="Micro",'Atividades Micro'!$K174&lt;&gt;""),'Atividades Micro'!$K174,"")</f>
        <v/>
      </c>
      <c r="CL166" s="21" t="str">
        <f>IF(AND('Atividades Micro'!$B174=CL$2,'Atividades Micro'!$G174="Micro",'Atividades Micro'!$K174&lt;&gt;""),'Atividades Micro'!$K174,"")</f>
        <v/>
      </c>
      <c r="CM166" s="21" t="str">
        <f>IF(AND('Atividades Micro'!$B174=CM$2,'Atividades Micro'!$G174="Micro",'Atividades Micro'!$K174&lt;&gt;""),'Atividades Micro'!$K174,"")</f>
        <v/>
      </c>
      <c r="CN166" s="21" t="str">
        <f>IF(AND('Atividades Micro'!$B174=CN$2,'Atividades Micro'!$G174="Micro",'Atividades Micro'!$K174&lt;&gt;""),'Atividades Micro'!$K174,"")</f>
        <v/>
      </c>
      <c r="CO166" s="21" t="str">
        <f>IF(AND('Atividades Micro'!$B174=CO$2,'Atividades Micro'!$G174="Micro",'Atividades Micro'!$K174&lt;&gt;""),'Atividades Micro'!$K174,"")</f>
        <v/>
      </c>
    </row>
    <row r="167" spans="1:93">
      <c r="A167" s="21" t="str">
        <f>IF(AND('Atividades Micro'!$A175=A$2,'Atividades Micro'!$K175&lt;&gt;""),'Atividades Micro'!$K175,"")</f>
        <v/>
      </c>
      <c r="B167" s="21" t="str">
        <f>IF(AND('Atividades Micro'!$A175=B$2,'Atividades Micro'!$L175&lt;&gt;""),'Atividades Micro'!$L175,"")</f>
        <v/>
      </c>
      <c r="C167" s="21" t="str">
        <f>IF(AND('Atividades Micro'!$A175=C$2,'Atividades Micro'!$K175&lt;&gt;""),'Atividades Micro'!$K175,"")</f>
        <v/>
      </c>
      <c r="D167" s="21" t="str">
        <f>IF(AND('Atividades Micro'!$A175=D$2,'Atividades Micro'!$L175&lt;&gt;""),'Atividades Micro'!$L175,"")</f>
        <v/>
      </c>
      <c r="E167" s="21" t="str">
        <f>IF(AND('Atividades Micro'!$A175=E$2,'Atividades Micro'!$K175&lt;&gt;""),'Atividades Micro'!$K175,"")</f>
        <v/>
      </c>
      <c r="F167" s="21" t="str">
        <f>IF(AND('Atividades Micro'!$A175=F$2,'Atividades Micro'!$L175&lt;&gt;""),'Atividades Micro'!$L175,"")</f>
        <v/>
      </c>
      <c r="G167" s="21" t="str">
        <f>IF(AND('Atividades Micro'!$A175=G$2,'Atividades Micro'!$K175&lt;&gt;""),'Atividades Micro'!$K175,"")</f>
        <v/>
      </c>
      <c r="H167" s="21" t="str">
        <f>IF(AND('Atividades Micro'!$A175=H$2,'Atividades Micro'!$L175&lt;&gt;""),'Atividades Micro'!$L175,"")</f>
        <v/>
      </c>
      <c r="I167" s="21" t="str">
        <f>IF(AND('Atividades Micro'!$A175=I$2,'Atividades Micro'!$K175&lt;&gt;""),'Atividades Micro'!$K175,"")</f>
        <v/>
      </c>
      <c r="J167" s="21" t="str">
        <f>IF(AND('Atividades Micro'!$A175=J$2,'Atividades Micro'!$L175&lt;&gt;""),'Atividades Micro'!$L175,"")</f>
        <v/>
      </c>
      <c r="K167" s="21" t="str">
        <f>IF(AND('Atividades Micro'!$B175=K$2,'Atividades Micro'!$K175&lt;&gt;""),'Atividades Micro'!$K175,"")</f>
        <v/>
      </c>
      <c r="L167" s="21" t="str">
        <f>IF(AND('Atividades Micro'!$B175=L$2,'Atividades Micro'!$L175&lt;&gt;""),'Atividades Micro'!$L175,"")</f>
        <v/>
      </c>
      <c r="M167" s="21" t="str">
        <f>IF(AND('Atividades Micro'!$B175=M$2,'Atividades Micro'!$K175&lt;&gt;""),'Atividades Micro'!$K175,"")</f>
        <v/>
      </c>
      <c r="N167" s="21" t="str">
        <f>IF(AND('Atividades Micro'!$B175=N$2,'Atividades Micro'!$L175&lt;&gt;""),'Atividades Micro'!$L175,"")</f>
        <v/>
      </c>
      <c r="O167" s="21" t="str">
        <f>IF(AND('Atividades Micro'!$A175=O$2,'Atividades Micro'!$K175&lt;&gt;""),'Atividades Micro'!$K175,"")</f>
        <v/>
      </c>
      <c r="P167" s="21" t="str">
        <f>IF(AND('Atividades Micro'!$A175=P$2,'Atividades Micro'!$L175&lt;&gt;""),'Atividades Micro'!$L175,"")</f>
        <v/>
      </c>
      <c r="Q167" s="21" t="str">
        <f>IF(AND('Atividades Micro'!$B175=Q$2,'Atividades Micro'!$K175&lt;&gt;""),'Atividades Micro'!$K175,"")</f>
        <v/>
      </c>
      <c r="R167" s="21" t="str">
        <f>IF(AND('Atividades Micro'!$B175=R$2,'Atividades Micro'!$L175&lt;&gt;""),'Atividades Micro'!$L175,"")</f>
        <v/>
      </c>
      <c r="S167" s="21" t="str">
        <f>IF(AND('Atividades Micro'!$A175=S$2,'Atividades Micro'!$K175&lt;&gt;""),'Atividades Micro'!$K175,"")</f>
        <v/>
      </c>
      <c r="T167" s="21" t="str">
        <f>IF(AND('Atividades Micro'!$A175=T$2,'Atividades Micro'!$L175&lt;&gt;""),'Atividades Micro'!$L175,"")</f>
        <v/>
      </c>
      <c r="U167" s="21" t="str">
        <f>IF(AND('Atividades Micro'!$B175=U$2,'Atividades Micro'!$K175&lt;&gt;""),'Atividades Micro'!$K175,"")</f>
        <v/>
      </c>
      <c r="V167" s="21" t="str">
        <f>IF(AND('Atividades Micro'!$B175=V$2,'Atividades Micro'!$L175&lt;&gt;""),'Atividades Micro'!$L175,"")</f>
        <v/>
      </c>
      <c r="W167" s="21" t="str">
        <f>IF(AND('Atividades Micro'!$B175=W$2,'Atividades Micro'!$K175&lt;&gt;""),'Atividades Micro'!$K175,"")</f>
        <v/>
      </c>
      <c r="X167" s="21" t="str">
        <f>IF(AND('Atividades Micro'!$B175=X$2,'Atividades Micro'!$L175&lt;&gt;""),'Atividades Micro'!$L175,"")</f>
        <v/>
      </c>
      <c r="Y167" s="21">
        <f>IF(AND('Atividades Micro'!$A175=Y$2,'Atividades Micro'!$K175&lt;&gt;""),'Atividades Micro'!$K175,"")</f>
        <v>46237</v>
      </c>
      <c r="Z167" s="21">
        <f>IF(AND('Atividades Micro'!$A175=Z$2,'Atividades Micro'!$L175&lt;&gt;""),'Atividades Micro'!$L175,"")</f>
        <v>46234</v>
      </c>
      <c r="AA167" s="21">
        <f>IF(AND('Atividades Micro'!$B175=AA$2,'Atividades Micro'!$K175&lt;&gt;""),'Atividades Micro'!$K175,"")</f>
        <v>46237</v>
      </c>
      <c r="AB167" s="21">
        <f>IF(AND('Atividades Micro'!$B175=AB$2,'Atividades Micro'!$L175&lt;&gt;""),'Atividades Micro'!$L175,"")</f>
        <v>46234</v>
      </c>
      <c r="AC167" s="21" t="str">
        <f>IF(AND('Atividades Micro'!$B175=AC$2,'Atividades Micro'!$K175&lt;&gt;""),'Atividades Micro'!$K175,"")</f>
        <v/>
      </c>
      <c r="AD167" s="21" t="str">
        <f>IF(AND('Atividades Micro'!$B175=AD$2,'Atividades Micro'!$L175&lt;&gt;""),'Atividades Micro'!$L175,"")</f>
        <v/>
      </c>
      <c r="AE167" s="21" t="str">
        <f>IF(AND('Atividades Micro'!$A175=AE$2,'Atividades Micro'!$K175&lt;&gt;""),'Atividades Micro'!$K175,"")</f>
        <v/>
      </c>
      <c r="AF167" s="21" t="str">
        <f>IF(AND('Atividades Micro'!$A175=AF$2,'Atividades Micro'!$L175&lt;&gt;""),'Atividades Micro'!$L175,"")</f>
        <v/>
      </c>
      <c r="AG167" s="21" t="str">
        <f>IF(AND('Atividades Micro'!$B175=AG$2,'Atividades Micro'!$K175&lt;&gt;""),'Atividades Micro'!$K175,"")</f>
        <v/>
      </c>
      <c r="AH167" s="21" t="str">
        <f>IF(AND('Atividades Micro'!$B175=AH$2,'Atividades Micro'!$L175&lt;&gt;""),'Atividades Micro'!$L175,"")</f>
        <v/>
      </c>
      <c r="AI167" s="21" t="str">
        <f>IF(AND('Atividades Micro'!$B175=AI$2,'Atividades Micro'!$K175&lt;&gt;""),'Atividades Micro'!$K175,"")</f>
        <v/>
      </c>
      <c r="AJ167" s="21" t="str">
        <f>IF(AND('Atividades Micro'!$B175=AJ$2,'Atividades Micro'!$L175&lt;&gt;""),'Atividades Micro'!$L175,"")</f>
        <v/>
      </c>
      <c r="AK167" s="21" t="str">
        <f>IF(AND('Atividades Micro'!$A175=AK$2,'Atividades Micro'!$K175&lt;&gt;""),'Atividades Micro'!$K175,"")</f>
        <v/>
      </c>
      <c r="AL167" s="21" t="str">
        <f>IF(AND('Atividades Micro'!$A175=AL$2,'Atividades Micro'!$L175&lt;&gt;""),'Atividades Micro'!$L175,"")</f>
        <v/>
      </c>
      <c r="AM167" s="21" t="str">
        <f>IF(AND('Atividades Micro'!$B175=AM$2,'Atividades Micro'!$K175&lt;&gt;""),'Atividades Micro'!$K175,"")</f>
        <v/>
      </c>
      <c r="AN167" s="21" t="str">
        <f>IF(AND('Atividades Micro'!$B175=AN$2,'Atividades Micro'!$L175&lt;&gt;""),'Atividades Micro'!$L175,"")</f>
        <v/>
      </c>
      <c r="AO167" s="21" t="str">
        <f>IF(AND('Atividades Micro'!$B175=AO$2,'Atividades Micro'!$K175&lt;&gt;""),'Atividades Micro'!$K175,"")</f>
        <v/>
      </c>
      <c r="AP167" s="21" t="str">
        <f>IF(AND('Atividades Micro'!$B175=AP$2,'Atividades Micro'!$L175&lt;&gt;""),'Atividades Micro'!$L175,"")</f>
        <v/>
      </c>
      <c r="AQ167" s="21" t="str">
        <f>IF(AND('Atividades Micro'!$A175=AQ$2,'Atividades Micro'!$K175&lt;&gt;""),'Atividades Micro'!$K175,"")</f>
        <v/>
      </c>
      <c r="AR167" s="21" t="str">
        <f>IF(AND('Atividades Micro'!$A175=AR$2,'Atividades Micro'!$L175&lt;&gt;""),'Atividades Micro'!$L175,"")</f>
        <v/>
      </c>
      <c r="AS167" s="21" t="str">
        <f>IF(AND('Atividades Micro'!$B175=AS$2,'Atividades Micro'!$K175&lt;&gt;""),'Atividades Micro'!$K175,"")</f>
        <v/>
      </c>
      <c r="AT167" s="21" t="str">
        <f>IF(AND('Atividades Micro'!$B175=AT$2,'Atividades Micro'!$L175&lt;&gt;""),'Atividades Micro'!$L175,"")</f>
        <v/>
      </c>
      <c r="AU167" s="21" t="str">
        <f>IF(AND('Atividades Micro'!$A175=AU$2,'Atividades Micro'!$K175&lt;&gt;""),'Atividades Micro'!$K175,"")</f>
        <v/>
      </c>
      <c r="AV167" s="21" t="str">
        <f>IF(AND('Atividades Micro'!$A175=AV$2,'Atividades Micro'!$L175&lt;&gt;""),'Atividades Micro'!$L175,"")</f>
        <v/>
      </c>
      <c r="AW167" s="21" t="str">
        <f>IF(AND('Atividades Micro'!$B175=AW$2,'Atividades Micro'!$K175&lt;&gt;""),'Atividades Micro'!$K175,"")</f>
        <v/>
      </c>
      <c r="AX167" s="21" t="str">
        <f>IF(AND('Atividades Micro'!$B175=AX$2,'Atividades Micro'!$L175&lt;&gt;""),'Atividades Micro'!$L175,"")</f>
        <v/>
      </c>
      <c r="AY167" s="21" t="str">
        <f>IF(AND('Atividades Micro'!$A175=AY$2,'Atividades Micro'!$K175&lt;&gt;""),'Atividades Micro'!$K175,"")</f>
        <v/>
      </c>
      <c r="AZ167" s="21" t="str">
        <f>IF(AND('Atividades Micro'!$A175=AZ$2,'Atividades Micro'!$L175&lt;&gt;""),'Atividades Micro'!$L175,"")</f>
        <v/>
      </c>
      <c r="BA167" s="21" t="str">
        <f>IF(AND('Atividades Micro'!$B175=BA$2,'Atividades Micro'!$K175&lt;&gt;""),'Atividades Micro'!$K175,"")</f>
        <v/>
      </c>
      <c r="BB167" s="21" t="str">
        <f>IF(AND('Atividades Micro'!$B175=BB$2,'Atividades Micro'!$L175&lt;&gt;""),'Atividades Micro'!$L175,"")</f>
        <v/>
      </c>
      <c r="BC167" s="21" t="str">
        <f>IF(AND('Atividades Micro'!$B175=BC$2,'Atividades Micro'!$G175="Macro",'Atividades Micro'!$K175&lt;&gt;""),'Atividades Micro'!$K175,"")</f>
        <v/>
      </c>
      <c r="BD167" s="21" t="str">
        <f>IF(AND('Atividades Micro'!$B175=BD$2,'Atividades Micro'!$G175="Macro",'Atividades Micro'!$K175&lt;&gt;""),'Atividades Micro'!$K175,"")</f>
        <v/>
      </c>
      <c r="BE167" s="21" t="str">
        <f>IF(AND('Atividades Micro'!$B175=BE$2,'Atividades Micro'!$G175="Macro",'Atividades Micro'!$K175&lt;&gt;""),'Atividades Micro'!$K175,"")</f>
        <v/>
      </c>
      <c r="BF167" s="21" t="str">
        <f>IF(AND('Atividades Micro'!$B175=BF$2,'Atividades Micro'!$G175="Macro",'Atividades Micro'!$K175&lt;&gt;""),'Atividades Micro'!$K175,"")</f>
        <v/>
      </c>
      <c r="BG167" s="21" t="str">
        <f>IF(AND('Atividades Micro'!$B175=BG$2,'Atividades Micro'!$G175="Macro",'Atividades Micro'!$K175&lt;&gt;""),'Atividades Micro'!$K175,"")</f>
        <v/>
      </c>
      <c r="BH167" s="21" t="str">
        <f>IF(AND('Atividades Micro'!$B175=BH$2,'Atividades Micro'!$G175="Macro",'Atividades Micro'!$K175&lt;&gt;""),'Atividades Micro'!$K175,"")</f>
        <v/>
      </c>
      <c r="BI167" s="21" t="str">
        <f>IF(AND('Atividades Micro'!$B175=BI$2,'Atividades Micro'!$G175="Macro",'Atividades Micro'!$K175&lt;&gt;""),'Atividades Micro'!$K175,"")</f>
        <v/>
      </c>
      <c r="BJ167" s="21" t="str">
        <f>IF(AND('Atividades Micro'!$B175=BJ$2,'Atividades Micro'!$G175="Macro",'Atividades Micro'!$K175&lt;&gt;""),'Atividades Micro'!$K175,"")</f>
        <v/>
      </c>
      <c r="BK167" s="21" t="str">
        <f>IF(AND('Atividades Micro'!$B175=BK$2,'Atividades Micro'!$G175="Macro",'Atividades Micro'!$K175&lt;&gt;""),'Atividades Micro'!$K175,"")</f>
        <v/>
      </c>
      <c r="BL167" s="21" t="str">
        <f>IF(AND('Atividades Micro'!$B175=BL$2,'Atividades Micro'!$G175="Macro",'Atividades Micro'!$K175&lt;&gt;""),'Atividades Micro'!$K175,"")</f>
        <v/>
      </c>
      <c r="BM167" s="21" t="str">
        <f>IF(AND('Atividades Micro'!$B175=BM$2,'Atividades Micro'!$G175="Macro",'Atividades Micro'!$K175&lt;&gt;""),'Atividades Micro'!$K175,"")</f>
        <v/>
      </c>
      <c r="BN167" s="21" t="str">
        <f>IF(AND('Atividades Micro'!$B175=BN$2,'Atividades Micro'!$G175="Macro",'Atividades Micro'!$K175&lt;&gt;""),'Atividades Micro'!$K175,"")</f>
        <v/>
      </c>
      <c r="BO167" s="21" t="str">
        <f>IF(AND('Atividades Micro'!$B175=BO$2,'Atividades Micro'!$G175="Macro",'Atividades Micro'!$K175&lt;&gt;""),'Atividades Micro'!$K175,"")</f>
        <v/>
      </c>
      <c r="BP167" s="21" t="str">
        <f>IF(AND('Atividades Micro'!$B175=BP$2,'Atividades Micro'!$G175="Macro",'Atividades Micro'!$K175&lt;&gt;""),'Atividades Micro'!$K175,"")</f>
        <v/>
      </c>
      <c r="BQ167" s="21" t="str">
        <f>IF(AND('Atividades Micro'!$B175=BQ$2,'Atividades Micro'!$G175="Macro",'Atividades Micro'!$K175&lt;&gt;""),'Atividades Micro'!$K175,"")</f>
        <v/>
      </c>
      <c r="BR167" s="21" t="str">
        <f>IF(AND('Atividades Micro'!$B175=BR$2,'Atividades Micro'!$G175="Macro",'Atividades Micro'!$K175&lt;&gt;""),'Atividades Micro'!$K175,"")</f>
        <v/>
      </c>
      <c r="BS167" s="21" t="str">
        <f>IF(AND('Atividades Micro'!$B175=BS$2,'Atividades Micro'!$G175="Macro",'Atividades Micro'!$K175&lt;&gt;""),'Atividades Micro'!$K175,"")</f>
        <v/>
      </c>
      <c r="BT167" s="21" t="str">
        <f>IF(AND('Atividades Micro'!$B175=BT$2,'Atividades Micro'!$G175="Macro",'Atividades Micro'!$K175&lt;&gt;""),'Atividades Micro'!$K175,"")</f>
        <v/>
      </c>
      <c r="BU167" s="21" t="str">
        <f>IF(AND('Atividades Micro'!$B175=BU$2,'Atividades Micro'!$G175="Macro",'Atividades Micro'!$K175&lt;&gt;""),'Atividades Micro'!$K175,"")</f>
        <v/>
      </c>
      <c r="BV167" s="21" t="str">
        <f>IF(AND('Atividades Micro'!$B175=BV$2,'Atividades Micro'!$G175="Macro",'Atividades Micro'!$K175&lt;&gt;""),'Atividades Micro'!$K175,"")</f>
        <v/>
      </c>
      <c r="BW167" s="21" t="str">
        <f>IF(AND('Atividades Micro'!$B175=BW$2,'Atividades Micro'!$G175="Macro",'Atividades Micro'!$K175&lt;&gt;""),'Atividades Micro'!$K175,"")</f>
        <v/>
      </c>
      <c r="BX167" s="21" t="str">
        <f>IF(AND('Atividades Micro'!$B175=BX$2,'Atividades Micro'!$G175="Macro",'Atividades Micro'!$K175&lt;&gt;""),'Atividades Micro'!$K175,"")</f>
        <v/>
      </c>
      <c r="BY167" s="21" t="str">
        <f>IF(AND('Atividades Micro'!$B175=BY$2,'Atividades Micro'!$G175="Macro",'Atividades Micro'!$K175&lt;&gt;""),'Atividades Micro'!$K175,"")</f>
        <v/>
      </c>
      <c r="BZ167" s="21" t="str">
        <f>IF(AND('Atividades Micro'!$B175=BZ$2,'Atividades Micro'!$G175="Macro",'Atividades Micro'!$K175&lt;&gt;""),'Atividades Micro'!$K175,"")</f>
        <v/>
      </c>
      <c r="CA167" s="21" t="str">
        <f>IF(AND('Atividades Micro'!$B175=CA$2,'Atividades Micro'!$G175="Macro",'Atividades Micro'!$K175&lt;&gt;""),'Atividades Micro'!$K175,"")</f>
        <v/>
      </c>
      <c r="CB167" s="21" t="str">
        <f>IF(AND('Atividades Micro'!$B175=CB$2,'Atividades Micro'!$G175="Macro",'Atividades Micro'!$K175&lt;&gt;""),'Atividades Micro'!$K175,"")</f>
        <v/>
      </c>
      <c r="CC167" s="21" t="str">
        <f>IF(AND('Atividades Micro'!$B175=CC$2,'Atividades Micro'!$G175="Macro",'Atividades Micro'!$K175&lt;&gt;""),'Atividades Micro'!$K175,"")</f>
        <v/>
      </c>
      <c r="CD167" s="21" t="str">
        <f>IF(AND('Atividades Micro'!$B175=CD$2,'Atividades Micro'!$G175="Micro",'Atividades Micro'!$K175&lt;&gt;""),'Atividades Micro'!$K175,"")</f>
        <v/>
      </c>
      <c r="CE167" s="21" t="str">
        <f>IF(AND('Atividades Micro'!$B175=CE$2,'Atividades Micro'!$G175="Micro",'Atividades Micro'!$K175&lt;&gt;""),'Atividades Micro'!$K175,"")</f>
        <v/>
      </c>
      <c r="CF167" s="21" t="str">
        <f>IF(AND('Atividades Micro'!$B175=CF$2,'Atividades Micro'!$G175="Micro",'Atividades Micro'!$K175&lt;&gt;""),'Atividades Micro'!$K175,"")</f>
        <v/>
      </c>
      <c r="CG167" s="21" t="str">
        <f>IF(AND('Atividades Micro'!$B175=CG$2,'Atividades Micro'!$G175="Micro",'Atividades Micro'!$K175&lt;&gt;""),'Atividades Micro'!$K175,"")</f>
        <v/>
      </c>
      <c r="CH167" s="21" t="str">
        <f>IF(AND('Atividades Micro'!$B175=CH$2,'Atividades Micro'!$G175="Micro",'Atividades Micro'!$K175&lt;&gt;""),'Atividades Micro'!$K175,"")</f>
        <v/>
      </c>
      <c r="CI167" s="21">
        <f>IF(AND('Atividades Micro'!$B175=CI$2,'Atividades Micro'!$G175="Micro",'Atividades Micro'!$K175&lt;&gt;""),'Atividades Micro'!$K175,"")</f>
        <v>46237</v>
      </c>
      <c r="CJ167" s="21" t="str">
        <f>IF(AND('Atividades Micro'!$B175=CJ$2,'Atividades Micro'!$G175="Micro",'Atividades Micro'!$K175&lt;&gt;""),'Atividades Micro'!$K175,"")</f>
        <v/>
      </c>
      <c r="CK167" s="21" t="str">
        <f>IF(AND('Atividades Micro'!$B175=CK$2,'Atividades Micro'!$G175="Micro",'Atividades Micro'!$K175&lt;&gt;""),'Atividades Micro'!$K175,"")</f>
        <v/>
      </c>
      <c r="CL167" s="21" t="str">
        <f>IF(AND('Atividades Micro'!$B175=CL$2,'Atividades Micro'!$G175="Micro",'Atividades Micro'!$K175&lt;&gt;""),'Atividades Micro'!$K175,"")</f>
        <v/>
      </c>
      <c r="CM167" s="21" t="str">
        <f>IF(AND('Atividades Micro'!$B175=CM$2,'Atividades Micro'!$G175="Micro",'Atividades Micro'!$K175&lt;&gt;""),'Atividades Micro'!$K175,"")</f>
        <v/>
      </c>
      <c r="CN167" s="21" t="str">
        <f>IF(AND('Atividades Micro'!$B175=CN$2,'Atividades Micro'!$G175="Micro",'Atividades Micro'!$K175&lt;&gt;""),'Atividades Micro'!$K175,"")</f>
        <v/>
      </c>
      <c r="CO167" s="21" t="str">
        <f>IF(AND('Atividades Micro'!$B175=CO$2,'Atividades Micro'!$G175="Micro",'Atividades Micro'!$K175&lt;&gt;""),'Atividades Micro'!$K175,"")</f>
        <v/>
      </c>
    </row>
    <row r="168" spans="1:93">
      <c r="A168" s="21" t="str">
        <f>IF(AND('Atividades Micro'!$A176=A$2,'Atividades Micro'!$K176&lt;&gt;""),'Atividades Micro'!$K176,"")</f>
        <v/>
      </c>
      <c r="B168" s="21" t="str">
        <f>IF(AND('Atividades Micro'!$A176=B$2,'Atividades Micro'!$L176&lt;&gt;""),'Atividades Micro'!$L176,"")</f>
        <v/>
      </c>
      <c r="C168" s="21" t="str">
        <f>IF(AND('Atividades Micro'!$A176=C$2,'Atividades Micro'!$K176&lt;&gt;""),'Atividades Micro'!$K176,"")</f>
        <v/>
      </c>
      <c r="D168" s="21" t="str">
        <f>IF(AND('Atividades Micro'!$A176=D$2,'Atividades Micro'!$L176&lt;&gt;""),'Atividades Micro'!$L176,"")</f>
        <v/>
      </c>
      <c r="E168" s="21" t="str">
        <f>IF(AND('Atividades Micro'!$A176=E$2,'Atividades Micro'!$K176&lt;&gt;""),'Atividades Micro'!$K176,"")</f>
        <v/>
      </c>
      <c r="F168" s="21" t="str">
        <f>IF(AND('Atividades Micro'!$A176=F$2,'Atividades Micro'!$L176&lt;&gt;""),'Atividades Micro'!$L176,"")</f>
        <v/>
      </c>
      <c r="G168" s="21" t="str">
        <f>IF(AND('Atividades Micro'!$A176=G$2,'Atividades Micro'!$K176&lt;&gt;""),'Atividades Micro'!$K176,"")</f>
        <v/>
      </c>
      <c r="H168" s="21" t="str">
        <f>IF(AND('Atividades Micro'!$A176=H$2,'Atividades Micro'!$L176&lt;&gt;""),'Atividades Micro'!$L176,"")</f>
        <v/>
      </c>
      <c r="I168" s="21" t="str">
        <f>IF(AND('Atividades Micro'!$A176=I$2,'Atividades Micro'!$K176&lt;&gt;""),'Atividades Micro'!$K176,"")</f>
        <v/>
      </c>
      <c r="J168" s="21" t="str">
        <f>IF(AND('Atividades Micro'!$A176=J$2,'Atividades Micro'!$L176&lt;&gt;""),'Atividades Micro'!$L176,"")</f>
        <v/>
      </c>
      <c r="K168" s="21" t="str">
        <f>IF(AND('Atividades Micro'!$B176=K$2,'Atividades Micro'!$K176&lt;&gt;""),'Atividades Micro'!$K176,"")</f>
        <v/>
      </c>
      <c r="L168" s="21" t="str">
        <f>IF(AND('Atividades Micro'!$B176=L$2,'Atividades Micro'!$L176&lt;&gt;""),'Atividades Micro'!$L176,"")</f>
        <v/>
      </c>
      <c r="M168" s="21" t="str">
        <f>IF(AND('Atividades Micro'!$B176=M$2,'Atividades Micro'!$K176&lt;&gt;""),'Atividades Micro'!$K176,"")</f>
        <v/>
      </c>
      <c r="N168" s="21" t="str">
        <f>IF(AND('Atividades Micro'!$B176=N$2,'Atividades Micro'!$L176&lt;&gt;""),'Atividades Micro'!$L176,"")</f>
        <v/>
      </c>
      <c r="O168" s="21" t="str">
        <f>IF(AND('Atividades Micro'!$A176=O$2,'Atividades Micro'!$K176&lt;&gt;""),'Atividades Micro'!$K176,"")</f>
        <v/>
      </c>
      <c r="P168" s="21" t="str">
        <f>IF(AND('Atividades Micro'!$A176=P$2,'Atividades Micro'!$L176&lt;&gt;""),'Atividades Micro'!$L176,"")</f>
        <v/>
      </c>
      <c r="Q168" s="21" t="str">
        <f>IF(AND('Atividades Micro'!$B176=Q$2,'Atividades Micro'!$K176&lt;&gt;""),'Atividades Micro'!$K176,"")</f>
        <v/>
      </c>
      <c r="R168" s="21" t="str">
        <f>IF(AND('Atividades Micro'!$B176=R$2,'Atividades Micro'!$L176&lt;&gt;""),'Atividades Micro'!$L176,"")</f>
        <v/>
      </c>
      <c r="S168" s="21" t="str">
        <f>IF(AND('Atividades Micro'!$A176=S$2,'Atividades Micro'!$K176&lt;&gt;""),'Atividades Micro'!$K176,"")</f>
        <v/>
      </c>
      <c r="T168" s="21" t="str">
        <f>IF(AND('Atividades Micro'!$A176=T$2,'Atividades Micro'!$L176&lt;&gt;""),'Atividades Micro'!$L176,"")</f>
        <v/>
      </c>
      <c r="U168" s="21" t="str">
        <f>IF(AND('Atividades Micro'!$B176=U$2,'Atividades Micro'!$K176&lt;&gt;""),'Atividades Micro'!$K176,"")</f>
        <v/>
      </c>
      <c r="V168" s="21" t="str">
        <f>IF(AND('Atividades Micro'!$B176=V$2,'Atividades Micro'!$L176&lt;&gt;""),'Atividades Micro'!$L176,"")</f>
        <v/>
      </c>
      <c r="W168" s="21" t="str">
        <f>IF(AND('Atividades Micro'!$B176=W$2,'Atividades Micro'!$K176&lt;&gt;""),'Atividades Micro'!$K176,"")</f>
        <v/>
      </c>
      <c r="X168" s="21" t="str">
        <f>IF(AND('Atividades Micro'!$B176=X$2,'Atividades Micro'!$L176&lt;&gt;""),'Atividades Micro'!$L176,"")</f>
        <v/>
      </c>
      <c r="Y168" s="21" t="str">
        <f>IF(AND('Atividades Micro'!$A176=Y$2,'Atividades Micro'!$K176&lt;&gt;""),'Atividades Micro'!$K176,"")</f>
        <v/>
      </c>
      <c r="Z168" s="21" t="str">
        <f>IF(AND('Atividades Micro'!$A176=Z$2,'Atividades Micro'!$L176&lt;&gt;""),'Atividades Micro'!$L176,"")</f>
        <v/>
      </c>
      <c r="AA168" s="21" t="str">
        <f>IF(AND('Atividades Micro'!$B176=AA$2,'Atividades Micro'!$K176&lt;&gt;""),'Atividades Micro'!$K176,"")</f>
        <v/>
      </c>
      <c r="AB168" s="21" t="str">
        <f>IF(AND('Atividades Micro'!$B176=AB$2,'Atividades Micro'!$L176&lt;&gt;""),'Atividades Micro'!$L176,"")</f>
        <v/>
      </c>
      <c r="AC168" s="21" t="str">
        <f>IF(AND('Atividades Micro'!$B176=AC$2,'Atividades Micro'!$K176&lt;&gt;""),'Atividades Micro'!$K176,"")</f>
        <v/>
      </c>
      <c r="AD168" s="21" t="str">
        <f>IF(AND('Atividades Micro'!$B176=AD$2,'Atividades Micro'!$L176&lt;&gt;""),'Atividades Micro'!$L176,"")</f>
        <v/>
      </c>
      <c r="AE168" s="21" t="str">
        <f>IF(AND('Atividades Micro'!$A176=AE$2,'Atividades Micro'!$K176&lt;&gt;""),'Atividades Micro'!$K176,"")</f>
        <v/>
      </c>
      <c r="AF168" s="21" t="str">
        <f>IF(AND('Atividades Micro'!$A176=AF$2,'Atividades Micro'!$L176&lt;&gt;""),'Atividades Micro'!$L176,"")</f>
        <v/>
      </c>
      <c r="AG168" s="21" t="str">
        <f>IF(AND('Atividades Micro'!$B176=AG$2,'Atividades Micro'!$K176&lt;&gt;""),'Atividades Micro'!$K176,"")</f>
        <v/>
      </c>
      <c r="AH168" s="21" t="str">
        <f>IF(AND('Atividades Micro'!$B176=AH$2,'Atividades Micro'!$L176&lt;&gt;""),'Atividades Micro'!$L176,"")</f>
        <v/>
      </c>
      <c r="AI168" s="21" t="str">
        <f>IF(AND('Atividades Micro'!$B176=AI$2,'Atividades Micro'!$K176&lt;&gt;""),'Atividades Micro'!$K176,"")</f>
        <v/>
      </c>
      <c r="AJ168" s="21" t="str">
        <f>IF(AND('Atividades Micro'!$B176=AJ$2,'Atividades Micro'!$L176&lt;&gt;""),'Atividades Micro'!$L176,"")</f>
        <v/>
      </c>
      <c r="AK168" s="21" t="str">
        <f>IF(AND('Atividades Micro'!$A176=AK$2,'Atividades Micro'!$K176&lt;&gt;""),'Atividades Micro'!$K176,"")</f>
        <v/>
      </c>
      <c r="AL168" s="21" t="str">
        <f>IF(AND('Atividades Micro'!$A176=AL$2,'Atividades Micro'!$L176&lt;&gt;""),'Atividades Micro'!$L176,"")</f>
        <v/>
      </c>
      <c r="AM168" s="21" t="str">
        <f>IF(AND('Atividades Micro'!$B176=AM$2,'Atividades Micro'!$K176&lt;&gt;""),'Atividades Micro'!$K176,"")</f>
        <v/>
      </c>
      <c r="AN168" s="21" t="str">
        <f>IF(AND('Atividades Micro'!$B176=AN$2,'Atividades Micro'!$L176&lt;&gt;""),'Atividades Micro'!$L176,"")</f>
        <v/>
      </c>
      <c r="AO168" s="21" t="str">
        <f>IF(AND('Atividades Micro'!$B176=AO$2,'Atividades Micro'!$K176&lt;&gt;""),'Atividades Micro'!$K176,"")</f>
        <v/>
      </c>
      <c r="AP168" s="21" t="str">
        <f>IF(AND('Atividades Micro'!$B176=AP$2,'Atividades Micro'!$L176&lt;&gt;""),'Atividades Micro'!$L176,"")</f>
        <v/>
      </c>
      <c r="AQ168" s="21" t="str">
        <f>IF(AND('Atividades Micro'!$A176=AQ$2,'Atividades Micro'!$K176&lt;&gt;""),'Atividades Micro'!$K176,"")</f>
        <v/>
      </c>
      <c r="AR168" s="21" t="str">
        <f>IF(AND('Atividades Micro'!$A176=AR$2,'Atividades Micro'!$L176&lt;&gt;""),'Atividades Micro'!$L176,"")</f>
        <v/>
      </c>
      <c r="AS168" s="21" t="str">
        <f>IF(AND('Atividades Micro'!$B176=AS$2,'Atividades Micro'!$K176&lt;&gt;""),'Atividades Micro'!$K176,"")</f>
        <v/>
      </c>
      <c r="AT168" s="21" t="str">
        <f>IF(AND('Atividades Micro'!$B176=AT$2,'Atividades Micro'!$L176&lt;&gt;""),'Atividades Micro'!$L176,"")</f>
        <v/>
      </c>
      <c r="AU168" s="21" t="str">
        <f>IF(AND('Atividades Micro'!$A176=AU$2,'Atividades Micro'!$K176&lt;&gt;""),'Atividades Micro'!$K176,"")</f>
        <v/>
      </c>
      <c r="AV168" s="21" t="str">
        <f>IF(AND('Atividades Micro'!$A176=AV$2,'Atividades Micro'!$L176&lt;&gt;""),'Atividades Micro'!$L176,"")</f>
        <v/>
      </c>
      <c r="AW168" s="21" t="str">
        <f>IF(AND('Atividades Micro'!$B176=AW$2,'Atividades Micro'!$K176&lt;&gt;""),'Atividades Micro'!$K176,"")</f>
        <v/>
      </c>
      <c r="AX168" s="21" t="str">
        <f>IF(AND('Atividades Micro'!$B176=AX$2,'Atividades Micro'!$L176&lt;&gt;""),'Atividades Micro'!$L176,"")</f>
        <v/>
      </c>
      <c r="AY168" s="21" t="str">
        <f>IF(AND('Atividades Micro'!$A176=AY$2,'Atividades Micro'!$K176&lt;&gt;""),'Atividades Micro'!$K176,"")</f>
        <v/>
      </c>
      <c r="AZ168" s="21" t="str">
        <f>IF(AND('Atividades Micro'!$A176=AZ$2,'Atividades Micro'!$L176&lt;&gt;""),'Atividades Micro'!$L176,"")</f>
        <v/>
      </c>
      <c r="BA168" s="21" t="str">
        <f>IF(AND('Atividades Micro'!$B176=BA$2,'Atividades Micro'!$K176&lt;&gt;""),'Atividades Micro'!$K176,"")</f>
        <v/>
      </c>
      <c r="BB168" s="21" t="str">
        <f>IF(AND('Atividades Micro'!$B176=BB$2,'Atividades Micro'!$L176&lt;&gt;""),'Atividades Micro'!$L176,"")</f>
        <v/>
      </c>
      <c r="BC168" s="21" t="str">
        <f>IF(AND('Atividades Micro'!$B176=BC$2,'Atividades Micro'!$G176="Macro",'Atividades Micro'!$K176&lt;&gt;""),'Atividades Micro'!$K176,"")</f>
        <v/>
      </c>
      <c r="BD168" s="21" t="str">
        <f>IF(AND('Atividades Micro'!$B176=BD$2,'Atividades Micro'!$G176="Macro",'Atividades Micro'!$K176&lt;&gt;""),'Atividades Micro'!$K176,"")</f>
        <v/>
      </c>
      <c r="BE168" s="21" t="str">
        <f>IF(AND('Atividades Micro'!$B176=BE$2,'Atividades Micro'!$G176="Macro",'Atividades Micro'!$K176&lt;&gt;""),'Atividades Micro'!$K176,"")</f>
        <v/>
      </c>
      <c r="BF168" s="21" t="str">
        <f>IF(AND('Atividades Micro'!$B176=BF$2,'Atividades Micro'!$G176="Macro",'Atividades Micro'!$K176&lt;&gt;""),'Atividades Micro'!$K176,"")</f>
        <v/>
      </c>
      <c r="BG168" s="21" t="str">
        <f>IF(AND('Atividades Micro'!$B176=BG$2,'Atividades Micro'!$G176="Macro",'Atividades Micro'!$K176&lt;&gt;""),'Atividades Micro'!$K176,"")</f>
        <v/>
      </c>
      <c r="BH168" s="21" t="str">
        <f>IF(AND('Atividades Micro'!$B176=BH$2,'Atividades Micro'!$G176="Macro",'Atividades Micro'!$K176&lt;&gt;""),'Atividades Micro'!$K176,"")</f>
        <v/>
      </c>
      <c r="BI168" s="21" t="str">
        <f>IF(AND('Atividades Micro'!$B176=BI$2,'Atividades Micro'!$G176="Macro",'Atividades Micro'!$K176&lt;&gt;""),'Atividades Micro'!$K176,"")</f>
        <v/>
      </c>
      <c r="BJ168" s="21" t="str">
        <f>IF(AND('Atividades Micro'!$B176=BJ$2,'Atividades Micro'!$G176="Macro",'Atividades Micro'!$K176&lt;&gt;""),'Atividades Micro'!$K176,"")</f>
        <v/>
      </c>
      <c r="BK168" s="21" t="str">
        <f>IF(AND('Atividades Micro'!$B176=BK$2,'Atividades Micro'!$G176="Macro",'Atividades Micro'!$K176&lt;&gt;""),'Atividades Micro'!$K176,"")</f>
        <v/>
      </c>
      <c r="BL168" s="21" t="str">
        <f>IF(AND('Atividades Micro'!$B176=BL$2,'Atividades Micro'!$G176="Macro",'Atividades Micro'!$K176&lt;&gt;""),'Atividades Micro'!$K176,"")</f>
        <v/>
      </c>
      <c r="BM168" s="21" t="str">
        <f>IF(AND('Atividades Micro'!$B176=BM$2,'Atividades Micro'!$G176="Macro",'Atividades Micro'!$K176&lt;&gt;""),'Atividades Micro'!$K176,"")</f>
        <v/>
      </c>
      <c r="BN168" s="21" t="str">
        <f>IF(AND('Atividades Micro'!$B176=BN$2,'Atividades Micro'!$G176="Macro",'Atividades Micro'!$K176&lt;&gt;""),'Atividades Micro'!$K176,"")</f>
        <v/>
      </c>
      <c r="BO168" s="21" t="str">
        <f>IF(AND('Atividades Micro'!$B176=BO$2,'Atividades Micro'!$G176="Macro",'Atividades Micro'!$K176&lt;&gt;""),'Atividades Micro'!$K176,"")</f>
        <v/>
      </c>
      <c r="BP168" s="21" t="str">
        <f>IF(AND('Atividades Micro'!$B176=BP$2,'Atividades Micro'!$G176="Macro",'Atividades Micro'!$K176&lt;&gt;""),'Atividades Micro'!$K176,"")</f>
        <v/>
      </c>
      <c r="BQ168" s="21" t="str">
        <f>IF(AND('Atividades Micro'!$B176=BQ$2,'Atividades Micro'!$G176="Macro",'Atividades Micro'!$K176&lt;&gt;""),'Atividades Micro'!$K176,"")</f>
        <v/>
      </c>
      <c r="BR168" s="21" t="str">
        <f>IF(AND('Atividades Micro'!$B176=BR$2,'Atividades Micro'!$G176="Macro",'Atividades Micro'!$K176&lt;&gt;""),'Atividades Micro'!$K176,"")</f>
        <v/>
      </c>
      <c r="BS168" s="21" t="str">
        <f>IF(AND('Atividades Micro'!$B176=BS$2,'Atividades Micro'!$G176="Macro",'Atividades Micro'!$K176&lt;&gt;""),'Atividades Micro'!$K176,"")</f>
        <v/>
      </c>
      <c r="BT168" s="21" t="str">
        <f>IF(AND('Atividades Micro'!$B176=BT$2,'Atividades Micro'!$G176="Macro",'Atividades Micro'!$K176&lt;&gt;""),'Atividades Micro'!$K176,"")</f>
        <v/>
      </c>
      <c r="BU168" s="21" t="str">
        <f>IF(AND('Atividades Micro'!$B176=BU$2,'Atividades Micro'!$G176="Macro",'Atividades Micro'!$K176&lt;&gt;""),'Atividades Micro'!$K176,"")</f>
        <v/>
      </c>
      <c r="BV168" s="21" t="str">
        <f>IF(AND('Atividades Micro'!$B176=BV$2,'Atividades Micro'!$G176="Macro",'Atividades Micro'!$K176&lt;&gt;""),'Atividades Micro'!$K176,"")</f>
        <v/>
      </c>
      <c r="BW168" s="21" t="str">
        <f>IF(AND('Atividades Micro'!$B176=BW$2,'Atividades Micro'!$G176="Macro",'Atividades Micro'!$K176&lt;&gt;""),'Atividades Micro'!$K176,"")</f>
        <v/>
      </c>
      <c r="BX168" s="21" t="str">
        <f>IF(AND('Atividades Micro'!$B176=BX$2,'Atividades Micro'!$G176="Macro",'Atividades Micro'!$K176&lt;&gt;""),'Atividades Micro'!$K176,"")</f>
        <v/>
      </c>
      <c r="BY168" s="21" t="str">
        <f>IF(AND('Atividades Micro'!$B176=BY$2,'Atividades Micro'!$G176="Macro",'Atividades Micro'!$K176&lt;&gt;""),'Atividades Micro'!$K176,"")</f>
        <v/>
      </c>
      <c r="BZ168" s="21" t="str">
        <f>IF(AND('Atividades Micro'!$B176=BZ$2,'Atividades Micro'!$G176="Macro",'Atividades Micro'!$K176&lt;&gt;""),'Atividades Micro'!$K176,"")</f>
        <v/>
      </c>
      <c r="CA168" s="21" t="str">
        <f>IF(AND('Atividades Micro'!$B176=CA$2,'Atividades Micro'!$G176="Macro",'Atividades Micro'!$K176&lt;&gt;""),'Atividades Micro'!$K176,"")</f>
        <v/>
      </c>
      <c r="CB168" s="21" t="str">
        <f>IF(AND('Atividades Micro'!$B176=CB$2,'Atividades Micro'!$G176="Macro",'Atividades Micro'!$K176&lt;&gt;""),'Atividades Micro'!$K176,"")</f>
        <v/>
      </c>
      <c r="CC168" s="21" t="str">
        <f>IF(AND('Atividades Micro'!$B176=CC$2,'Atividades Micro'!$G176="Macro",'Atividades Micro'!$K176&lt;&gt;""),'Atividades Micro'!$K176,"")</f>
        <v/>
      </c>
      <c r="CD168" s="21" t="str">
        <f>IF(AND('Atividades Micro'!$B176=CD$2,'Atividades Micro'!$G176="Micro",'Atividades Micro'!$K176&lt;&gt;""),'Atividades Micro'!$K176,"")</f>
        <v/>
      </c>
      <c r="CE168" s="21" t="str">
        <f>IF(AND('Atividades Micro'!$B176=CE$2,'Atividades Micro'!$G176="Micro",'Atividades Micro'!$K176&lt;&gt;""),'Atividades Micro'!$K176,"")</f>
        <v/>
      </c>
      <c r="CF168" s="21" t="str">
        <f>IF(AND('Atividades Micro'!$B176=CF$2,'Atividades Micro'!$G176="Micro",'Atividades Micro'!$K176&lt;&gt;""),'Atividades Micro'!$K176,"")</f>
        <v/>
      </c>
      <c r="CG168" s="21" t="str">
        <f>IF(AND('Atividades Micro'!$B176=CG$2,'Atividades Micro'!$G176="Micro",'Atividades Micro'!$K176&lt;&gt;""),'Atividades Micro'!$K176,"")</f>
        <v/>
      </c>
      <c r="CH168" s="21" t="str">
        <f>IF(AND('Atividades Micro'!$B176=CH$2,'Atividades Micro'!$G176="Micro",'Atividades Micro'!$K176&lt;&gt;""),'Atividades Micro'!$K176,"")</f>
        <v/>
      </c>
      <c r="CI168" s="21" t="str">
        <f>IF(AND('Atividades Micro'!$B176=CI$2,'Atividades Micro'!$G176="Micro",'Atividades Micro'!$K176&lt;&gt;""),'Atividades Micro'!$K176,"")</f>
        <v/>
      </c>
      <c r="CJ168" s="21" t="str">
        <f>IF(AND('Atividades Micro'!$B176=CJ$2,'Atividades Micro'!$G176="Micro",'Atividades Micro'!$K176&lt;&gt;""),'Atividades Micro'!$K176,"")</f>
        <v/>
      </c>
      <c r="CK168" s="21" t="str">
        <f>IF(AND('Atividades Micro'!$B176=CK$2,'Atividades Micro'!$G176="Micro",'Atividades Micro'!$K176&lt;&gt;""),'Atividades Micro'!$K176,"")</f>
        <v/>
      </c>
      <c r="CL168" s="21" t="str">
        <f>IF(AND('Atividades Micro'!$B176=CL$2,'Atividades Micro'!$G176="Micro",'Atividades Micro'!$K176&lt;&gt;""),'Atividades Micro'!$K176,"")</f>
        <v/>
      </c>
      <c r="CM168" s="21" t="str">
        <f>IF(AND('Atividades Micro'!$B176=CM$2,'Atividades Micro'!$G176="Micro",'Atividades Micro'!$K176&lt;&gt;""),'Atividades Micro'!$K176,"")</f>
        <v/>
      </c>
      <c r="CN168" s="21" t="str">
        <f>IF(AND('Atividades Micro'!$B176=CN$2,'Atividades Micro'!$G176="Micro",'Atividades Micro'!$K176&lt;&gt;""),'Atividades Micro'!$K176,"")</f>
        <v/>
      </c>
      <c r="CO168" s="21" t="str">
        <f>IF(AND('Atividades Micro'!$B176=CO$2,'Atividades Micro'!$G176="Micro",'Atividades Micro'!$K176&lt;&gt;""),'Atividades Micro'!$K176,"")</f>
        <v/>
      </c>
    </row>
    <row r="169" spans="1:93">
      <c r="A169" s="21" t="str">
        <f>IF(AND('Atividades Micro'!$A177=A$2,'Atividades Micro'!$K177&lt;&gt;""),'Atividades Micro'!$K177,"")</f>
        <v/>
      </c>
      <c r="B169" s="21" t="str">
        <f>IF(AND('Atividades Micro'!$A177=B$2,'Atividades Micro'!$L177&lt;&gt;""),'Atividades Micro'!$L177,"")</f>
        <v/>
      </c>
      <c r="C169" s="21" t="str">
        <f>IF(AND('Atividades Micro'!$A177=C$2,'Atividades Micro'!$K177&lt;&gt;""),'Atividades Micro'!$K177,"")</f>
        <v/>
      </c>
      <c r="D169" s="21" t="str">
        <f>IF(AND('Atividades Micro'!$A177=D$2,'Atividades Micro'!$L177&lt;&gt;""),'Atividades Micro'!$L177,"")</f>
        <v/>
      </c>
      <c r="E169" s="21" t="str">
        <f>IF(AND('Atividades Micro'!$A177=E$2,'Atividades Micro'!$K177&lt;&gt;""),'Atividades Micro'!$K177,"")</f>
        <v/>
      </c>
      <c r="F169" s="21" t="str">
        <f>IF(AND('Atividades Micro'!$A177=F$2,'Atividades Micro'!$L177&lt;&gt;""),'Atividades Micro'!$L177,"")</f>
        <v/>
      </c>
      <c r="G169" s="21" t="str">
        <f>IF(AND('Atividades Micro'!$A177=G$2,'Atividades Micro'!$K177&lt;&gt;""),'Atividades Micro'!$K177,"")</f>
        <v/>
      </c>
      <c r="H169" s="21" t="str">
        <f>IF(AND('Atividades Micro'!$A177=H$2,'Atividades Micro'!$L177&lt;&gt;""),'Atividades Micro'!$L177,"")</f>
        <v/>
      </c>
      <c r="I169" s="21" t="str">
        <f>IF(AND('Atividades Micro'!$A177=I$2,'Atividades Micro'!$K177&lt;&gt;""),'Atividades Micro'!$K177,"")</f>
        <v/>
      </c>
      <c r="J169" s="21" t="str">
        <f>IF(AND('Atividades Micro'!$A177=J$2,'Atividades Micro'!$L177&lt;&gt;""),'Atividades Micro'!$L177,"")</f>
        <v/>
      </c>
      <c r="K169" s="21" t="str">
        <f>IF(AND('Atividades Micro'!$B177=K$2,'Atividades Micro'!$K177&lt;&gt;""),'Atividades Micro'!$K177,"")</f>
        <v/>
      </c>
      <c r="L169" s="21" t="str">
        <f>IF(AND('Atividades Micro'!$B177=L$2,'Atividades Micro'!$L177&lt;&gt;""),'Atividades Micro'!$L177,"")</f>
        <v/>
      </c>
      <c r="M169" s="21" t="str">
        <f>IF(AND('Atividades Micro'!$B177=M$2,'Atividades Micro'!$K177&lt;&gt;""),'Atividades Micro'!$K177,"")</f>
        <v/>
      </c>
      <c r="N169" s="21" t="str">
        <f>IF(AND('Atividades Micro'!$B177=N$2,'Atividades Micro'!$L177&lt;&gt;""),'Atividades Micro'!$L177,"")</f>
        <v/>
      </c>
      <c r="O169" s="21" t="str">
        <f>IF(AND('Atividades Micro'!$A177=O$2,'Atividades Micro'!$K177&lt;&gt;""),'Atividades Micro'!$K177,"")</f>
        <v/>
      </c>
      <c r="P169" s="21" t="str">
        <f>IF(AND('Atividades Micro'!$A177=P$2,'Atividades Micro'!$L177&lt;&gt;""),'Atividades Micro'!$L177,"")</f>
        <v/>
      </c>
      <c r="Q169" s="21" t="str">
        <f>IF(AND('Atividades Micro'!$B177=Q$2,'Atividades Micro'!$K177&lt;&gt;""),'Atividades Micro'!$K177,"")</f>
        <v/>
      </c>
      <c r="R169" s="21" t="str">
        <f>IF(AND('Atividades Micro'!$B177=R$2,'Atividades Micro'!$L177&lt;&gt;""),'Atividades Micro'!$L177,"")</f>
        <v/>
      </c>
      <c r="S169" s="21" t="str">
        <f>IF(AND('Atividades Micro'!$A177=S$2,'Atividades Micro'!$K177&lt;&gt;""),'Atividades Micro'!$K177,"")</f>
        <v/>
      </c>
      <c r="T169" s="21" t="str">
        <f>IF(AND('Atividades Micro'!$A177=T$2,'Atividades Micro'!$L177&lt;&gt;""),'Atividades Micro'!$L177,"")</f>
        <v/>
      </c>
      <c r="U169" s="21" t="str">
        <f>IF(AND('Atividades Micro'!$B177=U$2,'Atividades Micro'!$K177&lt;&gt;""),'Atividades Micro'!$K177,"")</f>
        <v/>
      </c>
      <c r="V169" s="21" t="str">
        <f>IF(AND('Atividades Micro'!$B177=V$2,'Atividades Micro'!$L177&lt;&gt;""),'Atividades Micro'!$L177,"")</f>
        <v/>
      </c>
      <c r="W169" s="21" t="str">
        <f>IF(AND('Atividades Micro'!$B177=W$2,'Atividades Micro'!$K177&lt;&gt;""),'Atividades Micro'!$K177,"")</f>
        <v/>
      </c>
      <c r="X169" s="21" t="str">
        <f>IF(AND('Atividades Micro'!$B177=X$2,'Atividades Micro'!$L177&lt;&gt;""),'Atividades Micro'!$L177,"")</f>
        <v/>
      </c>
      <c r="Y169" s="21">
        <f>IF(AND('Atividades Micro'!$A177=Y$2,'Atividades Micro'!$K177&lt;&gt;""),'Atividades Micro'!$K177,"")</f>
        <v>46338</v>
      </c>
      <c r="Z169" s="21" t="str">
        <f>IF(AND('Atividades Micro'!$A177=Z$2,'Atividades Micro'!$L177&lt;&gt;""),'Atividades Micro'!$L177,"")</f>
        <v/>
      </c>
      <c r="AA169" s="21" t="str">
        <f>IF(AND('Atividades Micro'!$B177=AA$2,'Atividades Micro'!$K177&lt;&gt;""),'Atividades Micro'!$K177,"")</f>
        <v/>
      </c>
      <c r="AB169" s="21" t="str">
        <f>IF(AND('Atividades Micro'!$B177=AB$2,'Atividades Micro'!$L177&lt;&gt;""),'Atividades Micro'!$L177,"")</f>
        <v/>
      </c>
      <c r="AC169" s="21">
        <f>IF(AND('Atividades Micro'!$B177=AC$2,'Atividades Micro'!$K177&lt;&gt;""),'Atividades Micro'!$K177,"")</f>
        <v>46338</v>
      </c>
      <c r="AD169" s="21" t="str">
        <f>IF(AND('Atividades Micro'!$B177=AD$2,'Atividades Micro'!$L177&lt;&gt;""),'Atividades Micro'!$L177,"")</f>
        <v/>
      </c>
      <c r="AE169" s="21" t="str">
        <f>IF(AND('Atividades Micro'!$A177=AE$2,'Atividades Micro'!$K177&lt;&gt;""),'Atividades Micro'!$K177,"")</f>
        <v/>
      </c>
      <c r="AF169" s="21" t="str">
        <f>IF(AND('Atividades Micro'!$A177=AF$2,'Atividades Micro'!$L177&lt;&gt;""),'Atividades Micro'!$L177,"")</f>
        <v/>
      </c>
      <c r="AG169" s="21" t="str">
        <f>IF(AND('Atividades Micro'!$B177=AG$2,'Atividades Micro'!$K177&lt;&gt;""),'Atividades Micro'!$K177,"")</f>
        <v/>
      </c>
      <c r="AH169" s="21" t="str">
        <f>IF(AND('Atividades Micro'!$B177=AH$2,'Atividades Micro'!$L177&lt;&gt;""),'Atividades Micro'!$L177,"")</f>
        <v/>
      </c>
      <c r="AI169" s="21" t="str">
        <f>IF(AND('Atividades Micro'!$B177=AI$2,'Atividades Micro'!$K177&lt;&gt;""),'Atividades Micro'!$K177,"")</f>
        <v/>
      </c>
      <c r="AJ169" s="21" t="str">
        <f>IF(AND('Atividades Micro'!$B177=AJ$2,'Atividades Micro'!$L177&lt;&gt;""),'Atividades Micro'!$L177,"")</f>
        <v/>
      </c>
      <c r="AK169" s="21" t="str">
        <f>IF(AND('Atividades Micro'!$A177=AK$2,'Atividades Micro'!$K177&lt;&gt;""),'Atividades Micro'!$K177,"")</f>
        <v/>
      </c>
      <c r="AL169" s="21" t="str">
        <f>IF(AND('Atividades Micro'!$A177=AL$2,'Atividades Micro'!$L177&lt;&gt;""),'Atividades Micro'!$L177,"")</f>
        <v/>
      </c>
      <c r="AM169" s="21" t="str">
        <f>IF(AND('Atividades Micro'!$B177=AM$2,'Atividades Micro'!$K177&lt;&gt;""),'Atividades Micro'!$K177,"")</f>
        <v/>
      </c>
      <c r="AN169" s="21" t="str">
        <f>IF(AND('Atividades Micro'!$B177=AN$2,'Atividades Micro'!$L177&lt;&gt;""),'Atividades Micro'!$L177,"")</f>
        <v/>
      </c>
      <c r="AO169" s="21" t="str">
        <f>IF(AND('Atividades Micro'!$B177=AO$2,'Atividades Micro'!$K177&lt;&gt;""),'Atividades Micro'!$K177,"")</f>
        <v/>
      </c>
      <c r="AP169" s="21" t="str">
        <f>IF(AND('Atividades Micro'!$B177=AP$2,'Atividades Micro'!$L177&lt;&gt;""),'Atividades Micro'!$L177,"")</f>
        <v/>
      </c>
      <c r="AQ169" s="21" t="str">
        <f>IF(AND('Atividades Micro'!$A177=AQ$2,'Atividades Micro'!$K177&lt;&gt;""),'Atividades Micro'!$K177,"")</f>
        <v/>
      </c>
      <c r="AR169" s="21" t="str">
        <f>IF(AND('Atividades Micro'!$A177=AR$2,'Atividades Micro'!$L177&lt;&gt;""),'Atividades Micro'!$L177,"")</f>
        <v/>
      </c>
      <c r="AS169" s="21" t="str">
        <f>IF(AND('Atividades Micro'!$B177=AS$2,'Atividades Micro'!$K177&lt;&gt;""),'Atividades Micro'!$K177,"")</f>
        <v/>
      </c>
      <c r="AT169" s="21" t="str">
        <f>IF(AND('Atividades Micro'!$B177=AT$2,'Atividades Micro'!$L177&lt;&gt;""),'Atividades Micro'!$L177,"")</f>
        <v/>
      </c>
      <c r="AU169" s="21" t="str">
        <f>IF(AND('Atividades Micro'!$A177=AU$2,'Atividades Micro'!$K177&lt;&gt;""),'Atividades Micro'!$K177,"")</f>
        <v/>
      </c>
      <c r="AV169" s="21" t="str">
        <f>IF(AND('Atividades Micro'!$A177=AV$2,'Atividades Micro'!$L177&lt;&gt;""),'Atividades Micro'!$L177,"")</f>
        <v/>
      </c>
      <c r="AW169" s="21" t="str">
        <f>IF(AND('Atividades Micro'!$B177=AW$2,'Atividades Micro'!$K177&lt;&gt;""),'Atividades Micro'!$K177,"")</f>
        <v/>
      </c>
      <c r="AX169" s="21" t="str">
        <f>IF(AND('Atividades Micro'!$B177=AX$2,'Atividades Micro'!$L177&lt;&gt;""),'Atividades Micro'!$L177,"")</f>
        <v/>
      </c>
      <c r="AY169" s="21" t="str">
        <f>IF(AND('Atividades Micro'!$A177=AY$2,'Atividades Micro'!$K177&lt;&gt;""),'Atividades Micro'!$K177,"")</f>
        <v/>
      </c>
      <c r="AZ169" s="21" t="str">
        <f>IF(AND('Atividades Micro'!$A177=AZ$2,'Atividades Micro'!$L177&lt;&gt;""),'Atividades Micro'!$L177,"")</f>
        <v/>
      </c>
      <c r="BA169" s="21" t="str">
        <f>IF(AND('Atividades Micro'!$B177=BA$2,'Atividades Micro'!$K177&lt;&gt;""),'Atividades Micro'!$K177,"")</f>
        <v/>
      </c>
      <c r="BB169" s="21" t="str">
        <f>IF(AND('Atividades Micro'!$B177=BB$2,'Atividades Micro'!$L177&lt;&gt;""),'Atividades Micro'!$L177,"")</f>
        <v/>
      </c>
      <c r="BC169" s="21" t="str">
        <f>IF(AND('Atividades Micro'!$B177=BC$2,'Atividades Micro'!$G177="Macro",'Atividades Micro'!$K177&lt;&gt;""),'Atividades Micro'!$K177,"")</f>
        <v/>
      </c>
      <c r="BD169" s="21" t="str">
        <f>IF(AND('Atividades Micro'!$B177=BD$2,'Atividades Micro'!$G177="Macro",'Atividades Micro'!$K177&lt;&gt;""),'Atividades Micro'!$K177,"")</f>
        <v/>
      </c>
      <c r="BE169" s="21" t="str">
        <f>IF(AND('Atividades Micro'!$B177=BE$2,'Atividades Micro'!$G177="Macro",'Atividades Micro'!$K177&lt;&gt;""),'Atividades Micro'!$K177,"")</f>
        <v/>
      </c>
      <c r="BF169" s="21" t="str">
        <f>IF(AND('Atividades Micro'!$B177=BF$2,'Atividades Micro'!$G177="Macro",'Atividades Micro'!$K177&lt;&gt;""),'Atividades Micro'!$K177,"")</f>
        <v/>
      </c>
      <c r="BG169" s="21" t="str">
        <f>IF(AND('Atividades Micro'!$B177=BG$2,'Atividades Micro'!$G177="Macro",'Atividades Micro'!$K177&lt;&gt;""),'Atividades Micro'!$K177,"")</f>
        <v/>
      </c>
      <c r="BH169" s="21" t="str">
        <f>IF(AND('Atividades Micro'!$B177=BH$2,'Atividades Micro'!$G177="Macro",'Atividades Micro'!$K177&lt;&gt;""),'Atividades Micro'!$K177,"")</f>
        <v/>
      </c>
      <c r="BI169" s="21" t="str">
        <f>IF(AND('Atividades Micro'!$B177=BI$2,'Atividades Micro'!$G177="Macro",'Atividades Micro'!$K177&lt;&gt;""),'Atividades Micro'!$K177,"")</f>
        <v/>
      </c>
      <c r="BJ169" s="21" t="str">
        <f>IF(AND('Atividades Micro'!$B177=BJ$2,'Atividades Micro'!$G177="Macro",'Atividades Micro'!$K177&lt;&gt;""),'Atividades Micro'!$K177,"")</f>
        <v/>
      </c>
      <c r="BK169" s="21" t="str">
        <f>IF(AND('Atividades Micro'!$B177=BK$2,'Atividades Micro'!$G177="Macro",'Atividades Micro'!$K177&lt;&gt;""),'Atividades Micro'!$K177,"")</f>
        <v/>
      </c>
      <c r="BL169" s="21" t="str">
        <f>IF(AND('Atividades Micro'!$B177=BL$2,'Atividades Micro'!$G177="Macro",'Atividades Micro'!$K177&lt;&gt;""),'Atividades Micro'!$K177,"")</f>
        <v/>
      </c>
      <c r="BM169" s="21" t="str">
        <f>IF(AND('Atividades Micro'!$B177=BM$2,'Atividades Micro'!$G177="Macro",'Atividades Micro'!$K177&lt;&gt;""),'Atividades Micro'!$K177,"")</f>
        <v/>
      </c>
      <c r="BN169" s="21" t="str">
        <f>IF(AND('Atividades Micro'!$B177=BN$2,'Atividades Micro'!$G177="Macro",'Atividades Micro'!$K177&lt;&gt;""),'Atividades Micro'!$K177,"")</f>
        <v/>
      </c>
      <c r="BO169" s="21" t="str">
        <f>IF(AND('Atividades Micro'!$B177=BO$2,'Atividades Micro'!$G177="Macro",'Atividades Micro'!$K177&lt;&gt;""),'Atividades Micro'!$K177,"")</f>
        <v/>
      </c>
      <c r="BP169" s="21" t="str">
        <f>IF(AND('Atividades Micro'!$B177=BP$2,'Atividades Micro'!$G177="Macro",'Atividades Micro'!$K177&lt;&gt;""),'Atividades Micro'!$K177,"")</f>
        <v/>
      </c>
      <c r="BQ169" s="21">
        <f>IF(AND('Atividades Micro'!$B177=BQ$2,'Atividades Micro'!$G177="Macro",'Atividades Micro'!$K177&lt;&gt;""),'Atividades Micro'!$K177,"")</f>
        <v>46338</v>
      </c>
      <c r="BR169" s="21" t="str">
        <f>IF(AND('Atividades Micro'!$B177=BR$2,'Atividades Micro'!$G177="Macro",'Atividades Micro'!$K177&lt;&gt;""),'Atividades Micro'!$K177,"")</f>
        <v/>
      </c>
      <c r="BS169" s="21" t="str">
        <f>IF(AND('Atividades Micro'!$B177=BS$2,'Atividades Micro'!$G177="Macro",'Atividades Micro'!$K177&lt;&gt;""),'Atividades Micro'!$K177,"")</f>
        <v/>
      </c>
      <c r="BT169" s="21" t="str">
        <f>IF(AND('Atividades Micro'!$B177=BT$2,'Atividades Micro'!$G177="Macro",'Atividades Micro'!$K177&lt;&gt;""),'Atividades Micro'!$K177,"")</f>
        <v/>
      </c>
      <c r="BU169" s="21" t="str">
        <f>IF(AND('Atividades Micro'!$B177=BU$2,'Atividades Micro'!$G177="Macro",'Atividades Micro'!$K177&lt;&gt;""),'Atividades Micro'!$K177,"")</f>
        <v/>
      </c>
      <c r="BV169" s="21" t="str">
        <f>IF(AND('Atividades Micro'!$B177=BV$2,'Atividades Micro'!$G177="Macro",'Atividades Micro'!$K177&lt;&gt;""),'Atividades Micro'!$K177,"")</f>
        <v/>
      </c>
      <c r="BW169" s="21" t="str">
        <f>IF(AND('Atividades Micro'!$B177=BW$2,'Atividades Micro'!$G177="Macro",'Atividades Micro'!$K177&lt;&gt;""),'Atividades Micro'!$K177,"")</f>
        <v/>
      </c>
      <c r="BX169" s="21" t="str">
        <f>IF(AND('Atividades Micro'!$B177=BX$2,'Atividades Micro'!$G177="Macro",'Atividades Micro'!$K177&lt;&gt;""),'Atividades Micro'!$K177,"")</f>
        <v/>
      </c>
      <c r="BY169" s="21" t="str">
        <f>IF(AND('Atividades Micro'!$B177=BY$2,'Atividades Micro'!$G177="Macro",'Atividades Micro'!$K177&lt;&gt;""),'Atividades Micro'!$K177,"")</f>
        <v/>
      </c>
      <c r="BZ169" s="21" t="str">
        <f>IF(AND('Atividades Micro'!$B177=BZ$2,'Atividades Micro'!$G177="Macro",'Atividades Micro'!$K177&lt;&gt;""),'Atividades Micro'!$K177,"")</f>
        <v/>
      </c>
      <c r="CA169" s="21" t="str">
        <f>IF(AND('Atividades Micro'!$B177=CA$2,'Atividades Micro'!$G177="Macro",'Atividades Micro'!$K177&lt;&gt;""),'Atividades Micro'!$K177,"")</f>
        <v/>
      </c>
      <c r="CB169" s="21" t="str">
        <f>IF(AND('Atividades Micro'!$B177=CB$2,'Atividades Micro'!$G177="Macro",'Atividades Micro'!$K177&lt;&gt;""),'Atividades Micro'!$K177,"")</f>
        <v/>
      </c>
      <c r="CC169" s="21" t="str">
        <f>IF(AND('Atividades Micro'!$B177=CC$2,'Atividades Micro'!$G177="Macro",'Atividades Micro'!$K177&lt;&gt;""),'Atividades Micro'!$K177,"")</f>
        <v/>
      </c>
      <c r="CD169" s="21" t="str">
        <f>IF(AND('Atividades Micro'!$B177=CD$2,'Atividades Micro'!$G177="Micro",'Atividades Micro'!$K177&lt;&gt;""),'Atividades Micro'!$K177,"")</f>
        <v/>
      </c>
      <c r="CE169" s="21" t="str">
        <f>IF(AND('Atividades Micro'!$B177=CE$2,'Atividades Micro'!$G177="Micro",'Atividades Micro'!$K177&lt;&gt;""),'Atividades Micro'!$K177,"")</f>
        <v/>
      </c>
      <c r="CF169" s="21" t="str">
        <f>IF(AND('Atividades Micro'!$B177=CF$2,'Atividades Micro'!$G177="Micro",'Atividades Micro'!$K177&lt;&gt;""),'Atividades Micro'!$K177,"")</f>
        <v/>
      </c>
      <c r="CG169" s="21" t="str">
        <f>IF(AND('Atividades Micro'!$B177=CG$2,'Atividades Micro'!$G177="Micro",'Atividades Micro'!$K177&lt;&gt;""),'Atividades Micro'!$K177,"")</f>
        <v/>
      </c>
      <c r="CH169" s="21" t="str">
        <f>IF(AND('Atividades Micro'!$B177=CH$2,'Atividades Micro'!$G177="Micro",'Atividades Micro'!$K177&lt;&gt;""),'Atividades Micro'!$K177,"")</f>
        <v/>
      </c>
      <c r="CI169" s="21" t="str">
        <f>IF(AND('Atividades Micro'!$B177=CI$2,'Atividades Micro'!$G177="Micro",'Atividades Micro'!$K177&lt;&gt;""),'Atividades Micro'!$K177,"")</f>
        <v/>
      </c>
      <c r="CJ169" s="21" t="str">
        <f>IF(AND('Atividades Micro'!$B177=CJ$2,'Atividades Micro'!$G177="Micro",'Atividades Micro'!$K177&lt;&gt;""),'Atividades Micro'!$K177,"")</f>
        <v/>
      </c>
      <c r="CK169" s="21" t="str">
        <f>IF(AND('Atividades Micro'!$B177=CK$2,'Atividades Micro'!$G177="Micro",'Atividades Micro'!$K177&lt;&gt;""),'Atividades Micro'!$K177,"")</f>
        <v/>
      </c>
      <c r="CL169" s="21" t="str">
        <f>IF(AND('Atividades Micro'!$B177=CL$2,'Atividades Micro'!$G177="Micro",'Atividades Micro'!$K177&lt;&gt;""),'Atividades Micro'!$K177,"")</f>
        <v/>
      </c>
      <c r="CM169" s="21" t="str">
        <f>IF(AND('Atividades Micro'!$B177=CM$2,'Atividades Micro'!$G177="Micro",'Atividades Micro'!$K177&lt;&gt;""),'Atividades Micro'!$K177,"")</f>
        <v/>
      </c>
      <c r="CN169" s="21" t="str">
        <f>IF(AND('Atividades Micro'!$B177=CN$2,'Atividades Micro'!$G177="Micro",'Atividades Micro'!$K177&lt;&gt;""),'Atividades Micro'!$K177,"")</f>
        <v/>
      </c>
      <c r="CO169" s="21" t="str">
        <f>IF(AND('Atividades Micro'!$B177=CO$2,'Atividades Micro'!$G177="Micro",'Atividades Micro'!$K177&lt;&gt;""),'Atividades Micro'!$K177,"")</f>
        <v/>
      </c>
    </row>
    <row r="170" spans="1:93">
      <c r="A170" s="21" t="str">
        <f>IF(AND('Atividades Micro'!$A178=A$2,'Atividades Micro'!$K178&lt;&gt;""),'Atividades Micro'!$K178,"")</f>
        <v/>
      </c>
      <c r="B170" s="21" t="str">
        <f>IF(AND('Atividades Micro'!$A178=B$2,'Atividades Micro'!$L178&lt;&gt;""),'Atividades Micro'!$L178,"")</f>
        <v/>
      </c>
      <c r="C170" s="21" t="str">
        <f>IF(AND('Atividades Micro'!$A178=C$2,'Atividades Micro'!$K178&lt;&gt;""),'Atividades Micro'!$K178,"")</f>
        <v/>
      </c>
      <c r="D170" s="21" t="str">
        <f>IF(AND('Atividades Micro'!$A178=D$2,'Atividades Micro'!$L178&lt;&gt;""),'Atividades Micro'!$L178,"")</f>
        <v/>
      </c>
      <c r="E170" s="21" t="str">
        <f>IF(AND('Atividades Micro'!$A178=E$2,'Atividades Micro'!$K178&lt;&gt;""),'Atividades Micro'!$K178,"")</f>
        <v/>
      </c>
      <c r="F170" s="21" t="str">
        <f>IF(AND('Atividades Micro'!$A178=F$2,'Atividades Micro'!$L178&lt;&gt;""),'Atividades Micro'!$L178,"")</f>
        <v/>
      </c>
      <c r="G170" s="21" t="str">
        <f>IF(AND('Atividades Micro'!$A178=G$2,'Atividades Micro'!$K178&lt;&gt;""),'Atividades Micro'!$K178,"")</f>
        <v/>
      </c>
      <c r="H170" s="21" t="str">
        <f>IF(AND('Atividades Micro'!$A178=H$2,'Atividades Micro'!$L178&lt;&gt;""),'Atividades Micro'!$L178,"")</f>
        <v/>
      </c>
      <c r="I170" s="21" t="str">
        <f>IF(AND('Atividades Micro'!$A178=I$2,'Atividades Micro'!$K178&lt;&gt;""),'Atividades Micro'!$K178,"")</f>
        <v/>
      </c>
      <c r="J170" s="21" t="str">
        <f>IF(AND('Atividades Micro'!$A178=J$2,'Atividades Micro'!$L178&lt;&gt;""),'Atividades Micro'!$L178,"")</f>
        <v/>
      </c>
      <c r="K170" s="21" t="str">
        <f>IF(AND('Atividades Micro'!$B178=K$2,'Atividades Micro'!$K178&lt;&gt;""),'Atividades Micro'!$K178,"")</f>
        <v/>
      </c>
      <c r="L170" s="21" t="str">
        <f>IF(AND('Atividades Micro'!$B178=L$2,'Atividades Micro'!$L178&lt;&gt;""),'Atividades Micro'!$L178,"")</f>
        <v/>
      </c>
      <c r="M170" s="21" t="str">
        <f>IF(AND('Atividades Micro'!$B178=M$2,'Atividades Micro'!$K178&lt;&gt;""),'Atividades Micro'!$K178,"")</f>
        <v/>
      </c>
      <c r="N170" s="21" t="str">
        <f>IF(AND('Atividades Micro'!$B178=N$2,'Atividades Micro'!$L178&lt;&gt;""),'Atividades Micro'!$L178,"")</f>
        <v/>
      </c>
      <c r="O170" s="21" t="str">
        <f>IF(AND('Atividades Micro'!$A178=O$2,'Atividades Micro'!$K178&lt;&gt;""),'Atividades Micro'!$K178,"")</f>
        <v/>
      </c>
      <c r="P170" s="21" t="str">
        <f>IF(AND('Atividades Micro'!$A178=P$2,'Atividades Micro'!$L178&lt;&gt;""),'Atividades Micro'!$L178,"")</f>
        <v/>
      </c>
      <c r="Q170" s="21" t="str">
        <f>IF(AND('Atividades Micro'!$B178=Q$2,'Atividades Micro'!$K178&lt;&gt;""),'Atividades Micro'!$K178,"")</f>
        <v/>
      </c>
      <c r="R170" s="21" t="str">
        <f>IF(AND('Atividades Micro'!$B178=R$2,'Atividades Micro'!$L178&lt;&gt;""),'Atividades Micro'!$L178,"")</f>
        <v/>
      </c>
      <c r="S170" s="21" t="str">
        <f>IF(AND('Atividades Micro'!$A178=S$2,'Atividades Micro'!$K178&lt;&gt;""),'Atividades Micro'!$K178,"")</f>
        <v/>
      </c>
      <c r="T170" s="21" t="str">
        <f>IF(AND('Atividades Micro'!$A178=T$2,'Atividades Micro'!$L178&lt;&gt;""),'Atividades Micro'!$L178,"")</f>
        <v/>
      </c>
      <c r="U170" s="21" t="str">
        <f>IF(AND('Atividades Micro'!$B178=U$2,'Atividades Micro'!$K178&lt;&gt;""),'Atividades Micro'!$K178,"")</f>
        <v/>
      </c>
      <c r="V170" s="21" t="str">
        <f>IF(AND('Atividades Micro'!$B178=V$2,'Atividades Micro'!$L178&lt;&gt;""),'Atividades Micro'!$L178,"")</f>
        <v/>
      </c>
      <c r="W170" s="21" t="str">
        <f>IF(AND('Atividades Micro'!$B178=W$2,'Atividades Micro'!$K178&lt;&gt;""),'Atividades Micro'!$K178,"")</f>
        <v/>
      </c>
      <c r="X170" s="21" t="str">
        <f>IF(AND('Atividades Micro'!$B178=X$2,'Atividades Micro'!$L178&lt;&gt;""),'Atividades Micro'!$L178,"")</f>
        <v/>
      </c>
      <c r="Y170" s="21">
        <f>IF(AND('Atividades Micro'!$A178=Y$2,'Atividades Micro'!$K178&lt;&gt;""),'Atividades Micro'!$K178,"")</f>
        <v>46276</v>
      </c>
      <c r="Z170" s="21" t="str">
        <f>IF(AND('Atividades Micro'!$A178=Z$2,'Atividades Micro'!$L178&lt;&gt;""),'Atividades Micro'!$L178,"")</f>
        <v/>
      </c>
      <c r="AA170" s="21" t="str">
        <f>IF(AND('Atividades Micro'!$B178=AA$2,'Atividades Micro'!$K178&lt;&gt;""),'Atividades Micro'!$K178,"")</f>
        <v/>
      </c>
      <c r="AB170" s="21" t="str">
        <f>IF(AND('Atividades Micro'!$B178=AB$2,'Atividades Micro'!$L178&lt;&gt;""),'Atividades Micro'!$L178,"")</f>
        <v/>
      </c>
      <c r="AC170" s="21">
        <f>IF(AND('Atividades Micro'!$B178=AC$2,'Atividades Micro'!$K178&lt;&gt;""),'Atividades Micro'!$K178,"")</f>
        <v>46276</v>
      </c>
      <c r="AD170" s="21" t="str">
        <f>IF(AND('Atividades Micro'!$B178=AD$2,'Atividades Micro'!$L178&lt;&gt;""),'Atividades Micro'!$L178,"")</f>
        <v/>
      </c>
      <c r="AE170" s="21" t="str">
        <f>IF(AND('Atividades Micro'!$A178=AE$2,'Atividades Micro'!$K178&lt;&gt;""),'Atividades Micro'!$K178,"")</f>
        <v/>
      </c>
      <c r="AF170" s="21" t="str">
        <f>IF(AND('Atividades Micro'!$A178=AF$2,'Atividades Micro'!$L178&lt;&gt;""),'Atividades Micro'!$L178,"")</f>
        <v/>
      </c>
      <c r="AG170" s="21" t="str">
        <f>IF(AND('Atividades Micro'!$B178=AG$2,'Atividades Micro'!$K178&lt;&gt;""),'Atividades Micro'!$K178,"")</f>
        <v/>
      </c>
      <c r="AH170" s="21" t="str">
        <f>IF(AND('Atividades Micro'!$B178=AH$2,'Atividades Micro'!$L178&lt;&gt;""),'Atividades Micro'!$L178,"")</f>
        <v/>
      </c>
      <c r="AI170" s="21" t="str">
        <f>IF(AND('Atividades Micro'!$B178=AI$2,'Atividades Micro'!$K178&lt;&gt;""),'Atividades Micro'!$K178,"")</f>
        <v/>
      </c>
      <c r="AJ170" s="21" t="str">
        <f>IF(AND('Atividades Micro'!$B178=AJ$2,'Atividades Micro'!$L178&lt;&gt;""),'Atividades Micro'!$L178,"")</f>
        <v/>
      </c>
      <c r="AK170" s="21" t="str">
        <f>IF(AND('Atividades Micro'!$A178=AK$2,'Atividades Micro'!$K178&lt;&gt;""),'Atividades Micro'!$K178,"")</f>
        <v/>
      </c>
      <c r="AL170" s="21" t="str">
        <f>IF(AND('Atividades Micro'!$A178=AL$2,'Atividades Micro'!$L178&lt;&gt;""),'Atividades Micro'!$L178,"")</f>
        <v/>
      </c>
      <c r="AM170" s="21" t="str">
        <f>IF(AND('Atividades Micro'!$B178=AM$2,'Atividades Micro'!$K178&lt;&gt;""),'Atividades Micro'!$K178,"")</f>
        <v/>
      </c>
      <c r="AN170" s="21" t="str">
        <f>IF(AND('Atividades Micro'!$B178=AN$2,'Atividades Micro'!$L178&lt;&gt;""),'Atividades Micro'!$L178,"")</f>
        <v/>
      </c>
      <c r="AO170" s="21" t="str">
        <f>IF(AND('Atividades Micro'!$B178=AO$2,'Atividades Micro'!$K178&lt;&gt;""),'Atividades Micro'!$K178,"")</f>
        <v/>
      </c>
      <c r="AP170" s="21" t="str">
        <f>IF(AND('Atividades Micro'!$B178=AP$2,'Atividades Micro'!$L178&lt;&gt;""),'Atividades Micro'!$L178,"")</f>
        <v/>
      </c>
      <c r="AQ170" s="21" t="str">
        <f>IF(AND('Atividades Micro'!$A178=AQ$2,'Atividades Micro'!$K178&lt;&gt;""),'Atividades Micro'!$K178,"")</f>
        <v/>
      </c>
      <c r="AR170" s="21" t="str">
        <f>IF(AND('Atividades Micro'!$A178=AR$2,'Atividades Micro'!$L178&lt;&gt;""),'Atividades Micro'!$L178,"")</f>
        <v/>
      </c>
      <c r="AS170" s="21" t="str">
        <f>IF(AND('Atividades Micro'!$B178=AS$2,'Atividades Micro'!$K178&lt;&gt;""),'Atividades Micro'!$K178,"")</f>
        <v/>
      </c>
      <c r="AT170" s="21" t="str">
        <f>IF(AND('Atividades Micro'!$B178=AT$2,'Atividades Micro'!$L178&lt;&gt;""),'Atividades Micro'!$L178,"")</f>
        <v/>
      </c>
      <c r="AU170" s="21" t="str">
        <f>IF(AND('Atividades Micro'!$A178=AU$2,'Atividades Micro'!$K178&lt;&gt;""),'Atividades Micro'!$K178,"")</f>
        <v/>
      </c>
      <c r="AV170" s="21" t="str">
        <f>IF(AND('Atividades Micro'!$A178=AV$2,'Atividades Micro'!$L178&lt;&gt;""),'Atividades Micro'!$L178,"")</f>
        <v/>
      </c>
      <c r="AW170" s="21" t="str">
        <f>IF(AND('Atividades Micro'!$B178=AW$2,'Atividades Micro'!$K178&lt;&gt;""),'Atividades Micro'!$K178,"")</f>
        <v/>
      </c>
      <c r="AX170" s="21" t="str">
        <f>IF(AND('Atividades Micro'!$B178=AX$2,'Atividades Micro'!$L178&lt;&gt;""),'Atividades Micro'!$L178,"")</f>
        <v/>
      </c>
      <c r="AY170" s="21" t="str">
        <f>IF(AND('Atividades Micro'!$A178=AY$2,'Atividades Micro'!$K178&lt;&gt;""),'Atividades Micro'!$K178,"")</f>
        <v/>
      </c>
      <c r="AZ170" s="21" t="str">
        <f>IF(AND('Atividades Micro'!$A178=AZ$2,'Atividades Micro'!$L178&lt;&gt;""),'Atividades Micro'!$L178,"")</f>
        <v/>
      </c>
      <c r="BA170" s="21" t="str">
        <f>IF(AND('Atividades Micro'!$B178=BA$2,'Atividades Micro'!$K178&lt;&gt;""),'Atividades Micro'!$K178,"")</f>
        <v/>
      </c>
      <c r="BB170" s="21" t="str">
        <f>IF(AND('Atividades Micro'!$B178=BB$2,'Atividades Micro'!$L178&lt;&gt;""),'Atividades Micro'!$L178,"")</f>
        <v/>
      </c>
      <c r="BC170" s="21" t="str">
        <f>IF(AND('Atividades Micro'!$B178=BC$2,'Atividades Micro'!$G178="Macro",'Atividades Micro'!$K178&lt;&gt;""),'Atividades Micro'!$K178,"")</f>
        <v/>
      </c>
      <c r="BD170" s="21" t="str">
        <f>IF(AND('Atividades Micro'!$B178=BD$2,'Atividades Micro'!$G178="Macro",'Atividades Micro'!$K178&lt;&gt;""),'Atividades Micro'!$K178,"")</f>
        <v/>
      </c>
      <c r="BE170" s="21" t="str">
        <f>IF(AND('Atividades Micro'!$B178=BE$2,'Atividades Micro'!$G178="Macro",'Atividades Micro'!$K178&lt;&gt;""),'Atividades Micro'!$K178,"")</f>
        <v/>
      </c>
      <c r="BF170" s="21" t="str">
        <f>IF(AND('Atividades Micro'!$B178=BF$2,'Atividades Micro'!$G178="Macro",'Atividades Micro'!$K178&lt;&gt;""),'Atividades Micro'!$K178,"")</f>
        <v/>
      </c>
      <c r="BG170" s="21" t="str">
        <f>IF(AND('Atividades Micro'!$B178=BG$2,'Atividades Micro'!$G178="Macro",'Atividades Micro'!$K178&lt;&gt;""),'Atividades Micro'!$K178,"")</f>
        <v/>
      </c>
      <c r="BH170" s="21" t="str">
        <f>IF(AND('Atividades Micro'!$B178=BH$2,'Atividades Micro'!$G178="Macro",'Atividades Micro'!$K178&lt;&gt;""),'Atividades Micro'!$K178,"")</f>
        <v/>
      </c>
      <c r="BI170" s="21" t="str">
        <f>IF(AND('Atividades Micro'!$B178=BI$2,'Atividades Micro'!$G178="Macro",'Atividades Micro'!$K178&lt;&gt;""),'Atividades Micro'!$K178,"")</f>
        <v/>
      </c>
      <c r="BJ170" s="21" t="str">
        <f>IF(AND('Atividades Micro'!$B178=BJ$2,'Atividades Micro'!$G178="Macro",'Atividades Micro'!$K178&lt;&gt;""),'Atividades Micro'!$K178,"")</f>
        <v/>
      </c>
      <c r="BK170" s="21" t="str">
        <f>IF(AND('Atividades Micro'!$B178=BK$2,'Atividades Micro'!$G178="Macro",'Atividades Micro'!$K178&lt;&gt;""),'Atividades Micro'!$K178,"")</f>
        <v/>
      </c>
      <c r="BL170" s="21" t="str">
        <f>IF(AND('Atividades Micro'!$B178=BL$2,'Atividades Micro'!$G178="Macro",'Atividades Micro'!$K178&lt;&gt;""),'Atividades Micro'!$K178,"")</f>
        <v/>
      </c>
      <c r="BM170" s="21" t="str">
        <f>IF(AND('Atividades Micro'!$B178=BM$2,'Atividades Micro'!$G178="Macro",'Atividades Micro'!$K178&lt;&gt;""),'Atividades Micro'!$K178,"")</f>
        <v/>
      </c>
      <c r="BN170" s="21" t="str">
        <f>IF(AND('Atividades Micro'!$B178=BN$2,'Atividades Micro'!$G178="Macro",'Atividades Micro'!$K178&lt;&gt;""),'Atividades Micro'!$K178,"")</f>
        <v/>
      </c>
      <c r="BO170" s="21" t="str">
        <f>IF(AND('Atividades Micro'!$B178=BO$2,'Atividades Micro'!$G178="Macro",'Atividades Micro'!$K178&lt;&gt;""),'Atividades Micro'!$K178,"")</f>
        <v/>
      </c>
      <c r="BP170" s="21" t="str">
        <f>IF(AND('Atividades Micro'!$B178=BP$2,'Atividades Micro'!$G178="Macro",'Atividades Micro'!$K178&lt;&gt;""),'Atividades Micro'!$K178,"")</f>
        <v/>
      </c>
      <c r="BQ170" s="21" t="str">
        <f>IF(AND('Atividades Micro'!$B178=BQ$2,'Atividades Micro'!$G178="Macro",'Atividades Micro'!$K178&lt;&gt;""),'Atividades Micro'!$K178,"")</f>
        <v/>
      </c>
      <c r="BR170" s="21" t="str">
        <f>IF(AND('Atividades Micro'!$B178=BR$2,'Atividades Micro'!$G178="Macro",'Atividades Micro'!$K178&lt;&gt;""),'Atividades Micro'!$K178,"")</f>
        <v/>
      </c>
      <c r="BS170" s="21" t="str">
        <f>IF(AND('Atividades Micro'!$B178=BS$2,'Atividades Micro'!$G178="Macro",'Atividades Micro'!$K178&lt;&gt;""),'Atividades Micro'!$K178,"")</f>
        <v/>
      </c>
      <c r="BT170" s="21" t="str">
        <f>IF(AND('Atividades Micro'!$B178=BT$2,'Atividades Micro'!$G178="Macro",'Atividades Micro'!$K178&lt;&gt;""),'Atividades Micro'!$K178,"")</f>
        <v/>
      </c>
      <c r="BU170" s="21" t="str">
        <f>IF(AND('Atividades Micro'!$B178=BU$2,'Atividades Micro'!$G178="Macro",'Atividades Micro'!$K178&lt;&gt;""),'Atividades Micro'!$K178,"")</f>
        <v/>
      </c>
      <c r="BV170" s="21" t="str">
        <f>IF(AND('Atividades Micro'!$B178=BV$2,'Atividades Micro'!$G178="Macro",'Atividades Micro'!$K178&lt;&gt;""),'Atividades Micro'!$K178,"")</f>
        <v/>
      </c>
      <c r="BW170" s="21" t="str">
        <f>IF(AND('Atividades Micro'!$B178=BW$2,'Atividades Micro'!$G178="Macro",'Atividades Micro'!$K178&lt;&gt;""),'Atividades Micro'!$K178,"")</f>
        <v/>
      </c>
      <c r="BX170" s="21" t="str">
        <f>IF(AND('Atividades Micro'!$B178=BX$2,'Atividades Micro'!$G178="Macro",'Atividades Micro'!$K178&lt;&gt;""),'Atividades Micro'!$K178,"")</f>
        <v/>
      </c>
      <c r="BY170" s="21" t="str">
        <f>IF(AND('Atividades Micro'!$B178=BY$2,'Atividades Micro'!$G178="Macro",'Atividades Micro'!$K178&lt;&gt;""),'Atividades Micro'!$K178,"")</f>
        <v/>
      </c>
      <c r="BZ170" s="21" t="str">
        <f>IF(AND('Atividades Micro'!$B178=BZ$2,'Atividades Micro'!$G178="Macro",'Atividades Micro'!$K178&lt;&gt;""),'Atividades Micro'!$K178,"")</f>
        <v/>
      </c>
      <c r="CA170" s="21" t="str">
        <f>IF(AND('Atividades Micro'!$B178=CA$2,'Atividades Micro'!$G178="Macro",'Atividades Micro'!$K178&lt;&gt;""),'Atividades Micro'!$K178,"")</f>
        <v/>
      </c>
      <c r="CB170" s="21" t="str">
        <f>IF(AND('Atividades Micro'!$B178=CB$2,'Atividades Micro'!$G178="Macro",'Atividades Micro'!$K178&lt;&gt;""),'Atividades Micro'!$K178,"")</f>
        <v/>
      </c>
      <c r="CC170" s="21" t="str">
        <f>IF(AND('Atividades Micro'!$B178=CC$2,'Atividades Micro'!$G178="Macro",'Atividades Micro'!$K178&lt;&gt;""),'Atividades Micro'!$K178,"")</f>
        <v/>
      </c>
      <c r="CD170" s="21" t="str">
        <f>IF(AND('Atividades Micro'!$B178=CD$2,'Atividades Micro'!$G178="Micro",'Atividades Micro'!$K178&lt;&gt;""),'Atividades Micro'!$K178,"")</f>
        <v/>
      </c>
      <c r="CE170" s="21" t="str">
        <f>IF(AND('Atividades Micro'!$B178=CE$2,'Atividades Micro'!$G178="Micro",'Atividades Micro'!$K178&lt;&gt;""),'Atividades Micro'!$K178,"")</f>
        <v/>
      </c>
      <c r="CF170" s="21" t="str">
        <f>IF(AND('Atividades Micro'!$B178=CF$2,'Atividades Micro'!$G178="Micro",'Atividades Micro'!$K178&lt;&gt;""),'Atividades Micro'!$K178,"")</f>
        <v/>
      </c>
      <c r="CG170" s="21" t="str">
        <f>IF(AND('Atividades Micro'!$B178=CG$2,'Atividades Micro'!$G178="Micro",'Atividades Micro'!$K178&lt;&gt;""),'Atividades Micro'!$K178,"")</f>
        <v/>
      </c>
      <c r="CH170" s="21" t="str">
        <f>IF(AND('Atividades Micro'!$B178=CH$2,'Atividades Micro'!$G178="Micro",'Atividades Micro'!$K178&lt;&gt;""),'Atividades Micro'!$K178,"")</f>
        <v/>
      </c>
      <c r="CI170" s="21" t="str">
        <f>IF(AND('Atividades Micro'!$B178=CI$2,'Atividades Micro'!$G178="Micro",'Atividades Micro'!$K178&lt;&gt;""),'Atividades Micro'!$K178,"")</f>
        <v/>
      </c>
      <c r="CJ170" s="21">
        <f>IF(AND('Atividades Micro'!$B178=CJ$2,'Atividades Micro'!$G178="Micro",'Atividades Micro'!$K178&lt;&gt;""),'Atividades Micro'!$K178,"")</f>
        <v>46276</v>
      </c>
      <c r="CK170" s="21" t="str">
        <f>IF(AND('Atividades Micro'!$B178=CK$2,'Atividades Micro'!$G178="Micro",'Atividades Micro'!$K178&lt;&gt;""),'Atividades Micro'!$K178,"")</f>
        <v/>
      </c>
      <c r="CL170" s="21" t="str">
        <f>IF(AND('Atividades Micro'!$B178=CL$2,'Atividades Micro'!$G178="Micro",'Atividades Micro'!$K178&lt;&gt;""),'Atividades Micro'!$K178,"")</f>
        <v/>
      </c>
      <c r="CM170" s="21" t="str">
        <f>IF(AND('Atividades Micro'!$B178=CM$2,'Atividades Micro'!$G178="Micro",'Atividades Micro'!$K178&lt;&gt;""),'Atividades Micro'!$K178,"")</f>
        <v/>
      </c>
      <c r="CN170" s="21" t="str">
        <f>IF(AND('Atividades Micro'!$B178=CN$2,'Atividades Micro'!$G178="Micro",'Atividades Micro'!$K178&lt;&gt;""),'Atividades Micro'!$K178,"")</f>
        <v/>
      </c>
      <c r="CO170" s="21" t="str">
        <f>IF(AND('Atividades Micro'!$B178=CO$2,'Atividades Micro'!$G178="Micro",'Atividades Micro'!$K178&lt;&gt;""),'Atividades Micro'!$K178,"")</f>
        <v/>
      </c>
    </row>
    <row r="171" spans="1:93">
      <c r="A171" s="21" t="str">
        <f>IF(AND('Atividades Micro'!$A179=A$2,'Atividades Micro'!$K179&lt;&gt;""),'Atividades Micro'!$K179,"")</f>
        <v/>
      </c>
      <c r="B171" s="21" t="str">
        <f>IF(AND('Atividades Micro'!$A179=B$2,'Atividades Micro'!$L179&lt;&gt;""),'Atividades Micro'!$L179,"")</f>
        <v/>
      </c>
      <c r="C171" s="21" t="str">
        <f>IF(AND('Atividades Micro'!$A179=C$2,'Atividades Micro'!$K179&lt;&gt;""),'Atividades Micro'!$K179,"")</f>
        <v/>
      </c>
      <c r="D171" s="21" t="str">
        <f>IF(AND('Atividades Micro'!$A179=D$2,'Atividades Micro'!$L179&lt;&gt;""),'Atividades Micro'!$L179,"")</f>
        <v/>
      </c>
      <c r="E171" s="21" t="str">
        <f>IF(AND('Atividades Micro'!$A179=E$2,'Atividades Micro'!$K179&lt;&gt;""),'Atividades Micro'!$K179,"")</f>
        <v/>
      </c>
      <c r="F171" s="21" t="str">
        <f>IF(AND('Atividades Micro'!$A179=F$2,'Atividades Micro'!$L179&lt;&gt;""),'Atividades Micro'!$L179,"")</f>
        <v/>
      </c>
      <c r="G171" s="21" t="str">
        <f>IF(AND('Atividades Micro'!$A179=G$2,'Atividades Micro'!$K179&lt;&gt;""),'Atividades Micro'!$K179,"")</f>
        <v/>
      </c>
      <c r="H171" s="21" t="str">
        <f>IF(AND('Atividades Micro'!$A179=H$2,'Atividades Micro'!$L179&lt;&gt;""),'Atividades Micro'!$L179,"")</f>
        <v/>
      </c>
      <c r="I171" s="21" t="str">
        <f>IF(AND('Atividades Micro'!$A179=I$2,'Atividades Micro'!$K179&lt;&gt;""),'Atividades Micro'!$K179,"")</f>
        <v/>
      </c>
      <c r="J171" s="21" t="str">
        <f>IF(AND('Atividades Micro'!$A179=J$2,'Atividades Micro'!$L179&lt;&gt;""),'Atividades Micro'!$L179,"")</f>
        <v/>
      </c>
      <c r="K171" s="21" t="str">
        <f>IF(AND('Atividades Micro'!$B179=K$2,'Atividades Micro'!$K179&lt;&gt;""),'Atividades Micro'!$K179,"")</f>
        <v/>
      </c>
      <c r="L171" s="21" t="str">
        <f>IF(AND('Atividades Micro'!$B179=L$2,'Atividades Micro'!$L179&lt;&gt;""),'Atividades Micro'!$L179,"")</f>
        <v/>
      </c>
      <c r="M171" s="21" t="str">
        <f>IF(AND('Atividades Micro'!$B179=M$2,'Atividades Micro'!$K179&lt;&gt;""),'Atividades Micro'!$K179,"")</f>
        <v/>
      </c>
      <c r="N171" s="21" t="str">
        <f>IF(AND('Atividades Micro'!$B179=N$2,'Atividades Micro'!$L179&lt;&gt;""),'Atividades Micro'!$L179,"")</f>
        <v/>
      </c>
      <c r="O171" s="21" t="str">
        <f>IF(AND('Atividades Micro'!$A179=O$2,'Atividades Micro'!$K179&lt;&gt;""),'Atividades Micro'!$K179,"")</f>
        <v/>
      </c>
      <c r="P171" s="21" t="str">
        <f>IF(AND('Atividades Micro'!$A179=P$2,'Atividades Micro'!$L179&lt;&gt;""),'Atividades Micro'!$L179,"")</f>
        <v/>
      </c>
      <c r="Q171" s="21" t="str">
        <f>IF(AND('Atividades Micro'!$B179=Q$2,'Atividades Micro'!$K179&lt;&gt;""),'Atividades Micro'!$K179,"")</f>
        <v/>
      </c>
      <c r="R171" s="21" t="str">
        <f>IF(AND('Atividades Micro'!$B179=R$2,'Atividades Micro'!$L179&lt;&gt;""),'Atividades Micro'!$L179,"")</f>
        <v/>
      </c>
      <c r="S171" s="21" t="str">
        <f>IF(AND('Atividades Micro'!$A179=S$2,'Atividades Micro'!$K179&lt;&gt;""),'Atividades Micro'!$K179,"")</f>
        <v/>
      </c>
      <c r="T171" s="21" t="str">
        <f>IF(AND('Atividades Micro'!$A179=T$2,'Atividades Micro'!$L179&lt;&gt;""),'Atividades Micro'!$L179,"")</f>
        <v/>
      </c>
      <c r="U171" s="21" t="str">
        <f>IF(AND('Atividades Micro'!$B179=U$2,'Atividades Micro'!$K179&lt;&gt;""),'Atividades Micro'!$K179,"")</f>
        <v/>
      </c>
      <c r="V171" s="21" t="str">
        <f>IF(AND('Atividades Micro'!$B179=V$2,'Atividades Micro'!$L179&lt;&gt;""),'Atividades Micro'!$L179,"")</f>
        <v/>
      </c>
      <c r="W171" s="21" t="str">
        <f>IF(AND('Atividades Micro'!$B179=W$2,'Atividades Micro'!$K179&lt;&gt;""),'Atividades Micro'!$K179,"")</f>
        <v/>
      </c>
      <c r="X171" s="21" t="str">
        <f>IF(AND('Atividades Micro'!$B179=X$2,'Atividades Micro'!$L179&lt;&gt;""),'Atividades Micro'!$L179,"")</f>
        <v/>
      </c>
      <c r="Y171" s="21">
        <f>IF(AND('Atividades Micro'!$A179=Y$2,'Atividades Micro'!$K179&lt;&gt;""),'Atividades Micro'!$K179,"")</f>
        <v>46288</v>
      </c>
      <c r="Z171" s="21">
        <f>IF(AND('Atividades Micro'!$A179=Z$2,'Atividades Micro'!$L179&lt;&gt;""),'Atividades Micro'!$L179,"")</f>
        <v>46288</v>
      </c>
      <c r="AA171" s="21" t="str">
        <f>IF(AND('Atividades Micro'!$B179=AA$2,'Atividades Micro'!$K179&lt;&gt;""),'Atividades Micro'!$K179,"")</f>
        <v/>
      </c>
      <c r="AB171" s="21" t="str">
        <f>IF(AND('Atividades Micro'!$B179=AB$2,'Atividades Micro'!$L179&lt;&gt;""),'Atividades Micro'!$L179,"")</f>
        <v/>
      </c>
      <c r="AC171" s="21">
        <f>IF(AND('Atividades Micro'!$B179=AC$2,'Atividades Micro'!$K179&lt;&gt;""),'Atividades Micro'!$K179,"")</f>
        <v>46288</v>
      </c>
      <c r="AD171" s="21">
        <f>IF(AND('Atividades Micro'!$B179=AD$2,'Atividades Micro'!$L179&lt;&gt;""),'Atividades Micro'!$L179,"")</f>
        <v>46288</v>
      </c>
      <c r="AE171" s="21" t="str">
        <f>IF(AND('Atividades Micro'!$A179=AE$2,'Atividades Micro'!$K179&lt;&gt;""),'Atividades Micro'!$K179,"")</f>
        <v/>
      </c>
      <c r="AF171" s="21" t="str">
        <f>IF(AND('Atividades Micro'!$A179=AF$2,'Atividades Micro'!$L179&lt;&gt;""),'Atividades Micro'!$L179,"")</f>
        <v/>
      </c>
      <c r="AG171" s="21" t="str">
        <f>IF(AND('Atividades Micro'!$B179=AG$2,'Atividades Micro'!$K179&lt;&gt;""),'Atividades Micro'!$K179,"")</f>
        <v/>
      </c>
      <c r="AH171" s="21" t="str">
        <f>IF(AND('Atividades Micro'!$B179=AH$2,'Atividades Micro'!$L179&lt;&gt;""),'Atividades Micro'!$L179,"")</f>
        <v/>
      </c>
      <c r="AI171" s="21" t="str">
        <f>IF(AND('Atividades Micro'!$B179=AI$2,'Atividades Micro'!$K179&lt;&gt;""),'Atividades Micro'!$K179,"")</f>
        <v/>
      </c>
      <c r="AJ171" s="21" t="str">
        <f>IF(AND('Atividades Micro'!$B179=AJ$2,'Atividades Micro'!$L179&lt;&gt;""),'Atividades Micro'!$L179,"")</f>
        <v/>
      </c>
      <c r="AK171" s="21" t="str">
        <f>IF(AND('Atividades Micro'!$A179=AK$2,'Atividades Micro'!$K179&lt;&gt;""),'Atividades Micro'!$K179,"")</f>
        <v/>
      </c>
      <c r="AL171" s="21" t="str">
        <f>IF(AND('Atividades Micro'!$A179=AL$2,'Atividades Micro'!$L179&lt;&gt;""),'Atividades Micro'!$L179,"")</f>
        <v/>
      </c>
      <c r="AM171" s="21" t="str">
        <f>IF(AND('Atividades Micro'!$B179=AM$2,'Atividades Micro'!$K179&lt;&gt;""),'Atividades Micro'!$K179,"")</f>
        <v/>
      </c>
      <c r="AN171" s="21" t="str">
        <f>IF(AND('Atividades Micro'!$B179=AN$2,'Atividades Micro'!$L179&lt;&gt;""),'Atividades Micro'!$L179,"")</f>
        <v/>
      </c>
      <c r="AO171" s="21" t="str">
        <f>IF(AND('Atividades Micro'!$B179=AO$2,'Atividades Micro'!$K179&lt;&gt;""),'Atividades Micro'!$K179,"")</f>
        <v/>
      </c>
      <c r="AP171" s="21" t="str">
        <f>IF(AND('Atividades Micro'!$B179=AP$2,'Atividades Micro'!$L179&lt;&gt;""),'Atividades Micro'!$L179,"")</f>
        <v/>
      </c>
      <c r="AQ171" s="21" t="str">
        <f>IF(AND('Atividades Micro'!$A179=AQ$2,'Atividades Micro'!$K179&lt;&gt;""),'Atividades Micro'!$K179,"")</f>
        <v/>
      </c>
      <c r="AR171" s="21" t="str">
        <f>IF(AND('Atividades Micro'!$A179=AR$2,'Atividades Micro'!$L179&lt;&gt;""),'Atividades Micro'!$L179,"")</f>
        <v/>
      </c>
      <c r="AS171" s="21" t="str">
        <f>IF(AND('Atividades Micro'!$B179=AS$2,'Atividades Micro'!$K179&lt;&gt;""),'Atividades Micro'!$K179,"")</f>
        <v/>
      </c>
      <c r="AT171" s="21" t="str">
        <f>IF(AND('Atividades Micro'!$B179=AT$2,'Atividades Micro'!$L179&lt;&gt;""),'Atividades Micro'!$L179,"")</f>
        <v/>
      </c>
      <c r="AU171" s="21" t="str">
        <f>IF(AND('Atividades Micro'!$A179=AU$2,'Atividades Micro'!$K179&lt;&gt;""),'Atividades Micro'!$K179,"")</f>
        <v/>
      </c>
      <c r="AV171" s="21" t="str">
        <f>IF(AND('Atividades Micro'!$A179=AV$2,'Atividades Micro'!$L179&lt;&gt;""),'Atividades Micro'!$L179,"")</f>
        <v/>
      </c>
      <c r="AW171" s="21" t="str">
        <f>IF(AND('Atividades Micro'!$B179=AW$2,'Atividades Micro'!$K179&lt;&gt;""),'Atividades Micro'!$K179,"")</f>
        <v/>
      </c>
      <c r="AX171" s="21" t="str">
        <f>IF(AND('Atividades Micro'!$B179=AX$2,'Atividades Micro'!$L179&lt;&gt;""),'Atividades Micro'!$L179,"")</f>
        <v/>
      </c>
      <c r="AY171" s="21" t="str">
        <f>IF(AND('Atividades Micro'!$A179=AY$2,'Atividades Micro'!$K179&lt;&gt;""),'Atividades Micro'!$K179,"")</f>
        <v/>
      </c>
      <c r="AZ171" s="21" t="str">
        <f>IF(AND('Atividades Micro'!$A179=AZ$2,'Atividades Micro'!$L179&lt;&gt;""),'Atividades Micro'!$L179,"")</f>
        <v/>
      </c>
      <c r="BA171" s="21" t="str">
        <f>IF(AND('Atividades Micro'!$B179=BA$2,'Atividades Micro'!$K179&lt;&gt;""),'Atividades Micro'!$K179,"")</f>
        <v/>
      </c>
      <c r="BB171" s="21" t="str">
        <f>IF(AND('Atividades Micro'!$B179=BB$2,'Atividades Micro'!$L179&lt;&gt;""),'Atividades Micro'!$L179,"")</f>
        <v/>
      </c>
      <c r="BC171" s="21" t="str">
        <f>IF(AND('Atividades Micro'!$B179=BC$2,'Atividades Micro'!$G179="Macro",'Atividades Micro'!$K179&lt;&gt;""),'Atividades Micro'!$K179,"")</f>
        <v/>
      </c>
      <c r="BD171" s="21" t="str">
        <f>IF(AND('Atividades Micro'!$B179=BD$2,'Atividades Micro'!$G179="Macro",'Atividades Micro'!$K179&lt;&gt;""),'Atividades Micro'!$K179,"")</f>
        <v/>
      </c>
      <c r="BE171" s="21" t="str">
        <f>IF(AND('Atividades Micro'!$B179=BE$2,'Atividades Micro'!$G179="Macro",'Atividades Micro'!$K179&lt;&gt;""),'Atividades Micro'!$K179,"")</f>
        <v/>
      </c>
      <c r="BF171" s="21" t="str">
        <f>IF(AND('Atividades Micro'!$B179=BF$2,'Atividades Micro'!$G179="Macro",'Atividades Micro'!$K179&lt;&gt;""),'Atividades Micro'!$K179,"")</f>
        <v/>
      </c>
      <c r="BG171" s="21" t="str">
        <f>IF(AND('Atividades Micro'!$B179=BG$2,'Atividades Micro'!$G179="Macro",'Atividades Micro'!$K179&lt;&gt;""),'Atividades Micro'!$K179,"")</f>
        <v/>
      </c>
      <c r="BH171" s="21" t="str">
        <f>IF(AND('Atividades Micro'!$B179=BH$2,'Atividades Micro'!$G179="Macro",'Atividades Micro'!$K179&lt;&gt;""),'Atividades Micro'!$K179,"")</f>
        <v/>
      </c>
      <c r="BI171" s="21" t="str">
        <f>IF(AND('Atividades Micro'!$B179=BI$2,'Atividades Micro'!$G179="Macro",'Atividades Micro'!$K179&lt;&gt;""),'Atividades Micro'!$K179,"")</f>
        <v/>
      </c>
      <c r="BJ171" s="21" t="str">
        <f>IF(AND('Atividades Micro'!$B179=BJ$2,'Atividades Micro'!$G179="Macro",'Atividades Micro'!$K179&lt;&gt;""),'Atividades Micro'!$K179,"")</f>
        <v/>
      </c>
      <c r="BK171" s="21" t="str">
        <f>IF(AND('Atividades Micro'!$B179=BK$2,'Atividades Micro'!$G179="Macro",'Atividades Micro'!$K179&lt;&gt;""),'Atividades Micro'!$K179,"")</f>
        <v/>
      </c>
      <c r="BL171" s="21" t="str">
        <f>IF(AND('Atividades Micro'!$B179=BL$2,'Atividades Micro'!$G179="Macro",'Atividades Micro'!$K179&lt;&gt;""),'Atividades Micro'!$K179,"")</f>
        <v/>
      </c>
      <c r="BM171" s="21" t="str">
        <f>IF(AND('Atividades Micro'!$B179=BM$2,'Atividades Micro'!$G179="Macro",'Atividades Micro'!$K179&lt;&gt;""),'Atividades Micro'!$K179,"")</f>
        <v/>
      </c>
      <c r="BN171" s="21" t="str">
        <f>IF(AND('Atividades Micro'!$B179=BN$2,'Atividades Micro'!$G179="Macro",'Atividades Micro'!$K179&lt;&gt;""),'Atividades Micro'!$K179,"")</f>
        <v/>
      </c>
      <c r="BO171" s="21" t="str">
        <f>IF(AND('Atividades Micro'!$B179=BO$2,'Atividades Micro'!$G179="Macro",'Atividades Micro'!$K179&lt;&gt;""),'Atividades Micro'!$K179,"")</f>
        <v/>
      </c>
      <c r="BP171" s="21" t="str">
        <f>IF(AND('Atividades Micro'!$B179=BP$2,'Atividades Micro'!$G179="Macro",'Atividades Micro'!$K179&lt;&gt;""),'Atividades Micro'!$K179,"")</f>
        <v/>
      </c>
      <c r="BQ171" s="21" t="str">
        <f>IF(AND('Atividades Micro'!$B179=BQ$2,'Atividades Micro'!$G179="Macro",'Atividades Micro'!$K179&lt;&gt;""),'Atividades Micro'!$K179,"")</f>
        <v/>
      </c>
      <c r="BR171" s="21" t="str">
        <f>IF(AND('Atividades Micro'!$B179=BR$2,'Atividades Micro'!$G179="Macro",'Atividades Micro'!$K179&lt;&gt;""),'Atividades Micro'!$K179,"")</f>
        <v/>
      </c>
      <c r="BS171" s="21" t="str">
        <f>IF(AND('Atividades Micro'!$B179=BS$2,'Atividades Micro'!$G179="Macro",'Atividades Micro'!$K179&lt;&gt;""),'Atividades Micro'!$K179,"")</f>
        <v/>
      </c>
      <c r="BT171" s="21" t="str">
        <f>IF(AND('Atividades Micro'!$B179=BT$2,'Atividades Micro'!$G179="Macro",'Atividades Micro'!$K179&lt;&gt;""),'Atividades Micro'!$K179,"")</f>
        <v/>
      </c>
      <c r="BU171" s="21" t="str">
        <f>IF(AND('Atividades Micro'!$B179=BU$2,'Atividades Micro'!$G179="Macro",'Atividades Micro'!$K179&lt;&gt;""),'Atividades Micro'!$K179,"")</f>
        <v/>
      </c>
      <c r="BV171" s="21" t="str">
        <f>IF(AND('Atividades Micro'!$B179=BV$2,'Atividades Micro'!$G179="Macro",'Atividades Micro'!$K179&lt;&gt;""),'Atividades Micro'!$K179,"")</f>
        <v/>
      </c>
      <c r="BW171" s="21" t="str">
        <f>IF(AND('Atividades Micro'!$B179=BW$2,'Atividades Micro'!$G179="Macro",'Atividades Micro'!$K179&lt;&gt;""),'Atividades Micro'!$K179,"")</f>
        <v/>
      </c>
      <c r="BX171" s="21" t="str">
        <f>IF(AND('Atividades Micro'!$B179=BX$2,'Atividades Micro'!$G179="Macro",'Atividades Micro'!$K179&lt;&gt;""),'Atividades Micro'!$K179,"")</f>
        <v/>
      </c>
      <c r="BY171" s="21" t="str">
        <f>IF(AND('Atividades Micro'!$B179=BY$2,'Atividades Micro'!$G179="Macro",'Atividades Micro'!$K179&lt;&gt;""),'Atividades Micro'!$K179,"")</f>
        <v/>
      </c>
      <c r="BZ171" s="21" t="str">
        <f>IF(AND('Atividades Micro'!$B179=BZ$2,'Atividades Micro'!$G179="Macro",'Atividades Micro'!$K179&lt;&gt;""),'Atividades Micro'!$K179,"")</f>
        <v/>
      </c>
      <c r="CA171" s="21" t="str">
        <f>IF(AND('Atividades Micro'!$B179=CA$2,'Atividades Micro'!$G179="Macro",'Atividades Micro'!$K179&lt;&gt;""),'Atividades Micro'!$K179,"")</f>
        <v/>
      </c>
      <c r="CB171" s="21" t="str">
        <f>IF(AND('Atividades Micro'!$B179=CB$2,'Atividades Micro'!$G179="Macro",'Atividades Micro'!$K179&lt;&gt;""),'Atividades Micro'!$K179,"")</f>
        <v/>
      </c>
      <c r="CC171" s="21" t="str">
        <f>IF(AND('Atividades Micro'!$B179=CC$2,'Atividades Micro'!$G179="Macro",'Atividades Micro'!$K179&lt;&gt;""),'Atividades Micro'!$K179,"")</f>
        <v/>
      </c>
      <c r="CD171" s="21" t="str">
        <f>IF(AND('Atividades Micro'!$B179=CD$2,'Atividades Micro'!$G179="Micro",'Atividades Micro'!$K179&lt;&gt;""),'Atividades Micro'!$K179,"")</f>
        <v/>
      </c>
      <c r="CE171" s="21" t="str">
        <f>IF(AND('Atividades Micro'!$B179=CE$2,'Atividades Micro'!$G179="Micro",'Atividades Micro'!$K179&lt;&gt;""),'Atividades Micro'!$K179,"")</f>
        <v/>
      </c>
      <c r="CF171" s="21" t="str">
        <f>IF(AND('Atividades Micro'!$B179=CF$2,'Atividades Micro'!$G179="Micro",'Atividades Micro'!$K179&lt;&gt;""),'Atividades Micro'!$K179,"")</f>
        <v/>
      </c>
      <c r="CG171" s="21" t="str">
        <f>IF(AND('Atividades Micro'!$B179=CG$2,'Atividades Micro'!$G179="Micro",'Atividades Micro'!$K179&lt;&gt;""),'Atividades Micro'!$K179,"")</f>
        <v/>
      </c>
      <c r="CH171" s="21" t="str">
        <f>IF(AND('Atividades Micro'!$B179=CH$2,'Atividades Micro'!$G179="Micro",'Atividades Micro'!$K179&lt;&gt;""),'Atividades Micro'!$K179,"")</f>
        <v/>
      </c>
      <c r="CI171" s="21" t="str">
        <f>IF(AND('Atividades Micro'!$B179=CI$2,'Atividades Micro'!$G179="Micro",'Atividades Micro'!$K179&lt;&gt;""),'Atividades Micro'!$K179,"")</f>
        <v/>
      </c>
      <c r="CJ171" s="21">
        <f>IF(AND('Atividades Micro'!$B179=CJ$2,'Atividades Micro'!$G179="Micro",'Atividades Micro'!$K179&lt;&gt;""),'Atividades Micro'!$K179,"")</f>
        <v>46288</v>
      </c>
      <c r="CK171" s="21" t="str">
        <f>IF(AND('Atividades Micro'!$B179=CK$2,'Atividades Micro'!$G179="Micro",'Atividades Micro'!$K179&lt;&gt;""),'Atividades Micro'!$K179,"")</f>
        <v/>
      </c>
      <c r="CL171" s="21" t="str">
        <f>IF(AND('Atividades Micro'!$B179=CL$2,'Atividades Micro'!$G179="Micro",'Atividades Micro'!$K179&lt;&gt;""),'Atividades Micro'!$K179,"")</f>
        <v/>
      </c>
      <c r="CM171" s="21" t="str">
        <f>IF(AND('Atividades Micro'!$B179=CM$2,'Atividades Micro'!$G179="Micro",'Atividades Micro'!$K179&lt;&gt;""),'Atividades Micro'!$K179,"")</f>
        <v/>
      </c>
      <c r="CN171" s="21" t="str">
        <f>IF(AND('Atividades Micro'!$B179=CN$2,'Atividades Micro'!$G179="Micro",'Atividades Micro'!$K179&lt;&gt;""),'Atividades Micro'!$K179,"")</f>
        <v/>
      </c>
      <c r="CO171" s="21" t="str">
        <f>IF(AND('Atividades Micro'!$B179=CO$2,'Atividades Micro'!$G179="Micro",'Atividades Micro'!$K179&lt;&gt;""),'Atividades Micro'!$K179,"")</f>
        <v/>
      </c>
    </row>
    <row r="172" spans="1:93">
      <c r="A172" s="21" t="str">
        <f>IF(AND('Atividades Micro'!$A180=A$2,'Atividades Micro'!$K180&lt;&gt;""),'Atividades Micro'!$K180,"")</f>
        <v/>
      </c>
      <c r="B172" s="21" t="str">
        <f>IF(AND('Atividades Micro'!$A180=B$2,'Atividades Micro'!$L180&lt;&gt;""),'Atividades Micro'!$L180,"")</f>
        <v/>
      </c>
      <c r="C172" s="21" t="str">
        <f>IF(AND('Atividades Micro'!$A180=C$2,'Atividades Micro'!$K180&lt;&gt;""),'Atividades Micro'!$K180,"")</f>
        <v/>
      </c>
      <c r="D172" s="21" t="str">
        <f>IF(AND('Atividades Micro'!$A180=D$2,'Atividades Micro'!$L180&lt;&gt;""),'Atividades Micro'!$L180,"")</f>
        <v/>
      </c>
      <c r="E172" s="21" t="str">
        <f>IF(AND('Atividades Micro'!$A180=E$2,'Atividades Micro'!$K180&lt;&gt;""),'Atividades Micro'!$K180,"")</f>
        <v/>
      </c>
      <c r="F172" s="21" t="str">
        <f>IF(AND('Atividades Micro'!$A180=F$2,'Atividades Micro'!$L180&lt;&gt;""),'Atividades Micro'!$L180,"")</f>
        <v/>
      </c>
      <c r="G172" s="21" t="str">
        <f>IF(AND('Atividades Micro'!$A180=G$2,'Atividades Micro'!$K180&lt;&gt;""),'Atividades Micro'!$K180,"")</f>
        <v/>
      </c>
      <c r="H172" s="21" t="str">
        <f>IF(AND('Atividades Micro'!$A180=H$2,'Atividades Micro'!$L180&lt;&gt;""),'Atividades Micro'!$L180,"")</f>
        <v/>
      </c>
      <c r="I172" s="21" t="str">
        <f>IF(AND('Atividades Micro'!$A180=I$2,'Atividades Micro'!$K180&lt;&gt;""),'Atividades Micro'!$K180,"")</f>
        <v/>
      </c>
      <c r="J172" s="21" t="str">
        <f>IF(AND('Atividades Micro'!$A180=J$2,'Atividades Micro'!$L180&lt;&gt;""),'Atividades Micro'!$L180,"")</f>
        <v/>
      </c>
      <c r="K172" s="21" t="str">
        <f>IF(AND('Atividades Micro'!$B180=K$2,'Atividades Micro'!$K180&lt;&gt;""),'Atividades Micro'!$K180,"")</f>
        <v/>
      </c>
      <c r="L172" s="21" t="str">
        <f>IF(AND('Atividades Micro'!$B180=L$2,'Atividades Micro'!$L180&lt;&gt;""),'Atividades Micro'!$L180,"")</f>
        <v/>
      </c>
      <c r="M172" s="21" t="str">
        <f>IF(AND('Atividades Micro'!$B180=M$2,'Atividades Micro'!$K180&lt;&gt;""),'Atividades Micro'!$K180,"")</f>
        <v/>
      </c>
      <c r="N172" s="21" t="str">
        <f>IF(AND('Atividades Micro'!$B180=N$2,'Atividades Micro'!$L180&lt;&gt;""),'Atividades Micro'!$L180,"")</f>
        <v/>
      </c>
      <c r="O172" s="21" t="str">
        <f>IF(AND('Atividades Micro'!$A180=O$2,'Atividades Micro'!$K180&lt;&gt;""),'Atividades Micro'!$K180,"")</f>
        <v/>
      </c>
      <c r="P172" s="21" t="str">
        <f>IF(AND('Atividades Micro'!$A180=P$2,'Atividades Micro'!$L180&lt;&gt;""),'Atividades Micro'!$L180,"")</f>
        <v/>
      </c>
      <c r="Q172" s="21" t="str">
        <f>IF(AND('Atividades Micro'!$B180=Q$2,'Atividades Micro'!$K180&lt;&gt;""),'Atividades Micro'!$K180,"")</f>
        <v/>
      </c>
      <c r="R172" s="21" t="str">
        <f>IF(AND('Atividades Micro'!$B180=R$2,'Atividades Micro'!$L180&lt;&gt;""),'Atividades Micro'!$L180,"")</f>
        <v/>
      </c>
      <c r="S172" s="21" t="str">
        <f>IF(AND('Atividades Micro'!$A180=S$2,'Atividades Micro'!$K180&lt;&gt;""),'Atividades Micro'!$K180,"")</f>
        <v/>
      </c>
      <c r="T172" s="21" t="str">
        <f>IF(AND('Atividades Micro'!$A180=T$2,'Atividades Micro'!$L180&lt;&gt;""),'Atividades Micro'!$L180,"")</f>
        <v/>
      </c>
      <c r="U172" s="21" t="str">
        <f>IF(AND('Atividades Micro'!$B180=U$2,'Atividades Micro'!$K180&lt;&gt;""),'Atividades Micro'!$K180,"")</f>
        <v/>
      </c>
      <c r="V172" s="21" t="str">
        <f>IF(AND('Atividades Micro'!$B180=V$2,'Atividades Micro'!$L180&lt;&gt;""),'Atividades Micro'!$L180,"")</f>
        <v/>
      </c>
      <c r="W172" s="21" t="str">
        <f>IF(AND('Atividades Micro'!$B180=W$2,'Atividades Micro'!$K180&lt;&gt;""),'Atividades Micro'!$K180,"")</f>
        <v/>
      </c>
      <c r="X172" s="21" t="str">
        <f>IF(AND('Atividades Micro'!$B180=X$2,'Atividades Micro'!$L180&lt;&gt;""),'Atividades Micro'!$L180,"")</f>
        <v/>
      </c>
      <c r="Y172" s="21">
        <f>IF(AND('Atividades Micro'!$A180=Y$2,'Atividades Micro'!$K180&lt;&gt;""),'Atividades Micro'!$K180,"")</f>
        <v>46324</v>
      </c>
      <c r="Z172" s="21" t="str">
        <f>IF(AND('Atividades Micro'!$A180=Z$2,'Atividades Micro'!$L180&lt;&gt;""),'Atividades Micro'!$L180,"")</f>
        <v/>
      </c>
      <c r="AA172" s="21" t="str">
        <f>IF(AND('Atividades Micro'!$B180=AA$2,'Atividades Micro'!$K180&lt;&gt;""),'Atividades Micro'!$K180,"")</f>
        <v/>
      </c>
      <c r="AB172" s="21" t="str">
        <f>IF(AND('Atividades Micro'!$B180=AB$2,'Atividades Micro'!$L180&lt;&gt;""),'Atividades Micro'!$L180,"")</f>
        <v/>
      </c>
      <c r="AC172" s="21">
        <f>IF(AND('Atividades Micro'!$B180=AC$2,'Atividades Micro'!$K180&lt;&gt;""),'Atividades Micro'!$K180,"")</f>
        <v>46324</v>
      </c>
      <c r="AD172" s="21" t="str">
        <f>IF(AND('Atividades Micro'!$B180=AD$2,'Atividades Micro'!$L180&lt;&gt;""),'Atividades Micro'!$L180,"")</f>
        <v/>
      </c>
      <c r="AE172" s="21" t="str">
        <f>IF(AND('Atividades Micro'!$A180=AE$2,'Atividades Micro'!$K180&lt;&gt;""),'Atividades Micro'!$K180,"")</f>
        <v/>
      </c>
      <c r="AF172" s="21" t="str">
        <f>IF(AND('Atividades Micro'!$A180=AF$2,'Atividades Micro'!$L180&lt;&gt;""),'Atividades Micro'!$L180,"")</f>
        <v/>
      </c>
      <c r="AG172" s="21" t="str">
        <f>IF(AND('Atividades Micro'!$B180=AG$2,'Atividades Micro'!$K180&lt;&gt;""),'Atividades Micro'!$K180,"")</f>
        <v/>
      </c>
      <c r="AH172" s="21" t="str">
        <f>IF(AND('Atividades Micro'!$B180=AH$2,'Atividades Micro'!$L180&lt;&gt;""),'Atividades Micro'!$L180,"")</f>
        <v/>
      </c>
      <c r="AI172" s="21" t="str">
        <f>IF(AND('Atividades Micro'!$B180=AI$2,'Atividades Micro'!$K180&lt;&gt;""),'Atividades Micro'!$K180,"")</f>
        <v/>
      </c>
      <c r="AJ172" s="21" t="str">
        <f>IF(AND('Atividades Micro'!$B180=AJ$2,'Atividades Micro'!$L180&lt;&gt;""),'Atividades Micro'!$L180,"")</f>
        <v/>
      </c>
      <c r="AK172" s="21" t="str">
        <f>IF(AND('Atividades Micro'!$A180=AK$2,'Atividades Micro'!$K180&lt;&gt;""),'Atividades Micro'!$K180,"")</f>
        <v/>
      </c>
      <c r="AL172" s="21" t="str">
        <f>IF(AND('Atividades Micro'!$A180=AL$2,'Atividades Micro'!$L180&lt;&gt;""),'Atividades Micro'!$L180,"")</f>
        <v/>
      </c>
      <c r="AM172" s="21" t="str">
        <f>IF(AND('Atividades Micro'!$B180=AM$2,'Atividades Micro'!$K180&lt;&gt;""),'Atividades Micro'!$K180,"")</f>
        <v/>
      </c>
      <c r="AN172" s="21" t="str">
        <f>IF(AND('Atividades Micro'!$B180=AN$2,'Atividades Micro'!$L180&lt;&gt;""),'Atividades Micro'!$L180,"")</f>
        <v/>
      </c>
      <c r="AO172" s="21" t="str">
        <f>IF(AND('Atividades Micro'!$B180=AO$2,'Atividades Micro'!$K180&lt;&gt;""),'Atividades Micro'!$K180,"")</f>
        <v/>
      </c>
      <c r="AP172" s="21" t="str">
        <f>IF(AND('Atividades Micro'!$B180=AP$2,'Atividades Micro'!$L180&lt;&gt;""),'Atividades Micro'!$L180,"")</f>
        <v/>
      </c>
      <c r="AQ172" s="21" t="str">
        <f>IF(AND('Atividades Micro'!$A180=AQ$2,'Atividades Micro'!$K180&lt;&gt;""),'Atividades Micro'!$K180,"")</f>
        <v/>
      </c>
      <c r="AR172" s="21" t="str">
        <f>IF(AND('Atividades Micro'!$A180=AR$2,'Atividades Micro'!$L180&lt;&gt;""),'Atividades Micro'!$L180,"")</f>
        <v/>
      </c>
      <c r="AS172" s="21" t="str">
        <f>IF(AND('Atividades Micro'!$B180=AS$2,'Atividades Micro'!$K180&lt;&gt;""),'Atividades Micro'!$K180,"")</f>
        <v/>
      </c>
      <c r="AT172" s="21" t="str">
        <f>IF(AND('Atividades Micro'!$B180=AT$2,'Atividades Micro'!$L180&lt;&gt;""),'Atividades Micro'!$L180,"")</f>
        <v/>
      </c>
      <c r="AU172" s="21" t="str">
        <f>IF(AND('Atividades Micro'!$A180=AU$2,'Atividades Micro'!$K180&lt;&gt;""),'Atividades Micro'!$K180,"")</f>
        <v/>
      </c>
      <c r="AV172" s="21" t="str">
        <f>IF(AND('Atividades Micro'!$A180=AV$2,'Atividades Micro'!$L180&lt;&gt;""),'Atividades Micro'!$L180,"")</f>
        <v/>
      </c>
      <c r="AW172" s="21" t="str">
        <f>IF(AND('Atividades Micro'!$B180=AW$2,'Atividades Micro'!$K180&lt;&gt;""),'Atividades Micro'!$K180,"")</f>
        <v/>
      </c>
      <c r="AX172" s="21" t="str">
        <f>IF(AND('Atividades Micro'!$B180=AX$2,'Atividades Micro'!$L180&lt;&gt;""),'Atividades Micro'!$L180,"")</f>
        <v/>
      </c>
      <c r="AY172" s="21" t="str">
        <f>IF(AND('Atividades Micro'!$A180=AY$2,'Atividades Micro'!$K180&lt;&gt;""),'Atividades Micro'!$K180,"")</f>
        <v/>
      </c>
      <c r="AZ172" s="21" t="str">
        <f>IF(AND('Atividades Micro'!$A180=AZ$2,'Atividades Micro'!$L180&lt;&gt;""),'Atividades Micro'!$L180,"")</f>
        <v/>
      </c>
      <c r="BA172" s="21" t="str">
        <f>IF(AND('Atividades Micro'!$B180=BA$2,'Atividades Micro'!$K180&lt;&gt;""),'Atividades Micro'!$K180,"")</f>
        <v/>
      </c>
      <c r="BB172" s="21" t="str">
        <f>IF(AND('Atividades Micro'!$B180=BB$2,'Atividades Micro'!$L180&lt;&gt;""),'Atividades Micro'!$L180,"")</f>
        <v/>
      </c>
      <c r="BC172" s="21" t="str">
        <f>IF(AND('Atividades Micro'!$B180=BC$2,'Atividades Micro'!$G180="Macro",'Atividades Micro'!$K180&lt;&gt;""),'Atividades Micro'!$K180,"")</f>
        <v/>
      </c>
      <c r="BD172" s="21" t="str">
        <f>IF(AND('Atividades Micro'!$B180=BD$2,'Atividades Micro'!$G180="Macro",'Atividades Micro'!$K180&lt;&gt;""),'Atividades Micro'!$K180,"")</f>
        <v/>
      </c>
      <c r="BE172" s="21" t="str">
        <f>IF(AND('Atividades Micro'!$B180=BE$2,'Atividades Micro'!$G180="Macro",'Atividades Micro'!$K180&lt;&gt;""),'Atividades Micro'!$K180,"")</f>
        <v/>
      </c>
      <c r="BF172" s="21" t="str">
        <f>IF(AND('Atividades Micro'!$B180=BF$2,'Atividades Micro'!$G180="Macro",'Atividades Micro'!$K180&lt;&gt;""),'Atividades Micro'!$K180,"")</f>
        <v/>
      </c>
      <c r="BG172" s="21" t="str">
        <f>IF(AND('Atividades Micro'!$B180=BG$2,'Atividades Micro'!$G180="Macro",'Atividades Micro'!$K180&lt;&gt;""),'Atividades Micro'!$K180,"")</f>
        <v/>
      </c>
      <c r="BH172" s="21" t="str">
        <f>IF(AND('Atividades Micro'!$B180=BH$2,'Atividades Micro'!$G180="Macro",'Atividades Micro'!$K180&lt;&gt;""),'Atividades Micro'!$K180,"")</f>
        <v/>
      </c>
      <c r="BI172" s="21" t="str">
        <f>IF(AND('Atividades Micro'!$B180=BI$2,'Atividades Micro'!$G180="Macro",'Atividades Micro'!$K180&lt;&gt;""),'Atividades Micro'!$K180,"")</f>
        <v/>
      </c>
      <c r="BJ172" s="21" t="str">
        <f>IF(AND('Atividades Micro'!$B180=BJ$2,'Atividades Micro'!$G180="Macro",'Atividades Micro'!$K180&lt;&gt;""),'Atividades Micro'!$K180,"")</f>
        <v/>
      </c>
      <c r="BK172" s="21" t="str">
        <f>IF(AND('Atividades Micro'!$B180=BK$2,'Atividades Micro'!$G180="Macro",'Atividades Micro'!$K180&lt;&gt;""),'Atividades Micro'!$K180,"")</f>
        <v/>
      </c>
      <c r="BL172" s="21" t="str">
        <f>IF(AND('Atividades Micro'!$B180=BL$2,'Atividades Micro'!$G180="Macro",'Atividades Micro'!$K180&lt;&gt;""),'Atividades Micro'!$K180,"")</f>
        <v/>
      </c>
      <c r="BM172" s="21" t="str">
        <f>IF(AND('Atividades Micro'!$B180=BM$2,'Atividades Micro'!$G180="Macro",'Atividades Micro'!$K180&lt;&gt;""),'Atividades Micro'!$K180,"")</f>
        <v/>
      </c>
      <c r="BN172" s="21" t="str">
        <f>IF(AND('Atividades Micro'!$B180=BN$2,'Atividades Micro'!$G180="Macro",'Atividades Micro'!$K180&lt;&gt;""),'Atividades Micro'!$K180,"")</f>
        <v/>
      </c>
      <c r="BO172" s="21" t="str">
        <f>IF(AND('Atividades Micro'!$B180=BO$2,'Atividades Micro'!$G180="Macro",'Atividades Micro'!$K180&lt;&gt;""),'Atividades Micro'!$K180,"")</f>
        <v/>
      </c>
      <c r="BP172" s="21" t="str">
        <f>IF(AND('Atividades Micro'!$B180=BP$2,'Atividades Micro'!$G180="Macro",'Atividades Micro'!$K180&lt;&gt;""),'Atividades Micro'!$K180,"")</f>
        <v/>
      </c>
      <c r="BQ172" s="21" t="str">
        <f>IF(AND('Atividades Micro'!$B180=BQ$2,'Atividades Micro'!$G180="Macro",'Atividades Micro'!$K180&lt;&gt;""),'Atividades Micro'!$K180,"")</f>
        <v/>
      </c>
      <c r="BR172" s="21" t="str">
        <f>IF(AND('Atividades Micro'!$B180=BR$2,'Atividades Micro'!$G180="Macro",'Atividades Micro'!$K180&lt;&gt;""),'Atividades Micro'!$K180,"")</f>
        <v/>
      </c>
      <c r="BS172" s="21" t="str">
        <f>IF(AND('Atividades Micro'!$B180=BS$2,'Atividades Micro'!$G180="Macro",'Atividades Micro'!$K180&lt;&gt;""),'Atividades Micro'!$K180,"")</f>
        <v/>
      </c>
      <c r="BT172" s="21" t="str">
        <f>IF(AND('Atividades Micro'!$B180=BT$2,'Atividades Micro'!$G180="Macro",'Atividades Micro'!$K180&lt;&gt;""),'Atividades Micro'!$K180,"")</f>
        <v/>
      </c>
      <c r="BU172" s="21" t="str">
        <f>IF(AND('Atividades Micro'!$B180=BU$2,'Atividades Micro'!$G180="Macro",'Atividades Micro'!$K180&lt;&gt;""),'Atividades Micro'!$K180,"")</f>
        <v/>
      </c>
      <c r="BV172" s="21" t="str">
        <f>IF(AND('Atividades Micro'!$B180=BV$2,'Atividades Micro'!$G180="Macro",'Atividades Micro'!$K180&lt;&gt;""),'Atividades Micro'!$K180,"")</f>
        <v/>
      </c>
      <c r="BW172" s="21" t="str">
        <f>IF(AND('Atividades Micro'!$B180=BW$2,'Atividades Micro'!$G180="Macro",'Atividades Micro'!$K180&lt;&gt;""),'Atividades Micro'!$K180,"")</f>
        <v/>
      </c>
      <c r="BX172" s="21" t="str">
        <f>IF(AND('Atividades Micro'!$B180=BX$2,'Atividades Micro'!$G180="Macro",'Atividades Micro'!$K180&lt;&gt;""),'Atividades Micro'!$K180,"")</f>
        <v/>
      </c>
      <c r="BY172" s="21" t="str">
        <f>IF(AND('Atividades Micro'!$B180=BY$2,'Atividades Micro'!$G180="Macro",'Atividades Micro'!$K180&lt;&gt;""),'Atividades Micro'!$K180,"")</f>
        <v/>
      </c>
      <c r="BZ172" s="21" t="str">
        <f>IF(AND('Atividades Micro'!$B180=BZ$2,'Atividades Micro'!$G180="Macro",'Atividades Micro'!$K180&lt;&gt;""),'Atividades Micro'!$K180,"")</f>
        <v/>
      </c>
      <c r="CA172" s="21" t="str">
        <f>IF(AND('Atividades Micro'!$B180=CA$2,'Atividades Micro'!$G180="Macro",'Atividades Micro'!$K180&lt;&gt;""),'Atividades Micro'!$K180,"")</f>
        <v/>
      </c>
      <c r="CB172" s="21" t="str">
        <f>IF(AND('Atividades Micro'!$B180=CB$2,'Atividades Micro'!$G180="Macro",'Atividades Micro'!$K180&lt;&gt;""),'Atividades Micro'!$K180,"")</f>
        <v/>
      </c>
      <c r="CC172" s="21" t="str">
        <f>IF(AND('Atividades Micro'!$B180=CC$2,'Atividades Micro'!$G180="Macro",'Atividades Micro'!$K180&lt;&gt;""),'Atividades Micro'!$K180,"")</f>
        <v/>
      </c>
      <c r="CD172" s="21" t="str">
        <f>IF(AND('Atividades Micro'!$B180=CD$2,'Atividades Micro'!$G180="Micro",'Atividades Micro'!$K180&lt;&gt;""),'Atividades Micro'!$K180,"")</f>
        <v/>
      </c>
      <c r="CE172" s="21" t="str">
        <f>IF(AND('Atividades Micro'!$B180=CE$2,'Atividades Micro'!$G180="Micro",'Atividades Micro'!$K180&lt;&gt;""),'Atividades Micro'!$K180,"")</f>
        <v/>
      </c>
      <c r="CF172" s="21" t="str">
        <f>IF(AND('Atividades Micro'!$B180=CF$2,'Atividades Micro'!$G180="Micro",'Atividades Micro'!$K180&lt;&gt;""),'Atividades Micro'!$K180,"")</f>
        <v/>
      </c>
      <c r="CG172" s="21" t="str">
        <f>IF(AND('Atividades Micro'!$B180=CG$2,'Atividades Micro'!$G180="Micro",'Atividades Micro'!$K180&lt;&gt;""),'Atividades Micro'!$K180,"")</f>
        <v/>
      </c>
      <c r="CH172" s="21" t="str">
        <f>IF(AND('Atividades Micro'!$B180=CH$2,'Atividades Micro'!$G180="Micro",'Atividades Micro'!$K180&lt;&gt;""),'Atividades Micro'!$K180,"")</f>
        <v/>
      </c>
      <c r="CI172" s="21" t="str">
        <f>IF(AND('Atividades Micro'!$B180=CI$2,'Atividades Micro'!$G180="Micro",'Atividades Micro'!$K180&lt;&gt;""),'Atividades Micro'!$K180,"")</f>
        <v/>
      </c>
      <c r="CJ172" s="21">
        <f>IF(AND('Atividades Micro'!$B180=CJ$2,'Atividades Micro'!$G180="Micro",'Atividades Micro'!$K180&lt;&gt;""),'Atividades Micro'!$K180,"")</f>
        <v>46324</v>
      </c>
      <c r="CK172" s="21" t="str">
        <f>IF(AND('Atividades Micro'!$B180=CK$2,'Atividades Micro'!$G180="Micro",'Atividades Micro'!$K180&lt;&gt;""),'Atividades Micro'!$K180,"")</f>
        <v/>
      </c>
      <c r="CL172" s="21" t="str">
        <f>IF(AND('Atividades Micro'!$B180=CL$2,'Atividades Micro'!$G180="Micro",'Atividades Micro'!$K180&lt;&gt;""),'Atividades Micro'!$K180,"")</f>
        <v/>
      </c>
      <c r="CM172" s="21" t="str">
        <f>IF(AND('Atividades Micro'!$B180=CM$2,'Atividades Micro'!$G180="Micro",'Atividades Micro'!$K180&lt;&gt;""),'Atividades Micro'!$K180,"")</f>
        <v/>
      </c>
      <c r="CN172" s="21" t="str">
        <f>IF(AND('Atividades Micro'!$B180=CN$2,'Atividades Micro'!$G180="Micro",'Atividades Micro'!$K180&lt;&gt;""),'Atividades Micro'!$K180,"")</f>
        <v/>
      </c>
      <c r="CO172" s="21" t="str">
        <f>IF(AND('Atividades Micro'!$B180=CO$2,'Atividades Micro'!$G180="Micro",'Atividades Micro'!$K180&lt;&gt;""),'Atividades Micro'!$K180,"")</f>
        <v/>
      </c>
    </row>
    <row r="173" spans="1:93">
      <c r="A173" s="21" t="str">
        <f>IF(AND('Atividades Micro'!$A181=A$2,'Atividades Micro'!$K181&lt;&gt;""),'Atividades Micro'!$K181,"")</f>
        <v/>
      </c>
      <c r="B173" s="21" t="str">
        <f>IF(AND('Atividades Micro'!$A181=B$2,'Atividades Micro'!$L181&lt;&gt;""),'Atividades Micro'!$L181,"")</f>
        <v/>
      </c>
      <c r="C173" s="21" t="str">
        <f>IF(AND('Atividades Micro'!$A181=C$2,'Atividades Micro'!$K181&lt;&gt;""),'Atividades Micro'!$K181,"")</f>
        <v/>
      </c>
      <c r="D173" s="21" t="str">
        <f>IF(AND('Atividades Micro'!$A181=D$2,'Atividades Micro'!$L181&lt;&gt;""),'Atividades Micro'!$L181,"")</f>
        <v/>
      </c>
      <c r="E173" s="21" t="str">
        <f>IF(AND('Atividades Micro'!$A181=E$2,'Atividades Micro'!$K181&lt;&gt;""),'Atividades Micro'!$K181,"")</f>
        <v/>
      </c>
      <c r="F173" s="21" t="str">
        <f>IF(AND('Atividades Micro'!$A181=F$2,'Atividades Micro'!$L181&lt;&gt;""),'Atividades Micro'!$L181,"")</f>
        <v/>
      </c>
      <c r="G173" s="21" t="str">
        <f>IF(AND('Atividades Micro'!$A181=G$2,'Atividades Micro'!$K181&lt;&gt;""),'Atividades Micro'!$K181,"")</f>
        <v/>
      </c>
      <c r="H173" s="21" t="str">
        <f>IF(AND('Atividades Micro'!$A181=H$2,'Atividades Micro'!$L181&lt;&gt;""),'Atividades Micro'!$L181,"")</f>
        <v/>
      </c>
      <c r="I173" s="21" t="str">
        <f>IF(AND('Atividades Micro'!$A181=I$2,'Atividades Micro'!$K181&lt;&gt;""),'Atividades Micro'!$K181,"")</f>
        <v/>
      </c>
      <c r="J173" s="21" t="str">
        <f>IF(AND('Atividades Micro'!$A181=J$2,'Atividades Micro'!$L181&lt;&gt;""),'Atividades Micro'!$L181,"")</f>
        <v/>
      </c>
      <c r="K173" s="21" t="str">
        <f>IF(AND('Atividades Micro'!$B181=K$2,'Atividades Micro'!$K181&lt;&gt;""),'Atividades Micro'!$K181,"")</f>
        <v/>
      </c>
      <c r="L173" s="21" t="str">
        <f>IF(AND('Atividades Micro'!$B181=L$2,'Atividades Micro'!$L181&lt;&gt;""),'Atividades Micro'!$L181,"")</f>
        <v/>
      </c>
      <c r="M173" s="21" t="str">
        <f>IF(AND('Atividades Micro'!$B181=M$2,'Atividades Micro'!$K181&lt;&gt;""),'Atividades Micro'!$K181,"")</f>
        <v/>
      </c>
      <c r="N173" s="21" t="str">
        <f>IF(AND('Atividades Micro'!$B181=N$2,'Atividades Micro'!$L181&lt;&gt;""),'Atividades Micro'!$L181,"")</f>
        <v/>
      </c>
      <c r="O173" s="21" t="str">
        <f>IF(AND('Atividades Micro'!$A181=O$2,'Atividades Micro'!$K181&lt;&gt;""),'Atividades Micro'!$K181,"")</f>
        <v/>
      </c>
      <c r="P173" s="21" t="str">
        <f>IF(AND('Atividades Micro'!$A181=P$2,'Atividades Micro'!$L181&lt;&gt;""),'Atividades Micro'!$L181,"")</f>
        <v/>
      </c>
      <c r="Q173" s="21" t="str">
        <f>IF(AND('Atividades Micro'!$B181=Q$2,'Atividades Micro'!$K181&lt;&gt;""),'Atividades Micro'!$K181,"")</f>
        <v/>
      </c>
      <c r="R173" s="21" t="str">
        <f>IF(AND('Atividades Micro'!$B181=R$2,'Atividades Micro'!$L181&lt;&gt;""),'Atividades Micro'!$L181,"")</f>
        <v/>
      </c>
      <c r="S173" s="21" t="str">
        <f>IF(AND('Atividades Micro'!$A181=S$2,'Atividades Micro'!$K181&lt;&gt;""),'Atividades Micro'!$K181,"")</f>
        <v/>
      </c>
      <c r="T173" s="21" t="str">
        <f>IF(AND('Atividades Micro'!$A181=T$2,'Atividades Micro'!$L181&lt;&gt;""),'Atividades Micro'!$L181,"")</f>
        <v/>
      </c>
      <c r="U173" s="21" t="str">
        <f>IF(AND('Atividades Micro'!$B181=U$2,'Atividades Micro'!$K181&lt;&gt;""),'Atividades Micro'!$K181,"")</f>
        <v/>
      </c>
      <c r="V173" s="21" t="str">
        <f>IF(AND('Atividades Micro'!$B181=V$2,'Atividades Micro'!$L181&lt;&gt;""),'Atividades Micro'!$L181,"")</f>
        <v/>
      </c>
      <c r="W173" s="21" t="str">
        <f>IF(AND('Atividades Micro'!$B181=W$2,'Atividades Micro'!$K181&lt;&gt;""),'Atividades Micro'!$K181,"")</f>
        <v/>
      </c>
      <c r="X173" s="21" t="str">
        <f>IF(AND('Atividades Micro'!$B181=X$2,'Atividades Micro'!$L181&lt;&gt;""),'Atividades Micro'!$L181,"")</f>
        <v/>
      </c>
      <c r="Y173" s="21">
        <f>IF(AND('Atividades Micro'!$A181=Y$2,'Atividades Micro'!$K181&lt;&gt;""),'Atividades Micro'!$K181,"")</f>
        <v>46308</v>
      </c>
      <c r="Z173" s="21">
        <f>IF(AND('Atividades Micro'!$A181=Z$2,'Atividades Micro'!$L181&lt;&gt;""),'Atividades Micro'!$L181,"")</f>
        <v>46308</v>
      </c>
      <c r="AA173" s="21" t="str">
        <f>IF(AND('Atividades Micro'!$B181=AA$2,'Atividades Micro'!$K181&lt;&gt;""),'Atividades Micro'!$K181,"")</f>
        <v/>
      </c>
      <c r="AB173" s="21" t="str">
        <f>IF(AND('Atividades Micro'!$B181=AB$2,'Atividades Micro'!$L181&lt;&gt;""),'Atividades Micro'!$L181,"")</f>
        <v/>
      </c>
      <c r="AC173" s="21">
        <f>IF(AND('Atividades Micro'!$B181=AC$2,'Atividades Micro'!$K181&lt;&gt;""),'Atividades Micro'!$K181,"")</f>
        <v>46308</v>
      </c>
      <c r="AD173" s="21">
        <f>IF(AND('Atividades Micro'!$B181=AD$2,'Atividades Micro'!$L181&lt;&gt;""),'Atividades Micro'!$L181,"")</f>
        <v>46308</v>
      </c>
      <c r="AE173" s="21" t="str">
        <f>IF(AND('Atividades Micro'!$A181=AE$2,'Atividades Micro'!$K181&lt;&gt;""),'Atividades Micro'!$K181,"")</f>
        <v/>
      </c>
      <c r="AF173" s="21" t="str">
        <f>IF(AND('Atividades Micro'!$A181=AF$2,'Atividades Micro'!$L181&lt;&gt;""),'Atividades Micro'!$L181,"")</f>
        <v/>
      </c>
      <c r="AG173" s="21" t="str">
        <f>IF(AND('Atividades Micro'!$B181=AG$2,'Atividades Micro'!$K181&lt;&gt;""),'Atividades Micro'!$K181,"")</f>
        <v/>
      </c>
      <c r="AH173" s="21" t="str">
        <f>IF(AND('Atividades Micro'!$B181=AH$2,'Atividades Micro'!$L181&lt;&gt;""),'Atividades Micro'!$L181,"")</f>
        <v/>
      </c>
      <c r="AI173" s="21" t="str">
        <f>IF(AND('Atividades Micro'!$B181=AI$2,'Atividades Micro'!$K181&lt;&gt;""),'Atividades Micro'!$K181,"")</f>
        <v/>
      </c>
      <c r="AJ173" s="21" t="str">
        <f>IF(AND('Atividades Micro'!$B181=AJ$2,'Atividades Micro'!$L181&lt;&gt;""),'Atividades Micro'!$L181,"")</f>
        <v/>
      </c>
      <c r="AK173" s="21" t="str">
        <f>IF(AND('Atividades Micro'!$A181=AK$2,'Atividades Micro'!$K181&lt;&gt;""),'Atividades Micro'!$K181,"")</f>
        <v/>
      </c>
      <c r="AL173" s="21" t="str">
        <f>IF(AND('Atividades Micro'!$A181=AL$2,'Atividades Micro'!$L181&lt;&gt;""),'Atividades Micro'!$L181,"")</f>
        <v/>
      </c>
      <c r="AM173" s="21" t="str">
        <f>IF(AND('Atividades Micro'!$B181=AM$2,'Atividades Micro'!$K181&lt;&gt;""),'Atividades Micro'!$K181,"")</f>
        <v/>
      </c>
      <c r="AN173" s="21" t="str">
        <f>IF(AND('Atividades Micro'!$B181=AN$2,'Atividades Micro'!$L181&lt;&gt;""),'Atividades Micro'!$L181,"")</f>
        <v/>
      </c>
      <c r="AO173" s="21" t="str">
        <f>IF(AND('Atividades Micro'!$B181=AO$2,'Atividades Micro'!$K181&lt;&gt;""),'Atividades Micro'!$K181,"")</f>
        <v/>
      </c>
      <c r="AP173" s="21" t="str">
        <f>IF(AND('Atividades Micro'!$B181=AP$2,'Atividades Micro'!$L181&lt;&gt;""),'Atividades Micro'!$L181,"")</f>
        <v/>
      </c>
      <c r="AQ173" s="21" t="str">
        <f>IF(AND('Atividades Micro'!$A181=AQ$2,'Atividades Micro'!$K181&lt;&gt;""),'Atividades Micro'!$K181,"")</f>
        <v/>
      </c>
      <c r="AR173" s="21" t="str">
        <f>IF(AND('Atividades Micro'!$A181=AR$2,'Atividades Micro'!$L181&lt;&gt;""),'Atividades Micro'!$L181,"")</f>
        <v/>
      </c>
      <c r="AS173" s="21" t="str">
        <f>IF(AND('Atividades Micro'!$B181=AS$2,'Atividades Micro'!$K181&lt;&gt;""),'Atividades Micro'!$K181,"")</f>
        <v/>
      </c>
      <c r="AT173" s="21" t="str">
        <f>IF(AND('Atividades Micro'!$B181=AT$2,'Atividades Micro'!$L181&lt;&gt;""),'Atividades Micro'!$L181,"")</f>
        <v/>
      </c>
      <c r="AU173" s="21" t="str">
        <f>IF(AND('Atividades Micro'!$A181=AU$2,'Atividades Micro'!$K181&lt;&gt;""),'Atividades Micro'!$K181,"")</f>
        <v/>
      </c>
      <c r="AV173" s="21" t="str">
        <f>IF(AND('Atividades Micro'!$A181=AV$2,'Atividades Micro'!$L181&lt;&gt;""),'Atividades Micro'!$L181,"")</f>
        <v/>
      </c>
      <c r="AW173" s="21" t="str">
        <f>IF(AND('Atividades Micro'!$B181=AW$2,'Atividades Micro'!$K181&lt;&gt;""),'Atividades Micro'!$K181,"")</f>
        <v/>
      </c>
      <c r="AX173" s="21" t="str">
        <f>IF(AND('Atividades Micro'!$B181=AX$2,'Atividades Micro'!$L181&lt;&gt;""),'Atividades Micro'!$L181,"")</f>
        <v/>
      </c>
      <c r="AY173" s="21" t="str">
        <f>IF(AND('Atividades Micro'!$A181=AY$2,'Atividades Micro'!$K181&lt;&gt;""),'Atividades Micro'!$K181,"")</f>
        <v/>
      </c>
      <c r="AZ173" s="21" t="str">
        <f>IF(AND('Atividades Micro'!$A181=AZ$2,'Atividades Micro'!$L181&lt;&gt;""),'Atividades Micro'!$L181,"")</f>
        <v/>
      </c>
      <c r="BA173" s="21" t="str">
        <f>IF(AND('Atividades Micro'!$B181=BA$2,'Atividades Micro'!$K181&lt;&gt;""),'Atividades Micro'!$K181,"")</f>
        <v/>
      </c>
      <c r="BB173" s="21" t="str">
        <f>IF(AND('Atividades Micro'!$B181=BB$2,'Atividades Micro'!$L181&lt;&gt;""),'Atividades Micro'!$L181,"")</f>
        <v/>
      </c>
      <c r="BC173" s="21" t="str">
        <f>IF(AND('Atividades Micro'!$B181=BC$2,'Atividades Micro'!$G181="Macro",'Atividades Micro'!$K181&lt;&gt;""),'Atividades Micro'!$K181,"")</f>
        <v/>
      </c>
      <c r="BD173" s="21" t="str">
        <f>IF(AND('Atividades Micro'!$B181=BD$2,'Atividades Micro'!$G181="Macro",'Atividades Micro'!$K181&lt;&gt;""),'Atividades Micro'!$K181,"")</f>
        <v/>
      </c>
      <c r="BE173" s="21" t="str">
        <f>IF(AND('Atividades Micro'!$B181=BE$2,'Atividades Micro'!$G181="Macro",'Atividades Micro'!$K181&lt;&gt;""),'Atividades Micro'!$K181,"")</f>
        <v/>
      </c>
      <c r="BF173" s="21" t="str">
        <f>IF(AND('Atividades Micro'!$B181=BF$2,'Atividades Micro'!$G181="Macro",'Atividades Micro'!$K181&lt;&gt;""),'Atividades Micro'!$K181,"")</f>
        <v/>
      </c>
      <c r="BG173" s="21" t="str">
        <f>IF(AND('Atividades Micro'!$B181=BG$2,'Atividades Micro'!$G181="Macro",'Atividades Micro'!$K181&lt;&gt;""),'Atividades Micro'!$K181,"")</f>
        <v/>
      </c>
      <c r="BH173" s="21" t="str">
        <f>IF(AND('Atividades Micro'!$B181=BH$2,'Atividades Micro'!$G181="Macro",'Atividades Micro'!$K181&lt;&gt;""),'Atividades Micro'!$K181,"")</f>
        <v/>
      </c>
      <c r="BI173" s="21" t="str">
        <f>IF(AND('Atividades Micro'!$B181=BI$2,'Atividades Micro'!$G181="Macro",'Atividades Micro'!$K181&lt;&gt;""),'Atividades Micro'!$K181,"")</f>
        <v/>
      </c>
      <c r="BJ173" s="21" t="str">
        <f>IF(AND('Atividades Micro'!$B181=BJ$2,'Atividades Micro'!$G181="Macro",'Atividades Micro'!$K181&lt;&gt;""),'Atividades Micro'!$K181,"")</f>
        <v/>
      </c>
      <c r="BK173" s="21" t="str">
        <f>IF(AND('Atividades Micro'!$B181=BK$2,'Atividades Micro'!$G181="Macro",'Atividades Micro'!$K181&lt;&gt;""),'Atividades Micro'!$K181,"")</f>
        <v/>
      </c>
      <c r="BL173" s="21" t="str">
        <f>IF(AND('Atividades Micro'!$B181=BL$2,'Atividades Micro'!$G181="Macro",'Atividades Micro'!$K181&lt;&gt;""),'Atividades Micro'!$K181,"")</f>
        <v/>
      </c>
      <c r="BM173" s="21" t="str">
        <f>IF(AND('Atividades Micro'!$B181=BM$2,'Atividades Micro'!$G181="Macro",'Atividades Micro'!$K181&lt;&gt;""),'Atividades Micro'!$K181,"")</f>
        <v/>
      </c>
      <c r="BN173" s="21" t="str">
        <f>IF(AND('Atividades Micro'!$B181=BN$2,'Atividades Micro'!$G181="Macro",'Atividades Micro'!$K181&lt;&gt;""),'Atividades Micro'!$K181,"")</f>
        <v/>
      </c>
      <c r="BO173" s="21" t="str">
        <f>IF(AND('Atividades Micro'!$B181=BO$2,'Atividades Micro'!$G181="Macro",'Atividades Micro'!$K181&lt;&gt;""),'Atividades Micro'!$K181,"")</f>
        <v/>
      </c>
      <c r="BP173" s="21" t="str">
        <f>IF(AND('Atividades Micro'!$B181=BP$2,'Atividades Micro'!$G181="Macro",'Atividades Micro'!$K181&lt;&gt;""),'Atividades Micro'!$K181,"")</f>
        <v/>
      </c>
      <c r="BQ173" s="21" t="str">
        <f>IF(AND('Atividades Micro'!$B181=BQ$2,'Atividades Micro'!$G181="Macro",'Atividades Micro'!$K181&lt;&gt;""),'Atividades Micro'!$K181,"")</f>
        <v/>
      </c>
      <c r="BR173" s="21" t="str">
        <f>IF(AND('Atividades Micro'!$B181=BR$2,'Atividades Micro'!$G181="Macro",'Atividades Micro'!$K181&lt;&gt;""),'Atividades Micro'!$K181,"")</f>
        <v/>
      </c>
      <c r="BS173" s="21" t="str">
        <f>IF(AND('Atividades Micro'!$B181=BS$2,'Atividades Micro'!$G181="Macro",'Atividades Micro'!$K181&lt;&gt;""),'Atividades Micro'!$K181,"")</f>
        <v/>
      </c>
      <c r="BT173" s="21" t="str">
        <f>IF(AND('Atividades Micro'!$B181=BT$2,'Atividades Micro'!$G181="Macro",'Atividades Micro'!$K181&lt;&gt;""),'Atividades Micro'!$K181,"")</f>
        <v/>
      </c>
      <c r="BU173" s="21" t="str">
        <f>IF(AND('Atividades Micro'!$B181=BU$2,'Atividades Micro'!$G181="Macro",'Atividades Micro'!$K181&lt;&gt;""),'Atividades Micro'!$K181,"")</f>
        <v/>
      </c>
      <c r="BV173" s="21" t="str">
        <f>IF(AND('Atividades Micro'!$B181=BV$2,'Atividades Micro'!$G181="Macro",'Atividades Micro'!$K181&lt;&gt;""),'Atividades Micro'!$K181,"")</f>
        <v/>
      </c>
      <c r="BW173" s="21" t="str">
        <f>IF(AND('Atividades Micro'!$B181=BW$2,'Atividades Micro'!$G181="Macro",'Atividades Micro'!$K181&lt;&gt;""),'Atividades Micro'!$K181,"")</f>
        <v/>
      </c>
      <c r="BX173" s="21" t="str">
        <f>IF(AND('Atividades Micro'!$B181=BX$2,'Atividades Micro'!$G181="Macro",'Atividades Micro'!$K181&lt;&gt;""),'Atividades Micro'!$K181,"")</f>
        <v/>
      </c>
      <c r="BY173" s="21" t="str">
        <f>IF(AND('Atividades Micro'!$B181=BY$2,'Atividades Micro'!$G181="Macro",'Atividades Micro'!$K181&lt;&gt;""),'Atividades Micro'!$K181,"")</f>
        <v/>
      </c>
      <c r="BZ173" s="21" t="str">
        <f>IF(AND('Atividades Micro'!$B181=BZ$2,'Atividades Micro'!$G181="Macro",'Atividades Micro'!$K181&lt;&gt;""),'Atividades Micro'!$K181,"")</f>
        <v/>
      </c>
      <c r="CA173" s="21" t="str">
        <f>IF(AND('Atividades Micro'!$B181=CA$2,'Atividades Micro'!$G181="Macro",'Atividades Micro'!$K181&lt;&gt;""),'Atividades Micro'!$K181,"")</f>
        <v/>
      </c>
      <c r="CB173" s="21" t="str">
        <f>IF(AND('Atividades Micro'!$B181=CB$2,'Atividades Micro'!$G181="Macro",'Atividades Micro'!$K181&lt;&gt;""),'Atividades Micro'!$K181,"")</f>
        <v/>
      </c>
      <c r="CC173" s="21" t="str">
        <f>IF(AND('Atividades Micro'!$B181=CC$2,'Atividades Micro'!$G181="Macro",'Atividades Micro'!$K181&lt;&gt;""),'Atividades Micro'!$K181,"")</f>
        <v/>
      </c>
      <c r="CD173" s="21" t="str">
        <f>IF(AND('Atividades Micro'!$B181=CD$2,'Atividades Micro'!$G181="Micro",'Atividades Micro'!$K181&lt;&gt;""),'Atividades Micro'!$K181,"")</f>
        <v/>
      </c>
      <c r="CE173" s="21" t="str">
        <f>IF(AND('Atividades Micro'!$B181=CE$2,'Atividades Micro'!$G181="Micro",'Atividades Micro'!$K181&lt;&gt;""),'Atividades Micro'!$K181,"")</f>
        <v/>
      </c>
      <c r="CF173" s="21" t="str">
        <f>IF(AND('Atividades Micro'!$B181=CF$2,'Atividades Micro'!$G181="Micro",'Atividades Micro'!$K181&lt;&gt;""),'Atividades Micro'!$K181,"")</f>
        <v/>
      </c>
      <c r="CG173" s="21" t="str">
        <f>IF(AND('Atividades Micro'!$B181=CG$2,'Atividades Micro'!$G181="Micro",'Atividades Micro'!$K181&lt;&gt;""),'Atividades Micro'!$K181,"")</f>
        <v/>
      </c>
      <c r="CH173" s="21" t="str">
        <f>IF(AND('Atividades Micro'!$B181=CH$2,'Atividades Micro'!$G181="Micro",'Atividades Micro'!$K181&lt;&gt;""),'Atividades Micro'!$K181,"")</f>
        <v/>
      </c>
      <c r="CI173" s="21" t="str">
        <f>IF(AND('Atividades Micro'!$B181=CI$2,'Atividades Micro'!$G181="Micro",'Atividades Micro'!$K181&lt;&gt;""),'Atividades Micro'!$K181,"")</f>
        <v/>
      </c>
      <c r="CJ173" s="21">
        <f>IF(AND('Atividades Micro'!$B181=CJ$2,'Atividades Micro'!$G181="Micro",'Atividades Micro'!$K181&lt;&gt;""),'Atividades Micro'!$K181,"")</f>
        <v>46308</v>
      </c>
      <c r="CK173" s="21" t="str">
        <f>IF(AND('Atividades Micro'!$B181=CK$2,'Atividades Micro'!$G181="Micro",'Atividades Micro'!$K181&lt;&gt;""),'Atividades Micro'!$K181,"")</f>
        <v/>
      </c>
      <c r="CL173" s="21" t="str">
        <f>IF(AND('Atividades Micro'!$B181=CL$2,'Atividades Micro'!$G181="Micro",'Atividades Micro'!$K181&lt;&gt;""),'Atividades Micro'!$K181,"")</f>
        <v/>
      </c>
      <c r="CM173" s="21" t="str">
        <f>IF(AND('Atividades Micro'!$B181=CM$2,'Atividades Micro'!$G181="Micro",'Atividades Micro'!$K181&lt;&gt;""),'Atividades Micro'!$K181,"")</f>
        <v/>
      </c>
      <c r="CN173" s="21" t="str">
        <f>IF(AND('Atividades Micro'!$B181=CN$2,'Atividades Micro'!$G181="Micro",'Atividades Micro'!$K181&lt;&gt;""),'Atividades Micro'!$K181,"")</f>
        <v/>
      </c>
      <c r="CO173" s="21" t="str">
        <f>IF(AND('Atividades Micro'!$B181=CO$2,'Atividades Micro'!$G181="Micro",'Atividades Micro'!$K181&lt;&gt;""),'Atividades Micro'!$K181,"")</f>
        <v/>
      </c>
    </row>
    <row r="174" spans="1:93">
      <c r="A174" s="21" t="str">
        <f>IF(AND('Atividades Micro'!$A182=A$2,'Atividades Micro'!$K182&lt;&gt;""),'Atividades Micro'!$K182,"")</f>
        <v/>
      </c>
      <c r="B174" s="21" t="str">
        <f>IF(AND('Atividades Micro'!$A182=B$2,'Atividades Micro'!$L182&lt;&gt;""),'Atividades Micro'!$L182,"")</f>
        <v/>
      </c>
      <c r="C174" s="21" t="str">
        <f>IF(AND('Atividades Micro'!$A182=C$2,'Atividades Micro'!$K182&lt;&gt;""),'Atividades Micro'!$K182,"")</f>
        <v/>
      </c>
      <c r="D174" s="21" t="str">
        <f>IF(AND('Atividades Micro'!$A182=D$2,'Atividades Micro'!$L182&lt;&gt;""),'Atividades Micro'!$L182,"")</f>
        <v/>
      </c>
      <c r="E174" s="21" t="str">
        <f>IF(AND('Atividades Micro'!$A182=E$2,'Atividades Micro'!$K182&lt;&gt;""),'Atividades Micro'!$K182,"")</f>
        <v/>
      </c>
      <c r="F174" s="21" t="str">
        <f>IF(AND('Atividades Micro'!$A182=F$2,'Atividades Micro'!$L182&lt;&gt;""),'Atividades Micro'!$L182,"")</f>
        <v/>
      </c>
      <c r="G174" s="21" t="str">
        <f>IF(AND('Atividades Micro'!$A182=G$2,'Atividades Micro'!$K182&lt;&gt;""),'Atividades Micro'!$K182,"")</f>
        <v/>
      </c>
      <c r="H174" s="21" t="str">
        <f>IF(AND('Atividades Micro'!$A182=H$2,'Atividades Micro'!$L182&lt;&gt;""),'Atividades Micro'!$L182,"")</f>
        <v/>
      </c>
      <c r="I174" s="21" t="str">
        <f>IF(AND('Atividades Micro'!$A182=I$2,'Atividades Micro'!$K182&lt;&gt;""),'Atividades Micro'!$K182,"")</f>
        <v/>
      </c>
      <c r="J174" s="21" t="str">
        <f>IF(AND('Atividades Micro'!$A182=J$2,'Atividades Micro'!$L182&lt;&gt;""),'Atividades Micro'!$L182,"")</f>
        <v/>
      </c>
      <c r="K174" s="21" t="str">
        <f>IF(AND('Atividades Micro'!$B182=K$2,'Atividades Micro'!$K182&lt;&gt;""),'Atividades Micro'!$K182,"")</f>
        <v/>
      </c>
      <c r="L174" s="21" t="str">
        <f>IF(AND('Atividades Micro'!$B182=L$2,'Atividades Micro'!$L182&lt;&gt;""),'Atividades Micro'!$L182,"")</f>
        <v/>
      </c>
      <c r="M174" s="21" t="str">
        <f>IF(AND('Atividades Micro'!$B182=M$2,'Atividades Micro'!$K182&lt;&gt;""),'Atividades Micro'!$K182,"")</f>
        <v/>
      </c>
      <c r="N174" s="21" t="str">
        <f>IF(AND('Atividades Micro'!$B182=N$2,'Atividades Micro'!$L182&lt;&gt;""),'Atividades Micro'!$L182,"")</f>
        <v/>
      </c>
      <c r="O174" s="21" t="str">
        <f>IF(AND('Atividades Micro'!$A182=O$2,'Atividades Micro'!$K182&lt;&gt;""),'Atividades Micro'!$K182,"")</f>
        <v/>
      </c>
      <c r="P174" s="21" t="str">
        <f>IF(AND('Atividades Micro'!$A182=P$2,'Atividades Micro'!$L182&lt;&gt;""),'Atividades Micro'!$L182,"")</f>
        <v/>
      </c>
      <c r="Q174" s="21" t="str">
        <f>IF(AND('Atividades Micro'!$B182=Q$2,'Atividades Micro'!$K182&lt;&gt;""),'Atividades Micro'!$K182,"")</f>
        <v/>
      </c>
      <c r="R174" s="21" t="str">
        <f>IF(AND('Atividades Micro'!$B182=R$2,'Atividades Micro'!$L182&lt;&gt;""),'Atividades Micro'!$L182,"")</f>
        <v/>
      </c>
      <c r="S174" s="21" t="str">
        <f>IF(AND('Atividades Micro'!$A182=S$2,'Atividades Micro'!$K182&lt;&gt;""),'Atividades Micro'!$K182,"")</f>
        <v/>
      </c>
      <c r="T174" s="21" t="str">
        <f>IF(AND('Atividades Micro'!$A182=T$2,'Atividades Micro'!$L182&lt;&gt;""),'Atividades Micro'!$L182,"")</f>
        <v/>
      </c>
      <c r="U174" s="21" t="str">
        <f>IF(AND('Atividades Micro'!$B182=U$2,'Atividades Micro'!$K182&lt;&gt;""),'Atividades Micro'!$K182,"")</f>
        <v/>
      </c>
      <c r="V174" s="21" t="str">
        <f>IF(AND('Atividades Micro'!$B182=V$2,'Atividades Micro'!$L182&lt;&gt;""),'Atividades Micro'!$L182,"")</f>
        <v/>
      </c>
      <c r="W174" s="21" t="str">
        <f>IF(AND('Atividades Micro'!$B182=W$2,'Atividades Micro'!$K182&lt;&gt;""),'Atividades Micro'!$K182,"")</f>
        <v/>
      </c>
      <c r="X174" s="21" t="str">
        <f>IF(AND('Atividades Micro'!$B182=X$2,'Atividades Micro'!$L182&lt;&gt;""),'Atividades Micro'!$L182,"")</f>
        <v/>
      </c>
      <c r="Y174" s="21">
        <f>IF(AND('Atividades Micro'!$A182=Y$2,'Atividades Micro'!$K182&lt;&gt;""),'Atividades Micro'!$K182,"")</f>
        <v>46314</v>
      </c>
      <c r="Z174" s="21">
        <f>IF(AND('Atividades Micro'!$A182=Z$2,'Atividades Micro'!$L182&lt;&gt;""),'Atividades Micro'!$L182,"")</f>
        <v>46317</v>
      </c>
      <c r="AA174" s="21" t="str">
        <f>IF(AND('Atividades Micro'!$B182=AA$2,'Atividades Micro'!$K182&lt;&gt;""),'Atividades Micro'!$K182,"")</f>
        <v/>
      </c>
      <c r="AB174" s="21" t="str">
        <f>IF(AND('Atividades Micro'!$B182=AB$2,'Atividades Micro'!$L182&lt;&gt;""),'Atividades Micro'!$L182,"")</f>
        <v/>
      </c>
      <c r="AC174" s="21">
        <f>IF(AND('Atividades Micro'!$B182=AC$2,'Atividades Micro'!$K182&lt;&gt;""),'Atividades Micro'!$K182,"")</f>
        <v>46314</v>
      </c>
      <c r="AD174" s="21">
        <f>IF(AND('Atividades Micro'!$B182=AD$2,'Atividades Micro'!$L182&lt;&gt;""),'Atividades Micro'!$L182,"")</f>
        <v>46317</v>
      </c>
      <c r="AE174" s="21" t="str">
        <f>IF(AND('Atividades Micro'!$A182=AE$2,'Atividades Micro'!$K182&lt;&gt;""),'Atividades Micro'!$K182,"")</f>
        <v/>
      </c>
      <c r="AF174" s="21" t="str">
        <f>IF(AND('Atividades Micro'!$A182=AF$2,'Atividades Micro'!$L182&lt;&gt;""),'Atividades Micro'!$L182,"")</f>
        <v/>
      </c>
      <c r="AG174" s="21" t="str">
        <f>IF(AND('Atividades Micro'!$B182=AG$2,'Atividades Micro'!$K182&lt;&gt;""),'Atividades Micro'!$K182,"")</f>
        <v/>
      </c>
      <c r="AH174" s="21" t="str">
        <f>IF(AND('Atividades Micro'!$B182=AH$2,'Atividades Micro'!$L182&lt;&gt;""),'Atividades Micro'!$L182,"")</f>
        <v/>
      </c>
      <c r="AI174" s="21" t="str">
        <f>IF(AND('Atividades Micro'!$B182=AI$2,'Atividades Micro'!$K182&lt;&gt;""),'Atividades Micro'!$K182,"")</f>
        <v/>
      </c>
      <c r="AJ174" s="21" t="str">
        <f>IF(AND('Atividades Micro'!$B182=AJ$2,'Atividades Micro'!$L182&lt;&gt;""),'Atividades Micro'!$L182,"")</f>
        <v/>
      </c>
      <c r="AK174" s="21" t="str">
        <f>IF(AND('Atividades Micro'!$A182=AK$2,'Atividades Micro'!$K182&lt;&gt;""),'Atividades Micro'!$K182,"")</f>
        <v/>
      </c>
      <c r="AL174" s="21" t="str">
        <f>IF(AND('Atividades Micro'!$A182=AL$2,'Atividades Micro'!$L182&lt;&gt;""),'Atividades Micro'!$L182,"")</f>
        <v/>
      </c>
      <c r="AM174" s="21" t="str">
        <f>IF(AND('Atividades Micro'!$B182=AM$2,'Atividades Micro'!$K182&lt;&gt;""),'Atividades Micro'!$K182,"")</f>
        <v/>
      </c>
      <c r="AN174" s="21" t="str">
        <f>IF(AND('Atividades Micro'!$B182=AN$2,'Atividades Micro'!$L182&lt;&gt;""),'Atividades Micro'!$L182,"")</f>
        <v/>
      </c>
      <c r="AO174" s="21" t="str">
        <f>IF(AND('Atividades Micro'!$B182=AO$2,'Atividades Micro'!$K182&lt;&gt;""),'Atividades Micro'!$K182,"")</f>
        <v/>
      </c>
      <c r="AP174" s="21" t="str">
        <f>IF(AND('Atividades Micro'!$B182=AP$2,'Atividades Micro'!$L182&lt;&gt;""),'Atividades Micro'!$L182,"")</f>
        <v/>
      </c>
      <c r="AQ174" s="21" t="str">
        <f>IF(AND('Atividades Micro'!$A182=AQ$2,'Atividades Micro'!$K182&lt;&gt;""),'Atividades Micro'!$K182,"")</f>
        <v/>
      </c>
      <c r="AR174" s="21" t="str">
        <f>IF(AND('Atividades Micro'!$A182=AR$2,'Atividades Micro'!$L182&lt;&gt;""),'Atividades Micro'!$L182,"")</f>
        <v/>
      </c>
      <c r="AS174" s="21" t="str">
        <f>IF(AND('Atividades Micro'!$B182=AS$2,'Atividades Micro'!$K182&lt;&gt;""),'Atividades Micro'!$K182,"")</f>
        <v/>
      </c>
      <c r="AT174" s="21" t="str">
        <f>IF(AND('Atividades Micro'!$B182=AT$2,'Atividades Micro'!$L182&lt;&gt;""),'Atividades Micro'!$L182,"")</f>
        <v/>
      </c>
      <c r="AU174" s="21" t="str">
        <f>IF(AND('Atividades Micro'!$A182=AU$2,'Atividades Micro'!$K182&lt;&gt;""),'Atividades Micro'!$K182,"")</f>
        <v/>
      </c>
      <c r="AV174" s="21" t="str">
        <f>IF(AND('Atividades Micro'!$A182=AV$2,'Atividades Micro'!$L182&lt;&gt;""),'Atividades Micro'!$L182,"")</f>
        <v/>
      </c>
      <c r="AW174" s="21" t="str">
        <f>IF(AND('Atividades Micro'!$B182=AW$2,'Atividades Micro'!$K182&lt;&gt;""),'Atividades Micro'!$K182,"")</f>
        <v/>
      </c>
      <c r="AX174" s="21" t="str">
        <f>IF(AND('Atividades Micro'!$B182=AX$2,'Atividades Micro'!$L182&lt;&gt;""),'Atividades Micro'!$L182,"")</f>
        <v/>
      </c>
      <c r="AY174" s="21" t="str">
        <f>IF(AND('Atividades Micro'!$A182=AY$2,'Atividades Micro'!$K182&lt;&gt;""),'Atividades Micro'!$K182,"")</f>
        <v/>
      </c>
      <c r="AZ174" s="21" t="str">
        <f>IF(AND('Atividades Micro'!$A182=AZ$2,'Atividades Micro'!$L182&lt;&gt;""),'Atividades Micro'!$L182,"")</f>
        <v/>
      </c>
      <c r="BA174" s="21" t="str">
        <f>IF(AND('Atividades Micro'!$B182=BA$2,'Atividades Micro'!$K182&lt;&gt;""),'Atividades Micro'!$K182,"")</f>
        <v/>
      </c>
      <c r="BB174" s="21" t="str">
        <f>IF(AND('Atividades Micro'!$B182=BB$2,'Atividades Micro'!$L182&lt;&gt;""),'Atividades Micro'!$L182,"")</f>
        <v/>
      </c>
      <c r="BC174" s="21" t="str">
        <f>IF(AND('Atividades Micro'!$B182=BC$2,'Atividades Micro'!$G182="Macro",'Atividades Micro'!$K182&lt;&gt;""),'Atividades Micro'!$K182,"")</f>
        <v/>
      </c>
      <c r="BD174" s="21" t="str">
        <f>IF(AND('Atividades Micro'!$B182=BD$2,'Atividades Micro'!$G182="Macro",'Atividades Micro'!$K182&lt;&gt;""),'Atividades Micro'!$K182,"")</f>
        <v/>
      </c>
      <c r="BE174" s="21" t="str">
        <f>IF(AND('Atividades Micro'!$B182=BE$2,'Atividades Micro'!$G182="Macro",'Atividades Micro'!$K182&lt;&gt;""),'Atividades Micro'!$K182,"")</f>
        <v/>
      </c>
      <c r="BF174" s="21" t="str">
        <f>IF(AND('Atividades Micro'!$B182=BF$2,'Atividades Micro'!$G182="Macro",'Atividades Micro'!$K182&lt;&gt;""),'Atividades Micro'!$K182,"")</f>
        <v/>
      </c>
      <c r="BG174" s="21" t="str">
        <f>IF(AND('Atividades Micro'!$B182=BG$2,'Atividades Micro'!$G182="Macro",'Atividades Micro'!$K182&lt;&gt;""),'Atividades Micro'!$K182,"")</f>
        <v/>
      </c>
      <c r="BH174" s="21" t="str">
        <f>IF(AND('Atividades Micro'!$B182=BH$2,'Atividades Micro'!$G182="Macro",'Atividades Micro'!$K182&lt;&gt;""),'Atividades Micro'!$K182,"")</f>
        <v/>
      </c>
      <c r="BI174" s="21" t="str">
        <f>IF(AND('Atividades Micro'!$B182=BI$2,'Atividades Micro'!$G182="Macro",'Atividades Micro'!$K182&lt;&gt;""),'Atividades Micro'!$K182,"")</f>
        <v/>
      </c>
      <c r="BJ174" s="21" t="str">
        <f>IF(AND('Atividades Micro'!$B182=BJ$2,'Atividades Micro'!$G182="Macro",'Atividades Micro'!$K182&lt;&gt;""),'Atividades Micro'!$K182,"")</f>
        <v/>
      </c>
      <c r="BK174" s="21" t="str">
        <f>IF(AND('Atividades Micro'!$B182=BK$2,'Atividades Micro'!$G182="Macro",'Atividades Micro'!$K182&lt;&gt;""),'Atividades Micro'!$K182,"")</f>
        <v/>
      </c>
      <c r="BL174" s="21" t="str">
        <f>IF(AND('Atividades Micro'!$B182=BL$2,'Atividades Micro'!$G182="Macro",'Atividades Micro'!$K182&lt;&gt;""),'Atividades Micro'!$K182,"")</f>
        <v/>
      </c>
      <c r="BM174" s="21" t="str">
        <f>IF(AND('Atividades Micro'!$B182=BM$2,'Atividades Micro'!$G182="Macro",'Atividades Micro'!$K182&lt;&gt;""),'Atividades Micro'!$K182,"")</f>
        <v/>
      </c>
      <c r="BN174" s="21" t="str">
        <f>IF(AND('Atividades Micro'!$B182=BN$2,'Atividades Micro'!$G182="Macro",'Atividades Micro'!$K182&lt;&gt;""),'Atividades Micro'!$K182,"")</f>
        <v/>
      </c>
      <c r="BO174" s="21" t="str">
        <f>IF(AND('Atividades Micro'!$B182=BO$2,'Atividades Micro'!$G182="Macro",'Atividades Micro'!$K182&lt;&gt;""),'Atividades Micro'!$K182,"")</f>
        <v/>
      </c>
      <c r="BP174" s="21" t="str">
        <f>IF(AND('Atividades Micro'!$B182=BP$2,'Atividades Micro'!$G182="Macro",'Atividades Micro'!$K182&lt;&gt;""),'Atividades Micro'!$K182,"")</f>
        <v/>
      </c>
      <c r="BQ174" s="21" t="str">
        <f>IF(AND('Atividades Micro'!$B182=BQ$2,'Atividades Micro'!$G182="Macro",'Atividades Micro'!$K182&lt;&gt;""),'Atividades Micro'!$K182,"")</f>
        <v/>
      </c>
      <c r="BR174" s="21" t="str">
        <f>IF(AND('Atividades Micro'!$B182=BR$2,'Atividades Micro'!$G182="Macro",'Atividades Micro'!$K182&lt;&gt;""),'Atividades Micro'!$K182,"")</f>
        <v/>
      </c>
      <c r="BS174" s="21" t="str">
        <f>IF(AND('Atividades Micro'!$B182=BS$2,'Atividades Micro'!$G182="Macro",'Atividades Micro'!$K182&lt;&gt;""),'Atividades Micro'!$K182,"")</f>
        <v/>
      </c>
      <c r="BT174" s="21" t="str">
        <f>IF(AND('Atividades Micro'!$B182=BT$2,'Atividades Micro'!$G182="Macro",'Atividades Micro'!$K182&lt;&gt;""),'Atividades Micro'!$K182,"")</f>
        <v/>
      </c>
      <c r="BU174" s="21" t="str">
        <f>IF(AND('Atividades Micro'!$B182=BU$2,'Atividades Micro'!$G182="Macro",'Atividades Micro'!$K182&lt;&gt;""),'Atividades Micro'!$K182,"")</f>
        <v/>
      </c>
      <c r="BV174" s="21" t="str">
        <f>IF(AND('Atividades Micro'!$B182=BV$2,'Atividades Micro'!$G182="Macro",'Atividades Micro'!$K182&lt;&gt;""),'Atividades Micro'!$K182,"")</f>
        <v/>
      </c>
      <c r="BW174" s="21" t="str">
        <f>IF(AND('Atividades Micro'!$B182=BW$2,'Atividades Micro'!$G182="Macro",'Atividades Micro'!$K182&lt;&gt;""),'Atividades Micro'!$K182,"")</f>
        <v/>
      </c>
      <c r="BX174" s="21" t="str">
        <f>IF(AND('Atividades Micro'!$B182=BX$2,'Atividades Micro'!$G182="Macro",'Atividades Micro'!$K182&lt;&gt;""),'Atividades Micro'!$K182,"")</f>
        <v/>
      </c>
      <c r="BY174" s="21" t="str">
        <f>IF(AND('Atividades Micro'!$B182=BY$2,'Atividades Micro'!$G182="Macro",'Atividades Micro'!$K182&lt;&gt;""),'Atividades Micro'!$K182,"")</f>
        <v/>
      </c>
      <c r="BZ174" s="21" t="str">
        <f>IF(AND('Atividades Micro'!$B182=BZ$2,'Atividades Micro'!$G182="Macro",'Atividades Micro'!$K182&lt;&gt;""),'Atividades Micro'!$K182,"")</f>
        <v/>
      </c>
      <c r="CA174" s="21" t="str">
        <f>IF(AND('Atividades Micro'!$B182=CA$2,'Atividades Micro'!$G182="Macro",'Atividades Micro'!$K182&lt;&gt;""),'Atividades Micro'!$K182,"")</f>
        <v/>
      </c>
      <c r="CB174" s="21" t="str">
        <f>IF(AND('Atividades Micro'!$B182=CB$2,'Atividades Micro'!$G182="Macro",'Atividades Micro'!$K182&lt;&gt;""),'Atividades Micro'!$K182,"")</f>
        <v/>
      </c>
      <c r="CC174" s="21" t="str">
        <f>IF(AND('Atividades Micro'!$B182=CC$2,'Atividades Micro'!$G182="Macro",'Atividades Micro'!$K182&lt;&gt;""),'Atividades Micro'!$K182,"")</f>
        <v/>
      </c>
      <c r="CD174" s="21" t="str">
        <f>IF(AND('Atividades Micro'!$B182=CD$2,'Atividades Micro'!$G182="Micro",'Atividades Micro'!$K182&lt;&gt;""),'Atividades Micro'!$K182,"")</f>
        <v/>
      </c>
      <c r="CE174" s="21" t="str">
        <f>IF(AND('Atividades Micro'!$B182=CE$2,'Atividades Micro'!$G182="Micro",'Atividades Micro'!$K182&lt;&gt;""),'Atividades Micro'!$K182,"")</f>
        <v/>
      </c>
      <c r="CF174" s="21" t="str">
        <f>IF(AND('Atividades Micro'!$B182=CF$2,'Atividades Micro'!$G182="Micro",'Atividades Micro'!$K182&lt;&gt;""),'Atividades Micro'!$K182,"")</f>
        <v/>
      </c>
      <c r="CG174" s="21" t="str">
        <f>IF(AND('Atividades Micro'!$B182=CG$2,'Atividades Micro'!$G182="Micro",'Atividades Micro'!$K182&lt;&gt;""),'Atividades Micro'!$K182,"")</f>
        <v/>
      </c>
      <c r="CH174" s="21" t="str">
        <f>IF(AND('Atividades Micro'!$B182=CH$2,'Atividades Micro'!$G182="Micro",'Atividades Micro'!$K182&lt;&gt;""),'Atividades Micro'!$K182,"")</f>
        <v/>
      </c>
      <c r="CI174" s="21" t="str">
        <f>IF(AND('Atividades Micro'!$B182=CI$2,'Atividades Micro'!$G182="Micro",'Atividades Micro'!$K182&lt;&gt;""),'Atividades Micro'!$K182,"")</f>
        <v/>
      </c>
      <c r="CJ174" s="21">
        <f>IF(AND('Atividades Micro'!$B182=CJ$2,'Atividades Micro'!$G182="Micro",'Atividades Micro'!$K182&lt;&gt;""),'Atividades Micro'!$K182,"")</f>
        <v>46314</v>
      </c>
      <c r="CK174" s="21" t="str">
        <f>IF(AND('Atividades Micro'!$B182=CK$2,'Atividades Micro'!$G182="Micro",'Atividades Micro'!$K182&lt;&gt;""),'Atividades Micro'!$K182,"")</f>
        <v/>
      </c>
      <c r="CL174" s="21" t="str">
        <f>IF(AND('Atividades Micro'!$B182=CL$2,'Atividades Micro'!$G182="Micro",'Atividades Micro'!$K182&lt;&gt;""),'Atividades Micro'!$K182,"")</f>
        <v/>
      </c>
      <c r="CM174" s="21" t="str">
        <f>IF(AND('Atividades Micro'!$B182=CM$2,'Atividades Micro'!$G182="Micro",'Atividades Micro'!$K182&lt;&gt;""),'Atividades Micro'!$K182,"")</f>
        <v/>
      </c>
      <c r="CN174" s="21" t="str">
        <f>IF(AND('Atividades Micro'!$B182=CN$2,'Atividades Micro'!$G182="Micro",'Atividades Micro'!$K182&lt;&gt;""),'Atividades Micro'!$K182,"")</f>
        <v/>
      </c>
      <c r="CO174" s="21" t="str">
        <f>IF(AND('Atividades Micro'!$B182=CO$2,'Atividades Micro'!$G182="Micro",'Atividades Micro'!$K182&lt;&gt;""),'Atividades Micro'!$K182,"")</f>
        <v/>
      </c>
    </row>
    <row r="175" spans="1:93">
      <c r="A175" s="21" t="str">
        <f>IF(AND('Atividades Micro'!$A183=A$2,'Atividades Micro'!$K183&lt;&gt;""),'Atividades Micro'!$K183,"")</f>
        <v/>
      </c>
      <c r="B175" s="21" t="str">
        <f>IF(AND('Atividades Micro'!$A183=B$2,'Atividades Micro'!$L183&lt;&gt;""),'Atividades Micro'!$L183,"")</f>
        <v/>
      </c>
      <c r="C175" s="21" t="str">
        <f>IF(AND('Atividades Micro'!$A183=C$2,'Atividades Micro'!$K183&lt;&gt;""),'Atividades Micro'!$K183,"")</f>
        <v/>
      </c>
      <c r="D175" s="21" t="str">
        <f>IF(AND('Atividades Micro'!$A183=D$2,'Atividades Micro'!$L183&lt;&gt;""),'Atividades Micro'!$L183,"")</f>
        <v/>
      </c>
      <c r="E175" s="21" t="str">
        <f>IF(AND('Atividades Micro'!$A183=E$2,'Atividades Micro'!$K183&lt;&gt;""),'Atividades Micro'!$K183,"")</f>
        <v/>
      </c>
      <c r="F175" s="21" t="str">
        <f>IF(AND('Atividades Micro'!$A183=F$2,'Atividades Micro'!$L183&lt;&gt;""),'Atividades Micro'!$L183,"")</f>
        <v/>
      </c>
      <c r="G175" s="21" t="str">
        <f>IF(AND('Atividades Micro'!$A183=G$2,'Atividades Micro'!$K183&lt;&gt;""),'Atividades Micro'!$K183,"")</f>
        <v/>
      </c>
      <c r="H175" s="21" t="str">
        <f>IF(AND('Atividades Micro'!$A183=H$2,'Atividades Micro'!$L183&lt;&gt;""),'Atividades Micro'!$L183,"")</f>
        <v/>
      </c>
      <c r="I175" s="21" t="str">
        <f>IF(AND('Atividades Micro'!$A183=I$2,'Atividades Micro'!$K183&lt;&gt;""),'Atividades Micro'!$K183,"")</f>
        <v/>
      </c>
      <c r="J175" s="21" t="str">
        <f>IF(AND('Atividades Micro'!$A183=J$2,'Atividades Micro'!$L183&lt;&gt;""),'Atividades Micro'!$L183,"")</f>
        <v/>
      </c>
      <c r="K175" s="21" t="str">
        <f>IF(AND('Atividades Micro'!$B183=K$2,'Atividades Micro'!$K183&lt;&gt;""),'Atividades Micro'!$K183,"")</f>
        <v/>
      </c>
      <c r="L175" s="21" t="str">
        <f>IF(AND('Atividades Micro'!$B183=L$2,'Atividades Micro'!$L183&lt;&gt;""),'Atividades Micro'!$L183,"")</f>
        <v/>
      </c>
      <c r="M175" s="21" t="str">
        <f>IF(AND('Atividades Micro'!$B183=M$2,'Atividades Micro'!$K183&lt;&gt;""),'Atividades Micro'!$K183,"")</f>
        <v/>
      </c>
      <c r="N175" s="21" t="str">
        <f>IF(AND('Atividades Micro'!$B183=N$2,'Atividades Micro'!$L183&lt;&gt;""),'Atividades Micro'!$L183,"")</f>
        <v/>
      </c>
      <c r="O175" s="21" t="str">
        <f>IF(AND('Atividades Micro'!$A183=O$2,'Atividades Micro'!$K183&lt;&gt;""),'Atividades Micro'!$K183,"")</f>
        <v/>
      </c>
      <c r="P175" s="21" t="str">
        <f>IF(AND('Atividades Micro'!$A183=P$2,'Atividades Micro'!$L183&lt;&gt;""),'Atividades Micro'!$L183,"")</f>
        <v/>
      </c>
      <c r="Q175" s="21" t="str">
        <f>IF(AND('Atividades Micro'!$B183=Q$2,'Atividades Micro'!$K183&lt;&gt;""),'Atividades Micro'!$K183,"")</f>
        <v/>
      </c>
      <c r="R175" s="21" t="str">
        <f>IF(AND('Atividades Micro'!$B183=R$2,'Atividades Micro'!$L183&lt;&gt;""),'Atividades Micro'!$L183,"")</f>
        <v/>
      </c>
      <c r="S175" s="21" t="str">
        <f>IF(AND('Atividades Micro'!$A183=S$2,'Atividades Micro'!$K183&lt;&gt;""),'Atividades Micro'!$K183,"")</f>
        <v/>
      </c>
      <c r="T175" s="21" t="str">
        <f>IF(AND('Atividades Micro'!$A183=T$2,'Atividades Micro'!$L183&lt;&gt;""),'Atividades Micro'!$L183,"")</f>
        <v/>
      </c>
      <c r="U175" s="21" t="str">
        <f>IF(AND('Atividades Micro'!$B183=U$2,'Atividades Micro'!$K183&lt;&gt;""),'Atividades Micro'!$K183,"")</f>
        <v/>
      </c>
      <c r="V175" s="21" t="str">
        <f>IF(AND('Atividades Micro'!$B183=V$2,'Atividades Micro'!$L183&lt;&gt;""),'Atividades Micro'!$L183,"")</f>
        <v/>
      </c>
      <c r="W175" s="21" t="str">
        <f>IF(AND('Atividades Micro'!$B183=W$2,'Atividades Micro'!$K183&lt;&gt;""),'Atividades Micro'!$K183,"")</f>
        <v/>
      </c>
      <c r="X175" s="21" t="str">
        <f>IF(AND('Atividades Micro'!$B183=X$2,'Atividades Micro'!$L183&lt;&gt;""),'Atividades Micro'!$L183,"")</f>
        <v/>
      </c>
      <c r="Y175" s="21">
        <f>IF(AND('Atividades Micro'!$A183=Y$2,'Atividades Micro'!$K183&lt;&gt;""),'Atividades Micro'!$K183,"")</f>
        <v>46338</v>
      </c>
      <c r="Z175" s="21" t="str">
        <f>IF(AND('Atividades Micro'!$A183=Z$2,'Atividades Micro'!$L183&lt;&gt;""),'Atividades Micro'!$L183,"")</f>
        <v/>
      </c>
      <c r="AA175" s="21" t="str">
        <f>IF(AND('Atividades Micro'!$B183=AA$2,'Atividades Micro'!$K183&lt;&gt;""),'Atividades Micro'!$K183,"")</f>
        <v/>
      </c>
      <c r="AB175" s="21" t="str">
        <f>IF(AND('Atividades Micro'!$B183=AB$2,'Atividades Micro'!$L183&lt;&gt;""),'Atividades Micro'!$L183,"")</f>
        <v/>
      </c>
      <c r="AC175" s="21">
        <f>IF(AND('Atividades Micro'!$B183=AC$2,'Atividades Micro'!$K183&lt;&gt;""),'Atividades Micro'!$K183,"")</f>
        <v>46338</v>
      </c>
      <c r="AD175" s="21" t="str">
        <f>IF(AND('Atividades Micro'!$B183=AD$2,'Atividades Micro'!$L183&lt;&gt;""),'Atividades Micro'!$L183,"")</f>
        <v/>
      </c>
      <c r="AE175" s="21" t="str">
        <f>IF(AND('Atividades Micro'!$A183=AE$2,'Atividades Micro'!$K183&lt;&gt;""),'Atividades Micro'!$K183,"")</f>
        <v/>
      </c>
      <c r="AF175" s="21" t="str">
        <f>IF(AND('Atividades Micro'!$A183=AF$2,'Atividades Micro'!$L183&lt;&gt;""),'Atividades Micro'!$L183,"")</f>
        <v/>
      </c>
      <c r="AG175" s="21" t="str">
        <f>IF(AND('Atividades Micro'!$B183=AG$2,'Atividades Micro'!$K183&lt;&gt;""),'Atividades Micro'!$K183,"")</f>
        <v/>
      </c>
      <c r="AH175" s="21" t="str">
        <f>IF(AND('Atividades Micro'!$B183=AH$2,'Atividades Micro'!$L183&lt;&gt;""),'Atividades Micro'!$L183,"")</f>
        <v/>
      </c>
      <c r="AI175" s="21" t="str">
        <f>IF(AND('Atividades Micro'!$B183=AI$2,'Atividades Micro'!$K183&lt;&gt;""),'Atividades Micro'!$K183,"")</f>
        <v/>
      </c>
      <c r="AJ175" s="21" t="str">
        <f>IF(AND('Atividades Micro'!$B183=AJ$2,'Atividades Micro'!$L183&lt;&gt;""),'Atividades Micro'!$L183,"")</f>
        <v/>
      </c>
      <c r="AK175" s="21" t="str">
        <f>IF(AND('Atividades Micro'!$A183=AK$2,'Atividades Micro'!$K183&lt;&gt;""),'Atividades Micro'!$K183,"")</f>
        <v/>
      </c>
      <c r="AL175" s="21" t="str">
        <f>IF(AND('Atividades Micro'!$A183=AL$2,'Atividades Micro'!$L183&lt;&gt;""),'Atividades Micro'!$L183,"")</f>
        <v/>
      </c>
      <c r="AM175" s="21" t="str">
        <f>IF(AND('Atividades Micro'!$B183=AM$2,'Atividades Micro'!$K183&lt;&gt;""),'Atividades Micro'!$K183,"")</f>
        <v/>
      </c>
      <c r="AN175" s="21" t="str">
        <f>IF(AND('Atividades Micro'!$B183=AN$2,'Atividades Micro'!$L183&lt;&gt;""),'Atividades Micro'!$L183,"")</f>
        <v/>
      </c>
      <c r="AO175" s="21" t="str">
        <f>IF(AND('Atividades Micro'!$B183=AO$2,'Atividades Micro'!$K183&lt;&gt;""),'Atividades Micro'!$K183,"")</f>
        <v/>
      </c>
      <c r="AP175" s="21" t="str">
        <f>IF(AND('Atividades Micro'!$B183=AP$2,'Atividades Micro'!$L183&lt;&gt;""),'Atividades Micro'!$L183,"")</f>
        <v/>
      </c>
      <c r="AQ175" s="21" t="str">
        <f>IF(AND('Atividades Micro'!$A183=AQ$2,'Atividades Micro'!$K183&lt;&gt;""),'Atividades Micro'!$K183,"")</f>
        <v/>
      </c>
      <c r="AR175" s="21" t="str">
        <f>IF(AND('Atividades Micro'!$A183=AR$2,'Atividades Micro'!$L183&lt;&gt;""),'Atividades Micro'!$L183,"")</f>
        <v/>
      </c>
      <c r="AS175" s="21" t="str">
        <f>IF(AND('Atividades Micro'!$B183=AS$2,'Atividades Micro'!$K183&lt;&gt;""),'Atividades Micro'!$K183,"")</f>
        <v/>
      </c>
      <c r="AT175" s="21" t="str">
        <f>IF(AND('Atividades Micro'!$B183=AT$2,'Atividades Micro'!$L183&lt;&gt;""),'Atividades Micro'!$L183,"")</f>
        <v/>
      </c>
      <c r="AU175" s="21" t="str">
        <f>IF(AND('Atividades Micro'!$A183=AU$2,'Atividades Micro'!$K183&lt;&gt;""),'Atividades Micro'!$K183,"")</f>
        <v/>
      </c>
      <c r="AV175" s="21" t="str">
        <f>IF(AND('Atividades Micro'!$A183=AV$2,'Atividades Micro'!$L183&lt;&gt;""),'Atividades Micro'!$L183,"")</f>
        <v/>
      </c>
      <c r="AW175" s="21" t="str">
        <f>IF(AND('Atividades Micro'!$B183=AW$2,'Atividades Micro'!$K183&lt;&gt;""),'Atividades Micro'!$K183,"")</f>
        <v/>
      </c>
      <c r="AX175" s="21" t="str">
        <f>IF(AND('Atividades Micro'!$B183=AX$2,'Atividades Micro'!$L183&lt;&gt;""),'Atividades Micro'!$L183,"")</f>
        <v/>
      </c>
      <c r="AY175" s="21" t="str">
        <f>IF(AND('Atividades Micro'!$A183=AY$2,'Atividades Micro'!$K183&lt;&gt;""),'Atividades Micro'!$K183,"")</f>
        <v/>
      </c>
      <c r="AZ175" s="21" t="str">
        <f>IF(AND('Atividades Micro'!$A183=AZ$2,'Atividades Micro'!$L183&lt;&gt;""),'Atividades Micro'!$L183,"")</f>
        <v/>
      </c>
      <c r="BA175" s="21" t="str">
        <f>IF(AND('Atividades Micro'!$B183=BA$2,'Atividades Micro'!$K183&lt;&gt;""),'Atividades Micro'!$K183,"")</f>
        <v/>
      </c>
      <c r="BB175" s="21" t="str">
        <f>IF(AND('Atividades Micro'!$B183=BB$2,'Atividades Micro'!$L183&lt;&gt;""),'Atividades Micro'!$L183,"")</f>
        <v/>
      </c>
      <c r="BC175" s="21" t="str">
        <f>IF(AND('Atividades Micro'!$B183=BC$2,'Atividades Micro'!$G183="Macro",'Atividades Micro'!$K183&lt;&gt;""),'Atividades Micro'!$K183,"")</f>
        <v/>
      </c>
      <c r="BD175" s="21" t="str">
        <f>IF(AND('Atividades Micro'!$B183=BD$2,'Atividades Micro'!$G183="Macro",'Atividades Micro'!$K183&lt;&gt;""),'Atividades Micro'!$K183,"")</f>
        <v/>
      </c>
      <c r="BE175" s="21" t="str">
        <f>IF(AND('Atividades Micro'!$B183=BE$2,'Atividades Micro'!$G183="Macro",'Atividades Micro'!$K183&lt;&gt;""),'Atividades Micro'!$K183,"")</f>
        <v/>
      </c>
      <c r="BF175" s="21" t="str">
        <f>IF(AND('Atividades Micro'!$B183=BF$2,'Atividades Micro'!$G183="Macro",'Atividades Micro'!$K183&lt;&gt;""),'Atividades Micro'!$K183,"")</f>
        <v/>
      </c>
      <c r="BG175" s="21" t="str">
        <f>IF(AND('Atividades Micro'!$B183=BG$2,'Atividades Micro'!$G183="Macro",'Atividades Micro'!$K183&lt;&gt;""),'Atividades Micro'!$K183,"")</f>
        <v/>
      </c>
      <c r="BH175" s="21" t="str">
        <f>IF(AND('Atividades Micro'!$B183=BH$2,'Atividades Micro'!$G183="Macro",'Atividades Micro'!$K183&lt;&gt;""),'Atividades Micro'!$K183,"")</f>
        <v/>
      </c>
      <c r="BI175" s="21" t="str">
        <f>IF(AND('Atividades Micro'!$B183=BI$2,'Atividades Micro'!$G183="Macro",'Atividades Micro'!$K183&lt;&gt;""),'Atividades Micro'!$K183,"")</f>
        <v/>
      </c>
      <c r="BJ175" s="21" t="str">
        <f>IF(AND('Atividades Micro'!$B183=BJ$2,'Atividades Micro'!$G183="Macro",'Atividades Micro'!$K183&lt;&gt;""),'Atividades Micro'!$K183,"")</f>
        <v/>
      </c>
      <c r="BK175" s="21" t="str">
        <f>IF(AND('Atividades Micro'!$B183=BK$2,'Atividades Micro'!$G183="Macro",'Atividades Micro'!$K183&lt;&gt;""),'Atividades Micro'!$K183,"")</f>
        <v/>
      </c>
      <c r="BL175" s="21" t="str">
        <f>IF(AND('Atividades Micro'!$B183=BL$2,'Atividades Micro'!$G183="Macro",'Atividades Micro'!$K183&lt;&gt;""),'Atividades Micro'!$K183,"")</f>
        <v/>
      </c>
      <c r="BM175" s="21" t="str">
        <f>IF(AND('Atividades Micro'!$B183=BM$2,'Atividades Micro'!$G183="Macro",'Atividades Micro'!$K183&lt;&gt;""),'Atividades Micro'!$K183,"")</f>
        <v/>
      </c>
      <c r="BN175" s="21" t="str">
        <f>IF(AND('Atividades Micro'!$B183=BN$2,'Atividades Micro'!$G183="Macro",'Atividades Micro'!$K183&lt;&gt;""),'Atividades Micro'!$K183,"")</f>
        <v/>
      </c>
      <c r="BO175" s="21" t="str">
        <f>IF(AND('Atividades Micro'!$B183=BO$2,'Atividades Micro'!$G183="Macro",'Atividades Micro'!$K183&lt;&gt;""),'Atividades Micro'!$K183,"")</f>
        <v/>
      </c>
      <c r="BP175" s="21" t="str">
        <f>IF(AND('Atividades Micro'!$B183=BP$2,'Atividades Micro'!$G183="Macro",'Atividades Micro'!$K183&lt;&gt;""),'Atividades Micro'!$K183,"")</f>
        <v/>
      </c>
      <c r="BQ175" s="21" t="str">
        <f>IF(AND('Atividades Micro'!$B183=BQ$2,'Atividades Micro'!$G183="Macro",'Atividades Micro'!$K183&lt;&gt;""),'Atividades Micro'!$K183,"")</f>
        <v/>
      </c>
      <c r="BR175" s="21" t="str">
        <f>IF(AND('Atividades Micro'!$B183=BR$2,'Atividades Micro'!$G183="Macro",'Atividades Micro'!$K183&lt;&gt;""),'Atividades Micro'!$K183,"")</f>
        <v/>
      </c>
      <c r="BS175" s="21" t="str">
        <f>IF(AND('Atividades Micro'!$B183=BS$2,'Atividades Micro'!$G183="Macro",'Atividades Micro'!$K183&lt;&gt;""),'Atividades Micro'!$K183,"")</f>
        <v/>
      </c>
      <c r="BT175" s="21" t="str">
        <f>IF(AND('Atividades Micro'!$B183=BT$2,'Atividades Micro'!$G183="Macro",'Atividades Micro'!$K183&lt;&gt;""),'Atividades Micro'!$K183,"")</f>
        <v/>
      </c>
      <c r="BU175" s="21" t="str">
        <f>IF(AND('Atividades Micro'!$B183=BU$2,'Atividades Micro'!$G183="Macro",'Atividades Micro'!$K183&lt;&gt;""),'Atividades Micro'!$K183,"")</f>
        <v/>
      </c>
      <c r="BV175" s="21" t="str">
        <f>IF(AND('Atividades Micro'!$B183=BV$2,'Atividades Micro'!$G183="Macro",'Atividades Micro'!$K183&lt;&gt;""),'Atividades Micro'!$K183,"")</f>
        <v/>
      </c>
      <c r="BW175" s="21" t="str">
        <f>IF(AND('Atividades Micro'!$B183=BW$2,'Atividades Micro'!$G183="Macro",'Atividades Micro'!$K183&lt;&gt;""),'Atividades Micro'!$K183,"")</f>
        <v/>
      </c>
      <c r="BX175" s="21" t="str">
        <f>IF(AND('Atividades Micro'!$B183=BX$2,'Atividades Micro'!$G183="Macro",'Atividades Micro'!$K183&lt;&gt;""),'Atividades Micro'!$K183,"")</f>
        <v/>
      </c>
      <c r="BY175" s="21" t="str">
        <f>IF(AND('Atividades Micro'!$B183=BY$2,'Atividades Micro'!$G183="Macro",'Atividades Micro'!$K183&lt;&gt;""),'Atividades Micro'!$K183,"")</f>
        <v/>
      </c>
      <c r="BZ175" s="21" t="str">
        <f>IF(AND('Atividades Micro'!$B183=BZ$2,'Atividades Micro'!$G183="Macro",'Atividades Micro'!$K183&lt;&gt;""),'Atividades Micro'!$K183,"")</f>
        <v/>
      </c>
      <c r="CA175" s="21" t="str">
        <f>IF(AND('Atividades Micro'!$B183=CA$2,'Atividades Micro'!$G183="Macro",'Atividades Micro'!$K183&lt;&gt;""),'Atividades Micro'!$K183,"")</f>
        <v/>
      </c>
      <c r="CB175" s="21" t="str">
        <f>IF(AND('Atividades Micro'!$B183=CB$2,'Atividades Micro'!$G183="Macro",'Atividades Micro'!$K183&lt;&gt;""),'Atividades Micro'!$K183,"")</f>
        <v/>
      </c>
      <c r="CC175" s="21" t="str">
        <f>IF(AND('Atividades Micro'!$B183=CC$2,'Atividades Micro'!$G183="Macro",'Atividades Micro'!$K183&lt;&gt;""),'Atividades Micro'!$K183,"")</f>
        <v/>
      </c>
      <c r="CD175" s="21" t="str">
        <f>IF(AND('Atividades Micro'!$B183=CD$2,'Atividades Micro'!$G183="Micro",'Atividades Micro'!$K183&lt;&gt;""),'Atividades Micro'!$K183,"")</f>
        <v/>
      </c>
      <c r="CE175" s="21" t="str">
        <f>IF(AND('Atividades Micro'!$B183=CE$2,'Atividades Micro'!$G183="Micro",'Atividades Micro'!$K183&lt;&gt;""),'Atividades Micro'!$K183,"")</f>
        <v/>
      </c>
      <c r="CF175" s="21" t="str">
        <f>IF(AND('Atividades Micro'!$B183=CF$2,'Atividades Micro'!$G183="Micro",'Atividades Micro'!$K183&lt;&gt;""),'Atividades Micro'!$K183,"")</f>
        <v/>
      </c>
      <c r="CG175" s="21" t="str">
        <f>IF(AND('Atividades Micro'!$B183=CG$2,'Atividades Micro'!$G183="Micro",'Atividades Micro'!$K183&lt;&gt;""),'Atividades Micro'!$K183,"")</f>
        <v/>
      </c>
      <c r="CH175" s="21" t="str">
        <f>IF(AND('Atividades Micro'!$B183=CH$2,'Atividades Micro'!$G183="Micro",'Atividades Micro'!$K183&lt;&gt;""),'Atividades Micro'!$K183,"")</f>
        <v/>
      </c>
      <c r="CI175" s="21" t="str">
        <f>IF(AND('Atividades Micro'!$B183=CI$2,'Atividades Micro'!$G183="Micro",'Atividades Micro'!$K183&lt;&gt;""),'Atividades Micro'!$K183,"")</f>
        <v/>
      </c>
      <c r="CJ175" s="21">
        <f>IF(AND('Atividades Micro'!$B183=CJ$2,'Atividades Micro'!$G183="Micro",'Atividades Micro'!$K183&lt;&gt;""),'Atividades Micro'!$K183,"")</f>
        <v>46338</v>
      </c>
      <c r="CK175" s="21" t="str">
        <f>IF(AND('Atividades Micro'!$B183=CK$2,'Atividades Micro'!$G183="Micro",'Atividades Micro'!$K183&lt;&gt;""),'Atividades Micro'!$K183,"")</f>
        <v/>
      </c>
      <c r="CL175" s="21" t="str">
        <f>IF(AND('Atividades Micro'!$B183=CL$2,'Atividades Micro'!$G183="Micro",'Atividades Micro'!$K183&lt;&gt;""),'Atividades Micro'!$K183,"")</f>
        <v/>
      </c>
      <c r="CM175" s="21" t="str">
        <f>IF(AND('Atividades Micro'!$B183=CM$2,'Atividades Micro'!$G183="Micro",'Atividades Micro'!$K183&lt;&gt;""),'Atividades Micro'!$K183,"")</f>
        <v/>
      </c>
      <c r="CN175" s="21" t="str">
        <f>IF(AND('Atividades Micro'!$B183=CN$2,'Atividades Micro'!$G183="Micro",'Atividades Micro'!$K183&lt;&gt;""),'Atividades Micro'!$K183,"")</f>
        <v/>
      </c>
      <c r="CO175" s="21" t="str">
        <f>IF(AND('Atividades Micro'!$B183=CO$2,'Atividades Micro'!$G183="Micro",'Atividades Micro'!$K183&lt;&gt;""),'Atividades Micro'!$K183,"")</f>
        <v/>
      </c>
    </row>
    <row r="176" spans="1:93">
      <c r="A176" s="21" t="str">
        <f>IF(AND('Atividades Micro'!$A184=A$2,'Atividades Micro'!$K184&lt;&gt;""),'Atividades Micro'!$K184,"")</f>
        <v/>
      </c>
      <c r="B176" s="21" t="str">
        <f>IF(AND('Atividades Micro'!$A184=B$2,'Atividades Micro'!$L184&lt;&gt;""),'Atividades Micro'!$L184,"")</f>
        <v/>
      </c>
      <c r="C176" s="21" t="str">
        <f>IF(AND('Atividades Micro'!$A184=C$2,'Atividades Micro'!$K184&lt;&gt;""),'Atividades Micro'!$K184,"")</f>
        <v/>
      </c>
      <c r="D176" s="21" t="str">
        <f>IF(AND('Atividades Micro'!$A184=D$2,'Atividades Micro'!$L184&lt;&gt;""),'Atividades Micro'!$L184,"")</f>
        <v/>
      </c>
      <c r="E176" s="21" t="str">
        <f>IF(AND('Atividades Micro'!$A184=E$2,'Atividades Micro'!$K184&lt;&gt;""),'Atividades Micro'!$K184,"")</f>
        <v/>
      </c>
      <c r="F176" s="21" t="str">
        <f>IF(AND('Atividades Micro'!$A184=F$2,'Atividades Micro'!$L184&lt;&gt;""),'Atividades Micro'!$L184,"")</f>
        <v/>
      </c>
      <c r="G176" s="21" t="str">
        <f>IF(AND('Atividades Micro'!$A184=G$2,'Atividades Micro'!$K184&lt;&gt;""),'Atividades Micro'!$K184,"")</f>
        <v/>
      </c>
      <c r="H176" s="21" t="str">
        <f>IF(AND('Atividades Micro'!$A184=H$2,'Atividades Micro'!$L184&lt;&gt;""),'Atividades Micro'!$L184,"")</f>
        <v/>
      </c>
      <c r="I176" s="21" t="str">
        <f>IF(AND('Atividades Micro'!$A184=I$2,'Atividades Micro'!$K184&lt;&gt;""),'Atividades Micro'!$K184,"")</f>
        <v/>
      </c>
      <c r="J176" s="21" t="str">
        <f>IF(AND('Atividades Micro'!$A184=J$2,'Atividades Micro'!$L184&lt;&gt;""),'Atividades Micro'!$L184,"")</f>
        <v/>
      </c>
      <c r="K176" s="21" t="str">
        <f>IF(AND('Atividades Micro'!$B184=K$2,'Atividades Micro'!$K184&lt;&gt;""),'Atividades Micro'!$K184,"")</f>
        <v/>
      </c>
      <c r="L176" s="21" t="str">
        <f>IF(AND('Atividades Micro'!$B184=L$2,'Atividades Micro'!$L184&lt;&gt;""),'Atividades Micro'!$L184,"")</f>
        <v/>
      </c>
      <c r="M176" s="21" t="str">
        <f>IF(AND('Atividades Micro'!$B184=M$2,'Atividades Micro'!$K184&lt;&gt;""),'Atividades Micro'!$K184,"")</f>
        <v/>
      </c>
      <c r="N176" s="21" t="str">
        <f>IF(AND('Atividades Micro'!$B184=N$2,'Atividades Micro'!$L184&lt;&gt;""),'Atividades Micro'!$L184,"")</f>
        <v/>
      </c>
      <c r="O176" s="21" t="str">
        <f>IF(AND('Atividades Micro'!$A184=O$2,'Atividades Micro'!$K184&lt;&gt;""),'Atividades Micro'!$K184,"")</f>
        <v/>
      </c>
      <c r="P176" s="21" t="str">
        <f>IF(AND('Atividades Micro'!$A184=P$2,'Atividades Micro'!$L184&lt;&gt;""),'Atividades Micro'!$L184,"")</f>
        <v/>
      </c>
      <c r="Q176" s="21" t="str">
        <f>IF(AND('Atividades Micro'!$B184=Q$2,'Atividades Micro'!$K184&lt;&gt;""),'Atividades Micro'!$K184,"")</f>
        <v/>
      </c>
      <c r="R176" s="21" t="str">
        <f>IF(AND('Atividades Micro'!$B184=R$2,'Atividades Micro'!$L184&lt;&gt;""),'Atividades Micro'!$L184,"")</f>
        <v/>
      </c>
      <c r="S176" s="21" t="str">
        <f>IF(AND('Atividades Micro'!$A184=S$2,'Atividades Micro'!$K184&lt;&gt;""),'Atividades Micro'!$K184,"")</f>
        <v/>
      </c>
      <c r="T176" s="21" t="str">
        <f>IF(AND('Atividades Micro'!$A184=T$2,'Atividades Micro'!$L184&lt;&gt;""),'Atividades Micro'!$L184,"")</f>
        <v/>
      </c>
      <c r="U176" s="21" t="str">
        <f>IF(AND('Atividades Micro'!$B184=U$2,'Atividades Micro'!$K184&lt;&gt;""),'Atividades Micro'!$K184,"")</f>
        <v/>
      </c>
      <c r="V176" s="21" t="str">
        <f>IF(AND('Atividades Micro'!$B184=V$2,'Atividades Micro'!$L184&lt;&gt;""),'Atividades Micro'!$L184,"")</f>
        <v/>
      </c>
      <c r="W176" s="21" t="str">
        <f>IF(AND('Atividades Micro'!$B184=W$2,'Atividades Micro'!$K184&lt;&gt;""),'Atividades Micro'!$K184,"")</f>
        <v/>
      </c>
      <c r="X176" s="21" t="str">
        <f>IF(AND('Atividades Micro'!$B184=X$2,'Atividades Micro'!$L184&lt;&gt;""),'Atividades Micro'!$L184,"")</f>
        <v/>
      </c>
      <c r="Y176" s="21" t="str">
        <f>IF(AND('Atividades Micro'!$A184=Y$2,'Atividades Micro'!$K184&lt;&gt;""),'Atividades Micro'!$K184,"")</f>
        <v/>
      </c>
      <c r="Z176" s="21" t="str">
        <f>IF(AND('Atividades Micro'!$A184=Z$2,'Atividades Micro'!$L184&lt;&gt;""),'Atividades Micro'!$L184,"")</f>
        <v/>
      </c>
      <c r="AA176" s="21" t="str">
        <f>IF(AND('Atividades Micro'!$B184=AA$2,'Atividades Micro'!$K184&lt;&gt;""),'Atividades Micro'!$K184,"")</f>
        <v/>
      </c>
      <c r="AB176" s="21" t="str">
        <f>IF(AND('Atividades Micro'!$B184=AB$2,'Atividades Micro'!$L184&lt;&gt;""),'Atividades Micro'!$L184,"")</f>
        <v/>
      </c>
      <c r="AC176" s="21" t="str">
        <f>IF(AND('Atividades Micro'!$B184=AC$2,'Atividades Micro'!$K184&lt;&gt;""),'Atividades Micro'!$K184,"")</f>
        <v/>
      </c>
      <c r="AD176" s="21" t="str">
        <f>IF(AND('Atividades Micro'!$B184=AD$2,'Atividades Micro'!$L184&lt;&gt;""),'Atividades Micro'!$L184,"")</f>
        <v/>
      </c>
      <c r="AE176" s="21" t="str">
        <f>IF(AND('Atividades Micro'!$A184=AE$2,'Atividades Micro'!$K184&lt;&gt;""),'Atividades Micro'!$K184,"")</f>
        <v/>
      </c>
      <c r="AF176" s="21" t="str">
        <f>IF(AND('Atividades Micro'!$A184=AF$2,'Atividades Micro'!$L184&lt;&gt;""),'Atividades Micro'!$L184,"")</f>
        <v/>
      </c>
      <c r="AG176" s="21" t="str">
        <f>IF(AND('Atividades Micro'!$B184=AG$2,'Atividades Micro'!$K184&lt;&gt;""),'Atividades Micro'!$K184,"")</f>
        <v/>
      </c>
      <c r="AH176" s="21" t="str">
        <f>IF(AND('Atividades Micro'!$B184=AH$2,'Atividades Micro'!$L184&lt;&gt;""),'Atividades Micro'!$L184,"")</f>
        <v/>
      </c>
      <c r="AI176" s="21" t="str">
        <f>IF(AND('Atividades Micro'!$B184=AI$2,'Atividades Micro'!$K184&lt;&gt;""),'Atividades Micro'!$K184,"")</f>
        <v/>
      </c>
      <c r="AJ176" s="21" t="str">
        <f>IF(AND('Atividades Micro'!$B184=AJ$2,'Atividades Micro'!$L184&lt;&gt;""),'Atividades Micro'!$L184,"")</f>
        <v/>
      </c>
      <c r="AK176" s="21" t="str">
        <f>IF(AND('Atividades Micro'!$A184=AK$2,'Atividades Micro'!$K184&lt;&gt;""),'Atividades Micro'!$K184,"")</f>
        <v/>
      </c>
      <c r="AL176" s="21" t="str">
        <f>IF(AND('Atividades Micro'!$A184=AL$2,'Atividades Micro'!$L184&lt;&gt;""),'Atividades Micro'!$L184,"")</f>
        <v/>
      </c>
      <c r="AM176" s="21" t="str">
        <f>IF(AND('Atividades Micro'!$B184=AM$2,'Atividades Micro'!$K184&lt;&gt;""),'Atividades Micro'!$K184,"")</f>
        <v/>
      </c>
      <c r="AN176" s="21" t="str">
        <f>IF(AND('Atividades Micro'!$B184=AN$2,'Atividades Micro'!$L184&lt;&gt;""),'Atividades Micro'!$L184,"")</f>
        <v/>
      </c>
      <c r="AO176" s="21" t="str">
        <f>IF(AND('Atividades Micro'!$B184=AO$2,'Atividades Micro'!$K184&lt;&gt;""),'Atividades Micro'!$K184,"")</f>
        <v/>
      </c>
      <c r="AP176" s="21" t="str">
        <f>IF(AND('Atividades Micro'!$B184=AP$2,'Atividades Micro'!$L184&lt;&gt;""),'Atividades Micro'!$L184,"")</f>
        <v/>
      </c>
      <c r="AQ176" s="21" t="str">
        <f>IF(AND('Atividades Micro'!$A184=AQ$2,'Atividades Micro'!$K184&lt;&gt;""),'Atividades Micro'!$K184,"")</f>
        <v/>
      </c>
      <c r="AR176" s="21" t="str">
        <f>IF(AND('Atividades Micro'!$A184=AR$2,'Atividades Micro'!$L184&lt;&gt;""),'Atividades Micro'!$L184,"")</f>
        <v/>
      </c>
      <c r="AS176" s="21" t="str">
        <f>IF(AND('Atividades Micro'!$B184=AS$2,'Atividades Micro'!$K184&lt;&gt;""),'Atividades Micro'!$K184,"")</f>
        <v/>
      </c>
      <c r="AT176" s="21" t="str">
        <f>IF(AND('Atividades Micro'!$B184=AT$2,'Atividades Micro'!$L184&lt;&gt;""),'Atividades Micro'!$L184,"")</f>
        <v/>
      </c>
      <c r="AU176" s="21" t="str">
        <f>IF(AND('Atividades Micro'!$A184=AU$2,'Atividades Micro'!$K184&lt;&gt;""),'Atividades Micro'!$K184,"")</f>
        <v/>
      </c>
      <c r="AV176" s="21" t="str">
        <f>IF(AND('Atividades Micro'!$A184=AV$2,'Atividades Micro'!$L184&lt;&gt;""),'Atividades Micro'!$L184,"")</f>
        <v/>
      </c>
      <c r="AW176" s="21" t="str">
        <f>IF(AND('Atividades Micro'!$B184=AW$2,'Atividades Micro'!$K184&lt;&gt;""),'Atividades Micro'!$K184,"")</f>
        <v/>
      </c>
      <c r="AX176" s="21" t="str">
        <f>IF(AND('Atividades Micro'!$B184=AX$2,'Atividades Micro'!$L184&lt;&gt;""),'Atividades Micro'!$L184,"")</f>
        <v/>
      </c>
      <c r="AY176" s="21" t="str">
        <f>IF(AND('Atividades Micro'!$A184=AY$2,'Atividades Micro'!$K184&lt;&gt;""),'Atividades Micro'!$K184,"")</f>
        <v/>
      </c>
      <c r="AZ176" s="21" t="str">
        <f>IF(AND('Atividades Micro'!$A184=AZ$2,'Atividades Micro'!$L184&lt;&gt;""),'Atividades Micro'!$L184,"")</f>
        <v/>
      </c>
      <c r="BA176" s="21" t="str">
        <f>IF(AND('Atividades Micro'!$B184=BA$2,'Atividades Micro'!$K184&lt;&gt;""),'Atividades Micro'!$K184,"")</f>
        <v/>
      </c>
      <c r="BB176" s="21" t="str">
        <f>IF(AND('Atividades Micro'!$B184=BB$2,'Atividades Micro'!$L184&lt;&gt;""),'Atividades Micro'!$L184,"")</f>
        <v/>
      </c>
      <c r="BC176" s="21" t="str">
        <f>IF(AND('Atividades Micro'!$B184=BC$2,'Atividades Micro'!$G184="Macro",'Atividades Micro'!$K184&lt;&gt;""),'Atividades Micro'!$K184,"")</f>
        <v/>
      </c>
      <c r="BD176" s="21" t="str">
        <f>IF(AND('Atividades Micro'!$B184=BD$2,'Atividades Micro'!$G184="Macro",'Atividades Micro'!$K184&lt;&gt;""),'Atividades Micro'!$K184,"")</f>
        <v/>
      </c>
      <c r="BE176" s="21" t="str">
        <f>IF(AND('Atividades Micro'!$B184=BE$2,'Atividades Micro'!$G184="Macro",'Atividades Micro'!$K184&lt;&gt;""),'Atividades Micro'!$K184,"")</f>
        <v/>
      </c>
      <c r="BF176" s="21" t="str">
        <f>IF(AND('Atividades Micro'!$B184=BF$2,'Atividades Micro'!$G184="Macro",'Atividades Micro'!$K184&lt;&gt;""),'Atividades Micro'!$K184,"")</f>
        <v/>
      </c>
      <c r="BG176" s="21" t="str">
        <f>IF(AND('Atividades Micro'!$B184=BG$2,'Atividades Micro'!$G184="Macro",'Atividades Micro'!$K184&lt;&gt;""),'Atividades Micro'!$K184,"")</f>
        <v/>
      </c>
      <c r="BH176" s="21" t="str">
        <f>IF(AND('Atividades Micro'!$B184=BH$2,'Atividades Micro'!$G184="Macro",'Atividades Micro'!$K184&lt;&gt;""),'Atividades Micro'!$K184,"")</f>
        <v/>
      </c>
      <c r="BI176" s="21" t="str">
        <f>IF(AND('Atividades Micro'!$B184=BI$2,'Atividades Micro'!$G184="Macro",'Atividades Micro'!$K184&lt;&gt;""),'Atividades Micro'!$K184,"")</f>
        <v/>
      </c>
      <c r="BJ176" s="21" t="str">
        <f>IF(AND('Atividades Micro'!$B184=BJ$2,'Atividades Micro'!$G184="Macro",'Atividades Micro'!$K184&lt;&gt;""),'Atividades Micro'!$K184,"")</f>
        <v/>
      </c>
      <c r="BK176" s="21" t="str">
        <f>IF(AND('Atividades Micro'!$B184=BK$2,'Atividades Micro'!$G184="Macro",'Atividades Micro'!$K184&lt;&gt;""),'Atividades Micro'!$K184,"")</f>
        <v/>
      </c>
      <c r="BL176" s="21" t="str">
        <f>IF(AND('Atividades Micro'!$B184=BL$2,'Atividades Micro'!$G184="Macro",'Atividades Micro'!$K184&lt;&gt;""),'Atividades Micro'!$K184,"")</f>
        <v/>
      </c>
      <c r="BM176" s="21" t="str">
        <f>IF(AND('Atividades Micro'!$B184=BM$2,'Atividades Micro'!$G184="Macro",'Atividades Micro'!$K184&lt;&gt;""),'Atividades Micro'!$K184,"")</f>
        <v/>
      </c>
      <c r="BN176" s="21" t="str">
        <f>IF(AND('Atividades Micro'!$B184=BN$2,'Atividades Micro'!$G184="Macro",'Atividades Micro'!$K184&lt;&gt;""),'Atividades Micro'!$K184,"")</f>
        <v/>
      </c>
      <c r="BO176" s="21" t="str">
        <f>IF(AND('Atividades Micro'!$B184=BO$2,'Atividades Micro'!$G184="Macro",'Atividades Micro'!$K184&lt;&gt;""),'Atividades Micro'!$K184,"")</f>
        <v/>
      </c>
      <c r="BP176" s="21" t="str">
        <f>IF(AND('Atividades Micro'!$B184=BP$2,'Atividades Micro'!$G184="Macro",'Atividades Micro'!$K184&lt;&gt;""),'Atividades Micro'!$K184,"")</f>
        <v/>
      </c>
      <c r="BQ176" s="21" t="str">
        <f>IF(AND('Atividades Micro'!$B184=BQ$2,'Atividades Micro'!$G184="Macro",'Atividades Micro'!$K184&lt;&gt;""),'Atividades Micro'!$K184,"")</f>
        <v/>
      </c>
      <c r="BR176" s="21" t="str">
        <f>IF(AND('Atividades Micro'!$B184=BR$2,'Atividades Micro'!$G184="Macro",'Atividades Micro'!$K184&lt;&gt;""),'Atividades Micro'!$K184,"")</f>
        <v/>
      </c>
      <c r="BS176" s="21" t="str">
        <f>IF(AND('Atividades Micro'!$B184=BS$2,'Atividades Micro'!$G184="Macro",'Atividades Micro'!$K184&lt;&gt;""),'Atividades Micro'!$K184,"")</f>
        <v/>
      </c>
      <c r="BT176" s="21" t="str">
        <f>IF(AND('Atividades Micro'!$B184=BT$2,'Atividades Micro'!$G184="Macro",'Atividades Micro'!$K184&lt;&gt;""),'Atividades Micro'!$K184,"")</f>
        <v/>
      </c>
      <c r="BU176" s="21" t="str">
        <f>IF(AND('Atividades Micro'!$B184=BU$2,'Atividades Micro'!$G184="Macro",'Atividades Micro'!$K184&lt;&gt;""),'Atividades Micro'!$K184,"")</f>
        <v/>
      </c>
      <c r="BV176" s="21" t="str">
        <f>IF(AND('Atividades Micro'!$B184=BV$2,'Atividades Micro'!$G184="Macro",'Atividades Micro'!$K184&lt;&gt;""),'Atividades Micro'!$K184,"")</f>
        <v/>
      </c>
      <c r="BW176" s="21" t="str">
        <f>IF(AND('Atividades Micro'!$B184=BW$2,'Atividades Micro'!$G184="Macro",'Atividades Micro'!$K184&lt;&gt;""),'Atividades Micro'!$K184,"")</f>
        <v/>
      </c>
      <c r="BX176" s="21" t="str">
        <f>IF(AND('Atividades Micro'!$B184=BX$2,'Atividades Micro'!$G184="Macro",'Atividades Micro'!$K184&lt;&gt;""),'Atividades Micro'!$K184,"")</f>
        <v/>
      </c>
      <c r="BY176" s="21" t="str">
        <f>IF(AND('Atividades Micro'!$B184=BY$2,'Atividades Micro'!$G184="Macro",'Atividades Micro'!$K184&lt;&gt;""),'Atividades Micro'!$K184,"")</f>
        <v/>
      </c>
      <c r="BZ176" s="21" t="str">
        <f>IF(AND('Atividades Micro'!$B184=BZ$2,'Atividades Micro'!$G184="Macro",'Atividades Micro'!$K184&lt;&gt;""),'Atividades Micro'!$K184,"")</f>
        <v/>
      </c>
      <c r="CA176" s="21" t="str">
        <f>IF(AND('Atividades Micro'!$B184=CA$2,'Atividades Micro'!$G184="Macro",'Atividades Micro'!$K184&lt;&gt;""),'Atividades Micro'!$K184,"")</f>
        <v/>
      </c>
      <c r="CB176" s="21" t="str">
        <f>IF(AND('Atividades Micro'!$B184=CB$2,'Atividades Micro'!$G184="Macro",'Atividades Micro'!$K184&lt;&gt;""),'Atividades Micro'!$K184,"")</f>
        <v/>
      </c>
      <c r="CC176" s="21" t="str">
        <f>IF(AND('Atividades Micro'!$B184=CC$2,'Atividades Micro'!$G184="Macro",'Atividades Micro'!$K184&lt;&gt;""),'Atividades Micro'!$K184,"")</f>
        <v/>
      </c>
      <c r="CD176" s="21" t="str">
        <f>IF(AND('Atividades Micro'!$B184=CD$2,'Atividades Micro'!$G184="Micro",'Atividades Micro'!$K184&lt;&gt;""),'Atividades Micro'!$K184,"")</f>
        <v/>
      </c>
      <c r="CE176" s="21" t="str">
        <f>IF(AND('Atividades Micro'!$B184=CE$2,'Atividades Micro'!$G184="Micro",'Atividades Micro'!$K184&lt;&gt;""),'Atividades Micro'!$K184,"")</f>
        <v/>
      </c>
      <c r="CF176" s="21" t="str">
        <f>IF(AND('Atividades Micro'!$B184=CF$2,'Atividades Micro'!$G184="Micro",'Atividades Micro'!$K184&lt;&gt;""),'Atividades Micro'!$K184,"")</f>
        <v/>
      </c>
      <c r="CG176" s="21" t="str">
        <f>IF(AND('Atividades Micro'!$B184=CG$2,'Atividades Micro'!$G184="Micro",'Atividades Micro'!$K184&lt;&gt;""),'Atividades Micro'!$K184,"")</f>
        <v/>
      </c>
      <c r="CH176" s="21" t="str">
        <f>IF(AND('Atividades Micro'!$B184=CH$2,'Atividades Micro'!$G184="Micro",'Atividades Micro'!$K184&lt;&gt;""),'Atividades Micro'!$K184,"")</f>
        <v/>
      </c>
      <c r="CI176" s="21" t="str">
        <f>IF(AND('Atividades Micro'!$B184=CI$2,'Atividades Micro'!$G184="Micro",'Atividades Micro'!$K184&lt;&gt;""),'Atividades Micro'!$K184,"")</f>
        <v/>
      </c>
      <c r="CJ176" s="21" t="str">
        <f>IF(AND('Atividades Micro'!$B184=CJ$2,'Atividades Micro'!$G184="Micro",'Atividades Micro'!$K184&lt;&gt;""),'Atividades Micro'!$K184,"")</f>
        <v/>
      </c>
      <c r="CK176" s="21" t="str">
        <f>IF(AND('Atividades Micro'!$B184=CK$2,'Atividades Micro'!$G184="Micro",'Atividades Micro'!$K184&lt;&gt;""),'Atividades Micro'!$K184,"")</f>
        <v/>
      </c>
      <c r="CL176" s="21" t="str">
        <f>IF(AND('Atividades Micro'!$B184=CL$2,'Atividades Micro'!$G184="Micro",'Atividades Micro'!$K184&lt;&gt;""),'Atividades Micro'!$K184,"")</f>
        <v/>
      </c>
      <c r="CM176" s="21" t="str">
        <f>IF(AND('Atividades Micro'!$B184=CM$2,'Atividades Micro'!$G184="Micro",'Atividades Micro'!$K184&lt;&gt;""),'Atividades Micro'!$K184,"")</f>
        <v/>
      </c>
      <c r="CN176" s="21" t="str">
        <f>IF(AND('Atividades Micro'!$B184=CN$2,'Atividades Micro'!$G184="Micro",'Atividades Micro'!$K184&lt;&gt;""),'Atividades Micro'!$K184,"")</f>
        <v/>
      </c>
      <c r="CO176" s="21" t="str">
        <f>IF(AND('Atividades Micro'!$B184=CO$2,'Atividades Micro'!$G184="Micro",'Atividades Micro'!$K184&lt;&gt;""),'Atividades Micro'!$K184,"")</f>
        <v/>
      </c>
    </row>
    <row r="177" spans="1:93">
      <c r="A177" s="21" t="str">
        <f>IF(AND('Atividades Micro'!$A195=A$2,'Atividades Micro'!$K195&lt;&gt;""),'Atividades Micro'!$K195,"")</f>
        <v/>
      </c>
      <c r="B177" s="21" t="str">
        <f>IF(AND('Atividades Micro'!$A195=B$2,'Atividades Micro'!$L195&lt;&gt;""),'Atividades Micro'!$L195,"")</f>
        <v/>
      </c>
      <c r="C177" s="21" t="str">
        <f>IF(AND('Atividades Micro'!$A195=C$2,'Atividades Micro'!$K195&lt;&gt;""),'Atividades Micro'!$K195,"")</f>
        <v/>
      </c>
      <c r="D177" s="21" t="str">
        <f>IF(AND('Atividades Micro'!$A195=D$2,'Atividades Micro'!$L195&lt;&gt;""),'Atividades Micro'!$L195,"")</f>
        <v/>
      </c>
      <c r="E177" s="21" t="str">
        <f>IF(AND('Atividades Micro'!$A195=E$2,'Atividades Micro'!$K195&lt;&gt;""),'Atividades Micro'!$K195,"")</f>
        <v/>
      </c>
      <c r="F177" s="21" t="str">
        <f>IF(AND('Atividades Micro'!$A195=F$2,'Atividades Micro'!$L195&lt;&gt;""),'Atividades Micro'!$L195,"")</f>
        <v/>
      </c>
      <c r="G177" s="21" t="str">
        <f>IF(AND('Atividades Micro'!$A195=G$2,'Atividades Micro'!$K195&lt;&gt;""),'Atividades Micro'!$K195,"")</f>
        <v/>
      </c>
      <c r="H177" s="21" t="str">
        <f>IF(AND('Atividades Micro'!$A195=H$2,'Atividades Micro'!$L195&lt;&gt;""),'Atividades Micro'!$L195,"")</f>
        <v/>
      </c>
      <c r="I177" s="21" t="str">
        <f>IF(AND('Atividades Micro'!$A195=I$2,'Atividades Micro'!$K195&lt;&gt;""),'Atividades Micro'!$K195,"")</f>
        <v/>
      </c>
      <c r="J177" s="21" t="str">
        <f>IF(AND('Atividades Micro'!$A195=J$2,'Atividades Micro'!$L195&lt;&gt;""),'Atividades Micro'!$L195,"")</f>
        <v/>
      </c>
      <c r="K177" s="21" t="str">
        <f>IF(AND('Atividades Micro'!$B195=K$2,'Atividades Micro'!$K195&lt;&gt;""),'Atividades Micro'!$K195,"")</f>
        <v/>
      </c>
      <c r="L177" s="21" t="str">
        <f>IF(AND('Atividades Micro'!$B195=L$2,'Atividades Micro'!$L195&lt;&gt;""),'Atividades Micro'!$L195,"")</f>
        <v/>
      </c>
      <c r="M177" s="21" t="str">
        <f>IF(AND('Atividades Micro'!$B195=M$2,'Atividades Micro'!$K195&lt;&gt;""),'Atividades Micro'!$K195,"")</f>
        <v/>
      </c>
      <c r="N177" s="21" t="str">
        <f>IF(AND('Atividades Micro'!$B195=N$2,'Atividades Micro'!$L195&lt;&gt;""),'Atividades Micro'!$L195,"")</f>
        <v/>
      </c>
      <c r="O177" s="21" t="str">
        <f>IF(AND('Atividades Micro'!$A195=O$2,'Atividades Micro'!$K195&lt;&gt;""),'Atividades Micro'!$K195,"")</f>
        <v/>
      </c>
      <c r="P177" s="21" t="str">
        <f>IF(AND('Atividades Micro'!$A195=P$2,'Atividades Micro'!$L195&lt;&gt;""),'Atividades Micro'!$L195,"")</f>
        <v/>
      </c>
      <c r="Q177" s="21" t="str">
        <f>IF(AND('Atividades Micro'!$B195=Q$2,'Atividades Micro'!$K195&lt;&gt;""),'Atividades Micro'!$K195,"")</f>
        <v/>
      </c>
      <c r="R177" s="21" t="str">
        <f>IF(AND('Atividades Micro'!$B195=R$2,'Atividades Micro'!$L195&lt;&gt;""),'Atividades Micro'!$L195,"")</f>
        <v/>
      </c>
      <c r="S177" s="21" t="str">
        <f>IF(AND('Atividades Micro'!$A195=S$2,'Atividades Micro'!$K195&lt;&gt;""),'Atividades Micro'!$K195,"")</f>
        <v/>
      </c>
      <c r="T177" s="21" t="str">
        <f>IF(AND('Atividades Micro'!$A195=T$2,'Atividades Micro'!$L195&lt;&gt;""),'Atividades Micro'!$L195,"")</f>
        <v/>
      </c>
      <c r="U177" s="21" t="str">
        <f>IF(AND('Atividades Micro'!$B195=U$2,'Atividades Micro'!$K195&lt;&gt;""),'Atividades Micro'!$K195,"")</f>
        <v/>
      </c>
      <c r="V177" s="21" t="str">
        <f>IF(AND('Atividades Micro'!$B195=V$2,'Atividades Micro'!$L195&lt;&gt;""),'Atividades Micro'!$L195,"")</f>
        <v/>
      </c>
      <c r="W177" s="21" t="str">
        <f>IF(AND('Atividades Micro'!$B195=W$2,'Atividades Micro'!$K195&lt;&gt;""),'Atividades Micro'!$K195,"")</f>
        <v/>
      </c>
      <c r="X177" s="21" t="str">
        <f>IF(AND('Atividades Micro'!$B195=X$2,'Atividades Micro'!$L195&lt;&gt;""),'Atividades Micro'!$L195,"")</f>
        <v/>
      </c>
      <c r="Y177" s="21">
        <f>IF(AND('Atividades Micro'!$A195=Y$2,'Atividades Micro'!$K195&lt;&gt;""),'Atividades Micro'!$K195,"")</f>
        <v>46374</v>
      </c>
      <c r="Z177" s="21" t="str">
        <f>IF(AND('Atividades Micro'!$A195=Z$2,'Atividades Micro'!$L195&lt;&gt;""),'Atividades Micro'!$L195,"")</f>
        <v/>
      </c>
      <c r="AA177" s="21" t="str">
        <f>IF(AND('Atividades Micro'!$B195=AA$2,'Atividades Micro'!$K195&lt;&gt;""),'Atividades Micro'!$K195,"")</f>
        <v/>
      </c>
      <c r="AB177" s="21" t="str">
        <f>IF(AND('Atividades Micro'!$B195=AB$2,'Atividades Micro'!$L195&lt;&gt;""),'Atividades Micro'!$L195,"")</f>
        <v/>
      </c>
      <c r="AC177" s="21">
        <f>IF(AND('Atividades Micro'!$B195=AC$2,'Atividades Micro'!$K195&lt;&gt;""),'Atividades Micro'!$K195,"")</f>
        <v>46374</v>
      </c>
      <c r="AD177" s="21" t="str">
        <f>IF(AND('Atividades Micro'!$B195=AD$2,'Atividades Micro'!$L195&lt;&gt;""),'Atividades Micro'!$L195,"")</f>
        <v/>
      </c>
      <c r="AE177" s="21" t="str">
        <f>IF(AND('Atividades Micro'!$A195=AE$2,'Atividades Micro'!$K195&lt;&gt;""),'Atividades Micro'!$K195,"")</f>
        <v/>
      </c>
      <c r="AF177" s="21" t="str">
        <f>IF(AND('Atividades Micro'!$A195=AF$2,'Atividades Micro'!$L195&lt;&gt;""),'Atividades Micro'!$L195,"")</f>
        <v/>
      </c>
      <c r="AG177" s="21" t="str">
        <f>IF(AND('Atividades Micro'!$B195=AG$2,'Atividades Micro'!$K195&lt;&gt;""),'Atividades Micro'!$K195,"")</f>
        <v/>
      </c>
      <c r="AH177" s="21" t="str">
        <f>IF(AND('Atividades Micro'!$B195=AH$2,'Atividades Micro'!$L195&lt;&gt;""),'Atividades Micro'!$L195,"")</f>
        <v/>
      </c>
      <c r="AI177" s="21" t="str">
        <f>IF(AND('Atividades Micro'!$B195=AI$2,'Atividades Micro'!$K195&lt;&gt;""),'Atividades Micro'!$K195,"")</f>
        <v/>
      </c>
      <c r="AJ177" s="21" t="str">
        <f>IF(AND('Atividades Micro'!$B195=AJ$2,'Atividades Micro'!$L195&lt;&gt;""),'Atividades Micro'!$L195,"")</f>
        <v/>
      </c>
      <c r="AK177" s="21" t="str">
        <f>IF(AND('Atividades Micro'!$A195=AK$2,'Atividades Micro'!$K195&lt;&gt;""),'Atividades Micro'!$K195,"")</f>
        <v/>
      </c>
      <c r="AL177" s="21" t="str">
        <f>IF(AND('Atividades Micro'!$A195=AL$2,'Atividades Micro'!$L195&lt;&gt;""),'Atividades Micro'!$L195,"")</f>
        <v/>
      </c>
      <c r="AM177" s="21" t="str">
        <f>IF(AND('Atividades Micro'!$B195=AM$2,'Atividades Micro'!$K195&lt;&gt;""),'Atividades Micro'!$K195,"")</f>
        <v/>
      </c>
      <c r="AN177" s="21" t="str">
        <f>IF(AND('Atividades Micro'!$B195=AN$2,'Atividades Micro'!$L195&lt;&gt;""),'Atividades Micro'!$L195,"")</f>
        <v/>
      </c>
      <c r="AO177" s="21" t="str">
        <f>IF(AND('Atividades Micro'!$B195=AO$2,'Atividades Micro'!$K195&lt;&gt;""),'Atividades Micro'!$K195,"")</f>
        <v/>
      </c>
      <c r="AP177" s="21" t="str">
        <f>IF(AND('Atividades Micro'!$B195=AP$2,'Atividades Micro'!$L195&lt;&gt;""),'Atividades Micro'!$L195,"")</f>
        <v/>
      </c>
      <c r="AQ177" s="21" t="str">
        <f>IF(AND('Atividades Micro'!$A195=AQ$2,'Atividades Micro'!$K195&lt;&gt;""),'Atividades Micro'!$K195,"")</f>
        <v/>
      </c>
      <c r="AR177" s="21" t="str">
        <f>IF(AND('Atividades Micro'!$A195=AR$2,'Atividades Micro'!$L195&lt;&gt;""),'Atividades Micro'!$L195,"")</f>
        <v/>
      </c>
      <c r="AS177" s="21" t="str">
        <f>IF(AND('Atividades Micro'!$B195=AS$2,'Atividades Micro'!$K195&lt;&gt;""),'Atividades Micro'!$K195,"")</f>
        <v/>
      </c>
      <c r="AT177" s="21" t="str">
        <f>IF(AND('Atividades Micro'!$B195=AT$2,'Atividades Micro'!$L195&lt;&gt;""),'Atividades Micro'!$L195,"")</f>
        <v/>
      </c>
      <c r="AU177" s="21" t="str">
        <f>IF(AND('Atividades Micro'!$A195=AU$2,'Atividades Micro'!$K195&lt;&gt;""),'Atividades Micro'!$K195,"")</f>
        <v/>
      </c>
      <c r="AV177" s="21" t="str">
        <f>IF(AND('Atividades Micro'!$A195=AV$2,'Atividades Micro'!$L195&lt;&gt;""),'Atividades Micro'!$L195,"")</f>
        <v/>
      </c>
      <c r="AW177" s="21" t="str">
        <f>IF(AND('Atividades Micro'!$B195=AW$2,'Atividades Micro'!$K195&lt;&gt;""),'Atividades Micro'!$K195,"")</f>
        <v/>
      </c>
      <c r="AX177" s="21" t="str">
        <f>IF(AND('Atividades Micro'!$B195=AX$2,'Atividades Micro'!$L195&lt;&gt;""),'Atividades Micro'!$L195,"")</f>
        <v/>
      </c>
      <c r="AY177" s="21" t="str">
        <f>IF(AND('Atividades Micro'!$A195=AY$2,'Atividades Micro'!$K195&lt;&gt;""),'Atividades Micro'!$K195,"")</f>
        <v/>
      </c>
      <c r="AZ177" s="21" t="str">
        <f>IF(AND('Atividades Micro'!$A195=AZ$2,'Atividades Micro'!$L195&lt;&gt;""),'Atividades Micro'!$L195,"")</f>
        <v/>
      </c>
      <c r="BA177" s="21" t="str">
        <f>IF(AND('Atividades Micro'!$B195=BA$2,'Atividades Micro'!$K195&lt;&gt;""),'Atividades Micro'!$K195,"")</f>
        <v/>
      </c>
      <c r="BB177" s="21" t="str">
        <f>IF(AND('Atividades Micro'!$B195=BB$2,'Atividades Micro'!$L195&lt;&gt;""),'Atividades Micro'!$L195,"")</f>
        <v/>
      </c>
      <c r="BC177" s="21" t="str">
        <f>IF(AND('Atividades Micro'!$B195=BC$2,'Atividades Micro'!$G195="Macro",'Atividades Micro'!$K195&lt;&gt;""),'Atividades Micro'!$K195,"")</f>
        <v/>
      </c>
      <c r="BD177" s="21" t="str">
        <f>IF(AND('Atividades Micro'!$B195=BD$2,'Atividades Micro'!$G195="Macro",'Atividades Micro'!$K195&lt;&gt;""),'Atividades Micro'!$K195,"")</f>
        <v/>
      </c>
      <c r="BE177" s="21" t="str">
        <f>IF(AND('Atividades Micro'!$B195=BE$2,'Atividades Micro'!$G195="Macro",'Atividades Micro'!$K195&lt;&gt;""),'Atividades Micro'!$K195,"")</f>
        <v/>
      </c>
      <c r="BF177" s="21" t="str">
        <f>IF(AND('Atividades Micro'!$B195=BF$2,'Atividades Micro'!$G195="Macro",'Atividades Micro'!$K195&lt;&gt;""),'Atividades Micro'!$K195,"")</f>
        <v/>
      </c>
      <c r="BG177" s="21" t="str">
        <f>IF(AND('Atividades Micro'!$B195=BG$2,'Atividades Micro'!$G195="Macro",'Atividades Micro'!$K195&lt;&gt;""),'Atividades Micro'!$K195,"")</f>
        <v/>
      </c>
      <c r="BH177" s="21" t="str">
        <f>IF(AND('Atividades Micro'!$B195=BH$2,'Atividades Micro'!$G195="Macro",'Atividades Micro'!$K195&lt;&gt;""),'Atividades Micro'!$K195,"")</f>
        <v/>
      </c>
      <c r="BI177" s="21" t="str">
        <f>IF(AND('Atividades Micro'!$B195=BI$2,'Atividades Micro'!$G195="Macro",'Atividades Micro'!$K195&lt;&gt;""),'Atividades Micro'!$K195,"")</f>
        <v/>
      </c>
      <c r="BJ177" s="21" t="str">
        <f>IF(AND('Atividades Micro'!$B195=BJ$2,'Atividades Micro'!$G195="Macro",'Atividades Micro'!$K195&lt;&gt;""),'Atividades Micro'!$K195,"")</f>
        <v/>
      </c>
      <c r="BK177" s="21" t="str">
        <f>IF(AND('Atividades Micro'!$B195=BK$2,'Atividades Micro'!$G195="Macro",'Atividades Micro'!$K195&lt;&gt;""),'Atividades Micro'!$K195,"")</f>
        <v/>
      </c>
      <c r="BL177" s="21" t="str">
        <f>IF(AND('Atividades Micro'!$B195=BL$2,'Atividades Micro'!$G195="Macro",'Atividades Micro'!$K195&lt;&gt;""),'Atividades Micro'!$K195,"")</f>
        <v/>
      </c>
      <c r="BM177" s="21" t="str">
        <f>IF(AND('Atividades Micro'!$B195=BM$2,'Atividades Micro'!$G195="Macro",'Atividades Micro'!$K195&lt;&gt;""),'Atividades Micro'!$K195,"")</f>
        <v/>
      </c>
      <c r="BN177" s="21" t="str">
        <f>IF(AND('Atividades Micro'!$B195=BN$2,'Atividades Micro'!$G195="Macro",'Atividades Micro'!$K195&lt;&gt;""),'Atividades Micro'!$K195,"")</f>
        <v/>
      </c>
      <c r="BO177" s="21" t="str">
        <f>IF(AND('Atividades Micro'!$B195=BO$2,'Atividades Micro'!$G195="Macro",'Atividades Micro'!$K195&lt;&gt;""),'Atividades Micro'!$K195,"")</f>
        <v/>
      </c>
      <c r="BP177" s="21" t="str">
        <f>IF(AND('Atividades Micro'!$B195=BP$2,'Atividades Micro'!$G195="Macro",'Atividades Micro'!$K195&lt;&gt;""),'Atividades Micro'!$K195,"")</f>
        <v/>
      </c>
      <c r="BQ177" s="21" t="str">
        <f>IF(AND('Atividades Micro'!$B195=BQ$2,'Atividades Micro'!$G195="Macro",'Atividades Micro'!$K195&lt;&gt;""),'Atividades Micro'!$K195,"")</f>
        <v/>
      </c>
      <c r="BR177" s="21" t="str">
        <f>IF(AND('Atividades Micro'!$B195=BR$2,'Atividades Micro'!$G195="Macro",'Atividades Micro'!$K195&lt;&gt;""),'Atividades Micro'!$K195,"")</f>
        <v/>
      </c>
      <c r="BS177" s="21" t="str">
        <f>IF(AND('Atividades Micro'!$B195=BS$2,'Atividades Micro'!$G195="Macro",'Atividades Micro'!$K195&lt;&gt;""),'Atividades Micro'!$K195,"")</f>
        <v/>
      </c>
      <c r="BT177" s="21" t="str">
        <f>IF(AND('Atividades Micro'!$B195=BT$2,'Atividades Micro'!$G195="Macro",'Atividades Micro'!$K195&lt;&gt;""),'Atividades Micro'!$K195,"")</f>
        <v/>
      </c>
      <c r="BU177" s="21" t="str">
        <f>IF(AND('Atividades Micro'!$B195=BU$2,'Atividades Micro'!$G195="Macro",'Atividades Micro'!$K195&lt;&gt;""),'Atividades Micro'!$K195,"")</f>
        <v/>
      </c>
      <c r="BV177" s="21" t="str">
        <f>IF(AND('Atividades Micro'!$B195=BV$2,'Atividades Micro'!$G195="Macro",'Atividades Micro'!$K195&lt;&gt;""),'Atividades Micro'!$K195,"")</f>
        <v/>
      </c>
      <c r="BW177" s="21" t="str">
        <f>IF(AND('Atividades Micro'!$B195=BW$2,'Atividades Micro'!$G195="Macro",'Atividades Micro'!$K195&lt;&gt;""),'Atividades Micro'!$K195,"")</f>
        <v/>
      </c>
      <c r="BX177" s="21" t="str">
        <f>IF(AND('Atividades Micro'!$B195=BX$2,'Atividades Micro'!$G195="Macro",'Atividades Micro'!$K195&lt;&gt;""),'Atividades Micro'!$K195,"")</f>
        <v/>
      </c>
      <c r="BY177" s="21" t="str">
        <f>IF(AND('Atividades Micro'!$B195=BY$2,'Atividades Micro'!$G195="Macro",'Atividades Micro'!$K195&lt;&gt;""),'Atividades Micro'!$K195,"")</f>
        <v/>
      </c>
      <c r="BZ177" s="21" t="str">
        <f>IF(AND('Atividades Micro'!$B195=BZ$2,'Atividades Micro'!$G195="Macro",'Atividades Micro'!$K195&lt;&gt;""),'Atividades Micro'!$K195,"")</f>
        <v/>
      </c>
      <c r="CA177" s="21" t="str">
        <f>IF(AND('Atividades Micro'!$B195=CA$2,'Atividades Micro'!$G195="Macro",'Atividades Micro'!$K195&lt;&gt;""),'Atividades Micro'!$K195,"")</f>
        <v/>
      </c>
      <c r="CB177" s="21" t="str">
        <f>IF(AND('Atividades Micro'!$B195=CB$2,'Atividades Micro'!$G195="Macro",'Atividades Micro'!$K195&lt;&gt;""),'Atividades Micro'!$K195,"")</f>
        <v/>
      </c>
      <c r="CC177" s="21" t="str">
        <f>IF(AND('Atividades Micro'!$B195=CC$2,'Atividades Micro'!$G195="Macro",'Atividades Micro'!$K195&lt;&gt;""),'Atividades Micro'!$K195,"")</f>
        <v/>
      </c>
      <c r="CD177" s="21" t="str">
        <f>IF(AND('Atividades Micro'!$B195=CD$2,'Atividades Micro'!$G195="Micro",'Atividades Micro'!$K195&lt;&gt;""),'Atividades Micro'!$K195,"")</f>
        <v/>
      </c>
      <c r="CE177" s="21" t="str">
        <f>IF(AND('Atividades Micro'!$B195=CE$2,'Atividades Micro'!$G195="Micro",'Atividades Micro'!$K195&lt;&gt;""),'Atividades Micro'!$K195,"")</f>
        <v/>
      </c>
      <c r="CF177" s="21" t="str">
        <f>IF(AND('Atividades Micro'!$B195=CF$2,'Atividades Micro'!$G195="Micro",'Atividades Micro'!$K195&lt;&gt;""),'Atividades Micro'!$K195,"")</f>
        <v/>
      </c>
      <c r="CG177" s="21" t="str">
        <f>IF(AND('Atividades Micro'!$B195=CG$2,'Atividades Micro'!$G195="Micro",'Atividades Micro'!$K195&lt;&gt;""),'Atividades Micro'!$K195,"")</f>
        <v/>
      </c>
      <c r="CH177" s="21" t="str">
        <f>IF(AND('Atividades Micro'!$B195=CH$2,'Atividades Micro'!$G195="Micro",'Atividades Micro'!$K195&lt;&gt;""),'Atividades Micro'!$K195,"")</f>
        <v/>
      </c>
      <c r="CI177" s="21" t="str">
        <f>IF(AND('Atividades Micro'!$B195=CI$2,'Atividades Micro'!$G195="Micro",'Atividades Micro'!$K195&lt;&gt;""),'Atividades Micro'!$K195,"")</f>
        <v/>
      </c>
      <c r="CJ177" s="21">
        <f>IF(AND('Atividades Micro'!$B195=CJ$2,'Atividades Micro'!$G195="Micro",'Atividades Micro'!$K195&lt;&gt;""),'Atividades Micro'!$K195,"")</f>
        <v>46374</v>
      </c>
      <c r="CK177" s="21" t="str">
        <f>IF(AND('Atividades Micro'!$B195=CK$2,'Atividades Micro'!$G195="Micro",'Atividades Micro'!$K195&lt;&gt;""),'Atividades Micro'!$K195,"")</f>
        <v/>
      </c>
      <c r="CL177" s="21" t="str">
        <f>IF(AND('Atividades Micro'!$B195=CL$2,'Atividades Micro'!$G195="Micro",'Atividades Micro'!$K195&lt;&gt;""),'Atividades Micro'!$K195,"")</f>
        <v/>
      </c>
      <c r="CM177" s="21" t="str">
        <f>IF(AND('Atividades Micro'!$B195=CM$2,'Atividades Micro'!$G195="Micro",'Atividades Micro'!$K195&lt;&gt;""),'Atividades Micro'!$K195,"")</f>
        <v/>
      </c>
      <c r="CN177" s="21" t="str">
        <f>IF(AND('Atividades Micro'!$B195=CN$2,'Atividades Micro'!$G195="Micro",'Atividades Micro'!$K195&lt;&gt;""),'Atividades Micro'!$K195,"")</f>
        <v/>
      </c>
      <c r="CO177" s="21" t="str">
        <f>IF(AND('Atividades Micro'!$B195=CO$2,'Atividades Micro'!$G195="Micro",'Atividades Micro'!$K195&lt;&gt;""),'Atividades Micro'!$K195,"")</f>
        <v/>
      </c>
    </row>
    <row r="178" spans="1:93">
      <c r="A178" s="21" t="str">
        <f>IF(AND('Atividades Micro'!$A196=A$2,'Atividades Micro'!$K196&lt;&gt;""),'Atividades Micro'!$K196,"")</f>
        <v/>
      </c>
      <c r="B178" s="21" t="str">
        <f>IF(AND('Atividades Micro'!$A196=B$2,'Atividades Micro'!$L196&lt;&gt;""),'Atividades Micro'!$L196,"")</f>
        <v/>
      </c>
      <c r="C178" s="21" t="str">
        <f>IF(AND('Atividades Micro'!$A196=C$2,'Atividades Micro'!$K196&lt;&gt;""),'Atividades Micro'!$K196,"")</f>
        <v/>
      </c>
      <c r="D178" s="21" t="str">
        <f>IF(AND('Atividades Micro'!$A196=D$2,'Atividades Micro'!$L196&lt;&gt;""),'Atividades Micro'!$L196,"")</f>
        <v/>
      </c>
      <c r="E178" s="21" t="str">
        <f>IF(AND('Atividades Micro'!$A196=E$2,'Atividades Micro'!$K196&lt;&gt;""),'Atividades Micro'!$K196,"")</f>
        <v/>
      </c>
      <c r="F178" s="21" t="str">
        <f>IF(AND('Atividades Micro'!$A196=F$2,'Atividades Micro'!$L196&lt;&gt;""),'Atividades Micro'!$L196,"")</f>
        <v/>
      </c>
      <c r="G178" s="21" t="str">
        <f>IF(AND('Atividades Micro'!$A196=G$2,'Atividades Micro'!$K196&lt;&gt;""),'Atividades Micro'!$K196,"")</f>
        <v/>
      </c>
      <c r="H178" s="21" t="str">
        <f>IF(AND('Atividades Micro'!$A196=H$2,'Atividades Micro'!$L196&lt;&gt;""),'Atividades Micro'!$L196,"")</f>
        <v/>
      </c>
      <c r="I178" s="21" t="str">
        <f>IF(AND('Atividades Micro'!$A196=I$2,'Atividades Micro'!$K196&lt;&gt;""),'Atividades Micro'!$K196,"")</f>
        <v/>
      </c>
      <c r="J178" s="21" t="str">
        <f>IF(AND('Atividades Micro'!$A196=J$2,'Atividades Micro'!$L196&lt;&gt;""),'Atividades Micro'!$L196,"")</f>
        <v/>
      </c>
      <c r="K178" s="21" t="str">
        <f>IF(AND('Atividades Micro'!$B196=K$2,'Atividades Micro'!$K196&lt;&gt;""),'Atividades Micro'!$K196,"")</f>
        <v/>
      </c>
      <c r="L178" s="21" t="str">
        <f>IF(AND('Atividades Micro'!$B196=L$2,'Atividades Micro'!$L196&lt;&gt;""),'Atividades Micro'!$L196,"")</f>
        <v/>
      </c>
      <c r="M178" s="21" t="str">
        <f>IF(AND('Atividades Micro'!$B196=M$2,'Atividades Micro'!$K196&lt;&gt;""),'Atividades Micro'!$K196,"")</f>
        <v/>
      </c>
      <c r="N178" s="21" t="str">
        <f>IF(AND('Atividades Micro'!$B196=N$2,'Atividades Micro'!$L196&lt;&gt;""),'Atividades Micro'!$L196,"")</f>
        <v/>
      </c>
      <c r="O178" s="21" t="str">
        <f>IF(AND('Atividades Micro'!$A196=O$2,'Atividades Micro'!$K196&lt;&gt;""),'Atividades Micro'!$K196,"")</f>
        <v/>
      </c>
      <c r="P178" s="21" t="str">
        <f>IF(AND('Atividades Micro'!$A196=P$2,'Atividades Micro'!$L196&lt;&gt;""),'Atividades Micro'!$L196,"")</f>
        <v/>
      </c>
      <c r="Q178" s="21" t="str">
        <f>IF(AND('Atividades Micro'!$B196=Q$2,'Atividades Micro'!$K196&lt;&gt;""),'Atividades Micro'!$K196,"")</f>
        <v/>
      </c>
      <c r="R178" s="21" t="str">
        <f>IF(AND('Atividades Micro'!$B196=R$2,'Atividades Micro'!$L196&lt;&gt;""),'Atividades Micro'!$L196,"")</f>
        <v/>
      </c>
      <c r="S178" s="21" t="str">
        <f>IF(AND('Atividades Micro'!$A196=S$2,'Atividades Micro'!$K196&lt;&gt;""),'Atividades Micro'!$K196,"")</f>
        <v/>
      </c>
      <c r="T178" s="21" t="str">
        <f>IF(AND('Atividades Micro'!$A196=T$2,'Atividades Micro'!$L196&lt;&gt;""),'Atividades Micro'!$L196,"")</f>
        <v/>
      </c>
      <c r="U178" s="21" t="str">
        <f>IF(AND('Atividades Micro'!$B196=U$2,'Atividades Micro'!$K196&lt;&gt;""),'Atividades Micro'!$K196,"")</f>
        <v/>
      </c>
      <c r="V178" s="21" t="str">
        <f>IF(AND('Atividades Micro'!$B196=V$2,'Atividades Micro'!$L196&lt;&gt;""),'Atividades Micro'!$L196,"")</f>
        <v/>
      </c>
      <c r="W178" s="21" t="str">
        <f>IF(AND('Atividades Micro'!$B196=W$2,'Atividades Micro'!$K196&lt;&gt;""),'Atividades Micro'!$K196,"")</f>
        <v/>
      </c>
      <c r="X178" s="21" t="str">
        <f>IF(AND('Atividades Micro'!$B196=X$2,'Atividades Micro'!$L196&lt;&gt;""),'Atividades Micro'!$L196,"")</f>
        <v/>
      </c>
      <c r="Y178" s="21" t="str">
        <f>IF(AND('Atividades Micro'!$A196=Y$2,'Atividades Micro'!$K196&lt;&gt;""),'Atividades Micro'!$K196,"")</f>
        <v/>
      </c>
      <c r="Z178" s="21" t="str">
        <f>IF(AND('Atividades Micro'!$A196=Z$2,'Atividades Micro'!$L196&lt;&gt;""),'Atividades Micro'!$L196,"")</f>
        <v/>
      </c>
      <c r="AA178" s="21" t="str">
        <f>IF(AND('Atividades Micro'!$B196=AA$2,'Atividades Micro'!$K196&lt;&gt;""),'Atividades Micro'!$K196,"")</f>
        <v/>
      </c>
      <c r="AB178" s="21" t="str">
        <f>IF(AND('Atividades Micro'!$B196=AB$2,'Atividades Micro'!$L196&lt;&gt;""),'Atividades Micro'!$L196,"")</f>
        <v/>
      </c>
      <c r="AC178" s="21" t="str">
        <f>IF(AND('Atividades Micro'!$B196=AC$2,'Atividades Micro'!$K196&lt;&gt;""),'Atividades Micro'!$K196,"")</f>
        <v/>
      </c>
      <c r="AD178" s="21" t="str">
        <f>IF(AND('Atividades Micro'!$B196=AD$2,'Atividades Micro'!$L196&lt;&gt;""),'Atividades Micro'!$L196,"")</f>
        <v/>
      </c>
      <c r="AE178" s="21" t="str">
        <f>IF(AND('Atividades Micro'!$A196=AE$2,'Atividades Micro'!$K196&lt;&gt;""),'Atividades Micro'!$K196,"")</f>
        <v/>
      </c>
      <c r="AF178" s="21" t="str">
        <f>IF(AND('Atividades Micro'!$A196=AF$2,'Atividades Micro'!$L196&lt;&gt;""),'Atividades Micro'!$L196,"")</f>
        <v/>
      </c>
      <c r="AG178" s="21" t="str">
        <f>IF(AND('Atividades Micro'!$B196=AG$2,'Atividades Micro'!$K196&lt;&gt;""),'Atividades Micro'!$K196,"")</f>
        <v/>
      </c>
      <c r="AH178" s="21" t="str">
        <f>IF(AND('Atividades Micro'!$B196=AH$2,'Atividades Micro'!$L196&lt;&gt;""),'Atividades Micro'!$L196,"")</f>
        <v/>
      </c>
      <c r="AI178" s="21" t="str">
        <f>IF(AND('Atividades Micro'!$B196=AI$2,'Atividades Micro'!$K196&lt;&gt;""),'Atividades Micro'!$K196,"")</f>
        <v/>
      </c>
      <c r="AJ178" s="21" t="str">
        <f>IF(AND('Atividades Micro'!$B196=AJ$2,'Atividades Micro'!$L196&lt;&gt;""),'Atividades Micro'!$L196,"")</f>
        <v/>
      </c>
      <c r="AK178" s="21" t="str">
        <f>IF(AND('Atividades Micro'!$A196=AK$2,'Atividades Micro'!$K196&lt;&gt;""),'Atividades Micro'!$K196,"")</f>
        <v/>
      </c>
      <c r="AL178" s="21" t="str">
        <f>IF(AND('Atividades Micro'!$A196=AL$2,'Atividades Micro'!$L196&lt;&gt;""),'Atividades Micro'!$L196,"")</f>
        <v/>
      </c>
      <c r="AM178" s="21" t="str">
        <f>IF(AND('Atividades Micro'!$B196=AM$2,'Atividades Micro'!$K196&lt;&gt;""),'Atividades Micro'!$K196,"")</f>
        <v/>
      </c>
      <c r="AN178" s="21" t="str">
        <f>IF(AND('Atividades Micro'!$B196=AN$2,'Atividades Micro'!$L196&lt;&gt;""),'Atividades Micro'!$L196,"")</f>
        <v/>
      </c>
      <c r="AO178" s="21" t="str">
        <f>IF(AND('Atividades Micro'!$B196=AO$2,'Atividades Micro'!$K196&lt;&gt;""),'Atividades Micro'!$K196,"")</f>
        <v/>
      </c>
      <c r="AP178" s="21" t="str">
        <f>IF(AND('Atividades Micro'!$B196=AP$2,'Atividades Micro'!$L196&lt;&gt;""),'Atividades Micro'!$L196,"")</f>
        <v/>
      </c>
      <c r="AQ178" s="21" t="str">
        <f>IF(AND('Atividades Micro'!$A196=AQ$2,'Atividades Micro'!$K196&lt;&gt;""),'Atividades Micro'!$K196,"")</f>
        <v/>
      </c>
      <c r="AR178" s="21" t="str">
        <f>IF(AND('Atividades Micro'!$A196=AR$2,'Atividades Micro'!$L196&lt;&gt;""),'Atividades Micro'!$L196,"")</f>
        <v/>
      </c>
      <c r="AS178" s="21" t="str">
        <f>IF(AND('Atividades Micro'!$B196=AS$2,'Atividades Micro'!$K196&lt;&gt;""),'Atividades Micro'!$K196,"")</f>
        <v/>
      </c>
      <c r="AT178" s="21" t="str">
        <f>IF(AND('Atividades Micro'!$B196=AT$2,'Atividades Micro'!$L196&lt;&gt;""),'Atividades Micro'!$L196,"")</f>
        <v/>
      </c>
      <c r="AU178" s="21" t="str">
        <f>IF(AND('Atividades Micro'!$A196=AU$2,'Atividades Micro'!$K196&lt;&gt;""),'Atividades Micro'!$K196,"")</f>
        <v/>
      </c>
      <c r="AV178" s="21" t="str">
        <f>IF(AND('Atividades Micro'!$A196=AV$2,'Atividades Micro'!$L196&lt;&gt;""),'Atividades Micro'!$L196,"")</f>
        <v/>
      </c>
      <c r="AW178" s="21" t="str">
        <f>IF(AND('Atividades Micro'!$B196=AW$2,'Atividades Micro'!$K196&lt;&gt;""),'Atividades Micro'!$K196,"")</f>
        <v/>
      </c>
      <c r="AX178" s="21" t="str">
        <f>IF(AND('Atividades Micro'!$B196=AX$2,'Atividades Micro'!$L196&lt;&gt;""),'Atividades Micro'!$L196,"")</f>
        <v/>
      </c>
      <c r="AY178" s="21" t="str">
        <f>IF(AND('Atividades Micro'!$A196=AY$2,'Atividades Micro'!$K196&lt;&gt;""),'Atividades Micro'!$K196,"")</f>
        <v/>
      </c>
      <c r="AZ178" s="21" t="str">
        <f>IF(AND('Atividades Micro'!$A196=AZ$2,'Atividades Micro'!$L196&lt;&gt;""),'Atividades Micro'!$L196,"")</f>
        <v/>
      </c>
      <c r="BA178" s="21" t="str">
        <f>IF(AND('Atividades Micro'!$B196=BA$2,'Atividades Micro'!$K196&lt;&gt;""),'Atividades Micro'!$K196,"")</f>
        <v/>
      </c>
      <c r="BB178" s="21" t="str">
        <f>IF(AND('Atividades Micro'!$B196=BB$2,'Atividades Micro'!$L196&lt;&gt;""),'Atividades Micro'!$L196,"")</f>
        <v/>
      </c>
      <c r="BC178" s="21" t="str">
        <f>IF(AND('Atividades Micro'!$B196=BC$2,'Atividades Micro'!$G196="Macro",'Atividades Micro'!$K196&lt;&gt;""),'Atividades Micro'!$K196,"")</f>
        <v/>
      </c>
      <c r="BD178" s="21" t="str">
        <f>IF(AND('Atividades Micro'!$B196=BD$2,'Atividades Micro'!$G196="Macro",'Atividades Micro'!$K196&lt;&gt;""),'Atividades Micro'!$K196,"")</f>
        <v/>
      </c>
      <c r="BE178" s="21" t="str">
        <f>IF(AND('Atividades Micro'!$B196=BE$2,'Atividades Micro'!$G196="Macro",'Atividades Micro'!$K196&lt;&gt;""),'Atividades Micro'!$K196,"")</f>
        <v/>
      </c>
      <c r="BF178" s="21" t="str">
        <f>IF(AND('Atividades Micro'!$B196=BF$2,'Atividades Micro'!$G196="Macro",'Atividades Micro'!$K196&lt;&gt;""),'Atividades Micro'!$K196,"")</f>
        <v/>
      </c>
      <c r="BG178" s="21" t="str">
        <f>IF(AND('Atividades Micro'!$B196=BG$2,'Atividades Micro'!$G196="Macro",'Atividades Micro'!$K196&lt;&gt;""),'Atividades Micro'!$K196,"")</f>
        <v/>
      </c>
      <c r="BH178" s="21" t="str">
        <f>IF(AND('Atividades Micro'!$B196=BH$2,'Atividades Micro'!$G196="Macro",'Atividades Micro'!$K196&lt;&gt;""),'Atividades Micro'!$K196,"")</f>
        <v/>
      </c>
      <c r="BI178" s="21" t="str">
        <f>IF(AND('Atividades Micro'!$B196=BI$2,'Atividades Micro'!$G196="Macro",'Atividades Micro'!$K196&lt;&gt;""),'Atividades Micro'!$K196,"")</f>
        <v/>
      </c>
      <c r="BJ178" s="21" t="str">
        <f>IF(AND('Atividades Micro'!$B196=BJ$2,'Atividades Micro'!$G196="Macro",'Atividades Micro'!$K196&lt;&gt;""),'Atividades Micro'!$K196,"")</f>
        <v/>
      </c>
      <c r="BK178" s="21" t="str">
        <f>IF(AND('Atividades Micro'!$B196=BK$2,'Atividades Micro'!$G196="Macro",'Atividades Micro'!$K196&lt;&gt;""),'Atividades Micro'!$K196,"")</f>
        <v/>
      </c>
      <c r="BL178" s="21" t="str">
        <f>IF(AND('Atividades Micro'!$B196=BL$2,'Atividades Micro'!$G196="Macro",'Atividades Micro'!$K196&lt;&gt;""),'Atividades Micro'!$K196,"")</f>
        <v/>
      </c>
      <c r="BM178" s="21" t="str">
        <f>IF(AND('Atividades Micro'!$B196=BM$2,'Atividades Micro'!$G196="Macro",'Atividades Micro'!$K196&lt;&gt;""),'Atividades Micro'!$K196,"")</f>
        <v/>
      </c>
      <c r="BN178" s="21" t="str">
        <f>IF(AND('Atividades Micro'!$B196=BN$2,'Atividades Micro'!$G196="Macro",'Atividades Micro'!$K196&lt;&gt;""),'Atividades Micro'!$K196,"")</f>
        <v/>
      </c>
      <c r="BO178" s="21" t="str">
        <f>IF(AND('Atividades Micro'!$B196=BO$2,'Atividades Micro'!$G196="Macro",'Atividades Micro'!$K196&lt;&gt;""),'Atividades Micro'!$K196,"")</f>
        <v/>
      </c>
      <c r="BP178" s="21" t="str">
        <f>IF(AND('Atividades Micro'!$B196=BP$2,'Atividades Micro'!$G196="Macro",'Atividades Micro'!$K196&lt;&gt;""),'Atividades Micro'!$K196,"")</f>
        <v/>
      </c>
      <c r="BQ178" s="21" t="str">
        <f>IF(AND('Atividades Micro'!$B196=BQ$2,'Atividades Micro'!$G196="Macro",'Atividades Micro'!$K196&lt;&gt;""),'Atividades Micro'!$K196,"")</f>
        <v/>
      </c>
      <c r="BR178" s="21" t="str">
        <f>IF(AND('Atividades Micro'!$B196=BR$2,'Atividades Micro'!$G196="Macro",'Atividades Micro'!$K196&lt;&gt;""),'Atividades Micro'!$K196,"")</f>
        <v/>
      </c>
      <c r="BS178" s="21" t="str">
        <f>IF(AND('Atividades Micro'!$B196=BS$2,'Atividades Micro'!$G196="Macro",'Atividades Micro'!$K196&lt;&gt;""),'Atividades Micro'!$K196,"")</f>
        <v/>
      </c>
      <c r="BT178" s="21" t="str">
        <f>IF(AND('Atividades Micro'!$B196=BT$2,'Atividades Micro'!$G196="Macro",'Atividades Micro'!$K196&lt;&gt;""),'Atividades Micro'!$K196,"")</f>
        <v/>
      </c>
      <c r="BU178" s="21" t="str">
        <f>IF(AND('Atividades Micro'!$B196=BU$2,'Atividades Micro'!$G196="Macro",'Atividades Micro'!$K196&lt;&gt;""),'Atividades Micro'!$K196,"")</f>
        <v/>
      </c>
      <c r="BV178" s="21" t="str">
        <f>IF(AND('Atividades Micro'!$B196=BV$2,'Atividades Micro'!$G196="Macro",'Atividades Micro'!$K196&lt;&gt;""),'Atividades Micro'!$K196,"")</f>
        <v/>
      </c>
      <c r="BW178" s="21" t="str">
        <f>IF(AND('Atividades Micro'!$B196=BW$2,'Atividades Micro'!$G196="Macro",'Atividades Micro'!$K196&lt;&gt;""),'Atividades Micro'!$K196,"")</f>
        <v/>
      </c>
      <c r="BX178" s="21" t="str">
        <f>IF(AND('Atividades Micro'!$B196=BX$2,'Atividades Micro'!$G196="Macro",'Atividades Micro'!$K196&lt;&gt;""),'Atividades Micro'!$K196,"")</f>
        <v/>
      </c>
      <c r="BY178" s="21" t="str">
        <f>IF(AND('Atividades Micro'!$B196=BY$2,'Atividades Micro'!$G196="Macro",'Atividades Micro'!$K196&lt;&gt;""),'Atividades Micro'!$K196,"")</f>
        <v/>
      </c>
      <c r="BZ178" s="21" t="str">
        <f>IF(AND('Atividades Micro'!$B196=BZ$2,'Atividades Micro'!$G196="Macro",'Atividades Micro'!$K196&lt;&gt;""),'Atividades Micro'!$K196,"")</f>
        <v/>
      </c>
      <c r="CA178" s="21" t="str">
        <f>IF(AND('Atividades Micro'!$B196=CA$2,'Atividades Micro'!$G196="Macro",'Atividades Micro'!$K196&lt;&gt;""),'Atividades Micro'!$K196,"")</f>
        <v/>
      </c>
      <c r="CB178" s="21" t="str">
        <f>IF(AND('Atividades Micro'!$B196=CB$2,'Atividades Micro'!$G196="Macro",'Atividades Micro'!$K196&lt;&gt;""),'Atividades Micro'!$K196,"")</f>
        <v/>
      </c>
      <c r="CC178" s="21" t="str">
        <f>IF(AND('Atividades Micro'!$B196=CC$2,'Atividades Micro'!$G196="Macro",'Atividades Micro'!$K196&lt;&gt;""),'Atividades Micro'!$K196,"")</f>
        <v/>
      </c>
      <c r="CD178" s="21" t="str">
        <f>IF(AND('Atividades Micro'!$B196=CD$2,'Atividades Micro'!$G196="Micro",'Atividades Micro'!$K196&lt;&gt;""),'Atividades Micro'!$K196,"")</f>
        <v/>
      </c>
      <c r="CE178" s="21" t="str">
        <f>IF(AND('Atividades Micro'!$B196=CE$2,'Atividades Micro'!$G196="Micro",'Atividades Micro'!$K196&lt;&gt;""),'Atividades Micro'!$K196,"")</f>
        <v/>
      </c>
      <c r="CF178" s="21" t="str">
        <f>IF(AND('Atividades Micro'!$B196=CF$2,'Atividades Micro'!$G196="Micro",'Atividades Micro'!$K196&lt;&gt;""),'Atividades Micro'!$K196,"")</f>
        <v/>
      </c>
      <c r="CG178" s="21" t="str">
        <f>IF(AND('Atividades Micro'!$B196=CG$2,'Atividades Micro'!$G196="Micro",'Atividades Micro'!$K196&lt;&gt;""),'Atividades Micro'!$K196,"")</f>
        <v/>
      </c>
      <c r="CH178" s="21" t="str">
        <f>IF(AND('Atividades Micro'!$B196=CH$2,'Atividades Micro'!$G196="Micro",'Atividades Micro'!$K196&lt;&gt;""),'Atividades Micro'!$K196,"")</f>
        <v/>
      </c>
      <c r="CI178" s="21" t="str">
        <f>IF(AND('Atividades Micro'!$B196=CI$2,'Atividades Micro'!$G196="Micro",'Atividades Micro'!$K196&lt;&gt;""),'Atividades Micro'!$K196,"")</f>
        <v/>
      </c>
      <c r="CJ178" s="21" t="str">
        <f>IF(AND('Atividades Micro'!$B196=CJ$2,'Atividades Micro'!$G196="Micro",'Atividades Micro'!$K196&lt;&gt;""),'Atividades Micro'!$K196,"")</f>
        <v/>
      </c>
      <c r="CK178" s="21" t="str">
        <f>IF(AND('Atividades Micro'!$B196=CK$2,'Atividades Micro'!$G196="Micro",'Atividades Micro'!$K196&lt;&gt;""),'Atividades Micro'!$K196,"")</f>
        <v/>
      </c>
      <c r="CL178" s="21" t="str">
        <f>IF(AND('Atividades Micro'!$B196=CL$2,'Atividades Micro'!$G196="Micro",'Atividades Micro'!$K196&lt;&gt;""),'Atividades Micro'!$K196,"")</f>
        <v/>
      </c>
      <c r="CM178" s="21" t="str">
        <f>IF(AND('Atividades Micro'!$B196=CM$2,'Atividades Micro'!$G196="Micro",'Atividades Micro'!$K196&lt;&gt;""),'Atividades Micro'!$K196,"")</f>
        <v/>
      </c>
      <c r="CN178" s="21" t="str">
        <f>IF(AND('Atividades Micro'!$B196=CN$2,'Atividades Micro'!$G196="Micro",'Atividades Micro'!$K196&lt;&gt;""),'Atividades Micro'!$K196,"")</f>
        <v/>
      </c>
      <c r="CO178" s="21" t="str">
        <f>IF(AND('Atividades Micro'!$B196=CO$2,'Atividades Micro'!$G196="Micro",'Atividades Micro'!$K196&lt;&gt;""),'Atividades Micro'!$K196,"")</f>
        <v/>
      </c>
    </row>
    <row r="179" spans="1:93">
      <c r="A179" s="21" t="str">
        <f>IF(AND('Atividades Micro'!$A197=A$2,'Atividades Micro'!$K197&lt;&gt;""),'Atividades Micro'!$K197,"")</f>
        <v/>
      </c>
      <c r="B179" s="21" t="str">
        <f>IF(AND('Atividades Micro'!$A197=B$2,'Atividades Micro'!$L197&lt;&gt;""),'Atividades Micro'!$L197,"")</f>
        <v/>
      </c>
      <c r="C179" s="21" t="str">
        <f>IF(AND('Atividades Micro'!$A197=C$2,'Atividades Micro'!$K197&lt;&gt;""),'Atividades Micro'!$K197,"")</f>
        <v/>
      </c>
      <c r="D179" s="21" t="str">
        <f>IF(AND('Atividades Micro'!$A197=D$2,'Atividades Micro'!$L197&lt;&gt;""),'Atividades Micro'!$L197,"")</f>
        <v/>
      </c>
      <c r="E179" s="21" t="str">
        <f>IF(AND('Atividades Micro'!$A197=E$2,'Atividades Micro'!$K197&lt;&gt;""),'Atividades Micro'!$K197,"")</f>
        <v/>
      </c>
      <c r="F179" s="21" t="str">
        <f>IF(AND('Atividades Micro'!$A197=F$2,'Atividades Micro'!$L197&lt;&gt;""),'Atividades Micro'!$L197,"")</f>
        <v/>
      </c>
      <c r="G179" s="21" t="str">
        <f>IF(AND('Atividades Micro'!$A197=G$2,'Atividades Micro'!$K197&lt;&gt;""),'Atividades Micro'!$K197,"")</f>
        <v/>
      </c>
      <c r="H179" s="21" t="str">
        <f>IF(AND('Atividades Micro'!$A197=H$2,'Atividades Micro'!$L197&lt;&gt;""),'Atividades Micro'!$L197,"")</f>
        <v/>
      </c>
      <c r="I179" s="21" t="str">
        <f>IF(AND('Atividades Micro'!$A197=I$2,'Atividades Micro'!$K197&lt;&gt;""),'Atividades Micro'!$K197,"")</f>
        <v/>
      </c>
      <c r="J179" s="21" t="str">
        <f>IF(AND('Atividades Micro'!$A197=J$2,'Atividades Micro'!$L197&lt;&gt;""),'Atividades Micro'!$L197,"")</f>
        <v/>
      </c>
      <c r="K179" s="21" t="str">
        <f>IF(AND('Atividades Micro'!$B197=K$2,'Atividades Micro'!$K197&lt;&gt;""),'Atividades Micro'!$K197,"")</f>
        <v/>
      </c>
      <c r="L179" s="21" t="str">
        <f>IF(AND('Atividades Micro'!$B197=L$2,'Atividades Micro'!$L197&lt;&gt;""),'Atividades Micro'!$L197,"")</f>
        <v/>
      </c>
      <c r="M179" s="21" t="str">
        <f>IF(AND('Atividades Micro'!$B197=M$2,'Atividades Micro'!$K197&lt;&gt;""),'Atividades Micro'!$K197,"")</f>
        <v/>
      </c>
      <c r="N179" s="21" t="str">
        <f>IF(AND('Atividades Micro'!$B197=N$2,'Atividades Micro'!$L197&lt;&gt;""),'Atividades Micro'!$L197,"")</f>
        <v/>
      </c>
      <c r="O179" s="21" t="str">
        <f>IF(AND('Atividades Micro'!$A197=O$2,'Atividades Micro'!$K197&lt;&gt;""),'Atividades Micro'!$K197,"")</f>
        <v/>
      </c>
      <c r="P179" s="21" t="str">
        <f>IF(AND('Atividades Micro'!$A197=P$2,'Atividades Micro'!$L197&lt;&gt;""),'Atividades Micro'!$L197,"")</f>
        <v/>
      </c>
      <c r="Q179" s="21" t="str">
        <f>IF(AND('Atividades Micro'!$B197=Q$2,'Atividades Micro'!$K197&lt;&gt;""),'Atividades Micro'!$K197,"")</f>
        <v/>
      </c>
      <c r="R179" s="21" t="str">
        <f>IF(AND('Atividades Micro'!$B197=R$2,'Atividades Micro'!$L197&lt;&gt;""),'Atividades Micro'!$L197,"")</f>
        <v/>
      </c>
      <c r="S179" s="21" t="str">
        <f>IF(AND('Atividades Micro'!$A197=S$2,'Atividades Micro'!$K197&lt;&gt;""),'Atividades Micro'!$K197,"")</f>
        <v/>
      </c>
      <c r="T179" s="21" t="str">
        <f>IF(AND('Atividades Micro'!$A197=T$2,'Atividades Micro'!$L197&lt;&gt;""),'Atividades Micro'!$L197,"")</f>
        <v/>
      </c>
      <c r="U179" s="21" t="str">
        <f>IF(AND('Atividades Micro'!$B197=U$2,'Atividades Micro'!$K197&lt;&gt;""),'Atividades Micro'!$K197,"")</f>
        <v/>
      </c>
      <c r="V179" s="21" t="str">
        <f>IF(AND('Atividades Micro'!$B197=V$2,'Atividades Micro'!$L197&lt;&gt;""),'Atividades Micro'!$L197,"")</f>
        <v/>
      </c>
      <c r="W179" s="21" t="str">
        <f>IF(AND('Atividades Micro'!$B197=W$2,'Atividades Micro'!$K197&lt;&gt;""),'Atividades Micro'!$K197,"")</f>
        <v/>
      </c>
      <c r="X179" s="21" t="str">
        <f>IF(AND('Atividades Micro'!$B197=X$2,'Atividades Micro'!$L197&lt;&gt;""),'Atividades Micro'!$L197,"")</f>
        <v/>
      </c>
      <c r="Y179" s="21" t="str">
        <f>IF(AND('Atividades Micro'!$A197=Y$2,'Atividades Micro'!$K197&lt;&gt;""),'Atividades Micro'!$K197,"")</f>
        <v/>
      </c>
      <c r="Z179" s="21" t="str">
        <f>IF(AND('Atividades Micro'!$A197=Z$2,'Atividades Micro'!$L197&lt;&gt;""),'Atividades Micro'!$L197,"")</f>
        <v/>
      </c>
      <c r="AA179" s="21" t="str">
        <f>IF(AND('Atividades Micro'!$B197=AA$2,'Atividades Micro'!$K197&lt;&gt;""),'Atividades Micro'!$K197,"")</f>
        <v/>
      </c>
      <c r="AB179" s="21" t="str">
        <f>IF(AND('Atividades Micro'!$B197=AB$2,'Atividades Micro'!$L197&lt;&gt;""),'Atividades Micro'!$L197,"")</f>
        <v/>
      </c>
      <c r="AC179" s="21" t="str">
        <f>IF(AND('Atividades Micro'!$B197=AC$2,'Atividades Micro'!$K197&lt;&gt;""),'Atividades Micro'!$K197,"")</f>
        <v/>
      </c>
      <c r="AD179" s="21" t="str">
        <f>IF(AND('Atividades Micro'!$B197=AD$2,'Atividades Micro'!$L197&lt;&gt;""),'Atividades Micro'!$L197,"")</f>
        <v/>
      </c>
      <c r="AE179" s="21" t="str">
        <f>IF(AND('Atividades Micro'!$A197=AE$2,'Atividades Micro'!$K197&lt;&gt;""),'Atividades Micro'!$K197,"")</f>
        <v/>
      </c>
      <c r="AF179" s="21" t="str">
        <f>IF(AND('Atividades Micro'!$A197=AF$2,'Atividades Micro'!$L197&lt;&gt;""),'Atividades Micro'!$L197,"")</f>
        <v/>
      </c>
      <c r="AG179" s="21" t="str">
        <f>IF(AND('Atividades Micro'!$B197=AG$2,'Atividades Micro'!$K197&lt;&gt;""),'Atividades Micro'!$K197,"")</f>
        <v/>
      </c>
      <c r="AH179" s="21" t="str">
        <f>IF(AND('Atividades Micro'!$B197=AH$2,'Atividades Micro'!$L197&lt;&gt;""),'Atividades Micro'!$L197,"")</f>
        <v/>
      </c>
      <c r="AI179" s="21" t="str">
        <f>IF(AND('Atividades Micro'!$B197=AI$2,'Atividades Micro'!$K197&lt;&gt;""),'Atividades Micro'!$K197,"")</f>
        <v/>
      </c>
      <c r="AJ179" s="21" t="str">
        <f>IF(AND('Atividades Micro'!$B197=AJ$2,'Atividades Micro'!$L197&lt;&gt;""),'Atividades Micro'!$L197,"")</f>
        <v/>
      </c>
      <c r="AK179" s="21" t="str">
        <f>IF(AND('Atividades Micro'!$A197=AK$2,'Atividades Micro'!$K197&lt;&gt;""),'Atividades Micro'!$K197,"")</f>
        <v/>
      </c>
      <c r="AL179" s="21" t="str">
        <f>IF(AND('Atividades Micro'!$A197=AL$2,'Atividades Micro'!$L197&lt;&gt;""),'Atividades Micro'!$L197,"")</f>
        <v/>
      </c>
      <c r="AM179" s="21" t="str">
        <f>IF(AND('Atividades Micro'!$B197=AM$2,'Atividades Micro'!$K197&lt;&gt;""),'Atividades Micro'!$K197,"")</f>
        <v/>
      </c>
      <c r="AN179" s="21" t="str">
        <f>IF(AND('Atividades Micro'!$B197=AN$2,'Atividades Micro'!$L197&lt;&gt;""),'Atividades Micro'!$L197,"")</f>
        <v/>
      </c>
      <c r="AO179" s="21" t="str">
        <f>IF(AND('Atividades Micro'!$B197=AO$2,'Atividades Micro'!$K197&lt;&gt;""),'Atividades Micro'!$K197,"")</f>
        <v/>
      </c>
      <c r="AP179" s="21" t="str">
        <f>IF(AND('Atividades Micro'!$B197=AP$2,'Atividades Micro'!$L197&lt;&gt;""),'Atividades Micro'!$L197,"")</f>
        <v/>
      </c>
      <c r="AQ179" s="21" t="str">
        <f>IF(AND('Atividades Micro'!$A197=AQ$2,'Atividades Micro'!$K197&lt;&gt;""),'Atividades Micro'!$K197,"")</f>
        <v/>
      </c>
      <c r="AR179" s="21" t="str">
        <f>IF(AND('Atividades Micro'!$A197=AR$2,'Atividades Micro'!$L197&lt;&gt;""),'Atividades Micro'!$L197,"")</f>
        <v/>
      </c>
      <c r="AS179" s="21" t="str">
        <f>IF(AND('Atividades Micro'!$B197=AS$2,'Atividades Micro'!$K197&lt;&gt;""),'Atividades Micro'!$K197,"")</f>
        <v/>
      </c>
      <c r="AT179" s="21" t="str">
        <f>IF(AND('Atividades Micro'!$B197=AT$2,'Atividades Micro'!$L197&lt;&gt;""),'Atividades Micro'!$L197,"")</f>
        <v/>
      </c>
      <c r="AU179" s="21" t="str">
        <f>IF(AND('Atividades Micro'!$A197=AU$2,'Atividades Micro'!$K197&lt;&gt;""),'Atividades Micro'!$K197,"")</f>
        <v/>
      </c>
      <c r="AV179" s="21" t="str">
        <f>IF(AND('Atividades Micro'!$A197=AV$2,'Atividades Micro'!$L197&lt;&gt;""),'Atividades Micro'!$L197,"")</f>
        <v/>
      </c>
      <c r="AW179" s="21" t="str">
        <f>IF(AND('Atividades Micro'!$B197=AW$2,'Atividades Micro'!$K197&lt;&gt;""),'Atividades Micro'!$K197,"")</f>
        <v/>
      </c>
      <c r="AX179" s="21" t="str">
        <f>IF(AND('Atividades Micro'!$B197=AX$2,'Atividades Micro'!$L197&lt;&gt;""),'Atividades Micro'!$L197,"")</f>
        <v/>
      </c>
      <c r="AY179" s="21" t="str">
        <f>IF(AND('Atividades Micro'!$A197=AY$2,'Atividades Micro'!$K197&lt;&gt;""),'Atividades Micro'!$K197,"")</f>
        <v/>
      </c>
      <c r="AZ179" s="21" t="str">
        <f>IF(AND('Atividades Micro'!$A197=AZ$2,'Atividades Micro'!$L197&lt;&gt;""),'Atividades Micro'!$L197,"")</f>
        <v/>
      </c>
      <c r="BA179" s="21" t="str">
        <f>IF(AND('Atividades Micro'!$B197=BA$2,'Atividades Micro'!$K197&lt;&gt;""),'Atividades Micro'!$K197,"")</f>
        <v/>
      </c>
      <c r="BB179" s="21" t="str">
        <f>IF(AND('Atividades Micro'!$B197=BB$2,'Atividades Micro'!$L197&lt;&gt;""),'Atividades Micro'!$L197,"")</f>
        <v/>
      </c>
      <c r="BC179" s="21" t="str">
        <f>IF(AND('Atividades Micro'!$B197=BC$2,'Atividades Micro'!$G197="Macro",'Atividades Micro'!$K197&lt;&gt;""),'Atividades Micro'!$K197,"")</f>
        <v/>
      </c>
      <c r="BD179" s="21" t="str">
        <f>IF(AND('Atividades Micro'!$B197=BD$2,'Atividades Micro'!$G197="Macro",'Atividades Micro'!$K197&lt;&gt;""),'Atividades Micro'!$K197,"")</f>
        <v/>
      </c>
      <c r="BE179" s="21" t="str">
        <f>IF(AND('Atividades Micro'!$B197=BE$2,'Atividades Micro'!$G197="Macro",'Atividades Micro'!$K197&lt;&gt;""),'Atividades Micro'!$K197,"")</f>
        <v/>
      </c>
      <c r="BF179" s="21" t="str">
        <f>IF(AND('Atividades Micro'!$B197=BF$2,'Atividades Micro'!$G197="Macro",'Atividades Micro'!$K197&lt;&gt;""),'Atividades Micro'!$K197,"")</f>
        <v/>
      </c>
      <c r="BG179" s="21" t="str">
        <f>IF(AND('Atividades Micro'!$B197=BG$2,'Atividades Micro'!$G197="Macro",'Atividades Micro'!$K197&lt;&gt;""),'Atividades Micro'!$K197,"")</f>
        <v/>
      </c>
      <c r="BH179" s="21" t="str">
        <f>IF(AND('Atividades Micro'!$B197=BH$2,'Atividades Micro'!$G197="Macro",'Atividades Micro'!$K197&lt;&gt;""),'Atividades Micro'!$K197,"")</f>
        <v/>
      </c>
      <c r="BI179" s="21" t="str">
        <f>IF(AND('Atividades Micro'!$B197=BI$2,'Atividades Micro'!$G197="Macro",'Atividades Micro'!$K197&lt;&gt;""),'Atividades Micro'!$K197,"")</f>
        <v/>
      </c>
      <c r="BJ179" s="21" t="str">
        <f>IF(AND('Atividades Micro'!$B197=BJ$2,'Atividades Micro'!$G197="Macro",'Atividades Micro'!$K197&lt;&gt;""),'Atividades Micro'!$K197,"")</f>
        <v/>
      </c>
      <c r="BK179" s="21" t="str">
        <f>IF(AND('Atividades Micro'!$B197=BK$2,'Atividades Micro'!$G197="Macro",'Atividades Micro'!$K197&lt;&gt;""),'Atividades Micro'!$K197,"")</f>
        <v/>
      </c>
      <c r="BL179" s="21" t="str">
        <f>IF(AND('Atividades Micro'!$B197=BL$2,'Atividades Micro'!$G197="Macro",'Atividades Micro'!$K197&lt;&gt;""),'Atividades Micro'!$K197,"")</f>
        <v/>
      </c>
      <c r="BM179" s="21" t="str">
        <f>IF(AND('Atividades Micro'!$B197=BM$2,'Atividades Micro'!$G197="Macro",'Atividades Micro'!$K197&lt;&gt;""),'Atividades Micro'!$K197,"")</f>
        <v/>
      </c>
      <c r="BN179" s="21" t="str">
        <f>IF(AND('Atividades Micro'!$B197=BN$2,'Atividades Micro'!$G197="Macro",'Atividades Micro'!$K197&lt;&gt;""),'Atividades Micro'!$K197,"")</f>
        <v/>
      </c>
      <c r="BO179" s="21" t="str">
        <f>IF(AND('Atividades Micro'!$B197=BO$2,'Atividades Micro'!$G197="Macro",'Atividades Micro'!$K197&lt;&gt;""),'Atividades Micro'!$K197,"")</f>
        <v/>
      </c>
      <c r="BP179" s="21" t="str">
        <f>IF(AND('Atividades Micro'!$B197=BP$2,'Atividades Micro'!$G197="Macro",'Atividades Micro'!$K197&lt;&gt;""),'Atividades Micro'!$K197,"")</f>
        <v/>
      </c>
      <c r="BQ179" s="21" t="str">
        <f>IF(AND('Atividades Micro'!$B197=BQ$2,'Atividades Micro'!$G197="Macro",'Atividades Micro'!$K197&lt;&gt;""),'Atividades Micro'!$K197,"")</f>
        <v/>
      </c>
      <c r="BR179" s="21" t="str">
        <f>IF(AND('Atividades Micro'!$B197=BR$2,'Atividades Micro'!$G197="Macro",'Atividades Micro'!$K197&lt;&gt;""),'Atividades Micro'!$K197,"")</f>
        <v/>
      </c>
      <c r="BS179" s="21" t="str">
        <f>IF(AND('Atividades Micro'!$B197=BS$2,'Atividades Micro'!$G197="Macro",'Atividades Micro'!$K197&lt;&gt;""),'Atividades Micro'!$K197,"")</f>
        <v/>
      </c>
      <c r="BT179" s="21" t="str">
        <f>IF(AND('Atividades Micro'!$B197=BT$2,'Atividades Micro'!$G197="Macro",'Atividades Micro'!$K197&lt;&gt;""),'Atividades Micro'!$K197,"")</f>
        <v/>
      </c>
      <c r="BU179" s="21" t="str">
        <f>IF(AND('Atividades Micro'!$B197=BU$2,'Atividades Micro'!$G197="Macro",'Atividades Micro'!$K197&lt;&gt;""),'Atividades Micro'!$K197,"")</f>
        <v/>
      </c>
      <c r="BV179" s="21" t="str">
        <f>IF(AND('Atividades Micro'!$B197=BV$2,'Atividades Micro'!$G197="Macro",'Atividades Micro'!$K197&lt;&gt;""),'Atividades Micro'!$K197,"")</f>
        <v/>
      </c>
      <c r="BW179" s="21" t="str">
        <f>IF(AND('Atividades Micro'!$B197=BW$2,'Atividades Micro'!$G197="Macro",'Atividades Micro'!$K197&lt;&gt;""),'Atividades Micro'!$K197,"")</f>
        <v/>
      </c>
      <c r="BX179" s="21" t="str">
        <f>IF(AND('Atividades Micro'!$B197=BX$2,'Atividades Micro'!$G197="Macro",'Atividades Micro'!$K197&lt;&gt;""),'Atividades Micro'!$K197,"")</f>
        <v/>
      </c>
      <c r="BY179" s="21" t="str">
        <f>IF(AND('Atividades Micro'!$B197=BY$2,'Atividades Micro'!$G197="Macro",'Atividades Micro'!$K197&lt;&gt;""),'Atividades Micro'!$K197,"")</f>
        <v/>
      </c>
      <c r="BZ179" s="21" t="str">
        <f>IF(AND('Atividades Micro'!$B197=BZ$2,'Atividades Micro'!$G197="Macro",'Atividades Micro'!$K197&lt;&gt;""),'Atividades Micro'!$K197,"")</f>
        <v/>
      </c>
      <c r="CA179" s="21" t="str">
        <f>IF(AND('Atividades Micro'!$B197=CA$2,'Atividades Micro'!$G197="Macro",'Atividades Micro'!$K197&lt;&gt;""),'Atividades Micro'!$K197,"")</f>
        <v/>
      </c>
      <c r="CB179" s="21" t="str">
        <f>IF(AND('Atividades Micro'!$B197=CB$2,'Atividades Micro'!$G197="Macro",'Atividades Micro'!$K197&lt;&gt;""),'Atividades Micro'!$K197,"")</f>
        <v/>
      </c>
      <c r="CC179" s="21" t="str">
        <f>IF(AND('Atividades Micro'!$B197=CC$2,'Atividades Micro'!$G197="Macro",'Atividades Micro'!$K197&lt;&gt;""),'Atividades Micro'!$K197,"")</f>
        <v/>
      </c>
      <c r="CD179" s="21" t="str">
        <f>IF(AND('Atividades Micro'!$B197=CD$2,'Atividades Micro'!$G197="Micro",'Atividades Micro'!$K197&lt;&gt;""),'Atividades Micro'!$K197,"")</f>
        <v/>
      </c>
      <c r="CE179" s="21" t="str">
        <f>IF(AND('Atividades Micro'!$B197=CE$2,'Atividades Micro'!$G197="Micro",'Atividades Micro'!$K197&lt;&gt;""),'Atividades Micro'!$K197,"")</f>
        <v/>
      </c>
      <c r="CF179" s="21" t="str">
        <f>IF(AND('Atividades Micro'!$B197=CF$2,'Atividades Micro'!$G197="Micro",'Atividades Micro'!$K197&lt;&gt;""),'Atividades Micro'!$K197,"")</f>
        <v/>
      </c>
      <c r="CG179" s="21" t="str">
        <f>IF(AND('Atividades Micro'!$B197=CG$2,'Atividades Micro'!$G197="Micro",'Atividades Micro'!$K197&lt;&gt;""),'Atividades Micro'!$K197,"")</f>
        <v/>
      </c>
      <c r="CH179" s="21" t="str">
        <f>IF(AND('Atividades Micro'!$B197=CH$2,'Atividades Micro'!$G197="Micro",'Atividades Micro'!$K197&lt;&gt;""),'Atividades Micro'!$K197,"")</f>
        <v/>
      </c>
      <c r="CI179" s="21" t="str">
        <f>IF(AND('Atividades Micro'!$B197=CI$2,'Atividades Micro'!$G197="Micro",'Atividades Micro'!$K197&lt;&gt;""),'Atividades Micro'!$K197,"")</f>
        <v/>
      </c>
      <c r="CJ179" s="21" t="str">
        <f>IF(AND('Atividades Micro'!$B197=CJ$2,'Atividades Micro'!$G197="Micro",'Atividades Micro'!$K197&lt;&gt;""),'Atividades Micro'!$K197,"")</f>
        <v/>
      </c>
      <c r="CK179" s="21" t="str">
        <f>IF(AND('Atividades Micro'!$B197=CK$2,'Atividades Micro'!$G197="Micro",'Atividades Micro'!$K197&lt;&gt;""),'Atividades Micro'!$K197,"")</f>
        <v/>
      </c>
      <c r="CL179" s="21" t="str">
        <f>IF(AND('Atividades Micro'!$B197=CL$2,'Atividades Micro'!$G197="Micro",'Atividades Micro'!$K197&lt;&gt;""),'Atividades Micro'!$K197,"")</f>
        <v/>
      </c>
      <c r="CM179" s="21" t="str">
        <f>IF(AND('Atividades Micro'!$B197=CM$2,'Atividades Micro'!$G197="Micro",'Atividades Micro'!$K197&lt;&gt;""),'Atividades Micro'!$K197,"")</f>
        <v/>
      </c>
      <c r="CN179" s="21" t="str">
        <f>IF(AND('Atividades Micro'!$B197=CN$2,'Atividades Micro'!$G197="Micro",'Atividades Micro'!$K197&lt;&gt;""),'Atividades Micro'!$K197,"")</f>
        <v/>
      </c>
      <c r="CO179" s="21" t="str">
        <f>IF(AND('Atividades Micro'!$B197=CO$2,'Atividades Micro'!$G197="Micro",'Atividades Micro'!$K197&lt;&gt;""),'Atividades Micro'!$K197,"")</f>
        <v/>
      </c>
    </row>
    <row r="180" spans="1:93">
      <c r="A180" s="21" t="str">
        <f>IF(AND('Atividades Micro'!$A198=A$2,'Atividades Micro'!$K198&lt;&gt;""),'Atividades Micro'!$K198,"")</f>
        <v/>
      </c>
      <c r="B180" s="21" t="str">
        <f>IF(AND('Atividades Micro'!$A198=B$2,'Atividades Micro'!$L198&lt;&gt;""),'Atividades Micro'!$L198,"")</f>
        <v/>
      </c>
      <c r="C180" s="21" t="str">
        <f>IF(AND('Atividades Micro'!$A198=C$2,'Atividades Micro'!$K198&lt;&gt;""),'Atividades Micro'!$K198,"")</f>
        <v/>
      </c>
      <c r="D180" s="21" t="str">
        <f>IF(AND('Atividades Micro'!$A198=D$2,'Atividades Micro'!$L198&lt;&gt;""),'Atividades Micro'!$L198,"")</f>
        <v/>
      </c>
      <c r="E180" s="21" t="str">
        <f>IF(AND('Atividades Micro'!$A198=E$2,'Atividades Micro'!$K198&lt;&gt;""),'Atividades Micro'!$K198,"")</f>
        <v/>
      </c>
      <c r="F180" s="21" t="str">
        <f>IF(AND('Atividades Micro'!$A198=F$2,'Atividades Micro'!$L198&lt;&gt;""),'Atividades Micro'!$L198,"")</f>
        <v/>
      </c>
      <c r="G180" s="21" t="str">
        <f>IF(AND('Atividades Micro'!$A198=G$2,'Atividades Micro'!$K198&lt;&gt;""),'Atividades Micro'!$K198,"")</f>
        <v/>
      </c>
      <c r="H180" s="21" t="str">
        <f>IF(AND('Atividades Micro'!$A198=H$2,'Atividades Micro'!$L198&lt;&gt;""),'Atividades Micro'!$L198,"")</f>
        <v/>
      </c>
      <c r="I180" s="21" t="str">
        <f>IF(AND('Atividades Micro'!$A198=I$2,'Atividades Micro'!$K198&lt;&gt;""),'Atividades Micro'!$K198,"")</f>
        <v/>
      </c>
      <c r="J180" s="21" t="str">
        <f>IF(AND('Atividades Micro'!$A198=J$2,'Atividades Micro'!$L198&lt;&gt;""),'Atividades Micro'!$L198,"")</f>
        <v/>
      </c>
      <c r="K180" s="21" t="str">
        <f>IF(AND('Atividades Micro'!$B198=K$2,'Atividades Micro'!$K198&lt;&gt;""),'Atividades Micro'!$K198,"")</f>
        <v/>
      </c>
      <c r="L180" s="21" t="str">
        <f>IF(AND('Atividades Micro'!$B198=L$2,'Atividades Micro'!$L198&lt;&gt;""),'Atividades Micro'!$L198,"")</f>
        <v/>
      </c>
      <c r="M180" s="21" t="str">
        <f>IF(AND('Atividades Micro'!$B198=M$2,'Atividades Micro'!$K198&lt;&gt;""),'Atividades Micro'!$K198,"")</f>
        <v/>
      </c>
      <c r="N180" s="21" t="str">
        <f>IF(AND('Atividades Micro'!$B198=N$2,'Atividades Micro'!$L198&lt;&gt;""),'Atividades Micro'!$L198,"")</f>
        <v/>
      </c>
      <c r="O180" s="21" t="str">
        <f>IF(AND('Atividades Micro'!$A198=O$2,'Atividades Micro'!$K198&lt;&gt;""),'Atividades Micro'!$K198,"")</f>
        <v/>
      </c>
      <c r="P180" s="21" t="str">
        <f>IF(AND('Atividades Micro'!$A198=P$2,'Atividades Micro'!$L198&lt;&gt;""),'Atividades Micro'!$L198,"")</f>
        <v/>
      </c>
      <c r="Q180" s="21" t="str">
        <f>IF(AND('Atividades Micro'!$B198=Q$2,'Atividades Micro'!$K198&lt;&gt;""),'Atividades Micro'!$K198,"")</f>
        <v/>
      </c>
      <c r="R180" s="21" t="str">
        <f>IF(AND('Atividades Micro'!$B198=R$2,'Atividades Micro'!$L198&lt;&gt;""),'Atividades Micro'!$L198,"")</f>
        <v/>
      </c>
      <c r="S180" s="21" t="str">
        <f>IF(AND('Atividades Micro'!$A198=S$2,'Atividades Micro'!$K198&lt;&gt;""),'Atividades Micro'!$K198,"")</f>
        <v/>
      </c>
      <c r="T180" s="21" t="str">
        <f>IF(AND('Atividades Micro'!$A198=T$2,'Atividades Micro'!$L198&lt;&gt;""),'Atividades Micro'!$L198,"")</f>
        <v/>
      </c>
      <c r="U180" s="21" t="str">
        <f>IF(AND('Atividades Micro'!$B198=U$2,'Atividades Micro'!$K198&lt;&gt;""),'Atividades Micro'!$K198,"")</f>
        <v/>
      </c>
      <c r="V180" s="21" t="str">
        <f>IF(AND('Atividades Micro'!$B198=V$2,'Atividades Micro'!$L198&lt;&gt;""),'Atividades Micro'!$L198,"")</f>
        <v/>
      </c>
      <c r="W180" s="21" t="str">
        <f>IF(AND('Atividades Micro'!$B198=W$2,'Atividades Micro'!$K198&lt;&gt;""),'Atividades Micro'!$K198,"")</f>
        <v/>
      </c>
      <c r="X180" s="21" t="str">
        <f>IF(AND('Atividades Micro'!$B198=X$2,'Atividades Micro'!$L198&lt;&gt;""),'Atividades Micro'!$L198,"")</f>
        <v/>
      </c>
      <c r="Y180" s="21" t="str">
        <f>IF(AND('Atividades Micro'!$A198=Y$2,'Atividades Micro'!$K198&lt;&gt;""),'Atividades Micro'!$K198,"")</f>
        <v/>
      </c>
      <c r="Z180" s="21" t="str">
        <f>IF(AND('Atividades Micro'!$A198=Z$2,'Atividades Micro'!$L198&lt;&gt;""),'Atividades Micro'!$L198,"")</f>
        <v/>
      </c>
      <c r="AA180" s="21" t="str">
        <f>IF(AND('Atividades Micro'!$B198=AA$2,'Atividades Micro'!$K198&lt;&gt;""),'Atividades Micro'!$K198,"")</f>
        <v/>
      </c>
      <c r="AB180" s="21" t="str">
        <f>IF(AND('Atividades Micro'!$B198=AB$2,'Atividades Micro'!$L198&lt;&gt;""),'Atividades Micro'!$L198,"")</f>
        <v/>
      </c>
      <c r="AC180" s="21" t="str">
        <f>IF(AND('Atividades Micro'!$B198=AC$2,'Atividades Micro'!$K198&lt;&gt;""),'Atividades Micro'!$K198,"")</f>
        <v/>
      </c>
      <c r="AD180" s="21" t="str">
        <f>IF(AND('Atividades Micro'!$B198=AD$2,'Atividades Micro'!$L198&lt;&gt;""),'Atividades Micro'!$L198,"")</f>
        <v/>
      </c>
      <c r="AE180" s="21" t="str">
        <f>IF(AND('Atividades Micro'!$A198=AE$2,'Atividades Micro'!$K198&lt;&gt;""),'Atividades Micro'!$K198,"")</f>
        <v/>
      </c>
      <c r="AF180" s="21" t="str">
        <f>IF(AND('Atividades Micro'!$A198=AF$2,'Atividades Micro'!$L198&lt;&gt;""),'Atividades Micro'!$L198,"")</f>
        <v/>
      </c>
      <c r="AG180" s="21" t="str">
        <f>IF(AND('Atividades Micro'!$B198=AG$2,'Atividades Micro'!$K198&lt;&gt;""),'Atividades Micro'!$K198,"")</f>
        <v/>
      </c>
      <c r="AH180" s="21" t="str">
        <f>IF(AND('Atividades Micro'!$B198=AH$2,'Atividades Micro'!$L198&lt;&gt;""),'Atividades Micro'!$L198,"")</f>
        <v/>
      </c>
      <c r="AI180" s="21" t="str">
        <f>IF(AND('Atividades Micro'!$B198=AI$2,'Atividades Micro'!$K198&lt;&gt;""),'Atividades Micro'!$K198,"")</f>
        <v/>
      </c>
      <c r="AJ180" s="21" t="str">
        <f>IF(AND('Atividades Micro'!$B198=AJ$2,'Atividades Micro'!$L198&lt;&gt;""),'Atividades Micro'!$L198,"")</f>
        <v/>
      </c>
      <c r="AK180" s="21" t="str">
        <f>IF(AND('Atividades Micro'!$A198=AK$2,'Atividades Micro'!$K198&lt;&gt;""),'Atividades Micro'!$K198,"")</f>
        <v/>
      </c>
      <c r="AL180" s="21" t="str">
        <f>IF(AND('Atividades Micro'!$A198=AL$2,'Atividades Micro'!$L198&lt;&gt;""),'Atividades Micro'!$L198,"")</f>
        <v/>
      </c>
      <c r="AM180" s="21" t="str">
        <f>IF(AND('Atividades Micro'!$B198=AM$2,'Atividades Micro'!$K198&lt;&gt;""),'Atividades Micro'!$K198,"")</f>
        <v/>
      </c>
      <c r="AN180" s="21" t="str">
        <f>IF(AND('Atividades Micro'!$B198=AN$2,'Atividades Micro'!$L198&lt;&gt;""),'Atividades Micro'!$L198,"")</f>
        <v/>
      </c>
      <c r="AO180" s="21" t="str">
        <f>IF(AND('Atividades Micro'!$B198=AO$2,'Atividades Micro'!$K198&lt;&gt;""),'Atividades Micro'!$K198,"")</f>
        <v/>
      </c>
      <c r="AP180" s="21" t="str">
        <f>IF(AND('Atividades Micro'!$B198=AP$2,'Atividades Micro'!$L198&lt;&gt;""),'Atividades Micro'!$L198,"")</f>
        <v/>
      </c>
      <c r="AQ180" s="21" t="str">
        <f>IF(AND('Atividades Micro'!$A198=AQ$2,'Atividades Micro'!$K198&lt;&gt;""),'Atividades Micro'!$K198,"")</f>
        <v/>
      </c>
      <c r="AR180" s="21" t="str">
        <f>IF(AND('Atividades Micro'!$A198=AR$2,'Atividades Micro'!$L198&lt;&gt;""),'Atividades Micro'!$L198,"")</f>
        <v/>
      </c>
      <c r="AS180" s="21" t="str">
        <f>IF(AND('Atividades Micro'!$B198=AS$2,'Atividades Micro'!$K198&lt;&gt;""),'Atividades Micro'!$K198,"")</f>
        <v/>
      </c>
      <c r="AT180" s="21" t="str">
        <f>IF(AND('Atividades Micro'!$B198=AT$2,'Atividades Micro'!$L198&lt;&gt;""),'Atividades Micro'!$L198,"")</f>
        <v/>
      </c>
      <c r="AU180" s="21" t="str">
        <f>IF(AND('Atividades Micro'!$A198=AU$2,'Atividades Micro'!$K198&lt;&gt;""),'Atividades Micro'!$K198,"")</f>
        <v/>
      </c>
      <c r="AV180" s="21" t="str">
        <f>IF(AND('Atividades Micro'!$A198=AV$2,'Atividades Micro'!$L198&lt;&gt;""),'Atividades Micro'!$L198,"")</f>
        <v/>
      </c>
      <c r="AW180" s="21" t="str">
        <f>IF(AND('Atividades Micro'!$B198=AW$2,'Atividades Micro'!$K198&lt;&gt;""),'Atividades Micro'!$K198,"")</f>
        <v/>
      </c>
      <c r="AX180" s="21" t="str">
        <f>IF(AND('Atividades Micro'!$B198=AX$2,'Atividades Micro'!$L198&lt;&gt;""),'Atividades Micro'!$L198,"")</f>
        <v/>
      </c>
      <c r="AY180" s="21" t="str">
        <f>IF(AND('Atividades Micro'!$A198=AY$2,'Atividades Micro'!$K198&lt;&gt;""),'Atividades Micro'!$K198,"")</f>
        <v/>
      </c>
      <c r="AZ180" s="21" t="str">
        <f>IF(AND('Atividades Micro'!$A198=AZ$2,'Atividades Micro'!$L198&lt;&gt;""),'Atividades Micro'!$L198,"")</f>
        <v/>
      </c>
      <c r="BA180" s="21" t="str">
        <f>IF(AND('Atividades Micro'!$B198=BA$2,'Atividades Micro'!$K198&lt;&gt;""),'Atividades Micro'!$K198,"")</f>
        <v/>
      </c>
      <c r="BB180" s="21" t="str">
        <f>IF(AND('Atividades Micro'!$B198=BB$2,'Atividades Micro'!$L198&lt;&gt;""),'Atividades Micro'!$L198,"")</f>
        <v/>
      </c>
      <c r="BC180" s="21" t="str">
        <f>IF(AND('Atividades Micro'!$B198=BC$2,'Atividades Micro'!$G198="Macro",'Atividades Micro'!$K198&lt;&gt;""),'Atividades Micro'!$K198,"")</f>
        <v/>
      </c>
      <c r="BD180" s="21" t="str">
        <f>IF(AND('Atividades Micro'!$B198=BD$2,'Atividades Micro'!$G198="Macro",'Atividades Micro'!$K198&lt;&gt;""),'Atividades Micro'!$K198,"")</f>
        <v/>
      </c>
      <c r="BE180" s="21" t="str">
        <f>IF(AND('Atividades Micro'!$B198=BE$2,'Atividades Micro'!$G198="Macro",'Atividades Micro'!$K198&lt;&gt;""),'Atividades Micro'!$K198,"")</f>
        <v/>
      </c>
      <c r="BF180" s="21" t="str">
        <f>IF(AND('Atividades Micro'!$B198=BF$2,'Atividades Micro'!$G198="Macro",'Atividades Micro'!$K198&lt;&gt;""),'Atividades Micro'!$K198,"")</f>
        <v/>
      </c>
      <c r="BG180" s="21" t="str">
        <f>IF(AND('Atividades Micro'!$B198=BG$2,'Atividades Micro'!$G198="Macro",'Atividades Micro'!$K198&lt;&gt;""),'Atividades Micro'!$K198,"")</f>
        <v/>
      </c>
      <c r="BH180" s="21" t="str">
        <f>IF(AND('Atividades Micro'!$B198=BH$2,'Atividades Micro'!$G198="Macro",'Atividades Micro'!$K198&lt;&gt;""),'Atividades Micro'!$K198,"")</f>
        <v/>
      </c>
      <c r="BI180" s="21" t="str">
        <f>IF(AND('Atividades Micro'!$B198=BI$2,'Atividades Micro'!$G198="Macro",'Atividades Micro'!$K198&lt;&gt;""),'Atividades Micro'!$K198,"")</f>
        <v/>
      </c>
      <c r="BJ180" s="21" t="str">
        <f>IF(AND('Atividades Micro'!$B198=BJ$2,'Atividades Micro'!$G198="Macro",'Atividades Micro'!$K198&lt;&gt;""),'Atividades Micro'!$K198,"")</f>
        <v/>
      </c>
      <c r="BK180" s="21" t="str">
        <f>IF(AND('Atividades Micro'!$B198=BK$2,'Atividades Micro'!$G198="Macro",'Atividades Micro'!$K198&lt;&gt;""),'Atividades Micro'!$K198,"")</f>
        <v/>
      </c>
      <c r="BL180" s="21" t="str">
        <f>IF(AND('Atividades Micro'!$B198=BL$2,'Atividades Micro'!$G198="Macro",'Atividades Micro'!$K198&lt;&gt;""),'Atividades Micro'!$K198,"")</f>
        <v/>
      </c>
      <c r="BM180" s="21" t="str">
        <f>IF(AND('Atividades Micro'!$B198=BM$2,'Atividades Micro'!$G198="Macro",'Atividades Micro'!$K198&lt;&gt;""),'Atividades Micro'!$K198,"")</f>
        <v/>
      </c>
      <c r="BN180" s="21" t="str">
        <f>IF(AND('Atividades Micro'!$B198=BN$2,'Atividades Micro'!$G198="Macro",'Atividades Micro'!$K198&lt;&gt;""),'Atividades Micro'!$K198,"")</f>
        <v/>
      </c>
      <c r="BO180" s="21" t="str">
        <f>IF(AND('Atividades Micro'!$B198=BO$2,'Atividades Micro'!$G198="Macro",'Atividades Micro'!$K198&lt;&gt;""),'Atividades Micro'!$K198,"")</f>
        <v/>
      </c>
      <c r="BP180" s="21" t="str">
        <f>IF(AND('Atividades Micro'!$B198=BP$2,'Atividades Micro'!$G198="Macro",'Atividades Micro'!$K198&lt;&gt;""),'Atividades Micro'!$K198,"")</f>
        <v/>
      </c>
      <c r="BQ180" s="21" t="str">
        <f>IF(AND('Atividades Micro'!$B198=BQ$2,'Atividades Micro'!$G198="Macro",'Atividades Micro'!$K198&lt;&gt;""),'Atividades Micro'!$K198,"")</f>
        <v/>
      </c>
      <c r="BR180" s="21" t="str">
        <f>IF(AND('Atividades Micro'!$B198=BR$2,'Atividades Micro'!$G198="Macro",'Atividades Micro'!$K198&lt;&gt;""),'Atividades Micro'!$K198,"")</f>
        <v/>
      </c>
      <c r="BS180" s="21" t="str">
        <f>IF(AND('Atividades Micro'!$B198=BS$2,'Atividades Micro'!$G198="Macro",'Atividades Micro'!$K198&lt;&gt;""),'Atividades Micro'!$K198,"")</f>
        <v/>
      </c>
      <c r="BT180" s="21" t="str">
        <f>IF(AND('Atividades Micro'!$B198=BT$2,'Atividades Micro'!$G198="Macro",'Atividades Micro'!$K198&lt;&gt;""),'Atividades Micro'!$K198,"")</f>
        <v/>
      </c>
      <c r="BU180" s="21" t="str">
        <f>IF(AND('Atividades Micro'!$B198=BU$2,'Atividades Micro'!$G198="Macro",'Atividades Micro'!$K198&lt;&gt;""),'Atividades Micro'!$K198,"")</f>
        <v/>
      </c>
      <c r="BV180" s="21" t="str">
        <f>IF(AND('Atividades Micro'!$B198=BV$2,'Atividades Micro'!$G198="Macro",'Atividades Micro'!$K198&lt;&gt;""),'Atividades Micro'!$K198,"")</f>
        <v/>
      </c>
      <c r="BW180" s="21" t="str">
        <f>IF(AND('Atividades Micro'!$B198=BW$2,'Atividades Micro'!$G198="Macro",'Atividades Micro'!$K198&lt;&gt;""),'Atividades Micro'!$K198,"")</f>
        <v/>
      </c>
      <c r="BX180" s="21" t="str">
        <f>IF(AND('Atividades Micro'!$B198=BX$2,'Atividades Micro'!$G198="Macro",'Atividades Micro'!$K198&lt;&gt;""),'Atividades Micro'!$K198,"")</f>
        <v/>
      </c>
      <c r="BY180" s="21" t="str">
        <f>IF(AND('Atividades Micro'!$B198=BY$2,'Atividades Micro'!$G198="Macro",'Atividades Micro'!$K198&lt;&gt;""),'Atividades Micro'!$K198,"")</f>
        <v/>
      </c>
      <c r="BZ180" s="21" t="str">
        <f>IF(AND('Atividades Micro'!$B198=BZ$2,'Atividades Micro'!$G198="Macro",'Atividades Micro'!$K198&lt;&gt;""),'Atividades Micro'!$K198,"")</f>
        <v/>
      </c>
      <c r="CA180" s="21" t="str">
        <f>IF(AND('Atividades Micro'!$B198=CA$2,'Atividades Micro'!$G198="Macro",'Atividades Micro'!$K198&lt;&gt;""),'Atividades Micro'!$K198,"")</f>
        <v/>
      </c>
      <c r="CB180" s="21" t="str">
        <f>IF(AND('Atividades Micro'!$B198=CB$2,'Atividades Micro'!$G198="Macro",'Atividades Micro'!$K198&lt;&gt;""),'Atividades Micro'!$K198,"")</f>
        <v/>
      </c>
      <c r="CC180" s="21" t="str">
        <f>IF(AND('Atividades Micro'!$B198=CC$2,'Atividades Micro'!$G198="Macro",'Atividades Micro'!$K198&lt;&gt;""),'Atividades Micro'!$K198,"")</f>
        <v/>
      </c>
      <c r="CD180" s="21" t="str">
        <f>IF(AND('Atividades Micro'!$B198=CD$2,'Atividades Micro'!$G198="Micro",'Atividades Micro'!$K198&lt;&gt;""),'Atividades Micro'!$K198,"")</f>
        <v/>
      </c>
      <c r="CE180" s="21" t="str">
        <f>IF(AND('Atividades Micro'!$B198=CE$2,'Atividades Micro'!$G198="Micro",'Atividades Micro'!$K198&lt;&gt;""),'Atividades Micro'!$K198,"")</f>
        <v/>
      </c>
      <c r="CF180" s="21" t="str">
        <f>IF(AND('Atividades Micro'!$B198=CF$2,'Atividades Micro'!$G198="Micro",'Atividades Micro'!$K198&lt;&gt;""),'Atividades Micro'!$K198,"")</f>
        <v/>
      </c>
      <c r="CG180" s="21" t="str">
        <f>IF(AND('Atividades Micro'!$B198=CG$2,'Atividades Micro'!$G198="Micro",'Atividades Micro'!$K198&lt;&gt;""),'Atividades Micro'!$K198,"")</f>
        <v/>
      </c>
      <c r="CH180" s="21" t="str">
        <f>IF(AND('Atividades Micro'!$B198=CH$2,'Atividades Micro'!$G198="Micro",'Atividades Micro'!$K198&lt;&gt;""),'Atividades Micro'!$K198,"")</f>
        <v/>
      </c>
      <c r="CI180" s="21" t="str">
        <f>IF(AND('Atividades Micro'!$B198=CI$2,'Atividades Micro'!$G198="Micro",'Atividades Micro'!$K198&lt;&gt;""),'Atividades Micro'!$K198,"")</f>
        <v/>
      </c>
      <c r="CJ180" s="21" t="str">
        <f>IF(AND('Atividades Micro'!$B198=CJ$2,'Atividades Micro'!$G198="Micro",'Atividades Micro'!$K198&lt;&gt;""),'Atividades Micro'!$K198,"")</f>
        <v/>
      </c>
      <c r="CK180" s="21" t="str">
        <f>IF(AND('Atividades Micro'!$B198=CK$2,'Atividades Micro'!$G198="Micro",'Atividades Micro'!$K198&lt;&gt;""),'Atividades Micro'!$K198,"")</f>
        <v/>
      </c>
      <c r="CL180" s="21" t="str">
        <f>IF(AND('Atividades Micro'!$B198=CL$2,'Atividades Micro'!$G198="Micro",'Atividades Micro'!$K198&lt;&gt;""),'Atividades Micro'!$K198,"")</f>
        <v/>
      </c>
      <c r="CM180" s="21" t="str">
        <f>IF(AND('Atividades Micro'!$B198=CM$2,'Atividades Micro'!$G198="Micro",'Atividades Micro'!$K198&lt;&gt;""),'Atividades Micro'!$K198,"")</f>
        <v/>
      </c>
      <c r="CN180" s="21" t="str">
        <f>IF(AND('Atividades Micro'!$B198=CN$2,'Atividades Micro'!$G198="Micro",'Atividades Micro'!$K198&lt;&gt;""),'Atividades Micro'!$K198,"")</f>
        <v/>
      </c>
      <c r="CO180" s="21" t="str">
        <f>IF(AND('Atividades Micro'!$B198=CO$2,'Atividades Micro'!$G198="Micro",'Atividades Micro'!$K198&lt;&gt;""),'Atividades Micro'!$K198,"")</f>
        <v/>
      </c>
    </row>
    <row r="181" spans="1:93">
      <c r="A181" s="21" t="str">
        <f>IF(AND('Atividades Micro'!$A199=A$2,'Atividades Micro'!$K199&lt;&gt;""),'Atividades Micro'!$K199,"")</f>
        <v/>
      </c>
      <c r="B181" s="21" t="str">
        <f>IF(AND('Atividades Micro'!$A199=B$2,'Atividades Micro'!$L199&lt;&gt;""),'Atividades Micro'!$L199,"")</f>
        <v/>
      </c>
      <c r="C181" s="21" t="str">
        <f>IF(AND('Atividades Micro'!$A199=C$2,'Atividades Micro'!$K199&lt;&gt;""),'Atividades Micro'!$K199,"")</f>
        <v/>
      </c>
      <c r="D181" s="21" t="str">
        <f>IF(AND('Atividades Micro'!$A199=D$2,'Atividades Micro'!$L199&lt;&gt;""),'Atividades Micro'!$L199,"")</f>
        <v/>
      </c>
      <c r="E181" s="21" t="str">
        <f>IF(AND('Atividades Micro'!$A199=E$2,'Atividades Micro'!$K199&lt;&gt;""),'Atividades Micro'!$K199,"")</f>
        <v/>
      </c>
      <c r="F181" s="21" t="str">
        <f>IF(AND('Atividades Micro'!$A199=F$2,'Atividades Micro'!$L199&lt;&gt;""),'Atividades Micro'!$L199,"")</f>
        <v/>
      </c>
      <c r="G181" s="21" t="str">
        <f>IF(AND('Atividades Micro'!$A199=G$2,'Atividades Micro'!$K199&lt;&gt;""),'Atividades Micro'!$K199,"")</f>
        <v/>
      </c>
      <c r="H181" s="21" t="str">
        <f>IF(AND('Atividades Micro'!$A199=H$2,'Atividades Micro'!$L199&lt;&gt;""),'Atividades Micro'!$L199,"")</f>
        <v/>
      </c>
      <c r="I181" s="21" t="str">
        <f>IF(AND('Atividades Micro'!$A199=I$2,'Atividades Micro'!$K199&lt;&gt;""),'Atividades Micro'!$K199,"")</f>
        <v/>
      </c>
      <c r="J181" s="21" t="str">
        <f>IF(AND('Atividades Micro'!$A199=J$2,'Atividades Micro'!$L199&lt;&gt;""),'Atividades Micro'!$L199,"")</f>
        <v/>
      </c>
      <c r="K181" s="21" t="str">
        <f>IF(AND('Atividades Micro'!$B199=K$2,'Atividades Micro'!$K199&lt;&gt;""),'Atividades Micro'!$K199,"")</f>
        <v/>
      </c>
      <c r="L181" s="21" t="str">
        <f>IF(AND('Atividades Micro'!$B199=L$2,'Atividades Micro'!$L199&lt;&gt;""),'Atividades Micro'!$L199,"")</f>
        <v/>
      </c>
      <c r="M181" s="21" t="str">
        <f>IF(AND('Atividades Micro'!$B199=M$2,'Atividades Micro'!$K199&lt;&gt;""),'Atividades Micro'!$K199,"")</f>
        <v/>
      </c>
      <c r="N181" s="21" t="str">
        <f>IF(AND('Atividades Micro'!$B199=N$2,'Atividades Micro'!$L199&lt;&gt;""),'Atividades Micro'!$L199,"")</f>
        <v/>
      </c>
      <c r="O181" s="21" t="str">
        <f>IF(AND('Atividades Micro'!$A199=O$2,'Atividades Micro'!$K199&lt;&gt;""),'Atividades Micro'!$K199,"")</f>
        <v/>
      </c>
      <c r="P181" s="21" t="str">
        <f>IF(AND('Atividades Micro'!$A199=P$2,'Atividades Micro'!$L199&lt;&gt;""),'Atividades Micro'!$L199,"")</f>
        <v/>
      </c>
      <c r="Q181" s="21" t="str">
        <f>IF(AND('Atividades Micro'!$B199=Q$2,'Atividades Micro'!$K199&lt;&gt;""),'Atividades Micro'!$K199,"")</f>
        <v/>
      </c>
      <c r="R181" s="21" t="str">
        <f>IF(AND('Atividades Micro'!$B199=R$2,'Atividades Micro'!$L199&lt;&gt;""),'Atividades Micro'!$L199,"")</f>
        <v/>
      </c>
      <c r="S181" s="21" t="str">
        <f>IF(AND('Atividades Micro'!$A199=S$2,'Atividades Micro'!$K199&lt;&gt;""),'Atividades Micro'!$K199,"")</f>
        <v/>
      </c>
      <c r="T181" s="21" t="str">
        <f>IF(AND('Atividades Micro'!$A199=T$2,'Atividades Micro'!$L199&lt;&gt;""),'Atividades Micro'!$L199,"")</f>
        <v/>
      </c>
      <c r="U181" s="21" t="str">
        <f>IF(AND('Atividades Micro'!$B199=U$2,'Atividades Micro'!$K199&lt;&gt;""),'Atividades Micro'!$K199,"")</f>
        <v/>
      </c>
      <c r="V181" s="21" t="str">
        <f>IF(AND('Atividades Micro'!$B199=V$2,'Atividades Micro'!$L199&lt;&gt;""),'Atividades Micro'!$L199,"")</f>
        <v/>
      </c>
      <c r="W181" s="21" t="str">
        <f>IF(AND('Atividades Micro'!$B199=W$2,'Atividades Micro'!$K199&lt;&gt;""),'Atividades Micro'!$K199,"")</f>
        <v/>
      </c>
      <c r="X181" s="21" t="str">
        <f>IF(AND('Atividades Micro'!$B199=X$2,'Atividades Micro'!$L199&lt;&gt;""),'Atividades Micro'!$L199,"")</f>
        <v/>
      </c>
      <c r="Y181" s="21" t="str">
        <f>IF(AND('Atividades Micro'!$A199=Y$2,'Atividades Micro'!$K199&lt;&gt;""),'Atividades Micro'!$K199,"")</f>
        <v/>
      </c>
      <c r="Z181" s="21" t="str">
        <f>IF(AND('Atividades Micro'!$A199=Z$2,'Atividades Micro'!$L199&lt;&gt;""),'Atividades Micro'!$L199,"")</f>
        <v/>
      </c>
      <c r="AA181" s="21" t="str">
        <f>IF(AND('Atividades Micro'!$B199=AA$2,'Atividades Micro'!$K199&lt;&gt;""),'Atividades Micro'!$K199,"")</f>
        <v/>
      </c>
      <c r="AB181" s="21" t="str">
        <f>IF(AND('Atividades Micro'!$B199=AB$2,'Atividades Micro'!$L199&lt;&gt;""),'Atividades Micro'!$L199,"")</f>
        <v/>
      </c>
      <c r="AC181" s="21" t="str">
        <f>IF(AND('Atividades Micro'!$B199=AC$2,'Atividades Micro'!$K199&lt;&gt;""),'Atividades Micro'!$K199,"")</f>
        <v/>
      </c>
      <c r="AD181" s="21" t="str">
        <f>IF(AND('Atividades Micro'!$B199=AD$2,'Atividades Micro'!$L199&lt;&gt;""),'Atividades Micro'!$L199,"")</f>
        <v/>
      </c>
      <c r="AE181" s="21">
        <f>IF(AND('Atividades Micro'!$A199=AE$2,'Atividades Micro'!$K199&lt;&gt;""),'Atividades Micro'!$K199,"")</f>
        <v>46289</v>
      </c>
      <c r="AF181" s="21">
        <f>IF(AND('Atividades Micro'!$A199=AF$2,'Atividades Micro'!$L199&lt;&gt;""),'Atividades Micro'!$L199,"")</f>
        <v>46290</v>
      </c>
      <c r="AG181" s="21">
        <f>IF(AND('Atividades Micro'!$B199=AG$2,'Atividades Micro'!$K199&lt;&gt;""),'Atividades Micro'!$K199,"")</f>
        <v>46289</v>
      </c>
      <c r="AH181" s="21">
        <f>IF(AND('Atividades Micro'!$B199=AH$2,'Atividades Micro'!$L199&lt;&gt;""),'Atividades Micro'!$L199,"")</f>
        <v>46290</v>
      </c>
      <c r="AI181" s="21" t="str">
        <f>IF(AND('Atividades Micro'!$B199=AI$2,'Atividades Micro'!$K199&lt;&gt;""),'Atividades Micro'!$K199,"")</f>
        <v/>
      </c>
      <c r="AJ181" s="21" t="str">
        <f>IF(AND('Atividades Micro'!$B199=AJ$2,'Atividades Micro'!$L199&lt;&gt;""),'Atividades Micro'!$L199,"")</f>
        <v/>
      </c>
      <c r="AK181" s="21" t="str">
        <f>IF(AND('Atividades Micro'!$A199=AK$2,'Atividades Micro'!$K199&lt;&gt;""),'Atividades Micro'!$K199,"")</f>
        <v/>
      </c>
      <c r="AL181" s="21" t="str">
        <f>IF(AND('Atividades Micro'!$A199=AL$2,'Atividades Micro'!$L199&lt;&gt;""),'Atividades Micro'!$L199,"")</f>
        <v/>
      </c>
      <c r="AM181" s="21" t="str">
        <f>IF(AND('Atividades Micro'!$B199=AM$2,'Atividades Micro'!$K199&lt;&gt;""),'Atividades Micro'!$K199,"")</f>
        <v/>
      </c>
      <c r="AN181" s="21" t="str">
        <f>IF(AND('Atividades Micro'!$B199=AN$2,'Atividades Micro'!$L199&lt;&gt;""),'Atividades Micro'!$L199,"")</f>
        <v/>
      </c>
      <c r="AO181" s="21" t="str">
        <f>IF(AND('Atividades Micro'!$B199=AO$2,'Atividades Micro'!$K199&lt;&gt;""),'Atividades Micro'!$K199,"")</f>
        <v/>
      </c>
      <c r="AP181" s="21" t="str">
        <f>IF(AND('Atividades Micro'!$B199=AP$2,'Atividades Micro'!$L199&lt;&gt;""),'Atividades Micro'!$L199,"")</f>
        <v/>
      </c>
      <c r="AQ181" s="21" t="str">
        <f>IF(AND('Atividades Micro'!$A199=AQ$2,'Atividades Micro'!$K199&lt;&gt;""),'Atividades Micro'!$K199,"")</f>
        <v/>
      </c>
      <c r="AR181" s="21" t="str">
        <f>IF(AND('Atividades Micro'!$A199=AR$2,'Atividades Micro'!$L199&lt;&gt;""),'Atividades Micro'!$L199,"")</f>
        <v/>
      </c>
      <c r="AS181" s="21" t="str">
        <f>IF(AND('Atividades Micro'!$B199=AS$2,'Atividades Micro'!$K199&lt;&gt;""),'Atividades Micro'!$K199,"")</f>
        <v/>
      </c>
      <c r="AT181" s="21" t="str">
        <f>IF(AND('Atividades Micro'!$B199=AT$2,'Atividades Micro'!$L199&lt;&gt;""),'Atividades Micro'!$L199,"")</f>
        <v/>
      </c>
      <c r="AU181" s="21" t="str">
        <f>IF(AND('Atividades Micro'!$A199=AU$2,'Atividades Micro'!$K199&lt;&gt;""),'Atividades Micro'!$K199,"")</f>
        <v/>
      </c>
      <c r="AV181" s="21" t="str">
        <f>IF(AND('Atividades Micro'!$A199=AV$2,'Atividades Micro'!$L199&lt;&gt;""),'Atividades Micro'!$L199,"")</f>
        <v/>
      </c>
      <c r="AW181" s="21" t="str">
        <f>IF(AND('Atividades Micro'!$B199=AW$2,'Atividades Micro'!$K199&lt;&gt;""),'Atividades Micro'!$K199,"")</f>
        <v/>
      </c>
      <c r="AX181" s="21" t="str">
        <f>IF(AND('Atividades Micro'!$B199=AX$2,'Atividades Micro'!$L199&lt;&gt;""),'Atividades Micro'!$L199,"")</f>
        <v/>
      </c>
      <c r="AY181" s="21" t="str">
        <f>IF(AND('Atividades Micro'!$A199=AY$2,'Atividades Micro'!$K199&lt;&gt;""),'Atividades Micro'!$K199,"")</f>
        <v/>
      </c>
      <c r="AZ181" s="21" t="str">
        <f>IF(AND('Atividades Micro'!$A199=AZ$2,'Atividades Micro'!$L199&lt;&gt;""),'Atividades Micro'!$L199,"")</f>
        <v/>
      </c>
      <c r="BA181" s="21" t="str">
        <f>IF(AND('Atividades Micro'!$B199=BA$2,'Atividades Micro'!$K199&lt;&gt;""),'Atividades Micro'!$K199,"")</f>
        <v/>
      </c>
      <c r="BB181" s="21" t="str">
        <f>IF(AND('Atividades Micro'!$B199=BB$2,'Atividades Micro'!$L199&lt;&gt;""),'Atividades Micro'!$L199,"")</f>
        <v/>
      </c>
      <c r="BC181" s="21" t="str">
        <f>IF(AND('Atividades Micro'!$B199=BC$2,'Atividades Micro'!$G199="Macro",'Atividades Micro'!$K199&lt;&gt;""),'Atividades Micro'!$K199,"")</f>
        <v/>
      </c>
      <c r="BD181" s="21" t="str">
        <f>IF(AND('Atividades Micro'!$B199=BD$2,'Atividades Micro'!$G199="Macro",'Atividades Micro'!$K199&lt;&gt;""),'Atividades Micro'!$K199,"")</f>
        <v/>
      </c>
      <c r="BE181" s="21" t="str">
        <f>IF(AND('Atividades Micro'!$B199=BE$2,'Atividades Micro'!$G199="Macro",'Atividades Micro'!$K199&lt;&gt;""),'Atividades Micro'!$K199,"")</f>
        <v/>
      </c>
      <c r="BF181" s="21" t="str">
        <f>IF(AND('Atividades Micro'!$B199=BF$2,'Atividades Micro'!$G199="Macro",'Atividades Micro'!$K199&lt;&gt;""),'Atividades Micro'!$K199,"")</f>
        <v/>
      </c>
      <c r="BG181" s="21" t="str">
        <f>IF(AND('Atividades Micro'!$B199=BG$2,'Atividades Micro'!$G199="Macro",'Atividades Micro'!$K199&lt;&gt;""),'Atividades Micro'!$K199,"")</f>
        <v/>
      </c>
      <c r="BH181" s="21" t="str">
        <f>IF(AND('Atividades Micro'!$B199=BH$2,'Atividades Micro'!$G199="Macro",'Atividades Micro'!$K199&lt;&gt;""),'Atividades Micro'!$K199,"")</f>
        <v/>
      </c>
      <c r="BI181" s="21" t="str">
        <f>IF(AND('Atividades Micro'!$B199=BI$2,'Atividades Micro'!$G199="Macro",'Atividades Micro'!$K199&lt;&gt;""),'Atividades Micro'!$K199,"")</f>
        <v/>
      </c>
      <c r="BJ181" s="21" t="str">
        <f>IF(AND('Atividades Micro'!$B199=BJ$2,'Atividades Micro'!$G199="Macro",'Atividades Micro'!$K199&lt;&gt;""),'Atividades Micro'!$K199,"")</f>
        <v/>
      </c>
      <c r="BK181" s="21" t="str">
        <f>IF(AND('Atividades Micro'!$B199=BK$2,'Atividades Micro'!$G199="Macro",'Atividades Micro'!$K199&lt;&gt;""),'Atividades Micro'!$K199,"")</f>
        <v/>
      </c>
      <c r="BL181" s="21" t="str">
        <f>IF(AND('Atividades Micro'!$B199=BL$2,'Atividades Micro'!$G199="Macro",'Atividades Micro'!$K199&lt;&gt;""),'Atividades Micro'!$K199,"")</f>
        <v/>
      </c>
      <c r="BM181" s="21" t="str">
        <f>IF(AND('Atividades Micro'!$B199=BM$2,'Atividades Micro'!$G199="Macro",'Atividades Micro'!$K199&lt;&gt;""),'Atividades Micro'!$K199,"")</f>
        <v/>
      </c>
      <c r="BN181" s="21" t="str">
        <f>IF(AND('Atividades Micro'!$B199=BN$2,'Atividades Micro'!$G199="Macro",'Atividades Micro'!$K199&lt;&gt;""),'Atividades Micro'!$K199,"")</f>
        <v/>
      </c>
      <c r="BO181" s="21" t="str">
        <f>IF(AND('Atividades Micro'!$B199=BO$2,'Atividades Micro'!$G199="Macro",'Atividades Micro'!$K199&lt;&gt;""),'Atividades Micro'!$K199,"")</f>
        <v/>
      </c>
      <c r="BP181" s="21" t="str">
        <f>IF(AND('Atividades Micro'!$B199=BP$2,'Atividades Micro'!$G199="Macro",'Atividades Micro'!$K199&lt;&gt;""),'Atividades Micro'!$K199,"")</f>
        <v/>
      </c>
      <c r="BQ181" s="21" t="str">
        <f>IF(AND('Atividades Micro'!$B199=BQ$2,'Atividades Micro'!$G199="Macro",'Atividades Micro'!$K199&lt;&gt;""),'Atividades Micro'!$K199,"")</f>
        <v/>
      </c>
      <c r="BR181" s="21" t="str">
        <f>IF(AND('Atividades Micro'!$B199=BR$2,'Atividades Micro'!$G199="Macro",'Atividades Micro'!$K199&lt;&gt;""),'Atividades Micro'!$K199,"")</f>
        <v/>
      </c>
      <c r="BS181" s="21">
        <f>IF(AND('Atividades Micro'!$B199=BS$2,'Atividades Micro'!$G199="Macro",'Atividades Micro'!$K199&lt;&gt;""),'Atividades Micro'!$K199,"")</f>
        <v>46289</v>
      </c>
      <c r="BT181" s="21" t="str">
        <f>IF(AND('Atividades Micro'!$B199=BT$2,'Atividades Micro'!$G199="Macro",'Atividades Micro'!$K199&lt;&gt;""),'Atividades Micro'!$K199,"")</f>
        <v/>
      </c>
      <c r="BU181" s="21" t="str">
        <f>IF(AND('Atividades Micro'!$B199=BU$2,'Atividades Micro'!$G199="Macro",'Atividades Micro'!$K199&lt;&gt;""),'Atividades Micro'!$K199,"")</f>
        <v/>
      </c>
      <c r="BV181" s="21" t="str">
        <f>IF(AND('Atividades Micro'!$B199=BV$2,'Atividades Micro'!$G199="Macro",'Atividades Micro'!$K199&lt;&gt;""),'Atividades Micro'!$K199,"")</f>
        <v/>
      </c>
      <c r="BW181" s="21" t="str">
        <f>IF(AND('Atividades Micro'!$B199=BW$2,'Atividades Micro'!$G199="Macro",'Atividades Micro'!$K199&lt;&gt;""),'Atividades Micro'!$K199,"")</f>
        <v/>
      </c>
      <c r="BX181" s="21" t="str">
        <f>IF(AND('Atividades Micro'!$B199=BX$2,'Atividades Micro'!$G199="Macro",'Atividades Micro'!$K199&lt;&gt;""),'Atividades Micro'!$K199,"")</f>
        <v/>
      </c>
      <c r="BY181" s="21" t="str">
        <f>IF(AND('Atividades Micro'!$B199=BY$2,'Atividades Micro'!$G199="Macro",'Atividades Micro'!$K199&lt;&gt;""),'Atividades Micro'!$K199,"")</f>
        <v/>
      </c>
      <c r="BZ181" s="21" t="str">
        <f>IF(AND('Atividades Micro'!$B199=BZ$2,'Atividades Micro'!$G199="Macro",'Atividades Micro'!$K199&lt;&gt;""),'Atividades Micro'!$K199,"")</f>
        <v/>
      </c>
      <c r="CA181" s="21" t="str">
        <f>IF(AND('Atividades Micro'!$B199=CA$2,'Atividades Micro'!$G199="Macro",'Atividades Micro'!$K199&lt;&gt;""),'Atividades Micro'!$K199,"")</f>
        <v/>
      </c>
      <c r="CB181" s="21" t="str">
        <f>IF(AND('Atividades Micro'!$B199=CB$2,'Atividades Micro'!$G199="Macro",'Atividades Micro'!$K199&lt;&gt;""),'Atividades Micro'!$K199,"")</f>
        <v/>
      </c>
      <c r="CC181" s="21" t="str">
        <f>IF(AND('Atividades Micro'!$B199=CC$2,'Atividades Micro'!$G199="Macro",'Atividades Micro'!$K199&lt;&gt;""),'Atividades Micro'!$K199,"")</f>
        <v/>
      </c>
      <c r="CD181" s="21" t="str">
        <f>IF(AND('Atividades Micro'!$B199=CD$2,'Atividades Micro'!$G199="Micro",'Atividades Micro'!$K199&lt;&gt;""),'Atividades Micro'!$K199,"")</f>
        <v/>
      </c>
      <c r="CE181" s="21" t="str">
        <f>IF(AND('Atividades Micro'!$B199=CE$2,'Atividades Micro'!$G199="Micro",'Atividades Micro'!$K199&lt;&gt;""),'Atividades Micro'!$K199,"")</f>
        <v/>
      </c>
      <c r="CF181" s="21" t="str">
        <f>IF(AND('Atividades Micro'!$B199=CF$2,'Atividades Micro'!$G199="Micro",'Atividades Micro'!$K199&lt;&gt;""),'Atividades Micro'!$K199,"")</f>
        <v/>
      </c>
      <c r="CG181" s="21" t="str">
        <f>IF(AND('Atividades Micro'!$B199=CG$2,'Atividades Micro'!$G199="Micro",'Atividades Micro'!$K199&lt;&gt;""),'Atividades Micro'!$K199,"")</f>
        <v/>
      </c>
      <c r="CH181" s="21" t="str">
        <f>IF(AND('Atividades Micro'!$B199=CH$2,'Atividades Micro'!$G199="Micro",'Atividades Micro'!$K199&lt;&gt;""),'Atividades Micro'!$K199,"")</f>
        <v/>
      </c>
      <c r="CI181" s="21" t="str">
        <f>IF(AND('Atividades Micro'!$B199=CI$2,'Atividades Micro'!$G199="Micro",'Atividades Micro'!$K199&lt;&gt;""),'Atividades Micro'!$K199,"")</f>
        <v/>
      </c>
      <c r="CJ181" s="21" t="str">
        <f>IF(AND('Atividades Micro'!$B199=CJ$2,'Atividades Micro'!$G199="Micro",'Atividades Micro'!$K199&lt;&gt;""),'Atividades Micro'!$K199,"")</f>
        <v/>
      </c>
      <c r="CK181" s="21" t="str">
        <f>IF(AND('Atividades Micro'!$B199=CK$2,'Atividades Micro'!$G199="Micro",'Atividades Micro'!$K199&lt;&gt;""),'Atividades Micro'!$K199,"")</f>
        <v/>
      </c>
      <c r="CL181" s="21" t="str">
        <f>IF(AND('Atividades Micro'!$B199=CL$2,'Atividades Micro'!$G199="Micro",'Atividades Micro'!$K199&lt;&gt;""),'Atividades Micro'!$K199,"")</f>
        <v/>
      </c>
      <c r="CM181" s="21" t="str">
        <f>IF(AND('Atividades Micro'!$B199=CM$2,'Atividades Micro'!$G199="Micro",'Atividades Micro'!$K199&lt;&gt;""),'Atividades Micro'!$K199,"")</f>
        <v/>
      </c>
      <c r="CN181" s="21" t="str">
        <f>IF(AND('Atividades Micro'!$B199=CN$2,'Atividades Micro'!$G199="Micro",'Atividades Micro'!$K199&lt;&gt;""),'Atividades Micro'!$K199,"")</f>
        <v/>
      </c>
      <c r="CO181" s="21" t="str">
        <f>IF(AND('Atividades Micro'!$B199=CO$2,'Atividades Micro'!$G199="Micro",'Atividades Micro'!$K199&lt;&gt;""),'Atividades Micro'!$K199,"")</f>
        <v/>
      </c>
    </row>
    <row r="182" spans="1:93">
      <c r="A182" s="21" t="str">
        <f>IF(AND('Atividades Micro'!$A200=A$2,'Atividades Micro'!$K200&lt;&gt;""),'Atividades Micro'!$K200,"")</f>
        <v/>
      </c>
      <c r="B182" s="21" t="str">
        <f>IF(AND('Atividades Micro'!$A200=B$2,'Atividades Micro'!$L200&lt;&gt;""),'Atividades Micro'!$L200,"")</f>
        <v/>
      </c>
      <c r="C182" s="21" t="str">
        <f>IF(AND('Atividades Micro'!$A200=C$2,'Atividades Micro'!$K200&lt;&gt;""),'Atividades Micro'!$K200,"")</f>
        <v/>
      </c>
      <c r="D182" s="21" t="str">
        <f>IF(AND('Atividades Micro'!$A200=D$2,'Atividades Micro'!$L200&lt;&gt;""),'Atividades Micro'!$L200,"")</f>
        <v/>
      </c>
      <c r="E182" s="21" t="str">
        <f>IF(AND('Atividades Micro'!$A200=E$2,'Atividades Micro'!$K200&lt;&gt;""),'Atividades Micro'!$K200,"")</f>
        <v/>
      </c>
      <c r="F182" s="21" t="str">
        <f>IF(AND('Atividades Micro'!$A200=F$2,'Atividades Micro'!$L200&lt;&gt;""),'Atividades Micro'!$L200,"")</f>
        <v/>
      </c>
      <c r="G182" s="21" t="str">
        <f>IF(AND('Atividades Micro'!$A200=G$2,'Atividades Micro'!$K200&lt;&gt;""),'Atividades Micro'!$K200,"")</f>
        <v/>
      </c>
      <c r="H182" s="21" t="str">
        <f>IF(AND('Atividades Micro'!$A200=H$2,'Atividades Micro'!$L200&lt;&gt;""),'Atividades Micro'!$L200,"")</f>
        <v/>
      </c>
      <c r="I182" s="21" t="str">
        <f>IF(AND('Atividades Micro'!$A200=I$2,'Atividades Micro'!$K200&lt;&gt;""),'Atividades Micro'!$K200,"")</f>
        <v/>
      </c>
      <c r="J182" s="21" t="str">
        <f>IF(AND('Atividades Micro'!$A200=J$2,'Atividades Micro'!$L200&lt;&gt;""),'Atividades Micro'!$L200,"")</f>
        <v/>
      </c>
      <c r="K182" s="21" t="str">
        <f>IF(AND('Atividades Micro'!$B200=K$2,'Atividades Micro'!$K200&lt;&gt;""),'Atividades Micro'!$K200,"")</f>
        <v/>
      </c>
      <c r="L182" s="21" t="str">
        <f>IF(AND('Atividades Micro'!$B200=L$2,'Atividades Micro'!$L200&lt;&gt;""),'Atividades Micro'!$L200,"")</f>
        <v/>
      </c>
      <c r="M182" s="21" t="str">
        <f>IF(AND('Atividades Micro'!$B200=M$2,'Atividades Micro'!$K200&lt;&gt;""),'Atividades Micro'!$K200,"")</f>
        <v/>
      </c>
      <c r="N182" s="21" t="str">
        <f>IF(AND('Atividades Micro'!$B200=N$2,'Atividades Micro'!$L200&lt;&gt;""),'Atividades Micro'!$L200,"")</f>
        <v/>
      </c>
      <c r="O182" s="21" t="str">
        <f>IF(AND('Atividades Micro'!$A200=O$2,'Atividades Micro'!$K200&lt;&gt;""),'Atividades Micro'!$K200,"")</f>
        <v/>
      </c>
      <c r="P182" s="21" t="str">
        <f>IF(AND('Atividades Micro'!$A200=P$2,'Atividades Micro'!$L200&lt;&gt;""),'Atividades Micro'!$L200,"")</f>
        <v/>
      </c>
      <c r="Q182" s="21" t="str">
        <f>IF(AND('Atividades Micro'!$B200=Q$2,'Atividades Micro'!$K200&lt;&gt;""),'Atividades Micro'!$K200,"")</f>
        <v/>
      </c>
      <c r="R182" s="21" t="str">
        <f>IF(AND('Atividades Micro'!$B200=R$2,'Atividades Micro'!$L200&lt;&gt;""),'Atividades Micro'!$L200,"")</f>
        <v/>
      </c>
      <c r="S182" s="21" t="str">
        <f>IF(AND('Atividades Micro'!$A200=S$2,'Atividades Micro'!$K200&lt;&gt;""),'Atividades Micro'!$K200,"")</f>
        <v/>
      </c>
      <c r="T182" s="21" t="str">
        <f>IF(AND('Atividades Micro'!$A200=T$2,'Atividades Micro'!$L200&lt;&gt;""),'Atividades Micro'!$L200,"")</f>
        <v/>
      </c>
      <c r="U182" s="21" t="str">
        <f>IF(AND('Atividades Micro'!$B200=U$2,'Atividades Micro'!$K200&lt;&gt;""),'Atividades Micro'!$K200,"")</f>
        <v/>
      </c>
      <c r="V182" s="21" t="str">
        <f>IF(AND('Atividades Micro'!$B200=V$2,'Atividades Micro'!$L200&lt;&gt;""),'Atividades Micro'!$L200,"")</f>
        <v/>
      </c>
      <c r="W182" s="21" t="str">
        <f>IF(AND('Atividades Micro'!$B200=W$2,'Atividades Micro'!$K200&lt;&gt;""),'Atividades Micro'!$K200,"")</f>
        <v/>
      </c>
      <c r="X182" s="21" t="str">
        <f>IF(AND('Atividades Micro'!$B200=X$2,'Atividades Micro'!$L200&lt;&gt;""),'Atividades Micro'!$L200,"")</f>
        <v/>
      </c>
      <c r="Y182" s="21" t="str">
        <f>IF(AND('Atividades Micro'!$A200=Y$2,'Atividades Micro'!$K200&lt;&gt;""),'Atividades Micro'!$K200,"")</f>
        <v/>
      </c>
      <c r="Z182" s="21" t="str">
        <f>IF(AND('Atividades Micro'!$A200=Z$2,'Atividades Micro'!$L200&lt;&gt;""),'Atividades Micro'!$L200,"")</f>
        <v/>
      </c>
      <c r="AA182" s="21" t="str">
        <f>IF(AND('Atividades Micro'!$B200=AA$2,'Atividades Micro'!$K200&lt;&gt;""),'Atividades Micro'!$K200,"")</f>
        <v/>
      </c>
      <c r="AB182" s="21" t="str">
        <f>IF(AND('Atividades Micro'!$B200=AB$2,'Atividades Micro'!$L200&lt;&gt;""),'Atividades Micro'!$L200,"")</f>
        <v/>
      </c>
      <c r="AC182" s="21" t="str">
        <f>IF(AND('Atividades Micro'!$B200=AC$2,'Atividades Micro'!$K200&lt;&gt;""),'Atividades Micro'!$K200,"")</f>
        <v/>
      </c>
      <c r="AD182" s="21" t="str">
        <f>IF(AND('Atividades Micro'!$B200=AD$2,'Atividades Micro'!$L200&lt;&gt;""),'Atividades Micro'!$L200,"")</f>
        <v/>
      </c>
      <c r="AE182" s="21">
        <f>IF(AND('Atividades Micro'!$A200=AE$2,'Atividades Micro'!$K200&lt;&gt;""),'Atividades Micro'!$K200,"")</f>
        <v>46244</v>
      </c>
      <c r="AF182" s="21">
        <f>IF(AND('Atividades Micro'!$A200=AF$2,'Atividades Micro'!$L200&lt;&gt;""),'Atividades Micro'!$L200,"")</f>
        <v>46244</v>
      </c>
      <c r="AG182" s="21">
        <f>IF(AND('Atividades Micro'!$B200=AG$2,'Atividades Micro'!$K200&lt;&gt;""),'Atividades Micro'!$K200,"")</f>
        <v>46244</v>
      </c>
      <c r="AH182" s="21">
        <f>IF(AND('Atividades Micro'!$B200=AH$2,'Atividades Micro'!$L200&lt;&gt;""),'Atividades Micro'!$L200,"")</f>
        <v>46244</v>
      </c>
      <c r="AI182" s="21" t="str">
        <f>IF(AND('Atividades Micro'!$B200=AI$2,'Atividades Micro'!$K200&lt;&gt;""),'Atividades Micro'!$K200,"")</f>
        <v/>
      </c>
      <c r="AJ182" s="21" t="str">
        <f>IF(AND('Atividades Micro'!$B200=AJ$2,'Atividades Micro'!$L200&lt;&gt;""),'Atividades Micro'!$L200,"")</f>
        <v/>
      </c>
      <c r="AK182" s="21" t="str">
        <f>IF(AND('Atividades Micro'!$A200=AK$2,'Atividades Micro'!$K200&lt;&gt;""),'Atividades Micro'!$K200,"")</f>
        <v/>
      </c>
      <c r="AL182" s="21" t="str">
        <f>IF(AND('Atividades Micro'!$A200=AL$2,'Atividades Micro'!$L200&lt;&gt;""),'Atividades Micro'!$L200,"")</f>
        <v/>
      </c>
      <c r="AM182" s="21" t="str">
        <f>IF(AND('Atividades Micro'!$B200=AM$2,'Atividades Micro'!$K200&lt;&gt;""),'Atividades Micro'!$K200,"")</f>
        <v/>
      </c>
      <c r="AN182" s="21" t="str">
        <f>IF(AND('Atividades Micro'!$B200=AN$2,'Atividades Micro'!$L200&lt;&gt;""),'Atividades Micro'!$L200,"")</f>
        <v/>
      </c>
      <c r="AO182" s="21" t="str">
        <f>IF(AND('Atividades Micro'!$B200=AO$2,'Atividades Micro'!$K200&lt;&gt;""),'Atividades Micro'!$K200,"")</f>
        <v/>
      </c>
      <c r="AP182" s="21" t="str">
        <f>IF(AND('Atividades Micro'!$B200=AP$2,'Atividades Micro'!$L200&lt;&gt;""),'Atividades Micro'!$L200,"")</f>
        <v/>
      </c>
      <c r="AQ182" s="21" t="str">
        <f>IF(AND('Atividades Micro'!$A200=AQ$2,'Atividades Micro'!$K200&lt;&gt;""),'Atividades Micro'!$K200,"")</f>
        <v/>
      </c>
      <c r="AR182" s="21" t="str">
        <f>IF(AND('Atividades Micro'!$A200=AR$2,'Atividades Micro'!$L200&lt;&gt;""),'Atividades Micro'!$L200,"")</f>
        <v/>
      </c>
      <c r="AS182" s="21" t="str">
        <f>IF(AND('Atividades Micro'!$B200=AS$2,'Atividades Micro'!$K200&lt;&gt;""),'Atividades Micro'!$K200,"")</f>
        <v/>
      </c>
      <c r="AT182" s="21" t="str">
        <f>IF(AND('Atividades Micro'!$B200=AT$2,'Atividades Micro'!$L200&lt;&gt;""),'Atividades Micro'!$L200,"")</f>
        <v/>
      </c>
      <c r="AU182" s="21" t="str">
        <f>IF(AND('Atividades Micro'!$A200=AU$2,'Atividades Micro'!$K200&lt;&gt;""),'Atividades Micro'!$K200,"")</f>
        <v/>
      </c>
      <c r="AV182" s="21" t="str">
        <f>IF(AND('Atividades Micro'!$A200=AV$2,'Atividades Micro'!$L200&lt;&gt;""),'Atividades Micro'!$L200,"")</f>
        <v/>
      </c>
      <c r="AW182" s="21" t="str">
        <f>IF(AND('Atividades Micro'!$B200=AW$2,'Atividades Micro'!$K200&lt;&gt;""),'Atividades Micro'!$K200,"")</f>
        <v/>
      </c>
      <c r="AX182" s="21" t="str">
        <f>IF(AND('Atividades Micro'!$B200=AX$2,'Atividades Micro'!$L200&lt;&gt;""),'Atividades Micro'!$L200,"")</f>
        <v/>
      </c>
      <c r="AY182" s="21" t="str">
        <f>IF(AND('Atividades Micro'!$A200=AY$2,'Atividades Micro'!$K200&lt;&gt;""),'Atividades Micro'!$K200,"")</f>
        <v/>
      </c>
      <c r="AZ182" s="21" t="str">
        <f>IF(AND('Atividades Micro'!$A200=AZ$2,'Atividades Micro'!$L200&lt;&gt;""),'Atividades Micro'!$L200,"")</f>
        <v/>
      </c>
      <c r="BA182" s="21" t="str">
        <f>IF(AND('Atividades Micro'!$B200=BA$2,'Atividades Micro'!$K200&lt;&gt;""),'Atividades Micro'!$K200,"")</f>
        <v/>
      </c>
      <c r="BB182" s="21" t="str">
        <f>IF(AND('Atividades Micro'!$B200=BB$2,'Atividades Micro'!$L200&lt;&gt;""),'Atividades Micro'!$L200,"")</f>
        <v/>
      </c>
      <c r="BC182" s="21" t="str">
        <f>IF(AND('Atividades Micro'!$B200=BC$2,'Atividades Micro'!$G200="Macro",'Atividades Micro'!$K200&lt;&gt;""),'Atividades Micro'!$K200,"")</f>
        <v/>
      </c>
      <c r="BD182" s="21" t="str">
        <f>IF(AND('Atividades Micro'!$B200=BD$2,'Atividades Micro'!$G200="Macro",'Atividades Micro'!$K200&lt;&gt;""),'Atividades Micro'!$K200,"")</f>
        <v/>
      </c>
      <c r="BE182" s="21" t="str">
        <f>IF(AND('Atividades Micro'!$B200=BE$2,'Atividades Micro'!$G200="Macro",'Atividades Micro'!$K200&lt;&gt;""),'Atividades Micro'!$K200,"")</f>
        <v/>
      </c>
      <c r="BF182" s="21" t="str">
        <f>IF(AND('Atividades Micro'!$B200=BF$2,'Atividades Micro'!$G200="Macro",'Atividades Micro'!$K200&lt;&gt;""),'Atividades Micro'!$K200,"")</f>
        <v/>
      </c>
      <c r="BG182" s="21" t="str">
        <f>IF(AND('Atividades Micro'!$B200=BG$2,'Atividades Micro'!$G200="Macro",'Atividades Micro'!$K200&lt;&gt;""),'Atividades Micro'!$K200,"")</f>
        <v/>
      </c>
      <c r="BH182" s="21" t="str">
        <f>IF(AND('Atividades Micro'!$B200=BH$2,'Atividades Micro'!$G200="Macro",'Atividades Micro'!$K200&lt;&gt;""),'Atividades Micro'!$K200,"")</f>
        <v/>
      </c>
      <c r="BI182" s="21" t="str">
        <f>IF(AND('Atividades Micro'!$B200=BI$2,'Atividades Micro'!$G200="Macro",'Atividades Micro'!$K200&lt;&gt;""),'Atividades Micro'!$K200,"")</f>
        <v/>
      </c>
      <c r="BJ182" s="21" t="str">
        <f>IF(AND('Atividades Micro'!$B200=BJ$2,'Atividades Micro'!$G200="Macro",'Atividades Micro'!$K200&lt;&gt;""),'Atividades Micro'!$K200,"")</f>
        <v/>
      </c>
      <c r="BK182" s="21" t="str">
        <f>IF(AND('Atividades Micro'!$B200=BK$2,'Atividades Micro'!$G200="Macro",'Atividades Micro'!$K200&lt;&gt;""),'Atividades Micro'!$K200,"")</f>
        <v/>
      </c>
      <c r="BL182" s="21" t="str">
        <f>IF(AND('Atividades Micro'!$B200=BL$2,'Atividades Micro'!$G200="Macro",'Atividades Micro'!$K200&lt;&gt;""),'Atividades Micro'!$K200,"")</f>
        <v/>
      </c>
      <c r="BM182" s="21" t="str">
        <f>IF(AND('Atividades Micro'!$B200=BM$2,'Atividades Micro'!$G200="Macro",'Atividades Micro'!$K200&lt;&gt;""),'Atividades Micro'!$K200,"")</f>
        <v/>
      </c>
      <c r="BN182" s="21" t="str">
        <f>IF(AND('Atividades Micro'!$B200=BN$2,'Atividades Micro'!$G200="Macro",'Atividades Micro'!$K200&lt;&gt;""),'Atividades Micro'!$K200,"")</f>
        <v/>
      </c>
      <c r="BO182" s="21" t="str">
        <f>IF(AND('Atividades Micro'!$B200=BO$2,'Atividades Micro'!$G200="Macro",'Atividades Micro'!$K200&lt;&gt;""),'Atividades Micro'!$K200,"")</f>
        <v/>
      </c>
      <c r="BP182" s="21" t="str">
        <f>IF(AND('Atividades Micro'!$B200=BP$2,'Atividades Micro'!$G200="Macro",'Atividades Micro'!$K200&lt;&gt;""),'Atividades Micro'!$K200,"")</f>
        <v/>
      </c>
      <c r="BQ182" s="21" t="str">
        <f>IF(AND('Atividades Micro'!$B200=BQ$2,'Atividades Micro'!$G200="Macro",'Atividades Micro'!$K200&lt;&gt;""),'Atividades Micro'!$K200,"")</f>
        <v/>
      </c>
      <c r="BR182" s="21" t="str">
        <f>IF(AND('Atividades Micro'!$B200=BR$2,'Atividades Micro'!$G200="Macro",'Atividades Micro'!$K200&lt;&gt;""),'Atividades Micro'!$K200,"")</f>
        <v/>
      </c>
      <c r="BS182" s="21" t="str">
        <f>IF(AND('Atividades Micro'!$B200=BS$2,'Atividades Micro'!$G200="Macro",'Atividades Micro'!$K200&lt;&gt;""),'Atividades Micro'!$K200,"")</f>
        <v/>
      </c>
      <c r="BT182" s="21" t="str">
        <f>IF(AND('Atividades Micro'!$B200=BT$2,'Atividades Micro'!$G200="Macro",'Atividades Micro'!$K200&lt;&gt;""),'Atividades Micro'!$K200,"")</f>
        <v/>
      </c>
      <c r="BU182" s="21" t="str">
        <f>IF(AND('Atividades Micro'!$B200=BU$2,'Atividades Micro'!$G200="Macro",'Atividades Micro'!$K200&lt;&gt;""),'Atividades Micro'!$K200,"")</f>
        <v/>
      </c>
      <c r="BV182" s="21" t="str">
        <f>IF(AND('Atividades Micro'!$B200=BV$2,'Atividades Micro'!$G200="Macro",'Atividades Micro'!$K200&lt;&gt;""),'Atividades Micro'!$K200,"")</f>
        <v/>
      </c>
      <c r="BW182" s="21" t="str">
        <f>IF(AND('Atividades Micro'!$B200=BW$2,'Atividades Micro'!$G200="Macro",'Atividades Micro'!$K200&lt;&gt;""),'Atividades Micro'!$K200,"")</f>
        <v/>
      </c>
      <c r="BX182" s="21" t="str">
        <f>IF(AND('Atividades Micro'!$B200=BX$2,'Atividades Micro'!$G200="Macro",'Atividades Micro'!$K200&lt;&gt;""),'Atividades Micro'!$K200,"")</f>
        <v/>
      </c>
      <c r="BY182" s="21" t="str">
        <f>IF(AND('Atividades Micro'!$B200=BY$2,'Atividades Micro'!$G200="Macro",'Atividades Micro'!$K200&lt;&gt;""),'Atividades Micro'!$K200,"")</f>
        <v/>
      </c>
      <c r="BZ182" s="21" t="str">
        <f>IF(AND('Atividades Micro'!$B200=BZ$2,'Atividades Micro'!$G200="Macro",'Atividades Micro'!$K200&lt;&gt;""),'Atividades Micro'!$K200,"")</f>
        <v/>
      </c>
      <c r="CA182" s="21" t="str">
        <f>IF(AND('Atividades Micro'!$B200=CA$2,'Atividades Micro'!$G200="Macro",'Atividades Micro'!$K200&lt;&gt;""),'Atividades Micro'!$K200,"")</f>
        <v/>
      </c>
      <c r="CB182" s="21" t="str">
        <f>IF(AND('Atividades Micro'!$B200=CB$2,'Atividades Micro'!$G200="Macro",'Atividades Micro'!$K200&lt;&gt;""),'Atividades Micro'!$K200,"")</f>
        <v/>
      </c>
      <c r="CC182" s="21" t="str">
        <f>IF(AND('Atividades Micro'!$B200=CC$2,'Atividades Micro'!$G200="Macro",'Atividades Micro'!$K200&lt;&gt;""),'Atividades Micro'!$K200,"")</f>
        <v/>
      </c>
      <c r="CD182" s="21" t="str">
        <f>IF(AND('Atividades Micro'!$B200=CD$2,'Atividades Micro'!$G200="Micro",'Atividades Micro'!$K200&lt;&gt;""),'Atividades Micro'!$K200,"")</f>
        <v/>
      </c>
      <c r="CE182" s="21" t="str">
        <f>IF(AND('Atividades Micro'!$B200=CE$2,'Atividades Micro'!$G200="Micro",'Atividades Micro'!$K200&lt;&gt;""),'Atividades Micro'!$K200,"")</f>
        <v/>
      </c>
      <c r="CF182" s="21" t="str">
        <f>IF(AND('Atividades Micro'!$B200=CF$2,'Atividades Micro'!$G200="Micro",'Atividades Micro'!$K200&lt;&gt;""),'Atividades Micro'!$K200,"")</f>
        <v/>
      </c>
      <c r="CG182" s="21" t="str">
        <f>IF(AND('Atividades Micro'!$B200=CG$2,'Atividades Micro'!$G200="Micro",'Atividades Micro'!$K200&lt;&gt;""),'Atividades Micro'!$K200,"")</f>
        <v/>
      </c>
      <c r="CH182" s="21" t="str">
        <f>IF(AND('Atividades Micro'!$B200=CH$2,'Atividades Micro'!$G200="Micro",'Atividades Micro'!$K200&lt;&gt;""),'Atividades Micro'!$K200,"")</f>
        <v/>
      </c>
      <c r="CI182" s="21" t="str">
        <f>IF(AND('Atividades Micro'!$B200=CI$2,'Atividades Micro'!$G200="Micro",'Atividades Micro'!$K200&lt;&gt;""),'Atividades Micro'!$K200,"")</f>
        <v/>
      </c>
      <c r="CJ182" s="21" t="str">
        <f>IF(AND('Atividades Micro'!$B200=CJ$2,'Atividades Micro'!$G200="Micro",'Atividades Micro'!$K200&lt;&gt;""),'Atividades Micro'!$K200,"")</f>
        <v/>
      </c>
      <c r="CK182" s="21">
        <f>IF(AND('Atividades Micro'!$B200=CK$2,'Atividades Micro'!$G200="Micro",'Atividades Micro'!$K200&lt;&gt;""),'Atividades Micro'!$K200,"")</f>
        <v>46244</v>
      </c>
      <c r="CL182" s="21" t="str">
        <f>IF(AND('Atividades Micro'!$B200=CL$2,'Atividades Micro'!$G200="Micro",'Atividades Micro'!$K200&lt;&gt;""),'Atividades Micro'!$K200,"")</f>
        <v/>
      </c>
      <c r="CM182" s="21" t="str">
        <f>IF(AND('Atividades Micro'!$B200=CM$2,'Atividades Micro'!$G200="Micro",'Atividades Micro'!$K200&lt;&gt;""),'Atividades Micro'!$K200,"")</f>
        <v/>
      </c>
      <c r="CN182" s="21" t="str">
        <f>IF(AND('Atividades Micro'!$B200=CN$2,'Atividades Micro'!$G200="Micro",'Atividades Micro'!$K200&lt;&gt;""),'Atividades Micro'!$K200,"")</f>
        <v/>
      </c>
      <c r="CO182" s="21" t="str">
        <f>IF(AND('Atividades Micro'!$B200=CO$2,'Atividades Micro'!$G200="Micro",'Atividades Micro'!$K200&lt;&gt;""),'Atividades Micro'!$K200,"")</f>
        <v/>
      </c>
    </row>
    <row r="183" spans="1:93">
      <c r="A183" s="21" t="str">
        <f>IF(AND('Atividades Micro'!$A201=A$2,'Atividades Micro'!$K201&lt;&gt;""),'Atividades Micro'!$K201,"")</f>
        <v/>
      </c>
      <c r="B183" s="21" t="str">
        <f>IF(AND('Atividades Micro'!$A201=B$2,'Atividades Micro'!$L201&lt;&gt;""),'Atividades Micro'!$L201,"")</f>
        <v/>
      </c>
      <c r="C183" s="21" t="str">
        <f>IF(AND('Atividades Micro'!$A201=C$2,'Atividades Micro'!$K201&lt;&gt;""),'Atividades Micro'!$K201,"")</f>
        <v/>
      </c>
      <c r="D183" s="21" t="str">
        <f>IF(AND('Atividades Micro'!$A201=D$2,'Atividades Micro'!$L201&lt;&gt;""),'Atividades Micro'!$L201,"")</f>
        <v/>
      </c>
      <c r="E183" s="21" t="str">
        <f>IF(AND('Atividades Micro'!$A201=E$2,'Atividades Micro'!$K201&lt;&gt;""),'Atividades Micro'!$K201,"")</f>
        <v/>
      </c>
      <c r="F183" s="21" t="str">
        <f>IF(AND('Atividades Micro'!$A201=F$2,'Atividades Micro'!$L201&lt;&gt;""),'Atividades Micro'!$L201,"")</f>
        <v/>
      </c>
      <c r="G183" s="21" t="str">
        <f>IF(AND('Atividades Micro'!$A201=G$2,'Atividades Micro'!$K201&lt;&gt;""),'Atividades Micro'!$K201,"")</f>
        <v/>
      </c>
      <c r="H183" s="21" t="str">
        <f>IF(AND('Atividades Micro'!$A201=H$2,'Atividades Micro'!$L201&lt;&gt;""),'Atividades Micro'!$L201,"")</f>
        <v/>
      </c>
      <c r="I183" s="21" t="str">
        <f>IF(AND('Atividades Micro'!$A201=I$2,'Atividades Micro'!$K201&lt;&gt;""),'Atividades Micro'!$K201,"")</f>
        <v/>
      </c>
      <c r="J183" s="21" t="str">
        <f>IF(AND('Atividades Micro'!$A201=J$2,'Atividades Micro'!$L201&lt;&gt;""),'Atividades Micro'!$L201,"")</f>
        <v/>
      </c>
      <c r="K183" s="21" t="str">
        <f>IF(AND('Atividades Micro'!$B201=K$2,'Atividades Micro'!$K201&lt;&gt;""),'Atividades Micro'!$K201,"")</f>
        <v/>
      </c>
      <c r="L183" s="21" t="str">
        <f>IF(AND('Atividades Micro'!$B201=L$2,'Atividades Micro'!$L201&lt;&gt;""),'Atividades Micro'!$L201,"")</f>
        <v/>
      </c>
      <c r="M183" s="21" t="str">
        <f>IF(AND('Atividades Micro'!$B201=M$2,'Atividades Micro'!$K201&lt;&gt;""),'Atividades Micro'!$K201,"")</f>
        <v/>
      </c>
      <c r="N183" s="21" t="str">
        <f>IF(AND('Atividades Micro'!$B201=N$2,'Atividades Micro'!$L201&lt;&gt;""),'Atividades Micro'!$L201,"")</f>
        <v/>
      </c>
      <c r="O183" s="21" t="str">
        <f>IF(AND('Atividades Micro'!$A201=O$2,'Atividades Micro'!$K201&lt;&gt;""),'Atividades Micro'!$K201,"")</f>
        <v/>
      </c>
      <c r="P183" s="21" t="str">
        <f>IF(AND('Atividades Micro'!$A201=P$2,'Atividades Micro'!$L201&lt;&gt;""),'Atividades Micro'!$L201,"")</f>
        <v/>
      </c>
      <c r="Q183" s="21" t="str">
        <f>IF(AND('Atividades Micro'!$B201=Q$2,'Atividades Micro'!$K201&lt;&gt;""),'Atividades Micro'!$K201,"")</f>
        <v/>
      </c>
      <c r="R183" s="21" t="str">
        <f>IF(AND('Atividades Micro'!$B201=R$2,'Atividades Micro'!$L201&lt;&gt;""),'Atividades Micro'!$L201,"")</f>
        <v/>
      </c>
      <c r="S183" s="21" t="str">
        <f>IF(AND('Atividades Micro'!$A201=S$2,'Atividades Micro'!$K201&lt;&gt;""),'Atividades Micro'!$K201,"")</f>
        <v/>
      </c>
      <c r="T183" s="21" t="str">
        <f>IF(AND('Atividades Micro'!$A201=T$2,'Atividades Micro'!$L201&lt;&gt;""),'Atividades Micro'!$L201,"")</f>
        <v/>
      </c>
      <c r="U183" s="21" t="str">
        <f>IF(AND('Atividades Micro'!$B201=U$2,'Atividades Micro'!$K201&lt;&gt;""),'Atividades Micro'!$K201,"")</f>
        <v/>
      </c>
      <c r="V183" s="21" t="str">
        <f>IF(AND('Atividades Micro'!$B201=V$2,'Atividades Micro'!$L201&lt;&gt;""),'Atividades Micro'!$L201,"")</f>
        <v/>
      </c>
      <c r="W183" s="21" t="str">
        <f>IF(AND('Atividades Micro'!$B201=W$2,'Atividades Micro'!$K201&lt;&gt;""),'Atividades Micro'!$K201,"")</f>
        <v/>
      </c>
      <c r="X183" s="21" t="str">
        <f>IF(AND('Atividades Micro'!$B201=X$2,'Atividades Micro'!$L201&lt;&gt;""),'Atividades Micro'!$L201,"")</f>
        <v/>
      </c>
      <c r="Y183" s="21" t="str">
        <f>IF(AND('Atividades Micro'!$A201=Y$2,'Atividades Micro'!$K201&lt;&gt;""),'Atividades Micro'!$K201,"")</f>
        <v/>
      </c>
      <c r="Z183" s="21" t="str">
        <f>IF(AND('Atividades Micro'!$A201=Z$2,'Atividades Micro'!$L201&lt;&gt;""),'Atividades Micro'!$L201,"")</f>
        <v/>
      </c>
      <c r="AA183" s="21" t="str">
        <f>IF(AND('Atividades Micro'!$B201=AA$2,'Atividades Micro'!$K201&lt;&gt;""),'Atividades Micro'!$K201,"")</f>
        <v/>
      </c>
      <c r="AB183" s="21" t="str">
        <f>IF(AND('Atividades Micro'!$B201=AB$2,'Atividades Micro'!$L201&lt;&gt;""),'Atividades Micro'!$L201,"")</f>
        <v/>
      </c>
      <c r="AC183" s="21" t="str">
        <f>IF(AND('Atividades Micro'!$B201=AC$2,'Atividades Micro'!$K201&lt;&gt;""),'Atividades Micro'!$K201,"")</f>
        <v/>
      </c>
      <c r="AD183" s="21" t="str">
        <f>IF(AND('Atividades Micro'!$B201=AD$2,'Atividades Micro'!$L201&lt;&gt;""),'Atividades Micro'!$L201,"")</f>
        <v/>
      </c>
      <c r="AE183" s="21">
        <f>IF(AND('Atividades Micro'!$A201=AE$2,'Atividades Micro'!$K201&lt;&gt;""),'Atividades Micro'!$K201,"")</f>
        <v>46289</v>
      </c>
      <c r="AF183" s="21">
        <f>IF(AND('Atividades Micro'!$A201=AF$2,'Atividades Micro'!$L201&lt;&gt;""),'Atividades Micro'!$L201,"")</f>
        <v>46290</v>
      </c>
      <c r="AG183" s="21">
        <f>IF(AND('Atividades Micro'!$B201=AG$2,'Atividades Micro'!$K201&lt;&gt;""),'Atividades Micro'!$K201,"")</f>
        <v>46289</v>
      </c>
      <c r="AH183" s="21">
        <f>IF(AND('Atividades Micro'!$B201=AH$2,'Atividades Micro'!$L201&lt;&gt;""),'Atividades Micro'!$L201,"")</f>
        <v>46290</v>
      </c>
      <c r="AI183" s="21" t="str">
        <f>IF(AND('Atividades Micro'!$B201=AI$2,'Atividades Micro'!$K201&lt;&gt;""),'Atividades Micro'!$K201,"")</f>
        <v/>
      </c>
      <c r="AJ183" s="21" t="str">
        <f>IF(AND('Atividades Micro'!$B201=AJ$2,'Atividades Micro'!$L201&lt;&gt;""),'Atividades Micro'!$L201,"")</f>
        <v/>
      </c>
      <c r="AK183" s="21" t="str">
        <f>IF(AND('Atividades Micro'!$A201=AK$2,'Atividades Micro'!$K201&lt;&gt;""),'Atividades Micro'!$K201,"")</f>
        <v/>
      </c>
      <c r="AL183" s="21" t="str">
        <f>IF(AND('Atividades Micro'!$A201=AL$2,'Atividades Micro'!$L201&lt;&gt;""),'Atividades Micro'!$L201,"")</f>
        <v/>
      </c>
      <c r="AM183" s="21" t="str">
        <f>IF(AND('Atividades Micro'!$B201=AM$2,'Atividades Micro'!$K201&lt;&gt;""),'Atividades Micro'!$K201,"")</f>
        <v/>
      </c>
      <c r="AN183" s="21" t="str">
        <f>IF(AND('Atividades Micro'!$B201=AN$2,'Atividades Micro'!$L201&lt;&gt;""),'Atividades Micro'!$L201,"")</f>
        <v/>
      </c>
      <c r="AO183" s="21" t="str">
        <f>IF(AND('Atividades Micro'!$B201=AO$2,'Atividades Micro'!$K201&lt;&gt;""),'Atividades Micro'!$K201,"")</f>
        <v/>
      </c>
      <c r="AP183" s="21" t="str">
        <f>IF(AND('Atividades Micro'!$B201=AP$2,'Atividades Micro'!$L201&lt;&gt;""),'Atividades Micro'!$L201,"")</f>
        <v/>
      </c>
      <c r="AQ183" s="21" t="str">
        <f>IF(AND('Atividades Micro'!$A201=AQ$2,'Atividades Micro'!$K201&lt;&gt;""),'Atividades Micro'!$K201,"")</f>
        <v/>
      </c>
      <c r="AR183" s="21" t="str">
        <f>IF(AND('Atividades Micro'!$A201=AR$2,'Atividades Micro'!$L201&lt;&gt;""),'Atividades Micro'!$L201,"")</f>
        <v/>
      </c>
      <c r="AS183" s="21" t="str">
        <f>IF(AND('Atividades Micro'!$B201=AS$2,'Atividades Micro'!$K201&lt;&gt;""),'Atividades Micro'!$K201,"")</f>
        <v/>
      </c>
      <c r="AT183" s="21" t="str">
        <f>IF(AND('Atividades Micro'!$B201=AT$2,'Atividades Micro'!$L201&lt;&gt;""),'Atividades Micro'!$L201,"")</f>
        <v/>
      </c>
      <c r="AU183" s="21" t="str">
        <f>IF(AND('Atividades Micro'!$A201=AU$2,'Atividades Micro'!$K201&lt;&gt;""),'Atividades Micro'!$K201,"")</f>
        <v/>
      </c>
      <c r="AV183" s="21" t="str">
        <f>IF(AND('Atividades Micro'!$A201=AV$2,'Atividades Micro'!$L201&lt;&gt;""),'Atividades Micro'!$L201,"")</f>
        <v/>
      </c>
      <c r="AW183" s="21" t="str">
        <f>IF(AND('Atividades Micro'!$B201=AW$2,'Atividades Micro'!$K201&lt;&gt;""),'Atividades Micro'!$K201,"")</f>
        <v/>
      </c>
      <c r="AX183" s="21" t="str">
        <f>IF(AND('Atividades Micro'!$B201=AX$2,'Atividades Micro'!$L201&lt;&gt;""),'Atividades Micro'!$L201,"")</f>
        <v/>
      </c>
      <c r="AY183" s="21" t="str">
        <f>IF(AND('Atividades Micro'!$A201=AY$2,'Atividades Micro'!$K201&lt;&gt;""),'Atividades Micro'!$K201,"")</f>
        <v/>
      </c>
      <c r="AZ183" s="21" t="str">
        <f>IF(AND('Atividades Micro'!$A201=AZ$2,'Atividades Micro'!$L201&lt;&gt;""),'Atividades Micro'!$L201,"")</f>
        <v/>
      </c>
      <c r="BA183" s="21" t="str">
        <f>IF(AND('Atividades Micro'!$B201=BA$2,'Atividades Micro'!$K201&lt;&gt;""),'Atividades Micro'!$K201,"")</f>
        <v/>
      </c>
      <c r="BB183" s="21" t="str">
        <f>IF(AND('Atividades Micro'!$B201=BB$2,'Atividades Micro'!$L201&lt;&gt;""),'Atividades Micro'!$L201,"")</f>
        <v/>
      </c>
      <c r="BC183" s="21" t="str">
        <f>IF(AND('Atividades Micro'!$B201=BC$2,'Atividades Micro'!$G201="Macro",'Atividades Micro'!$K201&lt;&gt;""),'Atividades Micro'!$K201,"")</f>
        <v/>
      </c>
      <c r="BD183" s="21" t="str">
        <f>IF(AND('Atividades Micro'!$B201=BD$2,'Atividades Micro'!$G201="Macro",'Atividades Micro'!$K201&lt;&gt;""),'Atividades Micro'!$K201,"")</f>
        <v/>
      </c>
      <c r="BE183" s="21" t="str">
        <f>IF(AND('Atividades Micro'!$B201=BE$2,'Atividades Micro'!$G201="Macro",'Atividades Micro'!$K201&lt;&gt;""),'Atividades Micro'!$K201,"")</f>
        <v/>
      </c>
      <c r="BF183" s="21" t="str">
        <f>IF(AND('Atividades Micro'!$B201=BF$2,'Atividades Micro'!$G201="Macro",'Atividades Micro'!$K201&lt;&gt;""),'Atividades Micro'!$K201,"")</f>
        <v/>
      </c>
      <c r="BG183" s="21" t="str">
        <f>IF(AND('Atividades Micro'!$B201=BG$2,'Atividades Micro'!$G201="Macro",'Atividades Micro'!$K201&lt;&gt;""),'Atividades Micro'!$K201,"")</f>
        <v/>
      </c>
      <c r="BH183" s="21" t="str">
        <f>IF(AND('Atividades Micro'!$B201=BH$2,'Atividades Micro'!$G201="Macro",'Atividades Micro'!$K201&lt;&gt;""),'Atividades Micro'!$K201,"")</f>
        <v/>
      </c>
      <c r="BI183" s="21" t="str">
        <f>IF(AND('Atividades Micro'!$B201=BI$2,'Atividades Micro'!$G201="Macro",'Atividades Micro'!$K201&lt;&gt;""),'Atividades Micro'!$K201,"")</f>
        <v/>
      </c>
      <c r="BJ183" s="21" t="str">
        <f>IF(AND('Atividades Micro'!$B201=BJ$2,'Atividades Micro'!$G201="Macro",'Atividades Micro'!$K201&lt;&gt;""),'Atividades Micro'!$K201,"")</f>
        <v/>
      </c>
      <c r="BK183" s="21" t="str">
        <f>IF(AND('Atividades Micro'!$B201=BK$2,'Atividades Micro'!$G201="Macro",'Atividades Micro'!$K201&lt;&gt;""),'Atividades Micro'!$K201,"")</f>
        <v/>
      </c>
      <c r="BL183" s="21" t="str">
        <f>IF(AND('Atividades Micro'!$B201=BL$2,'Atividades Micro'!$G201="Macro",'Atividades Micro'!$K201&lt;&gt;""),'Atividades Micro'!$K201,"")</f>
        <v/>
      </c>
      <c r="BM183" s="21" t="str">
        <f>IF(AND('Atividades Micro'!$B201=BM$2,'Atividades Micro'!$G201="Macro",'Atividades Micro'!$K201&lt;&gt;""),'Atividades Micro'!$K201,"")</f>
        <v/>
      </c>
      <c r="BN183" s="21" t="str">
        <f>IF(AND('Atividades Micro'!$B201=BN$2,'Atividades Micro'!$G201="Macro",'Atividades Micro'!$K201&lt;&gt;""),'Atividades Micro'!$K201,"")</f>
        <v/>
      </c>
      <c r="BO183" s="21" t="str">
        <f>IF(AND('Atividades Micro'!$B201=BO$2,'Atividades Micro'!$G201="Macro",'Atividades Micro'!$K201&lt;&gt;""),'Atividades Micro'!$K201,"")</f>
        <v/>
      </c>
      <c r="BP183" s="21" t="str">
        <f>IF(AND('Atividades Micro'!$B201=BP$2,'Atividades Micro'!$G201="Macro",'Atividades Micro'!$K201&lt;&gt;""),'Atividades Micro'!$K201,"")</f>
        <v/>
      </c>
      <c r="BQ183" s="21" t="str">
        <f>IF(AND('Atividades Micro'!$B201=BQ$2,'Atividades Micro'!$G201="Macro",'Atividades Micro'!$K201&lt;&gt;""),'Atividades Micro'!$K201,"")</f>
        <v/>
      </c>
      <c r="BR183" s="21" t="str">
        <f>IF(AND('Atividades Micro'!$B201=BR$2,'Atividades Micro'!$G201="Macro",'Atividades Micro'!$K201&lt;&gt;""),'Atividades Micro'!$K201,"")</f>
        <v/>
      </c>
      <c r="BS183" s="21" t="str">
        <f>IF(AND('Atividades Micro'!$B201=BS$2,'Atividades Micro'!$G201="Macro",'Atividades Micro'!$K201&lt;&gt;""),'Atividades Micro'!$K201,"")</f>
        <v/>
      </c>
      <c r="BT183" s="21" t="str">
        <f>IF(AND('Atividades Micro'!$B201=BT$2,'Atividades Micro'!$G201="Macro",'Atividades Micro'!$K201&lt;&gt;""),'Atividades Micro'!$K201,"")</f>
        <v/>
      </c>
      <c r="BU183" s="21" t="str">
        <f>IF(AND('Atividades Micro'!$B201=BU$2,'Atividades Micro'!$G201="Macro",'Atividades Micro'!$K201&lt;&gt;""),'Atividades Micro'!$K201,"")</f>
        <v/>
      </c>
      <c r="BV183" s="21" t="str">
        <f>IF(AND('Atividades Micro'!$B201=BV$2,'Atividades Micro'!$G201="Macro",'Atividades Micro'!$K201&lt;&gt;""),'Atividades Micro'!$K201,"")</f>
        <v/>
      </c>
      <c r="BW183" s="21" t="str">
        <f>IF(AND('Atividades Micro'!$B201=BW$2,'Atividades Micro'!$G201="Macro",'Atividades Micro'!$K201&lt;&gt;""),'Atividades Micro'!$K201,"")</f>
        <v/>
      </c>
      <c r="BX183" s="21" t="str">
        <f>IF(AND('Atividades Micro'!$B201=BX$2,'Atividades Micro'!$G201="Macro",'Atividades Micro'!$K201&lt;&gt;""),'Atividades Micro'!$K201,"")</f>
        <v/>
      </c>
      <c r="BY183" s="21" t="str">
        <f>IF(AND('Atividades Micro'!$B201=BY$2,'Atividades Micro'!$G201="Macro",'Atividades Micro'!$K201&lt;&gt;""),'Atividades Micro'!$K201,"")</f>
        <v/>
      </c>
      <c r="BZ183" s="21" t="str">
        <f>IF(AND('Atividades Micro'!$B201=BZ$2,'Atividades Micro'!$G201="Macro",'Atividades Micro'!$K201&lt;&gt;""),'Atividades Micro'!$K201,"")</f>
        <v/>
      </c>
      <c r="CA183" s="21" t="str">
        <f>IF(AND('Atividades Micro'!$B201=CA$2,'Atividades Micro'!$G201="Macro",'Atividades Micro'!$K201&lt;&gt;""),'Atividades Micro'!$K201,"")</f>
        <v/>
      </c>
      <c r="CB183" s="21" t="str">
        <f>IF(AND('Atividades Micro'!$B201=CB$2,'Atividades Micro'!$G201="Macro",'Atividades Micro'!$K201&lt;&gt;""),'Atividades Micro'!$K201,"")</f>
        <v/>
      </c>
      <c r="CC183" s="21" t="str">
        <f>IF(AND('Atividades Micro'!$B201=CC$2,'Atividades Micro'!$G201="Macro",'Atividades Micro'!$K201&lt;&gt;""),'Atividades Micro'!$K201,"")</f>
        <v/>
      </c>
      <c r="CD183" s="21" t="str">
        <f>IF(AND('Atividades Micro'!$B201=CD$2,'Atividades Micro'!$G201="Micro",'Atividades Micro'!$K201&lt;&gt;""),'Atividades Micro'!$K201,"")</f>
        <v/>
      </c>
      <c r="CE183" s="21" t="str">
        <f>IF(AND('Atividades Micro'!$B201=CE$2,'Atividades Micro'!$G201="Micro",'Atividades Micro'!$K201&lt;&gt;""),'Atividades Micro'!$K201,"")</f>
        <v/>
      </c>
      <c r="CF183" s="21" t="str">
        <f>IF(AND('Atividades Micro'!$B201=CF$2,'Atividades Micro'!$G201="Micro",'Atividades Micro'!$K201&lt;&gt;""),'Atividades Micro'!$K201,"")</f>
        <v/>
      </c>
      <c r="CG183" s="21" t="str">
        <f>IF(AND('Atividades Micro'!$B201=CG$2,'Atividades Micro'!$G201="Micro",'Atividades Micro'!$K201&lt;&gt;""),'Atividades Micro'!$K201,"")</f>
        <v/>
      </c>
      <c r="CH183" s="21" t="str">
        <f>IF(AND('Atividades Micro'!$B201=CH$2,'Atividades Micro'!$G201="Micro",'Atividades Micro'!$K201&lt;&gt;""),'Atividades Micro'!$K201,"")</f>
        <v/>
      </c>
      <c r="CI183" s="21" t="str">
        <f>IF(AND('Atividades Micro'!$B201=CI$2,'Atividades Micro'!$G201="Micro",'Atividades Micro'!$K201&lt;&gt;""),'Atividades Micro'!$K201,"")</f>
        <v/>
      </c>
      <c r="CJ183" s="21" t="str">
        <f>IF(AND('Atividades Micro'!$B201=CJ$2,'Atividades Micro'!$G201="Micro",'Atividades Micro'!$K201&lt;&gt;""),'Atividades Micro'!$K201,"")</f>
        <v/>
      </c>
      <c r="CK183" s="21">
        <f>IF(AND('Atividades Micro'!$B201=CK$2,'Atividades Micro'!$G201="Micro",'Atividades Micro'!$K201&lt;&gt;""),'Atividades Micro'!$K201,"")</f>
        <v>46289</v>
      </c>
      <c r="CL183" s="21" t="str">
        <f>IF(AND('Atividades Micro'!$B201=CL$2,'Atividades Micro'!$G201="Micro",'Atividades Micro'!$K201&lt;&gt;""),'Atividades Micro'!$K201,"")</f>
        <v/>
      </c>
      <c r="CM183" s="21" t="str">
        <f>IF(AND('Atividades Micro'!$B201=CM$2,'Atividades Micro'!$G201="Micro",'Atividades Micro'!$K201&lt;&gt;""),'Atividades Micro'!$K201,"")</f>
        <v/>
      </c>
      <c r="CN183" s="21" t="str">
        <f>IF(AND('Atividades Micro'!$B201=CN$2,'Atividades Micro'!$G201="Micro",'Atividades Micro'!$K201&lt;&gt;""),'Atividades Micro'!$K201,"")</f>
        <v/>
      </c>
      <c r="CO183" s="21" t="str">
        <f>IF(AND('Atividades Micro'!$B201=CO$2,'Atividades Micro'!$G201="Micro",'Atividades Micro'!$K201&lt;&gt;""),'Atividades Micro'!$K201,"")</f>
        <v/>
      </c>
    </row>
    <row r="184" spans="1:93">
      <c r="A184" s="21" t="str">
        <f>IF(AND('Atividades Micro'!$A202=A$2,'Atividades Micro'!$K202&lt;&gt;""),'Atividades Micro'!$K202,"")</f>
        <v/>
      </c>
      <c r="B184" s="21" t="str">
        <f>IF(AND('Atividades Micro'!$A202=B$2,'Atividades Micro'!$L202&lt;&gt;""),'Atividades Micro'!$L202,"")</f>
        <v/>
      </c>
      <c r="C184" s="21" t="str">
        <f>IF(AND('Atividades Micro'!$A202=C$2,'Atividades Micro'!$K202&lt;&gt;""),'Atividades Micro'!$K202,"")</f>
        <v/>
      </c>
      <c r="D184" s="21" t="str">
        <f>IF(AND('Atividades Micro'!$A202=D$2,'Atividades Micro'!$L202&lt;&gt;""),'Atividades Micro'!$L202,"")</f>
        <v/>
      </c>
      <c r="E184" s="21" t="str">
        <f>IF(AND('Atividades Micro'!$A202=E$2,'Atividades Micro'!$K202&lt;&gt;""),'Atividades Micro'!$K202,"")</f>
        <v/>
      </c>
      <c r="F184" s="21" t="str">
        <f>IF(AND('Atividades Micro'!$A202=F$2,'Atividades Micro'!$L202&lt;&gt;""),'Atividades Micro'!$L202,"")</f>
        <v/>
      </c>
      <c r="G184" s="21" t="str">
        <f>IF(AND('Atividades Micro'!$A202=G$2,'Atividades Micro'!$K202&lt;&gt;""),'Atividades Micro'!$K202,"")</f>
        <v/>
      </c>
      <c r="H184" s="21" t="str">
        <f>IF(AND('Atividades Micro'!$A202=H$2,'Atividades Micro'!$L202&lt;&gt;""),'Atividades Micro'!$L202,"")</f>
        <v/>
      </c>
      <c r="I184" s="21" t="str">
        <f>IF(AND('Atividades Micro'!$A202=I$2,'Atividades Micro'!$K202&lt;&gt;""),'Atividades Micro'!$K202,"")</f>
        <v/>
      </c>
      <c r="J184" s="21" t="str">
        <f>IF(AND('Atividades Micro'!$A202=J$2,'Atividades Micro'!$L202&lt;&gt;""),'Atividades Micro'!$L202,"")</f>
        <v/>
      </c>
      <c r="K184" s="21" t="str">
        <f>IF(AND('Atividades Micro'!$B202=K$2,'Atividades Micro'!$K202&lt;&gt;""),'Atividades Micro'!$K202,"")</f>
        <v/>
      </c>
      <c r="L184" s="21" t="str">
        <f>IF(AND('Atividades Micro'!$B202=L$2,'Atividades Micro'!$L202&lt;&gt;""),'Atividades Micro'!$L202,"")</f>
        <v/>
      </c>
      <c r="M184" s="21" t="str">
        <f>IF(AND('Atividades Micro'!$B202=M$2,'Atividades Micro'!$K202&lt;&gt;""),'Atividades Micro'!$K202,"")</f>
        <v/>
      </c>
      <c r="N184" s="21" t="str">
        <f>IF(AND('Atividades Micro'!$B202=N$2,'Atividades Micro'!$L202&lt;&gt;""),'Atividades Micro'!$L202,"")</f>
        <v/>
      </c>
      <c r="O184" s="21" t="str">
        <f>IF(AND('Atividades Micro'!$A202=O$2,'Atividades Micro'!$K202&lt;&gt;""),'Atividades Micro'!$K202,"")</f>
        <v/>
      </c>
      <c r="P184" s="21" t="str">
        <f>IF(AND('Atividades Micro'!$A202=P$2,'Atividades Micro'!$L202&lt;&gt;""),'Atividades Micro'!$L202,"")</f>
        <v/>
      </c>
      <c r="Q184" s="21" t="str">
        <f>IF(AND('Atividades Micro'!$B202=Q$2,'Atividades Micro'!$K202&lt;&gt;""),'Atividades Micro'!$K202,"")</f>
        <v/>
      </c>
      <c r="R184" s="21" t="str">
        <f>IF(AND('Atividades Micro'!$B202=R$2,'Atividades Micro'!$L202&lt;&gt;""),'Atividades Micro'!$L202,"")</f>
        <v/>
      </c>
      <c r="S184" s="21" t="str">
        <f>IF(AND('Atividades Micro'!$A202=S$2,'Atividades Micro'!$K202&lt;&gt;""),'Atividades Micro'!$K202,"")</f>
        <v/>
      </c>
      <c r="T184" s="21" t="str">
        <f>IF(AND('Atividades Micro'!$A202=T$2,'Atividades Micro'!$L202&lt;&gt;""),'Atividades Micro'!$L202,"")</f>
        <v/>
      </c>
      <c r="U184" s="21" t="str">
        <f>IF(AND('Atividades Micro'!$B202=U$2,'Atividades Micro'!$K202&lt;&gt;""),'Atividades Micro'!$K202,"")</f>
        <v/>
      </c>
      <c r="V184" s="21" t="str">
        <f>IF(AND('Atividades Micro'!$B202=V$2,'Atividades Micro'!$L202&lt;&gt;""),'Atividades Micro'!$L202,"")</f>
        <v/>
      </c>
      <c r="W184" s="21" t="str">
        <f>IF(AND('Atividades Micro'!$B202=W$2,'Atividades Micro'!$K202&lt;&gt;""),'Atividades Micro'!$K202,"")</f>
        <v/>
      </c>
      <c r="X184" s="21" t="str">
        <f>IF(AND('Atividades Micro'!$B202=X$2,'Atividades Micro'!$L202&lt;&gt;""),'Atividades Micro'!$L202,"")</f>
        <v/>
      </c>
      <c r="Y184" s="21" t="str">
        <f>IF(AND('Atividades Micro'!$A202=Y$2,'Atividades Micro'!$K202&lt;&gt;""),'Atividades Micro'!$K202,"")</f>
        <v/>
      </c>
      <c r="Z184" s="21" t="str">
        <f>IF(AND('Atividades Micro'!$A202=Z$2,'Atividades Micro'!$L202&lt;&gt;""),'Atividades Micro'!$L202,"")</f>
        <v/>
      </c>
      <c r="AA184" s="21" t="str">
        <f>IF(AND('Atividades Micro'!$B202=AA$2,'Atividades Micro'!$K202&lt;&gt;""),'Atividades Micro'!$K202,"")</f>
        <v/>
      </c>
      <c r="AB184" s="21" t="str">
        <f>IF(AND('Atividades Micro'!$B202=AB$2,'Atividades Micro'!$L202&lt;&gt;""),'Atividades Micro'!$L202,"")</f>
        <v/>
      </c>
      <c r="AC184" s="21" t="str">
        <f>IF(AND('Atividades Micro'!$B202=AC$2,'Atividades Micro'!$K202&lt;&gt;""),'Atividades Micro'!$K202,"")</f>
        <v/>
      </c>
      <c r="AD184" s="21" t="str">
        <f>IF(AND('Atividades Micro'!$B202=AD$2,'Atividades Micro'!$L202&lt;&gt;""),'Atividades Micro'!$L202,"")</f>
        <v/>
      </c>
      <c r="AE184" s="21">
        <f>IF(AND('Atividades Micro'!$A202=AE$2,'Atividades Micro'!$K202&lt;&gt;""),'Atividades Micro'!$K202,"")</f>
        <v>46231</v>
      </c>
      <c r="AF184" s="21">
        <f>IF(AND('Atividades Micro'!$A202=AF$2,'Atividades Micro'!$L202&lt;&gt;""),'Atividades Micro'!$L202,"")</f>
        <v>46274</v>
      </c>
      <c r="AG184" s="21">
        <f>IF(AND('Atividades Micro'!$B202=AG$2,'Atividades Micro'!$K202&lt;&gt;""),'Atividades Micro'!$K202,"")</f>
        <v>46231</v>
      </c>
      <c r="AH184" s="21">
        <f>IF(AND('Atividades Micro'!$B202=AH$2,'Atividades Micro'!$L202&lt;&gt;""),'Atividades Micro'!$L202,"")</f>
        <v>46274</v>
      </c>
      <c r="AI184" s="21" t="str">
        <f>IF(AND('Atividades Micro'!$B202=AI$2,'Atividades Micro'!$K202&lt;&gt;""),'Atividades Micro'!$K202,"")</f>
        <v/>
      </c>
      <c r="AJ184" s="21" t="str">
        <f>IF(AND('Atividades Micro'!$B202=AJ$2,'Atividades Micro'!$L202&lt;&gt;""),'Atividades Micro'!$L202,"")</f>
        <v/>
      </c>
      <c r="AK184" s="21" t="str">
        <f>IF(AND('Atividades Micro'!$A202=AK$2,'Atividades Micro'!$K202&lt;&gt;""),'Atividades Micro'!$K202,"")</f>
        <v/>
      </c>
      <c r="AL184" s="21" t="str">
        <f>IF(AND('Atividades Micro'!$A202=AL$2,'Atividades Micro'!$L202&lt;&gt;""),'Atividades Micro'!$L202,"")</f>
        <v/>
      </c>
      <c r="AM184" s="21" t="str">
        <f>IF(AND('Atividades Micro'!$B202=AM$2,'Atividades Micro'!$K202&lt;&gt;""),'Atividades Micro'!$K202,"")</f>
        <v/>
      </c>
      <c r="AN184" s="21" t="str">
        <f>IF(AND('Atividades Micro'!$B202=AN$2,'Atividades Micro'!$L202&lt;&gt;""),'Atividades Micro'!$L202,"")</f>
        <v/>
      </c>
      <c r="AO184" s="21" t="str">
        <f>IF(AND('Atividades Micro'!$B202=AO$2,'Atividades Micro'!$K202&lt;&gt;""),'Atividades Micro'!$K202,"")</f>
        <v/>
      </c>
      <c r="AP184" s="21" t="str">
        <f>IF(AND('Atividades Micro'!$B202=AP$2,'Atividades Micro'!$L202&lt;&gt;""),'Atividades Micro'!$L202,"")</f>
        <v/>
      </c>
      <c r="AQ184" s="21" t="str">
        <f>IF(AND('Atividades Micro'!$A202=AQ$2,'Atividades Micro'!$K202&lt;&gt;""),'Atividades Micro'!$K202,"")</f>
        <v/>
      </c>
      <c r="AR184" s="21" t="str">
        <f>IF(AND('Atividades Micro'!$A202=AR$2,'Atividades Micro'!$L202&lt;&gt;""),'Atividades Micro'!$L202,"")</f>
        <v/>
      </c>
      <c r="AS184" s="21" t="str">
        <f>IF(AND('Atividades Micro'!$B202=AS$2,'Atividades Micro'!$K202&lt;&gt;""),'Atividades Micro'!$K202,"")</f>
        <v/>
      </c>
      <c r="AT184" s="21" t="str">
        <f>IF(AND('Atividades Micro'!$B202=AT$2,'Atividades Micro'!$L202&lt;&gt;""),'Atividades Micro'!$L202,"")</f>
        <v/>
      </c>
      <c r="AU184" s="21" t="str">
        <f>IF(AND('Atividades Micro'!$A202=AU$2,'Atividades Micro'!$K202&lt;&gt;""),'Atividades Micro'!$K202,"")</f>
        <v/>
      </c>
      <c r="AV184" s="21" t="str">
        <f>IF(AND('Atividades Micro'!$A202=AV$2,'Atividades Micro'!$L202&lt;&gt;""),'Atividades Micro'!$L202,"")</f>
        <v/>
      </c>
      <c r="AW184" s="21" t="str">
        <f>IF(AND('Atividades Micro'!$B202=AW$2,'Atividades Micro'!$K202&lt;&gt;""),'Atividades Micro'!$K202,"")</f>
        <v/>
      </c>
      <c r="AX184" s="21" t="str">
        <f>IF(AND('Atividades Micro'!$B202=AX$2,'Atividades Micro'!$L202&lt;&gt;""),'Atividades Micro'!$L202,"")</f>
        <v/>
      </c>
      <c r="AY184" s="21" t="str">
        <f>IF(AND('Atividades Micro'!$A202=AY$2,'Atividades Micro'!$K202&lt;&gt;""),'Atividades Micro'!$K202,"")</f>
        <v/>
      </c>
      <c r="AZ184" s="21" t="str">
        <f>IF(AND('Atividades Micro'!$A202=AZ$2,'Atividades Micro'!$L202&lt;&gt;""),'Atividades Micro'!$L202,"")</f>
        <v/>
      </c>
      <c r="BA184" s="21" t="str">
        <f>IF(AND('Atividades Micro'!$B202=BA$2,'Atividades Micro'!$K202&lt;&gt;""),'Atividades Micro'!$K202,"")</f>
        <v/>
      </c>
      <c r="BB184" s="21" t="str">
        <f>IF(AND('Atividades Micro'!$B202=BB$2,'Atividades Micro'!$L202&lt;&gt;""),'Atividades Micro'!$L202,"")</f>
        <v/>
      </c>
      <c r="BC184" s="21" t="str">
        <f>IF(AND('Atividades Micro'!$B202=BC$2,'Atividades Micro'!$G202="Macro",'Atividades Micro'!$K202&lt;&gt;""),'Atividades Micro'!$K202,"")</f>
        <v/>
      </c>
      <c r="BD184" s="21" t="str">
        <f>IF(AND('Atividades Micro'!$B202=BD$2,'Atividades Micro'!$G202="Macro",'Atividades Micro'!$K202&lt;&gt;""),'Atividades Micro'!$K202,"")</f>
        <v/>
      </c>
      <c r="BE184" s="21" t="str">
        <f>IF(AND('Atividades Micro'!$B202=BE$2,'Atividades Micro'!$G202="Macro",'Atividades Micro'!$K202&lt;&gt;""),'Atividades Micro'!$K202,"")</f>
        <v/>
      </c>
      <c r="BF184" s="21" t="str">
        <f>IF(AND('Atividades Micro'!$B202=BF$2,'Atividades Micro'!$G202="Macro",'Atividades Micro'!$K202&lt;&gt;""),'Atividades Micro'!$K202,"")</f>
        <v/>
      </c>
      <c r="BG184" s="21" t="str">
        <f>IF(AND('Atividades Micro'!$B202=BG$2,'Atividades Micro'!$G202="Macro",'Atividades Micro'!$K202&lt;&gt;""),'Atividades Micro'!$K202,"")</f>
        <v/>
      </c>
      <c r="BH184" s="21" t="str">
        <f>IF(AND('Atividades Micro'!$B202=BH$2,'Atividades Micro'!$G202="Macro",'Atividades Micro'!$K202&lt;&gt;""),'Atividades Micro'!$K202,"")</f>
        <v/>
      </c>
      <c r="BI184" s="21" t="str">
        <f>IF(AND('Atividades Micro'!$B202=BI$2,'Atividades Micro'!$G202="Macro",'Atividades Micro'!$K202&lt;&gt;""),'Atividades Micro'!$K202,"")</f>
        <v/>
      </c>
      <c r="BJ184" s="21" t="str">
        <f>IF(AND('Atividades Micro'!$B202=BJ$2,'Atividades Micro'!$G202="Macro",'Atividades Micro'!$K202&lt;&gt;""),'Atividades Micro'!$K202,"")</f>
        <v/>
      </c>
      <c r="BK184" s="21" t="str">
        <f>IF(AND('Atividades Micro'!$B202=BK$2,'Atividades Micro'!$G202="Macro",'Atividades Micro'!$K202&lt;&gt;""),'Atividades Micro'!$K202,"")</f>
        <v/>
      </c>
      <c r="BL184" s="21" t="str">
        <f>IF(AND('Atividades Micro'!$B202=BL$2,'Atividades Micro'!$G202="Macro",'Atividades Micro'!$K202&lt;&gt;""),'Atividades Micro'!$K202,"")</f>
        <v/>
      </c>
      <c r="BM184" s="21" t="str">
        <f>IF(AND('Atividades Micro'!$B202=BM$2,'Atividades Micro'!$G202="Macro",'Atividades Micro'!$K202&lt;&gt;""),'Atividades Micro'!$K202,"")</f>
        <v/>
      </c>
      <c r="BN184" s="21" t="str">
        <f>IF(AND('Atividades Micro'!$B202=BN$2,'Atividades Micro'!$G202="Macro",'Atividades Micro'!$K202&lt;&gt;""),'Atividades Micro'!$K202,"")</f>
        <v/>
      </c>
      <c r="BO184" s="21" t="str">
        <f>IF(AND('Atividades Micro'!$B202=BO$2,'Atividades Micro'!$G202="Macro",'Atividades Micro'!$K202&lt;&gt;""),'Atividades Micro'!$K202,"")</f>
        <v/>
      </c>
      <c r="BP184" s="21" t="str">
        <f>IF(AND('Atividades Micro'!$B202=BP$2,'Atividades Micro'!$G202="Macro",'Atividades Micro'!$K202&lt;&gt;""),'Atividades Micro'!$K202,"")</f>
        <v/>
      </c>
      <c r="BQ184" s="21" t="str">
        <f>IF(AND('Atividades Micro'!$B202=BQ$2,'Atividades Micro'!$G202="Macro",'Atividades Micro'!$K202&lt;&gt;""),'Atividades Micro'!$K202,"")</f>
        <v/>
      </c>
      <c r="BR184" s="21" t="str">
        <f>IF(AND('Atividades Micro'!$B202=BR$2,'Atividades Micro'!$G202="Macro",'Atividades Micro'!$K202&lt;&gt;""),'Atividades Micro'!$K202,"")</f>
        <v/>
      </c>
      <c r="BS184" s="21">
        <f>IF(AND('Atividades Micro'!$B202=BS$2,'Atividades Micro'!$G202="Macro",'Atividades Micro'!$K202&lt;&gt;""),'Atividades Micro'!$K202,"")</f>
        <v>46231</v>
      </c>
      <c r="BT184" s="21" t="str">
        <f>IF(AND('Atividades Micro'!$B202=BT$2,'Atividades Micro'!$G202="Macro",'Atividades Micro'!$K202&lt;&gt;""),'Atividades Micro'!$K202,"")</f>
        <v/>
      </c>
      <c r="BU184" s="21" t="str">
        <f>IF(AND('Atividades Micro'!$B202=BU$2,'Atividades Micro'!$G202="Macro",'Atividades Micro'!$K202&lt;&gt;""),'Atividades Micro'!$K202,"")</f>
        <v/>
      </c>
      <c r="BV184" s="21" t="str">
        <f>IF(AND('Atividades Micro'!$B202=BV$2,'Atividades Micro'!$G202="Macro",'Atividades Micro'!$K202&lt;&gt;""),'Atividades Micro'!$K202,"")</f>
        <v/>
      </c>
      <c r="BW184" s="21" t="str">
        <f>IF(AND('Atividades Micro'!$B202=BW$2,'Atividades Micro'!$G202="Macro",'Atividades Micro'!$K202&lt;&gt;""),'Atividades Micro'!$K202,"")</f>
        <v/>
      </c>
      <c r="BX184" s="21" t="str">
        <f>IF(AND('Atividades Micro'!$B202=BX$2,'Atividades Micro'!$G202="Macro",'Atividades Micro'!$K202&lt;&gt;""),'Atividades Micro'!$K202,"")</f>
        <v/>
      </c>
      <c r="BY184" s="21" t="str">
        <f>IF(AND('Atividades Micro'!$B202=BY$2,'Atividades Micro'!$G202="Macro",'Atividades Micro'!$K202&lt;&gt;""),'Atividades Micro'!$K202,"")</f>
        <v/>
      </c>
      <c r="BZ184" s="21" t="str">
        <f>IF(AND('Atividades Micro'!$B202=BZ$2,'Atividades Micro'!$G202="Macro",'Atividades Micro'!$K202&lt;&gt;""),'Atividades Micro'!$K202,"")</f>
        <v/>
      </c>
      <c r="CA184" s="21" t="str">
        <f>IF(AND('Atividades Micro'!$B202=CA$2,'Atividades Micro'!$G202="Macro",'Atividades Micro'!$K202&lt;&gt;""),'Atividades Micro'!$K202,"")</f>
        <v/>
      </c>
      <c r="CB184" s="21" t="str">
        <f>IF(AND('Atividades Micro'!$B202=CB$2,'Atividades Micro'!$G202="Macro",'Atividades Micro'!$K202&lt;&gt;""),'Atividades Micro'!$K202,"")</f>
        <v/>
      </c>
      <c r="CC184" s="21" t="str">
        <f>IF(AND('Atividades Micro'!$B202=CC$2,'Atividades Micro'!$G202="Macro",'Atividades Micro'!$K202&lt;&gt;""),'Atividades Micro'!$K202,"")</f>
        <v/>
      </c>
      <c r="CD184" s="21" t="str">
        <f>IF(AND('Atividades Micro'!$B202=CD$2,'Atividades Micro'!$G202="Micro",'Atividades Micro'!$K202&lt;&gt;""),'Atividades Micro'!$K202,"")</f>
        <v/>
      </c>
      <c r="CE184" s="21" t="str">
        <f>IF(AND('Atividades Micro'!$B202=CE$2,'Atividades Micro'!$G202="Micro",'Atividades Micro'!$K202&lt;&gt;""),'Atividades Micro'!$K202,"")</f>
        <v/>
      </c>
      <c r="CF184" s="21" t="str">
        <f>IF(AND('Atividades Micro'!$B202=CF$2,'Atividades Micro'!$G202="Micro",'Atividades Micro'!$K202&lt;&gt;""),'Atividades Micro'!$K202,"")</f>
        <v/>
      </c>
      <c r="CG184" s="21" t="str">
        <f>IF(AND('Atividades Micro'!$B202=CG$2,'Atividades Micro'!$G202="Micro",'Atividades Micro'!$K202&lt;&gt;""),'Atividades Micro'!$K202,"")</f>
        <v/>
      </c>
      <c r="CH184" s="21" t="str">
        <f>IF(AND('Atividades Micro'!$B202=CH$2,'Atividades Micro'!$G202="Micro",'Atividades Micro'!$K202&lt;&gt;""),'Atividades Micro'!$K202,"")</f>
        <v/>
      </c>
      <c r="CI184" s="21" t="str">
        <f>IF(AND('Atividades Micro'!$B202=CI$2,'Atividades Micro'!$G202="Micro",'Atividades Micro'!$K202&lt;&gt;""),'Atividades Micro'!$K202,"")</f>
        <v/>
      </c>
      <c r="CJ184" s="21" t="str">
        <f>IF(AND('Atividades Micro'!$B202=CJ$2,'Atividades Micro'!$G202="Micro",'Atividades Micro'!$K202&lt;&gt;""),'Atividades Micro'!$K202,"")</f>
        <v/>
      </c>
      <c r="CK184" s="21" t="str">
        <f>IF(AND('Atividades Micro'!$B202=CK$2,'Atividades Micro'!$G202="Micro",'Atividades Micro'!$K202&lt;&gt;""),'Atividades Micro'!$K202,"")</f>
        <v/>
      </c>
      <c r="CL184" s="21" t="str">
        <f>IF(AND('Atividades Micro'!$B202=CL$2,'Atividades Micro'!$G202="Micro",'Atividades Micro'!$K202&lt;&gt;""),'Atividades Micro'!$K202,"")</f>
        <v/>
      </c>
      <c r="CM184" s="21" t="str">
        <f>IF(AND('Atividades Micro'!$B202=CM$2,'Atividades Micro'!$G202="Micro",'Atividades Micro'!$K202&lt;&gt;""),'Atividades Micro'!$K202,"")</f>
        <v/>
      </c>
      <c r="CN184" s="21" t="str">
        <f>IF(AND('Atividades Micro'!$B202=CN$2,'Atividades Micro'!$G202="Micro",'Atividades Micro'!$K202&lt;&gt;""),'Atividades Micro'!$K202,"")</f>
        <v/>
      </c>
      <c r="CO184" s="21" t="str">
        <f>IF(AND('Atividades Micro'!$B202=CO$2,'Atividades Micro'!$G202="Micro",'Atividades Micro'!$K202&lt;&gt;""),'Atividades Micro'!$K202,"")</f>
        <v/>
      </c>
    </row>
    <row r="185" spans="1:93">
      <c r="A185" s="21" t="str">
        <f>IF(AND('Atividades Micro'!$A203=A$2,'Atividades Micro'!$K203&lt;&gt;""),'Atividades Micro'!$K203,"")</f>
        <v/>
      </c>
      <c r="B185" s="21" t="str">
        <f>IF(AND('Atividades Micro'!$A203=B$2,'Atividades Micro'!$L203&lt;&gt;""),'Atividades Micro'!$L203,"")</f>
        <v/>
      </c>
      <c r="C185" s="21" t="str">
        <f>IF(AND('Atividades Micro'!$A203=C$2,'Atividades Micro'!$K203&lt;&gt;""),'Atividades Micro'!$K203,"")</f>
        <v/>
      </c>
      <c r="D185" s="21" t="str">
        <f>IF(AND('Atividades Micro'!$A203=D$2,'Atividades Micro'!$L203&lt;&gt;""),'Atividades Micro'!$L203,"")</f>
        <v/>
      </c>
      <c r="E185" s="21" t="str">
        <f>IF(AND('Atividades Micro'!$A203=E$2,'Atividades Micro'!$K203&lt;&gt;""),'Atividades Micro'!$K203,"")</f>
        <v/>
      </c>
      <c r="F185" s="21" t="str">
        <f>IF(AND('Atividades Micro'!$A203=F$2,'Atividades Micro'!$L203&lt;&gt;""),'Atividades Micro'!$L203,"")</f>
        <v/>
      </c>
      <c r="G185" s="21" t="str">
        <f>IF(AND('Atividades Micro'!$A203=G$2,'Atividades Micro'!$K203&lt;&gt;""),'Atividades Micro'!$K203,"")</f>
        <v/>
      </c>
      <c r="H185" s="21" t="str">
        <f>IF(AND('Atividades Micro'!$A203=H$2,'Atividades Micro'!$L203&lt;&gt;""),'Atividades Micro'!$L203,"")</f>
        <v/>
      </c>
      <c r="I185" s="21" t="str">
        <f>IF(AND('Atividades Micro'!$A203=I$2,'Atividades Micro'!$K203&lt;&gt;""),'Atividades Micro'!$K203,"")</f>
        <v/>
      </c>
      <c r="J185" s="21" t="str">
        <f>IF(AND('Atividades Micro'!$A203=J$2,'Atividades Micro'!$L203&lt;&gt;""),'Atividades Micro'!$L203,"")</f>
        <v/>
      </c>
      <c r="K185" s="21" t="str">
        <f>IF(AND('Atividades Micro'!$B203=K$2,'Atividades Micro'!$K203&lt;&gt;""),'Atividades Micro'!$K203,"")</f>
        <v/>
      </c>
      <c r="L185" s="21" t="str">
        <f>IF(AND('Atividades Micro'!$B203=L$2,'Atividades Micro'!$L203&lt;&gt;""),'Atividades Micro'!$L203,"")</f>
        <v/>
      </c>
      <c r="M185" s="21" t="str">
        <f>IF(AND('Atividades Micro'!$B203=M$2,'Atividades Micro'!$K203&lt;&gt;""),'Atividades Micro'!$K203,"")</f>
        <v/>
      </c>
      <c r="N185" s="21" t="str">
        <f>IF(AND('Atividades Micro'!$B203=N$2,'Atividades Micro'!$L203&lt;&gt;""),'Atividades Micro'!$L203,"")</f>
        <v/>
      </c>
      <c r="O185" s="21" t="str">
        <f>IF(AND('Atividades Micro'!$A203=O$2,'Atividades Micro'!$K203&lt;&gt;""),'Atividades Micro'!$K203,"")</f>
        <v/>
      </c>
      <c r="P185" s="21" t="str">
        <f>IF(AND('Atividades Micro'!$A203=P$2,'Atividades Micro'!$L203&lt;&gt;""),'Atividades Micro'!$L203,"")</f>
        <v/>
      </c>
      <c r="Q185" s="21" t="str">
        <f>IF(AND('Atividades Micro'!$B203=Q$2,'Atividades Micro'!$K203&lt;&gt;""),'Atividades Micro'!$K203,"")</f>
        <v/>
      </c>
      <c r="R185" s="21" t="str">
        <f>IF(AND('Atividades Micro'!$B203=R$2,'Atividades Micro'!$L203&lt;&gt;""),'Atividades Micro'!$L203,"")</f>
        <v/>
      </c>
      <c r="S185" s="21" t="str">
        <f>IF(AND('Atividades Micro'!$A203=S$2,'Atividades Micro'!$K203&lt;&gt;""),'Atividades Micro'!$K203,"")</f>
        <v/>
      </c>
      <c r="T185" s="21" t="str">
        <f>IF(AND('Atividades Micro'!$A203=T$2,'Atividades Micro'!$L203&lt;&gt;""),'Atividades Micro'!$L203,"")</f>
        <v/>
      </c>
      <c r="U185" s="21" t="str">
        <f>IF(AND('Atividades Micro'!$B203=U$2,'Atividades Micro'!$K203&lt;&gt;""),'Atividades Micro'!$K203,"")</f>
        <v/>
      </c>
      <c r="V185" s="21" t="str">
        <f>IF(AND('Atividades Micro'!$B203=V$2,'Atividades Micro'!$L203&lt;&gt;""),'Atividades Micro'!$L203,"")</f>
        <v/>
      </c>
      <c r="W185" s="21" t="str">
        <f>IF(AND('Atividades Micro'!$B203=W$2,'Atividades Micro'!$K203&lt;&gt;""),'Atividades Micro'!$K203,"")</f>
        <v/>
      </c>
      <c r="X185" s="21" t="str">
        <f>IF(AND('Atividades Micro'!$B203=X$2,'Atividades Micro'!$L203&lt;&gt;""),'Atividades Micro'!$L203,"")</f>
        <v/>
      </c>
      <c r="Y185" s="21" t="str">
        <f>IF(AND('Atividades Micro'!$A203=Y$2,'Atividades Micro'!$K203&lt;&gt;""),'Atividades Micro'!$K203,"")</f>
        <v/>
      </c>
      <c r="Z185" s="21" t="str">
        <f>IF(AND('Atividades Micro'!$A203=Z$2,'Atividades Micro'!$L203&lt;&gt;""),'Atividades Micro'!$L203,"")</f>
        <v/>
      </c>
      <c r="AA185" s="21" t="str">
        <f>IF(AND('Atividades Micro'!$B203=AA$2,'Atividades Micro'!$K203&lt;&gt;""),'Atividades Micro'!$K203,"")</f>
        <v/>
      </c>
      <c r="AB185" s="21" t="str">
        <f>IF(AND('Atividades Micro'!$B203=AB$2,'Atividades Micro'!$L203&lt;&gt;""),'Atividades Micro'!$L203,"")</f>
        <v/>
      </c>
      <c r="AC185" s="21" t="str">
        <f>IF(AND('Atividades Micro'!$B203=AC$2,'Atividades Micro'!$K203&lt;&gt;""),'Atividades Micro'!$K203,"")</f>
        <v/>
      </c>
      <c r="AD185" s="21" t="str">
        <f>IF(AND('Atividades Micro'!$B203=AD$2,'Atividades Micro'!$L203&lt;&gt;""),'Atividades Micro'!$L203,"")</f>
        <v/>
      </c>
      <c r="AE185" s="21">
        <f>IF(AND('Atividades Micro'!$A203=AE$2,'Atividades Micro'!$K203&lt;&gt;""),'Atividades Micro'!$K203,"")</f>
        <v>46218</v>
      </c>
      <c r="AF185" s="21">
        <f>IF(AND('Atividades Micro'!$A203=AF$2,'Atividades Micro'!$L203&lt;&gt;""),'Atividades Micro'!$L203,"")</f>
        <v>46225</v>
      </c>
      <c r="AG185" s="21">
        <f>IF(AND('Atividades Micro'!$B203=AG$2,'Atividades Micro'!$K203&lt;&gt;""),'Atividades Micro'!$K203,"")</f>
        <v>46218</v>
      </c>
      <c r="AH185" s="21">
        <f>IF(AND('Atividades Micro'!$B203=AH$2,'Atividades Micro'!$L203&lt;&gt;""),'Atividades Micro'!$L203,"")</f>
        <v>46225</v>
      </c>
      <c r="AI185" s="21" t="str">
        <f>IF(AND('Atividades Micro'!$B203=AI$2,'Atividades Micro'!$K203&lt;&gt;""),'Atividades Micro'!$K203,"")</f>
        <v/>
      </c>
      <c r="AJ185" s="21" t="str">
        <f>IF(AND('Atividades Micro'!$B203=AJ$2,'Atividades Micro'!$L203&lt;&gt;""),'Atividades Micro'!$L203,"")</f>
        <v/>
      </c>
      <c r="AK185" s="21" t="str">
        <f>IF(AND('Atividades Micro'!$A203=AK$2,'Atividades Micro'!$K203&lt;&gt;""),'Atividades Micro'!$K203,"")</f>
        <v/>
      </c>
      <c r="AL185" s="21" t="str">
        <f>IF(AND('Atividades Micro'!$A203=AL$2,'Atividades Micro'!$L203&lt;&gt;""),'Atividades Micro'!$L203,"")</f>
        <v/>
      </c>
      <c r="AM185" s="21" t="str">
        <f>IF(AND('Atividades Micro'!$B203=AM$2,'Atividades Micro'!$K203&lt;&gt;""),'Atividades Micro'!$K203,"")</f>
        <v/>
      </c>
      <c r="AN185" s="21" t="str">
        <f>IF(AND('Atividades Micro'!$B203=AN$2,'Atividades Micro'!$L203&lt;&gt;""),'Atividades Micro'!$L203,"")</f>
        <v/>
      </c>
      <c r="AO185" s="21" t="str">
        <f>IF(AND('Atividades Micro'!$B203=AO$2,'Atividades Micro'!$K203&lt;&gt;""),'Atividades Micro'!$K203,"")</f>
        <v/>
      </c>
      <c r="AP185" s="21" t="str">
        <f>IF(AND('Atividades Micro'!$B203=AP$2,'Atividades Micro'!$L203&lt;&gt;""),'Atividades Micro'!$L203,"")</f>
        <v/>
      </c>
      <c r="AQ185" s="21" t="str">
        <f>IF(AND('Atividades Micro'!$A203=AQ$2,'Atividades Micro'!$K203&lt;&gt;""),'Atividades Micro'!$K203,"")</f>
        <v/>
      </c>
      <c r="AR185" s="21" t="str">
        <f>IF(AND('Atividades Micro'!$A203=AR$2,'Atividades Micro'!$L203&lt;&gt;""),'Atividades Micro'!$L203,"")</f>
        <v/>
      </c>
      <c r="AS185" s="21" t="str">
        <f>IF(AND('Atividades Micro'!$B203=AS$2,'Atividades Micro'!$K203&lt;&gt;""),'Atividades Micro'!$K203,"")</f>
        <v/>
      </c>
      <c r="AT185" s="21" t="str">
        <f>IF(AND('Atividades Micro'!$B203=AT$2,'Atividades Micro'!$L203&lt;&gt;""),'Atividades Micro'!$L203,"")</f>
        <v/>
      </c>
      <c r="AU185" s="21" t="str">
        <f>IF(AND('Atividades Micro'!$A203=AU$2,'Atividades Micro'!$K203&lt;&gt;""),'Atividades Micro'!$K203,"")</f>
        <v/>
      </c>
      <c r="AV185" s="21" t="str">
        <f>IF(AND('Atividades Micro'!$A203=AV$2,'Atividades Micro'!$L203&lt;&gt;""),'Atividades Micro'!$L203,"")</f>
        <v/>
      </c>
      <c r="AW185" s="21" t="str">
        <f>IF(AND('Atividades Micro'!$B203=AW$2,'Atividades Micro'!$K203&lt;&gt;""),'Atividades Micro'!$K203,"")</f>
        <v/>
      </c>
      <c r="AX185" s="21" t="str">
        <f>IF(AND('Atividades Micro'!$B203=AX$2,'Atividades Micro'!$L203&lt;&gt;""),'Atividades Micro'!$L203,"")</f>
        <v/>
      </c>
      <c r="AY185" s="21" t="str">
        <f>IF(AND('Atividades Micro'!$A203=AY$2,'Atividades Micro'!$K203&lt;&gt;""),'Atividades Micro'!$K203,"")</f>
        <v/>
      </c>
      <c r="AZ185" s="21" t="str">
        <f>IF(AND('Atividades Micro'!$A203=AZ$2,'Atividades Micro'!$L203&lt;&gt;""),'Atividades Micro'!$L203,"")</f>
        <v/>
      </c>
      <c r="BA185" s="21" t="str">
        <f>IF(AND('Atividades Micro'!$B203=BA$2,'Atividades Micro'!$K203&lt;&gt;""),'Atividades Micro'!$K203,"")</f>
        <v/>
      </c>
      <c r="BB185" s="21" t="str">
        <f>IF(AND('Atividades Micro'!$B203=BB$2,'Atividades Micro'!$L203&lt;&gt;""),'Atividades Micro'!$L203,"")</f>
        <v/>
      </c>
      <c r="BC185" s="21" t="str">
        <f>IF(AND('Atividades Micro'!$B203=BC$2,'Atividades Micro'!$G203="Macro",'Atividades Micro'!$K203&lt;&gt;""),'Atividades Micro'!$K203,"")</f>
        <v/>
      </c>
      <c r="BD185" s="21" t="str">
        <f>IF(AND('Atividades Micro'!$B203=BD$2,'Atividades Micro'!$G203="Macro",'Atividades Micro'!$K203&lt;&gt;""),'Atividades Micro'!$K203,"")</f>
        <v/>
      </c>
      <c r="BE185" s="21" t="str">
        <f>IF(AND('Atividades Micro'!$B203=BE$2,'Atividades Micro'!$G203="Macro",'Atividades Micro'!$K203&lt;&gt;""),'Atividades Micro'!$K203,"")</f>
        <v/>
      </c>
      <c r="BF185" s="21" t="str">
        <f>IF(AND('Atividades Micro'!$B203=BF$2,'Atividades Micro'!$G203="Macro",'Atividades Micro'!$K203&lt;&gt;""),'Atividades Micro'!$K203,"")</f>
        <v/>
      </c>
      <c r="BG185" s="21" t="str">
        <f>IF(AND('Atividades Micro'!$B203=BG$2,'Atividades Micro'!$G203="Macro",'Atividades Micro'!$K203&lt;&gt;""),'Atividades Micro'!$K203,"")</f>
        <v/>
      </c>
      <c r="BH185" s="21" t="str">
        <f>IF(AND('Atividades Micro'!$B203=BH$2,'Atividades Micro'!$G203="Macro",'Atividades Micro'!$K203&lt;&gt;""),'Atividades Micro'!$K203,"")</f>
        <v/>
      </c>
      <c r="BI185" s="21" t="str">
        <f>IF(AND('Atividades Micro'!$B203=BI$2,'Atividades Micro'!$G203="Macro",'Atividades Micro'!$K203&lt;&gt;""),'Atividades Micro'!$K203,"")</f>
        <v/>
      </c>
      <c r="BJ185" s="21" t="str">
        <f>IF(AND('Atividades Micro'!$B203=BJ$2,'Atividades Micro'!$G203="Macro",'Atividades Micro'!$K203&lt;&gt;""),'Atividades Micro'!$K203,"")</f>
        <v/>
      </c>
      <c r="BK185" s="21" t="str">
        <f>IF(AND('Atividades Micro'!$B203=BK$2,'Atividades Micro'!$G203="Macro",'Atividades Micro'!$K203&lt;&gt;""),'Atividades Micro'!$K203,"")</f>
        <v/>
      </c>
      <c r="BL185" s="21" t="str">
        <f>IF(AND('Atividades Micro'!$B203=BL$2,'Atividades Micro'!$G203="Macro",'Atividades Micro'!$K203&lt;&gt;""),'Atividades Micro'!$K203,"")</f>
        <v/>
      </c>
      <c r="BM185" s="21" t="str">
        <f>IF(AND('Atividades Micro'!$B203=BM$2,'Atividades Micro'!$G203="Macro",'Atividades Micro'!$K203&lt;&gt;""),'Atividades Micro'!$K203,"")</f>
        <v/>
      </c>
      <c r="BN185" s="21" t="str">
        <f>IF(AND('Atividades Micro'!$B203=BN$2,'Atividades Micro'!$G203="Macro",'Atividades Micro'!$K203&lt;&gt;""),'Atividades Micro'!$K203,"")</f>
        <v/>
      </c>
      <c r="BO185" s="21" t="str">
        <f>IF(AND('Atividades Micro'!$B203=BO$2,'Atividades Micro'!$G203="Macro",'Atividades Micro'!$K203&lt;&gt;""),'Atividades Micro'!$K203,"")</f>
        <v/>
      </c>
      <c r="BP185" s="21" t="str">
        <f>IF(AND('Atividades Micro'!$B203=BP$2,'Atividades Micro'!$G203="Macro",'Atividades Micro'!$K203&lt;&gt;""),'Atividades Micro'!$K203,"")</f>
        <v/>
      </c>
      <c r="BQ185" s="21" t="str">
        <f>IF(AND('Atividades Micro'!$B203=BQ$2,'Atividades Micro'!$G203="Macro",'Atividades Micro'!$K203&lt;&gt;""),'Atividades Micro'!$K203,"")</f>
        <v/>
      </c>
      <c r="BR185" s="21" t="str">
        <f>IF(AND('Atividades Micro'!$B203=BR$2,'Atividades Micro'!$G203="Macro",'Atividades Micro'!$K203&lt;&gt;""),'Atividades Micro'!$K203,"")</f>
        <v/>
      </c>
      <c r="BS185" s="21" t="str">
        <f>IF(AND('Atividades Micro'!$B203=BS$2,'Atividades Micro'!$G203="Macro",'Atividades Micro'!$K203&lt;&gt;""),'Atividades Micro'!$K203,"")</f>
        <v/>
      </c>
      <c r="BT185" s="21" t="str">
        <f>IF(AND('Atividades Micro'!$B203=BT$2,'Atividades Micro'!$G203="Macro",'Atividades Micro'!$K203&lt;&gt;""),'Atividades Micro'!$K203,"")</f>
        <v/>
      </c>
      <c r="BU185" s="21" t="str">
        <f>IF(AND('Atividades Micro'!$B203=BU$2,'Atividades Micro'!$G203="Macro",'Atividades Micro'!$K203&lt;&gt;""),'Atividades Micro'!$K203,"")</f>
        <v/>
      </c>
      <c r="BV185" s="21" t="str">
        <f>IF(AND('Atividades Micro'!$B203=BV$2,'Atividades Micro'!$G203="Macro",'Atividades Micro'!$K203&lt;&gt;""),'Atividades Micro'!$K203,"")</f>
        <v/>
      </c>
      <c r="BW185" s="21" t="str">
        <f>IF(AND('Atividades Micro'!$B203=BW$2,'Atividades Micro'!$G203="Macro",'Atividades Micro'!$K203&lt;&gt;""),'Atividades Micro'!$K203,"")</f>
        <v/>
      </c>
      <c r="BX185" s="21" t="str">
        <f>IF(AND('Atividades Micro'!$B203=BX$2,'Atividades Micro'!$G203="Macro",'Atividades Micro'!$K203&lt;&gt;""),'Atividades Micro'!$K203,"")</f>
        <v/>
      </c>
      <c r="BY185" s="21" t="str">
        <f>IF(AND('Atividades Micro'!$B203=BY$2,'Atividades Micro'!$G203="Macro",'Atividades Micro'!$K203&lt;&gt;""),'Atividades Micro'!$K203,"")</f>
        <v/>
      </c>
      <c r="BZ185" s="21" t="str">
        <f>IF(AND('Atividades Micro'!$B203=BZ$2,'Atividades Micro'!$G203="Macro",'Atividades Micro'!$K203&lt;&gt;""),'Atividades Micro'!$K203,"")</f>
        <v/>
      </c>
      <c r="CA185" s="21" t="str">
        <f>IF(AND('Atividades Micro'!$B203=CA$2,'Atividades Micro'!$G203="Macro",'Atividades Micro'!$K203&lt;&gt;""),'Atividades Micro'!$K203,"")</f>
        <v/>
      </c>
      <c r="CB185" s="21" t="str">
        <f>IF(AND('Atividades Micro'!$B203=CB$2,'Atividades Micro'!$G203="Macro",'Atividades Micro'!$K203&lt;&gt;""),'Atividades Micro'!$K203,"")</f>
        <v/>
      </c>
      <c r="CC185" s="21" t="str">
        <f>IF(AND('Atividades Micro'!$B203=CC$2,'Atividades Micro'!$G203="Macro",'Atividades Micro'!$K203&lt;&gt;""),'Atividades Micro'!$K203,"")</f>
        <v/>
      </c>
      <c r="CD185" s="21" t="str">
        <f>IF(AND('Atividades Micro'!$B203=CD$2,'Atividades Micro'!$G203="Micro",'Atividades Micro'!$K203&lt;&gt;""),'Atividades Micro'!$K203,"")</f>
        <v/>
      </c>
      <c r="CE185" s="21" t="str">
        <f>IF(AND('Atividades Micro'!$B203=CE$2,'Atividades Micro'!$G203="Micro",'Atividades Micro'!$K203&lt;&gt;""),'Atividades Micro'!$K203,"")</f>
        <v/>
      </c>
      <c r="CF185" s="21" t="str">
        <f>IF(AND('Atividades Micro'!$B203=CF$2,'Atividades Micro'!$G203="Micro",'Atividades Micro'!$K203&lt;&gt;""),'Atividades Micro'!$K203,"")</f>
        <v/>
      </c>
      <c r="CG185" s="21" t="str">
        <f>IF(AND('Atividades Micro'!$B203=CG$2,'Atividades Micro'!$G203="Micro",'Atividades Micro'!$K203&lt;&gt;""),'Atividades Micro'!$K203,"")</f>
        <v/>
      </c>
      <c r="CH185" s="21" t="str">
        <f>IF(AND('Atividades Micro'!$B203=CH$2,'Atividades Micro'!$G203="Micro",'Atividades Micro'!$K203&lt;&gt;""),'Atividades Micro'!$K203,"")</f>
        <v/>
      </c>
      <c r="CI185" s="21" t="str">
        <f>IF(AND('Atividades Micro'!$B203=CI$2,'Atividades Micro'!$G203="Micro",'Atividades Micro'!$K203&lt;&gt;""),'Atividades Micro'!$K203,"")</f>
        <v/>
      </c>
      <c r="CJ185" s="21" t="str">
        <f>IF(AND('Atividades Micro'!$B203=CJ$2,'Atividades Micro'!$G203="Micro",'Atividades Micro'!$K203&lt;&gt;""),'Atividades Micro'!$K203,"")</f>
        <v/>
      </c>
      <c r="CK185" s="21">
        <f>IF(AND('Atividades Micro'!$B203=CK$2,'Atividades Micro'!$G203="Micro",'Atividades Micro'!$K203&lt;&gt;""),'Atividades Micro'!$K203,"")</f>
        <v>46218</v>
      </c>
      <c r="CL185" s="21" t="str">
        <f>IF(AND('Atividades Micro'!$B203=CL$2,'Atividades Micro'!$G203="Micro",'Atividades Micro'!$K203&lt;&gt;""),'Atividades Micro'!$K203,"")</f>
        <v/>
      </c>
      <c r="CM185" s="21" t="str">
        <f>IF(AND('Atividades Micro'!$B203=CM$2,'Atividades Micro'!$G203="Micro",'Atividades Micro'!$K203&lt;&gt;""),'Atividades Micro'!$K203,"")</f>
        <v/>
      </c>
      <c r="CN185" s="21" t="str">
        <f>IF(AND('Atividades Micro'!$B203=CN$2,'Atividades Micro'!$G203="Micro",'Atividades Micro'!$K203&lt;&gt;""),'Atividades Micro'!$K203,"")</f>
        <v/>
      </c>
      <c r="CO185" s="21" t="str">
        <f>IF(AND('Atividades Micro'!$B203=CO$2,'Atividades Micro'!$G203="Micro",'Atividades Micro'!$K203&lt;&gt;""),'Atividades Micro'!$K203,"")</f>
        <v/>
      </c>
    </row>
    <row r="186" spans="1:93">
      <c r="A186" s="21" t="str">
        <f>IF(AND('Atividades Micro'!$A204=A$2,'Atividades Micro'!$K204&lt;&gt;""),'Atividades Micro'!$K204,"")</f>
        <v/>
      </c>
      <c r="B186" s="21" t="str">
        <f>IF(AND('Atividades Micro'!$A204=B$2,'Atividades Micro'!$L204&lt;&gt;""),'Atividades Micro'!$L204,"")</f>
        <v/>
      </c>
      <c r="C186" s="21" t="str">
        <f>IF(AND('Atividades Micro'!$A204=C$2,'Atividades Micro'!$K204&lt;&gt;""),'Atividades Micro'!$K204,"")</f>
        <v/>
      </c>
      <c r="D186" s="21" t="str">
        <f>IF(AND('Atividades Micro'!$A204=D$2,'Atividades Micro'!$L204&lt;&gt;""),'Atividades Micro'!$L204,"")</f>
        <v/>
      </c>
      <c r="E186" s="21" t="str">
        <f>IF(AND('Atividades Micro'!$A204=E$2,'Atividades Micro'!$K204&lt;&gt;""),'Atividades Micro'!$K204,"")</f>
        <v/>
      </c>
      <c r="F186" s="21" t="str">
        <f>IF(AND('Atividades Micro'!$A204=F$2,'Atividades Micro'!$L204&lt;&gt;""),'Atividades Micro'!$L204,"")</f>
        <v/>
      </c>
      <c r="G186" s="21" t="str">
        <f>IF(AND('Atividades Micro'!$A204=G$2,'Atividades Micro'!$K204&lt;&gt;""),'Atividades Micro'!$K204,"")</f>
        <v/>
      </c>
      <c r="H186" s="21" t="str">
        <f>IF(AND('Atividades Micro'!$A204=H$2,'Atividades Micro'!$L204&lt;&gt;""),'Atividades Micro'!$L204,"")</f>
        <v/>
      </c>
      <c r="I186" s="21" t="str">
        <f>IF(AND('Atividades Micro'!$A204=I$2,'Atividades Micro'!$K204&lt;&gt;""),'Atividades Micro'!$K204,"")</f>
        <v/>
      </c>
      <c r="J186" s="21" t="str">
        <f>IF(AND('Atividades Micro'!$A204=J$2,'Atividades Micro'!$L204&lt;&gt;""),'Atividades Micro'!$L204,"")</f>
        <v/>
      </c>
      <c r="K186" s="21" t="str">
        <f>IF(AND('Atividades Micro'!$B204=K$2,'Atividades Micro'!$K204&lt;&gt;""),'Atividades Micro'!$K204,"")</f>
        <v/>
      </c>
      <c r="L186" s="21" t="str">
        <f>IF(AND('Atividades Micro'!$B204=L$2,'Atividades Micro'!$L204&lt;&gt;""),'Atividades Micro'!$L204,"")</f>
        <v/>
      </c>
      <c r="M186" s="21" t="str">
        <f>IF(AND('Atividades Micro'!$B204=M$2,'Atividades Micro'!$K204&lt;&gt;""),'Atividades Micro'!$K204,"")</f>
        <v/>
      </c>
      <c r="N186" s="21" t="str">
        <f>IF(AND('Atividades Micro'!$B204=N$2,'Atividades Micro'!$L204&lt;&gt;""),'Atividades Micro'!$L204,"")</f>
        <v/>
      </c>
      <c r="O186" s="21" t="str">
        <f>IF(AND('Atividades Micro'!$A204=O$2,'Atividades Micro'!$K204&lt;&gt;""),'Atividades Micro'!$K204,"")</f>
        <v/>
      </c>
      <c r="P186" s="21" t="str">
        <f>IF(AND('Atividades Micro'!$A204=P$2,'Atividades Micro'!$L204&lt;&gt;""),'Atividades Micro'!$L204,"")</f>
        <v/>
      </c>
      <c r="Q186" s="21" t="str">
        <f>IF(AND('Atividades Micro'!$B204=Q$2,'Atividades Micro'!$K204&lt;&gt;""),'Atividades Micro'!$K204,"")</f>
        <v/>
      </c>
      <c r="R186" s="21" t="str">
        <f>IF(AND('Atividades Micro'!$B204=R$2,'Atividades Micro'!$L204&lt;&gt;""),'Atividades Micro'!$L204,"")</f>
        <v/>
      </c>
      <c r="S186" s="21" t="str">
        <f>IF(AND('Atividades Micro'!$A204=S$2,'Atividades Micro'!$K204&lt;&gt;""),'Atividades Micro'!$K204,"")</f>
        <v/>
      </c>
      <c r="T186" s="21" t="str">
        <f>IF(AND('Atividades Micro'!$A204=T$2,'Atividades Micro'!$L204&lt;&gt;""),'Atividades Micro'!$L204,"")</f>
        <v/>
      </c>
      <c r="U186" s="21" t="str">
        <f>IF(AND('Atividades Micro'!$B204=U$2,'Atividades Micro'!$K204&lt;&gt;""),'Atividades Micro'!$K204,"")</f>
        <v/>
      </c>
      <c r="V186" s="21" t="str">
        <f>IF(AND('Atividades Micro'!$B204=V$2,'Atividades Micro'!$L204&lt;&gt;""),'Atividades Micro'!$L204,"")</f>
        <v/>
      </c>
      <c r="W186" s="21" t="str">
        <f>IF(AND('Atividades Micro'!$B204=W$2,'Atividades Micro'!$K204&lt;&gt;""),'Atividades Micro'!$K204,"")</f>
        <v/>
      </c>
      <c r="X186" s="21" t="str">
        <f>IF(AND('Atividades Micro'!$B204=X$2,'Atividades Micro'!$L204&lt;&gt;""),'Atividades Micro'!$L204,"")</f>
        <v/>
      </c>
      <c r="Y186" s="21" t="str">
        <f>IF(AND('Atividades Micro'!$A204=Y$2,'Atividades Micro'!$K204&lt;&gt;""),'Atividades Micro'!$K204,"")</f>
        <v/>
      </c>
      <c r="Z186" s="21" t="str">
        <f>IF(AND('Atividades Micro'!$A204=Z$2,'Atividades Micro'!$L204&lt;&gt;""),'Atividades Micro'!$L204,"")</f>
        <v/>
      </c>
      <c r="AA186" s="21" t="str">
        <f>IF(AND('Atividades Micro'!$B204=AA$2,'Atividades Micro'!$K204&lt;&gt;""),'Atividades Micro'!$K204,"")</f>
        <v/>
      </c>
      <c r="AB186" s="21" t="str">
        <f>IF(AND('Atividades Micro'!$B204=AB$2,'Atividades Micro'!$L204&lt;&gt;""),'Atividades Micro'!$L204,"")</f>
        <v/>
      </c>
      <c r="AC186" s="21" t="str">
        <f>IF(AND('Atividades Micro'!$B204=AC$2,'Atividades Micro'!$K204&lt;&gt;""),'Atividades Micro'!$K204,"")</f>
        <v/>
      </c>
      <c r="AD186" s="21" t="str">
        <f>IF(AND('Atividades Micro'!$B204=AD$2,'Atividades Micro'!$L204&lt;&gt;""),'Atividades Micro'!$L204,"")</f>
        <v/>
      </c>
      <c r="AE186" s="21">
        <f>IF(AND('Atividades Micro'!$A204=AE$2,'Atividades Micro'!$K204&lt;&gt;""),'Atividades Micro'!$K204,"")</f>
        <v>46231</v>
      </c>
      <c r="AF186" s="21">
        <f>IF(AND('Atividades Micro'!$A204=AF$2,'Atividades Micro'!$L204&lt;&gt;""),'Atividades Micro'!$L204,"")</f>
        <v>46231</v>
      </c>
      <c r="AG186" s="21">
        <f>IF(AND('Atividades Micro'!$B204=AG$2,'Atividades Micro'!$K204&lt;&gt;""),'Atividades Micro'!$K204,"")</f>
        <v>46231</v>
      </c>
      <c r="AH186" s="21">
        <f>IF(AND('Atividades Micro'!$B204=AH$2,'Atividades Micro'!$L204&lt;&gt;""),'Atividades Micro'!$L204,"")</f>
        <v>46231</v>
      </c>
      <c r="AI186" s="21" t="str">
        <f>IF(AND('Atividades Micro'!$B204=AI$2,'Atividades Micro'!$K204&lt;&gt;""),'Atividades Micro'!$K204,"")</f>
        <v/>
      </c>
      <c r="AJ186" s="21" t="str">
        <f>IF(AND('Atividades Micro'!$B204=AJ$2,'Atividades Micro'!$L204&lt;&gt;""),'Atividades Micro'!$L204,"")</f>
        <v/>
      </c>
      <c r="AK186" s="21" t="str">
        <f>IF(AND('Atividades Micro'!$A204=AK$2,'Atividades Micro'!$K204&lt;&gt;""),'Atividades Micro'!$K204,"")</f>
        <v/>
      </c>
      <c r="AL186" s="21" t="str">
        <f>IF(AND('Atividades Micro'!$A204=AL$2,'Atividades Micro'!$L204&lt;&gt;""),'Atividades Micro'!$L204,"")</f>
        <v/>
      </c>
      <c r="AM186" s="21" t="str">
        <f>IF(AND('Atividades Micro'!$B204=AM$2,'Atividades Micro'!$K204&lt;&gt;""),'Atividades Micro'!$K204,"")</f>
        <v/>
      </c>
      <c r="AN186" s="21" t="str">
        <f>IF(AND('Atividades Micro'!$B204=AN$2,'Atividades Micro'!$L204&lt;&gt;""),'Atividades Micro'!$L204,"")</f>
        <v/>
      </c>
      <c r="AO186" s="21" t="str">
        <f>IF(AND('Atividades Micro'!$B204=AO$2,'Atividades Micro'!$K204&lt;&gt;""),'Atividades Micro'!$K204,"")</f>
        <v/>
      </c>
      <c r="AP186" s="21" t="str">
        <f>IF(AND('Atividades Micro'!$B204=AP$2,'Atividades Micro'!$L204&lt;&gt;""),'Atividades Micro'!$L204,"")</f>
        <v/>
      </c>
      <c r="AQ186" s="21" t="str">
        <f>IF(AND('Atividades Micro'!$A204=AQ$2,'Atividades Micro'!$K204&lt;&gt;""),'Atividades Micro'!$K204,"")</f>
        <v/>
      </c>
      <c r="AR186" s="21" t="str">
        <f>IF(AND('Atividades Micro'!$A204=AR$2,'Atividades Micro'!$L204&lt;&gt;""),'Atividades Micro'!$L204,"")</f>
        <v/>
      </c>
      <c r="AS186" s="21" t="str">
        <f>IF(AND('Atividades Micro'!$B204=AS$2,'Atividades Micro'!$K204&lt;&gt;""),'Atividades Micro'!$K204,"")</f>
        <v/>
      </c>
      <c r="AT186" s="21" t="str">
        <f>IF(AND('Atividades Micro'!$B204=AT$2,'Atividades Micro'!$L204&lt;&gt;""),'Atividades Micro'!$L204,"")</f>
        <v/>
      </c>
      <c r="AU186" s="21" t="str">
        <f>IF(AND('Atividades Micro'!$A204=AU$2,'Atividades Micro'!$K204&lt;&gt;""),'Atividades Micro'!$K204,"")</f>
        <v/>
      </c>
      <c r="AV186" s="21" t="str">
        <f>IF(AND('Atividades Micro'!$A204=AV$2,'Atividades Micro'!$L204&lt;&gt;""),'Atividades Micro'!$L204,"")</f>
        <v/>
      </c>
      <c r="AW186" s="21" t="str">
        <f>IF(AND('Atividades Micro'!$B204=AW$2,'Atividades Micro'!$K204&lt;&gt;""),'Atividades Micro'!$K204,"")</f>
        <v/>
      </c>
      <c r="AX186" s="21" t="str">
        <f>IF(AND('Atividades Micro'!$B204=AX$2,'Atividades Micro'!$L204&lt;&gt;""),'Atividades Micro'!$L204,"")</f>
        <v/>
      </c>
      <c r="AY186" s="21" t="str">
        <f>IF(AND('Atividades Micro'!$A204=AY$2,'Atividades Micro'!$K204&lt;&gt;""),'Atividades Micro'!$K204,"")</f>
        <v/>
      </c>
      <c r="AZ186" s="21" t="str">
        <f>IF(AND('Atividades Micro'!$A204=AZ$2,'Atividades Micro'!$L204&lt;&gt;""),'Atividades Micro'!$L204,"")</f>
        <v/>
      </c>
      <c r="BA186" s="21" t="str">
        <f>IF(AND('Atividades Micro'!$B204=BA$2,'Atividades Micro'!$K204&lt;&gt;""),'Atividades Micro'!$K204,"")</f>
        <v/>
      </c>
      <c r="BB186" s="21" t="str">
        <f>IF(AND('Atividades Micro'!$B204=BB$2,'Atividades Micro'!$L204&lt;&gt;""),'Atividades Micro'!$L204,"")</f>
        <v/>
      </c>
      <c r="BC186" s="21" t="str">
        <f>IF(AND('Atividades Micro'!$B204=BC$2,'Atividades Micro'!$G204="Macro",'Atividades Micro'!$K204&lt;&gt;""),'Atividades Micro'!$K204,"")</f>
        <v/>
      </c>
      <c r="BD186" s="21" t="str">
        <f>IF(AND('Atividades Micro'!$B204=BD$2,'Atividades Micro'!$G204="Macro",'Atividades Micro'!$K204&lt;&gt;""),'Atividades Micro'!$K204,"")</f>
        <v/>
      </c>
      <c r="BE186" s="21" t="str">
        <f>IF(AND('Atividades Micro'!$B204=BE$2,'Atividades Micro'!$G204="Macro",'Atividades Micro'!$K204&lt;&gt;""),'Atividades Micro'!$K204,"")</f>
        <v/>
      </c>
      <c r="BF186" s="21" t="str">
        <f>IF(AND('Atividades Micro'!$B204=BF$2,'Atividades Micro'!$G204="Macro",'Atividades Micro'!$K204&lt;&gt;""),'Atividades Micro'!$K204,"")</f>
        <v/>
      </c>
      <c r="BG186" s="21" t="str">
        <f>IF(AND('Atividades Micro'!$B204=BG$2,'Atividades Micro'!$G204="Macro",'Atividades Micro'!$K204&lt;&gt;""),'Atividades Micro'!$K204,"")</f>
        <v/>
      </c>
      <c r="BH186" s="21" t="str">
        <f>IF(AND('Atividades Micro'!$B204=BH$2,'Atividades Micro'!$G204="Macro",'Atividades Micro'!$K204&lt;&gt;""),'Atividades Micro'!$K204,"")</f>
        <v/>
      </c>
      <c r="BI186" s="21" t="str">
        <f>IF(AND('Atividades Micro'!$B204=BI$2,'Atividades Micro'!$G204="Macro",'Atividades Micro'!$K204&lt;&gt;""),'Atividades Micro'!$K204,"")</f>
        <v/>
      </c>
      <c r="BJ186" s="21" t="str">
        <f>IF(AND('Atividades Micro'!$B204=BJ$2,'Atividades Micro'!$G204="Macro",'Atividades Micro'!$K204&lt;&gt;""),'Atividades Micro'!$K204,"")</f>
        <v/>
      </c>
      <c r="BK186" s="21" t="str">
        <f>IF(AND('Atividades Micro'!$B204=BK$2,'Atividades Micro'!$G204="Macro",'Atividades Micro'!$K204&lt;&gt;""),'Atividades Micro'!$K204,"")</f>
        <v/>
      </c>
      <c r="BL186" s="21" t="str">
        <f>IF(AND('Atividades Micro'!$B204=BL$2,'Atividades Micro'!$G204="Macro",'Atividades Micro'!$K204&lt;&gt;""),'Atividades Micro'!$K204,"")</f>
        <v/>
      </c>
      <c r="BM186" s="21" t="str">
        <f>IF(AND('Atividades Micro'!$B204=BM$2,'Atividades Micro'!$G204="Macro",'Atividades Micro'!$K204&lt;&gt;""),'Atividades Micro'!$K204,"")</f>
        <v/>
      </c>
      <c r="BN186" s="21" t="str">
        <f>IF(AND('Atividades Micro'!$B204=BN$2,'Atividades Micro'!$G204="Macro",'Atividades Micro'!$K204&lt;&gt;""),'Atividades Micro'!$K204,"")</f>
        <v/>
      </c>
      <c r="BO186" s="21" t="str">
        <f>IF(AND('Atividades Micro'!$B204=BO$2,'Atividades Micro'!$G204="Macro",'Atividades Micro'!$K204&lt;&gt;""),'Atividades Micro'!$K204,"")</f>
        <v/>
      </c>
      <c r="BP186" s="21" t="str">
        <f>IF(AND('Atividades Micro'!$B204=BP$2,'Atividades Micro'!$G204="Macro",'Atividades Micro'!$K204&lt;&gt;""),'Atividades Micro'!$K204,"")</f>
        <v/>
      </c>
      <c r="BQ186" s="21" t="str">
        <f>IF(AND('Atividades Micro'!$B204=BQ$2,'Atividades Micro'!$G204="Macro",'Atividades Micro'!$K204&lt;&gt;""),'Atividades Micro'!$K204,"")</f>
        <v/>
      </c>
      <c r="BR186" s="21" t="str">
        <f>IF(AND('Atividades Micro'!$B204=BR$2,'Atividades Micro'!$G204="Macro",'Atividades Micro'!$K204&lt;&gt;""),'Atividades Micro'!$K204,"")</f>
        <v/>
      </c>
      <c r="BS186" s="21" t="str">
        <f>IF(AND('Atividades Micro'!$B204=BS$2,'Atividades Micro'!$G204="Macro",'Atividades Micro'!$K204&lt;&gt;""),'Atividades Micro'!$K204,"")</f>
        <v/>
      </c>
      <c r="BT186" s="21" t="str">
        <f>IF(AND('Atividades Micro'!$B204=BT$2,'Atividades Micro'!$G204="Macro",'Atividades Micro'!$K204&lt;&gt;""),'Atividades Micro'!$K204,"")</f>
        <v/>
      </c>
      <c r="BU186" s="21" t="str">
        <f>IF(AND('Atividades Micro'!$B204=BU$2,'Atividades Micro'!$G204="Macro",'Atividades Micro'!$K204&lt;&gt;""),'Atividades Micro'!$K204,"")</f>
        <v/>
      </c>
      <c r="BV186" s="21" t="str">
        <f>IF(AND('Atividades Micro'!$B204=BV$2,'Atividades Micro'!$G204="Macro",'Atividades Micro'!$K204&lt;&gt;""),'Atividades Micro'!$K204,"")</f>
        <v/>
      </c>
      <c r="BW186" s="21" t="str">
        <f>IF(AND('Atividades Micro'!$B204=BW$2,'Atividades Micro'!$G204="Macro",'Atividades Micro'!$K204&lt;&gt;""),'Atividades Micro'!$K204,"")</f>
        <v/>
      </c>
      <c r="BX186" s="21" t="str">
        <f>IF(AND('Atividades Micro'!$B204=BX$2,'Atividades Micro'!$G204="Macro",'Atividades Micro'!$K204&lt;&gt;""),'Atividades Micro'!$K204,"")</f>
        <v/>
      </c>
      <c r="BY186" s="21" t="str">
        <f>IF(AND('Atividades Micro'!$B204=BY$2,'Atividades Micro'!$G204="Macro",'Atividades Micro'!$K204&lt;&gt;""),'Atividades Micro'!$K204,"")</f>
        <v/>
      </c>
      <c r="BZ186" s="21" t="str">
        <f>IF(AND('Atividades Micro'!$B204=BZ$2,'Atividades Micro'!$G204="Macro",'Atividades Micro'!$K204&lt;&gt;""),'Atividades Micro'!$K204,"")</f>
        <v/>
      </c>
      <c r="CA186" s="21" t="str">
        <f>IF(AND('Atividades Micro'!$B204=CA$2,'Atividades Micro'!$G204="Macro",'Atividades Micro'!$K204&lt;&gt;""),'Atividades Micro'!$K204,"")</f>
        <v/>
      </c>
      <c r="CB186" s="21" t="str">
        <f>IF(AND('Atividades Micro'!$B204=CB$2,'Atividades Micro'!$G204="Macro",'Atividades Micro'!$K204&lt;&gt;""),'Atividades Micro'!$K204,"")</f>
        <v/>
      </c>
      <c r="CC186" s="21" t="str">
        <f>IF(AND('Atividades Micro'!$B204=CC$2,'Atividades Micro'!$G204="Macro",'Atividades Micro'!$K204&lt;&gt;""),'Atividades Micro'!$K204,"")</f>
        <v/>
      </c>
      <c r="CD186" s="21" t="str">
        <f>IF(AND('Atividades Micro'!$B204=CD$2,'Atividades Micro'!$G204="Micro",'Atividades Micro'!$K204&lt;&gt;""),'Atividades Micro'!$K204,"")</f>
        <v/>
      </c>
      <c r="CE186" s="21" t="str">
        <f>IF(AND('Atividades Micro'!$B204=CE$2,'Atividades Micro'!$G204="Micro",'Atividades Micro'!$K204&lt;&gt;""),'Atividades Micro'!$K204,"")</f>
        <v/>
      </c>
      <c r="CF186" s="21" t="str">
        <f>IF(AND('Atividades Micro'!$B204=CF$2,'Atividades Micro'!$G204="Micro",'Atividades Micro'!$K204&lt;&gt;""),'Atividades Micro'!$K204,"")</f>
        <v/>
      </c>
      <c r="CG186" s="21" t="str">
        <f>IF(AND('Atividades Micro'!$B204=CG$2,'Atividades Micro'!$G204="Micro",'Atividades Micro'!$K204&lt;&gt;""),'Atividades Micro'!$K204,"")</f>
        <v/>
      </c>
      <c r="CH186" s="21" t="str">
        <f>IF(AND('Atividades Micro'!$B204=CH$2,'Atividades Micro'!$G204="Micro",'Atividades Micro'!$K204&lt;&gt;""),'Atividades Micro'!$K204,"")</f>
        <v/>
      </c>
      <c r="CI186" s="21" t="str">
        <f>IF(AND('Atividades Micro'!$B204=CI$2,'Atividades Micro'!$G204="Micro",'Atividades Micro'!$K204&lt;&gt;""),'Atividades Micro'!$K204,"")</f>
        <v/>
      </c>
      <c r="CJ186" s="21" t="str">
        <f>IF(AND('Atividades Micro'!$B204=CJ$2,'Atividades Micro'!$G204="Micro",'Atividades Micro'!$K204&lt;&gt;""),'Atividades Micro'!$K204,"")</f>
        <v/>
      </c>
      <c r="CK186" s="21">
        <f>IF(AND('Atividades Micro'!$B204=CK$2,'Atividades Micro'!$G204="Micro",'Atividades Micro'!$K204&lt;&gt;""),'Atividades Micro'!$K204,"")</f>
        <v>46231</v>
      </c>
      <c r="CL186" s="21" t="str">
        <f>IF(AND('Atividades Micro'!$B204=CL$2,'Atividades Micro'!$G204="Micro",'Atividades Micro'!$K204&lt;&gt;""),'Atividades Micro'!$K204,"")</f>
        <v/>
      </c>
      <c r="CM186" s="21" t="str">
        <f>IF(AND('Atividades Micro'!$B204=CM$2,'Atividades Micro'!$G204="Micro",'Atividades Micro'!$K204&lt;&gt;""),'Atividades Micro'!$K204,"")</f>
        <v/>
      </c>
      <c r="CN186" s="21" t="str">
        <f>IF(AND('Atividades Micro'!$B204=CN$2,'Atividades Micro'!$G204="Micro",'Atividades Micro'!$K204&lt;&gt;""),'Atividades Micro'!$K204,"")</f>
        <v/>
      </c>
      <c r="CO186" s="21" t="str">
        <f>IF(AND('Atividades Micro'!$B204=CO$2,'Atividades Micro'!$G204="Micro",'Atividades Micro'!$K204&lt;&gt;""),'Atividades Micro'!$K204,"")</f>
        <v/>
      </c>
    </row>
    <row r="187" spans="1:93">
      <c r="A187" s="21" t="str">
        <f>IF(AND('Atividades Micro'!$A207=A$2,'Atividades Micro'!$K207&lt;&gt;""),'Atividades Micro'!$K207,"")</f>
        <v/>
      </c>
      <c r="B187" s="21" t="str">
        <f>IF(AND('Atividades Micro'!$A207=B$2,'Atividades Micro'!$L207&lt;&gt;""),'Atividades Micro'!$L207,"")</f>
        <v/>
      </c>
      <c r="C187" s="21" t="str">
        <f>IF(AND('Atividades Micro'!$A207=C$2,'Atividades Micro'!$K207&lt;&gt;""),'Atividades Micro'!$K207,"")</f>
        <v/>
      </c>
      <c r="D187" s="21" t="str">
        <f>IF(AND('Atividades Micro'!$A207=D$2,'Atividades Micro'!$L207&lt;&gt;""),'Atividades Micro'!$L207,"")</f>
        <v/>
      </c>
      <c r="E187" s="21" t="str">
        <f>IF(AND('Atividades Micro'!$A207=E$2,'Atividades Micro'!$K207&lt;&gt;""),'Atividades Micro'!$K207,"")</f>
        <v/>
      </c>
      <c r="F187" s="21" t="str">
        <f>IF(AND('Atividades Micro'!$A207=F$2,'Atividades Micro'!$L207&lt;&gt;""),'Atividades Micro'!$L207,"")</f>
        <v/>
      </c>
      <c r="G187" s="21" t="str">
        <f>IF(AND('Atividades Micro'!$A207=G$2,'Atividades Micro'!$K207&lt;&gt;""),'Atividades Micro'!$K207,"")</f>
        <v/>
      </c>
      <c r="H187" s="21" t="str">
        <f>IF(AND('Atividades Micro'!$A207=H$2,'Atividades Micro'!$L207&lt;&gt;""),'Atividades Micro'!$L207,"")</f>
        <v/>
      </c>
      <c r="I187" s="21" t="str">
        <f>IF(AND('Atividades Micro'!$A207=I$2,'Atividades Micro'!$K207&lt;&gt;""),'Atividades Micro'!$K207,"")</f>
        <v/>
      </c>
      <c r="J187" s="21" t="str">
        <f>IF(AND('Atividades Micro'!$A207=J$2,'Atividades Micro'!$L207&lt;&gt;""),'Atividades Micro'!$L207,"")</f>
        <v/>
      </c>
      <c r="K187" s="21" t="str">
        <f>IF(AND('Atividades Micro'!$B207=K$2,'Atividades Micro'!$K207&lt;&gt;""),'Atividades Micro'!$K207,"")</f>
        <v/>
      </c>
      <c r="L187" s="21" t="str">
        <f>IF(AND('Atividades Micro'!$B207=L$2,'Atividades Micro'!$L207&lt;&gt;""),'Atividades Micro'!$L207,"")</f>
        <v/>
      </c>
      <c r="M187" s="21" t="str">
        <f>IF(AND('Atividades Micro'!$B207=M$2,'Atividades Micro'!$K207&lt;&gt;""),'Atividades Micro'!$K207,"")</f>
        <v/>
      </c>
      <c r="N187" s="21" t="str">
        <f>IF(AND('Atividades Micro'!$B207=N$2,'Atividades Micro'!$L207&lt;&gt;""),'Atividades Micro'!$L207,"")</f>
        <v/>
      </c>
      <c r="O187" s="21" t="str">
        <f>IF(AND('Atividades Micro'!$A207=O$2,'Atividades Micro'!$K207&lt;&gt;""),'Atividades Micro'!$K207,"")</f>
        <v/>
      </c>
      <c r="P187" s="21" t="str">
        <f>IF(AND('Atividades Micro'!$A207=P$2,'Atividades Micro'!$L207&lt;&gt;""),'Atividades Micro'!$L207,"")</f>
        <v/>
      </c>
      <c r="Q187" s="21" t="str">
        <f>IF(AND('Atividades Micro'!$B207=Q$2,'Atividades Micro'!$K207&lt;&gt;""),'Atividades Micro'!$K207,"")</f>
        <v/>
      </c>
      <c r="R187" s="21" t="str">
        <f>IF(AND('Atividades Micro'!$B207=R$2,'Atividades Micro'!$L207&lt;&gt;""),'Atividades Micro'!$L207,"")</f>
        <v/>
      </c>
      <c r="S187" s="21" t="str">
        <f>IF(AND('Atividades Micro'!$A207=S$2,'Atividades Micro'!$K207&lt;&gt;""),'Atividades Micro'!$K207,"")</f>
        <v/>
      </c>
      <c r="T187" s="21" t="str">
        <f>IF(AND('Atividades Micro'!$A207=T$2,'Atividades Micro'!$L207&lt;&gt;""),'Atividades Micro'!$L207,"")</f>
        <v/>
      </c>
      <c r="U187" s="21" t="str">
        <f>IF(AND('Atividades Micro'!$B207=U$2,'Atividades Micro'!$K207&lt;&gt;""),'Atividades Micro'!$K207,"")</f>
        <v/>
      </c>
      <c r="V187" s="21" t="str">
        <f>IF(AND('Atividades Micro'!$B207=V$2,'Atividades Micro'!$L207&lt;&gt;""),'Atividades Micro'!$L207,"")</f>
        <v/>
      </c>
      <c r="W187" s="21" t="str">
        <f>IF(AND('Atividades Micro'!$B207=W$2,'Atividades Micro'!$K207&lt;&gt;""),'Atividades Micro'!$K207,"")</f>
        <v/>
      </c>
      <c r="X187" s="21" t="str">
        <f>IF(AND('Atividades Micro'!$B207=X$2,'Atividades Micro'!$L207&lt;&gt;""),'Atividades Micro'!$L207,"")</f>
        <v/>
      </c>
      <c r="Y187" s="21" t="str">
        <f>IF(AND('Atividades Micro'!$A207=Y$2,'Atividades Micro'!$K207&lt;&gt;""),'Atividades Micro'!$K207,"")</f>
        <v/>
      </c>
      <c r="Z187" s="21" t="str">
        <f>IF(AND('Atividades Micro'!$A207=Z$2,'Atividades Micro'!$L207&lt;&gt;""),'Atividades Micro'!$L207,"")</f>
        <v/>
      </c>
      <c r="AA187" s="21" t="str">
        <f>IF(AND('Atividades Micro'!$B207=AA$2,'Atividades Micro'!$K207&lt;&gt;""),'Atividades Micro'!$K207,"")</f>
        <v/>
      </c>
      <c r="AB187" s="21" t="str">
        <f>IF(AND('Atividades Micro'!$B207=AB$2,'Atividades Micro'!$L207&lt;&gt;""),'Atividades Micro'!$L207,"")</f>
        <v/>
      </c>
      <c r="AC187" s="21" t="str">
        <f>IF(AND('Atividades Micro'!$B207=AC$2,'Atividades Micro'!$K207&lt;&gt;""),'Atividades Micro'!$K207,"")</f>
        <v/>
      </c>
      <c r="AD187" s="21" t="str">
        <f>IF(AND('Atividades Micro'!$B207=AD$2,'Atividades Micro'!$L207&lt;&gt;""),'Atividades Micro'!$L207,"")</f>
        <v/>
      </c>
      <c r="AE187" s="21">
        <f>IF(AND('Atividades Micro'!$A207=AE$2,'Atividades Micro'!$K207&lt;&gt;""),'Atividades Micro'!$K207,"")</f>
        <v>46245</v>
      </c>
      <c r="AF187" s="21">
        <f>IF(AND('Atividades Micro'!$A207=AF$2,'Atividades Micro'!$L207&lt;&gt;""),'Atividades Micro'!$L207,"")</f>
        <v>46245</v>
      </c>
      <c r="AG187" s="21">
        <f>IF(AND('Atividades Micro'!$B207=AG$2,'Atividades Micro'!$K207&lt;&gt;""),'Atividades Micro'!$K207,"")</f>
        <v>46245</v>
      </c>
      <c r="AH187" s="21">
        <f>IF(AND('Atividades Micro'!$B207=AH$2,'Atividades Micro'!$L207&lt;&gt;""),'Atividades Micro'!$L207,"")</f>
        <v>46245</v>
      </c>
      <c r="AI187" s="21" t="str">
        <f>IF(AND('Atividades Micro'!$B207=AI$2,'Atividades Micro'!$K207&lt;&gt;""),'Atividades Micro'!$K207,"")</f>
        <v/>
      </c>
      <c r="AJ187" s="21" t="str">
        <f>IF(AND('Atividades Micro'!$B207=AJ$2,'Atividades Micro'!$L207&lt;&gt;""),'Atividades Micro'!$L207,"")</f>
        <v/>
      </c>
      <c r="AK187" s="21" t="str">
        <f>IF(AND('Atividades Micro'!$A207=AK$2,'Atividades Micro'!$K207&lt;&gt;""),'Atividades Micro'!$K207,"")</f>
        <v/>
      </c>
      <c r="AL187" s="21" t="str">
        <f>IF(AND('Atividades Micro'!$A207=AL$2,'Atividades Micro'!$L207&lt;&gt;""),'Atividades Micro'!$L207,"")</f>
        <v/>
      </c>
      <c r="AM187" s="21" t="str">
        <f>IF(AND('Atividades Micro'!$B207=AM$2,'Atividades Micro'!$K207&lt;&gt;""),'Atividades Micro'!$K207,"")</f>
        <v/>
      </c>
      <c r="AN187" s="21" t="str">
        <f>IF(AND('Atividades Micro'!$B207=AN$2,'Atividades Micro'!$L207&lt;&gt;""),'Atividades Micro'!$L207,"")</f>
        <v/>
      </c>
      <c r="AO187" s="21" t="str">
        <f>IF(AND('Atividades Micro'!$B207=AO$2,'Atividades Micro'!$K207&lt;&gt;""),'Atividades Micro'!$K207,"")</f>
        <v/>
      </c>
      <c r="AP187" s="21" t="str">
        <f>IF(AND('Atividades Micro'!$B207=AP$2,'Atividades Micro'!$L207&lt;&gt;""),'Atividades Micro'!$L207,"")</f>
        <v/>
      </c>
      <c r="AQ187" s="21" t="str">
        <f>IF(AND('Atividades Micro'!$A207=AQ$2,'Atividades Micro'!$K207&lt;&gt;""),'Atividades Micro'!$K207,"")</f>
        <v/>
      </c>
      <c r="AR187" s="21" t="str">
        <f>IF(AND('Atividades Micro'!$A207=AR$2,'Atividades Micro'!$L207&lt;&gt;""),'Atividades Micro'!$L207,"")</f>
        <v/>
      </c>
      <c r="AS187" s="21" t="str">
        <f>IF(AND('Atividades Micro'!$B207=AS$2,'Atividades Micro'!$K207&lt;&gt;""),'Atividades Micro'!$K207,"")</f>
        <v/>
      </c>
      <c r="AT187" s="21" t="str">
        <f>IF(AND('Atividades Micro'!$B207=AT$2,'Atividades Micro'!$L207&lt;&gt;""),'Atividades Micro'!$L207,"")</f>
        <v/>
      </c>
      <c r="AU187" s="21" t="str">
        <f>IF(AND('Atividades Micro'!$A207=AU$2,'Atividades Micro'!$K207&lt;&gt;""),'Atividades Micro'!$K207,"")</f>
        <v/>
      </c>
      <c r="AV187" s="21" t="str">
        <f>IF(AND('Atividades Micro'!$A207=AV$2,'Atividades Micro'!$L207&lt;&gt;""),'Atividades Micro'!$L207,"")</f>
        <v/>
      </c>
      <c r="AW187" s="21" t="str">
        <f>IF(AND('Atividades Micro'!$B207=AW$2,'Atividades Micro'!$K207&lt;&gt;""),'Atividades Micro'!$K207,"")</f>
        <v/>
      </c>
      <c r="AX187" s="21" t="str">
        <f>IF(AND('Atividades Micro'!$B207=AX$2,'Atividades Micro'!$L207&lt;&gt;""),'Atividades Micro'!$L207,"")</f>
        <v/>
      </c>
      <c r="AY187" s="21" t="str">
        <f>IF(AND('Atividades Micro'!$A207=AY$2,'Atividades Micro'!$K207&lt;&gt;""),'Atividades Micro'!$K207,"")</f>
        <v/>
      </c>
      <c r="AZ187" s="21" t="str">
        <f>IF(AND('Atividades Micro'!$A207=AZ$2,'Atividades Micro'!$L207&lt;&gt;""),'Atividades Micro'!$L207,"")</f>
        <v/>
      </c>
      <c r="BA187" s="21" t="str">
        <f>IF(AND('Atividades Micro'!$B207=BA$2,'Atividades Micro'!$K207&lt;&gt;""),'Atividades Micro'!$K207,"")</f>
        <v/>
      </c>
      <c r="BB187" s="21" t="str">
        <f>IF(AND('Atividades Micro'!$B207=BB$2,'Atividades Micro'!$L207&lt;&gt;""),'Atividades Micro'!$L207,"")</f>
        <v/>
      </c>
      <c r="BC187" s="21" t="str">
        <f>IF(AND('Atividades Micro'!$B207=BC$2,'Atividades Micro'!$G207="Macro",'Atividades Micro'!$K207&lt;&gt;""),'Atividades Micro'!$K207,"")</f>
        <v/>
      </c>
      <c r="BD187" s="21" t="str">
        <f>IF(AND('Atividades Micro'!$B207=BD$2,'Atividades Micro'!$G207="Macro",'Atividades Micro'!$K207&lt;&gt;""),'Atividades Micro'!$K207,"")</f>
        <v/>
      </c>
      <c r="BE187" s="21" t="str">
        <f>IF(AND('Atividades Micro'!$B207=BE$2,'Atividades Micro'!$G207="Macro",'Atividades Micro'!$K207&lt;&gt;""),'Atividades Micro'!$K207,"")</f>
        <v/>
      </c>
      <c r="BF187" s="21" t="str">
        <f>IF(AND('Atividades Micro'!$B207=BF$2,'Atividades Micro'!$G207="Macro",'Atividades Micro'!$K207&lt;&gt;""),'Atividades Micro'!$K207,"")</f>
        <v/>
      </c>
      <c r="BG187" s="21" t="str">
        <f>IF(AND('Atividades Micro'!$B207=BG$2,'Atividades Micro'!$G207="Macro",'Atividades Micro'!$K207&lt;&gt;""),'Atividades Micro'!$K207,"")</f>
        <v/>
      </c>
      <c r="BH187" s="21" t="str">
        <f>IF(AND('Atividades Micro'!$B207=BH$2,'Atividades Micro'!$G207="Macro",'Atividades Micro'!$K207&lt;&gt;""),'Atividades Micro'!$K207,"")</f>
        <v/>
      </c>
      <c r="BI187" s="21" t="str">
        <f>IF(AND('Atividades Micro'!$B207=BI$2,'Atividades Micro'!$G207="Macro",'Atividades Micro'!$K207&lt;&gt;""),'Atividades Micro'!$K207,"")</f>
        <v/>
      </c>
      <c r="BJ187" s="21" t="str">
        <f>IF(AND('Atividades Micro'!$B207=BJ$2,'Atividades Micro'!$G207="Macro",'Atividades Micro'!$K207&lt;&gt;""),'Atividades Micro'!$K207,"")</f>
        <v/>
      </c>
      <c r="BK187" s="21" t="str">
        <f>IF(AND('Atividades Micro'!$B207=BK$2,'Atividades Micro'!$G207="Macro",'Atividades Micro'!$K207&lt;&gt;""),'Atividades Micro'!$K207,"")</f>
        <v/>
      </c>
      <c r="BL187" s="21" t="str">
        <f>IF(AND('Atividades Micro'!$B207=BL$2,'Atividades Micro'!$G207="Macro",'Atividades Micro'!$K207&lt;&gt;""),'Atividades Micro'!$K207,"")</f>
        <v/>
      </c>
      <c r="BM187" s="21" t="str">
        <f>IF(AND('Atividades Micro'!$B207=BM$2,'Atividades Micro'!$G207="Macro",'Atividades Micro'!$K207&lt;&gt;""),'Atividades Micro'!$K207,"")</f>
        <v/>
      </c>
      <c r="BN187" s="21" t="str">
        <f>IF(AND('Atividades Micro'!$B207=BN$2,'Atividades Micro'!$G207="Macro",'Atividades Micro'!$K207&lt;&gt;""),'Atividades Micro'!$K207,"")</f>
        <v/>
      </c>
      <c r="BO187" s="21" t="str">
        <f>IF(AND('Atividades Micro'!$B207=BO$2,'Atividades Micro'!$G207="Macro",'Atividades Micro'!$K207&lt;&gt;""),'Atividades Micro'!$K207,"")</f>
        <v/>
      </c>
      <c r="BP187" s="21" t="str">
        <f>IF(AND('Atividades Micro'!$B207=BP$2,'Atividades Micro'!$G207="Macro",'Atividades Micro'!$K207&lt;&gt;""),'Atividades Micro'!$K207,"")</f>
        <v/>
      </c>
      <c r="BQ187" s="21" t="str">
        <f>IF(AND('Atividades Micro'!$B207=BQ$2,'Atividades Micro'!$G207="Macro",'Atividades Micro'!$K207&lt;&gt;""),'Atividades Micro'!$K207,"")</f>
        <v/>
      </c>
      <c r="BR187" s="21" t="str">
        <f>IF(AND('Atividades Micro'!$B207=BR$2,'Atividades Micro'!$G207="Macro",'Atividades Micro'!$K207&lt;&gt;""),'Atividades Micro'!$K207,"")</f>
        <v/>
      </c>
      <c r="BS187" s="21">
        <f>IF(AND('Atividades Micro'!$B207=BS$2,'Atividades Micro'!$G207="Macro",'Atividades Micro'!$K207&lt;&gt;""),'Atividades Micro'!$K207,"")</f>
        <v>46245</v>
      </c>
      <c r="BT187" s="21" t="str">
        <f>IF(AND('Atividades Micro'!$B207=BT$2,'Atividades Micro'!$G207="Macro",'Atividades Micro'!$K207&lt;&gt;""),'Atividades Micro'!$K207,"")</f>
        <v/>
      </c>
      <c r="BU187" s="21" t="str">
        <f>IF(AND('Atividades Micro'!$B207=BU$2,'Atividades Micro'!$G207="Macro",'Atividades Micro'!$K207&lt;&gt;""),'Atividades Micro'!$K207,"")</f>
        <v/>
      </c>
      <c r="BV187" s="21" t="str">
        <f>IF(AND('Atividades Micro'!$B207=BV$2,'Atividades Micro'!$G207="Macro",'Atividades Micro'!$K207&lt;&gt;""),'Atividades Micro'!$K207,"")</f>
        <v/>
      </c>
      <c r="BW187" s="21" t="str">
        <f>IF(AND('Atividades Micro'!$B207=BW$2,'Atividades Micro'!$G207="Macro",'Atividades Micro'!$K207&lt;&gt;""),'Atividades Micro'!$K207,"")</f>
        <v/>
      </c>
      <c r="BX187" s="21" t="str">
        <f>IF(AND('Atividades Micro'!$B207=BX$2,'Atividades Micro'!$G207="Macro",'Atividades Micro'!$K207&lt;&gt;""),'Atividades Micro'!$K207,"")</f>
        <v/>
      </c>
      <c r="BY187" s="21" t="str">
        <f>IF(AND('Atividades Micro'!$B207=BY$2,'Atividades Micro'!$G207="Macro",'Atividades Micro'!$K207&lt;&gt;""),'Atividades Micro'!$K207,"")</f>
        <v/>
      </c>
      <c r="BZ187" s="21" t="str">
        <f>IF(AND('Atividades Micro'!$B207=BZ$2,'Atividades Micro'!$G207="Macro",'Atividades Micro'!$K207&lt;&gt;""),'Atividades Micro'!$K207,"")</f>
        <v/>
      </c>
      <c r="CA187" s="21" t="str">
        <f>IF(AND('Atividades Micro'!$B207=CA$2,'Atividades Micro'!$G207="Macro",'Atividades Micro'!$K207&lt;&gt;""),'Atividades Micro'!$K207,"")</f>
        <v/>
      </c>
      <c r="CB187" s="21" t="str">
        <f>IF(AND('Atividades Micro'!$B207=CB$2,'Atividades Micro'!$G207="Macro",'Atividades Micro'!$K207&lt;&gt;""),'Atividades Micro'!$K207,"")</f>
        <v/>
      </c>
      <c r="CC187" s="21" t="str">
        <f>IF(AND('Atividades Micro'!$B207=CC$2,'Atividades Micro'!$G207="Macro",'Atividades Micro'!$K207&lt;&gt;""),'Atividades Micro'!$K207,"")</f>
        <v/>
      </c>
      <c r="CD187" s="21" t="str">
        <f>IF(AND('Atividades Micro'!$B207=CD$2,'Atividades Micro'!$G207="Micro",'Atividades Micro'!$K207&lt;&gt;""),'Atividades Micro'!$K207,"")</f>
        <v/>
      </c>
      <c r="CE187" s="21" t="str">
        <f>IF(AND('Atividades Micro'!$B207=CE$2,'Atividades Micro'!$G207="Micro",'Atividades Micro'!$K207&lt;&gt;""),'Atividades Micro'!$K207,"")</f>
        <v/>
      </c>
      <c r="CF187" s="21" t="str">
        <f>IF(AND('Atividades Micro'!$B207=CF$2,'Atividades Micro'!$G207="Micro",'Atividades Micro'!$K207&lt;&gt;""),'Atividades Micro'!$K207,"")</f>
        <v/>
      </c>
      <c r="CG187" s="21" t="str">
        <f>IF(AND('Atividades Micro'!$B207=CG$2,'Atividades Micro'!$G207="Micro",'Atividades Micro'!$K207&lt;&gt;""),'Atividades Micro'!$K207,"")</f>
        <v/>
      </c>
      <c r="CH187" s="21" t="str">
        <f>IF(AND('Atividades Micro'!$B207=CH$2,'Atividades Micro'!$G207="Micro",'Atividades Micro'!$K207&lt;&gt;""),'Atividades Micro'!$K207,"")</f>
        <v/>
      </c>
      <c r="CI187" s="21" t="str">
        <f>IF(AND('Atividades Micro'!$B207=CI$2,'Atividades Micro'!$G207="Micro",'Atividades Micro'!$K207&lt;&gt;""),'Atividades Micro'!$K207,"")</f>
        <v/>
      </c>
      <c r="CJ187" s="21" t="str">
        <f>IF(AND('Atividades Micro'!$B207=CJ$2,'Atividades Micro'!$G207="Micro",'Atividades Micro'!$K207&lt;&gt;""),'Atividades Micro'!$K207,"")</f>
        <v/>
      </c>
      <c r="CK187" s="21" t="str">
        <f>IF(AND('Atividades Micro'!$B207=CK$2,'Atividades Micro'!$G207="Micro",'Atividades Micro'!$K207&lt;&gt;""),'Atividades Micro'!$K207,"")</f>
        <v/>
      </c>
      <c r="CL187" s="21" t="str">
        <f>IF(AND('Atividades Micro'!$B207=CL$2,'Atividades Micro'!$G207="Micro",'Atividades Micro'!$K207&lt;&gt;""),'Atividades Micro'!$K207,"")</f>
        <v/>
      </c>
      <c r="CM187" s="21" t="str">
        <f>IF(AND('Atividades Micro'!$B207=CM$2,'Atividades Micro'!$G207="Micro",'Atividades Micro'!$K207&lt;&gt;""),'Atividades Micro'!$K207,"")</f>
        <v/>
      </c>
      <c r="CN187" s="21" t="str">
        <f>IF(AND('Atividades Micro'!$B207=CN$2,'Atividades Micro'!$G207="Micro",'Atividades Micro'!$K207&lt;&gt;""),'Atividades Micro'!$K207,"")</f>
        <v/>
      </c>
      <c r="CO187" s="21" t="str">
        <f>IF(AND('Atividades Micro'!$B207=CO$2,'Atividades Micro'!$G207="Micro",'Atividades Micro'!$K207&lt;&gt;""),'Atividades Micro'!$K207,"")</f>
        <v/>
      </c>
    </row>
    <row r="188" spans="1:93">
      <c r="A188" s="21" t="str">
        <f>IF(AND('Atividades Micro'!$A208=A$2,'Atividades Micro'!$K208&lt;&gt;""),'Atividades Micro'!$K208,"")</f>
        <v/>
      </c>
      <c r="B188" s="21" t="str">
        <f>IF(AND('Atividades Micro'!$A208=B$2,'Atividades Micro'!$L208&lt;&gt;""),'Atividades Micro'!$L208,"")</f>
        <v/>
      </c>
      <c r="C188" s="21" t="str">
        <f>IF(AND('Atividades Micro'!$A208=C$2,'Atividades Micro'!$K208&lt;&gt;""),'Atividades Micro'!$K208,"")</f>
        <v/>
      </c>
      <c r="D188" s="21" t="str">
        <f>IF(AND('Atividades Micro'!$A208=D$2,'Atividades Micro'!$L208&lt;&gt;""),'Atividades Micro'!$L208,"")</f>
        <v/>
      </c>
      <c r="E188" s="21" t="str">
        <f>IF(AND('Atividades Micro'!$A208=E$2,'Atividades Micro'!$K208&lt;&gt;""),'Atividades Micro'!$K208,"")</f>
        <v/>
      </c>
      <c r="F188" s="21" t="str">
        <f>IF(AND('Atividades Micro'!$A208=F$2,'Atividades Micro'!$L208&lt;&gt;""),'Atividades Micro'!$L208,"")</f>
        <v/>
      </c>
      <c r="G188" s="21" t="str">
        <f>IF(AND('Atividades Micro'!$A208=G$2,'Atividades Micro'!$K208&lt;&gt;""),'Atividades Micro'!$K208,"")</f>
        <v/>
      </c>
      <c r="H188" s="21" t="str">
        <f>IF(AND('Atividades Micro'!$A208=H$2,'Atividades Micro'!$L208&lt;&gt;""),'Atividades Micro'!$L208,"")</f>
        <v/>
      </c>
      <c r="I188" s="21" t="str">
        <f>IF(AND('Atividades Micro'!$A208=I$2,'Atividades Micro'!$K208&lt;&gt;""),'Atividades Micro'!$K208,"")</f>
        <v/>
      </c>
      <c r="J188" s="21" t="str">
        <f>IF(AND('Atividades Micro'!$A208=J$2,'Atividades Micro'!$L208&lt;&gt;""),'Atividades Micro'!$L208,"")</f>
        <v/>
      </c>
      <c r="K188" s="21" t="str">
        <f>IF(AND('Atividades Micro'!$B208=K$2,'Atividades Micro'!$K208&lt;&gt;""),'Atividades Micro'!$K208,"")</f>
        <v/>
      </c>
      <c r="L188" s="21" t="str">
        <f>IF(AND('Atividades Micro'!$B208=L$2,'Atividades Micro'!$L208&lt;&gt;""),'Atividades Micro'!$L208,"")</f>
        <v/>
      </c>
      <c r="M188" s="21" t="str">
        <f>IF(AND('Atividades Micro'!$B208=M$2,'Atividades Micro'!$K208&lt;&gt;""),'Atividades Micro'!$K208,"")</f>
        <v/>
      </c>
      <c r="N188" s="21" t="str">
        <f>IF(AND('Atividades Micro'!$B208=N$2,'Atividades Micro'!$L208&lt;&gt;""),'Atividades Micro'!$L208,"")</f>
        <v/>
      </c>
      <c r="O188" s="21" t="str">
        <f>IF(AND('Atividades Micro'!$A208=O$2,'Atividades Micro'!$K208&lt;&gt;""),'Atividades Micro'!$K208,"")</f>
        <v/>
      </c>
      <c r="P188" s="21" t="str">
        <f>IF(AND('Atividades Micro'!$A208=P$2,'Atividades Micro'!$L208&lt;&gt;""),'Atividades Micro'!$L208,"")</f>
        <v/>
      </c>
      <c r="Q188" s="21" t="str">
        <f>IF(AND('Atividades Micro'!$B208=Q$2,'Atividades Micro'!$K208&lt;&gt;""),'Atividades Micro'!$K208,"")</f>
        <v/>
      </c>
      <c r="R188" s="21" t="str">
        <f>IF(AND('Atividades Micro'!$B208=R$2,'Atividades Micro'!$L208&lt;&gt;""),'Atividades Micro'!$L208,"")</f>
        <v/>
      </c>
      <c r="S188" s="21" t="str">
        <f>IF(AND('Atividades Micro'!$A208=S$2,'Atividades Micro'!$K208&lt;&gt;""),'Atividades Micro'!$K208,"")</f>
        <v/>
      </c>
      <c r="T188" s="21" t="str">
        <f>IF(AND('Atividades Micro'!$A208=T$2,'Atividades Micro'!$L208&lt;&gt;""),'Atividades Micro'!$L208,"")</f>
        <v/>
      </c>
      <c r="U188" s="21" t="str">
        <f>IF(AND('Atividades Micro'!$B208=U$2,'Atividades Micro'!$K208&lt;&gt;""),'Atividades Micro'!$K208,"")</f>
        <v/>
      </c>
      <c r="V188" s="21" t="str">
        <f>IF(AND('Atividades Micro'!$B208=V$2,'Atividades Micro'!$L208&lt;&gt;""),'Atividades Micro'!$L208,"")</f>
        <v/>
      </c>
      <c r="W188" s="21" t="str">
        <f>IF(AND('Atividades Micro'!$B208=W$2,'Atividades Micro'!$K208&lt;&gt;""),'Atividades Micro'!$K208,"")</f>
        <v/>
      </c>
      <c r="X188" s="21" t="str">
        <f>IF(AND('Atividades Micro'!$B208=X$2,'Atividades Micro'!$L208&lt;&gt;""),'Atividades Micro'!$L208,"")</f>
        <v/>
      </c>
      <c r="Y188" s="21" t="str">
        <f>IF(AND('Atividades Micro'!$A208=Y$2,'Atividades Micro'!$K208&lt;&gt;""),'Atividades Micro'!$K208,"")</f>
        <v/>
      </c>
      <c r="Z188" s="21" t="str">
        <f>IF(AND('Atividades Micro'!$A208=Z$2,'Atividades Micro'!$L208&lt;&gt;""),'Atividades Micro'!$L208,"")</f>
        <v/>
      </c>
      <c r="AA188" s="21" t="str">
        <f>IF(AND('Atividades Micro'!$B208=AA$2,'Atividades Micro'!$K208&lt;&gt;""),'Atividades Micro'!$K208,"")</f>
        <v/>
      </c>
      <c r="AB188" s="21" t="str">
        <f>IF(AND('Atividades Micro'!$B208=AB$2,'Atividades Micro'!$L208&lt;&gt;""),'Atividades Micro'!$L208,"")</f>
        <v/>
      </c>
      <c r="AC188" s="21" t="str">
        <f>IF(AND('Atividades Micro'!$B208=AC$2,'Atividades Micro'!$K208&lt;&gt;""),'Atividades Micro'!$K208,"")</f>
        <v/>
      </c>
      <c r="AD188" s="21" t="str">
        <f>IF(AND('Atividades Micro'!$B208=AD$2,'Atividades Micro'!$L208&lt;&gt;""),'Atividades Micro'!$L208,"")</f>
        <v/>
      </c>
      <c r="AE188" s="21">
        <f>IF(AND('Atividades Micro'!$A208=AE$2,'Atividades Micro'!$K208&lt;&gt;""),'Atividades Micro'!$K208,"")</f>
        <v>46230</v>
      </c>
      <c r="AF188" s="21">
        <f>IF(AND('Atividades Micro'!$A208=AF$2,'Atividades Micro'!$L208&lt;&gt;""),'Atividades Micro'!$L208,"")</f>
        <v>46230</v>
      </c>
      <c r="AG188" s="21">
        <f>IF(AND('Atividades Micro'!$B208=AG$2,'Atividades Micro'!$K208&lt;&gt;""),'Atividades Micro'!$K208,"")</f>
        <v>46230</v>
      </c>
      <c r="AH188" s="21">
        <f>IF(AND('Atividades Micro'!$B208=AH$2,'Atividades Micro'!$L208&lt;&gt;""),'Atividades Micro'!$L208,"")</f>
        <v>46230</v>
      </c>
      <c r="AI188" s="21" t="str">
        <f>IF(AND('Atividades Micro'!$B208=AI$2,'Atividades Micro'!$K208&lt;&gt;""),'Atividades Micro'!$K208,"")</f>
        <v/>
      </c>
      <c r="AJ188" s="21" t="str">
        <f>IF(AND('Atividades Micro'!$B208=AJ$2,'Atividades Micro'!$L208&lt;&gt;""),'Atividades Micro'!$L208,"")</f>
        <v/>
      </c>
      <c r="AK188" s="21" t="str">
        <f>IF(AND('Atividades Micro'!$A208=AK$2,'Atividades Micro'!$K208&lt;&gt;""),'Atividades Micro'!$K208,"")</f>
        <v/>
      </c>
      <c r="AL188" s="21" t="str">
        <f>IF(AND('Atividades Micro'!$A208=AL$2,'Atividades Micro'!$L208&lt;&gt;""),'Atividades Micro'!$L208,"")</f>
        <v/>
      </c>
      <c r="AM188" s="21" t="str">
        <f>IF(AND('Atividades Micro'!$B208=AM$2,'Atividades Micro'!$K208&lt;&gt;""),'Atividades Micro'!$K208,"")</f>
        <v/>
      </c>
      <c r="AN188" s="21" t="str">
        <f>IF(AND('Atividades Micro'!$B208=AN$2,'Atividades Micro'!$L208&lt;&gt;""),'Atividades Micro'!$L208,"")</f>
        <v/>
      </c>
      <c r="AO188" s="21" t="str">
        <f>IF(AND('Atividades Micro'!$B208=AO$2,'Atividades Micro'!$K208&lt;&gt;""),'Atividades Micro'!$K208,"")</f>
        <v/>
      </c>
      <c r="AP188" s="21" t="str">
        <f>IF(AND('Atividades Micro'!$B208=AP$2,'Atividades Micro'!$L208&lt;&gt;""),'Atividades Micro'!$L208,"")</f>
        <v/>
      </c>
      <c r="AQ188" s="21" t="str">
        <f>IF(AND('Atividades Micro'!$A208=AQ$2,'Atividades Micro'!$K208&lt;&gt;""),'Atividades Micro'!$K208,"")</f>
        <v/>
      </c>
      <c r="AR188" s="21" t="str">
        <f>IF(AND('Atividades Micro'!$A208=AR$2,'Atividades Micro'!$L208&lt;&gt;""),'Atividades Micro'!$L208,"")</f>
        <v/>
      </c>
      <c r="AS188" s="21" t="str">
        <f>IF(AND('Atividades Micro'!$B208=AS$2,'Atividades Micro'!$K208&lt;&gt;""),'Atividades Micro'!$K208,"")</f>
        <v/>
      </c>
      <c r="AT188" s="21" t="str">
        <f>IF(AND('Atividades Micro'!$B208=AT$2,'Atividades Micro'!$L208&lt;&gt;""),'Atividades Micro'!$L208,"")</f>
        <v/>
      </c>
      <c r="AU188" s="21" t="str">
        <f>IF(AND('Atividades Micro'!$A208=AU$2,'Atividades Micro'!$K208&lt;&gt;""),'Atividades Micro'!$K208,"")</f>
        <v/>
      </c>
      <c r="AV188" s="21" t="str">
        <f>IF(AND('Atividades Micro'!$A208=AV$2,'Atividades Micro'!$L208&lt;&gt;""),'Atividades Micro'!$L208,"")</f>
        <v/>
      </c>
      <c r="AW188" s="21" t="str">
        <f>IF(AND('Atividades Micro'!$B208=AW$2,'Atividades Micro'!$K208&lt;&gt;""),'Atividades Micro'!$K208,"")</f>
        <v/>
      </c>
      <c r="AX188" s="21" t="str">
        <f>IF(AND('Atividades Micro'!$B208=AX$2,'Atividades Micro'!$L208&lt;&gt;""),'Atividades Micro'!$L208,"")</f>
        <v/>
      </c>
      <c r="AY188" s="21" t="str">
        <f>IF(AND('Atividades Micro'!$A208=AY$2,'Atividades Micro'!$K208&lt;&gt;""),'Atividades Micro'!$K208,"")</f>
        <v/>
      </c>
      <c r="AZ188" s="21" t="str">
        <f>IF(AND('Atividades Micro'!$A208=AZ$2,'Atividades Micro'!$L208&lt;&gt;""),'Atividades Micro'!$L208,"")</f>
        <v/>
      </c>
      <c r="BA188" s="21" t="str">
        <f>IF(AND('Atividades Micro'!$B208=BA$2,'Atividades Micro'!$K208&lt;&gt;""),'Atividades Micro'!$K208,"")</f>
        <v/>
      </c>
      <c r="BB188" s="21" t="str">
        <f>IF(AND('Atividades Micro'!$B208=BB$2,'Atividades Micro'!$L208&lt;&gt;""),'Atividades Micro'!$L208,"")</f>
        <v/>
      </c>
      <c r="BC188" s="21" t="str">
        <f>IF(AND('Atividades Micro'!$B208=BC$2,'Atividades Micro'!$G208="Macro",'Atividades Micro'!$K208&lt;&gt;""),'Atividades Micro'!$K208,"")</f>
        <v/>
      </c>
      <c r="BD188" s="21" t="str">
        <f>IF(AND('Atividades Micro'!$B208=BD$2,'Atividades Micro'!$G208="Macro",'Atividades Micro'!$K208&lt;&gt;""),'Atividades Micro'!$K208,"")</f>
        <v/>
      </c>
      <c r="BE188" s="21" t="str">
        <f>IF(AND('Atividades Micro'!$B208=BE$2,'Atividades Micro'!$G208="Macro",'Atividades Micro'!$K208&lt;&gt;""),'Atividades Micro'!$K208,"")</f>
        <v/>
      </c>
      <c r="BF188" s="21" t="str">
        <f>IF(AND('Atividades Micro'!$B208=BF$2,'Atividades Micro'!$G208="Macro",'Atividades Micro'!$K208&lt;&gt;""),'Atividades Micro'!$K208,"")</f>
        <v/>
      </c>
      <c r="BG188" s="21" t="str">
        <f>IF(AND('Atividades Micro'!$B208=BG$2,'Atividades Micro'!$G208="Macro",'Atividades Micro'!$K208&lt;&gt;""),'Atividades Micro'!$K208,"")</f>
        <v/>
      </c>
      <c r="BH188" s="21" t="str">
        <f>IF(AND('Atividades Micro'!$B208=BH$2,'Atividades Micro'!$G208="Macro",'Atividades Micro'!$K208&lt;&gt;""),'Atividades Micro'!$K208,"")</f>
        <v/>
      </c>
      <c r="BI188" s="21" t="str">
        <f>IF(AND('Atividades Micro'!$B208=BI$2,'Atividades Micro'!$G208="Macro",'Atividades Micro'!$K208&lt;&gt;""),'Atividades Micro'!$K208,"")</f>
        <v/>
      </c>
      <c r="BJ188" s="21" t="str">
        <f>IF(AND('Atividades Micro'!$B208=BJ$2,'Atividades Micro'!$G208="Macro",'Atividades Micro'!$K208&lt;&gt;""),'Atividades Micro'!$K208,"")</f>
        <v/>
      </c>
      <c r="BK188" s="21" t="str">
        <f>IF(AND('Atividades Micro'!$B208=BK$2,'Atividades Micro'!$G208="Macro",'Atividades Micro'!$K208&lt;&gt;""),'Atividades Micro'!$K208,"")</f>
        <v/>
      </c>
      <c r="BL188" s="21" t="str">
        <f>IF(AND('Atividades Micro'!$B208=BL$2,'Atividades Micro'!$G208="Macro",'Atividades Micro'!$K208&lt;&gt;""),'Atividades Micro'!$K208,"")</f>
        <v/>
      </c>
      <c r="BM188" s="21" t="str">
        <f>IF(AND('Atividades Micro'!$B208=BM$2,'Atividades Micro'!$G208="Macro",'Atividades Micro'!$K208&lt;&gt;""),'Atividades Micro'!$K208,"")</f>
        <v/>
      </c>
      <c r="BN188" s="21" t="str">
        <f>IF(AND('Atividades Micro'!$B208=BN$2,'Atividades Micro'!$G208="Macro",'Atividades Micro'!$K208&lt;&gt;""),'Atividades Micro'!$K208,"")</f>
        <v/>
      </c>
      <c r="BO188" s="21" t="str">
        <f>IF(AND('Atividades Micro'!$B208=BO$2,'Atividades Micro'!$G208="Macro",'Atividades Micro'!$K208&lt;&gt;""),'Atividades Micro'!$K208,"")</f>
        <v/>
      </c>
      <c r="BP188" s="21" t="str">
        <f>IF(AND('Atividades Micro'!$B208=BP$2,'Atividades Micro'!$G208="Macro",'Atividades Micro'!$K208&lt;&gt;""),'Atividades Micro'!$K208,"")</f>
        <v/>
      </c>
      <c r="BQ188" s="21" t="str">
        <f>IF(AND('Atividades Micro'!$B208=BQ$2,'Atividades Micro'!$G208="Macro",'Atividades Micro'!$K208&lt;&gt;""),'Atividades Micro'!$K208,"")</f>
        <v/>
      </c>
      <c r="BR188" s="21" t="str">
        <f>IF(AND('Atividades Micro'!$B208=BR$2,'Atividades Micro'!$G208="Macro",'Atividades Micro'!$K208&lt;&gt;""),'Atividades Micro'!$K208,"")</f>
        <v/>
      </c>
      <c r="BS188" s="21" t="str">
        <f>IF(AND('Atividades Micro'!$B208=BS$2,'Atividades Micro'!$G208="Macro",'Atividades Micro'!$K208&lt;&gt;""),'Atividades Micro'!$K208,"")</f>
        <v/>
      </c>
      <c r="BT188" s="21" t="str">
        <f>IF(AND('Atividades Micro'!$B208=BT$2,'Atividades Micro'!$G208="Macro",'Atividades Micro'!$K208&lt;&gt;""),'Atividades Micro'!$K208,"")</f>
        <v/>
      </c>
      <c r="BU188" s="21" t="str">
        <f>IF(AND('Atividades Micro'!$B208=BU$2,'Atividades Micro'!$G208="Macro",'Atividades Micro'!$K208&lt;&gt;""),'Atividades Micro'!$K208,"")</f>
        <v/>
      </c>
      <c r="BV188" s="21" t="str">
        <f>IF(AND('Atividades Micro'!$B208=BV$2,'Atividades Micro'!$G208="Macro",'Atividades Micro'!$K208&lt;&gt;""),'Atividades Micro'!$K208,"")</f>
        <v/>
      </c>
      <c r="BW188" s="21" t="str">
        <f>IF(AND('Atividades Micro'!$B208=BW$2,'Atividades Micro'!$G208="Macro",'Atividades Micro'!$K208&lt;&gt;""),'Atividades Micro'!$K208,"")</f>
        <v/>
      </c>
      <c r="BX188" s="21" t="str">
        <f>IF(AND('Atividades Micro'!$B208=BX$2,'Atividades Micro'!$G208="Macro",'Atividades Micro'!$K208&lt;&gt;""),'Atividades Micro'!$K208,"")</f>
        <v/>
      </c>
      <c r="BY188" s="21" t="str">
        <f>IF(AND('Atividades Micro'!$B208=BY$2,'Atividades Micro'!$G208="Macro",'Atividades Micro'!$K208&lt;&gt;""),'Atividades Micro'!$K208,"")</f>
        <v/>
      </c>
      <c r="BZ188" s="21" t="str">
        <f>IF(AND('Atividades Micro'!$B208=BZ$2,'Atividades Micro'!$G208="Macro",'Atividades Micro'!$K208&lt;&gt;""),'Atividades Micro'!$K208,"")</f>
        <v/>
      </c>
      <c r="CA188" s="21" t="str">
        <f>IF(AND('Atividades Micro'!$B208=CA$2,'Atividades Micro'!$G208="Macro",'Atividades Micro'!$K208&lt;&gt;""),'Atividades Micro'!$K208,"")</f>
        <v/>
      </c>
      <c r="CB188" s="21" t="str">
        <f>IF(AND('Atividades Micro'!$B208=CB$2,'Atividades Micro'!$G208="Macro",'Atividades Micro'!$K208&lt;&gt;""),'Atividades Micro'!$K208,"")</f>
        <v/>
      </c>
      <c r="CC188" s="21" t="str">
        <f>IF(AND('Atividades Micro'!$B208=CC$2,'Atividades Micro'!$G208="Macro",'Atividades Micro'!$K208&lt;&gt;""),'Atividades Micro'!$K208,"")</f>
        <v/>
      </c>
      <c r="CD188" s="21" t="str">
        <f>IF(AND('Atividades Micro'!$B208=CD$2,'Atividades Micro'!$G208="Micro",'Atividades Micro'!$K208&lt;&gt;""),'Atividades Micro'!$K208,"")</f>
        <v/>
      </c>
      <c r="CE188" s="21" t="str">
        <f>IF(AND('Atividades Micro'!$B208=CE$2,'Atividades Micro'!$G208="Micro",'Atividades Micro'!$K208&lt;&gt;""),'Atividades Micro'!$K208,"")</f>
        <v/>
      </c>
      <c r="CF188" s="21" t="str">
        <f>IF(AND('Atividades Micro'!$B208=CF$2,'Atividades Micro'!$G208="Micro",'Atividades Micro'!$K208&lt;&gt;""),'Atividades Micro'!$K208,"")</f>
        <v/>
      </c>
      <c r="CG188" s="21" t="str">
        <f>IF(AND('Atividades Micro'!$B208=CG$2,'Atividades Micro'!$G208="Micro",'Atividades Micro'!$K208&lt;&gt;""),'Atividades Micro'!$K208,"")</f>
        <v/>
      </c>
      <c r="CH188" s="21" t="str">
        <f>IF(AND('Atividades Micro'!$B208=CH$2,'Atividades Micro'!$G208="Micro",'Atividades Micro'!$K208&lt;&gt;""),'Atividades Micro'!$K208,"")</f>
        <v/>
      </c>
      <c r="CI188" s="21" t="str">
        <f>IF(AND('Atividades Micro'!$B208=CI$2,'Atividades Micro'!$G208="Micro",'Atividades Micro'!$K208&lt;&gt;""),'Atividades Micro'!$K208,"")</f>
        <v/>
      </c>
      <c r="CJ188" s="21" t="str">
        <f>IF(AND('Atividades Micro'!$B208=CJ$2,'Atividades Micro'!$G208="Micro",'Atividades Micro'!$K208&lt;&gt;""),'Atividades Micro'!$K208,"")</f>
        <v/>
      </c>
      <c r="CK188" s="21">
        <f>IF(AND('Atividades Micro'!$B208=CK$2,'Atividades Micro'!$G208="Micro",'Atividades Micro'!$K208&lt;&gt;""),'Atividades Micro'!$K208,"")</f>
        <v>46230</v>
      </c>
      <c r="CL188" s="21" t="str">
        <f>IF(AND('Atividades Micro'!$B208=CL$2,'Atividades Micro'!$G208="Micro",'Atividades Micro'!$K208&lt;&gt;""),'Atividades Micro'!$K208,"")</f>
        <v/>
      </c>
      <c r="CM188" s="21" t="str">
        <f>IF(AND('Atividades Micro'!$B208=CM$2,'Atividades Micro'!$G208="Micro",'Atividades Micro'!$K208&lt;&gt;""),'Atividades Micro'!$K208,"")</f>
        <v/>
      </c>
      <c r="CN188" s="21" t="str">
        <f>IF(AND('Atividades Micro'!$B208=CN$2,'Atividades Micro'!$G208="Micro",'Atividades Micro'!$K208&lt;&gt;""),'Atividades Micro'!$K208,"")</f>
        <v/>
      </c>
      <c r="CO188" s="21" t="str">
        <f>IF(AND('Atividades Micro'!$B208=CO$2,'Atividades Micro'!$G208="Micro",'Atividades Micro'!$K208&lt;&gt;""),'Atividades Micro'!$K208,"")</f>
        <v/>
      </c>
    </row>
    <row r="189" spans="1:93">
      <c r="A189" s="21" t="str">
        <f>IF(AND('Atividades Micro'!$A209=A$2,'Atividades Micro'!$K209&lt;&gt;""),'Atividades Micro'!$K209,"")</f>
        <v/>
      </c>
      <c r="B189" s="21" t="str">
        <f>IF(AND('Atividades Micro'!$A209=B$2,'Atividades Micro'!$L209&lt;&gt;""),'Atividades Micro'!$L209,"")</f>
        <v/>
      </c>
      <c r="C189" s="21" t="str">
        <f>IF(AND('Atividades Micro'!$A209=C$2,'Atividades Micro'!$K209&lt;&gt;""),'Atividades Micro'!$K209,"")</f>
        <v/>
      </c>
      <c r="D189" s="21" t="str">
        <f>IF(AND('Atividades Micro'!$A209=D$2,'Atividades Micro'!$L209&lt;&gt;""),'Atividades Micro'!$L209,"")</f>
        <v/>
      </c>
      <c r="E189" s="21" t="str">
        <f>IF(AND('Atividades Micro'!$A209=E$2,'Atividades Micro'!$K209&lt;&gt;""),'Atividades Micro'!$K209,"")</f>
        <v/>
      </c>
      <c r="F189" s="21" t="str">
        <f>IF(AND('Atividades Micro'!$A209=F$2,'Atividades Micro'!$L209&lt;&gt;""),'Atividades Micro'!$L209,"")</f>
        <v/>
      </c>
      <c r="G189" s="21" t="str">
        <f>IF(AND('Atividades Micro'!$A209=G$2,'Atividades Micro'!$K209&lt;&gt;""),'Atividades Micro'!$K209,"")</f>
        <v/>
      </c>
      <c r="H189" s="21" t="str">
        <f>IF(AND('Atividades Micro'!$A209=H$2,'Atividades Micro'!$L209&lt;&gt;""),'Atividades Micro'!$L209,"")</f>
        <v/>
      </c>
      <c r="I189" s="21" t="str">
        <f>IF(AND('Atividades Micro'!$A209=I$2,'Atividades Micro'!$K209&lt;&gt;""),'Atividades Micro'!$K209,"")</f>
        <v/>
      </c>
      <c r="J189" s="21" t="str">
        <f>IF(AND('Atividades Micro'!$A209=J$2,'Atividades Micro'!$L209&lt;&gt;""),'Atividades Micro'!$L209,"")</f>
        <v/>
      </c>
      <c r="K189" s="21" t="str">
        <f>IF(AND('Atividades Micro'!$B209=K$2,'Atividades Micro'!$K209&lt;&gt;""),'Atividades Micro'!$K209,"")</f>
        <v/>
      </c>
      <c r="L189" s="21" t="str">
        <f>IF(AND('Atividades Micro'!$B209=L$2,'Atividades Micro'!$L209&lt;&gt;""),'Atividades Micro'!$L209,"")</f>
        <v/>
      </c>
      <c r="M189" s="21" t="str">
        <f>IF(AND('Atividades Micro'!$B209=M$2,'Atividades Micro'!$K209&lt;&gt;""),'Atividades Micro'!$K209,"")</f>
        <v/>
      </c>
      <c r="N189" s="21" t="str">
        <f>IF(AND('Atividades Micro'!$B209=N$2,'Atividades Micro'!$L209&lt;&gt;""),'Atividades Micro'!$L209,"")</f>
        <v/>
      </c>
      <c r="O189" s="21" t="str">
        <f>IF(AND('Atividades Micro'!$A209=O$2,'Atividades Micro'!$K209&lt;&gt;""),'Atividades Micro'!$K209,"")</f>
        <v/>
      </c>
      <c r="P189" s="21" t="str">
        <f>IF(AND('Atividades Micro'!$A209=P$2,'Atividades Micro'!$L209&lt;&gt;""),'Atividades Micro'!$L209,"")</f>
        <v/>
      </c>
      <c r="Q189" s="21" t="str">
        <f>IF(AND('Atividades Micro'!$B209=Q$2,'Atividades Micro'!$K209&lt;&gt;""),'Atividades Micro'!$K209,"")</f>
        <v/>
      </c>
      <c r="R189" s="21" t="str">
        <f>IF(AND('Atividades Micro'!$B209=R$2,'Atividades Micro'!$L209&lt;&gt;""),'Atividades Micro'!$L209,"")</f>
        <v/>
      </c>
      <c r="S189" s="21" t="str">
        <f>IF(AND('Atividades Micro'!$A209=S$2,'Atividades Micro'!$K209&lt;&gt;""),'Atividades Micro'!$K209,"")</f>
        <v/>
      </c>
      <c r="T189" s="21" t="str">
        <f>IF(AND('Atividades Micro'!$A209=T$2,'Atividades Micro'!$L209&lt;&gt;""),'Atividades Micro'!$L209,"")</f>
        <v/>
      </c>
      <c r="U189" s="21" t="str">
        <f>IF(AND('Atividades Micro'!$B209=U$2,'Atividades Micro'!$K209&lt;&gt;""),'Atividades Micro'!$K209,"")</f>
        <v/>
      </c>
      <c r="V189" s="21" t="str">
        <f>IF(AND('Atividades Micro'!$B209=V$2,'Atividades Micro'!$L209&lt;&gt;""),'Atividades Micro'!$L209,"")</f>
        <v/>
      </c>
      <c r="W189" s="21" t="str">
        <f>IF(AND('Atividades Micro'!$B209=W$2,'Atividades Micro'!$K209&lt;&gt;""),'Atividades Micro'!$K209,"")</f>
        <v/>
      </c>
      <c r="X189" s="21" t="str">
        <f>IF(AND('Atividades Micro'!$B209=X$2,'Atividades Micro'!$L209&lt;&gt;""),'Atividades Micro'!$L209,"")</f>
        <v/>
      </c>
      <c r="Y189" s="21" t="str">
        <f>IF(AND('Atividades Micro'!$A209=Y$2,'Atividades Micro'!$K209&lt;&gt;""),'Atividades Micro'!$K209,"")</f>
        <v/>
      </c>
      <c r="Z189" s="21" t="str">
        <f>IF(AND('Atividades Micro'!$A209=Z$2,'Atividades Micro'!$L209&lt;&gt;""),'Atividades Micro'!$L209,"")</f>
        <v/>
      </c>
      <c r="AA189" s="21" t="str">
        <f>IF(AND('Atividades Micro'!$B209=AA$2,'Atividades Micro'!$K209&lt;&gt;""),'Atividades Micro'!$K209,"")</f>
        <v/>
      </c>
      <c r="AB189" s="21" t="str">
        <f>IF(AND('Atividades Micro'!$B209=AB$2,'Atividades Micro'!$L209&lt;&gt;""),'Atividades Micro'!$L209,"")</f>
        <v/>
      </c>
      <c r="AC189" s="21" t="str">
        <f>IF(AND('Atividades Micro'!$B209=AC$2,'Atividades Micro'!$K209&lt;&gt;""),'Atividades Micro'!$K209,"")</f>
        <v/>
      </c>
      <c r="AD189" s="21" t="str">
        <f>IF(AND('Atividades Micro'!$B209=AD$2,'Atividades Micro'!$L209&lt;&gt;""),'Atividades Micro'!$L209,"")</f>
        <v/>
      </c>
      <c r="AE189" s="21">
        <f>IF(AND('Atividades Micro'!$A209=AE$2,'Atividades Micro'!$K209&lt;&gt;""),'Atividades Micro'!$K209,"")</f>
        <v>46245</v>
      </c>
      <c r="AF189" s="21">
        <f>IF(AND('Atividades Micro'!$A209=AF$2,'Atividades Micro'!$L209&lt;&gt;""),'Atividades Micro'!$L209,"")</f>
        <v>46244</v>
      </c>
      <c r="AG189" s="21">
        <f>IF(AND('Atividades Micro'!$B209=AG$2,'Atividades Micro'!$K209&lt;&gt;""),'Atividades Micro'!$K209,"")</f>
        <v>46245</v>
      </c>
      <c r="AH189" s="21">
        <f>IF(AND('Atividades Micro'!$B209=AH$2,'Atividades Micro'!$L209&lt;&gt;""),'Atividades Micro'!$L209,"")</f>
        <v>46244</v>
      </c>
      <c r="AI189" s="21" t="str">
        <f>IF(AND('Atividades Micro'!$B209=AI$2,'Atividades Micro'!$K209&lt;&gt;""),'Atividades Micro'!$K209,"")</f>
        <v/>
      </c>
      <c r="AJ189" s="21" t="str">
        <f>IF(AND('Atividades Micro'!$B209=AJ$2,'Atividades Micro'!$L209&lt;&gt;""),'Atividades Micro'!$L209,"")</f>
        <v/>
      </c>
      <c r="AK189" s="21" t="str">
        <f>IF(AND('Atividades Micro'!$A209=AK$2,'Atividades Micro'!$K209&lt;&gt;""),'Atividades Micro'!$K209,"")</f>
        <v/>
      </c>
      <c r="AL189" s="21" t="str">
        <f>IF(AND('Atividades Micro'!$A209=AL$2,'Atividades Micro'!$L209&lt;&gt;""),'Atividades Micro'!$L209,"")</f>
        <v/>
      </c>
      <c r="AM189" s="21" t="str">
        <f>IF(AND('Atividades Micro'!$B209=AM$2,'Atividades Micro'!$K209&lt;&gt;""),'Atividades Micro'!$K209,"")</f>
        <v/>
      </c>
      <c r="AN189" s="21" t="str">
        <f>IF(AND('Atividades Micro'!$B209=AN$2,'Atividades Micro'!$L209&lt;&gt;""),'Atividades Micro'!$L209,"")</f>
        <v/>
      </c>
      <c r="AO189" s="21" t="str">
        <f>IF(AND('Atividades Micro'!$B209=AO$2,'Atividades Micro'!$K209&lt;&gt;""),'Atividades Micro'!$K209,"")</f>
        <v/>
      </c>
      <c r="AP189" s="21" t="str">
        <f>IF(AND('Atividades Micro'!$B209=AP$2,'Atividades Micro'!$L209&lt;&gt;""),'Atividades Micro'!$L209,"")</f>
        <v/>
      </c>
      <c r="AQ189" s="21" t="str">
        <f>IF(AND('Atividades Micro'!$A209=AQ$2,'Atividades Micro'!$K209&lt;&gt;""),'Atividades Micro'!$K209,"")</f>
        <v/>
      </c>
      <c r="AR189" s="21" t="str">
        <f>IF(AND('Atividades Micro'!$A209=AR$2,'Atividades Micro'!$L209&lt;&gt;""),'Atividades Micro'!$L209,"")</f>
        <v/>
      </c>
      <c r="AS189" s="21" t="str">
        <f>IF(AND('Atividades Micro'!$B209=AS$2,'Atividades Micro'!$K209&lt;&gt;""),'Atividades Micro'!$K209,"")</f>
        <v/>
      </c>
      <c r="AT189" s="21" t="str">
        <f>IF(AND('Atividades Micro'!$B209=AT$2,'Atividades Micro'!$L209&lt;&gt;""),'Atividades Micro'!$L209,"")</f>
        <v/>
      </c>
      <c r="AU189" s="21" t="str">
        <f>IF(AND('Atividades Micro'!$A209=AU$2,'Atividades Micro'!$K209&lt;&gt;""),'Atividades Micro'!$K209,"")</f>
        <v/>
      </c>
      <c r="AV189" s="21" t="str">
        <f>IF(AND('Atividades Micro'!$A209=AV$2,'Atividades Micro'!$L209&lt;&gt;""),'Atividades Micro'!$L209,"")</f>
        <v/>
      </c>
      <c r="AW189" s="21" t="str">
        <f>IF(AND('Atividades Micro'!$B209=AW$2,'Atividades Micro'!$K209&lt;&gt;""),'Atividades Micro'!$K209,"")</f>
        <v/>
      </c>
      <c r="AX189" s="21" t="str">
        <f>IF(AND('Atividades Micro'!$B209=AX$2,'Atividades Micro'!$L209&lt;&gt;""),'Atividades Micro'!$L209,"")</f>
        <v/>
      </c>
      <c r="AY189" s="21" t="str">
        <f>IF(AND('Atividades Micro'!$A209=AY$2,'Atividades Micro'!$K209&lt;&gt;""),'Atividades Micro'!$K209,"")</f>
        <v/>
      </c>
      <c r="AZ189" s="21" t="str">
        <f>IF(AND('Atividades Micro'!$A209=AZ$2,'Atividades Micro'!$L209&lt;&gt;""),'Atividades Micro'!$L209,"")</f>
        <v/>
      </c>
      <c r="BA189" s="21" t="str">
        <f>IF(AND('Atividades Micro'!$B209=BA$2,'Atividades Micro'!$K209&lt;&gt;""),'Atividades Micro'!$K209,"")</f>
        <v/>
      </c>
      <c r="BB189" s="21" t="str">
        <f>IF(AND('Atividades Micro'!$B209=BB$2,'Atividades Micro'!$L209&lt;&gt;""),'Atividades Micro'!$L209,"")</f>
        <v/>
      </c>
      <c r="BC189" s="21" t="str">
        <f>IF(AND('Atividades Micro'!$B209=BC$2,'Atividades Micro'!$G209="Macro",'Atividades Micro'!$K209&lt;&gt;""),'Atividades Micro'!$K209,"")</f>
        <v/>
      </c>
      <c r="BD189" s="21" t="str">
        <f>IF(AND('Atividades Micro'!$B209=BD$2,'Atividades Micro'!$G209="Macro",'Atividades Micro'!$K209&lt;&gt;""),'Atividades Micro'!$K209,"")</f>
        <v/>
      </c>
      <c r="BE189" s="21" t="str">
        <f>IF(AND('Atividades Micro'!$B209=BE$2,'Atividades Micro'!$G209="Macro",'Atividades Micro'!$K209&lt;&gt;""),'Atividades Micro'!$K209,"")</f>
        <v/>
      </c>
      <c r="BF189" s="21" t="str">
        <f>IF(AND('Atividades Micro'!$B209=BF$2,'Atividades Micro'!$G209="Macro",'Atividades Micro'!$K209&lt;&gt;""),'Atividades Micro'!$K209,"")</f>
        <v/>
      </c>
      <c r="BG189" s="21" t="str">
        <f>IF(AND('Atividades Micro'!$B209=BG$2,'Atividades Micro'!$G209="Macro",'Atividades Micro'!$K209&lt;&gt;""),'Atividades Micro'!$K209,"")</f>
        <v/>
      </c>
      <c r="BH189" s="21" t="str">
        <f>IF(AND('Atividades Micro'!$B209=BH$2,'Atividades Micro'!$G209="Macro",'Atividades Micro'!$K209&lt;&gt;""),'Atividades Micro'!$K209,"")</f>
        <v/>
      </c>
      <c r="BI189" s="21" t="str">
        <f>IF(AND('Atividades Micro'!$B209=BI$2,'Atividades Micro'!$G209="Macro",'Atividades Micro'!$K209&lt;&gt;""),'Atividades Micro'!$K209,"")</f>
        <v/>
      </c>
      <c r="BJ189" s="21" t="str">
        <f>IF(AND('Atividades Micro'!$B209=BJ$2,'Atividades Micro'!$G209="Macro",'Atividades Micro'!$K209&lt;&gt;""),'Atividades Micro'!$K209,"")</f>
        <v/>
      </c>
      <c r="BK189" s="21" t="str">
        <f>IF(AND('Atividades Micro'!$B209=BK$2,'Atividades Micro'!$G209="Macro",'Atividades Micro'!$K209&lt;&gt;""),'Atividades Micro'!$K209,"")</f>
        <v/>
      </c>
      <c r="BL189" s="21" t="str">
        <f>IF(AND('Atividades Micro'!$B209=BL$2,'Atividades Micro'!$G209="Macro",'Atividades Micro'!$K209&lt;&gt;""),'Atividades Micro'!$K209,"")</f>
        <v/>
      </c>
      <c r="BM189" s="21" t="str">
        <f>IF(AND('Atividades Micro'!$B209=BM$2,'Atividades Micro'!$G209="Macro",'Atividades Micro'!$K209&lt;&gt;""),'Atividades Micro'!$K209,"")</f>
        <v/>
      </c>
      <c r="BN189" s="21" t="str">
        <f>IF(AND('Atividades Micro'!$B209=BN$2,'Atividades Micro'!$G209="Macro",'Atividades Micro'!$K209&lt;&gt;""),'Atividades Micro'!$K209,"")</f>
        <v/>
      </c>
      <c r="BO189" s="21" t="str">
        <f>IF(AND('Atividades Micro'!$B209=BO$2,'Atividades Micro'!$G209="Macro",'Atividades Micro'!$K209&lt;&gt;""),'Atividades Micro'!$K209,"")</f>
        <v/>
      </c>
      <c r="BP189" s="21" t="str">
        <f>IF(AND('Atividades Micro'!$B209=BP$2,'Atividades Micro'!$G209="Macro",'Atividades Micro'!$K209&lt;&gt;""),'Atividades Micro'!$K209,"")</f>
        <v/>
      </c>
      <c r="BQ189" s="21" t="str">
        <f>IF(AND('Atividades Micro'!$B209=BQ$2,'Atividades Micro'!$G209="Macro",'Atividades Micro'!$K209&lt;&gt;""),'Atividades Micro'!$K209,"")</f>
        <v/>
      </c>
      <c r="BR189" s="21" t="str">
        <f>IF(AND('Atividades Micro'!$B209=BR$2,'Atividades Micro'!$G209="Macro",'Atividades Micro'!$K209&lt;&gt;""),'Atividades Micro'!$K209,"")</f>
        <v/>
      </c>
      <c r="BS189" s="21" t="str">
        <f>IF(AND('Atividades Micro'!$B209=BS$2,'Atividades Micro'!$G209="Macro",'Atividades Micro'!$K209&lt;&gt;""),'Atividades Micro'!$K209,"")</f>
        <v/>
      </c>
      <c r="BT189" s="21" t="str">
        <f>IF(AND('Atividades Micro'!$B209=BT$2,'Atividades Micro'!$G209="Macro",'Atividades Micro'!$K209&lt;&gt;""),'Atividades Micro'!$K209,"")</f>
        <v/>
      </c>
      <c r="BU189" s="21" t="str">
        <f>IF(AND('Atividades Micro'!$B209=BU$2,'Atividades Micro'!$G209="Macro",'Atividades Micro'!$K209&lt;&gt;""),'Atividades Micro'!$K209,"")</f>
        <v/>
      </c>
      <c r="BV189" s="21" t="str">
        <f>IF(AND('Atividades Micro'!$B209=BV$2,'Atividades Micro'!$G209="Macro",'Atividades Micro'!$K209&lt;&gt;""),'Atividades Micro'!$K209,"")</f>
        <v/>
      </c>
      <c r="BW189" s="21" t="str">
        <f>IF(AND('Atividades Micro'!$B209=BW$2,'Atividades Micro'!$G209="Macro",'Atividades Micro'!$K209&lt;&gt;""),'Atividades Micro'!$K209,"")</f>
        <v/>
      </c>
      <c r="BX189" s="21" t="str">
        <f>IF(AND('Atividades Micro'!$B209=BX$2,'Atividades Micro'!$G209="Macro",'Atividades Micro'!$K209&lt;&gt;""),'Atividades Micro'!$K209,"")</f>
        <v/>
      </c>
      <c r="BY189" s="21" t="str">
        <f>IF(AND('Atividades Micro'!$B209=BY$2,'Atividades Micro'!$G209="Macro",'Atividades Micro'!$K209&lt;&gt;""),'Atividades Micro'!$K209,"")</f>
        <v/>
      </c>
      <c r="BZ189" s="21" t="str">
        <f>IF(AND('Atividades Micro'!$B209=BZ$2,'Atividades Micro'!$G209="Macro",'Atividades Micro'!$K209&lt;&gt;""),'Atividades Micro'!$K209,"")</f>
        <v/>
      </c>
      <c r="CA189" s="21" t="str">
        <f>IF(AND('Atividades Micro'!$B209=CA$2,'Atividades Micro'!$G209="Macro",'Atividades Micro'!$K209&lt;&gt;""),'Atividades Micro'!$K209,"")</f>
        <v/>
      </c>
      <c r="CB189" s="21" t="str">
        <f>IF(AND('Atividades Micro'!$B209=CB$2,'Atividades Micro'!$G209="Macro",'Atividades Micro'!$K209&lt;&gt;""),'Atividades Micro'!$K209,"")</f>
        <v/>
      </c>
      <c r="CC189" s="21" t="str">
        <f>IF(AND('Atividades Micro'!$B209=CC$2,'Atividades Micro'!$G209="Macro",'Atividades Micro'!$K209&lt;&gt;""),'Atividades Micro'!$K209,"")</f>
        <v/>
      </c>
      <c r="CD189" s="21" t="str">
        <f>IF(AND('Atividades Micro'!$B209=CD$2,'Atividades Micro'!$G209="Micro",'Atividades Micro'!$K209&lt;&gt;""),'Atividades Micro'!$K209,"")</f>
        <v/>
      </c>
      <c r="CE189" s="21" t="str">
        <f>IF(AND('Atividades Micro'!$B209=CE$2,'Atividades Micro'!$G209="Micro",'Atividades Micro'!$K209&lt;&gt;""),'Atividades Micro'!$K209,"")</f>
        <v/>
      </c>
      <c r="CF189" s="21" t="str">
        <f>IF(AND('Atividades Micro'!$B209=CF$2,'Atividades Micro'!$G209="Micro",'Atividades Micro'!$K209&lt;&gt;""),'Atividades Micro'!$K209,"")</f>
        <v/>
      </c>
      <c r="CG189" s="21" t="str">
        <f>IF(AND('Atividades Micro'!$B209=CG$2,'Atividades Micro'!$G209="Micro",'Atividades Micro'!$K209&lt;&gt;""),'Atividades Micro'!$K209,"")</f>
        <v/>
      </c>
      <c r="CH189" s="21" t="str">
        <f>IF(AND('Atividades Micro'!$B209=CH$2,'Atividades Micro'!$G209="Micro",'Atividades Micro'!$K209&lt;&gt;""),'Atividades Micro'!$K209,"")</f>
        <v/>
      </c>
      <c r="CI189" s="21" t="str">
        <f>IF(AND('Atividades Micro'!$B209=CI$2,'Atividades Micro'!$G209="Micro",'Atividades Micro'!$K209&lt;&gt;""),'Atividades Micro'!$K209,"")</f>
        <v/>
      </c>
      <c r="CJ189" s="21" t="str">
        <f>IF(AND('Atividades Micro'!$B209=CJ$2,'Atividades Micro'!$G209="Micro",'Atividades Micro'!$K209&lt;&gt;""),'Atividades Micro'!$K209,"")</f>
        <v/>
      </c>
      <c r="CK189" s="21">
        <f>IF(AND('Atividades Micro'!$B209=CK$2,'Atividades Micro'!$G209="Micro",'Atividades Micro'!$K209&lt;&gt;""),'Atividades Micro'!$K209,"")</f>
        <v>46245</v>
      </c>
      <c r="CL189" s="21" t="str">
        <f>IF(AND('Atividades Micro'!$B209=CL$2,'Atividades Micro'!$G209="Micro",'Atividades Micro'!$K209&lt;&gt;""),'Atividades Micro'!$K209,"")</f>
        <v/>
      </c>
      <c r="CM189" s="21" t="str">
        <f>IF(AND('Atividades Micro'!$B209=CM$2,'Atividades Micro'!$G209="Micro",'Atividades Micro'!$K209&lt;&gt;""),'Atividades Micro'!$K209,"")</f>
        <v/>
      </c>
      <c r="CN189" s="21" t="str">
        <f>IF(AND('Atividades Micro'!$B209=CN$2,'Atividades Micro'!$G209="Micro",'Atividades Micro'!$K209&lt;&gt;""),'Atividades Micro'!$K209,"")</f>
        <v/>
      </c>
      <c r="CO189" s="21" t="str">
        <f>IF(AND('Atividades Micro'!$B209=CO$2,'Atividades Micro'!$G209="Micro",'Atividades Micro'!$K209&lt;&gt;""),'Atividades Micro'!$K209,"")</f>
        <v/>
      </c>
    </row>
    <row r="190" spans="1:93">
      <c r="A190" s="21" t="str">
        <f>IF(AND('Atividades Micro'!$A210=A$2,'Atividades Micro'!$K210&lt;&gt;""),'Atividades Micro'!$K210,"")</f>
        <v/>
      </c>
      <c r="B190" s="21" t="str">
        <f>IF(AND('Atividades Micro'!$A210=B$2,'Atividades Micro'!$L210&lt;&gt;""),'Atividades Micro'!$L210,"")</f>
        <v/>
      </c>
      <c r="C190" s="21" t="str">
        <f>IF(AND('Atividades Micro'!$A210=C$2,'Atividades Micro'!$K210&lt;&gt;""),'Atividades Micro'!$K210,"")</f>
        <v/>
      </c>
      <c r="D190" s="21" t="str">
        <f>IF(AND('Atividades Micro'!$A210=D$2,'Atividades Micro'!$L210&lt;&gt;""),'Atividades Micro'!$L210,"")</f>
        <v/>
      </c>
      <c r="E190" s="21" t="str">
        <f>IF(AND('Atividades Micro'!$A210=E$2,'Atividades Micro'!$K210&lt;&gt;""),'Atividades Micro'!$K210,"")</f>
        <v/>
      </c>
      <c r="F190" s="21" t="str">
        <f>IF(AND('Atividades Micro'!$A210=F$2,'Atividades Micro'!$L210&lt;&gt;""),'Atividades Micro'!$L210,"")</f>
        <v/>
      </c>
      <c r="G190" s="21" t="str">
        <f>IF(AND('Atividades Micro'!$A210=G$2,'Atividades Micro'!$K210&lt;&gt;""),'Atividades Micro'!$K210,"")</f>
        <v/>
      </c>
      <c r="H190" s="21" t="str">
        <f>IF(AND('Atividades Micro'!$A210=H$2,'Atividades Micro'!$L210&lt;&gt;""),'Atividades Micro'!$L210,"")</f>
        <v/>
      </c>
      <c r="I190" s="21" t="str">
        <f>IF(AND('Atividades Micro'!$A210=I$2,'Atividades Micro'!$K210&lt;&gt;""),'Atividades Micro'!$K210,"")</f>
        <v/>
      </c>
      <c r="J190" s="21" t="str">
        <f>IF(AND('Atividades Micro'!$A210=J$2,'Atividades Micro'!$L210&lt;&gt;""),'Atividades Micro'!$L210,"")</f>
        <v/>
      </c>
      <c r="K190" s="21" t="str">
        <f>IF(AND('Atividades Micro'!$B210=K$2,'Atividades Micro'!$K210&lt;&gt;""),'Atividades Micro'!$K210,"")</f>
        <v/>
      </c>
      <c r="L190" s="21" t="str">
        <f>IF(AND('Atividades Micro'!$B210=L$2,'Atividades Micro'!$L210&lt;&gt;""),'Atividades Micro'!$L210,"")</f>
        <v/>
      </c>
      <c r="M190" s="21" t="str">
        <f>IF(AND('Atividades Micro'!$B210=M$2,'Atividades Micro'!$K210&lt;&gt;""),'Atividades Micro'!$K210,"")</f>
        <v/>
      </c>
      <c r="N190" s="21" t="str">
        <f>IF(AND('Atividades Micro'!$B210=N$2,'Atividades Micro'!$L210&lt;&gt;""),'Atividades Micro'!$L210,"")</f>
        <v/>
      </c>
      <c r="O190" s="21" t="str">
        <f>IF(AND('Atividades Micro'!$A210=O$2,'Atividades Micro'!$K210&lt;&gt;""),'Atividades Micro'!$K210,"")</f>
        <v/>
      </c>
      <c r="P190" s="21" t="str">
        <f>IF(AND('Atividades Micro'!$A210=P$2,'Atividades Micro'!$L210&lt;&gt;""),'Atividades Micro'!$L210,"")</f>
        <v/>
      </c>
      <c r="Q190" s="21" t="str">
        <f>IF(AND('Atividades Micro'!$B210=Q$2,'Atividades Micro'!$K210&lt;&gt;""),'Atividades Micro'!$K210,"")</f>
        <v/>
      </c>
      <c r="R190" s="21" t="str">
        <f>IF(AND('Atividades Micro'!$B210=R$2,'Atividades Micro'!$L210&lt;&gt;""),'Atividades Micro'!$L210,"")</f>
        <v/>
      </c>
      <c r="S190" s="21" t="str">
        <f>IF(AND('Atividades Micro'!$A210=S$2,'Atividades Micro'!$K210&lt;&gt;""),'Atividades Micro'!$K210,"")</f>
        <v/>
      </c>
      <c r="T190" s="21" t="str">
        <f>IF(AND('Atividades Micro'!$A210=T$2,'Atividades Micro'!$L210&lt;&gt;""),'Atividades Micro'!$L210,"")</f>
        <v/>
      </c>
      <c r="U190" s="21" t="str">
        <f>IF(AND('Atividades Micro'!$B210=U$2,'Atividades Micro'!$K210&lt;&gt;""),'Atividades Micro'!$K210,"")</f>
        <v/>
      </c>
      <c r="V190" s="21" t="str">
        <f>IF(AND('Atividades Micro'!$B210=V$2,'Atividades Micro'!$L210&lt;&gt;""),'Atividades Micro'!$L210,"")</f>
        <v/>
      </c>
      <c r="W190" s="21" t="str">
        <f>IF(AND('Atividades Micro'!$B210=W$2,'Atividades Micro'!$K210&lt;&gt;""),'Atividades Micro'!$K210,"")</f>
        <v/>
      </c>
      <c r="X190" s="21" t="str">
        <f>IF(AND('Atividades Micro'!$B210=X$2,'Atividades Micro'!$L210&lt;&gt;""),'Atividades Micro'!$L210,"")</f>
        <v/>
      </c>
      <c r="Y190" s="21" t="str">
        <f>IF(AND('Atividades Micro'!$A210=Y$2,'Atividades Micro'!$K210&lt;&gt;""),'Atividades Micro'!$K210,"")</f>
        <v/>
      </c>
      <c r="Z190" s="21" t="str">
        <f>IF(AND('Atividades Micro'!$A210=Z$2,'Atividades Micro'!$L210&lt;&gt;""),'Atividades Micro'!$L210,"")</f>
        <v/>
      </c>
      <c r="AA190" s="21" t="str">
        <f>IF(AND('Atividades Micro'!$B210=AA$2,'Atividades Micro'!$K210&lt;&gt;""),'Atividades Micro'!$K210,"")</f>
        <v/>
      </c>
      <c r="AB190" s="21" t="str">
        <f>IF(AND('Atividades Micro'!$B210=AB$2,'Atividades Micro'!$L210&lt;&gt;""),'Atividades Micro'!$L210,"")</f>
        <v/>
      </c>
      <c r="AC190" s="21" t="str">
        <f>IF(AND('Atividades Micro'!$B210=AC$2,'Atividades Micro'!$K210&lt;&gt;""),'Atividades Micro'!$K210,"")</f>
        <v/>
      </c>
      <c r="AD190" s="21" t="str">
        <f>IF(AND('Atividades Micro'!$B210=AD$2,'Atividades Micro'!$L210&lt;&gt;""),'Atividades Micro'!$L210,"")</f>
        <v/>
      </c>
      <c r="AE190" s="21">
        <f>IF(AND('Atividades Micro'!$A210=AE$2,'Atividades Micro'!$K210&lt;&gt;""),'Atividades Micro'!$K210,"")</f>
        <v>46258</v>
      </c>
      <c r="AF190" s="21">
        <f>IF(AND('Atividades Micro'!$A210=AF$2,'Atividades Micro'!$L210&lt;&gt;""),'Atividades Micro'!$L210,"")</f>
        <v>46274</v>
      </c>
      <c r="AG190" s="21">
        <f>IF(AND('Atividades Micro'!$B210=AG$2,'Atividades Micro'!$K210&lt;&gt;""),'Atividades Micro'!$K210,"")</f>
        <v>46258</v>
      </c>
      <c r="AH190" s="21">
        <f>IF(AND('Atividades Micro'!$B210=AH$2,'Atividades Micro'!$L210&lt;&gt;""),'Atividades Micro'!$L210,"")</f>
        <v>46274</v>
      </c>
      <c r="AI190" s="21" t="str">
        <f>IF(AND('Atividades Micro'!$B210=AI$2,'Atividades Micro'!$K210&lt;&gt;""),'Atividades Micro'!$K210,"")</f>
        <v/>
      </c>
      <c r="AJ190" s="21" t="str">
        <f>IF(AND('Atividades Micro'!$B210=AJ$2,'Atividades Micro'!$L210&lt;&gt;""),'Atividades Micro'!$L210,"")</f>
        <v/>
      </c>
      <c r="AK190" s="21" t="str">
        <f>IF(AND('Atividades Micro'!$A210=AK$2,'Atividades Micro'!$K210&lt;&gt;""),'Atividades Micro'!$K210,"")</f>
        <v/>
      </c>
      <c r="AL190" s="21" t="str">
        <f>IF(AND('Atividades Micro'!$A210=AL$2,'Atividades Micro'!$L210&lt;&gt;""),'Atividades Micro'!$L210,"")</f>
        <v/>
      </c>
      <c r="AM190" s="21" t="str">
        <f>IF(AND('Atividades Micro'!$B210=AM$2,'Atividades Micro'!$K210&lt;&gt;""),'Atividades Micro'!$K210,"")</f>
        <v/>
      </c>
      <c r="AN190" s="21" t="str">
        <f>IF(AND('Atividades Micro'!$B210=AN$2,'Atividades Micro'!$L210&lt;&gt;""),'Atividades Micro'!$L210,"")</f>
        <v/>
      </c>
      <c r="AO190" s="21" t="str">
        <f>IF(AND('Atividades Micro'!$B210=AO$2,'Atividades Micro'!$K210&lt;&gt;""),'Atividades Micro'!$K210,"")</f>
        <v/>
      </c>
      <c r="AP190" s="21" t="str">
        <f>IF(AND('Atividades Micro'!$B210=AP$2,'Atividades Micro'!$L210&lt;&gt;""),'Atividades Micro'!$L210,"")</f>
        <v/>
      </c>
      <c r="AQ190" s="21" t="str">
        <f>IF(AND('Atividades Micro'!$A210=AQ$2,'Atividades Micro'!$K210&lt;&gt;""),'Atividades Micro'!$K210,"")</f>
        <v/>
      </c>
      <c r="AR190" s="21" t="str">
        <f>IF(AND('Atividades Micro'!$A210=AR$2,'Atividades Micro'!$L210&lt;&gt;""),'Atividades Micro'!$L210,"")</f>
        <v/>
      </c>
      <c r="AS190" s="21" t="str">
        <f>IF(AND('Atividades Micro'!$B210=AS$2,'Atividades Micro'!$K210&lt;&gt;""),'Atividades Micro'!$K210,"")</f>
        <v/>
      </c>
      <c r="AT190" s="21" t="str">
        <f>IF(AND('Atividades Micro'!$B210=AT$2,'Atividades Micro'!$L210&lt;&gt;""),'Atividades Micro'!$L210,"")</f>
        <v/>
      </c>
      <c r="AU190" s="21" t="str">
        <f>IF(AND('Atividades Micro'!$A210=AU$2,'Atividades Micro'!$K210&lt;&gt;""),'Atividades Micro'!$K210,"")</f>
        <v/>
      </c>
      <c r="AV190" s="21" t="str">
        <f>IF(AND('Atividades Micro'!$A210=AV$2,'Atividades Micro'!$L210&lt;&gt;""),'Atividades Micro'!$L210,"")</f>
        <v/>
      </c>
      <c r="AW190" s="21" t="str">
        <f>IF(AND('Atividades Micro'!$B210=AW$2,'Atividades Micro'!$K210&lt;&gt;""),'Atividades Micro'!$K210,"")</f>
        <v/>
      </c>
      <c r="AX190" s="21" t="str">
        <f>IF(AND('Atividades Micro'!$B210=AX$2,'Atividades Micro'!$L210&lt;&gt;""),'Atividades Micro'!$L210,"")</f>
        <v/>
      </c>
      <c r="AY190" s="21" t="str">
        <f>IF(AND('Atividades Micro'!$A210=AY$2,'Atividades Micro'!$K210&lt;&gt;""),'Atividades Micro'!$K210,"")</f>
        <v/>
      </c>
      <c r="AZ190" s="21" t="str">
        <f>IF(AND('Atividades Micro'!$A210=AZ$2,'Atividades Micro'!$L210&lt;&gt;""),'Atividades Micro'!$L210,"")</f>
        <v/>
      </c>
      <c r="BA190" s="21" t="str">
        <f>IF(AND('Atividades Micro'!$B210=BA$2,'Atividades Micro'!$K210&lt;&gt;""),'Atividades Micro'!$K210,"")</f>
        <v/>
      </c>
      <c r="BB190" s="21" t="str">
        <f>IF(AND('Atividades Micro'!$B210=BB$2,'Atividades Micro'!$L210&lt;&gt;""),'Atividades Micro'!$L210,"")</f>
        <v/>
      </c>
      <c r="BC190" s="21" t="str">
        <f>IF(AND('Atividades Micro'!$B210=BC$2,'Atividades Micro'!$G210="Macro",'Atividades Micro'!$K210&lt;&gt;""),'Atividades Micro'!$K210,"")</f>
        <v/>
      </c>
      <c r="BD190" s="21" t="str">
        <f>IF(AND('Atividades Micro'!$B210=BD$2,'Atividades Micro'!$G210="Macro",'Atividades Micro'!$K210&lt;&gt;""),'Atividades Micro'!$K210,"")</f>
        <v/>
      </c>
      <c r="BE190" s="21" t="str">
        <f>IF(AND('Atividades Micro'!$B210=BE$2,'Atividades Micro'!$G210="Macro",'Atividades Micro'!$K210&lt;&gt;""),'Atividades Micro'!$K210,"")</f>
        <v/>
      </c>
      <c r="BF190" s="21" t="str">
        <f>IF(AND('Atividades Micro'!$B210=BF$2,'Atividades Micro'!$G210="Macro",'Atividades Micro'!$K210&lt;&gt;""),'Atividades Micro'!$K210,"")</f>
        <v/>
      </c>
      <c r="BG190" s="21" t="str">
        <f>IF(AND('Atividades Micro'!$B210=BG$2,'Atividades Micro'!$G210="Macro",'Atividades Micro'!$K210&lt;&gt;""),'Atividades Micro'!$K210,"")</f>
        <v/>
      </c>
      <c r="BH190" s="21" t="str">
        <f>IF(AND('Atividades Micro'!$B210=BH$2,'Atividades Micro'!$G210="Macro",'Atividades Micro'!$K210&lt;&gt;""),'Atividades Micro'!$K210,"")</f>
        <v/>
      </c>
      <c r="BI190" s="21" t="str">
        <f>IF(AND('Atividades Micro'!$B210=BI$2,'Atividades Micro'!$G210="Macro",'Atividades Micro'!$K210&lt;&gt;""),'Atividades Micro'!$K210,"")</f>
        <v/>
      </c>
      <c r="BJ190" s="21" t="str">
        <f>IF(AND('Atividades Micro'!$B210=BJ$2,'Atividades Micro'!$G210="Macro",'Atividades Micro'!$K210&lt;&gt;""),'Atividades Micro'!$K210,"")</f>
        <v/>
      </c>
      <c r="BK190" s="21" t="str">
        <f>IF(AND('Atividades Micro'!$B210=BK$2,'Atividades Micro'!$G210="Macro",'Atividades Micro'!$K210&lt;&gt;""),'Atividades Micro'!$K210,"")</f>
        <v/>
      </c>
      <c r="BL190" s="21" t="str">
        <f>IF(AND('Atividades Micro'!$B210=BL$2,'Atividades Micro'!$G210="Macro",'Atividades Micro'!$K210&lt;&gt;""),'Atividades Micro'!$K210,"")</f>
        <v/>
      </c>
      <c r="BM190" s="21" t="str">
        <f>IF(AND('Atividades Micro'!$B210=BM$2,'Atividades Micro'!$G210="Macro",'Atividades Micro'!$K210&lt;&gt;""),'Atividades Micro'!$K210,"")</f>
        <v/>
      </c>
      <c r="BN190" s="21" t="str">
        <f>IF(AND('Atividades Micro'!$B210=BN$2,'Atividades Micro'!$G210="Macro",'Atividades Micro'!$K210&lt;&gt;""),'Atividades Micro'!$K210,"")</f>
        <v/>
      </c>
      <c r="BO190" s="21" t="str">
        <f>IF(AND('Atividades Micro'!$B210=BO$2,'Atividades Micro'!$G210="Macro",'Atividades Micro'!$K210&lt;&gt;""),'Atividades Micro'!$K210,"")</f>
        <v/>
      </c>
      <c r="BP190" s="21" t="str">
        <f>IF(AND('Atividades Micro'!$B210=BP$2,'Atividades Micro'!$G210="Macro",'Atividades Micro'!$K210&lt;&gt;""),'Atividades Micro'!$K210,"")</f>
        <v/>
      </c>
      <c r="BQ190" s="21" t="str">
        <f>IF(AND('Atividades Micro'!$B210=BQ$2,'Atividades Micro'!$G210="Macro",'Atividades Micro'!$K210&lt;&gt;""),'Atividades Micro'!$K210,"")</f>
        <v/>
      </c>
      <c r="BR190" s="21" t="str">
        <f>IF(AND('Atividades Micro'!$B210=BR$2,'Atividades Micro'!$G210="Macro",'Atividades Micro'!$K210&lt;&gt;""),'Atividades Micro'!$K210,"")</f>
        <v/>
      </c>
      <c r="BS190" s="21">
        <f>IF(AND('Atividades Micro'!$B210=BS$2,'Atividades Micro'!$G210="Macro",'Atividades Micro'!$K210&lt;&gt;""),'Atividades Micro'!$K210,"")</f>
        <v>46258</v>
      </c>
      <c r="BT190" s="21" t="str">
        <f>IF(AND('Atividades Micro'!$B210=BT$2,'Atividades Micro'!$G210="Macro",'Atividades Micro'!$K210&lt;&gt;""),'Atividades Micro'!$K210,"")</f>
        <v/>
      </c>
      <c r="BU190" s="21" t="str">
        <f>IF(AND('Atividades Micro'!$B210=BU$2,'Atividades Micro'!$G210="Macro",'Atividades Micro'!$K210&lt;&gt;""),'Atividades Micro'!$K210,"")</f>
        <v/>
      </c>
      <c r="BV190" s="21" t="str">
        <f>IF(AND('Atividades Micro'!$B210=BV$2,'Atividades Micro'!$G210="Macro",'Atividades Micro'!$K210&lt;&gt;""),'Atividades Micro'!$K210,"")</f>
        <v/>
      </c>
      <c r="BW190" s="21" t="str">
        <f>IF(AND('Atividades Micro'!$B210=BW$2,'Atividades Micro'!$G210="Macro",'Atividades Micro'!$K210&lt;&gt;""),'Atividades Micro'!$K210,"")</f>
        <v/>
      </c>
      <c r="BX190" s="21" t="str">
        <f>IF(AND('Atividades Micro'!$B210=BX$2,'Atividades Micro'!$G210="Macro",'Atividades Micro'!$K210&lt;&gt;""),'Atividades Micro'!$K210,"")</f>
        <v/>
      </c>
      <c r="BY190" s="21" t="str">
        <f>IF(AND('Atividades Micro'!$B210=BY$2,'Atividades Micro'!$G210="Macro",'Atividades Micro'!$K210&lt;&gt;""),'Atividades Micro'!$K210,"")</f>
        <v/>
      </c>
      <c r="BZ190" s="21" t="str">
        <f>IF(AND('Atividades Micro'!$B210=BZ$2,'Atividades Micro'!$G210="Macro",'Atividades Micro'!$K210&lt;&gt;""),'Atividades Micro'!$K210,"")</f>
        <v/>
      </c>
      <c r="CA190" s="21" t="str">
        <f>IF(AND('Atividades Micro'!$B210=CA$2,'Atividades Micro'!$G210="Macro",'Atividades Micro'!$K210&lt;&gt;""),'Atividades Micro'!$K210,"")</f>
        <v/>
      </c>
      <c r="CB190" s="21" t="str">
        <f>IF(AND('Atividades Micro'!$B210=CB$2,'Atividades Micro'!$G210="Macro",'Atividades Micro'!$K210&lt;&gt;""),'Atividades Micro'!$K210,"")</f>
        <v/>
      </c>
      <c r="CC190" s="21" t="str">
        <f>IF(AND('Atividades Micro'!$B210=CC$2,'Atividades Micro'!$G210="Macro",'Atividades Micro'!$K210&lt;&gt;""),'Atividades Micro'!$K210,"")</f>
        <v/>
      </c>
      <c r="CD190" s="21" t="str">
        <f>IF(AND('Atividades Micro'!$B210=CD$2,'Atividades Micro'!$G210="Micro",'Atividades Micro'!$K210&lt;&gt;""),'Atividades Micro'!$K210,"")</f>
        <v/>
      </c>
      <c r="CE190" s="21" t="str">
        <f>IF(AND('Atividades Micro'!$B210=CE$2,'Atividades Micro'!$G210="Micro",'Atividades Micro'!$K210&lt;&gt;""),'Atividades Micro'!$K210,"")</f>
        <v/>
      </c>
      <c r="CF190" s="21" t="str">
        <f>IF(AND('Atividades Micro'!$B210=CF$2,'Atividades Micro'!$G210="Micro",'Atividades Micro'!$K210&lt;&gt;""),'Atividades Micro'!$K210,"")</f>
        <v/>
      </c>
      <c r="CG190" s="21" t="str">
        <f>IF(AND('Atividades Micro'!$B210=CG$2,'Atividades Micro'!$G210="Micro",'Atividades Micro'!$K210&lt;&gt;""),'Atividades Micro'!$K210,"")</f>
        <v/>
      </c>
      <c r="CH190" s="21" t="str">
        <f>IF(AND('Atividades Micro'!$B210=CH$2,'Atividades Micro'!$G210="Micro",'Atividades Micro'!$K210&lt;&gt;""),'Atividades Micro'!$K210,"")</f>
        <v/>
      </c>
      <c r="CI190" s="21" t="str">
        <f>IF(AND('Atividades Micro'!$B210=CI$2,'Atividades Micro'!$G210="Micro",'Atividades Micro'!$K210&lt;&gt;""),'Atividades Micro'!$K210,"")</f>
        <v/>
      </c>
      <c r="CJ190" s="21" t="str">
        <f>IF(AND('Atividades Micro'!$B210=CJ$2,'Atividades Micro'!$G210="Micro",'Atividades Micro'!$K210&lt;&gt;""),'Atividades Micro'!$K210,"")</f>
        <v/>
      </c>
      <c r="CK190" s="21" t="str">
        <f>IF(AND('Atividades Micro'!$B210=CK$2,'Atividades Micro'!$G210="Micro",'Atividades Micro'!$K210&lt;&gt;""),'Atividades Micro'!$K210,"")</f>
        <v/>
      </c>
      <c r="CL190" s="21" t="str">
        <f>IF(AND('Atividades Micro'!$B210=CL$2,'Atividades Micro'!$G210="Micro",'Atividades Micro'!$K210&lt;&gt;""),'Atividades Micro'!$K210,"")</f>
        <v/>
      </c>
      <c r="CM190" s="21" t="str">
        <f>IF(AND('Atividades Micro'!$B210=CM$2,'Atividades Micro'!$G210="Micro",'Atividades Micro'!$K210&lt;&gt;""),'Atividades Micro'!$K210,"")</f>
        <v/>
      </c>
      <c r="CN190" s="21" t="str">
        <f>IF(AND('Atividades Micro'!$B210=CN$2,'Atividades Micro'!$G210="Micro",'Atividades Micro'!$K210&lt;&gt;""),'Atividades Micro'!$K210,"")</f>
        <v/>
      </c>
      <c r="CO190" s="21" t="str">
        <f>IF(AND('Atividades Micro'!$B210=CO$2,'Atividades Micro'!$G210="Micro",'Atividades Micro'!$K210&lt;&gt;""),'Atividades Micro'!$K210,"")</f>
        <v/>
      </c>
    </row>
    <row r="191" spans="1:93">
      <c r="A191" s="21" t="str">
        <f>IF(AND('Atividades Micro'!$A211=A$2,'Atividades Micro'!$K211&lt;&gt;""),'Atividades Micro'!$K211,"")</f>
        <v/>
      </c>
      <c r="B191" s="21" t="str">
        <f>IF(AND('Atividades Micro'!$A211=B$2,'Atividades Micro'!$L211&lt;&gt;""),'Atividades Micro'!$L211,"")</f>
        <v/>
      </c>
      <c r="C191" s="21" t="str">
        <f>IF(AND('Atividades Micro'!$A211=C$2,'Atividades Micro'!$K211&lt;&gt;""),'Atividades Micro'!$K211,"")</f>
        <v/>
      </c>
      <c r="D191" s="21" t="str">
        <f>IF(AND('Atividades Micro'!$A211=D$2,'Atividades Micro'!$L211&lt;&gt;""),'Atividades Micro'!$L211,"")</f>
        <v/>
      </c>
      <c r="E191" s="21" t="str">
        <f>IF(AND('Atividades Micro'!$A211=E$2,'Atividades Micro'!$K211&lt;&gt;""),'Atividades Micro'!$K211,"")</f>
        <v/>
      </c>
      <c r="F191" s="21" t="str">
        <f>IF(AND('Atividades Micro'!$A211=F$2,'Atividades Micro'!$L211&lt;&gt;""),'Atividades Micro'!$L211,"")</f>
        <v/>
      </c>
      <c r="G191" s="21" t="str">
        <f>IF(AND('Atividades Micro'!$A211=G$2,'Atividades Micro'!$K211&lt;&gt;""),'Atividades Micro'!$K211,"")</f>
        <v/>
      </c>
      <c r="H191" s="21" t="str">
        <f>IF(AND('Atividades Micro'!$A211=H$2,'Atividades Micro'!$L211&lt;&gt;""),'Atividades Micro'!$L211,"")</f>
        <v/>
      </c>
      <c r="I191" s="21" t="str">
        <f>IF(AND('Atividades Micro'!$A211=I$2,'Atividades Micro'!$K211&lt;&gt;""),'Atividades Micro'!$K211,"")</f>
        <v/>
      </c>
      <c r="J191" s="21" t="str">
        <f>IF(AND('Atividades Micro'!$A211=J$2,'Atividades Micro'!$L211&lt;&gt;""),'Atividades Micro'!$L211,"")</f>
        <v/>
      </c>
      <c r="K191" s="21" t="str">
        <f>IF(AND('Atividades Micro'!$B211=K$2,'Atividades Micro'!$K211&lt;&gt;""),'Atividades Micro'!$K211,"")</f>
        <v/>
      </c>
      <c r="L191" s="21" t="str">
        <f>IF(AND('Atividades Micro'!$B211=L$2,'Atividades Micro'!$L211&lt;&gt;""),'Atividades Micro'!$L211,"")</f>
        <v/>
      </c>
      <c r="M191" s="21" t="str">
        <f>IF(AND('Atividades Micro'!$B211=M$2,'Atividades Micro'!$K211&lt;&gt;""),'Atividades Micro'!$K211,"")</f>
        <v/>
      </c>
      <c r="N191" s="21" t="str">
        <f>IF(AND('Atividades Micro'!$B211=N$2,'Atividades Micro'!$L211&lt;&gt;""),'Atividades Micro'!$L211,"")</f>
        <v/>
      </c>
      <c r="O191" s="21" t="str">
        <f>IF(AND('Atividades Micro'!$A211=O$2,'Atividades Micro'!$K211&lt;&gt;""),'Atividades Micro'!$K211,"")</f>
        <v/>
      </c>
      <c r="P191" s="21" t="str">
        <f>IF(AND('Atividades Micro'!$A211=P$2,'Atividades Micro'!$L211&lt;&gt;""),'Atividades Micro'!$L211,"")</f>
        <v/>
      </c>
      <c r="Q191" s="21" t="str">
        <f>IF(AND('Atividades Micro'!$B211=Q$2,'Atividades Micro'!$K211&lt;&gt;""),'Atividades Micro'!$K211,"")</f>
        <v/>
      </c>
      <c r="R191" s="21" t="str">
        <f>IF(AND('Atividades Micro'!$B211=R$2,'Atividades Micro'!$L211&lt;&gt;""),'Atividades Micro'!$L211,"")</f>
        <v/>
      </c>
      <c r="S191" s="21" t="str">
        <f>IF(AND('Atividades Micro'!$A211=S$2,'Atividades Micro'!$K211&lt;&gt;""),'Atividades Micro'!$K211,"")</f>
        <v/>
      </c>
      <c r="T191" s="21" t="str">
        <f>IF(AND('Atividades Micro'!$A211=T$2,'Atividades Micro'!$L211&lt;&gt;""),'Atividades Micro'!$L211,"")</f>
        <v/>
      </c>
      <c r="U191" s="21" t="str">
        <f>IF(AND('Atividades Micro'!$B211=U$2,'Atividades Micro'!$K211&lt;&gt;""),'Atividades Micro'!$K211,"")</f>
        <v/>
      </c>
      <c r="V191" s="21" t="str">
        <f>IF(AND('Atividades Micro'!$B211=V$2,'Atividades Micro'!$L211&lt;&gt;""),'Atividades Micro'!$L211,"")</f>
        <v/>
      </c>
      <c r="W191" s="21" t="str">
        <f>IF(AND('Atividades Micro'!$B211=W$2,'Atividades Micro'!$K211&lt;&gt;""),'Atividades Micro'!$K211,"")</f>
        <v/>
      </c>
      <c r="X191" s="21" t="str">
        <f>IF(AND('Atividades Micro'!$B211=X$2,'Atividades Micro'!$L211&lt;&gt;""),'Atividades Micro'!$L211,"")</f>
        <v/>
      </c>
      <c r="Y191" s="21" t="str">
        <f>IF(AND('Atividades Micro'!$A211=Y$2,'Atividades Micro'!$K211&lt;&gt;""),'Atividades Micro'!$K211,"")</f>
        <v/>
      </c>
      <c r="Z191" s="21" t="str">
        <f>IF(AND('Atividades Micro'!$A211=Z$2,'Atividades Micro'!$L211&lt;&gt;""),'Atividades Micro'!$L211,"")</f>
        <v/>
      </c>
      <c r="AA191" s="21" t="str">
        <f>IF(AND('Atividades Micro'!$B211=AA$2,'Atividades Micro'!$K211&lt;&gt;""),'Atividades Micro'!$K211,"")</f>
        <v/>
      </c>
      <c r="AB191" s="21" t="str">
        <f>IF(AND('Atividades Micro'!$B211=AB$2,'Atividades Micro'!$L211&lt;&gt;""),'Atividades Micro'!$L211,"")</f>
        <v/>
      </c>
      <c r="AC191" s="21" t="str">
        <f>IF(AND('Atividades Micro'!$B211=AC$2,'Atividades Micro'!$K211&lt;&gt;""),'Atividades Micro'!$K211,"")</f>
        <v/>
      </c>
      <c r="AD191" s="21" t="str">
        <f>IF(AND('Atividades Micro'!$B211=AD$2,'Atividades Micro'!$L211&lt;&gt;""),'Atividades Micro'!$L211,"")</f>
        <v/>
      </c>
      <c r="AE191" s="21">
        <f>IF(AND('Atividades Micro'!$A211=AE$2,'Atividades Micro'!$K211&lt;&gt;""),'Atividades Micro'!$K211,"")</f>
        <v>46241</v>
      </c>
      <c r="AF191" s="21">
        <f>IF(AND('Atividades Micro'!$A211=AF$2,'Atividades Micro'!$L211&lt;&gt;""),'Atividades Micro'!$L211,"")</f>
        <v>46240</v>
      </c>
      <c r="AG191" s="21">
        <f>IF(AND('Atividades Micro'!$B211=AG$2,'Atividades Micro'!$K211&lt;&gt;""),'Atividades Micro'!$K211,"")</f>
        <v>46241</v>
      </c>
      <c r="AH191" s="21">
        <f>IF(AND('Atividades Micro'!$B211=AH$2,'Atividades Micro'!$L211&lt;&gt;""),'Atividades Micro'!$L211,"")</f>
        <v>46240</v>
      </c>
      <c r="AI191" s="21" t="str">
        <f>IF(AND('Atividades Micro'!$B211=AI$2,'Atividades Micro'!$K211&lt;&gt;""),'Atividades Micro'!$K211,"")</f>
        <v/>
      </c>
      <c r="AJ191" s="21" t="str">
        <f>IF(AND('Atividades Micro'!$B211=AJ$2,'Atividades Micro'!$L211&lt;&gt;""),'Atividades Micro'!$L211,"")</f>
        <v/>
      </c>
      <c r="AK191" s="21" t="str">
        <f>IF(AND('Atividades Micro'!$A211=AK$2,'Atividades Micro'!$K211&lt;&gt;""),'Atividades Micro'!$K211,"")</f>
        <v/>
      </c>
      <c r="AL191" s="21" t="str">
        <f>IF(AND('Atividades Micro'!$A211=AL$2,'Atividades Micro'!$L211&lt;&gt;""),'Atividades Micro'!$L211,"")</f>
        <v/>
      </c>
      <c r="AM191" s="21" t="str">
        <f>IF(AND('Atividades Micro'!$B211=AM$2,'Atividades Micro'!$K211&lt;&gt;""),'Atividades Micro'!$K211,"")</f>
        <v/>
      </c>
      <c r="AN191" s="21" t="str">
        <f>IF(AND('Atividades Micro'!$B211=AN$2,'Atividades Micro'!$L211&lt;&gt;""),'Atividades Micro'!$L211,"")</f>
        <v/>
      </c>
      <c r="AO191" s="21" t="str">
        <f>IF(AND('Atividades Micro'!$B211=AO$2,'Atividades Micro'!$K211&lt;&gt;""),'Atividades Micro'!$K211,"")</f>
        <v/>
      </c>
      <c r="AP191" s="21" t="str">
        <f>IF(AND('Atividades Micro'!$B211=AP$2,'Atividades Micro'!$L211&lt;&gt;""),'Atividades Micro'!$L211,"")</f>
        <v/>
      </c>
      <c r="AQ191" s="21" t="str">
        <f>IF(AND('Atividades Micro'!$A211=AQ$2,'Atividades Micro'!$K211&lt;&gt;""),'Atividades Micro'!$K211,"")</f>
        <v/>
      </c>
      <c r="AR191" s="21" t="str">
        <f>IF(AND('Atividades Micro'!$A211=AR$2,'Atividades Micro'!$L211&lt;&gt;""),'Atividades Micro'!$L211,"")</f>
        <v/>
      </c>
      <c r="AS191" s="21" t="str">
        <f>IF(AND('Atividades Micro'!$B211=AS$2,'Atividades Micro'!$K211&lt;&gt;""),'Atividades Micro'!$K211,"")</f>
        <v/>
      </c>
      <c r="AT191" s="21" t="str">
        <f>IF(AND('Atividades Micro'!$B211=AT$2,'Atividades Micro'!$L211&lt;&gt;""),'Atividades Micro'!$L211,"")</f>
        <v/>
      </c>
      <c r="AU191" s="21" t="str">
        <f>IF(AND('Atividades Micro'!$A211=AU$2,'Atividades Micro'!$K211&lt;&gt;""),'Atividades Micro'!$K211,"")</f>
        <v/>
      </c>
      <c r="AV191" s="21" t="str">
        <f>IF(AND('Atividades Micro'!$A211=AV$2,'Atividades Micro'!$L211&lt;&gt;""),'Atividades Micro'!$L211,"")</f>
        <v/>
      </c>
      <c r="AW191" s="21" t="str">
        <f>IF(AND('Atividades Micro'!$B211=AW$2,'Atividades Micro'!$K211&lt;&gt;""),'Atividades Micro'!$K211,"")</f>
        <v/>
      </c>
      <c r="AX191" s="21" t="str">
        <f>IF(AND('Atividades Micro'!$B211=AX$2,'Atividades Micro'!$L211&lt;&gt;""),'Atividades Micro'!$L211,"")</f>
        <v/>
      </c>
      <c r="AY191" s="21" t="str">
        <f>IF(AND('Atividades Micro'!$A211=AY$2,'Atividades Micro'!$K211&lt;&gt;""),'Atividades Micro'!$K211,"")</f>
        <v/>
      </c>
      <c r="AZ191" s="21" t="str">
        <f>IF(AND('Atividades Micro'!$A211=AZ$2,'Atividades Micro'!$L211&lt;&gt;""),'Atividades Micro'!$L211,"")</f>
        <v/>
      </c>
      <c r="BA191" s="21" t="str">
        <f>IF(AND('Atividades Micro'!$B211=BA$2,'Atividades Micro'!$K211&lt;&gt;""),'Atividades Micro'!$K211,"")</f>
        <v/>
      </c>
      <c r="BB191" s="21" t="str">
        <f>IF(AND('Atividades Micro'!$B211=BB$2,'Atividades Micro'!$L211&lt;&gt;""),'Atividades Micro'!$L211,"")</f>
        <v/>
      </c>
      <c r="BC191" s="21" t="str">
        <f>IF(AND('Atividades Micro'!$B211=BC$2,'Atividades Micro'!$G211="Macro",'Atividades Micro'!$K211&lt;&gt;""),'Atividades Micro'!$K211,"")</f>
        <v/>
      </c>
      <c r="BD191" s="21" t="str">
        <f>IF(AND('Atividades Micro'!$B211=BD$2,'Atividades Micro'!$G211="Macro",'Atividades Micro'!$K211&lt;&gt;""),'Atividades Micro'!$K211,"")</f>
        <v/>
      </c>
      <c r="BE191" s="21" t="str">
        <f>IF(AND('Atividades Micro'!$B211=BE$2,'Atividades Micro'!$G211="Macro",'Atividades Micro'!$K211&lt;&gt;""),'Atividades Micro'!$K211,"")</f>
        <v/>
      </c>
      <c r="BF191" s="21" t="str">
        <f>IF(AND('Atividades Micro'!$B211=BF$2,'Atividades Micro'!$G211="Macro",'Atividades Micro'!$K211&lt;&gt;""),'Atividades Micro'!$K211,"")</f>
        <v/>
      </c>
      <c r="BG191" s="21" t="str">
        <f>IF(AND('Atividades Micro'!$B211=BG$2,'Atividades Micro'!$G211="Macro",'Atividades Micro'!$K211&lt;&gt;""),'Atividades Micro'!$K211,"")</f>
        <v/>
      </c>
      <c r="BH191" s="21" t="str">
        <f>IF(AND('Atividades Micro'!$B211=BH$2,'Atividades Micro'!$G211="Macro",'Atividades Micro'!$K211&lt;&gt;""),'Atividades Micro'!$K211,"")</f>
        <v/>
      </c>
      <c r="BI191" s="21" t="str">
        <f>IF(AND('Atividades Micro'!$B211=BI$2,'Atividades Micro'!$G211="Macro",'Atividades Micro'!$K211&lt;&gt;""),'Atividades Micro'!$K211,"")</f>
        <v/>
      </c>
      <c r="BJ191" s="21" t="str">
        <f>IF(AND('Atividades Micro'!$B211=BJ$2,'Atividades Micro'!$G211="Macro",'Atividades Micro'!$K211&lt;&gt;""),'Atividades Micro'!$K211,"")</f>
        <v/>
      </c>
      <c r="BK191" s="21" t="str">
        <f>IF(AND('Atividades Micro'!$B211=BK$2,'Atividades Micro'!$G211="Macro",'Atividades Micro'!$K211&lt;&gt;""),'Atividades Micro'!$K211,"")</f>
        <v/>
      </c>
      <c r="BL191" s="21" t="str">
        <f>IF(AND('Atividades Micro'!$B211=BL$2,'Atividades Micro'!$G211="Macro",'Atividades Micro'!$K211&lt;&gt;""),'Atividades Micro'!$K211,"")</f>
        <v/>
      </c>
      <c r="BM191" s="21" t="str">
        <f>IF(AND('Atividades Micro'!$B211=BM$2,'Atividades Micro'!$G211="Macro",'Atividades Micro'!$K211&lt;&gt;""),'Atividades Micro'!$K211,"")</f>
        <v/>
      </c>
      <c r="BN191" s="21" t="str">
        <f>IF(AND('Atividades Micro'!$B211=BN$2,'Atividades Micro'!$G211="Macro",'Atividades Micro'!$K211&lt;&gt;""),'Atividades Micro'!$K211,"")</f>
        <v/>
      </c>
      <c r="BO191" s="21" t="str">
        <f>IF(AND('Atividades Micro'!$B211=BO$2,'Atividades Micro'!$G211="Macro",'Atividades Micro'!$K211&lt;&gt;""),'Atividades Micro'!$K211,"")</f>
        <v/>
      </c>
      <c r="BP191" s="21" t="str">
        <f>IF(AND('Atividades Micro'!$B211=BP$2,'Atividades Micro'!$G211="Macro",'Atividades Micro'!$K211&lt;&gt;""),'Atividades Micro'!$K211,"")</f>
        <v/>
      </c>
      <c r="BQ191" s="21" t="str">
        <f>IF(AND('Atividades Micro'!$B211=BQ$2,'Atividades Micro'!$G211="Macro",'Atividades Micro'!$K211&lt;&gt;""),'Atividades Micro'!$K211,"")</f>
        <v/>
      </c>
      <c r="BR191" s="21" t="str">
        <f>IF(AND('Atividades Micro'!$B211=BR$2,'Atividades Micro'!$G211="Macro",'Atividades Micro'!$K211&lt;&gt;""),'Atividades Micro'!$K211,"")</f>
        <v/>
      </c>
      <c r="BS191" s="21" t="str">
        <f>IF(AND('Atividades Micro'!$B211=BS$2,'Atividades Micro'!$G211="Macro",'Atividades Micro'!$K211&lt;&gt;""),'Atividades Micro'!$K211,"")</f>
        <v/>
      </c>
      <c r="BT191" s="21" t="str">
        <f>IF(AND('Atividades Micro'!$B211=BT$2,'Atividades Micro'!$G211="Macro",'Atividades Micro'!$K211&lt;&gt;""),'Atividades Micro'!$K211,"")</f>
        <v/>
      </c>
      <c r="BU191" s="21" t="str">
        <f>IF(AND('Atividades Micro'!$B211=BU$2,'Atividades Micro'!$G211="Macro",'Atividades Micro'!$K211&lt;&gt;""),'Atividades Micro'!$K211,"")</f>
        <v/>
      </c>
      <c r="BV191" s="21" t="str">
        <f>IF(AND('Atividades Micro'!$B211=BV$2,'Atividades Micro'!$G211="Macro",'Atividades Micro'!$K211&lt;&gt;""),'Atividades Micro'!$K211,"")</f>
        <v/>
      </c>
      <c r="BW191" s="21" t="str">
        <f>IF(AND('Atividades Micro'!$B211=BW$2,'Atividades Micro'!$G211="Macro",'Atividades Micro'!$K211&lt;&gt;""),'Atividades Micro'!$K211,"")</f>
        <v/>
      </c>
      <c r="BX191" s="21" t="str">
        <f>IF(AND('Atividades Micro'!$B211=BX$2,'Atividades Micro'!$G211="Macro",'Atividades Micro'!$K211&lt;&gt;""),'Atividades Micro'!$K211,"")</f>
        <v/>
      </c>
      <c r="BY191" s="21" t="str">
        <f>IF(AND('Atividades Micro'!$B211=BY$2,'Atividades Micro'!$G211="Macro",'Atividades Micro'!$K211&lt;&gt;""),'Atividades Micro'!$K211,"")</f>
        <v/>
      </c>
      <c r="BZ191" s="21" t="str">
        <f>IF(AND('Atividades Micro'!$B211=BZ$2,'Atividades Micro'!$G211="Macro",'Atividades Micro'!$K211&lt;&gt;""),'Atividades Micro'!$K211,"")</f>
        <v/>
      </c>
      <c r="CA191" s="21" t="str">
        <f>IF(AND('Atividades Micro'!$B211=CA$2,'Atividades Micro'!$G211="Macro",'Atividades Micro'!$K211&lt;&gt;""),'Atividades Micro'!$K211,"")</f>
        <v/>
      </c>
      <c r="CB191" s="21" t="str">
        <f>IF(AND('Atividades Micro'!$B211=CB$2,'Atividades Micro'!$G211="Macro",'Atividades Micro'!$K211&lt;&gt;""),'Atividades Micro'!$K211,"")</f>
        <v/>
      </c>
      <c r="CC191" s="21" t="str">
        <f>IF(AND('Atividades Micro'!$B211=CC$2,'Atividades Micro'!$G211="Macro",'Atividades Micro'!$K211&lt;&gt;""),'Atividades Micro'!$K211,"")</f>
        <v/>
      </c>
      <c r="CD191" s="21" t="str">
        <f>IF(AND('Atividades Micro'!$B211=CD$2,'Atividades Micro'!$G211="Micro",'Atividades Micro'!$K211&lt;&gt;""),'Atividades Micro'!$K211,"")</f>
        <v/>
      </c>
      <c r="CE191" s="21" t="str">
        <f>IF(AND('Atividades Micro'!$B211=CE$2,'Atividades Micro'!$G211="Micro",'Atividades Micro'!$K211&lt;&gt;""),'Atividades Micro'!$K211,"")</f>
        <v/>
      </c>
      <c r="CF191" s="21" t="str">
        <f>IF(AND('Atividades Micro'!$B211=CF$2,'Atividades Micro'!$G211="Micro",'Atividades Micro'!$K211&lt;&gt;""),'Atividades Micro'!$K211,"")</f>
        <v/>
      </c>
      <c r="CG191" s="21" t="str">
        <f>IF(AND('Atividades Micro'!$B211=CG$2,'Atividades Micro'!$G211="Micro",'Atividades Micro'!$K211&lt;&gt;""),'Atividades Micro'!$K211,"")</f>
        <v/>
      </c>
      <c r="CH191" s="21" t="str">
        <f>IF(AND('Atividades Micro'!$B211=CH$2,'Atividades Micro'!$G211="Micro",'Atividades Micro'!$K211&lt;&gt;""),'Atividades Micro'!$K211,"")</f>
        <v/>
      </c>
      <c r="CI191" s="21" t="str">
        <f>IF(AND('Atividades Micro'!$B211=CI$2,'Atividades Micro'!$G211="Micro",'Atividades Micro'!$K211&lt;&gt;""),'Atividades Micro'!$K211,"")</f>
        <v/>
      </c>
      <c r="CJ191" s="21" t="str">
        <f>IF(AND('Atividades Micro'!$B211=CJ$2,'Atividades Micro'!$G211="Micro",'Atividades Micro'!$K211&lt;&gt;""),'Atividades Micro'!$K211,"")</f>
        <v/>
      </c>
      <c r="CK191" s="21">
        <f>IF(AND('Atividades Micro'!$B211=CK$2,'Atividades Micro'!$G211="Micro",'Atividades Micro'!$K211&lt;&gt;""),'Atividades Micro'!$K211,"")</f>
        <v>46241</v>
      </c>
      <c r="CL191" s="21" t="str">
        <f>IF(AND('Atividades Micro'!$B211=CL$2,'Atividades Micro'!$G211="Micro",'Atividades Micro'!$K211&lt;&gt;""),'Atividades Micro'!$K211,"")</f>
        <v/>
      </c>
      <c r="CM191" s="21" t="str">
        <f>IF(AND('Atividades Micro'!$B211=CM$2,'Atividades Micro'!$G211="Micro",'Atividades Micro'!$K211&lt;&gt;""),'Atividades Micro'!$K211,"")</f>
        <v/>
      </c>
      <c r="CN191" s="21" t="str">
        <f>IF(AND('Atividades Micro'!$B211=CN$2,'Atividades Micro'!$G211="Micro",'Atividades Micro'!$K211&lt;&gt;""),'Atividades Micro'!$K211,"")</f>
        <v/>
      </c>
      <c r="CO191" s="21" t="str">
        <f>IF(AND('Atividades Micro'!$B211=CO$2,'Atividades Micro'!$G211="Micro",'Atividades Micro'!$K211&lt;&gt;""),'Atividades Micro'!$K211,"")</f>
        <v/>
      </c>
    </row>
    <row r="192" spans="1:93">
      <c r="A192" s="21" t="str">
        <f>IF(AND('Atividades Micro'!$A212=A$2,'Atividades Micro'!$K212&lt;&gt;""),'Atividades Micro'!$K212,"")</f>
        <v/>
      </c>
      <c r="B192" s="21" t="str">
        <f>IF(AND('Atividades Micro'!$A212=B$2,'Atividades Micro'!$L212&lt;&gt;""),'Atividades Micro'!$L212,"")</f>
        <v/>
      </c>
      <c r="C192" s="21" t="str">
        <f>IF(AND('Atividades Micro'!$A212=C$2,'Atividades Micro'!$K212&lt;&gt;""),'Atividades Micro'!$K212,"")</f>
        <v/>
      </c>
      <c r="D192" s="21" t="str">
        <f>IF(AND('Atividades Micro'!$A212=D$2,'Atividades Micro'!$L212&lt;&gt;""),'Atividades Micro'!$L212,"")</f>
        <v/>
      </c>
      <c r="E192" s="21" t="str">
        <f>IF(AND('Atividades Micro'!$A212=E$2,'Atividades Micro'!$K212&lt;&gt;""),'Atividades Micro'!$K212,"")</f>
        <v/>
      </c>
      <c r="F192" s="21" t="str">
        <f>IF(AND('Atividades Micro'!$A212=F$2,'Atividades Micro'!$L212&lt;&gt;""),'Atividades Micro'!$L212,"")</f>
        <v/>
      </c>
      <c r="G192" s="21" t="str">
        <f>IF(AND('Atividades Micro'!$A212=G$2,'Atividades Micro'!$K212&lt;&gt;""),'Atividades Micro'!$K212,"")</f>
        <v/>
      </c>
      <c r="H192" s="21" t="str">
        <f>IF(AND('Atividades Micro'!$A212=H$2,'Atividades Micro'!$L212&lt;&gt;""),'Atividades Micro'!$L212,"")</f>
        <v/>
      </c>
      <c r="I192" s="21" t="str">
        <f>IF(AND('Atividades Micro'!$A212=I$2,'Atividades Micro'!$K212&lt;&gt;""),'Atividades Micro'!$K212,"")</f>
        <v/>
      </c>
      <c r="J192" s="21" t="str">
        <f>IF(AND('Atividades Micro'!$A212=J$2,'Atividades Micro'!$L212&lt;&gt;""),'Atividades Micro'!$L212,"")</f>
        <v/>
      </c>
      <c r="K192" s="21" t="str">
        <f>IF(AND('Atividades Micro'!$B212=K$2,'Atividades Micro'!$K212&lt;&gt;""),'Atividades Micro'!$K212,"")</f>
        <v/>
      </c>
      <c r="L192" s="21" t="str">
        <f>IF(AND('Atividades Micro'!$B212=L$2,'Atividades Micro'!$L212&lt;&gt;""),'Atividades Micro'!$L212,"")</f>
        <v/>
      </c>
      <c r="M192" s="21" t="str">
        <f>IF(AND('Atividades Micro'!$B212=M$2,'Atividades Micro'!$K212&lt;&gt;""),'Atividades Micro'!$K212,"")</f>
        <v/>
      </c>
      <c r="N192" s="21" t="str">
        <f>IF(AND('Atividades Micro'!$B212=N$2,'Atividades Micro'!$L212&lt;&gt;""),'Atividades Micro'!$L212,"")</f>
        <v/>
      </c>
      <c r="O192" s="21" t="str">
        <f>IF(AND('Atividades Micro'!$A212=O$2,'Atividades Micro'!$K212&lt;&gt;""),'Atividades Micro'!$K212,"")</f>
        <v/>
      </c>
      <c r="P192" s="21" t="str">
        <f>IF(AND('Atividades Micro'!$A212=P$2,'Atividades Micro'!$L212&lt;&gt;""),'Atividades Micro'!$L212,"")</f>
        <v/>
      </c>
      <c r="Q192" s="21" t="str">
        <f>IF(AND('Atividades Micro'!$B212=Q$2,'Atividades Micro'!$K212&lt;&gt;""),'Atividades Micro'!$K212,"")</f>
        <v/>
      </c>
      <c r="R192" s="21" t="str">
        <f>IF(AND('Atividades Micro'!$B212=R$2,'Atividades Micro'!$L212&lt;&gt;""),'Atividades Micro'!$L212,"")</f>
        <v/>
      </c>
      <c r="S192" s="21" t="str">
        <f>IF(AND('Atividades Micro'!$A212=S$2,'Atividades Micro'!$K212&lt;&gt;""),'Atividades Micro'!$K212,"")</f>
        <v/>
      </c>
      <c r="T192" s="21" t="str">
        <f>IF(AND('Atividades Micro'!$A212=T$2,'Atividades Micro'!$L212&lt;&gt;""),'Atividades Micro'!$L212,"")</f>
        <v/>
      </c>
      <c r="U192" s="21" t="str">
        <f>IF(AND('Atividades Micro'!$B212=U$2,'Atividades Micro'!$K212&lt;&gt;""),'Atividades Micro'!$K212,"")</f>
        <v/>
      </c>
      <c r="V192" s="21" t="str">
        <f>IF(AND('Atividades Micro'!$B212=V$2,'Atividades Micro'!$L212&lt;&gt;""),'Atividades Micro'!$L212,"")</f>
        <v/>
      </c>
      <c r="W192" s="21" t="str">
        <f>IF(AND('Atividades Micro'!$B212=W$2,'Atividades Micro'!$K212&lt;&gt;""),'Atividades Micro'!$K212,"")</f>
        <v/>
      </c>
      <c r="X192" s="21" t="str">
        <f>IF(AND('Atividades Micro'!$B212=X$2,'Atividades Micro'!$L212&lt;&gt;""),'Atividades Micro'!$L212,"")</f>
        <v/>
      </c>
      <c r="Y192" s="21" t="str">
        <f>IF(AND('Atividades Micro'!$A212=Y$2,'Atividades Micro'!$K212&lt;&gt;""),'Atividades Micro'!$K212,"")</f>
        <v/>
      </c>
      <c r="Z192" s="21" t="str">
        <f>IF(AND('Atividades Micro'!$A212=Z$2,'Atividades Micro'!$L212&lt;&gt;""),'Atividades Micro'!$L212,"")</f>
        <v/>
      </c>
      <c r="AA192" s="21" t="str">
        <f>IF(AND('Atividades Micro'!$B212=AA$2,'Atividades Micro'!$K212&lt;&gt;""),'Atividades Micro'!$K212,"")</f>
        <v/>
      </c>
      <c r="AB192" s="21" t="str">
        <f>IF(AND('Atividades Micro'!$B212=AB$2,'Atividades Micro'!$L212&lt;&gt;""),'Atividades Micro'!$L212,"")</f>
        <v/>
      </c>
      <c r="AC192" s="21" t="str">
        <f>IF(AND('Atividades Micro'!$B212=AC$2,'Atividades Micro'!$K212&lt;&gt;""),'Atividades Micro'!$K212,"")</f>
        <v/>
      </c>
      <c r="AD192" s="21" t="str">
        <f>IF(AND('Atividades Micro'!$B212=AD$2,'Atividades Micro'!$L212&lt;&gt;""),'Atividades Micro'!$L212,"")</f>
        <v/>
      </c>
      <c r="AE192" s="21">
        <f>IF(AND('Atividades Micro'!$A212=AE$2,'Atividades Micro'!$K212&lt;&gt;""),'Atividades Micro'!$K212,"")</f>
        <v>46258</v>
      </c>
      <c r="AF192" s="21">
        <f>IF(AND('Atividades Micro'!$A212=AF$2,'Atividades Micro'!$L212&lt;&gt;""),'Atividades Micro'!$L212,"")</f>
        <v>46258</v>
      </c>
      <c r="AG192" s="21">
        <f>IF(AND('Atividades Micro'!$B212=AG$2,'Atividades Micro'!$K212&lt;&gt;""),'Atividades Micro'!$K212,"")</f>
        <v>46258</v>
      </c>
      <c r="AH192" s="21">
        <f>IF(AND('Atividades Micro'!$B212=AH$2,'Atividades Micro'!$L212&lt;&gt;""),'Atividades Micro'!$L212,"")</f>
        <v>46258</v>
      </c>
      <c r="AI192" s="21" t="str">
        <f>IF(AND('Atividades Micro'!$B212=AI$2,'Atividades Micro'!$K212&lt;&gt;""),'Atividades Micro'!$K212,"")</f>
        <v/>
      </c>
      <c r="AJ192" s="21" t="str">
        <f>IF(AND('Atividades Micro'!$B212=AJ$2,'Atividades Micro'!$L212&lt;&gt;""),'Atividades Micro'!$L212,"")</f>
        <v/>
      </c>
      <c r="AK192" s="21" t="str">
        <f>IF(AND('Atividades Micro'!$A212=AK$2,'Atividades Micro'!$K212&lt;&gt;""),'Atividades Micro'!$K212,"")</f>
        <v/>
      </c>
      <c r="AL192" s="21" t="str">
        <f>IF(AND('Atividades Micro'!$A212=AL$2,'Atividades Micro'!$L212&lt;&gt;""),'Atividades Micro'!$L212,"")</f>
        <v/>
      </c>
      <c r="AM192" s="21" t="str">
        <f>IF(AND('Atividades Micro'!$B212=AM$2,'Atividades Micro'!$K212&lt;&gt;""),'Atividades Micro'!$K212,"")</f>
        <v/>
      </c>
      <c r="AN192" s="21" t="str">
        <f>IF(AND('Atividades Micro'!$B212=AN$2,'Atividades Micro'!$L212&lt;&gt;""),'Atividades Micro'!$L212,"")</f>
        <v/>
      </c>
      <c r="AO192" s="21" t="str">
        <f>IF(AND('Atividades Micro'!$B212=AO$2,'Atividades Micro'!$K212&lt;&gt;""),'Atividades Micro'!$K212,"")</f>
        <v/>
      </c>
      <c r="AP192" s="21" t="str">
        <f>IF(AND('Atividades Micro'!$B212=AP$2,'Atividades Micro'!$L212&lt;&gt;""),'Atividades Micro'!$L212,"")</f>
        <v/>
      </c>
      <c r="AQ192" s="21" t="str">
        <f>IF(AND('Atividades Micro'!$A212=AQ$2,'Atividades Micro'!$K212&lt;&gt;""),'Atividades Micro'!$K212,"")</f>
        <v/>
      </c>
      <c r="AR192" s="21" t="str">
        <f>IF(AND('Atividades Micro'!$A212=AR$2,'Atividades Micro'!$L212&lt;&gt;""),'Atividades Micro'!$L212,"")</f>
        <v/>
      </c>
      <c r="AS192" s="21" t="str">
        <f>IF(AND('Atividades Micro'!$B212=AS$2,'Atividades Micro'!$K212&lt;&gt;""),'Atividades Micro'!$K212,"")</f>
        <v/>
      </c>
      <c r="AT192" s="21" t="str">
        <f>IF(AND('Atividades Micro'!$B212=AT$2,'Atividades Micro'!$L212&lt;&gt;""),'Atividades Micro'!$L212,"")</f>
        <v/>
      </c>
      <c r="AU192" s="21" t="str">
        <f>IF(AND('Atividades Micro'!$A212=AU$2,'Atividades Micro'!$K212&lt;&gt;""),'Atividades Micro'!$K212,"")</f>
        <v/>
      </c>
      <c r="AV192" s="21" t="str">
        <f>IF(AND('Atividades Micro'!$A212=AV$2,'Atividades Micro'!$L212&lt;&gt;""),'Atividades Micro'!$L212,"")</f>
        <v/>
      </c>
      <c r="AW192" s="21" t="str">
        <f>IF(AND('Atividades Micro'!$B212=AW$2,'Atividades Micro'!$K212&lt;&gt;""),'Atividades Micro'!$K212,"")</f>
        <v/>
      </c>
      <c r="AX192" s="21" t="str">
        <f>IF(AND('Atividades Micro'!$B212=AX$2,'Atividades Micro'!$L212&lt;&gt;""),'Atividades Micro'!$L212,"")</f>
        <v/>
      </c>
      <c r="AY192" s="21" t="str">
        <f>IF(AND('Atividades Micro'!$A212=AY$2,'Atividades Micro'!$K212&lt;&gt;""),'Atividades Micro'!$K212,"")</f>
        <v/>
      </c>
      <c r="AZ192" s="21" t="str">
        <f>IF(AND('Atividades Micro'!$A212=AZ$2,'Atividades Micro'!$L212&lt;&gt;""),'Atividades Micro'!$L212,"")</f>
        <v/>
      </c>
      <c r="BA192" s="21" t="str">
        <f>IF(AND('Atividades Micro'!$B212=BA$2,'Atividades Micro'!$K212&lt;&gt;""),'Atividades Micro'!$K212,"")</f>
        <v/>
      </c>
      <c r="BB192" s="21" t="str">
        <f>IF(AND('Atividades Micro'!$B212=BB$2,'Atividades Micro'!$L212&lt;&gt;""),'Atividades Micro'!$L212,"")</f>
        <v/>
      </c>
      <c r="BC192" s="21" t="str">
        <f>IF(AND('Atividades Micro'!$B212=BC$2,'Atividades Micro'!$G212="Macro",'Atividades Micro'!$K212&lt;&gt;""),'Atividades Micro'!$K212,"")</f>
        <v/>
      </c>
      <c r="BD192" s="21" t="str">
        <f>IF(AND('Atividades Micro'!$B212=BD$2,'Atividades Micro'!$G212="Macro",'Atividades Micro'!$K212&lt;&gt;""),'Atividades Micro'!$K212,"")</f>
        <v/>
      </c>
      <c r="BE192" s="21" t="str">
        <f>IF(AND('Atividades Micro'!$B212=BE$2,'Atividades Micro'!$G212="Macro",'Atividades Micro'!$K212&lt;&gt;""),'Atividades Micro'!$K212,"")</f>
        <v/>
      </c>
      <c r="BF192" s="21" t="str">
        <f>IF(AND('Atividades Micro'!$B212=BF$2,'Atividades Micro'!$G212="Macro",'Atividades Micro'!$K212&lt;&gt;""),'Atividades Micro'!$K212,"")</f>
        <v/>
      </c>
      <c r="BG192" s="21" t="str">
        <f>IF(AND('Atividades Micro'!$B212=BG$2,'Atividades Micro'!$G212="Macro",'Atividades Micro'!$K212&lt;&gt;""),'Atividades Micro'!$K212,"")</f>
        <v/>
      </c>
      <c r="BH192" s="21" t="str">
        <f>IF(AND('Atividades Micro'!$B212=BH$2,'Atividades Micro'!$G212="Macro",'Atividades Micro'!$K212&lt;&gt;""),'Atividades Micro'!$K212,"")</f>
        <v/>
      </c>
      <c r="BI192" s="21" t="str">
        <f>IF(AND('Atividades Micro'!$B212=BI$2,'Atividades Micro'!$G212="Macro",'Atividades Micro'!$K212&lt;&gt;""),'Atividades Micro'!$K212,"")</f>
        <v/>
      </c>
      <c r="BJ192" s="21" t="str">
        <f>IF(AND('Atividades Micro'!$B212=BJ$2,'Atividades Micro'!$G212="Macro",'Atividades Micro'!$K212&lt;&gt;""),'Atividades Micro'!$K212,"")</f>
        <v/>
      </c>
      <c r="BK192" s="21" t="str">
        <f>IF(AND('Atividades Micro'!$B212=BK$2,'Atividades Micro'!$G212="Macro",'Atividades Micro'!$K212&lt;&gt;""),'Atividades Micro'!$K212,"")</f>
        <v/>
      </c>
      <c r="BL192" s="21" t="str">
        <f>IF(AND('Atividades Micro'!$B212=BL$2,'Atividades Micro'!$G212="Macro",'Atividades Micro'!$K212&lt;&gt;""),'Atividades Micro'!$K212,"")</f>
        <v/>
      </c>
      <c r="BM192" s="21" t="str">
        <f>IF(AND('Atividades Micro'!$B212=BM$2,'Atividades Micro'!$G212="Macro",'Atividades Micro'!$K212&lt;&gt;""),'Atividades Micro'!$K212,"")</f>
        <v/>
      </c>
      <c r="BN192" s="21" t="str">
        <f>IF(AND('Atividades Micro'!$B212=BN$2,'Atividades Micro'!$G212="Macro",'Atividades Micro'!$K212&lt;&gt;""),'Atividades Micro'!$K212,"")</f>
        <v/>
      </c>
      <c r="BO192" s="21" t="str">
        <f>IF(AND('Atividades Micro'!$B212=BO$2,'Atividades Micro'!$G212="Macro",'Atividades Micro'!$K212&lt;&gt;""),'Atividades Micro'!$K212,"")</f>
        <v/>
      </c>
      <c r="BP192" s="21" t="str">
        <f>IF(AND('Atividades Micro'!$B212=BP$2,'Atividades Micro'!$G212="Macro",'Atividades Micro'!$K212&lt;&gt;""),'Atividades Micro'!$K212,"")</f>
        <v/>
      </c>
      <c r="BQ192" s="21" t="str">
        <f>IF(AND('Atividades Micro'!$B212=BQ$2,'Atividades Micro'!$G212="Macro",'Atividades Micro'!$K212&lt;&gt;""),'Atividades Micro'!$K212,"")</f>
        <v/>
      </c>
      <c r="BR192" s="21" t="str">
        <f>IF(AND('Atividades Micro'!$B212=BR$2,'Atividades Micro'!$G212="Macro",'Atividades Micro'!$K212&lt;&gt;""),'Atividades Micro'!$K212,"")</f>
        <v/>
      </c>
      <c r="BS192" s="21" t="str">
        <f>IF(AND('Atividades Micro'!$B212=BS$2,'Atividades Micro'!$G212="Macro",'Atividades Micro'!$K212&lt;&gt;""),'Atividades Micro'!$K212,"")</f>
        <v/>
      </c>
      <c r="BT192" s="21" t="str">
        <f>IF(AND('Atividades Micro'!$B212=BT$2,'Atividades Micro'!$G212="Macro",'Atividades Micro'!$K212&lt;&gt;""),'Atividades Micro'!$K212,"")</f>
        <v/>
      </c>
      <c r="BU192" s="21" t="str">
        <f>IF(AND('Atividades Micro'!$B212=BU$2,'Atividades Micro'!$G212="Macro",'Atividades Micro'!$K212&lt;&gt;""),'Atividades Micro'!$K212,"")</f>
        <v/>
      </c>
      <c r="BV192" s="21" t="str">
        <f>IF(AND('Atividades Micro'!$B212=BV$2,'Atividades Micro'!$G212="Macro",'Atividades Micro'!$K212&lt;&gt;""),'Atividades Micro'!$K212,"")</f>
        <v/>
      </c>
      <c r="BW192" s="21" t="str">
        <f>IF(AND('Atividades Micro'!$B212=BW$2,'Atividades Micro'!$G212="Macro",'Atividades Micro'!$K212&lt;&gt;""),'Atividades Micro'!$K212,"")</f>
        <v/>
      </c>
      <c r="BX192" s="21" t="str">
        <f>IF(AND('Atividades Micro'!$B212=BX$2,'Atividades Micro'!$G212="Macro",'Atividades Micro'!$K212&lt;&gt;""),'Atividades Micro'!$K212,"")</f>
        <v/>
      </c>
      <c r="BY192" s="21" t="str">
        <f>IF(AND('Atividades Micro'!$B212=BY$2,'Atividades Micro'!$G212="Macro",'Atividades Micro'!$K212&lt;&gt;""),'Atividades Micro'!$K212,"")</f>
        <v/>
      </c>
      <c r="BZ192" s="21" t="str">
        <f>IF(AND('Atividades Micro'!$B212=BZ$2,'Atividades Micro'!$G212="Macro",'Atividades Micro'!$K212&lt;&gt;""),'Atividades Micro'!$K212,"")</f>
        <v/>
      </c>
      <c r="CA192" s="21" t="str">
        <f>IF(AND('Atividades Micro'!$B212=CA$2,'Atividades Micro'!$G212="Macro",'Atividades Micro'!$K212&lt;&gt;""),'Atividades Micro'!$K212,"")</f>
        <v/>
      </c>
      <c r="CB192" s="21" t="str">
        <f>IF(AND('Atividades Micro'!$B212=CB$2,'Atividades Micro'!$G212="Macro",'Atividades Micro'!$K212&lt;&gt;""),'Atividades Micro'!$K212,"")</f>
        <v/>
      </c>
      <c r="CC192" s="21" t="str">
        <f>IF(AND('Atividades Micro'!$B212=CC$2,'Atividades Micro'!$G212="Macro",'Atividades Micro'!$K212&lt;&gt;""),'Atividades Micro'!$K212,"")</f>
        <v/>
      </c>
      <c r="CD192" s="21" t="str">
        <f>IF(AND('Atividades Micro'!$B212=CD$2,'Atividades Micro'!$G212="Micro",'Atividades Micro'!$K212&lt;&gt;""),'Atividades Micro'!$K212,"")</f>
        <v/>
      </c>
      <c r="CE192" s="21" t="str">
        <f>IF(AND('Atividades Micro'!$B212=CE$2,'Atividades Micro'!$G212="Micro",'Atividades Micro'!$K212&lt;&gt;""),'Atividades Micro'!$K212,"")</f>
        <v/>
      </c>
      <c r="CF192" s="21" t="str">
        <f>IF(AND('Atividades Micro'!$B212=CF$2,'Atividades Micro'!$G212="Micro",'Atividades Micro'!$K212&lt;&gt;""),'Atividades Micro'!$K212,"")</f>
        <v/>
      </c>
      <c r="CG192" s="21" t="str">
        <f>IF(AND('Atividades Micro'!$B212=CG$2,'Atividades Micro'!$G212="Micro",'Atividades Micro'!$K212&lt;&gt;""),'Atividades Micro'!$K212,"")</f>
        <v/>
      </c>
      <c r="CH192" s="21" t="str">
        <f>IF(AND('Atividades Micro'!$B212=CH$2,'Atividades Micro'!$G212="Micro",'Atividades Micro'!$K212&lt;&gt;""),'Atividades Micro'!$K212,"")</f>
        <v/>
      </c>
      <c r="CI192" s="21" t="str">
        <f>IF(AND('Atividades Micro'!$B212=CI$2,'Atividades Micro'!$G212="Micro",'Atividades Micro'!$K212&lt;&gt;""),'Atividades Micro'!$K212,"")</f>
        <v/>
      </c>
      <c r="CJ192" s="21" t="str">
        <f>IF(AND('Atividades Micro'!$B212=CJ$2,'Atividades Micro'!$G212="Micro",'Atividades Micro'!$K212&lt;&gt;""),'Atividades Micro'!$K212,"")</f>
        <v/>
      </c>
      <c r="CK192" s="21">
        <f>IF(AND('Atividades Micro'!$B212=CK$2,'Atividades Micro'!$G212="Micro",'Atividades Micro'!$K212&lt;&gt;""),'Atividades Micro'!$K212,"")</f>
        <v>46258</v>
      </c>
      <c r="CL192" s="21" t="str">
        <f>IF(AND('Atividades Micro'!$B212=CL$2,'Atividades Micro'!$G212="Micro",'Atividades Micro'!$K212&lt;&gt;""),'Atividades Micro'!$K212,"")</f>
        <v/>
      </c>
      <c r="CM192" s="21" t="str">
        <f>IF(AND('Atividades Micro'!$B212=CM$2,'Atividades Micro'!$G212="Micro",'Atividades Micro'!$K212&lt;&gt;""),'Atividades Micro'!$K212,"")</f>
        <v/>
      </c>
      <c r="CN192" s="21" t="str">
        <f>IF(AND('Atividades Micro'!$B212=CN$2,'Atividades Micro'!$G212="Micro",'Atividades Micro'!$K212&lt;&gt;""),'Atividades Micro'!$K212,"")</f>
        <v/>
      </c>
      <c r="CO192" s="21" t="str">
        <f>IF(AND('Atividades Micro'!$B212=CO$2,'Atividades Micro'!$G212="Micro",'Atividades Micro'!$K212&lt;&gt;""),'Atividades Micro'!$K212,"")</f>
        <v/>
      </c>
    </row>
    <row r="193" spans="1:93">
      <c r="A193" s="21" t="str">
        <f>IF(AND('Atividades Micro'!$A215=A$2,'Atividades Micro'!$K215&lt;&gt;""),'Atividades Micro'!$K215,"")</f>
        <v/>
      </c>
      <c r="B193" s="21" t="str">
        <f>IF(AND('Atividades Micro'!$A215=B$2,'Atividades Micro'!$L215&lt;&gt;""),'Atividades Micro'!$L215,"")</f>
        <v/>
      </c>
      <c r="C193" s="21" t="str">
        <f>IF(AND('Atividades Micro'!$A215=C$2,'Atividades Micro'!$K215&lt;&gt;""),'Atividades Micro'!$K215,"")</f>
        <v/>
      </c>
      <c r="D193" s="21" t="str">
        <f>IF(AND('Atividades Micro'!$A215=D$2,'Atividades Micro'!$L215&lt;&gt;""),'Atividades Micro'!$L215,"")</f>
        <v/>
      </c>
      <c r="E193" s="21" t="str">
        <f>IF(AND('Atividades Micro'!$A215=E$2,'Atividades Micro'!$K215&lt;&gt;""),'Atividades Micro'!$K215,"")</f>
        <v/>
      </c>
      <c r="F193" s="21" t="str">
        <f>IF(AND('Atividades Micro'!$A215=F$2,'Atividades Micro'!$L215&lt;&gt;""),'Atividades Micro'!$L215,"")</f>
        <v/>
      </c>
      <c r="G193" s="21" t="str">
        <f>IF(AND('Atividades Micro'!$A215=G$2,'Atividades Micro'!$K215&lt;&gt;""),'Atividades Micro'!$K215,"")</f>
        <v/>
      </c>
      <c r="H193" s="21" t="str">
        <f>IF(AND('Atividades Micro'!$A215=H$2,'Atividades Micro'!$L215&lt;&gt;""),'Atividades Micro'!$L215,"")</f>
        <v/>
      </c>
      <c r="I193" s="21" t="str">
        <f>IF(AND('Atividades Micro'!$A215=I$2,'Atividades Micro'!$K215&lt;&gt;""),'Atividades Micro'!$K215,"")</f>
        <v/>
      </c>
      <c r="J193" s="21" t="str">
        <f>IF(AND('Atividades Micro'!$A215=J$2,'Atividades Micro'!$L215&lt;&gt;""),'Atividades Micro'!$L215,"")</f>
        <v/>
      </c>
      <c r="K193" s="21" t="str">
        <f>IF(AND('Atividades Micro'!$B215=K$2,'Atividades Micro'!$K215&lt;&gt;""),'Atividades Micro'!$K215,"")</f>
        <v/>
      </c>
      <c r="L193" s="21" t="str">
        <f>IF(AND('Atividades Micro'!$B215=L$2,'Atividades Micro'!$L215&lt;&gt;""),'Atividades Micro'!$L215,"")</f>
        <v/>
      </c>
      <c r="M193" s="21" t="str">
        <f>IF(AND('Atividades Micro'!$B215=M$2,'Atividades Micro'!$K215&lt;&gt;""),'Atividades Micro'!$K215,"")</f>
        <v/>
      </c>
      <c r="N193" s="21" t="str">
        <f>IF(AND('Atividades Micro'!$B215=N$2,'Atividades Micro'!$L215&lt;&gt;""),'Atividades Micro'!$L215,"")</f>
        <v/>
      </c>
      <c r="O193" s="21" t="str">
        <f>IF(AND('Atividades Micro'!$A215=O$2,'Atividades Micro'!$K215&lt;&gt;""),'Atividades Micro'!$K215,"")</f>
        <v/>
      </c>
      <c r="P193" s="21" t="str">
        <f>IF(AND('Atividades Micro'!$A215=P$2,'Atividades Micro'!$L215&lt;&gt;""),'Atividades Micro'!$L215,"")</f>
        <v/>
      </c>
      <c r="Q193" s="21" t="str">
        <f>IF(AND('Atividades Micro'!$B215=Q$2,'Atividades Micro'!$K215&lt;&gt;""),'Atividades Micro'!$K215,"")</f>
        <v/>
      </c>
      <c r="R193" s="21" t="str">
        <f>IF(AND('Atividades Micro'!$B215=R$2,'Atividades Micro'!$L215&lt;&gt;""),'Atividades Micro'!$L215,"")</f>
        <v/>
      </c>
      <c r="S193" s="21" t="str">
        <f>IF(AND('Atividades Micro'!$A215=S$2,'Atividades Micro'!$K215&lt;&gt;""),'Atividades Micro'!$K215,"")</f>
        <v/>
      </c>
      <c r="T193" s="21" t="str">
        <f>IF(AND('Atividades Micro'!$A215=T$2,'Atividades Micro'!$L215&lt;&gt;""),'Atividades Micro'!$L215,"")</f>
        <v/>
      </c>
      <c r="U193" s="21" t="str">
        <f>IF(AND('Atividades Micro'!$B215=U$2,'Atividades Micro'!$K215&lt;&gt;""),'Atividades Micro'!$K215,"")</f>
        <v/>
      </c>
      <c r="V193" s="21" t="str">
        <f>IF(AND('Atividades Micro'!$B215=V$2,'Atividades Micro'!$L215&lt;&gt;""),'Atividades Micro'!$L215,"")</f>
        <v/>
      </c>
      <c r="W193" s="21" t="str">
        <f>IF(AND('Atividades Micro'!$B215=W$2,'Atividades Micro'!$K215&lt;&gt;""),'Atividades Micro'!$K215,"")</f>
        <v/>
      </c>
      <c r="X193" s="21" t="str">
        <f>IF(AND('Atividades Micro'!$B215=X$2,'Atividades Micro'!$L215&lt;&gt;""),'Atividades Micro'!$L215,"")</f>
        <v/>
      </c>
      <c r="Y193" s="21" t="str">
        <f>IF(AND('Atividades Micro'!$A215=Y$2,'Atividades Micro'!$K215&lt;&gt;""),'Atividades Micro'!$K215,"")</f>
        <v/>
      </c>
      <c r="Z193" s="21" t="str">
        <f>IF(AND('Atividades Micro'!$A215=Z$2,'Atividades Micro'!$L215&lt;&gt;""),'Atividades Micro'!$L215,"")</f>
        <v/>
      </c>
      <c r="AA193" s="21" t="str">
        <f>IF(AND('Atividades Micro'!$B215=AA$2,'Atividades Micro'!$K215&lt;&gt;""),'Atividades Micro'!$K215,"")</f>
        <v/>
      </c>
      <c r="AB193" s="21" t="str">
        <f>IF(AND('Atividades Micro'!$B215=AB$2,'Atividades Micro'!$L215&lt;&gt;""),'Atividades Micro'!$L215,"")</f>
        <v/>
      </c>
      <c r="AC193" s="21" t="str">
        <f>IF(AND('Atividades Micro'!$B215=AC$2,'Atividades Micro'!$K215&lt;&gt;""),'Atividades Micro'!$K215,"")</f>
        <v/>
      </c>
      <c r="AD193" s="21" t="str">
        <f>IF(AND('Atividades Micro'!$B215=AD$2,'Atividades Micro'!$L215&lt;&gt;""),'Atividades Micro'!$L215,"")</f>
        <v/>
      </c>
      <c r="AE193" s="21">
        <f>IF(AND('Atividades Micro'!$A215=AE$2,'Atividades Micro'!$K215&lt;&gt;""),'Atividades Micro'!$K215,"")</f>
        <v>46275</v>
      </c>
      <c r="AF193" s="21">
        <f>IF(AND('Atividades Micro'!$A215=AF$2,'Atividades Micro'!$L215&lt;&gt;""),'Atividades Micro'!$L215,"")</f>
        <v>46279</v>
      </c>
      <c r="AG193" s="21">
        <f>IF(AND('Atividades Micro'!$B215=AG$2,'Atividades Micro'!$K215&lt;&gt;""),'Atividades Micro'!$K215,"")</f>
        <v>46275</v>
      </c>
      <c r="AH193" s="21">
        <f>IF(AND('Atividades Micro'!$B215=AH$2,'Atividades Micro'!$L215&lt;&gt;""),'Atividades Micro'!$L215,"")</f>
        <v>46279</v>
      </c>
      <c r="AI193" s="21" t="str">
        <f>IF(AND('Atividades Micro'!$B215=AI$2,'Atividades Micro'!$K215&lt;&gt;""),'Atividades Micro'!$K215,"")</f>
        <v/>
      </c>
      <c r="AJ193" s="21" t="str">
        <f>IF(AND('Atividades Micro'!$B215=AJ$2,'Atividades Micro'!$L215&lt;&gt;""),'Atividades Micro'!$L215,"")</f>
        <v/>
      </c>
      <c r="AK193" s="21" t="str">
        <f>IF(AND('Atividades Micro'!$A215=AK$2,'Atividades Micro'!$K215&lt;&gt;""),'Atividades Micro'!$K215,"")</f>
        <v/>
      </c>
      <c r="AL193" s="21" t="str">
        <f>IF(AND('Atividades Micro'!$A215=AL$2,'Atividades Micro'!$L215&lt;&gt;""),'Atividades Micro'!$L215,"")</f>
        <v/>
      </c>
      <c r="AM193" s="21" t="str">
        <f>IF(AND('Atividades Micro'!$B215=AM$2,'Atividades Micro'!$K215&lt;&gt;""),'Atividades Micro'!$K215,"")</f>
        <v/>
      </c>
      <c r="AN193" s="21" t="str">
        <f>IF(AND('Atividades Micro'!$B215=AN$2,'Atividades Micro'!$L215&lt;&gt;""),'Atividades Micro'!$L215,"")</f>
        <v/>
      </c>
      <c r="AO193" s="21" t="str">
        <f>IF(AND('Atividades Micro'!$B215=AO$2,'Atividades Micro'!$K215&lt;&gt;""),'Atividades Micro'!$K215,"")</f>
        <v/>
      </c>
      <c r="AP193" s="21" t="str">
        <f>IF(AND('Atividades Micro'!$B215=AP$2,'Atividades Micro'!$L215&lt;&gt;""),'Atividades Micro'!$L215,"")</f>
        <v/>
      </c>
      <c r="AQ193" s="21" t="str">
        <f>IF(AND('Atividades Micro'!$A215=AQ$2,'Atividades Micro'!$K215&lt;&gt;""),'Atividades Micro'!$K215,"")</f>
        <v/>
      </c>
      <c r="AR193" s="21" t="str">
        <f>IF(AND('Atividades Micro'!$A215=AR$2,'Atividades Micro'!$L215&lt;&gt;""),'Atividades Micro'!$L215,"")</f>
        <v/>
      </c>
      <c r="AS193" s="21" t="str">
        <f>IF(AND('Atividades Micro'!$B215=AS$2,'Atividades Micro'!$K215&lt;&gt;""),'Atividades Micro'!$K215,"")</f>
        <v/>
      </c>
      <c r="AT193" s="21" t="str">
        <f>IF(AND('Atividades Micro'!$B215=AT$2,'Atividades Micro'!$L215&lt;&gt;""),'Atividades Micro'!$L215,"")</f>
        <v/>
      </c>
      <c r="AU193" s="21" t="str">
        <f>IF(AND('Atividades Micro'!$A215=AU$2,'Atividades Micro'!$K215&lt;&gt;""),'Atividades Micro'!$K215,"")</f>
        <v/>
      </c>
      <c r="AV193" s="21" t="str">
        <f>IF(AND('Atividades Micro'!$A215=AV$2,'Atividades Micro'!$L215&lt;&gt;""),'Atividades Micro'!$L215,"")</f>
        <v/>
      </c>
      <c r="AW193" s="21" t="str">
        <f>IF(AND('Atividades Micro'!$B215=AW$2,'Atividades Micro'!$K215&lt;&gt;""),'Atividades Micro'!$K215,"")</f>
        <v/>
      </c>
      <c r="AX193" s="21" t="str">
        <f>IF(AND('Atividades Micro'!$B215=AX$2,'Atividades Micro'!$L215&lt;&gt;""),'Atividades Micro'!$L215,"")</f>
        <v/>
      </c>
      <c r="AY193" s="21" t="str">
        <f>IF(AND('Atividades Micro'!$A215=AY$2,'Atividades Micro'!$K215&lt;&gt;""),'Atividades Micro'!$K215,"")</f>
        <v/>
      </c>
      <c r="AZ193" s="21" t="str">
        <f>IF(AND('Atividades Micro'!$A215=AZ$2,'Atividades Micro'!$L215&lt;&gt;""),'Atividades Micro'!$L215,"")</f>
        <v/>
      </c>
      <c r="BA193" s="21" t="str">
        <f>IF(AND('Atividades Micro'!$B215=BA$2,'Atividades Micro'!$K215&lt;&gt;""),'Atividades Micro'!$K215,"")</f>
        <v/>
      </c>
      <c r="BB193" s="21" t="str">
        <f>IF(AND('Atividades Micro'!$B215=BB$2,'Atividades Micro'!$L215&lt;&gt;""),'Atividades Micro'!$L215,"")</f>
        <v/>
      </c>
      <c r="BC193" s="21" t="str">
        <f>IF(AND('Atividades Micro'!$B215=BC$2,'Atividades Micro'!$G215="Macro",'Atividades Micro'!$K215&lt;&gt;""),'Atividades Micro'!$K215,"")</f>
        <v/>
      </c>
      <c r="BD193" s="21" t="str">
        <f>IF(AND('Atividades Micro'!$B215=BD$2,'Atividades Micro'!$G215="Macro",'Atividades Micro'!$K215&lt;&gt;""),'Atividades Micro'!$K215,"")</f>
        <v/>
      </c>
      <c r="BE193" s="21" t="str">
        <f>IF(AND('Atividades Micro'!$B215=BE$2,'Atividades Micro'!$G215="Macro",'Atividades Micro'!$K215&lt;&gt;""),'Atividades Micro'!$K215,"")</f>
        <v/>
      </c>
      <c r="BF193" s="21" t="str">
        <f>IF(AND('Atividades Micro'!$B215=BF$2,'Atividades Micro'!$G215="Macro",'Atividades Micro'!$K215&lt;&gt;""),'Atividades Micro'!$K215,"")</f>
        <v/>
      </c>
      <c r="BG193" s="21" t="str">
        <f>IF(AND('Atividades Micro'!$B215=BG$2,'Atividades Micro'!$G215="Macro",'Atividades Micro'!$K215&lt;&gt;""),'Atividades Micro'!$K215,"")</f>
        <v/>
      </c>
      <c r="BH193" s="21" t="str">
        <f>IF(AND('Atividades Micro'!$B215=BH$2,'Atividades Micro'!$G215="Macro",'Atividades Micro'!$K215&lt;&gt;""),'Atividades Micro'!$K215,"")</f>
        <v/>
      </c>
      <c r="BI193" s="21" t="str">
        <f>IF(AND('Atividades Micro'!$B215=BI$2,'Atividades Micro'!$G215="Macro",'Atividades Micro'!$K215&lt;&gt;""),'Atividades Micro'!$K215,"")</f>
        <v/>
      </c>
      <c r="BJ193" s="21" t="str">
        <f>IF(AND('Atividades Micro'!$B215=BJ$2,'Atividades Micro'!$G215="Macro",'Atividades Micro'!$K215&lt;&gt;""),'Atividades Micro'!$K215,"")</f>
        <v/>
      </c>
      <c r="BK193" s="21" t="str">
        <f>IF(AND('Atividades Micro'!$B215=BK$2,'Atividades Micro'!$G215="Macro",'Atividades Micro'!$K215&lt;&gt;""),'Atividades Micro'!$K215,"")</f>
        <v/>
      </c>
      <c r="BL193" s="21" t="str">
        <f>IF(AND('Atividades Micro'!$B215=BL$2,'Atividades Micro'!$G215="Macro",'Atividades Micro'!$K215&lt;&gt;""),'Atividades Micro'!$K215,"")</f>
        <v/>
      </c>
      <c r="BM193" s="21" t="str">
        <f>IF(AND('Atividades Micro'!$B215=BM$2,'Atividades Micro'!$G215="Macro",'Atividades Micro'!$K215&lt;&gt;""),'Atividades Micro'!$K215,"")</f>
        <v/>
      </c>
      <c r="BN193" s="21" t="str">
        <f>IF(AND('Atividades Micro'!$B215=BN$2,'Atividades Micro'!$G215="Macro",'Atividades Micro'!$K215&lt;&gt;""),'Atividades Micro'!$K215,"")</f>
        <v/>
      </c>
      <c r="BO193" s="21" t="str">
        <f>IF(AND('Atividades Micro'!$B215=BO$2,'Atividades Micro'!$G215="Macro",'Atividades Micro'!$K215&lt;&gt;""),'Atividades Micro'!$K215,"")</f>
        <v/>
      </c>
      <c r="BP193" s="21" t="str">
        <f>IF(AND('Atividades Micro'!$B215=BP$2,'Atividades Micro'!$G215="Macro",'Atividades Micro'!$K215&lt;&gt;""),'Atividades Micro'!$K215,"")</f>
        <v/>
      </c>
      <c r="BQ193" s="21" t="str">
        <f>IF(AND('Atividades Micro'!$B215=BQ$2,'Atividades Micro'!$G215="Macro",'Atividades Micro'!$K215&lt;&gt;""),'Atividades Micro'!$K215,"")</f>
        <v/>
      </c>
      <c r="BR193" s="21" t="str">
        <f>IF(AND('Atividades Micro'!$B215=BR$2,'Atividades Micro'!$G215="Macro",'Atividades Micro'!$K215&lt;&gt;""),'Atividades Micro'!$K215,"")</f>
        <v/>
      </c>
      <c r="BS193" s="21">
        <f>IF(AND('Atividades Micro'!$B215=BS$2,'Atividades Micro'!$G215="Macro",'Atividades Micro'!$K215&lt;&gt;""),'Atividades Micro'!$K215,"")</f>
        <v>46275</v>
      </c>
      <c r="BT193" s="21" t="str">
        <f>IF(AND('Atividades Micro'!$B215=BT$2,'Atividades Micro'!$G215="Macro",'Atividades Micro'!$K215&lt;&gt;""),'Atividades Micro'!$K215,"")</f>
        <v/>
      </c>
      <c r="BU193" s="21" t="str">
        <f>IF(AND('Atividades Micro'!$B215=BU$2,'Atividades Micro'!$G215="Macro",'Atividades Micro'!$K215&lt;&gt;""),'Atividades Micro'!$K215,"")</f>
        <v/>
      </c>
      <c r="BV193" s="21" t="str">
        <f>IF(AND('Atividades Micro'!$B215=BV$2,'Atividades Micro'!$G215="Macro",'Atividades Micro'!$K215&lt;&gt;""),'Atividades Micro'!$K215,"")</f>
        <v/>
      </c>
      <c r="BW193" s="21" t="str">
        <f>IF(AND('Atividades Micro'!$B215=BW$2,'Atividades Micro'!$G215="Macro",'Atividades Micro'!$K215&lt;&gt;""),'Atividades Micro'!$K215,"")</f>
        <v/>
      </c>
      <c r="BX193" s="21" t="str">
        <f>IF(AND('Atividades Micro'!$B215=BX$2,'Atividades Micro'!$G215="Macro",'Atividades Micro'!$K215&lt;&gt;""),'Atividades Micro'!$K215,"")</f>
        <v/>
      </c>
      <c r="BY193" s="21" t="str">
        <f>IF(AND('Atividades Micro'!$B215=BY$2,'Atividades Micro'!$G215="Macro",'Atividades Micro'!$K215&lt;&gt;""),'Atividades Micro'!$K215,"")</f>
        <v/>
      </c>
      <c r="BZ193" s="21" t="str">
        <f>IF(AND('Atividades Micro'!$B215=BZ$2,'Atividades Micro'!$G215="Macro",'Atividades Micro'!$K215&lt;&gt;""),'Atividades Micro'!$K215,"")</f>
        <v/>
      </c>
      <c r="CA193" s="21" t="str">
        <f>IF(AND('Atividades Micro'!$B215=CA$2,'Atividades Micro'!$G215="Macro",'Atividades Micro'!$K215&lt;&gt;""),'Atividades Micro'!$K215,"")</f>
        <v/>
      </c>
      <c r="CB193" s="21" t="str">
        <f>IF(AND('Atividades Micro'!$B215=CB$2,'Atividades Micro'!$G215="Macro",'Atividades Micro'!$K215&lt;&gt;""),'Atividades Micro'!$K215,"")</f>
        <v/>
      </c>
      <c r="CC193" s="21" t="str">
        <f>IF(AND('Atividades Micro'!$B215=CC$2,'Atividades Micro'!$G215="Macro",'Atividades Micro'!$K215&lt;&gt;""),'Atividades Micro'!$K215,"")</f>
        <v/>
      </c>
      <c r="CD193" s="21" t="str">
        <f>IF(AND('Atividades Micro'!$B215=CD$2,'Atividades Micro'!$G215="Micro",'Atividades Micro'!$K215&lt;&gt;""),'Atividades Micro'!$K215,"")</f>
        <v/>
      </c>
      <c r="CE193" s="21" t="str">
        <f>IF(AND('Atividades Micro'!$B215=CE$2,'Atividades Micro'!$G215="Micro",'Atividades Micro'!$K215&lt;&gt;""),'Atividades Micro'!$K215,"")</f>
        <v/>
      </c>
      <c r="CF193" s="21" t="str">
        <f>IF(AND('Atividades Micro'!$B215=CF$2,'Atividades Micro'!$G215="Micro",'Atividades Micro'!$K215&lt;&gt;""),'Atividades Micro'!$K215,"")</f>
        <v/>
      </c>
      <c r="CG193" s="21" t="str">
        <f>IF(AND('Atividades Micro'!$B215=CG$2,'Atividades Micro'!$G215="Micro",'Atividades Micro'!$K215&lt;&gt;""),'Atividades Micro'!$K215,"")</f>
        <v/>
      </c>
      <c r="CH193" s="21" t="str">
        <f>IF(AND('Atividades Micro'!$B215=CH$2,'Atividades Micro'!$G215="Micro",'Atividades Micro'!$K215&lt;&gt;""),'Atividades Micro'!$K215,"")</f>
        <v/>
      </c>
      <c r="CI193" s="21" t="str">
        <f>IF(AND('Atividades Micro'!$B215=CI$2,'Atividades Micro'!$G215="Micro",'Atividades Micro'!$K215&lt;&gt;""),'Atividades Micro'!$K215,"")</f>
        <v/>
      </c>
      <c r="CJ193" s="21" t="str">
        <f>IF(AND('Atividades Micro'!$B215=CJ$2,'Atividades Micro'!$G215="Micro",'Atividades Micro'!$K215&lt;&gt;""),'Atividades Micro'!$K215,"")</f>
        <v/>
      </c>
      <c r="CK193" s="21" t="str">
        <f>IF(AND('Atividades Micro'!$B215=CK$2,'Atividades Micro'!$G215="Micro",'Atividades Micro'!$K215&lt;&gt;""),'Atividades Micro'!$K215,"")</f>
        <v/>
      </c>
      <c r="CL193" s="21" t="str">
        <f>IF(AND('Atividades Micro'!$B215=CL$2,'Atividades Micro'!$G215="Micro",'Atividades Micro'!$K215&lt;&gt;""),'Atividades Micro'!$K215,"")</f>
        <v/>
      </c>
      <c r="CM193" s="21" t="str">
        <f>IF(AND('Atividades Micro'!$B215=CM$2,'Atividades Micro'!$G215="Micro",'Atividades Micro'!$K215&lt;&gt;""),'Atividades Micro'!$K215,"")</f>
        <v/>
      </c>
      <c r="CN193" s="21" t="str">
        <f>IF(AND('Atividades Micro'!$B215=CN$2,'Atividades Micro'!$G215="Micro",'Atividades Micro'!$K215&lt;&gt;""),'Atividades Micro'!$K215,"")</f>
        <v/>
      </c>
      <c r="CO193" s="21" t="str">
        <f>IF(AND('Atividades Micro'!$B215=CO$2,'Atividades Micro'!$G215="Micro",'Atividades Micro'!$K215&lt;&gt;""),'Atividades Micro'!$K215,"")</f>
        <v/>
      </c>
    </row>
    <row r="194" spans="1:93">
      <c r="A194" s="21" t="str">
        <f>IF(AND('Atividades Micro'!$A216=A$2,'Atividades Micro'!$K216&lt;&gt;""),'Atividades Micro'!$K216,"")</f>
        <v/>
      </c>
      <c r="B194" s="21" t="str">
        <f>IF(AND('Atividades Micro'!$A216=B$2,'Atividades Micro'!$L216&lt;&gt;""),'Atividades Micro'!$L216,"")</f>
        <v/>
      </c>
      <c r="C194" s="21" t="str">
        <f>IF(AND('Atividades Micro'!$A216=C$2,'Atividades Micro'!$K216&lt;&gt;""),'Atividades Micro'!$K216,"")</f>
        <v/>
      </c>
      <c r="D194" s="21" t="str">
        <f>IF(AND('Atividades Micro'!$A216=D$2,'Atividades Micro'!$L216&lt;&gt;""),'Atividades Micro'!$L216,"")</f>
        <v/>
      </c>
      <c r="E194" s="21" t="str">
        <f>IF(AND('Atividades Micro'!$A216=E$2,'Atividades Micro'!$K216&lt;&gt;""),'Atividades Micro'!$K216,"")</f>
        <v/>
      </c>
      <c r="F194" s="21" t="str">
        <f>IF(AND('Atividades Micro'!$A216=F$2,'Atividades Micro'!$L216&lt;&gt;""),'Atividades Micro'!$L216,"")</f>
        <v/>
      </c>
      <c r="G194" s="21" t="str">
        <f>IF(AND('Atividades Micro'!$A216=G$2,'Atividades Micro'!$K216&lt;&gt;""),'Atividades Micro'!$K216,"")</f>
        <v/>
      </c>
      <c r="H194" s="21" t="str">
        <f>IF(AND('Atividades Micro'!$A216=H$2,'Atividades Micro'!$L216&lt;&gt;""),'Atividades Micro'!$L216,"")</f>
        <v/>
      </c>
      <c r="I194" s="21" t="str">
        <f>IF(AND('Atividades Micro'!$A216=I$2,'Atividades Micro'!$K216&lt;&gt;""),'Atividades Micro'!$K216,"")</f>
        <v/>
      </c>
      <c r="J194" s="21" t="str">
        <f>IF(AND('Atividades Micro'!$A216=J$2,'Atividades Micro'!$L216&lt;&gt;""),'Atividades Micro'!$L216,"")</f>
        <v/>
      </c>
      <c r="K194" s="21" t="str">
        <f>IF(AND('Atividades Micro'!$B216=K$2,'Atividades Micro'!$K216&lt;&gt;""),'Atividades Micro'!$K216,"")</f>
        <v/>
      </c>
      <c r="L194" s="21" t="str">
        <f>IF(AND('Atividades Micro'!$B216=L$2,'Atividades Micro'!$L216&lt;&gt;""),'Atividades Micro'!$L216,"")</f>
        <v/>
      </c>
      <c r="M194" s="21" t="str">
        <f>IF(AND('Atividades Micro'!$B216=M$2,'Atividades Micro'!$K216&lt;&gt;""),'Atividades Micro'!$K216,"")</f>
        <v/>
      </c>
      <c r="N194" s="21" t="str">
        <f>IF(AND('Atividades Micro'!$B216=N$2,'Atividades Micro'!$L216&lt;&gt;""),'Atividades Micro'!$L216,"")</f>
        <v/>
      </c>
      <c r="O194" s="21" t="str">
        <f>IF(AND('Atividades Micro'!$A216=O$2,'Atividades Micro'!$K216&lt;&gt;""),'Atividades Micro'!$K216,"")</f>
        <v/>
      </c>
      <c r="P194" s="21" t="str">
        <f>IF(AND('Atividades Micro'!$A216=P$2,'Atividades Micro'!$L216&lt;&gt;""),'Atividades Micro'!$L216,"")</f>
        <v/>
      </c>
      <c r="Q194" s="21" t="str">
        <f>IF(AND('Atividades Micro'!$B216=Q$2,'Atividades Micro'!$K216&lt;&gt;""),'Atividades Micro'!$K216,"")</f>
        <v/>
      </c>
      <c r="R194" s="21" t="str">
        <f>IF(AND('Atividades Micro'!$B216=R$2,'Atividades Micro'!$L216&lt;&gt;""),'Atividades Micro'!$L216,"")</f>
        <v/>
      </c>
      <c r="S194" s="21" t="str">
        <f>IF(AND('Atividades Micro'!$A216=S$2,'Atividades Micro'!$K216&lt;&gt;""),'Atividades Micro'!$K216,"")</f>
        <v/>
      </c>
      <c r="T194" s="21" t="str">
        <f>IF(AND('Atividades Micro'!$A216=T$2,'Atividades Micro'!$L216&lt;&gt;""),'Atividades Micro'!$L216,"")</f>
        <v/>
      </c>
      <c r="U194" s="21" t="str">
        <f>IF(AND('Atividades Micro'!$B216=U$2,'Atividades Micro'!$K216&lt;&gt;""),'Atividades Micro'!$K216,"")</f>
        <v/>
      </c>
      <c r="V194" s="21" t="str">
        <f>IF(AND('Atividades Micro'!$B216=V$2,'Atividades Micro'!$L216&lt;&gt;""),'Atividades Micro'!$L216,"")</f>
        <v/>
      </c>
      <c r="W194" s="21" t="str">
        <f>IF(AND('Atividades Micro'!$B216=W$2,'Atividades Micro'!$K216&lt;&gt;""),'Atividades Micro'!$K216,"")</f>
        <v/>
      </c>
      <c r="X194" s="21" t="str">
        <f>IF(AND('Atividades Micro'!$B216=X$2,'Atividades Micro'!$L216&lt;&gt;""),'Atividades Micro'!$L216,"")</f>
        <v/>
      </c>
      <c r="Y194" s="21" t="str">
        <f>IF(AND('Atividades Micro'!$A216=Y$2,'Atividades Micro'!$K216&lt;&gt;""),'Atividades Micro'!$K216,"")</f>
        <v/>
      </c>
      <c r="Z194" s="21" t="str">
        <f>IF(AND('Atividades Micro'!$A216=Z$2,'Atividades Micro'!$L216&lt;&gt;""),'Atividades Micro'!$L216,"")</f>
        <v/>
      </c>
      <c r="AA194" s="21" t="str">
        <f>IF(AND('Atividades Micro'!$B216=AA$2,'Atividades Micro'!$K216&lt;&gt;""),'Atividades Micro'!$K216,"")</f>
        <v/>
      </c>
      <c r="AB194" s="21" t="str">
        <f>IF(AND('Atividades Micro'!$B216=AB$2,'Atividades Micro'!$L216&lt;&gt;""),'Atividades Micro'!$L216,"")</f>
        <v/>
      </c>
      <c r="AC194" s="21" t="str">
        <f>IF(AND('Atividades Micro'!$B216=AC$2,'Atividades Micro'!$K216&lt;&gt;""),'Atividades Micro'!$K216,"")</f>
        <v/>
      </c>
      <c r="AD194" s="21" t="str">
        <f>IF(AND('Atividades Micro'!$B216=AD$2,'Atividades Micro'!$L216&lt;&gt;""),'Atividades Micro'!$L216,"")</f>
        <v/>
      </c>
      <c r="AE194" s="21">
        <f>IF(AND('Atividades Micro'!$A216=AE$2,'Atividades Micro'!$K216&lt;&gt;""),'Atividades Micro'!$K216,"")</f>
        <v>46255</v>
      </c>
      <c r="AF194" s="21">
        <f>IF(AND('Atividades Micro'!$A216=AF$2,'Atividades Micro'!$L216&lt;&gt;""),'Atividades Micro'!$L216,"")</f>
        <v>46254</v>
      </c>
      <c r="AG194" s="21">
        <f>IF(AND('Atividades Micro'!$B216=AG$2,'Atividades Micro'!$K216&lt;&gt;""),'Atividades Micro'!$K216,"")</f>
        <v>46255</v>
      </c>
      <c r="AH194" s="21">
        <f>IF(AND('Atividades Micro'!$B216=AH$2,'Atividades Micro'!$L216&lt;&gt;""),'Atividades Micro'!$L216,"")</f>
        <v>46254</v>
      </c>
      <c r="AI194" s="21" t="str">
        <f>IF(AND('Atividades Micro'!$B216=AI$2,'Atividades Micro'!$K216&lt;&gt;""),'Atividades Micro'!$K216,"")</f>
        <v/>
      </c>
      <c r="AJ194" s="21" t="str">
        <f>IF(AND('Atividades Micro'!$B216=AJ$2,'Atividades Micro'!$L216&lt;&gt;""),'Atividades Micro'!$L216,"")</f>
        <v/>
      </c>
      <c r="AK194" s="21" t="str">
        <f>IF(AND('Atividades Micro'!$A216=AK$2,'Atividades Micro'!$K216&lt;&gt;""),'Atividades Micro'!$K216,"")</f>
        <v/>
      </c>
      <c r="AL194" s="21" t="str">
        <f>IF(AND('Atividades Micro'!$A216=AL$2,'Atividades Micro'!$L216&lt;&gt;""),'Atividades Micro'!$L216,"")</f>
        <v/>
      </c>
      <c r="AM194" s="21" t="str">
        <f>IF(AND('Atividades Micro'!$B216=AM$2,'Atividades Micro'!$K216&lt;&gt;""),'Atividades Micro'!$K216,"")</f>
        <v/>
      </c>
      <c r="AN194" s="21" t="str">
        <f>IF(AND('Atividades Micro'!$B216=AN$2,'Atividades Micro'!$L216&lt;&gt;""),'Atividades Micro'!$L216,"")</f>
        <v/>
      </c>
      <c r="AO194" s="21" t="str">
        <f>IF(AND('Atividades Micro'!$B216=AO$2,'Atividades Micro'!$K216&lt;&gt;""),'Atividades Micro'!$K216,"")</f>
        <v/>
      </c>
      <c r="AP194" s="21" t="str">
        <f>IF(AND('Atividades Micro'!$B216=AP$2,'Atividades Micro'!$L216&lt;&gt;""),'Atividades Micro'!$L216,"")</f>
        <v/>
      </c>
      <c r="AQ194" s="21" t="str">
        <f>IF(AND('Atividades Micro'!$A216=AQ$2,'Atividades Micro'!$K216&lt;&gt;""),'Atividades Micro'!$K216,"")</f>
        <v/>
      </c>
      <c r="AR194" s="21" t="str">
        <f>IF(AND('Atividades Micro'!$A216=AR$2,'Atividades Micro'!$L216&lt;&gt;""),'Atividades Micro'!$L216,"")</f>
        <v/>
      </c>
      <c r="AS194" s="21" t="str">
        <f>IF(AND('Atividades Micro'!$B216=AS$2,'Atividades Micro'!$K216&lt;&gt;""),'Atividades Micro'!$K216,"")</f>
        <v/>
      </c>
      <c r="AT194" s="21" t="str">
        <f>IF(AND('Atividades Micro'!$B216=AT$2,'Atividades Micro'!$L216&lt;&gt;""),'Atividades Micro'!$L216,"")</f>
        <v/>
      </c>
      <c r="AU194" s="21" t="str">
        <f>IF(AND('Atividades Micro'!$A216=AU$2,'Atividades Micro'!$K216&lt;&gt;""),'Atividades Micro'!$K216,"")</f>
        <v/>
      </c>
      <c r="AV194" s="21" t="str">
        <f>IF(AND('Atividades Micro'!$A216=AV$2,'Atividades Micro'!$L216&lt;&gt;""),'Atividades Micro'!$L216,"")</f>
        <v/>
      </c>
      <c r="AW194" s="21" t="str">
        <f>IF(AND('Atividades Micro'!$B216=AW$2,'Atividades Micro'!$K216&lt;&gt;""),'Atividades Micro'!$K216,"")</f>
        <v/>
      </c>
      <c r="AX194" s="21" t="str">
        <f>IF(AND('Atividades Micro'!$B216=AX$2,'Atividades Micro'!$L216&lt;&gt;""),'Atividades Micro'!$L216,"")</f>
        <v/>
      </c>
      <c r="AY194" s="21" t="str">
        <f>IF(AND('Atividades Micro'!$A216=AY$2,'Atividades Micro'!$K216&lt;&gt;""),'Atividades Micro'!$K216,"")</f>
        <v/>
      </c>
      <c r="AZ194" s="21" t="str">
        <f>IF(AND('Atividades Micro'!$A216=AZ$2,'Atividades Micro'!$L216&lt;&gt;""),'Atividades Micro'!$L216,"")</f>
        <v/>
      </c>
      <c r="BA194" s="21" t="str">
        <f>IF(AND('Atividades Micro'!$B216=BA$2,'Atividades Micro'!$K216&lt;&gt;""),'Atividades Micro'!$K216,"")</f>
        <v/>
      </c>
      <c r="BB194" s="21" t="str">
        <f>IF(AND('Atividades Micro'!$B216=BB$2,'Atividades Micro'!$L216&lt;&gt;""),'Atividades Micro'!$L216,"")</f>
        <v/>
      </c>
      <c r="BC194" s="21" t="str">
        <f>IF(AND('Atividades Micro'!$B216=BC$2,'Atividades Micro'!$G216="Macro",'Atividades Micro'!$K216&lt;&gt;""),'Atividades Micro'!$K216,"")</f>
        <v/>
      </c>
      <c r="BD194" s="21" t="str">
        <f>IF(AND('Atividades Micro'!$B216=BD$2,'Atividades Micro'!$G216="Macro",'Atividades Micro'!$K216&lt;&gt;""),'Atividades Micro'!$K216,"")</f>
        <v/>
      </c>
      <c r="BE194" s="21" t="str">
        <f>IF(AND('Atividades Micro'!$B216=BE$2,'Atividades Micro'!$G216="Macro",'Atividades Micro'!$K216&lt;&gt;""),'Atividades Micro'!$K216,"")</f>
        <v/>
      </c>
      <c r="BF194" s="21" t="str">
        <f>IF(AND('Atividades Micro'!$B216=BF$2,'Atividades Micro'!$G216="Macro",'Atividades Micro'!$K216&lt;&gt;""),'Atividades Micro'!$K216,"")</f>
        <v/>
      </c>
      <c r="BG194" s="21" t="str">
        <f>IF(AND('Atividades Micro'!$B216=BG$2,'Atividades Micro'!$G216="Macro",'Atividades Micro'!$K216&lt;&gt;""),'Atividades Micro'!$K216,"")</f>
        <v/>
      </c>
      <c r="BH194" s="21" t="str">
        <f>IF(AND('Atividades Micro'!$B216=BH$2,'Atividades Micro'!$G216="Macro",'Atividades Micro'!$K216&lt;&gt;""),'Atividades Micro'!$K216,"")</f>
        <v/>
      </c>
      <c r="BI194" s="21" t="str">
        <f>IF(AND('Atividades Micro'!$B216=BI$2,'Atividades Micro'!$G216="Macro",'Atividades Micro'!$K216&lt;&gt;""),'Atividades Micro'!$K216,"")</f>
        <v/>
      </c>
      <c r="BJ194" s="21" t="str">
        <f>IF(AND('Atividades Micro'!$B216=BJ$2,'Atividades Micro'!$G216="Macro",'Atividades Micro'!$K216&lt;&gt;""),'Atividades Micro'!$K216,"")</f>
        <v/>
      </c>
      <c r="BK194" s="21" t="str">
        <f>IF(AND('Atividades Micro'!$B216=BK$2,'Atividades Micro'!$G216="Macro",'Atividades Micro'!$K216&lt;&gt;""),'Atividades Micro'!$K216,"")</f>
        <v/>
      </c>
      <c r="BL194" s="21" t="str">
        <f>IF(AND('Atividades Micro'!$B216=BL$2,'Atividades Micro'!$G216="Macro",'Atividades Micro'!$K216&lt;&gt;""),'Atividades Micro'!$K216,"")</f>
        <v/>
      </c>
      <c r="BM194" s="21" t="str">
        <f>IF(AND('Atividades Micro'!$B216=BM$2,'Atividades Micro'!$G216="Macro",'Atividades Micro'!$K216&lt;&gt;""),'Atividades Micro'!$K216,"")</f>
        <v/>
      </c>
      <c r="BN194" s="21" t="str">
        <f>IF(AND('Atividades Micro'!$B216=BN$2,'Atividades Micro'!$G216="Macro",'Atividades Micro'!$K216&lt;&gt;""),'Atividades Micro'!$K216,"")</f>
        <v/>
      </c>
      <c r="BO194" s="21" t="str">
        <f>IF(AND('Atividades Micro'!$B216=BO$2,'Atividades Micro'!$G216="Macro",'Atividades Micro'!$K216&lt;&gt;""),'Atividades Micro'!$K216,"")</f>
        <v/>
      </c>
      <c r="BP194" s="21" t="str">
        <f>IF(AND('Atividades Micro'!$B216=BP$2,'Atividades Micro'!$G216="Macro",'Atividades Micro'!$K216&lt;&gt;""),'Atividades Micro'!$K216,"")</f>
        <v/>
      </c>
      <c r="BQ194" s="21" t="str">
        <f>IF(AND('Atividades Micro'!$B216=BQ$2,'Atividades Micro'!$G216="Macro",'Atividades Micro'!$K216&lt;&gt;""),'Atividades Micro'!$K216,"")</f>
        <v/>
      </c>
      <c r="BR194" s="21" t="str">
        <f>IF(AND('Atividades Micro'!$B216=BR$2,'Atividades Micro'!$G216="Macro",'Atividades Micro'!$K216&lt;&gt;""),'Atividades Micro'!$K216,"")</f>
        <v/>
      </c>
      <c r="BS194" s="21" t="str">
        <f>IF(AND('Atividades Micro'!$B216=BS$2,'Atividades Micro'!$G216="Macro",'Atividades Micro'!$K216&lt;&gt;""),'Atividades Micro'!$K216,"")</f>
        <v/>
      </c>
      <c r="BT194" s="21" t="str">
        <f>IF(AND('Atividades Micro'!$B216=BT$2,'Atividades Micro'!$G216="Macro",'Atividades Micro'!$K216&lt;&gt;""),'Atividades Micro'!$K216,"")</f>
        <v/>
      </c>
      <c r="BU194" s="21" t="str">
        <f>IF(AND('Atividades Micro'!$B216=BU$2,'Atividades Micro'!$G216="Macro",'Atividades Micro'!$K216&lt;&gt;""),'Atividades Micro'!$K216,"")</f>
        <v/>
      </c>
      <c r="BV194" s="21" t="str">
        <f>IF(AND('Atividades Micro'!$B216=BV$2,'Atividades Micro'!$G216="Macro",'Atividades Micro'!$K216&lt;&gt;""),'Atividades Micro'!$K216,"")</f>
        <v/>
      </c>
      <c r="BW194" s="21" t="str">
        <f>IF(AND('Atividades Micro'!$B216=BW$2,'Atividades Micro'!$G216="Macro",'Atividades Micro'!$K216&lt;&gt;""),'Atividades Micro'!$K216,"")</f>
        <v/>
      </c>
      <c r="BX194" s="21" t="str">
        <f>IF(AND('Atividades Micro'!$B216=BX$2,'Atividades Micro'!$G216="Macro",'Atividades Micro'!$K216&lt;&gt;""),'Atividades Micro'!$K216,"")</f>
        <v/>
      </c>
      <c r="BY194" s="21" t="str">
        <f>IF(AND('Atividades Micro'!$B216=BY$2,'Atividades Micro'!$G216="Macro",'Atividades Micro'!$K216&lt;&gt;""),'Atividades Micro'!$K216,"")</f>
        <v/>
      </c>
      <c r="BZ194" s="21" t="str">
        <f>IF(AND('Atividades Micro'!$B216=BZ$2,'Atividades Micro'!$G216="Macro",'Atividades Micro'!$K216&lt;&gt;""),'Atividades Micro'!$K216,"")</f>
        <v/>
      </c>
      <c r="CA194" s="21" t="str">
        <f>IF(AND('Atividades Micro'!$B216=CA$2,'Atividades Micro'!$G216="Macro",'Atividades Micro'!$K216&lt;&gt;""),'Atividades Micro'!$K216,"")</f>
        <v/>
      </c>
      <c r="CB194" s="21" t="str">
        <f>IF(AND('Atividades Micro'!$B216=CB$2,'Atividades Micro'!$G216="Macro",'Atividades Micro'!$K216&lt;&gt;""),'Atividades Micro'!$K216,"")</f>
        <v/>
      </c>
      <c r="CC194" s="21" t="str">
        <f>IF(AND('Atividades Micro'!$B216=CC$2,'Atividades Micro'!$G216="Macro",'Atividades Micro'!$K216&lt;&gt;""),'Atividades Micro'!$K216,"")</f>
        <v/>
      </c>
      <c r="CD194" s="21" t="str">
        <f>IF(AND('Atividades Micro'!$B216=CD$2,'Atividades Micro'!$G216="Micro",'Atividades Micro'!$K216&lt;&gt;""),'Atividades Micro'!$K216,"")</f>
        <v/>
      </c>
      <c r="CE194" s="21" t="str">
        <f>IF(AND('Atividades Micro'!$B216=CE$2,'Atividades Micro'!$G216="Micro",'Atividades Micro'!$K216&lt;&gt;""),'Atividades Micro'!$K216,"")</f>
        <v/>
      </c>
      <c r="CF194" s="21" t="str">
        <f>IF(AND('Atividades Micro'!$B216=CF$2,'Atividades Micro'!$G216="Micro",'Atividades Micro'!$K216&lt;&gt;""),'Atividades Micro'!$K216,"")</f>
        <v/>
      </c>
      <c r="CG194" s="21" t="str">
        <f>IF(AND('Atividades Micro'!$B216=CG$2,'Atividades Micro'!$G216="Micro",'Atividades Micro'!$K216&lt;&gt;""),'Atividades Micro'!$K216,"")</f>
        <v/>
      </c>
      <c r="CH194" s="21" t="str">
        <f>IF(AND('Atividades Micro'!$B216=CH$2,'Atividades Micro'!$G216="Micro",'Atividades Micro'!$K216&lt;&gt;""),'Atividades Micro'!$K216,"")</f>
        <v/>
      </c>
      <c r="CI194" s="21" t="str">
        <f>IF(AND('Atividades Micro'!$B216=CI$2,'Atividades Micro'!$G216="Micro",'Atividades Micro'!$K216&lt;&gt;""),'Atividades Micro'!$K216,"")</f>
        <v/>
      </c>
      <c r="CJ194" s="21" t="str">
        <f>IF(AND('Atividades Micro'!$B216=CJ$2,'Atividades Micro'!$G216="Micro",'Atividades Micro'!$K216&lt;&gt;""),'Atividades Micro'!$K216,"")</f>
        <v/>
      </c>
      <c r="CK194" s="21">
        <f>IF(AND('Atividades Micro'!$B216=CK$2,'Atividades Micro'!$G216="Micro",'Atividades Micro'!$K216&lt;&gt;""),'Atividades Micro'!$K216,"")</f>
        <v>46255</v>
      </c>
      <c r="CL194" s="21" t="str">
        <f>IF(AND('Atividades Micro'!$B216=CL$2,'Atividades Micro'!$G216="Micro",'Atividades Micro'!$K216&lt;&gt;""),'Atividades Micro'!$K216,"")</f>
        <v/>
      </c>
      <c r="CM194" s="21" t="str">
        <f>IF(AND('Atividades Micro'!$B216=CM$2,'Atividades Micro'!$G216="Micro",'Atividades Micro'!$K216&lt;&gt;""),'Atividades Micro'!$K216,"")</f>
        <v/>
      </c>
      <c r="CN194" s="21" t="str">
        <f>IF(AND('Atividades Micro'!$B216=CN$2,'Atividades Micro'!$G216="Micro",'Atividades Micro'!$K216&lt;&gt;""),'Atividades Micro'!$K216,"")</f>
        <v/>
      </c>
      <c r="CO194" s="21" t="str">
        <f>IF(AND('Atividades Micro'!$B216=CO$2,'Atividades Micro'!$G216="Micro",'Atividades Micro'!$K216&lt;&gt;""),'Atividades Micro'!$K216,"")</f>
        <v/>
      </c>
    </row>
    <row r="195" spans="1:93">
      <c r="A195" s="21" t="str">
        <f>IF(AND('Atividades Micro'!$A217=A$2,'Atividades Micro'!$K217&lt;&gt;""),'Atividades Micro'!$K217,"")</f>
        <v/>
      </c>
      <c r="B195" s="21" t="str">
        <f>IF(AND('Atividades Micro'!$A217=B$2,'Atividades Micro'!$L217&lt;&gt;""),'Atividades Micro'!$L217,"")</f>
        <v/>
      </c>
      <c r="C195" s="21" t="str">
        <f>IF(AND('Atividades Micro'!$A217=C$2,'Atividades Micro'!$K217&lt;&gt;""),'Atividades Micro'!$K217,"")</f>
        <v/>
      </c>
      <c r="D195" s="21" t="str">
        <f>IF(AND('Atividades Micro'!$A217=D$2,'Atividades Micro'!$L217&lt;&gt;""),'Atividades Micro'!$L217,"")</f>
        <v/>
      </c>
      <c r="E195" s="21" t="str">
        <f>IF(AND('Atividades Micro'!$A217=E$2,'Atividades Micro'!$K217&lt;&gt;""),'Atividades Micro'!$K217,"")</f>
        <v/>
      </c>
      <c r="F195" s="21" t="str">
        <f>IF(AND('Atividades Micro'!$A217=F$2,'Atividades Micro'!$L217&lt;&gt;""),'Atividades Micro'!$L217,"")</f>
        <v/>
      </c>
      <c r="G195" s="21" t="str">
        <f>IF(AND('Atividades Micro'!$A217=G$2,'Atividades Micro'!$K217&lt;&gt;""),'Atividades Micro'!$K217,"")</f>
        <v/>
      </c>
      <c r="H195" s="21" t="str">
        <f>IF(AND('Atividades Micro'!$A217=H$2,'Atividades Micro'!$L217&lt;&gt;""),'Atividades Micro'!$L217,"")</f>
        <v/>
      </c>
      <c r="I195" s="21" t="str">
        <f>IF(AND('Atividades Micro'!$A217=I$2,'Atividades Micro'!$K217&lt;&gt;""),'Atividades Micro'!$K217,"")</f>
        <v/>
      </c>
      <c r="J195" s="21" t="str">
        <f>IF(AND('Atividades Micro'!$A217=J$2,'Atividades Micro'!$L217&lt;&gt;""),'Atividades Micro'!$L217,"")</f>
        <v/>
      </c>
      <c r="K195" s="21" t="str">
        <f>IF(AND('Atividades Micro'!$B217=K$2,'Atividades Micro'!$K217&lt;&gt;""),'Atividades Micro'!$K217,"")</f>
        <v/>
      </c>
      <c r="L195" s="21" t="str">
        <f>IF(AND('Atividades Micro'!$B217=L$2,'Atividades Micro'!$L217&lt;&gt;""),'Atividades Micro'!$L217,"")</f>
        <v/>
      </c>
      <c r="M195" s="21" t="str">
        <f>IF(AND('Atividades Micro'!$B217=M$2,'Atividades Micro'!$K217&lt;&gt;""),'Atividades Micro'!$K217,"")</f>
        <v/>
      </c>
      <c r="N195" s="21" t="str">
        <f>IF(AND('Atividades Micro'!$B217=N$2,'Atividades Micro'!$L217&lt;&gt;""),'Atividades Micro'!$L217,"")</f>
        <v/>
      </c>
      <c r="O195" s="21" t="str">
        <f>IF(AND('Atividades Micro'!$A217=O$2,'Atividades Micro'!$K217&lt;&gt;""),'Atividades Micro'!$K217,"")</f>
        <v/>
      </c>
      <c r="P195" s="21" t="str">
        <f>IF(AND('Atividades Micro'!$A217=P$2,'Atividades Micro'!$L217&lt;&gt;""),'Atividades Micro'!$L217,"")</f>
        <v/>
      </c>
      <c r="Q195" s="21" t="str">
        <f>IF(AND('Atividades Micro'!$B217=Q$2,'Atividades Micro'!$K217&lt;&gt;""),'Atividades Micro'!$K217,"")</f>
        <v/>
      </c>
      <c r="R195" s="21" t="str">
        <f>IF(AND('Atividades Micro'!$B217=R$2,'Atividades Micro'!$L217&lt;&gt;""),'Atividades Micro'!$L217,"")</f>
        <v/>
      </c>
      <c r="S195" s="21" t="str">
        <f>IF(AND('Atividades Micro'!$A217=S$2,'Atividades Micro'!$K217&lt;&gt;""),'Atividades Micro'!$K217,"")</f>
        <v/>
      </c>
      <c r="T195" s="21" t="str">
        <f>IF(AND('Atividades Micro'!$A217=T$2,'Atividades Micro'!$L217&lt;&gt;""),'Atividades Micro'!$L217,"")</f>
        <v/>
      </c>
      <c r="U195" s="21" t="str">
        <f>IF(AND('Atividades Micro'!$B217=U$2,'Atividades Micro'!$K217&lt;&gt;""),'Atividades Micro'!$K217,"")</f>
        <v/>
      </c>
      <c r="V195" s="21" t="str">
        <f>IF(AND('Atividades Micro'!$B217=V$2,'Atividades Micro'!$L217&lt;&gt;""),'Atividades Micro'!$L217,"")</f>
        <v/>
      </c>
      <c r="W195" s="21" t="str">
        <f>IF(AND('Atividades Micro'!$B217=W$2,'Atividades Micro'!$K217&lt;&gt;""),'Atividades Micro'!$K217,"")</f>
        <v/>
      </c>
      <c r="X195" s="21" t="str">
        <f>IF(AND('Atividades Micro'!$B217=X$2,'Atividades Micro'!$L217&lt;&gt;""),'Atividades Micro'!$L217,"")</f>
        <v/>
      </c>
      <c r="Y195" s="21" t="str">
        <f>IF(AND('Atividades Micro'!$A217=Y$2,'Atividades Micro'!$K217&lt;&gt;""),'Atividades Micro'!$K217,"")</f>
        <v/>
      </c>
      <c r="Z195" s="21" t="str">
        <f>IF(AND('Atividades Micro'!$A217=Z$2,'Atividades Micro'!$L217&lt;&gt;""),'Atividades Micro'!$L217,"")</f>
        <v/>
      </c>
      <c r="AA195" s="21" t="str">
        <f>IF(AND('Atividades Micro'!$B217=AA$2,'Atividades Micro'!$K217&lt;&gt;""),'Atividades Micro'!$K217,"")</f>
        <v/>
      </c>
      <c r="AB195" s="21" t="str">
        <f>IF(AND('Atividades Micro'!$B217=AB$2,'Atividades Micro'!$L217&lt;&gt;""),'Atividades Micro'!$L217,"")</f>
        <v/>
      </c>
      <c r="AC195" s="21" t="str">
        <f>IF(AND('Atividades Micro'!$B217=AC$2,'Atividades Micro'!$K217&lt;&gt;""),'Atividades Micro'!$K217,"")</f>
        <v/>
      </c>
      <c r="AD195" s="21" t="str">
        <f>IF(AND('Atividades Micro'!$B217=AD$2,'Atividades Micro'!$L217&lt;&gt;""),'Atividades Micro'!$L217,"")</f>
        <v/>
      </c>
      <c r="AE195" s="21">
        <f>IF(AND('Atividades Micro'!$A217=AE$2,'Atividades Micro'!$K217&lt;&gt;""),'Atividades Micro'!$K217,"")</f>
        <v>46275</v>
      </c>
      <c r="AF195" s="21">
        <f>IF(AND('Atividades Micro'!$A217=AF$2,'Atividades Micro'!$L217&lt;&gt;""),'Atividades Micro'!$L217,"")</f>
        <v>46279</v>
      </c>
      <c r="AG195" s="21">
        <f>IF(AND('Atividades Micro'!$B217=AG$2,'Atividades Micro'!$K217&lt;&gt;""),'Atividades Micro'!$K217,"")</f>
        <v>46275</v>
      </c>
      <c r="AH195" s="21">
        <f>IF(AND('Atividades Micro'!$B217=AH$2,'Atividades Micro'!$L217&lt;&gt;""),'Atividades Micro'!$L217,"")</f>
        <v>46279</v>
      </c>
      <c r="AI195" s="21" t="str">
        <f>IF(AND('Atividades Micro'!$B217=AI$2,'Atividades Micro'!$K217&lt;&gt;""),'Atividades Micro'!$K217,"")</f>
        <v/>
      </c>
      <c r="AJ195" s="21" t="str">
        <f>IF(AND('Atividades Micro'!$B217=AJ$2,'Atividades Micro'!$L217&lt;&gt;""),'Atividades Micro'!$L217,"")</f>
        <v/>
      </c>
      <c r="AK195" s="21" t="str">
        <f>IF(AND('Atividades Micro'!$A217=AK$2,'Atividades Micro'!$K217&lt;&gt;""),'Atividades Micro'!$K217,"")</f>
        <v/>
      </c>
      <c r="AL195" s="21" t="str">
        <f>IF(AND('Atividades Micro'!$A217=AL$2,'Atividades Micro'!$L217&lt;&gt;""),'Atividades Micro'!$L217,"")</f>
        <v/>
      </c>
      <c r="AM195" s="21" t="str">
        <f>IF(AND('Atividades Micro'!$B217=AM$2,'Atividades Micro'!$K217&lt;&gt;""),'Atividades Micro'!$K217,"")</f>
        <v/>
      </c>
      <c r="AN195" s="21" t="str">
        <f>IF(AND('Atividades Micro'!$B217=AN$2,'Atividades Micro'!$L217&lt;&gt;""),'Atividades Micro'!$L217,"")</f>
        <v/>
      </c>
      <c r="AO195" s="21" t="str">
        <f>IF(AND('Atividades Micro'!$B217=AO$2,'Atividades Micro'!$K217&lt;&gt;""),'Atividades Micro'!$K217,"")</f>
        <v/>
      </c>
      <c r="AP195" s="21" t="str">
        <f>IF(AND('Atividades Micro'!$B217=AP$2,'Atividades Micro'!$L217&lt;&gt;""),'Atividades Micro'!$L217,"")</f>
        <v/>
      </c>
      <c r="AQ195" s="21" t="str">
        <f>IF(AND('Atividades Micro'!$A217=AQ$2,'Atividades Micro'!$K217&lt;&gt;""),'Atividades Micro'!$K217,"")</f>
        <v/>
      </c>
      <c r="AR195" s="21" t="str">
        <f>IF(AND('Atividades Micro'!$A217=AR$2,'Atividades Micro'!$L217&lt;&gt;""),'Atividades Micro'!$L217,"")</f>
        <v/>
      </c>
      <c r="AS195" s="21" t="str">
        <f>IF(AND('Atividades Micro'!$B217=AS$2,'Atividades Micro'!$K217&lt;&gt;""),'Atividades Micro'!$K217,"")</f>
        <v/>
      </c>
      <c r="AT195" s="21" t="str">
        <f>IF(AND('Atividades Micro'!$B217=AT$2,'Atividades Micro'!$L217&lt;&gt;""),'Atividades Micro'!$L217,"")</f>
        <v/>
      </c>
      <c r="AU195" s="21" t="str">
        <f>IF(AND('Atividades Micro'!$A217=AU$2,'Atividades Micro'!$K217&lt;&gt;""),'Atividades Micro'!$K217,"")</f>
        <v/>
      </c>
      <c r="AV195" s="21" t="str">
        <f>IF(AND('Atividades Micro'!$A217=AV$2,'Atividades Micro'!$L217&lt;&gt;""),'Atividades Micro'!$L217,"")</f>
        <v/>
      </c>
      <c r="AW195" s="21" t="str">
        <f>IF(AND('Atividades Micro'!$B217=AW$2,'Atividades Micro'!$K217&lt;&gt;""),'Atividades Micro'!$K217,"")</f>
        <v/>
      </c>
      <c r="AX195" s="21" t="str">
        <f>IF(AND('Atividades Micro'!$B217=AX$2,'Atividades Micro'!$L217&lt;&gt;""),'Atividades Micro'!$L217,"")</f>
        <v/>
      </c>
      <c r="AY195" s="21" t="str">
        <f>IF(AND('Atividades Micro'!$A217=AY$2,'Atividades Micro'!$K217&lt;&gt;""),'Atividades Micro'!$K217,"")</f>
        <v/>
      </c>
      <c r="AZ195" s="21" t="str">
        <f>IF(AND('Atividades Micro'!$A217=AZ$2,'Atividades Micro'!$L217&lt;&gt;""),'Atividades Micro'!$L217,"")</f>
        <v/>
      </c>
      <c r="BA195" s="21" t="str">
        <f>IF(AND('Atividades Micro'!$B217=BA$2,'Atividades Micro'!$K217&lt;&gt;""),'Atividades Micro'!$K217,"")</f>
        <v/>
      </c>
      <c r="BB195" s="21" t="str">
        <f>IF(AND('Atividades Micro'!$B217=BB$2,'Atividades Micro'!$L217&lt;&gt;""),'Atividades Micro'!$L217,"")</f>
        <v/>
      </c>
      <c r="BC195" s="21" t="str">
        <f>IF(AND('Atividades Micro'!$B217=BC$2,'Atividades Micro'!$G217="Macro",'Atividades Micro'!$K217&lt;&gt;""),'Atividades Micro'!$K217,"")</f>
        <v/>
      </c>
      <c r="BD195" s="21" t="str">
        <f>IF(AND('Atividades Micro'!$B217=BD$2,'Atividades Micro'!$G217="Macro",'Atividades Micro'!$K217&lt;&gt;""),'Atividades Micro'!$K217,"")</f>
        <v/>
      </c>
      <c r="BE195" s="21" t="str">
        <f>IF(AND('Atividades Micro'!$B217=BE$2,'Atividades Micro'!$G217="Macro",'Atividades Micro'!$K217&lt;&gt;""),'Atividades Micro'!$K217,"")</f>
        <v/>
      </c>
      <c r="BF195" s="21" t="str">
        <f>IF(AND('Atividades Micro'!$B217=BF$2,'Atividades Micro'!$G217="Macro",'Atividades Micro'!$K217&lt;&gt;""),'Atividades Micro'!$K217,"")</f>
        <v/>
      </c>
      <c r="BG195" s="21" t="str">
        <f>IF(AND('Atividades Micro'!$B217=BG$2,'Atividades Micro'!$G217="Macro",'Atividades Micro'!$K217&lt;&gt;""),'Atividades Micro'!$K217,"")</f>
        <v/>
      </c>
      <c r="BH195" s="21" t="str">
        <f>IF(AND('Atividades Micro'!$B217=BH$2,'Atividades Micro'!$G217="Macro",'Atividades Micro'!$K217&lt;&gt;""),'Atividades Micro'!$K217,"")</f>
        <v/>
      </c>
      <c r="BI195" s="21" t="str">
        <f>IF(AND('Atividades Micro'!$B217=BI$2,'Atividades Micro'!$G217="Macro",'Atividades Micro'!$K217&lt;&gt;""),'Atividades Micro'!$K217,"")</f>
        <v/>
      </c>
      <c r="BJ195" s="21" t="str">
        <f>IF(AND('Atividades Micro'!$B217=BJ$2,'Atividades Micro'!$G217="Macro",'Atividades Micro'!$K217&lt;&gt;""),'Atividades Micro'!$K217,"")</f>
        <v/>
      </c>
      <c r="BK195" s="21" t="str">
        <f>IF(AND('Atividades Micro'!$B217=BK$2,'Atividades Micro'!$G217="Macro",'Atividades Micro'!$K217&lt;&gt;""),'Atividades Micro'!$K217,"")</f>
        <v/>
      </c>
      <c r="BL195" s="21" t="str">
        <f>IF(AND('Atividades Micro'!$B217=BL$2,'Atividades Micro'!$G217="Macro",'Atividades Micro'!$K217&lt;&gt;""),'Atividades Micro'!$K217,"")</f>
        <v/>
      </c>
      <c r="BM195" s="21" t="str">
        <f>IF(AND('Atividades Micro'!$B217=BM$2,'Atividades Micro'!$G217="Macro",'Atividades Micro'!$K217&lt;&gt;""),'Atividades Micro'!$K217,"")</f>
        <v/>
      </c>
      <c r="BN195" s="21" t="str">
        <f>IF(AND('Atividades Micro'!$B217=BN$2,'Atividades Micro'!$G217="Macro",'Atividades Micro'!$K217&lt;&gt;""),'Atividades Micro'!$K217,"")</f>
        <v/>
      </c>
      <c r="BO195" s="21" t="str">
        <f>IF(AND('Atividades Micro'!$B217=BO$2,'Atividades Micro'!$G217="Macro",'Atividades Micro'!$K217&lt;&gt;""),'Atividades Micro'!$K217,"")</f>
        <v/>
      </c>
      <c r="BP195" s="21" t="str">
        <f>IF(AND('Atividades Micro'!$B217=BP$2,'Atividades Micro'!$G217="Macro",'Atividades Micro'!$K217&lt;&gt;""),'Atividades Micro'!$K217,"")</f>
        <v/>
      </c>
      <c r="BQ195" s="21" t="str">
        <f>IF(AND('Atividades Micro'!$B217=BQ$2,'Atividades Micro'!$G217="Macro",'Atividades Micro'!$K217&lt;&gt;""),'Atividades Micro'!$K217,"")</f>
        <v/>
      </c>
      <c r="BR195" s="21" t="str">
        <f>IF(AND('Atividades Micro'!$B217=BR$2,'Atividades Micro'!$G217="Macro",'Atividades Micro'!$K217&lt;&gt;""),'Atividades Micro'!$K217,"")</f>
        <v/>
      </c>
      <c r="BS195" s="21" t="str">
        <f>IF(AND('Atividades Micro'!$B217=BS$2,'Atividades Micro'!$G217="Macro",'Atividades Micro'!$K217&lt;&gt;""),'Atividades Micro'!$K217,"")</f>
        <v/>
      </c>
      <c r="BT195" s="21" t="str">
        <f>IF(AND('Atividades Micro'!$B217=BT$2,'Atividades Micro'!$G217="Macro",'Atividades Micro'!$K217&lt;&gt;""),'Atividades Micro'!$K217,"")</f>
        <v/>
      </c>
      <c r="BU195" s="21" t="str">
        <f>IF(AND('Atividades Micro'!$B217=BU$2,'Atividades Micro'!$G217="Macro",'Atividades Micro'!$K217&lt;&gt;""),'Atividades Micro'!$K217,"")</f>
        <v/>
      </c>
      <c r="BV195" s="21" t="str">
        <f>IF(AND('Atividades Micro'!$B217=BV$2,'Atividades Micro'!$G217="Macro",'Atividades Micro'!$K217&lt;&gt;""),'Atividades Micro'!$K217,"")</f>
        <v/>
      </c>
      <c r="BW195" s="21" t="str">
        <f>IF(AND('Atividades Micro'!$B217=BW$2,'Atividades Micro'!$G217="Macro",'Atividades Micro'!$K217&lt;&gt;""),'Atividades Micro'!$K217,"")</f>
        <v/>
      </c>
      <c r="BX195" s="21" t="str">
        <f>IF(AND('Atividades Micro'!$B217=BX$2,'Atividades Micro'!$G217="Macro",'Atividades Micro'!$K217&lt;&gt;""),'Atividades Micro'!$K217,"")</f>
        <v/>
      </c>
      <c r="BY195" s="21" t="str">
        <f>IF(AND('Atividades Micro'!$B217=BY$2,'Atividades Micro'!$G217="Macro",'Atividades Micro'!$K217&lt;&gt;""),'Atividades Micro'!$K217,"")</f>
        <v/>
      </c>
      <c r="BZ195" s="21" t="str">
        <f>IF(AND('Atividades Micro'!$B217=BZ$2,'Atividades Micro'!$G217="Macro",'Atividades Micro'!$K217&lt;&gt;""),'Atividades Micro'!$K217,"")</f>
        <v/>
      </c>
      <c r="CA195" s="21" t="str">
        <f>IF(AND('Atividades Micro'!$B217=CA$2,'Atividades Micro'!$G217="Macro",'Atividades Micro'!$K217&lt;&gt;""),'Atividades Micro'!$K217,"")</f>
        <v/>
      </c>
      <c r="CB195" s="21" t="str">
        <f>IF(AND('Atividades Micro'!$B217=CB$2,'Atividades Micro'!$G217="Macro",'Atividades Micro'!$K217&lt;&gt;""),'Atividades Micro'!$K217,"")</f>
        <v/>
      </c>
      <c r="CC195" s="21" t="str">
        <f>IF(AND('Atividades Micro'!$B217=CC$2,'Atividades Micro'!$G217="Macro",'Atividades Micro'!$K217&lt;&gt;""),'Atividades Micro'!$K217,"")</f>
        <v/>
      </c>
      <c r="CD195" s="21" t="str">
        <f>IF(AND('Atividades Micro'!$B217=CD$2,'Atividades Micro'!$G217="Micro",'Atividades Micro'!$K217&lt;&gt;""),'Atividades Micro'!$K217,"")</f>
        <v/>
      </c>
      <c r="CE195" s="21" t="str">
        <f>IF(AND('Atividades Micro'!$B217=CE$2,'Atividades Micro'!$G217="Micro",'Atividades Micro'!$K217&lt;&gt;""),'Atividades Micro'!$K217,"")</f>
        <v/>
      </c>
      <c r="CF195" s="21" t="str">
        <f>IF(AND('Atividades Micro'!$B217=CF$2,'Atividades Micro'!$G217="Micro",'Atividades Micro'!$K217&lt;&gt;""),'Atividades Micro'!$K217,"")</f>
        <v/>
      </c>
      <c r="CG195" s="21" t="str">
        <f>IF(AND('Atividades Micro'!$B217=CG$2,'Atividades Micro'!$G217="Micro",'Atividades Micro'!$K217&lt;&gt;""),'Atividades Micro'!$K217,"")</f>
        <v/>
      </c>
      <c r="CH195" s="21" t="str">
        <f>IF(AND('Atividades Micro'!$B217=CH$2,'Atividades Micro'!$G217="Micro",'Atividades Micro'!$K217&lt;&gt;""),'Atividades Micro'!$K217,"")</f>
        <v/>
      </c>
      <c r="CI195" s="21" t="str">
        <f>IF(AND('Atividades Micro'!$B217=CI$2,'Atividades Micro'!$G217="Micro",'Atividades Micro'!$K217&lt;&gt;""),'Atividades Micro'!$K217,"")</f>
        <v/>
      </c>
      <c r="CJ195" s="21" t="str">
        <f>IF(AND('Atividades Micro'!$B217=CJ$2,'Atividades Micro'!$G217="Micro",'Atividades Micro'!$K217&lt;&gt;""),'Atividades Micro'!$K217,"")</f>
        <v/>
      </c>
      <c r="CK195" s="21">
        <f>IF(AND('Atividades Micro'!$B217=CK$2,'Atividades Micro'!$G217="Micro",'Atividades Micro'!$K217&lt;&gt;""),'Atividades Micro'!$K217,"")</f>
        <v>46275</v>
      </c>
      <c r="CL195" s="21" t="str">
        <f>IF(AND('Atividades Micro'!$B217=CL$2,'Atividades Micro'!$G217="Micro",'Atividades Micro'!$K217&lt;&gt;""),'Atividades Micro'!$K217,"")</f>
        <v/>
      </c>
      <c r="CM195" s="21" t="str">
        <f>IF(AND('Atividades Micro'!$B217=CM$2,'Atividades Micro'!$G217="Micro",'Atividades Micro'!$K217&lt;&gt;""),'Atividades Micro'!$K217,"")</f>
        <v/>
      </c>
      <c r="CN195" s="21" t="str">
        <f>IF(AND('Atividades Micro'!$B217=CN$2,'Atividades Micro'!$G217="Micro",'Atividades Micro'!$K217&lt;&gt;""),'Atividades Micro'!$K217,"")</f>
        <v/>
      </c>
      <c r="CO195" s="21" t="str">
        <f>IF(AND('Atividades Micro'!$B217=CO$2,'Atividades Micro'!$G217="Micro",'Atividades Micro'!$K217&lt;&gt;""),'Atividades Micro'!$K217,"")</f>
        <v/>
      </c>
    </row>
    <row r="196" spans="1:93">
      <c r="A196" s="21" t="str">
        <f>IF(AND('Atividades Micro'!$A220=A$2,'Atividades Micro'!$K220&lt;&gt;""),'Atividades Micro'!$K220,"")</f>
        <v/>
      </c>
      <c r="B196" s="21" t="str">
        <f>IF(AND('Atividades Micro'!$A220=B$2,'Atividades Micro'!$L220&lt;&gt;""),'Atividades Micro'!$L220,"")</f>
        <v/>
      </c>
      <c r="C196" s="21" t="str">
        <f>IF(AND('Atividades Micro'!$A220=C$2,'Atividades Micro'!$K220&lt;&gt;""),'Atividades Micro'!$K220,"")</f>
        <v/>
      </c>
      <c r="D196" s="21" t="str">
        <f>IF(AND('Atividades Micro'!$A220=D$2,'Atividades Micro'!$L220&lt;&gt;""),'Atividades Micro'!$L220,"")</f>
        <v/>
      </c>
      <c r="E196" s="21" t="str">
        <f>IF(AND('Atividades Micro'!$A220=E$2,'Atividades Micro'!$K220&lt;&gt;""),'Atividades Micro'!$K220,"")</f>
        <v/>
      </c>
      <c r="F196" s="21" t="str">
        <f>IF(AND('Atividades Micro'!$A220=F$2,'Atividades Micro'!$L220&lt;&gt;""),'Atividades Micro'!$L220,"")</f>
        <v/>
      </c>
      <c r="G196" s="21" t="str">
        <f>IF(AND('Atividades Micro'!$A220=G$2,'Atividades Micro'!$K220&lt;&gt;""),'Atividades Micro'!$K220,"")</f>
        <v/>
      </c>
      <c r="H196" s="21" t="str">
        <f>IF(AND('Atividades Micro'!$A220=H$2,'Atividades Micro'!$L220&lt;&gt;""),'Atividades Micro'!$L220,"")</f>
        <v/>
      </c>
      <c r="I196" s="21" t="str">
        <f>IF(AND('Atividades Micro'!$A220=I$2,'Atividades Micro'!$K220&lt;&gt;""),'Atividades Micro'!$K220,"")</f>
        <v/>
      </c>
      <c r="J196" s="21" t="str">
        <f>IF(AND('Atividades Micro'!$A220=J$2,'Atividades Micro'!$L220&lt;&gt;""),'Atividades Micro'!$L220,"")</f>
        <v/>
      </c>
      <c r="K196" s="21" t="str">
        <f>IF(AND('Atividades Micro'!$B220=K$2,'Atividades Micro'!$K220&lt;&gt;""),'Atividades Micro'!$K220,"")</f>
        <v/>
      </c>
      <c r="L196" s="21" t="str">
        <f>IF(AND('Atividades Micro'!$B220=L$2,'Atividades Micro'!$L220&lt;&gt;""),'Atividades Micro'!$L220,"")</f>
        <v/>
      </c>
      <c r="M196" s="21" t="str">
        <f>IF(AND('Atividades Micro'!$B220=M$2,'Atividades Micro'!$K220&lt;&gt;""),'Atividades Micro'!$K220,"")</f>
        <v/>
      </c>
      <c r="N196" s="21" t="str">
        <f>IF(AND('Atividades Micro'!$B220=N$2,'Atividades Micro'!$L220&lt;&gt;""),'Atividades Micro'!$L220,"")</f>
        <v/>
      </c>
      <c r="O196" s="21" t="str">
        <f>IF(AND('Atividades Micro'!$A220=O$2,'Atividades Micro'!$K220&lt;&gt;""),'Atividades Micro'!$K220,"")</f>
        <v/>
      </c>
      <c r="P196" s="21" t="str">
        <f>IF(AND('Atividades Micro'!$A220=P$2,'Atividades Micro'!$L220&lt;&gt;""),'Atividades Micro'!$L220,"")</f>
        <v/>
      </c>
      <c r="Q196" s="21" t="str">
        <f>IF(AND('Atividades Micro'!$B220=Q$2,'Atividades Micro'!$K220&lt;&gt;""),'Atividades Micro'!$K220,"")</f>
        <v/>
      </c>
      <c r="R196" s="21" t="str">
        <f>IF(AND('Atividades Micro'!$B220=R$2,'Atividades Micro'!$L220&lt;&gt;""),'Atividades Micro'!$L220,"")</f>
        <v/>
      </c>
      <c r="S196" s="21" t="str">
        <f>IF(AND('Atividades Micro'!$A220=S$2,'Atividades Micro'!$K220&lt;&gt;""),'Atividades Micro'!$K220,"")</f>
        <v/>
      </c>
      <c r="T196" s="21" t="str">
        <f>IF(AND('Atividades Micro'!$A220=T$2,'Atividades Micro'!$L220&lt;&gt;""),'Atividades Micro'!$L220,"")</f>
        <v/>
      </c>
      <c r="U196" s="21" t="str">
        <f>IF(AND('Atividades Micro'!$B220=U$2,'Atividades Micro'!$K220&lt;&gt;""),'Atividades Micro'!$K220,"")</f>
        <v/>
      </c>
      <c r="V196" s="21" t="str">
        <f>IF(AND('Atividades Micro'!$B220=V$2,'Atividades Micro'!$L220&lt;&gt;""),'Atividades Micro'!$L220,"")</f>
        <v/>
      </c>
      <c r="W196" s="21" t="str">
        <f>IF(AND('Atividades Micro'!$B220=W$2,'Atividades Micro'!$K220&lt;&gt;""),'Atividades Micro'!$K220,"")</f>
        <v/>
      </c>
      <c r="X196" s="21" t="str">
        <f>IF(AND('Atividades Micro'!$B220=X$2,'Atividades Micro'!$L220&lt;&gt;""),'Atividades Micro'!$L220,"")</f>
        <v/>
      </c>
      <c r="Y196" s="21" t="str">
        <f>IF(AND('Atividades Micro'!$A220=Y$2,'Atividades Micro'!$K220&lt;&gt;""),'Atividades Micro'!$K220,"")</f>
        <v/>
      </c>
      <c r="Z196" s="21" t="str">
        <f>IF(AND('Atividades Micro'!$A220=Z$2,'Atividades Micro'!$L220&lt;&gt;""),'Atividades Micro'!$L220,"")</f>
        <v/>
      </c>
      <c r="AA196" s="21" t="str">
        <f>IF(AND('Atividades Micro'!$B220=AA$2,'Atividades Micro'!$K220&lt;&gt;""),'Atividades Micro'!$K220,"")</f>
        <v/>
      </c>
      <c r="AB196" s="21" t="str">
        <f>IF(AND('Atividades Micro'!$B220=AB$2,'Atividades Micro'!$L220&lt;&gt;""),'Atividades Micro'!$L220,"")</f>
        <v/>
      </c>
      <c r="AC196" s="21" t="str">
        <f>IF(AND('Atividades Micro'!$B220=AC$2,'Atividades Micro'!$K220&lt;&gt;""),'Atividades Micro'!$K220,"")</f>
        <v/>
      </c>
      <c r="AD196" s="21" t="str">
        <f>IF(AND('Atividades Micro'!$B220=AD$2,'Atividades Micro'!$L220&lt;&gt;""),'Atividades Micro'!$L220,"")</f>
        <v/>
      </c>
      <c r="AE196" s="21">
        <f>IF(AND('Atividades Micro'!$A220=AE$2,'Atividades Micro'!$K220&lt;&gt;""),'Atividades Micro'!$K220,"")</f>
        <v>46321</v>
      </c>
      <c r="AF196" s="21" t="str">
        <f>IF(AND('Atividades Micro'!$A220=AF$2,'Atividades Micro'!$L220&lt;&gt;""),'Atividades Micro'!$L220,"")</f>
        <v/>
      </c>
      <c r="AG196" s="21">
        <f>IF(AND('Atividades Micro'!$B220=AG$2,'Atividades Micro'!$K220&lt;&gt;""),'Atividades Micro'!$K220,"")</f>
        <v>46321</v>
      </c>
      <c r="AH196" s="21" t="str">
        <f>IF(AND('Atividades Micro'!$B220=AH$2,'Atividades Micro'!$L220&lt;&gt;""),'Atividades Micro'!$L220,"")</f>
        <v/>
      </c>
      <c r="AI196" s="21" t="str">
        <f>IF(AND('Atividades Micro'!$B220=AI$2,'Atividades Micro'!$K220&lt;&gt;""),'Atividades Micro'!$K220,"")</f>
        <v/>
      </c>
      <c r="AJ196" s="21" t="str">
        <f>IF(AND('Atividades Micro'!$B220=AJ$2,'Atividades Micro'!$L220&lt;&gt;""),'Atividades Micro'!$L220,"")</f>
        <v/>
      </c>
      <c r="AK196" s="21" t="str">
        <f>IF(AND('Atividades Micro'!$A220=AK$2,'Atividades Micro'!$K220&lt;&gt;""),'Atividades Micro'!$K220,"")</f>
        <v/>
      </c>
      <c r="AL196" s="21" t="str">
        <f>IF(AND('Atividades Micro'!$A220=AL$2,'Atividades Micro'!$L220&lt;&gt;""),'Atividades Micro'!$L220,"")</f>
        <v/>
      </c>
      <c r="AM196" s="21" t="str">
        <f>IF(AND('Atividades Micro'!$B220=AM$2,'Atividades Micro'!$K220&lt;&gt;""),'Atividades Micro'!$K220,"")</f>
        <v/>
      </c>
      <c r="AN196" s="21" t="str">
        <f>IF(AND('Atividades Micro'!$B220=AN$2,'Atividades Micro'!$L220&lt;&gt;""),'Atividades Micro'!$L220,"")</f>
        <v/>
      </c>
      <c r="AO196" s="21" t="str">
        <f>IF(AND('Atividades Micro'!$B220=AO$2,'Atividades Micro'!$K220&lt;&gt;""),'Atividades Micro'!$K220,"")</f>
        <v/>
      </c>
      <c r="AP196" s="21" t="str">
        <f>IF(AND('Atividades Micro'!$B220=AP$2,'Atividades Micro'!$L220&lt;&gt;""),'Atividades Micro'!$L220,"")</f>
        <v/>
      </c>
      <c r="AQ196" s="21" t="str">
        <f>IF(AND('Atividades Micro'!$A220=AQ$2,'Atividades Micro'!$K220&lt;&gt;""),'Atividades Micro'!$K220,"")</f>
        <v/>
      </c>
      <c r="AR196" s="21" t="str">
        <f>IF(AND('Atividades Micro'!$A220=AR$2,'Atividades Micro'!$L220&lt;&gt;""),'Atividades Micro'!$L220,"")</f>
        <v/>
      </c>
      <c r="AS196" s="21" t="str">
        <f>IF(AND('Atividades Micro'!$B220=AS$2,'Atividades Micro'!$K220&lt;&gt;""),'Atividades Micro'!$K220,"")</f>
        <v/>
      </c>
      <c r="AT196" s="21" t="str">
        <f>IF(AND('Atividades Micro'!$B220=AT$2,'Atividades Micro'!$L220&lt;&gt;""),'Atividades Micro'!$L220,"")</f>
        <v/>
      </c>
      <c r="AU196" s="21" t="str">
        <f>IF(AND('Atividades Micro'!$A220=AU$2,'Atividades Micro'!$K220&lt;&gt;""),'Atividades Micro'!$K220,"")</f>
        <v/>
      </c>
      <c r="AV196" s="21" t="str">
        <f>IF(AND('Atividades Micro'!$A220=AV$2,'Atividades Micro'!$L220&lt;&gt;""),'Atividades Micro'!$L220,"")</f>
        <v/>
      </c>
      <c r="AW196" s="21" t="str">
        <f>IF(AND('Atividades Micro'!$B220=AW$2,'Atividades Micro'!$K220&lt;&gt;""),'Atividades Micro'!$K220,"")</f>
        <v/>
      </c>
      <c r="AX196" s="21" t="str">
        <f>IF(AND('Atividades Micro'!$B220=AX$2,'Atividades Micro'!$L220&lt;&gt;""),'Atividades Micro'!$L220,"")</f>
        <v/>
      </c>
      <c r="AY196" s="21" t="str">
        <f>IF(AND('Atividades Micro'!$A220=AY$2,'Atividades Micro'!$K220&lt;&gt;""),'Atividades Micro'!$K220,"")</f>
        <v/>
      </c>
      <c r="AZ196" s="21" t="str">
        <f>IF(AND('Atividades Micro'!$A220=AZ$2,'Atividades Micro'!$L220&lt;&gt;""),'Atividades Micro'!$L220,"")</f>
        <v/>
      </c>
      <c r="BA196" s="21" t="str">
        <f>IF(AND('Atividades Micro'!$B220=BA$2,'Atividades Micro'!$K220&lt;&gt;""),'Atividades Micro'!$K220,"")</f>
        <v/>
      </c>
      <c r="BB196" s="21" t="str">
        <f>IF(AND('Atividades Micro'!$B220=BB$2,'Atividades Micro'!$L220&lt;&gt;""),'Atividades Micro'!$L220,"")</f>
        <v/>
      </c>
      <c r="BC196" s="21" t="str">
        <f>IF(AND('Atividades Micro'!$B220=BC$2,'Atividades Micro'!$G220="Macro",'Atividades Micro'!$K220&lt;&gt;""),'Atividades Micro'!$K220,"")</f>
        <v/>
      </c>
      <c r="BD196" s="21" t="str">
        <f>IF(AND('Atividades Micro'!$B220=BD$2,'Atividades Micro'!$G220="Macro",'Atividades Micro'!$K220&lt;&gt;""),'Atividades Micro'!$K220,"")</f>
        <v/>
      </c>
      <c r="BE196" s="21" t="str">
        <f>IF(AND('Atividades Micro'!$B220=BE$2,'Atividades Micro'!$G220="Macro",'Atividades Micro'!$K220&lt;&gt;""),'Atividades Micro'!$K220,"")</f>
        <v/>
      </c>
      <c r="BF196" s="21" t="str">
        <f>IF(AND('Atividades Micro'!$B220=BF$2,'Atividades Micro'!$G220="Macro",'Atividades Micro'!$K220&lt;&gt;""),'Atividades Micro'!$K220,"")</f>
        <v/>
      </c>
      <c r="BG196" s="21" t="str">
        <f>IF(AND('Atividades Micro'!$B220=BG$2,'Atividades Micro'!$G220="Macro",'Atividades Micro'!$K220&lt;&gt;""),'Atividades Micro'!$K220,"")</f>
        <v/>
      </c>
      <c r="BH196" s="21" t="str">
        <f>IF(AND('Atividades Micro'!$B220=BH$2,'Atividades Micro'!$G220="Macro",'Atividades Micro'!$K220&lt;&gt;""),'Atividades Micro'!$K220,"")</f>
        <v/>
      </c>
      <c r="BI196" s="21" t="str">
        <f>IF(AND('Atividades Micro'!$B220=BI$2,'Atividades Micro'!$G220="Macro",'Atividades Micro'!$K220&lt;&gt;""),'Atividades Micro'!$K220,"")</f>
        <v/>
      </c>
      <c r="BJ196" s="21" t="str">
        <f>IF(AND('Atividades Micro'!$B220=BJ$2,'Atividades Micro'!$G220="Macro",'Atividades Micro'!$K220&lt;&gt;""),'Atividades Micro'!$K220,"")</f>
        <v/>
      </c>
      <c r="BK196" s="21" t="str">
        <f>IF(AND('Atividades Micro'!$B220=BK$2,'Atividades Micro'!$G220="Macro",'Atividades Micro'!$K220&lt;&gt;""),'Atividades Micro'!$K220,"")</f>
        <v/>
      </c>
      <c r="BL196" s="21" t="str">
        <f>IF(AND('Atividades Micro'!$B220=BL$2,'Atividades Micro'!$G220="Macro",'Atividades Micro'!$K220&lt;&gt;""),'Atividades Micro'!$K220,"")</f>
        <v/>
      </c>
      <c r="BM196" s="21" t="str">
        <f>IF(AND('Atividades Micro'!$B220=BM$2,'Atividades Micro'!$G220="Macro",'Atividades Micro'!$K220&lt;&gt;""),'Atividades Micro'!$K220,"")</f>
        <v/>
      </c>
      <c r="BN196" s="21" t="str">
        <f>IF(AND('Atividades Micro'!$B220=BN$2,'Atividades Micro'!$G220="Macro",'Atividades Micro'!$K220&lt;&gt;""),'Atividades Micro'!$K220,"")</f>
        <v/>
      </c>
      <c r="BO196" s="21" t="str">
        <f>IF(AND('Atividades Micro'!$B220=BO$2,'Atividades Micro'!$G220="Macro",'Atividades Micro'!$K220&lt;&gt;""),'Atividades Micro'!$K220,"")</f>
        <v/>
      </c>
      <c r="BP196" s="21" t="str">
        <f>IF(AND('Atividades Micro'!$B220=BP$2,'Atividades Micro'!$G220="Macro",'Atividades Micro'!$K220&lt;&gt;""),'Atividades Micro'!$K220,"")</f>
        <v/>
      </c>
      <c r="BQ196" s="21" t="str">
        <f>IF(AND('Atividades Micro'!$B220=BQ$2,'Atividades Micro'!$G220="Macro",'Atividades Micro'!$K220&lt;&gt;""),'Atividades Micro'!$K220,"")</f>
        <v/>
      </c>
      <c r="BR196" s="21" t="str">
        <f>IF(AND('Atividades Micro'!$B220=BR$2,'Atividades Micro'!$G220="Macro",'Atividades Micro'!$K220&lt;&gt;""),'Atividades Micro'!$K220,"")</f>
        <v/>
      </c>
      <c r="BS196" s="21">
        <f>IF(AND('Atividades Micro'!$B220=BS$2,'Atividades Micro'!$G220="Macro",'Atividades Micro'!$K220&lt;&gt;""),'Atividades Micro'!$K220,"")</f>
        <v>46321</v>
      </c>
      <c r="BT196" s="21" t="str">
        <f>IF(AND('Atividades Micro'!$B220=BT$2,'Atividades Micro'!$G220="Macro",'Atividades Micro'!$K220&lt;&gt;""),'Atividades Micro'!$K220,"")</f>
        <v/>
      </c>
      <c r="BU196" s="21" t="str">
        <f>IF(AND('Atividades Micro'!$B220=BU$2,'Atividades Micro'!$G220="Macro",'Atividades Micro'!$K220&lt;&gt;""),'Atividades Micro'!$K220,"")</f>
        <v/>
      </c>
      <c r="BV196" s="21" t="str">
        <f>IF(AND('Atividades Micro'!$B220=BV$2,'Atividades Micro'!$G220="Macro",'Atividades Micro'!$K220&lt;&gt;""),'Atividades Micro'!$K220,"")</f>
        <v/>
      </c>
      <c r="BW196" s="21" t="str">
        <f>IF(AND('Atividades Micro'!$B220=BW$2,'Atividades Micro'!$G220="Macro",'Atividades Micro'!$K220&lt;&gt;""),'Atividades Micro'!$K220,"")</f>
        <v/>
      </c>
      <c r="BX196" s="21" t="str">
        <f>IF(AND('Atividades Micro'!$B220=BX$2,'Atividades Micro'!$G220="Macro",'Atividades Micro'!$K220&lt;&gt;""),'Atividades Micro'!$K220,"")</f>
        <v/>
      </c>
      <c r="BY196" s="21" t="str">
        <f>IF(AND('Atividades Micro'!$B220=BY$2,'Atividades Micro'!$G220="Macro",'Atividades Micro'!$K220&lt;&gt;""),'Atividades Micro'!$K220,"")</f>
        <v/>
      </c>
      <c r="BZ196" s="21" t="str">
        <f>IF(AND('Atividades Micro'!$B220=BZ$2,'Atividades Micro'!$G220="Macro",'Atividades Micro'!$K220&lt;&gt;""),'Atividades Micro'!$K220,"")</f>
        <v/>
      </c>
      <c r="CA196" s="21" t="str">
        <f>IF(AND('Atividades Micro'!$B220=CA$2,'Atividades Micro'!$G220="Macro",'Atividades Micro'!$K220&lt;&gt;""),'Atividades Micro'!$K220,"")</f>
        <v/>
      </c>
      <c r="CB196" s="21" t="str">
        <f>IF(AND('Atividades Micro'!$B220=CB$2,'Atividades Micro'!$G220="Macro",'Atividades Micro'!$K220&lt;&gt;""),'Atividades Micro'!$K220,"")</f>
        <v/>
      </c>
      <c r="CC196" s="21" t="str">
        <f>IF(AND('Atividades Micro'!$B220=CC$2,'Atividades Micro'!$G220="Macro",'Atividades Micro'!$K220&lt;&gt;""),'Atividades Micro'!$K220,"")</f>
        <v/>
      </c>
      <c r="CD196" s="21" t="str">
        <f>IF(AND('Atividades Micro'!$B220=CD$2,'Atividades Micro'!$G220="Micro",'Atividades Micro'!$K220&lt;&gt;""),'Atividades Micro'!$K220,"")</f>
        <v/>
      </c>
      <c r="CE196" s="21" t="str">
        <f>IF(AND('Atividades Micro'!$B220=CE$2,'Atividades Micro'!$G220="Micro",'Atividades Micro'!$K220&lt;&gt;""),'Atividades Micro'!$K220,"")</f>
        <v/>
      </c>
      <c r="CF196" s="21" t="str">
        <f>IF(AND('Atividades Micro'!$B220=CF$2,'Atividades Micro'!$G220="Micro",'Atividades Micro'!$K220&lt;&gt;""),'Atividades Micro'!$K220,"")</f>
        <v/>
      </c>
      <c r="CG196" s="21" t="str">
        <f>IF(AND('Atividades Micro'!$B220=CG$2,'Atividades Micro'!$G220="Micro",'Atividades Micro'!$K220&lt;&gt;""),'Atividades Micro'!$K220,"")</f>
        <v/>
      </c>
      <c r="CH196" s="21" t="str">
        <f>IF(AND('Atividades Micro'!$B220=CH$2,'Atividades Micro'!$G220="Micro",'Atividades Micro'!$K220&lt;&gt;""),'Atividades Micro'!$K220,"")</f>
        <v/>
      </c>
      <c r="CI196" s="21" t="str">
        <f>IF(AND('Atividades Micro'!$B220=CI$2,'Atividades Micro'!$G220="Micro",'Atividades Micro'!$K220&lt;&gt;""),'Atividades Micro'!$K220,"")</f>
        <v/>
      </c>
      <c r="CJ196" s="21" t="str">
        <f>IF(AND('Atividades Micro'!$B220=CJ$2,'Atividades Micro'!$G220="Micro",'Atividades Micro'!$K220&lt;&gt;""),'Atividades Micro'!$K220,"")</f>
        <v/>
      </c>
      <c r="CK196" s="21" t="str">
        <f>IF(AND('Atividades Micro'!$B220=CK$2,'Atividades Micro'!$G220="Micro",'Atividades Micro'!$K220&lt;&gt;""),'Atividades Micro'!$K220,"")</f>
        <v/>
      </c>
      <c r="CL196" s="21" t="str">
        <f>IF(AND('Atividades Micro'!$B220=CL$2,'Atividades Micro'!$G220="Micro",'Atividades Micro'!$K220&lt;&gt;""),'Atividades Micro'!$K220,"")</f>
        <v/>
      </c>
      <c r="CM196" s="21" t="str">
        <f>IF(AND('Atividades Micro'!$B220=CM$2,'Atividades Micro'!$G220="Micro",'Atividades Micro'!$K220&lt;&gt;""),'Atividades Micro'!$K220,"")</f>
        <v/>
      </c>
      <c r="CN196" s="21" t="str">
        <f>IF(AND('Atividades Micro'!$B220=CN$2,'Atividades Micro'!$G220="Micro",'Atividades Micro'!$K220&lt;&gt;""),'Atividades Micro'!$K220,"")</f>
        <v/>
      </c>
      <c r="CO196" s="21" t="str">
        <f>IF(AND('Atividades Micro'!$B220=CO$2,'Atividades Micro'!$G220="Micro",'Atividades Micro'!$K220&lt;&gt;""),'Atividades Micro'!$K220,"")</f>
        <v/>
      </c>
    </row>
    <row r="197" spans="1:93">
      <c r="A197" s="21" t="str">
        <f>IF(AND('Atividades Micro'!$A221=A$2,'Atividades Micro'!$K221&lt;&gt;""),'Atividades Micro'!$K221,"")</f>
        <v/>
      </c>
      <c r="B197" s="21" t="str">
        <f>IF(AND('Atividades Micro'!$A221=B$2,'Atividades Micro'!$L221&lt;&gt;""),'Atividades Micro'!$L221,"")</f>
        <v/>
      </c>
      <c r="C197" s="21" t="str">
        <f>IF(AND('Atividades Micro'!$A221=C$2,'Atividades Micro'!$K221&lt;&gt;""),'Atividades Micro'!$K221,"")</f>
        <v/>
      </c>
      <c r="D197" s="21" t="str">
        <f>IF(AND('Atividades Micro'!$A221=D$2,'Atividades Micro'!$L221&lt;&gt;""),'Atividades Micro'!$L221,"")</f>
        <v/>
      </c>
      <c r="E197" s="21" t="str">
        <f>IF(AND('Atividades Micro'!$A221=E$2,'Atividades Micro'!$K221&lt;&gt;""),'Atividades Micro'!$K221,"")</f>
        <v/>
      </c>
      <c r="F197" s="21" t="str">
        <f>IF(AND('Atividades Micro'!$A221=F$2,'Atividades Micro'!$L221&lt;&gt;""),'Atividades Micro'!$L221,"")</f>
        <v/>
      </c>
      <c r="G197" s="21" t="str">
        <f>IF(AND('Atividades Micro'!$A221=G$2,'Atividades Micro'!$K221&lt;&gt;""),'Atividades Micro'!$K221,"")</f>
        <v/>
      </c>
      <c r="H197" s="21" t="str">
        <f>IF(AND('Atividades Micro'!$A221=H$2,'Atividades Micro'!$L221&lt;&gt;""),'Atividades Micro'!$L221,"")</f>
        <v/>
      </c>
      <c r="I197" s="21" t="str">
        <f>IF(AND('Atividades Micro'!$A221=I$2,'Atividades Micro'!$K221&lt;&gt;""),'Atividades Micro'!$K221,"")</f>
        <v/>
      </c>
      <c r="J197" s="21" t="str">
        <f>IF(AND('Atividades Micro'!$A221=J$2,'Atividades Micro'!$L221&lt;&gt;""),'Atividades Micro'!$L221,"")</f>
        <v/>
      </c>
      <c r="K197" s="21" t="str">
        <f>IF(AND('Atividades Micro'!$B221=K$2,'Atividades Micro'!$K221&lt;&gt;""),'Atividades Micro'!$K221,"")</f>
        <v/>
      </c>
      <c r="L197" s="21" t="str">
        <f>IF(AND('Atividades Micro'!$B221=L$2,'Atividades Micro'!$L221&lt;&gt;""),'Atividades Micro'!$L221,"")</f>
        <v/>
      </c>
      <c r="M197" s="21" t="str">
        <f>IF(AND('Atividades Micro'!$B221=M$2,'Atividades Micro'!$K221&lt;&gt;""),'Atividades Micro'!$K221,"")</f>
        <v/>
      </c>
      <c r="N197" s="21" t="str">
        <f>IF(AND('Atividades Micro'!$B221=N$2,'Atividades Micro'!$L221&lt;&gt;""),'Atividades Micro'!$L221,"")</f>
        <v/>
      </c>
      <c r="O197" s="21" t="str">
        <f>IF(AND('Atividades Micro'!$A221=O$2,'Atividades Micro'!$K221&lt;&gt;""),'Atividades Micro'!$K221,"")</f>
        <v/>
      </c>
      <c r="P197" s="21" t="str">
        <f>IF(AND('Atividades Micro'!$A221=P$2,'Atividades Micro'!$L221&lt;&gt;""),'Atividades Micro'!$L221,"")</f>
        <v/>
      </c>
      <c r="Q197" s="21" t="str">
        <f>IF(AND('Atividades Micro'!$B221=Q$2,'Atividades Micro'!$K221&lt;&gt;""),'Atividades Micro'!$K221,"")</f>
        <v/>
      </c>
      <c r="R197" s="21" t="str">
        <f>IF(AND('Atividades Micro'!$B221=R$2,'Atividades Micro'!$L221&lt;&gt;""),'Atividades Micro'!$L221,"")</f>
        <v/>
      </c>
      <c r="S197" s="21" t="str">
        <f>IF(AND('Atividades Micro'!$A221=S$2,'Atividades Micro'!$K221&lt;&gt;""),'Atividades Micro'!$K221,"")</f>
        <v/>
      </c>
      <c r="T197" s="21" t="str">
        <f>IF(AND('Atividades Micro'!$A221=T$2,'Atividades Micro'!$L221&lt;&gt;""),'Atividades Micro'!$L221,"")</f>
        <v/>
      </c>
      <c r="U197" s="21" t="str">
        <f>IF(AND('Atividades Micro'!$B221=U$2,'Atividades Micro'!$K221&lt;&gt;""),'Atividades Micro'!$K221,"")</f>
        <v/>
      </c>
      <c r="V197" s="21" t="str">
        <f>IF(AND('Atividades Micro'!$B221=V$2,'Atividades Micro'!$L221&lt;&gt;""),'Atividades Micro'!$L221,"")</f>
        <v/>
      </c>
      <c r="W197" s="21" t="str">
        <f>IF(AND('Atividades Micro'!$B221=W$2,'Atividades Micro'!$K221&lt;&gt;""),'Atividades Micro'!$K221,"")</f>
        <v/>
      </c>
      <c r="X197" s="21" t="str">
        <f>IF(AND('Atividades Micro'!$B221=X$2,'Atividades Micro'!$L221&lt;&gt;""),'Atividades Micro'!$L221,"")</f>
        <v/>
      </c>
      <c r="Y197" s="21" t="str">
        <f>IF(AND('Atividades Micro'!$A221=Y$2,'Atividades Micro'!$K221&lt;&gt;""),'Atividades Micro'!$K221,"")</f>
        <v/>
      </c>
      <c r="Z197" s="21" t="str">
        <f>IF(AND('Atividades Micro'!$A221=Z$2,'Atividades Micro'!$L221&lt;&gt;""),'Atividades Micro'!$L221,"")</f>
        <v/>
      </c>
      <c r="AA197" s="21" t="str">
        <f>IF(AND('Atividades Micro'!$B221=AA$2,'Atividades Micro'!$K221&lt;&gt;""),'Atividades Micro'!$K221,"")</f>
        <v/>
      </c>
      <c r="AB197" s="21" t="str">
        <f>IF(AND('Atividades Micro'!$B221=AB$2,'Atividades Micro'!$L221&lt;&gt;""),'Atividades Micro'!$L221,"")</f>
        <v/>
      </c>
      <c r="AC197" s="21" t="str">
        <f>IF(AND('Atividades Micro'!$B221=AC$2,'Atividades Micro'!$K221&lt;&gt;""),'Atividades Micro'!$K221,"")</f>
        <v/>
      </c>
      <c r="AD197" s="21" t="str">
        <f>IF(AND('Atividades Micro'!$B221=AD$2,'Atividades Micro'!$L221&lt;&gt;""),'Atividades Micro'!$L221,"")</f>
        <v/>
      </c>
      <c r="AE197" s="21">
        <f>IF(AND('Atividades Micro'!$A221=AE$2,'Atividades Micro'!$K221&lt;&gt;""),'Atividades Micro'!$K221,"")</f>
        <v>46359</v>
      </c>
      <c r="AF197" s="21" t="str">
        <f>IF(AND('Atividades Micro'!$A221=AF$2,'Atividades Micro'!$L221&lt;&gt;""),'Atividades Micro'!$L221,"")</f>
        <v/>
      </c>
      <c r="AG197" s="21">
        <f>IF(AND('Atividades Micro'!$B221=AG$2,'Atividades Micro'!$K221&lt;&gt;""),'Atividades Micro'!$K221,"")</f>
        <v>46359</v>
      </c>
      <c r="AH197" s="21" t="str">
        <f>IF(AND('Atividades Micro'!$B221=AH$2,'Atividades Micro'!$L221&lt;&gt;""),'Atividades Micro'!$L221,"")</f>
        <v/>
      </c>
      <c r="AI197" s="21" t="str">
        <f>IF(AND('Atividades Micro'!$B221=AI$2,'Atividades Micro'!$K221&lt;&gt;""),'Atividades Micro'!$K221,"")</f>
        <v/>
      </c>
      <c r="AJ197" s="21" t="str">
        <f>IF(AND('Atividades Micro'!$B221=AJ$2,'Atividades Micro'!$L221&lt;&gt;""),'Atividades Micro'!$L221,"")</f>
        <v/>
      </c>
      <c r="AK197" s="21" t="str">
        <f>IF(AND('Atividades Micro'!$A221=AK$2,'Atividades Micro'!$K221&lt;&gt;""),'Atividades Micro'!$K221,"")</f>
        <v/>
      </c>
      <c r="AL197" s="21" t="str">
        <f>IF(AND('Atividades Micro'!$A221=AL$2,'Atividades Micro'!$L221&lt;&gt;""),'Atividades Micro'!$L221,"")</f>
        <v/>
      </c>
      <c r="AM197" s="21" t="str">
        <f>IF(AND('Atividades Micro'!$B221=AM$2,'Atividades Micro'!$K221&lt;&gt;""),'Atividades Micro'!$K221,"")</f>
        <v/>
      </c>
      <c r="AN197" s="21" t="str">
        <f>IF(AND('Atividades Micro'!$B221=AN$2,'Atividades Micro'!$L221&lt;&gt;""),'Atividades Micro'!$L221,"")</f>
        <v/>
      </c>
      <c r="AO197" s="21" t="str">
        <f>IF(AND('Atividades Micro'!$B221=AO$2,'Atividades Micro'!$K221&lt;&gt;""),'Atividades Micro'!$K221,"")</f>
        <v/>
      </c>
      <c r="AP197" s="21" t="str">
        <f>IF(AND('Atividades Micro'!$B221=AP$2,'Atividades Micro'!$L221&lt;&gt;""),'Atividades Micro'!$L221,"")</f>
        <v/>
      </c>
      <c r="AQ197" s="21" t="str">
        <f>IF(AND('Atividades Micro'!$A221=AQ$2,'Atividades Micro'!$K221&lt;&gt;""),'Atividades Micro'!$K221,"")</f>
        <v/>
      </c>
      <c r="AR197" s="21" t="str">
        <f>IF(AND('Atividades Micro'!$A221=AR$2,'Atividades Micro'!$L221&lt;&gt;""),'Atividades Micro'!$L221,"")</f>
        <v/>
      </c>
      <c r="AS197" s="21" t="str">
        <f>IF(AND('Atividades Micro'!$B221=AS$2,'Atividades Micro'!$K221&lt;&gt;""),'Atividades Micro'!$K221,"")</f>
        <v/>
      </c>
      <c r="AT197" s="21" t="str">
        <f>IF(AND('Atividades Micro'!$B221=AT$2,'Atividades Micro'!$L221&lt;&gt;""),'Atividades Micro'!$L221,"")</f>
        <v/>
      </c>
      <c r="AU197" s="21" t="str">
        <f>IF(AND('Atividades Micro'!$A221=AU$2,'Atividades Micro'!$K221&lt;&gt;""),'Atividades Micro'!$K221,"")</f>
        <v/>
      </c>
      <c r="AV197" s="21" t="str">
        <f>IF(AND('Atividades Micro'!$A221=AV$2,'Atividades Micro'!$L221&lt;&gt;""),'Atividades Micro'!$L221,"")</f>
        <v/>
      </c>
      <c r="AW197" s="21" t="str">
        <f>IF(AND('Atividades Micro'!$B221=AW$2,'Atividades Micro'!$K221&lt;&gt;""),'Atividades Micro'!$K221,"")</f>
        <v/>
      </c>
      <c r="AX197" s="21" t="str">
        <f>IF(AND('Atividades Micro'!$B221=AX$2,'Atividades Micro'!$L221&lt;&gt;""),'Atividades Micro'!$L221,"")</f>
        <v/>
      </c>
      <c r="AY197" s="21" t="str">
        <f>IF(AND('Atividades Micro'!$A221=AY$2,'Atividades Micro'!$K221&lt;&gt;""),'Atividades Micro'!$K221,"")</f>
        <v/>
      </c>
      <c r="AZ197" s="21" t="str">
        <f>IF(AND('Atividades Micro'!$A221=AZ$2,'Atividades Micro'!$L221&lt;&gt;""),'Atividades Micro'!$L221,"")</f>
        <v/>
      </c>
      <c r="BA197" s="21" t="str">
        <f>IF(AND('Atividades Micro'!$B221=BA$2,'Atividades Micro'!$K221&lt;&gt;""),'Atividades Micro'!$K221,"")</f>
        <v/>
      </c>
      <c r="BB197" s="21" t="str">
        <f>IF(AND('Atividades Micro'!$B221=BB$2,'Atividades Micro'!$L221&lt;&gt;""),'Atividades Micro'!$L221,"")</f>
        <v/>
      </c>
      <c r="BC197" s="21" t="str">
        <f>IF(AND('Atividades Micro'!$B221=BC$2,'Atividades Micro'!$G221="Macro",'Atividades Micro'!$K221&lt;&gt;""),'Atividades Micro'!$K221,"")</f>
        <v/>
      </c>
      <c r="BD197" s="21" t="str">
        <f>IF(AND('Atividades Micro'!$B221=BD$2,'Atividades Micro'!$G221="Macro",'Atividades Micro'!$K221&lt;&gt;""),'Atividades Micro'!$K221,"")</f>
        <v/>
      </c>
      <c r="BE197" s="21" t="str">
        <f>IF(AND('Atividades Micro'!$B221=BE$2,'Atividades Micro'!$G221="Macro",'Atividades Micro'!$K221&lt;&gt;""),'Atividades Micro'!$K221,"")</f>
        <v/>
      </c>
      <c r="BF197" s="21" t="str">
        <f>IF(AND('Atividades Micro'!$B221=BF$2,'Atividades Micro'!$G221="Macro",'Atividades Micro'!$K221&lt;&gt;""),'Atividades Micro'!$K221,"")</f>
        <v/>
      </c>
      <c r="BG197" s="21" t="str">
        <f>IF(AND('Atividades Micro'!$B221=BG$2,'Atividades Micro'!$G221="Macro",'Atividades Micro'!$K221&lt;&gt;""),'Atividades Micro'!$K221,"")</f>
        <v/>
      </c>
      <c r="BH197" s="21" t="str">
        <f>IF(AND('Atividades Micro'!$B221=BH$2,'Atividades Micro'!$G221="Macro",'Atividades Micro'!$K221&lt;&gt;""),'Atividades Micro'!$K221,"")</f>
        <v/>
      </c>
      <c r="BI197" s="21" t="str">
        <f>IF(AND('Atividades Micro'!$B221=BI$2,'Atividades Micro'!$G221="Macro",'Atividades Micro'!$K221&lt;&gt;""),'Atividades Micro'!$K221,"")</f>
        <v/>
      </c>
      <c r="BJ197" s="21" t="str">
        <f>IF(AND('Atividades Micro'!$B221=BJ$2,'Atividades Micro'!$G221="Macro",'Atividades Micro'!$K221&lt;&gt;""),'Atividades Micro'!$K221,"")</f>
        <v/>
      </c>
      <c r="BK197" s="21" t="str">
        <f>IF(AND('Atividades Micro'!$B221=BK$2,'Atividades Micro'!$G221="Macro",'Atividades Micro'!$K221&lt;&gt;""),'Atividades Micro'!$K221,"")</f>
        <v/>
      </c>
      <c r="BL197" s="21" t="str">
        <f>IF(AND('Atividades Micro'!$B221=BL$2,'Atividades Micro'!$G221="Macro",'Atividades Micro'!$K221&lt;&gt;""),'Atividades Micro'!$K221,"")</f>
        <v/>
      </c>
      <c r="BM197" s="21" t="str">
        <f>IF(AND('Atividades Micro'!$B221=BM$2,'Atividades Micro'!$G221="Macro",'Atividades Micro'!$K221&lt;&gt;""),'Atividades Micro'!$K221,"")</f>
        <v/>
      </c>
      <c r="BN197" s="21" t="str">
        <f>IF(AND('Atividades Micro'!$B221=BN$2,'Atividades Micro'!$G221="Macro",'Atividades Micro'!$K221&lt;&gt;""),'Atividades Micro'!$K221,"")</f>
        <v/>
      </c>
      <c r="BO197" s="21" t="str">
        <f>IF(AND('Atividades Micro'!$B221=BO$2,'Atividades Micro'!$G221="Macro",'Atividades Micro'!$K221&lt;&gt;""),'Atividades Micro'!$K221,"")</f>
        <v/>
      </c>
      <c r="BP197" s="21" t="str">
        <f>IF(AND('Atividades Micro'!$B221=BP$2,'Atividades Micro'!$G221="Macro",'Atividades Micro'!$K221&lt;&gt;""),'Atividades Micro'!$K221,"")</f>
        <v/>
      </c>
      <c r="BQ197" s="21" t="str">
        <f>IF(AND('Atividades Micro'!$B221=BQ$2,'Atividades Micro'!$G221="Macro",'Atividades Micro'!$K221&lt;&gt;""),'Atividades Micro'!$K221,"")</f>
        <v/>
      </c>
      <c r="BR197" s="21" t="str">
        <f>IF(AND('Atividades Micro'!$B221=BR$2,'Atividades Micro'!$G221="Macro",'Atividades Micro'!$K221&lt;&gt;""),'Atividades Micro'!$K221,"")</f>
        <v/>
      </c>
      <c r="BS197" s="21" t="str">
        <f>IF(AND('Atividades Micro'!$B221=BS$2,'Atividades Micro'!$G221="Macro",'Atividades Micro'!$K221&lt;&gt;""),'Atividades Micro'!$K221,"")</f>
        <v/>
      </c>
      <c r="BT197" s="21" t="str">
        <f>IF(AND('Atividades Micro'!$B221=BT$2,'Atividades Micro'!$G221="Macro",'Atividades Micro'!$K221&lt;&gt;""),'Atividades Micro'!$K221,"")</f>
        <v/>
      </c>
      <c r="BU197" s="21" t="str">
        <f>IF(AND('Atividades Micro'!$B221=BU$2,'Atividades Micro'!$G221="Macro",'Atividades Micro'!$K221&lt;&gt;""),'Atividades Micro'!$K221,"")</f>
        <v/>
      </c>
      <c r="BV197" s="21" t="str">
        <f>IF(AND('Atividades Micro'!$B221=BV$2,'Atividades Micro'!$G221="Macro",'Atividades Micro'!$K221&lt;&gt;""),'Atividades Micro'!$K221,"")</f>
        <v/>
      </c>
      <c r="BW197" s="21" t="str">
        <f>IF(AND('Atividades Micro'!$B221=BW$2,'Atividades Micro'!$G221="Macro",'Atividades Micro'!$K221&lt;&gt;""),'Atividades Micro'!$K221,"")</f>
        <v/>
      </c>
      <c r="BX197" s="21" t="str">
        <f>IF(AND('Atividades Micro'!$B221=BX$2,'Atividades Micro'!$G221="Macro",'Atividades Micro'!$K221&lt;&gt;""),'Atividades Micro'!$K221,"")</f>
        <v/>
      </c>
      <c r="BY197" s="21" t="str">
        <f>IF(AND('Atividades Micro'!$B221=BY$2,'Atividades Micro'!$G221="Macro",'Atividades Micro'!$K221&lt;&gt;""),'Atividades Micro'!$K221,"")</f>
        <v/>
      </c>
      <c r="BZ197" s="21" t="str">
        <f>IF(AND('Atividades Micro'!$B221=BZ$2,'Atividades Micro'!$G221="Macro",'Atividades Micro'!$K221&lt;&gt;""),'Atividades Micro'!$K221,"")</f>
        <v/>
      </c>
      <c r="CA197" s="21" t="str">
        <f>IF(AND('Atividades Micro'!$B221=CA$2,'Atividades Micro'!$G221="Macro",'Atividades Micro'!$K221&lt;&gt;""),'Atividades Micro'!$K221,"")</f>
        <v/>
      </c>
      <c r="CB197" s="21" t="str">
        <f>IF(AND('Atividades Micro'!$B221=CB$2,'Atividades Micro'!$G221="Macro",'Atividades Micro'!$K221&lt;&gt;""),'Atividades Micro'!$K221,"")</f>
        <v/>
      </c>
      <c r="CC197" s="21" t="str">
        <f>IF(AND('Atividades Micro'!$B221=CC$2,'Atividades Micro'!$G221="Macro",'Atividades Micro'!$K221&lt;&gt;""),'Atividades Micro'!$K221,"")</f>
        <v/>
      </c>
      <c r="CD197" s="21" t="str">
        <f>IF(AND('Atividades Micro'!$B221=CD$2,'Atividades Micro'!$G221="Micro",'Atividades Micro'!$K221&lt;&gt;""),'Atividades Micro'!$K221,"")</f>
        <v/>
      </c>
      <c r="CE197" s="21" t="str">
        <f>IF(AND('Atividades Micro'!$B221=CE$2,'Atividades Micro'!$G221="Micro",'Atividades Micro'!$K221&lt;&gt;""),'Atividades Micro'!$K221,"")</f>
        <v/>
      </c>
      <c r="CF197" s="21" t="str">
        <f>IF(AND('Atividades Micro'!$B221=CF$2,'Atividades Micro'!$G221="Micro",'Atividades Micro'!$K221&lt;&gt;""),'Atividades Micro'!$K221,"")</f>
        <v/>
      </c>
      <c r="CG197" s="21" t="str">
        <f>IF(AND('Atividades Micro'!$B221=CG$2,'Atividades Micro'!$G221="Micro",'Atividades Micro'!$K221&lt;&gt;""),'Atividades Micro'!$K221,"")</f>
        <v/>
      </c>
      <c r="CH197" s="21" t="str">
        <f>IF(AND('Atividades Micro'!$B221=CH$2,'Atividades Micro'!$G221="Micro",'Atividades Micro'!$K221&lt;&gt;""),'Atividades Micro'!$K221,"")</f>
        <v/>
      </c>
      <c r="CI197" s="21" t="str">
        <f>IF(AND('Atividades Micro'!$B221=CI$2,'Atividades Micro'!$G221="Micro",'Atividades Micro'!$K221&lt;&gt;""),'Atividades Micro'!$K221,"")</f>
        <v/>
      </c>
      <c r="CJ197" s="21" t="str">
        <f>IF(AND('Atividades Micro'!$B221=CJ$2,'Atividades Micro'!$G221="Micro",'Atividades Micro'!$K221&lt;&gt;""),'Atividades Micro'!$K221,"")</f>
        <v/>
      </c>
      <c r="CK197" s="21">
        <f>IF(AND('Atividades Micro'!$B221=CK$2,'Atividades Micro'!$G221="Micro",'Atividades Micro'!$K221&lt;&gt;""),'Atividades Micro'!$K221,"")</f>
        <v>46359</v>
      </c>
      <c r="CL197" s="21" t="str">
        <f>IF(AND('Atividades Micro'!$B221=CL$2,'Atividades Micro'!$G221="Micro",'Atividades Micro'!$K221&lt;&gt;""),'Atividades Micro'!$K221,"")</f>
        <v/>
      </c>
      <c r="CM197" s="21" t="str">
        <f>IF(AND('Atividades Micro'!$B221=CM$2,'Atividades Micro'!$G221="Micro",'Atividades Micro'!$K221&lt;&gt;""),'Atividades Micro'!$K221,"")</f>
        <v/>
      </c>
      <c r="CN197" s="21" t="str">
        <f>IF(AND('Atividades Micro'!$B221=CN$2,'Atividades Micro'!$G221="Micro",'Atividades Micro'!$K221&lt;&gt;""),'Atividades Micro'!$K221,"")</f>
        <v/>
      </c>
      <c r="CO197" s="21" t="str">
        <f>IF(AND('Atividades Micro'!$B221=CO$2,'Atividades Micro'!$G221="Micro",'Atividades Micro'!$K221&lt;&gt;""),'Atividades Micro'!$K221,"")</f>
        <v/>
      </c>
    </row>
    <row r="198" spans="1:93">
      <c r="A198" s="21" t="str">
        <f>IF(AND('Atividades Micro'!$A222=A$2,'Atividades Micro'!$K222&lt;&gt;""),'Atividades Micro'!$K222,"")</f>
        <v/>
      </c>
      <c r="B198" s="21" t="str">
        <f>IF(AND('Atividades Micro'!$A222=B$2,'Atividades Micro'!$L222&lt;&gt;""),'Atividades Micro'!$L222,"")</f>
        <v/>
      </c>
      <c r="C198" s="21" t="str">
        <f>IF(AND('Atividades Micro'!$A222=C$2,'Atividades Micro'!$K222&lt;&gt;""),'Atividades Micro'!$K222,"")</f>
        <v/>
      </c>
      <c r="D198" s="21" t="str">
        <f>IF(AND('Atividades Micro'!$A222=D$2,'Atividades Micro'!$L222&lt;&gt;""),'Atividades Micro'!$L222,"")</f>
        <v/>
      </c>
      <c r="E198" s="21" t="str">
        <f>IF(AND('Atividades Micro'!$A222=E$2,'Atividades Micro'!$K222&lt;&gt;""),'Atividades Micro'!$K222,"")</f>
        <v/>
      </c>
      <c r="F198" s="21" t="str">
        <f>IF(AND('Atividades Micro'!$A222=F$2,'Atividades Micro'!$L222&lt;&gt;""),'Atividades Micro'!$L222,"")</f>
        <v/>
      </c>
      <c r="G198" s="21" t="str">
        <f>IF(AND('Atividades Micro'!$A222=G$2,'Atividades Micro'!$K222&lt;&gt;""),'Atividades Micro'!$K222,"")</f>
        <v/>
      </c>
      <c r="H198" s="21" t="str">
        <f>IF(AND('Atividades Micro'!$A222=H$2,'Atividades Micro'!$L222&lt;&gt;""),'Atividades Micro'!$L222,"")</f>
        <v/>
      </c>
      <c r="I198" s="21" t="str">
        <f>IF(AND('Atividades Micro'!$A222=I$2,'Atividades Micro'!$K222&lt;&gt;""),'Atividades Micro'!$K222,"")</f>
        <v/>
      </c>
      <c r="J198" s="21" t="str">
        <f>IF(AND('Atividades Micro'!$A222=J$2,'Atividades Micro'!$L222&lt;&gt;""),'Atividades Micro'!$L222,"")</f>
        <v/>
      </c>
      <c r="K198" s="21" t="str">
        <f>IF(AND('Atividades Micro'!$B222=K$2,'Atividades Micro'!$K222&lt;&gt;""),'Atividades Micro'!$K222,"")</f>
        <v/>
      </c>
      <c r="L198" s="21" t="str">
        <f>IF(AND('Atividades Micro'!$B222=L$2,'Atividades Micro'!$L222&lt;&gt;""),'Atividades Micro'!$L222,"")</f>
        <v/>
      </c>
      <c r="M198" s="21" t="str">
        <f>IF(AND('Atividades Micro'!$B222=M$2,'Atividades Micro'!$K222&lt;&gt;""),'Atividades Micro'!$K222,"")</f>
        <v/>
      </c>
      <c r="N198" s="21" t="str">
        <f>IF(AND('Atividades Micro'!$B222=N$2,'Atividades Micro'!$L222&lt;&gt;""),'Atividades Micro'!$L222,"")</f>
        <v/>
      </c>
      <c r="O198" s="21" t="str">
        <f>IF(AND('Atividades Micro'!$A222=O$2,'Atividades Micro'!$K222&lt;&gt;""),'Atividades Micro'!$K222,"")</f>
        <v/>
      </c>
      <c r="P198" s="21" t="str">
        <f>IF(AND('Atividades Micro'!$A222=P$2,'Atividades Micro'!$L222&lt;&gt;""),'Atividades Micro'!$L222,"")</f>
        <v/>
      </c>
      <c r="Q198" s="21" t="str">
        <f>IF(AND('Atividades Micro'!$B222=Q$2,'Atividades Micro'!$K222&lt;&gt;""),'Atividades Micro'!$K222,"")</f>
        <v/>
      </c>
      <c r="R198" s="21" t="str">
        <f>IF(AND('Atividades Micro'!$B222=R$2,'Atividades Micro'!$L222&lt;&gt;""),'Atividades Micro'!$L222,"")</f>
        <v/>
      </c>
      <c r="S198" s="21" t="str">
        <f>IF(AND('Atividades Micro'!$A222=S$2,'Atividades Micro'!$K222&lt;&gt;""),'Atividades Micro'!$K222,"")</f>
        <v/>
      </c>
      <c r="T198" s="21" t="str">
        <f>IF(AND('Atividades Micro'!$A222=T$2,'Atividades Micro'!$L222&lt;&gt;""),'Atividades Micro'!$L222,"")</f>
        <v/>
      </c>
      <c r="U198" s="21" t="str">
        <f>IF(AND('Atividades Micro'!$B222=U$2,'Atividades Micro'!$K222&lt;&gt;""),'Atividades Micro'!$K222,"")</f>
        <v/>
      </c>
      <c r="V198" s="21" t="str">
        <f>IF(AND('Atividades Micro'!$B222=V$2,'Atividades Micro'!$L222&lt;&gt;""),'Atividades Micro'!$L222,"")</f>
        <v/>
      </c>
      <c r="W198" s="21" t="str">
        <f>IF(AND('Atividades Micro'!$B222=W$2,'Atividades Micro'!$K222&lt;&gt;""),'Atividades Micro'!$K222,"")</f>
        <v/>
      </c>
      <c r="X198" s="21" t="str">
        <f>IF(AND('Atividades Micro'!$B222=X$2,'Atividades Micro'!$L222&lt;&gt;""),'Atividades Micro'!$L222,"")</f>
        <v/>
      </c>
      <c r="Y198" s="21" t="str">
        <f>IF(AND('Atividades Micro'!$A222=Y$2,'Atividades Micro'!$K222&lt;&gt;""),'Atividades Micro'!$K222,"")</f>
        <v/>
      </c>
      <c r="Z198" s="21" t="str">
        <f>IF(AND('Atividades Micro'!$A222=Z$2,'Atividades Micro'!$L222&lt;&gt;""),'Atividades Micro'!$L222,"")</f>
        <v/>
      </c>
      <c r="AA198" s="21" t="str">
        <f>IF(AND('Atividades Micro'!$B222=AA$2,'Atividades Micro'!$K222&lt;&gt;""),'Atividades Micro'!$K222,"")</f>
        <v/>
      </c>
      <c r="AB198" s="21" t="str">
        <f>IF(AND('Atividades Micro'!$B222=AB$2,'Atividades Micro'!$L222&lt;&gt;""),'Atividades Micro'!$L222,"")</f>
        <v/>
      </c>
      <c r="AC198" s="21" t="str">
        <f>IF(AND('Atividades Micro'!$B222=AC$2,'Atividades Micro'!$K222&lt;&gt;""),'Atividades Micro'!$K222,"")</f>
        <v/>
      </c>
      <c r="AD198" s="21" t="str">
        <f>IF(AND('Atividades Micro'!$B222=AD$2,'Atividades Micro'!$L222&lt;&gt;""),'Atividades Micro'!$L222,"")</f>
        <v/>
      </c>
      <c r="AE198" s="21">
        <f>IF(AND('Atividades Micro'!$A222=AE$2,'Atividades Micro'!$K222&lt;&gt;""),'Atividades Micro'!$K222,"")</f>
        <v>46385</v>
      </c>
      <c r="AF198" s="21" t="str">
        <f>IF(AND('Atividades Micro'!$A222=AF$2,'Atividades Micro'!$L222&lt;&gt;""),'Atividades Micro'!$L222,"")</f>
        <v/>
      </c>
      <c r="AG198" s="21">
        <f>IF(AND('Atividades Micro'!$B222=AG$2,'Atividades Micro'!$K222&lt;&gt;""),'Atividades Micro'!$K222,"")</f>
        <v>46385</v>
      </c>
      <c r="AH198" s="21" t="str">
        <f>IF(AND('Atividades Micro'!$B222=AH$2,'Atividades Micro'!$L222&lt;&gt;""),'Atividades Micro'!$L222,"")</f>
        <v/>
      </c>
      <c r="AI198" s="21" t="str">
        <f>IF(AND('Atividades Micro'!$B222=AI$2,'Atividades Micro'!$K222&lt;&gt;""),'Atividades Micro'!$K222,"")</f>
        <v/>
      </c>
      <c r="AJ198" s="21" t="str">
        <f>IF(AND('Atividades Micro'!$B222=AJ$2,'Atividades Micro'!$L222&lt;&gt;""),'Atividades Micro'!$L222,"")</f>
        <v/>
      </c>
      <c r="AK198" s="21" t="str">
        <f>IF(AND('Atividades Micro'!$A222=AK$2,'Atividades Micro'!$K222&lt;&gt;""),'Atividades Micro'!$K222,"")</f>
        <v/>
      </c>
      <c r="AL198" s="21" t="str">
        <f>IF(AND('Atividades Micro'!$A222=AL$2,'Atividades Micro'!$L222&lt;&gt;""),'Atividades Micro'!$L222,"")</f>
        <v/>
      </c>
      <c r="AM198" s="21" t="str">
        <f>IF(AND('Atividades Micro'!$B222=AM$2,'Atividades Micro'!$K222&lt;&gt;""),'Atividades Micro'!$K222,"")</f>
        <v/>
      </c>
      <c r="AN198" s="21" t="str">
        <f>IF(AND('Atividades Micro'!$B222=AN$2,'Atividades Micro'!$L222&lt;&gt;""),'Atividades Micro'!$L222,"")</f>
        <v/>
      </c>
      <c r="AO198" s="21" t="str">
        <f>IF(AND('Atividades Micro'!$B222=AO$2,'Atividades Micro'!$K222&lt;&gt;""),'Atividades Micro'!$K222,"")</f>
        <v/>
      </c>
      <c r="AP198" s="21" t="str">
        <f>IF(AND('Atividades Micro'!$B222=AP$2,'Atividades Micro'!$L222&lt;&gt;""),'Atividades Micro'!$L222,"")</f>
        <v/>
      </c>
      <c r="AQ198" s="21" t="str">
        <f>IF(AND('Atividades Micro'!$A222=AQ$2,'Atividades Micro'!$K222&lt;&gt;""),'Atividades Micro'!$K222,"")</f>
        <v/>
      </c>
      <c r="AR198" s="21" t="str">
        <f>IF(AND('Atividades Micro'!$A222=AR$2,'Atividades Micro'!$L222&lt;&gt;""),'Atividades Micro'!$L222,"")</f>
        <v/>
      </c>
      <c r="AS198" s="21" t="str">
        <f>IF(AND('Atividades Micro'!$B222=AS$2,'Atividades Micro'!$K222&lt;&gt;""),'Atividades Micro'!$K222,"")</f>
        <v/>
      </c>
      <c r="AT198" s="21" t="str">
        <f>IF(AND('Atividades Micro'!$B222=AT$2,'Atividades Micro'!$L222&lt;&gt;""),'Atividades Micro'!$L222,"")</f>
        <v/>
      </c>
      <c r="AU198" s="21" t="str">
        <f>IF(AND('Atividades Micro'!$A222=AU$2,'Atividades Micro'!$K222&lt;&gt;""),'Atividades Micro'!$K222,"")</f>
        <v/>
      </c>
      <c r="AV198" s="21" t="str">
        <f>IF(AND('Atividades Micro'!$A222=AV$2,'Atividades Micro'!$L222&lt;&gt;""),'Atividades Micro'!$L222,"")</f>
        <v/>
      </c>
      <c r="AW198" s="21" t="str">
        <f>IF(AND('Atividades Micro'!$B222=AW$2,'Atividades Micro'!$K222&lt;&gt;""),'Atividades Micro'!$K222,"")</f>
        <v/>
      </c>
      <c r="AX198" s="21" t="str">
        <f>IF(AND('Atividades Micro'!$B222=AX$2,'Atividades Micro'!$L222&lt;&gt;""),'Atividades Micro'!$L222,"")</f>
        <v/>
      </c>
      <c r="AY198" s="21" t="str">
        <f>IF(AND('Atividades Micro'!$A222=AY$2,'Atividades Micro'!$K222&lt;&gt;""),'Atividades Micro'!$K222,"")</f>
        <v/>
      </c>
      <c r="AZ198" s="21" t="str">
        <f>IF(AND('Atividades Micro'!$A222=AZ$2,'Atividades Micro'!$L222&lt;&gt;""),'Atividades Micro'!$L222,"")</f>
        <v/>
      </c>
      <c r="BA198" s="21" t="str">
        <f>IF(AND('Atividades Micro'!$B222=BA$2,'Atividades Micro'!$K222&lt;&gt;""),'Atividades Micro'!$K222,"")</f>
        <v/>
      </c>
      <c r="BB198" s="21" t="str">
        <f>IF(AND('Atividades Micro'!$B222=BB$2,'Atividades Micro'!$L222&lt;&gt;""),'Atividades Micro'!$L222,"")</f>
        <v/>
      </c>
      <c r="BC198" s="21" t="str">
        <f>IF(AND('Atividades Micro'!$B222=BC$2,'Atividades Micro'!$G222="Macro",'Atividades Micro'!$K222&lt;&gt;""),'Atividades Micro'!$K222,"")</f>
        <v/>
      </c>
      <c r="BD198" s="21" t="str">
        <f>IF(AND('Atividades Micro'!$B222=BD$2,'Atividades Micro'!$G222="Macro",'Atividades Micro'!$K222&lt;&gt;""),'Atividades Micro'!$K222,"")</f>
        <v/>
      </c>
      <c r="BE198" s="21" t="str">
        <f>IF(AND('Atividades Micro'!$B222=BE$2,'Atividades Micro'!$G222="Macro",'Atividades Micro'!$K222&lt;&gt;""),'Atividades Micro'!$K222,"")</f>
        <v/>
      </c>
      <c r="BF198" s="21" t="str">
        <f>IF(AND('Atividades Micro'!$B222=BF$2,'Atividades Micro'!$G222="Macro",'Atividades Micro'!$K222&lt;&gt;""),'Atividades Micro'!$K222,"")</f>
        <v/>
      </c>
      <c r="BG198" s="21" t="str">
        <f>IF(AND('Atividades Micro'!$B222=BG$2,'Atividades Micro'!$G222="Macro",'Atividades Micro'!$K222&lt;&gt;""),'Atividades Micro'!$K222,"")</f>
        <v/>
      </c>
      <c r="BH198" s="21" t="str">
        <f>IF(AND('Atividades Micro'!$B222=BH$2,'Atividades Micro'!$G222="Macro",'Atividades Micro'!$K222&lt;&gt;""),'Atividades Micro'!$K222,"")</f>
        <v/>
      </c>
      <c r="BI198" s="21" t="str">
        <f>IF(AND('Atividades Micro'!$B222=BI$2,'Atividades Micro'!$G222="Macro",'Atividades Micro'!$K222&lt;&gt;""),'Atividades Micro'!$K222,"")</f>
        <v/>
      </c>
      <c r="BJ198" s="21" t="str">
        <f>IF(AND('Atividades Micro'!$B222=BJ$2,'Atividades Micro'!$G222="Macro",'Atividades Micro'!$K222&lt;&gt;""),'Atividades Micro'!$K222,"")</f>
        <v/>
      </c>
      <c r="BK198" s="21" t="str">
        <f>IF(AND('Atividades Micro'!$B222=BK$2,'Atividades Micro'!$G222="Macro",'Atividades Micro'!$K222&lt;&gt;""),'Atividades Micro'!$K222,"")</f>
        <v/>
      </c>
      <c r="BL198" s="21" t="str">
        <f>IF(AND('Atividades Micro'!$B222=BL$2,'Atividades Micro'!$G222="Macro",'Atividades Micro'!$K222&lt;&gt;""),'Atividades Micro'!$K222,"")</f>
        <v/>
      </c>
      <c r="BM198" s="21" t="str">
        <f>IF(AND('Atividades Micro'!$B222=BM$2,'Atividades Micro'!$G222="Macro",'Atividades Micro'!$K222&lt;&gt;""),'Atividades Micro'!$K222,"")</f>
        <v/>
      </c>
      <c r="BN198" s="21" t="str">
        <f>IF(AND('Atividades Micro'!$B222=BN$2,'Atividades Micro'!$G222="Macro",'Atividades Micro'!$K222&lt;&gt;""),'Atividades Micro'!$K222,"")</f>
        <v/>
      </c>
      <c r="BO198" s="21" t="str">
        <f>IF(AND('Atividades Micro'!$B222=BO$2,'Atividades Micro'!$G222="Macro",'Atividades Micro'!$K222&lt;&gt;""),'Atividades Micro'!$K222,"")</f>
        <v/>
      </c>
      <c r="BP198" s="21" t="str">
        <f>IF(AND('Atividades Micro'!$B222=BP$2,'Atividades Micro'!$G222="Macro",'Atividades Micro'!$K222&lt;&gt;""),'Atividades Micro'!$K222,"")</f>
        <v/>
      </c>
      <c r="BQ198" s="21" t="str">
        <f>IF(AND('Atividades Micro'!$B222=BQ$2,'Atividades Micro'!$G222="Macro",'Atividades Micro'!$K222&lt;&gt;""),'Atividades Micro'!$K222,"")</f>
        <v/>
      </c>
      <c r="BR198" s="21" t="str">
        <f>IF(AND('Atividades Micro'!$B222=BR$2,'Atividades Micro'!$G222="Macro",'Atividades Micro'!$K222&lt;&gt;""),'Atividades Micro'!$K222,"")</f>
        <v/>
      </c>
      <c r="BS198" s="21" t="str">
        <f>IF(AND('Atividades Micro'!$B222=BS$2,'Atividades Micro'!$G222="Macro",'Atividades Micro'!$K222&lt;&gt;""),'Atividades Micro'!$K222,"")</f>
        <v/>
      </c>
      <c r="BT198" s="21" t="str">
        <f>IF(AND('Atividades Micro'!$B222=BT$2,'Atividades Micro'!$G222="Macro",'Atividades Micro'!$K222&lt;&gt;""),'Atividades Micro'!$K222,"")</f>
        <v/>
      </c>
      <c r="BU198" s="21" t="str">
        <f>IF(AND('Atividades Micro'!$B222=BU$2,'Atividades Micro'!$G222="Macro",'Atividades Micro'!$K222&lt;&gt;""),'Atividades Micro'!$K222,"")</f>
        <v/>
      </c>
      <c r="BV198" s="21" t="str">
        <f>IF(AND('Atividades Micro'!$B222=BV$2,'Atividades Micro'!$G222="Macro",'Atividades Micro'!$K222&lt;&gt;""),'Atividades Micro'!$K222,"")</f>
        <v/>
      </c>
      <c r="BW198" s="21" t="str">
        <f>IF(AND('Atividades Micro'!$B222=BW$2,'Atividades Micro'!$G222="Macro",'Atividades Micro'!$K222&lt;&gt;""),'Atividades Micro'!$K222,"")</f>
        <v/>
      </c>
      <c r="BX198" s="21" t="str">
        <f>IF(AND('Atividades Micro'!$B222=BX$2,'Atividades Micro'!$G222="Macro",'Atividades Micro'!$K222&lt;&gt;""),'Atividades Micro'!$K222,"")</f>
        <v/>
      </c>
      <c r="BY198" s="21" t="str">
        <f>IF(AND('Atividades Micro'!$B222=BY$2,'Atividades Micro'!$G222="Macro",'Atividades Micro'!$K222&lt;&gt;""),'Atividades Micro'!$K222,"")</f>
        <v/>
      </c>
      <c r="BZ198" s="21" t="str">
        <f>IF(AND('Atividades Micro'!$B222=BZ$2,'Atividades Micro'!$G222="Macro",'Atividades Micro'!$K222&lt;&gt;""),'Atividades Micro'!$K222,"")</f>
        <v/>
      </c>
      <c r="CA198" s="21" t="str">
        <f>IF(AND('Atividades Micro'!$B222=CA$2,'Atividades Micro'!$G222="Macro",'Atividades Micro'!$K222&lt;&gt;""),'Atividades Micro'!$K222,"")</f>
        <v/>
      </c>
      <c r="CB198" s="21" t="str">
        <f>IF(AND('Atividades Micro'!$B222=CB$2,'Atividades Micro'!$G222="Macro",'Atividades Micro'!$K222&lt;&gt;""),'Atividades Micro'!$K222,"")</f>
        <v/>
      </c>
      <c r="CC198" s="21" t="str">
        <f>IF(AND('Atividades Micro'!$B222=CC$2,'Atividades Micro'!$G222="Macro",'Atividades Micro'!$K222&lt;&gt;""),'Atividades Micro'!$K222,"")</f>
        <v/>
      </c>
      <c r="CD198" s="21" t="str">
        <f>IF(AND('Atividades Micro'!$B222=CD$2,'Atividades Micro'!$G222="Micro",'Atividades Micro'!$K222&lt;&gt;""),'Atividades Micro'!$K222,"")</f>
        <v/>
      </c>
      <c r="CE198" s="21" t="str">
        <f>IF(AND('Atividades Micro'!$B222=CE$2,'Atividades Micro'!$G222="Micro",'Atividades Micro'!$K222&lt;&gt;""),'Atividades Micro'!$K222,"")</f>
        <v/>
      </c>
      <c r="CF198" s="21" t="str">
        <f>IF(AND('Atividades Micro'!$B222=CF$2,'Atividades Micro'!$G222="Micro",'Atividades Micro'!$K222&lt;&gt;""),'Atividades Micro'!$K222,"")</f>
        <v/>
      </c>
      <c r="CG198" s="21" t="str">
        <f>IF(AND('Atividades Micro'!$B222=CG$2,'Atividades Micro'!$G222="Micro",'Atividades Micro'!$K222&lt;&gt;""),'Atividades Micro'!$K222,"")</f>
        <v/>
      </c>
      <c r="CH198" s="21" t="str">
        <f>IF(AND('Atividades Micro'!$B222=CH$2,'Atividades Micro'!$G222="Micro",'Atividades Micro'!$K222&lt;&gt;""),'Atividades Micro'!$K222,"")</f>
        <v/>
      </c>
      <c r="CI198" s="21" t="str">
        <f>IF(AND('Atividades Micro'!$B222=CI$2,'Atividades Micro'!$G222="Micro",'Atividades Micro'!$K222&lt;&gt;""),'Atividades Micro'!$K222,"")</f>
        <v/>
      </c>
      <c r="CJ198" s="21" t="str">
        <f>IF(AND('Atividades Micro'!$B222=CJ$2,'Atividades Micro'!$G222="Micro",'Atividades Micro'!$K222&lt;&gt;""),'Atividades Micro'!$K222,"")</f>
        <v/>
      </c>
      <c r="CK198" s="21">
        <f>IF(AND('Atividades Micro'!$B222=CK$2,'Atividades Micro'!$G222="Micro",'Atividades Micro'!$K222&lt;&gt;""),'Atividades Micro'!$K222,"")</f>
        <v>46385</v>
      </c>
      <c r="CL198" s="21" t="str">
        <f>IF(AND('Atividades Micro'!$B222=CL$2,'Atividades Micro'!$G222="Micro",'Atividades Micro'!$K222&lt;&gt;""),'Atividades Micro'!$K222,"")</f>
        <v/>
      </c>
      <c r="CM198" s="21" t="str">
        <f>IF(AND('Atividades Micro'!$B222=CM$2,'Atividades Micro'!$G222="Micro",'Atividades Micro'!$K222&lt;&gt;""),'Atividades Micro'!$K222,"")</f>
        <v/>
      </c>
      <c r="CN198" s="21" t="str">
        <f>IF(AND('Atividades Micro'!$B222=CN$2,'Atividades Micro'!$G222="Micro",'Atividades Micro'!$K222&lt;&gt;""),'Atividades Micro'!$K222,"")</f>
        <v/>
      </c>
      <c r="CO198" s="21" t="str">
        <f>IF(AND('Atividades Micro'!$B222=CO$2,'Atividades Micro'!$G222="Micro",'Atividades Micro'!$K222&lt;&gt;""),'Atividades Micro'!$K222,"")</f>
        <v/>
      </c>
    </row>
    <row r="199" spans="1:93">
      <c r="A199" s="21" t="str">
        <f>IF(AND('Atividades Micro'!$A223=A$2,'Atividades Micro'!$K223&lt;&gt;""),'Atividades Micro'!$K223,"")</f>
        <v/>
      </c>
      <c r="B199" s="21" t="str">
        <f>IF(AND('Atividades Micro'!$A223=B$2,'Atividades Micro'!$L223&lt;&gt;""),'Atividades Micro'!$L223,"")</f>
        <v/>
      </c>
      <c r="C199" s="21" t="str">
        <f>IF(AND('Atividades Micro'!$A223=C$2,'Atividades Micro'!$K223&lt;&gt;""),'Atividades Micro'!$K223,"")</f>
        <v/>
      </c>
      <c r="D199" s="21" t="str">
        <f>IF(AND('Atividades Micro'!$A223=D$2,'Atividades Micro'!$L223&lt;&gt;""),'Atividades Micro'!$L223,"")</f>
        <v/>
      </c>
      <c r="E199" s="21" t="str">
        <f>IF(AND('Atividades Micro'!$A223=E$2,'Atividades Micro'!$K223&lt;&gt;""),'Atividades Micro'!$K223,"")</f>
        <v/>
      </c>
      <c r="F199" s="21" t="str">
        <f>IF(AND('Atividades Micro'!$A223=F$2,'Atividades Micro'!$L223&lt;&gt;""),'Atividades Micro'!$L223,"")</f>
        <v/>
      </c>
      <c r="G199" s="21" t="str">
        <f>IF(AND('Atividades Micro'!$A223=G$2,'Atividades Micro'!$K223&lt;&gt;""),'Atividades Micro'!$K223,"")</f>
        <v/>
      </c>
      <c r="H199" s="21" t="str">
        <f>IF(AND('Atividades Micro'!$A223=H$2,'Atividades Micro'!$L223&lt;&gt;""),'Atividades Micro'!$L223,"")</f>
        <v/>
      </c>
      <c r="I199" s="21" t="str">
        <f>IF(AND('Atividades Micro'!$A223=I$2,'Atividades Micro'!$K223&lt;&gt;""),'Atividades Micro'!$K223,"")</f>
        <v/>
      </c>
      <c r="J199" s="21" t="str">
        <f>IF(AND('Atividades Micro'!$A223=J$2,'Atividades Micro'!$L223&lt;&gt;""),'Atividades Micro'!$L223,"")</f>
        <v/>
      </c>
      <c r="K199" s="21" t="str">
        <f>IF(AND('Atividades Micro'!$B223=K$2,'Atividades Micro'!$K223&lt;&gt;""),'Atividades Micro'!$K223,"")</f>
        <v/>
      </c>
      <c r="L199" s="21" t="str">
        <f>IF(AND('Atividades Micro'!$B223=L$2,'Atividades Micro'!$L223&lt;&gt;""),'Atividades Micro'!$L223,"")</f>
        <v/>
      </c>
      <c r="M199" s="21" t="str">
        <f>IF(AND('Atividades Micro'!$B223=M$2,'Atividades Micro'!$K223&lt;&gt;""),'Atividades Micro'!$K223,"")</f>
        <v/>
      </c>
      <c r="N199" s="21" t="str">
        <f>IF(AND('Atividades Micro'!$B223=N$2,'Atividades Micro'!$L223&lt;&gt;""),'Atividades Micro'!$L223,"")</f>
        <v/>
      </c>
      <c r="O199" s="21" t="str">
        <f>IF(AND('Atividades Micro'!$A223=O$2,'Atividades Micro'!$K223&lt;&gt;""),'Atividades Micro'!$K223,"")</f>
        <v/>
      </c>
      <c r="P199" s="21" t="str">
        <f>IF(AND('Atividades Micro'!$A223=P$2,'Atividades Micro'!$L223&lt;&gt;""),'Atividades Micro'!$L223,"")</f>
        <v/>
      </c>
      <c r="Q199" s="21" t="str">
        <f>IF(AND('Atividades Micro'!$B223=Q$2,'Atividades Micro'!$K223&lt;&gt;""),'Atividades Micro'!$K223,"")</f>
        <v/>
      </c>
      <c r="R199" s="21" t="str">
        <f>IF(AND('Atividades Micro'!$B223=R$2,'Atividades Micro'!$L223&lt;&gt;""),'Atividades Micro'!$L223,"")</f>
        <v/>
      </c>
      <c r="S199" s="21" t="str">
        <f>IF(AND('Atividades Micro'!$A223=S$2,'Atividades Micro'!$K223&lt;&gt;""),'Atividades Micro'!$K223,"")</f>
        <v/>
      </c>
      <c r="T199" s="21" t="str">
        <f>IF(AND('Atividades Micro'!$A223=T$2,'Atividades Micro'!$L223&lt;&gt;""),'Atividades Micro'!$L223,"")</f>
        <v/>
      </c>
      <c r="U199" s="21" t="str">
        <f>IF(AND('Atividades Micro'!$B223=U$2,'Atividades Micro'!$K223&lt;&gt;""),'Atividades Micro'!$K223,"")</f>
        <v/>
      </c>
      <c r="V199" s="21" t="str">
        <f>IF(AND('Atividades Micro'!$B223=V$2,'Atividades Micro'!$L223&lt;&gt;""),'Atividades Micro'!$L223,"")</f>
        <v/>
      </c>
      <c r="W199" s="21" t="str">
        <f>IF(AND('Atividades Micro'!$B223=W$2,'Atividades Micro'!$K223&lt;&gt;""),'Atividades Micro'!$K223,"")</f>
        <v/>
      </c>
      <c r="X199" s="21" t="str">
        <f>IF(AND('Atividades Micro'!$B223=X$2,'Atividades Micro'!$L223&lt;&gt;""),'Atividades Micro'!$L223,"")</f>
        <v/>
      </c>
      <c r="Y199" s="21" t="str">
        <f>IF(AND('Atividades Micro'!$A223=Y$2,'Atividades Micro'!$K223&lt;&gt;""),'Atividades Micro'!$K223,"")</f>
        <v/>
      </c>
      <c r="Z199" s="21" t="str">
        <f>IF(AND('Atividades Micro'!$A223=Z$2,'Atividades Micro'!$L223&lt;&gt;""),'Atividades Micro'!$L223,"")</f>
        <v/>
      </c>
      <c r="AA199" s="21" t="str">
        <f>IF(AND('Atividades Micro'!$B223=AA$2,'Atividades Micro'!$K223&lt;&gt;""),'Atividades Micro'!$K223,"")</f>
        <v/>
      </c>
      <c r="AB199" s="21" t="str">
        <f>IF(AND('Atividades Micro'!$B223=AB$2,'Atividades Micro'!$L223&lt;&gt;""),'Atividades Micro'!$L223,"")</f>
        <v/>
      </c>
      <c r="AC199" s="21" t="str">
        <f>IF(AND('Atividades Micro'!$B223=AC$2,'Atividades Micro'!$K223&lt;&gt;""),'Atividades Micro'!$K223,"")</f>
        <v/>
      </c>
      <c r="AD199" s="21" t="str">
        <f>IF(AND('Atividades Micro'!$B223=AD$2,'Atividades Micro'!$L223&lt;&gt;""),'Atividades Micro'!$L223,"")</f>
        <v/>
      </c>
      <c r="AE199" s="21">
        <f>IF(AND('Atividades Micro'!$A223=AE$2,'Atividades Micro'!$K223&lt;&gt;""),'Atividades Micro'!$K223,"")</f>
        <v>46288</v>
      </c>
      <c r="AF199" s="21">
        <f>IF(AND('Atividades Micro'!$A223=AF$2,'Atividades Micro'!$L223&lt;&gt;""),'Atividades Micro'!$L223,"")</f>
        <v>46288</v>
      </c>
      <c r="AG199" s="21">
        <f>IF(AND('Atividades Micro'!$B223=AG$2,'Atividades Micro'!$K223&lt;&gt;""),'Atividades Micro'!$K223,"")</f>
        <v>46288</v>
      </c>
      <c r="AH199" s="21">
        <f>IF(AND('Atividades Micro'!$B223=AH$2,'Atividades Micro'!$L223&lt;&gt;""),'Atividades Micro'!$L223,"")</f>
        <v>46288</v>
      </c>
      <c r="AI199" s="21" t="str">
        <f>IF(AND('Atividades Micro'!$B223=AI$2,'Atividades Micro'!$K223&lt;&gt;""),'Atividades Micro'!$K223,"")</f>
        <v/>
      </c>
      <c r="AJ199" s="21" t="str">
        <f>IF(AND('Atividades Micro'!$B223=AJ$2,'Atividades Micro'!$L223&lt;&gt;""),'Atividades Micro'!$L223,"")</f>
        <v/>
      </c>
      <c r="AK199" s="21" t="str">
        <f>IF(AND('Atividades Micro'!$A223=AK$2,'Atividades Micro'!$K223&lt;&gt;""),'Atividades Micro'!$K223,"")</f>
        <v/>
      </c>
      <c r="AL199" s="21" t="str">
        <f>IF(AND('Atividades Micro'!$A223=AL$2,'Atividades Micro'!$L223&lt;&gt;""),'Atividades Micro'!$L223,"")</f>
        <v/>
      </c>
      <c r="AM199" s="21" t="str">
        <f>IF(AND('Atividades Micro'!$B223=AM$2,'Atividades Micro'!$K223&lt;&gt;""),'Atividades Micro'!$K223,"")</f>
        <v/>
      </c>
      <c r="AN199" s="21" t="str">
        <f>IF(AND('Atividades Micro'!$B223=AN$2,'Atividades Micro'!$L223&lt;&gt;""),'Atividades Micro'!$L223,"")</f>
        <v/>
      </c>
      <c r="AO199" s="21" t="str">
        <f>IF(AND('Atividades Micro'!$B223=AO$2,'Atividades Micro'!$K223&lt;&gt;""),'Atividades Micro'!$K223,"")</f>
        <v/>
      </c>
      <c r="AP199" s="21" t="str">
        <f>IF(AND('Atividades Micro'!$B223=AP$2,'Atividades Micro'!$L223&lt;&gt;""),'Atividades Micro'!$L223,"")</f>
        <v/>
      </c>
      <c r="AQ199" s="21" t="str">
        <f>IF(AND('Atividades Micro'!$A223=AQ$2,'Atividades Micro'!$K223&lt;&gt;""),'Atividades Micro'!$K223,"")</f>
        <v/>
      </c>
      <c r="AR199" s="21" t="str">
        <f>IF(AND('Atividades Micro'!$A223=AR$2,'Atividades Micro'!$L223&lt;&gt;""),'Atividades Micro'!$L223,"")</f>
        <v/>
      </c>
      <c r="AS199" s="21" t="str">
        <f>IF(AND('Atividades Micro'!$B223=AS$2,'Atividades Micro'!$K223&lt;&gt;""),'Atividades Micro'!$K223,"")</f>
        <v/>
      </c>
      <c r="AT199" s="21" t="str">
        <f>IF(AND('Atividades Micro'!$B223=AT$2,'Atividades Micro'!$L223&lt;&gt;""),'Atividades Micro'!$L223,"")</f>
        <v/>
      </c>
      <c r="AU199" s="21" t="str">
        <f>IF(AND('Atividades Micro'!$A223=AU$2,'Atividades Micro'!$K223&lt;&gt;""),'Atividades Micro'!$K223,"")</f>
        <v/>
      </c>
      <c r="AV199" s="21" t="str">
        <f>IF(AND('Atividades Micro'!$A223=AV$2,'Atividades Micro'!$L223&lt;&gt;""),'Atividades Micro'!$L223,"")</f>
        <v/>
      </c>
      <c r="AW199" s="21" t="str">
        <f>IF(AND('Atividades Micro'!$B223=AW$2,'Atividades Micro'!$K223&lt;&gt;""),'Atividades Micro'!$K223,"")</f>
        <v/>
      </c>
      <c r="AX199" s="21" t="str">
        <f>IF(AND('Atividades Micro'!$B223=AX$2,'Atividades Micro'!$L223&lt;&gt;""),'Atividades Micro'!$L223,"")</f>
        <v/>
      </c>
      <c r="AY199" s="21" t="str">
        <f>IF(AND('Atividades Micro'!$A223=AY$2,'Atividades Micro'!$K223&lt;&gt;""),'Atividades Micro'!$K223,"")</f>
        <v/>
      </c>
      <c r="AZ199" s="21" t="str">
        <f>IF(AND('Atividades Micro'!$A223=AZ$2,'Atividades Micro'!$L223&lt;&gt;""),'Atividades Micro'!$L223,"")</f>
        <v/>
      </c>
      <c r="BA199" s="21" t="str">
        <f>IF(AND('Atividades Micro'!$B223=BA$2,'Atividades Micro'!$K223&lt;&gt;""),'Atividades Micro'!$K223,"")</f>
        <v/>
      </c>
      <c r="BB199" s="21" t="str">
        <f>IF(AND('Atividades Micro'!$B223=BB$2,'Atividades Micro'!$L223&lt;&gt;""),'Atividades Micro'!$L223,"")</f>
        <v/>
      </c>
      <c r="BC199" s="21" t="str">
        <f>IF(AND('Atividades Micro'!$B223=BC$2,'Atividades Micro'!$G223="Macro",'Atividades Micro'!$K223&lt;&gt;""),'Atividades Micro'!$K223,"")</f>
        <v/>
      </c>
      <c r="BD199" s="21" t="str">
        <f>IF(AND('Atividades Micro'!$B223=BD$2,'Atividades Micro'!$G223="Macro",'Atividades Micro'!$K223&lt;&gt;""),'Atividades Micro'!$K223,"")</f>
        <v/>
      </c>
      <c r="BE199" s="21" t="str">
        <f>IF(AND('Atividades Micro'!$B223=BE$2,'Atividades Micro'!$G223="Macro",'Atividades Micro'!$K223&lt;&gt;""),'Atividades Micro'!$K223,"")</f>
        <v/>
      </c>
      <c r="BF199" s="21" t="str">
        <f>IF(AND('Atividades Micro'!$B223=BF$2,'Atividades Micro'!$G223="Macro",'Atividades Micro'!$K223&lt;&gt;""),'Atividades Micro'!$K223,"")</f>
        <v/>
      </c>
      <c r="BG199" s="21" t="str">
        <f>IF(AND('Atividades Micro'!$B223=BG$2,'Atividades Micro'!$G223="Macro",'Atividades Micro'!$K223&lt;&gt;""),'Atividades Micro'!$K223,"")</f>
        <v/>
      </c>
      <c r="BH199" s="21" t="str">
        <f>IF(AND('Atividades Micro'!$B223=BH$2,'Atividades Micro'!$G223="Macro",'Atividades Micro'!$K223&lt;&gt;""),'Atividades Micro'!$K223,"")</f>
        <v/>
      </c>
      <c r="BI199" s="21" t="str">
        <f>IF(AND('Atividades Micro'!$B223=BI$2,'Atividades Micro'!$G223="Macro",'Atividades Micro'!$K223&lt;&gt;""),'Atividades Micro'!$K223,"")</f>
        <v/>
      </c>
      <c r="BJ199" s="21" t="str">
        <f>IF(AND('Atividades Micro'!$B223=BJ$2,'Atividades Micro'!$G223="Macro",'Atividades Micro'!$K223&lt;&gt;""),'Atividades Micro'!$K223,"")</f>
        <v/>
      </c>
      <c r="BK199" s="21" t="str">
        <f>IF(AND('Atividades Micro'!$B223=BK$2,'Atividades Micro'!$G223="Macro",'Atividades Micro'!$K223&lt;&gt;""),'Atividades Micro'!$K223,"")</f>
        <v/>
      </c>
      <c r="BL199" s="21" t="str">
        <f>IF(AND('Atividades Micro'!$B223=BL$2,'Atividades Micro'!$G223="Macro",'Atividades Micro'!$K223&lt;&gt;""),'Atividades Micro'!$K223,"")</f>
        <v/>
      </c>
      <c r="BM199" s="21" t="str">
        <f>IF(AND('Atividades Micro'!$B223=BM$2,'Atividades Micro'!$G223="Macro",'Atividades Micro'!$K223&lt;&gt;""),'Atividades Micro'!$K223,"")</f>
        <v/>
      </c>
      <c r="BN199" s="21" t="str">
        <f>IF(AND('Atividades Micro'!$B223=BN$2,'Atividades Micro'!$G223="Macro",'Atividades Micro'!$K223&lt;&gt;""),'Atividades Micro'!$K223,"")</f>
        <v/>
      </c>
      <c r="BO199" s="21" t="str">
        <f>IF(AND('Atividades Micro'!$B223=BO$2,'Atividades Micro'!$G223="Macro",'Atividades Micro'!$K223&lt;&gt;""),'Atividades Micro'!$K223,"")</f>
        <v/>
      </c>
      <c r="BP199" s="21" t="str">
        <f>IF(AND('Atividades Micro'!$B223=BP$2,'Atividades Micro'!$G223="Macro",'Atividades Micro'!$K223&lt;&gt;""),'Atividades Micro'!$K223,"")</f>
        <v/>
      </c>
      <c r="BQ199" s="21" t="str">
        <f>IF(AND('Atividades Micro'!$B223=BQ$2,'Atividades Micro'!$G223="Macro",'Atividades Micro'!$K223&lt;&gt;""),'Atividades Micro'!$K223,"")</f>
        <v/>
      </c>
      <c r="BR199" s="21" t="str">
        <f>IF(AND('Atividades Micro'!$B223=BR$2,'Atividades Micro'!$G223="Macro",'Atividades Micro'!$K223&lt;&gt;""),'Atividades Micro'!$K223,"")</f>
        <v/>
      </c>
      <c r="BS199" s="21">
        <f>IF(AND('Atividades Micro'!$B223=BS$2,'Atividades Micro'!$G223="Macro",'Atividades Micro'!$K223&lt;&gt;""),'Atividades Micro'!$K223,"")</f>
        <v>46288</v>
      </c>
      <c r="BT199" s="21" t="str">
        <f>IF(AND('Atividades Micro'!$B223=BT$2,'Atividades Micro'!$G223="Macro",'Atividades Micro'!$K223&lt;&gt;""),'Atividades Micro'!$K223,"")</f>
        <v/>
      </c>
      <c r="BU199" s="21" t="str">
        <f>IF(AND('Atividades Micro'!$B223=BU$2,'Atividades Micro'!$G223="Macro",'Atividades Micro'!$K223&lt;&gt;""),'Atividades Micro'!$K223,"")</f>
        <v/>
      </c>
      <c r="BV199" s="21" t="str">
        <f>IF(AND('Atividades Micro'!$B223=BV$2,'Atividades Micro'!$G223="Macro",'Atividades Micro'!$K223&lt;&gt;""),'Atividades Micro'!$K223,"")</f>
        <v/>
      </c>
      <c r="BW199" s="21" t="str">
        <f>IF(AND('Atividades Micro'!$B223=BW$2,'Atividades Micro'!$G223="Macro",'Atividades Micro'!$K223&lt;&gt;""),'Atividades Micro'!$K223,"")</f>
        <v/>
      </c>
      <c r="BX199" s="21" t="str">
        <f>IF(AND('Atividades Micro'!$B223=BX$2,'Atividades Micro'!$G223="Macro",'Atividades Micro'!$K223&lt;&gt;""),'Atividades Micro'!$K223,"")</f>
        <v/>
      </c>
      <c r="BY199" s="21" t="str">
        <f>IF(AND('Atividades Micro'!$B223=BY$2,'Atividades Micro'!$G223="Macro",'Atividades Micro'!$K223&lt;&gt;""),'Atividades Micro'!$K223,"")</f>
        <v/>
      </c>
      <c r="BZ199" s="21" t="str">
        <f>IF(AND('Atividades Micro'!$B223=BZ$2,'Atividades Micro'!$G223="Macro",'Atividades Micro'!$K223&lt;&gt;""),'Atividades Micro'!$K223,"")</f>
        <v/>
      </c>
      <c r="CA199" s="21" t="str">
        <f>IF(AND('Atividades Micro'!$B223=CA$2,'Atividades Micro'!$G223="Macro",'Atividades Micro'!$K223&lt;&gt;""),'Atividades Micro'!$K223,"")</f>
        <v/>
      </c>
      <c r="CB199" s="21" t="str">
        <f>IF(AND('Atividades Micro'!$B223=CB$2,'Atividades Micro'!$G223="Macro",'Atividades Micro'!$K223&lt;&gt;""),'Atividades Micro'!$K223,"")</f>
        <v/>
      </c>
      <c r="CC199" s="21" t="str">
        <f>IF(AND('Atividades Micro'!$B223=CC$2,'Atividades Micro'!$G223="Macro",'Atividades Micro'!$K223&lt;&gt;""),'Atividades Micro'!$K223,"")</f>
        <v/>
      </c>
      <c r="CD199" s="21" t="str">
        <f>IF(AND('Atividades Micro'!$B223=CD$2,'Atividades Micro'!$G223="Micro",'Atividades Micro'!$K223&lt;&gt;""),'Atividades Micro'!$K223,"")</f>
        <v/>
      </c>
      <c r="CE199" s="21" t="str">
        <f>IF(AND('Atividades Micro'!$B223=CE$2,'Atividades Micro'!$G223="Micro",'Atividades Micro'!$K223&lt;&gt;""),'Atividades Micro'!$K223,"")</f>
        <v/>
      </c>
      <c r="CF199" s="21" t="str">
        <f>IF(AND('Atividades Micro'!$B223=CF$2,'Atividades Micro'!$G223="Micro",'Atividades Micro'!$K223&lt;&gt;""),'Atividades Micro'!$K223,"")</f>
        <v/>
      </c>
      <c r="CG199" s="21" t="str">
        <f>IF(AND('Atividades Micro'!$B223=CG$2,'Atividades Micro'!$G223="Micro",'Atividades Micro'!$K223&lt;&gt;""),'Atividades Micro'!$K223,"")</f>
        <v/>
      </c>
      <c r="CH199" s="21" t="str">
        <f>IF(AND('Atividades Micro'!$B223=CH$2,'Atividades Micro'!$G223="Micro",'Atividades Micro'!$K223&lt;&gt;""),'Atividades Micro'!$K223,"")</f>
        <v/>
      </c>
      <c r="CI199" s="21" t="str">
        <f>IF(AND('Atividades Micro'!$B223=CI$2,'Atividades Micro'!$G223="Micro",'Atividades Micro'!$K223&lt;&gt;""),'Atividades Micro'!$K223,"")</f>
        <v/>
      </c>
      <c r="CJ199" s="21" t="str">
        <f>IF(AND('Atividades Micro'!$B223=CJ$2,'Atividades Micro'!$G223="Micro",'Atividades Micro'!$K223&lt;&gt;""),'Atividades Micro'!$K223,"")</f>
        <v/>
      </c>
      <c r="CK199" s="21" t="str">
        <f>IF(AND('Atividades Micro'!$B223=CK$2,'Atividades Micro'!$G223="Micro",'Atividades Micro'!$K223&lt;&gt;""),'Atividades Micro'!$K223,"")</f>
        <v/>
      </c>
      <c r="CL199" s="21" t="str">
        <f>IF(AND('Atividades Micro'!$B223=CL$2,'Atividades Micro'!$G223="Micro",'Atividades Micro'!$K223&lt;&gt;""),'Atividades Micro'!$K223,"")</f>
        <v/>
      </c>
      <c r="CM199" s="21" t="str">
        <f>IF(AND('Atividades Micro'!$B223=CM$2,'Atividades Micro'!$G223="Micro",'Atividades Micro'!$K223&lt;&gt;""),'Atividades Micro'!$K223,"")</f>
        <v/>
      </c>
      <c r="CN199" s="21" t="str">
        <f>IF(AND('Atividades Micro'!$B223=CN$2,'Atividades Micro'!$G223="Micro",'Atividades Micro'!$K223&lt;&gt;""),'Atividades Micro'!$K223,"")</f>
        <v/>
      </c>
      <c r="CO199" s="21" t="str">
        <f>IF(AND('Atividades Micro'!$B223=CO$2,'Atividades Micro'!$G223="Micro",'Atividades Micro'!$K223&lt;&gt;""),'Atividades Micro'!$K223,"")</f>
        <v/>
      </c>
    </row>
    <row r="200" spans="1:93">
      <c r="A200" s="21" t="str">
        <f>IF(AND('Atividades Micro'!$A224=A$2,'Atividades Micro'!$K224&lt;&gt;""),'Atividades Micro'!$K224,"")</f>
        <v/>
      </c>
      <c r="B200" s="21" t="str">
        <f>IF(AND('Atividades Micro'!$A224=B$2,'Atividades Micro'!$L224&lt;&gt;""),'Atividades Micro'!$L224,"")</f>
        <v/>
      </c>
      <c r="C200" s="21" t="str">
        <f>IF(AND('Atividades Micro'!$A224=C$2,'Atividades Micro'!$K224&lt;&gt;""),'Atividades Micro'!$K224,"")</f>
        <v/>
      </c>
      <c r="D200" s="21" t="str">
        <f>IF(AND('Atividades Micro'!$A224=D$2,'Atividades Micro'!$L224&lt;&gt;""),'Atividades Micro'!$L224,"")</f>
        <v/>
      </c>
      <c r="E200" s="21" t="str">
        <f>IF(AND('Atividades Micro'!$A224=E$2,'Atividades Micro'!$K224&lt;&gt;""),'Atividades Micro'!$K224,"")</f>
        <v/>
      </c>
      <c r="F200" s="21" t="str">
        <f>IF(AND('Atividades Micro'!$A224=F$2,'Atividades Micro'!$L224&lt;&gt;""),'Atividades Micro'!$L224,"")</f>
        <v/>
      </c>
      <c r="G200" s="21" t="str">
        <f>IF(AND('Atividades Micro'!$A224=G$2,'Atividades Micro'!$K224&lt;&gt;""),'Atividades Micro'!$K224,"")</f>
        <v/>
      </c>
      <c r="H200" s="21" t="str">
        <f>IF(AND('Atividades Micro'!$A224=H$2,'Atividades Micro'!$L224&lt;&gt;""),'Atividades Micro'!$L224,"")</f>
        <v/>
      </c>
      <c r="I200" s="21" t="str">
        <f>IF(AND('Atividades Micro'!$A224=I$2,'Atividades Micro'!$K224&lt;&gt;""),'Atividades Micro'!$K224,"")</f>
        <v/>
      </c>
      <c r="J200" s="21" t="str">
        <f>IF(AND('Atividades Micro'!$A224=J$2,'Atividades Micro'!$L224&lt;&gt;""),'Atividades Micro'!$L224,"")</f>
        <v/>
      </c>
      <c r="K200" s="21" t="str">
        <f>IF(AND('Atividades Micro'!$B224=K$2,'Atividades Micro'!$K224&lt;&gt;""),'Atividades Micro'!$K224,"")</f>
        <v/>
      </c>
      <c r="L200" s="21" t="str">
        <f>IF(AND('Atividades Micro'!$B224=L$2,'Atividades Micro'!$L224&lt;&gt;""),'Atividades Micro'!$L224,"")</f>
        <v/>
      </c>
      <c r="M200" s="21" t="str">
        <f>IF(AND('Atividades Micro'!$B224=M$2,'Atividades Micro'!$K224&lt;&gt;""),'Atividades Micro'!$K224,"")</f>
        <v/>
      </c>
      <c r="N200" s="21" t="str">
        <f>IF(AND('Atividades Micro'!$B224=N$2,'Atividades Micro'!$L224&lt;&gt;""),'Atividades Micro'!$L224,"")</f>
        <v/>
      </c>
      <c r="O200" s="21" t="str">
        <f>IF(AND('Atividades Micro'!$A224=O$2,'Atividades Micro'!$K224&lt;&gt;""),'Atividades Micro'!$K224,"")</f>
        <v/>
      </c>
      <c r="P200" s="21" t="str">
        <f>IF(AND('Atividades Micro'!$A224=P$2,'Atividades Micro'!$L224&lt;&gt;""),'Atividades Micro'!$L224,"")</f>
        <v/>
      </c>
      <c r="Q200" s="21" t="str">
        <f>IF(AND('Atividades Micro'!$B224=Q$2,'Atividades Micro'!$K224&lt;&gt;""),'Atividades Micro'!$K224,"")</f>
        <v/>
      </c>
      <c r="R200" s="21" t="str">
        <f>IF(AND('Atividades Micro'!$B224=R$2,'Atividades Micro'!$L224&lt;&gt;""),'Atividades Micro'!$L224,"")</f>
        <v/>
      </c>
      <c r="S200" s="21" t="str">
        <f>IF(AND('Atividades Micro'!$A224=S$2,'Atividades Micro'!$K224&lt;&gt;""),'Atividades Micro'!$K224,"")</f>
        <v/>
      </c>
      <c r="T200" s="21" t="str">
        <f>IF(AND('Atividades Micro'!$A224=T$2,'Atividades Micro'!$L224&lt;&gt;""),'Atividades Micro'!$L224,"")</f>
        <v/>
      </c>
      <c r="U200" s="21" t="str">
        <f>IF(AND('Atividades Micro'!$B224=U$2,'Atividades Micro'!$K224&lt;&gt;""),'Atividades Micro'!$K224,"")</f>
        <v/>
      </c>
      <c r="V200" s="21" t="str">
        <f>IF(AND('Atividades Micro'!$B224=V$2,'Atividades Micro'!$L224&lt;&gt;""),'Atividades Micro'!$L224,"")</f>
        <v/>
      </c>
      <c r="W200" s="21" t="str">
        <f>IF(AND('Atividades Micro'!$B224=W$2,'Atividades Micro'!$K224&lt;&gt;""),'Atividades Micro'!$K224,"")</f>
        <v/>
      </c>
      <c r="X200" s="21" t="str">
        <f>IF(AND('Atividades Micro'!$B224=X$2,'Atividades Micro'!$L224&lt;&gt;""),'Atividades Micro'!$L224,"")</f>
        <v/>
      </c>
      <c r="Y200" s="21" t="str">
        <f>IF(AND('Atividades Micro'!$A224=Y$2,'Atividades Micro'!$K224&lt;&gt;""),'Atividades Micro'!$K224,"")</f>
        <v/>
      </c>
      <c r="Z200" s="21" t="str">
        <f>IF(AND('Atividades Micro'!$A224=Z$2,'Atividades Micro'!$L224&lt;&gt;""),'Atividades Micro'!$L224,"")</f>
        <v/>
      </c>
      <c r="AA200" s="21" t="str">
        <f>IF(AND('Atividades Micro'!$B224=AA$2,'Atividades Micro'!$K224&lt;&gt;""),'Atividades Micro'!$K224,"")</f>
        <v/>
      </c>
      <c r="AB200" s="21" t="str">
        <f>IF(AND('Atividades Micro'!$B224=AB$2,'Atividades Micro'!$L224&lt;&gt;""),'Atividades Micro'!$L224,"")</f>
        <v/>
      </c>
      <c r="AC200" s="21" t="str">
        <f>IF(AND('Atividades Micro'!$B224=AC$2,'Atividades Micro'!$K224&lt;&gt;""),'Atividades Micro'!$K224,"")</f>
        <v/>
      </c>
      <c r="AD200" s="21" t="str">
        <f>IF(AND('Atividades Micro'!$B224=AD$2,'Atividades Micro'!$L224&lt;&gt;""),'Atividades Micro'!$L224,"")</f>
        <v/>
      </c>
      <c r="AE200" s="21">
        <f>IF(AND('Atividades Micro'!$A224=AE$2,'Atividades Micro'!$K224&lt;&gt;""),'Atividades Micro'!$K224,"")</f>
        <v>46269</v>
      </c>
      <c r="AF200" s="21">
        <f>IF(AND('Atividades Micro'!$A224=AF$2,'Atividades Micro'!$L224&lt;&gt;""),'Atividades Micro'!$L224,"")</f>
        <v>46254</v>
      </c>
      <c r="AG200" s="21">
        <f>IF(AND('Atividades Micro'!$B224=AG$2,'Atividades Micro'!$K224&lt;&gt;""),'Atividades Micro'!$K224,"")</f>
        <v>46269</v>
      </c>
      <c r="AH200" s="21">
        <f>IF(AND('Atividades Micro'!$B224=AH$2,'Atividades Micro'!$L224&lt;&gt;""),'Atividades Micro'!$L224,"")</f>
        <v>46254</v>
      </c>
      <c r="AI200" s="21" t="str">
        <f>IF(AND('Atividades Micro'!$B224=AI$2,'Atividades Micro'!$K224&lt;&gt;""),'Atividades Micro'!$K224,"")</f>
        <v/>
      </c>
      <c r="AJ200" s="21" t="str">
        <f>IF(AND('Atividades Micro'!$B224=AJ$2,'Atividades Micro'!$L224&lt;&gt;""),'Atividades Micro'!$L224,"")</f>
        <v/>
      </c>
      <c r="AK200" s="21" t="str">
        <f>IF(AND('Atividades Micro'!$A224=AK$2,'Atividades Micro'!$K224&lt;&gt;""),'Atividades Micro'!$K224,"")</f>
        <v/>
      </c>
      <c r="AL200" s="21" t="str">
        <f>IF(AND('Atividades Micro'!$A224=AL$2,'Atividades Micro'!$L224&lt;&gt;""),'Atividades Micro'!$L224,"")</f>
        <v/>
      </c>
      <c r="AM200" s="21" t="str">
        <f>IF(AND('Atividades Micro'!$B224=AM$2,'Atividades Micro'!$K224&lt;&gt;""),'Atividades Micro'!$K224,"")</f>
        <v/>
      </c>
      <c r="AN200" s="21" t="str">
        <f>IF(AND('Atividades Micro'!$B224=AN$2,'Atividades Micro'!$L224&lt;&gt;""),'Atividades Micro'!$L224,"")</f>
        <v/>
      </c>
      <c r="AO200" s="21" t="str">
        <f>IF(AND('Atividades Micro'!$B224=AO$2,'Atividades Micro'!$K224&lt;&gt;""),'Atividades Micro'!$K224,"")</f>
        <v/>
      </c>
      <c r="AP200" s="21" t="str">
        <f>IF(AND('Atividades Micro'!$B224=AP$2,'Atividades Micro'!$L224&lt;&gt;""),'Atividades Micro'!$L224,"")</f>
        <v/>
      </c>
      <c r="AQ200" s="21" t="str">
        <f>IF(AND('Atividades Micro'!$A224=AQ$2,'Atividades Micro'!$K224&lt;&gt;""),'Atividades Micro'!$K224,"")</f>
        <v/>
      </c>
      <c r="AR200" s="21" t="str">
        <f>IF(AND('Atividades Micro'!$A224=AR$2,'Atividades Micro'!$L224&lt;&gt;""),'Atividades Micro'!$L224,"")</f>
        <v/>
      </c>
      <c r="AS200" s="21" t="str">
        <f>IF(AND('Atividades Micro'!$B224=AS$2,'Atividades Micro'!$K224&lt;&gt;""),'Atividades Micro'!$K224,"")</f>
        <v/>
      </c>
      <c r="AT200" s="21" t="str">
        <f>IF(AND('Atividades Micro'!$B224=AT$2,'Atividades Micro'!$L224&lt;&gt;""),'Atividades Micro'!$L224,"")</f>
        <v/>
      </c>
      <c r="AU200" s="21" t="str">
        <f>IF(AND('Atividades Micro'!$A224=AU$2,'Atividades Micro'!$K224&lt;&gt;""),'Atividades Micro'!$K224,"")</f>
        <v/>
      </c>
      <c r="AV200" s="21" t="str">
        <f>IF(AND('Atividades Micro'!$A224=AV$2,'Atividades Micro'!$L224&lt;&gt;""),'Atividades Micro'!$L224,"")</f>
        <v/>
      </c>
      <c r="AW200" s="21" t="str">
        <f>IF(AND('Atividades Micro'!$B224=AW$2,'Atividades Micro'!$K224&lt;&gt;""),'Atividades Micro'!$K224,"")</f>
        <v/>
      </c>
      <c r="AX200" s="21" t="str">
        <f>IF(AND('Atividades Micro'!$B224=AX$2,'Atividades Micro'!$L224&lt;&gt;""),'Atividades Micro'!$L224,"")</f>
        <v/>
      </c>
      <c r="AY200" s="21" t="str">
        <f>IF(AND('Atividades Micro'!$A224=AY$2,'Atividades Micro'!$K224&lt;&gt;""),'Atividades Micro'!$K224,"")</f>
        <v/>
      </c>
      <c r="AZ200" s="21" t="str">
        <f>IF(AND('Atividades Micro'!$A224=AZ$2,'Atividades Micro'!$L224&lt;&gt;""),'Atividades Micro'!$L224,"")</f>
        <v/>
      </c>
      <c r="BA200" s="21" t="str">
        <f>IF(AND('Atividades Micro'!$B224=BA$2,'Atividades Micro'!$K224&lt;&gt;""),'Atividades Micro'!$K224,"")</f>
        <v/>
      </c>
      <c r="BB200" s="21" t="str">
        <f>IF(AND('Atividades Micro'!$B224=BB$2,'Atividades Micro'!$L224&lt;&gt;""),'Atividades Micro'!$L224,"")</f>
        <v/>
      </c>
      <c r="BC200" s="21" t="str">
        <f>IF(AND('Atividades Micro'!$B224=BC$2,'Atividades Micro'!$G224="Macro",'Atividades Micro'!$K224&lt;&gt;""),'Atividades Micro'!$K224,"")</f>
        <v/>
      </c>
      <c r="BD200" s="21" t="str">
        <f>IF(AND('Atividades Micro'!$B224=BD$2,'Atividades Micro'!$G224="Macro",'Atividades Micro'!$K224&lt;&gt;""),'Atividades Micro'!$K224,"")</f>
        <v/>
      </c>
      <c r="BE200" s="21" t="str">
        <f>IF(AND('Atividades Micro'!$B224=BE$2,'Atividades Micro'!$G224="Macro",'Atividades Micro'!$K224&lt;&gt;""),'Atividades Micro'!$K224,"")</f>
        <v/>
      </c>
      <c r="BF200" s="21" t="str">
        <f>IF(AND('Atividades Micro'!$B224=BF$2,'Atividades Micro'!$G224="Macro",'Atividades Micro'!$K224&lt;&gt;""),'Atividades Micro'!$K224,"")</f>
        <v/>
      </c>
      <c r="BG200" s="21" t="str">
        <f>IF(AND('Atividades Micro'!$B224=BG$2,'Atividades Micro'!$G224="Macro",'Atividades Micro'!$K224&lt;&gt;""),'Atividades Micro'!$K224,"")</f>
        <v/>
      </c>
      <c r="BH200" s="21" t="str">
        <f>IF(AND('Atividades Micro'!$B224=BH$2,'Atividades Micro'!$G224="Macro",'Atividades Micro'!$K224&lt;&gt;""),'Atividades Micro'!$K224,"")</f>
        <v/>
      </c>
      <c r="BI200" s="21" t="str">
        <f>IF(AND('Atividades Micro'!$B224=BI$2,'Atividades Micro'!$G224="Macro",'Atividades Micro'!$K224&lt;&gt;""),'Atividades Micro'!$K224,"")</f>
        <v/>
      </c>
      <c r="BJ200" s="21" t="str">
        <f>IF(AND('Atividades Micro'!$B224=BJ$2,'Atividades Micro'!$G224="Macro",'Atividades Micro'!$K224&lt;&gt;""),'Atividades Micro'!$K224,"")</f>
        <v/>
      </c>
      <c r="BK200" s="21" t="str">
        <f>IF(AND('Atividades Micro'!$B224=BK$2,'Atividades Micro'!$G224="Macro",'Atividades Micro'!$K224&lt;&gt;""),'Atividades Micro'!$K224,"")</f>
        <v/>
      </c>
      <c r="BL200" s="21" t="str">
        <f>IF(AND('Atividades Micro'!$B224=BL$2,'Atividades Micro'!$G224="Macro",'Atividades Micro'!$K224&lt;&gt;""),'Atividades Micro'!$K224,"")</f>
        <v/>
      </c>
      <c r="BM200" s="21" t="str">
        <f>IF(AND('Atividades Micro'!$B224=BM$2,'Atividades Micro'!$G224="Macro",'Atividades Micro'!$K224&lt;&gt;""),'Atividades Micro'!$K224,"")</f>
        <v/>
      </c>
      <c r="BN200" s="21" t="str">
        <f>IF(AND('Atividades Micro'!$B224=BN$2,'Atividades Micro'!$G224="Macro",'Atividades Micro'!$K224&lt;&gt;""),'Atividades Micro'!$K224,"")</f>
        <v/>
      </c>
      <c r="BO200" s="21" t="str">
        <f>IF(AND('Atividades Micro'!$B224=BO$2,'Atividades Micro'!$G224="Macro",'Atividades Micro'!$K224&lt;&gt;""),'Atividades Micro'!$K224,"")</f>
        <v/>
      </c>
      <c r="BP200" s="21" t="str">
        <f>IF(AND('Atividades Micro'!$B224=BP$2,'Atividades Micro'!$G224="Macro",'Atividades Micro'!$K224&lt;&gt;""),'Atividades Micro'!$K224,"")</f>
        <v/>
      </c>
      <c r="BQ200" s="21" t="str">
        <f>IF(AND('Atividades Micro'!$B224=BQ$2,'Atividades Micro'!$G224="Macro",'Atividades Micro'!$K224&lt;&gt;""),'Atividades Micro'!$K224,"")</f>
        <v/>
      </c>
      <c r="BR200" s="21" t="str">
        <f>IF(AND('Atividades Micro'!$B224=BR$2,'Atividades Micro'!$G224="Macro",'Atividades Micro'!$K224&lt;&gt;""),'Atividades Micro'!$K224,"")</f>
        <v/>
      </c>
      <c r="BS200" s="21" t="str">
        <f>IF(AND('Atividades Micro'!$B224=BS$2,'Atividades Micro'!$G224="Macro",'Atividades Micro'!$K224&lt;&gt;""),'Atividades Micro'!$K224,"")</f>
        <v/>
      </c>
      <c r="BT200" s="21" t="str">
        <f>IF(AND('Atividades Micro'!$B224=BT$2,'Atividades Micro'!$G224="Macro",'Atividades Micro'!$K224&lt;&gt;""),'Atividades Micro'!$K224,"")</f>
        <v/>
      </c>
      <c r="BU200" s="21" t="str">
        <f>IF(AND('Atividades Micro'!$B224=BU$2,'Atividades Micro'!$G224="Macro",'Atividades Micro'!$K224&lt;&gt;""),'Atividades Micro'!$K224,"")</f>
        <v/>
      </c>
      <c r="BV200" s="21" t="str">
        <f>IF(AND('Atividades Micro'!$B224=BV$2,'Atividades Micro'!$G224="Macro",'Atividades Micro'!$K224&lt;&gt;""),'Atividades Micro'!$K224,"")</f>
        <v/>
      </c>
      <c r="BW200" s="21" t="str">
        <f>IF(AND('Atividades Micro'!$B224=BW$2,'Atividades Micro'!$G224="Macro",'Atividades Micro'!$K224&lt;&gt;""),'Atividades Micro'!$K224,"")</f>
        <v/>
      </c>
      <c r="BX200" s="21" t="str">
        <f>IF(AND('Atividades Micro'!$B224=BX$2,'Atividades Micro'!$G224="Macro",'Atividades Micro'!$K224&lt;&gt;""),'Atividades Micro'!$K224,"")</f>
        <v/>
      </c>
      <c r="BY200" s="21" t="str">
        <f>IF(AND('Atividades Micro'!$B224=BY$2,'Atividades Micro'!$G224="Macro",'Atividades Micro'!$K224&lt;&gt;""),'Atividades Micro'!$K224,"")</f>
        <v/>
      </c>
      <c r="BZ200" s="21" t="str">
        <f>IF(AND('Atividades Micro'!$B224=BZ$2,'Atividades Micro'!$G224="Macro",'Atividades Micro'!$K224&lt;&gt;""),'Atividades Micro'!$K224,"")</f>
        <v/>
      </c>
      <c r="CA200" s="21" t="str">
        <f>IF(AND('Atividades Micro'!$B224=CA$2,'Atividades Micro'!$G224="Macro",'Atividades Micro'!$K224&lt;&gt;""),'Atividades Micro'!$K224,"")</f>
        <v/>
      </c>
      <c r="CB200" s="21" t="str">
        <f>IF(AND('Atividades Micro'!$B224=CB$2,'Atividades Micro'!$G224="Macro",'Atividades Micro'!$K224&lt;&gt;""),'Atividades Micro'!$K224,"")</f>
        <v/>
      </c>
      <c r="CC200" s="21" t="str">
        <f>IF(AND('Atividades Micro'!$B224=CC$2,'Atividades Micro'!$G224="Macro",'Atividades Micro'!$K224&lt;&gt;""),'Atividades Micro'!$K224,"")</f>
        <v/>
      </c>
      <c r="CD200" s="21" t="str">
        <f>IF(AND('Atividades Micro'!$B224=CD$2,'Atividades Micro'!$G224="Micro",'Atividades Micro'!$K224&lt;&gt;""),'Atividades Micro'!$K224,"")</f>
        <v/>
      </c>
      <c r="CE200" s="21" t="str">
        <f>IF(AND('Atividades Micro'!$B224=CE$2,'Atividades Micro'!$G224="Micro",'Atividades Micro'!$K224&lt;&gt;""),'Atividades Micro'!$K224,"")</f>
        <v/>
      </c>
      <c r="CF200" s="21" t="str">
        <f>IF(AND('Atividades Micro'!$B224=CF$2,'Atividades Micro'!$G224="Micro",'Atividades Micro'!$K224&lt;&gt;""),'Atividades Micro'!$K224,"")</f>
        <v/>
      </c>
      <c r="CG200" s="21" t="str">
        <f>IF(AND('Atividades Micro'!$B224=CG$2,'Atividades Micro'!$G224="Micro",'Atividades Micro'!$K224&lt;&gt;""),'Atividades Micro'!$K224,"")</f>
        <v/>
      </c>
      <c r="CH200" s="21" t="str">
        <f>IF(AND('Atividades Micro'!$B224=CH$2,'Atividades Micro'!$G224="Micro",'Atividades Micro'!$K224&lt;&gt;""),'Atividades Micro'!$K224,"")</f>
        <v/>
      </c>
      <c r="CI200" s="21" t="str">
        <f>IF(AND('Atividades Micro'!$B224=CI$2,'Atividades Micro'!$G224="Micro",'Atividades Micro'!$K224&lt;&gt;""),'Atividades Micro'!$K224,"")</f>
        <v/>
      </c>
      <c r="CJ200" s="21" t="str">
        <f>IF(AND('Atividades Micro'!$B224=CJ$2,'Atividades Micro'!$G224="Micro",'Atividades Micro'!$K224&lt;&gt;""),'Atividades Micro'!$K224,"")</f>
        <v/>
      </c>
      <c r="CK200" s="21">
        <f>IF(AND('Atividades Micro'!$B224=CK$2,'Atividades Micro'!$G224="Micro",'Atividades Micro'!$K224&lt;&gt;""),'Atividades Micro'!$K224,"")</f>
        <v>46269</v>
      </c>
      <c r="CL200" s="21" t="str">
        <f>IF(AND('Atividades Micro'!$B224=CL$2,'Atividades Micro'!$G224="Micro",'Atividades Micro'!$K224&lt;&gt;""),'Atividades Micro'!$K224,"")</f>
        <v/>
      </c>
      <c r="CM200" s="21" t="str">
        <f>IF(AND('Atividades Micro'!$B224=CM$2,'Atividades Micro'!$G224="Micro",'Atividades Micro'!$K224&lt;&gt;""),'Atividades Micro'!$K224,"")</f>
        <v/>
      </c>
      <c r="CN200" s="21" t="str">
        <f>IF(AND('Atividades Micro'!$B224=CN$2,'Atividades Micro'!$G224="Micro",'Atividades Micro'!$K224&lt;&gt;""),'Atividades Micro'!$K224,"")</f>
        <v/>
      </c>
      <c r="CO200" s="21" t="str">
        <f>IF(AND('Atividades Micro'!$B224=CO$2,'Atividades Micro'!$G224="Micro",'Atividades Micro'!$K224&lt;&gt;""),'Atividades Micro'!$K224,"")</f>
        <v/>
      </c>
    </row>
    <row r="201" spans="1:93">
      <c r="A201" s="21" t="str">
        <f>IF(AND('Atividades Micro'!$A225=A$2,'Atividades Micro'!$K225&lt;&gt;""),'Atividades Micro'!$K225,"")</f>
        <v/>
      </c>
      <c r="B201" s="21" t="str">
        <f>IF(AND('Atividades Micro'!$A225=B$2,'Atividades Micro'!$L225&lt;&gt;""),'Atividades Micro'!$L225,"")</f>
        <v/>
      </c>
      <c r="C201" s="21" t="str">
        <f>IF(AND('Atividades Micro'!$A225=C$2,'Atividades Micro'!$K225&lt;&gt;""),'Atividades Micro'!$K225,"")</f>
        <v/>
      </c>
      <c r="D201" s="21" t="str">
        <f>IF(AND('Atividades Micro'!$A225=D$2,'Atividades Micro'!$L225&lt;&gt;""),'Atividades Micro'!$L225,"")</f>
        <v/>
      </c>
      <c r="E201" s="21" t="str">
        <f>IF(AND('Atividades Micro'!$A225=E$2,'Atividades Micro'!$K225&lt;&gt;""),'Atividades Micro'!$K225,"")</f>
        <v/>
      </c>
      <c r="F201" s="21" t="str">
        <f>IF(AND('Atividades Micro'!$A225=F$2,'Atividades Micro'!$L225&lt;&gt;""),'Atividades Micro'!$L225,"")</f>
        <v/>
      </c>
      <c r="G201" s="21" t="str">
        <f>IF(AND('Atividades Micro'!$A225=G$2,'Atividades Micro'!$K225&lt;&gt;""),'Atividades Micro'!$K225,"")</f>
        <v/>
      </c>
      <c r="H201" s="21" t="str">
        <f>IF(AND('Atividades Micro'!$A225=H$2,'Atividades Micro'!$L225&lt;&gt;""),'Atividades Micro'!$L225,"")</f>
        <v/>
      </c>
      <c r="I201" s="21" t="str">
        <f>IF(AND('Atividades Micro'!$A225=I$2,'Atividades Micro'!$K225&lt;&gt;""),'Atividades Micro'!$K225,"")</f>
        <v/>
      </c>
      <c r="J201" s="21" t="str">
        <f>IF(AND('Atividades Micro'!$A225=J$2,'Atividades Micro'!$L225&lt;&gt;""),'Atividades Micro'!$L225,"")</f>
        <v/>
      </c>
      <c r="K201" s="21" t="str">
        <f>IF(AND('Atividades Micro'!$B225=K$2,'Atividades Micro'!$K225&lt;&gt;""),'Atividades Micro'!$K225,"")</f>
        <v/>
      </c>
      <c r="L201" s="21" t="str">
        <f>IF(AND('Atividades Micro'!$B225=L$2,'Atividades Micro'!$L225&lt;&gt;""),'Atividades Micro'!$L225,"")</f>
        <v/>
      </c>
      <c r="M201" s="21" t="str">
        <f>IF(AND('Atividades Micro'!$B225=M$2,'Atividades Micro'!$K225&lt;&gt;""),'Atividades Micro'!$K225,"")</f>
        <v/>
      </c>
      <c r="N201" s="21" t="str">
        <f>IF(AND('Atividades Micro'!$B225=N$2,'Atividades Micro'!$L225&lt;&gt;""),'Atividades Micro'!$L225,"")</f>
        <v/>
      </c>
      <c r="O201" s="21" t="str">
        <f>IF(AND('Atividades Micro'!$A225=O$2,'Atividades Micro'!$K225&lt;&gt;""),'Atividades Micro'!$K225,"")</f>
        <v/>
      </c>
      <c r="P201" s="21" t="str">
        <f>IF(AND('Atividades Micro'!$A225=P$2,'Atividades Micro'!$L225&lt;&gt;""),'Atividades Micro'!$L225,"")</f>
        <v/>
      </c>
      <c r="Q201" s="21" t="str">
        <f>IF(AND('Atividades Micro'!$B225=Q$2,'Atividades Micro'!$K225&lt;&gt;""),'Atividades Micro'!$K225,"")</f>
        <v/>
      </c>
      <c r="R201" s="21" t="str">
        <f>IF(AND('Atividades Micro'!$B225=R$2,'Atividades Micro'!$L225&lt;&gt;""),'Atividades Micro'!$L225,"")</f>
        <v/>
      </c>
      <c r="S201" s="21" t="str">
        <f>IF(AND('Atividades Micro'!$A225=S$2,'Atividades Micro'!$K225&lt;&gt;""),'Atividades Micro'!$K225,"")</f>
        <v/>
      </c>
      <c r="T201" s="21" t="str">
        <f>IF(AND('Atividades Micro'!$A225=T$2,'Atividades Micro'!$L225&lt;&gt;""),'Atividades Micro'!$L225,"")</f>
        <v/>
      </c>
      <c r="U201" s="21" t="str">
        <f>IF(AND('Atividades Micro'!$B225=U$2,'Atividades Micro'!$K225&lt;&gt;""),'Atividades Micro'!$K225,"")</f>
        <v/>
      </c>
      <c r="V201" s="21" t="str">
        <f>IF(AND('Atividades Micro'!$B225=V$2,'Atividades Micro'!$L225&lt;&gt;""),'Atividades Micro'!$L225,"")</f>
        <v/>
      </c>
      <c r="W201" s="21" t="str">
        <f>IF(AND('Atividades Micro'!$B225=W$2,'Atividades Micro'!$K225&lt;&gt;""),'Atividades Micro'!$K225,"")</f>
        <v/>
      </c>
      <c r="X201" s="21" t="str">
        <f>IF(AND('Atividades Micro'!$B225=X$2,'Atividades Micro'!$L225&lt;&gt;""),'Atividades Micro'!$L225,"")</f>
        <v/>
      </c>
      <c r="Y201" s="21" t="str">
        <f>IF(AND('Atividades Micro'!$A225=Y$2,'Atividades Micro'!$K225&lt;&gt;""),'Atividades Micro'!$K225,"")</f>
        <v/>
      </c>
      <c r="Z201" s="21" t="str">
        <f>IF(AND('Atividades Micro'!$A225=Z$2,'Atividades Micro'!$L225&lt;&gt;""),'Atividades Micro'!$L225,"")</f>
        <v/>
      </c>
      <c r="AA201" s="21" t="str">
        <f>IF(AND('Atividades Micro'!$B225=AA$2,'Atividades Micro'!$K225&lt;&gt;""),'Atividades Micro'!$K225,"")</f>
        <v/>
      </c>
      <c r="AB201" s="21" t="str">
        <f>IF(AND('Atividades Micro'!$B225=AB$2,'Atividades Micro'!$L225&lt;&gt;""),'Atividades Micro'!$L225,"")</f>
        <v/>
      </c>
      <c r="AC201" s="21" t="str">
        <f>IF(AND('Atividades Micro'!$B225=AC$2,'Atividades Micro'!$K225&lt;&gt;""),'Atividades Micro'!$K225,"")</f>
        <v/>
      </c>
      <c r="AD201" s="21" t="str">
        <f>IF(AND('Atividades Micro'!$B225=AD$2,'Atividades Micro'!$L225&lt;&gt;""),'Atividades Micro'!$L225,"")</f>
        <v/>
      </c>
      <c r="AE201" s="21">
        <f>IF(AND('Atividades Micro'!$A225=AE$2,'Atividades Micro'!$K225&lt;&gt;""),'Atividades Micro'!$K225,"")</f>
        <v>46288</v>
      </c>
      <c r="AF201" s="21">
        <f>IF(AND('Atividades Micro'!$A225=AF$2,'Atividades Micro'!$L225&lt;&gt;""),'Atividades Micro'!$L225,"")</f>
        <v>46288</v>
      </c>
      <c r="AG201" s="21">
        <f>IF(AND('Atividades Micro'!$B225=AG$2,'Atividades Micro'!$K225&lt;&gt;""),'Atividades Micro'!$K225,"")</f>
        <v>46288</v>
      </c>
      <c r="AH201" s="21">
        <f>IF(AND('Atividades Micro'!$B225=AH$2,'Atividades Micro'!$L225&lt;&gt;""),'Atividades Micro'!$L225,"")</f>
        <v>46288</v>
      </c>
      <c r="AI201" s="21" t="str">
        <f>IF(AND('Atividades Micro'!$B225=AI$2,'Atividades Micro'!$K225&lt;&gt;""),'Atividades Micro'!$K225,"")</f>
        <v/>
      </c>
      <c r="AJ201" s="21" t="str">
        <f>IF(AND('Atividades Micro'!$B225=AJ$2,'Atividades Micro'!$L225&lt;&gt;""),'Atividades Micro'!$L225,"")</f>
        <v/>
      </c>
      <c r="AK201" s="21" t="str">
        <f>IF(AND('Atividades Micro'!$A225=AK$2,'Atividades Micro'!$K225&lt;&gt;""),'Atividades Micro'!$K225,"")</f>
        <v/>
      </c>
      <c r="AL201" s="21" t="str">
        <f>IF(AND('Atividades Micro'!$A225=AL$2,'Atividades Micro'!$L225&lt;&gt;""),'Atividades Micro'!$L225,"")</f>
        <v/>
      </c>
      <c r="AM201" s="21" t="str">
        <f>IF(AND('Atividades Micro'!$B225=AM$2,'Atividades Micro'!$K225&lt;&gt;""),'Atividades Micro'!$K225,"")</f>
        <v/>
      </c>
      <c r="AN201" s="21" t="str">
        <f>IF(AND('Atividades Micro'!$B225=AN$2,'Atividades Micro'!$L225&lt;&gt;""),'Atividades Micro'!$L225,"")</f>
        <v/>
      </c>
      <c r="AO201" s="21" t="str">
        <f>IF(AND('Atividades Micro'!$B225=AO$2,'Atividades Micro'!$K225&lt;&gt;""),'Atividades Micro'!$K225,"")</f>
        <v/>
      </c>
      <c r="AP201" s="21" t="str">
        <f>IF(AND('Atividades Micro'!$B225=AP$2,'Atividades Micro'!$L225&lt;&gt;""),'Atividades Micro'!$L225,"")</f>
        <v/>
      </c>
      <c r="AQ201" s="21" t="str">
        <f>IF(AND('Atividades Micro'!$A225=AQ$2,'Atividades Micro'!$K225&lt;&gt;""),'Atividades Micro'!$K225,"")</f>
        <v/>
      </c>
      <c r="AR201" s="21" t="str">
        <f>IF(AND('Atividades Micro'!$A225=AR$2,'Atividades Micro'!$L225&lt;&gt;""),'Atividades Micro'!$L225,"")</f>
        <v/>
      </c>
      <c r="AS201" s="21" t="str">
        <f>IF(AND('Atividades Micro'!$B225=AS$2,'Atividades Micro'!$K225&lt;&gt;""),'Atividades Micro'!$K225,"")</f>
        <v/>
      </c>
      <c r="AT201" s="21" t="str">
        <f>IF(AND('Atividades Micro'!$B225=AT$2,'Atividades Micro'!$L225&lt;&gt;""),'Atividades Micro'!$L225,"")</f>
        <v/>
      </c>
      <c r="AU201" s="21" t="str">
        <f>IF(AND('Atividades Micro'!$A225=AU$2,'Atividades Micro'!$K225&lt;&gt;""),'Atividades Micro'!$K225,"")</f>
        <v/>
      </c>
      <c r="AV201" s="21" t="str">
        <f>IF(AND('Atividades Micro'!$A225=AV$2,'Atividades Micro'!$L225&lt;&gt;""),'Atividades Micro'!$L225,"")</f>
        <v/>
      </c>
      <c r="AW201" s="21" t="str">
        <f>IF(AND('Atividades Micro'!$B225=AW$2,'Atividades Micro'!$K225&lt;&gt;""),'Atividades Micro'!$K225,"")</f>
        <v/>
      </c>
      <c r="AX201" s="21" t="str">
        <f>IF(AND('Atividades Micro'!$B225=AX$2,'Atividades Micro'!$L225&lt;&gt;""),'Atividades Micro'!$L225,"")</f>
        <v/>
      </c>
      <c r="AY201" s="21" t="str">
        <f>IF(AND('Atividades Micro'!$A225=AY$2,'Atividades Micro'!$K225&lt;&gt;""),'Atividades Micro'!$K225,"")</f>
        <v/>
      </c>
      <c r="AZ201" s="21" t="str">
        <f>IF(AND('Atividades Micro'!$A225=AZ$2,'Atividades Micro'!$L225&lt;&gt;""),'Atividades Micro'!$L225,"")</f>
        <v/>
      </c>
      <c r="BA201" s="21" t="str">
        <f>IF(AND('Atividades Micro'!$B225=BA$2,'Atividades Micro'!$K225&lt;&gt;""),'Atividades Micro'!$K225,"")</f>
        <v/>
      </c>
      <c r="BB201" s="21" t="str">
        <f>IF(AND('Atividades Micro'!$B225=BB$2,'Atividades Micro'!$L225&lt;&gt;""),'Atividades Micro'!$L225,"")</f>
        <v/>
      </c>
      <c r="BC201" s="21" t="str">
        <f>IF(AND('Atividades Micro'!$B225=BC$2,'Atividades Micro'!$G225="Macro",'Atividades Micro'!$K225&lt;&gt;""),'Atividades Micro'!$K225,"")</f>
        <v/>
      </c>
      <c r="BD201" s="21" t="str">
        <f>IF(AND('Atividades Micro'!$B225=BD$2,'Atividades Micro'!$G225="Macro",'Atividades Micro'!$K225&lt;&gt;""),'Atividades Micro'!$K225,"")</f>
        <v/>
      </c>
      <c r="BE201" s="21" t="str">
        <f>IF(AND('Atividades Micro'!$B225=BE$2,'Atividades Micro'!$G225="Macro",'Atividades Micro'!$K225&lt;&gt;""),'Atividades Micro'!$K225,"")</f>
        <v/>
      </c>
      <c r="BF201" s="21" t="str">
        <f>IF(AND('Atividades Micro'!$B225=BF$2,'Atividades Micro'!$G225="Macro",'Atividades Micro'!$K225&lt;&gt;""),'Atividades Micro'!$K225,"")</f>
        <v/>
      </c>
      <c r="BG201" s="21" t="str">
        <f>IF(AND('Atividades Micro'!$B225=BG$2,'Atividades Micro'!$G225="Macro",'Atividades Micro'!$K225&lt;&gt;""),'Atividades Micro'!$K225,"")</f>
        <v/>
      </c>
      <c r="BH201" s="21" t="str">
        <f>IF(AND('Atividades Micro'!$B225=BH$2,'Atividades Micro'!$G225="Macro",'Atividades Micro'!$K225&lt;&gt;""),'Atividades Micro'!$K225,"")</f>
        <v/>
      </c>
      <c r="BI201" s="21" t="str">
        <f>IF(AND('Atividades Micro'!$B225=BI$2,'Atividades Micro'!$G225="Macro",'Atividades Micro'!$K225&lt;&gt;""),'Atividades Micro'!$K225,"")</f>
        <v/>
      </c>
      <c r="BJ201" s="21" t="str">
        <f>IF(AND('Atividades Micro'!$B225=BJ$2,'Atividades Micro'!$G225="Macro",'Atividades Micro'!$K225&lt;&gt;""),'Atividades Micro'!$K225,"")</f>
        <v/>
      </c>
      <c r="BK201" s="21" t="str">
        <f>IF(AND('Atividades Micro'!$B225=BK$2,'Atividades Micro'!$G225="Macro",'Atividades Micro'!$K225&lt;&gt;""),'Atividades Micro'!$K225,"")</f>
        <v/>
      </c>
      <c r="BL201" s="21" t="str">
        <f>IF(AND('Atividades Micro'!$B225=BL$2,'Atividades Micro'!$G225="Macro",'Atividades Micro'!$K225&lt;&gt;""),'Atividades Micro'!$K225,"")</f>
        <v/>
      </c>
      <c r="BM201" s="21" t="str">
        <f>IF(AND('Atividades Micro'!$B225=BM$2,'Atividades Micro'!$G225="Macro",'Atividades Micro'!$K225&lt;&gt;""),'Atividades Micro'!$K225,"")</f>
        <v/>
      </c>
      <c r="BN201" s="21" t="str">
        <f>IF(AND('Atividades Micro'!$B225=BN$2,'Atividades Micro'!$G225="Macro",'Atividades Micro'!$K225&lt;&gt;""),'Atividades Micro'!$K225,"")</f>
        <v/>
      </c>
      <c r="BO201" s="21" t="str">
        <f>IF(AND('Atividades Micro'!$B225=BO$2,'Atividades Micro'!$G225="Macro",'Atividades Micro'!$K225&lt;&gt;""),'Atividades Micro'!$K225,"")</f>
        <v/>
      </c>
      <c r="BP201" s="21" t="str">
        <f>IF(AND('Atividades Micro'!$B225=BP$2,'Atividades Micro'!$G225="Macro",'Atividades Micro'!$K225&lt;&gt;""),'Atividades Micro'!$K225,"")</f>
        <v/>
      </c>
      <c r="BQ201" s="21" t="str">
        <f>IF(AND('Atividades Micro'!$B225=BQ$2,'Atividades Micro'!$G225="Macro",'Atividades Micro'!$K225&lt;&gt;""),'Atividades Micro'!$K225,"")</f>
        <v/>
      </c>
      <c r="BR201" s="21" t="str">
        <f>IF(AND('Atividades Micro'!$B225=BR$2,'Atividades Micro'!$G225="Macro",'Atividades Micro'!$K225&lt;&gt;""),'Atividades Micro'!$K225,"")</f>
        <v/>
      </c>
      <c r="BS201" s="21" t="str">
        <f>IF(AND('Atividades Micro'!$B225=BS$2,'Atividades Micro'!$G225="Macro",'Atividades Micro'!$K225&lt;&gt;""),'Atividades Micro'!$K225,"")</f>
        <v/>
      </c>
      <c r="BT201" s="21" t="str">
        <f>IF(AND('Atividades Micro'!$B225=BT$2,'Atividades Micro'!$G225="Macro",'Atividades Micro'!$K225&lt;&gt;""),'Atividades Micro'!$K225,"")</f>
        <v/>
      </c>
      <c r="BU201" s="21" t="str">
        <f>IF(AND('Atividades Micro'!$B225=BU$2,'Atividades Micro'!$G225="Macro",'Atividades Micro'!$K225&lt;&gt;""),'Atividades Micro'!$K225,"")</f>
        <v/>
      </c>
      <c r="BV201" s="21" t="str">
        <f>IF(AND('Atividades Micro'!$B225=BV$2,'Atividades Micro'!$G225="Macro",'Atividades Micro'!$K225&lt;&gt;""),'Atividades Micro'!$K225,"")</f>
        <v/>
      </c>
      <c r="BW201" s="21" t="str">
        <f>IF(AND('Atividades Micro'!$B225=BW$2,'Atividades Micro'!$G225="Macro",'Atividades Micro'!$K225&lt;&gt;""),'Atividades Micro'!$K225,"")</f>
        <v/>
      </c>
      <c r="BX201" s="21" t="str">
        <f>IF(AND('Atividades Micro'!$B225=BX$2,'Atividades Micro'!$G225="Macro",'Atividades Micro'!$K225&lt;&gt;""),'Atividades Micro'!$K225,"")</f>
        <v/>
      </c>
      <c r="BY201" s="21" t="str">
        <f>IF(AND('Atividades Micro'!$B225=BY$2,'Atividades Micro'!$G225="Macro",'Atividades Micro'!$K225&lt;&gt;""),'Atividades Micro'!$K225,"")</f>
        <v/>
      </c>
      <c r="BZ201" s="21" t="str">
        <f>IF(AND('Atividades Micro'!$B225=BZ$2,'Atividades Micro'!$G225="Macro",'Atividades Micro'!$K225&lt;&gt;""),'Atividades Micro'!$K225,"")</f>
        <v/>
      </c>
      <c r="CA201" s="21" t="str">
        <f>IF(AND('Atividades Micro'!$B225=CA$2,'Atividades Micro'!$G225="Macro",'Atividades Micro'!$K225&lt;&gt;""),'Atividades Micro'!$K225,"")</f>
        <v/>
      </c>
      <c r="CB201" s="21" t="str">
        <f>IF(AND('Atividades Micro'!$B225=CB$2,'Atividades Micro'!$G225="Macro",'Atividades Micro'!$K225&lt;&gt;""),'Atividades Micro'!$K225,"")</f>
        <v/>
      </c>
      <c r="CC201" s="21" t="str">
        <f>IF(AND('Atividades Micro'!$B225=CC$2,'Atividades Micro'!$G225="Macro",'Atividades Micro'!$K225&lt;&gt;""),'Atividades Micro'!$K225,"")</f>
        <v/>
      </c>
      <c r="CD201" s="21" t="str">
        <f>IF(AND('Atividades Micro'!$B225=CD$2,'Atividades Micro'!$G225="Micro",'Atividades Micro'!$K225&lt;&gt;""),'Atividades Micro'!$K225,"")</f>
        <v/>
      </c>
      <c r="CE201" s="21" t="str">
        <f>IF(AND('Atividades Micro'!$B225=CE$2,'Atividades Micro'!$G225="Micro",'Atividades Micro'!$K225&lt;&gt;""),'Atividades Micro'!$K225,"")</f>
        <v/>
      </c>
      <c r="CF201" s="21" t="str">
        <f>IF(AND('Atividades Micro'!$B225=CF$2,'Atividades Micro'!$G225="Micro",'Atividades Micro'!$K225&lt;&gt;""),'Atividades Micro'!$K225,"")</f>
        <v/>
      </c>
      <c r="CG201" s="21" t="str">
        <f>IF(AND('Atividades Micro'!$B225=CG$2,'Atividades Micro'!$G225="Micro",'Atividades Micro'!$K225&lt;&gt;""),'Atividades Micro'!$K225,"")</f>
        <v/>
      </c>
      <c r="CH201" s="21" t="str">
        <f>IF(AND('Atividades Micro'!$B225=CH$2,'Atividades Micro'!$G225="Micro",'Atividades Micro'!$K225&lt;&gt;""),'Atividades Micro'!$K225,"")</f>
        <v/>
      </c>
      <c r="CI201" s="21" t="str">
        <f>IF(AND('Atividades Micro'!$B225=CI$2,'Atividades Micro'!$G225="Micro",'Atividades Micro'!$K225&lt;&gt;""),'Atividades Micro'!$K225,"")</f>
        <v/>
      </c>
      <c r="CJ201" s="21" t="str">
        <f>IF(AND('Atividades Micro'!$B225=CJ$2,'Atividades Micro'!$G225="Micro",'Atividades Micro'!$K225&lt;&gt;""),'Atividades Micro'!$K225,"")</f>
        <v/>
      </c>
      <c r="CK201" s="21">
        <f>IF(AND('Atividades Micro'!$B225=CK$2,'Atividades Micro'!$G225="Micro",'Atividades Micro'!$K225&lt;&gt;""),'Atividades Micro'!$K225,"")</f>
        <v>46288</v>
      </c>
      <c r="CL201" s="21" t="str">
        <f>IF(AND('Atividades Micro'!$B225=CL$2,'Atividades Micro'!$G225="Micro",'Atividades Micro'!$K225&lt;&gt;""),'Atividades Micro'!$K225,"")</f>
        <v/>
      </c>
      <c r="CM201" s="21" t="str">
        <f>IF(AND('Atividades Micro'!$B225=CM$2,'Atividades Micro'!$G225="Micro",'Atividades Micro'!$K225&lt;&gt;""),'Atividades Micro'!$K225,"")</f>
        <v/>
      </c>
      <c r="CN201" s="21" t="str">
        <f>IF(AND('Atividades Micro'!$B225=CN$2,'Atividades Micro'!$G225="Micro",'Atividades Micro'!$K225&lt;&gt;""),'Atividades Micro'!$K225,"")</f>
        <v/>
      </c>
      <c r="CO201" s="21" t="str">
        <f>IF(AND('Atividades Micro'!$B225=CO$2,'Atividades Micro'!$G225="Micro",'Atividades Micro'!$K225&lt;&gt;""),'Atividades Micro'!$K225,"")</f>
        <v/>
      </c>
    </row>
    <row r="202" spans="1:93">
      <c r="A202" s="21" t="str">
        <f>IF(AND('Atividades Micro'!$A226=A$2,'Atividades Micro'!$K226&lt;&gt;""),'Atividades Micro'!$K226,"")</f>
        <v/>
      </c>
      <c r="B202" s="21" t="str">
        <f>IF(AND('Atividades Micro'!$A226=B$2,'Atividades Micro'!$L226&lt;&gt;""),'Atividades Micro'!$L226,"")</f>
        <v/>
      </c>
      <c r="C202" s="21" t="str">
        <f>IF(AND('Atividades Micro'!$A226=C$2,'Atividades Micro'!$K226&lt;&gt;""),'Atividades Micro'!$K226,"")</f>
        <v/>
      </c>
      <c r="D202" s="21" t="str">
        <f>IF(AND('Atividades Micro'!$A226=D$2,'Atividades Micro'!$L226&lt;&gt;""),'Atividades Micro'!$L226,"")</f>
        <v/>
      </c>
      <c r="E202" s="21" t="str">
        <f>IF(AND('Atividades Micro'!$A226=E$2,'Atividades Micro'!$K226&lt;&gt;""),'Atividades Micro'!$K226,"")</f>
        <v/>
      </c>
      <c r="F202" s="21" t="str">
        <f>IF(AND('Atividades Micro'!$A226=F$2,'Atividades Micro'!$L226&lt;&gt;""),'Atividades Micro'!$L226,"")</f>
        <v/>
      </c>
      <c r="G202" s="21" t="str">
        <f>IF(AND('Atividades Micro'!$A226=G$2,'Atividades Micro'!$K226&lt;&gt;""),'Atividades Micro'!$K226,"")</f>
        <v/>
      </c>
      <c r="H202" s="21" t="str">
        <f>IF(AND('Atividades Micro'!$A226=H$2,'Atividades Micro'!$L226&lt;&gt;""),'Atividades Micro'!$L226,"")</f>
        <v/>
      </c>
      <c r="I202" s="21" t="str">
        <f>IF(AND('Atividades Micro'!$A226=I$2,'Atividades Micro'!$K226&lt;&gt;""),'Atividades Micro'!$K226,"")</f>
        <v/>
      </c>
      <c r="J202" s="21" t="str">
        <f>IF(AND('Atividades Micro'!$A226=J$2,'Atividades Micro'!$L226&lt;&gt;""),'Atividades Micro'!$L226,"")</f>
        <v/>
      </c>
      <c r="K202" s="21" t="str">
        <f>IF(AND('Atividades Micro'!$B226=K$2,'Atividades Micro'!$K226&lt;&gt;""),'Atividades Micro'!$K226,"")</f>
        <v/>
      </c>
      <c r="L202" s="21" t="str">
        <f>IF(AND('Atividades Micro'!$B226=L$2,'Atividades Micro'!$L226&lt;&gt;""),'Atividades Micro'!$L226,"")</f>
        <v/>
      </c>
      <c r="M202" s="21" t="str">
        <f>IF(AND('Atividades Micro'!$B226=M$2,'Atividades Micro'!$K226&lt;&gt;""),'Atividades Micro'!$K226,"")</f>
        <v/>
      </c>
      <c r="N202" s="21" t="str">
        <f>IF(AND('Atividades Micro'!$B226=N$2,'Atividades Micro'!$L226&lt;&gt;""),'Atividades Micro'!$L226,"")</f>
        <v/>
      </c>
      <c r="O202" s="21" t="str">
        <f>IF(AND('Atividades Micro'!$A226=O$2,'Atividades Micro'!$K226&lt;&gt;""),'Atividades Micro'!$K226,"")</f>
        <v/>
      </c>
      <c r="P202" s="21" t="str">
        <f>IF(AND('Atividades Micro'!$A226=P$2,'Atividades Micro'!$L226&lt;&gt;""),'Atividades Micro'!$L226,"")</f>
        <v/>
      </c>
      <c r="Q202" s="21" t="str">
        <f>IF(AND('Atividades Micro'!$B226=Q$2,'Atividades Micro'!$K226&lt;&gt;""),'Atividades Micro'!$K226,"")</f>
        <v/>
      </c>
      <c r="R202" s="21" t="str">
        <f>IF(AND('Atividades Micro'!$B226=R$2,'Atividades Micro'!$L226&lt;&gt;""),'Atividades Micro'!$L226,"")</f>
        <v/>
      </c>
      <c r="S202" s="21" t="str">
        <f>IF(AND('Atividades Micro'!$A226=S$2,'Atividades Micro'!$K226&lt;&gt;""),'Atividades Micro'!$K226,"")</f>
        <v/>
      </c>
      <c r="T202" s="21" t="str">
        <f>IF(AND('Atividades Micro'!$A226=T$2,'Atividades Micro'!$L226&lt;&gt;""),'Atividades Micro'!$L226,"")</f>
        <v/>
      </c>
      <c r="U202" s="21" t="str">
        <f>IF(AND('Atividades Micro'!$B226=U$2,'Atividades Micro'!$K226&lt;&gt;""),'Atividades Micro'!$K226,"")</f>
        <v/>
      </c>
      <c r="V202" s="21" t="str">
        <f>IF(AND('Atividades Micro'!$B226=V$2,'Atividades Micro'!$L226&lt;&gt;""),'Atividades Micro'!$L226,"")</f>
        <v/>
      </c>
      <c r="W202" s="21" t="str">
        <f>IF(AND('Atividades Micro'!$B226=W$2,'Atividades Micro'!$K226&lt;&gt;""),'Atividades Micro'!$K226,"")</f>
        <v/>
      </c>
      <c r="X202" s="21" t="str">
        <f>IF(AND('Atividades Micro'!$B226=X$2,'Atividades Micro'!$L226&lt;&gt;""),'Atividades Micro'!$L226,"")</f>
        <v/>
      </c>
      <c r="Y202" s="21" t="str">
        <f>IF(AND('Atividades Micro'!$A226=Y$2,'Atividades Micro'!$K226&lt;&gt;""),'Atividades Micro'!$K226,"")</f>
        <v/>
      </c>
      <c r="Z202" s="21" t="str">
        <f>IF(AND('Atividades Micro'!$A226=Z$2,'Atividades Micro'!$L226&lt;&gt;""),'Atividades Micro'!$L226,"")</f>
        <v/>
      </c>
      <c r="AA202" s="21" t="str">
        <f>IF(AND('Atividades Micro'!$B226=AA$2,'Atividades Micro'!$K226&lt;&gt;""),'Atividades Micro'!$K226,"")</f>
        <v/>
      </c>
      <c r="AB202" s="21" t="str">
        <f>IF(AND('Atividades Micro'!$B226=AB$2,'Atividades Micro'!$L226&lt;&gt;""),'Atividades Micro'!$L226,"")</f>
        <v/>
      </c>
      <c r="AC202" s="21" t="str">
        <f>IF(AND('Atividades Micro'!$B226=AC$2,'Atividades Micro'!$K226&lt;&gt;""),'Atividades Micro'!$K226,"")</f>
        <v/>
      </c>
      <c r="AD202" s="21" t="str">
        <f>IF(AND('Atividades Micro'!$B226=AD$2,'Atividades Micro'!$L226&lt;&gt;""),'Atividades Micro'!$L226,"")</f>
        <v/>
      </c>
      <c r="AE202" s="21">
        <f>IF(AND('Atividades Micro'!$A226=AE$2,'Atividades Micro'!$K226&lt;&gt;""),'Atividades Micro'!$K226,"")</f>
        <v>46302</v>
      </c>
      <c r="AF202" s="21">
        <f>IF(AND('Atividades Micro'!$A226=AF$2,'Atividades Micro'!$L226&lt;&gt;""),'Atividades Micro'!$L226,"")</f>
        <v>46314</v>
      </c>
      <c r="AG202" s="21">
        <f>IF(AND('Atividades Micro'!$B226=AG$2,'Atividades Micro'!$K226&lt;&gt;""),'Atividades Micro'!$K226,"")</f>
        <v>46302</v>
      </c>
      <c r="AH202" s="21">
        <f>IF(AND('Atividades Micro'!$B226=AH$2,'Atividades Micro'!$L226&lt;&gt;""),'Atividades Micro'!$L226,"")</f>
        <v>46314</v>
      </c>
      <c r="AI202" s="21" t="str">
        <f>IF(AND('Atividades Micro'!$B226=AI$2,'Atividades Micro'!$K226&lt;&gt;""),'Atividades Micro'!$K226,"")</f>
        <v/>
      </c>
      <c r="AJ202" s="21" t="str">
        <f>IF(AND('Atividades Micro'!$B226=AJ$2,'Atividades Micro'!$L226&lt;&gt;""),'Atividades Micro'!$L226,"")</f>
        <v/>
      </c>
      <c r="AK202" s="21" t="str">
        <f>IF(AND('Atividades Micro'!$A226=AK$2,'Atividades Micro'!$K226&lt;&gt;""),'Atividades Micro'!$K226,"")</f>
        <v/>
      </c>
      <c r="AL202" s="21" t="str">
        <f>IF(AND('Atividades Micro'!$A226=AL$2,'Atividades Micro'!$L226&lt;&gt;""),'Atividades Micro'!$L226,"")</f>
        <v/>
      </c>
      <c r="AM202" s="21" t="str">
        <f>IF(AND('Atividades Micro'!$B226=AM$2,'Atividades Micro'!$K226&lt;&gt;""),'Atividades Micro'!$K226,"")</f>
        <v/>
      </c>
      <c r="AN202" s="21" t="str">
        <f>IF(AND('Atividades Micro'!$B226=AN$2,'Atividades Micro'!$L226&lt;&gt;""),'Atividades Micro'!$L226,"")</f>
        <v/>
      </c>
      <c r="AO202" s="21" t="str">
        <f>IF(AND('Atividades Micro'!$B226=AO$2,'Atividades Micro'!$K226&lt;&gt;""),'Atividades Micro'!$K226,"")</f>
        <v/>
      </c>
      <c r="AP202" s="21" t="str">
        <f>IF(AND('Atividades Micro'!$B226=AP$2,'Atividades Micro'!$L226&lt;&gt;""),'Atividades Micro'!$L226,"")</f>
        <v/>
      </c>
      <c r="AQ202" s="21" t="str">
        <f>IF(AND('Atividades Micro'!$A226=AQ$2,'Atividades Micro'!$K226&lt;&gt;""),'Atividades Micro'!$K226,"")</f>
        <v/>
      </c>
      <c r="AR202" s="21" t="str">
        <f>IF(AND('Atividades Micro'!$A226=AR$2,'Atividades Micro'!$L226&lt;&gt;""),'Atividades Micro'!$L226,"")</f>
        <v/>
      </c>
      <c r="AS202" s="21" t="str">
        <f>IF(AND('Atividades Micro'!$B226=AS$2,'Atividades Micro'!$K226&lt;&gt;""),'Atividades Micro'!$K226,"")</f>
        <v/>
      </c>
      <c r="AT202" s="21" t="str">
        <f>IF(AND('Atividades Micro'!$B226=AT$2,'Atividades Micro'!$L226&lt;&gt;""),'Atividades Micro'!$L226,"")</f>
        <v/>
      </c>
      <c r="AU202" s="21" t="str">
        <f>IF(AND('Atividades Micro'!$A226=AU$2,'Atividades Micro'!$K226&lt;&gt;""),'Atividades Micro'!$K226,"")</f>
        <v/>
      </c>
      <c r="AV202" s="21" t="str">
        <f>IF(AND('Atividades Micro'!$A226=AV$2,'Atividades Micro'!$L226&lt;&gt;""),'Atividades Micro'!$L226,"")</f>
        <v/>
      </c>
      <c r="AW202" s="21" t="str">
        <f>IF(AND('Atividades Micro'!$B226=AW$2,'Atividades Micro'!$K226&lt;&gt;""),'Atividades Micro'!$K226,"")</f>
        <v/>
      </c>
      <c r="AX202" s="21" t="str">
        <f>IF(AND('Atividades Micro'!$B226=AX$2,'Atividades Micro'!$L226&lt;&gt;""),'Atividades Micro'!$L226,"")</f>
        <v/>
      </c>
      <c r="AY202" s="21" t="str">
        <f>IF(AND('Atividades Micro'!$A226=AY$2,'Atividades Micro'!$K226&lt;&gt;""),'Atividades Micro'!$K226,"")</f>
        <v/>
      </c>
      <c r="AZ202" s="21" t="str">
        <f>IF(AND('Atividades Micro'!$A226=AZ$2,'Atividades Micro'!$L226&lt;&gt;""),'Atividades Micro'!$L226,"")</f>
        <v/>
      </c>
      <c r="BA202" s="21" t="str">
        <f>IF(AND('Atividades Micro'!$B226=BA$2,'Atividades Micro'!$K226&lt;&gt;""),'Atividades Micro'!$K226,"")</f>
        <v/>
      </c>
      <c r="BB202" s="21" t="str">
        <f>IF(AND('Atividades Micro'!$B226=BB$2,'Atividades Micro'!$L226&lt;&gt;""),'Atividades Micro'!$L226,"")</f>
        <v/>
      </c>
      <c r="BC202" s="21" t="str">
        <f>IF(AND('Atividades Micro'!$B226=BC$2,'Atividades Micro'!$G226="Macro",'Atividades Micro'!$K226&lt;&gt;""),'Atividades Micro'!$K226,"")</f>
        <v/>
      </c>
      <c r="BD202" s="21" t="str">
        <f>IF(AND('Atividades Micro'!$B226=BD$2,'Atividades Micro'!$G226="Macro",'Atividades Micro'!$K226&lt;&gt;""),'Atividades Micro'!$K226,"")</f>
        <v/>
      </c>
      <c r="BE202" s="21" t="str">
        <f>IF(AND('Atividades Micro'!$B226=BE$2,'Atividades Micro'!$G226="Macro",'Atividades Micro'!$K226&lt;&gt;""),'Atividades Micro'!$K226,"")</f>
        <v/>
      </c>
      <c r="BF202" s="21" t="str">
        <f>IF(AND('Atividades Micro'!$B226=BF$2,'Atividades Micro'!$G226="Macro",'Atividades Micro'!$K226&lt;&gt;""),'Atividades Micro'!$K226,"")</f>
        <v/>
      </c>
      <c r="BG202" s="21" t="str">
        <f>IF(AND('Atividades Micro'!$B226=BG$2,'Atividades Micro'!$G226="Macro",'Atividades Micro'!$K226&lt;&gt;""),'Atividades Micro'!$K226,"")</f>
        <v/>
      </c>
      <c r="BH202" s="21" t="str">
        <f>IF(AND('Atividades Micro'!$B226=BH$2,'Atividades Micro'!$G226="Macro",'Atividades Micro'!$K226&lt;&gt;""),'Atividades Micro'!$K226,"")</f>
        <v/>
      </c>
      <c r="BI202" s="21" t="str">
        <f>IF(AND('Atividades Micro'!$B226=BI$2,'Atividades Micro'!$G226="Macro",'Atividades Micro'!$K226&lt;&gt;""),'Atividades Micro'!$K226,"")</f>
        <v/>
      </c>
      <c r="BJ202" s="21" t="str">
        <f>IF(AND('Atividades Micro'!$B226=BJ$2,'Atividades Micro'!$G226="Macro",'Atividades Micro'!$K226&lt;&gt;""),'Atividades Micro'!$K226,"")</f>
        <v/>
      </c>
      <c r="BK202" s="21" t="str">
        <f>IF(AND('Atividades Micro'!$B226=BK$2,'Atividades Micro'!$G226="Macro",'Atividades Micro'!$K226&lt;&gt;""),'Atividades Micro'!$K226,"")</f>
        <v/>
      </c>
      <c r="BL202" s="21" t="str">
        <f>IF(AND('Atividades Micro'!$B226=BL$2,'Atividades Micro'!$G226="Macro",'Atividades Micro'!$K226&lt;&gt;""),'Atividades Micro'!$K226,"")</f>
        <v/>
      </c>
      <c r="BM202" s="21" t="str">
        <f>IF(AND('Atividades Micro'!$B226=BM$2,'Atividades Micro'!$G226="Macro",'Atividades Micro'!$K226&lt;&gt;""),'Atividades Micro'!$K226,"")</f>
        <v/>
      </c>
      <c r="BN202" s="21" t="str">
        <f>IF(AND('Atividades Micro'!$B226=BN$2,'Atividades Micro'!$G226="Macro",'Atividades Micro'!$K226&lt;&gt;""),'Atividades Micro'!$K226,"")</f>
        <v/>
      </c>
      <c r="BO202" s="21" t="str">
        <f>IF(AND('Atividades Micro'!$B226=BO$2,'Atividades Micro'!$G226="Macro",'Atividades Micro'!$K226&lt;&gt;""),'Atividades Micro'!$K226,"")</f>
        <v/>
      </c>
      <c r="BP202" s="21" t="str">
        <f>IF(AND('Atividades Micro'!$B226=BP$2,'Atividades Micro'!$G226="Macro",'Atividades Micro'!$K226&lt;&gt;""),'Atividades Micro'!$K226,"")</f>
        <v/>
      </c>
      <c r="BQ202" s="21" t="str">
        <f>IF(AND('Atividades Micro'!$B226=BQ$2,'Atividades Micro'!$G226="Macro",'Atividades Micro'!$K226&lt;&gt;""),'Atividades Micro'!$K226,"")</f>
        <v/>
      </c>
      <c r="BR202" s="21" t="str">
        <f>IF(AND('Atividades Micro'!$B226=BR$2,'Atividades Micro'!$G226="Macro",'Atividades Micro'!$K226&lt;&gt;""),'Atividades Micro'!$K226,"")</f>
        <v/>
      </c>
      <c r="BS202" s="21">
        <f>IF(AND('Atividades Micro'!$B226=BS$2,'Atividades Micro'!$G226="Macro",'Atividades Micro'!$K226&lt;&gt;""),'Atividades Micro'!$K226,"")</f>
        <v>46302</v>
      </c>
      <c r="BT202" s="21" t="str">
        <f>IF(AND('Atividades Micro'!$B226=BT$2,'Atividades Micro'!$G226="Macro",'Atividades Micro'!$K226&lt;&gt;""),'Atividades Micro'!$K226,"")</f>
        <v/>
      </c>
      <c r="BU202" s="21" t="str">
        <f>IF(AND('Atividades Micro'!$B226=BU$2,'Atividades Micro'!$G226="Macro",'Atividades Micro'!$K226&lt;&gt;""),'Atividades Micro'!$K226,"")</f>
        <v/>
      </c>
      <c r="BV202" s="21" t="str">
        <f>IF(AND('Atividades Micro'!$B226=BV$2,'Atividades Micro'!$G226="Macro",'Atividades Micro'!$K226&lt;&gt;""),'Atividades Micro'!$K226,"")</f>
        <v/>
      </c>
      <c r="BW202" s="21" t="str">
        <f>IF(AND('Atividades Micro'!$B226=BW$2,'Atividades Micro'!$G226="Macro",'Atividades Micro'!$K226&lt;&gt;""),'Atividades Micro'!$K226,"")</f>
        <v/>
      </c>
      <c r="BX202" s="21" t="str">
        <f>IF(AND('Atividades Micro'!$B226=BX$2,'Atividades Micro'!$G226="Macro",'Atividades Micro'!$K226&lt;&gt;""),'Atividades Micro'!$K226,"")</f>
        <v/>
      </c>
      <c r="BY202" s="21" t="str">
        <f>IF(AND('Atividades Micro'!$B226=BY$2,'Atividades Micro'!$G226="Macro",'Atividades Micro'!$K226&lt;&gt;""),'Atividades Micro'!$K226,"")</f>
        <v/>
      </c>
      <c r="BZ202" s="21" t="str">
        <f>IF(AND('Atividades Micro'!$B226=BZ$2,'Atividades Micro'!$G226="Macro",'Atividades Micro'!$K226&lt;&gt;""),'Atividades Micro'!$K226,"")</f>
        <v/>
      </c>
      <c r="CA202" s="21" t="str">
        <f>IF(AND('Atividades Micro'!$B226=CA$2,'Atividades Micro'!$G226="Macro",'Atividades Micro'!$K226&lt;&gt;""),'Atividades Micro'!$K226,"")</f>
        <v/>
      </c>
      <c r="CB202" s="21" t="str">
        <f>IF(AND('Atividades Micro'!$B226=CB$2,'Atividades Micro'!$G226="Macro",'Atividades Micro'!$K226&lt;&gt;""),'Atividades Micro'!$K226,"")</f>
        <v/>
      </c>
      <c r="CC202" s="21" t="str">
        <f>IF(AND('Atividades Micro'!$B226=CC$2,'Atividades Micro'!$G226="Macro",'Atividades Micro'!$K226&lt;&gt;""),'Atividades Micro'!$K226,"")</f>
        <v/>
      </c>
      <c r="CD202" s="21" t="str">
        <f>IF(AND('Atividades Micro'!$B226=CD$2,'Atividades Micro'!$G226="Micro",'Atividades Micro'!$K226&lt;&gt;""),'Atividades Micro'!$K226,"")</f>
        <v/>
      </c>
      <c r="CE202" s="21" t="str">
        <f>IF(AND('Atividades Micro'!$B226=CE$2,'Atividades Micro'!$G226="Micro",'Atividades Micro'!$K226&lt;&gt;""),'Atividades Micro'!$K226,"")</f>
        <v/>
      </c>
      <c r="CF202" s="21" t="str">
        <f>IF(AND('Atividades Micro'!$B226=CF$2,'Atividades Micro'!$G226="Micro",'Atividades Micro'!$K226&lt;&gt;""),'Atividades Micro'!$K226,"")</f>
        <v/>
      </c>
      <c r="CG202" s="21" t="str">
        <f>IF(AND('Atividades Micro'!$B226=CG$2,'Atividades Micro'!$G226="Micro",'Atividades Micro'!$K226&lt;&gt;""),'Atividades Micro'!$K226,"")</f>
        <v/>
      </c>
      <c r="CH202" s="21" t="str">
        <f>IF(AND('Atividades Micro'!$B226=CH$2,'Atividades Micro'!$G226="Micro",'Atividades Micro'!$K226&lt;&gt;""),'Atividades Micro'!$K226,"")</f>
        <v/>
      </c>
      <c r="CI202" s="21" t="str">
        <f>IF(AND('Atividades Micro'!$B226=CI$2,'Atividades Micro'!$G226="Micro",'Atividades Micro'!$K226&lt;&gt;""),'Atividades Micro'!$K226,"")</f>
        <v/>
      </c>
      <c r="CJ202" s="21" t="str">
        <f>IF(AND('Atividades Micro'!$B226=CJ$2,'Atividades Micro'!$G226="Micro",'Atividades Micro'!$K226&lt;&gt;""),'Atividades Micro'!$K226,"")</f>
        <v/>
      </c>
      <c r="CK202" s="21" t="str">
        <f>IF(AND('Atividades Micro'!$B226=CK$2,'Atividades Micro'!$G226="Micro",'Atividades Micro'!$K226&lt;&gt;""),'Atividades Micro'!$K226,"")</f>
        <v/>
      </c>
      <c r="CL202" s="21" t="str">
        <f>IF(AND('Atividades Micro'!$B226=CL$2,'Atividades Micro'!$G226="Micro",'Atividades Micro'!$K226&lt;&gt;""),'Atividades Micro'!$K226,"")</f>
        <v/>
      </c>
      <c r="CM202" s="21" t="str">
        <f>IF(AND('Atividades Micro'!$B226=CM$2,'Atividades Micro'!$G226="Micro",'Atividades Micro'!$K226&lt;&gt;""),'Atividades Micro'!$K226,"")</f>
        <v/>
      </c>
      <c r="CN202" s="21" t="str">
        <f>IF(AND('Atividades Micro'!$B226=CN$2,'Atividades Micro'!$G226="Micro",'Atividades Micro'!$K226&lt;&gt;""),'Atividades Micro'!$K226,"")</f>
        <v/>
      </c>
      <c r="CO202" s="21" t="str">
        <f>IF(AND('Atividades Micro'!$B226=CO$2,'Atividades Micro'!$G226="Micro",'Atividades Micro'!$K226&lt;&gt;""),'Atividades Micro'!$K226,"")</f>
        <v/>
      </c>
    </row>
    <row r="203" spans="1:93">
      <c r="A203" s="21" t="str">
        <f>IF(AND('Atividades Micro'!$A227=A$2,'Atividades Micro'!$K227&lt;&gt;""),'Atividades Micro'!$K227,"")</f>
        <v/>
      </c>
      <c r="B203" s="21" t="str">
        <f>IF(AND('Atividades Micro'!$A227=B$2,'Atividades Micro'!$L227&lt;&gt;""),'Atividades Micro'!$L227,"")</f>
        <v/>
      </c>
      <c r="C203" s="21" t="str">
        <f>IF(AND('Atividades Micro'!$A227=C$2,'Atividades Micro'!$K227&lt;&gt;""),'Atividades Micro'!$K227,"")</f>
        <v/>
      </c>
      <c r="D203" s="21" t="str">
        <f>IF(AND('Atividades Micro'!$A227=D$2,'Atividades Micro'!$L227&lt;&gt;""),'Atividades Micro'!$L227,"")</f>
        <v/>
      </c>
      <c r="E203" s="21" t="str">
        <f>IF(AND('Atividades Micro'!$A227=E$2,'Atividades Micro'!$K227&lt;&gt;""),'Atividades Micro'!$K227,"")</f>
        <v/>
      </c>
      <c r="F203" s="21" t="str">
        <f>IF(AND('Atividades Micro'!$A227=F$2,'Atividades Micro'!$L227&lt;&gt;""),'Atividades Micro'!$L227,"")</f>
        <v/>
      </c>
      <c r="G203" s="21" t="str">
        <f>IF(AND('Atividades Micro'!$A227=G$2,'Atividades Micro'!$K227&lt;&gt;""),'Atividades Micro'!$K227,"")</f>
        <v/>
      </c>
      <c r="H203" s="21" t="str">
        <f>IF(AND('Atividades Micro'!$A227=H$2,'Atividades Micro'!$L227&lt;&gt;""),'Atividades Micro'!$L227,"")</f>
        <v/>
      </c>
      <c r="I203" s="21" t="str">
        <f>IF(AND('Atividades Micro'!$A227=I$2,'Atividades Micro'!$K227&lt;&gt;""),'Atividades Micro'!$K227,"")</f>
        <v/>
      </c>
      <c r="J203" s="21" t="str">
        <f>IF(AND('Atividades Micro'!$A227=J$2,'Atividades Micro'!$L227&lt;&gt;""),'Atividades Micro'!$L227,"")</f>
        <v/>
      </c>
      <c r="K203" s="21" t="str">
        <f>IF(AND('Atividades Micro'!$B227=K$2,'Atividades Micro'!$K227&lt;&gt;""),'Atividades Micro'!$K227,"")</f>
        <v/>
      </c>
      <c r="L203" s="21" t="str">
        <f>IF(AND('Atividades Micro'!$B227=L$2,'Atividades Micro'!$L227&lt;&gt;""),'Atividades Micro'!$L227,"")</f>
        <v/>
      </c>
      <c r="M203" s="21" t="str">
        <f>IF(AND('Atividades Micro'!$B227=M$2,'Atividades Micro'!$K227&lt;&gt;""),'Atividades Micro'!$K227,"")</f>
        <v/>
      </c>
      <c r="N203" s="21" t="str">
        <f>IF(AND('Atividades Micro'!$B227=N$2,'Atividades Micro'!$L227&lt;&gt;""),'Atividades Micro'!$L227,"")</f>
        <v/>
      </c>
      <c r="O203" s="21" t="str">
        <f>IF(AND('Atividades Micro'!$A227=O$2,'Atividades Micro'!$K227&lt;&gt;""),'Atividades Micro'!$K227,"")</f>
        <v/>
      </c>
      <c r="P203" s="21" t="str">
        <f>IF(AND('Atividades Micro'!$A227=P$2,'Atividades Micro'!$L227&lt;&gt;""),'Atividades Micro'!$L227,"")</f>
        <v/>
      </c>
      <c r="Q203" s="21" t="str">
        <f>IF(AND('Atividades Micro'!$B227=Q$2,'Atividades Micro'!$K227&lt;&gt;""),'Atividades Micro'!$K227,"")</f>
        <v/>
      </c>
      <c r="R203" s="21" t="str">
        <f>IF(AND('Atividades Micro'!$B227=R$2,'Atividades Micro'!$L227&lt;&gt;""),'Atividades Micro'!$L227,"")</f>
        <v/>
      </c>
      <c r="S203" s="21" t="str">
        <f>IF(AND('Atividades Micro'!$A227=S$2,'Atividades Micro'!$K227&lt;&gt;""),'Atividades Micro'!$K227,"")</f>
        <v/>
      </c>
      <c r="T203" s="21" t="str">
        <f>IF(AND('Atividades Micro'!$A227=T$2,'Atividades Micro'!$L227&lt;&gt;""),'Atividades Micro'!$L227,"")</f>
        <v/>
      </c>
      <c r="U203" s="21" t="str">
        <f>IF(AND('Atividades Micro'!$B227=U$2,'Atividades Micro'!$K227&lt;&gt;""),'Atividades Micro'!$K227,"")</f>
        <v/>
      </c>
      <c r="V203" s="21" t="str">
        <f>IF(AND('Atividades Micro'!$B227=V$2,'Atividades Micro'!$L227&lt;&gt;""),'Atividades Micro'!$L227,"")</f>
        <v/>
      </c>
      <c r="W203" s="21" t="str">
        <f>IF(AND('Atividades Micro'!$B227=W$2,'Atividades Micro'!$K227&lt;&gt;""),'Atividades Micro'!$K227,"")</f>
        <v/>
      </c>
      <c r="X203" s="21" t="str">
        <f>IF(AND('Atividades Micro'!$B227=X$2,'Atividades Micro'!$L227&lt;&gt;""),'Atividades Micro'!$L227,"")</f>
        <v/>
      </c>
      <c r="Y203" s="21" t="str">
        <f>IF(AND('Atividades Micro'!$A227=Y$2,'Atividades Micro'!$K227&lt;&gt;""),'Atividades Micro'!$K227,"")</f>
        <v/>
      </c>
      <c r="Z203" s="21" t="str">
        <f>IF(AND('Atividades Micro'!$A227=Z$2,'Atividades Micro'!$L227&lt;&gt;""),'Atividades Micro'!$L227,"")</f>
        <v/>
      </c>
      <c r="AA203" s="21" t="str">
        <f>IF(AND('Atividades Micro'!$B227=AA$2,'Atividades Micro'!$K227&lt;&gt;""),'Atividades Micro'!$K227,"")</f>
        <v/>
      </c>
      <c r="AB203" s="21" t="str">
        <f>IF(AND('Atividades Micro'!$B227=AB$2,'Atividades Micro'!$L227&lt;&gt;""),'Atividades Micro'!$L227,"")</f>
        <v/>
      </c>
      <c r="AC203" s="21" t="str">
        <f>IF(AND('Atividades Micro'!$B227=AC$2,'Atividades Micro'!$K227&lt;&gt;""),'Atividades Micro'!$K227,"")</f>
        <v/>
      </c>
      <c r="AD203" s="21" t="str">
        <f>IF(AND('Atividades Micro'!$B227=AD$2,'Atividades Micro'!$L227&lt;&gt;""),'Atividades Micro'!$L227,"")</f>
        <v/>
      </c>
      <c r="AE203" s="21">
        <f>IF(AND('Atividades Micro'!$A227=AE$2,'Atividades Micro'!$K227&lt;&gt;""),'Atividades Micro'!$K227,"")</f>
        <v>46286</v>
      </c>
      <c r="AF203" s="21">
        <f>IF(AND('Atividades Micro'!$A227=AF$2,'Atividades Micro'!$L227&lt;&gt;""),'Atividades Micro'!$L227,"")</f>
        <v>46259</v>
      </c>
      <c r="AG203" s="21">
        <f>IF(AND('Atividades Micro'!$B227=AG$2,'Atividades Micro'!$K227&lt;&gt;""),'Atividades Micro'!$K227,"")</f>
        <v>46286</v>
      </c>
      <c r="AH203" s="21">
        <f>IF(AND('Atividades Micro'!$B227=AH$2,'Atividades Micro'!$L227&lt;&gt;""),'Atividades Micro'!$L227,"")</f>
        <v>46259</v>
      </c>
      <c r="AI203" s="21" t="str">
        <f>IF(AND('Atividades Micro'!$B227=AI$2,'Atividades Micro'!$K227&lt;&gt;""),'Atividades Micro'!$K227,"")</f>
        <v/>
      </c>
      <c r="AJ203" s="21" t="str">
        <f>IF(AND('Atividades Micro'!$B227=AJ$2,'Atividades Micro'!$L227&lt;&gt;""),'Atividades Micro'!$L227,"")</f>
        <v/>
      </c>
      <c r="AK203" s="21" t="str">
        <f>IF(AND('Atividades Micro'!$A227=AK$2,'Atividades Micro'!$K227&lt;&gt;""),'Atividades Micro'!$K227,"")</f>
        <v/>
      </c>
      <c r="AL203" s="21" t="str">
        <f>IF(AND('Atividades Micro'!$A227=AL$2,'Atividades Micro'!$L227&lt;&gt;""),'Atividades Micro'!$L227,"")</f>
        <v/>
      </c>
      <c r="AM203" s="21" t="str">
        <f>IF(AND('Atividades Micro'!$B227=AM$2,'Atividades Micro'!$K227&lt;&gt;""),'Atividades Micro'!$K227,"")</f>
        <v/>
      </c>
      <c r="AN203" s="21" t="str">
        <f>IF(AND('Atividades Micro'!$B227=AN$2,'Atividades Micro'!$L227&lt;&gt;""),'Atividades Micro'!$L227,"")</f>
        <v/>
      </c>
      <c r="AO203" s="21" t="str">
        <f>IF(AND('Atividades Micro'!$B227=AO$2,'Atividades Micro'!$K227&lt;&gt;""),'Atividades Micro'!$K227,"")</f>
        <v/>
      </c>
      <c r="AP203" s="21" t="str">
        <f>IF(AND('Atividades Micro'!$B227=AP$2,'Atividades Micro'!$L227&lt;&gt;""),'Atividades Micro'!$L227,"")</f>
        <v/>
      </c>
      <c r="AQ203" s="21" t="str">
        <f>IF(AND('Atividades Micro'!$A227=AQ$2,'Atividades Micro'!$K227&lt;&gt;""),'Atividades Micro'!$K227,"")</f>
        <v/>
      </c>
      <c r="AR203" s="21" t="str">
        <f>IF(AND('Atividades Micro'!$A227=AR$2,'Atividades Micro'!$L227&lt;&gt;""),'Atividades Micro'!$L227,"")</f>
        <v/>
      </c>
      <c r="AS203" s="21" t="str">
        <f>IF(AND('Atividades Micro'!$B227=AS$2,'Atividades Micro'!$K227&lt;&gt;""),'Atividades Micro'!$K227,"")</f>
        <v/>
      </c>
      <c r="AT203" s="21" t="str">
        <f>IF(AND('Atividades Micro'!$B227=AT$2,'Atividades Micro'!$L227&lt;&gt;""),'Atividades Micro'!$L227,"")</f>
        <v/>
      </c>
      <c r="AU203" s="21" t="str">
        <f>IF(AND('Atividades Micro'!$A227=AU$2,'Atividades Micro'!$K227&lt;&gt;""),'Atividades Micro'!$K227,"")</f>
        <v/>
      </c>
      <c r="AV203" s="21" t="str">
        <f>IF(AND('Atividades Micro'!$A227=AV$2,'Atividades Micro'!$L227&lt;&gt;""),'Atividades Micro'!$L227,"")</f>
        <v/>
      </c>
      <c r="AW203" s="21" t="str">
        <f>IF(AND('Atividades Micro'!$B227=AW$2,'Atividades Micro'!$K227&lt;&gt;""),'Atividades Micro'!$K227,"")</f>
        <v/>
      </c>
      <c r="AX203" s="21" t="str">
        <f>IF(AND('Atividades Micro'!$B227=AX$2,'Atividades Micro'!$L227&lt;&gt;""),'Atividades Micro'!$L227,"")</f>
        <v/>
      </c>
      <c r="AY203" s="21" t="str">
        <f>IF(AND('Atividades Micro'!$A227=AY$2,'Atividades Micro'!$K227&lt;&gt;""),'Atividades Micro'!$K227,"")</f>
        <v/>
      </c>
      <c r="AZ203" s="21" t="str">
        <f>IF(AND('Atividades Micro'!$A227=AZ$2,'Atividades Micro'!$L227&lt;&gt;""),'Atividades Micro'!$L227,"")</f>
        <v/>
      </c>
      <c r="BA203" s="21" t="str">
        <f>IF(AND('Atividades Micro'!$B227=BA$2,'Atividades Micro'!$K227&lt;&gt;""),'Atividades Micro'!$K227,"")</f>
        <v/>
      </c>
      <c r="BB203" s="21" t="str">
        <f>IF(AND('Atividades Micro'!$B227=BB$2,'Atividades Micro'!$L227&lt;&gt;""),'Atividades Micro'!$L227,"")</f>
        <v/>
      </c>
      <c r="BC203" s="21" t="str">
        <f>IF(AND('Atividades Micro'!$B227=BC$2,'Atividades Micro'!$G227="Macro",'Atividades Micro'!$K227&lt;&gt;""),'Atividades Micro'!$K227,"")</f>
        <v/>
      </c>
      <c r="BD203" s="21" t="str">
        <f>IF(AND('Atividades Micro'!$B227=BD$2,'Atividades Micro'!$G227="Macro",'Atividades Micro'!$K227&lt;&gt;""),'Atividades Micro'!$K227,"")</f>
        <v/>
      </c>
      <c r="BE203" s="21" t="str">
        <f>IF(AND('Atividades Micro'!$B227=BE$2,'Atividades Micro'!$G227="Macro",'Atividades Micro'!$K227&lt;&gt;""),'Atividades Micro'!$K227,"")</f>
        <v/>
      </c>
      <c r="BF203" s="21" t="str">
        <f>IF(AND('Atividades Micro'!$B227=BF$2,'Atividades Micro'!$G227="Macro",'Atividades Micro'!$K227&lt;&gt;""),'Atividades Micro'!$K227,"")</f>
        <v/>
      </c>
      <c r="BG203" s="21" t="str">
        <f>IF(AND('Atividades Micro'!$B227=BG$2,'Atividades Micro'!$G227="Macro",'Atividades Micro'!$K227&lt;&gt;""),'Atividades Micro'!$K227,"")</f>
        <v/>
      </c>
      <c r="BH203" s="21" t="str">
        <f>IF(AND('Atividades Micro'!$B227=BH$2,'Atividades Micro'!$G227="Macro",'Atividades Micro'!$K227&lt;&gt;""),'Atividades Micro'!$K227,"")</f>
        <v/>
      </c>
      <c r="BI203" s="21" t="str">
        <f>IF(AND('Atividades Micro'!$B227=BI$2,'Atividades Micro'!$G227="Macro",'Atividades Micro'!$K227&lt;&gt;""),'Atividades Micro'!$K227,"")</f>
        <v/>
      </c>
      <c r="BJ203" s="21" t="str">
        <f>IF(AND('Atividades Micro'!$B227=BJ$2,'Atividades Micro'!$G227="Macro",'Atividades Micro'!$K227&lt;&gt;""),'Atividades Micro'!$K227,"")</f>
        <v/>
      </c>
      <c r="BK203" s="21" t="str">
        <f>IF(AND('Atividades Micro'!$B227=BK$2,'Atividades Micro'!$G227="Macro",'Atividades Micro'!$K227&lt;&gt;""),'Atividades Micro'!$K227,"")</f>
        <v/>
      </c>
      <c r="BL203" s="21" t="str">
        <f>IF(AND('Atividades Micro'!$B227=BL$2,'Atividades Micro'!$G227="Macro",'Atividades Micro'!$K227&lt;&gt;""),'Atividades Micro'!$K227,"")</f>
        <v/>
      </c>
      <c r="BM203" s="21" t="str">
        <f>IF(AND('Atividades Micro'!$B227=BM$2,'Atividades Micro'!$G227="Macro",'Atividades Micro'!$K227&lt;&gt;""),'Atividades Micro'!$K227,"")</f>
        <v/>
      </c>
      <c r="BN203" s="21" t="str">
        <f>IF(AND('Atividades Micro'!$B227=BN$2,'Atividades Micro'!$G227="Macro",'Atividades Micro'!$K227&lt;&gt;""),'Atividades Micro'!$K227,"")</f>
        <v/>
      </c>
      <c r="BO203" s="21" t="str">
        <f>IF(AND('Atividades Micro'!$B227=BO$2,'Atividades Micro'!$G227="Macro",'Atividades Micro'!$K227&lt;&gt;""),'Atividades Micro'!$K227,"")</f>
        <v/>
      </c>
      <c r="BP203" s="21" t="str">
        <f>IF(AND('Atividades Micro'!$B227=BP$2,'Atividades Micro'!$G227="Macro",'Atividades Micro'!$K227&lt;&gt;""),'Atividades Micro'!$K227,"")</f>
        <v/>
      </c>
      <c r="BQ203" s="21" t="str">
        <f>IF(AND('Atividades Micro'!$B227=BQ$2,'Atividades Micro'!$G227="Macro",'Atividades Micro'!$K227&lt;&gt;""),'Atividades Micro'!$K227,"")</f>
        <v/>
      </c>
      <c r="BR203" s="21" t="str">
        <f>IF(AND('Atividades Micro'!$B227=BR$2,'Atividades Micro'!$G227="Macro",'Atividades Micro'!$K227&lt;&gt;""),'Atividades Micro'!$K227,"")</f>
        <v/>
      </c>
      <c r="BS203" s="21" t="str">
        <f>IF(AND('Atividades Micro'!$B227=BS$2,'Atividades Micro'!$G227="Macro",'Atividades Micro'!$K227&lt;&gt;""),'Atividades Micro'!$K227,"")</f>
        <v/>
      </c>
      <c r="BT203" s="21" t="str">
        <f>IF(AND('Atividades Micro'!$B227=BT$2,'Atividades Micro'!$G227="Macro",'Atividades Micro'!$K227&lt;&gt;""),'Atividades Micro'!$K227,"")</f>
        <v/>
      </c>
      <c r="BU203" s="21" t="str">
        <f>IF(AND('Atividades Micro'!$B227=BU$2,'Atividades Micro'!$G227="Macro",'Atividades Micro'!$K227&lt;&gt;""),'Atividades Micro'!$K227,"")</f>
        <v/>
      </c>
      <c r="BV203" s="21" t="str">
        <f>IF(AND('Atividades Micro'!$B227=BV$2,'Atividades Micro'!$G227="Macro",'Atividades Micro'!$K227&lt;&gt;""),'Atividades Micro'!$K227,"")</f>
        <v/>
      </c>
      <c r="BW203" s="21" t="str">
        <f>IF(AND('Atividades Micro'!$B227=BW$2,'Atividades Micro'!$G227="Macro",'Atividades Micro'!$K227&lt;&gt;""),'Atividades Micro'!$K227,"")</f>
        <v/>
      </c>
      <c r="BX203" s="21" t="str">
        <f>IF(AND('Atividades Micro'!$B227=BX$2,'Atividades Micro'!$G227="Macro",'Atividades Micro'!$K227&lt;&gt;""),'Atividades Micro'!$K227,"")</f>
        <v/>
      </c>
      <c r="BY203" s="21" t="str">
        <f>IF(AND('Atividades Micro'!$B227=BY$2,'Atividades Micro'!$G227="Macro",'Atividades Micro'!$K227&lt;&gt;""),'Atividades Micro'!$K227,"")</f>
        <v/>
      </c>
      <c r="BZ203" s="21" t="str">
        <f>IF(AND('Atividades Micro'!$B227=BZ$2,'Atividades Micro'!$G227="Macro",'Atividades Micro'!$K227&lt;&gt;""),'Atividades Micro'!$K227,"")</f>
        <v/>
      </c>
      <c r="CA203" s="21" t="str">
        <f>IF(AND('Atividades Micro'!$B227=CA$2,'Atividades Micro'!$G227="Macro",'Atividades Micro'!$K227&lt;&gt;""),'Atividades Micro'!$K227,"")</f>
        <v/>
      </c>
      <c r="CB203" s="21" t="str">
        <f>IF(AND('Atividades Micro'!$B227=CB$2,'Atividades Micro'!$G227="Macro",'Atividades Micro'!$K227&lt;&gt;""),'Atividades Micro'!$K227,"")</f>
        <v/>
      </c>
      <c r="CC203" s="21" t="str">
        <f>IF(AND('Atividades Micro'!$B227=CC$2,'Atividades Micro'!$G227="Macro",'Atividades Micro'!$K227&lt;&gt;""),'Atividades Micro'!$K227,"")</f>
        <v/>
      </c>
      <c r="CD203" s="21" t="str">
        <f>IF(AND('Atividades Micro'!$B227=CD$2,'Atividades Micro'!$G227="Micro",'Atividades Micro'!$K227&lt;&gt;""),'Atividades Micro'!$K227,"")</f>
        <v/>
      </c>
      <c r="CE203" s="21" t="str">
        <f>IF(AND('Atividades Micro'!$B227=CE$2,'Atividades Micro'!$G227="Micro",'Atividades Micro'!$K227&lt;&gt;""),'Atividades Micro'!$K227,"")</f>
        <v/>
      </c>
      <c r="CF203" s="21" t="str">
        <f>IF(AND('Atividades Micro'!$B227=CF$2,'Atividades Micro'!$G227="Micro",'Atividades Micro'!$K227&lt;&gt;""),'Atividades Micro'!$K227,"")</f>
        <v/>
      </c>
      <c r="CG203" s="21" t="str">
        <f>IF(AND('Atividades Micro'!$B227=CG$2,'Atividades Micro'!$G227="Micro",'Atividades Micro'!$K227&lt;&gt;""),'Atividades Micro'!$K227,"")</f>
        <v/>
      </c>
      <c r="CH203" s="21" t="str">
        <f>IF(AND('Atividades Micro'!$B227=CH$2,'Atividades Micro'!$G227="Micro",'Atividades Micro'!$K227&lt;&gt;""),'Atividades Micro'!$K227,"")</f>
        <v/>
      </c>
      <c r="CI203" s="21" t="str">
        <f>IF(AND('Atividades Micro'!$B227=CI$2,'Atividades Micro'!$G227="Micro",'Atividades Micro'!$K227&lt;&gt;""),'Atividades Micro'!$K227,"")</f>
        <v/>
      </c>
      <c r="CJ203" s="21" t="str">
        <f>IF(AND('Atividades Micro'!$B227=CJ$2,'Atividades Micro'!$G227="Micro",'Atividades Micro'!$K227&lt;&gt;""),'Atividades Micro'!$K227,"")</f>
        <v/>
      </c>
      <c r="CK203" s="21">
        <f>IF(AND('Atividades Micro'!$B227=CK$2,'Atividades Micro'!$G227="Micro",'Atividades Micro'!$K227&lt;&gt;""),'Atividades Micro'!$K227,"")</f>
        <v>46286</v>
      </c>
      <c r="CL203" s="21" t="str">
        <f>IF(AND('Atividades Micro'!$B227=CL$2,'Atividades Micro'!$G227="Micro",'Atividades Micro'!$K227&lt;&gt;""),'Atividades Micro'!$K227,"")</f>
        <v/>
      </c>
      <c r="CM203" s="21" t="str">
        <f>IF(AND('Atividades Micro'!$B227=CM$2,'Atividades Micro'!$G227="Micro",'Atividades Micro'!$K227&lt;&gt;""),'Atividades Micro'!$K227,"")</f>
        <v/>
      </c>
      <c r="CN203" s="21" t="str">
        <f>IF(AND('Atividades Micro'!$B227=CN$2,'Atividades Micro'!$G227="Micro",'Atividades Micro'!$K227&lt;&gt;""),'Atividades Micro'!$K227,"")</f>
        <v/>
      </c>
      <c r="CO203" s="21" t="str">
        <f>IF(AND('Atividades Micro'!$B227=CO$2,'Atividades Micro'!$G227="Micro",'Atividades Micro'!$K227&lt;&gt;""),'Atividades Micro'!$K227,"")</f>
        <v/>
      </c>
    </row>
    <row r="204" spans="1:93">
      <c r="A204" s="21" t="str">
        <f>IF(AND('Atividades Micro'!$A228=A$2,'Atividades Micro'!$K228&lt;&gt;""),'Atividades Micro'!$K228,"")</f>
        <v/>
      </c>
      <c r="B204" s="21" t="str">
        <f>IF(AND('Atividades Micro'!$A228=B$2,'Atividades Micro'!$L228&lt;&gt;""),'Atividades Micro'!$L228,"")</f>
        <v/>
      </c>
      <c r="C204" s="21" t="str">
        <f>IF(AND('Atividades Micro'!$A228=C$2,'Atividades Micro'!$K228&lt;&gt;""),'Atividades Micro'!$K228,"")</f>
        <v/>
      </c>
      <c r="D204" s="21" t="str">
        <f>IF(AND('Atividades Micro'!$A228=D$2,'Atividades Micro'!$L228&lt;&gt;""),'Atividades Micro'!$L228,"")</f>
        <v/>
      </c>
      <c r="E204" s="21" t="str">
        <f>IF(AND('Atividades Micro'!$A228=E$2,'Atividades Micro'!$K228&lt;&gt;""),'Atividades Micro'!$K228,"")</f>
        <v/>
      </c>
      <c r="F204" s="21" t="str">
        <f>IF(AND('Atividades Micro'!$A228=F$2,'Atividades Micro'!$L228&lt;&gt;""),'Atividades Micro'!$L228,"")</f>
        <v/>
      </c>
      <c r="G204" s="21" t="str">
        <f>IF(AND('Atividades Micro'!$A228=G$2,'Atividades Micro'!$K228&lt;&gt;""),'Atividades Micro'!$K228,"")</f>
        <v/>
      </c>
      <c r="H204" s="21" t="str">
        <f>IF(AND('Atividades Micro'!$A228=H$2,'Atividades Micro'!$L228&lt;&gt;""),'Atividades Micro'!$L228,"")</f>
        <v/>
      </c>
      <c r="I204" s="21" t="str">
        <f>IF(AND('Atividades Micro'!$A228=I$2,'Atividades Micro'!$K228&lt;&gt;""),'Atividades Micro'!$K228,"")</f>
        <v/>
      </c>
      <c r="J204" s="21" t="str">
        <f>IF(AND('Atividades Micro'!$A228=J$2,'Atividades Micro'!$L228&lt;&gt;""),'Atividades Micro'!$L228,"")</f>
        <v/>
      </c>
      <c r="K204" s="21" t="str">
        <f>IF(AND('Atividades Micro'!$B228=K$2,'Atividades Micro'!$K228&lt;&gt;""),'Atividades Micro'!$K228,"")</f>
        <v/>
      </c>
      <c r="L204" s="21" t="str">
        <f>IF(AND('Atividades Micro'!$B228=L$2,'Atividades Micro'!$L228&lt;&gt;""),'Atividades Micro'!$L228,"")</f>
        <v/>
      </c>
      <c r="M204" s="21" t="str">
        <f>IF(AND('Atividades Micro'!$B228=M$2,'Atividades Micro'!$K228&lt;&gt;""),'Atividades Micro'!$K228,"")</f>
        <v/>
      </c>
      <c r="N204" s="21" t="str">
        <f>IF(AND('Atividades Micro'!$B228=N$2,'Atividades Micro'!$L228&lt;&gt;""),'Atividades Micro'!$L228,"")</f>
        <v/>
      </c>
      <c r="O204" s="21" t="str">
        <f>IF(AND('Atividades Micro'!$A228=O$2,'Atividades Micro'!$K228&lt;&gt;""),'Atividades Micro'!$K228,"")</f>
        <v/>
      </c>
      <c r="P204" s="21" t="str">
        <f>IF(AND('Atividades Micro'!$A228=P$2,'Atividades Micro'!$L228&lt;&gt;""),'Atividades Micro'!$L228,"")</f>
        <v/>
      </c>
      <c r="Q204" s="21" t="str">
        <f>IF(AND('Atividades Micro'!$B228=Q$2,'Atividades Micro'!$K228&lt;&gt;""),'Atividades Micro'!$K228,"")</f>
        <v/>
      </c>
      <c r="R204" s="21" t="str">
        <f>IF(AND('Atividades Micro'!$B228=R$2,'Atividades Micro'!$L228&lt;&gt;""),'Atividades Micro'!$L228,"")</f>
        <v/>
      </c>
      <c r="S204" s="21" t="str">
        <f>IF(AND('Atividades Micro'!$A228=S$2,'Atividades Micro'!$K228&lt;&gt;""),'Atividades Micro'!$K228,"")</f>
        <v/>
      </c>
      <c r="T204" s="21" t="str">
        <f>IF(AND('Atividades Micro'!$A228=T$2,'Atividades Micro'!$L228&lt;&gt;""),'Atividades Micro'!$L228,"")</f>
        <v/>
      </c>
      <c r="U204" s="21" t="str">
        <f>IF(AND('Atividades Micro'!$B228=U$2,'Atividades Micro'!$K228&lt;&gt;""),'Atividades Micro'!$K228,"")</f>
        <v/>
      </c>
      <c r="V204" s="21" t="str">
        <f>IF(AND('Atividades Micro'!$B228=V$2,'Atividades Micro'!$L228&lt;&gt;""),'Atividades Micro'!$L228,"")</f>
        <v/>
      </c>
      <c r="W204" s="21" t="str">
        <f>IF(AND('Atividades Micro'!$B228=W$2,'Atividades Micro'!$K228&lt;&gt;""),'Atividades Micro'!$K228,"")</f>
        <v/>
      </c>
      <c r="X204" s="21" t="str">
        <f>IF(AND('Atividades Micro'!$B228=X$2,'Atividades Micro'!$L228&lt;&gt;""),'Atividades Micro'!$L228,"")</f>
        <v/>
      </c>
      <c r="Y204" s="21" t="str">
        <f>IF(AND('Atividades Micro'!$A228=Y$2,'Atividades Micro'!$K228&lt;&gt;""),'Atividades Micro'!$K228,"")</f>
        <v/>
      </c>
      <c r="Z204" s="21" t="str">
        <f>IF(AND('Atividades Micro'!$A228=Z$2,'Atividades Micro'!$L228&lt;&gt;""),'Atividades Micro'!$L228,"")</f>
        <v/>
      </c>
      <c r="AA204" s="21" t="str">
        <f>IF(AND('Atividades Micro'!$B228=AA$2,'Atividades Micro'!$K228&lt;&gt;""),'Atividades Micro'!$K228,"")</f>
        <v/>
      </c>
      <c r="AB204" s="21" t="str">
        <f>IF(AND('Atividades Micro'!$B228=AB$2,'Atividades Micro'!$L228&lt;&gt;""),'Atividades Micro'!$L228,"")</f>
        <v/>
      </c>
      <c r="AC204" s="21" t="str">
        <f>IF(AND('Atividades Micro'!$B228=AC$2,'Atividades Micro'!$K228&lt;&gt;""),'Atividades Micro'!$K228,"")</f>
        <v/>
      </c>
      <c r="AD204" s="21" t="str">
        <f>IF(AND('Atividades Micro'!$B228=AD$2,'Atividades Micro'!$L228&lt;&gt;""),'Atividades Micro'!$L228,"")</f>
        <v/>
      </c>
      <c r="AE204" s="21">
        <f>IF(AND('Atividades Micro'!$A228=AE$2,'Atividades Micro'!$K228&lt;&gt;""),'Atividades Micro'!$K228,"")</f>
        <v>46302</v>
      </c>
      <c r="AF204" s="21">
        <f>IF(AND('Atividades Micro'!$A228=AF$2,'Atividades Micro'!$L228&lt;&gt;""),'Atividades Micro'!$L228,"")</f>
        <v>46314</v>
      </c>
      <c r="AG204" s="21">
        <f>IF(AND('Atividades Micro'!$B228=AG$2,'Atividades Micro'!$K228&lt;&gt;""),'Atividades Micro'!$K228,"")</f>
        <v>46302</v>
      </c>
      <c r="AH204" s="21">
        <f>IF(AND('Atividades Micro'!$B228=AH$2,'Atividades Micro'!$L228&lt;&gt;""),'Atividades Micro'!$L228,"")</f>
        <v>46314</v>
      </c>
      <c r="AI204" s="21" t="str">
        <f>IF(AND('Atividades Micro'!$B228=AI$2,'Atividades Micro'!$K228&lt;&gt;""),'Atividades Micro'!$K228,"")</f>
        <v/>
      </c>
      <c r="AJ204" s="21" t="str">
        <f>IF(AND('Atividades Micro'!$B228=AJ$2,'Atividades Micro'!$L228&lt;&gt;""),'Atividades Micro'!$L228,"")</f>
        <v/>
      </c>
      <c r="AK204" s="21" t="str">
        <f>IF(AND('Atividades Micro'!$A228=AK$2,'Atividades Micro'!$K228&lt;&gt;""),'Atividades Micro'!$K228,"")</f>
        <v/>
      </c>
      <c r="AL204" s="21" t="str">
        <f>IF(AND('Atividades Micro'!$A228=AL$2,'Atividades Micro'!$L228&lt;&gt;""),'Atividades Micro'!$L228,"")</f>
        <v/>
      </c>
      <c r="AM204" s="21" t="str">
        <f>IF(AND('Atividades Micro'!$B228=AM$2,'Atividades Micro'!$K228&lt;&gt;""),'Atividades Micro'!$K228,"")</f>
        <v/>
      </c>
      <c r="AN204" s="21" t="str">
        <f>IF(AND('Atividades Micro'!$B228=AN$2,'Atividades Micro'!$L228&lt;&gt;""),'Atividades Micro'!$L228,"")</f>
        <v/>
      </c>
      <c r="AO204" s="21" t="str">
        <f>IF(AND('Atividades Micro'!$B228=AO$2,'Atividades Micro'!$K228&lt;&gt;""),'Atividades Micro'!$K228,"")</f>
        <v/>
      </c>
      <c r="AP204" s="21" t="str">
        <f>IF(AND('Atividades Micro'!$B228=AP$2,'Atividades Micro'!$L228&lt;&gt;""),'Atividades Micro'!$L228,"")</f>
        <v/>
      </c>
      <c r="AQ204" s="21" t="str">
        <f>IF(AND('Atividades Micro'!$A228=AQ$2,'Atividades Micro'!$K228&lt;&gt;""),'Atividades Micro'!$K228,"")</f>
        <v/>
      </c>
      <c r="AR204" s="21" t="str">
        <f>IF(AND('Atividades Micro'!$A228=AR$2,'Atividades Micro'!$L228&lt;&gt;""),'Atividades Micro'!$L228,"")</f>
        <v/>
      </c>
      <c r="AS204" s="21" t="str">
        <f>IF(AND('Atividades Micro'!$B228=AS$2,'Atividades Micro'!$K228&lt;&gt;""),'Atividades Micro'!$K228,"")</f>
        <v/>
      </c>
      <c r="AT204" s="21" t="str">
        <f>IF(AND('Atividades Micro'!$B228=AT$2,'Atividades Micro'!$L228&lt;&gt;""),'Atividades Micro'!$L228,"")</f>
        <v/>
      </c>
      <c r="AU204" s="21" t="str">
        <f>IF(AND('Atividades Micro'!$A228=AU$2,'Atividades Micro'!$K228&lt;&gt;""),'Atividades Micro'!$K228,"")</f>
        <v/>
      </c>
      <c r="AV204" s="21" t="str">
        <f>IF(AND('Atividades Micro'!$A228=AV$2,'Atividades Micro'!$L228&lt;&gt;""),'Atividades Micro'!$L228,"")</f>
        <v/>
      </c>
      <c r="AW204" s="21" t="str">
        <f>IF(AND('Atividades Micro'!$B228=AW$2,'Atividades Micro'!$K228&lt;&gt;""),'Atividades Micro'!$K228,"")</f>
        <v/>
      </c>
      <c r="AX204" s="21" t="str">
        <f>IF(AND('Atividades Micro'!$B228=AX$2,'Atividades Micro'!$L228&lt;&gt;""),'Atividades Micro'!$L228,"")</f>
        <v/>
      </c>
      <c r="AY204" s="21" t="str">
        <f>IF(AND('Atividades Micro'!$A228=AY$2,'Atividades Micro'!$K228&lt;&gt;""),'Atividades Micro'!$K228,"")</f>
        <v/>
      </c>
      <c r="AZ204" s="21" t="str">
        <f>IF(AND('Atividades Micro'!$A228=AZ$2,'Atividades Micro'!$L228&lt;&gt;""),'Atividades Micro'!$L228,"")</f>
        <v/>
      </c>
      <c r="BA204" s="21" t="str">
        <f>IF(AND('Atividades Micro'!$B228=BA$2,'Atividades Micro'!$K228&lt;&gt;""),'Atividades Micro'!$K228,"")</f>
        <v/>
      </c>
      <c r="BB204" s="21" t="str">
        <f>IF(AND('Atividades Micro'!$B228=BB$2,'Atividades Micro'!$L228&lt;&gt;""),'Atividades Micro'!$L228,"")</f>
        <v/>
      </c>
      <c r="BC204" s="21" t="str">
        <f>IF(AND('Atividades Micro'!$B228=BC$2,'Atividades Micro'!$G228="Macro",'Atividades Micro'!$K228&lt;&gt;""),'Atividades Micro'!$K228,"")</f>
        <v/>
      </c>
      <c r="BD204" s="21" t="str">
        <f>IF(AND('Atividades Micro'!$B228=BD$2,'Atividades Micro'!$G228="Macro",'Atividades Micro'!$K228&lt;&gt;""),'Atividades Micro'!$K228,"")</f>
        <v/>
      </c>
      <c r="BE204" s="21" t="str">
        <f>IF(AND('Atividades Micro'!$B228=BE$2,'Atividades Micro'!$G228="Macro",'Atividades Micro'!$K228&lt;&gt;""),'Atividades Micro'!$K228,"")</f>
        <v/>
      </c>
      <c r="BF204" s="21" t="str">
        <f>IF(AND('Atividades Micro'!$B228=BF$2,'Atividades Micro'!$G228="Macro",'Atividades Micro'!$K228&lt;&gt;""),'Atividades Micro'!$K228,"")</f>
        <v/>
      </c>
      <c r="BG204" s="21" t="str">
        <f>IF(AND('Atividades Micro'!$B228=BG$2,'Atividades Micro'!$G228="Macro",'Atividades Micro'!$K228&lt;&gt;""),'Atividades Micro'!$K228,"")</f>
        <v/>
      </c>
      <c r="BH204" s="21" t="str">
        <f>IF(AND('Atividades Micro'!$B228=BH$2,'Atividades Micro'!$G228="Macro",'Atividades Micro'!$K228&lt;&gt;""),'Atividades Micro'!$K228,"")</f>
        <v/>
      </c>
      <c r="BI204" s="21" t="str">
        <f>IF(AND('Atividades Micro'!$B228=BI$2,'Atividades Micro'!$G228="Macro",'Atividades Micro'!$K228&lt;&gt;""),'Atividades Micro'!$K228,"")</f>
        <v/>
      </c>
      <c r="BJ204" s="21" t="str">
        <f>IF(AND('Atividades Micro'!$B228=BJ$2,'Atividades Micro'!$G228="Macro",'Atividades Micro'!$K228&lt;&gt;""),'Atividades Micro'!$K228,"")</f>
        <v/>
      </c>
      <c r="BK204" s="21" t="str">
        <f>IF(AND('Atividades Micro'!$B228=BK$2,'Atividades Micro'!$G228="Macro",'Atividades Micro'!$K228&lt;&gt;""),'Atividades Micro'!$K228,"")</f>
        <v/>
      </c>
      <c r="BL204" s="21" t="str">
        <f>IF(AND('Atividades Micro'!$B228=BL$2,'Atividades Micro'!$G228="Macro",'Atividades Micro'!$K228&lt;&gt;""),'Atividades Micro'!$K228,"")</f>
        <v/>
      </c>
      <c r="BM204" s="21" t="str">
        <f>IF(AND('Atividades Micro'!$B228=BM$2,'Atividades Micro'!$G228="Macro",'Atividades Micro'!$K228&lt;&gt;""),'Atividades Micro'!$K228,"")</f>
        <v/>
      </c>
      <c r="BN204" s="21" t="str">
        <f>IF(AND('Atividades Micro'!$B228=BN$2,'Atividades Micro'!$G228="Macro",'Atividades Micro'!$K228&lt;&gt;""),'Atividades Micro'!$K228,"")</f>
        <v/>
      </c>
      <c r="BO204" s="21" t="str">
        <f>IF(AND('Atividades Micro'!$B228=BO$2,'Atividades Micro'!$G228="Macro",'Atividades Micro'!$K228&lt;&gt;""),'Atividades Micro'!$K228,"")</f>
        <v/>
      </c>
      <c r="BP204" s="21" t="str">
        <f>IF(AND('Atividades Micro'!$B228=BP$2,'Atividades Micro'!$G228="Macro",'Atividades Micro'!$K228&lt;&gt;""),'Atividades Micro'!$K228,"")</f>
        <v/>
      </c>
      <c r="BQ204" s="21" t="str">
        <f>IF(AND('Atividades Micro'!$B228=BQ$2,'Atividades Micro'!$G228="Macro",'Atividades Micro'!$K228&lt;&gt;""),'Atividades Micro'!$K228,"")</f>
        <v/>
      </c>
      <c r="BR204" s="21" t="str">
        <f>IF(AND('Atividades Micro'!$B228=BR$2,'Atividades Micro'!$G228="Macro",'Atividades Micro'!$K228&lt;&gt;""),'Atividades Micro'!$K228,"")</f>
        <v/>
      </c>
      <c r="BS204" s="21" t="str">
        <f>IF(AND('Atividades Micro'!$B228=BS$2,'Atividades Micro'!$G228="Macro",'Atividades Micro'!$K228&lt;&gt;""),'Atividades Micro'!$K228,"")</f>
        <v/>
      </c>
      <c r="BT204" s="21" t="str">
        <f>IF(AND('Atividades Micro'!$B228=BT$2,'Atividades Micro'!$G228="Macro",'Atividades Micro'!$K228&lt;&gt;""),'Atividades Micro'!$K228,"")</f>
        <v/>
      </c>
      <c r="BU204" s="21" t="str">
        <f>IF(AND('Atividades Micro'!$B228=BU$2,'Atividades Micro'!$G228="Macro",'Atividades Micro'!$K228&lt;&gt;""),'Atividades Micro'!$K228,"")</f>
        <v/>
      </c>
      <c r="BV204" s="21" t="str">
        <f>IF(AND('Atividades Micro'!$B228=BV$2,'Atividades Micro'!$G228="Macro",'Atividades Micro'!$K228&lt;&gt;""),'Atividades Micro'!$K228,"")</f>
        <v/>
      </c>
      <c r="BW204" s="21" t="str">
        <f>IF(AND('Atividades Micro'!$B228=BW$2,'Atividades Micro'!$G228="Macro",'Atividades Micro'!$K228&lt;&gt;""),'Atividades Micro'!$K228,"")</f>
        <v/>
      </c>
      <c r="BX204" s="21" t="str">
        <f>IF(AND('Atividades Micro'!$B228=BX$2,'Atividades Micro'!$G228="Macro",'Atividades Micro'!$K228&lt;&gt;""),'Atividades Micro'!$K228,"")</f>
        <v/>
      </c>
      <c r="BY204" s="21" t="str">
        <f>IF(AND('Atividades Micro'!$B228=BY$2,'Atividades Micro'!$G228="Macro",'Atividades Micro'!$K228&lt;&gt;""),'Atividades Micro'!$K228,"")</f>
        <v/>
      </c>
      <c r="BZ204" s="21" t="str">
        <f>IF(AND('Atividades Micro'!$B228=BZ$2,'Atividades Micro'!$G228="Macro",'Atividades Micro'!$K228&lt;&gt;""),'Atividades Micro'!$K228,"")</f>
        <v/>
      </c>
      <c r="CA204" s="21" t="str">
        <f>IF(AND('Atividades Micro'!$B228=CA$2,'Atividades Micro'!$G228="Macro",'Atividades Micro'!$K228&lt;&gt;""),'Atividades Micro'!$K228,"")</f>
        <v/>
      </c>
      <c r="CB204" s="21" t="str">
        <f>IF(AND('Atividades Micro'!$B228=CB$2,'Atividades Micro'!$G228="Macro",'Atividades Micro'!$K228&lt;&gt;""),'Atividades Micro'!$K228,"")</f>
        <v/>
      </c>
      <c r="CC204" s="21" t="str">
        <f>IF(AND('Atividades Micro'!$B228=CC$2,'Atividades Micro'!$G228="Macro",'Atividades Micro'!$K228&lt;&gt;""),'Atividades Micro'!$K228,"")</f>
        <v/>
      </c>
      <c r="CD204" s="21" t="str">
        <f>IF(AND('Atividades Micro'!$B228=CD$2,'Atividades Micro'!$G228="Micro",'Atividades Micro'!$K228&lt;&gt;""),'Atividades Micro'!$K228,"")</f>
        <v/>
      </c>
      <c r="CE204" s="21" t="str">
        <f>IF(AND('Atividades Micro'!$B228=CE$2,'Atividades Micro'!$G228="Micro",'Atividades Micro'!$K228&lt;&gt;""),'Atividades Micro'!$K228,"")</f>
        <v/>
      </c>
      <c r="CF204" s="21" t="str">
        <f>IF(AND('Atividades Micro'!$B228=CF$2,'Atividades Micro'!$G228="Micro",'Atividades Micro'!$K228&lt;&gt;""),'Atividades Micro'!$K228,"")</f>
        <v/>
      </c>
      <c r="CG204" s="21" t="str">
        <f>IF(AND('Atividades Micro'!$B228=CG$2,'Atividades Micro'!$G228="Micro",'Atividades Micro'!$K228&lt;&gt;""),'Atividades Micro'!$K228,"")</f>
        <v/>
      </c>
      <c r="CH204" s="21" t="str">
        <f>IF(AND('Atividades Micro'!$B228=CH$2,'Atividades Micro'!$G228="Micro",'Atividades Micro'!$K228&lt;&gt;""),'Atividades Micro'!$K228,"")</f>
        <v/>
      </c>
      <c r="CI204" s="21" t="str">
        <f>IF(AND('Atividades Micro'!$B228=CI$2,'Atividades Micro'!$G228="Micro",'Atividades Micro'!$K228&lt;&gt;""),'Atividades Micro'!$K228,"")</f>
        <v/>
      </c>
      <c r="CJ204" s="21" t="str">
        <f>IF(AND('Atividades Micro'!$B228=CJ$2,'Atividades Micro'!$G228="Micro",'Atividades Micro'!$K228&lt;&gt;""),'Atividades Micro'!$K228,"")</f>
        <v/>
      </c>
      <c r="CK204" s="21">
        <f>IF(AND('Atividades Micro'!$B228=CK$2,'Atividades Micro'!$G228="Micro",'Atividades Micro'!$K228&lt;&gt;""),'Atividades Micro'!$K228,"")</f>
        <v>46302</v>
      </c>
      <c r="CL204" s="21" t="str">
        <f>IF(AND('Atividades Micro'!$B228=CL$2,'Atividades Micro'!$G228="Micro",'Atividades Micro'!$K228&lt;&gt;""),'Atividades Micro'!$K228,"")</f>
        <v/>
      </c>
      <c r="CM204" s="21" t="str">
        <f>IF(AND('Atividades Micro'!$B228=CM$2,'Atividades Micro'!$G228="Micro",'Atividades Micro'!$K228&lt;&gt;""),'Atividades Micro'!$K228,"")</f>
        <v/>
      </c>
      <c r="CN204" s="21" t="str">
        <f>IF(AND('Atividades Micro'!$B228=CN$2,'Atividades Micro'!$G228="Micro",'Atividades Micro'!$K228&lt;&gt;""),'Atividades Micro'!$K228,"")</f>
        <v/>
      </c>
      <c r="CO204" s="21" t="str">
        <f>IF(AND('Atividades Micro'!$B228=CO$2,'Atividades Micro'!$G228="Micro",'Atividades Micro'!$K228&lt;&gt;""),'Atividades Micro'!$K228,"")</f>
        <v/>
      </c>
    </row>
    <row r="205" spans="1:93">
      <c r="A205" s="21" t="str">
        <f>IF(AND('Atividades Micro'!$A229=A$2,'Atividades Micro'!$K229&lt;&gt;""),'Atividades Micro'!$K229,"")</f>
        <v/>
      </c>
      <c r="B205" s="21" t="str">
        <f>IF(AND('Atividades Micro'!$A229=B$2,'Atividades Micro'!$L229&lt;&gt;""),'Atividades Micro'!$L229,"")</f>
        <v/>
      </c>
      <c r="C205" s="21" t="str">
        <f>IF(AND('Atividades Micro'!$A229=C$2,'Atividades Micro'!$K229&lt;&gt;""),'Atividades Micro'!$K229,"")</f>
        <v/>
      </c>
      <c r="D205" s="21" t="str">
        <f>IF(AND('Atividades Micro'!$A229=D$2,'Atividades Micro'!$L229&lt;&gt;""),'Atividades Micro'!$L229,"")</f>
        <v/>
      </c>
      <c r="E205" s="21" t="str">
        <f>IF(AND('Atividades Micro'!$A229=E$2,'Atividades Micro'!$K229&lt;&gt;""),'Atividades Micro'!$K229,"")</f>
        <v/>
      </c>
      <c r="F205" s="21" t="str">
        <f>IF(AND('Atividades Micro'!$A229=F$2,'Atividades Micro'!$L229&lt;&gt;""),'Atividades Micro'!$L229,"")</f>
        <v/>
      </c>
      <c r="G205" s="21" t="str">
        <f>IF(AND('Atividades Micro'!$A229=G$2,'Atividades Micro'!$K229&lt;&gt;""),'Atividades Micro'!$K229,"")</f>
        <v/>
      </c>
      <c r="H205" s="21" t="str">
        <f>IF(AND('Atividades Micro'!$A229=H$2,'Atividades Micro'!$L229&lt;&gt;""),'Atividades Micro'!$L229,"")</f>
        <v/>
      </c>
      <c r="I205" s="21" t="str">
        <f>IF(AND('Atividades Micro'!$A229=I$2,'Atividades Micro'!$K229&lt;&gt;""),'Atividades Micro'!$K229,"")</f>
        <v/>
      </c>
      <c r="J205" s="21" t="str">
        <f>IF(AND('Atividades Micro'!$A229=J$2,'Atividades Micro'!$L229&lt;&gt;""),'Atividades Micro'!$L229,"")</f>
        <v/>
      </c>
      <c r="K205" s="21" t="str">
        <f>IF(AND('Atividades Micro'!$B229=K$2,'Atividades Micro'!$K229&lt;&gt;""),'Atividades Micro'!$K229,"")</f>
        <v/>
      </c>
      <c r="L205" s="21" t="str">
        <f>IF(AND('Atividades Micro'!$B229=L$2,'Atividades Micro'!$L229&lt;&gt;""),'Atividades Micro'!$L229,"")</f>
        <v/>
      </c>
      <c r="M205" s="21" t="str">
        <f>IF(AND('Atividades Micro'!$B229=M$2,'Atividades Micro'!$K229&lt;&gt;""),'Atividades Micro'!$K229,"")</f>
        <v/>
      </c>
      <c r="N205" s="21" t="str">
        <f>IF(AND('Atividades Micro'!$B229=N$2,'Atividades Micro'!$L229&lt;&gt;""),'Atividades Micro'!$L229,"")</f>
        <v/>
      </c>
      <c r="O205" s="21" t="str">
        <f>IF(AND('Atividades Micro'!$A229=O$2,'Atividades Micro'!$K229&lt;&gt;""),'Atividades Micro'!$K229,"")</f>
        <v/>
      </c>
      <c r="P205" s="21" t="str">
        <f>IF(AND('Atividades Micro'!$A229=P$2,'Atividades Micro'!$L229&lt;&gt;""),'Atividades Micro'!$L229,"")</f>
        <v/>
      </c>
      <c r="Q205" s="21" t="str">
        <f>IF(AND('Atividades Micro'!$B229=Q$2,'Atividades Micro'!$K229&lt;&gt;""),'Atividades Micro'!$K229,"")</f>
        <v/>
      </c>
      <c r="R205" s="21" t="str">
        <f>IF(AND('Atividades Micro'!$B229=R$2,'Atividades Micro'!$L229&lt;&gt;""),'Atividades Micro'!$L229,"")</f>
        <v/>
      </c>
      <c r="S205" s="21" t="str">
        <f>IF(AND('Atividades Micro'!$A229=S$2,'Atividades Micro'!$K229&lt;&gt;""),'Atividades Micro'!$K229,"")</f>
        <v/>
      </c>
      <c r="T205" s="21" t="str">
        <f>IF(AND('Atividades Micro'!$A229=T$2,'Atividades Micro'!$L229&lt;&gt;""),'Atividades Micro'!$L229,"")</f>
        <v/>
      </c>
      <c r="U205" s="21" t="str">
        <f>IF(AND('Atividades Micro'!$B229=U$2,'Atividades Micro'!$K229&lt;&gt;""),'Atividades Micro'!$K229,"")</f>
        <v/>
      </c>
      <c r="V205" s="21" t="str">
        <f>IF(AND('Atividades Micro'!$B229=V$2,'Atividades Micro'!$L229&lt;&gt;""),'Atividades Micro'!$L229,"")</f>
        <v/>
      </c>
      <c r="W205" s="21" t="str">
        <f>IF(AND('Atividades Micro'!$B229=W$2,'Atividades Micro'!$K229&lt;&gt;""),'Atividades Micro'!$K229,"")</f>
        <v/>
      </c>
      <c r="X205" s="21" t="str">
        <f>IF(AND('Atividades Micro'!$B229=X$2,'Atividades Micro'!$L229&lt;&gt;""),'Atividades Micro'!$L229,"")</f>
        <v/>
      </c>
      <c r="Y205" s="21" t="str">
        <f>IF(AND('Atividades Micro'!$A229=Y$2,'Atividades Micro'!$K229&lt;&gt;""),'Atividades Micro'!$K229,"")</f>
        <v/>
      </c>
      <c r="Z205" s="21" t="str">
        <f>IF(AND('Atividades Micro'!$A229=Z$2,'Atividades Micro'!$L229&lt;&gt;""),'Atividades Micro'!$L229,"")</f>
        <v/>
      </c>
      <c r="AA205" s="21" t="str">
        <f>IF(AND('Atividades Micro'!$B229=AA$2,'Atividades Micro'!$K229&lt;&gt;""),'Atividades Micro'!$K229,"")</f>
        <v/>
      </c>
      <c r="AB205" s="21" t="str">
        <f>IF(AND('Atividades Micro'!$B229=AB$2,'Atividades Micro'!$L229&lt;&gt;""),'Atividades Micro'!$L229,"")</f>
        <v/>
      </c>
      <c r="AC205" s="21" t="str">
        <f>IF(AND('Atividades Micro'!$B229=AC$2,'Atividades Micro'!$K229&lt;&gt;""),'Atividades Micro'!$K229,"")</f>
        <v/>
      </c>
      <c r="AD205" s="21" t="str">
        <f>IF(AND('Atividades Micro'!$B229=AD$2,'Atividades Micro'!$L229&lt;&gt;""),'Atividades Micro'!$L229,"")</f>
        <v/>
      </c>
      <c r="AE205" s="21">
        <f>IF(AND('Atividades Micro'!$A229=AE$2,'Atividades Micro'!$K229&lt;&gt;""),'Atividades Micro'!$K229,"")</f>
        <v>46336</v>
      </c>
      <c r="AF205" s="21">
        <f>IF(AND('Atividades Micro'!$A229=AF$2,'Atividades Micro'!$L229&lt;&gt;""),'Atividades Micro'!$L229,"")</f>
        <v>46315</v>
      </c>
      <c r="AG205" s="21">
        <f>IF(AND('Atividades Micro'!$B229=AG$2,'Atividades Micro'!$K229&lt;&gt;""),'Atividades Micro'!$K229,"")</f>
        <v>46336</v>
      </c>
      <c r="AH205" s="21">
        <f>IF(AND('Atividades Micro'!$B229=AH$2,'Atividades Micro'!$L229&lt;&gt;""),'Atividades Micro'!$L229,"")</f>
        <v>46315</v>
      </c>
      <c r="AI205" s="21" t="str">
        <f>IF(AND('Atividades Micro'!$B229=AI$2,'Atividades Micro'!$K229&lt;&gt;""),'Atividades Micro'!$K229,"")</f>
        <v/>
      </c>
      <c r="AJ205" s="21" t="str">
        <f>IF(AND('Atividades Micro'!$B229=AJ$2,'Atividades Micro'!$L229&lt;&gt;""),'Atividades Micro'!$L229,"")</f>
        <v/>
      </c>
      <c r="AK205" s="21" t="str">
        <f>IF(AND('Atividades Micro'!$A229=AK$2,'Atividades Micro'!$K229&lt;&gt;""),'Atividades Micro'!$K229,"")</f>
        <v/>
      </c>
      <c r="AL205" s="21" t="str">
        <f>IF(AND('Atividades Micro'!$A229=AL$2,'Atividades Micro'!$L229&lt;&gt;""),'Atividades Micro'!$L229,"")</f>
        <v/>
      </c>
      <c r="AM205" s="21" t="str">
        <f>IF(AND('Atividades Micro'!$B229=AM$2,'Atividades Micro'!$K229&lt;&gt;""),'Atividades Micro'!$K229,"")</f>
        <v/>
      </c>
      <c r="AN205" s="21" t="str">
        <f>IF(AND('Atividades Micro'!$B229=AN$2,'Atividades Micro'!$L229&lt;&gt;""),'Atividades Micro'!$L229,"")</f>
        <v/>
      </c>
      <c r="AO205" s="21" t="str">
        <f>IF(AND('Atividades Micro'!$B229=AO$2,'Atividades Micro'!$K229&lt;&gt;""),'Atividades Micro'!$K229,"")</f>
        <v/>
      </c>
      <c r="AP205" s="21" t="str">
        <f>IF(AND('Atividades Micro'!$B229=AP$2,'Atividades Micro'!$L229&lt;&gt;""),'Atividades Micro'!$L229,"")</f>
        <v/>
      </c>
      <c r="AQ205" s="21" t="str">
        <f>IF(AND('Atividades Micro'!$A229=AQ$2,'Atividades Micro'!$K229&lt;&gt;""),'Atividades Micro'!$K229,"")</f>
        <v/>
      </c>
      <c r="AR205" s="21" t="str">
        <f>IF(AND('Atividades Micro'!$A229=AR$2,'Atividades Micro'!$L229&lt;&gt;""),'Atividades Micro'!$L229,"")</f>
        <v/>
      </c>
      <c r="AS205" s="21" t="str">
        <f>IF(AND('Atividades Micro'!$B229=AS$2,'Atividades Micro'!$K229&lt;&gt;""),'Atividades Micro'!$K229,"")</f>
        <v/>
      </c>
      <c r="AT205" s="21" t="str">
        <f>IF(AND('Atividades Micro'!$B229=AT$2,'Atividades Micro'!$L229&lt;&gt;""),'Atividades Micro'!$L229,"")</f>
        <v/>
      </c>
      <c r="AU205" s="21" t="str">
        <f>IF(AND('Atividades Micro'!$A229=AU$2,'Atividades Micro'!$K229&lt;&gt;""),'Atividades Micro'!$K229,"")</f>
        <v/>
      </c>
      <c r="AV205" s="21" t="str">
        <f>IF(AND('Atividades Micro'!$A229=AV$2,'Atividades Micro'!$L229&lt;&gt;""),'Atividades Micro'!$L229,"")</f>
        <v/>
      </c>
      <c r="AW205" s="21" t="str">
        <f>IF(AND('Atividades Micro'!$B229=AW$2,'Atividades Micro'!$K229&lt;&gt;""),'Atividades Micro'!$K229,"")</f>
        <v/>
      </c>
      <c r="AX205" s="21" t="str">
        <f>IF(AND('Atividades Micro'!$B229=AX$2,'Atividades Micro'!$L229&lt;&gt;""),'Atividades Micro'!$L229,"")</f>
        <v/>
      </c>
      <c r="AY205" s="21" t="str">
        <f>IF(AND('Atividades Micro'!$A229=AY$2,'Atividades Micro'!$K229&lt;&gt;""),'Atividades Micro'!$K229,"")</f>
        <v/>
      </c>
      <c r="AZ205" s="21" t="str">
        <f>IF(AND('Atividades Micro'!$A229=AZ$2,'Atividades Micro'!$L229&lt;&gt;""),'Atividades Micro'!$L229,"")</f>
        <v/>
      </c>
      <c r="BA205" s="21" t="str">
        <f>IF(AND('Atividades Micro'!$B229=BA$2,'Atividades Micro'!$K229&lt;&gt;""),'Atividades Micro'!$K229,"")</f>
        <v/>
      </c>
      <c r="BB205" s="21" t="str">
        <f>IF(AND('Atividades Micro'!$B229=BB$2,'Atividades Micro'!$L229&lt;&gt;""),'Atividades Micro'!$L229,"")</f>
        <v/>
      </c>
      <c r="BC205" s="21" t="str">
        <f>IF(AND('Atividades Micro'!$B229=BC$2,'Atividades Micro'!$G229="Macro",'Atividades Micro'!$K229&lt;&gt;""),'Atividades Micro'!$K229,"")</f>
        <v/>
      </c>
      <c r="BD205" s="21" t="str">
        <f>IF(AND('Atividades Micro'!$B229=BD$2,'Atividades Micro'!$G229="Macro",'Atividades Micro'!$K229&lt;&gt;""),'Atividades Micro'!$K229,"")</f>
        <v/>
      </c>
      <c r="BE205" s="21" t="str">
        <f>IF(AND('Atividades Micro'!$B229=BE$2,'Atividades Micro'!$G229="Macro",'Atividades Micro'!$K229&lt;&gt;""),'Atividades Micro'!$K229,"")</f>
        <v/>
      </c>
      <c r="BF205" s="21" t="str">
        <f>IF(AND('Atividades Micro'!$B229=BF$2,'Atividades Micro'!$G229="Macro",'Atividades Micro'!$K229&lt;&gt;""),'Atividades Micro'!$K229,"")</f>
        <v/>
      </c>
      <c r="BG205" s="21" t="str">
        <f>IF(AND('Atividades Micro'!$B229=BG$2,'Atividades Micro'!$G229="Macro",'Atividades Micro'!$K229&lt;&gt;""),'Atividades Micro'!$K229,"")</f>
        <v/>
      </c>
      <c r="BH205" s="21" t="str">
        <f>IF(AND('Atividades Micro'!$B229=BH$2,'Atividades Micro'!$G229="Macro",'Atividades Micro'!$K229&lt;&gt;""),'Atividades Micro'!$K229,"")</f>
        <v/>
      </c>
      <c r="BI205" s="21" t="str">
        <f>IF(AND('Atividades Micro'!$B229=BI$2,'Atividades Micro'!$G229="Macro",'Atividades Micro'!$K229&lt;&gt;""),'Atividades Micro'!$K229,"")</f>
        <v/>
      </c>
      <c r="BJ205" s="21" t="str">
        <f>IF(AND('Atividades Micro'!$B229=BJ$2,'Atividades Micro'!$G229="Macro",'Atividades Micro'!$K229&lt;&gt;""),'Atividades Micro'!$K229,"")</f>
        <v/>
      </c>
      <c r="BK205" s="21" t="str">
        <f>IF(AND('Atividades Micro'!$B229=BK$2,'Atividades Micro'!$G229="Macro",'Atividades Micro'!$K229&lt;&gt;""),'Atividades Micro'!$K229,"")</f>
        <v/>
      </c>
      <c r="BL205" s="21" t="str">
        <f>IF(AND('Atividades Micro'!$B229=BL$2,'Atividades Micro'!$G229="Macro",'Atividades Micro'!$K229&lt;&gt;""),'Atividades Micro'!$K229,"")</f>
        <v/>
      </c>
      <c r="BM205" s="21" t="str">
        <f>IF(AND('Atividades Micro'!$B229=BM$2,'Atividades Micro'!$G229="Macro",'Atividades Micro'!$K229&lt;&gt;""),'Atividades Micro'!$K229,"")</f>
        <v/>
      </c>
      <c r="BN205" s="21" t="str">
        <f>IF(AND('Atividades Micro'!$B229=BN$2,'Atividades Micro'!$G229="Macro",'Atividades Micro'!$K229&lt;&gt;""),'Atividades Micro'!$K229,"")</f>
        <v/>
      </c>
      <c r="BO205" s="21" t="str">
        <f>IF(AND('Atividades Micro'!$B229=BO$2,'Atividades Micro'!$G229="Macro",'Atividades Micro'!$K229&lt;&gt;""),'Atividades Micro'!$K229,"")</f>
        <v/>
      </c>
      <c r="BP205" s="21" t="str">
        <f>IF(AND('Atividades Micro'!$B229=BP$2,'Atividades Micro'!$G229="Macro",'Atividades Micro'!$K229&lt;&gt;""),'Atividades Micro'!$K229,"")</f>
        <v/>
      </c>
      <c r="BQ205" s="21" t="str">
        <f>IF(AND('Atividades Micro'!$B229=BQ$2,'Atividades Micro'!$G229="Macro",'Atividades Micro'!$K229&lt;&gt;""),'Atividades Micro'!$K229,"")</f>
        <v/>
      </c>
      <c r="BR205" s="21" t="str">
        <f>IF(AND('Atividades Micro'!$B229=BR$2,'Atividades Micro'!$G229="Macro",'Atividades Micro'!$K229&lt;&gt;""),'Atividades Micro'!$K229,"")</f>
        <v/>
      </c>
      <c r="BS205" s="21">
        <f>IF(AND('Atividades Micro'!$B229=BS$2,'Atividades Micro'!$G229="Macro",'Atividades Micro'!$K229&lt;&gt;""),'Atividades Micro'!$K229,"")</f>
        <v>46336</v>
      </c>
      <c r="BT205" s="21" t="str">
        <f>IF(AND('Atividades Micro'!$B229=BT$2,'Atividades Micro'!$G229="Macro",'Atividades Micro'!$K229&lt;&gt;""),'Atividades Micro'!$K229,"")</f>
        <v/>
      </c>
      <c r="BU205" s="21" t="str">
        <f>IF(AND('Atividades Micro'!$B229=BU$2,'Atividades Micro'!$G229="Macro",'Atividades Micro'!$K229&lt;&gt;""),'Atividades Micro'!$K229,"")</f>
        <v/>
      </c>
      <c r="BV205" s="21" t="str">
        <f>IF(AND('Atividades Micro'!$B229=BV$2,'Atividades Micro'!$G229="Macro",'Atividades Micro'!$K229&lt;&gt;""),'Atividades Micro'!$K229,"")</f>
        <v/>
      </c>
      <c r="BW205" s="21" t="str">
        <f>IF(AND('Atividades Micro'!$B229=BW$2,'Atividades Micro'!$G229="Macro",'Atividades Micro'!$K229&lt;&gt;""),'Atividades Micro'!$K229,"")</f>
        <v/>
      </c>
      <c r="BX205" s="21" t="str">
        <f>IF(AND('Atividades Micro'!$B229=BX$2,'Atividades Micro'!$G229="Macro",'Atividades Micro'!$K229&lt;&gt;""),'Atividades Micro'!$K229,"")</f>
        <v/>
      </c>
      <c r="BY205" s="21" t="str">
        <f>IF(AND('Atividades Micro'!$B229=BY$2,'Atividades Micro'!$G229="Macro",'Atividades Micro'!$K229&lt;&gt;""),'Atividades Micro'!$K229,"")</f>
        <v/>
      </c>
      <c r="BZ205" s="21" t="str">
        <f>IF(AND('Atividades Micro'!$B229=BZ$2,'Atividades Micro'!$G229="Macro",'Atividades Micro'!$K229&lt;&gt;""),'Atividades Micro'!$K229,"")</f>
        <v/>
      </c>
      <c r="CA205" s="21" t="str">
        <f>IF(AND('Atividades Micro'!$B229=CA$2,'Atividades Micro'!$G229="Macro",'Atividades Micro'!$K229&lt;&gt;""),'Atividades Micro'!$K229,"")</f>
        <v/>
      </c>
      <c r="CB205" s="21" t="str">
        <f>IF(AND('Atividades Micro'!$B229=CB$2,'Atividades Micro'!$G229="Macro",'Atividades Micro'!$K229&lt;&gt;""),'Atividades Micro'!$K229,"")</f>
        <v/>
      </c>
      <c r="CC205" s="21" t="str">
        <f>IF(AND('Atividades Micro'!$B229=CC$2,'Atividades Micro'!$G229="Macro",'Atividades Micro'!$K229&lt;&gt;""),'Atividades Micro'!$K229,"")</f>
        <v/>
      </c>
      <c r="CD205" s="21" t="str">
        <f>IF(AND('Atividades Micro'!$B229=CD$2,'Atividades Micro'!$G229="Micro",'Atividades Micro'!$K229&lt;&gt;""),'Atividades Micro'!$K229,"")</f>
        <v/>
      </c>
      <c r="CE205" s="21" t="str">
        <f>IF(AND('Atividades Micro'!$B229=CE$2,'Atividades Micro'!$G229="Micro",'Atividades Micro'!$K229&lt;&gt;""),'Atividades Micro'!$K229,"")</f>
        <v/>
      </c>
      <c r="CF205" s="21" t="str">
        <f>IF(AND('Atividades Micro'!$B229=CF$2,'Atividades Micro'!$G229="Micro",'Atividades Micro'!$K229&lt;&gt;""),'Atividades Micro'!$K229,"")</f>
        <v/>
      </c>
      <c r="CG205" s="21" t="str">
        <f>IF(AND('Atividades Micro'!$B229=CG$2,'Atividades Micro'!$G229="Micro",'Atividades Micro'!$K229&lt;&gt;""),'Atividades Micro'!$K229,"")</f>
        <v/>
      </c>
      <c r="CH205" s="21" t="str">
        <f>IF(AND('Atividades Micro'!$B229=CH$2,'Atividades Micro'!$G229="Micro",'Atividades Micro'!$K229&lt;&gt;""),'Atividades Micro'!$K229,"")</f>
        <v/>
      </c>
      <c r="CI205" s="21" t="str">
        <f>IF(AND('Atividades Micro'!$B229=CI$2,'Atividades Micro'!$G229="Micro",'Atividades Micro'!$K229&lt;&gt;""),'Atividades Micro'!$K229,"")</f>
        <v/>
      </c>
      <c r="CJ205" s="21" t="str">
        <f>IF(AND('Atividades Micro'!$B229=CJ$2,'Atividades Micro'!$G229="Micro",'Atividades Micro'!$K229&lt;&gt;""),'Atividades Micro'!$K229,"")</f>
        <v/>
      </c>
      <c r="CK205" s="21" t="str">
        <f>IF(AND('Atividades Micro'!$B229=CK$2,'Atividades Micro'!$G229="Micro",'Atividades Micro'!$K229&lt;&gt;""),'Atividades Micro'!$K229,"")</f>
        <v/>
      </c>
      <c r="CL205" s="21" t="str">
        <f>IF(AND('Atividades Micro'!$B229=CL$2,'Atividades Micro'!$G229="Micro",'Atividades Micro'!$K229&lt;&gt;""),'Atividades Micro'!$K229,"")</f>
        <v/>
      </c>
      <c r="CM205" s="21" t="str">
        <f>IF(AND('Atividades Micro'!$B229=CM$2,'Atividades Micro'!$G229="Micro",'Atividades Micro'!$K229&lt;&gt;""),'Atividades Micro'!$K229,"")</f>
        <v/>
      </c>
      <c r="CN205" s="21" t="str">
        <f>IF(AND('Atividades Micro'!$B229=CN$2,'Atividades Micro'!$G229="Micro",'Atividades Micro'!$K229&lt;&gt;""),'Atividades Micro'!$K229,"")</f>
        <v/>
      </c>
      <c r="CO205" s="21" t="str">
        <f>IF(AND('Atividades Micro'!$B229=CO$2,'Atividades Micro'!$G229="Micro",'Atividades Micro'!$K229&lt;&gt;""),'Atividades Micro'!$K229,"")</f>
        <v/>
      </c>
    </row>
    <row r="206" spans="1:93">
      <c r="A206" s="21" t="str">
        <f>IF(AND('Atividades Micro'!$A230=A$2,'Atividades Micro'!$K230&lt;&gt;""),'Atividades Micro'!$K230,"")</f>
        <v/>
      </c>
      <c r="B206" s="21" t="str">
        <f>IF(AND('Atividades Micro'!$A230=B$2,'Atividades Micro'!$L230&lt;&gt;""),'Atividades Micro'!$L230,"")</f>
        <v/>
      </c>
      <c r="C206" s="21" t="str">
        <f>IF(AND('Atividades Micro'!$A230=C$2,'Atividades Micro'!$K230&lt;&gt;""),'Atividades Micro'!$K230,"")</f>
        <v/>
      </c>
      <c r="D206" s="21" t="str">
        <f>IF(AND('Atividades Micro'!$A230=D$2,'Atividades Micro'!$L230&lt;&gt;""),'Atividades Micro'!$L230,"")</f>
        <v/>
      </c>
      <c r="E206" s="21" t="str">
        <f>IF(AND('Atividades Micro'!$A230=E$2,'Atividades Micro'!$K230&lt;&gt;""),'Atividades Micro'!$K230,"")</f>
        <v/>
      </c>
      <c r="F206" s="21" t="str">
        <f>IF(AND('Atividades Micro'!$A230=F$2,'Atividades Micro'!$L230&lt;&gt;""),'Atividades Micro'!$L230,"")</f>
        <v/>
      </c>
      <c r="G206" s="21" t="str">
        <f>IF(AND('Atividades Micro'!$A230=G$2,'Atividades Micro'!$K230&lt;&gt;""),'Atividades Micro'!$K230,"")</f>
        <v/>
      </c>
      <c r="H206" s="21" t="str">
        <f>IF(AND('Atividades Micro'!$A230=H$2,'Atividades Micro'!$L230&lt;&gt;""),'Atividades Micro'!$L230,"")</f>
        <v/>
      </c>
      <c r="I206" s="21" t="str">
        <f>IF(AND('Atividades Micro'!$A230=I$2,'Atividades Micro'!$K230&lt;&gt;""),'Atividades Micro'!$K230,"")</f>
        <v/>
      </c>
      <c r="J206" s="21" t="str">
        <f>IF(AND('Atividades Micro'!$A230=J$2,'Atividades Micro'!$L230&lt;&gt;""),'Atividades Micro'!$L230,"")</f>
        <v/>
      </c>
      <c r="K206" s="21" t="str">
        <f>IF(AND('Atividades Micro'!$B230=K$2,'Atividades Micro'!$K230&lt;&gt;""),'Atividades Micro'!$K230,"")</f>
        <v/>
      </c>
      <c r="L206" s="21" t="str">
        <f>IF(AND('Atividades Micro'!$B230=L$2,'Atividades Micro'!$L230&lt;&gt;""),'Atividades Micro'!$L230,"")</f>
        <v/>
      </c>
      <c r="M206" s="21" t="str">
        <f>IF(AND('Atividades Micro'!$B230=M$2,'Atividades Micro'!$K230&lt;&gt;""),'Atividades Micro'!$K230,"")</f>
        <v/>
      </c>
      <c r="N206" s="21" t="str">
        <f>IF(AND('Atividades Micro'!$B230=N$2,'Atividades Micro'!$L230&lt;&gt;""),'Atividades Micro'!$L230,"")</f>
        <v/>
      </c>
      <c r="O206" s="21" t="str">
        <f>IF(AND('Atividades Micro'!$A230=O$2,'Atividades Micro'!$K230&lt;&gt;""),'Atividades Micro'!$K230,"")</f>
        <v/>
      </c>
      <c r="P206" s="21" t="str">
        <f>IF(AND('Atividades Micro'!$A230=P$2,'Atividades Micro'!$L230&lt;&gt;""),'Atividades Micro'!$L230,"")</f>
        <v/>
      </c>
      <c r="Q206" s="21" t="str">
        <f>IF(AND('Atividades Micro'!$B230=Q$2,'Atividades Micro'!$K230&lt;&gt;""),'Atividades Micro'!$K230,"")</f>
        <v/>
      </c>
      <c r="R206" s="21" t="str">
        <f>IF(AND('Atividades Micro'!$B230=R$2,'Atividades Micro'!$L230&lt;&gt;""),'Atividades Micro'!$L230,"")</f>
        <v/>
      </c>
      <c r="S206" s="21" t="str">
        <f>IF(AND('Atividades Micro'!$A230=S$2,'Atividades Micro'!$K230&lt;&gt;""),'Atividades Micro'!$K230,"")</f>
        <v/>
      </c>
      <c r="T206" s="21" t="str">
        <f>IF(AND('Atividades Micro'!$A230=T$2,'Atividades Micro'!$L230&lt;&gt;""),'Atividades Micro'!$L230,"")</f>
        <v/>
      </c>
      <c r="U206" s="21" t="str">
        <f>IF(AND('Atividades Micro'!$B230=U$2,'Atividades Micro'!$K230&lt;&gt;""),'Atividades Micro'!$K230,"")</f>
        <v/>
      </c>
      <c r="V206" s="21" t="str">
        <f>IF(AND('Atividades Micro'!$B230=V$2,'Atividades Micro'!$L230&lt;&gt;""),'Atividades Micro'!$L230,"")</f>
        <v/>
      </c>
      <c r="W206" s="21" t="str">
        <f>IF(AND('Atividades Micro'!$B230=W$2,'Atividades Micro'!$K230&lt;&gt;""),'Atividades Micro'!$K230,"")</f>
        <v/>
      </c>
      <c r="X206" s="21" t="str">
        <f>IF(AND('Atividades Micro'!$B230=X$2,'Atividades Micro'!$L230&lt;&gt;""),'Atividades Micro'!$L230,"")</f>
        <v/>
      </c>
      <c r="Y206" s="21" t="str">
        <f>IF(AND('Atividades Micro'!$A230=Y$2,'Atividades Micro'!$K230&lt;&gt;""),'Atividades Micro'!$K230,"")</f>
        <v/>
      </c>
      <c r="Z206" s="21" t="str">
        <f>IF(AND('Atividades Micro'!$A230=Z$2,'Atividades Micro'!$L230&lt;&gt;""),'Atividades Micro'!$L230,"")</f>
        <v/>
      </c>
      <c r="AA206" s="21" t="str">
        <f>IF(AND('Atividades Micro'!$B230=AA$2,'Atividades Micro'!$K230&lt;&gt;""),'Atividades Micro'!$K230,"")</f>
        <v/>
      </c>
      <c r="AB206" s="21" t="str">
        <f>IF(AND('Atividades Micro'!$B230=AB$2,'Atividades Micro'!$L230&lt;&gt;""),'Atividades Micro'!$L230,"")</f>
        <v/>
      </c>
      <c r="AC206" s="21" t="str">
        <f>IF(AND('Atividades Micro'!$B230=AC$2,'Atividades Micro'!$K230&lt;&gt;""),'Atividades Micro'!$K230,"")</f>
        <v/>
      </c>
      <c r="AD206" s="21" t="str">
        <f>IF(AND('Atividades Micro'!$B230=AD$2,'Atividades Micro'!$L230&lt;&gt;""),'Atividades Micro'!$L230,"")</f>
        <v/>
      </c>
      <c r="AE206" s="21">
        <f>IF(AND('Atividades Micro'!$A230=AE$2,'Atividades Micro'!$K230&lt;&gt;""),'Atividades Micro'!$K230,"")</f>
        <v>46303</v>
      </c>
      <c r="AF206" s="21">
        <f>IF(AND('Atividades Micro'!$A230=AF$2,'Atividades Micro'!$L230&lt;&gt;""),'Atividades Micro'!$L230,"")</f>
        <v>46281</v>
      </c>
      <c r="AG206" s="21">
        <f>IF(AND('Atividades Micro'!$B230=AG$2,'Atividades Micro'!$K230&lt;&gt;""),'Atividades Micro'!$K230,"")</f>
        <v>46303</v>
      </c>
      <c r="AH206" s="21">
        <f>IF(AND('Atividades Micro'!$B230=AH$2,'Atividades Micro'!$L230&lt;&gt;""),'Atividades Micro'!$L230,"")</f>
        <v>46281</v>
      </c>
      <c r="AI206" s="21" t="str">
        <f>IF(AND('Atividades Micro'!$B230=AI$2,'Atividades Micro'!$K230&lt;&gt;""),'Atividades Micro'!$K230,"")</f>
        <v/>
      </c>
      <c r="AJ206" s="21" t="str">
        <f>IF(AND('Atividades Micro'!$B230=AJ$2,'Atividades Micro'!$L230&lt;&gt;""),'Atividades Micro'!$L230,"")</f>
        <v/>
      </c>
      <c r="AK206" s="21" t="str">
        <f>IF(AND('Atividades Micro'!$A230=AK$2,'Atividades Micro'!$K230&lt;&gt;""),'Atividades Micro'!$K230,"")</f>
        <v/>
      </c>
      <c r="AL206" s="21" t="str">
        <f>IF(AND('Atividades Micro'!$A230=AL$2,'Atividades Micro'!$L230&lt;&gt;""),'Atividades Micro'!$L230,"")</f>
        <v/>
      </c>
      <c r="AM206" s="21" t="str">
        <f>IF(AND('Atividades Micro'!$B230=AM$2,'Atividades Micro'!$K230&lt;&gt;""),'Atividades Micro'!$K230,"")</f>
        <v/>
      </c>
      <c r="AN206" s="21" t="str">
        <f>IF(AND('Atividades Micro'!$B230=AN$2,'Atividades Micro'!$L230&lt;&gt;""),'Atividades Micro'!$L230,"")</f>
        <v/>
      </c>
      <c r="AO206" s="21" t="str">
        <f>IF(AND('Atividades Micro'!$B230=AO$2,'Atividades Micro'!$K230&lt;&gt;""),'Atividades Micro'!$K230,"")</f>
        <v/>
      </c>
      <c r="AP206" s="21" t="str">
        <f>IF(AND('Atividades Micro'!$B230=AP$2,'Atividades Micro'!$L230&lt;&gt;""),'Atividades Micro'!$L230,"")</f>
        <v/>
      </c>
      <c r="AQ206" s="21" t="str">
        <f>IF(AND('Atividades Micro'!$A230=AQ$2,'Atividades Micro'!$K230&lt;&gt;""),'Atividades Micro'!$K230,"")</f>
        <v/>
      </c>
      <c r="AR206" s="21" t="str">
        <f>IF(AND('Atividades Micro'!$A230=AR$2,'Atividades Micro'!$L230&lt;&gt;""),'Atividades Micro'!$L230,"")</f>
        <v/>
      </c>
      <c r="AS206" s="21" t="str">
        <f>IF(AND('Atividades Micro'!$B230=AS$2,'Atividades Micro'!$K230&lt;&gt;""),'Atividades Micro'!$K230,"")</f>
        <v/>
      </c>
      <c r="AT206" s="21" t="str">
        <f>IF(AND('Atividades Micro'!$B230=AT$2,'Atividades Micro'!$L230&lt;&gt;""),'Atividades Micro'!$L230,"")</f>
        <v/>
      </c>
      <c r="AU206" s="21" t="str">
        <f>IF(AND('Atividades Micro'!$A230=AU$2,'Atividades Micro'!$K230&lt;&gt;""),'Atividades Micro'!$K230,"")</f>
        <v/>
      </c>
      <c r="AV206" s="21" t="str">
        <f>IF(AND('Atividades Micro'!$A230=AV$2,'Atividades Micro'!$L230&lt;&gt;""),'Atividades Micro'!$L230,"")</f>
        <v/>
      </c>
      <c r="AW206" s="21" t="str">
        <f>IF(AND('Atividades Micro'!$B230=AW$2,'Atividades Micro'!$K230&lt;&gt;""),'Atividades Micro'!$K230,"")</f>
        <v/>
      </c>
      <c r="AX206" s="21" t="str">
        <f>IF(AND('Atividades Micro'!$B230=AX$2,'Atividades Micro'!$L230&lt;&gt;""),'Atividades Micro'!$L230,"")</f>
        <v/>
      </c>
      <c r="AY206" s="21" t="str">
        <f>IF(AND('Atividades Micro'!$A230=AY$2,'Atividades Micro'!$K230&lt;&gt;""),'Atividades Micro'!$K230,"")</f>
        <v/>
      </c>
      <c r="AZ206" s="21" t="str">
        <f>IF(AND('Atividades Micro'!$A230=AZ$2,'Atividades Micro'!$L230&lt;&gt;""),'Atividades Micro'!$L230,"")</f>
        <v/>
      </c>
      <c r="BA206" s="21" t="str">
        <f>IF(AND('Atividades Micro'!$B230=BA$2,'Atividades Micro'!$K230&lt;&gt;""),'Atividades Micro'!$K230,"")</f>
        <v/>
      </c>
      <c r="BB206" s="21" t="str">
        <f>IF(AND('Atividades Micro'!$B230=BB$2,'Atividades Micro'!$L230&lt;&gt;""),'Atividades Micro'!$L230,"")</f>
        <v/>
      </c>
      <c r="BC206" s="21" t="str">
        <f>IF(AND('Atividades Micro'!$B230=BC$2,'Atividades Micro'!$G230="Macro",'Atividades Micro'!$K230&lt;&gt;""),'Atividades Micro'!$K230,"")</f>
        <v/>
      </c>
      <c r="BD206" s="21" t="str">
        <f>IF(AND('Atividades Micro'!$B230=BD$2,'Atividades Micro'!$G230="Macro",'Atividades Micro'!$K230&lt;&gt;""),'Atividades Micro'!$K230,"")</f>
        <v/>
      </c>
      <c r="BE206" s="21" t="str">
        <f>IF(AND('Atividades Micro'!$B230=BE$2,'Atividades Micro'!$G230="Macro",'Atividades Micro'!$K230&lt;&gt;""),'Atividades Micro'!$K230,"")</f>
        <v/>
      </c>
      <c r="BF206" s="21" t="str">
        <f>IF(AND('Atividades Micro'!$B230=BF$2,'Atividades Micro'!$G230="Macro",'Atividades Micro'!$K230&lt;&gt;""),'Atividades Micro'!$K230,"")</f>
        <v/>
      </c>
      <c r="BG206" s="21" t="str">
        <f>IF(AND('Atividades Micro'!$B230=BG$2,'Atividades Micro'!$G230="Macro",'Atividades Micro'!$K230&lt;&gt;""),'Atividades Micro'!$K230,"")</f>
        <v/>
      </c>
      <c r="BH206" s="21" t="str">
        <f>IF(AND('Atividades Micro'!$B230=BH$2,'Atividades Micro'!$G230="Macro",'Atividades Micro'!$K230&lt;&gt;""),'Atividades Micro'!$K230,"")</f>
        <v/>
      </c>
      <c r="BI206" s="21" t="str">
        <f>IF(AND('Atividades Micro'!$B230=BI$2,'Atividades Micro'!$G230="Macro",'Atividades Micro'!$K230&lt;&gt;""),'Atividades Micro'!$K230,"")</f>
        <v/>
      </c>
      <c r="BJ206" s="21" t="str">
        <f>IF(AND('Atividades Micro'!$B230=BJ$2,'Atividades Micro'!$G230="Macro",'Atividades Micro'!$K230&lt;&gt;""),'Atividades Micro'!$K230,"")</f>
        <v/>
      </c>
      <c r="BK206" s="21" t="str">
        <f>IF(AND('Atividades Micro'!$B230=BK$2,'Atividades Micro'!$G230="Macro",'Atividades Micro'!$K230&lt;&gt;""),'Atividades Micro'!$K230,"")</f>
        <v/>
      </c>
      <c r="BL206" s="21" t="str">
        <f>IF(AND('Atividades Micro'!$B230=BL$2,'Atividades Micro'!$G230="Macro",'Atividades Micro'!$K230&lt;&gt;""),'Atividades Micro'!$K230,"")</f>
        <v/>
      </c>
      <c r="BM206" s="21" t="str">
        <f>IF(AND('Atividades Micro'!$B230=BM$2,'Atividades Micro'!$G230="Macro",'Atividades Micro'!$K230&lt;&gt;""),'Atividades Micro'!$K230,"")</f>
        <v/>
      </c>
      <c r="BN206" s="21" t="str">
        <f>IF(AND('Atividades Micro'!$B230=BN$2,'Atividades Micro'!$G230="Macro",'Atividades Micro'!$K230&lt;&gt;""),'Atividades Micro'!$K230,"")</f>
        <v/>
      </c>
      <c r="BO206" s="21" t="str">
        <f>IF(AND('Atividades Micro'!$B230=BO$2,'Atividades Micro'!$G230="Macro",'Atividades Micro'!$K230&lt;&gt;""),'Atividades Micro'!$K230,"")</f>
        <v/>
      </c>
      <c r="BP206" s="21" t="str">
        <f>IF(AND('Atividades Micro'!$B230=BP$2,'Atividades Micro'!$G230="Macro",'Atividades Micro'!$K230&lt;&gt;""),'Atividades Micro'!$K230,"")</f>
        <v/>
      </c>
      <c r="BQ206" s="21" t="str">
        <f>IF(AND('Atividades Micro'!$B230=BQ$2,'Atividades Micro'!$G230="Macro",'Atividades Micro'!$K230&lt;&gt;""),'Atividades Micro'!$K230,"")</f>
        <v/>
      </c>
      <c r="BR206" s="21" t="str">
        <f>IF(AND('Atividades Micro'!$B230=BR$2,'Atividades Micro'!$G230="Macro",'Atividades Micro'!$K230&lt;&gt;""),'Atividades Micro'!$K230,"")</f>
        <v/>
      </c>
      <c r="BS206" s="21" t="str">
        <f>IF(AND('Atividades Micro'!$B230=BS$2,'Atividades Micro'!$G230="Macro",'Atividades Micro'!$K230&lt;&gt;""),'Atividades Micro'!$K230,"")</f>
        <v/>
      </c>
      <c r="BT206" s="21" t="str">
        <f>IF(AND('Atividades Micro'!$B230=BT$2,'Atividades Micro'!$G230="Macro",'Atividades Micro'!$K230&lt;&gt;""),'Atividades Micro'!$K230,"")</f>
        <v/>
      </c>
      <c r="BU206" s="21" t="str">
        <f>IF(AND('Atividades Micro'!$B230=BU$2,'Atividades Micro'!$G230="Macro",'Atividades Micro'!$K230&lt;&gt;""),'Atividades Micro'!$K230,"")</f>
        <v/>
      </c>
      <c r="BV206" s="21" t="str">
        <f>IF(AND('Atividades Micro'!$B230=BV$2,'Atividades Micro'!$G230="Macro",'Atividades Micro'!$K230&lt;&gt;""),'Atividades Micro'!$K230,"")</f>
        <v/>
      </c>
      <c r="BW206" s="21" t="str">
        <f>IF(AND('Atividades Micro'!$B230=BW$2,'Atividades Micro'!$G230="Macro",'Atividades Micro'!$K230&lt;&gt;""),'Atividades Micro'!$K230,"")</f>
        <v/>
      </c>
      <c r="BX206" s="21" t="str">
        <f>IF(AND('Atividades Micro'!$B230=BX$2,'Atividades Micro'!$G230="Macro",'Atividades Micro'!$K230&lt;&gt;""),'Atividades Micro'!$K230,"")</f>
        <v/>
      </c>
      <c r="BY206" s="21" t="str">
        <f>IF(AND('Atividades Micro'!$B230=BY$2,'Atividades Micro'!$G230="Macro",'Atividades Micro'!$K230&lt;&gt;""),'Atividades Micro'!$K230,"")</f>
        <v/>
      </c>
      <c r="BZ206" s="21" t="str">
        <f>IF(AND('Atividades Micro'!$B230=BZ$2,'Atividades Micro'!$G230="Macro",'Atividades Micro'!$K230&lt;&gt;""),'Atividades Micro'!$K230,"")</f>
        <v/>
      </c>
      <c r="CA206" s="21" t="str">
        <f>IF(AND('Atividades Micro'!$B230=CA$2,'Atividades Micro'!$G230="Macro",'Atividades Micro'!$K230&lt;&gt;""),'Atividades Micro'!$K230,"")</f>
        <v/>
      </c>
      <c r="CB206" s="21" t="str">
        <f>IF(AND('Atividades Micro'!$B230=CB$2,'Atividades Micro'!$G230="Macro",'Atividades Micro'!$K230&lt;&gt;""),'Atividades Micro'!$K230,"")</f>
        <v/>
      </c>
      <c r="CC206" s="21" t="str">
        <f>IF(AND('Atividades Micro'!$B230=CC$2,'Atividades Micro'!$G230="Macro",'Atividades Micro'!$K230&lt;&gt;""),'Atividades Micro'!$K230,"")</f>
        <v/>
      </c>
      <c r="CD206" s="21" t="str">
        <f>IF(AND('Atividades Micro'!$B230=CD$2,'Atividades Micro'!$G230="Micro",'Atividades Micro'!$K230&lt;&gt;""),'Atividades Micro'!$K230,"")</f>
        <v/>
      </c>
      <c r="CE206" s="21" t="str">
        <f>IF(AND('Atividades Micro'!$B230=CE$2,'Atividades Micro'!$G230="Micro",'Atividades Micro'!$K230&lt;&gt;""),'Atividades Micro'!$K230,"")</f>
        <v/>
      </c>
      <c r="CF206" s="21" t="str">
        <f>IF(AND('Atividades Micro'!$B230=CF$2,'Atividades Micro'!$G230="Micro",'Atividades Micro'!$K230&lt;&gt;""),'Atividades Micro'!$K230,"")</f>
        <v/>
      </c>
      <c r="CG206" s="21" t="str">
        <f>IF(AND('Atividades Micro'!$B230=CG$2,'Atividades Micro'!$G230="Micro",'Atividades Micro'!$K230&lt;&gt;""),'Atividades Micro'!$K230,"")</f>
        <v/>
      </c>
      <c r="CH206" s="21" t="str">
        <f>IF(AND('Atividades Micro'!$B230=CH$2,'Atividades Micro'!$G230="Micro",'Atividades Micro'!$K230&lt;&gt;""),'Atividades Micro'!$K230,"")</f>
        <v/>
      </c>
      <c r="CI206" s="21" t="str">
        <f>IF(AND('Atividades Micro'!$B230=CI$2,'Atividades Micro'!$G230="Micro",'Atividades Micro'!$K230&lt;&gt;""),'Atividades Micro'!$K230,"")</f>
        <v/>
      </c>
      <c r="CJ206" s="21" t="str">
        <f>IF(AND('Atividades Micro'!$B230=CJ$2,'Atividades Micro'!$G230="Micro",'Atividades Micro'!$K230&lt;&gt;""),'Atividades Micro'!$K230,"")</f>
        <v/>
      </c>
      <c r="CK206" s="21">
        <f>IF(AND('Atividades Micro'!$B230=CK$2,'Atividades Micro'!$G230="Micro",'Atividades Micro'!$K230&lt;&gt;""),'Atividades Micro'!$K230,"")</f>
        <v>46303</v>
      </c>
      <c r="CL206" s="21" t="str">
        <f>IF(AND('Atividades Micro'!$B230=CL$2,'Atividades Micro'!$G230="Micro",'Atividades Micro'!$K230&lt;&gt;""),'Atividades Micro'!$K230,"")</f>
        <v/>
      </c>
      <c r="CM206" s="21" t="str">
        <f>IF(AND('Atividades Micro'!$B230=CM$2,'Atividades Micro'!$G230="Micro",'Atividades Micro'!$K230&lt;&gt;""),'Atividades Micro'!$K230,"")</f>
        <v/>
      </c>
      <c r="CN206" s="21" t="str">
        <f>IF(AND('Atividades Micro'!$B230=CN$2,'Atividades Micro'!$G230="Micro",'Atividades Micro'!$K230&lt;&gt;""),'Atividades Micro'!$K230,"")</f>
        <v/>
      </c>
      <c r="CO206" s="21" t="str">
        <f>IF(AND('Atividades Micro'!$B230=CO$2,'Atividades Micro'!$G230="Micro",'Atividades Micro'!$K230&lt;&gt;""),'Atividades Micro'!$K230,"")</f>
        <v/>
      </c>
    </row>
    <row r="207" spans="1:93">
      <c r="A207" s="21" t="str">
        <f>IF(AND('Atividades Micro'!$A231=A$2,'Atividades Micro'!$K231&lt;&gt;""),'Atividades Micro'!$K231,"")</f>
        <v/>
      </c>
      <c r="B207" s="21" t="str">
        <f>IF(AND('Atividades Micro'!$A231=B$2,'Atividades Micro'!$L231&lt;&gt;""),'Atividades Micro'!$L231,"")</f>
        <v/>
      </c>
      <c r="C207" s="21" t="str">
        <f>IF(AND('Atividades Micro'!$A231=C$2,'Atividades Micro'!$K231&lt;&gt;""),'Atividades Micro'!$K231,"")</f>
        <v/>
      </c>
      <c r="D207" s="21" t="str">
        <f>IF(AND('Atividades Micro'!$A231=D$2,'Atividades Micro'!$L231&lt;&gt;""),'Atividades Micro'!$L231,"")</f>
        <v/>
      </c>
      <c r="E207" s="21" t="str">
        <f>IF(AND('Atividades Micro'!$A231=E$2,'Atividades Micro'!$K231&lt;&gt;""),'Atividades Micro'!$K231,"")</f>
        <v/>
      </c>
      <c r="F207" s="21" t="str">
        <f>IF(AND('Atividades Micro'!$A231=F$2,'Atividades Micro'!$L231&lt;&gt;""),'Atividades Micro'!$L231,"")</f>
        <v/>
      </c>
      <c r="G207" s="21" t="str">
        <f>IF(AND('Atividades Micro'!$A231=G$2,'Atividades Micro'!$K231&lt;&gt;""),'Atividades Micro'!$K231,"")</f>
        <v/>
      </c>
      <c r="H207" s="21" t="str">
        <f>IF(AND('Atividades Micro'!$A231=H$2,'Atividades Micro'!$L231&lt;&gt;""),'Atividades Micro'!$L231,"")</f>
        <v/>
      </c>
      <c r="I207" s="21" t="str">
        <f>IF(AND('Atividades Micro'!$A231=I$2,'Atividades Micro'!$K231&lt;&gt;""),'Atividades Micro'!$K231,"")</f>
        <v/>
      </c>
      <c r="J207" s="21" t="str">
        <f>IF(AND('Atividades Micro'!$A231=J$2,'Atividades Micro'!$L231&lt;&gt;""),'Atividades Micro'!$L231,"")</f>
        <v/>
      </c>
      <c r="K207" s="21" t="str">
        <f>IF(AND('Atividades Micro'!$B231=K$2,'Atividades Micro'!$K231&lt;&gt;""),'Atividades Micro'!$K231,"")</f>
        <v/>
      </c>
      <c r="L207" s="21" t="str">
        <f>IF(AND('Atividades Micro'!$B231=L$2,'Atividades Micro'!$L231&lt;&gt;""),'Atividades Micro'!$L231,"")</f>
        <v/>
      </c>
      <c r="M207" s="21" t="str">
        <f>IF(AND('Atividades Micro'!$B231=M$2,'Atividades Micro'!$K231&lt;&gt;""),'Atividades Micro'!$K231,"")</f>
        <v/>
      </c>
      <c r="N207" s="21" t="str">
        <f>IF(AND('Atividades Micro'!$B231=N$2,'Atividades Micro'!$L231&lt;&gt;""),'Atividades Micro'!$L231,"")</f>
        <v/>
      </c>
      <c r="O207" s="21" t="str">
        <f>IF(AND('Atividades Micro'!$A231=O$2,'Atividades Micro'!$K231&lt;&gt;""),'Atividades Micro'!$K231,"")</f>
        <v/>
      </c>
      <c r="P207" s="21" t="str">
        <f>IF(AND('Atividades Micro'!$A231=P$2,'Atividades Micro'!$L231&lt;&gt;""),'Atividades Micro'!$L231,"")</f>
        <v/>
      </c>
      <c r="Q207" s="21" t="str">
        <f>IF(AND('Atividades Micro'!$B231=Q$2,'Atividades Micro'!$K231&lt;&gt;""),'Atividades Micro'!$K231,"")</f>
        <v/>
      </c>
      <c r="R207" s="21" t="str">
        <f>IF(AND('Atividades Micro'!$B231=R$2,'Atividades Micro'!$L231&lt;&gt;""),'Atividades Micro'!$L231,"")</f>
        <v/>
      </c>
      <c r="S207" s="21" t="str">
        <f>IF(AND('Atividades Micro'!$A231=S$2,'Atividades Micro'!$K231&lt;&gt;""),'Atividades Micro'!$K231,"")</f>
        <v/>
      </c>
      <c r="T207" s="21" t="str">
        <f>IF(AND('Atividades Micro'!$A231=T$2,'Atividades Micro'!$L231&lt;&gt;""),'Atividades Micro'!$L231,"")</f>
        <v/>
      </c>
      <c r="U207" s="21" t="str">
        <f>IF(AND('Atividades Micro'!$B231=U$2,'Atividades Micro'!$K231&lt;&gt;""),'Atividades Micro'!$K231,"")</f>
        <v/>
      </c>
      <c r="V207" s="21" t="str">
        <f>IF(AND('Atividades Micro'!$B231=V$2,'Atividades Micro'!$L231&lt;&gt;""),'Atividades Micro'!$L231,"")</f>
        <v/>
      </c>
      <c r="W207" s="21" t="str">
        <f>IF(AND('Atividades Micro'!$B231=W$2,'Atividades Micro'!$K231&lt;&gt;""),'Atividades Micro'!$K231,"")</f>
        <v/>
      </c>
      <c r="X207" s="21" t="str">
        <f>IF(AND('Atividades Micro'!$B231=X$2,'Atividades Micro'!$L231&lt;&gt;""),'Atividades Micro'!$L231,"")</f>
        <v/>
      </c>
      <c r="Y207" s="21" t="str">
        <f>IF(AND('Atividades Micro'!$A231=Y$2,'Atividades Micro'!$K231&lt;&gt;""),'Atividades Micro'!$K231,"")</f>
        <v/>
      </c>
      <c r="Z207" s="21" t="str">
        <f>IF(AND('Atividades Micro'!$A231=Z$2,'Atividades Micro'!$L231&lt;&gt;""),'Atividades Micro'!$L231,"")</f>
        <v/>
      </c>
      <c r="AA207" s="21" t="str">
        <f>IF(AND('Atividades Micro'!$B231=AA$2,'Atividades Micro'!$K231&lt;&gt;""),'Atividades Micro'!$K231,"")</f>
        <v/>
      </c>
      <c r="AB207" s="21" t="str">
        <f>IF(AND('Atividades Micro'!$B231=AB$2,'Atividades Micro'!$L231&lt;&gt;""),'Atividades Micro'!$L231,"")</f>
        <v/>
      </c>
      <c r="AC207" s="21" t="str">
        <f>IF(AND('Atividades Micro'!$B231=AC$2,'Atividades Micro'!$K231&lt;&gt;""),'Atividades Micro'!$K231,"")</f>
        <v/>
      </c>
      <c r="AD207" s="21" t="str">
        <f>IF(AND('Atividades Micro'!$B231=AD$2,'Atividades Micro'!$L231&lt;&gt;""),'Atividades Micro'!$L231,"")</f>
        <v/>
      </c>
      <c r="AE207" s="21">
        <f>IF(AND('Atividades Micro'!$A231=AE$2,'Atividades Micro'!$K231&lt;&gt;""),'Atividades Micro'!$K231,"")</f>
        <v>46336</v>
      </c>
      <c r="AF207" s="21">
        <f>IF(AND('Atividades Micro'!$A231=AF$2,'Atividades Micro'!$L231&lt;&gt;""),'Atividades Micro'!$L231,"")</f>
        <v>46315</v>
      </c>
      <c r="AG207" s="21">
        <f>IF(AND('Atividades Micro'!$B231=AG$2,'Atividades Micro'!$K231&lt;&gt;""),'Atividades Micro'!$K231,"")</f>
        <v>46336</v>
      </c>
      <c r="AH207" s="21">
        <f>IF(AND('Atividades Micro'!$B231=AH$2,'Atividades Micro'!$L231&lt;&gt;""),'Atividades Micro'!$L231,"")</f>
        <v>46315</v>
      </c>
      <c r="AI207" s="21" t="str">
        <f>IF(AND('Atividades Micro'!$B231=AI$2,'Atividades Micro'!$K231&lt;&gt;""),'Atividades Micro'!$K231,"")</f>
        <v/>
      </c>
      <c r="AJ207" s="21" t="str">
        <f>IF(AND('Atividades Micro'!$B231=AJ$2,'Atividades Micro'!$L231&lt;&gt;""),'Atividades Micro'!$L231,"")</f>
        <v/>
      </c>
      <c r="AK207" s="21" t="str">
        <f>IF(AND('Atividades Micro'!$A231=AK$2,'Atividades Micro'!$K231&lt;&gt;""),'Atividades Micro'!$K231,"")</f>
        <v/>
      </c>
      <c r="AL207" s="21" t="str">
        <f>IF(AND('Atividades Micro'!$A231=AL$2,'Atividades Micro'!$L231&lt;&gt;""),'Atividades Micro'!$L231,"")</f>
        <v/>
      </c>
      <c r="AM207" s="21" t="str">
        <f>IF(AND('Atividades Micro'!$B231=AM$2,'Atividades Micro'!$K231&lt;&gt;""),'Atividades Micro'!$K231,"")</f>
        <v/>
      </c>
      <c r="AN207" s="21" t="str">
        <f>IF(AND('Atividades Micro'!$B231=AN$2,'Atividades Micro'!$L231&lt;&gt;""),'Atividades Micro'!$L231,"")</f>
        <v/>
      </c>
      <c r="AO207" s="21" t="str">
        <f>IF(AND('Atividades Micro'!$B231=AO$2,'Atividades Micro'!$K231&lt;&gt;""),'Atividades Micro'!$K231,"")</f>
        <v/>
      </c>
      <c r="AP207" s="21" t="str">
        <f>IF(AND('Atividades Micro'!$B231=AP$2,'Atividades Micro'!$L231&lt;&gt;""),'Atividades Micro'!$L231,"")</f>
        <v/>
      </c>
      <c r="AQ207" s="21" t="str">
        <f>IF(AND('Atividades Micro'!$A231=AQ$2,'Atividades Micro'!$K231&lt;&gt;""),'Atividades Micro'!$K231,"")</f>
        <v/>
      </c>
      <c r="AR207" s="21" t="str">
        <f>IF(AND('Atividades Micro'!$A231=AR$2,'Atividades Micro'!$L231&lt;&gt;""),'Atividades Micro'!$L231,"")</f>
        <v/>
      </c>
      <c r="AS207" s="21" t="str">
        <f>IF(AND('Atividades Micro'!$B231=AS$2,'Atividades Micro'!$K231&lt;&gt;""),'Atividades Micro'!$K231,"")</f>
        <v/>
      </c>
      <c r="AT207" s="21" t="str">
        <f>IF(AND('Atividades Micro'!$B231=AT$2,'Atividades Micro'!$L231&lt;&gt;""),'Atividades Micro'!$L231,"")</f>
        <v/>
      </c>
      <c r="AU207" s="21" t="str">
        <f>IF(AND('Atividades Micro'!$A231=AU$2,'Atividades Micro'!$K231&lt;&gt;""),'Atividades Micro'!$K231,"")</f>
        <v/>
      </c>
      <c r="AV207" s="21" t="str">
        <f>IF(AND('Atividades Micro'!$A231=AV$2,'Atividades Micro'!$L231&lt;&gt;""),'Atividades Micro'!$L231,"")</f>
        <v/>
      </c>
      <c r="AW207" s="21" t="str">
        <f>IF(AND('Atividades Micro'!$B231=AW$2,'Atividades Micro'!$K231&lt;&gt;""),'Atividades Micro'!$K231,"")</f>
        <v/>
      </c>
      <c r="AX207" s="21" t="str">
        <f>IF(AND('Atividades Micro'!$B231=AX$2,'Atividades Micro'!$L231&lt;&gt;""),'Atividades Micro'!$L231,"")</f>
        <v/>
      </c>
      <c r="AY207" s="21" t="str">
        <f>IF(AND('Atividades Micro'!$A231=AY$2,'Atividades Micro'!$K231&lt;&gt;""),'Atividades Micro'!$K231,"")</f>
        <v/>
      </c>
      <c r="AZ207" s="21" t="str">
        <f>IF(AND('Atividades Micro'!$A231=AZ$2,'Atividades Micro'!$L231&lt;&gt;""),'Atividades Micro'!$L231,"")</f>
        <v/>
      </c>
      <c r="BA207" s="21" t="str">
        <f>IF(AND('Atividades Micro'!$B231=BA$2,'Atividades Micro'!$K231&lt;&gt;""),'Atividades Micro'!$K231,"")</f>
        <v/>
      </c>
      <c r="BB207" s="21" t="str">
        <f>IF(AND('Atividades Micro'!$B231=BB$2,'Atividades Micro'!$L231&lt;&gt;""),'Atividades Micro'!$L231,"")</f>
        <v/>
      </c>
      <c r="BC207" s="21" t="str">
        <f>IF(AND('Atividades Micro'!$B231=BC$2,'Atividades Micro'!$G231="Macro",'Atividades Micro'!$K231&lt;&gt;""),'Atividades Micro'!$K231,"")</f>
        <v/>
      </c>
      <c r="BD207" s="21" t="str">
        <f>IF(AND('Atividades Micro'!$B231=BD$2,'Atividades Micro'!$G231="Macro",'Atividades Micro'!$K231&lt;&gt;""),'Atividades Micro'!$K231,"")</f>
        <v/>
      </c>
      <c r="BE207" s="21" t="str">
        <f>IF(AND('Atividades Micro'!$B231=BE$2,'Atividades Micro'!$G231="Macro",'Atividades Micro'!$K231&lt;&gt;""),'Atividades Micro'!$K231,"")</f>
        <v/>
      </c>
      <c r="BF207" s="21" t="str">
        <f>IF(AND('Atividades Micro'!$B231=BF$2,'Atividades Micro'!$G231="Macro",'Atividades Micro'!$K231&lt;&gt;""),'Atividades Micro'!$K231,"")</f>
        <v/>
      </c>
      <c r="BG207" s="21" t="str">
        <f>IF(AND('Atividades Micro'!$B231=BG$2,'Atividades Micro'!$G231="Macro",'Atividades Micro'!$K231&lt;&gt;""),'Atividades Micro'!$K231,"")</f>
        <v/>
      </c>
      <c r="BH207" s="21" t="str">
        <f>IF(AND('Atividades Micro'!$B231=BH$2,'Atividades Micro'!$G231="Macro",'Atividades Micro'!$K231&lt;&gt;""),'Atividades Micro'!$K231,"")</f>
        <v/>
      </c>
      <c r="BI207" s="21" t="str">
        <f>IF(AND('Atividades Micro'!$B231=BI$2,'Atividades Micro'!$G231="Macro",'Atividades Micro'!$K231&lt;&gt;""),'Atividades Micro'!$K231,"")</f>
        <v/>
      </c>
      <c r="BJ207" s="21" t="str">
        <f>IF(AND('Atividades Micro'!$B231=BJ$2,'Atividades Micro'!$G231="Macro",'Atividades Micro'!$K231&lt;&gt;""),'Atividades Micro'!$K231,"")</f>
        <v/>
      </c>
      <c r="BK207" s="21" t="str">
        <f>IF(AND('Atividades Micro'!$B231=BK$2,'Atividades Micro'!$G231="Macro",'Atividades Micro'!$K231&lt;&gt;""),'Atividades Micro'!$K231,"")</f>
        <v/>
      </c>
      <c r="BL207" s="21" t="str">
        <f>IF(AND('Atividades Micro'!$B231=BL$2,'Atividades Micro'!$G231="Macro",'Atividades Micro'!$K231&lt;&gt;""),'Atividades Micro'!$K231,"")</f>
        <v/>
      </c>
      <c r="BM207" s="21" t="str">
        <f>IF(AND('Atividades Micro'!$B231=BM$2,'Atividades Micro'!$G231="Macro",'Atividades Micro'!$K231&lt;&gt;""),'Atividades Micro'!$K231,"")</f>
        <v/>
      </c>
      <c r="BN207" s="21" t="str">
        <f>IF(AND('Atividades Micro'!$B231=BN$2,'Atividades Micro'!$G231="Macro",'Atividades Micro'!$K231&lt;&gt;""),'Atividades Micro'!$K231,"")</f>
        <v/>
      </c>
      <c r="BO207" s="21" t="str">
        <f>IF(AND('Atividades Micro'!$B231=BO$2,'Atividades Micro'!$G231="Macro",'Atividades Micro'!$K231&lt;&gt;""),'Atividades Micro'!$K231,"")</f>
        <v/>
      </c>
      <c r="BP207" s="21" t="str">
        <f>IF(AND('Atividades Micro'!$B231=BP$2,'Atividades Micro'!$G231="Macro",'Atividades Micro'!$K231&lt;&gt;""),'Atividades Micro'!$K231,"")</f>
        <v/>
      </c>
      <c r="BQ207" s="21" t="str">
        <f>IF(AND('Atividades Micro'!$B231=BQ$2,'Atividades Micro'!$G231="Macro",'Atividades Micro'!$K231&lt;&gt;""),'Atividades Micro'!$K231,"")</f>
        <v/>
      </c>
      <c r="BR207" s="21" t="str">
        <f>IF(AND('Atividades Micro'!$B231=BR$2,'Atividades Micro'!$G231="Macro",'Atividades Micro'!$K231&lt;&gt;""),'Atividades Micro'!$K231,"")</f>
        <v/>
      </c>
      <c r="BS207" s="21" t="str">
        <f>IF(AND('Atividades Micro'!$B231=BS$2,'Atividades Micro'!$G231="Macro",'Atividades Micro'!$K231&lt;&gt;""),'Atividades Micro'!$K231,"")</f>
        <v/>
      </c>
      <c r="BT207" s="21" t="str">
        <f>IF(AND('Atividades Micro'!$B231=BT$2,'Atividades Micro'!$G231="Macro",'Atividades Micro'!$K231&lt;&gt;""),'Atividades Micro'!$K231,"")</f>
        <v/>
      </c>
      <c r="BU207" s="21" t="str">
        <f>IF(AND('Atividades Micro'!$B231=BU$2,'Atividades Micro'!$G231="Macro",'Atividades Micro'!$K231&lt;&gt;""),'Atividades Micro'!$K231,"")</f>
        <v/>
      </c>
      <c r="BV207" s="21" t="str">
        <f>IF(AND('Atividades Micro'!$B231=BV$2,'Atividades Micro'!$G231="Macro",'Atividades Micro'!$K231&lt;&gt;""),'Atividades Micro'!$K231,"")</f>
        <v/>
      </c>
      <c r="BW207" s="21" t="str">
        <f>IF(AND('Atividades Micro'!$B231=BW$2,'Atividades Micro'!$G231="Macro",'Atividades Micro'!$K231&lt;&gt;""),'Atividades Micro'!$K231,"")</f>
        <v/>
      </c>
      <c r="BX207" s="21" t="str">
        <f>IF(AND('Atividades Micro'!$B231=BX$2,'Atividades Micro'!$G231="Macro",'Atividades Micro'!$K231&lt;&gt;""),'Atividades Micro'!$K231,"")</f>
        <v/>
      </c>
      <c r="BY207" s="21" t="str">
        <f>IF(AND('Atividades Micro'!$B231=BY$2,'Atividades Micro'!$G231="Macro",'Atividades Micro'!$K231&lt;&gt;""),'Atividades Micro'!$K231,"")</f>
        <v/>
      </c>
      <c r="BZ207" s="21" t="str">
        <f>IF(AND('Atividades Micro'!$B231=BZ$2,'Atividades Micro'!$G231="Macro",'Atividades Micro'!$K231&lt;&gt;""),'Atividades Micro'!$K231,"")</f>
        <v/>
      </c>
      <c r="CA207" s="21" t="str">
        <f>IF(AND('Atividades Micro'!$B231=CA$2,'Atividades Micro'!$G231="Macro",'Atividades Micro'!$K231&lt;&gt;""),'Atividades Micro'!$K231,"")</f>
        <v/>
      </c>
      <c r="CB207" s="21" t="str">
        <f>IF(AND('Atividades Micro'!$B231=CB$2,'Atividades Micro'!$G231="Macro",'Atividades Micro'!$K231&lt;&gt;""),'Atividades Micro'!$K231,"")</f>
        <v/>
      </c>
      <c r="CC207" s="21" t="str">
        <f>IF(AND('Atividades Micro'!$B231=CC$2,'Atividades Micro'!$G231="Macro",'Atividades Micro'!$K231&lt;&gt;""),'Atividades Micro'!$K231,"")</f>
        <v/>
      </c>
      <c r="CD207" s="21" t="str">
        <f>IF(AND('Atividades Micro'!$B231=CD$2,'Atividades Micro'!$G231="Micro",'Atividades Micro'!$K231&lt;&gt;""),'Atividades Micro'!$K231,"")</f>
        <v/>
      </c>
      <c r="CE207" s="21" t="str">
        <f>IF(AND('Atividades Micro'!$B231=CE$2,'Atividades Micro'!$G231="Micro",'Atividades Micro'!$K231&lt;&gt;""),'Atividades Micro'!$K231,"")</f>
        <v/>
      </c>
      <c r="CF207" s="21" t="str">
        <f>IF(AND('Atividades Micro'!$B231=CF$2,'Atividades Micro'!$G231="Micro",'Atividades Micro'!$K231&lt;&gt;""),'Atividades Micro'!$K231,"")</f>
        <v/>
      </c>
      <c r="CG207" s="21" t="str">
        <f>IF(AND('Atividades Micro'!$B231=CG$2,'Atividades Micro'!$G231="Micro",'Atividades Micro'!$K231&lt;&gt;""),'Atividades Micro'!$K231,"")</f>
        <v/>
      </c>
      <c r="CH207" s="21" t="str">
        <f>IF(AND('Atividades Micro'!$B231=CH$2,'Atividades Micro'!$G231="Micro",'Atividades Micro'!$K231&lt;&gt;""),'Atividades Micro'!$K231,"")</f>
        <v/>
      </c>
      <c r="CI207" s="21" t="str">
        <f>IF(AND('Atividades Micro'!$B231=CI$2,'Atividades Micro'!$G231="Micro",'Atividades Micro'!$K231&lt;&gt;""),'Atividades Micro'!$K231,"")</f>
        <v/>
      </c>
      <c r="CJ207" s="21" t="str">
        <f>IF(AND('Atividades Micro'!$B231=CJ$2,'Atividades Micro'!$G231="Micro",'Atividades Micro'!$K231&lt;&gt;""),'Atividades Micro'!$K231,"")</f>
        <v/>
      </c>
      <c r="CK207" s="21">
        <f>IF(AND('Atividades Micro'!$B231=CK$2,'Atividades Micro'!$G231="Micro",'Atividades Micro'!$K231&lt;&gt;""),'Atividades Micro'!$K231,"")</f>
        <v>46336</v>
      </c>
      <c r="CL207" s="21" t="str">
        <f>IF(AND('Atividades Micro'!$B231=CL$2,'Atividades Micro'!$G231="Micro",'Atividades Micro'!$K231&lt;&gt;""),'Atividades Micro'!$K231,"")</f>
        <v/>
      </c>
      <c r="CM207" s="21" t="str">
        <f>IF(AND('Atividades Micro'!$B231=CM$2,'Atividades Micro'!$G231="Micro",'Atividades Micro'!$K231&lt;&gt;""),'Atividades Micro'!$K231,"")</f>
        <v/>
      </c>
      <c r="CN207" s="21" t="str">
        <f>IF(AND('Atividades Micro'!$B231=CN$2,'Atividades Micro'!$G231="Micro",'Atividades Micro'!$K231&lt;&gt;""),'Atividades Micro'!$K231,"")</f>
        <v/>
      </c>
      <c r="CO207" s="21" t="str">
        <f>IF(AND('Atividades Micro'!$B231=CO$2,'Atividades Micro'!$G231="Micro",'Atividades Micro'!$K231&lt;&gt;""),'Atividades Micro'!$K231,"")</f>
        <v/>
      </c>
    </row>
    <row r="208" spans="1:93">
      <c r="A208" s="21" t="str">
        <f>IF(AND('Atividades Micro'!$A232=A$2,'Atividades Micro'!$K232&lt;&gt;""),'Atividades Micro'!$K232,"")</f>
        <v/>
      </c>
      <c r="B208" s="21" t="str">
        <f>IF(AND('Atividades Micro'!$A232=B$2,'Atividades Micro'!$L232&lt;&gt;""),'Atividades Micro'!$L232,"")</f>
        <v/>
      </c>
      <c r="C208" s="21" t="str">
        <f>IF(AND('Atividades Micro'!$A232=C$2,'Atividades Micro'!$K232&lt;&gt;""),'Atividades Micro'!$K232,"")</f>
        <v/>
      </c>
      <c r="D208" s="21" t="str">
        <f>IF(AND('Atividades Micro'!$A232=D$2,'Atividades Micro'!$L232&lt;&gt;""),'Atividades Micro'!$L232,"")</f>
        <v/>
      </c>
      <c r="E208" s="21" t="str">
        <f>IF(AND('Atividades Micro'!$A232=E$2,'Atividades Micro'!$K232&lt;&gt;""),'Atividades Micro'!$K232,"")</f>
        <v/>
      </c>
      <c r="F208" s="21" t="str">
        <f>IF(AND('Atividades Micro'!$A232=F$2,'Atividades Micro'!$L232&lt;&gt;""),'Atividades Micro'!$L232,"")</f>
        <v/>
      </c>
      <c r="G208" s="21" t="str">
        <f>IF(AND('Atividades Micro'!$A232=G$2,'Atividades Micro'!$K232&lt;&gt;""),'Atividades Micro'!$K232,"")</f>
        <v/>
      </c>
      <c r="H208" s="21" t="str">
        <f>IF(AND('Atividades Micro'!$A232=H$2,'Atividades Micro'!$L232&lt;&gt;""),'Atividades Micro'!$L232,"")</f>
        <v/>
      </c>
      <c r="I208" s="21" t="str">
        <f>IF(AND('Atividades Micro'!$A232=I$2,'Atividades Micro'!$K232&lt;&gt;""),'Atividades Micro'!$K232,"")</f>
        <v/>
      </c>
      <c r="J208" s="21" t="str">
        <f>IF(AND('Atividades Micro'!$A232=J$2,'Atividades Micro'!$L232&lt;&gt;""),'Atividades Micro'!$L232,"")</f>
        <v/>
      </c>
      <c r="K208" s="21" t="str">
        <f>IF(AND('Atividades Micro'!$B232=K$2,'Atividades Micro'!$K232&lt;&gt;""),'Atividades Micro'!$K232,"")</f>
        <v/>
      </c>
      <c r="L208" s="21" t="str">
        <f>IF(AND('Atividades Micro'!$B232=L$2,'Atividades Micro'!$L232&lt;&gt;""),'Atividades Micro'!$L232,"")</f>
        <v/>
      </c>
      <c r="M208" s="21" t="str">
        <f>IF(AND('Atividades Micro'!$B232=M$2,'Atividades Micro'!$K232&lt;&gt;""),'Atividades Micro'!$K232,"")</f>
        <v/>
      </c>
      <c r="N208" s="21" t="str">
        <f>IF(AND('Atividades Micro'!$B232=N$2,'Atividades Micro'!$L232&lt;&gt;""),'Atividades Micro'!$L232,"")</f>
        <v/>
      </c>
      <c r="O208" s="21" t="str">
        <f>IF(AND('Atividades Micro'!$A232=O$2,'Atividades Micro'!$K232&lt;&gt;""),'Atividades Micro'!$K232,"")</f>
        <v/>
      </c>
      <c r="P208" s="21" t="str">
        <f>IF(AND('Atividades Micro'!$A232=P$2,'Atividades Micro'!$L232&lt;&gt;""),'Atividades Micro'!$L232,"")</f>
        <v/>
      </c>
      <c r="Q208" s="21" t="str">
        <f>IF(AND('Atividades Micro'!$B232=Q$2,'Atividades Micro'!$K232&lt;&gt;""),'Atividades Micro'!$K232,"")</f>
        <v/>
      </c>
      <c r="R208" s="21" t="str">
        <f>IF(AND('Atividades Micro'!$B232=R$2,'Atividades Micro'!$L232&lt;&gt;""),'Atividades Micro'!$L232,"")</f>
        <v/>
      </c>
      <c r="S208" s="21" t="str">
        <f>IF(AND('Atividades Micro'!$A232=S$2,'Atividades Micro'!$K232&lt;&gt;""),'Atividades Micro'!$K232,"")</f>
        <v/>
      </c>
      <c r="T208" s="21" t="str">
        <f>IF(AND('Atividades Micro'!$A232=T$2,'Atividades Micro'!$L232&lt;&gt;""),'Atividades Micro'!$L232,"")</f>
        <v/>
      </c>
      <c r="U208" s="21" t="str">
        <f>IF(AND('Atividades Micro'!$B232=U$2,'Atividades Micro'!$K232&lt;&gt;""),'Atividades Micro'!$K232,"")</f>
        <v/>
      </c>
      <c r="V208" s="21" t="str">
        <f>IF(AND('Atividades Micro'!$B232=V$2,'Atividades Micro'!$L232&lt;&gt;""),'Atividades Micro'!$L232,"")</f>
        <v/>
      </c>
      <c r="W208" s="21" t="str">
        <f>IF(AND('Atividades Micro'!$B232=W$2,'Atividades Micro'!$K232&lt;&gt;""),'Atividades Micro'!$K232,"")</f>
        <v/>
      </c>
      <c r="X208" s="21" t="str">
        <f>IF(AND('Atividades Micro'!$B232=X$2,'Atividades Micro'!$L232&lt;&gt;""),'Atividades Micro'!$L232,"")</f>
        <v/>
      </c>
      <c r="Y208" s="21" t="str">
        <f>IF(AND('Atividades Micro'!$A232=Y$2,'Atividades Micro'!$K232&lt;&gt;""),'Atividades Micro'!$K232,"")</f>
        <v/>
      </c>
      <c r="Z208" s="21" t="str">
        <f>IF(AND('Atividades Micro'!$A232=Z$2,'Atividades Micro'!$L232&lt;&gt;""),'Atividades Micro'!$L232,"")</f>
        <v/>
      </c>
      <c r="AA208" s="21" t="str">
        <f>IF(AND('Atividades Micro'!$B232=AA$2,'Atividades Micro'!$K232&lt;&gt;""),'Atividades Micro'!$K232,"")</f>
        <v/>
      </c>
      <c r="AB208" s="21" t="str">
        <f>IF(AND('Atividades Micro'!$B232=AB$2,'Atividades Micro'!$L232&lt;&gt;""),'Atividades Micro'!$L232,"")</f>
        <v/>
      </c>
      <c r="AC208" s="21" t="str">
        <f>IF(AND('Atividades Micro'!$B232=AC$2,'Atividades Micro'!$K232&lt;&gt;""),'Atividades Micro'!$K232,"")</f>
        <v/>
      </c>
      <c r="AD208" s="21" t="str">
        <f>IF(AND('Atividades Micro'!$B232=AD$2,'Atividades Micro'!$L232&lt;&gt;""),'Atividades Micro'!$L232,"")</f>
        <v/>
      </c>
      <c r="AE208" s="21">
        <f>IF(AND('Atividades Micro'!$A232=AE$2,'Atividades Micro'!$K232&lt;&gt;""),'Atividades Micro'!$K232,"")</f>
        <v>46321</v>
      </c>
      <c r="AF208" s="21">
        <f>IF(AND('Atividades Micro'!$A232=AF$2,'Atividades Micro'!$L232&lt;&gt;""),'Atividades Micro'!$L232,"")</f>
        <v>46316</v>
      </c>
      <c r="AG208" s="21">
        <f>IF(AND('Atividades Micro'!$B232=AG$2,'Atividades Micro'!$K232&lt;&gt;""),'Atividades Micro'!$K232,"")</f>
        <v>46321</v>
      </c>
      <c r="AH208" s="21">
        <f>IF(AND('Atividades Micro'!$B232=AH$2,'Atividades Micro'!$L232&lt;&gt;""),'Atividades Micro'!$L232,"")</f>
        <v>46316</v>
      </c>
      <c r="AI208" s="21" t="str">
        <f>IF(AND('Atividades Micro'!$B232=AI$2,'Atividades Micro'!$K232&lt;&gt;""),'Atividades Micro'!$K232,"")</f>
        <v/>
      </c>
      <c r="AJ208" s="21" t="str">
        <f>IF(AND('Atividades Micro'!$B232=AJ$2,'Atividades Micro'!$L232&lt;&gt;""),'Atividades Micro'!$L232,"")</f>
        <v/>
      </c>
      <c r="AK208" s="21" t="str">
        <f>IF(AND('Atividades Micro'!$A232=AK$2,'Atividades Micro'!$K232&lt;&gt;""),'Atividades Micro'!$K232,"")</f>
        <v/>
      </c>
      <c r="AL208" s="21" t="str">
        <f>IF(AND('Atividades Micro'!$A232=AL$2,'Atividades Micro'!$L232&lt;&gt;""),'Atividades Micro'!$L232,"")</f>
        <v/>
      </c>
      <c r="AM208" s="21" t="str">
        <f>IF(AND('Atividades Micro'!$B232=AM$2,'Atividades Micro'!$K232&lt;&gt;""),'Atividades Micro'!$K232,"")</f>
        <v/>
      </c>
      <c r="AN208" s="21" t="str">
        <f>IF(AND('Atividades Micro'!$B232=AN$2,'Atividades Micro'!$L232&lt;&gt;""),'Atividades Micro'!$L232,"")</f>
        <v/>
      </c>
      <c r="AO208" s="21" t="str">
        <f>IF(AND('Atividades Micro'!$B232=AO$2,'Atividades Micro'!$K232&lt;&gt;""),'Atividades Micro'!$K232,"")</f>
        <v/>
      </c>
      <c r="AP208" s="21" t="str">
        <f>IF(AND('Atividades Micro'!$B232=AP$2,'Atividades Micro'!$L232&lt;&gt;""),'Atividades Micro'!$L232,"")</f>
        <v/>
      </c>
      <c r="AQ208" s="21" t="str">
        <f>IF(AND('Atividades Micro'!$A232=AQ$2,'Atividades Micro'!$K232&lt;&gt;""),'Atividades Micro'!$K232,"")</f>
        <v/>
      </c>
      <c r="AR208" s="21" t="str">
        <f>IF(AND('Atividades Micro'!$A232=AR$2,'Atividades Micro'!$L232&lt;&gt;""),'Atividades Micro'!$L232,"")</f>
        <v/>
      </c>
      <c r="AS208" s="21" t="str">
        <f>IF(AND('Atividades Micro'!$B232=AS$2,'Atividades Micro'!$K232&lt;&gt;""),'Atividades Micro'!$K232,"")</f>
        <v/>
      </c>
      <c r="AT208" s="21" t="str">
        <f>IF(AND('Atividades Micro'!$B232=AT$2,'Atividades Micro'!$L232&lt;&gt;""),'Atividades Micro'!$L232,"")</f>
        <v/>
      </c>
      <c r="AU208" s="21" t="str">
        <f>IF(AND('Atividades Micro'!$A232=AU$2,'Atividades Micro'!$K232&lt;&gt;""),'Atividades Micro'!$K232,"")</f>
        <v/>
      </c>
      <c r="AV208" s="21" t="str">
        <f>IF(AND('Atividades Micro'!$A232=AV$2,'Atividades Micro'!$L232&lt;&gt;""),'Atividades Micro'!$L232,"")</f>
        <v/>
      </c>
      <c r="AW208" s="21" t="str">
        <f>IF(AND('Atividades Micro'!$B232=AW$2,'Atividades Micro'!$K232&lt;&gt;""),'Atividades Micro'!$K232,"")</f>
        <v/>
      </c>
      <c r="AX208" s="21" t="str">
        <f>IF(AND('Atividades Micro'!$B232=AX$2,'Atividades Micro'!$L232&lt;&gt;""),'Atividades Micro'!$L232,"")</f>
        <v/>
      </c>
      <c r="AY208" s="21" t="str">
        <f>IF(AND('Atividades Micro'!$A232=AY$2,'Atividades Micro'!$K232&lt;&gt;""),'Atividades Micro'!$K232,"")</f>
        <v/>
      </c>
      <c r="AZ208" s="21" t="str">
        <f>IF(AND('Atividades Micro'!$A232=AZ$2,'Atividades Micro'!$L232&lt;&gt;""),'Atividades Micro'!$L232,"")</f>
        <v/>
      </c>
      <c r="BA208" s="21" t="str">
        <f>IF(AND('Atividades Micro'!$B232=BA$2,'Atividades Micro'!$K232&lt;&gt;""),'Atividades Micro'!$K232,"")</f>
        <v/>
      </c>
      <c r="BB208" s="21" t="str">
        <f>IF(AND('Atividades Micro'!$B232=BB$2,'Atividades Micro'!$L232&lt;&gt;""),'Atividades Micro'!$L232,"")</f>
        <v/>
      </c>
      <c r="BC208" s="21" t="str">
        <f>IF(AND('Atividades Micro'!$B232=BC$2,'Atividades Micro'!$G232="Macro",'Atividades Micro'!$K232&lt;&gt;""),'Atividades Micro'!$K232,"")</f>
        <v/>
      </c>
      <c r="BD208" s="21" t="str">
        <f>IF(AND('Atividades Micro'!$B232=BD$2,'Atividades Micro'!$G232="Macro",'Atividades Micro'!$K232&lt;&gt;""),'Atividades Micro'!$K232,"")</f>
        <v/>
      </c>
      <c r="BE208" s="21" t="str">
        <f>IF(AND('Atividades Micro'!$B232=BE$2,'Atividades Micro'!$G232="Macro",'Atividades Micro'!$K232&lt;&gt;""),'Atividades Micro'!$K232,"")</f>
        <v/>
      </c>
      <c r="BF208" s="21" t="str">
        <f>IF(AND('Atividades Micro'!$B232=BF$2,'Atividades Micro'!$G232="Macro",'Atividades Micro'!$K232&lt;&gt;""),'Atividades Micro'!$K232,"")</f>
        <v/>
      </c>
      <c r="BG208" s="21" t="str">
        <f>IF(AND('Atividades Micro'!$B232=BG$2,'Atividades Micro'!$G232="Macro",'Atividades Micro'!$K232&lt;&gt;""),'Atividades Micro'!$K232,"")</f>
        <v/>
      </c>
      <c r="BH208" s="21" t="str">
        <f>IF(AND('Atividades Micro'!$B232=BH$2,'Atividades Micro'!$G232="Macro",'Atividades Micro'!$K232&lt;&gt;""),'Atividades Micro'!$K232,"")</f>
        <v/>
      </c>
      <c r="BI208" s="21" t="str">
        <f>IF(AND('Atividades Micro'!$B232=BI$2,'Atividades Micro'!$G232="Macro",'Atividades Micro'!$K232&lt;&gt;""),'Atividades Micro'!$K232,"")</f>
        <v/>
      </c>
      <c r="BJ208" s="21" t="str">
        <f>IF(AND('Atividades Micro'!$B232=BJ$2,'Atividades Micro'!$G232="Macro",'Atividades Micro'!$K232&lt;&gt;""),'Atividades Micro'!$K232,"")</f>
        <v/>
      </c>
      <c r="BK208" s="21" t="str">
        <f>IF(AND('Atividades Micro'!$B232=BK$2,'Atividades Micro'!$G232="Macro",'Atividades Micro'!$K232&lt;&gt;""),'Atividades Micro'!$K232,"")</f>
        <v/>
      </c>
      <c r="BL208" s="21" t="str">
        <f>IF(AND('Atividades Micro'!$B232=BL$2,'Atividades Micro'!$G232="Macro",'Atividades Micro'!$K232&lt;&gt;""),'Atividades Micro'!$K232,"")</f>
        <v/>
      </c>
      <c r="BM208" s="21" t="str">
        <f>IF(AND('Atividades Micro'!$B232=BM$2,'Atividades Micro'!$G232="Macro",'Atividades Micro'!$K232&lt;&gt;""),'Atividades Micro'!$K232,"")</f>
        <v/>
      </c>
      <c r="BN208" s="21" t="str">
        <f>IF(AND('Atividades Micro'!$B232=BN$2,'Atividades Micro'!$G232="Macro",'Atividades Micro'!$K232&lt;&gt;""),'Atividades Micro'!$K232,"")</f>
        <v/>
      </c>
      <c r="BO208" s="21" t="str">
        <f>IF(AND('Atividades Micro'!$B232=BO$2,'Atividades Micro'!$G232="Macro",'Atividades Micro'!$K232&lt;&gt;""),'Atividades Micro'!$K232,"")</f>
        <v/>
      </c>
      <c r="BP208" s="21" t="str">
        <f>IF(AND('Atividades Micro'!$B232=BP$2,'Atividades Micro'!$G232="Macro",'Atividades Micro'!$K232&lt;&gt;""),'Atividades Micro'!$K232,"")</f>
        <v/>
      </c>
      <c r="BQ208" s="21" t="str">
        <f>IF(AND('Atividades Micro'!$B232=BQ$2,'Atividades Micro'!$G232="Macro",'Atividades Micro'!$K232&lt;&gt;""),'Atividades Micro'!$K232,"")</f>
        <v/>
      </c>
      <c r="BR208" s="21" t="str">
        <f>IF(AND('Atividades Micro'!$B232=BR$2,'Atividades Micro'!$G232="Macro",'Atividades Micro'!$K232&lt;&gt;""),'Atividades Micro'!$K232,"")</f>
        <v/>
      </c>
      <c r="BS208" s="21">
        <f>IF(AND('Atividades Micro'!$B232=BS$2,'Atividades Micro'!$G232="Macro",'Atividades Micro'!$K232&lt;&gt;""),'Atividades Micro'!$K232,"")</f>
        <v>46321</v>
      </c>
      <c r="BT208" s="21" t="str">
        <f>IF(AND('Atividades Micro'!$B232=BT$2,'Atividades Micro'!$G232="Macro",'Atividades Micro'!$K232&lt;&gt;""),'Atividades Micro'!$K232,"")</f>
        <v/>
      </c>
      <c r="BU208" s="21" t="str">
        <f>IF(AND('Atividades Micro'!$B232=BU$2,'Atividades Micro'!$G232="Macro",'Atividades Micro'!$K232&lt;&gt;""),'Atividades Micro'!$K232,"")</f>
        <v/>
      </c>
      <c r="BV208" s="21" t="str">
        <f>IF(AND('Atividades Micro'!$B232=BV$2,'Atividades Micro'!$G232="Macro",'Atividades Micro'!$K232&lt;&gt;""),'Atividades Micro'!$K232,"")</f>
        <v/>
      </c>
      <c r="BW208" s="21" t="str">
        <f>IF(AND('Atividades Micro'!$B232=BW$2,'Atividades Micro'!$G232="Macro",'Atividades Micro'!$K232&lt;&gt;""),'Atividades Micro'!$K232,"")</f>
        <v/>
      </c>
      <c r="BX208" s="21" t="str">
        <f>IF(AND('Atividades Micro'!$B232=BX$2,'Atividades Micro'!$G232="Macro",'Atividades Micro'!$K232&lt;&gt;""),'Atividades Micro'!$K232,"")</f>
        <v/>
      </c>
      <c r="BY208" s="21" t="str">
        <f>IF(AND('Atividades Micro'!$B232=BY$2,'Atividades Micro'!$G232="Macro",'Atividades Micro'!$K232&lt;&gt;""),'Atividades Micro'!$K232,"")</f>
        <v/>
      </c>
      <c r="BZ208" s="21" t="str">
        <f>IF(AND('Atividades Micro'!$B232=BZ$2,'Atividades Micro'!$G232="Macro",'Atividades Micro'!$K232&lt;&gt;""),'Atividades Micro'!$K232,"")</f>
        <v/>
      </c>
      <c r="CA208" s="21" t="str">
        <f>IF(AND('Atividades Micro'!$B232=CA$2,'Atividades Micro'!$G232="Macro",'Atividades Micro'!$K232&lt;&gt;""),'Atividades Micro'!$K232,"")</f>
        <v/>
      </c>
      <c r="CB208" s="21" t="str">
        <f>IF(AND('Atividades Micro'!$B232=CB$2,'Atividades Micro'!$G232="Macro",'Atividades Micro'!$K232&lt;&gt;""),'Atividades Micro'!$K232,"")</f>
        <v/>
      </c>
      <c r="CC208" s="21" t="str">
        <f>IF(AND('Atividades Micro'!$B232=CC$2,'Atividades Micro'!$G232="Macro",'Atividades Micro'!$K232&lt;&gt;""),'Atividades Micro'!$K232,"")</f>
        <v/>
      </c>
      <c r="CD208" s="21" t="str">
        <f>IF(AND('Atividades Micro'!$B232=CD$2,'Atividades Micro'!$G232="Micro",'Atividades Micro'!$K232&lt;&gt;""),'Atividades Micro'!$K232,"")</f>
        <v/>
      </c>
      <c r="CE208" s="21" t="str">
        <f>IF(AND('Atividades Micro'!$B232=CE$2,'Atividades Micro'!$G232="Micro",'Atividades Micro'!$K232&lt;&gt;""),'Atividades Micro'!$K232,"")</f>
        <v/>
      </c>
      <c r="CF208" s="21" t="str">
        <f>IF(AND('Atividades Micro'!$B232=CF$2,'Atividades Micro'!$G232="Micro",'Atividades Micro'!$K232&lt;&gt;""),'Atividades Micro'!$K232,"")</f>
        <v/>
      </c>
      <c r="CG208" s="21" t="str">
        <f>IF(AND('Atividades Micro'!$B232=CG$2,'Atividades Micro'!$G232="Micro",'Atividades Micro'!$K232&lt;&gt;""),'Atividades Micro'!$K232,"")</f>
        <v/>
      </c>
      <c r="CH208" s="21" t="str">
        <f>IF(AND('Atividades Micro'!$B232=CH$2,'Atividades Micro'!$G232="Micro",'Atividades Micro'!$K232&lt;&gt;""),'Atividades Micro'!$K232,"")</f>
        <v/>
      </c>
      <c r="CI208" s="21" t="str">
        <f>IF(AND('Atividades Micro'!$B232=CI$2,'Atividades Micro'!$G232="Micro",'Atividades Micro'!$K232&lt;&gt;""),'Atividades Micro'!$K232,"")</f>
        <v/>
      </c>
      <c r="CJ208" s="21" t="str">
        <f>IF(AND('Atividades Micro'!$B232=CJ$2,'Atividades Micro'!$G232="Micro",'Atividades Micro'!$K232&lt;&gt;""),'Atividades Micro'!$K232,"")</f>
        <v/>
      </c>
      <c r="CK208" s="21" t="str">
        <f>IF(AND('Atividades Micro'!$B232=CK$2,'Atividades Micro'!$G232="Micro",'Atividades Micro'!$K232&lt;&gt;""),'Atividades Micro'!$K232,"")</f>
        <v/>
      </c>
      <c r="CL208" s="21" t="str">
        <f>IF(AND('Atividades Micro'!$B232=CL$2,'Atividades Micro'!$G232="Micro",'Atividades Micro'!$K232&lt;&gt;""),'Atividades Micro'!$K232,"")</f>
        <v/>
      </c>
      <c r="CM208" s="21" t="str">
        <f>IF(AND('Atividades Micro'!$B232=CM$2,'Atividades Micro'!$G232="Micro",'Atividades Micro'!$K232&lt;&gt;""),'Atividades Micro'!$K232,"")</f>
        <v/>
      </c>
      <c r="CN208" s="21" t="str">
        <f>IF(AND('Atividades Micro'!$B232=CN$2,'Atividades Micro'!$G232="Micro",'Atividades Micro'!$K232&lt;&gt;""),'Atividades Micro'!$K232,"")</f>
        <v/>
      </c>
      <c r="CO208" s="21" t="str">
        <f>IF(AND('Atividades Micro'!$B232=CO$2,'Atividades Micro'!$G232="Micro",'Atividades Micro'!$K232&lt;&gt;""),'Atividades Micro'!$K232,"")</f>
        <v/>
      </c>
    </row>
    <row r="209" spans="1:93">
      <c r="A209" s="21" t="str">
        <f>IF(AND('Atividades Micro'!$A233=A$2,'Atividades Micro'!$K233&lt;&gt;""),'Atividades Micro'!$K233,"")</f>
        <v/>
      </c>
      <c r="B209" s="21" t="str">
        <f>IF(AND('Atividades Micro'!$A233=B$2,'Atividades Micro'!$L233&lt;&gt;""),'Atividades Micro'!$L233,"")</f>
        <v/>
      </c>
      <c r="C209" s="21" t="str">
        <f>IF(AND('Atividades Micro'!$A233=C$2,'Atividades Micro'!$K233&lt;&gt;""),'Atividades Micro'!$K233,"")</f>
        <v/>
      </c>
      <c r="D209" s="21" t="str">
        <f>IF(AND('Atividades Micro'!$A233=D$2,'Atividades Micro'!$L233&lt;&gt;""),'Atividades Micro'!$L233,"")</f>
        <v/>
      </c>
      <c r="E209" s="21" t="str">
        <f>IF(AND('Atividades Micro'!$A233=E$2,'Atividades Micro'!$K233&lt;&gt;""),'Atividades Micro'!$K233,"")</f>
        <v/>
      </c>
      <c r="F209" s="21" t="str">
        <f>IF(AND('Atividades Micro'!$A233=F$2,'Atividades Micro'!$L233&lt;&gt;""),'Atividades Micro'!$L233,"")</f>
        <v/>
      </c>
      <c r="G209" s="21" t="str">
        <f>IF(AND('Atividades Micro'!$A233=G$2,'Atividades Micro'!$K233&lt;&gt;""),'Atividades Micro'!$K233,"")</f>
        <v/>
      </c>
      <c r="H209" s="21" t="str">
        <f>IF(AND('Atividades Micro'!$A233=H$2,'Atividades Micro'!$L233&lt;&gt;""),'Atividades Micro'!$L233,"")</f>
        <v/>
      </c>
      <c r="I209" s="21" t="str">
        <f>IF(AND('Atividades Micro'!$A233=I$2,'Atividades Micro'!$K233&lt;&gt;""),'Atividades Micro'!$K233,"")</f>
        <v/>
      </c>
      <c r="J209" s="21" t="str">
        <f>IF(AND('Atividades Micro'!$A233=J$2,'Atividades Micro'!$L233&lt;&gt;""),'Atividades Micro'!$L233,"")</f>
        <v/>
      </c>
      <c r="K209" s="21" t="str">
        <f>IF(AND('Atividades Micro'!$B233=K$2,'Atividades Micro'!$K233&lt;&gt;""),'Atividades Micro'!$K233,"")</f>
        <v/>
      </c>
      <c r="L209" s="21" t="str">
        <f>IF(AND('Atividades Micro'!$B233=L$2,'Atividades Micro'!$L233&lt;&gt;""),'Atividades Micro'!$L233,"")</f>
        <v/>
      </c>
      <c r="M209" s="21" t="str">
        <f>IF(AND('Atividades Micro'!$B233=M$2,'Atividades Micro'!$K233&lt;&gt;""),'Atividades Micro'!$K233,"")</f>
        <v/>
      </c>
      <c r="N209" s="21" t="str">
        <f>IF(AND('Atividades Micro'!$B233=N$2,'Atividades Micro'!$L233&lt;&gt;""),'Atividades Micro'!$L233,"")</f>
        <v/>
      </c>
      <c r="O209" s="21" t="str">
        <f>IF(AND('Atividades Micro'!$A233=O$2,'Atividades Micro'!$K233&lt;&gt;""),'Atividades Micro'!$K233,"")</f>
        <v/>
      </c>
      <c r="P209" s="21" t="str">
        <f>IF(AND('Atividades Micro'!$A233=P$2,'Atividades Micro'!$L233&lt;&gt;""),'Atividades Micro'!$L233,"")</f>
        <v/>
      </c>
      <c r="Q209" s="21" t="str">
        <f>IF(AND('Atividades Micro'!$B233=Q$2,'Atividades Micro'!$K233&lt;&gt;""),'Atividades Micro'!$K233,"")</f>
        <v/>
      </c>
      <c r="R209" s="21" t="str">
        <f>IF(AND('Atividades Micro'!$B233=R$2,'Atividades Micro'!$L233&lt;&gt;""),'Atividades Micro'!$L233,"")</f>
        <v/>
      </c>
      <c r="S209" s="21" t="str">
        <f>IF(AND('Atividades Micro'!$A233=S$2,'Atividades Micro'!$K233&lt;&gt;""),'Atividades Micro'!$K233,"")</f>
        <v/>
      </c>
      <c r="T209" s="21" t="str">
        <f>IF(AND('Atividades Micro'!$A233=T$2,'Atividades Micro'!$L233&lt;&gt;""),'Atividades Micro'!$L233,"")</f>
        <v/>
      </c>
      <c r="U209" s="21" t="str">
        <f>IF(AND('Atividades Micro'!$B233=U$2,'Atividades Micro'!$K233&lt;&gt;""),'Atividades Micro'!$K233,"")</f>
        <v/>
      </c>
      <c r="V209" s="21" t="str">
        <f>IF(AND('Atividades Micro'!$B233=V$2,'Atividades Micro'!$L233&lt;&gt;""),'Atividades Micro'!$L233,"")</f>
        <v/>
      </c>
      <c r="W209" s="21" t="str">
        <f>IF(AND('Atividades Micro'!$B233=W$2,'Atividades Micro'!$K233&lt;&gt;""),'Atividades Micro'!$K233,"")</f>
        <v/>
      </c>
      <c r="X209" s="21" t="str">
        <f>IF(AND('Atividades Micro'!$B233=X$2,'Atividades Micro'!$L233&lt;&gt;""),'Atividades Micro'!$L233,"")</f>
        <v/>
      </c>
      <c r="Y209" s="21" t="str">
        <f>IF(AND('Atividades Micro'!$A233=Y$2,'Atividades Micro'!$K233&lt;&gt;""),'Atividades Micro'!$K233,"")</f>
        <v/>
      </c>
      <c r="Z209" s="21" t="str">
        <f>IF(AND('Atividades Micro'!$A233=Z$2,'Atividades Micro'!$L233&lt;&gt;""),'Atividades Micro'!$L233,"")</f>
        <v/>
      </c>
      <c r="AA209" s="21" t="str">
        <f>IF(AND('Atividades Micro'!$B233=AA$2,'Atividades Micro'!$K233&lt;&gt;""),'Atividades Micro'!$K233,"")</f>
        <v/>
      </c>
      <c r="AB209" s="21" t="str">
        <f>IF(AND('Atividades Micro'!$B233=AB$2,'Atividades Micro'!$L233&lt;&gt;""),'Atividades Micro'!$L233,"")</f>
        <v/>
      </c>
      <c r="AC209" s="21" t="str">
        <f>IF(AND('Atividades Micro'!$B233=AC$2,'Atividades Micro'!$K233&lt;&gt;""),'Atividades Micro'!$K233,"")</f>
        <v/>
      </c>
      <c r="AD209" s="21" t="str">
        <f>IF(AND('Atividades Micro'!$B233=AD$2,'Atividades Micro'!$L233&lt;&gt;""),'Atividades Micro'!$L233,"")</f>
        <v/>
      </c>
      <c r="AE209" s="21">
        <f>IF(AND('Atividades Micro'!$A233=AE$2,'Atividades Micro'!$K233&lt;&gt;""),'Atividades Micro'!$K233,"")</f>
        <v>46300</v>
      </c>
      <c r="AF209" s="21">
        <f>IF(AND('Atividades Micro'!$A233=AF$2,'Atividades Micro'!$L233&lt;&gt;""),'Atividades Micro'!$L233,"")</f>
        <v>46281</v>
      </c>
      <c r="AG209" s="21">
        <f>IF(AND('Atividades Micro'!$B233=AG$2,'Atividades Micro'!$K233&lt;&gt;""),'Atividades Micro'!$K233,"")</f>
        <v>46300</v>
      </c>
      <c r="AH209" s="21">
        <f>IF(AND('Atividades Micro'!$B233=AH$2,'Atividades Micro'!$L233&lt;&gt;""),'Atividades Micro'!$L233,"")</f>
        <v>46281</v>
      </c>
      <c r="AI209" s="21" t="str">
        <f>IF(AND('Atividades Micro'!$B233=AI$2,'Atividades Micro'!$K233&lt;&gt;""),'Atividades Micro'!$K233,"")</f>
        <v/>
      </c>
      <c r="AJ209" s="21" t="str">
        <f>IF(AND('Atividades Micro'!$B233=AJ$2,'Atividades Micro'!$L233&lt;&gt;""),'Atividades Micro'!$L233,"")</f>
        <v/>
      </c>
      <c r="AK209" s="21" t="str">
        <f>IF(AND('Atividades Micro'!$A233=AK$2,'Atividades Micro'!$K233&lt;&gt;""),'Atividades Micro'!$K233,"")</f>
        <v/>
      </c>
      <c r="AL209" s="21" t="str">
        <f>IF(AND('Atividades Micro'!$A233=AL$2,'Atividades Micro'!$L233&lt;&gt;""),'Atividades Micro'!$L233,"")</f>
        <v/>
      </c>
      <c r="AM209" s="21" t="str">
        <f>IF(AND('Atividades Micro'!$B233=AM$2,'Atividades Micro'!$K233&lt;&gt;""),'Atividades Micro'!$K233,"")</f>
        <v/>
      </c>
      <c r="AN209" s="21" t="str">
        <f>IF(AND('Atividades Micro'!$B233=AN$2,'Atividades Micro'!$L233&lt;&gt;""),'Atividades Micro'!$L233,"")</f>
        <v/>
      </c>
      <c r="AO209" s="21" t="str">
        <f>IF(AND('Atividades Micro'!$B233=AO$2,'Atividades Micro'!$K233&lt;&gt;""),'Atividades Micro'!$K233,"")</f>
        <v/>
      </c>
      <c r="AP209" s="21" t="str">
        <f>IF(AND('Atividades Micro'!$B233=AP$2,'Atividades Micro'!$L233&lt;&gt;""),'Atividades Micro'!$L233,"")</f>
        <v/>
      </c>
      <c r="AQ209" s="21" t="str">
        <f>IF(AND('Atividades Micro'!$A233=AQ$2,'Atividades Micro'!$K233&lt;&gt;""),'Atividades Micro'!$K233,"")</f>
        <v/>
      </c>
      <c r="AR209" s="21" t="str">
        <f>IF(AND('Atividades Micro'!$A233=AR$2,'Atividades Micro'!$L233&lt;&gt;""),'Atividades Micro'!$L233,"")</f>
        <v/>
      </c>
      <c r="AS209" s="21" t="str">
        <f>IF(AND('Atividades Micro'!$B233=AS$2,'Atividades Micro'!$K233&lt;&gt;""),'Atividades Micro'!$K233,"")</f>
        <v/>
      </c>
      <c r="AT209" s="21" t="str">
        <f>IF(AND('Atividades Micro'!$B233=AT$2,'Atividades Micro'!$L233&lt;&gt;""),'Atividades Micro'!$L233,"")</f>
        <v/>
      </c>
      <c r="AU209" s="21" t="str">
        <f>IF(AND('Atividades Micro'!$A233=AU$2,'Atividades Micro'!$K233&lt;&gt;""),'Atividades Micro'!$K233,"")</f>
        <v/>
      </c>
      <c r="AV209" s="21" t="str">
        <f>IF(AND('Atividades Micro'!$A233=AV$2,'Atividades Micro'!$L233&lt;&gt;""),'Atividades Micro'!$L233,"")</f>
        <v/>
      </c>
      <c r="AW209" s="21" t="str">
        <f>IF(AND('Atividades Micro'!$B233=AW$2,'Atividades Micro'!$K233&lt;&gt;""),'Atividades Micro'!$K233,"")</f>
        <v/>
      </c>
      <c r="AX209" s="21" t="str">
        <f>IF(AND('Atividades Micro'!$B233=AX$2,'Atividades Micro'!$L233&lt;&gt;""),'Atividades Micro'!$L233,"")</f>
        <v/>
      </c>
      <c r="AY209" s="21" t="str">
        <f>IF(AND('Atividades Micro'!$A233=AY$2,'Atividades Micro'!$K233&lt;&gt;""),'Atividades Micro'!$K233,"")</f>
        <v/>
      </c>
      <c r="AZ209" s="21" t="str">
        <f>IF(AND('Atividades Micro'!$A233=AZ$2,'Atividades Micro'!$L233&lt;&gt;""),'Atividades Micro'!$L233,"")</f>
        <v/>
      </c>
      <c r="BA209" s="21" t="str">
        <f>IF(AND('Atividades Micro'!$B233=BA$2,'Atividades Micro'!$K233&lt;&gt;""),'Atividades Micro'!$K233,"")</f>
        <v/>
      </c>
      <c r="BB209" s="21" t="str">
        <f>IF(AND('Atividades Micro'!$B233=BB$2,'Atividades Micro'!$L233&lt;&gt;""),'Atividades Micro'!$L233,"")</f>
        <v/>
      </c>
      <c r="BC209" s="21" t="str">
        <f>IF(AND('Atividades Micro'!$B233=BC$2,'Atividades Micro'!$G233="Macro",'Atividades Micro'!$K233&lt;&gt;""),'Atividades Micro'!$K233,"")</f>
        <v/>
      </c>
      <c r="BD209" s="21" t="str">
        <f>IF(AND('Atividades Micro'!$B233=BD$2,'Atividades Micro'!$G233="Macro",'Atividades Micro'!$K233&lt;&gt;""),'Atividades Micro'!$K233,"")</f>
        <v/>
      </c>
      <c r="BE209" s="21" t="str">
        <f>IF(AND('Atividades Micro'!$B233=BE$2,'Atividades Micro'!$G233="Macro",'Atividades Micro'!$K233&lt;&gt;""),'Atividades Micro'!$K233,"")</f>
        <v/>
      </c>
      <c r="BF209" s="21" t="str">
        <f>IF(AND('Atividades Micro'!$B233=BF$2,'Atividades Micro'!$G233="Macro",'Atividades Micro'!$K233&lt;&gt;""),'Atividades Micro'!$K233,"")</f>
        <v/>
      </c>
      <c r="BG209" s="21" t="str">
        <f>IF(AND('Atividades Micro'!$B233=BG$2,'Atividades Micro'!$G233="Macro",'Atividades Micro'!$K233&lt;&gt;""),'Atividades Micro'!$K233,"")</f>
        <v/>
      </c>
      <c r="BH209" s="21" t="str">
        <f>IF(AND('Atividades Micro'!$B233=BH$2,'Atividades Micro'!$G233="Macro",'Atividades Micro'!$K233&lt;&gt;""),'Atividades Micro'!$K233,"")</f>
        <v/>
      </c>
      <c r="BI209" s="21" t="str">
        <f>IF(AND('Atividades Micro'!$B233=BI$2,'Atividades Micro'!$G233="Macro",'Atividades Micro'!$K233&lt;&gt;""),'Atividades Micro'!$K233,"")</f>
        <v/>
      </c>
      <c r="BJ209" s="21" t="str">
        <f>IF(AND('Atividades Micro'!$B233=BJ$2,'Atividades Micro'!$G233="Macro",'Atividades Micro'!$K233&lt;&gt;""),'Atividades Micro'!$K233,"")</f>
        <v/>
      </c>
      <c r="BK209" s="21" t="str">
        <f>IF(AND('Atividades Micro'!$B233=BK$2,'Atividades Micro'!$G233="Macro",'Atividades Micro'!$K233&lt;&gt;""),'Atividades Micro'!$K233,"")</f>
        <v/>
      </c>
      <c r="BL209" s="21" t="str">
        <f>IF(AND('Atividades Micro'!$B233=BL$2,'Atividades Micro'!$G233="Macro",'Atividades Micro'!$K233&lt;&gt;""),'Atividades Micro'!$K233,"")</f>
        <v/>
      </c>
      <c r="BM209" s="21" t="str">
        <f>IF(AND('Atividades Micro'!$B233=BM$2,'Atividades Micro'!$G233="Macro",'Atividades Micro'!$K233&lt;&gt;""),'Atividades Micro'!$K233,"")</f>
        <v/>
      </c>
      <c r="BN209" s="21" t="str">
        <f>IF(AND('Atividades Micro'!$B233=BN$2,'Atividades Micro'!$G233="Macro",'Atividades Micro'!$K233&lt;&gt;""),'Atividades Micro'!$K233,"")</f>
        <v/>
      </c>
      <c r="BO209" s="21" t="str">
        <f>IF(AND('Atividades Micro'!$B233=BO$2,'Atividades Micro'!$G233="Macro",'Atividades Micro'!$K233&lt;&gt;""),'Atividades Micro'!$K233,"")</f>
        <v/>
      </c>
      <c r="BP209" s="21" t="str">
        <f>IF(AND('Atividades Micro'!$B233=BP$2,'Atividades Micro'!$G233="Macro",'Atividades Micro'!$K233&lt;&gt;""),'Atividades Micro'!$K233,"")</f>
        <v/>
      </c>
      <c r="BQ209" s="21" t="str">
        <f>IF(AND('Atividades Micro'!$B233=BQ$2,'Atividades Micro'!$G233="Macro",'Atividades Micro'!$K233&lt;&gt;""),'Atividades Micro'!$K233,"")</f>
        <v/>
      </c>
      <c r="BR209" s="21" t="str">
        <f>IF(AND('Atividades Micro'!$B233=BR$2,'Atividades Micro'!$G233="Macro",'Atividades Micro'!$K233&lt;&gt;""),'Atividades Micro'!$K233,"")</f>
        <v/>
      </c>
      <c r="BS209" s="21" t="str">
        <f>IF(AND('Atividades Micro'!$B233=BS$2,'Atividades Micro'!$G233="Macro",'Atividades Micro'!$K233&lt;&gt;""),'Atividades Micro'!$K233,"")</f>
        <v/>
      </c>
      <c r="BT209" s="21" t="str">
        <f>IF(AND('Atividades Micro'!$B233=BT$2,'Atividades Micro'!$G233="Macro",'Atividades Micro'!$K233&lt;&gt;""),'Atividades Micro'!$K233,"")</f>
        <v/>
      </c>
      <c r="BU209" s="21" t="str">
        <f>IF(AND('Atividades Micro'!$B233=BU$2,'Atividades Micro'!$G233="Macro",'Atividades Micro'!$K233&lt;&gt;""),'Atividades Micro'!$K233,"")</f>
        <v/>
      </c>
      <c r="BV209" s="21" t="str">
        <f>IF(AND('Atividades Micro'!$B233=BV$2,'Atividades Micro'!$G233="Macro",'Atividades Micro'!$K233&lt;&gt;""),'Atividades Micro'!$K233,"")</f>
        <v/>
      </c>
      <c r="BW209" s="21" t="str">
        <f>IF(AND('Atividades Micro'!$B233=BW$2,'Atividades Micro'!$G233="Macro",'Atividades Micro'!$K233&lt;&gt;""),'Atividades Micro'!$K233,"")</f>
        <v/>
      </c>
      <c r="BX209" s="21" t="str">
        <f>IF(AND('Atividades Micro'!$B233=BX$2,'Atividades Micro'!$G233="Macro",'Atividades Micro'!$K233&lt;&gt;""),'Atividades Micro'!$K233,"")</f>
        <v/>
      </c>
      <c r="BY209" s="21" t="str">
        <f>IF(AND('Atividades Micro'!$B233=BY$2,'Atividades Micro'!$G233="Macro",'Atividades Micro'!$K233&lt;&gt;""),'Atividades Micro'!$K233,"")</f>
        <v/>
      </c>
      <c r="BZ209" s="21" t="str">
        <f>IF(AND('Atividades Micro'!$B233=BZ$2,'Atividades Micro'!$G233="Macro",'Atividades Micro'!$K233&lt;&gt;""),'Atividades Micro'!$K233,"")</f>
        <v/>
      </c>
      <c r="CA209" s="21" t="str">
        <f>IF(AND('Atividades Micro'!$B233=CA$2,'Atividades Micro'!$G233="Macro",'Atividades Micro'!$K233&lt;&gt;""),'Atividades Micro'!$K233,"")</f>
        <v/>
      </c>
      <c r="CB209" s="21" t="str">
        <f>IF(AND('Atividades Micro'!$B233=CB$2,'Atividades Micro'!$G233="Macro",'Atividades Micro'!$K233&lt;&gt;""),'Atividades Micro'!$K233,"")</f>
        <v/>
      </c>
      <c r="CC209" s="21" t="str">
        <f>IF(AND('Atividades Micro'!$B233=CC$2,'Atividades Micro'!$G233="Macro",'Atividades Micro'!$K233&lt;&gt;""),'Atividades Micro'!$K233,"")</f>
        <v/>
      </c>
      <c r="CD209" s="21" t="str">
        <f>IF(AND('Atividades Micro'!$B233=CD$2,'Atividades Micro'!$G233="Micro",'Atividades Micro'!$K233&lt;&gt;""),'Atividades Micro'!$K233,"")</f>
        <v/>
      </c>
      <c r="CE209" s="21" t="str">
        <f>IF(AND('Atividades Micro'!$B233=CE$2,'Atividades Micro'!$G233="Micro",'Atividades Micro'!$K233&lt;&gt;""),'Atividades Micro'!$K233,"")</f>
        <v/>
      </c>
      <c r="CF209" s="21" t="str">
        <f>IF(AND('Atividades Micro'!$B233=CF$2,'Atividades Micro'!$G233="Micro",'Atividades Micro'!$K233&lt;&gt;""),'Atividades Micro'!$K233,"")</f>
        <v/>
      </c>
      <c r="CG209" s="21" t="str">
        <f>IF(AND('Atividades Micro'!$B233=CG$2,'Atividades Micro'!$G233="Micro",'Atividades Micro'!$K233&lt;&gt;""),'Atividades Micro'!$K233,"")</f>
        <v/>
      </c>
      <c r="CH209" s="21" t="str">
        <f>IF(AND('Atividades Micro'!$B233=CH$2,'Atividades Micro'!$G233="Micro",'Atividades Micro'!$K233&lt;&gt;""),'Atividades Micro'!$K233,"")</f>
        <v/>
      </c>
      <c r="CI209" s="21" t="str">
        <f>IF(AND('Atividades Micro'!$B233=CI$2,'Atividades Micro'!$G233="Micro",'Atividades Micro'!$K233&lt;&gt;""),'Atividades Micro'!$K233,"")</f>
        <v/>
      </c>
      <c r="CJ209" s="21" t="str">
        <f>IF(AND('Atividades Micro'!$B233=CJ$2,'Atividades Micro'!$G233="Micro",'Atividades Micro'!$K233&lt;&gt;""),'Atividades Micro'!$K233,"")</f>
        <v/>
      </c>
      <c r="CK209" s="21">
        <f>IF(AND('Atividades Micro'!$B233=CK$2,'Atividades Micro'!$G233="Micro",'Atividades Micro'!$K233&lt;&gt;""),'Atividades Micro'!$K233,"")</f>
        <v>46300</v>
      </c>
      <c r="CL209" s="21" t="str">
        <f>IF(AND('Atividades Micro'!$B233=CL$2,'Atividades Micro'!$G233="Micro",'Atividades Micro'!$K233&lt;&gt;""),'Atividades Micro'!$K233,"")</f>
        <v/>
      </c>
      <c r="CM209" s="21" t="str">
        <f>IF(AND('Atividades Micro'!$B233=CM$2,'Atividades Micro'!$G233="Micro",'Atividades Micro'!$K233&lt;&gt;""),'Atividades Micro'!$K233,"")</f>
        <v/>
      </c>
      <c r="CN209" s="21" t="str">
        <f>IF(AND('Atividades Micro'!$B233=CN$2,'Atividades Micro'!$G233="Micro",'Atividades Micro'!$K233&lt;&gt;""),'Atividades Micro'!$K233,"")</f>
        <v/>
      </c>
      <c r="CO209" s="21" t="str">
        <f>IF(AND('Atividades Micro'!$B233=CO$2,'Atividades Micro'!$G233="Micro",'Atividades Micro'!$K233&lt;&gt;""),'Atividades Micro'!$K233,"")</f>
        <v/>
      </c>
    </row>
    <row r="210" spans="1:93">
      <c r="A210" s="21" t="str">
        <f>IF(AND('Atividades Micro'!$A234=A$2,'Atividades Micro'!$K234&lt;&gt;""),'Atividades Micro'!$K234,"")</f>
        <v/>
      </c>
      <c r="B210" s="21" t="str">
        <f>IF(AND('Atividades Micro'!$A234=B$2,'Atividades Micro'!$L234&lt;&gt;""),'Atividades Micro'!$L234,"")</f>
        <v/>
      </c>
      <c r="C210" s="21" t="str">
        <f>IF(AND('Atividades Micro'!$A234=C$2,'Atividades Micro'!$K234&lt;&gt;""),'Atividades Micro'!$K234,"")</f>
        <v/>
      </c>
      <c r="D210" s="21" t="str">
        <f>IF(AND('Atividades Micro'!$A234=D$2,'Atividades Micro'!$L234&lt;&gt;""),'Atividades Micro'!$L234,"")</f>
        <v/>
      </c>
      <c r="E210" s="21" t="str">
        <f>IF(AND('Atividades Micro'!$A234=E$2,'Atividades Micro'!$K234&lt;&gt;""),'Atividades Micro'!$K234,"")</f>
        <v/>
      </c>
      <c r="F210" s="21" t="str">
        <f>IF(AND('Atividades Micro'!$A234=F$2,'Atividades Micro'!$L234&lt;&gt;""),'Atividades Micro'!$L234,"")</f>
        <v/>
      </c>
      <c r="G210" s="21" t="str">
        <f>IF(AND('Atividades Micro'!$A234=G$2,'Atividades Micro'!$K234&lt;&gt;""),'Atividades Micro'!$K234,"")</f>
        <v/>
      </c>
      <c r="H210" s="21" t="str">
        <f>IF(AND('Atividades Micro'!$A234=H$2,'Atividades Micro'!$L234&lt;&gt;""),'Atividades Micro'!$L234,"")</f>
        <v/>
      </c>
      <c r="I210" s="21" t="str">
        <f>IF(AND('Atividades Micro'!$A234=I$2,'Atividades Micro'!$K234&lt;&gt;""),'Atividades Micro'!$K234,"")</f>
        <v/>
      </c>
      <c r="J210" s="21" t="str">
        <f>IF(AND('Atividades Micro'!$A234=J$2,'Atividades Micro'!$L234&lt;&gt;""),'Atividades Micro'!$L234,"")</f>
        <v/>
      </c>
      <c r="K210" s="21" t="str">
        <f>IF(AND('Atividades Micro'!$B234=K$2,'Atividades Micro'!$K234&lt;&gt;""),'Atividades Micro'!$K234,"")</f>
        <v/>
      </c>
      <c r="L210" s="21" t="str">
        <f>IF(AND('Atividades Micro'!$B234=L$2,'Atividades Micro'!$L234&lt;&gt;""),'Atividades Micro'!$L234,"")</f>
        <v/>
      </c>
      <c r="M210" s="21" t="str">
        <f>IF(AND('Atividades Micro'!$B234=M$2,'Atividades Micro'!$K234&lt;&gt;""),'Atividades Micro'!$K234,"")</f>
        <v/>
      </c>
      <c r="N210" s="21" t="str">
        <f>IF(AND('Atividades Micro'!$B234=N$2,'Atividades Micro'!$L234&lt;&gt;""),'Atividades Micro'!$L234,"")</f>
        <v/>
      </c>
      <c r="O210" s="21" t="str">
        <f>IF(AND('Atividades Micro'!$A234=O$2,'Atividades Micro'!$K234&lt;&gt;""),'Atividades Micro'!$K234,"")</f>
        <v/>
      </c>
      <c r="P210" s="21" t="str">
        <f>IF(AND('Atividades Micro'!$A234=P$2,'Atividades Micro'!$L234&lt;&gt;""),'Atividades Micro'!$L234,"")</f>
        <v/>
      </c>
      <c r="Q210" s="21" t="str">
        <f>IF(AND('Atividades Micro'!$B234=Q$2,'Atividades Micro'!$K234&lt;&gt;""),'Atividades Micro'!$K234,"")</f>
        <v/>
      </c>
      <c r="R210" s="21" t="str">
        <f>IF(AND('Atividades Micro'!$B234=R$2,'Atividades Micro'!$L234&lt;&gt;""),'Atividades Micro'!$L234,"")</f>
        <v/>
      </c>
      <c r="S210" s="21" t="str">
        <f>IF(AND('Atividades Micro'!$A234=S$2,'Atividades Micro'!$K234&lt;&gt;""),'Atividades Micro'!$K234,"")</f>
        <v/>
      </c>
      <c r="T210" s="21" t="str">
        <f>IF(AND('Atividades Micro'!$A234=T$2,'Atividades Micro'!$L234&lt;&gt;""),'Atividades Micro'!$L234,"")</f>
        <v/>
      </c>
      <c r="U210" s="21" t="str">
        <f>IF(AND('Atividades Micro'!$B234=U$2,'Atividades Micro'!$K234&lt;&gt;""),'Atividades Micro'!$K234,"")</f>
        <v/>
      </c>
      <c r="V210" s="21" t="str">
        <f>IF(AND('Atividades Micro'!$B234=V$2,'Atividades Micro'!$L234&lt;&gt;""),'Atividades Micro'!$L234,"")</f>
        <v/>
      </c>
      <c r="W210" s="21" t="str">
        <f>IF(AND('Atividades Micro'!$B234=W$2,'Atividades Micro'!$K234&lt;&gt;""),'Atividades Micro'!$K234,"")</f>
        <v/>
      </c>
      <c r="X210" s="21" t="str">
        <f>IF(AND('Atividades Micro'!$B234=X$2,'Atividades Micro'!$L234&lt;&gt;""),'Atividades Micro'!$L234,"")</f>
        <v/>
      </c>
      <c r="Y210" s="21" t="str">
        <f>IF(AND('Atividades Micro'!$A234=Y$2,'Atividades Micro'!$K234&lt;&gt;""),'Atividades Micro'!$K234,"")</f>
        <v/>
      </c>
      <c r="Z210" s="21" t="str">
        <f>IF(AND('Atividades Micro'!$A234=Z$2,'Atividades Micro'!$L234&lt;&gt;""),'Atividades Micro'!$L234,"")</f>
        <v/>
      </c>
      <c r="AA210" s="21" t="str">
        <f>IF(AND('Atividades Micro'!$B234=AA$2,'Atividades Micro'!$K234&lt;&gt;""),'Atividades Micro'!$K234,"")</f>
        <v/>
      </c>
      <c r="AB210" s="21" t="str">
        <f>IF(AND('Atividades Micro'!$B234=AB$2,'Atividades Micro'!$L234&lt;&gt;""),'Atividades Micro'!$L234,"")</f>
        <v/>
      </c>
      <c r="AC210" s="21" t="str">
        <f>IF(AND('Atividades Micro'!$B234=AC$2,'Atividades Micro'!$K234&lt;&gt;""),'Atividades Micro'!$K234,"")</f>
        <v/>
      </c>
      <c r="AD210" s="21" t="str">
        <f>IF(AND('Atividades Micro'!$B234=AD$2,'Atividades Micro'!$L234&lt;&gt;""),'Atividades Micro'!$L234,"")</f>
        <v/>
      </c>
      <c r="AE210" s="21">
        <f>IF(AND('Atividades Micro'!$A234=AE$2,'Atividades Micro'!$K234&lt;&gt;""),'Atividades Micro'!$K234,"")</f>
        <v>46321</v>
      </c>
      <c r="AF210" s="21">
        <f>IF(AND('Atividades Micro'!$A234=AF$2,'Atividades Micro'!$L234&lt;&gt;""),'Atividades Micro'!$L234,"")</f>
        <v>46316</v>
      </c>
      <c r="AG210" s="21">
        <f>IF(AND('Atividades Micro'!$B234=AG$2,'Atividades Micro'!$K234&lt;&gt;""),'Atividades Micro'!$K234,"")</f>
        <v>46321</v>
      </c>
      <c r="AH210" s="21">
        <f>IF(AND('Atividades Micro'!$B234=AH$2,'Atividades Micro'!$L234&lt;&gt;""),'Atividades Micro'!$L234,"")</f>
        <v>46316</v>
      </c>
      <c r="AI210" s="21" t="str">
        <f>IF(AND('Atividades Micro'!$B234=AI$2,'Atividades Micro'!$K234&lt;&gt;""),'Atividades Micro'!$K234,"")</f>
        <v/>
      </c>
      <c r="AJ210" s="21" t="str">
        <f>IF(AND('Atividades Micro'!$B234=AJ$2,'Atividades Micro'!$L234&lt;&gt;""),'Atividades Micro'!$L234,"")</f>
        <v/>
      </c>
      <c r="AK210" s="21" t="str">
        <f>IF(AND('Atividades Micro'!$A234=AK$2,'Atividades Micro'!$K234&lt;&gt;""),'Atividades Micro'!$K234,"")</f>
        <v/>
      </c>
      <c r="AL210" s="21" t="str">
        <f>IF(AND('Atividades Micro'!$A234=AL$2,'Atividades Micro'!$L234&lt;&gt;""),'Atividades Micro'!$L234,"")</f>
        <v/>
      </c>
      <c r="AM210" s="21" t="str">
        <f>IF(AND('Atividades Micro'!$B234=AM$2,'Atividades Micro'!$K234&lt;&gt;""),'Atividades Micro'!$K234,"")</f>
        <v/>
      </c>
      <c r="AN210" s="21" t="str">
        <f>IF(AND('Atividades Micro'!$B234=AN$2,'Atividades Micro'!$L234&lt;&gt;""),'Atividades Micro'!$L234,"")</f>
        <v/>
      </c>
      <c r="AO210" s="21" t="str">
        <f>IF(AND('Atividades Micro'!$B234=AO$2,'Atividades Micro'!$K234&lt;&gt;""),'Atividades Micro'!$K234,"")</f>
        <v/>
      </c>
      <c r="AP210" s="21" t="str">
        <f>IF(AND('Atividades Micro'!$B234=AP$2,'Atividades Micro'!$L234&lt;&gt;""),'Atividades Micro'!$L234,"")</f>
        <v/>
      </c>
      <c r="AQ210" s="21" t="str">
        <f>IF(AND('Atividades Micro'!$A234=AQ$2,'Atividades Micro'!$K234&lt;&gt;""),'Atividades Micro'!$K234,"")</f>
        <v/>
      </c>
      <c r="AR210" s="21" t="str">
        <f>IF(AND('Atividades Micro'!$A234=AR$2,'Atividades Micro'!$L234&lt;&gt;""),'Atividades Micro'!$L234,"")</f>
        <v/>
      </c>
      <c r="AS210" s="21" t="str">
        <f>IF(AND('Atividades Micro'!$B234=AS$2,'Atividades Micro'!$K234&lt;&gt;""),'Atividades Micro'!$K234,"")</f>
        <v/>
      </c>
      <c r="AT210" s="21" t="str">
        <f>IF(AND('Atividades Micro'!$B234=AT$2,'Atividades Micro'!$L234&lt;&gt;""),'Atividades Micro'!$L234,"")</f>
        <v/>
      </c>
      <c r="AU210" s="21" t="str">
        <f>IF(AND('Atividades Micro'!$A234=AU$2,'Atividades Micro'!$K234&lt;&gt;""),'Atividades Micro'!$K234,"")</f>
        <v/>
      </c>
      <c r="AV210" s="21" t="str">
        <f>IF(AND('Atividades Micro'!$A234=AV$2,'Atividades Micro'!$L234&lt;&gt;""),'Atividades Micro'!$L234,"")</f>
        <v/>
      </c>
      <c r="AW210" s="21" t="str">
        <f>IF(AND('Atividades Micro'!$B234=AW$2,'Atividades Micro'!$K234&lt;&gt;""),'Atividades Micro'!$K234,"")</f>
        <v/>
      </c>
      <c r="AX210" s="21" t="str">
        <f>IF(AND('Atividades Micro'!$B234=AX$2,'Atividades Micro'!$L234&lt;&gt;""),'Atividades Micro'!$L234,"")</f>
        <v/>
      </c>
      <c r="AY210" s="21" t="str">
        <f>IF(AND('Atividades Micro'!$A234=AY$2,'Atividades Micro'!$K234&lt;&gt;""),'Atividades Micro'!$K234,"")</f>
        <v/>
      </c>
      <c r="AZ210" s="21" t="str">
        <f>IF(AND('Atividades Micro'!$A234=AZ$2,'Atividades Micro'!$L234&lt;&gt;""),'Atividades Micro'!$L234,"")</f>
        <v/>
      </c>
      <c r="BA210" s="21" t="str">
        <f>IF(AND('Atividades Micro'!$B234=BA$2,'Atividades Micro'!$K234&lt;&gt;""),'Atividades Micro'!$K234,"")</f>
        <v/>
      </c>
      <c r="BB210" s="21" t="str">
        <f>IF(AND('Atividades Micro'!$B234=BB$2,'Atividades Micro'!$L234&lt;&gt;""),'Atividades Micro'!$L234,"")</f>
        <v/>
      </c>
      <c r="BC210" s="21" t="str">
        <f>IF(AND('Atividades Micro'!$B234=BC$2,'Atividades Micro'!$G234="Macro",'Atividades Micro'!$K234&lt;&gt;""),'Atividades Micro'!$K234,"")</f>
        <v/>
      </c>
      <c r="BD210" s="21" t="str">
        <f>IF(AND('Atividades Micro'!$B234=BD$2,'Atividades Micro'!$G234="Macro",'Atividades Micro'!$K234&lt;&gt;""),'Atividades Micro'!$K234,"")</f>
        <v/>
      </c>
      <c r="BE210" s="21" t="str">
        <f>IF(AND('Atividades Micro'!$B234=BE$2,'Atividades Micro'!$G234="Macro",'Atividades Micro'!$K234&lt;&gt;""),'Atividades Micro'!$K234,"")</f>
        <v/>
      </c>
      <c r="BF210" s="21" t="str">
        <f>IF(AND('Atividades Micro'!$B234=BF$2,'Atividades Micro'!$G234="Macro",'Atividades Micro'!$K234&lt;&gt;""),'Atividades Micro'!$K234,"")</f>
        <v/>
      </c>
      <c r="BG210" s="21" t="str">
        <f>IF(AND('Atividades Micro'!$B234=BG$2,'Atividades Micro'!$G234="Macro",'Atividades Micro'!$K234&lt;&gt;""),'Atividades Micro'!$K234,"")</f>
        <v/>
      </c>
      <c r="BH210" s="21" t="str">
        <f>IF(AND('Atividades Micro'!$B234=BH$2,'Atividades Micro'!$G234="Macro",'Atividades Micro'!$K234&lt;&gt;""),'Atividades Micro'!$K234,"")</f>
        <v/>
      </c>
      <c r="BI210" s="21" t="str">
        <f>IF(AND('Atividades Micro'!$B234=BI$2,'Atividades Micro'!$G234="Macro",'Atividades Micro'!$K234&lt;&gt;""),'Atividades Micro'!$K234,"")</f>
        <v/>
      </c>
      <c r="BJ210" s="21" t="str">
        <f>IF(AND('Atividades Micro'!$B234=BJ$2,'Atividades Micro'!$G234="Macro",'Atividades Micro'!$K234&lt;&gt;""),'Atividades Micro'!$K234,"")</f>
        <v/>
      </c>
      <c r="BK210" s="21" t="str">
        <f>IF(AND('Atividades Micro'!$B234=BK$2,'Atividades Micro'!$G234="Macro",'Atividades Micro'!$K234&lt;&gt;""),'Atividades Micro'!$K234,"")</f>
        <v/>
      </c>
      <c r="BL210" s="21" t="str">
        <f>IF(AND('Atividades Micro'!$B234=BL$2,'Atividades Micro'!$G234="Macro",'Atividades Micro'!$K234&lt;&gt;""),'Atividades Micro'!$K234,"")</f>
        <v/>
      </c>
      <c r="BM210" s="21" t="str">
        <f>IF(AND('Atividades Micro'!$B234=BM$2,'Atividades Micro'!$G234="Macro",'Atividades Micro'!$K234&lt;&gt;""),'Atividades Micro'!$K234,"")</f>
        <v/>
      </c>
      <c r="BN210" s="21" t="str">
        <f>IF(AND('Atividades Micro'!$B234=BN$2,'Atividades Micro'!$G234="Macro",'Atividades Micro'!$K234&lt;&gt;""),'Atividades Micro'!$K234,"")</f>
        <v/>
      </c>
      <c r="BO210" s="21" t="str">
        <f>IF(AND('Atividades Micro'!$B234=BO$2,'Atividades Micro'!$G234="Macro",'Atividades Micro'!$K234&lt;&gt;""),'Atividades Micro'!$K234,"")</f>
        <v/>
      </c>
      <c r="BP210" s="21" t="str">
        <f>IF(AND('Atividades Micro'!$B234=BP$2,'Atividades Micro'!$G234="Macro",'Atividades Micro'!$K234&lt;&gt;""),'Atividades Micro'!$K234,"")</f>
        <v/>
      </c>
      <c r="BQ210" s="21" t="str">
        <f>IF(AND('Atividades Micro'!$B234=BQ$2,'Atividades Micro'!$G234="Macro",'Atividades Micro'!$K234&lt;&gt;""),'Atividades Micro'!$K234,"")</f>
        <v/>
      </c>
      <c r="BR210" s="21" t="str">
        <f>IF(AND('Atividades Micro'!$B234=BR$2,'Atividades Micro'!$G234="Macro",'Atividades Micro'!$K234&lt;&gt;""),'Atividades Micro'!$K234,"")</f>
        <v/>
      </c>
      <c r="BS210" s="21" t="str">
        <f>IF(AND('Atividades Micro'!$B234=BS$2,'Atividades Micro'!$G234="Macro",'Atividades Micro'!$K234&lt;&gt;""),'Atividades Micro'!$K234,"")</f>
        <v/>
      </c>
      <c r="BT210" s="21" t="str">
        <f>IF(AND('Atividades Micro'!$B234=BT$2,'Atividades Micro'!$G234="Macro",'Atividades Micro'!$K234&lt;&gt;""),'Atividades Micro'!$K234,"")</f>
        <v/>
      </c>
      <c r="BU210" s="21" t="str">
        <f>IF(AND('Atividades Micro'!$B234=BU$2,'Atividades Micro'!$G234="Macro",'Atividades Micro'!$K234&lt;&gt;""),'Atividades Micro'!$K234,"")</f>
        <v/>
      </c>
      <c r="BV210" s="21" t="str">
        <f>IF(AND('Atividades Micro'!$B234=BV$2,'Atividades Micro'!$G234="Macro",'Atividades Micro'!$K234&lt;&gt;""),'Atividades Micro'!$K234,"")</f>
        <v/>
      </c>
      <c r="BW210" s="21" t="str">
        <f>IF(AND('Atividades Micro'!$B234=BW$2,'Atividades Micro'!$G234="Macro",'Atividades Micro'!$K234&lt;&gt;""),'Atividades Micro'!$K234,"")</f>
        <v/>
      </c>
      <c r="BX210" s="21" t="str">
        <f>IF(AND('Atividades Micro'!$B234=BX$2,'Atividades Micro'!$G234="Macro",'Atividades Micro'!$K234&lt;&gt;""),'Atividades Micro'!$K234,"")</f>
        <v/>
      </c>
      <c r="BY210" s="21" t="str">
        <f>IF(AND('Atividades Micro'!$B234=BY$2,'Atividades Micro'!$G234="Macro",'Atividades Micro'!$K234&lt;&gt;""),'Atividades Micro'!$K234,"")</f>
        <v/>
      </c>
      <c r="BZ210" s="21" t="str">
        <f>IF(AND('Atividades Micro'!$B234=BZ$2,'Atividades Micro'!$G234="Macro",'Atividades Micro'!$K234&lt;&gt;""),'Atividades Micro'!$K234,"")</f>
        <v/>
      </c>
      <c r="CA210" s="21" t="str">
        <f>IF(AND('Atividades Micro'!$B234=CA$2,'Atividades Micro'!$G234="Macro",'Atividades Micro'!$K234&lt;&gt;""),'Atividades Micro'!$K234,"")</f>
        <v/>
      </c>
      <c r="CB210" s="21" t="str">
        <f>IF(AND('Atividades Micro'!$B234=CB$2,'Atividades Micro'!$G234="Macro",'Atividades Micro'!$K234&lt;&gt;""),'Atividades Micro'!$K234,"")</f>
        <v/>
      </c>
      <c r="CC210" s="21" t="str">
        <f>IF(AND('Atividades Micro'!$B234=CC$2,'Atividades Micro'!$G234="Macro",'Atividades Micro'!$K234&lt;&gt;""),'Atividades Micro'!$K234,"")</f>
        <v/>
      </c>
      <c r="CD210" s="21" t="str">
        <f>IF(AND('Atividades Micro'!$B234=CD$2,'Atividades Micro'!$G234="Micro",'Atividades Micro'!$K234&lt;&gt;""),'Atividades Micro'!$K234,"")</f>
        <v/>
      </c>
      <c r="CE210" s="21" t="str">
        <f>IF(AND('Atividades Micro'!$B234=CE$2,'Atividades Micro'!$G234="Micro",'Atividades Micro'!$K234&lt;&gt;""),'Atividades Micro'!$K234,"")</f>
        <v/>
      </c>
      <c r="CF210" s="21" t="str">
        <f>IF(AND('Atividades Micro'!$B234=CF$2,'Atividades Micro'!$G234="Micro",'Atividades Micro'!$K234&lt;&gt;""),'Atividades Micro'!$K234,"")</f>
        <v/>
      </c>
      <c r="CG210" s="21" t="str">
        <f>IF(AND('Atividades Micro'!$B234=CG$2,'Atividades Micro'!$G234="Micro",'Atividades Micro'!$K234&lt;&gt;""),'Atividades Micro'!$K234,"")</f>
        <v/>
      </c>
      <c r="CH210" s="21" t="str">
        <f>IF(AND('Atividades Micro'!$B234=CH$2,'Atividades Micro'!$G234="Micro",'Atividades Micro'!$K234&lt;&gt;""),'Atividades Micro'!$K234,"")</f>
        <v/>
      </c>
      <c r="CI210" s="21" t="str">
        <f>IF(AND('Atividades Micro'!$B234=CI$2,'Atividades Micro'!$G234="Micro",'Atividades Micro'!$K234&lt;&gt;""),'Atividades Micro'!$K234,"")</f>
        <v/>
      </c>
      <c r="CJ210" s="21" t="str">
        <f>IF(AND('Atividades Micro'!$B234=CJ$2,'Atividades Micro'!$G234="Micro",'Atividades Micro'!$K234&lt;&gt;""),'Atividades Micro'!$K234,"")</f>
        <v/>
      </c>
      <c r="CK210" s="21">
        <f>IF(AND('Atividades Micro'!$B234=CK$2,'Atividades Micro'!$G234="Micro",'Atividades Micro'!$K234&lt;&gt;""),'Atividades Micro'!$K234,"")</f>
        <v>46321</v>
      </c>
      <c r="CL210" s="21" t="str">
        <f>IF(AND('Atividades Micro'!$B234=CL$2,'Atividades Micro'!$G234="Micro",'Atividades Micro'!$K234&lt;&gt;""),'Atividades Micro'!$K234,"")</f>
        <v/>
      </c>
      <c r="CM210" s="21" t="str">
        <f>IF(AND('Atividades Micro'!$B234=CM$2,'Atividades Micro'!$G234="Micro",'Atividades Micro'!$K234&lt;&gt;""),'Atividades Micro'!$K234,"")</f>
        <v/>
      </c>
      <c r="CN210" s="21" t="str">
        <f>IF(AND('Atividades Micro'!$B234=CN$2,'Atividades Micro'!$G234="Micro",'Atividades Micro'!$K234&lt;&gt;""),'Atividades Micro'!$K234,"")</f>
        <v/>
      </c>
      <c r="CO210" s="21" t="str">
        <f>IF(AND('Atividades Micro'!$B234=CO$2,'Atividades Micro'!$G234="Micro",'Atividades Micro'!$K234&lt;&gt;""),'Atividades Micro'!$K234,"")</f>
        <v/>
      </c>
    </row>
    <row r="211" spans="1:93">
      <c r="A211" s="21" t="str">
        <f>IF(AND('Atividades Micro'!$A235=A$2,'Atividades Micro'!$K235&lt;&gt;""),'Atividades Micro'!$K235,"")</f>
        <v/>
      </c>
      <c r="B211" s="21" t="str">
        <f>IF(AND('Atividades Micro'!$A235=B$2,'Atividades Micro'!$L235&lt;&gt;""),'Atividades Micro'!$L235,"")</f>
        <v/>
      </c>
      <c r="C211" s="21" t="str">
        <f>IF(AND('Atividades Micro'!$A235=C$2,'Atividades Micro'!$K235&lt;&gt;""),'Atividades Micro'!$K235,"")</f>
        <v/>
      </c>
      <c r="D211" s="21" t="str">
        <f>IF(AND('Atividades Micro'!$A235=D$2,'Atividades Micro'!$L235&lt;&gt;""),'Atividades Micro'!$L235,"")</f>
        <v/>
      </c>
      <c r="E211" s="21" t="str">
        <f>IF(AND('Atividades Micro'!$A235=E$2,'Atividades Micro'!$K235&lt;&gt;""),'Atividades Micro'!$K235,"")</f>
        <v/>
      </c>
      <c r="F211" s="21" t="str">
        <f>IF(AND('Atividades Micro'!$A235=F$2,'Atividades Micro'!$L235&lt;&gt;""),'Atividades Micro'!$L235,"")</f>
        <v/>
      </c>
      <c r="G211" s="21" t="str">
        <f>IF(AND('Atividades Micro'!$A235=G$2,'Atividades Micro'!$K235&lt;&gt;""),'Atividades Micro'!$K235,"")</f>
        <v/>
      </c>
      <c r="H211" s="21" t="str">
        <f>IF(AND('Atividades Micro'!$A235=H$2,'Atividades Micro'!$L235&lt;&gt;""),'Atividades Micro'!$L235,"")</f>
        <v/>
      </c>
      <c r="I211" s="21" t="str">
        <f>IF(AND('Atividades Micro'!$A235=I$2,'Atividades Micro'!$K235&lt;&gt;""),'Atividades Micro'!$K235,"")</f>
        <v/>
      </c>
      <c r="J211" s="21" t="str">
        <f>IF(AND('Atividades Micro'!$A235=J$2,'Atividades Micro'!$L235&lt;&gt;""),'Atividades Micro'!$L235,"")</f>
        <v/>
      </c>
      <c r="K211" s="21" t="str">
        <f>IF(AND('Atividades Micro'!$B235=K$2,'Atividades Micro'!$K235&lt;&gt;""),'Atividades Micro'!$K235,"")</f>
        <v/>
      </c>
      <c r="L211" s="21" t="str">
        <f>IF(AND('Atividades Micro'!$B235=L$2,'Atividades Micro'!$L235&lt;&gt;""),'Atividades Micro'!$L235,"")</f>
        <v/>
      </c>
      <c r="M211" s="21" t="str">
        <f>IF(AND('Atividades Micro'!$B235=M$2,'Atividades Micro'!$K235&lt;&gt;""),'Atividades Micro'!$K235,"")</f>
        <v/>
      </c>
      <c r="N211" s="21" t="str">
        <f>IF(AND('Atividades Micro'!$B235=N$2,'Atividades Micro'!$L235&lt;&gt;""),'Atividades Micro'!$L235,"")</f>
        <v/>
      </c>
      <c r="O211" s="21" t="str">
        <f>IF(AND('Atividades Micro'!$A235=O$2,'Atividades Micro'!$K235&lt;&gt;""),'Atividades Micro'!$K235,"")</f>
        <v/>
      </c>
      <c r="P211" s="21" t="str">
        <f>IF(AND('Atividades Micro'!$A235=P$2,'Atividades Micro'!$L235&lt;&gt;""),'Atividades Micro'!$L235,"")</f>
        <v/>
      </c>
      <c r="Q211" s="21" t="str">
        <f>IF(AND('Atividades Micro'!$B235=Q$2,'Atividades Micro'!$K235&lt;&gt;""),'Atividades Micro'!$K235,"")</f>
        <v/>
      </c>
      <c r="R211" s="21" t="str">
        <f>IF(AND('Atividades Micro'!$B235=R$2,'Atividades Micro'!$L235&lt;&gt;""),'Atividades Micro'!$L235,"")</f>
        <v/>
      </c>
      <c r="S211" s="21" t="str">
        <f>IF(AND('Atividades Micro'!$A235=S$2,'Atividades Micro'!$K235&lt;&gt;""),'Atividades Micro'!$K235,"")</f>
        <v/>
      </c>
      <c r="T211" s="21" t="str">
        <f>IF(AND('Atividades Micro'!$A235=T$2,'Atividades Micro'!$L235&lt;&gt;""),'Atividades Micro'!$L235,"")</f>
        <v/>
      </c>
      <c r="U211" s="21" t="str">
        <f>IF(AND('Atividades Micro'!$B235=U$2,'Atividades Micro'!$K235&lt;&gt;""),'Atividades Micro'!$K235,"")</f>
        <v/>
      </c>
      <c r="V211" s="21" t="str">
        <f>IF(AND('Atividades Micro'!$B235=V$2,'Atividades Micro'!$L235&lt;&gt;""),'Atividades Micro'!$L235,"")</f>
        <v/>
      </c>
      <c r="W211" s="21" t="str">
        <f>IF(AND('Atividades Micro'!$B235=W$2,'Atividades Micro'!$K235&lt;&gt;""),'Atividades Micro'!$K235,"")</f>
        <v/>
      </c>
      <c r="X211" s="21" t="str">
        <f>IF(AND('Atividades Micro'!$B235=X$2,'Atividades Micro'!$L235&lt;&gt;""),'Atividades Micro'!$L235,"")</f>
        <v/>
      </c>
      <c r="Y211" s="21" t="str">
        <f>IF(AND('Atividades Micro'!$A235=Y$2,'Atividades Micro'!$K235&lt;&gt;""),'Atividades Micro'!$K235,"")</f>
        <v/>
      </c>
      <c r="Z211" s="21" t="str">
        <f>IF(AND('Atividades Micro'!$A235=Z$2,'Atividades Micro'!$L235&lt;&gt;""),'Atividades Micro'!$L235,"")</f>
        <v/>
      </c>
      <c r="AA211" s="21" t="str">
        <f>IF(AND('Atividades Micro'!$B235=AA$2,'Atividades Micro'!$K235&lt;&gt;""),'Atividades Micro'!$K235,"")</f>
        <v/>
      </c>
      <c r="AB211" s="21" t="str">
        <f>IF(AND('Atividades Micro'!$B235=AB$2,'Atividades Micro'!$L235&lt;&gt;""),'Atividades Micro'!$L235,"")</f>
        <v/>
      </c>
      <c r="AC211" s="21" t="str">
        <f>IF(AND('Atividades Micro'!$B235=AC$2,'Atividades Micro'!$K235&lt;&gt;""),'Atividades Micro'!$K235,"")</f>
        <v/>
      </c>
      <c r="AD211" s="21" t="str">
        <f>IF(AND('Atividades Micro'!$B235=AD$2,'Atividades Micro'!$L235&lt;&gt;""),'Atividades Micro'!$L235,"")</f>
        <v/>
      </c>
      <c r="AE211" s="21">
        <f>IF(AND('Atividades Micro'!$A235=AE$2,'Atividades Micro'!$K235&lt;&gt;""),'Atividades Micro'!$K235,"")</f>
        <v>46344</v>
      </c>
      <c r="AF211" s="21">
        <f>IF(AND('Atividades Micro'!$A235=AF$2,'Atividades Micro'!$L235&lt;&gt;""),'Atividades Micro'!$L235,"")</f>
        <v>46309</v>
      </c>
      <c r="AG211" s="21">
        <f>IF(AND('Atividades Micro'!$B235=AG$2,'Atividades Micro'!$K235&lt;&gt;""),'Atividades Micro'!$K235,"")</f>
        <v>46344</v>
      </c>
      <c r="AH211" s="21">
        <f>IF(AND('Atividades Micro'!$B235=AH$2,'Atividades Micro'!$L235&lt;&gt;""),'Atividades Micro'!$L235,"")</f>
        <v>46309</v>
      </c>
      <c r="AI211" s="21" t="str">
        <f>IF(AND('Atividades Micro'!$B235=AI$2,'Atividades Micro'!$K235&lt;&gt;""),'Atividades Micro'!$K235,"")</f>
        <v/>
      </c>
      <c r="AJ211" s="21" t="str">
        <f>IF(AND('Atividades Micro'!$B235=AJ$2,'Atividades Micro'!$L235&lt;&gt;""),'Atividades Micro'!$L235,"")</f>
        <v/>
      </c>
      <c r="AK211" s="21" t="str">
        <f>IF(AND('Atividades Micro'!$A235=AK$2,'Atividades Micro'!$K235&lt;&gt;""),'Atividades Micro'!$K235,"")</f>
        <v/>
      </c>
      <c r="AL211" s="21" t="str">
        <f>IF(AND('Atividades Micro'!$A235=AL$2,'Atividades Micro'!$L235&lt;&gt;""),'Atividades Micro'!$L235,"")</f>
        <v/>
      </c>
      <c r="AM211" s="21" t="str">
        <f>IF(AND('Atividades Micro'!$B235=AM$2,'Atividades Micro'!$K235&lt;&gt;""),'Atividades Micro'!$K235,"")</f>
        <v/>
      </c>
      <c r="AN211" s="21" t="str">
        <f>IF(AND('Atividades Micro'!$B235=AN$2,'Atividades Micro'!$L235&lt;&gt;""),'Atividades Micro'!$L235,"")</f>
        <v/>
      </c>
      <c r="AO211" s="21" t="str">
        <f>IF(AND('Atividades Micro'!$B235=AO$2,'Atividades Micro'!$K235&lt;&gt;""),'Atividades Micro'!$K235,"")</f>
        <v/>
      </c>
      <c r="AP211" s="21" t="str">
        <f>IF(AND('Atividades Micro'!$B235=AP$2,'Atividades Micro'!$L235&lt;&gt;""),'Atividades Micro'!$L235,"")</f>
        <v/>
      </c>
      <c r="AQ211" s="21" t="str">
        <f>IF(AND('Atividades Micro'!$A235=AQ$2,'Atividades Micro'!$K235&lt;&gt;""),'Atividades Micro'!$K235,"")</f>
        <v/>
      </c>
      <c r="AR211" s="21" t="str">
        <f>IF(AND('Atividades Micro'!$A235=AR$2,'Atividades Micro'!$L235&lt;&gt;""),'Atividades Micro'!$L235,"")</f>
        <v/>
      </c>
      <c r="AS211" s="21" t="str">
        <f>IF(AND('Atividades Micro'!$B235=AS$2,'Atividades Micro'!$K235&lt;&gt;""),'Atividades Micro'!$K235,"")</f>
        <v/>
      </c>
      <c r="AT211" s="21" t="str">
        <f>IF(AND('Atividades Micro'!$B235=AT$2,'Atividades Micro'!$L235&lt;&gt;""),'Atividades Micro'!$L235,"")</f>
        <v/>
      </c>
      <c r="AU211" s="21" t="str">
        <f>IF(AND('Atividades Micro'!$A235=AU$2,'Atividades Micro'!$K235&lt;&gt;""),'Atividades Micro'!$K235,"")</f>
        <v/>
      </c>
      <c r="AV211" s="21" t="str">
        <f>IF(AND('Atividades Micro'!$A235=AV$2,'Atividades Micro'!$L235&lt;&gt;""),'Atividades Micro'!$L235,"")</f>
        <v/>
      </c>
      <c r="AW211" s="21" t="str">
        <f>IF(AND('Atividades Micro'!$B235=AW$2,'Atividades Micro'!$K235&lt;&gt;""),'Atividades Micro'!$K235,"")</f>
        <v/>
      </c>
      <c r="AX211" s="21" t="str">
        <f>IF(AND('Atividades Micro'!$B235=AX$2,'Atividades Micro'!$L235&lt;&gt;""),'Atividades Micro'!$L235,"")</f>
        <v/>
      </c>
      <c r="AY211" s="21" t="str">
        <f>IF(AND('Atividades Micro'!$A235=AY$2,'Atividades Micro'!$K235&lt;&gt;""),'Atividades Micro'!$K235,"")</f>
        <v/>
      </c>
      <c r="AZ211" s="21" t="str">
        <f>IF(AND('Atividades Micro'!$A235=AZ$2,'Atividades Micro'!$L235&lt;&gt;""),'Atividades Micro'!$L235,"")</f>
        <v/>
      </c>
      <c r="BA211" s="21" t="str">
        <f>IF(AND('Atividades Micro'!$B235=BA$2,'Atividades Micro'!$K235&lt;&gt;""),'Atividades Micro'!$K235,"")</f>
        <v/>
      </c>
      <c r="BB211" s="21" t="str">
        <f>IF(AND('Atividades Micro'!$B235=BB$2,'Atividades Micro'!$L235&lt;&gt;""),'Atividades Micro'!$L235,"")</f>
        <v/>
      </c>
      <c r="BC211" s="21" t="str">
        <f>IF(AND('Atividades Micro'!$B235=BC$2,'Atividades Micro'!$G235="Macro",'Atividades Micro'!$K235&lt;&gt;""),'Atividades Micro'!$K235,"")</f>
        <v/>
      </c>
      <c r="BD211" s="21" t="str">
        <f>IF(AND('Atividades Micro'!$B235=BD$2,'Atividades Micro'!$G235="Macro",'Atividades Micro'!$K235&lt;&gt;""),'Atividades Micro'!$K235,"")</f>
        <v/>
      </c>
      <c r="BE211" s="21" t="str">
        <f>IF(AND('Atividades Micro'!$B235=BE$2,'Atividades Micro'!$G235="Macro",'Atividades Micro'!$K235&lt;&gt;""),'Atividades Micro'!$K235,"")</f>
        <v/>
      </c>
      <c r="BF211" s="21" t="str">
        <f>IF(AND('Atividades Micro'!$B235=BF$2,'Atividades Micro'!$G235="Macro",'Atividades Micro'!$K235&lt;&gt;""),'Atividades Micro'!$K235,"")</f>
        <v/>
      </c>
      <c r="BG211" s="21" t="str">
        <f>IF(AND('Atividades Micro'!$B235=BG$2,'Atividades Micro'!$G235="Macro",'Atividades Micro'!$K235&lt;&gt;""),'Atividades Micro'!$K235,"")</f>
        <v/>
      </c>
      <c r="BH211" s="21" t="str">
        <f>IF(AND('Atividades Micro'!$B235=BH$2,'Atividades Micro'!$G235="Macro",'Atividades Micro'!$K235&lt;&gt;""),'Atividades Micro'!$K235,"")</f>
        <v/>
      </c>
      <c r="BI211" s="21" t="str">
        <f>IF(AND('Atividades Micro'!$B235=BI$2,'Atividades Micro'!$G235="Macro",'Atividades Micro'!$K235&lt;&gt;""),'Atividades Micro'!$K235,"")</f>
        <v/>
      </c>
      <c r="BJ211" s="21" t="str">
        <f>IF(AND('Atividades Micro'!$B235=BJ$2,'Atividades Micro'!$G235="Macro",'Atividades Micro'!$K235&lt;&gt;""),'Atividades Micro'!$K235,"")</f>
        <v/>
      </c>
      <c r="BK211" s="21" t="str">
        <f>IF(AND('Atividades Micro'!$B235=BK$2,'Atividades Micro'!$G235="Macro",'Atividades Micro'!$K235&lt;&gt;""),'Atividades Micro'!$K235,"")</f>
        <v/>
      </c>
      <c r="BL211" s="21" t="str">
        <f>IF(AND('Atividades Micro'!$B235=BL$2,'Atividades Micro'!$G235="Macro",'Atividades Micro'!$K235&lt;&gt;""),'Atividades Micro'!$K235,"")</f>
        <v/>
      </c>
      <c r="BM211" s="21" t="str">
        <f>IF(AND('Atividades Micro'!$B235=BM$2,'Atividades Micro'!$G235="Macro",'Atividades Micro'!$K235&lt;&gt;""),'Atividades Micro'!$K235,"")</f>
        <v/>
      </c>
      <c r="BN211" s="21" t="str">
        <f>IF(AND('Atividades Micro'!$B235=BN$2,'Atividades Micro'!$G235="Macro",'Atividades Micro'!$K235&lt;&gt;""),'Atividades Micro'!$K235,"")</f>
        <v/>
      </c>
      <c r="BO211" s="21" t="str">
        <f>IF(AND('Atividades Micro'!$B235=BO$2,'Atividades Micro'!$G235="Macro",'Atividades Micro'!$K235&lt;&gt;""),'Atividades Micro'!$K235,"")</f>
        <v/>
      </c>
      <c r="BP211" s="21" t="str">
        <f>IF(AND('Atividades Micro'!$B235=BP$2,'Atividades Micro'!$G235="Macro",'Atividades Micro'!$K235&lt;&gt;""),'Atividades Micro'!$K235,"")</f>
        <v/>
      </c>
      <c r="BQ211" s="21" t="str">
        <f>IF(AND('Atividades Micro'!$B235=BQ$2,'Atividades Micro'!$G235="Macro",'Atividades Micro'!$K235&lt;&gt;""),'Atividades Micro'!$K235,"")</f>
        <v/>
      </c>
      <c r="BR211" s="21" t="str">
        <f>IF(AND('Atividades Micro'!$B235=BR$2,'Atividades Micro'!$G235="Macro",'Atividades Micro'!$K235&lt;&gt;""),'Atividades Micro'!$K235,"")</f>
        <v/>
      </c>
      <c r="BS211" s="21">
        <f>IF(AND('Atividades Micro'!$B235=BS$2,'Atividades Micro'!$G235="Macro",'Atividades Micro'!$K235&lt;&gt;""),'Atividades Micro'!$K235,"")</f>
        <v>46344</v>
      </c>
      <c r="BT211" s="21" t="str">
        <f>IF(AND('Atividades Micro'!$B235=BT$2,'Atividades Micro'!$G235="Macro",'Atividades Micro'!$K235&lt;&gt;""),'Atividades Micro'!$K235,"")</f>
        <v/>
      </c>
      <c r="BU211" s="21" t="str">
        <f>IF(AND('Atividades Micro'!$B235=BU$2,'Atividades Micro'!$G235="Macro",'Atividades Micro'!$K235&lt;&gt;""),'Atividades Micro'!$K235,"")</f>
        <v/>
      </c>
      <c r="BV211" s="21" t="str">
        <f>IF(AND('Atividades Micro'!$B235=BV$2,'Atividades Micro'!$G235="Macro",'Atividades Micro'!$K235&lt;&gt;""),'Atividades Micro'!$K235,"")</f>
        <v/>
      </c>
      <c r="BW211" s="21" t="str">
        <f>IF(AND('Atividades Micro'!$B235=BW$2,'Atividades Micro'!$G235="Macro",'Atividades Micro'!$K235&lt;&gt;""),'Atividades Micro'!$K235,"")</f>
        <v/>
      </c>
      <c r="BX211" s="21" t="str">
        <f>IF(AND('Atividades Micro'!$B235=BX$2,'Atividades Micro'!$G235="Macro",'Atividades Micro'!$K235&lt;&gt;""),'Atividades Micro'!$K235,"")</f>
        <v/>
      </c>
      <c r="BY211" s="21" t="str">
        <f>IF(AND('Atividades Micro'!$B235=BY$2,'Atividades Micro'!$G235="Macro",'Atividades Micro'!$K235&lt;&gt;""),'Atividades Micro'!$K235,"")</f>
        <v/>
      </c>
      <c r="BZ211" s="21" t="str">
        <f>IF(AND('Atividades Micro'!$B235=BZ$2,'Atividades Micro'!$G235="Macro",'Atividades Micro'!$K235&lt;&gt;""),'Atividades Micro'!$K235,"")</f>
        <v/>
      </c>
      <c r="CA211" s="21" t="str">
        <f>IF(AND('Atividades Micro'!$B235=CA$2,'Atividades Micro'!$G235="Macro",'Atividades Micro'!$K235&lt;&gt;""),'Atividades Micro'!$K235,"")</f>
        <v/>
      </c>
      <c r="CB211" s="21" t="str">
        <f>IF(AND('Atividades Micro'!$B235=CB$2,'Atividades Micro'!$G235="Macro",'Atividades Micro'!$K235&lt;&gt;""),'Atividades Micro'!$K235,"")</f>
        <v/>
      </c>
      <c r="CC211" s="21" t="str">
        <f>IF(AND('Atividades Micro'!$B235=CC$2,'Atividades Micro'!$G235="Macro",'Atividades Micro'!$K235&lt;&gt;""),'Atividades Micro'!$K235,"")</f>
        <v/>
      </c>
      <c r="CD211" s="21" t="str">
        <f>IF(AND('Atividades Micro'!$B235=CD$2,'Atividades Micro'!$G235="Micro",'Atividades Micro'!$K235&lt;&gt;""),'Atividades Micro'!$K235,"")</f>
        <v/>
      </c>
      <c r="CE211" s="21" t="str">
        <f>IF(AND('Atividades Micro'!$B235=CE$2,'Atividades Micro'!$G235="Micro",'Atividades Micro'!$K235&lt;&gt;""),'Atividades Micro'!$K235,"")</f>
        <v/>
      </c>
      <c r="CF211" s="21" t="str">
        <f>IF(AND('Atividades Micro'!$B235=CF$2,'Atividades Micro'!$G235="Micro",'Atividades Micro'!$K235&lt;&gt;""),'Atividades Micro'!$K235,"")</f>
        <v/>
      </c>
      <c r="CG211" s="21" t="str">
        <f>IF(AND('Atividades Micro'!$B235=CG$2,'Atividades Micro'!$G235="Micro",'Atividades Micro'!$K235&lt;&gt;""),'Atividades Micro'!$K235,"")</f>
        <v/>
      </c>
      <c r="CH211" s="21" t="str">
        <f>IF(AND('Atividades Micro'!$B235=CH$2,'Atividades Micro'!$G235="Micro",'Atividades Micro'!$K235&lt;&gt;""),'Atividades Micro'!$K235,"")</f>
        <v/>
      </c>
      <c r="CI211" s="21" t="str">
        <f>IF(AND('Atividades Micro'!$B235=CI$2,'Atividades Micro'!$G235="Micro",'Atividades Micro'!$K235&lt;&gt;""),'Atividades Micro'!$K235,"")</f>
        <v/>
      </c>
      <c r="CJ211" s="21" t="str">
        <f>IF(AND('Atividades Micro'!$B235=CJ$2,'Atividades Micro'!$G235="Micro",'Atividades Micro'!$K235&lt;&gt;""),'Atividades Micro'!$K235,"")</f>
        <v/>
      </c>
      <c r="CK211" s="21" t="str">
        <f>IF(AND('Atividades Micro'!$B235=CK$2,'Atividades Micro'!$G235="Micro",'Atividades Micro'!$K235&lt;&gt;""),'Atividades Micro'!$K235,"")</f>
        <v/>
      </c>
      <c r="CL211" s="21" t="str">
        <f>IF(AND('Atividades Micro'!$B235=CL$2,'Atividades Micro'!$G235="Micro",'Atividades Micro'!$K235&lt;&gt;""),'Atividades Micro'!$K235,"")</f>
        <v/>
      </c>
      <c r="CM211" s="21" t="str">
        <f>IF(AND('Atividades Micro'!$B235=CM$2,'Atividades Micro'!$G235="Micro",'Atividades Micro'!$K235&lt;&gt;""),'Atividades Micro'!$K235,"")</f>
        <v/>
      </c>
      <c r="CN211" s="21" t="str">
        <f>IF(AND('Atividades Micro'!$B235=CN$2,'Atividades Micro'!$G235="Micro",'Atividades Micro'!$K235&lt;&gt;""),'Atividades Micro'!$K235,"")</f>
        <v/>
      </c>
      <c r="CO211" s="21" t="str">
        <f>IF(AND('Atividades Micro'!$B235=CO$2,'Atividades Micro'!$G235="Micro",'Atividades Micro'!$K235&lt;&gt;""),'Atividades Micro'!$K235,"")</f>
        <v/>
      </c>
    </row>
    <row r="212" spans="1:93">
      <c r="A212" s="21" t="str">
        <f>IF(AND('Atividades Micro'!$A236=A$2,'Atividades Micro'!$K236&lt;&gt;""),'Atividades Micro'!$K236,"")</f>
        <v/>
      </c>
      <c r="B212" s="21" t="str">
        <f>IF(AND('Atividades Micro'!$A236=B$2,'Atividades Micro'!$L236&lt;&gt;""),'Atividades Micro'!$L236,"")</f>
        <v/>
      </c>
      <c r="C212" s="21" t="str">
        <f>IF(AND('Atividades Micro'!$A236=C$2,'Atividades Micro'!$K236&lt;&gt;""),'Atividades Micro'!$K236,"")</f>
        <v/>
      </c>
      <c r="D212" s="21" t="str">
        <f>IF(AND('Atividades Micro'!$A236=D$2,'Atividades Micro'!$L236&lt;&gt;""),'Atividades Micro'!$L236,"")</f>
        <v/>
      </c>
      <c r="E212" s="21" t="str">
        <f>IF(AND('Atividades Micro'!$A236=E$2,'Atividades Micro'!$K236&lt;&gt;""),'Atividades Micro'!$K236,"")</f>
        <v/>
      </c>
      <c r="F212" s="21" t="str">
        <f>IF(AND('Atividades Micro'!$A236=F$2,'Atividades Micro'!$L236&lt;&gt;""),'Atividades Micro'!$L236,"")</f>
        <v/>
      </c>
      <c r="G212" s="21" t="str">
        <f>IF(AND('Atividades Micro'!$A236=G$2,'Atividades Micro'!$K236&lt;&gt;""),'Atividades Micro'!$K236,"")</f>
        <v/>
      </c>
      <c r="H212" s="21" t="str">
        <f>IF(AND('Atividades Micro'!$A236=H$2,'Atividades Micro'!$L236&lt;&gt;""),'Atividades Micro'!$L236,"")</f>
        <v/>
      </c>
      <c r="I212" s="21" t="str">
        <f>IF(AND('Atividades Micro'!$A236=I$2,'Atividades Micro'!$K236&lt;&gt;""),'Atividades Micro'!$K236,"")</f>
        <v/>
      </c>
      <c r="J212" s="21" t="str">
        <f>IF(AND('Atividades Micro'!$A236=J$2,'Atividades Micro'!$L236&lt;&gt;""),'Atividades Micro'!$L236,"")</f>
        <v/>
      </c>
      <c r="K212" s="21" t="str">
        <f>IF(AND('Atividades Micro'!$B236=K$2,'Atividades Micro'!$K236&lt;&gt;""),'Atividades Micro'!$K236,"")</f>
        <v/>
      </c>
      <c r="L212" s="21" t="str">
        <f>IF(AND('Atividades Micro'!$B236=L$2,'Atividades Micro'!$L236&lt;&gt;""),'Atividades Micro'!$L236,"")</f>
        <v/>
      </c>
      <c r="M212" s="21" t="str">
        <f>IF(AND('Atividades Micro'!$B236=M$2,'Atividades Micro'!$K236&lt;&gt;""),'Atividades Micro'!$K236,"")</f>
        <v/>
      </c>
      <c r="N212" s="21" t="str">
        <f>IF(AND('Atividades Micro'!$B236=N$2,'Atividades Micro'!$L236&lt;&gt;""),'Atividades Micro'!$L236,"")</f>
        <v/>
      </c>
      <c r="O212" s="21" t="str">
        <f>IF(AND('Atividades Micro'!$A236=O$2,'Atividades Micro'!$K236&lt;&gt;""),'Atividades Micro'!$K236,"")</f>
        <v/>
      </c>
      <c r="P212" s="21" t="str">
        <f>IF(AND('Atividades Micro'!$A236=P$2,'Atividades Micro'!$L236&lt;&gt;""),'Atividades Micro'!$L236,"")</f>
        <v/>
      </c>
      <c r="Q212" s="21" t="str">
        <f>IF(AND('Atividades Micro'!$B236=Q$2,'Atividades Micro'!$K236&lt;&gt;""),'Atividades Micro'!$K236,"")</f>
        <v/>
      </c>
      <c r="R212" s="21" t="str">
        <f>IF(AND('Atividades Micro'!$B236=R$2,'Atividades Micro'!$L236&lt;&gt;""),'Atividades Micro'!$L236,"")</f>
        <v/>
      </c>
      <c r="S212" s="21" t="str">
        <f>IF(AND('Atividades Micro'!$A236=S$2,'Atividades Micro'!$K236&lt;&gt;""),'Atividades Micro'!$K236,"")</f>
        <v/>
      </c>
      <c r="T212" s="21" t="str">
        <f>IF(AND('Atividades Micro'!$A236=T$2,'Atividades Micro'!$L236&lt;&gt;""),'Atividades Micro'!$L236,"")</f>
        <v/>
      </c>
      <c r="U212" s="21" t="str">
        <f>IF(AND('Atividades Micro'!$B236=U$2,'Atividades Micro'!$K236&lt;&gt;""),'Atividades Micro'!$K236,"")</f>
        <v/>
      </c>
      <c r="V212" s="21" t="str">
        <f>IF(AND('Atividades Micro'!$B236=V$2,'Atividades Micro'!$L236&lt;&gt;""),'Atividades Micro'!$L236,"")</f>
        <v/>
      </c>
      <c r="W212" s="21" t="str">
        <f>IF(AND('Atividades Micro'!$B236=W$2,'Atividades Micro'!$K236&lt;&gt;""),'Atividades Micro'!$K236,"")</f>
        <v/>
      </c>
      <c r="X212" s="21" t="str">
        <f>IF(AND('Atividades Micro'!$B236=X$2,'Atividades Micro'!$L236&lt;&gt;""),'Atividades Micro'!$L236,"")</f>
        <v/>
      </c>
      <c r="Y212" s="21" t="str">
        <f>IF(AND('Atividades Micro'!$A236=Y$2,'Atividades Micro'!$K236&lt;&gt;""),'Atividades Micro'!$K236,"")</f>
        <v/>
      </c>
      <c r="Z212" s="21" t="str">
        <f>IF(AND('Atividades Micro'!$A236=Z$2,'Atividades Micro'!$L236&lt;&gt;""),'Atividades Micro'!$L236,"")</f>
        <v/>
      </c>
      <c r="AA212" s="21" t="str">
        <f>IF(AND('Atividades Micro'!$B236=AA$2,'Atividades Micro'!$K236&lt;&gt;""),'Atividades Micro'!$K236,"")</f>
        <v/>
      </c>
      <c r="AB212" s="21" t="str">
        <f>IF(AND('Atividades Micro'!$B236=AB$2,'Atividades Micro'!$L236&lt;&gt;""),'Atividades Micro'!$L236,"")</f>
        <v/>
      </c>
      <c r="AC212" s="21" t="str">
        <f>IF(AND('Atividades Micro'!$B236=AC$2,'Atividades Micro'!$K236&lt;&gt;""),'Atividades Micro'!$K236,"")</f>
        <v/>
      </c>
      <c r="AD212" s="21" t="str">
        <f>IF(AND('Atividades Micro'!$B236=AD$2,'Atividades Micro'!$L236&lt;&gt;""),'Atividades Micro'!$L236,"")</f>
        <v/>
      </c>
      <c r="AE212" s="21">
        <f>IF(AND('Atividades Micro'!$A236=AE$2,'Atividades Micro'!$K236&lt;&gt;""),'Atividades Micro'!$K236,"")</f>
        <v>46321</v>
      </c>
      <c r="AF212" s="21">
        <f>IF(AND('Atividades Micro'!$A236=AF$2,'Atividades Micro'!$L236&lt;&gt;""),'Atividades Micro'!$L236,"")</f>
        <v>46279</v>
      </c>
      <c r="AG212" s="21">
        <f>IF(AND('Atividades Micro'!$B236=AG$2,'Atividades Micro'!$K236&lt;&gt;""),'Atividades Micro'!$K236,"")</f>
        <v>46321</v>
      </c>
      <c r="AH212" s="21">
        <f>IF(AND('Atividades Micro'!$B236=AH$2,'Atividades Micro'!$L236&lt;&gt;""),'Atividades Micro'!$L236,"")</f>
        <v>46279</v>
      </c>
      <c r="AI212" s="21" t="str">
        <f>IF(AND('Atividades Micro'!$B236=AI$2,'Atividades Micro'!$K236&lt;&gt;""),'Atividades Micro'!$K236,"")</f>
        <v/>
      </c>
      <c r="AJ212" s="21" t="str">
        <f>IF(AND('Atividades Micro'!$B236=AJ$2,'Atividades Micro'!$L236&lt;&gt;""),'Atividades Micro'!$L236,"")</f>
        <v/>
      </c>
      <c r="AK212" s="21" t="str">
        <f>IF(AND('Atividades Micro'!$A236=AK$2,'Atividades Micro'!$K236&lt;&gt;""),'Atividades Micro'!$K236,"")</f>
        <v/>
      </c>
      <c r="AL212" s="21" t="str">
        <f>IF(AND('Atividades Micro'!$A236=AL$2,'Atividades Micro'!$L236&lt;&gt;""),'Atividades Micro'!$L236,"")</f>
        <v/>
      </c>
      <c r="AM212" s="21" t="str">
        <f>IF(AND('Atividades Micro'!$B236=AM$2,'Atividades Micro'!$K236&lt;&gt;""),'Atividades Micro'!$K236,"")</f>
        <v/>
      </c>
      <c r="AN212" s="21" t="str">
        <f>IF(AND('Atividades Micro'!$B236=AN$2,'Atividades Micro'!$L236&lt;&gt;""),'Atividades Micro'!$L236,"")</f>
        <v/>
      </c>
      <c r="AO212" s="21" t="str">
        <f>IF(AND('Atividades Micro'!$B236=AO$2,'Atividades Micro'!$K236&lt;&gt;""),'Atividades Micro'!$K236,"")</f>
        <v/>
      </c>
      <c r="AP212" s="21" t="str">
        <f>IF(AND('Atividades Micro'!$B236=AP$2,'Atividades Micro'!$L236&lt;&gt;""),'Atividades Micro'!$L236,"")</f>
        <v/>
      </c>
      <c r="AQ212" s="21" t="str">
        <f>IF(AND('Atividades Micro'!$A236=AQ$2,'Atividades Micro'!$K236&lt;&gt;""),'Atividades Micro'!$K236,"")</f>
        <v/>
      </c>
      <c r="AR212" s="21" t="str">
        <f>IF(AND('Atividades Micro'!$A236=AR$2,'Atividades Micro'!$L236&lt;&gt;""),'Atividades Micro'!$L236,"")</f>
        <v/>
      </c>
      <c r="AS212" s="21" t="str">
        <f>IF(AND('Atividades Micro'!$B236=AS$2,'Atividades Micro'!$K236&lt;&gt;""),'Atividades Micro'!$K236,"")</f>
        <v/>
      </c>
      <c r="AT212" s="21" t="str">
        <f>IF(AND('Atividades Micro'!$B236=AT$2,'Atividades Micro'!$L236&lt;&gt;""),'Atividades Micro'!$L236,"")</f>
        <v/>
      </c>
      <c r="AU212" s="21" t="str">
        <f>IF(AND('Atividades Micro'!$A236=AU$2,'Atividades Micro'!$K236&lt;&gt;""),'Atividades Micro'!$K236,"")</f>
        <v/>
      </c>
      <c r="AV212" s="21" t="str">
        <f>IF(AND('Atividades Micro'!$A236=AV$2,'Atividades Micro'!$L236&lt;&gt;""),'Atividades Micro'!$L236,"")</f>
        <v/>
      </c>
      <c r="AW212" s="21" t="str">
        <f>IF(AND('Atividades Micro'!$B236=AW$2,'Atividades Micro'!$K236&lt;&gt;""),'Atividades Micro'!$K236,"")</f>
        <v/>
      </c>
      <c r="AX212" s="21" t="str">
        <f>IF(AND('Atividades Micro'!$B236=AX$2,'Atividades Micro'!$L236&lt;&gt;""),'Atividades Micro'!$L236,"")</f>
        <v/>
      </c>
      <c r="AY212" s="21" t="str">
        <f>IF(AND('Atividades Micro'!$A236=AY$2,'Atividades Micro'!$K236&lt;&gt;""),'Atividades Micro'!$K236,"")</f>
        <v/>
      </c>
      <c r="AZ212" s="21" t="str">
        <f>IF(AND('Atividades Micro'!$A236=AZ$2,'Atividades Micro'!$L236&lt;&gt;""),'Atividades Micro'!$L236,"")</f>
        <v/>
      </c>
      <c r="BA212" s="21" t="str">
        <f>IF(AND('Atividades Micro'!$B236=BA$2,'Atividades Micro'!$K236&lt;&gt;""),'Atividades Micro'!$K236,"")</f>
        <v/>
      </c>
      <c r="BB212" s="21" t="str">
        <f>IF(AND('Atividades Micro'!$B236=BB$2,'Atividades Micro'!$L236&lt;&gt;""),'Atividades Micro'!$L236,"")</f>
        <v/>
      </c>
      <c r="BC212" s="21" t="str">
        <f>IF(AND('Atividades Micro'!$B236=BC$2,'Atividades Micro'!$G236="Macro",'Atividades Micro'!$K236&lt;&gt;""),'Atividades Micro'!$K236,"")</f>
        <v/>
      </c>
      <c r="BD212" s="21" t="str">
        <f>IF(AND('Atividades Micro'!$B236=BD$2,'Atividades Micro'!$G236="Macro",'Atividades Micro'!$K236&lt;&gt;""),'Atividades Micro'!$K236,"")</f>
        <v/>
      </c>
      <c r="BE212" s="21" t="str">
        <f>IF(AND('Atividades Micro'!$B236=BE$2,'Atividades Micro'!$G236="Macro",'Atividades Micro'!$K236&lt;&gt;""),'Atividades Micro'!$K236,"")</f>
        <v/>
      </c>
      <c r="BF212" s="21" t="str">
        <f>IF(AND('Atividades Micro'!$B236=BF$2,'Atividades Micro'!$G236="Macro",'Atividades Micro'!$K236&lt;&gt;""),'Atividades Micro'!$K236,"")</f>
        <v/>
      </c>
      <c r="BG212" s="21" t="str">
        <f>IF(AND('Atividades Micro'!$B236=BG$2,'Atividades Micro'!$G236="Macro",'Atividades Micro'!$K236&lt;&gt;""),'Atividades Micro'!$K236,"")</f>
        <v/>
      </c>
      <c r="BH212" s="21" t="str">
        <f>IF(AND('Atividades Micro'!$B236=BH$2,'Atividades Micro'!$G236="Macro",'Atividades Micro'!$K236&lt;&gt;""),'Atividades Micro'!$K236,"")</f>
        <v/>
      </c>
      <c r="BI212" s="21" t="str">
        <f>IF(AND('Atividades Micro'!$B236=BI$2,'Atividades Micro'!$G236="Macro",'Atividades Micro'!$K236&lt;&gt;""),'Atividades Micro'!$K236,"")</f>
        <v/>
      </c>
      <c r="BJ212" s="21" t="str">
        <f>IF(AND('Atividades Micro'!$B236=BJ$2,'Atividades Micro'!$G236="Macro",'Atividades Micro'!$K236&lt;&gt;""),'Atividades Micro'!$K236,"")</f>
        <v/>
      </c>
      <c r="BK212" s="21" t="str">
        <f>IF(AND('Atividades Micro'!$B236=BK$2,'Atividades Micro'!$G236="Macro",'Atividades Micro'!$K236&lt;&gt;""),'Atividades Micro'!$K236,"")</f>
        <v/>
      </c>
      <c r="BL212" s="21" t="str">
        <f>IF(AND('Atividades Micro'!$B236=BL$2,'Atividades Micro'!$G236="Macro",'Atividades Micro'!$K236&lt;&gt;""),'Atividades Micro'!$K236,"")</f>
        <v/>
      </c>
      <c r="BM212" s="21" t="str">
        <f>IF(AND('Atividades Micro'!$B236=BM$2,'Atividades Micro'!$G236="Macro",'Atividades Micro'!$K236&lt;&gt;""),'Atividades Micro'!$K236,"")</f>
        <v/>
      </c>
      <c r="BN212" s="21" t="str">
        <f>IF(AND('Atividades Micro'!$B236=BN$2,'Atividades Micro'!$G236="Macro",'Atividades Micro'!$K236&lt;&gt;""),'Atividades Micro'!$K236,"")</f>
        <v/>
      </c>
      <c r="BO212" s="21" t="str">
        <f>IF(AND('Atividades Micro'!$B236=BO$2,'Atividades Micro'!$G236="Macro",'Atividades Micro'!$K236&lt;&gt;""),'Atividades Micro'!$K236,"")</f>
        <v/>
      </c>
      <c r="BP212" s="21" t="str">
        <f>IF(AND('Atividades Micro'!$B236=BP$2,'Atividades Micro'!$G236="Macro",'Atividades Micro'!$K236&lt;&gt;""),'Atividades Micro'!$K236,"")</f>
        <v/>
      </c>
      <c r="BQ212" s="21" t="str">
        <f>IF(AND('Atividades Micro'!$B236=BQ$2,'Atividades Micro'!$G236="Macro",'Atividades Micro'!$K236&lt;&gt;""),'Atividades Micro'!$K236,"")</f>
        <v/>
      </c>
      <c r="BR212" s="21" t="str">
        <f>IF(AND('Atividades Micro'!$B236=BR$2,'Atividades Micro'!$G236="Macro",'Atividades Micro'!$K236&lt;&gt;""),'Atividades Micro'!$K236,"")</f>
        <v/>
      </c>
      <c r="BS212" s="21" t="str">
        <f>IF(AND('Atividades Micro'!$B236=BS$2,'Atividades Micro'!$G236="Macro",'Atividades Micro'!$K236&lt;&gt;""),'Atividades Micro'!$K236,"")</f>
        <v/>
      </c>
      <c r="BT212" s="21" t="str">
        <f>IF(AND('Atividades Micro'!$B236=BT$2,'Atividades Micro'!$G236="Macro",'Atividades Micro'!$K236&lt;&gt;""),'Atividades Micro'!$K236,"")</f>
        <v/>
      </c>
      <c r="BU212" s="21" t="str">
        <f>IF(AND('Atividades Micro'!$B236=BU$2,'Atividades Micro'!$G236="Macro",'Atividades Micro'!$K236&lt;&gt;""),'Atividades Micro'!$K236,"")</f>
        <v/>
      </c>
      <c r="BV212" s="21" t="str">
        <f>IF(AND('Atividades Micro'!$B236=BV$2,'Atividades Micro'!$G236="Macro",'Atividades Micro'!$K236&lt;&gt;""),'Atividades Micro'!$K236,"")</f>
        <v/>
      </c>
      <c r="BW212" s="21" t="str">
        <f>IF(AND('Atividades Micro'!$B236=BW$2,'Atividades Micro'!$G236="Macro",'Atividades Micro'!$K236&lt;&gt;""),'Atividades Micro'!$K236,"")</f>
        <v/>
      </c>
      <c r="BX212" s="21" t="str">
        <f>IF(AND('Atividades Micro'!$B236=BX$2,'Atividades Micro'!$G236="Macro",'Atividades Micro'!$K236&lt;&gt;""),'Atividades Micro'!$K236,"")</f>
        <v/>
      </c>
      <c r="BY212" s="21" t="str">
        <f>IF(AND('Atividades Micro'!$B236=BY$2,'Atividades Micro'!$G236="Macro",'Atividades Micro'!$K236&lt;&gt;""),'Atividades Micro'!$K236,"")</f>
        <v/>
      </c>
      <c r="BZ212" s="21" t="str">
        <f>IF(AND('Atividades Micro'!$B236=BZ$2,'Atividades Micro'!$G236="Macro",'Atividades Micro'!$K236&lt;&gt;""),'Atividades Micro'!$K236,"")</f>
        <v/>
      </c>
      <c r="CA212" s="21" t="str">
        <f>IF(AND('Atividades Micro'!$B236=CA$2,'Atividades Micro'!$G236="Macro",'Atividades Micro'!$K236&lt;&gt;""),'Atividades Micro'!$K236,"")</f>
        <v/>
      </c>
      <c r="CB212" s="21" t="str">
        <f>IF(AND('Atividades Micro'!$B236=CB$2,'Atividades Micro'!$G236="Macro",'Atividades Micro'!$K236&lt;&gt;""),'Atividades Micro'!$K236,"")</f>
        <v/>
      </c>
      <c r="CC212" s="21" t="str">
        <f>IF(AND('Atividades Micro'!$B236=CC$2,'Atividades Micro'!$G236="Macro",'Atividades Micro'!$K236&lt;&gt;""),'Atividades Micro'!$K236,"")</f>
        <v/>
      </c>
      <c r="CD212" s="21" t="str">
        <f>IF(AND('Atividades Micro'!$B236=CD$2,'Atividades Micro'!$G236="Micro",'Atividades Micro'!$K236&lt;&gt;""),'Atividades Micro'!$K236,"")</f>
        <v/>
      </c>
      <c r="CE212" s="21" t="str">
        <f>IF(AND('Atividades Micro'!$B236=CE$2,'Atividades Micro'!$G236="Micro",'Atividades Micro'!$K236&lt;&gt;""),'Atividades Micro'!$K236,"")</f>
        <v/>
      </c>
      <c r="CF212" s="21" t="str">
        <f>IF(AND('Atividades Micro'!$B236=CF$2,'Atividades Micro'!$G236="Micro",'Atividades Micro'!$K236&lt;&gt;""),'Atividades Micro'!$K236,"")</f>
        <v/>
      </c>
      <c r="CG212" s="21" t="str">
        <f>IF(AND('Atividades Micro'!$B236=CG$2,'Atividades Micro'!$G236="Micro",'Atividades Micro'!$K236&lt;&gt;""),'Atividades Micro'!$K236,"")</f>
        <v/>
      </c>
      <c r="CH212" s="21" t="str">
        <f>IF(AND('Atividades Micro'!$B236=CH$2,'Atividades Micro'!$G236="Micro",'Atividades Micro'!$K236&lt;&gt;""),'Atividades Micro'!$K236,"")</f>
        <v/>
      </c>
      <c r="CI212" s="21" t="str">
        <f>IF(AND('Atividades Micro'!$B236=CI$2,'Atividades Micro'!$G236="Micro",'Atividades Micro'!$K236&lt;&gt;""),'Atividades Micro'!$K236,"")</f>
        <v/>
      </c>
      <c r="CJ212" s="21" t="str">
        <f>IF(AND('Atividades Micro'!$B236=CJ$2,'Atividades Micro'!$G236="Micro",'Atividades Micro'!$K236&lt;&gt;""),'Atividades Micro'!$K236,"")</f>
        <v/>
      </c>
      <c r="CK212" s="21">
        <f>IF(AND('Atividades Micro'!$B236=CK$2,'Atividades Micro'!$G236="Micro",'Atividades Micro'!$K236&lt;&gt;""),'Atividades Micro'!$K236,"")</f>
        <v>46321</v>
      </c>
      <c r="CL212" s="21" t="str">
        <f>IF(AND('Atividades Micro'!$B236=CL$2,'Atividades Micro'!$G236="Micro",'Atividades Micro'!$K236&lt;&gt;""),'Atividades Micro'!$K236,"")</f>
        <v/>
      </c>
      <c r="CM212" s="21" t="str">
        <f>IF(AND('Atividades Micro'!$B236=CM$2,'Atividades Micro'!$G236="Micro",'Atividades Micro'!$K236&lt;&gt;""),'Atividades Micro'!$K236,"")</f>
        <v/>
      </c>
      <c r="CN212" s="21" t="str">
        <f>IF(AND('Atividades Micro'!$B236=CN$2,'Atividades Micro'!$G236="Micro",'Atividades Micro'!$K236&lt;&gt;""),'Atividades Micro'!$K236,"")</f>
        <v/>
      </c>
      <c r="CO212" s="21" t="str">
        <f>IF(AND('Atividades Micro'!$B236=CO$2,'Atividades Micro'!$G236="Micro",'Atividades Micro'!$K236&lt;&gt;""),'Atividades Micro'!$K236,"")</f>
        <v/>
      </c>
    </row>
    <row r="213" spans="1:93">
      <c r="A213" s="21" t="str">
        <f>IF(AND('Atividades Micro'!$A237=A$2,'Atividades Micro'!$K237&lt;&gt;""),'Atividades Micro'!$K237,"")</f>
        <v/>
      </c>
      <c r="B213" s="21" t="str">
        <f>IF(AND('Atividades Micro'!$A237=B$2,'Atividades Micro'!$L237&lt;&gt;""),'Atividades Micro'!$L237,"")</f>
        <v/>
      </c>
      <c r="C213" s="21" t="str">
        <f>IF(AND('Atividades Micro'!$A237=C$2,'Atividades Micro'!$K237&lt;&gt;""),'Atividades Micro'!$K237,"")</f>
        <v/>
      </c>
      <c r="D213" s="21" t="str">
        <f>IF(AND('Atividades Micro'!$A237=D$2,'Atividades Micro'!$L237&lt;&gt;""),'Atividades Micro'!$L237,"")</f>
        <v/>
      </c>
      <c r="E213" s="21" t="str">
        <f>IF(AND('Atividades Micro'!$A237=E$2,'Atividades Micro'!$K237&lt;&gt;""),'Atividades Micro'!$K237,"")</f>
        <v/>
      </c>
      <c r="F213" s="21" t="str">
        <f>IF(AND('Atividades Micro'!$A237=F$2,'Atividades Micro'!$L237&lt;&gt;""),'Atividades Micro'!$L237,"")</f>
        <v/>
      </c>
      <c r="G213" s="21" t="str">
        <f>IF(AND('Atividades Micro'!$A237=G$2,'Atividades Micro'!$K237&lt;&gt;""),'Atividades Micro'!$K237,"")</f>
        <v/>
      </c>
      <c r="H213" s="21" t="str">
        <f>IF(AND('Atividades Micro'!$A237=H$2,'Atividades Micro'!$L237&lt;&gt;""),'Atividades Micro'!$L237,"")</f>
        <v/>
      </c>
      <c r="I213" s="21" t="str">
        <f>IF(AND('Atividades Micro'!$A237=I$2,'Atividades Micro'!$K237&lt;&gt;""),'Atividades Micro'!$K237,"")</f>
        <v/>
      </c>
      <c r="J213" s="21" t="str">
        <f>IF(AND('Atividades Micro'!$A237=J$2,'Atividades Micro'!$L237&lt;&gt;""),'Atividades Micro'!$L237,"")</f>
        <v/>
      </c>
      <c r="K213" s="21" t="str">
        <f>IF(AND('Atividades Micro'!$B237=K$2,'Atividades Micro'!$K237&lt;&gt;""),'Atividades Micro'!$K237,"")</f>
        <v/>
      </c>
      <c r="L213" s="21" t="str">
        <f>IF(AND('Atividades Micro'!$B237=L$2,'Atividades Micro'!$L237&lt;&gt;""),'Atividades Micro'!$L237,"")</f>
        <v/>
      </c>
      <c r="M213" s="21" t="str">
        <f>IF(AND('Atividades Micro'!$B237=M$2,'Atividades Micro'!$K237&lt;&gt;""),'Atividades Micro'!$K237,"")</f>
        <v/>
      </c>
      <c r="N213" s="21" t="str">
        <f>IF(AND('Atividades Micro'!$B237=N$2,'Atividades Micro'!$L237&lt;&gt;""),'Atividades Micro'!$L237,"")</f>
        <v/>
      </c>
      <c r="O213" s="21" t="str">
        <f>IF(AND('Atividades Micro'!$A237=O$2,'Atividades Micro'!$K237&lt;&gt;""),'Atividades Micro'!$K237,"")</f>
        <v/>
      </c>
      <c r="P213" s="21" t="str">
        <f>IF(AND('Atividades Micro'!$A237=P$2,'Atividades Micro'!$L237&lt;&gt;""),'Atividades Micro'!$L237,"")</f>
        <v/>
      </c>
      <c r="Q213" s="21" t="str">
        <f>IF(AND('Atividades Micro'!$B237=Q$2,'Atividades Micro'!$K237&lt;&gt;""),'Atividades Micro'!$K237,"")</f>
        <v/>
      </c>
      <c r="R213" s="21" t="str">
        <f>IF(AND('Atividades Micro'!$B237=R$2,'Atividades Micro'!$L237&lt;&gt;""),'Atividades Micro'!$L237,"")</f>
        <v/>
      </c>
      <c r="S213" s="21" t="str">
        <f>IF(AND('Atividades Micro'!$A237=S$2,'Atividades Micro'!$K237&lt;&gt;""),'Atividades Micro'!$K237,"")</f>
        <v/>
      </c>
      <c r="T213" s="21" t="str">
        <f>IF(AND('Atividades Micro'!$A237=T$2,'Atividades Micro'!$L237&lt;&gt;""),'Atividades Micro'!$L237,"")</f>
        <v/>
      </c>
      <c r="U213" s="21" t="str">
        <f>IF(AND('Atividades Micro'!$B237=U$2,'Atividades Micro'!$K237&lt;&gt;""),'Atividades Micro'!$K237,"")</f>
        <v/>
      </c>
      <c r="V213" s="21" t="str">
        <f>IF(AND('Atividades Micro'!$B237=V$2,'Atividades Micro'!$L237&lt;&gt;""),'Atividades Micro'!$L237,"")</f>
        <v/>
      </c>
      <c r="W213" s="21" t="str">
        <f>IF(AND('Atividades Micro'!$B237=W$2,'Atividades Micro'!$K237&lt;&gt;""),'Atividades Micro'!$K237,"")</f>
        <v/>
      </c>
      <c r="X213" s="21" t="str">
        <f>IF(AND('Atividades Micro'!$B237=X$2,'Atividades Micro'!$L237&lt;&gt;""),'Atividades Micro'!$L237,"")</f>
        <v/>
      </c>
      <c r="Y213" s="21" t="str">
        <f>IF(AND('Atividades Micro'!$A237=Y$2,'Atividades Micro'!$K237&lt;&gt;""),'Atividades Micro'!$K237,"")</f>
        <v/>
      </c>
      <c r="Z213" s="21" t="str">
        <f>IF(AND('Atividades Micro'!$A237=Z$2,'Atividades Micro'!$L237&lt;&gt;""),'Atividades Micro'!$L237,"")</f>
        <v/>
      </c>
      <c r="AA213" s="21" t="str">
        <f>IF(AND('Atividades Micro'!$B237=AA$2,'Atividades Micro'!$K237&lt;&gt;""),'Atividades Micro'!$K237,"")</f>
        <v/>
      </c>
      <c r="AB213" s="21" t="str">
        <f>IF(AND('Atividades Micro'!$B237=AB$2,'Atividades Micro'!$L237&lt;&gt;""),'Atividades Micro'!$L237,"")</f>
        <v/>
      </c>
      <c r="AC213" s="21" t="str">
        <f>IF(AND('Atividades Micro'!$B237=AC$2,'Atividades Micro'!$K237&lt;&gt;""),'Atividades Micro'!$K237,"")</f>
        <v/>
      </c>
      <c r="AD213" s="21" t="str">
        <f>IF(AND('Atividades Micro'!$B237=AD$2,'Atividades Micro'!$L237&lt;&gt;""),'Atividades Micro'!$L237,"")</f>
        <v/>
      </c>
      <c r="AE213" s="21">
        <f>IF(AND('Atividades Micro'!$A237=AE$2,'Atividades Micro'!$K237&lt;&gt;""),'Atividades Micro'!$K237,"")</f>
        <v>46344</v>
      </c>
      <c r="AF213" s="21">
        <f>IF(AND('Atividades Micro'!$A237=AF$2,'Atividades Micro'!$L237&lt;&gt;""),'Atividades Micro'!$L237,"")</f>
        <v>46309</v>
      </c>
      <c r="AG213" s="21">
        <f>IF(AND('Atividades Micro'!$B237=AG$2,'Atividades Micro'!$K237&lt;&gt;""),'Atividades Micro'!$K237,"")</f>
        <v>46344</v>
      </c>
      <c r="AH213" s="21">
        <f>IF(AND('Atividades Micro'!$B237=AH$2,'Atividades Micro'!$L237&lt;&gt;""),'Atividades Micro'!$L237,"")</f>
        <v>46309</v>
      </c>
      <c r="AI213" s="21" t="str">
        <f>IF(AND('Atividades Micro'!$B237=AI$2,'Atividades Micro'!$K237&lt;&gt;""),'Atividades Micro'!$K237,"")</f>
        <v/>
      </c>
      <c r="AJ213" s="21" t="str">
        <f>IF(AND('Atividades Micro'!$B237=AJ$2,'Atividades Micro'!$L237&lt;&gt;""),'Atividades Micro'!$L237,"")</f>
        <v/>
      </c>
      <c r="AK213" s="21" t="str">
        <f>IF(AND('Atividades Micro'!$A237=AK$2,'Atividades Micro'!$K237&lt;&gt;""),'Atividades Micro'!$K237,"")</f>
        <v/>
      </c>
      <c r="AL213" s="21" t="str">
        <f>IF(AND('Atividades Micro'!$A237=AL$2,'Atividades Micro'!$L237&lt;&gt;""),'Atividades Micro'!$L237,"")</f>
        <v/>
      </c>
      <c r="AM213" s="21" t="str">
        <f>IF(AND('Atividades Micro'!$B237=AM$2,'Atividades Micro'!$K237&lt;&gt;""),'Atividades Micro'!$K237,"")</f>
        <v/>
      </c>
      <c r="AN213" s="21" t="str">
        <f>IF(AND('Atividades Micro'!$B237=AN$2,'Atividades Micro'!$L237&lt;&gt;""),'Atividades Micro'!$L237,"")</f>
        <v/>
      </c>
      <c r="AO213" s="21" t="str">
        <f>IF(AND('Atividades Micro'!$B237=AO$2,'Atividades Micro'!$K237&lt;&gt;""),'Atividades Micro'!$K237,"")</f>
        <v/>
      </c>
      <c r="AP213" s="21" t="str">
        <f>IF(AND('Atividades Micro'!$B237=AP$2,'Atividades Micro'!$L237&lt;&gt;""),'Atividades Micro'!$L237,"")</f>
        <v/>
      </c>
      <c r="AQ213" s="21" t="str">
        <f>IF(AND('Atividades Micro'!$A237=AQ$2,'Atividades Micro'!$K237&lt;&gt;""),'Atividades Micro'!$K237,"")</f>
        <v/>
      </c>
      <c r="AR213" s="21" t="str">
        <f>IF(AND('Atividades Micro'!$A237=AR$2,'Atividades Micro'!$L237&lt;&gt;""),'Atividades Micro'!$L237,"")</f>
        <v/>
      </c>
      <c r="AS213" s="21" t="str">
        <f>IF(AND('Atividades Micro'!$B237=AS$2,'Atividades Micro'!$K237&lt;&gt;""),'Atividades Micro'!$K237,"")</f>
        <v/>
      </c>
      <c r="AT213" s="21" t="str">
        <f>IF(AND('Atividades Micro'!$B237=AT$2,'Atividades Micro'!$L237&lt;&gt;""),'Atividades Micro'!$L237,"")</f>
        <v/>
      </c>
      <c r="AU213" s="21" t="str">
        <f>IF(AND('Atividades Micro'!$A237=AU$2,'Atividades Micro'!$K237&lt;&gt;""),'Atividades Micro'!$K237,"")</f>
        <v/>
      </c>
      <c r="AV213" s="21" t="str">
        <f>IF(AND('Atividades Micro'!$A237=AV$2,'Atividades Micro'!$L237&lt;&gt;""),'Atividades Micro'!$L237,"")</f>
        <v/>
      </c>
      <c r="AW213" s="21" t="str">
        <f>IF(AND('Atividades Micro'!$B237=AW$2,'Atividades Micro'!$K237&lt;&gt;""),'Atividades Micro'!$K237,"")</f>
        <v/>
      </c>
      <c r="AX213" s="21" t="str">
        <f>IF(AND('Atividades Micro'!$B237=AX$2,'Atividades Micro'!$L237&lt;&gt;""),'Atividades Micro'!$L237,"")</f>
        <v/>
      </c>
      <c r="AY213" s="21" t="str">
        <f>IF(AND('Atividades Micro'!$A237=AY$2,'Atividades Micro'!$K237&lt;&gt;""),'Atividades Micro'!$K237,"")</f>
        <v/>
      </c>
      <c r="AZ213" s="21" t="str">
        <f>IF(AND('Atividades Micro'!$A237=AZ$2,'Atividades Micro'!$L237&lt;&gt;""),'Atividades Micro'!$L237,"")</f>
        <v/>
      </c>
      <c r="BA213" s="21" t="str">
        <f>IF(AND('Atividades Micro'!$B237=BA$2,'Atividades Micro'!$K237&lt;&gt;""),'Atividades Micro'!$K237,"")</f>
        <v/>
      </c>
      <c r="BB213" s="21" t="str">
        <f>IF(AND('Atividades Micro'!$B237=BB$2,'Atividades Micro'!$L237&lt;&gt;""),'Atividades Micro'!$L237,"")</f>
        <v/>
      </c>
      <c r="BC213" s="21" t="str">
        <f>IF(AND('Atividades Micro'!$B237=BC$2,'Atividades Micro'!$G237="Macro",'Atividades Micro'!$K237&lt;&gt;""),'Atividades Micro'!$K237,"")</f>
        <v/>
      </c>
      <c r="BD213" s="21" t="str">
        <f>IF(AND('Atividades Micro'!$B237=BD$2,'Atividades Micro'!$G237="Macro",'Atividades Micro'!$K237&lt;&gt;""),'Atividades Micro'!$K237,"")</f>
        <v/>
      </c>
      <c r="BE213" s="21" t="str">
        <f>IF(AND('Atividades Micro'!$B237=BE$2,'Atividades Micro'!$G237="Macro",'Atividades Micro'!$K237&lt;&gt;""),'Atividades Micro'!$K237,"")</f>
        <v/>
      </c>
      <c r="BF213" s="21" t="str">
        <f>IF(AND('Atividades Micro'!$B237=BF$2,'Atividades Micro'!$G237="Macro",'Atividades Micro'!$K237&lt;&gt;""),'Atividades Micro'!$K237,"")</f>
        <v/>
      </c>
      <c r="BG213" s="21" t="str">
        <f>IF(AND('Atividades Micro'!$B237=BG$2,'Atividades Micro'!$G237="Macro",'Atividades Micro'!$K237&lt;&gt;""),'Atividades Micro'!$K237,"")</f>
        <v/>
      </c>
      <c r="BH213" s="21" t="str">
        <f>IF(AND('Atividades Micro'!$B237=BH$2,'Atividades Micro'!$G237="Macro",'Atividades Micro'!$K237&lt;&gt;""),'Atividades Micro'!$K237,"")</f>
        <v/>
      </c>
      <c r="BI213" s="21" t="str">
        <f>IF(AND('Atividades Micro'!$B237=BI$2,'Atividades Micro'!$G237="Macro",'Atividades Micro'!$K237&lt;&gt;""),'Atividades Micro'!$K237,"")</f>
        <v/>
      </c>
      <c r="BJ213" s="21" t="str">
        <f>IF(AND('Atividades Micro'!$B237=BJ$2,'Atividades Micro'!$G237="Macro",'Atividades Micro'!$K237&lt;&gt;""),'Atividades Micro'!$K237,"")</f>
        <v/>
      </c>
      <c r="BK213" s="21" t="str">
        <f>IF(AND('Atividades Micro'!$B237=BK$2,'Atividades Micro'!$G237="Macro",'Atividades Micro'!$K237&lt;&gt;""),'Atividades Micro'!$K237,"")</f>
        <v/>
      </c>
      <c r="BL213" s="21" t="str">
        <f>IF(AND('Atividades Micro'!$B237=BL$2,'Atividades Micro'!$G237="Macro",'Atividades Micro'!$K237&lt;&gt;""),'Atividades Micro'!$K237,"")</f>
        <v/>
      </c>
      <c r="BM213" s="21" t="str">
        <f>IF(AND('Atividades Micro'!$B237=BM$2,'Atividades Micro'!$G237="Macro",'Atividades Micro'!$K237&lt;&gt;""),'Atividades Micro'!$K237,"")</f>
        <v/>
      </c>
      <c r="BN213" s="21" t="str">
        <f>IF(AND('Atividades Micro'!$B237=BN$2,'Atividades Micro'!$G237="Macro",'Atividades Micro'!$K237&lt;&gt;""),'Atividades Micro'!$K237,"")</f>
        <v/>
      </c>
      <c r="BO213" s="21" t="str">
        <f>IF(AND('Atividades Micro'!$B237=BO$2,'Atividades Micro'!$G237="Macro",'Atividades Micro'!$K237&lt;&gt;""),'Atividades Micro'!$K237,"")</f>
        <v/>
      </c>
      <c r="BP213" s="21" t="str">
        <f>IF(AND('Atividades Micro'!$B237=BP$2,'Atividades Micro'!$G237="Macro",'Atividades Micro'!$K237&lt;&gt;""),'Atividades Micro'!$K237,"")</f>
        <v/>
      </c>
      <c r="BQ213" s="21" t="str">
        <f>IF(AND('Atividades Micro'!$B237=BQ$2,'Atividades Micro'!$G237="Macro",'Atividades Micro'!$K237&lt;&gt;""),'Atividades Micro'!$K237,"")</f>
        <v/>
      </c>
      <c r="BR213" s="21" t="str">
        <f>IF(AND('Atividades Micro'!$B237=BR$2,'Atividades Micro'!$G237="Macro",'Atividades Micro'!$K237&lt;&gt;""),'Atividades Micro'!$K237,"")</f>
        <v/>
      </c>
      <c r="BS213" s="21" t="str">
        <f>IF(AND('Atividades Micro'!$B237=BS$2,'Atividades Micro'!$G237="Macro",'Atividades Micro'!$K237&lt;&gt;""),'Atividades Micro'!$K237,"")</f>
        <v/>
      </c>
      <c r="BT213" s="21" t="str">
        <f>IF(AND('Atividades Micro'!$B237=BT$2,'Atividades Micro'!$G237="Macro",'Atividades Micro'!$K237&lt;&gt;""),'Atividades Micro'!$K237,"")</f>
        <v/>
      </c>
      <c r="BU213" s="21" t="str">
        <f>IF(AND('Atividades Micro'!$B237=BU$2,'Atividades Micro'!$G237="Macro",'Atividades Micro'!$K237&lt;&gt;""),'Atividades Micro'!$K237,"")</f>
        <v/>
      </c>
      <c r="BV213" s="21" t="str">
        <f>IF(AND('Atividades Micro'!$B237=BV$2,'Atividades Micro'!$G237="Macro",'Atividades Micro'!$K237&lt;&gt;""),'Atividades Micro'!$K237,"")</f>
        <v/>
      </c>
      <c r="BW213" s="21" t="str">
        <f>IF(AND('Atividades Micro'!$B237=BW$2,'Atividades Micro'!$G237="Macro",'Atividades Micro'!$K237&lt;&gt;""),'Atividades Micro'!$K237,"")</f>
        <v/>
      </c>
      <c r="BX213" s="21" t="str">
        <f>IF(AND('Atividades Micro'!$B237=BX$2,'Atividades Micro'!$G237="Macro",'Atividades Micro'!$K237&lt;&gt;""),'Atividades Micro'!$K237,"")</f>
        <v/>
      </c>
      <c r="BY213" s="21" t="str">
        <f>IF(AND('Atividades Micro'!$B237=BY$2,'Atividades Micro'!$G237="Macro",'Atividades Micro'!$K237&lt;&gt;""),'Atividades Micro'!$K237,"")</f>
        <v/>
      </c>
      <c r="BZ213" s="21" t="str">
        <f>IF(AND('Atividades Micro'!$B237=BZ$2,'Atividades Micro'!$G237="Macro",'Atividades Micro'!$K237&lt;&gt;""),'Atividades Micro'!$K237,"")</f>
        <v/>
      </c>
      <c r="CA213" s="21" t="str">
        <f>IF(AND('Atividades Micro'!$B237=CA$2,'Atividades Micro'!$G237="Macro",'Atividades Micro'!$K237&lt;&gt;""),'Atividades Micro'!$K237,"")</f>
        <v/>
      </c>
      <c r="CB213" s="21" t="str">
        <f>IF(AND('Atividades Micro'!$B237=CB$2,'Atividades Micro'!$G237="Macro",'Atividades Micro'!$K237&lt;&gt;""),'Atividades Micro'!$K237,"")</f>
        <v/>
      </c>
      <c r="CC213" s="21" t="str">
        <f>IF(AND('Atividades Micro'!$B237=CC$2,'Atividades Micro'!$G237="Macro",'Atividades Micro'!$K237&lt;&gt;""),'Atividades Micro'!$K237,"")</f>
        <v/>
      </c>
      <c r="CD213" s="21" t="str">
        <f>IF(AND('Atividades Micro'!$B237=CD$2,'Atividades Micro'!$G237="Micro",'Atividades Micro'!$K237&lt;&gt;""),'Atividades Micro'!$K237,"")</f>
        <v/>
      </c>
      <c r="CE213" s="21" t="str">
        <f>IF(AND('Atividades Micro'!$B237=CE$2,'Atividades Micro'!$G237="Micro",'Atividades Micro'!$K237&lt;&gt;""),'Atividades Micro'!$K237,"")</f>
        <v/>
      </c>
      <c r="CF213" s="21" t="str">
        <f>IF(AND('Atividades Micro'!$B237=CF$2,'Atividades Micro'!$G237="Micro",'Atividades Micro'!$K237&lt;&gt;""),'Atividades Micro'!$K237,"")</f>
        <v/>
      </c>
      <c r="CG213" s="21" t="str">
        <f>IF(AND('Atividades Micro'!$B237=CG$2,'Atividades Micro'!$G237="Micro",'Atividades Micro'!$K237&lt;&gt;""),'Atividades Micro'!$K237,"")</f>
        <v/>
      </c>
      <c r="CH213" s="21" t="str">
        <f>IF(AND('Atividades Micro'!$B237=CH$2,'Atividades Micro'!$G237="Micro",'Atividades Micro'!$K237&lt;&gt;""),'Atividades Micro'!$K237,"")</f>
        <v/>
      </c>
      <c r="CI213" s="21" t="str">
        <f>IF(AND('Atividades Micro'!$B237=CI$2,'Atividades Micro'!$G237="Micro",'Atividades Micro'!$K237&lt;&gt;""),'Atividades Micro'!$K237,"")</f>
        <v/>
      </c>
      <c r="CJ213" s="21" t="str">
        <f>IF(AND('Atividades Micro'!$B237=CJ$2,'Atividades Micro'!$G237="Micro",'Atividades Micro'!$K237&lt;&gt;""),'Atividades Micro'!$K237,"")</f>
        <v/>
      </c>
      <c r="CK213" s="21">
        <f>IF(AND('Atividades Micro'!$B237=CK$2,'Atividades Micro'!$G237="Micro",'Atividades Micro'!$K237&lt;&gt;""),'Atividades Micro'!$K237,"")</f>
        <v>46344</v>
      </c>
      <c r="CL213" s="21" t="str">
        <f>IF(AND('Atividades Micro'!$B237=CL$2,'Atividades Micro'!$G237="Micro",'Atividades Micro'!$K237&lt;&gt;""),'Atividades Micro'!$K237,"")</f>
        <v/>
      </c>
      <c r="CM213" s="21" t="str">
        <f>IF(AND('Atividades Micro'!$B237=CM$2,'Atividades Micro'!$G237="Micro",'Atividades Micro'!$K237&lt;&gt;""),'Atividades Micro'!$K237,"")</f>
        <v/>
      </c>
      <c r="CN213" s="21" t="str">
        <f>IF(AND('Atividades Micro'!$B237=CN$2,'Atividades Micro'!$G237="Micro",'Atividades Micro'!$K237&lt;&gt;""),'Atividades Micro'!$K237,"")</f>
        <v/>
      </c>
      <c r="CO213" s="21" t="str">
        <f>IF(AND('Atividades Micro'!$B237=CO$2,'Atividades Micro'!$G237="Micro",'Atividades Micro'!$K237&lt;&gt;""),'Atividades Micro'!$K237,"")</f>
        <v/>
      </c>
    </row>
    <row r="214" spans="1:93">
      <c r="A214" s="21" t="str">
        <f>IF(AND('Atividades Micro'!$A238=A$2,'Atividades Micro'!$K238&lt;&gt;""),'Atividades Micro'!$K238,"")</f>
        <v/>
      </c>
      <c r="B214" s="21" t="str">
        <f>IF(AND('Atividades Micro'!$A238=B$2,'Atividades Micro'!$L238&lt;&gt;""),'Atividades Micro'!$L238,"")</f>
        <v/>
      </c>
      <c r="C214" s="21" t="str">
        <f>IF(AND('Atividades Micro'!$A238=C$2,'Atividades Micro'!$K238&lt;&gt;""),'Atividades Micro'!$K238,"")</f>
        <v/>
      </c>
      <c r="D214" s="21" t="str">
        <f>IF(AND('Atividades Micro'!$A238=D$2,'Atividades Micro'!$L238&lt;&gt;""),'Atividades Micro'!$L238,"")</f>
        <v/>
      </c>
      <c r="E214" s="21" t="str">
        <f>IF(AND('Atividades Micro'!$A238=E$2,'Atividades Micro'!$K238&lt;&gt;""),'Atividades Micro'!$K238,"")</f>
        <v/>
      </c>
      <c r="F214" s="21" t="str">
        <f>IF(AND('Atividades Micro'!$A238=F$2,'Atividades Micro'!$L238&lt;&gt;""),'Atividades Micro'!$L238,"")</f>
        <v/>
      </c>
      <c r="G214" s="21" t="str">
        <f>IF(AND('Atividades Micro'!$A238=G$2,'Atividades Micro'!$K238&lt;&gt;""),'Atividades Micro'!$K238,"")</f>
        <v/>
      </c>
      <c r="H214" s="21" t="str">
        <f>IF(AND('Atividades Micro'!$A238=H$2,'Atividades Micro'!$L238&lt;&gt;""),'Atividades Micro'!$L238,"")</f>
        <v/>
      </c>
      <c r="I214" s="21" t="str">
        <f>IF(AND('Atividades Micro'!$A238=I$2,'Atividades Micro'!$K238&lt;&gt;""),'Atividades Micro'!$K238,"")</f>
        <v/>
      </c>
      <c r="J214" s="21" t="str">
        <f>IF(AND('Atividades Micro'!$A238=J$2,'Atividades Micro'!$L238&lt;&gt;""),'Atividades Micro'!$L238,"")</f>
        <v/>
      </c>
      <c r="K214" s="21" t="str">
        <f>IF(AND('Atividades Micro'!$B238=K$2,'Atividades Micro'!$K238&lt;&gt;""),'Atividades Micro'!$K238,"")</f>
        <v/>
      </c>
      <c r="L214" s="21" t="str">
        <f>IF(AND('Atividades Micro'!$B238=L$2,'Atividades Micro'!$L238&lt;&gt;""),'Atividades Micro'!$L238,"")</f>
        <v/>
      </c>
      <c r="M214" s="21" t="str">
        <f>IF(AND('Atividades Micro'!$B238=M$2,'Atividades Micro'!$K238&lt;&gt;""),'Atividades Micro'!$K238,"")</f>
        <v/>
      </c>
      <c r="N214" s="21" t="str">
        <f>IF(AND('Atividades Micro'!$B238=N$2,'Atividades Micro'!$L238&lt;&gt;""),'Atividades Micro'!$L238,"")</f>
        <v/>
      </c>
      <c r="O214" s="21" t="str">
        <f>IF(AND('Atividades Micro'!$A238=O$2,'Atividades Micro'!$K238&lt;&gt;""),'Atividades Micro'!$K238,"")</f>
        <v/>
      </c>
      <c r="P214" s="21" t="str">
        <f>IF(AND('Atividades Micro'!$A238=P$2,'Atividades Micro'!$L238&lt;&gt;""),'Atividades Micro'!$L238,"")</f>
        <v/>
      </c>
      <c r="Q214" s="21" t="str">
        <f>IF(AND('Atividades Micro'!$B238=Q$2,'Atividades Micro'!$K238&lt;&gt;""),'Atividades Micro'!$K238,"")</f>
        <v/>
      </c>
      <c r="R214" s="21" t="str">
        <f>IF(AND('Atividades Micro'!$B238=R$2,'Atividades Micro'!$L238&lt;&gt;""),'Atividades Micro'!$L238,"")</f>
        <v/>
      </c>
      <c r="S214" s="21" t="str">
        <f>IF(AND('Atividades Micro'!$A238=S$2,'Atividades Micro'!$K238&lt;&gt;""),'Atividades Micro'!$K238,"")</f>
        <v/>
      </c>
      <c r="T214" s="21" t="str">
        <f>IF(AND('Atividades Micro'!$A238=T$2,'Atividades Micro'!$L238&lt;&gt;""),'Atividades Micro'!$L238,"")</f>
        <v/>
      </c>
      <c r="U214" s="21" t="str">
        <f>IF(AND('Atividades Micro'!$B238=U$2,'Atividades Micro'!$K238&lt;&gt;""),'Atividades Micro'!$K238,"")</f>
        <v/>
      </c>
      <c r="V214" s="21" t="str">
        <f>IF(AND('Atividades Micro'!$B238=V$2,'Atividades Micro'!$L238&lt;&gt;""),'Atividades Micro'!$L238,"")</f>
        <v/>
      </c>
      <c r="W214" s="21" t="str">
        <f>IF(AND('Atividades Micro'!$B238=W$2,'Atividades Micro'!$K238&lt;&gt;""),'Atividades Micro'!$K238,"")</f>
        <v/>
      </c>
      <c r="X214" s="21" t="str">
        <f>IF(AND('Atividades Micro'!$B238=X$2,'Atividades Micro'!$L238&lt;&gt;""),'Atividades Micro'!$L238,"")</f>
        <v/>
      </c>
      <c r="Y214" s="21" t="str">
        <f>IF(AND('Atividades Micro'!$A238=Y$2,'Atividades Micro'!$K238&lt;&gt;""),'Atividades Micro'!$K238,"")</f>
        <v/>
      </c>
      <c r="Z214" s="21" t="str">
        <f>IF(AND('Atividades Micro'!$A238=Z$2,'Atividades Micro'!$L238&lt;&gt;""),'Atividades Micro'!$L238,"")</f>
        <v/>
      </c>
      <c r="AA214" s="21" t="str">
        <f>IF(AND('Atividades Micro'!$B238=AA$2,'Atividades Micro'!$K238&lt;&gt;""),'Atividades Micro'!$K238,"")</f>
        <v/>
      </c>
      <c r="AB214" s="21" t="str">
        <f>IF(AND('Atividades Micro'!$B238=AB$2,'Atividades Micro'!$L238&lt;&gt;""),'Atividades Micro'!$L238,"")</f>
        <v/>
      </c>
      <c r="AC214" s="21" t="str">
        <f>IF(AND('Atividades Micro'!$B238=AC$2,'Atividades Micro'!$K238&lt;&gt;""),'Atividades Micro'!$K238,"")</f>
        <v/>
      </c>
      <c r="AD214" s="21" t="str">
        <f>IF(AND('Atividades Micro'!$B238=AD$2,'Atividades Micro'!$L238&lt;&gt;""),'Atividades Micro'!$L238,"")</f>
        <v/>
      </c>
      <c r="AE214" s="21">
        <f>IF(AND('Atividades Micro'!$A238=AE$2,'Atividades Micro'!$K238&lt;&gt;""),'Atividades Micro'!$K238,"")</f>
        <v>46370</v>
      </c>
      <c r="AF214" s="21" t="str">
        <f>IF(AND('Atividades Micro'!$A238=AF$2,'Atividades Micro'!$L238&lt;&gt;""),'Atividades Micro'!$L238,"")</f>
        <v/>
      </c>
      <c r="AG214" s="21">
        <f>IF(AND('Atividades Micro'!$B238=AG$2,'Atividades Micro'!$K238&lt;&gt;""),'Atividades Micro'!$K238,"")</f>
        <v>46370</v>
      </c>
      <c r="AH214" s="21" t="str">
        <f>IF(AND('Atividades Micro'!$B238=AH$2,'Atividades Micro'!$L238&lt;&gt;""),'Atividades Micro'!$L238,"")</f>
        <v/>
      </c>
      <c r="AI214" s="21" t="str">
        <f>IF(AND('Atividades Micro'!$B238=AI$2,'Atividades Micro'!$K238&lt;&gt;""),'Atividades Micro'!$K238,"")</f>
        <v/>
      </c>
      <c r="AJ214" s="21" t="str">
        <f>IF(AND('Atividades Micro'!$B238=AJ$2,'Atividades Micro'!$L238&lt;&gt;""),'Atividades Micro'!$L238,"")</f>
        <v/>
      </c>
      <c r="AK214" s="21" t="str">
        <f>IF(AND('Atividades Micro'!$A238=AK$2,'Atividades Micro'!$K238&lt;&gt;""),'Atividades Micro'!$K238,"")</f>
        <v/>
      </c>
      <c r="AL214" s="21" t="str">
        <f>IF(AND('Atividades Micro'!$A238=AL$2,'Atividades Micro'!$L238&lt;&gt;""),'Atividades Micro'!$L238,"")</f>
        <v/>
      </c>
      <c r="AM214" s="21" t="str">
        <f>IF(AND('Atividades Micro'!$B238=AM$2,'Atividades Micro'!$K238&lt;&gt;""),'Atividades Micro'!$K238,"")</f>
        <v/>
      </c>
      <c r="AN214" s="21" t="str">
        <f>IF(AND('Atividades Micro'!$B238=AN$2,'Atividades Micro'!$L238&lt;&gt;""),'Atividades Micro'!$L238,"")</f>
        <v/>
      </c>
      <c r="AO214" s="21" t="str">
        <f>IF(AND('Atividades Micro'!$B238=AO$2,'Atividades Micro'!$K238&lt;&gt;""),'Atividades Micro'!$K238,"")</f>
        <v/>
      </c>
      <c r="AP214" s="21" t="str">
        <f>IF(AND('Atividades Micro'!$B238=AP$2,'Atividades Micro'!$L238&lt;&gt;""),'Atividades Micro'!$L238,"")</f>
        <v/>
      </c>
      <c r="AQ214" s="21" t="str">
        <f>IF(AND('Atividades Micro'!$A238=AQ$2,'Atividades Micro'!$K238&lt;&gt;""),'Atividades Micro'!$K238,"")</f>
        <v/>
      </c>
      <c r="AR214" s="21" t="str">
        <f>IF(AND('Atividades Micro'!$A238=AR$2,'Atividades Micro'!$L238&lt;&gt;""),'Atividades Micro'!$L238,"")</f>
        <v/>
      </c>
      <c r="AS214" s="21" t="str">
        <f>IF(AND('Atividades Micro'!$B238=AS$2,'Atividades Micro'!$K238&lt;&gt;""),'Atividades Micro'!$K238,"")</f>
        <v/>
      </c>
      <c r="AT214" s="21" t="str">
        <f>IF(AND('Atividades Micro'!$B238=AT$2,'Atividades Micro'!$L238&lt;&gt;""),'Atividades Micro'!$L238,"")</f>
        <v/>
      </c>
      <c r="AU214" s="21" t="str">
        <f>IF(AND('Atividades Micro'!$A238=AU$2,'Atividades Micro'!$K238&lt;&gt;""),'Atividades Micro'!$K238,"")</f>
        <v/>
      </c>
      <c r="AV214" s="21" t="str">
        <f>IF(AND('Atividades Micro'!$A238=AV$2,'Atividades Micro'!$L238&lt;&gt;""),'Atividades Micro'!$L238,"")</f>
        <v/>
      </c>
      <c r="AW214" s="21" t="str">
        <f>IF(AND('Atividades Micro'!$B238=AW$2,'Atividades Micro'!$K238&lt;&gt;""),'Atividades Micro'!$K238,"")</f>
        <v/>
      </c>
      <c r="AX214" s="21" t="str">
        <f>IF(AND('Atividades Micro'!$B238=AX$2,'Atividades Micro'!$L238&lt;&gt;""),'Atividades Micro'!$L238,"")</f>
        <v/>
      </c>
      <c r="AY214" s="21" t="str">
        <f>IF(AND('Atividades Micro'!$A238=AY$2,'Atividades Micro'!$K238&lt;&gt;""),'Atividades Micro'!$K238,"")</f>
        <v/>
      </c>
      <c r="AZ214" s="21" t="str">
        <f>IF(AND('Atividades Micro'!$A238=AZ$2,'Atividades Micro'!$L238&lt;&gt;""),'Atividades Micro'!$L238,"")</f>
        <v/>
      </c>
      <c r="BA214" s="21" t="str">
        <f>IF(AND('Atividades Micro'!$B238=BA$2,'Atividades Micro'!$K238&lt;&gt;""),'Atividades Micro'!$K238,"")</f>
        <v/>
      </c>
      <c r="BB214" s="21" t="str">
        <f>IF(AND('Atividades Micro'!$B238=BB$2,'Atividades Micro'!$L238&lt;&gt;""),'Atividades Micro'!$L238,"")</f>
        <v/>
      </c>
      <c r="BC214" s="21" t="str">
        <f>IF(AND('Atividades Micro'!$B238=BC$2,'Atividades Micro'!$G238="Macro",'Atividades Micro'!$K238&lt;&gt;""),'Atividades Micro'!$K238,"")</f>
        <v/>
      </c>
      <c r="BD214" s="21" t="str">
        <f>IF(AND('Atividades Micro'!$B238=BD$2,'Atividades Micro'!$G238="Macro",'Atividades Micro'!$K238&lt;&gt;""),'Atividades Micro'!$K238,"")</f>
        <v/>
      </c>
      <c r="BE214" s="21" t="str">
        <f>IF(AND('Atividades Micro'!$B238=BE$2,'Atividades Micro'!$G238="Macro",'Atividades Micro'!$K238&lt;&gt;""),'Atividades Micro'!$K238,"")</f>
        <v/>
      </c>
      <c r="BF214" s="21" t="str">
        <f>IF(AND('Atividades Micro'!$B238=BF$2,'Atividades Micro'!$G238="Macro",'Atividades Micro'!$K238&lt;&gt;""),'Atividades Micro'!$K238,"")</f>
        <v/>
      </c>
      <c r="BG214" s="21" t="str">
        <f>IF(AND('Atividades Micro'!$B238=BG$2,'Atividades Micro'!$G238="Macro",'Atividades Micro'!$K238&lt;&gt;""),'Atividades Micro'!$K238,"")</f>
        <v/>
      </c>
      <c r="BH214" s="21" t="str">
        <f>IF(AND('Atividades Micro'!$B238=BH$2,'Atividades Micro'!$G238="Macro",'Atividades Micro'!$K238&lt;&gt;""),'Atividades Micro'!$K238,"")</f>
        <v/>
      </c>
      <c r="BI214" s="21" t="str">
        <f>IF(AND('Atividades Micro'!$B238=BI$2,'Atividades Micro'!$G238="Macro",'Atividades Micro'!$K238&lt;&gt;""),'Atividades Micro'!$K238,"")</f>
        <v/>
      </c>
      <c r="BJ214" s="21" t="str">
        <f>IF(AND('Atividades Micro'!$B238=BJ$2,'Atividades Micro'!$G238="Macro",'Atividades Micro'!$K238&lt;&gt;""),'Atividades Micro'!$K238,"")</f>
        <v/>
      </c>
      <c r="BK214" s="21" t="str">
        <f>IF(AND('Atividades Micro'!$B238=BK$2,'Atividades Micro'!$G238="Macro",'Atividades Micro'!$K238&lt;&gt;""),'Atividades Micro'!$K238,"")</f>
        <v/>
      </c>
      <c r="BL214" s="21" t="str">
        <f>IF(AND('Atividades Micro'!$B238=BL$2,'Atividades Micro'!$G238="Macro",'Atividades Micro'!$K238&lt;&gt;""),'Atividades Micro'!$K238,"")</f>
        <v/>
      </c>
      <c r="BM214" s="21" t="str">
        <f>IF(AND('Atividades Micro'!$B238=BM$2,'Atividades Micro'!$G238="Macro",'Atividades Micro'!$K238&lt;&gt;""),'Atividades Micro'!$K238,"")</f>
        <v/>
      </c>
      <c r="BN214" s="21" t="str">
        <f>IF(AND('Atividades Micro'!$B238=BN$2,'Atividades Micro'!$G238="Macro",'Atividades Micro'!$K238&lt;&gt;""),'Atividades Micro'!$K238,"")</f>
        <v/>
      </c>
      <c r="BO214" s="21" t="str">
        <f>IF(AND('Atividades Micro'!$B238=BO$2,'Atividades Micro'!$G238="Macro",'Atividades Micro'!$K238&lt;&gt;""),'Atividades Micro'!$K238,"")</f>
        <v/>
      </c>
      <c r="BP214" s="21" t="str">
        <f>IF(AND('Atividades Micro'!$B238=BP$2,'Atividades Micro'!$G238="Macro",'Atividades Micro'!$K238&lt;&gt;""),'Atividades Micro'!$K238,"")</f>
        <v/>
      </c>
      <c r="BQ214" s="21" t="str">
        <f>IF(AND('Atividades Micro'!$B238=BQ$2,'Atividades Micro'!$G238="Macro",'Atividades Micro'!$K238&lt;&gt;""),'Atividades Micro'!$K238,"")</f>
        <v/>
      </c>
      <c r="BR214" s="21" t="str">
        <f>IF(AND('Atividades Micro'!$B238=BR$2,'Atividades Micro'!$G238="Macro",'Atividades Micro'!$K238&lt;&gt;""),'Atividades Micro'!$K238,"")</f>
        <v/>
      </c>
      <c r="BS214" s="21">
        <f>IF(AND('Atividades Micro'!$B238=BS$2,'Atividades Micro'!$G238="Macro",'Atividades Micro'!$K238&lt;&gt;""),'Atividades Micro'!$K238,"")</f>
        <v>46370</v>
      </c>
      <c r="BT214" s="21" t="str">
        <f>IF(AND('Atividades Micro'!$B238=BT$2,'Atividades Micro'!$G238="Macro",'Atividades Micro'!$K238&lt;&gt;""),'Atividades Micro'!$K238,"")</f>
        <v/>
      </c>
      <c r="BU214" s="21" t="str">
        <f>IF(AND('Atividades Micro'!$B238=BU$2,'Atividades Micro'!$G238="Macro",'Atividades Micro'!$K238&lt;&gt;""),'Atividades Micro'!$K238,"")</f>
        <v/>
      </c>
      <c r="BV214" s="21" t="str">
        <f>IF(AND('Atividades Micro'!$B238=BV$2,'Atividades Micro'!$G238="Macro",'Atividades Micro'!$K238&lt;&gt;""),'Atividades Micro'!$K238,"")</f>
        <v/>
      </c>
      <c r="BW214" s="21" t="str">
        <f>IF(AND('Atividades Micro'!$B238=BW$2,'Atividades Micro'!$G238="Macro",'Atividades Micro'!$K238&lt;&gt;""),'Atividades Micro'!$K238,"")</f>
        <v/>
      </c>
      <c r="BX214" s="21" t="str">
        <f>IF(AND('Atividades Micro'!$B238=BX$2,'Atividades Micro'!$G238="Macro",'Atividades Micro'!$K238&lt;&gt;""),'Atividades Micro'!$K238,"")</f>
        <v/>
      </c>
      <c r="BY214" s="21" t="str">
        <f>IF(AND('Atividades Micro'!$B238=BY$2,'Atividades Micro'!$G238="Macro",'Atividades Micro'!$K238&lt;&gt;""),'Atividades Micro'!$K238,"")</f>
        <v/>
      </c>
      <c r="BZ214" s="21" t="str">
        <f>IF(AND('Atividades Micro'!$B238=BZ$2,'Atividades Micro'!$G238="Macro",'Atividades Micro'!$K238&lt;&gt;""),'Atividades Micro'!$K238,"")</f>
        <v/>
      </c>
      <c r="CA214" s="21" t="str">
        <f>IF(AND('Atividades Micro'!$B238=CA$2,'Atividades Micro'!$G238="Macro",'Atividades Micro'!$K238&lt;&gt;""),'Atividades Micro'!$K238,"")</f>
        <v/>
      </c>
      <c r="CB214" s="21" t="str">
        <f>IF(AND('Atividades Micro'!$B238=CB$2,'Atividades Micro'!$G238="Macro",'Atividades Micro'!$K238&lt;&gt;""),'Atividades Micro'!$K238,"")</f>
        <v/>
      </c>
      <c r="CC214" s="21" t="str">
        <f>IF(AND('Atividades Micro'!$B238=CC$2,'Atividades Micro'!$G238="Macro",'Atividades Micro'!$K238&lt;&gt;""),'Atividades Micro'!$K238,"")</f>
        <v/>
      </c>
      <c r="CD214" s="21" t="str">
        <f>IF(AND('Atividades Micro'!$B238=CD$2,'Atividades Micro'!$G238="Micro",'Atividades Micro'!$K238&lt;&gt;""),'Atividades Micro'!$K238,"")</f>
        <v/>
      </c>
      <c r="CE214" s="21" t="str">
        <f>IF(AND('Atividades Micro'!$B238=CE$2,'Atividades Micro'!$G238="Micro",'Atividades Micro'!$K238&lt;&gt;""),'Atividades Micro'!$K238,"")</f>
        <v/>
      </c>
      <c r="CF214" s="21" t="str">
        <f>IF(AND('Atividades Micro'!$B238=CF$2,'Atividades Micro'!$G238="Micro",'Atividades Micro'!$K238&lt;&gt;""),'Atividades Micro'!$K238,"")</f>
        <v/>
      </c>
      <c r="CG214" s="21" t="str">
        <f>IF(AND('Atividades Micro'!$B238=CG$2,'Atividades Micro'!$G238="Micro",'Atividades Micro'!$K238&lt;&gt;""),'Atividades Micro'!$K238,"")</f>
        <v/>
      </c>
      <c r="CH214" s="21" t="str">
        <f>IF(AND('Atividades Micro'!$B238=CH$2,'Atividades Micro'!$G238="Micro",'Atividades Micro'!$K238&lt;&gt;""),'Atividades Micro'!$K238,"")</f>
        <v/>
      </c>
      <c r="CI214" s="21" t="str">
        <f>IF(AND('Atividades Micro'!$B238=CI$2,'Atividades Micro'!$G238="Micro",'Atividades Micro'!$K238&lt;&gt;""),'Atividades Micro'!$K238,"")</f>
        <v/>
      </c>
      <c r="CJ214" s="21" t="str">
        <f>IF(AND('Atividades Micro'!$B238=CJ$2,'Atividades Micro'!$G238="Micro",'Atividades Micro'!$K238&lt;&gt;""),'Atividades Micro'!$K238,"")</f>
        <v/>
      </c>
      <c r="CK214" s="21" t="str">
        <f>IF(AND('Atividades Micro'!$B238=CK$2,'Atividades Micro'!$G238="Micro",'Atividades Micro'!$K238&lt;&gt;""),'Atividades Micro'!$K238,"")</f>
        <v/>
      </c>
      <c r="CL214" s="21" t="str">
        <f>IF(AND('Atividades Micro'!$B238=CL$2,'Atividades Micro'!$G238="Micro",'Atividades Micro'!$K238&lt;&gt;""),'Atividades Micro'!$K238,"")</f>
        <v/>
      </c>
      <c r="CM214" s="21" t="str">
        <f>IF(AND('Atividades Micro'!$B238=CM$2,'Atividades Micro'!$G238="Micro",'Atividades Micro'!$K238&lt;&gt;""),'Atividades Micro'!$K238,"")</f>
        <v/>
      </c>
      <c r="CN214" s="21" t="str">
        <f>IF(AND('Atividades Micro'!$B238=CN$2,'Atividades Micro'!$G238="Micro",'Atividades Micro'!$K238&lt;&gt;""),'Atividades Micro'!$K238,"")</f>
        <v/>
      </c>
      <c r="CO214" s="21" t="str">
        <f>IF(AND('Atividades Micro'!$B238=CO$2,'Atividades Micro'!$G238="Micro",'Atividades Micro'!$K238&lt;&gt;""),'Atividades Micro'!$K238,"")</f>
        <v/>
      </c>
    </row>
    <row r="215" spans="1:93">
      <c r="A215" s="21" t="str">
        <f>IF(AND('Atividades Micro'!$A239=A$2,'Atividades Micro'!$K239&lt;&gt;""),'Atividades Micro'!$K239,"")</f>
        <v/>
      </c>
      <c r="B215" s="21" t="str">
        <f>IF(AND('Atividades Micro'!$A239=B$2,'Atividades Micro'!$L239&lt;&gt;""),'Atividades Micro'!$L239,"")</f>
        <v/>
      </c>
      <c r="C215" s="21" t="str">
        <f>IF(AND('Atividades Micro'!$A239=C$2,'Atividades Micro'!$K239&lt;&gt;""),'Atividades Micro'!$K239,"")</f>
        <v/>
      </c>
      <c r="D215" s="21" t="str">
        <f>IF(AND('Atividades Micro'!$A239=D$2,'Atividades Micro'!$L239&lt;&gt;""),'Atividades Micro'!$L239,"")</f>
        <v/>
      </c>
      <c r="E215" s="21" t="str">
        <f>IF(AND('Atividades Micro'!$A239=E$2,'Atividades Micro'!$K239&lt;&gt;""),'Atividades Micro'!$K239,"")</f>
        <v/>
      </c>
      <c r="F215" s="21" t="str">
        <f>IF(AND('Atividades Micro'!$A239=F$2,'Atividades Micro'!$L239&lt;&gt;""),'Atividades Micro'!$L239,"")</f>
        <v/>
      </c>
      <c r="G215" s="21" t="str">
        <f>IF(AND('Atividades Micro'!$A239=G$2,'Atividades Micro'!$K239&lt;&gt;""),'Atividades Micro'!$K239,"")</f>
        <v/>
      </c>
      <c r="H215" s="21" t="str">
        <f>IF(AND('Atividades Micro'!$A239=H$2,'Atividades Micro'!$L239&lt;&gt;""),'Atividades Micro'!$L239,"")</f>
        <v/>
      </c>
      <c r="I215" s="21" t="str">
        <f>IF(AND('Atividades Micro'!$A239=I$2,'Atividades Micro'!$K239&lt;&gt;""),'Atividades Micro'!$K239,"")</f>
        <v/>
      </c>
      <c r="J215" s="21" t="str">
        <f>IF(AND('Atividades Micro'!$A239=J$2,'Atividades Micro'!$L239&lt;&gt;""),'Atividades Micro'!$L239,"")</f>
        <v/>
      </c>
      <c r="K215" s="21" t="str">
        <f>IF(AND('Atividades Micro'!$B239=K$2,'Atividades Micro'!$K239&lt;&gt;""),'Atividades Micro'!$K239,"")</f>
        <v/>
      </c>
      <c r="L215" s="21" t="str">
        <f>IF(AND('Atividades Micro'!$B239=L$2,'Atividades Micro'!$L239&lt;&gt;""),'Atividades Micro'!$L239,"")</f>
        <v/>
      </c>
      <c r="M215" s="21" t="str">
        <f>IF(AND('Atividades Micro'!$B239=M$2,'Atividades Micro'!$K239&lt;&gt;""),'Atividades Micro'!$K239,"")</f>
        <v/>
      </c>
      <c r="N215" s="21" t="str">
        <f>IF(AND('Atividades Micro'!$B239=N$2,'Atividades Micro'!$L239&lt;&gt;""),'Atividades Micro'!$L239,"")</f>
        <v/>
      </c>
      <c r="O215" s="21" t="str">
        <f>IF(AND('Atividades Micro'!$A239=O$2,'Atividades Micro'!$K239&lt;&gt;""),'Atividades Micro'!$K239,"")</f>
        <v/>
      </c>
      <c r="P215" s="21" t="str">
        <f>IF(AND('Atividades Micro'!$A239=P$2,'Atividades Micro'!$L239&lt;&gt;""),'Atividades Micro'!$L239,"")</f>
        <v/>
      </c>
      <c r="Q215" s="21" t="str">
        <f>IF(AND('Atividades Micro'!$B239=Q$2,'Atividades Micro'!$K239&lt;&gt;""),'Atividades Micro'!$K239,"")</f>
        <v/>
      </c>
      <c r="R215" s="21" t="str">
        <f>IF(AND('Atividades Micro'!$B239=R$2,'Atividades Micro'!$L239&lt;&gt;""),'Atividades Micro'!$L239,"")</f>
        <v/>
      </c>
      <c r="S215" s="21" t="str">
        <f>IF(AND('Atividades Micro'!$A239=S$2,'Atividades Micro'!$K239&lt;&gt;""),'Atividades Micro'!$K239,"")</f>
        <v/>
      </c>
      <c r="T215" s="21" t="str">
        <f>IF(AND('Atividades Micro'!$A239=T$2,'Atividades Micro'!$L239&lt;&gt;""),'Atividades Micro'!$L239,"")</f>
        <v/>
      </c>
      <c r="U215" s="21" t="str">
        <f>IF(AND('Atividades Micro'!$B239=U$2,'Atividades Micro'!$K239&lt;&gt;""),'Atividades Micro'!$K239,"")</f>
        <v/>
      </c>
      <c r="V215" s="21" t="str">
        <f>IF(AND('Atividades Micro'!$B239=V$2,'Atividades Micro'!$L239&lt;&gt;""),'Atividades Micro'!$L239,"")</f>
        <v/>
      </c>
      <c r="W215" s="21" t="str">
        <f>IF(AND('Atividades Micro'!$B239=W$2,'Atividades Micro'!$K239&lt;&gt;""),'Atividades Micro'!$K239,"")</f>
        <v/>
      </c>
      <c r="X215" s="21" t="str">
        <f>IF(AND('Atividades Micro'!$B239=X$2,'Atividades Micro'!$L239&lt;&gt;""),'Atividades Micro'!$L239,"")</f>
        <v/>
      </c>
      <c r="Y215" s="21" t="str">
        <f>IF(AND('Atividades Micro'!$A239=Y$2,'Atividades Micro'!$K239&lt;&gt;""),'Atividades Micro'!$K239,"")</f>
        <v/>
      </c>
      <c r="Z215" s="21" t="str">
        <f>IF(AND('Atividades Micro'!$A239=Z$2,'Atividades Micro'!$L239&lt;&gt;""),'Atividades Micro'!$L239,"")</f>
        <v/>
      </c>
      <c r="AA215" s="21" t="str">
        <f>IF(AND('Atividades Micro'!$B239=AA$2,'Atividades Micro'!$K239&lt;&gt;""),'Atividades Micro'!$K239,"")</f>
        <v/>
      </c>
      <c r="AB215" s="21" t="str">
        <f>IF(AND('Atividades Micro'!$B239=AB$2,'Atividades Micro'!$L239&lt;&gt;""),'Atividades Micro'!$L239,"")</f>
        <v/>
      </c>
      <c r="AC215" s="21" t="str">
        <f>IF(AND('Atividades Micro'!$B239=AC$2,'Atividades Micro'!$K239&lt;&gt;""),'Atividades Micro'!$K239,"")</f>
        <v/>
      </c>
      <c r="AD215" s="21" t="str">
        <f>IF(AND('Atividades Micro'!$B239=AD$2,'Atividades Micro'!$L239&lt;&gt;""),'Atividades Micro'!$L239,"")</f>
        <v/>
      </c>
      <c r="AE215" s="21">
        <f>IF(AND('Atividades Micro'!$A239=AE$2,'Atividades Micro'!$K239&lt;&gt;""),'Atividades Micro'!$K239,"")</f>
        <v>46343</v>
      </c>
      <c r="AF215" s="21">
        <f>IF(AND('Atividades Micro'!$A239=AF$2,'Atividades Micro'!$L239&lt;&gt;""),'Atividades Micro'!$L239,"")</f>
        <v>46296</v>
      </c>
      <c r="AG215" s="21">
        <f>IF(AND('Atividades Micro'!$B239=AG$2,'Atividades Micro'!$K239&lt;&gt;""),'Atividades Micro'!$K239,"")</f>
        <v>46343</v>
      </c>
      <c r="AH215" s="21">
        <f>IF(AND('Atividades Micro'!$B239=AH$2,'Atividades Micro'!$L239&lt;&gt;""),'Atividades Micro'!$L239,"")</f>
        <v>46296</v>
      </c>
      <c r="AI215" s="21" t="str">
        <f>IF(AND('Atividades Micro'!$B239=AI$2,'Atividades Micro'!$K239&lt;&gt;""),'Atividades Micro'!$K239,"")</f>
        <v/>
      </c>
      <c r="AJ215" s="21" t="str">
        <f>IF(AND('Atividades Micro'!$B239=AJ$2,'Atividades Micro'!$L239&lt;&gt;""),'Atividades Micro'!$L239,"")</f>
        <v/>
      </c>
      <c r="AK215" s="21" t="str">
        <f>IF(AND('Atividades Micro'!$A239=AK$2,'Atividades Micro'!$K239&lt;&gt;""),'Atividades Micro'!$K239,"")</f>
        <v/>
      </c>
      <c r="AL215" s="21" t="str">
        <f>IF(AND('Atividades Micro'!$A239=AL$2,'Atividades Micro'!$L239&lt;&gt;""),'Atividades Micro'!$L239,"")</f>
        <v/>
      </c>
      <c r="AM215" s="21" t="str">
        <f>IF(AND('Atividades Micro'!$B239=AM$2,'Atividades Micro'!$K239&lt;&gt;""),'Atividades Micro'!$K239,"")</f>
        <v/>
      </c>
      <c r="AN215" s="21" t="str">
        <f>IF(AND('Atividades Micro'!$B239=AN$2,'Atividades Micro'!$L239&lt;&gt;""),'Atividades Micro'!$L239,"")</f>
        <v/>
      </c>
      <c r="AO215" s="21" t="str">
        <f>IF(AND('Atividades Micro'!$B239=AO$2,'Atividades Micro'!$K239&lt;&gt;""),'Atividades Micro'!$K239,"")</f>
        <v/>
      </c>
      <c r="AP215" s="21" t="str">
        <f>IF(AND('Atividades Micro'!$B239=AP$2,'Atividades Micro'!$L239&lt;&gt;""),'Atividades Micro'!$L239,"")</f>
        <v/>
      </c>
      <c r="AQ215" s="21" t="str">
        <f>IF(AND('Atividades Micro'!$A239=AQ$2,'Atividades Micro'!$K239&lt;&gt;""),'Atividades Micro'!$K239,"")</f>
        <v/>
      </c>
      <c r="AR215" s="21" t="str">
        <f>IF(AND('Atividades Micro'!$A239=AR$2,'Atividades Micro'!$L239&lt;&gt;""),'Atividades Micro'!$L239,"")</f>
        <v/>
      </c>
      <c r="AS215" s="21" t="str">
        <f>IF(AND('Atividades Micro'!$B239=AS$2,'Atividades Micro'!$K239&lt;&gt;""),'Atividades Micro'!$K239,"")</f>
        <v/>
      </c>
      <c r="AT215" s="21" t="str">
        <f>IF(AND('Atividades Micro'!$B239=AT$2,'Atividades Micro'!$L239&lt;&gt;""),'Atividades Micro'!$L239,"")</f>
        <v/>
      </c>
      <c r="AU215" s="21" t="str">
        <f>IF(AND('Atividades Micro'!$A239=AU$2,'Atividades Micro'!$K239&lt;&gt;""),'Atividades Micro'!$K239,"")</f>
        <v/>
      </c>
      <c r="AV215" s="21" t="str">
        <f>IF(AND('Atividades Micro'!$A239=AV$2,'Atividades Micro'!$L239&lt;&gt;""),'Atividades Micro'!$L239,"")</f>
        <v/>
      </c>
      <c r="AW215" s="21" t="str">
        <f>IF(AND('Atividades Micro'!$B239=AW$2,'Atividades Micro'!$K239&lt;&gt;""),'Atividades Micro'!$K239,"")</f>
        <v/>
      </c>
      <c r="AX215" s="21" t="str">
        <f>IF(AND('Atividades Micro'!$B239=AX$2,'Atividades Micro'!$L239&lt;&gt;""),'Atividades Micro'!$L239,"")</f>
        <v/>
      </c>
      <c r="AY215" s="21" t="str">
        <f>IF(AND('Atividades Micro'!$A239=AY$2,'Atividades Micro'!$K239&lt;&gt;""),'Atividades Micro'!$K239,"")</f>
        <v/>
      </c>
      <c r="AZ215" s="21" t="str">
        <f>IF(AND('Atividades Micro'!$A239=AZ$2,'Atividades Micro'!$L239&lt;&gt;""),'Atividades Micro'!$L239,"")</f>
        <v/>
      </c>
      <c r="BA215" s="21" t="str">
        <f>IF(AND('Atividades Micro'!$B239=BA$2,'Atividades Micro'!$K239&lt;&gt;""),'Atividades Micro'!$K239,"")</f>
        <v/>
      </c>
      <c r="BB215" s="21" t="str">
        <f>IF(AND('Atividades Micro'!$B239=BB$2,'Atividades Micro'!$L239&lt;&gt;""),'Atividades Micro'!$L239,"")</f>
        <v/>
      </c>
      <c r="BC215" s="21" t="str">
        <f>IF(AND('Atividades Micro'!$B239=BC$2,'Atividades Micro'!$G239="Macro",'Atividades Micro'!$K239&lt;&gt;""),'Atividades Micro'!$K239,"")</f>
        <v/>
      </c>
      <c r="BD215" s="21" t="str">
        <f>IF(AND('Atividades Micro'!$B239=BD$2,'Atividades Micro'!$G239="Macro",'Atividades Micro'!$K239&lt;&gt;""),'Atividades Micro'!$K239,"")</f>
        <v/>
      </c>
      <c r="BE215" s="21" t="str">
        <f>IF(AND('Atividades Micro'!$B239=BE$2,'Atividades Micro'!$G239="Macro",'Atividades Micro'!$K239&lt;&gt;""),'Atividades Micro'!$K239,"")</f>
        <v/>
      </c>
      <c r="BF215" s="21" t="str">
        <f>IF(AND('Atividades Micro'!$B239=BF$2,'Atividades Micro'!$G239="Macro",'Atividades Micro'!$K239&lt;&gt;""),'Atividades Micro'!$K239,"")</f>
        <v/>
      </c>
      <c r="BG215" s="21" t="str">
        <f>IF(AND('Atividades Micro'!$B239=BG$2,'Atividades Micro'!$G239="Macro",'Atividades Micro'!$K239&lt;&gt;""),'Atividades Micro'!$K239,"")</f>
        <v/>
      </c>
      <c r="BH215" s="21" t="str">
        <f>IF(AND('Atividades Micro'!$B239=BH$2,'Atividades Micro'!$G239="Macro",'Atividades Micro'!$K239&lt;&gt;""),'Atividades Micro'!$K239,"")</f>
        <v/>
      </c>
      <c r="BI215" s="21" t="str">
        <f>IF(AND('Atividades Micro'!$B239=BI$2,'Atividades Micro'!$G239="Macro",'Atividades Micro'!$K239&lt;&gt;""),'Atividades Micro'!$K239,"")</f>
        <v/>
      </c>
      <c r="BJ215" s="21" t="str">
        <f>IF(AND('Atividades Micro'!$B239=BJ$2,'Atividades Micro'!$G239="Macro",'Atividades Micro'!$K239&lt;&gt;""),'Atividades Micro'!$K239,"")</f>
        <v/>
      </c>
      <c r="BK215" s="21" t="str">
        <f>IF(AND('Atividades Micro'!$B239=BK$2,'Atividades Micro'!$G239="Macro",'Atividades Micro'!$K239&lt;&gt;""),'Atividades Micro'!$K239,"")</f>
        <v/>
      </c>
      <c r="BL215" s="21" t="str">
        <f>IF(AND('Atividades Micro'!$B239=BL$2,'Atividades Micro'!$G239="Macro",'Atividades Micro'!$K239&lt;&gt;""),'Atividades Micro'!$K239,"")</f>
        <v/>
      </c>
      <c r="BM215" s="21" t="str">
        <f>IF(AND('Atividades Micro'!$B239=BM$2,'Atividades Micro'!$G239="Macro",'Atividades Micro'!$K239&lt;&gt;""),'Atividades Micro'!$K239,"")</f>
        <v/>
      </c>
      <c r="BN215" s="21" t="str">
        <f>IF(AND('Atividades Micro'!$B239=BN$2,'Atividades Micro'!$G239="Macro",'Atividades Micro'!$K239&lt;&gt;""),'Atividades Micro'!$K239,"")</f>
        <v/>
      </c>
      <c r="BO215" s="21" t="str">
        <f>IF(AND('Atividades Micro'!$B239=BO$2,'Atividades Micro'!$G239="Macro",'Atividades Micro'!$K239&lt;&gt;""),'Atividades Micro'!$K239,"")</f>
        <v/>
      </c>
      <c r="BP215" s="21" t="str">
        <f>IF(AND('Atividades Micro'!$B239=BP$2,'Atividades Micro'!$G239="Macro",'Atividades Micro'!$K239&lt;&gt;""),'Atividades Micro'!$K239,"")</f>
        <v/>
      </c>
      <c r="BQ215" s="21" t="str">
        <f>IF(AND('Atividades Micro'!$B239=BQ$2,'Atividades Micro'!$G239="Macro",'Atividades Micro'!$K239&lt;&gt;""),'Atividades Micro'!$K239,"")</f>
        <v/>
      </c>
      <c r="BR215" s="21" t="str">
        <f>IF(AND('Atividades Micro'!$B239=BR$2,'Atividades Micro'!$G239="Macro",'Atividades Micro'!$K239&lt;&gt;""),'Atividades Micro'!$K239,"")</f>
        <v/>
      </c>
      <c r="BS215" s="21" t="str">
        <f>IF(AND('Atividades Micro'!$B239=BS$2,'Atividades Micro'!$G239="Macro",'Atividades Micro'!$K239&lt;&gt;""),'Atividades Micro'!$K239,"")</f>
        <v/>
      </c>
      <c r="BT215" s="21" t="str">
        <f>IF(AND('Atividades Micro'!$B239=BT$2,'Atividades Micro'!$G239="Macro",'Atividades Micro'!$K239&lt;&gt;""),'Atividades Micro'!$K239,"")</f>
        <v/>
      </c>
      <c r="BU215" s="21" t="str">
        <f>IF(AND('Atividades Micro'!$B239=BU$2,'Atividades Micro'!$G239="Macro",'Atividades Micro'!$K239&lt;&gt;""),'Atividades Micro'!$K239,"")</f>
        <v/>
      </c>
      <c r="BV215" s="21" t="str">
        <f>IF(AND('Atividades Micro'!$B239=BV$2,'Atividades Micro'!$G239="Macro",'Atividades Micro'!$K239&lt;&gt;""),'Atividades Micro'!$K239,"")</f>
        <v/>
      </c>
      <c r="BW215" s="21" t="str">
        <f>IF(AND('Atividades Micro'!$B239=BW$2,'Atividades Micro'!$G239="Macro",'Atividades Micro'!$K239&lt;&gt;""),'Atividades Micro'!$K239,"")</f>
        <v/>
      </c>
      <c r="BX215" s="21" t="str">
        <f>IF(AND('Atividades Micro'!$B239=BX$2,'Atividades Micro'!$G239="Macro",'Atividades Micro'!$K239&lt;&gt;""),'Atividades Micro'!$K239,"")</f>
        <v/>
      </c>
      <c r="BY215" s="21" t="str">
        <f>IF(AND('Atividades Micro'!$B239=BY$2,'Atividades Micro'!$G239="Macro",'Atividades Micro'!$K239&lt;&gt;""),'Atividades Micro'!$K239,"")</f>
        <v/>
      </c>
      <c r="BZ215" s="21" t="str">
        <f>IF(AND('Atividades Micro'!$B239=BZ$2,'Atividades Micro'!$G239="Macro",'Atividades Micro'!$K239&lt;&gt;""),'Atividades Micro'!$K239,"")</f>
        <v/>
      </c>
      <c r="CA215" s="21" t="str">
        <f>IF(AND('Atividades Micro'!$B239=CA$2,'Atividades Micro'!$G239="Macro",'Atividades Micro'!$K239&lt;&gt;""),'Atividades Micro'!$K239,"")</f>
        <v/>
      </c>
      <c r="CB215" s="21" t="str">
        <f>IF(AND('Atividades Micro'!$B239=CB$2,'Atividades Micro'!$G239="Macro",'Atividades Micro'!$K239&lt;&gt;""),'Atividades Micro'!$K239,"")</f>
        <v/>
      </c>
      <c r="CC215" s="21" t="str">
        <f>IF(AND('Atividades Micro'!$B239=CC$2,'Atividades Micro'!$G239="Macro",'Atividades Micro'!$K239&lt;&gt;""),'Atividades Micro'!$K239,"")</f>
        <v/>
      </c>
      <c r="CD215" s="21" t="str">
        <f>IF(AND('Atividades Micro'!$B239=CD$2,'Atividades Micro'!$G239="Micro",'Atividades Micro'!$K239&lt;&gt;""),'Atividades Micro'!$K239,"")</f>
        <v/>
      </c>
      <c r="CE215" s="21" t="str">
        <f>IF(AND('Atividades Micro'!$B239=CE$2,'Atividades Micro'!$G239="Micro",'Atividades Micro'!$K239&lt;&gt;""),'Atividades Micro'!$K239,"")</f>
        <v/>
      </c>
      <c r="CF215" s="21" t="str">
        <f>IF(AND('Atividades Micro'!$B239=CF$2,'Atividades Micro'!$G239="Micro",'Atividades Micro'!$K239&lt;&gt;""),'Atividades Micro'!$K239,"")</f>
        <v/>
      </c>
      <c r="CG215" s="21" t="str">
        <f>IF(AND('Atividades Micro'!$B239=CG$2,'Atividades Micro'!$G239="Micro",'Atividades Micro'!$K239&lt;&gt;""),'Atividades Micro'!$K239,"")</f>
        <v/>
      </c>
      <c r="CH215" s="21" t="str">
        <f>IF(AND('Atividades Micro'!$B239=CH$2,'Atividades Micro'!$G239="Micro",'Atividades Micro'!$K239&lt;&gt;""),'Atividades Micro'!$K239,"")</f>
        <v/>
      </c>
      <c r="CI215" s="21" t="str">
        <f>IF(AND('Atividades Micro'!$B239=CI$2,'Atividades Micro'!$G239="Micro",'Atividades Micro'!$K239&lt;&gt;""),'Atividades Micro'!$K239,"")</f>
        <v/>
      </c>
      <c r="CJ215" s="21" t="str">
        <f>IF(AND('Atividades Micro'!$B239=CJ$2,'Atividades Micro'!$G239="Micro",'Atividades Micro'!$K239&lt;&gt;""),'Atividades Micro'!$K239,"")</f>
        <v/>
      </c>
      <c r="CK215" s="21">
        <f>IF(AND('Atividades Micro'!$B239=CK$2,'Atividades Micro'!$G239="Micro",'Atividades Micro'!$K239&lt;&gt;""),'Atividades Micro'!$K239,"")</f>
        <v>46343</v>
      </c>
      <c r="CL215" s="21" t="str">
        <f>IF(AND('Atividades Micro'!$B239=CL$2,'Atividades Micro'!$G239="Micro",'Atividades Micro'!$K239&lt;&gt;""),'Atividades Micro'!$K239,"")</f>
        <v/>
      </c>
      <c r="CM215" s="21" t="str">
        <f>IF(AND('Atividades Micro'!$B239=CM$2,'Atividades Micro'!$G239="Micro",'Atividades Micro'!$K239&lt;&gt;""),'Atividades Micro'!$K239,"")</f>
        <v/>
      </c>
      <c r="CN215" s="21" t="str">
        <f>IF(AND('Atividades Micro'!$B239=CN$2,'Atividades Micro'!$G239="Micro",'Atividades Micro'!$K239&lt;&gt;""),'Atividades Micro'!$K239,"")</f>
        <v/>
      </c>
      <c r="CO215" s="21" t="str">
        <f>IF(AND('Atividades Micro'!$B239=CO$2,'Atividades Micro'!$G239="Micro",'Atividades Micro'!$K239&lt;&gt;""),'Atividades Micro'!$K239,"")</f>
        <v/>
      </c>
    </row>
    <row r="216" spans="1:93">
      <c r="A216" s="21" t="str">
        <f>IF(AND('Atividades Micro'!$A240=A$2,'Atividades Micro'!$K240&lt;&gt;""),'Atividades Micro'!$K240,"")</f>
        <v/>
      </c>
      <c r="B216" s="21" t="str">
        <f>IF(AND('Atividades Micro'!$A240=B$2,'Atividades Micro'!$L240&lt;&gt;""),'Atividades Micro'!$L240,"")</f>
        <v/>
      </c>
      <c r="C216" s="21" t="str">
        <f>IF(AND('Atividades Micro'!$A240=C$2,'Atividades Micro'!$K240&lt;&gt;""),'Atividades Micro'!$K240,"")</f>
        <v/>
      </c>
      <c r="D216" s="21" t="str">
        <f>IF(AND('Atividades Micro'!$A240=D$2,'Atividades Micro'!$L240&lt;&gt;""),'Atividades Micro'!$L240,"")</f>
        <v/>
      </c>
      <c r="E216" s="21" t="str">
        <f>IF(AND('Atividades Micro'!$A240=E$2,'Atividades Micro'!$K240&lt;&gt;""),'Atividades Micro'!$K240,"")</f>
        <v/>
      </c>
      <c r="F216" s="21" t="str">
        <f>IF(AND('Atividades Micro'!$A240=F$2,'Atividades Micro'!$L240&lt;&gt;""),'Atividades Micro'!$L240,"")</f>
        <v/>
      </c>
      <c r="G216" s="21" t="str">
        <f>IF(AND('Atividades Micro'!$A240=G$2,'Atividades Micro'!$K240&lt;&gt;""),'Atividades Micro'!$K240,"")</f>
        <v/>
      </c>
      <c r="H216" s="21" t="str">
        <f>IF(AND('Atividades Micro'!$A240=H$2,'Atividades Micro'!$L240&lt;&gt;""),'Atividades Micro'!$L240,"")</f>
        <v/>
      </c>
      <c r="I216" s="21" t="str">
        <f>IF(AND('Atividades Micro'!$A240=I$2,'Atividades Micro'!$K240&lt;&gt;""),'Atividades Micro'!$K240,"")</f>
        <v/>
      </c>
      <c r="J216" s="21" t="str">
        <f>IF(AND('Atividades Micro'!$A240=J$2,'Atividades Micro'!$L240&lt;&gt;""),'Atividades Micro'!$L240,"")</f>
        <v/>
      </c>
      <c r="K216" s="21" t="str">
        <f>IF(AND('Atividades Micro'!$B240=K$2,'Atividades Micro'!$K240&lt;&gt;""),'Atividades Micro'!$K240,"")</f>
        <v/>
      </c>
      <c r="L216" s="21" t="str">
        <f>IF(AND('Atividades Micro'!$B240=L$2,'Atividades Micro'!$L240&lt;&gt;""),'Atividades Micro'!$L240,"")</f>
        <v/>
      </c>
      <c r="M216" s="21" t="str">
        <f>IF(AND('Atividades Micro'!$B240=M$2,'Atividades Micro'!$K240&lt;&gt;""),'Atividades Micro'!$K240,"")</f>
        <v/>
      </c>
      <c r="N216" s="21" t="str">
        <f>IF(AND('Atividades Micro'!$B240=N$2,'Atividades Micro'!$L240&lt;&gt;""),'Atividades Micro'!$L240,"")</f>
        <v/>
      </c>
      <c r="O216" s="21" t="str">
        <f>IF(AND('Atividades Micro'!$A240=O$2,'Atividades Micro'!$K240&lt;&gt;""),'Atividades Micro'!$K240,"")</f>
        <v/>
      </c>
      <c r="P216" s="21" t="str">
        <f>IF(AND('Atividades Micro'!$A240=P$2,'Atividades Micro'!$L240&lt;&gt;""),'Atividades Micro'!$L240,"")</f>
        <v/>
      </c>
      <c r="Q216" s="21" t="str">
        <f>IF(AND('Atividades Micro'!$B240=Q$2,'Atividades Micro'!$K240&lt;&gt;""),'Atividades Micro'!$K240,"")</f>
        <v/>
      </c>
      <c r="R216" s="21" t="str">
        <f>IF(AND('Atividades Micro'!$B240=R$2,'Atividades Micro'!$L240&lt;&gt;""),'Atividades Micro'!$L240,"")</f>
        <v/>
      </c>
      <c r="S216" s="21" t="str">
        <f>IF(AND('Atividades Micro'!$A240=S$2,'Atividades Micro'!$K240&lt;&gt;""),'Atividades Micro'!$K240,"")</f>
        <v/>
      </c>
      <c r="T216" s="21" t="str">
        <f>IF(AND('Atividades Micro'!$A240=T$2,'Atividades Micro'!$L240&lt;&gt;""),'Atividades Micro'!$L240,"")</f>
        <v/>
      </c>
      <c r="U216" s="21" t="str">
        <f>IF(AND('Atividades Micro'!$B240=U$2,'Atividades Micro'!$K240&lt;&gt;""),'Atividades Micro'!$K240,"")</f>
        <v/>
      </c>
      <c r="V216" s="21" t="str">
        <f>IF(AND('Atividades Micro'!$B240=V$2,'Atividades Micro'!$L240&lt;&gt;""),'Atividades Micro'!$L240,"")</f>
        <v/>
      </c>
      <c r="W216" s="21" t="str">
        <f>IF(AND('Atividades Micro'!$B240=W$2,'Atividades Micro'!$K240&lt;&gt;""),'Atividades Micro'!$K240,"")</f>
        <v/>
      </c>
      <c r="X216" s="21" t="str">
        <f>IF(AND('Atividades Micro'!$B240=X$2,'Atividades Micro'!$L240&lt;&gt;""),'Atividades Micro'!$L240,"")</f>
        <v/>
      </c>
      <c r="Y216" s="21" t="str">
        <f>IF(AND('Atividades Micro'!$A240=Y$2,'Atividades Micro'!$K240&lt;&gt;""),'Atividades Micro'!$K240,"")</f>
        <v/>
      </c>
      <c r="Z216" s="21" t="str">
        <f>IF(AND('Atividades Micro'!$A240=Z$2,'Atividades Micro'!$L240&lt;&gt;""),'Atividades Micro'!$L240,"")</f>
        <v/>
      </c>
      <c r="AA216" s="21" t="str">
        <f>IF(AND('Atividades Micro'!$B240=AA$2,'Atividades Micro'!$K240&lt;&gt;""),'Atividades Micro'!$K240,"")</f>
        <v/>
      </c>
      <c r="AB216" s="21" t="str">
        <f>IF(AND('Atividades Micro'!$B240=AB$2,'Atividades Micro'!$L240&lt;&gt;""),'Atividades Micro'!$L240,"")</f>
        <v/>
      </c>
      <c r="AC216" s="21" t="str">
        <f>IF(AND('Atividades Micro'!$B240=AC$2,'Atividades Micro'!$K240&lt;&gt;""),'Atividades Micro'!$K240,"")</f>
        <v/>
      </c>
      <c r="AD216" s="21" t="str">
        <f>IF(AND('Atividades Micro'!$B240=AD$2,'Atividades Micro'!$L240&lt;&gt;""),'Atividades Micro'!$L240,"")</f>
        <v/>
      </c>
      <c r="AE216" s="21">
        <f>IF(AND('Atividades Micro'!$A240=AE$2,'Atividades Micro'!$K240&lt;&gt;""),'Atividades Micro'!$K240,"")</f>
        <v>46370</v>
      </c>
      <c r="AF216" s="21" t="str">
        <f>IF(AND('Atividades Micro'!$A240=AF$2,'Atividades Micro'!$L240&lt;&gt;""),'Atividades Micro'!$L240,"")</f>
        <v/>
      </c>
      <c r="AG216" s="21">
        <f>IF(AND('Atividades Micro'!$B240=AG$2,'Atividades Micro'!$K240&lt;&gt;""),'Atividades Micro'!$K240,"")</f>
        <v>46370</v>
      </c>
      <c r="AH216" s="21" t="str">
        <f>IF(AND('Atividades Micro'!$B240=AH$2,'Atividades Micro'!$L240&lt;&gt;""),'Atividades Micro'!$L240,"")</f>
        <v/>
      </c>
      <c r="AI216" s="21" t="str">
        <f>IF(AND('Atividades Micro'!$B240=AI$2,'Atividades Micro'!$K240&lt;&gt;""),'Atividades Micro'!$K240,"")</f>
        <v/>
      </c>
      <c r="AJ216" s="21" t="str">
        <f>IF(AND('Atividades Micro'!$B240=AJ$2,'Atividades Micro'!$L240&lt;&gt;""),'Atividades Micro'!$L240,"")</f>
        <v/>
      </c>
      <c r="AK216" s="21" t="str">
        <f>IF(AND('Atividades Micro'!$A240=AK$2,'Atividades Micro'!$K240&lt;&gt;""),'Atividades Micro'!$K240,"")</f>
        <v/>
      </c>
      <c r="AL216" s="21" t="str">
        <f>IF(AND('Atividades Micro'!$A240=AL$2,'Atividades Micro'!$L240&lt;&gt;""),'Atividades Micro'!$L240,"")</f>
        <v/>
      </c>
      <c r="AM216" s="21" t="str">
        <f>IF(AND('Atividades Micro'!$B240=AM$2,'Atividades Micro'!$K240&lt;&gt;""),'Atividades Micro'!$K240,"")</f>
        <v/>
      </c>
      <c r="AN216" s="21" t="str">
        <f>IF(AND('Atividades Micro'!$B240=AN$2,'Atividades Micro'!$L240&lt;&gt;""),'Atividades Micro'!$L240,"")</f>
        <v/>
      </c>
      <c r="AO216" s="21" t="str">
        <f>IF(AND('Atividades Micro'!$B240=AO$2,'Atividades Micro'!$K240&lt;&gt;""),'Atividades Micro'!$K240,"")</f>
        <v/>
      </c>
      <c r="AP216" s="21" t="str">
        <f>IF(AND('Atividades Micro'!$B240=AP$2,'Atividades Micro'!$L240&lt;&gt;""),'Atividades Micro'!$L240,"")</f>
        <v/>
      </c>
      <c r="AQ216" s="21" t="str">
        <f>IF(AND('Atividades Micro'!$A240=AQ$2,'Atividades Micro'!$K240&lt;&gt;""),'Atividades Micro'!$K240,"")</f>
        <v/>
      </c>
      <c r="AR216" s="21" t="str">
        <f>IF(AND('Atividades Micro'!$A240=AR$2,'Atividades Micro'!$L240&lt;&gt;""),'Atividades Micro'!$L240,"")</f>
        <v/>
      </c>
      <c r="AS216" s="21" t="str">
        <f>IF(AND('Atividades Micro'!$B240=AS$2,'Atividades Micro'!$K240&lt;&gt;""),'Atividades Micro'!$K240,"")</f>
        <v/>
      </c>
      <c r="AT216" s="21" t="str">
        <f>IF(AND('Atividades Micro'!$B240=AT$2,'Atividades Micro'!$L240&lt;&gt;""),'Atividades Micro'!$L240,"")</f>
        <v/>
      </c>
      <c r="AU216" s="21" t="str">
        <f>IF(AND('Atividades Micro'!$A240=AU$2,'Atividades Micro'!$K240&lt;&gt;""),'Atividades Micro'!$K240,"")</f>
        <v/>
      </c>
      <c r="AV216" s="21" t="str">
        <f>IF(AND('Atividades Micro'!$A240=AV$2,'Atividades Micro'!$L240&lt;&gt;""),'Atividades Micro'!$L240,"")</f>
        <v/>
      </c>
      <c r="AW216" s="21" t="str">
        <f>IF(AND('Atividades Micro'!$B240=AW$2,'Atividades Micro'!$K240&lt;&gt;""),'Atividades Micro'!$K240,"")</f>
        <v/>
      </c>
      <c r="AX216" s="21" t="str">
        <f>IF(AND('Atividades Micro'!$B240=AX$2,'Atividades Micro'!$L240&lt;&gt;""),'Atividades Micro'!$L240,"")</f>
        <v/>
      </c>
      <c r="AY216" s="21" t="str">
        <f>IF(AND('Atividades Micro'!$A240=AY$2,'Atividades Micro'!$K240&lt;&gt;""),'Atividades Micro'!$K240,"")</f>
        <v/>
      </c>
      <c r="AZ216" s="21" t="str">
        <f>IF(AND('Atividades Micro'!$A240=AZ$2,'Atividades Micro'!$L240&lt;&gt;""),'Atividades Micro'!$L240,"")</f>
        <v/>
      </c>
      <c r="BA216" s="21" t="str">
        <f>IF(AND('Atividades Micro'!$B240=BA$2,'Atividades Micro'!$K240&lt;&gt;""),'Atividades Micro'!$K240,"")</f>
        <v/>
      </c>
      <c r="BB216" s="21" t="str">
        <f>IF(AND('Atividades Micro'!$B240=BB$2,'Atividades Micro'!$L240&lt;&gt;""),'Atividades Micro'!$L240,"")</f>
        <v/>
      </c>
      <c r="BC216" s="21" t="str">
        <f>IF(AND('Atividades Micro'!$B240=BC$2,'Atividades Micro'!$G240="Macro",'Atividades Micro'!$K240&lt;&gt;""),'Atividades Micro'!$K240,"")</f>
        <v/>
      </c>
      <c r="BD216" s="21" t="str">
        <f>IF(AND('Atividades Micro'!$B240=BD$2,'Atividades Micro'!$G240="Macro",'Atividades Micro'!$K240&lt;&gt;""),'Atividades Micro'!$K240,"")</f>
        <v/>
      </c>
      <c r="BE216" s="21" t="str">
        <f>IF(AND('Atividades Micro'!$B240=BE$2,'Atividades Micro'!$G240="Macro",'Atividades Micro'!$K240&lt;&gt;""),'Atividades Micro'!$K240,"")</f>
        <v/>
      </c>
      <c r="BF216" s="21" t="str">
        <f>IF(AND('Atividades Micro'!$B240=BF$2,'Atividades Micro'!$G240="Macro",'Atividades Micro'!$K240&lt;&gt;""),'Atividades Micro'!$K240,"")</f>
        <v/>
      </c>
      <c r="BG216" s="21" t="str">
        <f>IF(AND('Atividades Micro'!$B240=BG$2,'Atividades Micro'!$G240="Macro",'Atividades Micro'!$K240&lt;&gt;""),'Atividades Micro'!$K240,"")</f>
        <v/>
      </c>
      <c r="BH216" s="21" t="str">
        <f>IF(AND('Atividades Micro'!$B240=BH$2,'Atividades Micro'!$G240="Macro",'Atividades Micro'!$K240&lt;&gt;""),'Atividades Micro'!$K240,"")</f>
        <v/>
      </c>
      <c r="BI216" s="21" t="str">
        <f>IF(AND('Atividades Micro'!$B240=BI$2,'Atividades Micro'!$G240="Macro",'Atividades Micro'!$K240&lt;&gt;""),'Atividades Micro'!$K240,"")</f>
        <v/>
      </c>
      <c r="BJ216" s="21" t="str">
        <f>IF(AND('Atividades Micro'!$B240=BJ$2,'Atividades Micro'!$G240="Macro",'Atividades Micro'!$K240&lt;&gt;""),'Atividades Micro'!$K240,"")</f>
        <v/>
      </c>
      <c r="BK216" s="21" t="str">
        <f>IF(AND('Atividades Micro'!$B240=BK$2,'Atividades Micro'!$G240="Macro",'Atividades Micro'!$K240&lt;&gt;""),'Atividades Micro'!$K240,"")</f>
        <v/>
      </c>
      <c r="BL216" s="21" t="str">
        <f>IF(AND('Atividades Micro'!$B240=BL$2,'Atividades Micro'!$G240="Macro",'Atividades Micro'!$K240&lt;&gt;""),'Atividades Micro'!$K240,"")</f>
        <v/>
      </c>
      <c r="BM216" s="21" t="str">
        <f>IF(AND('Atividades Micro'!$B240=BM$2,'Atividades Micro'!$G240="Macro",'Atividades Micro'!$K240&lt;&gt;""),'Atividades Micro'!$K240,"")</f>
        <v/>
      </c>
      <c r="BN216" s="21" t="str">
        <f>IF(AND('Atividades Micro'!$B240=BN$2,'Atividades Micro'!$G240="Macro",'Atividades Micro'!$K240&lt;&gt;""),'Atividades Micro'!$K240,"")</f>
        <v/>
      </c>
      <c r="BO216" s="21" t="str">
        <f>IF(AND('Atividades Micro'!$B240=BO$2,'Atividades Micro'!$G240="Macro",'Atividades Micro'!$K240&lt;&gt;""),'Atividades Micro'!$K240,"")</f>
        <v/>
      </c>
      <c r="BP216" s="21" t="str">
        <f>IF(AND('Atividades Micro'!$B240=BP$2,'Atividades Micro'!$G240="Macro",'Atividades Micro'!$K240&lt;&gt;""),'Atividades Micro'!$K240,"")</f>
        <v/>
      </c>
      <c r="BQ216" s="21" t="str">
        <f>IF(AND('Atividades Micro'!$B240=BQ$2,'Atividades Micro'!$G240="Macro",'Atividades Micro'!$K240&lt;&gt;""),'Atividades Micro'!$K240,"")</f>
        <v/>
      </c>
      <c r="BR216" s="21" t="str">
        <f>IF(AND('Atividades Micro'!$B240=BR$2,'Atividades Micro'!$G240="Macro",'Atividades Micro'!$K240&lt;&gt;""),'Atividades Micro'!$K240,"")</f>
        <v/>
      </c>
      <c r="BS216" s="21" t="str">
        <f>IF(AND('Atividades Micro'!$B240=BS$2,'Atividades Micro'!$G240="Macro",'Atividades Micro'!$K240&lt;&gt;""),'Atividades Micro'!$K240,"")</f>
        <v/>
      </c>
      <c r="BT216" s="21" t="str">
        <f>IF(AND('Atividades Micro'!$B240=BT$2,'Atividades Micro'!$G240="Macro",'Atividades Micro'!$K240&lt;&gt;""),'Atividades Micro'!$K240,"")</f>
        <v/>
      </c>
      <c r="BU216" s="21" t="str">
        <f>IF(AND('Atividades Micro'!$B240=BU$2,'Atividades Micro'!$G240="Macro",'Atividades Micro'!$K240&lt;&gt;""),'Atividades Micro'!$K240,"")</f>
        <v/>
      </c>
      <c r="BV216" s="21" t="str">
        <f>IF(AND('Atividades Micro'!$B240=BV$2,'Atividades Micro'!$G240="Macro",'Atividades Micro'!$K240&lt;&gt;""),'Atividades Micro'!$K240,"")</f>
        <v/>
      </c>
      <c r="BW216" s="21" t="str">
        <f>IF(AND('Atividades Micro'!$B240=BW$2,'Atividades Micro'!$G240="Macro",'Atividades Micro'!$K240&lt;&gt;""),'Atividades Micro'!$K240,"")</f>
        <v/>
      </c>
      <c r="BX216" s="21" t="str">
        <f>IF(AND('Atividades Micro'!$B240=BX$2,'Atividades Micro'!$G240="Macro",'Atividades Micro'!$K240&lt;&gt;""),'Atividades Micro'!$K240,"")</f>
        <v/>
      </c>
      <c r="BY216" s="21" t="str">
        <f>IF(AND('Atividades Micro'!$B240=BY$2,'Atividades Micro'!$G240="Macro",'Atividades Micro'!$K240&lt;&gt;""),'Atividades Micro'!$K240,"")</f>
        <v/>
      </c>
      <c r="BZ216" s="21" t="str">
        <f>IF(AND('Atividades Micro'!$B240=BZ$2,'Atividades Micro'!$G240="Macro",'Atividades Micro'!$K240&lt;&gt;""),'Atividades Micro'!$K240,"")</f>
        <v/>
      </c>
      <c r="CA216" s="21" t="str">
        <f>IF(AND('Atividades Micro'!$B240=CA$2,'Atividades Micro'!$G240="Macro",'Atividades Micro'!$K240&lt;&gt;""),'Atividades Micro'!$K240,"")</f>
        <v/>
      </c>
      <c r="CB216" s="21" t="str">
        <f>IF(AND('Atividades Micro'!$B240=CB$2,'Atividades Micro'!$G240="Macro",'Atividades Micro'!$K240&lt;&gt;""),'Atividades Micro'!$K240,"")</f>
        <v/>
      </c>
      <c r="CC216" s="21" t="str">
        <f>IF(AND('Atividades Micro'!$B240=CC$2,'Atividades Micro'!$G240="Macro",'Atividades Micro'!$K240&lt;&gt;""),'Atividades Micro'!$K240,"")</f>
        <v/>
      </c>
      <c r="CD216" s="21" t="str">
        <f>IF(AND('Atividades Micro'!$B240=CD$2,'Atividades Micro'!$G240="Micro",'Atividades Micro'!$K240&lt;&gt;""),'Atividades Micro'!$K240,"")</f>
        <v/>
      </c>
      <c r="CE216" s="21" t="str">
        <f>IF(AND('Atividades Micro'!$B240=CE$2,'Atividades Micro'!$G240="Micro",'Atividades Micro'!$K240&lt;&gt;""),'Atividades Micro'!$K240,"")</f>
        <v/>
      </c>
      <c r="CF216" s="21" t="str">
        <f>IF(AND('Atividades Micro'!$B240=CF$2,'Atividades Micro'!$G240="Micro",'Atividades Micro'!$K240&lt;&gt;""),'Atividades Micro'!$K240,"")</f>
        <v/>
      </c>
      <c r="CG216" s="21" t="str">
        <f>IF(AND('Atividades Micro'!$B240=CG$2,'Atividades Micro'!$G240="Micro",'Atividades Micro'!$K240&lt;&gt;""),'Atividades Micro'!$K240,"")</f>
        <v/>
      </c>
      <c r="CH216" s="21" t="str">
        <f>IF(AND('Atividades Micro'!$B240=CH$2,'Atividades Micro'!$G240="Micro",'Atividades Micro'!$K240&lt;&gt;""),'Atividades Micro'!$K240,"")</f>
        <v/>
      </c>
      <c r="CI216" s="21" t="str">
        <f>IF(AND('Atividades Micro'!$B240=CI$2,'Atividades Micro'!$G240="Micro",'Atividades Micro'!$K240&lt;&gt;""),'Atividades Micro'!$K240,"")</f>
        <v/>
      </c>
      <c r="CJ216" s="21" t="str">
        <f>IF(AND('Atividades Micro'!$B240=CJ$2,'Atividades Micro'!$G240="Micro",'Atividades Micro'!$K240&lt;&gt;""),'Atividades Micro'!$K240,"")</f>
        <v/>
      </c>
      <c r="CK216" s="21">
        <f>IF(AND('Atividades Micro'!$B240=CK$2,'Atividades Micro'!$G240="Micro",'Atividades Micro'!$K240&lt;&gt;""),'Atividades Micro'!$K240,"")</f>
        <v>46370</v>
      </c>
      <c r="CL216" s="21" t="str">
        <f>IF(AND('Atividades Micro'!$B240=CL$2,'Atividades Micro'!$G240="Micro",'Atividades Micro'!$K240&lt;&gt;""),'Atividades Micro'!$K240,"")</f>
        <v/>
      </c>
      <c r="CM216" s="21" t="str">
        <f>IF(AND('Atividades Micro'!$B240=CM$2,'Atividades Micro'!$G240="Micro",'Atividades Micro'!$K240&lt;&gt;""),'Atividades Micro'!$K240,"")</f>
        <v/>
      </c>
      <c r="CN216" s="21" t="str">
        <f>IF(AND('Atividades Micro'!$B240=CN$2,'Atividades Micro'!$G240="Micro",'Atividades Micro'!$K240&lt;&gt;""),'Atividades Micro'!$K240,"")</f>
        <v/>
      </c>
      <c r="CO216" s="21" t="str">
        <f>IF(AND('Atividades Micro'!$B240=CO$2,'Atividades Micro'!$G240="Micro",'Atividades Micro'!$K240&lt;&gt;""),'Atividades Micro'!$K240,"")</f>
        <v/>
      </c>
    </row>
    <row r="217" spans="1:93">
      <c r="A217" s="21" t="str">
        <f>IF(AND('Atividades Micro'!$A241=A$2,'Atividades Micro'!$K241&lt;&gt;""),'Atividades Micro'!$K241,"")</f>
        <v/>
      </c>
      <c r="B217" s="21" t="str">
        <f>IF(AND('Atividades Micro'!$A241=B$2,'Atividades Micro'!$L241&lt;&gt;""),'Atividades Micro'!$L241,"")</f>
        <v/>
      </c>
      <c r="C217" s="21" t="str">
        <f>IF(AND('Atividades Micro'!$A241=C$2,'Atividades Micro'!$K241&lt;&gt;""),'Atividades Micro'!$K241,"")</f>
        <v/>
      </c>
      <c r="D217" s="21" t="str">
        <f>IF(AND('Atividades Micro'!$A241=D$2,'Atividades Micro'!$L241&lt;&gt;""),'Atividades Micro'!$L241,"")</f>
        <v/>
      </c>
      <c r="E217" s="21" t="str">
        <f>IF(AND('Atividades Micro'!$A241=E$2,'Atividades Micro'!$K241&lt;&gt;""),'Atividades Micro'!$K241,"")</f>
        <v/>
      </c>
      <c r="F217" s="21" t="str">
        <f>IF(AND('Atividades Micro'!$A241=F$2,'Atividades Micro'!$L241&lt;&gt;""),'Atividades Micro'!$L241,"")</f>
        <v/>
      </c>
      <c r="G217" s="21" t="str">
        <f>IF(AND('Atividades Micro'!$A241=G$2,'Atividades Micro'!$K241&lt;&gt;""),'Atividades Micro'!$K241,"")</f>
        <v/>
      </c>
      <c r="H217" s="21" t="str">
        <f>IF(AND('Atividades Micro'!$A241=H$2,'Atividades Micro'!$L241&lt;&gt;""),'Atividades Micro'!$L241,"")</f>
        <v/>
      </c>
      <c r="I217" s="21" t="str">
        <f>IF(AND('Atividades Micro'!$A241=I$2,'Atividades Micro'!$K241&lt;&gt;""),'Atividades Micro'!$K241,"")</f>
        <v/>
      </c>
      <c r="J217" s="21" t="str">
        <f>IF(AND('Atividades Micro'!$A241=J$2,'Atividades Micro'!$L241&lt;&gt;""),'Atividades Micro'!$L241,"")</f>
        <v/>
      </c>
      <c r="K217" s="21" t="str">
        <f>IF(AND('Atividades Micro'!$B241=K$2,'Atividades Micro'!$K241&lt;&gt;""),'Atividades Micro'!$K241,"")</f>
        <v/>
      </c>
      <c r="L217" s="21" t="str">
        <f>IF(AND('Atividades Micro'!$B241=L$2,'Atividades Micro'!$L241&lt;&gt;""),'Atividades Micro'!$L241,"")</f>
        <v/>
      </c>
      <c r="M217" s="21" t="str">
        <f>IF(AND('Atividades Micro'!$B241=M$2,'Atividades Micro'!$K241&lt;&gt;""),'Atividades Micro'!$K241,"")</f>
        <v/>
      </c>
      <c r="N217" s="21" t="str">
        <f>IF(AND('Atividades Micro'!$B241=N$2,'Atividades Micro'!$L241&lt;&gt;""),'Atividades Micro'!$L241,"")</f>
        <v/>
      </c>
      <c r="O217" s="21" t="str">
        <f>IF(AND('Atividades Micro'!$A241=O$2,'Atividades Micro'!$K241&lt;&gt;""),'Atividades Micro'!$K241,"")</f>
        <v/>
      </c>
      <c r="P217" s="21" t="str">
        <f>IF(AND('Atividades Micro'!$A241=P$2,'Atividades Micro'!$L241&lt;&gt;""),'Atividades Micro'!$L241,"")</f>
        <v/>
      </c>
      <c r="Q217" s="21" t="str">
        <f>IF(AND('Atividades Micro'!$B241=Q$2,'Atividades Micro'!$K241&lt;&gt;""),'Atividades Micro'!$K241,"")</f>
        <v/>
      </c>
      <c r="R217" s="21" t="str">
        <f>IF(AND('Atividades Micro'!$B241=R$2,'Atividades Micro'!$L241&lt;&gt;""),'Atividades Micro'!$L241,"")</f>
        <v/>
      </c>
      <c r="S217" s="21" t="str">
        <f>IF(AND('Atividades Micro'!$A241=S$2,'Atividades Micro'!$K241&lt;&gt;""),'Atividades Micro'!$K241,"")</f>
        <v/>
      </c>
      <c r="T217" s="21" t="str">
        <f>IF(AND('Atividades Micro'!$A241=T$2,'Atividades Micro'!$L241&lt;&gt;""),'Atividades Micro'!$L241,"")</f>
        <v/>
      </c>
      <c r="U217" s="21" t="str">
        <f>IF(AND('Atividades Micro'!$B241=U$2,'Atividades Micro'!$K241&lt;&gt;""),'Atividades Micro'!$K241,"")</f>
        <v/>
      </c>
      <c r="V217" s="21" t="str">
        <f>IF(AND('Atividades Micro'!$B241=V$2,'Atividades Micro'!$L241&lt;&gt;""),'Atividades Micro'!$L241,"")</f>
        <v/>
      </c>
      <c r="W217" s="21" t="str">
        <f>IF(AND('Atividades Micro'!$B241=W$2,'Atividades Micro'!$K241&lt;&gt;""),'Atividades Micro'!$K241,"")</f>
        <v/>
      </c>
      <c r="X217" s="21" t="str">
        <f>IF(AND('Atividades Micro'!$B241=X$2,'Atividades Micro'!$L241&lt;&gt;""),'Atividades Micro'!$L241,"")</f>
        <v/>
      </c>
      <c r="Y217" s="21" t="str">
        <f>IF(AND('Atividades Micro'!$A241=Y$2,'Atividades Micro'!$K241&lt;&gt;""),'Atividades Micro'!$K241,"")</f>
        <v/>
      </c>
      <c r="Z217" s="21" t="str">
        <f>IF(AND('Atividades Micro'!$A241=Z$2,'Atividades Micro'!$L241&lt;&gt;""),'Atividades Micro'!$L241,"")</f>
        <v/>
      </c>
      <c r="AA217" s="21" t="str">
        <f>IF(AND('Atividades Micro'!$B241=AA$2,'Atividades Micro'!$K241&lt;&gt;""),'Atividades Micro'!$K241,"")</f>
        <v/>
      </c>
      <c r="AB217" s="21" t="str">
        <f>IF(AND('Atividades Micro'!$B241=AB$2,'Atividades Micro'!$L241&lt;&gt;""),'Atividades Micro'!$L241,"")</f>
        <v/>
      </c>
      <c r="AC217" s="21" t="str">
        <f>IF(AND('Atividades Micro'!$B241=AC$2,'Atividades Micro'!$K241&lt;&gt;""),'Atividades Micro'!$K241,"")</f>
        <v/>
      </c>
      <c r="AD217" s="21" t="str">
        <f>IF(AND('Atividades Micro'!$B241=AD$2,'Atividades Micro'!$L241&lt;&gt;""),'Atividades Micro'!$L241,"")</f>
        <v/>
      </c>
      <c r="AE217" s="21">
        <f>IF(AND('Atividades Micro'!$A241=AE$2,'Atividades Micro'!$K241&lt;&gt;""),'Atividades Micro'!$K241,"")</f>
        <v>46374</v>
      </c>
      <c r="AF217" s="21">
        <f>IF(AND('Atividades Micro'!$A241=AF$2,'Atividades Micro'!$L241&lt;&gt;""),'Atividades Micro'!$L241,"")</f>
        <v>46309</v>
      </c>
      <c r="AG217" s="21">
        <f>IF(AND('Atividades Micro'!$B241=AG$2,'Atividades Micro'!$K241&lt;&gt;""),'Atividades Micro'!$K241,"")</f>
        <v>46374</v>
      </c>
      <c r="AH217" s="21">
        <f>IF(AND('Atividades Micro'!$B241=AH$2,'Atividades Micro'!$L241&lt;&gt;""),'Atividades Micro'!$L241,"")</f>
        <v>46309</v>
      </c>
      <c r="AI217" s="21" t="str">
        <f>IF(AND('Atividades Micro'!$B241=AI$2,'Atividades Micro'!$K241&lt;&gt;""),'Atividades Micro'!$K241,"")</f>
        <v/>
      </c>
      <c r="AJ217" s="21" t="str">
        <f>IF(AND('Atividades Micro'!$B241=AJ$2,'Atividades Micro'!$L241&lt;&gt;""),'Atividades Micro'!$L241,"")</f>
        <v/>
      </c>
      <c r="AK217" s="21" t="str">
        <f>IF(AND('Atividades Micro'!$A241=AK$2,'Atividades Micro'!$K241&lt;&gt;""),'Atividades Micro'!$K241,"")</f>
        <v/>
      </c>
      <c r="AL217" s="21" t="str">
        <f>IF(AND('Atividades Micro'!$A241=AL$2,'Atividades Micro'!$L241&lt;&gt;""),'Atividades Micro'!$L241,"")</f>
        <v/>
      </c>
      <c r="AM217" s="21" t="str">
        <f>IF(AND('Atividades Micro'!$B241=AM$2,'Atividades Micro'!$K241&lt;&gt;""),'Atividades Micro'!$K241,"")</f>
        <v/>
      </c>
      <c r="AN217" s="21" t="str">
        <f>IF(AND('Atividades Micro'!$B241=AN$2,'Atividades Micro'!$L241&lt;&gt;""),'Atividades Micro'!$L241,"")</f>
        <v/>
      </c>
      <c r="AO217" s="21" t="str">
        <f>IF(AND('Atividades Micro'!$B241=AO$2,'Atividades Micro'!$K241&lt;&gt;""),'Atividades Micro'!$K241,"")</f>
        <v/>
      </c>
      <c r="AP217" s="21" t="str">
        <f>IF(AND('Atividades Micro'!$B241=AP$2,'Atividades Micro'!$L241&lt;&gt;""),'Atividades Micro'!$L241,"")</f>
        <v/>
      </c>
      <c r="AQ217" s="21" t="str">
        <f>IF(AND('Atividades Micro'!$A241=AQ$2,'Atividades Micro'!$K241&lt;&gt;""),'Atividades Micro'!$K241,"")</f>
        <v/>
      </c>
      <c r="AR217" s="21" t="str">
        <f>IF(AND('Atividades Micro'!$A241=AR$2,'Atividades Micro'!$L241&lt;&gt;""),'Atividades Micro'!$L241,"")</f>
        <v/>
      </c>
      <c r="AS217" s="21" t="str">
        <f>IF(AND('Atividades Micro'!$B241=AS$2,'Atividades Micro'!$K241&lt;&gt;""),'Atividades Micro'!$K241,"")</f>
        <v/>
      </c>
      <c r="AT217" s="21" t="str">
        <f>IF(AND('Atividades Micro'!$B241=AT$2,'Atividades Micro'!$L241&lt;&gt;""),'Atividades Micro'!$L241,"")</f>
        <v/>
      </c>
      <c r="AU217" s="21" t="str">
        <f>IF(AND('Atividades Micro'!$A241=AU$2,'Atividades Micro'!$K241&lt;&gt;""),'Atividades Micro'!$K241,"")</f>
        <v/>
      </c>
      <c r="AV217" s="21" t="str">
        <f>IF(AND('Atividades Micro'!$A241=AV$2,'Atividades Micro'!$L241&lt;&gt;""),'Atividades Micro'!$L241,"")</f>
        <v/>
      </c>
      <c r="AW217" s="21" t="str">
        <f>IF(AND('Atividades Micro'!$B241=AW$2,'Atividades Micro'!$K241&lt;&gt;""),'Atividades Micro'!$K241,"")</f>
        <v/>
      </c>
      <c r="AX217" s="21" t="str">
        <f>IF(AND('Atividades Micro'!$B241=AX$2,'Atividades Micro'!$L241&lt;&gt;""),'Atividades Micro'!$L241,"")</f>
        <v/>
      </c>
      <c r="AY217" s="21" t="str">
        <f>IF(AND('Atividades Micro'!$A241=AY$2,'Atividades Micro'!$K241&lt;&gt;""),'Atividades Micro'!$K241,"")</f>
        <v/>
      </c>
      <c r="AZ217" s="21" t="str">
        <f>IF(AND('Atividades Micro'!$A241=AZ$2,'Atividades Micro'!$L241&lt;&gt;""),'Atividades Micro'!$L241,"")</f>
        <v/>
      </c>
      <c r="BA217" s="21" t="str">
        <f>IF(AND('Atividades Micro'!$B241=BA$2,'Atividades Micro'!$K241&lt;&gt;""),'Atividades Micro'!$K241,"")</f>
        <v/>
      </c>
      <c r="BB217" s="21" t="str">
        <f>IF(AND('Atividades Micro'!$B241=BB$2,'Atividades Micro'!$L241&lt;&gt;""),'Atividades Micro'!$L241,"")</f>
        <v/>
      </c>
      <c r="BC217" s="21" t="str">
        <f>IF(AND('Atividades Micro'!$B241=BC$2,'Atividades Micro'!$G241="Macro",'Atividades Micro'!$K241&lt;&gt;""),'Atividades Micro'!$K241,"")</f>
        <v/>
      </c>
      <c r="BD217" s="21" t="str">
        <f>IF(AND('Atividades Micro'!$B241=BD$2,'Atividades Micro'!$G241="Macro",'Atividades Micro'!$K241&lt;&gt;""),'Atividades Micro'!$K241,"")</f>
        <v/>
      </c>
      <c r="BE217" s="21" t="str">
        <f>IF(AND('Atividades Micro'!$B241=BE$2,'Atividades Micro'!$G241="Macro",'Atividades Micro'!$K241&lt;&gt;""),'Atividades Micro'!$K241,"")</f>
        <v/>
      </c>
      <c r="BF217" s="21" t="str">
        <f>IF(AND('Atividades Micro'!$B241=BF$2,'Atividades Micro'!$G241="Macro",'Atividades Micro'!$K241&lt;&gt;""),'Atividades Micro'!$K241,"")</f>
        <v/>
      </c>
      <c r="BG217" s="21" t="str">
        <f>IF(AND('Atividades Micro'!$B241=BG$2,'Atividades Micro'!$G241="Macro",'Atividades Micro'!$K241&lt;&gt;""),'Atividades Micro'!$K241,"")</f>
        <v/>
      </c>
      <c r="BH217" s="21" t="str">
        <f>IF(AND('Atividades Micro'!$B241=BH$2,'Atividades Micro'!$G241="Macro",'Atividades Micro'!$K241&lt;&gt;""),'Atividades Micro'!$K241,"")</f>
        <v/>
      </c>
      <c r="BI217" s="21" t="str">
        <f>IF(AND('Atividades Micro'!$B241=BI$2,'Atividades Micro'!$G241="Macro",'Atividades Micro'!$K241&lt;&gt;""),'Atividades Micro'!$K241,"")</f>
        <v/>
      </c>
      <c r="BJ217" s="21" t="str">
        <f>IF(AND('Atividades Micro'!$B241=BJ$2,'Atividades Micro'!$G241="Macro",'Atividades Micro'!$K241&lt;&gt;""),'Atividades Micro'!$K241,"")</f>
        <v/>
      </c>
      <c r="BK217" s="21" t="str">
        <f>IF(AND('Atividades Micro'!$B241=BK$2,'Atividades Micro'!$G241="Macro",'Atividades Micro'!$K241&lt;&gt;""),'Atividades Micro'!$K241,"")</f>
        <v/>
      </c>
      <c r="BL217" s="21" t="str">
        <f>IF(AND('Atividades Micro'!$B241=BL$2,'Atividades Micro'!$G241="Macro",'Atividades Micro'!$K241&lt;&gt;""),'Atividades Micro'!$K241,"")</f>
        <v/>
      </c>
      <c r="BM217" s="21" t="str">
        <f>IF(AND('Atividades Micro'!$B241=BM$2,'Atividades Micro'!$G241="Macro",'Atividades Micro'!$K241&lt;&gt;""),'Atividades Micro'!$K241,"")</f>
        <v/>
      </c>
      <c r="BN217" s="21" t="str">
        <f>IF(AND('Atividades Micro'!$B241=BN$2,'Atividades Micro'!$G241="Macro",'Atividades Micro'!$K241&lt;&gt;""),'Atividades Micro'!$K241,"")</f>
        <v/>
      </c>
      <c r="BO217" s="21" t="str">
        <f>IF(AND('Atividades Micro'!$B241=BO$2,'Atividades Micro'!$G241="Macro",'Atividades Micro'!$K241&lt;&gt;""),'Atividades Micro'!$K241,"")</f>
        <v/>
      </c>
      <c r="BP217" s="21" t="str">
        <f>IF(AND('Atividades Micro'!$B241=BP$2,'Atividades Micro'!$G241="Macro",'Atividades Micro'!$K241&lt;&gt;""),'Atividades Micro'!$K241,"")</f>
        <v/>
      </c>
      <c r="BQ217" s="21" t="str">
        <f>IF(AND('Atividades Micro'!$B241=BQ$2,'Atividades Micro'!$G241="Macro",'Atividades Micro'!$K241&lt;&gt;""),'Atividades Micro'!$K241,"")</f>
        <v/>
      </c>
      <c r="BR217" s="21" t="str">
        <f>IF(AND('Atividades Micro'!$B241=BR$2,'Atividades Micro'!$G241="Macro",'Atividades Micro'!$K241&lt;&gt;""),'Atividades Micro'!$K241,"")</f>
        <v/>
      </c>
      <c r="BS217" s="21">
        <f>IF(AND('Atividades Micro'!$B241=BS$2,'Atividades Micro'!$G241="Macro",'Atividades Micro'!$K241&lt;&gt;""),'Atividades Micro'!$K241,"")</f>
        <v>46374</v>
      </c>
      <c r="BT217" s="21" t="str">
        <f>IF(AND('Atividades Micro'!$B241=BT$2,'Atividades Micro'!$G241="Macro",'Atividades Micro'!$K241&lt;&gt;""),'Atividades Micro'!$K241,"")</f>
        <v/>
      </c>
      <c r="BU217" s="21" t="str">
        <f>IF(AND('Atividades Micro'!$B241=BU$2,'Atividades Micro'!$G241="Macro",'Atividades Micro'!$K241&lt;&gt;""),'Atividades Micro'!$K241,"")</f>
        <v/>
      </c>
      <c r="BV217" s="21" t="str">
        <f>IF(AND('Atividades Micro'!$B241=BV$2,'Atividades Micro'!$G241="Macro",'Atividades Micro'!$K241&lt;&gt;""),'Atividades Micro'!$K241,"")</f>
        <v/>
      </c>
      <c r="BW217" s="21" t="str">
        <f>IF(AND('Atividades Micro'!$B241=BW$2,'Atividades Micro'!$G241="Macro",'Atividades Micro'!$K241&lt;&gt;""),'Atividades Micro'!$K241,"")</f>
        <v/>
      </c>
      <c r="BX217" s="21" t="str">
        <f>IF(AND('Atividades Micro'!$B241=BX$2,'Atividades Micro'!$G241="Macro",'Atividades Micro'!$K241&lt;&gt;""),'Atividades Micro'!$K241,"")</f>
        <v/>
      </c>
      <c r="BY217" s="21" t="str">
        <f>IF(AND('Atividades Micro'!$B241=BY$2,'Atividades Micro'!$G241="Macro",'Atividades Micro'!$K241&lt;&gt;""),'Atividades Micro'!$K241,"")</f>
        <v/>
      </c>
      <c r="BZ217" s="21" t="str">
        <f>IF(AND('Atividades Micro'!$B241=BZ$2,'Atividades Micro'!$G241="Macro",'Atividades Micro'!$K241&lt;&gt;""),'Atividades Micro'!$K241,"")</f>
        <v/>
      </c>
      <c r="CA217" s="21" t="str">
        <f>IF(AND('Atividades Micro'!$B241=CA$2,'Atividades Micro'!$G241="Macro",'Atividades Micro'!$K241&lt;&gt;""),'Atividades Micro'!$K241,"")</f>
        <v/>
      </c>
      <c r="CB217" s="21" t="str">
        <f>IF(AND('Atividades Micro'!$B241=CB$2,'Atividades Micro'!$G241="Macro",'Atividades Micro'!$K241&lt;&gt;""),'Atividades Micro'!$K241,"")</f>
        <v/>
      </c>
      <c r="CC217" s="21" t="str">
        <f>IF(AND('Atividades Micro'!$B241=CC$2,'Atividades Micro'!$G241="Macro",'Atividades Micro'!$K241&lt;&gt;""),'Atividades Micro'!$K241,"")</f>
        <v/>
      </c>
      <c r="CD217" s="21" t="str">
        <f>IF(AND('Atividades Micro'!$B241=CD$2,'Atividades Micro'!$G241="Micro",'Atividades Micro'!$K241&lt;&gt;""),'Atividades Micro'!$K241,"")</f>
        <v/>
      </c>
      <c r="CE217" s="21" t="str">
        <f>IF(AND('Atividades Micro'!$B241=CE$2,'Atividades Micro'!$G241="Micro",'Atividades Micro'!$K241&lt;&gt;""),'Atividades Micro'!$K241,"")</f>
        <v/>
      </c>
      <c r="CF217" s="21" t="str">
        <f>IF(AND('Atividades Micro'!$B241=CF$2,'Atividades Micro'!$G241="Micro",'Atividades Micro'!$K241&lt;&gt;""),'Atividades Micro'!$K241,"")</f>
        <v/>
      </c>
      <c r="CG217" s="21" t="str">
        <f>IF(AND('Atividades Micro'!$B241=CG$2,'Atividades Micro'!$G241="Micro",'Atividades Micro'!$K241&lt;&gt;""),'Atividades Micro'!$K241,"")</f>
        <v/>
      </c>
      <c r="CH217" s="21" t="str">
        <f>IF(AND('Atividades Micro'!$B241=CH$2,'Atividades Micro'!$G241="Micro",'Atividades Micro'!$K241&lt;&gt;""),'Atividades Micro'!$K241,"")</f>
        <v/>
      </c>
      <c r="CI217" s="21" t="str">
        <f>IF(AND('Atividades Micro'!$B241=CI$2,'Atividades Micro'!$G241="Micro",'Atividades Micro'!$K241&lt;&gt;""),'Atividades Micro'!$K241,"")</f>
        <v/>
      </c>
      <c r="CJ217" s="21" t="str">
        <f>IF(AND('Atividades Micro'!$B241=CJ$2,'Atividades Micro'!$G241="Micro",'Atividades Micro'!$K241&lt;&gt;""),'Atividades Micro'!$K241,"")</f>
        <v/>
      </c>
      <c r="CK217" s="21" t="str">
        <f>IF(AND('Atividades Micro'!$B241=CK$2,'Atividades Micro'!$G241="Micro",'Atividades Micro'!$K241&lt;&gt;""),'Atividades Micro'!$K241,"")</f>
        <v/>
      </c>
      <c r="CL217" s="21" t="str">
        <f>IF(AND('Atividades Micro'!$B241=CL$2,'Atividades Micro'!$G241="Micro",'Atividades Micro'!$K241&lt;&gt;""),'Atividades Micro'!$K241,"")</f>
        <v/>
      </c>
      <c r="CM217" s="21" t="str">
        <f>IF(AND('Atividades Micro'!$B241=CM$2,'Atividades Micro'!$G241="Micro",'Atividades Micro'!$K241&lt;&gt;""),'Atividades Micro'!$K241,"")</f>
        <v/>
      </c>
      <c r="CN217" s="21" t="str">
        <f>IF(AND('Atividades Micro'!$B241=CN$2,'Atividades Micro'!$G241="Micro",'Atividades Micro'!$K241&lt;&gt;""),'Atividades Micro'!$K241,"")</f>
        <v/>
      </c>
      <c r="CO217" s="21" t="str">
        <f>IF(AND('Atividades Micro'!$B241=CO$2,'Atividades Micro'!$G241="Micro",'Atividades Micro'!$K241&lt;&gt;""),'Atividades Micro'!$K241,"")</f>
        <v/>
      </c>
    </row>
    <row r="218" spans="1:93">
      <c r="A218" s="21" t="str">
        <f>IF(AND('Atividades Micro'!$A242=A$2,'Atividades Micro'!$K242&lt;&gt;""),'Atividades Micro'!$K242,"")</f>
        <v/>
      </c>
      <c r="B218" s="21" t="str">
        <f>IF(AND('Atividades Micro'!$A242=B$2,'Atividades Micro'!$L242&lt;&gt;""),'Atividades Micro'!$L242,"")</f>
        <v/>
      </c>
      <c r="C218" s="21" t="str">
        <f>IF(AND('Atividades Micro'!$A242=C$2,'Atividades Micro'!$K242&lt;&gt;""),'Atividades Micro'!$K242,"")</f>
        <v/>
      </c>
      <c r="D218" s="21" t="str">
        <f>IF(AND('Atividades Micro'!$A242=D$2,'Atividades Micro'!$L242&lt;&gt;""),'Atividades Micro'!$L242,"")</f>
        <v/>
      </c>
      <c r="E218" s="21" t="str">
        <f>IF(AND('Atividades Micro'!$A242=E$2,'Atividades Micro'!$K242&lt;&gt;""),'Atividades Micro'!$K242,"")</f>
        <v/>
      </c>
      <c r="F218" s="21" t="str">
        <f>IF(AND('Atividades Micro'!$A242=F$2,'Atividades Micro'!$L242&lt;&gt;""),'Atividades Micro'!$L242,"")</f>
        <v/>
      </c>
      <c r="G218" s="21" t="str">
        <f>IF(AND('Atividades Micro'!$A242=G$2,'Atividades Micro'!$K242&lt;&gt;""),'Atividades Micro'!$K242,"")</f>
        <v/>
      </c>
      <c r="H218" s="21" t="str">
        <f>IF(AND('Atividades Micro'!$A242=H$2,'Atividades Micro'!$L242&lt;&gt;""),'Atividades Micro'!$L242,"")</f>
        <v/>
      </c>
      <c r="I218" s="21" t="str">
        <f>IF(AND('Atividades Micro'!$A242=I$2,'Atividades Micro'!$K242&lt;&gt;""),'Atividades Micro'!$K242,"")</f>
        <v/>
      </c>
      <c r="J218" s="21" t="str">
        <f>IF(AND('Atividades Micro'!$A242=J$2,'Atividades Micro'!$L242&lt;&gt;""),'Atividades Micro'!$L242,"")</f>
        <v/>
      </c>
      <c r="K218" s="21" t="str">
        <f>IF(AND('Atividades Micro'!$B242=K$2,'Atividades Micro'!$K242&lt;&gt;""),'Atividades Micro'!$K242,"")</f>
        <v/>
      </c>
      <c r="L218" s="21" t="str">
        <f>IF(AND('Atividades Micro'!$B242=L$2,'Atividades Micro'!$L242&lt;&gt;""),'Atividades Micro'!$L242,"")</f>
        <v/>
      </c>
      <c r="M218" s="21" t="str">
        <f>IF(AND('Atividades Micro'!$B242=M$2,'Atividades Micro'!$K242&lt;&gt;""),'Atividades Micro'!$K242,"")</f>
        <v/>
      </c>
      <c r="N218" s="21" t="str">
        <f>IF(AND('Atividades Micro'!$B242=N$2,'Atividades Micro'!$L242&lt;&gt;""),'Atividades Micro'!$L242,"")</f>
        <v/>
      </c>
      <c r="O218" s="21" t="str">
        <f>IF(AND('Atividades Micro'!$A242=O$2,'Atividades Micro'!$K242&lt;&gt;""),'Atividades Micro'!$K242,"")</f>
        <v/>
      </c>
      <c r="P218" s="21" t="str">
        <f>IF(AND('Atividades Micro'!$A242=P$2,'Atividades Micro'!$L242&lt;&gt;""),'Atividades Micro'!$L242,"")</f>
        <v/>
      </c>
      <c r="Q218" s="21" t="str">
        <f>IF(AND('Atividades Micro'!$B242=Q$2,'Atividades Micro'!$K242&lt;&gt;""),'Atividades Micro'!$K242,"")</f>
        <v/>
      </c>
      <c r="R218" s="21" t="str">
        <f>IF(AND('Atividades Micro'!$B242=R$2,'Atividades Micro'!$L242&lt;&gt;""),'Atividades Micro'!$L242,"")</f>
        <v/>
      </c>
      <c r="S218" s="21" t="str">
        <f>IF(AND('Atividades Micro'!$A242=S$2,'Atividades Micro'!$K242&lt;&gt;""),'Atividades Micro'!$K242,"")</f>
        <v/>
      </c>
      <c r="T218" s="21" t="str">
        <f>IF(AND('Atividades Micro'!$A242=T$2,'Atividades Micro'!$L242&lt;&gt;""),'Atividades Micro'!$L242,"")</f>
        <v/>
      </c>
      <c r="U218" s="21" t="str">
        <f>IF(AND('Atividades Micro'!$B242=U$2,'Atividades Micro'!$K242&lt;&gt;""),'Atividades Micro'!$K242,"")</f>
        <v/>
      </c>
      <c r="V218" s="21" t="str">
        <f>IF(AND('Atividades Micro'!$B242=V$2,'Atividades Micro'!$L242&lt;&gt;""),'Atividades Micro'!$L242,"")</f>
        <v/>
      </c>
      <c r="W218" s="21" t="str">
        <f>IF(AND('Atividades Micro'!$B242=W$2,'Atividades Micro'!$K242&lt;&gt;""),'Atividades Micro'!$K242,"")</f>
        <v/>
      </c>
      <c r="X218" s="21" t="str">
        <f>IF(AND('Atividades Micro'!$B242=X$2,'Atividades Micro'!$L242&lt;&gt;""),'Atividades Micro'!$L242,"")</f>
        <v/>
      </c>
      <c r="Y218" s="21" t="str">
        <f>IF(AND('Atividades Micro'!$A242=Y$2,'Atividades Micro'!$K242&lt;&gt;""),'Atividades Micro'!$K242,"")</f>
        <v/>
      </c>
      <c r="Z218" s="21" t="str">
        <f>IF(AND('Atividades Micro'!$A242=Z$2,'Atividades Micro'!$L242&lt;&gt;""),'Atividades Micro'!$L242,"")</f>
        <v/>
      </c>
      <c r="AA218" s="21" t="str">
        <f>IF(AND('Atividades Micro'!$B242=AA$2,'Atividades Micro'!$K242&lt;&gt;""),'Atividades Micro'!$K242,"")</f>
        <v/>
      </c>
      <c r="AB218" s="21" t="str">
        <f>IF(AND('Atividades Micro'!$B242=AB$2,'Atividades Micro'!$L242&lt;&gt;""),'Atividades Micro'!$L242,"")</f>
        <v/>
      </c>
      <c r="AC218" s="21" t="str">
        <f>IF(AND('Atividades Micro'!$B242=AC$2,'Atividades Micro'!$K242&lt;&gt;""),'Atividades Micro'!$K242,"")</f>
        <v/>
      </c>
      <c r="AD218" s="21" t="str">
        <f>IF(AND('Atividades Micro'!$B242=AD$2,'Atividades Micro'!$L242&lt;&gt;""),'Atividades Micro'!$L242,"")</f>
        <v/>
      </c>
      <c r="AE218" s="21">
        <f>IF(AND('Atividades Micro'!$A242=AE$2,'Atividades Micro'!$K242&lt;&gt;""),'Atividades Micro'!$K242,"")</f>
        <v>46359</v>
      </c>
      <c r="AF218" s="21">
        <f>IF(AND('Atividades Micro'!$A242=AF$2,'Atividades Micro'!$L242&lt;&gt;""),'Atividades Micro'!$L242,"")</f>
        <v>46259</v>
      </c>
      <c r="AG218" s="21">
        <f>IF(AND('Atividades Micro'!$B242=AG$2,'Atividades Micro'!$K242&lt;&gt;""),'Atividades Micro'!$K242,"")</f>
        <v>46359</v>
      </c>
      <c r="AH218" s="21">
        <f>IF(AND('Atividades Micro'!$B242=AH$2,'Atividades Micro'!$L242&lt;&gt;""),'Atividades Micro'!$L242,"")</f>
        <v>46259</v>
      </c>
      <c r="AI218" s="21" t="str">
        <f>IF(AND('Atividades Micro'!$B242=AI$2,'Atividades Micro'!$K242&lt;&gt;""),'Atividades Micro'!$K242,"")</f>
        <v/>
      </c>
      <c r="AJ218" s="21" t="str">
        <f>IF(AND('Atividades Micro'!$B242=AJ$2,'Atividades Micro'!$L242&lt;&gt;""),'Atividades Micro'!$L242,"")</f>
        <v/>
      </c>
      <c r="AK218" s="21" t="str">
        <f>IF(AND('Atividades Micro'!$A242=AK$2,'Atividades Micro'!$K242&lt;&gt;""),'Atividades Micro'!$K242,"")</f>
        <v/>
      </c>
      <c r="AL218" s="21" t="str">
        <f>IF(AND('Atividades Micro'!$A242=AL$2,'Atividades Micro'!$L242&lt;&gt;""),'Atividades Micro'!$L242,"")</f>
        <v/>
      </c>
      <c r="AM218" s="21" t="str">
        <f>IF(AND('Atividades Micro'!$B242=AM$2,'Atividades Micro'!$K242&lt;&gt;""),'Atividades Micro'!$K242,"")</f>
        <v/>
      </c>
      <c r="AN218" s="21" t="str">
        <f>IF(AND('Atividades Micro'!$B242=AN$2,'Atividades Micro'!$L242&lt;&gt;""),'Atividades Micro'!$L242,"")</f>
        <v/>
      </c>
      <c r="AO218" s="21" t="str">
        <f>IF(AND('Atividades Micro'!$B242=AO$2,'Atividades Micro'!$K242&lt;&gt;""),'Atividades Micro'!$K242,"")</f>
        <v/>
      </c>
      <c r="AP218" s="21" t="str">
        <f>IF(AND('Atividades Micro'!$B242=AP$2,'Atividades Micro'!$L242&lt;&gt;""),'Atividades Micro'!$L242,"")</f>
        <v/>
      </c>
      <c r="AQ218" s="21" t="str">
        <f>IF(AND('Atividades Micro'!$A242=AQ$2,'Atividades Micro'!$K242&lt;&gt;""),'Atividades Micro'!$K242,"")</f>
        <v/>
      </c>
      <c r="AR218" s="21" t="str">
        <f>IF(AND('Atividades Micro'!$A242=AR$2,'Atividades Micro'!$L242&lt;&gt;""),'Atividades Micro'!$L242,"")</f>
        <v/>
      </c>
      <c r="AS218" s="21" t="str">
        <f>IF(AND('Atividades Micro'!$B242=AS$2,'Atividades Micro'!$K242&lt;&gt;""),'Atividades Micro'!$K242,"")</f>
        <v/>
      </c>
      <c r="AT218" s="21" t="str">
        <f>IF(AND('Atividades Micro'!$B242=AT$2,'Atividades Micro'!$L242&lt;&gt;""),'Atividades Micro'!$L242,"")</f>
        <v/>
      </c>
      <c r="AU218" s="21" t="str">
        <f>IF(AND('Atividades Micro'!$A242=AU$2,'Atividades Micro'!$K242&lt;&gt;""),'Atividades Micro'!$K242,"")</f>
        <v/>
      </c>
      <c r="AV218" s="21" t="str">
        <f>IF(AND('Atividades Micro'!$A242=AV$2,'Atividades Micro'!$L242&lt;&gt;""),'Atividades Micro'!$L242,"")</f>
        <v/>
      </c>
      <c r="AW218" s="21" t="str">
        <f>IF(AND('Atividades Micro'!$B242=AW$2,'Atividades Micro'!$K242&lt;&gt;""),'Atividades Micro'!$K242,"")</f>
        <v/>
      </c>
      <c r="AX218" s="21" t="str">
        <f>IF(AND('Atividades Micro'!$B242=AX$2,'Atividades Micro'!$L242&lt;&gt;""),'Atividades Micro'!$L242,"")</f>
        <v/>
      </c>
      <c r="AY218" s="21" t="str">
        <f>IF(AND('Atividades Micro'!$A242=AY$2,'Atividades Micro'!$K242&lt;&gt;""),'Atividades Micro'!$K242,"")</f>
        <v/>
      </c>
      <c r="AZ218" s="21" t="str">
        <f>IF(AND('Atividades Micro'!$A242=AZ$2,'Atividades Micro'!$L242&lt;&gt;""),'Atividades Micro'!$L242,"")</f>
        <v/>
      </c>
      <c r="BA218" s="21" t="str">
        <f>IF(AND('Atividades Micro'!$B242=BA$2,'Atividades Micro'!$K242&lt;&gt;""),'Atividades Micro'!$K242,"")</f>
        <v/>
      </c>
      <c r="BB218" s="21" t="str">
        <f>IF(AND('Atividades Micro'!$B242=BB$2,'Atividades Micro'!$L242&lt;&gt;""),'Atividades Micro'!$L242,"")</f>
        <v/>
      </c>
      <c r="BC218" s="21" t="str">
        <f>IF(AND('Atividades Micro'!$B242=BC$2,'Atividades Micro'!$G242="Macro",'Atividades Micro'!$K242&lt;&gt;""),'Atividades Micro'!$K242,"")</f>
        <v/>
      </c>
      <c r="BD218" s="21" t="str">
        <f>IF(AND('Atividades Micro'!$B242=BD$2,'Atividades Micro'!$G242="Macro",'Atividades Micro'!$K242&lt;&gt;""),'Atividades Micro'!$K242,"")</f>
        <v/>
      </c>
      <c r="BE218" s="21" t="str">
        <f>IF(AND('Atividades Micro'!$B242=BE$2,'Atividades Micro'!$G242="Macro",'Atividades Micro'!$K242&lt;&gt;""),'Atividades Micro'!$K242,"")</f>
        <v/>
      </c>
      <c r="BF218" s="21" t="str">
        <f>IF(AND('Atividades Micro'!$B242=BF$2,'Atividades Micro'!$G242="Macro",'Atividades Micro'!$K242&lt;&gt;""),'Atividades Micro'!$K242,"")</f>
        <v/>
      </c>
      <c r="BG218" s="21" t="str">
        <f>IF(AND('Atividades Micro'!$B242=BG$2,'Atividades Micro'!$G242="Macro",'Atividades Micro'!$K242&lt;&gt;""),'Atividades Micro'!$K242,"")</f>
        <v/>
      </c>
      <c r="BH218" s="21" t="str">
        <f>IF(AND('Atividades Micro'!$B242=BH$2,'Atividades Micro'!$G242="Macro",'Atividades Micro'!$K242&lt;&gt;""),'Atividades Micro'!$K242,"")</f>
        <v/>
      </c>
      <c r="BI218" s="21" t="str">
        <f>IF(AND('Atividades Micro'!$B242=BI$2,'Atividades Micro'!$G242="Macro",'Atividades Micro'!$K242&lt;&gt;""),'Atividades Micro'!$K242,"")</f>
        <v/>
      </c>
      <c r="BJ218" s="21" t="str">
        <f>IF(AND('Atividades Micro'!$B242=BJ$2,'Atividades Micro'!$G242="Macro",'Atividades Micro'!$K242&lt;&gt;""),'Atividades Micro'!$K242,"")</f>
        <v/>
      </c>
      <c r="BK218" s="21" t="str">
        <f>IF(AND('Atividades Micro'!$B242=BK$2,'Atividades Micro'!$G242="Macro",'Atividades Micro'!$K242&lt;&gt;""),'Atividades Micro'!$K242,"")</f>
        <v/>
      </c>
      <c r="BL218" s="21" t="str">
        <f>IF(AND('Atividades Micro'!$B242=BL$2,'Atividades Micro'!$G242="Macro",'Atividades Micro'!$K242&lt;&gt;""),'Atividades Micro'!$K242,"")</f>
        <v/>
      </c>
      <c r="BM218" s="21" t="str">
        <f>IF(AND('Atividades Micro'!$B242=BM$2,'Atividades Micro'!$G242="Macro",'Atividades Micro'!$K242&lt;&gt;""),'Atividades Micro'!$K242,"")</f>
        <v/>
      </c>
      <c r="BN218" s="21" t="str">
        <f>IF(AND('Atividades Micro'!$B242=BN$2,'Atividades Micro'!$G242="Macro",'Atividades Micro'!$K242&lt;&gt;""),'Atividades Micro'!$K242,"")</f>
        <v/>
      </c>
      <c r="BO218" s="21" t="str">
        <f>IF(AND('Atividades Micro'!$B242=BO$2,'Atividades Micro'!$G242="Macro",'Atividades Micro'!$K242&lt;&gt;""),'Atividades Micro'!$K242,"")</f>
        <v/>
      </c>
      <c r="BP218" s="21" t="str">
        <f>IF(AND('Atividades Micro'!$B242=BP$2,'Atividades Micro'!$G242="Macro",'Atividades Micro'!$K242&lt;&gt;""),'Atividades Micro'!$K242,"")</f>
        <v/>
      </c>
      <c r="BQ218" s="21" t="str">
        <f>IF(AND('Atividades Micro'!$B242=BQ$2,'Atividades Micro'!$G242="Macro",'Atividades Micro'!$K242&lt;&gt;""),'Atividades Micro'!$K242,"")</f>
        <v/>
      </c>
      <c r="BR218" s="21" t="str">
        <f>IF(AND('Atividades Micro'!$B242=BR$2,'Atividades Micro'!$G242="Macro",'Atividades Micro'!$K242&lt;&gt;""),'Atividades Micro'!$K242,"")</f>
        <v/>
      </c>
      <c r="BS218" s="21" t="str">
        <f>IF(AND('Atividades Micro'!$B242=BS$2,'Atividades Micro'!$G242="Macro",'Atividades Micro'!$K242&lt;&gt;""),'Atividades Micro'!$K242,"")</f>
        <v/>
      </c>
      <c r="BT218" s="21" t="str">
        <f>IF(AND('Atividades Micro'!$B242=BT$2,'Atividades Micro'!$G242="Macro",'Atividades Micro'!$K242&lt;&gt;""),'Atividades Micro'!$K242,"")</f>
        <v/>
      </c>
      <c r="BU218" s="21" t="str">
        <f>IF(AND('Atividades Micro'!$B242=BU$2,'Atividades Micro'!$G242="Macro",'Atividades Micro'!$K242&lt;&gt;""),'Atividades Micro'!$K242,"")</f>
        <v/>
      </c>
      <c r="BV218" s="21" t="str">
        <f>IF(AND('Atividades Micro'!$B242=BV$2,'Atividades Micro'!$G242="Macro",'Atividades Micro'!$K242&lt;&gt;""),'Atividades Micro'!$K242,"")</f>
        <v/>
      </c>
      <c r="BW218" s="21" t="str">
        <f>IF(AND('Atividades Micro'!$B242=BW$2,'Atividades Micro'!$G242="Macro",'Atividades Micro'!$K242&lt;&gt;""),'Atividades Micro'!$K242,"")</f>
        <v/>
      </c>
      <c r="BX218" s="21" t="str">
        <f>IF(AND('Atividades Micro'!$B242=BX$2,'Atividades Micro'!$G242="Macro",'Atividades Micro'!$K242&lt;&gt;""),'Atividades Micro'!$K242,"")</f>
        <v/>
      </c>
      <c r="BY218" s="21" t="str">
        <f>IF(AND('Atividades Micro'!$B242=BY$2,'Atividades Micro'!$G242="Macro",'Atividades Micro'!$K242&lt;&gt;""),'Atividades Micro'!$K242,"")</f>
        <v/>
      </c>
      <c r="BZ218" s="21" t="str">
        <f>IF(AND('Atividades Micro'!$B242=BZ$2,'Atividades Micro'!$G242="Macro",'Atividades Micro'!$K242&lt;&gt;""),'Atividades Micro'!$K242,"")</f>
        <v/>
      </c>
      <c r="CA218" s="21" t="str">
        <f>IF(AND('Atividades Micro'!$B242=CA$2,'Atividades Micro'!$G242="Macro",'Atividades Micro'!$K242&lt;&gt;""),'Atividades Micro'!$K242,"")</f>
        <v/>
      </c>
      <c r="CB218" s="21" t="str">
        <f>IF(AND('Atividades Micro'!$B242=CB$2,'Atividades Micro'!$G242="Macro",'Atividades Micro'!$K242&lt;&gt;""),'Atividades Micro'!$K242,"")</f>
        <v/>
      </c>
      <c r="CC218" s="21" t="str">
        <f>IF(AND('Atividades Micro'!$B242=CC$2,'Atividades Micro'!$G242="Macro",'Atividades Micro'!$K242&lt;&gt;""),'Atividades Micro'!$K242,"")</f>
        <v/>
      </c>
      <c r="CD218" s="21" t="str">
        <f>IF(AND('Atividades Micro'!$B242=CD$2,'Atividades Micro'!$G242="Micro",'Atividades Micro'!$K242&lt;&gt;""),'Atividades Micro'!$K242,"")</f>
        <v/>
      </c>
      <c r="CE218" s="21" t="str">
        <f>IF(AND('Atividades Micro'!$B242=CE$2,'Atividades Micro'!$G242="Micro",'Atividades Micro'!$K242&lt;&gt;""),'Atividades Micro'!$K242,"")</f>
        <v/>
      </c>
      <c r="CF218" s="21" t="str">
        <f>IF(AND('Atividades Micro'!$B242=CF$2,'Atividades Micro'!$G242="Micro",'Atividades Micro'!$K242&lt;&gt;""),'Atividades Micro'!$K242,"")</f>
        <v/>
      </c>
      <c r="CG218" s="21" t="str">
        <f>IF(AND('Atividades Micro'!$B242=CG$2,'Atividades Micro'!$G242="Micro",'Atividades Micro'!$K242&lt;&gt;""),'Atividades Micro'!$K242,"")</f>
        <v/>
      </c>
      <c r="CH218" s="21" t="str">
        <f>IF(AND('Atividades Micro'!$B242=CH$2,'Atividades Micro'!$G242="Micro",'Atividades Micro'!$K242&lt;&gt;""),'Atividades Micro'!$K242,"")</f>
        <v/>
      </c>
      <c r="CI218" s="21" t="str">
        <f>IF(AND('Atividades Micro'!$B242=CI$2,'Atividades Micro'!$G242="Micro",'Atividades Micro'!$K242&lt;&gt;""),'Atividades Micro'!$K242,"")</f>
        <v/>
      </c>
      <c r="CJ218" s="21" t="str">
        <f>IF(AND('Atividades Micro'!$B242=CJ$2,'Atividades Micro'!$G242="Micro",'Atividades Micro'!$K242&lt;&gt;""),'Atividades Micro'!$K242,"")</f>
        <v/>
      </c>
      <c r="CK218" s="21">
        <f>IF(AND('Atividades Micro'!$B242=CK$2,'Atividades Micro'!$G242="Micro",'Atividades Micro'!$K242&lt;&gt;""),'Atividades Micro'!$K242,"")</f>
        <v>46359</v>
      </c>
      <c r="CL218" s="21" t="str">
        <f>IF(AND('Atividades Micro'!$B242=CL$2,'Atividades Micro'!$G242="Micro",'Atividades Micro'!$K242&lt;&gt;""),'Atividades Micro'!$K242,"")</f>
        <v/>
      </c>
      <c r="CM218" s="21" t="str">
        <f>IF(AND('Atividades Micro'!$B242=CM$2,'Atividades Micro'!$G242="Micro",'Atividades Micro'!$K242&lt;&gt;""),'Atividades Micro'!$K242,"")</f>
        <v/>
      </c>
      <c r="CN218" s="21" t="str">
        <f>IF(AND('Atividades Micro'!$B242=CN$2,'Atividades Micro'!$G242="Micro",'Atividades Micro'!$K242&lt;&gt;""),'Atividades Micro'!$K242,"")</f>
        <v/>
      </c>
      <c r="CO218" s="21" t="str">
        <f>IF(AND('Atividades Micro'!$B242=CO$2,'Atividades Micro'!$G242="Micro",'Atividades Micro'!$K242&lt;&gt;""),'Atividades Micro'!$K242,"")</f>
        <v/>
      </c>
    </row>
    <row r="219" spans="1:93">
      <c r="A219" s="21" t="str">
        <f>IF(AND('Atividades Micro'!$A243=A$2,'Atividades Micro'!$K243&lt;&gt;""),'Atividades Micro'!$K243,"")</f>
        <v/>
      </c>
      <c r="B219" s="21" t="str">
        <f>IF(AND('Atividades Micro'!$A243=B$2,'Atividades Micro'!$L243&lt;&gt;""),'Atividades Micro'!$L243,"")</f>
        <v/>
      </c>
      <c r="C219" s="21" t="str">
        <f>IF(AND('Atividades Micro'!$A243=C$2,'Atividades Micro'!$K243&lt;&gt;""),'Atividades Micro'!$K243,"")</f>
        <v/>
      </c>
      <c r="D219" s="21" t="str">
        <f>IF(AND('Atividades Micro'!$A243=D$2,'Atividades Micro'!$L243&lt;&gt;""),'Atividades Micro'!$L243,"")</f>
        <v/>
      </c>
      <c r="E219" s="21" t="str">
        <f>IF(AND('Atividades Micro'!$A243=E$2,'Atividades Micro'!$K243&lt;&gt;""),'Atividades Micro'!$K243,"")</f>
        <v/>
      </c>
      <c r="F219" s="21" t="str">
        <f>IF(AND('Atividades Micro'!$A243=F$2,'Atividades Micro'!$L243&lt;&gt;""),'Atividades Micro'!$L243,"")</f>
        <v/>
      </c>
      <c r="G219" s="21" t="str">
        <f>IF(AND('Atividades Micro'!$A243=G$2,'Atividades Micro'!$K243&lt;&gt;""),'Atividades Micro'!$K243,"")</f>
        <v/>
      </c>
      <c r="H219" s="21" t="str">
        <f>IF(AND('Atividades Micro'!$A243=H$2,'Atividades Micro'!$L243&lt;&gt;""),'Atividades Micro'!$L243,"")</f>
        <v/>
      </c>
      <c r="I219" s="21" t="str">
        <f>IF(AND('Atividades Micro'!$A243=I$2,'Atividades Micro'!$K243&lt;&gt;""),'Atividades Micro'!$K243,"")</f>
        <v/>
      </c>
      <c r="J219" s="21" t="str">
        <f>IF(AND('Atividades Micro'!$A243=J$2,'Atividades Micro'!$L243&lt;&gt;""),'Atividades Micro'!$L243,"")</f>
        <v/>
      </c>
      <c r="K219" s="21" t="str">
        <f>IF(AND('Atividades Micro'!$B243=K$2,'Atividades Micro'!$K243&lt;&gt;""),'Atividades Micro'!$K243,"")</f>
        <v/>
      </c>
      <c r="L219" s="21" t="str">
        <f>IF(AND('Atividades Micro'!$B243=L$2,'Atividades Micro'!$L243&lt;&gt;""),'Atividades Micro'!$L243,"")</f>
        <v/>
      </c>
      <c r="M219" s="21" t="str">
        <f>IF(AND('Atividades Micro'!$B243=M$2,'Atividades Micro'!$K243&lt;&gt;""),'Atividades Micro'!$K243,"")</f>
        <v/>
      </c>
      <c r="N219" s="21" t="str">
        <f>IF(AND('Atividades Micro'!$B243=N$2,'Atividades Micro'!$L243&lt;&gt;""),'Atividades Micro'!$L243,"")</f>
        <v/>
      </c>
      <c r="O219" s="21" t="str">
        <f>IF(AND('Atividades Micro'!$A243=O$2,'Atividades Micro'!$K243&lt;&gt;""),'Atividades Micro'!$K243,"")</f>
        <v/>
      </c>
      <c r="P219" s="21" t="str">
        <f>IF(AND('Atividades Micro'!$A243=P$2,'Atividades Micro'!$L243&lt;&gt;""),'Atividades Micro'!$L243,"")</f>
        <v/>
      </c>
      <c r="Q219" s="21" t="str">
        <f>IF(AND('Atividades Micro'!$B243=Q$2,'Atividades Micro'!$K243&lt;&gt;""),'Atividades Micro'!$K243,"")</f>
        <v/>
      </c>
      <c r="R219" s="21" t="str">
        <f>IF(AND('Atividades Micro'!$B243=R$2,'Atividades Micro'!$L243&lt;&gt;""),'Atividades Micro'!$L243,"")</f>
        <v/>
      </c>
      <c r="S219" s="21" t="str">
        <f>IF(AND('Atividades Micro'!$A243=S$2,'Atividades Micro'!$K243&lt;&gt;""),'Atividades Micro'!$K243,"")</f>
        <v/>
      </c>
      <c r="T219" s="21" t="str">
        <f>IF(AND('Atividades Micro'!$A243=T$2,'Atividades Micro'!$L243&lt;&gt;""),'Atividades Micro'!$L243,"")</f>
        <v/>
      </c>
      <c r="U219" s="21" t="str">
        <f>IF(AND('Atividades Micro'!$B243=U$2,'Atividades Micro'!$K243&lt;&gt;""),'Atividades Micro'!$K243,"")</f>
        <v/>
      </c>
      <c r="V219" s="21" t="str">
        <f>IF(AND('Atividades Micro'!$B243=V$2,'Atividades Micro'!$L243&lt;&gt;""),'Atividades Micro'!$L243,"")</f>
        <v/>
      </c>
      <c r="W219" s="21" t="str">
        <f>IF(AND('Atividades Micro'!$B243=W$2,'Atividades Micro'!$K243&lt;&gt;""),'Atividades Micro'!$K243,"")</f>
        <v/>
      </c>
      <c r="X219" s="21" t="str">
        <f>IF(AND('Atividades Micro'!$B243=X$2,'Atividades Micro'!$L243&lt;&gt;""),'Atividades Micro'!$L243,"")</f>
        <v/>
      </c>
      <c r="Y219" s="21" t="str">
        <f>IF(AND('Atividades Micro'!$A243=Y$2,'Atividades Micro'!$K243&lt;&gt;""),'Atividades Micro'!$K243,"")</f>
        <v/>
      </c>
      <c r="Z219" s="21" t="str">
        <f>IF(AND('Atividades Micro'!$A243=Z$2,'Atividades Micro'!$L243&lt;&gt;""),'Atividades Micro'!$L243,"")</f>
        <v/>
      </c>
      <c r="AA219" s="21" t="str">
        <f>IF(AND('Atividades Micro'!$B243=AA$2,'Atividades Micro'!$K243&lt;&gt;""),'Atividades Micro'!$K243,"")</f>
        <v/>
      </c>
      <c r="AB219" s="21" t="str">
        <f>IF(AND('Atividades Micro'!$B243=AB$2,'Atividades Micro'!$L243&lt;&gt;""),'Atividades Micro'!$L243,"")</f>
        <v/>
      </c>
      <c r="AC219" s="21" t="str">
        <f>IF(AND('Atividades Micro'!$B243=AC$2,'Atividades Micro'!$K243&lt;&gt;""),'Atividades Micro'!$K243,"")</f>
        <v/>
      </c>
      <c r="AD219" s="21" t="str">
        <f>IF(AND('Atividades Micro'!$B243=AD$2,'Atividades Micro'!$L243&lt;&gt;""),'Atividades Micro'!$L243,"")</f>
        <v/>
      </c>
      <c r="AE219" s="21">
        <f>IF(AND('Atividades Micro'!$A243=AE$2,'Atividades Micro'!$K243&lt;&gt;""),'Atividades Micro'!$K243,"")</f>
        <v>46374</v>
      </c>
      <c r="AF219" s="21">
        <f>IF(AND('Atividades Micro'!$A243=AF$2,'Atividades Micro'!$L243&lt;&gt;""),'Atividades Micro'!$L243,"")</f>
        <v>46309</v>
      </c>
      <c r="AG219" s="21">
        <f>IF(AND('Atividades Micro'!$B243=AG$2,'Atividades Micro'!$K243&lt;&gt;""),'Atividades Micro'!$K243,"")</f>
        <v>46374</v>
      </c>
      <c r="AH219" s="21">
        <f>IF(AND('Atividades Micro'!$B243=AH$2,'Atividades Micro'!$L243&lt;&gt;""),'Atividades Micro'!$L243,"")</f>
        <v>46309</v>
      </c>
      <c r="AI219" s="21" t="str">
        <f>IF(AND('Atividades Micro'!$B243=AI$2,'Atividades Micro'!$K243&lt;&gt;""),'Atividades Micro'!$K243,"")</f>
        <v/>
      </c>
      <c r="AJ219" s="21" t="str">
        <f>IF(AND('Atividades Micro'!$B243=AJ$2,'Atividades Micro'!$L243&lt;&gt;""),'Atividades Micro'!$L243,"")</f>
        <v/>
      </c>
      <c r="AK219" s="21" t="str">
        <f>IF(AND('Atividades Micro'!$A243=AK$2,'Atividades Micro'!$K243&lt;&gt;""),'Atividades Micro'!$K243,"")</f>
        <v/>
      </c>
      <c r="AL219" s="21" t="str">
        <f>IF(AND('Atividades Micro'!$A243=AL$2,'Atividades Micro'!$L243&lt;&gt;""),'Atividades Micro'!$L243,"")</f>
        <v/>
      </c>
      <c r="AM219" s="21" t="str">
        <f>IF(AND('Atividades Micro'!$B243=AM$2,'Atividades Micro'!$K243&lt;&gt;""),'Atividades Micro'!$K243,"")</f>
        <v/>
      </c>
      <c r="AN219" s="21" t="str">
        <f>IF(AND('Atividades Micro'!$B243=AN$2,'Atividades Micro'!$L243&lt;&gt;""),'Atividades Micro'!$L243,"")</f>
        <v/>
      </c>
      <c r="AO219" s="21" t="str">
        <f>IF(AND('Atividades Micro'!$B243=AO$2,'Atividades Micro'!$K243&lt;&gt;""),'Atividades Micro'!$K243,"")</f>
        <v/>
      </c>
      <c r="AP219" s="21" t="str">
        <f>IF(AND('Atividades Micro'!$B243=AP$2,'Atividades Micro'!$L243&lt;&gt;""),'Atividades Micro'!$L243,"")</f>
        <v/>
      </c>
      <c r="AQ219" s="21" t="str">
        <f>IF(AND('Atividades Micro'!$A243=AQ$2,'Atividades Micro'!$K243&lt;&gt;""),'Atividades Micro'!$K243,"")</f>
        <v/>
      </c>
      <c r="AR219" s="21" t="str">
        <f>IF(AND('Atividades Micro'!$A243=AR$2,'Atividades Micro'!$L243&lt;&gt;""),'Atividades Micro'!$L243,"")</f>
        <v/>
      </c>
      <c r="AS219" s="21" t="str">
        <f>IF(AND('Atividades Micro'!$B243=AS$2,'Atividades Micro'!$K243&lt;&gt;""),'Atividades Micro'!$K243,"")</f>
        <v/>
      </c>
      <c r="AT219" s="21" t="str">
        <f>IF(AND('Atividades Micro'!$B243=AT$2,'Atividades Micro'!$L243&lt;&gt;""),'Atividades Micro'!$L243,"")</f>
        <v/>
      </c>
      <c r="AU219" s="21" t="str">
        <f>IF(AND('Atividades Micro'!$A243=AU$2,'Atividades Micro'!$K243&lt;&gt;""),'Atividades Micro'!$K243,"")</f>
        <v/>
      </c>
      <c r="AV219" s="21" t="str">
        <f>IF(AND('Atividades Micro'!$A243=AV$2,'Atividades Micro'!$L243&lt;&gt;""),'Atividades Micro'!$L243,"")</f>
        <v/>
      </c>
      <c r="AW219" s="21" t="str">
        <f>IF(AND('Atividades Micro'!$B243=AW$2,'Atividades Micro'!$K243&lt;&gt;""),'Atividades Micro'!$K243,"")</f>
        <v/>
      </c>
      <c r="AX219" s="21" t="str">
        <f>IF(AND('Atividades Micro'!$B243=AX$2,'Atividades Micro'!$L243&lt;&gt;""),'Atividades Micro'!$L243,"")</f>
        <v/>
      </c>
      <c r="AY219" s="21" t="str">
        <f>IF(AND('Atividades Micro'!$A243=AY$2,'Atividades Micro'!$K243&lt;&gt;""),'Atividades Micro'!$K243,"")</f>
        <v/>
      </c>
      <c r="AZ219" s="21" t="str">
        <f>IF(AND('Atividades Micro'!$A243=AZ$2,'Atividades Micro'!$L243&lt;&gt;""),'Atividades Micro'!$L243,"")</f>
        <v/>
      </c>
      <c r="BA219" s="21" t="str">
        <f>IF(AND('Atividades Micro'!$B243=BA$2,'Atividades Micro'!$K243&lt;&gt;""),'Atividades Micro'!$K243,"")</f>
        <v/>
      </c>
      <c r="BB219" s="21" t="str">
        <f>IF(AND('Atividades Micro'!$B243=BB$2,'Atividades Micro'!$L243&lt;&gt;""),'Atividades Micro'!$L243,"")</f>
        <v/>
      </c>
      <c r="BC219" s="21" t="str">
        <f>IF(AND('Atividades Micro'!$B243=BC$2,'Atividades Micro'!$G243="Macro",'Atividades Micro'!$K243&lt;&gt;""),'Atividades Micro'!$K243,"")</f>
        <v/>
      </c>
      <c r="BD219" s="21" t="str">
        <f>IF(AND('Atividades Micro'!$B243=BD$2,'Atividades Micro'!$G243="Macro",'Atividades Micro'!$K243&lt;&gt;""),'Atividades Micro'!$K243,"")</f>
        <v/>
      </c>
      <c r="BE219" s="21" t="str">
        <f>IF(AND('Atividades Micro'!$B243=BE$2,'Atividades Micro'!$G243="Macro",'Atividades Micro'!$K243&lt;&gt;""),'Atividades Micro'!$K243,"")</f>
        <v/>
      </c>
      <c r="BF219" s="21" t="str">
        <f>IF(AND('Atividades Micro'!$B243=BF$2,'Atividades Micro'!$G243="Macro",'Atividades Micro'!$K243&lt;&gt;""),'Atividades Micro'!$K243,"")</f>
        <v/>
      </c>
      <c r="BG219" s="21" t="str">
        <f>IF(AND('Atividades Micro'!$B243=BG$2,'Atividades Micro'!$G243="Macro",'Atividades Micro'!$K243&lt;&gt;""),'Atividades Micro'!$K243,"")</f>
        <v/>
      </c>
      <c r="BH219" s="21" t="str">
        <f>IF(AND('Atividades Micro'!$B243=BH$2,'Atividades Micro'!$G243="Macro",'Atividades Micro'!$K243&lt;&gt;""),'Atividades Micro'!$K243,"")</f>
        <v/>
      </c>
      <c r="BI219" s="21" t="str">
        <f>IF(AND('Atividades Micro'!$B243=BI$2,'Atividades Micro'!$G243="Macro",'Atividades Micro'!$K243&lt;&gt;""),'Atividades Micro'!$K243,"")</f>
        <v/>
      </c>
      <c r="BJ219" s="21" t="str">
        <f>IF(AND('Atividades Micro'!$B243=BJ$2,'Atividades Micro'!$G243="Macro",'Atividades Micro'!$K243&lt;&gt;""),'Atividades Micro'!$K243,"")</f>
        <v/>
      </c>
      <c r="BK219" s="21" t="str">
        <f>IF(AND('Atividades Micro'!$B243=BK$2,'Atividades Micro'!$G243="Macro",'Atividades Micro'!$K243&lt;&gt;""),'Atividades Micro'!$K243,"")</f>
        <v/>
      </c>
      <c r="BL219" s="21" t="str">
        <f>IF(AND('Atividades Micro'!$B243=BL$2,'Atividades Micro'!$G243="Macro",'Atividades Micro'!$K243&lt;&gt;""),'Atividades Micro'!$K243,"")</f>
        <v/>
      </c>
      <c r="BM219" s="21" t="str">
        <f>IF(AND('Atividades Micro'!$B243=BM$2,'Atividades Micro'!$G243="Macro",'Atividades Micro'!$K243&lt;&gt;""),'Atividades Micro'!$K243,"")</f>
        <v/>
      </c>
      <c r="BN219" s="21" t="str">
        <f>IF(AND('Atividades Micro'!$B243=BN$2,'Atividades Micro'!$G243="Macro",'Atividades Micro'!$K243&lt;&gt;""),'Atividades Micro'!$K243,"")</f>
        <v/>
      </c>
      <c r="BO219" s="21" t="str">
        <f>IF(AND('Atividades Micro'!$B243=BO$2,'Atividades Micro'!$G243="Macro",'Atividades Micro'!$K243&lt;&gt;""),'Atividades Micro'!$K243,"")</f>
        <v/>
      </c>
      <c r="BP219" s="21" t="str">
        <f>IF(AND('Atividades Micro'!$B243=BP$2,'Atividades Micro'!$G243="Macro",'Atividades Micro'!$K243&lt;&gt;""),'Atividades Micro'!$K243,"")</f>
        <v/>
      </c>
      <c r="BQ219" s="21" t="str">
        <f>IF(AND('Atividades Micro'!$B243=BQ$2,'Atividades Micro'!$G243="Macro",'Atividades Micro'!$K243&lt;&gt;""),'Atividades Micro'!$K243,"")</f>
        <v/>
      </c>
      <c r="BR219" s="21" t="str">
        <f>IF(AND('Atividades Micro'!$B243=BR$2,'Atividades Micro'!$G243="Macro",'Atividades Micro'!$K243&lt;&gt;""),'Atividades Micro'!$K243,"")</f>
        <v/>
      </c>
      <c r="BS219" s="21" t="str">
        <f>IF(AND('Atividades Micro'!$B243=BS$2,'Atividades Micro'!$G243="Macro",'Atividades Micro'!$K243&lt;&gt;""),'Atividades Micro'!$K243,"")</f>
        <v/>
      </c>
      <c r="BT219" s="21" t="str">
        <f>IF(AND('Atividades Micro'!$B243=BT$2,'Atividades Micro'!$G243="Macro",'Atividades Micro'!$K243&lt;&gt;""),'Atividades Micro'!$K243,"")</f>
        <v/>
      </c>
      <c r="BU219" s="21" t="str">
        <f>IF(AND('Atividades Micro'!$B243=BU$2,'Atividades Micro'!$G243="Macro",'Atividades Micro'!$K243&lt;&gt;""),'Atividades Micro'!$K243,"")</f>
        <v/>
      </c>
      <c r="BV219" s="21" t="str">
        <f>IF(AND('Atividades Micro'!$B243=BV$2,'Atividades Micro'!$G243="Macro",'Atividades Micro'!$K243&lt;&gt;""),'Atividades Micro'!$K243,"")</f>
        <v/>
      </c>
      <c r="BW219" s="21" t="str">
        <f>IF(AND('Atividades Micro'!$B243=BW$2,'Atividades Micro'!$G243="Macro",'Atividades Micro'!$K243&lt;&gt;""),'Atividades Micro'!$K243,"")</f>
        <v/>
      </c>
      <c r="BX219" s="21" t="str">
        <f>IF(AND('Atividades Micro'!$B243=BX$2,'Atividades Micro'!$G243="Macro",'Atividades Micro'!$K243&lt;&gt;""),'Atividades Micro'!$K243,"")</f>
        <v/>
      </c>
      <c r="BY219" s="21" t="str">
        <f>IF(AND('Atividades Micro'!$B243=BY$2,'Atividades Micro'!$G243="Macro",'Atividades Micro'!$K243&lt;&gt;""),'Atividades Micro'!$K243,"")</f>
        <v/>
      </c>
      <c r="BZ219" s="21" t="str">
        <f>IF(AND('Atividades Micro'!$B243=BZ$2,'Atividades Micro'!$G243="Macro",'Atividades Micro'!$K243&lt;&gt;""),'Atividades Micro'!$K243,"")</f>
        <v/>
      </c>
      <c r="CA219" s="21" t="str">
        <f>IF(AND('Atividades Micro'!$B243=CA$2,'Atividades Micro'!$G243="Macro",'Atividades Micro'!$K243&lt;&gt;""),'Atividades Micro'!$K243,"")</f>
        <v/>
      </c>
      <c r="CB219" s="21" t="str">
        <f>IF(AND('Atividades Micro'!$B243=CB$2,'Atividades Micro'!$G243="Macro",'Atividades Micro'!$K243&lt;&gt;""),'Atividades Micro'!$K243,"")</f>
        <v/>
      </c>
      <c r="CC219" s="21" t="str">
        <f>IF(AND('Atividades Micro'!$B243=CC$2,'Atividades Micro'!$G243="Macro",'Atividades Micro'!$K243&lt;&gt;""),'Atividades Micro'!$K243,"")</f>
        <v/>
      </c>
      <c r="CD219" s="21" t="str">
        <f>IF(AND('Atividades Micro'!$B243=CD$2,'Atividades Micro'!$G243="Micro",'Atividades Micro'!$K243&lt;&gt;""),'Atividades Micro'!$K243,"")</f>
        <v/>
      </c>
      <c r="CE219" s="21" t="str">
        <f>IF(AND('Atividades Micro'!$B243=CE$2,'Atividades Micro'!$G243="Micro",'Atividades Micro'!$K243&lt;&gt;""),'Atividades Micro'!$K243,"")</f>
        <v/>
      </c>
      <c r="CF219" s="21" t="str">
        <f>IF(AND('Atividades Micro'!$B243=CF$2,'Atividades Micro'!$G243="Micro",'Atividades Micro'!$K243&lt;&gt;""),'Atividades Micro'!$K243,"")</f>
        <v/>
      </c>
      <c r="CG219" s="21" t="str">
        <f>IF(AND('Atividades Micro'!$B243=CG$2,'Atividades Micro'!$G243="Micro",'Atividades Micro'!$K243&lt;&gt;""),'Atividades Micro'!$K243,"")</f>
        <v/>
      </c>
      <c r="CH219" s="21" t="str">
        <f>IF(AND('Atividades Micro'!$B243=CH$2,'Atividades Micro'!$G243="Micro",'Atividades Micro'!$K243&lt;&gt;""),'Atividades Micro'!$K243,"")</f>
        <v/>
      </c>
      <c r="CI219" s="21" t="str">
        <f>IF(AND('Atividades Micro'!$B243=CI$2,'Atividades Micro'!$G243="Micro",'Atividades Micro'!$K243&lt;&gt;""),'Atividades Micro'!$K243,"")</f>
        <v/>
      </c>
      <c r="CJ219" s="21" t="str">
        <f>IF(AND('Atividades Micro'!$B243=CJ$2,'Atividades Micro'!$G243="Micro",'Atividades Micro'!$K243&lt;&gt;""),'Atividades Micro'!$K243,"")</f>
        <v/>
      </c>
      <c r="CK219" s="21">
        <f>IF(AND('Atividades Micro'!$B243=CK$2,'Atividades Micro'!$G243="Micro",'Atividades Micro'!$K243&lt;&gt;""),'Atividades Micro'!$K243,"")</f>
        <v>46374</v>
      </c>
      <c r="CL219" s="21" t="str">
        <f>IF(AND('Atividades Micro'!$B243=CL$2,'Atividades Micro'!$G243="Micro",'Atividades Micro'!$K243&lt;&gt;""),'Atividades Micro'!$K243,"")</f>
        <v/>
      </c>
      <c r="CM219" s="21" t="str">
        <f>IF(AND('Atividades Micro'!$B243=CM$2,'Atividades Micro'!$G243="Micro",'Atividades Micro'!$K243&lt;&gt;""),'Atividades Micro'!$K243,"")</f>
        <v/>
      </c>
      <c r="CN219" s="21" t="str">
        <f>IF(AND('Atividades Micro'!$B243=CN$2,'Atividades Micro'!$G243="Micro",'Atividades Micro'!$K243&lt;&gt;""),'Atividades Micro'!$K243,"")</f>
        <v/>
      </c>
      <c r="CO219" s="21" t="str">
        <f>IF(AND('Atividades Micro'!$B243=CO$2,'Atividades Micro'!$G243="Micro",'Atividades Micro'!$K243&lt;&gt;""),'Atividades Micro'!$K243,"")</f>
        <v/>
      </c>
    </row>
    <row r="220" spans="1:93">
      <c r="A220" s="21" t="str">
        <f>IF(AND('Atividades Micro'!$A256=A$2,'Atividades Micro'!$K256&lt;&gt;""),'Atividades Micro'!$K256,"")</f>
        <v/>
      </c>
      <c r="B220" s="21" t="str">
        <f>IF(AND('Atividades Micro'!$A256=B$2,'Atividades Micro'!$L256&lt;&gt;""),'Atividades Micro'!$L256,"")</f>
        <v/>
      </c>
      <c r="C220" s="21" t="str">
        <f>IF(AND('Atividades Micro'!$A256=C$2,'Atividades Micro'!$K256&lt;&gt;""),'Atividades Micro'!$K256,"")</f>
        <v/>
      </c>
      <c r="D220" s="21" t="str">
        <f>IF(AND('Atividades Micro'!$A256=D$2,'Atividades Micro'!$L256&lt;&gt;""),'Atividades Micro'!$L256,"")</f>
        <v/>
      </c>
      <c r="E220" s="21" t="str">
        <f>IF(AND('Atividades Micro'!$A256=E$2,'Atividades Micro'!$K256&lt;&gt;""),'Atividades Micro'!$K256,"")</f>
        <v/>
      </c>
      <c r="F220" s="21" t="str">
        <f>IF(AND('Atividades Micro'!$A256=F$2,'Atividades Micro'!$L256&lt;&gt;""),'Atividades Micro'!$L256,"")</f>
        <v/>
      </c>
      <c r="G220" s="21" t="str">
        <f>IF(AND('Atividades Micro'!$A256=G$2,'Atividades Micro'!$K256&lt;&gt;""),'Atividades Micro'!$K256,"")</f>
        <v/>
      </c>
      <c r="H220" s="21" t="str">
        <f>IF(AND('Atividades Micro'!$A256=H$2,'Atividades Micro'!$L256&lt;&gt;""),'Atividades Micro'!$L256,"")</f>
        <v/>
      </c>
      <c r="I220" s="21" t="str">
        <f>IF(AND('Atividades Micro'!$A256=I$2,'Atividades Micro'!$K256&lt;&gt;""),'Atividades Micro'!$K256,"")</f>
        <v/>
      </c>
      <c r="J220" s="21" t="str">
        <f>IF(AND('Atividades Micro'!$A256=J$2,'Atividades Micro'!$L256&lt;&gt;""),'Atividades Micro'!$L256,"")</f>
        <v/>
      </c>
      <c r="K220" s="21" t="str">
        <f>IF(AND('Atividades Micro'!$B256=K$2,'Atividades Micro'!$K256&lt;&gt;""),'Atividades Micro'!$K256,"")</f>
        <v/>
      </c>
      <c r="L220" s="21" t="str">
        <f>IF(AND('Atividades Micro'!$B256=L$2,'Atividades Micro'!$L256&lt;&gt;""),'Atividades Micro'!$L256,"")</f>
        <v/>
      </c>
      <c r="M220" s="21" t="str">
        <f>IF(AND('Atividades Micro'!$B256=M$2,'Atividades Micro'!$K256&lt;&gt;""),'Atividades Micro'!$K256,"")</f>
        <v/>
      </c>
      <c r="N220" s="21" t="str">
        <f>IF(AND('Atividades Micro'!$B256=N$2,'Atividades Micro'!$L256&lt;&gt;""),'Atividades Micro'!$L256,"")</f>
        <v/>
      </c>
      <c r="O220" s="21" t="str">
        <f>IF(AND('Atividades Micro'!$A256=O$2,'Atividades Micro'!$K256&lt;&gt;""),'Atividades Micro'!$K256,"")</f>
        <v/>
      </c>
      <c r="P220" s="21" t="str">
        <f>IF(AND('Atividades Micro'!$A256=P$2,'Atividades Micro'!$L256&lt;&gt;""),'Atividades Micro'!$L256,"")</f>
        <v/>
      </c>
      <c r="Q220" s="21" t="str">
        <f>IF(AND('Atividades Micro'!$B256=Q$2,'Atividades Micro'!$K256&lt;&gt;""),'Atividades Micro'!$K256,"")</f>
        <v/>
      </c>
      <c r="R220" s="21" t="str">
        <f>IF(AND('Atividades Micro'!$B256=R$2,'Atividades Micro'!$L256&lt;&gt;""),'Atividades Micro'!$L256,"")</f>
        <v/>
      </c>
      <c r="S220" s="21" t="str">
        <f>IF(AND('Atividades Micro'!$A256=S$2,'Atividades Micro'!$K256&lt;&gt;""),'Atividades Micro'!$K256,"")</f>
        <v/>
      </c>
      <c r="T220" s="21" t="str">
        <f>IF(AND('Atividades Micro'!$A256=T$2,'Atividades Micro'!$L256&lt;&gt;""),'Atividades Micro'!$L256,"")</f>
        <v/>
      </c>
      <c r="U220" s="21" t="str">
        <f>IF(AND('Atividades Micro'!$B256=U$2,'Atividades Micro'!$K256&lt;&gt;""),'Atividades Micro'!$K256,"")</f>
        <v/>
      </c>
      <c r="V220" s="21" t="str">
        <f>IF(AND('Atividades Micro'!$B256=V$2,'Atividades Micro'!$L256&lt;&gt;""),'Atividades Micro'!$L256,"")</f>
        <v/>
      </c>
      <c r="W220" s="21" t="str">
        <f>IF(AND('Atividades Micro'!$B256=W$2,'Atividades Micro'!$K256&lt;&gt;""),'Atividades Micro'!$K256,"")</f>
        <v/>
      </c>
      <c r="X220" s="21" t="str">
        <f>IF(AND('Atividades Micro'!$B256=X$2,'Atividades Micro'!$L256&lt;&gt;""),'Atividades Micro'!$L256,"")</f>
        <v/>
      </c>
      <c r="Y220" s="21" t="str">
        <f>IF(AND('Atividades Micro'!$A256=Y$2,'Atividades Micro'!$K256&lt;&gt;""),'Atividades Micro'!$K256,"")</f>
        <v/>
      </c>
      <c r="Z220" s="21" t="str">
        <f>IF(AND('Atividades Micro'!$A256=Z$2,'Atividades Micro'!$L256&lt;&gt;""),'Atividades Micro'!$L256,"")</f>
        <v/>
      </c>
      <c r="AA220" s="21" t="str">
        <f>IF(AND('Atividades Micro'!$B256=AA$2,'Atividades Micro'!$K256&lt;&gt;""),'Atividades Micro'!$K256,"")</f>
        <v/>
      </c>
      <c r="AB220" s="21" t="str">
        <f>IF(AND('Atividades Micro'!$B256=AB$2,'Atividades Micro'!$L256&lt;&gt;""),'Atividades Micro'!$L256,"")</f>
        <v/>
      </c>
      <c r="AC220" s="21" t="str">
        <f>IF(AND('Atividades Micro'!$B256=AC$2,'Atividades Micro'!$K256&lt;&gt;""),'Atividades Micro'!$K256,"")</f>
        <v/>
      </c>
      <c r="AD220" s="21" t="str">
        <f>IF(AND('Atividades Micro'!$B256=AD$2,'Atividades Micro'!$L256&lt;&gt;""),'Atividades Micro'!$L256,"")</f>
        <v/>
      </c>
      <c r="AE220" s="21" t="str">
        <f>IF(AND('Atividades Micro'!$A256=AE$2,'Atividades Micro'!$K256&lt;&gt;""),'Atividades Micro'!$K256,"")</f>
        <v/>
      </c>
      <c r="AF220" s="21" t="str">
        <f>IF(AND('Atividades Micro'!$A256=AF$2,'Atividades Micro'!$L256&lt;&gt;""),'Atividades Micro'!$L256,"")</f>
        <v/>
      </c>
      <c r="AG220" s="21" t="str">
        <f>IF(AND('Atividades Micro'!$B256=AG$2,'Atividades Micro'!$K256&lt;&gt;""),'Atividades Micro'!$K256,"")</f>
        <v/>
      </c>
      <c r="AH220" s="21" t="str">
        <f>IF(AND('Atividades Micro'!$B256=AH$2,'Atividades Micro'!$L256&lt;&gt;""),'Atividades Micro'!$L256,"")</f>
        <v/>
      </c>
      <c r="AI220" s="21" t="str">
        <f>IF(AND('Atividades Micro'!$B256=AI$2,'Atividades Micro'!$K256&lt;&gt;""),'Atividades Micro'!$K256,"")</f>
        <v/>
      </c>
      <c r="AJ220" s="21" t="str">
        <f>IF(AND('Atividades Micro'!$B256=AJ$2,'Atividades Micro'!$L256&lt;&gt;""),'Atividades Micro'!$L256,"")</f>
        <v/>
      </c>
      <c r="AK220" s="21" t="str">
        <f>IF(AND('Atividades Micro'!$A256=AK$2,'Atividades Micro'!$K256&lt;&gt;""),'Atividades Micro'!$K256,"")</f>
        <v/>
      </c>
      <c r="AL220" s="21" t="str">
        <f>IF(AND('Atividades Micro'!$A256=AL$2,'Atividades Micro'!$L256&lt;&gt;""),'Atividades Micro'!$L256,"")</f>
        <v/>
      </c>
      <c r="AM220" s="21" t="str">
        <f>IF(AND('Atividades Micro'!$B256=AM$2,'Atividades Micro'!$K256&lt;&gt;""),'Atividades Micro'!$K256,"")</f>
        <v/>
      </c>
      <c r="AN220" s="21" t="str">
        <f>IF(AND('Atividades Micro'!$B256=AN$2,'Atividades Micro'!$L256&lt;&gt;""),'Atividades Micro'!$L256,"")</f>
        <v/>
      </c>
      <c r="AO220" s="21" t="str">
        <f>IF(AND('Atividades Micro'!$B256=AO$2,'Atividades Micro'!$K256&lt;&gt;""),'Atividades Micro'!$K256,"")</f>
        <v/>
      </c>
      <c r="AP220" s="21" t="str">
        <f>IF(AND('Atividades Micro'!$B256=AP$2,'Atividades Micro'!$L256&lt;&gt;""),'Atividades Micro'!$L256,"")</f>
        <v/>
      </c>
      <c r="AQ220" s="21" t="str">
        <f>IF(AND('Atividades Micro'!$A256=AQ$2,'Atividades Micro'!$K256&lt;&gt;""),'Atividades Micro'!$K256,"")</f>
        <v/>
      </c>
      <c r="AR220" s="21" t="str">
        <f>IF(AND('Atividades Micro'!$A256=AR$2,'Atividades Micro'!$L256&lt;&gt;""),'Atividades Micro'!$L256,"")</f>
        <v/>
      </c>
      <c r="AS220" s="21" t="str">
        <f>IF(AND('Atividades Micro'!$B256=AS$2,'Atividades Micro'!$K256&lt;&gt;""),'Atividades Micro'!$K256,"")</f>
        <v/>
      </c>
      <c r="AT220" s="21" t="str">
        <f>IF(AND('Atividades Micro'!$B256=AT$2,'Atividades Micro'!$L256&lt;&gt;""),'Atividades Micro'!$L256,"")</f>
        <v/>
      </c>
      <c r="AU220" s="21" t="str">
        <f>IF(AND('Atividades Micro'!$A256=AU$2,'Atividades Micro'!$K256&lt;&gt;""),'Atividades Micro'!$K256,"")</f>
        <v/>
      </c>
      <c r="AV220" s="21" t="str">
        <f>IF(AND('Atividades Micro'!$A256=AV$2,'Atividades Micro'!$L256&lt;&gt;""),'Atividades Micro'!$L256,"")</f>
        <v/>
      </c>
      <c r="AW220" s="21" t="str">
        <f>IF(AND('Atividades Micro'!$B256=AW$2,'Atividades Micro'!$K256&lt;&gt;""),'Atividades Micro'!$K256,"")</f>
        <v/>
      </c>
      <c r="AX220" s="21" t="str">
        <f>IF(AND('Atividades Micro'!$B256=AX$2,'Atividades Micro'!$L256&lt;&gt;""),'Atividades Micro'!$L256,"")</f>
        <v/>
      </c>
      <c r="AY220" s="21" t="str">
        <f>IF(AND('Atividades Micro'!$A256=AY$2,'Atividades Micro'!$K256&lt;&gt;""),'Atividades Micro'!$K256,"")</f>
        <v/>
      </c>
      <c r="AZ220" s="21" t="str">
        <f>IF(AND('Atividades Micro'!$A256=AZ$2,'Atividades Micro'!$L256&lt;&gt;""),'Atividades Micro'!$L256,"")</f>
        <v/>
      </c>
      <c r="BA220" s="21" t="str">
        <f>IF(AND('Atividades Micro'!$B256=BA$2,'Atividades Micro'!$K256&lt;&gt;""),'Atividades Micro'!$K256,"")</f>
        <v/>
      </c>
      <c r="BB220" s="21" t="str">
        <f>IF(AND('Atividades Micro'!$B256=BB$2,'Atividades Micro'!$L256&lt;&gt;""),'Atividades Micro'!$L256,"")</f>
        <v/>
      </c>
      <c r="BC220" s="21" t="str">
        <f>IF(AND('Atividades Micro'!$B256=BC$2,'Atividades Micro'!$G256="Macro",'Atividades Micro'!$K256&lt;&gt;""),'Atividades Micro'!$K256,"")</f>
        <v/>
      </c>
      <c r="BD220" s="21" t="str">
        <f>IF(AND('Atividades Micro'!$B256=BD$2,'Atividades Micro'!$G256="Macro",'Atividades Micro'!$K256&lt;&gt;""),'Atividades Micro'!$K256,"")</f>
        <v/>
      </c>
      <c r="BE220" s="21" t="str">
        <f>IF(AND('Atividades Micro'!$B256=BE$2,'Atividades Micro'!$G256="Macro",'Atividades Micro'!$K256&lt;&gt;""),'Atividades Micro'!$K256,"")</f>
        <v/>
      </c>
      <c r="BF220" s="21" t="str">
        <f>IF(AND('Atividades Micro'!$B256=BF$2,'Atividades Micro'!$G256="Macro",'Atividades Micro'!$K256&lt;&gt;""),'Atividades Micro'!$K256,"")</f>
        <v/>
      </c>
      <c r="BG220" s="21" t="str">
        <f>IF(AND('Atividades Micro'!$B256=BG$2,'Atividades Micro'!$G256="Macro",'Atividades Micro'!$K256&lt;&gt;""),'Atividades Micro'!$K256,"")</f>
        <v/>
      </c>
      <c r="BH220" s="21" t="str">
        <f>IF(AND('Atividades Micro'!$B256=BH$2,'Atividades Micro'!$G256="Macro",'Atividades Micro'!$K256&lt;&gt;""),'Atividades Micro'!$K256,"")</f>
        <v/>
      </c>
      <c r="BI220" s="21" t="str">
        <f>IF(AND('Atividades Micro'!$B256=BI$2,'Atividades Micro'!$G256="Macro",'Atividades Micro'!$K256&lt;&gt;""),'Atividades Micro'!$K256,"")</f>
        <v/>
      </c>
      <c r="BJ220" s="21" t="str">
        <f>IF(AND('Atividades Micro'!$B256=BJ$2,'Atividades Micro'!$G256="Macro",'Atividades Micro'!$K256&lt;&gt;""),'Atividades Micro'!$K256,"")</f>
        <v/>
      </c>
      <c r="BK220" s="21" t="str">
        <f>IF(AND('Atividades Micro'!$B256=BK$2,'Atividades Micro'!$G256="Macro",'Atividades Micro'!$K256&lt;&gt;""),'Atividades Micro'!$K256,"")</f>
        <v/>
      </c>
      <c r="BL220" s="21" t="str">
        <f>IF(AND('Atividades Micro'!$B256=BL$2,'Atividades Micro'!$G256="Macro",'Atividades Micro'!$K256&lt;&gt;""),'Atividades Micro'!$K256,"")</f>
        <v/>
      </c>
      <c r="BM220" s="21" t="str">
        <f>IF(AND('Atividades Micro'!$B256=BM$2,'Atividades Micro'!$G256="Macro",'Atividades Micro'!$K256&lt;&gt;""),'Atividades Micro'!$K256,"")</f>
        <v/>
      </c>
      <c r="BN220" s="21" t="str">
        <f>IF(AND('Atividades Micro'!$B256=BN$2,'Atividades Micro'!$G256="Macro",'Atividades Micro'!$K256&lt;&gt;""),'Atividades Micro'!$K256,"")</f>
        <v/>
      </c>
      <c r="BO220" s="21" t="str">
        <f>IF(AND('Atividades Micro'!$B256=BO$2,'Atividades Micro'!$G256="Macro",'Atividades Micro'!$K256&lt;&gt;""),'Atividades Micro'!$K256,"")</f>
        <v/>
      </c>
      <c r="BP220" s="21" t="str">
        <f>IF(AND('Atividades Micro'!$B256=BP$2,'Atividades Micro'!$G256="Macro",'Atividades Micro'!$K256&lt;&gt;""),'Atividades Micro'!$K256,"")</f>
        <v/>
      </c>
      <c r="BQ220" s="21" t="str">
        <f>IF(AND('Atividades Micro'!$B256=BQ$2,'Atividades Micro'!$G256="Macro",'Atividades Micro'!$K256&lt;&gt;""),'Atividades Micro'!$K256,"")</f>
        <v/>
      </c>
      <c r="BR220" s="21" t="str">
        <f>IF(AND('Atividades Micro'!$B256=BR$2,'Atividades Micro'!$G256="Macro",'Atividades Micro'!$K256&lt;&gt;""),'Atividades Micro'!$K256,"")</f>
        <v/>
      </c>
      <c r="BS220" s="21" t="str">
        <f>IF(AND('Atividades Micro'!$B256=BS$2,'Atividades Micro'!$G256="Macro",'Atividades Micro'!$K256&lt;&gt;""),'Atividades Micro'!$K256,"")</f>
        <v/>
      </c>
      <c r="BT220" s="21" t="str">
        <f>IF(AND('Atividades Micro'!$B256=BT$2,'Atividades Micro'!$G256="Macro",'Atividades Micro'!$K256&lt;&gt;""),'Atividades Micro'!$K256,"")</f>
        <v/>
      </c>
      <c r="BU220" s="21" t="str">
        <f>IF(AND('Atividades Micro'!$B256=BU$2,'Atividades Micro'!$G256="Macro",'Atividades Micro'!$K256&lt;&gt;""),'Atividades Micro'!$K256,"")</f>
        <v/>
      </c>
      <c r="BV220" s="21" t="str">
        <f>IF(AND('Atividades Micro'!$B256=BV$2,'Atividades Micro'!$G256="Macro",'Atividades Micro'!$K256&lt;&gt;""),'Atividades Micro'!$K256,"")</f>
        <v/>
      </c>
      <c r="BW220" s="21" t="str">
        <f>IF(AND('Atividades Micro'!$B256=BW$2,'Atividades Micro'!$G256="Macro",'Atividades Micro'!$K256&lt;&gt;""),'Atividades Micro'!$K256,"")</f>
        <v/>
      </c>
      <c r="BX220" s="21" t="str">
        <f>IF(AND('Atividades Micro'!$B256=BX$2,'Atividades Micro'!$G256="Macro",'Atividades Micro'!$K256&lt;&gt;""),'Atividades Micro'!$K256,"")</f>
        <v/>
      </c>
      <c r="BY220" s="21" t="str">
        <f>IF(AND('Atividades Micro'!$B256=BY$2,'Atividades Micro'!$G256="Macro",'Atividades Micro'!$K256&lt;&gt;""),'Atividades Micro'!$K256,"")</f>
        <v/>
      </c>
      <c r="BZ220" s="21" t="str">
        <f>IF(AND('Atividades Micro'!$B256=BZ$2,'Atividades Micro'!$G256="Macro",'Atividades Micro'!$K256&lt;&gt;""),'Atividades Micro'!$K256,"")</f>
        <v/>
      </c>
      <c r="CA220" s="21" t="str">
        <f>IF(AND('Atividades Micro'!$B256=CA$2,'Atividades Micro'!$G256="Macro",'Atividades Micro'!$K256&lt;&gt;""),'Atividades Micro'!$K256,"")</f>
        <v/>
      </c>
      <c r="CB220" s="21" t="str">
        <f>IF(AND('Atividades Micro'!$B256=CB$2,'Atividades Micro'!$G256="Macro",'Atividades Micro'!$K256&lt;&gt;""),'Atividades Micro'!$K256,"")</f>
        <v/>
      </c>
      <c r="CC220" s="21" t="str">
        <f>IF(AND('Atividades Micro'!$B256=CC$2,'Atividades Micro'!$G256="Macro",'Atividades Micro'!$K256&lt;&gt;""),'Atividades Micro'!$K256,"")</f>
        <v/>
      </c>
      <c r="CD220" s="21" t="str">
        <f>IF(AND('Atividades Micro'!$B256=CD$2,'Atividades Micro'!$G256="Micro",'Atividades Micro'!$K256&lt;&gt;""),'Atividades Micro'!$K256,"")</f>
        <v/>
      </c>
      <c r="CE220" s="21" t="str">
        <f>IF(AND('Atividades Micro'!$B256=CE$2,'Atividades Micro'!$G256="Micro",'Atividades Micro'!$K256&lt;&gt;""),'Atividades Micro'!$K256,"")</f>
        <v/>
      </c>
      <c r="CF220" s="21" t="str">
        <f>IF(AND('Atividades Micro'!$B256=CF$2,'Atividades Micro'!$G256="Micro",'Atividades Micro'!$K256&lt;&gt;""),'Atividades Micro'!$K256,"")</f>
        <v/>
      </c>
      <c r="CG220" s="21" t="str">
        <f>IF(AND('Atividades Micro'!$B256=CG$2,'Atividades Micro'!$G256="Micro",'Atividades Micro'!$K256&lt;&gt;""),'Atividades Micro'!$K256,"")</f>
        <v/>
      </c>
      <c r="CH220" s="21" t="str">
        <f>IF(AND('Atividades Micro'!$B256=CH$2,'Atividades Micro'!$G256="Micro",'Atividades Micro'!$K256&lt;&gt;""),'Atividades Micro'!$K256,"")</f>
        <v/>
      </c>
      <c r="CI220" s="21" t="str">
        <f>IF(AND('Atividades Micro'!$B256=CI$2,'Atividades Micro'!$G256="Micro",'Atividades Micro'!$K256&lt;&gt;""),'Atividades Micro'!$K256,"")</f>
        <v/>
      </c>
      <c r="CJ220" s="21" t="str">
        <f>IF(AND('Atividades Micro'!$B256=CJ$2,'Atividades Micro'!$G256="Micro",'Atividades Micro'!$K256&lt;&gt;""),'Atividades Micro'!$K256,"")</f>
        <v/>
      </c>
      <c r="CK220" s="21" t="str">
        <f>IF(AND('Atividades Micro'!$B256=CK$2,'Atividades Micro'!$G256="Micro",'Atividades Micro'!$K256&lt;&gt;""),'Atividades Micro'!$K256,"")</f>
        <v/>
      </c>
      <c r="CL220" s="21" t="str">
        <f>IF(AND('Atividades Micro'!$B256=CL$2,'Atividades Micro'!$G256="Micro",'Atividades Micro'!$K256&lt;&gt;""),'Atividades Micro'!$K256,"")</f>
        <v/>
      </c>
      <c r="CM220" s="21" t="str">
        <f>IF(AND('Atividades Micro'!$B256=CM$2,'Atividades Micro'!$G256="Micro",'Atividades Micro'!$K256&lt;&gt;""),'Atividades Micro'!$K256,"")</f>
        <v/>
      </c>
      <c r="CN220" s="21" t="str">
        <f>IF(AND('Atividades Micro'!$B256=CN$2,'Atividades Micro'!$G256="Micro",'Atividades Micro'!$K256&lt;&gt;""),'Atividades Micro'!$K256,"")</f>
        <v/>
      </c>
      <c r="CO220" s="21" t="str">
        <f>IF(AND('Atividades Micro'!$B256=CO$2,'Atividades Micro'!$G256="Micro",'Atividades Micro'!$K256&lt;&gt;""),'Atividades Micro'!$K256,"")</f>
        <v/>
      </c>
    </row>
    <row r="221" spans="1:93">
      <c r="A221" s="21" t="str">
        <f>IF(AND('Atividades Micro'!$A258=A$2,'Atividades Micro'!$K258&lt;&gt;""),'Atividades Micro'!$K258,"")</f>
        <v/>
      </c>
      <c r="B221" s="21" t="str">
        <f>IF(AND('Atividades Micro'!$A258=B$2,'Atividades Micro'!$L258&lt;&gt;""),'Atividades Micro'!$L258,"")</f>
        <v/>
      </c>
      <c r="C221" s="21" t="str">
        <f>IF(AND('Atividades Micro'!$A258=C$2,'Atividades Micro'!$K258&lt;&gt;""),'Atividades Micro'!$K258,"")</f>
        <v/>
      </c>
      <c r="D221" s="21" t="str">
        <f>IF(AND('Atividades Micro'!$A258=D$2,'Atividades Micro'!$L258&lt;&gt;""),'Atividades Micro'!$L258,"")</f>
        <v/>
      </c>
      <c r="E221" s="21" t="str">
        <f>IF(AND('Atividades Micro'!$A258=E$2,'Atividades Micro'!$K258&lt;&gt;""),'Atividades Micro'!$K258,"")</f>
        <v/>
      </c>
      <c r="F221" s="21" t="str">
        <f>IF(AND('Atividades Micro'!$A258=F$2,'Atividades Micro'!$L258&lt;&gt;""),'Atividades Micro'!$L258,"")</f>
        <v/>
      </c>
      <c r="G221" s="21" t="str">
        <f>IF(AND('Atividades Micro'!$A258=G$2,'Atividades Micro'!$K258&lt;&gt;""),'Atividades Micro'!$K258,"")</f>
        <v/>
      </c>
      <c r="H221" s="21" t="str">
        <f>IF(AND('Atividades Micro'!$A258=H$2,'Atividades Micro'!$L258&lt;&gt;""),'Atividades Micro'!$L258,"")</f>
        <v/>
      </c>
      <c r="I221" s="21" t="str">
        <f>IF(AND('Atividades Micro'!$A258=I$2,'Atividades Micro'!$K258&lt;&gt;""),'Atividades Micro'!$K258,"")</f>
        <v/>
      </c>
      <c r="J221" s="21" t="str">
        <f>IF(AND('Atividades Micro'!$A258=J$2,'Atividades Micro'!$L258&lt;&gt;""),'Atividades Micro'!$L258,"")</f>
        <v/>
      </c>
      <c r="K221" s="21" t="str">
        <f>IF(AND('Atividades Micro'!$B258=K$2,'Atividades Micro'!$K258&lt;&gt;""),'Atividades Micro'!$K258,"")</f>
        <v/>
      </c>
      <c r="L221" s="21" t="str">
        <f>IF(AND('Atividades Micro'!$B258=L$2,'Atividades Micro'!$L258&lt;&gt;""),'Atividades Micro'!$L258,"")</f>
        <v/>
      </c>
      <c r="M221" s="21" t="str">
        <f>IF(AND('Atividades Micro'!$B258=M$2,'Atividades Micro'!$K258&lt;&gt;""),'Atividades Micro'!$K258,"")</f>
        <v/>
      </c>
      <c r="N221" s="21" t="str">
        <f>IF(AND('Atividades Micro'!$B258=N$2,'Atividades Micro'!$L258&lt;&gt;""),'Atividades Micro'!$L258,"")</f>
        <v/>
      </c>
      <c r="O221" s="21" t="str">
        <f>IF(AND('Atividades Micro'!$A258=O$2,'Atividades Micro'!$K258&lt;&gt;""),'Atividades Micro'!$K258,"")</f>
        <v/>
      </c>
      <c r="P221" s="21" t="str">
        <f>IF(AND('Atividades Micro'!$A258=P$2,'Atividades Micro'!$L258&lt;&gt;""),'Atividades Micro'!$L258,"")</f>
        <v/>
      </c>
      <c r="Q221" s="21" t="str">
        <f>IF(AND('Atividades Micro'!$B258=Q$2,'Atividades Micro'!$K258&lt;&gt;""),'Atividades Micro'!$K258,"")</f>
        <v/>
      </c>
      <c r="R221" s="21" t="str">
        <f>IF(AND('Atividades Micro'!$B258=R$2,'Atividades Micro'!$L258&lt;&gt;""),'Atividades Micro'!$L258,"")</f>
        <v/>
      </c>
      <c r="S221" s="21" t="str">
        <f>IF(AND('Atividades Micro'!$A258=S$2,'Atividades Micro'!$K258&lt;&gt;""),'Atividades Micro'!$K258,"")</f>
        <v/>
      </c>
      <c r="T221" s="21" t="str">
        <f>IF(AND('Atividades Micro'!$A258=T$2,'Atividades Micro'!$L258&lt;&gt;""),'Atividades Micro'!$L258,"")</f>
        <v/>
      </c>
      <c r="U221" s="21" t="str">
        <f>IF(AND('Atividades Micro'!$B258=U$2,'Atividades Micro'!$K258&lt;&gt;""),'Atividades Micro'!$K258,"")</f>
        <v/>
      </c>
      <c r="V221" s="21" t="str">
        <f>IF(AND('Atividades Micro'!$B258=V$2,'Atividades Micro'!$L258&lt;&gt;""),'Atividades Micro'!$L258,"")</f>
        <v/>
      </c>
      <c r="W221" s="21" t="str">
        <f>IF(AND('Atividades Micro'!$B258=W$2,'Atividades Micro'!$K258&lt;&gt;""),'Atividades Micro'!$K258,"")</f>
        <v/>
      </c>
      <c r="X221" s="21" t="str">
        <f>IF(AND('Atividades Micro'!$B258=X$2,'Atividades Micro'!$L258&lt;&gt;""),'Atividades Micro'!$L258,"")</f>
        <v/>
      </c>
      <c r="Y221" s="21" t="str">
        <f>IF(AND('Atividades Micro'!$A258=Y$2,'Atividades Micro'!$K258&lt;&gt;""),'Atividades Micro'!$K258,"")</f>
        <v/>
      </c>
      <c r="Z221" s="21" t="str">
        <f>IF(AND('Atividades Micro'!$A258=Z$2,'Atividades Micro'!$L258&lt;&gt;""),'Atividades Micro'!$L258,"")</f>
        <v/>
      </c>
      <c r="AA221" s="21" t="str">
        <f>IF(AND('Atividades Micro'!$B258=AA$2,'Atividades Micro'!$K258&lt;&gt;""),'Atividades Micro'!$K258,"")</f>
        <v/>
      </c>
      <c r="AB221" s="21" t="str">
        <f>IF(AND('Atividades Micro'!$B258=AB$2,'Atividades Micro'!$L258&lt;&gt;""),'Atividades Micro'!$L258,"")</f>
        <v/>
      </c>
      <c r="AC221" s="21" t="str">
        <f>IF(AND('Atividades Micro'!$B258=AC$2,'Atividades Micro'!$K258&lt;&gt;""),'Atividades Micro'!$K258,"")</f>
        <v/>
      </c>
      <c r="AD221" s="21" t="str">
        <f>IF(AND('Atividades Micro'!$B258=AD$2,'Atividades Micro'!$L258&lt;&gt;""),'Atividades Micro'!$L258,"")</f>
        <v/>
      </c>
      <c r="AE221" s="21" t="str">
        <f>IF(AND('Atividades Micro'!$A258=AE$2,'Atividades Micro'!$K258&lt;&gt;""),'Atividades Micro'!$K258,"")</f>
        <v/>
      </c>
      <c r="AF221" s="21" t="str">
        <f>IF(AND('Atividades Micro'!$A258=AF$2,'Atividades Micro'!$L258&lt;&gt;""),'Atividades Micro'!$L258,"")</f>
        <v/>
      </c>
      <c r="AG221" s="21" t="str">
        <f>IF(AND('Atividades Micro'!$B258=AG$2,'Atividades Micro'!$K258&lt;&gt;""),'Atividades Micro'!$K258,"")</f>
        <v/>
      </c>
      <c r="AH221" s="21" t="str">
        <f>IF(AND('Atividades Micro'!$B258=AH$2,'Atividades Micro'!$L258&lt;&gt;""),'Atividades Micro'!$L258,"")</f>
        <v/>
      </c>
      <c r="AI221" s="21" t="str">
        <f>IF(AND('Atividades Micro'!$B258=AI$2,'Atividades Micro'!$K258&lt;&gt;""),'Atividades Micro'!$K258,"")</f>
        <v/>
      </c>
      <c r="AJ221" s="21" t="str">
        <f>IF(AND('Atividades Micro'!$B258=AJ$2,'Atividades Micro'!$L258&lt;&gt;""),'Atividades Micro'!$L258,"")</f>
        <v/>
      </c>
      <c r="AK221" s="21" t="str">
        <f>IF(AND('Atividades Micro'!$A258=AK$2,'Atividades Micro'!$K258&lt;&gt;""),'Atividades Micro'!$K258,"")</f>
        <v/>
      </c>
      <c r="AL221" s="21" t="str">
        <f>IF(AND('Atividades Micro'!$A258=AL$2,'Atividades Micro'!$L258&lt;&gt;""),'Atividades Micro'!$L258,"")</f>
        <v/>
      </c>
      <c r="AM221" s="21" t="str">
        <f>IF(AND('Atividades Micro'!$B258=AM$2,'Atividades Micro'!$K258&lt;&gt;""),'Atividades Micro'!$K258,"")</f>
        <v/>
      </c>
      <c r="AN221" s="21" t="str">
        <f>IF(AND('Atividades Micro'!$B258=AN$2,'Atividades Micro'!$L258&lt;&gt;""),'Atividades Micro'!$L258,"")</f>
        <v/>
      </c>
      <c r="AO221" s="21" t="str">
        <f>IF(AND('Atividades Micro'!$B258=AO$2,'Atividades Micro'!$K258&lt;&gt;""),'Atividades Micro'!$K258,"")</f>
        <v/>
      </c>
      <c r="AP221" s="21" t="str">
        <f>IF(AND('Atividades Micro'!$B258=AP$2,'Atividades Micro'!$L258&lt;&gt;""),'Atividades Micro'!$L258,"")</f>
        <v/>
      </c>
      <c r="AQ221" s="21" t="str">
        <f>IF(AND('Atividades Micro'!$A258=AQ$2,'Atividades Micro'!$K258&lt;&gt;""),'Atividades Micro'!$K258,"")</f>
        <v/>
      </c>
      <c r="AR221" s="21" t="str">
        <f>IF(AND('Atividades Micro'!$A258=AR$2,'Atividades Micro'!$L258&lt;&gt;""),'Atividades Micro'!$L258,"")</f>
        <v/>
      </c>
      <c r="AS221" s="21" t="str">
        <f>IF(AND('Atividades Micro'!$B258=AS$2,'Atividades Micro'!$K258&lt;&gt;""),'Atividades Micro'!$K258,"")</f>
        <v/>
      </c>
      <c r="AT221" s="21" t="str">
        <f>IF(AND('Atividades Micro'!$B258=AT$2,'Atividades Micro'!$L258&lt;&gt;""),'Atividades Micro'!$L258,"")</f>
        <v/>
      </c>
      <c r="AU221" s="21" t="str">
        <f>IF(AND('Atividades Micro'!$A258=AU$2,'Atividades Micro'!$K258&lt;&gt;""),'Atividades Micro'!$K258,"")</f>
        <v/>
      </c>
      <c r="AV221" s="21" t="str">
        <f>IF(AND('Atividades Micro'!$A258=AV$2,'Atividades Micro'!$L258&lt;&gt;""),'Atividades Micro'!$L258,"")</f>
        <v/>
      </c>
      <c r="AW221" s="21" t="str">
        <f>IF(AND('Atividades Micro'!$B258=AW$2,'Atividades Micro'!$K258&lt;&gt;""),'Atividades Micro'!$K258,"")</f>
        <v/>
      </c>
      <c r="AX221" s="21" t="str">
        <f>IF(AND('Atividades Micro'!$B258=AX$2,'Atividades Micro'!$L258&lt;&gt;""),'Atividades Micro'!$L258,"")</f>
        <v/>
      </c>
      <c r="AY221" s="21" t="str">
        <f>IF(AND('Atividades Micro'!$A258=AY$2,'Atividades Micro'!$K258&lt;&gt;""),'Atividades Micro'!$K258,"")</f>
        <v/>
      </c>
      <c r="AZ221" s="21" t="str">
        <f>IF(AND('Atividades Micro'!$A258=AZ$2,'Atividades Micro'!$L258&lt;&gt;""),'Atividades Micro'!$L258,"")</f>
        <v/>
      </c>
      <c r="BA221" s="21" t="str">
        <f>IF(AND('Atividades Micro'!$B258=BA$2,'Atividades Micro'!$K258&lt;&gt;""),'Atividades Micro'!$K258,"")</f>
        <v/>
      </c>
      <c r="BB221" s="21" t="str">
        <f>IF(AND('Atividades Micro'!$B258=BB$2,'Atividades Micro'!$L258&lt;&gt;""),'Atividades Micro'!$L258,"")</f>
        <v/>
      </c>
      <c r="BC221" s="21" t="str">
        <f>IF(AND('Atividades Micro'!$B258=BC$2,'Atividades Micro'!$G258="Macro",'Atividades Micro'!$K258&lt;&gt;""),'Atividades Micro'!$K258,"")</f>
        <v/>
      </c>
      <c r="BD221" s="21" t="str">
        <f>IF(AND('Atividades Micro'!$B258=BD$2,'Atividades Micro'!$G258="Macro",'Atividades Micro'!$K258&lt;&gt;""),'Atividades Micro'!$K258,"")</f>
        <v/>
      </c>
      <c r="BE221" s="21" t="str">
        <f>IF(AND('Atividades Micro'!$B258=BE$2,'Atividades Micro'!$G258="Macro",'Atividades Micro'!$K258&lt;&gt;""),'Atividades Micro'!$K258,"")</f>
        <v/>
      </c>
      <c r="BF221" s="21" t="str">
        <f>IF(AND('Atividades Micro'!$B258=BF$2,'Atividades Micro'!$G258="Macro",'Atividades Micro'!$K258&lt;&gt;""),'Atividades Micro'!$K258,"")</f>
        <v/>
      </c>
      <c r="BG221" s="21" t="str">
        <f>IF(AND('Atividades Micro'!$B258=BG$2,'Atividades Micro'!$G258="Macro",'Atividades Micro'!$K258&lt;&gt;""),'Atividades Micro'!$K258,"")</f>
        <v/>
      </c>
      <c r="BH221" s="21" t="str">
        <f>IF(AND('Atividades Micro'!$B258=BH$2,'Atividades Micro'!$G258="Macro",'Atividades Micro'!$K258&lt;&gt;""),'Atividades Micro'!$K258,"")</f>
        <v/>
      </c>
      <c r="BI221" s="21" t="str">
        <f>IF(AND('Atividades Micro'!$B258=BI$2,'Atividades Micro'!$G258="Macro",'Atividades Micro'!$K258&lt;&gt;""),'Atividades Micro'!$K258,"")</f>
        <v/>
      </c>
      <c r="BJ221" s="21" t="str">
        <f>IF(AND('Atividades Micro'!$B258=BJ$2,'Atividades Micro'!$G258="Macro",'Atividades Micro'!$K258&lt;&gt;""),'Atividades Micro'!$K258,"")</f>
        <v/>
      </c>
      <c r="BK221" s="21" t="str">
        <f>IF(AND('Atividades Micro'!$B258=BK$2,'Atividades Micro'!$G258="Macro",'Atividades Micro'!$K258&lt;&gt;""),'Atividades Micro'!$K258,"")</f>
        <v/>
      </c>
      <c r="BL221" s="21" t="str">
        <f>IF(AND('Atividades Micro'!$B258=BL$2,'Atividades Micro'!$G258="Macro",'Atividades Micro'!$K258&lt;&gt;""),'Atividades Micro'!$K258,"")</f>
        <v/>
      </c>
      <c r="BM221" s="21" t="str">
        <f>IF(AND('Atividades Micro'!$B258=BM$2,'Atividades Micro'!$G258="Macro",'Atividades Micro'!$K258&lt;&gt;""),'Atividades Micro'!$K258,"")</f>
        <v/>
      </c>
      <c r="BN221" s="21" t="str">
        <f>IF(AND('Atividades Micro'!$B258=BN$2,'Atividades Micro'!$G258="Macro",'Atividades Micro'!$K258&lt;&gt;""),'Atividades Micro'!$K258,"")</f>
        <v/>
      </c>
      <c r="BO221" s="21" t="str">
        <f>IF(AND('Atividades Micro'!$B258=BO$2,'Atividades Micro'!$G258="Macro",'Atividades Micro'!$K258&lt;&gt;""),'Atividades Micro'!$K258,"")</f>
        <v/>
      </c>
      <c r="BP221" s="21" t="str">
        <f>IF(AND('Atividades Micro'!$B258=BP$2,'Atividades Micro'!$G258="Macro",'Atividades Micro'!$K258&lt;&gt;""),'Atividades Micro'!$K258,"")</f>
        <v/>
      </c>
      <c r="BQ221" s="21" t="str">
        <f>IF(AND('Atividades Micro'!$B258=BQ$2,'Atividades Micro'!$G258="Macro",'Atividades Micro'!$K258&lt;&gt;""),'Atividades Micro'!$K258,"")</f>
        <v/>
      </c>
      <c r="BR221" s="21" t="str">
        <f>IF(AND('Atividades Micro'!$B258=BR$2,'Atividades Micro'!$G258="Macro",'Atividades Micro'!$K258&lt;&gt;""),'Atividades Micro'!$K258,"")</f>
        <v/>
      </c>
      <c r="BS221" s="21" t="str">
        <f>IF(AND('Atividades Micro'!$B258=BS$2,'Atividades Micro'!$G258="Macro",'Atividades Micro'!$K258&lt;&gt;""),'Atividades Micro'!$K258,"")</f>
        <v/>
      </c>
      <c r="BT221" s="21" t="str">
        <f>IF(AND('Atividades Micro'!$B258=BT$2,'Atividades Micro'!$G258="Macro",'Atividades Micro'!$K258&lt;&gt;""),'Atividades Micro'!$K258,"")</f>
        <v/>
      </c>
      <c r="BU221" s="21" t="str">
        <f>IF(AND('Atividades Micro'!$B258=BU$2,'Atividades Micro'!$G258="Macro",'Atividades Micro'!$K258&lt;&gt;""),'Atividades Micro'!$K258,"")</f>
        <v/>
      </c>
      <c r="BV221" s="21" t="str">
        <f>IF(AND('Atividades Micro'!$B258=BV$2,'Atividades Micro'!$G258="Macro",'Atividades Micro'!$K258&lt;&gt;""),'Atividades Micro'!$K258,"")</f>
        <v/>
      </c>
      <c r="BW221" s="21" t="str">
        <f>IF(AND('Atividades Micro'!$B258=BW$2,'Atividades Micro'!$G258="Macro",'Atividades Micro'!$K258&lt;&gt;""),'Atividades Micro'!$K258,"")</f>
        <v/>
      </c>
      <c r="BX221" s="21" t="str">
        <f>IF(AND('Atividades Micro'!$B258=BX$2,'Atividades Micro'!$G258="Macro",'Atividades Micro'!$K258&lt;&gt;""),'Atividades Micro'!$K258,"")</f>
        <v/>
      </c>
      <c r="BY221" s="21" t="str">
        <f>IF(AND('Atividades Micro'!$B258=BY$2,'Atividades Micro'!$G258="Macro",'Atividades Micro'!$K258&lt;&gt;""),'Atividades Micro'!$K258,"")</f>
        <v/>
      </c>
      <c r="BZ221" s="21" t="str">
        <f>IF(AND('Atividades Micro'!$B258=BZ$2,'Atividades Micro'!$G258="Macro",'Atividades Micro'!$K258&lt;&gt;""),'Atividades Micro'!$K258,"")</f>
        <v/>
      </c>
      <c r="CA221" s="21" t="str">
        <f>IF(AND('Atividades Micro'!$B258=CA$2,'Atividades Micro'!$G258="Macro",'Atividades Micro'!$K258&lt;&gt;""),'Atividades Micro'!$K258,"")</f>
        <v/>
      </c>
      <c r="CB221" s="21" t="str">
        <f>IF(AND('Atividades Micro'!$B258=CB$2,'Atividades Micro'!$G258="Macro",'Atividades Micro'!$K258&lt;&gt;""),'Atividades Micro'!$K258,"")</f>
        <v/>
      </c>
      <c r="CC221" s="21" t="str">
        <f>IF(AND('Atividades Micro'!$B258=CC$2,'Atividades Micro'!$G258="Macro",'Atividades Micro'!$K258&lt;&gt;""),'Atividades Micro'!$K258,"")</f>
        <v/>
      </c>
      <c r="CD221" s="21" t="str">
        <f>IF(AND('Atividades Micro'!$B258=CD$2,'Atividades Micro'!$G258="Micro",'Atividades Micro'!$K258&lt;&gt;""),'Atividades Micro'!$K258,"")</f>
        <v/>
      </c>
      <c r="CE221" s="21" t="str">
        <f>IF(AND('Atividades Micro'!$B258=CE$2,'Atividades Micro'!$G258="Micro",'Atividades Micro'!$K258&lt;&gt;""),'Atividades Micro'!$K258,"")</f>
        <v/>
      </c>
      <c r="CF221" s="21" t="str">
        <f>IF(AND('Atividades Micro'!$B258=CF$2,'Atividades Micro'!$G258="Micro",'Atividades Micro'!$K258&lt;&gt;""),'Atividades Micro'!$K258,"")</f>
        <v/>
      </c>
      <c r="CG221" s="21" t="str">
        <f>IF(AND('Atividades Micro'!$B258=CG$2,'Atividades Micro'!$G258="Micro",'Atividades Micro'!$K258&lt;&gt;""),'Atividades Micro'!$K258,"")</f>
        <v/>
      </c>
      <c r="CH221" s="21" t="str">
        <f>IF(AND('Atividades Micro'!$B258=CH$2,'Atividades Micro'!$G258="Micro",'Atividades Micro'!$K258&lt;&gt;""),'Atividades Micro'!$K258,"")</f>
        <v/>
      </c>
      <c r="CI221" s="21" t="str">
        <f>IF(AND('Atividades Micro'!$B258=CI$2,'Atividades Micro'!$G258="Micro",'Atividades Micro'!$K258&lt;&gt;""),'Atividades Micro'!$K258,"")</f>
        <v/>
      </c>
      <c r="CJ221" s="21" t="str">
        <f>IF(AND('Atividades Micro'!$B258=CJ$2,'Atividades Micro'!$G258="Micro",'Atividades Micro'!$K258&lt;&gt;""),'Atividades Micro'!$K258,"")</f>
        <v/>
      </c>
      <c r="CK221" s="21" t="str">
        <f>IF(AND('Atividades Micro'!$B258=CK$2,'Atividades Micro'!$G258="Micro",'Atividades Micro'!$K258&lt;&gt;""),'Atividades Micro'!$K258,"")</f>
        <v/>
      </c>
      <c r="CL221" s="21" t="str">
        <f>IF(AND('Atividades Micro'!$B258=CL$2,'Atividades Micro'!$G258="Micro",'Atividades Micro'!$K258&lt;&gt;""),'Atividades Micro'!$K258,"")</f>
        <v/>
      </c>
      <c r="CM221" s="21" t="str">
        <f>IF(AND('Atividades Micro'!$B258=CM$2,'Atividades Micro'!$G258="Micro",'Atividades Micro'!$K258&lt;&gt;""),'Atividades Micro'!$K258,"")</f>
        <v/>
      </c>
      <c r="CN221" s="21" t="str">
        <f>IF(AND('Atividades Micro'!$B258=CN$2,'Atividades Micro'!$G258="Micro",'Atividades Micro'!$K258&lt;&gt;""),'Atividades Micro'!$K258,"")</f>
        <v/>
      </c>
      <c r="CO221" s="21" t="str">
        <f>IF(AND('Atividades Micro'!$B258=CO$2,'Atividades Micro'!$G258="Micro",'Atividades Micro'!$K258&lt;&gt;""),'Atividades Micro'!$K258,"")</f>
        <v/>
      </c>
    </row>
    <row r="222" spans="1:93">
      <c r="A222" s="21" t="str">
        <f>IF(AND('Atividades Micro'!$A259=A$2,'Atividades Micro'!$K259&lt;&gt;""),'Atividades Micro'!$K259,"")</f>
        <v/>
      </c>
      <c r="B222" s="21" t="str">
        <f>IF(AND('Atividades Micro'!$A259=B$2,'Atividades Micro'!$L259&lt;&gt;""),'Atividades Micro'!$L259,"")</f>
        <v/>
      </c>
      <c r="C222" s="21" t="str">
        <f>IF(AND('Atividades Micro'!$A259=C$2,'Atividades Micro'!$K259&lt;&gt;""),'Atividades Micro'!$K259,"")</f>
        <v/>
      </c>
      <c r="D222" s="21" t="str">
        <f>IF(AND('Atividades Micro'!$A259=D$2,'Atividades Micro'!$L259&lt;&gt;""),'Atividades Micro'!$L259,"")</f>
        <v/>
      </c>
      <c r="E222" s="21" t="str">
        <f>IF(AND('Atividades Micro'!$A259=E$2,'Atividades Micro'!$K259&lt;&gt;""),'Atividades Micro'!$K259,"")</f>
        <v/>
      </c>
      <c r="F222" s="21" t="str">
        <f>IF(AND('Atividades Micro'!$A259=F$2,'Atividades Micro'!$L259&lt;&gt;""),'Atividades Micro'!$L259,"")</f>
        <v/>
      </c>
      <c r="G222" s="21" t="str">
        <f>IF(AND('Atividades Micro'!$A259=G$2,'Atividades Micro'!$K259&lt;&gt;""),'Atividades Micro'!$K259,"")</f>
        <v/>
      </c>
      <c r="H222" s="21" t="str">
        <f>IF(AND('Atividades Micro'!$A259=H$2,'Atividades Micro'!$L259&lt;&gt;""),'Atividades Micro'!$L259,"")</f>
        <v/>
      </c>
      <c r="I222" s="21" t="str">
        <f>IF(AND('Atividades Micro'!$A259=I$2,'Atividades Micro'!$K259&lt;&gt;""),'Atividades Micro'!$K259,"")</f>
        <v/>
      </c>
      <c r="J222" s="21" t="str">
        <f>IF(AND('Atividades Micro'!$A259=J$2,'Atividades Micro'!$L259&lt;&gt;""),'Atividades Micro'!$L259,"")</f>
        <v/>
      </c>
      <c r="K222" s="21" t="str">
        <f>IF(AND('Atividades Micro'!$B259=K$2,'Atividades Micro'!$K259&lt;&gt;""),'Atividades Micro'!$K259,"")</f>
        <v/>
      </c>
      <c r="L222" s="21" t="str">
        <f>IF(AND('Atividades Micro'!$B259=L$2,'Atividades Micro'!$L259&lt;&gt;""),'Atividades Micro'!$L259,"")</f>
        <v/>
      </c>
      <c r="M222" s="21" t="str">
        <f>IF(AND('Atividades Micro'!$B259=M$2,'Atividades Micro'!$K259&lt;&gt;""),'Atividades Micro'!$K259,"")</f>
        <v/>
      </c>
      <c r="N222" s="21" t="str">
        <f>IF(AND('Atividades Micro'!$B259=N$2,'Atividades Micro'!$L259&lt;&gt;""),'Atividades Micro'!$L259,"")</f>
        <v/>
      </c>
      <c r="O222" s="21" t="str">
        <f>IF(AND('Atividades Micro'!$A259=O$2,'Atividades Micro'!$K259&lt;&gt;""),'Atividades Micro'!$K259,"")</f>
        <v/>
      </c>
      <c r="P222" s="21" t="str">
        <f>IF(AND('Atividades Micro'!$A259=P$2,'Atividades Micro'!$L259&lt;&gt;""),'Atividades Micro'!$L259,"")</f>
        <v/>
      </c>
      <c r="Q222" s="21" t="str">
        <f>IF(AND('Atividades Micro'!$B259=Q$2,'Atividades Micro'!$K259&lt;&gt;""),'Atividades Micro'!$K259,"")</f>
        <v/>
      </c>
      <c r="R222" s="21" t="str">
        <f>IF(AND('Atividades Micro'!$B259=R$2,'Atividades Micro'!$L259&lt;&gt;""),'Atividades Micro'!$L259,"")</f>
        <v/>
      </c>
      <c r="S222" s="21" t="str">
        <f>IF(AND('Atividades Micro'!$A259=S$2,'Atividades Micro'!$K259&lt;&gt;""),'Atividades Micro'!$K259,"")</f>
        <v/>
      </c>
      <c r="T222" s="21" t="str">
        <f>IF(AND('Atividades Micro'!$A259=T$2,'Atividades Micro'!$L259&lt;&gt;""),'Atividades Micro'!$L259,"")</f>
        <v/>
      </c>
      <c r="U222" s="21" t="str">
        <f>IF(AND('Atividades Micro'!$B259=U$2,'Atividades Micro'!$K259&lt;&gt;""),'Atividades Micro'!$K259,"")</f>
        <v/>
      </c>
      <c r="V222" s="21" t="str">
        <f>IF(AND('Atividades Micro'!$B259=V$2,'Atividades Micro'!$L259&lt;&gt;""),'Atividades Micro'!$L259,"")</f>
        <v/>
      </c>
      <c r="W222" s="21" t="str">
        <f>IF(AND('Atividades Micro'!$B259=W$2,'Atividades Micro'!$K259&lt;&gt;""),'Atividades Micro'!$K259,"")</f>
        <v/>
      </c>
      <c r="X222" s="21" t="str">
        <f>IF(AND('Atividades Micro'!$B259=X$2,'Atividades Micro'!$L259&lt;&gt;""),'Atividades Micro'!$L259,"")</f>
        <v/>
      </c>
      <c r="Y222" s="21" t="str">
        <f>IF(AND('Atividades Micro'!$A259=Y$2,'Atividades Micro'!$K259&lt;&gt;""),'Atividades Micro'!$K259,"")</f>
        <v/>
      </c>
      <c r="Z222" s="21" t="str">
        <f>IF(AND('Atividades Micro'!$A259=Z$2,'Atividades Micro'!$L259&lt;&gt;""),'Atividades Micro'!$L259,"")</f>
        <v/>
      </c>
      <c r="AA222" s="21" t="str">
        <f>IF(AND('Atividades Micro'!$B259=AA$2,'Atividades Micro'!$K259&lt;&gt;""),'Atividades Micro'!$K259,"")</f>
        <v/>
      </c>
      <c r="AB222" s="21" t="str">
        <f>IF(AND('Atividades Micro'!$B259=AB$2,'Atividades Micro'!$L259&lt;&gt;""),'Atividades Micro'!$L259,"")</f>
        <v/>
      </c>
      <c r="AC222" s="21" t="str">
        <f>IF(AND('Atividades Micro'!$B259=AC$2,'Atividades Micro'!$K259&lt;&gt;""),'Atividades Micro'!$K259,"")</f>
        <v/>
      </c>
      <c r="AD222" s="21" t="str">
        <f>IF(AND('Atividades Micro'!$B259=AD$2,'Atividades Micro'!$L259&lt;&gt;""),'Atividades Micro'!$L259,"")</f>
        <v/>
      </c>
      <c r="AE222" s="21" t="str">
        <f>IF(AND('Atividades Micro'!$A259=AE$2,'Atividades Micro'!$K259&lt;&gt;""),'Atividades Micro'!$K259,"")</f>
        <v/>
      </c>
      <c r="AF222" s="21" t="str">
        <f>IF(AND('Atividades Micro'!$A259=AF$2,'Atividades Micro'!$L259&lt;&gt;""),'Atividades Micro'!$L259,"")</f>
        <v/>
      </c>
      <c r="AG222" s="21" t="str">
        <f>IF(AND('Atividades Micro'!$B259=AG$2,'Atividades Micro'!$K259&lt;&gt;""),'Atividades Micro'!$K259,"")</f>
        <v/>
      </c>
      <c r="AH222" s="21" t="str">
        <f>IF(AND('Atividades Micro'!$B259=AH$2,'Atividades Micro'!$L259&lt;&gt;""),'Atividades Micro'!$L259,"")</f>
        <v/>
      </c>
      <c r="AI222" s="21" t="str">
        <f>IF(AND('Atividades Micro'!$B259=AI$2,'Atividades Micro'!$K259&lt;&gt;""),'Atividades Micro'!$K259,"")</f>
        <v/>
      </c>
      <c r="AJ222" s="21" t="str">
        <f>IF(AND('Atividades Micro'!$B259=AJ$2,'Atividades Micro'!$L259&lt;&gt;""),'Atividades Micro'!$L259,"")</f>
        <v/>
      </c>
      <c r="AK222" s="21" t="str">
        <f>IF(AND('Atividades Micro'!$A259=AK$2,'Atividades Micro'!$K259&lt;&gt;""),'Atividades Micro'!$K259,"")</f>
        <v/>
      </c>
      <c r="AL222" s="21" t="str">
        <f>IF(AND('Atividades Micro'!$A259=AL$2,'Atividades Micro'!$L259&lt;&gt;""),'Atividades Micro'!$L259,"")</f>
        <v/>
      </c>
      <c r="AM222" s="21" t="str">
        <f>IF(AND('Atividades Micro'!$B259=AM$2,'Atividades Micro'!$K259&lt;&gt;""),'Atividades Micro'!$K259,"")</f>
        <v/>
      </c>
      <c r="AN222" s="21" t="str">
        <f>IF(AND('Atividades Micro'!$B259=AN$2,'Atividades Micro'!$L259&lt;&gt;""),'Atividades Micro'!$L259,"")</f>
        <v/>
      </c>
      <c r="AO222" s="21" t="str">
        <f>IF(AND('Atividades Micro'!$B259=AO$2,'Atividades Micro'!$K259&lt;&gt;""),'Atividades Micro'!$K259,"")</f>
        <v/>
      </c>
      <c r="AP222" s="21" t="str">
        <f>IF(AND('Atividades Micro'!$B259=AP$2,'Atividades Micro'!$L259&lt;&gt;""),'Atividades Micro'!$L259,"")</f>
        <v/>
      </c>
      <c r="AQ222" s="21" t="str">
        <f>IF(AND('Atividades Micro'!$A259=AQ$2,'Atividades Micro'!$K259&lt;&gt;""),'Atividades Micro'!$K259,"")</f>
        <v/>
      </c>
      <c r="AR222" s="21" t="str">
        <f>IF(AND('Atividades Micro'!$A259=AR$2,'Atividades Micro'!$L259&lt;&gt;""),'Atividades Micro'!$L259,"")</f>
        <v/>
      </c>
      <c r="AS222" s="21" t="str">
        <f>IF(AND('Atividades Micro'!$B259=AS$2,'Atividades Micro'!$K259&lt;&gt;""),'Atividades Micro'!$K259,"")</f>
        <v/>
      </c>
      <c r="AT222" s="21" t="str">
        <f>IF(AND('Atividades Micro'!$B259=AT$2,'Atividades Micro'!$L259&lt;&gt;""),'Atividades Micro'!$L259,"")</f>
        <v/>
      </c>
      <c r="AU222" s="21" t="str">
        <f>IF(AND('Atividades Micro'!$A259=AU$2,'Atividades Micro'!$K259&lt;&gt;""),'Atividades Micro'!$K259,"")</f>
        <v/>
      </c>
      <c r="AV222" s="21" t="str">
        <f>IF(AND('Atividades Micro'!$A259=AV$2,'Atividades Micro'!$L259&lt;&gt;""),'Atividades Micro'!$L259,"")</f>
        <v/>
      </c>
      <c r="AW222" s="21" t="str">
        <f>IF(AND('Atividades Micro'!$B259=AW$2,'Atividades Micro'!$K259&lt;&gt;""),'Atividades Micro'!$K259,"")</f>
        <v/>
      </c>
      <c r="AX222" s="21" t="str">
        <f>IF(AND('Atividades Micro'!$B259=AX$2,'Atividades Micro'!$L259&lt;&gt;""),'Atividades Micro'!$L259,"")</f>
        <v/>
      </c>
      <c r="AY222" s="21" t="str">
        <f>IF(AND('Atividades Micro'!$A259=AY$2,'Atividades Micro'!$K259&lt;&gt;""),'Atividades Micro'!$K259,"")</f>
        <v/>
      </c>
      <c r="AZ222" s="21" t="str">
        <f>IF(AND('Atividades Micro'!$A259=AZ$2,'Atividades Micro'!$L259&lt;&gt;""),'Atividades Micro'!$L259,"")</f>
        <v/>
      </c>
      <c r="BA222" s="21" t="str">
        <f>IF(AND('Atividades Micro'!$B259=BA$2,'Atividades Micro'!$K259&lt;&gt;""),'Atividades Micro'!$K259,"")</f>
        <v/>
      </c>
      <c r="BB222" s="21" t="str">
        <f>IF(AND('Atividades Micro'!$B259=BB$2,'Atividades Micro'!$L259&lt;&gt;""),'Atividades Micro'!$L259,"")</f>
        <v/>
      </c>
      <c r="BC222" s="21" t="str">
        <f>IF(AND('Atividades Micro'!$B259=BC$2,'Atividades Micro'!$G259="Macro",'Atividades Micro'!$K259&lt;&gt;""),'Atividades Micro'!$K259,"")</f>
        <v/>
      </c>
      <c r="BD222" s="21" t="str">
        <f>IF(AND('Atividades Micro'!$B259=BD$2,'Atividades Micro'!$G259="Macro",'Atividades Micro'!$K259&lt;&gt;""),'Atividades Micro'!$K259,"")</f>
        <v/>
      </c>
      <c r="BE222" s="21" t="str">
        <f>IF(AND('Atividades Micro'!$B259=BE$2,'Atividades Micro'!$G259="Macro",'Atividades Micro'!$K259&lt;&gt;""),'Atividades Micro'!$K259,"")</f>
        <v/>
      </c>
      <c r="BF222" s="21" t="str">
        <f>IF(AND('Atividades Micro'!$B259=BF$2,'Atividades Micro'!$G259="Macro",'Atividades Micro'!$K259&lt;&gt;""),'Atividades Micro'!$K259,"")</f>
        <v/>
      </c>
      <c r="BG222" s="21" t="str">
        <f>IF(AND('Atividades Micro'!$B259=BG$2,'Atividades Micro'!$G259="Macro",'Atividades Micro'!$K259&lt;&gt;""),'Atividades Micro'!$K259,"")</f>
        <v/>
      </c>
      <c r="BH222" s="21" t="str">
        <f>IF(AND('Atividades Micro'!$B259=BH$2,'Atividades Micro'!$G259="Macro",'Atividades Micro'!$K259&lt;&gt;""),'Atividades Micro'!$K259,"")</f>
        <v/>
      </c>
      <c r="BI222" s="21" t="str">
        <f>IF(AND('Atividades Micro'!$B259=BI$2,'Atividades Micro'!$G259="Macro",'Atividades Micro'!$K259&lt;&gt;""),'Atividades Micro'!$K259,"")</f>
        <v/>
      </c>
      <c r="BJ222" s="21" t="str">
        <f>IF(AND('Atividades Micro'!$B259=BJ$2,'Atividades Micro'!$G259="Macro",'Atividades Micro'!$K259&lt;&gt;""),'Atividades Micro'!$K259,"")</f>
        <v/>
      </c>
      <c r="BK222" s="21" t="str">
        <f>IF(AND('Atividades Micro'!$B259=BK$2,'Atividades Micro'!$G259="Macro",'Atividades Micro'!$K259&lt;&gt;""),'Atividades Micro'!$K259,"")</f>
        <v/>
      </c>
      <c r="BL222" s="21" t="str">
        <f>IF(AND('Atividades Micro'!$B259=BL$2,'Atividades Micro'!$G259="Macro",'Atividades Micro'!$K259&lt;&gt;""),'Atividades Micro'!$K259,"")</f>
        <v/>
      </c>
      <c r="BM222" s="21" t="str">
        <f>IF(AND('Atividades Micro'!$B259=BM$2,'Atividades Micro'!$G259="Macro",'Atividades Micro'!$K259&lt;&gt;""),'Atividades Micro'!$K259,"")</f>
        <v/>
      </c>
      <c r="BN222" s="21" t="str">
        <f>IF(AND('Atividades Micro'!$B259=BN$2,'Atividades Micro'!$G259="Macro",'Atividades Micro'!$K259&lt;&gt;""),'Atividades Micro'!$K259,"")</f>
        <v/>
      </c>
      <c r="BO222" s="21" t="str">
        <f>IF(AND('Atividades Micro'!$B259=BO$2,'Atividades Micro'!$G259="Macro",'Atividades Micro'!$K259&lt;&gt;""),'Atividades Micro'!$K259,"")</f>
        <v/>
      </c>
      <c r="BP222" s="21" t="str">
        <f>IF(AND('Atividades Micro'!$B259=BP$2,'Atividades Micro'!$G259="Macro",'Atividades Micro'!$K259&lt;&gt;""),'Atividades Micro'!$K259,"")</f>
        <v/>
      </c>
      <c r="BQ222" s="21" t="str">
        <f>IF(AND('Atividades Micro'!$B259=BQ$2,'Atividades Micro'!$G259="Macro",'Atividades Micro'!$K259&lt;&gt;""),'Atividades Micro'!$K259,"")</f>
        <v/>
      </c>
      <c r="BR222" s="21" t="str">
        <f>IF(AND('Atividades Micro'!$B259=BR$2,'Atividades Micro'!$G259="Macro",'Atividades Micro'!$K259&lt;&gt;""),'Atividades Micro'!$K259,"")</f>
        <v/>
      </c>
      <c r="BS222" s="21" t="str">
        <f>IF(AND('Atividades Micro'!$B259=BS$2,'Atividades Micro'!$G259="Macro",'Atividades Micro'!$K259&lt;&gt;""),'Atividades Micro'!$K259,"")</f>
        <v/>
      </c>
      <c r="BT222" s="21" t="str">
        <f>IF(AND('Atividades Micro'!$B259=BT$2,'Atividades Micro'!$G259="Macro",'Atividades Micro'!$K259&lt;&gt;""),'Atividades Micro'!$K259,"")</f>
        <v/>
      </c>
      <c r="BU222" s="21" t="str">
        <f>IF(AND('Atividades Micro'!$B259=BU$2,'Atividades Micro'!$G259="Macro",'Atividades Micro'!$K259&lt;&gt;""),'Atividades Micro'!$K259,"")</f>
        <v/>
      </c>
      <c r="BV222" s="21" t="str">
        <f>IF(AND('Atividades Micro'!$B259=BV$2,'Atividades Micro'!$G259="Macro",'Atividades Micro'!$K259&lt;&gt;""),'Atividades Micro'!$K259,"")</f>
        <v/>
      </c>
      <c r="BW222" s="21" t="str">
        <f>IF(AND('Atividades Micro'!$B259=BW$2,'Atividades Micro'!$G259="Macro",'Atividades Micro'!$K259&lt;&gt;""),'Atividades Micro'!$K259,"")</f>
        <v/>
      </c>
      <c r="BX222" s="21" t="str">
        <f>IF(AND('Atividades Micro'!$B259=BX$2,'Atividades Micro'!$G259="Macro",'Atividades Micro'!$K259&lt;&gt;""),'Atividades Micro'!$K259,"")</f>
        <v/>
      </c>
      <c r="BY222" s="21" t="str">
        <f>IF(AND('Atividades Micro'!$B259=BY$2,'Atividades Micro'!$G259="Macro",'Atividades Micro'!$K259&lt;&gt;""),'Atividades Micro'!$K259,"")</f>
        <v/>
      </c>
      <c r="BZ222" s="21" t="str">
        <f>IF(AND('Atividades Micro'!$B259=BZ$2,'Atividades Micro'!$G259="Macro",'Atividades Micro'!$K259&lt;&gt;""),'Atividades Micro'!$K259,"")</f>
        <v/>
      </c>
      <c r="CA222" s="21" t="str">
        <f>IF(AND('Atividades Micro'!$B259=CA$2,'Atividades Micro'!$G259="Macro",'Atividades Micro'!$K259&lt;&gt;""),'Atividades Micro'!$K259,"")</f>
        <v/>
      </c>
      <c r="CB222" s="21" t="str">
        <f>IF(AND('Atividades Micro'!$B259=CB$2,'Atividades Micro'!$G259="Macro",'Atividades Micro'!$K259&lt;&gt;""),'Atividades Micro'!$K259,"")</f>
        <v/>
      </c>
      <c r="CC222" s="21" t="str">
        <f>IF(AND('Atividades Micro'!$B259=CC$2,'Atividades Micro'!$G259="Macro",'Atividades Micro'!$K259&lt;&gt;""),'Atividades Micro'!$K259,"")</f>
        <v/>
      </c>
      <c r="CD222" s="21" t="str">
        <f>IF(AND('Atividades Micro'!$B259=CD$2,'Atividades Micro'!$G259="Micro",'Atividades Micro'!$K259&lt;&gt;""),'Atividades Micro'!$K259,"")</f>
        <v/>
      </c>
      <c r="CE222" s="21" t="str">
        <f>IF(AND('Atividades Micro'!$B259=CE$2,'Atividades Micro'!$G259="Micro",'Atividades Micro'!$K259&lt;&gt;""),'Atividades Micro'!$K259,"")</f>
        <v/>
      </c>
      <c r="CF222" s="21" t="str">
        <f>IF(AND('Atividades Micro'!$B259=CF$2,'Atividades Micro'!$G259="Micro",'Atividades Micro'!$K259&lt;&gt;""),'Atividades Micro'!$K259,"")</f>
        <v/>
      </c>
      <c r="CG222" s="21" t="str">
        <f>IF(AND('Atividades Micro'!$B259=CG$2,'Atividades Micro'!$G259="Micro",'Atividades Micro'!$K259&lt;&gt;""),'Atividades Micro'!$K259,"")</f>
        <v/>
      </c>
      <c r="CH222" s="21" t="str">
        <f>IF(AND('Atividades Micro'!$B259=CH$2,'Atividades Micro'!$G259="Micro",'Atividades Micro'!$K259&lt;&gt;""),'Atividades Micro'!$K259,"")</f>
        <v/>
      </c>
      <c r="CI222" s="21" t="str">
        <f>IF(AND('Atividades Micro'!$B259=CI$2,'Atividades Micro'!$G259="Micro",'Atividades Micro'!$K259&lt;&gt;""),'Atividades Micro'!$K259,"")</f>
        <v/>
      </c>
      <c r="CJ222" s="21" t="str">
        <f>IF(AND('Atividades Micro'!$B259=CJ$2,'Atividades Micro'!$G259="Micro",'Atividades Micro'!$K259&lt;&gt;""),'Atividades Micro'!$K259,"")</f>
        <v/>
      </c>
      <c r="CK222" s="21" t="str">
        <f>IF(AND('Atividades Micro'!$B259=CK$2,'Atividades Micro'!$G259="Micro",'Atividades Micro'!$K259&lt;&gt;""),'Atividades Micro'!$K259,"")</f>
        <v/>
      </c>
      <c r="CL222" s="21" t="str">
        <f>IF(AND('Atividades Micro'!$B259=CL$2,'Atividades Micro'!$G259="Micro",'Atividades Micro'!$K259&lt;&gt;""),'Atividades Micro'!$K259,"")</f>
        <v/>
      </c>
      <c r="CM222" s="21" t="str">
        <f>IF(AND('Atividades Micro'!$B259=CM$2,'Atividades Micro'!$G259="Micro",'Atividades Micro'!$K259&lt;&gt;""),'Atividades Micro'!$K259,"")</f>
        <v/>
      </c>
      <c r="CN222" s="21" t="str">
        <f>IF(AND('Atividades Micro'!$B259=CN$2,'Atividades Micro'!$G259="Micro",'Atividades Micro'!$K259&lt;&gt;""),'Atividades Micro'!$K259,"")</f>
        <v/>
      </c>
      <c r="CO222" s="21" t="str">
        <f>IF(AND('Atividades Micro'!$B259=CO$2,'Atividades Micro'!$G259="Micro",'Atividades Micro'!$K259&lt;&gt;""),'Atividades Micro'!$K259,"")</f>
        <v/>
      </c>
    </row>
    <row r="223" spans="1:93">
      <c r="A223" s="21" t="str">
        <f>IF(AND('Atividades Micro'!$A260=A$2,'Atividades Micro'!$K260&lt;&gt;""),'Atividades Micro'!$K260,"")</f>
        <v/>
      </c>
      <c r="B223" s="21" t="str">
        <f>IF(AND('Atividades Micro'!$A260=B$2,'Atividades Micro'!$L260&lt;&gt;""),'Atividades Micro'!$L260,"")</f>
        <v/>
      </c>
      <c r="C223" s="21" t="str">
        <f>IF(AND('Atividades Micro'!$A260=C$2,'Atividades Micro'!$K260&lt;&gt;""),'Atividades Micro'!$K260,"")</f>
        <v/>
      </c>
      <c r="D223" s="21" t="str">
        <f>IF(AND('Atividades Micro'!$A260=D$2,'Atividades Micro'!$L260&lt;&gt;""),'Atividades Micro'!$L260,"")</f>
        <v/>
      </c>
      <c r="E223" s="21" t="str">
        <f>IF(AND('Atividades Micro'!$A260=E$2,'Atividades Micro'!$K260&lt;&gt;""),'Atividades Micro'!$K260,"")</f>
        <v/>
      </c>
      <c r="F223" s="21" t="str">
        <f>IF(AND('Atividades Micro'!$A260=F$2,'Atividades Micro'!$L260&lt;&gt;""),'Atividades Micro'!$L260,"")</f>
        <v/>
      </c>
      <c r="G223" s="21" t="str">
        <f>IF(AND('Atividades Micro'!$A260=G$2,'Atividades Micro'!$K260&lt;&gt;""),'Atividades Micro'!$K260,"")</f>
        <v/>
      </c>
      <c r="H223" s="21" t="str">
        <f>IF(AND('Atividades Micro'!$A260=H$2,'Atividades Micro'!$L260&lt;&gt;""),'Atividades Micro'!$L260,"")</f>
        <v/>
      </c>
      <c r="I223" s="21" t="str">
        <f>IF(AND('Atividades Micro'!$A260=I$2,'Atividades Micro'!$K260&lt;&gt;""),'Atividades Micro'!$K260,"")</f>
        <v/>
      </c>
      <c r="J223" s="21" t="str">
        <f>IF(AND('Atividades Micro'!$A260=J$2,'Atividades Micro'!$L260&lt;&gt;""),'Atividades Micro'!$L260,"")</f>
        <v/>
      </c>
      <c r="K223" s="21" t="str">
        <f>IF(AND('Atividades Micro'!$B260=K$2,'Atividades Micro'!$K260&lt;&gt;""),'Atividades Micro'!$K260,"")</f>
        <v/>
      </c>
      <c r="L223" s="21" t="str">
        <f>IF(AND('Atividades Micro'!$B260=L$2,'Atividades Micro'!$L260&lt;&gt;""),'Atividades Micro'!$L260,"")</f>
        <v/>
      </c>
      <c r="M223" s="21" t="str">
        <f>IF(AND('Atividades Micro'!$B260=M$2,'Atividades Micro'!$K260&lt;&gt;""),'Atividades Micro'!$K260,"")</f>
        <v/>
      </c>
      <c r="N223" s="21" t="str">
        <f>IF(AND('Atividades Micro'!$B260=N$2,'Atividades Micro'!$L260&lt;&gt;""),'Atividades Micro'!$L260,"")</f>
        <v/>
      </c>
      <c r="O223" s="21" t="str">
        <f>IF(AND('Atividades Micro'!$A260=O$2,'Atividades Micro'!$K260&lt;&gt;""),'Atividades Micro'!$K260,"")</f>
        <v/>
      </c>
      <c r="P223" s="21" t="str">
        <f>IF(AND('Atividades Micro'!$A260=P$2,'Atividades Micro'!$L260&lt;&gt;""),'Atividades Micro'!$L260,"")</f>
        <v/>
      </c>
      <c r="Q223" s="21" t="str">
        <f>IF(AND('Atividades Micro'!$B260=Q$2,'Atividades Micro'!$K260&lt;&gt;""),'Atividades Micro'!$K260,"")</f>
        <v/>
      </c>
      <c r="R223" s="21" t="str">
        <f>IF(AND('Atividades Micro'!$B260=R$2,'Atividades Micro'!$L260&lt;&gt;""),'Atividades Micro'!$L260,"")</f>
        <v/>
      </c>
      <c r="S223" s="21" t="str">
        <f>IF(AND('Atividades Micro'!$A260=S$2,'Atividades Micro'!$K260&lt;&gt;""),'Atividades Micro'!$K260,"")</f>
        <v/>
      </c>
      <c r="T223" s="21" t="str">
        <f>IF(AND('Atividades Micro'!$A260=T$2,'Atividades Micro'!$L260&lt;&gt;""),'Atividades Micro'!$L260,"")</f>
        <v/>
      </c>
      <c r="U223" s="21" t="str">
        <f>IF(AND('Atividades Micro'!$B260=U$2,'Atividades Micro'!$K260&lt;&gt;""),'Atividades Micro'!$K260,"")</f>
        <v/>
      </c>
      <c r="V223" s="21" t="str">
        <f>IF(AND('Atividades Micro'!$B260=V$2,'Atividades Micro'!$L260&lt;&gt;""),'Atividades Micro'!$L260,"")</f>
        <v/>
      </c>
      <c r="W223" s="21" t="str">
        <f>IF(AND('Atividades Micro'!$B260=W$2,'Atividades Micro'!$K260&lt;&gt;""),'Atividades Micro'!$K260,"")</f>
        <v/>
      </c>
      <c r="X223" s="21" t="str">
        <f>IF(AND('Atividades Micro'!$B260=X$2,'Atividades Micro'!$L260&lt;&gt;""),'Atividades Micro'!$L260,"")</f>
        <v/>
      </c>
      <c r="Y223" s="21" t="str">
        <f>IF(AND('Atividades Micro'!$A260=Y$2,'Atividades Micro'!$K260&lt;&gt;""),'Atividades Micro'!$K260,"")</f>
        <v/>
      </c>
      <c r="Z223" s="21" t="str">
        <f>IF(AND('Atividades Micro'!$A260=Z$2,'Atividades Micro'!$L260&lt;&gt;""),'Atividades Micro'!$L260,"")</f>
        <v/>
      </c>
      <c r="AA223" s="21" t="str">
        <f>IF(AND('Atividades Micro'!$B260=AA$2,'Atividades Micro'!$K260&lt;&gt;""),'Atividades Micro'!$K260,"")</f>
        <v/>
      </c>
      <c r="AB223" s="21" t="str">
        <f>IF(AND('Atividades Micro'!$B260=AB$2,'Atividades Micro'!$L260&lt;&gt;""),'Atividades Micro'!$L260,"")</f>
        <v/>
      </c>
      <c r="AC223" s="21" t="str">
        <f>IF(AND('Atividades Micro'!$B260=AC$2,'Atividades Micro'!$K260&lt;&gt;""),'Atividades Micro'!$K260,"")</f>
        <v/>
      </c>
      <c r="AD223" s="21" t="str">
        <f>IF(AND('Atividades Micro'!$B260=AD$2,'Atividades Micro'!$L260&lt;&gt;""),'Atividades Micro'!$L260,"")</f>
        <v/>
      </c>
      <c r="AE223" s="21" t="str">
        <f>IF(AND('Atividades Micro'!$A260=AE$2,'Atividades Micro'!$K260&lt;&gt;""),'Atividades Micro'!$K260,"")</f>
        <v/>
      </c>
      <c r="AF223" s="21" t="str">
        <f>IF(AND('Atividades Micro'!$A260=AF$2,'Atividades Micro'!$L260&lt;&gt;""),'Atividades Micro'!$L260,"")</f>
        <v/>
      </c>
      <c r="AG223" s="21" t="str">
        <f>IF(AND('Atividades Micro'!$B260=AG$2,'Atividades Micro'!$K260&lt;&gt;""),'Atividades Micro'!$K260,"")</f>
        <v/>
      </c>
      <c r="AH223" s="21" t="str">
        <f>IF(AND('Atividades Micro'!$B260=AH$2,'Atividades Micro'!$L260&lt;&gt;""),'Atividades Micro'!$L260,"")</f>
        <v/>
      </c>
      <c r="AI223" s="21" t="str">
        <f>IF(AND('Atividades Micro'!$B260=AI$2,'Atividades Micro'!$K260&lt;&gt;""),'Atividades Micro'!$K260,"")</f>
        <v/>
      </c>
      <c r="AJ223" s="21" t="str">
        <f>IF(AND('Atividades Micro'!$B260=AJ$2,'Atividades Micro'!$L260&lt;&gt;""),'Atividades Micro'!$L260,"")</f>
        <v/>
      </c>
      <c r="AK223" s="21" t="str">
        <f>IF(AND('Atividades Micro'!$A260=AK$2,'Atividades Micro'!$K260&lt;&gt;""),'Atividades Micro'!$K260,"")</f>
        <v/>
      </c>
      <c r="AL223" s="21" t="str">
        <f>IF(AND('Atividades Micro'!$A260=AL$2,'Atividades Micro'!$L260&lt;&gt;""),'Atividades Micro'!$L260,"")</f>
        <v/>
      </c>
      <c r="AM223" s="21" t="str">
        <f>IF(AND('Atividades Micro'!$B260=AM$2,'Atividades Micro'!$K260&lt;&gt;""),'Atividades Micro'!$K260,"")</f>
        <v/>
      </c>
      <c r="AN223" s="21" t="str">
        <f>IF(AND('Atividades Micro'!$B260=AN$2,'Atividades Micro'!$L260&lt;&gt;""),'Atividades Micro'!$L260,"")</f>
        <v/>
      </c>
      <c r="AO223" s="21" t="str">
        <f>IF(AND('Atividades Micro'!$B260=AO$2,'Atividades Micro'!$K260&lt;&gt;""),'Atividades Micro'!$K260,"")</f>
        <v/>
      </c>
      <c r="AP223" s="21" t="str">
        <f>IF(AND('Atividades Micro'!$B260=AP$2,'Atividades Micro'!$L260&lt;&gt;""),'Atividades Micro'!$L260,"")</f>
        <v/>
      </c>
      <c r="AQ223" s="21" t="str">
        <f>IF(AND('Atividades Micro'!$A260=AQ$2,'Atividades Micro'!$K260&lt;&gt;""),'Atividades Micro'!$K260,"")</f>
        <v/>
      </c>
      <c r="AR223" s="21" t="str">
        <f>IF(AND('Atividades Micro'!$A260=AR$2,'Atividades Micro'!$L260&lt;&gt;""),'Atividades Micro'!$L260,"")</f>
        <v/>
      </c>
      <c r="AS223" s="21" t="str">
        <f>IF(AND('Atividades Micro'!$B260=AS$2,'Atividades Micro'!$K260&lt;&gt;""),'Atividades Micro'!$K260,"")</f>
        <v/>
      </c>
      <c r="AT223" s="21" t="str">
        <f>IF(AND('Atividades Micro'!$B260=AT$2,'Atividades Micro'!$L260&lt;&gt;""),'Atividades Micro'!$L260,"")</f>
        <v/>
      </c>
      <c r="AU223" s="21" t="str">
        <f>IF(AND('Atividades Micro'!$A260=AU$2,'Atividades Micro'!$K260&lt;&gt;""),'Atividades Micro'!$K260,"")</f>
        <v/>
      </c>
      <c r="AV223" s="21" t="str">
        <f>IF(AND('Atividades Micro'!$A260=AV$2,'Atividades Micro'!$L260&lt;&gt;""),'Atividades Micro'!$L260,"")</f>
        <v/>
      </c>
      <c r="AW223" s="21" t="str">
        <f>IF(AND('Atividades Micro'!$B260=AW$2,'Atividades Micro'!$K260&lt;&gt;""),'Atividades Micro'!$K260,"")</f>
        <v/>
      </c>
      <c r="AX223" s="21" t="str">
        <f>IF(AND('Atividades Micro'!$B260=AX$2,'Atividades Micro'!$L260&lt;&gt;""),'Atividades Micro'!$L260,"")</f>
        <v/>
      </c>
      <c r="AY223" s="21" t="str">
        <f>IF(AND('Atividades Micro'!$A260=AY$2,'Atividades Micro'!$K260&lt;&gt;""),'Atividades Micro'!$K260,"")</f>
        <v/>
      </c>
      <c r="AZ223" s="21" t="str">
        <f>IF(AND('Atividades Micro'!$A260=AZ$2,'Atividades Micro'!$L260&lt;&gt;""),'Atividades Micro'!$L260,"")</f>
        <v/>
      </c>
      <c r="BA223" s="21" t="str">
        <f>IF(AND('Atividades Micro'!$B260=BA$2,'Atividades Micro'!$K260&lt;&gt;""),'Atividades Micro'!$K260,"")</f>
        <v/>
      </c>
      <c r="BB223" s="21" t="str">
        <f>IF(AND('Atividades Micro'!$B260=BB$2,'Atividades Micro'!$L260&lt;&gt;""),'Atividades Micro'!$L260,"")</f>
        <v/>
      </c>
      <c r="BC223" s="21" t="str">
        <f>IF(AND('Atividades Micro'!$B260=BC$2,'Atividades Micro'!$G260="Macro",'Atividades Micro'!$K260&lt;&gt;""),'Atividades Micro'!$K260,"")</f>
        <v/>
      </c>
      <c r="BD223" s="21" t="str">
        <f>IF(AND('Atividades Micro'!$B260=BD$2,'Atividades Micro'!$G260="Macro",'Atividades Micro'!$K260&lt;&gt;""),'Atividades Micro'!$K260,"")</f>
        <v/>
      </c>
      <c r="BE223" s="21" t="str">
        <f>IF(AND('Atividades Micro'!$B260=BE$2,'Atividades Micro'!$G260="Macro",'Atividades Micro'!$K260&lt;&gt;""),'Atividades Micro'!$K260,"")</f>
        <v/>
      </c>
      <c r="BF223" s="21" t="str">
        <f>IF(AND('Atividades Micro'!$B260=BF$2,'Atividades Micro'!$G260="Macro",'Atividades Micro'!$K260&lt;&gt;""),'Atividades Micro'!$K260,"")</f>
        <v/>
      </c>
      <c r="BG223" s="21" t="str">
        <f>IF(AND('Atividades Micro'!$B260=BG$2,'Atividades Micro'!$G260="Macro",'Atividades Micro'!$K260&lt;&gt;""),'Atividades Micro'!$K260,"")</f>
        <v/>
      </c>
      <c r="BH223" s="21" t="str">
        <f>IF(AND('Atividades Micro'!$B260=BH$2,'Atividades Micro'!$G260="Macro",'Atividades Micro'!$K260&lt;&gt;""),'Atividades Micro'!$K260,"")</f>
        <v/>
      </c>
      <c r="BI223" s="21" t="str">
        <f>IF(AND('Atividades Micro'!$B260=BI$2,'Atividades Micro'!$G260="Macro",'Atividades Micro'!$K260&lt;&gt;""),'Atividades Micro'!$K260,"")</f>
        <v/>
      </c>
      <c r="BJ223" s="21" t="str">
        <f>IF(AND('Atividades Micro'!$B260=BJ$2,'Atividades Micro'!$G260="Macro",'Atividades Micro'!$K260&lt;&gt;""),'Atividades Micro'!$K260,"")</f>
        <v/>
      </c>
      <c r="BK223" s="21" t="str">
        <f>IF(AND('Atividades Micro'!$B260=BK$2,'Atividades Micro'!$G260="Macro",'Atividades Micro'!$K260&lt;&gt;""),'Atividades Micro'!$K260,"")</f>
        <v/>
      </c>
      <c r="BL223" s="21" t="str">
        <f>IF(AND('Atividades Micro'!$B260=BL$2,'Atividades Micro'!$G260="Macro",'Atividades Micro'!$K260&lt;&gt;""),'Atividades Micro'!$K260,"")</f>
        <v/>
      </c>
      <c r="BM223" s="21" t="str">
        <f>IF(AND('Atividades Micro'!$B260=BM$2,'Atividades Micro'!$G260="Macro",'Atividades Micro'!$K260&lt;&gt;""),'Atividades Micro'!$K260,"")</f>
        <v/>
      </c>
      <c r="BN223" s="21" t="str">
        <f>IF(AND('Atividades Micro'!$B260=BN$2,'Atividades Micro'!$G260="Macro",'Atividades Micro'!$K260&lt;&gt;""),'Atividades Micro'!$K260,"")</f>
        <v/>
      </c>
      <c r="BO223" s="21" t="str">
        <f>IF(AND('Atividades Micro'!$B260=BO$2,'Atividades Micro'!$G260="Macro",'Atividades Micro'!$K260&lt;&gt;""),'Atividades Micro'!$K260,"")</f>
        <v/>
      </c>
      <c r="BP223" s="21" t="str">
        <f>IF(AND('Atividades Micro'!$B260=BP$2,'Atividades Micro'!$G260="Macro",'Atividades Micro'!$K260&lt;&gt;""),'Atividades Micro'!$K260,"")</f>
        <v/>
      </c>
      <c r="BQ223" s="21" t="str">
        <f>IF(AND('Atividades Micro'!$B260=BQ$2,'Atividades Micro'!$G260="Macro",'Atividades Micro'!$K260&lt;&gt;""),'Atividades Micro'!$K260,"")</f>
        <v/>
      </c>
      <c r="BR223" s="21" t="str">
        <f>IF(AND('Atividades Micro'!$B260=BR$2,'Atividades Micro'!$G260="Macro",'Atividades Micro'!$K260&lt;&gt;""),'Atividades Micro'!$K260,"")</f>
        <v/>
      </c>
      <c r="BS223" s="21" t="str">
        <f>IF(AND('Atividades Micro'!$B260=BS$2,'Atividades Micro'!$G260="Macro",'Atividades Micro'!$K260&lt;&gt;""),'Atividades Micro'!$K260,"")</f>
        <v/>
      </c>
      <c r="BT223" s="21" t="str">
        <f>IF(AND('Atividades Micro'!$B260=BT$2,'Atividades Micro'!$G260="Macro",'Atividades Micro'!$K260&lt;&gt;""),'Atividades Micro'!$K260,"")</f>
        <v/>
      </c>
      <c r="BU223" s="21" t="str">
        <f>IF(AND('Atividades Micro'!$B260=BU$2,'Atividades Micro'!$G260="Macro",'Atividades Micro'!$K260&lt;&gt;""),'Atividades Micro'!$K260,"")</f>
        <v/>
      </c>
      <c r="BV223" s="21" t="str">
        <f>IF(AND('Atividades Micro'!$B260=BV$2,'Atividades Micro'!$G260="Macro",'Atividades Micro'!$K260&lt;&gt;""),'Atividades Micro'!$K260,"")</f>
        <v/>
      </c>
      <c r="BW223" s="21" t="str">
        <f>IF(AND('Atividades Micro'!$B260=BW$2,'Atividades Micro'!$G260="Macro",'Atividades Micro'!$K260&lt;&gt;""),'Atividades Micro'!$K260,"")</f>
        <v/>
      </c>
      <c r="BX223" s="21" t="str">
        <f>IF(AND('Atividades Micro'!$B260=BX$2,'Atividades Micro'!$G260="Macro",'Atividades Micro'!$K260&lt;&gt;""),'Atividades Micro'!$K260,"")</f>
        <v/>
      </c>
      <c r="BY223" s="21" t="str">
        <f>IF(AND('Atividades Micro'!$B260=BY$2,'Atividades Micro'!$G260="Macro",'Atividades Micro'!$K260&lt;&gt;""),'Atividades Micro'!$K260,"")</f>
        <v/>
      </c>
      <c r="BZ223" s="21" t="str">
        <f>IF(AND('Atividades Micro'!$B260=BZ$2,'Atividades Micro'!$G260="Macro",'Atividades Micro'!$K260&lt;&gt;""),'Atividades Micro'!$K260,"")</f>
        <v/>
      </c>
      <c r="CA223" s="21" t="str">
        <f>IF(AND('Atividades Micro'!$B260=CA$2,'Atividades Micro'!$G260="Macro",'Atividades Micro'!$K260&lt;&gt;""),'Atividades Micro'!$K260,"")</f>
        <v/>
      </c>
      <c r="CB223" s="21" t="str">
        <f>IF(AND('Atividades Micro'!$B260=CB$2,'Atividades Micro'!$G260="Macro",'Atividades Micro'!$K260&lt;&gt;""),'Atividades Micro'!$K260,"")</f>
        <v/>
      </c>
      <c r="CC223" s="21" t="str">
        <f>IF(AND('Atividades Micro'!$B260=CC$2,'Atividades Micro'!$G260="Macro",'Atividades Micro'!$K260&lt;&gt;""),'Atividades Micro'!$K260,"")</f>
        <v/>
      </c>
      <c r="CD223" s="21" t="str">
        <f>IF(AND('Atividades Micro'!$B260=CD$2,'Atividades Micro'!$G260="Micro",'Atividades Micro'!$K260&lt;&gt;""),'Atividades Micro'!$K260,"")</f>
        <v/>
      </c>
      <c r="CE223" s="21" t="str">
        <f>IF(AND('Atividades Micro'!$B260=CE$2,'Atividades Micro'!$G260="Micro",'Atividades Micro'!$K260&lt;&gt;""),'Atividades Micro'!$K260,"")</f>
        <v/>
      </c>
      <c r="CF223" s="21" t="str">
        <f>IF(AND('Atividades Micro'!$B260=CF$2,'Atividades Micro'!$G260="Micro",'Atividades Micro'!$K260&lt;&gt;""),'Atividades Micro'!$K260,"")</f>
        <v/>
      </c>
      <c r="CG223" s="21" t="str">
        <f>IF(AND('Atividades Micro'!$B260=CG$2,'Atividades Micro'!$G260="Micro",'Atividades Micro'!$K260&lt;&gt;""),'Atividades Micro'!$K260,"")</f>
        <v/>
      </c>
      <c r="CH223" s="21" t="str">
        <f>IF(AND('Atividades Micro'!$B260=CH$2,'Atividades Micro'!$G260="Micro",'Atividades Micro'!$K260&lt;&gt;""),'Atividades Micro'!$K260,"")</f>
        <v/>
      </c>
      <c r="CI223" s="21" t="str">
        <f>IF(AND('Atividades Micro'!$B260=CI$2,'Atividades Micro'!$G260="Micro",'Atividades Micro'!$K260&lt;&gt;""),'Atividades Micro'!$K260,"")</f>
        <v/>
      </c>
      <c r="CJ223" s="21" t="str">
        <f>IF(AND('Atividades Micro'!$B260=CJ$2,'Atividades Micro'!$G260="Micro",'Atividades Micro'!$K260&lt;&gt;""),'Atividades Micro'!$K260,"")</f>
        <v/>
      </c>
      <c r="CK223" s="21" t="str">
        <f>IF(AND('Atividades Micro'!$B260=CK$2,'Atividades Micro'!$G260="Micro",'Atividades Micro'!$K260&lt;&gt;""),'Atividades Micro'!$K260,"")</f>
        <v/>
      </c>
      <c r="CL223" s="21" t="str">
        <f>IF(AND('Atividades Micro'!$B260=CL$2,'Atividades Micro'!$G260="Micro",'Atividades Micro'!$K260&lt;&gt;""),'Atividades Micro'!$K260,"")</f>
        <v/>
      </c>
      <c r="CM223" s="21" t="str">
        <f>IF(AND('Atividades Micro'!$B260=CM$2,'Atividades Micro'!$G260="Micro",'Atividades Micro'!$K260&lt;&gt;""),'Atividades Micro'!$K260,"")</f>
        <v/>
      </c>
      <c r="CN223" s="21" t="str">
        <f>IF(AND('Atividades Micro'!$B260=CN$2,'Atividades Micro'!$G260="Micro",'Atividades Micro'!$K260&lt;&gt;""),'Atividades Micro'!$K260,"")</f>
        <v/>
      </c>
      <c r="CO223" s="21" t="str">
        <f>IF(AND('Atividades Micro'!$B260=CO$2,'Atividades Micro'!$G260="Micro",'Atividades Micro'!$K260&lt;&gt;""),'Atividades Micro'!$K260,"")</f>
        <v/>
      </c>
    </row>
    <row r="224" spans="1:93">
      <c r="A224" s="21" t="str">
        <f>IF(AND('Atividades Micro'!$A262=A$2,'Atividades Micro'!$K262&lt;&gt;""),'Atividades Micro'!$K262,"")</f>
        <v/>
      </c>
      <c r="B224" s="21" t="str">
        <f>IF(AND('Atividades Micro'!$A262=B$2,'Atividades Micro'!$L262&lt;&gt;""),'Atividades Micro'!$L262,"")</f>
        <v/>
      </c>
      <c r="C224" s="21" t="str">
        <f>IF(AND('Atividades Micro'!$A262=C$2,'Atividades Micro'!$K262&lt;&gt;""),'Atividades Micro'!$K262,"")</f>
        <v/>
      </c>
      <c r="D224" s="21" t="str">
        <f>IF(AND('Atividades Micro'!$A262=D$2,'Atividades Micro'!$L262&lt;&gt;""),'Atividades Micro'!$L262,"")</f>
        <v/>
      </c>
      <c r="E224" s="21" t="str">
        <f>IF(AND('Atividades Micro'!$A262=E$2,'Atividades Micro'!$K262&lt;&gt;""),'Atividades Micro'!$K262,"")</f>
        <v/>
      </c>
      <c r="F224" s="21" t="str">
        <f>IF(AND('Atividades Micro'!$A262=F$2,'Atividades Micro'!$L262&lt;&gt;""),'Atividades Micro'!$L262,"")</f>
        <v/>
      </c>
      <c r="G224" s="21" t="str">
        <f>IF(AND('Atividades Micro'!$A262=G$2,'Atividades Micro'!$K262&lt;&gt;""),'Atividades Micro'!$K262,"")</f>
        <v/>
      </c>
      <c r="H224" s="21" t="str">
        <f>IF(AND('Atividades Micro'!$A262=H$2,'Atividades Micro'!$L262&lt;&gt;""),'Atividades Micro'!$L262,"")</f>
        <v/>
      </c>
      <c r="I224" s="21" t="str">
        <f>IF(AND('Atividades Micro'!$A262=I$2,'Atividades Micro'!$K262&lt;&gt;""),'Atividades Micro'!$K262,"")</f>
        <v/>
      </c>
      <c r="J224" s="21" t="str">
        <f>IF(AND('Atividades Micro'!$A262=J$2,'Atividades Micro'!$L262&lt;&gt;""),'Atividades Micro'!$L262,"")</f>
        <v/>
      </c>
      <c r="K224" s="21" t="str">
        <f>IF(AND('Atividades Micro'!$B262=K$2,'Atividades Micro'!$K262&lt;&gt;""),'Atividades Micro'!$K262,"")</f>
        <v/>
      </c>
      <c r="L224" s="21" t="str">
        <f>IF(AND('Atividades Micro'!$B262=L$2,'Atividades Micro'!$L262&lt;&gt;""),'Atividades Micro'!$L262,"")</f>
        <v/>
      </c>
      <c r="M224" s="21" t="str">
        <f>IF(AND('Atividades Micro'!$B262=M$2,'Atividades Micro'!$K262&lt;&gt;""),'Atividades Micro'!$K262,"")</f>
        <v/>
      </c>
      <c r="N224" s="21" t="str">
        <f>IF(AND('Atividades Micro'!$B262=N$2,'Atividades Micro'!$L262&lt;&gt;""),'Atividades Micro'!$L262,"")</f>
        <v/>
      </c>
      <c r="O224" s="21" t="str">
        <f>IF(AND('Atividades Micro'!$A262=O$2,'Atividades Micro'!$K262&lt;&gt;""),'Atividades Micro'!$K262,"")</f>
        <v/>
      </c>
      <c r="P224" s="21" t="str">
        <f>IF(AND('Atividades Micro'!$A262=P$2,'Atividades Micro'!$L262&lt;&gt;""),'Atividades Micro'!$L262,"")</f>
        <v/>
      </c>
      <c r="Q224" s="21" t="str">
        <f>IF(AND('Atividades Micro'!$B262=Q$2,'Atividades Micro'!$K262&lt;&gt;""),'Atividades Micro'!$K262,"")</f>
        <v/>
      </c>
      <c r="R224" s="21" t="str">
        <f>IF(AND('Atividades Micro'!$B262=R$2,'Atividades Micro'!$L262&lt;&gt;""),'Atividades Micro'!$L262,"")</f>
        <v/>
      </c>
      <c r="S224" s="21" t="str">
        <f>IF(AND('Atividades Micro'!$A262=S$2,'Atividades Micro'!$K262&lt;&gt;""),'Atividades Micro'!$K262,"")</f>
        <v/>
      </c>
      <c r="T224" s="21" t="str">
        <f>IF(AND('Atividades Micro'!$A262=T$2,'Atividades Micro'!$L262&lt;&gt;""),'Atividades Micro'!$L262,"")</f>
        <v/>
      </c>
      <c r="U224" s="21" t="str">
        <f>IF(AND('Atividades Micro'!$B262=U$2,'Atividades Micro'!$K262&lt;&gt;""),'Atividades Micro'!$K262,"")</f>
        <v/>
      </c>
      <c r="V224" s="21" t="str">
        <f>IF(AND('Atividades Micro'!$B262=V$2,'Atividades Micro'!$L262&lt;&gt;""),'Atividades Micro'!$L262,"")</f>
        <v/>
      </c>
      <c r="W224" s="21" t="str">
        <f>IF(AND('Atividades Micro'!$B262=W$2,'Atividades Micro'!$K262&lt;&gt;""),'Atividades Micro'!$K262,"")</f>
        <v/>
      </c>
      <c r="X224" s="21" t="str">
        <f>IF(AND('Atividades Micro'!$B262=X$2,'Atividades Micro'!$L262&lt;&gt;""),'Atividades Micro'!$L262,"")</f>
        <v/>
      </c>
      <c r="Y224" s="21" t="str">
        <f>IF(AND('Atividades Micro'!$A262=Y$2,'Atividades Micro'!$K262&lt;&gt;""),'Atividades Micro'!$K262,"")</f>
        <v/>
      </c>
      <c r="Z224" s="21" t="str">
        <f>IF(AND('Atividades Micro'!$A262=Z$2,'Atividades Micro'!$L262&lt;&gt;""),'Atividades Micro'!$L262,"")</f>
        <v/>
      </c>
      <c r="AA224" s="21" t="str">
        <f>IF(AND('Atividades Micro'!$B262=AA$2,'Atividades Micro'!$K262&lt;&gt;""),'Atividades Micro'!$K262,"")</f>
        <v/>
      </c>
      <c r="AB224" s="21" t="str">
        <f>IF(AND('Atividades Micro'!$B262=AB$2,'Atividades Micro'!$L262&lt;&gt;""),'Atividades Micro'!$L262,"")</f>
        <v/>
      </c>
      <c r="AC224" s="21" t="str">
        <f>IF(AND('Atividades Micro'!$B262=AC$2,'Atividades Micro'!$K262&lt;&gt;""),'Atividades Micro'!$K262,"")</f>
        <v/>
      </c>
      <c r="AD224" s="21" t="str">
        <f>IF(AND('Atividades Micro'!$B262=AD$2,'Atividades Micro'!$L262&lt;&gt;""),'Atividades Micro'!$L262,"")</f>
        <v/>
      </c>
      <c r="AE224" s="21">
        <f>IF(AND('Atividades Micro'!$A262=AE$2,'Atividades Micro'!$K262&lt;&gt;""),'Atividades Micro'!$K262,"")</f>
        <v>46249</v>
      </c>
      <c r="AF224" s="21">
        <f>IF(AND('Atividades Micro'!$A262=AF$2,'Atividades Micro'!$L262&lt;&gt;""),'Atividades Micro'!$L262,"")</f>
        <v>46248</v>
      </c>
      <c r="AG224" s="21" t="str">
        <f>IF(AND('Atividades Micro'!$B262=AG$2,'Atividades Micro'!$K262&lt;&gt;""),'Atividades Micro'!$K262,"")</f>
        <v/>
      </c>
      <c r="AH224" s="21" t="str">
        <f>IF(AND('Atividades Micro'!$B262=AH$2,'Atividades Micro'!$L262&lt;&gt;""),'Atividades Micro'!$L262,"")</f>
        <v/>
      </c>
      <c r="AI224" s="21">
        <f>IF(AND('Atividades Micro'!$B262=AI$2,'Atividades Micro'!$K262&lt;&gt;""),'Atividades Micro'!$K262,"")</f>
        <v>46249</v>
      </c>
      <c r="AJ224" s="21">
        <f>IF(AND('Atividades Micro'!$B262=AJ$2,'Atividades Micro'!$L262&lt;&gt;""),'Atividades Micro'!$L262,"")</f>
        <v>46248</v>
      </c>
      <c r="AK224" s="21" t="str">
        <f>IF(AND('Atividades Micro'!$A262=AK$2,'Atividades Micro'!$K262&lt;&gt;""),'Atividades Micro'!$K262,"")</f>
        <v/>
      </c>
      <c r="AL224" s="21" t="str">
        <f>IF(AND('Atividades Micro'!$A262=AL$2,'Atividades Micro'!$L262&lt;&gt;""),'Atividades Micro'!$L262,"")</f>
        <v/>
      </c>
      <c r="AM224" s="21" t="str">
        <f>IF(AND('Atividades Micro'!$B262=AM$2,'Atividades Micro'!$K262&lt;&gt;""),'Atividades Micro'!$K262,"")</f>
        <v/>
      </c>
      <c r="AN224" s="21" t="str">
        <f>IF(AND('Atividades Micro'!$B262=AN$2,'Atividades Micro'!$L262&lt;&gt;""),'Atividades Micro'!$L262,"")</f>
        <v/>
      </c>
      <c r="AO224" s="21" t="str">
        <f>IF(AND('Atividades Micro'!$B262=AO$2,'Atividades Micro'!$K262&lt;&gt;""),'Atividades Micro'!$K262,"")</f>
        <v/>
      </c>
      <c r="AP224" s="21" t="str">
        <f>IF(AND('Atividades Micro'!$B262=AP$2,'Atividades Micro'!$L262&lt;&gt;""),'Atividades Micro'!$L262,"")</f>
        <v/>
      </c>
      <c r="AQ224" s="21" t="str">
        <f>IF(AND('Atividades Micro'!$A262=AQ$2,'Atividades Micro'!$K262&lt;&gt;""),'Atividades Micro'!$K262,"")</f>
        <v/>
      </c>
      <c r="AR224" s="21" t="str">
        <f>IF(AND('Atividades Micro'!$A262=AR$2,'Atividades Micro'!$L262&lt;&gt;""),'Atividades Micro'!$L262,"")</f>
        <v/>
      </c>
      <c r="AS224" s="21" t="str">
        <f>IF(AND('Atividades Micro'!$B262=AS$2,'Atividades Micro'!$K262&lt;&gt;""),'Atividades Micro'!$K262,"")</f>
        <v/>
      </c>
      <c r="AT224" s="21" t="str">
        <f>IF(AND('Atividades Micro'!$B262=AT$2,'Atividades Micro'!$L262&lt;&gt;""),'Atividades Micro'!$L262,"")</f>
        <v/>
      </c>
      <c r="AU224" s="21" t="str">
        <f>IF(AND('Atividades Micro'!$A262=AU$2,'Atividades Micro'!$K262&lt;&gt;""),'Atividades Micro'!$K262,"")</f>
        <v/>
      </c>
      <c r="AV224" s="21" t="str">
        <f>IF(AND('Atividades Micro'!$A262=AV$2,'Atividades Micro'!$L262&lt;&gt;""),'Atividades Micro'!$L262,"")</f>
        <v/>
      </c>
      <c r="AW224" s="21" t="str">
        <f>IF(AND('Atividades Micro'!$B262=AW$2,'Atividades Micro'!$K262&lt;&gt;""),'Atividades Micro'!$K262,"")</f>
        <v/>
      </c>
      <c r="AX224" s="21" t="str">
        <f>IF(AND('Atividades Micro'!$B262=AX$2,'Atividades Micro'!$L262&lt;&gt;""),'Atividades Micro'!$L262,"")</f>
        <v/>
      </c>
      <c r="AY224" s="21" t="str">
        <f>IF(AND('Atividades Micro'!$A262=AY$2,'Atividades Micro'!$K262&lt;&gt;""),'Atividades Micro'!$K262,"")</f>
        <v/>
      </c>
      <c r="AZ224" s="21" t="str">
        <f>IF(AND('Atividades Micro'!$A262=AZ$2,'Atividades Micro'!$L262&lt;&gt;""),'Atividades Micro'!$L262,"")</f>
        <v/>
      </c>
      <c r="BA224" s="21" t="str">
        <f>IF(AND('Atividades Micro'!$B262=BA$2,'Atividades Micro'!$K262&lt;&gt;""),'Atividades Micro'!$K262,"")</f>
        <v/>
      </c>
      <c r="BB224" s="21" t="str">
        <f>IF(AND('Atividades Micro'!$B262=BB$2,'Atividades Micro'!$L262&lt;&gt;""),'Atividades Micro'!$L262,"")</f>
        <v/>
      </c>
      <c r="BC224" s="21" t="str">
        <f>IF(AND('Atividades Micro'!$B262=BC$2,'Atividades Micro'!$G262="Macro",'Atividades Micro'!$K262&lt;&gt;""),'Atividades Micro'!$K262,"")</f>
        <v/>
      </c>
      <c r="BD224" s="21" t="str">
        <f>IF(AND('Atividades Micro'!$B262=BD$2,'Atividades Micro'!$G262="Macro",'Atividades Micro'!$K262&lt;&gt;""),'Atividades Micro'!$K262,"")</f>
        <v/>
      </c>
      <c r="BE224" s="21" t="str">
        <f>IF(AND('Atividades Micro'!$B262=BE$2,'Atividades Micro'!$G262="Macro",'Atividades Micro'!$K262&lt;&gt;""),'Atividades Micro'!$K262,"")</f>
        <v/>
      </c>
      <c r="BF224" s="21" t="str">
        <f>IF(AND('Atividades Micro'!$B262=BF$2,'Atividades Micro'!$G262="Macro",'Atividades Micro'!$K262&lt;&gt;""),'Atividades Micro'!$K262,"")</f>
        <v/>
      </c>
      <c r="BG224" s="21" t="str">
        <f>IF(AND('Atividades Micro'!$B262=BG$2,'Atividades Micro'!$G262="Macro",'Atividades Micro'!$K262&lt;&gt;""),'Atividades Micro'!$K262,"")</f>
        <v/>
      </c>
      <c r="BH224" s="21" t="str">
        <f>IF(AND('Atividades Micro'!$B262=BH$2,'Atividades Micro'!$G262="Macro",'Atividades Micro'!$K262&lt;&gt;""),'Atividades Micro'!$K262,"")</f>
        <v/>
      </c>
      <c r="BI224" s="21" t="str">
        <f>IF(AND('Atividades Micro'!$B262=BI$2,'Atividades Micro'!$G262="Macro",'Atividades Micro'!$K262&lt;&gt;""),'Atividades Micro'!$K262,"")</f>
        <v/>
      </c>
      <c r="BJ224" s="21" t="str">
        <f>IF(AND('Atividades Micro'!$B262=BJ$2,'Atividades Micro'!$G262="Macro",'Atividades Micro'!$K262&lt;&gt;""),'Atividades Micro'!$K262,"")</f>
        <v/>
      </c>
      <c r="BK224" s="21" t="str">
        <f>IF(AND('Atividades Micro'!$B262=BK$2,'Atividades Micro'!$G262="Macro",'Atividades Micro'!$K262&lt;&gt;""),'Atividades Micro'!$K262,"")</f>
        <v/>
      </c>
      <c r="BL224" s="21" t="str">
        <f>IF(AND('Atividades Micro'!$B262=BL$2,'Atividades Micro'!$G262="Macro",'Atividades Micro'!$K262&lt;&gt;""),'Atividades Micro'!$K262,"")</f>
        <v/>
      </c>
      <c r="BM224" s="21" t="str">
        <f>IF(AND('Atividades Micro'!$B262=BM$2,'Atividades Micro'!$G262="Macro",'Atividades Micro'!$K262&lt;&gt;""),'Atividades Micro'!$K262,"")</f>
        <v/>
      </c>
      <c r="BN224" s="21" t="str">
        <f>IF(AND('Atividades Micro'!$B262=BN$2,'Atividades Micro'!$G262="Macro",'Atividades Micro'!$K262&lt;&gt;""),'Atividades Micro'!$K262,"")</f>
        <v/>
      </c>
      <c r="BO224" s="21" t="str">
        <f>IF(AND('Atividades Micro'!$B262=BO$2,'Atividades Micro'!$G262="Macro",'Atividades Micro'!$K262&lt;&gt;""),'Atividades Micro'!$K262,"")</f>
        <v/>
      </c>
      <c r="BP224" s="21" t="str">
        <f>IF(AND('Atividades Micro'!$B262=BP$2,'Atividades Micro'!$G262="Macro",'Atividades Micro'!$K262&lt;&gt;""),'Atividades Micro'!$K262,"")</f>
        <v/>
      </c>
      <c r="BQ224" s="21" t="str">
        <f>IF(AND('Atividades Micro'!$B262=BQ$2,'Atividades Micro'!$G262="Macro",'Atividades Micro'!$K262&lt;&gt;""),'Atividades Micro'!$K262,"")</f>
        <v/>
      </c>
      <c r="BR224" s="21" t="str">
        <f>IF(AND('Atividades Micro'!$B262=BR$2,'Atividades Micro'!$G262="Macro",'Atividades Micro'!$K262&lt;&gt;""),'Atividades Micro'!$K262,"")</f>
        <v/>
      </c>
      <c r="BS224" s="21" t="str">
        <f>IF(AND('Atividades Micro'!$B262=BS$2,'Atividades Micro'!$G262="Macro",'Atividades Micro'!$K262&lt;&gt;""),'Atividades Micro'!$K262,"")</f>
        <v/>
      </c>
      <c r="BT224" s="21" t="str">
        <f>IF(AND('Atividades Micro'!$B262=BT$2,'Atividades Micro'!$G262="Macro",'Atividades Micro'!$K262&lt;&gt;""),'Atividades Micro'!$K262,"")</f>
        <v/>
      </c>
      <c r="BU224" s="21" t="str">
        <f>IF(AND('Atividades Micro'!$B262=BU$2,'Atividades Micro'!$G262="Macro",'Atividades Micro'!$K262&lt;&gt;""),'Atividades Micro'!$K262,"")</f>
        <v/>
      </c>
      <c r="BV224" s="21" t="str">
        <f>IF(AND('Atividades Micro'!$B262=BV$2,'Atividades Micro'!$G262="Macro",'Atividades Micro'!$K262&lt;&gt;""),'Atividades Micro'!$K262,"")</f>
        <v/>
      </c>
      <c r="BW224" s="21" t="str">
        <f>IF(AND('Atividades Micro'!$B262=BW$2,'Atividades Micro'!$G262="Macro",'Atividades Micro'!$K262&lt;&gt;""),'Atividades Micro'!$K262,"")</f>
        <v/>
      </c>
      <c r="BX224" s="21" t="str">
        <f>IF(AND('Atividades Micro'!$B262=BX$2,'Atividades Micro'!$G262="Macro",'Atividades Micro'!$K262&lt;&gt;""),'Atividades Micro'!$K262,"")</f>
        <v/>
      </c>
      <c r="BY224" s="21" t="str">
        <f>IF(AND('Atividades Micro'!$B262=BY$2,'Atividades Micro'!$G262="Macro",'Atividades Micro'!$K262&lt;&gt;""),'Atividades Micro'!$K262,"")</f>
        <v/>
      </c>
      <c r="BZ224" s="21" t="str">
        <f>IF(AND('Atividades Micro'!$B262=BZ$2,'Atividades Micro'!$G262="Macro",'Atividades Micro'!$K262&lt;&gt;""),'Atividades Micro'!$K262,"")</f>
        <v/>
      </c>
      <c r="CA224" s="21" t="str">
        <f>IF(AND('Atividades Micro'!$B262=CA$2,'Atividades Micro'!$G262="Macro",'Atividades Micro'!$K262&lt;&gt;""),'Atividades Micro'!$K262,"")</f>
        <v/>
      </c>
      <c r="CB224" s="21" t="str">
        <f>IF(AND('Atividades Micro'!$B262=CB$2,'Atividades Micro'!$G262="Macro",'Atividades Micro'!$K262&lt;&gt;""),'Atividades Micro'!$K262,"")</f>
        <v/>
      </c>
      <c r="CC224" s="21" t="str">
        <f>IF(AND('Atividades Micro'!$B262=CC$2,'Atividades Micro'!$G262="Macro",'Atividades Micro'!$K262&lt;&gt;""),'Atividades Micro'!$K262,"")</f>
        <v/>
      </c>
      <c r="CD224" s="21" t="str">
        <f>IF(AND('Atividades Micro'!$B262=CD$2,'Atividades Micro'!$G262="Micro",'Atividades Micro'!$K262&lt;&gt;""),'Atividades Micro'!$K262,"")</f>
        <v/>
      </c>
      <c r="CE224" s="21" t="str">
        <f>IF(AND('Atividades Micro'!$B262=CE$2,'Atividades Micro'!$G262="Micro",'Atividades Micro'!$K262&lt;&gt;""),'Atividades Micro'!$K262,"")</f>
        <v/>
      </c>
      <c r="CF224" s="21" t="str">
        <f>IF(AND('Atividades Micro'!$B262=CF$2,'Atividades Micro'!$G262="Micro",'Atividades Micro'!$K262&lt;&gt;""),'Atividades Micro'!$K262,"")</f>
        <v/>
      </c>
      <c r="CG224" s="21" t="str">
        <f>IF(AND('Atividades Micro'!$B262=CG$2,'Atividades Micro'!$G262="Micro",'Atividades Micro'!$K262&lt;&gt;""),'Atividades Micro'!$K262,"")</f>
        <v/>
      </c>
      <c r="CH224" s="21" t="str">
        <f>IF(AND('Atividades Micro'!$B262=CH$2,'Atividades Micro'!$G262="Micro",'Atividades Micro'!$K262&lt;&gt;""),'Atividades Micro'!$K262,"")</f>
        <v/>
      </c>
      <c r="CI224" s="21" t="str">
        <f>IF(AND('Atividades Micro'!$B262=CI$2,'Atividades Micro'!$G262="Micro",'Atividades Micro'!$K262&lt;&gt;""),'Atividades Micro'!$K262,"")</f>
        <v/>
      </c>
      <c r="CJ224" s="21" t="str">
        <f>IF(AND('Atividades Micro'!$B262=CJ$2,'Atividades Micro'!$G262="Micro",'Atividades Micro'!$K262&lt;&gt;""),'Atividades Micro'!$K262,"")</f>
        <v/>
      </c>
      <c r="CK224" s="21" t="str">
        <f>IF(AND('Atividades Micro'!$B262=CK$2,'Atividades Micro'!$G262="Micro",'Atividades Micro'!$K262&lt;&gt;""),'Atividades Micro'!$K262,"")</f>
        <v/>
      </c>
      <c r="CL224" s="21">
        <f>IF(AND('Atividades Micro'!$B262=CL$2,'Atividades Micro'!$G262="Micro",'Atividades Micro'!$K262&lt;&gt;""),'Atividades Micro'!$K262,"")</f>
        <v>46249</v>
      </c>
      <c r="CM224" s="21" t="str">
        <f>IF(AND('Atividades Micro'!$B262=CM$2,'Atividades Micro'!$G262="Micro",'Atividades Micro'!$K262&lt;&gt;""),'Atividades Micro'!$K262,"")</f>
        <v/>
      </c>
      <c r="CN224" s="21" t="str">
        <f>IF(AND('Atividades Micro'!$B262=CN$2,'Atividades Micro'!$G262="Micro",'Atividades Micro'!$K262&lt;&gt;""),'Atividades Micro'!$K262,"")</f>
        <v/>
      </c>
      <c r="CO224" s="21" t="str">
        <f>IF(AND('Atividades Micro'!$B262=CO$2,'Atividades Micro'!$G262="Micro",'Atividades Micro'!$K262&lt;&gt;""),'Atividades Micro'!$K262,"")</f>
        <v/>
      </c>
    </row>
    <row r="225" spans="1:93">
      <c r="A225" s="21" t="str">
        <f>IF(AND('Atividades Micro'!$A263=A$2,'Atividades Micro'!$K263&lt;&gt;""),'Atividades Micro'!$K263,"")</f>
        <v/>
      </c>
      <c r="B225" s="21" t="str">
        <f>IF(AND('Atividades Micro'!$A263=B$2,'Atividades Micro'!$L263&lt;&gt;""),'Atividades Micro'!$L263,"")</f>
        <v/>
      </c>
      <c r="C225" s="21" t="str">
        <f>IF(AND('Atividades Micro'!$A263=C$2,'Atividades Micro'!$K263&lt;&gt;""),'Atividades Micro'!$K263,"")</f>
        <v/>
      </c>
      <c r="D225" s="21" t="str">
        <f>IF(AND('Atividades Micro'!$A263=D$2,'Atividades Micro'!$L263&lt;&gt;""),'Atividades Micro'!$L263,"")</f>
        <v/>
      </c>
      <c r="E225" s="21" t="str">
        <f>IF(AND('Atividades Micro'!$A263=E$2,'Atividades Micro'!$K263&lt;&gt;""),'Atividades Micro'!$K263,"")</f>
        <v/>
      </c>
      <c r="F225" s="21" t="str">
        <f>IF(AND('Atividades Micro'!$A263=F$2,'Atividades Micro'!$L263&lt;&gt;""),'Atividades Micro'!$L263,"")</f>
        <v/>
      </c>
      <c r="G225" s="21" t="str">
        <f>IF(AND('Atividades Micro'!$A263=G$2,'Atividades Micro'!$K263&lt;&gt;""),'Atividades Micro'!$K263,"")</f>
        <v/>
      </c>
      <c r="H225" s="21" t="str">
        <f>IF(AND('Atividades Micro'!$A263=H$2,'Atividades Micro'!$L263&lt;&gt;""),'Atividades Micro'!$L263,"")</f>
        <v/>
      </c>
      <c r="I225" s="21" t="str">
        <f>IF(AND('Atividades Micro'!$A263=I$2,'Atividades Micro'!$K263&lt;&gt;""),'Atividades Micro'!$K263,"")</f>
        <v/>
      </c>
      <c r="J225" s="21" t="str">
        <f>IF(AND('Atividades Micro'!$A263=J$2,'Atividades Micro'!$L263&lt;&gt;""),'Atividades Micro'!$L263,"")</f>
        <v/>
      </c>
      <c r="K225" s="21" t="str">
        <f>IF(AND('Atividades Micro'!$B263=K$2,'Atividades Micro'!$K263&lt;&gt;""),'Atividades Micro'!$K263,"")</f>
        <v/>
      </c>
      <c r="L225" s="21" t="str">
        <f>IF(AND('Atividades Micro'!$B263=L$2,'Atividades Micro'!$L263&lt;&gt;""),'Atividades Micro'!$L263,"")</f>
        <v/>
      </c>
      <c r="M225" s="21" t="str">
        <f>IF(AND('Atividades Micro'!$B263=M$2,'Atividades Micro'!$K263&lt;&gt;""),'Atividades Micro'!$K263,"")</f>
        <v/>
      </c>
      <c r="N225" s="21" t="str">
        <f>IF(AND('Atividades Micro'!$B263=N$2,'Atividades Micro'!$L263&lt;&gt;""),'Atividades Micro'!$L263,"")</f>
        <v/>
      </c>
      <c r="O225" s="21" t="str">
        <f>IF(AND('Atividades Micro'!$A263=O$2,'Atividades Micro'!$K263&lt;&gt;""),'Atividades Micro'!$K263,"")</f>
        <v/>
      </c>
      <c r="P225" s="21" t="str">
        <f>IF(AND('Atividades Micro'!$A263=P$2,'Atividades Micro'!$L263&lt;&gt;""),'Atividades Micro'!$L263,"")</f>
        <v/>
      </c>
      <c r="Q225" s="21" t="str">
        <f>IF(AND('Atividades Micro'!$B263=Q$2,'Atividades Micro'!$K263&lt;&gt;""),'Atividades Micro'!$K263,"")</f>
        <v/>
      </c>
      <c r="R225" s="21" t="str">
        <f>IF(AND('Atividades Micro'!$B263=R$2,'Atividades Micro'!$L263&lt;&gt;""),'Atividades Micro'!$L263,"")</f>
        <v/>
      </c>
      <c r="S225" s="21" t="str">
        <f>IF(AND('Atividades Micro'!$A263=S$2,'Atividades Micro'!$K263&lt;&gt;""),'Atividades Micro'!$K263,"")</f>
        <v/>
      </c>
      <c r="T225" s="21" t="str">
        <f>IF(AND('Atividades Micro'!$A263=T$2,'Atividades Micro'!$L263&lt;&gt;""),'Atividades Micro'!$L263,"")</f>
        <v/>
      </c>
      <c r="U225" s="21" t="str">
        <f>IF(AND('Atividades Micro'!$B263=U$2,'Atividades Micro'!$K263&lt;&gt;""),'Atividades Micro'!$K263,"")</f>
        <v/>
      </c>
      <c r="V225" s="21" t="str">
        <f>IF(AND('Atividades Micro'!$B263=V$2,'Atividades Micro'!$L263&lt;&gt;""),'Atividades Micro'!$L263,"")</f>
        <v/>
      </c>
      <c r="W225" s="21" t="str">
        <f>IF(AND('Atividades Micro'!$B263=W$2,'Atividades Micro'!$K263&lt;&gt;""),'Atividades Micro'!$K263,"")</f>
        <v/>
      </c>
      <c r="X225" s="21" t="str">
        <f>IF(AND('Atividades Micro'!$B263=X$2,'Atividades Micro'!$L263&lt;&gt;""),'Atividades Micro'!$L263,"")</f>
        <v/>
      </c>
      <c r="Y225" s="21" t="str">
        <f>IF(AND('Atividades Micro'!$A263=Y$2,'Atividades Micro'!$K263&lt;&gt;""),'Atividades Micro'!$K263,"")</f>
        <v/>
      </c>
      <c r="Z225" s="21" t="str">
        <f>IF(AND('Atividades Micro'!$A263=Z$2,'Atividades Micro'!$L263&lt;&gt;""),'Atividades Micro'!$L263,"")</f>
        <v/>
      </c>
      <c r="AA225" s="21" t="str">
        <f>IF(AND('Atividades Micro'!$B263=AA$2,'Atividades Micro'!$K263&lt;&gt;""),'Atividades Micro'!$K263,"")</f>
        <v/>
      </c>
      <c r="AB225" s="21" t="str">
        <f>IF(AND('Atividades Micro'!$B263=AB$2,'Atividades Micro'!$L263&lt;&gt;""),'Atividades Micro'!$L263,"")</f>
        <v/>
      </c>
      <c r="AC225" s="21" t="str">
        <f>IF(AND('Atividades Micro'!$B263=AC$2,'Atividades Micro'!$K263&lt;&gt;""),'Atividades Micro'!$K263,"")</f>
        <v/>
      </c>
      <c r="AD225" s="21" t="str">
        <f>IF(AND('Atividades Micro'!$B263=AD$2,'Atividades Micro'!$L263&lt;&gt;""),'Atividades Micro'!$L263,"")</f>
        <v/>
      </c>
      <c r="AE225" s="21" t="str">
        <f>IF(AND('Atividades Micro'!$A263=AE$2,'Atividades Micro'!$K263&lt;&gt;""),'Atividades Micro'!$K263,"")</f>
        <v/>
      </c>
      <c r="AF225" s="21" t="str">
        <f>IF(AND('Atividades Micro'!$A263=AF$2,'Atividades Micro'!$L263&lt;&gt;""),'Atividades Micro'!$L263,"")</f>
        <v/>
      </c>
      <c r="AG225" s="21" t="str">
        <f>IF(AND('Atividades Micro'!$B263=AG$2,'Atividades Micro'!$K263&lt;&gt;""),'Atividades Micro'!$K263,"")</f>
        <v/>
      </c>
      <c r="AH225" s="21" t="str">
        <f>IF(AND('Atividades Micro'!$B263=AH$2,'Atividades Micro'!$L263&lt;&gt;""),'Atividades Micro'!$L263,"")</f>
        <v/>
      </c>
      <c r="AI225" s="21" t="str">
        <f>IF(AND('Atividades Micro'!$B263=AI$2,'Atividades Micro'!$K263&lt;&gt;""),'Atividades Micro'!$K263,"")</f>
        <v/>
      </c>
      <c r="AJ225" s="21" t="str">
        <f>IF(AND('Atividades Micro'!$B263=AJ$2,'Atividades Micro'!$L263&lt;&gt;""),'Atividades Micro'!$L263,"")</f>
        <v/>
      </c>
      <c r="AK225" s="21" t="str">
        <f>IF(AND('Atividades Micro'!$A263=AK$2,'Atividades Micro'!$K263&lt;&gt;""),'Atividades Micro'!$K263,"")</f>
        <v/>
      </c>
      <c r="AL225" s="21" t="str">
        <f>IF(AND('Atividades Micro'!$A263=AL$2,'Atividades Micro'!$L263&lt;&gt;""),'Atividades Micro'!$L263,"")</f>
        <v/>
      </c>
      <c r="AM225" s="21" t="str">
        <f>IF(AND('Atividades Micro'!$B263=AM$2,'Atividades Micro'!$K263&lt;&gt;""),'Atividades Micro'!$K263,"")</f>
        <v/>
      </c>
      <c r="AN225" s="21" t="str">
        <f>IF(AND('Atividades Micro'!$B263=AN$2,'Atividades Micro'!$L263&lt;&gt;""),'Atividades Micro'!$L263,"")</f>
        <v/>
      </c>
      <c r="AO225" s="21" t="str">
        <f>IF(AND('Atividades Micro'!$B263=AO$2,'Atividades Micro'!$K263&lt;&gt;""),'Atividades Micro'!$K263,"")</f>
        <v/>
      </c>
      <c r="AP225" s="21" t="str">
        <f>IF(AND('Atividades Micro'!$B263=AP$2,'Atividades Micro'!$L263&lt;&gt;""),'Atividades Micro'!$L263,"")</f>
        <v/>
      </c>
      <c r="AQ225" s="21" t="str">
        <f>IF(AND('Atividades Micro'!$A263=AQ$2,'Atividades Micro'!$K263&lt;&gt;""),'Atividades Micro'!$K263,"")</f>
        <v/>
      </c>
      <c r="AR225" s="21" t="str">
        <f>IF(AND('Atividades Micro'!$A263=AR$2,'Atividades Micro'!$L263&lt;&gt;""),'Atividades Micro'!$L263,"")</f>
        <v/>
      </c>
      <c r="AS225" s="21" t="str">
        <f>IF(AND('Atividades Micro'!$B263=AS$2,'Atividades Micro'!$K263&lt;&gt;""),'Atividades Micro'!$K263,"")</f>
        <v/>
      </c>
      <c r="AT225" s="21" t="str">
        <f>IF(AND('Atividades Micro'!$B263=AT$2,'Atividades Micro'!$L263&lt;&gt;""),'Atividades Micro'!$L263,"")</f>
        <v/>
      </c>
      <c r="AU225" s="21" t="str">
        <f>IF(AND('Atividades Micro'!$A263=AU$2,'Atividades Micro'!$K263&lt;&gt;""),'Atividades Micro'!$K263,"")</f>
        <v/>
      </c>
      <c r="AV225" s="21" t="str">
        <f>IF(AND('Atividades Micro'!$A263=AV$2,'Atividades Micro'!$L263&lt;&gt;""),'Atividades Micro'!$L263,"")</f>
        <v/>
      </c>
      <c r="AW225" s="21" t="str">
        <f>IF(AND('Atividades Micro'!$B263=AW$2,'Atividades Micro'!$K263&lt;&gt;""),'Atividades Micro'!$K263,"")</f>
        <v/>
      </c>
      <c r="AX225" s="21" t="str">
        <f>IF(AND('Atividades Micro'!$B263=AX$2,'Atividades Micro'!$L263&lt;&gt;""),'Atividades Micro'!$L263,"")</f>
        <v/>
      </c>
      <c r="AY225" s="21" t="str">
        <f>IF(AND('Atividades Micro'!$A263=AY$2,'Atividades Micro'!$K263&lt;&gt;""),'Atividades Micro'!$K263,"")</f>
        <v/>
      </c>
      <c r="AZ225" s="21" t="str">
        <f>IF(AND('Atividades Micro'!$A263=AZ$2,'Atividades Micro'!$L263&lt;&gt;""),'Atividades Micro'!$L263,"")</f>
        <v/>
      </c>
      <c r="BA225" s="21" t="str">
        <f>IF(AND('Atividades Micro'!$B263=BA$2,'Atividades Micro'!$K263&lt;&gt;""),'Atividades Micro'!$K263,"")</f>
        <v/>
      </c>
      <c r="BB225" s="21" t="str">
        <f>IF(AND('Atividades Micro'!$B263=BB$2,'Atividades Micro'!$L263&lt;&gt;""),'Atividades Micro'!$L263,"")</f>
        <v/>
      </c>
      <c r="BC225" s="21" t="str">
        <f>IF(AND('Atividades Micro'!$B263=BC$2,'Atividades Micro'!$G263="Macro",'Atividades Micro'!$K263&lt;&gt;""),'Atividades Micro'!$K263,"")</f>
        <v/>
      </c>
      <c r="BD225" s="21" t="str">
        <f>IF(AND('Atividades Micro'!$B263=BD$2,'Atividades Micro'!$G263="Macro",'Atividades Micro'!$K263&lt;&gt;""),'Atividades Micro'!$K263,"")</f>
        <v/>
      </c>
      <c r="BE225" s="21" t="str">
        <f>IF(AND('Atividades Micro'!$B263=BE$2,'Atividades Micro'!$G263="Macro",'Atividades Micro'!$K263&lt;&gt;""),'Atividades Micro'!$K263,"")</f>
        <v/>
      </c>
      <c r="BF225" s="21" t="str">
        <f>IF(AND('Atividades Micro'!$B263=BF$2,'Atividades Micro'!$G263="Macro",'Atividades Micro'!$K263&lt;&gt;""),'Atividades Micro'!$K263,"")</f>
        <v/>
      </c>
      <c r="BG225" s="21" t="str">
        <f>IF(AND('Atividades Micro'!$B263=BG$2,'Atividades Micro'!$G263="Macro",'Atividades Micro'!$K263&lt;&gt;""),'Atividades Micro'!$K263,"")</f>
        <v/>
      </c>
      <c r="BH225" s="21" t="str">
        <f>IF(AND('Atividades Micro'!$B263=BH$2,'Atividades Micro'!$G263="Macro",'Atividades Micro'!$K263&lt;&gt;""),'Atividades Micro'!$K263,"")</f>
        <v/>
      </c>
      <c r="BI225" s="21" t="str">
        <f>IF(AND('Atividades Micro'!$B263=BI$2,'Atividades Micro'!$G263="Macro",'Atividades Micro'!$K263&lt;&gt;""),'Atividades Micro'!$K263,"")</f>
        <v/>
      </c>
      <c r="BJ225" s="21" t="str">
        <f>IF(AND('Atividades Micro'!$B263=BJ$2,'Atividades Micro'!$G263="Macro",'Atividades Micro'!$K263&lt;&gt;""),'Atividades Micro'!$K263,"")</f>
        <v/>
      </c>
      <c r="BK225" s="21" t="str">
        <f>IF(AND('Atividades Micro'!$B263=BK$2,'Atividades Micro'!$G263="Macro",'Atividades Micro'!$K263&lt;&gt;""),'Atividades Micro'!$K263,"")</f>
        <v/>
      </c>
      <c r="BL225" s="21" t="str">
        <f>IF(AND('Atividades Micro'!$B263=BL$2,'Atividades Micro'!$G263="Macro",'Atividades Micro'!$K263&lt;&gt;""),'Atividades Micro'!$K263,"")</f>
        <v/>
      </c>
      <c r="BM225" s="21" t="str">
        <f>IF(AND('Atividades Micro'!$B263=BM$2,'Atividades Micro'!$G263="Macro",'Atividades Micro'!$K263&lt;&gt;""),'Atividades Micro'!$K263,"")</f>
        <v/>
      </c>
      <c r="BN225" s="21" t="str">
        <f>IF(AND('Atividades Micro'!$B263=BN$2,'Atividades Micro'!$G263="Macro",'Atividades Micro'!$K263&lt;&gt;""),'Atividades Micro'!$K263,"")</f>
        <v/>
      </c>
      <c r="BO225" s="21" t="str">
        <f>IF(AND('Atividades Micro'!$B263=BO$2,'Atividades Micro'!$G263="Macro",'Atividades Micro'!$K263&lt;&gt;""),'Atividades Micro'!$K263,"")</f>
        <v/>
      </c>
      <c r="BP225" s="21" t="str">
        <f>IF(AND('Atividades Micro'!$B263=BP$2,'Atividades Micro'!$G263="Macro",'Atividades Micro'!$K263&lt;&gt;""),'Atividades Micro'!$K263,"")</f>
        <v/>
      </c>
      <c r="BQ225" s="21" t="str">
        <f>IF(AND('Atividades Micro'!$B263=BQ$2,'Atividades Micro'!$G263="Macro",'Atividades Micro'!$K263&lt;&gt;""),'Atividades Micro'!$K263,"")</f>
        <v/>
      </c>
      <c r="BR225" s="21" t="str">
        <f>IF(AND('Atividades Micro'!$B263=BR$2,'Atividades Micro'!$G263="Macro",'Atividades Micro'!$K263&lt;&gt;""),'Atividades Micro'!$K263,"")</f>
        <v/>
      </c>
      <c r="BS225" s="21" t="str">
        <f>IF(AND('Atividades Micro'!$B263=BS$2,'Atividades Micro'!$G263="Macro",'Atividades Micro'!$K263&lt;&gt;""),'Atividades Micro'!$K263,"")</f>
        <v/>
      </c>
      <c r="BT225" s="21" t="str">
        <f>IF(AND('Atividades Micro'!$B263=BT$2,'Atividades Micro'!$G263="Macro",'Atividades Micro'!$K263&lt;&gt;""),'Atividades Micro'!$K263,"")</f>
        <v/>
      </c>
      <c r="BU225" s="21" t="str">
        <f>IF(AND('Atividades Micro'!$B263=BU$2,'Atividades Micro'!$G263="Macro",'Atividades Micro'!$K263&lt;&gt;""),'Atividades Micro'!$K263,"")</f>
        <v/>
      </c>
      <c r="BV225" s="21" t="str">
        <f>IF(AND('Atividades Micro'!$B263=BV$2,'Atividades Micro'!$G263="Macro",'Atividades Micro'!$K263&lt;&gt;""),'Atividades Micro'!$K263,"")</f>
        <v/>
      </c>
      <c r="BW225" s="21" t="str">
        <f>IF(AND('Atividades Micro'!$B263=BW$2,'Atividades Micro'!$G263="Macro",'Atividades Micro'!$K263&lt;&gt;""),'Atividades Micro'!$K263,"")</f>
        <v/>
      </c>
      <c r="BX225" s="21" t="str">
        <f>IF(AND('Atividades Micro'!$B263=BX$2,'Atividades Micro'!$G263="Macro",'Atividades Micro'!$K263&lt;&gt;""),'Atividades Micro'!$K263,"")</f>
        <v/>
      </c>
      <c r="BY225" s="21" t="str">
        <f>IF(AND('Atividades Micro'!$B263=BY$2,'Atividades Micro'!$G263="Macro",'Atividades Micro'!$K263&lt;&gt;""),'Atividades Micro'!$K263,"")</f>
        <v/>
      </c>
      <c r="BZ225" s="21" t="str">
        <f>IF(AND('Atividades Micro'!$B263=BZ$2,'Atividades Micro'!$G263="Macro",'Atividades Micro'!$K263&lt;&gt;""),'Atividades Micro'!$K263,"")</f>
        <v/>
      </c>
      <c r="CA225" s="21" t="str">
        <f>IF(AND('Atividades Micro'!$B263=CA$2,'Atividades Micro'!$G263="Macro",'Atividades Micro'!$K263&lt;&gt;""),'Atividades Micro'!$K263,"")</f>
        <v/>
      </c>
      <c r="CB225" s="21" t="str">
        <f>IF(AND('Atividades Micro'!$B263=CB$2,'Atividades Micro'!$G263="Macro",'Atividades Micro'!$K263&lt;&gt;""),'Atividades Micro'!$K263,"")</f>
        <v/>
      </c>
      <c r="CC225" s="21" t="str">
        <f>IF(AND('Atividades Micro'!$B263=CC$2,'Atividades Micro'!$G263="Macro",'Atividades Micro'!$K263&lt;&gt;""),'Atividades Micro'!$K263,"")</f>
        <v/>
      </c>
      <c r="CD225" s="21" t="str">
        <f>IF(AND('Atividades Micro'!$B263=CD$2,'Atividades Micro'!$G263="Micro",'Atividades Micro'!$K263&lt;&gt;""),'Atividades Micro'!$K263,"")</f>
        <v/>
      </c>
      <c r="CE225" s="21" t="str">
        <f>IF(AND('Atividades Micro'!$B263=CE$2,'Atividades Micro'!$G263="Micro",'Atividades Micro'!$K263&lt;&gt;""),'Atividades Micro'!$K263,"")</f>
        <v/>
      </c>
      <c r="CF225" s="21" t="str">
        <f>IF(AND('Atividades Micro'!$B263=CF$2,'Atividades Micro'!$G263="Micro",'Atividades Micro'!$K263&lt;&gt;""),'Atividades Micro'!$K263,"")</f>
        <v/>
      </c>
      <c r="CG225" s="21" t="str">
        <f>IF(AND('Atividades Micro'!$B263=CG$2,'Atividades Micro'!$G263="Micro",'Atividades Micro'!$K263&lt;&gt;""),'Atividades Micro'!$K263,"")</f>
        <v/>
      </c>
      <c r="CH225" s="21" t="str">
        <f>IF(AND('Atividades Micro'!$B263=CH$2,'Atividades Micro'!$G263="Micro",'Atividades Micro'!$K263&lt;&gt;""),'Atividades Micro'!$K263,"")</f>
        <v/>
      </c>
      <c r="CI225" s="21" t="str">
        <f>IF(AND('Atividades Micro'!$B263=CI$2,'Atividades Micro'!$G263="Micro",'Atividades Micro'!$K263&lt;&gt;""),'Atividades Micro'!$K263,"")</f>
        <v/>
      </c>
      <c r="CJ225" s="21" t="str">
        <f>IF(AND('Atividades Micro'!$B263=CJ$2,'Atividades Micro'!$G263="Micro",'Atividades Micro'!$K263&lt;&gt;""),'Atividades Micro'!$K263,"")</f>
        <v/>
      </c>
      <c r="CK225" s="21" t="str">
        <f>IF(AND('Atividades Micro'!$B263=CK$2,'Atividades Micro'!$G263="Micro",'Atividades Micro'!$K263&lt;&gt;""),'Atividades Micro'!$K263,"")</f>
        <v/>
      </c>
      <c r="CL225" s="21" t="str">
        <f>IF(AND('Atividades Micro'!$B263=CL$2,'Atividades Micro'!$G263="Micro",'Atividades Micro'!$K263&lt;&gt;""),'Atividades Micro'!$K263,"")</f>
        <v/>
      </c>
      <c r="CM225" s="21" t="str">
        <f>IF(AND('Atividades Micro'!$B263=CM$2,'Atividades Micro'!$G263="Micro",'Atividades Micro'!$K263&lt;&gt;""),'Atividades Micro'!$K263,"")</f>
        <v/>
      </c>
      <c r="CN225" s="21" t="str">
        <f>IF(AND('Atividades Micro'!$B263=CN$2,'Atividades Micro'!$G263="Micro",'Atividades Micro'!$K263&lt;&gt;""),'Atividades Micro'!$K263,"")</f>
        <v/>
      </c>
      <c r="CO225" s="21" t="str">
        <f>IF(AND('Atividades Micro'!$B263=CO$2,'Atividades Micro'!$G263="Micro",'Atividades Micro'!$K263&lt;&gt;""),'Atividades Micro'!$K263,"")</f>
        <v/>
      </c>
    </row>
    <row r="226" spans="1:93">
      <c r="A226" s="21" t="str">
        <f>IF(AND('Atividades Micro'!$A264=A$2,'Atividades Micro'!$K264&lt;&gt;""),'Atividades Micro'!$K264,"")</f>
        <v/>
      </c>
      <c r="B226" s="21" t="str">
        <f>IF(AND('Atividades Micro'!$A264=B$2,'Atividades Micro'!$L264&lt;&gt;""),'Atividades Micro'!$L264,"")</f>
        <v/>
      </c>
      <c r="C226" s="21" t="str">
        <f>IF(AND('Atividades Micro'!$A264=C$2,'Atividades Micro'!$K264&lt;&gt;""),'Atividades Micro'!$K264,"")</f>
        <v/>
      </c>
      <c r="D226" s="21" t="str">
        <f>IF(AND('Atividades Micro'!$A264=D$2,'Atividades Micro'!$L264&lt;&gt;""),'Atividades Micro'!$L264,"")</f>
        <v/>
      </c>
      <c r="E226" s="21" t="str">
        <f>IF(AND('Atividades Micro'!$A264=E$2,'Atividades Micro'!$K264&lt;&gt;""),'Atividades Micro'!$K264,"")</f>
        <v/>
      </c>
      <c r="F226" s="21" t="str">
        <f>IF(AND('Atividades Micro'!$A264=F$2,'Atividades Micro'!$L264&lt;&gt;""),'Atividades Micro'!$L264,"")</f>
        <v/>
      </c>
      <c r="G226" s="21" t="str">
        <f>IF(AND('Atividades Micro'!$A264=G$2,'Atividades Micro'!$K264&lt;&gt;""),'Atividades Micro'!$K264,"")</f>
        <v/>
      </c>
      <c r="H226" s="21" t="str">
        <f>IF(AND('Atividades Micro'!$A264=H$2,'Atividades Micro'!$L264&lt;&gt;""),'Atividades Micro'!$L264,"")</f>
        <v/>
      </c>
      <c r="I226" s="21" t="str">
        <f>IF(AND('Atividades Micro'!$A264=I$2,'Atividades Micro'!$K264&lt;&gt;""),'Atividades Micro'!$K264,"")</f>
        <v/>
      </c>
      <c r="J226" s="21" t="str">
        <f>IF(AND('Atividades Micro'!$A264=J$2,'Atividades Micro'!$L264&lt;&gt;""),'Atividades Micro'!$L264,"")</f>
        <v/>
      </c>
      <c r="K226" s="21" t="str">
        <f>IF(AND('Atividades Micro'!$B264=K$2,'Atividades Micro'!$K264&lt;&gt;""),'Atividades Micro'!$K264,"")</f>
        <v/>
      </c>
      <c r="L226" s="21" t="str">
        <f>IF(AND('Atividades Micro'!$B264=L$2,'Atividades Micro'!$L264&lt;&gt;""),'Atividades Micro'!$L264,"")</f>
        <v/>
      </c>
      <c r="M226" s="21" t="str">
        <f>IF(AND('Atividades Micro'!$B264=M$2,'Atividades Micro'!$K264&lt;&gt;""),'Atividades Micro'!$K264,"")</f>
        <v/>
      </c>
      <c r="N226" s="21" t="str">
        <f>IF(AND('Atividades Micro'!$B264=N$2,'Atividades Micro'!$L264&lt;&gt;""),'Atividades Micro'!$L264,"")</f>
        <v/>
      </c>
      <c r="O226" s="21" t="str">
        <f>IF(AND('Atividades Micro'!$A264=O$2,'Atividades Micro'!$K264&lt;&gt;""),'Atividades Micro'!$K264,"")</f>
        <v/>
      </c>
      <c r="P226" s="21" t="str">
        <f>IF(AND('Atividades Micro'!$A264=P$2,'Atividades Micro'!$L264&lt;&gt;""),'Atividades Micro'!$L264,"")</f>
        <v/>
      </c>
      <c r="Q226" s="21" t="str">
        <f>IF(AND('Atividades Micro'!$B264=Q$2,'Atividades Micro'!$K264&lt;&gt;""),'Atividades Micro'!$K264,"")</f>
        <v/>
      </c>
      <c r="R226" s="21" t="str">
        <f>IF(AND('Atividades Micro'!$B264=R$2,'Atividades Micro'!$L264&lt;&gt;""),'Atividades Micro'!$L264,"")</f>
        <v/>
      </c>
      <c r="S226" s="21" t="str">
        <f>IF(AND('Atividades Micro'!$A264=S$2,'Atividades Micro'!$K264&lt;&gt;""),'Atividades Micro'!$K264,"")</f>
        <v/>
      </c>
      <c r="T226" s="21" t="str">
        <f>IF(AND('Atividades Micro'!$A264=T$2,'Atividades Micro'!$L264&lt;&gt;""),'Atividades Micro'!$L264,"")</f>
        <v/>
      </c>
      <c r="U226" s="21" t="str">
        <f>IF(AND('Atividades Micro'!$B264=U$2,'Atividades Micro'!$K264&lt;&gt;""),'Atividades Micro'!$K264,"")</f>
        <v/>
      </c>
      <c r="V226" s="21" t="str">
        <f>IF(AND('Atividades Micro'!$B264=V$2,'Atividades Micro'!$L264&lt;&gt;""),'Atividades Micro'!$L264,"")</f>
        <v/>
      </c>
      <c r="W226" s="21" t="str">
        <f>IF(AND('Atividades Micro'!$B264=W$2,'Atividades Micro'!$K264&lt;&gt;""),'Atividades Micro'!$K264,"")</f>
        <v/>
      </c>
      <c r="X226" s="21" t="str">
        <f>IF(AND('Atividades Micro'!$B264=X$2,'Atividades Micro'!$L264&lt;&gt;""),'Atividades Micro'!$L264,"")</f>
        <v/>
      </c>
      <c r="Y226" s="21" t="str">
        <f>IF(AND('Atividades Micro'!$A264=Y$2,'Atividades Micro'!$K264&lt;&gt;""),'Atividades Micro'!$K264,"")</f>
        <v/>
      </c>
      <c r="Z226" s="21" t="str">
        <f>IF(AND('Atividades Micro'!$A264=Z$2,'Atividades Micro'!$L264&lt;&gt;""),'Atividades Micro'!$L264,"")</f>
        <v/>
      </c>
      <c r="AA226" s="21" t="str">
        <f>IF(AND('Atividades Micro'!$B264=AA$2,'Atividades Micro'!$K264&lt;&gt;""),'Atividades Micro'!$K264,"")</f>
        <v/>
      </c>
      <c r="AB226" s="21" t="str">
        <f>IF(AND('Atividades Micro'!$B264=AB$2,'Atividades Micro'!$L264&lt;&gt;""),'Atividades Micro'!$L264,"")</f>
        <v/>
      </c>
      <c r="AC226" s="21" t="str">
        <f>IF(AND('Atividades Micro'!$B264=AC$2,'Atividades Micro'!$K264&lt;&gt;""),'Atividades Micro'!$K264,"")</f>
        <v/>
      </c>
      <c r="AD226" s="21" t="str">
        <f>IF(AND('Atividades Micro'!$B264=AD$2,'Atividades Micro'!$L264&lt;&gt;""),'Atividades Micro'!$L264,"")</f>
        <v/>
      </c>
      <c r="AE226" s="21">
        <f>IF(AND('Atividades Micro'!$A264=AE$2,'Atividades Micro'!$K264&lt;&gt;""),'Atividades Micro'!$K264,"")</f>
        <v>46279</v>
      </c>
      <c r="AF226" s="21">
        <f>IF(AND('Atividades Micro'!$A264=AF$2,'Atividades Micro'!$L264&lt;&gt;""),'Atividades Micro'!$L264,"")</f>
        <v>46314</v>
      </c>
      <c r="AG226" s="21" t="str">
        <f>IF(AND('Atividades Micro'!$B264=AG$2,'Atividades Micro'!$K264&lt;&gt;""),'Atividades Micro'!$K264,"")</f>
        <v/>
      </c>
      <c r="AH226" s="21" t="str">
        <f>IF(AND('Atividades Micro'!$B264=AH$2,'Atividades Micro'!$L264&lt;&gt;""),'Atividades Micro'!$L264,"")</f>
        <v/>
      </c>
      <c r="AI226" s="21">
        <f>IF(AND('Atividades Micro'!$B264=AI$2,'Atividades Micro'!$K264&lt;&gt;""),'Atividades Micro'!$K264,"")</f>
        <v>46279</v>
      </c>
      <c r="AJ226" s="21">
        <f>IF(AND('Atividades Micro'!$B264=AJ$2,'Atividades Micro'!$L264&lt;&gt;""),'Atividades Micro'!$L264,"")</f>
        <v>46314</v>
      </c>
      <c r="AK226" s="21" t="str">
        <f>IF(AND('Atividades Micro'!$A264=AK$2,'Atividades Micro'!$K264&lt;&gt;""),'Atividades Micro'!$K264,"")</f>
        <v/>
      </c>
      <c r="AL226" s="21" t="str">
        <f>IF(AND('Atividades Micro'!$A264=AL$2,'Atividades Micro'!$L264&lt;&gt;""),'Atividades Micro'!$L264,"")</f>
        <v/>
      </c>
      <c r="AM226" s="21" t="str">
        <f>IF(AND('Atividades Micro'!$B264=AM$2,'Atividades Micro'!$K264&lt;&gt;""),'Atividades Micro'!$K264,"")</f>
        <v/>
      </c>
      <c r="AN226" s="21" t="str">
        <f>IF(AND('Atividades Micro'!$B264=AN$2,'Atividades Micro'!$L264&lt;&gt;""),'Atividades Micro'!$L264,"")</f>
        <v/>
      </c>
      <c r="AO226" s="21" t="str">
        <f>IF(AND('Atividades Micro'!$B264=AO$2,'Atividades Micro'!$K264&lt;&gt;""),'Atividades Micro'!$K264,"")</f>
        <v/>
      </c>
      <c r="AP226" s="21" t="str">
        <f>IF(AND('Atividades Micro'!$B264=AP$2,'Atividades Micro'!$L264&lt;&gt;""),'Atividades Micro'!$L264,"")</f>
        <v/>
      </c>
      <c r="AQ226" s="21" t="str">
        <f>IF(AND('Atividades Micro'!$A264=AQ$2,'Atividades Micro'!$K264&lt;&gt;""),'Atividades Micro'!$K264,"")</f>
        <v/>
      </c>
      <c r="AR226" s="21" t="str">
        <f>IF(AND('Atividades Micro'!$A264=AR$2,'Atividades Micro'!$L264&lt;&gt;""),'Atividades Micro'!$L264,"")</f>
        <v/>
      </c>
      <c r="AS226" s="21" t="str">
        <f>IF(AND('Atividades Micro'!$B264=AS$2,'Atividades Micro'!$K264&lt;&gt;""),'Atividades Micro'!$K264,"")</f>
        <v/>
      </c>
      <c r="AT226" s="21" t="str">
        <f>IF(AND('Atividades Micro'!$B264=AT$2,'Atividades Micro'!$L264&lt;&gt;""),'Atividades Micro'!$L264,"")</f>
        <v/>
      </c>
      <c r="AU226" s="21" t="str">
        <f>IF(AND('Atividades Micro'!$A264=AU$2,'Atividades Micro'!$K264&lt;&gt;""),'Atividades Micro'!$K264,"")</f>
        <v/>
      </c>
      <c r="AV226" s="21" t="str">
        <f>IF(AND('Atividades Micro'!$A264=AV$2,'Atividades Micro'!$L264&lt;&gt;""),'Atividades Micro'!$L264,"")</f>
        <v/>
      </c>
      <c r="AW226" s="21" t="str">
        <f>IF(AND('Atividades Micro'!$B264=AW$2,'Atividades Micro'!$K264&lt;&gt;""),'Atividades Micro'!$K264,"")</f>
        <v/>
      </c>
      <c r="AX226" s="21" t="str">
        <f>IF(AND('Atividades Micro'!$B264=AX$2,'Atividades Micro'!$L264&lt;&gt;""),'Atividades Micro'!$L264,"")</f>
        <v/>
      </c>
      <c r="AY226" s="21" t="str">
        <f>IF(AND('Atividades Micro'!$A264=AY$2,'Atividades Micro'!$K264&lt;&gt;""),'Atividades Micro'!$K264,"")</f>
        <v/>
      </c>
      <c r="AZ226" s="21" t="str">
        <f>IF(AND('Atividades Micro'!$A264=AZ$2,'Atividades Micro'!$L264&lt;&gt;""),'Atividades Micro'!$L264,"")</f>
        <v/>
      </c>
      <c r="BA226" s="21" t="str">
        <f>IF(AND('Atividades Micro'!$B264=BA$2,'Atividades Micro'!$K264&lt;&gt;""),'Atividades Micro'!$K264,"")</f>
        <v/>
      </c>
      <c r="BB226" s="21" t="str">
        <f>IF(AND('Atividades Micro'!$B264=BB$2,'Atividades Micro'!$L264&lt;&gt;""),'Atividades Micro'!$L264,"")</f>
        <v/>
      </c>
      <c r="BC226" s="21" t="str">
        <f>IF(AND('Atividades Micro'!$B264=BC$2,'Atividades Micro'!$G264="Macro",'Atividades Micro'!$K264&lt;&gt;""),'Atividades Micro'!$K264,"")</f>
        <v/>
      </c>
      <c r="BD226" s="21" t="str">
        <f>IF(AND('Atividades Micro'!$B264=BD$2,'Atividades Micro'!$G264="Macro",'Atividades Micro'!$K264&lt;&gt;""),'Atividades Micro'!$K264,"")</f>
        <v/>
      </c>
      <c r="BE226" s="21" t="str">
        <f>IF(AND('Atividades Micro'!$B264=BE$2,'Atividades Micro'!$G264="Macro",'Atividades Micro'!$K264&lt;&gt;""),'Atividades Micro'!$K264,"")</f>
        <v/>
      </c>
      <c r="BF226" s="21" t="str">
        <f>IF(AND('Atividades Micro'!$B264=BF$2,'Atividades Micro'!$G264="Macro",'Atividades Micro'!$K264&lt;&gt;""),'Atividades Micro'!$K264,"")</f>
        <v/>
      </c>
      <c r="BG226" s="21" t="str">
        <f>IF(AND('Atividades Micro'!$B264=BG$2,'Atividades Micro'!$G264="Macro",'Atividades Micro'!$K264&lt;&gt;""),'Atividades Micro'!$K264,"")</f>
        <v/>
      </c>
      <c r="BH226" s="21" t="str">
        <f>IF(AND('Atividades Micro'!$B264=BH$2,'Atividades Micro'!$G264="Macro",'Atividades Micro'!$K264&lt;&gt;""),'Atividades Micro'!$K264,"")</f>
        <v/>
      </c>
      <c r="BI226" s="21" t="str">
        <f>IF(AND('Atividades Micro'!$B264=BI$2,'Atividades Micro'!$G264="Macro",'Atividades Micro'!$K264&lt;&gt;""),'Atividades Micro'!$K264,"")</f>
        <v/>
      </c>
      <c r="BJ226" s="21" t="str">
        <f>IF(AND('Atividades Micro'!$B264=BJ$2,'Atividades Micro'!$G264="Macro",'Atividades Micro'!$K264&lt;&gt;""),'Atividades Micro'!$K264,"")</f>
        <v/>
      </c>
      <c r="BK226" s="21" t="str">
        <f>IF(AND('Atividades Micro'!$B264=BK$2,'Atividades Micro'!$G264="Macro",'Atividades Micro'!$K264&lt;&gt;""),'Atividades Micro'!$K264,"")</f>
        <v/>
      </c>
      <c r="BL226" s="21" t="str">
        <f>IF(AND('Atividades Micro'!$B264=BL$2,'Atividades Micro'!$G264="Macro",'Atividades Micro'!$K264&lt;&gt;""),'Atividades Micro'!$K264,"")</f>
        <v/>
      </c>
      <c r="BM226" s="21" t="str">
        <f>IF(AND('Atividades Micro'!$B264=BM$2,'Atividades Micro'!$G264="Macro",'Atividades Micro'!$K264&lt;&gt;""),'Atividades Micro'!$K264,"")</f>
        <v/>
      </c>
      <c r="BN226" s="21" t="str">
        <f>IF(AND('Atividades Micro'!$B264=BN$2,'Atividades Micro'!$G264="Macro",'Atividades Micro'!$K264&lt;&gt;""),'Atividades Micro'!$K264,"")</f>
        <v/>
      </c>
      <c r="BO226" s="21" t="str">
        <f>IF(AND('Atividades Micro'!$B264=BO$2,'Atividades Micro'!$G264="Macro",'Atividades Micro'!$K264&lt;&gt;""),'Atividades Micro'!$K264,"")</f>
        <v/>
      </c>
      <c r="BP226" s="21" t="str">
        <f>IF(AND('Atividades Micro'!$B264=BP$2,'Atividades Micro'!$G264="Macro",'Atividades Micro'!$K264&lt;&gt;""),'Atividades Micro'!$K264,"")</f>
        <v/>
      </c>
      <c r="BQ226" s="21" t="str">
        <f>IF(AND('Atividades Micro'!$B264=BQ$2,'Atividades Micro'!$G264="Macro",'Atividades Micro'!$K264&lt;&gt;""),'Atividades Micro'!$K264,"")</f>
        <v/>
      </c>
      <c r="BR226" s="21" t="str">
        <f>IF(AND('Atividades Micro'!$B264=BR$2,'Atividades Micro'!$G264="Macro",'Atividades Micro'!$K264&lt;&gt;""),'Atividades Micro'!$K264,"")</f>
        <v/>
      </c>
      <c r="BS226" s="21" t="str">
        <f>IF(AND('Atividades Micro'!$B264=BS$2,'Atividades Micro'!$G264="Macro",'Atividades Micro'!$K264&lt;&gt;""),'Atividades Micro'!$K264,"")</f>
        <v/>
      </c>
      <c r="BT226" s="21" t="str">
        <f>IF(AND('Atividades Micro'!$B264=BT$2,'Atividades Micro'!$G264="Macro",'Atividades Micro'!$K264&lt;&gt;""),'Atividades Micro'!$K264,"")</f>
        <v/>
      </c>
      <c r="BU226" s="21" t="str">
        <f>IF(AND('Atividades Micro'!$B264=BU$2,'Atividades Micro'!$G264="Macro",'Atividades Micro'!$K264&lt;&gt;""),'Atividades Micro'!$K264,"")</f>
        <v/>
      </c>
      <c r="BV226" s="21" t="str">
        <f>IF(AND('Atividades Micro'!$B264=BV$2,'Atividades Micro'!$G264="Macro",'Atividades Micro'!$K264&lt;&gt;""),'Atividades Micro'!$K264,"")</f>
        <v/>
      </c>
      <c r="BW226" s="21" t="str">
        <f>IF(AND('Atividades Micro'!$B264=BW$2,'Atividades Micro'!$G264="Macro",'Atividades Micro'!$K264&lt;&gt;""),'Atividades Micro'!$K264,"")</f>
        <v/>
      </c>
      <c r="BX226" s="21" t="str">
        <f>IF(AND('Atividades Micro'!$B264=BX$2,'Atividades Micro'!$G264="Macro",'Atividades Micro'!$K264&lt;&gt;""),'Atividades Micro'!$K264,"")</f>
        <v/>
      </c>
      <c r="BY226" s="21" t="str">
        <f>IF(AND('Atividades Micro'!$B264=BY$2,'Atividades Micro'!$G264="Macro",'Atividades Micro'!$K264&lt;&gt;""),'Atividades Micro'!$K264,"")</f>
        <v/>
      </c>
      <c r="BZ226" s="21" t="str">
        <f>IF(AND('Atividades Micro'!$B264=BZ$2,'Atividades Micro'!$G264="Macro",'Atividades Micro'!$K264&lt;&gt;""),'Atividades Micro'!$K264,"")</f>
        <v/>
      </c>
      <c r="CA226" s="21" t="str">
        <f>IF(AND('Atividades Micro'!$B264=CA$2,'Atividades Micro'!$G264="Macro",'Atividades Micro'!$K264&lt;&gt;""),'Atividades Micro'!$K264,"")</f>
        <v/>
      </c>
      <c r="CB226" s="21" t="str">
        <f>IF(AND('Atividades Micro'!$B264=CB$2,'Atividades Micro'!$G264="Macro",'Atividades Micro'!$K264&lt;&gt;""),'Atividades Micro'!$K264,"")</f>
        <v/>
      </c>
      <c r="CC226" s="21" t="str">
        <f>IF(AND('Atividades Micro'!$B264=CC$2,'Atividades Micro'!$G264="Macro",'Atividades Micro'!$K264&lt;&gt;""),'Atividades Micro'!$K264,"")</f>
        <v/>
      </c>
      <c r="CD226" s="21" t="str">
        <f>IF(AND('Atividades Micro'!$B264=CD$2,'Atividades Micro'!$G264="Micro",'Atividades Micro'!$K264&lt;&gt;""),'Atividades Micro'!$K264,"")</f>
        <v/>
      </c>
      <c r="CE226" s="21" t="str">
        <f>IF(AND('Atividades Micro'!$B264=CE$2,'Atividades Micro'!$G264="Micro",'Atividades Micro'!$K264&lt;&gt;""),'Atividades Micro'!$K264,"")</f>
        <v/>
      </c>
      <c r="CF226" s="21" t="str">
        <f>IF(AND('Atividades Micro'!$B264=CF$2,'Atividades Micro'!$G264="Micro",'Atividades Micro'!$K264&lt;&gt;""),'Atividades Micro'!$K264,"")</f>
        <v/>
      </c>
      <c r="CG226" s="21" t="str">
        <f>IF(AND('Atividades Micro'!$B264=CG$2,'Atividades Micro'!$G264="Micro",'Atividades Micro'!$K264&lt;&gt;""),'Atividades Micro'!$K264,"")</f>
        <v/>
      </c>
      <c r="CH226" s="21" t="str">
        <f>IF(AND('Atividades Micro'!$B264=CH$2,'Atividades Micro'!$G264="Micro",'Atividades Micro'!$K264&lt;&gt;""),'Atividades Micro'!$K264,"")</f>
        <v/>
      </c>
      <c r="CI226" s="21" t="str">
        <f>IF(AND('Atividades Micro'!$B264=CI$2,'Atividades Micro'!$G264="Micro",'Atividades Micro'!$K264&lt;&gt;""),'Atividades Micro'!$K264,"")</f>
        <v/>
      </c>
      <c r="CJ226" s="21" t="str">
        <f>IF(AND('Atividades Micro'!$B264=CJ$2,'Atividades Micro'!$G264="Micro",'Atividades Micro'!$K264&lt;&gt;""),'Atividades Micro'!$K264,"")</f>
        <v/>
      </c>
      <c r="CK226" s="21" t="str">
        <f>IF(AND('Atividades Micro'!$B264=CK$2,'Atividades Micro'!$G264="Micro",'Atividades Micro'!$K264&lt;&gt;""),'Atividades Micro'!$K264,"")</f>
        <v/>
      </c>
      <c r="CL226" s="21">
        <f>IF(AND('Atividades Micro'!$B264=CL$2,'Atividades Micro'!$G264="Micro",'Atividades Micro'!$K264&lt;&gt;""),'Atividades Micro'!$K264,"")</f>
        <v>46279</v>
      </c>
      <c r="CM226" s="21" t="str">
        <f>IF(AND('Atividades Micro'!$B264=CM$2,'Atividades Micro'!$G264="Micro",'Atividades Micro'!$K264&lt;&gt;""),'Atividades Micro'!$K264,"")</f>
        <v/>
      </c>
      <c r="CN226" s="21" t="str">
        <f>IF(AND('Atividades Micro'!$B264=CN$2,'Atividades Micro'!$G264="Micro",'Atividades Micro'!$K264&lt;&gt;""),'Atividades Micro'!$K264,"")</f>
        <v/>
      </c>
      <c r="CO226" s="21" t="str">
        <f>IF(AND('Atividades Micro'!$B264=CO$2,'Atividades Micro'!$G264="Micro",'Atividades Micro'!$K264&lt;&gt;""),'Atividades Micro'!$K264,"")</f>
        <v/>
      </c>
    </row>
    <row r="227" spans="1:93">
      <c r="A227" s="21" t="str">
        <f>IF(AND('Atividades Micro'!$A265=A$2,'Atividades Micro'!$K265&lt;&gt;""),'Atividades Micro'!$K265,"")</f>
        <v/>
      </c>
      <c r="B227" s="21" t="str">
        <f>IF(AND('Atividades Micro'!$A265=B$2,'Atividades Micro'!$L265&lt;&gt;""),'Atividades Micro'!$L265,"")</f>
        <v/>
      </c>
      <c r="C227" s="21" t="str">
        <f>IF(AND('Atividades Micro'!$A265=C$2,'Atividades Micro'!$K265&lt;&gt;""),'Atividades Micro'!$K265,"")</f>
        <v/>
      </c>
      <c r="D227" s="21" t="str">
        <f>IF(AND('Atividades Micro'!$A265=D$2,'Atividades Micro'!$L265&lt;&gt;""),'Atividades Micro'!$L265,"")</f>
        <v/>
      </c>
      <c r="E227" s="21" t="str">
        <f>IF(AND('Atividades Micro'!$A265=E$2,'Atividades Micro'!$K265&lt;&gt;""),'Atividades Micro'!$K265,"")</f>
        <v/>
      </c>
      <c r="F227" s="21" t="str">
        <f>IF(AND('Atividades Micro'!$A265=F$2,'Atividades Micro'!$L265&lt;&gt;""),'Atividades Micro'!$L265,"")</f>
        <v/>
      </c>
      <c r="G227" s="21" t="str">
        <f>IF(AND('Atividades Micro'!$A265=G$2,'Atividades Micro'!$K265&lt;&gt;""),'Atividades Micro'!$K265,"")</f>
        <v/>
      </c>
      <c r="H227" s="21" t="str">
        <f>IF(AND('Atividades Micro'!$A265=H$2,'Atividades Micro'!$L265&lt;&gt;""),'Atividades Micro'!$L265,"")</f>
        <v/>
      </c>
      <c r="I227" s="21" t="str">
        <f>IF(AND('Atividades Micro'!$A265=I$2,'Atividades Micro'!$K265&lt;&gt;""),'Atividades Micro'!$K265,"")</f>
        <v/>
      </c>
      <c r="J227" s="21" t="str">
        <f>IF(AND('Atividades Micro'!$A265=J$2,'Atividades Micro'!$L265&lt;&gt;""),'Atividades Micro'!$L265,"")</f>
        <v/>
      </c>
      <c r="K227" s="21" t="str">
        <f>IF(AND('Atividades Micro'!$B265=K$2,'Atividades Micro'!$K265&lt;&gt;""),'Atividades Micro'!$K265,"")</f>
        <v/>
      </c>
      <c r="L227" s="21" t="str">
        <f>IF(AND('Atividades Micro'!$B265=L$2,'Atividades Micro'!$L265&lt;&gt;""),'Atividades Micro'!$L265,"")</f>
        <v/>
      </c>
      <c r="M227" s="21" t="str">
        <f>IF(AND('Atividades Micro'!$B265=M$2,'Atividades Micro'!$K265&lt;&gt;""),'Atividades Micro'!$K265,"")</f>
        <v/>
      </c>
      <c r="N227" s="21" t="str">
        <f>IF(AND('Atividades Micro'!$B265=N$2,'Atividades Micro'!$L265&lt;&gt;""),'Atividades Micro'!$L265,"")</f>
        <v/>
      </c>
      <c r="O227" s="21" t="str">
        <f>IF(AND('Atividades Micro'!$A265=O$2,'Atividades Micro'!$K265&lt;&gt;""),'Atividades Micro'!$K265,"")</f>
        <v/>
      </c>
      <c r="P227" s="21" t="str">
        <f>IF(AND('Atividades Micro'!$A265=P$2,'Atividades Micro'!$L265&lt;&gt;""),'Atividades Micro'!$L265,"")</f>
        <v/>
      </c>
      <c r="Q227" s="21" t="str">
        <f>IF(AND('Atividades Micro'!$B265=Q$2,'Atividades Micro'!$K265&lt;&gt;""),'Atividades Micro'!$K265,"")</f>
        <v/>
      </c>
      <c r="R227" s="21" t="str">
        <f>IF(AND('Atividades Micro'!$B265=R$2,'Atividades Micro'!$L265&lt;&gt;""),'Atividades Micro'!$L265,"")</f>
        <v/>
      </c>
      <c r="S227" s="21" t="str">
        <f>IF(AND('Atividades Micro'!$A265=S$2,'Atividades Micro'!$K265&lt;&gt;""),'Atividades Micro'!$K265,"")</f>
        <v/>
      </c>
      <c r="T227" s="21" t="str">
        <f>IF(AND('Atividades Micro'!$A265=T$2,'Atividades Micro'!$L265&lt;&gt;""),'Atividades Micro'!$L265,"")</f>
        <v/>
      </c>
      <c r="U227" s="21" t="str">
        <f>IF(AND('Atividades Micro'!$B265=U$2,'Atividades Micro'!$K265&lt;&gt;""),'Atividades Micro'!$K265,"")</f>
        <v/>
      </c>
      <c r="V227" s="21" t="str">
        <f>IF(AND('Atividades Micro'!$B265=V$2,'Atividades Micro'!$L265&lt;&gt;""),'Atividades Micro'!$L265,"")</f>
        <v/>
      </c>
      <c r="W227" s="21" t="str">
        <f>IF(AND('Atividades Micro'!$B265=W$2,'Atividades Micro'!$K265&lt;&gt;""),'Atividades Micro'!$K265,"")</f>
        <v/>
      </c>
      <c r="X227" s="21" t="str">
        <f>IF(AND('Atividades Micro'!$B265=X$2,'Atividades Micro'!$L265&lt;&gt;""),'Atividades Micro'!$L265,"")</f>
        <v/>
      </c>
      <c r="Y227" s="21" t="str">
        <f>IF(AND('Atividades Micro'!$A265=Y$2,'Atividades Micro'!$K265&lt;&gt;""),'Atividades Micro'!$K265,"")</f>
        <v/>
      </c>
      <c r="Z227" s="21" t="str">
        <f>IF(AND('Atividades Micro'!$A265=Z$2,'Atividades Micro'!$L265&lt;&gt;""),'Atividades Micro'!$L265,"")</f>
        <v/>
      </c>
      <c r="AA227" s="21" t="str">
        <f>IF(AND('Atividades Micro'!$B265=AA$2,'Atividades Micro'!$K265&lt;&gt;""),'Atividades Micro'!$K265,"")</f>
        <v/>
      </c>
      <c r="AB227" s="21" t="str">
        <f>IF(AND('Atividades Micro'!$B265=AB$2,'Atividades Micro'!$L265&lt;&gt;""),'Atividades Micro'!$L265,"")</f>
        <v/>
      </c>
      <c r="AC227" s="21" t="str">
        <f>IF(AND('Atividades Micro'!$B265=AC$2,'Atividades Micro'!$K265&lt;&gt;""),'Atividades Micro'!$K265,"")</f>
        <v/>
      </c>
      <c r="AD227" s="21" t="str">
        <f>IF(AND('Atividades Micro'!$B265=AD$2,'Atividades Micro'!$L265&lt;&gt;""),'Atividades Micro'!$L265,"")</f>
        <v/>
      </c>
      <c r="AE227" s="21">
        <f>IF(AND('Atividades Micro'!$A265=AE$2,'Atividades Micro'!$K265&lt;&gt;""),'Atividades Micro'!$K265,"")</f>
        <v>46049</v>
      </c>
      <c r="AF227" s="21" t="str">
        <f>IF(AND('Atividades Micro'!$A265=AF$2,'Atividades Micro'!$L265&lt;&gt;""),'Atividades Micro'!$L265,"")</f>
        <v/>
      </c>
      <c r="AG227" s="21" t="str">
        <f>IF(AND('Atividades Micro'!$B265=AG$2,'Atividades Micro'!$K265&lt;&gt;""),'Atividades Micro'!$K265,"")</f>
        <v/>
      </c>
      <c r="AH227" s="21" t="str">
        <f>IF(AND('Atividades Micro'!$B265=AH$2,'Atividades Micro'!$L265&lt;&gt;""),'Atividades Micro'!$L265,"")</f>
        <v/>
      </c>
      <c r="AI227" s="21">
        <f>IF(AND('Atividades Micro'!$B265=AI$2,'Atividades Micro'!$K265&lt;&gt;""),'Atividades Micro'!$K265,"")</f>
        <v>46049</v>
      </c>
      <c r="AJ227" s="21" t="str">
        <f>IF(AND('Atividades Micro'!$B265=AJ$2,'Atividades Micro'!$L265&lt;&gt;""),'Atividades Micro'!$L265,"")</f>
        <v/>
      </c>
      <c r="AK227" s="21" t="str">
        <f>IF(AND('Atividades Micro'!$A265=AK$2,'Atividades Micro'!$K265&lt;&gt;""),'Atividades Micro'!$K265,"")</f>
        <v/>
      </c>
      <c r="AL227" s="21" t="str">
        <f>IF(AND('Atividades Micro'!$A265=AL$2,'Atividades Micro'!$L265&lt;&gt;""),'Atividades Micro'!$L265,"")</f>
        <v/>
      </c>
      <c r="AM227" s="21" t="str">
        <f>IF(AND('Atividades Micro'!$B265=AM$2,'Atividades Micro'!$K265&lt;&gt;""),'Atividades Micro'!$K265,"")</f>
        <v/>
      </c>
      <c r="AN227" s="21" t="str">
        <f>IF(AND('Atividades Micro'!$B265=AN$2,'Atividades Micro'!$L265&lt;&gt;""),'Atividades Micro'!$L265,"")</f>
        <v/>
      </c>
      <c r="AO227" s="21" t="str">
        <f>IF(AND('Atividades Micro'!$B265=AO$2,'Atividades Micro'!$K265&lt;&gt;""),'Atividades Micro'!$K265,"")</f>
        <v/>
      </c>
      <c r="AP227" s="21" t="str">
        <f>IF(AND('Atividades Micro'!$B265=AP$2,'Atividades Micro'!$L265&lt;&gt;""),'Atividades Micro'!$L265,"")</f>
        <v/>
      </c>
      <c r="AQ227" s="21" t="str">
        <f>IF(AND('Atividades Micro'!$A265=AQ$2,'Atividades Micro'!$K265&lt;&gt;""),'Atividades Micro'!$K265,"")</f>
        <v/>
      </c>
      <c r="AR227" s="21" t="str">
        <f>IF(AND('Atividades Micro'!$A265=AR$2,'Atividades Micro'!$L265&lt;&gt;""),'Atividades Micro'!$L265,"")</f>
        <v/>
      </c>
      <c r="AS227" s="21" t="str">
        <f>IF(AND('Atividades Micro'!$B265=AS$2,'Atividades Micro'!$K265&lt;&gt;""),'Atividades Micro'!$K265,"")</f>
        <v/>
      </c>
      <c r="AT227" s="21" t="str">
        <f>IF(AND('Atividades Micro'!$B265=AT$2,'Atividades Micro'!$L265&lt;&gt;""),'Atividades Micro'!$L265,"")</f>
        <v/>
      </c>
      <c r="AU227" s="21" t="str">
        <f>IF(AND('Atividades Micro'!$A265=AU$2,'Atividades Micro'!$K265&lt;&gt;""),'Atividades Micro'!$K265,"")</f>
        <v/>
      </c>
      <c r="AV227" s="21" t="str">
        <f>IF(AND('Atividades Micro'!$A265=AV$2,'Atividades Micro'!$L265&lt;&gt;""),'Atividades Micro'!$L265,"")</f>
        <v/>
      </c>
      <c r="AW227" s="21" t="str">
        <f>IF(AND('Atividades Micro'!$B265=AW$2,'Atividades Micro'!$K265&lt;&gt;""),'Atividades Micro'!$K265,"")</f>
        <v/>
      </c>
      <c r="AX227" s="21" t="str">
        <f>IF(AND('Atividades Micro'!$B265=AX$2,'Atividades Micro'!$L265&lt;&gt;""),'Atividades Micro'!$L265,"")</f>
        <v/>
      </c>
      <c r="AY227" s="21" t="str">
        <f>IF(AND('Atividades Micro'!$A265=AY$2,'Atividades Micro'!$K265&lt;&gt;""),'Atividades Micro'!$K265,"")</f>
        <v/>
      </c>
      <c r="AZ227" s="21" t="str">
        <f>IF(AND('Atividades Micro'!$A265=AZ$2,'Atividades Micro'!$L265&lt;&gt;""),'Atividades Micro'!$L265,"")</f>
        <v/>
      </c>
      <c r="BA227" s="21" t="str">
        <f>IF(AND('Atividades Micro'!$B265=BA$2,'Atividades Micro'!$K265&lt;&gt;""),'Atividades Micro'!$K265,"")</f>
        <v/>
      </c>
      <c r="BB227" s="21" t="str">
        <f>IF(AND('Atividades Micro'!$B265=BB$2,'Atividades Micro'!$L265&lt;&gt;""),'Atividades Micro'!$L265,"")</f>
        <v/>
      </c>
      <c r="BC227" s="21" t="str">
        <f>IF(AND('Atividades Micro'!$B265=BC$2,'Atividades Micro'!$G265="Macro",'Atividades Micro'!$K265&lt;&gt;""),'Atividades Micro'!$K265,"")</f>
        <v/>
      </c>
      <c r="BD227" s="21" t="str">
        <f>IF(AND('Atividades Micro'!$B265=BD$2,'Atividades Micro'!$G265="Macro",'Atividades Micro'!$K265&lt;&gt;""),'Atividades Micro'!$K265,"")</f>
        <v/>
      </c>
      <c r="BE227" s="21" t="str">
        <f>IF(AND('Atividades Micro'!$B265=BE$2,'Atividades Micro'!$G265="Macro",'Atividades Micro'!$K265&lt;&gt;""),'Atividades Micro'!$K265,"")</f>
        <v/>
      </c>
      <c r="BF227" s="21" t="str">
        <f>IF(AND('Atividades Micro'!$B265=BF$2,'Atividades Micro'!$G265="Macro",'Atividades Micro'!$K265&lt;&gt;""),'Atividades Micro'!$K265,"")</f>
        <v/>
      </c>
      <c r="BG227" s="21" t="str">
        <f>IF(AND('Atividades Micro'!$B265=BG$2,'Atividades Micro'!$G265="Macro",'Atividades Micro'!$K265&lt;&gt;""),'Atividades Micro'!$K265,"")</f>
        <v/>
      </c>
      <c r="BH227" s="21" t="str">
        <f>IF(AND('Atividades Micro'!$B265=BH$2,'Atividades Micro'!$G265="Macro",'Atividades Micro'!$K265&lt;&gt;""),'Atividades Micro'!$K265,"")</f>
        <v/>
      </c>
      <c r="BI227" s="21" t="str">
        <f>IF(AND('Atividades Micro'!$B265=BI$2,'Atividades Micro'!$G265="Macro",'Atividades Micro'!$K265&lt;&gt;""),'Atividades Micro'!$K265,"")</f>
        <v/>
      </c>
      <c r="BJ227" s="21" t="str">
        <f>IF(AND('Atividades Micro'!$B265=BJ$2,'Atividades Micro'!$G265="Macro",'Atividades Micro'!$K265&lt;&gt;""),'Atividades Micro'!$K265,"")</f>
        <v/>
      </c>
      <c r="BK227" s="21" t="str">
        <f>IF(AND('Atividades Micro'!$B265=BK$2,'Atividades Micro'!$G265="Macro",'Atividades Micro'!$K265&lt;&gt;""),'Atividades Micro'!$K265,"")</f>
        <v/>
      </c>
      <c r="BL227" s="21" t="str">
        <f>IF(AND('Atividades Micro'!$B265=BL$2,'Atividades Micro'!$G265="Macro",'Atividades Micro'!$K265&lt;&gt;""),'Atividades Micro'!$K265,"")</f>
        <v/>
      </c>
      <c r="BM227" s="21" t="str">
        <f>IF(AND('Atividades Micro'!$B265=BM$2,'Atividades Micro'!$G265="Macro",'Atividades Micro'!$K265&lt;&gt;""),'Atividades Micro'!$K265,"")</f>
        <v/>
      </c>
      <c r="BN227" s="21" t="str">
        <f>IF(AND('Atividades Micro'!$B265=BN$2,'Atividades Micro'!$G265="Macro",'Atividades Micro'!$K265&lt;&gt;""),'Atividades Micro'!$K265,"")</f>
        <v/>
      </c>
      <c r="BO227" s="21" t="str">
        <f>IF(AND('Atividades Micro'!$B265=BO$2,'Atividades Micro'!$G265="Macro",'Atividades Micro'!$K265&lt;&gt;""),'Atividades Micro'!$K265,"")</f>
        <v/>
      </c>
      <c r="BP227" s="21" t="str">
        <f>IF(AND('Atividades Micro'!$B265=BP$2,'Atividades Micro'!$G265="Macro",'Atividades Micro'!$K265&lt;&gt;""),'Atividades Micro'!$K265,"")</f>
        <v/>
      </c>
      <c r="BQ227" s="21" t="str">
        <f>IF(AND('Atividades Micro'!$B265=BQ$2,'Atividades Micro'!$G265="Macro",'Atividades Micro'!$K265&lt;&gt;""),'Atividades Micro'!$K265,"")</f>
        <v/>
      </c>
      <c r="BR227" s="21" t="str">
        <f>IF(AND('Atividades Micro'!$B265=BR$2,'Atividades Micro'!$G265="Macro",'Atividades Micro'!$K265&lt;&gt;""),'Atividades Micro'!$K265,"")</f>
        <v/>
      </c>
      <c r="BS227" s="21" t="str">
        <f>IF(AND('Atividades Micro'!$B265=BS$2,'Atividades Micro'!$G265="Macro",'Atividades Micro'!$K265&lt;&gt;""),'Atividades Micro'!$K265,"")</f>
        <v/>
      </c>
      <c r="BT227" s="21" t="str">
        <f>IF(AND('Atividades Micro'!$B265=BT$2,'Atividades Micro'!$G265="Macro",'Atividades Micro'!$K265&lt;&gt;""),'Atividades Micro'!$K265,"")</f>
        <v/>
      </c>
      <c r="BU227" s="21" t="str">
        <f>IF(AND('Atividades Micro'!$B265=BU$2,'Atividades Micro'!$G265="Macro",'Atividades Micro'!$K265&lt;&gt;""),'Atividades Micro'!$K265,"")</f>
        <v/>
      </c>
      <c r="BV227" s="21" t="str">
        <f>IF(AND('Atividades Micro'!$B265=BV$2,'Atividades Micro'!$G265="Macro",'Atividades Micro'!$K265&lt;&gt;""),'Atividades Micro'!$K265,"")</f>
        <v/>
      </c>
      <c r="BW227" s="21" t="str">
        <f>IF(AND('Atividades Micro'!$B265=BW$2,'Atividades Micro'!$G265="Macro",'Atividades Micro'!$K265&lt;&gt;""),'Atividades Micro'!$K265,"")</f>
        <v/>
      </c>
      <c r="BX227" s="21" t="str">
        <f>IF(AND('Atividades Micro'!$B265=BX$2,'Atividades Micro'!$G265="Macro",'Atividades Micro'!$K265&lt;&gt;""),'Atividades Micro'!$K265,"")</f>
        <v/>
      </c>
      <c r="BY227" s="21" t="str">
        <f>IF(AND('Atividades Micro'!$B265=BY$2,'Atividades Micro'!$G265="Macro",'Atividades Micro'!$K265&lt;&gt;""),'Atividades Micro'!$K265,"")</f>
        <v/>
      </c>
      <c r="BZ227" s="21" t="str">
        <f>IF(AND('Atividades Micro'!$B265=BZ$2,'Atividades Micro'!$G265="Macro",'Atividades Micro'!$K265&lt;&gt;""),'Atividades Micro'!$K265,"")</f>
        <v/>
      </c>
      <c r="CA227" s="21" t="str">
        <f>IF(AND('Atividades Micro'!$B265=CA$2,'Atividades Micro'!$G265="Macro",'Atividades Micro'!$K265&lt;&gt;""),'Atividades Micro'!$K265,"")</f>
        <v/>
      </c>
      <c r="CB227" s="21" t="str">
        <f>IF(AND('Atividades Micro'!$B265=CB$2,'Atividades Micro'!$G265="Macro",'Atividades Micro'!$K265&lt;&gt;""),'Atividades Micro'!$K265,"")</f>
        <v/>
      </c>
      <c r="CC227" s="21" t="str">
        <f>IF(AND('Atividades Micro'!$B265=CC$2,'Atividades Micro'!$G265="Macro",'Atividades Micro'!$K265&lt;&gt;""),'Atividades Micro'!$K265,"")</f>
        <v/>
      </c>
      <c r="CD227" s="21" t="str">
        <f>IF(AND('Atividades Micro'!$B265=CD$2,'Atividades Micro'!$G265="Micro",'Atividades Micro'!$K265&lt;&gt;""),'Atividades Micro'!$K265,"")</f>
        <v/>
      </c>
      <c r="CE227" s="21" t="str">
        <f>IF(AND('Atividades Micro'!$B265=CE$2,'Atividades Micro'!$G265="Micro",'Atividades Micro'!$K265&lt;&gt;""),'Atividades Micro'!$K265,"")</f>
        <v/>
      </c>
      <c r="CF227" s="21" t="str">
        <f>IF(AND('Atividades Micro'!$B265=CF$2,'Atividades Micro'!$G265="Micro",'Atividades Micro'!$K265&lt;&gt;""),'Atividades Micro'!$K265,"")</f>
        <v/>
      </c>
      <c r="CG227" s="21" t="str">
        <f>IF(AND('Atividades Micro'!$B265=CG$2,'Atividades Micro'!$G265="Micro",'Atividades Micro'!$K265&lt;&gt;""),'Atividades Micro'!$K265,"")</f>
        <v/>
      </c>
      <c r="CH227" s="21" t="str">
        <f>IF(AND('Atividades Micro'!$B265=CH$2,'Atividades Micro'!$G265="Micro",'Atividades Micro'!$K265&lt;&gt;""),'Atividades Micro'!$K265,"")</f>
        <v/>
      </c>
      <c r="CI227" s="21" t="str">
        <f>IF(AND('Atividades Micro'!$B265=CI$2,'Atividades Micro'!$G265="Micro",'Atividades Micro'!$K265&lt;&gt;""),'Atividades Micro'!$K265,"")</f>
        <v/>
      </c>
      <c r="CJ227" s="21" t="str">
        <f>IF(AND('Atividades Micro'!$B265=CJ$2,'Atividades Micro'!$G265="Micro",'Atividades Micro'!$K265&lt;&gt;""),'Atividades Micro'!$K265,"")</f>
        <v/>
      </c>
      <c r="CK227" s="21" t="str">
        <f>IF(AND('Atividades Micro'!$B265=CK$2,'Atividades Micro'!$G265="Micro",'Atividades Micro'!$K265&lt;&gt;""),'Atividades Micro'!$K265,"")</f>
        <v/>
      </c>
      <c r="CL227" s="21">
        <f>IF(AND('Atividades Micro'!$B265=CL$2,'Atividades Micro'!$G265="Micro",'Atividades Micro'!$K265&lt;&gt;""),'Atividades Micro'!$K265,"")</f>
        <v>46049</v>
      </c>
      <c r="CM227" s="21" t="str">
        <f>IF(AND('Atividades Micro'!$B265=CM$2,'Atividades Micro'!$G265="Micro",'Atividades Micro'!$K265&lt;&gt;""),'Atividades Micro'!$K265,"")</f>
        <v/>
      </c>
      <c r="CN227" s="21" t="str">
        <f>IF(AND('Atividades Micro'!$B265=CN$2,'Atividades Micro'!$G265="Micro",'Atividades Micro'!$K265&lt;&gt;""),'Atividades Micro'!$K265,"")</f>
        <v/>
      </c>
      <c r="CO227" s="21" t="str">
        <f>IF(AND('Atividades Micro'!$B265=CO$2,'Atividades Micro'!$G265="Micro",'Atividades Micro'!$K265&lt;&gt;""),'Atividades Micro'!$K265,"")</f>
        <v/>
      </c>
    </row>
    <row r="228" spans="1:93">
      <c r="A228" s="21" t="str">
        <f>IF(AND('Atividades Micro'!$A266=A$2,'Atividades Micro'!$K266&lt;&gt;""),'Atividades Micro'!$K266,"")</f>
        <v/>
      </c>
      <c r="B228" s="21" t="str">
        <f>IF(AND('Atividades Micro'!$A266=B$2,'Atividades Micro'!$L266&lt;&gt;""),'Atividades Micro'!$L266,"")</f>
        <v/>
      </c>
      <c r="C228" s="21" t="str">
        <f>IF(AND('Atividades Micro'!$A266=C$2,'Atividades Micro'!$K266&lt;&gt;""),'Atividades Micro'!$K266,"")</f>
        <v/>
      </c>
      <c r="D228" s="21" t="str">
        <f>IF(AND('Atividades Micro'!$A266=D$2,'Atividades Micro'!$L266&lt;&gt;""),'Atividades Micro'!$L266,"")</f>
        <v/>
      </c>
      <c r="E228" s="21" t="str">
        <f>IF(AND('Atividades Micro'!$A266=E$2,'Atividades Micro'!$K266&lt;&gt;""),'Atividades Micro'!$K266,"")</f>
        <v/>
      </c>
      <c r="F228" s="21" t="str">
        <f>IF(AND('Atividades Micro'!$A266=F$2,'Atividades Micro'!$L266&lt;&gt;""),'Atividades Micro'!$L266,"")</f>
        <v/>
      </c>
      <c r="G228" s="21" t="str">
        <f>IF(AND('Atividades Micro'!$A266=G$2,'Atividades Micro'!$K266&lt;&gt;""),'Atividades Micro'!$K266,"")</f>
        <v/>
      </c>
      <c r="H228" s="21" t="str">
        <f>IF(AND('Atividades Micro'!$A266=H$2,'Atividades Micro'!$L266&lt;&gt;""),'Atividades Micro'!$L266,"")</f>
        <v/>
      </c>
      <c r="I228" s="21" t="str">
        <f>IF(AND('Atividades Micro'!$A266=I$2,'Atividades Micro'!$K266&lt;&gt;""),'Atividades Micro'!$K266,"")</f>
        <v/>
      </c>
      <c r="J228" s="21" t="str">
        <f>IF(AND('Atividades Micro'!$A266=J$2,'Atividades Micro'!$L266&lt;&gt;""),'Atividades Micro'!$L266,"")</f>
        <v/>
      </c>
      <c r="K228" s="21" t="str">
        <f>IF(AND('Atividades Micro'!$B266=K$2,'Atividades Micro'!$K266&lt;&gt;""),'Atividades Micro'!$K266,"")</f>
        <v/>
      </c>
      <c r="L228" s="21" t="str">
        <f>IF(AND('Atividades Micro'!$B266=L$2,'Atividades Micro'!$L266&lt;&gt;""),'Atividades Micro'!$L266,"")</f>
        <v/>
      </c>
      <c r="M228" s="21" t="str">
        <f>IF(AND('Atividades Micro'!$B266=M$2,'Atividades Micro'!$K266&lt;&gt;""),'Atividades Micro'!$K266,"")</f>
        <v/>
      </c>
      <c r="N228" s="21" t="str">
        <f>IF(AND('Atividades Micro'!$B266=N$2,'Atividades Micro'!$L266&lt;&gt;""),'Atividades Micro'!$L266,"")</f>
        <v/>
      </c>
      <c r="O228" s="21" t="str">
        <f>IF(AND('Atividades Micro'!$A266=O$2,'Atividades Micro'!$K266&lt;&gt;""),'Atividades Micro'!$K266,"")</f>
        <v/>
      </c>
      <c r="P228" s="21" t="str">
        <f>IF(AND('Atividades Micro'!$A266=P$2,'Atividades Micro'!$L266&lt;&gt;""),'Atividades Micro'!$L266,"")</f>
        <v/>
      </c>
      <c r="Q228" s="21" t="str">
        <f>IF(AND('Atividades Micro'!$B266=Q$2,'Atividades Micro'!$K266&lt;&gt;""),'Atividades Micro'!$K266,"")</f>
        <v/>
      </c>
      <c r="R228" s="21" t="str">
        <f>IF(AND('Atividades Micro'!$B266=R$2,'Atividades Micro'!$L266&lt;&gt;""),'Atividades Micro'!$L266,"")</f>
        <v/>
      </c>
      <c r="S228" s="21" t="str">
        <f>IF(AND('Atividades Micro'!$A266=S$2,'Atividades Micro'!$K266&lt;&gt;""),'Atividades Micro'!$K266,"")</f>
        <v/>
      </c>
      <c r="T228" s="21" t="str">
        <f>IF(AND('Atividades Micro'!$A266=T$2,'Atividades Micro'!$L266&lt;&gt;""),'Atividades Micro'!$L266,"")</f>
        <v/>
      </c>
      <c r="U228" s="21" t="str">
        <f>IF(AND('Atividades Micro'!$B266=U$2,'Atividades Micro'!$K266&lt;&gt;""),'Atividades Micro'!$K266,"")</f>
        <v/>
      </c>
      <c r="V228" s="21" t="str">
        <f>IF(AND('Atividades Micro'!$B266=V$2,'Atividades Micro'!$L266&lt;&gt;""),'Atividades Micro'!$L266,"")</f>
        <v/>
      </c>
      <c r="W228" s="21" t="str">
        <f>IF(AND('Atividades Micro'!$B266=W$2,'Atividades Micro'!$K266&lt;&gt;""),'Atividades Micro'!$K266,"")</f>
        <v/>
      </c>
      <c r="X228" s="21" t="str">
        <f>IF(AND('Atividades Micro'!$B266=X$2,'Atividades Micro'!$L266&lt;&gt;""),'Atividades Micro'!$L266,"")</f>
        <v/>
      </c>
      <c r="Y228" s="21" t="str">
        <f>IF(AND('Atividades Micro'!$A266=Y$2,'Atividades Micro'!$K266&lt;&gt;""),'Atividades Micro'!$K266,"")</f>
        <v/>
      </c>
      <c r="Z228" s="21" t="str">
        <f>IF(AND('Atividades Micro'!$A266=Z$2,'Atividades Micro'!$L266&lt;&gt;""),'Atividades Micro'!$L266,"")</f>
        <v/>
      </c>
      <c r="AA228" s="21" t="str">
        <f>IF(AND('Atividades Micro'!$B266=AA$2,'Atividades Micro'!$K266&lt;&gt;""),'Atividades Micro'!$K266,"")</f>
        <v/>
      </c>
      <c r="AB228" s="21" t="str">
        <f>IF(AND('Atividades Micro'!$B266=AB$2,'Atividades Micro'!$L266&lt;&gt;""),'Atividades Micro'!$L266,"")</f>
        <v/>
      </c>
      <c r="AC228" s="21" t="str">
        <f>IF(AND('Atividades Micro'!$B266=AC$2,'Atividades Micro'!$K266&lt;&gt;""),'Atividades Micro'!$K266,"")</f>
        <v/>
      </c>
      <c r="AD228" s="21" t="str">
        <f>IF(AND('Atividades Micro'!$B266=AD$2,'Atividades Micro'!$L266&lt;&gt;""),'Atividades Micro'!$L266,"")</f>
        <v/>
      </c>
      <c r="AE228" s="21" t="str">
        <f>IF(AND('Atividades Micro'!$A266=AE$2,'Atividades Micro'!$K266&lt;&gt;""),'Atividades Micro'!$K266,"")</f>
        <v/>
      </c>
      <c r="AF228" s="21" t="str">
        <f>IF(AND('Atividades Micro'!$A266=AF$2,'Atividades Micro'!$L266&lt;&gt;""),'Atividades Micro'!$L266,"")</f>
        <v/>
      </c>
      <c r="AG228" s="21" t="str">
        <f>IF(AND('Atividades Micro'!$B266=AG$2,'Atividades Micro'!$K266&lt;&gt;""),'Atividades Micro'!$K266,"")</f>
        <v/>
      </c>
      <c r="AH228" s="21" t="str">
        <f>IF(AND('Atividades Micro'!$B266=AH$2,'Atividades Micro'!$L266&lt;&gt;""),'Atividades Micro'!$L266,"")</f>
        <v/>
      </c>
      <c r="AI228" s="21" t="str">
        <f>IF(AND('Atividades Micro'!$B266=AI$2,'Atividades Micro'!$K266&lt;&gt;""),'Atividades Micro'!$K266,"")</f>
        <v/>
      </c>
      <c r="AJ228" s="21" t="str">
        <f>IF(AND('Atividades Micro'!$B266=AJ$2,'Atividades Micro'!$L266&lt;&gt;""),'Atividades Micro'!$L266,"")</f>
        <v/>
      </c>
      <c r="AK228" s="21" t="str">
        <f>IF(AND('Atividades Micro'!$A266=AK$2,'Atividades Micro'!$K266&lt;&gt;""),'Atividades Micro'!$K266,"")</f>
        <v/>
      </c>
      <c r="AL228" s="21" t="str">
        <f>IF(AND('Atividades Micro'!$A266=AL$2,'Atividades Micro'!$L266&lt;&gt;""),'Atividades Micro'!$L266,"")</f>
        <v/>
      </c>
      <c r="AM228" s="21" t="str">
        <f>IF(AND('Atividades Micro'!$B266=AM$2,'Atividades Micro'!$K266&lt;&gt;""),'Atividades Micro'!$K266,"")</f>
        <v/>
      </c>
      <c r="AN228" s="21" t="str">
        <f>IF(AND('Atividades Micro'!$B266=AN$2,'Atividades Micro'!$L266&lt;&gt;""),'Atividades Micro'!$L266,"")</f>
        <v/>
      </c>
      <c r="AO228" s="21" t="str">
        <f>IF(AND('Atividades Micro'!$B266=AO$2,'Atividades Micro'!$K266&lt;&gt;""),'Atividades Micro'!$K266,"")</f>
        <v/>
      </c>
      <c r="AP228" s="21" t="str">
        <f>IF(AND('Atividades Micro'!$B266=AP$2,'Atividades Micro'!$L266&lt;&gt;""),'Atividades Micro'!$L266,"")</f>
        <v/>
      </c>
      <c r="AQ228" s="21" t="str">
        <f>IF(AND('Atividades Micro'!$A266=AQ$2,'Atividades Micro'!$K266&lt;&gt;""),'Atividades Micro'!$K266,"")</f>
        <v/>
      </c>
      <c r="AR228" s="21" t="str">
        <f>IF(AND('Atividades Micro'!$A266=AR$2,'Atividades Micro'!$L266&lt;&gt;""),'Atividades Micro'!$L266,"")</f>
        <v/>
      </c>
      <c r="AS228" s="21" t="str">
        <f>IF(AND('Atividades Micro'!$B266=AS$2,'Atividades Micro'!$K266&lt;&gt;""),'Atividades Micro'!$K266,"")</f>
        <v/>
      </c>
      <c r="AT228" s="21" t="str">
        <f>IF(AND('Atividades Micro'!$B266=AT$2,'Atividades Micro'!$L266&lt;&gt;""),'Atividades Micro'!$L266,"")</f>
        <v/>
      </c>
      <c r="AU228" s="21" t="str">
        <f>IF(AND('Atividades Micro'!$A266=AU$2,'Atividades Micro'!$K266&lt;&gt;""),'Atividades Micro'!$K266,"")</f>
        <v/>
      </c>
      <c r="AV228" s="21" t="str">
        <f>IF(AND('Atividades Micro'!$A266=AV$2,'Atividades Micro'!$L266&lt;&gt;""),'Atividades Micro'!$L266,"")</f>
        <v/>
      </c>
      <c r="AW228" s="21" t="str">
        <f>IF(AND('Atividades Micro'!$B266=AW$2,'Atividades Micro'!$K266&lt;&gt;""),'Atividades Micro'!$K266,"")</f>
        <v/>
      </c>
      <c r="AX228" s="21" t="str">
        <f>IF(AND('Atividades Micro'!$B266=AX$2,'Atividades Micro'!$L266&lt;&gt;""),'Atividades Micro'!$L266,"")</f>
        <v/>
      </c>
      <c r="AY228" s="21" t="str">
        <f>IF(AND('Atividades Micro'!$A266=AY$2,'Atividades Micro'!$K266&lt;&gt;""),'Atividades Micro'!$K266,"")</f>
        <v/>
      </c>
      <c r="AZ228" s="21" t="str">
        <f>IF(AND('Atividades Micro'!$A266=AZ$2,'Atividades Micro'!$L266&lt;&gt;""),'Atividades Micro'!$L266,"")</f>
        <v/>
      </c>
      <c r="BA228" s="21" t="str">
        <f>IF(AND('Atividades Micro'!$B266=BA$2,'Atividades Micro'!$K266&lt;&gt;""),'Atividades Micro'!$K266,"")</f>
        <v/>
      </c>
      <c r="BB228" s="21" t="str">
        <f>IF(AND('Atividades Micro'!$B266=BB$2,'Atividades Micro'!$L266&lt;&gt;""),'Atividades Micro'!$L266,"")</f>
        <v/>
      </c>
      <c r="BC228" s="21" t="str">
        <f>IF(AND('Atividades Micro'!$B266=BC$2,'Atividades Micro'!$G266="Macro",'Atividades Micro'!$K266&lt;&gt;""),'Atividades Micro'!$K266,"")</f>
        <v/>
      </c>
      <c r="BD228" s="21" t="str">
        <f>IF(AND('Atividades Micro'!$B266=BD$2,'Atividades Micro'!$G266="Macro",'Atividades Micro'!$K266&lt;&gt;""),'Atividades Micro'!$K266,"")</f>
        <v/>
      </c>
      <c r="BE228" s="21" t="str">
        <f>IF(AND('Atividades Micro'!$B266=BE$2,'Atividades Micro'!$G266="Macro",'Atividades Micro'!$K266&lt;&gt;""),'Atividades Micro'!$K266,"")</f>
        <v/>
      </c>
      <c r="BF228" s="21" t="str">
        <f>IF(AND('Atividades Micro'!$B266=BF$2,'Atividades Micro'!$G266="Macro",'Atividades Micro'!$K266&lt;&gt;""),'Atividades Micro'!$K266,"")</f>
        <v/>
      </c>
      <c r="BG228" s="21" t="str">
        <f>IF(AND('Atividades Micro'!$B266=BG$2,'Atividades Micro'!$G266="Macro",'Atividades Micro'!$K266&lt;&gt;""),'Atividades Micro'!$K266,"")</f>
        <v/>
      </c>
      <c r="BH228" s="21" t="str">
        <f>IF(AND('Atividades Micro'!$B266=BH$2,'Atividades Micro'!$G266="Macro",'Atividades Micro'!$K266&lt;&gt;""),'Atividades Micro'!$K266,"")</f>
        <v/>
      </c>
      <c r="BI228" s="21" t="str">
        <f>IF(AND('Atividades Micro'!$B266=BI$2,'Atividades Micro'!$G266="Macro",'Atividades Micro'!$K266&lt;&gt;""),'Atividades Micro'!$K266,"")</f>
        <v/>
      </c>
      <c r="BJ228" s="21" t="str">
        <f>IF(AND('Atividades Micro'!$B266=BJ$2,'Atividades Micro'!$G266="Macro",'Atividades Micro'!$K266&lt;&gt;""),'Atividades Micro'!$K266,"")</f>
        <v/>
      </c>
      <c r="BK228" s="21" t="str">
        <f>IF(AND('Atividades Micro'!$B266=BK$2,'Atividades Micro'!$G266="Macro",'Atividades Micro'!$K266&lt;&gt;""),'Atividades Micro'!$K266,"")</f>
        <v/>
      </c>
      <c r="BL228" s="21" t="str">
        <f>IF(AND('Atividades Micro'!$B266=BL$2,'Atividades Micro'!$G266="Macro",'Atividades Micro'!$K266&lt;&gt;""),'Atividades Micro'!$K266,"")</f>
        <v/>
      </c>
      <c r="BM228" s="21" t="str">
        <f>IF(AND('Atividades Micro'!$B266=BM$2,'Atividades Micro'!$G266="Macro",'Atividades Micro'!$K266&lt;&gt;""),'Atividades Micro'!$K266,"")</f>
        <v/>
      </c>
      <c r="BN228" s="21" t="str">
        <f>IF(AND('Atividades Micro'!$B266=BN$2,'Atividades Micro'!$G266="Macro",'Atividades Micro'!$K266&lt;&gt;""),'Atividades Micro'!$K266,"")</f>
        <v/>
      </c>
      <c r="BO228" s="21" t="str">
        <f>IF(AND('Atividades Micro'!$B266=BO$2,'Atividades Micro'!$G266="Macro",'Atividades Micro'!$K266&lt;&gt;""),'Atividades Micro'!$K266,"")</f>
        <v/>
      </c>
      <c r="BP228" s="21" t="str">
        <f>IF(AND('Atividades Micro'!$B266=BP$2,'Atividades Micro'!$G266="Macro",'Atividades Micro'!$K266&lt;&gt;""),'Atividades Micro'!$K266,"")</f>
        <v/>
      </c>
      <c r="BQ228" s="21" t="str">
        <f>IF(AND('Atividades Micro'!$B266=BQ$2,'Atividades Micro'!$G266="Macro",'Atividades Micro'!$K266&lt;&gt;""),'Atividades Micro'!$K266,"")</f>
        <v/>
      </c>
      <c r="BR228" s="21" t="str">
        <f>IF(AND('Atividades Micro'!$B266=BR$2,'Atividades Micro'!$G266="Macro",'Atividades Micro'!$K266&lt;&gt;""),'Atividades Micro'!$K266,"")</f>
        <v/>
      </c>
      <c r="BS228" s="21" t="str">
        <f>IF(AND('Atividades Micro'!$B266=BS$2,'Atividades Micro'!$G266="Macro",'Atividades Micro'!$K266&lt;&gt;""),'Atividades Micro'!$K266,"")</f>
        <v/>
      </c>
      <c r="BT228" s="21" t="str">
        <f>IF(AND('Atividades Micro'!$B266=BT$2,'Atividades Micro'!$G266="Macro",'Atividades Micro'!$K266&lt;&gt;""),'Atividades Micro'!$K266,"")</f>
        <v/>
      </c>
      <c r="BU228" s="21" t="str">
        <f>IF(AND('Atividades Micro'!$B266=BU$2,'Atividades Micro'!$G266="Macro",'Atividades Micro'!$K266&lt;&gt;""),'Atividades Micro'!$K266,"")</f>
        <v/>
      </c>
      <c r="BV228" s="21" t="str">
        <f>IF(AND('Atividades Micro'!$B266=BV$2,'Atividades Micro'!$G266="Macro",'Atividades Micro'!$K266&lt;&gt;""),'Atividades Micro'!$K266,"")</f>
        <v/>
      </c>
      <c r="BW228" s="21" t="str">
        <f>IF(AND('Atividades Micro'!$B266=BW$2,'Atividades Micro'!$G266="Macro",'Atividades Micro'!$K266&lt;&gt;""),'Atividades Micro'!$K266,"")</f>
        <v/>
      </c>
      <c r="BX228" s="21" t="str">
        <f>IF(AND('Atividades Micro'!$B266=BX$2,'Atividades Micro'!$G266="Macro",'Atividades Micro'!$K266&lt;&gt;""),'Atividades Micro'!$K266,"")</f>
        <v/>
      </c>
      <c r="BY228" s="21" t="str">
        <f>IF(AND('Atividades Micro'!$B266=BY$2,'Atividades Micro'!$G266="Macro",'Atividades Micro'!$K266&lt;&gt;""),'Atividades Micro'!$K266,"")</f>
        <v/>
      </c>
      <c r="BZ228" s="21" t="str">
        <f>IF(AND('Atividades Micro'!$B266=BZ$2,'Atividades Micro'!$G266="Macro",'Atividades Micro'!$K266&lt;&gt;""),'Atividades Micro'!$K266,"")</f>
        <v/>
      </c>
      <c r="CA228" s="21" t="str">
        <f>IF(AND('Atividades Micro'!$B266=CA$2,'Atividades Micro'!$G266="Macro",'Atividades Micro'!$K266&lt;&gt;""),'Atividades Micro'!$K266,"")</f>
        <v/>
      </c>
      <c r="CB228" s="21" t="str">
        <f>IF(AND('Atividades Micro'!$B266=CB$2,'Atividades Micro'!$G266="Macro",'Atividades Micro'!$K266&lt;&gt;""),'Atividades Micro'!$K266,"")</f>
        <v/>
      </c>
      <c r="CC228" s="21" t="str">
        <f>IF(AND('Atividades Micro'!$B266=CC$2,'Atividades Micro'!$G266="Macro",'Atividades Micro'!$K266&lt;&gt;""),'Atividades Micro'!$K266,"")</f>
        <v/>
      </c>
      <c r="CD228" s="21" t="str">
        <f>IF(AND('Atividades Micro'!$B266=CD$2,'Atividades Micro'!$G266="Micro",'Atividades Micro'!$K266&lt;&gt;""),'Atividades Micro'!$K266,"")</f>
        <v/>
      </c>
      <c r="CE228" s="21" t="str">
        <f>IF(AND('Atividades Micro'!$B266=CE$2,'Atividades Micro'!$G266="Micro",'Atividades Micro'!$K266&lt;&gt;""),'Atividades Micro'!$K266,"")</f>
        <v/>
      </c>
      <c r="CF228" s="21" t="str">
        <f>IF(AND('Atividades Micro'!$B266=CF$2,'Atividades Micro'!$G266="Micro",'Atividades Micro'!$K266&lt;&gt;""),'Atividades Micro'!$K266,"")</f>
        <v/>
      </c>
      <c r="CG228" s="21" t="str">
        <f>IF(AND('Atividades Micro'!$B266=CG$2,'Atividades Micro'!$G266="Micro",'Atividades Micro'!$K266&lt;&gt;""),'Atividades Micro'!$K266,"")</f>
        <v/>
      </c>
      <c r="CH228" s="21" t="str">
        <f>IF(AND('Atividades Micro'!$B266=CH$2,'Atividades Micro'!$G266="Micro",'Atividades Micro'!$K266&lt;&gt;""),'Atividades Micro'!$K266,"")</f>
        <v/>
      </c>
      <c r="CI228" s="21" t="str">
        <f>IF(AND('Atividades Micro'!$B266=CI$2,'Atividades Micro'!$G266="Micro",'Atividades Micro'!$K266&lt;&gt;""),'Atividades Micro'!$K266,"")</f>
        <v/>
      </c>
      <c r="CJ228" s="21" t="str">
        <f>IF(AND('Atividades Micro'!$B266=CJ$2,'Atividades Micro'!$G266="Micro",'Atividades Micro'!$K266&lt;&gt;""),'Atividades Micro'!$K266,"")</f>
        <v/>
      </c>
      <c r="CK228" s="21" t="str">
        <f>IF(AND('Atividades Micro'!$B266=CK$2,'Atividades Micro'!$G266="Micro",'Atividades Micro'!$K266&lt;&gt;""),'Atividades Micro'!$K266,"")</f>
        <v/>
      </c>
      <c r="CL228" s="21" t="str">
        <f>IF(AND('Atividades Micro'!$B266=CL$2,'Atividades Micro'!$G266="Micro",'Atividades Micro'!$K266&lt;&gt;""),'Atividades Micro'!$K266,"")</f>
        <v/>
      </c>
      <c r="CM228" s="21" t="str">
        <f>IF(AND('Atividades Micro'!$B266=CM$2,'Atividades Micro'!$G266="Micro",'Atividades Micro'!$K266&lt;&gt;""),'Atividades Micro'!$K266,"")</f>
        <v/>
      </c>
      <c r="CN228" s="21" t="str">
        <f>IF(AND('Atividades Micro'!$B266=CN$2,'Atividades Micro'!$G266="Micro",'Atividades Micro'!$K266&lt;&gt;""),'Atividades Micro'!$K266,"")</f>
        <v/>
      </c>
      <c r="CO228" s="21" t="str">
        <f>IF(AND('Atividades Micro'!$B266=CO$2,'Atividades Micro'!$G266="Micro",'Atividades Micro'!$K266&lt;&gt;""),'Atividades Micro'!$K266,"")</f>
        <v/>
      </c>
    </row>
    <row r="229" spans="1:93">
      <c r="A229" s="21" t="str">
        <f>IF(AND('Atividades Micro'!$A267=A$2,'Atividades Micro'!$K267&lt;&gt;""),'Atividades Micro'!$K267,"")</f>
        <v/>
      </c>
      <c r="B229" s="21" t="str">
        <f>IF(AND('Atividades Micro'!$A267=B$2,'Atividades Micro'!$L267&lt;&gt;""),'Atividades Micro'!$L267,"")</f>
        <v/>
      </c>
      <c r="C229" s="21" t="str">
        <f>IF(AND('Atividades Micro'!$A267=C$2,'Atividades Micro'!$K267&lt;&gt;""),'Atividades Micro'!$K267,"")</f>
        <v/>
      </c>
      <c r="D229" s="21" t="str">
        <f>IF(AND('Atividades Micro'!$A267=D$2,'Atividades Micro'!$L267&lt;&gt;""),'Atividades Micro'!$L267,"")</f>
        <v/>
      </c>
      <c r="E229" s="21" t="str">
        <f>IF(AND('Atividades Micro'!$A267=E$2,'Atividades Micro'!$K267&lt;&gt;""),'Atividades Micro'!$K267,"")</f>
        <v/>
      </c>
      <c r="F229" s="21" t="str">
        <f>IF(AND('Atividades Micro'!$A267=F$2,'Atividades Micro'!$L267&lt;&gt;""),'Atividades Micro'!$L267,"")</f>
        <v/>
      </c>
      <c r="G229" s="21" t="str">
        <f>IF(AND('Atividades Micro'!$A267=G$2,'Atividades Micro'!$K267&lt;&gt;""),'Atividades Micro'!$K267,"")</f>
        <v/>
      </c>
      <c r="H229" s="21" t="str">
        <f>IF(AND('Atividades Micro'!$A267=H$2,'Atividades Micro'!$L267&lt;&gt;""),'Atividades Micro'!$L267,"")</f>
        <v/>
      </c>
      <c r="I229" s="21" t="str">
        <f>IF(AND('Atividades Micro'!$A267=I$2,'Atividades Micro'!$K267&lt;&gt;""),'Atividades Micro'!$K267,"")</f>
        <v/>
      </c>
      <c r="J229" s="21" t="str">
        <f>IF(AND('Atividades Micro'!$A267=J$2,'Atividades Micro'!$L267&lt;&gt;""),'Atividades Micro'!$L267,"")</f>
        <v/>
      </c>
      <c r="K229" s="21" t="str">
        <f>IF(AND('Atividades Micro'!$B267=K$2,'Atividades Micro'!$K267&lt;&gt;""),'Atividades Micro'!$K267,"")</f>
        <v/>
      </c>
      <c r="L229" s="21" t="str">
        <f>IF(AND('Atividades Micro'!$B267=L$2,'Atividades Micro'!$L267&lt;&gt;""),'Atividades Micro'!$L267,"")</f>
        <v/>
      </c>
      <c r="M229" s="21" t="str">
        <f>IF(AND('Atividades Micro'!$B267=M$2,'Atividades Micro'!$K267&lt;&gt;""),'Atividades Micro'!$K267,"")</f>
        <v/>
      </c>
      <c r="N229" s="21" t="str">
        <f>IF(AND('Atividades Micro'!$B267=N$2,'Atividades Micro'!$L267&lt;&gt;""),'Atividades Micro'!$L267,"")</f>
        <v/>
      </c>
      <c r="O229" s="21" t="str">
        <f>IF(AND('Atividades Micro'!$A267=O$2,'Atividades Micro'!$K267&lt;&gt;""),'Atividades Micro'!$K267,"")</f>
        <v/>
      </c>
      <c r="P229" s="21" t="str">
        <f>IF(AND('Atividades Micro'!$A267=P$2,'Atividades Micro'!$L267&lt;&gt;""),'Atividades Micro'!$L267,"")</f>
        <v/>
      </c>
      <c r="Q229" s="21" t="str">
        <f>IF(AND('Atividades Micro'!$B267=Q$2,'Atividades Micro'!$K267&lt;&gt;""),'Atividades Micro'!$K267,"")</f>
        <v/>
      </c>
      <c r="R229" s="21" t="str">
        <f>IF(AND('Atividades Micro'!$B267=R$2,'Atividades Micro'!$L267&lt;&gt;""),'Atividades Micro'!$L267,"")</f>
        <v/>
      </c>
      <c r="S229" s="21" t="str">
        <f>IF(AND('Atividades Micro'!$A267=S$2,'Atividades Micro'!$K267&lt;&gt;""),'Atividades Micro'!$K267,"")</f>
        <v/>
      </c>
      <c r="T229" s="21" t="str">
        <f>IF(AND('Atividades Micro'!$A267=T$2,'Atividades Micro'!$L267&lt;&gt;""),'Atividades Micro'!$L267,"")</f>
        <v/>
      </c>
      <c r="U229" s="21" t="str">
        <f>IF(AND('Atividades Micro'!$B267=U$2,'Atividades Micro'!$K267&lt;&gt;""),'Atividades Micro'!$K267,"")</f>
        <v/>
      </c>
      <c r="V229" s="21" t="str">
        <f>IF(AND('Atividades Micro'!$B267=V$2,'Atividades Micro'!$L267&lt;&gt;""),'Atividades Micro'!$L267,"")</f>
        <v/>
      </c>
      <c r="W229" s="21" t="str">
        <f>IF(AND('Atividades Micro'!$B267=W$2,'Atividades Micro'!$K267&lt;&gt;""),'Atividades Micro'!$K267,"")</f>
        <v/>
      </c>
      <c r="X229" s="21" t="str">
        <f>IF(AND('Atividades Micro'!$B267=X$2,'Atividades Micro'!$L267&lt;&gt;""),'Atividades Micro'!$L267,"")</f>
        <v/>
      </c>
      <c r="Y229" s="21" t="str">
        <f>IF(AND('Atividades Micro'!$A267=Y$2,'Atividades Micro'!$K267&lt;&gt;""),'Atividades Micro'!$K267,"")</f>
        <v/>
      </c>
      <c r="Z229" s="21" t="str">
        <f>IF(AND('Atividades Micro'!$A267=Z$2,'Atividades Micro'!$L267&lt;&gt;""),'Atividades Micro'!$L267,"")</f>
        <v/>
      </c>
      <c r="AA229" s="21" t="str">
        <f>IF(AND('Atividades Micro'!$B267=AA$2,'Atividades Micro'!$K267&lt;&gt;""),'Atividades Micro'!$K267,"")</f>
        <v/>
      </c>
      <c r="AB229" s="21" t="str">
        <f>IF(AND('Atividades Micro'!$B267=AB$2,'Atividades Micro'!$L267&lt;&gt;""),'Atividades Micro'!$L267,"")</f>
        <v/>
      </c>
      <c r="AC229" s="21" t="str">
        <f>IF(AND('Atividades Micro'!$B267=AC$2,'Atividades Micro'!$K267&lt;&gt;""),'Atividades Micro'!$K267,"")</f>
        <v/>
      </c>
      <c r="AD229" s="21" t="str">
        <f>IF(AND('Atividades Micro'!$B267=AD$2,'Atividades Micro'!$L267&lt;&gt;""),'Atividades Micro'!$L267,"")</f>
        <v/>
      </c>
      <c r="AE229" s="21" t="str">
        <f>IF(AND('Atividades Micro'!$A267=AE$2,'Atividades Micro'!$K267&lt;&gt;""),'Atividades Micro'!$K267,"")</f>
        <v/>
      </c>
      <c r="AF229" s="21" t="str">
        <f>IF(AND('Atividades Micro'!$A267=AF$2,'Atividades Micro'!$L267&lt;&gt;""),'Atividades Micro'!$L267,"")</f>
        <v/>
      </c>
      <c r="AG229" s="21" t="str">
        <f>IF(AND('Atividades Micro'!$B267=AG$2,'Atividades Micro'!$K267&lt;&gt;""),'Atividades Micro'!$K267,"")</f>
        <v/>
      </c>
      <c r="AH229" s="21" t="str">
        <f>IF(AND('Atividades Micro'!$B267=AH$2,'Atividades Micro'!$L267&lt;&gt;""),'Atividades Micro'!$L267,"")</f>
        <v/>
      </c>
      <c r="AI229" s="21" t="str">
        <f>IF(AND('Atividades Micro'!$B267=AI$2,'Atividades Micro'!$K267&lt;&gt;""),'Atividades Micro'!$K267,"")</f>
        <v/>
      </c>
      <c r="AJ229" s="21" t="str">
        <f>IF(AND('Atividades Micro'!$B267=AJ$2,'Atividades Micro'!$L267&lt;&gt;""),'Atividades Micro'!$L267,"")</f>
        <v/>
      </c>
      <c r="AK229" s="21" t="str">
        <f>IF(AND('Atividades Micro'!$A267=AK$2,'Atividades Micro'!$K267&lt;&gt;""),'Atividades Micro'!$K267,"")</f>
        <v/>
      </c>
      <c r="AL229" s="21" t="str">
        <f>IF(AND('Atividades Micro'!$A267=AL$2,'Atividades Micro'!$L267&lt;&gt;""),'Atividades Micro'!$L267,"")</f>
        <v/>
      </c>
      <c r="AM229" s="21" t="str">
        <f>IF(AND('Atividades Micro'!$B267=AM$2,'Atividades Micro'!$K267&lt;&gt;""),'Atividades Micro'!$K267,"")</f>
        <v/>
      </c>
      <c r="AN229" s="21" t="str">
        <f>IF(AND('Atividades Micro'!$B267=AN$2,'Atividades Micro'!$L267&lt;&gt;""),'Atividades Micro'!$L267,"")</f>
        <v/>
      </c>
      <c r="AO229" s="21" t="str">
        <f>IF(AND('Atividades Micro'!$B267=AO$2,'Atividades Micro'!$K267&lt;&gt;""),'Atividades Micro'!$K267,"")</f>
        <v/>
      </c>
      <c r="AP229" s="21" t="str">
        <f>IF(AND('Atividades Micro'!$B267=AP$2,'Atividades Micro'!$L267&lt;&gt;""),'Atividades Micro'!$L267,"")</f>
        <v/>
      </c>
      <c r="AQ229" s="21" t="str">
        <f>IF(AND('Atividades Micro'!$A267=AQ$2,'Atividades Micro'!$K267&lt;&gt;""),'Atividades Micro'!$K267,"")</f>
        <v/>
      </c>
      <c r="AR229" s="21" t="str">
        <f>IF(AND('Atividades Micro'!$A267=AR$2,'Atividades Micro'!$L267&lt;&gt;""),'Atividades Micro'!$L267,"")</f>
        <v/>
      </c>
      <c r="AS229" s="21" t="str">
        <f>IF(AND('Atividades Micro'!$B267=AS$2,'Atividades Micro'!$K267&lt;&gt;""),'Atividades Micro'!$K267,"")</f>
        <v/>
      </c>
      <c r="AT229" s="21" t="str">
        <f>IF(AND('Atividades Micro'!$B267=AT$2,'Atividades Micro'!$L267&lt;&gt;""),'Atividades Micro'!$L267,"")</f>
        <v/>
      </c>
      <c r="AU229" s="21" t="str">
        <f>IF(AND('Atividades Micro'!$A267=AU$2,'Atividades Micro'!$K267&lt;&gt;""),'Atividades Micro'!$K267,"")</f>
        <v/>
      </c>
      <c r="AV229" s="21" t="str">
        <f>IF(AND('Atividades Micro'!$A267=AV$2,'Atividades Micro'!$L267&lt;&gt;""),'Atividades Micro'!$L267,"")</f>
        <v/>
      </c>
      <c r="AW229" s="21" t="str">
        <f>IF(AND('Atividades Micro'!$B267=AW$2,'Atividades Micro'!$K267&lt;&gt;""),'Atividades Micro'!$K267,"")</f>
        <v/>
      </c>
      <c r="AX229" s="21" t="str">
        <f>IF(AND('Atividades Micro'!$B267=AX$2,'Atividades Micro'!$L267&lt;&gt;""),'Atividades Micro'!$L267,"")</f>
        <v/>
      </c>
      <c r="AY229" s="21" t="str">
        <f>IF(AND('Atividades Micro'!$A267=AY$2,'Atividades Micro'!$K267&lt;&gt;""),'Atividades Micro'!$K267,"")</f>
        <v/>
      </c>
      <c r="AZ229" s="21" t="str">
        <f>IF(AND('Atividades Micro'!$A267=AZ$2,'Atividades Micro'!$L267&lt;&gt;""),'Atividades Micro'!$L267,"")</f>
        <v/>
      </c>
      <c r="BA229" s="21" t="str">
        <f>IF(AND('Atividades Micro'!$B267=BA$2,'Atividades Micro'!$K267&lt;&gt;""),'Atividades Micro'!$K267,"")</f>
        <v/>
      </c>
      <c r="BB229" s="21" t="str">
        <f>IF(AND('Atividades Micro'!$B267=BB$2,'Atividades Micro'!$L267&lt;&gt;""),'Atividades Micro'!$L267,"")</f>
        <v/>
      </c>
      <c r="BC229" s="21" t="str">
        <f>IF(AND('Atividades Micro'!$B267=BC$2,'Atividades Micro'!$G267="Macro",'Atividades Micro'!$K267&lt;&gt;""),'Atividades Micro'!$K267,"")</f>
        <v/>
      </c>
      <c r="BD229" s="21" t="str">
        <f>IF(AND('Atividades Micro'!$B267=BD$2,'Atividades Micro'!$G267="Macro",'Atividades Micro'!$K267&lt;&gt;""),'Atividades Micro'!$K267,"")</f>
        <v/>
      </c>
      <c r="BE229" s="21" t="str">
        <f>IF(AND('Atividades Micro'!$B267=BE$2,'Atividades Micro'!$G267="Macro",'Atividades Micro'!$K267&lt;&gt;""),'Atividades Micro'!$K267,"")</f>
        <v/>
      </c>
      <c r="BF229" s="21" t="str">
        <f>IF(AND('Atividades Micro'!$B267=BF$2,'Atividades Micro'!$G267="Macro",'Atividades Micro'!$K267&lt;&gt;""),'Atividades Micro'!$K267,"")</f>
        <v/>
      </c>
      <c r="BG229" s="21" t="str">
        <f>IF(AND('Atividades Micro'!$B267=BG$2,'Atividades Micro'!$G267="Macro",'Atividades Micro'!$K267&lt;&gt;""),'Atividades Micro'!$K267,"")</f>
        <v/>
      </c>
      <c r="BH229" s="21" t="str">
        <f>IF(AND('Atividades Micro'!$B267=BH$2,'Atividades Micro'!$G267="Macro",'Atividades Micro'!$K267&lt;&gt;""),'Atividades Micro'!$K267,"")</f>
        <v/>
      </c>
      <c r="BI229" s="21" t="str">
        <f>IF(AND('Atividades Micro'!$B267=BI$2,'Atividades Micro'!$G267="Macro",'Atividades Micro'!$K267&lt;&gt;""),'Atividades Micro'!$K267,"")</f>
        <v/>
      </c>
      <c r="BJ229" s="21" t="str">
        <f>IF(AND('Atividades Micro'!$B267=BJ$2,'Atividades Micro'!$G267="Macro",'Atividades Micro'!$K267&lt;&gt;""),'Atividades Micro'!$K267,"")</f>
        <v/>
      </c>
      <c r="BK229" s="21" t="str">
        <f>IF(AND('Atividades Micro'!$B267=BK$2,'Atividades Micro'!$G267="Macro",'Atividades Micro'!$K267&lt;&gt;""),'Atividades Micro'!$K267,"")</f>
        <v/>
      </c>
      <c r="BL229" s="21" t="str">
        <f>IF(AND('Atividades Micro'!$B267=BL$2,'Atividades Micro'!$G267="Macro",'Atividades Micro'!$K267&lt;&gt;""),'Atividades Micro'!$K267,"")</f>
        <v/>
      </c>
      <c r="BM229" s="21" t="str">
        <f>IF(AND('Atividades Micro'!$B267=BM$2,'Atividades Micro'!$G267="Macro",'Atividades Micro'!$K267&lt;&gt;""),'Atividades Micro'!$K267,"")</f>
        <v/>
      </c>
      <c r="BN229" s="21" t="str">
        <f>IF(AND('Atividades Micro'!$B267=BN$2,'Atividades Micro'!$G267="Macro",'Atividades Micro'!$K267&lt;&gt;""),'Atividades Micro'!$K267,"")</f>
        <v/>
      </c>
      <c r="BO229" s="21" t="str">
        <f>IF(AND('Atividades Micro'!$B267=BO$2,'Atividades Micro'!$G267="Macro",'Atividades Micro'!$K267&lt;&gt;""),'Atividades Micro'!$K267,"")</f>
        <v/>
      </c>
      <c r="BP229" s="21" t="str">
        <f>IF(AND('Atividades Micro'!$B267=BP$2,'Atividades Micro'!$G267="Macro",'Atividades Micro'!$K267&lt;&gt;""),'Atividades Micro'!$K267,"")</f>
        <v/>
      </c>
      <c r="BQ229" s="21" t="str">
        <f>IF(AND('Atividades Micro'!$B267=BQ$2,'Atividades Micro'!$G267="Macro",'Atividades Micro'!$K267&lt;&gt;""),'Atividades Micro'!$K267,"")</f>
        <v/>
      </c>
      <c r="BR229" s="21" t="str">
        <f>IF(AND('Atividades Micro'!$B267=BR$2,'Atividades Micro'!$G267="Macro",'Atividades Micro'!$K267&lt;&gt;""),'Atividades Micro'!$K267,"")</f>
        <v/>
      </c>
      <c r="BS229" s="21" t="str">
        <f>IF(AND('Atividades Micro'!$B267=BS$2,'Atividades Micro'!$G267="Macro",'Atividades Micro'!$K267&lt;&gt;""),'Atividades Micro'!$K267,"")</f>
        <v/>
      </c>
      <c r="BT229" s="21" t="str">
        <f>IF(AND('Atividades Micro'!$B267=BT$2,'Atividades Micro'!$G267="Macro",'Atividades Micro'!$K267&lt;&gt;""),'Atividades Micro'!$K267,"")</f>
        <v/>
      </c>
      <c r="BU229" s="21" t="str">
        <f>IF(AND('Atividades Micro'!$B267=BU$2,'Atividades Micro'!$G267="Macro",'Atividades Micro'!$K267&lt;&gt;""),'Atividades Micro'!$K267,"")</f>
        <v/>
      </c>
      <c r="BV229" s="21" t="str">
        <f>IF(AND('Atividades Micro'!$B267=BV$2,'Atividades Micro'!$G267="Macro",'Atividades Micro'!$K267&lt;&gt;""),'Atividades Micro'!$K267,"")</f>
        <v/>
      </c>
      <c r="BW229" s="21" t="str">
        <f>IF(AND('Atividades Micro'!$B267=BW$2,'Atividades Micro'!$G267="Macro",'Atividades Micro'!$K267&lt;&gt;""),'Atividades Micro'!$K267,"")</f>
        <v/>
      </c>
      <c r="BX229" s="21" t="str">
        <f>IF(AND('Atividades Micro'!$B267=BX$2,'Atividades Micro'!$G267="Macro",'Atividades Micro'!$K267&lt;&gt;""),'Atividades Micro'!$K267,"")</f>
        <v/>
      </c>
      <c r="BY229" s="21" t="str">
        <f>IF(AND('Atividades Micro'!$B267=BY$2,'Atividades Micro'!$G267="Macro",'Atividades Micro'!$K267&lt;&gt;""),'Atividades Micro'!$K267,"")</f>
        <v/>
      </c>
      <c r="BZ229" s="21" t="str">
        <f>IF(AND('Atividades Micro'!$B267=BZ$2,'Atividades Micro'!$G267="Macro",'Atividades Micro'!$K267&lt;&gt;""),'Atividades Micro'!$K267,"")</f>
        <v/>
      </c>
      <c r="CA229" s="21" t="str">
        <f>IF(AND('Atividades Micro'!$B267=CA$2,'Atividades Micro'!$G267="Macro",'Atividades Micro'!$K267&lt;&gt;""),'Atividades Micro'!$K267,"")</f>
        <v/>
      </c>
      <c r="CB229" s="21" t="str">
        <f>IF(AND('Atividades Micro'!$B267=CB$2,'Atividades Micro'!$G267="Macro",'Atividades Micro'!$K267&lt;&gt;""),'Atividades Micro'!$K267,"")</f>
        <v/>
      </c>
      <c r="CC229" s="21" t="str">
        <f>IF(AND('Atividades Micro'!$B267=CC$2,'Atividades Micro'!$G267="Macro",'Atividades Micro'!$K267&lt;&gt;""),'Atividades Micro'!$K267,"")</f>
        <v/>
      </c>
      <c r="CD229" s="21" t="str">
        <f>IF(AND('Atividades Micro'!$B267=CD$2,'Atividades Micro'!$G267="Micro",'Atividades Micro'!$K267&lt;&gt;""),'Atividades Micro'!$K267,"")</f>
        <v/>
      </c>
      <c r="CE229" s="21" t="str">
        <f>IF(AND('Atividades Micro'!$B267=CE$2,'Atividades Micro'!$G267="Micro",'Atividades Micro'!$K267&lt;&gt;""),'Atividades Micro'!$K267,"")</f>
        <v/>
      </c>
      <c r="CF229" s="21" t="str">
        <f>IF(AND('Atividades Micro'!$B267=CF$2,'Atividades Micro'!$G267="Micro",'Atividades Micro'!$K267&lt;&gt;""),'Atividades Micro'!$K267,"")</f>
        <v/>
      </c>
      <c r="CG229" s="21" t="str">
        <f>IF(AND('Atividades Micro'!$B267=CG$2,'Atividades Micro'!$G267="Micro",'Atividades Micro'!$K267&lt;&gt;""),'Atividades Micro'!$K267,"")</f>
        <v/>
      </c>
      <c r="CH229" s="21" t="str">
        <f>IF(AND('Atividades Micro'!$B267=CH$2,'Atividades Micro'!$G267="Micro",'Atividades Micro'!$K267&lt;&gt;""),'Atividades Micro'!$K267,"")</f>
        <v/>
      </c>
      <c r="CI229" s="21" t="str">
        <f>IF(AND('Atividades Micro'!$B267=CI$2,'Atividades Micro'!$G267="Micro",'Atividades Micro'!$K267&lt;&gt;""),'Atividades Micro'!$K267,"")</f>
        <v/>
      </c>
      <c r="CJ229" s="21" t="str">
        <f>IF(AND('Atividades Micro'!$B267=CJ$2,'Atividades Micro'!$G267="Micro",'Atividades Micro'!$K267&lt;&gt;""),'Atividades Micro'!$K267,"")</f>
        <v/>
      </c>
      <c r="CK229" s="21" t="str">
        <f>IF(AND('Atividades Micro'!$B267=CK$2,'Atividades Micro'!$G267="Micro",'Atividades Micro'!$K267&lt;&gt;""),'Atividades Micro'!$K267,"")</f>
        <v/>
      </c>
      <c r="CL229" s="21" t="str">
        <f>IF(AND('Atividades Micro'!$B267=CL$2,'Atividades Micro'!$G267="Micro",'Atividades Micro'!$K267&lt;&gt;""),'Atividades Micro'!$K267,"")</f>
        <v/>
      </c>
      <c r="CM229" s="21" t="str">
        <f>IF(AND('Atividades Micro'!$B267=CM$2,'Atividades Micro'!$G267="Micro",'Atividades Micro'!$K267&lt;&gt;""),'Atividades Micro'!$K267,"")</f>
        <v/>
      </c>
      <c r="CN229" s="21" t="str">
        <f>IF(AND('Atividades Micro'!$B267=CN$2,'Atividades Micro'!$G267="Micro",'Atividades Micro'!$K267&lt;&gt;""),'Atividades Micro'!$K267,"")</f>
        <v/>
      </c>
      <c r="CO229" s="21" t="str">
        <f>IF(AND('Atividades Micro'!$B267=CO$2,'Atividades Micro'!$G267="Micro",'Atividades Micro'!$K267&lt;&gt;""),'Atividades Micro'!$K267,"")</f>
        <v/>
      </c>
    </row>
    <row r="230" spans="1:93">
      <c r="A230" s="21" t="str">
        <f>IF(AND('Atividades Micro'!$A268=A$2,'Atividades Micro'!$K268&lt;&gt;""),'Atividades Micro'!$K268,"")</f>
        <v/>
      </c>
      <c r="B230" s="21" t="str">
        <f>IF(AND('Atividades Micro'!$A268=B$2,'Atividades Micro'!$L268&lt;&gt;""),'Atividades Micro'!$L268,"")</f>
        <v/>
      </c>
      <c r="C230" s="21" t="str">
        <f>IF(AND('Atividades Micro'!$A268=C$2,'Atividades Micro'!$K268&lt;&gt;""),'Atividades Micro'!$K268,"")</f>
        <v/>
      </c>
      <c r="D230" s="21" t="str">
        <f>IF(AND('Atividades Micro'!$A268=D$2,'Atividades Micro'!$L268&lt;&gt;""),'Atividades Micro'!$L268,"")</f>
        <v/>
      </c>
      <c r="E230" s="21" t="str">
        <f>IF(AND('Atividades Micro'!$A268=E$2,'Atividades Micro'!$K268&lt;&gt;""),'Atividades Micro'!$K268,"")</f>
        <v/>
      </c>
      <c r="F230" s="21" t="str">
        <f>IF(AND('Atividades Micro'!$A268=F$2,'Atividades Micro'!$L268&lt;&gt;""),'Atividades Micro'!$L268,"")</f>
        <v/>
      </c>
      <c r="G230" s="21" t="str">
        <f>IF(AND('Atividades Micro'!$A268=G$2,'Atividades Micro'!$K268&lt;&gt;""),'Atividades Micro'!$K268,"")</f>
        <v/>
      </c>
      <c r="H230" s="21" t="str">
        <f>IF(AND('Atividades Micro'!$A268=H$2,'Atividades Micro'!$L268&lt;&gt;""),'Atividades Micro'!$L268,"")</f>
        <v/>
      </c>
      <c r="I230" s="21" t="str">
        <f>IF(AND('Atividades Micro'!$A268=I$2,'Atividades Micro'!$K268&lt;&gt;""),'Atividades Micro'!$K268,"")</f>
        <v/>
      </c>
      <c r="J230" s="21" t="str">
        <f>IF(AND('Atividades Micro'!$A268=J$2,'Atividades Micro'!$L268&lt;&gt;""),'Atividades Micro'!$L268,"")</f>
        <v/>
      </c>
      <c r="K230" s="21" t="str">
        <f>IF(AND('Atividades Micro'!$B268=K$2,'Atividades Micro'!$K268&lt;&gt;""),'Atividades Micro'!$K268,"")</f>
        <v/>
      </c>
      <c r="L230" s="21" t="str">
        <f>IF(AND('Atividades Micro'!$B268=L$2,'Atividades Micro'!$L268&lt;&gt;""),'Atividades Micro'!$L268,"")</f>
        <v/>
      </c>
      <c r="M230" s="21" t="str">
        <f>IF(AND('Atividades Micro'!$B268=M$2,'Atividades Micro'!$K268&lt;&gt;""),'Atividades Micro'!$K268,"")</f>
        <v/>
      </c>
      <c r="N230" s="21" t="str">
        <f>IF(AND('Atividades Micro'!$B268=N$2,'Atividades Micro'!$L268&lt;&gt;""),'Atividades Micro'!$L268,"")</f>
        <v/>
      </c>
      <c r="O230" s="21" t="str">
        <f>IF(AND('Atividades Micro'!$A268=O$2,'Atividades Micro'!$K268&lt;&gt;""),'Atividades Micro'!$K268,"")</f>
        <v/>
      </c>
      <c r="P230" s="21" t="str">
        <f>IF(AND('Atividades Micro'!$A268=P$2,'Atividades Micro'!$L268&lt;&gt;""),'Atividades Micro'!$L268,"")</f>
        <v/>
      </c>
      <c r="Q230" s="21" t="str">
        <f>IF(AND('Atividades Micro'!$B268=Q$2,'Atividades Micro'!$K268&lt;&gt;""),'Atividades Micro'!$K268,"")</f>
        <v/>
      </c>
      <c r="R230" s="21" t="str">
        <f>IF(AND('Atividades Micro'!$B268=R$2,'Atividades Micro'!$L268&lt;&gt;""),'Atividades Micro'!$L268,"")</f>
        <v/>
      </c>
      <c r="S230" s="21" t="str">
        <f>IF(AND('Atividades Micro'!$A268=S$2,'Atividades Micro'!$K268&lt;&gt;""),'Atividades Micro'!$K268,"")</f>
        <v/>
      </c>
      <c r="T230" s="21" t="str">
        <f>IF(AND('Atividades Micro'!$A268=T$2,'Atividades Micro'!$L268&lt;&gt;""),'Atividades Micro'!$L268,"")</f>
        <v/>
      </c>
      <c r="U230" s="21" t="str">
        <f>IF(AND('Atividades Micro'!$B268=U$2,'Atividades Micro'!$K268&lt;&gt;""),'Atividades Micro'!$K268,"")</f>
        <v/>
      </c>
      <c r="V230" s="21" t="str">
        <f>IF(AND('Atividades Micro'!$B268=V$2,'Atividades Micro'!$L268&lt;&gt;""),'Atividades Micro'!$L268,"")</f>
        <v/>
      </c>
      <c r="W230" s="21" t="str">
        <f>IF(AND('Atividades Micro'!$B268=W$2,'Atividades Micro'!$K268&lt;&gt;""),'Atividades Micro'!$K268,"")</f>
        <v/>
      </c>
      <c r="X230" s="21" t="str">
        <f>IF(AND('Atividades Micro'!$B268=X$2,'Atividades Micro'!$L268&lt;&gt;""),'Atividades Micro'!$L268,"")</f>
        <v/>
      </c>
      <c r="Y230" s="21" t="str">
        <f>IF(AND('Atividades Micro'!$A268=Y$2,'Atividades Micro'!$K268&lt;&gt;""),'Atividades Micro'!$K268,"")</f>
        <v/>
      </c>
      <c r="Z230" s="21" t="str">
        <f>IF(AND('Atividades Micro'!$A268=Z$2,'Atividades Micro'!$L268&lt;&gt;""),'Atividades Micro'!$L268,"")</f>
        <v/>
      </c>
      <c r="AA230" s="21" t="str">
        <f>IF(AND('Atividades Micro'!$B268=AA$2,'Atividades Micro'!$K268&lt;&gt;""),'Atividades Micro'!$K268,"")</f>
        <v/>
      </c>
      <c r="AB230" s="21" t="str">
        <f>IF(AND('Atividades Micro'!$B268=AB$2,'Atividades Micro'!$L268&lt;&gt;""),'Atividades Micro'!$L268,"")</f>
        <v/>
      </c>
      <c r="AC230" s="21" t="str">
        <f>IF(AND('Atividades Micro'!$B268=AC$2,'Atividades Micro'!$K268&lt;&gt;""),'Atividades Micro'!$K268,"")</f>
        <v/>
      </c>
      <c r="AD230" s="21" t="str">
        <f>IF(AND('Atividades Micro'!$B268=AD$2,'Atividades Micro'!$L268&lt;&gt;""),'Atividades Micro'!$L268,"")</f>
        <v/>
      </c>
      <c r="AE230" s="21" t="str">
        <f>IF(AND('Atividades Micro'!$A268=AE$2,'Atividades Micro'!$K268&lt;&gt;""),'Atividades Micro'!$K268,"")</f>
        <v/>
      </c>
      <c r="AF230" s="21" t="str">
        <f>IF(AND('Atividades Micro'!$A268=AF$2,'Atividades Micro'!$L268&lt;&gt;""),'Atividades Micro'!$L268,"")</f>
        <v/>
      </c>
      <c r="AG230" s="21" t="str">
        <f>IF(AND('Atividades Micro'!$B268=AG$2,'Atividades Micro'!$K268&lt;&gt;""),'Atividades Micro'!$K268,"")</f>
        <v/>
      </c>
      <c r="AH230" s="21" t="str">
        <f>IF(AND('Atividades Micro'!$B268=AH$2,'Atividades Micro'!$L268&lt;&gt;""),'Atividades Micro'!$L268,"")</f>
        <v/>
      </c>
      <c r="AI230" s="21" t="str">
        <f>IF(AND('Atividades Micro'!$B268=AI$2,'Atividades Micro'!$K268&lt;&gt;""),'Atividades Micro'!$K268,"")</f>
        <v/>
      </c>
      <c r="AJ230" s="21" t="str">
        <f>IF(AND('Atividades Micro'!$B268=AJ$2,'Atividades Micro'!$L268&lt;&gt;""),'Atividades Micro'!$L268,"")</f>
        <v/>
      </c>
      <c r="AK230" s="21" t="str">
        <f>IF(AND('Atividades Micro'!$A268=AK$2,'Atividades Micro'!$K268&lt;&gt;""),'Atividades Micro'!$K268,"")</f>
        <v/>
      </c>
      <c r="AL230" s="21" t="str">
        <f>IF(AND('Atividades Micro'!$A268=AL$2,'Atividades Micro'!$L268&lt;&gt;""),'Atividades Micro'!$L268,"")</f>
        <v/>
      </c>
      <c r="AM230" s="21" t="str">
        <f>IF(AND('Atividades Micro'!$B268=AM$2,'Atividades Micro'!$K268&lt;&gt;""),'Atividades Micro'!$K268,"")</f>
        <v/>
      </c>
      <c r="AN230" s="21" t="str">
        <f>IF(AND('Atividades Micro'!$B268=AN$2,'Atividades Micro'!$L268&lt;&gt;""),'Atividades Micro'!$L268,"")</f>
        <v/>
      </c>
      <c r="AO230" s="21" t="str">
        <f>IF(AND('Atividades Micro'!$B268=AO$2,'Atividades Micro'!$K268&lt;&gt;""),'Atividades Micro'!$K268,"")</f>
        <v/>
      </c>
      <c r="AP230" s="21" t="str">
        <f>IF(AND('Atividades Micro'!$B268=AP$2,'Atividades Micro'!$L268&lt;&gt;""),'Atividades Micro'!$L268,"")</f>
        <v/>
      </c>
      <c r="AQ230" s="21" t="str">
        <f>IF(AND('Atividades Micro'!$A268=AQ$2,'Atividades Micro'!$K268&lt;&gt;""),'Atividades Micro'!$K268,"")</f>
        <v/>
      </c>
      <c r="AR230" s="21" t="str">
        <f>IF(AND('Atividades Micro'!$A268=AR$2,'Atividades Micro'!$L268&lt;&gt;""),'Atividades Micro'!$L268,"")</f>
        <v/>
      </c>
      <c r="AS230" s="21" t="str">
        <f>IF(AND('Atividades Micro'!$B268=AS$2,'Atividades Micro'!$K268&lt;&gt;""),'Atividades Micro'!$K268,"")</f>
        <v/>
      </c>
      <c r="AT230" s="21" t="str">
        <f>IF(AND('Atividades Micro'!$B268=AT$2,'Atividades Micro'!$L268&lt;&gt;""),'Atividades Micro'!$L268,"")</f>
        <v/>
      </c>
      <c r="AU230" s="21" t="str">
        <f>IF(AND('Atividades Micro'!$A268=AU$2,'Atividades Micro'!$K268&lt;&gt;""),'Atividades Micro'!$K268,"")</f>
        <v/>
      </c>
      <c r="AV230" s="21" t="str">
        <f>IF(AND('Atividades Micro'!$A268=AV$2,'Atividades Micro'!$L268&lt;&gt;""),'Atividades Micro'!$L268,"")</f>
        <v/>
      </c>
      <c r="AW230" s="21" t="str">
        <f>IF(AND('Atividades Micro'!$B268=AW$2,'Atividades Micro'!$K268&lt;&gt;""),'Atividades Micro'!$K268,"")</f>
        <v/>
      </c>
      <c r="AX230" s="21" t="str">
        <f>IF(AND('Atividades Micro'!$B268=AX$2,'Atividades Micro'!$L268&lt;&gt;""),'Atividades Micro'!$L268,"")</f>
        <v/>
      </c>
      <c r="AY230" s="21" t="str">
        <f>IF(AND('Atividades Micro'!$A268=AY$2,'Atividades Micro'!$K268&lt;&gt;""),'Atividades Micro'!$K268,"")</f>
        <v/>
      </c>
      <c r="AZ230" s="21" t="str">
        <f>IF(AND('Atividades Micro'!$A268=AZ$2,'Atividades Micro'!$L268&lt;&gt;""),'Atividades Micro'!$L268,"")</f>
        <v/>
      </c>
      <c r="BA230" s="21" t="str">
        <f>IF(AND('Atividades Micro'!$B268=BA$2,'Atividades Micro'!$K268&lt;&gt;""),'Atividades Micro'!$K268,"")</f>
        <v/>
      </c>
      <c r="BB230" s="21" t="str">
        <f>IF(AND('Atividades Micro'!$B268=BB$2,'Atividades Micro'!$L268&lt;&gt;""),'Atividades Micro'!$L268,"")</f>
        <v/>
      </c>
      <c r="BC230" s="21" t="str">
        <f>IF(AND('Atividades Micro'!$B268=BC$2,'Atividades Micro'!$G268="Macro",'Atividades Micro'!$K268&lt;&gt;""),'Atividades Micro'!$K268,"")</f>
        <v/>
      </c>
      <c r="BD230" s="21" t="str">
        <f>IF(AND('Atividades Micro'!$B268=BD$2,'Atividades Micro'!$G268="Macro",'Atividades Micro'!$K268&lt;&gt;""),'Atividades Micro'!$K268,"")</f>
        <v/>
      </c>
      <c r="BE230" s="21" t="str">
        <f>IF(AND('Atividades Micro'!$B268=BE$2,'Atividades Micro'!$G268="Macro",'Atividades Micro'!$K268&lt;&gt;""),'Atividades Micro'!$K268,"")</f>
        <v/>
      </c>
      <c r="BF230" s="21" t="str">
        <f>IF(AND('Atividades Micro'!$B268=BF$2,'Atividades Micro'!$G268="Macro",'Atividades Micro'!$K268&lt;&gt;""),'Atividades Micro'!$K268,"")</f>
        <v/>
      </c>
      <c r="BG230" s="21" t="str">
        <f>IF(AND('Atividades Micro'!$B268=BG$2,'Atividades Micro'!$G268="Macro",'Atividades Micro'!$K268&lt;&gt;""),'Atividades Micro'!$K268,"")</f>
        <v/>
      </c>
      <c r="BH230" s="21" t="str">
        <f>IF(AND('Atividades Micro'!$B268=BH$2,'Atividades Micro'!$G268="Macro",'Atividades Micro'!$K268&lt;&gt;""),'Atividades Micro'!$K268,"")</f>
        <v/>
      </c>
      <c r="BI230" s="21" t="str">
        <f>IF(AND('Atividades Micro'!$B268=BI$2,'Atividades Micro'!$G268="Macro",'Atividades Micro'!$K268&lt;&gt;""),'Atividades Micro'!$K268,"")</f>
        <v/>
      </c>
      <c r="BJ230" s="21" t="str">
        <f>IF(AND('Atividades Micro'!$B268=BJ$2,'Atividades Micro'!$G268="Macro",'Atividades Micro'!$K268&lt;&gt;""),'Atividades Micro'!$K268,"")</f>
        <v/>
      </c>
      <c r="BK230" s="21" t="str">
        <f>IF(AND('Atividades Micro'!$B268=BK$2,'Atividades Micro'!$G268="Macro",'Atividades Micro'!$K268&lt;&gt;""),'Atividades Micro'!$K268,"")</f>
        <v/>
      </c>
      <c r="BL230" s="21" t="str">
        <f>IF(AND('Atividades Micro'!$B268=BL$2,'Atividades Micro'!$G268="Macro",'Atividades Micro'!$K268&lt;&gt;""),'Atividades Micro'!$K268,"")</f>
        <v/>
      </c>
      <c r="BM230" s="21" t="str">
        <f>IF(AND('Atividades Micro'!$B268=BM$2,'Atividades Micro'!$G268="Macro",'Atividades Micro'!$K268&lt;&gt;""),'Atividades Micro'!$K268,"")</f>
        <v/>
      </c>
      <c r="BN230" s="21" t="str">
        <f>IF(AND('Atividades Micro'!$B268=BN$2,'Atividades Micro'!$G268="Macro",'Atividades Micro'!$K268&lt;&gt;""),'Atividades Micro'!$K268,"")</f>
        <v/>
      </c>
      <c r="BO230" s="21" t="str">
        <f>IF(AND('Atividades Micro'!$B268=BO$2,'Atividades Micro'!$G268="Macro",'Atividades Micro'!$K268&lt;&gt;""),'Atividades Micro'!$K268,"")</f>
        <v/>
      </c>
      <c r="BP230" s="21" t="str">
        <f>IF(AND('Atividades Micro'!$B268=BP$2,'Atividades Micro'!$G268="Macro",'Atividades Micro'!$K268&lt;&gt;""),'Atividades Micro'!$K268,"")</f>
        <v/>
      </c>
      <c r="BQ230" s="21" t="str">
        <f>IF(AND('Atividades Micro'!$B268=BQ$2,'Atividades Micro'!$G268="Macro",'Atividades Micro'!$K268&lt;&gt;""),'Atividades Micro'!$K268,"")</f>
        <v/>
      </c>
      <c r="BR230" s="21" t="str">
        <f>IF(AND('Atividades Micro'!$B268=BR$2,'Atividades Micro'!$G268="Macro",'Atividades Micro'!$K268&lt;&gt;""),'Atividades Micro'!$K268,"")</f>
        <v/>
      </c>
      <c r="BS230" s="21" t="str">
        <f>IF(AND('Atividades Micro'!$B268=BS$2,'Atividades Micro'!$G268="Macro",'Atividades Micro'!$K268&lt;&gt;""),'Atividades Micro'!$K268,"")</f>
        <v/>
      </c>
      <c r="BT230" s="21" t="str">
        <f>IF(AND('Atividades Micro'!$B268=BT$2,'Atividades Micro'!$G268="Macro",'Atividades Micro'!$K268&lt;&gt;""),'Atividades Micro'!$K268,"")</f>
        <v/>
      </c>
      <c r="BU230" s="21" t="str">
        <f>IF(AND('Atividades Micro'!$B268=BU$2,'Atividades Micro'!$G268="Macro",'Atividades Micro'!$K268&lt;&gt;""),'Atividades Micro'!$K268,"")</f>
        <v/>
      </c>
      <c r="BV230" s="21" t="str">
        <f>IF(AND('Atividades Micro'!$B268=BV$2,'Atividades Micro'!$G268="Macro",'Atividades Micro'!$K268&lt;&gt;""),'Atividades Micro'!$K268,"")</f>
        <v/>
      </c>
      <c r="BW230" s="21" t="str">
        <f>IF(AND('Atividades Micro'!$B268=BW$2,'Atividades Micro'!$G268="Macro",'Atividades Micro'!$K268&lt;&gt;""),'Atividades Micro'!$K268,"")</f>
        <v/>
      </c>
      <c r="BX230" s="21" t="str">
        <f>IF(AND('Atividades Micro'!$B268=BX$2,'Atividades Micro'!$G268="Macro",'Atividades Micro'!$K268&lt;&gt;""),'Atividades Micro'!$K268,"")</f>
        <v/>
      </c>
      <c r="BY230" s="21" t="str">
        <f>IF(AND('Atividades Micro'!$B268=BY$2,'Atividades Micro'!$G268="Macro",'Atividades Micro'!$K268&lt;&gt;""),'Atividades Micro'!$K268,"")</f>
        <v/>
      </c>
      <c r="BZ230" s="21" t="str">
        <f>IF(AND('Atividades Micro'!$B268=BZ$2,'Atividades Micro'!$G268="Macro",'Atividades Micro'!$K268&lt;&gt;""),'Atividades Micro'!$K268,"")</f>
        <v/>
      </c>
      <c r="CA230" s="21" t="str">
        <f>IF(AND('Atividades Micro'!$B268=CA$2,'Atividades Micro'!$G268="Macro",'Atividades Micro'!$K268&lt;&gt;""),'Atividades Micro'!$K268,"")</f>
        <v/>
      </c>
      <c r="CB230" s="21" t="str">
        <f>IF(AND('Atividades Micro'!$B268=CB$2,'Atividades Micro'!$G268="Macro",'Atividades Micro'!$K268&lt;&gt;""),'Atividades Micro'!$K268,"")</f>
        <v/>
      </c>
      <c r="CC230" s="21" t="str">
        <f>IF(AND('Atividades Micro'!$B268=CC$2,'Atividades Micro'!$G268="Macro",'Atividades Micro'!$K268&lt;&gt;""),'Atividades Micro'!$K268,"")</f>
        <v/>
      </c>
      <c r="CD230" s="21" t="str">
        <f>IF(AND('Atividades Micro'!$B268=CD$2,'Atividades Micro'!$G268="Micro",'Atividades Micro'!$K268&lt;&gt;""),'Atividades Micro'!$K268,"")</f>
        <v/>
      </c>
      <c r="CE230" s="21" t="str">
        <f>IF(AND('Atividades Micro'!$B268=CE$2,'Atividades Micro'!$G268="Micro",'Atividades Micro'!$K268&lt;&gt;""),'Atividades Micro'!$K268,"")</f>
        <v/>
      </c>
      <c r="CF230" s="21" t="str">
        <f>IF(AND('Atividades Micro'!$B268=CF$2,'Atividades Micro'!$G268="Micro",'Atividades Micro'!$K268&lt;&gt;""),'Atividades Micro'!$K268,"")</f>
        <v/>
      </c>
      <c r="CG230" s="21" t="str">
        <f>IF(AND('Atividades Micro'!$B268=CG$2,'Atividades Micro'!$G268="Micro",'Atividades Micro'!$K268&lt;&gt;""),'Atividades Micro'!$K268,"")</f>
        <v/>
      </c>
      <c r="CH230" s="21" t="str">
        <f>IF(AND('Atividades Micro'!$B268=CH$2,'Atividades Micro'!$G268="Micro",'Atividades Micro'!$K268&lt;&gt;""),'Atividades Micro'!$K268,"")</f>
        <v/>
      </c>
      <c r="CI230" s="21" t="str">
        <f>IF(AND('Atividades Micro'!$B268=CI$2,'Atividades Micro'!$G268="Micro",'Atividades Micro'!$K268&lt;&gt;""),'Atividades Micro'!$K268,"")</f>
        <v/>
      </c>
      <c r="CJ230" s="21" t="str">
        <f>IF(AND('Atividades Micro'!$B268=CJ$2,'Atividades Micro'!$G268="Micro",'Atividades Micro'!$K268&lt;&gt;""),'Atividades Micro'!$K268,"")</f>
        <v/>
      </c>
      <c r="CK230" s="21" t="str">
        <f>IF(AND('Atividades Micro'!$B268=CK$2,'Atividades Micro'!$G268="Micro",'Atividades Micro'!$K268&lt;&gt;""),'Atividades Micro'!$K268,"")</f>
        <v/>
      </c>
      <c r="CL230" s="21" t="str">
        <f>IF(AND('Atividades Micro'!$B268=CL$2,'Atividades Micro'!$G268="Micro",'Atividades Micro'!$K268&lt;&gt;""),'Atividades Micro'!$K268,"")</f>
        <v/>
      </c>
      <c r="CM230" s="21" t="str">
        <f>IF(AND('Atividades Micro'!$B268=CM$2,'Atividades Micro'!$G268="Micro",'Atividades Micro'!$K268&lt;&gt;""),'Atividades Micro'!$K268,"")</f>
        <v/>
      </c>
      <c r="CN230" s="21" t="str">
        <f>IF(AND('Atividades Micro'!$B268=CN$2,'Atividades Micro'!$G268="Micro",'Atividades Micro'!$K268&lt;&gt;""),'Atividades Micro'!$K268,"")</f>
        <v/>
      </c>
      <c r="CO230" s="21" t="str">
        <f>IF(AND('Atividades Micro'!$B268=CO$2,'Atividades Micro'!$G268="Micro",'Atividades Micro'!$K268&lt;&gt;""),'Atividades Micro'!$K268,"")</f>
        <v/>
      </c>
    </row>
    <row r="231" spans="1:93">
      <c r="A231" s="21" t="str">
        <f>IF(AND('Atividades Micro'!$A269=A$2,'Atividades Micro'!$K269&lt;&gt;""),'Atividades Micro'!$K269,"")</f>
        <v/>
      </c>
      <c r="B231" s="21" t="str">
        <f>IF(AND('Atividades Micro'!$A269=B$2,'Atividades Micro'!$L269&lt;&gt;""),'Atividades Micro'!$L269,"")</f>
        <v/>
      </c>
      <c r="C231" s="21" t="str">
        <f>IF(AND('Atividades Micro'!$A269=C$2,'Atividades Micro'!$K269&lt;&gt;""),'Atividades Micro'!$K269,"")</f>
        <v/>
      </c>
      <c r="D231" s="21" t="str">
        <f>IF(AND('Atividades Micro'!$A269=D$2,'Atividades Micro'!$L269&lt;&gt;""),'Atividades Micro'!$L269,"")</f>
        <v/>
      </c>
      <c r="E231" s="21" t="str">
        <f>IF(AND('Atividades Micro'!$A269=E$2,'Atividades Micro'!$K269&lt;&gt;""),'Atividades Micro'!$K269,"")</f>
        <v/>
      </c>
      <c r="F231" s="21" t="str">
        <f>IF(AND('Atividades Micro'!$A269=F$2,'Atividades Micro'!$L269&lt;&gt;""),'Atividades Micro'!$L269,"")</f>
        <v/>
      </c>
      <c r="G231" s="21" t="str">
        <f>IF(AND('Atividades Micro'!$A269=G$2,'Atividades Micro'!$K269&lt;&gt;""),'Atividades Micro'!$K269,"")</f>
        <v/>
      </c>
      <c r="H231" s="21" t="str">
        <f>IF(AND('Atividades Micro'!$A269=H$2,'Atividades Micro'!$L269&lt;&gt;""),'Atividades Micro'!$L269,"")</f>
        <v/>
      </c>
      <c r="I231" s="21" t="str">
        <f>IF(AND('Atividades Micro'!$A269=I$2,'Atividades Micro'!$K269&lt;&gt;""),'Atividades Micro'!$K269,"")</f>
        <v/>
      </c>
      <c r="J231" s="21" t="str">
        <f>IF(AND('Atividades Micro'!$A269=J$2,'Atividades Micro'!$L269&lt;&gt;""),'Atividades Micro'!$L269,"")</f>
        <v/>
      </c>
      <c r="K231" s="21" t="str">
        <f>IF(AND('Atividades Micro'!$B269=K$2,'Atividades Micro'!$K269&lt;&gt;""),'Atividades Micro'!$K269,"")</f>
        <v/>
      </c>
      <c r="L231" s="21" t="str">
        <f>IF(AND('Atividades Micro'!$B269=L$2,'Atividades Micro'!$L269&lt;&gt;""),'Atividades Micro'!$L269,"")</f>
        <v/>
      </c>
      <c r="M231" s="21" t="str">
        <f>IF(AND('Atividades Micro'!$B269=M$2,'Atividades Micro'!$K269&lt;&gt;""),'Atividades Micro'!$K269,"")</f>
        <v/>
      </c>
      <c r="N231" s="21" t="str">
        <f>IF(AND('Atividades Micro'!$B269=N$2,'Atividades Micro'!$L269&lt;&gt;""),'Atividades Micro'!$L269,"")</f>
        <v/>
      </c>
      <c r="O231" s="21" t="str">
        <f>IF(AND('Atividades Micro'!$A269=O$2,'Atividades Micro'!$K269&lt;&gt;""),'Atividades Micro'!$K269,"")</f>
        <v/>
      </c>
      <c r="P231" s="21" t="str">
        <f>IF(AND('Atividades Micro'!$A269=P$2,'Atividades Micro'!$L269&lt;&gt;""),'Atividades Micro'!$L269,"")</f>
        <v/>
      </c>
      <c r="Q231" s="21" t="str">
        <f>IF(AND('Atividades Micro'!$B269=Q$2,'Atividades Micro'!$K269&lt;&gt;""),'Atividades Micro'!$K269,"")</f>
        <v/>
      </c>
      <c r="R231" s="21" t="str">
        <f>IF(AND('Atividades Micro'!$B269=R$2,'Atividades Micro'!$L269&lt;&gt;""),'Atividades Micro'!$L269,"")</f>
        <v/>
      </c>
      <c r="S231" s="21" t="str">
        <f>IF(AND('Atividades Micro'!$A269=S$2,'Atividades Micro'!$K269&lt;&gt;""),'Atividades Micro'!$K269,"")</f>
        <v/>
      </c>
      <c r="T231" s="21" t="str">
        <f>IF(AND('Atividades Micro'!$A269=T$2,'Atividades Micro'!$L269&lt;&gt;""),'Atividades Micro'!$L269,"")</f>
        <v/>
      </c>
      <c r="U231" s="21" t="str">
        <f>IF(AND('Atividades Micro'!$B269=U$2,'Atividades Micro'!$K269&lt;&gt;""),'Atividades Micro'!$K269,"")</f>
        <v/>
      </c>
      <c r="V231" s="21" t="str">
        <f>IF(AND('Atividades Micro'!$B269=V$2,'Atividades Micro'!$L269&lt;&gt;""),'Atividades Micro'!$L269,"")</f>
        <v/>
      </c>
      <c r="W231" s="21" t="str">
        <f>IF(AND('Atividades Micro'!$B269=W$2,'Atividades Micro'!$K269&lt;&gt;""),'Atividades Micro'!$K269,"")</f>
        <v/>
      </c>
      <c r="X231" s="21" t="str">
        <f>IF(AND('Atividades Micro'!$B269=X$2,'Atividades Micro'!$L269&lt;&gt;""),'Atividades Micro'!$L269,"")</f>
        <v/>
      </c>
      <c r="Y231" s="21" t="str">
        <f>IF(AND('Atividades Micro'!$A269=Y$2,'Atividades Micro'!$K269&lt;&gt;""),'Atividades Micro'!$K269,"")</f>
        <v/>
      </c>
      <c r="Z231" s="21" t="str">
        <f>IF(AND('Atividades Micro'!$A269=Z$2,'Atividades Micro'!$L269&lt;&gt;""),'Atividades Micro'!$L269,"")</f>
        <v/>
      </c>
      <c r="AA231" s="21" t="str">
        <f>IF(AND('Atividades Micro'!$B269=AA$2,'Atividades Micro'!$K269&lt;&gt;""),'Atividades Micro'!$K269,"")</f>
        <v/>
      </c>
      <c r="AB231" s="21" t="str">
        <f>IF(AND('Atividades Micro'!$B269=AB$2,'Atividades Micro'!$L269&lt;&gt;""),'Atividades Micro'!$L269,"")</f>
        <v/>
      </c>
      <c r="AC231" s="21" t="str">
        <f>IF(AND('Atividades Micro'!$B269=AC$2,'Atividades Micro'!$K269&lt;&gt;""),'Atividades Micro'!$K269,"")</f>
        <v/>
      </c>
      <c r="AD231" s="21" t="str">
        <f>IF(AND('Atividades Micro'!$B269=AD$2,'Atividades Micro'!$L269&lt;&gt;""),'Atividades Micro'!$L269,"")</f>
        <v/>
      </c>
      <c r="AE231" s="21" t="str">
        <f>IF(AND('Atividades Micro'!$A269=AE$2,'Atividades Micro'!$K269&lt;&gt;""),'Atividades Micro'!$K269,"")</f>
        <v/>
      </c>
      <c r="AF231" s="21" t="str">
        <f>IF(AND('Atividades Micro'!$A269=AF$2,'Atividades Micro'!$L269&lt;&gt;""),'Atividades Micro'!$L269,"")</f>
        <v/>
      </c>
      <c r="AG231" s="21" t="str">
        <f>IF(AND('Atividades Micro'!$B269=AG$2,'Atividades Micro'!$K269&lt;&gt;""),'Atividades Micro'!$K269,"")</f>
        <v/>
      </c>
      <c r="AH231" s="21" t="str">
        <f>IF(AND('Atividades Micro'!$B269=AH$2,'Atividades Micro'!$L269&lt;&gt;""),'Atividades Micro'!$L269,"")</f>
        <v/>
      </c>
      <c r="AI231" s="21" t="str">
        <f>IF(AND('Atividades Micro'!$B269=AI$2,'Atividades Micro'!$K269&lt;&gt;""),'Atividades Micro'!$K269,"")</f>
        <v/>
      </c>
      <c r="AJ231" s="21" t="str">
        <f>IF(AND('Atividades Micro'!$B269=AJ$2,'Atividades Micro'!$L269&lt;&gt;""),'Atividades Micro'!$L269,"")</f>
        <v/>
      </c>
      <c r="AK231" s="21">
        <f>IF(AND('Atividades Micro'!$A269=AK$2,'Atividades Micro'!$K269&lt;&gt;""),'Atividades Micro'!$K269,"")</f>
        <v>46266</v>
      </c>
      <c r="AL231" s="21" t="str">
        <f>IF(AND('Atividades Micro'!$A269=AL$2,'Atividades Micro'!$L269&lt;&gt;""),'Atividades Micro'!$L269,"")</f>
        <v/>
      </c>
      <c r="AM231" s="21">
        <f>IF(AND('Atividades Micro'!$B269=AM$2,'Atividades Micro'!$K269&lt;&gt;""),'Atividades Micro'!$K269,"")</f>
        <v>46266</v>
      </c>
      <c r="AN231" s="21" t="str">
        <f>IF(AND('Atividades Micro'!$B269=AN$2,'Atividades Micro'!$L269&lt;&gt;""),'Atividades Micro'!$L269,"")</f>
        <v/>
      </c>
      <c r="AO231" s="21" t="str">
        <f>IF(AND('Atividades Micro'!$B269=AO$2,'Atividades Micro'!$K269&lt;&gt;""),'Atividades Micro'!$K269,"")</f>
        <v/>
      </c>
      <c r="AP231" s="21" t="str">
        <f>IF(AND('Atividades Micro'!$B269=AP$2,'Atividades Micro'!$L269&lt;&gt;""),'Atividades Micro'!$L269,"")</f>
        <v/>
      </c>
      <c r="AQ231" s="21" t="str">
        <f>IF(AND('Atividades Micro'!$A269=AQ$2,'Atividades Micro'!$K269&lt;&gt;""),'Atividades Micro'!$K269,"")</f>
        <v/>
      </c>
      <c r="AR231" s="21" t="str">
        <f>IF(AND('Atividades Micro'!$A269=AR$2,'Atividades Micro'!$L269&lt;&gt;""),'Atividades Micro'!$L269,"")</f>
        <v/>
      </c>
      <c r="AS231" s="21" t="str">
        <f>IF(AND('Atividades Micro'!$B269=AS$2,'Atividades Micro'!$K269&lt;&gt;""),'Atividades Micro'!$K269,"")</f>
        <v/>
      </c>
      <c r="AT231" s="21" t="str">
        <f>IF(AND('Atividades Micro'!$B269=AT$2,'Atividades Micro'!$L269&lt;&gt;""),'Atividades Micro'!$L269,"")</f>
        <v/>
      </c>
      <c r="AU231" s="21" t="str">
        <f>IF(AND('Atividades Micro'!$A269=AU$2,'Atividades Micro'!$K269&lt;&gt;""),'Atividades Micro'!$K269,"")</f>
        <v/>
      </c>
      <c r="AV231" s="21" t="str">
        <f>IF(AND('Atividades Micro'!$A269=AV$2,'Atividades Micro'!$L269&lt;&gt;""),'Atividades Micro'!$L269,"")</f>
        <v/>
      </c>
      <c r="AW231" s="21" t="str">
        <f>IF(AND('Atividades Micro'!$B269=AW$2,'Atividades Micro'!$K269&lt;&gt;""),'Atividades Micro'!$K269,"")</f>
        <v/>
      </c>
      <c r="AX231" s="21" t="str">
        <f>IF(AND('Atividades Micro'!$B269=AX$2,'Atividades Micro'!$L269&lt;&gt;""),'Atividades Micro'!$L269,"")</f>
        <v/>
      </c>
      <c r="AY231" s="21" t="str">
        <f>IF(AND('Atividades Micro'!$A269=AY$2,'Atividades Micro'!$K269&lt;&gt;""),'Atividades Micro'!$K269,"")</f>
        <v/>
      </c>
      <c r="AZ231" s="21" t="str">
        <f>IF(AND('Atividades Micro'!$A269=AZ$2,'Atividades Micro'!$L269&lt;&gt;""),'Atividades Micro'!$L269,"")</f>
        <v/>
      </c>
      <c r="BA231" s="21" t="str">
        <f>IF(AND('Atividades Micro'!$B269=BA$2,'Atividades Micro'!$K269&lt;&gt;""),'Atividades Micro'!$K269,"")</f>
        <v/>
      </c>
      <c r="BB231" s="21" t="str">
        <f>IF(AND('Atividades Micro'!$B269=BB$2,'Atividades Micro'!$L269&lt;&gt;""),'Atividades Micro'!$L269,"")</f>
        <v/>
      </c>
      <c r="BC231" s="21" t="str">
        <f>IF(AND('Atividades Micro'!$B269=BC$2,'Atividades Micro'!$G269="Macro",'Atividades Micro'!$K269&lt;&gt;""),'Atividades Micro'!$K269,"")</f>
        <v/>
      </c>
      <c r="BD231" s="21" t="str">
        <f>IF(AND('Atividades Micro'!$B269=BD$2,'Atividades Micro'!$G269="Macro",'Atividades Micro'!$K269&lt;&gt;""),'Atividades Micro'!$K269,"")</f>
        <v/>
      </c>
      <c r="BE231" s="21" t="str">
        <f>IF(AND('Atividades Micro'!$B269=BE$2,'Atividades Micro'!$G269="Macro",'Atividades Micro'!$K269&lt;&gt;""),'Atividades Micro'!$K269,"")</f>
        <v/>
      </c>
      <c r="BF231" s="21" t="str">
        <f>IF(AND('Atividades Micro'!$B269=BF$2,'Atividades Micro'!$G269="Macro",'Atividades Micro'!$K269&lt;&gt;""),'Atividades Micro'!$K269,"")</f>
        <v/>
      </c>
      <c r="BG231" s="21" t="str">
        <f>IF(AND('Atividades Micro'!$B269=BG$2,'Atividades Micro'!$G269="Macro",'Atividades Micro'!$K269&lt;&gt;""),'Atividades Micro'!$K269,"")</f>
        <v/>
      </c>
      <c r="BH231" s="21" t="str">
        <f>IF(AND('Atividades Micro'!$B269=BH$2,'Atividades Micro'!$G269="Macro",'Atividades Micro'!$K269&lt;&gt;""),'Atividades Micro'!$K269,"")</f>
        <v/>
      </c>
      <c r="BI231" s="21" t="str">
        <f>IF(AND('Atividades Micro'!$B269=BI$2,'Atividades Micro'!$G269="Macro",'Atividades Micro'!$K269&lt;&gt;""),'Atividades Micro'!$K269,"")</f>
        <v/>
      </c>
      <c r="BJ231" s="21" t="str">
        <f>IF(AND('Atividades Micro'!$B269=BJ$2,'Atividades Micro'!$G269="Macro",'Atividades Micro'!$K269&lt;&gt;""),'Atividades Micro'!$K269,"")</f>
        <v/>
      </c>
      <c r="BK231" s="21" t="str">
        <f>IF(AND('Atividades Micro'!$B269=BK$2,'Atividades Micro'!$G269="Macro",'Atividades Micro'!$K269&lt;&gt;""),'Atividades Micro'!$K269,"")</f>
        <v/>
      </c>
      <c r="BL231" s="21" t="str">
        <f>IF(AND('Atividades Micro'!$B269=BL$2,'Atividades Micro'!$G269="Macro",'Atividades Micro'!$K269&lt;&gt;""),'Atividades Micro'!$K269,"")</f>
        <v/>
      </c>
      <c r="BM231" s="21" t="str">
        <f>IF(AND('Atividades Micro'!$B269=BM$2,'Atividades Micro'!$G269="Macro",'Atividades Micro'!$K269&lt;&gt;""),'Atividades Micro'!$K269,"")</f>
        <v/>
      </c>
      <c r="BN231" s="21" t="str">
        <f>IF(AND('Atividades Micro'!$B269=BN$2,'Atividades Micro'!$G269="Macro",'Atividades Micro'!$K269&lt;&gt;""),'Atividades Micro'!$K269,"")</f>
        <v/>
      </c>
      <c r="BO231" s="21" t="str">
        <f>IF(AND('Atividades Micro'!$B269=BO$2,'Atividades Micro'!$G269="Macro",'Atividades Micro'!$K269&lt;&gt;""),'Atividades Micro'!$K269,"")</f>
        <v/>
      </c>
      <c r="BP231" s="21" t="str">
        <f>IF(AND('Atividades Micro'!$B269=BP$2,'Atividades Micro'!$G269="Macro",'Atividades Micro'!$K269&lt;&gt;""),'Atividades Micro'!$K269,"")</f>
        <v/>
      </c>
      <c r="BQ231" s="21" t="str">
        <f>IF(AND('Atividades Micro'!$B269=BQ$2,'Atividades Micro'!$G269="Macro",'Atividades Micro'!$K269&lt;&gt;""),'Atividades Micro'!$K269,"")</f>
        <v/>
      </c>
      <c r="BR231" s="21" t="str">
        <f>IF(AND('Atividades Micro'!$B269=BR$2,'Atividades Micro'!$G269="Macro",'Atividades Micro'!$K269&lt;&gt;""),'Atividades Micro'!$K269,"")</f>
        <v/>
      </c>
      <c r="BS231" s="21" t="str">
        <f>IF(AND('Atividades Micro'!$B269=BS$2,'Atividades Micro'!$G269="Macro",'Atividades Micro'!$K269&lt;&gt;""),'Atividades Micro'!$K269,"")</f>
        <v/>
      </c>
      <c r="BT231" s="21" t="str">
        <f>IF(AND('Atividades Micro'!$B269=BT$2,'Atividades Micro'!$G269="Macro",'Atividades Micro'!$K269&lt;&gt;""),'Atividades Micro'!$K269,"")</f>
        <v/>
      </c>
      <c r="BU231" s="21" t="str">
        <f>IF(AND('Atividades Micro'!$B269=BU$2,'Atividades Micro'!$G269="Macro",'Atividades Micro'!$K269&lt;&gt;""),'Atividades Micro'!$K269,"")</f>
        <v/>
      </c>
      <c r="BV231" s="21">
        <f>IF(AND('Atividades Micro'!$B269=BV$2,'Atividades Micro'!$G269="Macro",'Atividades Micro'!$K269&lt;&gt;""),'Atividades Micro'!$K269,"")</f>
        <v>46266</v>
      </c>
      <c r="BW231" s="21" t="str">
        <f>IF(AND('Atividades Micro'!$B269=BW$2,'Atividades Micro'!$G269="Macro",'Atividades Micro'!$K269&lt;&gt;""),'Atividades Micro'!$K269,"")</f>
        <v/>
      </c>
      <c r="BX231" s="21" t="str">
        <f>IF(AND('Atividades Micro'!$B269=BX$2,'Atividades Micro'!$G269="Macro",'Atividades Micro'!$K269&lt;&gt;""),'Atividades Micro'!$K269,"")</f>
        <v/>
      </c>
      <c r="BY231" s="21" t="str">
        <f>IF(AND('Atividades Micro'!$B269=BY$2,'Atividades Micro'!$G269="Macro",'Atividades Micro'!$K269&lt;&gt;""),'Atividades Micro'!$K269,"")</f>
        <v/>
      </c>
      <c r="BZ231" s="21" t="str">
        <f>IF(AND('Atividades Micro'!$B269=BZ$2,'Atividades Micro'!$G269="Macro",'Atividades Micro'!$K269&lt;&gt;""),'Atividades Micro'!$K269,"")</f>
        <v/>
      </c>
      <c r="CA231" s="21" t="str">
        <f>IF(AND('Atividades Micro'!$B269=CA$2,'Atividades Micro'!$G269="Macro",'Atividades Micro'!$K269&lt;&gt;""),'Atividades Micro'!$K269,"")</f>
        <v/>
      </c>
      <c r="CB231" s="21" t="str">
        <f>IF(AND('Atividades Micro'!$B269=CB$2,'Atividades Micro'!$G269="Macro",'Atividades Micro'!$K269&lt;&gt;""),'Atividades Micro'!$K269,"")</f>
        <v/>
      </c>
      <c r="CC231" s="21" t="str">
        <f>IF(AND('Atividades Micro'!$B269=CC$2,'Atividades Micro'!$G269="Macro",'Atividades Micro'!$K269&lt;&gt;""),'Atividades Micro'!$K269,"")</f>
        <v/>
      </c>
      <c r="CD231" s="21" t="str">
        <f>IF(AND('Atividades Micro'!$B269=CD$2,'Atividades Micro'!$G269="Micro",'Atividades Micro'!$K269&lt;&gt;""),'Atividades Micro'!$K269,"")</f>
        <v/>
      </c>
      <c r="CE231" s="21" t="str">
        <f>IF(AND('Atividades Micro'!$B269=CE$2,'Atividades Micro'!$G269="Micro",'Atividades Micro'!$K269&lt;&gt;""),'Atividades Micro'!$K269,"")</f>
        <v/>
      </c>
      <c r="CF231" s="21" t="str">
        <f>IF(AND('Atividades Micro'!$B269=CF$2,'Atividades Micro'!$G269="Micro",'Atividades Micro'!$K269&lt;&gt;""),'Atividades Micro'!$K269,"")</f>
        <v/>
      </c>
      <c r="CG231" s="21" t="str">
        <f>IF(AND('Atividades Micro'!$B269=CG$2,'Atividades Micro'!$G269="Micro",'Atividades Micro'!$K269&lt;&gt;""),'Atividades Micro'!$K269,"")</f>
        <v/>
      </c>
      <c r="CH231" s="21" t="str">
        <f>IF(AND('Atividades Micro'!$B269=CH$2,'Atividades Micro'!$G269="Micro",'Atividades Micro'!$K269&lt;&gt;""),'Atividades Micro'!$K269,"")</f>
        <v/>
      </c>
      <c r="CI231" s="21" t="str">
        <f>IF(AND('Atividades Micro'!$B269=CI$2,'Atividades Micro'!$G269="Micro",'Atividades Micro'!$K269&lt;&gt;""),'Atividades Micro'!$K269,"")</f>
        <v/>
      </c>
      <c r="CJ231" s="21" t="str">
        <f>IF(AND('Atividades Micro'!$B269=CJ$2,'Atividades Micro'!$G269="Micro",'Atividades Micro'!$K269&lt;&gt;""),'Atividades Micro'!$K269,"")</f>
        <v/>
      </c>
      <c r="CK231" s="21" t="str">
        <f>IF(AND('Atividades Micro'!$B269=CK$2,'Atividades Micro'!$G269="Micro",'Atividades Micro'!$K269&lt;&gt;""),'Atividades Micro'!$K269,"")</f>
        <v/>
      </c>
      <c r="CL231" s="21" t="str">
        <f>IF(AND('Atividades Micro'!$B269=CL$2,'Atividades Micro'!$G269="Micro",'Atividades Micro'!$K269&lt;&gt;""),'Atividades Micro'!$K269,"")</f>
        <v/>
      </c>
      <c r="CM231" s="21" t="str">
        <f>IF(AND('Atividades Micro'!$B269=CM$2,'Atividades Micro'!$G269="Micro",'Atividades Micro'!$K269&lt;&gt;""),'Atividades Micro'!$K269,"")</f>
        <v/>
      </c>
      <c r="CN231" s="21" t="str">
        <f>IF(AND('Atividades Micro'!$B269=CN$2,'Atividades Micro'!$G269="Micro",'Atividades Micro'!$K269&lt;&gt;""),'Atividades Micro'!$K269,"")</f>
        <v/>
      </c>
      <c r="CO231" s="21" t="str">
        <f>IF(AND('Atividades Micro'!$B269=CO$2,'Atividades Micro'!$G269="Micro",'Atividades Micro'!$K269&lt;&gt;""),'Atividades Micro'!$K269,"")</f>
        <v/>
      </c>
    </row>
    <row r="232" spans="1:93">
      <c r="A232" s="21" t="str">
        <f>IF(AND('Atividades Micro'!$A271=A$2,'Atividades Micro'!$K271&lt;&gt;""),'Atividades Micro'!$K271,"")</f>
        <v/>
      </c>
      <c r="B232" s="21" t="str">
        <f>IF(AND('Atividades Micro'!$A271=B$2,'Atividades Micro'!$L271&lt;&gt;""),'Atividades Micro'!$L271,"")</f>
        <v/>
      </c>
      <c r="C232" s="21" t="str">
        <f>IF(AND('Atividades Micro'!$A271=C$2,'Atividades Micro'!$K271&lt;&gt;""),'Atividades Micro'!$K271,"")</f>
        <v/>
      </c>
      <c r="D232" s="21" t="str">
        <f>IF(AND('Atividades Micro'!$A271=D$2,'Atividades Micro'!$L271&lt;&gt;""),'Atividades Micro'!$L271,"")</f>
        <v/>
      </c>
      <c r="E232" s="21" t="str">
        <f>IF(AND('Atividades Micro'!$A271=E$2,'Atividades Micro'!$K271&lt;&gt;""),'Atividades Micro'!$K271,"")</f>
        <v/>
      </c>
      <c r="F232" s="21" t="str">
        <f>IF(AND('Atividades Micro'!$A271=F$2,'Atividades Micro'!$L271&lt;&gt;""),'Atividades Micro'!$L271,"")</f>
        <v/>
      </c>
      <c r="G232" s="21" t="str">
        <f>IF(AND('Atividades Micro'!$A271=G$2,'Atividades Micro'!$K271&lt;&gt;""),'Atividades Micro'!$K271,"")</f>
        <v/>
      </c>
      <c r="H232" s="21" t="str">
        <f>IF(AND('Atividades Micro'!$A271=H$2,'Atividades Micro'!$L271&lt;&gt;""),'Atividades Micro'!$L271,"")</f>
        <v/>
      </c>
      <c r="I232" s="21" t="str">
        <f>IF(AND('Atividades Micro'!$A271=I$2,'Atividades Micro'!$K271&lt;&gt;""),'Atividades Micro'!$K271,"")</f>
        <v/>
      </c>
      <c r="J232" s="21" t="str">
        <f>IF(AND('Atividades Micro'!$A271=J$2,'Atividades Micro'!$L271&lt;&gt;""),'Atividades Micro'!$L271,"")</f>
        <v/>
      </c>
      <c r="K232" s="21" t="str">
        <f>IF(AND('Atividades Micro'!$B271=K$2,'Atividades Micro'!$K271&lt;&gt;""),'Atividades Micro'!$K271,"")</f>
        <v/>
      </c>
      <c r="L232" s="21" t="str">
        <f>IF(AND('Atividades Micro'!$B271=L$2,'Atividades Micro'!$L271&lt;&gt;""),'Atividades Micro'!$L271,"")</f>
        <v/>
      </c>
      <c r="M232" s="21" t="str">
        <f>IF(AND('Atividades Micro'!$B271=M$2,'Atividades Micro'!$K271&lt;&gt;""),'Atividades Micro'!$K271,"")</f>
        <v/>
      </c>
      <c r="N232" s="21" t="str">
        <f>IF(AND('Atividades Micro'!$B271=N$2,'Atividades Micro'!$L271&lt;&gt;""),'Atividades Micro'!$L271,"")</f>
        <v/>
      </c>
      <c r="O232" s="21" t="str">
        <f>IF(AND('Atividades Micro'!$A271=O$2,'Atividades Micro'!$K271&lt;&gt;""),'Atividades Micro'!$K271,"")</f>
        <v/>
      </c>
      <c r="P232" s="21" t="str">
        <f>IF(AND('Atividades Micro'!$A271=P$2,'Atividades Micro'!$L271&lt;&gt;""),'Atividades Micro'!$L271,"")</f>
        <v/>
      </c>
      <c r="Q232" s="21" t="str">
        <f>IF(AND('Atividades Micro'!$B271=Q$2,'Atividades Micro'!$K271&lt;&gt;""),'Atividades Micro'!$K271,"")</f>
        <v/>
      </c>
      <c r="R232" s="21" t="str">
        <f>IF(AND('Atividades Micro'!$B271=R$2,'Atividades Micro'!$L271&lt;&gt;""),'Atividades Micro'!$L271,"")</f>
        <v/>
      </c>
      <c r="S232" s="21" t="str">
        <f>IF(AND('Atividades Micro'!$A271=S$2,'Atividades Micro'!$K271&lt;&gt;""),'Atividades Micro'!$K271,"")</f>
        <v/>
      </c>
      <c r="T232" s="21" t="str">
        <f>IF(AND('Atividades Micro'!$A271=T$2,'Atividades Micro'!$L271&lt;&gt;""),'Atividades Micro'!$L271,"")</f>
        <v/>
      </c>
      <c r="U232" s="21" t="str">
        <f>IF(AND('Atividades Micro'!$B271=U$2,'Atividades Micro'!$K271&lt;&gt;""),'Atividades Micro'!$K271,"")</f>
        <v/>
      </c>
      <c r="V232" s="21" t="str">
        <f>IF(AND('Atividades Micro'!$B271=V$2,'Atividades Micro'!$L271&lt;&gt;""),'Atividades Micro'!$L271,"")</f>
        <v/>
      </c>
      <c r="W232" s="21" t="str">
        <f>IF(AND('Atividades Micro'!$B271=W$2,'Atividades Micro'!$K271&lt;&gt;""),'Atividades Micro'!$K271,"")</f>
        <v/>
      </c>
      <c r="X232" s="21" t="str">
        <f>IF(AND('Atividades Micro'!$B271=X$2,'Atividades Micro'!$L271&lt;&gt;""),'Atividades Micro'!$L271,"")</f>
        <v/>
      </c>
      <c r="Y232" s="21" t="str">
        <f>IF(AND('Atividades Micro'!$A271=Y$2,'Atividades Micro'!$K271&lt;&gt;""),'Atividades Micro'!$K271,"")</f>
        <v/>
      </c>
      <c r="Z232" s="21" t="str">
        <f>IF(AND('Atividades Micro'!$A271=Z$2,'Atividades Micro'!$L271&lt;&gt;""),'Atividades Micro'!$L271,"")</f>
        <v/>
      </c>
      <c r="AA232" s="21" t="str">
        <f>IF(AND('Atividades Micro'!$B271=AA$2,'Atividades Micro'!$K271&lt;&gt;""),'Atividades Micro'!$K271,"")</f>
        <v/>
      </c>
      <c r="AB232" s="21" t="str">
        <f>IF(AND('Atividades Micro'!$B271=AB$2,'Atividades Micro'!$L271&lt;&gt;""),'Atividades Micro'!$L271,"")</f>
        <v/>
      </c>
      <c r="AC232" s="21" t="str">
        <f>IF(AND('Atividades Micro'!$B271=AC$2,'Atividades Micro'!$K271&lt;&gt;""),'Atividades Micro'!$K271,"")</f>
        <v/>
      </c>
      <c r="AD232" s="21" t="str">
        <f>IF(AND('Atividades Micro'!$B271=AD$2,'Atividades Micro'!$L271&lt;&gt;""),'Atividades Micro'!$L271,"")</f>
        <v/>
      </c>
      <c r="AE232" s="21" t="str">
        <f>IF(AND('Atividades Micro'!$A271=AE$2,'Atividades Micro'!$K271&lt;&gt;""),'Atividades Micro'!$K271,"")</f>
        <v/>
      </c>
      <c r="AF232" s="21" t="str">
        <f>IF(AND('Atividades Micro'!$A271=AF$2,'Atividades Micro'!$L271&lt;&gt;""),'Atividades Micro'!$L271,"")</f>
        <v/>
      </c>
      <c r="AG232" s="21" t="str">
        <f>IF(AND('Atividades Micro'!$B271=AG$2,'Atividades Micro'!$K271&lt;&gt;""),'Atividades Micro'!$K271,"")</f>
        <v/>
      </c>
      <c r="AH232" s="21" t="str">
        <f>IF(AND('Atividades Micro'!$B271=AH$2,'Atividades Micro'!$L271&lt;&gt;""),'Atividades Micro'!$L271,"")</f>
        <v/>
      </c>
      <c r="AI232" s="21" t="str">
        <f>IF(AND('Atividades Micro'!$B271=AI$2,'Atividades Micro'!$K271&lt;&gt;""),'Atividades Micro'!$K271,"")</f>
        <v/>
      </c>
      <c r="AJ232" s="21" t="str">
        <f>IF(AND('Atividades Micro'!$B271=AJ$2,'Atividades Micro'!$L271&lt;&gt;""),'Atividades Micro'!$L271,"")</f>
        <v/>
      </c>
      <c r="AK232" s="21">
        <f>IF(AND('Atividades Micro'!$A271=AK$2,'Atividades Micro'!$K271&lt;&gt;""),'Atividades Micro'!$K271,"")</f>
        <v>46230</v>
      </c>
      <c r="AL232" s="21" t="str">
        <f>IF(AND('Atividades Micro'!$A271=AL$2,'Atividades Micro'!$L271&lt;&gt;""),'Atividades Micro'!$L271,"")</f>
        <v/>
      </c>
      <c r="AM232" s="21">
        <f>IF(AND('Atividades Micro'!$B271=AM$2,'Atividades Micro'!$K271&lt;&gt;""),'Atividades Micro'!$K271,"")</f>
        <v>46230</v>
      </c>
      <c r="AN232" s="21" t="str">
        <f>IF(AND('Atividades Micro'!$B271=AN$2,'Atividades Micro'!$L271&lt;&gt;""),'Atividades Micro'!$L271,"")</f>
        <v/>
      </c>
      <c r="AO232" s="21" t="str">
        <f>IF(AND('Atividades Micro'!$B271=AO$2,'Atividades Micro'!$K271&lt;&gt;""),'Atividades Micro'!$K271,"")</f>
        <v/>
      </c>
      <c r="AP232" s="21" t="str">
        <f>IF(AND('Atividades Micro'!$B271=AP$2,'Atividades Micro'!$L271&lt;&gt;""),'Atividades Micro'!$L271,"")</f>
        <v/>
      </c>
      <c r="AQ232" s="21" t="str">
        <f>IF(AND('Atividades Micro'!$A271=AQ$2,'Atividades Micro'!$K271&lt;&gt;""),'Atividades Micro'!$K271,"")</f>
        <v/>
      </c>
      <c r="AR232" s="21" t="str">
        <f>IF(AND('Atividades Micro'!$A271=AR$2,'Atividades Micro'!$L271&lt;&gt;""),'Atividades Micro'!$L271,"")</f>
        <v/>
      </c>
      <c r="AS232" s="21" t="str">
        <f>IF(AND('Atividades Micro'!$B271=AS$2,'Atividades Micro'!$K271&lt;&gt;""),'Atividades Micro'!$K271,"")</f>
        <v/>
      </c>
      <c r="AT232" s="21" t="str">
        <f>IF(AND('Atividades Micro'!$B271=AT$2,'Atividades Micro'!$L271&lt;&gt;""),'Atividades Micro'!$L271,"")</f>
        <v/>
      </c>
      <c r="AU232" s="21" t="str">
        <f>IF(AND('Atividades Micro'!$A271=AU$2,'Atividades Micro'!$K271&lt;&gt;""),'Atividades Micro'!$K271,"")</f>
        <v/>
      </c>
      <c r="AV232" s="21" t="str">
        <f>IF(AND('Atividades Micro'!$A271=AV$2,'Atividades Micro'!$L271&lt;&gt;""),'Atividades Micro'!$L271,"")</f>
        <v/>
      </c>
      <c r="AW232" s="21" t="str">
        <f>IF(AND('Atividades Micro'!$B271=AW$2,'Atividades Micro'!$K271&lt;&gt;""),'Atividades Micro'!$K271,"")</f>
        <v/>
      </c>
      <c r="AX232" s="21" t="str">
        <f>IF(AND('Atividades Micro'!$B271=AX$2,'Atividades Micro'!$L271&lt;&gt;""),'Atividades Micro'!$L271,"")</f>
        <v/>
      </c>
      <c r="AY232" s="21" t="str">
        <f>IF(AND('Atividades Micro'!$A271=AY$2,'Atividades Micro'!$K271&lt;&gt;""),'Atividades Micro'!$K271,"")</f>
        <v/>
      </c>
      <c r="AZ232" s="21" t="str">
        <f>IF(AND('Atividades Micro'!$A271=AZ$2,'Atividades Micro'!$L271&lt;&gt;""),'Atividades Micro'!$L271,"")</f>
        <v/>
      </c>
      <c r="BA232" s="21" t="str">
        <f>IF(AND('Atividades Micro'!$B271=BA$2,'Atividades Micro'!$K271&lt;&gt;""),'Atividades Micro'!$K271,"")</f>
        <v/>
      </c>
      <c r="BB232" s="21" t="str">
        <f>IF(AND('Atividades Micro'!$B271=BB$2,'Atividades Micro'!$L271&lt;&gt;""),'Atividades Micro'!$L271,"")</f>
        <v/>
      </c>
      <c r="BC232" s="21" t="str">
        <f>IF(AND('Atividades Micro'!$B271=BC$2,'Atividades Micro'!$G271="Macro",'Atividades Micro'!$K271&lt;&gt;""),'Atividades Micro'!$K271,"")</f>
        <v/>
      </c>
      <c r="BD232" s="21" t="str">
        <f>IF(AND('Atividades Micro'!$B271=BD$2,'Atividades Micro'!$G271="Macro",'Atividades Micro'!$K271&lt;&gt;""),'Atividades Micro'!$K271,"")</f>
        <v/>
      </c>
      <c r="BE232" s="21" t="str">
        <f>IF(AND('Atividades Micro'!$B271=BE$2,'Atividades Micro'!$G271="Macro",'Atividades Micro'!$K271&lt;&gt;""),'Atividades Micro'!$K271,"")</f>
        <v/>
      </c>
      <c r="BF232" s="21" t="str">
        <f>IF(AND('Atividades Micro'!$B271=BF$2,'Atividades Micro'!$G271="Macro",'Atividades Micro'!$K271&lt;&gt;""),'Atividades Micro'!$K271,"")</f>
        <v/>
      </c>
      <c r="BG232" s="21" t="str">
        <f>IF(AND('Atividades Micro'!$B271=BG$2,'Atividades Micro'!$G271="Macro",'Atividades Micro'!$K271&lt;&gt;""),'Atividades Micro'!$K271,"")</f>
        <v/>
      </c>
      <c r="BH232" s="21" t="str">
        <f>IF(AND('Atividades Micro'!$B271=BH$2,'Atividades Micro'!$G271="Macro",'Atividades Micro'!$K271&lt;&gt;""),'Atividades Micro'!$K271,"")</f>
        <v/>
      </c>
      <c r="BI232" s="21" t="str">
        <f>IF(AND('Atividades Micro'!$B271=BI$2,'Atividades Micro'!$G271="Macro",'Atividades Micro'!$K271&lt;&gt;""),'Atividades Micro'!$K271,"")</f>
        <v/>
      </c>
      <c r="BJ232" s="21" t="str">
        <f>IF(AND('Atividades Micro'!$B271=BJ$2,'Atividades Micro'!$G271="Macro",'Atividades Micro'!$K271&lt;&gt;""),'Atividades Micro'!$K271,"")</f>
        <v/>
      </c>
      <c r="BK232" s="21" t="str">
        <f>IF(AND('Atividades Micro'!$B271=BK$2,'Atividades Micro'!$G271="Macro",'Atividades Micro'!$K271&lt;&gt;""),'Atividades Micro'!$K271,"")</f>
        <v/>
      </c>
      <c r="BL232" s="21" t="str">
        <f>IF(AND('Atividades Micro'!$B271=BL$2,'Atividades Micro'!$G271="Macro",'Atividades Micro'!$K271&lt;&gt;""),'Atividades Micro'!$K271,"")</f>
        <v/>
      </c>
      <c r="BM232" s="21" t="str">
        <f>IF(AND('Atividades Micro'!$B271=BM$2,'Atividades Micro'!$G271="Macro",'Atividades Micro'!$K271&lt;&gt;""),'Atividades Micro'!$K271,"")</f>
        <v/>
      </c>
      <c r="BN232" s="21" t="str">
        <f>IF(AND('Atividades Micro'!$B271=BN$2,'Atividades Micro'!$G271="Macro",'Atividades Micro'!$K271&lt;&gt;""),'Atividades Micro'!$K271,"")</f>
        <v/>
      </c>
      <c r="BO232" s="21" t="str">
        <f>IF(AND('Atividades Micro'!$B271=BO$2,'Atividades Micro'!$G271="Macro",'Atividades Micro'!$K271&lt;&gt;""),'Atividades Micro'!$K271,"")</f>
        <v/>
      </c>
      <c r="BP232" s="21" t="str">
        <f>IF(AND('Atividades Micro'!$B271=BP$2,'Atividades Micro'!$G271="Macro",'Atividades Micro'!$K271&lt;&gt;""),'Atividades Micro'!$K271,"")</f>
        <v/>
      </c>
      <c r="BQ232" s="21" t="str">
        <f>IF(AND('Atividades Micro'!$B271=BQ$2,'Atividades Micro'!$G271="Macro",'Atividades Micro'!$K271&lt;&gt;""),'Atividades Micro'!$K271,"")</f>
        <v/>
      </c>
      <c r="BR232" s="21" t="str">
        <f>IF(AND('Atividades Micro'!$B271=BR$2,'Atividades Micro'!$G271="Macro",'Atividades Micro'!$K271&lt;&gt;""),'Atividades Micro'!$K271,"")</f>
        <v/>
      </c>
      <c r="BS232" s="21" t="str">
        <f>IF(AND('Atividades Micro'!$B271=BS$2,'Atividades Micro'!$G271="Macro",'Atividades Micro'!$K271&lt;&gt;""),'Atividades Micro'!$K271,"")</f>
        <v/>
      </c>
      <c r="BT232" s="21" t="str">
        <f>IF(AND('Atividades Micro'!$B271=BT$2,'Atividades Micro'!$G271="Macro",'Atividades Micro'!$K271&lt;&gt;""),'Atividades Micro'!$K271,"")</f>
        <v/>
      </c>
      <c r="BU232" s="21" t="str">
        <f>IF(AND('Atividades Micro'!$B271=BU$2,'Atividades Micro'!$G271="Macro",'Atividades Micro'!$K271&lt;&gt;""),'Atividades Micro'!$K271,"")</f>
        <v/>
      </c>
      <c r="BV232" s="21" t="str">
        <f>IF(AND('Atividades Micro'!$B271=BV$2,'Atividades Micro'!$G271="Macro",'Atividades Micro'!$K271&lt;&gt;""),'Atividades Micro'!$K271,"")</f>
        <v/>
      </c>
      <c r="BW232" s="21" t="str">
        <f>IF(AND('Atividades Micro'!$B271=BW$2,'Atividades Micro'!$G271="Macro",'Atividades Micro'!$K271&lt;&gt;""),'Atividades Micro'!$K271,"")</f>
        <v/>
      </c>
      <c r="BX232" s="21" t="str">
        <f>IF(AND('Atividades Micro'!$B271=BX$2,'Atividades Micro'!$G271="Macro",'Atividades Micro'!$K271&lt;&gt;""),'Atividades Micro'!$K271,"")</f>
        <v/>
      </c>
      <c r="BY232" s="21" t="str">
        <f>IF(AND('Atividades Micro'!$B271=BY$2,'Atividades Micro'!$G271="Macro",'Atividades Micro'!$K271&lt;&gt;""),'Atividades Micro'!$K271,"")</f>
        <v/>
      </c>
      <c r="BZ232" s="21" t="str">
        <f>IF(AND('Atividades Micro'!$B271=BZ$2,'Atividades Micro'!$G271="Macro",'Atividades Micro'!$K271&lt;&gt;""),'Atividades Micro'!$K271,"")</f>
        <v/>
      </c>
      <c r="CA232" s="21" t="str">
        <f>IF(AND('Atividades Micro'!$B271=CA$2,'Atividades Micro'!$G271="Macro",'Atividades Micro'!$K271&lt;&gt;""),'Atividades Micro'!$K271,"")</f>
        <v/>
      </c>
      <c r="CB232" s="21" t="str">
        <f>IF(AND('Atividades Micro'!$B271=CB$2,'Atividades Micro'!$G271="Macro",'Atividades Micro'!$K271&lt;&gt;""),'Atividades Micro'!$K271,"")</f>
        <v/>
      </c>
      <c r="CC232" s="21" t="str">
        <f>IF(AND('Atividades Micro'!$B271=CC$2,'Atividades Micro'!$G271="Macro",'Atividades Micro'!$K271&lt;&gt;""),'Atividades Micro'!$K271,"")</f>
        <v/>
      </c>
      <c r="CD232" s="21" t="str">
        <f>IF(AND('Atividades Micro'!$B271=CD$2,'Atividades Micro'!$G271="Micro",'Atividades Micro'!$K271&lt;&gt;""),'Atividades Micro'!$K271,"")</f>
        <v/>
      </c>
      <c r="CE232" s="21" t="str">
        <f>IF(AND('Atividades Micro'!$B271=CE$2,'Atividades Micro'!$G271="Micro",'Atividades Micro'!$K271&lt;&gt;""),'Atividades Micro'!$K271,"")</f>
        <v/>
      </c>
      <c r="CF232" s="21" t="str">
        <f>IF(AND('Atividades Micro'!$B271=CF$2,'Atividades Micro'!$G271="Micro",'Atividades Micro'!$K271&lt;&gt;""),'Atividades Micro'!$K271,"")</f>
        <v/>
      </c>
      <c r="CG232" s="21" t="str">
        <f>IF(AND('Atividades Micro'!$B271=CG$2,'Atividades Micro'!$G271="Micro",'Atividades Micro'!$K271&lt;&gt;""),'Atividades Micro'!$K271,"")</f>
        <v/>
      </c>
      <c r="CH232" s="21" t="str">
        <f>IF(AND('Atividades Micro'!$B271=CH$2,'Atividades Micro'!$G271="Micro",'Atividades Micro'!$K271&lt;&gt;""),'Atividades Micro'!$K271,"")</f>
        <v/>
      </c>
      <c r="CI232" s="21" t="str">
        <f>IF(AND('Atividades Micro'!$B271=CI$2,'Atividades Micro'!$G271="Micro",'Atividades Micro'!$K271&lt;&gt;""),'Atividades Micro'!$K271,"")</f>
        <v/>
      </c>
      <c r="CJ232" s="21" t="str">
        <f>IF(AND('Atividades Micro'!$B271=CJ$2,'Atividades Micro'!$G271="Micro",'Atividades Micro'!$K271&lt;&gt;""),'Atividades Micro'!$K271,"")</f>
        <v/>
      </c>
      <c r="CK232" s="21" t="str">
        <f>IF(AND('Atividades Micro'!$B271=CK$2,'Atividades Micro'!$G271="Micro",'Atividades Micro'!$K271&lt;&gt;""),'Atividades Micro'!$K271,"")</f>
        <v/>
      </c>
      <c r="CL232" s="21" t="str">
        <f>IF(AND('Atividades Micro'!$B271=CL$2,'Atividades Micro'!$G271="Micro",'Atividades Micro'!$K271&lt;&gt;""),'Atividades Micro'!$K271,"")</f>
        <v/>
      </c>
      <c r="CM232" s="21">
        <f>IF(AND('Atividades Micro'!$B271=CM$2,'Atividades Micro'!$G271="Micro",'Atividades Micro'!$K271&lt;&gt;""),'Atividades Micro'!$K271,"")</f>
        <v>46230</v>
      </c>
      <c r="CN232" s="21" t="str">
        <f>IF(AND('Atividades Micro'!$B271=CN$2,'Atividades Micro'!$G271="Micro",'Atividades Micro'!$K271&lt;&gt;""),'Atividades Micro'!$K271,"")</f>
        <v/>
      </c>
      <c r="CO232" s="21" t="str">
        <f>IF(AND('Atividades Micro'!$B271=CO$2,'Atividades Micro'!$G271="Micro",'Atividades Micro'!$K271&lt;&gt;""),'Atividades Micro'!$K271,"")</f>
        <v/>
      </c>
    </row>
    <row r="233" spans="1:93">
      <c r="A233" s="21" t="str">
        <f>IF(AND('Atividades Micro'!$A272=A$2,'Atividades Micro'!$K272&lt;&gt;""),'Atividades Micro'!$K272,"")</f>
        <v/>
      </c>
      <c r="B233" s="21" t="str">
        <f>IF(AND('Atividades Micro'!$A272=B$2,'Atividades Micro'!$L272&lt;&gt;""),'Atividades Micro'!$L272,"")</f>
        <v/>
      </c>
      <c r="C233" s="21" t="str">
        <f>IF(AND('Atividades Micro'!$A272=C$2,'Atividades Micro'!$K272&lt;&gt;""),'Atividades Micro'!$K272,"")</f>
        <v/>
      </c>
      <c r="D233" s="21" t="str">
        <f>IF(AND('Atividades Micro'!$A272=D$2,'Atividades Micro'!$L272&lt;&gt;""),'Atividades Micro'!$L272,"")</f>
        <v/>
      </c>
      <c r="E233" s="21" t="str">
        <f>IF(AND('Atividades Micro'!$A272=E$2,'Atividades Micro'!$K272&lt;&gt;""),'Atividades Micro'!$K272,"")</f>
        <v/>
      </c>
      <c r="F233" s="21" t="str">
        <f>IF(AND('Atividades Micro'!$A272=F$2,'Atividades Micro'!$L272&lt;&gt;""),'Atividades Micro'!$L272,"")</f>
        <v/>
      </c>
      <c r="G233" s="21" t="str">
        <f>IF(AND('Atividades Micro'!$A272=G$2,'Atividades Micro'!$K272&lt;&gt;""),'Atividades Micro'!$K272,"")</f>
        <v/>
      </c>
      <c r="H233" s="21" t="str">
        <f>IF(AND('Atividades Micro'!$A272=H$2,'Atividades Micro'!$L272&lt;&gt;""),'Atividades Micro'!$L272,"")</f>
        <v/>
      </c>
      <c r="I233" s="21" t="str">
        <f>IF(AND('Atividades Micro'!$A272=I$2,'Atividades Micro'!$K272&lt;&gt;""),'Atividades Micro'!$K272,"")</f>
        <v/>
      </c>
      <c r="J233" s="21" t="str">
        <f>IF(AND('Atividades Micro'!$A272=J$2,'Atividades Micro'!$L272&lt;&gt;""),'Atividades Micro'!$L272,"")</f>
        <v/>
      </c>
      <c r="K233" s="21" t="str">
        <f>IF(AND('Atividades Micro'!$B272=K$2,'Atividades Micro'!$K272&lt;&gt;""),'Atividades Micro'!$K272,"")</f>
        <v/>
      </c>
      <c r="L233" s="21" t="str">
        <f>IF(AND('Atividades Micro'!$B272=L$2,'Atividades Micro'!$L272&lt;&gt;""),'Atividades Micro'!$L272,"")</f>
        <v/>
      </c>
      <c r="M233" s="21" t="str">
        <f>IF(AND('Atividades Micro'!$B272=M$2,'Atividades Micro'!$K272&lt;&gt;""),'Atividades Micro'!$K272,"")</f>
        <v/>
      </c>
      <c r="N233" s="21" t="str">
        <f>IF(AND('Atividades Micro'!$B272=N$2,'Atividades Micro'!$L272&lt;&gt;""),'Atividades Micro'!$L272,"")</f>
        <v/>
      </c>
      <c r="O233" s="21" t="str">
        <f>IF(AND('Atividades Micro'!$A272=O$2,'Atividades Micro'!$K272&lt;&gt;""),'Atividades Micro'!$K272,"")</f>
        <v/>
      </c>
      <c r="P233" s="21" t="str">
        <f>IF(AND('Atividades Micro'!$A272=P$2,'Atividades Micro'!$L272&lt;&gt;""),'Atividades Micro'!$L272,"")</f>
        <v/>
      </c>
      <c r="Q233" s="21" t="str">
        <f>IF(AND('Atividades Micro'!$B272=Q$2,'Atividades Micro'!$K272&lt;&gt;""),'Atividades Micro'!$K272,"")</f>
        <v/>
      </c>
      <c r="R233" s="21" t="str">
        <f>IF(AND('Atividades Micro'!$B272=R$2,'Atividades Micro'!$L272&lt;&gt;""),'Atividades Micro'!$L272,"")</f>
        <v/>
      </c>
      <c r="S233" s="21" t="str">
        <f>IF(AND('Atividades Micro'!$A272=S$2,'Atividades Micro'!$K272&lt;&gt;""),'Atividades Micro'!$K272,"")</f>
        <v/>
      </c>
      <c r="T233" s="21" t="str">
        <f>IF(AND('Atividades Micro'!$A272=T$2,'Atividades Micro'!$L272&lt;&gt;""),'Atividades Micro'!$L272,"")</f>
        <v/>
      </c>
      <c r="U233" s="21" t="str">
        <f>IF(AND('Atividades Micro'!$B272=U$2,'Atividades Micro'!$K272&lt;&gt;""),'Atividades Micro'!$K272,"")</f>
        <v/>
      </c>
      <c r="V233" s="21" t="str">
        <f>IF(AND('Atividades Micro'!$B272=V$2,'Atividades Micro'!$L272&lt;&gt;""),'Atividades Micro'!$L272,"")</f>
        <v/>
      </c>
      <c r="W233" s="21" t="str">
        <f>IF(AND('Atividades Micro'!$B272=W$2,'Atividades Micro'!$K272&lt;&gt;""),'Atividades Micro'!$K272,"")</f>
        <v/>
      </c>
      <c r="X233" s="21" t="str">
        <f>IF(AND('Atividades Micro'!$B272=X$2,'Atividades Micro'!$L272&lt;&gt;""),'Atividades Micro'!$L272,"")</f>
        <v/>
      </c>
      <c r="Y233" s="21" t="str">
        <f>IF(AND('Atividades Micro'!$A272=Y$2,'Atividades Micro'!$K272&lt;&gt;""),'Atividades Micro'!$K272,"")</f>
        <v/>
      </c>
      <c r="Z233" s="21" t="str">
        <f>IF(AND('Atividades Micro'!$A272=Z$2,'Atividades Micro'!$L272&lt;&gt;""),'Atividades Micro'!$L272,"")</f>
        <v/>
      </c>
      <c r="AA233" s="21" t="str">
        <f>IF(AND('Atividades Micro'!$B272=AA$2,'Atividades Micro'!$K272&lt;&gt;""),'Atividades Micro'!$K272,"")</f>
        <v/>
      </c>
      <c r="AB233" s="21" t="str">
        <f>IF(AND('Atividades Micro'!$B272=AB$2,'Atividades Micro'!$L272&lt;&gt;""),'Atividades Micro'!$L272,"")</f>
        <v/>
      </c>
      <c r="AC233" s="21" t="str">
        <f>IF(AND('Atividades Micro'!$B272=AC$2,'Atividades Micro'!$K272&lt;&gt;""),'Atividades Micro'!$K272,"")</f>
        <v/>
      </c>
      <c r="AD233" s="21" t="str">
        <f>IF(AND('Atividades Micro'!$B272=AD$2,'Atividades Micro'!$L272&lt;&gt;""),'Atividades Micro'!$L272,"")</f>
        <v/>
      </c>
      <c r="AE233" s="21" t="str">
        <f>IF(AND('Atividades Micro'!$A272=AE$2,'Atividades Micro'!$K272&lt;&gt;""),'Atividades Micro'!$K272,"")</f>
        <v/>
      </c>
      <c r="AF233" s="21" t="str">
        <f>IF(AND('Atividades Micro'!$A272=AF$2,'Atividades Micro'!$L272&lt;&gt;""),'Atividades Micro'!$L272,"")</f>
        <v/>
      </c>
      <c r="AG233" s="21" t="str">
        <f>IF(AND('Atividades Micro'!$B272=AG$2,'Atividades Micro'!$K272&lt;&gt;""),'Atividades Micro'!$K272,"")</f>
        <v/>
      </c>
      <c r="AH233" s="21" t="str">
        <f>IF(AND('Atividades Micro'!$B272=AH$2,'Atividades Micro'!$L272&lt;&gt;""),'Atividades Micro'!$L272,"")</f>
        <v/>
      </c>
      <c r="AI233" s="21" t="str">
        <f>IF(AND('Atividades Micro'!$B272=AI$2,'Atividades Micro'!$K272&lt;&gt;""),'Atividades Micro'!$K272,"")</f>
        <v/>
      </c>
      <c r="AJ233" s="21" t="str">
        <f>IF(AND('Atividades Micro'!$B272=AJ$2,'Atividades Micro'!$L272&lt;&gt;""),'Atividades Micro'!$L272,"")</f>
        <v/>
      </c>
      <c r="AK233" s="21">
        <f>IF(AND('Atividades Micro'!$A272=AK$2,'Atividades Micro'!$K272&lt;&gt;""),'Atividades Micro'!$K272,"")</f>
        <v>46266</v>
      </c>
      <c r="AL233" s="21" t="str">
        <f>IF(AND('Atividades Micro'!$A272=AL$2,'Atividades Micro'!$L272&lt;&gt;""),'Atividades Micro'!$L272,"")</f>
        <v/>
      </c>
      <c r="AM233" s="21">
        <f>IF(AND('Atividades Micro'!$B272=AM$2,'Atividades Micro'!$K272&lt;&gt;""),'Atividades Micro'!$K272,"")</f>
        <v>46266</v>
      </c>
      <c r="AN233" s="21" t="str">
        <f>IF(AND('Atividades Micro'!$B272=AN$2,'Atividades Micro'!$L272&lt;&gt;""),'Atividades Micro'!$L272,"")</f>
        <v/>
      </c>
      <c r="AO233" s="21" t="str">
        <f>IF(AND('Atividades Micro'!$B272=AO$2,'Atividades Micro'!$K272&lt;&gt;""),'Atividades Micro'!$K272,"")</f>
        <v/>
      </c>
      <c r="AP233" s="21" t="str">
        <f>IF(AND('Atividades Micro'!$B272=AP$2,'Atividades Micro'!$L272&lt;&gt;""),'Atividades Micro'!$L272,"")</f>
        <v/>
      </c>
      <c r="AQ233" s="21" t="str">
        <f>IF(AND('Atividades Micro'!$A272=AQ$2,'Atividades Micro'!$K272&lt;&gt;""),'Atividades Micro'!$K272,"")</f>
        <v/>
      </c>
      <c r="AR233" s="21" t="str">
        <f>IF(AND('Atividades Micro'!$A272=AR$2,'Atividades Micro'!$L272&lt;&gt;""),'Atividades Micro'!$L272,"")</f>
        <v/>
      </c>
      <c r="AS233" s="21" t="str">
        <f>IF(AND('Atividades Micro'!$B272=AS$2,'Atividades Micro'!$K272&lt;&gt;""),'Atividades Micro'!$K272,"")</f>
        <v/>
      </c>
      <c r="AT233" s="21" t="str">
        <f>IF(AND('Atividades Micro'!$B272=AT$2,'Atividades Micro'!$L272&lt;&gt;""),'Atividades Micro'!$L272,"")</f>
        <v/>
      </c>
      <c r="AU233" s="21" t="str">
        <f>IF(AND('Atividades Micro'!$A272=AU$2,'Atividades Micro'!$K272&lt;&gt;""),'Atividades Micro'!$K272,"")</f>
        <v/>
      </c>
      <c r="AV233" s="21" t="str">
        <f>IF(AND('Atividades Micro'!$A272=AV$2,'Atividades Micro'!$L272&lt;&gt;""),'Atividades Micro'!$L272,"")</f>
        <v/>
      </c>
      <c r="AW233" s="21" t="str">
        <f>IF(AND('Atividades Micro'!$B272=AW$2,'Atividades Micro'!$K272&lt;&gt;""),'Atividades Micro'!$K272,"")</f>
        <v/>
      </c>
      <c r="AX233" s="21" t="str">
        <f>IF(AND('Atividades Micro'!$B272=AX$2,'Atividades Micro'!$L272&lt;&gt;""),'Atividades Micro'!$L272,"")</f>
        <v/>
      </c>
      <c r="AY233" s="21" t="str">
        <f>IF(AND('Atividades Micro'!$A272=AY$2,'Atividades Micro'!$K272&lt;&gt;""),'Atividades Micro'!$K272,"")</f>
        <v/>
      </c>
      <c r="AZ233" s="21" t="str">
        <f>IF(AND('Atividades Micro'!$A272=AZ$2,'Atividades Micro'!$L272&lt;&gt;""),'Atividades Micro'!$L272,"")</f>
        <v/>
      </c>
      <c r="BA233" s="21" t="str">
        <f>IF(AND('Atividades Micro'!$B272=BA$2,'Atividades Micro'!$K272&lt;&gt;""),'Atividades Micro'!$K272,"")</f>
        <v/>
      </c>
      <c r="BB233" s="21" t="str">
        <f>IF(AND('Atividades Micro'!$B272=BB$2,'Atividades Micro'!$L272&lt;&gt;""),'Atividades Micro'!$L272,"")</f>
        <v/>
      </c>
      <c r="BC233" s="21" t="str">
        <f>IF(AND('Atividades Micro'!$B272=BC$2,'Atividades Micro'!$G272="Macro",'Atividades Micro'!$K272&lt;&gt;""),'Atividades Micro'!$K272,"")</f>
        <v/>
      </c>
      <c r="BD233" s="21" t="str">
        <f>IF(AND('Atividades Micro'!$B272=BD$2,'Atividades Micro'!$G272="Macro",'Atividades Micro'!$K272&lt;&gt;""),'Atividades Micro'!$K272,"")</f>
        <v/>
      </c>
      <c r="BE233" s="21" t="str">
        <f>IF(AND('Atividades Micro'!$B272=BE$2,'Atividades Micro'!$G272="Macro",'Atividades Micro'!$K272&lt;&gt;""),'Atividades Micro'!$K272,"")</f>
        <v/>
      </c>
      <c r="BF233" s="21" t="str">
        <f>IF(AND('Atividades Micro'!$B272=BF$2,'Atividades Micro'!$G272="Macro",'Atividades Micro'!$K272&lt;&gt;""),'Atividades Micro'!$K272,"")</f>
        <v/>
      </c>
      <c r="BG233" s="21" t="str">
        <f>IF(AND('Atividades Micro'!$B272=BG$2,'Atividades Micro'!$G272="Macro",'Atividades Micro'!$K272&lt;&gt;""),'Atividades Micro'!$K272,"")</f>
        <v/>
      </c>
      <c r="BH233" s="21" t="str">
        <f>IF(AND('Atividades Micro'!$B272=BH$2,'Atividades Micro'!$G272="Macro",'Atividades Micro'!$K272&lt;&gt;""),'Atividades Micro'!$K272,"")</f>
        <v/>
      </c>
      <c r="BI233" s="21" t="str">
        <f>IF(AND('Atividades Micro'!$B272=BI$2,'Atividades Micro'!$G272="Macro",'Atividades Micro'!$K272&lt;&gt;""),'Atividades Micro'!$K272,"")</f>
        <v/>
      </c>
      <c r="BJ233" s="21" t="str">
        <f>IF(AND('Atividades Micro'!$B272=BJ$2,'Atividades Micro'!$G272="Macro",'Atividades Micro'!$K272&lt;&gt;""),'Atividades Micro'!$K272,"")</f>
        <v/>
      </c>
      <c r="BK233" s="21" t="str">
        <f>IF(AND('Atividades Micro'!$B272=BK$2,'Atividades Micro'!$G272="Macro",'Atividades Micro'!$K272&lt;&gt;""),'Atividades Micro'!$K272,"")</f>
        <v/>
      </c>
      <c r="BL233" s="21" t="str">
        <f>IF(AND('Atividades Micro'!$B272=BL$2,'Atividades Micro'!$G272="Macro",'Atividades Micro'!$K272&lt;&gt;""),'Atividades Micro'!$K272,"")</f>
        <v/>
      </c>
      <c r="BM233" s="21" t="str">
        <f>IF(AND('Atividades Micro'!$B272=BM$2,'Atividades Micro'!$G272="Macro",'Atividades Micro'!$K272&lt;&gt;""),'Atividades Micro'!$K272,"")</f>
        <v/>
      </c>
      <c r="BN233" s="21" t="str">
        <f>IF(AND('Atividades Micro'!$B272=BN$2,'Atividades Micro'!$G272="Macro",'Atividades Micro'!$K272&lt;&gt;""),'Atividades Micro'!$K272,"")</f>
        <v/>
      </c>
      <c r="BO233" s="21" t="str">
        <f>IF(AND('Atividades Micro'!$B272=BO$2,'Atividades Micro'!$G272="Macro",'Atividades Micro'!$K272&lt;&gt;""),'Atividades Micro'!$K272,"")</f>
        <v/>
      </c>
      <c r="BP233" s="21" t="str">
        <f>IF(AND('Atividades Micro'!$B272=BP$2,'Atividades Micro'!$G272="Macro",'Atividades Micro'!$K272&lt;&gt;""),'Atividades Micro'!$K272,"")</f>
        <v/>
      </c>
      <c r="BQ233" s="21" t="str">
        <f>IF(AND('Atividades Micro'!$B272=BQ$2,'Atividades Micro'!$G272="Macro",'Atividades Micro'!$K272&lt;&gt;""),'Atividades Micro'!$K272,"")</f>
        <v/>
      </c>
      <c r="BR233" s="21" t="str">
        <f>IF(AND('Atividades Micro'!$B272=BR$2,'Atividades Micro'!$G272="Macro",'Atividades Micro'!$K272&lt;&gt;""),'Atividades Micro'!$K272,"")</f>
        <v/>
      </c>
      <c r="BS233" s="21" t="str">
        <f>IF(AND('Atividades Micro'!$B272=BS$2,'Atividades Micro'!$G272="Macro",'Atividades Micro'!$K272&lt;&gt;""),'Atividades Micro'!$K272,"")</f>
        <v/>
      </c>
      <c r="BT233" s="21" t="str">
        <f>IF(AND('Atividades Micro'!$B272=BT$2,'Atividades Micro'!$G272="Macro",'Atividades Micro'!$K272&lt;&gt;""),'Atividades Micro'!$K272,"")</f>
        <v/>
      </c>
      <c r="BU233" s="21" t="str">
        <f>IF(AND('Atividades Micro'!$B272=BU$2,'Atividades Micro'!$G272="Macro",'Atividades Micro'!$K272&lt;&gt;""),'Atividades Micro'!$K272,"")</f>
        <v/>
      </c>
      <c r="BV233" s="21" t="str">
        <f>IF(AND('Atividades Micro'!$B272=BV$2,'Atividades Micro'!$G272="Macro",'Atividades Micro'!$K272&lt;&gt;""),'Atividades Micro'!$K272,"")</f>
        <v/>
      </c>
      <c r="BW233" s="21" t="str">
        <f>IF(AND('Atividades Micro'!$B272=BW$2,'Atividades Micro'!$G272="Macro",'Atividades Micro'!$K272&lt;&gt;""),'Atividades Micro'!$K272,"")</f>
        <v/>
      </c>
      <c r="BX233" s="21" t="str">
        <f>IF(AND('Atividades Micro'!$B272=BX$2,'Atividades Micro'!$G272="Macro",'Atividades Micro'!$K272&lt;&gt;""),'Atividades Micro'!$K272,"")</f>
        <v/>
      </c>
      <c r="BY233" s="21" t="str">
        <f>IF(AND('Atividades Micro'!$B272=BY$2,'Atividades Micro'!$G272="Macro",'Atividades Micro'!$K272&lt;&gt;""),'Atividades Micro'!$K272,"")</f>
        <v/>
      </c>
      <c r="BZ233" s="21" t="str">
        <f>IF(AND('Atividades Micro'!$B272=BZ$2,'Atividades Micro'!$G272="Macro",'Atividades Micro'!$K272&lt;&gt;""),'Atividades Micro'!$K272,"")</f>
        <v/>
      </c>
      <c r="CA233" s="21" t="str">
        <f>IF(AND('Atividades Micro'!$B272=CA$2,'Atividades Micro'!$G272="Macro",'Atividades Micro'!$K272&lt;&gt;""),'Atividades Micro'!$K272,"")</f>
        <v/>
      </c>
      <c r="CB233" s="21" t="str">
        <f>IF(AND('Atividades Micro'!$B272=CB$2,'Atividades Micro'!$G272="Macro",'Atividades Micro'!$K272&lt;&gt;""),'Atividades Micro'!$K272,"")</f>
        <v/>
      </c>
      <c r="CC233" s="21" t="str">
        <f>IF(AND('Atividades Micro'!$B272=CC$2,'Atividades Micro'!$G272="Macro",'Atividades Micro'!$K272&lt;&gt;""),'Atividades Micro'!$K272,"")</f>
        <v/>
      </c>
      <c r="CD233" s="21" t="str">
        <f>IF(AND('Atividades Micro'!$B272=CD$2,'Atividades Micro'!$G272="Micro",'Atividades Micro'!$K272&lt;&gt;""),'Atividades Micro'!$K272,"")</f>
        <v/>
      </c>
      <c r="CE233" s="21" t="str">
        <f>IF(AND('Atividades Micro'!$B272=CE$2,'Atividades Micro'!$G272="Micro",'Atividades Micro'!$K272&lt;&gt;""),'Atividades Micro'!$K272,"")</f>
        <v/>
      </c>
      <c r="CF233" s="21" t="str">
        <f>IF(AND('Atividades Micro'!$B272=CF$2,'Atividades Micro'!$G272="Micro",'Atividades Micro'!$K272&lt;&gt;""),'Atividades Micro'!$K272,"")</f>
        <v/>
      </c>
      <c r="CG233" s="21" t="str">
        <f>IF(AND('Atividades Micro'!$B272=CG$2,'Atividades Micro'!$G272="Micro",'Atividades Micro'!$K272&lt;&gt;""),'Atividades Micro'!$K272,"")</f>
        <v/>
      </c>
      <c r="CH233" s="21" t="str">
        <f>IF(AND('Atividades Micro'!$B272=CH$2,'Atividades Micro'!$G272="Micro",'Atividades Micro'!$K272&lt;&gt;""),'Atividades Micro'!$K272,"")</f>
        <v/>
      </c>
      <c r="CI233" s="21" t="str">
        <f>IF(AND('Atividades Micro'!$B272=CI$2,'Atividades Micro'!$G272="Micro",'Atividades Micro'!$K272&lt;&gt;""),'Atividades Micro'!$K272,"")</f>
        <v/>
      </c>
      <c r="CJ233" s="21" t="str">
        <f>IF(AND('Atividades Micro'!$B272=CJ$2,'Atividades Micro'!$G272="Micro",'Atividades Micro'!$K272&lt;&gt;""),'Atividades Micro'!$K272,"")</f>
        <v/>
      </c>
      <c r="CK233" s="21" t="str">
        <f>IF(AND('Atividades Micro'!$B272=CK$2,'Atividades Micro'!$G272="Micro",'Atividades Micro'!$K272&lt;&gt;""),'Atividades Micro'!$K272,"")</f>
        <v/>
      </c>
      <c r="CL233" s="21" t="str">
        <f>IF(AND('Atividades Micro'!$B272=CL$2,'Atividades Micro'!$G272="Micro",'Atividades Micro'!$K272&lt;&gt;""),'Atividades Micro'!$K272,"")</f>
        <v/>
      </c>
      <c r="CM233" s="21">
        <f>IF(AND('Atividades Micro'!$B272=CM$2,'Atividades Micro'!$G272="Micro",'Atividades Micro'!$K272&lt;&gt;""),'Atividades Micro'!$K272,"")</f>
        <v>46266</v>
      </c>
      <c r="CN233" s="21" t="str">
        <f>IF(AND('Atividades Micro'!$B272=CN$2,'Atividades Micro'!$G272="Micro",'Atividades Micro'!$K272&lt;&gt;""),'Atividades Micro'!$K272,"")</f>
        <v/>
      </c>
      <c r="CO233" s="21" t="str">
        <f>IF(AND('Atividades Micro'!$B272=CO$2,'Atividades Micro'!$G272="Micro",'Atividades Micro'!$K272&lt;&gt;""),'Atividades Micro'!$K272,"")</f>
        <v/>
      </c>
    </row>
    <row r="234" spans="1:93">
      <c r="A234" s="21" t="str">
        <f>IF(AND('Atividades Micro'!$A273=A$2,'Atividades Micro'!$K273&lt;&gt;""),'Atividades Micro'!$K273,"")</f>
        <v/>
      </c>
      <c r="B234" s="21" t="str">
        <f>IF(AND('Atividades Micro'!$A273=B$2,'Atividades Micro'!$L273&lt;&gt;""),'Atividades Micro'!$L273,"")</f>
        <v/>
      </c>
      <c r="C234" s="21" t="str">
        <f>IF(AND('Atividades Micro'!$A273=C$2,'Atividades Micro'!$K273&lt;&gt;""),'Atividades Micro'!$K273,"")</f>
        <v/>
      </c>
      <c r="D234" s="21" t="str">
        <f>IF(AND('Atividades Micro'!$A273=D$2,'Atividades Micro'!$L273&lt;&gt;""),'Atividades Micro'!$L273,"")</f>
        <v/>
      </c>
      <c r="E234" s="21" t="str">
        <f>IF(AND('Atividades Micro'!$A273=E$2,'Atividades Micro'!$K273&lt;&gt;""),'Atividades Micro'!$K273,"")</f>
        <v/>
      </c>
      <c r="F234" s="21" t="str">
        <f>IF(AND('Atividades Micro'!$A273=F$2,'Atividades Micro'!$L273&lt;&gt;""),'Atividades Micro'!$L273,"")</f>
        <v/>
      </c>
      <c r="G234" s="21" t="str">
        <f>IF(AND('Atividades Micro'!$A273=G$2,'Atividades Micro'!$K273&lt;&gt;""),'Atividades Micro'!$K273,"")</f>
        <v/>
      </c>
      <c r="H234" s="21" t="str">
        <f>IF(AND('Atividades Micro'!$A273=H$2,'Atividades Micro'!$L273&lt;&gt;""),'Atividades Micro'!$L273,"")</f>
        <v/>
      </c>
      <c r="I234" s="21" t="str">
        <f>IF(AND('Atividades Micro'!$A273=I$2,'Atividades Micro'!$K273&lt;&gt;""),'Atividades Micro'!$K273,"")</f>
        <v/>
      </c>
      <c r="J234" s="21" t="str">
        <f>IF(AND('Atividades Micro'!$A273=J$2,'Atividades Micro'!$L273&lt;&gt;""),'Atividades Micro'!$L273,"")</f>
        <v/>
      </c>
      <c r="K234" s="21" t="str">
        <f>IF(AND('Atividades Micro'!$B273=K$2,'Atividades Micro'!$K273&lt;&gt;""),'Atividades Micro'!$K273,"")</f>
        <v/>
      </c>
      <c r="L234" s="21" t="str">
        <f>IF(AND('Atividades Micro'!$B273=L$2,'Atividades Micro'!$L273&lt;&gt;""),'Atividades Micro'!$L273,"")</f>
        <v/>
      </c>
      <c r="M234" s="21" t="str">
        <f>IF(AND('Atividades Micro'!$B273=M$2,'Atividades Micro'!$K273&lt;&gt;""),'Atividades Micro'!$K273,"")</f>
        <v/>
      </c>
      <c r="N234" s="21" t="str">
        <f>IF(AND('Atividades Micro'!$B273=N$2,'Atividades Micro'!$L273&lt;&gt;""),'Atividades Micro'!$L273,"")</f>
        <v/>
      </c>
      <c r="O234" s="21" t="str">
        <f>IF(AND('Atividades Micro'!$A273=O$2,'Atividades Micro'!$K273&lt;&gt;""),'Atividades Micro'!$K273,"")</f>
        <v/>
      </c>
      <c r="P234" s="21" t="str">
        <f>IF(AND('Atividades Micro'!$A273=P$2,'Atividades Micro'!$L273&lt;&gt;""),'Atividades Micro'!$L273,"")</f>
        <v/>
      </c>
      <c r="Q234" s="21" t="str">
        <f>IF(AND('Atividades Micro'!$B273=Q$2,'Atividades Micro'!$K273&lt;&gt;""),'Atividades Micro'!$K273,"")</f>
        <v/>
      </c>
      <c r="R234" s="21" t="str">
        <f>IF(AND('Atividades Micro'!$B273=R$2,'Atividades Micro'!$L273&lt;&gt;""),'Atividades Micro'!$L273,"")</f>
        <v/>
      </c>
      <c r="S234" s="21" t="str">
        <f>IF(AND('Atividades Micro'!$A273=S$2,'Atividades Micro'!$K273&lt;&gt;""),'Atividades Micro'!$K273,"")</f>
        <v/>
      </c>
      <c r="T234" s="21" t="str">
        <f>IF(AND('Atividades Micro'!$A273=T$2,'Atividades Micro'!$L273&lt;&gt;""),'Atividades Micro'!$L273,"")</f>
        <v/>
      </c>
      <c r="U234" s="21" t="str">
        <f>IF(AND('Atividades Micro'!$B273=U$2,'Atividades Micro'!$K273&lt;&gt;""),'Atividades Micro'!$K273,"")</f>
        <v/>
      </c>
      <c r="V234" s="21" t="str">
        <f>IF(AND('Atividades Micro'!$B273=V$2,'Atividades Micro'!$L273&lt;&gt;""),'Atividades Micro'!$L273,"")</f>
        <v/>
      </c>
      <c r="W234" s="21" t="str">
        <f>IF(AND('Atividades Micro'!$B273=W$2,'Atividades Micro'!$K273&lt;&gt;""),'Atividades Micro'!$K273,"")</f>
        <v/>
      </c>
      <c r="X234" s="21" t="str">
        <f>IF(AND('Atividades Micro'!$B273=X$2,'Atividades Micro'!$L273&lt;&gt;""),'Atividades Micro'!$L273,"")</f>
        <v/>
      </c>
      <c r="Y234" s="21" t="str">
        <f>IF(AND('Atividades Micro'!$A273=Y$2,'Atividades Micro'!$K273&lt;&gt;""),'Atividades Micro'!$K273,"")</f>
        <v/>
      </c>
      <c r="Z234" s="21" t="str">
        <f>IF(AND('Atividades Micro'!$A273=Z$2,'Atividades Micro'!$L273&lt;&gt;""),'Atividades Micro'!$L273,"")</f>
        <v/>
      </c>
      <c r="AA234" s="21" t="str">
        <f>IF(AND('Atividades Micro'!$B273=AA$2,'Atividades Micro'!$K273&lt;&gt;""),'Atividades Micro'!$K273,"")</f>
        <v/>
      </c>
      <c r="AB234" s="21" t="str">
        <f>IF(AND('Atividades Micro'!$B273=AB$2,'Atividades Micro'!$L273&lt;&gt;""),'Atividades Micro'!$L273,"")</f>
        <v/>
      </c>
      <c r="AC234" s="21" t="str">
        <f>IF(AND('Atividades Micro'!$B273=AC$2,'Atividades Micro'!$K273&lt;&gt;""),'Atividades Micro'!$K273,"")</f>
        <v/>
      </c>
      <c r="AD234" s="21" t="str">
        <f>IF(AND('Atividades Micro'!$B273=AD$2,'Atividades Micro'!$L273&lt;&gt;""),'Atividades Micro'!$L273,"")</f>
        <v/>
      </c>
      <c r="AE234" s="21" t="str">
        <f>IF(AND('Atividades Micro'!$A273=AE$2,'Atividades Micro'!$K273&lt;&gt;""),'Atividades Micro'!$K273,"")</f>
        <v/>
      </c>
      <c r="AF234" s="21" t="str">
        <f>IF(AND('Atividades Micro'!$A273=AF$2,'Atividades Micro'!$L273&lt;&gt;""),'Atividades Micro'!$L273,"")</f>
        <v/>
      </c>
      <c r="AG234" s="21" t="str">
        <f>IF(AND('Atividades Micro'!$B273=AG$2,'Atividades Micro'!$K273&lt;&gt;""),'Atividades Micro'!$K273,"")</f>
        <v/>
      </c>
      <c r="AH234" s="21" t="str">
        <f>IF(AND('Atividades Micro'!$B273=AH$2,'Atividades Micro'!$L273&lt;&gt;""),'Atividades Micro'!$L273,"")</f>
        <v/>
      </c>
      <c r="AI234" s="21" t="str">
        <f>IF(AND('Atividades Micro'!$B273=AI$2,'Atividades Micro'!$K273&lt;&gt;""),'Atividades Micro'!$K273,"")</f>
        <v/>
      </c>
      <c r="AJ234" s="21" t="str">
        <f>IF(AND('Atividades Micro'!$B273=AJ$2,'Atividades Micro'!$L273&lt;&gt;""),'Atividades Micro'!$L273,"")</f>
        <v/>
      </c>
      <c r="AK234" s="21">
        <f>IF(AND('Atividades Micro'!$A273=AK$2,'Atividades Micro'!$K273&lt;&gt;""),'Atividades Micro'!$K273,"")</f>
        <v>46279</v>
      </c>
      <c r="AL234" s="21">
        <f>IF(AND('Atividades Micro'!$A273=AL$2,'Atividades Micro'!$L273&lt;&gt;""),'Atividades Micro'!$L273,"")</f>
        <v>46279</v>
      </c>
      <c r="AM234" s="21">
        <f>IF(AND('Atividades Micro'!$B273=AM$2,'Atividades Micro'!$K273&lt;&gt;""),'Atividades Micro'!$K273,"")</f>
        <v>46279</v>
      </c>
      <c r="AN234" s="21">
        <f>IF(AND('Atividades Micro'!$B273=AN$2,'Atividades Micro'!$L273&lt;&gt;""),'Atividades Micro'!$L273,"")</f>
        <v>46279</v>
      </c>
      <c r="AO234" s="21" t="str">
        <f>IF(AND('Atividades Micro'!$B273=AO$2,'Atividades Micro'!$K273&lt;&gt;""),'Atividades Micro'!$K273,"")</f>
        <v/>
      </c>
      <c r="AP234" s="21" t="str">
        <f>IF(AND('Atividades Micro'!$B273=AP$2,'Atividades Micro'!$L273&lt;&gt;""),'Atividades Micro'!$L273,"")</f>
        <v/>
      </c>
      <c r="AQ234" s="21" t="str">
        <f>IF(AND('Atividades Micro'!$A273=AQ$2,'Atividades Micro'!$K273&lt;&gt;""),'Atividades Micro'!$K273,"")</f>
        <v/>
      </c>
      <c r="AR234" s="21" t="str">
        <f>IF(AND('Atividades Micro'!$A273=AR$2,'Atividades Micro'!$L273&lt;&gt;""),'Atividades Micro'!$L273,"")</f>
        <v/>
      </c>
      <c r="AS234" s="21" t="str">
        <f>IF(AND('Atividades Micro'!$B273=AS$2,'Atividades Micro'!$K273&lt;&gt;""),'Atividades Micro'!$K273,"")</f>
        <v/>
      </c>
      <c r="AT234" s="21" t="str">
        <f>IF(AND('Atividades Micro'!$B273=AT$2,'Atividades Micro'!$L273&lt;&gt;""),'Atividades Micro'!$L273,"")</f>
        <v/>
      </c>
      <c r="AU234" s="21" t="str">
        <f>IF(AND('Atividades Micro'!$A273=AU$2,'Atividades Micro'!$K273&lt;&gt;""),'Atividades Micro'!$K273,"")</f>
        <v/>
      </c>
      <c r="AV234" s="21" t="str">
        <f>IF(AND('Atividades Micro'!$A273=AV$2,'Atividades Micro'!$L273&lt;&gt;""),'Atividades Micro'!$L273,"")</f>
        <v/>
      </c>
      <c r="AW234" s="21" t="str">
        <f>IF(AND('Atividades Micro'!$B273=AW$2,'Atividades Micro'!$K273&lt;&gt;""),'Atividades Micro'!$K273,"")</f>
        <v/>
      </c>
      <c r="AX234" s="21" t="str">
        <f>IF(AND('Atividades Micro'!$B273=AX$2,'Atividades Micro'!$L273&lt;&gt;""),'Atividades Micro'!$L273,"")</f>
        <v/>
      </c>
      <c r="AY234" s="21" t="str">
        <f>IF(AND('Atividades Micro'!$A273=AY$2,'Atividades Micro'!$K273&lt;&gt;""),'Atividades Micro'!$K273,"")</f>
        <v/>
      </c>
      <c r="AZ234" s="21" t="str">
        <f>IF(AND('Atividades Micro'!$A273=AZ$2,'Atividades Micro'!$L273&lt;&gt;""),'Atividades Micro'!$L273,"")</f>
        <v/>
      </c>
      <c r="BA234" s="21" t="str">
        <f>IF(AND('Atividades Micro'!$B273=BA$2,'Atividades Micro'!$K273&lt;&gt;""),'Atividades Micro'!$K273,"")</f>
        <v/>
      </c>
      <c r="BB234" s="21" t="str">
        <f>IF(AND('Atividades Micro'!$B273=BB$2,'Atividades Micro'!$L273&lt;&gt;""),'Atividades Micro'!$L273,"")</f>
        <v/>
      </c>
      <c r="BC234" s="21" t="str">
        <f>IF(AND('Atividades Micro'!$B273=BC$2,'Atividades Micro'!$G273="Macro",'Atividades Micro'!$K273&lt;&gt;""),'Atividades Micro'!$K273,"")</f>
        <v/>
      </c>
      <c r="BD234" s="21" t="str">
        <f>IF(AND('Atividades Micro'!$B273=BD$2,'Atividades Micro'!$G273="Macro",'Atividades Micro'!$K273&lt;&gt;""),'Atividades Micro'!$K273,"")</f>
        <v/>
      </c>
      <c r="BE234" s="21" t="str">
        <f>IF(AND('Atividades Micro'!$B273=BE$2,'Atividades Micro'!$G273="Macro",'Atividades Micro'!$K273&lt;&gt;""),'Atividades Micro'!$K273,"")</f>
        <v/>
      </c>
      <c r="BF234" s="21" t="str">
        <f>IF(AND('Atividades Micro'!$B273=BF$2,'Atividades Micro'!$G273="Macro",'Atividades Micro'!$K273&lt;&gt;""),'Atividades Micro'!$K273,"")</f>
        <v/>
      </c>
      <c r="BG234" s="21" t="str">
        <f>IF(AND('Atividades Micro'!$B273=BG$2,'Atividades Micro'!$G273="Macro",'Atividades Micro'!$K273&lt;&gt;""),'Atividades Micro'!$K273,"")</f>
        <v/>
      </c>
      <c r="BH234" s="21" t="str">
        <f>IF(AND('Atividades Micro'!$B273=BH$2,'Atividades Micro'!$G273="Macro",'Atividades Micro'!$K273&lt;&gt;""),'Atividades Micro'!$K273,"")</f>
        <v/>
      </c>
      <c r="BI234" s="21" t="str">
        <f>IF(AND('Atividades Micro'!$B273=BI$2,'Atividades Micro'!$G273="Macro",'Atividades Micro'!$K273&lt;&gt;""),'Atividades Micro'!$K273,"")</f>
        <v/>
      </c>
      <c r="BJ234" s="21" t="str">
        <f>IF(AND('Atividades Micro'!$B273=BJ$2,'Atividades Micro'!$G273="Macro",'Atividades Micro'!$K273&lt;&gt;""),'Atividades Micro'!$K273,"")</f>
        <v/>
      </c>
      <c r="BK234" s="21" t="str">
        <f>IF(AND('Atividades Micro'!$B273=BK$2,'Atividades Micro'!$G273="Macro",'Atividades Micro'!$K273&lt;&gt;""),'Atividades Micro'!$K273,"")</f>
        <v/>
      </c>
      <c r="BL234" s="21" t="str">
        <f>IF(AND('Atividades Micro'!$B273=BL$2,'Atividades Micro'!$G273="Macro",'Atividades Micro'!$K273&lt;&gt;""),'Atividades Micro'!$K273,"")</f>
        <v/>
      </c>
      <c r="BM234" s="21" t="str">
        <f>IF(AND('Atividades Micro'!$B273=BM$2,'Atividades Micro'!$G273="Macro",'Atividades Micro'!$K273&lt;&gt;""),'Atividades Micro'!$K273,"")</f>
        <v/>
      </c>
      <c r="BN234" s="21" t="str">
        <f>IF(AND('Atividades Micro'!$B273=BN$2,'Atividades Micro'!$G273="Macro",'Atividades Micro'!$K273&lt;&gt;""),'Atividades Micro'!$K273,"")</f>
        <v/>
      </c>
      <c r="BO234" s="21" t="str">
        <f>IF(AND('Atividades Micro'!$B273=BO$2,'Atividades Micro'!$G273="Macro",'Atividades Micro'!$K273&lt;&gt;""),'Atividades Micro'!$K273,"")</f>
        <v/>
      </c>
      <c r="BP234" s="21" t="str">
        <f>IF(AND('Atividades Micro'!$B273=BP$2,'Atividades Micro'!$G273="Macro",'Atividades Micro'!$K273&lt;&gt;""),'Atividades Micro'!$K273,"")</f>
        <v/>
      </c>
      <c r="BQ234" s="21" t="str">
        <f>IF(AND('Atividades Micro'!$B273=BQ$2,'Atividades Micro'!$G273="Macro",'Atividades Micro'!$K273&lt;&gt;""),'Atividades Micro'!$K273,"")</f>
        <v/>
      </c>
      <c r="BR234" s="21" t="str">
        <f>IF(AND('Atividades Micro'!$B273=BR$2,'Atividades Micro'!$G273="Macro",'Atividades Micro'!$K273&lt;&gt;""),'Atividades Micro'!$K273,"")</f>
        <v/>
      </c>
      <c r="BS234" s="21" t="str">
        <f>IF(AND('Atividades Micro'!$B273=BS$2,'Atividades Micro'!$G273="Macro",'Atividades Micro'!$K273&lt;&gt;""),'Atividades Micro'!$K273,"")</f>
        <v/>
      </c>
      <c r="BT234" s="21" t="str">
        <f>IF(AND('Atividades Micro'!$B273=BT$2,'Atividades Micro'!$G273="Macro",'Atividades Micro'!$K273&lt;&gt;""),'Atividades Micro'!$K273,"")</f>
        <v/>
      </c>
      <c r="BU234" s="21" t="str">
        <f>IF(AND('Atividades Micro'!$B273=BU$2,'Atividades Micro'!$G273="Macro",'Atividades Micro'!$K273&lt;&gt;""),'Atividades Micro'!$K273,"")</f>
        <v/>
      </c>
      <c r="BV234" s="21">
        <f>IF(AND('Atividades Micro'!$B273=BV$2,'Atividades Micro'!$G273="Macro",'Atividades Micro'!$K273&lt;&gt;""),'Atividades Micro'!$K273,"")</f>
        <v>46279</v>
      </c>
      <c r="BW234" s="21" t="str">
        <f>IF(AND('Atividades Micro'!$B273=BW$2,'Atividades Micro'!$G273="Macro",'Atividades Micro'!$K273&lt;&gt;""),'Atividades Micro'!$K273,"")</f>
        <v/>
      </c>
      <c r="BX234" s="21" t="str">
        <f>IF(AND('Atividades Micro'!$B273=BX$2,'Atividades Micro'!$G273="Macro",'Atividades Micro'!$K273&lt;&gt;""),'Atividades Micro'!$K273,"")</f>
        <v/>
      </c>
      <c r="BY234" s="21" t="str">
        <f>IF(AND('Atividades Micro'!$B273=BY$2,'Atividades Micro'!$G273="Macro",'Atividades Micro'!$K273&lt;&gt;""),'Atividades Micro'!$K273,"")</f>
        <v/>
      </c>
      <c r="BZ234" s="21" t="str">
        <f>IF(AND('Atividades Micro'!$B273=BZ$2,'Atividades Micro'!$G273="Macro",'Atividades Micro'!$K273&lt;&gt;""),'Atividades Micro'!$K273,"")</f>
        <v/>
      </c>
      <c r="CA234" s="21" t="str">
        <f>IF(AND('Atividades Micro'!$B273=CA$2,'Atividades Micro'!$G273="Macro",'Atividades Micro'!$K273&lt;&gt;""),'Atividades Micro'!$K273,"")</f>
        <v/>
      </c>
      <c r="CB234" s="21" t="str">
        <f>IF(AND('Atividades Micro'!$B273=CB$2,'Atividades Micro'!$G273="Macro",'Atividades Micro'!$K273&lt;&gt;""),'Atividades Micro'!$K273,"")</f>
        <v/>
      </c>
      <c r="CC234" s="21" t="str">
        <f>IF(AND('Atividades Micro'!$B273=CC$2,'Atividades Micro'!$G273="Macro",'Atividades Micro'!$K273&lt;&gt;""),'Atividades Micro'!$K273,"")</f>
        <v/>
      </c>
      <c r="CD234" s="21" t="str">
        <f>IF(AND('Atividades Micro'!$B273=CD$2,'Atividades Micro'!$G273="Micro",'Atividades Micro'!$K273&lt;&gt;""),'Atividades Micro'!$K273,"")</f>
        <v/>
      </c>
      <c r="CE234" s="21" t="str">
        <f>IF(AND('Atividades Micro'!$B273=CE$2,'Atividades Micro'!$G273="Micro",'Atividades Micro'!$K273&lt;&gt;""),'Atividades Micro'!$K273,"")</f>
        <v/>
      </c>
      <c r="CF234" s="21" t="str">
        <f>IF(AND('Atividades Micro'!$B273=CF$2,'Atividades Micro'!$G273="Micro",'Atividades Micro'!$K273&lt;&gt;""),'Atividades Micro'!$K273,"")</f>
        <v/>
      </c>
      <c r="CG234" s="21" t="str">
        <f>IF(AND('Atividades Micro'!$B273=CG$2,'Atividades Micro'!$G273="Micro",'Atividades Micro'!$K273&lt;&gt;""),'Atividades Micro'!$K273,"")</f>
        <v/>
      </c>
      <c r="CH234" s="21" t="str">
        <f>IF(AND('Atividades Micro'!$B273=CH$2,'Atividades Micro'!$G273="Micro",'Atividades Micro'!$K273&lt;&gt;""),'Atividades Micro'!$K273,"")</f>
        <v/>
      </c>
      <c r="CI234" s="21" t="str">
        <f>IF(AND('Atividades Micro'!$B273=CI$2,'Atividades Micro'!$G273="Micro",'Atividades Micro'!$K273&lt;&gt;""),'Atividades Micro'!$K273,"")</f>
        <v/>
      </c>
      <c r="CJ234" s="21" t="str">
        <f>IF(AND('Atividades Micro'!$B273=CJ$2,'Atividades Micro'!$G273="Micro",'Atividades Micro'!$K273&lt;&gt;""),'Atividades Micro'!$K273,"")</f>
        <v/>
      </c>
      <c r="CK234" s="21" t="str">
        <f>IF(AND('Atividades Micro'!$B273=CK$2,'Atividades Micro'!$G273="Micro",'Atividades Micro'!$K273&lt;&gt;""),'Atividades Micro'!$K273,"")</f>
        <v/>
      </c>
      <c r="CL234" s="21" t="str">
        <f>IF(AND('Atividades Micro'!$B273=CL$2,'Atividades Micro'!$G273="Micro",'Atividades Micro'!$K273&lt;&gt;""),'Atividades Micro'!$K273,"")</f>
        <v/>
      </c>
      <c r="CM234" s="21" t="str">
        <f>IF(AND('Atividades Micro'!$B273=CM$2,'Atividades Micro'!$G273="Micro",'Atividades Micro'!$K273&lt;&gt;""),'Atividades Micro'!$K273,"")</f>
        <v/>
      </c>
      <c r="CN234" s="21" t="str">
        <f>IF(AND('Atividades Micro'!$B273=CN$2,'Atividades Micro'!$G273="Micro",'Atividades Micro'!$K273&lt;&gt;""),'Atividades Micro'!$K273,"")</f>
        <v/>
      </c>
      <c r="CO234" s="21" t="str">
        <f>IF(AND('Atividades Micro'!$B273=CO$2,'Atividades Micro'!$G273="Micro",'Atividades Micro'!$K273&lt;&gt;""),'Atividades Micro'!$K273,"")</f>
        <v/>
      </c>
    </row>
    <row r="235" spans="1:93">
      <c r="A235" s="21" t="str">
        <f>IF(AND('Atividades Micro'!$A274=A$2,'Atividades Micro'!$K274&lt;&gt;""),'Atividades Micro'!$K274,"")</f>
        <v/>
      </c>
      <c r="B235" s="21" t="str">
        <f>IF(AND('Atividades Micro'!$A274=B$2,'Atividades Micro'!$L274&lt;&gt;""),'Atividades Micro'!$L274,"")</f>
        <v/>
      </c>
      <c r="C235" s="21" t="str">
        <f>IF(AND('Atividades Micro'!$A274=C$2,'Atividades Micro'!$K274&lt;&gt;""),'Atividades Micro'!$K274,"")</f>
        <v/>
      </c>
      <c r="D235" s="21" t="str">
        <f>IF(AND('Atividades Micro'!$A274=D$2,'Atividades Micro'!$L274&lt;&gt;""),'Atividades Micro'!$L274,"")</f>
        <v/>
      </c>
      <c r="E235" s="21" t="str">
        <f>IF(AND('Atividades Micro'!$A274=E$2,'Atividades Micro'!$K274&lt;&gt;""),'Atividades Micro'!$K274,"")</f>
        <v/>
      </c>
      <c r="F235" s="21" t="str">
        <f>IF(AND('Atividades Micro'!$A274=F$2,'Atividades Micro'!$L274&lt;&gt;""),'Atividades Micro'!$L274,"")</f>
        <v/>
      </c>
      <c r="G235" s="21" t="str">
        <f>IF(AND('Atividades Micro'!$A274=G$2,'Atividades Micro'!$K274&lt;&gt;""),'Atividades Micro'!$K274,"")</f>
        <v/>
      </c>
      <c r="H235" s="21" t="str">
        <f>IF(AND('Atividades Micro'!$A274=H$2,'Atividades Micro'!$L274&lt;&gt;""),'Atividades Micro'!$L274,"")</f>
        <v/>
      </c>
      <c r="I235" s="21" t="str">
        <f>IF(AND('Atividades Micro'!$A274=I$2,'Atividades Micro'!$K274&lt;&gt;""),'Atividades Micro'!$K274,"")</f>
        <v/>
      </c>
      <c r="J235" s="21" t="str">
        <f>IF(AND('Atividades Micro'!$A274=J$2,'Atividades Micro'!$L274&lt;&gt;""),'Atividades Micro'!$L274,"")</f>
        <v/>
      </c>
      <c r="K235" s="21" t="str">
        <f>IF(AND('Atividades Micro'!$B274=K$2,'Atividades Micro'!$K274&lt;&gt;""),'Atividades Micro'!$K274,"")</f>
        <v/>
      </c>
      <c r="L235" s="21" t="str">
        <f>IF(AND('Atividades Micro'!$B274=L$2,'Atividades Micro'!$L274&lt;&gt;""),'Atividades Micro'!$L274,"")</f>
        <v/>
      </c>
      <c r="M235" s="21" t="str">
        <f>IF(AND('Atividades Micro'!$B274=M$2,'Atividades Micro'!$K274&lt;&gt;""),'Atividades Micro'!$K274,"")</f>
        <v/>
      </c>
      <c r="N235" s="21" t="str">
        <f>IF(AND('Atividades Micro'!$B274=N$2,'Atividades Micro'!$L274&lt;&gt;""),'Atividades Micro'!$L274,"")</f>
        <v/>
      </c>
      <c r="O235" s="21" t="str">
        <f>IF(AND('Atividades Micro'!$A274=O$2,'Atividades Micro'!$K274&lt;&gt;""),'Atividades Micro'!$K274,"")</f>
        <v/>
      </c>
      <c r="P235" s="21" t="str">
        <f>IF(AND('Atividades Micro'!$A274=P$2,'Atividades Micro'!$L274&lt;&gt;""),'Atividades Micro'!$L274,"")</f>
        <v/>
      </c>
      <c r="Q235" s="21" t="str">
        <f>IF(AND('Atividades Micro'!$B274=Q$2,'Atividades Micro'!$K274&lt;&gt;""),'Atividades Micro'!$K274,"")</f>
        <v/>
      </c>
      <c r="R235" s="21" t="str">
        <f>IF(AND('Atividades Micro'!$B274=R$2,'Atividades Micro'!$L274&lt;&gt;""),'Atividades Micro'!$L274,"")</f>
        <v/>
      </c>
      <c r="S235" s="21" t="str">
        <f>IF(AND('Atividades Micro'!$A274=S$2,'Atividades Micro'!$K274&lt;&gt;""),'Atividades Micro'!$K274,"")</f>
        <v/>
      </c>
      <c r="T235" s="21" t="str">
        <f>IF(AND('Atividades Micro'!$A274=T$2,'Atividades Micro'!$L274&lt;&gt;""),'Atividades Micro'!$L274,"")</f>
        <v/>
      </c>
      <c r="U235" s="21" t="str">
        <f>IF(AND('Atividades Micro'!$B274=U$2,'Atividades Micro'!$K274&lt;&gt;""),'Atividades Micro'!$K274,"")</f>
        <v/>
      </c>
      <c r="V235" s="21" t="str">
        <f>IF(AND('Atividades Micro'!$B274=V$2,'Atividades Micro'!$L274&lt;&gt;""),'Atividades Micro'!$L274,"")</f>
        <v/>
      </c>
      <c r="W235" s="21" t="str">
        <f>IF(AND('Atividades Micro'!$B274=W$2,'Atividades Micro'!$K274&lt;&gt;""),'Atividades Micro'!$K274,"")</f>
        <v/>
      </c>
      <c r="X235" s="21" t="str">
        <f>IF(AND('Atividades Micro'!$B274=X$2,'Atividades Micro'!$L274&lt;&gt;""),'Atividades Micro'!$L274,"")</f>
        <v/>
      </c>
      <c r="Y235" s="21" t="str">
        <f>IF(AND('Atividades Micro'!$A274=Y$2,'Atividades Micro'!$K274&lt;&gt;""),'Atividades Micro'!$K274,"")</f>
        <v/>
      </c>
      <c r="Z235" s="21" t="str">
        <f>IF(AND('Atividades Micro'!$A274=Z$2,'Atividades Micro'!$L274&lt;&gt;""),'Atividades Micro'!$L274,"")</f>
        <v/>
      </c>
      <c r="AA235" s="21" t="str">
        <f>IF(AND('Atividades Micro'!$B274=AA$2,'Atividades Micro'!$K274&lt;&gt;""),'Atividades Micro'!$K274,"")</f>
        <v/>
      </c>
      <c r="AB235" s="21" t="str">
        <f>IF(AND('Atividades Micro'!$B274=AB$2,'Atividades Micro'!$L274&lt;&gt;""),'Atividades Micro'!$L274,"")</f>
        <v/>
      </c>
      <c r="AC235" s="21" t="str">
        <f>IF(AND('Atividades Micro'!$B274=AC$2,'Atividades Micro'!$K274&lt;&gt;""),'Atividades Micro'!$K274,"")</f>
        <v/>
      </c>
      <c r="AD235" s="21" t="str">
        <f>IF(AND('Atividades Micro'!$B274=AD$2,'Atividades Micro'!$L274&lt;&gt;""),'Atividades Micro'!$L274,"")</f>
        <v/>
      </c>
      <c r="AE235" s="21" t="str">
        <f>IF(AND('Atividades Micro'!$A274=AE$2,'Atividades Micro'!$K274&lt;&gt;""),'Atividades Micro'!$K274,"")</f>
        <v/>
      </c>
      <c r="AF235" s="21" t="str">
        <f>IF(AND('Atividades Micro'!$A274=AF$2,'Atividades Micro'!$L274&lt;&gt;""),'Atividades Micro'!$L274,"")</f>
        <v/>
      </c>
      <c r="AG235" s="21" t="str">
        <f>IF(AND('Atividades Micro'!$B274=AG$2,'Atividades Micro'!$K274&lt;&gt;""),'Atividades Micro'!$K274,"")</f>
        <v/>
      </c>
      <c r="AH235" s="21" t="str">
        <f>IF(AND('Atividades Micro'!$B274=AH$2,'Atividades Micro'!$L274&lt;&gt;""),'Atividades Micro'!$L274,"")</f>
        <v/>
      </c>
      <c r="AI235" s="21" t="str">
        <f>IF(AND('Atividades Micro'!$B274=AI$2,'Atividades Micro'!$K274&lt;&gt;""),'Atividades Micro'!$K274,"")</f>
        <v/>
      </c>
      <c r="AJ235" s="21" t="str">
        <f>IF(AND('Atividades Micro'!$B274=AJ$2,'Atividades Micro'!$L274&lt;&gt;""),'Atividades Micro'!$L274,"")</f>
        <v/>
      </c>
      <c r="AK235" s="21">
        <f>IF(AND('Atividades Micro'!$A274=AK$2,'Atividades Micro'!$K274&lt;&gt;""),'Atividades Micro'!$K274,"")</f>
        <v>46239</v>
      </c>
      <c r="AL235" s="21">
        <f>IF(AND('Atividades Micro'!$A274=AL$2,'Atividades Micro'!$L274&lt;&gt;""),'Atividades Micro'!$L274,"")</f>
        <v>46227</v>
      </c>
      <c r="AM235" s="21">
        <f>IF(AND('Atividades Micro'!$B274=AM$2,'Atividades Micro'!$K274&lt;&gt;""),'Atividades Micro'!$K274,"")</f>
        <v>46239</v>
      </c>
      <c r="AN235" s="21">
        <f>IF(AND('Atividades Micro'!$B274=AN$2,'Atividades Micro'!$L274&lt;&gt;""),'Atividades Micro'!$L274,"")</f>
        <v>46227</v>
      </c>
      <c r="AO235" s="21" t="str">
        <f>IF(AND('Atividades Micro'!$B274=AO$2,'Atividades Micro'!$K274&lt;&gt;""),'Atividades Micro'!$K274,"")</f>
        <v/>
      </c>
      <c r="AP235" s="21" t="str">
        <f>IF(AND('Atividades Micro'!$B274=AP$2,'Atividades Micro'!$L274&lt;&gt;""),'Atividades Micro'!$L274,"")</f>
        <v/>
      </c>
      <c r="AQ235" s="21" t="str">
        <f>IF(AND('Atividades Micro'!$A274=AQ$2,'Atividades Micro'!$K274&lt;&gt;""),'Atividades Micro'!$K274,"")</f>
        <v/>
      </c>
      <c r="AR235" s="21" t="str">
        <f>IF(AND('Atividades Micro'!$A274=AR$2,'Atividades Micro'!$L274&lt;&gt;""),'Atividades Micro'!$L274,"")</f>
        <v/>
      </c>
      <c r="AS235" s="21" t="str">
        <f>IF(AND('Atividades Micro'!$B274=AS$2,'Atividades Micro'!$K274&lt;&gt;""),'Atividades Micro'!$K274,"")</f>
        <v/>
      </c>
      <c r="AT235" s="21" t="str">
        <f>IF(AND('Atividades Micro'!$B274=AT$2,'Atividades Micro'!$L274&lt;&gt;""),'Atividades Micro'!$L274,"")</f>
        <v/>
      </c>
      <c r="AU235" s="21" t="str">
        <f>IF(AND('Atividades Micro'!$A274=AU$2,'Atividades Micro'!$K274&lt;&gt;""),'Atividades Micro'!$K274,"")</f>
        <v/>
      </c>
      <c r="AV235" s="21" t="str">
        <f>IF(AND('Atividades Micro'!$A274=AV$2,'Atividades Micro'!$L274&lt;&gt;""),'Atividades Micro'!$L274,"")</f>
        <v/>
      </c>
      <c r="AW235" s="21" t="str">
        <f>IF(AND('Atividades Micro'!$B274=AW$2,'Atividades Micro'!$K274&lt;&gt;""),'Atividades Micro'!$K274,"")</f>
        <v/>
      </c>
      <c r="AX235" s="21" t="str">
        <f>IF(AND('Atividades Micro'!$B274=AX$2,'Atividades Micro'!$L274&lt;&gt;""),'Atividades Micro'!$L274,"")</f>
        <v/>
      </c>
      <c r="AY235" s="21" t="str">
        <f>IF(AND('Atividades Micro'!$A274=AY$2,'Atividades Micro'!$K274&lt;&gt;""),'Atividades Micro'!$K274,"")</f>
        <v/>
      </c>
      <c r="AZ235" s="21" t="str">
        <f>IF(AND('Atividades Micro'!$A274=AZ$2,'Atividades Micro'!$L274&lt;&gt;""),'Atividades Micro'!$L274,"")</f>
        <v/>
      </c>
      <c r="BA235" s="21" t="str">
        <f>IF(AND('Atividades Micro'!$B274=BA$2,'Atividades Micro'!$K274&lt;&gt;""),'Atividades Micro'!$K274,"")</f>
        <v/>
      </c>
      <c r="BB235" s="21" t="str">
        <f>IF(AND('Atividades Micro'!$B274=BB$2,'Atividades Micro'!$L274&lt;&gt;""),'Atividades Micro'!$L274,"")</f>
        <v/>
      </c>
      <c r="BC235" s="21" t="str">
        <f>IF(AND('Atividades Micro'!$B274=BC$2,'Atividades Micro'!$G274="Macro",'Atividades Micro'!$K274&lt;&gt;""),'Atividades Micro'!$K274,"")</f>
        <v/>
      </c>
      <c r="BD235" s="21" t="str">
        <f>IF(AND('Atividades Micro'!$B274=BD$2,'Atividades Micro'!$G274="Macro",'Atividades Micro'!$K274&lt;&gt;""),'Atividades Micro'!$K274,"")</f>
        <v/>
      </c>
      <c r="BE235" s="21" t="str">
        <f>IF(AND('Atividades Micro'!$B274=BE$2,'Atividades Micro'!$G274="Macro",'Atividades Micro'!$K274&lt;&gt;""),'Atividades Micro'!$K274,"")</f>
        <v/>
      </c>
      <c r="BF235" s="21" t="str">
        <f>IF(AND('Atividades Micro'!$B274=BF$2,'Atividades Micro'!$G274="Macro",'Atividades Micro'!$K274&lt;&gt;""),'Atividades Micro'!$K274,"")</f>
        <v/>
      </c>
      <c r="BG235" s="21" t="str">
        <f>IF(AND('Atividades Micro'!$B274=BG$2,'Atividades Micro'!$G274="Macro",'Atividades Micro'!$K274&lt;&gt;""),'Atividades Micro'!$K274,"")</f>
        <v/>
      </c>
      <c r="BH235" s="21" t="str">
        <f>IF(AND('Atividades Micro'!$B274=BH$2,'Atividades Micro'!$G274="Macro",'Atividades Micro'!$K274&lt;&gt;""),'Atividades Micro'!$K274,"")</f>
        <v/>
      </c>
      <c r="BI235" s="21" t="str">
        <f>IF(AND('Atividades Micro'!$B274=BI$2,'Atividades Micro'!$G274="Macro",'Atividades Micro'!$K274&lt;&gt;""),'Atividades Micro'!$K274,"")</f>
        <v/>
      </c>
      <c r="BJ235" s="21" t="str">
        <f>IF(AND('Atividades Micro'!$B274=BJ$2,'Atividades Micro'!$G274="Macro",'Atividades Micro'!$K274&lt;&gt;""),'Atividades Micro'!$K274,"")</f>
        <v/>
      </c>
      <c r="BK235" s="21" t="str">
        <f>IF(AND('Atividades Micro'!$B274=BK$2,'Atividades Micro'!$G274="Macro",'Atividades Micro'!$K274&lt;&gt;""),'Atividades Micro'!$K274,"")</f>
        <v/>
      </c>
      <c r="BL235" s="21" t="str">
        <f>IF(AND('Atividades Micro'!$B274=BL$2,'Atividades Micro'!$G274="Macro",'Atividades Micro'!$K274&lt;&gt;""),'Atividades Micro'!$K274,"")</f>
        <v/>
      </c>
      <c r="BM235" s="21" t="str">
        <f>IF(AND('Atividades Micro'!$B274=BM$2,'Atividades Micro'!$G274="Macro",'Atividades Micro'!$K274&lt;&gt;""),'Atividades Micro'!$K274,"")</f>
        <v/>
      </c>
      <c r="BN235" s="21" t="str">
        <f>IF(AND('Atividades Micro'!$B274=BN$2,'Atividades Micro'!$G274="Macro",'Atividades Micro'!$K274&lt;&gt;""),'Atividades Micro'!$K274,"")</f>
        <v/>
      </c>
      <c r="BO235" s="21" t="str">
        <f>IF(AND('Atividades Micro'!$B274=BO$2,'Atividades Micro'!$G274="Macro",'Atividades Micro'!$K274&lt;&gt;""),'Atividades Micro'!$K274,"")</f>
        <v/>
      </c>
      <c r="BP235" s="21" t="str">
        <f>IF(AND('Atividades Micro'!$B274=BP$2,'Atividades Micro'!$G274="Macro",'Atividades Micro'!$K274&lt;&gt;""),'Atividades Micro'!$K274,"")</f>
        <v/>
      </c>
      <c r="BQ235" s="21" t="str">
        <f>IF(AND('Atividades Micro'!$B274=BQ$2,'Atividades Micro'!$G274="Macro",'Atividades Micro'!$K274&lt;&gt;""),'Atividades Micro'!$K274,"")</f>
        <v/>
      </c>
      <c r="BR235" s="21" t="str">
        <f>IF(AND('Atividades Micro'!$B274=BR$2,'Atividades Micro'!$G274="Macro",'Atividades Micro'!$K274&lt;&gt;""),'Atividades Micro'!$K274,"")</f>
        <v/>
      </c>
      <c r="BS235" s="21" t="str">
        <f>IF(AND('Atividades Micro'!$B274=BS$2,'Atividades Micro'!$G274="Macro",'Atividades Micro'!$K274&lt;&gt;""),'Atividades Micro'!$K274,"")</f>
        <v/>
      </c>
      <c r="BT235" s="21" t="str">
        <f>IF(AND('Atividades Micro'!$B274=BT$2,'Atividades Micro'!$G274="Macro",'Atividades Micro'!$K274&lt;&gt;""),'Atividades Micro'!$K274,"")</f>
        <v/>
      </c>
      <c r="BU235" s="21" t="str">
        <f>IF(AND('Atividades Micro'!$B274=BU$2,'Atividades Micro'!$G274="Macro",'Atividades Micro'!$K274&lt;&gt;""),'Atividades Micro'!$K274,"")</f>
        <v/>
      </c>
      <c r="BV235" s="21" t="str">
        <f>IF(AND('Atividades Micro'!$B274=BV$2,'Atividades Micro'!$G274="Macro",'Atividades Micro'!$K274&lt;&gt;""),'Atividades Micro'!$K274,"")</f>
        <v/>
      </c>
      <c r="BW235" s="21" t="str">
        <f>IF(AND('Atividades Micro'!$B274=BW$2,'Atividades Micro'!$G274="Macro",'Atividades Micro'!$K274&lt;&gt;""),'Atividades Micro'!$K274,"")</f>
        <v/>
      </c>
      <c r="BX235" s="21" t="str">
        <f>IF(AND('Atividades Micro'!$B274=BX$2,'Atividades Micro'!$G274="Macro",'Atividades Micro'!$K274&lt;&gt;""),'Atividades Micro'!$K274,"")</f>
        <v/>
      </c>
      <c r="BY235" s="21" t="str">
        <f>IF(AND('Atividades Micro'!$B274=BY$2,'Atividades Micro'!$G274="Macro",'Atividades Micro'!$K274&lt;&gt;""),'Atividades Micro'!$K274,"")</f>
        <v/>
      </c>
      <c r="BZ235" s="21" t="str">
        <f>IF(AND('Atividades Micro'!$B274=BZ$2,'Atividades Micro'!$G274="Macro",'Atividades Micro'!$K274&lt;&gt;""),'Atividades Micro'!$K274,"")</f>
        <v/>
      </c>
      <c r="CA235" s="21" t="str">
        <f>IF(AND('Atividades Micro'!$B274=CA$2,'Atividades Micro'!$G274="Macro",'Atividades Micro'!$K274&lt;&gt;""),'Atividades Micro'!$K274,"")</f>
        <v/>
      </c>
      <c r="CB235" s="21" t="str">
        <f>IF(AND('Atividades Micro'!$B274=CB$2,'Atividades Micro'!$G274="Macro",'Atividades Micro'!$K274&lt;&gt;""),'Atividades Micro'!$K274,"")</f>
        <v/>
      </c>
      <c r="CC235" s="21" t="str">
        <f>IF(AND('Atividades Micro'!$B274=CC$2,'Atividades Micro'!$G274="Macro",'Atividades Micro'!$K274&lt;&gt;""),'Atividades Micro'!$K274,"")</f>
        <v/>
      </c>
      <c r="CD235" s="21" t="str">
        <f>IF(AND('Atividades Micro'!$B274=CD$2,'Atividades Micro'!$G274="Micro",'Atividades Micro'!$K274&lt;&gt;""),'Atividades Micro'!$K274,"")</f>
        <v/>
      </c>
      <c r="CE235" s="21" t="str">
        <f>IF(AND('Atividades Micro'!$B274=CE$2,'Atividades Micro'!$G274="Micro",'Atividades Micro'!$K274&lt;&gt;""),'Atividades Micro'!$K274,"")</f>
        <v/>
      </c>
      <c r="CF235" s="21" t="str">
        <f>IF(AND('Atividades Micro'!$B274=CF$2,'Atividades Micro'!$G274="Micro",'Atividades Micro'!$K274&lt;&gt;""),'Atividades Micro'!$K274,"")</f>
        <v/>
      </c>
      <c r="CG235" s="21" t="str">
        <f>IF(AND('Atividades Micro'!$B274=CG$2,'Atividades Micro'!$G274="Micro",'Atividades Micro'!$K274&lt;&gt;""),'Atividades Micro'!$K274,"")</f>
        <v/>
      </c>
      <c r="CH235" s="21" t="str">
        <f>IF(AND('Atividades Micro'!$B274=CH$2,'Atividades Micro'!$G274="Micro",'Atividades Micro'!$K274&lt;&gt;""),'Atividades Micro'!$K274,"")</f>
        <v/>
      </c>
      <c r="CI235" s="21" t="str">
        <f>IF(AND('Atividades Micro'!$B274=CI$2,'Atividades Micro'!$G274="Micro",'Atividades Micro'!$K274&lt;&gt;""),'Atividades Micro'!$K274,"")</f>
        <v/>
      </c>
      <c r="CJ235" s="21" t="str">
        <f>IF(AND('Atividades Micro'!$B274=CJ$2,'Atividades Micro'!$G274="Micro",'Atividades Micro'!$K274&lt;&gt;""),'Atividades Micro'!$K274,"")</f>
        <v/>
      </c>
      <c r="CK235" s="21" t="str">
        <f>IF(AND('Atividades Micro'!$B274=CK$2,'Atividades Micro'!$G274="Micro",'Atividades Micro'!$K274&lt;&gt;""),'Atividades Micro'!$K274,"")</f>
        <v/>
      </c>
      <c r="CL235" s="21" t="str">
        <f>IF(AND('Atividades Micro'!$B274=CL$2,'Atividades Micro'!$G274="Micro",'Atividades Micro'!$K274&lt;&gt;""),'Atividades Micro'!$K274,"")</f>
        <v/>
      </c>
      <c r="CM235" s="21">
        <f>IF(AND('Atividades Micro'!$B274=CM$2,'Atividades Micro'!$G274="Micro",'Atividades Micro'!$K274&lt;&gt;""),'Atividades Micro'!$K274,"")</f>
        <v>46239</v>
      </c>
      <c r="CN235" s="21" t="str">
        <f>IF(AND('Atividades Micro'!$B274=CN$2,'Atividades Micro'!$G274="Micro",'Atividades Micro'!$K274&lt;&gt;""),'Atividades Micro'!$K274,"")</f>
        <v/>
      </c>
      <c r="CO235" s="21" t="str">
        <f>IF(AND('Atividades Micro'!$B274=CO$2,'Atividades Micro'!$G274="Micro",'Atividades Micro'!$K274&lt;&gt;""),'Atividades Micro'!$K274,"")</f>
        <v/>
      </c>
    </row>
    <row r="236" spans="1:93">
      <c r="A236" s="21" t="str">
        <f>IF(AND('Atividades Micro'!$A275=A$2,'Atividades Micro'!$K275&lt;&gt;""),'Atividades Micro'!$K275,"")</f>
        <v/>
      </c>
      <c r="B236" s="21" t="str">
        <f>IF(AND('Atividades Micro'!$A275=B$2,'Atividades Micro'!$L275&lt;&gt;""),'Atividades Micro'!$L275,"")</f>
        <v/>
      </c>
      <c r="C236" s="21" t="str">
        <f>IF(AND('Atividades Micro'!$A275=C$2,'Atividades Micro'!$K275&lt;&gt;""),'Atividades Micro'!$K275,"")</f>
        <v/>
      </c>
      <c r="D236" s="21" t="str">
        <f>IF(AND('Atividades Micro'!$A275=D$2,'Atividades Micro'!$L275&lt;&gt;""),'Atividades Micro'!$L275,"")</f>
        <v/>
      </c>
      <c r="E236" s="21" t="str">
        <f>IF(AND('Atividades Micro'!$A275=E$2,'Atividades Micro'!$K275&lt;&gt;""),'Atividades Micro'!$K275,"")</f>
        <v/>
      </c>
      <c r="F236" s="21" t="str">
        <f>IF(AND('Atividades Micro'!$A275=F$2,'Atividades Micro'!$L275&lt;&gt;""),'Atividades Micro'!$L275,"")</f>
        <v/>
      </c>
      <c r="G236" s="21" t="str">
        <f>IF(AND('Atividades Micro'!$A275=G$2,'Atividades Micro'!$K275&lt;&gt;""),'Atividades Micro'!$K275,"")</f>
        <v/>
      </c>
      <c r="H236" s="21" t="str">
        <f>IF(AND('Atividades Micro'!$A275=H$2,'Atividades Micro'!$L275&lt;&gt;""),'Atividades Micro'!$L275,"")</f>
        <v/>
      </c>
      <c r="I236" s="21" t="str">
        <f>IF(AND('Atividades Micro'!$A275=I$2,'Atividades Micro'!$K275&lt;&gt;""),'Atividades Micro'!$K275,"")</f>
        <v/>
      </c>
      <c r="J236" s="21" t="str">
        <f>IF(AND('Atividades Micro'!$A275=J$2,'Atividades Micro'!$L275&lt;&gt;""),'Atividades Micro'!$L275,"")</f>
        <v/>
      </c>
      <c r="K236" s="21" t="str">
        <f>IF(AND('Atividades Micro'!$B275=K$2,'Atividades Micro'!$K275&lt;&gt;""),'Atividades Micro'!$K275,"")</f>
        <v/>
      </c>
      <c r="L236" s="21" t="str">
        <f>IF(AND('Atividades Micro'!$B275=L$2,'Atividades Micro'!$L275&lt;&gt;""),'Atividades Micro'!$L275,"")</f>
        <v/>
      </c>
      <c r="M236" s="21" t="str">
        <f>IF(AND('Atividades Micro'!$B275=M$2,'Atividades Micro'!$K275&lt;&gt;""),'Atividades Micro'!$K275,"")</f>
        <v/>
      </c>
      <c r="N236" s="21" t="str">
        <f>IF(AND('Atividades Micro'!$B275=N$2,'Atividades Micro'!$L275&lt;&gt;""),'Atividades Micro'!$L275,"")</f>
        <v/>
      </c>
      <c r="O236" s="21" t="str">
        <f>IF(AND('Atividades Micro'!$A275=O$2,'Atividades Micro'!$K275&lt;&gt;""),'Atividades Micro'!$K275,"")</f>
        <v/>
      </c>
      <c r="P236" s="21" t="str">
        <f>IF(AND('Atividades Micro'!$A275=P$2,'Atividades Micro'!$L275&lt;&gt;""),'Atividades Micro'!$L275,"")</f>
        <v/>
      </c>
      <c r="Q236" s="21" t="str">
        <f>IF(AND('Atividades Micro'!$B275=Q$2,'Atividades Micro'!$K275&lt;&gt;""),'Atividades Micro'!$K275,"")</f>
        <v/>
      </c>
      <c r="R236" s="21" t="str">
        <f>IF(AND('Atividades Micro'!$B275=R$2,'Atividades Micro'!$L275&lt;&gt;""),'Atividades Micro'!$L275,"")</f>
        <v/>
      </c>
      <c r="S236" s="21" t="str">
        <f>IF(AND('Atividades Micro'!$A275=S$2,'Atividades Micro'!$K275&lt;&gt;""),'Atividades Micro'!$K275,"")</f>
        <v/>
      </c>
      <c r="T236" s="21" t="str">
        <f>IF(AND('Atividades Micro'!$A275=T$2,'Atividades Micro'!$L275&lt;&gt;""),'Atividades Micro'!$L275,"")</f>
        <v/>
      </c>
      <c r="U236" s="21" t="str">
        <f>IF(AND('Atividades Micro'!$B275=U$2,'Atividades Micro'!$K275&lt;&gt;""),'Atividades Micro'!$K275,"")</f>
        <v/>
      </c>
      <c r="V236" s="21" t="str">
        <f>IF(AND('Atividades Micro'!$B275=V$2,'Atividades Micro'!$L275&lt;&gt;""),'Atividades Micro'!$L275,"")</f>
        <v/>
      </c>
      <c r="W236" s="21" t="str">
        <f>IF(AND('Atividades Micro'!$B275=W$2,'Atividades Micro'!$K275&lt;&gt;""),'Atividades Micro'!$K275,"")</f>
        <v/>
      </c>
      <c r="X236" s="21" t="str">
        <f>IF(AND('Atividades Micro'!$B275=X$2,'Atividades Micro'!$L275&lt;&gt;""),'Atividades Micro'!$L275,"")</f>
        <v/>
      </c>
      <c r="Y236" s="21" t="str">
        <f>IF(AND('Atividades Micro'!$A275=Y$2,'Atividades Micro'!$K275&lt;&gt;""),'Atividades Micro'!$K275,"")</f>
        <v/>
      </c>
      <c r="Z236" s="21" t="str">
        <f>IF(AND('Atividades Micro'!$A275=Z$2,'Atividades Micro'!$L275&lt;&gt;""),'Atividades Micro'!$L275,"")</f>
        <v/>
      </c>
      <c r="AA236" s="21" t="str">
        <f>IF(AND('Atividades Micro'!$B275=AA$2,'Atividades Micro'!$K275&lt;&gt;""),'Atividades Micro'!$K275,"")</f>
        <v/>
      </c>
      <c r="AB236" s="21" t="str">
        <f>IF(AND('Atividades Micro'!$B275=AB$2,'Atividades Micro'!$L275&lt;&gt;""),'Atividades Micro'!$L275,"")</f>
        <v/>
      </c>
      <c r="AC236" s="21" t="str">
        <f>IF(AND('Atividades Micro'!$B275=AC$2,'Atividades Micro'!$K275&lt;&gt;""),'Atividades Micro'!$K275,"")</f>
        <v/>
      </c>
      <c r="AD236" s="21" t="str">
        <f>IF(AND('Atividades Micro'!$B275=AD$2,'Atividades Micro'!$L275&lt;&gt;""),'Atividades Micro'!$L275,"")</f>
        <v/>
      </c>
      <c r="AE236" s="21" t="str">
        <f>IF(AND('Atividades Micro'!$A275=AE$2,'Atividades Micro'!$K275&lt;&gt;""),'Atividades Micro'!$K275,"")</f>
        <v/>
      </c>
      <c r="AF236" s="21" t="str">
        <f>IF(AND('Atividades Micro'!$A275=AF$2,'Atividades Micro'!$L275&lt;&gt;""),'Atividades Micro'!$L275,"")</f>
        <v/>
      </c>
      <c r="AG236" s="21" t="str">
        <f>IF(AND('Atividades Micro'!$B275=AG$2,'Atividades Micro'!$K275&lt;&gt;""),'Atividades Micro'!$K275,"")</f>
        <v/>
      </c>
      <c r="AH236" s="21" t="str">
        <f>IF(AND('Atividades Micro'!$B275=AH$2,'Atividades Micro'!$L275&lt;&gt;""),'Atividades Micro'!$L275,"")</f>
        <v/>
      </c>
      <c r="AI236" s="21" t="str">
        <f>IF(AND('Atividades Micro'!$B275=AI$2,'Atividades Micro'!$K275&lt;&gt;""),'Atividades Micro'!$K275,"")</f>
        <v/>
      </c>
      <c r="AJ236" s="21" t="str">
        <f>IF(AND('Atividades Micro'!$B275=AJ$2,'Atividades Micro'!$L275&lt;&gt;""),'Atividades Micro'!$L275,"")</f>
        <v/>
      </c>
      <c r="AK236" s="21">
        <f>IF(AND('Atividades Micro'!$A275=AK$2,'Atividades Micro'!$K275&lt;&gt;""),'Atividades Micro'!$K275,"")</f>
        <v>46279</v>
      </c>
      <c r="AL236" s="21">
        <f>IF(AND('Atividades Micro'!$A275=AL$2,'Atividades Micro'!$L275&lt;&gt;""),'Atividades Micro'!$L275,"")</f>
        <v>46279</v>
      </c>
      <c r="AM236" s="21">
        <f>IF(AND('Atividades Micro'!$B275=AM$2,'Atividades Micro'!$K275&lt;&gt;""),'Atividades Micro'!$K275,"")</f>
        <v>46279</v>
      </c>
      <c r="AN236" s="21">
        <f>IF(AND('Atividades Micro'!$B275=AN$2,'Atividades Micro'!$L275&lt;&gt;""),'Atividades Micro'!$L275,"")</f>
        <v>46279</v>
      </c>
      <c r="AO236" s="21" t="str">
        <f>IF(AND('Atividades Micro'!$B275=AO$2,'Atividades Micro'!$K275&lt;&gt;""),'Atividades Micro'!$K275,"")</f>
        <v/>
      </c>
      <c r="AP236" s="21" t="str">
        <f>IF(AND('Atividades Micro'!$B275=AP$2,'Atividades Micro'!$L275&lt;&gt;""),'Atividades Micro'!$L275,"")</f>
        <v/>
      </c>
      <c r="AQ236" s="21" t="str">
        <f>IF(AND('Atividades Micro'!$A275=AQ$2,'Atividades Micro'!$K275&lt;&gt;""),'Atividades Micro'!$K275,"")</f>
        <v/>
      </c>
      <c r="AR236" s="21" t="str">
        <f>IF(AND('Atividades Micro'!$A275=AR$2,'Atividades Micro'!$L275&lt;&gt;""),'Atividades Micro'!$L275,"")</f>
        <v/>
      </c>
      <c r="AS236" s="21" t="str">
        <f>IF(AND('Atividades Micro'!$B275=AS$2,'Atividades Micro'!$K275&lt;&gt;""),'Atividades Micro'!$K275,"")</f>
        <v/>
      </c>
      <c r="AT236" s="21" t="str">
        <f>IF(AND('Atividades Micro'!$B275=AT$2,'Atividades Micro'!$L275&lt;&gt;""),'Atividades Micro'!$L275,"")</f>
        <v/>
      </c>
      <c r="AU236" s="21" t="str">
        <f>IF(AND('Atividades Micro'!$A275=AU$2,'Atividades Micro'!$K275&lt;&gt;""),'Atividades Micro'!$K275,"")</f>
        <v/>
      </c>
      <c r="AV236" s="21" t="str">
        <f>IF(AND('Atividades Micro'!$A275=AV$2,'Atividades Micro'!$L275&lt;&gt;""),'Atividades Micro'!$L275,"")</f>
        <v/>
      </c>
      <c r="AW236" s="21" t="str">
        <f>IF(AND('Atividades Micro'!$B275=AW$2,'Atividades Micro'!$K275&lt;&gt;""),'Atividades Micro'!$K275,"")</f>
        <v/>
      </c>
      <c r="AX236" s="21" t="str">
        <f>IF(AND('Atividades Micro'!$B275=AX$2,'Atividades Micro'!$L275&lt;&gt;""),'Atividades Micro'!$L275,"")</f>
        <v/>
      </c>
      <c r="AY236" s="21" t="str">
        <f>IF(AND('Atividades Micro'!$A275=AY$2,'Atividades Micro'!$K275&lt;&gt;""),'Atividades Micro'!$K275,"")</f>
        <v/>
      </c>
      <c r="AZ236" s="21" t="str">
        <f>IF(AND('Atividades Micro'!$A275=AZ$2,'Atividades Micro'!$L275&lt;&gt;""),'Atividades Micro'!$L275,"")</f>
        <v/>
      </c>
      <c r="BA236" s="21" t="str">
        <f>IF(AND('Atividades Micro'!$B275=BA$2,'Atividades Micro'!$K275&lt;&gt;""),'Atividades Micro'!$K275,"")</f>
        <v/>
      </c>
      <c r="BB236" s="21" t="str">
        <f>IF(AND('Atividades Micro'!$B275=BB$2,'Atividades Micro'!$L275&lt;&gt;""),'Atividades Micro'!$L275,"")</f>
        <v/>
      </c>
      <c r="BC236" s="21" t="str">
        <f>IF(AND('Atividades Micro'!$B275=BC$2,'Atividades Micro'!$G275="Macro",'Atividades Micro'!$K275&lt;&gt;""),'Atividades Micro'!$K275,"")</f>
        <v/>
      </c>
      <c r="BD236" s="21" t="str">
        <f>IF(AND('Atividades Micro'!$B275=BD$2,'Atividades Micro'!$G275="Macro",'Atividades Micro'!$K275&lt;&gt;""),'Atividades Micro'!$K275,"")</f>
        <v/>
      </c>
      <c r="BE236" s="21" t="str">
        <f>IF(AND('Atividades Micro'!$B275=BE$2,'Atividades Micro'!$G275="Macro",'Atividades Micro'!$K275&lt;&gt;""),'Atividades Micro'!$K275,"")</f>
        <v/>
      </c>
      <c r="BF236" s="21" t="str">
        <f>IF(AND('Atividades Micro'!$B275=BF$2,'Atividades Micro'!$G275="Macro",'Atividades Micro'!$K275&lt;&gt;""),'Atividades Micro'!$K275,"")</f>
        <v/>
      </c>
      <c r="BG236" s="21" t="str">
        <f>IF(AND('Atividades Micro'!$B275=BG$2,'Atividades Micro'!$G275="Macro",'Atividades Micro'!$K275&lt;&gt;""),'Atividades Micro'!$K275,"")</f>
        <v/>
      </c>
      <c r="BH236" s="21" t="str">
        <f>IF(AND('Atividades Micro'!$B275=BH$2,'Atividades Micro'!$G275="Macro",'Atividades Micro'!$K275&lt;&gt;""),'Atividades Micro'!$K275,"")</f>
        <v/>
      </c>
      <c r="BI236" s="21" t="str">
        <f>IF(AND('Atividades Micro'!$B275=BI$2,'Atividades Micro'!$G275="Macro",'Atividades Micro'!$K275&lt;&gt;""),'Atividades Micro'!$K275,"")</f>
        <v/>
      </c>
      <c r="BJ236" s="21" t="str">
        <f>IF(AND('Atividades Micro'!$B275=BJ$2,'Atividades Micro'!$G275="Macro",'Atividades Micro'!$K275&lt;&gt;""),'Atividades Micro'!$K275,"")</f>
        <v/>
      </c>
      <c r="BK236" s="21" t="str">
        <f>IF(AND('Atividades Micro'!$B275=BK$2,'Atividades Micro'!$G275="Macro",'Atividades Micro'!$K275&lt;&gt;""),'Atividades Micro'!$K275,"")</f>
        <v/>
      </c>
      <c r="BL236" s="21" t="str">
        <f>IF(AND('Atividades Micro'!$B275=BL$2,'Atividades Micro'!$G275="Macro",'Atividades Micro'!$K275&lt;&gt;""),'Atividades Micro'!$K275,"")</f>
        <v/>
      </c>
      <c r="BM236" s="21" t="str">
        <f>IF(AND('Atividades Micro'!$B275=BM$2,'Atividades Micro'!$G275="Macro",'Atividades Micro'!$K275&lt;&gt;""),'Atividades Micro'!$K275,"")</f>
        <v/>
      </c>
      <c r="BN236" s="21" t="str">
        <f>IF(AND('Atividades Micro'!$B275=BN$2,'Atividades Micro'!$G275="Macro",'Atividades Micro'!$K275&lt;&gt;""),'Atividades Micro'!$K275,"")</f>
        <v/>
      </c>
      <c r="BO236" s="21" t="str">
        <f>IF(AND('Atividades Micro'!$B275=BO$2,'Atividades Micro'!$G275="Macro",'Atividades Micro'!$K275&lt;&gt;""),'Atividades Micro'!$K275,"")</f>
        <v/>
      </c>
      <c r="BP236" s="21" t="str">
        <f>IF(AND('Atividades Micro'!$B275=BP$2,'Atividades Micro'!$G275="Macro",'Atividades Micro'!$K275&lt;&gt;""),'Atividades Micro'!$K275,"")</f>
        <v/>
      </c>
      <c r="BQ236" s="21" t="str">
        <f>IF(AND('Atividades Micro'!$B275=BQ$2,'Atividades Micro'!$G275="Macro",'Atividades Micro'!$K275&lt;&gt;""),'Atividades Micro'!$K275,"")</f>
        <v/>
      </c>
      <c r="BR236" s="21" t="str">
        <f>IF(AND('Atividades Micro'!$B275=BR$2,'Atividades Micro'!$G275="Macro",'Atividades Micro'!$K275&lt;&gt;""),'Atividades Micro'!$K275,"")</f>
        <v/>
      </c>
      <c r="BS236" s="21" t="str">
        <f>IF(AND('Atividades Micro'!$B275=BS$2,'Atividades Micro'!$G275="Macro",'Atividades Micro'!$K275&lt;&gt;""),'Atividades Micro'!$K275,"")</f>
        <v/>
      </c>
      <c r="BT236" s="21" t="str">
        <f>IF(AND('Atividades Micro'!$B275=BT$2,'Atividades Micro'!$G275="Macro",'Atividades Micro'!$K275&lt;&gt;""),'Atividades Micro'!$K275,"")</f>
        <v/>
      </c>
      <c r="BU236" s="21" t="str">
        <f>IF(AND('Atividades Micro'!$B275=BU$2,'Atividades Micro'!$G275="Macro",'Atividades Micro'!$K275&lt;&gt;""),'Atividades Micro'!$K275,"")</f>
        <v/>
      </c>
      <c r="BV236" s="21" t="str">
        <f>IF(AND('Atividades Micro'!$B275=BV$2,'Atividades Micro'!$G275="Macro",'Atividades Micro'!$K275&lt;&gt;""),'Atividades Micro'!$K275,"")</f>
        <v/>
      </c>
      <c r="BW236" s="21" t="str">
        <f>IF(AND('Atividades Micro'!$B275=BW$2,'Atividades Micro'!$G275="Macro",'Atividades Micro'!$K275&lt;&gt;""),'Atividades Micro'!$K275,"")</f>
        <v/>
      </c>
      <c r="BX236" s="21" t="str">
        <f>IF(AND('Atividades Micro'!$B275=BX$2,'Atividades Micro'!$G275="Macro",'Atividades Micro'!$K275&lt;&gt;""),'Atividades Micro'!$K275,"")</f>
        <v/>
      </c>
      <c r="BY236" s="21" t="str">
        <f>IF(AND('Atividades Micro'!$B275=BY$2,'Atividades Micro'!$G275="Macro",'Atividades Micro'!$K275&lt;&gt;""),'Atividades Micro'!$K275,"")</f>
        <v/>
      </c>
      <c r="BZ236" s="21" t="str">
        <f>IF(AND('Atividades Micro'!$B275=BZ$2,'Atividades Micro'!$G275="Macro",'Atividades Micro'!$K275&lt;&gt;""),'Atividades Micro'!$K275,"")</f>
        <v/>
      </c>
      <c r="CA236" s="21" t="str">
        <f>IF(AND('Atividades Micro'!$B275=CA$2,'Atividades Micro'!$G275="Macro",'Atividades Micro'!$K275&lt;&gt;""),'Atividades Micro'!$K275,"")</f>
        <v/>
      </c>
      <c r="CB236" s="21" t="str">
        <f>IF(AND('Atividades Micro'!$B275=CB$2,'Atividades Micro'!$G275="Macro",'Atividades Micro'!$K275&lt;&gt;""),'Atividades Micro'!$K275,"")</f>
        <v/>
      </c>
      <c r="CC236" s="21" t="str">
        <f>IF(AND('Atividades Micro'!$B275=CC$2,'Atividades Micro'!$G275="Macro",'Atividades Micro'!$K275&lt;&gt;""),'Atividades Micro'!$K275,"")</f>
        <v/>
      </c>
      <c r="CD236" s="21" t="str">
        <f>IF(AND('Atividades Micro'!$B275=CD$2,'Atividades Micro'!$G275="Micro",'Atividades Micro'!$K275&lt;&gt;""),'Atividades Micro'!$K275,"")</f>
        <v/>
      </c>
      <c r="CE236" s="21" t="str">
        <f>IF(AND('Atividades Micro'!$B275=CE$2,'Atividades Micro'!$G275="Micro",'Atividades Micro'!$K275&lt;&gt;""),'Atividades Micro'!$K275,"")</f>
        <v/>
      </c>
      <c r="CF236" s="21" t="str">
        <f>IF(AND('Atividades Micro'!$B275=CF$2,'Atividades Micro'!$G275="Micro",'Atividades Micro'!$K275&lt;&gt;""),'Atividades Micro'!$K275,"")</f>
        <v/>
      </c>
      <c r="CG236" s="21" t="str">
        <f>IF(AND('Atividades Micro'!$B275=CG$2,'Atividades Micro'!$G275="Micro",'Atividades Micro'!$K275&lt;&gt;""),'Atividades Micro'!$K275,"")</f>
        <v/>
      </c>
      <c r="CH236" s="21" t="str">
        <f>IF(AND('Atividades Micro'!$B275=CH$2,'Atividades Micro'!$G275="Micro",'Atividades Micro'!$K275&lt;&gt;""),'Atividades Micro'!$K275,"")</f>
        <v/>
      </c>
      <c r="CI236" s="21" t="str">
        <f>IF(AND('Atividades Micro'!$B275=CI$2,'Atividades Micro'!$G275="Micro",'Atividades Micro'!$K275&lt;&gt;""),'Atividades Micro'!$K275,"")</f>
        <v/>
      </c>
      <c r="CJ236" s="21" t="str">
        <f>IF(AND('Atividades Micro'!$B275=CJ$2,'Atividades Micro'!$G275="Micro",'Atividades Micro'!$K275&lt;&gt;""),'Atividades Micro'!$K275,"")</f>
        <v/>
      </c>
      <c r="CK236" s="21" t="str">
        <f>IF(AND('Atividades Micro'!$B275=CK$2,'Atividades Micro'!$G275="Micro",'Atividades Micro'!$K275&lt;&gt;""),'Atividades Micro'!$K275,"")</f>
        <v/>
      </c>
      <c r="CL236" s="21" t="str">
        <f>IF(AND('Atividades Micro'!$B275=CL$2,'Atividades Micro'!$G275="Micro",'Atividades Micro'!$K275&lt;&gt;""),'Atividades Micro'!$K275,"")</f>
        <v/>
      </c>
      <c r="CM236" s="21">
        <f>IF(AND('Atividades Micro'!$B275=CM$2,'Atividades Micro'!$G275="Micro",'Atividades Micro'!$K275&lt;&gt;""),'Atividades Micro'!$K275,"")</f>
        <v>46279</v>
      </c>
      <c r="CN236" s="21" t="str">
        <f>IF(AND('Atividades Micro'!$B275=CN$2,'Atividades Micro'!$G275="Micro",'Atividades Micro'!$K275&lt;&gt;""),'Atividades Micro'!$K275,"")</f>
        <v/>
      </c>
      <c r="CO236" s="21" t="str">
        <f>IF(AND('Atividades Micro'!$B275=CO$2,'Atividades Micro'!$G275="Micro",'Atividades Micro'!$K275&lt;&gt;""),'Atividades Micro'!$K275,"")</f>
        <v/>
      </c>
    </row>
    <row r="237" spans="1:93">
      <c r="A237" s="21" t="str">
        <f>IF(AND('Atividades Micro'!$A276=A$2,'Atividades Micro'!$K276&lt;&gt;""),'Atividades Micro'!$K276,"")</f>
        <v/>
      </c>
      <c r="B237" s="21" t="str">
        <f>IF(AND('Atividades Micro'!$A276=B$2,'Atividades Micro'!$L276&lt;&gt;""),'Atividades Micro'!$L276,"")</f>
        <v/>
      </c>
      <c r="C237" s="21" t="str">
        <f>IF(AND('Atividades Micro'!$A276=C$2,'Atividades Micro'!$K276&lt;&gt;""),'Atividades Micro'!$K276,"")</f>
        <v/>
      </c>
      <c r="D237" s="21" t="str">
        <f>IF(AND('Atividades Micro'!$A276=D$2,'Atividades Micro'!$L276&lt;&gt;""),'Atividades Micro'!$L276,"")</f>
        <v/>
      </c>
      <c r="E237" s="21" t="str">
        <f>IF(AND('Atividades Micro'!$A276=E$2,'Atividades Micro'!$K276&lt;&gt;""),'Atividades Micro'!$K276,"")</f>
        <v/>
      </c>
      <c r="F237" s="21" t="str">
        <f>IF(AND('Atividades Micro'!$A276=F$2,'Atividades Micro'!$L276&lt;&gt;""),'Atividades Micro'!$L276,"")</f>
        <v/>
      </c>
      <c r="G237" s="21" t="str">
        <f>IF(AND('Atividades Micro'!$A276=G$2,'Atividades Micro'!$K276&lt;&gt;""),'Atividades Micro'!$K276,"")</f>
        <v/>
      </c>
      <c r="H237" s="21" t="str">
        <f>IF(AND('Atividades Micro'!$A276=H$2,'Atividades Micro'!$L276&lt;&gt;""),'Atividades Micro'!$L276,"")</f>
        <v/>
      </c>
      <c r="I237" s="21" t="str">
        <f>IF(AND('Atividades Micro'!$A276=I$2,'Atividades Micro'!$K276&lt;&gt;""),'Atividades Micro'!$K276,"")</f>
        <v/>
      </c>
      <c r="J237" s="21" t="str">
        <f>IF(AND('Atividades Micro'!$A276=J$2,'Atividades Micro'!$L276&lt;&gt;""),'Atividades Micro'!$L276,"")</f>
        <v/>
      </c>
      <c r="K237" s="21" t="str">
        <f>IF(AND('Atividades Micro'!$B276=K$2,'Atividades Micro'!$K276&lt;&gt;""),'Atividades Micro'!$K276,"")</f>
        <v/>
      </c>
      <c r="L237" s="21" t="str">
        <f>IF(AND('Atividades Micro'!$B276=L$2,'Atividades Micro'!$L276&lt;&gt;""),'Atividades Micro'!$L276,"")</f>
        <v/>
      </c>
      <c r="M237" s="21" t="str">
        <f>IF(AND('Atividades Micro'!$B276=M$2,'Atividades Micro'!$K276&lt;&gt;""),'Atividades Micro'!$K276,"")</f>
        <v/>
      </c>
      <c r="N237" s="21" t="str">
        <f>IF(AND('Atividades Micro'!$B276=N$2,'Atividades Micro'!$L276&lt;&gt;""),'Atividades Micro'!$L276,"")</f>
        <v/>
      </c>
      <c r="O237" s="21" t="str">
        <f>IF(AND('Atividades Micro'!$A276=O$2,'Atividades Micro'!$K276&lt;&gt;""),'Atividades Micro'!$K276,"")</f>
        <v/>
      </c>
      <c r="P237" s="21" t="str">
        <f>IF(AND('Atividades Micro'!$A276=P$2,'Atividades Micro'!$L276&lt;&gt;""),'Atividades Micro'!$L276,"")</f>
        <v/>
      </c>
      <c r="Q237" s="21" t="str">
        <f>IF(AND('Atividades Micro'!$B276=Q$2,'Atividades Micro'!$K276&lt;&gt;""),'Atividades Micro'!$K276,"")</f>
        <v/>
      </c>
      <c r="R237" s="21" t="str">
        <f>IF(AND('Atividades Micro'!$B276=R$2,'Atividades Micro'!$L276&lt;&gt;""),'Atividades Micro'!$L276,"")</f>
        <v/>
      </c>
      <c r="S237" s="21" t="str">
        <f>IF(AND('Atividades Micro'!$A276=S$2,'Atividades Micro'!$K276&lt;&gt;""),'Atividades Micro'!$K276,"")</f>
        <v/>
      </c>
      <c r="T237" s="21" t="str">
        <f>IF(AND('Atividades Micro'!$A276=T$2,'Atividades Micro'!$L276&lt;&gt;""),'Atividades Micro'!$L276,"")</f>
        <v/>
      </c>
      <c r="U237" s="21" t="str">
        <f>IF(AND('Atividades Micro'!$B276=U$2,'Atividades Micro'!$K276&lt;&gt;""),'Atividades Micro'!$K276,"")</f>
        <v/>
      </c>
      <c r="V237" s="21" t="str">
        <f>IF(AND('Atividades Micro'!$B276=V$2,'Atividades Micro'!$L276&lt;&gt;""),'Atividades Micro'!$L276,"")</f>
        <v/>
      </c>
      <c r="W237" s="21" t="str">
        <f>IF(AND('Atividades Micro'!$B276=W$2,'Atividades Micro'!$K276&lt;&gt;""),'Atividades Micro'!$K276,"")</f>
        <v/>
      </c>
      <c r="X237" s="21" t="str">
        <f>IF(AND('Atividades Micro'!$B276=X$2,'Atividades Micro'!$L276&lt;&gt;""),'Atividades Micro'!$L276,"")</f>
        <v/>
      </c>
      <c r="Y237" s="21" t="str">
        <f>IF(AND('Atividades Micro'!$A276=Y$2,'Atividades Micro'!$K276&lt;&gt;""),'Atividades Micro'!$K276,"")</f>
        <v/>
      </c>
      <c r="Z237" s="21" t="str">
        <f>IF(AND('Atividades Micro'!$A276=Z$2,'Atividades Micro'!$L276&lt;&gt;""),'Atividades Micro'!$L276,"")</f>
        <v/>
      </c>
      <c r="AA237" s="21" t="str">
        <f>IF(AND('Atividades Micro'!$B276=AA$2,'Atividades Micro'!$K276&lt;&gt;""),'Atividades Micro'!$K276,"")</f>
        <v/>
      </c>
      <c r="AB237" s="21" t="str">
        <f>IF(AND('Atividades Micro'!$B276=AB$2,'Atividades Micro'!$L276&lt;&gt;""),'Atividades Micro'!$L276,"")</f>
        <v/>
      </c>
      <c r="AC237" s="21" t="str">
        <f>IF(AND('Atividades Micro'!$B276=AC$2,'Atividades Micro'!$K276&lt;&gt;""),'Atividades Micro'!$K276,"")</f>
        <v/>
      </c>
      <c r="AD237" s="21" t="str">
        <f>IF(AND('Atividades Micro'!$B276=AD$2,'Atividades Micro'!$L276&lt;&gt;""),'Atividades Micro'!$L276,"")</f>
        <v/>
      </c>
      <c r="AE237" s="21" t="str">
        <f>IF(AND('Atividades Micro'!$A276=AE$2,'Atividades Micro'!$K276&lt;&gt;""),'Atividades Micro'!$K276,"")</f>
        <v/>
      </c>
      <c r="AF237" s="21" t="str">
        <f>IF(AND('Atividades Micro'!$A276=AF$2,'Atividades Micro'!$L276&lt;&gt;""),'Atividades Micro'!$L276,"")</f>
        <v/>
      </c>
      <c r="AG237" s="21" t="str">
        <f>IF(AND('Atividades Micro'!$B276=AG$2,'Atividades Micro'!$K276&lt;&gt;""),'Atividades Micro'!$K276,"")</f>
        <v/>
      </c>
      <c r="AH237" s="21" t="str">
        <f>IF(AND('Atividades Micro'!$B276=AH$2,'Atividades Micro'!$L276&lt;&gt;""),'Atividades Micro'!$L276,"")</f>
        <v/>
      </c>
      <c r="AI237" s="21" t="str">
        <f>IF(AND('Atividades Micro'!$B276=AI$2,'Atividades Micro'!$K276&lt;&gt;""),'Atividades Micro'!$K276,"")</f>
        <v/>
      </c>
      <c r="AJ237" s="21" t="str">
        <f>IF(AND('Atividades Micro'!$B276=AJ$2,'Atividades Micro'!$L276&lt;&gt;""),'Atividades Micro'!$L276,"")</f>
        <v/>
      </c>
      <c r="AK237" s="21" t="str">
        <f>IF(AND('Atividades Micro'!$A276=AK$2,'Atividades Micro'!$K276&lt;&gt;""),'Atividades Micro'!$K276,"")</f>
        <v/>
      </c>
      <c r="AL237" s="21" t="str">
        <f>IF(AND('Atividades Micro'!$A276=AL$2,'Atividades Micro'!$L276&lt;&gt;""),'Atividades Micro'!$L276,"")</f>
        <v/>
      </c>
      <c r="AM237" s="21" t="str">
        <f>IF(AND('Atividades Micro'!$B276=AM$2,'Atividades Micro'!$K276&lt;&gt;""),'Atividades Micro'!$K276,"")</f>
        <v/>
      </c>
      <c r="AN237" s="21" t="str">
        <f>IF(AND('Atividades Micro'!$B276=AN$2,'Atividades Micro'!$L276&lt;&gt;""),'Atividades Micro'!$L276,"")</f>
        <v/>
      </c>
      <c r="AO237" s="21" t="str">
        <f>IF(AND('Atividades Micro'!$B276=AO$2,'Atividades Micro'!$K276&lt;&gt;""),'Atividades Micro'!$K276,"")</f>
        <v/>
      </c>
      <c r="AP237" s="21" t="str">
        <f>IF(AND('Atividades Micro'!$B276=AP$2,'Atividades Micro'!$L276&lt;&gt;""),'Atividades Micro'!$L276,"")</f>
        <v/>
      </c>
      <c r="AQ237" s="21" t="str">
        <f>IF(AND('Atividades Micro'!$A276=AQ$2,'Atividades Micro'!$K276&lt;&gt;""),'Atividades Micro'!$K276,"")</f>
        <v/>
      </c>
      <c r="AR237" s="21" t="str">
        <f>IF(AND('Atividades Micro'!$A276=AR$2,'Atividades Micro'!$L276&lt;&gt;""),'Atividades Micro'!$L276,"")</f>
        <v/>
      </c>
      <c r="AS237" s="21" t="str">
        <f>IF(AND('Atividades Micro'!$B276=AS$2,'Atividades Micro'!$K276&lt;&gt;""),'Atividades Micro'!$K276,"")</f>
        <v/>
      </c>
      <c r="AT237" s="21" t="str">
        <f>IF(AND('Atividades Micro'!$B276=AT$2,'Atividades Micro'!$L276&lt;&gt;""),'Atividades Micro'!$L276,"")</f>
        <v/>
      </c>
      <c r="AU237" s="21" t="str">
        <f>IF(AND('Atividades Micro'!$A276=AU$2,'Atividades Micro'!$K276&lt;&gt;""),'Atividades Micro'!$K276,"")</f>
        <v/>
      </c>
      <c r="AV237" s="21" t="str">
        <f>IF(AND('Atividades Micro'!$A276=AV$2,'Atividades Micro'!$L276&lt;&gt;""),'Atividades Micro'!$L276,"")</f>
        <v/>
      </c>
      <c r="AW237" s="21" t="str">
        <f>IF(AND('Atividades Micro'!$B276=AW$2,'Atividades Micro'!$K276&lt;&gt;""),'Atividades Micro'!$K276,"")</f>
        <v/>
      </c>
      <c r="AX237" s="21" t="str">
        <f>IF(AND('Atividades Micro'!$B276=AX$2,'Atividades Micro'!$L276&lt;&gt;""),'Atividades Micro'!$L276,"")</f>
        <v/>
      </c>
      <c r="AY237" s="21" t="str">
        <f>IF(AND('Atividades Micro'!$A276=AY$2,'Atividades Micro'!$K276&lt;&gt;""),'Atividades Micro'!$K276,"")</f>
        <v/>
      </c>
      <c r="AZ237" s="21" t="str">
        <f>IF(AND('Atividades Micro'!$A276=AZ$2,'Atividades Micro'!$L276&lt;&gt;""),'Atividades Micro'!$L276,"")</f>
        <v/>
      </c>
      <c r="BA237" s="21" t="str">
        <f>IF(AND('Atividades Micro'!$B276=BA$2,'Atividades Micro'!$K276&lt;&gt;""),'Atividades Micro'!$K276,"")</f>
        <v/>
      </c>
      <c r="BB237" s="21" t="str">
        <f>IF(AND('Atividades Micro'!$B276=BB$2,'Atividades Micro'!$L276&lt;&gt;""),'Atividades Micro'!$L276,"")</f>
        <v/>
      </c>
      <c r="BC237" s="21" t="str">
        <f>IF(AND('Atividades Micro'!$B276=BC$2,'Atividades Micro'!$G276="Macro",'Atividades Micro'!$K276&lt;&gt;""),'Atividades Micro'!$K276,"")</f>
        <v/>
      </c>
      <c r="BD237" s="21" t="str">
        <f>IF(AND('Atividades Micro'!$B276=BD$2,'Atividades Micro'!$G276="Macro",'Atividades Micro'!$K276&lt;&gt;""),'Atividades Micro'!$K276,"")</f>
        <v/>
      </c>
      <c r="BE237" s="21" t="str">
        <f>IF(AND('Atividades Micro'!$B276=BE$2,'Atividades Micro'!$G276="Macro",'Atividades Micro'!$K276&lt;&gt;""),'Atividades Micro'!$K276,"")</f>
        <v/>
      </c>
      <c r="BF237" s="21" t="str">
        <f>IF(AND('Atividades Micro'!$B276=BF$2,'Atividades Micro'!$G276="Macro",'Atividades Micro'!$K276&lt;&gt;""),'Atividades Micro'!$K276,"")</f>
        <v/>
      </c>
      <c r="BG237" s="21" t="str">
        <f>IF(AND('Atividades Micro'!$B276=BG$2,'Atividades Micro'!$G276="Macro",'Atividades Micro'!$K276&lt;&gt;""),'Atividades Micro'!$K276,"")</f>
        <v/>
      </c>
      <c r="BH237" s="21" t="str">
        <f>IF(AND('Atividades Micro'!$B276=BH$2,'Atividades Micro'!$G276="Macro",'Atividades Micro'!$K276&lt;&gt;""),'Atividades Micro'!$K276,"")</f>
        <v/>
      </c>
      <c r="BI237" s="21" t="str">
        <f>IF(AND('Atividades Micro'!$B276=BI$2,'Atividades Micro'!$G276="Macro",'Atividades Micro'!$K276&lt;&gt;""),'Atividades Micro'!$K276,"")</f>
        <v/>
      </c>
      <c r="BJ237" s="21" t="str">
        <f>IF(AND('Atividades Micro'!$B276=BJ$2,'Atividades Micro'!$G276="Macro",'Atividades Micro'!$K276&lt;&gt;""),'Atividades Micro'!$K276,"")</f>
        <v/>
      </c>
      <c r="BK237" s="21" t="str">
        <f>IF(AND('Atividades Micro'!$B276=BK$2,'Atividades Micro'!$G276="Macro",'Atividades Micro'!$K276&lt;&gt;""),'Atividades Micro'!$K276,"")</f>
        <v/>
      </c>
      <c r="BL237" s="21" t="str">
        <f>IF(AND('Atividades Micro'!$B276=BL$2,'Atividades Micro'!$G276="Macro",'Atividades Micro'!$K276&lt;&gt;""),'Atividades Micro'!$K276,"")</f>
        <v/>
      </c>
      <c r="BM237" s="21" t="str">
        <f>IF(AND('Atividades Micro'!$B276=BM$2,'Atividades Micro'!$G276="Macro",'Atividades Micro'!$K276&lt;&gt;""),'Atividades Micro'!$K276,"")</f>
        <v/>
      </c>
      <c r="BN237" s="21" t="str">
        <f>IF(AND('Atividades Micro'!$B276=BN$2,'Atividades Micro'!$G276="Macro",'Atividades Micro'!$K276&lt;&gt;""),'Atividades Micro'!$K276,"")</f>
        <v/>
      </c>
      <c r="BO237" s="21" t="str">
        <f>IF(AND('Atividades Micro'!$B276=BO$2,'Atividades Micro'!$G276="Macro",'Atividades Micro'!$K276&lt;&gt;""),'Atividades Micro'!$K276,"")</f>
        <v/>
      </c>
      <c r="BP237" s="21" t="str">
        <f>IF(AND('Atividades Micro'!$B276=BP$2,'Atividades Micro'!$G276="Macro",'Atividades Micro'!$K276&lt;&gt;""),'Atividades Micro'!$K276,"")</f>
        <v/>
      </c>
      <c r="BQ237" s="21" t="str">
        <f>IF(AND('Atividades Micro'!$B276=BQ$2,'Atividades Micro'!$G276="Macro",'Atividades Micro'!$K276&lt;&gt;""),'Atividades Micro'!$K276,"")</f>
        <v/>
      </c>
      <c r="BR237" s="21" t="str">
        <f>IF(AND('Atividades Micro'!$B276=BR$2,'Atividades Micro'!$G276="Macro",'Atividades Micro'!$K276&lt;&gt;""),'Atividades Micro'!$K276,"")</f>
        <v/>
      </c>
      <c r="BS237" s="21" t="str">
        <f>IF(AND('Atividades Micro'!$B276=BS$2,'Atividades Micro'!$G276="Macro",'Atividades Micro'!$K276&lt;&gt;""),'Atividades Micro'!$K276,"")</f>
        <v/>
      </c>
      <c r="BT237" s="21" t="str">
        <f>IF(AND('Atividades Micro'!$B276=BT$2,'Atividades Micro'!$G276="Macro",'Atividades Micro'!$K276&lt;&gt;""),'Atividades Micro'!$K276,"")</f>
        <v/>
      </c>
      <c r="BU237" s="21" t="str">
        <f>IF(AND('Atividades Micro'!$B276=BU$2,'Atividades Micro'!$G276="Macro",'Atividades Micro'!$K276&lt;&gt;""),'Atividades Micro'!$K276,"")</f>
        <v/>
      </c>
      <c r="BV237" s="21" t="str">
        <f>IF(AND('Atividades Micro'!$B276=BV$2,'Atividades Micro'!$G276="Macro",'Atividades Micro'!$K276&lt;&gt;""),'Atividades Micro'!$K276,"")</f>
        <v/>
      </c>
      <c r="BW237" s="21" t="str">
        <f>IF(AND('Atividades Micro'!$B276=BW$2,'Atividades Micro'!$G276="Macro",'Atividades Micro'!$K276&lt;&gt;""),'Atividades Micro'!$K276,"")</f>
        <v/>
      </c>
      <c r="BX237" s="21" t="str">
        <f>IF(AND('Atividades Micro'!$B276=BX$2,'Atividades Micro'!$G276="Macro",'Atividades Micro'!$K276&lt;&gt;""),'Atividades Micro'!$K276,"")</f>
        <v/>
      </c>
      <c r="BY237" s="21" t="str">
        <f>IF(AND('Atividades Micro'!$B276=BY$2,'Atividades Micro'!$G276="Macro",'Atividades Micro'!$K276&lt;&gt;""),'Atividades Micro'!$K276,"")</f>
        <v/>
      </c>
      <c r="BZ237" s="21" t="str">
        <f>IF(AND('Atividades Micro'!$B276=BZ$2,'Atividades Micro'!$G276="Macro",'Atividades Micro'!$K276&lt;&gt;""),'Atividades Micro'!$K276,"")</f>
        <v/>
      </c>
      <c r="CA237" s="21" t="str">
        <f>IF(AND('Atividades Micro'!$B276=CA$2,'Atividades Micro'!$G276="Macro",'Atividades Micro'!$K276&lt;&gt;""),'Atividades Micro'!$K276,"")</f>
        <v/>
      </c>
      <c r="CB237" s="21" t="str">
        <f>IF(AND('Atividades Micro'!$B276=CB$2,'Atividades Micro'!$G276="Macro",'Atividades Micro'!$K276&lt;&gt;""),'Atividades Micro'!$K276,"")</f>
        <v/>
      </c>
      <c r="CC237" s="21" t="str">
        <f>IF(AND('Atividades Micro'!$B276=CC$2,'Atividades Micro'!$G276="Macro",'Atividades Micro'!$K276&lt;&gt;""),'Atividades Micro'!$K276,"")</f>
        <v/>
      </c>
      <c r="CD237" s="21" t="str">
        <f>IF(AND('Atividades Micro'!$B276=CD$2,'Atividades Micro'!$G276="Micro",'Atividades Micro'!$K276&lt;&gt;""),'Atividades Micro'!$K276,"")</f>
        <v/>
      </c>
      <c r="CE237" s="21" t="str">
        <f>IF(AND('Atividades Micro'!$B276=CE$2,'Atividades Micro'!$G276="Micro",'Atividades Micro'!$K276&lt;&gt;""),'Atividades Micro'!$K276,"")</f>
        <v/>
      </c>
      <c r="CF237" s="21" t="str">
        <f>IF(AND('Atividades Micro'!$B276=CF$2,'Atividades Micro'!$G276="Micro",'Atividades Micro'!$K276&lt;&gt;""),'Atividades Micro'!$K276,"")</f>
        <v/>
      </c>
      <c r="CG237" s="21" t="str">
        <f>IF(AND('Atividades Micro'!$B276=CG$2,'Atividades Micro'!$G276="Micro",'Atividades Micro'!$K276&lt;&gt;""),'Atividades Micro'!$K276,"")</f>
        <v/>
      </c>
      <c r="CH237" s="21" t="str">
        <f>IF(AND('Atividades Micro'!$B276=CH$2,'Atividades Micro'!$G276="Micro",'Atividades Micro'!$K276&lt;&gt;""),'Atividades Micro'!$K276,"")</f>
        <v/>
      </c>
      <c r="CI237" s="21" t="str">
        <f>IF(AND('Atividades Micro'!$B276=CI$2,'Atividades Micro'!$G276="Micro",'Atividades Micro'!$K276&lt;&gt;""),'Atividades Micro'!$K276,"")</f>
        <v/>
      </c>
      <c r="CJ237" s="21" t="str">
        <f>IF(AND('Atividades Micro'!$B276=CJ$2,'Atividades Micro'!$G276="Micro",'Atividades Micro'!$K276&lt;&gt;""),'Atividades Micro'!$K276,"")</f>
        <v/>
      </c>
      <c r="CK237" s="21" t="str">
        <f>IF(AND('Atividades Micro'!$B276=CK$2,'Atividades Micro'!$G276="Micro",'Atividades Micro'!$K276&lt;&gt;""),'Atividades Micro'!$K276,"")</f>
        <v/>
      </c>
      <c r="CL237" s="21" t="str">
        <f>IF(AND('Atividades Micro'!$B276=CL$2,'Atividades Micro'!$G276="Micro",'Atividades Micro'!$K276&lt;&gt;""),'Atividades Micro'!$K276,"")</f>
        <v/>
      </c>
      <c r="CM237" s="21" t="str">
        <f>IF(AND('Atividades Micro'!$B276=CM$2,'Atividades Micro'!$G276="Micro",'Atividades Micro'!$K276&lt;&gt;""),'Atividades Micro'!$K276,"")</f>
        <v/>
      </c>
      <c r="CN237" s="21" t="str">
        <f>IF(AND('Atividades Micro'!$B276=CN$2,'Atividades Micro'!$G276="Micro",'Atividades Micro'!$K276&lt;&gt;""),'Atividades Micro'!$K276,"")</f>
        <v/>
      </c>
      <c r="CO237" s="21" t="str">
        <f>IF(AND('Atividades Micro'!$B276=CO$2,'Atividades Micro'!$G276="Micro",'Atividades Micro'!$K276&lt;&gt;""),'Atividades Micro'!$K276,"")</f>
        <v/>
      </c>
    </row>
    <row r="238" spans="1:93">
      <c r="A238" s="21" t="str">
        <f>IF(AND('Atividades Micro'!$A279=A$2,'Atividades Micro'!$K279&lt;&gt;""),'Atividades Micro'!$K279,"")</f>
        <v/>
      </c>
      <c r="B238" s="21" t="str">
        <f>IF(AND('Atividades Micro'!$A279=B$2,'Atividades Micro'!$L279&lt;&gt;""),'Atividades Micro'!$L279,"")</f>
        <v/>
      </c>
      <c r="C238" s="21" t="str">
        <f>IF(AND('Atividades Micro'!$A279=C$2,'Atividades Micro'!$K279&lt;&gt;""),'Atividades Micro'!$K279,"")</f>
        <v/>
      </c>
      <c r="D238" s="21" t="str">
        <f>IF(AND('Atividades Micro'!$A279=D$2,'Atividades Micro'!$L279&lt;&gt;""),'Atividades Micro'!$L279,"")</f>
        <v/>
      </c>
      <c r="E238" s="21" t="str">
        <f>IF(AND('Atividades Micro'!$A279=E$2,'Atividades Micro'!$K279&lt;&gt;""),'Atividades Micro'!$K279,"")</f>
        <v/>
      </c>
      <c r="F238" s="21" t="str">
        <f>IF(AND('Atividades Micro'!$A279=F$2,'Atividades Micro'!$L279&lt;&gt;""),'Atividades Micro'!$L279,"")</f>
        <v/>
      </c>
      <c r="G238" s="21" t="str">
        <f>IF(AND('Atividades Micro'!$A279=G$2,'Atividades Micro'!$K279&lt;&gt;""),'Atividades Micro'!$K279,"")</f>
        <v/>
      </c>
      <c r="H238" s="21" t="str">
        <f>IF(AND('Atividades Micro'!$A279=H$2,'Atividades Micro'!$L279&lt;&gt;""),'Atividades Micro'!$L279,"")</f>
        <v/>
      </c>
      <c r="I238" s="21" t="str">
        <f>IF(AND('Atividades Micro'!$A279=I$2,'Atividades Micro'!$K279&lt;&gt;""),'Atividades Micro'!$K279,"")</f>
        <v/>
      </c>
      <c r="J238" s="21" t="str">
        <f>IF(AND('Atividades Micro'!$A279=J$2,'Atividades Micro'!$L279&lt;&gt;""),'Atividades Micro'!$L279,"")</f>
        <v/>
      </c>
      <c r="K238" s="21" t="str">
        <f>IF(AND('Atividades Micro'!$B279=K$2,'Atividades Micro'!$K279&lt;&gt;""),'Atividades Micro'!$K279,"")</f>
        <v/>
      </c>
      <c r="L238" s="21" t="str">
        <f>IF(AND('Atividades Micro'!$B279=L$2,'Atividades Micro'!$L279&lt;&gt;""),'Atividades Micro'!$L279,"")</f>
        <v/>
      </c>
      <c r="M238" s="21" t="str">
        <f>IF(AND('Atividades Micro'!$B279=M$2,'Atividades Micro'!$K279&lt;&gt;""),'Atividades Micro'!$K279,"")</f>
        <v/>
      </c>
      <c r="N238" s="21" t="str">
        <f>IF(AND('Atividades Micro'!$B279=N$2,'Atividades Micro'!$L279&lt;&gt;""),'Atividades Micro'!$L279,"")</f>
        <v/>
      </c>
      <c r="O238" s="21" t="str">
        <f>IF(AND('Atividades Micro'!$A279=O$2,'Atividades Micro'!$K279&lt;&gt;""),'Atividades Micro'!$K279,"")</f>
        <v/>
      </c>
      <c r="P238" s="21" t="str">
        <f>IF(AND('Atividades Micro'!$A279=P$2,'Atividades Micro'!$L279&lt;&gt;""),'Atividades Micro'!$L279,"")</f>
        <v/>
      </c>
      <c r="Q238" s="21" t="str">
        <f>IF(AND('Atividades Micro'!$B279=Q$2,'Atividades Micro'!$K279&lt;&gt;""),'Atividades Micro'!$K279,"")</f>
        <v/>
      </c>
      <c r="R238" s="21" t="str">
        <f>IF(AND('Atividades Micro'!$B279=R$2,'Atividades Micro'!$L279&lt;&gt;""),'Atividades Micro'!$L279,"")</f>
        <v/>
      </c>
      <c r="S238" s="21" t="str">
        <f>IF(AND('Atividades Micro'!$A279=S$2,'Atividades Micro'!$K279&lt;&gt;""),'Atividades Micro'!$K279,"")</f>
        <v/>
      </c>
      <c r="T238" s="21" t="str">
        <f>IF(AND('Atividades Micro'!$A279=T$2,'Atividades Micro'!$L279&lt;&gt;""),'Atividades Micro'!$L279,"")</f>
        <v/>
      </c>
      <c r="U238" s="21" t="str">
        <f>IF(AND('Atividades Micro'!$B279=U$2,'Atividades Micro'!$K279&lt;&gt;""),'Atividades Micro'!$K279,"")</f>
        <v/>
      </c>
      <c r="V238" s="21" t="str">
        <f>IF(AND('Atividades Micro'!$B279=V$2,'Atividades Micro'!$L279&lt;&gt;""),'Atividades Micro'!$L279,"")</f>
        <v/>
      </c>
      <c r="W238" s="21" t="str">
        <f>IF(AND('Atividades Micro'!$B279=W$2,'Atividades Micro'!$K279&lt;&gt;""),'Atividades Micro'!$K279,"")</f>
        <v/>
      </c>
      <c r="X238" s="21" t="str">
        <f>IF(AND('Atividades Micro'!$B279=X$2,'Atividades Micro'!$L279&lt;&gt;""),'Atividades Micro'!$L279,"")</f>
        <v/>
      </c>
      <c r="Y238" s="21" t="str">
        <f>IF(AND('Atividades Micro'!$A279=Y$2,'Atividades Micro'!$K279&lt;&gt;""),'Atividades Micro'!$K279,"")</f>
        <v/>
      </c>
      <c r="Z238" s="21" t="str">
        <f>IF(AND('Atividades Micro'!$A279=Z$2,'Atividades Micro'!$L279&lt;&gt;""),'Atividades Micro'!$L279,"")</f>
        <v/>
      </c>
      <c r="AA238" s="21" t="str">
        <f>IF(AND('Atividades Micro'!$B279=AA$2,'Atividades Micro'!$K279&lt;&gt;""),'Atividades Micro'!$K279,"")</f>
        <v/>
      </c>
      <c r="AB238" s="21" t="str">
        <f>IF(AND('Atividades Micro'!$B279=AB$2,'Atividades Micro'!$L279&lt;&gt;""),'Atividades Micro'!$L279,"")</f>
        <v/>
      </c>
      <c r="AC238" s="21" t="str">
        <f>IF(AND('Atividades Micro'!$B279=AC$2,'Atividades Micro'!$K279&lt;&gt;""),'Atividades Micro'!$K279,"")</f>
        <v/>
      </c>
      <c r="AD238" s="21" t="str">
        <f>IF(AND('Atividades Micro'!$B279=AD$2,'Atividades Micro'!$L279&lt;&gt;""),'Atividades Micro'!$L279,"")</f>
        <v/>
      </c>
      <c r="AE238" s="21" t="str">
        <f>IF(AND('Atividades Micro'!$A279=AE$2,'Atividades Micro'!$K279&lt;&gt;""),'Atividades Micro'!$K279,"")</f>
        <v/>
      </c>
      <c r="AF238" s="21" t="str">
        <f>IF(AND('Atividades Micro'!$A279=AF$2,'Atividades Micro'!$L279&lt;&gt;""),'Atividades Micro'!$L279,"")</f>
        <v/>
      </c>
      <c r="AG238" s="21" t="str">
        <f>IF(AND('Atividades Micro'!$B279=AG$2,'Atividades Micro'!$K279&lt;&gt;""),'Atividades Micro'!$K279,"")</f>
        <v/>
      </c>
      <c r="AH238" s="21" t="str">
        <f>IF(AND('Atividades Micro'!$B279=AH$2,'Atividades Micro'!$L279&lt;&gt;""),'Atividades Micro'!$L279,"")</f>
        <v/>
      </c>
      <c r="AI238" s="21" t="str">
        <f>IF(AND('Atividades Micro'!$B279=AI$2,'Atividades Micro'!$K279&lt;&gt;""),'Atividades Micro'!$K279,"")</f>
        <v/>
      </c>
      <c r="AJ238" s="21" t="str">
        <f>IF(AND('Atividades Micro'!$B279=AJ$2,'Atividades Micro'!$L279&lt;&gt;""),'Atividades Micro'!$L279,"")</f>
        <v/>
      </c>
      <c r="AK238" s="21">
        <f>IF(AND('Atividades Micro'!$A279=AK$2,'Atividades Micro'!$K279&lt;&gt;""),'Atividades Micro'!$K279,"")</f>
        <v>46288</v>
      </c>
      <c r="AL238" s="21">
        <f>IF(AND('Atividades Micro'!$A279=AL$2,'Atividades Micro'!$L279&lt;&gt;""),'Atividades Micro'!$L279,"")</f>
        <v>46288</v>
      </c>
      <c r="AM238" s="21" t="str">
        <f>IF(AND('Atividades Micro'!$B279=AM$2,'Atividades Micro'!$K279&lt;&gt;""),'Atividades Micro'!$K279,"")</f>
        <v/>
      </c>
      <c r="AN238" s="21" t="str">
        <f>IF(AND('Atividades Micro'!$B279=AN$2,'Atividades Micro'!$L279&lt;&gt;""),'Atividades Micro'!$L279,"")</f>
        <v/>
      </c>
      <c r="AO238" s="21">
        <f>IF(AND('Atividades Micro'!$B279=AO$2,'Atividades Micro'!$K279&lt;&gt;""),'Atividades Micro'!$K279,"")</f>
        <v>46288</v>
      </c>
      <c r="AP238" s="21">
        <f>IF(AND('Atividades Micro'!$B279=AP$2,'Atividades Micro'!$L279&lt;&gt;""),'Atividades Micro'!$L279,"")</f>
        <v>46288</v>
      </c>
      <c r="AQ238" s="21" t="str">
        <f>IF(AND('Atividades Micro'!$A279=AQ$2,'Atividades Micro'!$K279&lt;&gt;""),'Atividades Micro'!$K279,"")</f>
        <v/>
      </c>
      <c r="AR238" s="21" t="str">
        <f>IF(AND('Atividades Micro'!$A279=AR$2,'Atividades Micro'!$L279&lt;&gt;""),'Atividades Micro'!$L279,"")</f>
        <v/>
      </c>
      <c r="AS238" s="21" t="str">
        <f>IF(AND('Atividades Micro'!$B279=AS$2,'Atividades Micro'!$K279&lt;&gt;""),'Atividades Micro'!$K279,"")</f>
        <v/>
      </c>
      <c r="AT238" s="21" t="str">
        <f>IF(AND('Atividades Micro'!$B279=AT$2,'Atividades Micro'!$L279&lt;&gt;""),'Atividades Micro'!$L279,"")</f>
        <v/>
      </c>
      <c r="AU238" s="21" t="str">
        <f>IF(AND('Atividades Micro'!$A279=AU$2,'Atividades Micro'!$K279&lt;&gt;""),'Atividades Micro'!$K279,"")</f>
        <v/>
      </c>
      <c r="AV238" s="21" t="str">
        <f>IF(AND('Atividades Micro'!$A279=AV$2,'Atividades Micro'!$L279&lt;&gt;""),'Atividades Micro'!$L279,"")</f>
        <v/>
      </c>
      <c r="AW238" s="21" t="str">
        <f>IF(AND('Atividades Micro'!$B279=AW$2,'Atividades Micro'!$K279&lt;&gt;""),'Atividades Micro'!$K279,"")</f>
        <v/>
      </c>
      <c r="AX238" s="21" t="str">
        <f>IF(AND('Atividades Micro'!$B279=AX$2,'Atividades Micro'!$L279&lt;&gt;""),'Atividades Micro'!$L279,"")</f>
        <v/>
      </c>
      <c r="AY238" s="21" t="str">
        <f>IF(AND('Atividades Micro'!$A279=AY$2,'Atividades Micro'!$K279&lt;&gt;""),'Atividades Micro'!$K279,"")</f>
        <v/>
      </c>
      <c r="AZ238" s="21" t="str">
        <f>IF(AND('Atividades Micro'!$A279=AZ$2,'Atividades Micro'!$L279&lt;&gt;""),'Atividades Micro'!$L279,"")</f>
        <v/>
      </c>
      <c r="BA238" s="21" t="str">
        <f>IF(AND('Atividades Micro'!$B279=BA$2,'Atividades Micro'!$K279&lt;&gt;""),'Atividades Micro'!$K279,"")</f>
        <v/>
      </c>
      <c r="BB238" s="21" t="str">
        <f>IF(AND('Atividades Micro'!$B279=BB$2,'Atividades Micro'!$L279&lt;&gt;""),'Atividades Micro'!$L279,"")</f>
        <v/>
      </c>
      <c r="BC238" s="21" t="str">
        <f>IF(AND('Atividades Micro'!$B279=BC$2,'Atividades Micro'!$G279="Macro",'Atividades Micro'!$K279&lt;&gt;""),'Atividades Micro'!$K279,"")</f>
        <v/>
      </c>
      <c r="BD238" s="21" t="str">
        <f>IF(AND('Atividades Micro'!$B279=BD$2,'Atividades Micro'!$G279="Macro",'Atividades Micro'!$K279&lt;&gt;""),'Atividades Micro'!$K279,"")</f>
        <v/>
      </c>
      <c r="BE238" s="21" t="str">
        <f>IF(AND('Atividades Micro'!$B279=BE$2,'Atividades Micro'!$G279="Macro",'Atividades Micro'!$K279&lt;&gt;""),'Atividades Micro'!$K279,"")</f>
        <v/>
      </c>
      <c r="BF238" s="21" t="str">
        <f>IF(AND('Atividades Micro'!$B279=BF$2,'Atividades Micro'!$G279="Macro",'Atividades Micro'!$K279&lt;&gt;""),'Atividades Micro'!$K279,"")</f>
        <v/>
      </c>
      <c r="BG238" s="21" t="str">
        <f>IF(AND('Atividades Micro'!$B279=BG$2,'Atividades Micro'!$G279="Macro",'Atividades Micro'!$K279&lt;&gt;""),'Atividades Micro'!$K279,"")</f>
        <v/>
      </c>
      <c r="BH238" s="21" t="str">
        <f>IF(AND('Atividades Micro'!$B279=BH$2,'Atividades Micro'!$G279="Macro",'Atividades Micro'!$K279&lt;&gt;""),'Atividades Micro'!$K279,"")</f>
        <v/>
      </c>
      <c r="BI238" s="21" t="str">
        <f>IF(AND('Atividades Micro'!$B279=BI$2,'Atividades Micro'!$G279="Macro",'Atividades Micro'!$K279&lt;&gt;""),'Atividades Micro'!$K279,"")</f>
        <v/>
      </c>
      <c r="BJ238" s="21" t="str">
        <f>IF(AND('Atividades Micro'!$B279=BJ$2,'Atividades Micro'!$G279="Macro",'Atividades Micro'!$K279&lt;&gt;""),'Atividades Micro'!$K279,"")</f>
        <v/>
      </c>
      <c r="BK238" s="21" t="str">
        <f>IF(AND('Atividades Micro'!$B279=BK$2,'Atividades Micro'!$G279="Macro",'Atividades Micro'!$K279&lt;&gt;""),'Atividades Micro'!$K279,"")</f>
        <v/>
      </c>
      <c r="BL238" s="21" t="str">
        <f>IF(AND('Atividades Micro'!$B279=BL$2,'Atividades Micro'!$G279="Macro",'Atividades Micro'!$K279&lt;&gt;""),'Atividades Micro'!$K279,"")</f>
        <v/>
      </c>
      <c r="BM238" s="21" t="str">
        <f>IF(AND('Atividades Micro'!$B279=BM$2,'Atividades Micro'!$G279="Macro",'Atividades Micro'!$K279&lt;&gt;""),'Atividades Micro'!$K279,"")</f>
        <v/>
      </c>
      <c r="BN238" s="21" t="str">
        <f>IF(AND('Atividades Micro'!$B279=BN$2,'Atividades Micro'!$G279="Macro",'Atividades Micro'!$K279&lt;&gt;""),'Atividades Micro'!$K279,"")</f>
        <v/>
      </c>
      <c r="BO238" s="21" t="str">
        <f>IF(AND('Atividades Micro'!$B279=BO$2,'Atividades Micro'!$G279="Macro",'Atividades Micro'!$K279&lt;&gt;""),'Atividades Micro'!$K279,"")</f>
        <v/>
      </c>
      <c r="BP238" s="21" t="str">
        <f>IF(AND('Atividades Micro'!$B279=BP$2,'Atividades Micro'!$G279="Macro",'Atividades Micro'!$K279&lt;&gt;""),'Atividades Micro'!$K279,"")</f>
        <v/>
      </c>
      <c r="BQ238" s="21" t="str">
        <f>IF(AND('Atividades Micro'!$B279=BQ$2,'Atividades Micro'!$G279="Macro",'Atividades Micro'!$K279&lt;&gt;""),'Atividades Micro'!$K279,"")</f>
        <v/>
      </c>
      <c r="BR238" s="21" t="str">
        <f>IF(AND('Atividades Micro'!$B279=BR$2,'Atividades Micro'!$G279="Macro",'Atividades Micro'!$K279&lt;&gt;""),'Atividades Micro'!$K279,"")</f>
        <v/>
      </c>
      <c r="BS238" s="21" t="str">
        <f>IF(AND('Atividades Micro'!$B279=BS$2,'Atividades Micro'!$G279="Macro",'Atividades Micro'!$K279&lt;&gt;""),'Atividades Micro'!$K279,"")</f>
        <v/>
      </c>
      <c r="BT238" s="21" t="str">
        <f>IF(AND('Atividades Micro'!$B279=BT$2,'Atividades Micro'!$G279="Macro",'Atividades Micro'!$K279&lt;&gt;""),'Atividades Micro'!$K279,"")</f>
        <v/>
      </c>
      <c r="BU238" s="21" t="str">
        <f>IF(AND('Atividades Micro'!$B279=BU$2,'Atividades Micro'!$G279="Macro",'Atividades Micro'!$K279&lt;&gt;""),'Atividades Micro'!$K279,"")</f>
        <v/>
      </c>
      <c r="BV238" s="21" t="str">
        <f>IF(AND('Atividades Micro'!$B279=BV$2,'Atividades Micro'!$G279="Macro",'Atividades Micro'!$K279&lt;&gt;""),'Atividades Micro'!$K279,"")</f>
        <v/>
      </c>
      <c r="BW238" s="21" t="str">
        <f>IF(AND('Atividades Micro'!$B279=BW$2,'Atividades Micro'!$G279="Macro",'Atividades Micro'!$K279&lt;&gt;""),'Atividades Micro'!$K279,"")</f>
        <v/>
      </c>
      <c r="BX238" s="21" t="str">
        <f>IF(AND('Atividades Micro'!$B279=BX$2,'Atividades Micro'!$G279="Macro",'Atividades Micro'!$K279&lt;&gt;""),'Atividades Micro'!$K279,"")</f>
        <v/>
      </c>
      <c r="BY238" s="21" t="str">
        <f>IF(AND('Atividades Micro'!$B279=BY$2,'Atividades Micro'!$G279="Macro",'Atividades Micro'!$K279&lt;&gt;""),'Atividades Micro'!$K279,"")</f>
        <v/>
      </c>
      <c r="BZ238" s="21" t="str">
        <f>IF(AND('Atividades Micro'!$B279=BZ$2,'Atividades Micro'!$G279="Macro",'Atividades Micro'!$K279&lt;&gt;""),'Atividades Micro'!$K279,"")</f>
        <v/>
      </c>
      <c r="CA238" s="21" t="str">
        <f>IF(AND('Atividades Micro'!$B279=CA$2,'Atividades Micro'!$G279="Macro",'Atividades Micro'!$K279&lt;&gt;""),'Atividades Micro'!$K279,"")</f>
        <v/>
      </c>
      <c r="CB238" s="21" t="str">
        <f>IF(AND('Atividades Micro'!$B279=CB$2,'Atividades Micro'!$G279="Macro",'Atividades Micro'!$K279&lt;&gt;""),'Atividades Micro'!$K279,"")</f>
        <v/>
      </c>
      <c r="CC238" s="21" t="str">
        <f>IF(AND('Atividades Micro'!$B279=CC$2,'Atividades Micro'!$G279="Macro",'Atividades Micro'!$K279&lt;&gt;""),'Atividades Micro'!$K279,"")</f>
        <v/>
      </c>
      <c r="CD238" s="21" t="str">
        <f>IF(AND('Atividades Micro'!$B279=CD$2,'Atividades Micro'!$G279="Micro",'Atividades Micro'!$K279&lt;&gt;""),'Atividades Micro'!$K279,"")</f>
        <v/>
      </c>
      <c r="CE238" s="21" t="str">
        <f>IF(AND('Atividades Micro'!$B279=CE$2,'Atividades Micro'!$G279="Micro",'Atividades Micro'!$K279&lt;&gt;""),'Atividades Micro'!$K279,"")</f>
        <v/>
      </c>
      <c r="CF238" s="21" t="str">
        <f>IF(AND('Atividades Micro'!$B279=CF$2,'Atividades Micro'!$G279="Micro",'Atividades Micro'!$K279&lt;&gt;""),'Atividades Micro'!$K279,"")</f>
        <v/>
      </c>
      <c r="CG238" s="21" t="str">
        <f>IF(AND('Atividades Micro'!$B279=CG$2,'Atividades Micro'!$G279="Micro",'Atividades Micro'!$K279&lt;&gt;""),'Atividades Micro'!$K279,"")</f>
        <v/>
      </c>
      <c r="CH238" s="21" t="str">
        <f>IF(AND('Atividades Micro'!$B279=CH$2,'Atividades Micro'!$G279="Micro",'Atividades Micro'!$K279&lt;&gt;""),'Atividades Micro'!$K279,"")</f>
        <v/>
      </c>
      <c r="CI238" s="21" t="str">
        <f>IF(AND('Atividades Micro'!$B279=CI$2,'Atividades Micro'!$G279="Micro",'Atividades Micro'!$K279&lt;&gt;""),'Atividades Micro'!$K279,"")</f>
        <v/>
      </c>
      <c r="CJ238" s="21" t="str">
        <f>IF(AND('Atividades Micro'!$B279=CJ$2,'Atividades Micro'!$G279="Micro",'Atividades Micro'!$K279&lt;&gt;""),'Atividades Micro'!$K279,"")</f>
        <v/>
      </c>
      <c r="CK238" s="21" t="str">
        <f>IF(AND('Atividades Micro'!$B279=CK$2,'Atividades Micro'!$G279="Micro",'Atividades Micro'!$K279&lt;&gt;""),'Atividades Micro'!$K279,"")</f>
        <v/>
      </c>
      <c r="CL238" s="21" t="str">
        <f>IF(AND('Atividades Micro'!$B279=CL$2,'Atividades Micro'!$G279="Micro",'Atividades Micro'!$K279&lt;&gt;""),'Atividades Micro'!$K279,"")</f>
        <v/>
      </c>
      <c r="CM238" s="21" t="str">
        <f>IF(AND('Atividades Micro'!$B279=CM$2,'Atividades Micro'!$G279="Micro",'Atividades Micro'!$K279&lt;&gt;""),'Atividades Micro'!$K279,"")</f>
        <v/>
      </c>
      <c r="CN238" s="21">
        <f>IF(AND('Atividades Micro'!$B279=CN$2,'Atividades Micro'!$G279="Micro",'Atividades Micro'!$K279&lt;&gt;""),'Atividades Micro'!$K279,"")</f>
        <v>46288</v>
      </c>
      <c r="CO238" s="21" t="str">
        <f>IF(AND('Atividades Micro'!$B279=CO$2,'Atividades Micro'!$G279="Micro",'Atividades Micro'!$K279&lt;&gt;""),'Atividades Micro'!$K279,"")</f>
        <v/>
      </c>
    </row>
    <row r="239" spans="1:93">
      <c r="A239" s="21" t="str">
        <f>IF(AND('Atividades Micro'!$A280=A$2,'Atividades Micro'!$K280&lt;&gt;""),'Atividades Micro'!$K280,"")</f>
        <v/>
      </c>
      <c r="B239" s="21" t="str">
        <f>IF(AND('Atividades Micro'!$A280=B$2,'Atividades Micro'!$L280&lt;&gt;""),'Atividades Micro'!$L280,"")</f>
        <v/>
      </c>
      <c r="C239" s="21" t="str">
        <f>IF(AND('Atividades Micro'!$A280=C$2,'Atividades Micro'!$K280&lt;&gt;""),'Atividades Micro'!$K280,"")</f>
        <v/>
      </c>
      <c r="D239" s="21" t="str">
        <f>IF(AND('Atividades Micro'!$A280=D$2,'Atividades Micro'!$L280&lt;&gt;""),'Atividades Micro'!$L280,"")</f>
        <v/>
      </c>
      <c r="E239" s="21" t="str">
        <f>IF(AND('Atividades Micro'!$A280=E$2,'Atividades Micro'!$K280&lt;&gt;""),'Atividades Micro'!$K280,"")</f>
        <v/>
      </c>
      <c r="F239" s="21" t="str">
        <f>IF(AND('Atividades Micro'!$A280=F$2,'Atividades Micro'!$L280&lt;&gt;""),'Atividades Micro'!$L280,"")</f>
        <v/>
      </c>
      <c r="G239" s="21" t="str">
        <f>IF(AND('Atividades Micro'!$A280=G$2,'Atividades Micro'!$K280&lt;&gt;""),'Atividades Micro'!$K280,"")</f>
        <v/>
      </c>
      <c r="H239" s="21" t="str">
        <f>IF(AND('Atividades Micro'!$A280=H$2,'Atividades Micro'!$L280&lt;&gt;""),'Atividades Micro'!$L280,"")</f>
        <v/>
      </c>
      <c r="I239" s="21" t="str">
        <f>IF(AND('Atividades Micro'!$A280=I$2,'Atividades Micro'!$K280&lt;&gt;""),'Atividades Micro'!$K280,"")</f>
        <v/>
      </c>
      <c r="J239" s="21" t="str">
        <f>IF(AND('Atividades Micro'!$A280=J$2,'Atividades Micro'!$L280&lt;&gt;""),'Atividades Micro'!$L280,"")</f>
        <v/>
      </c>
      <c r="K239" s="21" t="str">
        <f>IF(AND('Atividades Micro'!$B280=K$2,'Atividades Micro'!$K280&lt;&gt;""),'Atividades Micro'!$K280,"")</f>
        <v/>
      </c>
      <c r="L239" s="21" t="str">
        <f>IF(AND('Atividades Micro'!$B280=L$2,'Atividades Micro'!$L280&lt;&gt;""),'Atividades Micro'!$L280,"")</f>
        <v/>
      </c>
      <c r="M239" s="21" t="str">
        <f>IF(AND('Atividades Micro'!$B280=M$2,'Atividades Micro'!$K280&lt;&gt;""),'Atividades Micro'!$K280,"")</f>
        <v/>
      </c>
      <c r="N239" s="21" t="str">
        <f>IF(AND('Atividades Micro'!$B280=N$2,'Atividades Micro'!$L280&lt;&gt;""),'Atividades Micro'!$L280,"")</f>
        <v/>
      </c>
      <c r="O239" s="21" t="str">
        <f>IF(AND('Atividades Micro'!$A280=O$2,'Atividades Micro'!$K280&lt;&gt;""),'Atividades Micro'!$K280,"")</f>
        <v/>
      </c>
      <c r="P239" s="21" t="str">
        <f>IF(AND('Atividades Micro'!$A280=P$2,'Atividades Micro'!$L280&lt;&gt;""),'Atividades Micro'!$L280,"")</f>
        <v/>
      </c>
      <c r="Q239" s="21" t="str">
        <f>IF(AND('Atividades Micro'!$B280=Q$2,'Atividades Micro'!$K280&lt;&gt;""),'Atividades Micro'!$K280,"")</f>
        <v/>
      </c>
      <c r="R239" s="21" t="str">
        <f>IF(AND('Atividades Micro'!$B280=R$2,'Atividades Micro'!$L280&lt;&gt;""),'Atividades Micro'!$L280,"")</f>
        <v/>
      </c>
      <c r="S239" s="21" t="str">
        <f>IF(AND('Atividades Micro'!$A280=S$2,'Atividades Micro'!$K280&lt;&gt;""),'Atividades Micro'!$K280,"")</f>
        <v/>
      </c>
      <c r="T239" s="21" t="str">
        <f>IF(AND('Atividades Micro'!$A280=T$2,'Atividades Micro'!$L280&lt;&gt;""),'Atividades Micro'!$L280,"")</f>
        <v/>
      </c>
      <c r="U239" s="21" t="str">
        <f>IF(AND('Atividades Micro'!$B280=U$2,'Atividades Micro'!$K280&lt;&gt;""),'Atividades Micro'!$K280,"")</f>
        <v/>
      </c>
      <c r="V239" s="21" t="str">
        <f>IF(AND('Atividades Micro'!$B280=V$2,'Atividades Micro'!$L280&lt;&gt;""),'Atividades Micro'!$L280,"")</f>
        <v/>
      </c>
      <c r="W239" s="21" t="str">
        <f>IF(AND('Atividades Micro'!$B280=W$2,'Atividades Micro'!$K280&lt;&gt;""),'Atividades Micro'!$K280,"")</f>
        <v/>
      </c>
      <c r="X239" s="21" t="str">
        <f>IF(AND('Atividades Micro'!$B280=X$2,'Atividades Micro'!$L280&lt;&gt;""),'Atividades Micro'!$L280,"")</f>
        <v/>
      </c>
      <c r="Y239" s="21" t="str">
        <f>IF(AND('Atividades Micro'!$A280=Y$2,'Atividades Micro'!$K280&lt;&gt;""),'Atividades Micro'!$K280,"")</f>
        <v/>
      </c>
      <c r="Z239" s="21" t="str">
        <f>IF(AND('Atividades Micro'!$A280=Z$2,'Atividades Micro'!$L280&lt;&gt;""),'Atividades Micro'!$L280,"")</f>
        <v/>
      </c>
      <c r="AA239" s="21" t="str">
        <f>IF(AND('Atividades Micro'!$B280=AA$2,'Atividades Micro'!$K280&lt;&gt;""),'Atividades Micro'!$K280,"")</f>
        <v/>
      </c>
      <c r="AB239" s="21" t="str">
        <f>IF(AND('Atividades Micro'!$B280=AB$2,'Atividades Micro'!$L280&lt;&gt;""),'Atividades Micro'!$L280,"")</f>
        <v/>
      </c>
      <c r="AC239" s="21" t="str">
        <f>IF(AND('Atividades Micro'!$B280=AC$2,'Atividades Micro'!$K280&lt;&gt;""),'Atividades Micro'!$K280,"")</f>
        <v/>
      </c>
      <c r="AD239" s="21" t="str">
        <f>IF(AND('Atividades Micro'!$B280=AD$2,'Atividades Micro'!$L280&lt;&gt;""),'Atividades Micro'!$L280,"")</f>
        <v/>
      </c>
      <c r="AE239" s="21" t="str">
        <f>IF(AND('Atividades Micro'!$A280=AE$2,'Atividades Micro'!$K280&lt;&gt;""),'Atividades Micro'!$K280,"")</f>
        <v/>
      </c>
      <c r="AF239" s="21" t="str">
        <f>IF(AND('Atividades Micro'!$A280=AF$2,'Atividades Micro'!$L280&lt;&gt;""),'Atividades Micro'!$L280,"")</f>
        <v/>
      </c>
      <c r="AG239" s="21" t="str">
        <f>IF(AND('Atividades Micro'!$B280=AG$2,'Atividades Micro'!$K280&lt;&gt;""),'Atividades Micro'!$K280,"")</f>
        <v/>
      </c>
      <c r="AH239" s="21" t="str">
        <f>IF(AND('Atividades Micro'!$B280=AH$2,'Atividades Micro'!$L280&lt;&gt;""),'Atividades Micro'!$L280,"")</f>
        <v/>
      </c>
      <c r="AI239" s="21" t="str">
        <f>IF(AND('Atividades Micro'!$B280=AI$2,'Atividades Micro'!$K280&lt;&gt;""),'Atividades Micro'!$K280,"")</f>
        <v/>
      </c>
      <c r="AJ239" s="21" t="str">
        <f>IF(AND('Atividades Micro'!$B280=AJ$2,'Atividades Micro'!$L280&lt;&gt;""),'Atividades Micro'!$L280,"")</f>
        <v/>
      </c>
      <c r="AK239" s="21">
        <f>IF(AND('Atividades Micro'!$A280=AK$2,'Atividades Micro'!$K280&lt;&gt;""),'Atividades Micro'!$K280,"")</f>
        <v>46288</v>
      </c>
      <c r="AL239" s="21">
        <f>IF(AND('Atividades Micro'!$A280=AL$2,'Atividades Micro'!$L280&lt;&gt;""),'Atividades Micro'!$L280,"")</f>
        <v>46288</v>
      </c>
      <c r="AM239" s="21" t="str">
        <f>IF(AND('Atividades Micro'!$B280=AM$2,'Atividades Micro'!$K280&lt;&gt;""),'Atividades Micro'!$K280,"")</f>
        <v/>
      </c>
      <c r="AN239" s="21" t="str">
        <f>IF(AND('Atividades Micro'!$B280=AN$2,'Atividades Micro'!$L280&lt;&gt;""),'Atividades Micro'!$L280,"")</f>
        <v/>
      </c>
      <c r="AO239" s="21">
        <f>IF(AND('Atividades Micro'!$B280=AO$2,'Atividades Micro'!$K280&lt;&gt;""),'Atividades Micro'!$K280,"")</f>
        <v>46288</v>
      </c>
      <c r="AP239" s="21">
        <f>IF(AND('Atividades Micro'!$B280=AP$2,'Atividades Micro'!$L280&lt;&gt;""),'Atividades Micro'!$L280,"")</f>
        <v>46288</v>
      </c>
      <c r="AQ239" s="21" t="str">
        <f>IF(AND('Atividades Micro'!$A280=AQ$2,'Atividades Micro'!$K280&lt;&gt;""),'Atividades Micro'!$K280,"")</f>
        <v/>
      </c>
      <c r="AR239" s="21" t="str">
        <f>IF(AND('Atividades Micro'!$A280=AR$2,'Atividades Micro'!$L280&lt;&gt;""),'Atividades Micro'!$L280,"")</f>
        <v/>
      </c>
      <c r="AS239" s="21" t="str">
        <f>IF(AND('Atividades Micro'!$B280=AS$2,'Atividades Micro'!$K280&lt;&gt;""),'Atividades Micro'!$K280,"")</f>
        <v/>
      </c>
      <c r="AT239" s="21" t="str">
        <f>IF(AND('Atividades Micro'!$B280=AT$2,'Atividades Micro'!$L280&lt;&gt;""),'Atividades Micro'!$L280,"")</f>
        <v/>
      </c>
      <c r="AU239" s="21" t="str">
        <f>IF(AND('Atividades Micro'!$A280=AU$2,'Atividades Micro'!$K280&lt;&gt;""),'Atividades Micro'!$K280,"")</f>
        <v/>
      </c>
      <c r="AV239" s="21" t="str">
        <f>IF(AND('Atividades Micro'!$A280=AV$2,'Atividades Micro'!$L280&lt;&gt;""),'Atividades Micro'!$L280,"")</f>
        <v/>
      </c>
      <c r="AW239" s="21" t="str">
        <f>IF(AND('Atividades Micro'!$B280=AW$2,'Atividades Micro'!$K280&lt;&gt;""),'Atividades Micro'!$K280,"")</f>
        <v/>
      </c>
      <c r="AX239" s="21" t="str">
        <f>IF(AND('Atividades Micro'!$B280=AX$2,'Atividades Micro'!$L280&lt;&gt;""),'Atividades Micro'!$L280,"")</f>
        <v/>
      </c>
      <c r="AY239" s="21" t="str">
        <f>IF(AND('Atividades Micro'!$A280=AY$2,'Atividades Micro'!$K280&lt;&gt;""),'Atividades Micro'!$K280,"")</f>
        <v/>
      </c>
      <c r="AZ239" s="21" t="str">
        <f>IF(AND('Atividades Micro'!$A280=AZ$2,'Atividades Micro'!$L280&lt;&gt;""),'Atividades Micro'!$L280,"")</f>
        <v/>
      </c>
      <c r="BA239" s="21" t="str">
        <f>IF(AND('Atividades Micro'!$B280=BA$2,'Atividades Micro'!$K280&lt;&gt;""),'Atividades Micro'!$K280,"")</f>
        <v/>
      </c>
      <c r="BB239" s="21" t="str">
        <f>IF(AND('Atividades Micro'!$B280=BB$2,'Atividades Micro'!$L280&lt;&gt;""),'Atividades Micro'!$L280,"")</f>
        <v/>
      </c>
      <c r="BC239" s="21" t="str">
        <f>IF(AND('Atividades Micro'!$B280=BC$2,'Atividades Micro'!$G280="Macro",'Atividades Micro'!$K280&lt;&gt;""),'Atividades Micro'!$K280,"")</f>
        <v/>
      </c>
      <c r="BD239" s="21" t="str">
        <f>IF(AND('Atividades Micro'!$B280=BD$2,'Atividades Micro'!$G280="Macro",'Atividades Micro'!$K280&lt;&gt;""),'Atividades Micro'!$K280,"")</f>
        <v/>
      </c>
      <c r="BE239" s="21" t="str">
        <f>IF(AND('Atividades Micro'!$B280=BE$2,'Atividades Micro'!$G280="Macro",'Atividades Micro'!$K280&lt;&gt;""),'Atividades Micro'!$K280,"")</f>
        <v/>
      </c>
      <c r="BF239" s="21" t="str">
        <f>IF(AND('Atividades Micro'!$B280=BF$2,'Atividades Micro'!$G280="Macro",'Atividades Micro'!$K280&lt;&gt;""),'Atividades Micro'!$K280,"")</f>
        <v/>
      </c>
      <c r="BG239" s="21" t="str">
        <f>IF(AND('Atividades Micro'!$B280=BG$2,'Atividades Micro'!$G280="Macro",'Atividades Micro'!$K280&lt;&gt;""),'Atividades Micro'!$K280,"")</f>
        <v/>
      </c>
      <c r="BH239" s="21" t="str">
        <f>IF(AND('Atividades Micro'!$B280=BH$2,'Atividades Micro'!$G280="Macro",'Atividades Micro'!$K280&lt;&gt;""),'Atividades Micro'!$K280,"")</f>
        <v/>
      </c>
      <c r="BI239" s="21" t="str">
        <f>IF(AND('Atividades Micro'!$B280=BI$2,'Atividades Micro'!$G280="Macro",'Atividades Micro'!$K280&lt;&gt;""),'Atividades Micro'!$K280,"")</f>
        <v/>
      </c>
      <c r="BJ239" s="21" t="str">
        <f>IF(AND('Atividades Micro'!$B280=BJ$2,'Atividades Micro'!$G280="Macro",'Atividades Micro'!$K280&lt;&gt;""),'Atividades Micro'!$K280,"")</f>
        <v/>
      </c>
      <c r="BK239" s="21" t="str">
        <f>IF(AND('Atividades Micro'!$B280=BK$2,'Atividades Micro'!$G280="Macro",'Atividades Micro'!$K280&lt;&gt;""),'Atividades Micro'!$K280,"")</f>
        <v/>
      </c>
      <c r="BL239" s="21" t="str">
        <f>IF(AND('Atividades Micro'!$B280=BL$2,'Atividades Micro'!$G280="Macro",'Atividades Micro'!$K280&lt;&gt;""),'Atividades Micro'!$K280,"")</f>
        <v/>
      </c>
      <c r="BM239" s="21" t="str">
        <f>IF(AND('Atividades Micro'!$B280=BM$2,'Atividades Micro'!$G280="Macro",'Atividades Micro'!$K280&lt;&gt;""),'Atividades Micro'!$K280,"")</f>
        <v/>
      </c>
      <c r="BN239" s="21" t="str">
        <f>IF(AND('Atividades Micro'!$B280=BN$2,'Atividades Micro'!$G280="Macro",'Atividades Micro'!$K280&lt;&gt;""),'Atividades Micro'!$K280,"")</f>
        <v/>
      </c>
      <c r="BO239" s="21" t="str">
        <f>IF(AND('Atividades Micro'!$B280=BO$2,'Atividades Micro'!$G280="Macro",'Atividades Micro'!$K280&lt;&gt;""),'Atividades Micro'!$K280,"")</f>
        <v/>
      </c>
      <c r="BP239" s="21" t="str">
        <f>IF(AND('Atividades Micro'!$B280=BP$2,'Atividades Micro'!$G280="Macro",'Atividades Micro'!$K280&lt;&gt;""),'Atividades Micro'!$K280,"")</f>
        <v/>
      </c>
      <c r="BQ239" s="21" t="str">
        <f>IF(AND('Atividades Micro'!$B280=BQ$2,'Atividades Micro'!$G280="Macro",'Atividades Micro'!$K280&lt;&gt;""),'Atividades Micro'!$K280,"")</f>
        <v/>
      </c>
      <c r="BR239" s="21" t="str">
        <f>IF(AND('Atividades Micro'!$B280=BR$2,'Atividades Micro'!$G280="Macro",'Atividades Micro'!$K280&lt;&gt;""),'Atividades Micro'!$K280,"")</f>
        <v/>
      </c>
      <c r="BS239" s="21" t="str">
        <f>IF(AND('Atividades Micro'!$B280=BS$2,'Atividades Micro'!$G280="Macro",'Atividades Micro'!$K280&lt;&gt;""),'Atividades Micro'!$K280,"")</f>
        <v/>
      </c>
      <c r="BT239" s="21" t="str">
        <f>IF(AND('Atividades Micro'!$B280=BT$2,'Atividades Micro'!$G280="Macro",'Atividades Micro'!$K280&lt;&gt;""),'Atividades Micro'!$K280,"")</f>
        <v/>
      </c>
      <c r="BU239" s="21" t="str">
        <f>IF(AND('Atividades Micro'!$B280=BU$2,'Atividades Micro'!$G280="Macro",'Atividades Micro'!$K280&lt;&gt;""),'Atividades Micro'!$K280,"")</f>
        <v/>
      </c>
      <c r="BV239" s="21" t="str">
        <f>IF(AND('Atividades Micro'!$B280=BV$2,'Atividades Micro'!$G280="Macro",'Atividades Micro'!$K280&lt;&gt;""),'Atividades Micro'!$K280,"")</f>
        <v/>
      </c>
      <c r="BW239" s="21" t="str">
        <f>IF(AND('Atividades Micro'!$B280=BW$2,'Atividades Micro'!$G280="Macro",'Atividades Micro'!$K280&lt;&gt;""),'Atividades Micro'!$K280,"")</f>
        <v/>
      </c>
      <c r="BX239" s="21" t="str">
        <f>IF(AND('Atividades Micro'!$B280=BX$2,'Atividades Micro'!$G280="Macro",'Atividades Micro'!$K280&lt;&gt;""),'Atividades Micro'!$K280,"")</f>
        <v/>
      </c>
      <c r="BY239" s="21" t="str">
        <f>IF(AND('Atividades Micro'!$B280=BY$2,'Atividades Micro'!$G280="Macro",'Atividades Micro'!$K280&lt;&gt;""),'Atividades Micro'!$K280,"")</f>
        <v/>
      </c>
      <c r="BZ239" s="21" t="str">
        <f>IF(AND('Atividades Micro'!$B280=BZ$2,'Atividades Micro'!$G280="Macro",'Atividades Micro'!$K280&lt;&gt;""),'Atividades Micro'!$K280,"")</f>
        <v/>
      </c>
      <c r="CA239" s="21" t="str">
        <f>IF(AND('Atividades Micro'!$B280=CA$2,'Atividades Micro'!$G280="Macro",'Atividades Micro'!$K280&lt;&gt;""),'Atividades Micro'!$K280,"")</f>
        <v/>
      </c>
      <c r="CB239" s="21" t="str">
        <f>IF(AND('Atividades Micro'!$B280=CB$2,'Atividades Micro'!$G280="Macro",'Atividades Micro'!$K280&lt;&gt;""),'Atividades Micro'!$K280,"")</f>
        <v/>
      </c>
      <c r="CC239" s="21" t="str">
        <f>IF(AND('Atividades Micro'!$B280=CC$2,'Atividades Micro'!$G280="Macro",'Atividades Micro'!$K280&lt;&gt;""),'Atividades Micro'!$K280,"")</f>
        <v/>
      </c>
      <c r="CD239" s="21" t="str">
        <f>IF(AND('Atividades Micro'!$B280=CD$2,'Atividades Micro'!$G280="Micro",'Atividades Micro'!$K280&lt;&gt;""),'Atividades Micro'!$K280,"")</f>
        <v/>
      </c>
      <c r="CE239" s="21" t="str">
        <f>IF(AND('Atividades Micro'!$B280=CE$2,'Atividades Micro'!$G280="Micro",'Atividades Micro'!$K280&lt;&gt;""),'Atividades Micro'!$K280,"")</f>
        <v/>
      </c>
      <c r="CF239" s="21" t="str">
        <f>IF(AND('Atividades Micro'!$B280=CF$2,'Atividades Micro'!$G280="Micro",'Atividades Micro'!$K280&lt;&gt;""),'Atividades Micro'!$K280,"")</f>
        <v/>
      </c>
      <c r="CG239" s="21" t="str">
        <f>IF(AND('Atividades Micro'!$B280=CG$2,'Atividades Micro'!$G280="Micro",'Atividades Micro'!$K280&lt;&gt;""),'Atividades Micro'!$K280,"")</f>
        <v/>
      </c>
      <c r="CH239" s="21" t="str">
        <f>IF(AND('Atividades Micro'!$B280=CH$2,'Atividades Micro'!$G280="Micro",'Atividades Micro'!$K280&lt;&gt;""),'Atividades Micro'!$K280,"")</f>
        <v/>
      </c>
      <c r="CI239" s="21" t="str">
        <f>IF(AND('Atividades Micro'!$B280=CI$2,'Atividades Micro'!$G280="Micro",'Atividades Micro'!$K280&lt;&gt;""),'Atividades Micro'!$K280,"")</f>
        <v/>
      </c>
      <c r="CJ239" s="21" t="str">
        <f>IF(AND('Atividades Micro'!$B280=CJ$2,'Atividades Micro'!$G280="Micro",'Atividades Micro'!$K280&lt;&gt;""),'Atividades Micro'!$K280,"")</f>
        <v/>
      </c>
      <c r="CK239" s="21" t="str">
        <f>IF(AND('Atividades Micro'!$B280=CK$2,'Atividades Micro'!$G280="Micro",'Atividades Micro'!$K280&lt;&gt;""),'Atividades Micro'!$K280,"")</f>
        <v/>
      </c>
      <c r="CL239" s="21" t="str">
        <f>IF(AND('Atividades Micro'!$B280=CL$2,'Atividades Micro'!$G280="Micro",'Atividades Micro'!$K280&lt;&gt;""),'Atividades Micro'!$K280,"")</f>
        <v/>
      </c>
      <c r="CM239" s="21" t="str">
        <f>IF(AND('Atividades Micro'!$B280=CM$2,'Atividades Micro'!$G280="Micro",'Atividades Micro'!$K280&lt;&gt;""),'Atividades Micro'!$K280,"")</f>
        <v/>
      </c>
      <c r="CN239" s="21">
        <f>IF(AND('Atividades Micro'!$B280=CN$2,'Atividades Micro'!$G280="Micro",'Atividades Micro'!$K280&lt;&gt;""),'Atividades Micro'!$K280,"")</f>
        <v>46288</v>
      </c>
      <c r="CO239" s="21" t="str">
        <f>IF(AND('Atividades Micro'!$B280=CO$2,'Atividades Micro'!$G280="Micro",'Atividades Micro'!$K280&lt;&gt;""),'Atividades Micro'!$K280,"")</f>
        <v/>
      </c>
    </row>
    <row r="240" spans="1:93">
      <c r="A240" s="21" t="str">
        <f>IF(AND('Atividades Micro'!$A281=A$2,'Atividades Micro'!$K281&lt;&gt;""),'Atividades Micro'!$K281,"")</f>
        <v/>
      </c>
      <c r="B240" s="21" t="str">
        <f>IF(AND('Atividades Micro'!$A281=B$2,'Atividades Micro'!$L281&lt;&gt;""),'Atividades Micro'!$L281,"")</f>
        <v/>
      </c>
      <c r="C240" s="21" t="str">
        <f>IF(AND('Atividades Micro'!$A281=C$2,'Atividades Micro'!$K281&lt;&gt;""),'Atividades Micro'!$K281,"")</f>
        <v/>
      </c>
      <c r="D240" s="21" t="str">
        <f>IF(AND('Atividades Micro'!$A281=D$2,'Atividades Micro'!$L281&lt;&gt;""),'Atividades Micro'!$L281,"")</f>
        <v/>
      </c>
      <c r="E240" s="21" t="str">
        <f>IF(AND('Atividades Micro'!$A281=E$2,'Atividades Micro'!$K281&lt;&gt;""),'Atividades Micro'!$K281,"")</f>
        <v/>
      </c>
      <c r="F240" s="21" t="str">
        <f>IF(AND('Atividades Micro'!$A281=F$2,'Atividades Micro'!$L281&lt;&gt;""),'Atividades Micro'!$L281,"")</f>
        <v/>
      </c>
      <c r="G240" s="21" t="str">
        <f>IF(AND('Atividades Micro'!$A281=G$2,'Atividades Micro'!$K281&lt;&gt;""),'Atividades Micro'!$K281,"")</f>
        <v/>
      </c>
      <c r="H240" s="21" t="str">
        <f>IF(AND('Atividades Micro'!$A281=H$2,'Atividades Micro'!$L281&lt;&gt;""),'Atividades Micro'!$L281,"")</f>
        <v/>
      </c>
      <c r="I240" s="21" t="str">
        <f>IF(AND('Atividades Micro'!$A281=I$2,'Atividades Micro'!$K281&lt;&gt;""),'Atividades Micro'!$K281,"")</f>
        <v/>
      </c>
      <c r="J240" s="21" t="str">
        <f>IF(AND('Atividades Micro'!$A281=J$2,'Atividades Micro'!$L281&lt;&gt;""),'Atividades Micro'!$L281,"")</f>
        <v/>
      </c>
      <c r="K240" s="21" t="str">
        <f>IF(AND('Atividades Micro'!$B281=K$2,'Atividades Micro'!$K281&lt;&gt;""),'Atividades Micro'!$K281,"")</f>
        <v/>
      </c>
      <c r="L240" s="21" t="str">
        <f>IF(AND('Atividades Micro'!$B281=L$2,'Atividades Micro'!$L281&lt;&gt;""),'Atividades Micro'!$L281,"")</f>
        <v/>
      </c>
      <c r="M240" s="21" t="str">
        <f>IF(AND('Atividades Micro'!$B281=M$2,'Atividades Micro'!$K281&lt;&gt;""),'Atividades Micro'!$K281,"")</f>
        <v/>
      </c>
      <c r="N240" s="21" t="str">
        <f>IF(AND('Atividades Micro'!$B281=N$2,'Atividades Micro'!$L281&lt;&gt;""),'Atividades Micro'!$L281,"")</f>
        <v/>
      </c>
      <c r="O240" s="21" t="str">
        <f>IF(AND('Atividades Micro'!$A281=O$2,'Atividades Micro'!$K281&lt;&gt;""),'Atividades Micro'!$K281,"")</f>
        <v/>
      </c>
      <c r="P240" s="21" t="str">
        <f>IF(AND('Atividades Micro'!$A281=P$2,'Atividades Micro'!$L281&lt;&gt;""),'Atividades Micro'!$L281,"")</f>
        <v/>
      </c>
      <c r="Q240" s="21" t="str">
        <f>IF(AND('Atividades Micro'!$B281=Q$2,'Atividades Micro'!$K281&lt;&gt;""),'Atividades Micro'!$K281,"")</f>
        <v/>
      </c>
      <c r="R240" s="21" t="str">
        <f>IF(AND('Atividades Micro'!$B281=R$2,'Atividades Micro'!$L281&lt;&gt;""),'Atividades Micro'!$L281,"")</f>
        <v/>
      </c>
      <c r="S240" s="21" t="str">
        <f>IF(AND('Atividades Micro'!$A281=S$2,'Atividades Micro'!$K281&lt;&gt;""),'Atividades Micro'!$K281,"")</f>
        <v/>
      </c>
      <c r="T240" s="21" t="str">
        <f>IF(AND('Atividades Micro'!$A281=T$2,'Atividades Micro'!$L281&lt;&gt;""),'Atividades Micro'!$L281,"")</f>
        <v/>
      </c>
      <c r="U240" s="21" t="str">
        <f>IF(AND('Atividades Micro'!$B281=U$2,'Atividades Micro'!$K281&lt;&gt;""),'Atividades Micro'!$K281,"")</f>
        <v/>
      </c>
      <c r="V240" s="21" t="str">
        <f>IF(AND('Atividades Micro'!$B281=V$2,'Atividades Micro'!$L281&lt;&gt;""),'Atividades Micro'!$L281,"")</f>
        <v/>
      </c>
      <c r="W240" s="21" t="str">
        <f>IF(AND('Atividades Micro'!$B281=W$2,'Atividades Micro'!$K281&lt;&gt;""),'Atividades Micro'!$K281,"")</f>
        <v/>
      </c>
      <c r="X240" s="21" t="str">
        <f>IF(AND('Atividades Micro'!$B281=X$2,'Atividades Micro'!$L281&lt;&gt;""),'Atividades Micro'!$L281,"")</f>
        <v/>
      </c>
      <c r="Y240" s="21" t="str">
        <f>IF(AND('Atividades Micro'!$A281=Y$2,'Atividades Micro'!$K281&lt;&gt;""),'Atividades Micro'!$K281,"")</f>
        <v/>
      </c>
      <c r="Z240" s="21" t="str">
        <f>IF(AND('Atividades Micro'!$A281=Z$2,'Atividades Micro'!$L281&lt;&gt;""),'Atividades Micro'!$L281,"")</f>
        <v/>
      </c>
      <c r="AA240" s="21" t="str">
        <f>IF(AND('Atividades Micro'!$B281=AA$2,'Atividades Micro'!$K281&lt;&gt;""),'Atividades Micro'!$K281,"")</f>
        <v/>
      </c>
      <c r="AB240" s="21" t="str">
        <f>IF(AND('Atividades Micro'!$B281=AB$2,'Atividades Micro'!$L281&lt;&gt;""),'Atividades Micro'!$L281,"")</f>
        <v/>
      </c>
      <c r="AC240" s="21" t="str">
        <f>IF(AND('Atividades Micro'!$B281=AC$2,'Atividades Micro'!$K281&lt;&gt;""),'Atividades Micro'!$K281,"")</f>
        <v/>
      </c>
      <c r="AD240" s="21" t="str">
        <f>IF(AND('Atividades Micro'!$B281=AD$2,'Atividades Micro'!$L281&lt;&gt;""),'Atividades Micro'!$L281,"")</f>
        <v/>
      </c>
      <c r="AE240" s="21" t="str">
        <f>IF(AND('Atividades Micro'!$A281=AE$2,'Atividades Micro'!$K281&lt;&gt;""),'Atividades Micro'!$K281,"")</f>
        <v/>
      </c>
      <c r="AF240" s="21" t="str">
        <f>IF(AND('Atividades Micro'!$A281=AF$2,'Atividades Micro'!$L281&lt;&gt;""),'Atividades Micro'!$L281,"")</f>
        <v/>
      </c>
      <c r="AG240" s="21" t="str">
        <f>IF(AND('Atividades Micro'!$B281=AG$2,'Atividades Micro'!$K281&lt;&gt;""),'Atividades Micro'!$K281,"")</f>
        <v/>
      </c>
      <c r="AH240" s="21" t="str">
        <f>IF(AND('Atividades Micro'!$B281=AH$2,'Atividades Micro'!$L281&lt;&gt;""),'Atividades Micro'!$L281,"")</f>
        <v/>
      </c>
      <c r="AI240" s="21" t="str">
        <f>IF(AND('Atividades Micro'!$B281=AI$2,'Atividades Micro'!$K281&lt;&gt;""),'Atividades Micro'!$K281,"")</f>
        <v/>
      </c>
      <c r="AJ240" s="21" t="str">
        <f>IF(AND('Atividades Micro'!$B281=AJ$2,'Atividades Micro'!$L281&lt;&gt;""),'Atividades Micro'!$L281,"")</f>
        <v/>
      </c>
      <c r="AK240" s="21">
        <f>IF(AND('Atividades Micro'!$A281=AK$2,'Atividades Micro'!$K281&lt;&gt;""),'Atividades Micro'!$K281,"")</f>
        <v>46301</v>
      </c>
      <c r="AL240" s="21">
        <f>IF(AND('Atividades Micro'!$A281=AL$2,'Atividades Micro'!$L281&lt;&gt;""),'Atividades Micro'!$L281,"")</f>
        <v>46301</v>
      </c>
      <c r="AM240" s="21" t="str">
        <f>IF(AND('Atividades Micro'!$B281=AM$2,'Atividades Micro'!$K281&lt;&gt;""),'Atividades Micro'!$K281,"")</f>
        <v/>
      </c>
      <c r="AN240" s="21" t="str">
        <f>IF(AND('Atividades Micro'!$B281=AN$2,'Atividades Micro'!$L281&lt;&gt;""),'Atividades Micro'!$L281,"")</f>
        <v/>
      </c>
      <c r="AO240" s="21">
        <f>IF(AND('Atividades Micro'!$B281=AO$2,'Atividades Micro'!$K281&lt;&gt;""),'Atividades Micro'!$K281,"")</f>
        <v>46301</v>
      </c>
      <c r="AP240" s="21">
        <f>IF(AND('Atividades Micro'!$B281=AP$2,'Atividades Micro'!$L281&lt;&gt;""),'Atividades Micro'!$L281,"")</f>
        <v>46301</v>
      </c>
      <c r="AQ240" s="21" t="str">
        <f>IF(AND('Atividades Micro'!$A281=AQ$2,'Atividades Micro'!$K281&lt;&gt;""),'Atividades Micro'!$K281,"")</f>
        <v/>
      </c>
      <c r="AR240" s="21" t="str">
        <f>IF(AND('Atividades Micro'!$A281=AR$2,'Atividades Micro'!$L281&lt;&gt;""),'Atividades Micro'!$L281,"")</f>
        <v/>
      </c>
      <c r="AS240" s="21" t="str">
        <f>IF(AND('Atividades Micro'!$B281=AS$2,'Atividades Micro'!$K281&lt;&gt;""),'Atividades Micro'!$K281,"")</f>
        <v/>
      </c>
      <c r="AT240" s="21" t="str">
        <f>IF(AND('Atividades Micro'!$B281=AT$2,'Atividades Micro'!$L281&lt;&gt;""),'Atividades Micro'!$L281,"")</f>
        <v/>
      </c>
      <c r="AU240" s="21" t="str">
        <f>IF(AND('Atividades Micro'!$A281=AU$2,'Atividades Micro'!$K281&lt;&gt;""),'Atividades Micro'!$K281,"")</f>
        <v/>
      </c>
      <c r="AV240" s="21" t="str">
        <f>IF(AND('Atividades Micro'!$A281=AV$2,'Atividades Micro'!$L281&lt;&gt;""),'Atividades Micro'!$L281,"")</f>
        <v/>
      </c>
      <c r="AW240" s="21" t="str">
        <f>IF(AND('Atividades Micro'!$B281=AW$2,'Atividades Micro'!$K281&lt;&gt;""),'Atividades Micro'!$K281,"")</f>
        <v/>
      </c>
      <c r="AX240" s="21" t="str">
        <f>IF(AND('Atividades Micro'!$B281=AX$2,'Atividades Micro'!$L281&lt;&gt;""),'Atividades Micro'!$L281,"")</f>
        <v/>
      </c>
      <c r="AY240" s="21" t="str">
        <f>IF(AND('Atividades Micro'!$A281=AY$2,'Atividades Micro'!$K281&lt;&gt;""),'Atividades Micro'!$K281,"")</f>
        <v/>
      </c>
      <c r="AZ240" s="21" t="str">
        <f>IF(AND('Atividades Micro'!$A281=AZ$2,'Atividades Micro'!$L281&lt;&gt;""),'Atividades Micro'!$L281,"")</f>
        <v/>
      </c>
      <c r="BA240" s="21" t="str">
        <f>IF(AND('Atividades Micro'!$B281=BA$2,'Atividades Micro'!$K281&lt;&gt;""),'Atividades Micro'!$K281,"")</f>
        <v/>
      </c>
      <c r="BB240" s="21" t="str">
        <f>IF(AND('Atividades Micro'!$B281=BB$2,'Atividades Micro'!$L281&lt;&gt;""),'Atividades Micro'!$L281,"")</f>
        <v/>
      </c>
      <c r="BC240" s="21" t="str">
        <f>IF(AND('Atividades Micro'!$B281=BC$2,'Atividades Micro'!$G281="Macro",'Atividades Micro'!$K281&lt;&gt;""),'Atividades Micro'!$K281,"")</f>
        <v/>
      </c>
      <c r="BD240" s="21" t="str">
        <f>IF(AND('Atividades Micro'!$B281=BD$2,'Atividades Micro'!$G281="Macro",'Atividades Micro'!$K281&lt;&gt;""),'Atividades Micro'!$K281,"")</f>
        <v/>
      </c>
      <c r="BE240" s="21" t="str">
        <f>IF(AND('Atividades Micro'!$B281=BE$2,'Atividades Micro'!$G281="Macro",'Atividades Micro'!$K281&lt;&gt;""),'Atividades Micro'!$K281,"")</f>
        <v/>
      </c>
      <c r="BF240" s="21" t="str">
        <f>IF(AND('Atividades Micro'!$B281=BF$2,'Atividades Micro'!$G281="Macro",'Atividades Micro'!$K281&lt;&gt;""),'Atividades Micro'!$K281,"")</f>
        <v/>
      </c>
      <c r="BG240" s="21" t="str">
        <f>IF(AND('Atividades Micro'!$B281=BG$2,'Atividades Micro'!$G281="Macro",'Atividades Micro'!$K281&lt;&gt;""),'Atividades Micro'!$K281,"")</f>
        <v/>
      </c>
      <c r="BH240" s="21" t="str">
        <f>IF(AND('Atividades Micro'!$B281=BH$2,'Atividades Micro'!$G281="Macro",'Atividades Micro'!$K281&lt;&gt;""),'Atividades Micro'!$K281,"")</f>
        <v/>
      </c>
      <c r="BI240" s="21" t="str">
        <f>IF(AND('Atividades Micro'!$B281=BI$2,'Atividades Micro'!$G281="Macro",'Atividades Micro'!$K281&lt;&gt;""),'Atividades Micro'!$K281,"")</f>
        <v/>
      </c>
      <c r="BJ240" s="21" t="str">
        <f>IF(AND('Atividades Micro'!$B281=BJ$2,'Atividades Micro'!$G281="Macro",'Atividades Micro'!$K281&lt;&gt;""),'Atividades Micro'!$K281,"")</f>
        <v/>
      </c>
      <c r="BK240" s="21" t="str">
        <f>IF(AND('Atividades Micro'!$B281=BK$2,'Atividades Micro'!$G281="Macro",'Atividades Micro'!$K281&lt;&gt;""),'Atividades Micro'!$K281,"")</f>
        <v/>
      </c>
      <c r="BL240" s="21" t="str">
        <f>IF(AND('Atividades Micro'!$B281=BL$2,'Atividades Micro'!$G281="Macro",'Atividades Micro'!$K281&lt;&gt;""),'Atividades Micro'!$K281,"")</f>
        <v/>
      </c>
      <c r="BM240" s="21" t="str">
        <f>IF(AND('Atividades Micro'!$B281=BM$2,'Atividades Micro'!$G281="Macro",'Atividades Micro'!$K281&lt;&gt;""),'Atividades Micro'!$K281,"")</f>
        <v/>
      </c>
      <c r="BN240" s="21" t="str">
        <f>IF(AND('Atividades Micro'!$B281=BN$2,'Atividades Micro'!$G281="Macro",'Atividades Micro'!$K281&lt;&gt;""),'Atividades Micro'!$K281,"")</f>
        <v/>
      </c>
      <c r="BO240" s="21" t="str">
        <f>IF(AND('Atividades Micro'!$B281=BO$2,'Atividades Micro'!$G281="Macro",'Atividades Micro'!$K281&lt;&gt;""),'Atividades Micro'!$K281,"")</f>
        <v/>
      </c>
      <c r="BP240" s="21" t="str">
        <f>IF(AND('Atividades Micro'!$B281=BP$2,'Atividades Micro'!$G281="Macro",'Atividades Micro'!$K281&lt;&gt;""),'Atividades Micro'!$K281,"")</f>
        <v/>
      </c>
      <c r="BQ240" s="21" t="str">
        <f>IF(AND('Atividades Micro'!$B281=BQ$2,'Atividades Micro'!$G281="Macro",'Atividades Micro'!$K281&lt;&gt;""),'Atividades Micro'!$K281,"")</f>
        <v/>
      </c>
      <c r="BR240" s="21" t="str">
        <f>IF(AND('Atividades Micro'!$B281=BR$2,'Atividades Micro'!$G281="Macro",'Atividades Micro'!$K281&lt;&gt;""),'Atividades Micro'!$K281,"")</f>
        <v/>
      </c>
      <c r="BS240" s="21" t="str">
        <f>IF(AND('Atividades Micro'!$B281=BS$2,'Atividades Micro'!$G281="Macro",'Atividades Micro'!$K281&lt;&gt;""),'Atividades Micro'!$K281,"")</f>
        <v/>
      </c>
      <c r="BT240" s="21" t="str">
        <f>IF(AND('Atividades Micro'!$B281=BT$2,'Atividades Micro'!$G281="Macro",'Atividades Micro'!$K281&lt;&gt;""),'Atividades Micro'!$K281,"")</f>
        <v/>
      </c>
      <c r="BU240" s="21" t="str">
        <f>IF(AND('Atividades Micro'!$B281=BU$2,'Atividades Micro'!$G281="Macro",'Atividades Micro'!$K281&lt;&gt;""),'Atividades Micro'!$K281,"")</f>
        <v/>
      </c>
      <c r="BV240" s="21" t="str">
        <f>IF(AND('Atividades Micro'!$B281=BV$2,'Atividades Micro'!$G281="Macro",'Atividades Micro'!$K281&lt;&gt;""),'Atividades Micro'!$K281,"")</f>
        <v/>
      </c>
      <c r="BW240" s="21" t="str">
        <f>IF(AND('Atividades Micro'!$B281=BW$2,'Atividades Micro'!$G281="Macro",'Atividades Micro'!$K281&lt;&gt;""),'Atividades Micro'!$K281,"")</f>
        <v/>
      </c>
      <c r="BX240" s="21" t="str">
        <f>IF(AND('Atividades Micro'!$B281=BX$2,'Atividades Micro'!$G281="Macro",'Atividades Micro'!$K281&lt;&gt;""),'Atividades Micro'!$K281,"")</f>
        <v/>
      </c>
      <c r="BY240" s="21" t="str">
        <f>IF(AND('Atividades Micro'!$B281=BY$2,'Atividades Micro'!$G281="Macro",'Atividades Micro'!$K281&lt;&gt;""),'Atividades Micro'!$K281,"")</f>
        <v/>
      </c>
      <c r="BZ240" s="21" t="str">
        <f>IF(AND('Atividades Micro'!$B281=BZ$2,'Atividades Micro'!$G281="Macro",'Atividades Micro'!$K281&lt;&gt;""),'Atividades Micro'!$K281,"")</f>
        <v/>
      </c>
      <c r="CA240" s="21" t="str">
        <f>IF(AND('Atividades Micro'!$B281=CA$2,'Atividades Micro'!$G281="Macro",'Atividades Micro'!$K281&lt;&gt;""),'Atividades Micro'!$K281,"")</f>
        <v/>
      </c>
      <c r="CB240" s="21" t="str">
        <f>IF(AND('Atividades Micro'!$B281=CB$2,'Atividades Micro'!$G281="Macro",'Atividades Micro'!$K281&lt;&gt;""),'Atividades Micro'!$K281,"")</f>
        <v/>
      </c>
      <c r="CC240" s="21" t="str">
        <f>IF(AND('Atividades Micro'!$B281=CC$2,'Atividades Micro'!$G281="Macro",'Atividades Micro'!$K281&lt;&gt;""),'Atividades Micro'!$K281,"")</f>
        <v/>
      </c>
      <c r="CD240" s="21" t="str">
        <f>IF(AND('Atividades Micro'!$B281=CD$2,'Atividades Micro'!$G281="Micro",'Atividades Micro'!$K281&lt;&gt;""),'Atividades Micro'!$K281,"")</f>
        <v/>
      </c>
      <c r="CE240" s="21" t="str">
        <f>IF(AND('Atividades Micro'!$B281=CE$2,'Atividades Micro'!$G281="Micro",'Atividades Micro'!$K281&lt;&gt;""),'Atividades Micro'!$K281,"")</f>
        <v/>
      </c>
      <c r="CF240" s="21" t="str">
        <f>IF(AND('Atividades Micro'!$B281=CF$2,'Atividades Micro'!$G281="Micro",'Atividades Micro'!$K281&lt;&gt;""),'Atividades Micro'!$K281,"")</f>
        <v/>
      </c>
      <c r="CG240" s="21" t="str">
        <f>IF(AND('Atividades Micro'!$B281=CG$2,'Atividades Micro'!$G281="Micro",'Atividades Micro'!$K281&lt;&gt;""),'Atividades Micro'!$K281,"")</f>
        <v/>
      </c>
      <c r="CH240" s="21" t="str">
        <f>IF(AND('Atividades Micro'!$B281=CH$2,'Atividades Micro'!$G281="Micro",'Atividades Micro'!$K281&lt;&gt;""),'Atividades Micro'!$K281,"")</f>
        <v/>
      </c>
      <c r="CI240" s="21" t="str">
        <f>IF(AND('Atividades Micro'!$B281=CI$2,'Atividades Micro'!$G281="Micro",'Atividades Micro'!$K281&lt;&gt;""),'Atividades Micro'!$K281,"")</f>
        <v/>
      </c>
      <c r="CJ240" s="21" t="str">
        <f>IF(AND('Atividades Micro'!$B281=CJ$2,'Atividades Micro'!$G281="Micro",'Atividades Micro'!$K281&lt;&gt;""),'Atividades Micro'!$K281,"")</f>
        <v/>
      </c>
      <c r="CK240" s="21" t="str">
        <f>IF(AND('Atividades Micro'!$B281=CK$2,'Atividades Micro'!$G281="Micro",'Atividades Micro'!$K281&lt;&gt;""),'Atividades Micro'!$K281,"")</f>
        <v/>
      </c>
      <c r="CL240" s="21" t="str">
        <f>IF(AND('Atividades Micro'!$B281=CL$2,'Atividades Micro'!$G281="Micro",'Atividades Micro'!$K281&lt;&gt;""),'Atividades Micro'!$K281,"")</f>
        <v/>
      </c>
      <c r="CM240" s="21" t="str">
        <f>IF(AND('Atividades Micro'!$B281=CM$2,'Atividades Micro'!$G281="Micro",'Atividades Micro'!$K281&lt;&gt;""),'Atividades Micro'!$K281,"")</f>
        <v/>
      </c>
      <c r="CN240" s="21">
        <f>IF(AND('Atividades Micro'!$B281=CN$2,'Atividades Micro'!$G281="Micro",'Atividades Micro'!$K281&lt;&gt;""),'Atividades Micro'!$K281,"")</f>
        <v>46301</v>
      </c>
      <c r="CO240" s="21" t="str">
        <f>IF(AND('Atividades Micro'!$B281=CO$2,'Atividades Micro'!$G281="Micro",'Atividades Micro'!$K281&lt;&gt;""),'Atividades Micro'!$K281,"")</f>
        <v/>
      </c>
    </row>
    <row r="241" spans="1:93">
      <c r="A241" s="21" t="str">
        <f>IF(AND('Atividades Micro'!$A283=A$2,'Atividades Micro'!$K283&lt;&gt;""),'Atividades Micro'!$K283,"")</f>
        <v/>
      </c>
      <c r="B241" s="21" t="str">
        <f>IF(AND('Atividades Micro'!$A283=B$2,'Atividades Micro'!$L283&lt;&gt;""),'Atividades Micro'!$L283,"")</f>
        <v/>
      </c>
      <c r="C241" s="21" t="str">
        <f>IF(AND('Atividades Micro'!$A283=C$2,'Atividades Micro'!$K283&lt;&gt;""),'Atividades Micro'!$K283,"")</f>
        <v/>
      </c>
      <c r="D241" s="21" t="str">
        <f>IF(AND('Atividades Micro'!$A283=D$2,'Atividades Micro'!$L283&lt;&gt;""),'Atividades Micro'!$L283,"")</f>
        <v/>
      </c>
      <c r="E241" s="21" t="str">
        <f>IF(AND('Atividades Micro'!$A283=E$2,'Atividades Micro'!$K283&lt;&gt;""),'Atividades Micro'!$K283,"")</f>
        <v/>
      </c>
      <c r="F241" s="21" t="str">
        <f>IF(AND('Atividades Micro'!$A283=F$2,'Atividades Micro'!$L283&lt;&gt;""),'Atividades Micro'!$L283,"")</f>
        <v/>
      </c>
      <c r="G241" s="21" t="str">
        <f>IF(AND('Atividades Micro'!$A283=G$2,'Atividades Micro'!$K283&lt;&gt;""),'Atividades Micro'!$K283,"")</f>
        <v/>
      </c>
      <c r="H241" s="21" t="str">
        <f>IF(AND('Atividades Micro'!$A283=H$2,'Atividades Micro'!$L283&lt;&gt;""),'Atividades Micro'!$L283,"")</f>
        <v/>
      </c>
      <c r="I241" s="21" t="str">
        <f>IF(AND('Atividades Micro'!$A283=I$2,'Atividades Micro'!$K283&lt;&gt;""),'Atividades Micro'!$K283,"")</f>
        <v/>
      </c>
      <c r="J241" s="21" t="str">
        <f>IF(AND('Atividades Micro'!$A283=J$2,'Atividades Micro'!$L283&lt;&gt;""),'Atividades Micro'!$L283,"")</f>
        <v/>
      </c>
      <c r="K241" s="21" t="str">
        <f>IF(AND('Atividades Micro'!$B283=K$2,'Atividades Micro'!$K283&lt;&gt;""),'Atividades Micro'!$K283,"")</f>
        <v/>
      </c>
      <c r="L241" s="21" t="str">
        <f>IF(AND('Atividades Micro'!$B283=L$2,'Atividades Micro'!$L283&lt;&gt;""),'Atividades Micro'!$L283,"")</f>
        <v/>
      </c>
      <c r="M241" s="21" t="str">
        <f>IF(AND('Atividades Micro'!$B283=M$2,'Atividades Micro'!$K283&lt;&gt;""),'Atividades Micro'!$K283,"")</f>
        <v/>
      </c>
      <c r="N241" s="21" t="str">
        <f>IF(AND('Atividades Micro'!$B283=N$2,'Atividades Micro'!$L283&lt;&gt;""),'Atividades Micro'!$L283,"")</f>
        <v/>
      </c>
      <c r="O241" s="21" t="str">
        <f>IF(AND('Atividades Micro'!$A283=O$2,'Atividades Micro'!$K283&lt;&gt;""),'Atividades Micro'!$K283,"")</f>
        <v/>
      </c>
      <c r="P241" s="21" t="str">
        <f>IF(AND('Atividades Micro'!$A283=P$2,'Atividades Micro'!$L283&lt;&gt;""),'Atividades Micro'!$L283,"")</f>
        <v/>
      </c>
      <c r="Q241" s="21" t="str">
        <f>IF(AND('Atividades Micro'!$B283=Q$2,'Atividades Micro'!$K283&lt;&gt;""),'Atividades Micro'!$K283,"")</f>
        <v/>
      </c>
      <c r="R241" s="21" t="str">
        <f>IF(AND('Atividades Micro'!$B283=R$2,'Atividades Micro'!$L283&lt;&gt;""),'Atividades Micro'!$L283,"")</f>
        <v/>
      </c>
      <c r="S241" s="21" t="str">
        <f>IF(AND('Atividades Micro'!$A283=S$2,'Atividades Micro'!$K283&lt;&gt;""),'Atividades Micro'!$K283,"")</f>
        <v/>
      </c>
      <c r="T241" s="21" t="str">
        <f>IF(AND('Atividades Micro'!$A283=T$2,'Atividades Micro'!$L283&lt;&gt;""),'Atividades Micro'!$L283,"")</f>
        <v/>
      </c>
      <c r="U241" s="21" t="str">
        <f>IF(AND('Atividades Micro'!$B283=U$2,'Atividades Micro'!$K283&lt;&gt;""),'Atividades Micro'!$K283,"")</f>
        <v/>
      </c>
      <c r="V241" s="21" t="str">
        <f>IF(AND('Atividades Micro'!$B283=V$2,'Atividades Micro'!$L283&lt;&gt;""),'Atividades Micro'!$L283,"")</f>
        <v/>
      </c>
      <c r="W241" s="21" t="str">
        <f>IF(AND('Atividades Micro'!$B283=W$2,'Atividades Micro'!$K283&lt;&gt;""),'Atividades Micro'!$K283,"")</f>
        <v/>
      </c>
      <c r="X241" s="21" t="str">
        <f>IF(AND('Atividades Micro'!$B283=X$2,'Atividades Micro'!$L283&lt;&gt;""),'Atividades Micro'!$L283,"")</f>
        <v/>
      </c>
      <c r="Y241" s="21" t="str">
        <f>IF(AND('Atividades Micro'!$A283=Y$2,'Atividades Micro'!$K283&lt;&gt;""),'Atividades Micro'!$K283,"")</f>
        <v/>
      </c>
      <c r="Z241" s="21" t="str">
        <f>IF(AND('Atividades Micro'!$A283=Z$2,'Atividades Micro'!$L283&lt;&gt;""),'Atividades Micro'!$L283,"")</f>
        <v/>
      </c>
      <c r="AA241" s="21" t="str">
        <f>IF(AND('Atividades Micro'!$B283=AA$2,'Atividades Micro'!$K283&lt;&gt;""),'Atividades Micro'!$K283,"")</f>
        <v/>
      </c>
      <c r="AB241" s="21" t="str">
        <f>IF(AND('Atividades Micro'!$B283=AB$2,'Atividades Micro'!$L283&lt;&gt;""),'Atividades Micro'!$L283,"")</f>
        <v/>
      </c>
      <c r="AC241" s="21" t="str">
        <f>IF(AND('Atividades Micro'!$B283=AC$2,'Atividades Micro'!$K283&lt;&gt;""),'Atividades Micro'!$K283,"")</f>
        <v/>
      </c>
      <c r="AD241" s="21" t="str">
        <f>IF(AND('Atividades Micro'!$B283=AD$2,'Atividades Micro'!$L283&lt;&gt;""),'Atividades Micro'!$L283,"")</f>
        <v/>
      </c>
      <c r="AE241" s="21" t="str">
        <f>IF(AND('Atividades Micro'!$A283=AE$2,'Atividades Micro'!$K283&lt;&gt;""),'Atividades Micro'!$K283,"")</f>
        <v/>
      </c>
      <c r="AF241" s="21" t="str">
        <f>IF(AND('Atividades Micro'!$A283=AF$2,'Atividades Micro'!$L283&lt;&gt;""),'Atividades Micro'!$L283,"")</f>
        <v/>
      </c>
      <c r="AG241" s="21" t="str">
        <f>IF(AND('Atividades Micro'!$B283=AG$2,'Atividades Micro'!$K283&lt;&gt;""),'Atividades Micro'!$K283,"")</f>
        <v/>
      </c>
      <c r="AH241" s="21" t="str">
        <f>IF(AND('Atividades Micro'!$B283=AH$2,'Atividades Micro'!$L283&lt;&gt;""),'Atividades Micro'!$L283,"")</f>
        <v/>
      </c>
      <c r="AI241" s="21" t="str">
        <f>IF(AND('Atividades Micro'!$B283=AI$2,'Atividades Micro'!$K283&lt;&gt;""),'Atividades Micro'!$K283,"")</f>
        <v/>
      </c>
      <c r="AJ241" s="21" t="str">
        <f>IF(AND('Atividades Micro'!$B283=AJ$2,'Atividades Micro'!$L283&lt;&gt;""),'Atividades Micro'!$L283,"")</f>
        <v/>
      </c>
      <c r="AK241" s="21" t="str">
        <f>IF(AND('Atividades Micro'!$A283=AK$2,'Atividades Micro'!$K283&lt;&gt;""),'Atividades Micro'!$K283,"")</f>
        <v/>
      </c>
      <c r="AL241" s="21" t="str">
        <f>IF(AND('Atividades Micro'!$A283=AL$2,'Atividades Micro'!$L283&lt;&gt;""),'Atividades Micro'!$L283,"")</f>
        <v/>
      </c>
      <c r="AM241" s="21" t="str">
        <f>IF(AND('Atividades Micro'!$B283=AM$2,'Atividades Micro'!$K283&lt;&gt;""),'Atividades Micro'!$K283,"")</f>
        <v/>
      </c>
      <c r="AN241" s="21" t="str">
        <f>IF(AND('Atividades Micro'!$B283=AN$2,'Atividades Micro'!$L283&lt;&gt;""),'Atividades Micro'!$L283,"")</f>
        <v/>
      </c>
      <c r="AO241" s="21" t="str">
        <f>IF(AND('Atividades Micro'!$B283=AO$2,'Atividades Micro'!$K283&lt;&gt;""),'Atividades Micro'!$K283,"")</f>
        <v/>
      </c>
      <c r="AP241" s="21" t="str">
        <f>IF(AND('Atividades Micro'!$B283=AP$2,'Atividades Micro'!$L283&lt;&gt;""),'Atividades Micro'!$L283,"")</f>
        <v/>
      </c>
      <c r="AQ241" s="21" t="str">
        <f>IF(AND('Atividades Micro'!$A283=AQ$2,'Atividades Micro'!$K283&lt;&gt;""),'Atividades Micro'!$K283,"")</f>
        <v/>
      </c>
      <c r="AR241" s="21" t="str">
        <f>IF(AND('Atividades Micro'!$A283=AR$2,'Atividades Micro'!$L283&lt;&gt;""),'Atividades Micro'!$L283,"")</f>
        <v/>
      </c>
      <c r="AS241" s="21" t="str">
        <f>IF(AND('Atividades Micro'!$B283=AS$2,'Atividades Micro'!$K283&lt;&gt;""),'Atividades Micro'!$K283,"")</f>
        <v/>
      </c>
      <c r="AT241" s="21" t="str">
        <f>IF(AND('Atividades Micro'!$B283=AT$2,'Atividades Micro'!$L283&lt;&gt;""),'Atividades Micro'!$L283,"")</f>
        <v/>
      </c>
      <c r="AU241" s="21" t="str">
        <f>IF(AND('Atividades Micro'!$A283=AU$2,'Atividades Micro'!$K283&lt;&gt;""),'Atividades Micro'!$K283,"")</f>
        <v/>
      </c>
      <c r="AV241" s="21" t="str">
        <f>IF(AND('Atividades Micro'!$A283=AV$2,'Atividades Micro'!$L283&lt;&gt;""),'Atividades Micro'!$L283,"")</f>
        <v/>
      </c>
      <c r="AW241" s="21" t="str">
        <f>IF(AND('Atividades Micro'!$B283=AW$2,'Atividades Micro'!$K283&lt;&gt;""),'Atividades Micro'!$K283,"")</f>
        <v/>
      </c>
      <c r="AX241" s="21" t="str">
        <f>IF(AND('Atividades Micro'!$B283=AX$2,'Atividades Micro'!$L283&lt;&gt;""),'Atividades Micro'!$L283,"")</f>
        <v/>
      </c>
      <c r="AY241" s="21" t="str">
        <f>IF(AND('Atividades Micro'!$A283=AY$2,'Atividades Micro'!$K283&lt;&gt;""),'Atividades Micro'!$K283,"")</f>
        <v/>
      </c>
      <c r="AZ241" s="21" t="str">
        <f>IF(AND('Atividades Micro'!$A283=AZ$2,'Atividades Micro'!$L283&lt;&gt;""),'Atividades Micro'!$L283,"")</f>
        <v/>
      </c>
      <c r="BA241" s="21" t="str">
        <f>IF(AND('Atividades Micro'!$B283=BA$2,'Atividades Micro'!$K283&lt;&gt;""),'Atividades Micro'!$K283,"")</f>
        <v/>
      </c>
      <c r="BB241" s="21" t="str">
        <f>IF(AND('Atividades Micro'!$B283=BB$2,'Atividades Micro'!$L283&lt;&gt;""),'Atividades Micro'!$L283,"")</f>
        <v/>
      </c>
      <c r="BC241" s="21" t="str">
        <f>IF(AND('Atividades Micro'!$B283=BC$2,'Atividades Micro'!$G283="Macro",'Atividades Micro'!$K283&lt;&gt;""),'Atividades Micro'!$K283,"")</f>
        <v/>
      </c>
      <c r="BD241" s="21" t="str">
        <f>IF(AND('Atividades Micro'!$B283=BD$2,'Atividades Micro'!$G283="Macro",'Atividades Micro'!$K283&lt;&gt;""),'Atividades Micro'!$K283,"")</f>
        <v/>
      </c>
      <c r="BE241" s="21" t="str">
        <f>IF(AND('Atividades Micro'!$B283=BE$2,'Atividades Micro'!$G283="Macro",'Atividades Micro'!$K283&lt;&gt;""),'Atividades Micro'!$K283,"")</f>
        <v/>
      </c>
      <c r="BF241" s="21" t="str">
        <f>IF(AND('Atividades Micro'!$B283=BF$2,'Atividades Micro'!$G283="Macro",'Atividades Micro'!$K283&lt;&gt;""),'Atividades Micro'!$K283,"")</f>
        <v/>
      </c>
      <c r="BG241" s="21" t="str">
        <f>IF(AND('Atividades Micro'!$B283=BG$2,'Atividades Micro'!$G283="Macro",'Atividades Micro'!$K283&lt;&gt;""),'Atividades Micro'!$K283,"")</f>
        <v/>
      </c>
      <c r="BH241" s="21" t="str">
        <f>IF(AND('Atividades Micro'!$B283=BH$2,'Atividades Micro'!$G283="Macro",'Atividades Micro'!$K283&lt;&gt;""),'Atividades Micro'!$K283,"")</f>
        <v/>
      </c>
      <c r="BI241" s="21" t="str">
        <f>IF(AND('Atividades Micro'!$B283=BI$2,'Atividades Micro'!$G283="Macro",'Atividades Micro'!$K283&lt;&gt;""),'Atividades Micro'!$K283,"")</f>
        <v/>
      </c>
      <c r="BJ241" s="21" t="str">
        <f>IF(AND('Atividades Micro'!$B283=BJ$2,'Atividades Micro'!$G283="Macro",'Atividades Micro'!$K283&lt;&gt;""),'Atividades Micro'!$K283,"")</f>
        <v/>
      </c>
      <c r="BK241" s="21" t="str">
        <f>IF(AND('Atividades Micro'!$B283=BK$2,'Atividades Micro'!$G283="Macro",'Atividades Micro'!$K283&lt;&gt;""),'Atividades Micro'!$K283,"")</f>
        <v/>
      </c>
      <c r="BL241" s="21" t="str">
        <f>IF(AND('Atividades Micro'!$B283=BL$2,'Atividades Micro'!$G283="Macro",'Atividades Micro'!$K283&lt;&gt;""),'Atividades Micro'!$K283,"")</f>
        <v/>
      </c>
      <c r="BM241" s="21" t="str">
        <f>IF(AND('Atividades Micro'!$B283=BM$2,'Atividades Micro'!$G283="Macro",'Atividades Micro'!$K283&lt;&gt;""),'Atividades Micro'!$K283,"")</f>
        <v/>
      </c>
      <c r="BN241" s="21" t="str">
        <f>IF(AND('Atividades Micro'!$B283=BN$2,'Atividades Micro'!$G283="Macro",'Atividades Micro'!$K283&lt;&gt;""),'Atividades Micro'!$K283,"")</f>
        <v/>
      </c>
      <c r="BO241" s="21" t="str">
        <f>IF(AND('Atividades Micro'!$B283=BO$2,'Atividades Micro'!$G283="Macro",'Atividades Micro'!$K283&lt;&gt;""),'Atividades Micro'!$K283,"")</f>
        <v/>
      </c>
      <c r="BP241" s="21" t="str">
        <f>IF(AND('Atividades Micro'!$B283=BP$2,'Atividades Micro'!$G283="Macro",'Atividades Micro'!$K283&lt;&gt;""),'Atividades Micro'!$K283,"")</f>
        <v/>
      </c>
      <c r="BQ241" s="21" t="str">
        <f>IF(AND('Atividades Micro'!$B283=BQ$2,'Atividades Micro'!$G283="Macro",'Atividades Micro'!$K283&lt;&gt;""),'Atividades Micro'!$K283,"")</f>
        <v/>
      </c>
      <c r="BR241" s="21" t="str">
        <f>IF(AND('Atividades Micro'!$B283=BR$2,'Atividades Micro'!$G283="Macro",'Atividades Micro'!$K283&lt;&gt;""),'Atividades Micro'!$K283,"")</f>
        <v/>
      </c>
      <c r="BS241" s="21" t="str">
        <f>IF(AND('Atividades Micro'!$B283=BS$2,'Atividades Micro'!$G283="Macro",'Atividades Micro'!$K283&lt;&gt;""),'Atividades Micro'!$K283,"")</f>
        <v/>
      </c>
      <c r="BT241" s="21" t="str">
        <f>IF(AND('Atividades Micro'!$B283=BT$2,'Atividades Micro'!$G283="Macro",'Atividades Micro'!$K283&lt;&gt;""),'Atividades Micro'!$K283,"")</f>
        <v/>
      </c>
      <c r="BU241" s="21" t="str">
        <f>IF(AND('Atividades Micro'!$B283=BU$2,'Atividades Micro'!$G283="Macro",'Atividades Micro'!$K283&lt;&gt;""),'Atividades Micro'!$K283,"")</f>
        <v/>
      </c>
      <c r="BV241" s="21" t="str">
        <f>IF(AND('Atividades Micro'!$B283=BV$2,'Atividades Micro'!$G283="Macro",'Atividades Micro'!$K283&lt;&gt;""),'Atividades Micro'!$K283,"")</f>
        <v/>
      </c>
      <c r="BW241" s="21" t="str">
        <f>IF(AND('Atividades Micro'!$B283=BW$2,'Atividades Micro'!$G283="Macro",'Atividades Micro'!$K283&lt;&gt;""),'Atividades Micro'!$K283,"")</f>
        <v/>
      </c>
      <c r="BX241" s="21" t="str">
        <f>IF(AND('Atividades Micro'!$B283=BX$2,'Atividades Micro'!$G283="Macro",'Atividades Micro'!$K283&lt;&gt;""),'Atividades Micro'!$K283,"")</f>
        <v/>
      </c>
      <c r="BY241" s="21" t="str">
        <f>IF(AND('Atividades Micro'!$B283=BY$2,'Atividades Micro'!$G283="Macro",'Atividades Micro'!$K283&lt;&gt;""),'Atividades Micro'!$K283,"")</f>
        <v/>
      </c>
      <c r="BZ241" s="21" t="str">
        <f>IF(AND('Atividades Micro'!$B283=BZ$2,'Atividades Micro'!$G283="Macro",'Atividades Micro'!$K283&lt;&gt;""),'Atividades Micro'!$K283,"")</f>
        <v/>
      </c>
      <c r="CA241" s="21" t="str">
        <f>IF(AND('Atividades Micro'!$B283=CA$2,'Atividades Micro'!$G283="Macro",'Atividades Micro'!$K283&lt;&gt;""),'Atividades Micro'!$K283,"")</f>
        <v/>
      </c>
      <c r="CB241" s="21" t="str">
        <f>IF(AND('Atividades Micro'!$B283=CB$2,'Atividades Micro'!$G283="Macro",'Atividades Micro'!$K283&lt;&gt;""),'Atividades Micro'!$K283,"")</f>
        <v/>
      </c>
      <c r="CC241" s="21" t="str">
        <f>IF(AND('Atividades Micro'!$B283=CC$2,'Atividades Micro'!$G283="Macro",'Atividades Micro'!$K283&lt;&gt;""),'Atividades Micro'!$K283,"")</f>
        <v/>
      </c>
      <c r="CD241" s="21" t="str">
        <f>IF(AND('Atividades Micro'!$B283=CD$2,'Atividades Micro'!$G283="Micro",'Atividades Micro'!$K283&lt;&gt;""),'Atividades Micro'!$K283,"")</f>
        <v/>
      </c>
      <c r="CE241" s="21" t="str">
        <f>IF(AND('Atividades Micro'!$B283=CE$2,'Atividades Micro'!$G283="Micro",'Atividades Micro'!$K283&lt;&gt;""),'Atividades Micro'!$K283,"")</f>
        <v/>
      </c>
      <c r="CF241" s="21" t="str">
        <f>IF(AND('Atividades Micro'!$B283=CF$2,'Atividades Micro'!$G283="Micro",'Atividades Micro'!$K283&lt;&gt;""),'Atividades Micro'!$K283,"")</f>
        <v/>
      </c>
      <c r="CG241" s="21" t="str">
        <f>IF(AND('Atividades Micro'!$B283=CG$2,'Atividades Micro'!$G283="Micro",'Atividades Micro'!$K283&lt;&gt;""),'Atividades Micro'!$K283,"")</f>
        <v/>
      </c>
      <c r="CH241" s="21" t="str">
        <f>IF(AND('Atividades Micro'!$B283=CH$2,'Atividades Micro'!$G283="Micro",'Atividades Micro'!$K283&lt;&gt;""),'Atividades Micro'!$K283,"")</f>
        <v/>
      </c>
      <c r="CI241" s="21" t="str">
        <f>IF(AND('Atividades Micro'!$B283=CI$2,'Atividades Micro'!$G283="Micro",'Atividades Micro'!$K283&lt;&gt;""),'Atividades Micro'!$K283,"")</f>
        <v/>
      </c>
      <c r="CJ241" s="21" t="str">
        <f>IF(AND('Atividades Micro'!$B283=CJ$2,'Atividades Micro'!$G283="Micro",'Atividades Micro'!$K283&lt;&gt;""),'Atividades Micro'!$K283,"")</f>
        <v/>
      </c>
      <c r="CK241" s="21" t="str">
        <f>IF(AND('Atividades Micro'!$B283=CK$2,'Atividades Micro'!$G283="Micro",'Atividades Micro'!$K283&lt;&gt;""),'Atividades Micro'!$K283,"")</f>
        <v/>
      </c>
      <c r="CL241" s="21" t="str">
        <f>IF(AND('Atividades Micro'!$B283=CL$2,'Atividades Micro'!$G283="Micro",'Atividades Micro'!$K283&lt;&gt;""),'Atividades Micro'!$K283,"")</f>
        <v/>
      </c>
      <c r="CM241" s="21" t="str">
        <f>IF(AND('Atividades Micro'!$B283=CM$2,'Atividades Micro'!$G283="Micro",'Atividades Micro'!$K283&lt;&gt;""),'Atividades Micro'!$K283,"")</f>
        <v/>
      </c>
      <c r="CN241" s="21" t="str">
        <f>IF(AND('Atividades Micro'!$B283=CN$2,'Atividades Micro'!$G283="Micro",'Atividades Micro'!$K283&lt;&gt;""),'Atividades Micro'!$K283,"")</f>
        <v/>
      </c>
      <c r="CO241" s="21" t="str">
        <f>IF(AND('Atividades Micro'!$B283=CO$2,'Atividades Micro'!$G283="Micro",'Atividades Micro'!$K283&lt;&gt;""),'Atividades Micro'!$K283,"")</f>
        <v/>
      </c>
    </row>
    <row r="242" spans="1:93">
      <c r="A242" s="21" t="str">
        <f>IF(AND('Atividades Micro'!$A287=A$2,'Atividades Micro'!$K287&lt;&gt;""),'Atividades Micro'!$K287,"")</f>
        <v/>
      </c>
      <c r="B242" s="21" t="str">
        <f>IF(AND('Atividades Micro'!$A287=B$2,'Atividades Micro'!$L287&lt;&gt;""),'Atividades Micro'!$L287,"")</f>
        <v/>
      </c>
      <c r="C242" s="21" t="str">
        <f>IF(AND('Atividades Micro'!$A287=C$2,'Atividades Micro'!$K287&lt;&gt;""),'Atividades Micro'!$K287,"")</f>
        <v/>
      </c>
      <c r="D242" s="21" t="str">
        <f>IF(AND('Atividades Micro'!$A287=D$2,'Atividades Micro'!$L287&lt;&gt;""),'Atividades Micro'!$L287,"")</f>
        <v/>
      </c>
      <c r="E242" s="21" t="str">
        <f>IF(AND('Atividades Micro'!$A287=E$2,'Atividades Micro'!$K287&lt;&gt;""),'Atividades Micro'!$K287,"")</f>
        <v/>
      </c>
      <c r="F242" s="21" t="str">
        <f>IF(AND('Atividades Micro'!$A287=F$2,'Atividades Micro'!$L287&lt;&gt;""),'Atividades Micro'!$L287,"")</f>
        <v/>
      </c>
      <c r="G242" s="21" t="str">
        <f>IF(AND('Atividades Micro'!$A287=G$2,'Atividades Micro'!$K287&lt;&gt;""),'Atividades Micro'!$K287,"")</f>
        <v/>
      </c>
      <c r="H242" s="21" t="str">
        <f>IF(AND('Atividades Micro'!$A287=H$2,'Atividades Micro'!$L287&lt;&gt;""),'Atividades Micro'!$L287,"")</f>
        <v/>
      </c>
      <c r="I242" s="21" t="str">
        <f>IF(AND('Atividades Micro'!$A287=I$2,'Atividades Micro'!$K287&lt;&gt;""),'Atividades Micro'!$K287,"")</f>
        <v/>
      </c>
      <c r="J242" s="21" t="str">
        <f>IF(AND('Atividades Micro'!$A287=J$2,'Atividades Micro'!$L287&lt;&gt;""),'Atividades Micro'!$L287,"")</f>
        <v/>
      </c>
      <c r="K242" s="21" t="str">
        <f>IF(AND('Atividades Micro'!$B287=K$2,'Atividades Micro'!$K287&lt;&gt;""),'Atividades Micro'!$K287,"")</f>
        <v/>
      </c>
      <c r="L242" s="21" t="str">
        <f>IF(AND('Atividades Micro'!$B287=L$2,'Atividades Micro'!$L287&lt;&gt;""),'Atividades Micro'!$L287,"")</f>
        <v/>
      </c>
      <c r="M242" s="21" t="str">
        <f>IF(AND('Atividades Micro'!$B287=M$2,'Atividades Micro'!$K287&lt;&gt;""),'Atividades Micro'!$K287,"")</f>
        <v/>
      </c>
      <c r="N242" s="21" t="str">
        <f>IF(AND('Atividades Micro'!$B287=N$2,'Atividades Micro'!$L287&lt;&gt;""),'Atividades Micro'!$L287,"")</f>
        <v/>
      </c>
      <c r="O242" s="21" t="str">
        <f>IF(AND('Atividades Micro'!$A287=O$2,'Atividades Micro'!$K287&lt;&gt;""),'Atividades Micro'!$K287,"")</f>
        <v/>
      </c>
      <c r="P242" s="21" t="str">
        <f>IF(AND('Atividades Micro'!$A287=P$2,'Atividades Micro'!$L287&lt;&gt;""),'Atividades Micro'!$L287,"")</f>
        <v/>
      </c>
      <c r="Q242" s="21" t="str">
        <f>IF(AND('Atividades Micro'!$B287=Q$2,'Atividades Micro'!$K287&lt;&gt;""),'Atividades Micro'!$K287,"")</f>
        <v/>
      </c>
      <c r="R242" s="21" t="str">
        <f>IF(AND('Atividades Micro'!$B287=R$2,'Atividades Micro'!$L287&lt;&gt;""),'Atividades Micro'!$L287,"")</f>
        <v/>
      </c>
      <c r="S242" s="21" t="str">
        <f>IF(AND('Atividades Micro'!$A287=S$2,'Atividades Micro'!$K287&lt;&gt;""),'Atividades Micro'!$K287,"")</f>
        <v/>
      </c>
      <c r="T242" s="21" t="str">
        <f>IF(AND('Atividades Micro'!$A287=T$2,'Atividades Micro'!$L287&lt;&gt;""),'Atividades Micro'!$L287,"")</f>
        <v/>
      </c>
      <c r="U242" s="21" t="str">
        <f>IF(AND('Atividades Micro'!$B287=U$2,'Atividades Micro'!$K287&lt;&gt;""),'Atividades Micro'!$K287,"")</f>
        <v/>
      </c>
      <c r="V242" s="21" t="str">
        <f>IF(AND('Atividades Micro'!$B287=V$2,'Atividades Micro'!$L287&lt;&gt;""),'Atividades Micro'!$L287,"")</f>
        <v/>
      </c>
      <c r="W242" s="21" t="str">
        <f>IF(AND('Atividades Micro'!$B287=W$2,'Atividades Micro'!$K287&lt;&gt;""),'Atividades Micro'!$K287,"")</f>
        <v/>
      </c>
      <c r="X242" s="21" t="str">
        <f>IF(AND('Atividades Micro'!$B287=X$2,'Atividades Micro'!$L287&lt;&gt;""),'Atividades Micro'!$L287,"")</f>
        <v/>
      </c>
      <c r="Y242" s="21" t="str">
        <f>IF(AND('Atividades Micro'!$A287=Y$2,'Atividades Micro'!$K287&lt;&gt;""),'Atividades Micro'!$K287,"")</f>
        <v/>
      </c>
      <c r="Z242" s="21" t="str">
        <f>IF(AND('Atividades Micro'!$A287=Z$2,'Atividades Micro'!$L287&lt;&gt;""),'Atividades Micro'!$L287,"")</f>
        <v/>
      </c>
      <c r="AA242" s="21" t="str">
        <f>IF(AND('Atividades Micro'!$B287=AA$2,'Atividades Micro'!$K287&lt;&gt;""),'Atividades Micro'!$K287,"")</f>
        <v/>
      </c>
      <c r="AB242" s="21" t="str">
        <f>IF(AND('Atividades Micro'!$B287=AB$2,'Atividades Micro'!$L287&lt;&gt;""),'Atividades Micro'!$L287,"")</f>
        <v/>
      </c>
      <c r="AC242" s="21" t="str">
        <f>IF(AND('Atividades Micro'!$B287=AC$2,'Atividades Micro'!$K287&lt;&gt;""),'Atividades Micro'!$K287,"")</f>
        <v/>
      </c>
      <c r="AD242" s="21" t="str">
        <f>IF(AND('Atividades Micro'!$B287=AD$2,'Atividades Micro'!$L287&lt;&gt;""),'Atividades Micro'!$L287,"")</f>
        <v/>
      </c>
      <c r="AE242" s="21" t="str">
        <f>IF(AND('Atividades Micro'!$A287=AE$2,'Atividades Micro'!$K287&lt;&gt;""),'Atividades Micro'!$K287,"")</f>
        <v/>
      </c>
      <c r="AF242" s="21" t="str">
        <f>IF(AND('Atividades Micro'!$A287=AF$2,'Atividades Micro'!$L287&lt;&gt;""),'Atividades Micro'!$L287,"")</f>
        <v/>
      </c>
      <c r="AG242" s="21" t="str">
        <f>IF(AND('Atividades Micro'!$B287=AG$2,'Atividades Micro'!$K287&lt;&gt;""),'Atividades Micro'!$K287,"")</f>
        <v/>
      </c>
      <c r="AH242" s="21" t="str">
        <f>IF(AND('Atividades Micro'!$B287=AH$2,'Atividades Micro'!$L287&lt;&gt;""),'Atividades Micro'!$L287,"")</f>
        <v/>
      </c>
      <c r="AI242" s="21" t="str">
        <f>IF(AND('Atividades Micro'!$B287=AI$2,'Atividades Micro'!$K287&lt;&gt;""),'Atividades Micro'!$K287,"")</f>
        <v/>
      </c>
      <c r="AJ242" s="21" t="str">
        <f>IF(AND('Atividades Micro'!$B287=AJ$2,'Atividades Micro'!$L287&lt;&gt;""),'Atividades Micro'!$L287,"")</f>
        <v/>
      </c>
      <c r="AK242" s="21" t="str">
        <f>IF(AND('Atividades Micro'!$A287=AK$2,'Atividades Micro'!$K287&lt;&gt;""),'Atividades Micro'!$K287,"")</f>
        <v/>
      </c>
      <c r="AL242" s="21" t="str">
        <f>IF(AND('Atividades Micro'!$A287=AL$2,'Atividades Micro'!$L287&lt;&gt;""),'Atividades Micro'!$L287,"")</f>
        <v/>
      </c>
      <c r="AM242" s="21" t="str">
        <f>IF(AND('Atividades Micro'!$B287=AM$2,'Atividades Micro'!$K287&lt;&gt;""),'Atividades Micro'!$K287,"")</f>
        <v/>
      </c>
      <c r="AN242" s="21" t="str">
        <f>IF(AND('Atividades Micro'!$B287=AN$2,'Atividades Micro'!$L287&lt;&gt;""),'Atividades Micro'!$L287,"")</f>
        <v/>
      </c>
      <c r="AO242" s="21" t="str">
        <f>IF(AND('Atividades Micro'!$B287=AO$2,'Atividades Micro'!$K287&lt;&gt;""),'Atividades Micro'!$K287,"")</f>
        <v/>
      </c>
      <c r="AP242" s="21" t="str">
        <f>IF(AND('Atividades Micro'!$B287=AP$2,'Atividades Micro'!$L287&lt;&gt;""),'Atividades Micro'!$L287,"")</f>
        <v/>
      </c>
      <c r="AQ242" s="21" t="str">
        <f>IF(AND('Atividades Micro'!$A287=AQ$2,'Atividades Micro'!$K287&lt;&gt;""),'Atividades Micro'!$K287,"")</f>
        <v/>
      </c>
      <c r="AR242" s="21" t="str">
        <f>IF(AND('Atividades Micro'!$A287=AR$2,'Atividades Micro'!$L287&lt;&gt;""),'Atividades Micro'!$L287,"")</f>
        <v/>
      </c>
      <c r="AS242" s="21" t="str">
        <f>IF(AND('Atividades Micro'!$B287=AS$2,'Atividades Micro'!$K287&lt;&gt;""),'Atividades Micro'!$K287,"")</f>
        <v/>
      </c>
      <c r="AT242" s="21" t="str">
        <f>IF(AND('Atividades Micro'!$B287=AT$2,'Atividades Micro'!$L287&lt;&gt;""),'Atividades Micro'!$L287,"")</f>
        <v/>
      </c>
      <c r="AU242" s="21" t="str">
        <f>IF(AND('Atividades Micro'!$A287=AU$2,'Atividades Micro'!$K287&lt;&gt;""),'Atividades Micro'!$K287,"")</f>
        <v/>
      </c>
      <c r="AV242" s="21" t="str">
        <f>IF(AND('Atividades Micro'!$A287=AV$2,'Atividades Micro'!$L287&lt;&gt;""),'Atividades Micro'!$L287,"")</f>
        <v/>
      </c>
      <c r="AW242" s="21" t="str">
        <f>IF(AND('Atividades Micro'!$B287=AW$2,'Atividades Micro'!$K287&lt;&gt;""),'Atividades Micro'!$K287,"")</f>
        <v/>
      </c>
      <c r="AX242" s="21" t="str">
        <f>IF(AND('Atividades Micro'!$B287=AX$2,'Atividades Micro'!$L287&lt;&gt;""),'Atividades Micro'!$L287,"")</f>
        <v/>
      </c>
      <c r="AY242" s="21" t="str">
        <f>IF(AND('Atividades Micro'!$A287=AY$2,'Atividades Micro'!$K287&lt;&gt;""),'Atividades Micro'!$K287,"")</f>
        <v/>
      </c>
      <c r="AZ242" s="21" t="str">
        <f>IF(AND('Atividades Micro'!$A287=AZ$2,'Atividades Micro'!$L287&lt;&gt;""),'Atividades Micro'!$L287,"")</f>
        <v/>
      </c>
      <c r="BA242" s="21" t="str">
        <f>IF(AND('Atividades Micro'!$B287=BA$2,'Atividades Micro'!$K287&lt;&gt;""),'Atividades Micro'!$K287,"")</f>
        <v/>
      </c>
      <c r="BB242" s="21" t="str">
        <f>IF(AND('Atividades Micro'!$B287=BB$2,'Atividades Micro'!$L287&lt;&gt;""),'Atividades Micro'!$L287,"")</f>
        <v/>
      </c>
      <c r="BC242" s="21" t="str">
        <f>IF(AND('Atividades Micro'!$B287=BC$2,'Atividades Micro'!$G287="Macro",'Atividades Micro'!$K287&lt;&gt;""),'Atividades Micro'!$K287,"")</f>
        <v/>
      </c>
      <c r="BD242" s="21" t="str">
        <f>IF(AND('Atividades Micro'!$B287=BD$2,'Atividades Micro'!$G287="Macro",'Atividades Micro'!$K287&lt;&gt;""),'Atividades Micro'!$K287,"")</f>
        <v/>
      </c>
      <c r="BE242" s="21" t="str">
        <f>IF(AND('Atividades Micro'!$B287=BE$2,'Atividades Micro'!$G287="Macro",'Atividades Micro'!$K287&lt;&gt;""),'Atividades Micro'!$K287,"")</f>
        <v/>
      </c>
      <c r="BF242" s="21" t="str">
        <f>IF(AND('Atividades Micro'!$B287=BF$2,'Atividades Micro'!$G287="Macro",'Atividades Micro'!$K287&lt;&gt;""),'Atividades Micro'!$K287,"")</f>
        <v/>
      </c>
      <c r="BG242" s="21" t="str">
        <f>IF(AND('Atividades Micro'!$B287=BG$2,'Atividades Micro'!$G287="Macro",'Atividades Micro'!$K287&lt;&gt;""),'Atividades Micro'!$K287,"")</f>
        <v/>
      </c>
      <c r="BH242" s="21" t="str">
        <f>IF(AND('Atividades Micro'!$B287=BH$2,'Atividades Micro'!$G287="Macro",'Atividades Micro'!$K287&lt;&gt;""),'Atividades Micro'!$K287,"")</f>
        <v/>
      </c>
      <c r="BI242" s="21" t="str">
        <f>IF(AND('Atividades Micro'!$B287=BI$2,'Atividades Micro'!$G287="Macro",'Atividades Micro'!$K287&lt;&gt;""),'Atividades Micro'!$K287,"")</f>
        <v/>
      </c>
      <c r="BJ242" s="21" t="str">
        <f>IF(AND('Atividades Micro'!$B287=BJ$2,'Atividades Micro'!$G287="Macro",'Atividades Micro'!$K287&lt;&gt;""),'Atividades Micro'!$K287,"")</f>
        <v/>
      </c>
      <c r="BK242" s="21" t="str">
        <f>IF(AND('Atividades Micro'!$B287=BK$2,'Atividades Micro'!$G287="Macro",'Atividades Micro'!$K287&lt;&gt;""),'Atividades Micro'!$K287,"")</f>
        <v/>
      </c>
      <c r="BL242" s="21" t="str">
        <f>IF(AND('Atividades Micro'!$B287=BL$2,'Atividades Micro'!$G287="Macro",'Atividades Micro'!$K287&lt;&gt;""),'Atividades Micro'!$K287,"")</f>
        <v/>
      </c>
      <c r="BM242" s="21" t="str">
        <f>IF(AND('Atividades Micro'!$B287=BM$2,'Atividades Micro'!$G287="Macro",'Atividades Micro'!$K287&lt;&gt;""),'Atividades Micro'!$K287,"")</f>
        <v/>
      </c>
      <c r="BN242" s="21" t="str">
        <f>IF(AND('Atividades Micro'!$B287=BN$2,'Atividades Micro'!$G287="Macro",'Atividades Micro'!$K287&lt;&gt;""),'Atividades Micro'!$K287,"")</f>
        <v/>
      </c>
      <c r="BO242" s="21" t="str">
        <f>IF(AND('Atividades Micro'!$B287=BO$2,'Atividades Micro'!$G287="Macro",'Atividades Micro'!$K287&lt;&gt;""),'Atividades Micro'!$K287,"")</f>
        <v/>
      </c>
      <c r="BP242" s="21" t="str">
        <f>IF(AND('Atividades Micro'!$B287=BP$2,'Atividades Micro'!$G287="Macro",'Atividades Micro'!$K287&lt;&gt;""),'Atividades Micro'!$K287,"")</f>
        <v/>
      </c>
      <c r="BQ242" s="21" t="str">
        <f>IF(AND('Atividades Micro'!$B287=BQ$2,'Atividades Micro'!$G287="Macro",'Atividades Micro'!$K287&lt;&gt;""),'Atividades Micro'!$K287,"")</f>
        <v/>
      </c>
      <c r="BR242" s="21" t="str">
        <f>IF(AND('Atividades Micro'!$B287=BR$2,'Atividades Micro'!$G287="Macro",'Atividades Micro'!$K287&lt;&gt;""),'Atividades Micro'!$K287,"")</f>
        <v/>
      </c>
      <c r="BS242" s="21" t="str">
        <f>IF(AND('Atividades Micro'!$B287=BS$2,'Atividades Micro'!$G287="Macro",'Atividades Micro'!$K287&lt;&gt;""),'Atividades Micro'!$K287,"")</f>
        <v/>
      </c>
      <c r="BT242" s="21" t="str">
        <f>IF(AND('Atividades Micro'!$B287=BT$2,'Atividades Micro'!$G287="Macro",'Atividades Micro'!$K287&lt;&gt;""),'Atividades Micro'!$K287,"")</f>
        <v/>
      </c>
      <c r="BU242" s="21" t="str">
        <f>IF(AND('Atividades Micro'!$B287=BU$2,'Atividades Micro'!$G287="Macro",'Atividades Micro'!$K287&lt;&gt;""),'Atividades Micro'!$K287,"")</f>
        <v/>
      </c>
      <c r="BV242" s="21" t="str">
        <f>IF(AND('Atividades Micro'!$B287=BV$2,'Atividades Micro'!$G287="Macro",'Atividades Micro'!$K287&lt;&gt;""),'Atividades Micro'!$K287,"")</f>
        <v/>
      </c>
      <c r="BW242" s="21" t="str">
        <f>IF(AND('Atividades Micro'!$B287=BW$2,'Atividades Micro'!$G287="Macro",'Atividades Micro'!$K287&lt;&gt;""),'Atividades Micro'!$K287,"")</f>
        <v/>
      </c>
      <c r="BX242" s="21" t="str">
        <f>IF(AND('Atividades Micro'!$B287=BX$2,'Atividades Micro'!$G287="Macro",'Atividades Micro'!$K287&lt;&gt;""),'Atividades Micro'!$K287,"")</f>
        <v/>
      </c>
      <c r="BY242" s="21" t="str">
        <f>IF(AND('Atividades Micro'!$B287=BY$2,'Atividades Micro'!$G287="Macro",'Atividades Micro'!$K287&lt;&gt;""),'Atividades Micro'!$K287,"")</f>
        <v/>
      </c>
      <c r="BZ242" s="21" t="str">
        <f>IF(AND('Atividades Micro'!$B287=BZ$2,'Atividades Micro'!$G287="Macro",'Atividades Micro'!$K287&lt;&gt;""),'Atividades Micro'!$K287,"")</f>
        <v/>
      </c>
      <c r="CA242" s="21" t="str">
        <f>IF(AND('Atividades Micro'!$B287=CA$2,'Atividades Micro'!$G287="Macro",'Atividades Micro'!$K287&lt;&gt;""),'Atividades Micro'!$K287,"")</f>
        <v/>
      </c>
      <c r="CB242" s="21" t="str">
        <f>IF(AND('Atividades Micro'!$B287=CB$2,'Atividades Micro'!$G287="Macro",'Atividades Micro'!$K287&lt;&gt;""),'Atividades Micro'!$K287,"")</f>
        <v/>
      </c>
      <c r="CC242" s="21" t="str">
        <f>IF(AND('Atividades Micro'!$B287=CC$2,'Atividades Micro'!$G287="Macro",'Atividades Micro'!$K287&lt;&gt;""),'Atividades Micro'!$K287,"")</f>
        <v/>
      </c>
      <c r="CD242" s="21" t="str">
        <f>IF(AND('Atividades Micro'!$B287=CD$2,'Atividades Micro'!$G287="Micro",'Atividades Micro'!$K287&lt;&gt;""),'Atividades Micro'!$K287,"")</f>
        <v/>
      </c>
      <c r="CE242" s="21" t="str">
        <f>IF(AND('Atividades Micro'!$B287=CE$2,'Atividades Micro'!$G287="Micro",'Atividades Micro'!$K287&lt;&gt;""),'Atividades Micro'!$K287,"")</f>
        <v/>
      </c>
      <c r="CF242" s="21" t="str">
        <f>IF(AND('Atividades Micro'!$B287=CF$2,'Atividades Micro'!$G287="Micro",'Atividades Micro'!$K287&lt;&gt;""),'Atividades Micro'!$K287,"")</f>
        <v/>
      </c>
      <c r="CG242" s="21" t="str">
        <f>IF(AND('Atividades Micro'!$B287=CG$2,'Atividades Micro'!$G287="Micro",'Atividades Micro'!$K287&lt;&gt;""),'Atividades Micro'!$K287,"")</f>
        <v/>
      </c>
      <c r="CH242" s="21" t="str">
        <f>IF(AND('Atividades Micro'!$B287=CH$2,'Atividades Micro'!$G287="Micro",'Atividades Micro'!$K287&lt;&gt;""),'Atividades Micro'!$K287,"")</f>
        <v/>
      </c>
      <c r="CI242" s="21" t="str">
        <f>IF(AND('Atividades Micro'!$B287=CI$2,'Atividades Micro'!$G287="Micro",'Atividades Micro'!$K287&lt;&gt;""),'Atividades Micro'!$K287,"")</f>
        <v/>
      </c>
      <c r="CJ242" s="21" t="str">
        <f>IF(AND('Atividades Micro'!$B287=CJ$2,'Atividades Micro'!$G287="Micro",'Atividades Micro'!$K287&lt;&gt;""),'Atividades Micro'!$K287,"")</f>
        <v/>
      </c>
      <c r="CK242" s="21" t="str">
        <f>IF(AND('Atividades Micro'!$B287=CK$2,'Atividades Micro'!$G287="Micro",'Atividades Micro'!$K287&lt;&gt;""),'Atividades Micro'!$K287,"")</f>
        <v/>
      </c>
      <c r="CL242" s="21" t="str">
        <f>IF(AND('Atividades Micro'!$B287=CL$2,'Atividades Micro'!$G287="Micro",'Atividades Micro'!$K287&lt;&gt;""),'Atividades Micro'!$K287,"")</f>
        <v/>
      </c>
      <c r="CM242" s="21" t="str">
        <f>IF(AND('Atividades Micro'!$B287=CM$2,'Atividades Micro'!$G287="Micro",'Atividades Micro'!$K287&lt;&gt;""),'Atividades Micro'!$K287,"")</f>
        <v/>
      </c>
      <c r="CN242" s="21" t="str">
        <f>IF(AND('Atividades Micro'!$B287=CN$2,'Atividades Micro'!$G287="Micro",'Atividades Micro'!$K287&lt;&gt;""),'Atividades Micro'!$K287,"")</f>
        <v/>
      </c>
      <c r="CO242" s="21" t="str">
        <f>IF(AND('Atividades Micro'!$B287=CO$2,'Atividades Micro'!$G287="Micro",'Atividades Micro'!$K287&lt;&gt;""),'Atividades Micro'!$K287,"")</f>
        <v/>
      </c>
    </row>
    <row r="243" spans="1:93">
      <c r="A243" s="21" t="str">
        <f>IF(AND('Atividades Micro'!$A288=A$2,'Atividades Micro'!$K288&lt;&gt;""),'Atividades Micro'!$K288,"")</f>
        <v/>
      </c>
      <c r="B243" s="21" t="str">
        <f>IF(AND('Atividades Micro'!$A288=B$2,'Atividades Micro'!$L288&lt;&gt;""),'Atividades Micro'!$L288,"")</f>
        <v/>
      </c>
      <c r="C243" s="21" t="str">
        <f>IF(AND('Atividades Micro'!$A288=C$2,'Atividades Micro'!$K288&lt;&gt;""),'Atividades Micro'!$K288,"")</f>
        <v/>
      </c>
      <c r="D243" s="21" t="str">
        <f>IF(AND('Atividades Micro'!$A288=D$2,'Atividades Micro'!$L288&lt;&gt;""),'Atividades Micro'!$L288,"")</f>
        <v/>
      </c>
      <c r="E243" s="21" t="str">
        <f>IF(AND('Atividades Micro'!$A288=E$2,'Atividades Micro'!$K288&lt;&gt;""),'Atividades Micro'!$K288,"")</f>
        <v/>
      </c>
      <c r="F243" s="21" t="str">
        <f>IF(AND('Atividades Micro'!$A288=F$2,'Atividades Micro'!$L288&lt;&gt;""),'Atividades Micro'!$L288,"")</f>
        <v/>
      </c>
      <c r="G243" s="21" t="str">
        <f>IF(AND('Atividades Micro'!$A288=G$2,'Atividades Micro'!$K288&lt;&gt;""),'Atividades Micro'!$K288,"")</f>
        <v/>
      </c>
      <c r="H243" s="21" t="str">
        <f>IF(AND('Atividades Micro'!$A288=H$2,'Atividades Micro'!$L288&lt;&gt;""),'Atividades Micro'!$L288,"")</f>
        <v/>
      </c>
      <c r="I243" s="21" t="str">
        <f>IF(AND('Atividades Micro'!$A288=I$2,'Atividades Micro'!$K288&lt;&gt;""),'Atividades Micro'!$K288,"")</f>
        <v/>
      </c>
      <c r="J243" s="21" t="str">
        <f>IF(AND('Atividades Micro'!$A288=J$2,'Atividades Micro'!$L288&lt;&gt;""),'Atividades Micro'!$L288,"")</f>
        <v/>
      </c>
      <c r="K243" s="21" t="str">
        <f>IF(AND('Atividades Micro'!$B288=K$2,'Atividades Micro'!$K288&lt;&gt;""),'Atividades Micro'!$K288,"")</f>
        <v/>
      </c>
      <c r="L243" s="21" t="str">
        <f>IF(AND('Atividades Micro'!$B288=L$2,'Atividades Micro'!$L288&lt;&gt;""),'Atividades Micro'!$L288,"")</f>
        <v/>
      </c>
      <c r="M243" s="21" t="str">
        <f>IF(AND('Atividades Micro'!$B288=M$2,'Atividades Micro'!$K288&lt;&gt;""),'Atividades Micro'!$K288,"")</f>
        <v/>
      </c>
      <c r="N243" s="21" t="str">
        <f>IF(AND('Atividades Micro'!$B288=N$2,'Atividades Micro'!$L288&lt;&gt;""),'Atividades Micro'!$L288,"")</f>
        <v/>
      </c>
      <c r="O243" s="21" t="str">
        <f>IF(AND('Atividades Micro'!$A288=O$2,'Atividades Micro'!$K288&lt;&gt;""),'Atividades Micro'!$K288,"")</f>
        <v/>
      </c>
      <c r="P243" s="21" t="str">
        <f>IF(AND('Atividades Micro'!$A288=P$2,'Atividades Micro'!$L288&lt;&gt;""),'Atividades Micro'!$L288,"")</f>
        <v/>
      </c>
      <c r="Q243" s="21" t="str">
        <f>IF(AND('Atividades Micro'!$B288=Q$2,'Atividades Micro'!$K288&lt;&gt;""),'Atividades Micro'!$K288,"")</f>
        <v/>
      </c>
      <c r="R243" s="21" t="str">
        <f>IF(AND('Atividades Micro'!$B288=R$2,'Atividades Micro'!$L288&lt;&gt;""),'Atividades Micro'!$L288,"")</f>
        <v/>
      </c>
      <c r="S243" s="21" t="str">
        <f>IF(AND('Atividades Micro'!$A288=S$2,'Atividades Micro'!$K288&lt;&gt;""),'Atividades Micro'!$K288,"")</f>
        <v/>
      </c>
      <c r="T243" s="21" t="str">
        <f>IF(AND('Atividades Micro'!$A288=T$2,'Atividades Micro'!$L288&lt;&gt;""),'Atividades Micro'!$L288,"")</f>
        <v/>
      </c>
      <c r="U243" s="21" t="str">
        <f>IF(AND('Atividades Micro'!$B288=U$2,'Atividades Micro'!$K288&lt;&gt;""),'Atividades Micro'!$K288,"")</f>
        <v/>
      </c>
      <c r="V243" s="21" t="str">
        <f>IF(AND('Atividades Micro'!$B288=V$2,'Atividades Micro'!$L288&lt;&gt;""),'Atividades Micro'!$L288,"")</f>
        <v/>
      </c>
      <c r="W243" s="21" t="str">
        <f>IF(AND('Atividades Micro'!$B288=W$2,'Atividades Micro'!$K288&lt;&gt;""),'Atividades Micro'!$K288,"")</f>
        <v/>
      </c>
      <c r="X243" s="21" t="str">
        <f>IF(AND('Atividades Micro'!$B288=X$2,'Atividades Micro'!$L288&lt;&gt;""),'Atividades Micro'!$L288,"")</f>
        <v/>
      </c>
      <c r="Y243" s="21" t="str">
        <f>IF(AND('Atividades Micro'!$A288=Y$2,'Atividades Micro'!$K288&lt;&gt;""),'Atividades Micro'!$K288,"")</f>
        <v/>
      </c>
      <c r="Z243" s="21" t="str">
        <f>IF(AND('Atividades Micro'!$A288=Z$2,'Atividades Micro'!$L288&lt;&gt;""),'Atividades Micro'!$L288,"")</f>
        <v/>
      </c>
      <c r="AA243" s="21" t="str">
        <f>IF(AND('Atividades Micro'!$B288=AA$2,'Atividades Micro'!$K288&lt;&gt;""),'Atividades Micro'!$K288,"")</f>
        <v/>
      </c>
      <c r="AB243" s="21" t="str">
        <f>IF(AND('Atividades Micro'!$B288=AB$2,'Atividades Micro'!$L288&lt;&gt;""),'Atividades Micro'!$L288,"")</f>
        <v/>
      </c>
      <c r="AC243" s="21" t="str">
        <f>IF(AND('Atividades Micro'!$B288=AC$2,'Atividades Micro'!$K288&lt;&gt;""),'Atividades Micro'!$K288,"")</f>
        <v/>
      </c>
      <c r="AD243" s="21" t="str">
        <f>IF(AND('Atividades Micro'!$B288=AD$2,'Atividades Micro'!$L288&lt;&gt;""),'Atividades Micro'!$L288,"")</f>
        <v/>
      </c>
      <c r="AE243" s="21" t="str">
        <f>IF(AND('Atividades Micro'!$A288=AE$2,'Atividades Micro'!$K288&lt;&gt;""),'Atividades Micro'!$K288,"")</f>
        <v/>
      </c>
      <c r="AF243" s="21" t="str">
        <f>IF(AND('Atividades Micro'!$A288=AF$2,'Atividades Micro'!$L288&lt;&gt;""),'Atividades Micro'!$L288,"")</f>
        <v/>
      </c>
      <c r="AG243" s="21" t="str">
        <f>IF(AND('Atividades Micro'!$B288=AG$2,'Atividades Micro'!$K288&lt;&gt;""),'Atividades Micro'!$K288,"")</f>
        <v/>
      </c>
      <c r="AH243" s="21" t="str">
        <f>IF(AND('Atividades Micro'!$B288=AH$2,'Atividades Micro'!$L288&lt;&gt;""),'Atividades Micro'!$L288,"")</f>
        <v/>
      </c>
      <c r="AI243" s="21" t="str">
        <f>IF(AND('Atividades Micro'!$B288=AI$2,'Atividades Micro'!$K288&lt;&gt;""),'Atividades Micro'!$K288,"")</f>
        <v/>
      </c>
      <c r="AJ243" s="21" t="str">
        <f>IF(AND('Atividades Micro'!$B288=AJ$2,'Atividades Micro'!$L288&lt;&gt;""),'Atividades Micro'!$L288,"")</f>
        <v/>
      </c>
      <c r="AK243" s="21" t="str">
        <f>IF(AND('Atividades Micro'!$A288=AK$2,'Atividades Micro'!$K288&lt;&gt;""),'Atividades Micro'!$K288,"")</f>
        <v/>
      </c>
      <c r="AL243" s="21" t="str">
        <f>IF(AND('Atividades Micro'!$A288=AL$2,'Atividades Micro'!$L288&lt;&gt;""),'Atividades Micro'!$L288,"")</f>
        <v/>
      </c>
      <c r="AM243" s="21" t="str">
        <f>IF(AND('Atividades Micro'!$B288=AM$2,'Atividades Micro'!$K288&lt;&gt;""),'Atividades Micro'!$K288,"")</f>
        <v/>
      </c>
      <c r="AN243" s="21" t="str">
        <f>IF(AND('Atividades Micro'!$B288=AN$2,'Atividades Micro'!$L288&lt;&gt;""),'Atividades Micro'!$L288,"")</f>
        <v/>
      </c>
      <c r="AO243" s="21" t="str">
        <f>IF(AND('Atividades Micro'!$B288=AO$2,'Atividades Micro'!$K288&lt;&gt;""),'Atividades Micro'!$K288,"")</f>
        <v/>
      </c>
      <c r="AP243" s="21" t="str">
        <f>IF(AND('Atividades Micro'!$B288=AP$2,'Atividades Micro'!$L288&lt;&gt;""),'Atividades Micro'!$L288,"")</f>
        <v/>
      </c>
      <c r="AQ243" s="21" t="str">
        <f>IF(AND('Atividades Micro'!$A288=AQ$2,'Atividades Micro'!$K288&lt;&gt;""),'Atividades Micro'!$K288,"")</f>
        <v/>
      </c>
      <c r="AR243" s="21" t="str">
        <f>IF(AND('Atividades Micro'!$A288=AR$2,'Atividades Micro'!$L288&lt;&gt;""),'Atividades Micro'!$L288,"")</f>
        <v/>
      </c>
      <c r="AS243" s="21" t="str">
        <f>IF(AND('Atividades Micro'!$B288=AS$2,'Atividades Micro'!$K288&lt;&gt;""),'Atividades Micro'!$K288,"")</f>
        <v/>
      </c>
      <c r="AT243" s="21" t="str">
        <f>IF(AND('Atividades Micro'!$B288=AT$2,'Atividades Micro'!$L288&lt;&gt;""),'Atividades Micro'!$L288,"")</f>
        <v/>
      </c>
      <c r="AU243" s="21" t="str">
        <f>IF(AND('Atividades Micro'!$A288=AU$2,'Atividades Micro'!$K288&lt;&gt;""),'Atividades Micro'!$K288,"")</f>
        <v/>
      </c>
      <c r="AV243" s="21" t="str">
        <f>IF(AND('Atividades Micro'!$A288=AV$2,'Atividades Micro'!$L288&lt;&gt;""),'Atividades Micro'!$L288,"")</f>
        <v/>
      </c>
      <c r="AW243" s="21" t="str">
        <f>IF(AND('Atividades Micro'!$B288=AW$2,'Atividades Micro'!$K288&lt;&gt;""),'Atividades Micro'!$K288,"")</f>
        <v/>
      </c>
      <c r="AX243" s="21" t="str">
        <f>IF(AND('Atividades Micro'!$B288=AX$2,'Atividades Micro'!$L288&lt;&gt;""),'Atividades Micro'!$L288,"")</f>
        <v/>
      </c>
      <c r="AY243" s="21" t="str">
        <f>IF(AND('Atividades Micro'!$A288=AY$2,'Atividades Micro'!$K288&lt;&gt;""),'Atividades Micro'!$K288,"")</f>
        <v/>
      </c>
      <c r="AZ243" s="21" t="str">
        <f>IF(AND('Atividades Micro'!$A288=AZ$2,'Atividades Micro'!$L288&lt;&gt;""),'Atividades Micro'!$L288,"")</f>
        <v/>
      </c>
      <c r="BA243" s="21" t="str">
        <f>IF(AND('Atividades Micro'!$B288=BA$2,'Atividades Micro'!$K288&lt;&gt;""),'Atividades Micro'!$K288,"")</f>
        <v/>
      </c>
      <c r="BB243" s="21" t="str">
        <f>IF(AND('Atividades Micro'!$B288=BB$2,'Atividades Micro'!$L288&lt;&gt;""),'Atividades Micro'!$L288,"")</f>
        <v/>
      </c>
      <c r="BC243" s="21" t="str">
        <f>IF(AND('Atividades Micro'!$B288=BC$2,'Atividades Micro'!$G288="Macro",'Atividades Micro'!$K288&lt;&gt;""),'Atividades Micro'!$K288,"")</f>
        <v/>
      </c>
      <c r="BD243" s="21" t="str">
        <f>IF(AND('Atividades Micro'!$B288=BD$2,'Atividades Micro'!$G288="Macro",'Atividades Micro'!$K288&lt;&gt;""),'Atividades Micro'!$K288,"")</f>
        <v/>
      </c>
      <c r="BE243" s="21" t="str">
        <f>IF(AND('Atividades Micro'!$B288=BE$2,'Atividades Micro'!$G288="Macro",'Atividades Micro'!$K288&lt;&gt;""),'Atividades Micro'!$K288,"")</f>
        <v/>
      </c>
      <c r="BF243" s="21" t="str">
        <f>IF(AND('Atividades Micro'!$B288=BF$2,'Atividades Micro'!$G288="Macro",'Atividades Micro'!$K288&lt;&gt;""),'Atividades Micro'!$K288,"")</f>
        <v/>
      </c>
      <c r="BG243" s="21" t="str">
        <f>IF(AND('Atividades Micro'!$B288=BG$2,'Atividades Micro'!$G288="Macro",'Atividades Micro'!$K288&lt;&gt;""),'Atividades Micro'!$K288,"")</f>
        <v/>
      </c>
      <c r="BH243" s="21" t="str">
        <f>IF(AND('Atividades Micro'!$B288=BH$2,'Atividades Micro'!$G288="Macro",'Atividades Micro'!$K288&lt;&gt;""),'Atividades Micro'!$K288,"")</f>
        <v/>
      </c>
      <c r="BI243" s="21" t="str">
        <f>IF(AND('Atividades Micro'!$B288=BI$2,'Atividades Micro'!$G288="Macro",'Atividades Micro'!$K288&lt;&gt;""),'Atividades Micro'!$K288,"")</f>
        <v/>
      </c>
      <c r="BJ243" s="21" t="str">
        <f>IF(AND('Atividades Micro'!$B288=BJ$2,'Atividades Micro'!$G288="Macro",'Atividades Micro'!$K288&lt;&gt;""),'Atividades Micro'!$K288,"")</f>
        <v/>
      </c>
      <c r="BK243" s="21" t="str">
        <f>IF(AND('Atividades Micro'!$B288=BK$2,'Atividades Micro'!$G288="Macro",'Atividades Micro'!$K288&lt;&gt;""),'Atividades Micro'!$K288,"")</f>
        <v/>
      </c>
      <c r="BL243" s="21" t="str">
        <f>IF(AND('Atividades Micro'!$B288=BL$2,'Atividades Micro'!$G288="Macro",'Atividades Micro'!$K288&lt;&gt;""),'Atividades Micro'!$K288,"")</f>
        <v/>
      </c>
      <c r="BM243" s="21" t="str">
        <f>IF(AND('Atividades Micro'!$B288=BM$2,'Atividades Micro'!$G288="Macro",'Atividades Micro'!$K288&lt;&gt;""),'Atividades Micro'!$K288,"")</f>
        <v/>
      </c>
      <c r="BN243" s="21" t="str">
        <f>IF(AND('Atividades Micro'!$B288=BN$2,'Atividades Micro'!$G288="Macro",'Atividades Micro'!$K288&lt;&gt;""),'Atividades Micro'!$K288,"")</f>
        <v/>
      </c>
      <c r="BO243" s="21" t="str">
        <f>IF(AND('Atividades Micro'!$B288=BO$2,'Atividades Micro'!$G288="Macro",'Atividades Micro'!$K288&lt;&gt;""),'Atividades Micro'!$K288,"")</f>
        <v/>
      </c>
      <c r="BP243" s="21" t="str">
        <f>IF(AND('Atividades Micro'!$B288=BP$2,'Atividades Micro'!$G288="Macro",'Atividades Micro'!$K288&lt;&gt;""),'Atividades Micro'!$K288,"")</f>
        <v/>
      </c>
      <c r="BQ243" s="21" t="str">
        <f>IF(AND('Atividades Micro'!$B288=BQ$2,'Atividades Micro'!$G288="Macro",'Atividades Micro'!$K288&lt;&gt;""),'Atividades Micro'!$K288,"")</f>
        <v/>
      </c>
      <c r="BR243" s="21" t="str">
        <f>IF(AND('Atividades Micro'!$B288=BR$2,'Atividades Micro'!$G288="Macro",'Atividades Micro'!$K288&lt;&gt;""),'Atividades Micro'!$K288,"")</f>
        <v/>
      </c>
      <c r="BS243" s="21" t="str">
        <f>IF(AND('Atividades Micro'!$B288=BS$2,'Atividades Micro'!$G288="Macro",'Atividades Micro'!$K288&lt;&gt;""),'Atividades Micro'!$K288,"")</f>
        <v/>
      </c>
      <c r="BT243" s="21" t="str">
        <f>IF(AND('Atividades Micro'!$B288=BT$2,'Atividades Micro'!$G288="Macro",'Atividades Micro'!$K288&lt;&gt;""),'Atividades Micro'!$K288,"")</f>
        <v/>
      </c>
      <c r="BU243" s="21" t="str">
        <f>IF(AND('Atividades Micro'!$B288=BU$2,'Atividades Micro'!$G288="Macro",'Atividades Micro'!$K288&lt;&gt;""),'Atividades Micro'!$K288,"")</f>
        <v/>
      </c>
      <c r="BV243" s="21" t="str">
        <f>IF(AND('Atividades Micro'!$B288=BV$2,'Atividades Micro'!$G288="Macro",'Atividades Micro'!$K288&lt;&gt;""),'Atividades Micro'!$K288,"")</f>
        <v/>
      </c>
      <c r="BW243" s="21" t="str">
        <f>IF(AND('Atividades Micro'!$B288=BW$2,'Atividades Micro'!$G288="Macro",'Atividades Micro'!$K288&lt;&gt;""),'Atividades Micro'!$K288,"")</f>
        <v/>
      </c>
      <c r="BX243" s="21" t="str">
        <f>IF(AND('Atividades Micro'!$B288=BX$2,'Atividades Micro'!$G288="Macro",'Atividades Micro'!$K288&lt;&gt;""),'Atividades Micro'!$K288,"")</f>
        <v/>
      </c>
      <c r="BY243" s="21" t="str">
        <f>IF(AND('Atividades Micro'!$B288=BY$2,'Atividades Micro'!$G288="Macro",'Atividades Micro'!$K288&lt;&gt;""),'Atividades Micro'!$K288,"")</f>
        <v/>
      </c>
      <c r="BZ243" s="21" t="str">
        <f>IF(AND('Atividades Micro'!$B288=BZ$2,'Atividades Micro'!$G288="Macro",'Atividades Micro'!$K288&lt;&gt;""),'Atividades Micro'!$K288,"")</f>
        <v/>
      </c>
      <c r="CA243" s="21" t="str">
        <f>IF(AND('Atividades Micro'!$B288=CA$2,'Atividades Micro'!$G288="Macro",'Atividades Micro'!$K288&lt;&gt;""),'Atividades Micro'!$K288,"")</f>
        <v/>
      </c>
      <c r="CB243" s="21" t="str">
        <f>IF(AND('Atividades Micro'!$B288=CB$2,'Atividades Micro'!$G288="Macro",'Atividades Micro'!$K288&lt;&gt;""),'Atividades Micro'!$K288,"")</f>
        <v/>
      </c>
      <c r="CC243" s="21" t="str">
        <f>IF(AND('Atividades Micro'!$B288=CC$2,'Atividades Micro'!$G288="Macro",'Atividades Micro'!$K288&lt;&gt;""),'Atividades Micro'!$K288,"")</f>
        <v/>
      </c>
      <c r="CD243" s="21" t="str">
        <f>IF(AND('Atividades Micro'!$B288=CD$2,'Atividades Micro'!$G288="Micro",'Atividades Micro'!$K288&lt;&gt;""),'Atividades Micro'!$K288,"")</f>
        <v/>
      </c>
      <c r="CE243" s="21" t="str">
        <f>IF(AND('Atividades Micro'!$B288=CE$2,'Atividades Micro'!$G288="Micro",'Atividades Micro'!$K288&lt;&gt;""),'Atividades Micro'!$K288,"")</f>
        <v/>
      </c>
      <c r="CF243" s="21" t="str">
        <f>IF(AND('Atividades Micro'!$B288=CF$2,'Atividades Micro'!$G288="Micro",'Atividades Micro'!$K288&lt;&gt;""),'Atividades Micro'!$K288,"")</f>
        <v/>
      </c>
      <c r="CG243" s="21" t="str">
        <f>IF(AND('Atividades Micro'!$B288=CG$2,'Atividades Micro'!$G288="Micro",'Atividades Micro'!$K288&lt;&gt;""),'Atividades Micro'!$K288,"")</f>
        <v/>
      </c>
      <c r="CH243" s="21" t="str">
        <f>IF(AND('Atividades Micro'!$B288=CH$2,'Atividades Micro'!$G288="Micro",'Atividades Micro'!$K288&lt;&gt;""),'Atividades Micro'!$K288,"")</f>
        <v/>
      </c>
      <c r="CI243" s="21" t="str">
        <f>IF(AND('Atividades Micro'!$B288=CI$2,'Atividades Micro'!$G288="Micro",'Atividades Micro'!$K288&lt;&gt;""),'Atividades Micro'!$K288,"")</f>
        <v/>
      </c>
      <c r="CJ243" s="21" t="str">
        <f>IF(AND('Atividades Micro'!$B288=CJ$2,'Atividades Micro'!$G288="Micro",'Atividades Micro'!$K288&lt;&gt;""),'Atividades Micro'!$K288,"")</f>
        <v/>
      </c>
      <c r="CK243" s="21" t="str">
        <f>IF(AND('Atividades Micro'!$B288=CK$2,'Atividades Micro'!$G288="Micro",'Atividades Micro'!$K288&lt;&gt;""),'Atividades Micro'!$K288,"")</f>
        <v/>
      </c>
      <c r="CL243" s="21" t="str">
        <f>IF(AND('Atividades Micro'!$B288=CL$2,'Atividades Micro'!$G288="Micro",'Atividades Micro'!$K288&lt;&gt;""),'Atividades Micro'!$K288,"")</f>
        <v/>
      </c>
      <c r="CM243" s="21" t="str">
        <f>IF(AND('Atividades Micro'!$B288=CM$2,'Atividades Micro'!$G288="Micro",'Atividades Micro'!$K288&lt;&gt;""),'Atividades Micro'!$K288,"")</f>
        <v/>
      </c>
      <c r="CN243" s="21" t="str">
        <f>IF(AND('Atividades Micro'!$B288=CN$2,'Atividades Micro'!$G288="Micro",'Atividades Micro'!$K288&lt;&gt;""),'Atividades Micro'!$K288,"")</f>
        <v/>
      </c>
      <c r="CO243" s="21" t="str">
        <f>IF(AND('Atividades Micro'!$B288=CO$2,'Atividades Micro'!$G288="Micro",'Atividades Micro'!$K288&lt;&gt;""),'Atividades Micro'!$K288,"")</f>
        <v/>
      </c>
    </row>
    <row r="244" spans="1:93">
      <c r="A244" s="21" t="str">
        <f>IF(AND('Atividades Micro'!$A289=A$2,'Atividades Micro'!$K289&lt;&gt;""),'Atividades Micro'!$K289,"")</f>
        <v/>
      </c>
      <c r="B244" s="21" t="str">
        <f>IF(AND('Atividades Micro'!$A289=B$2,'Atividades Micro'!$L289&lt;&gt;""),'Atividades Micro'!$L289,"")</f>
        <v/>
      </c>
      <c r="C244" s="21" t="str">
        <f>IF(AND('Atividades Micro'!$A289=C$2,'Atividades Micro'!$K289&lt;&gt;""),'Atividades Micro'!$K289,"")</f>
        <v/>
      </c>
      <c r="D244" s="21" t="str">
        <f>IF(AND('Atividades Micro'!$A289=D$2,'Atividades Micro'!$L289&lt;&gt;""),'Atividades Micro'!$L289,"")</f>
        <v/>
      </c>
      <c r="E244" s="21" t="str">
        <f>IF(AND('Atividades Micro'!$A289=E$2,'Atividades Micro'!$K289&lt;&gt;""),'Atividades Micro'!$K289,"")</f>
        <v/>
      </c>
      <c r="F244" s="21" t="str">
        <f>IF(AND('Atividades Micro'!$A289=F$2,'Atividades Micro'!$L289&lt;&gt;""),'Atividades Micro'!$L289,"")</f>
        <v/>
      </c>
      <c r="G244" s="21" t="str">
        <f>IF(AND('Atividades Micro'!$A289=G$2,'Atividades Micro'!$K289&lt;&gt;""),'Atividades Micro'!$K289,"")</f>
        <v/>
      </c>
      <c r="H244" s="21" t="str">
        <f>IF(AND('Atividades Micro'!$A289=H$2,'Atividades Micro'!$L289&lt;&gt;""),'Atividades Micro'!$L289,"")</f>
        <v/>
      </c>
      <c r="I244" s="21" t="str">
        <f>IF(AND('Atividades Micro'!$A289=I$2,'Atividades Micro'!$K289&lt;&gt;""),'Atividades Micro'!$K289,"")</f>
        <v/>
      </c>
      <c r="J244" s="21" t="str">
        <f>IF(AND('Atividades Micro'!$A289=J$2,'Atividades Micro'!$L289&lt;&gt;""),'Atividades Micro'!$L289,"")</f>
        <v/>
      </c>
      <c r="K244" s="21" t="str">
        <f>IF(AND('Atividades Micro'!$B289=K$2,'Atividades Micro'!$K289&lt;&gt;""),'Atividades Micro'!$K289,"")</f>
        <v/>
      </c>
      <c r="L244" s="21" t="str">
        <f>IF(AND('Atividades Micro'!$B289=L$2,'Atividades Micro'!$L289&lt;&gt;""),'Atividades Micro'!$L289,"")</f>
        <v/>
      </c>
      <c r="M244" s="21" t="str">
        <f>IF(AND('Atividades Micro'!$B289=M$2,'Atividades Micro'!$K289&lt;&gt;""),'Atividades Micro'!$K289,"")</f>
        <v/>
      </c>
      <c r="N244" s="21" t="str">
        <f>IF(AND('Atividades Micro'!$B289=N$2,'Atividades Micro'!$L289&lt;&gt;""),'Atividades Micro'!$L289,"")</f>
        <v/>
      </c>
      <c r="O244" s="21" t="str">
        <f>IF(AND('Atividades Micro'!$A289=O$2,'Atividades Micro'!$K289&lt;&gt;""),'Atividades Micro'!$K289,"")</f>
        <v/>
      </c>
      <c r="P244" s="21" t="str">
        <f>IF(AND('Atividades Micro'!$A289=P$2,'Atividades Micro'!$L289&lt;&gt;""),'Atividades Micro'!$L289,"")</f>
        <v/>
      </c>
      <c r="Q244" s="21" t="str">
        <f>IF(AND('Atividades Micro'!$B289=Q$2,'Atividades Micro'!$K289&lt;&gt;""),'Atividades Micro'!$K289,"")</f>
        <v/>
      </c>
      <c r="R244" s="21" t="str">
        <f>IF(AND('Atividades Micro'!$B289=R$2,'Atividades Micro'!$L289&lt;&gt;""),'Atividades Micro'!$L289,"")</f>
        <v/>
      </c>
      <c r="S244" s="21" t="str">
        <f>IF(AND('Atividades Micro'!$A289=S$2,'Atividades Micro'!$K289&lt;&gt;""),'Atividades Micro'!$K289,"")</f>
        <v/>
      </c>
      <c r="T244" s="21" t="str">
        <f>IF(AND('Atividades Micro'!$A289=T$2,'Atividades Micro'!$L289&lt;&gt;""),'Atividades Micro'!$L289,"")</f>
        <v/>
      </c>
      <c r="U244" s="21" t="str">
        <f>IF(AND('Atividades Micro'!$B289=U$2,'Atividades Micro'!$K289&lt;&gt;""),'Atividades Micro'!$K289,"")</f>
        <v/>
      </c>
      <c r="V244" s="21" t="str">
        <f>IF(AND('Atividades Micro'!$B289=V$2,'Atividades Micro'!$L289&lt;&gt;""),'Atividades Micro'!$L289,"")</f>
        <v/>
      </c>
      <c r="W244" s="21" t="str">
        <f>IF(AND('Atividades Micro'!$B289=W$2,'Atividades Micro'!$K289&lt;&gt;""),'Atividades Micro'!$K289,"")</f>
        <v/>
      </c>
      <c r="X244" s="21" t="str">
        <f>IF(AND('Atividades Micro'!$B289=X$2,'Atividades Micro'!$L289&lt;&gt;""),'Atividades Micro'!$L289,"")</f>
        <v/>
      </c>
      <c r="Y244" s="21" t="str">
        <f>IF(AND('Atividades Micro'!$A289=Y$2,'Atividades Micro'!$K289&lt;&gt;""),'Atividades Micro'!$K289,"")</f>
        <v/>
      </c>
      <c r="Z244" s="21" t="str">
        <f>IF(AND('Atividades Micro'!$A289=Z$2,'Atividades Micro'!$L289&lt;&gt;""),'Atividades Micro'!$L289,"")</f>
        <v/>
      </c>
      <c r="AA244" s="21" t="str">
        <f>IF(AND('Atividades Micro'!$B289=AA$2,'Atividades Micro'!$K289&lt;&gt;""),'Atividades Micro'!$K289,"")</f>
        <v/>
      </c>
      <c r="AB244" s="21" t="str">
        <f>IF(AND('Atividades Micro'!$B289=AB$2,'Atividades Micro'!$L289&lt;&gt;""),'Atividades Micro'!$L289,"")</f>
        <v/>
      </c>
      <c r="AC244" s="21" t="str">
        <f>IF(AND('Atividades Micro'!$B289=AC$2,'Atividades Micro'!$K289&lt;&gt;""),'Atividades Micro'!$K289,"")</f>
        <v/>
      </c>
      <c r="AD244" s="21" t="str">
        <f>IF(AND('Atividades Micro'!$B289=AD$2,'Atividades Micro'!$L289&lt;&gt;""),'Atividades Micro'!$L289,"")</f>
        <v/>
      </c>
      <c r="AE244" s="21" t="str">
        <f>IF(AND('Atividades Micro'!$A289=AE$2,'Atividades Micro'!$K289&lt;&gt;""),'Atividades Micro'!$K289,"")</f>
        <v/>
      </c>
      <c r="AF244" s="21" t="str">
        <f>IF(AND('Atividades Micro'!$A289=AF$2,'Atividades Micro'!$L289&lt;&gt;""),'Atividades Micro'!$L289,"")</f>
        <v/>
      </c>
      <c r="AG244" s="21" t="str">
        <f>IF(AND('Atividades Micro'!$B289=AG$2,'Atividades Micro'!$K289&lt;&gt;""),'Atividades Micro'!$K289,"")</f>
        <v/>
      </c>
      <c r="AH244" s="21" t="str">
        <f>IF(AND('Atividades Micro'!$B289=AH$2,'Atividades Micro'!$L289&lt;&gt;""),'Atividades Micro'!$L289,"")</f>
        <v/>
      </c>
      <c r="AI244" s="21" t="str">
        <f>IF(AND('Atividades Micro'!$B289=AI$2,'Atividades Micro'!$K289&lt;&gt;""),'Atividades Micro'!$K289,"")</f>
        <v/>
      </c>
      <c r="AJ244" s="21" t="str">
        <f>IF(AND('Atividades Micro'!$B289=AJ$2,'Atividades Micro'!$L289&lt;&gt;""),'Atividades Micro'!$L289,"")</f>
        <v/>
      </c>
      <c r="AK244" s="21" t="str">
        <f>IF(AND('Atividades Micro'!$A289=AK$2,'Atividades Micro'!$K289&lt;&gt;""),'Atividades Micro'!$K289,"")</f>
        <v/>
      </c>
      <c r="AL244" s="21" t="str">
        <f>IF(AND('Atividades Micro'!$A289=AL$2,'Atividades Micro'!$L289&lt;&gt;""),'Atividades Micro'!$L289,"")</f>
        <v/>
      </c>
      <c r="AM244" s="21" t="str">
        <f>IF(AND('Atividades Micro'!$B289=AM$2,'Atividades Micro'!$K289&lt;&gt;""),'Atividades Micro'!$K289,"")</f>
        <v/>
      </c>
      <c r="AN244" s="21" t="str">
        <f>IF(AND('Atividades Micro'!$B289=AN$2,'Atividades Micro'!$L289&lt;&gt;""),'Atividades Micro'!$L289,"")</f>
        <v/>
      </c>
      <c r="AO244" s="21" t="str">
        <f>IF(AND('Atividades Micro'!$B289=AO$2,'Atividades Micro'!$K289&lt;&gt;""),'Atividades Micro'!$K289,"")</f>
        <v/>
      </c>
      <c r="AP244" s="21" t="str">
        <f>IF(AND('Atividades Micro'!$B289=AP$2,'Atividades Micro'!$L289&lt;&gt;""),'Atividades Micro'!$L289,"")</f>
        <v/>
      </c>
      <c r="AQ244" s="21" t="str">
        <f>IF(AND('Atividades Micro'!$A289=AQ$2,'Atividades Micro'!$K289&lt;&gt;""),'Atividades Micro'!$K289,"")</f>
        <v/>
      </c>
      <c r="AR244" s="21" t="str">
        <f>IF(AND('Atividades Micro'!$A289=AR$2,'Atividades Micro'!$L289&lt;&gt;""),'Atividades Micro'!$L289,"")</f>
        <v/>
      </c>
      <c r="AS244" s="21" t="str">
        <f>IF(AND('Atividades Micro'!$B289=AS$2,'Atividades Micro'!$K289&lt;&gt;""),'Atividades Micro'!$K289,"")</f>
        <v/>
      </c>
      <c r="AT244" s="21" t="str">
        <f>IF(AND('Atividades Micro'!$B289=AT$2,'Atividades Micro'!$L289&lt;&gt;""),'Atividades Micro'!$L289,"")</f>
        <v/>
      </c>
      <c r="AU244" s="21" t="str">
        <f>IF(AND('Atividades Micro'!$A289=AU$2,'Atividades Micro'!$K289&lt;&gt;""),'Atividades Micro'!$K289,"")</f>
        <v/>
      </c>
      <c r="AV244" s="21" t="str">
        <f>IF(AND('Atividades Micro'!$A289=AV$2,'Atividades Micro'!$L289&lt;&gt;""),'Atividades Micro'!$L289,"")</f>
        <v/>
      </c>
      <c r="AW244" s="21" t="str">
        <f>IF(AND('Atividades Micro'!$B289=AW$2,'Atividades Micro'!$K289&lt;&gt;""),'Atividades Micro'!$K289,"")</f>
        <v/>
      </c>
      <c r="AX244" s="21" t="str">
        <f>IF(AND('Atividades Micro'!$B289=AX$2,'Atividades Micro'!$L289&lt;&gt;""),'Atividades Micro'!$L289,"")</f>
        <v/>
      </c>
      <c r="AY244" s="21" t="str">
        <f>IF(AND('Atividades Micro'!$A289=AY$2,'Atividades Micro'!$K289&lt;&gt;""),'Atividades Micro'!$K289,"")</f>
        <v/>
      </c>
      <c r="AZ244" s="21" t="str">
        <f>IF(AND('Atividades Micro'!$A289=AZ$2,'Atividades Micro'!$L289&lt;&gt;""),'Atividades Micro'!$L289,"")</f>
        <v/>
      </c>
      <c r="BA244" s="21" t="str">
        <f>IF(AND('Atividades Micro'!$B289=BA$2,'Atividades Micro'!$K289&lt;&gt;""),'Atividades Micro'!$K289,"")</f>
        <v/>
      </c>
      <c r="BB244" s="21" t="str">
        <f>IF(AND('Atividades Micro'!$B289=BB$2,'Atividades Micro'!$L289&lt;&gt;""),'Atividades Micro'!$L289,"")</f>
        <v/>
      </c>
      <c r="BC244" s="21" t="str">
        <f>IF(AND('Atividades Micro'!$B289=BC$2,'Atividades Micro'!$G289="Macro",'Atividades Micro'!$K289&lt;&gt;""),'Atividades Micro'!$K289,"")</f>
        <v/>
      </c>
      <c r="BD244" s="21" t="str">
        <f>IF(AND('Atividades Micro'!$B289=BD$2,'Atividades Micro'!$G289="Macro",'Atividades Micro'!$K289&lt;&gt;""),'Atividades Micro'!$K289,"")</f>
        <v/>
      </c>
      <c r="BE244" s="21" t="str">
        <f>IF(AND('Atividades Micro'!$B289=BE$2,'Atividades Micro'!$G289="Macro",'Atividades Micro'!$K289&lt;&gt;""),'Atividades Micro'!$K289,"")</f>
        <v/>
      </c>
      <c r="BF244" s="21" t="str">
        <f>IF(AND('Atividades Micro'!$B289=BF$2,'Atividades Micro'!$G289="Macro",'Atividades Micro'!$K289&lt;&gt;""),'Atividades Micro'!$K289,"")</f>
        <v/>
      </c>
      <c r="BG244" s="21" t="str">
        <f>IF(AND('Atividades Micro'!$B289=BG$2,'Atividades Micro'!$G289="Macro",'Atividades Micro'!$K289&lt;&gt;""),'Atividades Micro'!$K289,"")</f>
        <v/>
      </c>
      <c r="BH244" s="21" t="str">
        <f>IF(AND('Atividades Micro'!$B289=BH$2,'Atividades Micro'!$G289="Macro",'Atividades Micro'!$K289&lt;&gt;""),'Atividades Micro'!$K289,"")</f>
        <v/>
      </c>
      <c r="BI244" s="21" t="str">
        <f>IF(AND('Atividades Micro'!$B289=BI$2,'Atividades Micro'!$G289="Macro",'Atividades Micro'!$K289&lt;&gt;""),'Atividades Micro'!$K289,"")</f>
        <v/>
      </c>
      <c r="BJ244" s="21" t="str">
        <f>IF(AND('Atividades Micro'!$B289=BJ$2,'Atividades Micro'!$G289="Macro",'Atividades Micro'!$K289&lt;&gt;""),'Atividades Micro'!$K289,"")</f>
        <v/>
      </c>
      <c r="BK244" s="21" t="str">
        <f>IF(AND('Atividades Micro'!$B289=BK$2,'Atividades Micro'!$G289="Macro",'Atividades Micro'!$K289&lt;&gt;""),'Atividades Micro'!$K289,"")</f>
        <v/>
      </c>
      <c r="BL244" s="21" t="str">
        <f>IF(AND('Atividades Micro'!$B289=BL$2,'Atividades Micro'!$G289="Macro",'Atividades Micro'!$K289&lt;&gt;""),'Atividades Micro'!$K289,"")</f>
        <v/>
      </c>
      <c r="BM244" s="21" t="str">
        <f>IF(AND('Atividades Micro'!$B289=BM$2,'Atividades Micro'!$G289="Macro",'Atividades Micro'!$K289&lt;&gt;""),'Atividades Micro'!$K289,"")</f>
        <v/>
      </c>
      <c r="BN244" s="21" t="str">
        <f>IF(AND('Atividades Micro'!$B289=BN$2,'Atividades Micro'!$G289="Macro",'Atividades Micro'!$K289&lt;&gt;""),'Atividades Micro'!$K289,"")</f>
        <v/>
      </c>
      <c r="BO244" s="21" t="str">
        <f>IF(AND('Atividades Micro'!$B289=BO$2,'Atividades Micro'!$G289="Macro",'Atividades Micro'!$K289&lt;&gt;""),'Atividades Micro'!$K289,"")</f>
        <v/>
      </c>
      <c r="BP244" s="21" t="str">
        <f>IF(AND('Atividades Micro'!$B289=BP$2,'Atividades Micro'!$G289="Macro",'Atividades Micro'!$K289&lt;&gt;""),'Atividades Micro'!$K289,"")</f>
        <v/>
      </c>
      <c r="BQ244" s="21" t="str">
        <f>IF(AND('Atividades Micro'!$B289=BQ$2,'Atividades Micro'!$G289="Macro",'Atividades Micro'!$K289&lt;&gt;""),'Atividades Micro'!$K289,"")</f>
        <v/>
      </c>
      <c r="BR244" s="21" t="str">
        <f>IF(AND('Atividades Micro'!$B289=BR$2,'Atividades Micro'!$G289="Macro",'Atividades Micro'!$K289&lt;&gt;""),'Atividades Micro'!$K289,"")</f>
        <v/>
      </c>
      <c r="BS244" s="21" t="str">
        <f>IF(AND('Atividades Micro'!$B289=BS$2,'Atividades Micro'!$G289="Macro",'Atividades Micro'!$K289&lt;&gt;""),'Atividades Micro'!$K289,"")</f>
        <v/>
      </c>
      <c r="BT244" s="21" t="str">
        <f>IF(AND('Atividades Micro'!$B289=BT$2,'Atividades Micro'!$G289="Macro",'Atividades Micro'!$K289&lt;&gt;""),'Atividades Micro'!$K289,"")</f>
        <v/>
      </c>
      <c r="BU244" s="21" t="str">
        <f>IF(AND('Atividades Micro'!$B289=BU$2,'Atividades Micro'!$G289="Macro",'Atividades Micro'!$K289&lt;&gt;""),'Atividades Micro'!$K289,"")</f>
        <v/>
      </c>
      <c r="BV244" s="21" t="str">
        <f>IF(AND('Atividades Micro'!$B289=BV$2,'Atividades Micro'!$G289="Macro",'Atividades Micro'!$K289&lt;&gt;""),'Atividades Micro'!$K289,"")</f>
        <v/>
      </c>
      <c r="BW244" s="21" t="str">
        <f>IF(AND('Atividades Micro'!$B289=BW$2,'Atividades Micro'!$G289="Macro",'Atividades Micro'!$K289&lt;&gt;""),'Atividades Micro'!$K289,"")</f>
        <v/>
      </c>
      <c r="BX244" s="21" t="str">
        <f>IF(AND('Atividades Micro'!$B289=BX$2,'Atividades Micro'!$G289="Macro",'Atividades Micro'!$K289&lt;&gt;""),'Atividades Micro'!$K289,"")</f>
        <v/>
      </c>
      <c r="BY244" s="21" t="str">
        <f>IF(AND('Atividades Micro'!$B289=BY$2,'Atividades Micro'!$G289="Macro",'Atividades Micro'!$K289&lt;&gt;""),'Atividades Micro'!$K289,"")</f>
        <v/>
      </c>
      <c r="BZ244" s="21" t="str">
        <f>IF(AND('Atividades Micro'!$B289=BZ$2,'Atividades Micro'!$G289="Macro",'Atividades Micro'!$K289&lt;&gt;""),'Atividades Micro'!$K289,"")</f>
        <v/>
      </c>
      <c r="CA244" s="21" t="str">
        <f>IF(AND('Atividades Micro'!$B289=CA$2,'Atividades Micro'!$G289="Macro",'Atividades Micro'!$K289&lt;&gt;""),'Atividades Micro'!$K289,"")</f>
        <v/>
      </c>
      <c r="CB244" s="21" t="str">
        <f>IF(AND('Atividades Micro'!$B289=CB$2,'Atividades Micro'!$G289="Macro",'Atividades Micro'!$K289&lt;&gt;""),'Atividades Micro'!$K289,"")</f>
        <v/>
      </c>
      <c r="CC244" s="21" t="str">
        <f>IF(AND('Atividades Micro'!$B289=CC$2,'Atividades Micro'!$G289="Macro",'Atividades Micro'!$K289&lt;&gt;""),'Atividades Micro'!$K289,"")</f>
        <v/>
      </c>
      <c r="CD244" s="21" t="str">
        <f>IF(AND('Atividades Micro'!$B289=CD$2,'Atividades Micro'!$G289="Micro",'Atividades Micro'!$K289&lt;&gt;""),'Atividades Micro'!$K289,"")</f>
        <v/>
      </c>
      <c r="CE244" s="21" t="str">
        <f>IF(AND('Atividades Micro'!$B289=CE$2,'Atividades Micro'!$G289="Micro",'Atividades Micro'!$K289&lt;&gt;""),'Atividades Micro'!$K289,"")</f>
        <v/>
      </c>
      <c r="CF244" s="21" t="str">
        <f>IF(AND('Atividades Micro'!$B289=CF$2,'Atividades Micro'!$G289="Micro",'Atividades Micro'!$K289&lt;&gt;""),'Atividades Micro'!$K289,"")</f>
        <v/>
      </c>
      <c r="CG244" s="21" t="str">
        <f>IF(AND('Atividades Micro'!$B289=CG$2,'Atividades Micro'!$G289="Micro",'Atividades Micro'!$K289&lt;&gt;""),'Atividades Micro'!$K289,"")</f>
        <v/>
      </c>
      <c r="CH244" s="21" t="str">
        <f>IF(AND('Atividades Micro'!$B289=CH$2,'Atividades Micro'!$G289="Micro",'Atividades Micro'!$K289&lt;&gt;""),'Atividades Micro'!$K289,"")</f>
        <v/>
      </c>
      <c r="CI244" s="21" t="str">
        <f>IF(AND('Atividades Micro'!$B289=CI$2,'Atividades Micro'!$G289="Micro",'Atividades Micro'!$K289&lt;&gt;""),'Atividades Micro'!$K289,"")</f>
        <v/>
      </c>
      <c r="CJ244" s="21" t="str">
        <f>IF(AND('Atividades Micro'!$B289=CJ$2,'Atividades Micro'!$G289="Micro",'Atividades Micro'!$K289&lt;&gt;""),'Atividades Micro'!$K289,"")</f>
        <v/>
      </c>
      <c r="CK244" s="21" t="str">
        <f>IF(AND('Atividades Micro'!$B289=CK$2,'Atividades Micro'!$G289="Micro",'Atividades Micro'!$K289&lt;&gt;""),'Atividades Micro'!$K289,"")</f>
        <v/>
      </c>
      <c r="CL244" s="21" t="str">
        <f>IF(AND('Atividades Micro'!$B289=CL$2,'Atividades Micro'!$G289="Micro",'Atividades Micro'!$K289&lt;&gt;""),'Atividades Micro'!$K289,"")</f>
        <v/>
      </c>
      <c r="CM244" s="21" t="str">
        <f>IF(AND('Atividades Micro'!$B289=CM$2,'Atividades Micro'!$G289="Micro",'Atividades Micro'!$K289&lt;&gt;""),'Atividades Micro'!$K289,"")</f>
        <v/>
      </c>
      <c r="CN244" s="21" t="str">
        <f>IF(AND('Atividades Micro'!$B289=CN$2,'Atividades Micro'!$G289="Micro",'Atividades Micro'!$K289&lt;&gt;""),'Atividades Micro'!$K289,"")</f>
        <v/>
      </c>
      <c r="CO244" s="21" t="str">
        <f>IF(AND('Atividades Micro'!$B289=CO$2,'Atividades Micro'!$G289="Micro",'Atividades Micro'!$K289&lt;&gt;""),'Atividades Micro'!$K289,"")</f>
        <v/>
      </c>
    </row>
    <row r="245" spans="1:93">
      <c r="A245" s="21" t="str">
        <f>IF(AND('Atividades Micro'!$A290=A$2,'Atividades Micro'!$K290&lt;&gt;""),'Atividades Micro'!$K290,"")</f>
        <v/>
      </c>
      <c r="B245" s="21" t="str">
        <f>IF(AND('Atividades Micro'!$A290=B$2,'Atividades Micro'!$L290&lt;&gt;""),'Atividades Micro'!$L290,"")</f>
        <v/>
      </c>
      <c r="C245" s="21" t="str">
        <f>IF(AND('Atividades Micro'!$A290=C$2,'Atividades Micro'!$K290&lt;&gt;""),'Atividades Micro'!$K290,"")</f>
        <v/>
      </c>
      <c r="D245" s="21" t="str">
        <f>IF(AND('Atividades Micro'!$A290=D$2,'Atividades Micro'!$L290&lt;&gt;""),'Atividades Micro'!$L290,"")</f>
        <v/>
      </c>
      <c r="E245" s="21" t="str">
        <f>IF(AND('Atividades Micro'!$A290=E$2,'Atividades Micro'!$K290&lt;&gt;""),'Atividades Micro'!$K290,"")</f>
        <v/>
      </c>
      <c r="F245" s="21" t="str">
        <f>IF(AND('Atividades Micro'!$A290=F$2,'Atividades Micro'!$L290&lt;&gt;""),'Atividades Micro'!$L290,"")</f>
        <v/>
      </c>
      <c r="G245" s="21" t="str">
        <f>IF(AND('Atividades Micro'!$A290=G$2,'Atividades Micro'!$K290&lt;&gt;""),'Atividades Micro'!$K290,"")</f>
        <v/>
      </c>
      <c r="H245" s="21" t="str">
        <f>IF(AND('Atividades Micro'!$A290=H$2,'Atividades Micro'!$L290&lt;&gt;""),'Atividades Micro'!$L290,"")</f>
        <v/>
      </c>
      <c r="I245" s="21" t="str">
        <f>IF(AND('Atividades Micro'!$A290=I$2,'Atividades Micro'!$K290&lt;&gt;""),'Atividades Micro'!$K290,"")</f>
        <v/>
      </c>
      <c r="J245" s="21" t="str">
        <f>IF(AND('Atividades Micro'!$A290=J$2,'Atividades Micro'!$L290&lt;&gt;""),'Atividades Micro'!$L290,"")</f>
        <v/>
      </c>
      <c r="K245" s="21" t="str">
        <f>IF(AND('Atividades Micro'!$B290=K$2,'Atividades Micro'!$K290&lt;&gt;""),'Atividades Micro'!$K290,"")</f>
        <v/>
      </c>
      <c r="L245" s="21" t="str">
        <f>IF(AND('Atividades Micro'!$B290=L$2,'Atividades Micro'!$L290&lt;&gt;""),'Atividades Micro'!$L290,"")</f>
        <v/>
      </c>
      <c r="M245" s="21" t="str">
        <f>IF(AND('Atividades Micro'!$B290=M$2,'Atividades Micro'!$K290&lt;&gt;""),'Atividades Micro'!$K290,"")</f>
        <v/>
      </c>
      <c r="N245" s="21" t="str">
        <f>IF(AND('Atividades Micro'!$B290=N$2,'Atividades Micro'!$L290&lt;&gt;""),'Atividades Micro'!$L290,"")</f>
        <v/>
      </c>
      <c r="O245" s="21" t="str">
        <f>IF(AND('Atividades Micro'!$A290=O$2,'Atividades Micro'!$K290&lt;&gt;""),'Atividades Micro'!$K290,"")</f>
        <v/>
      </c>
      <c r="P245" s="21" t="str">
        <f>IF(AND('Atividades Micro'!$A290=P$2,'Atividades Micro'!$L290&lt;&gt;""),'Atividades Micro'!$L290,"")</f>
        <v/>
      </c>
      <c r="Q245" s="21" t="str">
        <f>IF(AND('Atividades Micro'!$B290=Q$2,'Atividades Micro'!$K290&lt;&gt;""),'Atividades Micro'!$K290,"")</f>
        <v/>
      </c>
      <c r="R245" s="21" t="str">
        <f>IF(AND('Atividades Micro'!$B290=R$2,'Atividades Micro'!$L290&lt;&gt;""),'Atividades Micro'!$L290,"")</f>
        <v/>
      </c>
      <c r="S245" s="21" t="str">
        <f>IF(AND('Atividades Micro'!$A290=S$2,'Atividades Micro'!$K290&lt;&gt;""),'Atividades Micro'!$K290,"")</f>
        <v/>
      </c>
      <c r="T245" s="21" t="str">
        <f>IF(AND('Atividades Micro'!$A290=T$2,'Atividades Micro'!$L290&lt;&gt;""),'Atividades Micro'!$L290,"")</f>
        <v/>
      </c>
      <c r="U245" s="21" t="str">
        <f>IF(AND('Atividades Micro'!$B290=U$2,'Atividades Micro'!$K290&lt;&gt;""),'Atividades Micro'!$K290,"")</f>
        <v/>
      </c>
      <c r="V245" s="21" t="str">
        <f>IF(AND('Atividades Micro'!$B290=V$2,'Atividades Micro'!$L290&lt;&gt;""),'Atividades Micro'!$L290,"")</f>
        <v/>
      </c>
      <c r="W245" s="21" t="str">
        <f>IF(AND('Atividades Micro'!$B290=W$2,'Atividades Micro'!$K290&lt;&gt;""),'Atividades Micro'!$K290,"")</f>
        <v/>
      </c>
      <c r="X245" s="21" t="str">
        <f>IF(AND('Atividades Micro'!$B290=X$2,'Atividades Micro'!$L290&lt;&gt;""),'Atividades Micro'!$L290,"")</f>
        <v/>
      </c>
      <c r="Y245" s="21" t="str">
        <f>IF(AND('Atividades Micro'!$A290=Y$2,'Atividades Micro'!$K290&lt;&gt;""),'Atividades Micro'!$K290,"")</f>
        <v/>
      </c>
      <c r="Z245" s="21" t="str">
        <f>IF(AND('Atividades Micro'!$A290=Z$2,'Atividades Micro'!$L290&lt;&gt;""),'Atividades Micro'!$L290,"")</f>
        <v/>
      </c>
      <c r="AA245" s="21" t="str">
        <f>IF(AND('Atividades Micro'!$B290=AA$2,'Atividades Micro'!$K290&lt;&gt;""),'Atividades Micro'!$K290,"")</f>
        <v/>
      </c>
      <c r="AB245" s="21" t="str">
        <f>IF(AND('Atividades Micro'!$B290=AB$2,'Atividades Micro'!$L290&lt;&gt;""),'Atividades Micro'!$L290,"")</f>
        <v/>
      </c>
      <c r="AC245" s="21" t="str">
        <f>IF(AND('Atividades Micro'!$B290=AC$2,'Atividades Micro'!$K290&lt;&gt;""),'Atividades Micro'!$K290,"")</f>
        <v/>
      </c>
      <c r="AD245" s="21" t="str">
        <f>IF(AND('Atividades Micro'!$B290=AD$2,'Atividades Micro'!$L290&lt;&gt;""),'Atividades Micro'!$L290,"")</f>
        <v/>
      </c>
      <c r="AE245" s="21" t="str">
        <f>IF(AND('Atividades Micro'!$A290=AE$2,'Atividades Micro'!$K290&lt;&gt;""),'Atividades Micro'!$K290,"")</f>
        <v/>
      </c>
      <c r="AF245" s="21" t="str">
        <f>IF(AND('Atividades Micro'!$A290=AF$2,'Atividades Micro'!$L290&lt;&gt;""),'Atividades Micro'!$L290,"")</f>
        <v/>
      </c>
      <c r="AG245" s="21" t="str">
        <f>IF(AND('Atividades Micro'!$B290=AG$2,'Atividades Micro'!$K290&lt;&gt;""),'Atividades Micro'!$K290,"")</f>
        <v/>
      </c>
      <c r="AH245" s="21" t="str">
        <f>IF(AND('Atividades Micro'!$B290=AH$2,'Atividades Micro'!$L290&lt;&gt;""),'Atividades Micro'!$L290,"")</f>
        <v/>
      </c>
      <c r="AI245" s="21" t="str">
        <f>IF(AND('Atividades Micro'!$B290=AI$2,'Atividades Micro'!$K290&lt;&gt;""),'Atividades Micro'!$K290,"")</f>
        <v/>
      </c>
      <c r="AJ245" s="21" t="str">
        <f>IF(AND('Atividades Micro'!$B290=AJ$2,'Atividades Micro'!$L290&lt;&gt;""),'Atividades Micro'!$L290,"")</f>
        <v/>
      </c>
      <c r="AK245" s="21" t="str">
        <f>IF(AND('Atividades Micro'!$A290=AK$2,'Atividades Micro'!$K290&lt;&gt;""),'Atividades Micro'!$K290,"")</f>
        <v/>
      </c>
      <c r="AL245" s="21" t="str">
        <f>IF(AND('Atividades Micro'!$A290=AL$2,'Atividades Micro'!$L290&lt;&gt;""),'Atividades Micro'!$L290,"")</f>
        <v/>
      </c>
      <c r="AM245" s="21" t="str">
        <f>IF(AND('Atividades Micro'!$B290=AM$2,'Atividades Micro'!$K290&lt;&gt;""),'Atividades Micro'!$K290,"")</f>
        <v/>
      </c>
      <c r="AN245" s="21" t="str">
        <f>IF(AND('Atividades Micro'!$B290=AN$2,'Atividades Micro'!$L290&lt;&gt;""),'Atividades Micro'!$L290,"")</f>
        <v/>
      </c>
      <c r="AO245" s="21" t="str">
        <f>IF(AND('Atividades Micro'!$B290=AO$2,'Atividades Micro'!$K290&lt;&gt;""),'Atividades Micro'!$K290,"")</f>
        <v/>
      </c>
      <c r="AP245" s="21" t="str">
        <f>IF(AND('Atividades Micro'!$B290=AP$2,'Atividades Micro'!$L290&lt;&gt;""),'Atividades Micro'!$L290,"")</f>
        <v/>
      </c>
      <c r="AQ245" s="21" t="str">
        <f>IF(AND('Atividades Micro'!$A290=AQ$2,'Atividades Micro'!$K290&lt;&gt;""),'Atividades Micro'!$K290,"")</f>
        <v/>
      </c>
      <c r="AR245" s="21" t="str">
        <f>IF(AND('Atividades Micro'!$A290=AR$2,'Atividades Micro'!$L290&lt;&gt;""),'Atividades Micro'!$L290,"")</f>
        <v/>
      </c>
      <c r="AS245" s="21" t="str">
        <f>IF(AND('Atividades Micro'!$B290=AS$2,'Atividades Micro'!$K290&lt;&gt;""),'Atividades Micro'!$K290,"")</f>
        <v/>
      </c>
      <c r="AT245" s="21" t="str">
        <f>IF(AND('Atividades Micro'!$B290=AT$2,'Atividades Micro'!$L290&lt;&gt;""),'Atividades Micro'!$L290,"")</f>
        <v/>
      </c>
      <c r="AU245" s="21" t="str">
        <f>IF(AND('Atividades Micro'!$A290=AU$2,'Atividades Micro'!$K290&lt;&gt;""),'Atividades Micro'!$K290,"")</f>
        <v/>
      </c>
      <c r="AV245" s="21" t="str">
        <f>IF(AND('Atividades Micro'!$A290=AV$2,'Atividades Micro'!$L290&lt;&gt;""),'Atividades Micro'!$L290,"")</f>
        <v/>
      </c>
      <c r="AW245" s="21" t="str">
        <f>IF(AND('Atividades Micro'!$B290=AW$2,'Atividades Micro'!$K290&lt;&gt;""),'Atividades Micro'!$K290,"")</f>
        <v/>
      </c>
      <c r="AX245" s="21" t="str">
        <f>IF(AND('Atividades Micro'!$B290=AX$2,'Atividades Micro'!$L290&lt;&gt;""),'Atividades Micro'!$L290,"")</f>
        <v/>
      </c>
      <c r="AY245" s="21" t="str">
        <f>IF(AND('Atividades Micro'!$A290=AY$2,'Atividades Micro'!$K290&lt;&gt;""),'Atividades Micro'!$K290,"")</f>
        <v/>
      </c>
      <c r="AZ245" s="21" t="str">
        <f>IF(AND('Atividades Micro'!$A290=AZ$2,'Atividades Micro'!$L290&lt;&gt;""),'Atividades Micro'!$L290,"")</f>
        <v/>
      </c>
      <c r="BA245" s="21" t="str">
        <f>IF(AND('Atividades Micro'!$B290=BA$2,'Atividades Micro'!$K290&lt;&gt;""),'Atividades Micro'!$K290,"")</f>
        <v/>
      </c>
      <c r="BB245" s="21" t="str">
        <f>IF(AND('Atividades Micro'!$B290=BB$2,'Atividades Micro'!$L290&lt;&gt;""),'Atividades Micro'!$L290,"")</f>
        <v/>
      </c>
      <c r="BC245" s="21" t="str">
        <f>IF(AND('Atividades Micro'!$B290=BC$2,'Atividades Micro'!$G290="Macro",'Atividades Micro'!$K290&lt;&gt;""),'Atividades Micro'!$K290,"")</f>
        <v/>
      </c>
      <c r="BD245" s="21" t="str">
        <f>IF(AND('Atividades Micro'!$B290=BD$2,'Atividades Micro'!$G290="Macro",'Atividades Micro'!$K290&lt;&gt;""),'Atividades Micro'!$K290,"")</f>
        <v/>
      </c>
      <c r="BE245" s="21" t="str">
        <f>IF(AND('Atividades Micro'!$B290=BE$2,'Atividades Micro'!$G290="Macro",'Atividades Micro'!$K290&lt;&gt;""),'Atividades Micro'!$K290,"")</f>
        <v/>
      </c>
      <c r="BF245" s="21" t="str">
        <f>IF(AND('Atividades Micro'!$B290=BF$2,'Atividades Micro'!$G290="Macro",'Atividades Micro'!$K290&lt;&gt;""),'Atividades Micro'!$K290,"")</f>
        <v/>
      </c>
      <c r="BG245" s="21" t="str">
        <f>IF(AND('Atividades Micro'!$B290=BG$2,'Atividades Micro'!$G290="Macro",'Atividades Micro'!$K290&lt;&gt;""),'Atividades Micro'!$K290,"")</f>
        <v/>
      </c>
      <c r="BH245" s="21" t="str">
        <f>IF(AND('Atividades Micro'!$B290=BH$2,'Atividades Micro'!$G290="Macro",'Atividades Micro'!$K290&lt;&gt;""),'Atividades Micro'!$K290,"")</f>
        <v/>
      </c>
      <c r="BI245" s="21" t="str">
        <f>IF(AND('Atividades Micro'!$B290=BI$2,'Atividades Micro'!$G290="Macro",'Atividades Micro'!$K290&lt;&gt;""),'Atividades Micro'!$K290,"")</f>
        <v/>
      </c>
      <c r="BJ245" s="21" t="str">
        <f>IF(AND('Atividades Micro'!$B290=BJ$2,'Atividades Micro'!$G290="Macro",'Atividades Micro'!$K290&lt;&gt;""),'Atividades Micro'!$K290,"")</f>
        <v/>
      </c>
      <c r="BK245" s="21" t="str">
        <f>IF(AND('Atividades Micro'!$B290=BK$2,'Atividades Micro'!$G290="Macro",'Atividades Micro'!$K290&lt;&gt;""),'Atividades Micro'!$K290,"")</f>
        <v/>
      </c>
      <c r="BL245" s="21" t="str">
        <f>IF(AND('Atividades Micro'!$B290=BL$2,'Atividades Micro'!$G290="Macro",'Atividades Micro'!$K290&lt;&gt;""),'Atividades Micro'!$K290,"")</f>
        <v/>
      </c>
      <c r="BM245" s="21" t="str">
        <f>IF(AND('Atividades Micro'!$B290=BM$2,'Atividades Micro'!$G290="Macro",'Atividades Micro'!$K290&lt;&gt;""),'Atividades Micro'!$K290,"")</f>
        <v/>
      </c>
      <c r="BN245" s="21" t="str">
        <f>IF(AND('Atividades Micro'!$B290=BN$2,'Atividades Micro'!$G290="Macro",'Atividades Micro'!$K290&lt;&gt;""),'Atividades Micro'!$K290,"")</f>
        <v/>
      </c>
      <c r="BO245" s="21" t="str">
        <f>IF(AND('Atividades Micro'!$B290=BO$2,'Atividades Micro'!$G290="Macro",'Atividades Micro'!$K290&lt;&gt;""),'Atividades Micro'!$K290,"")</f>
        <v/>
      </c>
      <c r="BP245" s="21" t="str">
        <f>IF(AND('Atividades Micro'!$B290=BP$2,'Atividades Micro'!$G290="Macro",'Atividades Micro'!$K290&lt;&gt;""),'Atividades Micro'!$K290,"")</f>
        <v/>
      </c>
      <c r="BQ245" s="21" t="str">
        <f>IF(AND('Atividades Micro'!$B290=BQ$2,'Atividades Micro'!$G290="Macro",'Atividades Micro'!$K290&lt;&gt;""),'Atividades Micro'!$K290,"")</f>
        <v/>
      </c>
      <c r="BR245" s="21" t="str">
        <f>IF(AND('Atividades Micro'!$B290=BR$2,'Atividades Micro'!$G290="Macro",'Atividades Micro'!$K290&lt;&gt;""),'Atividades Micro'!$K290,"")</f>
        <v/>
      </c>
      <c r="BS245" s="21" t="str">
        <f>IF(AND('Atividades Micro'!$B290=BS$2,'Atividades Micro'!$G290="Macro",'Atividades Micro'!$K290&lt;&gt;""),'Atividades Micro'!$K290,"")</f>
        <v/>
      </c>
      <c r="BT245" s="21" t="str">
        <f>IF(AND('Atividades Micro'!$B290=BT$2,'Atividades Micro'!$G290="Macro",'Atividades Micro'!$K290&lt;&gt;""),'Atividades Micro'!$K290,"")</f>
        <v/>
      </c>
      <c r="BU245" s="21" t="str">
        <f>IF(AND('Atividades Micro'!$B290=BU$2,'Atividades Micro'!$G290="Macro",'Atividades Micro'!$K290&lt;&gt;""),'Atividades Micro'!$K290,"")</f>
        <v/>
      </c>
      <c r="BV245" s="21" t="str">
        <f>IF(AND('Atividades Micro'!$B290=BV$2,'Atividades Micro'!$G290="Macro",'Atividades Micro'!$K290&lt;&gt;""),'Atividades Micro'!$K290,"")</f>
        <v/>
      </c>
      <c r="BW245" s="21" t="str">
        <f>IF(AND('Atividades Micro'!$B290=BW$2,'Atividades Micro'!$G290="Macro",'Atividades Micro'!$K290&lt;&gt;""),'Atividades Micro'!$K290,"")</f>
        <v/>
      </c>
      <c r="BX245" s="21" t="str">
        <f>IF(AND('Atividades Micro'!$B290=BX$2,'Atividades Micro'!$G290="Macro",'Atividades Micro'!$K290&lt;&gt;""),'Atividades Micro'!$K290,"")</f>
        <v/>
      </c>
      <c r="BY245" s="21" t="str">
        <f>IF(AND('Atividades Micro'!$B290=BY$2,'Atividades Micro'!$G290="Macro",'Atividades Micro'!$K290&lt;&gt;""),'Atividades Micro'!$K290,"")</f>
        <v/>
      </c>
      <c r="BZ245" s="21" t="str">
        <f>IF(AND('Atividades Micro'!$B290=BZ$2,'Atividades Micro'!$G290="Macro",'Atividades Micro'!$K290&lt;&gt;""),'Atividades Micro'!$K290,"")</f>
        <v/>
      </c>
      <c r="CA245" s="21" t="str">
        <f>IF(AND('Atividades Micro'!$B290=CA$2,'Atividades Micro'!$G290="Macro",'Atividades Micro'!$K290&lt;&gt;""),'Atividades Micro'!$K290,"")</f>
        <v/>
      </c>
      <c r="CB245" s="21" t="str">
        <f>IF(AND('Atividades Micro'!$B290=CB$2,'Atividades Micro'!$G290="Macro",'Atividades Micro'!$K290&lt;&gt;""),'Atividades Micro'!$K290,"")</f>
        <v/>
      </c>
      <c r="CC245" s="21" t="str">
        <f>IF(AND('Atividades Micro'!$B290=CC$2,'Atividades Micro'!$G290="Macro",'Atividades Micro'!$K290&lt;&gt;""),'Atividades Micro'!$K290,"")</f>
        <v/>
      </c>
      <c r="CD245" s="21" t="str">
        <f>IF(AND('Atividades Micro'!$B290=CD$2,'Atividades Micro'!$G290="Micro",'Atividades Micro'!$K290&lt;&gt;""),'Atividades Micro'!$K290,"")</f>
        <v/>
      </c>
      <c r="CE245" s="21" t="str">
        <f>IF(AND('Atividades Micro'!$B290=CE$2,'Atividades Micro'!$G290="Micro",'Atividades Micro'!$K290&lt;&gt;""),'Atividades Micro'!$K290,"")</f>
        <v/>
      </c>
      <c r="CF245" s="21" t="str">
        <f>IF(AND('Atividades Micro'!$B290=CF$2,'Atividades Micro'!$G290="Micro",'Atividades Micro'!$K290&lt;&gt;""),'Atividades Micro'!$K290,"")</f>
        <v/>
      </c>
      <c r="CG245" s="21" t="str">
        <f>IF(AND('Atividades Micro'!$B290=CG$2,'Atividades Micro'!$G290="Micro",'Atividades Micro'!$K290&lt;&gt;""),'Atividades Micro'!$K290,"")</f>
        <v/>
      </c>
      <c r="CH245" s="21" t="str">
        <f>IF(AND('Atividades Micro'!$B290=CH$2,'Atividades Micro'!$G290="Micro",'Atividades Micro'!$K290&lt;&gt;""),'Atividades Micro'!$K290,"")</f>
        <v/>
      </c>
      <c r="CI245" s="21" t="str">
        <f>IF(AND('Atividades Micro'!$B290=CI$2,'Atividades Micro'!$G290="Micro",'Atividades Micro'!$K290&lt;&gt;""),'Atividades Micro'!$K290,"")</f>
        <v/>
      </c>
      <c r="CJ245" s="21" t="str">
        <f>IF(AND('Atividades Micro'!$B290=CJ$2,'Atividades Micro'!$G290="Micro",'Atividades Micro'!$K290&lt;&gt;""),'Atividades Micro'!$K290,"")</f>
        <v/>
      </c>
      <c r="CK245" s="21" t="str">
        <f>IF(AND('Atividades Micro'!$B290=CK$2,'Atividades Micro'!$G290="Micro",'Atividades Micro'!$K290&lt;&gt;""),'Atividades Micro'!$K290,"")</f>
        <v/>
      </c>
      <c r="CL245" s="21" t="str">
        <f>IF(AND('Atividades Micro'!$B290=CL$2,'Atividades Micro'!$G290="Micro",'Atividades Micro'!$K290&lt;&gt;""),'Atividades Micro'!$K290,"")</f>
        <v/>
      </c>
      <c r="CM245" s="21" t="str">
        <f>IF(AND('Atividades Micro'!$B290=CM$2,'Atividades Micro'!$G290="Micro",'Atividades Micro'!$K290&lt;&gt;""),'Atividades Micro'!$K290,"")</f>
        <v/>
      </c>
      <c r="CN245" s="21" t="str">
        <f>IF(AND('Atividades Micro'!$B290=CN$2,'Atividades Micro'!$G290="Micro",'Atividades Micro'!$K290&lt;&gt;""),'Atividades Micro'!$K290,"")</f>
        <v/>
      </c>
      <c r="CO245" s="21" t="str">
        <f>IF(AND('Atividades Micro'!$B290=CO$2,'Atividades Micro'!$G290="Micro",'Atividades Micro'!$K290&lt;&gt;""),'Atividades Micro'!$K290,"")</f>
        <v/>
      </c>
    </row>
    <row r="246" spans="1:93">
      <c r="A246" s="21" t="str">
        <f>IF(AND('Atividades Micro'!$A291=A$2,'Atividades Micro'!$K291&lt;&gt;""),'Atividades Micro'!$K291,"")</f>
        <v/>
      </c>
      <c r="B246" s="21" t="str">
        <f>IF(AND('Atividades Micro'!$A291=B$2,'Atividades Micro'!$L291&lt;&gt;""),'Atividades Micro'!$L291,"")</f>
        <v/>
      </c>
      <c r="C246" s="21">
        <f>IF(AND('Atividades Micro'!$A291=C$2,'Atividades Micro'!$K291&lt;&gt;""),'Atividades Micro'!$K291,"")</f>
        <v>46188</v>
      </c>
      <c r="D246" s="21" t="str">
        <f>IF(AND('Atividades Micro'!$A291=D$2,'Atividades Micro'!$L291&lt;&gt;""),'Atividades Micro'!$L291,"")</f>
        <v/>
      </c>
      <c r="E246" s="21" t="str">
        <f>IF(AND('Atividades Micro'!$A291=E$2,'Atividades Micro'!$K291&lt;&gt;""),'Atividades Micro'!$K291,"")</f>
        <v/>
      </c>
      <c r="F246" s="21" t="str">
        <f>IF(AND('Atividades Micro'!$A291=F$2,'Atividades Micro'!$L291&lt;&gt;""),'Atividades Micro'!$L291,"")</f>
        <v/>
      </c>
      <c r="G246" s="21" t="str">
        <f>IF(AND('Atividades Micro'!$A291=G$2,'Atividades Micro'!$K291&lt;&gt;""),'Atividades Micro'!$K291,"")</f>
        <v/>
      </c>
      <c r="H246" s="21" t="str">
        <f>IF(AND('Atividades Micro'!$A291=H$2,'Atividades Micro'!$L291&lt;&gt;""),'Atividades Micro'!$L291,"")</f>
        <v/>
      </c>
      <c r="I246" s="21" t="str">
        <f>IF(AND('Atividades Micro'!$A291=I$2,'Atividades Micro'!$K291&lt;&gt;""),'Atividades Micro'!$K291,"")</f>
        <v/>
      </c>
      <c r="J246" s="21" t="str">
        <f>IF(AND('Atividades Micro'!$A291=J$2,'Atividades Micro'!$L291&lt;&gt;""),'Atividades Micro'!$L291,"")</f>
        <v/>
      </c>
      <c r="K246" s="21" t="str">
        <f>IF(AND('Atividades Micro'!$B291=K$2,'Atividades Micro'!$K291&lt;&gt;""),'Atividades Micro'!$K291,"")</f>
        <v/>
      </c>
      <c r="L246" s="21" t="str">
        <f>IF(AND('Atividades Micro'!$B291=L$2,'Atividades Micro'!$L291&lt;&gt;""),'Atividades Micro'!$L291,"")</f>
        <v/>
      </c>
      <c r="M246" s="21" t="str">
        <f>IF(AND('Atividades Micro'!$B291=M$2,'Atividades Micro'!$K291&lt;&gt;""),'Atividades Micro'!$K291,"")</f>
        <v/>
      </c>
      <c r="N246" s="21" t="str">
        <f>IF(AND('Atividades Micro'!$B291=N$2,'Atividades Micro'!$L291&lt;&gt;""),'Atividades Micro'!$L291,"")</f>
        <v/>
      </c>
      <c r="O246" s="21" t="str">
        <f>IF(AND('Atividades Micro'!$A291=O$2,'Atividades Micro'!$K291&lt;&gt;""),'Atividades Micro'!$K291,"")</f>
        <v/>
      </c>
      <c r="P246" s="21" t="str">
        <f>IF(AND('Atividades Micro'!$A291=P$2,'Atividades Micro'!$L291&lt;&gt;""),'Atividades Micro'!$L291,"")</f>
        <v/>
      </c>
      <c r="Q246" s="21" t="str">
        <f>IF(AND('Atividades Micro'!$B291=Q$2,'Atividades Micro'!$K291&lt;&gt;""),'Atividades Micro'!$K291,"")</f>
        <v/>
      </c>
      <c r="R246" s="21" t="str">
        <f>IF(AND('Atividades Micro'!$B291=R$2,'Atividades Micro'!$L291&lt;&gt;""),'Atividades Micro'!$L291,"")</f>
        <v/>
      </c>
      <c r="S246" s="21" t="str">
        <f>IF(AND('Atividades Micro'!$A291=S$2,'Atividades Micro'!$K291&lt;&gt;""),'Atividades Micro'!$K291,"")</f>
        <v/>
      </c>
      <c r="T246" s="21" t="str">
        <f>IF(AND('Atividades Micro'!$A291=T$2,'Atividades Micro'!$L291&lt;&gt;""),'Atividades Micro'!$L291,"")</f>
        <v/>
      </c>
      <c r="U246" s="21" t="str">
        <f>IF(AND('Atividades Micro'!$B291=U$2,'Atividades Micro'!$K291&lt;&gt;""),'Atividades Micro'!$K291,"")</f>
        <v/>
      </c>
      <c r="V246" s="21" t="str">
        <f>IF(AND('Atividades Micro'!$B291=V$2,'Atividades Micro'!$L291&lt;&gt;""),'Atividades Micro'!$L291,"")</f>
        <v/>
      </c>
      <c r="W246" s="21" t="str">
        <f>IF(AND('Atividades Micro'!$B291=W$2,'Atividades Micro'!$K291&lt;&gt;""),'Atividades Micro'!$K291,"")</f>
        <v/>
      </c>
      <c r="X246" s="21" t="str">
        <f>IF(AND('Atividades Micro'!$B291=X$2,'Atividades Micro'!$L291&lt;&gt;""),'Atividades Micro'!$L291,"")</f>
        <v/>
      </c>
      <c r="Y246" s="21" t="str">
        <f>IF(AND('Atividades Micro'!$A291=Y$2,'Atividades Micro'!$K291&lt;&gt;""),'Atividades Micro'!$K291,"")</f>
        <v/>
      </c>
      <c r="Z246" s="21" t="str">
        <f>IF(AND('Atividades Micro'!$A291=Z$2,'Atividades Micro'!$L291&lt;&gt;""),'Atividades Micro'!$L291,"")</f>
        <v/>
      </c>
      <c r="AA246" s="21" t="str">
        <f>IF(AND('Atividades Micro'!$B291=AA$2,'Atividades Micro'!$K291&lt;&gt;""),'Atividades Micro'!$K291,"")</f>
        <v/>
      </c>
      <c r="AB246" s="21" t="str">
        <f>IF(AND('Atividades Micro'!$B291=AB$2,'Atividades Micro'!$L291&lt;&gt;""),'Atividades Micro'!$L291,"")</f>
        <v/>
      </c>
      <c r="AC246" s="21" t="str">
        <f>IF(AND('Atividades Micro'!$B291=AC$2,'Atividades Micro'!$K291&lt;&gt;""),'Atividades Micro'!$K291,"")</f>
        <v/>
      </c>
      <c r="AD246" s="21" t="str">
        <f>IF(AND('Atividades Micro'!$B291=AD$2,'Atividades Micro'!$L291&lt;&gt;""),'Atividades Micro'!$L291,"")</f>
        <v/>
      </c>
      <c r="AE246" s="21" t="str">
        <f>IF(AND('Atividades Micro'!$A291=AE$2,'Atividades Micro'!$K291&lt;&gt;""),'Atividades Micro'!$K291,"")</f>
        <v/>
      </c>
      <c r="AF246" s="21" t="str">
        <f>IF(AND('Atividades Micro'!$A291=AF$2,'Atividades Micro'!$L291&lt;&gt;""),'Atividades Micro'!$L291,"")</f>
        <v/>
      </c>
      <c r="AG246" s="21" t="str">
        <f>IF(AND('Atividades Micro'!$B291=AG$2,'Atividades Micro'!$K291&lt;&gt;""),'Atividades Micro'!$K291,"")</f>
        <v/>
      </c>
      <c r="AH246" s="21" t="str">
        <f>IF(AND('Atividades Micro'!$B291=AH$2,'Atividades Micro'!$L291&lt;&gt;""),'Atividades Micro'!$L291,"")</f>
        <v/>
      </c>
      <c r="AI246" s="21" t="str">
        <f>IF(AND('Atividades Micro'!$B291=AI$2,'Atividades Micro'!$K291&lt;&gt;""),'Atividades Micro'!$K291,"")</f>
        <v/>
      </c>
      <c r="AJ246" s="21" t="str">
        <f>IF(AND('Atividades Micro'!$B291=AJ$2,'Atividades Micro'!$L291&lt;&gt;""),'Atividades Micro'!$L291,"")</f>
        <v/>
      </c>
      <c r="AK246" s="21" t="str">
        <f>IF(AND('Atividades Micro'!$A291=AK$2,'Atividades Micro'!$K291&lt;&gt;""),'Atividades Micro'!$K291,"")</f>
        <v/>
      </c>
      <c r="AL246" s="21" t="str">
        <f>IF(AND('Atividades Micro'!$A291=AL$2,'Atividades Micro'!$L291&lt;&gt;""),'Atividades Micro'!$L291,"")</f>
        <v/>
      </c>
      <c r="AM246" s="21" t="str">
        <f>IF(AND('Atividades Micro'!$B291=AM$2,'Atividades Micro'!$K291&lt;&gt;""),'Atividades Micro'!$K291,"")</f>
        <v/>
      </c>
      <c r="AN246" s="21" t="str">
        <f>IF(AND('Atividades Micro'!$B291=AN$2,'Atividades Micro'!$L291&lt;&gt;""),'Atividades Micro'!$L291,"")</f>
        <v/>
      </c>
      <c r="AO246" s="21" t="str">
        <f>IF(AND('Atividades Micro'!$B291=AO$2,'Atividades Micro'!$K291&lt;&gt;""),'Atividades Micro'!$K291,"")</f>
        <v/>
      </c>
      <c r="AP246" s="21" t="str">
        <f>IF(AND('Atividades Micro'!$B291=AP$2,'Atividades Micro'!$L291&lt;&gt;""),'Atividades Micro'!$L291,"")</f>
        <v/>
      </c>
      <c r="AQ246" s="21" t="str">
        <f>IF(AND('Atividades Micro'!$A291=AQ$2,'Atividades Micro'!$K291&lt;&gt;""),'Atividades Micro'!$K291,"")</f>
        <v/>
      </c>
      <c r="AR246" s="21" t="str">
        <f>IF(AND('Atividades Micro'!$A291=AR$2,'Atividades Micro'!$L291&lt;&gt;""),'Atividades Micro'!$L291,"")</f>
        <v/>
      </c>
      <c r="AS246" s="21" t="str">
        <f>IF(AND('Atividades Micro'!$B291=AS$2,'Atividades Micro'!$K291&lt;&gt;""),'Atividades Micro'!$K291,"")</f>
        <v/>
      </c>
      <c r="AT246" s="21" t="str">
        <f>IF(AND('Atividades Micro'!$B291=AT$2,'Atividades Micro'!$L291&lt;&gt;""),'Atividades Micro'!$L291,"")</f>
        <v/>
      </c>
      <c r="AU246" s="21" t="str">
        <f>IF(AND('Atividades Micro'!$A291=AU$2,'Atividades Micro'!$K291&lt;&gt;""),'Atividades Micro'!$K291,"")</f>
        <v/>
      </c>
      <c r="AV246" s="21" t="str">
        <f>IF(AND('Atividades Micro'!$A291=AV$2,'Atividades Micro'!$L291&lt;&gt;""),'Atividades Micro'!$L291,"")</f>
        <v/>
      </c>
      <c r="AW246" s="21" t="str">
        <f>IF(AND('Atividades Micro'!$B291=AW$2,'Atividades Micro'!$K291&lt;&gt;""),'Atividades Micro'!$K291,"")</f>
        <v/>
      </c>
      <c r="AX246" s="21" t="str">
        <f>IF(AND('Atividades Micro'!$B291=AX$2,'Atividades Micro'!$L291&lt;&gt;""),'Atividades Micro'!$L291,"")</f>
        <v/>
      </c>
      <c r="AY246" s="21" t="str">
        <f>IF(AND('Atividades Micro'!$A291=AY$2,'Atividades Micro'!$K291&lt;&gt;""),'Atividades Micro'!$K291,"")</f>
        <v/>
      </c>
      <c r="AZ246" s="21" t="str">
        <f>IF(AND('Atividades Micro'!$A291=AZ$2,'Atividades Micro'!$L291&lt;&gt;""),'Atividades Micro'!$L291,"")</f>
        <v/>
      </c>
      <c r="BA246" s="21" t="str">
        <f>IF(AND('Atividades Micro'!$B291=BA$2,'Atividades Micro'!$K291&lt;&gt;""),'Atividades Micro'!$K291,"")</f>
        <v/>
      </c>
      <c r="BB246" s="21" t="str">
        <f>IF(AND('Atividades Micro'!$B291=BB$2,'Atividades Micro'!$L291&lt;&gt;""),'Atividades Micro'!$L291,"")</f>
        <v/>
      </c>
      <c r="BC246" s="21" t="str">
        <f>IF(AND('Atividades Micro'!$B291=BC$2,'Atividades Micro'!$G291="Macro",'Atividades Micro'!$K291&lt;&gt;""),'Atividades Micro'!$K291,"")</f>
        <v/>
      </c>
      <c r="BD246" s="21" t="str">
        <f>IF(AND('Atividades Micro'!$B291=BD$2,'Atividades Micro'!$G291="Macro",'Atividades Micro'!$K291&lt;&gt;""),'Atividades Micro'!$K291,"")</f>
        <v/>
      </c>
      <c r="BE246" s="21" t="str">
        <f>IF(AND('Atividades Micro'!$B291=BE$2,'Atividades Micro'!$G291="Macro",'Atividades Micro'!$K291&lt;&gt;""),'Atividades Micro'!$K291,"")</f>
        <v/>
      </c>
      <c r="BF246" s="21" t="str">
        <f>IF(AND('Atividades Micro'!$B291=BF$2,'Atividades Micro'!$G291="Macro",'Atividades Micro'!$K291&lt;&gt;""),'Atividades Micro'!$K291,"")</f>
        <v/>
      </c>
      <c r="BG246" s="21" t="str">
        <f>IF(AND('Atividades Micro'!$B291=BG$2,'Atividades Micro'!$G291="Macro",'Atividades Micro'!$K291&lt;&gt;""),'Atividades Micro'!$K291,"")</f>
        <v/>
      </c>
      <c r="BH246" s="21" t="str">
        <f>IF(AND('Atividades Micro'!$B291=BH$2,'Atividades Micro'!$G291="Macro",'Atividades Micro'!$K291&lt;&gt;""),'Atividades Micro'!$K291,"")</f>
        <v/>
      </c>
      <c r="BI246" s="21" t="str">
        <f>IF(AND('Atividades Micro'!$B291=BI$2,'Atividades Micro'!$G291="Macro",'Atividades Micro'!$K291&lt;&gt;""),'Atividades Micro'!$K291,"")</f>
        <v/>
      </c>
      <c r="BJ246" s="21" t="str">
        <f>IF(AND('Atividades Micro'!$B291=BJ$2,'Atividades Micro'!$G291="Macro",'Atividades Micro'!$K291&lt;&gt;""),'Atividades Micro'!$K291,"")</f>
        <v/>
      </c>
      <c r="BK246" s="21" t="str">
        <f>IF(AND('Atividades Micro'!$B291=BK$2,'Atividades Micro'!$G291="Macro",'Atividades Micro'!$K291&lt;&gt;""),'Atividades Micro'!$K291,"")</f>
        <v/>
      </c>
      <c r="BL246" s="21" t="str">
        <f>IF(AND('Atividades Micro'!$B291=BL$2,'Atividades Micro'!$G291="Macro",'Atividades Micro'!$K291&lt;&gt;""),'Atividades Micro'!$K291,"")</f>
        <v/>
      </c>
      <c r="BM246" s="21" t="str">
        <f>IF(AND('Atividades Micro'!$B291=BM$2,'Atividades Micro'!$G291="Macro",'Atividades Micro'!$K291&lt;&gt;""),'Atividades Micro'!$K291,"")</f>
        <v/>
      </c>
      <c r="BN246" s="21" t="str">
        <f>IF(AND('Atividades Micro'!$B291=BN$2,'Atividades Micro'!$G291="Macro",'Atividades Micro'!$K291&lt;&gt;""),'Atividades Micro'!$K291,"")</f>
        <v/>
      </c>
      <c r="BO246" s="21" t="str">
        <f>IF(AND('Atividades Micro'!$B291=BO$2,'Atividades Micro'!$G291="Macro",'Atividades Micro'!$K291&lt;&gt;""),'Atividades Micro'!$K291,"")</f>
        <v/>
      </c>
      <c r="BP246" s="21" t="str">
        <f>IF(AND('Atividades Micro'!$B291=BP$2,'Atividades Micro'!$G291="Macro",'Atividades Micro'!$K291&lt;&gt;""),'Atividades Micro'!$K291,"")</f>
        <v/>
      </c>
      <c r="BQ246" s="21" t="str">
        <f>IF(AND('Atividades Micro'!$B291=BQ$2,'Atividades Micro'!$G291="Macro",'Atividades Micro'!$K291&lt;&gt;""),'Atividades Micro'!$K291,"")</f>
        <v/>
      </c>
      <c r="BR246" s="21" t="str">
        <f>IF(AND('Atividades Micro'!$B291=BR$2,'Atividades Micro'!$G291="Macro",'Atividades Micro'!$K291&lt;&gt;""),'Atividades Micro'!$K291,"")</f>
        <v/>
      </c>
      <c r="BS246" s="21" t="str">
        <f>IF(AND('Atividades Micro'!$B291=BS$2,'Atividades Micro'!$G291="Macro",'Atividades Micro'!$K291&lt;&gt;""),'Atividades Micro'!$K291,"")</f>
        <v/>
      </c>
      <c r="BT246" s="21" t="str">
        <f>IF(AND('Atividades Micro'!$B291=BT$2,'Atividades Micro'!$G291="Macro",'Atividades Micro'!$K291&lt;&gt;""),'Atividades Micro'!$K291,"")</f>
        <v/>
      </c>
      <c r="BU246" s="21" t="str">
        <f>IF(AND('Atividades Micro'!$B291=BU$2,'Atividades Micro'!$G291="Macro",'Atividades Micro'!$K291&lt;&gt;""),'Atividades Micro'!$K291,"")</f>
        <v/>
      </c>
      <c r="BV246" s="21" t="str">
        <f>IF(AND('Atividades Micro'!$B291=BV$2,'Atividades Micro'!$G291="Macro",'Atividades Micro'!$K291&lt;&gt;""),'Atividades Micro'!$K291,"")</f>
        <v/>
      </c>
      <c r="BW246" s="21" t="str">
        <f>IF(AND('Atividades Micro'!$B291=BW$2,'Atividades Micro'!$G291="Macro",'Atividades Micro'!$K291&lt;&gt;""),'Atividades Micro'!$K291,"")</f>
        <v/>
      </c>
      <c r="BX246" s="21" t="str">
        <f>IF(AND('Atividades Micro'!$B291=BX$2,'Atividades Micro'!$G291="Macro",'Atividades Micro'!$K291&lt;&gt;""),'Atividades Micro'!$K291,"")</f>
        <v/>
      </c>
      <c r="BY246" s="21" t="str">
        <f>IF(AND('Atividades Micro'!$B291=BY$2,'Atividades Micro'!$G291="Macro",'Atividades Micro'!$K291&lt;&gt;""),'Atividades Micro'!$K291,"")</f>
        <v/>
      </c>
      <c r="BZ246" s="21" t="str">
        <f>IF(AND('Atividades Micro'!$B291=BZ$2,'Atividades Micro'!$G291="Macro",'Atividades Micro'!$K291&lt;&gt;""),'Atividades Micro'!$K291,"")</f>
        <v/>
      </c>
      <c r="CA246" s="21" t="str">
        <f>IF(AND('Atividades Micro'!$B291=CA$2,'Atividades Micro'!$G291="Macro",'Atividades Micro'!$K291&lt;&gt;""),'Atividades Micro'!$K291,"")</f>
        <v/>
      </c>
      <c r="CB246" s="21" t="str">
        <f>IF(AND('Atividades Micro'!$B291=CB$2,'Atividades Micro'!$G291="Macro",'Atividades Micro'!$K291&lt;&gt;""),'Atividades Micro'!$K291,"")</f>
        <v/>
      </c>
      <c r="CC246" s="21" t="str">
        <f>IF(AND('Atividades Micro'!$B291=CC$2,'Atividades Micro'!$G291="Macro",'Atividades Micro'!$K291&lt;&gt;""),'Atividades Micro'!$K291,"")</f>
        <v/>
      </c>
      <c r="CD246" s="21" t="str">
        <f>IF(AND('Atividades Micro'!$B291=CD$2,'Atividades Micro'!$G291="Micro",'Atividades Micro'!$K291&lt;&gt;""),'Atividades Micro'!$K291,"")</f>
        <v/>
      </c>
      <c r="CE246" s="21" t="str">
        <f>IF(AND('Atividades Micro'!$B291=CE$2,'Atividades Micro'!$G291="Micro",'Atividades Micro'!$K291&lt;&gt;""),'Atividades Micro'!$K291,"")</f>
        <v/>
      </c>
      <c r="CF246" s="21" t="str">
        <f>IF(AND('Atividades Micro'!$B291=CF$2,'Atividades Micro'!$G291="Micro",'Atividades Micro'!$K291&lt;&gt;""),'Atividades Micro'!$K291,"")</f>
        <v/>
      </c>
      <c r="CG246" s="21" t="str">
        <f>IF(AND('Atividades Micro'!$B291=CG$2,'Atividades Micro'!$G291="Micro",'Atividades Micro'!$K291&lt;&gt;""),'Atividades Micro'!$K291,"")</f>
        <v/>
      </c>
      <c r="CH246" s="21" t="str">
        <f>IF(AND('Atividades Micro'!$B291=CH$2,'Atividades Micro'!$G291="Micro",'Atividades Micro'!$K291&lt;&gt;""),'Atividades Micro'!$K291,"")</f>
        <v/>
      </c>
      <c r="CI246" s="21" t="str">
        <f>IF(AND('Atividades Micro'!$B291=CI$2,'Atividades Micro'!$G291="Micro",'Atividades Micro'!$K291&lt;&gt;""),'Atividades Micro'!$K291,"")</f>
        <v/>
      </c>
      <c r="CJ246" s="21" t="str">
        <f>IF(AND('Atividades Micro'!$B291=CJ$2,'Atividades Micro'!$G291="Micro",'Atividades Micro'!$K291&lt;&gt;""),'Atividades Micro'!$K291,"")</f>
        <v/>
      </c>
      <c r="CK246" s="21" t="str">
        <f>IF(AND('Atividades Micro'!$B291=CK$2,'Atividades Micro'!$G291="Micro",'Atividades Micro'!$K291&lt;&gt;""),'Atividades Micro'!$K291,"")</f>
        <v/>
      </c>
      <c r="CL246" s="21" t="str">
        <f>IF(AND('Atividades Micro'!$B291=CL$2,'Atividades Micro'!$G291="Micro",'Atividades Micro'!$K291&lt;&gt;""),'Atividades Micro'!$K291,"")</f>
        <v/>
      </c>
      <c r="CM246" s="21" t="str">
        <f>IF(AND('Atividades Micro'!$B291=CM$2,'Atividades Micro'!$G291="Micro",'Atividades Micro'!$K291&lt;&gt;""),'Atividades Micro'!$K291,"")</f>
        <v/>
      </c>
      <c r="CN246" s="21" t="str">
        <f>IF(AND('Atividades Micro'!$B291=CN$2,'Atividades Micro'!$G291="Micro",'Atividades Micro'!$K291&lt;&gt;""),'Atividades Micro'!$K291,"")</f>
        <v/>
      </c>
      <c r="CO246" s="21" t="str">
        <f>IF(AND('Atividades Micro'!$B291=CO$2,'Atividades Micro'!$G291="Micro",'Atividades Micro'!$K291&lt;&gt;""),'Atividades Micro'!$K291,"")</f>
        <v/>
      </c>
    </row>
    <row r="247" spans="1:93">
      <c r="A247" s="21" t="str">
        <f>IF(AND('Atividades Micro'!$A292=A$2,'Atividades Micro'!$K292&lt;&gt;""),'Atividades Micro'!$K292,"")</f>
        <v/>
      </c>
      <c r="B247" s="21" t="str">
        <f>IF(AND('Atividades Micro'!$A292=B$2,'Atividades Micro'!$L292&lt;&gt;""),'Atividades Micro'!$L292,"")</f>
        <v/>
      </c>
      <c r="C247" s="21">
        <f>IF(AND('Atividades Micro'!$A292=C$2,'Atividades Micro'!$K292&lt;&gt;""),'Atividades Micro'!$K292,"")</f>
        <v>46203</v>
      </c>
      <c r="D247" s="21" t="str">
        <f>IF(AND('Atividades Micro'!$A292=D$2,'Atividades Micro'!$L292&lt;&gt;""),'Atividades Micro'!$L292,"")</f>
        <v/>
      </c>
      <c r="E247" s="21" t="str">
        <f>IF(AND('Atividades Micro'!$A292=E$2,'Atividades Micro'!$K292&lt;&gt;""),'Atividades Micro'!$K292,"")</f>
        <v/>
      </c>
      <c r="F247" s="21" t="str">
        <f>IF(AND('Atividades Micro'!$A292=F$2,'Atividades Micro'!$L292&lt;&gt;""),'Atividades Micro'!$L292,"")</f>
        <v/>
      </c>
      <c r="G247" s="21" t="str">
        <f>IF(AND('Atividades Micro'!$A292=G$2,'Atividades Micro'!$K292&lt;&gt;""),'Atividades Micro'!$K292,"")</f>
        <v/>
      </c>
      <c r="H247" s="21" t="str">
        <f>IF(AND('Atividades Micro'!$A292=H$2,'Atividades Micro'!$L292&lt;&gt;""),'Atividades Micro'!$L292,"")</f>
        <v/>
      </c>
      <c r="I247" s="21" t="str">
        <f>IF(AND('Atividades Micro'!$A292=I$2,'Atividades Micro'!$K292&lt;&gt;""),'Atividades Micro'!$K292,"")</f>
        <v/>
      </c>
      <c r="J247" s="21" t="str">
        <f>IF(AND('Atividades Micro'!$A292=J$2,'Atividades Micro'!$L292&lt;&gt;""),'Atividades Micro'!$L292,"")</f>
        <v/>
      </c>
      <c r="K247" s="21" t="str">
        <f>IF(AND('Atividades Micro'!$B292=K$2,'Atividades Micro'!$K292&lt;&gt;""),'Atividades Micro'!$K292,"")</f>
        <v/>
      </c>
      <c r="L247" s="21" t="str">
        <f>IF(AND('Atividades Micro'!$B292=L$2,'Atividades Micro'!$L292&lt;&gt;""),'Atividades Micro'!$L292,"")</f>
        <v/>
      </c>
      <c r="M247" s="21" t="str">
        <f>IF(AND('Atividades Micro'!$B292=M$2,'Atividades Micro'!$K292&lt;&gt;""),'Atividades Micro'!$K292,"")</f>
        <v/>
      </c>
      <c r="N247" s="21" t="str">
        <f>IF(AND('Atividades Micro'!$B292=N$2,'Atividades Micro'!$L292&lt;&gt;""),'Atividades Micro'!$L292,"")</f>
        <v/>
      </c>
      <c r="O247" s="21" t="str">
        <f>IF(AND('Atividades Micro'!$A292=O$2,'Atividades Micro'!$K292&lt;&gt;""),'Atividades Micro'!$K292,"")</f>
        <v/>
      </c>
      <c r="P247" s="21" t="str">
        <f>IF(AND('Atividades Micro'!$A292=P$2,'Atividades Micro'!$L292&lt;&gt;""),'Atividades Micro'!$L292,"")</f>
        <v/>
      </c>
      <c r="Q247" s="21" t="str">
        <f>IF(AND('Atividades Micro'!$B292=Q$2,'Atividades Micro'!$K292&lt;&gt;""),'Atividades Micro'!$K292,"")</f>
        <v/>
      </c>
      <c r="R247" s="21" t="str">
        <f>IF(AND('Atividades Micro'!$B292=R$2,'Atividades Micro'!$L292&lt;&gt;""),'Atividades Micro'!$L292,"")</f>
        <v/>
      </c>
      <c r="S247" s="21" t="str">
        <f>IF(AND('Atividades Micro'!$A292=S$2,'Atividades Micro'!$K292&lt;&gt;""),'Atividades Micro'!$K292,"")</f>
        <v/>
      </c>
      <c r="T247" s="21" t="str">
        <f>IF(AND('Atividades Micro'!$A292=T$2,'Atividades Micro'!$L292&lt;&gt;""),'Atividades Micro'!$L292,"")</f>
        <v/>
      </c>
      <c r="U247" s="21" t="str">
        <f>IF(AND('Atividades Micro'!$B292=U$2,'Atividades Micro'!$K292&lt;&gt;""),'Atividades Micro'!$K292,"")</f>
        <v/>
      </c>
      <c r="V247" s="21" t="str">
        <f>IF(AND('Atividades Micro'!$B292=V$2,'Atividades Micro'!$L292&lt;&gt;""),'Atividades Micro'!$L292,"")</f>
        <v/>
      </c>
      <c r="W247" s="21" t="str">
        <f>IF(AND('Atividades Micro'!$B292=W$2,'Atividades Micro'!$K292&lt;&gt;""),'Atividades Micro'!$K292,"")</f>
        <v/>
      </c>
      <c r="X247" s="21" t="str">
        <f>IF(AND('Atividades Micro'!$B292=X$2,'Atividades Micro'!$L292&lt;&gt;""),'Atividades Micro'!$L292,"")</f>
        <v/>
      </c>
      <c r="Y247" s="21" t="str">
        <f>IF(AND('Atividades Micro'!$A292=Y$2,'Atividades Micro'!$K292&lt;&gt;""),'Atividades Micro'!$K292,"")</f>
        <v/>
      </c>
      <c r="Z247" s="21" t="str">
        <f>IF(AND('Atividades Micro'!$A292=Z$2,'Atividades Micro'!$L292&lt;&gt;""),'Atividades Micro'!$L292,"")</f>
        <v/>
      </c>
      <c r="AA247" s="21" t="str">
        <f>IF(AND('Atividades Micro'!$B292=AA$2,'Atividades Micro'!$K292&lt;&gt;""),'Atividades Micro'!$K292,"")</f>
        <v/>
      </c>
      <c r="AB247" s="21" t="str">
        <f>IF(AND('Atividades Micro'!$B292=AB$2,'Atividades Micro'!$L292&lt;&gt;""),'Atividades Micro'!$L292,"")</f>
        <v/>
      </c>
      <c r="AC247" s="21" t="str">
        <f>IF(AND('Atividades Micro'!$B292=AC$2,'Atividades Micro'!$K292&lt;&gt;""),'Atividades Micro'!$K292,"")</f>
        <v/>
      </c>
      <c r="AD247" s="21" t="str">
        <f>IF(AND('Atividades Micro'!$B292=AD$2,'Atividades Micro'!$L292&lt;&gt;""),'Atividades Micro'!$L292,"")</f>
        <v/>
      </c>
      <c r="AE247" s="21" t="str">
        <f>IF(AND('Atividades Micro'!$A292=AE$2,'Atividades Micro'!$K292&lt;&gt;""),'Atividades Micro'!$K292,"")</f>
        <v/>
      </c>
      <c r="AF247" s="21" t="str">
        <f>IF(AND('Atividades Micro'!$A292=AF$2,'Atividades Micro'!$L292&lt;&gt;""),'Atividades Micro'!$L292,"")</f>
        <v/>
      </c>
      <c r="AG247" s="21" t="str">
        <f>IF(AND('Atividades Micro'!$B292=AG$2,'Atividades Micro'!$K292&lt;&gt;""),'Atividades Micro'!$K292,"")</f>
        <v/>
      </c>
      <c r="AH247" s="21" t="str">
        <f>IF(AND('Atividades Micro'!$B292=AH$2,'Atividades Micro'!$L292&lt;&gt;""),'Atividades Micro'!$L292,"")</f>
        <v/>
      </c>
      <c r="AI247" s="21" t="str">
        <f>IF(AND('Atividades Micro'!$B292=AI$2,'Atividades Micro'!$K292&lt;&gt;""),'Atividades Micro'!$K292,"")</f>
        <v/>
      </c>
      <c r="AJ247" s="21" t="str">
        <f>IF(AND('Atividades Micro'!$B292=AJ$2,'Atividades Micro'!$L292&lt;&gt;""),'Atividades Micro'!$L292,"")</f>
        <v/>
      </c>
      <c r="AK247" s="21" t="str">
        <f>IF(AND('Atividades Micro'!$A292=AK$2,'Atividades Micro'!$K292&lt;&gt;""),'Atividades Micro'!$K292,"")</f>
        <v/>
      </c>
      <c r="AL247" s="21" t="str">
        <f>IF(AND('Atividades Micro'!$A292=AL$2,'Atividades Micro'!$L292&lt;&gt;""),'Atividades Micro'!$L292,"")</f>
        <v/>
      </c>
      <c r="AM247" s="21" t="str">
        <f>IF(AND('Atividades Micro'!$B292=AM$2,'Atividades Micro'!$K292&lt;&gt;""),'Atividades Micro'!$K292,"")</f>
        <v/>
      </c>
      <c r="AN247" s="21" t="str">
        <f>IF(AND('Atividades Micro'!$B292=AN$2,'Atividades Micro'!$L292&lt;&gt;""),'Atividades Micro'!$L292,"")</f>
        <v/>
      </c>
      <c r="AO247" s="21" t="str">
        <f>IF(AND('Atividades Micro'!$B292=AO$2,'Atividades Micro'!$K292&lt;&gt;""),'Atividades Micro'!$K292,"")</f>
        <v/>
      </c>
      <c r="AP247" s="21" t="str">
        <f>IF(AND('Atividades Micro'!$B292=AP$2,'Atividades Micro'!$L292&lt;&gt;""),'Atividades Micro'!$L292,"")</f>
        <v/>
      </c>
      <c r="AQ247" s="21" t="str">
        <f>IF(AND('Atividades Micro'!$A292=AQ$2,'Atividades Micro'!$K292&lt;&gt;""),'Atividades Micro'!$K292,"")</f>
        <v/>
      </c>
      <c r="AR247" s="21" t="str">
        <f>IF(AND('Atividades Micro'!$A292=AR$2,'Atividades Micro'!$L292&lt;&gt;""),'Atividades Micro'!$L292,"")</f>
        <v/>
      </c>
      <c r="AS247" s="21" t="str">
        <f>IF(AND('Atividades Micro'!$B292=AS$2,'Atividades Micro'!$K292&lt;&gt;""),'Atividades Micro'!$K292,"")</f>
        <v/>
      </c>
      <c r="AT247" s="21" t="str">
        <f>IF(AND('Atividades Micro'!$B292=AT$2,'Atividades Micro'!$L292&lt;&gt;""),'Atividades Micro'!$L292,"")</f>
        <v/>
      </c>
      <c r="AU247" s="21" t="str">
        <f>IF(AND('Atividades Micro'!$A292=AU$2,'Atividades Micro'!$K292&lt;&gt;""),'Atividades Micro'!$K292,"")</f>
        <v/>
      </c>
      <c r="AV247" s="21" t="str">
        <f>IF(AND('Atividades Micro'!$A292=AV$2,'Atividades Micro'!$L292&lt;&gt;""),'Atividades Micro'!$L292,"")</f>
        <v/>
      </c>
      <c r="AW247" s="21" t="str">
        <f>IF(AND('Atividades Micro'!$B292=AW$2,'Atividades Micro'!$K292&lt;&gt;""),'Atividades Micro'!$K292,"")</f>
        <v/>
      </c>
      <c r="AX247" s="21" t="str">
        <f>IF(AND('Atividades Micro'!$B292=AX$2,'Atividades Micro'!$L292&lt;&gt;""),'Atividades Micro'!$L292,"")</f>
        <v/>
      </c>
      <c r="AY247" s="21" t="str">
        <f>IF(AND('Atividades Micro'!$A292=AY$2,'Atividades Micro'!$K292&lt;&gt;""),'Atividades Micro'!$K292,"")</f>
        <v/>
      </c>
      <c r="AZ247" s="21" t="str">
        <f>IF(AND('Atividades Micro'!$A292=AZ$2,'Atividades Micro'!$L292&lt;&gt;""),'Atividades Micro'!$L292,"")</f>
        <v/>
      </c>
      <c r="BA247" s="21" t="str">
        <f>IF(AND('Atividades Micro'!$B292=BA$2,'Atividades Micro'!$K292&lt;&gt;""),'Atividades Micro'!$K292,"")</f>
        <v/>
      </c>
      <c r="BB247" s="21" t="str">
        <f>IF(AND('Atividades Micro'!$B292=BB$2,'Atividades Micro'!$L292&lt;&gt;""),'Atividades Micro'!$L292,"")</f>
        <v/>
      </c>
      <c r="BC247" s="21" t="str">
        <f>IF(AND('Atividades Micro'!$B292=BC$2,'Atividades Micro'!$G292="Macro",'Atividades Micro'!$K292&lt;&gt;""),'Atividades Micro'!$K292,"")</f>
        <v/>
      </c>
      <c r="BD247" s="21" t="str">
        <f>IF(AND('Atividades Micro'!$B292=BD$2,'Atividades Micro'!$G292="Macro",'Atividades Micro'!$K292&lt;&gt;""),'Atividades Micro'!$K292,"")</f>
        <v/>
      </c>
      <c r="BE247" s="21" t="str">
        <f>IF(AND('Atividades Micro'!$B292=BE$2,'Atividades Micro'!$G292="Macro",'Atividades Micro'!$K292&lt;&gt;""),'Atividades Micro'!$K292,"")</f>
        <v/>
      </c>
      <c r="BF247" s="21" t="str">
        <f>IF(AND('Atividades Micro'!$B292=BF$2,'Atividades Micro'!$G292="Macro",'Atividades Micro'!$K292&lt;&gt;""),'Atividades Micro'!$K292,"")</f>
        <v/>
      </c>
      <c r="BG247" s="21" t="str">
        <f>IF(AND('Atividades Micro'!$B292=BG$2,'Atividades Micro'!$G292="Macro",'Atividades Micro'!$K292&lt;&gt;""),'Atividades Micro'!$K292,"")</f>
        <v/>
      </c>
      <c r="BH247" s="21" t="str">
        <f>IF(AND('Atividades Micro'!$B292=BH$2,'Atividades Micro'!$G292="Macro",'Atividades Micro'!$K292&lt;&gt;""),'Atividades Micro'!$K292,"")</f>
        <v/>
      </c>
      <c r="BI247" s="21" t="str">
        <f>IF(AND('Atividades Micro'!$B292=BI$2,'Atividades Micro'!$G292="Macro",'Atividades Micro'!$K292&lt;&gt;""),'Atividades Micro'!$K292,"")</f>
        <v/>
      </c>
      <c r="BJ247" s="21" t="str">
        <f>IF(AND('Atividades Micro'!$B292=BJ$2,'Atividades Micro'!$G292="Macro",'Atividades Micro'!$K292&lt;&gt;""),'Atividades Micro'!$K292,"")</f>
        <v/>
      </c>
      <c r="BK247" s="21" t="str">
        <f>IF(AND('Atividades Micro'!$B292=BK$2,'Atividades Micro'!$G292="Macro",'Atividades Micro'!$K292&lt;&gt;""),'Atividades Micro'!$K292,"")</f>
        <v/>
      </c>
      <c r="BL247" s="21" t="str">
        <f>IF(AND('Atividades Micro'!$B292=BL$2,'Atividades Micro'!$G292="Macro",'Atividades Micro'!$K292&lt;&gt;""),'Atividades Micro'!$K292,"")</f>
        <v/>
      </c>
      <c r="BM247" s="21" t="str">
        <f>IF(AND('Atividades Micro'!$B292=BM$2,'Atividades Micro'!$G292="Macro",'Atividades Micro'!$K292&lt;&gt;""),'Atividades Micro'!$K292,"")</f>
        <v/>
      </c>
      <c r="BN247" s="21" t="str">
        <f>IF(AND('Atividades Micro'!$B292=BN$2,'Atividades Micro'!$G292="Macro",'Atividades Micro'!$K292&lt;&gt;""),'Atividades Micro'!$K292,"")</f>
        <v/>
      </c>
      <c r="BO247" s="21" t="str">
        <f>IF(AND('Atividades Micro'!$B292=BO$2,'Atividades Micro'!$G292="Macro",'Atividades Micro'!$K292&lt;&gt;""),'Atividades Micro'!$K292,"")</f>
        <v/>
      </c>
      <c r="BP247" s="21" t="str">
        <f>IF(AND('Atividades Micro'!$B292=BP$2,'Atividades Micro'!$G292="Macro",'Atividades Micro'!$K292&lt;&gt;""),'Atividades Micro'!$K292,"")</f>
        <v/>
      </c>
      <c r="BQ247" s="21" t="str">
        <f>IF(AND('Atividades Micro'!$B292=BQ$2,'Atividades Micro'!$G292="Macro",'Atividades Micro'!$K292&lt;&gt;""),'Atividades Micro'!$K292,"")</f>
        <v/>
      </c>
      <c r="BR247" s="21" t="str">
        <f>IF(AND('Atividades Micro'!$B292=BR$2,'Atividades Micro'!$G292="Macro",'Atividades Micro'!$K292&lt;&gt;""),'Atividades Micro'!$K292,"")</f>
        <v/>
      </c>
      <c r="BS247" s="21" t="str">
        <f>IF(AND('Atividades Micro'!$B292=BS$2,'Atividades Micro'!$G292="Macro",'Atividades Micro'!$K292&lt;&gt;""),'Atividades Micro'!$K292,"")</f>
        <v/>
      </c>
      <c r="BT247" s="21" t="str">
        <f>IF(AND('Atividades Micro'!$B292=BT$2,'Atividades Micro'!$G292="Macro",'Atividades Micro'!$K292&lt;&gt;""),'Atividades Micro'!$K292,"")</f>
        <v/>
      </c>
      <c r="BU247" s="21" t="str">
        <f>IF(AND('Atividades Micro'!$B292=BU$2,'Atividades Micro'!$G292="Macro",'Atividades Micro'!$K292&lt;&gt;""),'Atividades Micro'!$K292,"")</f>
        <v/>
      </c>
      <c r="BV247" s="21" t="str">
        <f>IF(AND('Atividades Micro'!$B292=BV$2,'Atividades Micro'!$G292="Macro",'Atividades Micro'!$K292&lt;&gt;""),'Atividades Micro'!$K292,"")</f>
        <v/>
      </c>
      <c r="BW247" s="21" t="str">
        <f>IF(AND('Atividades Micro'!$B292=BW$2,'Atividades Micro'!$G292="Macro",'Atividades Micro'!$K292&lt;&gt;""),'Atividades Micro'!$K292,"")</f>
        <v/>
      </c>
      <c r="BX247" s="21" t="str">
        <f>IF(AND('Atividades Micro'!$B292=BX$2,'Atividades Micro'!$G292="Macro",'Atividades Micro'!$K292&lt;&gt;""),'Atividades Micro'!$K292,"")</f>
        <v/>
      </c>
      <c r="BY247" s="21" t="str">
        <f>IF(AND('Atividades Micro'!$B292=BY$2,'Atividades Micro'!$G292="Macro",'Atividades Micro'!$K292&lt;&gt;""),'Atividades Micro'!$K292,"")</f>
        <v/>
      </c>
      <c r="BZ247" s="21" t="str">
        <f>IF(AND('Atividades Micro'!$B292=BZ$2,'Atividades Micro'!$G292="Macro",'Atividades Micro'!$K292&lt;&gt;""),'Atividades Micro'!$K292,"")</f>
        <v/>
      </c>
      <c r="CA247" s="21" t="str">
        <f>IF(AND('Atividades Micro'!$B292=CA$2,'Atividades Micro'!$G292="Macro",'Atividades Micro'!$K292&lt;&gt;""),'Atividades Micro'!$K292,"")</f>
        <v/>
      </c>
      <c r="CB247" s="21" t="str">
        <f>IF(AND('Atividades Micro'!$B292=CB$2,'Atividades Micro'!$G292="Macro",'Atividades Micro'!$K292&lt;&gt;""),'Atividades Micro'!$K292,"")</f>
        <v/>
      </c>
      <c r="CC247" s="21" t="str">
        <f>IF(AND('Atividades Micro'!$B292=CC$2,'Atividades Micro'!$G292="Macro",'Atividades Micro'!$K292&lt;&gt;""),'Atividades Micro'!$K292,"")</f>
        <v/>
      </c>
      <c r="CD247" s="21" t="str">
        <f>IF(AND('Atividades Micro'!$B292=CD$2,'Atividades Micro'!$G292="Micro",'Atividades Micro'!$K292&lt;&gt;""),'Atividades Micro'!$K292,"")</f>
        <v/>
      </c>
      <c r="CE247" s="21" t="str">
        <f>IF(AND('Atividades Micro'!$B292=CE$2,'Atividades Micro'!$G292="Micro",'Atividades Micro'!$K292&lt;&gt;""),'Atividades Micro'!$K292,"")</f>
        <v/>
      </c>
      <c r="CF247" s="21" t="str">
        <f>IF(AND('Atividades Micro'!$B292=CF$2,'Atividades Micro'!$G292="Micro",'Atividades Micro'!$K292&lt;&gt;""),'Atividades Micro'!$K292,"")</f>
        <v/>
      </c>
      <c r="CG247" s="21" t="str">
        <f>IF(AND('Atividades Micro'!$B292=CG$2,'Atividades Micro'!$G292="Micro",'Atividades Micro'!$K292&lt;&gt;""),'Atividades Micro'!$K292,"")</f>
        <v/>
      </c>
      <c r="CH247" s="21" t="str">
        <f>IF(AND('Atividades Micro'!$B292=CH$2,'Atividades Micro'!$G292="Micro",'Atividades Micro'!$K292&lt;&gt;""),'Atividades Micro'!$K292,"")</f>
        <v/>
      </c>
      <c r="CI247" s="21" t="str">
        <f>IF(AND('Atividades Micro'!$B292=CI$2,'Atividades Micro'!$G292="Micro",'Atividades Micro'!$K292&lt;&gt;""),'Atividades Micro'!$K292,"")</f>
        <v/>
      </c>
      <c r="CJ247" s="21" t="str">
        <f>IF(AND('Atividades Micro'!$B292=CJ$2,'Atividades Micro'!$G292="Micro",'Atividades Micro'!$K292&lt;&gt;""),'Atividades Micro'!$K292,"")</f>
        <v/>
      </c>
      <c r="CK247" s="21" t="str">
        <f>IF(AND('Atividades Micro'!$B292=CK$2,'Atividades Micro'!$G292="Micro",'Atividades Micro'!$K292&lt;&gt;""),'Atividades Micro'!$K292,"")</f>
        <v/>
      </c>
      <c r="CL247" s="21" t="str">
        <f>IF(AND('Atividades Micro'!$B292=CL$2,'Atividades Micro'!$G292="Micro",'Atividades Micro'!$K292&lt;&gt;""),'Atividades Micro'!$K292,"")</f>
        <v/>
      </c>
      <c r="CM247" s="21" t="str">
        <f>IF(AND('Atividades Micro'!$B292=CM$2,'Atividades Micro'!$G292="Micro",'Atividades Micro'!$K292&lt;&gt;""),'Atividades Micro'!$K292,"")</f>
        <v/>
      </c>
      <c r="CN247" s="21" t="str">
        <f>IF(AND('Atividades Micro'!$B292=CN$2,'Atividades Micro'!$G292="Micro",'Atividades Micro'!$K292&lt;&gt;""),'Atividades Micro'!$K292,"")</f>
        <v/>
      </c>
      <c r="CO247" s="21" t="str">
        <f>IF(AND('Atividades Micro'!$B292=CO$2,'Atividades Micro'!$G292="Micro",'Atividades Micro'!$K292&lt;&gt;""),'Atividades Micro'!$K292,"")</f>
        <v/>
      </c>
    </row>
    <row r="248" spans="1:93">
      <c r="A248" s="21" t="str">
        <f>IF(AND('Atividades Micro'!$A293=A$2,'Atividades Micro'!$K293&lt;&gt;""),'Atividades Micro'!$K293,"")</f>
        <v/>
      </c>
      <c r="B248" s="21" t="str">
        <f>IF(AND('Atividades Micro'!$A293=B$2,'Atividades Micro'!$L293&lt;&gt;""),'Atividades Micro'!$L293,"")</f>
        <v/>
      </c>
      <c r="C248" s="21">
        <f>IF(AND('Atividades Micro'!$A293=C$2,'Atividades Micro'!$K293&lt;&gt;""),'Atividades Micro'!$K293,"")</f>
        <v>46227</v>
      </c>
      <c r="D248" s="21" t="str">
        <f>IF(AND('Atividades Micro'!$A293=D$2,'Atividades Micro'!$L293&lt;&gt;""),'Atividades Micro'!$L293,"")</f>
        <v/>
      </c>
      <c r="E248" s="21" t="str">
        <f>IF(AND('Atividades Micro'!$A293=E$2,'Atividades Micro'!$K293&lt;&gt;""),'Atividades Micro'!$K293,"")</f>
        <v/>
      </c>
      <c r="F248" s="21" t="str">
        <f>IF(AND('Atividades Micro'!$A293=F$2,'Atividades Micro'!$L293&lt;&gt;""),'Atividades Micro'!$L293,"")</f>
        <v/>
      </c>
      <c r="G248" s="21" t="str">
        <f>IF(AND('Atividades Micro'!$A293=G$2,'Atividades Micro'!$K293&lt;&gt;""),'Atividades Micro'!$K293,"")</f>
        <v/>
      </c>
      <c r="H248" s="21" t="str">
        <f>IF(AND('Atividades Micro'!$A293=H$2,'Atividades Micro'!$L293&lt;&gt;""),'Atividades Micro'!$L293,"")</f>
        <v/>
      </c>
      <c r="I248" s="21" t="str">
        <f>IF(AND('Atividades Micro'!$A293=I$2,'Atividades Micro'!$K293&lt;&gt;""),'Atividades Micro'!$K293,"")</f>
        <v/>
      </c>
      <c r="J248" s="21" t="str">
        <f>IF(AND('Atividades Micro'!$A293=J$2,'Atividades Micro'!$L293&lt;&gt;""),'Atividades Micro'!$L293,"")</f>
        <v/>
      </c>
      <c r="K248" s="21" t="str">
        <f>IF(AND('Atividades Micro'!$B293=K$2,'Atividades Micro'!$K293&lt;&gt;""),'Atividades Micro'!$K293,"")</f>
        <v/>
      </c>
      <c r="L248" s="21" t="str">
        <f>IF(AND('Atividades Micro'!$B293=L$2,'Atividades Micro'!$L293&lt;&gt;""),'Atividades Micro'!$L293,"")</f>
        <v/>
      </c>
      <c r="M248" s="21" t="str">
        <f>IF(AND('Atividades Micro'!$B293=M$2,'Atividades Micro'!$K293&lt;&gt;""),'Atividades Micro'!$K293,"")</f>
        <v/>
      </c>
      <c r="N248" s="21" t="str">
        <f>IF(AND('Atividades Micro'!$B293=N$2,'Atividades Micro'!$L293&lt;&gt;""),'Atividades Micro'!$L293,"")</f>
        <v/>
      </c>
      <c r="O248" s="21" t="str">
        <f>IF(AND('Atividades Micro'!$A293=O$2,'Atividades Micro'!$K293&lt;&gt;""),'Atividades Micro'!$K293,"")</f>
        <v/>
      </c>
      <c r="P248" s="21" t="str">
        <f>IF(AND('Atividades Micro'!$A293=P$2,'Atividades Micro'!$L293&lt;&gt;""),'Atividades Micro'!$L293,"")</f>
        <v/>
      </c>
      <c r="Q248" s="21" t="str">
        <f>IF(AND('Atividades Micro'!$B293=Q$2,'Atividades Micro'!$K293&lt;&gt;""),'Atividades Micro'!$K293,"")</f>
        <v/>
      </c>
      <c r="R248" s="21" t="str">
        <f>IF(AND('Atividades Micro'!$B293=R$2,'Atividades Micro'!$L293&lt;&gt;""),'Atividades Micro'!$L293,"")</f>
        <v/>
      </c>
      <c r="S248" s="21" t="str">
        <f>IF(AND('Atividades Micro'!$A293=S$2,'Atividades Micro'!$K293&lt;&gt;""),'Atividades Micro'!$K293,"")</f>
        <v/>
      </c>
      <c r="T248" s="21" t="str">
        <f>IF(AND('Atividades Micro'!$A293=T$2,'Atividades Micro'!$L293&lt;&gt;""),'Atividades Micro'!$L293,"")</f>
        <v/>
      </c>
      <c r="U248" s="21" t="str">
        <f>IF(AND('Atividades Micro'!$B293=U$2,'Atividades Micro'!$K293&lt;&gt;""),'Atividades Micro'!$K293,"")</f>
        <v/>
      </c>
      <c r="V248" s="21" t="str">
        <f>IF(AND('Atividades Micro'!$B293=V$2,'Atividades Micro'!$L293&lt;&gt;""),'Atividades Micro'!$L293,"")</f>
        <v/>
      </c>
      <c r="W248" s="21" t="str">
        <f>IF(AND('Atividades Micro'!$B293=W$2,'Atividades Micro'!$K293&lt;&gt;""),'Atividades Micro'!$K293,"")</f>
        <v/>
      </c>
      <c r="X248" s="21" t="str">
        <f>IF(AND('Atividades Micro'!$B293=X$2,'Atividades Micro'!$L293&lt;&gt;""),'Atividades Micro'!$L293,"")</f>
        <v/>
      </c>
      <c r="Y248" s="21" t="str">
        <f>IF(AND('Atividades Micro'!$A293=Y$2,'Atividades Micro'!$K293&lt;&gt;""),'Atividades Micro'!$K293,"")</f>
        <v/>
      </c>
      <c r="Z248" s="21" t="str">
        <f>IF(AND('Atividades Micro'!$A293=Z$2,'Atividades Micro'!$L293&lt;&gt;""),'Atividades Micro'!$L293,"")</f>
        <v/>
      </c>
      <c r="AA248" s="21" t="str">
        <f>IF(AND('Atividades Micro'!$B293=AA$2,'Atividades Micro'!$K293&lt;&gt;""),'Atividades Micro'!$K293,"")</f>
        <v/>
      </c>
      <c r="AB248" s="21" t="str">
        <f>IF(AND('Atividades Micro'!$B293=AB$2,'Atividades Micro'!$L293&lt;&gt;""),'Atividades Micro'!$L293,"")</f>
        <v/>
      </c>
      <c r="AC248" s="21" t="str">
        <f>IF(AND('Atividades Micro'!$B293=AC$2,'Atividades Micro'!$K293&lt;&gt;""),'Atividades Micro'!$K293,"")</f>
        <v/>
      </c>
      <c r="AD248" s="21" t="str">
        <f>IF(AND('Atividades Micro'!$B293=AD$2,'Atividades Micro'!$L293&lt;&gt;""),'Atividades Micro'!$L293,"")</f>
        <v/>
      </c>
      <c r="AE248" s="21" t="str">
        <f>IF(AND('Atividades Micro'!$A293=AE$2,'Atividades Micro'!$K293&lt;&gt;""),'Atividades Micro'!$K293,"")</f>
        <v/>
      </c>
      <c r="AF248" s="21" t="str">
        <f>IF(AND('Atividades Micro'!$A293=AF$2,'Atividades Micro'!$L293&lt;&gt;""),'Atividades Micro'!$L293,"")</f>
        <v/>
      </c>
      <c r="AG248" s="21" t="str">
        <f>IF(AND('Atividades Micro'!$B293=AG$2,'Atividades Micro'!$K293&lt;&gt;""),'Atividades Micro'!$K293,"")</f>
        <v/>
      </c>
      <c r="AH248" s="21" t="str">
        <f>IF(AND('Atividades Micro'!$B293=AH$2,'Atividades Micro'!$L293&lt;&gt;""),'Atividades Micro'!$L293,"")</f>
        <v/>
      </c>
      <c r="AI248" s="21" t="str">
        <f>IF(AND('Atividades Micro'!$B293=AI$2,'Atividades Micro'!$K293&lt;&gt;""),'Atividades Micro'!$K293,"")</f>
        <v/>
      </c>
      <c r="AJ248" s="21" t="str">
        <f>IF(AND('Atividades Micro'!$B293=AJ$2,'Atividades Micro'!$L293&lt;&gt;""),'Atividades Micro'!$L293,"")</f>
        <v/>
      </c>
      <c r="AK248" s="21" t="str">
        <f>IF(AND('Atividades Micro'!$A293=AK$2,'Atividades Micro'!$K293&lt;&gt;""),'Atividades Micro'!$K293,"")</f>
        <v/>
      </c>
      <c r="AL248" s="21" t="str">
        <f>IF(AND('Atividades Micro'!$A293=AL$2,'Atividades Micro'!$L293&lt;&gt;""),'Atividades Micro'!$L293,"")</f>
        <v/>
      </c>
      <c r="AM248" s="21" t="str">
        <f>IF(AND('Atividades Micro'!$B293=AM$2,'Atividades Micro'!$K293&lt;&gt;""),'Atividades Micro'!$K293,"")</f>
        <v/>
      </c>
      <c r="AN248" s="21" t="str">
        <f>IF(AND('Atividades Micro'!$B293=AN$2,'Atividades Micro'!$L293&lt;&gt;""),'Atividades Micro'!$L293,"")</f>
        <v/>
      </c>
      <c r="AO248" s="21" t="str">
        <f>IF(AND('Atividades Micro'!$B293=AO$2,'Atividades Micro'!$K293&lt;&gt;""),'Atividades Micro'!$K293,"")</f>
        <v/>
      </c>
      <c r="AP248" s="21" t="str">
        <f>IF(AND('Atividades Micro'!$B293=AP$2,'Atividades Micro'!$L293&lt;&gt;""),'Atividades Micro'!$L293,"")</f>
        <v/>
      </c>
      <c r="AQ248" s="21" t="str">
        <f>IF(AND('Atividades Micro'!$A293=AQ$2,'Atividades Micro'!$K293&lt;&gt;""),'Atividades Micro'!$K293,"")</f>
        <v/>
      </c>
      <c r="AR248" s="21" t="str">
        <f>IF(AND('Atividades Micro'!$A293=AR$2,'Atividades Micro'!$L293&lt;&gt;""),'Atividades Micro'!$L293,"")</f>
        <v/>
      </c>
      <c r="AS248" s="21" t="str">
        <f>IF(AND('Atividades Micro'!$B293=AS$2,'Atividades Micro'!$K293&lt;&gt;""),'Atividades Micro'!$K293,"")</f>
        <v/>
      </c>
      <c r="AT248" s="21" t="str">
        <f>IF(AND('Atividades Micro'!$B293=AT$2,'Atividades Micro'!$L293&lt;&gt;""),'Atividades Micro'!$L293,"")</f>
        <v/>
      </c>
      <c r="AU248" s="21" t="str">
        <f>IF(AND('Atividades Micro'!$A293=AU$2,'Atividades Micro'!$K293&lt;&gt;""),'Atividades Micro'!$K293,"")</f>
        <v/>
      </c>
      <c r="AV248" s="21" t="str">
        <f>IF(AND('Atividades Micro'!$A293=AV$2,'Atividades Micro'!$L293&lt;&gt;""),'Atividades Micro'!$L293,"")</f>
        <v/>
      </c>
      <c r="AW248" s="21" t="str">
        <f>IF(AND('Atividades Micro'!$B293=AW$2,'Atividades Micro'!$K293&lt;&gt;""),'Atividades Micro'!$K293,"")</f>
        <v/>
      </c>
      <c r="AX248" s="21" t="str">
        <f>IF(AND('Atividades Micro'!$B293=AX$2,'Atividades Micro'!$L293&lt;&gt;""),'Atividades Micro'!$L293,"")</f>
        <v/>
      </c>
      <c r="AY248" s="21" t="str">
        <f>IF(AND('Atividades Micro'!$A293=AY$2,'Atividades Micro'!$K293&lt;&gt;""),'Atividades Micro'!$K293,"")</f>
        <v/>
      </c>
      <c r="AZ248" s="21" t="str">
        <f>IF(AND('Atividades Micro'!$A293=AZ$2,'Atividades Micro'!$L293&lt;&gt;""),'Atividades Micro'!$L293,"")</f>
        <v/>
      </c>
      <c r="BA248" s="21" t="str">
        <f>IF(AND('Atividades Micro'!$B293=BA$2,'Atividades Micro'!$K293&lt;&gt;""),'Atividades Micro'!$K293,"")</f>
        <v/>
      </c>
      <c r="BB248" s="21" t="str">
        <f>IF(AND('Atividades Micro'!$B293=BB$2,'Atividades Micro'!$L293&lt;&gt;""),'Atividades Micro'!$L293,"")</f>
        <v/>
      </c>
      <c r="BC248" s="21" t="str">
        <f>IF(AND('Atividades Micro'!$B293=BC$2,'Atividades Micro'!$G293="Macro",'Atividades Micro'!$K293&lt;&gt;""),'Atividades Micro'!$K293,"")</f>
        <v/>
      </c>
      <c r="BD248" s="21" t="str">
        <f>IF(AND('Atividades Micro'!$B293=BD$2,'Atividades Micro'!$G293="Macro",'Atividades Micro'!$K293&lt;&gt;""),'Atividades Micro'!$K293,"")</f>
        <v/>
      </c>
      <c r="BE248" s="21" t="str">
        <f>IF(AND('Atividades Micro'!$B293=BE$2,'Atividades Micro'!$G293="Macro",'Atividades Micro'!$K293&lt;&gt;""),'Atividades Micro'!$K293,"")</f>
        <v/>
      </c>
      <c r="BF248" s="21" t="str">
        <f>IF(AND('Atividades Micro'!$B293=BF$2,'Atividades Micro'!$G293="Macro",'Atividades Micro'!$K293&lt;&gt;""),'Atividades Micro'!$K293,"")</f>
        <v/>
      </c>
      <c r="BG248" s="21" t="str">
        <f>IF(AND('Atividades Micro'!$B293=BG$2,'Atividades Micro'!$G293="Macro",'Atividades Micro'!$K293&lt;&gt;""),'Atividades Micro'!$K293,"")</f>
        <v/>
      </c>
      <c r="BH248" s="21" t="str">
        <f>IF(AND('Atividades Micro'!$B293=BH$2,'Atividades Micro'!$G293="Macro",'Atividades Micro'!$K293&lt;&gt;""),'Atividades Micro'!$K293,"")</f>
        <v/>
      </c>
      <c r="BI248" s="21" t="str">
        <f>IF(AND('Atividades Micro'!$B293=BI$2,'Atividades Micro'!$G293="Macro",'Atividades Micro'!$K293&lt;&gt;""),'Atividades Micro'!$K293,"")</f>
        <v/>
      </c>
      <c r="BJ248" s="21" t="str">
        <f>IF(AND('Atividades Micro'!$B293=BJ$2,'Atividades Micro'!$G293="Macro",'Atividades Micro'!$K293&lt;&gt;""),'Atividades Micro'!$K293,"")</f>
        <v/>
      </c>
      <c r="BK248" s="21" t="str">
        <f>IF(AND('Atividades Micro'!$B293=BK$2,'Atividades Micro'!$G293="Macro",'Atividades Micro'!$K293&lt;&gt;""),'Atividades Micro'!$K293,"")</f>
        <v/>
      </c>
      <c r="BL248" s="21" t="str">
        <f>IF(AND('Atividades Micro'!$B293=BL$2,'Atividades Micro'!$G293="Macro",'Atividades Micro'!$K293&lt;&gt;""),'Atividades Micro'!$K293,"")</f>
        <v/>
      </c>
      <c r="BM248" s="21" t="str">
        <f>IF(AND('Atividades Micro'!$B293=BM$2,'Atividades Micro'!$G293="Macro",'Atividades Micro'!$K293&lt;&gt;""),'Atividades Micro'!$K293,"")</f>
        <v/>
      </c>
      <c r="BN248" s="21" t="str">
        <f>IF(AND('Atividades Micro'!$B293=BN$2,'Atividades Micro'!$G293="Macro",'Atividades Micro'!$K293&lt;&gt;""),'Atividades Micro'!$K293,"")</f>
        <v/>
      </c>
      <c r="BO248" s="21" t="str">
        <f>IF(AND('Atividades Micro'!$B293=BO$2,'Atividades Micro'!$G293="Macro",'Atividades Micro'!$K293&lt;&gt;""),'Atividades Micro'!$K293,"")</f>
        <v/>
      </c>
      <c r="BP248" s="21" t="str">
        <f>IF(AND('Atividades Micro'!$B293=BP$2,'Atividades Micro'!$G293="Macro",'Atividades Micro'!$K293&lt;&gt;""),'Atividades Micro'!$K293,"")</f>
        <v/>
      </c>
      <c r="BQ248" s="21" t="str">
        <f>IF(AND('Atividades Micro'!$B293=BQ$2,'Atividades Micro'!$G293="Macro",'Atividades Micro'!$K293&lt;&gt;""),'Atividades Micro'!$K293,"")</f>
        <v/>
      </c>
      <c r="BR248" s="21" t="str">
        <f>IF(AND('Atividades Micro'!$B293=BR$2,'Atividades Micro'!$G293="Macro",'Atividades Micro'!$K293&lt;&gt;""),'Atividades Micro'!$K293,"")</f>
        <v/>
      </c>
      <c r="BS248" s="21" t="str">
        <f>IF(AND('Atividades Micro'!$B293=BS$2,'Atividades Micro'!$G293="Macro",'Atividades Micro'!$K293&lt;&gt;""),'Atividades Micro'!$K293,"")</f>
        <v/>
      </c>
      <c r="BT248" s="21" t="str">
        <f>IF(AND('Atividades Micro'!$B293=BT$2,'Atividades Micro'!$G293="Macro",'Atividades Micro'!$K293&lt;&gt;""),'Atividades Micro'!$K293,"")</f>
        <v/>
      </c>
      <c r="BU248" s="21" t="str">
        <f>IF(AND('Atividades Micro'!$B293=BU$2,'Atividades Micro'!$G293="Macro",'Atividades Micro'!$K293&lt;&gt;""),'Atividades Micro'!$K293,"")</f>
        <v/>
      </c>
      <c r="BV248" s="21" t="str">
        <f>IF(AND('Atividades Micro'!$B293=BV$2,'Atividades Micro'!$G293="Macro",'Atividades Micro'!$K293&lt;&gt;""),'Atividades Micro'!$K293,"")</f>
        <v/>
      </c>
      <c r="BW248" s="21" t="str">
        <f>IF(AND('Atividades Micro'!$B293=BW$2,'Atividades Micro'!$G293="Macro",'Atividades Micro'!$K293&lt;&gt;""),'Atividades Micro'!$K293,"")</f>
        <v/>
      </c>
      <c r="BX248" s="21" t="str">
        <f>IF(AND('Atividades Micro'!$B293=BX$2,'Atividades Micro'!$G293="Macro",'Atividades Micro'!$K293&lt;&gt;""),'Atividades Micro'!$K293,"")</f>
        <v/>
      </c>
      <c r="BY248" s="21" t="str">
        <f>IF(AND('Atividades Micro'!$B293=BY$2,'Atividades Micro'!$G293="Macro",'Atividades Micro'!$K293&lt;&gt;""),'Atividades Micro'!$K293,"")</f>
        <v/>
      </c>
      <c r="BZ248" s="21" t="str">
        <f>IF(AND('Atividades Micro'!$B293=BZ$2,'Atividades Micro'!$G293="Macro",'Atividades Micro'!$K293&lt;&gt;""),'Atividades Micro'!$K293,"")</f>
        <v/>
      </c>
      <c r="CA248" s="21" t="str">
        <f>IF(AND('Atividades Micro'!$B293=CA$2,'Atividades Micro'!$G293="Macro",'Atividades Micro'!$K293&lt;&gt;""),'Atividades Micro'!$K293,"")</f>
        <v/>
      </c>
      <c r="CB248" s="21" t="str">
        <f>IF(AND('Atividades Micro'!$B293=CB$2,'Atividades Micro'!$G293="Macro",'Atividades Micro'!$K293&lt;&gt;""),'Atividades Micro'!$K293,"")</f>
        <v/>
      </c>
      <c r="CC248" s="21" t="str">
        <f>IF(AND('Atividades Micro'!$B293=CC$2,'Atividades Micro'!$G293="Macro",'Atividades Micro'!$K293&lt;&gt;""),'Atividades Micro'!$K293,"")</f>
        <v/>
      </c>
      <c r="CD248" s="21" t="str">
        <f>IF(AND('Atividades Micro'!$B293=CD$2,'Atividades Micro'!$G293="Micro",'Atividades Micro'!$K293&lt;&gt;""),'Atividades Micro'!$K293,"")</f>
        <v/>
      </c>
      <c r="CE248" s="21" t="str">
        <f>IF(AND('Atividades Micro'!$B293=CE$2,'Atividades Micro'!$G293="Micro",'Atividades Micro'!$K293&lt;&gt;""),'Atividades Micro'!$K293,"")</f>
        <v/>
      </c>
      <c r="CF248" s="21" t="str">
        <f>IF(AND('Atividades Micro'!$B293=CF$2,'Atividades Micro'!$G293="Micro",'Atividades Micro'!$K293&lt;&gt;""),'Atividades Micro'!$K293,"")</f>
        <v/>
      </c>
      <c r="CG248" s="21" t="str">
        <f>IF(AND('Atividades Micro'!$B293=CG$2,'Atividades Micro'!$G293="Micro",'Atividades Micro'!$K293&lt;&gt;""),'Atividades Micro'!$K293,"")</f>
        <v/>
      </c>
      <c r="CH248" s="21" t="str">
        <f>IF(AND('Atividades Micro'!$B293=CH$2,'Atividades Micro'!$G293="Micro",'Atividades Micro'!$K293&lt;&gt;""),'Atividades Micro'!$K293,"")</f>
        <v/>
      </c>
      <c r="CI248" s="21" t="str">
        <f>IF(AND('Atividades Micro'!$B293=CI$2,'Atividades Micro'!$G293="Micro",'Atividades Micro'!$K293&lt;&gt;""),'Atividades Micro'!$K293,"")</f>
        <v/>
      </c>
      <c r="CJ248" s="21" t="str">
        <f>IF(AND('Atividades Micro'!$B293=CJ$2,'Atividades Micro'!$G293="Micro",'Atividades Micro'!$K293&lt;&gt;""),'Atividades Micro'!$K293,"")</f>
        <v/>
      </c>
      <c r="CK248" s="21" t="str">
        <f>IF(AND('Atividades Micro'!$B293=CK$2,'Atividades Micro'!$G293="Micro",'Atividades Micro'!$K293&lt;&gt;""),'Atividades Micro'!$K293,"")</f>
        <v/>
      </c>
      <c r="CL248" s="21" t="str">
        <f>IF(AND('Atividades Micro'!$B293=CL$2,'Atividades Micro'!$G293="Micro",'Atividades Micro'!$K293&lt;&gt;""),'Atividades Micro'!$K293,"")</f>
        <v/>
      </c>
      <c r="CM248" s="21" t="str">
        <f>IF(AND('Atividades Micro'!$B293=CM$2,'Atividades Micro'!$G293="Micro",'Atividades Micro'!$K293&lt;&gt;""),'Atividades Micro'!$K293,"")</f>
        <v/>
      </c>
      <c r="CN248" s="21" t="str">
        <f>IF(AND('Atividades Micro'!$B293=CN$2,'Atividades Micro'!$G293="Micro",'Atividades Micro'!$K293&lt;&gt;""),'Atividades Micro'!$K293,"")</f>
        <v/>
      </c>
      <c r="CO248" s="21" t="str">
        <f>IF(AND('Atividades Micro'!$B293=CO$2,'Atividades Micro'!$G293="Micro",'Atividades Micro'!$K293&lt;&gt;""),'Atividades Micro'!$K293,"")</f>
        <v/>
      </c>
    </row>
    <row r="249" spans="1:93">
      <c r="A249" s="21" t="str">
        <f>IF(AND('Atividades Micro'!$A294=A$2,'Atividades Micro'!$K294&lt;&gt;""),'Atividades Micro'!$K294,"")</f>
        <v/>
      </c>
      <c r="B249" s="21" t="str">
        <f>IF(AND('Atividades Micro'!$A294=B$2,'Atividades Micro'!$L294&lt;&gt;""),'Atividades Micro'!$L294,"")</f>
        <v/>
      </c>
      <c r="C249" s="21">
        <f>IF(AND('Atividades Micro'!$A294=C$2,'Atividades Micro'!$K294&lt;&gt;""),'Atividades Micro'!$K294,"")</f>
        <v>46248</v>
      </c>
      <c r="D249" s="21">
        <f>IF(AND('Atividades Micro'!$A294=D$2,'Atividades Micro'!$L294&lt;&gt;""),'Atividades Micro'!$L294,"")</f>
        <v>46283</v>
      </c>
      <c r="E249" s="21" t="str">
        <f>IF(AND('Atividades Micro'!$A294=E$2,'Atividades Micro'!$K294&lt;&gt;""),'Atividades Micro'!$K294,"")</f>
        <v/>
      </c>
      <c r="F249" s="21" t="str">
        <f>IF(AND('Atividades Micro'!$A294=F$2,'Atividades Micro'!$L294&lt;&gt;""),'Atividades Micro'!$L294,"")</f>
        <v/>
      </c>
      <c r="G249" s="21" t="str">
        <f>IF(AND('Atividades Micro'!$A294=G$2,'Atividades Micro'!$K294&lt;&gt;""),'Atividades Micro'!$K294,"")</f>
        <v/>
      </c>
      <c r="H249" s="21" t="str">
        <f>IF(AND('Atividades Micro'!$A294=H$2,'Atividades Micro'!$L294&lt;&gt;""),'Atividades Micro'!$L294,"")</f>
        <v/>
      </c>
      <c r="I249" s="21" t="str">
        <f>IF(AND('Atividades Micro'!$A294=I$2,'Atividades Micro'!$K294&lt;&gt;""),'Atividades Micro'!$K294,"")</f>
        <v/>
      </c>
      <c r="J249" s="21" t="str">
        <f>IF(AND('Atividades Micro'!$A294=J$2,'Atividades Micro'!$L294&lt;&gt;""),'Atividades Micro'!$L294,"")</f>
        <v/>
      </c>
      <c r="K249" s="21" t="str">
        <f>IF(AND('Atividades Micro'!$B294=K$2,'Atividades Micro'!$K294&lt;&gt;""),'Atividades Micro'!$K294,"")</f>
        <v/>
      </c>
      <c r="L249" s="21" t="str">
        <f>IF(AND('Atividades Micro'!$B294=L$2,'Atividades Micro'!$L294&lt;&gt;""),'Atividades Micro'!$L294,"")</f>
        <v/>
      </c>
      <c r="M249" s="21" t="str">
        <f>IF(AND('Atividades Micro'!$B294=M$2,'Atividades Micro'!$K294&lt;&gt;""),'Atividades Micro'!$K294,"")</f>
        <v/>
      </c>
      <c r="N249" s="21" t="str">
        <f>IF(AND('Atividades Micro'!$B294=N$2,'Atividades Micro'!$L294&lt;&gt;""),'Atividades Micro'!$L294,"")</f>
        <v/>
      </c>
      <c r="O249" s="21" t="str">
        <f>IF(AND('Atividades Micro'!$A294=O$2,'Atividades Micro'!$K294&lt;&gt;""),'Atividades Micro'!$K294,"")</f>
        <v/>
      </c>
      <c r="P249" s="21" t="str">
        <f>IF(AND('Atividades Micro'!$A294=P$2,'Atividades Micro'!$L294&lt;&gt;""),'Atividades Micro'!$L294,"")</f>
        <v/>
      </c>
      <c r="Q249" s="21" t="str">
        <f>IF(AND('Atividades Micro'!$B294=Q$2,'Atividades Micro'!$K294&lt;&gt;""),'Atividades Micro'!$K294,"")</f>
        <v/>
      </c>
      <c r="R249" s="21" t="str">
        <f>IF(AND('Atividades Micro'!$B294=R$2,'Atividades Micro'!$L294&lt;&gt;""),'Atividades Micro'!$L294,"")</f>
        <v/>
      </c>
      <c r="S249" s="21" t="str">
        <f>IF(AND('Atividades Micro'!$A294=S$2,'Atividades Micro'!$K294&lt;&gt;""),'Atividades Micro'!$K294,"")</f>
        <v/>
      </c>
      <c r="T249" s="21" t="str">
        <f>IF(AND('Atividades Micro'!$A294=T$2,'Atividades Micro'!$L294&lt;&gt;""),'Atividades Micro'!$L294,"")</f>
        <v/>
      </c>
      <c r="U249" s="21" t="str">
        <f>IF(AND('Atividades Micro'!$B294=U$2,'Atividades Micro'!$K294&lt;&gt;""),'Atividades Micro'!$K294,"")</f>
        <v/>
      </c>
      <c r="V249" s="21" t="str">
        <f>IF(AND('Atividades Micro'!$B294=V$2,'Atividades Micro'!$L294&lt;&gt;""),'Atividades Micro'!$L294,"")</f>
        <v/>
      </c>
      <c r="W249" s="21" t="str">
        <f>IF(AND('Atividades Micro'!$B294=W$2,'Atividades Micro'!$K294&lt;&gt;""),'Atividades Micro'!$K294,"")</f>
        <v/>
      </c>
      <c r="X249" s="21" t="str">
        <f>IF(AND('Atividades Micro'!$B294=X$2,'Atividades Micro'!$L294&lt;&gt;""),'Atividades Micro'!$L294,"")</f>
        <v/>
      </c>
      <c r="Y249" s="21" t="str">
        <f>IF(AND('Atividades Micro'!$A294=Y$2,'Atividades Micro'!$K294&lt;&gt;""),'Atividades Micro'!$K294,"")</f>
        <v/>
      </c>
      <c r="Z249" s="21" t="str">
        <f>IF(AND('Atividades Micro'!$A294=Z$2,'Atividades Micro'!$L294&lt;&gt;""),'Atividades Micro'!$L294,"")</f>
        <v/>
      </c>
      <c r="AA249" s="21" t="str">
        <f>IF(AND('Atividades Micro'!$B294=AA$2,'Atividades Micro'!$K294&lt;&gt;""),'Atividades Micro'!$K294,"")</f>
        <v/>
      </c>
      <c r="AB249" s="21" t="str">
        <f>IF(AND('Atividades Micro'!$B294=AB$2,'Atividades Micro'!$L294&lt;&gt;""),'Atividades Micro'!$L294,"")</f>
        <v/>
      </c>
      <c r="AC249" s="21" t="str">
        <f>IF(AND('Atividades Micro'!$B294=AC$2,'Atividades Micro'!$K294&lt;&gt;""),'Atividades Micro'!$K294,"")</f>
        <v/>
      </c>
      <c r="AD249" s="21" t="str">
        <f>IF(AND('Atividades Micro'!$B294=AD$2,'Atividades Micro'!$L294&lt;&gt;""),'Atividades Micro'!$L294,"")</f>
        <v/>
      </c>
      <c r="AE249" s="21" t="str">
        <f>IF(AND('Atividades Micro'!$A294=AE$2,'Atividades Micro'!$K294&lt;&gt;""),'Atividades Micro'!$K294,"")</f>
        <v/>
      </c>
      <c r="AF249" s="21" t="str">
        <f>IF(AND('Atividades Micro'!$A294=AF$2,'Atividades Micro'!$L294&lt;&gt;""),'Atividades Micro'!$L294,"")</f>
        <v/>
      </c>
      <c r="AG249" s="21" t="str">
        <f>IF(AND('Atividades Micro'!$B294=AG$2,'Atividades Micro'!$K294&lt;&gt;""),'Atividades Micro'!$K294,"")</f>
        <v/>
      </c>
      <c r="AH249" s="21" t="str">
        <f>IF(AND('Atividades Micro'!$B294=AH$2,'Atividades Micro'!$L294&lt;&gt;""),'Atividades Micro'!$L294,"")</f>
        <v/>
      </c>
      <c r="AI249" s="21" t="str">
        <f>IF(AND('Atividades Micro'!$B294=AI$2,'Atividades Micro'!$K294&lt;&gt;""),'Atividades Micro'!$K294,"")</f>
        <v/>
      </c>
      <c r="AJ249" s="21" t="str">
        <f>IF(AND('Atividades Micro'!$B294=AJ$2,'Atividades Micro'!$L294&lt;&gt;""),'Atividades Micro'!$L294,"")</f>
        <v/>
      </c>
      <c r="AK249" s="21" t="str">
        <f>IF(AND('Atividades Micro'!$A294=AK$2,'Atividades Micro'!$K294&lt;&gt;""),'Atividades Micro'!$K294,"")</f>
        <v/>
      </c>
      <c r="AL249" s="21" t="str">
        <f>IF(AND('Atividades Micro'!$A294=AL$2,'Atividades Micro'!$L294&lt;&gt;""),'Atividades Micro'!$L294,"")</f>
        <v/>
      </c>
      <c r="AM249" s="21" t="str">
        <f>IF(AND('Atividades Micro'!$B294=AM$2,'Atividades Micro'!$K294&lt;&gt;""),'Atividades Micro'!$K294,"")</f>
        <v/>
      </c>
      <c r="AN249" s="21" t="str">
        <f>IF(AND('Atividades Micro'!$B294=AN$2,'Atividades Micro'!$L294&lt;&gt;""),'Atividades Micro'!$L294,"")</f>
        <v/>
      </c>
      <c r="AO249" s="21" t="str">
        <f>IF(AND('Atividades Micro'!$B294=AO$2,'Atividades Micro'!$K294&lt;&gt;""),'Atividades Micro'!$K294,"")</f>
        <v/>
      </c>
      <c r="AP249" s="21" t="str">
        <f>IF(AND('Atividades Micro'!$B294=AP$2,'Atividades Micro'!$L294&lt;&gt;""),'Atividades Micro'!$L294,"")</f>
        <v/>
      </c>
      <c r="AQ249" s="21" t="str">
        <f>IF(AND('Atividades Micro'!$A294=AQ$2,'Atividades Micro'!$K294&lt;&gt;""),'Atividades Micro'!$K294,"")</f>
        <v/>
      </c>
      <c r="AR249" s="21" t="str">
        <f>IF(AND('Atividades Micro'!$A294=AR$2,'Atividades Micro'!$L294&lt;&gt;""),'Atividades Micro'!$L294,"")</f>
        <v/>
      </c>
      <c r="AS249" s="21" t="str">
        <f>IF(AND('Atividades Micro'!$B294=AS$2,'Atividades Micro'!$K294&lt;&gt;""),'Atividades Micro'!$K294,"")</f>
        <v/>
      </c>
      <c r="AT249" s="21" t="str">
        <f>IF(AND('Atividades Micro'!$B294=AT$2,'Atividades Micro'!$L294&lt;&gt;""),'Atividades Micro'!$L294,"")</f>
        <v/>
      </c>
      <c r="AU249" s="21" t="str">
        <f>IF(AND('Atividades Micro'!$A294=AU$2,'Atividades Micro'!$K294&lt;&gt;""),'Atividades Micro'!$K294,"")</f>
        <v/>
      </c>
      <c r="AV249" s="21" t="str">
        <f>IF(AND('Atividades Micro'!$A294=AV$2,'Atividades Micro'!$L294&lt;&gt;""),'Atividades Micro'!$L294,"")</f>
        <v/>
      </c>
      <c r="AW249" s="21" t="str">
        <f>IF(AND('Atividades Micro'!$B294=AW$2,'Atividades Micro'!$K294&lt;&gt;""),'Atividades Micro'!$K294,"")</f>
        <v/>
      </c>
      <c r="AX249" s="21" t="str">
        <f>IF(AND('Atividades Micro'!$B294=AX$2,'Atividades Micro'!$L294&lt;&gt;""),'Atividades Micro'!$L294,"")</f>
        <v/>
      </c>
      <c r="AY249" s="21" t="str">
        <f>IF(AND('Atividades Micro'!$A294=AY$2,'Atividades Micro'!$K294&lt;&gt;""),'Atividades Micro'!$K294,"")</f>
        <v/>
      </c>
      <c r="AZ249" s="21" t="str">
        <f>IF(AND('Atividades Micro'!$A294=AZ$2,'Atividades Micro'!$L294&lt;&gt;""),'Atividades Micro'!$L294,"")</f>
        <v/>
      </c>
      <c r="BA249" s="21" t="str">
        <f>IF(AND('Atividades Micro'!$B294=BA$2,'Atividades Micro'!$K294&lt;&gt;""),'Atividades Micro'!$K294,"")</f>
        <v/>
      </c>
      <c r="BB249" s="21" t="str">
        <f>IF(AND('Atividades Micro'!$B294=BB$2,'Atividades Micro'!$L294&lt;&gt;""),'Atividades Micro'!$L294,"")</f>
        <v/>
      </c>
      <c r="BC249" s="21" t="str">
        <f>IF(AND('Atividades Micro'!$B294=BC$2,'Atividades Micro'!$G294="Macro",'Atividades Micro'!$K294&lt;&gt;""),'Atividades Micro'!$K294,"")</f>
        <v/>
      </c>
      <c r="BD249" s="21" t="str">
        <f>IF(AND('Atividades Micro'!$B294=BD$2,'Atividades Micro'!$G294="Macro",'Atividades Micro'!$K294&lt;&gt;""),'Atividades Micro'!$K294,"")</f>
        <v/>
      </c>
      <c r="BE249" s="21" t="str">
        <f>IF(AND('Atividades Micro'!$B294=BE$2,'Atividades Micro'!$G294="Macro",'Atividades Micro'!$K294&lt;&gt;""),'Atividades Micro'!$K294,"")</f>
        <v/>
      </c>
      <c r="BF249" s="21" t="str">
        <f>IF(AND('Atividades Micro'!$B294=BF$2,'Atividades Micro'!$G294="Macro",'Atividades Micro'!$K294&lt;&gt;""),'Atividades Micro'!$K294,"")</f>
        <v/>
      </c>
      <c r="BG249" s="21" t="str">
        <f>IF(AND('Atividades Micro'!$B294=BG$2,'Atividades Micro'!$G294="Macro",'Atividades Micro'!$K294&lt;&gt;""),'Atividades Micro'!$K294,"")</f>
        <v/>
      </c>
      <c r="BH249" s="21" t="str">
        <f>IF(AND('Atividades Micro'!$B294=BH$2,'Atividades Micro'!$G294="Macro",'Atividades Micro'!$K294&lt;&gt;""),'Atividades Micro'!$K294,"")</f>
        <v/>
      </c>
      <c r="BI249" s="21" t="str">
        <f>IF(AND('Atividades Micro'!$B294=BI$2,'Atividades Micro'!$G294="Macro",'Atividades Micro'!$K294&lt;&gt;""),'Atividades Micro'!$K294,"")</f>
        <v/>
      </c>
      <c r="BJ249" s="21" t="str">
        <f>IF(AND('Atividades Micro'!$B294=BJ$2,'Atividades Micro'!$G294="Macro",'Atividades Micro'!$K294&lt;&gt;""),'Atividades Micro'!$K294,"")</f>
        <v/>
      </c>
      <c r="BK249" s="21" t="str">
        <f>IF(AND('Atividades Micro'!$B294=BK$2,'Atividades Micro'!$G294="Macro",'Atividades Micro'!$K294&lt;&gt;""),'Atividades Micro'!$K294,"")</f>
        <v/>
      </c>
      <c r="BL249" s="21" t="str">
        <f>IF(AND('Atividades Micro'!$B294=BL$2,'Atividades Micro'!$G294="Macro",'Atividades Micro'!$K294&lt;&gt;""),'Atividades Micro'!$K294,"")</f>
        <v/>
      </c>
      <c r="BM249" s="21" t="str">
        <f>IF(AND('Atividades Micro'!$B294=BM$2,'Atividades Micro'!$G294="Macro",'Atividades Micro'!$K294&lt;&gt;""),'Atividades Micro'!$K294,"")</f>
        <v/>
      </c>
      <c r="BN249" s="21" t="str">
        <f>IF(AND('Atividades Micro'!$B294=BN$2,'Atividades Micro'!$G294="Macro",'Atividades Micro'!$K294&lt;&gt;""),'Atividades Micro'!$K294,"")</f>
        <v/>
      </c>
      <c r="BO249" s="21" t="str">
        <f>IF(AND('Atividades Micro'!$B294=BO$2,'Atividades Micro'!$G294="Macro",'Atividades Micro'!$K294&lt;&gt;""),'Atividades Micro'!$K294,"")</f>
        <v/>
      </c>
      <c r="BP249" s="21" t="str">
        <f>IF(AND('Atividades Micro'!$B294=BP$2,'Atividades Micro'!$G294="Macro",'Atividades Micro'!$K294&lt;&gt;""),'Atividades Micro'!$K294,"")</f>
        <v/>
      </c>
      <c r="BQ249" s="21" t="str">
        <f>IF(AND('Atividades Micro'!$B294=BQ$2,'Atividades Micro'!$G294="Macro",'Atividades Micro'!$K294&lt;&gt;""),'Atividades Micro'!$K294,"")</f>
        <v/>
      </c>
      <c r="BR249" s="21" t="str">
        <f>IF(AND('Atividades Micro'!$B294=BR$2,'Atividades Micro'!$G294="Macro",'Atividades Micro'!$K294&lt;&gt;""),'Atividades Micro'!$K294,"")</f>
        <v/>
      </c>
      <c r="BS249" s="21" t="str">
        <f>IF(AND('Atividades Micro'!$B294=BS$2,'Atividades Micro'!$G294="Macro",'Atividades Micro'!$K294&lt;&gt;""),'Atividades Micro'!$K294,"")</f>
        <v/>
      </c>
      <c r="BT249" s="21" t="str">
        <f>IF(AND('Atividades Micro'!$B294=BT$2,'Atividades Micro'!$G294="Macro",'Atividades Micro'!$K294&lt;&gt;""),'Atividades Micro'!$K294,"")</f>
        <v/>
      </c>
      <c r="BU249" s="21" t="str">
        <f>IF(AND('Atividades Micro'!$B294=BU$2,'Atividades Micro'!$G294="Macro",'Atividades Micro'!$K294&lt;&gt;""),'Atividades Micro'!$K294,"")</f>
        <v/>
      </c>
      <c r="BV249" s="21" t="str">
        <f>IF(AND('Atividades Micro'!$B294=BV$2,'Atividades Micro'!$G294="Macro",'Atividades Micro'!$K294&lt;&gt;""),'Atividades Micro'!$K294,"")</f>
        <v/>
      </c>
      <c r="BW249" s="21" t="str">
        <f>IF(AND('Atividades Micro'!$B294=BW$2,'Atividades Micro'!$G294="Macro",'Atividades Micro'!$K294&lt;&gt;""),'Atividades Micro'!$K294,"")</f>
        <v/>
      </c>
      <c r="BX249" s="21" t="str">
        <f>IF(AND('Atividades Micro'!$B294=BX$2,'Atividades Micro'!$G294="Macro",'Atividades Micro'!$K294&lt;&gt;""),'Atividades Micro'!$K294,"")</f>
        <v/>
      </c>
      <c r="BY249" s="21" t="str">
        <f>IF(AND('Atividades Micro'!$B294=BY$2,'Atividades Micro'!$G294="Macro",'Atividades Micro'!$K294&lt;&gt;""),'Atividades Micro'!$K294,"")</f>
        <v/>
      </c>
      <c r="BZ249" s="21" t="str">
        <f>IF(AND('Atividades Micro'!$B294=BZ$2,'Atividades Micro'!$G294="Macro",'Atividades Micro'!$K294&lt;&gt;""),'Atividades Micro'!$K294,"")</f>
        <v/>
      </c>
      <c r="CA249" s="21" t="str">
        <f>IF(AND('Atividades Micro'!$B294=CA$2,'Atividades Micro'!$G294="Macro",'Atividades Micro'!$K294&lt;&gt;""),'Atividades Micro'!$K294,"")</f>
        <v/>
      </c>
      <c r="CB249" s="21" t="str">
        <f>IF(AND('Atividades Micro'!$B294=CB$2,'Atividades Micro'!$G294="Macro",'Atividades Micro'!$K294&lt;&gt;""),'Atividades Micro'!$K294,"")</f>
        <v/>
      </c>
      <c r="CC249" s="21" t="str">
        <f>IF(AND('Atividades Micro'!$B294=CC$2,'Atividades Micro'!$G294="Macro",'Atividades Micro'!$K294&lt;&gt;""),'Atividades Micro'!$K294,"")</f>
        <v/>
      </c>
      <c r="CD249" s="21" t="str">
        <f>IF(AND('Atividades Micro'!$B294=CD$2,'Atividades Micro'!$G294="Micro",'Atividades Micro'!$K294&lt;&gt;""),'Atividades Micro'!$K294,"")</f>
        <v/>
      </c>
      <c r="CE249" s="21" t="str">
        <f>IF(AND('Atividades Micro'!$B294=CE$2,'Atividades Micro'!$G294="Micro",'Atividades Micro'!$K294&lt;&gt;""),'Atividades Micro'!$K294,"")</f>
        <v/>
      </c>
      <c r="CF249" s="21" t="str">
        <f>IF(AND('Atividades Micro'!$B294=CF$2,'Atividades Micro'!$G294="Micro",'Atividades Micro'!$K294&lt;&gt;""),'Atividades Micro'!$K294,"")</f>
        <v/>
      </c>
      <c r="CG249" s="21" t="str">
        <f>IF(AND('Atividades Micro'!$B294=CG$2,'Atividades Micro'!$G294="Micro",'Atividades Micro'!$K294&lt;&gt;""),'Atividades Micro'!$K294,"")</f>
        <v/>
      </c>
      <c r="CH249" s="21" t="str">
        <f>IF(AND('Atividades Micro'!$B294=CH$2,'Atividades Micro'!$G294="Micro",'Atividades Micro'!$K294&lt;&gt;""),'Atividades Micro'!$K294,"")</f>
        <v/>
      </c>
      <c r="CI249" s="21" t="str">
        <f>IF(AND('Atividades Micro'!$B294=CI$2,'Atividades Micro'!$G294="Micro",'Atividades Micro'!$K294&lt;&gt;""),'Atividades Micro'!$K294,"")</f>
        <v/>
      </c>
      <c r="CJ249" s="21" t="str">
        <f>IF(AND('Atividades Micro'!$B294=CJ$2,'Atividades Micro'!$G294="Micro",'Atividades Micro'!$K294&lt;&gt;""),'Atividades Micro'!$K294,"")</f>
        <v/>
      </c>
      <c r="CK249" s="21" t="str">
        <f>IF(AND('Atividades Micro'!$B294=CK$2,'Atividades Micro'!$G294="Micro",'Atividades Micro'!$K294&lt;&gt;""),'Atividades Micro'!$K294,"")</f>
        <v/>
      </c>
      <c r="CL249" s="21" t="str">
        <f>IF(AND('Atividades Micro'!$B294=CL$2,'Atividades Micro'!$G294="Micro",'Atividades Micro'!$K294&lt;&gt;""),'Atividades Micro'!$K294,"")</f>
        <v/>
      </c>
      <c r="CM249" s="21" t="str">
        <f>IF(AND('Atividades Micro'!$B294=CM$2,'Atividades Micro'!$G294="Micro",'Atividades Micro'!$K294&lt;&gt;""),'Atividades Micro'!$K294,"")</f>
        <v/>
      </c>
      <c r="CN249" s="21" t="str">
        <f>IF(AND('Atividades Micro'!$B294=CN$2,'Atividades Micro'!$G294="Micro",'Atividades Micro'!$K294&lt;&gt;""),'Atividades Micro'!$K294,"")</f>
        <v/>
      </c>
      <c r="CO249" s="21" t="str">
        <f>IF(AND('Atividades Micro'!$B294=CO$2,'Atividades Micro'!$G294="Micro",'Atividades Micro'!$K294&lt;&gt;""),'Atividades Micro'!$K294,"")</f>
        <v/>
      </c>
    </row>
    <row r="250" spans="1:93">
      <c r="A250" s="21" t="str">
        <f>IF(AND('Atividades Micro'!$A296=A$2,'Atividades Micro'!$K296&lt;&gt;""),'Atividades Micro'!$K296,"")</f>
        <v/>
      </c>
      <c r="B250" s="21" t="str">
        <f>IF(AND('Atividades Micro'!$A296=B$2,'Atividades Micro'!$L296&lt;&gt;""),'Atividades Micro'!$L296,"")</f>
        <v/>
      </c>
      <c r="C250" s="21">
        <f>IF(AND('Atividades Micro'!$A296=C$2,'Atividades Micro'!$K296&lt;&gt;""),'Atividades Micro'!$K296,"")</f>
        <v>46328</v>
      </c>
      <c r="D250" s="21" t="str">
        <f>IF(AND('Atividades Micro'!$A296=D$2,'Atividades Micro'!$L296&lt;&gt;""),'Atividades Micro'!$L296,"")</f>
        <v/>
      </c>
      <c r="E250" s="21" t="str">
        <f>IF(AND('Atividades Micro'!$A296=E$2,'Atividades Micro'!$K296&lt;&gt;""),'Atividades Micro'!$K296,"")</f>
        <v/>
      </c>
      <c r="F250" s="21" t="str">
        <f>IF(AND('Atividades Micro'!$A296=F$2,'Atividades Micro'!$L296&lt;&gt;""),'Atividades Micro'!$L296,"")</f>
        <v/>
      </c>
      <c r="G250" s="21" t="str">
        <f>IF(AND('Atividades Micro'!$A296=G$2,'Atividades Micro'!$K296&lt;&gt;""),'Atividades Micro'!$K296,"")</f>
        <v/>
      </c>
      <c r="H250" s="21" t="str">
        <f>IF(AND('Atividades Micro'!$A296=H$2,'Atividades Micro'!$L296&lt;&gt;""),'Atividades Micro'!$L296,"")</f>
        <v/>
      </c>
      <c r="I250" s="21" t="str">
        <f>IF(AND('Atividades Micro'!$A296=I$2,'Atividades Micro'!$K296&lt;&gt;""),'Atividades Micro'!$K296,"")</f>
        <v/>
      </c>
      <c r="J250" s="21" t="str">
        <f>IF(AND('Atividades Micro'!$A296=J$2,'Atividades Micro'!$L296&lt;&gt;""),'Atividades Micro'!$L296,"")</f>
        <v/>
      </c>
      <c r="K250" s="21" t="str">
        <f>IF(AND('Atividades Micro'!$B296=K$2,'Atividades Micro'!$K296&lt;&gt;""),'Atividades Micro'!$K296,"")</f>
        <v/>
      </c>
      <c r="L250" s="21" t="str">
        <f>IF(AND('Atividades Micro'!$B296=L$2,'Atividades Micro'!$L296&lt;&gt;""),'Atividades Micro'!$L296,"")</f>
        <v/>
      </c>
      <c r="M250" s="21" t="str">
        <f>IF(AND('Atividades Micro'!$B296=M$2,'Atividades Micro'!$K296&lt;&gt;""),'Atividades Micro'!$K296,"")</f>
        <v/>
      </c>
      <c r="N250" s="21" t="str">
        <f>IF(AND('Atividades Micro'!$B296=N$2,'Atividades Micro'!$L296&lt;&gt;""),'Atividades Micro'!$L296,"")</f>
        <v/>
      </c>
      <c r="O250" s="21" t="str">
        <f>IF(AND('Atividades Micro'!$A296=O$2,'Atividades Micro'!$K296&lt;&gt;""),'Atividades Micro'!$K296,"")</f>
        <v/>
      </c>
      <c r="P250" s="21" t="str">
        <f>IF(AND('Atividades Micro'!$A296=P$2,'Atividades Micro'!$L296&lt;&gt;""),'Atividades Micro'!$L296,"")</f>
        <v/>
      </c>
      <c r="Q250" s="21" t="str">
        <f>IF(AND('Atividades Micro'!$B296=Q$2,'Atividades Micro'!$K296&lt;&gt;""),'Atividades Micro'!$K296,"")</f>
        <v/>
      </c>
      <c r="R250" s="21" t="str">
        <f>IF(AND('Atividades Micro'!$B296=R$2,'Atividades Micro'!$L296&lt;&gt;""),'Atividades Micro'!$L296,"")</f>
        <v/>
      </c>
      <c r="S250" s="21" t="str">
        <f>IF(AND('Atividades Micro'!$A296=S$2,'Atividades Micro'!$K296&lt;&gt;""),'Atividades Micro'!$K296,"")</f>
        <v/>
      </c>
      <c r="T250" s="21" t="str">
        <f>IF(AND('Atividades Micro'!$A296=T$2,'Atividades Micro'!$L296&lt;&gt;""),'Atividades Micro'!$L296,"")</f>
        <v/>
      </c>
      <c r="U250" s="21" t="str">
        <f>IF(AND('Atividades Micro'!$B296=U$2,'Atividades Micro'!$K296&lt;&gt;""),'Atividades Micro'!$K296,"")</f>
        <v/>
      </c>
      <c r="V250" s="21" t="str">
        <f>IF(AND('Atividades Micro'!$B296=V$2,'Atividades Micro'!$L296&lt;&gt;""),'Atividades Micro'!$L296,"")</f>
        <v/>
      </c>
      <c r="W250" s="21" t="str">
        <f>IF(AND('Atividades Micro'!$B296=W$2,'Atividades Micro'!$K296&lt;&gt;""),'Atividades Micro'!$K296,"")</f>
        <v/>
      </c>
      <c r="X250" s="21" t="str">
        <f>IF(AND('Atividades Micro'!$B296=X$2,'Atividades Micro'!$L296&lt;&gt;""),'Atividades Micro'!$L296,"")</f>
        <v/>
      </c>
      <c r="Y250" s="21" t="str">
        <f>IF(AND('Atividades Micro'!$A296=Y$2,'Atividades Micro'!$K296&lt;&gt;""),'Atividades Micro'!$K296,"")</f>
        <v/>
      </c>
      <c r="Z250" s="21" t="str">
        <f>IF(AND('Atividades Micro'!$A296=Z$2,'Atividades Micro'!$L296&lt;&gt;""),'Atividades Micro'!$L296,"")</f>
        <v/>
      </c>
      <c r="AA250" s="21" t="str">
        <f>IF(AND('Atividades Micro'!$B296=AA$2,'Atividades Micro'!$K296&lt;&gt;""),'Atividades Micro'!$K296,"")</f>
        <v/>
      </c>
      <c r="AB250" s="21" t="str">
        <f>IF(AND('Atividades Micro'!$B296=AB$2,'Atividades Micro'!$L296&lt;&gt;""),'Atividades Micro'!$L296,"")</f>
        <v/>
      </c>
      <c r="AC250" s="21" t="str">
        <f>IF(AND('Atividades Micro'!$B296=AC$2,'Atividades Micro'!$K296&lt;&gt;""),'Atividades Micro'!$K296,"")</f>
        <v/>
      </c>
      <c r="AD250" s="21" t="str">
        <f>IF(AND('Atividades Micro'!$B296=AD$2,'Atividades Micro'!$L296&lt;&gt;""),'Atividades Micro'!$L296,"")</f>
        <v/>
      </c>
      <c r="AE250" s="21" t="str">
        <f>IF(AND('Atividades Micro'!$A296=AE$2,'Atividades Micro'!$K296&lt;&gt;""),'Atividades Micro'!$K296,"")</f>
        <v/>
      </c>
      <c r="AF250" s="21" t="str">
        <f>IF(AND('Atividades Micro'!$A296=AF$2,'Atividades Micro'!$L296&lt;&gt;""),'Atividades Micro'!$L296,"")</f>
        <v/>
      </c>
      <c r="AG250" s="21" t="str">
        <f>IF(AND('Atividades Micro'!$B296=AG$2,'Atividades Micro'!$K296&lt;&gt;""),'Atividades Micro'!$K296,"")</f>
        <v/>
      </c>
      <c r="AH250" s="21" t="str">
        <f>IF(AND('Atividades Micro'!$B296=AH$2,'Atividades Micro'!$L296&lt;&gt;""),'Atividades Micro'!$L296,"")</f>
        <v/>
      </c>
      <c r="AI250" s="21" t="str">
        <f>IF(AND('Atividades Micro'!$B296=AI$2,'Atividades Micro'!$K296&lt;&gt;""),'Atividades Micro'!$K296,"")</f>
        <v/>
      </c>
      <c r="AJ250" s="21" t="str">
        <f>IF(AND('Atividades Micro'!$B296=AJ$2,'Atividades Micro'!$L296&lt;&gt;""),'Atividades Micro'!$L296,"")</f>
        <v/>
      </c>
      <c r="AK250" s="21" t="str">
        <f>IF(AND('Atividades Micro'!$A296=AK$2,'Atividades Micro'!$K296&lt;&gt;""),'Atividades Micro'!$K296,"")</f>
        <v/>
      </c>
      <c r="AL250" s="21" t="str">
        <f>IF(AND('Atividades Micro'!$A296=AL$2,'Atividades Micro'!$L296&lt;&gt;""),'Atividades Micro'!$L296,"")</f>
        <v/>
      </c>
      <c r="AM250" s="21" t="str">
        <f>IF(AND('Atividades Micro'!$B296=AM$2,'Atividades Micro'!$K296&lt;&gt;""),'Atividades Micro'!$K296,"")</f>
        <v/>
      </c>
      <c r="AN250" s="21" t="str">
        <f>IF(AND('Atividades Micro'!$B296=AN$2,'Atividades Micro'!$L296&lt;&gt;""),'Atividades Micro'!$L296,"")</f>
        <v/>
      </c>
      <c r="AO250" s="21" t="str">
        <f>IF(AND('Atividades Micro'!$B296=AO$2,'Atividades Micro'!$K296&lt;&gt;""),'Atividades Micro'!$K296,"")</f>
        <v/>
      </c>
      <c r="AP250" s="21" t="str">
        <f>IF(AND('Atividades Micro'!$B296=AP$2,'Atividades Micro'!$L296&lt;&gt;""),'Atividades Micro'!$L296,"")</f>
        <v/>
      </c>
      <c r="AQ250" s="21" t="str">
        <f>IF(AND('Atividades Micro'!$A296=AQ$2,'Atividades Micro'!$K296&lt;&gt;""),'Atividades Micro'!$K296,"")</f>
        <v/>
      </c>
      <c r="AR250" s="21" t="str">
        <f>IF(AND('Atividades Micro'!$A296=AR$2,'Atividades Micro'!$L296&lt;&gt;""),'Atividades Micro'!$L296,"")</f>
        <v/>
      </c>
      <c r="AS250" s="21" t="str">
        <f>IF(AND('Atividades Micro'!$B296=AS$2,'Atividades Micro'!$K296&lt;&gt;""),'Atividades Micro'!$K296,"")</f>
        <v/>
      </c>
      <c r="AT250" s="21" t="str">
        <f>IF(AND('Atividades Micro'!$B296=AT$2,'Atividades Micro'!$L296&lt;&gt;""),'Atividades Micro'!$L296,"")</f>
        <v/>
      </c>
      <c r="AU250" s="21" t="str">
        <f>IF(AND('Atividades Micro'!$A296=AU$2,'Atividades Micro'!$K296&lt;&gt;""),'Atividades Micro'!$K296,"")</f>
        <v/>
      </c>
      <c r="AV250" s="21" t="str">
        <f>IF(AND('Atividades Micro'!$A296=AV$2,'Atividades Micro'!$L296&lt;&gt;""),'Atividades Micro'!$L296,"")</f>
        <v/>
      </c>
      <c r="AW250" s="21" t="str">
        <f>IF(AND('Atividades Micro'!$B296=AW$2,'Atividades Micro'!$K296&lt;&gt;""),'Atividades Micro'!$K296,"")</f>
        <v/>
      </c>
      <c r="AX250" s="21" t="str">
        <f>IF(AND('Atividades Micro'!$B296=AX$2,'Atividades Micro'!$L296&lt;&gt;""),'Atividades Micro'!$L296,"")</f>
        <v/>
      </c>
      <c r="AY250" s="21" t="str">
        <f>IF(AND('Atividades Micro'!$A296=AY$2,'Atividades Micro'!$K296&lt;&gt;""),'Atividades Micro'!$K296,"")</f>
        <v/>
      </c>
      <c r="AZ250" s="21" t="str">
        <f>IF(AND('Atividades Micro'!$A296=AZ$2,'Atividades Micro'!$L296&lt;&gt;""),'Atividades Micro'!$L296,"")</f>
        <v/>
      </c>
      <c r="BA250" s="21" t="str">
        <f>IF(AND('Atividades Micro'!$B296=BA$2,'Atividades Micro'!$K296&lt;&gt;""),'Atividades Micro'!$K296,"")</f>
        <v/>
      </c>
      <c r="BB250" s="21" t="str">
        <f>IF(AND('Atividades Micro'!$B296=BB$2,'Atividades Micro'!$L296&lt;&gt;""),'Atividades Micro'!$L296,"")</f>
        <v/>
      </c>
      <c r="BC250" s="21" t="str">
        <f>IF(AND('Atividades Micro'!$B296=BC$2,'Atividades Micro'!$G296="Macro",'Atividades Micro'!$K296&lt;&gt;""),'Atividades Micro'!$K296,"")</f>
        <v/>
      </c>
      <c r="BD250" s="21" t="str">
        <f>IF(AND('Atividades Micro'!$B296=BD$2,'Atividades Micro'!$G296="Macro",'Atividades Micro'!$K296&lt;&gt;""),'Atividades Micro'!$K296,"")</f>
        <v/>
      </c>
      <c r="BE250" s="21" t="str">
        <f>IF(AND('Atividades Micro'!$B296=BE$2,'Atividades Micro'!$G296="Macro",'Atividades Micro'!$K296&lt;&gt;""),'Atividades Micro'!$K296,"")</f>
        <v/>
      </c>
      <c r="BF250" s="21" t="str">
        <f>IF(AND('Atividades Micro'!$B296=BF$2,'Atividades Micro'!$G296="Macro",'Atividades Micro'!$K296&lt;&gt;""),'Atividades Micro'!$K296,"")</f>
        <v/>
      </c>
      <c r="BG250" s="21" t="str">
        <f>IF(AND('Atividades Micro'!$B296=BG$2,'Atividades Micro'!$G296="Macro",'Atividades Micro'!$K296&lt;&gt;""),'Atividades Micro'!$K296,"")</f>
        <v/>
      </c>
      <c r="BH250" s="21" t="str">
        <f>IF(AND('Atividades Micro'!$B296=BH$2,'Atividades Micro'!$G296="Macro",'Atividades Micro'!$K296&lt;&gt;""),'Atividades Micro'!$K296,"")</f>
        <v/>
      </c>
      <c r="BI250" s="21" t="str">
        <f>IF(AND('Atividades Micro'!$B296=BI$2,'Atividades Micro'!$G296="Macro",'Atividades Micro'!$K296&lt;&gt;""),'Atividades Micro'!$K296,"")</f>
        <v/>
      </c>
      <c r="BJ250" s="21" t="str">
        <f>IF(AND('Atividades Micro'!$B296=BJ$2,'Atividades Micro'!$G296="Macro",'Atividades Micro'!$K296&lt;&gt;""),'Atividades Micro'!$K296,"")</f>
        <v/>
      </c>
      <c r="BK250" s="21" t="str">
        <f>IF(AND('Atividades Micro'!$B296=BK$2,'Atividades Micro'!$G296="Macro",'Atividades Micro'!$K296&lt;&gt;""),'Atividades Micro'!$K296,"")</f>
        <v/>
      </c>
      <c r="BL250" s="21" t="str">
        <f>IF(AND('Atividades Micro'!$B296=BL$2,'Atividades Micro'!$G296="Macro",'Atividades Micro'!$K296&lt;&gt;""),'Atividades Micro'!$K296,"")</f>
        <v/>
      </c>
      <c r="BM250" s="21" t="str">
        <f>IF(AND('Atividades Micro'!$B296=BM$2,'Atividades Micro'!$G296="Macro",'Atividades Micro'!$K296&lt;&gt;""),'Atividades Micro'!$K296,"")</f>
        <v/>
      </c>
      <c r="BN250" s="21" t="str">
        <f>IF(AND('Atividades Micro'!$B296=BN$2,'Atividades Micro'!$G296="Macro",'Atividades Micro'!$K296&lt;&gt;""),'Atividades Micro'!$K296,"")</f>
        <v/>
      </c>
      <c r="BO250" s="21" t="str">
        <f>IF(AND('Atividades Micro'!$B296=BO$2,'Atividades Micro'!$G296="Macro",'Atividades Micro'!$K296&lt;&gt;""),'Atividades Micro'!$K296,"")</f>
        <v/>
      </c>
      <c r="BP250" s="21" t="str">
        <f>IF(AND('Atividades Micro'!$B296=BP$2,'Atividades Micro'!$G296="Macro",'Atividades Micro'!$K296&lt;&gt;""),'Atividades Micro'!$K296,"")</f>
        <v/>
      </c>
      <c r="BQ250" s="21" t="str">
        <f>IF(AND('Atividades Micro'!$B296=BQ$2,'Atividades Micro'!$G296="Macro",'Atividades Micro'!$K296&lt;&gt;""),'Atividades Micro'!$K296,"")</f>
        <v/>
      </c>
      <c r="BR250" s="21" t="str">
        <f>IF(AND('Atividades Micro'!$B296=BR$2,'Atividades Micro'!$G296="Macro",'Atividades Micro'!$K296&lt;&gt;""),'Atividades Micro'!$K296,"")</f>
        <v/>
      </c>
      <c r="BS250" s="21" t="str">
        <f>IF(AND('Atividades Micro'!$B296=BS$2,'Atividades Micro'!$G296="Macro",'Atividades Micro'!$K296&lt;&gt;""),'Atividades Micro'!$K296,"")</f>
        <v/>
      </c>
      <c r="BT250" s="21" t="str">
        <f>IF(AND('Atividades Micro'!$B296=BT$2,'Atividades Micro'!$G296="Macro",'Atividades Micro'!$K296&lt;&gt;""),'Atividades Micro'!$K296,"")</f>
        <v/>
      </c>
      <c r="BU250" s="21" t="str">
        <f>IF(AND('Atividades Micro'!$B296=BU$2,'Atividades Micro'!$G296="Macro",'Atividades Micro'!$K296&lt;&gt;""),'Atividades Micro'!$K296,"")</f>
        <v/>
      </c>
      <c r="BV250" s="21" t="str">
        <f>IF(AND('Atividades Micro'!$B296=BV$2,'Atividades Micro'!$G296="Macro",'Atividades Micro'!$K296&lt;&gt;""),'Atividades Micro'!$K296,"")</f>
        <v/>
      </c>
      <c r="BW250" s="21" t="str">
        <f>IF(AND('Atividades Micro'!$B296=BW$2,'Atividades Micro'!$G296="Macro",'Atividades Micro'!$K296&lt;&gt;""),'Atividades Micro'!$K296,"")</f>
        <v/>
      </c>
      <c r="BX250" s="21" t="str">
        <f>IF(AND('Atividades Micro'!$B296=BX$2,'Atividades Micro'!$G296="Macro",'Atividades Micro'!$K296&lt;&gt;""),'Atividades Micro'!$K296,"")</f>
        <v/>
      </c>
      <c r="BY250" s="21" t="str">
        <f>IF(AND('Atividades Micro'!$B296=BY$2,'Atividades Micro'!$G296="Macro",'Atividades Micro'!$K296&lt;&gt;""),'Atividades Micro'!$K296,"")</f>
        <v/>
      </c>
      <c r="BZ250" s="21" t="str">
        <f>IF(AND('Atividades Micro'!$B296=BZ$2,'Atividades Micro'!$G296="Macro",'Atividades Micro'!$K296&lt;&gt;""),'Atividades Micro'!$K296,"")</f>
        <v/>
      </c>
      <c r="CA250" s="21" t="str">
        <f>IF(AND('Atividades Micro'!$B296=CA$2,'Atividades Micro'!$G296="Macro",'Atividades Micro'!$K296&lt;&gt;""),'Atividades Micro'!$K296,"")</f>
        <v/>
      </c>
      <c r="CB250" s="21" t="str">
        <f>IF(AND('Atividades Micro'!$B296=CB$2,'Atividades Micro'!$G296="Macro",'Atividades Micro'!$K296&lt;&gt;""),'Atividades Micro'!$K296,"")</f>
        <v/>
      </c>
      <c r="CC250" s="21" t="str">
        <f>IF(AND('Atividades Micro'!$B296=CC$2,'Atividades Micro'!$G296="Macro",'Atividades Micro'!$K296&lt;&gt;""),'Atividades Micro'!$K296,"")</f>
        <v/>
      </c>
      <c r="CD250" s="21" t="str">
        <f>IF(AND('Atividades Micro'!$B296=CD$2,'Atividades Micro'!$G296="Micro",'Atividades Micro'!$K296&lt;&gt;""),'Atividades Micro'!$K296,"")</f>
        <v/>
      </c>
      <c r="CE250" s="21" t="str">
        <f>IF(AND('Atividades Micro'!$B296=CE$2,'Atividades Micro'!$G296="Micro",'Atividades Micro'!$K296&lt;&gt;""),'Atividades Micro'!$K296,"")</f>
        <v/>
      </c>
      <c r="CF250" s="21" t="str">
        <f>IF(AND('Atividades Micro'!$B296=CF$2,'Atividades Micro'!$G296="Micro",'Atividades Micro'!$K296&lt;&gt;""),'Atividades Micro'!$K296,"")</f>
        <v/>
      </c>
      <c r="CG250" s="21" t="str">
        <f>IF(AND('Atividades Micro'!$B296=CG$2,'Atividades Micro'!$G296="Micro",'Atividades Micro'!$K296&lt;&gt;""),'Atividades Micro'!$K296,"")</f>
        <v/>
      </c>
      <c r="CH250" s="21" t="str">
        <f>IF(AND('Atividades Micro'!$B296=CH$2,'Atividades Micro'!$G296="Micro",'Atividades Micro'!$K296&lt;&gt;""),'Atividades Micro'!$K296,"")</f>
        <v/>
      </c>
      <c r="CI250" s="21" t="str">
        <f>IF(AND('Atividades Micro'!$B296=CI$2,'Atividades Micro'!$G296="Micro",'Atividades Micro'!$K296&lt;&gt;""),'Atividades Micro'!$K296,"")</f>
        <v/>
      </c>
      <c r="CJ250" s="21" t="str">
        <f>IF(AND('Atividades Micro'!$B296=CJ$2,'Atividades Micro'!$G296="Micro",'Atividades Micro'!$K296&lt;&gt;""),'Atividades Micro'!$K296,"")</f>
        <v/>
      </c>
      <c r="CK250" s="21" t="str">
        <f>IF(AND('Atividades Micro'!$B296=CK$2,'Atividades Micro'!$G296="Micro",'Atividades Micro'!$K296&lt;&gt;""),'Atividades Micro'!$K296,"")</f>
        <v/>
      </c>
      <c r="CL250" s="21" t="str">
        <f>IF(AND('Atividades Micro'!$B296=CL$2,'Atividades Micro'!$G296="Micro",'Atividades Micro'!$K296&lt;&gt;""),'Atividades Micro'!$K296,"")</f>
        <v/>
      </c>
      <c r="CM250" s="21" t="str">
        <f>IF(AND('Atividades Micro'!$B296=CM$2,'Atividades Micro'!$G296="Micro",'Atividades Micro'!$K296&lt;&gt;""),'Atividades Micro'!$K296,"")</f>
        <v/>
      </c>
      <c r="CN250" s="21" t="str">
        <f>IF(AND('Atividades Micro'!$B296=CN$2,'Atividades Micro'!$G296="Micro",'Atividades Micro'!$K296&lt;&gt;""),'Atividades Micro'!$K296,"")</f>
        <v/>
      </c>
      <c r="CO250" s="21" t="str">
        <f>IF(AND('Atividades Micro'!$B296=CO$2,'Atividades Micro'!$G296="Micro",'Atividades Micro'!$K296&lt;&gt;""),'Atividades Micro'!$K296,"")</f>
        <v/>
      </c>
    </row>
    <row r="251" spans="1:93">
      <c r="A251" s="21" t="str">
        <f>IF(AND('Atividades Micro'!$A298=A$2,'Atividades Micro'!$K298&lt;&gt;""),'Atividades Micro'!$K298,"")</f>
        <v/>
      </c>
      <c r="B251" s="21" t="str">
        <f>IF(AND('Atividades Micro'!$A298=B$2,'Atividades Micro'!$L298&lt;&gt;""),'Atividades Micro'!$L298,"")</f>
        <v/>
      </c>
      <c r="C251" s="21">
        <f>IF(AND('Atividades Micro'!$A298=C$2,'Atividades Micro'!$K298&lt;&gt;""),'Atividades Micro'!$K298,"")</f>
        <v>46370</v>
      </c>
      <c r="D251" s="21" t="str">
        <f>IF(AND('Atividades Micro'!$A298=D$2,'Atividades Micro'!$L298&lt;&gt;""),'Atividades Micro'!$L298,"")</f>
        <v/>
      </c>
      <c r="E251" s="21" t="str">
        <f>IF(AND('Atividades Micro'!$A298=E$2,'Atividades Micro'!$K298&lt;&gt;""),'Atividades Micro'!$K298,"")</f>
        <v/>
      </c>
      <c r="F251" s="21" t="str">
        <f>IF(AND('Atividades Micro'!$A298=F$2,'Atividades Micro'!$L298&lt;&gt;""),'Atividades Micro'!$L298,"")</f>
        <v/>
      </c>
      <c r="G251" s="21" t="str">
        <f>IF(AND('Atividades Micro'!$A298=G$2,'Atividades Micro'!$K298&lt;&gt;""),'Atividades Micro'!$K298,"")</f>
        <v/>
      </c>
      <c r="H251" s="21" t="str">
        <f>IF(AND('Atividades Micro'!$A298=H$2,'Atividades Micro'!$L298&lt;&gt;""),'Atividades Micro'!$L298,"")</f>
        <v/>
      </c>
      <c r="I251" s="21" t="str">
        <f>IF(AND('Atividades Micro'!$A298=I$2,'Atividades Micro'!$K298&lt;&gt;""),'Atividades Micro'!$K298,"")</f>
        <v/>
      </c>
      <c r="J251" s="21" t="str">
        <f>IF(AND('Atividades Micro'!$A298=J$2,'Atividades Micro'!$L298&lt;&gt;""),'Atividades Micro'!$L298,"")</f>
        <v/>
      </c>
      <c r="K251" s="21" t="str">
        <f>IF(AND('Atividades Micro'!$B298=K$2,'Atividades Micro'!$K298&lt;&gt;""),'Atividades Micro'!$K298,"")</f>
        <v/>
      </c>
      <c r="L251" s="21" t="str">
        <f>IF(AND('Atividades Micro'!$B298=L$2,'Atividades Micro'!$L298&lt;&gt;""),'Atividades Micro'!$L298,"")</f>
        <v/>
      </c>
      <c r="M251" s="21" t="str">
        <f>IF(AND('Atividades Micro'!$B298=M$2,'Atividades Micro'!$K298&lt;&gt;""),'Atividades Micro'!$K298,"")</f>
        <v/>
      </c>
      <c r="N251" s="21" t="str">
        <f>IF(AND('Atividades Micro'!$B298=N$2,'Atividades Micro'!$L298&lt;&gt;""),'Atividades Micro'!$L298,"")</f>
        <v/>
      </c>
      <c r="O251" s="21" t="str">
        <f>IF(AND('Atividades Micro'!$A298=O$2,'Atividades Micro'!$K298&lt;&gt;""),'Atividades Micro'!$K298,"")</f>
        <v/>
      </c>
      <c r="P251" s="21" t="str">
        <f>IF(AND('Atividades Micro'!$A298=P$2,'Atividades Micro'!$L298&lt;&gt;""),'Atividades Micro'!$L298,"")</f>
        <v/>
      </c>
      <c r="Q251" s="21" t="str">
        <f>IF(AND('Atividades Micro'!$B298=Q$2,'Atividades Micro'!$K298&lt;&gt;""),'Atividades Micro'!$K298,"")</f>
        <v/>
      </c>
      <c r="R251" s="21" t="str">
        <f>IF(AND('Atividades Micro'!$B298=R$2,'Atividades Micro'!$L298&lt;&gt;""),'Atividades Micro'!$L298,"")</f>
        <v/>
      </c>
      <c r="S251" s="21" t="str">
        <f>IF(AND('Atividades Micro'!$A298=S$2,'Atividades Micro'!$K298&lt;&gt;""),'Atividades Micro'!$K298,"")</f>
        <v/>
      </c>
      <c r="T251" s="21" t="str">
        <f>IF(AND('Atividades Micro'!$A298=T$2,'Atividades Micro'!$L298&lt;&gt;""),'Atividades Micro'!$L298,"")</f>
        <v/>
      </c>
      <c r="U251" s="21" t="str">
        <f>IF(AND('Atividades Micro'!$B298=U$2,'Atividades Micro'!$K298&lt;&gt;""),'Atividades Micro'!$K298,"")</f>
        <v/>
      </c>
      <c r="V251" s="21" t="str">
        <f>IF(AND('Atividades Micro'!$B298=V$2,'Atividades Micro'!$L298&lt;&gt;""),'Atividades Micro'!$L298,"")</f>
        <v/>
      </c>
      <c r="W251" s="21" t="str">
        <f>IF(AND('Atividades Micro'!$B298=W$2,'Atividades Micro'!$K298&lt;&gt;""),'Atividades Micro'!$K298,"")</f>
        <v/>
      </c>
      <c r="X251" s="21" t="str">
        <f>IF(AND('Atividades Micro'!$B298=X$2,'Atividades Micro'!$L298&lt;&gt;""),'Atividades Micro'!$L298,"")</f>
        <v/>
      </c>
      <c r="Y251" s="21" t="str">
        <f>IF(AND('Atividades Micro'!$A298=Y$2,'Atividades Micro'!$K298&lt;&gt;""),'Atividades Micro'!$K298,"")</f>
        <v/>
      </c>
      <c r="Z251" s="21" t="str">
        <f>IF(AND('Atividades Micro'!$A298=Z$2,'Atividades Micro'!$L298&lt;&gt;""),'Atividades Micro'!$L298,"")</f>
        <v/>
      </c>
      <c r="AA251" s="21" t="str">
        <f>IF(AND('Atividades Micro'!$B298=AA$2,'Atividades Micro'!$K298&lt;&gt;""),'Atividades Micro'!$K298,"")</f>
        <v/>
      </c>
      <c r="AB251" s="21" t="str">
        <f>IF(AND('Atividades Micro'!$B298=AB$2,'Atividades Micro'!$L298&lt;&gt;""),'Atividades Micro'!$L298,"")</f>
        <v/>
      </c>
      <c r="AC251" s="21" t="str">
        <f>IF(AND('Atividades Micro'!$B298=AC$2,'Atividades Micro'!$K298&lt;&gt;""),'Atividades Micro'!$K298,"")</f>
        <v/>
      </c>
      <c r="AD251" s="21" t="str">
        <f>IF(AND('Atividades Micro'!$B298=AD$2,'Atividades Micro'!$L298&lt;&gt;""),'Atividades Micro'!$L298,"")</f>
        <v/>
      </c>
      <c r="AE251" s="21" t="str">
        <f>IF(AND('Atividades Micro'!$A298=AE$2,'Atividades Micro'!$K298&lt;&gt;""),'Atividades Micro'!$K298,"")</f>
        <v/>
      </c>
      <c r="AF251" s="21" t="str">
        <f>IF(AND('Atividades Micro'!$A298=AF$2,'Atividades Micro'!$L298&lt;&gt;""),'Atividades Micro'!$L298,"")</f>
        <v/>
      </c>
      <c r="AG251" s="21" t="str">
        <f>IF(AND('Atividades Micro'!$B298=AG$2,'Atividades Micro'!$K298&lt;&gt;""),'Atividades Micro'!$K298,"")</f>
        <v/>
      </c>
      <c r="AH251" s="21" t="str">
        <f>IF(AND('Atividades Micro'!$B298=AH$2,'Atividades Micro'!$L298&lt;&gt;""),'Atividades Micro'!$L298,"")</f>
        <v/>
      </c>
      <c r="AI251" s="21" t="str">
        <f>IF(AND('Atividades Micro'!$B298=AI$2,'Atividades Micro'!$K298&lt;&gt;""),'Atividades Micro'!$K298,"")</f>
        <v/>
      </c>
      <c r="AJ251" s="21" t="str">
        <f>IF(AND('Atividades Micro'!$B298=AJ$2,'Atividades Micro'!$L298&lt;&gt;""),'Atividades Micro'!$L298,"")</f>
        <v/>
      </c>
      <c r="AK251" s="21" t="str">
        <f>IF(AND('Atividades Micro'!$A298=AK$2,'Atividades Micro'!$K298&lt;&gt;""),'Atividades Micro'!$K298,"")</f>
        <v/>
      </c>
      <c r="AL251" s="21" t="str">
        <f>IF(AND('Atividades Micro'!$A298=AL$2,'Atividades Micro'!$L298&lt;&gt;""),'Atividades Micro'!$L298,"")</f>
        <v/>
      </c>
      <c r="AM251" s="21" t="str">
        <f>IF(AND('Atividades Micro'!$B298=AM$2,'Atividades Micro'!$K298&lt;&gt;""),'Atividades Micro'!$K298,"")</f>
        <v/>
      </c>
      <c r="AN251" s="21" t="str">
        <f>IF(AND('Atividades Micro'!$B298=AN$2,'Atividades Micro'!$L298&lt;&gt;""),'Atividades Micro'!$L298,"")</f>
        <v/>
      </c>
      <c r="AO251" s="21" t="str">
        <f>IF(AND('Atividades Micro'!$B298=AO$2,'Atividades Micro'!$K298&lt;&gt;""),'Atividades Micro'!$K298,"")</f>
        <v/>
      </c>
      <c r="AP251" s="21" t="str">
        <f>IF(AND('Atividades Micro'!$B298=AP$2,'Atividades Micro'!$L298&lt;&gt;""),'Atividades Micro'!$L298,"")</f>
        <v/>
      </c>
      <c r="AQ251" s="21" t="str">
        <f>IF(AND('Atividades Micro'!$A298=AQ$2,'Atividades Micro'!$K298&lt;&gt;""),'Atividades Micro'!$K298,"")</f>
        <v/>
      </c>
      <c r="AR251" s="21" t="str">
        <f>IF(AND('Atividades Micro'!$A298=AR$2,'Atividades Micro'!$L298&lt;&gt;""),'Atividades Micro'!$L298,"")</f>
        <v/>
      </c>
      <c r="AS251" s="21" t="str">
        <f>IF(AND('Atividades Micro'!$B298=AS$2,'Atividades Micro'!$K298&lt;&gt;""),'Atividades Micro'!$K298,"")</f>
        <v/>
      </c>
      <c r="AT251" s="21" t="str">
        <f>IF(AND('Atividades Micro'!$B298=AT$2,'Atividades Micro'!$L298&lt;&gt;""),'Atividades Micro'!$L298,"")</f>
        <v/>
      </c>
      <c r="AU251" s="21" t="str">
        <f>IF(AND('Atividades Micro'!$A298=AU$2,'Atividades Micro'!$K298&lt;&gt;""),'Atividades Micro'!$K298,"")</f>
        <v/>
      </c>
      <c r="AV251" s="21" t="str">
        <f>IF(AND('Atividades Micro'!$A298=AV$2,'Atividades Micro'!$L298&lt;&gt;""),'Atividades Micro'!$L298,"")</f>
        <v/>
      </c>
      <c r="AW251" s="21" t="str">
        <f>IF(AND('Atividades Micro'!$B298=AW$2,'Atividades Micro'!$K298&lt;&gt;""),'Atividades Micro'!$K298,"")</f>
        <v/>
      </c>
      <c r="AX251" s="21" t="str">
        <f>IF(AND('Atividades Micro'!$B298=AX$2,'Atividades Micro'!$L298&lt;&gt;""),'Atividades Micro'!$L298,"")</f>
        <v/>
      </c>
      <c r="AY251" s="21" t="str">
        <f>IF(AND('Atividades Micro'!$A298=AY$2,'Atividades Micro'!$K298&lt;&gt;""),'Atividades Micro'!$K298,"")</f>
        <v/>
      </c>
      <c r="AZ251" s="21" t="str">
        <f>IF(AND('Atividades Micro'!$A298=AZ$2,'Atividades Micro'!$L298&lt;&gt;""),'Atividades Micro'!$L298,"")</f>
        <v/>
      </c>
      <c r="BA251" s="21" t="str">
        <f>IF(AND('Atividades Micro'!$B298=BA$2,'Atividades Micro'!$K298&lt;&gt;""),'Atividades Micro'!$K298,"")</f>
        <v/>
      </c>
      <c r="BB251" s="21" t="str">
        <f>IF(AND('Atividades Micro'!$B298=BB$2,'Atividades Micro'!$L298&lt;&gt;""),'Atividades Micro'!$L298,"")</f>
        <v/>
      </c>
      <c r="BC251" s="21" t="str">
        <f>IF(AND('Atividades Micro'!$B298=BC$2,'Atividades Micro'!$G298="Macro",'Atividades Micro'!$K298&lt;&gt;""),'Atividades Micro'!$K298,"")</f>
        <v/>
      </c>
      <c r="BD251" s="21" t="str">
        <f>IF(AND('Atividades Micro'!$B298=BD$2,'Atividades Micro'!$G298="Macro",'Atividades Micro'!$K298&lt;&gt;""),'Atividades Micro'!$K298,"")</f>
        <v/>
      </c>
      <c r="BE251" s="21" t="str">
        <f>IF(AND('Atividades Micro'!$B298=BE$2,'Atividades Micro'!$G298="Macro",'Atividades Micro'!$K298&lt;&gt;""),'Atividades Micro'!$K298,"")</f>
        <v/>
      </c>
      <c r="BF251" s="21" t="str">
        <f>IF(AND('Atividades Micro'!$B298=BF$2,'Atividades Micro'!$G298="Macro",'Atividades Micro'!$K298&lt;&gt;""),'Atividades Micro'!$K298,"")</f>
        <v/>
      </c>
      <c r="BG251" s="21" t="str">
        <f>IF(AND('Atividades Micro'!$B298=BG$2,'Atividades Micro'!$G298="Macro",'Atividades Micro'!$K298&lt;&gt;""),'Atividades Micro'!$K298,"")</f>
        <v/>
      </c>
      <c r="BH251" s="21" t="str">
        <f>IF(AND('Atividades Micro'!$B298=BH$2,'Atividades Micro'!$G298="Macro",'Atividades Micro'!$K298&lt;&gt;""),'Atividades Micro'!$K298,"")</f>
        <v/>
      </c>
      <c r="BI251" s="21" t="str">
        <f>IF(AND('Atividades Micro'!$B298=BI$2,'Atividades Micro'!$G298="Macro",'Atividades Micro'!$K298&lt;&gt;""),'Atividades Micro'!$K298,"")</f>
        <v/>
      </c>
      <c r="BJ251" s="21" t="str">
        <f>IF(AND('Atividades Micro'!$B298=BJ$2,'Atividades Micro'!$G298="Macro",'Atividades Micro'!$K298&lt;&gt;""),'Atividades Micro'!$K298,"")</f>
        <v/>
      </c>
      <c r="BK251" s="21" t="str">
        <f>IF(AND('Atividades Micro'!$B298=BK$2,'Atividades Micro'!$G298="Macro",'Atividades Micro'!$K298&lt;&gt;""),'Atividades Micro'!$K298,"")</f>
        <v/>
      </c>
      <c r="BL251" s="21" t="str">
        <f>IF(AND('Atividades Micro'!$B298=BL$2,'Atividades Micro'!$G298="Macro",'Atividades Micro'!$K298&lt;&gt;""),'Atividades Micro'!$K298,"")</f>
        <v/>
      </c>
      <c r="BM251" s="21" t="str">
        <f>IF(AND('Atividades Micro'!$B298=BM$2,'Atividades Micro'!$G298="Macro",'Atividades Micro'!$K298&lt;&gt;""),'Atividades Micro'!$K298,"")</f>
        <v/>
      </c>
      <c r="BN251" s="21" t="str">
        <f>IF(AND('Atividades Micro'!$B298=BN$2,'Atividades Micro'!$G298="Macro",'Atividades Micro'!$K298&lt;&gt;""),'Atividades Micro'!$K298,"")</f>
        <v/>
      </c>
      <c r="BO251" s="21" t="str">
        <f>IF(AND('Atividades Micro'!$B298=BO$2,'Atividades Micro'!$G298="Macro",'Atividades Micro'!$K298&lt;&gt;""),'Atividades Micro'!$K298,"")</f>
        <v/>
      </c>
      <c r="BP251" s="21" t="str">
        <f>IF(AND('Atividades Micro'!$B298=BP$2,'Atividades Micro'!$G298="Macro",'Atividades Micro'!$K298&lt;&gt;""),'Atividades Micro'!$K298,"")</f>
        <v/>
      </c>
      <c r="BQ251" s="21" t="str">
        <f>IF(AND('Atividades Micro'!$B298=BQ$2,'Atividades Micro'!$G298="Macro",'Atividades Micro'!$K298&lt;&gt;""),'Atividades Micro'!$K298,"")</f>
        <v/>
      </c>
      <c r="BR251" s="21" t="str">
        <f>IF(AND('Atividades Micro'!$B298=BR$2,'Atividades Micro'!$G298="Macro",'Atividades Micro'!$K298&lt;&gt;""),'Atividades Micro'!$K298,"")</f>
        <v/>
      </c>
      <c r="BS251" s="21" t="str">
        <f>IF(AND('Atividades Micro'!$B298=BS$2,'Atividades Micro'!$G298="Macro",'Atividades Micro'!$K298&lt;&gt;""),'Atividades Micro'!$K298,"")</f>
        <v/>
      </c>
      <c r="BT251" s="21" t="str">
        <f>IF(AND('Atividades Micro'!$B298=BT$2,'Atividades Micro'!$G298="Macro",'Atividades Micro'!$K298&lt;&gt;""),'Atividades Micro'!$K298,"")</f>
        <v/>
      </c>
      <c r="BU251" s="21" t="str">
        <f>IF(AND('Atividades Micro'!$B298=BU$2,'Atividades Micro'!$G298="Macro",'Atividades Micro'!$K298&lt;&gt;""),'Atividades Micro'!$K298,"")</f>
        <v/>
      </c>
      <c r="BV251" s="21" t="str">
        <f>IF(AND('Atividades Micro'!$B298=BV$2,'Atividades Micro'!$G298="Macro",'Atividades Micro'!$K298&lt;&gt;""),'Atividades Micro'!$K298,"")</f>
        <v/>
      </c>
      <c r="BW251" s="21" t="str">
        <f>IF(AND('Atividades Micro'!$B298=BW$2,'Atividades Micro'!$G298="Macro",'Atividades Micro'!$K298&lt;&gt;""),'Atividades Micro'!$K298,"")</f>
        <v/>
      </c>
      <c r="BX251" s="21" t="str">
        <f>IF(AND('Atividades Micro'!$B298=BX$2,'Atividades Micro'!$G298="Macro",'Atividades Micro'!$K298&lt;&gt;""),'Atividades Micro'!$K298,"")</f>
        <v/>
      </c>
      <c r="BY251" s="21" t="str">
        <f>IF(AND('Atividades Micro'!$B298=BY$2,'Atividades Micro'!$G298="Macro",'Atividades Micro'!$K298&lt;&gt;""),'Atividades Micro'!$K298,"")</f>
        <v/>
      </c>
      <c r="BZ251" s="21" t="str">
        <f>IF(AND('Atividades Micro'!$B298=BZ$2,'Atividades Micro'!$G298="Macro",'Atividades Micro'!$K298&lt;&gt;""),'Atividades Micro'!$K298,"")</f>
        <v/>
      </c>
      <c r="CA251" s="21" t="str">
        <f>IF(AND('Atividades Micro'!$B298=CA$2,'Atividades Micro'!$G298="Macro",'Atividades Micro'!$K298&lt;&gt;""),'Atividades Micro'!$K298,"")</f>
        <v/>
      </c>
      <c r="CB251" s="21" t="str">
        <f>IF(AND('Atividades Micro'!$B298=CB$2,'Atividades Micro'!$G298="Macro",'Atividades Micro'!$K298&lt;&gt;""),'Atividades Micro'!$K298,"")</f>
        <v/>
      </c>
      <c r="CC251" s="21" t="str">
        <f>IF(AND('Atividades Micro'!$B298=CC$2,'Atividades Micro'!$G298="Macro",'Atividades Micro'!$K298&lt;&gt;""),'Atividades Micro'!$K298,"")</f>
        <v/>
      </c>
      <c r="CD251" s="21" t="str">
        <f>IF(AND('Atividades Micro'!$B298=CD$2,'Atividades Micro'!$G298="Micro",'Atividades Micro'!$K298&lt;&gt;""),'Atividades Micro'!$K298,"")</f>
        <v/>
      </c>
      <c r="CE251" s="21" t="str">
        <f>IF(AND('Atividades Micro'!$B298=CE$2,'Atividades Micro'!$G298="Micro",'Atividades Micro'!$K298&lt;&gt;""),'Atividades Micro'!$K298,"")</f>
        <v/>
      </c>
      <c r="CF251" s="21" t="str">
        <f>IF(AND('Atividades Micro'!$B298=CF$2,'Atividades Micro'!$G298="Micro",'Atividades Micro'!$K298&lt;&gt;""),'Atividades Micro'!$K298,"")</f>
        <v/>
      </c>
      <c r="CG251" s="21" t="str">
        <f>IF(AND('Atividades Micro'!$B298=CG$2,'Atividades Micro'!$G298="Micro",'Atividades Micro'!$K298&lt;&gt;""),'Atividades Micro'!$K298,"")</f>
        <v/>
      </c>
      <c r="CH251" s="21" t="str">
        <f>IF(AND('Atividades Micro'!$B298=CH$2,'Atividades Micro'!$G298="Micro",'Atividades Micro'!$K298&lt;&gt;""),'Atividades Micro'!$K298,"")</f>
        <v/>
      </c>
      <c r="CI251" s="21" t="str">
        <f>IF(AND('Atividades Micro'!$B298=CI$2,'Atividades Micro'!$G298="Micro",'Atividades Micro'!$K298&lt;&gt;""),'Atividades Micro'!$K298,"")</f>
        <v/>
      </c>
      <c r="CJ251" s="21" t="str">
        <f>IF(AND('Atividades Micro'!$B298=CJ$2,'Atividades Micro'!$G298="Micro",'Atividades Micro'!$K298&lt;&gt;""),'Atividades Micro'!$K298,"")</f>
        <v/>
      </c>
      <c r="CK251" s="21" t="str">
        <f>IF(AND('Atividades Micro'!$B298=CK$2,'Atividades Micro'!$G298="Micro",'Atividades Micro'!$K298&lt;&gt;""),'Atividades Micro'!$K298,"")</f>
        <v/>
      </c>
      <c r="CL251" s="21" t="str">
        <f>IF(AND('Atividades Micro'!$B298=CL$2,'Atividades Micro'!$G298="Micro",'Atividades Micro'!$K298&lt;&gt;""),'Atividades Micro'!$K298,"")</f>
        <v/>
      </c>
      <c r="CM251" s="21" t="str">
        <f>IF(AND('Atividades Micro'!$B298=CM$2,'Atividades Micro'!$G298="Micro",'Atividades Micro'!$K298&lt;&gt;""),'Atividades Micro'!$K298,"")</f>
        <v/>
      </c>
      <c r="CN251" s="21" t="str">
        <f>IF(AND('Atividades Micro'!$B298=CN$2,'Atividades Micro'!$G298="Micro",'Atividades Micro'!$K298&lt;&gt;""),'Atividades Micro'!$K298,"")</f>
        <v/>
      </c>
      <c r="CO251" s="21" t="str">
        <f>IF(AND('Atividades Micro'!$B298=CO$2,'Atividades Micro'!$G298="Micro",'Atividades Micro'!$K298&lt;&gt;""),'Atividades Micro'!$K298,"")</f>
        <v/>
      </c>
    </row>
    <row r="252" spans="1:93">
      <c r="A252" s="21" t="str">
        <f>IF(AND('Atividades Micro'!$A299=A$2,'Atividades Micro'!$K299&lt;&gt;""),'Atividades Micro'!$K299,"")</f>
        <v/>
      </c>
      <c r="B252" s="21" t="str">
        <f>IF(AND('Atividades Micro'!$A299=B$2,'Atividades Micro'!$L299&lt;&gt;""),'Atividades Micro'!$L299,"")</f>
        <v/>
      </c>
      <c r="C252" s="21">
        <f>IF(AND('Atividades Micro'!$A299=C$2,'Atividades Micro'!$K299&lt;&gt;""),'Atividades Micro'!$K299,"")</f>
        <v>46408</v>
      </c>
      <c r="D252" s="21" t="str">
        <f>IF(AND('Atividades Micro'!$A299=D$2,'Atividades Micro'!$L299&lt;&gt;""),'Atividades Micro'!$L299,"")</f>
        <v/>
      </c>
      <c r="E252" s="21" t="str">
        <f>IF(AND('Atividades Micro'!$A299=E$2,'Atividades Micro'!$K299&lt;&gt;""),'Atividades Micro'!$K299,"")</f>
        <v/>
      </c>
      <c r="F252" s="21" t="str">
        <f>IF(AND('Atividades Micro'!$A299=F$2,'Atividades Micro'!$L299&lt;&gt;""),'Atividades Micro'!$L299,"")</f>
        <v/>
      </c>
      <c r="G252" s="21" t="str">
        <f>IF(AND('Atividades Micro'!$A299=G$2,'Atividades Micro'!$K299&lt;&gt;""),'Atividades Micro'!$K299,"")</f>
        <v/>
      </c>
      <c r="H252" s="21" t="str">
        <f>IF(AND('Atividades Micro'!$A299=H$2,'Atividades Micro'!$L299&lt;&gt;""),'Atividades Micro'!$L299,"")</f>
        <v/>
      </c>
      <c r="I252" s="21" t="str">
        <f>IF(AND('Atividades Micro'!$A299=I$2,'Atividades Micro'!$K299&lt;&gt;""),'Atividades Micro'!$K299,"")</f>
        <v/>
      </c>
      <c r="J252" s="21" t="str">
        <f>IF(AND('Atividades Micro'!$A299=J$2,'Atividades Micro'!$L299&lt;&gt;""),'Atividades Micro'!$L299,"")</f>
        <v/>
      </c>
      <c r="K252" s="21" t="str">
        <f>IF(AND('Atividades Micro'!$B299=K$2,'Atividades Micro'!$K299&lt;&gt;""),'Atividades Micro'!$K299,"")</f>
        <v/>
      </c>
      <c r="L252" s="21" t="str">
        <f>IF(AND('Atividades Micro'!$B299=L$2,'Atividades Micro'!$L299&lt;&gt;""),'Atividades Micro'!$L299,"")</f>
        <v/>
      </c>
      <c r="M252" s="21" t="str">
        <f>IF(AND('Atividades Micro'!$B299=M$2,'Atividades Micro'!$K299&lt;&gt;""),'Atividades Micro'!$K299,"")</f>
        <v/>
      </c>
      <c r="N252" s="21" t="str">
        <f>IF(AND('Atividades Micro'!$B299=N$2,'Atividades Micro'!$L299&lt;&gt;""),'Atividades Micro'!$L299,"")</f>
        <v/>
      </c>
      <c r="O252" s="21" t="str">
        <f>IF(AND('Atividades Micro'!$A299=O$2,'Atividades Micro'!$K299&lt;&gt;""),'Atividades Micro'!$K299,"")</f>
        <v/>
      </c>
      <c r="P252" s="21" t="str">
        <f>IF(AND('Atividades Micro'!$A299=P$2,'Atividades Micro'!$L299&lt;&gt;""),'Atividades Micro'!$L299,"")</f>
        <v/>
      </c>
      <c r="Q252" s="21" t="str">
        <f>IF(AND('Atividades Micro'!$B299=Q$2,'Atividades Micro'!$K299&lt;&gt;""),'Atividades Micro'!$K299,"")</f>
        <v/>
      </c>
      <c r="R252" s="21" t="str">
        <f>IF(AND('Atividades Micro'!$B299=R$2,'Atividades Micro'!$L299&lt;&gt;""),'Atividades Micro'!$L299,"")</f>
        <v/>
      </c>
      <c r="S252" s="21" t="str">
        <f>IF(AND('Atividades Micro'!$A299=S$2,'Atividades Micro'!$K299&lt;&gt;""),'Atividades Micro'!$K299,"")</f>
        <v/>
      </c>
      <c r="T252" s="21" t="str">
        <f>IF(AND('Atividades Micro'!$A299=T$2,'Atividades Micro'!$L299&lt;&gt;""),'Atividades Micro'!$L299,"")</f>
        <v/>
      </c>
      <c r="U252" s="21" t="str">
        <f>IF(AND('Atividades Micro'!$B299=U$2,'Atividades Micro'!$K299&lt;&gt;""),'Atividades Micro'!$K299,"")</f>
        <v/>
      </c>
      <c r="V252" s="21" t="str">
        <f>IF(AND('Atividades Micro'!$B299=V$2,'Atividades Micro'!$L299&lt;&gt;""),'Atividades Micro'!$L299,"")</f>
        <v/>
      </c>
      <c r="W252" s="21" t="str">
        <f>IF(AND('Atividades Micro'!$B299=W$2,'Atividades Micro'!$K299&lt;&gt;""),'Atividades Micro'!$K299,"")</f>
        <v/>
      </c>
      <c r="X252" s="21" t="str">
        <f>IF(AND('Atividades Micro'!$B299=X$2,'Atividades Micro'!$L299&lt;&gt;""),'Atividades Micro'!$L299,"")</f>
        <v/>
      </c>
      <c r="Y252" s="21" t="str">
        <f>IF(AND('Atividades Micro'!$A299=Y$2,'Atividades Micro'!$K299&lt;&gt;""),'Atividades Micro'!$K299,"")</f>
        <v/>
      </c>
      <c r="Z252" s="21" t="str">
        <f>IF(AND('Atividades Micro'!$A299=Z$2,'Atividades Micro'!$L299&lt;&gt;""),'Atividades Micro'!$L299,"")</f>
        <v/>
      </c>
      <c r="AA252" s="21" t="str">
        <f>IF(AND('Atividades Micro'!$B299=AA$2,'Atividades Micro'!$K299&lt;&gt;""),'Atividades Micro'!$K299,"")</f>
        <v/>
      </c>
      <c r="AB252" s="21" t="str">
        <f>IF(AND('Atividades Micro'!$B299=AB$2,'Atividades Micro'!$L299&lt;&gt;""),'Atividades Micro'!$L299,"")</f>
        <v/>
      </c>
      <c r="AC252" s="21" t="str">
        <f>IF(AND('Atividades Micro'!$B299=AC$2,'Atividades Micro'!$K299&lt;&gt;""),'Atividades Micro'!$K299,"")</f>
        <v/>
      </c>
      <c r="AD252" s="21" t="str">
        <f>IF(AND('Atividades Micro'!$B299=AD$2,'Atividades Micro'!$L299&lt;&gt;""),'Atividades Micro'!$L299,"")</f>
        <v/>
      </c>
      <c r="AE252" s="21" t="str">
        <f>IF(AND('Atividades Micro'!$A299=AE$2,'Atividades Micro'!$K299&lt;&gt;""),'Atividades Micro'!$K299,"")</f>
        <v/>
      </c>
      <c r="AF252" s="21" t="str">
        <f>IF(AND('Atividades Micro'!$A299=AF$2,'Atividades Micro'!$L299&lt;&gt;""),'Atividades Micro'!$L299,"")</f>
        <v/>
      </c>
      <c r="AG252" s="21" t="str">
        <f>IF(AND('Atividades Micro'!$B299=AG$2,'Atividades Micro'!$K299&lt;&gt;""),'Atividades Micro'!$K299,"")</f>
        <v/>
      </c>
      <c r="AH252" s="21" t="str">
        <f>IF(AND('Atividades Micro'!$B299=AH$2,'Atividades Micro'!$L299&lt;&gt;""),'Atividades Micro'!$L299,"")</f>
        <v/>
      </c>
      <c r="AI252" s="21" t="str">
        <f>IF(AND('Atividades Micro'!$B299=AI$2,'Atividades Micro'!$K299&lt;&gt;""),'Atividades Micro'!$K299,"")</f>
        <v/>
      </c>
      <c r="AJ252" s="21" t="str">
        <f>IF(AND('Atividades Micro'!$B299=AJ$2,'Atividades Micro'!$L299&lt;&gt;""),'Atividades Micro'!$L299,"")</f>
        <v/>
      </c>
      <c r="AK252" s="21" t="str">
        <f>IF(AND('Atividades Micro'!$A299=AK$2,'Atividades Micro'!$K299&lt;&gt;""),'Atividades Micro'!$K299,"")</f>
        <v/>
      </c>
      <c r="AL252" s="21" t="str">
        <f>IF(AND('Atividades Micro'!$A299=AL$2,'Atividades Micro'!$L299&lt;&gt;""),'Atividades Micro'!$L299,"")</f>
        <v/>
      </c>
      <c r="AM252" s="21" t="str">
        <f>IF(AND('Atividades Micro'!$B299=AM$2,'Atividades Micro'!$K299&lt;&gt;""),'Atividades Micro'!$K299,"")</f>
        <v/>
      </c>
      <c r="AN252" s="21" t="str">
        <f>IF(AND('Atividades Micro'!$B299=AN$2,'Atividades Micro'!$L299&lt;&gt;""),'Atividades Micro'!$L299,"")</f>
        <v/>
      </c>
      <c r="AO252" s="21" t="str">
        <f>IF(AND('Atividades Micro'!$B299=AO$2,'Atividades Micro'!$K299&lt;&gt;""),'Atividades Micro'!$K299,"")</f>
        <v/>
      </c>
      <c r="AP252" s="21" t="str">
        <f>IF(AND('Atividades Micro'!$B299=AP$2,'Atividades Micro'!$L299&lt;&gt;""),'Atividades Micro'!$L299,"")</f>
        <v/>
      </c>
      <c r="AQ252" s="21" t="str">
        <f>IF(AND('Atividades Micro'!$A299=AQ$2,'Atividades Micro'!$K299&lt;&gt;""),'Atividades Micro'!$K299,"")</f>
        <v/>
      </c>
      <c r="AR252" s="21" t="str">
        <f>IF(AND('Atividades Micro'!$A299=AR$2,'Atividades Micro'!$L299&lt;&gt;""),'Atividades Micro'!$L299,"")</f>
        <v/>
      </c>
      <c r="AS252" s="21" t="str">
        <f>IF(AND('Atividades Micro'!$B299=AS$2,'Atividades Micro'!$K299&lt;&gt;""),'Atividades Micro'!$K299,"")</f>
        <v/>
      </c>
      <c r="AT252" s="21" t="str">
        <f>IF(AND('Atividades Micro'!$B299=AT$2,'Atividades Micro'!$L299&lt;&gt;""),'Atividades Micro'!$L299,"")</f>
        <v/>
      </c>
      <c r="AU252" s="21" t="str">
        <f>IF(AND('Atividades Micro'!$A299=AU$2,'Atividades Micro'!$K299&lt;&gt;""),'Atividades Micro'!$K299,"")</f>
        <v/>
      </c>
      <c r="AV252" s="21" t="str">
        <f>IF(AND('Atividades Micro'!$A299=AV$2,'Atividades Micro'!$L299&lt;&gt;""),'Atividades Micro'!$L299,"")</f>
        <v/>
      </c>
      <c r="AW252" s="21" t="str">
        <f>IF(AND('Atividades Micro'!$B299=AW$2,'Atividades Micro'!$K299&lt;&gt;""),'Atividades Micro'!$K299,"")</f>
        <v/>
      </c>
      <c r="AX252" s="21" t="str">
        <f>IF(AND('Atividades Micro'!$B299=AX$2,'Atividades Micro'!$L299&lt;&gt;""),'Atividades Micro'!$L299,"")</f>
        <v/>
      </c>
      <c r="AY252" s="21" t="str">
        <f>IF(AND('Atividades Micro'!$A299=AY$2,'Atividades Micro'!$K299&lt;&gt;""),'Atividades Micro'!$K299,"")</f>
        <v/>
      </c>
      <c r="AZ252" s="21" t="str">
        <f>IF(AND('Atividades Micro'!$A299=AZ$2,'Atividades Micro'!$L299&lt;&gt;""),'Atividades Micro'!$L299,"")</f>
        <v/>
      </c>
      <c r="BA252" s="21" t="str">
        <f>IF(AND('Atividades Micro'!$B299=BA$2,'Atividades Micro'!$K299&lt;&gt;""),'Atividades Micro'!$K299,"")</f>
        <v/>
      </c>
      <c r="BB252" s="21" t="str">
        <f>IF(AND('Atividades Micro'!$B299=BB$2,'Atividades Micro'!$L299&lt;&gt;""),'Atividades Micro'!$L299,"")</f>
        <v/>
      </c>
      <c r="BC252" s="21" t="str">
        <f>IF(AND('Atividades Micro'!$B299=BC$2,'Atividades Micro'!$G299="Macro",'Atividades Micro'!$K299&lt;&gt;""),'Atividades Micro'!$K299,"")</f>
        <v/>
      </c>
      <c r="BD252" s="21" t="str">
        <f>IF(AND('Atividades Micro'!$B299=BD$2,'Atividades Micro'!$G299="Macro",'Atividades Micro'!$K299&lt;&gt;""),'Atividades Micro'!$K299,"")</f>
        <v/>
      </c>
      <c r="BE252" s="21" t="str">
        <f>IF(AND('Atividades Micro'!$B299=BE$2,'Atividades Micro'!$G299="Macro",'Atividades Micro'!$K299&lt;&gt;""),'Atividades Micro'!$K299,"")</f>
        <v/>
      </c>
      <c r="BF252" s="21" t="str">
        <f>IF(AND('Atividades Micro'!$B299=BF$2,'Atividades Micro'!$G299="Macro",'Atividades Micro'!$K299&lt;&gt;""),'Atividades Micro'!$K299,"")</f>
        <v/>
      </c>
      <c r="BG252" s="21" t="str">
        <f>IF(AND('Atividades Micro'!$B299=BG$2,'Atividades Micro'!$G299="Macro",'Atividades Micro'!$K299&lt;&gt;""),'Atividades Micro'!$K299,"")</f>
        <v/>
      </c>
      <c r="BH252" s="21" t="str">
        <f>IF(AND('Atividades Micro'!$B299=BH$2,'Atividades Micro'!$G299="Macro",'Atividades Micro'!$K299&lt;&gt;""),'Atividades Micro'!$K299,"")</f>
        <v/>
      </c>
      <c r="BI252" s="21" t="str">
        <f>IF(AND('Atividades Micro'!$B299=BI$2,'Atividades Micro'!$G299="Macro",'Atividades Micro'!$K299&lt;&gt;""),'Atividades Micro'!$K299,"")</f>
        <v/>
      </c>
      <c r="BJ252" s="21" t="str">
        <f>IF(AND('Atividades Micro'!$B299=BJ$2,'Atividades Micro'!$G299="Macro",'Atividades Micro'!$K299&lt;&gt;""),'Atividades Micro'!$K299,"")</f>
        <v/>
      </c>
      <c r="BK252" s="21" t="str">
        <f>IF(AND('Atividades Micro'!$B299=BK$2,'Atividades Micro'!$G299="Macro",'Atividades Micro'!$K299&lt;&gt;""),'Atividades Micro'!$K299,"")</f>
        <v/>
      </c>
      <c r="BL252" s="21" t="str">
        <f>IF(AND('Atividades Micro'!$B299=BL$2,'Atividades Micro'!$G299="Macro",'Atividades Micro'!$K299&lt;&gt;""),'Atividades Micro'!$K299,"")</f>
        <v/>
      </c>
      <c r="BM252" s="21" t="str">
        <f>IF(AND('Atividades Micro'!$B299=BM$2,'Atividades Micro'!$G299="Macro",'Atividades Micro'!$K299&lt;&gt;""),'Atividades Micro'!$K299,"")</f>
        <v/>
      </c>
      <c r="BN252" s="21" t="str">
        <f>IF(AND('Atividades Micro'!$B299=BN$2,'Atividades Micro'!$G299="Macro",'Atividades Micro'!$K299&lt;&gt;""),'Atividades Micro'!$K299,"")</f>
        <v/>
      </c>
      <c r="BO252" s="21" t="str">
        <f>IF(AND('Atividades Micro'!$B299=BO$2,'Atividades Micro'!$G299="Macro",'Atividades Micro'!$K299&lt;&gt;""),'Atividades Micro'!$K299,"")</f>
        <v/>
      </c>
      <c r="BP252" s="21" t="str">
        <f>IF(AND('Atividades Micro'!$B299=BP$2,'Atividades Micro'!$G299="Macro",'Atividades Micro'!$K299&lt;&gt;""),'Atividades Micro'!$K299,"")</f>
        <v/>
      </c>
      <c r="BQ252" s="21" t="str">
        <f>IF(AND('Atividades Micro'!$B299=BQ$2,'Atividades Micro'!$G299="Macro",'Atividades Micro'!$K299&lt;&gt;""),'Atividades Micro'!$K299,"")</f>
        <v/>
      </c>
      <c r="BR252" s="21" t="str">
        <f>IF(AND('Atividades Micro'!$B299=BR$2,'Atividades Micro'!$G299="Macro",'Atividades Micro'!$K299&lt;&gt;""),'Atividades Micro'!$K299,"")</f>
        <v/>
      </c>
      <c r="BS252" s="21" t="str">
        <f>IF(AND('Atividades Micro'!$B299=BS$2,'Atividades Micro'!$G299="Macro",'Atividades Micro'!$K299&lt;&gt;""),'Atividades Micro'!$K299,"")</f>
        <v/>
      </c>
      <c r="BT252" s="21" t="str">
        <f>IF(AND('Atividades Micro'!$B299=BT$2,'Atividades Micro'!$G299="Macro",'Atividades Micro'!$K299&lt;&gt;""),'Atividades Micro'!$K299,"")</f>
        <v/>
      </c>
      <c r="BU252" s="21" t="str">
        <f>IF(AND('Atividades Micro'!$B299=BU$2,'Atividades Micro'!$G299="Macro",'Atividades Micro'!$K299&lt;&gt;""),'Atividades Micro'!$K299,"")</f>
        <v/>
      </c>
      <c r="BV252" s="21" t="str">
        <f>IF(AND('Atividades Micro'!$B299=BV$2,'Atividades Micro'!$G299="Macro",'Atividades Micro'!$K299&lt;&gt;""),'Atividades Micro'!$K299,"")</f>
        <v/>
      </c>
      <c r="BW252" s="21" t="str">
        <f>IF(AND('Atividades Micro'!$B299=BW$2,'Atividades Micro'!$G299="Macro",'Atividades Micro'!$K299&lt;&gt;""),'Atividades Micro'!$K299,"")</f>
        <v/>
      </c>
      <c r="BX252" s="21" t="str">
        <f>IF(AND('Atividades Micro'!$B299=BX$2,'Atividades Micro'!$G299="Macro",'Atividades Micro'!$K299&lt;&gt;""),'Atividades Micro'!$K299,"")</f>
        <v/>
      </c>
      <c r="BY252" s="21" t="str">
        <f>IF(AND('Atividades Micro'!$B299=BY$2,'Atividades Micro'!$G299="Macro",'Atividades Micro'!$K299&lt;&gt;""),'Atividades Micro'!$K299,"")</f>
        <v/>
      </c>
      <c r="BZ252" s="21" t="str">
        <f>IF(AND('Atividades Micro'!$B299=BZ$2,'Atividades Micro'!$G299="Macro",'Atividades Micro'!$K299&lt;&gt;""),'Atividades Micro'!$K299,"")</f>
        <v/>
      </c>
      <c r="CA252" s="21" t="str">
        <f>IF(AND('Atividades Micro'!$B299=CA$2,'Atividades Micro'!$G299="Macro",'Atividades Micro'!$K299&lt;&gt;""),'Atividades Micro'!$K299,"")</f>
        <v/>
      </c>
      <c r="CB252" s="21" t="str">
        <f>IF(AND('Atividades Micro'!$B299=CB$2,'Atividades Micro'!$G299="Macro",'Atividades Micro'!$K299&lt;&gt;""),'Atividades Micro'!$K299,"")</f>
        <v/>
      </c>
      <c r="CC252" s="21" t="str">
        <f>IF(AND('Atividades Micro'!$B299=CC$2,'Atividades Micro'!$G299="Macro",'Atividades Micro'!$K299&lt;&gt;""),'Atividades Micro'!$K299,"")</f>
        <v/>
      </c>
      <c r="CD252" s="21" t="str">
        <f>IF(AND('Atividades Micro'!$B299=CD$2,'Atividades Micro'!$G299="Micro",'Atividades Micro'!$K299&lt;&gt;""),'Atividades Micro'!$K299,"")</f>
        <v/>
      </c>
      <c r="CE252" s="21" t="str">
        <f>IF(AND('Atividades Micro'!$B299=CE$2,'Atividades Micro'!$G299="Micro",'Atividades Micro'!$K299&lt;&gt;""),'Atividades Micro'!$K299,"")</f>
        <v/>
      </c>
      <c r="CF252" s="21" t="str">
        <f>IF(AND('Atividades Micro'!$B299=CF$2,'Atividades Micro'!$G299="Micro",'Atividades Micro'!$K299&lt;&gt;""),'Atividades Micro'!$K299,"")</f>
        <v/>
      </c>
      <c r="CG252" s="21" t="str">
        <f>IF(AND('Atividades Micro'!$B299=CG$2,'Atividades Micro'!$G299="Micro",'Atividades Micro'!$K299&lt;&gt;""),'Atividades Micro'!$K299,"")</f>
        <v/>
      </c>
      <c r="CH252" s="21" t="str">
        <f>IF(AND('Atividades Micro'!$B299=CH$2,'Atividades Micro'!$G299="Micro",'Atividades Micro'!$K299&lt;&gt;""),'Atividades Micro'!$K299,"")</f>
        <v/>
      </c>
      <c r="CI252" s="21" t="str">
        <f>IF(AND('Atividades Micro'!$B299=CI$2,'Atividades Micro'!$G299="Micro",'Atividades Micro'!$K299&lt;&gt;""),'Atividades Micro'!$K299,"")</f>
        <v/>
      </c>
      <c r="CJ252" s="21" t="str">
        <f>IF(AND('Atividades Micro'!$B299=CJ$2,'Atividades Micro'!$G299="Micro",'Atividades Micro'!$K299&lt;&gt;""),'Atividades Micro'!$K299,"")</f>
        <v/>
      </c>
      <c r="CK252" s="21" t="str">
        <f>IF(AND('Atividades Micro'!$B299=CK$2,'Atividades Micro'!$G299="Micro",'Atividades Micro'!$K299&lt;&gt;""),'Atividades Micro'!$K299,"")</f>
        <v/>
      </c>
      <c r="CL252" s="21" t="str">
        <f>IF(AND('Atividades Micro'!$B299=CL$2,'Atividades Micro'!$G299="Micro",'Atividades Micro'!$K299&lt;&gt;""),'Atividades Micro'!$K299,"")</f>
        <v/>
      </c>
      <c r="CM252" s="21" t="str">
        <f>IF(AND('Atividades Micro'!$B299=CM$2,'Atividades Micro'!$G299="Micro",'Atividades Micro'!$K299&lt;&gt;""),'Atividades Micro'!$K299,"")</f>
        <v/>
      </c>
      <c r="CN252" s="21" t="str">
        <f>IF(AND('Atividades Micro'!$B299=CN$2,'Atividades Micro'!$G299="Micro",'Atividades Micro'!$K299&lt;&gt;""),'Atividades Micro'!$K299,"")</f>
        <v/>
      </c>
      <c r="CO252" s="21" t="str">
        <f>IF(AND('Atividades Micro'!$B299=CO$2,'Atividades Micro'!$G299="Micro",'Atividades Micro'!$K299&lt;&gt;""),'Atividades Micro'!$K299,"")</f>
        <v/>
      </c>
    </row>
    <row r="253" spans="1:93">
      <c r="A253" s="21" t="str">
        <f>IF(AND('Atividades Micro'!$A300=A$2,'Atividades Micro'!$K300&lt;&gt;""),'Atividades Micro'!$K300,"")</f>
        <v/>
      </c>
      <c r="B253" s="21" t="str">
        <f>IF(AND('Atividades Micro'!$A300=B$2,'Atividades Micro'!$L300&lt;&gt;""),'Atividades Micro'!$L300,"")</f>
        <v/>
      </c>
      <c r="C253" s="21">
        <f>IF(AND('Atividades Micro'!$A300=C$2,'Atividades Micro'!$K300&lt;&gt;""),'Atividades Micro'!$K300,"")</f>
        <v>46423</v>
      </c>
      <c r="D253" s="21" t="str">
        <f>IF(AND('Atividades Micro'!$A300=D$2,'Atividades Micro'!$L300&lt;&gt;""),'Atividades Micro'!$L300,"")</f>
        <v/>
      </c>
      <c r="E253" s="21" t="str">
        <f>IF(AND('Atividades Micro'!$A300=E$2,'Atividades Micro'!$K300&lt;&gt;""),'Atividades Micro'!$K300,"")</f>
        <v/>
      </c>
      <c r="F253" s="21" t="str">
        <f>IF(AND('Atividades Micro'!$A300=F$2,'Atividades Micro'!$L300&lt;&gt;""),'Atividades Micro'!$L300,"")</f>
        <v/>
      </c>
      <c r="G253" s="21" t="str">
        <f>IF(AND('Atividades Micro'!$A300=G$2,'Atividades Micro'!$K300&lt;&gt;""),'Atividades Micro'!$K300,"")</f>
        <v/>
      </c>
      <c r="H253" s="21" t="str">
        <f>IF(AND('Atividades Micro'!$A300=H$2,'Atividades Micro'!$L300&lt;&gt;""),'Atividades Micro'!$L300,"")</f>
        <v/>
      </c>
      <c r="I253" s="21" t="str">
        <f>IF(AND('Atividades Micro'!$A300=I$2,'Atividades Micro'!$K300&lt;&gt;""),'Atividades Micro'!$K300,"")</f>
        <v/>
      </c>
      <c r="J253" s="21" t="str">
        <f>IF(AND('Atividades Micro'!$A300=J$2,'Atividades Micro'!$L300&lt;&gt;""),'Atividades Micro'!$L300,"")</f>
        <v/>
      </c>
      <c r="K253" s="21" t="str">
        <f>IF(AND('Atividades Micro'!$B300=K$2,'Atividades Micro'!$K300&lt;&gt;""),'Atividades Micro'!$K300,"")</f>
        <v/>
      </c>
      <c r="L253" s="21" t="str">
        <f>IF(AND('Atividades Micro'!$B300=L$2,'Atividades Micro'!$L300&lt;&gt;""),'Atividades Micro'!$L300,"")</f>
        <v/>
      </c>
      <c r="M253" s="21" t="str">
        <f>IF(AND('Atividades Micro'!$B300=M$2,'Atividades Micro'!$K300&lt;&gt;""),'Atividades Micro'!$K300,"")</f>
        <v/>
      </c>
      <c r="N253" s="21" t="str">
        <f>IF(AND('Atividades Micro'!$B300=N$2,'Atividades Micro'!$L300&lt;&gt;""),'Atividades Micro'!$L300,"")</f>
        <v/>
      </c>
      <c r="O253" s="21" t="str">
        <f>IF(AND('Atividades Micro'!$A300=O$2,'Atividades Micro'!$K300&lt;&gt;""),'Atividades Micro'!$K300,"")</f>
        <v/>
      </c>
      <c r="P253" s="21" t="str">
        <f>IF(AND('Atividades Micro'!$A300=P$2,'Atividades Micro'!$L300&lt;&gt;""),'Atividades Micro'!$L300,"")</f>
        <v/>
      </c>
      <c r="Q253" s="21" t="str">
        <f>IF(AND('Atividades Micro'!$B300=Q$2,'Atividades Micro'!$K300&lt;&gt;""),'Atividades Micro'!$K300,"")</f>
        <v/>
      </c>
      <c r="R253" s="21" t="str">
        <f>IF(AND('Atividades Micro'!$B300=R$2,'Atividades Micro'!$L300&lt;&gt;""),'Atividades Micro'!$L300,"")</f>
        <v/>
      </c>
      <c r="S253" s="21" t="str">
        <f>IF(AND('Atividades Micro'!$A300=S$2,'Atividades Micro'!$K300&lt;&gt;""),'Atividades Micro'!$K300,"")</f>
        <v/>
      </c>
      <c r="T253" s="21" t="str">
        <f>IF(AND('Atividades Micro'!$A300=T$2,'Atividades Micro'!$L300&lt;&gt;""),'Atividades Micro'!$L300,"")</f>
        <v/>
      </c>
      <c r="U253" s="21" t="str">
        <f>IF(AND('Atividades Micro'!$B300=U$2,'Atividades Micro'!$K300&lt;&gt;""),'Atividades Micro'!$K300,"")</f>
        <v/>
      </c>
      <c r="V253" s="21" t="str">
        <f>IF(AND('Atividades Micro'!$B300=V$2,'Atividades Micro'!$L300&lt;&gt;""),'Atividades Micro'!$L300,"")</f>
        <v/>
      </c>
      <c r="W253" s="21" t="str">
        <f>IF(AND('Atividades Micro'!$B300=W$2,'Atividades Micro'!$K300&lt;&gt;""),'Atividades Micro'!$K300,"")</f>
        <v/>
      </c>
      <c r="X253" s="21" t="str">
        <f>IF(AND('Atividades Micro'!$B300=X$2,'Atividades Micro'!$L300&lt;&gt;""),'Atividades Micro'!$L300,"")</f>
        <v/>
      </c>
      <c r="Y253" s="21" t="str">
        <f>IF(AND('Atividades Micro'!$A300=Y$2,'Atividades Micro'!$K300&lt;&gt;""),'Atividades Micro'!$K300,"")</f>
        <v/>
      </c>
      <c r="Z253" s="21" t="str">
        <f>IF(AND('Atividades Micro'!$A300=Z$2,'Atividades Micro'!$L300&lt;&gt;""),'Atividades Micro'!$L300,"")</f>
        <v/>
      </c>
      <c r="AA253" s="21" t="str">
        <f>IF(AND('Atividades Micro'!$B300=AA$2,'Atividades Micro'!$K300&lt;&gt;""),'Atividades Micro'!$K300,"")</f>
        <v/>
      </c>
      <c r="AB253" s="21" t="str">
        <f>IF(AND('Atividades Micro'!$B300=AB$2,'Atividades Micro'!$L300&lt;&gt;""),'Atividades Micro'!$L300,"")</f>
        <v/>
      </c>
      <c r="AC253" s="21" t="str">
        <f>IF(AND('Atividades Micro'!$B300=AC$2,'Atividades Micro'!$K300&lt;&gt;""),'Atividades Micro'!$K300,"")</f>
        <v/>
      </c>
      <c r="AD253" s="21" t="str">
        <f>IF(AND('Atividades Micro'!$B300=AD$2,'Atividades Micro'!$L300&lt;&gt;""),'Atividades Micro'!$L300,"")</f>
        <v/>
      </c>
      <c r="AE253" s="21" t="str">
        <f>IF(AND('Atividades Micro'!$A300=AE$2,'Atividades Micro'!$K300&lt;&gt;""),'Atividades Micro'!$K300,"")</f>
        <v/>
      </c>
      <c r="AF253" s="21" t="str">
        <f>IF(AND('Atividades Micro'!$A300=AF$2,'Atividades Micro'!$L300&lt;&gt;""),'Atividades Micro'!$L300,"")</f>
        <v/>
      </c>
      <c r="AG253" s="21" t="str">
        <f>IF(AND('Atividades Micro'!$B300=AG$2,'Atividades Micro'!$K300&lt;&gt;""),'Atividades Micro'!$K300,"")</f>
        <v/>
      </c>
      <c r="AH253" s="21" t="str">
        <f>IF(AND('Atividades Micro'!$B300=AH$2,'Atividades Micro'!$L300&lt;&gt;""),'Atividades Micro'!$L300,"")</f>
        <v/>
      </c>
      <c r="AI253" s="21" t="str">
        <f>IF(AND('Atividades Micro'!$B300=AI$2,'Atividades Micro'!$K300&lt;&gt;""),'Atividades Micro'!$K300,"")</f>
        <v/>
      </c>
      <c r="AJ253" s="21" t="str">
        <f>IF(AND('Atividades Micro'!$B300=AJ$2,'Atividades Micro'!$L300&lt;&gt;""),'Atividades Micro'!$L300,"")</f>
        <v/>
      </c>
      <c r="AK253" s="21" t="str">
        <f>IF(AND('Atividades Micro'!$A300=AK$2,'Atividades Micro'!$K300&lt;&gt;""),'Atividades Micro'!$K300,"")</f>
        <v/>
      </c>
      <c r="AL253" s="21" t="str">
        <f>IF(AND('Atividades Micro'!$A300=AL$2,'Atividades Micro'!$L300&lt;&gt;""),'Atividades Micro'!$L300,"")</f>
        <v/>
      </c>
      <c r="AM253" s="21" t="str">
        <f>IF(AND('Atividades Micro'!$B300=AM$2,'Atividades Micro'!$K300&lt;&gt;""),'Atividades Micro'!$K300,"")</f>
        <v/>
      </c>
      <c r="AN253" s="21" t="str">
        <f>IF(AND('Atividades Micro'!$B300=AN$2,'Atividades Micro'!$L300&lt;&gt;""),'Atividades Micro'!$L300,"")</f>
        <v/>
      </c>
      <c r="AO253" s="21" t="str">
        <f>IF(AND('Atividades Micro'!$B300=AO$2,'Atividades Micro'!$K300&lt;&gt;""),'Atividades Micro'!$K300,"")</f>
        <v/>
      </c>
      <c r="AP253" s="21" t="str">
        <f>IF(AND('Atividades Micro'!$B300=AP$2,'Atividades Micro'!$L300&lt;&gt;""),'Atividades Micro'!$L300,"")</f>
        <v/>
      </c>
      <c r="AQ253" s="21" t="str">
        <f>IF(AND('Atividades Micro'!$A300=AQ$2,'Atividades Micro'!$K300&lt;&gt;""),'Atividades Micro'!$K300,"")</f>
        <v/>
      </c>
      <c r="AR253" s="21" t="str">
        <f>IF(AND('Atividades Micro'!$A300=AR$2,'Atividades Micro'!$L300&lt;&gt;""),'Atividades Micro'!$L300,"")</f>
        <v/>
      </c>
      <c r="AS253" s="21" t="str">
        <f>IF(AND('Atividades Micro'!$B300=AS$2,'Atividades Micro'!$K300&lt;&gt;""),'Atividades Micro'!$K300,"")</f>
        <v/>
      </c>
      <c r="AT253" s="21" t="str">
        <f>IF(AND('Atividades Micro'!$B300=AT$2,'Atividades Micro'!$L300&lt;&gt;""),'Atividades Micro'!$L300,"")</f>
        <v/>
      </c>
      <c r="AU253" s="21" t="str">
        <f>IF(AND('Atividades Micro'!$A300=AU$2,'Atividades Micro'!$K300&lt;&gt;""),'Atividades Micro'!$K300,"")</f>
        <v/>
      </c>
      <c r="AV253" s="21" t="str">
        <f>IF(AND('Atividades Micro'!$A300=AV$2,'Atividades Micro'!$L300&lt;&gt;""),'Atividades Micro'!$L300,"")</f>
        <v/>
      </c>
      <c r="AW253" s="21" t="str">
        <f>IF(AND('Atividades Micro'!$B300=AW$2,'Atividades Micro'!$K300&lt;&gt;""),'Atividades Micro'!$K300,"")</f>
        <v/>
      </c>
      <c r="AX253" s="21" t="str">
        <f>IF(AND('Atividades Micro'!$B300=AX$2,'Atividades Micro'!$L300&lt;&gt;""),'Atividades Micro'!$L300,"")</f>
        <v/>
      </c>
      <c r="AY253" s="21" t="str">
        <f>IF(AND('Atividades Micro'!$A300=AY$2,'Atividades Micro'!$K300&lt;&gt;""),'Atividades Micro'!$K300,"")</f>
        <v/>
      </c>
      <c r="AZ253" s="21" t="str">
        <f>IF(AND('Atividades Micro'!$A300=AZ$2,'Atividades Micro'!$L300&lt;&gt;""),'Atividades Micro'!$L300,"")</f>
        <v/>
      </c>
      <c r="BA253" s="21" t="str">
        <f>IF(AND('Atividades Micro'!$B300=BA$2,'Atividades Micro'!$K300&lt;&gt;""),'Atividades Micro'!$K300,"")</f>
        <v/>
      </c>
      <c r="BB253" s="21" t="str">
        <f>IF(AND('Atividades Micro'!$B300=BB$2,'Atividades Micro'!$L300&lt;&gt;""),'Atividades Micro'!$L300,"")</f>
        <v/>
      </c>
      <c r="BC253" s="21" t="str">
        <f>IF(AND('Atividades Micro'!$B300=BC$2,'Atividades Micro'!$G300="Macro",'Atividades Micro'!$K300&lt;&gt;""),'Atividades Micro'!$K300,"")</f>
        <v/>
      </c>
      <c r="BD253" s="21" t="str">
        <f>IF(AND('Atividades Micro'!$B300=BD$2,'Atividades Micro'!$G300="Macro",'Atividades Micro'!$K300&lt;&gt;""),'Atividades Micro'!$K300,"")</f>
        <v/>
      </c>
      <c r="BE253" s="21" t="str">
        <f>IF(AND('Atividades Micro'!$B300=BE$2,'Atividades Micro'!$G300="Macro",'Atividades Micro'!$K300&lt;&gt;""),'Atividades Micro'!$K300,"")</f>
        <v/>
      </c>
      <c r="BF253" s="21" t="str">
        <f>IF(AND('Atividades Micro'!$B300=BF$2,'Atividades Micro'!$G300="Macro",'Atividades Micro'!$K300&lt;&gt;""),'Atividades Micro'!$K300,"")</f>
        <v/>
      </c>
      <c r="BG253" s="21" t="str">
        <f>IF(AND('Atividades Micro'!$B300=BG$2,'Atividades Micro'!$G300="Macro",'Atividades Micro'!$K300&lt;&gt;""),'Atividades Micro'!$K300,"")</f>
        <v/>
      </c>
      <c r="BH253" s="21" t="str">
        <f>IF(AND('Atividades Micro'!$B300=BH$2,'Atividades Micro'!$G300="Macro",'Atividades Micro'!$K300&lt;&gt;""),'Atividades Micro'!$K300,"")</f>
        <v/>
      </c>
      <c r="BI253" s="21" t="str">
        <f>IF(AND('Atividades Micro'!$B300=BI$2,'Atividades Micro'!$G300="Macro",'Atividades Micro'!$K300&lt;&gt;""),'Atividades Micro'!$K300,"")</f>
        <v/>
      </c>
      <c r="BJ253" s="21" t="str">
        <f>IF(AND('Atividades Micro'!$B300=BJ$2,'Atividades Micro'!$G300="Macro",'Atividades Micro'!$K300&lt;&gt;""),'Atividades Micro'!$K300,"")</f>
        <v/>
      </c>
      <c r="BK253" s="21" t="str">
        <f>IF(AND('Atividades Micro'!$B300=BK$2,'Atividades Micro'!$G300="Macro",'Atividades Micro'!$K300&lt;&gt;""),'Atividades Micro'!$K300,"")</f>
        <v/>
      </c>
      <c r="BL253" s="21" t="str">
        <f>IF(AND('Atividades Micro'!$B300=BL$2,'Atividades Micro'!$G300="Macro",'Atividades Micro'!$K300&lt;&gt;""),'Atividades Micro'!$K300,"")</f>
        <v/>
      </c>
      <c r="BM253" s="21" t="str">
        <f>IF(AND('Atividades Micro'!$B300=BM$2,'Atividades Micro'!$G300="Macro",'Atividades Micro'!$K300&lt;&gt;""),'Atividades Micro'!$K300,"")</f>
        <v/>
      </c>
      <c r="BN253" s="21" t="str">
        <f>IF(AND('Atividades Micro'!$B300=BN$2,'Atividades Micro'!$G300="Macro",'Atividades Micro'!$K300&lt;&gt;""),'Atividades Micro'!$K300,"")</f>
        <v/>
      </c>
      <c r="BO253" s="21" t="str">
        <f>IF(AND('Atividades Micro'!$B300=BO$2,'Atividades Micro'!$G300="Macro",'Atividades Micro'!$K300&lt;&gt;""),'Atividades Micro'!$K300,"")</f>
        <v/>
      </c>
      <c r="BP253" s="21" t="str">
        <f>IF(AND('Atividades Micro'!$B300=BP$2,'Atividades Micro'!$G300="Macro",'Atividades Micro'!$K300&lt;&gt;""),'Atividades Micro'!$K300,"")</f>
        <v/>
      </c>
      <c r="BQ253" s="21" t="str">
        <f>IF(AND('Atividades Micro'!$B300=BQ$2,'Atividades Micro'!$G300="Macro",'Atividades Micro'!$K300&lt;&gt;""),'Atividades Micro'!$K300,"")</f>
        <v/>
      </c>
      <c r="BR253" s="21" t="str">
        <f>IF(AND('Atividades Micro'!$B300=BR$2,'Atividades Micro'!$G300="Macro",'Atividades Micro'!$K300&lt;&gt;""),'Atividades Micro'!$K300,"")</f>
        <v/>
      </c>
      <c r="BS253" s="21" t="str">
        <f>IF(AND('Atividades Micro'!$B300=BS$2,'Atividades Micro'!$G300="Macro",'Atividades Micro'!$K300&lt;&gt;""),'Atividades Micro'!$K300,"")</f>
        <v/>
      </c>
      <c r="BT253" s="21" t="str">
        <f>IF(AND('Atividades Micro'!$B300=BT$2,'Atividades Micro'!$G300="Macro",'Atividades Micro'!$K300&lt;&gt;""),'Atividades Micro'!$K300,"")</f>
        <v/>
      </c>
      <c r="BU253" s="21" t="str">
        <f>IF(AND('Atividades Micro'!$B300=BU$2,'Atividades Micro'!$G300="Macro",'Atividades Micro'!$K300&lt;&gt;""),'Atividades Micro'!$K300,"")</f>
        <v/>
      </c>
      <c r="BV253" s="21" t="str">
        <f>IF(AND('Atividades Micro'!$B300=BV$2,'Atividades Micro'!$G300="Macro",'Atividades Micro'!$K300&lt;&gt;""),'Atividades Micro'!$K300,"")</f>
        <v/>
      </c>
      <c r="BW253" s="21" t="str">
        <f>IF(AND('Atividades Micro'!$B300=BW$2,'Atividades Micro'!$G300="Macro",'Atividades Micro'!$K300&lt;&gt;""),'Atividades Micro'!$K300,"")</f>
        <v/>
      </c>
      <c r="BX253" s="21" t="str">
        <f>IF(AND('Atividades Micro'!$B300=BX$2,'Atividades Micro'!$G300="Macro",'Atividades Micro'!$K300&lt;&gt;""),'Atividades Micro'!$K300,"")</f>
        <v/>
      </c>
      <c r="BY253" s="21" t="str">
        <f>IF(AND('Atividades Micro'!$B300=BY$2,'Atividades Micro'!$G300="Macro",'Atividades Micro'!$K300&lt;&gt;""),'Atividades Micro'!$K300,"")</f>
        <v/>
      </c>
      <c r="BZ253" s="21" t="str">
        <f>IF(AND('Atividades Micro'!$B300=BZ$2,'Atividades Micro'!$G300="Macro",'Atividades Micro'!$K300&lt;&gt;""),'Atividades Micro'!$K300,"")</f>
        <v/>
      </c>
      <c r="CA253" s="21" t="str">
        <f>IF(AND('Atividades Micro'!$B300=CA$2,'Atividades Micro'!$G300="Macro",'Atividades Micro'!$K300&lt;&gt;""),'Atividades Micro'!$K300,"")</f>
        <v/>
      </c>
      <c r="CB253" s="21" t="str">
        <f>IF(AND('Atividades Micro'!$B300=CB$2,'Atividades Micro'!$G300="Macro",'Atividades Micro'!$K300&lt;&gt;""),'Atividades Micro'!$K300,"")</f>
        <v/>
      </c>
      <c r="CC253" s="21" t="str">
        <f>IF(AND('Atividades Micro'!$B300=CC$2,'Atividades Micro'!$G300="Macro",'Atividades Micro'!$K300&lt;&gt;""),'Atividades Micro'!$K300,"")</f>
        <v/>
      </c>
      <c r="CD253" s="21" t="str">
        <f>IF(AND('Atividades Micro'!$B300=CD$2,'Atividades Micro'!$G300="Micro",'Atividades Micro'!$K300&lt;&gt;""),'Atividades Micro'!$K300,"")</f>
        <v/>
      </c>
      <c r="CE253" s="21" t="str">
        <f>IF(AND('Atividades Micro'!$B300=CE$2,'Atividades Micro'!$G300="Micro",'Atividades Micro'!$K300&lt;&gt;""),'Atividades Micro'!$K300,"")</f>
        <v/>
      </c>
      <c r="CF253" s="21" t="str">
        <f>IF(AND('Atividades Micro'!$B300=CF$2,'Atividades Micro'!$G300="Micro",'Atividades Micro'!$K300&lt;&gt;""),'Atividades Micro'!$K300,"")</f>
        <v/>
      </c>
      <c r="CG253" s="21" t="str">
        <f>IF(AND('Atividades Micro'!$B300=CG$2,'Atividades Micro'!$G300="Micro",'Atividades Micro'!$K300&lt;&gt;""),'Atividades Micro'!$K300,"")</f>
        <v/>
      </c>
      <c r="CH253" s="21" t="str">
        <f>IF(AND('Atividades Micro'!$B300=CH$2,'Atividades Micro'!$G300="Micro",'Atividades Micro'!$K300&lt;&gt;""),'Atividades Micro'!$K300,"")</f>
        <v/>
      </c>
      <c r="CI253" s="21" t="str">
        <f>IF(AND('Atividades Micro'!$B300=CI$2,'Atividades Micro'!$G300="Micro",'Atividades Micro'!$K300&lt;&gt;""),'Atividades Micro'!$K300,"")</f>
        <v/>
      </c>
      <c r="CJ253" s="21" t="str">
        <f>IF(AND('Atividades Micro'!$B300=CJ$2,'Atividades Micro'!$G300="Micro",'Atividades Micro'!$K300&lt;&gt;""),'Atividades Micro'!$K300,"")</f>
        <v/>
      </c>
      <c r="CK253" s="21" t="str">
        <f>IF(AND('Atividades Micro'!$B300=CK$2,'Atividades Micro'!$G300="Micro",'Atividades Micro'!$K300&lt;&gt;""),'Atividades Micro'!$K300,"")</f>
        <v/>
      </c>
      <c r="CL253" s="21" t="str">
        <f>IF(AND('Atividades Micro'!$B300=CL$2,'Atividades Micro'!$G300="Micro",'Atividades Micro'!$K300&lt;&gt;""),'Atividades Micro'!$K300,"")</f>
        <v/>
      </c>
      <c r="CM253" s="21" t="str">
        <f>IF(AND('Atividades Micro'!$B300=CM$2,'Atividades Micro'!$G300="Micro",'Atividades Micro'!$K300&lt;&gt;""),'Atividades Micro'!$K300,"")</f>
        <v/>
      </c>
      <c r="CN253" s="21" t="str">
        <f>IF(AND('Atividades Micro'!$B300=CN$2,'Atividades Micro'!$G300="Micro",'Atividades Micro'!$K300&lt;&gt;""),'Atividades Micro'!$K300,"")</f>
        <v/>
      </c>
      <c r="CO253" s="21" t="str">
        <f>IF(AND('Atividades Micro'!$B300=CO$2,'Atividades Micro'!$G300="Micro",'Atividades Micro'!$K300&lt;&gt;""),'Atividades Micro'!$K300,"")</f>
        <v/>
      </c>
    </row>
    <row r="254" spans="1:93">
      <c r="A254" s="21" t="str">
        <f>IF(AND('Atividades Micro'!$A301=A$2,'Atividades Micro'!$K301&lt;&gt;""),'Atividades Micro'!$K301,"")</f>
        <v/>
      </c>
      <c r="B254" s="21" t="str">
        <f>IF(AND('Atividades Micro'!$A301=B$2,'Atividades Micro'!$L301&lt;&gt;""),'Atividades Micro'!$L301,"")</f>
        <v/>
      </c>
      <c r="C254" s="21">
        <f>IF(AND('Atividades Micro'!$A301=C$2,'Atividades Micro'!$K301&lt;&gt;""),'Atividades Micro'!$K301,"")</f>
        <v>46423</v>
      </c>
      <c r="D254" s="21" t="str">
        <f>IF(AND('Atividades Micro'!$A301=D$2,'Atividades Micro'!$L301&lt;&gt;""),'Atividades Micro'!$L301,"")</f>
        <v/>
      </c>
      <c r="E254" s="21" t="str">
        <f>IF(AND('Atividades Micro'!$A301=E$2,'Atividades Micro'!$K301&lt;&gt;""),'Atividades Micro'!$K301,"")</f>
        <v/>
      </c>
      <c r="F254" s="21" t="str">
        <f>IF(AND('Atividades Micro'!$A301=F$2,'Atividades Micro'!$L301&lt;&gt;""),'Atividades Micro'!$L301,"")</f>
        <v/>
      </c>
      <c r="G254" s="21" t="str">
        <f>IF(AND('Atividades Micro'!$A301=G$2,'Atividades Micro'!$K301&lt;&gt;""),'Atividades Micro'!$K301,"")</f>
        <v/>
      </c>
      <c r="H254" s="21" t="str">
        <f>IF(AND('Atividades Micro'!$A301=H$2,'Atividades Micro'!$L301&lt;&gt;""),'Atividades Micro'!$L301,"")</f>
        <v/>
      </c>
      <c r="I254" s="21" t="str">
        <f>IF(AND('Atividades Micro'!$A301=I$2,'Atividades Micro'!$K301&lt;&gt;""),'Atividades Micro'!$K301,"")</f>
        <v/>
      </c>
      <c r="J254" s="21" t="str">
        <f>IF(AND('Atividades Micro'!$A301=J$2,'Atividades Micro'!$L301&lt;&gt;""),'Atividades Micro'!$L301,"")</f>
        <v/>
      </c>
      <c r="K254" s="21" t="str">
        <f>IF(AND('Atividades Micro'!$B301=K$2,'Atividades Micro'!$K301&lt;&gt;""),'Atividades Micro'!$K301,"")</f>
        <v/>
      </c>
      <c r="L254" s="21" t="str">
        <f>IF(AND('Atividades Micro'!$B301=L$2,'Atividades Micro'!$L301&lt;&gt;""),'Atividades Micro'!$L301,"")</f>
        <v/>
      </c>
      <c r="M254" s="21" t="str">
        <f>IF(AND('Atividades Micro'!$B301=M$2,'Atividades Micro'!$K301&lt;&gt;""),'Atividades Micro'!$K301,"")</f>
        <v/>
      </c>
      <c r="N254" s="21" t="str">
        <f>IF(AND('Atividades Micro'!$B301=N$2,'Atividades Micro'!$L301&lt;&gt;""),'Atividades Micro'!$L301,"")</f>
        <v/>
      </c>
      <c r="O254" s="21" t="str">
        <f>IF(AND('Atividades Micro'!$A301=O$2,'Atividades Micro'!$K301&lt;&gt;""),'Atividades Micro'!$K301,"")</f>
        <v/>
      </c>
      <c r="P254" s="21" t="str">
        <f>IF(AND('Atividades Micro'!$A301=P$2,'Atividades Micro'!$L301&lt;&gt;""),'Atividades Micro'!$L301,"")</f>
        <v/>
      </c>
      <c r="Q254" s="21" t="str">
        <f>IF(AND('Atividades Micro'!$B301=Q$2,'Atividades Micro'!$K301&lt;&gt;""),'Atividades Micro'!$K301,"")</f>
        <v/>
      </c>
      <c r="R254" s="21" t="str">
        <f>IF(AND('Atividades Micro'!$B301=R$2,'Atividades Micro'!$L301&lt;&gt;""),'Atividades Micro'!$L301,"")</f>
        <v/>
      </c>
      <c r="S254" s="21" t="str">
        <f>IF(AND('Atividades Micro'!$A301=S$2,'Atividades Micro'!$K301&lt;&gt;""),'Atividades Micro'!$K301,"")</f>
        <v/>
      </c>
      <c r="T254" s="21" t="str">
        <f>IF(AND('Atividades Micro'!$A301=T$2,'Atividades Micro'!$L301&lt;&gt;""),'Atividades Micro'!$L301,"")</f>
        <v/>
      </c>
      <c r="U254" s="21" t="str">
        <f>IF(AND('Atividades Micro'!$B301=U$2,'Atividades Micro'!$K301&lt;&gt;""),'Atividades Micro'!$K301,"")</f>
        <v/>
      </c>
      <c r="V254" s="21" t="str">
        <f>IF(AND('Atividades Micro'!$B301=V$2,'Atividades Micro'!$L301&lt;&gt;""),'Atividades Micro'!$L301,"")</f>
        <v/>
      </c>
      <c r="W254" s="21" t="str">
        <f>IF(AND('Atividades Micro'!$B301=W$2,'Atividades Micro'!$K301&lt;&gt;""),'Atividades Micro'!$K301,"")</f>
        <v/>
      </c>
      <c r="X254" s="21" t="str">
        <f>IF(AND('Atividades Micro'!$B301=X$2,'Atividades Micro'!$L301&lt;&gt;""),'Atividades Micro'!$L301,"")</f>
        <v/>
      </c>
      <c r="Y254" s="21" t="str">
        <f>IF(AND('Atividades Micro'!$A301=Y$2,'Atividades Micro'!$K301&lt;&gt;""),'Atividades Micro'!$K301,"")</f>
        <v/>
      </c>
      <c r="Z254" s="21" t="str">
        <f>IF(AND('Atividades Micro'!$A301=Z$2,'Atividades Micro'!$L301&lt;&gt;""),'Atividades Micro'!$L301,"")</f>
        <v/>
      </c>
      <c r="AA254" s="21" t="str">
        <f>IF(AND('Atividades Micro'!$B301=AA$2,'Atividades Micro'!$K301&lt;&gt;""),'Atividades Micro'!$K301,"")</f>
        <v/>
      </c>
      <c r="AB254" s="21" t="str">
        <f>IF(AND('Atividades Micro'!$B301=AB$2,'Atividades Micro'!$L301&lt;&gt;""),'Atividades Micro'!$L301,"")</f>
        <v/>
      </c>
      <c r="AC254" s="21" t="str">
        <f>IF(AND('Atividades Micro'!$B301=AC$2,'Atividades Micro'!$K301&lt;&gt;""),'Atividades Micro'!$K301,"")</f>
        <v/>
      </c>
      <c r="AD254" s="21" t="str">
        <f>IF(AND('Atividades Micro'!$B301=AD$2,'Atividades Micro'!$L301&lt;&gt;""),'Atividades Micro'!$L301,"")</f>
        <v/>
      </c>
      <c r="AE254" s="21" t="str">
        <f>IF(AND('Atividades Micro'!$A301=AE$2,'Atividades Micro'!$K301&lt;&gt;""),'Atividades Micro'!$K301,"")</f>
        <v/>
      </c>
      <c r="AF254" s="21" t="str">
        <f>IF(AND('Atividades Micro'!$A301=AF$2,'Atividades Micro'!$L301&lt;&gt;""),'Atividades Micro'!$L301,"")</f>
        <v/>
      </c>
      <c r="AG254" s="21" t="str">
        <f>IF(AND('Atividades Micro'!$B301=AG$2,'Atividades Micro'!$K301&lt;&gt;""),'Atividades Micro'!$K301,"")</f>
        <v/>
      </c>
      <c r="AH254" s="21" t="str">
        <f>IF(AND('Atividades Micro'!$B301=AH$2,'Atividades Micro'!$L301&lt;&gt;""),'Atividades Micro'!$L301,"")</f>
        <v/>
      </c>
      <c r="AI254" s="21" t="str">
        <f>IF(AND('Atividades Micro'!$B301=AI$2,'Atividades Micro'!$K301&lt;&gt;""),'Atividades Micro'!$K301,"")</f>
        <v/>
      </c>
      <c r="AJ254" s="21" t="str">
        <f>IF(AND('Atividades Micro'!$B301=AJ$2,'Atividades Micro'!$L301&lt;&gt;""),'Atividades Micro'!$L301,"")</f>
        <v/>
      </c>
      <c r="AK254" s="21" t="str">
        <f>IF(AND('Atividades Micro'!$A301=AK$2,'Atividades Micro'!$K301&lt;&gt;""),'Atividades Micro'!$K301,"")</f>
        <v/>
      </c>
      <c r="AL254" s="21" t="str">
        <f>IF(AND('Atividades Micro'!$A301=AL$2,'Atividades Micro'!$L301&lt;&gt;""),'Atividades Micro'!$L301,"")</f>
        <v/>
      </c>
      <c r="AM254" s="21" t="str">
        <f>IF(AND('Atividades Micro'!$B301=AM$2,'Atividades Micro'!$K301&lt;&gt;""),'Atividades Micro'!$K301,"")</f>
        <v/>
      </c>
      <c r="AN254" s="21" t="str">
        <f>IF(AND('Atividades Micro'!$B301=AN$2,'Atividades Micro'!$L301&lt;&gt;""),'Atividades Micro'!$L301,"")</f>
        <v/>
      </c>
      <c r="AO254" s="21" t="str">
        <f>IF(AND('Atividades Micro'!$B301=AO$2,'Atividades Micro'!$K301&lt;&gt;""),'Atividades Micro'!$K301,"")</f>
        <v/>
      </c>
      <c r="AP254" s="21" t="str">
        <f>IF(AND('Atividades Micro'!$B301=AP$2,'Atividades Micro'!$L301&lt;&gt;""),'Atividades Micro'!$L301,"")</f>
        <v/>
      </c>
      <c r="AQ254" s="21" t="str">
        <f>IF(AND('Atividades Micro'!$A301=AQ$2,'Atividades Micro'!$K301&lt;&gt;""),'Atividades Micro'!$K301,"")</f>
        <v/>
      </c>
      <c r="AR254" s="21" t="str">
        <f>IF(AND('Atividades Micro'!$A301=AR$2,'Atividades Micro'!$L301&lt;&gt;""),'Atividades Micro'!$L301,"")</f>
        <v/>
      </c>
      <c r="AS254" s="21" t="str">
        <f>IF(AND('Atividades Micro'!$B301=AS$2,'Atividades Micro'!$K301&lt;&gt;""),'Atividades Micro'!$K301,"")</f>
        <v/>
      </c>
      <c r="AT254" s="21" t="str">
        <f>IF(AND('Atividades Micro'!$B301=AT$2,'Atividades Micro'!$L301&lt;&gt;""),'Atividades Micro'!$L301,"")</f>
        <v/>
      </c>
      <c r="AU254" s="21" t="str">
        <f>IF(AND('Atividades Micro'!$A301=AU$2,'Atividades Micro'!$K301&lt;&gt;""),'Atividades Micro'!$K301,"")</f>
        <v/>
      </c>
      <c r="AV254" s="21" t="str">
        <f>IF(AND('Atividades Micro'!$A301=AV$2,'Atividades Micro'!$L301&lt;&gt;""),'Atividades Micro'!$L301,"")</f>
        <v/>
      </c>
      <c r="AW254" s="21" t="str">
        <f>IF(AND('Atividades Micro'!$B301=AW$2,'Atividades Micro'!$K301&lt;&gt;""),'Atividades Micro'!$K301,"")</f>
        <v/>
      </c>
      <c r="AX254" s="21" t="str">
        <f>IF(AND('Atividades Micro'!$B301=AX$2,'Atividades Micro'!$L301&lt;&gt;""),'Atividades Micro'!$L301,"")</f>
        <v/>
      </c>
      <c r="AY254" s="21" t="str">
        <f>IF(AND('Atividades Micro'!$A301=AY$2,'Atividades Micro'!$K301&lt;&gt;""),'Atividades Micro'!$K301,"")</f>
        <v/>
      </c>
      <c r="AZ254" s="21" t="str">
        <f>IF(AND('Atividades Micro'!$A301=AZ$2,'Atividades Micro'!$L301&lt;&gt;""),'Atividades Micro'!$L301,"")</f>
        <v/>
      </c>
      <c r="BA254" s="21" t="str">
        <f>IF(AND('Atividades Micro'!$B301=BA$2,'Atividades Micro'!$K301&lt;&gt;""),'Atividades Micro'!$K301,"")</f>
        <v/>
      </c>
      <c r="BB254" s="21" t="str">
        <f>IF(AND('Atividades Micro'!$B301=BB$2,'Atividades Micro'!$L301&lt;&gt;""),'Atividades Micro'!$L301,"")</f>
        <v/>
      </c>
      <c r="BC254" s="21" t="str">
        <f>IF(AND('Atividades Micro'!$B301=BC$2,'Atividades Micro'!$G301="Macro",'Atividades Micro'!$K301&lt;&gt;""),'Atividades Micro'!$K301,"")</f>
        <v/>
      </c>
      <c r="BD254" s="21" t="str">
        <f>IF(AND('Atividades Micro'!$B301=BD$2,'Atividades Micro'!$G301="Macro",'Atividades Micro'!$K301&lt;&gt;""),'Atividades Micro'!$K301,"")</f>
        <v/>
      </c>
      <c r="BE254" s="21" t="str">
        <f>IF(AND('Atividades Micro'!$B301=BE$2,'Atividades Micro'!$G301="Macro",'Atividades Micro'!$K301&lt;&gt;""),'Atividades Micro'!$K301,"")</f>
        <v/>
      </c>
      <c r="BF254" s="21" t="str">
        <f>IF(AND('Atividades Micro'!$B301=BF$2,'Atividades Micro'!$G301="Macro",'Atividades Micro'!$K301&lt;&gt;""),'Atividades Micro'!$K301,"")</f>
        <v/>
      </c>
      <c r="BG254" s="21" t="str">
        <f>IF(AND('Atividades Micro'!$B301=BG$2,'Atividades Micro'!$G301="Macro",'Atividades Micro'!$K301&lt;&gt;""),'Atividades Micro'!$K301,"")</f>
        <v/>
      </c>
      <c r="BH254" s="21" t="str">
        <f>IF(AND('Atividades Micro'!$B301=BH$2,'Atividades Micro'!$G301="Macro",'Atividades Micro'!$K301&lt;&gt;""),'Atividades Micro'!$K301,"")</f>
        <v/>
      </c>
      <c r="BI254" s="21" t="str">
        <f>IF(AND('Atividades Micro'!$B301=BI$2,'Atividades Micro'!$G301="Macro",'Atividades Micro'!$K301&lt;&gt;""),'Atividades Micro'!$K301,"")</f>
        <v/>
      </c>
      <c r="BJ254" s="21" t="str">
        <f>IF(AND('Atividades Micro'!$B301=BJ$2,'Atividades Micro'!$G301="Macro",'Atividades Micro'!$K301&lt;&gt;""),'Atividades Micro'!$K301,"")</f>
        <v/>
      </c>
      <c r="BK254" s="21" t="str">
        <f>IF(AND('Atividades Micro'!$B301=BK$2,'Atividades Micro'!$G301="Macro",'Atividades Micro'!$K301&lt;&gt;""),'Atividades Micro'!$K301,"")</f>
        <v/>
      </c>
      <c r="BL254" s="21" t="str">
        <f>IF(AND('Atividades Micro'!$B301=BL$2,'Atividades Micro'!$G301="Macro",'Atividades Micro'!$K301&lt;&gt;""),'Atividades Micro'!$K301,"")</f>
        <v/>
      </c>
      <c r="BM254" s="21" t="str">
        <f>IF(AND('Atividades Micro'!$B301=BM$2,'Atividades Micro'!$G301="Macro",'Atividades Micro'!$K301&lt;&gt;""),'Atividades Micro'!$K301,"")</f>
        <v/>
      </c>
      <c r="BN254" s="21" t="str">
        <f>IF(AND('Atividades Micro'!$B301=BN$2,'Atividades Micro'!$G301="Macro",'Atividades Micro'!$K301&lt;&gt;""),'Atividades Micro'!$K301,"")</f>
        <v/>
      </c>
      <c r="BO254" s="21" t="str">
        <f>IF(AND('Atividades Micro'!$B301=BO$2,'Atividades Micro'!$G301="Macro",'Atividades Micro'!$K301&lt;&gt;""),'Atividades Micro'!$K301,"")</f>
        <v/>
      </c>
      <c r="BP254" s="21" t="str">
        <f>IF(AND('Atividades Micro'!$B301=BP$2,'Atividades Micro'!$G301="Macro",'Atividades Micro'!$K301&lt;&gt;""),'Atividades Micro'!$K301,"")</f>
        <v/>
      </c>
      <c r="BQ254" s="21" t="str">
        <f>IF(AND('Atividades Micro'!$B301=BQ$2,'Atividades Micro'!$G301="Macro",'Atividades Micro'!$K301&lt;&gt;""),'Atividades Micro'!$K301,"")</f>
        <v/>
      </c>
      <c r="BR254" s="21" t="str">
        <f>IF(AND('Atividades Micro'!$B301=BR$2,'Atividades Micro'!$G301="Macro",'Atividades Micro'!$K301&lt;&gt;""),'Atividades Micro'!$K301,"")</f>
        <v/>
      </c>
      <c r="BS254" s="21" t="str">
        <f>IF(AND('Atividades Micro'!$B301=BS$2,'Atividades Micro'!$G301="Macro",'Atividades Micro'!$K301&lt;&gt;""),'Atividades Micro'!$K301,"")</f>
        <v/>
      </c>
      <c r="BT254" s="21" t="str">
        <f>IF(AND('Atividades Micro'!$B301=BT$2,'Atividades Micro'!$G301="Macro",'Atividades Micro'!$K301&lt;&gt;""),'Atividades Micro'!$K301,"")</f>
        <v/>
      </c>
      <c r="BU254" s="21" t="str">
        <f>IF(AND('Atividades Micro'!$B301=BU$2,'Atividades Micro'!$G301="Macro",'Atividades Micro'!$K301&lt;&gt;""),'Atividades Micro'!$K301,"")</f>
        <v/>
      </c>
      <c r="BV254" s="21" t="str">
        <f>IF(AND('Atividades Micro'!$B301=BV$2,'Atividades Micro'!$G301="Macro",'Atividades Micro'!$K301&lt;&gt;""),'Atividades Micro'!$K301,"")</f>
        <v/>
      </c>
      <c r="BW254" s="21" t="str">
        <f>IF(AND('Atividades Micro'!$B301=BW$2,'Atividades Micro'!$G301="Macro",'Atividades Micro'!$K301&lt;&gt;""),'Atividades Micro'!$K301,"")</f>
        <v/>
      </c>
      <c r="BX254" s="21" t="str">
        <f>IF(AND('Atividades Micro'!$B301=BX$2,'Atividades Micro'!$G301="Macro",'Atividades Micro'!$K301&lt;&gt;""),'Atividades Micro'!$K301,"")</f>
        <v/>
      </c>
      <c r="BY254" s="21" t="str">
        <f>IF(AND('Atividades Micro'!$B301=BY$2,'Atividades Micro'!$G301="Macro",'Atividades Micro'!$K301&lt;&gt;""),'Atividades Micro'!$K301,"")</f>
        <v/>
      </c>
      <c r="BZ254" s="21" t="str">
        <f>IF(AND('Atividades Micro'!$B301=BZ$2,'Atividades Micro'!$G301="Macro",'Atividades Micro'!$K301&lt;&gt;""),'Atividades Micro'!$K301,"")</f>
        <v/>
      </c>
      <c r="CA254" s="21" t="str">
        <f>IF(AND('Atividades Micro'!$B301=CA$2,'Atividades Micro'!$G301="Macro",'Atividades Micro'!$K301&lt;&gt;""),'Atividades Micro'!$K301,"")</f>
        <v/>
      </c>
      <c r="CB254" s="21" t="str">
        <f>IF(AND('Atividades Micro'!$B301=CB$2,'Atividades Micro'!$G301="Macro",'Atividades Micro'!$K301&lt;&gt;""),'Atividades Micro'!$K301,"")</f>
        <v/>
      </c>
      <c r="CC254" s="21" t="str">
        <f>IF(AND('Atividades Micro'!$B301=CC$2,'Atividades Micro'!$G301="Macro",'Atividades Micro'!$K301&lt;&gt;""),'Atividades Micro'!$K301,"")</f>
        <v/>
      </c>
      <c r="CD254" s="21" t="str">
        <f>IF(AND('Atividades Micro'!$B301=CD$2,'Atividades Micro'!$G301="Micro",'Atividades Micro'!$K301&lt;&gt;""),'Atividades Micro'!$K301,"")</f>
        <v/>
      </c>
      <c r="CE254" s="21" t="str">
        <f>IF(AND('Atividades Micro'!$B301=CE$2,'Atividades Micro'!$G301="Micro",'Atividades Micro'!$K301&lt;&gt;""),'Atividades Micro'!$K301,"")</f>
        <v/>
      </c>
      <c r="CF254" s="21" t="str">
        <f>IF(AND('Atividades Micro'!$B301=CF$2,'Atividades Micro'!$G301="Micro",'Atividades Micro'!$K301&lt;&gt;""),'Atividades Micro'!$K301,"")</f>
        <v/>
      </c>
      <c r="CG254" s="21" t="str">
        <f>IF(AND('Atividades Micro'!$B301=CG$2,'Atividades Micro'!$G301="Micro",'Atividades Micro'!$K301&lt;&gt;""),'Atividades Micro'!$K301,"")</f>
        <v/>
      </c>
      <c r="CH254" s="21" t="str">
        <f>IF(AND('Atividades Micro'!$B301=CH$2,'Atividades Micro'!$G301="Micro",'Atividades Micro'!$K301&lt;&gt;""),'Atividades Micro'!$K301,"")</f>
        <v/>
      </c>
      <c r="CI254" s="21" t="str">
        <f>IF(AND('Atividades Micro'!$B301=CI$2,'Atividades Micro'!$G301="Micro",'Atividades Micro'!$K301&lt;&gt;""),'Atividades Micro'!$K301,"")</f>
        <v/>
      </c>
      <c r="CJ254" s="21" t="str">
        <f>IF(AND('Atividades Micro'!$B301=CJ$2,'Atividades Micro'!$G301="Micro",'Atividades Micro'!$K301&lt;&gt;""),'Atividades Micro'!$K301,"")</f>
        <v/>
      </c>
      <c r="CK254" s="21" t="str">
        <f>IF(AND('Atividades Micro'!$B301=CK$2,'Atividades Micro'!$G301="Micro",'Atividades Micro'!$K301&lt;&gt;""),'Atividades Micro'!$K301,"")</f>
        <v/>
      </c>
      <c r="CL254" s="21" t="str">
        <f>IF(AND('Atividades Micro'!$B301=CL$2,'Atividades Micro'!$G301="Micro",'Atividades Micro'!$K301&lt;&gt;""),'Atividades Micro'!$K301,"")</f>
        <v/>
      </c>
      <c r="CM254" s="21" t="str">
        <f>IF(AND('Atividades Micro'!$B301=CM$2,'Atividades Micro'!$G301="Micro",'Atividades Micro'!$K301&lt;&gt;""),'Atividades Micro'!$K301,"")</f>
        <v/>
      </c>
      <c r="CN254" s="21" t="str">
        <f>IF(AND('Atividades Micro'!$B301=CN$2,'Atividades Micro'!$G301="Micro",'Atividades Micro'!$K301&lt;&gt;""),'Atividades Micro'!$K301,"")</f>
        <v/>
      </c>
      <c r="CO254" s="21" t="str">
        <f>IF(AND('Atividades Micro'!$B301=CO$2,'Atividades Micro'!$G301="Micro",'Atividades Micro'!$K301&lt;&gt;""),'Atividades Micro'!$K301,"")</f>
        <v/>
      </c>
    </row>
    <row r="255" spans="1:93">
      <c r="A255" s="21" t="str">
        <f>IF(AND('Atividades Micro'!$A302=A$2,'Atividades Micro'!$K302&lt;&gt;""),'Atividades Micro'!$K302,"")</f>
        <v/>
      </c>
      <c r="B255" s="21" t="str">
        <f>IF(AND('Atividades Micro'!$A302=B$2,'Atividades Micro'!$L302&lt;&gt;""),'Atividades Micro'!$L302,"")</f>
        <v/>
      </c>
      <c r="C255" s="21">
        <f>IF(AND('Atividades Micro'!$A302=C$2,'Atividades Micro'!$K302&lt;&gt;""),'Atividades Micro'!$K302,"")</f>
        <v>46457</v>
      </c>
      <c r="D255" s="21" t="str">
        <f>IF(AND('Atividades Micro'!$A302=D$2,'Atividades Micro'!$L302&lt;&gt;""),'Atividades Micro'!$L302,"")</f>
        <v/>
      </c>
      <c r="E255" s="21" t="str">
        <f>IF(AND('Atividades Micro'!$A302=E$2,'Atividades Micro'!$K302&lt;&gt;""),'Atividades Micro'!$K302,"")</f>
        <v/>
      </c>
      <c r="F255" s="21" t="str">
        <f>IF(AND('Atividades Micro'!$A302=F$2,'Atividades Micro'!$L302&lt;&gt;""),'Atividades Micro'!$L302,"")</f>
        <v/>
      </c>
      <c r="G255" s="21" t="str">
        <f>IF(AND('Atividades Micro'!$A302=G$2,'Atividades Micro'!$K302&lt;&gt;""),'Atividades Micro'!$K302,"")</f>
        <v/>
      </c>
      <c r="H255" s="21" t="str">
        <f>IF(AND('Atividades Micro'!$A302=H$2,'Atividades Micro'!$L302&lt;&gt;""),'Atividades Micro'!$L302,"")</f>
        <v/>
      </c>
      <c r="I255" s="21" t="str">
        <f>IF(AND('Atividades Micro'!$A302=I$2,'Atividades Micro'!$K302&lt;&gt;""),'Atividades Micro'!$K302,"")</f>
        <v/>
      </c>
      <c r="J255" s="21" t="str">
        <f>IF(AND('Atividades Micro'!$A302=J$2,'Atividades Micro'!$L302&lt;&gt;""),'Atividades Micro'!$L302,"")</f>
        <v/>
      </c>
      <c r="K255" s="21" t="str">
        <f>IF(AND('Atividades Micro'!$B302=K$2,'Atividades Micro'!$K302&lt;&gt;""),'Atividades Micro'!$K302,"")</f>
        <v/>
      </c>
      <c r="L255" s="21" t="str">
        <f>IF(AND('Atividades Micro'!$B302=L$2,'Atividades Micro'!$L302&lt;&gt;""),'Atividades Micro'!$L302,"")</f>
        <v/>
      </c>
      <c r="M255" s="21" t="str">
        <f>IF(AND('Atividades Micro'!$B302=M$2,'Atividades Micro'!$K302&lt;&gt;""),'Atividades Micro'!$K302,"")</f>
        <v/>
      </c>
      <c r="N255" s="21" t="str">
        <f>IF(AND('Atividades Micro'!$B302=N$2,'Atividades Micro'!$L302&lt;&gt;""),'Atividades Micro'!$L302,"")</f>
        <v/>
      </c>
      <c r="O255" s="21" t="str">
        <f>IF(AND('Atividades Micro'!$A302=O$2,'Atividades Micro'!$K302&lt;&gt;""),'Atividades Micro'!$K302,"")</f>
        <v/>
      </c>
      <c r="P255" s="21" t="str">
        <f>IF(AND('Atividades Micro'!$A302=P$2,'Atividades Micro'!$L302&lt;&gt;""),'Atividades Micro'!$L302,"")</f>
        <v/>
      </c>
      <c r="Q255" s="21" t="str">
        <f>IF(AND('Atividades Micro'!$B302=Q$2,'Atividades Micro'!$K302&lt;&gt;""),'Atividades Micro'!$K302,"")</f>
        <v/>
      </c>
      <c r="R255" s="21" t="str">
        <f>IF(AND('Atividades Micro'!$B302=R$2,'Atividades Micro'!$L302&lt;&gt;""),'Atividades Micro'!$L302,"")</f>
        <v/>
      </c>
      <c r="S255" s="21" t="str">
        <f>IF(AND('Atividades Micro'!$A302=S$2,'Atividades Micro'!$K302&lt;&gt;""),'Atividades Micro'!$K302,"")</f>
        <v/>
      </c>
      <c r="T255" s="21" t="str">
        <f>IF(AND('Atividades Micro'!$A302=T$2,'Atividades Micro'!$L302&lt;&gt;""),'Atividades Micro'!$L302,"")</f>
        <v/>
      </c>
      <c r="U255" s="21" t="str">
        <f>IF(AND('Atividades Micro'!$B302=U$2,'Atividades Micro'!$K302&lt;&gt;""),'Atividades Micro'!$K302,"")</f>
        <v/>
      </c>
      <c r="V255" s="21" t="str">
        <f>IF(AND('Atividades Micro'!$B302=V$2,'Atividades Micro'!$L302&lt;&gt;""),'Atividades Micro'!$L302,"")</f>
        <v/>
      </c>
      <c r="W255" s="21" t="str">
        <f>IF(AND('Atividades Micro'!$B302=W$2,'Atividades Micro'!$K302&lt;&gt;""),'Atividades Micro'!$K302,"")</f>
        <v/>
      </c>
      <c r="X255" s="21" t="str">
        <f>IF(AND('Atividades Micro'!$B302=X$2,'Atividades Micro'!$L302&lt;&gt;""),'Atividades Micro'!$L302,"")</f>
        <v/>
      </c>
      <c r="Y255" s="21" t="str">
        <f>IF(AND('Atividades Micro'!$A302=Y$2,'Atividades Micro'!$K302&lt;&gt;""),'Atividades Micro'!$K302,"")</f>
        <v/>
      </c>
      <c r="Z255" s="21" t="str">
        <f>IF(AND('Atividades Micro'!$A302=Z$2,'Atividades Micro'!$L302&lt;&gt;""),'Atividades Micro'!$L302,"")</f>
        <v/>
      </c>
      <c r="AA255" s="21" t="str">
        <f>IF(AND('Atividades Micro'!$B302=AA$2,'Atividades Micro'!$K302&lt;&gt;""),'Atividades Micro'!$K302,"")</f>
        <v/>
      </c>
      <c r="AB255" s="21" t="str">
        <f>IF(AND('Atividades Micro'!$B302=AB$2,'Atividades Micro'!$L302&lt;&gt;""),'Atividades Micro'!$L302,"")</f>
        <v/>
      </c>
      <c r="AC255" s="21" t="str">
        <f>IF(AND('Atividades Micro'!$B302=AC$2,'Atividades Micro'!$K302&lt;&gt;""),'Atividades Micro'!$K302,"")</f>
        <v/>
      </c>
      <c r="AD255" s="21" t="str">
        <f>IF(AND('Atividades Micro'!$B302=AD$2,'Atividades Micro'!$L302&lt;&gt;""),'Atividades Micro'!$L302,"")</f>
        <v/>
      </c>
      <c r="AE255" s="21" t="str">
        <f>IF(AND('Atividades Micro'!$A302=AE$2,'Atividades Micro'!$K302&lt;&gt;""),'Atividades Micro'!$K302,"")</f>
        <v/>
      </c>
      <c r="AF255" s="21" t="str">
        <f>IF(AND('Atividades Micro'!$A302=AF$2,'Atividades Micro'!$L302&lt;&gt;""),'Atividades Micro'!$L302,"")</f>
        <v/>
      </c>
      <c r="AG255" s="21" t="str">
        <f>IF(AND('Atividades Micro'!$B302=AG$2,'Atividades Micro'!$K302&lt;&gt;""),'Atividades Micro'!$K302,"")</f>
        <v/>
      </c>
      <c r="AH255" s="21" t="str">
        <f>IF(AND('Atividades Micro'!$B302=AH$2,'Atividades Micro'!$L302&lt;&gt;""),'Atividades Micro'!$L302,"")</f>
        <v/>
      </c>
      <c r="AI255" s="21" t="str">
        <f>IF(AND('Atividades Micro'!$B302=AI$2,'Atividades Micro'!$K302&lt;&gt;""),'Atividades Micro'!$K302,"")</f>
        <v/>
      </c>
      <c r="AJ255" s="21" t="str">
        <f>IF(AND('Atividades Micro'!$B302=AJ$2,'Atividades Micro'!$L302&lt;&gt;""),'Atividades Micro'!$L302,"")</f>
        <v/>
      </c>
      <c r="AK255" s="21" t="str">
        <f>IF(AND('Atividades Micro'!$A302=AK$2,'Atividades Micro'!$K302&lt;&gt;""),'Atividades Micro'!$K302,"")</f>
        <v/>
      </c>
      <c r="AL255" s="21" t="str">
        <f>IF(AND('Atividades Micro'!$A302=AL$2,'Atividades Micro'!$L302&lt;&gt;""),'Atividades Micro'!$L302,"")</f>
        <v/>
      </c>
      <c r="AM255" s="21" t="str">
        <f>IF(AND('Atividades Micro'!$B302=AM$2,'Atividades Micro'!$K302&lt;&gt;""),'Atividades Micro'!$K302,"")</f>
        <v/>
      </c>
      <c r="AN255" s="21" t="str">
        <f>IF(AND('Atividades Micro'!$B302=AN$2,'Atividades Micro'!$L302&lt;&gt;""),'Atividades Micro'!$L302,"")</f>
        <v/>
      </c>
      <c r="AO255" s="21" t="str">
        <f>IF(AND('Atividades Micro'!$B302=AO$2,'Atividades Micro'!$K302&lt;&gt;""),'Atividades Micro'!$K302,"")</f>
        <v/>
      </c>
      <c r="AP255" s="21" t="str">
        <f>IF(AND('Atividades Micro'!$B302=AP$2,'Atividades Micro'!$L302&lt;&gt;""),'Atividades Micro'!$L302,"")</f>
        <v/>
      </c>
      <c r="AQ255" s="21" t="str">
        <f>IF(AND('Atividades Micro'!$A302=AQ$2,'Atividades Micro'!$K302&lt;&gt;""),'Atividades Micro'!$K302,"")</f>
        <v/>
      </c>
      <c r="AR255" s="21" t="str">
        <f>IF(AND('Atividades Micro'!$A302=AR$2,'Atividades Micro'!$L302&lt;&gt;""),'Atividades Micro'!$L302,"")</f>
        <v/>
      </c>
      <c r="AS255" s="21" t="str">
        <f>IF(AND('Atividades Micro'!$B302=AS$2,'Atividades Micro'!$K302&lt;&gt;""),'Atividades Micro'!$K302,"")</f>
        <v/>
      </c>
      <c r="AT255" s="21" t="str">
        <f>IF(AND('Atividades Micro'!$B302=AT$2,'Atividades Micro'!$L302&lt;&gt;""),'Atividades Micro'!$L302,"")</f>
        <v/>
      </c>
      <c r="AU255" s="21" t="str">
        <f>IF(AND('Atividades Micro'!$A302=AU$2,'Atividades Micro'!$K302&lt;&gt;""),'Atividades Micro'!$K302,"")</f>
        <v/>
      </c>
      <c r="AV255" s="21" t="str">
        <f>IF(AND('Atividades Micro'!$A302=AV$2,'Atividades Micro'!$L302&lt;&gt;""),'Atividades Micro'!$L302,"")</f>
        <v/>
      </c>
      <c r="AW255" s="21" t="str">
        <f>IF(AND('Atividades Micro'!$B302=AW$2,'Atividades Micro'!$K302&lt;&gt;""),'Atividades Micro'!$K302,"")</f>
        <v/>
      </c>
      <c r="AX255" s="21" t="str">
        <f>IF(AND('Atividades Micro'!$B302=AX$2,'Atividades Micro'!$L302&lt;&gt;""),'Atividades Micro'!$L302,"")</f>
        <v/>
      </c>
      <c r="AY255" s="21" t="str">
        <f>IF(AND('Atividades Micro'!$A302=AY$2,'Atividades Micro'!$K302&lt;&gt;""),'Atividades Micro'!$K302,"")</f>
        <v/>
      </c>
      <c r="AZ255" s="21" t="str">
        <f>IF(AND('Atividades Micro'!$A302=AZ$2,'Atividades Micro'!$L302&lt;&gt;""),'Atividades Micro'!$L302,"")</f>
        <v/>
      </c>
      <c r="BA255" s="21" t="str">
        <f>IF(AND('Atividades Micro'!$B302=BA$2,'Atividades Micro'!$K302&lt;&gt;""),'Atividades Micro'!$K302,"")</f>
        <v/>
      </c>
      <c r="BB255" s="21" t="str">
        <f>IF(AND('Atividades Micro'!$B302=BB$2,'Atividades Micro'!$L302&lt;&gt;""),'Atividades Micro'!$L302,"")</f>
        <v/>
      </c>
      <c r="BC255" s="21" t="str">
        <f>IF(AND('Atividades Micro'!$B302=BC$2,'Atividades Micro'!$G302="Macro",'Atividades Micro'!$K302&lt;&gt;""),'Atividades Micro'!$K302,"")</f>
        <v/>
      </c>
      <c r="BD255" s="21" t="str">
        <f>IF(AND('Atividades Micro'!$B302=BD$2,'Atividades Micro'!$G302="Macro",'Atividades Micro'!$K302&lt;&gt;""),'Atividades Micro'!$K302,"")</f>
        <v/>
      </c>
      <c r="BE255" s="21" t="str">
        <f>IF(AND('Atividades Micro'!$B302=BE$2,'Atividades Micro'!$G302="Macro",'Atividades Micro'!$K302&lt;&gt;""),'Atividades Micro'!$K302,"")</f>
        <v/>
      </c>
      <c r="BF255" s="21" t="str">
        <f>IF(AND('Atividades Micro'!$B302=BF$2,'Atividades Micro'!$G302="Macro",'Atividades Micro'!$K302&lt;&gt;""),'Atividades Micro'!$K302,"")</f>
        <v/>
      </c>
      <c r="BG255" s="21" t="str">
        <f>IF(AND('Atividades Micro'!$B302=BG$2,'Atividades Micro'!$G302="Macro",'Atividades Micro'!$K302&lt;&gt;""),'Atividades Micro'!$K302,"")</f>
        <v/>
      </c>
      <c r="BH255" s="21" t="str">
        <f>IF(AND('Atividades Micro'!$B302=BH$2,'Atividades Micro'!$G302="Macro",'Atividades Micro'!$K302&lt;&gt;""),'Atividades Micro'!$K302,"")</f>
        <v/>
      </c>
      <c r="BI255" s="21" t="str">
        <f>IF(AND('Atividades Micro'!$B302=BI$2,'Atividades Micro'!$G302="Macro",'Atividades Micro'!$K302&lt;&gt;""),'Atividades Micro'!$K302,"")</f>
        <v/>
      </c>
      <c r="BJ255" s="21" t="str">
        <f>IF(AND('Atividades Micro'!$B302=BJ$2,'Atividades Micro'!$G302="Macro",'Atividades Micro'!$K302&lt;&gt;""),'Atividades Micro'!$K302,"")</f>
        <v/>
      </c>
      <c r="BK255" s="21" t="str">
        <f>IF(AND('Atividades Micro'!$B302=BK$2,'Atividades Micro'!$G302="Macro",'Atividades Micro'!$K302&lt;&gt;""),'Atividades Micro'!$K302,"")</f>
        <v/>
      </c>
      <c r="BL255" s="21" t="str">
        <f>IF(AND('Atividades Micro'!$B302=BL$2,'Atividades Micro'!$G302="Macro",'Atividades Micro'!$K302&lt;&gt;""),'Atividades Micro'!$K302,"")</f>
        <v/>
      </c>
      <c r="BM255" s="21" t="str">
        <f>IF(AND('Atividades Micro'!$B302=BM$2,'Atividades Micro'!$G302="Macro",'Atividades Micro'!$K302&lt;&gt;""),'Atividades Micro'!$K302,"")</f>
        <v/>
      </c>
      <c r="BN255" s="21" t="str">
        <f>IF(AND('Atividades Micro'!$B302=BN$2,'Atividades Micro'!$G302="Macro",'Atividades Micro'!$K302&lt;&gt;""),'Atividades Micro'!$K302,"")</f>
        <v/>
      </c>
      <c r="BO255" s="21" t="str">
        <f>IF(AND('Atividades Micro'!$B302=BO$2,'Atividades Micro'!$G302="Macro",'Atividades Micro'!$K302&lt;&gt;""),'Atividades Micro'!$K302,"")</f>
        <v/>
      </c>
      <c r="BP255" s="21" t="str">
        <f>IF(AND('Atividades Micro'!$B302=BP$2,'Atividades Micro'!$G302="Macro",'Atividades Micro'!$K302&lt;&gt;""),'Atividades Micro'!$K302,"")</f>
        <v/>
      </c>
      <c r="BQ255" s="21" t="str">
        <f>IF(AND('Atividades Micro'!$B302=BQ$2,'Atividades Micro'!$G302="Macro",'Atividades Micro'!$K302&lt;&gt;""),'Atividades Micro'!$K302,"")</f>
        <v/>
      </c>
      <c r="BR255" s="21" t="str">
        <f>IF(AND('Atividades Micro'!$B302=BR$2,'Atividades Micro'!$G302="Macro",'Atividades Micro'!$K302&lt;&gt;""),'Atividades Micro'!$K302,"")</f>
        <v/>
      </c>
      <c r="BS255" s="21" t="str">
        <f>IF(AND('Atividades Micro'!$B302=BS$2,'Atividades Micro'!$G302="Macro",'Atividades Micro'!$K302&lt;&gt;""),'Atividades Micro'!$K302,"")</f>
        <v/>
      </c>
      <c r="BT255" s="21" t="str">
        <f>IF(AND('Atividades Micro'!$B302=BT$2,'Atividades Micro'!$G302="Macro",'Atividades Micro'!$K302&lt;&gt;""),'Atividades Micro'!$K302,"")</f>
        <v/>
      </c>
      <c r="BU255" s="21" t="str">
        <f>IF(AND('Atividades Micro'!$B302=BU$2,'Atividades Micro'!$G302="Macro",'Atividades Micro'!$K302&lt;&gt;""),'Atividades Micro'!$K302,"")</f>
        <v/>
      </c>
      <c r="BV255" s="21" t="str">
        <f>IF(AND('Atividades Micro'!$B302=BV$2,'Atividades Micro'!$G302="Macro",'Atividades Micro'!$K302&lt;&gt;""),'Atividades Micro'!$K302,"")</f>
        <v/>
      </c>
      <c r="BW255" s="21" t="str">
        <f>IF(AND('Atividades Micro'!$B302=BW$2,'Atividades Micro'!$G302="Macro",'Atividades Micro'!$K302&lt;&gt;""),'Atividades Micro'!$K302,"")</f>
        <v/>
      </c>
      <c r="BX255" s="21" t="str">
        <f>IF(AND('Atividades Micro'!$B302=BX$2,'Atividades Micro'!$G302="Macro",'Atividades Micro'!$K302&lt;&gt;""),'Atividades Micro'!$K302,"")</f>
        <v/>
      </c>
      <c r="BY255" s="21" t="str">
        <f>IF(AND('Atividades Micro'!$B302=BY$2,'Atividades Micro'!$G302="Macro",'Atividades Micro'!$K302&lt;&gt;""),'Atividades Micro'!$K302,"")</f>
        <v/>
      </c>
      <c r="BZ255" s="21" t="str">
        <f>IF(AND('Atividades Micro'!$B302=BZ$2,'Atividades Micro'!$G302="Macro",'Atividades Micro'!$K302&lt;&gt;""),'Atividades Micro'!$K302,"")</f>
        <v/>
      </c>
      <c r="CA255" s="21" t="str">
        <f>IF(AND('Atividades Micro'!$B302=CA$2,'Atividades Micro'!$G302="Macro",'Atividades Micro'!$K302&lt;&gt;""),'Atividades Micro'!$K302,"")</f>
        <v/>
      </c>
      <c r="CB255" s="21" t="str">
        <f>IF(AND('Atividades Micro'!$B302=CB$2,'Atividades Micro'!$G302="Macro",'Atividades Micro'!$K302&lt;&gt;""),'Atividades Micro'!$K302,"")</f>
        <v/>
      </c>
      <c r="CC255" s="21" t="str">
        <f>IF(AND('Atividades Micro'!$B302=CC$2,'Atividades Micro'!$G302="Macro",'Atividades Micro'!$K302&lt;&gt;""),'Atividades Micro'!$K302,"")</f>
        <v/>
      </c>
      <c r="CD255" s="21" t="str">
        <f>IF(AND('Atividades Micro'!$B302=CD$2,'Atividades Micro'!$G302="Micro",'Atividades Micro'!$K302&lt;&gt;""),'Atividades Micro'!$K302,"")</f>
        <v/>
      </c>
      <c r="CE255" s="21" t="str">
        <f>IF(AND('Atividades Micro'!$B302=CE$2,'Atividades Micro'!$G302="Micro",'Atividades Micro'!$K302&lt;&gt;""),'Atividades Micro'!$K302,"")</f>
        <v/>
      </c>
      <c r="CF255" s="21" t="str">
        <f>IF(AND('Atividades Micro'!$B302=CF$2,'Atividades Micro'!$G302="Micro",'Atividades Micro'!$K302&lt;&gt;""),'Atividades Micro'!$K302,"")</f>
        <v/>
      </c>
      <c r="CG255" s="21" t="str">
        <f>IF(AND('Atividades Micro'!$B302=CG$2,'Atividades Micro'!$G302="Micro",'Atividades Micro'!$K302&lt;&gt;""),'Atividades Micro'!$K302,"")</f>
        <v/>
      </c>
      <c r="CH255" s="21" t="str">
        <f>IF(AND('Atividades Micro'!$B302=CH$2,'Atividades Micro'!$G302="Micro",'Atividades Micro'!$K302&lt;&gt;""),'Atividades Micro'!$K302,"")</f>
        <v/>
      </c>
      <c r="CI255" s="21" t="str">
        <f>IF(AND('Atividades Micro'!$B302=CI$2,'Atividades Micro'!$G302="Micro",'Atividades Micro'!$K302&lt;&gt;""),'Atividades Micro'!$K302,"")</f>
        <v/>
      </c>
      <c r="CJ255" s="21" t="str">
        <f>IF(AND('Atividades Micro'!$B302=CJ$2,'Atividades Micro'!$G302="Micro",'Atividades Micro'!$K302&lt;&gt;""),'Atividades Micro'!$K302,"")</f>
        <v/>
      </c>
      <c r="CK255" s="21" t="str">
        <f>IF(AND('Atividades Micro'!$B302=CK$2,'Atividades Micro'!$G302="Micro",'Atividades Micro'!$K302&lt;&gt;""),'Atividades Micro'!$K302,"")</f>
        <v/>
      </c>
      <c r="CL255" s="21" t="str">
        <f>IF(AND('Atividades Micro'!$B302=CL$2,'Atividades Micro'!$G302="Micro",'Atividades Micro'!$K302&lt;&gt;""),'Atividades Micro'!$K302,"")</f>
        <v/>
      </c>
      <c r="CM255" s="21" t="str">
        <f>IF(AND('Atividades Micro'!$B302=CM$2,'Atividades Micro'!$G302="Micro",'Atividades Micro'!$K302&lt;&gt;""),'Atividades Micro'!$K302,"")</f>
        <v/>
      </c>
      <c r="CN255" s="21" t="str">
        <f>IF(AND('Atividades Micro'!$B302=CN$2,'Atividades Micro'!$G302="Micro",'Atividades Micro'!$K302&lt;&gt;""),'Atividades Micro'!$K302,"")</f>
        <v/>
      </c>
      <c r="CO255" s="21" t="str">
        <f>IF(AND('Atividades Micro'!$B302=CO$2,'Atividades Micro'!$G302="Micro",'Atividades Micro'!$K302&lt;&gt;""),'Atividades Micro'!$K302,"")</f>
        <v/>
      </c>
    </row>
    <row r="256" spans="1:93">
      <c r="A256" s="21" t="str">
        <f>IF(AND('Atividades Micro'!$A303=A$2,'Atividades Micro'!$K303&lt;&gt;""),'Atividades Micro'!$K303,"")</f>
        <v/>
      </c>
      <c r="B256" s="21" t="str">
        <f>IF(AND('Atividades Micro'!$A303=B$2,'Atividades Micro'!$L303&lt;&gt;""),'Atividades Micro'!$L303,"")</f>
        <v/>
      </c>
      <c r="C256" s="21">
        <f>IF(AND('Atividades Micro'!$A303=C$2,'Atividades Micro'!$K303&lt;&gt;""),'Atividades Micro'!$K303,"")</f>
        <v>46477</v>
      </c>
      <c r="D256" s="21" t="str">
        <f>IF(AND('Atividades Micro'!$A303=D$2,'Atividades Micro'!$L303&lt;&gt;""),'Atividades Micro'!$L303,"")</f>
        <v/>
      </c>
      <c r="E256" s="21" t="str">
        <f>IF(AND('Atividades Micro'!$A303=E$2,'Atividades Micro'!$K303&lt;&gt;""),'Atividades Micro'!$K303,"")</f>
        <v/>
      </c>
      <c r="F256" s="21" t="str">
        <f>IF(AND('Atividades Micro'!$A303=F$2,'Atividades Micro'!$L303&lt;&gt;""),'Atividades Micro'!$L303,"")</f>
        <v/>
      </c>
      <c r="G256" s="21" t="str">
        <f>IF(AND('Atividades Micro'!$A303=G$2,'Atividades Micro'!$K303&lt;&gt;""),'Atividades Micro'!$K303,"")</f>
        <v/>
      </c>
      <c r="H256" s="21" t="str">
        <f>IF(AND('Atividades Micro'!$A303=H$2,'Atividades Micro'!$L303&lt;&gt;""),'Atividades Micro'!$L303,"")</f>
        <v/>
      </c>
      <c r="I256" s="21" t="str">
        <f>IF(AND('Atividades Micro'!$A303=I$2,'Atividades Micro'!$K303&lt;&gt;""),'Atividades Micro'!$K303,"")</f>
        <v/>
      </c>
      <c r="J256" s="21" t="str">
        <f>IF(AND('Atividades Micro'!$A303=J$2,'Atividades Micro'!$L303&lt;&gt;""),'Atividades Micro'!$L303,"")</f>
        <v/>
      </c>
      <c r="K256" s="21" t="str">
        <f>IF(AND('Atividades Micro'!$B303=K$2,'Atividades Micro'!$K303&lt;&gt;""),'Atividades Micro'!$K303,"")</f>
        <v/>
      </c>
      <c r="L256" s="21" t="str">
        <f>IF(AND('Atividades Micro'!$B303=L$2,'Atividades Micro'!$L303&lt;&gt;""),'Atividades Micro'!$L303,"")</f>
        <v/>
      </c>
      <c r="M256" s="21" t="str">
        <f>IF(AND('Atividades Micro'!$B303=M$2,'Atividades Micro'!$K303&lt;&gt;""),'Atividades Micro'!$K303,"")</f>
        <v/>
      </c>
      <c r="N256" s="21" t="str">
        <f>IF(AND('Atividades Micro'!$B303=N$2,'Atividades Micro'!$L303&lt;&gt;""),'Atividades Micro'!$L303,"")</f>
        <v/>
      </c>
      <c r="O256" s="21" t="str">
        <f>IF(AND('Atividades Micro'!$A303=O$2,'Atividades Micro'!$K303&lt;&gt;""),'Atividades Micro'!$K303,"")</f>
        <v/>
      </c>
      <c r="P256" s="21" t="str">
        <f>IF(AND('Atividades Micro'!$A303=P$2,'Atividades Micro'!$L303&lt;&gt;""),'Atividades Micro'!$L303,"")</f>
        <v/>
      </c>
      <c r="Q256" s="21" t="str">
        <f>IF(AND('Atividades Micro'!$B303=Q$2,'Atividades Micro'!$K303&lt;&gt;""),'Atividades Micro'!$K303,"")</f>
        <v/>
      </c>
      <c r="R256" s="21" t="str">
        <f>IF(AND('Atividades Micro'!$B303=R$2,'Atividades Micro'!$L303&lt;&gt;""),'Atividades Micro'!$L303,"")</f>
        <v/>
      </c>
      <c r="S256" s="21" t="str">
        <f>IF(AND('Atividades Micro'!$A303=S$2,'Atividades Micro'!$K303&lt;&gt;""),'Atividades Micro'!$K303,"")</f>
        <v/>
      </c>
      <c r="T256" s="21" t="str">
        <f>IF(AND('Atividades Micro'!$A303=T$2,'Atividades Micro'!$L303&lt;&gt;""),'Atividades Micro'!$L303,"")</f>
        <v/>
      </c>
      <c r="U256" s="21" t="str">
        <f>IF(AND('Atividades Micro'!$B303=U$2,'Atividades Micro'!$K303&lt;&gt;""),'Atividades Micro'!$K303,"")</f>
        <v/>
      </c>
      <c r="V256" s="21" t="str">
        <f>IF(AND('Atividades Micro'!$B303=V$2,'Atividades Micro'!$L303&lt;&gt;""),'Atividades Micro'!$L303,"")</f>
        <v/>
      </c>
      <c r="W256" s="21" t="str">
        <f>IF(AND('Atividades Micro'!$B303=W$2,'Atividades Micro'!$K303&lt;&gt;""),'Atividades Micro'!$K303,"")</f>
        <v/>
      </c>
      <c r="X256" s="21" t="str">
        <f>IF(AND('Atividades Micro'!$B303=X$2,'Atividades Micro'!$L303&lt;&gt;""),'Atividades Micro'!$L303,"")</f>
        <v/>
      </c>
      <c r="Y256" s="21" t="str">
        <f>IF(AND('Atividades Micro'!$A303=Y$2,'Atividades Micro'!$K303&lt;&gt;""),'Atividades Micro'!$K303,"")</f>
        <v/>
      </c>
      <c r="Z256" s="21" t="str">
        <f>IF(AND('Atividades Micro'!$A303=Z$2,'Atividades Micro'!$L303&lt;&gt;""),'Atividades Micro'!$L303,"")</f>
        <v/>
      </c>
      <c r="AA256" s="21" t="str">
        <f>IF(AND('Atividades Micro'!$B303=AA$2,'Atividades Micro'!$K303&lt;&gt;""),'Atividades Micro'!$K303,"")</f>
        <v/>
      </c>
      <c r="AB256" s="21" t="str">
        <f>IF(AND('Atividades Micro'!$B303=AB$2,'Atividades Micro'!$L303&lt;&gt;""),'Atividades Micro'!$L303,"")</f>
        <v/>
      </c>
      <c r="AC256" s="21" t="str">
        <f>IF(AND('Atividades Micro'!$B303=AC$2,'Atividades Micro'!$K303&lt;&gt;""),'Atividades Micro'!$K303,"")</f>
        <v/>
      </c>
      <c r="AD256" s="21" t="str">
        <f>IF(AND('Atividades Micro'!$B303=AD$2,'Atividades Micro'!$L303&lt;&gt;""),'Atividades Micro'!$L303,"")</f>
        <v/>
      </c>
      <c r="AE256" s="21" t="str">
        <f>IF(AND('Atividades Micro'!$A303=AE$2,'Atividades Micro'!$K303&lt;&gt;""),'Atividades Micro'!$K303,"")</f>
        <v/>
      </c>
      <c r="AF256" s="21" t="str">
        <f>IF(AND('Atividades Micro'!$A303=AF$2,'Atividades Micro'!$L303&lt;&gt;""),'Atividades Micro'!$L303,"")</f>
        <v/>
      </c>
      <c r="AG256" s="21" t="str">
        <f>IF(AND('Atividades Micro'!$B303=AG$2,'Atividades Micro'!$K303&lt;&gt;""),'Atividades Micro'!$K303,"")</f>
        <v/>
      </c>
      <c r="AH256" s="21" t="str">
        <f>IF(AND('Atividades Micro'!$B303=AH$2,'Atividades Micro'!$L303&lt;&gt;""),'Atividades Micro'!$L303,"")</f>
        <v/>
      </c>
      <c r="AI256" s="21" t="str">
        <f>IF(AND('Atividades Micro'!$B303=AI$2,'Atividades Micro'!$K303&lt;&gt;""),'Atividades Micro'!$K303,"")</f>
        <v/>
      </c>
      <c r="AJ256" s="21" t="str">
        <f>IF(AND('Atividades Micro'!$B303=AJ$2,'Atividades Micro'!$L303&lt;&gt;""),'Atividades Micro'!$L303,"")</f>
        <v/>
      </c>
      <c r="AK256" s="21" t="str">
        <f>IF(AND('Atividades Micro'!$A303=AK$2,'Atividades Micro'!$K303&lt;&gt;""),'Atividades Micro'!$K303,"")</f>
        <v/>
      </c>
      <c r="AL256" s="21" t="str">
        <f>IF(AND('Atividades Micro'!$A303=AL$2,'Atividades Micro'!$L303&lt;&gt;""),'Atividades Micro'!$L303,"")</f>
        <v/>
      </c>
      <c r="AM256" s="21" t="str">
        <f>IF(AND('Atividades Micro'!$B303=AM$2,'Atividades Micro'!$K303&lt;&gt;""),'Atividades Micro'!$K303,"")</f>
        <v/>
      </c>
      <c r="AN256" s="21" t="str">
        <f>IF(AND('Atividades Micro'!$B303=AN$2,'Atividades Micro'!$L303&lt;&gt;""),'Atividades Micro'!$L303,"")</f>
        <v/>
      </c>
      <c r="AO256" s="21" t="str">
        <f>IF(AND('Atividades Micro'!$B303=AO$2,'Atividades Micro'!$K303&lt;&gt;""),'Atividades Micro'!$K303,"")</f>
        <v/>
      </c>
      <c r="AP256" s="21" t="str">
        <f>IF(AND('Atividades Micro'!$B303=AP$2,'Atividades Micro'!$L303&lt;&gt;""),'Atividades Micro'!$L303,"")</f>
        <v/>
      </c>
      <c r="AQ256" s="21" t="str">
        <f>IF(AND('Atividades Micro'!$A303=AQ$2,'Atividades Micro'!$K303&lt;&gt;""),'Atividades Micro'!$K303,"")</f>
        <v/>
      </c>
      <c r="AR256" s="21" t="str">
        <f>IF(AND('Atividades Micro'!$A303=AR$2,'Atividades Micro'!$L303&lt;&gt;""),'Atividades Micro'!$L303,"")</f>
        <v/>
      </c>
      <c r="AS256" s="21" t="str">
        <f>IF(AND('Atividades Micro'!$B303=AS$2,'Atividades Micro'!$K303&lt;&gt;""),'Atividades Micro'!$K303,"")</f>
        <v/>
      </c>
      <c r="AT256" s="21" t="str">
        <f>IF(AND('Atividades Micro'!$B303=AT$2,'Atividades Micro'!$L303&lt;&gt;""),'Atividades Micro'!$L303,"")</f>
        <v/>
      </c>
      <c r="AU256" s="21" t="str">
        <f>IF(AND('Atividades Micro'!$A303=AU$2,'Atividades Micro'!$K303&lt;&gt;""),'Atividades Micro'!$K303,"")</f>
        <v/>
      </c>
      <c r="AV256" s="21" t="str">
        <f>IF(AND('Atividades Micro'!$A303=AV$2,'Atividades Micro'!$L303&lt;&gt;""),'Atividades Micro'!$L303,"")</f>
        <v/>
      </c>
      <c r="AW256" s="21" t="str">
        <f>IF(AND('Atividades Micro'!$B303=AW$2,'Atividades Micro'!$K303&lt;&gt;""),'Atividades Micro'!$K303,"")</f>
        <v/>
      </c>
      <c r="AX256" s="21" t="str">
        <f>IF(AND('Atividades Micro'!$B303=AX$2,'Atividades Micro'!$L303&lt;&gt;""),'Atividades Micro'!$L303,"")</f>
        <v/>
      </c>
      <c r="AY256" s="21" t="str">
        <f>IF(AND('Atividades Micro'!$A303=AY$2,'Atividades Micro'!$K303&lt;&gt;""),'Atividades Micro'!$K303,"")</f>
        <v/>
      </c>
      <c r="AZ256" s="21" t="str">
        <f>IF(AND('Atividades Micro'!$A303=AZ$2,'Atividades Micro'!$L303&lt;&gt;""),'Atividades Micro'!$L303,"")</f>
        <v/>
      </c>
      <c r="BA256" s="21" t="str">
        <f>IF(AND('Atividades Micro'!$B303=BA$2,'Atividades Micro'!$K303&lt;&gt;""),'Atividades Micro'!$K303,"")</f>
        <v/>
      </c>
      <c r="BB256" s="21" t="str">
        <f>IF(AND('Atividades Micro'!$B303=BB$2,'Atividades Micro'!$L303&lt;&gt;""),'Atividades Micro'!$L303,"")</f>
        <v/>
      </c>
      <c r="BC256" s="21" t="str">
        <f>IF(AND('Atividades Micro'!$B303=BC$2,'Atividades Micro'!$G303="Macro",'Atividades Micro'!$K303&lt;&gt;""),'Atividades Micro'!$K303,"")</f>
        <v/>
      </c>
      <c r="BD256" s="21" t="str">
        <f>IF(AND('Atividades Micro'!$B303=BD$2,'Atividades Micro'!$G303="Macro",'Atividades Micro'!$K303&lt;&gt;""),'Atividades Micro'!$K303,"")</f>
        <v/>
      </c>
      <c r="BE256" s="21" t="str">
        <f>IF(AND('Atividades Micro'!$B303=BE$2,'Atividades Micro'!$G303="Macro",'Atividades Micro'!$K303&lt;&gt;""),'Atividades Micro'!$K303,"")</f>
        <v/>
      </c>
      <c r="BF256" s="21" t="str">
        <f>IF(AND('Atividades Micro'!$B303=BF$2,'Atividades Micro'!$G303="Macro",'Atividades Micro'!$K303&lt;&gt;""),'Atividades Micro'!$K303,"")</f>
        <v/>
      </c>
      <c r="BG256" s="21" t="str">
        <f>IF(AND('Atividades Micro'!$B303=BG$2,'Atividades Micro'!$G303="Macro",'Atividades Micro'!$K303&lt;&gt;""),'Atividades Micro'!$K303,"")</f>
        <v/>
      </c>
      <c r="BH256" s="21" t="str">
        <f>IF(AND('Atividades Micro'!$B303=BH$2,'Atividades Micro'!$G303="Macro",'Atividades Micro'!$K303&lt;&gt;""),'Atividades Micro'!$K303,"")</f>
        <v/>
      </c>
      <c r="BI256" s="21" t="str">
        <f>IF(AND('Atividades Micro'!$B303=BI$2,'Atividades Micro'!$G303="Macro",'Atividades Micro'!$K303&lt;&gt;""),'Atividades Micro'!$K303,"")</f>
        <v/>
      </c>
      <c r="BJ256" s="21" t="str">
        <f>IF(AND('Atividades Micro'!$B303=BJ$2,'Atividades Micro'!$G303="Macro",'Atividades Micro'!$K303&lt;&gt;""),'Atividades Micro'!$K303,"")</f>
        <v/>
      </c>
      <c r="BK256" s="21" t="str">
        <f>IF(AND('Atividades Micro'!$B303=BK$2,'Atividades Micro'!$G303="Macro",'Atividades Micro'!$K303&lt;&gt;""),'Atividades Micro'!$K303,"")</f>
        <v/>
      </c>
      <c r="BL256" s="21" t="str">
        <f>IF(AND('Atividades Micro'!$B303=BL$2,'Atividades Micro'!$G303="Macro",'Atividades Micro'!$K303&lt;&gt;""),'Atividades Micro'!$K303,"")</f>
        <v/>
      </c>
      <c r="BM256" s="21" t="str">
        <f>IF(AND('Atividades Micro'!$B303=BM$2,'Atividades Micro'!$G303="Macro",'Atividades Micro'!$K303&lt;&gt;""),'Atividades Micro'!$K303,"")</f>
        <v/>
      </c>
      <c r="BN256" s="21" t="str">
        <f>IF(AND('Atividades Micro'!$B303=BN$2,'Atividades Micro'!$G303="Macro",'Atividades Micro'!$K303&lt;&gt;""),'Atividades Micro'!$K303,"")</f>
        <v/>
      </c>
      <c r="BO256" s="21" t="str">
        <f>IF(AND('Atividades Micro'!$B303=BO$2,'Atividades Micro'!$G303="Macro",'Atividades Micro'!$K303&lt;&gt;""),'Atividades Micro'!$K303,"")</f>
        <v/>
      </c>
      <c r="BP256" s="21" t="str">
        <f>IF(AND('Atividades Micro'!$B303=BP$2,'Atividades Micro'!$G303="Macro",'Atividades Micro'!$K303&lt;&gt;""),'Atividades Micro'!$K303,"")</f>
        <v/>
      </c>
      <c r="BQ256" s="21" t="str">
        <f>IF(AND('Atividades Micro'!$B303=BQ$2,'Atividades Micro'!$G303="Macro",'Atividades Micro'!$K303&lt;&gt;""),'Atividades Micro'!$K303,"")</f>
        <v/>
      </c>
      <c r="BR256" s="21" t="str">
        <f>IF(AND('Atividades Micro'!$B303=BR$2,'Atividades Micro'!$G303="Macro",'Atividades Micro'!$K303&lt;&gt;""),'Atividades Micro'!$K303,"")</f>
        <v/>
      </c>
      <c r="BS256" s="21" t="str">
        <f>IF(AND('Atividades Micro'!$B303=BS$2,'Atividades Micro'!$G303="Macro",'Atividades Micro'!$K303&lt;&gt;""),'Atividades Micro'!$K303,"")</f>
        <v/>
      </c>
      <c r="BT256" s="21" t="str">
        <f>IF(AND('Atividades Micro'!$B303=BT$2,'Atividades Micro'!$G303="Macro",'Atividades Micro'!$K303&lt;&gt;""),'Atividades Micro'!$K303,"")</f>
        <v/>
      </c>
      <c r="BU256" s="21" t="str">
        <f>IF(AND('Atividades Micro'!$B303=BU$2,'Atividades Micro'!$G303="Macro",'Atividades Micro'!$K303&lt;&gt;""),'Atividades Micro'!$K303,"")</f>
        <v/>
      </c>
      <c r="BV256" s="21" t="str">
        <f>IF(AND('Atividades Micro'!$B303=BV$2,'Atividades Micro'!$G303="Macro",'Atividades Micro'!$K303&lt;&gt;""),'Atividades Micro'!$K303,"")</f>
        <v/>
      </c>
      <c r="BW256" s="21" t="str">
        <f>IF(AND('Atividades Micro'!$B303=BW$2,'Atividades Micro'!$G303="Macro",'Atividades Micro'!$K303&lt;&gt;""),'Atividades Micro'!$K303,"")</f>
        <v/>
      </c>
      <c r="BX256" s="21" t="str">
        <f>IF(AND('Atividades Micro'!$B303=BX$2,'Atividades Micro'!$G303="Macro",'Atividades Micro'!$K303&lt;&gt;""),'Atividades Micro'!$K303,"")</f>
        <v/>
      </c>
      <c r="BY256" s="21" t="str">
        <f>IF(AND('Atividades Micro'!$B303=BY$2,'Atividades Micro'!$G303="Macro",'Atividades Micro'!$K303&lt;&gt;""),'Atividades Micro'!$K303,"")</f>
        <v/>
      </c>
      <c r="BZ256" s="21" t="str">
        <f>IF(AND('Atividades Micro'!$B303=BZ$2,'Atividades Micro'!$G303="Macro",'Atividades Micro'!$K303&lt;&gt;""),'Atividades Micro'!$K303,"")</f>
        <v/>
      </c>
      <c r="CA256" s="21" t="str">
        <f>IF(AND('Atividades Micro'!$B303=CA$2,'Atividades Micro'!$G303="Macro",'Atividades Micro'!$K303&lt;&gt;""),'Atividades Micro'!$K303,"")</f>
        <v/>
      </c>
      <c r="CB256" s="21" t="str">
        <f>IF(AND('Atividades Micro'!$B303=CB$2,'Atividades Micro'!$G303="Macro",'Atividades Micro'!$K303&lt;&gt;""),'Atividades Micro'!$K303,"")</f>
        <v/>
      </c>
      <c r="CC256" s="21" t="str">
        <f>IF(AND('Atividades Micro'!$B303=CC$2,'Atividades Micro'!$G303="Macro",'Atividades Micro'!$K303&lt;&gt;""),'Atividades Micro'!$K303,"")</f>
        <v/>
      </c>
      <c r="CD256" s="21" t="str">
        <f>IF(AND('Atividades Micro'!$B303=CD$2,'Atividades Micro'!$G303="Micro",'Atividades Micro'!$K303&lt;&gt;""),'Atividades Micro'!$K303,"")</f>
        <v/>
      </c>
      <c r="CE256" s="21" t="str">
        <f>IF(AND('Atividades Micro'!$B303=CE$2,'Atividades Micro'!$G303="Micro",'Atividades Micro'!$K303&lt;&gt;""),'Atividades Micro'!$K303,"")</f>
        <v/>
      </c>
      <c r="CF256" s="21" t="str">
        <f>IF(AND('Atividades Micro'!$B303=CF$2,'Atividades Micro'!$G303="Micro",'Atividades Micro'!$K303&lt;&gt;""),'Atividades Micro'!$K303,"")</f>
        <v/>
      </c>
      <c r="CG256" s="21" t="str">
        <f>IF(AND('Atividades Micro'!$B303=CG$2,'Atividades Micro'!$G303="Micro",'Atividades Micro'!$K303&lt;&gt;""),'Atividades Micro'!$K303,"")</f>
        <v/>
      </c>
      <c r="CH256" s="21" t="str">
        <f>IF(AND('Atividades Micro'!$B303=CH$2,'Atividades Micro'!$G303="Micro",'Atividades Micro'!$K303&lt;&gt;""),'Atividades Micro'!$K303,"")</f>
        <v/>
      </c>
      <c r="CI256" s="21" t="str">
        <f>IF(AND('Atividades Micro'!$B303=CI$2,'Atividades Micro'!$G303="Micro",'Atividades Micro'!$K303&lt;&gt;""),'Atividades Micro'!$K303,"")</f>
        <v/>
      </c>
      <c r="CJ256" s="21" t="str">
        <f>IF(AND('Atividades Micro'!$B303=CJ$2,'Atividades Micro'!$G303="Micro",'Atividades Micro'!$K303&lt;&gt;""),'Atividades Micro'!$K303,"")</f>
        <v/>
      </c>
      <c r="CK256" s="21" t="str">
        <f>IF(AND('Atividades Micro'!$B303=CK$2,'Atividades Micro'!$G303="Micro",'Atividades Micro'!$K303&lt;&gt;""),'Atividades Micro'!$K303,"")</f>
        <v/>
      </c>
      <c r="CL256" s="21" t="str">
        <f>IF(AND('Atividades Micro'!$B303=CL$2,'Atividades Micro'!$G303="Micro",'Atividades Micro'!$K303&lt;&gt;""),'Atividades Micro'!$K303,"")</f>
        <v/>
      </c>
      <c r="CM256" s="21" t="str">
        <f>IF(AND('Atividades Micro'!$B303=CM$2,'Atividades Micro'!$G303="Micro",'Atividades Micro'!$K303&lt;&gt;""),'Atividades Micro'!$K303,"")</f>
        <v/>
      </c>
      <c r="CN256" s="21" t="str">
        <f>IF(AND('Atividades Micro'!$B303=CN$2,'Atividades Micro'!$G303="Micro",'Atividades Micro'!$K303&lt;&gt;""),'Atividades Micro'!$K303,"")</f>
        <v/>
      </c>
      <c r="CO256" s="21" t="str">
        <f>IF(AND('Atividades Micro'!$B303=CO$2,'Atividades Micro'!$G303="Micro",'Atividades Micro'!$K303&lt;&gt;""),'Atividades Micro'!$K303,"")</f>
        <v/>
      </c>
    </row>
    <row r="257" spans="1:93">
      <c r="A257" s="21" t="str">
        <f>IF(AND('Atividades Micro'!$A304=A$2,'Atividades Micro'!$K304&lt;&gt;""),'Atividades Micro'!$K304,"")</f>
        <v/>
      </c>
      <c r="B257" s="21" t="str">
        <f>IF(AND('Atividades Micro'!$A304=B$2,'Atividades Micro'!$L304&lt;&gt;""),'Atividades Micro'!$L304,"")</f>
        <v/>
      </c>
      <c r="C257" s="21">
        <f>IF(AND('Atividades Micro'!$A304=C$2,'Atividades Micro'!$K304&lt;&gt;""),'Atividades Micro'!$K304,"")</f>
        <v>46598</v>
      </c>
      <c r="D257" s="21" t="str">
        <f>IF(AND('Atividades Micro'!$A304=D$2,'Atividades Micro'!$L304&lt;&gt;""),'Atividades Micro'!$L304,"")</f>
        <v/>
      </c>
      <c r="E257" s="21" t="str">
        <f>IF(AND('Atividades Micro'!$A304=E$2,'Atividades Micro'!$K304&lt;&gt;""),'Atividades Micro'!$K304,"")</f>
        <v/>
      </c>
      <c r="F257" s="21" t="str">
        <f>IF(AND('Atividades Micro'!$A304=F$2,'Atividades Micro'!$L304&lt;&gt;""),'Atividades Micro'!$L304,"")</f>
        <v/>
      </c>
      <c r="G257" s="21" t="str">
        <f>IF(AND('Atividades Micro'!$A304=G$2,'Atividades Micro'!$K304&lt;&gt;""),'Atividades Micro'!$K304,"")</f>
        <v/>
      </c>
      <c r="H257" s="21" t="str">
        <f>IF(AND('Atividades Micro'!$A304=H$2,'Atividades Micro'!$L304&lt;&gt;""),'Atividades Micro'!$L304,"")</f>
        <v/>
      </c>
      <c r="I257" s="21" t="str">
        <f>IF(AND('Atividades Micro'!$A304=I$2,'Atividades Micro'!$K304&lt;&gt;""),'Atividades Micro'!$K304,"")</f>
        <v/>
      </c>
      <c r="J257" s="21" t="str">
        <f>IF(AND('Atividades Micro'!$A304=J$2,'Atividades Micro'!$L304&lt;&gt;""),'Atividades Micro'!$L304,"")</f>
        <v/>
      </c>
      <c r="K257" s="21" t="str">
        <f>IF(AND('Atividades Micro'!$B304=K$2,'Atividades Micro'!$K304&lt;&gt;""),'Atividades Micro'!$K304,"")</f>
        <v/>
      </c>
      <c r="L257" s="21" t="str">
        <f>IF(AND('Atividades Micro'!$B304=L$2,'Atividades Micro'!$L304&lt;&gt;""),'Atividades Micro'!$L304,"")</f>
        <v/>
      </c>
      <c r="M257" s="21" t="str">
        <f>IF(AND('Atividades Micro'!$B304=M$2,'Atividades Micro'!$K304&lt;&gt;""),'Atividades Micro'!$K304,"")</f>
        <v/>
      </c>
      <c r="N257" s="21" t="str">
        <f>IF(AND('Atividades Micro'!$B304=N$2,'Atividades Micro'!$L304&lt;&gt;""),'Atividades Micro'!$L304,"")</f>
        <v/>
      </c>
      <c r="O257" s="21" t="str">
        <f>IF(AND('Atividades Micro'!$A304=O$2,'Atividades Micro'!$K304&lt;&gt;""),'Atividades Micro'!$K304,"")</f>
        <v/>
      </c>
      <c r="P257" s="21" t="str">
        <f>IF(AND('Atividades Micro'!$A304=P$2,'Atividades Micro'!$L304&lt;&gt;""),'Atividades Micro'!$L304,"")</f>
        <v/>
      </c>
      <c r="Q257" s="21" t="str">
        <f>IF(AND('Atividades Micro'!$B304=Q$2,'Atividades Micro'!$K304&lt;&gt;""),'Atividades Micro'!$K304,"")</f>
        <v/>
      </c>
      <c r="R257" s="21" t="str">
        <f>IF(AND('Atividades Micro'!$B304=R$2,'Atividades Micro'!$L304&lt;&gt;""),'Atividades Micro'!$L304,"")</f>
        <v/>
      </c>
      <c r="S257" s="21" t="str">
        <f>IF(AND('Atividades Micro'!$A304=S$2,'Atividades Micro'!$K304&lt;&gt;""),'Atividades Micro'!$K304,"")</f>
        <v/>
      </c>
      <c r="T257" s="21" t="str">
        <f>IF(AND('Atividades Micro'!$A304=T$2,'Atividades Micro'!$L304&lt;&gt;""),'Atividades Micro'!$L304,"")</f>
        <v/>
      </c>
      <c r="U257" s="21" t="str">
        <f>IF(AND('Atividades Micro'!$B304=U$2,'Atividades Micro'!$K304&lt;&gt;""),'Atividades Micro'!$K304,"")</f>
        <v/>
      </c>
      <c r="V257" s="21" t="str">
        <f>IF(AND('Atividades Micro'!$B304=V$2,'Atividades Micro'!$L304&lt;&gt;""),'Atividades Micro'!$L304,"")</f>
        <v/>
      </c>
      <c r="W257" s="21" t="str">
        <f>IF(AND('Atividades Micro'!$B304=W$2,'Atividades Micro'!$K304&lt;&gt;""),'Atividades Micro'!$K304,"")</f>
        <v/>
      </c>
      <c r="X257" s="21" t="str">
        <f>IF(AND('Atividades Micro'!$B304=X$2,'Atividades Micro'!$L304&lt;&gt;""),'Atividades Micro'!$L304,"")</f>
        <v/>
      </c>
      <c r="Y257" s="21" t="str">
        <f>IF(AND('Atividades Micro'!$A304=Y$2,'Atividades Micro'!$K304&lt;&gt;""),'Atividades Micro'!$K304,"")</f>
        <v/>
      </c>
      <c r="Z257" s="21" t="str">
        <f>IF(AND('Atividades Micro'!$A304=Z$2,'Atividades Micro'!$L304&lt;&gt;""),'Atividades Micro'!$L304,"")</f>
        <v/>
      </c>
      <c r="AA257" s="21" t="str">
        <f>IF(AND('Atividades Micro'!$B304=AA$2,'Atividades Micro'!$K304&lt;&gt;""),'Atividades Micro'!$K304,"")</f>
        <v/>
      </c>
      <c r="AB257" s="21" t="str">
        <f>IF(AND('Atividades Micro'!$B304=AB$2,'Atividades Micro'!$L304&lt;&gt;""),'Atividades Micro'!$L304,"")</f>
        <v/>
      </c>
      <c r="AC257" s="21" t="str">
        <f>IF(AND('Atividades Micro'!$B304=AC$2,'Atividades Micro'!$K304&lt;&gt;""),'Atividades Micro'!$K304,"")</f>
        <v/>
      </c>
      <c r="AD257" s="21" t="str">
        <f>IF(AND('Atividades Micro'!$B304=AD$2,'Atividades Micro'!$L304&lt;&gt;""),'Atividades Micro'!$L304,"")</f>
        <v/>
      </c>
      <c r="AE257" s="21" t="str">
        <f>IF(AND('Atividades Micro'!$A304=AE$2,'Atividades Micro'!$K304&lt;&gt;""),'Atividades Micro'!$K304,"")</f>
        <v/>
      </c>
      <c r="AF257" s="21" t="str">
        <f>IF(AND('Atividades Micro'!$A304=AF$2,'Atividades Micro'!$L304&lt;&gt;""),'Atividades Micro'!$L304,"")</f>
        <v/>
      </c>
      <c r="AG257" s="21" t="str">
        <f>IF(AND('Atividades Micro'!$B304=AG$2,'Atividades Micro'!$K304&lt;&gt;""),'Atividades Micro'!$K304,"")</f>
        <v/>
      </c>
      <c r="AH257" s="21" t="str">
        <f>IF(AND('Atividades Micro'!$B304=AH$2,'Atividades Micro'!$L304&lt;&gt;""),'Atividades Micro'!$L304,"")</f>
        <v/>
      </c>
      <c r="AI257" s="21" t="str">
        <f>IF(AND('Atividades Micro'!$B304=AI$2,'Atividades Micro'!$K304&lt;&gt;""),'Atividades Micro'!$K304,"")</f>
        <v/>
      </c>
      <c r="AJ257" s="21" t="str">
        <f>IF(AND('Atividades Micro'!$B304=AJ$2,'Atividades Micro'!$L304&lt;&gt;""),'Atividades Micro'!$L304,"")</f>
        <v/>
      </c>
      <c r="AK257" s="21" t="str">
        <f>IF(AND('Atividades Micro'!$A304=AK$2,'Atividades Micro'!$K304&lt;&gt;""),'Atividades Micro'!$K304,"")</f>
        <v/>
      </c>
      <c r="AL257" s="21" t="str">
        <f>IF(AND('Atividades Micro'!$A304=AL$2,'Atividades Micro'!$L304&lt;&gt;""),'Atividades Micro'!$L304,"")</f>
        <v/>
      </c>
      <c r="AM257" s="21" t="str">
        <f>IF(AND('Atividades Micro'!$B304=AM$2,'Atividades Micro'!$K304&lt;&gt;""),'Atividades Micro'!$K304,"")</f>
        <v/>
      </c>
      <c r="AN257" s="21" t="str">
        <f>IF(AND('Atividades Micro'!$B304=AN$2,'Atividades Micro'!$L304&lt;&gt;""),'Atividades Micro'!$L304,"")</f>
        <v/>
      </c>
      <c r="AO257" s="21" t="str">
        <f>IF(AND('Atividades Micro'!$B304=AO$2,'Atividades Micro'!$K304&lt;&gt;""),'Atividades Micro'!$K304,"")</f>
        <v/>
      </c>
      <c r="AP257" s="21" t="str">
        <f>IF(AND('Atividades Micro'!$B304=AP$2,'Atividades Micro'!$L304&lt;&gt;""),'Atividades Micro'!$L304,"")</f>
        <v/>
      </c>
      <c r="AQ257" s="21" t="str">
        <f>IF(AND('Atividades Micro'!$A304=AQ$2,'Atividades Micro'!$K304&lt;&gt;""),'Atividades Micro'!$K304,"")</f>
        <v/>
      </c>
      <c r="AR257" s="21" t="str">
        <f>IF(AND('Atividades Micro'!$A304=AR$2,'Atividades Micro'!$L304&lt;&gt;""),'Atividades Micro'!$L304,"")</f>
        <v/>
      </c>
      <c r="AS257" s="21" t="str">
        <f>IF(AND('Atividades Micro'!$B304=AS$2,'Atividades Micro'!$K304&lt;&gt;""),'Atividades Micro'!$K304,"")</f>
        <v/>
      </c>
      <c r="AT257" s="21" t="str">
        <f>IF(AND('Atividades Micro'!$B304=AT$2,'Atividades Micro'!$L304&lt;&gt;""),'Atividades Micro'!$L304,"")</f>
        <v/>
      </c>
      <c r="AU257" s="21" t="str">
        <f>IF(AND('Atividades Micro'!$A304=AU$2,'Atividades Micro'!$K304&lt;&gt;""),'Atividades Micro'!$K304,"")</f>
        <v/>
      </c>
      <c r="AV257" s="21" t="str">
        <f>IF(AND('Atividades Micro'!$A304=AV$2,'Atividades Micro'!$L304&lt;&gt;""),'Atividades Micro'!$L304,"")</f>
        <v/>
      </c>
      <c r="AW257" s="21" t="str">
        <f>IF(AND('Atividades Micro'!$B304=AW$2,'Atividades Micro'!$K304&lt;&gt;""),'Atividades Micro'!$K304,"")</f>
        <v/>
      </c>
      <c r="AX257" s="21" t="str">
        <f>IF(AND('Atividades Micro'!$B304=AX$2,'Atividades Micro'!$L304&lt;&gt;""),'Atividades Micro'!$L304,"")</f>
        <v/>
      </c>
      <c r="AY257" s="21" t="str">
        <f>IF(AND('Atividades Micro'!$A304=AY$2,'Atividades Micro'!$K304&lt;&gt;""),'Atividades Micro'!$K304,"")</f>
        <v/>
      </c>
      <c r="AZ257" s="21" t="str">
        <f>IF(AND('Atividades Micro'!$A304=AZ$2,'Atividades Micro'!$L304&lt;&gt;""),'Atividades Micro'!$L304,"")</f>
        <v/>
      </c>
      <c r="BA257" s="21" t="str">
        <f>IF(AND('Atividades Micro'!$B304=BA$2,'Atividades Micro'!$K304&lt;&gt;""),'Atividades Micro'!$K304,"")</f>
        <v/>
      </c>
      <c r="BB257" s="21" t="str">
        <f>IF(AND('Atividades Micro'!$B304=BB$2,'Atividades Micro'!$L304&lt;&gt;""),'Atividades Micro'!$L304,"")</f>
        <v/>
      </c>
      <c r="BC257" s="21" t="str">
        <f>IF(AND('Atividades Micro'!$B304=BC$2,'Atividades Micro'!$G304="Macro",'Atividades Micro'!$K304&lt;&gt;""),'Atividades Micro'!$K304,"")</f>
        <v/>
      </c>
      <c r="BD257" s="21" t="str">
        <f>IF(AND('Atividades Micro'!$B304=BD$2,'Atividades Micro'!$G304="Macro",'Atividades Micro'!$K304&lt;&gt;""),'Atividades Micro'!$K304,"")</f>
        <v/>
      </c>
      <c r="BE257" s="21" t="str">
        <f>IF(AND('Atividades Micro'!$B304=BE$2,'Atividades Micro'!$G304="Macro",'Atividades Micro'!$K304&lt;&gt;""),'Atividades Micro'!$K304,"")</f>
        <v/>
      </c>
      <c r="BF257" s="21" t="str">
        <f>IF(AND('Atividades Micro'!$B304=BF$2,'Atividades Micro'!$G304="Macro",'Atividades Micro'!$K304&lt;&gt;""),'Atividades Micro'!$K304,"")</f>
        <v/>
      </c>
      <c r="BG257" s="21" t="str">
        <f>IF(AND('Atividades Micro'!$B304=BG$2,'Atividades Micro'!$G304="Macro",'Atividades Micro'!$K304&lt;&gt;""),'Atividades Micro'!$K304,"")</f>
        <v/>
      </c>
      <c r="BH257" s="21" t="str">
        <f>IF(AND('Atividades Micro'!$B304=BH$2,'Atividades Micro'!$G304="Macro",'Atividades Micro'!$K304&lt;&gt;""),'Atividades Micro'!$K304,"")</f>
        <v/>
      </c>
      <c r="BI257" s="21" t="str">
        <f>IF(AND('Atividades Micro'!$B304=BI$2,'Atividades Micro'!$G304="Macro",'Atividades Micro'!$K304&lt;&gt;""),'Atividades Micro'!$K304,"")</f>
        <v/>
      </c>
      <c r="BJ257" s="21" t="str">
        <f>IF(AND('Atividades Micro'!$B304=BJ$2,'Atividades Micro'!$G304="Macro",'Atividades Micro'!$K304&lt;&gt;""),'Atividades Micro'!$K304,"")</f>
        <v/>
      </c>
      <c r="BK257" s="21" t="str">
        <f>IF(AND('Atividades Micro'!$B304=BK$2,'Atividades Micro'!$G304="Macro",'Atividades Micro'!$K304&lt;&gt;""),'Atividades Micro'!$K304,"")</f>
        <v/>
      </c>
      <c r="BL257" s="21" t="str">
        <f>IF(AND('Atividades Micro'!$B304=BL$2,'Atividades Micro'!$G304="Macro",'Atividades Micro'!$K304&lt;&gt;""),'Atividades Micro'!$K304,"")</f>
        <v/>
      </c>
      <c r="BM257" s="21" t="str">
        <f>IF(AND('Atividades Micro'!$B304=BM$2,'Atividades Micro'!$G304="Macro",'Atividades Micro'!$K304&lt;&gt;""),'Atividades Micro'!$K304,"")</f>
        <v/>
      </c>
      <c r="BN257" s="21" t="str">
        <f>IF(AND('Atividades Micro'!$B304=BN$2,'Atividades Micro'!$G304="Macro",'Atividades Micro'!$K304&lt;&gt;""),'Atividades Micro'!$K304,"")</f>
        <v/>
      </c>
      <c r="BO257" s="21" t="str">
        <f>IF(AND('Atividades Micro'!$B304=BO$2,'Atividades Micro'!$G304="Macro",'Atividades Micro'!$K304&lt;&gt;""),'Atividades Micro'!$K304,"")</f>
        <v/>
      </c>
      <c r="BP257" s="21" t="str">
        <f>IF(AND('Atividades Micro'!$B304=BP$2,'Atividades Micro'!$G304="Macro",'Atividades Micro'!$K304&lt;&gt;""),'Atividades Micro'!$K304,"")</f>
        <v/>
      </c>
      <c r="BQ257" s="21" t="str">
        <f>IF(AND('Atividades Micro'!$B304=BQ$2,'Atividades Micro'!$G304="Macro",'Atividades Micro'!$K304&lt;&gt;""),'Atividades Micro'!$K304,"")</f>
        <v/>
      </c>
      <c r="BR257" s="21" t="str">
        <f>IF(AND('Atividades Micro'!$B304=BR$2,'Atividades Micro'!$G304="Macro",'Atividades Micro'!$K304&lt;&gt;""),'Atividades Micro'!$K304,"")</f>
        <v/>
      </c>
      <c r="BS257" s="21" t="str">
        <f>IF(AND('Atividades Micro'!$B304=BS$2,'Atividades Micro'!$G304="Macro",'Atividades Micro'!$K304&lt;&gt;""),'Atividades Micro'!$K304,"")</f>
        <v/>
      </c>
      <c r="BT257" s="21" t="str">
        <f>IF(AND('Atividades Micro'!$B304=BT$2,'Atividades Micro'!$G304="Macro",'Atividades Micro'!$K304&lt;&gt;""),'Atividades Micro'!$K304,"")</f>
        <v/>
      </c>
      <c r="BU257" s="21" t="str">
        <f>IF(AND('Atividades Micro'!$B304=BU$2,'Atividades Micro'!$G304="Macro",'Atividades Micro'!$K304&lt;&gt;""),'Atividades Micro'!$K304,"")</f>
        <v/>
      </c>
      <c r="BV257" s="21" t="str">
        <f>IF(AND('Atividades Micro'!$B304=BV$2,'Atividades Micro'!$G304="Macro",'Atividades Micro'!$K304&lt;&gt;""),'Atividades Micro'!$K304,"")</f>
        <v/>
      </c>
      <c r="BW257" s="21" t="str">
        <f>IF(AND('Atividades Micro'!$B304=BW$2,'Atividades Micro'!$G304="Macro",'Atividades Micro'!$K304&lt;&gt;""),'Atividades Micro'!$K304,"")</f>
        <v/>
      </c>
      <c r="BX257" s="21" t="str">
        <f>IF(AND('Atividades Micro'!$B304=BX$2,'Atividades Micro'!$G304="Macro",'Atividades Micro'!$K304&lt;&gt;""),'Atividades Micro'!$K304,"")</f>
        <v/>
      </c>
      <c r="BY257" s="21" t="str">
        <f>IF(AND('Atividades Micro'!$B304=BY$2,'Atividades Micro'!$G304="Macro",'Atividades Micro'!$K304&lt;&gt;""),'Atividades Micro'!$K304,"")</f>
        <v/>
      </c>
      <c r="BZ257" s="21" t="str">
        <f>IF(AND('Atividades Micro'!$B304=BZ$2,'Atividades Micro'!$G304="Macro",'Atividades Micro'!$K304&lt;&gt;""),'Atividades Micro'!$K304,"")</f>
        <v/>
      </c>
      <c r="CA257" s="21" t="str">
        <f>IF(AND('Atividades Micro'!$B304=CA$2,'Atividades Micro'!$G304="Macro",'Atividades Micro'!$K304&lt;&gt;""),'Atividades Micro'!$K304,"")</f>
        <v/>
      </c>
      <c r="CB257" s="21" t="str">
        <f>IF(AND('Atividades Micro'!$B304=CB$2,'Atividades Micro'!$G304="Macro",'Atividades Micro'!$K304&lt;&gt;""),'Atividades Micro'!$K304,"")</f>
        <v/>
      </c>
      <c r="CC257" s="21" t="str">
        <f>IF(AND('Atividades Micro'!$B304=CC$2,'Atividades Micro'!$G304="Macro",'Atividades Micro'!$K304&lt;&gt;""),'Atividades Micro'!$K304,"")</f>
        <v/>
      </c>
      <c r="CD257" s="21" t="str">
        <f>IF(AND('Atividades Micro'!$B304=CD$2,'Atividades Micro'!$G304="Micro",'Atividades Micro'!$K304&lt;&gt;""),'Atividades Micro'!$K304,"")</f>
        <v/>
      </c>
      <c r="CE257" s="21" t="str">
        <f>IF(AND('Atividades Micro'!$B304=CE$2,'Atividades Micro'!$G304="Micro",'Atividades Micro'!$K304&lt;&gt;""),'Atividades Micro'!$K304,"")</f>
        <v/>
      </c>
      <c r="CF257" s="21" t="str">
        <f>IF(AND('Atividades Micro'!$B304=CF$2,'Atividades Micro'!$G304="Micro",'Atividades Micro'!$K304&lt;&gt;""),'Atividades Micro'!$K304,"")</f>
        <v/>
      </c>
      <c r="CG257" s="21" t="str">
        <f>IF(AND('Atividades Micro'!$B304=CG$2,'Atividades Micro'!$G304="Micro",'Atividades Micro'!$K304&lt;&gt;""),'Atividades Micro'!$K304,"")</f>
        <v/>
      </c>
      <c r="CH257" s="21" t="str">
        <f>IF(AND('Atividades Micro'!$B304=CH$2,'Atividades Micro'!$G304="Micro",'Atividades Micro'!$K304&lt;&gt;""),'Atividades Micro'!$K304,"")</f>
        <v/>
      </c>
      <c r="CI257" s="21" t="str">
        <f>IF(AND('Atividades Micro'!$B304=CI$2,'Atividades Micro'!$G304="Micro",'Atividades Micro'!$K304&lt;&gt;""),'Atividades Micro'!$K304,"")</f>
        <v/>
      </c>
      <c r="CJ257" s="21" t="str">
        <f>IF(AND('Atividades Micro'!$B304=CJ$2,'Atividades Micro'!$G304="Micro",'Atividades Micro'!$K304&lt;&gt;""),'Atividades Micro'!$K304,"")</f>
        <v/>
      </c>
      <c r="CK257" s="21" t="str">
        <f>IF(AND('Atividades Micro'!$B304=CK$2,'Atividades Micro'!$G304="Micro",'Atividades Micro'!$K304&lt;&gt;""),'Atividades Micro'!$K304,"")</f>
        <v/>
      </c>
      <c r="CL257" s="21" t="str">
        <f>IF(AND('Atividades Micro'!$B304=CL$2,'Atividades Micro'!$G304="Micro",'Atividades Micro'!$K304&lt;&gt;""),'Atividades Micro'!$K304,"")</f>
        <v/>
      </c>
      <c r="CM257" s="21" t="str">
        <f>IF(AND('Atividades Micro'!$B304=CM$2,'Atividades Micro'!$G304="Micro",'Atividades Micro'!$K304&lt;&gt;""),'Atividades Micro'!$K304,"")</f>
        <v/>
      </c>
      <c r="CN257" s="21" t="str">
        <f>IF(AND('Atividades Micro'!$B304=CN$2,'Atividades Micro'!$G304="Micro",'Atividades Micro'!$K304&lt;&gt;""),'Atividades Micro'!$K304,"")</f>
        <v/>
      </c>
      <c r="CO257" s="21" t="str">
        <f>IF(AND('Atividades Micro'!$B304=CO$2,'Atividades Micro'!$G304="Micro",'Atividades Micro'!$K304&lt;&gt;""),'Atividades Micro'!$K304,"")</f>
        <v/>
      </c>
    </row>
    <row r="258" spans="1:93">
      <c r="A258" s="21" t="str">
        <f>IF(AND('Atividades Micro'!$A307=A$2,'Atividades Micro'!$K307&lt;&gt;""),'Atividades Micro'!$K307,"")</f>
        <v/>
      </c>
      <c r="B258" s="21" t="str">
        <f>IF(AND('Atividades Micro'!$A307=B$2,'Atividades Micro'!$L307&lt;&gt;""),'Atividades Micro'!$L307,"")</f>
        <v/>
      </c>
      <c r="C258" s="21" t="str">
        <f>IF(AND('Atividades Micro'!$A307=C$2,'Atividades Micro'!$K307&lt;&gt;""),'Atividades Micro'!$K307,"")</f>
        <v/>
      </c>
      <c r="D258" s="21" t="str">
        <f>IF(AND('Atividades Micro'!$A307=D$2,'Atividades Micro'!$L307&lt;&gt;""),'Atividades Micro'!$L307,"")</f>
        <v/>
      </c>
      <c r="E258" s="21" t="str">
        <f>IF(AND('Atividades Micro'!$A307=E$2,'Atividades Micro'!$K307&lt;&gt;""),'Atividades Micro'!$K307,"")</f>
        <v/>
      </c>
      <c r="F258" s="21" t="str">
        <f>IF(AND('Atividades Micro'!$A307=F$2,'Atividades Micro'!$L307&lt;&gt;""),'Atividades Micro'!$L307,"")</f>
        <v/>
      </c>
      <c r="G258" s="21" t="str">
        <f>IF(AND('Atividades Micro'!$A307=G$2,'Atividades Micro'!$K307&lt;&gt;""),'Atividades Micro'!$K307,"")</f>
        <v/>
      </c>
      <c r="H258" s="21" t="str">
        <f>IF(AND('Atividades Micro'!$A307=H$2,'Atividades Micro'!$L307&lt;&gt;""),'Atividades Micro'!$L307,"")</f>
        <v/>
      </c>
      <c r="I258" s="21" t="str">
        <f>IF(AND('Atividades Micro'!$A307=I$2,'Atividades Micro'!$K307&lt;&gt;""),'Atividades Micro'!$K307,"")</f>
        <v/>
      </c>
      <c r="J258" s="21" t="str">
        <f>IF(AND('Atividades Micro'!$A307=J$2,'Atividades Micro'!$L307&lt;&gt;""),'Atividades Micro'!$L307,"")</f>
        <v/>
      </c>
      <c r="K258" s="21" t="str">
        <f>IF(AND('Atividades Micro'!$B307=K$2,'Atividades Micro'!$K307&lt;&gt;""),'Atividades Micro'!$K307,"")</f>
        <v/>
      </c>
      <c r="L258" s="21" t="str">
        <f>IF(AND('Atividades Micro'!$B307=L$2,'Atividades Micro'!$L307&lt;&gt;""),'Atividades Micro'!$L307,"")</f>
        <v/>
      </c>
      <c r="M258" s="21" t="str">
        <f>IF(AND('Atividades Micro'!$B307=M$2,'Atividades Micro'!$K307&lt;&gt;""),'Atividades Micro'!$K307,"")</f>
        <v/>
      </c>
      <c r="N258" s="21" t="str">
        <f>IF(AND('Atividades Micro'!$B307=N$2,'Atividades Micro'!$L307&lt;&gt;""),'Atividades Micro'!$L307,"")</f>
        <v/>
      </c>
      <c r="O258" s="21" t="str">
        <f>IF(AND('Atividades Micro'!$A307=O$2,'Atividades Micro'!$K307&lt;&gt;""),'Atividades Micro'!$K307,"")</f>
        <v/>
      </c>
      <c r="P258" s="21" t="str">
        <f>IF(AND('Atividades Micro'!$A307=P$2,'Atividades Micro'!$L307&lt;&gt;""),'Atividades Micro'!$L307,"")</f>
        <v/>
      </c>
      <c r="Q258" s="21" t="str">
        <f>IF(AND('Atividades Micro'!$B307=Q$2,'Atividades Micro'!$K307&lt;&gt;""),'Atividades Micro'!$K307,"")</f>
        <v/>
      </c>
      <c r="R258" s="21" t="str">
        <f>IF(AND('Atividades Micro'!$B307=R$2,'Atividades Micro'!$L307&lt;&gt;""),'Atividades Micro'!$L307,"")</f>
        <v/>
      </c>
      <c r="S258" s="21" t="str">
        <f>IF(AND('Atividades Micro'!$A307=S$2,'Atividades Micro'!$K307&lt;&gt;""),'Atividades Micro'!$K307,"")</f>
        <v/>
      </c>
      <c r="T258" s="21" t="str">
        <f>IF(AND('Atividades Micro'!$A307=T$2,'Atividades Micro'!$L307&lt;&gt;""),'Atividades Micro'!$L307,"")</f>
        <v/>
      </c>
      <c r="U258" s="21" t="str">
        <f>IF(AND('Atividades Micro'!$B307=U$2,'Atividades Micro'!$K307&lt;&gt;""),'Atividades Micro'!$K307,"")</f>
        <v/>
      </c>
      <c r="V258" s="21" t="str">
        <f>IF(AND('Atividades Micro'!$B307=V$2,'Atividades Micro'!$L307&lt;&gt;""),'Atividades Micro'!$L307,"")</f>
        <v/>
      </c>
      <c r="W258" s="21" t="str">
        <f>IF(AND('Atividades Micro'!$B307=W$2,'Atividades Micro'!$K307&lt;&gt;""),'Atividades Micro'!$K307,"")</f>
        <v/>
      </c>
      <c r="X258" s="21" t="str">
        <f>IF(AND('Atividades Micro'!$B307=X$2,'Atividades Micro'!$L307&lt;&gt;""),'Atividades Micro'!$L307,"")</f>
        <v/>
      </c>
      <c r="Y258" s="21" t="str">
        <f>IF(AND('Atividades Micro'!$A307=Y$2,'Atividades Micro'!$K307&lt;&gt;""),'Atividades Micro'!$K307,"")</f>
        <v/>
      </c>
      <c r="Z258" s="21" t="str">
        <f>IF(AND('Atividades Micro'!$A307=Z$2,'Atividades Micro'!$L307&lt;&gt;""),'Atividades Micro'!$L307,"")</f>
        <v/>
      </c>
      <c r="AA258" s="21" t="str">
        <f>IF(AND('Atividades Micro'!$B307=AA$2,'Atividades Micro'!$K307&lt;&gt;""),'Atividades Micro'!$K307,"")</f>
        <v/>
      </c>
      <c r="AB258" s="21" t="str">
        <f>IF(AND('Atividades Micro'!$B307=AB$2,'Atividades Micro'!$L307&lt;&gt;""),'Atividades Micro'!$L307,"")</f>
        <v/>
      </c>
      <c r="AC258" s="21" t="str">
        <f>IF(AND('Atividades Micro'!$B307=AC$2,'Atividades Micro'!$K307&lt;&gt;""),'Atividades Micro'!$K307,"")</f>
        <v/>
      </c>
      <c r="AD258" s="21" t="str">
        <f>IF(AND('Atividades Micro'!$B307=AD$2,'Atividades Micro'!$L307&lt;&gt;""),'Atividades Micro'!$L307,"")</f>
        <v/>
      </c>
      <c r="AE258" s="21" t="str">
        <f>IF(AND('Atividades Micro'!$A307=AE$2,'Atividades Micro'!$K307&lt;&gt;""),'Atividades Micro'!$K307,"")</f>
        <v/>
      </c>
      <c r="AF258" s="21" t="str">
        <f>IF(AND('Atividades Micro'!$A307=AF$2,'Atividades Micro'!$L307&lt;&gt;""),'Atividades Micro'!$L307,"")</f>
        <v/>
      </c>
      <c r="AG258" s="21" t="str">
        <f>IF(AND('Atividades Micro'!$B307=AG$2,'Atividades Micro'!$K307&lt;&gt;""),'Atividades Micro'!$K307,"")</f>
        <v/>
      </c>
      <c r="AH258" s="21" t="str">
        <f>IF(AND('Atividades Micro'!$B307=AH$2,'Atividades Micro'!$L307&lt;&gt;""),'Atividades Micro'!$L307,"")</f>
        <v/>
      </c>
      <c r="AI258" s="21" t="str">
        <f>IF(AND('Atividades Micro'!$B307=AI$2,'Atividades Micro'!$K307&lt;&gt;""),'Atividades Micro'!$K307,"")</f>
        <v/>
      </c>
      <c r="AJ258" s="21" t="str">
        <f>IF(AND('Atividades Micro'!$B307=AJ$2,'Atividades Micro'!$L307&lt;&gt;""),'Atividades Micro'!$L307,"")</f>
        <v/>
      </c>
      <c r="AK258" s="21" t="str">
        <f>IF(AND('Atividades Micro'!$A307=AK$2,'Atividades Micro'!$K307&lt;&gt;""),'Atividades Micro'!$K307,"")</f>
        <v/>
      </c>
      <c r="AL258" s="21" t="str">
        <f>IF(AND('Atividades Micro'!$A307=AL$2,'Atividades Micro'!$L307&lt;&gt;""),'Atividades Micro'!$L307,"")</f>
        <v/>
      </c>
      <c r="AM258" s="21" t="str">
        <f>IF(AND('Atividades Micro'!$B307=AM$2,'Atividades Micro'!$K307&lt;&gt;""),'Atividades Micro'!$K307,"")</f>
        <v/>
      </c>
      <c r="AN258" s="21" t="str">
        <f>IF(AND('Atividades Micro'!$B307=AN$2,'Atividades Micro'!$L307&lt;&gt;""),'Atividades Micro'!$L307,"")</f>
        <v/>
      </c>
      <c r="AO258" s="21" t="str">
        <f>IF(AND('Atividades Micro'!$B307=AO$2,'Atividades Micro'!$K307&lt;&gt;""),'Atividades Micro'!$K307,"")</f>
        <v/>
      </c>
      <c r="AP258" s="21" t="str">
        <f>IF(AND('Atividades Micro'!$B307=AP$2,'Atividades Micro'!$L307&lt;&gt;""),'Atividades Micro'!$L307,"")</f>
        <v/>
      </c>
      <c r="AQ258" s="21">
        <f>IF(AND('Atividades Micro'!$A307=AQ$2,'Atividades Micro'!$K307&lt;&gt;""),'Atividades Micro'!$K307,"")</f>
        <v>46213</v>
      </c>
      <c r="AR258" s="21" t="str">
        <f>IF(AND('Atividades Micro'!$A307=AR$2,'Atividades Micro'!$L307&lt;&gt;""),'Atividades Micro'!$L307,"")</f>
        <v/>
      </c>
      <c r="AS258" s="21">
        <f>IF(AND('Atividades Micro'!$B307=AS$2,'Atividades Micro'!$K307&lt;&gt;""),'Atividades Micro'!$K307,"")</f>
        <v>46213</v>
      </c>
      <c r="AT258" s="21" t="str">
        <f>IF(AND('Atividades Micro'!$B307=AT$2,'Atividades Micro'!$L307&lt;&gt;""),'Atividades Micro'!$L307,"")</f>
        <v/>
      </c>
      <c r="AU258" s="21" t="str">
        <f>IF(AND('Atividades Micro'!$A307=AU$2,'Atividades Micro'!$K307&lt;&gt;""),'Atividades Micro'!$K307,"")</f>
        <v/>
      </c>
      <c r="AV258" s="21" t="str">
        <f>IF(AND('Atividades Micro'!$A307=AV$2,'Atividades Micro'!$L307&lt;&gt;""),'Atividades Micro'!$L307,"")</f>
        <v/>
      </c>
      <c r="AW258" s="21" t="str">
        <f>IF(AND('Atividades Micro'!$B307=AW$2,'Atividades Micro'!$K307&lt;&gt;""),'Atividades Micro'!$K307,"")</f>
        <v/>
      </c>
      <c r="AX258" s="21" t="str">
        <f>IF(AND('Atividades Micro'!$B307=AX$2,'Atividades Micro'!$L307&lt;&gt;""),'Atividades Micro'!$L307,"")</f>
        <v/>
      </c>
      <c r="AY258" s="21" t="str">
        <f>IF(AND('Atividades Micro'!$A307=AY$2,'Atividades Micro'!$K307&lt;&gt;""),'Atividades Micro'!$K307,"")</f>
        <v/>
      </c>
      <c r="AZ258" s="21" t="str">
        <f>IF(AND('Atividades Micro'!$A307=AZ$2,'Atividades Micro'!$L307&lt;&gt;""),'Atividades Micro'!$L307,"")</f>
        <v/>
      </c>
      <c r="BA258" s="21" t="str">
        <f>IF(AND('Atividades Micro'!$B307=BA$2,'Atividades Micro'!$K307&lt;&gt;""),'Atividades Micro'!$K307,"")</f>
        <v/>
      </c>
      <c r="BB258" s="21" t="str">
        <f>IF(AND('Atividades Micro'!$B307=BB$2,'Atividades Micro'!$L307&lt;&gt;""),'Atividades Micro'!$L307,"")</f>
        <v/>
      </c>
      <c r="BC258" s="21" t="str">
        <f>IF(AND('Atividades Micro'!$B307=BC$2,'Atividades Micro'!$G307="Macro",'Atividades Micro'!$K307&lt;&gt;""),'Atividades Micro'!$K307,"")</f>
        <v/>
      </c>
      <c r="BD258" s="21" t="str">
        <f>IF(AND('Atividades Micro'!$B307=BD$2,'Atividades Micro'!$G307="Macro",'Atividades Micro'!$K307&lt;&gt;""),'Atividades Micro'!$K307,"")</f>
        <v/>
      </c>
      <c r="BE258" s="21" t="str">
        <f>IF(AND('Atividades Micro'!$B307=BE$2,'Atividades Micro'!$G307="Macro",'Atividades Micro'!$K307&lt;&gt;""),'Atividades Micro'!$K307,"")</f>
        <v/>
      </c>
      <c r="BF258" s="21" t="str">
        <f>IF(AND('Atividades Micro'!$B307=BF$2,'Atividades Micro'!$G307="Macro",'Atividades Micro'!$K307&lt;&gt;""),'Atividades Micro'!$K307,"")</f>
        <v/>
      </c>
      <c r="BG258" s="21" t="str">
        <f>IF(AND('Atividades Micro'!$B307=BG$2,'Atividades Micro'!$G307="Macro",'Atividades Micro'!$K307&lt;&gt;""),'Atividades Micro'!$K307,"")</f>
        <v/>
      </c>
      <c r="BH258" s="21" t="str">
        <f>IF(AND('Atividades Micro'!$B307=BH$2,'Atividades Micro'!$G307="Macro",'Atividades Micro'!$K307&lt;&gt;""),'Atividades Micro'!$K307,"")</f>
        <v/>
      </c>
      <c r="BI258" s="21" t="str">
        <f>IF(AND('Atividades Micro'!$B307=BI$2,'Atividades Micro'!$G307="Macro",'Atividades Micro'!$K307&lt;&gt;""),'Atividades Micro'!$K307,"")</f>
        <v/>
      </c>
      <c r="BJ258" s="21" t="str">
        <f>IF(AND('Atividades Micro'!$B307=BJ$2,'Atividades Micro'!$G307="Macro",'Atividades Micro'!$K307&lt;&gt;""),'Atividades Micro'!$K307,"")</f>
        <v/>
      </c>
      <c r="BK258" s="21" t="str">
        <f>IF(AND('Atividades Micro'!$B307=BK$2,'Atividades Micro'!$G307="Macro",'Atividades Micro'!$K307&lt;&gt;""),'Atividades Micro'!$K307,"")</f>
        <v/>
      </c>
      <c r="BL258" s="21" t="str">
        <f>IF(AND('Atividades Micro'!$B307=BL$2,'Atividades Micro'!$G307="Macro",'Atividades Micro'!$K307&lt;&gt;""),'Atividades Micro'!$K307,"")</f>
        <v/>
      </c>
      <c r="BM258" s="21" t="str">
        <f>IF(AND('Atividades Micro'!$B307=BM$2,'Atividades Micro'!$G307="Macro",'Atividades Micro'!$K307&lt;&gt;""),'Atividades Micro'!$K307,"")</f>
        <v/>
      </c>
      <c r="BN258" s="21" t="str">
        <f>IF(AND('Atividades Micro'!$B307=BN$2,'Atividades Micro'!$G307="Macro",'Atividades Micro'!$K307&lt;&gt;""),'Atividades Micro'!$K307,"")</f>
        <v/>
      </c>
      <c r="BO258" s="21" t="str">
        <f>IF(AND('Atividades Micro'!$B307=BO$2,'Atividades Micro'!$G307="Macro",'Atividades Micro'!$K307&lt;&gt;""),'Atividades Micro'!$K307,"")</f>
        <v/>
      </c>
      <c r="BP258" s="21" t="str">
        <f>IF(AND('Atividades Micro'!$B307=BP$2,'Atividades Micro'!$G307="Macro",'Atividades Micro'!$K307&lt;&gt;""),'Atividades Micro'!$K307,"")</f>
        <v/>
      </c>
      <c r="BQ258" s="21" t="str">
        <f>IF(AND('Atividades Micro'!$B307=BQ$2,'Atividades Micro'!$G307="Macro",'Atividades Micro'!$K307&lt;&gt;""),'Atividades Micro'!$K307,"")</f>
        <v/>
      </c>
      <c r="BR258" s="21" t="str">
        <f>IF(AND('Atividades Micro'!$B307=BR$2,'Atividades Micro'!$G307="Macro",'Atividades Micro'!$K307&lt;&gt;""),'Atividades Micro'!$K307,"")</f>
        <v/>
      </c>
      <c r="BS258" s="21" t="str">
        <f>IF(AND('Atividades Micro'!$B307=BS$2,'Atividades Micro'!$G307="Macro",'Atividades Micro'!$K307&lt;&gt;""),'Atividades Micro'!$K307,"")</f>
        <v/>
      </c>
      <c r="BT258" s="21" t="str">
        <f>IF(AND('Atividades Micro'!$B307=BT$2,'Atividades Micro'!$G307="Macro",'Atividades Micro'!$K307&lt;&gt;""),'Atividades Micro'!$K307,"")</f>
        <v/>
      </c>
      <c r="BU258" s="21" t="str">
        <f>IF(AND('Atividades Micro'!$B307=BU$2,'Atividades Micro'!$G307="Macro",'Atividades Micro'!$K307&lt;&gt;""),'Atividades Micro'!$K307,"")</f>
        <v/>
      </c>
      <c r="BV258" s="21" t="str">
        <f>IF(AND('Atividades Micro'!$B307=BV$2,'Atividades Micro'!$G307="Macro",'Atividades Micro'!$K307&lt;&gt;""),'Atividades Micro'!$K307,"")</f>
        <v/>
      </c>
      <c r="BW258" s="21" t="str">
        <f>IF(AND('Atividades Micro'!$B307=BW$2,'Atividades Micro'!$G307="Macro",'Atividades Micro'!$K307&lt;&gt;""),'Atividades Micro'!$K307,"")</f>
        <v/>
      </c>
      <c r="BX258" s="21" t="str">
        <f>IF(AND('Atividades Micro'!$B307=BX$2,'Atividades Micro'!$G307="Macro",'Atividades Micro'!$K307&lt;&gt;""),'Atividades Micro'!$K307,"")</f>
        <v/>
      </c>
      <c r="BY258" s="21" t="str">
        <f>IF(AND('Atividades Micro'!$B307=BY$2,'Atividades Micro'!$G307="Macro",'Atividades Micro'!$K307&lt;&gt;""),'Atividades Micro'!$K307,"")</f>
        <v/>
      </c>
      <c r="BZ258" s="21" t="str">
        <f>IF(AND('Atividades Micro'!$B307=BZ$2,'Atividades Micro'!$G307="Macro",'Atividades Micro'!$K307&lt;&gt;""),'Atividades Micro'!$K307,"")</f>
        <v/>
      </c>
      <c r="CA258" s="21" t="str">
        <f>IF(AND('Atividades Micro'!$B307=CA$2,'Atividades Micro'!$G307="Macro",'Atividades Micro'!$K307&lt;&gt;""),'Atividades Micro'!$K307,"")</f>
        <v/>
      </c>
      <c r="CB258" s="21" t="str">
        <f>IF(AND('Atividades Micro'!$B307=CB$2,'Atividades Micro'!$G307="Macro",'Atividades Micro'!$K307&lt;&gt;""),'Atividades Micro'!$K307,"")</f>
        <v/>
      </c>
      <c r="CC258" s="21" t="str">
        <f>IF(AND('Atividades Micro'!$B307=CC$2,'Atividades Micro'!$G307="Macro",'Atividades Micro'!$K307&lt;&gt;""),'Atividades Micro'!$K307,"")</f>
        <v/>
      </c>
      <c r="CD258" s="21" t="str">
        <f>IF(AND('Atividades Micro'!$B307=CD$2,'Atividades Micro'!$G307="Micro",'Atividades Micro'!$K307&lt;&gt;""),'Atividades Micro'!$K307,"")</f>
        <v/>
      </c>
      <c r="CE258" s="21" t="str">
        <f>IF(AND('Atividades Micro'!$B307=CE$2,'Atividades Micro'!$G307="Micro",'Atividades Micro'!$K307&lt;&gt;""),'Atividades Micro'!$K307,"")</f>
        <v/>
      </c>
      <c r="CF258" s="21" t="str">
        <f>IF(AND('Atividades Micro'!$B307=CF$2,'Atividades Micro'!$G307="Micro",'Atividades Micro'!$K307&lt;&gt;""),'Atividades Micro'!$K307,"")</f>
        <v/>
      </c>
      <c r="CG258" s="21" t="str">
        <f>IF(AND('Atividades Micro'!$B307=CG$2,'Atividades Micro'!$G307="Micro",'Atividades Micro'!$K307&lt;&gt;""),'Atividades Micro'!$K307,"")</f>
        <v/>
      </c>
      <c r="CH258" s="21" t="str">
        <f>IF(AND('Atividades Micro'!$B307=CH$2,'Atividades Micro'!$G307="Micro",'Atividades Micro'!$K307&lt;&gt;""),'Atividades Micro'!$K307,"")</f>
        <v/>
      </c>
      <c r="CI258" s="21" t="str">
        <f>IF(AND('Atividades Micro'!$B307=CI$2,'Atividades Micro'!$G307="Micro",'Atividades Micro'!$K307&lt;&gt;""),'Atividades Micro'!$K307,"")</f>
        <v/>
      </c>
      <c r="CJ258" s="21" t="str">
        <f>IF(AND('Atividades Micro'!$B307=CJ$2,'Atividades Micro'!$G307="Micro",'Atividades Micro'!$K307&lt;&gt;""),'Atividades Micro'!$K307,"")</f>
        <v/>
      </c>
      <c r="CK258" s="21" t="str">
        <f>IF(AND('Atividades Micro'!$B307=CK$2,'Atividades Micro'!$G307="Micro",'Atividades Micro'!$K307&lt;&gt;""),'Atividades Micro'!$K307,"")</f>
        <v/>
      </c>
      <c r="CL258" s="21" t="str">
        <f>IF(AND('Atividades Micro'!$B307=CL$2,'Atividades Micro'!$G307="Micro",'Atividades Micro'!$K307&lt;&gt;""),'Atividades Micro'!$K307,"")</f>
        <v/>
      </c>
      <c r="CM258" s="21" t="str">
        <f>IF(AND('Atividades Micro'!$B307=CM$2,'Atividades Micro'!$G307="Micro",'Atividades Micro'!$K307&lt;&gt;""),'Atividades Micro'!$K307,"")</f>
        <v/>
      </c>
      <c r="CN258" s="21" t="str">
        <f>IF(AND('Atividades Micro'!$B307=CN$2,'Atividades Micro'!$G307="Micro",'Atividades Micro'!$K307&lt;&gt;""),'Atividades Micro'!$K307,"")</f>
        <v/>
      </c>
      <c r="CO258" s="21" t="str">
        <f>IF(AND('Atividades Micro'!$B307=CO$2,'Atividades Micro'!$G307="Micro",'Atividades Micro'!$K307&lt;&gt;""),'Atividades Micro'!$K307,"")</f>
        <v/>
      </c>
    </row>
    <row r="259" spans="1:93">
      <c r="A259" s="21" t="str">
        <f>IF(AND('Atividades Micro'!$A308=A$2,'Atividades Micro'!$K308&lt;&gt;""),'Atividades Micro'!$K308,"")</f>
        <v/>
      </c>
      <c r="B259" s="21" t="str">
        <f>IF(AND('Atividades Micro'!$A308=B$2,'Atividades Micro'!$L308&lt;&gt;""),'Atividades Micro'!$L308,"")</f>
        <v/>
      </c>
      <c r="C259" s="21" t="str">
        <f>IF(AND('Atividades Micro'!$A308=C$2,'Atividades Micro'!$K308&lt;&gt;""),'Atividades Micro'!$K308,"")</f>
        <v/>
      </c>
      <c r="D259" s="21" t="str">
        <f>IF(AND('Atividades Micro'!$A308=D$2,'Atividades Micro'!$L308&lt;&gt;""),'Atividades Micro'!$L308,"")</f>
        <v/>
      </c>
      <c r="E259" s="21" t="str">
        <f>IF(AND('Atividades Micro'!$A308=E$2,'Atividades Micro'!$K308&lt;&gt;""),'Atividades Micro'!$K308,"")</f>
        <v/>
      </c>
      <c r="F259" s="21" t="str">
        <f>IF(AND('Atividades Micro'!$A308=F$2,'Atividades Micro'!$L308&lt;&gt;""),'Atividades Micro'!$L308,"")</f>
        <v/>
      </c>
      <c r="G259" s="21" t="str">
        <f>IF(AND('Atividades Micro'!$A308=G$2,'Atividades Micro'!$K308&lt;&gt;""),'Atividades Micro'!$K308,"")</f>
        <v/>
      </c>
      <c r="H259" s="21" t="str">
        <f>IF(AND('Atividades Micro'!$A308=H$2,'Atividades Micro'!$L308&lt;&gt;""),'Atividades Micro'!$L308,"")</f>
        <v/>
      </c>
      <c r="I259" s="21" t="str">
        <f>IF(AND('Atividades Micro'!$A308=I$2,'Atividades Micro'!$K308&lt;&gt;""),'Atividades Micro'!$K308,"")</f>
        <v/>
      </c>
      <c r="J259" s="21" t="str">
        <f>IF(AND('Atividades Micro'!$A308=J$2,'Atividades Micro'!$L308&lt;&gt;""),'Atividades Micro'!$L308,"")</f>
        <v/>
      </c>
      <c r="K259" s="21" t="str">
        <f>IF(AND('Atividades Micro'!$B308=K$2,'Atividades Micro'!$K308&lt;&gt;""),'Atividades Micro'!$K308,"")</f>
        <v/>
      </c>
      <c r="L259" s="21" t="str">
        <f>IF(AND('Atividades Micro'!$B308=L$2,'Atividades Micro'!$L308&lt;&gt;""),'Atividades Micro'!$L308,"")</f>
        <v/>
      </c>
      <c r="M259" s="21" t="str">
        <f>IF(AND('Atividades Micro'!$B308=M$2,'Atividades Micro'!$K308&lt;&gt;""),'Atividades Micro'!$K308,"")</f>
        <v/>
      </c>
      <c r="N259" s="21" t="str">
        <f>IF(AND('Atividades Micro'!$B308=N$2,'Atividades Micro'!$L308&lt;&gt;""),'Atividades Micro'!$L308,"")</f>
        <v/>
      </c>
      <c r="O259" s="21" t="str">
        <f>IF(AND('Atividades Micro'!$A308=O$2,'Atividades Micro'!$K308&lt;&gt;""),'Atividades Micro'!$K308,"")</f>
        <v/>
      </c>
      <c r="P259" s="21" t="str">
        <f>IF(AND('Atividades Micro'!$A308=P$2,'Atividades Micro'!$L308&lt;&gt;""),'Atividades Micro'!$L308,"")</f>
        <v/>
      </c>
      <c r="Q259" s="21" t="str">
        <f>IF(AND('Atividades Micro'!$B308=Q$2,'Atividades Micro'!$K308&lt;&gt;""),'Atividades Micro'!$K308,"")</f>
        <v/>
      </c>
      <c r="R259" s="21" t="str">
        <f>IF(AND('Atividades Micro'!$B308=R$2,'Atividades Micro'!$L308&lt;&gt;""),'Atividades Micro'!$L308,"")</f>
        <v/>
      </c>
      <c r="S259" s="21" t="str">
        <f>IF(AND('Atividades Micro'!$A308=S$2,'Atividades Micro'!$K308&lt;&gt;""),'Atividades Micro'!$K308,"")</f>
        <v/>
      </c>
      <c r="T259" s="21" t="str">
        <f>IF(AND('Atividades Micro'!$A308=T$2,'Atividades Micro'!$L308&lt;&gt;""),'Atividades Micro'!$L308,"")</f>
        <v/>
      </c>
      <c r="U259" s="21" t="str">
        <f>IF(AND('Atividades Micro'!$B308=U$2,'Atividades Micro'!$K308&lt;&gt;""),'Atividades Micro'!$K308,"")</f>
        <v/>
      </c>
      <c r="V259" s="21" t="str">
        <f>IF(AND('Atividades Micro'!$B308=V$2,'Atividades Micro'!$L308&lt;&gt;""),'Atividades Micro'!$L308,"")</f>
        <v/>
      </c>
      <c r="W259" s="21" t="str">
        <f>IF(AND('Atividades Micro'!$B308=W$2,'Atividades Micro'!$K308&lt;&gt;""),'Atividades Micro'!$K308,"")</f>
        <v/>
      </c>
      <c r="X259" s="21" t="str">
        <f>IF(AND('Atividades Micro'!$B308=X$2,'Atividades Micro'!$L308&lt;&gt;""),'Atividades Micro'!$L308,"")</f>
        <v/>
      </c>
      <c r="Y259" s="21" t="str">
        <f>IF(AND('Atividades Micro'!$A308=Y$2,'Atividades Micro'!$K308&lt;&gt;""),'Atividades Micro'!$K308,"")</f>
        <v/>
      </c>
      <c r="Z259" s="21" t="str">
        <f>IF(AND('Atividades Micro'!$A308=Z$2,'Atividades Micro'!$L308&lt;&gt;""),'Atividades Micro'!$L308,"")</f>
        <v/>
      </c>
      <c r="AA259" s="21" t="str">
        <f>IF(AND('Atividades Micro'!$B308=AA$2,'Atividades Micro'!$K308&lt;&gt;""),'Atividades Micro'!$K308,"")</f>
        <v/>
      </c>
      <c r="AB259" s="21" t="str">
        <f>IF(AND('Atividades Micro'!$B308=AB$2,'Atividades Micro'!$L308&lt;&gt;""),'Atividades Micro'!$L308,"")</f>
        <v/>
      </c>
      <c r="AC259" s="21" t="str">
        <f>IF(AND('Atividades Micro'!$B308=AC$2,'Atividades Micro'!$K308&lt;&gt;""),'Atividades Micro'!$K308,"")</f>
        <v/>
      </c>
      <c r="AD259" s="21" t="str">
        <f>IF(AND('Atividades Micro'!$B308=AD$2,'Atividades Micro'!$L308&lt;&gt;""),'Atividades Micro'!$L308,"")</f>
        <v/>
      </c>
      <c r="AE259" s="21" t="str">
        <f>IF(AND('Atividades Micro'!$A308=AE$2,'Atividades Micro'!$K308&lt;&gt;""),'Atividades Micro'!$K308,"")</f>
        <v/>
      </c>
      <c r="AF259" s="21" t="str">
        <f>IF(AND('Atividades Micro'!$A308=AF$2,'Atividades Micro'!$L308&lt;&gt;""),'Atividades Micro'!$L308,"")</f>
        <v/>
      </c>
      <c r="AG259" s="21" t="str">
        <f>IF(AND('Atividades Micro'!$B308=AG$2,'Atividades Micro'!$K308&lt;&gt;""),'Atividades Micro'!$K308,"")</f>
        <v/>
      </c>
      <c r="AH259" s="21" t="str">
        <f>IF(AND('Atividades Micro'!$B308=AH$2,'Atividades Micro'!$L308&lt;&gt;""),'Atividades Micro'!$L308,"")</f>
        <v/>
      </c>
      <c r="AI259" s="21" t="str">
        <f>IF(AND('Atividades Micro'!$B308=AI$2,'Atividades Micro'!$K308&lt;&gt;""),'Atividades Micro'!$K308,"")</f>
        <v/>
      </c>
      <c r="AJ259" s="21" t="str">
        <f>IF(AND('Atividades Micro'!$B308=AJ$2,'Atividades Micro'!$L308&lt;&gt;""),'Atividades Micro'!$L308,"")</f>
        <v/>
      </c>
      <c r="AK259" s="21" t="str">
        <f>IF(AND('Atividades Micro'!$A308=AK$2,'Atividades Micro'!$K308&lt;&gt;""),'Atividades Micro'!$K308,"")</f>
        <v/>
      </c>
      <c r="AL259" s="21" t="str">
        <f>IF(AND('Atividades Micro'!$A308=AL$2,'Atividades Micro'!$L308&lt;&gt;""),'Atividades Micro'!$L308,"")</f>
        <v/>
      </c>
      <c r="AM259" s="21" t="str">
        <f>IF(AND('Atividades Micro'!$B308=AM$2,'Atividades Micro'!$K308&lt;&gt;""),'Atividades Micro'!$K308,"")</f>
        <v/>
      </c>
      <c r="AN259" s="21" t="str">
        <f>IF(AND('Atividades Micro'!$B308=AN$2,'Atividades Micro'!$L308&lt;&gt;""),'Atividades Micro'!$L308,"")</f>
        <v/>
      </c>
      <c r="AO259" s="21" t="str">
        <f>IF(AND('Atividades Micro'!$B308=AO$2,'Atividades Micro'!$K308&lt;&gt;""),'Atividades Micro'!$K308,"")</f>
        <v/>
      </c>
      <c r="AP259" s="21" t="str">
        <f>IF(AND('Atividades Micro'!$B308=AP$2,'Atividades Micro'!$L308&lt;&gt;""),'Atividades Micro'!$L308,"")</f>
        <v/>
      </c>
      <c r="AQ259" s="21">
        <f>IF(AND('Atividades Micro'!$A308=AQ$2,'Atividades Micro'!$K308&lt;&gt;""),'Atividades Micro'!$K308,"")</f>
        <v>46248</v>
      </c>
      <c r="AR259" s="21">
        <f>IF(AND('Atividades Micro'!$A308=AR$2,'Atividades Micro'!$L308&lt;&gt;""),'Atividades Micro'!$L308,"")</f>
        <v>46248</v>
      </c>
      <c r="AS259" s="21">
        <f>IF(AND('Atividades Micro'!$B308=AS$2,'Atividades Micro'!$K308&lt;&gt;""),'Atividades Micro'!$K308,"")</f>
        <v>46248</v>
      </c>
      <c r="AT259" s="21">
        <f>IF(AND('Atividades Micro'!$B308=AT$2,'Atividades Micro'!$L308&lt;&gt;""),'Atividades Micro'!$L308,"")</f>
        <v>46248</v>
      </c>
      <c r="AU259" s="21" t="str">
        <f>IF(AND('Atividades Micro'!$A308=AU$2,'Atividades Micro'!$K308&lt;&gt;""),'Atividades Micro'!$K308,"")</f>
        <v/>
      </c>
      <c r="AV259" s="21" t="str">
        <f>IF(AND('Atividades Micro'!$A308=AV$2,'Atividades Micro'!$L308&lt;&gt;""),'Atividades Micro'!$L308,"")</f>
        <v/>
      </c>
      <c r="AW259" s="21" t="str">
        <f>IF(AND('Atividades Micro'!$B308=AW$2,'Atividades Micro'!$K308&lt;&gt;""),'Atividades Micro'!$K308,"")</f>
        <v/>
      </c>
      <c r="AX259" s="21" t="str">
        <f>IF(AND('Atividades Micro'!$B308=AX$2,'Atividades Micro'!$L308&lt;&gt;""),'Atividades Micro'!$L308,"")</f>
        <v/>
      </c>
      <c r="AY259" s="21" t="str">
        <f>IF(AND('Atividades Micro'!$A308=AY$2,'Atividades Micro'!$K308&lt;&gt;""),'Atividades Micro'!$K308,"")</f>
        <v/>
      </c>
      <c r="AZ259" s="21" t="str">
        <f>IF(AND('Atividades Micro'!$A308=AZ$2,'Atividades Micro'!$L308&lt;&gt;""),'Atividades Micro'!$L308,"")</f>
        <v/>
      </c>
      <c r="BA259" s="21" t="str">
        <f>IF(AND('Atividades Micro'!$B308=BA$2,'Atividades Micro'!$K308&lt;&gt;""),'Atividades Micro'!$K308,"")</f>
        <v/>
      </c>
      <c r="BB259" s="21" t="str">
        <f>IF(AND('Atividades Micro'!$B308=BB$2,'Atividades Micro'!$L308&lt;&gt;""),'Atividades Micro'!$L308,"")</f>
        <v/>
      </c>
      <c r="BC259" s="21" t="str">
        <f>IF(AND('Atividades Micro'!$B308=BC$2,'Atividades Micro'!$G308="Macro",'Atividades Micro'!$K308&lt;&gt;""),'Atividades Micro'!$K308,"")</f>
        <v/>
      </c>
      <c r="BD259" s="21" t="str">
        <f>IF(AND('Atividades Micro'!$B308=BD$2,'Atividades Micro'!$G308="Macro",'Atividades Micro'!$K308&lt;&gt;""),'Atividades Micro'!$K308,"")</f>
        <v/>
      </c>
      <c r="BE259" s="21" t="str">
        <f>IF(AND('Atividades Micro'!$B308=BE$2,'Atividades Micro'!$G308="Macro",'Atividades Micro'!$K308&lt;&gt;""),'Atividades Micro'!$K308,"")</f>
        <v/>
      </c>
      <c r="BF259" s="21" t="str">
        <f>IF(AND('Atividades Micro'!$B308=BF$2,'Atividades Micro'!$G308="Macro",'Atividades Micro'!$K308&lt;&gt;""),'Atividades Micro'!$K308,"")</f>
        <v/>
      </c>
      <c r="BG259" s="21" t="str">
        <f>IF(AND('Atividades Micro'!$B308=BG$2,'Atividades Micro'!$G308="Macro",'Atividades Micro'!$K308&lt;&gt;""),'Atividades Micro'!$K308,"")</f>
        <v/>
      </c>
      <c r="BH259" s="21" t="str">
        <f>IF(AND('Atividades Micro'!$B308=BH$2,'Atividades Micro'!$G308="Macro",'Atividades Micro'!$K308&lt;&gt;""),'Atividades Micro'!$K308,"")</f>
        <v/>
      </c>
      <c r="BI259" s="21" t="str">
        <f>IF(AND('Atividades Micro'!$B308=BI$2,'Atividades Micro'!$G308="Macro",'Atividades Micro'!$K308&lt;&gt;""),'Atividades Micro'!$K308,"")</f>
        <v/>
      </c>
      <c r="BJ259" s="21" t="str">
        <f>IF(AND('Atividades Micro'!$B308=BJ$2,'Atividades Micro'!$G308="Macro",'Atividades Micro'!$K308&lt;&gt;""),'Atividades Micro'!$K308,"")</f>
        <v/>
      </c>
      <c r="BK259" s="21" t="str">
        <f>IF(AND('Atividades Micro'!$B308=BK$2,'Atividades Micro'!$G308="Macro",'Atividades Micro'!$K308&lt;&gt;""),'Atividades Micro'!$K308,"")</f>
        <v/>
      </c>
      <c r="BL259" s="21" t="str">
        <f>IF(AND('Atividades Micro'!$B308=BL$2,'Atividades Micro'!$G308="Macro",'Atividades Micro'!$K308&lt;&gt;""),'Atividades Micro'!$K308,"")</f>
        <v/>
      </c>
      <c r="BM259" s="21" t="str">
        <f>IF(AND('Atividades Micro'!$B308=BM$2,'Atividades Micro'!$G308="Macro",'Atividades Micro'!$K308&lt;&gt;""),'Atividades Micro'!$K308,"")</f>
        <v/>
      </c>
      <c r="BN259" s="21" t="str">
        <f>IF(AND('Atividades Micro'!$B308=BN$2,'Atividades Micro'!$G308="Macro",'Atividades Micro'!$K308&lt;&gt;""),'Atividades Micro'!$K308,"")</f>
        <v/>
      </c>
      <c r="BO259" s="21" t="str">
        <f>IF(AND('Atividades Micro'!$B308=BO$2,'Atividades Micro'!$G308="Macro",'Atividades Micro'!$K308&lt;&gt;""),'Atividades Micro'!$K308,"")</f>
        <v/>
      </c>
      <c r="BP259" s="21" t="str">
        <f>IF(AND('Atividades Micro'!$B308=BP$2,'Atividades Micro'!$G308="Macro",'Atividades Micro'!$K308&lt;&gt;""),'Atividades Micro'!$K308,"")</f>
        <v/>
      </c>
      <c r="BQ259" s="21" t="str">
        <f>IF(AND('Atividades Micro'!$B308=BQ$2,'Atividades Micro'!$G308="Macro",'Atividades Micro'!$K308&lt;&gt;""),'Atividades Micro'!$K308,"")</f>
        <v/>
      </c>
      <c r="BR259" s="21" t="str">
        <f>IF(AND('Atividades Micro'!$B308=BR$2,'Atividades Micro'!$G308="Macro",'Atividades Micro'!$K308&lt;&gt;""),'Atividades Micro'!$K308,"")</f>
        <v/>
      </c>
      <c r="BS259" s="21" t="str">
        <f>IF(AND('Atividades Micro'!$B308=BS$2,'Atividades Micro'!$G308="Macro",'Atividades Micro'!$K308&lt;&gt;""),'Atividades Micro'!$K308,"")</f>
        <v/>
      </c>
      <c r="BT259" s="21" t="str">
        <f>IF(AND('Atividades Micro'!$B308=BT$2,'Atividades Micro'!$G308="Macro",'Atividades Micro'!$K308&lt;&gt;""),'Atividades Micro'!$K308,"")</f>
        <v/>
      </c>
      <c r="BU259" s="21" t="str">
        <f>IF(AND('Atividades Micro'!$B308=BU$2,'Atividades Micro'!$G308="Macro",'Atividades Micro'!$K308&lt;&gt;""),'Atividades Micro'!$K308,"")</f>
        <v/>
      </c>
      <c r="BV259" s="21" t="str">
        <f>IF(AND('Atividades Micro'!$B308=BV$2,'Atividades Micro'!$G308="Macro",'Atividades Micro'!$K308&lt;&gt;""),'Atividades Micro'!$K308,"")</f>
        <v/>
      </c>
      <c r="BW259" s="21" t="str">
        <f>IF(AND('Atividades Micro'!$B308=BW$2,'Atividades Micro'!$G308="Macro",'Atividades Micro'!$K308&lt;&gt;""),'Atividades Micro'!$K308,"")</f>
        <v/>
      </c>
      <c r="BX259" s="21" t="str">
        <f>IF(AND('Atividades Micro'!$B308=BX$2,'Atividades Micro'!$G308="Macro",'Atividades Micro'!$K308&lt;&gt;""),'Atividades Micro'!$K308,"")</f>
        <v/>
      </c>
      <c r="BY259" s="21" t="str">
        <f>IF(AND('Atividades Micro'!$B308=BY$2,'Atividades Micro'!$G308="Macro",'Atividades Micro'!$K308&lt;&gt;""),'Atividades Micro'!$K308,"")</f>
        <v/>
      </c>
      <c r="BZ259" s="21" t="str">
        <f>IF(AND('Atividades Micro'!$B308=BZ$2,'Atividades Micro'!$G308="Macro",'Atividades Micro'!$K308&lt;&gt;""),'Atividades Micro'!$K308,"")</f>
        <v/>
      </c>
      <c r="CA259" s="21" t="str">
        <f>IF(AND('Atividades Micro'!$B308=CA$2,'Atividades Micro'!$G308="Macro",'Atividades Micro'!$K308&lt;&gt;""),'Atividades Micro'!$K308,"")</f>
        <v/>
      </c>
      <c r="CB259" s="21" t="str">
        <f>IF(AND('Atividades Micro'!$B308=CB$2,'Atividades Micro'!$G308="Macro",'Atividades Micro'!$K308&lt;&gt;""),'Atividades Micro'!$K308,"")</f>
        <v/>
      </c>
      <c r="CC259" s="21" t="str">
        <f>IF(AND('Atividades Micro'!$B308=CC$2,'Atividades Micro'!$G308="Macro",'Atividades Micro'!$K308&lt;&gt;""),'Atividades Micro'!$K308,"")</f>
        <v/>
      </c>
      <c r="CD259" s="21" t="str">
        <f>IF(AND('Atividades Micro'!$B308=CD$2,'Atividades Micro'!$G308="Micro",'Atividades Micro'!$K308&lt;&gt;""),'Atividades Micro'!$K308,"")</f>
        <v/>
      </c>
      <c r="CE259" s="21" t="str">
        <f>IF(AND('Atividades Micro'!$B308=CE$2,'Atividades Micro'!$G308="Micro",'Atividades Micro'!$K308&lt;&gt;""),'Atividades Micro'!$K308,"")</f>
        <v/>
      </c>
      <c r="CF259" s="21" t="str">
        <f>IF(AND('Atividades Micro'!$B308=CF$2,'Atividades Micro'!$G308="Micro",'Atividades Micro'!$K308&lt;&gt;""),'Atividades Micro'!$K308,"")</f>
        <v/>
      </c>
      <c r="CG259" s="21" t="str">
        <f>IF(AND('Atividades Micro'!$B308=CG$2,'Atividades Micro'!$G308="Micro",'Atividades Micro'!$K308&lt;&gt;""),'Atividades Micro'!$K308,"")</f>
        <v/>
      </c>
      <c r="CH259" s="21" t="str">
        <f>IF(AND('Atividades Micro'!$B308=CH$2,'Atividades Micro'!$G308="Micro",'Atividades Micro'!$K308&lt;&gt;""),'Atividades Micro'!$K308,"")</f>
        <v/>
      </c>
      <c r="CI259" s="21" t="str">
        <f>IF(AND('Atividades Micro'!$B308=CI$2,'Atividades Micro'!$G308="Micro",'Atividades Micro'!$K308&lt;&gt;""),'Atividades Micro'!$K308,"")</f>
        <v/>
      </c>
      <c r="CJ259" s="21" t="str">
        <f>IF(AND('Atividades Micro'!$B308=CJ$2,'Atividades Micro'!$G308="Micro",'Atividades Micro'!$K308&lt;&gt;""),'Atividades Micro'!$K308,"")</f>
        <v/>
      </c>
      <c r="CK259" s="21" t="str">
        <f>IF(AND('Atividades Micro'!$B308=CK$2,'Atividades Micro'!$G308="Micro",'Atividades Micro'!$K308&lt;&gt;""),'Atividades Micro'!$K308,"")</f>
        <v/>
      </c>
      <c r="CL259" s="21" t="str">
        <f>IF(AND('Atividades Micro'!$B308=CL$2,'Atividades Micro'!$G308="Micro",'Atividades Micro'!$K308&lt;&gt;""),'Atividades Micro'!$K308,"")</f>
        <v/>
      </c>
      <c r="CM259" s="21" t="str">
        <f>IF(AND('Atividades Micro'!$B308=CM$2,'Atividades Micro'!$G308="Micro",'Atividades Micro'!$K308&lt;&gt;""),'Atividades Micro'!$K308,"")</f>
        <v/>
      </c>
      <c r="CN259" s="21" t="str">
        <f>IF(AND('Atividades Micro'!$B308=CN$2,'Atividades Micro'!$G308="Micro",'Atividades Micro'!$K308&lt;&gt;""),'Atividades Micro'!$K308,"")</f>
        <v/>
      </c>
      <c r="CO259" s="21" t="str">
        <f>IF(AND('Atividades Micro'!$B308=CO$2,'Atividades Micro'!$G308="Micro",'Atividades Micro'!$K308&lt;&gt;""),'Atividades Micro'!$K308,"")</f>
        <v/>
      </c>
    </row>
    <row r="260" spans="1:93">
      <c r="A260" s="21" t="str">
        <f>IF(AND('Atividades Micro'!$A309=A$2,'Atividades Micro'!$K309&lt;&gt;""),'Atividades Micro'!$K309,"")</f>
        <v/>
      </c>
      <c r="B260" s="21" t="str">
        <f>IF(AND('Atividades Micro'!$A309=B$2,'Atividades Micro'!$L309&lt;&gt;""),'Atividades Micro'!$L309,"")</f>
        <v/>
      </c>
      <c r="C260" s="21" t="str">
        <f>IF(AND('Atividades Micro'!$A309=C$2,'Atividades Micro'!$K309&lt;&gt;""),'Atividades Micro'!$K309,"")</f>
        <v/>
      </c>
      <c r="D260" s="21" t="str">
        <f>IF(AND('Atividades Micro'!$A309=D$2,'Atividades Micro'!$L309&lt;&gt;""),'Atividades Micro'!$L309,"")</f>
        <v/>
      </c>
      <c r="E260" s="21" t="str">
        <f>IF(AND('Atividades Micro'!$A309=E$2,'Atividades Micro'!$K309&lt;&gt;""),'Atividades Micro'!$K309,"")</f>
        <v/>
      </c>
      <c r="F260" s="21" t="str">
        <f>IF(AND('Atividades Micro'!$A309=F$2,'Atividades Micro'!$L309&lt;&gt;""),'Atividades Micro'!$L309,"")</f>
        <v/>
      </c>
      <c r="G260" s="21" t="str">
        <f>IF(AND('Atividades Micro'!$A309=G$2,'Atividades Micro'!$K309&lt;&gt;""),'Atividades Micro'!$K309,"")</f>
        <v/>
      </c>
      <c r="H260" s="21" t="str">
        <f>IF(AND('Atividades Micro'!$A309=H$2,'Atividades Micro'!$L309&lt;&gt;""),'Atividades Micro'!$L309,"")</f>
        <v/>
      </c>
      <c r="I260" s="21" t="str">
        <f>IF(AND('Atividades Micro'!$A309=I$2,'Atividades Micro'!$K309&lt;&gt;""),'Atividades Micro'!$K309,"")</f>
        <v/>
      </c>
      <c r="J260" s="21" t="str">
        <f>IF(AND('Atividades Micro'!$A309=J$2,'Atividades Micro'!$L309&lt;&gt;""),'Atividades Micro'!$L309,"")</f>
        <v/>
      </c>
      <c r="K260" s="21" t="str">
        <f>IF(AND('Atividades Micro'!$B309=K$2,'Atividades Micro'!$K309&lt;&gt;""),'Atividades Micro'!$K309,"")</f>
        <v/>
      </c>
      <c r="L260" s="21" t="str">
        <f>IF(AND('Atividades Micro'!$B309=L$2,'Atividades Micro'!$L309&lt;&gt;""),'Atividades Micro'!$L309,"")</f>
        <v/>
      </c>
      <c r="M260" s="21" t="str">
        <f>IF(AND('Atividades Micro'!$B309=M$2,'Atividades Micro'!$K309&lt;&gt;""),'Atividades Micro'!$K309,"")</f>
        <v/>
      </c>
      <c r="N260" s="21" t="str">
        <f>IF(AND('Atividades Micro'!$B309=N$2,'Atividades Micro'!$L309&lt;&gt;""),'Atividades Micro'!$L309,"")</f>
        <v/>
      </c>
      <c r="O260" s="21" t="str">
        <f>IF(AND('Atividades Micro'!$A309=O$2,'Atividades Micro'!$K309&lt;&gt;""),'Atividades Micro'!$K309,"")</f>
        <v/>
      </c>
      <c r="P260" s="21" t="str">
        <f>IF(AND('Atividades Micro'!$A309=P$2,'Atividades Micro'!$L309&lt;&gt;""),'Atividades Micro'!$L309,"")</f>
        <v/>
      </c>
      <c r="Q260" s="21" t="str">
        <f>IF(AND('Atividades Micro'!$B309=Q$2,'Atividades Micro'!$K309&lt;&gt;""),'Atividades Micro'!$K309,"")</f>
        <v/>
      </c>
      <c r="R260" s="21" t="str">
        <f>IF(AND('Atividades Micro'!$B309=R$2,'Atividades Micro'!$L309&lt;&gt;""),'Atividades Micro'!$L309,"")</f>
        <v/>
      </c>
      <c r="S260" s="21" t="str">
        <f>IF(AND('Atividades Micro'!$A309=S$2,'Atividades Micro'!$K309&lt;&gt;""),'Atividades Micro'!$K309,"")</f>
        <v/>
      </c>
      <c r="T260" s="21" t="str">
        <f>IF(AND('Atividades Micro'!$A309=T$2,'Atividades Micro'!$L309&lt;&gt;""),'Atividades Micro'!$L309,"")</f>
        <v/>
      </c>
      <c r="U260" s="21" t="str">
        <f>IF(AND('Atividades Micro'!$B309=U$2,'Atividades Micro'!$K309&lt;&gt;""),'Atividades Micro'!$K309,"")</f>
        <v/>
      </c>
      <c r="V260" s="21" t="str">
        <f>IF(AND('Atividades Micro'!$B309=V$2,'Atividades Micro'!$L309&lt;&gt;""),'Atividades Micro'!$L309,"")</f>
        <v/>
      </c>
      <c r="W260" s="21" t="str">
        <f>IF(AND('Atividades Micro'!$B309=W$2,'Atividades Micro'!$K309&lt;&gt;""),'Atividades Micro'!$K309,"")</f>
        <v/>
      </c>
      <c r="X260" s="21" t="str">
        <f>IF(AND('Atividades Micro'!$B309=X$2,'Atividades Micro'!$L309&lt;&gt;""),'Atividades Micro'!$L309,"")</f>
        <v/>
      </c>
      <c r="Y260" s="21" t="str">
        <f>IF(AND('Atividades Micro'!$A309=Y$2,'Atividades Micro'!$K309&lt;&gt;""),'Atividades Micro'!$K309,"")</f>
        <v/>
      </c>
      <c r="Z260" s="21" t="str">
        <f>IF(AND('Atividades Micro'!$A309=Z$2,'Atividades Micro'!$L309&lt;&gt;""),'Atividades Micro'!$L309,"")</f>
        <v/>
      </c>
      <c r="AA260" s="21" t="str">
        <f>IF(AND('Atividades Micro'!$B309=AA$2,'Atividades Micro'!$K309&lt;&gt;""),'Atividades Micro'!$K309,"")</f>
        <v/>
      </c>
      <c r="AB260" s="21" t="str">
        <f>IF(AND('Atividades Micro'!$B309=AB$2,'Atividades Micro'!$L309&lt;&gt;""),'Atividades Micro'!$L309,"")</f>
        <v/>
      </c>
      <c r="AC260" s="21" t="str">
        <f>IF(AND('Atividades Micro'!$B309=AC$2,'Atividades Micro'!$K309&lt;&gt;""),'Atividades Micro'!$K309,"")</f>
        <v/>
      </c>
      <c r="AD260" s="21" t="str">
        <f>IF(AND('Atividades Micro'!$B309=AD$2,'Atividades Micro'!$L309&lt;&gt;""),'Atividades Micro'!$L309,"")</f>
        <v/>
      </c>
      <c r="AE260" s="21" t="str">
        <f>IF(AND('Atividades Micro'!$A309=AE$2,'Atividades Micro'!$K309&lt;&gt;""),'Atividades Micro'!$K309,"")</f>
        <v/>
      </c>
      <c r="AF260" s="21" t="str">
        <f>IF(AND('Atividades Micro'!$A309=AF$2,'Atividades Micro'!$L309&lt;&gt;""),'Atividades Micro'!$L309,"")</f>
        <v/>
      </c>
      <c r="AG260" s="21" t="str">
        <f>IF(AND('Atividades Micro'!$B309=AG$2,'Atividades Micro'!$K309&lt;&gt;""),'Atividades Micro'!$K309,"")</f>
        <v/>
      </c>
      <c r="AH260" s="21" t="str">
        <f>IF(AND('Atividades Micro'!$B309=AH$2,'Atividades Micro'!$L309&lt;&gt;""),'Atividades Micro'!$L309,"")</f>
        <v/>
      </c>
      <c r="AI260" s="21" t="str">
        <f>IF(AND('Atividades Micro'!$B309=AI$2,'Atividades Micro'!$K309&lt;&gt;""),'Atividades Micro'!$K309,"")</f>
        <v/>
      </c>
      <c r="AJ260" s="21" t="str">
        <f>IF(AND('Atividades Micro'!$B309=AJ$2,'Atividades Micro'!$L309&lt;&gt;""),'Atividades Micro'!$L309,"")</f>
        <v/>
      </c>
      <c r="AK260" s="21" t="str">
        <f>IF(AND('Atividades Micro'!$A309=AK$2,'Atividades Micro'!$K309&lt;&gt;""),'Atividades Micro'!$K309,"")</f>
        <v/>
      </c>
      <c r="AL260" s="21" t="str">
        <f>IF(AND('Atividades Micro'!$A309=AL$2,'Atividades Micro'!$L309&lt;&gt;""),'Atividades Micro'!$L309,"")</f>
        <v/>
      </c>
      <c r="AM260" s="21" t="str">
        <f>IF(AND('Atividades Micro'!$B309=AM$2,'Atividades Micro'!$K309&lt;&gt;""),'Atividades Micro'!$K309,"")</f>
        <v/>
      </c>
      <c r="AN260" s="21" t="str">
        <f>IF(AND('Atividades Micro'!$B309=AN$2,'Atividades Micro'!$L309&lt;&gt;""),'Atividades Micro'!$L309,"")</f>
        <v/>
      </c>
      <c r="AO260" s="21" t="str">
        <f>IF(AND('Atividades Micro'!$B309=AO$2,'Atividades Micro'!$K309&lt;&gt;""),'Atividades Micro'!$K309,"")</f>
        <v/>
      </c>
      <c r="AP260" s="21" t="str">
        <f>IF(AND('Atividades Micro'!$B309=AP$2,'Atividades Micro'!$L309&lt;&gt;""),'Atividades Micro'!$L309,"")</f>
        <v/>
      </c>
      <c r="AQ260" s="21">
        <f>IF(AND('Atividades Micro'!$A309=AQ$2,'Atividades Micro'!$K309&lt;&gt;""),'Atividades Micro'!$K309,"")</f>
        <v>46248</v>
      </c>
      <c r="AR260" s="21">
        <f>IF(AND('Atividades Micro'!$A309=AR$2,'Atividades Micro'!$L309&lt;&gt;""),'Atividades Micro'!$L309,"")</f>
        <v>46248</v>
      </c>
      <c r="AS260" s="21">
        <f>IF(AND('Atividades Micro'!$B309=AS$2,'Atividades Micro'!$K309&lt;&gt;""),'Atividades Micro'!$K309,"")</f>
        <v>46248</v>
      </c>
      <c r="AT260" s="21">
        <f>IF(AND('Atividades Micro'!$B309=AT$2,'Atividades Micro'!$L309&lt;&gt;""),'Atividades Micro'!$L309,"")</f>
        <v>46248</v>
      </c>
      <c r="AU260" s="21" t="str">
        <f>IF(AND('Atividades Micro'!$A309=AU$2,'Atividades Micro'!$K309&lt;&gt;""),'Atividades Micro'!$K309,"")</f>
        <v/>
      </c>
      <c r="AV260" s="21" t="str">
        <f>IF(AND('Atividades Micro'!$A309=AV$2,'Atividades Micro'!$L309&lt;&gt;""),'Atividades Micro'!$L309,"")</f>
        <v/>
      </c>
      <c r="AW260" s="21" t="str">
        <f>IF(AND('Atividades Micro'!$B309=AW$2,'Atividades Micro'!$K309&lt;&gt;""),'Atividades Micro'!$K309,"")</f>
        <v/>
      </c>
      <c r="AX260" s="21" t="str">
        <f>IF(AND('Atividades Micro'!$B309=AX$2,'Atividades Micro'!$L309&lt;&gt;""),'Atividades Micro'!$L309,"")</f>
        <v/>
      </c>
      <c r="AY260" s="21" t="str">
        <f>IF(AND('Atividades Micro'!$A309=AY$2,'Atividades Micro'!$K309&lt;&gt;""),'Atividades Micro'!$K309,"")</f>
        <v/>
      </c>
      <c r="AZ260" s="21" t="str">
        <f>IF(AND('Atividades Micro'!$A309=AZ$2,'Atividades Micro'!$L309&lt;&gt;""),'Atividades Micro'!$L309,"")</f>
        <v/>
      </c>
      <c r="BA260" s="21" t="str">
        <f>IF(AND('Atividades Micro'!$B309=BA$2,'Atividades Micro'!$K309&lt;&gt;""),'Atividades Micro'!$K309,"")</f>
        <v/>
      </c>
      <c r="BB260" s="21" t="str">
        <f>IF(AND('Atividades Micro'!$B309=BB$2,'Atividades Micro'!$L309&lt;&gt;""),'Atividades Micro'!$L309,"")</f>
        <v/>
      </c>
      <c r="BC260" s="21" t="str">
        <f>IF(AND('Atividades Micro'!$B309=BC$2,'Atividades Micro'!$G309="Macro",'Atividades Micro'!$K309&lt;&gt;""),'Atividades Micro'!$K309,"")</f>
        <v/>
      </c>
      <c r="BD260" s="21" t="str">
        <f>IF(AND('Atividades Micro'!$B309=BD$2,'Atividades Micro'!$G309="Macro",'Atividades Micro'!$K309&lt;&gt;""),'Atividades Micro'!$K309,"")</f>
        <v/>
      </c>
      <c r="BE260" s="21" t="str">
        <f>IF(AND('Atividades Micro'!$B309=BE$2,'Atividades Micro'!$G309="Macro",'Atividades Micro'!$K309&lt;&gt;""),'Atividades Micro'!$K309,"")</f>
        <v/>
      </c>
      <c r="BF260" s="21" t="str">
        <f>IF(AND('Atividades Micro'!$B309=BF$2,'Atividades Micro'!$G309="Macro",'Atividades Micro'!$K309&lt;&gt;""),'Atividades Micro'!$K309,"")</f>
        <v/>
      </c>
      <c r="BG260" s="21" t="str">
        <f>IF(AND('Atividades Micro'!$B309=BG$2,'Atividades Micro'!$G309="Macro",'Atividades Micro'!$K309&lt;&gt;""),'Atividades Micro'!$K309,"")</f>
        <v/>
      </c>
      <c r="BH260" s="21" t="str">
        <f>IF(AND('Atividades Micro'!$B309=BH$2,'Atividades Micro'!$G309="Macro",'Atividades Micro'!$K309&lt;&gt;""),'Atividades Micro'!$K309,"")</f>
        <v/>
      </c>
      <c r="BI260" s="21" t="str">
        <f>IF(AND('Atividades Micro'!$B309=BI$2,'Atividades Micro'!$G309="Macro",'Atividades Micro'!$K309&lt;&gt;""),'Atividades Micro'!$K309,"")</f>
        <v/>
      </c>
      <c r="BJ260" s="21" t="str">
        <f>IF(AND('Atividades Micro'!$B309=BJ$2,'Atividades Micro'!$G309="Macro",'Atividades Micro'!$K309&lt;&gt;""),'Atividades Micro'!$K309,"")</f>
        <v/>
      </c>
      <c r="BK260" s="21" t="str">
        <f>IF(AND('Atividades Micro'!$B309=BK$2,'Atividades Micro'!$G309="Macro",'Atividades Micro'!$K309&lt;&gt;""),'Atividades Micro'!$K309,"")</f>
        <v/>
      </c>
      <c r="BL260" s="21" t="str">
        <f>IF(AND('Atividades Micro'!$B309=BL$2,'Atividades Micro'!$G309="Macro",'Atividades Micro'!$K309&lt;&gt;""),'Atividades Micro'!$K309,"")</f>
        <v/>
      </c>
      <c r="BM260" s="21" t="str">
        <f>IF(AND('Atividades Micro'!$B309=BM$2,'Atividades Micro'!$G309="Macro",'Atividades Micro'!$K309&lt;&gt;""),'Atividades Micro'!$K309,"")</f>
        <v/>
      </c>
      <c r="BN260" s="21" t="str">
        <f>IF(AND('Atividades Micro'!$B309=BN$2,'Atividades Micro'!$G309="Macro",'Atividades Micro'!$K309&lt;&gt;""),'Atividades Micro'!$K309,"")</f>
        <v/>
      </c>
      <c r="BO260" s="21" t="str">
        <f>IF(AND('Atividades Micro'!$B309=BO$2,'Atividades Micro'!$G309="Macro",'Atividades Micro'!$K309&lt;&gt;""),'Atividades Micro'!$K309,"")</f>
        <v/>
      </c>
      <c r="BP260" s="21" t="str">
        <f>IF(AND('Atividades Micro'!$B309=BP$2,'Atividades Micro'!$G309="Macro",'Atividades Micro'!$K309&lt;&gt;""),'Atividades Micro'!$K309,"")</f>
        <v/>
      </c>
      <c r="BQ260" s="21" t="str">
        <f>IF(AND('Atividades Micro'!$B309=BQ$2,'Atividades Micro'!$G309="Macro",'Atividades Micro'!$K309&lt;&gt;""),'Atividades Micro'!$K309,"")</f>
        <v/>
      </c>
      <c r="BR260" s="21" t="str">
        <f>IF(AND('Atividades Micro'!$B309=BR$2,'Atividades Micro'!$G309="Macro",'Atividades Micro'!$K309&lt;&gt;""),'Atividades Micro'!$K309,"")</f>
        <v/>
      </c>
      <c r="BS260" s="21" t="str">
        <f>IF(AND('Atividades Micro'!$B309=BS$2,'Atividades Micro'!$G309="Macro",'Atividades Micro'!$K309&lt;&gt;""),'Atividades Micro'!$K309,"")</f>
        <v/>
      </c>
      <c r="BT260" s="21" t="str">
        <f>IF(AND('Atividades Micro'!$B309=BT$2,'Atividades Micro'!$G309="Macro",'Atividades Micro'!$K309&lt;&gt;""),'Atividades Micro'!$K309,"")</f>
        <v/>
      </c>
      <c r="BU260" s="21" t="str">
        <f>IF(AND('Atividades Micro'!$B309=BU$2,'Atividades Micro'!$G309="Macro",'Atividades Micro'!$K309&lt;&gt;""),'Atividades Micro'!$K309,"")</f>
        <v/>
      </c>
      <c r="BV260" s="21" t="str">
        <f>IF(AND('Atividades Micro'!$B309=BV$2,'Atividades Micro'!$G309="Macro",'Atividades Micro'!$K309&lt;&gt;""),'Atividades Micro'!$K309,"")</f>
        <v/>
      </c>
      <c r="BW260" s="21" t="str">
        <f>IF(AND('Atividades Micro'!$B309=BW$2,'Atividades Micro'!$G309="Macro",'Atividades Micro'!$K309&lt;&gt;""),'Atividades Micro'!$K309,"")</f>
        <v/>
      </c>
      <c r="BX260" s="21" t="str">
        <f>IF(AND('Atividades Micro'!$B309=BX$2,'Atividades Micro'!$G309="Macro",'Atividades Micro'!$K309&lt;&gt;""),'Atividades Micro'!$K309,"")</f>
        <v/>
      </c>
      <c r="BY260" s="21" t="str">
        <f>IF(AND('Atividades Micro'!$B309=BY$2,'Atividades Micro'!$G309="Macro",'Atividades Micro'!$K309&lt;&gt;""),'Atividades Micro'!$K309,"")</f>
        <v/>
      </c>
      <c r="BZ260" s="21" t="str">
        <f>IF(AND('Atividades Micro'!$B309=BZ$2,'Atividades Micro'!$G309="Macro",'Atividades Micro'!$K309&lt;&gt;""),'Atividades Micro'!$K309,"")</f>
        <v/>
      </c>
      <c r="CA260" s="21" t="str">
        <f>IF(AND('Atividades Micro'!$B309=CA$2,'Atividades Micro'!$G309="Macro",'Atividades Micro'!$K309&lt;&gt;""),'Atividades Micro'!$K309,"")</f>
        <v/>
      </c>
      <c r="CB260" s="21" t="str">
        <f>IF(AND('Atividades Micro'!$B309=CB$2,'Atividades Micro'!$G309="Macro",'Atividades Micro'!$K309&lt;&gt;""),'Atividades Micro'!$K309,"")</f>
        <v/>
      </c>
      <c r="CC260" s="21" t="str">
        <f>IF(AND('Atividades Micro'!$B309=CC$2,'Atividades Micro'!$G309="Macro",'Atividades Micro'!$K309&lt;&gt;""),'Atividades Micro'!$K309,"")</f>
        <v/>
      </c>
      <c r="CD260" s="21" t="str">
        <f>IF(AND('Atividades Micro'!$B309=CD$2,'Atividades Micro'!$G309="Micro",'Atividades Micro'!$K309&lt;&gt;""),'Atividades Micro'!$K309,"")</f>
        <v/>
      </c>
      <c r="CE260" s="21" t="str">
        <f>IF(AND('Atividades Micro'!$B309=CE$2,'Atividades Micro'!$G309="Micro",'Atividades Micro'!$K309&lt;&gt;""),'Atividades Micro'!$K309,"")</f>
        <v/>
      </c>
      <c r="CF260" s="21" t="str">
        <f>IF(AND('Atividades Micro'!$B309=CF$2,'Atividades Micro'!$G309="Micro",'Atividades Micro'!$K309&lt;&gt;""),'Atividades Micro'!$K309,"")</f>
        <v/>
      </c>
      <c r="CG260" s="21" t="str">
        <f>IF(AND('Atividades Micro'!$B309=CG$2,'Atividades Micro'!$G309="Micro",'Atividades Micro'!$K309&lt;&gt;""),'Atividades Micro'!$K309,"")</f>
        <v/>
      </c>
      <c r="CH260" s="21" t="str">
        <f>IF(AND('Atividades Micro'!$B309=CH$2,'Atividades Micro'!$G309="Micro",'Atividades Micro'!$K309&lt;&gt;""),'Atividades Micro'!$K309,"")</f>
        <v/>
      </c>
      <c r="CI260" s="21" t="str">
        <f>IF(AND('Atividades Micro'!$B309=CI$2,'Atividades Micro'!$G309="Micro",'Atividades Micro'!$K309&lt;&gt;""),'Atividades Micro'!$K309,"")</f>
        <v/>
      </c>
      <c r="CJ260" s="21" t="str">
        <f>IF(AND('Atividades Micro'!$B309=CJ$2,'Atividades Micro'!$G309="Micro",'Atividades Micro'!$K309&lt;&gt;""),'Atividades Micro'!$K309,"")</f>
        <v/>
      </c>
      <c r="CK260" s="21" t="str">
        <f>IF(AND('Atividades Micro'!$B309=CK$2,'Atividades Micro'!$G309="Micro",'Atividades Micro'!$K309&lt;&gt;""),'Atividades Micro'!$K309,"")</f>
        <v/>
      </c>
      <c r="CL260" s="21" t="str">
        <f>IF(AND('Atividades Micro'!$B309=CL$2,'Atividades Micro'!$G309="Micro",'Atividades Micro'!$K309&lt;&gt;""),'Atividades Micro'!$K309,"")</f>
        <v/>
      </c>
      <c r="CM260" s="21" t="str">
        <f>IF(AND('Atividades Micro'!$B309=CM$2,'Atividades Micro'!$G309="Micro",'Atividades Micro'!$K309&lt;&gt;""),'Atividades Micro'!$K309,"")</f>
        <v/>
      </c>
      <c r="CN260" s="21" t="str">
        <f>IF(AND('Atividades Micro'!$B309=CN$2,'Atividades Micro'!$G309="Micro",'Atividades Micro'!$K309&lt;&gt;""),'Atividades Micro'!$K309,"")</f>
        <v/>
      </c>
      <c r="CO260" s="21" t="str">
        <f>IF(AND('Atividades Micro'!$B309=CO$2,'Atividades Micro'!$G309="Micro",'Atividades Micro'!$K309&lt;&gt;""),'Atividades Micro'!$K309,"")</f>
        <v/>
      </c>
    </row>
    <row r="261" spans="1:93">
      <c r="A261" s="21" t="str">
        <f>IF(AND('Atividades Micro'!$A310=A$2,'Atividades Micro'!$K310&lt;&gt;""),'Atividades Micro'!$K310,"")</f>
        <v/>
      </c>
      <c r="B261" s="21" t="str">
        <f>IF(AND('Atividades Micro'!$A310=B$2,'Atividades Micro'!$L310&lt;&gt;""),'Atividades Micro'!$L310,"")</f>
        <v/>
      </c>
      <c r="C261" s="21" t="str">
        <f>IF(AND('Atividades Micro'!$A310=C$2,'Atividades Micro'!$K310&lt;&gt;""),'Atividades Micro'!$K310,"")</f>
        <v/>
      </c>
      <c r="D261" s="21" t="str">
        <f>IF(AND('Atividades Micro'!$A310=D$2,'Atividades Micro'!$L310&lt;&gt;""),'Atividades Micro'!$L310,"")</f>
        <v/>
      </c>
      <c r="E261" s="21" t="str">
        <f>IF(AND('Atividades Micro'!$A310=E$2,'Atividades Micro'!$K310&lt;&gt;""),'Atividades Micro'!$K310,"")</f>
        <v/>
      </c>
      <c r="F261" s="21" t="str">
        <f>IF(AND('Atividades Micro'!$A310=F$2,'Atividades Micro'!$L310&lt;&gt;""),'Atividades Micro'!$L310,"")</f>
        <v/>
      </c>
      <c r="G261" s="21" t="str">
        <f>IF(AND('Atividades Micro'!$A310=G$2,'Atividades Micro'!$K310&lt;&gt;""),'Atividades Micro'!$K310,"")</f>
        <v/>
      </c>
      <c r="H261" s="21" t="str">
        <f>IF(AND('Atividades Micro'!$A310=H$2,'Atividades Micro'!$L310&lt;&gt;""),'Atividades Micro'!$L310,"")</f>
        <v/>
      </c>
      <c r="I261" s="21" t="str">
        <f>IF(AND('Atividades Micro'!$A310=I$2,'Atividades Micro'!$K310&lt;&gt;""),'Atividades Micro'!$K310,"")</f>
        <v/>
      </c>
      <c r="J261" s="21" t="str">
        <f>IF(AND('Atividades Micro'!$A310=J$2,'Atividades Micro'!$L310&lt;&gt;""),'Atividades Micro'!$L310,"")</f>
        <v/>
      </c>
      <c r="K261" s="21" t="str">
        <f>IF(AND('Atividades Micro'!$B310=K$2,'Atividades Micro'!$K310&lt;&gt;""),'Atividades Micro'!$K310,"")</f>
        <v/>
      </c>
      <c r="L261" s="21" t="str">
        <f>IF(AND('Atividades Micro'!$B310=L$2,'Atividades Micro'!$L310&lt;&gt;""),'Atividades Micro'!$L310,"")</f>
        <v/>
      </c>
      <c r="M261" s="21" t="str">
        <f>IF(AND('Atividades Micro'!$B310=M$2,'Atividades Micro'!$K310&lt;&gt;""),'Atividades Micro'!$K310,"")</f>
        <v/>
      </c>
      <c r="N261" s="21" t="str">
        <f>IF(AND('Atividades Micro'!$B310=N$2,'Atividades Micro'!$L310&lt;&gt;""),'Atividades Micro'!$L310,"")</f>
        <v/>
      </c>
      <c r="O261" s="21" t="str">
        <f>IF(AND('Atividades Micro'!$A310=O$2,'Atividades Micro'!$K310&lt;&gt;""),'Atividades Micro'!$K310,"")</f>
        <v/>
      </c>
      <c r="P261" s="21" t="str">
        <f>IF(AND('Atividades Micro'!$A310=P$2,'Atividades Micro'!$L310&lt;&gt;""),'Atividades Micro'!$L310,"")</f>
        <v/>
      </c>
      <c r="Q261" s="21" t="str">
        <f>IF(AND('Atividades Micro'!$B310=Q$2,'Atividades Micro'!$K310&lt;&gt;""),'Atividades Micro'!$K310,"")</f>
        <v/>
      </c>
      <c r="R261" s="21" t="str">
        <f>IF(AND('Atividades Micro'!$B310=R$2,'Atividades Micro'!$L310&lt;&gt;""),'Atividades Micro'!$L310,"")</f>
        <v/>
      </c>
      <c r="S261" s="21" t="str">
        <f>IF(AND('Atividades Micro'!$A310=S$2,'Atividades Micro'!$K310&lt;&gt;""),'Atividades Micro'!$K310,"")</f>
        <v/>
      </c>
      <c r="T261" s="21" t="str">
        <f>IF(AND('Atividades Micro'!$A310=T$2,'Atividades Micro'!$L310&lt;&gt;""),'Atividades Micro'!$L310,"")</f>
        <v/>
      </c>
      <c r="U261" s="21" t="str">
        <f>IF(AND('Atividades Micro'!$B310=U$2,'Atividades Micro'!$K310&lt;&gt;""),'Atividades Micro'!$K310,"")</f>
        <v/>
      </c>
      <c r="V261" s="21" t="str">
        <f>IF(AND('Atividades Micro'!$B310=V$2,'Atividades Micro'!$L310&lt;&gt;""),'Atividades Micro'!$L310,"")</f>
        <v/>
      </c>
      <c r="W261" s="21" t="str">
        <f>IF(AND('Atividades Micro'!$B310=W$2,'Atividades Micro'!$K310&lt;&gt;""),'Atividades Micro'!$K310,"")</f>
        <v/>
      </c>
      <c r="X261" s="21" t="str">
        <f>IF(AND('Atividades Micro'!$B310=X$2,'Atividades Micro'!$L310&lt;&gt;""),'Atividades Micro'!$L310,"")</f>
        <v/>
      </c>
      <c r="Y261" s="21" t="str">
        <f>IF(AND('Atividades Micro'!$A310=Y$2,'Atividades Micro'!$K310&lt;&gt;""),'Atividades Micro'!$K310,"")</f>
        <v/>
      </c>
      <c r="Z261" s="21" t="str">
        <f>IF(AND('Atividades Micro'!$A310=Z$2,'Atividades Micro'!$L310&lt;&gt;""),'Atividades Micro'!$L310,"")</f>
        <v/>
      </c>
      <c r="AA261" s="21" t="str">
        <f>IF(AND('Atividades Micro'!$B310=AA$2,'Atividades Micro'!$K310&lt;&gt;""),'Atividades Micro'!$K310,"")</f>
        <v/>
      </c>
      <c r="AB261" s="21" t="str">
        <f>IF(AND('Atividades Micro'!$B310=AB$2,'Atividades Micro'!$L310&lt;&gt;""),'Atividades Micro'!$L310,"")</f>
        <v/>
      </c>
      <c r="AC261" s="21" t="str">
        <f>IF(AND('Atividades Micro'!$B310=AC$2,'Atividades Micro'!$K310&lt;&gt;""),'Atividades Micro'!$K310,"")</f>
        <v/>
      </c>
      <c r="AD261" s="21" t="str">
        <f>IF(AND('Atividades Micro'!$B310=AD$2,'Atividades Micro'!$L310&lt;&gt;""),'Atividades Micro'!$L310,"")</f>
        <v/>
      </c>
      <c r="AE261" s="21" t="str">
        <f>IF(AND('Atividades Micro'!$A310=AE$2,'Atividades Micro'!$K310&lt;&gt;""),'Atividades Micro'!$K310,"")</f>
        <v/>
      </c>
      <c r="AF261" s="21" t="str">
        <f>IF(AND('Atividades Micro'!$A310=AF$2,'Atividades Micro'!$L310&lt;&gt;""),'Atividades Micro'!$L310,"")</f>
        <v/>
      </c>
      <c r="AG261" s="21" t="str">
        <f>IF(AND('Atividades Micro'!$B310=AG$2,'Atividades Micro'!$K310&lt;&gt;""),'Atividades Micro'!$K310,"")</f>
        <v/>
      </c>
      <c r="AH261" s="21" t="str">
        <f>IF(AND('Atividades Micro'!$B310=AH$2,'Atividades Micro'!$L310&lt;&gt;""),'Atividades Micro'!$L310,"")</f>
        <v/>
      </c>
      <c r="AI261" s="21" t="str">
        <f>IF(AND('Atividades Micro'!$B310=AI$2,'Atividades Micro'!$K310&lt;&gt;""),'Atividades Micro'!$K310,"")</f>
        <v/>
      </c>
      <c r="AJ261" s="21" t="str">
        <f>IF(AND('Atividades Micro'!$B310=AJ$2,'Atividades Micro'!$L310&lt;&gt;""),'Atividades Micro'!$L310,"")</f>
        <v/>
      </c>
      <c r="AK261" s="21" t="str">
        <f>IF(AND('Atividades Micro'!$A310=AK$2,'Atividades Micro'!$K310&lt;&gt;""),'Atividades Micro'!$K310,"")</f>
        <v/>
      </c>
      <c r="AL261" s="21" t="str">
        <f>IF(AND('Atividades Micro'!$A310=AL$2,'Atividades Micro'!$L310&lt;&gt;""),'Atividades Micro'!$L310,"")</f>
        <v/>
      </c>
      <c r="AM261" s="21" t="str">
        <f>IF(AND('Atividades Micro'!$B310=AM$2,'Atividades Micro'!$K310&lt;&gt;""),'Atividades Micro'!$K310,"")</f>
        <v/>
      </c>
      <c r="AN261" s="21" t="str">
        <f>IF(AND('Atividades Micro'!$B310=AN$2,'Atividades Micro'!$L310&lt;&gt;""),'Atividades Micro'!$L310,"")</f>
        <v/>
      </c>
      <c r="AO261" s="21" t="str">
        <f>IF(AND('Atividades Micro'!$B310=AO$2,'Atividades Micro'!$K310&lt;&gt;""),'Atividades Micro'!$K310,"")</f>
        <v/>
      </c>
      <c r="AP261" s="21" t="str">
        <f>IF(AND('Atividades Micro'!$B310=AP$2,'Atividades Micro'!$L310&lt;&gt;""),'Atividades Micro'!$L310,"")</f>
        <v/>
      </c>
      <c r="AQ261" s="21">
        <f>IF(AND('Atividades Micro'!$A310=AQ$2,'Atividades Micro'!$K310&lt;&gt;""),'Atividades Micro'!$K310,"")</f>
        <v>46282</v>
      </c>
      <c r="AR261" s="21">
        <f>IF(AND('Atividades Micro'!$A310=AR$2,'Atividades Micro'!$L310&lt;&gt;""),'Atividades Micro'!$L310,"")</f>
        <v>46276</v>
      </c>
      <c r="AS261" s="21">
        <f>IF(AND('Atividades Micro'!$B310=AS$2,'Atividades Micro'!$K310&lt;&gt;""),'Atividades Micro'!$K310,"")</f>
        <v>46282</v>
      </c>
      <c r="AT261" s="21">
        <f>IF(AND('Atividades Micro'!$B310=AT$2,'Atividades Micro'!$L310&lt;&gt;""),'Atividades Micro'!$L310,"")</f>
        <v>46276</v>
      </c>
      <c r="AU261" s="21" t="str">
        <f>IF(AND('Atividades Micro'!$A310=AU$2,'Atividades Micro'!$K310&lt;&gt;""),'Atividades Micro'!$K310,"")</f>
        <v/>
      </c>
      <c r="AV261" s="21" t="str">
        <f>IF(AND('Atividades Micro'!$A310=AV$2,'Atividades Micro'!$L310&lt;&gt;""),'Atividades Micro'!$L310,"")</f>
        <v/>
      </c>
      <c r="AW261" s="21" t="str">
        <f>IF(AND('Atividades Micro'!$B310=AW$2,'Atividades Micro'!$K310&lt;&gt;""),'Atividades Micro'!$K310,"")</f>
        <v/>
      </c>
      <c r="AX261" s="21" t="str">
        <f>IF(AND('Atividades Micro'!$B310=AX$2,'Atividades Micro'!$L310&lt;&gt;""),'Atividades Micro'!$L310,"")</f>
        <v/>
      </c>
      <c r="AY261" s="21" t="str">
        <f>IF(AND('Atividades Micro'!$A310=AY$2,'Atividades Micro'!$K310&lt;&gt;""),'Atividades Micro'!$K310,"")</f>
        <v/>
      </c>
      <c r="AZ261" s="21" t="str">
        <f>IF(AND('Atividades Micro'!$A310=AZ$2,'Atividades Micro'!$L310&lt;&gt;""),'Atividades Micro'!$L310,"")</f>
        <v/>
      </c>
      <c r="BA261" s="21" t="str">
        <f>IF(AND('Atividades Micro'!$B310=BA$2,'Atividades Micro'!$K310&lt;&gt;""),'Atividades Micro'!$K310,"")</f>
        <v/>
      </c>
      <c r="BB261" s="21" t="str">
        <f>IF(AND('Atividades Micro'!$B310=BB$2,'Atividades Micro'!$L310&lt;&gt;""),'Atividades Micro'!$L310,"")</f>
        <v/>
      </c>
      <c r="BC261" s="21" t="str">
        <f>IF(AND('Atividades Micro'!$B310=BC$2,'Atividades Micro'!$G310="Macro",'Atividades Micro'!$K310&lt;&gt;""),'Atividades Micro'!$K310,"")</f>
        <v/>
      </c>
      <c r="BD261" s="21" t="str">
        <f>IF(AND('Atividades Micro'!$B310=BD$2,'Atividades Micro'!$G310="Macro",'Atividades Micro'!$K310&lt;&gt;""),'Atividades Micro'!$K310,"")</f>
        <v/>
      </c>
      <c r="BE261" s="21" t="str">
        <f>IF(AND('Atividades Micro'!$B310=BE$2,'Atividades Micro'!$G310="Macro",'Atividades Micro'!$K310&lt;&gt;""),'Atividades Micro'!$K310,"")</f>
        <v/>
      </c>
      <c r="BF261" s="21" t="str">
        <f>IF(AND('Atividades Micro'!$B310=BF$2,'Atividades Micro'!$G310="Macro",'Atividades Micro'!$K310&lt;&gt;""),'Atividades Micro'!$K310,"")</f>
        <v/>
      </c>
      <c r="BG261" s="21" t="str">
        <f>IF(AND('Atividades Micro'!$B310=BG$2,'Atividades Micro'!$G310="Macro",'Atividades Micro'!$K310&lt;&gt;""),'Atividades Micro'!$K310,"")</f>
        <v/>
      </c>
      <c r="BH261" s="21" t="str">
        <f>IF(AND('Atividades Micro'!$B310=BH$2,'Atividades Micro'!$G310="Macro",'Atividades Micro'!$K310&lt;&gt;""),'Atividades Micro'!$K310,"")</f>
        <v/>
      </c>
      <c r="BI261" s="21" t="str">
        <f>IF(AND('Atividades Micro'!$B310=BI$2,'Atividades Micro'!$G310="Macro",'Atividades Micro'!$K310&lt;&gt;""),'Atividades Micro'!$K310,"")</f>
        <v/>
      </c>
      <c r="BJ261" s="21" t="str">
        <f>IF(AND('Atividades Micro'!$B310=BJ$2,'Atividades Micro'!$G310="Macro",'Atividades Micro'!$K310&lt;&gt;""),'Atividades Micro'!$K310,"")</f>
        <v/>
      </c>
      <c r="BK261" s="21" t="str">
        <f>IF(AND('Atividades Micro'!$B310=BK$2,'Atividades Micro'!$G310="Macro",'Atividades Micro'!$K310&lt;&gt;""),'Atividades Micro'!$K310,"")</f>
        <v/>
      </c>
      <c r="BL261" s="21" t="str">
        <f>IF(AND('Atividades Micro'!$B310=BL$2,'Atividades Micro'!$G310="Macro",'Atividades Micro'!$K310&lt;&gt;""),'Atividades Micro'!$K310,"")</f>
        <v/>
      </c>
      <c r="BM261" s="21" t="str">
        <f>IF(AND('Atividades Micro'!$B310=BM$2,'Atividades Micro'!$G310="Macro",'Atividades Micro'!$K310&lt;&gt;""),'Atividades Micro'!$K310,"")</f>
        <v/>
      </c>
      <c r="BN261" s="21" t="str">
        <f>IF(AND('Atividades Micro'!$B310=BN$2,'Atividades Micro'!$G310="Macro",'Atividades Micro'!$K310&lt;&gt;""),'Atividades Micro'!$K310,"")</f>
        <v/>
      </c>
      <c r="BO261" s="21" t="str">
        <f>IF(AND('Atividades Micro'!$B310=BO$2,'Atividades Micro'!$G310="Macro",'Atividades Micro'!$K310&lt;&gt;""),'Atividades Micro'!$K310,"")</f>
        <v/>
      </c>
      <c r="BP261" s="21" t="str">
        <f>IF(AND('Atividades Micro'!$B310=BP$2,'Atividades Micro'!$G310="Macro",'Atividades Micro'!$K310&lt;&gt;""),'Atividades Micro'!$K310,"")</f>
        <v/>
      </c>
      <c r="BQ261" s="21" t="str">
        <f>IF(AND('Atividades Micro'!$B310=BQ$2,'Atividades Micro'!$G310="Macro",'Atividades Micro'!$K310&lt;&gt;""),'Atividades Micro'!$K310,"")</f>
        <v/>
      </c>
      <c r="BR261" s="21" t="str">
        <f>IF(AND('Atividades Micro'!$B310=BR$2,'Atividades Micro'!$G310="Macro",'Atividades Micro'!$K310&lt;&gt;""),'Atividades Micro'!$K310,"")</f>
        <v/>
      </c>
      <c r="BS261" s="21" t="str">
        <f>IF(AND('Atividades Micro'!$B310=BS$2,'Atividades Micro'!$G310="Macro",'Atividades Micro'!$K310&lt;&gt;""),'Atividades Micro'!$K310,"")</f>
        <v/>
      </c>
      <c r="BT261" s="21" t="str">
        <f>IF(AND('Atividades Micro'!$B310=BT$2,'Atividades Micro'!$G310="Macro",'Atividades Micro'!$K310&lt;&gt;""),'Atividades Micro'!$K310,"")</f>
        <v/>
      </c>
      <c r="BU261" s="21" t="str">
        <f>IF(AND('Atividades Micro'!$B310=BU$2,'Atividades Micro'!$G310="Macro",'Atividades Micro'!$K310&lt;&gt;""),'Atividades Micro'!$K310,"")</f>
        <v/>
      </c>
      <c r="BV261" s="21" t="str">
        <f>IF(AND('Atividades Micro'!$B310=BV$2,'Atividades Micro'!$G310="Macro",'Atividades Micro'!$K310&lt;&gt;""),'Atividades Micro'!$K310,"")</f>
        <v/>
      </c>
      <c r="BW261" s="21" t="str">
        <f>IF(AND('Atividades Micro'!$B310=BW$2,'Atividades Micro'!$G310="Macro",'Atividades Micro'!$K310&lt;&gt;""),'Atividades Micro'!$K310,"")</f>
        <v/>
      </c>
      <c r="BX261" s="21" t="str">
        <f>IF(AND('Atividades Micro'!$B310=BX$2,'Atividades Micro'!$G310="Macro",'Atividades Micro'!$K310&lt;&gt;""),'Atividades Micro'!$K310,"")</f>
        <v/>
      </c>
      <c r="BY261" s="21" t="str">
        <f>IF(AND('Atividades Micro'!$B310=BY$2,'Atividades Micro'!$G310="Macro",'Atividades Micro'!$K310&lt;&gt;""),'Atividades Micro'!$K310,"")</f>
        <v/>
      </c>
      <c r="BZ261" s="21" t="str">
        <f>IF(AND('Atividades Micro'!$B310=BZ$2,'Atividades Micro'!$G310="Macro",'Atividades Micro'!$K310&lt;&gt;""),'Atividades Micro'!$K310,"")</f>
        <v/>
      </c>
      <c r="CA261" s="21" t="str">
        <f>IF(AND('Atividades Micro'!$B310=CA$2,'Atividades Micro'!$G310="Macro",'Atividades Micro'!$K310&lt;&gt;""),'Atividades Micro'!$K310,"")</f>
        <v/>
      </c>
      <c r="CB261" s="21" t="str">
        <f>IF(AND('Atividades Micro'!$B310=CB$2,'Atividades Micro'!$G310="Macro",'Atividades Micro'!$K310&lt;&gt;""),'Atividades Micro'!$K310,"")</f>
        <v/>
      </c>
      <c r="CC261" s="21" t="str">
        <f>IF(AND('Atividades Micro'!$B310=CC$2,'Atividades Micro'!$G310="Macro",'Atividades Micro'!$K310&lt;&gt;""),'Atividades Micro'!$K310,"")</f>
        <v/>
      </c>
      <c r="CD261" s="21" t="str">
        <f>IF(AND('Atividades Micro'!$B310=CD$2,'Atividades Micro'!$G310="Micro",'Atividades Micro'!$K310&lt;&gt;""),'Atividades Micro'!$K310,"")</f>
        <v/>
      </c>
      <c r="CE261" s="21" t="str">
        <f>IF(AND('Atividades Micro'!$B310=CE$2,'Atividades Micro'!$G310="Micro",'Atividades Micro'!$K310&lt;&gt;""),'Atividades Micro'!$K310,"")</f>
        <v/>
      </c>
      <c r="CF261" s="21" t="str">
        <f>IF(AND('Atividades Micro'!$B310=CF$2,'Atividades Micro'!$G310="Micro",'Atividades Micro'!$K310&lt;&gt;""),'Atividades Micro'!$K310,"")</f>
        <v/>
      </c>
      <c r="CG261" s="21" t="str">
        <f>IF(AND('Atividades Micro'!$B310=CG$2,'Atividades Micro'!$G310="Micro",'Atividades Micro'!$K310&lt;&gt;""),'Atividades Micro'!$K310,"")</f>
        <v/>
      </c>
      <c r="CH261" s="21" t="str">
        <f>IF(AND('Atividades Micro'!$B310=CH$2,'Atividades Micro'!$G310="Micro",'Atividades Micro'!$K310&lt;&gt;""),'Atividades Micro'!$K310,"")</f>
        <v/>
      </c>
      <c r="CI261" s="21" t="str">
        <f>IF(AND('Atividades Micro'!$B310=CI$2,'Atividades Micro'!$G310="Micro",'Atividades Micro'!$K310&lt;&gt;""),'Atividades Micro'!$K310,"")</f>
        <v/>
      </c>
      <c r="CJ261" s="21" t="str">
        <f>IF(AND('Atividades Micro'!$B310=CJ$2,'Atividades Micro'!$G310="Micro",'Atividades Micro'!$K310&lt;&gt;""),'Atividades Micro'!$K310,"")</f>
        <v/>
      </c>
      <c r="CK261" s="21" t="str">
        <f>IF(AND('Atividades Micro'!$B310=CK$2,'Atividades Micro'!$G310="Micro",'Atividades Micro'!$K310&lt;&gt;""),'Atividades Micro'!$K310,"")</f>
        <v/>
      </c>
      <c r="CL261" s="21" t="str">
        <f>IF(AND('Atividades Micro'!$B310=CL$2,'Atividades Micro'!$G310="Micro",'Atividades Micro'!$K310&lt;&gt;""),'Atividades Micro'!$K310,"")</f>
        <v/>
      </c>
      <c r="CM261" s="21" t="str">
        <f>IF(AND('Atividades Micro'!$B310=CM$2,'Atividades Micro'!$G310="Micro",'Atividades Micro'!$K310&lt;&gt;""),'Atividades Micro'!$K310,"")</f>
        <v/>
      </c>
      <c r="CN261" s="21" t="str">
        <f>IF(AND('Atividades Micro'!$B310=CN$2,'Atividades Micro'!$G310="Micro",'Atividades Micro'!$K310&lt;&gt;""),'Atividades Micro'!$K310,"")</f>
        <v/>
      </c>
      <c r="CO261" s="21" t="str">
        <f>IF(AND('Atividades Micro'!$B310=CO$2,'Atividades Micro'!$G310="Micro",'Atividades Micro'!$K310&lt;&gt;""),'Atividades Micro'!$K310,"")</f>
        <v/>
      </c>
    </row>
    <row r="262" spans="1:93">
      <c r="A262" s="21" t="str">
        <f>IF(AND('Atividades Micro'!$A311=A$2,'Atividades Micro'!$K311&lt;&gt;""),'Atividades Micro'!$K311,"")</f>
        <v/>
      </c>
      <c r="B262" s="21" t="str">
        <f>IF(AND('Atividades Micro'!$A311=B$2,'Atividades Micro'!$L311&lt;&gt;""),'Atividades Micro'!$L311,"")</f>
        <v/>
      </c>
      <c r="C262" s="21" t="str">
        <f>IF(AND('Atividades Micro'!$A311=C$2,'Atividades Micro'!$K311&lt;&gt;""),'Atividades Micro'!$K311,"")</f>
        <v/>
      </c>
      <c r="D262" s="21" t="str">
        <f>IF(AND('Atividades Micro'!$A311=D$2,'Atividades Micro'!$L311&lt;&gt;""),'Atividades Micro'!$L311,"")</f>
        <v/>
      </c>
      <c r="E262" s="21" t="str">
        <f>IF(AND('Atividades Micro'!$A311=E$2,'Atividades Micro'!$K311&lt;&gt;""),'Atividades Micro'!$K311,"")</f>
        <v/>
      </c>
      <c r="F262" s="21" t="str">
        <f>IF(AND('Atividades Micro'!$A311=F$2,'Atividades Micro'!$L311&lt;&gt;""),'Atividades Micro'!$L311,"")</f>
        <v/>
      </c>
      <c r="G262" s="21" t="str">
        <f>IF(AND('Atividades Micro'!$A311=G$2,'Atividades Micro'!$K311&lt;&gt;""),'Atividades Micro'!$K311,"")</f>
        <v/>
      </c>
      <c r="H262" s="21" t="str">
        <f>IF(AND('Atividades Micro'!$A311=H$2,'Atividades Micro'!$L311&lt;&gt;""),'Atividades Micro'!$L311,"")</f>
        <v/>
      </c>
      <c r="I262" s="21" t="str">
        <f>IF(AND('Atividades Micro'!$A311=I$2,'Atividades Micro'!$K311&lt;&gt;""),'Atividades Micro'!$K311,"")</f>
        <v/>
      </c>
      <c r="J262" s="21" t="str">
        <f>IF(AND('Atividades Micro'!$A311=J$2,'Atividades Micro'!$L311&lt;&gt;""),'Atividades Micro'!$L311,"")</f>
        <v/>
      </c>
      <c r="K262" s="21" t="str">
        <f>IF(AND('Atividades Micro'!$B311=K$2,'Atividades Micro'!$K311&lt;&gt;""),'Atividades Micro'!$K311,"")</f>
        <v/>
      </c>
      <c r="L262" s="21" t="str">
        <f>IF(AND('Atividades Micro'!$B311=L$2,'Atividades Micro'!$L311&lt;&gt;""),'Atividades Micro'!$L311,"")</f>
        <v/>
      </c>
      <c r="M262" s="21" t="str">
        <f>IF(AND('Atividades Micro'!$B311=M$2,'Atividades Micro'!$K311&lt;&gt;""),'Atividades Micro'!$K311,"")</f>
        <v/>
      </c>
      <c r="N262" s="21" t="str">
        <f>IF(AND('Atividades Micro'!$B311=N$2,'Atividades Micro'!$L311&lt;&gt;""),'Atividades Micro'!$L311,"")</f>
        <v/>
      </c>
      <c r="O262" s="21" t="str">
        <f>IF(AND('Atividades Micro'!$A311=O$2,'Atividades Micro'!$K311&lt;&gt;""),'Atividades Micro'!$K311,"")</f>
        <v/>
      </c>
      <c r="P262" s="21" t="str">
        <f>IF(AND('Atividades Micro'!$A311=P$2,'Atividades Micro'!$L311&lt;&gt;""),'Atividades Micro'!$L311,"")</f>
        <v/>
      </c>
      <c r="Q262" s="21" t="str">
        <f>IF(AND('Atividades Micro'!$B311=Q$2,'Atividades Micro'!$K311&lt;&gt;""),'Atividades Micro'!$K311,"")</f>
        <v/>
      </c>
      <c r="R262" s="21" t="str">
        <f>IF(AND('Atividades Micro'!$B311=R$2,'Atividades Micro'!$L311&lt;&gt;""),'Atividades Micro'!$L311,"")</f>
        <v/>
      </c>
      <c r="S262" s="21" t="str">
        <f>IF(AND('Atividades Micro'!$A311=S$2,'Atividades Micro'!$K311&lt;&gt;""),'Atividades Micro'!$K311,"")</f>
        <v/>
      </c>
      <c r="T262" s="21" t="str">
        <f>IF(AND('Atividades Micro'!$A311=T$2,'Atividades Micro'!$L311&lt;&gt;""),'Atividades Micro'!$L311,"")</f>
        <v/>
      </c>
      <c r="U262" s="21" t="str">
        <f>IF(AND('Atividades Micro'!$B311=U$2,'Atividades Micro'!$K311&lt;&gt;""),'Atividades Micro'!$K311,"")</f>
        <v/>
      </c>
      <c r="V262" s="21" t="str">
        <f>IF(AND('Atividades Micro'!$B311=V$2,'Atividades Micro'!$L311&lt;&gt;""),'Atividades Micro'!$L311,"")</f>
        <v/>
      </c>
      <c r="W262" s="21" t="str">
        <f>IF(AND('Atividades Micro'!$B311=W$2,'Atividades Micro'!$K311&lt;&gt;""),'Atividades Micro'!$K311,"")</f>
        <v/>
      </c>
      <c r="X262" s="21" t="str">
        <f>IF(AND('Atividades Micro'!$B311=X$2,'Atividades Micro'!$L311&lt;&gt;""),'Atividades Micro'!$L311,"")</f>
        <v/>
      </c>
      <c r="Y262" s="21" t="str">
        <f>IF(AND('Atividades Micro'!$A311=Y$2,'Atividades Micro'!$K311&lt;&gt;""),'Atividades Micro'!$K311,"")</f>
        <v/>
      </c>
      <c r="Z262" s="21" t="str">
        <f>IF(AND('Atividades Micro'!$A311=Z$2,'Atividades Micro'!$L311&lt;&gt;""),'Atividades Micro'!$L311,"")</f>
        <v/>
      </c>
      <c r="AA262" s="21" t="str">
        <f>IF(AND('Atividades Micro'!$B311=AA$2,'Atividades Micro'!$K311&lt;&gt;""),'Atividades Micro'!$K311,"")</f>
        <v/>
      </c>
      <c r="AB262" s="21" t="str">
        <f>IF(AND('Atividades Micro'!$B311=AB$2,'Atividades Micro'!$L311&lt;&gt;""),'Atividades Micro'!$L311,"")</f>
        <v/>
      </c>
      <c r="AC262" s="21" t="str">
        <f>IF(AND('Atividades Micro'!$B311=AC$2,'Atividades Micro'!$K311&lt;&gt;""),'Atividades Micro'!$K311,"")</f>
        <v/>
      </c>
      <c r="AD262" s="21" t="str">
        <f>IF(AND('Atividades Micro'!$B311=AD$2,'Atividades Micro'!$L311&lt;&gt;""),'Atividades Micro'!$L311,"")</f>
        <v/>
      </c>
      <c r="AE262" s="21" t="str">
        <f>IF(AND('Atividades Micro'!$A311=AE$2,'Atividades Micro'!$K311&lt;&gt;""),'Atividades Micro'!$K311,"")</f>
        <v/>
      </c>
      <c r="AF262" s="21" t="str">
        <f>IF(AND('Atividades Micro'!$A311=AF$2,'Atividades Micro'!$L311&lt;&gt;""),'Atividades Micro'!$L311,"")</f>
        <v/>
      </c>
      <c r="AG262" s="21" t="str">
        <f>IF(AND('Atividades Micro'!$B311=AG$2,'Atividades Micro'!$K311&lt;&gt;""),'Atividades Micro'!$K311,"")</f>
        <v/>
      </c>
      <c r="AH262" s="21" t="str">
        <f>IF(AND('Atividades Micro'!$B311=AH$2,'Atividades Micro'!$L311&lt;&gt;""),'Atividades Micro'!$L311,"")</f>
        <v/>
      </c>
      <c r="AI262" s="21" t="str">
        <f>IF(AND('Atividades Micro'!$B311=AI$2,'Atividades Micro'!$K311&lt;&gt;""),'Atividades Micro'!$K311,"")</f>
        <v/>
      </c>
      <c r="AJ262" s="21" t="str">
        <f>IF(AND('Atividades Micro'!$B311=AJ$2,'Atividades Micro'!$L311&lt;&gt;""),'Atividades Micro'!$L311,"")</f>
        <v/>
      </c>
      <c r="AK262" s="21" t="str">
        <f>IF(AND('Atividades Micro'!$A311=AK$2,'Atividades Micro'!$K311&lt;&gt;""),'Atividades Micro'!$K311,"")</f>
        <v/>
      </c>
      <c r="AL262" s="21" t="str">
        <f>IF(AND('Atividades Micro'!$A311=AL$2,'Atividades Micro'!$L311&lt;&gt;""),'Atividades Micro'!$L311,"")</f>
        <v/>
      </c>
      <c r="AM262" s="21" t="str">
        <f>IF(AND('Atividades Micro'!$B311=AM$2,'Atividades Micro'!$K311&lt;&gt;""),'Atividades Micro'!$K311,"")</f>
        <v/>
      </c>
      <c r="AN262" s="21" t="str">
        <f>IF(AND('Atividades Micro'!$B311=AN$2,'Atividades Micro'!$L311&lt;&gt;""),'Atividades Micro'!$L311,"")</f>
        <v/>
      </c>
      <c r="AO262" s="21" t="str">
        <f>IF(AND('Atividades Micro'!$B311=AO$2,'Atividades Micro'!$K311&lt;&gt;""),'Atividades Micro'!$K311,"")</f>
        <v/>
      </c>
      <c r="AP262" s="21" t="str">
        <f>IF(AND('Atividades Micro'!$B311=AP$2,'Atividades Micro'!$L311&lt;&gt;""),'Atividades Micro'!$L311,"")</f>
        <v/>
      </c>
      <c r="AQ262" s="21">
        <f>IF(AND('Atividades Micro'!$A311=AQ$2,'Atividades Micro'!$K311&lt;&gt;""),'Atividades Micro'!$K311,"")</f>
        <v>46289</v>
      </c>
      <c r="AR262" s="21">
        <f>IF(AND('Atividades Micro'!$A311=AR$2,'Atividades Micro'!$L311&lt;&gt;""),'Atividades Micro'!$L311,"")</f>
        <v>46287</v>
      </c>
      <c r="AS262" s="21">
        <f>IF(AND('Atividades Micro'!$B311=AS$2,'Atividades Micro'!$K311&lt;&gt;""),'Atividades Micro'!$K311,"")</f>
        <v>46289</v>
      </c>
      <c r="AT262" s="21">
        <f>IF(AND('Atividades Micro'!$B311=AT$2,'Atividades Micro'!$L311&lt;&gt;""),'Atividades Micro'!$L311,"")</f>
        <v>46287</v>
      </c>
      <c r="AU262" s="21" t="str">
        <f>IF(AND('Atividades Micro'!$A311=AU$2,'Atividades Micro'!$K311&lt;&gt;""),'Atividades Micro'!$K311,"")</f>
        <v/>
      </c>
      <c r="AV262" s="21" t="str">
        <f>IF(AND('Atividades Micro'!$A311=AV$2,'Atividades Micro'!$L311&lt;&gt;""),'Atividades Micro'!$L311,"")</f>
        <v/>
      </c>
      <c r="AW262" s="21" t="str">
        <f>IF(AND('Atividades Micro'!$B311=AW$2,'Atividades Micro'!$K311&lt;&gt;""),'Atividades Micro'!$K311,"")</f>
        <v/>
      </c>
      <c r="AX262" s="21" t="str">
        <f>IF(AND('Atividades Micro'!$B311=AX$2,'Atividades Micro'!$L311&lt;&gt;""),'Atividades Micro'!$L311,"")</f>
        <v/>
      </c>
      <c r="AY262" s="21" t="str">
        <f>IF(AND('Atividades Micro'!$A311=AY$2,'Atividades Micro'!$K311&lt;&gt;""),'Atividades Micro'!$K311,"")</f>
        <v/>
      </c>
      <c r="AZ262" s="21" t="str">
        <f>IF(AND('Atividades Micro'!$A311=AZ$2,'Atividades Micro'!$L311&lt;&gt;""),'Atividades Micro'!$L311,"")</f>
        <v/>
      </c>
      <c r="BA262" s="21" t="str">
        <f>IF(AND('Atividades Micro'!$B311=BA$2,'Atividades Micro'!$K311&lt;&gt;""),'Atividades Micro'!$K311,"")</f>
        <v/>
      </c>
      <c r="BB262" s="21" t="str">
        <f>IF(AND('Atividades Micro'!$B311=BB$2,'Atividades Micro'!$L311&lt;&gt;""),'Atividades Micro'!$L311,"")</f>
        <v/>
      </c>
      <c r="BC262" s="21" t="str">
        <f>IF(AND('Atividades Micro'!$B311=BC$2,'Atividades Micro'!$G311="Macro",'Atividades Micro'!$K311&lt;&gt;""),'Atividades Micro'!$K311,"")</f>
        <v/>
      </c>
      <c r="BD262" s="21" t="str">
        <f>IF(AND('Atividades Micro'!$B311=BD$2,'Atividades Micro'!$G311="Macro",'Atividades Micro'!$K311&lt;&gt;""),'Atividades Micro'!$K311,"")</f>
        <v/>
      </c>
      <c r="BE262" s="21" t="str">
        <f>IF(AND('Atividades Micro'!$B311=BE$2,'Atividades Micro'!$G311="Macro",'Atividades Micro'!$K311&lt;&gt;""),'Atividades Micro'!$K311,"")</f>
        <v/>
      </c>
      <c r="BF262" s="21" t="str">
        <f>IF(AND('Atividades Micro'!$B311=BF$2,'Atividades Micro'!$G311="Macro",'Atividades Micro'!$K311&lt;&gt;""),'Atividades Micro'!$K311,"")</f>
        <v/>
      </c>
      <c r="BG262" s="21" t="str">
        <f>IF(AND('Atividades Micro'!$B311=BG$2,'Atividades Micro'!$G311="Macro",'Atividades Micro'!$K311&lt;&gt;""),'Atividades Micro'!$K311,"")</f>
        <v/>
      </c>
      <c r="BH262" s="21" t="str">
        <f>IF(AND('Atividades Micro'!$B311=BH$2,'Atividades Micro'!$G311="Macro",'Atividades Micro'!$K311&lt;&gt;""),'Atividades Micro'!$K311,"")</f>
        <v/>
      </c>
      <c r="BI262" s="21" t="str">
        <f>IF(AND('Atividades Micro'!$B311=BI$2,'Atividades Micro'!$G311="Macro",'Atividades Micro'!$K311&lt;&gt;""),'Atividades Micro'!$K311,"")</f>
        <v/>
      </c>
      <c r="BJ262" s="21" t="str">
        <f>IF(AND('Atividades Micro'!$B311=BJ$2,'Atividades Micro'!$G311="Macro",'Atividades Micro'!$K311&lt;&gt;""),'Atividades Micro'!$K311,"")</f>
        <v/>
      </c>
      <c r="BK262" s="21" t="str">
        <f>IF(AND('Atividades Micro'!$B311=BK$2,'Atividades Micro'!$G311="Macro",'Atividades Micro'!$K311&lt;&gt;""),'Atividades Micro'!$K311,"")</f>
        <v/>
      </c>
      <c r="BL262" s="21" t="str">
        <f>IF(AND('Atividades Micro'!$B311=BL$2,'Atividades Micro'!$G311="Macro",'Atividades Micro'!$K311&lt;&gt;""),'Atividades Micro'!$K311,"")</f>
        <v/>
      </c>
      <c r="BM262" s="21" t="str">
        <f>IF(AND('Atividades Micro'!$B311=BM$2,'Atividades Micro'!$G311="Macro",'Atividades Micro'!$K311&lt;&gt;""),'Atividades Micro'!$K311,"")</f>
        <v/>
      </c>
      <c r="BN262" s="21" t="str">
        <f>IF(AND('Atividades Micro'!$B311=BN$2,'Atividades Micro'!$G311="Macro",'Atividades Micro'!$K311&lt;&gt;""),'Atividades Micro'!$K311,"")</f>
        <v/>
      </c>
      <c r="BO262" s="21" t="str">
        <f>IF(AND('Atividades Micro'!$B311=BO$2,'Atividades Micro'!$G311="Macro",'Atividades Micro'!$K311&lt;&gt;""),'Atividades Micro'!$K311,"")</f>
        <v/>
      </c>
      <c r="BP262" s="21" t="str">
        <f>IF(AND('Atividades Micro'!$B311=BP$2,'Atividades Micro'!$G311="Macro",'Atividades Micro'!$K311&lt;&gt;""),'Atividades Micro'!$K311,"")</f>
        <v/>
      </c>
      <c r="BQ262" s="21" t="str">
        <f>IF(AND('Atividades Micro'!$B311=BQ$2,'Atividades Micro'!$G311="Macro",'Atividades Micro'!$K311&lt;&gt;""),'Atividades Micro'!$K311,"")</f>
        <v/>
      </c>
      <c r="BR262" s="21" t="str">
        <f>IF(AND('Atividades Micro'!$B311=BR$2,'Atividades Micro'!$G311="Macro",'Atividades Micro'!$K311&lt;&gt;""),'Atividades Micro'!$K311,"")</f>
        <v/>
      </c>
      <c r="BS262" s="21" t="str">
        <f>IF(AND('Atividades Micro'!$B311=BS$2,'Atividades Micro'!$G311="Macro",'Atividades Micro'!$K311&lt;&gt;""),'Atividades Micro'!$K311,"")</f>
        <v/>
      </c>
      <c r="BT262" s="21" t="str">
        <f>IF(AND('Atividades Micro'!$B311=BT$2,'Atividades Micro'!$G311="Macro",'Atividades Micro'!$K311&lt;&gt;""),'Atividades Micro'!$K311,"")</f>
        <v/>
      </c>
      <c r="BU262" s="21" t="str">
        <f>IF(AND('Atividades Micro'!$B311=BU$2,'Atividades Micro'!$G311="Macro",'Atividades Micro'!$K311&lt;&gt;""),'Atividades Micro'!$K311,"")</f>
        <v/>
      </c>
      <c r="BV262" s="21" t="str">
        <f>IF(AND('Atividades Micro'!$B311=BV$2,'Atividades Micro'!$G311="Macro",'Atividades Micro'!$K311&lt;&gt;""),'Atividades Micro'!$K311,"")</f>
        <v/>
      </c>
      <c r="BW262" s="21" t="str">
        <f>IF(AND('Atividades Micro'!$B311=BW$2,'Atividades Micro'!$G311="Macro",'Atividades Micro'!$K311&lt;&gt;""),'Atividades Micro'!$K311,"")</f>
        <v/>
      </c>
      <c r="BX262" s="21" t="str">
        <f>IF(AND('Atividades Micro'!$B311=BX$2,'Atividades Micro'!$G311="Macro",'Atividades Micro'!$K311&lt;&gt;""),'Atividades Micro'!$K311,"")</f>
        <v/>
      </c>
      <c r="BY262" s="21" t="str">
        <f>IF(AND('Atividades Micro'!$B311=BY$2,'Atividades Micro'!$G311="Macro",'Atividades Micro'!$K311&lt;&gt;""),'Atividades Micro'!$K311,"")</f>
        <v/>
      </c>
      <c r="BZ262" s="21" t="str">
        <f>IF(AND('Atividades Micro'!$B311=BZ$2,'Atividades Micro'!$G311="Macro",'Atividades Micro'!$K311&lt;&gt;""),'Atividades Micro'!$K311,"")</f>
        <v/>
      </c>
      <c r="CA262" s="21" t="str">
        <f>IF(AND('Atividades Micro'!$B311=CA$2,'Atividades Micro'!$G311="Macro",'Atividades Micro'!$K311&lt;&gt;""),'Atividades Micro'!$K311,"")</f>
        <v/>
      </c>
      <c r="CB262" s="21" t="str">
        <f>IF(AND('Atividades Micro'!$B311=CB$2,'Atividades Micro'!$G311="Macro",'Atividades Micro'!$K311&lt;&gt;""),'Atividades Micro'!$K311,"")</f>
        <v/>
      </c>
      <c r="CC262" s="21" t="str">
        <f>IF(AND('Atividades Micro'!$B311=CC$2,'Atividades Micro'!$G311="Macro",'Atividades Micro'!$K311&lt;&gt;""),'Atividades Micro'!$K311,"")</f>
        <v/>
      </c>
      <c r="CD262" s="21" t="str">
        <f>IF(AND('Atividades Micro'!$B311=CD$2,'Atividades Micro'!$G311="Micro",'Atividades Micro'!$K311&lt;&gt;""),'Atividades Micro'!$K311,"")</f>
        <v/>
      </c>
      <c r="CE262" s="21" t="str">
        <f>IF(AND('Atividades Micro'!$B311=CE$2,'Atividades Micro'!$G311="Micro",'Atividades Micro'!$K311&lt;&gt;""),'Atividades Micro'!$K311,"")</f>
        <v/>
      </c>
      <c r="CF262" s="21" t="str">
        <f>IF(AND('Atividades Micro'!$B311=CF$2,'Atividades Micro'!$G311="Micro",'Atividades Micro'!$K311&lt;&gt;""),'Atividades Micro'!$K311,"")</f>
        <v/>
      </c>
      <c r="CG262" s="21" t="str">
        <f>IF(AND('Atividades Micro'!$B311=CG$2,'Atividades Micro'!$G311="Micro",'Atividades Micro'!$K311&lt;&gt;""),'Atividades Micro'!$K311,"")</f>
        <v/>
      </c>
      <c r="CH262" s="21" t="str">
        <f>IF(AND('Atividades Micro'!$B311=CH$2,'Atividades Micro'!$G311="Micro",'Atividades Micro'!$K311&lt;&gt;""),'Atividades Micro'!$K311,"")</f>
        <v/>
      </c>
      <c r="CI262" s="21" t="str">
        <f>IF(AND('Atividades Micro'!$B311=CI$2,'Atividades Micro'!$G311="Micro",'Atividades Micro'!$K311&lt;&gt;""),'Atividades Micro'!$K311,"")</f>
        <v/>
      </c>
      <c r="CJ262" s="21" t="str">
        <f>IF(AND('Atividades Micro'!$B311=CJ$2,'Atividades Micro'!$G311="Micro",'Atividades Micro'!$K311&lt;&gt;""),'Atividades Micro'!$K311,"")</f>
        <v/>
      </c>
      <c r="CK262" s="21" t="str">
        <f>IF(AND('Atividades Micro'!$B311=CK$2,'Atividades Micro'!$G311="Micro",'Atividades Micro'!$K311&lt;&gt;""),'Atividades Micro'!$K311,"")</f>
        <v/>
      </c>
      <c r="CL262" s="21" t="str">
        <f>IF(AND('Atividades Micro'!$B311=CL$2,'Atividades Micro'!$G311="Micro",'Atividades Micro'!$K311&lt;&gt;""),'Atividades Micro'!$K311,"")</f>
        <v/>
      </c>
      <c r="CM262" s="21" t="str">
        <f>IF(AND('Atividades Micro'!$B311=CM$2,'Atividades Micro'!$G311="Micro",'Atividades Micro'!$K311&lt;&gt;""),'Atividades Micro'!$K311,"")</f>
        <v/>
      </c>
      <c r="CN262" s="21" t="str">
        <f>IF(AND('Atividades Micro'!$B311=CN$2,'Atividades Micro'!$G311="Micro",'Atividades Micro'!$K311&lt;&gt;""),'Atividades Micro'!$K311,"")</f>
        <v/>
      </c>
      <c r="CO262" s="21" t="str">
        <f>IF(AND('Atividades Micro'!$B311=CO$2,'Atividades Micro'!$G311="Micro",'Atividades Micro'!$K311&lt;&gt;""),'Atividades Micro'!$K311,"")</f>
        <v/>
      </c>
    </row>
    <row r="263" spans="1:93">
      <c r="A263" s="21" t="str">
        <f>IF(AND('Atividades Micro'!$A312=A$2,'Atividades Micro'!$K312&lt;&gt;""),'Atividades Micro'!$K312,"")</f>
        <v/>
      </c>
      <c r="B263" s="21" t="str">
        <f>IF(AND('Atividades Micro'!$A312=B$2,'Atividades Micro'!$L312&lt;&gt;""),'Atividades Micro'!$L312,"")</f>
        <v/>
      </c>
      <c r="C263" s="21" t="str">
        <f>IF(AND('Atividades Micro'!$A312=C$2,'Atividades Micro'!$K312&lt;&gt;""),'Atividades Micro'!$K312,"")</f>
        <v/>
      </c>
      <c r="D263" s="21" t="str">
        <f>IF(AND('Atividades Micro'!$A312=D$2,'Atividades Micro'!$L312&lt;&gt;""),'Atividades Micro'!$L312,"")</f>
        <v/>
      </c>
      <c r="E263" s="21" t="str">
        <f>IF(AND('Atividades Micro'!$A312=E$2,'Atividades Micro'!$K312&lt;&gt;""),'Atividades Micro'!$K312,"")</f>
        <v/>
      </c>
      <c r="F263" s="21" t="str">
        <f>IF(AND('Atividades Micro'!$A312=F$2,'Atividades Micro'!$L312&lt;&gt;""),'Atividades Micro'!$L312,"")</f>
        <v/>
      </c>
      <c r="G263" s="21" t="str">
        <f>IF(AND('Atividades Micro'!$A312=G$2,'Atividades Micro'!$K312&lt;&gt;""),'Atividades Micro'!$K312,"")</f>
        <v/>
      </c>
      <c r="H263" s="21" t="str">
        <f>IF(AND('Atividades Micro'!$A312=H$2,'Atividades Micro'!$L312&lt;&gt;""),'Atividades Micro'!$L312,"")</f>
        <v/>
      </c>
      <c r="I263" s="21" t="str">
        <f>IF(AND('Atividades Micro'!$A312=I$2,'Atividades Micro'!$K312&lt;&gt;""),'Atividades Micro'!$K312,"")</f>
        <v/>
      </c>
      <c r="J263" s="21" t="str">
        <f>IF(AND('Atividades Micro'!$A312=J$2,'Atividades Micro'!$L312&lt;&gt;""),'Atividades Micro'!$L312,"")</f>
        <v/>
      </c>
      <c r="K263" s="21" t="str">
        <f>IF(AND('Atividades Micro'!$B312=K$2,'Atividades Micro'!$K312&lt;&gt;""),'Atividades Micro'!$K312,"")</f>
        <v/>
      </c>
      <c r="L263" s="21" t="str">
        <f>IF(AND('Atividades Micro'!$B312=L$2,'Atividades Micro'!$L312&lt;&gt;""),'Atividades Micro'!$L312,"")</f>
        <v/>
      </c>
      <c r="M263" s="21" t="str">
        <f>IF(AND('Atividades Micro'!$B312=M$2,'Atividades Micro'!$K312&lt;&gt;""),'Atividades Micro'!$K312,"")</f>
        <v/>
      </c>
      <c r="N263" s="21" t="str">
        <f>IF(AND('Atividades Micro'!$B312=N$2,'Atividades Micro'!$L312&lt;&gt;""),'Atividades Micro'!$L312,"")</f>
        <v/>
      </c>
      <c r="O263" s="21" t="str">
        <f>IF(AND('Atividades Micro'!$A312=O$2,'Atividades Micro'!$K312&lt;&gt;""),'Atividades Micro'!$K312,"")</f>
        <v/>
      </c>
      <c r="P263" s="21" t="str">
        <f>IF(AND('Atividades Micro'!$A312=P$2,'Atividades Micro'!$L312&lt;&gt;""),'Atividades Micro'!$L312,"")</f>
        <v/>
      </c>
      <c r="Q263" s="21" t="str">
        <f>IF(AND('Atividades Micro'!$B312=Q$2,'Atividades Micro'!$K312&lt;&gt;""),'Atividades Micro'!$K312,"")</f>
        <v/>
      </c>
      <c r="R263" s="21" t="str">
        <f>IF(AND('Atividades Micro'!$B312=R$2,'Atividades Micro'!$L312&lt;&gt;""),'Atividades Micro'!$L312,"")</f>
        <v/>
      </c>
      <c r="S263" s="21" t="str">
        <f>IF(AND('Atividades Micro'!$A312=S$2,'Atividades Micro'!$K312&lt;&gt;""),'Atividades Micro'!$K312,"")</f>
        <v/>
      </c>
      <c r="T263" s="21" t="str">
        <f>IF(AND('Atividades Micro'!$A312=T$2,'Atividades Micro'!$L312&lt;&gt;""),'Atividades Micro'!$L312,"")</f>
        <v/>
      </c>
      <c r="U263" s="21" t="str">
        <f>IF(AND('Atividades Micro'!$B312=U$2,'Atividades Micro'!$K312&lt;&gt;""),'Atividades Micro'!$K312,"")</f>
        <v/>
      </c>
      <c r="V263" s="21" t="str">
        <f>IF(AND('Atividades Micro'!$B312=V$2,'Atividades Micro'!$L312&lt;&gt;""),'Atividades Micro'!$L312,"")</f>
        <v/>
      </c>
      <c r="W263" s="21" t="str">
        <f>IF(AND('Atividades Micro'!$B312=W$2,'Atividades Micro'!$K312&lt;&gt;""),'Atividades Micro'!$K312,"")</f>
        <v/>
      </c>
      <c r="X263" s="21" t="str">
        <f>IF(AND('Atividades Micro'!$B312=X$2,'Atividades Micro'!$L312&lt;&gt;""),'Atividades Micro'!$L312,"")</f>
        <v/>
      </c>
      <c r="Y263" s="21" t="str">
        <f>IF(AND('Atividades Micro'!$A312=Y$2,'Atividades Micro'!$K312&lt;&gt;""),'Atividades Micro'!$K312,"")</f>
        <v/>
      </c>
      <c r="Z263" s="21" t="str">
        <f>IF(AND('Atividades Micro'!$A312=Z$2,'Atividades Micro'!$L312&lt;&gt;""),'Atividades Micro'!$L312,"")</f>
        <v/>
      </c>
      <c r="AA263" s="21" t="str">
        <f>IF(AND('Atividades Micro'!$B312=AA$2,'Atividades Micro'!$K312&lt;&gt;""),'Atividades Micro'!$K312,"")</f>
        <v/>
      </c>
      <c r="AB263" s="21" t="str">
        <f>IF(AND('Atividades Micro'!$B312=AB$2,'Atividades Micro'!$L312&lt;&gt;""),'Atividades Micro'!$L312,"")</f>
        <v/>
      </c>
      <c r="AC263" s="21" t="str">
        <f>IF(AND('Atividades Micro'!$B312=AC$2,'Atividades Micro'!$K312&lt;&gt;""),'Atividades Micro'!$K312,"")</f>
        <v/>
      </c>
      <c r="AD263" s="21" t="str">
        <f>IF(AND('Atividades Micro'!$B312=AD$2,'Atividades Micro'!$L312&lt;&gt;""),'Atividades Micro'!$L312,"")</f>
        <v/>
      </c>
      <c r="AE263" s="21" t="str">
        <f>IF(AND('Atividades Micro'!$A312=AE$2,'Atividades Micro'!$K312&lt;&gt;""),'Atividades Micro'!$K312,"")</f>
        <v/>
      </c>
      <c r="AF263" s="21" t="str">
        <f>IF(AND('Atividades Micro'!$A312=AF$2,'Atividades Micro'!$L312&lt;&gt;""),'Atividades Micro'!$L312,"")</f>
        <v/>
      </c>
      <c r="AG263" s="21" t="str">
        <f>IF(AND('Atividades Micro'!$B312=AG$2,'Atividades Micro'!$K312&lt;&gt;""),'Atividades Micro'!$K312,"")</f>
        <v/>
      </c>
      <c r="AH263" s="21" t="str">
        <f>IF(AND('Atividades Micro'!$B312=AH$2,'Atividades Micro'!$L312&lt;&gt;""),'Atividades Micro'!$L312,"")</f>
        <v/>
      </c>
      <c r="AI263" s="21" t="str">
        <f>IF(AND('Atividades Micro'!$B312=AI$2,'Atividades Micro'!$K312&lt;&gt;""),'Atividades Micro'!$K312,"")</f>
        <v/>
      </c>
      <c r="AJ263" s="21" t="str">
        <f>IF(AND('Atividades Micro'!$B312=AJ$2,'Atividades Micro'!$L312&lt;&gt;""),'Atividades Micro'!$L312,"")</f>
        <v/>
      </c>
      <c r="AK263" s="21" t="str">
        <f>IF(AND('Atividades Micro'!$A312=AK$2,'Atividades Micro'!$K312&lt;&gt;""),'Atividades Micro'!$K312,"")</f>
        <v/>
      </c>
      <c r="AL263" s="21" t="str">
        <f>IF(AND('Atividades Micro'!$A312=AL$2,'Atividades Micro'!$L312&lt;&gt;""),'Atividades Micro'!$L312,"")</f>
        <v/>
      </c>
      <c r="AM263" s="21" t="str">
        <f>IF(AND('Atividades Micro'!$B312=AM$2,'Atividades Micro'!$K312&lt;&gt;""),'Atividades Micro'!$K312,"")</f>
        <v/>
      </c>
      <c r="AN263" s="21" t="str">
        <f>IF(AND('Atividades Micro'!$B312=AN$2,'Atividades Micro'!$L312&lt;&gt;""),'Atividades Micro'!$L312,"")</f>
        <v/>
      </c>
      <c r="AO263" s="21" t="str">
        <f>IF(AND('Atividades Micro'!$B312=AO$2,'Atividades Micro'!$K312&lt;&gt;""),'Atividades Micro'!$K312,"")</f>
        <v/>
      </c>
      <c r="AP263" s="21" t="str">
        <f>IF(AND('Atividades Micro'!$B312=AP$2,'Atividades Micro'!$L312&lt;&gt;""),'Atividades Micro'!$L312,"")</f>
        <v/>
      </c>
      <c r="AQ263" s="21">
        <f>IF(AND('Atividades Micro'!$A312=AQ$2,'Atividades Micro'!$K312&lt;&gt;""),'Atividades Micro'!$K312,"")</f>
        <v>46321</v>
      </c>
      <c r="AR263" s="21">
        <f>IF(AND('Atividades Micro'!$A312=AR$2,'Atividades Micro'!$L312&lt;&gt;""),'Atividades Micro'!$L312,"")</f>
        <v>46288</v>
      </c>
      <c r="AS263" s="21">
        <f>IF(AND('Atividades Micro'!$B312=AS$2,'Atividades Micro'!$K312&lt;&gt;""),'Atividades Micro'!$K312,"")</f>
        <v>46321</v>
      </c>
      <c r="AT263" s="21">
        <f>IF(AND('Atividades Micro'!$B312=AT$2,'Atividades Micro'!$L312&lt;&gt;""),'Atividades Micro'!$L312,"")</f>
        <v>46288</v>
      </c>
      <c r="AU263" s="21" t="str">
        <f>IF(AND('Atividades Micro'!$A312=AU$2,'Atividades Micro'!$K312&lt;&gt;""),'Atividades Micro'!$K312,"")</f>
        <v/>
      </c>
      <c r="AV263" s="21" t="str">
        <f>IF(AND('Atividades Micro'!$A312=AV$2,'Atividades Micro'!$L312&lt;&gt;""),'Atividades Micro'!$L312,"")</f>
        <v/>
      </c>
      <c r="AW263" s="21" t="str">
        <f>IF(AND('Atividades Micro'!$B312=AW$2,'Atividades Micro'!$K312&lt;&gt;""),'Atividades Micro'!$K312,"")</f>
        <v/>
      </c>
      <c r="AX263" s="21" t="str">
        <f>IF(AND('Atividades Micro'!$B312=AX$2,'Atividades Micro'!$L312&lt;&gt;""),'Atividades Micro'!$L312,"")</f>
        <v/>
      </c>
      <c r="AY263" s="21" t="str">
        <f>IF(AND('Atividades Micro'!$A312=AY$2,'Atividades Micro'!$K312&lt;&gt;""),'Atividades Micro'!$K312,"")</f>
        <v/>
      </c>
      <c r="AZ263" s="21" t="str">
        <f>IF(AND('Atividades Micro'!$A312=AZ$2,'Atividades Micro'!$L312&lt;&gt;""),'Atividades Micro'!$L312,"")</f>
        <v/>
      </c>
      <c r="BA263" s="21" t="str">
        <f>IF(AND('Atividades Micro'!$B312=BA$2,'Atividades Micro'!$K312&lt;&gt;""),'Atividades Micro'!$K312,"")</f>
        <v/>
      </c>
      <c r="BB263" s="21" t="str">
        <f>IF(AND('Atividades Micro'!$B312=BB$2,'Atividades Micro'!$L312&lt;&gt;""),'Atividades Micro'!$L312,"")</f>
        <v/>
      </c>
      <c r="BC263" s="21" t="str">
        <f>IF(AND('Atividades Micro'!$B312=BC$2,'Atividades Micro'!$G312="Macro",'Atividades Micro'!$K312&lt;&gt;""),'Atividades Micro'!$K312,"")</f>
        <v/>
      </c>
      <c r="BD263" s="21" t="str">
        <f>IF(AND('Atividades Micro'!$B312=BD$2,'Atividades Micro'!$G312="Macro",'Atividades Micro'!$K312&lt;&gt;""),'Atividades Micro'!$K312,"")</f>
        <v/>
      </c>
      <c r="BE263" s="21" t="str">
        <f>IF(AND('Atividades Micro'!$B312=BE$2,'Atividades Micro'!$G312="Macro",'Atividades Micro'!$K312&lt;&gt;""),'Atividades Micro'!$K312,"")</f>
        <v/>
      </c>
      <c r="BF263" s="21" t="str">
        <f>IF(AND('Atividades Micro'!$B312=BF$2,'Atividades Micro'!$G312="Macro",'Atividades Micro'!$K312&lt;&gt;""),'Atividades Micro'!$K312,"")</f>
        <v/>
      </c>
      <c r="BG263" s="21" t="str">
        <f>IF(AND('Atividades Micro'!$B312=BG$2,'Atividades Micro'!$G312="Macro",'Atividades Micro'!$K312&lt;&gt;""),'Atividades Micro'!$K312,"")</f>
        <v/>
      </c>
      <c r="BH263" s="21" t="str">
        <f>IF(AND('Atividades Micro'!$B312=BH$2,'Atividades Micro'!$G312="Macro",'Atividades Micro'!$K312&lt;&gt;""),'Atividades Micro'!$K312,"")</f>
        <v/>
      </c>
      <c r="BI263" s="21" t="str">
        <f>IF(AND('Atividades Micro'!$B312=BI$2,'Atividades Micro'!$G312="Macro",'Atividades Micro'!$K312&lt;&gt;""),'Atividades Micro'!$K312,"")</f>
        <v/>
      </c>
      <c r="BJ263" s="21" t="str">
        <f>IF(AND('Atividades Micro'!$B312=BJ$2,'Atividades Micro'!$G312="Macro",'Atividades Micro'!$K312&lt;&gt;""),'Atividades Micro'!$K312,"")</f>
        <v/>
      </c>
      <c r="BK263" s="21" t="str">
        <f>IF(AND('Atividades Micro'!$B312=BK$2,'Atividades Micro'!$G312="Macro",'Atividades Micro'!$K312&lt;&gt;""),'Atividades Micro'!$K312,"")</f>
        <v/>
      </c>
      <c r="BL263" s="21" t="str">
        <f>IF(AND('Atividades Micro'!$B312=BL$2,'Atividades Micro'!$G312="Macro",'Atividades Micro'!$K312&lt;&gt;""),'Atividades Micro'!$K312,"")</f>
        <v/>
      </c>
      <c r="BM263" s="21" t="str">
        <f>IF(AND('Atividades Micro'!$B312=BM$2,'Atividades Micro'!$G312="Macro",'Atividades Micro'!$K312&lt;&gt;""),'Atividades Micro'!$K312,"")</f>
        <v/>
      </c>
      <c r="BN263" s="21" t="str">
        <f>IF(AND('Atividades Micro'!$B312=BN$2,'Atividades Micro'!$G312="Macro",'Atividades Micro'!$K312&lt;&gt;""),'Atividades Micro'!$K312,"")</f>
        <v/>
      </c>
      <c r="BO263" s="21" t="str">
        <f>IF(AND('Atividades Micro'!$B312=BO$2,'Atividades Micro'!$G312="Macro",'Atividades Micro'!$K312&lt;&gt;""),'Atividades Micro'!$K312,"")</f>
        <v/>
      </c>
      <c r="BP263" s="21" t="str">
        <f>IF(AND('Atividades Micro'!$B312=BP$2,'Atividades Micro'!$G312="Macro",'Atividades Micro'!$K312&lt;&gt;""),'Atividades Micro'!$K312,"")</f>
        <v/>
      </c>
      <c r="BQ263" s="21" t="str">
        <f>IF(AND('Atividades Micro'!$B312=BQ$2,'Atividades Micro'!$G312="Macro",'Atividades Micro'!$K312&lt;&gt;""),'Atividades Micro'!$K312,"")</f>
        <v/>
      </c>
      <c r="BR263" s="21" t="str">
        <f>IF(AND('Atividades Micro'!$B312=BR$2,'Atividades Micro'!$G312="Macro",'Atividades Micro'!$K312&lt;&gt;""),'Atividades Micro'!$K312,"")</f>
        <v/>
      </c>
      <c r="BS263" s="21" t="str">
        <f>IF(AND('Atividades Micro'!$B312=BS$2,'Atividades Micro'!$G312="Macro",'Atividades Micro'!$K312&lt;&gt;""),'Atividades Micro'!$K312,"")</f>
        <v/>
      </c>
      <c r="BT263" s="21" t="str">
        <f>IF(AND('Atividades Micro'!$B312=BT$2,'Atividades Micro'!$G312="Macro",'Atividades Micro'!$K312&lt;&gt;""),'Atividades Micro'!$K312,"")</f>
        <v/>
      </c>
      <c r="BU263" s="21" t="str">
        <f>IF(AND('Atividades Micro'!$B312=BU$2,'Atividades Micro'!$G312="Macro",'Atividades Micro'!$K312&lt;&gt;""),'Atividades Micro'!$K312,"")</f>
        <v/>
      </c>
      <c r="BV263" s="21" t="str">
        <f>IF(AND('Atividades Micro'!$B312=BV$2,'Atividades Micro'!$G312="Macro",'Atividades Micro'!$K312&lt;&gt;""),'Atividades Micro'!$K312,"")</f>
        <v/>
      </c>
      <c r="BW263" s="21" t="str">
        <f>IF(AND('Atividades Micro'!$B312=BW$2,'Atividades Micro'!$G312="Macro",'Atividades Micro'!$K312&lt;&gt;""),'Atividades Micro'!$K312,"")</f>
        <v/>
      </c>
      <c r="BX263" s="21" t="str">
        <f>IF(AND('Atividades Micro'!$B312=BX$2,'Atividades Micro'!$G312="Macro",'Atividades Micro'!$K312&lt;&gt;""),'Atividades Micro'!$K312,"")</f>
        <v/>
      </c>
      <c r="BY263" s="21" t="str">
        <f>IF(AND('Atividades Micro'!$B312=BY$2,'Atividades Micro'!$G312="Macro",'Atividades Micro'!$K312&lt;&gt;""),'Atividades Micro'!$K312,"")</f>
        <v/>
      </c>
      <c r="BZ263" s="21" t="str">
        <f>IF(AND('Atividades Micro'!$B312=BZ$2,'Atividades Micro'!$G312="Macro",'Atividades Micro'!$K312&lt;&gt;""),'Atividades Micro'!$K312,"")</f>
        <v/>
      </c>
      <c r="CA263" s="21" t="str">
        <f>IF(AND('Atividades Micro'!$B312=CA$2,'Atividades Micro'!$G312="Macro",'Atividades Micro'!$K312&lt;&gt;""),'Atividades Micro'!$K312,"")</f>
        <v/>
      </c>
      <c r="CB263" s="21" t="str">
        <f>IF(AND('Atividades Micro'!$B312=CB$2,'Atividades Micro'!$G312="Macro",'Atividades Micro'!$K312&lt;&gt;""),'Atividades Micro'!$K312,"")</f>
        <v/>
      </c>
      <c r="CC263" s="21" t="str">
        <f>IF(AND('Atividades Micro'!$B312=CC$2,'Atividades Micro'!$G312="Macro",'Atividades Micro'!$K312&lt;&gt;""),'Atividades Micro'!$K312,"")</f>
        <v/>
      </c>
      <c r="CD263" s="21" t="str">
        <f>IF(AND('Atividades Micro'!$B312=CD$2,'Atividades Micro'!$G312="Micro",'Atividades Micro'!$K312&lt;&gt;""),'Atividades Micro'!$K312,"")</f>
        <v/>
      </c>
      <c r="CE263" s="21" t="str">
        <f>IF(AND('Atividades Micro'!$B312=CE$2,'Atividades Micro'!$G312="Micro",'Atividades Micro'!$K312&lt;&gt;""),'Atividades Micro'!$K312,"")</f>
        <v/>
      </c>
      <c r="CF263" s="21" t="str">
        <f>IF(AND('Atividades Micro'!$B312=CF$2,'Atividades Micro'!$G312="Micro",'Atividades Micro'!$K312&lt;&gt;""),'Atividades Micro'!$K312,"")</f>
        <v/>
      </c>
      <c r="CG263" s="21" t="str">
        <f>IF(AND('Atividades Micro'!$B312=CG$2,'Atividades Micro'!$G312="Micro",'Atividades Micro'!$K312&lt;&gt;""),'Atividades Micro'!$K312,"")</f>
        <v/>
      </c>
      <c r="CH263" s="21" t="str">
        <f>IF(AND('Atividades Micro'!$B312=CH$2,'Atividades Micro'!$G312="Micro",'Atividades Micro'!$K312&lt;&gt;""),'Atividades Micro'!$K312,"")</f>
        <v/>
      </c>
      <c r="CI263" s="21" t="str">
        <f>IF(AND('Atividades Micro'!$B312=CI$2,'Atividades Micro'!$G312="Micro",'Atividades Micro'!$K312&lt;&gt;""),'Atividades Micro'!$K312,"")</f>
        <v/>
      </c>
      <c r="CJ263" s="21" t="str">
        <f>IF(AND('Atividades Micro'!$B312=CJ$2,'Atividades Micro'!$G312="Micro",'Atividades Micro'!$K312&lt;&gt;""),'Atividades Micro'!$K312,"")</f>
        <v/>
      </c>
      <c r="CK263" s="21" t="str">
        <f>IF(AND('Atividades Micro'!$B312=CK$2,'Atividades Micro'!$G312="Micro",'Atividades Micro'!$K312&lt;&gt;""),'Atividades Micro'!$K312,"")</f>
        <v/>
      </c>
      <c r="CL263" s="21" t="str">
        <f>IF(AND('Atividades Micro'!$B312=CL$2,'Atividades Micro'!$G312="Micro",'Atividades Micro'!$K312&lt;&gt;""),'Atividades Micro'!$K312,"")</f>
        <v/>
      </c>
      <c r="CM263" s="21" t="str">
        <f>IF(AND('Atividades Micro'!$B312=CM$2,'Atividades Micro'!$G312="Micro",'Atividades Micro'!$K312&lt;&gt;""),'Atividades Micro'!$K312,"")</f>
        <v/>
      </c>
      <c r="CN263" s="21" t="str">
        <f>IF(AND('Atividades Micro'!$B312=CN$2,'Atividades Micro'!$G312="Micro",'Atividades Micro'!$K312&lt;&gt;""),'Atividades Micro'!$K312,"")</f>
        <v/>
      </c>
      <c r="CO263" s="21" t="str">
        <f>IF(AND('Atividades Micro'!$B312=CO$2,'Atividades Micro'!$G312="Micro",'Atividades Micro'!$K312&lt;&gt;""),'Atividades Micro'!$K312,"")</f>
        <v/>
      </c>
    </row>
    <row r="264" spans="1:93">
      <c r="A264" s="21" t="str">
        <f>IF(AND('Atividades Micro'!$A313=A$2,'Atividades Micro'!$K313&lt;&gt;""),'Atividades Micro'!$K313,"")</f>
        <v/>
      </c>
      <c r="B264" s="21" t="str">
        <f>IF(AND('Atividades Micro'!$A313=B$2,'Atividades Micro'!$L313&lt;&gt;""),'Atividades Micro'!$L313,"")</f>
        <v/>
      </c>
      <c r="C264" s="21" t="str">
        <f>IF(AND('Atividades Micro'!$A313=C$2,'Atividades Micro'!$K313&lt;&gt;""),'Atividades Micro'!$K313,"")</f>
        <v/>
      </c>
      <c r="D264" s="21" t="str">
        <f>IF(AND('Atividades Micro'!$A313=D$2,'Atividades Micro'!$L313&lt;&gt;""),'Atividades Micro'!$L313,"")</f>
        <v/>
      </c>
      <c r="E264" s="21" t="str">
        <f>IF(AND('Atividades Micro'!$A313=E$2,'Atividades Micro'!$K313&lt;&gt;""),'Atividades Micro'!$K313,"")</f>
        <v/>
      </c>
      <c r="F264" s="21" t="str">
        <f>IF(AND('Atividades Micro'!$A313=F$2,'Atividades Micro'!$L313&lt;&gt;""),'Atividades Micro'!$L313,"")</f>
        <v/>
      </c>
      <c r="G264" s="21" t="str">
        <f>IF(AND('Atividades Micro'!$A313=G$2,'Atividades Micro'!$K313&lt;&gt;""),'Atividades Micro'!$K313,"")</f>
        <v/>
      </c>
      <c r="H264" s="21" t="str">
        <f>IF(AND('Atividades Micro'!$A313=H$2,'Atividades Micro'!$L313&lt;&gt;""),'Atividades Micro'!$L313,"")</f>
        <v/>
      </c>
      <c r="I264" s="21" t="str">
        <f>IF(AND('Atividades Micro'!$A313=I$2,'Atividades Micro'!$K313&lt;&gt;""),'Atividades Micro'!$K313,"")</f>
        <v/>
      </c>
      <c r="J264" s="21" t="str">
        <f>IF(AND('Atividades Micro'!$A313=J$2,'Atividades Micro'!$L313&lt;&gt;""),'Atividades Micro'!$L313,"")</f>
        <v/>
      </c>
      <c r="K264" s="21" t="str">
        <f>IF(AND('Atividades Micro'!$B313=K$2,'Atividades Micro'!$K313&lt;&gt;""),'Atividades Micro'!$K313,"")</f>
        <v/>
      </c>
      <c r="L264" s="21" t="str">
        <f>IF(AND('Atividades Micro'!$B313=L$2,'Atividades Micro'!$L313&lt;&gt;""),'Atividades Micro'!$L313,"")</f>
        <v/>
      </c>
      <c r="M264" s="21" t="str">
        <f>IF(AND('Atividades Micro'!$B313=M$2,'Atividades Micro'!$K313&lt;&gt;""),'Atividades Micro'!$K313,"")</f>
        <v/>
      </c>
      <c r="N264" s="21" t="str">
        <f>IF(AND('Atividades Micro'!$B313=N$2,'Atividades Micro'!$L313&lt;&gt;""),'Atividades Micro'!$L313,"")</f>
        <v/>
      </c>
      <c r="O264" s="21" t="str">
        <f>IF(AND('Atividades Micro'!$A313=O$2,'Atividades Micro'!$K313&lt;&gt;""),'Atividades Micro'!$K313,"")</f>
        <v/>
      </c>
      <c r="P264" s="21" t="str">
        <f>IF(AND('Atividades Micro'!$A313=P$2,'Atividades Micro'!$L313&lt;&gt;""),'Atividades Micro'!$L313,"")</f>
        <v/>
      </c>
      <c r="Q264" s="21" t="str">
        <f>IF(AND('Atividades Micro'!$B313=Q$2,'Atividades Micro'!$K313&lt;&gt;""),'Atividades Micro'!$K313,"")</f>
        <v/>
      </c>
      <c r="R264" s="21" t="str">
        <f>IF(AND('Atividades Micro'!$B313=R$2,'Atividades Micro'!$L313&lt;&gt;""),'Atividades Micro'!$L313,"")</f>
        <v/>
      </c>
      <c r="S264" s="21" t="str">
        <f>IF(AND('Atividades Micro'!$A313=S$2,'Atividades Micro'!$K313&lt;&gt;""),'Atividades Micro'!$K313,"")</f>
        <v/>
      </c>
      <c r="T264" s="21" t="str">
        <f>IF(AND('Atividades Micro'!$A313=T$2,'Atividades Micro'!$L313&lt;&gt;""),'Atividades Micro'!$L313,"")</f>
        <v/>
      </c>
      <c r="U264" s="21" t="str">
        <f>IF(AND('Atividades Micro'!$B313=U$2,'Atividades Micro'!$K313&lt;&gt;""),'Atividades Micro'!$K313,"")</f>
        <v/>
      </c>
      <c r="V264" s="21" t="str">
        <f>IF(AND('Atividades Micro'!$B313=V$2,'Atividades Micro'!$L313&lt;&gt;""),'Atividades Micro'!$L313,"")</f>
        <v/>
      </c>
      <c r="W264" s="21" t="str">
        <f>IF(AND('Atividades Micro'!$B313=W$2,'Atividades Micro'!$K313&lt;&gt;""),'Atividades Micro'!$K313,"")</f>
        <v/>
      </c>
      <c r="X264" s="21" t="str">
        <f>IF(AND('Atividades Micro'!$B313=X$2,'Atividades Micro'!$L313&lt;&gt;""),'Atividades Micro'!$L313,"")</f>
        <v/>
      </c>
      <c r="Y264" s="21" t="str">
        <f>IF(AND('Atividades Micro'!$A313=Y$2,'Atividades Micro'!$K313&lt;&gt;""),'Atividades Micro'!$K313,"")</f>
        <v/>
      </c>
      <c r="Z264" s="21" t="str">
        <f>IF(AND('Atividades Micro'!$A313=Z$2,'Atividades Micro'!$L313&lt;&gt;""),'Atividades Micro'!$L313,"")</f>
        <v/>
      </c>
      <c r="AA264" s="21" t="str">
        <f>IF(AND('Atividades Micro'!$B313=AA$2,'Atividades Micro'!$K313&lt;&gt;""),'Atividades Micro'!$K313,"")</f>
        <v/>
      </c>
      <c r="AB264" s="21" t="str">
        <f>IF(AND('Atividades Micro'!$B313=AB$2,'Atividades Micro'!$L313&lt;&gt;""),'Atividades Micro'!$L313,"")</f>
        <v/>
      </c>
      <c r="AC264" s="21" t="str">
        <f>IF(AND('Atividades Micro'!$B313=AC$2,'Atividades Micro'!$K313&lt;&gt;""),'Atividades Micro'!$K313,"")</f>
        <v/>
      </c>
      <c r="AD264" s="21" t="str">
        <f>IF(AND('Atividades Micro'!$B313=AD$2,'Atividades Micro'!$L313&lt;&gt;""),'Atividades Micro'!$L313,"")</f>
        <v/>
      </c>
      <c r="AE264" s="21" t="str">
        <f>IF(AND('Atividades Micro'!$A313=AE$2,'Atividades Micro'!$K313&lt;&gt;""),'Atividades Micro'!$K313,"")</f>
        <v/>
      </c>
      <c r="AF264" s="21" t="str">
        <f>IF(AND('Atividades Micro'!$A313=AF$2,'Atividades Micro'!$L313&lt;&gt;""),'Atividades Micro'!$L313,"")</f>
        <v/>
      </c>
      <c r="AG264" s="21" t="str">
        <f>IF(AND('Atividades Micro'!$B313=AG$2,'Atividades Micro'!$K313&lt;&gt;""),'Atividades Micro'!$K313,"")</f>
        <v/>
      </c>
      <c r="AH264" s="21" t="str">
        <f>IF(AND('Atividades Micro'!$B313=AH$2,'Atividades Micro'!$L313&lt;&gt;""),'Atividades Micro'!$L313,"")</f>
        <v/>
      </c>
      <c r="AI264" s="21" t="str">
        <f>IF(AND('Atividades Micro'!$B313=AI$2,'Atividades Micro'!$K313&lt;&gt;""),'Atividades Micro'!$K313,"")</f>
        <v/>
      </c>
      <c r="AJ264" s="21" t="str">
        <f>IF(AND('Atividades Micro'!$B313=AJ$2,'Atividades Micro'!$L313&lt;&gt;""),'Atividades Micro'!$L313,"")</f>
        <v/>
      </c>
      <c r="AK264" s="21" t="str">
        <f>IF(AND('Atividades Micro'!$A313=AK$2,'Atividades Micro'!$K313&lt;&gt;""),'Atividades Micro'!$K313,"")</f>
        <v/>
      </c>
      <c r="AL264" s="21" t="str">
        <f>IF(AND('Atividades Micro'!$A313=AL$2,'Atividades Micro'!$L313&lt;&gt;""),'Atividades Micro'!$L313,"")</f>
        <v/>
      </c>
      <c r="AM264" s="21" t="str">
        <f>IF(AND('Atividades Micro'!$B313=AM$2,'Atividades Micro'!$K313&lt;&gt;""),'Atividades Micro'!$K313,"")</f>
        <v/>
      </c>
      <c r="AN264" s="21" t="str">
        <f>IF(AND('Atividades Micro'!$B313=AN$2,'Atividades Micro'!$L313&lt;&gt;""),'Atividades Micro'!$L313,"")</f>
        <v/>
      </c>
      <c r="AO264" s="21" t="str">
        <f>IF(AND('Atividades Micro'!$B313=AO$2,'Atividades Micro'!$K313&lt;&gt;""),'Atividades Micro'!$K313,"")</f>
        <v/>
      </c>
      <c r="AP264" s="21" t="str">
        <f>IF(AND('Atividades Micro'!$B313=AP$2,'Atividades Micro'!$L313&lt;&gt;""),'Atividades Micro'!$L313,"")</f>
        <v/>
      </c>
      <c r="AQ264" s="21">
        <f>IF(AND('Atividades Micro'!$A313=AQ$2,'Atividades Micro'!$K313&lt;&gt;""),'Atividades Micro'!$K313,"")</f>
        <v>46237</v>
      </c>
      <c r="AR264" s="21">
        <f>IF(AND('Atividades Micro'!$A313=AR$2,'Atividades Micro'!$L313&lt;&gt;""),'Atividades Micro'!$L313,"")</f>
        <v>46238</v>
      </c>
      <c r="AS264" s="21">
        <f>IF(AND('Atividades Micro'!$B313=AS$2,'Atividades Micro'!$K313&lt;&gt;""),'Atividades Micro'!$K313,"")</f>
        <v>46237</v>
      </c>
      <c r="AT264" s="21">
        <f>IF(AND('Atividades Micro'!$B313=AT$2,'Atividades Micro'!$L313&lt;&gt;""),'Atividades Micro'!$L313,"")</f>
        <v>46238</v>
      </c>
      <c r="AU264" s="21" t="str">
        <f>IF(AND('Atividades Micro'!$A313=AU$2,'Atividades Micro'!$K313&lt;&gt;""),'Atividades Micro'!$K313,"")</f>
        <v/>
      </c>
      <c r="AV264" s="21" t="str">
        <f>IF(AND('Atividades Micro'!$A313=AV$2,'Atividades Micro'!$L313&lt;&gt;""),'Atividades Micro'!$L313,"")</f>
        <v/>
      </c>
      <c r="AW264" s="21" t="str">
        <f>IF(AND('Atividades Micro'!$B313=AW$2,'Atividades Micro'!$K313&lt;&gt;""),'Atividades Micro'!$K313,"")</f>
        <v/>
      </c>
      <c r="AX264" s="21" t="str">
        <f>IF(AND('Atividades Micro'!$B313=AX$2,'Atividades Micro'!$L313&lt;&gt;""),'Atividades Micro'!$L313,"")</f>
        <v/>
      </c>
      <c r="AY264" s="21" t="str">
        <f>IF(AND('Atividades Micro'!$A313=AY$2,'Atividades Micro'!$K313&lt;&gt;""),'Atividades Micro'!$K313,"")</f>
        <v/>
      </c>
      <c r="AZ264" s="21" t="str">
        <f>IF(AND('Atividades Micro'!$A313=AZ$2,'Atividades Micro'!$L313&lt;&gt;""),'Atividades Micro'!$L313,"")</f>
        <v/>
      </c>
      <c r="BA264" s="21" t="str">
        <f>IF(AND('Atividades Micro'!$B313=BA$2,'Atividades Micro'!$K313&lt;&gt;""),'Atividades Micro'!$K313,"")</f>
        <v/>
      </c>
      <c r="BB264" s="21" t="str">
        <f>IF(AND('Atividades Micro'!$B313=BB$2,'Atividades Micro'!$L313&lt;&gt;""),'Atividades Micro'!$L313,"")</f>
        <v/>
      </c>
      <c r="BC264" s="21" t="str">
        <f>IF(AND('Atividades Micro'!$B313=BC$2,'Atividades Micro'!$G313="Macro",'Atividades Micro'!$K313&lt;&gt;""),'Atividades Micro'!$K313,"")</f>
        <v/>
      </c>
      <c r="BD264" s="21" t="str">
        <f>IF(AND('Atividades Micro'!$B313=BD$2,'Atividades Micro'!$G313="Macro",'Atividades Micro'!$K313&lt;&gt;""),'Atividades Micro'!$K313,"")</f>
        <v/>
      </c>
      <c r="BE264" s="21" t="str">
        <f>IF(AND('Atividades Micro'!$B313=BE$2,'Atividades Micro'!$G313="Macro",'Atividades Micro'!$K313&lt;&gt;""),'Atividades Micro'!$K313,"")</f>
        <v/>
      </c>
      <c r="BF264" s="21" t="str">
        <f>IF(AND('Atividades Micro'!$B313=BF$2,'Atividades Micro'!$G313="Macro",'Atividades Micro'!$K313&lt;&gt;""),'Atividades Micro'!$K313,"")</f>
        <v/>
      </c>
      <c r="BG264" s="21" t="str">
        <f>IF(AND('Atividades Micro'!$B313=BG$2,'Atividades Micro'!$G313="Macro",'Atividades Micro'!$K313&lt;&gt;""),'Atividades Micro'!$K313,"")</f>
        <v/>
      </c>
      <c r="BH264" s="21" t="str">
        <f>IF(AND('Atividades Micro'!$B313=BH$2,'Atividades Micro'!$G313="Macro",'Atividades Micro'!$K313&lt;&gt;""),'Atividades Micro'!$K313,"")</f>
        <v/>
      </c>
      <c r="BI264" s="21" t="str">
        <f>IF(AND('Atividades Micro'!$B313=BI$2,'Atividades Micro'!$G313="Macro",'Atividades Micro'!$K313&lt;&gt;""),'Atividades Micro'!$K313,"")</f>
        <v/>
      </c>
      <c r="BJ264" s="21" t="str">
        <f>IF(AND('Atividades Micro'!$B313=BJ$2,'Atividades Micro'!$G313="Macro",'Atividades Micro'!$K313&lt;&gt;""),'Atividades Micro'!$K313,"")</f>
        <v/>
      </c>
      <c r="BK264" s="21" t="str">
        <f>IF(AND('Atividades Micro'!$B313=BK$2,'Atividades Micro'!$G313="Macro",'Atividades Micro'!$K313&lt;&gt;""),'Atividades Micro'!$K313,"")</f>
        <v/>
      </c>
      <c r="BL264" s="21" t="str">
        <f>IF(AND('Atividades Micro'!$B313=BL$2,'Atividades Micro'!$G313="Macro",'Atividades Micro'!$K313&lt;&gt;""),'Atividades Micro'!$K313,"")</f>
        <v/>
      </c>
      <c r="BM264" s="21" t="str">
        <f>IF(AND('Atividades Micro'!$B313=BM$2,'Atividades Micro'!$G313="Macro",'Atividades Micro'!$K313&lt;&gt;""),'Atividades Micro'!$K313,"")</f>
        <v/>
      </c>
      <c r="BN264" s="21" t="str">
        <f>IF(AND('Atividades Micro'!$B313=BN$2,'Atividades Micro'!$G313="Macro",'Atividades Micro'!$K313&lt;&gt;""),'Atividades Micro'!$K313,"")</f>
        <v/>
      </c>
      <c r="BO264" s="21" t="str">
        <f>IF(AND('Atividades Micro'!$B313=BO$2,'Atividades Micro'!$G313="Macro",'Atividades Micro'!$K313&lt;&gt;""),'Atividades Micro'!$K313,"")</f>
        <v/>
      </c>
      <c r="BP264" s="21" t="str">
        <f>IF(AND('Atividades Micro'!$B313=BP$2,'Atividades Micro'!$G313="Macro",'Atividades Micro'!$K313&lt;&gt;""),'Atividades Micro'!$K313,"")</f>
        <v/>
      </c>
      <c r="BQ264" s="21" t="str">
        <f>IF(AND('Atividades Micro'!$B313=BQ$2,'Atividades Micro'!$G313="Macro",'Atividades Micro'!$K313&lt;&gt;""),'Atividades Micro'!$K313,"")</f>
        <v/>
      </c>
      <c r="BR264" s="21" t="str">
        <f>IF(AND('Atividades Micro'!$B313=BR$2,'Atividades Micro'!$G313="Macro",'Atividades Micro'!$K313&lt;&gt;""),'Atividades Micro'!$K313,"")</f>
        <v/>
      </c>
      <c r="BS264" s="21" t="str">
        <f>IF(AND('Atividades Micro'!$B313=BS$2,'Atividades Micro'!$G313="Macro",'Atividades Micro'!$K313&lt;&gt;""),'Atividades Micro'!$K313,"")</f>
        <v/>
      </c>
      <c r="BT264" s="21" t="str">
        <f>IF(AND('Atividades Micro'!$B313=BT$2,'Atividades Micro'!$G313="Macro",'Atividades Micro'!$K313&lt;&gt;""),'Atividades Micro'!$K313,"")</f>
        <v/>
      </c>
      <c r="BU264" s="21" t="str">
        <f>IF(AND('Atividades Micro'!$B313=BU$2,'Atividades Micro'!$G313="Macro",'Atividades Micro'!$K313&lt;&gt;""),'Atividades Micro'!$K313,"")</f>
        <v/>
      </c>
      <c r="BV264" s="21" t="str">
        <f>IF(AND('Atividades Micro'!$B313=BV$2,'Atividades Micro'!$G313="Macro",'Atividades Micro'!$K313&lt;&gt;""),'Atividades Micro'!$K313,"")</f>
        <v/>
      </c>
      <c r="BW264" s="21" t="str">
        <f>IF(AND('Atividades Micro'!$B313=BW$2,'Atividades Micro'!$G313="Macro",'Atividades Micro'!$K313&lt;&gt;""),'Atividades Micro'!$K313,"")</f>
        <v/>
      </c>
      <c r="BX264" s="21" t="str">
        <f>IF(AND('Atividades Micro'!$B313=BX$2,'Atividades Micro'!$G313="Macro",'Atividades Micro'!$K313&lt;&gt;""),'Atividades Micro'!$K313,"")</f>
        <v/>
      </c>
      <c r="BY264" s="21" t="str">
        <f>IF(AND('Atividades Micro'!$B313=BY$2,'Atividades Micro'!$G313="Macro",'Atividades Micro'!$K313&lt;&gt;""),'Atividades Micro'!$K313,"")</f>
        <v/>
      </c>
      <c r="BZ264" s="21" t="str">
        <f>IF(AND('Atividades Micro'!$B313=BZ$2,'Atividades Micro'!$G313="Macro",'Atividades Micro'!$K313&lt;&gt;""),'Atividades Micro'!$K313,"")</f>
        <v/>
      </c>
      <c r="CA264" s="21" t="str">
        <f>IF(AND('Atividades Micro'!$B313=CA$2,'Atividades Micro'!$G313="Macro",'Atividades Micro'!$K313&lt;&gt;""),'Atividades Micro'!$K313,"")</f>
        <v/>
      </c>
      <c r="CB264" s="21" t="str">
        <f>IF(AND('Atividades Micro'!$B313=CB$2,'Atividades Micro'!$G313="Macro",'Atividades Micro'!$K313&lt;&gt;""),'Atividades Micro'!$K313,"")</f>
        <v/>
      </c>
      <c r="CC264" s="21" t="str">
        <f>IF(AND('Atividades Micro'!$B313=CC$2,'Atividades Micro'!$G313="Macro",'Atividades Micro'!$K313&lt;&gt;""),'Atividades Micro'!$K313,"")</f>
        <v/>
      </c>
      <c r="CD264" s="21" t="str">
        <f>IF(AND('Atividades Micro'!$B313=CD$2,'Atividades Micro'!$G313="Micro",'Atividades Micro'!$K313&lt;&gt;""),'Atividades Micro'!$K313,"")</f>
        <v/>
      </c>
      <c r="CE264" s="21" t="str">
        <f>IF(AND('Atividades Micro'!$B313=CE$2,'Atividades Micro'!$G313="Micro",'Atividades Micro'!$K313&lt;&gt;""),'Atividades Micro'!$K313,"")</f>
        <v/>
      </c>
      <c r="CF264" s="21" t="str">
        <f>IF(AND('Atividades Micro'!$B313=CF$2,'Atividades Micro'!$G313="Micro",'Atividades Micro'!$K313&lt;&gt;""),'Atividades Micro'!$K313,"")</f>
        <v/>
      </c>
      <c r="CG264" s="21" t="str">
        <f>IF(AND('Atividades Micro'!$B313=CG$2,'Atividades Micro'!$G313="Micro",'Atividades Micro'!$K313&lt;&gt;""),'Atividades Micro'!$K313,"")</f>
        <v/>
      </c>
      <c r="CH264" s="21" t="str">
        <f>IF(AND('Atividades Micro'!$B313=CH$2,'Atividades Micro'!$G313="Micro",'Atividades Micro'!$K313&lt;&gt;""),'Atividades Micro'!$K313,"")</f>
        <v/>
      </c>
      <c r="CI264" s="21" t="str">
        <f>IF(AND('Atividades Micro'!$B313=CI$2,'Atividades Micro'!$G313="Micro",'Atividades Micro'!$K313&lt;&gt;""),'Atividades Micro'!$K313,"")</f>
        <v/>
      </c>
      <c r="CJ264" s="21" t="str">
        <f>IF(AND('Atividades Micro'!$B313=CJ$2,'Atividades Micro'!$G313="Micro",'Atividades Micro'!$K313&lt;&gt;""),'Atividades Micro'!$K313,"")</f>
        <v/>
      </c>
      <c r="CK264" s="21" t="str">
        <f>IF(AND('Atividades Micro'!$B313=CK$2,'Atividades Micro'!$G313="Micro",'Atividades Micro'!$K313&lt;&gt;""),'Atividades Micro'!$K313,"")</f>
        <v/>
      </c>
      <c r="CL264" s="21" t="str">
        <f>IF(AND('Atividades Micro'!$B313=CL$2,'Atividades Micro'!$G313="Micro",'Atividades Micro'!$K313&lt;&gt;""),'Atividades Micro'!$K313,"")</f>
        <v/>
      </c>
      <c r="CM264" s="21" t="str">
        <f>IF(AND('Atividades Micro'!$B313=CM$2,'Atividades Micro'!$G313="Micro",'Atividades Micro'!$K313&lt;&gt;""),'Atividades Micro'!$K313,"")</f>
        <v/>
      </c>
      <c r="CN264" s="21" t="str">
        <f>IF(AND('Atividades Micro'!$B313=CN$2,'Atividades Micro'!$G313="Micro",'Atividades Micro'!$K313&lt;&gt;""),'Atividades Micro'!$K313,"")</f>
        <v/>
      </c>
      <c r="CO264" s="21" t="str">
        <f>IF(AND('Atividades Micro'!$B313=CO$2,'Atividades Micro'!$G313="Micro",'Atividades Micro'!$K313&lt;&gt;""),'Atividades Micro'!$K313,"")</f>
        <v/>
      </c>
    </row>
    <row r="265" spans="1:93">
      <c r="A265" s="21" t="str">
        <f>IF(AND('Atividades Micro'!$A315=A$2,'Atividades Micro'!$K315&lt;&gt;""),'Atividades Micro'!$K315,"")</f>
        <v/>
      </c>
      <c r="B265" s="21" t="str">
        <f>IF(AND('Atividades Micro'!$A315=B$2,'Atividades Micro'!$L315&lt;&gt;""),'Atividades Micro'!$L315,"")</f>
        <v/>
      </c>
      <c r="C265" s="21" t="str">
        <f>IF(AND('Atividades Micro'!$A315=C$2,'Atividades Micro'!$K315&lt;&gt;""),'Atividades Micro'!$K315,"")</f>
        <v/>
      </c>
      <c r="D265" s="21" t="str">
        <f>IF(AND('Atividades Micro'!$A315=D$2,'Atividades Micro'!$L315&lt;&gt;""),'Atividades Micro'!$L315,"")</f>
        <v/>
      </c>
      <c r="E265" s="21" t="str">
        <f>IF(AND('Atividades Micro'!$A315=E$2,'Atividades Micro'!$K315&lt;&gt;""),'Atividades Micro'!$K315,"")</f>
        <v/>
      </c>
      <c r="F265" s="21" t="str">
        <f>IF(AND('Atividades Micro'!$A315=F$2,'Atividades Micro'!$L315&lt;&gt;""),'Atividades Micro'!$L315,"")</f>
        <v/>
      </c>
      <c r="G265" s="21" t="str">
        <f>IF(AND('Atividades Micro'!$A315=G$2,'Atividades Micro'!$K315&lt;&gt;""),'Atividades Micro'!$K315,"")</f>
        <v/>
      </c>
      <c r="H265" s="21" t="str">
        <f>IF(AND('Atividades Micro'!$A315=H$2,'Atividades Micro'!$L315&lt;&gt;""),'Atividades Micro'!$L315,"")</f>
        <v/>
      </c>
      <c r="I265" s="21" t="str">
        <f>IF(AND('Atividades Micro'!$A315=I$2,'Atividades Micro'!$K315&lt;&gt;""),'Atividades Micro'!$K315,"")</f>
        <v/>
      </c>
      <c r="J265" s="21" t="str">
        <f>IF(AND('Atividades Micro'!$A315=J$2,'Atividades Micro'!$L315&lt;&gt;""),'Atividades Micro'!$L315,"")</f>
        <v/>
      </c>
      <c r="K265" s="21" t="str">
        <f>IF(AND('Atividades Micro'!$B315=K$2,'Atividades Micro'!$K315&lt;&gt;""),'Atividades Micro'!$K315,"")</f>
        <v/>
      </c>
      <c r="L265" s="21" t="str">
        <f>IF(AND('Atividades Micro'!$B315=L$2,'Atividades Micro'!$L315&lt;&gt;""),'Atividades Micro'!$L315,"")</f>
        <v/>
      </c>
      <c r="M265" s="21" t="str">
        <f>IF(AND('Atividades Micro'!$B315=M$2,'Atividades Micro'!$K315&lt;&gt;""),'Atividades Micro'!$K315,"")</f>
        <v/>
      </c>
      <c r="N265" s="21" t="str">
        <f>IF(AND('Atividades Micro'!$B315=N$2,'Atividades Micro'!$L315&lt;&gt;""),'Atividades Micro'!$L315,"")</f>
        <v/>
      </c>
      <c r="O265" s="21" t="str">
        <f>IF(AND('Atividades Micro'!$A315=O$2,'Atividades Micro'!$K315&lt;&gt;""),'Atividades Micro'!$K315,"")</f>
        <v/>
      </c>
      <c r="P265" s="21" t="str">
        <f>IF(AND('Atividades Micro'!$A315=P$2,'Atividades Micro'!$L315&lt;&gt;""),'Atividades Micro'!$L315,"")</f>
        <v/>
      </c>
      <c r="Q265" s="21" t="str">
        <f>IF(AND('Atividades Micro'!$B315=Q$2,'Atividades Micro'!$K315&lt;&gt;""),'Atividades Micro'!$K315,"")</f>
        <v/>
      </c>
      <c r="R265" s="21" t="str">
        <f>IF(AND('Atividades Micro'!$B315=R$2,'Atividades Micro'!$L315&lt;&gt;""),'Atividades Micro'!$L315,"")</f>
        <v/>
      </c>
      <c r="S265" s="21" t="str">
        <f>IF(AND('Atividades Micro'!$A315=S$2,'Atividades Micro'!$K315&lt;&gt;""),'Atividades Micro'!$K315,"")</f>
        <v/>
      </c>
      <c r="T265" s="21" t="str">
        <f>IF(AND('Atividades Micro'!$A315=T$2,'Atividades Micro'!$L315&lt;&gt;""),'Atividades Micro'!$L315,"")</f>
        <v/>
      </c>
      <c r="U265" s="21" t="str">
        <f>IF(AND('Atividades Micro'!$B315=U$2,'Atividades Micro'!$K315&lt;&gt;""),'Atividades Micro'!$K315,"")</f>
        <v/>
      </c>
      <c r="V265" s="21" t="str">
        <f>IF(AND('Atividades Micro'!$B315=V$2,'Atividades Micro'!$L315&lt;&gt;""),'Atividades Micro'!$L315,"")</f>
        <v/>
      </c>
      <c r="W265" s="21" t="str">
        <f>IF(AND('Atividades Micro'!$B315=W$2,'Atividades Micro'!$K315&lt;&gt;""),'Atividades Micro'!$K315,"")</f>
        <v/>
      </c>
      <c r="X265" s="21" t="str">
        <f>IF(AND('Atividades Micro'!$B315=X$2,'Atividades Micro'!$L315&lt;&gt;""),'Atividades Micro'!$L315,"")</f>
        <v/>
      </c>
      <c r="Y265" s="21" t="str">
        <f>IF(AND('Atividades Micro'!$A315=Y$2,'Atividades Micro'!$K315&lt;&gt;""),'Atividades Micro'!$K315,"")</f>
        <v/>
      </c>
      <c r="Z265" s="21" t="str">
        <f>IF(AND('Atividades Micro'!$A315=Z$2,'Atividades Micro'!$L315&lt;&gt;""),'Atividades Micro'!$L315,"")</f>
        <v/>
      </c>
      <c r="AA265" s="21" t="str">
        <f>IF(AND('Atividades Micro'!$B315=AA$2,'Atividades Micro'!$K315&lt;&gt;""),'Atividades Micro'!$K315,"")</f>
        <v/>
      </c>
      <c r="AB265" s="21" t="str">
        <f>IF(AND('Atividades Micro'!$B315=AB$2,'Atividades Micro'!$L315&lt;&gt;""),'Atividades Micro'!$L315,"")</f>
        <v/>
      </c>
      <c r="AC265" s="21" t="str">
        <f>IF(AND('Atividades Micro'!$B315=AC$2,'Atividades Micro'!$K315&lt;&gt;""),'Atividades Micro'!$K315,"")</f>
        <v/>
      </c>
      <c r="AD265" s="21" t="str">
        <f>IF(AND('Atividades Micro'!$B315=AD$2,'Atividades Micro'!$L315&lt;&gt;""),'Atividades Micro'!$L315,"")</f>
        <v/>
      </c>
      <c r="AE265" s="21" t="str">
        <f>IF(AND('Atividades Micro'!$A315=AE$2,'Atividades Micro'!$K315&lt;&gt;""),'Atividades Micro'!$K315,"")</f>
        <v/>
      </c>
      <c r="AF265" s="21" t="str">
        <f>IF(AND('Atividades Micro'!$A315=AF$2,'Atividades Micro'!$L315&lt;&gt;""),'Atividades Micro'!$L315,"")</f>
        <v/>
      </c>
      <c r="AG265" s="21" t="str">
        <f>IF(AND('Atividades Micro'!$B315=AG$2,'Atividades Micro'!$K315&lt;&gt;""),'Atividades Micro'!$K315,"")</f>
        <v/>
      </c>
      <c r="AH265" s="21" t="str">
        <f>IF(AND('Atividades Micro'!$B315=AH$2,'Atividades Micro'!$L315&lt;&gt;""),'Atividades Micro'!$L315,"")</f>
        <v/>
      </c>
      <c r="AI265" s="21" t="str">
        <f>IF(AND('Atividades Micro'!$B315=AI$2,'Atividades Micro'!$K315&lt;&gt;""),'Atividades Micro'!$K315,"")</f>
        <v/>
      </c>
      <c r="AJ265" s="21" t="str">
        <f>IF(AND('Atividades Micro'!$B315=AJ$2,'Atividades Micro'!$L315&lt;&gt;""),'Atividades Micro'!$L315,"")</f>
        <v/>
      </c>
      <c r="AK265" s="21" t="str">
        <f>IF(AND('Atividades Micro'!$A315=AK$2,'Atividades Micro'!$K315&lt;&gt;""),'Atividades Micro'!$K315,"")</f>
        <v/>
      </c>
      <c r="AL265" s="21" t="str">
        <f>IF(AND('Atividades Micro'!$A315=AL$2,'Atividades Micro'!$L315&lt;&gt;""),'Atividades Micro'!$L315,"")</f>
        <v/>
      </c>
      <c r="AM265" s="21" t="str">
        <f>IF(AND('Atividades Micro'!$B315=AM$2,'Atividades Micro'!$K315&lt;&gt;""),'Atividades Micro'!$K315,"")</f>
        <v/>
      </c>
      <c r="AN265" s="21" t="str">
        <f>IF(AND('Atividades Micro'!$B315=AN$2,'Atividades Micro'!$L315&lt;&gt;""),'Atividades Micro'!$L315,"")</f>
        <v/>
      </c>
      <c r="AO265" s="21" t="str">
        <f>IF(AND('Atividades Micro'!$B315=AO$2,'Atividades Micro'!$K315&lt;&gt;""),'Atividades Micro'!$K315,"")</f>
        <v/>
      </c>
      <c r="AP265" s="21" t="str">
        <f>IF(AND('Atividades Micro'!$B315=AP$2,'Atividades Micro'!$L315&lt;&gt;""),'Atividades Micro'!$L315,"")</f>
        <v/>
      </c>
      <c r="AQ265" s="21">
        <f>IF(AND('Atividades Micro'!$A315=AQ$2,'Atividades Micro'!$K315&lt;&gt;""),'Atividades Micro'!$K315,"")</f>
        <v>46342</v>
      </c>
      <c r="AR265" s="21" t="str">
        <f>IF(AND('Atividades Micro'!$A315=AR$2,'Atividades Micro'!$L315&lt;&gt;""),'Atividades Micro'!$L315,"")</f>
        <v/>
      </c>
      <c r="AS265" s="21">
        <f>IF(AND('Atividades Micro'!$B315=AS$2,'Atividades Micro'!$K315&lt;&gt;""),'Atividades Micro'!$K315,"")</f>
        <v>46342</v>
      </c>
      <c r="AT265" s="21" t="str">
        <f>IF(AND('Atividades Micro'!$B315=AT$2,'Atividades Micro'!$L315&lt;&gt;""),'Atividades Micro'!$L315,"")</f>
        <v/>
      </c>
      <c r="AU265" s="21" t="str">
        <f>IF(AND('Atividades Micro'!$A315=AU$2,'Atividades Micro'!$K315&lt;&gt;""),'Atividades Micro'!$K315,"")</f>
        <v/>
      </c>
      <c r="AV265" s="21" t="str">
        <f>IF(AND('Atividades Micro'!$A315=AV$2,'Atividades Micro'!$L315&lt;&gt;""),'Atividades Micro'!$L315,"")</f>
        <v/>
      </c>
      <c r="AW265" s="21" t="str">
        <f>IF(AND('Atividades Micro'!$B315=AW$2,'Atividades Micro'!$K315&lt;&gt;""),'Atividades Micro'!$K315,"")</f>
        <v/>
      </c>
      <c r="AX265" s="21" t="str">
        <f>IF(AND('Atividades Micro'!$B315=AX$2,'Atividades Micro'!$L315&lt;&gt;""),'Atividades Micro'!$L315,"")</f>
        <v/>
      </c>
      <c r="AY265" s="21" t="str">
        <f>IF(AND('Atividades Micro'!$A315=AY$2,'Atividades Micro'!$K315&lt;&gt;""),'Atividades Micro'!$K315,"")</f>
        <v/>
      </c>
      <c r="AZ265" s="21" t="str">
        <f>IF(AND('Atividades Micro'!$A315=AZ$2,'Atividades Micro'!$L315&lt;&gt;""),'Atividades Micro'!$L315,"")</f>
        <v/>
      </c>
      <c r="BA265" s="21" t="str">
        <f>IF(AND('Atividades Micro'!$B315=BA$2,'Atividades Micro'!$K315&lt;&gt;""),'Atividades Micro'!$K315,"")</f>
        <v/>
      </c>
      <c r="BB265" s="21" t="str">
        <f>IF(AND('Atividades Micro'!$B315=BB$2,'Atividades Micro'!$L315&lt;&gt;""),'Atividades Micro'!$L315,"")</f>
        <v/>
      </c>
      <c r="BC265" s="21" t="str">
        <f>IF(AND('Atividades Micro'!$B315=BC$2,'Atividades Micro'!$G315="Macro",'Atividades Micro'!$K315&lt;&gt;""),'Atividades Micro'!$K315,"")</f>
        <v/>
      </c>
      <c r="BD265" s="21" t="str">
        <f>IF(AND('Atividades Micro'!$B315=BD$2,'Atividades Micro'!$G315="Macro",'Atividades Micro'!$K315&lt;&gt;""),'Atividades Micro'!$K315,"")</f>
        <v/>
      </c>
      <c r="BE265" s="21" t="str">
        <f>IF(AND('Atividades Micro'!$B315=BE$2,'Atividades Micro'!$G315="Macro",'Atividades Micro'!$K315&lt;&gt;""),'Atividades Micro'!$K315,"")</f>
        <v/>
      </c>
      <c r="BF265" s="21" t="str">
        <f>IF(AND('Atividades Micro'!$B315=BF$2,'Atividades Micro'!$G315="Macro",'Atividades Micro'!$K315&lt;&gt;""),'Atividades Micro'!$K315,"")</f>
        <v/>
      </c>
      <c r="BG265" s="21" t="str">
        <f>IF(AND('Atividades Micro'!$B315=BG$2,'Atividades Micro'!$G315="Macro",'Atividades Micro'!$K315&lt;&gt;""),'Atividades Micro'!$K315,"")</f>
        <v/>
      </c>
      <c r="BH265" s="21" t="str">
        <f>IF(AND('Atividades Micro'!$B315=BH$2,'Atividades Micro'!$G315="Macro",'Atividades Micro'!$K315&lt;&gt;""),'Atividades Micro'!$K315,"")</f>
        <v/>
      </c>
      <c r="BI265" s="21" t="str">
        <f>IF(AND('Atividades Micro'!$B315=BI$2,'Atividades Micro'!$G315="Macro",'Atividades Micro'!$K315&lt;&gt;""),'Atividades Micro'!$K315,"")</f>
        <v/>
      </c>
      <c r="BJ265" s="21" t="str">
        <f>IF(AND('Atividades Micro'!$B315=BJ$2,'Atividades Micro'!$G315="Macro",'Atividades Micro'!$K315&lt;&gt;""),'Atividades Micro'!$K315,"")</f>
        <v/>
      </c>
      <c r="BK265" s="21" t="str">
        <f>IF(AND('Atividades Micro'!$B315=BK$2,'Atividades Micro'!$G315="Macro",'Atividades Micro'!$K315&lt;&gt;""),'Atividades Micro'!$K315,"")</f>
        <v/>
      </c>
      <c r="BL265" s="21" t="str">
        <f>IF(AND('Atividades Micro'!$B315=BL$2,'Atividades Micro'!$G315="Macro",'Atividades Micro'!$K315&lt;&gt;""),'Atividades Micro'!$K315,"")</f>
        <v/>
      </c>
      <c r="BM265" s="21" t="str">
        <f>IF(AND('Atividades Micro'!$B315=BM$2,'Atividades Micro'!$G315="Macro",'Atividades Micro'!$K315&lt;&gt;""),'Atividades Micro'!$K315,"")</f>
        <v/>
      </c>
      <c r="BN265" s="21" t="str">
        <f>IF(AND('Atividades Micro'!$B315=BN$2,'Atividades Micro'!$G315="Macro",'Atividades Micro'!$K315&lt;&gt;""),'Atividades Micro'!$K315,"")</f>
        <v/>
      </c>
      <c r="BO265" s="21" t="str">
        <f>IF(AND('Atividades Micro'!$B315=BO$2,'Atividades Micro'!$G315="Macro",'Atividades Micro'!$K315&lt;&gt;""),'Atividades Micro'!$K315,"")</f>
        <v/>
      </c>
      <c r="BP265" s="21" t="str">
        <f>IF(AND('Atividades Micro'!$B315=BP$2,'Atividades Micro'!$G315="Macro",'Atividades Micro'!$K315&lt;&gt;""),'Atividades Micro'!$K315,"")</f>
        <v/>
      </c>
      <c r="BQ265" s="21" t="str">
        <f>IF(AND('Atividades Micro'!$B315=BQ$2,'Atividades Micro'!$G315="Macro",'Atividades Micro'!$K315&lt;&gt;""),'Atividades Micro'!$K315,"")</f>
        <v/>
      </c>
      <c r="BR265" s="21" t="str">
        <f>IF(AND('Atividades Micro'!$B315=BR$2,'Atividades Micro'!$G315="Macro",'Atividades Micro'!$K315&lt;&gt;""),'Atividades Micro'!$K315,"")</f>
        <v/>
      </c>
      <c r="BS265" s="21" t="str">
        <f>IF(AND('Atividades Micro'!$B315=BS$2,'Atividades Micro'!$G315="Macro",'Atividades Micro'!$K315&lt;&gt;""),'Atividades Micro'!$K315,"")</f>
        <v/>
      </c>
      <c r="BT265" s="21" t="str">
        <f>IF(AND('Atividades Micro'!$B315=BT$2,'Atividades Micro'!$G315="Macro",'Atividades Micro'!$K315&lt;&gt;""),'Atividades Micro'!$K315,"")</f>
        <v/>
      </c>
      <c r="BU265" s="21" t="str">
        <f>IF(AND('Atividades Micro'!$B315=BU$2,'Atividades Micro'!$G315="Macro",'Atividades Micro'!$K315&lt;&gt;""),'Atividades Micro'!$K315,"")</f>
        <v/>
      </c>
      <c r="BV265" s="21" t="str">
        <f>IF(AND('Atividades Micro'!$B315=BV$2,'Atividades Micro'!$G315="Macro",'Atividades Micro'!$K315&lt;&gt;""),'Atividades Micro'!$K315,"")</f>
        <v/>
      </c>
      <c r="BW265" s="21" t="str">
        <f>IF(AND('Atividades Micro'!$B315=BW$2,'Atividades Micro'!$G315="Macro",'Atividades Micro'!$K315&lt;&gt;""),'Atividades Micro'!$K315,"")</f>
        <v/>
      </c>
      <c r="BX265" s="21" t="str">
        <f>IF(AND('Atividades Micro'!$B315=BX$2,'Atividades Micro'!$G315="Macro",'Atividades Micro'!$K315&lt;&gt;""),'Atividades Micro'!$K315,"")</f>
        <v/>
      </c>
      <c r="BY265" s="21" t="str">
        <f>IF(AND('Atividades Micro'!$B315=BY$2,'Atividades Micro'!$G315="Macro",'Atividades Micro'!$K315&lt;&gt;""),'Atividades Micro'!$K315,"")</f>
        <v/>
      </c>
      <c r="BZ265" s="21" t="str">
        <f>IF(AND('Atividades Micro'!$B315=BZ$2,'Atividades Micro'!$G315="Macro",'Atividades Micro'!$K315&lt;&gt;""),'Atividades Micro'!$K315,"")</f>
        <v/>
      </c>
      <c r="CA265" s="21" t="str">
        <f>IF(AND('Atividades Micro'!$B315=CA$2,'Atividades Micro'!$G315="Macro",'Atividades Micro'!$K315&lt;&gt;""),'Atividades Micro'!$K315,"")</f>
        <v/>
      </c>
      <c r="CB265" s="21" t="str">
        <f>IF(AND('Atividades Micro'!$B315=CB$2,'Atividades Micro'!$G315="Macro",'Atividades Micro'!$K315&lt;&gt;""),'Atividades Micro'!$K315,"")</f>
        <v/>
      </c>
      <c r="CC265" s="21" t="str">
        <f>IF(AND('Atividades Micro'!$B315=CC$2,'Atividades Micro'!$G315="Macro",'Atividades Micro'!$K315&lt;&gt;""),'Atividades Micro'!$K315,"")</f>
        <v/>
      </c>
      <c r="CD265" s="21" t="str">
        <f>IF(AND('Atividades Micro'!$B315=CD$2,'Atividades Micro'!$G315="Micro",'Atividades Micro'!$K315&lt;&gt;""),'Atividades Micro'!$K315,"")</f>
        <v/>
      </c>
      <c r="CE265" s="21" t="str">
        <f>IF(AND('Atividades Micro'!$B315=CE$2,'Atividades Micro'!$G315="Micro",'Atividades Micro'!$K315&lt;&gt;""),'Atividades Micro'!$K315,"")</f>
        <v/>
      </c>
      <c r="CF265" s="21" t="str">
        <f>IF(AND('Atividades Micro'!$B315=CF$2,'Atividades Micro'!$G315="Micro",'Atividades Micro'!$K315&lt;&gt;""),'Atividades Micro'!$K315,"")</f>
        <v/>
      </c>
      <c r="CG265" s="21" t="str">
        <f>IF(AND('Atividades Micro'!$B315=CG$2,'Atividades Micro'!$G315="Micro",'Atividades Micro'!$K315&lt;&gt;""),'Atividades Micro'!$K315,"")</f>
        <v/>
      </c>
      <c r="CH265" s="21" t="str">
        <f>IF(AND('Atividades Micro'!$B315=CH$2,'Atividades Micro'!$G315="Micro",'Atividades Micro'!$K315&lt;&gt;""),'Atividades Micro'!$K315,"")</f>
        <v/>
      </c>
      <c r="CI265" s="21" t="str">
        <f>IF(AND('Atividades Micro'!$B315=CI$2,'Atividades Micro'!$G315="Micro",'Atividades Micro'!$K315&lt;&gt;""),'Atividades Micro'!$K315,"")</f>
        <v/>
      </c>
      <c r="CJ265" s="21" t="str">
        <f>IF(AND('Atividades Micro'!$B315=CJ$2,'Atividades Micro'!$G315="Micro",'Atividades Micro'!$K315&lt;&gt;""),'Atividades Micro'!$K315,"")</f>
        <v/>
      </c>
      <c r="CK265" s="21" t="str">
        <f>IF(AND('Atividades Micro'!$B315=CK$2,'Atividades Micro'!$G315="Micro",'Atividades Micro'!$K315&lt;&gt;""),'Atividades Micro'!$K315,"")</f>
        <v/>
      </c>
      <c r="CL265" s="21" t="str">
        <f>IF(AND('Atividades Micro'!$B315=CL$2,'Atividades Micro'!$G315="Micro",'Atividades Micro'!$K315&lt;&gt;""),'Atividades Micro'!$K315,"")</f>
        <v/>
      </c>
      <c r="CM265" s="21" t="str">
        <f>IF(AND('Atividades Micro'!$B315=CM$2,'Atividades Micro'!$G315="Micro",'Atividades Micro'!$K315&lt;&gt;""),'Atividades Micro'!$K315,"")</f>
        <v/>
      </c>
      <c r="CN265" s="21" t="str">
        <f>IF(AND('Atividades Micro'!$B315=CN$2,'Atividades Micro'!$G315="Micro",'Atividades Micro'!$K315&lt;&gt;""),'Atividades Micro'!$K315,"")</f>
        <v/>
      </c>
      <c r="CO265" s="21" t="str">
        <f>IF(AND('Atividades Micro'!$B315=CO$2,'Atividades Micro'!$G315="Micro",'Atividades Micro'!$K315&lt;&gt;""),'Atividades Micro'!$K315,"")</f>
        <v/>
      </c>
    </row>
    <row r="266" spans="1:93">
      <c r="A266" s="21" t="str">
        <f>IF(AND('Atividades Micro'!$A317=A$2,'Atividades Micro'!$K317&lt;&gt;""),'Atividades Micro'!$K317,"")</f>
        <v/>
      </c>
      <c r="B266" s="21" t="str">
        <f>IF(AND('Atividades Micro'!$A317=B$2,'Atividades Micro'!$L317&lt;&gt;""),'Atividades Micro'!$L317,"")</f>
        <v/>
      </c>
      <c r="C266" s="21" t="str">
        <f>IF(AND('Atividades Micro'!$A317=C$2,'Atividades Micro'!$K317&lt;&gt;""),'Atividades Micro'!$K317,"")</f>
        <v/>
      </c>
      <c r="D266" s="21" t="str">
        <f>IF(AND('Atividades Micro'!$A317=D$2,'Atividades Micro'!$L317&lt;&gt;""),'Atividades Micro'!$L317,"")</f>
        <v/>
      </c>
      <c r="E266" s="21" t="str">
        <f>IF(AND('Atividades Micro'!$A317=E$2,'Atividades Micro'!$K317&lt;&gt;""),'Atividades Micro'!$K317,"")</f>
        <v/>
      </c>
      <c r="F266" s="21" t="str">
        <f>IF(AND('Atividades Micro'!$A317=F$2,'Atividades Micro'!$L317&lt;&gt;""),'Atividades Micro'!$L317,"")</f>
        <v/>
      </c>
      <c r="G266" s="21" t="str">
        <f>IF(AND('Atividades Micro'!$A317=G$2,'Atividades Micro'!$K317&lt;&gt;""),'Atividades Micro'!$K317,"")</f>
        <v/>
      </c>
      <c r="H266" s="21" t="str">
        <f>IF(AND('Atividades Micro'!$A317=H$2,'Atividades Micro'!$L317&lt;&gt;""),'Atividades Micro'!$L317,"")</f>
        <v/>
      </c>
      <c r="I266" s="21" t="str">
        <f>IF(AND('Atividades Micro'!$A317=I$2,'Atividades Micro'!$K317&lt;&gt;""),'Atividades Micro'!$K317,"")</f>
        <v/>
      </c>
      <c r="J266" s="21" t="str">
        <f>IF(AND('Atividades Micro'!$A317=J$2,'Atividades Micro'!$L317&lt;&gt;""),'Atividades Micro'!$L317,"")</f>
        <v/>
      </c>
      <c r="K266" s="21" t="str">
        <f>IF(AND('Atividades Micro'!$B317=K$2,'Atividades Micro'!$K317&lt;&gt;""),'Atividades Micro'!$K317,"")</f>
        <v/>
      </c>
      <c r="L266" s="21" t="str">
        <f>IF(AND('Atividades Micro'!$B317=L$2,'Atividades Micro'!$L317&lt;&gt;""),'Atividades Micro'!$L317,"")</f>
        <v/>
      </c>
      <c r="M266" s="21" t="str">
        <f>IF(AND('Atividades Micro'!$B317=M$2,'Atividades Micro'!$K317&lt;&gt;""),'Atividades Micro'!$K317,"")</f>
        <v/>
      </c>
      <c r="N266" s="21" t="str">
        <f>IF(AND('Atividades Micro'!$B317=N$2,'Atividades Micro'!$L317&lt;&gt;""),'Atividades Micro'!$L317,"")</f>
        <v/>
      </c>
      <c r="O266" s="21" t="str">
        <f>IF(AND('Atividades Micro'!$A317=O$2,'Atividades Micro'!$K317&lt;&gt;""),'Atividades Micro'!$K317,"")</f>
        <v/>
      </c>
      <c r="P266" s="21" t="str">
        <f>IF(AND('Atividades Micro'!$A317=P$2,'Atividades Micro'!$L317&lt;&gt;""),'Atividades Micro'!$L317,"")</f>
        <v/>
      </c>
      <c r="Q266" s="21" t="str">
        <f>IF(AND('Atividades Micro'!$B317=Q$2,'Atividades Micro'!$K317&lt;&gt;""),'Atividades Micro'!$K317,"")</f>
        <v/>
      </c>
      <c r="R266" s="21" t="str">
        <f>IF(AND('Atividades Micro'!$B317=R$2,'Atividades Micro'!$L317&lt;&gt;""),'Atividades Micro'!$L317,"")</f>
        <v/>
      </c>
      <c r="S266" s="21" t="str">
        <f>IF(AND('Atividades Micro'!$A317=S$2,'Atividades Micro'!$K317&lt;&gt;""),'Atividades Micro'!$K317,"")</f>
        <v/>
      </c>
      <c r="T266" s="21" t="str">
        <f>IF(AND('Atividades Micro'!$A317=T$2,'Atividades Micro'!$L317&lt;&gt;""),'Atividades Micro'!$L317,"")</f>
        <v/>
      </c>
      <c r="U266" s="21" t="str">
        <f>IF(AND('Atividades Micro'!$B317=U$2,'Atividades Micro'!$K317&lt;&gt;""),'Atividades Micro'!$K317,"")</f>
        <v/>
      </c>
      <c r="V266" s="21" t="str">
        <f>IF(AND('Atividades Micro'!$B317=V$2,'Atividades Micro'!$L317&lt;&gt;""),'Atividades Micro'!$L317,"")</f>
        <v/>
      </c>
      <c r="W266" s="21" t="str">
        <f>IF(AND('Atividades Micro'!$B317=W$2,'Atividades Micro'!$K317&lt;&gt;""),'Atividades Micro'!$K317,"")</f>
        <v/>
      </c>
      <c r="X266" s="21" t="str">
        <f>IF(AND('Atividades Micro'!$B317=X$2,'Atividades Micro'!$L317&lt;&gt;""),'Atividades Micro'!$L317,"")</f>
        <v/>
      </c>
      <c r="Y266" s="21" t="str">
        <f>IF(AND('Atividades Micro'!$A317=Y$2,'Atividades Micro'!$K317&lt;&gt;""),'Atividades Micro'!$K317,"")</f>
        <v/>
      </c>
      <c r="Z266" s="21" t="str">
        <f>IF(AND('Atividades Micro'!$A317=Z$2,'Atividades Micro'!$L317&lt;&gt;""),'Atividades Micro'!$L317,"")</f>
        <v/>
      </c>
      <c r="AA266" s="21" t="str">
        <f>IF(AND('Atividades Micro'!$B317=AA$2,'Atividades Micro'!$K317&lt;&gt;""),'Atividades Micro'!$K317,"")</f>
        <v/>
      </c>
      <c r="AB266" s="21" t="str">
        <f>IF(AND('Atividades Micro'!$B317=AB$2,'Atividades Micro'!$L317&lt;&gt;""),'Atividades Micro'!$L317,"")</f>
        <v/>
      </c>
      <c r="AC266" s="21" t="str">
        <f>IF(AND('Atividades Micro'!$B317=AC$2,'Atividades Micro'!$K317&lt;&gt;""),'Atividades Micro'!$K317,"")</f>
        <v/>
      </c>
      <c r="AD266" s="21" t="str">
        <f>IF(AND('Atividades Micro'!$B317=AD$2,'Atividades Micro'!$L317&lt;&gt;""),'Atividades Micro'!$L317,"")</f>
        <v/>
      </c>
      <c r="AE266" s="21" t="str">
        <f>IF(AND('Atividades Micro'!$A317=AE$2,'Atividades Micro'!$K317&lt;&gt;""),'Atividades Micro'!$K317,"")</f>
        <v/>
      </c>
      <c r="AF266" s="21" t="str">
        <f>IF(AND('Atividades Micro'!$A317=AF$2,'Atividades Micro'!$L317&lt;&gt;""),'Atividades Micro'!$L317,"")</f>
        <v/>
      </c>
      <c r="AG266" s="21" t="str">
        <f>IF(AND('Atividades Micro'!$B317=AG$2,'Atividades Micro'!$K317&lt;&gt;""),'Atividades Micro'!$K317,"")</f>
        <v/>
      </c>
      <c r="AH266" s="21" t="str">
        <f>IF(AND('Atividades Micro'!$B317=AH$2,'Atividades Micro'!$L317&lt;&gt;""),'Atividades Micro'!$L317,"")</f>
        <v/>
      </c>
      <c r="AI266" s="21" t="str">
        <f>IF(AND('Atividades Micro'!$B317=AI$2,'Atividades Micro'!$K317&lt;&gt;""),'Atividades Micro'!$K317,"")</f>
        <v/>
      </c>
      <c r="AJ266" s="21" t="str">
        <f>IF(AND('Atividades Micro'!$B317=AJ$2,'Atividades Micro'!$L317&lt;&gt;""),'Atividades Micro'!$L317,"")</f>
        <v/>
      </c>
      <c r="AK266" s="21" t="str">
        <f>IF(AND('Atividades Micro'!$A317=AK$2,'Atividades Micro'!$K317&lt;&gt;""),'Atividades Micro'!$K317,"")</f>
        <v/>
      </c>
      <c r="AL266" s="21" t="str">
        <f>IF(AND('Atividades Micro'!$A317=AL$2,'Atividades Micro'!$L317&lt;&gt;""),'Atividades Micro'!$L317,"")</f>
        <v/>
      </c>
      <c r="AM266" s="21" t="str">
        <f>IF(AND('Atividades Micro'!$B317=AM$2,'Atividades Micro'!$K317&lt;&gt;""),'Atividades Micro'!$K317,"")</f>
        <v/>
      </c>
      <c r="AN266" s="21" t="str">
        <f>IF(AND('Atividades Micro'!$B317=AN$2,'Atividades Micro'!$L317&lt;&gt;""),'Atividades Micro'!$L317,"")</f>
        <v/>
      </c>
      <c r="AO266" s="21" t="str">
        <f>IF(AND('Atividades Micro'!$B317=AO$2,'Atividades Micro'!$K317&lt;&gt;""),'Atividades Micro'!$K317,"")</f>
        <v/>
      </c>
      <c r="AP266" s="21" t="str">
        <f>IF(AND('Atividades Micro'!$B317=AP$2,'Atividades Micro'!$L317&lt;&gt;""),'Atividades Micro'!$L317,"")</f>
        <v/>
      </c>
      <c r="AQ266" s="21">
        <f>IF(AND('Atividades Micro'!$A317=AQ$2,'Atividades Micro'!$K317&lt;&gt;""),'Atividades Micro'!$K317,"")</f>
        <v>46303</v>
      </c>
      <c r="AR266" s="21" t="str">
        <f>IF(AND('Atividades Micro'!$A317=AR$2,'Atividades Micro'!$L317&lt;&gt;""),'Atividades Micro'!$L317,"")</f>
        <v/>
      </c>
      <c r="AS266" s="21">
        <f>IF(AND('Atividades Micro'!$B317=AS$2,'Atividades Micro'!$K317&lt;&gt;""),'Atividades Micro'!$K317,"")</f>
        <v>46303</v>
      </c>
      <c r="AT266" s="21" t="str">
        <f>IF(AND('Atividades Micro'!$B317=AT$2,'Atividades Micro'!$L317&lt;&gt;""),'Atividades Micro'!$L317,"")</f>
        <v/>
      </c>
      <c r="AU266" s="21" t="str">
        <f>IF(AND('Atividades Micro'!$A317=AU$2,'Atividades Micro'!$K317&lt;&gt;""),'Atividades Micro'!$K317,"")</f>
        <v/>
      </c>
      <c r="AV266" s="21" t="str">
        <f>IF(AND('Atividades Micro'!$A317=AV$2,'Atividades Micro'!$L317&lt;&gt;""),'Atividades Micro'!$L317,"")</f>
        <v/>
      </c>
      <c r="AW266" s="21" t="str">
        <f>IF(AND('Atividades Micro'!$B317=AW$2,'Atividades Micro'!$K317&lt;&gt;""),'Atividades Micro'!$K317,"")</f>
        <v/>
      </c>
      <c r="AX266" s="21" t="str">
        <f>IF(AND('Atividades Micro'!$B317=AX$2,'Atividades Micro'!$L317&lt;&gt;""),'Atividades Micro'!$L317,"")</f>
        <v/>
      </c>
      <c r="AY266" s="21" t="str">
        <f>IF(AND('Atividades Micro'!$A317=AY$2,'Atividades Micro'!$K317&lt;&gt;""),'Atividades Micro'!$K317,"")</f>
        <v/>
      </c>
      <c r="AZ266" s="21" t="str">
        <f>IF(AND('Atividades Micro'!$A317=AZ$2,'Atividades Micro'!$L317&lt;&gt;""),'Atividades Micro'!$L317,"")</f>
        <v/>
      </c>
      <c r="BA266" s="21" t="str">
        <f>IF(AND('Atividades Micro'!$B317=BA$2,'Atividades Micro'!$K317&lt;&gt;""),'Atividades Micro'!$K317,"")</f>
        <v/>
      </c>
      <c r="BB266" s="21" t="str">
        <f>IF(AND('Atividades Micro'!$B317=BB$2,'Atividades Micro'!$L317&lt;&gt;""),'Atividades Micro'!$L317,"")</f>
        <v/>
      </c>
      <c r="BC266" s="21" t="str">
        <f>IF(AND('Atividades Micro'!$B317=BC$2,'Atividades Micro'!$G317="Macro",'Atividades Micro'!$K317&lt;&gt;""),'Atividades Micro'!$K317,"")</f>
        <v/>
      </c>
      <c r="BD266" s="21" t="str">
        <f>IF(AND('Atividades Micro'!$B317=BD$2,'Atividades Micro'!$G317="Macro",'Atividades Micro'!$K317&lt;&gt;""),'Atividades Micro'!$K317,"")</f>
        <v/>
      </c>
      <c r="BE266" s="21" t="str">
        <f>IF(AND('Atividades Micro'!$B317=BE$2,'Atividades Micro'!$G317="Macro",'Atividades Micro'!$K317&lt;&gt;""),'Atividades Micro'!$K317,"")</f>
        <v/>
      </c>
      <c r="BF266" s="21" t="str">
        <f>IF(AND('Atividades Micro'!$B317=BF$2,'Atividades Micro'!$G317="Macro",'Atividades Micro'!$K317&lt;&gt;""),'Atividades Micro'!$K317,"")</f>
        <v/>
      </c>
      <c r="BG266" s="21" t="str">
        <f>IF(AND('Atividades Micro'!$B317=BG$2,'Atividades Micro'!$G317="Macro",'Atividades Micro'!$K317&lt;&gt;""),'Atividades Micro'!$K317,"")</f>
        <v/>
      </c>
      <c r="BH266" s="21" t="str">
        <f>IF(AND('Atividades Micro'!$B317=BH$2,'Atividades Micro'!$G317="Macro",'Atividades Micro'!$K317&lt;&gt;""),'Atividades Micro'!$K317,"")</f>
        <v/>
      </c>
      <c r="BI266" s="21" t="str">
        <f>IF(AND('Atividades Micro'!$B317=BI$2,'Atividades Micro'!$G317="Macro",'Atividades Micro'!$K317&lt;&gt;""),'Atividades Micro'!$K317,"")</f>
        <v/>
      </c>
      <c r="BJ266" s="21" t="str">
        <f>IF(AND('Atividades Micro'!$B317=BJ$2,'Atividades Micro'!$G317="Macro",'Atividades Micro'!$K317&lt;&gt;""),'Atividades Micro'!$K317,"")</f>
        <v/>
      </c>
      <c r="BK266" s="21" t="str">
        <f>IF(AND('Atividades Micro'!$B317=BK$2,'Atividades Micro'!$G317="Macro",'Atividades Micro'!$K317&lt;&gt;""),'Atividades Micro'!$K317,"")</f>
        <v/>
      </c>
      <c r="BL266" s="21" t="str">
        <f>IF(AND('Atividades Micro'!$B317=BL$2,'Atividades Micro'!$G317="Macro",'Atividades Micro'!$K317&lt;&gt;""),'Atividades Micro'!$K317,"")</f>
        <v/>
      </c>
      <c r="BM266" s="21" t="str">
        <f>IF(AND('Atividades Micro'!$B317=BM$2,'Atividades Micro'!$G317="Macro",'Atividades Micro'!$K317&lt;&gt;""),'Atividades Micro'!$K317,"")</f>
        <v/>
      </c>
      <c r="BN266" s="21" t="str">
        <f>IF(AND('Atividades Micro'!$B317=BN$2,'Atividades Micro'!$G317="Macro",'Atividades Micro'!$K317&lt;&gt;""),'Atividades Micro'!$K317,"")</f>
        <v/>
      </c>
      <c r="BO266" s="21" t="str">
        <f>IF(AND('Atividades Micro'!$B317=BO$2,'Atividades Micro'!$G317="Macro",'Atividades Micro'!$K317&lt;&gt;""),'Atividades Micro'!$K317,"")</f>
        <v/>
      </c>
      <c r="BP266" s="21" t="str">
        <f>IF(AND('Atividades Micro'!$B317=BP$2,'Atividades Micro'!$G317="Macro",'Atividades Micro'!$K317&lt;&gt;""),'Atividades Micro'!$K317,"")</f>
        <v/>
      </c>
      <c r="BQ266" s="21" t="str">
        <f>IF(AND('Atividades Micro'!$B317=BQ$2,'Atividades Micro'!$G317="Macro",'Atividades Micro'!$K317&lt;&gt;""),'Atividades Micro'!$K317,"")</f>
        <v/>
      </c>
      <c r="BR266" s="21" t="str">
        <f>IF(AND('Atividades Micro'!$B317=BR$2,'Atividades Micro'!$G317="Macro",'Atividades Micro'!$K317&lt;&gt;""),'Atividades Micro'!$K317,"")</f>
        <v/>
      </c>
      <c r="BS266" s="21" t="str">
        <f>IF(AND('Atividades Micro'!$B317=BS$2,'Atividades Micro'!$G317="Macro",'Atividades Micro'!$K317&lt;&gt;""),'Atividades Micro'!$K317,"")</f>
        <v/>
      </c>
      <c r="BT266" s="21" t="str">
        <f>IF(AND('Atividades Micro'!$B317=BT$2,'Atividades Micro'!$G317="Macro",'Atividades Micro'!$K317&lt;&gt;""),'Atividades Micro'!$K317,"")</f>
        <v/>
      </c>
      <c r="BU266" s="21" t="str">
        <f>IF(AND('Atividades Micro'!$B317=BU$2,'Atividades Micro'!$G317="Macro",'Atividades Micro'!$K317&lt;&gt;""),'Atividades Micro'!$K317,"")</f>
        <v/>
      </c>
      <c r="BV266" s="21" t="str">
        <f>IF(AND('Atividades Micro'!$B317=BV$2,'Atividades Micro'!$G317="Macro",'Atividades Micro'!$K317&lt;&gt;""),'Atividades Micro'!$K317,"")</f>
        <v/>
      </c>
      <c r="BW266" s="21" t="str">
        <f>IF(AND('Atividades Micro'!$B317=BW$2,'Atividades Micro'!$G317="Macro",'Atividades Micro'!$K317&lt;&gt;""),'Atividades Micro'!$K317,"")</f>
        <v/>
      </c>
      <c r="BX266" s="21" t="str">
        <f>IF(AND('Atividades Micro'!$B317=BX$2,'Atividades Micro'!$G317="Macro",'Atividades Micro'!$K317&lt;&gt;""),'Atividades Micro'!$K317,"")</f>
        <v/>
      </c>
      <c r="BY266" s="21" t="str">
        <f>IF(AND('Atividades Micro'!$B317=BY$2,'Atividades Micro'!$G317="Macro",'Atividades Micro'!$K317&lt;&gt;""),'Atividades Micro'!$K317,"")</f>
        <v/>
      </c>
      <c r="BZ266" s="21" t="str">
        <f>IF(AND('Atividades Micro'!$B317=BZ$2,'Atividades Micro'!$G317="Macro",'Atividades Micro'!$K317&lt;&gt;""),'Atividades Micro'!$K317,"")</f>
        <v/>
      </c>
      <c r="CA266" s="21" t="str">
        <f>IF(AND('Atividades Micro'!$B317=CA$2,'Atividades Micro'!$G317="Macro",'Atividades Micro'!$K317&lt;&gt;""),'Atividades Micro'!$K317,"")</f>
        <v/>
      </c>
      <c r="CB266" s="21" t="str">
        <f>IF(AND('Atividades Micro'!$B317=CB$2,'Atividades Micro'!$G317="Macro",'Atividades Micro'!$K317&lt;&gt;""),'Atividades Micro'!$K317,"")</f>
        <v/>
      </c>
      <c r="CC266" s="21" t="str">
        <f>IF(AND('Atividades Micro'!$B317=CC$2,'Atividades Micro'!$G317="Macro",'Atividades Micro'!$K317&lt;&gt;""),'Atividades Micro'!$K317,"")</f>
        <v/>
      </c>
      <c r="CD266" s="21" t="str">
        <f>IF(AND('Atividades Micro'!$B317=CD$2,'Atividades Micro'!$G317="Micro",'Atividades Micro'!$K317&lt;&gt;""),'Atividades Micro'!$K317,"")</f>
        <v/>
      </c>
      <c r="CE266" s="21" t="str">
        <f>IF(AND('Atividades Micro'!$B317=CE$2,'Atividades Micro'!$G317="Micro",'Atividades Micro'!$K317&lt;&gt;""),'Atividades Micro'!$K317,"")</f>
        <v/>
      </c>
      <c r="CF266" s="21" t="str">
        <f>IF(AND('Atividades Micro'!$B317=CF$2,'Atividades Micro'!$G317="Micro",'Atividades Micro'!$K317&lt;&gt;""),'Atividades Micro'!$K317,"")</f>
        <v/>
      </c>
      <c r="CG266" s="21" t="str">
        <f>IF(AND('Atividades Micro'!$B317=CG$2,'Atividades Micro'!$G317="Micro",'Atividades Micro'!$K317&lt;&gt;""),'Atividades Micro'!$K317,"")</f>
        <v/>
      </c>
      <c r="CH266" s="21" t="str">
        <f>IF(AND('Atividades Micro'!$B317=CH$2,'Atividades Micro'!$G317="Micro",'Atividades Micro'!$K317&lt;&gt;""),'Atividades Micro'!$K317,"")</f>
        <v/>
      </c>
      <c r="CI266" s="21" t="str">
        <f>IF(AND('Atividades Micro'!$B317=CI$2,'Atividades Micro'!$G317="Micro",'Atividades Micro'!$K317&lt;&gt;""),'Atividades Micro'!$K317,"")</f>
        <v/>
      </c>
      <c r="CJ266" s="21" t="str">
        <f>IF(AND('Atividades Micro'!$B317=CJ$2,'Atividades Micro'!$G317="Micro",'Atividades Micro'!$K317&lt;&gt;""),'Atividades Micro'!$K317,"")</f>
        <v/>
      </c>
      <c r="CK266" s="21" t="str">
        <f>IF(AND('Atividades Micro'!$B317=CK$2,'Atividades Micro'!$G317="Micro",'Atividades Micro'!$K317&lt;&gt;""),'Atividades Micro'!$K317,"")</f>
        <v/>
      </c>
      <c r="CL266" s="21" t="str">
        <f>IF(AND('Atividades Micro'!$B317=CL$2,'Atividades Micro'!$G317="Micro",'Atividades Micro'!$K317&lt;&gt;""),'Atividades Micro'!$K317,"")</f>
        <v/>
      </c>
      <c r="CM266" s="21" t="str">
        <f>IF(AND('Atividades Micro'!$B317=CM$2,'Atividades Micro'!$G317="Micro",'Atividades Micro'!$K317&lt;&gt;""),'Atividades Micro'!$K317,"")</f>
        <v/>
      </c>
      <c r="CN266" s="21" t="str">
        <f>IF(AND('Atividades Micro'!$B317=CN$2,'Atividades Micro'!$G317="Micro",'Atividades Micro'!$K317&lt;&gt;""),'Atividades Micro'!$K317,"")</f>
        <v/>
      </c>
      <c r="CO266" s="21" t="str">
        <f>IF(AND('Atividades Micro'!$B317=CO$2,'Atividades Micro'!$G317="Micro",'Atividades Micro'!$K317&lt;&gt;""),'Atividades Micro'!$K317,"")</f>
        <v/>
      </c>
    </row>
    <row r="267" spans="1:93">
      <c r="A267" s="21" t="str">
        <f>IF(AND('Atividades Micro'!$A319=A$2,'Atividades Micro'!$K319&lt;&gt;""),'Atividades Micro'!$K319,"")</f>
        <v/>
      </c>
      <c r="B267" s="21" t="str">
        <f>IF(AND('Atividades Micro'!$A319=B$2,'Atividades Micro'!$L319&lt;&gt;""),'Atividades Micro'!$L319,"")</f>
        <v/>
      </c>
      <c r="C267" s="21" t="str">
        <f>IF(AND('Atividades Micro'!$A319=C$2,'Atividades Micro'!$K319&lt;&gt;""),'Atividades Micro'!$K319,"")</f>
        <v/>
      </c>
      <c r="D267" s="21" t="str">
        <f>IF(AND('Atividades Micro'!$A319=D$2,'Atividades Micro'!$L319&lt;&gt;""),'Atividades Micro'!$L319,"")</f>
        <v/>
      </c>
      <c r="E267" s="21" t="str">
        <f>IF(AND('Atividades Micro'!$A319=E$2,'Atividades Micro'!$K319&lt;&gt;""),'Atividades Micro'!$K319,"")</f>
        <v/>
      </c>
      <c r="F267" s="21" t="str">
        <f>IF(AND('Atividades Micro'!$A319=F$2,'Atividades Micro'!$L319&lt;&gt;""),'Atividades Micro'!$L319,"")</f>
        <v/>
      </c>
      <c r="G267" s="21" t="str">
        <f>IF(AND('Atividades Micro'!$A319=G$2,'Atividades Micro'!$K319&lt;&gt;""),'Atividades Micro'!$K319,"")</f>
        <v/>
      </c>
      <c r="H267" s="21" t="str">
        <f>IF(AND('Atividades Micro'!$A319=H$2,'Atividades Micro'!$L319&lt;&gt;""),'Atividades Micro'!$L319,"")</f>
        <v/>
      </c>
      <c r="I267" s="21" t="str">
        <f>IF(AND('Atividades Micro'!$A319=I$2,'Atividades Micro'!$K319&lt;&gt;""),'Atividades Micro'!$K319,"")</f>
        <v/>
      </c>
      <c r="J267" s="21" t="str">
        <f>IF(AND('Atividades Micro'!$A319=J$2,'Atividades Micro'!$L319&lt;&gt;""),'Atividades Micro'!$L319,"")</f>
        <v/>
      </c>
      <c r="K267" s="21" t="str">
        <f>IF(AND('Atividades Micro'!$B319=K$2,'Atividades Micro'!$K319&lt;&gt;""),'Atividades Micro'!$K319,"")</f>
        <v/>
      </c>
      <c r="L267" s="21" t="str">
        <f>IF(AND('Atividades Micro'!$B319=L$2,'Atividades Micro'!$L319&lt;&gt;""),'Atividades Micro'!$L319,"")</f>
        <v/>
      </c>
      <c r="M267" s="21" t="str">
        <f>IF(AND('Atividades Micro'!$B319=M$2,'Atividades Micro'!$K319&lt;&gt;""),'Atividades Micro'!$K319,"")</f>
        <v/>
      </c>
      <c r="N267" s="21" t="str">
        <f>IF(AND('Atividades Micro'!$B319=N$2,'Atividades Micro'!$L319&lt;&gt;""),'Atividades Micro'!$L319,"")</f>
        <v/>
      </c>
      <c r="O267" s="21" t="str">
        <f>IF(AND('Atividades Micro'!$A319=O$2,'Atividades Micro'!$K319&lt;&gt;""),'Atividades Micro'!$K319,"")</f>
        <v/>
      </c>
      <c r="P267" s="21" t="str">
        <f>IF(AND('Atividades Micro'!$A319=P$2,'Atividades Micro'!$L319&lt;&gt;""),'Atividades Micro'!$L319,"")</f>
        <v/>
      </c>
      <c r="Q267" s="21" t="str">
        <f>IF(AND('Atividades Micro'!$B319=Q$2,'Atividades Micro'!$K319&lt;&gt;""),'Atividades Micro'!$K319,"")</f>
        <v/>
      </c>
      <c r="R267" s="21" t="str">
        <f>IF(AND('Atividades Micro'!$B319=R$2,'Atividades Micro'!$L319&lt;&gt;""),'Atividades Micro'!$L319,"")</f>
        <v/>
      </c>
      <c r="S267" s="21" t="str">
        <f>IF(AND('Atividades Micro'!$A319=S$2,'Atividades Micro'!$K319&lt;&gt;""),'Atividades Micro'!$K319,"")</f>
        <v/>
      </c>
      <c r="T267" s="21" t="str">
        <f>IF(AND('Atividades Micro'!$A319=T$2,'Atividades Micro'!$L319&lt;&gt;""),'Atividades Micro'!$L319,"")</f>
        <v/>
      </c>
      <c r="U267" s="21" t="str">
        <f>IF(AND('Atividades Micro'!$B319=U$2,'Atividades Micro'!$K319&lt;&gt;""),'Atividades Micro'!$K319,"")</f>
        <v/>
      </c>
      <c r="V267" s="21" t="str">
        <f>IF(AND('Atividades Micro'!$B319=V$2,'Atividades Micro'!$L319&lt;&gt;""),'Atividades Micro'!$L319,"")</f>
        <v/>
      </c>
      <c r="W267" s="21" t="str">
        <f>IF(AND('Atividades Micro'!$B319=W$2,'Atividades Micro'!$K319&lt;&gt;""),'Atividades Micro'!$K319,"")</f>
        <v/>
      </c>
      <c r="X267" s="21" t="str">
        <f>IF(AND('Atividades Micro'!$B319=X$2,'Atividades Micro'!$L319&lt;&gt;""),'Atividades Micro'!$L319,"")</f>
        <v/>
      </c>
      <c r="Y267" s="21" t="str">
        <f>IF(AND('Atividades Micro'!$A319=Y$2,'Atividades Micro'!$K319&lt;&gt;""),'Atividades Micro'!$K319,"")</f>
        <v/>
      </c>
      <c r="Z267" s="21" t="str">
        <f>IF(AND('Atividades Micro'!$A319=Z$2,'Atividades Micro'!$L319&lt;&gt;""),'Atividades Micro'!$L319,"")</f>
        <v/>
      </c>
      <c r="AA267" s="21" t="str">
        <f>IF(AND('Atividades Micro'!$B319=AA$2,'Atividades Micro'!$K319&lt;&gt;""),'Atividades Micro'!$K319,"")</f>
        <v/>
      </c>
      <c r="AB267" s="21" t="str">
        <f>IF(AND('Atividades Micro'!$B319=AB$2,'Atividades Micro'!$L319&lt;&gt;""),'Atividades Micro'!$L319,"")</f>
        <v/>
      </c>
      <c r="AC267" s="21" t="str">
        <f>IF(AND('Atividades Micro'!$B319=AC$2,'Atividades Micro'!$K319&lt;&gt;""),'Atividades Micro'!$K319,"")</f>
        <v/>
      </c>
      <c r="AD267" s="21" t="str">
        <f>IF(AND('Atividades Micro'!$B319=AD$2,'Atividades Micro'!$L319&lt;&gt;""),'Atividades Micro'!$L319,"")</f>
        <v/>
      </c>
      <c r="AE267" s="21" t="str">
        <f>IF(AND('Atividades Micro'!$A319=AE$2,'Atividades Micro'!$K319&lt;&gt;""),'Atividades Micro'!$K319,"")</f>
        <v/>
      </c>
      <c r="AF267" s="21" t="str">
        <f>IF(AND('Atividades Micro'!$A319=AF$2,'Atividades Micro'!$L319&lt;&gt;""),'Atividades Micro'!$L319,"")</f>
        <v/>
      </c>
      <c r="AG267" s="21" t="str">
        <f>IF(AND('Atividades Micro'!$B319=AG$2,'Atividades Micro'!$K319&lt;&gt;""),'Atividades Micro'!$K319,"")</f>
        <v/>
      </c>
      <c r="AH267" s="21" t="str">
        <f>IF(AND('Atividades Micro'!$B319=AH$2,'Atividades Micro'!$L319&lt;&gt;""),'Atividades Micro'!$L319,"")</f>
        <v/>
      </c>
      <c r="AI267" s="21" t="str">
        <f>IF(AND('Atividades Micro'!$B319=AI$2,'Atividades Micro'!$K319&lt;&gt;""),'Atividades Micro'!$K319,"")</f>
        <v/>
      </c>
      <c r="AJ267" s="21" t="str">
        <f>IF(AND('Atividades Micro'!$B319=AJ$2,'Atividades Micro'!$L319&lt;&gt;""),'Atividades Micro'!$L319,"")</f>
        <v/>
      </c>
      <c r="AK267" s="21" t="str">
        <f>IF(AND('Atividades Micro'!$A319=AK$2,'Atividades Micro'!$K319&lt;&gt;""),'Atividades Micro'!$K319,"")</f>
        <v/>
      </c>
      <c r="AL267" s="21" t="str">
        <f>IF(AND('Atividades Micro'!$A319=AL$2,'Atividades Micro'!$L319&lt;&gt;""),'Atividades Micro'!$L319,"")</f>
        <v/>
      </c>
      <c r="AM267" s="21" t="str">
        <f>IF(AND('Atividades Micro'!$B319=AM$2,'Atividades Micro'!$K319&lt;&gt;""),'Atividades Micro'!$K319,"")</f>
        <v/>
      </c>
      <c r="AN267" s="21" t="str">
        <f>IF(AND('Atividades Micro'!$B319=AN$2,'Atividades Micro'!$L319&lt;&gt;""),'Atividades Micro'!$L319,"")</f>
        <v/>
      </c>
      <c r="AO267" s="21" t="str">
        <f>IF(AND('Atividades Micro'!$B319=AO$2,'Atividades Micro'!$K319&lt;&gt;""),'Atividades Micro'!$K319,"")</f>
        <v/>
      </c>
      <c r="AP267" s="21" t="str">
        <f>IF(AND('Atividades Micro'!$B319=AP$2,'Atividades Micro'!$L319&lt;&gt;""),'Atividades Micro'!$L319,"")</f>
        <v/>
      </c>
      <c r="AQ267" s="21" t="str">
        <f>IF(AND('Atividades Micro'!$A319=AQ$2,'Atividades Micro'!$K319&lt;&gt;""),'Atividades Micro'!$K319,"")</f>
        <v/>
      </c>
      <c r="AR267" s="21" t="str">
        <f>IF(AND('Atividades Micro'!$A319=AR$2,'Atividades Micro'!$L319&lt;&gt;""),'Atividades Micro'!$L319,"")</f>
        <v/>
      </c>
      <c r="AS267" s="21" t="str">
        <f>IF(AND('Atividades Micro'!$B319=AS$2,'Atividades Micro'!$K319&lt;&gt;""),'Atividades Micro'!$K319,"")</f>
        <v/>
      </c>
      <c r="AT267" s="21" t="str">
        <f>IF(AND('Atividades Micro'!$B319=AT$2,'Atividades Micro'!$L319&lt;&gt;""),'Atividades Micro'!$L319,"")</f>
        <v/>
      </c>
      <c r="AU267" s="21">
        <f>IF(AND('Atividades Micro'!$A319=AU$2,'Atividades Micro'!$K319&lt;&gt;""),'Atividades Micro'!$K319,"")</f>
        <v>46188</v>
      </c>
      <c r="AV267" s="21" t="str">
        <f>IF(AND('Atividades Micro'!$A319=AV$2,'Atividades Micro'!$L319&lt;&gt;""),'Atividades Micro'!$L319,"")</f>
        <v/>
      </c>
      <c r="AW267" s="21">
        <f>IF(AND('Atividades Micro'!$B319=AW$2,'Atividades Micro'!$K319&lt;&gt;""),'Atividades Micro'!$K319,"")</f>
        <v>46188</v>
      </c>
      <c r="AX267" s="21" t="str">
        <f>IF(AND('Atividades Micro'!$B319=AX$2,'Atividades Micro'!$L319&lt;&gt;""),'Atividades Micro'!$L319,"")</f>
        <v/>
      </c>
      <c r="AY267" s="21" t="str">
        <f>IF(AND('Atividades Micro'!$A319=AY$2,'Atividades Micro'!$K319&lt;&gt;""),'Atividades Micro'!$K319,"")</f>
        <v/>
      </c>
      <c r="AZ267" s="21" t="str">
        <f>IF(AND('Atividades Micro'!$A319=AZ$2,'Atividades Micro'!$L319&lt;&gt;""),'Atividades Micro'!$L319,"")</f>
        <v/>
      </c>
      <c r="BA267" s="21" t="str">
        <f>IF(AND('Atividades Micro'!$B319=BA$2,'Atividades Micro'!$K319&lt;&gt;""),'Atividades Micro'!$K319,"")</f>
        <v/>
      </c>
      <c r="BB267" s="21" t="str">
        <f>IF(AND('Atividades Micro'!$B319=BB$2,'Atividades Micro'!$L319&lt;&gt;""),'Atividades Micro'!$L319,"")</f>
        <v/>
      </c>
      <c r="BC267" s="21" t="str">
        <f>IF(AND('Atividades Micro'!$B319=BC$2,'Atividades Micro'!$G319="Macro",'Atividades Micro'!$K319&lt;&gt;""),'Atividades Micro'!$K319,"")</f>
        <v/>
      </c>
      <c r="BD267" s="21" t="str">
        <f>IF(AND('Atividades Micro'!$B319=BD$2,'Atividades Micro'!$G319="Macro",'Atividades Micro'!$K319&lt;&gt;""),'Atividades Micro'!$K319,"")</f>
        <v/>
      </c>
      <c r="BE267" s="21" t="str">
        <f>IF(AND('Atividades Micro'!$B319=BE$2,'Atividades Micro'!$G319="Macro",'Atividades Micro'!$K319&lt;&gt;""),'Atividades Micro'!$K319,"")</f>
        <v/>
      </c>
      <c r="BF267" s="21" t="str">
        <f>IF(AND('Atividades Micro'!$B319=BF$2,'Atividades Micro'!$G319="Macro",'Atividades Micro'!$K319&lt;&gt;""),'Atividades Micro'!$K319,"")</f>
        <v/>
      </c>
      <c r="BG267" s="21" t="str">
        <f>IF(AND('Atividades Micro'!$B319=BG$2,'Atividades Micro'!$G319="Macro",'Atividades Micro'!$K319&lt;&gt;""),'Atividades Micro'!$K319,"")</f>
        <v/>
      </c>
      <c r="BH267" s="21" t="str">
        <f>IF(AND('Atividades Micro'!$B319=BH$2,'Atividades Micro'!$G319="Macro",'Atividades Micro'!$K319&lt;&gt;""),'Atividades Micro'!$K319,"")</f>
        <v/>
      </c>
      <c r="BI267" s="21" t="str">
        <f>IF(AND('Atividades Micro'!$B319=BI$2,'Atividades Micro'!$G319="Macro",'Atividades Micro'!$K319&lt;&gt;""),'Atividades Micro'!$K319,"")</f>
        <v/>
      </c>
      <c r="BJ267" s="21" t="str">
        <f>IF(AND('Atividades Micro'!$B319=BJ$2,'Atividades Micro'!$G319="Macro",'Atividades Micro'!$K319&lt;&gt;""),'Atividades Micro'!$K319,"")</f>
        <v/>
      </c>
      <c r="BK267" s="21" t="str">
        <f>IF(AND('Atividades Micro'!$B319=BK$2,'Atividades Micro'!$G319="Macro",'Atividades Micro'!$K319&lt;&gt;""),'Atividades Micro'!$K319,"")</f>
        <v/>
      </c>
      <c r="BL267" s="21" t="str">
        <f>IF(AND('Atividades Micro'!$B319=BL$2,'Atividades Micro'!$G319="Macro",'Atividades Micro'!$K319&lt;&gt;""),'Atividades Micro'!$K319,"")</f>
        <v/>
      </c>
      <c r="BM267" s="21" t="str">
        <f>IF(AND('Atividades Micro'!$B319=BM$2,'Atividades Micro'!$G319="Macro",'Atividades Micro'!$K319&lt;&gt;""),'Atividades Micro'!$K319,"")</f>
        <v/>
      </c>
      <c r="BN267" s="21" t="str">
        <f>IF(AND('Atividades Micro'!$B319=BN$2,'Atividades Micro'!$G319="Macro",'Atividades Micro'!$K319&lt;&gt;""),'Atividades Micro'!$K319,"")</f>
        <v/>
      </c>
      <c r="BO267" s="21" t="str">
        <f>IF(AND('Atividades Micro'!$B319=BO$2,'Atividades Micro'!$G319="Macro",'Atividades Micro'!$K319&lt;&gt;""),'Atividades Micro'!$K319,"")</f>
        <v/>
      </c>
      <c r="BP267" s="21" t="str">
        <f>IF(AND('Atividades Micro'!$B319=BP$2,'Atividades Micro'!$G319="Macro",'Atividades Micro'!$K319&lt;&gt;""),'Atividades Micro'!$K319,"")</f>
        <v/>
      </c>
      <c r="BQ267" s="21" t="str">
        <f>IF(AND('Atividades Micro'!$B319=BQ$2,'Atividades Micro'!$G319="Macro",'Atividades Micro'!$K319&lt;&gt;""),'Atividades Micro'!$K319,"")</f>
        <v/>
      </c>
      <c r="BR267" s="21" t="str">
        <f>IF(AND('Atividades Micro'!$B319=BR$2,'Atividades Micro'!$G319="Macro",'Atividades Micro'!$K319&lt;&gt;""),'Atividades Micro'!$K319,"")</f>
        <v/>
      </c>
      <c r="BS267" s="21" t="str">
        <f>IF(AND('Atividades Micro'!$B319=BS$2,'Atividades Micro'!$G319="Macro",'Atividades Micro'!$K319&lt;&gt;""),'Atividades Micro'!$K319,"")</f>
        <v/>
      </c>
      <c r="BT267" s="21" t="str">
        <f>IF(AND('Atividades Micro'!$B319=BT$2,'Atividades Micro'!$G319="Macro",'Atividades Micro'!$K319&lt;&gt;""),'Atividades Micro'!$K319,"")</f>
        <v/>
      </c>
      <c r="BU267" s="21" t="str">
        <f>IF(AND('Atividades Micro'!$B319=BU$2,'Atividades Micro'!$G319="Macro",'Atividades Micro'!$K319&lt;&gt;""),'Atividades Micro'!$K319,"")</f>
        <v/>
      </c>
      <c r="BV267" s="21" t="str">
        <f>IF(AND('Atividades Micro'!$B319=BV$2,'Atividades Micro'!$G319="Macro",'Atividades Micro'!$K319&lt;&gt;""),'Atividades Micro'!$K319,"")</f>
        <v/>
      </c>
      <c r="BW267" s="21" t="str">
        <f>IF(AND('Atividades Micro'!$B319=BW$2,'Atividades Micro'!$G319="Macro",'Atividades Micro'!$K319&lt;&gt;""),'Atividades Micro'!$K319,"")</f>
        <v/>
      </c>
      <c r="BX267" s="21" t="str">
        <f>IF(AND('Atividades Micro'!$B319=BX$2,'Atividades Micro'!$G319="Macro",'Atividades Micro'!$K319&lt;&gt;""),'Atividades Micro'!$K319,"")</f>
        <v/>
      </c>
      <c r="BY267" s="21" t="str">
        <f>IF(AND('Atividades Micro'!$B319=BY$2,'Atividades Micro'!$G319="Macro",'Atividades Micro'!$K319&lt;&gt;""),'Atividades Micro'!$K319,"")</f>
        <v/>
      </c>
      <c r="BZ267" s="21" t="str">
        <f>IF(AND('Atividades Micro'!$B319=BZ$2,'Atividades Micro'!$G319="Macro",'Atividades Micro'!$K319&lt;&gt;""),'Atividades Micro'!$K319,"")</f>
        <v/>
      </c>
      <c r="CA267" s="21" t="str">
        <f>IF(AND('Atividades Micro'!$B319=CA$2,'Atividades Micro'!$G319="Macro",'Atividades Micro'!$K319&lt;&gt;""),'Atividades Micro'!$K319,"")</f>
        <v/>
      </c>
      <c r="CB267" s="21" t="str">
        <f>IF(AND('Atividades Micro'!$B319=CB$2,'Atividades Micro'!$G319="Macro",'Atividades Micro'!$K319&lt;&gt;""),'Atividades Micro'!$K319,"")</f>
        <v/>
      </c>
      <c r="CC267" s="21" t="str">
        <f>IF(AND('Atividades Micro'!$B319=CC$2,'Atividades Micro'!$G319="Macro",'Atividades Micro'!$K319&lt;&gt;""),'Atividades Micro'!$K319,"")</f>
        <v/>
      </c>
      <c r="CD267" s="21" t="str">
        <f>IF(AND('Atividades Micro'!$B319=CD$2,'Atividades Micro'!$G319="Micro",'Atividades Micro'!$K319&lt;&gt;""),'Atividades Micro'!$K319,"")</f>
        <v/>
      </c>
      <c r="CE267" s="21" t="str">
        <f>IF(AND('Atividades Micro'!$B319=CE$2,'Atividades Micro'!$G319="Micro",'Atividades Micro'!$K319&lt;&gt;""),'Atividades Micro'!$K319,"")</f>
        <v/>
      </c>
      <c r="CF267" s="21" t="str">
        <f>IF(AND('Atividades Micro'!$B319=CF$2,'Atividades Micro'!$G319="Micro",'Atividades Micro'!$K319&lt;&gt;""),'Atividades Micro'!$K319,"")</f>
        <v/>
      </c>
      <c r="CG267" s="21" t="str">
        <f>IF(AND('Atividades Micro'!$B319=CG$2,'Atividades Micro'!$G319="Micro",'Atividades Micro'!$K319&lt;&gt;""),'Atividades Micro'!$K319,"")</f>
        <v/>
      </c>
      <c r="CH267" s="21" t="str">
        <f>IF(AND('Atividades Micro'!$B319=CH$2,'Atividades Micro'!$G319="Micro",'Atividades Micro'!$K319&lt;&gt;""),'Atividades Micro'!$K319,"")</f>
        <v/>
      </c>
      <c r="CI267" s="21" t="str">
        <f>IF(AND('Atividades Micro'!$B319=CI$2,'Atividades Micro'!$G319="Micro",'Atividades Micro'!$K319&lt;&gt;""),'Atividades Micro'!$K319,"")</f>
        <v/>
      </c>
      <c r="CJ267" s="21" t="str">
        <f>IF(AND('Atividades Micro'!$B319=CJ$2,'Atividades Micro'!$G319="Micro",'Atividades Micro'!$K319&lt;&gt;""),'Atividades Micro'!$K319,"")</f>
        <v/>
      </c>
      <c r="CK267" s="21" t="str">
        <f>IF(AND('Atividades Micro'!$B319=CK$2,'Atividades Micro'!$G319="Micro",'Atividades Micro'!$K319&lt;&gt;""),'Atividades Micro'!$K319,"")</f>
        <v/>
      </c>
      <c r="CL267" s="21" t="str">
        <f>IF(AND('Atividades Micro'!$B319=CL$2,'Atividades Micro'!$G319="Micro",'Atividades Micro'!$K319&lt;&gt;""),'Atividades Micro'!$K319,"")</f>
        <v/>
      </c>
      <c r="CM267" s="21" t="str">
        <f>IF(AND('Atividades Micro'!$B319=CM$2,'Atividades Micro'!$G319="Micro",'Atividades Micro'!$K319&lt;&gt;""),'Atividades Micro'!$K319,"")</f>
        <v/>
      </c>
      <c r="CN267" s="21" t="str">
        <f>IF(AND('Atividades Micro'!$B319=CN$2,'Atividades Micro'!$G319="Micro",'Atividades Micro'!$K319&lt;&gt;""),'Atividades Micro'!$K319,"")</f>
        <v/>
      </c>
      <c r="CO267" s="21" t="str">
        <f>IF(AND('Atividades Micro'!$B319=CO$2,'Atividades Micro'!$G319="Micro",'Atividades Micro'!$K319&lt;&gt;""),'Atividades Micro'!$K319,"")</f>
        <v/>
      </c>
    </row>
    <row r="268" spans="1:93">
      <c r="A268" s="21" t="str">
        <f>IF(AND('Atividades Micro'!$A320=A$2,'Atividades Micro'!$K320&lt;&gt;""),'Atividades Micro'!$K320,"")</f>
        <v/>
      </c>
      <c r="B268" s="21" t="str">
        <f>IF(AND('Atividades Micro'!$A320=B$2,'Atividades Micro'!$L320&lt;&gt;""),'Atividades Micro'!$L320,"")</f>
        <v/>
      </c>
      <c r="C268" s="21" t="str">
        <f>IF(AND('Atividades Micro'!$A320=C$2,'Atividades Micro'!$K320&lt;&gt;""),'Atividades Micro'!$K320,"")</f>
        <v/>
      </c>
      <c r="D268" s="21" t="str">
        <f>IF(AND('Atividades Micro'!$A320=D$2,'Atividades Micro'!$L320&lt;&gt;""),'Atividades Micro'!$L320,"")</f>
        <v/>
      </c>
      <c r="E268" s="21" t="str">
        <f>IF(AND('Atividades Micro'!$A320=E$2,'Atividades Micro'!$K320&lt;&gt;""),'Atividades Micro'!$K320,"")</f>
        <v/>
      </c>
      <c r="F268" s="21" t="str">
        <f>IF(AND('Atividades Micro'!$A320=F$2,'Atividades Micro'!$L320&lt;&gt;""),'Atividades Micro'!$L320,"")</f>
        <v/>
      </c>
      <c r="G268" s="21" t="str">
        <f>IF(AND('Atividades Micro'!$A320=G$2,'Atividades Micro'!$K320&lt;&gt;""),'Atividades Micro'!$K320,"")</f>
        <v/>
      </c>
      <c r="H268" s="21" t="str">
        <f>IF(AND('Atividades Micro'!$A320=H$2,'Atividades Micro'!$L320&lt;&gt;""),'Atividades Micro'!$L320,"")</f>
        <v/>
      </c>
      <c r="I268" s="21" t="str">
        <f>IF(AND('Atividades Micro'!$A320=I$2,'Atividades Micro'!$K320&lt;&gt;""),'Atividades Micro'!$K320,"")</f>
        <v/>
      </c>
      <c r="J268" s="21" t="str">
        <f>IF(AND('Atividades Micro'!$A320=J$2,'Atividades Micro'!$L320&lt;&gt;""),'Atividades Micro'!$L320,"")</f>
        <v/>
      </c>
      <c r="K268" s="21" t="str">
        <f>IF(AND('Atividades Micro'!$B320=K$2,'Atividades Micro'!$K320&lt;&gt;""),'Atividades Micro'!$K320,"")</f>
        <v/>
      </c>
      <c r="L268" s="21" t="str">
        <f>IF(AND('Atividades Micro'!$B320=L$2,'Atividades Micro'!$L320&lt;&gt;""),'Atividades Micro'!$L320,"")</f>
        <v/>
      </c>
      <c r="M268" s="21" t="str">
        <f>IF(AND('Atividades Micro'!$B320=M$2,'Atividades Micro'!$K320&lt;&gt;""),'Atividades Micro'!$K320,"")</f>
        <v/>
      </c>
      <c r="N268" s="21" t="str">
        <f>IF(AND('Atividades Micro'!$B320=N$2,'Atividades Micro'!$L320&lt;&gt;""),'Atividades Micro'!$L320,"")</f>
        <v/>
      </c>
      <c r="O268" s="21" t="str">
        <f>IF(AND('Atividades Micro'!$A320=O$2,'Atividades Micro'!$K320&lt;&gt;""),'Atividades Micro'!$K320,"")</f>
        <v/>
      </c>
      <c r="P268" s="21" t="str">
        <f>IF(AND('Atividades Micro'!$A320=P$2,'Atividades Micro'!$L320&lt;&gt;""),'Atividades Micro'!$L320,"")</f>
        <v/>
      </c>
      <c r="Q268" s="21" t="str">
        <f>IF(AND('Atividades Micro'!$B320=Q$2,'Atividades Micro'!$K320&lt;&gt;""),'Atividades Micro'!$K320,"")</f>
        <v/>
      </c>
      <c r="R268" s="21" t="str">
        <f>IF(AND('Atividades Micro'!$B320=R$2,'Atividades Micro'!$L320&lt;&gt;""),'Atividades Micro'!$L320,"")</f>
        <v/>
      </c>
      <c r="S268" s="21" t="str">
        <f>IF(AND('Atividades Micro'!$A320=S$2,'Atividades Micro'!$K320&lt;&gt;""),'Atividades Micro'!$K320,"")</f>
        <v/>
      </c>
      <c r="T268" s="21" t="str">
        <f>IF(AND('Atividades Micro'!$A320=T$2,'Atividades Micro'!$L320&lt;&gt;""),'Atividades Micro'!$L320,"")</f>
        <v/>
      </c>
      <c r="U268" s="21" t="str">
        <f>IF(AND('Atividades Micro'!$B320=U$2,'Atividades Micro'!$K320&lt;&gt;""),'Atividades Micro'!$K320,"")</f>
        <v/>
      </c>
      <c r="V268" s="21" t="str">
        <f>IF(AND('Atividades Micro'!$B320=V$2,'Atividades Micro'!$L320&lt;&gt;""),'Atividades Micro'!$L320,"")</f>
        <v/>
      </c>
      <c r="W268" s="21" t="str">
        <f>IF(AND('Atividades Micro'!$B320=W$2,'Atividades Micro'!$K320&lt;&gt;""),'Atividades Micro'!$K320,"")</f>
        <v/>
      </c>
      <c r="X268" s="21" t="str">
        <f>IF(AND('Atividades Micro'!$B320=X$2,'Atividades Micro'!$L320&lt;&gt;""),'Atividades Micro'!$L320,"")</f>
        <v/>
      </c>
      <c r="Y268" s="21" t="str">
        <f>IF(AND('Atividades Micro'!$A320=Y$2,'Atividades Micro'!$K320&lt;&gt;""),'Atividades Micro'!$K320,"")</f>
        <v/>
      </c>
      <c r="Z268" s="21" t="str">
        <f>IF(AND('Atividades Micro'!$A320=Z$2,'Atividades Micro'!$L320&lt;&gt;""),'Atividades Micro'!$L320,"")</f>
        <v/>
      </c>
      <c r="AA268" s="21" t="str">
        <f>IF(AND('Atividades Micro'!$B320=AA$2,'Atividades Micro'!$K320&lt;&gt;""),'Atividades Micro'!$K320,"")</f>
        <v/>
      </c>
      <c r="AB268" s="21" t="str">
        <f>IF(AND('Atividades Micro'!$B320=AB$2,'Atividades Micro'!$L320&lt;&gt;""),'Atividades Micro'!$L320,"")</f>
        <v/>
      </c>
      <c r="AC268" s="21" t="str">
        <f>IF(AND('Atividades Micro'!$B320=AC$2,'Atividades Micro'!$K320&lt;&gt;""),'Atividades Micro'!$K320,"")</f>
        <v/>
      </c>
      <c r="AD268" s="21" t="str">
        <f>IF(AND('Atividades Micro'!$B320=AD$2,'Atividades Micro'!$L320&lt;&gt;""),'Atividades Micro'!$L320,"")</f>
        <v/>
      </c>
      <c r="AE268" s="21" t="str">
        <f>IF(AND('Atividades Micro'!$A320=AE$2,'Atividades Micro'!$K320&lt;&gt;""),'Atividades Micro'!$K320,"")</f>
        <v/>
      </c>
      <c r="AF268" s="21" t="str">
        <f>IF(AND('Atividades Micro'!$A320=AF$2,'Atividades Micro'!$L320&lt;&gt;""),'Atividades Micro'!$L320,"")</f>
        <v/>
      </c>
      <c r="AG268" s="21" t="str">
        <f>IF(AND('Atividades Micro'!$B320=AG$2,'Atividades Micro'!$K320&lt;&gt;""),'Atividades Micro'!$K320,"")</f>
        <v/>
      </c>
      <c r="AH268" s="21" t="str">
        <f>IF(AND('Atividades Micro'!$B320=AH$2,'Atividades Micro'!$L320&lt;&gt;""),'Atividades Micro'!$L320,"")</f>
        <v/>
      </c>
      <c r="AI268" s="21" t="str">
        <f>IF(AND('Atividades Micro'!$B320=AI$2,'Atividades Micro'!$K320&lt;&gt;""),'Atividades Micro'!$K320,"")</f>
        <v/>
      </c>
      <c r="AJ268" s="21" t="str">
        <f>IF(AND('Atividades Micro'!$B320=AJ$2,'Atividades Micro'!$L320&lt;&gt;""),'Atividades Micro'!$L320,"")</f>
        <v/>
      </c>
      <c r="AK268" s="21" t="str">
        <f>IF(AND('Atividades Micro'!$A320=AK$2,'Atividades Micro'!$K320&lt;&gt;""),'Atividades Micro'!$K320,"")</f>
        <v/>
      </c>
      <c r="AL268" s="21" t="str">
        <f>IF(AND('Atividades Micro'!$A320=AL$2,'Atividades Micro'!$L320&lt;&gt;""),'Atividades Micro'!$L320,"")</f>
        <v/>
      </c>
      <c r="AM268" s="21" t="str">
        <f>IF(AND('Atividades Micro'!$B320=AM$2,'Atividades Micro'!$K320&lt;&gt;""),'Atividades Micro'!$K320,"")</f>
        <v/>
      </c>
      <c r="AN268" s="21" t="str">
        <f>IF(AND('Atividades Micro'!$B320=AN$2,'Atividades Micro'!$L320&lt;&gt;""),'Atividades Micro'!$L320,"")</f>
        <v/>
      </c>
      <c r="AO268" s="21" t="str">
        <f>IF(AND('Atividades Micro'!$B320=AO$2,'Atividades Micro'!$K320&lt;&gt;""),'Atividades Micro'!$K320,"")</f>
        <v/>
      </c>
      <c r="AP268" s="21" t="str">
        <f>IF(AND('Atividades Micro'!$B320=AP$2,'Atividades Micro'!$L320&lt;&gt;""),'Atividades Micro'!$L320,"")</f>
        <v/>
      </c>
      <c r="AQ268" s="21" t="str">
        <f>IF(AND('Atividades Micro'!$A320=AQ$2,'Atividades Micro'!$K320&lt;&gt;""),'Atividades Micro'!$K320,"")</f>
        <v/>
      </c>
      <c r="AR268" s="21" t="str">
        <f>IF(AND('Atividades Micro'!$A320=AR$2,'Atividades Micro'!$L320&lt;&gt;""),'Atividades Micro'!$L320,"")</f>
        <v/>
      </c>
      <c r="AS268" s="21" t="str">
        <f>IF(AND('Atividades Micro'!$B320=AS$2,'Atividades Micro'!$K320&lt;&gt;""),'Atividades Micro'!$K320,"")</f>
        <v/>
      </c>
      <c r="AT268" s="21" t="str">
        <f>IF(AND('Atividades Micro'!$B320=AT$2,'Atividades Micro'!$L320&lt;&gt;""),'Atividades Micro'!$L320,"")</f>
        <v/>
      </c>
      <c r="AU268" s="21">
        <f>IF(AND('Atividades Micro'!$A320=AU$2,'Atividades Micro'!$K320&lt;&gt;""),'Atividades Micro'!$K320,"")</f>
        <v>46188</v>
      </c>
      <c r="AV268" s="21">
        <f>IF(AND('Atividades Micro'!$A320=AV$2,'Atividades Micro'!$L320&lt;&gt;""),'Atividades Micro'!$L320,"")</f>
        <v>46188</v>
      </c>
      <c r="AW268" s="21">
        <f>IF(AND('Atividades Micro'!$B320=AW$2,'Atividades Micro'!$K320&lt;&gt;""),'Atividades Micro'!$K320,"")</f>
        <v>46188</v>
      </c>
      <c r="AX268" s="21">
        <f>IF(AND('Atividades Micro'!$B320=AX$2,'Atividades Micro'!$L320&lt;&gt;""),'Atividades Micro'!$L320,"")</f>
        <v>46188</v>
      </c>
      <c r="AY268" s="21" t="str">
        <f>IF(AND('Atividades Micro'!$A320=AY$2,'Atividades Micro'!$K320&lt;&gt;""),'Atividades Micro'!$K320,"")</f>
        <v/>
      </c>
      <c r="AZ268" s="21" t="str">
        <f>IF(AND('Atividades Micro'!$A320=AZ$2,'Atividades Micro'!$L320&lt;&gt;""),'Atividades Micro'!$L320,"")</f>
        <v/>
      </c>
      <c r="BA268" s="21" t="str">
        <f>IF(AND('Atividades Micro'!$B320=BA$2,'Atividades Micro'!$K320&lt;&gt;""),'Atividades Micro'!$K320,"")</f>
        <v/>
      </c>
      <c r="BB268" s="21" t="str">
        <f>IF(AND('Atividades Micro'!$B320=BB$2,'Atividades Micro'!$L320&lt;&gt;""),'Atividades Micro'!$L320,"")</f>
        <v/>
      </c>
      <c r="BC268" s="21" t="str">
        <f>IF(AND('Atividades Micro'!$B320=BC$2,'Atividades Micro'!$G320="Macro",'Atividades Micro'!$K320&lt;&gt;""),'Atividades Micro'!$K320,"")</f>
        <v/>
      </c>
      <c r="BD268" s="21" t="str">
        <f>IF(AND('Atividades Micro'!$B320=BD$2,'Atividades Micro'!$G320="Macro",'Atividades Micro'!$K320&lt;&gt;""),'Atividades Micro'!$K320,"")</f>
        <v/>
      </c>
      <c r="BE268" s="21" t="str">
        <f>IF(AND('Atividades Micro'!$B320=BE$2,'Atividades Micro'!$G320="Macro",'Atividades Micro'!$K320&lt;&gt;""),'Atividades Micro'!$K320,"")</f>
        <v/>
      </c>
      <c r="BF268" s="21" t="str">
        <f>IF(AND('Atividades Micro'!$B320=BF$2,'Atividades Micro'!$G320="Macro",'Atividades Micro'!$K320&lt;&gt;""),'Atividades Micro'!$K320,"")</f>
        <v/>
      </c>
      <c r="BG268" s="21" t="str">
        <f>IF(AND('Atividades Micro'!$B320=BG$2,'Atividades Micro'!$G320="Macro",'Atividades Micro'!$K320&lt;&gt;""),'Atividades Micro'!$K320,"")</f>
        <v/>
      </c>
      <c r="BH268" s="21" t="str">
        <f>IF(AND('Atividades Micro'!$B320=BH$2,'Atividades Micro'!$G320="Macro",'Atividades Micro'!$K320&lt;&gt;""),'Atividades Micro'!$K320,"")</f>
        <v/>
      </c>
      <c r="BI268" s="21" t="str">
        <f>IF(AND('Atividades Micro'!$B320=BI$2,'Atividades Micro'!$G320="Macro",'Atividades Micro'!$K320&lt;&gt;""),'Atividades Micro'!$K320,"")</f>
        <v/>
      </c>
      <c r="BJ268" s="21" t="str">
        <f>IF(AND('Atividades Micro'!$B320=BJ$2,'Atividades Micro'!$G320="Macro",'Atividades Micro'!$K320&lt;&gt;""),'Atividades Micro'!$K320,"")</f>
        <v/>
      </c>
      <c r="BK268" s="21" t="str">
        <f>IF(AND('Atividades Micro'!$B320=BK$2,'Atividades Micro'!$G320="Macro",'Atividades Micro'!$K320&lt;&gt;""),'Atividades Micro'!$K320,"")</f>
        <v/>
      </c>
      <c r="BL268" s="21" t="str">
        <f>IF(AND('Atividades Micro'!$B320=BL$2,'Atividades Micro'!$G320="Macro",'Atividades Micro'!$K320&lt;&gt;""),'Atividades Micro'!$K320,"")</f>
        <v/>
      </c>
      <c r="BM268" s="21" t="str">
        <f>IF(AND('Atividades Micro'!$B320=BM$2,'Atividades Micro'!$G320="Macro",'Atividades Micro'!$K320&lt;&gt;""),'Atividades Micro'!$K320,"")</f>
        <v/>
      </c>
      <c r="BN268" s="21" t="str">
        <f>IF(AND('Atividades Micro'!$B320=BN$2,'Atividades Micro'!$G320="Macro",'Atividades Micro'!$K320&lt;&gt;""),'Atividades Micro'!$K320,"")</f>
        <v/>
      </c>
      <c r="BO268" s="21" t="str">
        <f>IF(AND('Atividades Micro'!$B320=BO$2,'Atividades Micro'!$G320="Macro",'Atividades Micro'!$K320&lt;&gt;""),'Atividades Micro'!$K320,"")</f>
        <v/>
      </c>
      <c r="BP268" s="21" t="str">
        <f>IF(AND('Atividades Micro'!$B320=BP$2,'Atividades Micro'!$G320="Macro",'Atividades Micro'!$K320&lt;&gt;""),'Atividades Micro'!$K320,"")</f>
        <v/>
      </c>
      <c r="BQ268" s="21" t="str">
        <f>IF(AND('Atividades Micro'!$B320=BQ$2,'Atividades Micro'!$G320="Macro",'Atividades Micro'!$K320&lt;&gt;""),'Atividades Micro'!$K320,"")</f>
        <v/>
      </c>
      <c r="BR268" s="21" t="str">
        <f>IF(AND('Atividades Micro'!$B320=BR$2,'Atividades Micro'!$G320="Macro",'Atividades Micro'!$K320&lt;&gt;""),'Atividades Micro'!$K320,"")</f>
        <v/>
      </c>
      <c r="BS268" s="21" t="str">
        <f>IF(AND('Atividades Micro'!$B320=BS$2,'Atividades Micro'!$G320="Macro",'Atividades Micro'!$K320&lt;&gt;""),'Atividades Micro'!$K320,"")</f>
        <v/>
      </c>
      <c r="BT268" s="21" t="str">
        <f>IF(AND('Atividades Micro'!$B320=BT$2,'Atividades Micro'!$G320="Macro",'Atividades Micro'!$K320&lt;&gt;""),'Atividades Micro'!$K320,"")</f>
        <v/>
      </c>
      <c r="BU268" s="21" t="str">
        <f>IF(AND('Atividades Micro'!$B320=BU$2,'Atividades Micro'!$G320="Macro",'Atividades Micro'!$K320&lt;&gt;""),'Atividades Micro'!$K320,"")</f>
        <v/>
      </c>
      <c r="BV268" s="21" t="str">
        <f>IF(AND('Atividades Micro'!$B320=BV$2,'Atividades Micro'!$G320="Macro",'Atividades Micro'!$K320&lt;&gt;""),'Atividades Micro'!$K320,"")</f>
        <v/>
      </c>
      <c r="BW268" s="21" t="str">
        <f>IF(AND('Atividades Micro'!$B320=BW$2,'Atividades Micro'!$G320="Macro",'Atividades Micro'!$K320&lt;&gt;""),'Atividades Micro'!$K320,"")</f>
        <v/>
      </c>
      <c r="BX268" s="21" t="str">
        <f>IF(AND('Atividades Micro'!$B320=BX$2,'Atividades Micro'!$G320="Macro",'Atividades Micro'!$K320&lt;&gt;""),'Atividades Micro'!$K320,"")</f>
        <v/>
      </c>
      <c r="BY268" s="21" t="str">
        <f>IF(AND('Atividades Micro'!$B320=BY$2,'Atividades Micro'!$G320="Macro",'Atividades Micro'!$K320&lt;&gt;""),'Atividades Micro'!$K320,"")</f>
        <v/>
      </c>
      <c r="BZ268" s="21" t="str">
        <f>IF(AND('Atividades Micro'!$B320=BZ$2,'Atividades Micro'!$G320="Macro",'Atividades Micro'!$K320&lt;&gt;""),'Atividades Micro'!$K320,"")</f>
        <v/>
      </c>
      <c r="CA268" s="21" t="str">
        <f>IF(AND('Atividades Micro'!$B320=CA$2,'Atividades Micro'!$G320="Macro",'Atividades Micro'!$K320&lt;&gt;""),'Atividades Micro'!$K320,"")</f>
        <v/>
      </c>
      <c r="CB268" s="21" t="str">
        <f>IF(AND('Atividades Micro'!$B320=CB$2,'Atividades Micro'!$G320="Macro",'Atividades Micro'!$K320&lt;&gt;""),'Atividades Micro'!$K320,"")</f>
        <v/>
      </c>
      <c r="CC268" s="21" t="str">
        <f>IF(AND('Atividades Micro'!$B320=CC$2,'Atividades Micro'!$G320="Macro",'Atividades Micro'!$K320&lt;&gt;""),'Atividades Micro'!$K320,"")</f>
        <v/>
      </c>
      <c r="CD268" s="21" t="str">
        <f>IF(AND('Atividades Micro'!$B320=CD$2,'Atividades Micro'!$G320="Micro",'Atividades Micro'!$K320&lt;&gt;""),'Atividades Micro'!$K320,"")</f>
        <v/>
      </c>
      <c r="CE268" s="21" t="str">
        <f>IF(AND('Atividades Micro'!$B320=CE$2,'Atividades Micro'!$G320="Micro",'Atividades Micro'!$K320&lt;&gt;""),'Atividades Micro'!$K320,"")</f>
        <v/>
      </c>
      <c r="CF268" s="21" t="str">
        <f>IF(AND('Atividades Micro'!$B320=CF$2,'Atividades Micro'!$G320="Micro",'Atividades Micro'!$K320&lt;&gt;""),'Atividades Micro'!$K320,"")</f>
        <v/>
      </c>
      <c r="CG268" s="21" t="str">
        <f>IF(AND('Atividades Micro'!$B320=CG$2,'Atividades Micro'!$G320="Micro",'Atividades Micro'!$K320&lt;&gt;""),'Atividades Micro'!$K320,"")</f>
        <v/>
      </c>
      <c r="CH268" s="21" t="str">
        <f>IF(AND('Atividades Micro'!$B320=CH$2,'Atividades Micro'!$G320="Micro",'Atividades Micro'!$K320&lt;&gt;""),'Atividades Micro'!$K320,"")</f>
        <v/>
      </c>
      <c r="CI268" s="21" t="str">
        <f>IF(AND('Atividades Micro'!$B320=CI$2,'Atividades Micro'!$G320="Micro",'Atividades Micro'!$K320&lt;&gt;""),'Atividades Micro'!$K320,"")</f>
        <v/>
      </c>
      <c r="CJ268" s="21" t="str">
        <f>IF(AND('Atividades Micro'!$B320=CJ$2,'Atividades Micro'!$G320="Micro",'Atividades Micro'!$K320&lt;&gt;""),'Atividades Micro'!$K320,"")</f>
        <v/>
      </c>
      <c r="CK268" s="21" t="str">
        <f>IF(AND('Atividades Micro'!$B320=CK$2,'Atividades Micro'!$G320="Micro",'Atividades Micro'!$K320&lt;&gt;""),'Atividades Micro'!$K320,"")</f>
        <v/>
      </c>
      <c r="CL268" s="21" t="str">
        <f>IF(AND('Atividades Micro'!$B320=CL$2,'Atividades Micro'!$G320="Micro",'Atividades Micro'!$K320&lt;&gt;""),'Atividades Micro'!$K320,"")</f>
        <v/>
      </c>
      <c r="CM268" s="21" t="str">
        <f>IF(AND('Atividades Micro'!$B320=CM$2,'Atividades Micro'!$G320="Micro",'Atividades Micro'!$K320&lt;&gt;""),'Atividades Micro'!$K320,"")</f>
        <v/>
      </c>
      <c r="CN268" s="21" t="str">
        <f>IF(AND('Atividades Micro'!$B320=CN$2,'Atividades Micro'!$G320="Micro",'Atividades Micro'!$K320&lt;&gt;""),'Atividades Micro'!$K320,"")</f>
        <v/>
      </c>
      <c r="CO268" s="21" t="str">
        <f>IF(AND('Atividades Micro'!$B320=CO$2,'Atividades Micro'!$G320="Micro",'Atividades Micro'!$K320&lt;&gt;""),'Atividades Micro'!$K320,"")</f>
        <v/>
      </c>
    </row>
    <row r="269" spans="1:93">
      <c r="A269" s="21" t="str">
        <f>IF(AND('Atividades Micro'!$A321=A$2,'Atividades Micro'!$K321&lt;&gt;""),'Atividades Micro'!$K321,"")</f>
        <v/>
      </c>
      <c r="B269" s="21" t="str">
        <f>IF(AND('Atividades Micro'!$A321=B$2,'Atividades Micro'!$L321&lt;&gt;""),'Atividades Micro'!$L321,"")</f>
        <v/>
      </c>
      <c r="C269" s="21" t="str">
        <f>IF(AND('Atividades Micro'!$A321=C$2,'Atividades Micro'!$K321&lt;&gt;""),'Atividades Micro'!$K321,"")</f>
        <v/>
      </c>
      <c r="D269" s="21" t="str">
        <f>IF(AND('Atividades Micro'!$A321=D$2,'Atividades Micro'!$L321&lt;&gt;""),'Atividades Micro'!$L321,"")</f>
        <v/>
      </c>
      <c r="E269" s="21" t="str">
        <f>IF(AND('Atividades Micro'!$A321=E$2,'Atividades Micro'!$K321&lt;&gt;""),'Atividades Micro'!$K321,"")</f>
        <v/>
      </c>
      <c r="F269" s="21" t="str">
        <f>IF(AND('Atividades Micro'!$A321=F$2,'Atividades Micro'!$L321&lt;&gt;""),'Atividades Micro'!$L321,"")</f>
        <v/>
      </c>
      <c r="G269" s="21" t="str">
        <f>IF(AND('Atividades Micro'!$A321=G$2,'Atividades Micro'!$K321&lt;&gt;""),'Atividades Micro'!$K321,"")</f>
        <v/>
      </c>
      <c r="H269" s="21" t="str">
        <f>IF(AND('Atividades Micro'!$A321=H$2,'Atividades Micro'!$L321&lt;&gt;""),'Atividades Micro'!$L321,"")</f>
        <v/>
      </c>
      <c r="I269" s="21" t="str">
        <f>IF(AND('Atividades Micro'!$A321=I$2,'Atividades Micro'!$K321&lt;&gt;""),'Atividades Micro'!$K321,"")</f>
        <v/>
      </c>
      <c r="J269" s="21" t="str">
        <f>IF(AND('Atividades Micro'!$A321=J$2,'Atividades Micro'!$L321&lt;&gt;""),'Atividades Micro'!$L321,"")</f>
        <v/>
      </c>
      <c r="K269" s="21" t="str">
        <f>IF(AND('Atividades Micro'!$B321=K$2,'Atividades Micro'!$K321&lt;&gt;""),'Atividades Micro'!$K321,"")</f>
        <v/>
      </c>
      <c r="L269" s="21" t="str">
        <f>IF(AND('Atividades Micro'!$B321=L$2,'Atividades Micro'!$L321&lt;&gt;""),'Atividades Micro'!$L321,"")</f>
        <v/>
      </c>
      <c r="M269" s="21" t="str">
        <f>IF(AND('Atividades Micro'!$B321=M$2,'Atividades Micro'!$K321&lt;&gt;""),'Atividades Micro'!$K321,"")</f>
        <v/>
      </c>
      <c r="N269" s="21" t="str">
        <f>IF(AND('Atividades Micro'!$B321=N$2,'Atividades Micro'!$L321&lt;&gt;""),'Atividades Micro'!$L321,"")</f>
        <v/>
      </c>
      <c r="O269" s="21" t="str">
        <f>IF(AND('Atividades Micro'!$A321=O$2,'Atividades Micro'!$K321&lt;&gt;""),'Atividades Micro'!$K321,"")</f>
        <v/>
      </c>
      <c r="P269" s="21" t="str">
        <f>IF(AND('Atividades Micro'!$A321=P$2,'Atividades Micro'!$L321&lt;&gt;""),'Atividades Micro'!$L321,"")</f>
        <v/>
      </c>
      <c r="Q269" s="21" t="str">
        <f>IF(AND('Atividades Micro'!$B321=Q$2,'Atividades Micro'!$K321&lt;&gt;""),'Atividades Micro'!$K321,"")</f>
        <v/>
      </c>
      <c r="R269" s="21" t="str">
        <f>IF(AND('Atividades Micro'!$B321=R$2,'Atividades Micro'!$L321&lt;&gt;""),'Atividades Micro'!$L321,"")</f>
        <v/>
      </c>
      <c r="S269" s="21" t="str">
        <f>IF(AND('Atividades Micro'!$A321=S$2,'Atividades Micro'!$K321&lt;&gt;""),'Atividades Micro'!$K321,"")</f>
        <v/>
      </c>
      <c r="T269" s="21" t="str">
        <f>IF(AND('Atividades Micro'!$A321=T$2,'Atividades Micro'!$L321&lt;&gt;""),'Atividades Micro'!$L321,"")</f>
        <v/>
      </c>
      <c r="U269" s="21" t="str">
        <f>IF(AND('Atividades Micro'!$B321=U$2,'Atividades Micro'!$K321&lt;&gt;""),'Atividades Micro'!$K321,"")</f>
        <v/>
      </c>
      <c r="V269" s="21" t="str">
        <f>IF(AND('Atividades Micro'!$B321=V$2,'Atividades Micro'!$L321&lt;&gt;""),'Atividades Micro'!$L321,"")</f>
        <v/>
      </c>
      <c r="W269" s="21" t="str">
        <f>IF(AND('Atividades Micro'!$B321=W$2,'Atividades Micro'!$K321&lt;&gt;""),'Atividades Micro'!$K321,"")</f>
        <v/>
      </c>
      <c r="X269" s="21" t="str">
        <f>IF(AND('Atividades Micro'!$B321=X$2,'Atividades Micro'!$L321&lt;&gt;""),'Atividades Micro'!$L321,"")</f>
        <v/>
      </c>
      <c r="Y269" s="21" t="str">
        <f>IF(AND('Atividades Micro'!$A321=Y$2,'Atividades Micro'!$K321&lt;&gt;""),'Atividades Micro'!$K321,"")</f>
        <v/>
      </c>
      <c r="Z269" s="21" t="str">
        <f>IF(AND('Atividades Micro'!$A321=Z$2,'Atividades Micro'!$L321&lt;&gt;""),'Atividades Micro'!$L321,"")</f>
        <v/>
      </c>
      <c r="AA269" s="21" t="str">
        <f>IF(AND('Atividades Micro'!$B321=AA$2,'Atividades Micro'!$K321&lt;&gt;""),'Atividades Micro'!$K321,"")</f>
        <v/>
      </c>
      <c r="AB269" s="21" t="str">
        <f>IF(AND('Atividades Micro'!$B321=AB$2,'Atividades Micro'!$L321&lt;&gt;""),'Atividades Micro'!$L321,"")</f>
        <v/>
      </c>
      <c r="AC269" s="21" t="str">
        <f>IF(AND('Atividades Micro'!$B321=AC$2,'Atividades Micro'!$K321&lt;&gt;""),'Atividades Micro'!$K321,"")</f>
        <v/>
      </c>
      <c r="AD269" s="21" t="str">
        <f>IF(AND('Atividades Micro'!$B321=AD$2,'Atividades Micro'!$L321&lt;&gt;""),'Atividades Micro'!$L321,"")</f>
        <v/>
      </c>
      <c r="AE269" s="21" t="str">
        <f>IF(AND('Atividades Micro'!$A321=AE$2,'Atividades Micro'!$K321&lt;&gt;""),'Atividades Micro'!$K321,"")</f>
        <v/>
      </c>
      <c r="AF269" s="21" t="str">
        <f>IF(AND('Atividades Micro'!$A321=AF$2,'Atividades Micro'!$L321&lt;&gt;""),'Atividades Micro'!$L321,"")</f>
        <v/>
      </c>
      <c r="AG269" s="21" t="str">
        <f>IF(AND('Atividades Micro'!$B321=AG$2,'Atividades Micro'!$K321&lt;&gt;""),'Atividades Micro'!$K321,"")</f>
        <v/>
      </c>
      <c r="AH269" s="21" t="str">
        <f>IF(AND('Atividades Micro'!$B321=AH$2,'Atividades Micro'!$L321&lt;&gt;""),'Atividades Micro'!$L321,"")</f>
        <v/>
      </c>
      <c r="AI269" s="21" t="str">
        <f>IF(AND('Atividades Micro'!$B321=AI$2,'Atividades Micro'!$K321&lt;&gt;""),'Atividades Micro'!$K321,"")</f>
        <v/>
      </c>
      <c r="AJ269" s="21" t="str">
        <f>IF(AND('Atividades Micro'!$B321=AJ$2,'Atividades Micro'!$L321&lt;&gt;""),'Atividades Micro'!$L321,"")</f>
        <v/>
      </c>
      <c r="AK269" s="21" t="str">
        <f>IF(AND('Atividades Micro'!$A321=AK$2,'Atividades Micro'!$K321&lt;&gt;""),'Atividades Micro'!$K321,"")</f>
        <v/>
      </c>
      <c r="AL269" s="21" t="str">
        <f>IF(AND('Atividades Micro'!$A321=AL$2,'Atividades Micro'!$L321&lt;&gt;""),'Atividades Micro'!$L321,"")</f>
        <v/>
      </c>
      <c r="AM269" s="21" t="str">
        <f>IF(AND('Atividades Micro'!$B321=AM$2,'Atividades Micro'!$K321&lt;&gt;""),'Atividades Micro'!$K321,"")</f>
        <v/>
      </c>
      <c r="AN269" s="21" t="str">
        <f>IF(AND('Atividades Micro'!$B321=AN$2,'Atividades Micro'!$L321&lt;&gt;""),'Atividades Micro'!$L321,"")</f>
        <v/>
      </c>
      <c r="AO269" s="21" t="str">
        <f>IF(AND('Atividades Micro'!$B321=AO$2,'Atividades Micro'!$K321&lt;&gt;""),'Atividades Micro'!$K321,"")</f>
        <v/>
      </c>
      <c r="AP269" s="21" t="str">
        <f>IF(AND('Atividades Micro'!$B321=AP$2,'Atividades Micro'!$L321&lt;&gt;""),'Atividades Micro'!$L321,"")</f>
        <v/>
      </c>
      <c r="AQ269" s="21" t="str">
        <f>IF(AND('Atividades Micro'!$A321=AQ$2,'Atividades Micro'!$K321&lt;&gt;""),'Atividades Micro'!$K321,"")</f>
        <v/>
      </c>
      <c r="AR269" s="21" t="str">
        <f>IF(AND('Atividades Micro'!$A321=AR$2,'Atividades Micro'!$L321&lt;&gt;""),'Atividades Micro'!$L321,"")</f>
        <v/>
      </c>
      <c r="AS269" s="21" t="str">
        <f>IF(AND('Atividades Micro'!$B321=AS$2,'Atividades Micro'!$K321&lt;&gt;""),'Atividades Micro'!$K321,"")</f>
        <v/>
      </c>
      <c r="AT269" s="21" t="str">
        <f>IF(AND('Atividades Micro'!$B321=AT$2,'Atividades Micro'!$L321&lt;&gt;""),'Atividades Micro'!$L321,"")</f>
        <v/>
      </c>
      <c r="AU269" s="21">
        <f>IF(AND('Atividades Micro'!$A321=AU$2,'Atividades Micro'!$K321&lt;&gt;""),'Atividades Micro'!$K321,"")</f>
        <v>46188</v>
      </c>
      <c r="AV269" s="21">
        <f>IF(AND('Atividades Micro'!$A321=AV$2,'Atividades Micro'!$L321&lt;&gt;""),'Atividades Micro'!$L321,"")</f>
        <v>46188</v>
      </c>
      <c r="AW269" s="21">
        <f>IF(AND('Atividades Micro'!$B321=AW$2,'Atividades Micro'!$K321&lt;&gt;""),'Atividades Micro'!$K321,"")</f>
        <v>46188</v>
      </c>
      <c r="AX269" s="21">
        <f>IF(AND('Atividades Micro'!$B321=AX$2,'Atividades Micro'!$L321&lt;&gt;""),'Atividades Micro'!$L321,"")</f>
        <v>46188</v>
      </c>
      <c r="AY269" s="21" t="str">
        <f>IF(AND('Atividades Micro'!$A321=AY$2,'Atividades Micro'!$K321&lt;&gt;""),'Atividades Micro'!$K321,"")</f>
        <v/>
      </c>
      <c r="AZ269" s="21" t="str">
        <f>IF(AND('Atividades Micro'!$A321=AZ$2,'Atividades Micro'!$L321&lt;&gt;""),'Atividades Micro'!$L321,"")</f>
        <v/>
      </c>
      <c r="BA269" s="21" t="str">
        <f>IF(AND('Atividades Micro'!$B321=BA$2,'Atividades Micro'!$K321&lt;&gt;""),'Atividades Micro'!$K321,"")</f>
        <v/>
      </c>
      <c r="BB269" s="21" t="str">
        <f>IF(AND('Atividades Micro'!$B321=BB$2,'Atividades Micro'!$L321&lt;&gt;""),'Atividades Micro'!$L321,"")</f>
        <v/>
      </c>
      <c r="BC269" s="21" t="str">
        <f>IF(AND('Atividades Micro'!$B321=BC$2,'Atividades Micro'!$G321="Macro",'Atividades Micro'!$K321&lt;&gt;""),'Atividades Micro'!$K321,"")</f>
        <v/>
      </c>
      <c r="BD269" s="21" t="str">
        <f>IF(AND('Atividades Micro'!$B321=BD$2,'Atividades Micro'!$G321="Macro",'Atividades Micro'!$K321&lt;&gt;""),'Atividades Micro'!$K321,"")</f>
        <v/>
      </c>
      <c r="BE269" s="21" t="str">
        <f>IF(AND('Atividades Micro'!$B321=BE$2,'Atividades Micro'!$G321="Macro",'Atividades Micro'!$K321&lt;&gt;""),'Atividades Micro'!$K321,"")</f>
        <v/>
      </c>
      <c r="BF269" s="21" t="str">
        <f>IF(AND('Atividades Micro'!$B321=BF$2,'Atividades Micro'!$G321="Macro",'Atividades Micro'!$K321&lt;&gt;""),'Atividades Micro'!$K321,"")</f>
        <v/>
      </c>
      <c r="BG269" s="21" t="str">
        <f>IF(AND('Atividades Micro'!$B321=BG$2,'Atividades Micro'!$G321="Macro",'Atividades Micro'!$K321&lt;&gt;""),'Atividades Micro'!$K321,"")</f>
        <v/>
      </c>
      <c r="BH269" s="21" t="str">
        <f>IF(AND('Atividades Micro'!$B321=BH$2,'Atividades Micro'!$G321="Macro",'Atividades Micro'!$K321&lt;&gt;""),'Atividades Micro'!$K321,"")</f>
        <v/>
      </c>
      <c r="BI269" s="21" t="str">
        <f>IF(AND('Atividades Micro'!$B321=BI$2,'Atividades Micro'!$G321="Macro",'Atividades Micro'!$K321&lt;&gt;""),'Atividades Micro'!$K321,"")</f>
        <v/>
      </c>
      <c r="BJ269" s="21" t="str">
        <f>IF(AND('Atividades Micro'!$B321=BJ$2,'Atividades Micro'!$G321="Macro",'Atividades Micro'!$K321&lt;&gt;""),'Atividades Micro'!$K321,"")</f>
        <v/>
      </c>
      <c r="BK269" s="21" t="str">
        <f>IF(AND('Atividades Micro'!$B321=BK$2,'Atividades Micro'!$G321="Macro",'Atividades Micro'!$K321&lt;&gt;""),'Atividades Micro'!$K321,"")</f>
        <v/>
      </c>
      <c r="BL269" s="21" t="str">
        <f>IF(AND('Atividades Micro'!$B321=BL$2,'Atividades Micro'!$G321="Macro",'Atividades Micro'!$K321&lt;&gt;""),'Atividades Micro'!$K321,"")</f>
        <v/>
      </c>
      <c r="BM269" s="21" t="str">
        <f>IF(AND('Atividades Micro'!$B321=BM$2,'Atividades Micro'!$G321="Macro",'Atividades Micro'!$K321&lt;&gt;""),'Atividades Micro'!$K321,"")</f>
        <v/>
      </c>
      <c r="BN269" s="21" t="str">
        <f>IF(AND('Atividades Micro'!$B321=BN$2,'Atividades Micro'!$G321="Macro",'Atividades Micro'!$K321&lt;&gt;""),'Atividades Micro'!$K321,"")</f>
        <v/>
      </c>
      <c r="BO269" s="21" t="str">
        <f>IF(AND('Atividades Micro'!$B321=BO$2,'Atividades Micro'!$G321="Macro",'Atividades Micro'!$K321&lt;&gt;""),'Atividades Micro'!$K321,"")</f>
        <v/>
      </c>
      <c r="BP269" s="21" t="str">
        <f>IF(AND('Atividades Micro'!$B321=BP$2,'Atividades Micro'!$G321="Macro",'Atividades Micro'!$K321&lt;&gt;""),'Atividades Micro'!$K321,"")</f>
        <v/>
      </c>
      <c r="BQ269" s="21" t="str">
        <f>IF(AND('Atividades Micro'!$B321=BQ$2,'Atividades Micro'!$G321="Macro",'Atividades Micro'!$K321&lt;&gt;""),'Atividades Micro'!$K321,"")</f>
        <v/>
      </c>
      <c r="BR269" s="21" t="str">
        <f>IF(AND('Atividades Micro'!$B321=BR$2,'Atividades Micro'!$G321="Macro",'Atividades Micro'!$K321&lt;&gt;""),'Atividades Micro'!$K321,"")</f>
        <v/>
      </c>
      <c r="BS269" s="21" t="str">
        <f>IF(AND('Atividades Micro'!$B321=BS$2,'Atividades Micro'!$G321="Macro",'Atividades Micro'!$K321&lt;&gt;""),'Atividades Micro'!$K321,"")</f>
        <v/>
      </c>
      <c r="BT269" s="21" t="str">
        <f>IF(AND('Atividades Micro'!$B321=BT$2,'Atividades Micro'!$G321="Macro",'Atividades Micro'!$K321&lt;&gt;""),'Atividades Micro'!$K321,"")</f>
        <v/>
      </c>
      <c r="BU269" s="21" t="str">
        <f>IF(AND('Atividades Micro'!$B321=BU$2,'Atividades Micro'!$G321="Macro",'Atividades Micro'!$K321&lt;&gt;""),'Atividades Micro'!$K321,"")</f>
        <v/>
      </c>
      <c r="BV269" s="21" t="str">
        <f>IF(AND('Atividades Micro'!$B321=BV$2,'Atividades Micro'!$G321="Macro",'Atividades Micro'!$K321&lt;&gt;""),'Atividades Micro'!$K321,"")</f>
        <v/>
      </c>
      <c r="BW269" s="21" t="str">
        <f>IF(AND('Atividades Micro'!$B321=BW$2,'Atividades Micro'!$G321="Macro",'Atividades Micro'!$K321&lt;&gt;""),'Atividades Micro'!$K321,"")</f>
        <v/>
      </c>
      <c r="BX269" s="21" t="str">
        <f>IF(AND('Atividades Micro'!$B321=BX$2,'Atividades Micro'!$G321="Macro",'Atividades Micro'!$K321&lt;&gt;""),'Atividades Micro'!$K321,"")</f>
        <v/>
      </c>
      <c r="BY269" s="21" t="str">
        <f>IF(AND('Atividades Micro'!$B321=BY$2,'Atividades Micro'!$G321="Macro",'Atividades Micro'!$K321&lt;&gt;""),'Atividades Micro'!$K321,"")</f>
        <v/>
      </c>
      <c r="BZ269" s="21" t="str">
        <f>IF(AND('Atividades Micro'!$B321=BZ$2,'Atividades Micro'!$G321="Macro",'Atividades Micro'!$K321&lt;&gt;""),'Atividades Micro'!$K321,"")</f>
        <v/>
      </c>
      <c r="CA269" s="21" t="str">
        <f>IF(AND('Atividades Micro'!$B321=CA$2,'Atividades Micro'!$G321="Macro",'Atividades Micro'!$K321&lt;&gt;""),'Atividades Micro'!$K321,"")</f>
        <v/>
      </c>
      <c r="CB269" s="21" t="str">
        <f>IF(AND('Atividades Micro'!$B321=CB$2,'Atividades Micro'!$G321="Macro",'Atividades Micro'!$K321&lt;&gt;""),'Atividades Micro'!$K321,"")</f>
        <v/>
      </c>
      <c r="CC269" s="21" t="str">
        <f>IF(AND('Atividades Micro'!$B321=CC$2,'Atividades Micro'!$G321="Macro",'Atividades Micro'!$K321&lt;&gt;""),'Atividades Micro'!$K321,"")</f>
        <v/>
      </c>
      <c r="CD269" s="21" t="str">
        <f>IF(AND('Atividades Micro'!$B321=CD$2,'Atividades Micro'!$G321="Micro",'Atividades Micro'!$K321&lt;&gt;""),'Atividades Micro'!$K321,"")</f>
        <v/>
      </c>
      <c r="CE269" s="21" t="str">
        <f>IF(AND('Atividades Micro'!$B321=CE$2,'Atividades Micro'!$G321="Micro",'Atividades Micro'!$K321&lt;&gt;""),'Atividades Micro'!$K321,"")</f>
        <v/>
      </c>
      <c r="CF269" s="21" t="str">
        <f>IF(AND('Atividades Micro'!$B321=CF$2,'Atividades Micro'!$G321="Micro",'Atividades Micro'!$K321&lt;&gt;""),'Atividades Micro'!$K321,"")</f>
        <v/>
      </c>
      <c r="CG269" s="21" t="str">
        <f>IF(AND('Atividades Micro'!$B321=CG$2,'Atividades Micro'!$G321="Micro",'Atividades Micro'!$K321&lt;&gt;""),'Atividades Micro'!$K321,"")</f>
        <v/>
      </c>
      <c r="CH269" s="21" t="str">
        <f>IF(AND('Atividades Micro'!$B321=CH$2,'Atividades Micro'!$G321="Micro",'Atividades Micro'!$K321&lt;&gt;""),'Atividades Micro'!$K321,"")</f>
        <v/>
      </c>
      <c r="CI269" s="21" t="str">
        <f>IF(AND('Atividades Micro'!$B321=CI$2,'Atividades Micro'!$G321="Micro",'Atividades Micro'!$K321&lt;&gt;""),'Atividades Micro'!$K321,"")</f>
        <v/>
      </c>
      <c r="CJ269" s="21" t="str">
        <f>IF(AND('Atividades Micro'!$B321=CJ$2,'Atividades Micro'!$G321="Micro",'Atividades Micro'!$K321&lt;&gt;""),'Atividades Micro'!$K321,"")</f>
        <v/>
      </c>
      <c r="CK269" s="21" t="str">
        <f>IF(AND('Atividades Micro'!$B321=CK$2,'Atividades Micro'!$G321="Micro",'Atividades Micro'!$K321&lt;&gt;""),'Atividades Micro'!$K321,"")</f>
        <v/>
      </c>
      <c r="CL269" s="21" t="str">
        <f>IF(AND('Atividades Micro'!$B321=CL$2,'Atividades Micro'!$G321="Micro",'Atividades Micro'!$K321&lt;&gt;""),'Atividades Micro'!$K321,"")</f>
        <v/>
      </c>
      <c r="CM269" s="21" t="str">
        <f>IF(AND('Atividades Micro'!$B321=CM$2,'Atividades Micro'!$G321="Micro",'Atividades Micro'!$K321&lt;&gt;""),'Atividades Micro'!$K321,"")</f>
        <v/>
      </c>
      <c r="CN269" s="21" t="str">
        <f>IF(AND('Atividades Micro'!$B321=CN$2,'Atividades Micro'!$G321="Micro",'Atividades Micro'!$K321&lt;&gt;""),'Atividades Micro'!$K321,"")</f>
        <v/>
      </c>
      <c r="CO269" s="21" t="str">
        <f>IF(AND('Atividades Micro'!$B321=CO$2,'Atividades Micro'!$G321="Micro",'Atividades Micro'!$K321&lt;&gt;""),'Atividades Micro'!$K321,"")</f>
        <v/>
      </c>
    </row>
    <row r="270" spans="1:93">
      <c r="A270" s="21" t="str">
        <f>IF(AND('Atividades Micro'!$A322=A$2,'Atividades Micro'!$K322&lt;&gt;""),'Atividades Micro'!$K322,"")</f>
        <v/>
      </c>
      <c r="B270" s="21" t="str">
        <f>IF(AND('Atividades Micro'!$A322=B$2,'Atividades Micro'!$L322&lt;&gt;""),'Atividades Micro'!$L322,"")</f>
        <v/>
      </c>
      <c r="C270" s="21" t="str">
        <f>IF(AND('Atividades Micro'!$A322=C$2,'Atividades Micro'!$K322&lt;&gt;""),'Atividades Micro'!$K322,"")</f>
        <v/>
      </c>
      <c r="D270" s="21" t="str">
        <f>IF(AND('Atividades Micro'!$A322=D$2,'Atividades Micro'!$L322&lt;&gt;""),'Atividades Micro'!$L322,"")</f>
        <v/>
      </c>
      <c r="E270" s="21" t="str">
        <f>IF(AND('Atividades Micro'!$A322=E$2,'Atividades Micro'!$K322&lt;&gt;""),'Atividades Micro'!$K322,"")</f>
        <v/>
      </c>
      <c r="F270" s="21" t="str">
        <f>IF(AND('Atividades Micro'!$A322=F$2,'Atividades Micro'!$L322&lt;&gt;""),'Atividades Micro'!$L322,"")</f>
        <v/>
      </c>
      <c r="G270" s="21" t="str">
        <f>IF(AND('Atividades Micro'!$A322=G$2,'Atividades Micro'!$K322&lt;&gt;""),'Atividades Micro'!$K322,"")</f>
        <v/>
      </c>
      <c r="H270" s="21" t="str">
        <f>IF(AND('Atividades Micro'!$A322=H$2,'Atividades Micro'!$L322&lt;&gt;""),'Atividades Micro'!$L322,"")</f>
        <v/>
      </c>
      <c r="I270" s="21" t="str">
        <f>IF(AND('Atividades Micro'!$A322=I$2,'Atividades Micro'!$K322&lt;&gt;""),'Atividades Micro'!$K322,"")</f>
        <v/>
      </c>
      <c r="J270" s="21" t="str">
        <f>IF(AND('Atividades Micro'!$A322=J$2,'Atividades Micro'!$L322&lt;&gt;""),'Atividades Micro'!$L322,"")</f>
        <v/>
      </c>
      <c r="K270" s="21" t="str">
        <f>IF(AND('Atividades Micro'!$B322=K$2,'Atividades Micro'!$K322&lt;&gt;""),'Atividades Micro'!$K322,"")</f>
        <v/>
      </c>
      <c r="L270" s="21" t="str">
        <f>IF(AND('Atividades Micro'!$B322=L$2,'Atividades Micro'!$L322&lt;&gt;""),'Atividades Micro'!$L322,"")</f>
        <v/>
      </c>
      <c r="M270" s="21" t="str">
        <f>IF(AND('Atividades Micro'!$B322=M$2,'Atividades Micro'!$K322&lt;&gt;""),'Atividades Micro'!$K322,"")</f>
        <v/>
      </c>
      <c r="N270" s="21" t="str">
        <f>IF(AND('Atividades Micro'!$B322=N$2,'Atividades Micro'!$L322&lt;&gt;""),'Atividades Micro'!$L322,"")</f>
        <v/>
      </c>
      <c r="O270" s="21" t="str">
        <f>IF(AND('Atividades Micro'!$A322=O$2,'Atividades Micro'!$K322&lt;&gt;""),'Atividades Micro'!$K322,"")</f>
        <v/>
      </c>
      <c r="P270" s="21" t="str">
        <f>IF(AND('Atividades Micro'!$A322=P$2,'Atividades Micro'!$L322&lt;&gt;""),'Atividades Micro'!$L322,"")</f>
        <v/>
      </c>
      <c r="Q270" s="21" t="str">
        <f>IF(AND('Atividades Micro'!$B322=Q$2,'Atividades Micro'!$K322&lt;&gt;""),'Atividades Micro'!$K322,"")</f>
        <v/>
      </c>
      <c r="R270" s="21" t="str">
        <f>IF(AND('Atividades Micro'!$B322=R$2,'Atividades Micro'!$L322&lt;&gt;""),'Atividades Micro'!$L322,"")</f>
        <v/>
      </c>
      <c r="S270" s="21" t="str">
        <f>IF(AND('Atividades Micro'!$A322=S$2,'Atividades Micro'!$K322&lt;&gt;""),'Atividades Micro'!$K322,"")</f>
        <v/>
      </c>
      <c r="T270" s="21" t="str">
        <f>IF(AND('Atividades Micro'!$A322=T$2,'Atividades Micro'!$L322&lt;&gt;""),'Atividades Micro'!$L322,"")</f>
        <v/>
      </c>
      <c r="U270" s="21" t="str">
        <f>IF(AND('Atividades Micro'!$B322=U$2,'Atividades Micro'!$K322&lt;&gt;""),'Atividades Micro'!$K322,"")</f>
        <v/>
      </c>
      <c r="V270" s="21" t="str">
        <f>IF(AND('Atividades Micro'!$B322=V$2,'Atividades Micro'!$L322&lt;&gt;""),'Atividades Micro'!$L322,"")</f>
        <v/>
      </c>
      <c r="W270" s="21" t="str">
        <f>IF(AND('Atividades Micro'!$B322=W$2,'Atividades Micro'!$K322&lt;&gt;""),'Atividades Micro'!$K322,"")</f>
        <v/>
      </c>
      <c r="X270" s="21" t="str">
        <f>IF(AND('Atividades Micro'!$B322=X$2,'Atividades Micro'!$L322&lt;&gt;""),'Atividades Micro'!$L322,"")</f>
        <v/>
      </c>
      <c r="Y270" s="21" t="str">
        <f>IF(AND('Atividades Micro'!$A322=Y$2,'Atividades Micro'!$K322&lt;&gt;""),'Atividades Micro'!$K322,"")</f>
        <v/>
      </c>
      <c r="Z270" s="21" t="str">
        <f>IF(AND('Atividades Micro'!$A322=Z$2,'Atividades Micro'!$L322&lt;&gt;""),'Atividades Micro'!$L322,"")</f>
        <v/>
      </c>
      <c r="AA270" s="21" t="str">
        <f>IF(AND('Atividades Micro'!$B322=AA$2,'Atividades Micro'!$K322&lt;&gt;""),'Atividades Micro'!$K322,"")</f>
        <v/>
      </c>
      <c r="AB270" s="21" t="str">
        <f>IF(AND('Atividades Micro'!$B322=AB$2,'Atividades Micro'!$L322&lt;&gt;""),'Atividades Micro'!$L322,"")</f>
        <v/>
      </c>
      <c r="AC270" s="21" t="str">
        <f>IF(AND('Atividades Micro'!$B322=AC$2,'Atividades Micro'!$K322&lt;&gt;""),'Atividades Micro'!$K322,"")</f>
        <v/>
      </c>
      <c r="AD270" s="21" t="str">
        <f>IF(AND('Atividades Micro'!$B322=AD$2,'Atividades Micro'!$L322&lt;&gt;""),'Atividades Micro'!$L322,"")</f>
        <v/>
      </c>
      <c r="AE270" s="21" t="str">
        <f>IF(AND('Atividades Micro'!$A322=AE$2,'Atividades Micro'!$K322&lt;&gt;""),'Atividades Micro'!$K322,"")</f>
        <v/>
      </c>
      <c r="AF270" s="21" t="str">
        <f>IF(AND('Atividades Micro'!$A322=AF$2,'Atividades Micro'!$L322&lt;&gt;""),'Atividades Micro'!$L322,"")</f>
        <v/>
      </c>
      <c r="AG270" s="21" t="str">
        <f>IF(AND('Atividades Micro'!$B322=AG$2,'Atividades Micro'!$K322&lt;&gt;""),'Atividades Micro'!$K322,"")</f>
        <v/>
      </c>
      <c r="AH270" s="21" t="str">
        <f>IF(AND('Atividades Micro'!$B322=AH$2,'Atividades Micro'!$L322&lt;&gt;""),'Atividades Micro'!$L322,"")</f>
        <v/>
      </c>
      <c r="AI270" s="21" t="str">
        <f>IF(AND('Atividades Micro'!$B322=AI$2,'Atividades Micro'!$K322&lt;&gt;""),'Atividades Micro'!$K322,"")</f>
        <v/>
      </c>
      <c r="AJ270" s="21" t="str">
        <f>IF(AND('Atividades Micro'!$B322=AJ$2,'Atividades Micro'!$L322&lt;&gt;""),'Atividades Micro'!$L322,"")</f>
        <v/>
      </c>
      <c r="AK270" s="21" t="str">
        <f>IF(AND('Atividades Micro'!$A322=AK$2,'Atividades Micro'!$K322&lt;&gt;""),'Atividades Micro'!$K322,"")</f>
        <v/>
      </c>
      <c r="AL270" s="21" t="str">
        <f>IF(AND('Atividades Micro'!$A322=AL$2,'Atividades Micro'!$L322&lt;&gt;""),'Atividades Micro'!$L322,"")</f>
        <v/>
      </c>
      <c r="AM270" s="21" t="str">
        <f>IF(AND('Atividades Micro'!$B322=AM$2,'Atividades Micro'!$K322&lt;&gt;""),'Atividades Micro'!$K322,"")</f>
        <v/>
      </c>
      <c r="AN270" s="21" t="str">
        <f>IF(AND('Atividades Micro'!$B322=AN$2,'Atividades Micro'!$L322&lt;&gt;""),'Atividades Micro'!$L322,"")</f>
        <v/>
      </c>
      <c r="AO270" s="21" t="str">
        <f>IF(AND('Atividades Micro'!$B322=AO$2,'Atividades Micro'!$K322&lt;&gt;""),'Atividades Micro'!$K322,"")</f>
        <v/>
      </c>
      <c r="AP270" s="21" t="str">
        <f>IF(AND('Atividades Micro'!$B322=AP$2,'Atividades Micro'!$L322&lt;&gt;""),'Atividades Micro'!$L322,"")</f>
        <v/>
      </c>
      <c r="AQ270" s="21" t="str">
        <f>IF(AND('Atividades Micro'!$A322=AQ$2,'Atividades Micro'!$K322&lt;&gt;""),'Atividades Micro'!$K322,"")</f>
        <v/>
      </c>
      <c r="AR270" s="21" t="str">
        <f>IF(AND('Atividades Micro'!$A322=AR$2,'Atividades Micro'!$L322&lt;&gt;""),'Atividades Micro'!$L322,"")</f>
        <v/>
      </c>
      <c r="AS270" s="21" t="str">
        <f>IF(AND('Atividades Micro'!$B322=AS$2,'Atividades Micro'!$K322&lt;&gt;""),'Atividades Micro'!$K322,"")</f>
        <v/>
      </c>
      <c r="AT270" s="21" t="str">
        <f>IF(AND('Atividades Micro'!$B322=AT$2,'Atividades Micro'!$L322&lt;&gt;""),'Atividades Micro'!$L322,"")</f>
        <v/>
      </c>
      <c r="AU270" s="21">
        <f>IF(AND('Atividades Micro'!$A322=AU$2,'Atividades Micro'!$K322&lt;&gt;""),'Atividades Micro'!$K322,"")</f>
        <v>46258</v>
      </c>
      <c r="AV270" s="21">
        <f>IF(AND('Atividades Micro'!$A322=AV$2,'Atividades Micro'!$L322&lt;&gt;""),'Atividades Micro'!$L322,"")</f>
        <v>46258</v>
      </c>
      <c r="AW270" s="21">
        <f>IF(AND('Atividades Micro'!$B322=AW$2,'Atividades Micro'!$K322&lt;&gt;""),'Atividades Micro'!$K322,"")</f>
        <v>46258</v>
      </c>
      <c r="AX270" s="21">
        <f>IF(AND('Atividades Micro'!$B322=AX$2,'Atividades Micro'!$L322&lt;&gt;""),'Atividades Micro'!$L322,"")</f>
        <v>46258</v>
      </c>
      <c r="AY270" s="21" t="str">
        <f>IF(AND('Atividades Micro'!$A322=AY$2,'Atividades Micro'!$K322&lt;&gt;""),'Atividades Micro'!$K322,"")</f>
        <v/>
      </c>
      <c r="AZ270" s="21" t="str">
        <f>IF(AND('Atividades Micro'!$A322=AZ$2,'Atividades Micro'!$L322&lt;&gt;""),'Atividades Micro'!$L322,"")</f>
        <v/>
      </c>
      <c r="BA270" s="21" t="str">
        <f>IF(AND('Atividades Micro'!$B322=BA$2,'Atividades Micro'!$K322&lt;&gt;""),'Atividades Micro'!$K322,"")</f>
        <v/>
      </c>
      <c r="BB270" s="21" t="str">
        <f>IF(AND('Atividades Micro'!$B322=BB$2,'Atividades Micro'!$L322&lt;&gt;""),'Atividades Micro'!$L322,"")</f>
        <v/>
      </c>
      <c r="BC270" s="21" t="str">
        <f>IF(AND('Atividades Micro'!$B322=BC$2,'Atividades Micro'!$G322="Macro",'Atividades Micro'!$K322&lt;&gt;""),'Atividades Micro'!$K322,"")</f>
        <v/>
      </c>
      <c r="BD270" s="21" t="str">
        <f>IF(AND('Atividades Micro'!$B322=BD$2,'Atividades Micro'!$G322="Macro",'Atividades Micro'!$K322&lt;&gt;""),'Atividades Micro'!$K322,"")</f>
        <v/>
      </c>
      <c r="BE270" s="21" t="str">
        <f>IF(AND('Atividades Micro'!$B322=BE$2,'Atividades Micro'!$G322="Macro",'Atividades Micro'!$K322&lt;&gt;""),'Atividades Micro'!$K322,"")</f>
        <v/>
      </c>
      <c r="BF270" s="21" t="str">
        <f>IF(AND('Atividades Micro'!$B322=BF$2,'Atividades Micro'!$G322="Macro",'Atividades Micro'!$K322&lt;&gt;""),'Atividades Micro'!$K322,"")</f>
        <v/>
      </c>
      <c r="BG270" s="21" t="str">
        <f>IF(AND('Atividades Micro'!$B322=BG$2,'Atividades Micro'!$G322="Macro",'Atividades Micro'!$K322&lt;&gt;""),'Atividades Micro'!$K322,"")</f>
        <v/>
      </c>
      <c r="BH270" s="21" t="str">
        <f>IF(AND('Atividades Micro'!$B322=BH$2,'Atividades Micro'!$G322="Macro",'Atividades Micro'!$K322&lt;&gt;""),'Atividades Micro'!$K322,"")</f>
        <v/>
      </c>
      <c r="BI270" s="21" t="str">
        <f>IF(AND('Atividades Micro'!$B322=BI$2,'Atividades Micro'!$G322="Macro",'Atividades Micro'!$K322&lt;&gt;""),'Atividades Micro'!$K322,"")</f>
        <v/>
      </c>
      <c r="BJ270" s="21" t="str">
        <f>IF(AND('Atividades Micro'!$B322=BJ$2,'Atividades Micro'!$G322="Macro",'Atividades Micro'!$K322&lt;&gt;""),'Atividades Micro'!$K322,"")</f>
        <v/>
      </c>
      <c r="BK270" s="21" t="str">
        <f>IF(AND('Atividades Micro'!$B322=BK$2,'Atividades Micro'!$G322="Macro",'Atividades Micro'!$K322&lt;&gt;""),'Atividades Micro'!$K322,"")</f>
        <v/>
      </c>
      <c r="BL270" s="21" t="str">
        <f>IF(AND('Atividades Micro'!$B322=BL$2,'Atividades Micro'!$G322="Macro",'Atividades Micro'!$K322&lt;&gt;""),'Atividades Micro'!$K322,"")</f>
        <v/>
      </c>
      <c r="BM270" s="21" t="str">
        <f>IF(AND('Atividades Micro'!$B322=BM$2,'Atividades Micro'!$G322="Macro",'Atividades Micro'!$K322&lt;&gt;""),'Atividades Micro'!$K322,"")</f>
        <v/>
      </c>
      <c r="BN270" s="21" t="str">
        <f>IF(AND('Atividades Micro'!$B322=BN$2,'Atividades Micro'!$G322="Macro",'Atividades Micro'!$K322&lt;&gt;""),'Atividades Micro'!$K322,"")</f>
        <v/>
      </c>
      <c r="BO270" s="21" t="str">
        <f>IF(AND('Atividades Micro'!$B322=BO$2,'Atividades Micro'!$G322="Macro",'Atividades Micro'!$K322&lt;&gt;""),'Atividades Micro'!$K322,"")</f>
        <v/>
      </c>
      <c r="BP270" s="21" t="str">
        <f>IF(AND('Atividades Micro'!$B322=BP$2,'Atividades Micro'!$G322="Macro",'Atividades Micro'!$K322&lt;&gt;""),'Atividades Micro'!$K322,"")</f>
        <v/>
      </c>
      <c r="BQ270" s="21" t="str">
        <f>IF(AND('Atividades Micro'!$B322=BQ$2,'Atividades Micro'!$G322="Macro",'Atividades Micro'!$K322&lt;&gt;""),'Atividades Micro'!$K322,"")</f>
        <v/>
      </c>
      <c r="BR270" s="21" t="str">
        <f>IF(AND('Atividades Micro'!$B322=BR$2,'Atividades Micro'!$G322="Macro",'Atividades Micro'!$K322&lt;&gt;""),'Atividades Micro'!$K322,"")</f>
        <v/>
      </c>
      <c r="BS270" s="21" t="str">
        <f>IF(AND('Atividades Micro'!$B322=BS$2,'Atividades Micro'!$G322="Macro",'Atividades Micro'!$K322&lt;&gt;""),'Atividades Micro'!$K322,"")</f>
        <v/>
      </c>
      <c r="BT270" s="21" t="str">
        <f>IF(AND('Atividades Micro'!$B322=BT$2,'Atividades Micro'!$G322="Macro",'Atividades Micro'!$K322&lt;&gt;""),'Atividades Micro'!$K322,"")</f>
        <v/>
      </c>
      <c r="BU270" s="21" t="str">
        <f>IF(AND('Atividades Micro'!$B322=BU$2,'Atividades Micro'!$G322="Macro",'Atividades Micro'!$K322&lt;&gt;""),'Atividades Micro'!$K322,"")</f>
        <v/>
      </c>
      <c r="BV270" s="21" t="str">
        <f>IF(AND('Atividades Micro'!$B322=BV$2,'Atividades Micro'!$G322="Macro",'Atividades Micro'!$K322&lt;&gt;""),'Atividades Micro'!$K322,"")</f>
        <v/>
      </c>
      <c r="BW270" s="21" t="str">
        <f>IF(AND('Atividades Micro'!$B322=BW$2,'Atividades Micro'!$G322="Macro",'Atividades Micro'!$K322&lt;&gt;""),'Atividades Micro'!$K322,"")</f>
        <v/>
      </c>
      <c r="BX270" s="21" t="str">
        <f>IF(AND('Atividades Micro'!$B322=BX$2,'Atividades Micro'!$G322="Macro",'Atividades Micro'!$K322&lt;&gt;""),'Atividades Micro'!$K322,"")</f>
        <v/>
      </c>
      <c r="BY270" s="21" t="str">
        <f>IF(AND('Atividades Micro'!$B322=BY$2,'Atividades Micro'!$G322="Macro",'Atividades Micro'!$K322&lt;&gt;""),'Atividades Micro'!$K322,"")</f>
        <v/>
      </c>
      <c r="BZ270" s="21" t="str">
        <f>IF(AND('Atividades Micro'!$B322=BZ$2,'Atividades Micro'!$G322="Macro",'Atividades Micro'!$K322&lt;&gt;""),'Atividades Micro'!$K322,"")</f>
        <v/>
      </c>
      <c r="CA270" s="21" t="str">
        <f>IF(AND('Atividades Micro'!$B322=CA$2,'Atividades Micro'!$G322="Macro",'Atividades Micro'!$K322&lt;&gt;""),'Atividades Micro'!$K322,"")</f>
        <v/>
      </c>
      <c r="CB270" s="21" t="str">
        <f>IF(AND('Atividades Micro'!$B322=CB$2,'Atividades Micro'!$G322="Macro",'Atividades Micro'!$K322&lt;&gt;""),'Atividades Micro'!$K322,"")</f>
        <v/>
      </c>
      <c r="CC270" s="21" t="str">
        <f>IF(AND('Atividades Micro'!$B322=CC$2,'Atividades Micro'!$G322="Macro",'Atividades Micro'!$K322&lt;&gt;""),'Atividades Micro'!$K322,"")</f>
        <v/>
      </c>
      <c r="CD270" s="21" t="str">
        <f>IF(AND('Atividades Micro'!$B322=CD$2,'Atividades Micro'!$G322="Micro",'Atividades Micro'!$K322&lt;&gt;""),'Atividades Micro'!$K322,"")</f>
        <v/>
      </c>
      <c r="CE270" s="21" t="str">
        <f>IF(AND('Atividades Micro'!$B322=CE$2,'Atividades Micro'!$G322="Micro",'Atividades Micro'!$K322&lt;&gt;""),'Atividades Micro'!$K322,"")</f>
        <v/>
      </c>
      <c r="CF270" s="21" t="str">
        <f>IF(AND('Atividades Micro'!$B322=CF$2,'Atividades Micro'!$G322="Micro",'Atividades Micro'!$K322&lt;&gt;""),'Atividades Micro'!$K322,"")</f>
        <v/>
      </c>
      <c r="CG270" s="21" t="str">
        <f>IF(AND('Atividades Micro'!$B322=CG$2,'Atividades Micro'!$G322="Micro",'Atividades Micro'!$K322&lt;&gt;""),'Atividades Micro'!$K322,"")</f>
        <v/>
      </c>
      <c r="CH270" s="21" t="str">
        <f>IF(AND('Atividades Micro'!$B322=CH$2,'Atividades Micro'!$G322="Micro",'Atividades Micro'!$K322&lt;&gt;""),'Atividades Micro'!$K322,"")</f>
        <v/>
      </c>
      <c r="CI270" s="21" t="str">
        <f>IF(AND('Atividades Micro'!$B322=CI$2,'Atividades Micro'!$G322="Micro",'Atividades Micro'!$K322&lt;&gt;""),'Atividades Micro'!$K322,"")</f>
        <v/>
      </c>
      <c r="CJ270" s="21" t="str">
        <f>IF(AND('Atividades Micro'!$B322=CJ$2,'Atividades Micro'!$G322="Micro",'Atividades Micro'!$K322&lt;&gt;""),'Atividades Micro'!$K322,"")</f>
        <v/>
      </c>
      <c r="CK270" s="21" t="str">
        <f>IF(AND('Atividades Micro'!$B322=CK$2,'Atividades Micro'!$G322="Micro",'Atividades Micro'!$K322&lt;&gt;""),'Atividades Micro'!$K322,"")</f>
        <v/>
      </c>
      <c r="CL270" s="21" t="str">
        <f>IF(AND('Atividades Micro'!$B322=CL$2,'Atividades Micro'!$G322="Micro",'Atividades Micro'!$K322&lt;&gt;""),'Atividades Micro'!$K322,"")</f>
        <v/>
      </c>
      <c r="CM270" s="21" t="str">
        <f>IF(AND('Atividades Micro'!$B322=CM$2,'Atividades Micro'!$G322="Micro",'Atividades Micro'!$K322&lt;&gt;""),'Atividades Micro'!$K322,"")</f>
        <v/>
      </c>
      <c r="CN270" s="21" t="str">
        <f>IF(AND('Atividades Micro'!$B322=CN$2,'Atividades Micro'!$G322="Micro",'Atividades Micro'!$K322&lt;&gt;""),'Atividades Micro'!$K322,"")</f>
        <v/>
      </c>
      <c r="CO270" s="21" t="str">
        <f>IF(AND('Atividades Micro'!$B322=CO$2,'Atividades Micro'!$G322="Micro",'Atividades Micro'!$K322&lt;&gt;""),'Atividades Micro'!$K322,"")</f>
        <v/>
      </c>
    </row>
    <row r="271" spans="1:93">
      <c r="A271" s="21" t="str">
        <f>IF(AND('Atividades Micro'!$A323=A$2,'Atividades Micro'!$K323&lt;&gt;""),'Atividades Micro'!$K323,"")</f>
        <v/>
      </c>
      <c r="B271" s="21" t="str">
        <f>IF(AND('Atividades Micro'!$A323=B$2,'Atividades Micro'!$L323&lt;&gt;""),'Atividades Micro'!$L323,"")</f>
        <v/>
      </c>
      <c r="C271" s="21" t="str">
        <f>IF(AND('Atividades Micro'!$A323=C$2,'Atividades Micro'!$K323&lt;&gt;""),'Atividades Micro'!$K323,"")</f>
        <v/>
      </c>
      <c r="D271" s="21" t="str">
        <f>IF(AND('Atividades Micro'!$A323=D$2,'Atividades Micro'!$L323&lt;&gt;""),'Atividades Micro'!$L323,"")</f>
        <v/>
      </c>
      <c r="E271" s="21" t="str">
        <f>IF(AND('Atividades Micro'!$A323=E$2,'Atividades Micro'!$K323&lt;&gt;""),'Atividades Micro'!$K323,"")</f>
        <v/>
      </c>
      <c r="F271" s="21" t="str">
        <f>IF(AND('Atividades Micro'!$A323=F$2,'Atividades Micro'!$L323&lt;&gt;""),'Atividades Micro'!$L323,"")</f>
        <v/>
      </c>
      <c r="G271" s="21" t="str">
        <f>IF(AND('Atividades Micro'!$A323=G$2,'Atividades Micro'!$K323&lt;&gt;""),'Atividades Micro'!$K323,"")</f>
        <v/>
      </c>
      <c r="H271" s="21" t="str">
        <f>IF(AND('Atividades Micro'!$A323=H$2,'Atividades Micro'!$L323&lt;&gt;""),'Atividades Micro'!$L323,"")</f>
        <v/>
      </c>
      <c r="I271" s="21" t="str">
        <f>IF(AND('Atividades Micro'!$A323=I$2,'Atividades Micro'!$K323&lt;&gt;""),'Atividades Micro'!$K323,"")</f>
        <v/>
      </c>
      <c r="J271" s="21" t="str">
        <f>IF(AND('Atividades Micro'!$A323=J$2,'Atividades Micro'!$L323&lt;&gt;""),'Atividades Micro'!$L323,"")</f>
        <v/>
      </c>
      <c r="K271" s="21" t="str">
        <f>IF(AND('Atividades Micro'!$B323=K$2,'Atividades Micro'!$K323&lt;&gt;""),'Atividades Micro'!$K323,"")</f>
        <v/>
      </c>
      <c r="L271" s="21" t="str">
        <f>IF(AND('Atividades Micro'!$B323=L$2,'Atividades Micro'!$L323&lt;&gt;""),'Atividades Micro'!$L323,"")</f>
        <v/>
      </c>
      <c r="M271" s="21" t="str">
        <f>IF(AND('Atividades Micro'!$B323=M$2,'Atividades Micro'!$K323&lt;&gt;""),'Atividades Micro'!$K323,"")</f>
        <v/>
      </c>
      <c r="N271" s="21" t="str">
        <f>IF(AND('Atividades Micro'!$B323=N$2,'Atividades Micro'!$L323&lt;&gt;""),'Atividades Micro'!$L323,"")</f>
        <v/>
      </c>
      <c r="O271" s="21" t="str">
        <f>IF(AND('Atividades Micro'!$A323=O$2,'Atividades Micro'!$K323&lt;&gt;""),'Atividades Micro'!$K323,"")</f>
        <v/>
      </c>
      <c r="P271" s="21" t="str">
        <f>IF(AND('Atividades Micro'!$A323=P$2,'Atividades Micro'!$L323&lt;&gt;""),'Atividades Micro'!$L323,"")</f>
        <v/>
      </c>
      <c r="Q271" s="21" t="str">
        <f>IF(AND('Atividades Micro'!$B323=Q$2,'Atividades Micro'!$K323&lt;&gt;""),'Atividades Micro'!$K323,"")</f>
        <v/>
      </c>
      <c r="R271" s="21" t="str">
        <f>IF(AND('Atividades Micro'!$B323=R$2,'Atividades Micro'!$L323&lt;&gt;""),'Atividades Micro'!$L323,"")</f>
        <v/>
      </c>
      <c r="S271" s="21" t="str">
        <f>IF(AND('Atividades Micro'!$A323=S$2,'Atividades Micro'!$K323&lt;&gt;""),'Atividades Micro'!$K323,"")</f>
        <v/>
      </c>
      <c r="T271" s="21" t="str">
        <f>IF(AND('Atividades Micro'!$A323=T$2,'Atividades Micro'!$L323&lt;&gt;""),'Atividades Micro'!$L323,"")</f>
        <v/>
      </c>
      <c r="U271" s="21" t="str">
        <f>IF(AND('Atividades Micro'!$B323=U$2,'Atividades Micro'!$K323&lt;&gt;""),'Atividades Micro'!$K323,"")</f>
        <v/>
      </c>
      <c r="V271" s="21" t="str">
        <f>IF(AND('Atividades Micro'!$B323=V$2,'Atividades Micro'!$L323&lt;&gt;""),'Atividades Micro'!$L323,"")</f>
        <v/>
      </c>
      <c r="W271" s="21" t="str">
        <f>IF(AND('Atividades Micro'!$B323=W$2,'Atividades Micro'!$K323&lt;&gt;""),'Atividades Micro'!$K323,"")</f>
        <v/>
      </c>
      <c r="X271" s="21" t="str">
        <f>IF(AND('Atividades Micro'!$B323=X$2,'Atividades Micro'!$L323&lt;&gt;""),'Atividades Micro'!$L323,"")</f>
        <v/>
      </c>
      <c r="Y271" s="21" t="str">
        <f>IF(AND('Atividades Micro'!$A323=Y$2,'Atividades Micro'!$K323&lt;&gt;""),'Atividades Micro'!$K323,"")</f>
        <v/>
      </c>
      <c r="Z271" s="21" t="str">
        <f>IF(AND('Atividades Micro'!$A323=Z$2,'Atividades Micro'!$L323&lt;&gt;""),'Atividades Micro'!$L323,"")</f>
        <v/>
      </c>
      <c r="AA271" s="21" t="str">
        <f>IF(AND('Atividades Micro'!$B323=AA$2,'Atividades Micro'!$K323&lt;&gt;""),'Atividades Micro'!$K323,"")</f>
        <v/>
      </c>
      <c r="AB271" s="21" t="str">
        <f>IF(AND('Atividades Micro'!$B323=AB$2,'Atividades Micro'!$L323&lt;&gt;""),'Atividades Micro'!$L323,"")</f>
        <v/>
      </c>
      <c r="AC271" s="21" t="str">
        <f>IF(AND('Atividades Micro'!$B323=AC$2,'Atividades Micro'!$K323&lt;&gt;""),'Atividades Micro'!$K323,"")</f>
        <v/>
      </c>
      <c r="AD271" s="21" t="str">
        <f>IF(AND('Atividades Micro'!$B323=AD$2,'Atividades Micro'!$L323&lt;&gt;""),'Atividades Micro'!$L323,"")</f>
        <v/>
      </c>
      <c r="AE271" s="21" t="str">
        <f>IF(AND('Atividades Micro'!$A323=AE$2,'Atividades Micro'!$K323&lt;&gt;""),'Atividades Micro'!$K323,"")</f>
        <v/>
      </c>
      <c r="AF271" s="21" t="str">
        <f>IF(AND('Atividades Micro'!$A323=AF$2,'Atividades Micro'!$L323&lt;&gt;""),'Atividades Micro'!$L323,"")</f>
        <v/>
      </c>
      <c r="AG271" s="21" t="str">
        <f>IF(AND('Atividades Micro'!$B323=AG$2,'Atividades Micro'!$K323&lt;&gt;""),'Atividades Micro'!$K323,"")</f>
        <v/>
      </c>
      <c r="AH271" s="21" t="str">
        <f>IF(AND('Atividades Micro'!$B323=AH$2,'Atividades Micro'!$L323&lt;&gt;""),'Atividades Micro'!$L323,"")</f>
        <v/>
      </c>
      <c r="AI271" s="21" t="str">
        <f>IF(AND('Atividades Micro'!$B323=AI$2,'Atividades Micro'!$K323&lt;&gt;""),'Atividades Micro'!$K323,"")</f>
        <v/>
      </c>
      <c r="AJ271" s="21" t="str">
        <f>IF(AND('Atividades Micro'!$B323=AJ$2,'Atividades Micro'!$L323&lt;&gt;""),'Atividades Micro'!$L323,"")</f>
        <v/>
      </c>
      <c r="AK271" s="21" t="str">
        <f>IF(AND('Atividades Micro'!$A323=AK$2,'Atividades Micro'!$K323&lt;&gt;""),'Atividades Micro'!$K323,"")</f>
        <v/>
      </c>
      <c r="AL271" s="21" t="str">
        <f>IF(AND('Atividades Micro'!$A323=AL$2,'Atividades Micro'!$L323&lt;&gt;""),'Atividades Micro'!$L323,"")</f>
        <v/>
      </c>
      <c r="AM271" s="21" t="str">
        <f>IF(AND('Atividades Micro'!$B323=AM$2,'Atividades Micro'!$K323&lt;&gt;""),'Atividades Micro'!$K323,"")</f>
        <v/>
      </c>
      <c r="AN271" s="21" t="str">
        <f>IF(AND('Atividades Micro'!$B323=AN$2,'Atividades Micro'!$L323&lt;&gt;""),'Atividades Micro'!$L323,"")</f>
        <v/>
      </c>
      <c r="AO271" s="21" t="str">
        <f>IF(AND('Atividades Micro'!$B323=AO$2,'Atividades Micro'!$K323&lt;&gt;""),'Atividades Micro'!$K323,"")</f>
        <v/>
      </c>
      <c r="AP271" s="21" t="str">
        <f>IF(AND('Atividades Micro'!$B323=AP$2,'Atividades Micro'!$L323&lt;&gt;""),'Atividades Micro'!$L323,"")</f>
        <v/>
      </c>
      <c r="AQ271" s="21" t="str">
        <f>IF(AND('Atividades Micro'!$A323=AQ$2,'Atividades Micro'!$K323&lt;&gt;""),'Atividades Micro'!$K323,"")</f>
        <v/>
      </c>
      <c r="AR271" s="21" t="str">
        <f>IF(AND('Atividades Micro'!$A323=AR$2,'Atividades Micro'!$L323&lt;&gt;""),'Atividades Micro'!$L323,"")</f>
        <v/>
      </c>
      <c r="AS271" s="21" t="str">
        <f>IF(AND('Atividades Micro'!$B323=AS$2,'Atividades Micro'!$K323&lt;&gt;""),'Atividades Micro'!$K323,"")</f>
        <v/>
      </c>
      <c r="AT271" s="21" t="str">
        <f>IF(AND('Atividades Micro'!$B323=AT$2,'Atividades Micro'!$L323&lt;&gt;""),'Atividades Micro'!$L323,"")</f>
        <v/>
      </c>
      <c r="AU271" s="21">
        <f>IF(AND('Atividades Micro'!$A323=AU$2,'Atividades Micro'!$K323&lt;&gt;""),'Atividades Micro'!$K323,"")</f>
        <v>46234</v>
      </c>
      <c r="AV271" s="21">
        <f>IF(AND('Atividades Micro'!$A323=AV$2,'Atividades Micro'!$L323&lt;&gt;""),'Atividades Micro'!$L323,"")</f>
        <v>46296</v>
      </c>
      <c r="AW271" s="21">
        <f>IF(AND('Atividades Micro'!$B323=AW$2,'Atividades Micro'!$K323&lt;&gt;""),'Atividades Micro'!$K323,"")</f>
        <v>46234</v>
      </c>
      <c r="AX271" s="21">
        <f>IF(AND('Atividades Micro'!$B323=AX$2,'Atividades Micro'!$L323&lt;&gt;""),'Atividades Micro'!$L323,"")</f>
        <v>46296</v>
      </c>
      <c r="AY271" s="21" t="str">
        <f>IF(AND('Atividades Micro'!$A323=AY$2,'Atividades Micro'!$K323&lt;&gt;""),'Atividades Micro'!$K323,"")</f>
        <v/>
      </c>
      <c r="AZ271" s="21" t="str">
        <f>IF(AND('Atividades Micro'!$A323=AZ$2,'Atividades Micro'!$L323&lt;&gt;""),'Atividades Micro'!$L323,"")</f>
        <v/>
      </c>
      <c r="BA271" s="21" t="str">
        <f>IF(AND('Atividades Micro'!$B323=BA$2,'Atividades Micro'!$K323&lt;&gt;""),'Atividades Micro'!$K323,"")</f>
        <v/>
      </c>
      <c r="BB271" s="21" t="str">
        <f>IF(AND('Atividades Micro'!$B323=BB$2,'Atividades Micro'!$L323&lt;&gt;""),'Atividades Micro'!$L323,"")</f>
        <v/>
      </c>
      <c r="BC271" s="21" t="str">
        <f>IF(AND('Atividades Micro'!$B323=BC$2,'Atividades Micro'!$G323="Macro",'Atividades Micro'!$K323&lt;&gt;""),'Atividades Micro'!$K323,"")</f>
        <v/>
      </c>
      <c r="BD271" s="21" t="str">
        <f>IF(AND('Atividades Micro'!$B323=BD$2,'Atividades Micro'!$G323="Macro",'Atividades Micro'!$K323&lt;&gt;""),'Atividades Micro'!$K323,"")</f>
        <v/>
      </c>
      <c r="BE271" s="21" t="str">
        <f>IF(AND('Atividades Micro'!$B323=BE$2,'Atividades Micro'!$G323="Macro",'Atividades Micro'!$K323&lt;&gt;""),'Atividades Micro'!$K323,"")</f>
        <v/>
      </c>
      <c r="BF271" s="21" t="str">
        <f>IF(AND('Atividades Micro'!$B323=BF$2,'Atividades Micro'!$G323="Macro",'Atividades Micro'!$K323&lt;&gt;""),'Atividades Micro'!$K323,"")</f>
        <v/>
      </c>
      <c r="BG271" s="21" t="str">
        <f>IF(AND('Atividades Micro'!$B323=BG$2,'Atividades Micro'!$G323="Macro",'Atividades Micro'!$K323&lt;&gt;""),'Atividades Micro'!$K323,"")</f>
        <v/>
      </c>
      <c r="BH271" s="21" t="str">
        <f>IF(AND('Atividades Micro'!$B323=BH$2,'Atividades Micro'!$G323="Macro",'Atividades Micro'!$K323&lt;&gt;""),'Atividades Micro'!$K323,"")</f>
        <v/>
      </c>
      <c r="BI271" s="21" t="str">
        <f>IF(AND('Atividades Micro'!$B323=BI$2,'Atividades Micro'!$G323="Macro",'Atividades Micro'!$K323&lt;&gt;""),'Atividades Micro'!$K323,"")</f>
        <v/>
      </c>
      <c r="BJ271" s="21" t="str">
        <f>IF(AND('Atividades Micro'!$B323=BJ$2,'Atividades Micro'!$G323="Macro",'Atividades Micro'!$K323&lt;&gt;""),'Atividades Micro'!$K323,"")</f>
        <v/>
      </c>
      <c r="BK271" s="21" t="str">
        <f>IF(AND('Atividades Micro'!$B323=BK$2,'Atividades Micro'!$G323="Macro",'Atividades Micro'!$K323&lt;&gt;""),'Atividades Micro'!$K323,"")</f>
        <v/>
      </c>
      <c r="BL271" s="21" t="str">
        <f>IF(AND('Atividades Micro'!$B323=BL$2,'Atividades Micro'!$G323="Macro",'Atividades Micro'!$K323&lt;&gt;""),'Atividades Micro'!$K323,"")</f>
        <v/>
      </c>
      <c r="BM271" s="21" t="str">
        <f>IF(AND('Atividades Micro'!$B323=BM$2,'Atividades Micro'!$G323="Macro",'Atividades Micro'!$K323&lt;&gt;""),'Atividades Micro'!$K323,"")</f>
        <v/>
      </c>
      <c r="BN271" s="21" t="str">
        <f>IF(AND('Atividades Micro'!$B323=BN$2,'Atividades Micro'!$G323="Macro",'Atividades Micro'!$K323&lt;&gt;""),'Atividades Micro'!$K323,"")</f>
        <v/>
      </c>
      <c r="BO271" s="21" t="str">
        <f>IF(AND('Atividades Micro'!$B323=BO$2,'Atividades Micro'!$G323="Macro",'Atividades Micro'!$K323&lt;&gt;""),'Atividades Micro'!$K323,"")</f>
        <v/>
      </c>
      <c r="BP271" s="21" t="str">
        <f>IF(AND('Atividades Micro'!$B323=BP$2,'Atividades Micro'!$G323="Macro",'Atividades Micro'!$K323&lt;&gt;""),'Atividades Micro'!$K323,"")</f>
        <v/>
      </c>
      <c r="BQ271" s="21" t="str">
        <f>IF(AND('Atividades Micro'!$B323=BQ$2,'Atividades Micro'!$G323="Macro",'Atividades Micro'!$K323&lt;&gt;""),'Atividades Micro'!$K323,"")</f>
        <v/>
      </c>
      <c r="BR271" s="21" t="str">
        <f>IF(AND('Atividades Micro'!$B323=BR$2,'Atividades Micro'!$G323="Macro",'Atividades Micro'!$K323&lt;&gt;""),'Atividades Micro'!$K323,"")</f>
        <v/>
      </c>
      <c r="BS271" s="21" t="str">
        <f>IF(AND('Atividades Micro'!$B323=BS$2,'Atividades Micro'!$G323="Macro",'Atividades Micro'!$K323&lt;&gt;""),'Atividades Micro'!$K323,"")</f>
        <v/>
      </c>
      <c r="BT271" s="21" t="str">
        <f>IF(AND('Atividades Micro'!$B323=BT$2,'Atividades Micro'!$G323="Macro",'Atividades Micro'!$K323&lt;&gt;""),'Atividades Micro'!$K323,"")</f>
        <v/>
      </c>
      <c r="BU271" s="21" t="str">
        <f>IF(AND('Atividades Micro'!$B323=BU$2,'Atividades Micro'!$G323="Macro",'Atividades Micro'!$K323&lt;&gt;""),'Atividades Micro'!$K323,"")</f>
        <v/>
      </c>
      <c r="BV271" s="21" t="str">
        <f>IF(AND('Atividades Micro'!$B323=BV$2,'Atividades Micro'!$G323="Macro",'Atividades Micro'!$K323&lt;&gt;""),'Atividades Micro'!$K323,"")</f>
        <v/>
      </c>
      <c r="BW271" s="21" t="str">
        <f>IF(AND('Atividades Micro'!$B323=BW$2,'Atividades Micro'!$G323="Macro",'Atividades Micro'!$K323&lt;&gt;""),'Atividades Micro'!$K323,"")</f>
        <v/>
      </c>
      <c r="BX271" s="21" t="str">
        <f>IF(AND('Atividades Micro'!$B323=BX$2,'Atividades Micro'!$G323="Macro",'Atividades Micro'!$K323&lt;&gt;""),'Atividades Micro'!$K323,"")</f>
        <v/>
      </c>
      <c r="BY271" s="21" t="str">
        <f>IF(AND('Atividades Micro'!$B323=BY$2,'Atividades Micro'!$G323="Macro",'Atividades Micro'!$K323&lt;&gt;""),'Atividades Micro'!$K323,"")</f>
        <v/>
      </c>
      <c r="BZ271" s="21" t="str">
        <f>IF(AND('Atividades Micro'!$B323=BZ$2,'Atividades Micro'!$G323="Macro",'Atividades Micro'!$K323&lt;&gt;""),'Atividades Micro'!$K323,"")</f>
        <v/>
      </c>
      <c r="CA271" s="21" t="str">
        <f>IF(AND('Atividades Micro'!$B323=CA$2,'Atividades Micro'!$G323="Macro",'Atividades Micro'!$K323&lt;&gt;""),'Atividades Micro'!$K323,"")</f>
        <v/>
      </c>
      <c r="CB271" s="21" t="str">
        <f>IF(AND('Atividades Micro'!$B323=CB$2,'Atividades Micro'!$G323="Macro",'Atividades Micro'!$K323&lt;&gt;""),'Atividades Micro'!$K323,"")</f>
        <v/>
      </c>
      <c r="CC271" s="21" t="str">
        <f>IF(AND('Atividades Micro'!$B323=CC$2,'Atividades Micro'!$G323="Macro",'Atividades Micro'!$K323&lt;&gt;""),'Atividades Micro'!$K323,"")</f>
        <v/>
      </c>
      <c r="CD271" s="21" t="str">
        <f>IF(AND('Atividades Micro'!$B323=CD$2,'Atividades Micro'!$G323="Micro",'Atividades Micro'!$K323&lt;&gt;""),'Atividades Micro'!$K323,"")</f>
        <v/>
      </c>
      <c r="CE271" s="21" t="str">
        <f>IF(AND('Atividades Micro'!$B323=CE$2,'Atividades Micro'!$G323="Micro",'Atividades Micro'!$K323&lt;&gt;""),'Atividades Micro'!$K323,"")</f>
        <v/>
      </c>
      <c r="CF271" s="21" t="str">
        <f>IF(AND('Atividades Micro'!$B323=CF$2,'Atividades Micro'!$G323="Micro",'Atividades Micro'!$K323&lt;&gt;""),'Atividades Micro'!$K323,"")</f>
        <v/>
      </c>
      <c r="CG271" s="21" t="str">
        <f>IF(AND('Atividades Micro'!$B323=CG$2,'Atividades Micro'!$G323="Micro",'Atividades Micro'!$K323&lt;&gt;""),'Atividades Micro'!$K323,"")</f>
        <v/>
      </c>
      <c r="CH271" s="21" t="str">
        <f>IF(AND('Atividades Micro'!$B323=CH$2,'Atividades Micro'!$G323="Micro",'Atividades Micro'!$K323&lt;&gt;""),'Atividades Micro'!$K323,"")</f>
        <v/>
      </c>
      <c r="CI271" s="21" t="str">
        <f>IF(AND('Atividades Micro'!$B323=CI$2,'Atividades Micro'!$G323="Micro",'Atividades Micro'!$K323&lt;&gt;""),'Atividades Micro'!$K323,"")</f>
        <v/>
      </c>
      <c r="CJ271" s="21" t="str">
        <f>IF(AND('Atividades Micro'!$B323=CJ$2,'Atividades Micro'!$G323="Micro",'Atividades Micro'!$K323&lt;&gt;""),'Atividades Micro'!$K323,"")</f>
        <v/>
      </c>
      <c r="CK271" s="21" t="str">
        <f>IF(AND('Atividades Micro'!$B323=CK$2,'Atividades Micro'!$G323="Micro",'Atividades Micro'!$K323&lt;&gt;""),'Atividades Micro'!$K323,"")</f>
        <v/>
      </c>
      <c r="CL271" s="21" t="str">
        <f>IF(AND('Atividades Micro'!$B323=CL$2,'Atividades Micro'!$G323="Micro",'Atividades Micro'!$K323&lt;&gt;""),'Atividades Micro'!$K323,"")</f>
        <v/>
      </c>
      <c r="CM271" s="21" t="str">
        <f>IF(AND('Atividades Micro'!$B323=CM$2,'Atividades Micro'!$G323="Micro",'Atividades Micro'!$K323&lt;&gt;""),'Atividades Micro'!$K323,"")</f>
        <v/>
      </c>
      <c r="CN271" s="21" t="str">
        <f>IF(AND('Atividades Micro'!$B323=CN$2,'Atividades Micro'!$G323="Micro",'Atividades Micro'!$K323&lt;&gt;""),'Atividades Micro'!$K323,"")</f>
        <v/>
      </c>
      <c r="CO271" s="21" t="str">
        <f>IF(AND('Atividades Micro'!$B323=CO$2,'Atividades Micro'!$G323="Micro",'Atividades Micro'!$K323&lt;&gt;""),'Atividades Micro'!$K323,"")</f>
        <v/>
      </c>
    </row>
    <row r="272" spans="1:93">
      <c r="A272" s="21" t="str">
        <f>IF(AND('Atividades Micro'!$A324=A$2,'Atividades Micro'!$K324&lt;&gt;""),'Atividades Micro'!$K324,"")</f>
        <v/>
      </c>
      <c r="B272" s="21" t="str">
        <f>IF(AND('Atividades Micro'!$A324=B$2,'Atividades Micro'!$L324&lt;&gt;""),'Atividades Micro'!$L324,"")</f>
        <v/>
      </c>
      <c r="C272" s="21" t="str">
        <f>IF(AND('Atividades Micro'!$A324=C$2,'Atividades Micro'!$K324&lt;&gt;""),'Atividades Micro'!$K324,"")</f>
        <v/>
      </c>
      <c r="D272" s="21" t="str">
        <f>IF(AND('Atividades Micro'!$A324=D$2,'Atividades Micro'!$L324&lt;&gt;""),'Atividades Micro'!$L324,"")</f>
        <v/>
      </c>
      <c r="E272" s="21" t="str">
        <f>IF(AND('Atividades Micro'!$A324=E$2,'Atividades Micro'!$K324&lt;&gt;""),'Atividades Micro'!$K324,"")</f>
        <v/>
      </c>
      <c r="F272" s="21" t="str">
        <f>IF(AND('Atividades Micro'!$A324=F$2,'Atividades Micro'!$L324&lt;&gt;""),'Atividades Micro'!$L324,"")</f>
        <v/>
      </c>
      <c r="G272" s="21" t="str">
        <f>IF(AND('Atividades Micro'!$A324=G$2,'Atividades Micro'!$K324&lt;&gt;""),'Atividades Micro'!$K324,"")</f>
        <v/>
      </c>
      <c r="H272" s="21" t="str">
        <f>IF(AND('Atividades Micro'!$A324=H$2,'Atividades Micro'!$L324&lt;&gt;""),'Atividades Micro'!$L324,"")</f>
        <v/>
      </c>
      <c r="I272" s="21" t="str">
        <f>IF(AND('Atividades Micro'!$A324=I$2,'Atividades Micro'!$K324&lt;&gt;""),'Atividades Micro'!$K324,"")</f>
        <v/>
      </c>
      <c r="J272" s="21" t="str">
        <f>IF(AND('Atividades Micro'!$A324=J$2,'Atividades Micro'!$L324&lt;&gt;""),'Atividades Micro'!$L324,"")</f>
        <v/>
      </c>
      <c r="K272" s="21" t="str">
        <f>IF(AND('Atividades Micro'!$B324=K$2,'Atividades Micro'!$K324&lt;&gt;""),'Atividades Micro'!$K324,"")</f>
        <v/>
      </c>
      <c r="L272" s="21" t="str">
        <f>IF(AND('Atividades Micro'!$B324=L$2,'Atividades Micro'!$L324&lt;&gt;""),'Atividades Micro'!$L324,"")</f>
        <v/>
      </c>
      <c r="M272" s="21" t="str">
        <f>IF(AND('Atividades Micro'!$B324=M$2,'Atividades Micro'!$K324&lt;&gt;""),'Atividades Micro'!$K324,"")</f>
        <v/>
      </c>
      <c r="N272" s="21" t="str">
        <f>IF(AND('Atividades Micro'!$B324=N$2,'Atividades Micro'!$L324&lt;&gt;""),'Atividades Micro'!$L324,"")</f>
        <v/>
      </c>
      <c r="O272" s="21" t="str">
        <f>IF(AND('Atividades Micro'!$A324=O$2,'Atividades Micro'!$K324&lt;&gt;""),'Atividades Micro'!$K324,"")</f>
        <v/>
      </c>
      <c r="P272" s="21" t="str">
        <f>IF(AND('Atividades Micro'!$A324=P$2,'Atividades Micro'!$L324&lt;&gt;""),'Atividades Micro'!$L324,"")</f>
        <v/>
      </c>
      <c r="Q272" s="21" t="str">
        <f>IF(AND('Atividades Micro'!$B324=Q$2,'Atividades Micro'!$K324&lt;&gt;""),'Atividades Micro'!$K324,"")</f>
        <v/>
      </c>
      <c r="R272" s="21" t="str">
        <f>IF(AND('Atividades Micro'!$B324=R$2,'Atividades Micro'!$L324&lt;&gt;""),'Atividades Micro'!$L324,"")</f>
        <v/>
      </c>
      <c r="S272" s="21" t="str">
        <f>IF(AND('Atividades Micro'!$A324=S$2,'Atividades Micro'!$K324&lt;&gt;""),'Atividades Micro'!$K324,"")</f>
        <v/>
      </c>
      <c r="T272" s="21" t="str">
        <f>IF(AND('Atividades Micro'!$A324=T$2,'Atividades Micro'!$L324&lt;&gt;""),'Atividades Micro'!$L324,"")</f>
        <v/>
      </c>
      <c r="U272" s="21" t="str">
        <f>IF(AND('Atividades Micro'!$B324=U$2,'Atividades Micro'!$K324&lt;&gt;""),'Atividades Micro'!$K324,"")</f>
        <v/>
      </c>
      <c r="V272" s="21" t="str">
        <f>IF(AND('Atividades Micro'!$B324=V$2,'Atividades Micro'!$L324&lt;&gt;""),'Atividades Micro'!$L324,"")</f>
        <v/>
      </c>
      <c r="W272" s="21" t="str">
        <f>IF(AND('Atividades Micro'!$B324=W$2,'Atividades Micro'!$K324&lt;&gt;""),'Atividades Micro'!$K324,"")</f>
        <v/>
      </c>
      <c r="X272" s="21" t="str">
        <f>IF(AND('Atividades Micro'!$B324=X$2,'Atividades Micro'!$L324&lt;&gt;""),'Atividades Micro'!$L324,"")</f>
        <v/>
      </c>
      <c r="Y272" s="21" t="str">
        <f>IF(AND('Atividades Micro'!$A324=Y$2,'Atividades Micro'!$K324&lt;&gt;""),'Atividades Micro'!$K324,"")</f>
        <v/>
      </c>
      <c r="Z272" s="21" t="str">
        <f>IF(AND('Atividades Micro'!$A324=Z$2,'Atividades Micro'!$L324&lt;&gt;""),'Atividades Micro'!$L324,"")</f>
        <v/>
      </c>
      <c r="AA272" s="21" t="str">
        <f>IF(AND('Atividades Micro'!$B324=AA$2,'Atividades Micro'!$K324&lt;&gt;""),'Atividades Micro'!$K324,"")</f>
        <v/>
      </c>
      <c r="AB272" s="21" t="str">
        <f>IF(AND('Atividades Micro'!$B324=AB$2,'Atividades Micro'!$L324&lt;&gt;""),'Atividades Micro'!$L324,"")</f>
        <v/>
      </c>
      <c r="AC272" s="21" t="str">
        <f>IF(AND('Atividades Micro'!$B324=AC$2,'Atividades Micro'!$K324&lt;&gt;""),'Atividades Micro'!$K324,"")</f>
        <v/>
      </c>
      <c r="AD272" s="21" t="str">
        <f>IF(AND('Atividades Micro'!$B324=AD$2,'Atividades Micro'!$L324&lt;&gt;""),'Atividades Micro'!$L324,"")</f>
        <v/>
      </c>
      <c r="AE272" s="21" t="str">
        <f>IF(AND('Atividades Micro'!$A324=AE$2,'Atividades Micro'!$K324&lt;&gt;""),'Atividades Micro'!$K324,"")</f>
        <v/>
      </c>
      <c r="AF272" s="21" t="str">
        <f>IF(AND('Atividades Micro'!$A324=AF$2,'Atividades Micro'!$L324&lt;&gt;""),'Atividades Micro'!$L324,"")</f>
        <v/>
      </c>
      <c r="AG272" s="21" t="str">
        <f>IF(AND('Atividades Micro'!$B324=AG$2,'Atividades Micro'!$K324&lt;&gt;""),'Atividades Micro'!$K324,"")</f>
        <v/>
      </c>
      <c r="AH272" s="21" t="str">
        <f>IF(AND('Atividades Micro'!$B324=AH$2,'Atividades Micro'!$L324&lt;&gt;""),'Atividades Micro'!$L324,"")</f>
        <v/>
      </c>
      <c r="AI272" s="21" t="str">
        <f>IF(AND('Atividades Micro'!$B324=AI$2,'Atividades Micro'!$K324&lt;&gt;""),'Atividades Micro'!$K324,"")</f>
        <v/>
      </c>
      <c r="AJ272" s="21" t="str">
        <f>IF(AND('Atividades Micro'!$B324=AJ$2,'Atividades Micro'!$L324&lt;&gt;""),'Atividades Micro'!$L324,"")</f>
        <v/>
      </c>
      <c r="AK272" s="21" t="str">
        <f>IF(AND('Atividades Micro'!$A324=AK$2,'Atividades Micro'!$K324&lt;&gt;""),'Atividades Micro'!$K324,"")</f>
        <v/>
      </c>
      <c r="AL272" s="21" t="str">
        <f>IF(AND('Atividades Micro'!$A324=AL$2,'Atividades Micro'!$L324&lt;&gt;""),'Atividades Micro'!$L324,"")</f>
        <v/>
      </c>
      <c r="AM272" s="21" t="str">
        <f>IF(AND('Atividades Micro'!$B324=AM$2,'Atividades Micro'!$K324&lt;&gt;""),'Atividades Micro'!$K324,"")</f>
        <v/>
      </c>
      <c r="AN272" s="21" t="str">
        <f>IF(AND('Atividades Micro'!$B324=AN$2,'Atividades Micro'!$L324&lt;&gt;""),'Atividades Micro'!$L324,"")</f>
        <v/>
      </c>
      <c r="AO272" s="21" t="str">
        <f>IF(AND('Atividades Micro'!$B324=AO$2,'Atividades Micro'!$K324&lt;&gt;""),'Atividades Micro'!$K324,"")</f>
        <v/>
      </c>
      <c r="AP272" s="21" t="str">
        <f>IF(AND('Atividades Micro'!$B324=AP$2,'Atividades Micro'!$L324&lt;&gt;""),'Atividades Micro'!$L324,"")</f>
        <v/>
      </c>
      <c r="AQ272" s="21" t="str">
        <f>IF(AND('Atividades Micro'!$A324=AQ$2,'Atividades Micro'!$K324&lt;&gt;""),'Atividades Micro'!$K324,"")</f>
        <v/>
      </c>
      <c r="AR272" s="21" t="str">
        <f>IF(AND('Atividades Micro'!$A324=AR$2,'Atividades Micro'!$L324&lt;&gt;""),'Atividades Micro'!$L324,"")</f>
        <v/>
      </c>
      <c r="AS272" s="21" t="str">
        <f>IF(AND('Atividades Micro'!$B324=AS$2,'Atividades Micro'!$K324&lt;&gt;""),'Atividades Micro'!$K324,"")</f>
        <v/>
      </c>
      <c r="AT272" s="21" t="str">
        <f>IF(AND('Atividades Micro'!$B324=AT$2,'Atividades Micro'!$L324&lt;&gt;""),'Atividades Micro'!$L324,"")</f>
        <v/>
      </c>
      <c r="AU272" s="21">
        <f>IF(AND('Atividades Micro'!$A324=AU$2,'Atividades Micro'!$K324&lt;&gt;""),'Atividades Micro'!$K324,"")</f>
        <v>46262</v>
      </c>
      <c r="AV272" s="21">
        <f>IF(AND('Atividades Micro'!$A324=AV$2,'Atividades Micro'!$L324&lt;&gt;""),'Atividades Micro'!$L324,"")</f>
        <v>46231</v>
      </c>
      <c r="AW272" s="21">
        <f>IF(AND('Atividades Micro'!$B324=AW$2,'Atividades Micro'!$K324&lt;&gt;""),'Atividades Micro'!$K324,"")</f>
        <v>46262</v>
      </c>
      <c r="AX272" s="21">
        <f>IF(AND('Atividades Micro'!$B324=AX$2,'Atividades Micro'!$L324&lt;&gt;""),'Atividades Micro'!$L324,"")</f>
        <v>46231</v>
      </c>
      <c r="AY272" s="21" t="str">
        <f>IF(AND('Atividades Micro'!$A324=AY$2,'Atividades Micro'!$K324&lt;&gt;""),'Atividades Micro'!$K324,"")</f>
        <v/>
      </c>
      <c r="AZ272" s="21" t="str">
        <f>IF(AND('Atividades Micro'!$A324=AZ$2,'Atividades Micro'!$L324&lt;&gt;""),'Atividades Micro'!$L324,"")</f>
        <v/>
      </c>
      <c r="BA272" s="21" t="str">
        <f>IF(AND('Atividades Micro'!$B324=BA$2,'Atividades Micro'!$K324&lt;&gt;""),'Atividades Micro'!$K324,"")</f>
        <v/>
      </c>
      <c r="BB272" s="21" t="str">
        <f>IF(AND('Atividades Micro'!$B324=BB$2,'Atividades Micro'!$L324&lt;&gt;""),'Atividades Micro'!$L324,"")</f>
        <v/>
      </c>
      <c r="BC272" s="21" t="str">
        <f>IF(AND('Atividades Micro'!$B324=BC$2,'Atividades Micro'!$G324="Macro",'Atividades Micro'!$K324&lt;&gt;""),'Atividades Micro'!$K324,"")</f>
        <v/>
      </c>
      <c r="BD272" s="21" t="str">
        <f>IF(AND('Atividades Micro'!$B324=BD$2,'Atividades Micro'!$G324="Macro",'Atividades Micro'!$K324&lt;&gt;""),'Atividades Micro'!$K324,"")</f>
        <v/>
      </c>
      <c r="BE272" s="21" t="str">
        <f>IF(AND('Atividades Micro'!$B324=BE$2,'Atividades Micro'!$G324="Macro",'Atividades Micro'!$K324&lt;&gt;""),'Atividades Micro'!$K324,"")</f>
        <v/>
      </c>
      <c r="BF272" s="21" t="str">
        <f>IF(AND('Atividades Micro'!$B324=BF$2,'Atividades Micro'!$G324="Macro",'Atividades Micro'!$K324&lt;&gt;""),'Atividades Micro'!$K324,"")</f>
        <v/>
      </c>
      <c r="BG272" s="21" t="str">
        <f>IF(AND('Atividades Micro'!$B324=BG$2,'Atividades Micro'!$G324="Macro",'Atividades Micro'!$K324&lt;&gt;""),'Atividades Micro'!$K324,"")</f>
        <v/>
      </c>
      <c r="BH272" s="21" t="str">
        <f>IF(AND('Atividades Micro'!$B324=BH$2,'Atividades Micro'!$G324="Macro",'Atividades Micro'!$K324&lt;&gt;""),'Atividades Micro'!$K324,"")</f>
        <v/>
      </c>
      <c r="BI272" s="21" t="str">
        <f>IF(AND('Atividades Micro'!$B324=BI$2,'Atividades Micro'!$G324="Macro",'Atividades Micro'!$K324&lt;&gt;""),'Atividades Micro'!$K324,"")</f>
        <v/>
      </c>
      <c r="BJ272" s="21" t="str">
        <f>IF(AND('Atividades Micro'!$B324=BJ$2,'Atividades Micro'!$G324="Macro",'Atividades Micro'!$K324&lt;&gt;""),'Atividades Micro'!$K324,"")</f>
        <v/>
      </c>
      <c r="BK272" s="21" t="str">
        <f>IF(AND('Atividades Micro'!$B324=BK$2,'Atividades Micro'!$G324="Macro",'Atividades Micro'!$K324&lt;&gt;""),'Atividades Micro'!$K324,"")</f>
        <v/>
      </c>
      <c r="BL272" s="21" t="str">
        <f>IF(AND('Atividades Micro'!$B324=BL$2,'Atividades Micro'!$G324="Macro",'Atividades Micro'!$K324&lt;&gt;""),'Atividades Micro'!$K324,"")</f>
        <v/>
      </c>
      <c r="BM272" s="21" t="str">
        <f>IF(AND('Atividades Micro'!$B324=BM$2,'Atividades Micro'!$G324="Macro",'Atividades Micro'!$K324&lt;&gt;""),'Atividades Micro'!$K324,"")</f>
        <v/>
      </c>
      <c r="BN272" s="21" t="str">
        <f>IF(AND('Atividades Micro'!$B324=BN$2,'Atividades Micro'!$G324="Macro",'Atividades Micro'!$K324&lt;&gt;""),'Atividades Micro'!$K324,"")</f>
        <v/>
      </c>
      <c r="BO272" s="21" t="str">
        <f>IF(AND('Atividades Micro'!$B324=BO$2,'Atividades Micro'!$G324="Macro",'Atividades Micro'!$K324&lt;&gt;""),'Atividades Micro'!$K324,"")</f>
        <v/>
      </c>
      <c r="BP272" s="21" t="str">
        <f>IF(AND('Atividades Micro'!$B324=BP$2,'Atividades Micro'!$G324="Macro",'Atividades Micro'!$K324&lt;&gt;""),'Atividades Micro'!$K324,"")</f>
        <v/>
      </c>
      <c r="BQ272" s="21" t="str">
        <f>IF(AND('Atividades Micro'!$B324=BQ$2,'Atividades Micro'!$G324="Macro",'Atividades Micro'!$K324&lt;&gt;""),'Atividades Micro'!$K324,"")</f>
        <v/>
      </c>
      <c r="BR272" s="21" t="str">
        <f>IF(AND('Atividades Micro'!$B324=BR$2,'Atividades Micro'!$G324="Macro",'Atividades Micro'!$K324&lt;&gt;""),'Atividades Micro'!$K324,"")</f>
        <v/>
      </c>
      <c r="BS272" s="21" t="str">
        <f>IF(AND('Atividades Micro'!$B324=BS$2,'Atividades Micro'!$G324="Macro",'Atividades Micro'!$K324&lt;&gt;""),'Atividades Micro'!$K324,"")</f>
        <v/>
      </c>
      <c r="BT272" s="21" t="str">
        <f>IF(AND('Atividades Micro'!$B324=BT$2,'Atividades Micro'!$G324="Macro",'Atividades Micro'!$K324&lt;&gt;""),'Atividades Micro'!$K324,"")</f>
        <v/>
      </c>
      <c r="BU272" s="21" t="str">
        <f>IF(AND('Atividades Micro'!$B324=BU$2,'Atividades Micro'!$G324="Macro",'Atividades Micro'!$K324&lt;&gt;""),'Atividades Micro'!$K324,"")</f>
        <v/>
      </c>
      <c r="BV272" s="21" t="str">
        <f>IF(AND('Atividades Micro'!$B324=BV$2,'Atividades Micro'!$G324="Macro",'Atividades Micro'!$K324&lt;&gt;""),'Atividades Micro'!$K324,"")</f>
        <v/>
      </c>
      <c r="BW272" s="21" t="str">
        <f>IF(AND('Atividades Micro'!$B324=BW$2,'Atividades Micro'!$G324="Macro",'Atividades Micro'!$K324&lt;&gt;""),'Atividades Micro'!$K324,"")</f>
        <v/>
      </c>
      <c r="BX272" s="21" t="str">
        <f>IF(AND('Atividades Micro'!$B324=BX$2,'Atividades Micro'!$G324="Macro",'Atividades Micro'!$K324&lt;&gt;""),'Atividades Micro'!$K324,"")</f>
        <v/>
      </c>
      <c r="BY272" s="21" t="str">
        <f>IF(AND('Atividades Micro'!$B324=BY$2,'Atividades Micro'!$G324="Macro",'Atividades Micro'!$K324&lt;&gt;""),'Atividades Micro'!$K324,"")</f>
        <v/>
      </c>
      <c r="BZ272" s="21" t="str">
        <f>IF(AND('Atividades Micro'!$B324=BZ$2,'Atividades Micro'!$G324="Macro",'Atividades Micro'!$K324&lt;&gt;""),'Atividades Micro'!$K324,"")</f>
        <v/>
      </c>
      <c r="CA272" s="21" t="str">
        <f>IF(AND('Atividades Micro'!$B324=CA$2,'Atividades Micro'!$G324="Macro",'Atividades Micro'!$K324&lt;&gt;""),'Atividades Micro'!$K324,"")</f>
        <v/>
      </c>
      <c r="CB272" s="21" t="str">
        <f>IF(AND('Atividades Micro'!$B324=CB$2,'Atividades Micro'!$G324="Macro",'Atividades Micro'!$K324&lt;&gt;""),'Atividades Micro'!$K324,"")</f>
        <v/>
      </c>
      <c r="CC272" s="21" t="str">
        <f>IF(AND('Atividades Micro'!$B324=CC$2,'Atividades Micro'!$G324="Macro",'Atividades Micro'!$K324&lt;&gt;""),'Atividades Micro'!$K324,"")</f>
        <v/>
      </c>
      <c r="CD272" s="21" t="str">
        <f>IF(AND('Atividades Micro'!$B324=CD$2,'Atividades Micro'!$G324="Micro",'Atividades Micro'!$K324&lt;&gt;""),'Atividades Micro'!$K324,"")</f>
        <v/>
      </c>
      <c r="CE272" s="21" t="str">
        <f>IF(AND('Atividades Micro'!$B324=CE$2,'Atividades Micro'!$G324="Micro",'Atividades Micro'!$K324&lt;&gt;""),'Atividades Micro'!$K324,"")</f>
        <v/>
      </c>
      <c r="CF272" s="21" t="str">
        <f>IF(AND('Atividades Micro'!$B324=CF$2,'Atividades Micro'!$G324="Micro",'Atividades Micro'!$K324&lt;&gt;""),'Atividades Micro'!$K324,"")</f>
        <v/>
      </c>
      <c r="CG272" s="21" t="str">
        <f>IF(AND('Atividades Micro'!$B324=CG$2,'Atividades Micro'!$G324="Micro",'Atividades Micro'!$K324&lt;&gt;""),'Atividades Micro'!$K324,"")</f>
        <v/>
      </c>
      <c r="CH272" s="21" t="str">
        <f>IF(AND('Atividades Micro'!$B324=CH$2,'Atividades Micro'!$G324="Micro",'Atividades Micro'!$K324&lt;&gt;""),'Atividades Micro'!$K324,"")</f>
        <v/>
      </c>
      <c r="CI272" s="21" t="str">
        <f>IF(AND('Atividades Micro'!$B324=CI$2,'Atividades Micro'!$G324="Micro",'Atividades Micro'!$K324&lt;&gt;""),'Atividades Micro'!$K324,"")</f>
        <v/>
      </c>
      <c r="CJ272" s="21" t="str">
        <f>IF(AND('Atividades Micro'!$B324=CJ$2,'Atividades Micro'!$G324="Micro",'Atividades Micro'!$K324&lt;&gt;""),'Atividades Micro'!$K324,"")</f>
        <v/>
      </c>
      <c r="CK272" s="21" t="str">
        <f>IF(AND('Atividades Micro'!$B324=CK$2,'Atividades Micro'!$G324="Micro",'Atividades Micro'!$K324&lt;&gt;""),'Atividades Micro'!$K324,"")</f>
        <v/>
      </c>
      <c r="CL272" s="21" t="str">
        <f>IF(AND('Atividades Micro'!$B324=CL$2,'Atividades Micro'!$G324="Micro",'Atividades Micro'!$K324&lt;&gt;""),'Atividades Micro'!$K324,"")</f>
        <v/>
      </c>
      <c r="CM272" s="21" t="str">
        <f>IF(AND('Atividades Micro'!$B324=CM$2,'Atividades Micro'!$G324="Micro",'Atividades Micro'!$K324&lt;&gt;""),'Atividades Micro'!$K324,"")</f>
        <v/>
      </c>
      <c r="CN272" s="21" t="str">
        <f>IF(AND('Atividades Micro'!$B324=CN$2,'Atividades Micro'!$G324="Micro",'Atividades Micro'!$K324&lt;&gt;""),'Atividades Micro'!$K324,"")</f>
        <v/>
      </c>
      <c r="CO272" s="21" t="str">
        <f>IF(AND('Atividades Micro'!$B324=CO$2,'Atividades Micro'!$G324="Micro",'Atividades Micro'!$K324&lt;&gt;""),'Atividades Micro'!$K324,"")</f>
        <v/>
      </c>
    </row>
    <row r="273" spans="1:93">
      <c r="A273" s="21" t="str">
        <f>IF(AND('Atividades Micro'!$A325=A$2,'Atividades Micro'!$K325&lt;&gt;""),'Atividades Micro'!$K325,"")</f>
        <v/>
      </c>
      <c r="B273" s="21" t="str">
        <f>IF(AND('Atividades Micro'!$A325=B$2,'Atividades Micro'!$L325&lt;&gt;""),'Atividades Micro'!$L325,"")</f>
        <v/>
      </c>
      <c r="C273" s="21" t="str">
        <f>IF(AND('Atividades Micro'!$A325=C$2,'Atividades Micro'!$K325&lt;&gt;""),'Atividades Micro'!$K325,"")</f>
        <v/>
      </c>
      <c r="D273" s="21" t="str">
        <f>IF(AND('Atividades Micro'!$A325=D$2,'Atividades Micro'!$L325&lt;&gt;""),'Atividades Micro'!$L325,"")</f>
        <v/>
      </c>
      <c r="E273" s="21" t="str">
        <f>IF(AND('Atividades Micro'!$A325=E$2,'Atividades Micro'!$K325&lt;&gt;""),'Atividades Micro'!$K325,"")</f>
        <v/>
      </c>
      <c r="F273" s="21" t="str">
        <f>IF(AND('Atividades Micro'!$A325=F$2,'Atividades Micro'!$L325&lt;&gt;""),'Atividades Micro'!$L325,"")</f>
        <v/>
      </c>
      <c r="G273" s="21" t="str">
        <f>IF(AND('Atividades Micro'!$A325=G$2,'Atividades Micro'!$K325&lt;&gt;""),'Atividades Micro'!$K325,"")</f>
        <v/>
      </c>
      <c r="H273" s="21" t="str">
        <f>IF(AND('Atividades Micro'!$A325=H$2,'Atividades Micro'!$L325&lt;&gt;""),'Atividades Micro'!$L325,"")</f>
        <v/>
      </c>
      <c r="I273" s="21" t="str">
        <f>IF(AND('Atividades Micro'!$A325=I$2,'Atividades Micro'!$K325&lt;&gt;""),'Atividades Micro'!$K325,"")</f>
        <v/>
      </c>
      <c r="J273" s="21" t="str">
        <f>IF(AND('Atividades Micro'!$A325=J$2,'Atividades Micro'!$L325&lt;&gt;""),'Atividades Micro'!$L325,"")</f>
        <v/>
      </c>
      <c r="K273" s="21" t="str">
        <f>IF(AND('Atividades Micro'!$B325=K$2,'Atividades Micro'!$K325&lt;&gt;""),'Atividades Micro'!$K325,"")</f>
        <v/>
      </c>
      <c r="L273" s="21" t="str">
        <f>IF(AND('Atividades Micro'!$B325=L$2,'Atividades Micro'!$L325&lt;&gt;""),'Atividades Micro'!$L325,"")</f>
        <v/>
      </c>
      <c r="M273" s="21" t="str">
        <f>IF(AND('Atividades Micro'!$B325=M$2,'Atividades Micro'!$K325&lt;&gt;""),'Atividades Micro'!$K325,"")</f>
        <v/>
      </c>
      <c r="N273" s="21" t="str">
        <f>IF(AND('Atividades Micro'!$B325=N$2,'Atividades Micro'!$L325&lt;&gt;""),'Atividades Micro'!$L325,"")</f>
        <v/>
      </c>
      <c r="O273" s="21" t="str">
        <f>IF(AND('Atividades Micro'!$A325=O$2,'Atividades Micro'!$K325&lt;&gt;""),'Atividades Micro'!$K325,"")</f>
        <v/>
      </c>
      <c r="P273" s="21" t="str">
        <f>IF(AND('Atividades Micro'!$A325=P$2,'Atividades Micro'!$L325&lt;&gt;""),'Atividades Micro'!$L325,"")</f>
        <v/>
      </c>
      <c r="Q273" s="21" t="str">
        <f>IF(AND('Atividades Micro'!$B325=Q$2,'Atividades Micro'!$K325&lt;&gt;""),'Atividades Micro'!$K325,"")</f>
        <v/>
      </c>
      <c r="R273" s="21" t="str">
        <f>IF(AND('Atividades Micro'!$B325=R$2,'Atividades Micro'!$L325&lt;&gt;""),'Atividades Micro'!$L325,"")</f>
        <v/>
      </c>
      <c r="S273" s="21" t="str">
        <f>IF(AND('Atividades Micro'!$A325=S$2,'Atividades Micro'!$K325&lt;&gt;""),'Atividades Micro'!$K325,"")</f>
        <v/>
      </c>
      <c r="T273" s="21" t="str">
        <f>IF(AND('Atividades Micro'!$A325=T$2,'Atividades Micro'!$L325&lt;&gt;""),'Atividades Micro'!$L325,"")</f>
        <v/>
      </c>
      <c r="U273" s="21" t="str">
        <f>IF(AND('Atividades Micro'!$B325=U$2,'Atividades Micro'!$K325&lt;&gt;""),'Atividades Micro'!$K325,"")</f>
        <v/>
      </c>
      <c r="V273" s="21" t="str">
        <f>IF(AND('Atividades Micro'!$B325=V$2,'Atividades Micro'!$L325&lt;&gt;""),'Atividades Micro'!$L325,"")</f>
        <v/>
      </c>
      <c r="W273" s="21" t="str">
        <f>IF(AND('Atividades Micro'!$B325=W$2,'Atividades Micro'!$K325&lt;&gt;""),'Atividades Micro'!$K325,"")</f>
        <v/>
      </c>
      <c r="X273" s="21" t="str">
        <f>IF(AND('Atividades Micro'!$B325=X$2,'Atividades Micro'!$L325&lt;&gt;""),'Atividades Micro'!$L325,"")</f>
        <v/>
      </c>
      <c r="Y273" s="21" t="str">
        <f>IF(AND('Atividades Micro'!$A325=Y$2,'Atividades Micro'!$K325&lt;&gt;""),'Atividades Micro'!$K325,"")</f>
        <v/>
      </c>
      <c r="Z273" s="21" t="str">
        <f>IF(AND('Atividades Micro'!$A325=Z$2,'Atividades Micro'!$L325&lt;&gt;""),'Atividades Micro'!$L325,"")</f>
        <v/>
      </c>
      <c r="AA273" s="21" t="str">
        <f>IF(AND('Atividades Micro'!$B325=AA$2,'Atividades Micro'!$K325&lt;&gt;""),'Atividades Micro'!$K325,"")</f>
        <v/>
      </c>
      <c r="AB273" s="21" t="str">
        <f>IF(AND('Atividades Micro'!$B325=AB$2,'Atividades Micro'!$L325&lt;&gt;""),'Atividades Micro'!$L325,"")</f>
        <v/>
      </c>
      <c r="AC273" s="21" t="str">
        <f>IF(AND('Atividades Micro'!$B325=AC$2,'Atividades Micro'!$K325&lt;&gt;""),'Atividades Micro'!$K325,"")</f>
        <v/>
      </c>
      <c r="AD273" s="21" t="str">
        <f>IF(AND('Atividades Micro'!$B325=AD$2,'Atividades Micro'!$L325&lt;&gt;""),'Atividades Micro'!$L325,"")</f>
        <v/>
      </c>
      <c r="AE273" s="21" t="str">
        <f>IF(AND('Atividades Micro'!$A325=AE$2,'Atividades Micro'!$K325&lt;&gt;""),'Atividades Micro'!$K325,"")</f>
        <v/>
      </c>
      <c r="AF273" s="21" t="str">
        <f>IF(AND('Atividades Micro'!$A325=AF$2,'Atividades Micro'!$L325&lt;&gt;""),'Atividades Micro'!$L325,"")</f>
        <v/>
      </c>
      <c r="AG273" s="21" t="str">
        <f>IF(AND('Atividades Micro'!$B325=AG$2,'Atividades Micro'!$K325&lt;&gt;""),'Atividades Micro'!$K325,"")</f>
        <v/>
      </c>
      <c r="AH273" s="21" t="str">
        <f>IF(AND('Atividades Micro'!$B325=AH$2,'Atividades Micro'!$L325&lt;&gt;""),'Atividades Micro'!$L325,"")</f>
        <v/>
      </c>
      <c r="AI273" s="21" t="str">
        <f>IF(AND('Atividades Micro'!$B325=AI$2,'Atividades Micro'!$K325&lt;&gt;""),'Atividades Micro'!$K325,"")</f>
        <v/>
      </c>
      <c r="AJ273" s="21" t="str">
        <f>IF(AND('Atividades Micro'!$B325=AJ$2,'Atividades Micro'!$L325&lt;&gt;""),'Atividades Micro'!$L325,"")</f>
        <v/>
      </c>
      <c r="AK273" s="21" t="str">
        <f>IF(AND('Atividades Micro'!$A325=AK$2,'Atividades Micro'!$K325&lt;&gt;""),'Atividades Micro'!$K325,"")</f>
        <v/>
      </c>
      <c r="AL273" s="21" t="str">
        <f>IF(AND('Atividades Micro'!$A325=AL$2,'Atividades Micro'!$L325&lt;&gt;""),'Atividades Micro'!$L325,"")</f>
        <v/>
      </c>
      <c r="AM273" s="21" t="str">
        <f>IF(AND('Atividades Micro'!$B325=AM$2,'Atividades Micro'!$K325&lt;&gt;""),'Atividades Micro'!$K325,"")</f>
        <v/>
      </c>
      <c r="AN273" s="21" t="str">
        <f>IF(AND('Atividades Micro'!$B325=AN$2,'Atividades Micro'!$L325&lt;&gt;""),'Atividades Micro'!$L325,"")</f>
        <v/>
      </c>
      <c r="AO273" s="21" t="str">
        <f>IF(AND('Atividades Micro'!$B325=AO$2,'Atividades Micro'!$K325&lt;&gt;""),'Atividades Micro'!$K325,"")</f>
        <v/>
      </c>
      <c r="AP273" s="21" t="str">
        <f>IF(AND('Atividades Micro'!$B325=AP$2,'Atividades Micro'!$L325&lt;&gt;""),'Atividades Micro'!$L325,"")</f>
        <v/>
      </c>
      <c r="AQ273" s="21" t="str">
        <f>IF(AND('Atividades Micro'!$A325=AQ$2,'Atividades Micro'!$K325&lt;&gt;""),'Atividades Micro'!$K325,"")</f>
        <v/>
      </c>
      <c r="AR273" s="21" t="str">
        <f>IF(AND('Atividades Micro'!$A325=AR$2,'Atividades Micro'!$L325&lt;&gt;""),'Atividades Micro'!$L325,"")</f>
        <v/>
      </c>
      <c r="AS273" s="21" t="str">
        <f>IF(AND('Atividades Micro'!$B325=AS$2,'Atividades Micro'!$K325&lt;&gt;""),'Atividades Micro'!$K325,"")</f>
        <v/>
      </c>
      <c r="AT273" s="21" t="str">
        <f>IF(AND('Atividades Micro'!$B325=AT$2,'Atividades Micro'!$L325&lt;&gt;""),'Atividades Micro'!$L325,"")</f>
        <v/>
      </c>
      <c r="AU273" s="21">
        <f>IF(AND('Atividades Micro'!$A325=AU$2,'Atividades Micro'!$K325&lt;&gt;""),'Atividades Micro'!$K325,"")</f>
        <v>46280</v>
      </c>
      <c r="AV273" s="21">
        <f>IF(AND('Atividades Micro'!$A325=AV$2,'Atividades Micro'!$L325&lt;&gt;""),'Atividades Micro'!$L325,"")</f>
        <v>46252</v>
      </c>
      <c r="AW273" s="21">
        <f>IF(AND('Atividades Micro'!$B325=AW$2,'Atividades Micro'!$K325&lt;&gt;""),'Atividades Micro'!$K325,"")</f>
        <v>46280</v>
      </c>
      <c r="AX273" s="21">
        <f>IF(AND('Atividades Micro'!$B325=AX$2,'Atividades Micro'!$L325&lt;&gt;""),'Atividades Micro'!$L325,"")</f>
        <v>46252</v>
      </c>
      <c r="AY273" s="21" t="str">
        <f>IF(AND('Atividades Micro'!$A325=AY$2,'Atividades Micro'!$K325&lt;&gt;""),'Atividades Micro'!$K325,"")</f>
        <v/>
      </c>
      <c r="AZ273" s="21" t="str">
        <f>IF(AND('Atividades Micro'!$A325=AZ$2,'Atividades Micro'!$L325&lt;&gt;""),'Atividades Micro'!$L325,"")</f>
        <v/>
      </c>
      <c r="BA273" s="21" t="str">
        <f>IF(AND('Atividades Micro'!$B325=BA$2,'Atividades Micro'!$K325&lt;&gt;""),'Atividades Micro'!$K325,"")</f>
        <v/>
      </c>
      <c r="BB273" s="21" t="str">
        <f>IF(AND('Atividades Micro'!$B325=BB$2,'Atividades Micro'!$L325&lt;&gt;""),'Atividades Micro'!$L325,"")</f>
        <v/>
      </c>
      <c r="BC273" s="21" t="str">
        <f>IF(AND('Atividades Micro'!$B325=BC$2,'Atividades Micro'!$G325="Macro",'Atividades Micro'!$K325&lt;&gt;""),'Atividades Micro'!$K325,"")</f>
        <v/>
      </c>
      <c r="BD273" s="21" t="str">
        <f>IF(AND('Atividades Micro'!$B325=BD$2,'Atividades Micro'!$G325="Macro",'Atividades Micro'!$K325&lt;&gt;""),'Atividades Micro'!$K325,"")</f>
        <v/>
      </c>
      <c r="BE273" s="21" t="str">
        <f>IF(AND('Atividades Micro'!$B325=BE$2,'Atividades Micro'!$G325="Macro",'Atividades Micro'!$K325&lt;&gt;""),'Atividades Micro'!$K325,"")</f>
        <v/>
      </c>
      <c r="BF273" s="21" t="str">
        <f>IF(AND('Atividades Micro'!$B325=BF$2,'Atividades Micro'!$G325="Macro",'Atividades Micro'!$K325&lt;&gt;""),'Atividades Micro'!$K325,"")</f>
        <v/>
      </c>
      <c r="BG273" s="21" t="str">
        <f>IF(AND('Atividades Micro'!$B325=BG$2,'Atividades Micro'!$G325="Macro",'Atividades Micro'!$K325&lt;&gt;""),'Atividades Micro'!$K325,"")</f>
        <v/>
      </c>
      <c r="BH273" s="21" t="str">
        <f>IF(AND('Atividades Micro'!$B325=BH$2,'Atividades Micro'!$G325="Macro",'Atividades Micro'!$K325&lt;&gt;""),'Atividades Micro'!$K325,"")</f>
        <v/>
      </c>
      <c r="BI273" s="21" t="str">
        <f>IF(AND('Atividades Micro'!$B325=BI$2,'Atividades Micro'!$G325="Macro",'Atividades Micro'!$K325&lt;&gt;""),'Atividades Micro'!$K325,"")</f>
        <v/>
      </c>
      <c r="BJ273" s="21" t="str">
        <f>IF(AND('Atividades Micro'!$B325=BJ$2,'Atividades Micro'!$G325="Macro",'Atividades Micro'!$K325&lt;&gt;""),'Atividades Micro'!$K325,"")</f>
        <v/>
      </c>
      <c r="BK273" s="21" t="str">
        <f>IF(AND('Atividades Micro'!$B325=BK$2,'Atividades Micro'!$G325="Macro",'Atividades Micro'!$K325&lt;&gt;""),'Atividades Micro'!$K325,"")</f>
        <v/>
      </c>
      <c r="BL273" s="21" t="str">
        <f>IF(AND('Atividades Micro'!$B325=BL$2,'Atividades Micro'!$G325="Macro",'Atividades Micro'!$K325&lt;&gt;""),'Atividades Micro'!$K325,"")</f>
        <v/>
      </c>
      <c r="BM273" s="21" t="str">
        <f>IF(AND('Atividades Micro'!$B325=BM$2,'Atividades Micro'!$G325="Macro",'Atividades Micro'!$K325&lt;&gt;""),'Atividades Micro'!$K325,"")</f>
        <v/>
      </c>
      <c r="BN273" s="21" t="str">
        <f>IF(AND('Atividades Micro'!$B325=BN$2,'Atividades Micro'!$G325="Macro",'Atividades Micro'!$K325&lt;&gt;""),'Atividades Micro'!$K325,"")</f>
        <v/>
      </c>
      <c r="BO273" s="21" t="str">
        <f>IF(AND('Atividades Micro'!$B325=BO$2,'Atividades Micro'!$G325="Macro",'Atividades Micro'!$K325&lt;&gt;""),'Atividades Micro'!$K325,"")</f>
        <v/>
      </c>
      <c r="BP273" s="21" t="str">
        <f>IF(AND('Atividades Micro'!$B325=BP$2,'Atividades Micro'!$G325="Macro",'Atividades Micro'!$K325&lt;&gt;""),'Atividades Micro'!$K325,"")</f>
        <v/>
      </c>
      <c r="BQ273" s="21" t="str">
        <f>IF(AND('Atividades Micro'!$B325=BQ$2,'Atividades Micro'!$G325="Macro",'Atividades Micro'!$K325&lt;&gt;""),'Atividades Micro'!$K325,"")</f>
        <v/>
      </c>
      <c r="BR273" s="21" t="str">
        <f>IF(AND('Atividades Micro'!$B325=BR$2,'Atividades Micro'!$G325="Macro",'Atividades Micro'!$K325&lt;&gt;""),'Atividades Micro'!$K325,"")</f>
        <v/>
      </c>
      <c r="BS273" s="21" t="str">
        <f>IF(AND('Atividades Micro'!$B325=BS$2,'Atividades Micro'!$G325="Macro",'Atividades Micro'!$K325&lt;&gt;""),'Atividades Micro'!$K325,"")</f>
        <v/>
      </c>
      <c r="BT273" s="21" t="str">
        <f>IF(AND('Atividades Micro'!$B325=BT$2,'Atividades Micro'!$G325="Macro",'Atividades Micro'!$K325&lt;&gt;""),'Atividades Micro'!$K325,"")</f>
        <v/>
      </c>
      <c r="BU273" s="21" t="str">
        <f>IF(AND('Atividades Micro'!$B325=BU$2,'Atividades Micro'!$G325="Macro",'Atividades Micro'!$K325&lt;&gt;""),'Atividades Micro'!$K325,"")</f>
        <v/>
      </c>
      <c r="BV273" s="21" t="str">
        <f>IF(AND('Atividades Micro'!$B325=BV$2,'Atividades Micro'!$G325="Macro",'Atividades Micro'!$K325&lt;&gt;""),'Atividades Micro'!$K325,"")</f>
        <v/>
      </c>
      <c r="BW273" s="21" t="str">
        <f>IF(AND('Atividades Micro'!$B325=BW$2,'Atividades Micro'!$G325="Macro",'Atividades Micro'!$K325&lt;&gt;""),'Atividades Micro'!$K325,"")</f>
        <v/>
      </c>
      <c r="BX273" s="21" t="str">
        <f>IF(AND('Atividades Micro'!$B325=BX$2,'Atividades Micro'!$G325="Macro",'Atividades Micro'!$K325&lt;&gt;""),'Atividades Micro'!$K325,"")</f>
        <v/>
      </c>
      <c r="BY273" s="21" t="str">
        <f>IF(AND('Atividades Micro'!$B325=BY$2,'Atividades Micro'!$G325="Macro",'Atividades Micro'!$K325&lt;&gt;""),'Atividades Micro'!$K325,"")</f>
        <v/>
      </c>
      <c r="BZ273" s="21" t="str">
        <f>IF(AND('Atividades Micro'!$B325=BZ$2,'Atividades Micro'!$G325="Macro",'Atividades Micro'!$K325&lt;&gt;""),'Atividades Micro'!$K325,"")</f>
        <v/>
      </c>
      <c r="CA273" s="21" t="str">
        <f>IF(AND('Atividades Micro'!$B325=CA$2,'Atividades Micro'!$G325="Macro",'Atividades Micro'!$K325&lt;&gt;""),'Atividades Micro'!$K325,"")</f>
        <v/>
      </c>
      <c r="CB273" s="21" t="str">
        <f>IF(AND('Atividades Micro'!$B325=CB$2,'Atividades Micro'!$G325="Macro",'Atividades Micro'!$K325&lt;&gt;""),'Atividades Micro'!$K325,"")</f>
        <v/>
      </c>
      <c r="CC273" s="21" t="str">
        <f>IF(AND('Atividades Micro'!$B325=CC$2,'Atividades Micro'!$G325="Macro",'Atividades Micro'!$K325&lt;&gt;""),'Atividades Micro'!$K325,"")</f>
        <v/>
      </c>
      <c r="CD273" s="21" t="str">
        <f>IF(AND('Atividades Micro'!$B325=CD$2,'Atividades Micro'!$G325="Micro",'Atividades Micro'!$K325&lt;&gt;""),'Atividades Micro'!$K325,"")</f>
        <v/>
      </c>
      <c r="CE273" s="21" t="str">
        <f>IF(AND('Atividades Micro'!$B325=CE$2,'Atividades Micro'!$G325="Micro",'Atividades Micro'!$K325&lt;&gt;""),'Atividades Micro'!$K325,"")</f>
        <v/>
      </c>
      <c r="CF273" s="21" t="str">
        <f>IF(AND('Atividades Micro'!$B325=CF$2,'Atividades Micro'!$G325="Micro",'Atividades Micro'!$K325&lt;&gt;""),'Atividades Micro'!$K325,"")</f>
        <v/>
      </c>
      <c r="CG273" s="21" t="str">
        <f>IF(AND('Atividades Micro'!$B325=CG$2,'Atividades Micro'!$G325="Micro",'Atividades Micro'!$K325&lt;&gt;""),'Atividades Micro'!$K325,"")</f>
        <v/>
      </c>
      <c r="CH273" s="21" t="str">
        <f>IF(AND('Atividades Micro'!$B325=CH$2,'Atividades Micro'!$G325="Micro",'Atividades Micro'!$K325&lt;&gt;""),'Atividades Micro'!$K325,"")</f>
        <v/>
      </c>
      <c r="CI273" s="21" t="str">
        <f>IF(AND('Atividades Micro'!$B325=CI$2,'Atividades Micro'!$G325="Micro",'Atividades Micro'!$K325&lt;&gt;""),'Atividades Micro'!$K325,"")</f>
        <v/>
      </c>
      <c r="CJ273" s="21" t="str">
        <f>IF(AND('Atividades Micro'!$B325=CJ$2,'Atividades Micro'!$G325="Micro",'Atividades Micro'!$K325&lt;&gt;""),'Atividades Micro'!$K325,"")</f>
        <v/>
      </c>
      <c r="CK273" s="21" t="str">
        <f>IF(AND('Atividades Micro'!$B325=CK$2,'Atividades Micro'!$G325="Micro",'Atividades Micro'!$K325&lt;&gt;""),'Atividades Micro'!$K325,"")</f>
        <v/>
      </c>
      <c r="CL273" s="21" t="str">
        <f>IF(AND('Atividades Micro'!$B325=CL$2,'Atividades Micro'!$G325="Micro",'Atividades Micro'!$K325&lt;&gt;""),'Atividades Micro'!$K325,"")</f>
        <v/>
      </c>
      <c r="CM273" s="21" t="str">
        <f>IF(AND('Atividades Micro'!$B325=CM$2,'Atividades Micro'!$G325="Micro",'Atividades Micro'!$K325&lt;&gt;""),'Atividades Micro'!$K325,"")</f>
        <v/>
      </c>
      <c r="CN273" s="21" t="str">
        <f>IF(AND('Atividades Micro'!$B325=CN$2,'Atividades Micro'!$G325="Micro",'Atividades Micro'!$K325&lt;&gt;""),'Atividades Micro'!$K325,"")</f>
        <v/>
      </c>
      <c r="CO273" s="21" t="str">
        <f>IF(AND('Atividades Micro'!$B325=CO$2,'Atividades Micro'!$G325="Micro",'Atividades Micro'!$K325&lt;&gt;""),'Atividades Micro'!$K325,"")</f>
        <v/>
      </c>
    </row>
    <row r="274" spans="1:93">
      <c r="A274" s="21" t="str">
        <f>IF(AND('Atividades Micro'!$A326=A$2,'Atividades Micro'!$K326&lt;&gt;""),'Atividades Micro'!$K326,"")</f>
        <v/>
      </c>
      <c r="B274" s="21" t="str">
        <f>IF(AND('Atividades Micro'!$A326=B$2,'Atividades Micro'!$L326&lt;&gt;""),'Atividades Micro'!$L326,"")</f>
        <v/>
      </c>
      <c r="C274" s="21" t="str">
        <f>IF(AND('Atividades Micro'!$A326=C$2,'Atividades Micro'!$K326&lt;&gt;""),'Atividades Micro'!$K326,"")</f>
        <v/>
      </c>
      <c r="D274" s="21" t="str">
        <f>IF(AND('Atividades Micro'!$A326=D$2,'Atividades Micro'!$L326&lt;&gt;""),'Atividades Micro'!$L326,"")</f>
        <v/>
      </c>
      <c r="E274" s="21" t="str">
        <f>IF(AND('Atividades Micro'!$A326=E$2,'Atividades Micro'!$K326&lt;&gt;""),'Atividades Micro'!$K326,"")</f>
        <v/>
      </c>
      <c r="F274" s="21" t="str">
        <f>IF(AND('Atividades Micro'!$A326=F$2,'Atividades Micro'!$L326&lt;&gt;""),'Atividades Micro'!$L326,"")</f>
        <v/>
      </c>
      <c r="G274" s="21" t="str">
        <f>IF(AND('Atividades Micro'!$A326=G$2,'Atividades Micro'!$K326&lt;&gt;""),'Atividades Micro'!$K326,"")</f>
        <v/>
      </c>
      <c r="H274" s="21" t="str">
        <f>IF(AND('Atividades Micro'!$A326=H$2,'Atividades Micro'!$L326&lt;&gt;""),'Atividades Micro'!$L326,"")</f>
        <v/>
      </c>
      <c r="I274" s="21" t="str">
        <f>IF(AND('Atividades Micro'!$A326=I$2,'Atividades Micro'!$K326&lt;&gt;""),'Atividades Micro'!$K326,"")</f>
        <v/>
      </c>
      <c r="J274" s="21" t="str">
        <f>IF(AND('Atividades Micro'!$A326=J$2,'Atividades Micro'!$L326&lt;&gt;""),'Atividades Micro'!$L326,"")</f>
        <v/>
      </c>
      <c r="K274" s="21" t="str">
        <f>IF(AND('Atividades Micro'!$B326=K$2,'Atividades Micro'!$K326&lt;&gt;""),'Atividades Micro'!$K326,"")</f>
        <v/>
      </c>
      <c r="L274" s="21" t="str">
        <f>IF(AND('Atividades Micro'!$B326=L$2,'Atividades Micro'!$L326&lt;&gt;""),'Atividades Micro'!$L326,"")</f>
        <v/>
      </c>
      <c r="M274" s="21" t="str">
        <f>IF(AND('Atividades Micro'!$B326=M$2,'Atividades Micro'!$K326&lt;&gt;""),'Atividades Micro'!$K326,"")</f>
        <v/>
      </c>
      <c r="N274" s="21" t="str">
        <f>IF(AND('Atividades Micro'!$B326=N$2,'Atividades Micro'!$L326&lt;&gt;""),'Atividades Micro'!$L326,"")</f>
        <v/>
      </c>
      <c r="O274" s="21" t="str">
        <f>IF(AND('Atividades Micro'!$A326=O$2,'Atividades Micro'!$K326&lt;&gt;""),'Atividades Micro'!$K326,"")</f>
        <v/>
      </c>
      <c r="P274" s="21" t="str">
        <f>IF(AND('Atividades Micro'!$A326=P$2,'Atividades Micro'!$L326&lt;&gt;""),'Atividades Micro'!$L326,"")</f>
        <v/>
      </c>
      <c r="Q274" s="21" t="str">
        <f>IF(AND('Atividades Micro'!$B326=Q$2,'Atividades Micro'!$K326&lt;&gt;""),'Atividades Micro'!$K326,"")</f>
        <v/>
      </c>
      <c r="R274" s="21" t="str">
        <f>IF(AND('Atividades Micro'!$B326=R$2,'Atividades Micro'!$L326&lt;&gt;""),'Atividades Micro'!$L326,"")</f>
        <v/>
      </c>
      <c r="S274" s="21" t="str">
        <f>IF(AND('Atividades Micro'!$A326=S$2,'Atividades Micro'!$K326&lt;&gt;""),'Atividades Micro'!$K326,"")</f>
        <v/>
      </c>
      <c r="T274" s="21" t="str">
        <f>IF(AND('Atividades Micro'!$A326=T$2,'Atividades Micro'!$L326&lt;&gt;""),'Atividades Micro'!$L326,"")</f>
        <v/>
      </c>
      <c r="U274" s="21" t="str">
        <f>IF(AND('Atividades Micro'!$B326=U$2,'Atividades Micro'!$K326&lt;&gt;""),'Atividades Micro'!$K326,"")</f>
        <v/>
      </c>
      <c r="V274" s="21" t="str">
        <f>IF(AND('Atividades Micro'!$B326=V$2,'Atividades Micro'!$L326&lt;&gt;""),'Atividades Micro'!$L326,"")</f>
        <v/>
      </c>
      <c r="W274" s="21" t="str">
        <f>IF(AND('Atividades Micro'!$B326=W$2,'Atividades Micro'!$K326&lt;&gt;""),'Atividades Micro'!$K326,"")</f>
        <v/>
      </c>
      <c r="X274" s="21" t="str">
        <f>IF(AND('Atividades Micro'!$B326=X$2,'Atividades Micro'!$L326&lt;&gt;""),'Atividades Micro'!$L326,"")</f>
        <v/>
      </c>
      <c r="Y274" s="21" t="str">
        <f>IF(AND('Atividades Micro'!$A326=Y$2,'Atividades Micro'!$K326&lt;&gt;""),'Atividades Micro'!$K326,"")</f>
        <v/>
      </c>
      <c r="Z274" s="21" t="str">
        <f>IF(AND('Atividades Micro'!$A326=Z$2,'Atividades Micro'!$L326&lt;&gt;""),'Atividades Micro'!$L326,"")</f>
        <v/>
      </c>
      <c r="AA274" s="21" t="str">
        <f>IF(AND('Atividades Micro'!$B326=AA$2,'Atividades Micro'!$K326&lt;&gt;""),'Atividades Micro'!$K326,"")</f>
        <v/>
      </c>
      <c r="AB274" s="21" t="str">
        <f>IF(AND('Atividades Micro'!$B326=AB$2,'Atividades Micro'!$L326&lt;&gt;""),'Atividades Micro'!$L326,"")</f>
        <v/>
      </c>
      <c r="AC274" s="21" t="str">
        <f>IF(AND('Atividades Micro'!$B326=AC$2,'Atividades Micro'!$K326&lt;&gt;""),'Atividades Micro'!$K326,"")</f>
        <v/>
      </c>
      <c r="AD274" s="21" t="str">
        <f>IF(AND('Atividades Micro'!$B326=AD$2,'Atividades Micro'!$L326&lt;&gt;""),'Atividades Micro'!$L326,"")</f>
        <v/>
      </c>
      <c r="AE274" s="21" t="str">
        <f>IF(AND('Atividades Micro'!$A326=AE$2,'Atividades Micro'!$K326&lt;&gt;""),'Atividades Micro'!$K326,"")</f>
        <v/>
      </c>
      <c r="AF274" s="21" t="str">
        <f>IF(AND('Atividades Micro'!$A326=AF$2,'Atividades Micro'!$L326&lt;&gt;""),'Atividades Micro'!$L326,"")</f>
        <v/>
      </c>
      <c r="AG274" s="21" t="str">
        <f>IF(AND('Atividades Micro'!$B326=AG$2,'Atividades Micro'!$K326&lt;&gt;""),'Atividades Micro'!$K326,"")</f>
        <v/>
      </c>
      <c r="AH274" s="21" t="str">
        <f>IF(AND('Atividades Micro'!$B326=AH$2,'Atividades Micro'!$L326&lt;&gt;""),'Atividades Micro'!$L326,"")</f>
        <v/>
      </c>
      <c r="AI274" s="21" t="str">
        <f>IF(AND('Atividades Micro'!$B326=AI$2,'Atividades Micro'!$K326&lt;&gt;""),'Atividades Micro'!$K326,"")</f>
        <v/>
      </c>
      <c r="AJ274" s="21" t="str">
        <f>IF(AND('Atividades Micro'!$B326=AJ$2,'Atividades Micro'!$L326&lt;&gt;""),'Atividades Micro'!$L326,"")</f>
        <v/>
      </c>
      <c r="AK274" s="21" t="str">
        <f>IF(AND('Atividades Micro'!$A326=AK$2,'Atividades Micro'!$K326&lt;&gt;""),'Atividades Micro'!$K326,"")</f>
        <v/>
      </c>
      <c r="AL274" s="21" t="str">
        <f>IF(AND('Atividades Micro'!$A326=AL$2,'Atividades Micro'!$L326&lt;&gt;""),'Atividades Micro'!$L326,"")</f>
        <v/>
      </c>
      <c r="AM274" s="21" t="str">
        <f>IF(AND('Atividades Micro'!$B326=AM$2,'Atividades Micro'!$K326&lt;&gt;""),'Atividades Micro'!$K326,"")</f>
        <v/>
      </c>
      <c r="AN274" s="21" t="str">
        <f>IF(AND('Atividades Micro'!$B326=AN$2,'Atividades Micro'!$L326&lt;&gt;""),'Atividades Micro'!$L326,"")</f>
        <v/>
      </c>
      <c r="AO274" s="21" t="str">
        <f>IF(AND('Atividades Micro'!$B326=AO$2,'Atividades Micro'!$K326&lt;&gt;""),'Atividades Micro'!$K326,"")</f>
        <v/>
      </c>
      <c r="AP274" s="21" t="str">
        <f>IF(AND('Atividades Micro'!$B326=AP$2,'Atividades Micro'!$L326&lt;&gt;""),'Atividades Micro'!$L326,"")</f>
        <v/>
      </c>
      <c r="AQ274" s="21" t="str">
        <f>IF(AND('Atividades Micro'!$A326=AQ$2,'Atividades Micro'!$K326&lt;&gt;""),'Atividades Micro'!$K326,"")</f>
        <v/>
      </c>
      <c r="AR274" s="21" t="str">
        <f>IF(AND('Atividades Micro'!$A326=AR$2,'Atividades Micro'!$L326&lt;&gt;""),'Atividades Micro'!$L326,"")</f>
        <v/>
      </c>
      <c r="AS274" s="21" t="str">
        <f>IF(AND('Atividades Micro'!$B326=AS$2,'Atividades Micro'!$K326&lt;&gt;""),'Atividades Micro'!$K326,"")</f>
        <v/>
      </c>
      <c r="AT274" s="21" t="str">
        <f>IF(AND('Atividades Micro'!$B326=AT$2,'Atividades Micro'!$L326&lt;&gt;""),'Atividades Micro'!$L326,"")</f>
        <v/>
      </c>
      <c r="AU274" s="21">
        <f>IF(AND('Atividades Micro'!$A326=AU$2,'Atividades Micro'!$K326&lt;&gt;""),'Atividades Micro'!$K326,"")</f>
        <v>46283</v>
      </c>
      <c r="AV274" s="21">
        <f>IF(AND('Atividades Micro'!$A326=AV$2,'Atividades Micro'!$L326&lt;&gt;""),'Atividades Micro'!$L326,"")</f>
        <v>46283</v>
      </c>
      <c r="AW274" s="21">
        <f>IF(AND('Atividades Micro'!$B326=AW$2,'Atividades Micro'!$K326&lt;&gt;""),'Atividades Micro'!$K326,"")</f>
        <v>46283</v>
      </c>
      <c r="AX274" s="21">
        <f>IF(AND('Atividades Micro'!$B326=AX$2,'Atividades Micro'!$L326&lt;&gt;""),'Atividades Micro'!$L326,"")</f>
        <v>46283</v>
      </c>
      <c r="AY274" s="21" t="str">
        <f>IF(AND('Atividades Micro'!$A326=AY$2,'Atividades Micro'!$K326&lt;&gt;""),'Atividades Micro'!$K326,"")</f>
        <v/>
      </c>
      <c r="AZ274" s="21" t="str">
        <f>IF(AND('Atividades Micro'!$A326=AZ$2,'Atividades Micro'!$L326&lt;&gt;""),'Atividades Micro'!$L326,"")</f>
        <v/>
      </c>
      <c r="BA274" s="21" t="str">
        <f>IF(AND('Atividades Micro'!$B326=BA$2,'Atividades Micro'!$K326&lt;&gt;""),'Atividades Micro'!$K326,"")</f>
        <v/>
      </c>
      <c r="BB274" s="21" t="str">
        <f>IF(AND('Atividades Micro'!$B326=BB$2,'Atividades Micro'!$L326&lt;&gt;""),'Atividades Micro'!$L326,"")</f>
        <v/>
      </c>
      <c r="BC274" s="21" t="str">
        <f>IF(AND('Atividades Micro'!$B326=BC$2,'Atividades Micro'!$G326="Macro",'Atividades Micro'!$K326&lt;&gt;""),'Atividades Micro'!$K326,"")</f>
        <v/>
      </c>
      <c r="BD274" s="21" t="str">
        <f>IF(AND('Atividades Micro'!$B326=BD$2,'Atividades Micro'!$G326="Macro",'Atividades Micro'!$K326&lt;&gt;""),'Atividades Micro'!$K326,"")</f>
        <v/>
      </c>
      <c r="BE274" s="21" t="str">
        <f>IF(AND('Atividades Micro'!$B326=BE$2,'Atividades Micro'!$G326="Macro",'Atividades Micro'!$K326&lt;&gt;""),'Atividades Micro'!$K326,"")</f>
        <v/>
      </c>
      <c r="BF274" s="21" t="str">
        <f>IF(AND('Atividades Micro'!$B326=BF$2,'Atividades Micro'!$G326="Macro",'Atividades Micro'!$K326&lt;&gt;""),'Atividades Micro'!$K326,"")</f>
        <v/>
      </c>
      <c r="BG274" s="21" t="str">
        <f>IF(AND('Atividades Micro'!$B326=BG$2,'Atividades Micro'!$G326="Macro",'Atividades Micro'!$K326&lt;&gt;""),'Atividades Micro'!$K326,"")</f>
        <v/>
      </c>
      <c r="BH274" s="21" t="str">
        <f>IF(AND('Atividades Micro'!$B326=BH$2,'Atividades Micro'!$G326="Macro",'Atividades Micro'!$K326&lt;&gt;""),'Atividades Micro'!$K326,"")</f>
        <v/>
      </c>
      <c r="BI274" s="21" t="str">
        <f>IF(AND('Atividades Micro'!$B326=BI$2,'Atividades Micro'!$G326="Macro",'Atividades Micro'!$K326&lt;&gt;""),'Atividades Micro'!$K326,"")</f>
        <v/>
      </c>
      <c r="BJ274" s="21" t="str">
        <f>IF(AND('Atividades Micro'!$B326=BJ$2,'Atividades Micro'!$G326="Macro",'Atividades Micro'!$K326&lt;&gt;""),'Atividades Micro'!$K326,"")</f>
        <v/>
      </c>
      <c r="BK274" s="21" t="str">
        <f>IF(AND('Atividades Micro'!$B326=BK$2,'Atividades Micro'!$G326="Macro",'Atividades Micro'!$K326&lt;&gt;""),'Atividades Micro'!$K326,"")</f>
        <v/>
      </c>
      <c r="BL274" s="21" t="str">
        <f>IF(AND('Atividades Micro'!$B326=BL$2,'Atividades Micro'!$G326="Macro",'Atividades Micro'!$K326&lt;&gt;""),'Atividades Micro'!$K326,"")</f>
        <v/>
      </c>
      <c r="BM274" s="21" t="str">
        <f>IF(AND('Atividades Micro'!$B326=BM$2,'Atividades Micro'!$G326="Macro",'Atividades Micro'!$K326&lt;&gt;""),'Atividades Micro'!$K326,"")</f>
        <v/>
      </c>
      <c r="BN274" s="21" t="str">
        <f>IF(AND('Atividades Micro'!$B326=BN$2,'Atividades Micro'!$G326="Macro",'Atividades Micro'!$K326&lt;&gt;""),'Atividades Micro'!$K326,"")</f>
        <v/>
      </c>
      <c r="BO274" s="21" t="str">
        <f>IF(AND('Atividades Micro'!$B326=BO$2,'Atividades Micro'!$G326="Macro",'Atividades Micro'!$K326&lt;&gt;""),'Atividades Micro'!$K326,"")</f>
        <v/>
      </c>
      <c r="BP274" s="21" t="str">
        <f>IF(AND('Atividades Micro'!$B326=BP$2,'Atividades Micro'!$G326="Macro",'Atividades Micro'!$K326&lt;&gt;""),'Atividades Micro'!$K326,"")</f>
        <v/>
      </c>
      <c r="BQ274" s="21" t="str">
        <f>IF(AND('Atividades Micro'!$B326=BQ$2,'Atividades Micro'!$G326="Macro",'Atividades Micro'!$K326&lt;&gt;""),'Atividades Micro'!$K326,"")</f>
        <v/>
      </c>
      <c r="BR274" s="21" t="str">
        <f>IF(AND('Atividades Micro'!$B326=BR$2,'Atividades Micro'!$G326="Macro",'Atividades Micro'!$K326&lt;&gt;""),'Atividades Micro'!$K326,"")</f>
        <v/>
      </c>
      <c r="BS274" s="21" t="str">
        <f>IF(AND('Atividades Micro'!$B326=BS$2,'Atividades Micro'!$G326="Macro",'Atividades Micro'!$K326&lt;&gt;""),'Atividades Micro'!$K326,"")</f>
        <v/>
      </c>
      <c r="BT274" s="21" t="str">
        <f>IF(AND('Atividades Micro'!$B326=BT$2,'Atividades Micro'!$G326="Macro",'Atividades Micro'!$K326&lt;&gt;""),'Atividades Micro'!$K326,"")</f>
        <v/>
      </c>
      <c r="BU274" s="21" t="str">
        <f>IF(AND('Atividades Micro'!$B326=BU$2,'Atividades Micro'!$G326="Macro",'Atividades Micro'!$K326&lt;&gt;""),'Atividades Micro'!$K326,"")</f>
        <v/>
      </c>
      <c r="BV274" s="21" t="str">
        <f>IF(AND('Atividades Micro'!$B326=BV$2,'Atividades Micro'!$G326="Macro",'Atividades Micro'!$K326&lt;&gt;""),'Atividades Micro'!$K326,"")</f>
        <v/>
      </c>
      <c r="BW274" s="21" t="str">
        <f>IF(AND('Atividades Micro'!$B326=BW$2,'Atividades Micro'!$G326="Macro",'Atividades Micro'!$K326&lt;&gt;""),'Atividades Micro'!$K326,"")</f>
        <v/>
      </c>
      <c r="BX274" s="21" t="str">
        <f>IF(AND('Atividades Micro'!$B326=BX$2,'Atividades Micro'!$G326="Macro",'Atividades Micro'!$K326&lt;&gt;""),'Atividades Micro'!$K326,"")</f>
        <v/>
      </c>
      <c r="BY274" s="21" t="str">
        <f>IF(AND('Atividades Micro'!$B326=BY$2,'Atividades Micro'!$G326="Macro",'Atividades Micro'!$K326&lt;&gt;""),'Atividades Micro'!$K326,"")</f>
        <v/>
      </c>
      <c r="BZ274" s="21" t="str">
        <f>IF(AND('Atividades Micro'!$B326=BZ$2,'Atividades Micro'!$G326="Macro",'Atividades Micro'!$K326&lt;&gt;""),'Atividades Micro'!$K326,"")</f>
        <v/>
      </c>
      <c r="CA274" s="21" t="str">
        <f>IF(AND('Atividades Micro'!$B326=CA$2,'Atividades Micro'!$G326="Macro",'Atividades Micro'!$K326&lt;&gt;""),'Atividades Micro'!$K326,"")</f>
        <v/>
      </c>
      <c r="CB274" s="21" t="str">
        <f>IF(AND('Atividades Micro'!$B326=CB$2,'Atividades Micro'!$G326="Macro",'Atividades Micro'!$K326&lt;&gt;""),'Atividades Micro'!$K326,"")</f>
        <v/>
      </c>
      <c r="CC274" s="21" t="str">
        <f>IF(AND('Atividades Micro'!$B326=CC$2,'Atividades Micro'!$G326="Macro",'Atividades Micro'!$K326&lt;&gt;""),'Atividades Micro'!$K326,"")</f>
        <v/>
      </c>
      <c r="CD274" s="21" t="str">
        <f>IF(AND('Atividades Micro'!$B326=CD$2,'Atividades Micro'!$G326="Micro",'Atividades Micro'!$K326&lt;&gt;""),'Atividades Micro'!$K326,"")</f>
        <v/>
      </c>
      <c r="CE274" s="21" t="str">
        <f>IF(AND('Atividades Micro'!$B326=CE$2,'Atividades Micro'!$G326="Micro",'Atividades Micro'!$K326&lt;&gt;""),'Atividades Micro'!$K326,"")</f>
        <v/>
      </c>
      <c r="CF274" s="21" t="str">
        <f>IF(AND('Atividades Micro'!$B326=CF$2,'Atividades Micro'!$G326="Micro",'Atividades Micro'!$K326&lt;&gt;""),'Atividades Micro'!$K326,"")</f>
        <v/>
      </c>
      <c r="CG274" s="21" t="str">
        <f>IF(AND('Atividades Micro'!$B326=CG$2,'Atividades Micro'!$G326="Micro",'Atividades Micro'!$K326&lt;&gt;""),'Atividades Micro'!$K326,"")</f>
        <v/>
      </c>
      <c r="CH274" s="21" t="str">
        <f>IF(AND('Atividades Micro'!$B326=CH$2,'Atividades Micro'!$G326="Micro",'Atividades Micro'!$K326&lt;&gt;""),'Atividades Micro'!$K326,"")</f>
        <v/>
      </c>
      <c r="CI274" s="21" t="str">
        <f>IF(AND('Atividades Micro'!$B326=CI$2,'Atividades Micro'!$G326="Micro",'Atividades Micro'!$K326&lt;&gt;""),'Atividades Micro'!$K326,"")</f>
        <v/>
      </c>
      <c r="CJ274" s="21" t="str">
        <f>IF(AND('Atividades Micro'!$B326=CJ$2,'Atividades Micro'!$G326="Micro",'Atividades Micro'!$K326&lt;&gt;""),'Atividades Micro'!$K326,"")</f>
        <v/>
      </c>
      <c r="CK274" s="21" t="str">
        <f>IF(AND('Atividades Micro'!$B326=CK$2,'Atividades Micro'!$G326="Micro",'Atividades Micro'!$K326&lt;&gt;""),'Atividades Micro'!$K326,"")</f>
        <v/>
      </c>
      <c r="CL274" s="21" t="str">
        <f>IF(AND('Atividades Micro'!$B326=CL$2,'Atividades Micro'!$G326="Micro",'Atividades Micro'!$K326&lt;&gt;""),'Atividades Micro'!$K326,"")</f>
        <v/>
      </c>
      <c r="CM274" s="21" t="str">
        <f>IF(AND('Atividades Micro'!$B326=CM$2,'Atividades Micro'!$G326="Micro",'Atividades Micro'!$K326&lt;&gt;""),'Atividades Micro'!$K326,"")</f>
        <v/>
      </c>
      <c r="CN274" s="21" t="str">
        <f>IF(AND('Atividades Micro'!$B326=CN$2,'Atividades Micro'!$G326="Micro",'Atividades Micro'!$K326&lt;&gt;""),'Atividades Micro'!$K326,"")</f>
        <v/>
      </c>
      <c r="CO274" s="21" t="str">
        <f>IF(AND('Atividades Micro'!$B326=CO$2,'Atividades Micro'!$G326="Micro",'Atividades Micro'!$K326&lt;&gt;""),'Atividades Micro'!$K326,"")</f>
        <v/>
      </c>
    </row>
    <row r="275" spans="1:93">
      <c r="A275" s="21" t="str">
        <f>IF(AND('Atividades Micro'!$A327=A$2,'Atividades Micro'!$K327&lt;&gt;""),'Atividades Micro'!$K327,"")</f>
        <v/>
      </c>
      <c r="B275" s="21" t="str">
        <f>IF(AND('Atividades Micro'!$A327=B$2,'Atividades Micro'!$L327&lt;&gt;""),'Atividades Micro'!$L327,"")</f>
        <v/>
      </c>
      <c r="C275" s="21" t="str">
        <f>IF(AND('Atividades Micro'!$A327=C$2,'Atividades Micro'!$K327&lt;&gt;""),'Atividades Micro'!$K327,"")</f>
        <v/>
      </c>
      <c r="D275" s="21" t="str">
        <f>IF(AND('Atividades Micro'!$A327=D$2,'Atividades Micro'!$L327&lt;&gt;""),'Atividades Micro'!$L327,"")</f>
        <v/>
      </c>
      <c r="E275" s="21" t="str">
        <f>IF(AND('Atividades Micro'!$A327=E$2,'Atividades Micro'!$K327&lt;&gt;""),'Atividades Micro'!$K327,"")</f>
        <v/>
      </c>
      <c r="F275" s="21" t="str">
        <f>IF(AND('Atividades Micro'!$A327=F$2,'Atividades Micro'!$L327&lt;&gt;""),'Atividades Micro'!$L327,"")</f>
        <v/>
      </c>
      <c r="G275" s="21" t="str">
        <f>IF(AND('Atividades Micro'!$A327=G$2,'Atividades Micro'!$K327&lt;&gt;""),'Atividades Micro'!$K327,"")</f>
        <v/>
      </c>
      <c r="H275" s="21" t="str">
        <f>IF(AND('Atividades Micro'!$A327=H$2,'Atividades Micro'!$L327&lt;&gt;""),'Atividades Micro'!$L327,"")</f>
        <v/>
      </c>
      <c r="I275" s="21" t="str">
        <f>IF(AND('Atividades Micro'!$A327=I$2,'Atividades Micro'!$K327&lt;&gt;""),'Atividades Micro'!$K327,"")</f>
        <v/>
      </c>
      <c r="J275" s="21" t="str">
        <f>IF(AND('Atividades Micro'!$A327=J$2,'Atividades Micro'!$L327&lt;&gt;""),'Atividades Micro'!$L327,"")</f>
        <v/>
      </c>
      <c r="K275" s="21" t="str">
        <f>IF(AND('Atividades Micro'!$B327=K$2,'Atividades Micro'!$K327&lt;&gt;""),'Atividades Micro'!$K327,"")</f>
        <v/>
      </c>
      <c r="L275" s="21" t="str">
        <f>IF(AND('Atividades Micro'!$B327=L$2,'Atividades Micro'!$L327&lt;&gt;""),'Atividades Micro'!$L327,"")</f>
        <v/>
      </c>
      <c r="M275" s="21" t="str">
        <f>IF(AND('Atividades Micro'!$B327=M$2,'Atividades Micro'!$K327&lt;&gt;""),'Atividades Micro'!$K327,"")</f>
        <v/>
      </c>
      <c r="N275" s="21" t="str">
        <f>IF(AND('Atividades Micro'!$B327=N$2,'Atividades Micro'!$L327&lt;&gt;""),'Atividades Micro'!$L327,"")</f>
        <v/>
      </c>
      <c r="O275" s="21" t="str">
        <f>IF(AND('Atividades Micro'!$A327=O$2,'Atividades Micro'!$K327&lt;&gt;""),'Atividades Micro'!$K327,"")</f>
        <v/>
      </c>
      <c r="P275" s="21" t="str">
        <f>IF(AND('Atividades Micro'!$A327=P$2,'Atividades Micro'!$L327&lt;&gt;""),'Atividades Micro'!$L327,"")</f>
        <v/>
      </c>
      <c r="Q275" s="21" t="str">
        <f>IF(AND('Atividades Micro'!$B327=Q$2,'Atividades Micro'!$K327&lt;&gt;""),'Atividades Micro'!$K327,"")</f>
        <v/>
      </c>
      <c r="R275" s="21" t="str">
        <f>IF(AND('Atividades Micro'!$B327=R$2,'Atividades Micro'!$L327&lt;&gt;""),'Atividades Micro'!$L327,"")</f>
        <v/>
      </c>
      <c r="S275" s="21" t="str">
        <f>IF(AND('Atividades Micro'!$A327=S$2,'Atividades Micro'!$K327&lt;&gt;""),'Atividades Micro'!$K327,"")</f>
        <v/>
      </c>
      <c r="T275" s="21" t="str">
        <f>IF(AND('Atividades Micro'!$A327=T$2,'Atividades Micro'!$L327&lt;&gt;""),'Atividades Micro'!$L327,"")</f>
        <v/>
      </c>
      <c r="U275" s="21" t="str">
        <f>IF(AND('Atividades Micro'!$B327=U$2,'Atividades Micro'!$K327&lt;&gt;""),'Atividades Micro'!$K327,"")</f>
        <v/>
      </c>
      <c r="V275" s="21" t="str">
        <f>IF(AND('Atividades Micro'!$B327=V$2,'Atividades Micro'!$L327&lt;&gt;""),'Atividades Micro'!$L327,"")</f>
        <v/>
      </c>
      <c r="W275" s="21" t="str">
        <f>IF(AND('Atividades Micro'!$B327=W$2,'Atividades Micro'!$K327&lt;&gt;""),'Atividades Micro'!$K327,"")</f>
        <v/>
      </c>
      <c r="X275" s="21" t="str">
        <f>IF(AND('Atividades Micro'!$B327=X$2,'Atividades Micro'!$L327&lt;&gt;""),'Atividades Micro'!$L327,"")</f>
        <v/>
      </c>
      <c r="Y275" s="21" t="str">
        <f>IF(AND('Atividades Micro'!$A327=Y$2,'Atividades Micro'!$K327&lt;&gt;""),'Atividades Micro'!$K327,"")</f>
        <v/>
      </c>
      <c r="Z275" s="21" t="str">
        <f>IF(AND('Atividades Micro'!$A327=Z$2,'Atividades Micro'!$L327&lt;&gt;""),'Atividades Micro'!$L327,"")</f>
        <v/>
      </c>
      <c r="AA275" s="21" t="str">
        <f>IF(AND('Atividades Micro'!$B327=AA$2,'Atividades Micro'!$K327&lt;&gt;""),'Atividades Micro'!$K327,"")</f>
        <v/>
      </c>
      <c r="AB275" s="21" t="str">
        <f>IF(AND('Atividades Micro'!$B327=AB$2,'Atividades Micro'!$L327&lt;&gt;""),'Atividades Micro'!$L327,"")</f>
        <v/>
      </c>
      <c r="AC275" s="21" t="str">
        <f>IF(AND('Atividades Micro'!$B327=AC$2,'Atividades Micro'!$K327&lt;&gt;""),'Atividades Micro'!$K327,"")</f>
        <v/>
      </c>
      <c r="AD275" s="21" t="str">
        <f>IF(AND('Atividades Micro'!$B327=AD$2,'Atividades Micro'!$L327&lt;&gt;""),'Atividades Micro'!$L327,"")</f>
        <v/>
      </c>
      <c r="AE275" s="21" t="str">
        <f>IF(AND('Atividades Micro'!$A327=AE$2,'Atividades Micro'!$K327&lt;&gt;""),'Atividades Micro'!$K327,"")</f>
        <v/>
      </c>
      <c r="AF275" s="21" t="str">
        <f>IF(AND('Atividades Micro'!$A327=AF$2,'Atividades Micro'!$L327&lt;&gt;""),'Atividades Micro'!$L327,"")</f>
        <v/>
      </c>
      <c r="AG275" s="21" t="str">
        <f>IF(AND('Atividades Micro'!$B327=AG$2,'Atividades Micro'!$K327&lt;&gt;""),'Atividades Micro'!$K327,"")</f>
        <v/>
      </c>
      <c r="AH275" s="21" t="str">
        <f>IF(AND('Atividades Micro'!$B327=AH$2,'Atividades Micro'!$L327&lt;&gt;""),'Atividades Micro'!$L327,"")</f>
        <v/>
      </c>
      <c r="AI275" s="21" t="str">
        <f>IF(AND('Atividades Micro'!$B327=AI$2,'Atividades Micro'!$K327&lt;&gt;""),'Atividades Micro'!$K327,"")</f>
        <v/>
      </c>
      <c r="AJ275" s="21" t="str">
        <f>IF(AND('Atividades Micro'!$B327=AJ$2,'Atividades Micro'!$L327&lt;&gt;""),'Atividades Micro'!$L327,"")</f>
        <v/>
      </c>
      <c r="AK275" s="21" t="str">
        <f>IF(AND('Atividades Micro'!$A327=AK$2,'Atividades Micro'!$K327&lt;&gt;""),'Atividades Micro'!$K327,"")</f>
        <v/>
      </c>
      <c r="AL275" s="21" t="str">
        <f>IF(AND('Atividades Micro'!$A327=AL$2,'Atividades Micro'!$L327&lt;&gt;""),'Atividades Micro'!$L327,"")</f>
        <v/>
      </c>
      <c r="AM275" s="21" t="str">
        <f>IF(AND('Atividades Micro'!$B327=AM$2,'Atividades Micro'!$K327&lt;&gt;""),'Atividades Micro'!$K327,"")</f>
        <v/>
      </c>
      <c r="AN275" s="21" t="str">
        <f>IF(AND('Atividades Micro'!$B327=AN$2,'Atividades Micro'!$L327&lt;&gt;""),'Atividades Micro'!$L327,"")</f>
        <v/>
      </c>
      <c r="AO275" s="21" t="str">
        <f>IF(AND('Atividades Micro'!$B327=AO$2,'Atividades Micro'!$K327&lt;&gt;""),'Atividades Micro'!$K327,"")</f>
        <v/>
      </c>
      <c r="AP275" s="21" t="str">
        <f>IF(AND('Atividades Micro'!$B327=AP$2,'Atividades Micro'!$L327&lt;&gt;""),'Atividades Micro'!$L327,"")</f>
        <v/>
      </c>
      <c r="AQ275" s="21" t="str">
        <f>IF(AND('Atividades Micro'!$A327=AQ$2,'Atividades Micro'!$K327&lt;&gt;""),'Atividades Micro'!$K327,"")</f>
        <v/>
      </c>
      <c r="AR275" s="21" t="str">
        <f>IF(AND('Atividades Micro'!$A327=AR$2,'Atividades Micro'!$L327&lt;&gt;""),'Atividades Micro'!$L327,"")</f>
        <v/>
      </c>
      <c r="AS275" s="21" t="str">
        <f>IF(AND('Atividades Micro'!$B327=AS$2,'Atividades Micro'!$K327&lt;&gt;""),'Atividades Micro'!$K327,"")</f>
        <v/>
      </c>
      <c r="AT275" s="21" t="str">
        <f>IF(AND('Atividades Micro'!$B327=AT$2,'Atividades Micro'!$L327&lt;&gt;""),'Atividades Micro'!$L327,"")</f>
        <v/>
      </c>
      <c r="AU275" s="21">
        <f>IF(AND('Atividades Micro'!$A327=AU$2,'Atividades Micro'!$K327&lt;&gt;""),'Atividades Micro'!$K327,"")</f>
        <v>46290</v>
      </c>
      <c r="AV275" s="21">
        <f>IF(AND('Atividades Micro'!$A327=AV$2,'Atividades Micro'!$L327&lt;&gt;""),'Atividades Micro'!$L327,"")</f>
        <v>46244</v>
      </c>
      <c r="AW275" s="21">
        <f>IF(AND('Atividades Micro'!$B327=AW$2,'Atividades Micro'!$K327&lt;&gt;""),'Atividades Micro'!$K327,"")</f>
        <v>46290</v>
      </c>
      <c r="AX275" s="21">
        <f>IF(AND('Atividades Micro'!$B327=AX$2,'Atividades Micro'!$L327&lt;&gt;""),'Atividades Micro'!$L327,"")</f>
        <v>46244</v>
      </c>
      <c r="AY275" s="21" t="str">
        <f>IF(AND('Atividades Micro'!$A327=AY$2,'Atividades Micro'!$K327&lt;&gt;""),'Atividades Micro'!$K327,"")</f>
        <v/>
      </c>
      <c r="AZ275" s="21" t="str">
        <f>IF(AND('Atividades Micro'!$A327=AZ$2,'Atividades Micro'!$L327&lt;&gt;""),'Atividades Micro'!$L327,"")</f>
        <v/>
      </c>
      <c r="BA275" s="21" t="str">
        <f>IF(AND('Atividades Micro'!$B327=BA$2,'Atividades Micro'!$K327&lt;&gt;""),'Atividades Micro'!$K327,"")</f>
        <v/>
      </c>
      <c r="BB275" s="21" t="str">
        <f>IF(AND('Atividades Micro'!$B327=BB$2,'Atividades Micro'!$L327&lt;&gt;""),'Atividades Micro'!$L327,"")</f>
        <v/>
      </c>
      <c r="BC275" s="21" t="str">
        <f>IF(AND('Atividades Micro'!$B327=BC$2,'Atividades Micro'!$G327="Macro",'Atividades Micro'!$K327&lt;&gt;""),'Atividades Micro'!$K327,"")</f>
        <v/>
      </c>
      <c r="BD275" s="21" t="str">
        <f>IF(AND('Atividades Micro'!$B327=BD$2,'Atividades Micro'!$G327="Macro",'Atividades Micro'!$K327&lt;&gt;""),'Atividades Micro'!$K327,"")</f>
        <v/>
      </c>
      <c r="BE275" s="21" t="str">
        <f>IF(AND('Atividades Micro'!$B327=BE$2,'Atividades Micro'!$G327="Macro",'Atividades Micro'!$K327&lt;&gt;""),'Atividades Micro'!$K327,"")</f>
        <v/>
      </c>
      <c r="BF275" s="21" t="str">
        <f>IF(AND('Atividades Micro'!$B327=BF$2,'Atividades Micro'!$G327="Macro",'Atividades Micro'!$K327&lt;&gt;""),'Atividades Micro'!$K327,"")</f>
        <v/>
      </c>
      <c r="BG275" s="21" t="str">
        <f>IF(AND('Atividades Micro'!$B327=BG$2,'Atividades Micro'!$G327="Macro",'Atividades Micro'!$K327&lt;&gt;""),'Atividades Micro'!$K327,"")</f>
        <v/>
      </c>
      <c r="BH275" s="21" t="str">
        <f>IF(AND('Atividades Micro'!$B327=BH$2,'Atividades Micro'!$G327="Macro",'Atividades Micro'!$K327&lt;&gt;""),'Atividades Micro'!$K327,"")</f>
        <v/>
      </c>
      <c r="BI275" s="21" t="str">
        <f>IF(AND('Atividades Micro'!$B327=BI$2,'Atividades Micro'!$G327="Macro",'Atividades Micro'!$K327&lt;&gt;""),'Atividades Micro'!$K327,"")</f>
        <v/>
      </c>
      <c r="BJ275" s="21" t="str">
        <f>IF(AND('Atividades Micro'!$B327=BJ$2,'Atividades Micro'!$G327="Macro",'Atividades Micro'!$K327&lt;&gt;""),'Atividades Micro'!$K327,"")</f>
        <v/>
      </c>
      <c r="BK275" s="21" t="str">
        <f>IF(AND('Atividades Micro'!$B327=BK$2,'Atividades Micro'!$G327="Macro",'Atividades Micro'!$K327&lt;&gt;""),'Atividades Micro'!$K327,"")</f>
        <v/>
      </c>
      <c r="BL275" s="21" t="str">
        <f>IF(AND('Atividades Micro'!$B327=BL$2,'Atividades Micro'!$G327="Macro",'Atividades Micro'!$K327&lt;&gt;""),'Atividades Micro'!$K327,"")</f>
        <v/>
      </c>
      <c r="BM275" s="21" t="str">
        <f>IF(AND('Atividades Micro'!$B327=BM$2,'Atividades Micro'!$G327="Macro",'Atividades Micro'!$K327&lt;&gt;""),'Atividades Micro'!$K327,"")</f>
        <v/>
      </c>
      <c r="BN275" s="21" t="str">
        <f>IF(AND('Atividades Micro'!$B327=BN$2,'Atividades Micro'!$G327="Macro",'Atividades Micro'!$K327&lt;&gt;""),'Atividades Micro'!$K327,"")</f>
        <v/>
      </c>
      <c r="BO275" s="21" t="str">
        <f>IF(AND('Atividades Micro'!$B327=BO$2,'Atividades Micro'!$G327="Macro",'Atividades Micro'!$K327&lt;&gt;""),'Atividades Micro'!$K327,"")</f>
        <v/>
      </c>
      <c r="BP275" s="21" t="str">
        <f>IF(AND('Atividades Micro'!$B327=BP$2,'Atividades Micro'!$G327="Macro",'Atividades Micro'!$K327&lt;&gt;""),'Atividades Micro'!$K327,"")</f>
        <v/>
      </c>
      <c r="BQ275" s="21" t="str">
        <f>IF(AND('Atividades Micro'!$B327=BQ$2,'Atividades Micro'!$G327="Macro",'Atividades Micro'!$K327&lt;&gt;""),'Atividades Micro'!$K327,"")</f>
        <v/>
      </c>
      <c r="BR275" s="21" t="str">
        <f>IF(AND('Atividades Micro'!$B327=BR$2,'Atividades Micro'!$G327="Macro",'Atividades Micro'!$K327&lt;&gt;""),'Atividades Micro'!$K327,"")</f>
        <v/>
      </c>
      <c r="BS275" s="21" t="str">
        <f>IF(AND('Atividades Micro'!$B327=BS$2,'Atividades Micro'!$G327="Macro",'Atividades Micro'!$K327&lt;&gt;""),'Atividades Micro'!$K327,"")</f>
        <v/>
      </c>
      <c r="BT275" s="21" t="str">
        <f>IF(AND('Atividades Micro'!$B327=BT$2,'Atividades Micro'!$G327="Macro",'Atividades Micro'!$K327&lt;&gt;""),'Atividades Micro'!$K327,"")</f>
        <v/>
      </c>
      <c r="BU275" s="21" t="str">
        <f>IF(AND('Atividades Micro'!$B327=BU$2,'Atividades Micro'!$G327="Macro",'Atividades Micro'!$K327&lt;&gt;""),'Atividades Micro'!$K327,"")</f>
        <v/>
      </c>
      <c r="BV275" s="21" t="str">
        <f>IF(AND('Atividades Micro'!$B327=BV$2,'Atividades Micro'!$G327="Macro",'Atividades Micro'!$K327&lt;&gt;""),'Atividades Micro'!$K327,"")</f>
        <v/>
      </c>
      <c r="BW275" s="21" t="str">
        <f>IF(AND('Atividades Micro'!$B327=BW$2,'Atividades Micro'!$G327="Macro",'Atividades Micro'!$K327&lt;&gt;""),'Atividades Micro'!$K327,"")</f>
        <v/>
      </c>
      <c r="BX275" s="21" t="str">
        <f>IF(AND('Atividades Micro'!$B327=BX$2,'Atividades Micro'!$G327="Macro",'Atividades Micro'!$K327&lt;&gt;""),'Atividades Micro'!$K327,"")</f>
        <v/>
      </c>
      <c r="BY275" s="21" t="str">
        <f>IF(AND('Atividades Micro'!$B327=BY$2,'Atividades Micro'!$G327="Macro",'Atividades Micro'!$K327&lt;&gt;""),'Atividades Micro'!$K327,"")</f>
        <v/>
      </c>
      <c r="BZ275" s="21" t="str">
        <f>IF(AND('Atividades Micro'!$B327=BZ$2,'Atividades Micro'!$G327="Macro",'Atividades Micro'!$K327&lt;&gt;""),'Atividades Micro'!$K327,"")</f>
        <v/>
      </c>
      <c r="CA275" s="21" t="str">
        <f>IF(AND('Atividades Micro'!$B327=CA$2,'Atividades Micro'!$G327="Macro",'Atividades Micro'!$K327&lt;&gt;""),'Atividades Micro'!$K327,"")</f>
        <v/>
      </c>
      <c r="CB275" s="21" t="str">
        <f>IF(AND('Atividades Micro'!$B327=CB$2,'Atividades Micro'!$G327="Macro",'Atividades Micro'!$K327&lt;&gt;""),'Atividades Micro'!$K327,"")</f>
        <v/>
      </c>
      <c r="CC275" s="21" t="str">
        <f>IF(AND('Atividades Micro'!$B327=CC$2,'Atividades Micro'!$G327="Macro",'Atividades Micro'!$K327&lt;&gt;""),'Atividades Micro'!$K327,"")</f>
        <v/>
      </c>
      <c r="CD275" s="21" t="str">
        <f>IF(AND('Atividades Micro'!$B327=CD$2,'Atividades Micro'!$G327="Micro",'Atividades Micro'!$K327&lt;&gt;""),'Atividades Micro'!$K327,"")</f>
        <v/>
      </c>
      <c r="CE275" s="21" t="str">
        <f>IF(AND('Atividades Micro'!$B327=CE$2,'Atividades Micro'!$G327="Micro",'Atividades Micro'!$K327&lt;&gt;""),'Atividades Micro'!$K327,"")</f>
        <v/>
      </c>
      <c r="CF275" s="21" t="str">
        <f>IF(AND('Atividades Micro'!$B327=CF$2,'Atividades Micro'!$G327="Micro",'Atividades Micro'!$K327&lt;&gt;""),'Atividades Micro'!$K327,"")</f>
        <v/>
      </c>
      <c r="CG275" s="21" t="str">
        <f>IF(AND('Atividades Micro'!$B327=CG$2,'Atividades Micro'!$G327="Micro",'Atividades Micro'!$K327&lt;&gt;""),'Atividades Micro'!$K327,"")</f>
        <v/>
      </c>
      <c r="CH275" s="21" t="str">
        <f>IF(AND('Atividades Micro'!$B327=CH$2,'Atividades Micro'!$G327="Micro",'Atividades Micro'!$K327&lt;&gt;""),'Atividades Micro'!$K327,"")</f>
        <v/>
      </c>
      <c r="CI275" s="21" t="str">
        <f>IF(AND('Atividades Micro'!$B327=CI$2,'Atividades Micro'!$G327="Micro",'Atividades Micro'!$K327&lt;&gt;""),'Atividades Micro'!$K327,"")</f>
        <v/>
      </c>
      <c r="CJ275" s="21" t="str">
        <f>IF(AND('Atividades Micro'!$B327=CJ$2,'Atividades Micro'!$G327="Micro",'Atividades Micro'!$K327&lt;&gt;""),'Atividades Micro'!$K327,"")</f>
        <v/>
      </c>
      <c r="CK275" s="21" t="str">
        <f>IF(AND('Atividades Micro'!$B327=CK$2,'Atividades Micro'!$G327="Micro",'Atividades Micro'!$K327&lt;&gt;""),'Atividades Micro'!$K327,"")</f>
        <v/>
      </c>
      <c r="CL275" s="21" t="str">
        <f>IF(AND('Atividades Micro'!$B327=CL$2,'Atividades Micro'!$G327="Micro",'Atividades Micro'!$K327&lt;&gt;""),'Atividades Micro'!$K327,"")</f>
        <v/>
      </c>
      <c r="CM275" s="21" t="str">
        <f>IF(AND('Atividades Micro'!$B327=CM$2,'Atividades Micro'!$G327="Micro",'Atividades Micro'!$K327&lt;&gt;""),'Atividades Micro'!$K327,"")</f>
        <v/>
      </c>
      <c r="CN275" s="21" t="str">
        <f>IF(AND('Atividades Micro'!$B327=CN$2,'Atividades Micro'!$G327="Micro",'Atividades Micro'!$K327&lt;&gt;""),'Atividades Micro'!$K327,"")</f>
        <v/>
      </c>
      <c r="CO275" s="21" t="str">
        <f>IF(AND('Atividades Micro'!$B327=CO$2,'Atividades Micro'!$G327="Micro",'Atividades Micro'!$K327&lt;&gt;""),'Atividades Micro'!$K327,"")</f>
        <v/>
      </c>
    </row>
    <row r="276" spans="1:93">
      <c r="A276" s="21" t="str">
        <f>IF(AND('Atividades Micro'!$A328=A$2,'Atividades Micro'!$K328&lt;&gt;""),'Atividades Micro'!$K328,"")</f>
        <v/>
      </c>
      <c r="B276" s="21" t="str">
        <f>IF(AND('Atividades Micro'!$A328=B$2,'Atividades Micro'!$L328&lt;&gt;""),'Atividades Micro'!$L328,"")</f>
        <v/>
      </c>
      <c r="C276" s="21" t="str">
        <f>IF(AND('Atividades Micro'!$A328=C$2,'Atividades Micro'!$K328&lt;&gt;""),'Atividades Micro'!$K328,"")</f>
        <v/>
      </c>
      <c r="D276" s="21" t="str">
        <f>IF(AND('Atividades Micro'!$A328=D$2,'Atividades Micro'!$L328&lt;&gt;""),'Atividades Micro'!$L328,"")</f>
        <v/>
      </c>
      <c r="E276" s="21" t="str">
        <f>IF(AND('Atividades Micro'!$A328=E$2,'Atividades Micro'!$K328&lt;&gt;""),'Atividades Micro'!$K328,"")</f>
        <v/>
      </c>
      <c r="F276" s="21" t="str">
        <f>IF(AND('Atividades Micro'!$A328=F$2,'Atividades Micro'!$L328&lt;&gt;""),'Atividades Micro'!$L328,"")</f>
        <v/>
      </c>
      <c r="G276" s="21" t="str">
        <f>IF(AND('Atividades Micro'!$A328=G$2,'Atividades Micro'!$K328&lt;&gt;""),'Atividades Micro'!$K328,"")</f>
        <v/>
      </c>
      <c r="H276" s="21" t="str">
        <f>IF(AND('Atividades Micro'!$A328=H$2,'Atividades Micro'!$L328&lt;&gt;""),'Atividades Micro'!$L328,"")</f>
        <v/>
      </c>
      <c r="I276" s="21" t="str">
        <f>IF(AND('Atividades Micro'!$A328=I$2,'Atividades Micro'!$K328&lt;&gt;""),'Atividades Micro'!$K328,"")</f>
        <v/>
      </c>
      <c r="J276" s="21" t="str">
        <f>IF(AND('Atividades Micro'!$A328=J$2,'Atividades Micro'!$L328&lt;&gt;""),'Atividades Micro'!$L328,"")</f>
        <v/>
      </c>
      <c r="K276" s="21" t="str">
        <f>IF(AND('Atividades Micro'!$B328=K$2,'Atividades Micro'!$K328&lt;&gt;""),'Atividades Micro'!$K328,"")</f>
        <v/>
      </c>
      <c r="L276" s="21" t="str">
        <f>IF(AND('Atividades Micro'!$B328=L$2,'Atividades Micro'!$L328&lt;&gt;""),'Atividades Micro'!$L328,"")</f>
        <v/>
      </c>
      <c r="M276" s="21" t="str">
        <f>IF(AND('Atividades Micro'!$B328=M$2,'Atividades Micro'!$K328&lt;&gt;""),'Atividades Micro'!$K328,"")</f>
        <v/>
      </c>
      <c r="N276" s="21" t="str">
        <f>IF(AND('Atividades Micro'!$B328=N$2,'Atividades Micro'!$L328&lt;&gt;""),'Atividades Micro'!$L328,"")</f>
        <v/>
      </c>
      <c r="O276" s="21" t="str">
        <f>IF(AND('Atividades Micro'!$A328=O$2,'Atividades Micro'!$K328&lt;&gt;""),'Atividades Micro'!$K328,"")</f>
        <v/>
      </c>
      <c r="P276" s="21" t="str">
        <f>IF(AND('Atividades Micro'!$A328=P$2,'Atividades Micro'!$L328&lt;&gt;""),'Atividades Micro'!$L328,"")</f>
        <v/>
      </c>
      <c r="Q276" s="21" t="str">
        <f>IF(AND('Atividades Micro'!$B328=Q$2,'Atividades Micro'!$K328&lt;&gt;""),'Atividades Micro'!$K328,"")</f>
        <v/>
      </c>
      <c r="R276" s="21" t="str">
        <f>IF(AND('Atividades Micro'!$B328=R$2,'Atividades Micro'!$L328&lt;&gt;""),'Atividades Micro'!$L328,"")</f>
        <v/>
      </c>
      <c r="S276" s="21" t="str">
        <f>IF(AND('Atividades Micro'!$A328=S$2,'Atividades Micro'!$K328&lt;&gt;""),'Atividades Micro'!$K328,"")</f>
        <v/>
      </c>
      <c r="T276" s="21" t="str">
        <f>IF(AND('Atividades Micro'!$A328=T$2,'Atividades Micro'!$L328&lt;&gt;""),'Atividades Micro'!$L328,"")</f>
        <v/>
      </c>
      <c r="U276" s="21" t="str">
        <f>IF(AND('Atividades Micro'!$B328=U$2,'Atividades Micro'!$K328&lt;&gt;""),'Atividades Micro'!$K328,"")</f>
        <v/>
      </c>
      <c r="V276" s="21" t="str">
        <f>IF(AND('Atividades Micro'!$B328=V$2,'Atividades Micro'!$L328&lt;&gt;""),'Atividades Micro'!$L328,"")</f>
        <v/>
      </c>
      <c r="W276" s="21" t="str">
        <f>IF(AND('Atividades Micro'!$B328=W$2,'Atividades Micro'!$K328&lt;&gt;""),'Atividades Micro'!$K328,"")</f>
        <v/>
      </c>
      <c r="X276" s="21" t="str">
        <f>IF(AND('Atividades Micro'!$B328=X$2,'Atividades Micro'!$L328&lt;&gt;""),'Atividades Micro'!$L328,"")</f>
        <v/>
      </c>
      <c r="Y276" s="21" t="str">
        <f>IF(AND('Atividades Micro'!$A328=Y$2,'Atividades Micro'!$K328&lt;&gt;""),'Atividades Micro'!$K328,"")</f>
        <v/>
      </c>
      <c r="Z276" s="21" t="str">
        <f>IF(AND('Atividades Micro'!$A328=Z$2,'Atividades Micro'!$L328&lt;&gt;""),'Atividades Micro'!$L328,"")</f>
        <v/>
      </c>
      <c r="AA276" s="21" t="str">
        <f>IF(AND('Atividades Micro'!$B328=AA$2,'Atividades Micro'!$K328&lt;&gt;""),'Atividades Micro'!$K328,"")</f>
        <v/>
      </c>
      <c r="AB276" s="21" t="str">
        <f>IF(AND('Atividades Micro'!$B328=AB$2,'Atividades Micro'!$L328&lt;&gt;""),'Atividades Micro'!$L328,"")</f>
        <v/>
      </c>
      <c r="AC276" s="21" t="str">
        <f>IF(AND('Atividades Micro'!$B328=AC$2,'Atividades Micro'!$K328&lt;&gt;""),'Atividades Micro'!$K328,"")</f>
        <v/>
      </c>
      <c r="AD276" s="21" t="str">
        <f>IF(AND('Atividades Micro'!$B328=AD$2,'Atividades Micro'!$L328&lt;&gt;""),'Atividades Micro'!$L328,"")</f>
        <v/>
      </c>
      <c r="AE276" s="21" t="str">
        <f>IF(AND('Atividades Micro'!$A328=AE$2,'Atividades Micro'!$K328&lt;&gt;""),'Atividades Micro'!$K328,"")</f>
        <v/>
      </c>
      <c r="AF276" s="21" t="str">
        <f>IF(AND('Atividades Micro'!$A328=AF$2,'Atividades Micro'!$L328&lt;&gt;""),'Atividades Micro'!$L328,"")</f>
        <v/>
      </c>
      <c r="AG276" s="21" t="str">
        <f>IF(AND('Atividades Micro'!$B328=AG$2,'Atividades Micro'!$K328&lt;&gt;""),'Atividades Micro'!$K328,"")</f>
        <v/>
      </c>
      <c r="AH276" s="21" t="str">
        <f>IF(AND('Atividades Micro'!$B328=AH$2,'Atividades Micro'!$L328&lt;&gt;""),'Atividades Micro'!$L328,"")</f>
        <v/>
      </c>
      <c r="AI276" s="21" t="str">
        <f>IF(AND('Atividades Micro'!$B328=AI$2,'Atividades Micro'!$K328&lt;&gt;""),'Atividades Micro'!$K328,"")</f>
        <v/>
      </c>
      <c r="AJ276" s="21" t="str">
        <f>IF(AND('Atividades Micro'!$B328=AJ$2,'Atividades Micro'!$L328&lt;&gt;""),'Atividades Micro'!$L328,"")</f>
        <v/>
      </c>
      <c r="AK276" s="21" t="str">
        <f>IF(AND('Atividades Micro'!$A328=AK$2,'Atividades Micro'!$K328&lt;&gt;""),'Atividades Micro'!$K328,"")</f>
        <v/>
      </c>
      <c r="AL276" s="21" t="str">
        <f>IF(AND('Atividades Micro'!$A328=AL$2,'Atividades Micro'!$L328&lt;&gt;""),'Atividades Micro'!$L328,"")</f>
        <v/>
      </c>
      <c r="AM276" s="21" t="str">
        <f>IF(AND('Atividades Micro'!$B328=AM$2,'Atividades Micro'!$K328&lt;&gt;""),'Atividades Micro'!$K328,"")</f>
        <v/>
      </c>
      <c r="AN276" s="21" t="str">
        <f>IF(AND('Atividades Micro'!$B328=AN$2,'Atividades Micro'!$L328&lt;&gt;""),'Atividades Micro'!$L328,"")</f>
        <v/>
      </c>
      <c r="AO276" s="21" t="str">
        <f>IF(AND('Atividades Micro'!$B328=AO$2,'Atividades Micro'!$K328&lt;&gt;""),'Atividades Micro'!$K328,"")</f>
        <v/>
      </c>
      <c r="AP276" s="21" t="str">
        <f>IF(AND('Atividades Micro'!$B328=AP$2,'Atividades Micro'!$L328&lt;&gt;""),'Atividades Micro'!$L328,"")</f>
        <v/>
      </c>
      <c r="AQ276" s="21" t="str">
        <f>IF(AND('Atividades Micro'!$A328=AQ$2,'Atividades Micro'!$K328&lt;&gt;""),'Atividades Micro'!$K328,"")</f>
        <v/>
      </c>
      <c r="AR276" s="21" t="str">
        <f>IF(AND('Atividades Micro'!$A328=AR$2,'Atividades Micro'!$L328&lt;&gt;""),'Atividades Micro'!$L328,"")</f>
        <v/>
      </c>
      <c r="AS276" s="21" t="str">
        <f>IF(AND('Atividades Micro'!$B328=AS$2,'Atividades Micro'!$K328&lt;&gt;""),'Atividades Micro'!$K328,"")</f>
        <v/>
      </c>
      <c r="AT276" s="21" t="str">
        <f>IF(AND('Atividades Micro'!$B328=AT$2,'Atividades Micro'!$L328&lt;&gt;""),'Atividades Micro'!$L328,"")</f>
        <v/>
      </c>
      <c r="AU276" s="21">
        <f>IF(AND('Atividades Micro'!$A328=AU$2,'Atividades Micro'!$K328&lt;&gt;""),'Atividades Micro'!$K328,"")</f>
        <v>46304</v>
      </c>
      <c r="AV276" s="21">
        <f>IF(AND('Atividades Micro'!$A328=AV$2,'Atividades Micro'!$L328&lt;&gt;""),'Atividades Micro'!$L328,"")</f>
        <v>46275</v>
      </c>
      <c r="AW276" s="21">
        <f>IF(AND('Atividades Micro'!$B328=AW$2,'Atividades Micro'!$K328&lt;&gt;""),'Atividades Micro'!$K328,"")</f>
        <v>46304</v>
      </c>
      <c r="AX276" s="21">
        <f>IF(AND('Atividades Micro'!$B328=AX$2,'Atividades Micro'!$L328&lt;&gt;""),'Atividades Micro'!$L328,"")</f>
        <v>46275</v>
      </c>
      <c r="AY276" s="21" t="str">
        <f>IF(AND('Atividades Micro'!$A328=AY$2,'Atividades Micro'!$K328&lt;&gt;""),'Atividades Micro'!$K328,"")</f>
        <v/>
      </c>
      <c r="AZ276" s="21" t="str">
        <f>IF(AND('Atividades Micro'!$A328=AZ$2,'Atividades Micro'!$L328&lt;&gt;""),'Atividades Micro'!$L328,"")</f>
        <v/>
      </c>
      <c r="BA276" s="21" t="str">
        <f>IF(AND('Atividades Micro'!$B328=BA$2,'Atividades Micro'!$K328&lt;&gt;""),'Atividades Micro'!$K328,"")</f>
        <v/>
      </c>
      <c r="BB276" s="21" t="str">
        <f>IF(AND('Atividades Micro'!$B328=BB$2,'Atividades Micro'!$L328&lt;&gt;""),'Atividades Micro'!$L328,"")</f>
        <v/>
      </c>
      <c r="BC276" s="21" t="str">
        <f>IF(AND('Atividades Micro'!$B328=BC$2,'Atividades Micro'!$G328="Macro",'Atividades Micro'!$K328&lt;&gt;""),'Atividades Micro'!$K328,"")</f>
        <v/>
      </c>
      <c r="BD276" s="21" t="str">
        <f>IF(AND('Atividades Micro'!$B328=BD$2,'Atividades Micro'!$G328="Macro",'Atividades Micro'!$K328&lt;&gt;""),'Atividades Micro'!$K328,"")</f>
        <v/>
      </c>
      <c r="BE276" s="21" t="str">
        <f>IF(AND('Atividades Micro'!$B328=BE$2,'Atividades Micro'!$G328="Macro",'Atividades Micro'!$K328&lt;&gt;""),'Atividades Micro'!$K328,"")</f>
        <v/>
      </c>
      <c r="BF276" s="21" t="str">
        <f>IF(AND('Atividades Micro'!$B328=BF$2,'Atividades Micro'!$G328="Macro",'Atividades Micro'!$K328&lt;&gt;""),'Atividades Micro'!$K328,"")</f>
        <v/>
      </c>
      <c r="BG276" s="21" t="str">
        <f>IF(AND('Atividades Micro'!$B328=BG$2,'Atividades Micro'!$G328="Macro",'Atividades Micro'!$K328&lt;&gt;""),'Atividades Micro'!$K328,"")</f>
        <v/>
      </c>
      <c r="BH276" s="21" t="str">
        <f>IF(AND('Atividades Micro'!$B328=BH$2,'Atividades Micro'!$G328="Macro",'Atividades Micro'!$K328&lt;&gt;""),'Atividades Micro'!$K328,"")</f>
        <v/>
      </c>
      <c r="BI276" s="21" t="str">
        <f>IF(AND('Atividades Micro'!$B328=BI$2,'Atividades Micro'!$G328="Macro",'Atividades Micro'!$K328&lt;&gt;""),'Atividades Micro'!$K328,"")</f>
        <v/>
      </c>
      <c r="BJ276" s="21" t="str">
        <f>IF(AND('Atividades Micro'!$B328=BJ$2,'Atividades Micro'!$G328="Macro",'Atividades Micro'!$K328&lt;&gt;""),'Atividades Micro'!$K328,"")</f>
        <v/>
      </c>
      <c r="BK276" s="21" t="str">
        <f>IF(AND('Atividades Micro'!$B328=BK$2,'Atividades Micro'!$G328="Macro",'Atividades Micro'!$K328&lt;&gt;""),'Atividades Micro'!$K328,"")</f>
        <v/>
      </c>
      <c r="BL276" s="21" t="str">
        <f>IF(AND('Atividades Micro'!$B328=BL$2,'Atividades Micro'!$G328="Macro",'Atividades Micro'!$K328&lt;&gt;""),'Atividades Micro'!$K328,"")</f>
        <v/>
      </c>
      <c r="BM276" s="21" t="str">
        <f>IF(AND('Atividades Micro'!$B328=BM$2,'Atividades Micro'!$G328="Macro",'Atividades Micro'!$K328&lt;&gt;""),'Atividades Micro'!$K328,"")</f>
        <v/>
      </c>
      <c r="BN276" s="21" t="str">
        <f>IF(AND('Atividades Micro'!$B328=BN$2,'Atividades Micro'!$G328="Macro",'Atividades Micro'!$K328&lt;&gt;""),'Atividades Micro'!$K328,"")</f>
        <v/>
      </c>
      <c r="BO276" s="21" t="str">
        <f>IF(AND('Atividades Micro'!$B328=BO$2,'Atividades Micro'!$G328="Macro",'Atividades Micro'!$K328&lt;&gt;""),'Atividades Micro'!$K328,"")</f>
        <v/>
      </c>
      <c r="BP276" s="21" t="str">
        <f>IF(AND('Atividades Micro'!$B328=BP$2,'Atividades Micro'!$G328="Macro",'Atividades Micro'!$K328&lt;&gt;""),'Atividades Micro'!$K328,"")</f>
        <v/>
      </c>
      <c r="BQ276" s="21" t="str">
        <f>IF(AND('Atividades Micro'!$B328=BQ$2,'Atividades Micro'!$G328="Macro",'Atividades Micro'!$K328&lt;&gt;""),'Atividades Micro'!$K328,"")</f>
        <v/>
      </c>
      <c r="BR276" s="21" t="str">
        <f>IF(AND('Atividades Micro'!$B328=BR$2,'Atividades Micro'!$G328="Macro",'Atividades Micro'!$K328&lt;&gt;""),'Atividades Micro'!$K328,"")</f>
        <v/>
      </c>
      <c r="BS276" s="21" t="str">
        <f>IF(AND('Atividades Micro'!$B328=BS$2,'Atividades Micro'!$G328="Macro",'Atividades Micro'!$K328&lt;&gt;""),'Atividades Micro'!$K328,"")</f>
        <v/>
      </c>
      <c r="BT276" s="21" t="str">
        <f>IF(AND('Atividades Micro'!$B328=BT$2,'Atividades Micro'!$G328="Macro",'Atividades Micro'!$K328&lt;&gt;""),'Atividades Micro'!$K328,"")</f>
        <v/>
      </c>
      <c r="BU276" s="21" t="str">
        <f>IF(AND('Atividades Micro'!$B328=BU$2,'Atividades Micro'!$G328="Macro",'Atividades Micro'!$K328&lt;&gt;""),'Atividades Micro'!$K328,"")</f>
        <v/>
      </c>
      <c r="BV276" s="21" t="str">
        <f>IF(AND('Atividades Micro'!$B328=BV$2,'Atividades Micro'!$G328="Macro",'Atividades Micro'!$K328&lt;&gt;""),'Atividades Micro'!$K328,"")</f>
        <v/>
      </c>
      <c r="BW276" s="21" t="str">
        <f>IF(AND('Atividades Micro'!$B328=BW$2,'Atividades Micro'!$G328="Macro",'Atividades Micro'!$K328&lt;&gt;""),'Atividades Micro'!$K328,"")</f>
        <v/>
      </c>
      <c r="BX276" s="21" t="str">
        <f>IF(AND('Atividades Micro'!$B328=BX$2,'Atividades Micro'!$G328="Macro",'Atividades Micro'!$K328&lt;&gt;""),'Atividades Micro'!$K328,"")</f>
        <v/>
      </c>
      <c r="BY276" s="21" t="str">
        <f>IF(AND('Atividades Micro'!$B328=BY$2,'Atividades Micro'!$G328="Macro",'Atividades Micro'!$K328&lt;&gt;""),'Atividades Micro'!$K328,"")</f>
        <v/>
      </c>
      <c r="BZ276" s="21" t="str">
        <f>IF(AND('Atividades Micro'!$B328=BZ$2,'Atividades Micro'!$G328="Macro",'Atividades Micro'!$K328&lt;&gt;""),'Atividades Micro'!$K328,"")</f>
        <v/>
      </c>
      <c r="CA276" s="21" t="str">
        <f>IF(AND('Atividades Micro'!$B328=CA$2,'Atividades Micro'!$G328="Macro",'Atividades Micro'!$K328&lt;&gt;""),'Atividades Micro'!$K328,"")</f>
        <v/>
      </c>
      <c r="CB276" s="21" t="str">
        <f>IF(AND('Atividades Micro'!$B328=CB$2,'Atividades Micro'!$G328="Macro",'Atividades Micro'!$K328&lt;&gt;""),'Atividades Micro'!$K328,"")</f>
        <v/>
      </c>
      <c r="CC276" s="21" t="str">
        <f>IF(AND('Atividades Micro'!$B328=CC$2,'Atividades Micro'!$G328="Macro",'Atividades Micro'!$K328&lt;&gt;""),'Atividades Micro'!$K328,"")</f>
        <v/>
      </c>
      <c r="CD276" s="21" t="str">
        <f>IF(AND('Atividades Micro'!$B328=CD$2,'Atividades Micro'!$G328="Micro",'Atividades Micro'!$K328&lt;&gt;""),'Atividades Micro'!$K328,"")</f>
        <v/>
      </c>
      <c r="CE276" s="21" t="str">
        <f>IF(AND('Atividades Micro'!$B328=CE$2,'Atividades Micro'!$G328="Micro",'Atividades Micro'!$K328&lt;&gt;""),'Atividades Micro'!$K328,"")</f>
        <v/>
      </c>
      <c r="CF276" s="21" t="str">
        <f>IF(AND('Atividades Micro'!$B328=CF$2,'Atividades Micro'!$G328="Micro",'Atividades Micro'!$K328&lt;&gt;""),'Atividades Micro'!$K328,"")</f>
        <v/>
      </c>
      <c r="CG276" s="21" t="str">
        <f>IF(AND('Atividades Micro'!$B328=CG$2,'Atividades Micro'!$G328="Micro",'Atividades Micro'!$K328&lt;&gt;""),'Atividades Micro'!$K328,"")</f>
        <v/>
      </c>
      <c r="CH276" s="21" t="str">
        <f>IF(AND('Atividades Micro'!$B328=CH$2,'Atividades Micro'!$G328="Micro",'Atividades Micro'!$K328&lt;&gt;""),'Atividades Micro'!$K328,"")</f>
        <v/>
      </c>
      <c r="CI276" s="21" t="str">
        <f>IF(AND('Atividades Micro'!$B328=CI$2,'Atividades Micro'!$G328="Micro",'Atividades Micro'!$K328&lt;&gt;""),'Atividades Micro'!$K328,"")</f>
        <v/>
      </c>
      <c r="CJ276" s="21" t="str">
        <f>IF(AND('Atividades Micro'!$B328=CJ$2,'Atividades Micro'!$G328="Micro",'Atividades Micro'!$K328&lt;&gt;""),'Atividades Micro'!$K328,"")</f>
        <v/>
      </c>
      <c r="CK276" s="21" t="str">
        <f>IF(AND('Atividades Micro'!$B328=CK$2,'Atividades Micro'!$G328="Micro",'Atividades Micro'!$K328&lt;&gt;""),'Atividades Micro'!$K328,"")</f>
        <v/>
      </c>
      <c r="CL276" s="21" t="str">
        <f>IF(AND('Atividades Micro'!$B328=CL$2,'Atividades Micro'!$G328="Micro",'Atividades Micro'!$K328&lt;&gt;""),'Atividades Micro'!$K328,"")</f>
        <v/>
      </c>
      <c r="CM276" s="21" t="str">
        <f>IF(AND('Atividades Micro'!$B328=CM$2,'Atividades Micro'!$G328="Micro",'Atividades Micro'!$K328&lt;&gt;""),'Atividades Micro'!$K328,"")</f>
        <v/>
      </c>
      <c r="CN276" s="21" t="str">
        <f>IF(AND('Atividades Micro'!$B328=CN$2,'Atividades Micro'!$G328="Micro",'Atividades Micro'!$K328&lt;&gt;""),'Atividades Micro'!$K328,"")</f>
        <v/>
      </c>
      <c r="CO276" s="21" t="str">
        <f>IF(AND('Atividades Micro'!$B328=CO$2,'Atividades Micro'!$G328="Micro",'Atividades Micro'!$K328&lt;&gt;""),'Atividades Micro'!$K328,"")</f>
        <v/>
      </c>
    </row>
    <row r="277" spans="1:93">
      <c r="A277" s="21" t="str">
        <f>IF(AND('Atividades Micro'!$A329=A$2,'Atividades Micro'!$K329&lt;&gt;""),'Atividades Micro'!$K329,"")</f>
        <v/>
      </c>
      <c r="B277" s="21" t="str">
        <f>IF(AND('Atividades Micro'!$A329=B$2,'Atividades Micro'!$L329&lt;&gt;""),'Atividades Micro'!$L329,"")</f>
        <v/>
      </c>
      <c r="C277" s="21" t="str">
        <f>IF(AND('Atividades Micro'!$A329=C$2,'Atividades Micro'!$K329&lt;&gt;""),'Atividades Micro'!$K329,"")</f>
        <v/>
      </c>
      <c r="D277" s="21" t="str">
        <f>IF(AND('Atividades Micro'!$A329=D$2,'Atividades Micro'!$L329&lt;&gt;""),'Atividades Micro'!$L329,"")</f>
        <v/>
      </c>
      <c r="E277" s="21" t="str">
        <f>IF(AND('Atividades Micro'!$A329=E$2,'Atividades Micro'!$K329&lt;&gt;""),'Atividades Micro'!$K329,"")</f>
        <v/>
      </c>
      <c r="F277" s="21" t="str">
        <f>IF(AND('Atividades Micro'!$A329=F$2,'Atividades Micro'!$L329&lt;&gt;""),'Atividades Micro'!$L329,"")</f>
        <v/>
      </c>
      <c r="G277" s="21" t="str">
        <f>IF(AND('Atividades Micro'!$A329=G$2,'Atividades Micro'!$K329&lt;&gt;""),'Atividades Micro'!$K329,"")</f>
        <v/>
      </c>
      <c r="H277" s="21" t="str">
        <f>IF(AND('Atividades Micro'!$A329=H$2,'Atividades Micro'!$L329&lt;&gt;""),'Atividades Micro'!$L329,"")</f>
        <v/>
      </c>
      <c r="I277" s="21" t="str">
        <f>IF(AND('Atividades Micro'!$A329=I$2,'Atividades Micro'!$K329&lt;&gt;""),'Atividades Micro'!$K329,"")</f>
        <v/>
      </c>
      <c r="J277" s="21" t="str">
        <f>IF(AND('Atividades Micro'!$A329=J$2,'Atividades Micro'!$L329&lt;&gt;""),'Atividades Micro'!$L329,"")</f>
        <v/>
      </c>
      <c r="K277" s="21" t="str">
        <f>IF(AND('Atividades Micro'!$B329=K$2,'Atividades Micro'!$K329&lt;&gt;""),'Atividades Micro'!$K329,"")</f>
        <v/>
      </c>
      <c r="L277" s="21" t="str">
        <f>IF(AND('Atividades Micro'!$B329=L$2,'Atividades Micro'!$L329&lt;&gt;""),'Atividades Micro'!$L329,"")</f>
        <v/>
      </c>
      <c r="M277" s="21" t="str">
        <f>IF(AND('Atividades Micro'!$B329=M$2,'Atividades Micro'!$K329&lt;&gt;""),'Atividades Micro'!$K329,"")</f>
        <v/>
      </c>
      <c r="N277" s="21" t="str">
        <f>IF(AND('Atividades Micro'!$B329=N$2,'Atividades Micro'!$L329&lt;&gt;""),'Atividades Micro'!$L329,"")</f>
        <v/>
      </c>
      <c r="O277" s="21" t="str">
        <f>IF(AND('Atividades Micro'!$A329=O$2,'Atividades Micro'!$K329&lt;&gt;""),'Atividades Micro'!$K329,"")</f>
        <v/>
      </c>
      <c r="P277" s="21" t="str">
        <f>IF(AND('Atividades Micro'!$A329=P$2,'Atividades Micro'!$L329&lt;&gt;""),'Atividades Micro'!$L329,"")</f>
        <v/>
      </c>
      <c r="Q277" s="21" t="str">
        <f>IF(AND('Atividades Micro'!$B329=Q$2,'Atividades Micro'!$K329&lt;&gt;""),'Atividades Micro'!$K329,"")</f>
        <v/>
      </c>
      <c r="R277" s="21" t="str">
        <f>IF(AND('Atividades Micro'!$B329=R$2,'Atividades Micro'!$L329&lt;&gt;""),'Atividades Micro'!$L329,"")</f>
        <v/>
      </c>
      <c r="S277" s="21" t="str">
        <f>IF(AND('Atividades Micro'!$A329=S$2,'Atividades Micro'!$K329&lt;&gt;""),'Atividades Micro'!$K329,"")</f>
        <v/>
      </c>
      <c r="T277" s="21" t="str">
        <f>IF(AND('Atividades Micro'!$A329=T$2,'Atividades Micro'!$L329&lt;&gt;""),'Atividades Micro'!$L329,"")</f>
        <v/>
      </c>
      <c r="U277" s="21" t="str">
        <f>IF(AND('Atividades Micro'!$B329=U$2,'Atividades Micro'!$K329&lt;&gt;""),'Atividades Micro'!$K329,"")</f>
        <v/>
      </c>
      <c r="V277" s="21" t="str">
        <f>IF(AND('Atividades Micro'!$B329=V$2,'Atividades Micro'!$L329&lt;&gt;""),'Atividades Micro'!$L329,"")</f>
        <v/>
      </c>
      <c r="W277" s="21" t="str">
        <f>IF(AND('Atividades Micro'!$B329=W$2,'Atividades Micro'!$K329&lt;&gt;""),'Atividades Micro'!$K329,"")</f>
        <v/>
      </c>
      <c r="X277" s="21" t="str">
        <f>IF(AND('Atividades Micro'!$B329=X$2,'Atividades Micro'!$L329&lt;&gt;""),'Atividades Micro'!$L329,"")</f>
        <v/>
      </c>
      <c r="Y277" s="21" t="str">
        <f>IF(AND('Atividades Micro'!$A329=Y$2,'Atividades Micro'!$K329&lt;&gt;""),'Atividades Micro'!$K329,"")</f>
        <v/>
      </c>
      <c r="Z277" s="21" t="str">
        <f>IF(AND('Atividades Micro'!$A329=Z$2,'Atividades Micro'!$L329&lt;&gt;""),'Atividades Micro'!$L329,"")</f>
        <v/>
      </c>
      <c r="AA277" s="21" t="str">
        <f>IF(AND('Atividades Micro'!$B329=AA$2,'Atividades Micro'!$K329&lt;&gt;""),'Atividades Micro'!$K329,"")</f>
        <v/>
      </c>
      <c r="AB277" s="21" t="str">
        <f>IF(AND('Atividades Micro'!$B329=AB$2,'Atividades Micro'!$L329&lt;&gt;""),'Atividades Micro'!$L329,"")</f>
        <v/>
      </c>
      <c r="AC277" s="21" t="str">
        <f>IF(AND('Atividades Micro'!$B329=AC$2,'Atividades Micro'!$K329&lt;&gt;""),'Atividades Micro'!$K329,"")</f>
        <v/>
      </c>
      <c r="AD277" s="21" t="str">
        <f>IF(AND('Atividades Micro'!$B329=AD$2,'Atividades Micro'!$L329&lt;&gt;""),'Atividades Micro'!$L329,"")</f>
        <v/>
      </c>
      <c r="AE277" s="21" t="str">
        <f>IF(AND('Atividades Micro'!$A329=AE$2,'Atividades Micro'!$K329&lt;&gt;""),'Atividades Micro'!$K329,"")</f>
        <v/>
      </c>
      <c r="AF277" s="21" t="str">
        <f>IF(AND('Atividades Micro'!$A329=AF$2,'Atividades Micro'!$L329&lt;&gt;""),'Atividades Micro'!$L329,"")</f>
        <v/>
      </c>
      <c r="AG277" s="21" t="str">
        <f>IF(AND('Atividades Micro'!$B329=AG$2,'Atividades Micro'!$K329&lt;&gt;""),'Atividades Micro'!$K329,"")</f>
        <v/>
      </c>
      <c r="AH277" s="21" t="str">
        <f>IF(AND('Atividades Micro'!$B329=AH$2,'Atividades Micro'!$L329&lt;&gt;""),'Atividades Micro'!$L329,"")</f>
        <v/>
      </c>
      <c r="AI277" s="21" t="str">
        <f>IF(AND('Atividades Micro'!$B329=AI$2,'Atividades Micro'!$K329&lt;&gt;""),'Atividades Micro'!$K329,"")</f>
        <v/>
      </c>
      <c r="AJ277" s="21" t="str">
        <f>IF(AND('Atividades Micro'!$B329=AJ$2,'Atividades Micro'!$L329&lt;&gt;""),'Atividades Micro'!$L329,"")</f>
        <v/>
      </c>
      <c r="AK277" s="21" t="str">
        <f>IF(AND('Atividades Micro'!$A329=AK$2,'Atividades Micro'!$K329&lt;&gt;""),'Atividades Micro'!$K329,"")</f>
        <v/>
      </c>
      <c r="AL277" s="21" t="str">
        <f>IF(AND('Atividades Micro'!$A329=AL$2,'Atividades Micro'!$L329&lt;&gt;""),'Atividades Micro'!$L329,"")</f>
        <v/>
      </c>
      <c r="AM277" s="21" t="str">
        <f>IF(AND('Atividades Micro'!$B329=AM$2,'Atividades Micro'!$K329&lt;&gt;""),'Atividades Micro'!$K329,"")</f>
        <v/>
      </c>
      <c r="AN277" s="21" t="str">
        <f>IF(AND('Atividades Micro'!$B329=AN$2,'Atividades Micro'!$L329&lt;&gt;""),'Atividades Micro'!$L329,"")</f>
        <v/>
      </c>
      <c r="AO277" s="21" t="str">
        <f>IF(AND('Atividades Micro'!$B329=AO$2,'Atividades Micro'!$K329&lt;&gt;""),'Atividades Micro'!$K329,"")</f>
        <v/>
      </c>
      <c r="AP277" s="21" t="str">
        <f>IF(AND('Atividades Micro'!$B329=AP$2,'Atividades Micro'!$L329&lt;&gt;""),'Atividades Micro'!$L329,"")</f>
        <v/>
      </c>
      <c r="AQ277" s="21" t="str">
        <f>IF(AND('Atividades Micro'!$A329=AQ$2,'Atividades Micro'!$K329&lt;&gt;""),'Atividades Micro'!$K329,"")</f>
        <v/>
      </c>
      <c r="AR277" s="21" t="str">
        <f>IF(AND('Atividades Micro'!$A329=AR$2,'Atividades Micro'!$L329&lt;&gt;""),'Atividades Micro'!$L329,"")</f>
        <v/>
      </c>
      <c r="AS277" s="21" t="str">
        <f>IF(AND('Atividades Micro'!$B329=AS$2,'Atividades Micro'!$K329&lt;&gt;""),'Atividades Micro'!$K329,"")</f>
        <v/>
      </c>
      <c r="AT277" s="21" t="str">
        <f>IF(AND('Atividades Micro'!$B329=AT$2,'Atividades Micro'!$L329&lt;&gt;""),'Atividades Micro'!$L329,"")</f>
        <v/>
      </c>
      <c r="AU277" s="21">
        <f>IF(AND('Atividades Micro'!$A329=AU$2,'Atividades Micro'!$K329&lt;&gt;""),'Atividades Micro'!$K329,"")</f>
        <v>46269</v>
      </c>
      <c r="AV277" s="21">
        <f>IF(AND('Atividades Micro'!$A329=AV$2,'Atividades Micro'!$L329&lt;&gt;""),'Atividades Micro'!$L329,"")</f>
        <v>46273</v>
      </c>
      <c r="AW277" s="21">
        <f>IF(AND('Atividades Micro'!$B329=AW$2,'Atividades Micro'!$K329&lt;&gt;""),'Atividades Micro'!$K329,"")</f>
        <v>46269</v>
      </c>
      <c r="AX277" s="21">
        <f>IF(AND('Atividades Micro'!$B329=AX$2,'Atividades Micro'!$L329&lt;&gt;""),'Atividades Micro'!$L329,"")</f>
        <v>46273</v>
      </c>
      <c r="AY277" s="21" t="str">
        <f>IF(AND('Atividades Micro'!$A329=AY$2,'Atividades Micro'!$K329&lt;&gt;""),'Atividades Micro'!$K329,"")</f>
        <v/>
      </c>
      <c r="AZ277" s="21" t="str">
        <f>IF(AND('Atividades Micro'!$A329=AZ$2,'Atividades Micro'!$L329&lt;&gt;""),'Atividades Micro'!$L329,"")</f>
        <v/>
      </c>
      <c r="BA277" s="21" t="str">
        <f>IF(AND('Atividades Micro'!$B329=BA$2,'Atividades Micro'!$K329&lt;&gt;""),'Atividades Micro'!$K329,"")</f>
        <v/>
      </c>
      <c r="BB277" s="21" t="str">
        <f>IF(AND('Atividades Micro'!$B329=BB$2,'Atividades Micro'!$L329&lt;&gt;""),'Atividades Micro'!$L329,"")</f>
        <v/>
      </c>
      <c r="BC277" s="21" t="str">
        <f>IF(AND('Atividades Micro'!$B329=BC$2,'Atividades Micro'!$G329="Macro",'Atividades Micro'!$K329&lt;&gt;""),'Atividades Micro'!$K329,"")</f>
        <v/>
      </c>
      <c r="BD277" s="21" t="str">
        <f>IF(AND('Atividades Micro'!$B329=BD$2,'Atividades Micro'!$G329="Macro",'Atividades Micro'!$K329&lt;&gt;""),'Atividades Micro'!$K329,"")</f>
        <v/>
      </c>
      <c r="BE277" s="21" t="str">
        <f>IF(AND('Atividades Micro'!$B329=BE$2,'Atividades Micro'!$G329="Macro",'Atividades Micro'!$K329&lt;&gt;""),'Atividades Micro'!$K329,"")</f>
        <v/>
      </c>
      <c r="BF277" s="21" t="str">
        <f>IF(AND('Atividades Micro'!$B329=BF$2,'Atividades Micro'!$G329="Macro",'Atividades Micro'!$K329&lt;&gt;""),'Atividades Micro'!$K329,"")</f>
        <v/>
      </c>
      <c r="BG277" s="21" t="str">
        <f>IF(AND('Atividades Micro'!$B329=BG$2,'Atividades Micro'!$G329="Macro",'Atividades Micro'!$K329&lt;&gt;""),'Atividades Micro'!$K329,"")</f>
        <v/>
      </c>
      <c r="BH277" s="21" t="str">
        <f>IF(AND('Atividades Micro'!$B329=BH$2,'Atividades Micro'!$G329="Macro",'Atividades Micro'!$K329&lt;&gt;""),'Atividades Micro'!$K329,"")</f>
        <v/>
      </c>
      <c r="BI277" s="21" t="str">
        <f>IF(AND('Atividades Micro'!$B329=BI$2,'Atividades Micro'!$G329="Macro",'Atividades Micro'!$K329&lt;&gt;""),'Atividades Micro'!$K329,"")</f>
        <v/>
      </c>
      <c r="BJ277" s="21" t="str">
        <f>IF(AND('Atividades Micro'!$B329=BJ$2,'Atividades Micro'!$G329="Macro",'Atividades Micro'!$K329&lt;&gt;""),'Atividades Micro'!$K329,"")</f>
        <v/>
      </c>
      <c r="BK277" s="21" t="str">
        <f>IF(AND('Atividades Micro'!$B329=BK$2,'Atividades Micro'!$G329="Macro",'Atividades Micro'!$K329&lt;&gt;""),'Atividades Micro'!$K329,"")</f>
        <v/>
      </c>
      <c r="BL277" s="21" t="str">
        <f>IF(AND('Atividades Micro'!$B329=BL$2,'Atividades Micro'!$G329="Macro",'Atividades Micro'!$K329&lt;&gt;""),'Atividades Micro'!$K329,"")</f>
        <v/>
      </c>
      <c r="BM277" s="21" t="str">
        <f>IF(AND('Atividades Micro'!$B329=BM$2,'Atividades Micro'!$G329="Macro",'Atividades Micro'!$K329&lt;&gt;""),'Atividades Micro'!$K329,"")</f>
        <v/>
      </c>
      <c r="BN277" s="21" t="str">
        <f>IF(AND('Atividades Micro'!$B329=BN$2,'Atividades Micro'!$G329="Macro",'Atividades Micro'!$K329&lt;&gt;""),'Atividades Micro'!$K329,"")</f>
        <v/>
      </c>
      <c r="BO277" s="21" t="str">
        <f>IF(AND('Atividades Micro'!$B329=BO$2,'Atividades Micro'!$G329="Macro",'Atividades Micro'!$K329&lt;&gt;""),'Atividades Micro'!$K329,"")</f>
        <v/>
      </c>
      <c r="BP277" s="21" t="str">
        <f>IF(AND('Atividades Micro'!$B329=BP$2,'Atividades Micro'!$G329="Macro",'Atividades Micro'!$K329&lt;&gt;""),'Atividades Micro'!$K329,"")</f>
        <v/>
      </c>
      <c r="BQ277" s="21" t="str">
        <f>IF(AND('Atividades Micro'!$B329=BQ$2,'Atividades Micro'!$G329="Macro",'Atividades Micro'!$K329&lt;&gt;""),'Atividades Micro'!$K329,"")</f>
        <v/>
      </c>
      <c r="BR277" s="21" t="str">
        <f>IF(AND('Atividades Micro'!$B329=BR$2,'Atividades Micro'!$G329="Macro",'Atividades Micro'!$K329&lt;&gt;""),'Atividades Micro'!$K329,"")</f>
        <v/>
      </c>
      <c r="BS277" s="21" t="str">
        <f>IF(AND('Atividades Micro'!$B329=BS$2,'Atividades Micro'!$G329="Macro",'Atividades Micro'!$K329&lt;&gt;""),'Atividades Micro'!$K329,"")</f>
        <v/>
      </c>
      <c r="BT277" s="21" t="str">
        <f>IF(AND('Atividades Micro'!$B329=BT$2,'Atividades Micro'!$G329="Macro",'Atividades Micro'!$K329&lt;&gt;""),'Atividades Micro'!$K329,"")</f>
        <v/>
      </c>
      <c r="BU277" s="21" t="str">
        <f>IF(AND('Atividades Micro'!$B329=BU$2,'Atividades Micro'!$G329="Macro",'Atividades Micro'!$K329&lt;&gt;""),'Atividades Micro'!$K329,"")</f>
        <v/>
      </c>
      <c r="BV277" s="21" t="str">
        <f>IF(AND('Atividades Micro'!$B329=BV$2,'Atividades Micro'!$G329="Macro",'Atividades Micro'!$K329&lt;&gt;""),'Atividades Micro'!$K329,"")</f>
        <v/>
      </c>
      <c r="BW277" s="21" t="str">
        <f>IF(AND('Atividades Micro'!$B329=BW$2,'Atividades Micro'!$G329="Macro",'Atividades Micro'!$K329&lt;&gt;""),'Atividades Micro'!$K329,"")</f>
        <v/>
      </c>
      <c r="BX277" s="21" t="str">
        <f>IF(AND('Atividades Micro'!$B329=BX$2,'Atividades Micro'!$G329="Macro",'Atividades Micro'!$K329&lt;&gt;""),'Atividades Micro'!$K329,"")</f>
        <v/>
      </c>
      <c r="BY277" s="21" t="str">
        <f>IF(AND('Atividades Micro'!$B329=BY$2,'Atividades Micro'!$G329="Macro",'Atividades Micro'!$K329&lt;&gt;""),'Atividades Micro'!$K329,"")</f>
        <v/>
      </c>
      <c r="BZ277" s="21" t="str">
        <f>IF(AND('Atividades Micro'!$B329=BZ$2,'Atividades Micro'!$G329="Macro",'Atividades Micro'!$K329&lt;&gt;""),'Atividades Micro'!$K329,"")</f>
        <v/>
      </c>
      <c r="CA277" s="21" t="str">
        <f>IF(AND('Atividades Micro'!$B329=CA$2,'Atividades Micro'!$G329="Macro",'Atividades Micro'!$K329&lt;&gt;""),'Atividades Micro'!$K329,"")</f>
        <v/>
      </c>
      <c r="CB277" s="21" t="str">
        <f>IF(AND('Atividades Micro'!$B329=CB$2,'Atividades Micro'!$G329="Macro",'Atividades Micro'!$K329&lt;&gt;""),'Atividades Micro'!$K329,"")</f>
        <v/>
      </c>
      <c r="CC277" s="21" t="str">
        <f>IF(AND('Atividades Micro'!$B329=CC$2,'Atividades Micro'!$G329="Macro",'Atividades Micro'!$K329&lt;&gt;""),'Atividades Micro'!$K329,"")</f>
        <v/>
      </c>
      <c r="CD277" s="21" t="str">
        <f>IF(AND('Atividades Micro'!$B329=CD$2,'Atividades Micro'!$G329="Micro",'Atividades Micro'!$K329&lt;&gt;""),'Atividades Micro'!$K329,"")</f>
        <v/>
      </c>
      <c r="CE277" s="21" t="str">
        <f>IF(AND('Atividades Micro'!$B329=CE$2,'Atividades Micro'!$G329="Micro",'Atividades Micro'!$K329&lt;&gt;""),'Atividades Micro'!$K329,"")</f>
        <v/>
      </c>
      <c r="CF277" s="21" t="str">
        <f>IF(AND('Atividades Micro'!$B329=CF$2,'Atividades Micro'!$G329="Micro",'Atividades Micro'!$K329&lt;&gt;""),'Atividades Micro'!$K329,"")</f>
        <v/>
      </c>
      <c r="CG277" s="21" t="str">
        <f>IF(AND('Atividades Micro'!$B329=CG$2,'Atividades Micro'!$G329="Micro",'Atividades Micro'!$K329&lt;&gt;""),'Atividades Micro'!$K329,"")</f>
        <v/>
      </c>
      <c r="CH277" s="21" t="str">
        <f>IF(AND('Atividades Micro'!$B329=CH$2,'Atividades Micro'!$G329="Micro",'Atividades Micro'!$K329&lt;&gt;""),'Atividades Micro'!$K329,"")</f>
        <v/>
      </c>
      <c r="CI277" s="21" t="str">
        <f>IF(AND('Atividades Micro'!$B329=CI$2,'Atividades Micro'!$G329="Micro",'Atividades Micro'!$K329&lt;&gt;""),'Atividades Micro'!$K329,"")</f>
        <v/>
      </c>
      <c r="CJ277" s="21" t="str">
        <f>IF(AND('Atividades Micro'!$B329=CJ$2,'Atividades Micro'!$G329="Micro",'Atividades Micro'!$K329&lt;&gt;""),'Atividades Micro'!$K329,"")</f>
        <v/>
      </c>
      <c r="CK277" s="21" t="str">
        <f>IF(AND('Atividades Micro'!$B329=CK$2,'Atividades Micro'!$G329="Micro",'Atividades Micro'!$K329&lt;&gt;""),'Atividades Micro'!$K329,"")</f>
        <v/>
      </c>
      <c r="CL277" s="21" t="str">
        <f>IF(AND('Atividades Micro'!$B329=CL$2,'Atividades Micro'!$G329="Micro",'Atividades Micro'!$K329&lt;&gt;""),'Atividades Micro'!$K329,"")</f>
        <v/>
      </c>
      <c r="CM277" s="21" t="str">
        <f>IF(AND('Atividades Micro'!$B329=CM$2,'Atividades Micro'!$G329="Micro",'Atividades Micro'!$K329&lt;&gt;""),'Atividades Micro'!$K329,"")</f>
        <v/>
      </c>
      <c r="CN277" s="21" t="str">
        <f>IF(AND('Atividades Micro'!$B329=CN$2,'Atividades Micro'!$G329="Micro",'Atividades Micro'!$K329&lt;&gt;""),'Atividades Micro'!$K329,"")</f>
        <v/>
      </c>
      <c r="CO277" s="21" t="str">
        <f>IF(AND('Atividades Micro'!$B329=CO$2,'Atividades Micro'!$G329="Micro",'Atividades Micro'!$K329&lt;&gt;""),'Atividades Micro'!$K329,"")</f>
        <v/>
      </c>
    </row>
    <row r="278" spans="1:93">
      <c r="A278" s="21" t="str">
        <f>IF(AND('Atividades Micro'!$A330=A$2,'Atividades Micro'!$K330&lt;&gt;""),'Atividades Micro'!$K330,"")</f>
        <v/>
      </c>
      <c r="B278" s="21" t="str">
        <f>IF(AND('Atividades Micro'!$A330=B$2,'Atividades Micro'!$L330&lt;&gt;""),'Atividades Micro'!$L330,"")</f>
        <v/>
      </c>
      <c r="C278" s="21" t="str">
        <f>IF(AND('Atividades Micro'!$A330=C$2,'Atividades Micro'!$K330&lt;&gt;""),'Atividades Micro'!$K330,"")</f>
        <v/>
      </c>
      <c r="D278" s="21" t="str">
        <f>IF(AND('Atividades Micro'!$A330=D$2,'Atividades Micro'!$L330&lt;&gt;""),'Atividades Micro'!$L330,"")</f>
        <v/>
      </c>
      <c r="E278" s="21" t="str">
        <f>IF(AND('Atividades Micro'!$A330=E$2,'Atividades Micro'!$K330&lt;&gt;""),'Atividades Micro'!$K330,"")</f>
        <v/>
      </c>
      <c r="F278" s="21" t="str">
        <f>IF(AND('Atividades Micro'!$A330=F$2,'Atividades Micro'!$L330&lt;&gt;""),'Atividades Micro'!$L330,"")</f>
        <v/>
      </c>
      <c r="G278" s="21" t="str">
        <f>IF(AND('Atividades Micro'!$A330=G$2,'Atividades Micro'!$K330&lt;&gt;""),'Atividades Micro'!$K330,"")</f>
        <v/>
      </c>
      <c r="H278" s="21" t="str">
        <f>IF(AND('Atividades Micro'!$A330=H$2,'Atividades Micro'!$L330&lt;&gt;""),'Atividades Micro'!$L330,"")</f>
        <v/>
      </c>
      <c r="I278" s="21" t="str">
        <f>IF(AND('Atividades Micro'!$A330=I$2,'Atividades Micro'!$K330&lt;&gt;""),'Atividades Micro'!$K330,"")</f>
        <v/>
      </c>
      <c r="J278" s="21" t="str">
        <f>IF(AND('Atividades Micro'!$A330=J$2,'Atividades Micro'!$L330&lt;&gt;""),'Atividades Micro'!$L330,"")</f>
        <v/>
      </c>
      <c r="K278" s="21" t="str">
        <f>IF(AND('Atividades Micro'!$B330=K$2,'Atividades Micro'!$K330&lt;&gt;""),'Atividades Micro'!$K330,"")</f>
        <v/>
      </c>
      <c r="L278" s="21" t="str">
        <f>IF(AND('Atividades Micro'!$B330=L$2,'Atividades Micro'!$L330&lt;&gt;""),'Atividades Micro'!$L330,"")</f>
        <v/>
      </c>
      <c r="M278" s="21" t="str">
        <f>IF(AND('Atividades Micro'!$B330=M$2,'Atividades Micro'!$K330&lt;&gt;""),'Atividades Micro'!$K330,"")</f>
        <v/>
      </c>
      <c r="N278" s="21" t="str">
        <f>IF(AND('Atividades Micro'!$B330=N$2,'Atividades Micro'!$L330&lt;&gt;""),'Atividades Micro'!$L330,"")</f>
        <v/>
      </c>
      <c r="O278" s="21" t="str">
        <f>IF(AND('Atividades Micro'!$A330=O$2,'Atividades Micro'!$K330&lt;&gt;""),'Atividades Micro'!$K330,"")</f>
        <v/>
      </c>
      <c r="P278" s="21" t="str">
        <f>IF(AND('Atividades Micro'!$A330=P$2,'Atividades Micro'!$L330&lt;&gt;""),'Atividades Micro'!$L330,"")</f>
        <v/>
      </c>
      <c r="Q278" s="21" t="str">
        <f>IF(AND('Atividades Micro'!$B330=Q$2,'Atividades Micro'!$K330&lt;&gt;""),'Atividades Micro'!$K330,"")</f>
        <v/>
      </c>
      <c r="R278" s="21" t="str">
        <f>IF(AND('Atividades Micro'!$B330=R$2,'Atividades Micro'!$L330&lt;&gt;""),'Atividades Micro'!$L330,"")</f>
        <v/>
      </c>
      <c r="S278" s="21" t="str">
        <f>IF(AND('Atividades Micro'!$A330=S$2,'Atividades Micro'!$K330&lt;&gt;""),'Atividades Micro'!$K330,"")</f>
        <v/>
      </c>
      <c r="T278" s="21" t="str">
        <f>IF(AND('Atividades Micro'!$A330=T$2,'Atividades Micro'!$L330&lt;&gt;""),'Atividades Micro'!$L330,"")</f>
        <v/>
      </c>
      <c r="U278" s="21" t="str">
        <f>IF(AND('Atividades Micro'!$B330=U$2,'Atividades Micro'!$K330&lt;&gt;""),'Atividades Micro'!$K330,"")</f>
        <v/>
      </c>
      <c r="V278" s="21" t="str">
        <f>IF(AND('Atividades Micro'!$B330=V$2,'Atividades Micro'!$L330&lt;&gt;""),'Atividades Micro'!$L330,"")</f>
        <v/>
      </c>
      <c r="W278" s="21" t="str">
        <f>IF(AND('Atividades Micro'!$B330=W$2,'Atividades Micro'!$K330&lt;&gt;""),'Atividades Micro'!$K330,"")</f>
        <v/>
      </c>
      <c r="X278" s="21" t="str">
        <f>IF(AND('Atividades Micro'!$B330=X$2,'Atividades Micro'!$L330&lt;&gt;""),'Atividades Micro'!$L330,"")</f>
        <v/>
      </c>
      <c r="Y278" s="21" t="str">
        <f>IF(AND('Atividades Micro'!$A330=Y$2,'Atividades Micro'!$K330&lt;&gt;""),'Atividades Micro'!$K330,"")</f>
        <v/>
      </c>
      <c r="Z278" s="21" t="str">
        <f>IF(AND('Atividades Micro'!$A330=Z$2,'Atividades Micro'!$L330&lt;&gt;""),'Atividades Micro'!$L330,"")</f>
        <v/>
      </c>
      <c r="AA278" s="21" t="str">
        <f>IF(AND('Atividades Micro'!$B330=AA$2,'Atividades Micro'!$K330&lt;&gt;""),'Atividades Micro'!$K330,"")</f>
        <v/>
      </c>
      <c r="AB278" s="21" t="str">
        <f>IF(AND('Atividades Micro'!$B330=AB$2,'Atividades Micro'!$L330&lt;&gt;""),'Atividades Micro'!$L330,"")</f>
        <v/>
      </c>
      <c r="AC278" s="21" t="str">
        <f>IF(AND('Atividades Micro'!$B330=AC$2,'Atividades Micro'!$K330&lt;&gt;""),'Atividades Micro'!$K330,"")</f>
        <v/>
      </c>
      <c r="AD278" s="21" t="str">
        <f>IF(AND('Atividades Micro'!$B330=AD$2,'Atividades Micro'!$L330&lt;&gt;""),'Atividades Micro'!$L330,"")</f>
        <v/>
      </c>
      <c r="AE278" s="21" t="str">
        <f>IF(AND('Atividades Micro'!$A330=AE$2,'Atividades Micro'!$K330&lt;&gt;""),'Atividades Micro'!$K330,"")</f>
        <v/>
      </c>
      <c r="AF278" s="21" t="str">
        <f>IF(AND('Atividades Micro'!$A330=AF$2,'Atividades Micro'!$L330&lt;&gt;""),'Atividades Micro'!$L330,"")</f>
        <v/>
      </c>
      <c r="AG278" s="21" t="str">
        <f>IF(AND('Atividades Micro'!$B330=AG$2,'Atividades Micro'!$K330&lt;&gt;""),'Atividades Micro'!$K330,"")</f>
        <v/>
      </c>
      <c r="AH278" s="21" t="str">
        <f>IF(AND('Atividades Micro'!$B330=AH$2,'Atividades Micro'!$L330&lt;&gt;""),'Atividades Micro'!$L330,"")</f>
        <v/>
      </c>
      <c r="AI278" s="21" t="str">
        <f>IF(AND('Atividades Micro'!$B330=AI$2,'Atividades Micro'!$K330&lt;&gt;""),'Atividades Micro'!$K330,"")</f>
        <v/>
      </c>
      <c r="AJ278" s="21" t="str">
        <f>IF(AND('Atividades Micro'!$B330=AJ$2,'Atividades Micro'!$L330&lt;&gt;""),'Atividades Micro'!$L330,"")</f>
        <v/>
      </c>
      <c r="AK278" s="21" t="str">
        <f>IF(AND('Atividades Micro'!$A330=AK$2,'Atividades Micro'!$K330&lt;&gt;""),'Atividades Micro'!$K330,"")</f>
        <v/>
      </c>
      <c r="AL278" s="21" t="str">
        <f>IF(AND('Atividades Micro'!$A330=AL$2,'Atividades Micro'!$L330&lt;&gt;""),'Atividades Micro'!$L330,"")</f>
        <v/>
      </c>
      <c r="AM278" s="21" t="str">
        <f>IF(AND('Atividades Micro'!$B330=AM$2,'Atividades Micro'!$K330&lt;&gt;""),'Atividades Micro'!$K330,"")</f>
        <v/>
      </c>
      <c r="AN278" s="21" t="str">
        <f>IF(AND('Atividades Micro'!$B330=AN$2,'Atividades Micro'!$L330&lt;&gt;""),'Atividades Micro'!$L330,"")</f>
        <v/>
      </c>
      <c r="AO278" s="21" t="str">
        <f>IF(AND('Atividades Micro'!$B330=AO$2,'Atividades Micro'!$K330&lt;&gt;""),'Atividades Micro'!$K330,"")</f>
        <v/>
      </c>
      <c r="AP278" s="21" t="str">
        <f>IF(AND('Atividades Micro'!$B330=AP$2,'Atividades Micro'!$L330&lt;&gt;""),'Atividades Micro'!$L330,"")</f>
        <v/>
      </c>
      <c r="AQ278" s="21" t="str">
        <f>IF(AND('Atividades Micro'!$A330=AQ$2,'Atividades Micro'!$K330&lt;&gt;""),'Atividades Micro'!$K330,"")</f>
        <v/>
      </c>
      <c r="AR278" s="21" t="str">
        <f>IF(AND('Atividades Micro'!$A330=AR$2,'Atividades Micro'!$L330&lt;&gt;""),'Atividades Micro'!$L330,"")</f>
        <v/>
      </c>
      <c r="AS278" s="21" t="str">
        <f>IF(AND('Atividades Micro'!$B330=AS$2,'Atividades Micro'!$K330&lt;&gt;""),'Atividades Micro'!$K330,"")</f>
        <v/>
      </c>
      <c r="AT278" s="21" t="str">
        <f>IF(AND('Atividades Micro'!$B330=AT$2,'Atividades Micro'!$L330&lt;&gt;""),'Atividades Micro'!$L330,"")</f>
        <v/>
      </c>
      <c r="AU278" s="21">
        <f>IF(AND('Atividades Micro'!$A330=AU$2,'Atividades Micro'!$K330&lt;&gt;""),'Atividades Micro'!$K330,"")</f>
        <v>46283</v>
      </c>
      <c r="AV278" s="21">
        <f>IF(AND('Atividades Micro'!$A330=AV$2,'Atividades Micro'!$L330&lt;&gt;""),'Atividades Micro'!$L330,"")</f>
        <v>46283</v>
      </c>
      <c r="AW278" s="21">
        <f>IF(AND('Atividades Micro'!$B330=AW$2,'Atividades Micro'!$K330&lt;&gt;""),'Atividades Micro'!$K330,"")</f>
        <v>46283</v>
      </c>
      <c r="AX278" s="21">
        <f>IF(AND('Atividades Micro'!$B330=AX$2,'Atividades Micro'!$L330&lt;&gt;""),'Atividades Micro'!$L330,"")</f>
        <v>46283</v>
      </c>
      <c r="AY278" s="21" t="str">
        <f>IF(AND('Atividades Micro'!$A330=AY$2,'Atividades Micro'!$K330&lt;&gt;""),'Atividades Micro'!$K330,"")</f>
        <v/>
      </c>
      <c r="AZ278" s="21" t="str">
        <f>IF(AND('Atividades Micro'!$A330=AZ$2,'Atividades Micro'!$L330&lt;&gt;""),'Atividades Micro'!$L330,"")</f>
        <v/>
      </c>
      <c r="BA278" s="21" t="str">
        <f>IF(AND('Atividades Micro'!$B330=BA$2,'Atividades Micro'!$K330&lt;&gt;""),'Atividades Micro'!$K330,"")</f>
        <v/>
      </c>
      <c r="BB278" s="21" t="str">
        <f>IF(AND('Atividades Micro'!$B330=BB$2,'Atividades Micro'!$L330&lt;&gt;""),'Atividades Micro'!$L330,"")</f>
        <v/>
      </c>
      <c r="BC278" s="21" t="str">
        <f>IF(AND('Atividades Micro'!$B330=BC$2,'Atividades Micro'!$G330="Macro",'Atividades Micro'!$K330&lt;&gt;""),'Atividades Micro'!$K330,"")</f>
        <v/>
      </c>
      <c r="BD278" s="21" t="str">
        <f>IF(AND('Atividades Micro'!$B330=BD$2,'Atividades Micro'!$G330="Macro",'Atividades Micro'!$K330&lt;&gt;""),'Atividades Micro'!$K330,"")</f>
        <v/>
      </c>
      <c r="BE278" s="21" t="str">
        <f>IF(AND('Atividades Micro'!$B330=BE$2,'Atividades Micro'!$G330="Macro",'Atividades Micro'!$K330&lt;&gt;""),'Atividades Micro'!$K330,"")</f>
        <v/>
      </c>
      <c r="BF278" s="21" t="str">
        <f>IF(AND('Atividades Micro'!$B330=BF$2,'Atividades Micro'!$G330="Macro",'Atividades Micro'!$K330&lt;&gt;""),'Atividades Micro'!$K330,"")</f>
        <v/>
      </c>
      <c r="BG278" s="21" t="str">
        <f>IF(AND('Atividades Micro'!$B330=BG$2,'Atividades Micro'!$G330="Macro",'Atividades Micro'!$K330&lt;&gt;""),'Atividades Micro'!$K330,"")</f>
        <v/>
      </c>
      <c r="BH278" s="21" t="str">
        <f>IF(AND('Atividades Micro'!$B330=BH$2,'Atividades Micro'!$G330="Macro",'Atividades Micro'!$K330&lt;&gt;""),'Atividades Micro'!$K330,"")</f>
        <v/>
      </c>
      <c r="BI278" s="21" t="str">
        <f>IF(AND('Atividades Micro'!$B330=BI$2,'Atividades Micro'!$G330="Macro",'Atividades Micro'!$K330&lt;&gt;""),'Atividades Micro'!$K330,"")</f>
        <v/>
      </c>
      <c r="BJ278" s="21" t="str">
        <f>IF(AND('Atividades Micro'!$B330=BJ$2,'Atividades Micro'!$G330="Macro",'Atividades Micro'!$K330&lt;&gt;""),'Atividades Micro'!$K330,"")</f>
        <v/>
      </c>
      <c r="BK278" s="21" t="str">
        <f>IF(AND('Atividades Micro'!$B330=BK$2,'Atividades Micro'!$G330="Macro",'Atividades Micro'!$K330&lt;&gt;""),'Atividades Micro'!$K330,"")</f>
        <v/>
      </c>
      <c r="BL278" s="21" t="str">
        <f>IF(AND('Atividades Micro'!$B330=BL$2,'Atividades Micro'!$G330="Macro",'Atividades Micro'!$K330&lt;&gt;""),'Atividades Micro'!$K330,"")</f>
        <v/>
      </c>
      <c r="BM278" s="21" t="str">
        <f>IF(AND('Atividades Micro'!$B330=BM$2,'Atividades Micro'!$G330="Macro",'Atividades Micro'!$K330&lt;&gt;""),'Atividades Micro'!$K330,"")</f>
        <v/>
      </c>
      <c r="BN278" s="21" t="str">
        <f>IF(AND('Atividades Micro'!$B330=BN$2,'Atividades Micro'!$G330="Macro",'Atividades Micro'!$K330&lt;&gt;""),'Atividades Micro'!$K330,"")</f>
        <v/>
      </c>
      <c r="BO278" s="21" t="str">
        <f>IF(AND('Atividades Micro'!$B330=BO$2,'Atividades Micro'!$G330="Macro",'Atividades Micro'!$K330&lt;&gt;""),'Atividades Micro'!$K330,"")</f>
        <v/>
      </c>
      <c r="BP278" s="21" t="str">
        <f>IF(AND('Atividades Micro'!$B330=BP$2,'Atividades Micro'!$G330="Macro",'Atividades Micro'!$K330&lt;&gt;""),'Atividades Micro'!$K330,"")</f>
        <v/>
      </c>
      <c r="BQ278" s="21" t="str">
        <f>IF(AND('Atividades Micro'!$B330=BQ$2,'Atividades Micro'!$G330="Macro",'Atividades Micro'!$K330&lt;&gt;""),'Atividades Micro'!$K330,"")</f>
        <v/>
      </c>
      <c r="BR278" s="21" t="str">
        <f>IF(AND('Atividades Micro'!$B330=BR$2,'Atividades Micro'!$G330="Macro",'Atividades Micro'!$K330&lt;&gt;""),'Atividades Micro'!$K330,"")</f>
        <v/>
      </c>
      <c r="BS278" s="21" t="str">
        <f>IF(AND('Atividades Micro'!$B330=BS$2,'Atividades Micro'!$G330="Macro",'Atividades Micro'!$K330&lt;&gt;""),'Atividades Micro'!$K330,"")</f>
        <v/>
      </c>
      <c r="BT278" s="21" t="str">
        <f>IF(AND('Atividades Micro'!$B330=BT$2,'Atividades Micro'!$G330="Macro",'Atividades Micro'!$K330&lt;&gt;""),'Atividades Micro'!$K330,"")</f>
        <v/>
      </c>
      <c r="BU278" s="21" t="str">
        <f>IF(AND('Atividades Micro'!$B330=BU$2,'Atividades Micro'!$G330="Macro",'Atividades Micro'!$K330&lt;&gt;""),'Atividades Micro'!$K330,"")</f>
        <v/>
      </c>
      <c r="BV278" s="21" t="str">
        <f>IF(AND('Atividades Micro'!$B330=BV$2,'Atividades Micro'!$G330="Macro",'Atividades Micro'!$K330&lt;&gt;""),'Atividades Micro'!$K330,"")</f>
        <v/>
      </c>
      <c r="BW278" s="21" t="str">
        <f>IF(AND('Atividades Micro'!$B330=BW$2,'Atividades Micro'!$G330="Macro",'Atividades Micro'!$K330&lt;&gt;""),'Atividades Micro'!$K330,"")</f>
        <v/>
      </c>
      <c r="BX278" s="21" t="str">
        <f>IF(AND('Atividades Micro'!$B330=BX$2,'Atividades Micro'!$G330="Macro",'Atividades Micro'!$K330&lt;&gt;""),'Atividades Micro'!$K330,"")</f>
        <v/>
      </c>
      <c r="BY278" s="21" t="str">
        <f>IF(AND('Atividades Micro'!$B330=BY$2,'Atividades Micro'!$G330="Macro",'Atividades Micro'!$K330&lt;&gt;""),'Atividades Micro'!$K330,"")</f>
        <v/>
      </c>
      <c r="BZ278" s="21" t="str">
        <f>IF(AND('Atividades Micro'!$B330=BZ$2,'Atividades Micro'!$G330="Macro",'Atividades Micro'!$K330&lt;&gt;""),'Atividades Micro'!$K330,"")</f>
        <v/>
      </c>
      <c r="CA278" s="21" t="str">
        <f>IF(AND('Atividades Micro'!$B330=CA$2,'Atividades Micro'!$G330="Macro",'Atividades Micro'!$K330&lt;&gt;""),'Atividades Micro'!$K330,"")</f>
        <v/>
      </c>
      <c r="CB278" s="21" t="str">
        <f>IF(AND('Atividades Micro'!$B330=CB$2,'Atividades Micro'!$G330="Macro",'Atividades Micro'!$K330&lt;&gt;""),'Atividades Micro'!$K330,"")</f>
        <v/>
      </c>
      <c r="CC278" s="21" t="str">
        <f>IF(AND('Atividades Micro'!$B330=CC$2,'Atividades Micro'!$G330="Macro",'Atividades Micro'!$K330&lt;&gt;""),'Atividades Micro'!$K330,"")</f>
        <v/>
      </c>
      <c r="CD278" s="21" t="str">
        <f>IF(AND('Atividades Micro'!$B330=CD$2,'Atividades Micro'!$G330="Micro",'Atividades Micro'!$K330&lt;&gt;""),'Atividades Micro'!$K330,"")</f>
        <v/>
      </c>
      <c r="CE278" s="21" t="str">
        <f>IF(AND('Atividades Micro'!$B330=CE$2,'Atividades Micro'!$G330="Micro",'Atividades Micro'!$K330&lt;&gt;""),'Atividades Micro'!$K330,"")</f>
        <v/>
      </c>
      <c r="CF278" s="21" t="str">
        <f>IF(AND('Atividades Micro'!$B330=CF$2,'Atividades Micro'!$G330="Micro",'Atividades Micro'!$K330&lt;&gt;""),'Atividades Micro'!$K330,"")</f>
        <v/>
      </c>
      <c r="CG278" s="21" t="str">
        <f>IF(AND('Atividades Micro'!$B330=CG$2,'Atividades Micro'!$G330="Micro",'Atividades Micro'!$K330&lt;&gt;""),'Atividades Micro'!$K330,"")</f>
        <v/>
      </c>
      <c r="CH278" s="21" t="str">
        <f>IF(AND('Atividades Micro'!$B330=CH$2,'Atividades Micro'!$G330="Micro",'Atividades Micro'!$K330&lt;&gt;""),'Atividades Micro'!$K330,"")</f>
        <v/>
      </c>
      <c r="CI278" s="21" t="str">
        <f>IF(AND('Atividades Micro'!$B330=CI$2,'Atividades Micro'!$G330="Micro",'Atividades Micro'!$K330&lt;&gt;""),'Atividades Micro'!$K330,"")</f>
        <v/>
      </c>
      <c r="CJ278" s="21" t="str">
        <f>IF(AND('Atividades Micro'!$B330=CJ$2,'Atividades Micro'!$G330="Micro",'Atividades Micro'!$K330&lt;&gt;""),'Atividades Micro'!$K330,"")</f>
        <v/>
      </c>
      <c r="CK278" s="21" t="str">
        <f>IF(AND('Atividades Micro'!$B330=CK$2,'Atividades Micro'!$G330="Micro",'Atividades Micro'!$K330&lt;&gt;""),'Atividades Micro'!$K330,"")</f>
        <v/>
      </c>
      <c r="CL278" s="21" t="str">
        <f>IF(AND('Atividades Micro'!$B330=CL$2,'Atividades Micro'!$G330="Micro",'Atividades Micro'!$K330&lt;&gt;""),'Atividades Micro'!$K330,"")</f>
        <v/>
      </c>
      <c r="CM278" s="21" t="str">
        <f>IF(AND('Atividades Micro'!$B330=CM$2,'Atividades Micro'!$G330="Micro",'Atividades Micro'!$K330&lt;&gt;""),'Atividades Micro'!$K330,"")</f>
        <v/>
      </c>
      <c r="CN278" s="21" t="str">
        <f>IF(AND('Atividades Micro'!$B330=CN$2,'Atividades Micro'!$G330="Micro",'Atividades Micro'!$K330&lt;&gt;""),'Atividades Micro'!$K330,"")</f>
        <v/>
      </c>
      <c r="CO278" s="21" t="str">
        <f>IF(AND('Atividades Micro'!$B330=CO$2,'Atividades Micro'!$G330="Micro",'Atividades Micro'!$K330&lt;&gt;""),'Atividades Micro'!$K330,"")</f>
        <v/>
      </c>
    </row>
    <row r="279" spans="1:93">
      <c r="A279" s="21" t="str">
        <f>IF(AND('Atividades Micro'!$A331=A$2,'Atividades Micro'!$K331&lt;&gt;""),'Atividades Micro'!$K331,"")</f>
        <v/>
      </c>
      <c r="B279" s="21" t="str">
        <f>IF(AND('Atividades Micro'!$A331=B$2,'Atividades Micro'!$L331&lt;&gt;""),'Atividades Micro'!$L331,"")</f>
        <v/>
      </c>
      <c r="C279" s="21" t="str">
        <f>IF(AND('Atividades Micro'!$A331=C$2,'Atividades Micro'!$K331&lt;&gt;""),'Atividades Micro'!$K331,"")</f>
        <v/>
      </c>
      <c r="D279" s="21" t="str">
        <f>IF(AND('Atividades Micro'!$A331=D$2,'Atividades Micro'!$L331&lt;&gt;""),'Atividades Micro'!$L331,"")</f>
        <v/>
      </c>
      <c r="E279" s="21" t="str">
        <f>IF(AND('Atividades Micro'!$A331=E$2,'Atividades Micro'!$K331&lt;&gt;""),'Atividades Micro'!$K331,"")</f>
        <v/>
      </c>
      <c r="F279" s="21" t="str">
        <f>IF(AND('Atividades Micro'!$A331=F$2,'Atividades Micro'!$L331&lt;&gt;""),'Atividades Micro'!$L331,"")</f>
        <v/>
      </c>
      <c r="G279" s="21" t="str">
        <f>IF(AND('Atividades Micro'!$A331=G$2,'Atividades Micro'!$K331&lt;&gt;""),'Atividades Micro'!$K331,"")</f>
        <v/>
      </c>
      <c r="H279" s="21" t="str">
        <f>IF(AND('Atividades Micro'!$A331=H$2,'Atividades Micro'!$L331&lt;&gt;""),'Atividades Micro'!$L331,"")</f>
        <v/>
      </c>
      <c r="I279" s="21" t="str">
        <f>IF(AND('Atividades Micro'!$A331=I$2,'Atividades Micro'!$K331&lt;&gt;""),'Atividades Micro'!$K331,"")</f>
        <v/>
      </c>
      <c r="J279" s="21" t="str">
        <f>IF(AND('Atividades Micro'!$A331=J$2,'Atividades Micro'!$L331&lt;&gt;""),'Atividades Micro'!$L331,"")</f>
        <v/>
      </c>
      <c r="K279" s="21" t="str">
        <f>IF(AND('Atividades Micro'!$B331=K$2,'Atividades Micro'!$K331&lt;&gt;""),'Atividades Micro'!$K331,"")</f>
        <v/>
      </c>
      <c r="L279" s="21" t="str">
        <f>IF(AND('Atividades Micro'!$B331=L$2,'Atividades Micro'!$L331&lt;&gt;""),'Atividades Micro'!$L331,"")</f>
        <v/>
      </c>
      <c r="M279" s="21" t="str">
        <f>IF(AND('Atividades Micro'!$B331=M$2,'Atividades Micro'!$K331&lt;&gt;""),'Atividades Micro'!$K331,"")</f>
        <v/>
      </c>
      <c r="N279" s="21" t="str">
        <f>IF(AND('Atividades Micro'!$B331=N$2,'Atividades Micro'!$L331&lt;&gt;""),'Atividades Micro'!$L331,"")</f>
        <v/>
      </c>
      <c r="O279" s="21" t="str">
        <f>IF(AND('Atividades Micro'!$A331=O$2,'Atividades Micro'!$K331&lt;&gt;""),'Atividades Micro'!$K331,"")</f>
        <v/>
      </c>
      <c r="P279" s="21" t="str">
        <f>IF(AND('Atividades Micro'!$A331=P$2,'Atividades Micro'!$L331&lt;&gt;""),'Atividades Micro'!$L331,"")</f>
        <v/>
      </c>
      <c r="Q279" s="21" t="str">
        <f>IF(AND('Atividades Micro'!$B331=Q$2,'Atividades Micro'!$K331&lt;&gt;""),'Atividades Micro'!$K331,"")</f>
        <v/>
      </c>
      <c r="R279" s="21" t="str">
        <f>IF(AND('Atividades Micro'!$B331=R$2,'Atividades Micro'!$L331&lt;&gt;""),'Atividades Micro'!$L331,"")</f>
        <v/>
      </c>
      <c r="S279" s="21" t="str">
        <f>IF(AND('Atividades Micro'!$A331=S$2,'Atividades Micro'!$K331&lt;&gt;""),'Atividades Micro'!$K331,"")</f>
        <v/>
      </c>
      <c r="T279" s="21" t="str">
        <f>IF(AND('Atividades Micro'!$A331=T$2,'Atividades Micro'!$L331&lt;&gt;""),'Atividades Micro'!$L331,"")</f>
        <v/>
      </c>
      <c r="U279" s="21" t="str">
        <f>IF(AND('Atividades Micro'!$B331=U$2,'Atividades Micro'!$K331&lt;&gt;""),'Atividades Micro'!$K331,"")</f>
        <v/>
      </c>
      <c r="V279" s="21" t="str">
        <f>IF(AND('Atividades Micro'!$B331=V$2,'Atividades Micro'!$L331&lt;&gt;""),'Atividades Micro'!$L331,"")</f>
        <v/>
      </c>
      <c r="W279" s="21" t="str">
        <f>IF(AND('Atividades Micro'!$B331=W$2,'Atividades Micro'!$K331&lt;&gt;""),'Atividades Micro'!$K331,"")</f>
        <v/>
      </c>
      <c r="X279" s="21" t="str">
        <f>IF(AND('Atividades Micro'!$B331=X$2,'Atividades Micro'!$L331&lt;&gt;""),'Atividades Micro'!$L331,"")</f>
        <v/>
      </c>
      <c r="Y279" s="21" t="str">
        <f>IF(AND('Atividades Micro'!$A331=Y$2,'Atividades Micro'!$K331&lt;&gt;""),'Atividades Micro'!$K331,"")</f>
        <v/>
      </c>
      <c r="Z279" s="21" t="str">
        <f>IF(AND('Atividades Micro'!$A331=Z$2,'Atividades Micro'!$L331&lt;&gt;""),'Atividades Micro'!$L331,"")</f>
        <v/>
      </c>
      <c r="AA279" s="21" t="str">
        <f>IF(AND('Atividades Micro'!$B331=AA$2,'Atividades Micro'!$K331&lt;&gt;""),'Atividades Micro'!$K331,"")</f>
        <v/>
      </c>
      <c r="AB279" s="21" t="str">
        <f>IF(AND('Atividades Micro'!$B331=AB$2,'Atividades Micro'!$L331&lt;&gt;""),'Atividades Micro'!$L331,"")</f>
        <v/>
      </c>
      <c r="AC279" s="21" t="str">
        <f>IF(AND('Atividades Micro'!$B331=AC$2,'Atividades Micro'!$K331&lt;&gt;""),'Atividades Micro'!$K331,"")</f>
        <v/>
      </c>
      <c r="AD279" s="21" t="str">
        <f>IF(AND('Atividades Micro'!$B331=AD$2,'Atividades Micro'!$L331&lt;&gt;""),'Atividades Micro'!$L331,"")</f>
        <v/>
      </c>
      <c r="AE279" s="21" t="str">
        <f>IF(AND('Atividades Micro'!$A331=AE$2,'Atividades Micro'!$K331&lt;&gt;""),'Atividades Micro'!$K331,"")</f>
        <v/>
      </c>
      <c r="AF279" s="21" t="str">
        <f>IF(AND('Atividades Micro'!$A331=AF$2,'Atividades Micro'!$L331&lt;&gt;""),'Atividades Micro'!$L331,"")</f>
        <v/>
      </c>
      <c r="AG279" s="21" t="str">
        <f>IF(AND('Atividades Micro'!$B331=AG$2,'Atividades Micro'!$K331&lt;&gt;""),'Atividades Micro'!$K331,"")</f>
        <v/>
      </c>
      <c r="AH279" s="21" t="str">
        <f>IF(AND('Atividades Micro'!$B331=AH$2,'Atividades Micro'!$L331&lt;&gt;""),'Atividades Micro'!$L331,"")</f>
        <v/>
      </c>
      <c r="AI279" s="21" t="str">
        <f>IF(AND('Atividades Micro'!$B331=AI$2,'Atividades Micro'!$K331&lt;&gt;""),'Atividades Micro'!$K331,"")</f>
        <v/>
      </c>
      <c r="AJ279" s="21" t="str">
        <f>IF(AND('Atividades Micro'!$B331=AJ$2,'Atividades Micro'!$L331&lt;&gt;""),'Atividades Micro'!$L331,"")</f>
        <v/>
      </c>
      <c r="AK279" s="21" t="str">
        <f>IF(AND('Atividades Micro'!$A331=AK$2,'Atividades Micro'!$K331&lt;&gt;""),'Atividades Micro'!$K331,"")</f>
        <v/>
      </c>
      <c r="AL279" s="21" t="str">
        <f>IF(AND('Atividades Micro'!$A331=AL$2,'Atividades Micro'!$L331&lt;&gt;""),'Atividades Micro'!$L331,"")</f>
        <v/>
      </c>
      <c r="AM279" s="21" t="str">
        <f>IF(AND('Atividades Micro'!$B331=AM$2,'Atividades Micro'!$K331&lt;&gt;""),'Atividades Micro'!$K331,"")</f>
        <v/>
      </c>
      <c r="AN279" s="21" t="str">
        <f>IF(AND('Atividades Micro'!$B331=AN$2,'Atividades Micro'!$L331&lt;&gt;""),'Atividades Micro'!$L331,"")</f>
        <v/>
      </c>
      <c r="AO279" s="21" t="str">
        <f>IF(AND('Atividades Micro'!$B331=AO$2,'Atividades Micro'!$K331&lt;&gt;""),'Atividades Micro'!$K331,"")</f>
        <v/>
      </c>
      <c r="AP279" s="21" t="str">
        <f>IF(AND('Atividades Micro'!$B331=AP$2,'Atividades Micro'!$L331&lt;&gt;""),'Atividades Micro'!$L331,"")</f>
        <v/>
      </c>
      <c r="AQ279" s="21" t="str">
        <f>IF(AND('Atividades Micro'!$A331=AQ$2,'Atividades Micro'!$K331&lt;&gt;""),'Atividades Micro'!$K331,"")</f>
        <v/>
      </c>
      <c r="AR279" s="21" t="str">
        <f>IF(AND('Atividades Micro'!$A331=AR$2,'Atividades Micro'!$L331&lt;&gt;""),'Atividades Micro'!$L331,"")</f>
        <v/>
      </c>
      <c r="AS279" s="21" t="str">
        <f>IF(AND('Atividades Micro'!$B331=AS$2,'Atividades Micro'!$K331&lt;&gt;""),'Atividades Micro'!$K331,"")</f>
        <v/>
      </c>
      <c r="AT279" s="21" t="str">
        <f>IF(AND('Atividades Micro'!$B331=AT$2,'Atividades Micro'!$L331&lt;&gt;""),'Atividades Micro'!$L331,"")</f>
        <v/>
      </c>
      <c r="AU279" s="21">
        <f>IF(AND('Atividades Micro'!$A331=AU$2,'Atividades Micro'!$K331&lt;&gt;""),'Atividades Micro'!$K331,"")</f>
        <v>46304</v>
      </c>
      <c r="AV279" s="21">
        <f>IF(AND('Atividades Micro'!$A331=AV$2,'Atividades Micro'!$L331&lt;&gt;""),'Atividades Micro'!$L331,"")</f>
        <v>46283</v>
      </c>
      <c r="AW279" s="21">
        <f>IF(AND('Atividades Micro'!$B331=AW$2,'Atividades Micro'!$K331&lt;&gt;""),'Atividades Micro'!$K331,"")</f>
        <v>46304</v>
      </c>
      <c r="AX279" s="21">
        <f>IF(AND('Atividades Micro'!$B331=AX$2,'Atividades Micro'!$L331&lt;&gt;""),'Atividades Micro'!$L331,"")</f>
        <v>46283</v>
      </c>
      <c r="AY279" s="21" t="str">
        <f>IF(AND('Atividades Micro'!$A331=AY$2,'Atividades Micro'!$K331&lt;&gt;""),'Atividades Micro'!$K331,"")</f>
        <v/>
      </c>
      <c r="AZ279" s="21" t="str">
        <f>IF(AND('Atividades Micro'!$A331=AZ$2,'Atividades Micro'!$L331&lt;&gt;""),'Atividades Micro'!$L331,"")</f>
        <v/>
      </c>
      <c r="BA279" s="21" t="str">
        <f>IF(AND('Atividades Micro'!$B331=BA$2,'Atividades Micro'!$K331&lt;&gt;""),'Atividades Micro'!$K331,"")</f>
        <v/>
      </c>
      <c r="BB279" s="21" t="str">
        <f>IF(AND('Atividades Micro'!$B331=BB$2,'Atividades Micro'!$L331&lt;&gt;""),'Atividades Micro'!$L331,"")</f>
        <v/>
      </c>
      <c r="BC279" s="21" t="str">
        <f>IF(AND('Atividades Micro'!$B331=BC$2,'Atividades Micro'!$G331="Macro",'Atividades Micro'!$K331&lt;&gt;""),'Atividades Micro'!$K331,"")</f>
        <v/>
      </c>
      <c r="BD279" s="21" t="str">
        <f>IF(AND('Atividades Micro'!$B331=BD$2,'Atividades Micro'!$G331="Macro",'Atividades Micro'!$K331&lt;&gt;""),'Atividades Micro'!$K331,"")</f>
        <v/>
      </c>
      <c r="BE279" s="21" t="str">
        <f>IF(AND('Atividades Micro'!$B331=BE$2,'Atividades Micro'!$G331="Macro",'Atividades Micro'!$K331&lt;&gt;""),'Atividades Micro'!$K331,"")</f>
        <v/>
      </c>
      <c r="BF279" s="21" t="str">
        <f>IF(AND('Atividades Micro'!$B331=BF$2,'Atividades Micro'!$G331="Macro",'Atividades Micro'!$K331&lt;&gt;""),'Atividades Micro'!$K331,"")</f>
        <v/>
      </c>
      <c r="BG279" s="21" t="str">
        <f>IF(AND('Atividades Micro'!$B331=BG$2,'Atividades Micro'!$G331="Macro",'Atividades Micro'!$K331&lt;&gt;""),'Atividades Micro'!$K331,"")</f>
        <v/>
      </c>
      <c r="BH279" s="21" t="str">
        <f>IF(AND('Atividades Micro'!$B331=BH$2,'Atividades Micro'!$G331="Macro",'Atividades Micro'!$K331&lt;&gt;""),'Atividades Micro'!$K331,"")</f>
        <v/>
      </c>
      <c r="BI279" s="21" t="str">
        <f>IF(AND('Atividades Micro'!$B331=BI$2,'Atividades Micro'!$G331="Macro",'Atividades Micro'!$K331&lt;&gt;""),'Atividades Micro'!$K331,"")</f>
        <v/>
      </c>
      <c r="BJ279" s="21" t="str">
        <f>IF(AND('Atividades Micro'!$B331=BJ$2,'Atividades Micro'!$G331="Macro",'Atividades Micro'!$K331&lt;&gt;""),'Atividades Micro'!$K331,"")</f>
        <v/>
      </c>
      <c r="BK279" s="21" t="str">
        <f>IF(AND('Atividades Micro'!$B331=BK$2,'Atividades Micro'!$G331="Macro",'Atividades Micro'!$K331&lt;&gt;""),'Atividades Micro'!$K331,"")</f>
        <v/>
      </c>
      <c r="BL279" s="21" t="str">
        <f>IF(AND('Atividades Micro'!$B331=BL$2,'Atividades Micro'!$G331="Macro",'Atividades Micro'!$K331&lt;&gt;""),'Atividades Micro'!$K331,"")</f>
        <v/>
      </c>
      <c r="BM279" s="21" t="str">
        <f>IF(AND('Atividades Micro'!$B331=BM$2,'Atividades Micro'!$G331="Macro",'Atividades Micro'!$K331&lt;&gt;""),'Atividades Micro'!$K331,"")</f>
        <v/>
      </c>
      <c r="BN279" s="21" t="str">
        <f>IF(AND('Atividades Micro'!$B331=BN$2,'Atividades Micro'!$G331="Macro",'Atividades Micro'!$K331&lt;&gt;""),'Atividades Micro'!$K331,"")</f>
        <v/>
      </c>
      <c r="BO279" s="21" t="str">
        <f>IF(AND('Atividades Micro'!$B331=BO$2,'Atividades Micro'!$G331="Macro",'Atividades Micro'!$K331&lt;&gt;""),'Atividades Micro'!$K331,"")</f>
        <v/>
      </c>
      <c r="BP279" s="21" t="str">
        <f>IF(AND('Atividades Micro'!$B331=BP$2,'Atividades Micro'!$G331="Macro",'Atividades Micro'!$K331&lt;&gt;""),'Atividades Micro'!$K331,"")</f>
        <v/>
      </c>
      <c r="BQ279" s="21" t="str">
        <f>IF(AND('Atividades Micro'!$B331=BQ$2,'Atividades Micro'!$G331="Macro",'Atividades Micro'!$K331&lt;&gt;""),'Atividades Micro'!$K331,"")</f>
        <v/>
      </c>
      <c r="BR279" s="21" t="str">
        <f>IF(AND('Atividades Micro'!$B331=BR$2,'Atividades Micro'!$G331="Macro",'Atividades Micro'!$K331&lt;&gt;""),'Atividades Micro'!$K331,"")</f>
        <v/>
      </c>
      <c r="BS279" s="21" t="str">
        <f>IF(AND('Atividades Micro'!$B331=BS$2,'Atividades Micro'!$G331="Macro",'Atividades Micro'!$K331&lt;&gt;""),'Atividades Micro'!$K331,"")</f>
        <v/>
      </c>
      <c r="BT279" s="21" t="str">
        <f>IF(AND('Atividades Micro'!$B331=BT$2,'Atividades Micro'!$G331="Macro",'Atividades Micro'!$K331&lt;&gt;""),'Atividades Micro'!$K331,"")</f>
        <v/>
      </c>
      <c r="BU279" s="21" t="str">
        <f>IF(AND('Atividades Micro'!$B331=BU$2,'Atividades Micro'!$G331="Macro",'Atividades Micro'!$K331&lt;&gt;""),'Atividades Micro'!$K331,"")</f>
        <v/>
      </c>
      <c r="BV279" s="21" t="str">
        <f>IF(AND('Atividades Micro'!$B331=BV$2,'Atividades Micro'!$G331="Macro",'Atividades Micro'!$K331&lt;&gt;""),'Atividades Micro'!$K331,"")</f>
        <v/>
      </c>
      <c r="BW279" s="21" t="str">
        <f>IF(AND('Atividades Micro'!$B331=BW$2,'Atividades Micro'!$G331="Macro",'Atividades Micro'!$K331&lt;&gt;""),'Atividades Micro'!$K331,"")</f>
        <v/>
      </c>
      <c r="BX279" s="21" t="str">
        <f>IF(AND('Atividades Micro'!$B331=BX$2,'Atividades Micro'!$G331="Macro",'Atividades Micro'!$K331&lt;&gt;""),'Atividades Micro'!$K331,"")</f>
        <v/>
      </c>
      <c r="BY279" s="21" t="str">
        <f>IF(AND('Atividades Micro'!$B331=BY$2,'Atividades Micro'!$G331="Macro",'Atividades Micro'!$K331&lt;&gt;""),'Atividades Micro'!$K331,"")</f>
        <v/>
      </c>
      <c r="BZ279" s="21" t="str">
        <f>IF(AND('Atividades Micro'!$B331=BZ$2,'Atividades Micro'!$G331="Macro",'Atividades Micro'!$K331&lt;&gt;""),'Atividades Micro'!$K331,"")</f>
        <v/>
      </c>
      <c r="CA279" s="21" t="str">
        <f>IF(AND('Atividades Micro'!$B331=CA$2,'Atividades Micro'!$G331="Macro",'Atividades Micro'!$K331&lt;&gt;""),'Atividades Micro'!$K331,"")</f>
        <v/>
      </c>
      <c r="CB279" s="21" t="str">
        <f>IF(AND('Atividades Micro'!$B331=CB$2,'Atividades Micro'!$G331="Macro",'Atividades Micro'!$K331&lt;&gt;""),'Atividades Micro'!$K331,"")</f>
        <v/>
      </c>
      <c r="CC279" s="21" t="str">
        <f>IF(AND('Atividades Micro'!$B331=CC$2,'Atividades Micro'!$G331="Macro",'Atividades Micro'!$K331&lt;&gt;""),'Atividades Micro'!$K331,"")</f>
        <v/>
      </c>
      <c r="CD279" s="21" t="str">
        <f>IF(AND('Atividades Micro'!$B331=CD$2,'Atividades Micro'!$G331="Micro",'Atividades Micro'!$K331&lt;&gt;""),'Atividades Micro'!$K331,"")</f>
        <v/>
      </c>
      <c r="CE279" s="21" t="str">
        <f>IF(AND('Atividades Micro'!$B331=CE$2,'Atividades Micro'!$G331="Micro",'Atividades Micro'!$K331&lt;&gt;""),'Atividades Micro'!$K331,"")</f>
        <v/>
      </c>
      <c r="CF279" s="21" t="str">
        <f>IF(AND('Atividades Micro'!$B331=CF$2,'Atividades Micro'!$G331="Micro",'Atividades Micro'!$K331&lt;&gt;""),'Atividades Micro'!$K331,"")</f>
        <v/>
      </c>
      <c r="CG279" s="21" t="str">
        <f>IF(AND('Atividades Micro'!$B331=CG$2,'Atividades Micro'!$G331="Micro",'Atividades Micro'!$K331&lt;&gt;""),'Atividades Micro'!$K331,"")</f>
        <v/>
      </c>
      <c r="CH279" s="21" t="str">
        <f>IF(AND('Atividades Micro'!$B331=CH$2,'Atividades Micro'!$G331="Micro",'Atividades Micro'!$K331&lt;&gt;""),'Atividades Micro'!$K331,"")</f>
        <v/>
      </c>
      <c r="CI279" s="21" t="str">
        <f>IF(AND('Atividades Micro'!$B331=CI$2,'Atividades Micro'!$G331="Micro",'Atividades Micro'!$K331&lt;&gt;""),'Atividades Micro'!$K331,"")</f>
        <v/>
      </c>
      <c r="CJ279" s="21" t="str">
        <f>IF(AND('Atividades Micro'!$B331=CJ$2,'Atividades Micro'!$G331="Micro",'Atividades Micro'!$K331&lt;&gt;""),'Atividades Micro'!$K331,"")</f>
        <v/>
      </c>
      <c r="CK279" s="21" t="str">
        <f>IF(AND('Atividades Micro'!$B331=CK$2,'Atividades Micro'!$G331="Micro",'Atividades Micro'!$K331&lt;&gt;""),'Atividades Micro'!$K331,"")</f>
        <v/>
      </c>
      <c r="CL279" s="21" t="str">
        <f>IF(AND('Atividades Micro'!$B331=CL$2,'Atividades Micro'!$G331="Micro",'Atividades Micro'!$K331&lt;&gt;""),'Atividades Micro'!$K331,"")</f>
        <v/>
      </c>
      <c r="CM279" s="21" t="str">
        <f>IF(AND('Atividades Micro'!$B331=CM$2,'Atividades Micro'!$G331="Micro",'Atividades Micro'!$K331&lt;&gt;""),'Atividades Micro'!$K331,"")</f>
        <v/>
      </c>
      <c r="CN279" s="21" t="str">
        <f>IF(AND('Atividades Micro'!$B331=CN$2,'Atividades Micro'!$G331="Micro",'Atividades Micro'!$K331&lt;&gt;""),'Atividades Micro'!$K331,"")</f>
        <v/>
      </c>
      <c r="CO279" s="21" t="str">
        <f>IF(AND('Atividades Micro'!$B331=CO$2,'Atividades Micro'!$G331="Micro",'Atividades Micro'!$K331&lt;&gt;""),'Atividades Micro'!$K331,"")</f>
        <v/>
      </c>
    </row>
    <row r="280" spans="1:93">
      <c r="A280" s="21" t="str">
        <f>IF(AND('Atividades Micro'!$A332=A$2,'Atividades Micro'!$K332&lt;&gt;""),'Atividades Micro'!$K332,"")</f>
        <v/>
      </c>
      <c r="B280" s="21" t="str">
        <f>IF(AND('Atividades Micro'!$A332=B$2,'Atividades Micro'!$L332&lt;&gt;""),'Atividades Micro'!$L332,"")</f>
        <v/>
      </c>
      <c r="C280" s="21" t="str">
        <f>IF(AND('Atividades Micro'!$A332=C$2,'Atividades Micro'!$K332&lt;&gt;""),'Atividades Micro'!$K332,"")</f>
        <v/>
      </c>
      <c r="D280" s="21" t="str">
        <f>IF(AND('Atividades Micro'!$A332=D$2,'Atividades Micro'!$L332&lt;&gt;""),'Atividades Micro'!$L332,"")</f>
        <v/>
      </c>
      <c r="E280" s="21" t="str">
        <f>IF(AND('Atividades Micro'!$A332=E$2,'Atividades Micro'!$K332&lt;&gt;""),'Atividades Micro'!$K332,"")</f>
        <v/>
      </c>
      <c r="F280" s="21" t="str">
        <f>IF(AND('Atividades Micro'!$A332=F$2,'Atividades Micro'!$L332&lt;&gt;""),'Atividades Micro'!$L332,"")</f>
        <v/>
      </c>
      <c r="G280" s="21" t="str">
        <f>IF(AND('Atividades Micro'!$A332=G$2,'Atividades Micro'!$K332&lt;&gt;""),'Atividades Micro'!$K332,"")</f>
        <v/>
      </c>
      <c r="H280" s="21" t="str">
        <f>IF(AND('Atividades Micro'!$A332=H$2,'Atividades Micro'!$L332&lt;&gt;""),'Atividades Micro'!$L332,"")</f>
        <v/>
      </c>
      <c r="I280" s="21" t="str">
        <f>IF(AND('Atividades Micro'!$A332=I$2,'Atividades Micro'!$K332&lt;&gt;""),'Atividades Micro'!$K332,"")</f>
        <v/>
      </c>
      <c r="J280" s="21" t="str">
        <f>IF(AND('Atividades Micro'!$A332=J$2,'Atividades Micro'!$L332&lt;&gt;""),'Atividades Micro'!$L332,"")</f>
        <v/>
      </c>
      <c r="K280" s="21" t="str">
        <f>IF(AND('Atividades Micro'!$B332=K$2,'Atividades Micro'!$K332&lt;&gt;""),'Atividades Micro'!$K332,"")</f>
        <v/>
      </c>
      <c r="L280" s="21" t="str">
        <f>IF(AND('Atividades Micro'!$B332=L$2,'Atividades Micro'!$L332&lt;&gt;""),'Atividades Micro'!$L332,"")</f>
        <v/>
      </c>
      <c r="M280" s="21" t="str">
        <f>IF(AND('Atividades Micro'!$B332=M$2,'Atividades Micro'!$K332&lt;&gt;""),'Atividades Micro'!$K332,"")</f>
        <v/>
      </c>
      <c r="N280" s="21" t="str">
        <f>IF(AND('Atividades Micro'!$B332=N$2,'Atividades Micro'!$L332&lt;&gt;""),'Atividades Micro'!$L332,"")</f>
        <v/>
      </c>
      <c r="O280" s="21" t="str">
        <f>IF(AND('Atividades Micro'!$A332=O$2,'Atividades Micro'!$K332&lt;&gt;""),'Atividades Micro'!$K332,"")</f>
        <v/>
      </c>
      <c r="P280" s="21" t="str">
        <f>IF(AND('Atividades Micro'!$A332=P$2,'Atividades Micro'!$L332&lt;&gt;""),'Atividades Micro'!$L332,"")</f>
        <v/>
      </c>
      <c r="Q280" s="21" t="str">
        <f>IF(AND('Atividades Micro'!$B332=Q$2,'Atividades Micro'!$K332&lt;&gt;""),'Atividades Micro'!$K332,"")</f>
        <v/>
      </c>
      <c r="R280" s="21" t="str">
        <f>IF(AND('Atividades Micro'!$B332=R$2,'Atividades Micro'!$L332&lt;&gt;""),'Atividades Micro'!$L332,"")</f>
        <v/>
      </c>
      <c r="S280" s="21" t="str">
        <f>IF(AND('Atividades Micro'!$A332=S$2,'Atividades Micro'!$K332&lt;&gt;""),'Atividades Micro'!$K332,"")</f>
        <v/>
      </c>
      <c r="T280" s="21" t="str">
        <f>IF(AND('Atividades Micro'!$A332=T$2,'Atividades Micro'!$L332&lt;&gt;""),'Atividades Micro'!$L332,"")</f>
        <v/>
      </c>
      <c r="U280" s="21" t="str">
        <f>IF(AND('Atividades Micro'!$B332=U$2,'Atividades Micro'!$K332&lt;&gt;""),'Atividades Micro'!$K332,"")</f>
        <v/>
      </c>
      <c r="V280" s="21" t="str">
        <f>IF(AND('Atividades Micro'!$B332=V$2,'Atividades Micro'!$L332&lt;&gt;""),'Atividades Micro'!$L332,"")</f>
        <v/>
      </c>
      <c r="W280" s="21" t="str">
        <f>IF(AND('Atividades Micro'!$B332=W$2,'Atividades Micro'!$K332&lt;&gt;""),'Atividades Micro'!$K332,"")</f>
        <v/>
      </c>
      <c r="X280" s="21" t="str">
        <f>IF(AND('Atividades Micro'!$B332=X$2,'Atividades Micro'!$L332&lt;&gt;""),'Atividades Micro'!$L332,"")</f>
        <v/>
      </c>
      <c r="Y280" s="21" t="str">
        <f>IF(AND('Atividades Micro'!$A332=Y$2,'Atividades Micro'!$K332&lt;&gt;""),'Atividades Micro'!$K332,"")</f>
        <v/>
      </c>
      <c r="Z280" s="21" t="str">
        <f>IF(AND('Atividades Micro'!$A332=Z$2,'Atividades Micro'!$L332&lt;&gt;""),'Atividades Micro'!$L332,"")</f>
        <v/>
      </c>
      <c r="AA280" s="21" t="str">
        <f>IF(AND('Atividades Micro'!$B332=AA$2,'Atividades Micro'!$K332&lt;&gt;""),'Atividades Micro'!$K332,"")</f>
        <v/>
      </c>
      <c r="AB280" s="21" t="str">
        <f>IF(AND('Atividades Micro'!$B332=AB$2,'Atividades Micro'!$L332&lt;&gt;""),'Atividades Micro'!$L332,"")</f>
        <v/>
      </c>
      <c r="AC280" s="21" t="str">
        <f>IF(AND('Atividades Micro'!$B332=AC$2,'Atividades Micro'!$K332&lt;&gt;""),'Atividades Micro'!$K332,"")</f>
        <v/>
      </c>
      <c r="AD280" s="21" t="str">
        <f>IF(AND('Atividades Micro'!$B332=AD$2,'Atividades Micro'!$L332&lt;&gt;""),'Atividades Micro'!$L332,"")</f>
        <v/>
      </c>
      <c r="AE280" s="21" t="str">
        <f>IF(AND('Atividades Micro'!$A332=AE$2,'Atividades Micro'!$K332&lt;&gt;""),'Atividades Micro'!$K332,"")</f>
        <v/>
      </c>
      <c r="AF280" s="21" t="str">
        <f>IF(AND('Atividades Micro'!$A332=AF$2,'Atividades Micro'!$L332&lt;&gt;""),'Atividades Micro'!$L332,"")</f>
        <v/>
      </c>
      <c r="AG280" s="21" t="str">
        <f>IF(AND('Atividades Micro'!$B332=AG$2,'Atividades Micro'!$K332&lt;&gt;""),'Atividades Micro'!$K332,"")</f>
        <v/>
      </c>
      <c r="AH280" s="21" t="str">
        <f>IF(AND('Atividades Micro'!$B332=AH$2,'Atividades Micro'!$L332&lt;&gt;""),'Atividades Micro'!$L332,"")</f>
        <v/>
      </c>
      <c r="AI280" s="21" t="str">
        <f>IF(AND('Atividades Micro'!$B332=AI$2,'Atividades Micro'!$K332&lt;&gt;""),'Atividades Micro'!$K332,"")</f>
        <v/>
      </c>
      <c r="AJ280" s="21" t="str">
        <f>IF(AND('Atividades Micro'!$B332=AJ$2,'Atividades Micro'!$L332&lt;&gt;""),'Atividades Micro'!$L332,"")</f>
        <v/>
      </c>
      <c r="AK280" s="21" t="str">
        <f>IF(AND('Atividades Micro'!$A332=AK$2,'Atividades Micro'!$K332&lt;&gt;""),'Atividades Micro'!$K332,"")</f>
        <v/>
      </c>
      <c r="AL280" s="21" t="str">
        <f>IF(AND('Atividades Micro'!$A332=AL$2,'Atividades Micro'!$L332&lt;&gt;""),'Atividades Micro'!$L332,"")</f>
        <v/>
      </c>
      <c r="AM280" s="21" t="str">
        <f>IF(AND('Atividades Micro'!$B332=AM$2,'Atividades Micro'!$K332&lt;&gt;""),'Atividades Micro'!$K332,"")</f>
        <v/>
      </c>
      <c r="AN280" s="21" t="str">
        <f>IF(AND('Atividades Micro'!$B332=AN$2,'Atividades Micro'!$L332&lt;&gt;""),'Atividades Micro'!$L332,"")</f>
        <v/>
      </c>
      <c r="AO280" s="21" t="str">
        <f>IF(AND('Atividades Micro'!$B332=AO$2,'Atividades Micro'!$K332&lt;&gt;""),'Atividades Micro'!$K332,"")</f>
        <v/>
      </c>
      <c r="AP280" s="21" t="str">
        <f>IF(AND('Atividades Micro'!$B332=AP$2,'Atividades Micro'!$L332&lt;&gt;""),'Atividades Micro'!$L332,"")</f>
        <v/>
      </c>
      <c r="AQ280" s="21" t="str">
        <f>IF(AND('Atividades Micro'!$A332=AQ$2,'Atividades Micro'!$K332&lt;&gt;""),'Atividades Micro'!$K332,"")</f>
        <v/>
      </c>
      <c r="AR280" s="21" t="str">
        <f>IF(AND('Atividades Micro'!$A332=AR$2,'Atividades Micro'!$L332&lt;&gt;""),'Atividades Micro'!$L332,"")</f>
        <v/>
      </c>
      <c r="AS280" s="21" t="str">
        <f>IF(AND('Atividades Micro'!$B332=AS$2,'Atividades Micro'!$K332&lt;&gt;""),'Atividades Micro'!$K332,"")</f>
        <v/>
      </c>
      <c r="AT280" s="21" t="str">
        <f>IF(AND('Atividades Micro'!$B332=AT$2,'Atividades Micro'!$L332&lt;&gt;""),'Atividades Micro'!$L332,"")</f>
        <v/>
      </c>
      <c r="AU280" s="21">
        <f>IF(AND('Atividades Micro'!$A332=AU$2,'Atividades Micro'!$K332&lt;&gt;""),'Atividades Micro'!$K332,"")</f>
        <v>46338</v>
      </c>
      <c r="AV280" s="21" t="str">
        <f>IF(AND('Atividades Micro'!$A332=AV$2,'Atividades Micro'!$L332&lt;&gt;""),'Atividades Micro'!$L332,"")</f>
        <v/>
      </c>
      <c r="AW280" s="21">
        <f>IF(AND('Atividades Micro'!$B332=AW$2,'Atividades Micro'!$K332&lt;&gt;""),'Atividades Micro'!$K332,"")</f>
        <v>46338</v>
      </c>
      <c r="AX280" s="21" t="str">
        <f>IF(AND('Atividades Micro'!$B332=AX$2,'Atividades Micro'!$L332&lt;&gt;""),'Atividades Micro'!$L332,"")</f>
        <v/>
      </c>
      <c r="AY280" s="21" t="str">
        <f>IF(AND('Atividades Micro'!$A332=AY$2,'Atividades Micro'!$K332&lt;&gt;""),'Atividades Micro'!$K332,"")</f>
        <v/>
      </c>
      <c r="AZ280" s="21" t="str">
        <f>IF(AND('Atividades Micro'!$A332=AZ$2,'Atividades Micro'!$L332&lt;&gt;""),'Atividades Micro'!$L332,"")</f>
        <v/>
      </c>
      <c r="BA280" s="21" t="str">
        <f>IF(AND('Atividades Micro'!$B332=BA$2,'Atividades Micro'!$K332&lt;&gt;""),'Atividades Micro'!$K332,"")</f>
        <v/>
      </c>
      <c r="BB280" s="21" t="str">
        <f>IF(AND('Atividades Micro'!$B332=BB$2,'Atividades Micro'!$L332&lt;&gt;""),'Atividades Micro'!$L332,"")</f>
        <v/>
      </c>
      <c r="BC280" s="21" t="str">
        <f>IF(AND('Atividades Micro'!$B332=BC$2,'Atividades Micro'!$G332="Macro",'Atividades Micro'!$K332&lt;&gt;""),'Atividades Micro'!$K332,"")</f>
        <v/>
      </c>
      <c r="BD280" s="21" t="str">
        <f>IF(AND('Atividades Micro'!$B332=BD$2,'Atividades Micro'!$G332="Macro",'Atividades Micro'!$K332&lt;&gt;""),'Atividades Micro'!$K332,"")</f>
        <v/>
      </c>
      <c r="BE280" s="21" t="str">
        <f>IF(AND('Atividades Micro'!$B332=BE$2,'Atividades Micro'!$G332="Macro",'Atividades Micro'!$K332&lt;&gt;""),'Atividades Micro'!$K332,"")</f>
        <v/>
      </c>
      <c r="BF280" s="21" t="str">
        <f>IF(AND('Atividades Micro'!$B332=BF$2,'Atividades Micro'!$G332="Macro",'Atividades Micro'!$K332&lt;&gt;""),'Atividades Micro'!$K332,"")</f>
        <v/>
      </c>
      <c r="BG280" s="21" t="str">
        <f>IF(AND('Atividades Micro'!$B332=BG$2,'Atividades Micro'!$G332="Macro",'Atividades Micro'!$K332&lt;&gt;""),'Atividades Micro'!$K332,"")</f>
        <v/>
      </c>
      <c r="BH280" s="21" t="str">
        <f>IF(AND('Atividades Micro'!$B332=BH$2,'Atividades Micro'!$G332="Macro",'Atividades Micro'!$K332&lt;&gt;""),'Atividades Micro'!$K332,"")</f>
        <v/>
      </c>
      <c r="BI280" s="21" t="str">
        <f>IF(AND('Atividades Micro'!$B332=BI$2,'Atividades Micro'!$G332="Macro",'Atividades Micro'!$K332&lt;&gt;""),'Atividades Micro'!$K332,"")</f>
        <v/>
      </c>
      <c r="BJ280" s="21" t="str">
        <f>IF(AND('Atividades Micro'!$B332=BJ$2,'Atividades Micro'!$G332="Macro",'Atividades Micro'!$K332&lt;&gt;""),'Atividades Micro'!$K332,"")</f>
        <v/>
      </c>
      <c r="BK280" s="21" t="str">
        <f>IF(AND('Atividades Micro'!$B332=BK$2,'Atividades Micro'!$G332="Macro",'Atividades Micro'!$K332&lt;&gt;""),'Atividades Micro'!$K332,"")</f>
        <v/>
      </c>
      <c r="BL280" s="21" t="str">
        <f>IF(AND('Atividades Micro'!$B332=BL$2,'Atividades Micro'!$G332="Macro",'Atividades Micro'!$K332&lt;&gt;""),'Atividades Micro'!$K332,"")</f>
        <v/>
      </c>
      <c r="BM280" s="21" t="str">
        <f>IF(AND('Atividades Micro'!$B332=BM$2,'Atividades Micro'!$G332="Macro",'Atividades Micro'!$K332&lt;&gt;""),'Atividades Micro'!$K332,"")</f>
        <v/>
      </c>
      <c r="BN280" s="21" t="str">
        <f>IF(AND('Atividades Micro'!$B332=BN$2,'Atividades Micro'!$G332="Macro",'Atividades Micro'!$K332&lt;&gt;""),'Atividades Micro'!$K332,"")</f>
        <v/>
      </c>
      <c r="BO280" s="21" t="str">
        <f>IF(AND('Atividades Micro'!$B332=BO$2,'Atividades Micro'!$G332="Macro",'Atividades Micro'!$K332&lt;&gt;""),'Atividades Micro'!$K332,"")</f>
        <v/>
      </c>
      <c r="BP280" s="21" t="str">
        <f>IF(AND('Atividades Micro'!$B332=BP$2,'Atividades Micro'!$G332="Macro",'Atividades Micro'!$K332&lt;&gt;""),'Atividades Micro'!$K332,"")</f>
        <v/>
      </c>
      <c r="BQ280" s="21" t="str">
        <f>IF(AND('Atividades Micro'!$B332=BQ$2,'Atividades Micro'!$G332="Macro",'Atividades Micro'!$K332&lt;&gt;""),'Atividades Micro'!$K332,"")</f>
        <v/>
      </c>
      <c r="BR280" s="21" t="str">
        <f>IF(AND('Atividades Micro'!$B332=BR$2,'Atividades Micro'!$G332="Macro",'Atividades Micro'!$K332&lt;&gt;""),'Atividades Micro'!$K332,"")</f>
        <v/>
      </c>
      <c r="BS280" s="21" t="str">
        <f>IF(AND('Atividades Micro'!$B332=BS$2,'Atividades Micro'!$G332="Macro",'Atividades Micro'!$K332&lt;&gt;""),'Atividades Micro'!$K332,"")</f>
        <v/>
      </c>
      <c r="BT280" s="21" t="str">
        <f>IF(AND('Atividades Micro'!$B332=BT$2,'Atividades Micro'!$G332="Macro",'Atividades Micro'!$K332&lt;&gt;""),'Atividades Micro'!$K332,"")</f>
        <v/>
      </c>
      <c r="BU280" s="21" t="str">
        <f>IF(AND('Atividades Micro'!$B332=BU$2,'Atividades Micro'!$G332="Macro",'Atividades Micro'!$K332&lt;&gt;""),'Atividades Micro'!$K332,"")</f>
        <v/>
      </c>
      <c r="BV280" s="21" t="str">
        <f>IF(AND('Atividades Micro'!$B332=BV$2,'Atividades Micro'!$G332="Macro",'Atividades Micro'!$K332&lt;&gt;""),'Atividades Micro'!$K332,"")</f>
        <v/>
      </c>
      <c r="BW280" s="21" t="str">
        <f>IF(AND('Atividades Micro'!$B332=BW$2,'Atividades Micro'!$G332="Macro",'Atividades Micro'!$K332&lt;&gt;""),'Atividades Micro'!$K332,"")</f>
        <v/>
      </c>
      <c r="BX280" s="21" t="str">
        <f>IF(AND('Atividades Micro'!$B332=BX$2,'Atividades Micro'!$G332="Macro",'Atividades Micro'!$K332&lt;&gt;""),'Atividades Micro'!$K332,"")</f>
        <v/>
      </c>
      <c r="BY280" s="21" t="str">
        <f>IF(AND('Atividades Micro'!$B332=BY$2,'Atividades Micro'!$G332="Macro",'Atividades Micro'!$K332&lt;&gt;""),'Atividades Micro'!$K332,"")</f>
        <v/>
      </c>
      <c r="BZ280" s="21" t="str">
        <f>IF(AND('Atividades Micro'!$B332=BZ$2,'Atividades Micro'!$G332="Macro",'Atividades Micro'!$K332&lt;&gt;""),'Atividades Micro'!$K332,"")</f>
        <v/>
      </c>
      <c r="CA280" s="21" t="str">
        <f>IF(AND('Atividades Micro'!$B332=CA$2,'Atividades Micro'!$G332="Macro",'Atividades Micro'!$K332&lt;&gt;""),'Atividades Micro'!$K332,"")</f>
        <v/>
      </c>
      <c r="CB280" s="21" t="str">
        <f>IF(AND('Atividades Micro'!$B332=CB$2,'Atividades Micro'!$G332="Macro",'Atividades Micro'!$K332&lt;&gt;""),'Atividades Micro'!$K332,"")</f>
        <v/>
      </c>
      <c r="CC280" s="21" t="str">
        <f>IF(AND('Atividades Micro'!$B332=CC$2,'Atividades Micro'!$G332="Macro",'Atividades Micro'!$K332&lt;&gt;""),'Atividades Micro'!$K332,"")</f>
        <v/>
      </c>
      <c r="CD280" s="21" t="str">
        <f>IF(AND('Atividades Micro'!$B332=CD$2,'Atividades Micro'!$G332="Micro",'Atividades Micro'!$K332&lt;&gt;""),'Atividades Micro'!$K332,"")</f>
        <v/>
      </c>
      <c r="CE280" s="21" t="str">
        <f>IF(AND('Atividades Micro'!$B332=CE$2,'Atividades Micro'!$G332="Micro",'Atividades Micro'!$K332&lt;&gt;""),'Atividades Micro'!$K332,"")</f>
        <v/>
      </c>
      <c r="CF280" s="21" t="str">
        <f>IF(AND('Atividades Micro'!$B332=CF$2,'Atividades Micro'!$G332="Micro",'Atividades Micro'!$K332&lt;&gt;""),'Atividades Micro'!$K332,"")</f>
        <v/>
      </c>
      <c r="CG280" s="21" t="str">
        <f>IF(AND('Atividades Micro'!$B332=CG$2,'Atividades Micro'!$G332="Micro",'Atividades Micro'!$K332&lt;&gt;""),'Atividades Micro'!$K332,"")</f>
        <v/>
      </c>
      <c r="CH280" s="21" t="str">
        <f>IF(AND('Atividades Micro'!$B332=CH$2,'Atividades Micro'!$G332="Micro",'Atividades Micro'!$K332&lt;&gt;""),'Atividades Micro'!$K332,"")</f>
        <v/>
      </c>
      <c r="CI280" s="21" t="str">
        <f>IF(AND('Atividades Micro'!$B332=CI$2,'Atividades Micro'!$G332="Micro",'Atividades Micro'!$K332&lt;&gt;""),'Atividades Micro'!$K332,"")</f>
        <v/>
      </c>
      <c r="CJ280" s="21" t="str">
        <f>IF(AND('Atividades Micro'!$B332=CJ$2,'Atividades Micro'!$G332="Micro",'Atividades Micro'!$K332&lt;&gt;""),'Atividades Micro'!$K332,"")</f>
        <v/>
      </c>
      <c r="CK280" s="21" t="str">
        <f>IF(AND('Atividades Micro'!$B332=CK$2,'Atividades Micro'!$G332="Micro",'Atividades Micro'!$K332&lt;&gt;""),'Atividades Micro'!$K332,"")</f>
        <v/>
      </c>
      <c r="CL280" s="21" t="str">
        <f>IF(AND('Atividades Micro'!$B332=CL$2,'Atividades Micro'!$G332="Micro",'Atividades Micro'!$K332&lt;&gt;""),'Atividades Micro'!$K332,"")</f>
        <v/>
      </c>
      <c r="CM280" s="21" t="str">
        <f>IF(AND('Atividades Micro'!$B332=CM$2,'Atividades Micro'!$G332="Micro",'Atividades Micro'!$K332&lt;&gt;""),'Atividades Micro'!$K332,"")</f>
        <v/>
      </c>
      <c r="CN280" s="21" t="str">
        <f>IF(AND('Atividades Micro'!$B332=CN$2,'Atividades Micro'!$G332="Micro",'Atividades Micro'!$K332&lt;&gt;""),'Atividades Micro'!$K332,"")</f>
        <v/>
      </c>
      <c r="CO280" s="21" t="str">
        <f>IF(AND('Atividades Micro'!$B332=CO$2,'Atividades Micro'!$G332="Micro",'Atividades Micro'!$K332&lt;&gt;""),'Atividades Micro'!$K332,"")</f>
        <v/>
      </c>
    </row>
    <row r="281" spans="1:93">
      <c r="A281" s="21" t="str">
        <f>IF(AND('Atividades Micro'!$A333=A$2,'Atividades Micro'!$K333&lt;&gt;""),'Atividades Micro'!$K333,"")</f>
        <v/>
      </c>
      <c r="B281" s="21" t="str">
        <f>IF(AND('Atividades Micro'!$A333=B$2,'Atividades Micro'!$L333&lt;&gt;""),'Atividades Micro'!$L333,"")</f>
        <v/>
      </c>
      <c r="C281" s="21" t="str">
        <f>IF(AND('Atividades Micro'!$A333=C$2,'Atividades Micro'!$K333&lt;&gt;""),'Atividades Micro'!$K333,"")</f>
        <v/>
      </c>
      <c r="D281" s="21" t="str">
        <f>IF(AND('Atividades Micro'!$A333=D$2,'Atividades Micro'!$L333&lt;&gt;""),'Atividades Micro'!$L333,"")</f>
        <v/>
      </c>
      <c r="E281" s="21" t="str">
        <f>IF(AND('Atividades Micro'!$A333=E$2,'Atividades Micro'!$K333&lt;&gt;""),'Atividades Micro'!$K333,"")</f>
        <v/>
      </c>
      <c r="F281" s="21" t="str">
        <f>IF(AND('Atividades Micro'!$A333=F$2,'Atividades Micro'!$L333&lt;&gt;""),'Atividades Micro'!$L333,"")</f>
        <v/>
      </c>
      <c r="G281" s="21">
        <f>IF(AND('Atividades Micro'!$A333=G$2,'Atividades Micro'!$K333&lt;&gt;""),'Atividades Micro'!$K333,"")</f>
        <v>46185</v>
      </c>
      <c r="H281" s="21" t="str">
        <f>IF(AND('Atividades Micro'!$A333=H$2,'Atividades Micro'!$L333&lt;&gt;""),'Atividades Micro'!$L333,"")</f>
        <v/>
      </c>
      <c r="I281" s="21" t="str">
        <f>IF(AND('Atividades Micro'!$A333=I$2,'Atividades Micro'!$K333&lt;&gt;""),'Atividades Micro'!$K333,"")</f>
        <v/>
      </c>
      <c r="J281" s="21" t="str">
        <f>IF(AND('Atividades Micro'!$A333=J$2,'Atividades Micro'!$L333&lt;&gt;""),'Atividades Micro'!$L333,"")</f>
        <v/>
      </c>
      <c r="K281" s="21" t="str">
        <f>IF(AND('Atividades Micro'!$B333=K$2,'Atividades Micro'!$K333&lt;&gt;""),'Atividades Micro'!$K333,"")</f>
        <v/>
      </c>
      <c r="L281" s="21" t="str">
        <f>IF(AND('Atividades Micro'!$B333=L$2,'Atividades Micro'!$L333&lt;&gt;""),'Atividades Micro'!$L333,"")</f>
        <v/>
      </c>
      <c r="M281" s="21" t="str">
        <f>IF(AND('Atividades Micro'!$B333=M$2,'Atividades Micro'!$K333&lt;&gt;""),'Atividades Micro'!$K333,"")</f>
        <v/>
      </c>
      <c r="N281" s="21" t="str">
        <f>IF(AND('Atividades Micro'!$B333=N$2,'Atividades Micro'!$L333&lt;&gt;""),'Atividades Micro'!$L333,"")</f>
        <v/>
      </c>
      <c r="O281" s="21" t="str">
        <f>IF(AND('Atividades Micro'!$A333=O$2,'Atividades Micro'!$K333&lt;&gt;""),'Atividades Micro'!$K333,"")</f>
        <v/>
      </c>
      <c r="P281" s="21" t="str">
        <f>IF(AND('Atividades Micro'!$A333=P$2,'Atividades Micro'!$L333&lt;&gt;""),'Atividades Micro'!$L333,"")</f>
        <v/>
      </c>
      <c r="Q281" s="21" t="str">
        <f>IF(AND('Atividades Micro'!$B333=Q$2,'Atividades Micro'!$K333&lt;&gt;""),'Atividades Micro'!$K333,"")</f>
        <v/>
      </c>
      <c r="R281" s="21" t="str">
        <f>IF(AND('Atividades Micro'!$B333=R$2,'Atividades Micro'!$L333&lt;&gt;""),'Atividades Micro'!$L333,"")</f>
        <v/>
      </c>
      <c r="S281" s="21" t="str">
        <f>IF(AND('Atividades Micro'!$A333=S$2,'Atividades Micro'!$K333&lt;&gt;""),'Atividades Micro'!$K333,"")</f>
        <v/>
      </c>
      <c r="T281" s="21" t="str">
        <f>IF(AND('Atividades Micro'!$A333=T$2,'Atividades Micro'!$L333&lt;&gt;""),'Atividades Micro'!$L333,"")</f>
        <v/>
      </c>
      <c r="U281" s="21" t="str">
        <f>IF(AND('Atividades Micro'!$B333=U$2,'Atividades Micro'!$K333&lt;&gt;""),'Atividades Micro'!$K333,"")</f>
        <v/>
      </c>
      <c r="V281" s="21" t="str">
        <f>IF(AND('Atividades Micro'!$B333=V$2,'Atividades Micro'!$L333&lt;&gt;""),'Atividades Micro'!$L333,"")</f>
        <v/>
      </c>
      <c r="W281" s="21" t="str">
        <f>IF(AND('Atividades Micro'!$B333=W$2,'Atividades Micro'!$K333&lt;&gt;""),'Atividades Micro'!$K333,"")</f>
        <v/>
      </c>
      <c r="X281" s="21" t="str">
        <f>IF(AND('Atividades Micro'!$B333=X$2,'Atividades Micro'!$L333&lt;&gt;""),'Atividades Micro'!$L333,"")</f>
        <v/>
      </c>
      <c r="Y281" s="21" t="str">
        <f>IF(AND('Atividades Micro'!$A333=Y$2,'Atividades Micro'!$K333&lt;&gt;""),'Atividades Micro'!$K333,"")</f>
        <v/>
      </c>
      <c r="Z281" s="21" t="str">
        <f>IF(AND('Atividades Micro'!$A333=Z$2,'Atividades Micro'!$L333&lt;&gt;""),'Atividades Micro'!$L333,"")</f>
        <v/>
      </c>
      <c r="AA281" s="21" t="str">
        <f>IF(AND('Atividades Micro'!$B333=AA$2,'Atividades Micro'!$K333&lt;&gt;""),'Atividades Micro'!$K333,"")</f>
        <v/>
      </c>
      <c r="AB281" s="21" t="str">
        <f>IF(AND('Atividades Micro'!$B333=AB$2,'Atividades Micro'!$L333&lt;&gt;""),'Atividades Micro'!$L333,"")</f>
        <v/>
      </c>
      <c r="AC281" s="21" t="str">
        <f>IF(AND('Atividades Micro'!$B333=AC$2,'Atividades Micro'!$K333&lt;&gt;""),'Atividades Micro'!$K333,"")</f>
        <v/>
      </c>
      <c r="AD281" s="21" t="str">
        <f>IF(AND('Atividades Micro'!$B333=AD$2,'Atividades Micro'!$L333&lt;&gt;""),'Atividades Micro'!$L333,"")</f>
        <v/>
      </c>
      <c r="AE281" s="21" t="str">
        <f>IF(AND('Atividades Micro'!$A333=AE$2,'Atividades Micro'!$K333&lt;&gt;""),'Atividades Micro'!$K333,"")</f>
        <v/>
      </c>
      <c r="AF281" s="21" t="str">
        <f>IF(AND('Atividades Micro'!$A333=AF$2,'Atividades Micro'!$L333&lt;&gt;""),'Atividades Micro'!$L333,"")</f>
        <v/>
      </c>
      <c r="AG281" s="21" t="str">
        <f>IF(AND('Atividades Micro'!$B333=AG$2,'Atividades Micro'!$K333&lt;&gt;""),'Atividades Micro'!$K333,"")</f>
        <v/>
      </c>
      <c r="AH281" s="21" t="str">
        <f>IF(AND('Atividades Micro'!$B333=AH$2,'Atividades Micro'!$L333&lt;&gt;""),'Atividades Micro'!$L333,"")</f>
        <v/>
      </c>
      <c r="AI281" s="21" t="str">
        <f>IF(AND('Atividades Micro'!$B333=AI$2,'Atividades Micro'!$K333&lt;&gt;""),'Atividades Micro'!$K333,"")</f>
        <v/>
      </c>
      <c r="AJ281" s="21" t="str">
        <f>IF(AND('Atividades Micro'!$B333=AJ$2,'Atividades Micro'!$L333&lt;&gt;""),'Atividades Micro'!$L333,"")</f>
        <v/>
      </c>
      <c r="AK281" s="21" t="str">
        <f>IF(AND('Atividades Micro'!$A333=AK$2,'Atividades Micro'!$K333&lt;&gt;""),'Atividades Micro'!$K333,"")</f>
        <v/>
      </c>
      <c r="AL281" s="21" t="str">
        <f>IF(AND('Atividades Micro'!$A333=AL$2,'Atividades Micro'!$L333&lt;&gt;""),'Atividades Micro'!$L333,"")</f>
        <v/>
      </c>
      <c r="AM281" s="21" t="str">
        <f>IF(AND('Atividades Micro'!$B333=AM$2,'Atividades Micro'!$K333&lt;&gt;""),'Atividades Micro'!$K333,"")</f>
        <v/>
      </c>
      <c r="AN281" s="21" t="str">
        <f>IF(AND('Atividades Micro'!$B333=AN$2,'Atividades Micro'!$L333&lt;&gt;""),'Atividades Micro'!$L333,"")</f>
        <v/>
      </c>
      <c r="AO281" s="21" t="str">
        <f>IF(AND('Atividades Micro'!$B333=AO$2,'Atividades Micro'!$K333&lt;&gt;""),'Atividades Micro'!$K333,"")</f>
        <v/>
      </c>
      <c r="AP281" s="21" t="str">
        <f>IF(AND('Atividades Micro'!$B333=AP$2,'Atividades Micro'!$L333&lt;&gt;""),'Atividades Micro'!$L333,"")</f>
        <v/>
      </c>
      <c r="AQ281" s="21" t="str">
        <f>IF(AND('Atividades Micro'!$A333=AQ$2,'Atividades Micro'!$K333&lt;&gt;""),'Atividades Micro'!$K333,"")</f>
        <v/>
      </c>
      <c r="AR281" s="21" t="str">
        <f>IF(AND('Atividades Micro'!$A333=AR$2,'Atividades Micro'!$L333&lt;&gt;""),'Atividades Micro'!$L333,"")</f>
        <v/>
      </c>
      <c r="AS281" s="21" t="str">
        <f>IF(AND('Atividades Micro'!$B333=AS$2,'Atividades Micro'!$K333&lt;&gt;""),'Atividades Micro'!$K333,"")</f>
        <v/>
      </c>
      <c r="AT281" s="21" t="str">
        <f>IF(AND('Atividades Micro'!$B333=AT$2,'Atividades Micro'!$L333&lt;&gt;""),'Atividades Micro'!$L333,"")</f>
        <v/>
      </c>
      <c r="AU281" s="21" t="str">
        <f>IF(AND('Atividades Micro'!$A333=AU$2,'Atividades Micro'!$K333&lt;&gt;""),'Atividades Micro'!$K333,"")</f>
        <v/>
      </c>
      <c r="AV281" s="21" t="str">
        <f>IF(AND('Atividades Micro'!$A333=AV$2,'Atividades Micro'!$L333&lt;&gt;""),'Atividades Micro'!$L333,"")</f>
        <v/>
      </c>
      <c r="AW281" s="21" t="str">
        <f>IF(AND('Atividades Micro'!$B333=AW$2,'Atividades Micro'!$K333&lt;&gt;""),'Atividades Micro'!$K333,"")</f>
        <v/>
      </c>
      <c r="AX281" s="21" t="str">
        <f>IF(AND('Atividades Micro'!$B333=AX$2,'Atividades Micro'!$L333&lt;&gt;""),'Atividades Micro'!$L333,"")</f>
        <v/>
      </c>
      <c r="AY281" s="21" t="str">
        <f>IF(AND('Atividades Micro'!$A333=AY$2,'Atividades Micro'!$K333&lt;&gt;""),'Atividades Micro'!$K333,"")</f>
        <v/>
      </c>
      <c r="AZ281" s="21" t="str">
        <f>IF(AND('Atividades Micro'!$A333=AZ$2,'Atividades Micro'!$L333&lt;&gt;""),'Atividades Micro'!$L333,"")</f>
        <v/>
      </c>
      <c r="BA281" s="21" t="str">
        <f>IF(AND('Atividades Micro'!$B333=BA$2,'Atividades Micro'!$K333&lt;&gt;""),'Atividades Micro'!$K333,"")</f>
        <v/>
      </c>
      <c r="BB281" s="21" t="str">
        <f>IF(AND('Atividades Micro'!$B333=BB$2,'Atividades Micro'!$L333&lt;&gt;""),'Atividades Micro'!$L333,"")</f>
        <v/>
      </c>
      <c r="BC281" s="21" t="str">
        <f>IF(AND('Atividades Micro'!$B333=BC$2,'Atividades Micro'!$G333="Macro",'Atividades Micro'!$K333&lt;&gt;""),'Atividades Micro'!$K333,"")</f>
        <v/>
      </c>
      <c r="BD281" s="21" t="str">
        <f>IF(AND('Atividades Micro'!$B333=BD$2,'Atividades Micro'!$G333="Macro",'Atividades Micro'!$K333&lt;&gt;""),'Atividades Micro'!$K333,"")</f>
        <v/>
      </c>
      <c r="BE281" s="21" t="str">
        <f>IF(AND('Atividades Micro'!$B333=BE$2,'Atividades Micro'!$G333="Macro",'Atividades Micro'!$K333&lt;&gt;""),'Atividades Micro'!$K333,"")</f>
        <v/>
      </c>
      <c r="BF281" s="21" t="str">
        <f>IF(AND('Atividades Micro'!$B333=BF$2,'Atividades Micro'!$G333="Macro",'Atividades Micro'!$K333&lt;&gt;""),'Atividades Micro'!$K333,"")</f>
        <v/>
      </c>
      <c r="BG281" s="21" t="str">
        <f>IF(AND('Atividades Micro'!$B333=BG$2,'Atividades Micro'!$G333="Macro",'Atividades Micro'!$K333&lt;&gt;""),'Atividades Micro'!$K333,"")</f>
        <v/>
      </c>
      <c r="BH281" s="21" t="str">
        <f>IF(AND('Atividades Micro'!$B333=BH$2,'Atividades Micro'!$G333="Macro",'Atividades Micro'!$K333&lt;&gt;""),'Atividades Micro'!$K333,"")</f>
        <v/>
      </c>
      <c r="BI281" s="21" t="str">
        <f>IF(AND('Atividades Micro'!$B333=BI$2,'Atividades Micro'!$G333="Macro",'Atividades Micro'!$K333&lt;&gt;""),'Atividades Micro'!$K333,"")</f>
        <v/>
      </c>
      <c r="BJ281" s="21" t="str">
        <f>IF(AND('Atividades Micro'!$B333=BJ$2,'Atividades Micro'!$G333="Macro",'Atividades Micro'!$K333&lt;&gt;""),'Atividades Micro'!$K333,"")</f>
        <v/>
      </c>
      <c r="BK281" s="21" t="str">
        <f>IF(AND('Atividades Micro'!$B333=BK$2,'Atividades Micro'!$G333="Macro",'Atividades Micro'!$K333&lt;&gt;""),'Atividades Micro'!$K333,"")</f>
        <v/>
      </c>
      <c r="BL281" s="21" t="str">
        <f>IF(AND('Atividades Micro'!$B333=BL$2,'Atividades Micro'!$G333="Macro",'Atividades Micro'!$K333&lt;&gt;""),'Atividades Micro'!$K333,"")</f>
        <v/>
      </c>
      <c r="BM281" s="21" t="str">
        <f>IF(AND('Atividades Micro'!$B333=BM$2,'Atividades Micro'!$G333="Macro",'Atividades Micro'!$K333&lt;&gt;""),'Atividades Micro'!$K333,"")</f>
        <v/>
      </c>
      <c r="BN281" s="21" t="str">
        <f>IF(AND('Atividades Micro'!$B333=BN$2,'Atividades Micro'!$G333="Macro",'Atividades Micro'!$K333&lt;&gt;""),'Atividades Micro'!$K333,"")</f>
        <v/>
      </c>
      <c r="BO281" s="21" t="str">
        <f>IF(AND('Atividades Micro'!$B333=BO$2,'Atividades Micro'!$G333="Macro",'Atividades Micro'!$K333&lt;&gt;""),'Atividades Micro'!$K333,"")</f>
        <v/>
      </c>
      <c r="BP281" s="21" t="str">
        <f>IF(AND('Atividades Micro'!$B333=BP$2,'Atividades Micro'!$G333="Macro",'Atividades Micro'!$K333&lt;&gt;""),'Atividades Micro'!$K333,"")</f>
        <v/>
      </c>
      <c r="BQ281" s="21" t="str">
        <f>IF(AND('Atividades Micro'!$B333=BQ$2,'Atividades Micro'!$G333="Macro",'Atividades Micro'!$K333&lt;&gt;""),'Atividades Micro'!$K333,"")</f>
        <v/>
      </c>
      <c r="BR281" s="21" t="str">
        <f>IF(AND('Atividades Micro'!$B333=BR$2,'Atividades Micro'!$G333="Macro",'Atividades Micro'!$K333&lt;&gt;""),'Atividades Micro'!$K333,"")</f>
        <v/>
      </c>
      <c r="BS281" s="21" t="str">
        <f>IF(AND('Atividades Micro'!$B333=BS$2,'Atividades Micro'!$G333="Macro",'Atividades Micro'!$K333&lt;&gt;""),'Atividades Micro'!$K333,"")</f>
        <v/>
      </c>
      <c r="BT281" s="21" t="str">
        <f>IF(AND('Atividades Micro'!$B333=BT$2,'Atividades Micro'!$G333="Macro",'Atividades Micro'!$K333&lt;&gt;""),'Atividades Micro'!$K333,"")</f>
        <v/>
      </c>
      <c r="BU281" s="21" t="str">
        <f>IF(AND('Atividades Micro'!$B333=BU$2,'Atividades Micro'!$G333="Macro",'Atividades Micro'!$K333&lt;&gt;""),'Atividades Micro'!$K333,"")</f>
        <v/>
      </c>
      <c r="BV281" s="21" t="str">
        <f>IF(AND('Atividades Micro'!$B333=BV$2,'Atividades Micro'!$G333="Macro",'Atividades Micro'!$K333&lt;&gt;""),'Atividades Micro'!$K333,"")</f>
        <v/>
      </c>
      <c r="BW281" s="21" t="str">
        <f>IF(AND('Atividades Micro'!$B333=BW$2,'Atividades Micro'!$G333="Macro",'Atividades Micro'!$K333&lt;&gt;""),'Atividades Micro'!$K333,"")</f>
        <v/>
      </c>
      <c r="BX281" s="21" t="str">
        <f>IF(AND('Atividades Micro'!$B333=BX$2,'Atividades Micro'!$G333="Macro",'Atividades Micro'!$K333&lt;&gt;""),'Atividades Micro'!$K333,"")</f>
        <v/>
      </c>
      <c r="BY281" s="21" t="str">
        <f>IF(AND('Atividades Micro'!$B333=BY$2,'Atividades Micro'!$G333="Macro",'Atividades Micro'!$K333&lt;&gt;""),'Atividades Micro'!$K333,"")</f>
        <v/>
      </c>
      <c r="BZ281" s="21" t="str">
        <f>IF(AND('Atividades Micro'!$B333=BZ$2,'Atividades Micro'!$G333="Macro",'Atividades Micro'!$K333&lt;&gt;""),'Atividades Micro'!$K333,"")</f>
        <v/>
      </c>
      <c r="CA281" s="21" t="str">
        <f>IF(AND('Atividades Micro'!$B333=CA$2,'Atividades Micro'!$G333="Macro",'Atividades Micro'!$K333&lt;&gt;""),'Atividades Micro'!$K333,"")</f>
        <v/>
      </c>
      <c r="CB281" s="21" t="str">
        <f>IF(AND('Atividades Micro'!$B333=CB$2,'Atividades Micro'!$G333="Macro",'Atividades Micro'!$K333&lt;&gt;""),'Atividades Micro'!$K333,"")</f>
        <v/>
      </c>
      <c r="CC281" s="21" t="str">
        <f>IF(AND('Atividades Micro'!$B333=CC$2,'Atividades Micro'!$G333="Macro",'Atividades Micro'!$K333&lt;&gt;""),'Atividades Micro'!$K333,"")</f>
        <v/>
      </c>
      <c r="CD281" s="21" t="str">
        <f>IF(AND('Atividades Micro'!$B333=CD$2,'Atividades Micro'!$G333="Micro",'Atividades Micro'!$K333&lt;&gt;""),'Atividades Micro'!$K333,"")</f>
        <v/>
      </c>
      <c r="CE281" s="21" t="str">
        <f>IF(AND('Atividades Micro'!$B333=CE$2,'Atividades Micro'!$G333="Micro",'Atividades Micro'!$K333&lt;&gt;""),'Atividades Micro'!$K333,"")</f>
        <v/>
      </c>
      <c r="CF281" s="21" t="str">
        <f>IF(AND('Atividades Micro'!$B333=CF$2,'Atividades Micro'!$G333="Micro",'Atividades Micro'!$K333&lt;&gt;""),'Atividades Micro'!$K333,"")</f>
        <v/>
      </c>
      <c r="CG281" s="21" t="str">
        <f>IF(AND('Atividades Micro'!$B333=CG$2,'Atividades Micro'!$G333="Micro",'Atividades Micro'!$K333&lt;&gt;""),'Atividades Micro'!$K333,"")</f>
        <v/>
      </c>
      <c r="CH281" s="21" t="str">
        <f>IF(AND('Atividades Micro'!$B333=CH$2,'Atividades Micro'!$G333="Micro",'Atividades Micro'!$K333&lt;&gt;""),'Atividades Micro'!$K333,"")</f>
        <v/>
      </c>
      <c r="CI281" s="21" t="str">
        <f>IF(AND('Atividades Micro'!$B333=CI$2,'Atividades Micro'!$G333="Micro",'Atividades Micro'!$K333&lt;&gt;""),'Atividades Micro'!$K333,"")</f>
        <v/>
      </c>
      <c r="CJ281" s="21" t="str">
        <f>IF(AND('Atividades Micro'!$B333=CJ$2,'Atividades Micro'!$G333="Micro",'Atividades Micro'!$K333&lt;&gt;""),'Atividades Micro'!$K333,"")</f>
        <v/>
      </c>
      <c r="CK281" s="21" t="str">
        <f>IF(AND('Atividades Micro'!$B333=CK$2,'Atividades Micro'!$G333="Micro",'Atividades Micro'!$K333&lt;&gt;""),'Atividades Micro'!$K333,"")</f>
        <v/>
      </c>
      <c r="CL281" s="21" t="str">
        <f>IF(AND('Atividades Micro'!$B333=CL$2,'Atividades Micro'!$G333="Micro",'Atividades Micro'!$K333&lt;&gt;""),'Atividades Micro'!$K333,"")</f>
        <v/>
      </c>
      <c r="CM281" s="21" t="str">
        <f>IF(AND('Atividades Micro'!$B333=CM$2,'Atividades Micro'!$G333="Micro",'Atividades Micro'!$K333&lt;&gt;""),'Atividades Micro'!$K333,"")</f>
        <v/>
      </c>
      <c r="CN281" s="21" t="str">
        <f>IF(AND('Atividades Micro'!$B333=CN$2,'Atividades Micro'!$G333="Micro",'Atividades Micro'!$K333&lt;&gt;""),'Atividades Micro'!$K333,"")</f>
        <v/>
      </c>
      <c r="CO281" s="21" t="str">
        <f>IF(AND('Atividades Micro'!$B333=CO$2,'Atividades Micro'!$G333="Micro",'Atividades Micro'!$K333&lt;&gt;""),'Atividades Micro'!$K333,"")</f>
        <v/>
      </c>
    </row>
    <row r="282" spans="1:93">
      <c r="A282" s="21" t="str">
        <f>IF(AND('Atividades Micro'!$A334=A$2,'Atividades Micro'!$K334&lt;&gt;""),'Atividades Micro'!$K334,"")</f>
        <v/>
      </c>
      <c r="B282" s="21" t="str">
        <f>IF(AND('Atividades Micro'!$A334=B$2,'Atividades Micro'!$L334&lt;&gt;""),'Atividades Micro'!$L334,"")</f>
        <v/>
      </c>
      <c r="C282" s="21" t="str">
        <f>IF(AND('Atividades Micro'!$A334=C$2,'Atividades Micro'!$K334&lt;&gt;""),'Atividades Micro'!$K334,"")</f>
        <v/>
      </c>
      <c r="D282" s="21" t="str">
        <f>IF(AND('Atividades Micro'!$A334=D$2,'Atividades Micro'!$L334&lt;&gt;""),'Atividades Micro'!$L334,"")</f>
        <v/>
      </c>
      <c r="E282" s="21" t="str">
        <f>IF(AND('Atividades Micro'!$A334=E$2,'Atividades Micro'!$K334&lt;&gt;""),'Atividades Micro'!$K334,"")</f>
        <v/>
      </c>
      <c r="F282" s="21" t="str">
        <f>IF(AND('Atividades Micro'!$A334=F$2,'Atividades Micro'!$L334&lt;&gt;""),'Atividades Micro'!$L334,"")</f>
        <v/>
      </c>
      <c r="G282" s="21">
        <f>IF(AND('Atividades Micro'!$A334=G$2,'Atividades Micro'!$K334&lt;&gt;""),'Atividades Micro'!$K334,"")</f>
        <v>46248</v>
      </c>
      <c r="H282" s="21" t="str">
        <f>IF(AND('Atividades Micro'!$A334=H$2,'Atividades Micro'!$L334&lt;&gt;""),'Atividades Micro'!$L334,"")</f>
        <v/>
      </c>
      <c r="I282" s="21" t="str">
        <f>IF(AND('Atividades Micro'!$A334=I$2,'Atividades Micro'!$K334&lt;&gt;""),'Atividades Micro'!$K334,"")</f>
        <v/>
      </c>
      <c r="J282" s="21" t="str">
        <f>IF(AND('Atividades Micro'!$A334=J$2,'Atividades Micro'!$L334&lt;&gt;""),'Atividades Micro'!$L334,"")</f>
        <v/>
      </c>
      <c r="K282" s="21" t="str">
        <f>IF(AND('Atividades Micro'!$B334=K$2,'Atividades Micro'!$K334&lt;&gt;""),'Atividades Micro'!$K334,"")</f>
        <v/>
      </c>
      <c r="L282" s="21" t="str">
        <f>IF(AND('Atividades Micro'!$B334=L$2,'Atividades Micro'!$L334&lt;&gt;""),'Atividades Micro'!$L334,"")</f>
        <v/>
      </c>
      <c r="M282" s="21" t="str">
        <f>IF(AND('Atividades Micro'!$B334=M$2,'Atividades Micro'!$K334&lt;&gt;""),'Atividades Micro'!$K334,"")</f>
        <v/>
      </c>
      <c r="N282" s="21" t="str">
        <f>IF(AND('Atividades Micro'!$B334=N$2,'Atividades Micro'!$L334&lt;&gt;""),'Atividades Micro'!$L334,"")</f>
        <v/>
      </c>
      <c r="O282" s="21" t="str">
        <f>IF(AND('Atividades Micro'!$A334=O$2,'Atividades Micro'!$K334&lt;&gt;""),'Atividades Micro'!$K334,"")</f>
        <v/>
      </c>
      <c r="P282" s="21" t="str">
        <f>IF(AND('Atividades Micro'!$A334=P$2,'Atividades Micro'!$L334&lt;&gt;""),'Atividades Micro'!$L334,"")</f>
        <v/>
      </c>
      <c r="Q282" s="21" t="str">
        <f>IF(AND('Atividades Micro'!$B334=Q$2,'Atividades Micro'!$K334&lt;&gt;""),'Atividades Micro'!$K334,"")</f>
        <v/>
      </c>
      <c r="R282" s="21" t="str">
        <f>IF(AND('Atividades Micro'!$B334=R$2,'Atividades Micro'!$L334&lt;&gt;""),'Atividades Micro'!$L334,"")</f>
        <v/>
      </c>
      <c r="S282" s="21" t="str">
        <f>IF(AND('Atividades Micro'!$A334=S$2,'Atividades Micro'!$K334&lt;&gt;""),'Atividades Micro'!$K334,"")</f>
        <v/>
      </c>
      <c r="T282" s="21" t="str">
        <f>IF(AND('Atividades Micro'!$A334=T$2,'Atividades Micro'!$L334&lt;&gt;""),'Atividades Micro'!$L334,"")</f>
        <v/>
      </c>
      <c r="U282" s="21" t="str">
        <f>IF(AND('Atividades Micro'!$B334=U$2,'Atividades Micro'!$K334&lt;&gt;""),'Atividades Micro'!$K334,"")</f>
        <v/>
      </c>
      <c r="V282" s="21" t="str">
        <f>IF(AND('Atividades Micro'!$B334=V$2,'Atividades Micro'!$L334&lt;&gt;""),'Atividades Micro'!$L334,"")</f>
        <v/>
      </c>
      <c r="W282" s="21" t="str">
        <f>IF(AND('Atividades Micro'!$B334=W$2,'Atividades Micro'!$K334&lt;&gt;""),'Atividades Micro'!$K334,"")</f>
        <v/>
      </c>
      <c r="X282" s="21" t="str">
        <f>IF(AND('Atividades Micro'!$B334=X$2,'Atividades Micro'!$L334&lt;&gt;""),'Atividades Micro'!$L334,"")</f>
        <v/>
      </c>
      <c r="Y282" s="21" t="str">
        <f>IF(AND('Atividades Micro'!$A334=Y$2,'Atividades Micro'!$K334&lt;&gt;""),'Atividades Micro'!$K334,"")</f>
        <v/>
      </c>
      <c r="Z282" s="21" t="str">
        <f>IF(AND('Atividades Micro'!$A334=Z$2,'Atividades Micro'!$L334&lt;&gt;""),'Atividades Micro'!$L334,"")</f>
        <v/>
      </c>
      <c r="AA282" s="21" t="str">
        <f>IF(AND('Atividades Micro'!$B334=AA$2,'Atividades Micro'!$K334&lt;&gt;""),'Atividades Micro'!$K334,"")</f>
        <v/>
      </c>
      <c r="AB282" s="21" t="str">
        <f>IF(AND('Atividades Micro'!$B334=AB$2,'Atividades Micro'!$L334&lt;&gt;""),'Atividades Micro'!$L334,"")</f>
        <v/>
      </c>
      <c r="AC282" s="21" t="str">
        <f>IF(AND('Atividades Micro'!$B334=AC$2,'Atividades Micro'!$K334&lt;&gt;""),'Atividades Micro'!$K334,"")</f>
        <v/>
      </c>
      <c r="AD282" s="21" t="str">
        <f>IF(AND('Atividades Micro'!$B334=AD$2,'Atividades Micro'!$L334&lt;&gt;""),'Atividades Micro'!$L334,"")</f>
        <v/>
      </c>
      <c r="AE282" s="21" t="str">
        <f>IF(AND('Atividades Micro'!$A334=AE$2,'Atividades Micro'!$K334&lt;&gt;""),'Atividades Micro'!$K334,"")</f>
        <v/>
      </c>
      <c r="AF282" s="21" t="str">
        <f>IF(AND('Atividades Micro'!$A334=AF$2,'Atividades Micro'!$L334&lt;&gt;""),'Atividades Micro'!$L334,"")</f>
        <v/>
      </c>
      <c r="AG282" s="21" t="str">
        <f>IF(AND('Atividades Micro'!$B334=AG$2,'Atividades Micro'!$K334&lt;&gt;""),'Atividades Micro'!$K334,"")</f>
        <v/>
      </c>
      <c r="AH282" s="21" t="str">
        <f>IF(AND('Atividades Micro'!$B334=AH$2,'Atividades Micro'!$L334&lt;&gt;""),'Atividades Micro'!$L334,"")</f>
        <v/>
      </c>
      <c r="AI282" s="21" t="str">
        <f>IF(AND('Atividades Micro'!$B334=AI$2,'Atividades Micro'!$K334&lt;&gt;""),'Atividades Micro'!$K334,"")</f>
        <v/>
      </c>
      <c r="AJ282" s="21" t="str">
        <f>IF(AND('Atividades Micro'!$B334=AJ$2,'Atividades Micro'!$L334&lt;&gt;""),'Atividades Micro'!$L334,"")</f>
        <v/>
      </c>
      <c r="AK282" s="21" t="str">
        <f>IF(AND('Atividades Micro'!$A334=AK$2,'Atividades Micro'!$K334&lt;&gt;""),'Atividades Micro'!$K334,"")</f>
        <v/>
      </c>
      <c r="AL282" s="21" t="str">
        <f>IF(AND('Atividades Micro'!$A334=AL$2,'Atividades Micro'!$L334&lt;&gt;""),'Atividades Micro'!$L334,"")</f>
        <v/>
      </c>
      <c r="AM282" s="21" t="str">
        <f>IF(AND('Atividades Micro'!$B334=AM$2,'Atividades Micro'!$K334&lt;&gt;""),'Atividades Micro'!$K334,"")</f>
        <v/>
      </c>
      <c r="AN282" s="21" t="str">
        <f>IF(AND('Atividades Micro'!$B334=AN$2,'Atividades Micro'!$L334&lt;&gt;""),'Atividades Micro'!$L334,"")</f>
        <v/>
      </c>
      <c r="AO282" s="21" t="str">
        <f>IF(AND('Atividades Micro'!$B334=AO$2,'Atividades Micro'!$K334&lt;&gt;""),'Atividades Micro'!$K334,"")</f>
        <v/>
      </c>
      <c r="AP282" s="21" t="str">
        <f>IF(AND('Atividades Micro'!$B334=AP$2,'Atividades Micro'!$L334&lt;&gt;""),'Atividades Micro'!$L334,"")</f>
        <v/>
      </c>
      <c r="AQ282" s="21" t="str">
        <f>IF(AND('Atividades Micro'!$A334=AQ$2,'Atividades Micro'!$K334&lt;&gt;""),'Atividades Micro'!$K334,"")</f>
        <v/>
      </c>
      <c r="AR282" s="21" t="str">
        <f>IF(AND('Atividades Micro'!$A334=AR$2,'Atividades Micro'!$L334&lt;&gt;""),'Atividades Micro'!$L334,"")</f>
        <v/>
      </c>
      <c r="AS282" s="21" t="str">
        <f>IF(AND('Atividades Micro'!$B334=AS$2,'Atividades Micro'!$K334&lt;&gt;""),'Atividades Micro'!$K334,"")</f>
        <v/>
      </c>
      <c r="AT282" s="21" t="str">
        <f>IF(AND('Atividades Micro'!$B334=AT$2,'Atividades Micro'!$L334&lt;&gt;""),'Atividades Micro'!$L334,"")</f>
        <v/>
      </c>
      <c r="AU282" s="21" t="str">
        <f>IF(AND('Atividades Micro'!$A334=AU$2,'Atividades Micro'!$K334&lt;&gt;""),'Atividades Micro'!$K334,"")</f>
        <v/>
      </c>
      <c r="AV282" s="21" t="str">
        <f>IF(AND('Atividades Micro'!$A334=AV$2,'Atividades Micro'!$L334&lt;&gt;""),'Atividades Micro'!$L334,"")</f>
        <v/>
      </c>
      <c r="AW282" s="21" t="str">
        <f>IF(AND('Atividades Micro'!$B334=AW$2,'Atividades Micro'!$K334&lt;&gt;""),'Atividades Micro'!$K334,"")</f>
        <v/>
      </c>
      <c r="AX282" s="21" t="str">
        <f>IF(AND('Atividades Micro'!$B334=AX$2,'Atividades Micro'!$L334&lt;&gt;""),'Atividades Micro'!$L334,"")</f>
        <v/>
      </c>
      <c r="AY282" s="21" t="str">
        <f>IF(AND('Atividades Micro'!$A334=AY$2,'Atividades Micro'!$K334&lt;&gt;""),'Atividades Micro'!$K334,"")</f>
        <v/>
      </c>
      <c r="AZ282" s="21" t="str">
        <f>IF(AND('Atividades Micro'!$A334=AZ$2,'Atividades Micro'!$L334&lt;&gt;""),'Atividades Micro'!$L334,"")</f>
        <v/>
      </c>
      <c r="BA282" s="21" t="str">
        <f>IF(AND('Atividades Micro'!$B334=BA$2,'Atividades Micro'!$K334&lt;&gt;""),'Atividades Micro'!$K334,"")</f>
        <v/>
      </c>
      <c r="BB282" s="21" t="str">
        <f>IF(AND('Atividades Micro'!$B334=BB$2,'Atividades Micro'!$L334&lt;&gt;""),'Atividades Micro'!$L334,"")</f>
        <v/>
      </c>
      <c r="BC282" s="21" t="str">
        <f>IF(AND('Atividades Micro'!$B334=BC$2,'Atividades Micro'!$G334="Macro",'Atividades Micro'!$K334&lt;&gt;""),'Atividades Micro'!$K334,"")</f>
        <v/>
      </c>
      <c r="BD282" s="21" t="str">
        <f>IF(AND('Atividades Micro'!$B334=BD$2,'Atividades Micro'!$G334="Macro",'Atividades Micro'!$K334&lt;&gt;""),'Atividades Micro'!$K334,"")</f>
        <v/>
      </c>
      <c r="BE282" s="21" t="str">
        <f>IF(AND('Atividades Micro'!$B334=BE$2,'Atividades Micro'!$G334="Macro",'Atividades Micro'!$K334&lt;&gt;""),'Atividades Micro'!$K334,"")</f>
        <v/>
      </c>
      <c r="BF282" s="21" t="str">
        <f>IF(AND('Atividades Micro'!$B334=BF$2,'Atividades Micro'!$G334="Macro",'Atividades Micro'!$K334&lt;&gt;""),'Atividades Micro'!$K334,"")</f>
        <v/>
      </c>
      <c r="BG282" s="21" t="str">
        <f>IF(AND('Atividades Micro'!$B334=BG$2,'Atividades Micro'!$G334="Macro",'Atividades Micro'!$K334&lt;&gt;""),'Atividades Micro'!$K334,"")</f>
        <v/>
      </c>
      <c r="BH282" s="21" t="str">
        <f>IF(AND('Atividades Micro'!$B334=BH$2,'Atividades Micro'!$G334="Macro",'Atividades Micro'!$K334&lt;&gt;""),'Atividades Micro'!$K334,"")</f>
        <v/>
      </c>
      <c r="BI282" s="21" t="str">
        <f>IF(AND('Atividades Micro'!$B334=BI$2,'Atividades Micro'!$G334="Macro",'Atividades Micro'!$K334&lt;&gt;""),'Atividades Micro'!$K334,"")</f>
        <v/>
      </c>
      <c r="BJ282" s="21" t="str">
        <f>IF(AND('Atividades Micro'!$B334=BJ$2,'Atividades Micro'!$G334="Macro",'Atividades Micro'!$K334&lt;&gt;""),'Atividades Micro'!$K334,"")</f>
        <v/>
      </c>
      <c r="BK282" s="21" t="str">
        <f>IF(AND('Atividades Micro'!$B334=BK$2,'Atividades Micro'!$G334="Macro",'Atividades Micro'!$K334&lt;&gt;""),'Atividades Micro'!$K334,"")</f>
        <v/>
      </c>
      <c r="BL282" s="21" t="str">
        <f>IF(AND('Atividades Micro'!$B334=BL$2,'Atividades Micro'!$G334="Macro",'Atividades Micro'!$K334&lt;&gt;""),'Atividades Micro'!$K334,"")</f>
        <v/>
      </c>
      <c r="BM282" s="21" t="str">
        <f>IF(AND('Atividades Micro'!$B334=BM$2,'Atividades Micro'!$G334="Macro",'Atividades Micro'!$K334&lt;&gt;""),'Atividades Micro'!$K334,"")</f>
        <v/>
      </c>
      <c r="BN282" s="21" t="str">
        <f>IF(AND('Atividades Micro'!$B334=BN$2,'Atividades Micro'!$G334="Macro",'Atividades Micro'!$K334&lt;&gt;""),'Atividades Micro'!$K334,"")</f>
        <v/>
      </c>
      <c r="BO282" s="21" t="str">
        <f>IF(AND('Atividades Micro'!$B334=BO$2,'Atividades Micro'!$G334="Macro",'Atividades Micro'!$K334&lt;&gt;""),'Atividades Micro'!$K334,"")</f>
        <v/>
      </c>
      <c r="BP282" s="21" t="str">
        <f>IF(AND('Atividades Micro'!$B334=BP$2,'Atividades Micro'!$G334="Macro",'Atividades Micro'!$K334&lt;&gt;""),'Atividades Micro'!$K334,"")</f>
        <v/>
      </c>
      <c r="BQ282" s="21" t="str">
        <f>IF(AND('Atividades Micro'!$B334=BQ$2,'Atividades Micro'!$G334="Macro",'Atividades Micro'!$K334&lt;&gt;""),'Atividades Micro'!$K334,"")</f>
        <v/>
      </c>
      <c r="BR282" s="21" t="str">
        <f>IF(AND('Atividades Micro'!$B334=BR$2,'Atividades Micro'!$G334="Macro",'Atividades Micro'!$K334&lt;&gt;""),'Atividades Micro'!$K334,"")</f>
        <v/>
      </c>
      <c r="BS282" s="21" t="str">
        <f>IF(AND('Atividades Micro'!$B334=BS$2,'Atividades Micro'!$G334="Macro",'Atividades Micro'!$K334&lt;&gt;""),'Atividades Micro'!$K334,"")</f>
        <v/>
      </c>
      <c r="BT282" s="21" t="str">
        <f>IF(AND('Atividades Micro'!$B334=BT$2,'Atividades Micro'!$G334="Macro",'Atividades Micro'!$K334&lt;&gt;""),'Atividades Micro'!$K334,"")</f>
        <v/>
      </c>
      <c r="BU282" s="21" t="str">
        <f>IF(AND('Atividades Micro'!$B334=BU$2,'Atividades Micro'!$G334="Macro",'Atividades Micro'!$K334&lt;&gt;""),'Atividades Micro'!$K334,"")</f>
        <v/>
      </c>
      <c r="BV282" s="21" t="str">
        <f>IF(AND('Atividades Micro'!$B334=BV$2,'Atividades Micro'!$G334="Macro",'Atividades Micro'!$K334&lt;&gt;""),'Atividades Micro'!$K334,"")</f>
        <v/>
      </c>
      <c r="BW282" s="21" t="str">
        <f>IF(AND('Atividades Micro'!$B334=BW$2,'Atividades Micro'!$G334="Macro",'Atividades Micro'!$K334&lt;&gt;""),'Atividades Micro'!$K334,"")</f>
        <v/>
      </c>
      <c r="BX282" s="21" t="str">
        <f>IF(AND('Atividades Micro'!$B334=BX$2,'Atividades Micro'!$G334="Macro",'Atividades Micro'!$K334&lt;&gt;""),'Atividades Micro'!$K334,"")</f>
        <v/>
      </c>
      <c r="BY282" s="21" t="str">
        <f>IF(AND('Atividades Micro'!$B334=BY$2,'Atividades Micro'!$G334="Macro",'Atividades Micro'!$K334&lt;&gt;""),'Atividades Micro'!$K334,"")</f>
        <v/>
      </c>
      <c r="BZ282" s="21" t="str">
        <f>IF(AND('Atividades Micro'!$B334=BZ$2,'Atividades Micro'!$G334="Macro",'Atividades Micro'!$K334&lt;&gt;""),'Atividades Micro'!$K334,"")</f>
        <v/>
      </c>
      <c r="CA282" s="21" t="str">
        <f>IF(AND('Atividades Micro'!$B334=CA$2,'Atividades Micro'!$G334="Macro",'Atividades Micro'!$K334&lt;&gt;""),'Atividades Micro'!$K334,"")</f>
        <v/>
      </c>
      <c r="CB282" s="21" t="str">
        <f>IF(AND('Atividades Micro'!$B334=CB$2,'Atividades Micro'!$G334="Macro",'Atividades Micro'!$K334&lt;&gt;""),'Atividades Micro'!$K334,"")</f>
        <v/>
      </c>
      <c r="CC282" s="21" t="str">
        <f>IF(AND('Atividades Micro'!$B334=CC$2,'Atividades Micro'!$G334="Macro",'Atividades Micro'!$K334&lt;&gt;""),'Atividades Micro'!$K334,"")</f>
        <v/>
      </c>
      <c r="CD282" s="21" t="str">
        <f>IF(AND('Atividades Micro'!$B334=CD$2,'Atividades Micro'!$G334="Micro",'Atividades Micro'!$K334&lt;&gt;""),'Atividades Micro'!$K334,"")</f>
        <v/>
      </c>
      <c r="CE282" s="21" t="str">
        <f>IF(AND('Atividades Micro'!$B334=CE$2,'Atividades Micro'!$G334="Micro",'Atividades Micro'!$K334&lt;&gt;""),'Atividades Micro'!$K334,"")</f>
        <v/>
      </c>
      <c r="CF282" s="21" t="str">
        <f>IF(AND('Atividades Micro'!$B334=CF$2,'Atividades Micro'!$G334="Micro",'Atividades Micro'!$K334&lt;&gt;""),'Atividades Micro'!$K334,"")</f>
        <v/>
      </c>
      <c r="CG282" s="21" t="str">
        <f>IF(AND('Atividades Micro'!$B334=CG$2,'Atividades Micro'!$G334="Micro",'Atividades Micro'!$K334&lt;&gt;""),'Atividades Micro'!$K334,"")</f>
        <v/>
      </c>
      <c r="CH282" s="21" t="str">
        <f>IF(AND('Atividades Micro'!$B334=CH$2,'Atividades Micro'!$G334="Micro",'Atividades Micro'!$K334&lt;&gt;""),'Atividades Micro'!$K334,"")</f>
        <v/>
      </c>
      <c r="CI282" s="21" t="str">
        <f>IF(AND('Atividades Micro'!$B334=CI$2,'Atividades Micro'!$G334="Micro",'Atividades Micro'!$K334&lt;&gt;""),'Atividades Micro'!$K334,"")</f>
        <v/>
      </c>
      <c r="CJ282" s="21" t="str">
        <f>IF(AND('Atividades Micro'!$B334=CJ$2,'Atividades Micro'!$G334="Micro",'Atividades Micro'!$K334&lt;&gt;""),'Atividades Micro'!$K334,"")</f>
        <v/>
      </c>
      <c r="CK282" s="21" t="str">
        <f>IF(AND('Atividades Micro'!$B334=CK$2,'Atividades Micro'!$G334="Micro",'Atividades Micro'!$K334&lt;&gt;""),'Atividades Micro'!$K334,"")</f>
        <v/>
      </c>
      <c r="CL282" s="21" t="str">
        <f>IF(AND('Atividades Micro'!$B334=CL$2,'Atividades Micro'!$G334="Micro",'Atividades Micro'!$K334&lt;&gt;""),'Atividades Micro'!$K334,"")</f>
        <v/>
      </c>
      <c r="CM282" s="21" t="str">
        <f>IF(AND('Atividades Micro'!$B334=CM$2,'Atividades Micro'!$G334="Micro",'Atividades Micro'!$K334&lt;&gt;""),'Atividades Micro'!$K334,"")</f>
        <v/>
      </c>
      <c r="CN282" s="21" t="str">
        <f>IF(AND('Atividades Micro'!$B334=CN$2,'Atividades Micro'!$G334="Micro",'Atividades Micro'!$K334&lt;&gt;""),'Atividades Micro'!$K334,"")</f>
        <v/>
      </c>
      <c r="CO282" s="21" t="str">
        <f>IF(AND('Atividades Micro'!$B334=CO$2,'Atividades Micro'!$G334="Micro",'Atividades Micro'!$K334&lt;&gt;""),'Atividades Micro'!$K334,"")</f>
        <v/>
      </c>
    </row>
    <row r="283" spans="1:93">
      <c r="A283" s="21" t="str">
        <f>IF(AND('Atividades Micro'!$A335=A$2,'Atividades Micro'!$K335&lt;&gt;""),'Atividades Micro'!$K335,"")</f>
        <v/>
      </c>
      <c r="B283" s="21" t="str">
        <f>IF(AND('Atividades Micro'!$A335=B$2,'Atividades Micro'!$L335&lt;&gt;""),'Atividades Micro'!$L335,"")</f>
        <v/>
      </c>
      <c r="C283" s="21" t="str">
        <f>IF(AND('Atividades Micro'!$A335=C$2,'Atividades Micro'!$K335&lt;&gt;""),'Atividades Micro'!$K335,"")</f>
        <v/>
      </c>
      <c r="D283" s="21" t="str">
        <f>IF(AND('Atividades Micro'!$A335=D$2,'Atividades Micro'!$L335&lt;&gt;""),'Atividades Micro'!$L335,"")</f>
        <v/>
      </c>
      <c r="E283" s="21">
        <f>IF(AND('Atividades Micro'!$A335=E$2,'Atividades Micro'!$K335&lt;&gt;""),'Atividades Micro'!$K335,"")</f>
        <v>46199</v>
      </c>
      <c r="F283" s="21" t="str">
        <f>IF(AND('Atividades Micro'!$A335=F$2,'Atividades Micro'!$L335&lt;&gt;""),'Atividades Micro'!$L335,"")</f>
        <v/>
      </c>
      <c r="G283" s="21" t="str">
        <f>IF(AND('Atividades Micro'!$A335=G$2,'Atividades Micro'!$K335&lt;&gt;""),'Atividades Micro'!$K335,"")</f>
        <v/>
      </c>
      <c r="H283" s="21" t="str">
        <f>IF(AND('Atividades Micro'!$A335=H$2,'Atividades Micro'!$L335&lt;&gt;""),'Atividades Micro'!$L335,"")</f>
        <v/>
      </c>
      <c r="I283" s="21" t="str">
        <f>IF(AND('Atividades Micro'!$A335=I$2,'Atividades Micro'!$K335&lt;&gt;""),'Atividades Micro'!$K335,"")</f>
        <v/>
      </c>
      <c r="J283" s="21" t="str">
        <f>IF(AND('Atividades Micro'!$A335=J$2,'Atividades Micro'!$L335&lt;&gt;""),'Atividades Micro'!$L335,"")</f>
        <v/>
      </c>
      <c r="K283" s="21" t="str">
        <f>IF(AND('Atividades Micro'!$B335=K$2,'Atividades Micro'!$K335&lt;&gt;""),'Atividades Micro'!$K335,"")</f>
        <v/>
      </c>
      <c r="L283" s="21" t="str">
        <f>IF(AND('Atividades Micro'!$B335=L$2,'Atividades Micro'!$L335&lt;&gt;""),'Atividades Micro'!$L335,"")</f>
        <v/>
      </c>
      <c r="M283" s="21" t="str">
        <f>IF(AND('Atividades Micro'!$B335=M$2,'Atividades Micro'!$K335&lt;&gt;""),'Atividades Micro'!$K335,"")</f>
        <v/>
      </c>
      <c r="N283" s="21" t="str">
        <f>IF(AND('Atividades Micro'!$B335=N$2,'Atividades Micro'!$L335&lt;&gt;""),'Atividades Micro'!$L335,"")</f>
        <v/>
      </c>
      <c r="O283" s="21" t="str">
        <f>IF(AND('Atividades Micro'!$A335=O$2,'Atividades Micro'!$K335&lt;&gt;""),'Atividades Micro'!$K335,"")</f>
        <v/>
      </c>
      <c r="P283" s="21" t="str">
        <f>IF(AND('Atividades Micro'!$A335=P$2,'Atividades Micro'!$L335&lt;&gt;""),'Atividades Micro'!$L335,"")</f>
        <v/>
      </c>
      <c r="Q283" s="21" t="str">
        <f>IF(AND('Atividades Micro'!$B335=Q$2,'Atividades Micro'!$K335&lt;&gt;""),'Atividades Micro'!$K335,"")</f>
        <v/>
      </c>
      <c r="R283" s="21" t="str">
        <f>IF(AND('Atividades Micro'!$B335=R$2,'Atividades Micro'!$L335&lt;&gt;""),'Atividades Micro'!$L335,"")</f>
        <v/>
      </c>
      <c r="S283" s="21" t="str">
        <f>IF(AND('Atividades Micro'!$A335=S$2,'Atividades Micro'!$K335&lt;&gt;""),'Atividades Micro'!$K335,"")</f>
        <v/>
      </c>
      <c r="T283" s="21" t="str">
        <f>IF(AND('Atividades Micro'!$A335=T$2,'Atividades Micro'!$L335&lt;&gt;""),'Atividades Micro'!$L335,"")</f>
        <v/>
      </c>
      <c r="U283" s="21" t="str">
        <f>IF(AND('Atividades Micro'!$B335=U$2,'Atividades Micro'!$K335&lt;&gt;""),'Atividades Micro'!$K335,"")</f>
        <v/>
      </c>
      <c r="V283" s="21" t="str">
        <f>IF(AND('Atividades Micro'!$B335=V$2,'Atividades Micro'!$L335&lt;&gt;""),'Atividades Micro'!$L335,"")</f>
        <v/>
      </c>
      <c r="W283" s="21" t="str">
        <f>IF(AND('Atividades Micro'!$B335=W$2,'Atividades Micro'!$K335&lt;&gt;""),'Atividades Micro'!$K335,"")</f>
        <v/>
      </c>
      <c r="X283" s="21" t="str">
        <f>IF(AND('Atividades Micro'!$B335=X$2,'Atividades Micro'!$L335&lt;&gt;""),'Atividades Micro'!$L335,"")</f>
        <v/>
      </c>
      <c r="Y283" s="21" t="str">
        <f>IF(AND('Atividades Micro'!$A335=Y$2,'Atividades Micro'!$K335&lt;&gt;""),'Atividades Micro'!$K335,"")</f>
        <v/>
      </c>
      <c r="Z283" s="21" t="str">
        <f>IF(AND('Atividades Micro'!$A335=Z$2,'Atividades Micro'!$L335&lt;&gt;""),'Atividades Micro'!$L335,"")</f>
        <v/>
      </c>
      <c r="AA283" s="21" t="str">
        <f>IF(AND('Atividades Micro'!$B335=AA$2,'Atividades Micro'!$K335&lt;&gt;""),'Atividades Micro'!$K335,"")</f>
        <v/>
      </c>
      <c r="AB283" s="21" t="str">
        <f>IF(AND('Atividades Micro'!$B335=AB$2,'Atividades Micro'!$L335&lt;&gt;""),'Atividades Micro'!$L335,"")</f>
        <v/>
      </c>
      <c r="AC283" s="21" t="str">
        <f>IF(AND('Atividades Micro'!$B335=AC$2,'Atividades Micro'!$K335&lt;&gt;""),'Atividades Micro'!$K335,"")</f>
        <v/>
      </c>
      <c r="AD283" s="21" t="str">
        <f>IF(AND('Atividades Micro'!$B335=AD$2,'Atividades Micro'!$L335&lt;&gt;""),'Atividades Micro'!$L335,"")</f>
        <v/>
      </c>
      <c r="AE283" s="21" t="str">
        <f>IF(AND('Atividades Micro'!$A335=AE$2,'Atividades Micro'!$K335&lt;&gt;""),'Atividades Micro'!$K335,"")</f>
        <v/>
      </c>
      <c r="AF283" s="21" t="str">
        <f>IF(AND('Atividades Micro'!$A335=AF$2,'Atividades Micro'!$L335&lt;&gt;""),'Atividades Micro'!$L335,"")</f>
        <v/>
      </c>
      <c r="AG283" s="21" t="str">
        <f>IF(AND('Atividades Micro'!$B335=AG$2,'Atividades Micro'!$K335&lt;&gt;""),'Atividades Micro'!$K335,"")</f>
        <v/>
      </c>
      <c r="AH283" s="21" t="str">
        <f>IF(AND('Atividades Micro'!$B335=AH$2,'Atividades Micro'!$L335&lt;&gt;""),'Atividades Micro'!$L335,"")</f>
        <v/>
      </c>
      <c r="AI283" s="21" t="str">
        <f>IF(AND('Atividades Micro'!$B335=AI$2,'Atividades Micro'!$K335&lt;&gt;""),'Atividades Micro'!$K335,"")</f>
        <v/>
      </c>
      <c r="AJ283" s="21" t="str">
        <f>IF(AND('Atividades Micro'!$B335=AJ$2,'Atividades Micro'!$L335&lt;&gt;""),'Atividades Micro'!$L335,"")</f>
        <v/>
      </c>
      <c r="AK283" s="21" t="str">
        <f>IF(AND('Atividades Micro'!$A335=AK$2,'Atividades Micro'!$K335&lt;&gt;""),'Atividades Micro'!$K335,"")</f>
        <v/>
      </c>
      <c r="AL283" s="21" t="str">
        <f>IF(AND('Atividades Micro'!$A335=AL$2,'Atividades Micro'!$L335&lt;&gt;""),'Atividades Micro'!$L335,"")</f>
        <v/>
      </c>
      <c r="AM283" s="21" t="str">
        <f>IF(AND('Atividades Micro'!$B335=AM$2,'Atividades Micro'!$K335&lt;&gt;""),'Atividades Micro'!$K335,"")</f>
        <v/>
      </c>
      <c r="AN283" s="21" t="str">
        <f>IF(AND('Atividades Micro'!$B335=AN$2,'Atividades Micro'!$L335&lt;&gt;""),'Atividades Micro'!$L335,"")</f>
        <v/>
      </c>
      <c r="AO283" s="21" t="str">
        <f>IF(AND('Atividades Micro'!$B335=AO$2,'Atividades Micro'!$K335&lt;&gt;""),'Atividades Micro'!$K335,"")</f>
        <v/>
      </c>
      <c r="AP283" s="21" t="str">
        <f>IF(AND('Atividades Micro'!$B335=AP$2,'Atividades Micro'!$L335&lt;&gt;""),'Atividades Micro'!$L335,"")</f>
        <v/>
      </c>
      <c r="AQ283" s="21" t="str">
        <f>IF(AND('Atividades Micro'!$A335=AQ$2,'Atividades Micro'!$K335&lt;&gt;""),'Atividades Micro'!$K335,"")</f>
        <v/>
      </c>
      <c r="AR283" s="21" t="str">
        <f>IF(AND('Atividades Micro'!$A335=AR$2,'Atividades Micro'!$L335&lt;&gt;""),'Atividades Micro'!$L335,"")</f>
        <v/>
      </c>
      <c r="AS283" s="21" t="str">
        <f>IF(AND('Atividades Micro'!$B335=AS$2,'Atividades Micro'!$K335&lt;&gt;""),'Atividades Micro'!$K335,"")</f>
        <v/>
      </c>
      <c r="AT283" s="21" t="str">
        <f>IF(AND('Atividades Micro'!$B335=AT$2,'Atividades Micro'!$L335&lt;&gt;""),'Atividades Micro'!$L335,"")</f>
        <v/>
      </c>
      <c r="AU283" s="21" t="str">
        <f>IF(AND('Atividades Micro'!$A335=AU$2,'Atividades Micro'!$K335&lt;&gt;""),'Atividades Micro'!$K335,"")</f>
        <v/>
      </c>
      <c r="AV283" s="21" t="str">
        <f>IF(AND('Atividades Micro'!$A335=AV$2,'Atividades Micro'!$L335&lt;&gt;""),'Atividades Micro'!$L335,"")</f>
        <v/>
      </c>
      <c r="AW283" s="21" t="str">
        <f>IF(AND('Atividades Micro'!$B335=AW$2,'Atividades Micro'!$K335&lt;&gt;""),'Atividades Micro'!$K335,"")</f>
        <v/>
      </c>
      <c r="AX283" s="21" t="str">
        <f>IF(AND('Atividades Micro'!$B335=AX$2,'Atividades Micro'!$L335&lt;&gt;""),'Atividades Micro'!$L335,"")</f>
        <v/>
      </c>
      <c r="AY283" s="21" t="str">
        <f>IF(AND('Atividades Micro'!$A335=AY$2,'Atividades Micro'!$K335&lt;&gt;""),'Atividades Micro'!$K335,"")</f>
        <v/>
      </c>
      <c r="AZ283" s="21" t="str">
        <f>IF(AND('Atividades Micro'!$A335=AZ$2,'Atividades Micro'!$L335&lt;&gt;""),'Atividades Micro'!$L335,"")</f>
        <v/>
      </c>
      <c r="BA283" s="21" t="str">
        <f>IF(AND('Atividades Micro'!$B335=BA$2,'Atividades Micro'!$K335&lt;&gt;""),'Atividades Micro'!$K335,"")</f>
        <v/>
      </c>
      <c r="BB283" s="21" t="str">
        <f>IF(AND('Atividades Micro'!$B335=BB$2,'Atividades Micro'!$L335&lt;&gt;""),'Atividades Micro'!$L335,"")</f>
        <v/>
      </c>
      <c r="BC283" s="21" t="str">
        <f>IF(AND('Atividades Micro'!$B335=BC$2,'Atividades Micro'!$G335="Macro",'Atividades Micro'!$K335&lt;&gt;""),'Atividades Micro'!$K335,"")</f>
        <v/>
      </c>
      <c r="BD283" s="21" t="str">
        <f>IF(AND('Atividades Micro'!$B335=BD$2,'Atividades Micro'!$G335="Macro",'Atividades Micro'!$K335&lt;&gt;""),'Atividades Micro'!$K335,"")</f>
        <v/>
      </c>
      <c r="BE283" s="21" t="str">
        <f>IF(AND('Atividades Micro'!$B335=BE$2,'Atividades Micro'!$G335="Macro",'Atividades Micro'!$K335&lt;&gt;""),'Atividades Micro'!$K335,"")</f>
        <v/>
      </c>
      <c r="BF283" s="21" t="str">
        <f>IF(AND('Atividades Micro'!$B335=BF$2,'Atividades Micro'!$G335="Macro",'Atividades Micro'!$K335&lt;&gt;""),'Atividades Micro'!$K335,"")</f>
        <v/>
      </c>
      <c r="BG283" s="21" t="str">
        <f>IF(AND('Atividades Micro'!$B335=BG$2,'Atividades Micro'!$G335="Macro",'Atividades Micro'!$K335&lt;&gt;""),'Atividades Micro'!$K335,"")</f>
        <v/>
      </c>
      <c r="BH283" s="21" t="str">
        <f>IF(AND('Atividades Micro'!$B335=BH$2,'Atividades Micro'!$G335="Macro",'Atividades Micro'!$K335&lt;&gt;""),'Atividades Micro'!$K335,"")</f>
        <v/>
      </c>
      <c r="BI283" s="21" t="str">
        <f>IF(AND('Atividades Micro'!$B335=BI$2,'Atividades Micro'!$G335="Macro",'Atividades Micro'!$K335&lt;&gt;""),'Atividades Micro'!$K335,"")</f>
        <v/>
      </c>
      <c r="BJ283" s="21" t="str">
        <f>IF(AND('Atividades Micro'!$B335=BJ$2,'Atividades Micro'!$G335="Macro",'Atividades Micro'!$K335&lt;&gt;""),'Atividades Micro'!$K335,"")</f>
        <v/>
      </c>
      <c r="BK283" s="21" t="str">
        <f>IF(AND('Atividades Micro'!$B335=BK$2,'Atividades Micro'!$G335="Macro",'Atividades Micro'!$K335&lt;&gt;""),'Atividades Micro'!$K335,"")</f>
        <v/>
      </c>
      <c r="BL283" s="21" t="str">
        <f>IF(AND('Atividades Micro'!$B335=BL$2,'Atividades Micro'!$G335="Macro",'Atividades Micro'!$K335&lt;&gt;""),'Atividades Micro'!$K335,"")</f>
        <v/>
      </c>
      <c r="BM283" s="21" t="str">
        <f>IF(AND('Atividades Micro'!$B335=BM$2,'Atividades Micro'!$G335="Macro",'Atividades Micro'!$K335&lt;&gt;""),'Atividades Micro'!$K335,"")</f>
        <v/>
      </c>
      <c r="BN283" s="21" t="str">
        <f>IF(AND('Atividades Micro'!$B335=BN$2,'Atividades Micro'!$G335="Macro",'Atividades Micro'!$K335&lt;&gt;""),'Atividades Micro'!$K335,"")</f>
        <v/>
      </c>
      <c r="BO283" s="21" t="str">
        <f>IF(AND('Atividades Micro'!$B335=BO$2,'Atividades Micro'!$G335="Macro",'Atividades Micro'!$K335&lt;&gt;""),'Atividades Micro'!$K335,"")</f>
        <v/>
      </c>
      <c r="BP283" s="21" t="str">
        <f>IF(AND('Atividades Micro'!$B335=BP$2,'Atividades Micro'!$G335="Macro",'Atividades Micro'!$K335&lt;&gt;""),'Atividades Micro'!$K335,"")</f>
        <v/>
      </c>
      <c r="BQ283" s="21" t="str">
        <f>IF(AND('Atividades Micro'!$B335=BQ$2,'Atividades Micro'!$G335="Macro",'Atividades Micro'!$K335&lt;&gt;""),'Atividades Micro'!$K335,"")</f>
        <v/>
      </c>
      <c r="BR283" s="21" t="str">
        <f>IF(AND('Atividades Micro'!$B335=BR$2,'Atividades Micro'!$G335="Macro",'Atividades Micro'!$K335&lt;&gt;""),'Atividades Micro'!$K335,"")</f>
        <v/>
      </c>
      <c r="BS283" s="21" t="str">
        <f>IF(AND('Atividades Micro'!$B335=BS$2,'Atividades Micro'!$G335="Macro",'Atividades Micro'!$K335&lt;&gt;""),'Atividades Micro'!$K335,"")</f>
        <v/>
      </c>
      <c r="BT283" s="21" t="str">
        <f>IF(AND('Atividades Micro'!$B335=BT$2,'Atividades Micro'!$G335="Macro",'Atividades Micro'!$K335&lt;&gt;""),'Atividades Micro'!$K335,"")</f>
        <v/>
      </c>
      <c r="BU283" s="21" t="str">
        <f>IF(AND('Atividades Micro'!$B335=BU$2,'Atividades Micro'!$G335="Macro",'Atividades Micro'!$K335&lt;&gt;""),'Atividades Micro'!$K335,"")</f>
        <v/>
      </c>
      <c r="BV283" s="21" t="str">
        <f>IF(AND('Atividades Micro'!$B335=BV$2,'Atividades Micro'!$G335="Macro",'Atividades Micro'!$K335&lt;&gt;""),'Atividades Micro'!$K335,"")</f>
        <v/>
      </c>
      <c r="BW283" s="21" t="str">
        <f>IF(AND('Atividades Micro'!$B335=BW$2,'Atividades Micro'!$G335="Macro",'Atividades Micro'!$K335&lt;&gt;""),'Atividades Micro'!$K335,"")</f>
        <v/>
      </c>
      <c r="BX283" s="21" t="str">
        <f>IF(AND('Atividades Micro'!$B335=BX$2,'Atividades Micro'!$G335="Macro",'Atividades Micro'!$K335&lt;&gt;""),'Atividades Micro'!$K335,"")</f>
        <v/>
      </c>
      <c r="BY283" s="21" t="str">
        <f>IF(AND('Atividades Micro'!$B335=BY$2,'Atividades Micro'!$G335="Macro",'Atividades Micro'!$K335&lt;&gt;""),'Atividades Micro'!$K335,"")</f>
        <v/>
      </c>
      <c r="BZ283" s="21" t="str">
        <f>IF(AND('Atividades Micro'!$B335=BZ$2,'Atividades Micro'!$G335="Macro",'Atividades Micro'!$K335&lt;&gt;""),'Atividades Micro'!$K335,"")</f>
        <v/>
      </c>
      <c r="CA283" s="21" t="str">
        <f>IF(AND('Atividades Micro'!$B335=CA$2,'Atividades Micro'!$G335="Macro",'Atividades Micro'!$K335&lt;&gt;""),'Atividades Micro'!$K335,"")</f>
        <v/>
      </c>
      <c r="CB283" s="21" t="str">
        <f>IF(AND('Atividades Micro'!$B335=CB$2,'Atividades Micro'!$G335="Macro",'Atividades Micro'!$K335&lt;&gt;""),'Atividades Micro'!$K335,"")</f>
        <v/>
      </c>
      <c r="CC283" s="21" t="str">
        <f>IF(AND('Atividades Micro'!$B335=CC$2,'Atividades Micro'!$G335="Macro",'Atividades Micro'!$K335&lt;&gt;""),'Atividades Micro'!$K335,"")</f>
        <v/>
      </c>
      <c r="CD283" s="21" t="str">
        <f>IF(AND('Atividades Micro'!$B335=CD$2,'Atividades Micro'!$G335="Micro",'Atividades Micro'!$K335&lt;&gt;""),'Atividades Micro'!$K335,"")</f>
        <v/>
      </c>
      <c r="CE283" s="21" t="str">
        <f>IF(AND('Atividades Micro'!$B335=CE$2,'Atividades Micro'!$G335="Micro",'Atividades Micro'!$K335&lt;&gt;""),'Atividades Micro'!$K335,"")</f>
        <v/>
      </c>
      <c r="CF283" s="21" t="str">
        <f>IF(AND('Atividades Micro'!$B335=CF$2,'Atividades Micro'!$G335="Micro",'Atividades Micro'!$K335&lt;&gt;""),'Atividades Micro'!$K335,"")</f>
        <v/>
      </c>
      <c r="CG283" s="21" t="str">
        <f>IF(AND('Atividades Micro'!$B335=CG$2,'Atividades Micro'!$G335="Micro",'Atividades Micro'!$K335&lt;&gt;""),'Atividades Micro'!$K335,"")</f>
        <v/>
      </c>
      <c r="CH283" s="21" t="str">
        <f>IF(AND('Atividades Micro'!$B335=CH$2,'Atividades Micro'!$G335="Micro",'Atividades Micro'!$K335&lt;&gt;""),'Atividades Micro'!$K335,"")</f>
        <v/>
      </c>
      <c r="CI283" s="21" t="str">
        <f>IF(AND('Atividades Micro'!$B335=CI$2,'Atividades Micro'!$G335="Micro",'Atividades Micro'!$K335&lt;&gt;""),'Atividades Micro'!$K335,"")</f>
        <v/>
      </c>
      <c r="CJ283" s="21" t="str">
        <f>IF(AND('Atividades Micro'!$B335=CJ$2,'Atividades Micro'!$G335="Micro",'Atividades Micro'!$K335&lt;&gt;""),'Atividades Micro'!$K335,"")</f>
        <v/>
      </c>
      <c r="CK283" s="21" t="str">
        <f>IF(AND('Atividades Micro'!$B335=CK$2,'Atividades Micro'!$G335="Micro",'Atividades Micro'!$K335&lt;&gt;""),'Atividades Micro'!$K335,"")</f>
        <v/>
      </c>
      <c r="CL283" s="21" t="str">
        <f>IF(AND('Atividades Micro'!$B335=CL$2,'Atividades Micro'!$G335="Micro",'Atividades Micro'!$K335&lt;&gt;""),'Atividades Micro'!$K335,"")</f>
        <v/>
      </c>
      <c r="CM283" s="21" t="str">
        <f>IF(AND('Atividades Micro'!$B335=CM$2,'Atividades Micro'!$G335="Micro",'Atividades Micro'!$K335&lt;&gt;""),'Atividades Micro'!$K335,"")</f>
        <v/>
      </c>
      <c r="CN283" s="21" t="str">
        <f>IF(AND('Atividades Micro'!$B335=CN$2,'Atividades Micro'!$G335="Micro",'Atividades Micro'!$K335&lt;&gt;""),'Atividades Micro'!$K335,"")</f>
        <v/>
      </c>
      <c r="CO283" s="21" t="str">
        <f>IF(AND('Atividades Micro'!$B335=CO$2,'Atividades Micro'!$G335="Micro",'Atividades Micro'!$K335&lt;&gt;""),'Atividades Micro'!$K335,"")</f>
        <v/>
      </c>
    </row>
    <row r="284" spans="1:93">
      <c r="A284" s="21" t="str">
        <f>IF(AND('Atividades Micro'!$A336=A$2,'Atividades Micro'!$K336&lt;&gt;""),'Atividades Micro'!$K336,"")</f>
        <v/>
      </c>
      <c r="B284" s="21" t="str">
        <f>IF(AND('Atividades Micro'!$A336=B$2,'Atividades Micro'!$L336&lt;&gt;""),'Atividades Micro'!$L336,"")</f>
        <v/>
      </c>
      <c r="C284" s="21" t="str">
        <f>IF(AND('Atividades Micro'!$A336=C$2,'Atividades Micro'!$K336&lt;&gt;""),'Atividades Micro'!$K336,"")</f>
        <v/>
      </c>
      <c r="D284" s="21" t="str">
        <f>IF(AND('Atividades Micro'!$A336=D$2,'Atividades Micro'!$L336&lt;&gt;""),'Atividades Micro'!$L336,"")</f>
        <v/>
      </c>
      <c r="E284" s="21">
        <f>IF(AND('Atividades Micro'!$A336=E$2,'Atividades Micro'!$K336&lt;&gt;""),'Atividades Micro'!$K336,"")</f>
        <v>46203</v>
      </c>
      <c r="F284" s="21" t="str">
        <f>IF(AND('Atividades Micro'!$A336=F$2,'Atividades Micro'!$L336&lt;&gt;""),'Atividades Micro'!$L336,"")</f>
        <v/>
      </c>
      <c r="G284" s="21" t="str">
        <f>IF(AND('Atividades Micro'!$A336=G$2,'Atividades Micro'!$K336&lt;&gt;""),'Atividades Micro'!$K336,"")</f>
        <v/>
      </c>
      <c r="H284" s="21" t="str">
        <f>IF(AND('Atividades Micro'!$A336=H$2,'Atividades Micro'!$L336&lt;&gt;""),'Atividades Micro'!$L336,"")</f>
        <v/>
      </c>
      <c r="I284" s="21" t="str">
        <f>IF(AND('Atividades Micro'!$A336=I$2,'Atividades Micro'!$K336&lt;&gt;""),'Atividades Micro'!$K336,"")</f>
        <v/>
      </c>
      <c r="J284" s="21" t="str">
        <f>IF(AND('Atividades Micro'!$A336=J$2,'Atividades Micro'!$L336&lt;&gt;""),'Atividades Micro'!$L336,"")</f>
        <v/>
      </c>
      <c r="K284" s="21" t="str">
        <f>IF(AND('Atividades Micro'!$B336=K$2,'Atividades Micro'!$K336&lt;&gt;""),'Atividades Micro'!$K336,"")</f>
        <v/>
      </c>
      <c r="L284" s="21" t="str">
        <f>IF(AND('Atividades Micro'!$B336=L$2,'Atividades Micro'!$L336&lt;&gt;""),'Atividades Micro'!$L336,"")</f>
        <v/>
      </c>
      <c r="M284" s="21" t="str">
        <f>IF(AND('Atividades Micro'!$B336=M$2,'Atividades Micro'!$K336&lt;&gt;""),'Atividades Micro'!$K336,"")</f>
        <v/>
      </c>
      <c r="N284" s="21" t="str">
        <f>IF(AND('Atividades Micro'!$B336=N$2,'Atividades Micro'!$L336&lt;&gt;""),'Atividades Micro'!$L336,"")</f>
        <v/>
      </c>
      <c r="O284" s="21" t="str">
        <f>IF(AND('Atividades Micro'!$A336=O$2,'Atividades Micro'!$K336&lt;&gt;""),'Atividades Micro'!$K336,"")</f>
        <v/>
      </c>
      <c r="P284" s="21" t="str">
        <f>IF(AND('Atividades Micro'!$A336=P$2,'Atividades Micro'!$L336&lt;&gt;""),'Atividades Micro'!$L336,"")</f>
        <v/>
      </c>
      <c r="Q284" s="21" t="str">
        <f>IF(AND('Atividades Micro'!$B336=Q$2,'Atividades Micro'!$K336&lt;&gt;""),'Atividades Micro'!$K336,"")</f>
        <v/>
      </c>
      <c r="R284" s="21" t="str">
        <f>IF(AND('Atividades Micro'!$B336=R$2,'Atividades Micro'!$L336&lt;&gt;""),'Atividades Micro'!$L336,"")</f>
        <v/>
      </c>
      <c r="S284" s="21" t="str">
        <f>IF(AND('Atividades Micro'!$A336=S$2,'Atividades Micro'!$K336&lt;&gt;""),'Atividades Micro'!$K336,"")</f>
        <v/>
      </c>
      <c r="T284" s="21" t="str">
        <f>IF(AND('Atividades Micro'!$A336=T$2,'Atividades Micro'!$L336&lt;&gt;""),'Atividades Micro'!$L336,"")</f>
        <v/>
      </c>
      <c r="U284" s="21" t="str">
        <f>IF(AND('Atividades Micro'!$B336=U$2,'Atividades Micro'!$K336&lt;&gt;""),'Atividades Micro'!$K336,"")</f>
        <v/>
      </c>
      <c r="V284" s="21" t="str">
        <f>IF(AND('Atividades Micro'!$B336=V$2,'Atividades Micro'!$L336&lt;&gt;""),'Atividades Micro'!$L336,"")</f>
        <v/>
      </c>
      <c r="W284" s="21" t="str">
        <f>IF(AND('Atividades Micro'!$B336=W$2,'Atividades Micro'!$K336&lt;&gt;""),'Atividades Micro'!$K336,"")</f>
        <v/>
      </c>
      <c r="X284" s="21" t="str">
        <f>IF(AND('Atividades Micro'!$B336=X$2,'Atividades Micro'!$L336&lt;&gt;""),'Atividades Micro'!$L336,"")</f>
        <v/>
      </c>
      <c r="Y284" s="21" t="str">
        <f>IF(AND('Atividades Micro'!$A336=Y$2,'Atividades Micro'!$K336&lt;&gt;""),'Atividades Micro'!$K336,"")</f>
        <v/>
      </c>
      <c r="Z284" s="21" t="str">
        <f>IF(AND('Atividades Micro'!$A336=Z$2,'Atividades Micro'!$L336&lt;&gt;""),'Atividades Micro'!$L336,"")</f>
        <v/>
      </c>
      <c r="AA284" s="21" t="str">
        <f>IF(AND('Atividades Micro'!$B336=AA$2,'Atividades Micro'!$K336&lt;&gt;""),'Atividades Micro'!$K336,"")</f>
        <v/>
      </c>
      <c r="AB284" s="21" t="str">
        <f>IF(AND('Atividades Micro'!$B336=AB$2,'Atividades Micro'!$L336&lt;&gt;""),'Atividades Micro'!$L336,"")</f>
        <v/>
      </c>
      <c r="AC284" s="21" t="str">
        <f>IF(AND('Atividades Micro'!$B336=AC$2,'Atividades Micro'!$K336&lt;&gt;""),'Atividades Micro'!$K336,"")</f>
        <v/>
      </c>
      <c r="AD284" s="21" t="str">
        <f>IF(AND('Atividades Micro'!$B336=AD$2,'Atividades Micro'!$L336&lt;&gt;""),'Atividades Micro'!$L336,"")</f>
        <v/>
      </c>
      <c r="AE284" s="21" t="str">
        <f>IF(AND('Atividades Micro'!$A336=AE$2,'Atividades Micro'!$K336&lt;&gt;""),'Atividades Micro'!$K336,"")</f>
        <v/>
      </c>
      <c r="AF284" s="21" t="str">
        <f>IF(AND('Atividades Micro'!$A336=AF$2,'Atividades Micro'!$L336&lt;&gt;""),'Atividades Micro'!$L336,"")</f>
        <v/>
      </c>
      <c r="AG284" s="21" t="str">
        <f>IF(AND('Atividades Micro'!$B336=AG$2,'Atividades Micro'!$K336&lt;&gt;""),'Atividades Micro'!$K336,"")</f>
        <v/>
      </c>
      <c r="AH284" s="21" t="str">
        <f>IF(AND('Atividades Micro'!$B336=AH$2,'Atividades Micro'!$L336&lt;&gt;""),'Atividades Micro'!$L336,"")</f>
        <v/>
      </c>
      <c r="AI284" s="21" t="str">
        <f>IF(AND('Atividades Micro'!$B336=AI$2,'Atividades Micro'!$K336&lt;&gt;""),'Atividades Micro'!$K336,"")</f>
        <v/>
      </c>
      <c r="AJ284" s="21" t="str">
        <f>IF(AND('Atividades Micro'!$B336=AJ$2,'Atividades Micro'!$L336&lt;&gt;""),'Atividades Micro'!$L336,"")</f>
        <v/>
      </c>
      <c r="AK284" s="21" t="str">
        <f>IF(AND('Atividades Micro'!$A336=AK$2,'Atividades Micro'!$K336&lt;&gt;""),'Atividades Micro'!$K336,"")</f>
        <v/>
      </c>
      <c r="AL284" s="21" t="str">
        <f>IF(AND('Atividades Micro'!$A336=AL$2,'Atividades Micro'!$L336&lt;&gt;""),'Atividades Micro'!$L336,"")</f>
        <v/>
      </c>
      <c r="AM284" s="21" t="str">
        <f>IF(AND('Atividades Micro'!$B336=AM$2,'Atividades Micro'!$K336&lt;&gt;""),'Atividades Micro'!$K336,"")</f>
        <v/>
      </c>
      <c r="AN284" s="21" t="str">
        <f>IF(AND('Atividades Micro'!$B336=AN$2,'Atividades Micro'!$L336&lt;&gt;""),'Atividades Micro'!$L336,"")</f>
        <v/>
      </c>
      <c r="AO284" s="21" t="str">
        <f>IF(AND('Atividades Micro'!$B336=AO$2,'Atividades Micro'!$K336&lt;&gt;""),'Atividades Micro'!$K336,"")</f>
        <v/>
      </c>
      <c r="AP284" s="21" t="str">
        <f>IF(AND('Atividades Micro'!$B336=AP$2,'Atividades Micro'!$L336&lt;&gt;""),'Atividades Micro'!$L336,"")</f>
        <v/>
      </c>
      <c r="AQ284" s="21" t="str">
        <f>IF(AND('Atividades Micro'!$A336=AQ$2,'Atividades Micro'!$K336&lt;&gt;""),'Atividades Micro'!$K336,"")</f>
        <v/>
      </c>
      <c r="AR284" s="21" t="str">
        <f>IF(AND('Atividades Micro'!$A336=AR$2,'Atividades Micro'!$L336&lt;&gt;""),'Atividades Micro'!$L336,"")</f>
        <v/>
      </c>
      <c r="AS284" s="21" t="str">
        <f>IF(AND('Atividades Micro'!$B336=AS$2,'Atividades Micro'!$K336&lt;&gt;""),'Atividades Micro'!$K336,"")</f>
        <v/>
      </c>
      <c r="AT284" s="21" t="str">
        <f>IF(AND('Atividades Micro'!$B336=AT$2,'Atividades Micro'!$L336&lt;&gt;""),'Atividades Micro'!$L336,"")</f>
        <v/>
      </c>
      <c r="AU284" s="21" t="str">
        <f>IF(AND('Atividades Micro'!$A336=AU$2,'Atividades Micro'!$K336&lt;&gt;""),'Atividades Micro'!$K336,"")</f>
        <v/>
      </c>
      <c r="AV284" s="21" t="str">
        <f>IF(AND('Atividades Micro'!$A336=AV$2,'Atividades Micro'!$L336&lt;&gt;""),'Atividades Micro'!$L336,"")</f>
        <v/>
      </c>
      <c r="AW284" s="21" t="str">
        <f>IF(AND('Atividades Micro'!$B336=AW$2,'Atividades Micro'!$K336&lt;&gt;""),'Atividades Micro'!$K336,"")</f>
        <v/>
      </c>
      <c r="AX284" s="21" t="str">
        <f>IF(AND('Atividades Micro'!$B336=AX$2,'Atividades Micro'!$L336&lt;&gt;""),'Atividades Micro'!$L336,"")</f>
        <v/>
      </c>
      <c r="AY284" s="21" t="str">
        <f>IF(AND('Atividades Micro'!$A336=AY$2,'Atividades Micro'!$K336&lt;&gt;""),'Atividades Micro'!$K336,"")</f>
        <v/>
      </c>
      <c r="AZ284" s="21" t="str">
        <f>IF(AND('Atividades Micro'!$A336=AZ$2,'Atividades Micro'!$L336&lt;&gt;""),'Atividades Micro'!$L336,"")</f>
        <v/>
      </c>
      <c r="BA284" s="21" t="str">
        <f>IF(AND('Atividades Micro'!$B336=BA$2,'Atividades Micro'!$K336&lt;&gt;""),'Atividades Micro'!$K336,"")</f>
        <v/>
      </c>
      <c r="BB284" s="21" t="str">
        <f>IF(AND('Atividades Micro'!$B336=BB$2,'Atividades Micro'!$L336&lt;&gt;""),'Atividades Micro'!$L336,"")</f>
        <v/>
      </c>
      <c r="BC284" s="21" t="str">
        <f>IF(AND('Atividades Micro'!$B336=BC$2,'Atividades Micro'!$G336="Macro",'Atividades Micro'!$K336&lt;&gt;""),'Atividades Micro'!$K336,"")</f>
        <v/>
      </c>
      <c r="BD284" s="21" t="str">
        <f>IF(AND('Atividades Micro'!$B336=BD$2,'Atividades Micro'!$G336="Macro",'Atividades Micro'!$K336&lt;&gt;""),'Atividades Micro'!$K336,"")</f>
        <v/>
      </c>
      <c r="BE284" s="21" t="str">
        <f>IF(AND('Atividades Micro'!$B336=BE$2,'Atividades Micro'!$G336="Macro",'Atividades Micro'!$K336&lt;&gt;""),'Atividades Micro'!$K336,"")</f>
        <v/>
      </c>
      <c r="BF284" s="21" t="str">
        <f>IF(AND('Atividades Micro'!$B336=BF$2,'Atividades Micro'!$G336="Macro",'Atividades Micro'!$K336&lt;&gt;""),'Atividades Micro'!$K336,"")</f>
        <v/>
      </c>
      <c r="BG284" s="21" t="str">
        <f>IF(AND('Atividades Micro'!$B336=BG$2,'Atividades Micro'!$G336="Macro",'Atividades Micro'!$K336&lt;&gt;""),'Atividades Micro'!$K336,"")</f>
        <v/>
      </c>
      <c r="BH284" s="21" t="str">
        <f>IF(AND('Atividades Micro'!$B336=BH$2,'Atividades Micro'!$G336="Macro",'Atividades Micro'!$K336&lt;&gt;""),'Atividades Micro'!$K336,"")</f>
        <v/>
      </c>
      <c r="BI284" s="21" t="str">
        <f>IF(AND('Atividades Micro'!$B336=BI$2,'Atividades Micro'!$G336="Macro",'Atividades Micro'!$K336&lt;&gt;""),'Atividades Micro'!$K336,"")</f>
        <v/>
      </c>
      <c r="BJ284" s="21" t="str">
        <f>IF(AND('Atividades Micro'!$B336=BJ$2,'Atividades Micro'!$G336="Macro",'Atividades Micro'!$K336&lt;&gt;""),'Atividades Micro'!$K336,"")</f>
        <v/>
      </c>
      <c r="BK284" s="21" t="str">
        <f>IF(AND('Atividades Micro'!$B336=BK$2,'Atividades Micro'!$G336="Macro",'Atividades Micro'!$K336&lt;&gt;""),'Atividades Micro'!$K336,"")</f>
        <v/>
      </c>
      <c r="BL284" s="21" t="str">
        <f>IF(AND('Atividades Micro'!$B336=BL$2,'Atividades Micro'!$G336="Macro",'Atividades Micro'!$K336&lt;&gt;""),'Atividades Micro'!$K336,"")</f>
        <v/>
      </c>
      <c r="BM284" s="21" t="str">
        <f>IF(AND('Atividades Micro'!$B336=BM$2,'Atividades Micro'!$G336="Macro",'Atividades Micro'!$K336&lt;&gt;""),'Atividades Micro'!$K336,"")</f>
        <v/>
      </c>
      <c r="BN284" s="21" t="str">
        <f>IF(AND('Atividades Micro'!$B336=BN$2,'Atividades Micro'!$G336="Macro",'Atividades Micro'!$K336&lt;&gt;""),'Atividades Micro'!$K336,"")</f>
        <v/>
      </c>
      <c r="BO284" s="21" t="str">
        <f>IF(AND('Atividades Micro'!$B336=BO$2,'Atividades Micro'!$G336="Macro",'Atividades Micro'!$K336&lt;&gt;""),'Atividades Micro'!$K336,"")</f>
        <v/>
      </c>
      <c r="BP284" s="21" t="str">
        <f>IF(AND('Atividades Micro'!$B336=BP$2,'Atividades Micro'!$G336="Macro",'Atividades Micro'!$K336&lt;&gt;""),'Atividades Micro'!$K336,"")</f>
        <v/>
      </c>
      <c r="BQ284" s="21" t="str">
        <f>IF(AND('Atividades Micro'!$B336=BQ$2,'Atividades Micro'!$G336="Macro",'Atividades Micro'!$K336&lt;&gt;""),'Atividades Micro'!$K336,"")</f>
        <v/>
      </c>
      <c r="BR284" s="21" t="str">
        <f>IF(AND('Atividades Micro'!$B336=BR$2,'Atividades Micro'!$G336="Macro",'Atividades Micro'!$K336&lt;&gt;""),'Atividades Micro'!$K336,"")</f>
        <v/>
      </c>
      <c r="BS284" s="21" t="str">
        <f>IF(AND('Atividades Micro'!$B336=BS$2,'Atividades Micro'!$G336="Macro",'Atividades Micro'!$K336&lt;&gt;""),'Atividades Micro'!$K336,"")</f>
        <v/>
      </c>
      <c r="BT284" s="21" t="str">
        <f>IF(AND('Atividades Micro'!$B336=BT$2,'Atividades Micro'!$G336="Macro",'Atividades Micro'!$K336&lt;&gt;""),'Atividades Micro'!$K336,"")</f>
        <v/>
      </c>
      <c r="BU284" s="21" t="str">
        <f>IF(AND('Atividades Micro'!$B336=BU$2,'Atividades Micro'!$G336="Macro",'Atividades Micro'!$K336&lt;&gt;""),'Atividades Micro'!$K336,"")</f>
        <v/>
      </c>
      <c r="BV284" s="21" t="str">
        <f>IF(AND('Atividades Micro'!$B336=BV$2,'Atividades Micro'!$G336="Macro",'Atividades Micro'!$K336&lt;&gt;""),'Atividades Micro'!$K336,"")</f>
        <v/>
      </c>
      <c r="BW284" s="21" t="str">
        <f>IF(AND('Atividades Micro'!$B336=BW$2,'Atividades Micro'!$G336="Macro",'Atividades Micro'!$K336&lt;&gt;""),'Atividades Micro'!$K336,"")</f>
        <v/>
      </c>
      <c r="BX284" s="21" t="str">
        <f>IF(AND('Atividades Micro'!$B336=BX$2,'Atividades Micro'!$G336="Macro",'Atividades Micro'!$K336&lt;&gt;""),'Atividades Micro'!$K336,"")</f>
        <v/>
      </c>
      <c r="BY284" s="21" t="str">
        <f>IF(AND('Atividades Micro'!$B336=BY$2,'Atividades Micro'!$G336="Macro",'Atividades Micro'!$K336&lt;&gt;""),'Atividades Micro'!$K336,"")</f>
        <v/>
      </c>
      <c r="BZ284" s="21" t="str">
        <f>IF(AND('Atividades Micro'!$B336=BZ$2,'Atividades Micro'!$G336="Macro",'Atividades Micro'!$K336&lt;&gt;""),'Atividades Micro'!$K336,"")</f>
        <v/>
      </c>
      <c r="CA284" s="21" t="str">
        <f>IF(AND('Atividades Micro'!$B336=CA$2,'Atividades Micro'!$G336="Macro",'Atividades Micro'!$K336&lt;&gt;""),'Atividades Micro'!$K336,"")</f>
        <v/>
      </c>
      <c r="CB284" s="21" t="str">
        <f>IF(AND('Atividades Micro'!$B336=CB$2,'Atividades Micro'!$G336="Macro",'Atividades Micro'!$K336&lt;&gt;""),'Atividades Micro'!$K336,"")</f>
        <v/>
      </c>
      <c r="CC284" s="21" t="str">
        <f>IF(AND('Atividades Micro'!$B336=CC$2,'Atividades Micro'!$G336="Macro",'Atividades Micro'!$K336&lt;&gt;""),'Atividades Micro'!$K336,"")</f>
        <v/>
      </c>
      <c r="CD284" s="21" t="str">
        <f>IF(AND('Atividades Micro'!$B336=CD$2,'Atividades Micro'!$G336="Micro",'Atividades Micro'!$K336&lt;&gt;""),'Atividades Micro'!$K336,"")</f>
        <v/>
      </c>
      <c r="CE284" s="21" t="str">
        <f>IF(AND('Atividades Micro'!$B336=CE$2,'Atividades Micro'!$G336="Micro",'Atividades Micro'!$K336&lt;&gt;""),'Atividades Micro'!$K336,"")</f>
        <v/>
      </c>
      <c r="CF284" s="21" t="str">
        <f>IF(AND('Atividades Micro'!$B336=CF$2,'Atividades Micro'!$G336="Micro",'Atividades Micro'!$K336&lt;&gt;""),'Atividades Micro'!$K336,"")</f>
        <v/>
      </c>
      <c r="CG284" s="21" t="str">
        <f>IF(AND('Atividades Micro'!$B336=CG$2,'Atividades Micro'!$G336="Micro",'Atividades Micro'!$K336&lt;&gt;""),'Atividades Micro'!$K336,"")</f>
        <v/>
      </c>
      <c r="CH284" s="21" t="str">
        <f>IF(AND('Atividades Micro'!$B336=CH$2,'Atividades Micro'!$G336="Micro",'Atividades Micro'!$K336&lt;&gt;""),'Atividades Micro'!$K336,"")</f>
        <v/>
      </c>
      <c r="CI284" s="21" t="str">
        <f>IF(AND('Atividades Micro'!$B336=CI$2,'Atividades Micro'!$G336="Micro",'Atividades Micro'!$K336&lt;&gt;""),'Atividades Micro'!$K336,"")</f>
        <v/>
      </c>
      <c r="CJ284" s="21" t="str">
        <f>IF(AND('Atividades Micro'!$B336=CJ$2,'Atividades Micro'!$G336="Micro",'Atividades Micro'!$K336&lt;&gt;""),'Atividades Micro'!$K336,"")</f>
        <v/>
      </c>
      <c r="CK284" s="21" t="str">
        <f>IF(AND('Atividades Micro'!$B336=CK$2,'Atividades Micro'!$G336="Micro",'Atividades Micro'!$K336&lt;&gt;""),'Atividades Micro'!$K336,"")</f>
        <v/>
      </c>
      <c r="CL284" s="21" t="str">
        <f>IF(AND('Atividades Micro'!$B336=CL$2,'Atividades Micro'!$G336="Micro",'Atividades Micro'!$K336&lt;&gt;""),'Atividades Micro'!$K336,"")</f>
        <v/>
      </c>
      <c r="CM284" s="21" t="str">
        <f>IF(AND('Atividades Micro'!$B336=CM$2,'Atividades Micro'!$G336="Micro",'Atividades Micro'!$K336&lt;&gt;""),'Atividades Micro'!$K336,"")</f>
        <v/>
      </c>
      <c r="CN284" s="21" t="str">
        <f>IF(AND('Atividades Micro'!$B336=CN$2,'Atividades Micro'!$G336="Micro",'Atividades Micro'!$K336&lt;&gt;""),'Atividades Micro'!$K336,"")</f>
        <v/>
      </c>
      <c r="CO284" s="21" t="str">
        <f>IF(AND('Atividades Micro'!$B336=CO$2,'Atividades Micro'!$G336="Micro",'Atividades Micro'!$K336&lt;&gt;""),'Atividades Micro'!$K336,"")</f>
        <v/>
      </c>
    </row>
    <row r="285" spans="1:93">
      <c r="A285" s="21" t="str">
        <f>IF(AND('Atividades Micro'!$A337=A$2,'Atividades Micro'!$K337&lt;&gt;""),'Atividades Micro'!$K337,"")</f>
        <v/>
      </c>
      <c r="B285" s="21" t="str">
        <f>IF(AND('Atividades Micro'!$A337=B$2,'Atividades Micro'!$L337&lt;&gt;""),'Atividades Micro'!$L337,"")</f>
        <v/>
      </c>
      <c r="C285" s="21" t="str">
        <f>IF(AND('Atividades Micro'!$A337=C$2,'Atividades Micro'!$K337&lt;&gt;""),'Atividades Micro'!$K337,"")</f>
        <v/>
      </c>
      <c r="D285" s="21" t="str">
        <f>IF(AND('Atividades Micro'!$A337=D$2,'Atividades Micro'!$L337&lt;&gt;""),'Atividades Micro'!$L337,"")</f>
        <v/>
      </c>
      <c r="E285" s="21">
        <f>IF(AND('Atividades Micro'!$A337=E$2,'Atividades Micro'!$K337&lt;&gt;""),'Atividades Micro'!$K337,"")</f>
        <v>46265</v>
      </c>
      <c r="F285" s="21">
        <f>IF(AND('Atividades Micro'!$A337=F$2,'Atividades Micro'!$L337&lt;&gt;""),'Atividades Micro'!$L337,"")</f>
        <v>46261</v>
      </c>
      <c r="G285" s="21" t="str">
        <f>IF(AND('Atividades Micro'!$A337=G$2,'Atividades Micro'!$K337&lt;&gt;""),'Atividades Micro'!$K337,"")</f>
        <v/>
      </c>
      <c r="H285" s="21" t="str">
        <f>IF(AND('Atividades Micro'!$A337=H$2,'Atividades Micro'!$L337&lt;&gt;""),'Atividades Micro'!$L337,"")</f>
        <v/>
      </c>
      <c r="I285" s="21" t="str">
        <f>IF(AND('Atividades Micro'!$A337=I$2,'Atividades Micro'!$K337&lt;&gt;""),'Atividades Micro'!$K337,"")</f>
        <v/>
      </c>
      <c r="J285" s="21" t="str">
        <f>IF(AND('Atividades Micro'!$A337=J$2,'Atividades Micro'!$L337&lt;&gt;""),'Atividades Micro'!$L337,"")</f>
        <v/>
      </c>
      <c r="K285" s="21" t="str">
        <f>IF(AND('Atividades Micro'!$B337=K$2,'Atividades Micro'!$K337&lt;&gt;""),'Atividades Micro'!$K337,"")</f>
        <v/>
      </c>
      <c r="L285" s="21" t="str">
        <f>IF(AND('Atividades Micro'!$B337=L$2,'Atividades Micro'!$L337&lt;&gt;""),'Atividades Micro'!$L337,"")</f>
        <v/>
      </c>
      <c r="M285" s="21" t="str">
        <f>IF(AND('Atividades Micro'!$B337=M$2,'Atividades Micro'!$K337&lt;&gt;""),'Atividades Micro'!$K337,"")</f>
        <v/>
      </c>
      <c r="N285" s="21" t="str">
        <f>IF(AND('Atividades Micro'!$B337=N$2,'Atividades Micro'!$L337&lt;&gt;""),'Atividades Micro'!$L337,"")</f>
        <v/>
      </c>
      <c r="O285" s="21" t="str">
        <f>IF(AND('Atividades Micro'!$A337=O$2,'Atividades Micro'!$K337&lt;&gt;""),'Atividades Micro'!$K337,"")</f>
        <v/>
      </c>
      <c r="P285" s="21" t="str">
        <f>IF(AND('Atividades Micro'!$A337=P$2,'Atividades Micro'!$L337&lt;&gt;""),'Atividades Micro'!$L337,"")</f>
        <v/>
      </c>
      <c r="Q285" s="21" t="str">
        <f>IF(AND('Atividades Micro'!$B337=Q$2,'Atividades Micro'!$K337&lt;&gt;""),'Atividades Micro'!$K337,"")</f>
        <v/>
      </c>
      <c r="R285" s="21" t="str">
        <f>IF(AND('Atividades Micro'!$B337=R$2,'Atividades Micro'!$L337&lt;&gt;""),'Atividades Micro'!$L337,"")</f>
        <v/>
      </c>
      <c r="S285" s="21" t="str">
        <f>IF(AND('Atividades Micro'!$A337=S$2,'Atividades Micro'!$K337&lt;&gt;""),'Atividades Micro'!$K337,"")</f>
        <v/>
      </c>
      <c r="T285" s="21" t="str">
        <f>IF(AND('Atividades Micro'!$A337=T$2,'Atividades Micro'!$L337&lt;&gt;""),'Atividades Micro'!$L337,"")</f>
        <v/>
      </c>
      <c r="U285" s="21" t="str">
        <f>IF(AND('Atividades Micro'!$B337=U$2,'Atividades Micro'!$K337&lt;&gt;""),'Atividades Micro'!$K337,"")</f>
        <v/>
      </c>
      <c r="V285" s="21" t="str">
        <f>IF(AND('Atividades Micro'!$B337=V$2,'Atividades Micro'!$L337&lt;&gt;""),'Atividades Micro'!$L337,"")</f>
        <v/>
      </c>
      <c r="W285" s="21" t="str">
        <f>IF(AND('Atividades Micro'!$B337=W$2,'Atividades Micro'!$K337&lt;&gt;""),'Atividades Micro'!$K337,"")</f>
        <v/>
      </c>
      <c r="X285" s="21" t="str">
        <f>IF(AND('Atividades Micro'!$B337=X$2,'Atividades Micro'!$L337&lt;&gt;""),'Atividades Micro'!$L337,"")</f>
        <v/>
      </c>
      <c r="Y285" s="21" t="str">
        <f>IF(AND('Atividades Micro'!$A337=Y$2,'Atividades Micro'!$K337&lt;&gt;""),'Atividades Micro'!$K337,"")</f>
        <v/>
      </c>
      <c r="Z285" s="21" t="str">
        <f>IF(AND('Atividades Micro'!$A337=Z$2,'Atividades Micro'!$L337&lt;&gt;""),'Atividades Micro'!$L337,"")</f>
        <v/>
      </c>
      <c r="AA285" s="21" t="str">
        <f>IF(AND('Atividades Micro'!$B337=AA$2,'Atividades Micro'!$K337&lt;&gt;""),'Atividades Micro'!$K337,"")</f>
        <v/>
      </c>
      <c r="AB285" s="21" t="str">
        <f>IF(AND('Atividades Micro'!$B337=AB$2,'Atividades Micro'!$L337&lt;&gt;""),'Atividades Micro'!$L337,"")</f>
        <v/>
      </c>
      <c r="AC285" s="21" t="str">
        <f>IF(AND('Atividades Micro'!$B337=AC$2,'Atividades Micro'!$K337&lt;&gt;""),'Atividades Micro'!$K337,"")</f>
        <v/>
      </c>
      <c r="AD285" s="21" t="str">
        <f>IF(AND('Atividades Micro'!$B337=AD$2,'Atividades Micro'!$L337&lt;&gt;""),'Atividades Micro'!$L337,"")</f>
        <v/>
      </c>
      <c r="AE285" s="21" t="str">
        <f>IF(AND('Atividades Micro'!$A337=AE$2,'Atividades Micro'!$K337&lt;&gt;""),'Atividades Micro'!$K337,"")</f>
        <v/>
      </c>
      <c r="AF285" s="21" t="str">
        <f>IF(AND('Atividades Micro'!$A337=AF$2,'Atividades Micro'!$L337&lt;&gt;""),'Atividades Micro'!$L337,"")</f>
        <v/>
      </c>
      <c r="AG285" s="21" t="str">
        <f>IF(AND('Atividades Micro'!$B337=AG$2,'Atividades Micro'!$K337&lt;&gt;""),'Atividades Micro'!$K337,"")</f>
        <v/>
      </c>
      <c r="AH285" s="21" t="str">
        <f>IF(AND('Atividades Micro'!$B337=AH$2,'Atividades Micro'!$L337&lt;&gt;""),'Atividades Micro'!$L337,"")</f>
        <v/>
      </c>
      <c r="AI285" s="21" t="str">
        <f>IF(AND('Atividades Micro'!$B337=AI$2,'Atividades Micro'!$K337&lt;&gt;""),'Atividades Micro'!$K337,"")</f>
        <v/>
      </c>
      <c r="AJ285" s="21" t="str">
        <f>IF(AND('Atividades Micro'!$B337=AJ$2,'Atividades Micro'!$L337&lt;&gt;""),'Atividades Micro'!$L337,"")</f>
        <v/>
      </c>
      <c r="AK285" s="21" t="str">
        <f>IF(AND('Atividades Micro'!$A337=AK$2,'Atividades Micro'!$K337&lt;&gt;""),'Atividades Micro'!$K337,"")</f>
        <v/>
      </c>
      <c r="AL285" s="21" t="str">
        <f>IF(AND('Atividades Micro'!$A337=AL$2,'Atividades Micro'!$L337&lt;&gt;""),'Atividades Micro'!$L337,"")</f>
        <v/>
      </c>
      <c r="AM285" s="21" t="str">
        <f>IF(AND('Atividades Micro'!$B337=AM$2,'Atividades Micro'!$K337&lt;&gt;""),'Atividades Micro'!$K337,"")</f>
        <v/>
      </c>
      <c r="AN285" s="21" t="str">
        <f>IF(AND('Atividades Micro'!$B337=AN$2,'Atividades Micro'!$L337&lt;&gt;""),'Atividades Micro'!$L337,"")</f>
        <v/>
      </c>
      <c r="AO285" s="21" t="str">
        <f>IF(AND('Atividades Micro'!$B337=AO$2,'Atividades Micro'!$K337&lt;&gt;""),'Atividades Micro'!$K337,"")</f>
        <v/>
      </c>
      <c r="AP285" s="21" t="str">
        <f>IF(AND('Atividades Micro'!$B337=AP$2,'Atividades Micro'!$L337&lt;&gt;""),'Atividades Micro'!$L337,"")</f>
        <v/>
      </c>
      <c r="AQ285" s="21" t="str">
        <f>IF(AND('Atividades Micro'!$A337=AQ$2,'Atividades Micro'!$K337&lt;&gt;""),'Atividades Micro'!$K337,"")</f>
        <v/>
      </c>
      <c r="AR285" s="21" t="str">
        <f>IF(AND('Atividades Micro'!$A337=AR$2,'Atividades Micro'!$L337&lt;&gt;""),'Atividades Micro'!$L337,"")</f>
        <v/>
      </c>
      <c r="AS285" s="21" t="str">
        <f>IF(AND('Atividades Micro'!$B337=AS$2,'Atividades Micro'!$K337&lt;&gt;""),'Atividades Micro'!$K337,"")</f>
        <v/>
      </c>
      <c r="AT285" s="21" t="str">
        <f>IF(AND('Atividades Micro'!$B337=AT$2,'Atividades Micro'!$L337&lt;&gt;""),'Atividades Micro'!$L337,"")</f>
        <v/>
      </c>
      <c r="AU285" s="21" t="str">
        <f>IF(AND('Atividades Micro'!$A337=AU$2,'Atividades Micro'!$K337&lt;&gt;""),'Atividades Micro'!$K337,"")</f>
        <v/>
      </c>
      <c r="AV285" s="21" t="str">
        <f>IF(AND('Atividades Micro'!$A337=AV$2,'Atividades Micro'!$L337&lt;&gt;""),'Atividades Micro'!$L337,"")</f>
        <v/>
      </c>
      <c r="AW285" s="21" t="str">
        <f>IF(AND('Atividades Micro'!$B337=AW$2,'Atividades Micro'!$K337&lt;&gt;""),'Atividades Micro'!$K337,"")</f>
        <v/>
      </c>
      <c r="AX285" s="21" t="str">
        <f>IF(AND('Atividades Micro'!$B337=AX$2,'Atividades Micro'!$L337&lt;&gt;""),'Atividades Micro'!$L337,"")</f>
        <v/>
      </c>
      <c r="AY285" s="21" t="str">
        <f>IF(AND('Atividades Micro'!$A337=AY$2,'Atividades Micro'!$K337&lt;&gt;""),'Atividades Micro'!$K337,"")</f>
        <v/>
      </c>
      <c r="AZ285" s="21" t="str">
        <f>IF(AND('Atividades Micro'!$A337=AZ$2,'Atividades Micro'!$L337&lt;&gt;""),'Atividades Micro'!$L337,"")</f>
        <v/>
      </c>
      <c r="BA285" s="21" t="str">
        <f>IF(AND('Atividades Micro'!$B337=BA$2,'Atividades Micro'!$K337&lt;&gt;""),'Atividades Micro'!$K337,"")</f>
        <v/>
      </c>
      <c r="BB285" s="21" t="str">
        <f>IF(AND('Atividades Micro'!$B337=BB$2,'Atividades Micro'!$L337&lt;&gt;""),'Atividades Micro'!$L337,"")</f>
        <v/>
      </c>
      <c r="BC285" s="21" t="str">
        <f>IF(AND('Atividades Micro'!$B337=BC$2,'Atividades Micro'!$G337="Macro",'Atividades Micro'!$K337&lt;&gt;""),'Atividades Micro'!$K337,"")</f>
        <v/>
      </c>
      <c r="BD285" s="21" t="str">
        <f>IF(AND('Atividades Micro'!$B337=BD$2,'Atividades Micro'!$G337="Macro",'Atividades Micro'!$K337&lt;&gt;""),'Atividades Micro'!$K337,"")</f>
        <v/>
      </c>
      <c r="BE285" s="21" t="str">
        <f>IF(AND('Atividades Micro'!$B337=BE$2,'Atividades Micro'!$G337="Macro",'Atividades Micro'!$K337&lt;&gt;""),'Atividades Micro'!$K337,"")</f>
        <v/>
      </c>
      <c r="BF285" s="21" t="str">
        <f>IF(AND('Atividades Micro'!$B337=BF$2,'Atividades Micro'!$G337="Macro",'Atividades Micro'!$K337&lt;&gt;""),'Atividades Micro'!$K337,"")</f>
        <v/>
      </c>
      <c r="BG285" s="21" t="str">
        <f>IF(AND('Atividades Micro'!$B337=BG$2,'Atividades Micro'!$G337="Macro",'Atividades Micro'!$K337&lt;&gt;""),'Atividades Micro'!$K337,"")</f>
        <v/>
      </c>
      <c r="BH285" s="21" t="str">
        <f>IF(AND('Atividades Micro'!$B337=BH$2,'Atividades Micro'!$G337="Macro",'Atividades Micro'!$K337&lt;&gt;""),'Atividades Micro'!$K337,"")</f>
        <v/>
      </c>
      <c r="BI285" s="21" t="str">
        <f>IF(AND('Atividades Micro'!$B337=BI$2,'Atividades Micro'!$G337="Macro",'Atividades Micro'!$K337&lt;&gt;""),'Atividades Micro'!$K337,"")</f>
        <v/>
      </c>
      <c r="BJ285" s="21" t="str">
        <f>IF(AND('Atividades Micro'!$B337=BJ$2,'Atividades Micro'!$G337="Macro",'Atividades Micro'!$K337&lt;&gt;""),'Atividades Micro'!$K337,"")</f>
        <v/>
      </c>
      <c r="BK285" s="21" t="str">
        <f>IF(AND('Atividades Micro'!$B337=BK$2,'Atividades Micro'!$G337="Macro",'Atividades Micro'!$K337&lt;&gt;""),'Atividades Micro'!$K337,"")</f>
        <v/>
      </c>
      <c r="BL285" s="21" t="str">
        <f>IF(AND('Atividades Micro'!$B337=BL$2,'Atividades Micro'!$G337="Macro",'Atividades Micro'!$K337&lt;&gt;""),'Atividades Micro'!$K337,"")</f>
        <v/>
      </c>
      <c r="BM285" s="21" t="str">
        <f>IF(AND('Atividades Micro'!$B337=BM$2,'Atividades Micro'!$G337="Macro",'Atividades Micro'!$K337&lt;&gt;""),'Atividades Micro'!$K337,"")</f>
        <v/>
      </c>
      <c r="BN285" s="21" t="str">
        <f>IF(AND('Atividades Micro'!$B337=BN$2,'Atividades Micro'!$G337="Macro",'Atividades Micro'!$K337&lt;&gt;""),'Atividades Micro'!$K337,"")</f>
        <v/>
      </c>
      <c r="BO285" s="21" t="str">
        <f>IF(AND('Atividades Micro'!$B337=BO$2,'Atividades Micro'!$G337="Macro",'Atividades Micro'!$K337&lt;&gt;""),'Atividades Micro'!$K337,"")</f>
        <v/>
      </c>
      <c r="BP285" s="21" t="str">
        <f>IF(AND('Atividades Micro'!$B337=BP$2,'Atividades Micro'!$G337="Macro",'Atividades Micro'!$K337&lt;&gt;""),'Atividades Micro'!$K337,"")</f>
        <v/>
      </c>
      <c r="BQ285" s="21" t="str">
        <f>IF(AND('Atividades Micro'!$B337=BQ$2,'Atividades Micro'!$G337="Macro",'Atividades Micro'!$K337&lt;&gt;""),'Atividades Micro'!$K337,"")</f>
        <v/>
      </c>
      <c r="BR285" s="21" t="str">
        <f>IF(AND('Atividades Micro'!$B337=BR$2,'Atividades Micro'!$G337="Macro",'Atividades Micro'!$K337&lt;&gt;""),'Atividades Micro'!$K337,"")</f>
        <v/>
      </c>
      <c r="BS285" s="21" t="str">
        <f>IF(AND('Atividades Micro'!$B337=BS$2,'Atividades Micro'!$G337="Macro",'Atividades Micro'!$K337&lt;&gt;""),'Atividades Micro'!$K337,"")</f>
        <v/>
      </c>
      <c r="BT285" s="21" t="str">
        <f>IF(AND('Atividades Micro'!$B337=BT$2,'Atividades Micro'!$G337="Macro",'Atividades Micro'!$K337&lt;&gt;""),'Atividades Micro'!$K337,"")</f>
        <v/>
      </c>
      <c r="BU285" s="21" t="str">
        <f>IF(AND('Atividades Micro'!$B337=BU$2,'Atividades Micro'!$G337="Macro",'Atividades Micro'!$K337&lt;&gt;""),'Atividades Micro'!$K337,"")</f>
        <v/>
      </c>
      <c r="BV285" s="21" t="str">
        <f>IF(AND('Atividades Micro'!$B337=BV$2,'Atividades Micro'!$G337="Macro",'Atividades Micro'!$K337&lt;&gt;""),'Atividades Micro'!$K337,"")</f>
        <v/>
      </c>
      <c r="BW285" s="21" t="str">
        <f>IF(AND('Atividades Micro'!$B337=BW$2,'Atividades Micro'!$G337="Macro",'Atividades Micro'!$K337&lt;&gt;""),'Atividades Micro'!$K337,"")</f>
        <v/>
      </c>
      <c r="BX285" s="21" t="str">
        <f>IF(AND('Atividades Micro'!$B337=BX$2,'Atividades Micro'!$G337="Macro",'Atividades Micro'!$K337&lt;&gt;""),'Atividades Micro'!$K337,"")</f>
        <v/>
      </c>
      <c r="BY285" s="21" t="str">
        <f>IF(AND('Atividades Micro'!$B337=BY$2,'Atividades Micro'!$G337="Macro",'Atividades Micro'!$K337&lt;&gt;""),'Atividades Micro'!$K337,"")</f>
        <v/>
      </c>
      <c r="BZ285" s="21" t="str">
        <f>IF(AND('Atividades Micro'!$B337=BZ$2,'Atividades Micro'!$G337="Macro",'Atividades Micro'!$K337&lt;&gt;""),'Atividades Micro'!$K337,"")</f>
        <v/>
      </c>
      <c r="CA285" s="21" t="str">
        <f>IF(AND('Atividades Micro'!$B337=CA$2,'Atividades Micro'!$G337="Macro",'Atividades Micro'!$K337&lt;&gt;""),'Atividades Micro'!$K337,"")</f>
        <v/>
      </c>
      <c r="CB285" s="21" t="str">
        <f>IF(AND('Atividades Micro'!$B337=CB$2,'Atividades Micro'!$G337="Macro",'Atividades Micro'!$K337&lt;&gt;""),'Atividades Micro'!$K337,"")</f>
        <v/>
      </c>
      <c r="CC285" s="21" t="str">
        <f>IF(AND('Atividades Micro'!$B337=CC$2,'Atividades Micro'!$G337="Macro",'Atividades Micro'!$K337&lt;&gt;""),'Atividades Micro'!$K337,"")</f>
        <v/>
      </c>
      <c r="CD285" s="21" t="str">
        <f>IF(AND('Atividades Micro'!$B337=CD$2,'Atividades Micro'!$G337="Micro",'Atividades Micro'!$K337&lt;&gt;""),'Atividades Micro'!$K337,"")</f>
        <v/>
      </c>
      <c r="CE285" s="21" t="str">
        <f>IF(AND('Atividades Micro'!$B337=CE$2,'Atividades Micro'!$G337="Micro",'Atividades Micro'!$K337&lt;&gt;""),'Atividades Micro'!$K337,"")</f>
        <v/>
      </c>
      <c r="CF285" s="21" t="str">
        <f>IF(AND('Atividades Micro'!$B337=CF$2,'Atividades Micro'!$G337="Micro",'Atividades Micro'!$K337&lt;&gt;""),'Atividades Micro'!$K337,"")</f>
        <v/>
      </c>
      <c r="CG285" s="21" t="str">
        <f>IF(AND('Atividades Micro'!$B337=CG$2,'Atividades Micro'!$G337="Micro",'Atividades Micro'!$K337&lt;&gt;""),'Atividades Micro'!$K337,"")</f>
        <v/>
      </c>
      <c r="CH285" s="21" t="str">
        <f>IF(AND('Atividades Micro'!$B337=CH$2,'Atividades Micro'!$G337="Micro",'Atividades Micro'!$K337&lt;&gt;""),'Atividades Micro'!$K337,"")</f>
        <v/>
      </c>
      <c r="CI285" s="21" t="str">
        <f>IF(AND('Atividades Micro'!$B337=CI$2,'Atividades Micro'!$G337="Micro",'Atividades Micro'!$K337&lt;&gt;""),'Atividades Micro'!$K337,"")</f>
        <v/>
      </c>
      <c r="CJ285" s="21" t="str">
        <f>IF(AND('Atividades Micro'!$B337=CJ$2,'Atividades Micro'!$G337="Micro",'Atividades Micro'!$K337&lt;&gt;""),'Atividades Micro'!$K337,"")</f>
        <v/>
      </c>
      <c r="CK285" s="21" t="str">
        <f>IF(AND('Atividades Micro'!$B337=CK$2,'Atividades Micro'!$G337="Micro",'Atividades Micro'!$K337&lt;&gt;""),'Atividades Micro'!$K337,"")</f>
        <v/>
      </c>
      <c r="CL285" s="21" t="str">
        <f>IF(AND('Atividades Micro'!$B337=CL$2,'Atividades Micro'!$G337="Micro",'Atividades Micro'!$K337&lt;&gt;""),'Atividades Micro'!$K337,"")</f>
        <v/>
      </c>
      <c r="CM285" s="21" t="str">
        <f>IF(AND('Atividades Micro'!$B337=CM$2,'Atividades Micro'!$G337="Micro",'Atividades Micro'!$K337&lt;&gt;""),'Atividades Micro'!$K337,"")</f>
        <v/>
      </c>
      <c r="CN285" s="21" t="str">
        <f>IF(AND('Atividades Micro'!$B337=CN$2,'Atividades Micro'!$G337="Micro",'Atividades Micro'!$K337&lt;&gt;""),'Atividades Micro'!$K337,"")</f>
        <v/>
      </c>
      <c r="CO285" s="21" t="str">
        <f>IF(AND('Atividades Micro'!$B337=CO$2,'Atividades Micro'!$G337="Micro",'Atividades Micro'!$K337&lt;&gt;""),'Atividades Micro'!$K337,"")</f>
        <v/>
      </c>
    </row>
    <row r="286" spans="1:93">
      <c r="A286" s="21" t="str">
        <f>IF(AND('Atividades Micro'!$A338=A$2,'Atividades Micro'!$K338&lt;&gt;""),'Atividades Micro'!$K338,"")</f>
        <v/>
      </c>
      <c r="B286" s="21" t="str">
        <f>IF(AND('Atividades Micro'!$A338=B$2,'Atividades Micro'!$L338&lt;&gt;""),'Atividades Micro'!$L338,"")</f>
        <v/>
      </c>
      <c r="C286" s="21" t="str">
        <f>IF(AND('Atividades Micro'!$A338=C$2,'Atividades Micro'!$K338&lt;&gt;""),'Atividades Micro'!$K338,"")</f>
        <v/>
      </c>
      <c r="D286" s="21" t="str">
        <f>IF(AND('Atividades Micro'!$A338=D$2,'Atividades Micro'!$L338&lt;&gt;""),'Atividades Micro'!$L338,"")</f>
        <v/>
      </c>
      <c r="E286" s="21">
        <f>IF(AND('Atividades Micro'!$A338=E$2,'Atividades Micro'!$K338&lt;&gt;""),'Atividades Micro'!$K338,"")</f>
        <v>46374</v>
      </c>
      <c r="F286" s="21" t="str">
        <f>IF(AND('Atividades Micro'!$A338=F$2,'Atividades Micro'!$L338&lt;&gt;""),'Atividades Micro'!$L338,"")</f>
        <v/>
      </c>
      <c r="G286" s="21" t="str">
        <f>IF(AND('Atividades Micro'!$A338=G$2,'Atividades Micro'!$K338&lt;&gt;""),'Atividades Micro'!$K338,"")</f>
        <v/>
      </c>
      <c r="H286" s="21" t="str">
        <f>IF(AND('Atividades Micro'!$A338=H$2,'Atividades Micro'!$L338&lt;&gt;""),'Atividades Micro'!$L338,"")</f>
        <v/>
      </c>
      <c r="I286" s="21" t="str">
        <f>IF(AND('Atividades Micro'!$A338=I$2,'Atividades Micro'!$K338&lt;&gt;""),'Atividades Micro'!$K338,"")</f>
        <v/>
      </c>
      <c r="J286" s="21" t="str">
        <f>IF(AND('Atividades Micro'!$A338=J$2,'Atividades Micro'!$L338&lt;&gt;""),'Atividades Micro'!$L338,"")</f>
        <v/>
      </c>
      <c r="K286" s="21" t="str">
        <f>IF(AND('Atividades Micro'!$B338=K$2,'Atividades Micro'!$K338&lt;&gt;""),'Atividades Micro'!$K338,"")</f>
        <v/>
      </c>
      <c r="L286" s="21" t="str">
        <f>IF(AND('Atividades Micro'!$B338=L$2,'Atividades Micro'!$L338&lt;&gt;""),'Atividades Micro'!$L338,"")</f>
        <v/>
      </c>
      <c r="M286" s="21" t="str">
        <f>IF(AND('Atividades Micro'!$B338=M$2,'Atividades Micro'!$K338&lt;&gt;""),'Atividades Micro'!$K338,"")</f>
        <v/>
      </c>
      <c r="N286" s="21" t="str">
        <f>IF(AND('Atividades Micro'!$B338=N$2,'Atividades Micro'!$L338&lt;&gt;""),'Atividades Micro'!$L338,"")</f>
        <v/>
      </c>
      <c r="O286" s="21" t="str">
        <f>IF(AND('Atividades Micro'!$A338=O$2,'Atividades Micro'!$K338&lt;&gt;""),'Atividades Micro'!$K338,"")</f>
        <v/>
      </c>
      <c r="P286" s="21" t="str">
        <f>IF(AND('Atividades Micro'!$A338=P$2,'Atividades Micro'!$L338&lt;&gt;""),'Atividades Micro'!$L338,"")</f>
        <v/>
      </c>
      <c r="Q286" s="21" t="str">
        <f>IF(AND('Atividades Micro'!$B338=Q$2,'Atividades Micro'!$K338&lt;&gt;""),'Atividades Micro'!$K338,"")</f>
        <v/>
      </c>
      <c r="R286" s="21" t="str">
        <f>IF(AND('Atividades Micro'!$B338=R$2,'Atividades Micro'!$L338&lt;&gt;""),'Atividades Micro'!$L338,"")</f>
        <v/>
      </c>
      <c r="S286" s="21" t="str">
        <f>IF(AND('Atividades Micro'!$A338=S$2,'Atividades Micro'!$K338&lt;&gt;""),'Atividades Micro'!$K338,"")</f>
        <v/>
      </c>
      <c r="T286" s="21" t="str">
        <f>IF(AND('Atividades Micro'!$A338=T$2,'Atividades Micro'!$L338&lt;&gt;""),'Atividades Micro'!$L338,"")</f>
        <v/>
      </c>
      <c r="U286" s="21" t="str">
        <f>IF(AND('Atividades Micro'!$B338=U$2,'Atividades Micro'!$K338&lt;&gt;""),'Atividades Micro'!$K338,"")</f>
        <v/>
      </c>
      <c r="V286" s="21" t="str">
        <f>IF(AND('Atividades Micro'!$B338=V$2,'Atividades Micro'!$L338&lt;&gt;""),'Atividades Micro'!$L338,"")</f>
        <v/>
      </c>
      <c r="W286" s="21" t="str">
        <f>IF(AND('Atividades Micro'!$B338=W$2,'Atividades Micro'!$K338&lt;&gt;""),'Atividades Micro'!$K338,"")</f>
        <v/>
      </c>
      <c r="X286" s="21" t="str">
        <f>IF(AND('Atividades Micro'!$B338=X$2,'Atividades Micro'!$L338&lt;&gt;""),'Atividades Micro'!$L338,"")</f>
        <v/>
      </c>
      <c r="Y286" s="21" t="str">
        <f>IF(AND('Atividades Micro'!$A338=Y$2,'Atividades Micro'!$K338&lt;&gt;""),'Atividades Micro'!$K338,"")</f>
        <v/>
      </c>
      <c r="Z286" s="21" t="str">
        <f>IF(AND('Atividades Micro'!$A338=Z$2,'Atividades Micro'!$L338&lt;&gt;""),'Atividades Micro'!$L338,"")</f>
        <v/>
      </c>
      <c r="AA286" s="21" t="str">
        <f>IF(AND('Atividades Micro'!$B338=AA$2,'Atividades Micro'!$K338&lt;&gt;""),'Atividades Micro'!$K338,"")</f>
        <v/>
      </c>
      <c r="AB286" s="21" t="str">
        <f>IF(AND('Atividades Micro'!$B338=AB$2,'Atividades Micro'!$L338&lt;&gt;""),'Atividades Micro'!$L338,"")</f>
        <v/>
      </c>
      <c r="AC286" s="21" t="str">
        <f>IF(AND('Atividades Micro'!$B338=AC$2,'Atividades Micro'!$K338&lt;&gt;""),'Atividades Micro'!$K338,"")</f>
        <v/>
      </c>
      <c r="AD286" s="21" t="str">
        <f>IF(AND('Atividades Micro'!$B338=AD$2,'Atividades Micro'!$L338&lt;&gt;""),'Atividades Micro'!$L338,"")</f>
        <v/>
      </c>
      <c r="AE286" s="21" t="str">
        <f>IF(AND('Atividades Micro'!$A338=AE$2,'Atividades Micro'!$K338&lt;&gt;""),'Atividades Micro'!$K338,"")</f>
        <v/>
      </c>
      <c r="AF286" s="21" t="str">
        <f>IF(AND('Atividades Micro'!$A338=AF$2,'Atividades Micro'!$L338&lt;&gt;""),'Atividades Micro'!$L338,"")</f>
        <v/>
      </c>
      <c r="AG286" s="21" t="str">
        <f>IF(AND('Atividades Micro'!$B338=AG$2,'Atividades Micro'!$K338&lt;&gt;""),'Atividades Micro'!$K338,"")</f>
        <v/>
      </c>
      <c r="AH286" s="21" t="str">
        <f>IF(AND('Atividades Micro'!$B338=AH$2,'Atividades Micro'!$L338&lt;&gt;""),'Atividades Micro'!$L338,"")</f>
        <v/>
      </c>
      <c r="AI286" s="21" t="str">
        <f>IF(AND('Atividades Micro'!$B338=AI$2,'Atividades Micro'!$K338&lt;&gt;""),'Atividades Micro'!$K338,"")</f>
        <v/>
      </c>
      <c r="AJ286" s="21" t="str">
        <f>IF(AND('Atividades Micro'!$B338=AJ$2,'Atividades Micro'!$L338&lt;&gt;""),'Atividades Micro'!$L338,"")</f>
        <v/>
      </c>
      <c r="AK286" s="21" t="str">
        <f>IF(AND('Atividades Micro'!$A338=AK$2,'Atividades Micro'!$K338&lt;&gt;""),'Atividades Micro'!$K338,"")</f>
        <v/>
      </c>
      <c r="AL286" s="21" t="str">
        <f>IF(AND('Atividades Micro'!$A338=AL$2,'Atividades Micro'!$L338&lt;&gt;""),'Atividades Micro'!$L338,"")</f>
        <v/>
      </c>
      <c r="AM286" s="21" t="str">
        <f>IF(AND('Atividades Micro'!$B338=AM$2,'Atividades Micro'!$K338&lt;&gt;""),'Atividades Micro'!$K338,"")</f>
        <v/>
      </c>
      <c r="AN286" s="21" t="str">
        <f>IF(AND('Atividades Micro'!$B338=AN$2,'Atividades Micro'!$L338&lt;&gt;""),'Atividades Micro'!$L338,"")</f>
        <v/>
      </c>
      <c r="AO286" s="21" t="str">
        <f>IF(AND('Atividades Micro'!$B338=AO$2,'Atividades Micro'!$K338&lt;&gt;""),'Atividades Micro'!$K338,"")</f>
        <v/>
      </c>
      <c r="AP286" s="21" t="str">
        <f>IF(AND('Atividades Micro'!$B338=AP$2,'Atividades Micro'!$L338&lt;&gt;""),'Atividades Micro'!$L338,"")</f>
        <v/>
      </c>
      <c r="AQ286" s="21" t="str">
        <f>IF(AND('Atividades Micro'!$A338=AQ$2,'Atividades Micro'!$K338&lt;&gt;""),'Atividades Micro'!$K338,"")</f>
        <v/>
      </c>
      <c r="AR286" s="21" t="str">
        <f>IF(AND('Atividades Micro'!$A338=AR$2,'Atividades Micro'!$L338&lt;&gt;""),'Atividades Micro'!$L338,"")</f>
        <v/>
      </c>
      <c r="AS286" s="21" t="str">
        <f>IF(AND('Atividades Micro'!$B338=AS$2,'Atividades Micro'!$K338&lt;&gt;""),'Atividades Micro'!$K338,"")</f>
        <v/>
      </c>
      <c r="AT286" s="21" t="str">
        <f>IF(AND('Atividades Micro'!$B338=AT$2,'Atividades Micro'!$L338&lt;&gt;""),'Atividades Micro'!$L338,"")</f>
        <v/>
      </c>
      <c r="AU286" s="21" t="str">
        <f>IF(AND('Atividades Micro'!$A338=AU$2,'Atividades Micro'!$K338&lt;&gt;""),'Atividades Micro'!$K338,"")</f>
        <v/>
      </c>
      <c r="AV286" s="21" t="str">
        <f>IF(AND('Atividades Micro'!$A338=AV$2,'Atividades Micro'!$L338&lt;&gt;""),'Atividades Micro'!$L338,"")</f>
        <v/>
      </c>
      <c r="AW286" s="21" t="str">
        <f>IF(AND('Atividades Micro'!$B338=AW$2,'Atividades Micro'!$K338&lt;&gt;""),'Atividades Micro'!$K338,"")</f>
        <v/>
      </c>
      <c r="AX286" s="21" t="str">
        <f>IF(AND('Atividades Micro'!$B338=AX$2,'Atividades Micro'!$L338&lt;&gt;""),'Atividades Micro'!$L338,"")</f>
        <v/>
      </c>
      <c r="AY286" s="21" t="str">
        <f>IF(AND('Atividades Micro'!$A338=AY$2,'Atividades Micro'!$K338&lt;&gt;""),'Atividades Micro'!$K338,"")</f>
        <v/>
      </c>
      <c r="AZ286" s="21" t="str">
        <f>IF(AND('Atividades Micro'!$A338=AZ$2,'Atividades Micro'!$L338&lt;&gt;""),'Atividades Micro'!$L338,"")</f>
        <v/>
      </c>
      <c r="BA286" s="21" t="str">
        <f>IF(AND('Atividades Micro'!$B338=BA$2,'Atividades Micro'!$K338&lt;&gt;""),'Atividades Micro'!$K338,"")</f>
        <v/>
      </c>
      <c r="BB286" s="21" t="str">
        <f>IF(AND('Atividades Micro'!$B338=BB$2,'Atividades Micro'!$L338&lt;&gt;""),'Atividades Micro'!$L338,"")</f>
        <v/>
      </c>
      <c r="BC286" s="21" t="str">
        <f>IF(AND('Atividades Micro'!$B338=BC$2,'Atividades Micro'!$G338="Macro",'Atividades Micro'!$K338&lt;&gt;""),'Atividades Micro'!$K338,"")</f>
        <v/>
      </c>
      <c r="BD286" s="21" t="str">
        <f>IF(AND('Atividades Micro'!$B338=BD$2,'Atividades Micro'!$G338="Macro",'Atividades Micro'!$K338&lt;&gt;""),'Atividades Micro'!$K338,"")</f>
        <v/>
      </c>
      <c r="BE286" s="21" t="str">
        <f>IF(AND('Atividades Micro'!$B338=BE$2,'Atividades Micro'!$G338="Macro",'Atividades Micro'!$K338&lt;&gt;""),'Atividades Micro'!$K338,"")</f>
        <v/>
      </c>
      <c r="BF286" s="21" t="str">
        <f>IF(AND('Atividades Micro'!$B338=BF$2,'Atividades Micro'!$G338="Macro",'Atividades Micro'!$K338&lt;&gt;""),'Atividades Micro'!$K338,"")</f>
        <v/>
      </c>
      <c r="BG286" s="21" t="str">
        <f>IF(AND('Atividades Micro'!$B338=BG$2,'Atividades Micro'!$G338="Macro",'Atividades Micro'!$K338&lt;&gt;""),'Atividades Micro'!$K338,"")</f>
        <v/>
      </c>
      <c r="BH286" s="21" t="str">
        <f>IF(AND('Atividades Micro'!$B338=BH$2,'Atividades Micro'!$G338="Macro",'Atividades Micro'!$K338&lt;&gt;""),'Atividades Micro'!$K338,"")</f>
        <v/>
      </c>
      <c r="BI286" s="21" t="str">
        <f>IF(AND('Atividades Micro'!$B338=BI$2,'Atividades Micro'!$G338="Macro",'Atividades Micro'!$K338&lt;&gt;""),'Atividades Micro'!$K338,"")</f>
        <v/>
      </c>
      <c r="BJ286" s="21" t="str">
        <f>IF(AND('Atividades Micro'!$B338=BJ$2,'Atividades Micro'!$G338="Macro",'Atividades Micro'!$K338&lt;&gt;""),'Atividades Micro'!$K338,"")</f>
        <v/>
      </c>
      <c r="BK286" s="21" t="str">
        <f>IF(AND('Atividades Micro'!$B338=BK$2,'Atividades Micro'!$G338="Macro",'Atividades Micro'!$K338&lt;&gt;""),'Atividades Micro'!$K338,"")</f>
        <v/>
      </c>
      <c r="BL286" s="21" t="str">
        <f>IF(AND('Atividades Micro'!$B338=BL$2,'Atividades Micro'!$G338="Macro",'Atividades Micro'!$K338&lt;&gt;""),'Atividades Micro'!$K338,"")</f>
        <v/>
      </c>
      <c r="BM286" s="21" t="str">
        <f>IF(AND('Atividades Micro'!$B338=BM$2,'Atividades Micro'!$G338="Macro",'Atividades Micro'!$K338&lt;&gt;""),'Atividades Micro'!$K338,"")</f>
        <v/>
      </c>
      <c r="BN286" s="21" t="str">
        <f>IF(AND('Atividades Micro'!$B338=BN$2,'Atividades Micro'!$G338="Macro",'Atividades Micro'!$K338&lt;&gt;""),'Atividades Micro'!$K338,"")</f>
        <v/>
      </c>
      <c r="BO286" s="21" t="str">
        <f>IF(AND('Atividades Micro'!$B338=BO$2,'Atividades Micro'!$G338="Macro",'Atividades Micro'!$K338&lt;&gt;""),'Atividades Micro'!$K338,"")</f>
        <v/>
      </c>
      <c r="BP286" s="21" t="str">
        <f>IF(AND('Atividades Micro'!$B338=BP$2,'Atividades Micro'!$G338="Macro",'Atividades Micro'!$K338&lt;&gt;""),'Atividades Micro'!$K338,"")</f>
        <v/>
      </c>
      <c r="BQ286" s="21" t="str">
        <f>IF(AND('Atividades Micro'!$B338=BQ$2,'Atividades Micro'!$G338="Macro",'Atividades Micro'!$K338&lt;&gt;""),'Atividades Micro'!$K338,"")</f>
        <v/>
      </c>
      <c r="BR286" s="21" t="str">
        <f>IF(AND('Atividades Micro'!$B338=BR$2,'Atividades Micro'!$G338="Macro",'Atividades Micro'!$K338&lt;&gt;""),'Atividades Micro'!$K338,"")</f>
        <v/>
      </c>
      <c r="BS286" s="21" t="str">
        <f>IF(AND('Atividades Micro'!$B338=BS$2,'Atividades Micro'!$G338="Macro",'Atividades Micro'!$K338&lt;&gt;""),'Atividades Micro'!$K338,"")</f>
        <v/>
      </c>
      <c r="BT286" s="21" t="str">
        <f>IF(AND('Atividades Micro'!$B338=BT$2,'Atividades Micro'!$G338="Macro",'Atividades Micro'!$K338&lt;&gt;""),'Atividades Micro'!$K338,"")</f>
        <v/>
      </c>
      <c r="BU286" s="21" t="str">
        <f>IF(AND('Atividades Micro'!$B338=BU$2,'Atividades Micro'!$G338="Macro",'Atividades Micro'!$K338&lt;&gt;""),'Atividades Micro'!$K338,"")</f>
        <v/>
      </c>
      <c r="BV286" s="21" t="str">
        <f>IF(AND('Atividades Micro'!$B338=BV$2,'Atividades Micro'!$G338="Macro",'Atividades Micro'!$K338&lt;&gt;""),'Atividades Micro'!$K338,"")</f>
        <v/>
      </c>
      <c r="BW286" s="21" t="str">
        <f>IF(AND('Atividades Micro'!$B338=BW$2,'Atividades Micro'!$G338="Macro",'Atividades Micro'!$K338&lt;&gt;""),'Atividades Micro'!$K338,"")</f>
        <v/>
      </c>
      <c r="BX286" s="21" t="str">
        <f>IF(AND('Atividades Micro'!$B338=BX$2,'Atividades Micro'!$G338="Macro",'Atividades Micro'!$K338&lt;&gt;""),'Atividades Micro'!$K338,"")</f>
        <v/>
      </c>
      <c r="BY286" s="21" t="str">
        <f>IF(AND('Atividades Micro'!$B338=BY$2,'Atividades Micro'!$G338="Macro",'Atividades Micro'!$K338&lt;&gt;""),'Atividades Micro'!$K338,"")</f>
        <v/>
      </c>
      <c r="BZ286" s="21" t="str">
        <f>IF(AND('Atividades Micro'!$B338=BZ$2,'Atividades Micro'!$G338="Macro",'Atividades Micro'!$K338&lt;&gt;""),'Atividades Micro'!$K338,"")</f>
        <v/>
      </c>
      <c r="CA286" s="21" t="str">
        <f>IF(AND('Atividades Micro'!$B338=CA$2,'Atividades Micro'!$G338="Macro",'Atividades Micro'!$K338&lt;&gt;""),'Atividades Micro'!$K338,"")</f>
        <v/>
      </c>
      <c r="CB286" s="21" t="str">
        <f>IF(AND('Atividades Micro'!$B338=CB$2,'Atividades Micro'!$G338="Macro",'Atividades Micro'!$K338&lt;&gt;""),'Atividades Micro'!$K338,"")</f>
        <v/>
      </c>
      <c r="CC286" s="21" t="str">
        <f>IF(AND('Atividades Micro'!$B338=CC$2,'Atividades Micro'!$G338="Macro",'Atividades Micro'!$K338&lt;&gt;""),'Atividades Micro'!$K338,"")</f>
        <v/>
      </c>
      <c r="CD286" s="21" t="str">
        <f>IF(AND('Atividades Micro'!$B338=CD$2,'Atividades Micro'!$G338="Micro",'Atividades Micro'!$K338&lt;&gt;""),'Atividades Micro'!$K338,"")</f>
        <v/>
      </c>
      <c r="CE286" s="21" t="str">
        <f>IF(AND('Atividades Micro'!$B338=CE$2,'Atividades Micro'!$G338="Micro",'Atividades Micro'!$K338&lt;&gt;""),'Atividades Micro'!$K338,"")</f>
        <v/>
      </c>
      <c r="CF286" s="21" t="str">
        <f>IF(AND('Atividades Micro'!$B338=CF$2,'Atividades Micro'!$G338="Micro",'Atividades Micro'!$K338&lt;&gt;""),'Atividades Micro'!$K338,"")</f>
        <v/>
      </c>
      <c r="CG286" s="21" t="str">
        <f>IF(AND('Atividades Micro'!$B338=CG$2,'Atividades Micro'!$G338="Micro",'Atividades Micro'!$K338&lt;&gt;""),'Atividades Micro'!$K338,"")</f>
        <v/>
      </c>
      <c r="CH286" s="21" t="str">
        <f>IF(AND('Atividades Micro'!$B338=CH$2,'Atividades Micro'!$G338="Micro",'Atividades Micro'!$K338&lt;&gt;""),'Atividades Micro'!$K338,"")</f>
        <v/>
      </c>
      <c r="CI286" s="21" t="str">
        <f>IF(AND('Atividades Micro'!$B338=CI$2,'Atividades Micro'!$G338="Micro",'Atividades Micro'!$K338&lt;&gt;""),'Atividades Micro'!$K338,"")</f>
        <v/>
      </c>
      <c r="CJ286" s="21" t="str">
        <f>IF(AND('Atividades Micro'!$B338=CJ$2,'Atividades Micro'!$G338="Micro",'Atividades Micro'!$K338&lt;&gt;""),'Atividades Micro'!$K338,"")</f>
        <v/>
      </c>
      <c r="CK286" s="21" t="str">
        <f>IF(AND('Atividades Micro'!$B338=CK$2,'Atividades Micro'!$G338="Micro",'Atividades Micro'!$K338&lt;&gt;""),'Atividades Micro'!$K338,"")</f>
        <v/>
      </c>
      <c r="CL286" s="21" t="str">
        <f>IF(AND('Atividades Micro'!$B338=CL$2,'Atividades Micro'!$G338="Micro",'Atividades Micro'!$K338&lt;&gt;""),'Atividades Micro'!$K338,"")</f>
        <v/>
      </c>
      <c r="CM286" s="21" t="str">
        <f>IF(AND('Atividades Micro'!$B338=CM$2,'Atividades Micro'!$G338="Micro",'Atividades Micro'!$K338&lt;&gt;""),'Atividades Micro'!$K338,"")</f>
        <v/>
      </c>
      <c r="CN286" s="21" t="str">
        <f>IF(AND('Atividades Micro'!$B338=CN$2,'Atividades Micro'!$G338="Micro",'Atividades Micro'!$K338&lt;&gt;""),'Atividades Micro'!$K338,"")</f>
        <v/>
      </c>
      <c r="CO286" s="21" t="str">
        <f>IF(AND('Atividades Micro'!$B338=CO$2,'Atividades Micro'!$G338="Micro",'Atividades Micro'!$K338&lt;&gt;""),'Atividades Micro'!$K338,"")</f>
        <v/>
      </c>
    </row>
    <row r="287" spans="1:93">
      <c r="A287" s="21" t="str">
        <f>IF(AND('Atividades Micro'!$A339=A$2,'Atividades Micro'!$K339&lt;&gt;""),'Atividades Micro'!$K339,"")</f>
        <v/>
      </c>
      <c r="B287" s="21" t="str">
        <f>IF(AND('Atividades Micro'!$A339=B$2,'Atividades Micro'!$L339&lt;&gt;""),'Atividades Micro'!$L339,"")</f>
        <v/>
      </c>
      <c r="C287" s="21" t="str">
        <f>IF(AND('Atividades Micro'!$A339=C$2,'Atividades Micro'!$K339&lt;&gt;""),'Atividades Micro'!$K339,"")</f>
        <v/>
      </c>
      <c r="D287" s="21" t="str">
        <f>IF(AND('Atividades Micro'!$A339=D$2,'Atividades Micro'!$L339&lt;&gt;""),'Atividades Micro'!$L339,"")</f>
        <v/>
      </c>
      <c r="E287" s="21">
        <f>IF(AND('Atividades Micro'!$A339=E$2,'Atividades Micro'!$K339&lt;&gt;""),'Atividades Micro'!$K339,"")</f>
        <v>46374</v>
      </c>
      <c r="F287" s="21" t="str">
        <f>IF(AND('Atividades Micro'!$A339=F$2,'Atividades Micro'!$L339&lt;&gt;""),'Atividades Micro'!$L339,"")</f>
        <v/>
      </c>
      <c r="G287" s="21" t="str">
        <f>IF(AND('Atividades Micro'!$A339=G$2,'Atividades Micro'!$K339&lt;&gt;""),'Atividades Micro'!$K339,"")</f>
        <v/>
      </c>
      <c r="H287" s="21" t="str">
        <f>IF(AND('Atividades Micro'!$A339=H$2,'Atividades Micro'!$L339&lt;&gt;""),'Atividades Micro'!$L339,"")</f>
        <v/>
      </c>
      <c r="I287" s="21" t="str">
        <f>IF(AND('Atividades Micro'!$A339=I$2,'Atividades Micro'!$K339&lt;&gt;""),'Atividades Micro'!$K339,"")</f>
        <v/>
      </c>
      <c r="J287" s="21" t="str">
        <f>IF(AND('Atividades Micro'!$A339=J$2,'Atividades Micro'!$L339&lt;&gt;""),'Atividades Micro'!$L339,"")</f>
        <v/>
      </c>
      <c r="K287" s="21" t="str">
        <f>IF(AND('Atividades Micro'!$B339=K$2,'Atividades Micro'!$K339&lt;&gt;""),'Atividades Micro'!$K339,"")</f>
        <v/>
      </c>
      <c r="L287" s="21" t="str">
        <f>IF(AND('Atividades Micro'!$B339=L$2,'Atividades Micro'!$L339&lt;&gt;""),'Atividades Micro'!$L339,"")</f>
        <v/>
      </c>
      <c r="M287" s="21" t="str">
        <f>IF(AND('Atividades Micro'!$B339=M$2,'Atividades Micro'!$K339&lt;&gt;""),'Atividades Micro'!$K339,"")</f>
        <v/>
      </c>
      <c r="N287" s="21" t="str">
        <f>IF(AND('Atividades Micro'!$B339=N$2,'Atividades Micro'!$L339&lt;&gt;""),'Atividades Micro'!$L339,"")</f>
        <v/>
      </c>
      <c r="O287" s="21" t="str">
        <f>IF(AND('Atividades Micro'!$A339=O$2,'Atividades Micro'!$K339&lt;&gt;""),'Atividades Micro'!$K339,"")</f>
        <v/>
      </c>
      <c r="P287" s="21" t="str">
        <f>IF(AND('Atividades Micro'!$A339=P$2,'Atividades Micro'!$L339&lt;&gt;""),'Atividades Micro'!$L339,"")</f>
        <v/>
      </c>
      <c r="Q287" s="21" t="str">
        <f>IF(AND('Atividades Micro'!$B339=Q$2,'Atividades Micro'!$K339&lt;&gt;""),'Atividades Micro'!$K339,"")</f>
        <v/>
      </c>
      <c r="R287" s="21" t="str">
        <f>IF(AND('Atividades Micro'!$B339=R$2,'Atividades Micro'!$L339&lt;&gt;""),'Atividades Micro'!$L339,"")</f>
        <v/>
      </c>
      <c r="S287" s="21" t="str">
        <f>IF(AND('Atividades Micro'!$A339=S$2,'Atividades Micro'!$K339&lt;&gt;""),'Atividades Micro'!$K339,"")</f>
        <v/>
      </c>
      <c r="T287" s="21" t="str">
        <f>IF(AND('Atividades Micro'!$A339=T$2,'Atividades Micro'!$L339&lt;&gt;""),'Atividades Micro'!$L339,"")</f>
        <v/>
      </c>
      <c r="U287" s="21" t="str">
        <f>IF(AND('Atividades Micro'!$B339=U$2,'Atividades Micro'!$K339&lt;&gt;""),'Atividades Micro'!$K339,"")</f>
        <v/>
      </c>
      <c r="V287" s="21" t="str">
        <f>IF(AND('Atividades Micro'!$B339=V$2,'Atividades Micro'!$L339&lt;&gt;""),'Atividades Micro'!$L339,"")</f>
        <v/>
      </c>
      <c r="W287" s="21" t="str">
        <f>IF(AND('Atividades Micro'!$B339=W$2,'Atividades Micro'!$K339&lt;&gt;""),'Atividades Micro'!$K339,"")</f>
        <v/>
      </c>
      <c r="X287" s="21" t="str">
        <f>IF(AND('Atividades Micro'!$B339=X$2,'Atividades Micro'!$L339&lt;&gt;""),'Atividades Micro'!$L339,"")</f>
        <v/>
      </c>
      <c r="Y287" s="21" t="str">
        <f>IF(AND('Atividades Micro'!$A339=Y$2,'Atividades Micro'!$K339&lt;&gt;""),'Atividades Micro'!$K339,"")</f>
        <v/>
      </c>
      <c r="Z287" s="21" t="str">
        <f>IF(AND('Atividades Micro'!$A339=Z$2,'Atividades Micro'!$L339&lt;&gt;""),'Atividades Micro'!$L339,"")</f>
        <v/>
      </c>
      <c r="AA287" s="21" t="str">
        <f>IF(AND('Atividades Micro'!$B339=AA$2,'Atividades Micro'!$K339&lt;&gt;""),'Atividades Micro'!$K339,"")</f>
        <v/>
      </c>
      <c r="AB287" s="21" t="str">
        <f>IF(AND('Atividades Micro'!$B339=AB$2,'Atividades Micro'!$L339&lt;&gt;""),'Atividades Micro'!$L339,"")</f>
        <v/>
      </c>
      <c r="AC287" s="21" t="str">
        <f>IF(AND('Atividades Micro'!$B339=AC$2,'Atividades Micro'!$K339&lt;&gt;""),'Atividades Micro'!$K339,"")</f>
        <v/>
      </c>
      <c r="AD287" s="21" t="str">
        <f>IF(AND('Atividades Micro'!$B339=AD$2,'Atividades Micro'!$L339&lt;&gt;""),'Atividades Micro'!$L339,"")</f>
        <v/>
      </c>
      <c r="AE287" s="21" t="str">
        <f>IF(AND('Atividades Micro'!$A339=AE$2,'Atividades Micro'!$K339&lt;&gt;""),'Atividades Micro'!$K339,"")</f>
        <v/>
      </c>
      <c r="AF287" s="21" t="str">
        <f>IF(AND('Atividades Micro'!$A339=AF$2,'Atividades Micro'!$L339&lt;&gt;""),'Atividades Micro'!$L339,"")</f>
        <v/>
      </c>
      <c r="AG287" s="21" t="str">
        <f>IF(AND('Atividades Micro'!$B339=AG$2,'Atividades Micro'!$K339&lt;&gt;""),'Atividades Micro'!$K339,"")</f>
        <v/>
      </c>
      <c r="AH287" s="21" t="str">
        <f>IF(AND('Atividades Micro'!$B339=AH$2,'Atividades Micro'!$L339&lt;&gt;""),'Atividades Micro'!$L339,"")</f>
        <v/>
      </c>
      <c r="AI287" s="21" t="str">
        <f>IF(AND('Atividades Micro'!$B339=AI$2,'Atividades Micro'!$K339&lt;&gt;""),'Atividades Micro'!$K339,"")</f>
        <v/>
      </c>
      <c r="AJ287" s="21" t="str">
        <f>IF(AND('Atividades Micro'!$B339=AJ$2,'Atividades Micro'!$L339&lt;&gt;""),'Atividades Micro'!$L339,"")</f>
        <v/>
      </c>
      <c r="AK287" s="21" t="str">
        <f>IF(AND('Atividades Micro'!$A339=AK$2,'Atividades Micro'!$K339&lt;&gt;""),'Atividades Micro'!$K339,"")</f>
        <v/>
      </c>
      <c r="AL287" s="21" t="str">
        <f>IF(AND('Atividades Micro'!$A339=AL$2,'Atividades Micro'!$L339&lt;&gt;""),'Atividades Micro'!$L339,"")</f>
        <v/>
      </c>
      <c r="AM287" s="21" t="str">
        <f>IF(AND('Atividades Micro'!$B339=AM$2,'Atividades Micro'!$K339&lt;&gt;""),'Atividades Micro'!$K339,"")</f>
        <v/>
      </c>
      <c r="AN287" s="21" t="str">
        <f>IF(AND('Atividades Micro'!$B339=AN$2,'Atividades Micro'!$L339&lt;&gt;""),'Atividades Micro'!$L339,"")</f>
        <v/>
      </c>
      <c r="AO287" s="21" t="str">
        <f>IF(AND('Atividades Micro'!$B339=AO$2,'Atividades Micro'!$K339&lt;&gt;""),'Atividades Micro'!$K339,"")</f>
        <v/>
      </c>
      <c r="AP287" s="21" t="str">
        <f>IF(AND('Atividades Micro'!$B339=AP$2,'Atividades Micro'!$L339&lt;&gt;""),'Atividades Micro'!$L339,"")</f>
        <v/>
      </c>
      <c r="AQ287" s="21" t="str">
        <f>IF(AND('Atividades Micro'!$A339=AQ$2,'Atividades Micro'!$K339&lt;&gt;""),'Atividades Micro'!$K339,"")</f>
        <v/>
      </c>
      <c r="AR287" s="21" t="str">
        <f>IF(AND('Atividades Micro'!$A339=AR$2,'Atividades Micro'!$L339&lt;&gt;""),'Atividades Micro'!$L339,"")</f>
        <v/>
      </c>
      <c r="AS287" s="21" t="str">
        <f>IF(AND('Atividades Micro'!$B339=AS$2,'Atividades Micro'!$K339&lt;&gt;""),'Atividades Micro'!$K339,"")</f>
        <v/>
      </c>
      <c r="AT287" s="21" t="str">
        <f>IF(AND('Atividades Micro'!$B339=AT$2,'Atividades Micro'!$L339&lt;&gt;""),'Atividades Micro'!$L339,"")</f>
        <v/>
      </c>
      <c r="AU287" s="21" t="str">
        <f>IF(AND('Atividades Micro'!$A339=AU$2,'Atividades Micro'!$K339&lt;&gt;""),'Atividades Micro'!$K339,"")</f>
        <v/>
      </c>
      <c r="AV287" s="21" t="str">
        <f>IF(AND('Atividades Micro'!$A339=AV$2,'Atividades Micro'!$L339&lt;&gt;""),'Atividades Micro'!$L339,"")</f>
        <v/>
      </c>
      <c r="AW287" s="21" t="str">
        <f>IF(AND('Atividades Micro'!$B339=AW$2,'Atividades Micro'!$K339&lt;&gt;""),'Atividades Micro'!$K339,"")</f>
        <v/>
      </c>
      <c r="AX287" s="21" t="str">
        <f>IF(AND('Atividades Micro'!$B339=AX$2,'Atividades Micro'!$L339&lt;&gt;""),'Atividades Micro'!$L339,"")</f>
        <v/>
      </c>
      <c r="AY287" s="21" t="str">
        <f>IF(AND('Atividades Micro'!$A339=AY$2,'Atividades Micro'!$K339&lt;&gt;""),'Atividades Micro'!$K339,"")</f>
        <v/>
      </c>
      <c r="AZ287" s="21" t="str">
        <f>IF(AND('Atividades Micro'!$A339=AZ$2,'Atividades Micro'!$L339&lt;&gt;""),'Atividades Micro'!$L339,"")</f>
        <v/>
      </c>
      <c r="BA287" s="21" t="str">
        <f>IF(AND('Atividades Micro'!$B339=BA$2,'Atividades Micro'!$K339&lt;&gt;""),'Atividades Micro'!$K339,"")</f>
        <v/>
      </c>
      <c r="BB287" s="21" t="str">
        <f>IF(AND('Atividades Micro'!$B339=BB$2,'Atividades Micro'!$L339&lt;&gt;""),'Atividades Micro'!$L339,"")</f>
        <v/>
      </c>
      <c r="BC287" s="21" t="str">
        <f>IF(AND('Atividades Micro'!$B339=BC$2,'Atividades Micro'!$G339="Macro",'Atividades Micro'!$K339&lt;&gt;""),'Atividades Micro'!$K339,"")</f>
        <v/>
      </c>
      <c r="BD287" s="21" t="str">
        <f>IF(AND('Atividades Micro'!$B339=BD$2,'Atividades Micro'!$G339="Macro",'Atividades Micro'!$K339&lt;&gt;""),'Atividades Micro'!$K339,"")</f>
        <v/>
      </c>
      <c r="BE287" s="21" t="str">
        <f>IF(AND('Atividades Micro'!$B339=BE$2,'Atividades Micro'!$G339="Macro",'Atividades Micro'!$K339&lt;&gt;""),'Atividades Micro'!$K339,"")</f>
        <v/>
      </c>
      <c r="BF287" s="21" t="str">
        <f>IF(AND('Atividades Micro'!$B339=BF$2,'Atividades Micro'!$G339="Macro",'Atividades Micro'!$K339&lt;&gt;""),'Atividades Micro'!$K339,"")</f>
        <v/>
      </c>
      <c r="BG287" s="21" t="str">
        <f>IF(AND('Atividades Micro'!$B339=BG$2,'Atividades Micro'!$G339="Macro",'Atividades Micro'!$K339&lt;&gt;""),'Atividades Micro'!$K339,"")</f>
        <v/>
      </c>
      <c r="BH287" s="21" t="str">
        <f>IF(AND('Atividades Micro'!$B339=BH$2,'Atividades Micro'!$G339="Macro",'Atividades Micro'!$K339&lt;&gt;""),'Atividades Micro'!$K339,"")</f>
        <v/>
      </c>
      <c r="BI287" s="21" t="str">
        <f>IF(AND('Atividades Micro'!$B339=BI$2,'Atividades Micro'!$G339="Macro",'Atividades Micro'!$K339&lt;&gt;""),'Atividades Micro'!$K339,"")</f>
        <v/>
      </c>
      <c r="BJ287" s="21" t="str">
        <f>IF(AND('Atividades Micro'!$B339=BJ$2,'Atividades Micro'!$G339="Macro",'Atividades Micro'!$K339&lt;&gt;""),'Atividades Micro'!$K339,"")</f>
        <v/>
      </c>
      <c r="BK287" s="21" t="str">
        <f>IF(AND('Atividades Micro'!$B339=BK$2,'Atividades Micro'!$G339="Macro",'Atividades Micro'!$K339&lt;&gt;""),'Atividades Micro'!$K339,"")</f>
        <v/>
      </c>
      <c r="BL287" s="21" t="str">
        <f>IF(AND('Atividades Micro'!$B339=BL$2,'Atividades Micro'!$G339="Macro",'Atividades Micro'!$K339&lt;&gt;""),'Atividades Micro'!$K339,"")</f>
        <v/>
      </c>
      <c r="BM287" s="21" t="str">
        <f>IF(AND('Atividades Micro'!$B339=BM$2,'Atividades Micro'!$G339="Macro",'Atividades Micro'!$K339&lt;&gt;""),'Atividades Micro'!$K339,"")</f>
        <v/>
      </c>
      <c r="BN287" s="21" t="str">
        <f>IF(AND('Atividades Micro'!$B339=BN$2,'Atividades Micro'!$G339="Macro",'Atividades Micro'!$K339&lt;&gt;""),'Atividades Micro'!$K339,"")</f>
        <v/>
      </c>
      <c r="BO287" s="21" t="str">
        <f>IF(AND('Atividades Micro'!$B339=BO$2,'Atividades Micro'!$G339="Macro",'Atividades Micro'!$K339&lt;&gt;""),'Atividades Micro'!$K339,"")</f>
        <v/>
      </c>
      <c r="BP287" s="21" t="str">
        <f>IF(AND('Atividades Micro'!$B339=BP$2,'Atividades Micro'!$G339="Macro",'Atividades Micro'!$K339&lt;&gt;""),'Atividades Micro'!$K339,"")</f>
        <v/>
      </c>
      <c r="BQ287" s="21" t="str">
        <f>IF(AND('Atividades Micro'!$B339=BQ$2,'Atividades Micro'!$G339="Macro",'Atividades Micro'!$K339&lt;&gt;""),'Atividades Micro'!$K339,"")</f>
        <v/>
      </c>
      <c r="BR287" s="21" t="str">
        <f>IF(AND('Atividades Micro'!$B339=BR$2,'Atividades Micro'!$G339="Macro",'Atividades Micro'!$K339&lt;&gt;""),'Atividades Micro'!$K339,"")</f>
        <v/>
      </c>
      <c r="BS287" s="21" t="str">
        <f>IF(AND('Atividades Micro'!$B339=BS$2,'Atividades Micro'!$G339="Macro",'Atividades Micro'!$K339&lt;&gt;""),'Atividades Micro'!$K339,"")</f>
        <v/>
      </c>
      <c r="BT287" s="21" t="str">
        <f>IF(AND('Atividades Micro'!$B339=BT$2,'Atividades Micro'!$G339="Macro",'Atividades Micro'!$K339&lt;&gt;""),'Atividades Micro'!$K339,"")</f>
        <v/>
      </c>
      <c r="BU287" s="21" t="str">
        <f>IF(AND('Atividades Micro'!$B339=BU$2,'Atividades Micro'!$G339="Macro",'Atividades Micro'!$K339&lt;&gt;""),'Atividades Micro'!$K339,"")</f>
        <v/>
      </c>
      <c r="BV287" s="21" t="str">
        <f>IF(AND('Atividades Micro'!$B339=BV$2,'Atividades Micro'!$G339="Macro",'Atividades Micro'!$K339&lt;&gt;""),'Atividades Micro'!$K339,"")</f>
        <v/>
      </c>
      <c r="BW287" s="21" t="str">
        <f>IF(AND('Atividades Micro'!$B339=BW$2,'Atividades Micro'!$G339="Macro",'Atividades Micro'!$K339&lt;&gt;""),'Atividades Micro'!$K339,"")</f>
        <v/>
      </c>
      <c r="BX287" s="21" t="str">
        <f>IF(AND('Atividades Micro'!$B339=BX$2,'Atividades Micro'!$G339="Macro",'Atividades Micro'!$K339&lt;&gt;""),'Atividades Micro'!$K339,"")</f>
        <v/>
      </c>
      <c r="BY287" s="21" t="str">
        <f>IF(AND('Atividades Micro'!$B339=BY$2,'Atividades Micro'!$G339="Macro",'Atividades Micro'!$K339&lt;&gt;""),'Atividades Micro'!$K339,"")</f>
        <v/>
      </c>
      <c r="BZ287" s="21" t="str">
        <f>IF(AND('Atividades Micro'!$B339=BZ$2,'Atividades Micro'!$G339="Macro",'Atividades Micro'!$K339&lt;&gt;""),'Atividades Micro'!$K339,"")</f>
        <v/>
      </c>
      <c r="CA287" s="21" t="str">
        <f>IF(AND('Atividades Micro'!$B339=CA$2,'Atividades Micro'!$G339="Macro",'Atividades Micro'!$K339&lt;&gt;""),'Atividades Micro'!$K339,"")</f>
        <v/>
      </c>
      <c r="CB287" s="21" t="str">
        <f>IF(AND('Atividades Micro'!$B339=CB$2,'Atividades Micro'!$G339="Macro",'Atividades Micro'!$K339&lt;&gt;""),'Atividades Micro'!$K339,"")</f>
        <v/>
      </c>
      <c r="CC287" s="21" t="str">
        <f>IF(AND('Atividades Micro'!$B339=CC$2,'Atividades Micro'!$G339="Macro",'Atividades Micro'!$K339&lt;&gt;""),'Atividades Micro'!$K339,"")</f>
        <v/>
      </c>
      <c r="CD287" s="21" t="str">
        <f>IF(AND('Atividades Micro'!$B339=CD$2,'Atividades Micro'!$G339="Micro",'Atividades Micro'!$K339&lt;&gt;""),'Atividades Micro'!$K339,"")</f>
        <v/>
      </c>
      <c r="CE287" s="21" t="str">
        <f>IF(AND('Atividades Micro'!$B339=CE$2,'Atividades Micro'!$G339="Micro",'Atividades Micro'!$K339&lt;&gt;""),'Atividades Micro'!$K339,"")</f>
        <v/>
      </c>
      <c r="CF287" s="21" t="str">
        <f>IF(AND('Atividades Micro'!$B339=CF$2,'Atividades Micro'!$G339="Micro",'Atividades Micro'!$K339&lt;&gt;""),'Atividades Micro'!$K339,"")</f>
        <v/>
      </c>
      <c r="CG287" s="21" t="str">
        <f>IF(AND('Atividades Micro'!$B339=CG$2,'Atividades Micro'!$G339="Micro",'Atividades Micro'!$K339&lt;&gt;""),'Atividades Micro'!$K339,"")</f>
        <v/>
      </c>
      <c r="CH287" s="21" t="str">
        <f>IF(AND('Atividades Micro'!$B339=CH$2,'Atividades Micro'!$G339="Micro",'Atividades Micro'!$K339&lt;&gt;""),'Atividades Micro'!$K339,"")</f>
        <v/>
      </c>
      <c r="CI287" s="21" t="str">
        <f>IF(AND('Atividades Micro'!$B339=CI$2,'Atividades Micro'!$G339="Micro",'Atividades Micro'!$K339&lt;&gt;""),'Atividades Micro'!$K339,"")</f>
        <v/>
      </c>
      <c r="CJ287" s="21" t="str">
        <f>IF(AND('Atividades Micro'!$B339=CJ$2,'Atividades Micro'!$G339="Micro",'Atividades Micro'!$K339&lt;&gt;""),'Atividades Micro'!$K339,"")</f>
        <v/>
      </c>
      <c r="CK287" s="21" t="str">
        <f>IF(AND('Atividades Micro'!$B339=CK$2,'Atividades Micro'!$G339="Micro",'Atividades Micro'!$K339&lt;&gt;""),'Atividades Micro'!$K339,"")</f>
        <v/>
      </c>
      <c r="CL287" s="21" t="str">
        <f>IF(AND('Atividades Micro'!$B339=CL$2,'Atividades Micro'!$G339="Micro",'Atividades Micro'!$K339&lt;&gt;""),'Atividades Micro'!$K339,"")</f>
        <v/>
      </c>
      <c r="CM287" s="21" t="str">
        <f>IF(AND('Atividades Micro'!$B339=CM$2,'Atividades Micro'!$G339="Micro",'Atividades Micro'!$K339&lt;&gt;""),'Atividades Micro'!$K339,"")</f>
        <v/>
      </c>
      <c r="CN287" s="21" t="str">
        <f>IF(AND('Atividades Micro'!$B339=CN$2,'Atividades Micro'!$G339="Micro",'Atividades Micro'!$K339&lt;&gt;""),'Atividades Micro'!$K339,"")</f>
        <v/>
      </c>
      <c r="CO287" s="21" t="str">
        <f>IF(AND('Atividades Micro'!$B339=CO$2,'Atividades Micro'!$G339="Micro",'Atividades Micro'!$K339&lt;&gt;""),'Atividades Micro'!$K339,"")</f>
        <v/>
      </c>
    </row>
    <row r="288" spans="1:93">
      <c r="A288" s="21" t="str">
        <f>IF(AND('Atividades Micro'!$A340=A$2,'Atividades Micro'!$K340&lt;&gt;""),'Atividades Micro'!$K340,"")</f>
        <v/>
      </c>
      <c r="B288" s="21" t="str">
        <f>IF(AND('Atividades Micro'!$A340=B$2,'Atividades Micro'!$L340&lt;&gt;""),'Atividades Micro'!$L340,"")</f>
        <v/>
      </c>
      <c r="C288" s="21" t="str">
        <f>IF(AND('Atividades Micro'!$A340=C$2,'Atividades Micro'!$K340&lt;&gt;""),'Atividades Micro'!$K340,"")</f>
        <v/>
      </c>
      <c r="D288" s="21" t="str">
        <f>IF(AND('Atividades Micro'!$A340=D$2,'Atividades Micro'!$L340&lt;&gt;""),'Atividades Micro'!$L340,"")</f>
        <v/>
      </c>
      <c r="E288" s="21">
        <f>IF(AND('Atividades Micro'!$A340=E$2,'Atividades Micro'!$K340&lt;&gt;""),'Atividades Micro'!$K340,"")</f>
        <v>46374</v>
      </c>
      <c r="F288" s="21" t="str">
        <f>IF(AND('Atividades Micro'!$A340=F$2,'Atividades Micro'!$L340&lt;&gt;""),'Atividades Micro'!$L340,"")</f>
        <v/>
      </c>
      <c r="G288" s="21" t="str">
        <f>IF(AND('Atividades Micro'!$A340=G$2,'Atividades Micro'!$K340&lt;&gt;""),'Atividades Micro'!$K340,"")</f>
        <v/>
      </c>
      <c r="H288" s="21" t="str">
        <f>IF(AND('Atividades Micro'!$A340=H$2,'Atividades Micro'!$L340&lt;&gt;""),'Atividades Micro'!$L340,"")</f>
        <v/>
      </c>
      <c r="I288" s="21" t="str">
        <f>IF(AND('Atividades Micro'!$A340=I$2,'Atividades Micro'!$K340&lt;&gt;""),'Atividades Micro'!$K340,"")</f>
        <v/>
      </c>
      <c r="J288" s="21" t="str">
        <f>IF(AND('Atividades Micro'!$A340=J$2,'Atividades Micro'!$L340&lt;&gt;""),'Atividades Micro'!$L340,"")</f>
        <v/>
      </c>
      <c r="K288" s="21" t="str">
        <f>IF(AND('Atividades Micro'!$B340=K$2,'Atividades Micro'!$K340&lt;&gt;""),'Atividades Micro'!$K340,"")</f>
        <v/>
      </c>
      <c r="L288" s="21" t="str">
        <f>IF(AND('Atividades Micro'!$B340=L$2,'Atividades Micro'!$L340&lt;&gt;""),'Atividades Micro'!$L340,"")</f>
        <v/>
      </c>
      <c r="M288" s="21" t="str">
        <f>IF(AND('Atividades Micro'!$B340=M$2,'Atividades Micro'!$K340&lt;&gt;""),'Atividades Micro'!$K340,"")</f>
        <v/>
      </c>
      <c r="N288" s="21" t="str">
        <f>IF(AND('Atividades Micro'!$B340=N$2,'Atividades Micro'!$L340&lt;&gt;""),'Atividades Micro'!$L340,"")</f>
        <v/>
      </c>
      <c r="O288" s="21" t="str">
        <f>IF(AND('Atividades Micro'!$A340=O$2,'Atividades Micro'!$K340&lt;&gt;""),'Atividades Micro'!$K340,"")</f>
        <v/>
      </c>
      <c r="P288" s="21" t="str">
        <f>IF(AND('Atividades Micro'!$A340=P$2,'Atividades Micro'!$L340&lt;&gt;""),'Atividades Micro'!$L340,"")</f>
        <v/>
      </c>
      <c r="Q288" s="21" t="str">
        <f>IF(AND('Atividades Micro'!$B340=Q$2,'Atividades Micro'!$K340&lt;&gt;""),'Atividades Micro'!$K340,"")</f>
        <v/>
      </c>
      <c r="R288" s="21" t="str">
        <f>IF(AND('Atividades Micro'!$B340=R$2,'Atividades Micro'!$L340&lt;&gt;""),'Atividades Micro'!$L340,"")</f>
        <v/>
      </c>
      <c r="S288" s="21" t="str">
        <f>IF(AND('Atividades Micro'!$A340=S$2,'Atividades Micro'!$K340&lt;&gt;""),'Atividades Micro'!$K340,"")</f>
        <v/>
      </c>
      <c r="T288" s="21" t="str">
        <f>IF(AND('Atividades Micro'!$A340=T$2,'Atividades Micro'!$L340&lt;&gt;""),'Atividades Micro'!$L340,"")</f>
        <v/>
      </c>
      <c r="U288" s="21" t="str">
        <f>IF(AND('Atividades Micro'!$B340=U$2,'Atividades Micro'!$K340&lt;&gt;""),'Atividades Micro'!$K340,"")</f>
        <v/>
      </c>
      <c r="V288" s="21" t="str">
        <f>IF(AND('Atividades Micro'!$B340=V$2,'Atividades Micro'!$L340&lt;&gt;""),'Atividades Micro'!$L340,"")</f>
        <v/>
      </c>
      <c r="W288" s="21" t="str">
        <f>IF(AND('Atividades Micro'!$B340=W$2,'Atividades Micro'!$K340&lt;&gt;""),'Atividades Micro'!$K340,"")</f>
        <v/>
      </c>
      <c r="X288" s="21" t="str">
        <f>IF(AND('Atividades Micro'!$B340=X$2,'Atividades Micro'!$L340&lt;&gt;""),'Atividades Micro'!$L340,"")</f>
        <v/>
      </c>
      <c r="Y288" s="21" t="str">
        <f>IF(AND('Atividades Micro'!$A340=Y$2,'Atividades Micro'!$K340&lt;&gt;""),'Atividades Micro'!$K340,"")</f>
        <v/>
      </c>
      <c r="Z288" s="21" t="str">
        <f>IF(AND('Atividades Micro'!$A340=Z$2,'Atividades Micro'!$L340&lt;&gt;""),'Atividades Micro'!$L340,"")</f>
        <v/>
      </c>
      <c r="AA288" s="21" t="str">
        <f>IF(AND('Atividades Micro'!$B340=AA$2,'Atividades Micro'!$K340&lt;&gt;""),'Atividades Micro'!$K340,"")</f>
        <v/>
      </c>
      <c r="AB288" s="21" t="str">
        <f>IF(AND('Atividades Micro'!$B340=AB$2,'Atividades Micro'!$L340&lt;&gt;""),'Atividades Micro'!$L340,"")</f>
        <v/>
      </c>
      <c r="AC288" s="21" t="str">
        <f>IF(AND('Atividades Micro'!$B340=AC$2,'Atividades Micro'!$K340&lt;&gt;""),'Atividades Micro'!$K340,"")</f>
        <v/>
      </c>
      <c r="AD288" s="21" t="str">
        <f>IF(AND('Atividades Micro'!$B340=AD$2,'Atividades Micro'!$L340&lt;&gt;""),'Atividades Micro'!$L340,"")</f>
        <v/>
      </c>
      <c r="AE288" s="21" t="str">
        <f>IF(AND('Atividades Micro'!$A340=AE$2,'Atividades Micro'!$K340&lt;&gt;""),'Atividades Micro'!$K340,"")</f>
        <v/>
      </c>
      <c r="AF288" s="21" t="str">
        <f>IF(AND('Atividades Micro'!$A340=AF$2,'Atividades Micro'!$L340&lt;&gt;""),'Atividades Micro'!$L340,"")</f>
        <v/>
      </c>
      <c r="AG288" s="21" t="str">
        <f>IF(AND('Atividades Micro'!$B340=AG$2,'Atividades Micro'!$K340&lt;&gt;""),'Atividades Micro'!$K340,"")</f>
        <v/>
      </c>
      <c r="AH288" s="21" t="str">
        <f>IF(AND('Atividades Micro'!$B340=AH$2,'Atividades Micro'!$L340&lt;&gt;""),'Atividades Micro'!$L340,"")</f>
        <v/>
      </c>
      <c r="AI288" s="21" t="str">
        <f>IF(AND('Atividades Micro'!$B340=AI$2,'Atividades Micro'!$K340&lt;&gt;""),'Atividades Micro'!$K340,"")</f>
        <v/>
      </c>
      <c r="AJ288" s="21" t="str">
        <f>IF(AND('Atividades Micro'!$B340=AJ$2,'Atividades Micro'!$L340&lt;&gt;""),'Atividades Micro'!$L340,"")</f>
        <v/>
      </c>
      <c r="AK288" s="21" t="str">
        <f>IF(AND('Atividades Micro'!$A340=AK$2,'Atividades Micro'!$K340&lt;&gt;""),'Atividades Micro'!$K340,"")</f>
        <v/>
      </c>
      <c r="AL288" s="21" t="str">
        <f>IF(AND('Atividades Micro'!$A340=AL$2,'Atividades Micro'!$L340&lt;&gt;""),'Atividades Micro'!$L340,"")</f>
        <v/>
      </c>
      <c r="AM288" s="21" t="str">
        <f>IF(AND('Atividades Micro'!$B340=AM$2,'Atividades Micro'!$K340&lt;&gt;""),'Atividades Micro'!$K340,"")</f>
        <v/>
      </c>
      <c r="AN288" s="21" t="str">
        <f>IF(AND('Atividades Micro'!$B340=AN$2,'Atividades Micro'!$L340&lt;&gt;""),'Atividades Micro'!$L340,"")</f>
        <v/>
      </c>
      <c r="AO288" s="21" t="str">
        <f>IF(AND('Atividades Micro'!$B340=AO$2,'Atividades Micro'!$K340&lt;&gt;""),'Atividades Micro'!$K340,"")</f>
        <v/>
      </c>
      <c r="AP288" s="21" t="str">
        <f>IF(AND('Atividades Micro'!$B340=AP$2,'Atividades Micro'!$L340&lt;&gt;""),'Atividades Micro'!$L340,"")</f>
        <v/>
      </c>
      <c r="AQ288" s="21" t="str">
        <f>IF(AND('Atividades Micro'!$A340=AQ$2,'Atividades Micro'!$K340&lt;&gt;""),'Atividades Micro'!$K340,"")</f>
        <v/>
      </c>
      <c r="AR288" s="21" t="str">
        <f>IF(AND('Atividades Micro'!$A340=AR$2,'Atividades Micro'!$L340&lt;&gt;""),'Atividades Micro'!$L340,"")</f>
        <v/>
      </c>
      <c r="AS288" s="21" t="str">
        <f>IF(AND('Atividades Micro'!$B340=AS$2,'Atividades Micro'!$K340&lt;&gt;""),'Atividades Micro'!$K340,"")</f>
        <v/>
      </c>
      <c r="AT288" s="21" t="str">
        <f>IF(AND('Atividades Micro'!$B340=AT$2,'Atividades Micro'!$L340&lt;&gt;""),'Atividades Micro'!$L340,"")</f>
        <v/>
      </c>
      <c r="AU288" s="21" t="str">
        <f>IF(AND('Atividades Micro'!$A340=AU$2,'Atividades Micro'!$K340&lt;&gt;""),'Atividades Micro'!$K340,"")</f>
        <v/>
      </c>
      <c r="AV288" s="21" t="str">
        <f>IF(AND('Atividades Micro'!$A340=AV$2,'Atividades Micro'!$L340&lt;&gt;""),'Atividades Micro'!$L340,"")</f>
        <v/>
      </c>
      <c r="AW288" s="21" t="str">
        <f>IF(AND('Atividades Micro'!$B340=AW$2,'Atividades Micro'!$K340&lt;&gt;""),'Atividades Micro'!$K340,"")</f>
        <v/>
      </c>
      <c r="AX288" s="21" t="str">
        <f>IF(AND('Atividades Micro'!$B340=AX$2,'Atividades Micro'!$L340&lt;&gt;""),'Atividades Micro'!$L340,"")</f>
        <v/>
      </c>
      <c r="AY288" s="21" t="str">
        <f>IF(AND('Atividades Micro'!$A340=AY$2,'Atividades Micro'!$K340&lt;&gt;""),'Atividades Micro'!$K340,"")</f>
        <v/>
      </c>
      <c r="AZ288" s="21" t="str">
        <f>IF(AND('Atividades Micro'!$A340=AZ$2,'Atividades Micro'!$L340&lt;&gt;""),'Atividades Micro'!$L340,"")</f>
        <v/>
      </c>
      <c r="BA288" s="21" t="str">
        <f>IF(AND('Atividades Micro'!$B340=BA$2,'Atividades Micro'!$K340&lt;&gt;""),'Atividades Micro'!$K340,"")</f>
        <v/>
      </c>
      <c r="BB288" s="21" t="str">
        <f>IF(AND('Atividades Micro'!$B340=BB$2,'Atividades Micro'!$L340&lt;&gt;""),'Atividades Micro'!$L340,"")</f>
        <v/>
      </c>
      <c r="BC288" s="21" t="str">
        <f>IF(AND('Atividades Micro'!$B340=BC$2,'Atividades Micro'!$G340="Macro",'Atividades Micro'!$K340&lt;&gt;""),'Atividades Micro'!$K340,"")</f>
        <v/>
      </c>
      <c r="BD288" s="21" t="str">
        <f>IF(AND('Atividades Micro'!$B340=BD$2,'Atividades Micro'!$G340="Macro",'Atividades Micro'!$K340&lt;&gt;""),'Atividades Micro'!$K340,"")</f>
        <v/>
      </c>
      <c r="BE288" s="21" t="str">
        <f>IF(AND('Atividades Micro'!$B340=BE$2,'Atividades Micro'!$G340="Macro",'Atividades Micro'!$K340&lt;&gt;""),'Atividades Micro'!$K340,"")</f>
        <v/>
      </c>
      <c r="BF288" s="21" t="str">
        <f>IF(AND('Atividades Micro'!$B340=BF$2,'Atividades Micro'!$G340="Macro",'Atividades Micro'!$K340&lt;&gt;""),'Atividades Micro'!$K340,"")</f>
        <v/>
      </c>
      <c r="BG288" s="21" t="str">
        <f>IF(AND('Atividades Micro'!$B340=BG$2,'Atividades Micro'!$G340="Macro",'Atividades Micro'!$K340&lt;&gt;""),'Atividades Micro'!$K340,"")</f>
        <v/>
      </c>
      <c r="BH288" s="21" t="str">
        <f>IF(AND('Atividades Micro'!$B340=BH$2,'Atividades Micro'!$G340="Macro",'Atividades Micro'!$K340&lt;&gt;""),'Atividades Micro'!$K340,"")</f>
        <v/>
      </c>
      <c r="BI288" s="21" t="str">
        <f>IF(AND('Atividades Micro'!$B340=BI$2,'Atividades Micro'!$G340="Macro",'Atividades Micro'!$K340&lt;&gt;""),'Atividades Micro'!$K340,"")</f>
        <v/>
      </c>
      <c r="BJ288" s="21" t="str">
        <f>IF(AND('Atividades Micro'!$B340=BJ$2,'Atividades Micro'!$G340="Macro",'Atividades Micro'!$K340&lt;&gt;""),'Atividades Micro'!$K340,"")</f>
        <v/>
      </c>
      <c r="BK288" s="21" t="str">
        <f>IF(AND('Atividades Micro'!$B340=BK$2,'Atividades Micro'!$G340="Macro",'Atividades Micro'!$K340&lt;&gt;""),'Atividades Micro'!$K340,"")</f>
        <v/>
      </c>
      <c r="BL288" s="21" t="str">
        <f>IF(AND('Atividades Micro'!$B340=BL$2,'Atividades Micro'!$G340="Macro",'Atividades Micro'!$K340&lt;&gt;""),'Atividades Micro'!$K340,"")</f>
        <v/>
      </c>
      <c r="BM288" s="21" t="str">
        <f>IF(AND('Atividades Micro'!$B340=BM$2,'Atividades Micro'!$G340="Macro",'Atividades Micro'!$K340&lt;&gt;""),'Atividades Micro'!$K340,"")</f>
        <v/>
      </c>
      <c r="BN288" s="21" t="str">
        <f>IF(AND('Atividades Micro'!$B340=BN$2,'Atividades Micro'!$G340="Macro",'Atividades Micro'!$K340&lt;&gt;""),'Atividades Micro'!$K340,"")</f>
        <v/>
      </c>
      <c r="BO288" s="21" t="str">
        <f>IF(AND('Atividades Micro'!$B340=BO$2,'Atividades Micro'!$G340="Macro",'Atividades Micro'!$K340&lt;&gt;""),'Atividades Micro'!$K340,"")</f>
        <v/>
      </c>
      <c r="BP288" s="21" t="str">
        <f>IF(AND('Atividades Micro'!$B340=BP$2,'Atividades Micro'!$G340="Macro",'Atividades Micro'!$K340&lt;&gt;""),'Atividades Micro'!$K340,"")</f>
        <v/>
      </c>
      <c r="BQ288" s="21" t="str">
        <f>IF(AND('Atividades Micro'!$B340=BQ$2,'Atividades Micro'!$G340="Macro",'Atividades Micro'!$K340&lt;&gt;""),'Atividades Micro'!$K340,"")</f>
        <v/>
      </c>
      <c r="BR288" s="21" t="str">
        <f>IF(AND('Atividades Micro'!$B340=BR$2,'Atividades Micro'!$G340="Macro",'Atividades Micro'!$K340&lt;&gt;""),'Atividades Micro'!$K340,"")</f>
        <v/>
      </c>
      <c r="BS288" s="21" t="str">
        <f>IF(AND('Atividades Micro'!$B340=BS$2,'Atividades Micro'!$G340="Macro",'Atividades Micro'!$K340&lt;&gt;""),'Atividades Micro'!$K340,"")</f>
        <v/>
      </c>
      <c r="BT288" s="21" t="str">
        <f>IF(AND('Atividades Micro'!$B340=BT$2,'Atividades Micro'!$G340="Macro",'Atividades Micro'!$K340&lt;&gt;""),'Atividades Micro'!$K340,"")</f>
        <v/>
      </c>
      <c r="BU288" s="21" t="str">
        <f>IF(AND('Atividades Micro'!$B340=BU$2,'Atividades Micro'!$G340="Macro",'Atividades Micro'!$K340&lt;&gt;""),'Atividades Micro'!$K340,"")</f>
        <v/>
      </c>
      <c r="BV288" s="21" t="str">
        <f>IF(AND('Atividades Micro'!$B340=BV$2,'Atividades Micro'!$G340="Macro",'Atividades Micro'!$K340&lt;&gt;""),'Atividades Micro'!$K340,"")</f>
        <v/>
      </c>
      <c r="BW288" s="21" t="str">
        <f>IF(AND('Atividades Micro'!$B340=BW$2,'Atividades Micro'!$G340="Macro",'Atividades Micro'!$K340&lt;&gt;""),'Atividades Micro'!$K340,"")</f>
        <v/>
      </c>
      <c r="BX288" s="21" t="str">
        <f>IF(AND('Atividades Micro'!$B340=BX$2,'Atividades Micro'!$G340="Macro",'Atividades Micro'!$K340&lt;&gt;""),'Atividades Micro'!$K340,"")</f>
        <v/>
      </c>
      <c r="BY288" s="21" t="str">
        <f>IF(AND('Atividades Micro'!$B340=BY$2,'Atividades Micro'!$G340="Macro",'Atividades Micro'!$K340&lt;&gt;""),'Atividades Micro'!$K340,"")</f>
        <v/>
      </c>
      <c r="BZ288" s="21" t="str">
        <f>IF(AND('Atividades Micro'!$B340=BZ$2,'Atividades Micro'!$G340="Macro",'Atividades Micro'!$K340&lt;&gt;""),'Atividades Micro'!$K340,"")</f>
        <v/>
      </c>
      <c r="CA288" s="21" t="str">
        <f>IF(AND('Atividades Micro'!$B340=CA$2,'Atividades Micro'!$G340="Macro",'Atividades Micro'!$K340&lt;&gt;""),'Atividades Micro'!$K340,"")</f>
        <v/>
      </c>
      <c r="CB288" s="21" t="str">
        <f>IF(AND('Atividades Micro'!$B340=CB$2,'Atividades Micro'!$G340="Macro",'Atividades Micro'!$K340&lt;&gt;""),'Atividades Micro'!$K340,"")</f>
        <v/>
      </c>
      <c r="CC288" s="21" t="str">
        <f>IF(AND('Atividades Micro'!$B340=CC$2,'Atividades Micro'!$G340="Macro",'Atividades Micro'!$K340&lt;&gt;""),'Atividades Micro'!$K340,"")</f>
        <v/>
      </c>
      <c r="CD288" s="21" t="str">
        <f>IF(AND('Atividades Micro'!$B340=CD$2,'Atividades Micro'!$G340="Micro",'Atividades Micro'!$K340&lt;&gt;""),'Atividades Micro'!$K340,"")</f>
        <v/>
      </c>
      <c r="CE288" s="21" t="str">
        <f>IF(AND('Atividades Micro'!$B340=CE$2,'Atividades Micro'!$G340="Micro",'Atividades Micro'!$K340&lt;&gt;""),'Atividades Micro'!$K340,"")</f>
        <v/>
      </c>
      <c r="CF288" s="21" t="str">
        <f>IF(AND('Atividades Micro'!$B340=CF$2,'Atividades Micro'!$G340="Micro",'Atividades Micro'!$K340&lt;&gt;""),'Atividades Micro'!$K340,"")</f>
        <v/>
      </c>
      <c r="CG288" s="21" t="str">
        <f>IF(AND('Atividades Micro'!$B340=CG$2,'Atividades Micro'!$G340="Micro",'Atividades Micro'!$K340&lt;&gt;""),'Atividades Micro'!$K340,"")</f>
        <v/>
      </c>
      <c r="CH288" s="21" t="str">
        <f>IF(AND('Atividades Micro'!$B340=CH$2,'Atividades Micro'!$G340="Micro",'Atividades Micro'!$K340&lt;&gt;""),'Atividades Micro'!$K340,"")</f>
        <v/>
      </c>
      <c r="CI288" s="21" t="str">
        <f>IF(AND('Atividades Micro'!$B340=CI$2,'Atividades Micro'!$G340="Micro",'Atividades Micro'!$K340&lt;&gt;""),'Atividades Micro'!$K340,"")</f>
        <v/>
      </c>
      <c r="CJ288" s="21" t="str">
        <f>IF(AND('Atividades Micro'!$B340=CJ$2,'Atividades Micro'!$G340="Micro",'Atividades Micro'!$K340&lt;&gt;""),'Atividades Micro'!$K340,"")</f>
        <v/>
      </c>
      <c r="CK288" s="21" t="str">
        <f>IF(AND('Atividades Micro'!$B340=CK$2,'Atividades Micro'!$G340="Micro",'Atividades Micro'!$K340&lt;&gt;""),'Atividades Micro'!$K340,"")</f>
        <v/>
      </c>
      <c r="CL288" s="21" t="str">
        <f>IF(AND('Atividades Micro'!$B340=CL$2,'Atividades Micro'!$G340="Micro",'Atividades Micro'!$K340&lt;&gt;""),'Atividades Micro'!$K340,"")</f>
        <v/>
      </c>
      <c r="CM288" s="21" t="str">
        <f>IF(AND('Atividades Micro'!$B340=CM$2,'Atividades Micro'!$G340="Micro",'Atividades Micro'!$K340&lt;&gt;""),'Atividades Micro'!$K340,"")</f>
        <v/>
      </c>
      <c r="CN288" s="21" t="str">
        <f>IF(AND('Atividades Micro'!$B340=CN$2,'Atividades Micro'!$G340="Micro",'Atividades Micro'!$K340&lt;&gt;""),'Atividades Micro'!$K340,"")</f>
        <v/>
      </c>
      <c r="CO288" s="21" t="str">
        <f>IF(AND('Atividades Micro'!$B340=CO$2,'Atividades Micro'!$G340="Micro",'Atividades Micro'!$K340&lt;&gt;""),'Atividades Micro'!$K340,"")</f>
        <v/>
      </c>
    </row>
    <row r="289" spans="1:93">
      <c r="A289" s="21" t="str">
        <f>IF(AND('Atividades Micro'!$A341=A$2,'Atividades Micro'!$K341&lt;&gt;""),'Atividades Micro'!$K341,"")</f>
        <v/>
      </c>
      <c r="B289" s="21" t="str">
        <f>IF(AND('Atividades Micro'!$A341=B$2,'Atividades Micro'!$L341&lt;&gt;""),'Atividades Micro'!$L341,"")</f>
        <v/>
      </c>
      <c r="C289" s="21" t="str">
        <f>IF(AND('Atividades Micro'!$A341=C$2,'Atividades Micro'!$K341&lt;&gt;""),'Atividades Micro'!$K341,"")</f>
        <v/>
      </c>
      <c r="D289" s="21" t="str">
        <f>IF(AND('Atividades Micro'!$A341=D$2,'Atividades Micro'!$L341&lt;&gt;""),'Atividades Micro'!$L341,"")</f>
        <v/>
      </c>
      <c r="E289" s="21">
        <f>IF(AND('Atividades Micro'!$A341=E$2,'Atividades Micro'!$K341&lt;&gt;""),'Atividades Micro'!$K341,"")</f>
        <v>46374</v>
      </c>
      <c r="F289" s="21" t="str">
        <f>IF(AND('Atividades Micro'!$A341=F$2,'Atividades Micro'!$L341&lt;&gt;""),'Atividades Micro'!$L341,"")</f>
        <v/>
      </c>
      <c r="G289" s="21" t="str">
        <f>IF(AND('Atividades Micro'!$A341=G$2,'Atividades Micro'!$K341&lt;&gt;""),'Atividades Micro'!$K341,"")</f>
        <v/>
      </c>
      <c r="H289" s="21" t="str">
        <f>IF(AND('Atividades Micro'!$A341=H$2,'Atividades Micro'!$L341&lt;&gt;""),'Atividades Micro'!$L341,"")</f>
        <v/>
      </c>
      <c r="I289" s="21" t="str">
        <f>IF(AND('Atividades Micro'!$A341=I$2,'Atividades Micro'!$K341&lt;&gt;""),'Atividades Micro'!$K341,"")</f>
        <v/>
      </c>
      <c r="J289" s="21" t="str">
        <f>IF(AND('Atividades Micro'!$A341=J$2,'Atividades Micro'!$L341&lt;&gt;""),'Atividades Micro'!$L341,"")</f>
        <v/>
      </c>
      <c r="K289" s="21" t="str">
        <f>IF(AND('Atividades Micro'!$B341=K$2,'Atividades Micro'!$K341&lt;&gt;""),'Atividades Micro'!$K341,"")</f>
        <v/>
      </c>
      <c r="L289" s="21" t="str">
        <f>IF(AND('Atividades Micro'!$B341=L$2,'Atividades Micro'!$L341&lt;&gt;""),'Atividades Micro'!$L341,"")</f>
        <v/>
      </c>
      <c r="M289" s="21" t="str">
        <f>IF(AND('Atividades Micro'!$B341=M$2,'Atividades Micro'!$K341&lt;&gt;""),'Atividades Micro'!$K341,"")</f>
        <v/>
      </c>
      <c r="N289" s="21" t="str">
        <f>IF(AND('Atividades Micro'!$B341=N$2,'Atividades Micro'!$L341&lt;&gt;""),'Atividades Micro'!$L341,"")</f>
        <v/>
      </c>
      <c r="O289" s="21" t="str">
        <f>IF(AND('Atividades Micro'!$A341=O$2,'Atividades Micro'!$K341&lt;&gt;""),'Atividades Micro'!$K341,"")</f>
        <v/>
      </c>
      <c r="P289" s="21" t="str">
        <f>IF(AND('Atividades Micro'!$A341=P$2,'Atividades Micro'!$L341&lt;&gt;""),'Atividades Micro'!$L341,"")</f>
        <v/>
      </c>
      <c r="Q289" s="21" t="str">
        <f>IF(AND('Atividades Micro'!$B341=Q$2,'Atividades Micro'!$K341&lt;&gt;""),'Atividades Micro'!$K341,"")</f>
        <v/>
      </c>
      <c r="R289" s="21" t="str">
        <f>IF(AND('Atividades Micro'!$B341=R$2,'Atividades Micro'!$L341&lt;&gt;""),'Atividades Micro'!$L341,"")</f>
        <v/>
      </c>
      <c r="S289" s="21" t="str">
        <f>IF(AND('Atividades Micro'!$A341=S$2,'Atividades Micro'!$K341&lt;&gt;""),'Atividades Micro'!$K341,"")</f>
        <v/>
      </c>
      <c r="T289" s="21" t="str">
        <f>IF(AND('Atividades Micro'!$A341=T$2,'Atividades Micro'!$L341&lt;&gt;""),'Atividades Micro'!$L341,"")</f>
        <v/>
      </c>
      <c r="U289" s="21" t="str">
        <f>IF(AND('Atividades Micro'!$B341=U$2,'Atividades Micro'!$K341&lt;&gt;""),'Atividades Micro'!$K341,"")</f>
        <v/>
      </c>
      <c r="V289" s="21" t="str">
        <f>IF(AND('Atividades Micro'!$B341=V$2,'Atividades Micro'!$L341&lt;&gt;""),'Atividades Micro'!$L341,"")</f>
        <v/>
      </c>
      <c r="W289" s="21" t="str">
        <f>IF(AND('Atividades Micro'!$B341=W$2,'Atividades Micro'!$K341&lt;&gt;""),'Atividades Micro'!$K341,"")</f>
        <v/>
      </c>
      <c r="X289" s="21" t="str">
        <f>IF(AND('Atividades Micro'!$B341=X$2,'Atividades Micro'!$L341&lt;&gt;""),'Atividades Micro'!$L341,"")</f>
        <v/>
      </c>
      <c r="Y289" s="21" t="str">
        <f>IF(AND('Atividades Micro'!$A341=Y$2,'Atividades Micro'!$K341&lt;&gt;""),'Atividades Micro'!$K341,"")</f>
        <v/>
      </c>
      <c r="Z289" s="21" t="str">
        <f>IF(AND('Atividades Micro'!$A341=Z$2,'Atividades Micro'!$L341&lt;&gt;""),'Atividades Micro'!$L341,"")</f>
        <v/>
      </c>
      <c r="AA289" s="21" t="str">
        <f>IF(AND('Atividades Micro'!$B341=AA$2,'Atividades Micro'!$K341&lt;&gt;""),'Atividades Micro'!$K341,"")</f>
        <v/>
      </c>
      <c r="AB289" s="21" t="str">
        <f>IF(AND('Atividades Micro'!$B341=AB$2,'Atividades Micro'!$L341&lt;&gt;""),'Atividades Micro'!$L341,"")</f>
        <v/>
      </c>
      <c r="AC289" s="21" t="str">
        <f>IF(AND('Atividades Micro'!$B341=AC$2,'Atividades Micro'!$K341&lt;&gt;""),'Atividades Micro'!$K341,"")</f>
        <v/>
      </c>
      <c r="AD289" s="21" t="str">
        <f>IF(AND('Atividades Micro'!$B341=AD$2,'Atividades Micro'!$L341&lt;&gt;""),'Atividades Micro'!$L341,"")</f>
        <v/>
      </c>
      <c r="AE289" s="21" t="str">
        <f>IF(AND('Atividades Micro'!$A341=AE$2,'Atividades Micro'!$K341&lt;&gt;""),'Atividades Micro'!$K341,"")</f>
        <v/>
      </c>
      <c r="AF289" s="21" t="str">
        <f>IF(AND('Atividades Micro'!$A341=AF$2,'Atividades Micro'!$L341&lt;&gt;""),'Atividades Micro'!$L341,"")</f>
        <v/>
      </c>
      <c r="AG289" s="21" t="str">
        <f>IF(AND('Atividades Micro'!$B341=AG$2,'Atividades Micro'!$K341&lt;&gt;""),'Atividades Micro'!$K341,"")</f>
        <v/>
      </c>
      <c r="AH289" s="21" t="str">
        <f>IF(AND('Atividades Micro'!$B341=AH$2,'Atividades Micro'!$L341&lt;&gt;""),'Atividades Micro'!$L341,"")</f>
        <v/>
      </c>
      <c r="AI289" s="21" t="str">
        <f>IF(AND('Atividades Micro'!$B341=AI$2,'Atividades Micro'!$K341&lt;&gt;""),'Atividades Micro'!$K341,"")</f>
        <v/>
      </c>
      <c r="AJ289" s="21" t="str">
        <f>IF(AND('Atividades Micro'!$B341=AJ$2,'Atividades Micro'!$L341&lt;&gt;""),'Atividades Micro'!$L341,"")</f>
        <v/>
      </c>
      <c r="AK289" s="21" t="str">
        <f>IF(AND('Atividades Micro'!$A341=AK$2,'Atividades Micro'!$K341&lt;&gt;""),'Atividades Micro'!$K341,"")</f>
        <v/>
      </c>
      <c r="AL289" s="21" t="str">
        <f>IF(AND('Atividades Micro'!$A341=AL$2,'Atividades Micro'!$L341&lt;&gt;""),'Atividades Micro'!$L341,"")</f>
        <v/>
      </c>
      <c r="AM289" s="21" t="str">
        <f>IF(AND('Atividades Micro'!$B341=AM$2,'Atividades Micro'!$K341&lt;&gt;""),'Atividades Micro'!$K341,"")</f>
        <v/>
      </c>
      <c r="AN289" s="21" t="str">
        <f>IF(AND('Atividades Micro'!$B341=AN$2,'Atividades Micro'!$L341&lt;&gt;""),'Atividades Micro'!$L341,"")</f>
        <v/>
      </c>
      <c r="AO289" s="21" t="str">
        <f>IF(AND('Atividades Micro'!$B341=AO$2,'Atividades Micro'!$K341&lt;&gt;""),'Atividades Micro'!$K341,"")</f>
        <v/>
      </c>
      <c r="AP289" s="21" t="str">
        <f>IF(AND('Atividades Micro'!$B341=AP$2,'Atividades Micro'!$L341&lt;&gt;""),'Atividades Micro'!$L341,"")</f>
        <v/>
      </c>
      <c r="AQ289" s="21" t="str">
        <f>IF(AND('Atividades Micro'!$A341=AQ$2,'Atividades Micro'!$K341&lt;&gt;""),'Atividades Micro'!$K341,"")</f>
        <v/>
      </c>
      <c r="AR289" s="21" t="str">
        <f>IF(AND('Atividades Micro'!$A341=AR$2,'Atividades Micro'!$L341&lt;&gt;""),'Atividades Micro'!$L341,"")</f>
        <v/>
      </c>
      <c r="AS289" s="21" t="str">
        <f>IF(AND('Atividades Micro'!$B341=AS$2,'Atividades Micro'!$K341&lt;&gt;""),'Atividades Micro'!$K341,"")</f>
        <v/>
      </c>
      <c r="AT289" s="21" t="str">
        <f>IF(AND('Atividades Micro'!$B341=AT$2,'Atividades Micro'!$L341&lt;&gt;""),'Atividades Micro'!$L341,"")</f>
        <v/>
      </c>
      <c r="AU289" s="21" t="str">
        <f>IF(AND('Atividades Micro'!$A341=AU$2,'Atividades Micro'!$K341&lt;&gt;""),'Atividades Micro'!$K341,"")</f>
        <v/>
      </c>
      <c r="AV289" s="21" t="str">
        <f>IF(AND('Atividades Micro'!$A341=AV$2,'Atividades Micro'!$L341&lt;&gt;""),'Atividades Micro'!$L341,"")</f>
        <v/>
      </c>
      <c r="AW289" s="21" t="str">
        <f>IF(AND('Atividades Micro'!$B341=AW$2,'Atividades Micro'!$K341&lt;&gt;""),'Atividades Micro'!$K341,"")</f>
        <v/>
      </c>
      <c r="AX289" s="21" t="str">
        <f>IF(AND('Atividades Micro'!$B341=AX$2,'Atividades Micro'!$L341&lt;&gt;""),'Atividades Micro'!$L341,"")</f>
        <v/>
      </c>
      <c r="AY289" s="21" t="str">
        <f>IF(AND('Atividades Micro'!$A341=AY$2,'Atividades Micro'!$K341&lt;&gt;""),'Atividades Micro'!$K341,"")</f>
        <v/>
      </c>
      <c r="AZ289" s="21" t="str">
        <f>IF(AND('Atividades Micro'!$A341=AZ$2,'Atividades Micro'!$L341&lt;&gt;""),'Atividades Micro'!$L341,"")</f>
        <v/>
      </c>
      <c r="BA289" s="21" t="str">
        <f>IF(AND('Atividades Micro'!$B341=BA$2,'Atividades Micro'!$K341&lt;&gt;""),'Atividades Micro'!$K341,"")</f>
        <v/>
      </c>
      <c r="BB289" s="21" t="str">
        <f>IF(AND('Atividades Micro'!$B341=BB$2,'Atividades Micro'!$L341&lt;&gt;""),'Atividades Micro'!$L341,"")</f>
        <v/>
      </c>
      <c r="BC289" s="21" t="str">
        <f>IF(AND('Atividades Micro'!$B341=BC$2,'Atividades Micro'!$G341="Macro",'Atividades Micro'!$K341&lt;&gt;""),'Atividades Micro'!$K341,"")</f>
        <v/>
      </c>
      <c r="BD289" s="21" t="str">
        <f>IF(AND('Atividades Micro'!$B341=BD$2,'Atividades Micro'!$G341="Macro",'Atividades Micro'!$K341&lt;&gt;""),'Atividades Micro'!$K341,"")</f>
        <v/>
      </c>
      <c r="BE289" s="21" t="str">
        <f>IF(AND('Atividades Micro'!$B341=BE$2,'Atividades Micro'!$G341="Macro",'Atividades Micro'!$K341&lt;&gt;""),'Atividades Micro'!$K341,"")</f>
        <v/>
      </c>
      <c r="BF289" s="21" t="str">
        <f>IF(AND('Atividades Micro'!$B341=BF$2,'Atividades Micro'!$G341="Macro",'Atividades Micro'!$K341&lt;&gt;""),'Atividades Micro'!$K341,"")</f>
        <v/>
      </c>
      <c r="BG289" s="21" t="str">
        <f>IF(AND('Atividades Micro'!$B341=BG$2,'Atividades Micro'!$G341="Macro",'Atividades Micro'!$K341&lt;&gt;""),'Atividades Micro'!$K341,"")</f>
        <v/>
      </c>
      <c r="BH289" s="21" t="str">
        <f>IF(AND('Atividades Micro'!$B341=BH$2,'Atividades Micro'!$G341="Macro",'Atividades Micro'!$K341&lt;&gt;""),'Atividades Micro'!$K341,"")</f>
        <v/>
      </c>
      <c r="BI289" s="21" t="str">
        <f>IF(AND('Atividades Micro'!$B341=BI$2,'Atividades Micro'!$G341="Macro",'Atividades Micro'!$K341&lt;&gt;""),'Atividades Micro'!$K341,"")</f>
        <v/>
      </c>
      <c r="BJ289" s="21" t="str">
        <f>IF(AND('Atividades Micro'!$B341=BJ$2,'Atividades Micro'!$G341="Macro",'Atividades Micro'!$K341&lt;&gt;""),'Atividades Micro'!$K341,"")</f>
        <v/>
      </c>
      <c r="BK289" s="21" t="str">
        <f>IF(AND('Atividades Micro'!$B341=BK$2,'Atividades Micro'!$G341="Macro",'Atividades Micro'!$K341&lt;&gt;""),'Atividades Micro'!$K341,"")</f>
        <v/>
      </c>
      <c r="BL289" s="21" t="str">
        <f>IF(AND('Atividades Micro'!$B341=BL$2,'Atividades Micro'!$G341="Macro",'Atividades Micro'!$K341&lt;&gt;""),'Atividades Micro'!$K341,"")</f>
        <v/>
      </c>
      <c r="BM289" s="21" t="str">
        <f>IF(AND('Atividades Micro'!$B341=BM$2,'Atividades Micro'!$G341="Macro",'Atividades Micro'!$K341&lt;&gt;""),'Atividades Micro'!$K341,"")</f>
        <v/>
      </c>
      <c r="BN289" s="21" t="str">
        <f>IF(AND('Atividades Micro'!$B341=BN$2,'Atividades Micro'!$G341="Macro",'Atividades Micro'!$K341&lt;&gt;""),'Atividades Micro'!$K341,"")</f>
        <v/>
      </c>
      <c r="BO289" s="21" t="str">
        <f>IF(AND('Atividades Micro'!$B341=BO$2,'Atividades Micro'!$G341="Macro",'Atividades Micro'!$K341&lt;&gt;""),'Atividades Micro'!$K341,"")</f>
        <v/>
      </c>
      <c r="BP289" s="21" t="str">
        <f>IF(AND('Atividades Micro'!$B341=BP$2,'Atividades Micro'!$G341="Macro",'Atividades Micro'!$K341&lt;&gt;""),'Atividades Micro'!$K341,"")</f>
        <v/>
      </c>
      <c r="BQ289" s="21" t="str">
        <f>IF(AND('Atividades Micro'!$B341=BQ$2,'Atividades Micro'!$G341="Macro",'Atividades Micro'!$K341&lt;&gt;""),'Atividades Micro'!$K341,"")</f>
        <v/>
      </c>
      <c r="BR289" s="21" t="str">
        <f>IF(AND('Atividades Micro'!$B341=BR$2,'Atividades Micro'!$G341="Macro",'Atividades Micro'!$K341&lt;&gt;""),'Atividades Micro'!$K341,"")</f>
        <v/>
      </c>
      <c r="BS289" s="21" t="str">
        <f>IF(AND('Atividades Micro'!$B341=BS$2,'Atividades Micro'!$G341="Macro",'Atividades Micro'!$K341&lt;&gt;""),'Atividades Micro'!$K341,"")</f>
        <v/>
      </c>
      <c r="BT289" s="21" t="str">
        <f>IF(AND('Atividades Micro'!$B341=BT$2,'Atividades Micro'!$G341="Macro",'Atividades Micro'!$K341&lt;&gt;""),'Atividades Micro'!$K341,"")</f>
        <v/>
      </c>
      <c r="BU289" s="21" t="str">
        <f>IF(AND('Atividades Micro'!$B341=BU$2,'Atividades Micro'!$G341="Macro",'Atividades Micro'!$K341&lt;&gt;""),'Atividades Micro'!$K341,"")</f>
        <v/>
      </c>
      <c r="BV289" s="21" t="str">
        <f>IF(AND('Atividades Micro'!$B341=BV$2,'Atividades Micro'!$G341="Macro",'Atividades Micro'!$K341&lt;&gt;""),'Atividades Micro'!$K341,"")</f>
        <v/>
      </c>
      <c r="BW289" s="21" t="str">
        <f>IF(AND('Atividades Micro'!$B341=BW$2,'Atividades Micro'!$G341="Macro",'Atividades Micro'!$K341&lt;&gt;""),'Atividades Micro'!$K341,"")</f>
        <v/>
      </c>
      <c r="BX289" s="21" t="str">
        <f>IF(AND('Atividades Micro'!$B341=BX$2,'Atividades Micro'!$G341="Macro",'Atividades Micro'!$K341&lt;&gt;""),'Atividades Micro'!$K341,"")</f>
        <v/>
      </c>
      <c r="BY289" s="21" t="str">
        <f>IF(AND('Atividades Micro'!$B341=BY$2,'Atividades Micro'!$G341="Macro",'Atividades Micro'!$K341&lt;&gt;""),'Atividades Micro'!$K341,"")</f>
        <v/>
      </c>
      <c r="BZ289" s="21" t="str">
        <f>IF(AND('Atividades Micro'!$B341=BZ$2,'Atividades Micro'!$G341="Macro",'Atividades Micro'!$K341&lt;&gt;""),'Atividades Micro'!$K341,"")</f>
        <v/>
      </c>
      <c r="CA289" s="21" t="str">
        <f>IF(AND('Atividades Micro'!$B341=CA$2,'Atividades Micro'!$G341="Macro",'Atividades Micro'!$K341&lt;&gt;""),'Atividades Micro'!$K341,"")</f>
        <v/>
      </c>
      <c r="CB289" s="21" t="str">
        <f>IF(AND('Atividades Micro'!$B341=CB$2,'Atividades Micro'!$G341="Macro",'Atividades Micro'!$K341&lt;&gt;""),'Atividades Micro'!$K341,"")</f>
        <v/>
      </c>
      <c r="CC289" s="21" t="str">
        <f>IF(AND('Atividades Micro'!$B341=CC$2,'Atividades Micro'!$G341="Macro",'Atividades Micro'!$K341&lt;&gt;""),'Atividades Micro'!$K341,"")</f>
        <v/>
      </c>
      <c r="CD289" s="21" t="str">
        <f>IF(AND('Atividades Micro'!$B341=CD$2,'Atividades Micro'!$G341="Micro",'Atividades Micro'!$K341&lt;&gt;""),'Atividades Micro'!$K341,"")</f>
        <v/>
      </c>
      <c r="CE289" s="21" t="str">
        <f>IF(AND('Atividades Micro'!$B341=CE$2,'Atividades Micro'!$G341="Micro",'Atividades Micro'!$K341&lt;&gt;""),'Atividades Micro'!$K341,"")</f>
        <v/>
      </c>
      <c r="CF289" s="21" t="str">
        <f>IF(AND('Atividades Micro'!$B341=CF$2,'Atividades Micro'!$G341="Micro",'Atividades Micro'!$K341&lt;&gt;""),'Atividades Micro'!$K341,"")</f>
        <v/>
      </c>
      <c r="CG289" s="21" t="str">
        <f>IF(AND('Atividades Micro'!$B341=CG$2,'Atividades Micro'!$G341="Micro",'Atividades Micro'!$K341&lt;&gt;""),'Atividades Micro'!$K341,"")</f>
        <v/>
      </c>
      <c r="CH289" s="21" t="str">
        <f>IF(AND('Atividades Micro'!$B341=CH$2,'Atividades Micro'!$G341="Micro",'Atividades Micro'!$K341&lt;&gt;""),'Atividades Micro'!$K341,"")</f>
        <v/>
      </c>
      <c r="CI289" s="21" t="str">
        <f>IF(AND('Atividades Micro'!$B341=CI$2,'Atividades Micro'!$G341="Micro",'Atividades Micro'!$K341&lt;&gt;""),'Atividades Micro'!$K341,"")</f>
        <v/>
      </c>
      <c r="CJ289" s="21" t="str">
        <f>IF(AND('Atividades Micro'!$B341=CJ$2,'Atividades Micro'!$G341="Micro",'Atividades Micro'!$K341&lt;&gt;""),'Atividades Micro'!$K341,"")</f>
        <v/>
      </c>
      <c r="CK289" s="21" t="str">
        <f>IF(AND('Atividades Micro'!$B341=CK$2,'Atividades Micro'!$G341="Micro",'Atividades Micro'!$K341&lt;&gt;""),'Atividades Micro'!$K341,"")</f>
        <v/>
      </c>
      <c r="CL289" s="21" t="str">
        <f>IF(AND('Atividades Micro'!$B341=CL$2,'Atividades Micro'!$G341="Micro",'Atividades Micro'!$K341&lt;&gt;""),'Atividades Micro'!$K341,"")</f>
        <v/>
      </c>
      <c r="CM289" s="21" t="str">
        <f>IF(AND('Atividades Micro'!$B341=CM$2,'Atividades Micro'!$G341="Micro",'Atividades Micro'!$K341&lt;&gt;""),'Atividades Micro'!$K341,"")</f>
        <v/>
      </c>
      <c r="CN289" s="21" t="str">
        <f>IF(AND('Atividades Micro'!$B341=CN$2,'Atividades Micro'!$G341="Micro",'Atividades Micro'!$K341&lt;&gt;""),'Atividades Micro'!$K341,"")</f>
        <v/>
      </c>
      <c r="CO289" s="21" t="str">
        <f>IF(AND('Atividades Micro'!$B341=CO$2,'Atividades Micro'!$G341="Micro",'Atividades Micro'!$K341&lt;&gt;""),'Atividades Micro'!$K341,"")</f>
        <v/>
      </c>
    </row>
    <row r="290" spans="1:93">
      <c r="A290" s="21" t="str">
        <f>IF(AND('Atividades Micro'!$A342=A$2,'Atividades Micro'!$K342&lt;&gt;""),'Atividades Micro'!$K342,"")</f>
        <v/>
      </c>
      <c r="B290" s="21" t="str">
        <f>IF(AND('Atividades Micro'!$A342=B$2,'Atividades Micro'!$L342&lt;&gt;""),'Atividades Micro'!$L342,"")</f>
        <v/>
      </c>
      <c r="C290" s="21" t="str">
        <f>IF(AND('Atividades Micro'!$A342=C$2,'Atividades Micro'!$K342&lt;&gt;""),'Atividades Micro'!$K342,"")</f>
        <v/>
      </c>
      <c r="D290" s="21" t="str">
        <f>IF(AND('Atividades Micro'!$A342=D$2,'Atividades Micro'!$L342&lt;&gt;""),'Atividades Micro'!$L342,"")</f>
        <v/>
      </c>
      <c r="E290" s="21">
        <f>IF(AND('Atividades Micro'!$A342=E$2,'Atividades Micro'!$K342&lt;&gt;""),'Atividades Micro'!$K342,"")</f>
        <v>46374</v>
      </c>
      <c r="F290" s="21" t="str">
        <f>IF(AND('Atividades Micro'!$A342=F$2,'Atividades Micro'!$L342&lt;&gt;""),'Atividades Micro'!$L342,"")</f>
        <v/>
      </c>
      <c r="G290" s="21" t="str">
        <f>IF(AND('Atividades Micro'!$A342=G$2,'Atividades Micro'!$K342&lt;&gt;""),'Atividades Micro'!$K342,"")</f>
        <v/>
      </c>
      <c r="H290" s="21" t="str">
        <f>IF(AND('Atividades Micro'!$A342=H$2,'Atividades Micro'!$L342&lt;&gt;""),'Atividades Micro'!$L342,"")</f>
        <v/>
      </c>
      <c r="I290" s="21" t="str">
        <f>IF(AND('Atividades Micro'!$A342=I$2,'Atividades Micro'!$K342&lt;&gt;""),'Atividades Micro'!$K342,"")</f>
        <v/>
      </c>
      <c r="J290" s="21" t="str">
        <f>IF(AND('Atividades Micro'!$A342=J$2,'Atividades Micro'!$L342&lt;&gt;""),'Atividades Micro'!$L342,"")</f>
        <v/>
      </c>
      <c r="K290" s="21" t="str">
        <f>IF(AND('Atividades Micro'!$B342=K$2,'Atividades Micro'!$K342&lt;&gt;""),'Atividades Micro'!$K342,"")</f>
        <v/>
      </c>
      <c r="L290" s="21" t="str">
        <f>IF(AND('Atividades Micro'!$B342=L$2,'Atividades Micro'!$L342&lt;&gt;""),'Atividades Micro'!$L342,"")</f>
        <v/>
      </c>
      <c r="M290" s="21" t="str">
        <f>IF(AND('Atividades Micro'!$B342=M$2,'Atividades Micro'!$K342&lt;&gt;""),'Atividades Micro'!$K342,"")</f>
        <v/>
      </c>
      <c r="N290" s="21" t="str">
        <f>IF(AND('Atividades Micro'!$B342=N$2,'Atividades Micro'!$L342&lt;&gt;""),'Atividades Micro'!$L342,"")</f>
        <v/>
      </c>
      <c r="O290" s="21" t="str">
        <f>IF(AND('Atividades Micro'!$A342=O$2,'Atividades Micro'!$K342&lt;&gt;""),'Atividades Micro'!$K342,"")</f>
        <v/>
      </c>
      <c r="P290" s="21" t="str">
        <f>IF(AND('Atividades Micro'!$A342=P$2,'Atividades Micro'!$L342&lt;&gt;""),'Atividades Micro'!$L342,"")</f>
        <v/>
      </c>
      <c r="Q290" s="21" t="str">
        <f>IF(AND('Atividades Micro'!$B342=Q$2,'Atividades Micro'!$K342&lt;&gt;""),'Atividades Micro'!$K342,"")</f>
        <v/>
      </c>
      <c r="R290" s="21" t="str">
        <f>IF(AND('Atividades Micro'!$B342=R$2,'Atividades Micro'!$L342&lt;&gt;""),'Atividades Micro'!$L342,"")</f>
        <v/>
      </c>
      <c r="S290" s="21" t="str">
        <f>IF(AND('Atividades Micro'!$A342=S$2,'Atividades Micro'!$K342&lt;&gt;""),'Atividades Micro'!$K342,"")</f>
        <v/>
      </c>
      <c r="T290" s="21" t="str">
        <f>IF(AND('Atividades Micro'!$A342=T$2,'Atividades Micro'!$L342&lt;&gt;""),'Atividades Micro'!$L342,"")</f>
        <v/>
      </c>
      <c r="U290" s="21" t="str">
        <f>IF(AND('Atividades Micro'!$B342=U$2,'Atividades Micro'!$K342&lt;&gt;""),'Atividades Micro'!$K342,"")</f>
        <v/>
      </c>
      <c r="V290" s="21" t="str">
        <f>IF(AND('Atividades Micro'!$B342=V$2,'Atividades Micro'!$L342&lt;&gt;""),'Atividades Micro'!$L342,"")</f>
        <v/>
      </c>
      <c r="W290" s="21" t="str">
        <f>IF(AND('Atividades Micro'!$B342=W$2,'Atividades Micro'!$K342&lt;&gt;""),'Atividades Micro'!$K342,"")</f>
        <v/>
      </c>
      <c r="X290" s="21" t="str">
        <f>IF(AND('Atividades Micro'!$B342=X$2,'Atividades Micro'!$L342&lt;&gt;""),'Atividades Micro'!$L342,"")</f>
        <v/>
      </c>
      <c r="Y290" s="21" t="str">
        <f>IF(AND('Atividades Micro'!$A342=Y$2,'Atividades Micro'!$K342&lt;&gt;""),'Atividades Micro'!$K342,"")</f>
        <v/>
      </c>
      <c r="Z290" s="21" t="str">
        <f>IF(AND('Atividades Micro'!$A342=Z$2,'Atividades Micro'!$L342&lt;&gt;""),'Atividades Micro'!$L342,"")</f>
        <v/>
      </c>
      <c r="AA290" s="21" t="str">
        <f>IF(AND('Atividades Micro'!$B342=AA$2,'Atividades Micro'!$K342&lt;&gt;""),'Atividades Micro'!$K342,"")</f>
        <v/>
      </c>
      <c r="AB290" s="21" t="str">
        <f>IF(AND('Atividades Micro'!$B342=AB$2,'Atividades Micro'!$L342&lt;&gt;""),'Atividades Micro'!$L342,"")</f>
        <v/>
      </c>
      <c r="AC290" s="21" t="str">
        <f>IF(AND('Atividades Micro'!$B342=AC$2,'Atividades Micro'!$K342&lt;&gt;""),'Atividades Micro'!$K342,"")</f>
        <v/>
      </c>
      <c r="AD290" s="21" t="str">
        <f>IF(AND('Atividades Micro'!$B342=AD$2,'Atividades Micro'!$L342&lt;&gt;""),'Atividades Micro'!$L342,"")</f>
        <v/>
      </c>
      <c r="AE290" s="21" t="str">
        <f>IF(AND('Atividades Micro'!$A342=AE$2,'Atividades Micro'!$K342&lt;&gt;""),'Atividades Micro'!$K342,"")</f>
        <v/>
      </c>
      <c r="AF290" s="21" t="str">
        <f>IF(AND('Atividades Micro'!$A342=AF$2,'Atividades Micro'!$L342&lt;&gt;""),'Atividades Micro'!$L342,"")</f>
        <v/>
      </c>
      <c r="AG290" s="21" t="str">
        <f>IF(AND('Atividades Micro'!$B342=AG$2,'Atividades Micro'!$K342&lt;&gt;""),'Atividades Micro'!$K342,"")</f>
        <v/>
      </c>
      <c r="AH290" s="21" t="str">
        <f>IF(AND('Atividades Micro'!$B342=AH$2,'Atividades Micro'!$L342&lt;&gt;""),'Atividades Micro'!$L342,"")</f>
        <v/>
      </c>
      <c r="AI290" s="21" t="str">
        <f>IF(AND('Atividades Micro'!$B342=AI$2,'Atividades Micro'!$K342&lt;&gt;""),'Atividades Micro'!$K342,"")</f>
        <v/>
      </c>
      <c r="AJ290" s="21" t="str">
        <f>IF(AND('Atividades Micro'!$B342=AJ$2,'Atividades Micro'!$L342&lt;&gt;""),'Atividades Micro'!$L342,"")</f>
        <v/>
      </c>
      <c r="AK290" s="21" t="str">
        <f>IF(AND('Atividades Micro'!$A342=AK$2,'Atividades Micro'!$K342&lt;&gt;""),'Atividades Micro'!$K342,"")</f>
        <v/>
      </c>
      <c r="AL290" s="21" t="str">
        <f>IF(AND('Atividades Micro'!$A342=AL$2,'Atividades Micro'!$L342&lt;&gt;""),'Atividades Micro'!$L342,"")</f>
        <v/>
      </c>
      <c r="AM290" s="21" t="str">
        <f>IF(AND('Atividades Micro'!$B342=AM$2,'Atividades Micro'!$K342&lt;&gt;""),'Atividades Micro'!$K342,"")</f>
        <v/>
      </c>
      <c r="AN290" s="21" t="str">
        <f>IF(AND('Atividades Micro'!$B342=AN$2,'Atividades Micro'!$L342&lt;&gt;""),'Atividades Micro'!$L342,"")</f>
        <v/>
      </c>
      <c r="AO290" s="21" t="str">
        <f>IF(AND('Atividades Micro'!$B342=AO$2,'Atividades Micro'!$K342&lt;&gt;""),'Atividades Micro'!$K342,"")</f>
        <v/>
      </c>
      <c r="AP290" s="21" t="str">
        <f>IF(AND('Atividades Micro'!$B342=AP$2,'Atividades Micro'!$L342&lt;&gt;""),'Atividades Micro'!$L342,"")</f>
        <v/>
      </c>
      <c r="AQ290" s="21" t="str">
        <f>IF(AND('Atividades Micro'!$A342=AQ$2,'Atividades Micro'!$K342&lt;&gt;""),'Atividades Micro'!$K342,"")</f>
        <v/>
      </c>
      <c r="AR290" s="21" t="str">
        <f>IF(AND('Atividades Micro'!$A342=AR$2,'Atividades Micro'!$L342&lt;&gt;""),'Atividades Micro'!$L342,"")</f>
        <v/>
      </c>
      <c r="AS290" s="21" t="str">
        <f>IF(AND('Atividades Micro'!$B342=AS$2,'Atividades Micro'!$K342&lt;&gt;""),'Atividades Micro'!$K342,"")</f>
        <v/>
      </c>
      <c r="AT290" s="21" t="str">
        <f>IF(AND('Atividades Micro'!$B342=AT$2,'Atividades Micro'!$L342&lt;&gt;""),'Atividades Micro'!$L342,"")</f>
        <v/>
      </c>
      <c r="AU290" s="21" t="str">
        <f>IF(AND('Atividades Micro'!$A342=AU$2,'Atividades Micro'!$K342&lt;&gt;""),'Atividades Micro'!$K342,"")</f>
        <v/>
      </c>
      <c r="AV290" s="21" t="str">
        <f>IF(AND('Atividades Micro'!$A342=AV$2,'Atividades Micro'!$L342&lt;&gt;""),'Atividades Micro'!$L342,"")</f>
        <v/>
      </c>
      <c r="AW290" s="21" t="str">
        <f>IF(AND('Atividades Micro'!$B342=AW$2,'Atividades Micro'!$K342&lt;&gt;""),'Atividades Micro'!$K342,"")</f>
        <v/>
      </c>
      <c r="AX290" s="21" t="str">
        <f>IF(AND('Atividades Micro'!$B342=AX$2,'Atividades Micro'!$L342&lt;&gt;""),'Atividades Micro'!$L342,"")</f>
        <v/>
      </c>
      <c r="AY290" s="21" t="str">
        <f>IF(AND('Atividades Micro'!$A342=AY$2,'Atividades Micro'!$K342&lt;&gt;""),'Atividades Micro'!$K342,"")</f>
        <v/>
      </c>
      <c r="AZ290" s="21" t="str">
        <f>IF(AND('Atividades Micro'!$A342=AZ$2,'Atividades Micro'!$L342&lt;&gt;""),'Atividades Micro'!$L342,"")</f>
        <v/>
      </c>
      <c r="BA290" s="21" t="str">
        <f>IF(AND('Atividades Micro'!$B342=BA$2,'Atividades Micro'!$K342&lt;&gt;""),'Atividades Micro'!$K342,"")</f>
        <v/>
      </c>
      <c r="BB290" s="21" t="str">
        <f>IF(AND('Atividades Micro'!$B342=BB$2,'Atividades Micro'!$L342&lt;&gt;""),'Atividades Micro'!$L342,"")</f>
        <v/>
      </c>
      <c r="BC290" s="21" t="str">
        <f>IF(AND('Atividades Micro'!$B342=BC$2,'Atividades Micro'!$G342="Macro",'Atividades Micro'!$K342&lt;&gt;""),'Atividades Micro'!$K342,"")</f>
        <v/>
      </c>
      <c r="BD290" s="21" t="str">
        <f>IF(AND('Atividades Micro'!$B342=BD$2,'Atividades Micro'!$G342="Macro",'Atividades Micro'!$K342&lt;&gt;""),'Atividades Micro'!$K342,"")</f>
        <v/>
      </c>
      <c r="BE290" s="21" t="str">
        <f>IF(AND('Atividades Micro'!$B342=BE$2,'Atividades Micro'!$G342="Macro",'Atividades Micro'!$K342&lt;&gt;""),'Atividades Micro'!$K342,"")</f>
        <v/>
      </c>
      <c r="BF290" s="21" t="str">
        <f>IF(AND('Atividades Micro'!$B342=BF$2,'Atividades Micro'!$G342="Macro",'Atividades Micro'!$K342&lt;&gt;""),'Atividades Micro'!$K342,"")</f>
        <v/>
      </c>
      <c r="BG290" s="21" t="str">
        <f>IF(AND('Atividades Micro'!$B342=BG$2,'Atividades Micro'!$G342="Macro",'Atividades Micro'!$K342&lt;&gt;""),'Atividades Micro'!$K342,"")</f>
        <v/>
      </c>
      <c r="BH290" s="21" t="str">
        <f>IF(AND('Atividades Micro'!$B342=BH$2,'Atividades Micro'!$G342="Macro",'Atividades Micro'!$K342&lt;&gt;""),'Atividades Micro'!$K342,"")</f>
        <v/>
      </c>
      <c r="BI290" s="21" t="str">
        <f>IF(AND('Atividades Micro'!$B342=BI$2,'Atividades Micro'!$G342="Macro",'Atividades Micro'!$K342&lt;&gt;""),'Atividades Micro'!$K342,"")</f>
        <v/>
      </c>
      <c r="BJ290" s="21" t="str">
        <f>IF(AND('Atividades Micro'!$B342=BJ$2,'Atividades Micro'!$G342="Macro",'Atividades Micro'!$K342&lt;&gt;""),'Atividades Micro'!$K342,"")</f>
        <v/>
      </c>
      <c r="BK290" s="21" t="str">
        <f>IF(AND('Atividades Micro'!$B342=BK$2,'Atividades Micro'!$G342="Macro",'Atividades Micro'!$K342&lt;&gt;""),'Atividades Micro'!$K342,"")</f>
        <v/>
      </c>
      <c r="BL290" s="21" t="str">
        <f>IF(AND('Atividades Micro'!$B342=BL$2,'Atividades Micro'!$G342="Macro",'Atividades Micro'!$K342&lt;&gt;""),'Atividades Micro'!$K342,"")</f>
        <v/>
      </c>
      <c r="BM290" s="21" t="str">
        <f>IF(AND('Atividades Micro'!$B342=BM$2,'Atividades Micro'!$G342="Macro",'Atividades Micro'!$K342&lt;&gt;""),'Atividades Micro'!$K342,"")</f>
        <v/>
      </c>
      <c r="BN290" s="21" t="str">
        <f>IF(AND('Atividades Micro'!$B342=BN$2,'Atividades Micro'!$G342="Macro",'Atividades Micro'!$K342&lt;&gt;""),'Atividades Micro'!$K342,"")</f>
        <v/>
      </c>
      <c r="BO290" s="21" t="str">
        <f>IF(AND('Atividades Micro'!$B342=BO$2,'Atividades Micro'!$G342="Macro",'Atividades Micro'!$K342&lt;&gt;""),'Atividades Micro'!$K342,"")</f>
        <v/>
      </c>
      <c r="BP290" s="21" t="str">
        <f>IF(AND('Atividades Micro'!$B342=BP$2,'Atividades Micro'!$G342="Macro",'Atividades Micro'!$K342&lt;&gt;""),'Atividades Micro'!$K342,"")</f>
        <v/>
      </c>
      <c r="BQ290" s="21" t="str">
        <f>IF(AND('Atividades Micro'!$B342=BQ$2,'Atividades Micro'!$G342="Macro",'Atividades Micro'!$K342&lt;&gt;""),'Atividades Micro'!$K342,"")</f>
        <v/>
      </c>
      <c r="BR290" s="21" t="str">
        <f>IF(AND('Atividades Micro'!$B342=BR$2,'Atividades Micro'!$G342="Macro",'Atividades Micro'!$K342&lt;&gt;""),'Atividades Micro'!$K342,"")</f>
        <v/>
      </c>
      <c r="BS290" s="21" t="str">
        <f>IF(AND('Atividades Micro'!$B342=BS$2,'Atividades Micro'!$G342="Macro",'Atividades Micro'!$K342&lt;&gt;""),'Atividades Micro'!$K342,"")</f>
        <v/>
      </c>
      <c r="BT290" s="21" t="str">
        <f>IF(AND('Atividades Micro'!$B342=BT$2,'Atividades Micro'!$G342="Macro",'Atividades Micro'!$K342&lt;&gt;""),'Atividades Micro'!$K342,"")</f>
        <v/>
      </c>
      <c r="BU290" s="21" t="str">
        <f>IF(AND('Atividades Micro'!$B342=BU$2,'Atividades Micro'!$G342="Macro",'Atividades Micro'!$K342&lt;&gt;""),'Atividades Micro'!$K342,"")</f>
        <v/>
      </c>
      <c r="BV290" s="21" t="str">
        <f>IF(AND('Atividades Micro'!$B342=BV$2,'Atividades Micro'!$G342="Macro",'Atividades Micro'!$K342&lt;&gt;""),'Atividades Micro'!$K342,"")</f>
        <v/>
      </c>
      <c r="BW290" s="21" t="str">
        <f>IF(AND('Atividades Micro'!$B342=BW$2,'Atividades Micro'!$G342="Macro",'Atividades Micro'!$K342&lt;&gt;""),'Atividades Micro'!$K342,"")</f>
        <v/>
      </c>
      <c r="BX290" s="21" t="str">
        <f>IF(AND('Atividades Micro'!$B342=BX$2,'Atividades Micro'!$G342="Macro",'Atividades Micro'!$K342&lt;&gt;""),'Atividades Micro'!$K342,"")</f>
        <v/>
      </c>
      <c r="BY290" s="21" t="str">
        <f>IF(AND('Atividades Micro'!$B342=BY$2,'Atividades Micro'!$G342="Macro",'Atividades Micro'!$K342&lt;&gt;""),'Atividades Micro'!$K342,"")</f>
        <v/>
      </c>
      <c r="BZ290" s="21" t="str">
        <f>IF(AND('Atividades Micro'!$B342=BZ$2,'Atividades Micro'!$G342="Macro",'Atividades Micro'!$K342&lt;&gt;""),'Atividades Micro'!$K342,"")</f>
        <v/>
      </c>
      <c r="CA290" s="21" t="str">
        <f>IF(AND('Atividades Micro'!$B342=CA$2,'Atividades Micro'!$G342="Macro",'Atividades Micro'!$K342&lt;&gt;""),'Atividades Micro'!$K342,"")</f>
        <v/>
      </c>
      <c r="CB290" s="21" t="str">
        <f>IF(AND('Atividades Micro'!$B342=CB$2,'Atividades Micro'!$G342="Macro",'Atividades Micro'!$K342&lt;&gt;""),'Atividades Micro'!$K342,"")</f>
        <v/>
      </c>
      <c r="CC290" s="21" t="str">
        <f>IF(AND('Atividades Micro'!$B342=CC$2,'Atividades Micro'!$G342="Macro",'Atividades Micro'!$K342&lt;&gt;""),'Atividades Micro'!$K342,"")</f>
        <v/>
      </c>
      <c r="CD290" s="21" t="str">
        <f>IF(AND('Atividades Micro'!$B342=CD$2,'Atividades Micro'!$G342="Micro",'Atividades Micro'!$K342&lt;&gt;""),'Atividades Micro'!$K342,"")</f>
        <v/>
      </c>
      <c r="CE290" s="21" t="str">
        <f>IF(AND('Atividades Micro'!$B342=CE$2,'Atividades Micro'!$G342="Micro",'Atividades Micro'!$K342&lt;&gt;""),'Atividades Micro'!$K342,"")</f>
        <v/>
      </c>
      <c r="CF290" s="21" t="str">
        <f>IF(AND('Atividades Micro'!$B342=CF$2,'Atividades Micro'!$G342="Micro",'Atividades Micro'!$K342&lt;&gt;""),'Atividades Micro'!$K342,"")</f>
        <v/>
      </c>
      <c r="CG290" s="21" t="str">
        <f>IF(AND('Atividades Micro'!$B342=CG$2,'Atividades Micro'!$G342="Micro",'Atividades Micro'!$K342&lt;&gt;""),'Atividades Micro'!$K342,"")</f>
        <v/>
      </c>
      <c r="CH290" s="21" t="str">
        <f>IF(AND('Atividades Micro'!$B342=CH$2,'Atividades Micro'!$G342="Micro",'Atividades Micro'!$K342&lt;&gt;""),'Atividades Micro'!$K342,"")</f>
        <v/>
      </c>
      <c r="CI290" s="21" t="str">
        <f>IF(AND('Atividades Micro'!$B342=CI$2,'Atividades Micro'!$G342="Micro",'Atividades Micro'!$K342&lt;&gt;""),'Atividades Micro'!$K342,"")</f>
        <v/>
      </c>
      <c r="CJ290" s="21" t="str">
        <f>IF(AND('Atividades Micro'!$B342=CJ$2,'Atividades Micro'!$G342="Micro",'Atividades Micro'!$K342&lt;&gt;""),'Atividades Micro'!$K342,"")</f>
        <v/>
      </c>
      <c r="CK290" s="21" t="str">
        <f>IF(AND('Atividades Micro'!$B342=CK$2,'Atividades Micro'!$G342="Micro",'Atividades Micro'!$K342&lt;&gt;""),'Atividades Micro'!$K342,"")</f>
        <v/>
      </c>
      <c r="CL290" s="21" t="str">
        <f>IF(AND('Atividades Micro'!$B342=CL$2,'Atividades Micro'!$G342="Micro",'Atividades Micro'!$K342&lt;&gt;""),'Atividades Micro'!$K342,"")</f>
        <v/>
      </c>
      <c r="CM290" s="21" t="str">
        <f>IF(AND('Atividades Micro'!$B342=CM$2,'Atividades Micro'!$G342="Micro",'Atividades Micro'!$K342&lt;&gt;""),'Atividades Micro'!$K342,"")</f>
        <v/>
      </c>
      <c r="CN290" s="21" t="str">
        <f>IF(AND('Atividades Micro'!$B342=CN$2,'Atividades Micro'!$G342="Micro",'Atividades Micro'!$K342&lt;&gt;""),'Atividades Micro'!$K342,"")</f>
        <v/>
      </c>
      <c r="CO290" s="21" t="str">
        <f>IF(AND('Atividades Micro'!$B342=CO$2,'Atividades Micro'!$G342="Micro",'Atividades Micro'!$K342&lt;&gt;""),'Atividades Micro'!$K342,"")</f>
        <v/>
      </c>
    </row>
    <row r="291" spans="1:93">
      <c r="A291" s="21" t="str">
        <f>IF(AND('Atividades Micro'!$A343=A$2,'Atividades Micro'!$K343&lt;&gt;""),'Atividades Micro'!$K343,"")</f>
        <v/>
      </c>
      <c r="B291" s="21" t="str">
        <f>IF(AND('Atividades Micro'!$A343=B$2,'Atividades Micro'!$L343&lt;&gt;""),'Atividades Micro'!$L343,"")</f>
        <v/>
      </c>
      <c r="C291" s="21" t="str">
        <f>IF(AND('Atividades Micro'!$A343=C$2,'Atividades Micro'!$K343&lt;&gt;""),'Atividades Micro'!$K343,"")</f>
        <v/>
      </c>
      <c r="D291" s="21" t="str">
        <f>IF(AND('Atividades Micro'!$A343=D$2,'Atividades Micro'!$L343&lt;&gt;""),'Atividades Micro'!$L343,"")</f>
        <v/>
      </c>
      <c r="E291" s="21">
        <f>IF(AND('Atividades Micro'!$A343=E$2,'Atividades Micro'!$K343&lt;&gt;""),'Atividades Micro'!$K343,"")</f>
        <v>46395</v>
      </c>
      <c r="F291" s="21" t="str">
        <f>IF(AND('Atividades Micro'!$A343=F$2,'Atividades Micro'!$L343&lt;&gt;""),'Atividades Micro'!$L343,"")</f>
        <v/>
      </c>
      <c r="G291" s="21" t="str">
        <f>IF(AND('Atividades Micro'!$A343=G$2,'Atividades Micro'!$K343&lt;&gt;""),'Atividades Micro'!$K343,"")</f>
        <v/>
      </c>
      <c r="H291" s="21" t="str">
        <f>IF(AND('Atividades Micro'!$A343=H$2,'Atividades Micro'!$L343&lt;&gt;""),'Atividades Micro'!$L343,"")</f>
        <v/>
      </c>
      <c r="I291" s="21" t="str">
        <f>IF(AND('Atividades Micro'!$A343=I$2,'Atividades Micro'!$K343&lt;&gt;""),'Atividades Micro'!$K343,"")</f>
        <v/>
      </c>
      <c r="J291" s="21" t="str">
        <f>IF(AND('Atividades Micro'!$A343=J$2,'Atividades Micro'!$L343&lt;&gt;""),'Atividades Micro'!$L343,"")</f>
        <v/>
      </c>
      <c r="K291" s="21" t="str">
        <f>IF(AND('Atividades Micro'!$B343=K$2,'Atividades Micro'!$K343&lt;&gt;""),'Atividades Micro'!$K343,"")</f>
        <v/>
      </c>
      <c r="L291" s="21" t="str">
        <f>IF(AND('Atividades Micro'!$B343=L$2,'Atividades Micro'!$L343&lt;&gt;""),'Atividades Micro'!$L343,"")</f>
        <v/>
      </c>
      <c r="M291" s="21" t="str">
        <f>IF(AND('Atividades Micro'!$B343=M$2,'Atividades Micro'!$K343&lt;&gt;""),'Atividades Micro'!$K343,"")</f>
        <v/>
      </c>
      <c r="N291" s="21" t="str">
        <f>IF(AND('Atividades Micro'!$B343=N$2,'Atividades Micro'!$L343&lt;&gt;""),'Atividades Micro'!$L343,"")</f>
        <v/>
      </c>
      <c r="O291" s="21" t="str">
        <f>IF(AND('Atividades Micro'!$A343=O$2,'Atividades Micro'!$K343&lt;&gt;""),'Atividades Micro'!$K343,"")</f>
        <v/>
      </c>
      <c r="P291" s="21" t="str">
        <f>IF(AND('Atividades Micro'!$A343=P$2,'Atividades Micro'!$L343&lt;&gt;""),'Atividades Micro'!$L343,"")</f>
        <v/>
      </c>
      <c r="Q291" s="21" t="str">
        <f>IF(AND('Atividades Micro'!$B343=Q$2,'Atividades Micro'!$K343&lt;&gt;""),'Atividades Micro'!$K343,"")</f>
        <v/>
      </c>
      <c r="R291" s="21" t="str">
        <f>IF(AND('Atividades Micro'!$B343=R$2,'Atividades Micro'!$L343&lt;&gt;""),'Atividades Micro'!$L343,"")</f>
        <v/>
      </c>
      <c r="S291" s="21" t="str">
        <f>IF(AND('Atividades Micro'!$A343=S$2,'Atividades Micro'!$K343&lt;&gt;""),'Atividades Micro'!$K343,"")</f>
        <v/>
      </c>
      <c r="T291" s="21" t="str">
        <f>IF(AND('Atividades Micro'!$A343=T$2,'Atividades Micro'!$L343&lt;&gt;""),'Atividades Micro'!$L343,"")</f>
        <v/>
      </c>
      <c r="U291" s="21" t="str">
        <f>IF(AND('Atividades Micro'!$B343=U$2,'Atividades Micro'!$K343&lt;&gt;""),'Atividades Micro'!$K343,"")</f>
        <v/>
      </c>
      <c r="V291" s="21" t="str">
        <f>IF(AND('Atividades Micro'!$B343=V$2,'Atividades Micro'!$L343&lt;&gt;""),'Atividades Micro'!$L343,"")</f>
        <v/>
      </c>
      <c r="W291" s="21" t="str">
        <f>IF(AND('Atividades Micro'!$B343=W$2,'Atividades Micro'!$K343&lt;&gt;""),'Atividades Micro'!$K343,"")</f>
        <v/>
      </c>
      <c r="X291" s="21" t="str">
        <f>IF(AND('Atividades Micro'!$B343=X$2,'Atividades Micro'!$L343&lt;&gt;""),'Atividades Micro'!$L343,"")</f>
        <v/>
      </c>
      <c r="Y291" s="21" t="str">
        <f>IF(AND('Atividades Micro'!$A343=Y$2,'Atividades Micro'!$K343&lt;&gt;""),'Atividades Micro'!$K343,"")</f>
        <v/>
      </c>
      <c r="Z291" s="21" t="str">
        <f>IF(AND('Atividades Micro'!$A343=Z$2,'Atividades Micro'!$L343&lt;&gt;""),'Atividades Micro'!$L343,"")</f>
        <v/>
      </c>
      <c r="AA291" s="21" t="str">
        <f>IF(AND('Atividades Micro'!$B343=AA$2,'Atividades Micro'!$K343&lt;&gt;""),'Atividades Micro'!$K343,"")</f>
        <v/>
      </c>
      <c r="AB291" s="21" t="str">
        <f>IF(AND('Atividades Micro'!$B343=AB$2,'Atividades Micro'!$L343&lt;&gt;""),'Atividades Micro'!$L343,"")</f>
        <v/>
      </c>
      <c r="AC291" s="21" t="str">
        <f>IF(AND('Atividades Micro'!$B343=AC$2,'Atividades Micro'!$K343&lt;&gt;""),'Atividades Micro'!$K343,"")</f>
        <v/>
      </c>
      <c r="AD291" s="21" t="str">
        <f>IF(AND('Atividades Micro'!$B343=AD$2,'Atividades Micro'!$L343&lt;&gt;""),'Atividades Micro'!$L343,"")</f>
        <v/>
      </c>
      <c r="AE291" s="21" t="str">
        <f>IF(AND('Atividades Micro'!$A343=AE$2,'Atividades Micro'!$K343&lt;&gt;""),'Atividades Micro'!$K343,"")</f>
        <v/>
      </c>
      <c r="AF291" s="21" t="str">
        <f>IF(AND('Atividades Micro'!$A343=AF$2,'Atividades Micro'!$L343&lt;&gt;""),'Atividades Micro'!$L343,"")</f>
        <v/>
      </c>
      <c r="AG291" s="21" t="str">
        <f>IF(AND('Atividades Micro'!$B343=AG$2,'Atividades Micro'!$K343&lt;&gt;""),'Atividades Micro'!$K343,"")</f>
        <v/>
      </c>
      <c r="AH291" s="21" t="str">
        <f>IF(AND('Atividades Micro'!$B343=AH$2,'Atividades Micro'!$L343&lt;&gt;""),'Atividades Micro'!$L343,"")</f>
        <v/>
      </c>
      <c r="AI291" s="21" t="str">
        <f>IF(AND('Atividades Micro'!$B343=AI$2,'Atividades Micro'!$K343&lt;&gt;""),'Atividades Micro'!$K343,"")</f>
        <v/>
      </c>
      <c r="AJ291" s="21" t="str">
        <f>IF(AND('Atividades Micro'!$B343=AJ$2,'Atividades Micro'!$L343&lt;&gt;""),'Atividades Micro'!$L343,"")</f>
        <v/>
      </c>
      <c r="AK291" s="21" t="str">
        <f>IF(AND('Atividades Micro'!$A343=AK$2,'Atividades Micro'!$K343&lt;&gt;""),'Atividades Micro'!$K343,"")</f>
        <v/>
      </c>
      <c r="AL291" s="21" t="str">
        <f>IF(AND('Atividades Micro'!$A343=AL$2,'Atividades Micro'!$L343&lt;&gt;""),'Atividades Micro'!$L343,"")</f>
        <v/>
      </c>
      <c r="AM291" s="21" t="str">
        <f>IF(AND('Atividades Micro'!$B343=AM$2,'Atividades Micro'!$K343&lt;&gt;""),'Atividades Micro'!$K343,"")</f>
        <v/>
      </c>
      <c r="AN291" s="21" t="str">
        <f>IF(AND('Atividades Micro'!$B343=AN$2,'Atividades Micro'!$L343&lt;&gt;""),'Atividades Micro'!$L343,"")</f>
        <v/>
      </c>
      <c r="AO291" s="21" t="str">
        <f>IF(AND('Atividades Micro'!$B343=AO$2,'Atividades Micro'!$K343&lt;&gt;""),'Atividades Micro'!$K343,"")</f>
        <v/>
      </c>
      <c r="AP291" s="21" t="str">
        <f>IF(AND('Atividades Micro'!$B343=AP$2,'Atividades Micro'!$L343&lt;&gt;""),'Atividades Micro'!$L343,"")</f>
        <v/>
      </c>
      <c r="AQ291" s="21" t="str">
        <f>IF(AND('Atividades Micro'!$A343=AQ$2,'Atividades Micro'!$K343&lt;&gt;""),'Atividades Micro'!$K343,"")</f>
        <v/>
      </c>
      <c r="AR291" s="21" t="str">
        <f>IF(AND('Atividades Micro'!$A343=AR$2,'Atividades Micro'!$L343&lt;&gt;""),'Atividades Micro'!$L343,"")</f>
        <v/>
      </c>
      <c r="AS291" s="21" t="str">
        <f>IF(AND('Atividades Micro'!$B343=AS$2,'Atividades Micro'!$K343&lt;&gt;""),'Atividades Micro'!$K343,"")</f>
        <v/>
      </c>
      <c r="AT291" s="21" t="str">
        <f>IF(AND('Atividades Micro'!$B343=AT$2,'Atividades Micro'!$L343&lt;&gt;""),'Atividades Micro'!$L343,"")</f>
        <v/>
      </c>
      <c r="AU291" s="21" t="str">
        <f>IF(AND('Atividades Micro'!$A343=AU$2,'Atividades Micro'!$K343&lt;&gt;""),'Atividades Micro'!$K343,"")</f>
        <v/>
      </c>
      <c r="AV291" s="21" t="str">
        <f>IF(AND('Atividades Micro'!$A343=AV$2,'Atividades Micro'!$L343&lt;&gt;""),'Atividades Micro'!$L343,"")</f>
        <v/>
      </c>
      <c r="AW291" s="21" t="str">
        <f>IF(AND('Atividades Micro'!$B343=AW$2,'Atividades Micro'!$K343&lt;&gt;""),'Atividades Micro'!$K343,"")</f>
        <v/>
      </c>
      <c r="AX291" s="21" t="str">
        <f>IF(AND('Atividades Micro'!$B343=AX$2,'Atividades Micro'!$L343&lt;&gt;""),'Atividades Micro'!$L343,"")</f>
        <v/>
      </c>
      <c r="AY291" s="21" t="str">
        <f>IF(AND('Atividades Micro'!$A343=AY$2,'Atividades Micro'!$K343&lt;&gt;""),'Atividades Micro'!$K343,"")</f>
        <v/>
      </c>
      <c r="AZ291" s="21" t="str">
        <f>IF(AND('Atividades Micro'!$A343=AZ$2,'Atividades Micro'!$L343&lt;&gt;""),'Atividades Micro'!$L343,"")</f>
        <v/>
      </c>
      <c r="BA291" s="21" t="str">
        <f>IF(AND('Atividades Micro'!$B343=BA$2,'Atividades Micro'!$K343&lt;&gt;""),'Atividades Micro'!$K343,"")</f>
        <v/>
      </c>
      <c r="BB291" s="21" t="str">
        <f>IF(AND('Atividades Micro'!$B343=BB$2,'Atividades Micro'!$L343&lt;&gt;""),'Atividades Micro'!$L343,"")</f>
        <v/>
      </c>
      <c r="BC291" s="21" t="str">
        <f>IF(AND('Atividades Micro'!$B343=BC$2,'Atividades Micro'!$G343="Macro",'Atividades Micro'!$K343&lt;&gt;""),'Atividades Micro'!$K343,"")</f>
        <v/>
      </c>
      <c r="BD291" s="21" t="str">
        <f>IF(AND('Atividades Micro'!$B343=BD$2,'Atividades Micro'!$G343="Macro",'Atividades Micro'!$K343&lt;&gt;""),'Atividades Micro'!$K343,"")</f>
        <v/>
      </c>
      <c r="BE291" s="21" t="str">
        <f>IF(AND('Atividades Micro'!$B343=BE$2,'Atividades Micro'!$G343="Macro",'Atividades Micro'!$K343&lt;&gt;""),'Atividades Micro'!$K343,"")</f>
        <v/>
      </c>
      <c r="BF291" s="21" t="str">
        <f>IF(AND('Atividades Micro'!$B343=BF$2,'Atividades Micro'!$G343="Macro",'Atividades Micro'!$K343&lt;&gt;""),'Atividades Micro'!$K343,"")</f>
        <v/>
      </c>
      <c r="BG291" s="21" t="str">
        <f>IF(AND('Atividades Micro'!$B343=BG$2,'Atividades Micro'!$G343="Macro",'Atividades Micro'!$K343&lt;&gt;""),'Atividades Micro'!$K343,"")</f>
        <v/>
      </c>
      <c r="BH291" s="21" t="str">
        <f>IF(AND('Atividades Micro'!$B343=BH$2,'Atividades Micro'!$G343="Macro",'Atividades Micro'!$K343&lt;&gt;""),'Atividades Micro'!$K343,"")</f>
        <v/>
      </c>
      <c r="BI291" s="21" t="str">
        <f>IF(AND('Atividades Micro'!$B343=BI$2,'Atividades Micro'!$G343="Macro",'Atividades Micro'!$K343&lt;&gt;""),'Atividades Micro'!$K343,"")</f>
        <v/>
      </c>
      <c r="BJ291" s="21" t="str">
        <f>IF(AND('Atividades Micro'!$B343=BJ$2,'Atividades Micro'!$G343="Macro",'Atividades Micro'!$K343&lt;&gt;""),'Atividades Micro'!$K343,"")</f>
        <v/>
      </c>
      <c r="BK291" s="21" t="str">
        <f>IF(AND('Atividades Micro'!$B343=BK$2,'Atividades Micro'!$G343="Macro",'Atividades Micro'!$K343&lt;&gt;""),'Atividades Micro'!$K343,"")</f>
        <v/>
      </c>
      <c r="BL291" s="21" t="str">
        <f>IF(AND('Atividades Micro'!$B343=BL$2,'Atividades Micro'!$G343="Macro",'Atividades Micro'!$K343&lt;&gt;""),'Atividades Micro'!$K343,"")</f>
        <v/>
      </c>
      <c r="BM291" s="21" t="str">
        <f>IF(AND('Atividades Micro'!$B343=BM$2,'Atividades Micro'!$G343="Macro",'Atividades Micro'!$K343&lt;&gt;""),'Atividades Micro'!$K343,"")</f>
        <v/>
      </c>
      <c r="BN291" s="21" t="str">
        <f>IF(AND('Atividades Micro'!$B343=BN$2,'Atividades Micro'!$G343="Macro",'Atividades Micro'!$K343&lt;&gt;""),'Atividades Micro'!$K343,"")</f>
        <v/>
      </c>
      <c r="BO291" s="21" t="str">
        <f>IF(AND('Atividades Micro'!$B343=BO$2,'Atividades Micro'!$G343="Macro",'Atividades Micro'!$K343&lt;&gt;""),'Atividades Micro'!$K343,"")</f>
        <v/>
      </c>
      <c r="BP291" s="21" t="str">
        <f>IF(AND('Atividades Micro'!$B343=BP$2,'Atividades Micro'!$G343="Macro",'Atividades Micro'!$K343&lt;&gt;""),'Atividades Micro'!$K343,"")</f>
        <v/>
      </c>
      <c r="BQ291" s="21" t="str">
        <f>IF(AND('Atividades Micro'!$B343=BQ$2,'Atividades Micro'!$G343="Macro",'Atividades Micro'!$K343&lt;&gt;""),'Atividades Micro'!$K343,"")</f>
        <v/>
      </c>
      <c r="BR291" s="21" t="str">
        <f>IF(AND('Atividades Micro'!$B343=BR$2,'Atividades Micro'!$G343="Macro",'Atividades Micro'!$K343&lt;&gt;""),'Atividades Micro'!$K343,"")</f>
        <v/>
      </c>
      <c r="BS291" s="21" t="str">
        <f>IF(AND('Atividades Micro'!$B343=BS$2,'Atividades Micro'!$G343="Macro",'Atividades Micro'!$K343&lt;&gt;""),'Atividades Micro'!$K343,"")</f>
        <v/>
      </c>
      <c r="BT291" s="21" t="str">
        <f>IF(AND('Atividades Micro'!$B343=BT$2,'Atividades Micro'!$G343="Macro",'Atividades Micro'!$K343&lt;&gt;""),'Atividades Micro'!$K343,"")</f>
        <v/>
      </c>
      <c r="BU291" s="21" t="str">
        <f>IF(AND('Atividades Micro'!$B343=BU$2,'Atividades Micro'!$G343="Macro",'Atividades Micro'!$K343&lt;&gt;""),'Atividades Micro'!$K343,"")</f>
        <v/>
      </c>
      <c r="BV291" s="21" t="str">
        <f>IF(AND('Atividades Micro'!$B343=BV$2,'Atividades Micro'!$G343="Macro",'Atividades Micro'!$K343&lt;&gt;""),'Atividades Micro'!$K343,"")</f>
        <v/>
      </c>
      <c r="BW291" s="21" t="str">
        <f>IF(AND('Atividades Micro'!$B343=BW$2,'Atividades Micro'!$G343="Macro",'Atividades Micro'!$K343&lt;&gt;""),'Atividades Micro'!$K343,"")</f>
        <v/>
      </c>
      <c r="BX291" s="21" t="str">
        <f>IF(AND('Atividades Micro'!$B343=BX$2,'Atividades Micro'!$G343="Macro",'Atividades Micro'!$K343&lt;&gt;""),'Atividades Micro'!$K343,"")</f>
        <v/>
      </c>
      <c r="BY291" s="21" t="str">
        <f>IF(AND('Atividades Micro'!$B343=BY$2,'Atividades Micro'!$G343="Macro",'Atividades Micro'!$K343&lt;&gt;""),'Atividades Micro'!$K343,"")</f>
        <v/>
      </c>
      <c r="BZ291" s="21" t="str">
        <f>IF(AND('Atividades Micro'!$B343=BZ$2,'Atividades Micro'!$G343="Macro",'Atividades Micro'!$K343&lt;&gt;""),'Atividades Micro'!$K343,"")</f>
        <v/>
      </c>
      <c r="CA291" s="21" t="str">
        <f>IF(AND('Atividades Micro'!$B343=CA$2,'Atividades Micro'!$G343="Macro",'Atividades Micro'!$K343&lt;&gt;""),'Atividades Micro'!$K343,"")</f>
        <v/>
      </c>
      <c r="CB291" s="21" t="str">
        <f>IF(AND('Atividades Micro'!$B343=CB$2,'Atividades Micro'!$G343="Macro",'Atividades Micro'!$K343&lt;&gt;""),'Atividades Micro'!$K343,"")</f>
        <v/>
      </c>
      <c r="CC291" s="21" t="str">
        <f>IF(AND('Atividades Micro'!$B343=CC$2,'Atividades Micro'!$G343="Macro",'Atividades Micro'!$K343&lt;&gt;""),'Atividades Micro'!$K343,"")</f>
        <v/>
      </c>
      <c r="CD291" s="21" t="str">
        <f>IF(AND('Atividades Micro'!$B343=CD$2,'Atividades Micro'!$G343="Micro",'Atividades Micro'!$K343&lt;&gt;""),'Atividades Micro'!$K343,"")</f>
        <v/>
      </c>
      <c r="CE291" s="21" t="str">
        <f>IF(AND('Atividades Micro'!$B343=CE$2,'Atividades Micro'!$G343="Micro",'Atividades Micro'!$K343&lt;&gt;""),'Atividades Micro'!$K343,"")</f>
        <v/>
      </c>
      <c r="CF291" s="21" t="str">
        <f>IF(AND('Atividades Micro'!$B343=CF$2,'Atividades Micro'!$G343="Micro",'Atividades Micro'!$K343&lt;&gt;""),'Atividades Micro'!$K343,"")</f>
        <v/>
      </c>
      <c r="CG291" s="21" t="str">
        <f>IF(AND('Atividades Micro'!$B343=CG$2,'Atividades Micro'!$G343="Micro",'Atividades Micro'!$K343&lt;&gt;""),'Atividades Micro'!$K343,"")</f>
        <v/>
      </c>
      <c r="CH291" s="21" t="str">
        <f>IF(AND('Atividades Micro'!$B343=CH$2,'Atividades Micro'!$G343="Micro",'Atividades Micro'!$K343&lt;&gt;""),'Atividades Micro'!$K343,"")</f>
        <v/>
      </c>
      <c r="CI291" s="21" t="str">
        <f>IF(AND('Atividades Micro'!$B343=CI$2,'Atividades Micro'!$G343="Micro",'Atividades Micro'!$K343&lt;&gt;""),'Atividades Micro'!$K343,"")</f>
        <v/>
      </c>
      <c r="CJ291" s="21" t="str">
        <f>IF(AND('Atividades Micro'!$B343=CJ$2,'Atividades Micro'!$G343="Micro",'Atividades Micro'!$K343&lt;&gt;""),'Atividades Micro'!$K343,"")</f>
        <v/>
      </c>
      <c r="CK291" s="21" t="str">
        <f>IF(AND('Atividades Micro'!$B343=CK$2,'Atividades Micro'!$G343="Micro",'Atividades Micro'!$K343&lt;&gt;""),'Atividades Micro'!$K343,"")</f>
        <v/>
      </c>
      <c r="CL291" s="21" t="str">
        <f>IF(AND('Atividades Micro'!$B343=CL$2,'Atividades Micro'!$G343="Micro",'Atividades Micro'!$K343&lt;&gt;""),'Atividades Micro'!$K343,"")</f>
        <v/>
      </c>
      <c r="CM291" s="21" t="str">
        <f>IF(AND('Atividades Micro'!$B343=CM$2,'Atividades Micro'!$G343="Micro",'Atividades Micro'!$K343&lt;&gt;""),'Atividades Micro'!$K343,"")</f>
        <v/>
      </c>
      <c r="CN291" s="21" t="str">
        <f>IF(AND('Atividades Micro'!$B343=CN$2,'Atividades Micro'!$G343="Micro",'Atividades Micro'!$K343&lt;&gt;""),'Atividades Micro'!$K343,"")</f>
        <v/>
      </c>
      <c r="CO291" s="21" t="str">
        <f>IF(AND('Atividades Micro'!$B343=CO$2,'Atividades Micro'!$G343="Micro",'Atividades Micro'!$K343&lt;&gt;""),'Atividades Micro'!$K343,"")</f>
        <v/>
      </c>
    </row>
    <row r="292" spans="1:93">
      <c r="A292" s="21" t="str">
        <f>IF(AND('Atividades Micro'!$A344=A$2,'Atividades Micro'!$K344&lt;&gt;""),'Atividades Micro'!$K344,"")</f>
        <v/>
      </c>
      <c r="B292" s="21" t="str">
        <f>IF(AND('Atividades Micro'!$A344=B$2,'Atividades Micro'!$L344&lt;&gt;""),'Atividades Micro'!$L344,"")</f>
        <v/>
      </c>
      <c r="C292" s="21" t="str">
        <f>IF(AND('Atividades Micro'!$A344=C$2,'Atividades Micro'!$K344&lt;&gt;""),'Atividades Micro'!$K344,"")</f>
        <v/>
      </c>
      <c r="D292" s="21" t="str">
        <f>IF(AND('Atividades Micro'!$A344=D$2,'Atividades Micro'!$L344&lt;&gt;""),'Atividades Micro'!$L344,"")</f>
        <v/>
      </c>
      <c r="E292" s="21" t="str">
        <f>IF(AND('Atividades Micro'!$A344=E$2,'Atividades Micro'!$K344&lt;&gt;""),'Atividades Micro'!$K344,"")</f>
        <v/>
      </c>
      <c r="F292" s="21" t="str">
        <f>IF(AND('Atividades Micro'!$A344=F$2,'Atividades Micro'!$L344&lt;&gt;""),'Atividades Micro'!$L344,"")</f>
        <v/>
      </c>
      <c r="G292" s="21" t="str">
        <f>IF(AND('Atividades Micro'!$A344=G$2,'Atividades Micro'!$K344&lt;&gt;""),'Atividades Micro'!$K344,"")</f>
        <v/>
      </c>
      <c r="H292" s="21" t="str">
        <f>IF(AND('Atividades Micro'!$A344=H$2,'Atividades Micro'!$L344&lt;&gt;""),'Atividades Micro'!$L344,"")</f>
        <v/>
      </c>
      <c r="I292" s="21" t="str">
        <f>IF(AND('Atividades Micro'!$A344=I$2,'Atividades Micro'!$K344&lt;&gt;""),'Atividades Micro'!$K344,"")</f>
        <v/>
      </c>
      <c r="J292" s="21" t="str">
        <f>IF(AND('Atividades Micro'!$A344=J$2,'Atividades Micro'!$L344&lt;&gt;""),'Atividades Micro'!$L344,"")</f>
        <v/>
      </c>
      <c r="K292" s="21" t="str">
        <f>IF(AND('Atividades Micro'!$B344=K$2,'Atividades Micro'!$K344&lt;&gt;""),'Atividades Micro'!$K344,"")</f>
        <v/>
      </c>
      <c r="L292" s="21" t="str">
        <f>IF(AND('Atividades Micro'!$B344=L$2,'Atividades Micro'!$L344&lt;&gt;""),'Atividades Micro'!$L344,"")</f>
        <v/>
      </c>
      <c r="M292" s="21" t="str">
        <f>IF(AND('Atividades Micro'!$B344=M$2,'Atividades Micro'!$K344&lt;&gt;""),'Atividades Micro'!$K344,"")</f>
        <v/>
      </c>
      <c r="N292" s="21" t="str">
        <f>IF(AND('Atividades Micro'!$B344=N$2,'Atividades Micro'!$L344&lt;&gt;""),'Atividades Micro'!$L344,"")</f>
        <v/>
      </c>
      <c r="O292" s="21" t="str">
        <f>IF(AND('Atividades Micro'!$A344=O$2,'Atividades Micro'!$K344&lt;&gt;""),'Atividades Micro'!$K344,"")</f>
        <v/>
      </c>
      <c r="P292" s="21" t="str">
        <f>IF(AND('Atividades Micro'!$A344=P$2,'Atividades Micro'!$L344&lt;&gt;""),'Atividades Micro'!$L344,"")</f>
        <v/>
      </c>
      <c r="Q292" s="21" t="str">
        <f>IF(AND('Atividades Micro'!$B344=Q$2,'Atividades Micro'!$K344&lt;&gt;""),'Atividades Micro'!$K344,"")</f>
        <v/>
      </c>
      <c r="R292" s="21" t="str">
        <f>IF(AND('Atividades Micro'!$B344=R$2,'Atividades Micro'!$L344&lt;&gt;""),'Atividades Micro'!$L344,"")</f>
        <v/>
      </c>
      <c r="S292" s="21" t="str">
        <f>IF(AND('Atividades Micro'!$A344=S$2,'Atividades Micro'!$K344&lt;&gt;""),'Atividades Micro'!$K344,"")</f>
        <v/>
      </c>
      <c r="T292" s="21" t="str">
        <f>IF(AND('Atividades Micro'!$A344=T$2,'Atividades Micro'!$L344&lt;&gt;""),'Atividades Micro'!$L344,"")</f>
        <v/>
      </c>
      <c r="U292" s="21" t="str">
        <f>IF(AND('Atividades Micro'!$B344=U$2,'Atividades Micro'!$K344&lt;&gt;""),'Atividades Micro'!$K344,"")</f>
        <v/>
      </c>
      <c r="V292" s="21" t="str">
        <f>IF(AND('Atividades Micro'!$B344=V$2,'Atividades Micro'!$L344&lt;&gt;""),'Atividades Micro'!$L344,"")</f>
        <v/>
      </c>
      <c r="W292" s="21" t="str">
        <f>IF(AND('Atividades Micro'!$B344=W$2,'Atividades Micro'!$K344&lt;&gt;""),'Atividades Micro'!$K344,"")</f>
        <v/>
      </c>
      <c r="X292" s="21" t="str">
        <f>IF(AND('Atividades Micro'!$B344=X$2,'Atividades Micro'!$L344&lt;&gt;""),'Atividades Micro'!$L344,"")</f>
        <v/>
      </c>
      <c r="Y292" s="21" t="str">
        <f>IF(AND('Atividades Micro'!$A344=Y$2,'Atividades Micro'!$K344&lt;&gt;""),'Atividades Micro'!$K344,"")</f>
        <v/>
      </c>
      <c r="Z292" s="21" t="str">
        <f>IF(AND('Atividades Micro'!$A344=Z$2,'Atividades Micro'!$L344&lt;&gt;""),'Atividades Micro'!$L344,"")</f>
        <v/>
      </c>
      <c r="AA292" s="21" t="str">
        <f>IF(AND('Atividades Micro'!$B344=AA$2,'Atividades Micro'!$K344&lt;&gt;""),'Atividades Micro'!$K344,"")</f>
        <v/>
      </c>
      <c r="AB292" s="21" t="str">
        <f>IF(AND('Atividades Micro'!$B344=AB$2,'Atividades Micro'!$L344&lt;&gt;""),'Atividades Micro'!$L344,"")</f>
        <v/>
      </c>
      <c r="AC292" s="21" t="str">
        <f>IF(AND('Atividades Micro'!$B344=AC$2,'Atividades Micro'!$K344&lt;&gt;""),'Atividades Micro'!$K344,"")</f>
        <v/>
      </c>
      <c r="AD292" s="21" t="str">
        <f>IF(AND('Atividades Micro'!$B344=AD$2,'Atividades Micro'!$L344&lt;&gt;""),'Atividades Micro'!$L344,"")</f>
        <v/>
      </c>
      <c r="AE292" s="21" t="str">
        <f>IF(AND('Atividades Micro'!$A344=AE$2,'Atividades Micro'!$K344&lt;&gt;""),'Atividades Micro'!$K344,"")</f>
        <v/>
      </c>
      <c r="AF292" s="21" t="str">
        <f>IF(AND('Atividades Micro'!$A344=AF$2,'Atividades Micro'!$L344&lt;&gt;""),'Atividades Micro'!$L344,"")</f>
        <v/>
      </c>
      <c r="AG292" s="21" t="str">
        <f>IF(AND('Atividades Micro'!$B344=AG$2,'Atividades Micro'!$K344&lt;&gt;""),'Atividades Micro'!$K344,"")</f>
        <v/>
      </c>
      <c r="AH292" s="21" t="str">
        <f>IF(AND('Atividades Micro'!$B344=AH$2,'Atividades Micro'!$L344&lt;&gt;""),'Atividades Micro'!$L344,"")</f>
        <v/>
      </c>
      <c r="AI292" s="21" t="str">
        <f>IF(AND('Atividades Micro'!$B344=AI$2,'Atividades Micro'!$K344&lt;&gt;""),'Atividades Micro'!$K344,"")</f>
        <v/>
      </c>
      <c r="AJ292" s="21" t="str">
        <f>IF(AND('Atividades Micro'!$B344=AJ$2,'Atividades Micro'!$L344&lt;&gt;""),'Atividades Micro'!$L344,"")</f>
        <v/>
      </c>
      <c r="AK292" s="21" t="str">
        <f>IF(AND('Atividades Micro'!$A344=AK$2,'Atividades Micro'!$K344&lt;&gt;""),'Atividades Micro'!$K344,"")</f>
        <v/>
      </c>
      <c r="AL292" s="21" t="str">
        <f>IF(AND('Atividades Micro'!$A344=AL$2,'Atividades Micro'!$L344&lt;&gt;""),'Atividades Micro'!$L344,"")</f>
        <v/>
      </c>
      <c r="AM292" s="21" t="str">
        <f>IF(AND('Atividades Micro'!$B344=AM$2,'Atividades Micro'!$K344&lt;&gt;""),'Atividades Micro'!$K344,"")</f>
        <v/>
      </c>
      <c r="AN292" s="21" t="str">
        <f>IF(AND('Atividades Micro'!$B344=AN$2,'Atividades Micro'!$L344&lt;&gt;""),'Atividades Micro'!$L344,"")</f>
        <v/>
      </c>
      <c r="AO292" s="21" t="str">
        <f>IF(AND('Atividades Micro'!$B344=AO$2,'Atividades Micro'!$K344&lt;&gt;""),'Atividades Micro'!$K344,"")</f>
        <v/>
      </c>
      <c r="AP292" s="21" t="str">
        <f>IF(AND('Atividades Micro'!$B344=AP$2,'Atividades Micro'!$L344&lt;&gt;""),'Atividades Micro'!$L344,"")</f>
        <v/>
      </c>
      <c r="AQ292" s="21" t="str">
        <f>IF(AND('Atividades Micro'!$A344=AQ$2,'Atividades Micro'!$K344&lt;&gt;""),'Atividades Micro'!$K344,"")</f>
        <v/>
      </c>
      <c r="AR292" s="21" t="str">
        <f>IF(AND('Atividades Micro'!$A344=AR$2,'Atividades Micro'!$L344&lt;&gt;""),'Atividades Micro'!$L344,"")</f>
        <v/>
      </c>
      <c r="AS292" s="21" t="str">
        <f>IF(AND('Atividades Micro'!$B344=AS$2,'Atividades Micro'!$K344&lt;&gt;""),'Atividades Micro'!$K344,"")</f>
        <v/>
      </c>
      <c r="AT292" s="21" t="str">
        <f>IF(AND('Atividades Micro'!$B344=AT$2,'Atividades Micro'!$L344&lt;&gt;""),'Atividades Micro'!$L344,"")</f>
        <v/>
      </c>
      <c r="AU292" s="21" t="str">
        <f>IF(AND('Atividades Micro'!$A344=AU$2,'Atividades Micro'!$K344&lt;&gt;""),'Atividades Micro'!$K344,"")</f>
        <v/>
      </c>
      <c r="AV292" s="21" t="str">
        <f>IF(AND('Atividades Micro'!$A344=AV$2,'Atividades Micro'!$L344&lt;&gt;""),'Atividades Micro'!$L344,"")</f>
        <v/>
      </c>
      <c r="AW292" s="21" t="str">
        <f>IF(AND('Atividades Micro'!$B344=AW$2,'Atividades Micro'!$K344&lt;&gt;""),'Atividades Micro'!$K344,"")</f>
        <v/>
      </c>
      <c r="AX292" s="21" t="str">
        <f>IF(AND('Atividades Micro'!$B344=AX$2,'Atividades Micro'!$L344&lt;&gt;""),'Atividades Micro'!$L344,"")</f>
        <v/>
      </c>
      <c r="AY292" s="21">
        <f>IF(AND('Atividades Micro'!$A344=AY$2,'Atividades Micro'!$K344&lt;&gt;""),'Atividades Micro'!$K344,"")</f>
        <v>46352</v>
      </c>
      <c r="AZ292" s="21" t="str">
        <f>IF(AND('Atividades Micro'!$A344=AZ$2,'Atividades Micro'!$L344&lt;&gt;""),'Atividades Micro'!$L344,"")</f>
        <v/>
      </c>
      <c r="BA292" s="21">
        <f>IF(AND('Atividades Micro'!$B344=BA$2,'Atividades Micro'!$K344&lt;&gt;""),'Atividades Micro'!$K344,"")</f>
        <v>46352</v>
      </c>
      <c r="BB292" s="21" t="str">
        <f>IF(AND('Atividades Micro'!$B344=BB$2,'Atividades Micro'!$L344&lt;&gt;""),'Atividades Micro'!$L344,"")</f>
        <v/>
      </c>
      <c r="BC292" s="21" t="str">
        <f>IF(AND('Atividades Micro'!$B344=BC$2,'Atividades Micro'!$G344="Macro",'Atividades Micro'!$K344&lt;&gt;""),'Atividades Micro'!$K344,"")</f>
        <v/>
      </c>
      <c r="BD292" s="21" t="str">
        <f>IF(AND('Atividades Micro'!$B344=BD$2,'Atividades Micro'!$G344="Macro",'Atividades Micro'!$K344&lt;&gt;""),'Atividades Micro'!$K344,"")</f>
        <v/>
      </c>
      <c r="BE292" s="21" t="str">
        <f>IF(AND('Atividades Micro'!$B344=BE$2,'Atividades Micro'!$G344="Macro",'Atividades Micro'!$K344&lt;&gt;""),'Atividades Micro'!$K344,"")</f>
        <v/>
      </c>
      <c r="BF292" s="21" t="str">
        <f>IF(AND('Atividades Micro'!$B344=BF$2,'Atividades Micro'!$G344="Macro",'Atividades Micro'!$K344&lt;&gt;""),'Atividades Micro'!$K344,"")</f>
        <v/>
      </c>
      <c r="BG292" s="21" t="str">
        <f>IF(AND('Atividades Micro'!$B344=BG$2,'Atividades Micro'!$G344="Macro",'Atividades Micro'!$K344&lt;&gt;""),'Atividades Micro'!$K344,"")</f>
        <v/>
      </c>
      <c r="BH292" s="21" t="str">
        <f>IF(AND('Atividades Micro'!$B344=BH$2,'Atividades Micro'!$G344="Macro",'Atividades Micro'!$K344&lt;&gt;""),'Atividades Micro'!$K344,"")</f>
        <v/>
      </c>
      <c r="BI292" s="21" t="str">
        <f>IF(AND('Atividades Micro'!$B344=BI$2,'Atividades Micro'!$G344="Macro",'Atividades Micro'!$K344&lt;&gt;""),'Atividades Micro'!$K344,"")</f>
        <v/>
      </c>
      <c r="BJ292" s="21" t="str">
        <f>IF(AND('Atividades Micro'!$B344=BJ$2,'Atividades Micro'!$G344="Macro",'Atividades Micro'!$K344&lt;&gt;""),'Atividades Micro'!$K344,"")</f>
        <v/>
      </c>
      <c r="BK292" s="21" t="str">
        <f>IF(AND('Atividades Micro'!$B344=BK$2,'Atividades Micro'!$G344="Macro",'Atividades Micro'!$K344&lt;&gt;""),'Atividades Micro'!$K344,"")</f>
        <v/>
      </c>
      <c r="BL292" s="21" t="str">
        <f>IF(AND('Atividades Micro'!$B344=BL$2,'Atividades Micro'!$G344="Macro",'Atividades Micro'!$K344&lt;&gt;""),'Atividades Micro'!$K344,"")</f>
        <v/>
      </c>
      <c r="BM292" s="21" t="str">
        <f>IF(AND('Atividades Micro'!$B344=BM$2,'Atividades Micro'!$G344="Macro",'Atividades Micro'!$K344&lt;&gt;""),'Atividades Micro'!$K344,"")</f>
        <v/>
      </c>
      <c r="BN292" s="21" t="str">
        <f>IF(AND('Atividades Micro'!$B344=BN$2,'Atividades Micro'!$G344="Macro",'Atividades Micro'!$K344&lt;&gt;""),'Atividades Micro'!$K344,"")</f>
        <v/>
      </c>
      <c r="BO292" s="21" t="str">
        <f>IF(AND('Atividades Micro'!$B344=BO$2,'Atividades Micro'!$G344="Macro",'Atividades Micro'!$K344&lt;&gt;""),'Atividades Micro'!$K344,"")</f>
        <v/>
      </c>
      <c r="BP292" s="21" t="str">
        <f>IF(AND('Atividades Micro'!$B344=BP$2,'Atividades Micro'!$G344="Macro",'Atividades Micro'!$K344&lt;&gt;""),'Atividades Micro'!$K344,"")</f>
        <v/>
      </c>
      <c r="BQ292" s="21" t="str">
        <f>IF(AND('Atividades Micro'!$B344=BQ$2,'Atividades Micro'!$G344="Macro",'Atividades Micro'!$K344&lt;&gt;""),'Atividades Micro'!$K344,"")</f>
        <v/>
      </c>
      <c r="BR292" s="21" t="str">
        <f>IF(AND('Atividades Micro'!$B344=BR$2,'Atividades Micro'!$G344="Macro",'Atividades Micro'!$K344&lt;&gt;""),'Atividades Micro'!$K344,"")</f>
        <v/>
      </c>
      <c r="BS292" s="21" t="str">
        <f>IF(AND('Atividades Micro'!$B344=BS$2,'Atividades Micro'!$G344="Macro",'Atividades Micro'!$K344&lt;&gt;""),'Atividades Micro'!$K344,"")</f>
        <v/>
      </c>
      <c r="BT292" s="21" t="str">
        <f>IF(AND('Atividades Micro'!$B344=BT$2,'Atividades Micro'!$G344="Macro",'Atividades Micro'!$K344&lt;&gt;""),'Atividades Micro'!$K344,"")</f>
        <v/>
      </c>
      <c r="BU292" s="21" t="str">
        <f>IF(AND('Atividades Micro'!$B344=BU$2,'Atividades Micro'!$G344="Macro",'Atividades Micro'!$K344&lt;&gt;""),'Atividades Micro'!$K344,"")</f>
        <v/>
      </c>
      <c r="BV292" s="21" t="str">
        <f>IF(AND('Atividades Micro'!$B344=BV$2,'Atividades Micro'!$G344="Macro",'Atividades Micro'!$K344&lt;&gt;""),'Atividades Micro'!$K344,"")</f>
        <v/>
      </c>
      <c r="BW292" s="21" t="str">
        <f>IF(AND('Atividades Micro'!$B344=BW$2,'Atividades Micro'!$G344="Macro",'Atividades Micro'!$K344&lt;&gt;""),'Atividades Micro'!$K344,"")</f>
        <v/>
      </c>
      <c r="BX292" s="21" t="str">
        <f>IF(AND('Atividades Micro'!$B344=BX$2,'Atividades Micro'!$G344="Macro",'Atividades Micro'!$K344&lt;&gt;""),'Atividades Micro'!$K344,"")</f>
        <v/>
      </c>
      <c r="BY292" s="21" t="str">
        <f>IF(AND('Atividades Micro'!$B344=BY$2,'Atividades Micro'!$G344="Macro",'Atividades Micro'!$K344&lt;&gt;""),'Atividades Micro'!$K344,"")</f>
        <v/>
      </c>
      <c r="BZ292" s="21" t="str">
        <f>IF(AND('Atividades Micro'!$B344=BZ$2,'Atividades Micro'!$G344="Macro",'Atividades Micro'!$K344&lt;&gt;""),'Atividades Micro'!$K344,"")</f>
        <v/>
      </c>
      <c r="CA292" s="21" t="str">
        <f>IF(AND('Atividades Micro'!$B344=CA$2,'Atividades Micro'!$G344="Macro",'Atividades Micro'!$K344&lt;&gt;""),'Atividades Micro'!$K344,"")</f>
        <v/>
      </c>
      <c r="CB292" s="21" t="str">
        <f>IF(AND('Atividades Micro'!$B344=CB$2,'Atividades Micro'!$G344="Macro",'Atividades Micro'!$K344&lt;&gt;""),'Atividades Micro'!$K344,"")</f>
        <v/>
      </c>
      <c r="CC292" s="21">
        <f>IF(AND('Atividades Micro'!$B344=CC$2,'Atividades Micro'!$G344="Macro",'Atividades Micro'!$K344&lt;&gt;""),'Atividades Micro'!$K344,"")</f>
        <v>46352</v>
      </c>
      <c r="CD292" s="21" t="str">
        <f>IF(AND('Atividades Micro'!$B344=CD$2,'Atividades Micro'!$G344="Micro",'Atividades Micro'!$K344&lt;&gt;""),'Atividades Micro'!$K344,"")</f>
        <v/>
      </c>
      <c r="CE292" s="21" t="str">
        <f>IF(AND('Atividades Micro'!$B344=CE$2,'Atividades Micro'!$G344="Micro",'Atividades Micro'!$K344&lt;&gt;""),'Atividades Micro'!$K344,"")</f>
        <v/>
      </c>
      <c r="CF292" s="21" t="str">
        <f>IF(AND('Atividades Micro'!$B344=CF$2,'Atividades Micro'!$G344="Micro",'Atividades Micro'!$K344&lt;&gt;""),'Atividades Micro'!$K344,"")</f>
        <v/>
      </c>
      <c r="CG292" s="21" t="str">
        <f>IF(AND('Atividades Micro'!$B344=CG$2,'Atividades Micro'!$G344="Micro",'Atividades Micro'!$K344&lt;&gt;""),'Atividades Micro'!$K344,"")</f>
        <v/>
      </c>
      <c r="CH292" s="21" t="str">
        <f>IF(AND('Atividades Micro'!$B344=CH$2,'Atividades Micro'!$G344="Micro",'Atividades Micro'!$K344&lt;&gt;""),'Atividades Micro'!$K344,"")</f>
        <v/>
      </c>
      <c r="CI292" s="21" t="str">
        <f>IF(AND('Atividades Micro'!$B344=CI$2,'Atividades Micro'!$G344="Micro",'Atividades Micro'!$K344&lt;&gt;""),'Atividades Micro'!$K344,"")</f>
        <v/>
      </c>
      <c r="CJ292" s="21" t="str">
        <f>IF(AND('Atividades Micro'!$B344=CJ$2,'Atividades Micro'!$G344="Micro",'Atividades Micro'!$K344&lt;&gt;""),'Atividades Micro'!$K344,"")</f>
        <v/>
      </c>
      <c r="CK292" s="21" t="str">
        <f>IF(AND('Atividades Micro'!$B344=CK$2,'Atividades Micro'!$G344="Micro",'Atividades Micro'!$K344&lt;&gt;""),'Atividades Micro'!$K344,"")</f>
        <v/>
      </c>
      <c r="CL292" s="21" t="str">
        <f>IF(AND('Atividades Micro'!$B344=CL$2,'Atividades Micro'!$G344="Micro",'Atividades Micro'!$K344&lt;&gt;""),'Atividades Micro'!$K344,"")</f>
        <v/>
      </c>
      <c r="CM292" s="21" t="str">
        <f>IF(AND('Atividades Micro'!$B344=CM$2,'Atividades Micro'!$G344="Micro",'Atividades Micro'!$K344&lt;&gt;""),'Atividades Micro'!$K344,"")</f>
        <v/>
      </c>
      <c r="CN292" s="21" t="str">
        <f>IF(AND('Atividades Micro'!$B344=CN$2,'Atividades Micro'!$G344="Micro",'Atividades Micro'!$K344&lt;&gt;""),'Atividades Micro'!$K344,"")</f>
        <v/>
      </c>
      <c r="CO292" s="21" t="str">
        <f>IF(AND('Atividades Micro'!$B344=CO$2,'Atividades Micro'!$G344="Micro",'Atividades Micro'!$K344&lt;&gt;""),'Atividades Micro'!$K344,"")</f>
        <v/>
      </c>
    </row>
    <row r="293" spans="1:93">
      <c r="A293" s="21" t="str">
        <f>IF(AND('Atividades Micro'!$A345=A$2,'Atividades Micro'!$K345&lt;&gt;""),'Atividades Micro'!$K345,"")</f>
        <v/>
      </c>
      <c r="B293" s="21" t="str">
        <f>IF(AND('Atividades Micro'!$A345=B$2,'Atividades Micro'!$L345&lt;&gt;""),'Atividades Micro'!$L345,"")</f>
        <v/>
      </c>
      <c r="C293" s="21" t="str">
        <f>IF(AND('Atividades Micro'!$A345=C$2,'Atividades Micro'!$K345&lt;&gt;""),'Atividades Micro'!$K345,"")</f>
        <v/>
      </c>
      <c r="D293" s="21" t="str">
        <f>IF(AND('Atividades Micro'!$A345=D$2,'Atividades Micro'!$L345&lt;&gt;""),'Atividades Micro'!$L345,"")</f>
        <v/>
      </c>
      <c r="E293" s="21" t="str">
        <f>IF(AND('Atividades Micro'!$A345=E$2,'Atividades Micro'!$K345&lt;&gt;""),'Atividades Micro'!$K345,"")</f>
        <v/>
      </c>
      <c r="F293" s="21" t="str">
        <f>IF(AND('Atividades Micro'!$A345=F$2,'Atividades Micro'!$L345&lt;&gt;""),'Atividades Micro'!$L345,"")</f>
        <v/>
      </c>
      <c r="G293" s="21" t="str">
        <f>IF(AND('Atividades Micro'!$A345=G$2,'Atividades Micro'!$K345&lt;&gt;""),'Atividades Micro'!$K345,"")</f>
        <v/>
      </c>
      <c r="H293" s="21" t="str">
        <f>IF(AND('Atividades Micro'!$A345=H$2,'Atividades Micro'!$L345&lt;&gt;""),'Atividades Micro'!$L345,"")</f>
        <v/>
      </c>
      <c r="I293" s="21" t="str">
        <f>IF(AND('Atividades Micro'!$A345=I$2,'Atividades Micro'!$K345&lt;&gt;""),'Atividades Micro'!$K345,"")</f>
        <v/>
      </c>
      <c r="J293" s="21" t="str">
        <f>IF(AND('Atividades Micro'!$A345=J$2,'Atividades Micro'!$L345&lt;&gt;""),'Atividades Micro'!$L345,"")</f>
        <v/>
      </c>
      <c r="K293" s="21" t="str">
        <f>IF(AND('Atividades Micro'!$B345=K$2,'Atividades Micro'!$K345&lt;&gt;""),'Atividades Micro'!$K345,"")</f>
        <v/>
      </c>
      <c r="L293" s="21" t="str">
        <f>IF(AND('Atividades Micro'!$B345=L$2,'Atividades Micro'!$L345&lt;&gt;""),'Atividades Micro'!$L345,"")</f>
        <v/>
      </c>
      <c r="M293" s="21" t="str">
        <f>IF(AND('Atividades Micro'!$B345=M$2,'Atividades Micro'!$K345&lt;&gt;""),'Atividades Micro'!$K345,"")</f>
        <v/>
      </c>
      <c r="N293" s="21" t="str">
        <f>IF(AND('Atividades Micro'!$B345=N$2,'Atividades Micro'!$L345&lt;&gt;""),'Atividades Micro'!$L345,"")</f>
        <v/>
      </c>
      <c r="O293" s="21" t="str">
        <f>IF(AND('Atividades Micro'!$A345=O$2,'Atividades Micro'!$K345&lt;&gt;""),'Atividades Micro'!$K345,"")</f>
        <v/>
      </c>
      <c r="P293" s="21" t="str">
        <f>IF(AND('Atividades Micro'!$A345=P$2,'Atividades Micro'!$L345&lt;&gt;""),'Atividades Micro'!$L345,"")</f>
        <v/>
      </c>
      <c r="Q293" s="21" t="str">
        <f>IF(AND('Atividades Micro'!$B345=Q$2,'Atividades Micro'!$K345&lt;&gt;""),'Atividades Micro'!$K345,"")</f>
        <v/>
      </c>
      <c r="R293" s="21" t="str">
        <f>IF(AND('Atividades Micro'!$B345=R$2,'Atividades Micro'!$L345&lt;&gt;""),'Atividades Micro'!$L345,"")</f>
        <v/>
      </c>
      <c r="S293" s="21" t="str">
        <f>IF(AND('Atividades Micro'!$A345=S$2,'Atividades Micro'!$K345&lt;&gt;""),'Atividades Micro'!$K345,"")</f>
        <v/>
      </c>
      <c r="T293" s="21" t="str">
        <f>IF(AND('Atividades Micro'!$A345=T$2,'Atividades Micro'!$L345&lt;&gt;""),'Atividades Micro'!$L345,"")</f>
        <v/>
      </c>
      <c r="U293" s="21" t="str">
        <f>IF(AND('Atividades Micro'!$B345=U$2,'Atividades Micro'!$K345&lt;&gt;""),'Atividades Micro'!$K345,"")</f>
        <v/>
      </c>
      <c r="V293" s="21" t="str">
        <f>IF(AND('Atividades Micro'!$B345=V$2,'Atividades Micro'!$L345&lt;&gt;""),'Atividades Micro'!$L345,"")</f>
        <v/>
      </c>
      <c r="W293" s="21" t="str">
        <f>IF(AND('Atividades Micro'!$B345=W$2,'Atividades Micro'!$K345&lt;&gt;""),'Atividades Micro'!$K345,"")</f>
        <v/>
      </c>
      <c r="X293" s="21" t="str">
        <f>IF(AND('Atividades Micro'!$B345=X$2,'Atividades Micro'!$L345&lt;&gt;""),'Atividades Micro'!$L345,"")</f>
        <v/>
      </c>
      <c r="Y293" s="21" t="str">
        <f>IF(AND('Atividades Micro'!$A345=Y$2,'Atividades Micro'!$K345&lt;&gt;""),'Atividades Micro'!$K345,"")</f>
        <v/>
      </c>
      <c r="Z293" s="21" t="str">
        <f>IF(AND('Atividades Micro'!$A345=Z$2,'Atividades Micro'!$L345&lt;&gt;""),'Atividades Micro'!$L345,"")</f>
        <v/>
      </c>
      <c r="AA293" s="21" t="str">
        <f>IF(AND('Atividades Micro'!$B345=AA$2,'Atividades Micro'!$K345&lt;&gt;""),'Atividades Micro'!$K345,"")</f>
        <v/>
      </c>
      <c r="AB293" s="21" t="str">
        <f>IF(AND('Atividades Micro'!$B345=AB$2,'Atividades Micro'!$L345&lt;&gt;""),'Atividades Micro'!$L345,"")</f>
        <v/>
      </c>
      <c r="AC293" s="21" t="str">
        <f>IF(AND('Atividades Micro'!$B345=AC$2,'Atividades Micro'!$K345&lt;&gt;""),'Atividades Micro'!$K345,"")</f>
        <v/>
      </c>
      <c r="AD293" s="21" t="str">
        <f>IF(AND('Atividades Micro'!$B345=AD$2,'Atividades Micro'!$L345&lt;&gt;""),'Atividades Micro'!$L345,"")</f>
        <v/>
      </c>
      <c r="AE293" s="21" t="str">
        <f>IF(AND('Atividades Micro'!$A345=AE$2,'Atividades Micro'!$K345&lt;&gt;""),'Atividades Micro'!$K345,"")</f>
        <v/>
      </c>
      <c r="AF293" s="21" t="str">
        <f>IF(AND('Atividades Micro'!$A345=AF$2,'Atividades Micro'!$L345&lt;&gt;""),'Atividades Micro'!$L345,"")</f>
        <v/>
      </c>
      <c r="AG293" s="21" t="str">
        <f>IF(AND('Atividades Micro'!$B345=AG$2,'Atividades Micro'!$K345&lt;&gt;""),'Atividades Micro'!$K345,"")</f>
        <v/>
      </c>
      <c r="AH293" s="21" t="str">
        <f>IF(AND('Atividades Micro'!$B345=AH$2,'Atividades Micro'!$L345&lt;&gt;""),'Atividades Micro'!$L345,"")</f>
        <v/>
      </c>
      <c r="AI293" s="21" t="str">
        <f>IF(AND('Atividades Micro'!$B345=AI$2,'Atividades Micro'!$K345&lt;&gt;""),'Atividades Micro'!$K345,"")</f>
        <v/>
      </c>
      <c r="AJ293" s="21" t="str">
        <f>IF(AND('Atividades Micro'!$B345=AJ$2,'Atividades Micro'!$L345&lt;&gt;""),'Atividades Micro'!$L345,"")</f>
        <v/>
      </c>
      <c r="AK293" s="21" t="str">
        <f>IF(AND('Atividades Micro'!$A345=AK$2,'Atividades Micro'!$K345&lt;&gt;""),'Atividades Micro'!$K345,"")</f>
        <v/>
      </c>
      <c r="AL293" s="21" t="str">
        <f>IF(AND('Atividades Micro'!$A345=AL$2,'Atividades Micro'!$L345&lt;&gt;""),'Atividades Micro'!$L345,"")</f>
        <v/>
      </c>
      <c r="AM293" s="21" t="str">
        <f>IF(AND('Atividades Micro'!$B345=AM$2,'Atividades Micro'!$K345&lt;&gt;""),'Atividades Micro'!$K345,"")</f>
        <v/>
      </c>
      <c r="AN293" s="21" t="str">
        <f>IF(AND('Atividades Micro'!$B345=AN$2,'Atividades Micro'!$L345&lt;&gt;""),'Atividades Micro'!$L345,"")</f>
        <v/>
      </c>
      <c r="AO293" s="21" t="str">
        <f>IF(AND('Atividades Micro'!$B345=AO$2,'Atividades Micro'!$K345&lt;&gt;""),'Atividades Micro'!$K345,"")</f>
        <v/>
      </c>
      <c r="AP293" s="21" t="str">
        <f>IF(AND('Atividades Micro'!$B345=AP$2,'Atividades Micro'!$L345&lt;&gt;""),'Atividades Micro'!$L345,"")</f>
        <v/>
      </c>
      <c r="AQ293" s="21" t="str">
        <f>IF(AND('Atividades Micro'!$A345=AQ$2,'Atividades Micro'!$K345&lt;&gt;""),'Atividades Micro'!$K345,"")</f>
        <v/>
      </c>
      <c r="AR293" s="21" t="str">
        <f>IF(AND('Atividades Micro'!$A345=AR$2,'Atividades Micro'!$L345&lt;&gt;""),'Atividades Micro'!$L345,"")</f>
        <v/>
      </c>
      <c r="AS293" s="21" t="str">
        <f>IF(AND('Atividades Micro'!$B345=AS$2,'Atividades Micro'!$K345&lt;&gt;""),'Atividades Micro'!$K345,"")</f>
        <v/>
      </c>
      <c r="AT293" s="21" t="str">
        <f>IF(AND('Atividades Micro'!$B345=AT$2,'Atividades Micro'!$L345&lt;&gt;""),'Atividades Micro'!$L345,"")</f>
        <v/>
      </c>
      <c r="AU293" s="21" t="str">
        <f>IF(AND('Atividades Micro'!$A345=AU$2,'Atividades Micro'!$K345&lt;&gt;""),'Atividades Micro'!$K345,"")</f>
        <v/>
      </c>
      <c r="AV293" s="21" t="str">
        <f>IF(AND('Atividades Micro'!$A345=AV$2,'Atividades Micro'!$L345&lt;&gt;""),'Atividades Micro'!$L345,"")</f>
        <v/>
      </c>
      <c r="AW293" s="21" t="str">
        <f>IF(AND('Atividades Micro'!$B345=AW$2,'Atividades Micro'!$K345&lt;&gt;""),'Atividades Micro'!$K345,"")</f>
        <v/>
      </c>
      <c r="AX293" s="21" t="str">
        <f>IF(AND('Atividades Micro'!$B345=AX$2,'Atividades Micro'!$L345&lt;&gt;""),'Atividades Micro'!$L345,"")</f>
        <v/>
      </c>
      <c r="AY293" s="21" t="str">
        <f>IF(AND('Atividades Micro'!$A345=AY$2,'Atividades Micro'!$K345&lt;&gt;""),'Atividades Micro'!$K345,"")</f>
        <v/>
      </c>
      <c r="AZ293" s="21" t="str">
        <f>IF(AND('Atividades Micro'!$A345=AZ$2,'Atividades Micro'!$L345&lt;&gt;""),'Atividades Micro'!$L345,"")</f>
        <v/>
      </c>
      <c r="BA293" s="21" t="str">
        <f>IF(AND('Atividades Micro'!$B345=BA$2,'Atividades Micro'!$K345&lt;&gt;""),'Atividades Micro'!$K345,"")</f>
        <v/>
      </c>
      <c r="BB293" s="21" t="str">
        <f>IF(AND('Atividades Micro'!$B345=BB$2,'Atividades Micro'!$L345&lt;&gt;""),'Atividades Micro'!$L345,"")</f>
        <v/>
      </c>
      <c r="BC293" s="21" t="str">
        <f>IF(AND('Atividades Micro'!$B345=BC$2,'Atividades Micro'!$G345="Macro",'Atividades Micro'!$K345&lt;&gt;""),'Atividades Micro'!$K345,"")</f>
        <v/>
      </c>
      <c r="BD293" s="21" t="str">
        <f>IF(AND('Atividades Micro'!$B345=BD$2,'Atividades Micro'!$G345="Macro",'Atividades Micro'!$K345&lt;&gt;""),'Atividades Micro'!$K345,"")</f>
        <v/>
      </c>
      <c r="BE293" s="21" t="str">
        <f>IF(AND('Atividades Micro'!$B345=BE$2,'Atividades Micro'!$G345="Macro",'Atividades Micro'!$K345&lt;&gt;""),'Atividades Micro'!$K345,"")</f>
        <v/>
      </c>
      <c r="BF293" s="21" t="str">
        <f>IF(AND('Atividades Micro'!$B345=BF$2,'Atividades Micro'!$G345="Macro",'Atividades Micro'!$K345&lt;&gt;""),'Atividades Micro'!$K345,"")</f>
        <v/>
      </c>
      <c r="BG293" s="21" t="str">
        <f>IF(AND('Atividades Micro'!$B345=BG$2,'Atividades Micro'!$G345="Macro",'Atividades Micro'!$K345&lt;&gt;""),'Atividades Micro'!$K345,"")</f>
        <v/>
      </c>
      <c r="BH293" s="21" t="str">
        <f>IF(AND('Atividades Micro'!$B345=BH$2,'Atividades Micro'!$G345="Macro",'Atividades Micro'!$K345&lt;&gt;""),'Atividades Micro'!$K345,"")</f>
        <v/>
      </c>
      <c r="BI293" s="21" t="str">
        <f>IF(AND('Atividades Micro'!$B345=BI$2,'Atividades Micro'!$G345="Macro",'Atividades Micro'!$K345&lt;&gt;""),'Atividades Micro'!$K345,"")</f>
        <v/>
      </c>
      <c r="BJ293" s="21" t="str">
        <f>IF(AND('Atividades Micro'!$B345=BJ$2,'Atividades Micro'!$G345="Macro",'Atividades Micro'!$K345&lt;&gt;""),'Atividades Micro'!$K345,"")</f>
        <v/>
      </c>
      <c r="BK293" s="21" t="str">
        <f>IF(AND('Atividades Micro'!$B345=BK$2,'Atividades Micro'!$G345="Macro",'Atividades Micro'!$K345&lt;&gt;""),'Atividades Micro'!$K345,"")</f>
        <v/>
      </c>
      <c r="BL293" s="21" t="str">
        <f>IF(AND('Atividades Micro'!$B345=BL$2,'Atividades Micro'!$G345="Macro",'Atividades Micro'!$K345&lt;&gt;""),'Atividades Micro'!$K345,"")</f>
        <v/>
      </c>
      <c r="BM293" s="21" t="str">
        <f>IF(AND('Atividades Micro'!$B345=BM$2,'Atividades Micro'!$G345="Macro",'Atividades Micro'!$K345&lt;&gt;""),'Atividades Micro'!$K345,"")</f>
        <v/>
      </c>
      <c r="BN293" s="21" t="str">
        <f>IF(AND('Atividades Micro'!$B345=BN$2,'Atividades Micro'!$G345="Macro",'Atividades Micro'!$K345&lt;&gt;""),'Atividades Micro'!$K345,"")</f>
        <v/>
      </c>
      <c r="BO293" s="21" t="str">
        <f>IF(AND('Atividades Micro'!$B345=BO$2,'Atividades Micro'!$G345="Macro",'Atividades Micro'!$K345&lt;&gt;""),'Atividades Micro'!$K345,"")</f>
        <v/>
      </c>
      <c r="BP293" s="21" t="str">
        <f>IF(AND('Atividades Micro'!$B345=BP$2,'Atividades Micro'!$G345="Macro",'Atividades Micro'!$K345&lt;&gt;""),'Atividades Micro'!$K345,"")</f>
        <v/>
      </c>
      <c r="BQ293" s="21" t="str">
        <f>IF(AND('Atividades Micro'!$B345=BQ$2,'Atividades Micro'!$G345="Macro",'Atividades Micro'!$K345&lt;&gt;""),'Atividades Micro'!$K345,"")</f>
        <v/>
      </c>
      <c r="BR293" s="21" t="str">
        <f>IF(AND('Atividades Micro'!$B345=BR$2,'Atividades Micro'!$G345="Macro",'Atividades Micro'!$K345&lt;&gt;""),'Atividades Micro'!$K345,"")</f>
        <v/>
      </c>
      <c r="BS293" s="21" t="str">
        <f>IF(AND('Atividades Micro'!$B345=BS$2,'Atividades Micro'!$G345="Macro",'Atividades Micro'!$K345&lt;&gt;""),'Atividades Micro'!$K345,"")</f>
        <v/>
      </c>
      <c r="BT293" s="21" t="str">
        <f>IF(AND('Atividades Micro'!$B345=BT$2,'Atividades Micro'!$G345="Macro",'Atividades Micro'!$K345&lt;&gt;""),'Atividades Micro'!$K345,"")</f>
        <v/>
      </c>
      <c r="BU293" s="21" t="str">
        <f>IF(AND('Atividades Micro'!$B345=BU$2,'Atividades Micro'!$G345="Macro",'Atividades Micro'!$K345&lt;&gt;""),'Atividades Micro'!$K345,"")</f>
        <v/>
      </c>
      <c r="BV293" s="21" t="str">
        <f>IF(AND('Atividades Micro'!$B345=BV$2,'Atividades Micro'!$G345="Macro",'Atividades Micro'!$K345&lt;&gt;""),'Atividades Micro'!$K345,"")</f>
        <v/>
      </c>
      <c r="BW293" s="21" t="str">
        <f>IF(AND('Atividades Micro'!$B345=BW$2,'Atividades Micro'!$G345="Macro",'Atividades Micro'!$K345&lt;&gt;""),'Atividades Micro'!$K345,"")</f>
        <v/>
      </c>
      <c r="BX293" s="21" t="str">
        <f>IF(AND('Atividades Micro'!$B345=BX$2,'Atividades Micro'!$G345="Macro",'Atividades Micro'!$K345&lt;&gt;""),'Atividades Micro'!$K345,"")</f>
        <v/>
      </c>
      <c r="BY293" s="21" t="str">
        <f>IF(AND('Atividades Micro'!$B345=BY$2,'Atividades Micro'!$G345="Macro",'Atividades Micro'!$K345&lt;&gt;""),'Atividades Micro'!$K345,"")</f>
        <v/>
      </c>
      <c r="BZ293" s="21" t="str">
        <f>IF(AND('Atividades Micro'!$B345=BZ$2,'Atividades Micro'!$G345="Macro",'Atividades Micro'!$K345&lt;&gt;""),'Atividades Micro'!$K345,"")</f>
        <v/>
      </c>
      <c r="CA293" s="21" t="str">
        <f>IF(AND('Atividades Micro'!$B345=CA$2,'Atividades Micro'!$G345="Macro",'Atividades Micro'!$K345&lt;&gt;""),'Atividades Micro'!$K345,"")</f>
        <v/>
      </c>
      <c r="CB293" s="21" t="str">
        <f>IF(AND('Atividades Micro'!$B345=CB$2,'Atividades Micro'!$G345="Macro",'Atividades Micro'!$K345&lt;&gt;""),'Atividades Micro'!$K345,"")</f>
        <v/>
      </c>
      <c r="CC293" s="21" t="str">
        <f>IF(AND('Atividades Micro'!$B345=CC$2,'Atividades Micro'!$G345="Macro",'Atividades Micro'!$K345&lt;&gt;""),'Atividades Micro'!$K345,"")</f>
        <v/>
      </c>
      <c r="CD293" s="21" t="str">
        <f>IF(AND('Atividades Micro'!$B345=CD$2,'Atividades Micro'!$G345="Micro",'Atividades Micro'!$K345&lt;&gt;""),'Atividades Micro'!$K345,"")</f>
        <v/>
      </c>
      <c r="CE293" s="21" t="str">
        <f>IF(AND('Atividades Micro'!$B345=CE$2,'Atividades Micro'!$G345="Micro",'Atividades Micro'!$K345&lt;&gt;""),'Atividades Micro'!$K345,"")</f>
        <v/>
      </c>
      <c r="CF293" s="21" t="str">
        <f>IF(AND('Atividades Micro'!$B345=CF$2,'Atividades Micro'!$G345="Micro",'Atividades Micro'!$K345&lt;&gt;""),'Atividades Micro'!$K345,"")</f>
        <v/>
      </c>
      <c r="CG293" s="21" t="str">
        <f>IF(AND('Atividades Micro'!$B345=CG$2,'Atividades Micro'!$G345="Micro",'Atividades Micro'!$K345&lt;&gt;""),'Atividades Micro'!$K345,"")</f>
        <v/>
      </c>
      <c r="CH293" s="21" t="str">
        <f>IF(AND('Atividades Micro'!$B345=CH$2,'Atividades Micro'!$G345="Micro",'Atividades Micro'!$K345&lt;&gt;""),'Atividades Micro'!$K345,"")</f>
        <v/>
      </c>
      <c r="CI293" s="21" t="str">
        <f>IF(AND('Atividades Micro'!$B345=CI$2,'Atividades Micro'!$G345="Micro",'Atividades Micro'!$K345&lt;&gt;""),'Atividades Micro'!$K345,"")</f>
        <v/>
      </c>
      <c r="CJ293" s="21" t="str">
        <f>IF(AND('Atividades Micro'!$B345=CJ$2,'Atividades Micro'!$G345="Micro",'Atividades Micro'!$K345&lt;&gt;""),'Atividades Micro'!$K345,"")</f>
        <v/>
      </c>
      <c r="CK293" s="21" t="str">
        <f>IF(AND('Atividades Micro'!$B345=CK$2,'Atividades Micro'!$G345="Micro",'Atividades Micro'!$K345&lt;&gt;""),'Atividades Micro'!$K345,"")</f>
        <v/>
      </c>
      <c r="CL293" s="21" t="str">
        <f>IF(AND('Atividades Micro'!$B345=CL$2,'Atividades Micro'!$G345="Micro",'Atividades Micro'!$K345&lt;&gt;""),'Atividades Micro'!$K345,"")</f>
        <v/>
      </c>
      <c r="CM293" s="21" t="str">
        <f>IF(AND('Atividades Micro'!$B345=CM$2,'Atividades Micro'!$G345="Micro",'Atividades Micro'!$K345&lt;&gt;""),'Atividades Micro'!$K345,"")</f>
        <v/>
      </c>
      <c r="CN293" s="21" t="str">
        <f>IF(AND('Atividades Micro'!$B345=CN$2,'Atividades Micro'!$G345="Micro",'Atividades Micro'!$K345&lt;&gt;""),'Atividades Micro'!$K345,"")</f>
        <v/>
      </c>
      <c r="CO293" s="21" t="str">
        <f>IF(AND('Atividades Micro'!$B345=CO$2,'Atividades Micro'!$G345="Micro",'Atividades Micro'!$K345&lt;&gt;""),'Atividades Micro'!$K345,"")</f>
        <v/>
      </c>
    </row>
    <row r="294" spans="1:93">
      <c r="A294" s="21" t="str">
        <f>IF(AND('Atividades Micro'!$A346=A$2,'Atividades Micro'!$K346&lt;&gt;""),'Atividades Micro'!$K346,"")</f>
        <v/>
      </c>
      <c r="B294" s="21" t="str">
        <f>IF(AND('Atividades Micro'!$A346=B$2,'Atividades Micro'!$L346&lt;&gt;""),'Atividades Micro'!$L346,"")</f>
        <v/>
      </c>
      <c r="C294" s="21" t="str">
        <f>IF(AND('Atividades Micro'!$A346=C$2,'Atividades Micro'!$K346&lt;&gt;""),'Atividades Micro'!$K346,"")</f>
        <v/>
      </c>
      <c r="D294" s="21" t="str">
        <f>IF(AND('Atividades Micro'!$A346=D$2,'Atividades Micro'!$L346&lt;&gt;""),'Atividades Micro'!$L346,"")</f>
        <v/>
      </c>
      <c r="E294" s="21" t="str">
        <f>IF(AND('Atividades Micro'!$A346=E$2,'Atividades Micro'!$K346&lt;&gt;""),'Atividades Micro'!$K346,"")</f>
        <v/>
      </c>
      <c r="F294" s="21" t="str">
        <f>IF(AND('Atividades Micro'!$A346=F$2,'Atividades Micro'!$L346&lt;&gt;""),'Atividades Micro'!$L346,"")</f>
        <v/>
      </c>
      <c r="G294" s="21" t="str">
        <f>IF(AND('Atividades Micro'!$A346=G$2,'Atividades Micro'!$K346&lt;&gt;""),'Atividades Micro'!$K346,"")</f>
        <v/>
      </c>
      <c r="H294" s="21" t="str">
        <f>IF(AND('Atividades Micro'!$A346=H$2,'Atividades Micro'!$L346&lt;&gt;""),'Atividades Micro'!$L346,"")</f>
        <v/>
      </c>
      <c r="I294" s="21" t="str">
        <f>IF(AND('Atividades Micro'!$A346=I$2,'Atividades Micro'!$K346&lt;&gt;""),'Atividades Micro'!$K346,"")</f>
        <v/>
      </c>
      <c r="J294" s="21" t="str">
        <f>IF(AND('Atividades Micro'!$A346=J$2,'Atividades Micro'!$L346&lt;&gt;""),'Atividades Micro'!$L346,"")</f>
        <v/>
      </c>
      <c r="K294" s="21" t="str">
        <f>IF(AND('Atividades Micro'!$B346=K$2,'Atividades Micro'!$K346&lt;&gt;""),'Atividades Micro'!$K346,"")</f>
        <v/>
      </c>
      <c r="L294" s="21" t="str">
        <f>IF(AND('Atividades Micro'!$B346=L$2,'Atividades Micro'!$L346&lt;&gt;""),'Atividades Micro'!$L346,"")</f>
        <v/>
      </c>
      <c r="M294" s="21" t="str">
        <f>IF(AND('Atividades Micro'!$B346=M$2,'Atividades Micro'!$K346&lt;&gt;""),'Atividades Micro'!$K346,"")</f>
        <v/>
      </c>
      <c r="N294" s="21" t="str">
        <f>IF(AND('Atividades Micro'!$B346=N$2,'Atividades Micro'!$L346&lt;&gt;""),'Atividades Micro'!$L346,"")</f>
        <v/>
      </c>
      <c r="O294" s="21" t="str">
        <f>IF(AND('Atividades Micro'!$A346=O$2,'Atividades Micro'!$K346&lt;&gt;""),'Atividades Micro'!$K346,"")</f>
        <v/>
      </c>
      <c r="P294" s="21" t="str">
        <f>IF(AND('Atividades Micro'!$A346=P$2,'Atividades Micro'!$L346&lt;&gt;""),'Atividades Micro'!$L346,"")</f>
        <v/>
      </c>
      <c r="Q294" s="21" t="str">
        <f>IF(AND('Atividades Micro'!$B346=Q$2,'Atividades Micro'!$K346&lt;&gt;""),'Atividades Micro'!$K346,"")</f>
        <v/>
      </c>
      <c r="R294" s="21" t="str">
        <f>IF(AND('Atividades Micro'!$B346=R$2,'Atividades Micro'!$L346&lt;&gt;""),'Atividades Micro'!$L346,"")</f>
        <v/>
      </c>
      <c r="S294" s="21" t="str">
        <f>IF(AND('Atividades Micro'!$A346=S$2,'Atividades Micro'!$K346&lt;&gt;""),'Atividades Micro'!$K346,"")</f>
        <v/>
      </c>
      <c r="T294" s="21" t="str">
        <f>IF(AND('Atividades Micro'!$A346=T$2,'Atividades Micro'!$L346&lt;&gt;""),'Atividades Micro'!$L346,"")</f>
        <v/>
      </c>
      <c r="U294" s="21" t="str">
        <f>IF(AND('Atividades Micro'!$B346=U$2,'Atividades Micro'!$K346&lt;&gt;""),'Atividades Micro'!$K346,"")</f>
        <v/>
      </c>
      <c r="V294" s="21" t="str">
        <f>IF(AND('Atividades Micro'!$B346=V$2,'Atividades Micro'!$L346&lt;&gt;""),'Atividades Micro'!$L346,"")</f>
        <v/>
      </c>
      <c r="W294" s="21" t="str">
        <f>IF(AND('Atividades Micro'!$B346=W$2,'Atividades Micro'!$K346&lt;&gt;""),'Atividades Micro'!$K346,"")</f>
        <v/>
      </c>
      <c r="X294" s="21" t="str">
        <f>IF(AND('Atividades Micro'!$B346=X$2,'Atividades Micro'!$L346&lt;&gt;""),'Atividades Micro'!$L346,"")</f>
        <v/>
      </c>
      <c r="Y294" s="21" t="str">
        <f>IF(AND('Atividades Micro'!$A346=Y$2,'Atividades Micro'!$K346&lt;&gt;""),'Atividades Micro'!$K346,"")</f>
        <v/>
      </c>
      <c r="Z294" s="21" t="str">
        <f>IF(AND('Atividades Micro'!$A346=Z$2,'Atividades Micro'!$L346&lt;&gt;""),'Atividades Micro'!$L346,"")</f>
        <v/>
      </c>
      <c r="AA294" s="21" t="str">
        <f>IF(AND('Atividades Micro'!$B346=AA$2,'Atividades Micro'!$K346&lt;&gt;""),'Atividades Micro'!$K346,"")</f>
        <v/>
      </c>
      <c r="AB294" s="21" t="str">
        <f>IF(AND('Atividades Micro'!$B346=AB$2,'Atividades Micro'!$L346&lt;&gt;""),'Atividades Micro'!$L346,"")</f>
        <v/>
      </c>
      <c r="AC294" s="21" t="str">
        <f>IF(AND('Atividades Micro'!$B346=AC$2,'Atividades Micro'!$K346&lt;&gt;""),'Atividades Micro'!$K346,"")</f>
        <v/>
      </c>
      <c r="AD294" s="21" t="str">
        <f>IF(AND('Atividades Micro'!$B346=AD$2,'Atividades Micro'!$L346&lt;&gt;""),'Atividades Micro'!$L346,"")</f>
        <v/>
      </c>
      <c r="AE294" s="21" t="str">
        <f>IF(AND('Atividades Micro'!$A346=AE$2,'Atividades Micro'!$K346&lt;&gt;""),'Atividades Micro'!$K346,"")</f>
        <v/>
      </c>
      <c r="AF294" s="21" t="str">
        <f>IF(AND('Atividades Micro'!$A346=AF$2,'Atividades Micro'!$L346&lt;&gt;""),'Atividades Micro'!$L346,"")</f>
        <v/>
      </c>
      <c r="AG294" s="21" t="str">
        <f>IF(AND('Atividades Micro'!$B346=AG$2,'Atividades Micro'!$K346&lt;&gt;""),'Atividades Micro'!$K346,"")</f>
        <v/>
      </c>
      <c r="AH294" s="21" t="str">
        <f>IF(AND('Atividades Micro'!$B346=AH$2,'Atividades Micro'!$L346&lt;&gt;""),'Atividades Micro'!$L346,"")</f>
        <v/>
      </c>
      <c r="AI294" s="21" t="str">
        <f>IF(AND('Atividades Micro'!$B346=AI$2,'Atividades Micro'!$K346&lt;&gt;""),'Atividades Micro'!$K346,"")</f>
        <v/>
      </c>
      <c r="AJ294" s="21" t="str">
        <f>IF(AND('Atividades Micro'!$B346=AJ$2,'Atividades Micro'!$L346&lt;&gt;""),'Atividades Micro'!$L346,"")</f>
        <v/>
      </c>
      <c r="AK294" s="21" t="str">
        <f>IF(AND('Atividades Micro'!$A346=AK$2,'Atividades Micro'!$K346&lt;&gt;""),'Atividades Micro'!$K346,"")</f>
        <v/>
      </c>
      <c r="AL294" s="21" t="str">
        <f>IF(AND('Atividades Micro'!$A346=AL$2,'Atividades Micro'!$L346&lt;&gt;""),'Atividades Micro'!$L346,"")</f>
        <v/>
      </c>
      <c r="AM294" s="21" t="str">
        <f>IF(AND('Atividades Micro'!$B346=AM$2,'Atividades Micro'!$K346&lt;&gt;""),'Atividades Micro'!$K346,"")</f>
        <v/>
      </c>
      <c r="AN294" s="21" t="str">
        <f>IF(AND('Atividades Micro'!$B346=AN$2,'Atividades Micro'!$L346&lt;&gt;""),'Atividades Micro'!$L346,"")</f>
        <v/>
      </c>
      <c r="AO294" s="21" t="str">
        <f>IF(AND('Atividades Micro'!$B346=AO$2,'Atividades Micro'!$K346&lt;&gt;""),'Atividades Micro'!$K346,"")</f>
        <v/>
      </c>
      <c r="AP294" s="21" t="str">
        <f>IF(AND('Atividades Micro'!$B346=AP$2,'Atividades Micro'!$L346&lt;&gt;""),'Atividades Micro'!$L346,"")</f>
        <v/>
      </c>
      <c r="AQ294" s="21" t="str">
        <f>IF(AND('Atividades Micro'!$A346=AQ$2,'Atividades Micro'!$K346&lt;&gt;""),'Atividades Micro'!$K346,"")</f>
        <v/>
      </c>
      <c r="AR294" s="21" t="str">
        <f>IF(AND('Atividades Micro'!$A346=AR$2,'Atividades Micro'!$L346&lt;&gt;""),'Atividades Micro'!$L346,"")</f>
        <v/>
      </c>
      <c r="AS294" s="21" t="str">
        <f>IF(AND('Atividades Micro'!$B346=AS$2,'Atividades Micro'!$K346&lt;&gt;""),'Atividades Micro'!$K346,"")</f>
        <v/>
      </c>
      <c r="AT294" s="21" t="str">
        <f>IF(AND('Atividades Micro'!$B346=AT$2,'Atividades Micro'!$L346&lt;&gt;""),'Atividades Micro'!$L346,"")</f>
        <v/>
      </c>
      <c r="AU294" s="21" t="str">
        <f>IF(AND('Atividades Micro'!$A346=AU$2,'Atividades Micro'!$K346&lt;&gt;""),'Atividades Micro'!$K346,"")</f>
        <v/>
      </c>
      <c r="AV294" s="21" t="str">
        <f>IF(AND('Atividades Micro'!$A346=AV$2,'Atividades Micro'!$L346&lt;&gt;""),'Atividades Micro'!$L346,"")</f>
        <v/>
      </c>
      <c r="AW294" s="21" t="str">
        <f>IF(AND('Atividades Micro'!$B346=AW$2,'Atividades Micro'!$K346&lt;&gt;""),'Atividades Micro'!$K346,"")</f>
        <v/>
      </c>
      <c r="AX294" s="21" t="str">
        <f>IF(AND('Atividades Micro'!$B346=AX$2,'Atividades Micro'!$L346&lt;&gt;""),'Atividades Micro'!$L346,"")</f>
        <v/>
      </c>
      <c r="AY294" s="21">
        <f>IF(AND('Atividades Micro'!$A346=AY$2,'Atividades Micro'!$K346&lt;&gt;""),'Atividades Micro'!$K346,"")</f>
        <v>46288</v>
      </c>
      <c r="AZ294" s="21" t="str">
        <f>IF(AND('Atividades Micro'!$A346=AZ$2,'Atividades Micro'!$L346&lt;&gt;""),'Atividades Micro'!$L346,"")</f>
        <v/>
      </c>
      <c r="BA294" s="21">
        <f>IF(AND('Atividades Micro'!$B346=BA$2,'Atividades Micro'!$K346&lt;&gt;""),'Atividades Micro'!$K346,"")</f>
        <v>46288</v>
      </c>
      <c r="BB294" s="21" t="str">
        <f>IF(AND('Atividades Micro'!$B346=BB$2,'Atividades Micro'!$L346&lt;&gt;""),'Atividades Micro'!$L346,"")</f>
        <v/>
      </c>
      <c r="BC294" s="21" t="str">
        <f>IF(AND('Atividades Micro'!$B346=BC$2,'Atividades Micro'!$G346="Macro",'Atividades Micro'!$K346&lt;&gt;""),'Atividades Micro'!$K346,"")</f>
        <v/>
      </c>
      <c r="BD294" s="21" t="str">
        <f>IF(AND('Atividades Micro'!$B346=BD$2,'Atividades Micro'!$G346="Macro",'Atividades Micro'!$K346&lt;&gt;""),'Atividades Micro'!$K346,"")</f>
        <v/>
      </c>
      <c r="BE294" s="21" t="str">
        <f>IF(AND('Atividades Micro'!$B346=BE$2,'Atividades Micro'!$G346="Macro",'Atividades Micro'!$K346&lt;&gt;""),'Atividades Micro'!$K346,"")</f>
        <v/>
      </c>
      <c r="BF294" s="21" t="str">
        <f>IF(AND('Atividades Micro'!$B346=BF$2,'Atividades Micro'!$G346="Macro",'Atividades Micro'!$K346&lt;&gt;""),'Atividades Micro'!$K346,"")</f>
        <v/>
      </c>
      <c r="BG294" s="21" t="str">
        <f>IF(AND('Atividades Micro'!$B346=BG$2,'Atividades Micro'!$G346="Macro",'Atividades Micro'!$K346&lt;&gt;""),'Atividades Micro'!$K346,"")</f>
        <v/>
      </c>
      <c r="BH294" s="21" t="str">
        <f>IF(AND('Atividades Micro'!$B346=BH$2,'Atividades Micro'!$G346="Macro",'Atividades Micro'!$K346&lt;&gt;""),'Atividades Micro'!$K346,"")</f>
        <v/>
      </c>
      <c r="BI294" s="21" t="str">
        <f>IF(AND('Atividades Micro'!$B346=BI$2,'Atividades Micro'!$G346="Macro",'Atividades Micro'!$K346&lt;&gt;""),'Atividades Micro'!$K346,"")</f>
        <v/>
      </c>
      <c r="BJ294" s="21" t="str">
        <f>IF(AND('Atividades Micro'!$B346=BJ$2,'Atividades Micro'!$G346="Macro",'Atividades Micro'!$K346&lt;&gt;""),'Atividades Micro'!$K346,"")</f>
        <v/>
      </c>
      <c r="BK294" s="21" t="str">
        <f>IF(AND('Atividades Micro'!$B346=BK$2,'Atividades Micro'!$G346="Macro",'Atividades Micro'!$K346&lt;&gt;""),'Atividades Micro'!$K346,"")</f>
        <v/>
      </c>
      <c r="BL294" s="21" t="str">
        <f>IF(AND('Atividades Micro'!$B346=BL$2,'Atividades Micro'!$G346="Macro",'Atividades Micro'!$K346&lt;&gt;""),'Atividades Micro'!$K346,"")</f>
        <v/>
      </c>
      <c r="BM294" s="21" t="str">
        <f>IF(AND('Atividades Micro'!$B346=BM$2,'Atividades Micro'!$G346="Macro",'Atividades Micro'!$K346&lt;&gt;""),'Atividades Micro'!$K346,"")</f>
        <v/>
      </c>
      <c r="BN294" s="21" t="str">
        <f>IF(AND('Atividades Micro'!$B346=BN$2,'Atividades Micro'!$G346="Macro",'Atividades Micro'!$K346&lt;&gt;""),'Atividades Micro'!$K346,"")</f>
        <v/>
      </c>
      <c r="BO294" s="21" t="str">
        <f>IF(AND('Atividades Micro'!$B346=BO$2,'Atividades Micro'!$G346="Macro",'Atividades Micro'!$K346&lt;&gt;""),'Atividades Micro'!$K346,"")</f>
        <v/>
      </c>
      <c r="BP294" s="21" t="str">
        <f>IF(AND('Atividades Micro'!$B346=BP$2,'Atividades Micro'!$G346="Macro",'Atividades Micro'!$K346&lt;&gt;""),'Atividades Micro'!$K346,"")</f>
        <v/>
      </c>
      <c r="BQ294" s="21" t="str">
        <f>IF(AND('Atividades Micro'!$B346=BQ$2,'Atividades Micro'!$G346="Macro",'Atividades Micro'!$K346&lt;&gt;""),'Atividades Micro'!$K346,"")</f>
        <v/>
      </c>
      <c r="BR294" s="21" t="str">
        <f>IF(AND('Atividades Micro'!$B346=BR$2,'Atividades Micro'!$G346="Macro",'Atividades Micro'!$K346&lt;&gt;""),'Atividades Micro'!$K346,"")</f>
        <v/>
      </c>
      <c r="BS294" s="21" t="str">
        <f>IF(AND('Atividades Micro'!$B346=BS$2,'Atividades Micro'!$G346="Macro",'Atividades Micro'!$K346&lt;&gt;""),'Atividades Micro'!$K346,"")</f>
        <v/>
      </c>
      <c r="BT294" s="21" t="str">
        <f>IF(AND('Atividades Micro'!$B346=BT$2,'Atividades Micro'!$G346="Macro",'Atividades Micro'!$K346&lt;&gt;""),'Atividades Micro'!$K346,"")</f>
        <v/>
      </c>
      <c r="BU294" s="21" t="str">
        <f>IF(AND('Atividades Micro'!$B346=BU$2,'Atividades Micro'!$G346="Macro",'Atividades Micro'!$K346&lt;&gt;""),'Atividades Micro'!$K346,"")</f>
        <v/>
      </c>
      <c r="BV294" s="21" t="str">
        <f>IF(AND('Atividades Micro'!$B346=BV$2,'Atividades Micro'!$G346="Macro",'Atividades Micro'!$K346&lt;&gt;""),'Atividades Micro'!$K346,"")</f>
        <v/>
      </c>
      <c r="BW294" s="21" t="str">
        <f>IF(AND('Atividades Micro'!$B346=BW$2,'Atividades Micro'!$G346="Macro",'Atividades Micro'!$K346&lt;&gt;""),'Atividades Micro'!$K346,"")</f>
        <v/>
      </c>
      <c r="BX294" s="21" t="str">
        <f>IF(AND('Atividades Micro'!$B346=BX$2,'Atividades Micro'!$G346="Macro",'Atividades Micro'!$K346&lt;&gt;""),'Atividades Micro'!$K346,"")</f>
        <v/>
      </c>
      <c r="BY294" s="21" t="str">
        <f>IF(AND('Atividades Micro'!$B346=BY$2,'Atividades Micro'!$G346="Macro",'Atividades Micro'!$K346&lt;&gt;""),'Atividades Micro'!$K346,"")</f>
        <v/>
      </c>
      <c r="BZ294" s="21" t="str">
        <f>IF(AND('Atividades Micro'!$B346=BZ$2,'Atividades Micro'!$G346="Macro",'Atividades Micro'!$K346&lt;&gt;""),'Atividades Micro'!$K346,"")</f>
        <v/>
      </c>
      <c r="CA294" s="21" t="str">
        <f>IF(AND('Atividades Micro'!$B346=CA$2,'Atividades Micro'!$G346="Macro",'Atividades Micro'!$K346&lt;&gt;""),'Atividades Micro'!$K346,"")</f>
        <v/>
      </c>
      <c r="CB294" s="21" t="str">
        <f>IF(AND('Atividades Micro'!$B346=CB$2,'Atividades Micro'!$G346="Macro",'Atividades Micro'!$K346&lt;&gt;""),'Atividades Micro'!$K346,"")</f>
        <v/>
      </c>
      <c r="CC294" s="21" t="str">
        <f>IF(AND('Atividades Micro'!$B346=CC$2,'Atividades Micro'!$G346="Macro",'Atividades Micro'!$K346&lt;&gt;""),'Atividades Micro'!$K346,"")</f>
        <v/>
      </c>
      <c r="CD294" s="21" t="str">
        <f>IF(AND('Atividades Micro'!$B346=CD$2,'Atividades Micro'!$G346="Micro",'Atividades Micro'!$K346&lt;&gt;""),'Atividades Micro'!$K346,"")</f>
        <v/>
      </c>
      <c r="CE294" s="21" t="str">
        <f>IF(AND('Atividades Micro'!$B346=CE$2,'Atividades Micro'!$G346="Micro",'Atividades Micro'!$K346&lt;&gt;""),'Atividades Micro'!$K346,"")</f>
        <v/>
      </c>
      <c r="CF294" s="21" t="str">
        <f>IF(AND('Atividades Micro'!$B346=CF$2,'Atividades Micro'!$G346="Micro",'Atividades Micro'!$K346&lt;&gt;""),'Atividades Micro'!$K346,"")</f>
        <v/>
      </c>
      <c r="CG294" s="21" t="str">
        <f>IF(AND('Atividades Micro'!$B346=CG$2,'Atividades Micro'!$G346="Micro",'Atividades Micro'!$K346&lt;&gt;""),'Atividades Micro'!$K346,"")</f>
        <v/>
      </c>
      <c r="CH294" s="21" t="str">
        <f>IF(AND('Atividades Micro'!$B346=CH$2,'Atividades Micro'!$G346="Micro",'Atividades Micro'!$K346&lt;&gt;""),'Atividades Micro'!$K346,"")</f>
        <v/>
      </c>
      <c r="CI294" s="21" t="str">
        <f>IF(AND('Atividades Micro'!$B346=CI$2,'Atividades Micro'!$G346="Micro",'Atividades Micro'!$K346&lt;&gt;""),'Atividades Micro'!$K346,"")</f>
        <v/>
      </c>
      <c r="CJ294" s="21" t="str">
        <f>IF(AND('Atividades Micro'!$B346=CJ$2,'Atividades Micro'!$G346="Micro",'Atividades Micro'!$K346&lt;&gt;""),'Atividades Micro'!$K346,"")</f>
        <v/>
      </c>
      <c r="CK294" s="21" t="str">
        <f>IF(AND('Atividades Micro'!$B346=CK$2,'Atividades Micro'!$G346="Micro",'Atividades Micro'!$K346&lt;&gt;""),'Atividades Micro'!$K346,"")</f>
        <v/>
      </c>
      <c r="CL294" s="21" t="str">
        <f>IF(AND('Atividades Micro'!$B346=CL$2,'Atividades Micro'!$G346="Micro",'Atividades Micro'!$K346&lt;&gt;""),'Atividades Micro'!$K346,"")</f>
        <v/>
      </c>
      <c r="CM294" s="21" t="str">
        <f>IF(AND('Atividades Micro'!$B346=CM$2,'Atividades Micro'!$G346="Micro",'Atividades Micro'!$K346&lt;&gt;""),'Atividades Micro'!$K346,"")</f>
        <v/>
      </c>
      <c r="CN294" s="21" t="str">
        <f>IF(AND('Atividades Micro'!$B346=CN$2,'Atividades Micro'!$G346="Micro",'Atividades Micro'!$K346&lt;&gt;""),'Atividades Micro'!$K346,"")</f>
        <v/>
      </c>
      <c r="CO294" s="21">
        <f>IF(AND('Atividades Micro'!$B346=CO$2,'Atividades Micro'!$G346="Micro",'Atividades Micro'!$K346&lt;&gt;""),'Atividades Micro'!$K346,"")</f>
        <v>46288</v>
      </c>
    </row>
    <row r="295" spans="1:93">
      <c r="A295" s="21" t="str">
        <f>IF(AND('Atividades Micro'!$A347=A$2,'Atividades Micro'!$K347&lt;&gt;""),'Atividades Micro'!$K347,"")</f>
        <v/>
      </c>
      <c r="B295" s="21" t="str">
        <f>IF(AND('Atividades Micro'!$A347=B$2,'Atividades Micro'!$L347&lt;&gt;""),'Atividades Micro'!$L347,"")</f>
        <v/>
      </c>
      <c r="C295" s="21" t="str">
        <f>IF(AND('Atividades Micro'!$A347=C$2,'Atividades Micro'!$K347&lt;&gt;""),'Atividades Micro'!$K347,"")</f>
        <v/>
      </c>
      <c r="D295" s="21" t="str">
        <f>IF(AND('Atividades Micro'!$A347=D$2,'Atividades Micro'!$L347&lt;&gt;""),'Atividades Micro'!$L347,"")</f>
        <v/>
      </c>
      <c r="E295" s="21" t="str">
        <f>IF(AND('Atividades Micro'!$A347=E$2,'Atividades Micro'!$K347&lt;&gt;""),'Atividades Micro'!$K347,"")</f>
        <v/>
      </c>
      <c r="F295" s="21" t="str">
        <f>IF(AND('Atividades Micro'!$A347=F$2,'Atividades Micro'!$L347&lt;&gt;""),'Atividades Micro'!$L347,"")</f>
        <v/>
      </c>
      <c r="G295" s="21" t="str">
        <f>IF(AND('Atividades Micro'!$A347=G$2,'Atividades Micro'!$K347&lt;&gt;""),'Atividades Micro'!$K347,"")</f>
        <v/>
      </c>
      <c r="H295" s="21" t="str">
        <f>IF(AND('Atividades Micro'!$A347=H$2,'Atividades Micro'!$L347&lt;&gt;""),'Atividades Micro'!$L347,"")</f>
        <v/>
      </c>
      <c r="I295" s="21" t="str">
        <f>IF(AND('Atividades Micro'!$A347=I$2,'Atividades Micro'!$K347&lt;&gt;""),'Atividades Micro'!$K347,"")</f>
        <v/>
      </c>
      <c r="J295" s="21" t="str">
        <f>IF(AND('Atividades Micro'!$A347=J$2,'Atividades Micro'!$L347&lt;&gt;""),'Atividades Micro'!$L347,"")</f>
        <v/>
      </c>
      <c r="K295" s="21" t="str">
        <f>IF(AND('Atividades Micro'!$B347=K$2,'Atividades Micro'!$K347&lt;&gt;""),'Atividades Micro'!$K347,"")</f>
        <v/>
      </c>
      <c r="L295" s="21" t="str">
        <f>IF(AND('Atividades Micro'!$B347=L$2,'Atividades Micro'!$L347&lt;&gt;""),'Atividades Micro'!$L347,"")</f>
        <v/>
      </c>
      <c r="M295" s="21" t="str">
        <f>IF(AND('Atividades Micro'!$B347=M$2,'Atividades Micro'!$K347&lt;&gt;""),'Atividades Micro'!$K347,"")</f>
        <v/>
      </c>
      <c r="N295" s="21" t="str">
        <f>IF(AND('Atividades Micro'!$B347=N$2,'Atividades Micro'!$L347&lt;&gt;""),'Atividades Micro'!$L347,"")</f>
        <v/>
      </c>
      <c r="O295" s="21" t="str">
        <f>IF(AND('Atividades Micro'!$A347=O$2,'Atividades Micro'!$K347&lt;&gt;""),'Atividades Micro'!$K347,"")</f>
        <v/>
      </c>
      <c r="P295" s="21" t="str">
        <f>IF(AND('Atividades Micro'!$A347=P$2,'Atividades Micro'!$L347&lt;&gt;""),'Atividades Micro'!$L347,"")</f>
        <v/>
      </c>
      <c r="Q295" s="21" t="str">
        <f>IF(AND('Atividades Micro'!$B347=Q$2,'Atividades Micro'!$K347&lt;&gt;""),'Atividades Micro'!$K347,"")</f>
        <v/>
      </c>
      <c r="R295" s="21" t="str">
        <f>IF(AND('Atividades Micro'!$B347=R$2,'Atividades Micro'!$L347&lt;&gt;""),'Atividades Micro'!$L347,"")</f>
        <v/>
      </c>
      <c r="S295" s="21" t="str">
        <f>IF(AND('Atividades Micro'!$A347=S$2,'Atividades Micro'!$K347&lt;&gt;""),'Atividades Micro'!$K347,"")</f>
        <v/>
      </c>
      <c r="T295" s="21" t="str">
        <f>IF(AND('Atividades Micro'!$A347=T$2,'Atividades Micro'!$L347&lt;&gt;""),'Atividades Micro'!$L347,"")</f>
        <v/>
      </c>
      <c r="U295" s="21" t="str">
        <f>IF(AND('Atividades Micro'!$B347=U$2,'Atividades Micro'!$K347&lt;&gt;""),'Atividades Micro'!$K347,"")</f>
        <v/>
      </c>
      <c r="V295" s="21" t="str">
        <f>IF(AND('Atividades Micro'!$B347=V$2,'Atividades Micro'!$L347&lt;&gt;""),'Atividades Micro'!$L347,"")</f>
        <v/>
      </c>
      <c r="W295" s="21" t="str">
        <f>IF(AND('Atividades Micro'!$B347=W$2,'Atividades Micro'!$K347&lt;&gt;""),'Atividades Micro'!$K347,"")</f>
        <v/>
      </c>
      <c r="X295" s="21" t="str">
        <f>IF(AND('Atividades Micro'!$B347=X$2,'Atividades Micro'!$L347&lt;&gt;""),'Atividades Micro'!$L347,"")</f>
        <v/>
      </c>
      <c r="Y295" s="21" t="str">
        <f>IF(AND('Atividades Micro'!$A347=Y$2,'Atividades Micro'!$K347&lt;&gt;""),'Atividades Micro'!$K347,"")</f>
        <v/>
      </c>
      <c r="Z295" s="21" t="str">
        <f>IF(AND('Atividades Micro'!$A347=Z$2,'Atividades Micro'!$L347&lt;&gt;""),'Atividades Micro'!$L347,"")</f>
        <v/>
      </c>
      <c r="AA295" s="21" t="str">
        <f>IF(AND('Atividades Micro'!$B347=AA$2,'Atividades Micro'!$K347&lt;&gt;""),'Atividades Micro'!$K347,"")</f>
        <v/>
      </c>
      <c r="AB295" s="21" t="str">
        <f>IF(AND('Atividades Micro'!$B347=AB$2,'Atividades Micro'!$L347&lt;&gt;""),'Atividades Micro'!$L347,"")</f>
        <v/>
      </c>
      <c r="AC295" s="21" t="str">
        <f>IF(AND('Atividades Micro'!$B347=AC$2,'Atividades Micro'!$K347&lt;&gt;""),'Atividades Micro'!$K347,"")</f>
        <v/>
      </c>
      <c r="AD295" s="21" t="str">
        <f>IF(AND('Atividades Micro'!$B347=AD$2,'Atividades Micro'!$L347&lt;&gt;""),'Atividades Micro'!$L347,"")</f>
        <v/>
      </c>
      <c r="AE295" s="21" t="str">
        <f>IF(AND('Atividades Micro'!$A347=AE$2,'Atividades Micro'!$K347&lt;&gt;""),'Atividades Micro'!$K347,"")</f>
        <v/>
      </c>
      <c r="AF295" s="21" t="str">
        <f>IF(AND('Atividades Micro'!$A347=AF$2,'Atividades Micro'!$L347&lt;&gt;""),'Atividades Micro'!$L347,"")</f>
        <v/>
      </c>
      <c r="AG295" s="21" t="str">
        <f>IF(AND('Atividades Micro'!$B347=AG$2,'Atividades Micro'!$K347&lt;&gt;""),'Atividades Micro'!$K347,"")</f>
        <v/>
      </c>
      <c r="AH295" s="21" t="str">
        <f>IF(AND('Atividades Micro'!$B347=AH$2,'Atividades Micro'!$L347&lt;&gt;""),'Atividades Micro'!$L347,"")</f>
        <v/>
      </c>
      <c r="AI295" s="21" t="str">
        <f>IF(AND('Atividades Micro'!$B347=AI$2,'Atividades Micro'!$K347&lt;&gt;""),'Atividades Micro'!$K347,"")</f>
        <v/>
      </c>
      <c r="AJ295" s="21" t="str">
        <f>IF(AND('Atividades Micro'!$B347=AJ$2,'Atividades Micro'!$L347&lt;&gt;""),'Atividades Micro'!$L347,"")</f>
        <v/>
      </c>
      <c r="AK295" s="21" t="str">
        <f>IF(AND('Atividades Micro'!$A347=AK$2,'Atividades Micro'!$K347&lt;&gt;""),'Atividades Micro'!$K347,"")</f>
        <v/>
      </c>
      <c r="AL295" s="21" t="str">
        <f>IF(AND('Atividades Micro'!$A347=AL$2,'Atividades Micro'!$L347&lt;&gt;""),'Atividades Micro'!$L347,"")</f>
        <v/>
      </c>
      <c r="AM295" s="21" t="str">
        <f>IF(AND('Atividades Micro'!$B347=AM$2,'Atividades Micro'!$K347&lt;&gt;""),'Atividades Micro'!$K347,"")</f>
        <v/>
      </c>
      <c r="AN295" s="21" t="str">
        <f>IF(AND('Atividades Micro'!$B347=AN$2,'Atividades Micro'!$L347&lt;&gt;""),'Atividades Micro'!$L347,"")</f>
        <v/>
      </c>
      <c r="AO295" s="21" t="str">
        <f>IF(AND('Atividades Micro'!$B347=AO$2,'Atividades Micro'!$K347&lt;&gt;""),'Atividades Micro'!$K347,"")</f>
        <v/>
      </c>
      <c r="AP295" s="21" t="str">
        <f>IF(AND('Atividades Micro'!$B347=AP$2,'Atividades Micro'!$L347&lt;&gt;""),'Atividades Micro'!$L347,"")</f>
        <v/>
      </c>
      <c r="AQ295" s="21" t="str">
        <f>IF(AND('Atividades Micro'!$A347=AQ$2,'Atividades Micro'!$K347&lt;&gt;""),'Atividades Micro'!$K347,"")</f>
        <v/>
      </c>
      <c r="AR295" s="21" t="str">
        <f>IF(AND('Atividades Micro'!$A347=AR$2,'Atividades Micro'!$L347&lt;&gt;""),'Atividades Micro'!$L347,"")</f>
        <v/>
      </c>
      <c r="AS295" s="21" t="str">
        <f>IF(AND('Atividades Micro'!$B347=AS$2,'Atividades Micro'!$K347&lt;&gt;""),'Atividades Micro'!$K347,"")</f>
        <v/>
      </c>
      <c r="AT295" s="21" t="str">
        <f>IF(AND('Atividades Micro'!$B347=AT$2,'Atividades Micro'!$L347&lt;&gt;""),'Atividades Micro'!$L347,"")</f>
        <v/>
      </c>
      <c r="AU295" s="21" t="str">
        <f>IF(AND('Atividades Micro'!$A347=AU$2,'Atividades Micro'!$K347&lt;&gt;""),'Atividades Micro'!$K347,"")</f>
        <v/>
      </c>
      <c r="AV295" s="21" t="str">
        <f>IF(AND('Atividades Micro'!$A347=AV$2,'Atividades Micro'!$L347&lt;&gt;""),'Atividades Micro'!$L347,"")</f>
        <v/>
      </c>
      <c r="AW295" s="21" t="str">
        <f>IF(AND('Atividades Micro'!$B347=AW$2,'Atividades Micro'!$K347&lt;&gt;""),'Atividades Micro'!$K347,"")</f>
        <v/>
      </c>
      <c r="AX295" s="21" t="str">
        <f>IF(AND('Atividades Micro'!$B347=AX$2,'Atividades Micro'!$L347&lt;&gt;""),'Atividades Micro'!$L347,"")</f>
        <v/>
      </c>
      <c r="AY295" s="21">
        <f>IF(AND('Atividades Micro'!$A347=AY$2,'Atividades Micro'!$K347&lt;&gt;""),'Atividades Micro'!$K347,"")</f>
        <v>46302</v>
      </c>
      <c r="AZ295" s="21" t="str">
        <f>IF(AND('Atividades Micro'!$A347=AZ$2,'Atividades Micro'!$L347&lt;&gt;""),'Atividades Micro'!$L347,"")</f>
        <v/>
      </c>
      <c r="BA295" s="21">
        <f>IF(AND('Atividades Micro'!$B347=BA$2,'Atividades Micro'!$K347&lt;&gt;""),'Atividades Micro'!$K347,"")</f>
        <v>46302</v>
      </c>
      <c r="BB295" s="21" t="str">
        <f>IF(AND('Atividades Micro'!$B347=BB$2,'Atividades Micro'!$L347&lt;&gt;""),'Atividades Micro'!$L347,"")</f>
        <v/>
      </c>
      <c r="BC295" s="21" t="str">
        <f>IF(AND('Atividades Micro'!$B347=BC$2,'Atividades Micro'!$G347="Macro",'Atividades Micro'!$K347&lt;&gt;""),'Atividades Micro'!$K347,"")</f>
        <v/>
      </c>
      <c r="BD295" s="21" t="str">
        <f>IF(AND('Atividades Micro'!$B347=BD$2,'Atividades Micro'!$G347="Macro",'Atividades Micro'!$K347&lt;&gt;""),'Atividades Micro'!$K347,"")</f>
        <v/>
      </c>
      <c r="BE295" s="21" t="str">
        <f>IF(AND('Atividades Micro'!$B347=BE$2,'Atividades Micro'!$G347="Macro",'Atividades Micro'!$K347&lt;&gt;""),'Atividades Micro'!$K347,"")</f>
        <v/>
      </c>
      <c r="BF295" s="21" t="str">
        <f>IF(AND('Atividades Micro'!$B347=BF$2,'Atividades Micro'!$G347="Macro",'Atividades Micro'!$K347&lt;&gt;""),'Atividades Micro'!$K347,"")</f>
        <v/>
      </c>
      <c r="BG295" s="21" t="str">
        <f>IF(AND('Atividades Micro'!$B347=BG$2,'Atividades Micro'!$G347="Macro",'Atividades Micro'!$K347&lt;&gt;""),'Atividades Micro'!$K347,"")</f>
        <v/>
      </c>
      <c r="BH295" s="21" t="str">
        <f>IF(AND('Atividades Micro'!$B347=BH$2,'Atividades Micro'!$G347="Macro",'Atividades Micro'!$K347&lt;&gt;""),'Atividades Micro'!$K347,"")</f>
        <v/>
      </c>
      <c r="BI295" s="21" t="str">
        <f>IF(AND('Atividades Micro'!$B347=BI$2,'Atividades Micro'!$G347="Macro",'Atividades Micro'!$K347&lt;&gt;""),'Atividades Micro'!$K347,"")</f>
        <v/>
      </c>
      <c r="BJ295" s="21" t="str">
        <f>IF(AND('Atividades Micro'!$B347=BJ$2,'Atividades Micro'!$G347="Macro",'Atividades Micro'!$K347&lt;&gt;""),'Atividades Micro'!$K347,"")</f>
        <v/>
      </c>
      <c r="BK295" s="21" t="str">
        <f>IF(AND('Atividades Micro'!$B347=BK$2,'Atividades Micro'!$G347="Macro",'Atividades Micro'!$K347&lt;&gt;""),'Atividades Micro'!$K347,"")</f>
        <v/>
      </c>
      <c r="BL295" s="21" t="str">
        <f>IF(AND('Atividades Micro'!$B347=BL$2,'Atividades Micro'!$G347="Macro",'Atividades Micro'!$K347&lt;&gt;""),'Atividades Micro'!$K347,"")</f>
        <v/>
      </c>
      <c r="BM295" s="21" t="str">
        <f>IF(AND('Atividades Micro'!$B347=BM$2,'Atividades Micro'!$G347="Macro",'Atividades Micro'!$K347&lt;&gt;""),'Atividades Micro'!$K347,"")</f>
        <v/>
      </c>
      <c r="BN295" s="21" t="str">
        <f>IF(AND('Atividades Micro'!$B347=BN$2,'Atividades Micro'!$G347="Macro",'Atividades Micro'!$K347&lt;&gt;""),'Atividades Micro'!$K347,"")</f>
        <v/>
      </c>
      <c r="BO295" s="21" t="str">
        <f>IF(AND('Atividades Micro'!$B347=BO$2,'Atividades Micro'!$G347="Macro",'Atividades Micro'!$K347&lt;&gt;""),'Atividades Micro'!$K347,"")</f>
        <v/>
      </c>
      <c r="BP295" s="21" t="str">
        <f>IF(AND('Atividades Micro'!$B347=BP$2,'Atividades Micro'!$G347="Macro",'Atividades Micro'!$K347&lt;&gt;""),'Atividades Micro'!$K347,"")</f>
        <v/>
      </c>
      <c r="BQ295" s="21" t="str">
        <f>IF(AND('Atividades Micro'!$B347=BQ$2,'Atividades Micro'!$G347="Macro",'Atividades Micro'!$K347&lt;&gt;""),'Atividades Micro'!$K347,"")</f>
        <v/>
      </c>
      <c r="BR295" s="21" t="str">
        <f>IF(AND('Atividades Micro'!$B347=BR$2,'Atividades Micro'!$G347="Macro",'Atividades Micro'!$K347&lt;&gt;""),'Atividades Micro'!$K347,"")</f>
        <v/>
      </c>
      <c r="BS295" s="21" t="str">
        <f>IF(AND('Atividades Micro'!$B347=BS$2,'Atividades Micro'!$G347="Macro",'Atividades Micro'!$K347&lt;&gt;""),'Atividades Micro'!$K347,"")</f>
        <v/>
      </c>
      <c r="BT295" s="21" t="str">
        <f>IF(AND('Atividades Micro'!$B347=BT$2,'Atividades Micro'!$G347="Macro",'Atividades Micro'!$K347&lt;&gt;""),'Atividades Micro'!$K347,"")</f>
        <v/>
      </c>
      <c r="BU295" s="21" t="str">
        <f>IF(AND('Atividades Micro'!$B347=BU$2,'Atividades Micro'!$G347="Macro",'Atividades Micro'!$K347&lt;&gt;""),'Atividades Micro'!$K347,"")</f>
        <v/>
      </c>
      <c r="BV295" s="21" t="str">
        <f>IF(AND('Atividades Micro'!$B347=BV$2,'Atividades Micro'!$G347="Macro",'Atividades Micro'!$K347&lt;&gt;""),'Atividades Micro'!$K347,"")</f>
        <v/>
      </c>
      <c r="BW295" s="21" t="str">
        <f>IF(AND('Atividades Micro'!$B347=BW$2,'Atividades Micro'!$G347="Macro",'Atividades Micro'!$K347&lt;&gt;""),'Atividades Micro'!$K347,"")</f>
        <v/>
      </c>
      <c r="BX295" s="21" t="str">
        <f>IF(AND('Atividades Micro'!$B347=BX$2,'Atividades Micro'!$G347="Macro",'Atividades Micro'!$K347&lt;&gt;""),'Atividades Micro'!$K347,"")</f>
        <v/>
      </c>
      <c r="BY295" s="21" t="str">
        <f>IF(AND('Atividades Micro'!$B347=BY$2,'Atividades Micro'!$G347="Macro",'Atividades Micro'!$K347&lt;&gt;""),'Atividades Micro'!$K347,"")</f>
        <v/>
      </c>
      <c r="BZ295" s="21" t="str">
        <f>IF(AND('Atividades Micro'!$B347=BZ$2,'Atividades Micro'!$G347="Macro",'Atividades Micro'!$K347&lt;&gt;""),'Atividades Micro'!$K347,"")</f>
        <v/>
      </c>
      <c r="CA295" s="21" t="str">
        <f>IF(AND('Atividades Micro'!$B347=CA$2,'Atividades Micro'!$G347="Macro",'Atividades Micro'!$K347&lt;&gt;""),'Atividades Micro'!$K347,"")</f>
        <v/>
      </c>
      <c r="CB295" s="21" t="str">
        <f>IF(AND('Atividades Micro'!$B347=CB$2,'Atividades Micro'!$G347="Macro",'Atividades Micro'!$K347&lt;&gt;""),'Atividades Micro'!$K347,"")</f>
        <v/>
      </c>
      <c r="CC295" s="21" t="str">
        <f>IF(AND('Atividades Micro'!$B347=CC$2,'Atividades Micro'!$G347="Macro",'Atividades Micro'!$K347&lt;&gt;""),'Atividades Micro'!$K347,"")</f>
        <v/>
      </c>
      <c r="CD295" s="21" t="str">
        <f>IF(AND('Atividades Micro'!$B347=CD$2,'Atividades Micro'!$G347="Micro",'Atividades Micro'!$K347&lt;&gt;""),'Atividades Micro'!$K347,"")</f>
        <v/>
      </c>
      <c r="CE295" s="21" t="str">
        <f>IF(AND('Atividades Micro'!$B347=CE$2,'Atividades Micro'!$G347="Micro",'Atividades Micro'!$K347&lt;&gt;""),'Atividades Micro'!$K347,"")</f>
        <v/>
      </c>
      <c r="CF295" s="21" t="str">
        <f>IF(AND('Atividades Micro'!$B347=CF$2,'Atividades Micro'!$G347="Micro",'Atividades Micro'!$K347&lt;&gt;""),'Atividades Micro'!$K347,"")</f>
        <v/>
      </c>
      <c r="CG295" s="21" t="str">
        <f>IF(AND('Atividades Micro'!$B347=CG$2,'Atividades Micro'!$G347="Micro",'Atividades Micro'!$K347&lt;&gt;""),'Atividades Micro'!$K347,"")</f>
        <v/>
      </c>
      <c r="CH295" s="21" t="str">
        <f>IF(AND('Atividades Micro'!$B347=CH$2,'Atividades Micro'!$G347="Micro",'Atividades Micro'!$K347&lt;&gt;""),'Atividades Micro'!$K347,"")</f>
        <v/>
      </c>
      <c r="CI295" s="21" t="str">
        <f>IF(AND('Atividades Micro'!$B347=CI$2,'Atividades Micro'!$G347="Micro",'Atividades Micro'!$K347&lt;&gt;""),'Atividades Micro'!$K347,"")</f>
        <v/>
      </c>
      <c r="CJ295" s="21" t="str">
        <f>IF(AND('Atividades Micro'!$B347=CJ$2,'Atividades Micro'!$G347="Micro",'Atividades Micro'!$K347&lt;&gt;""),'Atividades Micro'!$K347,"")</f>
        <v/>
      </c>
      <c r="CK295" s="21" t="str">
        <f>IF(AND('Atividades Micro'!$B347=CK$2,'Atividades Micro'!$G347="Micro",'Atividades Micro'!$K347&lt;&gt;""),'Atividades Micro'!$K347,"")</f>
        <v/>
      </c>
      <c r="CL295" s="21" t="str">
        <f>IF(AND('Atividades Micro'!$B347=CL$2,'Atividades Micro'!$G347="Micro",'Atividades Micro'!$K347&lt;&gt;""),'Atividades Micro'!$K347,"")</f>
        <v/>
      </c>
      <c r="CM295" s="21" t="str">
        <f>IF(AND('Atividades Micro'!$B347=CM$2,'Atividades Micro'!$G347="Micro",'Atividades Micro'!$K347&lt;&gt;""),'Atividades Micro'!$K347,"")</f>
        <v/>
      </c>
      <c r="CN295" s="21" t="str">
        <f>IF(AND('Atividades Micro'!$B347=CN$2,'Atividades Micro'!$G347="Micro",'Atividades Micro'!$K347&lt;&gt;""),'Atividades Micro'!$K347,"")</f>
        <v/>
      </c>
      <c r="CO295" s="21">
        <f>IF(AND('Atividades Micro'!$B347=CO$2,'Atividades Micro'!$G347="Micro",'Atividades Micro'!$K347&lt;&gt;""),'Atividades Micro'!$K347,"")</f>
        <v>46302</v>
      </c>
    </row>
    <row r="296" spans="1:93">
      <c r="A296" s="21" t="str">
        <f>IF(AND('Atividades Micro'!$A348=A$2,'Atividades Micro'!$K348&lt;&gt;""),'Atividades Micro'!$K348,"")</f>
        <v/>
      </c>
      <c r="B296" s="21" t="str">
        <f>IF(AND('Atividades Micro'!$A348=B$2,'Atividades Micro'!$L348&lt;&gt;""),'Atividades Micro'!$L348,"")</f>
        <v/>
      </c>
      <c r="C296" s="21" t="str">
        <f>IF(AND('Atividades Micro'!$A348=C$2,'Atividades Micro'!$K348&lt;&gt;""),'Atividades Micro'!$K348,"")</f>
        <v/>
      </c>
      <c r="D296" s="21" t="str">
        <f>IF(AND('Atividades Micro'!$A348=D$2,'Atividades Micro'!$L348&lt;&gt;""),'Atividades Micro'!$L348,"")</f>
        <v/>
      </c>
      <c r="E296" s="21" t="str">
        <f>IF(AND('Atividades Micro'!$A348=E$2,'Atividades Micro'!$K348&lt;&gt;""),'Atividades Micro'!$K348,"")</f>
        <v/>
      </c>
      <c r="F296" s="21" t="str">
        <f>IF(AND('Atividades Micro'!$A348=F$2,'Atividades Micro'!$L348&lt;&gt;""),'Atividades Micro'!$L348,"")</f>
        <v/>
      </c>
      <c r="G296" s="21" t="str">
        <f>IF(AND('Atividades Micro'!$A348=G$2,'Atividades Micro'!$K348&lt;&gt;""),'Atividades Micro'!$K348,"")</f>
        <v/>
      </c>
      <c r="H296" s="21" t="str">
        <f>IF(AND('Atividades Micro'!$A348=H$2,'Atividades Micro'!$L348&lt;&gt;""),'Atividades Micro'!$L348,"")</f>
        <v/>
      </c>
      <c r="I296" s="21" t="str">
        <f>IF(AND('Atividades Micro'!$A348=I$2,'Atividades Micro'!$K348&lt;&gt;""),'Atividades Micro'!$K348,"")</f>
        <v/>
      </c>
      <c r="J296" s="21" t="str">
        <f>IF(AND('Atividades Micro'!$A348=J$2,'Atividades Micro'!$L348&lt;&gt;""),'Atividades Micro'!$L348,"")</f>
        <v/>
      </c>
      <c r="K296" s="21" t="str">
        <f>IF(AND('Atividades Micro'!$B348=K$2,'Atividades Micro'!$K348&lt;&gt;""),'Atividades Micro'!$K348,"")</f>
        <v/>
      </c>
      <c r="L296" s="21" t="str">
        <f>IF(AND('Atividades Micro'!$B348=L$2,'Atividades Micro'!$L348&lt;&gt;""),'Atividades Micro'!$L348,"")</f>
        <v/>
      </c>
      <c r="M296" s="21" t="str">
        <f>IF(AND('Atividades Micro'!$B348=M$2,'Atividades Micro'!$K348&lt;&gt;""),'Atividades Micro'!$K348,"")</f>
        <v/>
      </c>
      <c r="N296" s="21" t="str">
        <f>IF(AND('Atividades Micro'!$B348=N$2,'Atividades Micro'!$L348&lt;&gt;""),'Atividades Micro'!$L348,"")</f>
        <v/>
      </c>
      <c r="O296" s="21" t="str">
        <f>IF(AND('Atividades Micro'!$A348=O$2,'Atividades Micro'!$K348&lt;&gt;""),'Atividades Micro'!$K348,"")</f>
        <v/>
      </c>
      <c r="P296" s="21" t="str">
        <f>IF(AND('Atividades Micro'!$A348=P$2,'Atividades Micro'!$L348&lt;&gt;""),'Atividades Micro'!$L348,"")</f>
        <v/>
      </c>
      <c r="Q296" s="21" t="str">
        <f>IF(AND('Atividades Micro'!$B348=Q$2,'Atividades Micro'!$K348&lt;&gt;""),'Atividades Micro'!$K348,"")</f>
        <v/>
      </c>
      <c r="R296" s="21" t="str">
        <f>IF(AND('Atividades Micro'!$B348=R$2,'Atividades Micro'!$L348&lt;&gt;""),'Atividades Micro'!$L348,"")</f>
        <v/>
      </c>
      <c r="S296" s="21" t="str">
        <f>IF(AND('Atividades Micro'!$A348=S$2,'Atividades Micro'!$K348&lt;&gt;""),'Atividades Micro'!$K348,"")</f>
        <v/>
      </c>
      <c r="T296" s="21" t="str">
        <f>IF(AND('Atividades Micro'!$A348=T$2,'Atividades Micro'!$L348&lt;&gt;""),'Atividades Micro'!$L348,"")</f>
        <v/>
      </c>
      <c r="U296" s="21" t="str">
        <f>IF(AND('Atividades Micro'!$B348=U$2,'Atividades Micro'!$K348&lt;&gt;""),'Atividades Micro'!$K348,"")</f>
        <v/>
      </c>
      <c r="V296" s="21" t="str">
        <f>IF(AND('Atividades Micro'!$B348=V$2,'Atividades Micro'!$L348&lt;&gt;""),'Atividades Micro'!$L348,"")</f>
        <v/>
      </c>
      <c r="W296" s="21" t="str">
        <f>IF(AND('Atividades Micro'!$B348=W$2,'Atividades Micro'!$K348&lt;&gt;""),'Atividades Micro'!$K348,"")</f>
        <v/>
      </c>
      <c r="X296" s="21" t="str">
        <f>IF(AND('Atividades Micro'!$B348=X$2,'Atividades Micro'!$L348&lt;&gt;""),'Atividades Micro'!$L348,"")</f>
        <v/>
      </c>
      <c r="Y296" s="21" t="str">
        <f>IF(AND('Atividades Micro'!$A348=Y$2,'Atividades Micro'!$K348&lt;&gt;""),'Atividades Micro'!$K348,"")</f>
        <v/>
      </c>
      <c r="Z296" s="21" t="str">
        <f>IF(AND('Atividades Micro'!$A348=Z$2,'Atividades Micro'!$L348&lt;&gt;""),'Atividades Micro'!$L348,"")</f>
        <v/>
      </c>
      <c r="AA296" s="21" t="str">
        <f>IF(AND('Atividades Micro'!$B348=AA$2,'Atividades Micro'!$K348&lt;&gt;""),'Atividades Micro'!$K348,"")</f>
        <v/>
      </c>
      <c r="AB296" s="21" t="str">
        <f>IF(AND('Atividades Micro'!$B348=AB$2,'Atividades Micro'!$L348&lt;&gt;""),'Atividades Micro'!$L348,"")</f>
        <v/>
      </c>
      <c r="AC296" s="21" t="str">
        <f>IF(AND('Atividades Micro'!$B348=AC$2,'Atividades Micro'!$K348&lt;&gt;""),'Atividades Micro'!$K348,"")</f>
        <v/>
      </c>
      <c r="AD296" s="21" t="str">
        <f>IF(AND('Atividades Micro'!$B348=AD$2,'Atividades Micro'!$L348&lt;&gt;""),'Atividades Micro'!$L348,"")</f>
        <v/>
      </c>
      <c r="AE296" s="21" t="str">
        <f>IF(AND('Atividades Micro'!$A348=AE$2,'Atividades Micro'!$K348&lt;&gt;""),'Atividades Micro'!$K348,"")</f>
        <v/>
      </c>
      <c r="AF296" s="21" t="str">
        <f>IF(AND('Atividades Micro'!$A348=AF$2,'Atividades Micro'!$L348&lt;&gt;""),'Atividades Micro'!$L348,"")</f>
        <v/>
      </c>
      <c r="AG296" s="21" t="str">
        <f>IF(AND('Atividades Micro'!$B348=AG$2,'Atividades Micro'!$K348&lt;&gt;""),'Atividades Micro'!$K348,"")</f>
        <v/>
      </c>
      <c r="AH296" s="21" t="str">
        <f>IF(AND('Atividades Micro'!$B348=AH$2,'Atividades Micro'!$L348&lt;&gt;""),'Atividades Micro'!$L348,"")</f>
        <v/>
      </c>
      <c r="AI296" s="21" t="str">
        <f>IF(AND('Atividades Micro'!$B348=AI$2,'Atividades Micro'!$K348&lt;&gt;""),'Atividades Micro'!$K348,"")</f>
        <v/>
      </c>
      <c r="AJ296" s="21" t="str">
        <f>IF(AND('Atividades Micro'!$B348=AJ$2,'Atividades Micro'!$L348&lt;&gt;""),'Atividades Micro'!$L348,"")</f>
        <v/>
      </c>
      <c r="AK296" s="21" t="str">
        <f>IF(AND('Atividades Micro'!$A348=AK$2,'Atividades Micro'!$K348&lt;&gt;""),'Atividades Micro'!$K348,"")</f>
        <v/>
      </c>
      <c r="AL296" s="21" t="str">
        <f>IF(AND('Atividades Micro'!$A348=AL$2,'Atividades Micro'!$L348&lt;&gt;""),'Atividades Micro'!$L348,"")</f>
        <v/>
      </c>
      <c r="AM296" s="21" t="str">
        <f>IF(AND('Atividades Micro'!$B348=AM$2,'Atividades Micro'!$K348&lt;&gt;""),'Atividades Micro'!$K348,"")</f>
        <v/>
      </c>
      <c r="AN296" s="21" t="str">
        <f>IF(AND('Atividades Micro'!$B348=AN$2,'Atividades Micro'!$L348&lt;&gt;""),'Atividades Micro'!$L348,"")</f>
        <v/>
      </c>
      <c r="AO296" s="21" t="str">
        <f>IF(AND('Atividades Micro'!$B348=AO$2,'Atividades Micro'!$K348&lt;&gt;""),'Atividades Micro'!$K348,"")</f>
        <v/>
      </c>
      <c r="AP296" s="21" t="str">
        <f>IF(AND('Atividades Micro'!$B348=AP$2,'Atividades Micro'!$L348&lt;&gt;""),'Atividades Micro'!$L348,"")</f>
        <v/>
      </c>
      <c r="AQ296" s="21" t="str">
        <f>IF(AND('Atividades Micro'!$A348=AQ$2,'Atividades Micro'!$K348&lt;&gt;""),'Atividades Micro'!$K348,"")</f>
        <v/>
      </c>
      <c r="AR296" s="21" t="str">
        <f>IF(AND('Atividades Micro'!$A348=AR$2,'Atividades Micro'!$L348&lt;&gt;""),'Atividades Micro'!$L348,"")</f>
        <v/>
      </c>
      <c r="AS296" s="21" t="str">
        <f>IF(AND('Atividades Micro'!$B348=AS$2,'Atividades Micro'!$K348&lt;&gt;""),'Atividades Micro'!$K348,"")</f>
        <v/>
      </c>
      <c r="AT296" s="21" t="str">
        <f>IF(AND('Atividades Micro'!$B348=AT$2,'Atividades Micro'!$L348&lt;&gt;""),'Atividades Micro'!$L348,"")</f>
        <v/>
      </c>
      <c r="AU296" s="21" t="str">
        <f>IF(AND('Atividades Micro'!$A348=AU$2,'Atividades Micro'!$K348&lt;&gt;""),'Atividades Micro'!$K348,"")</f>
        <v/>
      </c>
      <c r="AV296" s="21" t="str">
        <f>IF(AND('Atividades Micro'!$A348=AV$2,'Atividades Micro'!$L348&lt;&gt;""),'Atividades Micro'!$L348,"")</f>
        <v/>
      </c>
      <c r="AW296" s="21" t="str">
        <f>IF(AND('Atividades Micro'!$B348=AW$2,'Atividades Micro'!$K348&lt;&gt;""),'Atividades Micro'!$K348,"")</f>
        <v/>
      </c>
      <c r="AX296" s="21" t="str">
        <f>IF(AND('Atividades Micro'!$B348=AX$2,'Atividades Micro'!$L348&lt;&gt;""),'Atividades Micro'!$L348,"")</f>
        <v/>
      </c>
      <c r="AY296" s="21" t="str">
        <f>IF(AND('Atividades Micro'!$A348=AY$2,'Atividades Micro'!$K348&lt;&gt;""),'Atividades Micro'!$K348,"")</f>
        <v/>
      </c>
      <c r="AZ296" s="21" t="str">
        <f>IF(AND('Atividades Micro'!$A348=AZ$2,'Atividades Micro'!$L348&lt;&gt;""),'Atividades Micro'!$L348,"")</f>
        <v/>
      </c>
      <c r="BA296" s="21" t="str">
        <f>IF(AND('Atividades Micro'!$B348=BA$2,'Atividades Micro'!$K348&lt;&gt;""),'Atividades Micro'!$K348,"")</f>
        <v/>
      </c>
      <c r="BB296" s="21" t="str">
        <f>IF(AND('Atividades Micro'!$B348=BB$2,'Atividades Micro'!$L348&lt;&gt;""),'Atividades Micro'!$L348,"")</f>
        <v/>
      </c>
      <c r="BC296" s="21" t="str">
        <f>IF(AND('Atividades Micro'!$B348=BC$2,'Atividades Micro'!$G348="Macro",'Atividades Micro'!$K348&lt;&gt;""),'Atividades Micro'!$K348,"")</f>
        <v/>
      </c>
      <c r="BD296" s="21" t="str">
        <f>IF(AND('Atividades Micro'!$B348=BD$2,'Atividades Micro'!$G348="Macro",'Atividades Micro'!$K348&lt;&gt;""),'Atividades Micro'!$K348,"")</f>
        <v/>
      </c>
      <c r="BE296" s="21" t="str">
        <f>IF(AND('Atividades Micro'!$B348=BE$2,'Atividades Micro'!$G348="Macro",'Atividades Micro'!$K348&lt;&gt;""),'Atividades Micro'!$K348,"")</f>
        <v/>
      </c>
      <c r="BF296" s="21" t="str">
        <f>IF(AND('Atividades Micro'!$B348=BF$2,'Atividades Micro'!$G348="Macro",'Atividades Micro'!$K348&lt;&gt;""),'Atividades Micro'!$K348,"")</f>
        <v/>
      </c>
      <c r="BG296" s="21" t="str">
        <f>IF(AND('Atividades Micro'!$B348=BG$2,'Atividades Micro'!$G348="Macro",'Atividades Micro'!$K348&lt;&gt;""),'Atividades Micro'!$K348,"")</f>
        <v/>
      </c>
      <c r="BH296" s="21" t="str">
        <f>IF(AND('Atividades Micro'!$B348=BH$2,'Atividades Micro'!$G348="Macro",'Atividades Micro'!$K348&lt;&gt;""),'Atividades Micro'!$K348,"")</f>
        <v/>
      </c>
      <c r="BI296" s="21" t="str">
        <f>IF(AND('Atividades Micro'!$B348=BI$2,'Atividades Micro'!$G348="Macro",'Atividades Micro'!$K348&lt;&gt;""),'Atividades Micro'!$K348,"")</f>
        <v/>
      </c>
      <c r="BJ296" s="21" t="str">
        <f>IF(AND('Atividades Micro'!$B348=BJ$2,'Atividades Micro'!$G348="Macro",'Atividades Micro'!$K348&lt;&gt;""),'Atividades Micro'!$K348,"")</f>
        <v/>
      </c>
      <c r="BK296" s="21" t="str">
        <f>IF(AND('Atividades Micro'!$B348=BK$2,'Atividades Micro'!$G348="Macro",'Atividades Micro'!$K348&lt;&gt;""),'Atividades Micro'!$K348,"")</f>
        <v/>
      </c>
      <c r="BL296" s="21" t="str">
        <f>IF(AND('Atividades Micro'!$B348=BL$2,'Atividades Micro'!$G348="Macro",'Atividades Micro'!$K348&lt;&gt;""),'Atividades Micro'!$K348,"")</f>
        <v/>
      </c>
      <c r="BM296" s="21" t="str">
        <f>IF(AND('Atividades Micro'!$B348=BM$2,'Atividades Micro'!$G348="Macro",'Atividades Micro'!$K348&lt;&gt;""),'Atividades Micro'!$K348,"")</f>
        <v/>
      </c>
      <c r="BN296" s="21" t="str">
        <f>IF(AND('Atividades Micro'!$B348=BN$2,'Atividades Micro'!$G348="Macro",'Atividades Micro'!$K348&lt;&gt;""),'Atividades Micro'!$K348,"")</f>
        <v/>
      </c>
      <c r="BO296" s="21" t="str">
        <f>IF(AND('Atividades Micro'!$B348=BO$2,'Atividades Micro'!$G348="Macro",'Atividades Micro'!$K348&lt;&gt;""),'Atividades Micro'!$K348,"")</f>
        <v/>
      </c>
      <c r="BP296" s="21" t="str">
        <f>IF(AND('Atividades Micro'!$B348=BP$2,'Atividades Micro'!$G348="Macro",'Atividades Micro'!$K348&lt;&gt;""),'Atividades Micro'!$K348,"")</f>
        <v/>
      </c>
      <c r="BQ296" s="21" t="str">
        <f>IF(AND('Atividades Micro'!$B348=BQ$2,'Atividades Micro'!$G348="Macro",'Atividades Micro'!$K348&lt;&gt;""),'Atividades Micro'!$K348,"")</f>
        <v/>
      </c>
      <c r="BR296" s="21" t="str">
        <f>IF(AND('Atividades Micro'!$B348=BR$2,'Atividades Micro'!$G348="Macro",'Atividades Micro'!$K348&lt;&gt;""),'Atividades Micro'!$K348,"")</f>
        <v/>
      </c>
      <c r="BS296" s="21" t="str">
        <f>IF(AND('Atividades Micro'!$B348=BS$2,'Atividades Micro'!$G348="Macro",'Atividades Micro'!$K348&lt;&gt;""),'Atividades Micro'!$K348,"")</f>
        <v/>
      </c>
      <c r="BT296" s="21" t="str">
        <f>IF(AND('Atividades Micro'!$B348=BT$2,'Atividades Micro'!$G348="Macro",'Atividades Micro'!$K348&lt;&gt;""),'Atividades Micro'!$K348,"")</f>
        <v/>
      </c>
      <c r="BU296" s="21" t="str">
        <f>IF(AND('Atividades Micro'!$B348=BU$2,'Atividades Micro'!$G348="Macro",'Atividades Micro'!$K348&lt;&gt;""),'Atividades Micro'!$K348,"")</f>
        <v/>
      </c>
      <c r="BV296" s="21" t="str">
        <f>IF(AND('Atividades Micro'!$B348=BV$2,'Atividades Micro'!$G348="Macro",'Atividades Micro'!$K348&lt;&gt;""),'Atividades Micro'!$K348,"")</f>
        <v/>
      </c>
      <c r="BW296" s="21" t="str">
        <f>IF(AND('Atividades Micro'!$B348=BW$2,'Atividades Micro'!$G348="Macro",'Atividades Micro'!$K348&lt;&gt;""),'Atividades Micro'!$K348,"")</f>
        <v/>
      </c>
      <c r="BX296" s="21" t="str">
        <f>IF(AND('Atividades Micro'!$B348=BX$2,'Atividades Micro'!$G348="Macro",'Atividades Micro'!$K348&lt;&gt;""),'Atividades Micro'!$K348,"")</f>
        <v/>
      </c>
      <c r="BY296" s="21" t="str">
        <f>IF(AND('Atividades Micro'!$B348=BY$2,'Atividades Micro'!$G348="Macro",'Atividades Micro'!$K348&lt;&gt;""),'Atividades Micro'!$K348,"")</f>
        <v/>
      </c>
      <c r="BZ296" s="21" t="str">
        <f>IF(AND('Atividades Micro'!$B348=BZ$2,'Atividades Micro'!$G348="Macro",'Atividades Micro'!$K348&lt;&gt;""),'Atividades Micro'!$K348,"")</f>
        <v/>
      </c>
      <c r="CA296" s="21" t="str">
        <f>IF(AND('Atividades Micro'!$B348=CA$2,'Atividades Micro'!$G348="Macro",'Atividades Micro'!$K348&lt;&gt;""),'Atividades Micro'!$K348,"")</f>
        <v/>
      </c>
      <c r="CB296" s="21" t="str">
        <f>IF(AND('Atividades Micro'!$B348=CB$2,'Atividades Micro'!$G348="Macro",'Atividades Micro'!$K348&lt;&gt;""),'Atividades Micro'!$K348,"")</f>
        <v/>
      </c>
      <c r="CC296" s="21" t="str">
        <f>IF(AND('Atividades Micro'!$B348=CC$2,'Atividades Micro'!$G348="Macro",'Atividades Micro'!$K348&lt;&gt;""),'Atividades Micro'!$K348,"")</f>
        <v/>
      </c>
      <c r="CD296" s="21" t="str">
        <f>IF(AND('Atividades Micro'!$B348=CD$2,'Atividades Micro'!$G348="Micro",'Atividades Micro'!$K348&lt;&gt;""),'Atividades Micro'!$K348,"")</f>
        <v/>
      </c>
      <c r="CE296" s="21" t="str">
        <f>IF(AND('Atividades Micro'!$B348=CE$2,'Atividades Micro'!$G348="Micro",'Atividades Micro'!$K348&lt;&gt;""),'Atividades Micro'!$K348,"")</f>
        <v/>
      </c>
      <c r="CF296" s="21" t="str">
        <f>IF(AND('Atividades Micro'!$B348=CF$2,'Atividades Micro'!$G348="Micro",'Atividades Micro'!$K348&lt;&gt;""),'Atividades Micro'!$K348,"")</f>
        <v/>
      </c>
      <c r="CG296" s="21" t="str">
        <f>IF(AND('Atividades Micro'!$B348=CG$2,'Atividades Micro'!$G348="Micro",'Atividades Micro'!$K348&lt;&gt;""),'Atividades Micro'!$K348,"")</f>
        <v/>
      </c>
      <c r="CH296" s="21" t="str">
        <f>IF(AND('Atividades Micro'!$B348=CH$2,'Atividades Micro'!$G348="Micro",'Atividades Micro'!$K348&lt;&gt;""),'Atividades Micro'!$K348,"")</f>
        <v/>
      </c>
      <c r="CI296" s="21" t="str">
        <f>IF(AND('Atividades Micro'!$B348=CI$2,'Atividades Micro'!$G348="Micro",'Atividades Micro'!$K348&lt;&gt;""),'Atividades Micro'!$K348,"")</f>
        <v/>
      </c>
      <c r="CJ296" s="21" t="str">
        <f>IF(AND('Atividades Micro'!$B348=CJ$2,'Atividades Micro'!$G348="Micro",'Atividades Micro'!$K348&lt;&gt;""),'Atividades Micro'!$K348,"")</f>
        <v/>
      </c>
      <c r="CK296" s="21" t="str">
        <f>IF(AND('Atividades Micro'!$B348=CK$2,'Atividades Micro'!$G348="Micro",'Atividades Micro'!$K348&lt;&gt;""),'Atividades Micro'!$K348,"")</f>
        <v/>
      </c>
      <c r="CL296" s="21" t="str">
        <f>IF(AND('Atividades Micro'!$B348=CL$2,'Atividades Micro'!$G348="Micro",'Atividades Micro'!$K348&lt;&gt;""),'Atividades Micro'!$K348,"")</f>
        <v/>
      </c>
      <c r="CM296" s="21" t="str">
        <f>IF(AND('Atividades Micro'!$B348=CM$2,'Atividades Micro'!$G348="Micro",'Atividades Micro'!$K348&lt;&gt;""),'Atividades Micro'!$K348,"")</f>
        <v/>
      </c>
      <c r="CN296" s="21" t="str">
        <f>IF(AND('Atividades Micro'!$B348=CN$2,'Atividades Micro'!$G348="Micro",'Atividades Micro'!$K348&lt;&gt;""),'Atividades Micro'!$K348,"")</f>
        <v/>
      </c>
      <c r="CO296" s="21" t="str">
        <f>IF(AND('Atividades Micro'!$B348=CO$2,'Atividades Micro'!$G348="Micro",'Atividades Micro'!$K348&lt;&gt;""),'Atividades Micro'!$K348,"")</f>
        <v/>
      </c>
    </row>
    <row r="297" spans="1:93">
      <c r="A297" s="21" t="str">
        <f>IF(AND('Atividades Micro'!$A349=A$2,'Atividades Micro'!$K349&lt;&gt;""),'Atividades Micro'!$K349,"")</f>
        <v/>
      </c>
      <c r="B297" s="21" t="str">
        <f>IF(AND('Atividades Micro'!$A349=B$2,'Atividades Micro'!$L349&lt;&gt;""),'Atividades Micro'!$L349,"")</f>
        <v/>
      </c>
      <c r="C297" s="21" t="str">
        <f>IF(AND('Atividades Micro'!$A349=C$2,'Atividades Micro'!$K349&lt;&gt;""),'Atividades Micro'!$K349,"")</f>
        <v/>
      </c>
      <c r="D297" s="21" t="str">
        <f>IF(AND('Atividades Micro'!$A349=D$2,'Atividades Micro'!$L349&lt;&gt;""),'Atividades Micro'!$L349,"")</f>
        <v/>
      </c>
      <c r="E297" s="21" t="str">
        <f>IF(AND('Atividades Micro'!$A349=E$2,'Atividades Micro'!$K349&lt;&gt;""),'Atividades Micro'!$K349,"")</f>
        <v/>
      </c>
      <c r="F297" s="21" t="str">
        <f>IF(AND('Atividades Micro'!$A349=F$2,'Atividades Micro'!$L349&lt;&gt;""),'Atividades Micro'!$L349,"")</f>
        <v/>
      </c>
      <c r="G297" s="21" t="str">
        <f>IF(AND('Atividades Micro'!$A349=G$2,'Atividades Micro'!$K349&lt;&gt;""),'Atividades Micro'!$K349,"")</f>
        <v/>
      </c>
      <c r="H297" s="21" t="str">
        <f>IF(AND('Atividades Micro'!$A349=H$2,'Atividades Micro'!$L349&lt;&gt;""),'Atividades Micro'!$L349,"")</f>
        <v/>
      </c>
      <c r="I297" s="21" t="str">
        <f>IF(AND('Atividades Micro'!$A349=I$2,'Atividades Micro'!$K349&lt;&gt;""),'Atividades Micro'!$K349,"")</f>
        <v/>
      </c>
      <c r="J297" s="21" t="str">
        <f>IF(AND('Atividades Micro'!$A349=J$2,'Atividades Micro'!$L349&lt;&gt;""),'Atividades Micro'!$L349,"")</f>
        <v/>
      </c>
      <c r="K297" s="21" t="str">
        <f>IF(AND('Atividades Micro'!$B349=K$2,'Atividades Micro'!$K349&lt;&gt;""),'Atividades Micro'!$K349,"")</f>
        <v/>
      </c>
      <c r="L297" s="21" t="str">
        <f>IF(AND('Atividades Micro'!$B349=L$2,'Atividades Micro'!$L349&lt;&gt;""),'Atividades Micro'!$L349,"")</f>
        <v/>
      </c>
      <c r="M297" s="21" t="str">
        <f>IF(AND('Atividades Micro'!$B349=M$2,'Atividades Micro'!$K349&lt;&gt;""),'Atividades Micro'!$K349,"")</f>
        <v/>
      </c>
      <c r="N297" s="21" t="str">
        <f>IF(AND('Atividades Micro'!$B349=N$2,'Atividades Micro'!$L349&lt;&gt;""),'Atividades Micro'!$L349,"")</f>
        <v/>
      </c>
      <c r="O297" s="21" t="str">
        <f>IF(AND('Atividades Micro'!$A349=O$2,'Atividades Micro'!$K349&lt;&gt;""),'Atividades Micro'!$K349,"")</f>
        <v/>
      </c>
      <c r="P297" s="21" t="str">
        <f>IF(AND('Atividades Micro'!$A349=P$2,'Atividades Micro'!$L349&lt;&gt;""),'Atividades Micro'!$L349,"")</f>
        <v/>
      </c>
      <c r="Q297" s="21" t="str">
        <f>IF(AND('Atividades Micro'!$B349=Q$2,'Atividades Micro'!$K349&lt;&gt;""),'Atividades Micro'!$K349,"")</f>
        <v/>
      </c>
      <c r="R297" s="21" t="str">
        <f>IF(AND('Atividades Micro'!$B349=R$2,'Atividades Micro'!$L349&lt;&gt;""),'Atividades Micro'!$L349,"")</f>
        <v/>
      </c>
      <c r="S297" s="21" t="str">
        <f>IF(AND('Atividades Micro'!$A349=S$2,'Atividades Micro'!$K349&lt;&gt;""),'Atividades Micro'!$K349,"")</f>
        <v/>
      </c>
      <c r="T297" s="21" t="str">
        <f>IF(AND('Atividades Micro'!$A349=T$2,'Atividades Micro'!$L349&lt;&gt;""),'Atividades Micro'!$L349,"")</f>
        <v/>
      </c>
      <c r="U297" s="21" t="str">
        <f>IF(AND('Atividades Micro'!$B349=U$2,'Atividades Micro'!$K349&lt;&gt;""),'Atividades Micro'!$K349,"")</f>
        <v/>
      </c>
      <c r="V297" s="21" t="str">
        <f>IF(AND('Atividades Micro'!$B349=V$2,'Atividades Micro'!$L349&lt;&gt;""),'Atividades Micro'!$L349,"")</f>
        <v/>
      </c>
      <c r="W297" s="21" t="str">
        <f>IF(AND('Atividades Micro'!$B349=W$2,'Atividades Micro'!$K349&lt;&gt;""),'Atividades Micro'!$K349,"")</f>
        <v/>
      </c>
      <c r="X297" s="21" t="str">
        <f>IF(AND('Atividades Micro'!$B349=X$2,'Atividades Micro'!$L349&lt;&gt;""),'Atividades Micro'!$L349,"")</f>
        <v/>
      </c>
      <c r="Y297" s="21" t="str">
        <f>IF(AND('Atividades Micro'!$A349=Y$2,'Atividades Micro'!$K349&lt;&gt;""),'Atividades Micro'!$K349,"")</f>
        <v/>
      </c>
      <c r="Z297" s="21" t="str">
        <f>IF(AND('Atividades Micro'!$A349=Z$2,'Atividades Micro'!$L349&lt;&gt;""),'Atividades Micro'!$L349,"")</f>
        <v/>
      </c>
      <c r="AA297" s="21" t="str">
        <f>IF(AND('Atividades Micro'!$B349=AA$2,'Atividades Micro'!$K349&lt;&gt;""),'Atividades Micro'!$K349,"")</f>
        <v/>
      </c>
      <c r="AB297" s="21" t="str">
        <f>IF(AND('Atividades Micro'!$B349=AB$2,'Atividades Micro'!$L349&lt;&gt;""),'Atividades Micro'!$L349,"")</f>
        <v/>
      </c>
      <c r="AC297" s="21" t="str">
        <f>IF(AND('Atividades Micro'!$B349=AC$2,'Atividades Micro'!$K349&lt;&gt;""),'Atividades Micro'!$K349,"")</f>
        <v/>
      </c>
      <c r="AD297" s="21" t="str">
        <f>IF(AND('Atividades Micro'!$B349=AD$2,'Atividades Micro'!$L349&lt;&gt;""),'Atividades Micro'!$L349,"")</f>
        <v/>
      </c>
      <c r="AE297" s="21" t="str">
        <f>IF(AND('Atividades Micro'!$A349=AE$2,'Atividades Micro'!$K349&lt;&gt;""),'Atividades Micro'!$K349,"")</f>
        <v/>
      </c>
      <c r="AF297" s="21" t="str">
        <f>IF(AND('Atividades Micro'!$A349=AF$2,'Atividades Micro'!$L349&lt;&gt;""),'Atividades Micro'!$L349,"")</f>
        <v/>
      </c>
      <c r="AG297" s="21" t="str">
        <f>IF(AND('Atividades Micro'!$B349=AG$2,'Atividades Micro'!$K349&lt;&gt;""),'Atividades Micro'!$K349,"")</f>
        <v/>
      </c>
      <c r="AH297" s="21" t="str">
        <f>IF(AND('Atividades Micro'!$B349=AH$2,'Atividades Micro'!$L349&lt;&gt;""),'Atividades Micro'!$L349,"")</f>
        <v/>
      </c>
      <c r="AI297" s="21" t="str">
        <f>IF(AND('Atividades Micro'!$B349=AI$2,'Atividades Micro'!$K349&lt;&gt;""),'Atividades Micro'!$K349,"")</f>
        <v/>
      </c>
      <c r="AJ297" s="21" t="str">
        <f>IF(AND('Atividades Micro'!$B349=AJ$2,'Atividades Micro'!$L349&lt;&gt;""),'Atividades Micro'!$L349,"")</f>
        <v/>
      </c>
      <c r="AK297" s="21" t="str">
        <f>IF(AND('Atividades Micro'!$A349=AK$2,'Atividades Micro'!$K349&lt;&gt;""),'Atividades Micro'!$K349,"")</f>
        <v/>
      </c>
      <c r="AL297" s="21" t="str">
        <f>IF(AND('Atividades Micro'!$A349=AL$2,'Atividades Micro'!$L349&lt;&gt;""),'Atividades Micro'!$L349,"")</f>
        <v/>
      </c>
      <c r="AM297" s="21" t="str">
        <f>IF(AND('Atividades Micro'!$B349=AM$2,'Atividades Micro'!$K349&lt;&gt;""),'Atividades Micro'!$K349,"")</f>
        <v/>
      </c>
      <c r="AN297" s="21" t="str">
        <f>IF(AND('Atividades Micro'!$B349=AN$2,'Atividades Micro'!$L349&lt;&gt;""),'Atividades Micro'!$L349,"")</f>
        <v/>
      </c>
      <c r="AO297" s="21" t="str">
        <f>IF(AND('Atividades Micro'!$B349=AO$2,'Atividades Micro'!$K349&lt;&gt;""),'Atividades Micro'!$K349,"")</f>
        <v/>
      </c>
      <c r="AP297" s="21" t="str">
        <f>IF(AND('Atividades Micro'!$B349=AP$2,'Atividades Micro'!$L349&lt;&gt;""),'Atividades Micro'!$L349,"")</f>
        <v/>
      </c>
      <c r="AQ297" s="21" t="str">
        <f>IF(AND('Atividades Micro'!$A349=AQ$2,'Atividades Micro'!$K349&lt;&gt;""),'Atividades Micro'!$K349,"")</f>
        <v/>
      </c>
      <c r="AR297" s="21" t="str">
        <f>IF(AND('Atividades Micro'!$A349=AR$2,'Atividades Micro'!$L349&lt;&gt;""),'Atividades Micro'!$L349,"")</f>
        <v/>
      </c>
      <c r="AS297" s="21" t="str">
        <f>IF(AND('Atividades Micro'!$B349=AS$2,'Atividades Micro'!$K349&lt;&gt;""),'Atividades Micro'!$K349,"")</f>
        <v/>
      </c>
      <c r="AT297" s="21" t="str">
        <f>IF(AND('Atividades Micro'!$B349=AT$2,'Atividades Micro'!$L349&lt;&gt;""),'Atividades Micro'!$L349,"")</f>
        <v/>
      </c>
      <c r="AU297" s="21" t="str">
        <f>IF(AND('Atividades Micro'!$A349=AU$2,'Atividades Micro'!$K349&lt;&gt;""),'Atividades Micro'!$K349,"")</f>
        <v/>
      </c>
      <c r="AV297" s="21" t="str">
        <f>IF(AND('Atividades Micro'!$A349=AV$2,'Atividades Micro'!$L349&lt;&gt;""),'Atividades Micro'!$L349,"")</f>
        <v/>
      </c>
      <c r="AW297" s="21" t="str">
        <f>IF(AND('Atividades Micro'!$B349=AW$2,'Atividades Micro'!$K349&lt;&gt;""),'Atividades Micro'!$K349,"")</f>
        <v/>
      </c>
      <c r="AX297" s="21" t="str">
        <f>IF(AND('Atividades Micro'!$B349=AX$2,'Atividades Micro'!$L349&lt;&gt;""),'Atividades Micro'!$L349,"")</f>
        <v/>
      </c>
      <c r="AY297" s="21" t="str">
        <f>IF(AND('Atividades Micro'!$A349=AY$2,'Atividades Micro'!$K349&lt;&gt;""),'Atividades Micro'!$K349,"")</f>
        <v/>
      </c>
      <c r="AZ297" s="21" t="str">
        <f>IF(AND('Atividades Micro'!$A349=AZ$2,'Atividades Micro'!$L349&lt;&gt;""),'Atividades Micro'!$L349,"")</f>
        <v/>
      </c>
      <c r="BA297" s="21" t="str">
        <f>IF(AND('Atividades Micro'!$B349=BA$2,'Atividades Micro'!$K349&lt;&gt;""),'Atividades Micro'!$K349,"")</f>
        <v/>
      </c>
      <c r="BB297" s="21" t="str">
        <f>IF(AND('Atividades Micro'!$B349=BB$2,'Atividades Micro'!$L349&lt;&gt;""),'Atividades Micro'!$L349,"")</f>
        <v/>
      </c>
      <c r="BC297" s="21" t="str">
        <f>IF(AND('Atividades Micro'!$B349=BC$2,'Atividades Micro'!$G349="Macro",'Atividades Micro'!$K349&lt;&gt;""),'Atividades Micro'!$K349,"")</f>
        <v/>
      </c>
      <c r="BD297" s="21" t="str">
        <f>IF(AND('Atividades Micro'!$B349=BD$2,'Atividades Micro'!$G349="Macro",'Atividades Micro'!$K349&lt;&gt;""),'Atividades Micro'!$K349,"")</f>
        <v/>
      </c>
      <c r="BE297" s="21" t="str">
        <f>IF(AND('Atividades Micro'!$B349=BE$2,'Atividades Micro'!$G349="Macro",'Atividades Micro'!$K349&lt;&gt;""),'Atividades Micro'!$K349,"")</f>
        <v/>
      </c>
      <c r="BF297" s="21" t="str">
        <f>IF(AND('Atividades Micro'!$B349=BF$2,'Atividades Micro'!$G349="Macro",'Atividades Micro'!$K349&lt;&gt;""),'Atividades Micro'!$K349,"")</f>
        <v/>
      </c>
      <c r="BG297" s="21" t="str">
        <f>IF(AND('Atividades Micro'!$B349=BG$2,'Atividades Micro'!$G349="Macro",'Atividades Micro'!$K349&lt;&gt;""),'Atividades Micro'!$K349,"")</f>
        <v/>
      </c>
      <c r="BH297" s="21" t="str">
        <f>IF(AND('Atividades Micro'!$B349=BH$2,'Atividades Micro'!$G349="Macro",'Atividades Micro'!$K349&lt;&gt;""),'Atividades Micro'!$K349,"")</f>
        <v/>
      </c>
      <c r="BI297" s="21" t="str">
        <f>IF(AND('Atividades Micro'!$B349=BI$2,'Atividades Micro'!$G349="Macro",'Atividades Micro'!$K349&lt;&gt;""),'Atividades Micro'!$K349,"")</f>
        <v/>
      </c>
      <c r="BJ297" s="21" t="str">
        <f>IF(AND('Atividades Micro'!$B349=BJ$2,'Atividades Micro'!$G349="Macro",'Atividades Micro'!$K349&lt;&gt;""),'Atividades Micro'!$K349,"")</f>
        <v/>
      </c>
      <c r="BK297" s="21" t="str">
        <f>IF(AND('Atividades Micro'!$B349=BK$2,'Atividades Micro'!$G349="Macro",'Atividades Micro'!$K349&lt;&gt;""),'Atividades Micro'!$K349,"")</f>
        <v/>
      </c>
      <c r="BL297" s="21" t="str">
        <f>IF(AND('Atividades Micro'!$B349=BL$2,'Atividades Micro'!$G349="Macro",'Atividades Micro'!$K349&lt;&gt;""),'Atividades Micro'!$K349,"")</f>
        <v/>
      </c>
      <c r="BM297" s="21" t="str">
        <f>IF(AND('Atividades Micro'!$B349=BM$2,'Atividades Micro'!$G349="Macro",'Atividades Micro'!$K349&lt;&gt;""),'Atividades Micro'!$K349,"")</f>
        <v/>
      </c>
      <c r="BN297" s="21" t="str">
        <f>IF(AND('Atividades Micro'!$B349=BN$2,'Atividades Micro'!$G349="Macro",'Atividades Micro'!$K349&lt;&gt;""),'Atividades Micro'!$K349,"")</f>
        <v/>
      </c>
      <c r="BO297" s="21" t="str">
        <f>IF(AND('Atividades Micro'!$B349=BO$2,'Atividades Micro'!$G349="Macro",'Atividades Micro'!$K349&lt;&gt;""),'Atividades Micro'!$K349,"")</f>
        <v/>
      </c>
      <c r="BP297" s="21" t="str">
        <f>IF(AND('Atividades Micro'!$B349=BP$2,'Atividades Micro'!$G349="Macro",'Atividades Micro'!$K349&lt;&gt;""),'Atividades Micro'!$K349,"")</f>
        <v/>
      </c>
      <c r="BQ297" s="21" t="str">
        <f>IF(AND('Atividades Micro'!$B349=BQ$2,'Atividades Micro'!$G349="Macro",'Atividades Micro'!$K349&lt;&gt;""),'Atividades Micro'!$K349,"")</f>
        <v/>
      </c>
      <c r="BR297" s="21" t="str">
        <f>IF(AND('Atividades Micro'!$B349=BR$2,'Atividades Micro'!$G349="Macro",'Atividades Micro'!$K349&lt;&gt;""),'Atividades Micro'!$K349,"")</f>
        <v/>
      </c>
      <c r="BS297" s="21" t="str">
        <f>IF(AND('Atividades Micro'!$B349=BS$2,'Atividades Micro'!$G349="Macro",'Atividades Micro'!$K349&lt;&gt;""),'Atividades Micro'!$K349,"")</f>
        <v/>
      </c>
      <c r="BT297" s="21" t="str">
        <f>IF(AND('Atividades Micro'!$B349=BT$2,'Atividades Micro'!$G349="Macro",'Atividades Micro'!$K349&lt;&gt;""),'Atividades Micro'!$K349,"")</f>
        <v/>
      </c>
      <c r="BU297" s="21" t="str">
        <f>IF(AND('Atividades Micro'!$B349=BU$2,'Atividades Micro'!$G349="Macro",'Atividades Micro'!$K349&lt;&gt;""),'Atividades Micro'!$K349,"")</f>
        <v/>
      </c>
      <c r="BV297" s="21" t="str">
        <f>IF(AND('Atividades Micro'!$B349=BV$2,'Atividades Micro'!$G349="Macro",'Atividades Micro'!$K349&lt;&gt;""),'Atividades Micro'!$K349,"")</f>
        <v/>
      </c>
      <c r="BW297" s="21" t="str">
        <f>IF(AND('Atividades Micro'!$B349=BW$2,'Atividades Micro'!$G349="Macro",'Atividades Micro'!$K349&lt;&gt;""),'Atividades Micro'!$K349,"")</f>
        <v/>
      </c>
      <c r="BX297" s="21" t="str">
        <f>IF(AND('Atividades Micro'!$B349=BX$2,'Atividades Micro'!$G349="Macro",'Atividades Micro'!$K349&lt;&gt;""),'Atividades Micro'!$K349,"")</f>
        <v/>
      </c>
      <c r="BY297" s="21" t="str">
        <f>IF(AND('Atividades Micro'!$B349=BY$2,'Atividades Micro'!$G349="Macro",'Atividades Micro'!$K349&lt;&gt;""),'Atividades Micro'!$K349,"")</f>
        <v/>
      </c>
      <c r="BZ297" s="21" t="str">
        <f>IF(AND('Atividades Micro'!$B349=BZ$2,'Atividades Micro'!$G349="Macro",'Atividades Micro'!$K349&lt;&gt;""),'Atividades Micro'!$K349,"")</f>
        <v/>
      </c>
      <c r="CA297" s="21" t="str">
        <f>IF(AND('Atividades Micro'!$B349=CA$2,'Atividades Micro'!$G349="Macro",'Atividades Micro'!$K349&lt;&gt;""),'Atividades Micro'!$K349,"")</f>
        <v/>
      </c>
      <c r="CB297" s="21" t="str">
        <f>IF(AND('Atividades Micro'!$B349=CB$2,'Atividades Micro'!$G349="Macro",'Atividades Micro'!$K349&lt;&gt;""),'Atividades Micro'!$K349,"")</f>
        <v/>
      </c>
      <c r="CC297" s="21" t="str">
        <f>IF(AND('Atividades Micro'!$B349=CC$2,'Atividades Micro'!$G349="Macro",'Atividades Micro'!$K349&lt;&gt;""),'Atividades Micro'!$K349,"")</f>
        <v/>
      </c>
      <c r="CD297" s="21" t="str">
        <f>IF(AND('Atividades Micro'!$B349=CD$2,'Atividades Micro'!$G349="Micro",'Atividades Micro'!$K349&lt;&gt;""),'Atividades Micro'!$K349,"")</f>
        <v/>
      </c>
      <c r="CE297" s="21" t="str">
        <f>IF(AND('Atividades Micro'!$B349=CE$2,'Atividades Micro'!$G349="Micro",'Atividades Micro'!$K349&lt;&gt;""),'Atividades Micro'!$K349,"")</f>
        <v/>
      </c>
      <c r="CF297" s="21" t="str">
        <f>IF(AND('Atividades Micro'!$B349=CF$2,'Atividades Micro'!$G349="Micro",'Atividades Micro'!$K349&lt;&gt;""),'Atividades Micro'!$K349,"")</f>
        <v/>
      </c>
      <c r="CG297" s="21" t="str">
        <f>IF(AND('Atividades Micro'!$B349=CG$2,'Atividades Micro'!$G349="Micro",'Atividades Micro'!$K349&lt;&gt;""),'Atividades Micro'!$K349,"")</f>
        <v/>
      </c>
      <c r="CH297" s="21" t="str">
        <f>IF(AND('Atividades Micro'!$B349=CH$2,'Atividades Micro'!$G349="Micro",'Atividades Micro'!$K349&lt;&gt;""),'Atividades Micro'!$K349,"")</f>
        <v/>
      </c>
      <c r="CI297" s="21" t="str">
        <f>IF(AND('Atividades Micro'!$B349=CI$2,'Atividades Micro'!$G349="Micro",'Atividades Micro'!$K349&lt;&gt;""),'Atividades Micro'!$K349,"")</f>
        <v/>
      </c>
      <c r="CJ297" s="21" t="str">
        <f>IF(AND('Atividades Micro'!$B349=CJ$2,'Atividades Micro'!$G349="Micro",'Atividades Micro'!$K349&lt;&gt;""),'Atividades Micro'!$K349,"")</f>
        <v/>
      </c>
      <c r="CK297" s="21" t="str">
        <f>IF(AND('Atividades Micro'!$B349=CK$2,'Atividades Micro'!$G349="Micro",'Atividades Micro'!$K349&lt;&gt;""),'Atividades Micro'!$K349,"")</f>
        <v/>
      </c>
      <c r="CL297" s="21" t="str">
        <f>IF(AND('Atividades Micro'!$B349=CL$2,'Atividades Micro'!$G349="Micro",'Atividades Micro'!$K349&lt;&gt;""),'Atividades Micro'!$K349,"")</f>
        <v/>
      </c>
      <c r="CM297" s="21" t="str">
        <f>IF(AND('Atividades Micro'!$B349=CM$2,'Atividades Micro'!$G349="Micro",'Atividades Micro'!$K349&lt;&gt;""),'Atividades Micro'!$K349,"")</f>
        <v/>
      </c>
      <c r="CN297" s="21" t="str">
        <f>IF(AND('Atividades Micro'!$B349=CN$2,'Atividades Micro'!$G349="Micro",'Atividades Micro'!$K349&lt;&gt;""),'Atividades Micro'!$K349,"")</f>
        <v/>
      </c>
      <c r="CO297" s="21" t="str">
        <f>IF(AND('Atividades Micro'!$B349=CO$2,'Atividades Micro'!$G349="Micro",'Atividades Micro'!$K349&lt;&gt;""),'Atividades Micro'!$K349,"")</f>
        <v/>
      </c>
    </row>
    <row r="298" spans="1:93">
      <c r="A298" s="21" t="str">
        <f>IF(AND('Atividades Micro'!$A350=A$2,'Atividades Micro'!$K350&lt;&gt;""),'Atividades Micro'!$K350,"")</f>
        <v/>
      </c>
      <c r="B298" s="21" t="str">
        <f>IF(AND('Atividades Micro'!$A350=B$2,'Atividades Micro'!$L350&lt;&gt;""),'Atividades Micro'!$L350,"")</f>
        <v/>
      </c>
      <c r="C298" s="21" t="str">
        <f>IF(AND('Atividades Micro'!$A350=C$2,'Atividades Micro'!$K350&lt;&gt;""),'Atividades Micro'!$K350,"")</f>
        <v/>
      </c>
      <c r="D298" s="21" t="str">
        <f>IF(AND('Atividades Micro'!$A350=D$2,'Atividades Micro'!$L350&lt;&gt;""),'Atividades Micro'!$L350,"")</f>
        <v/>
      </c>
      <c r="E298" s="21" t="str">
        <f>IF(AND('Atividades Micro'!$A350=E$2,'Atividades Micro'!$K350&lt;&gt;""),'Atividades Micro'!$K350,"")</f>
        <v/>
      </c>
      <c r="F298" s="21" t="str">
        <f>IF(AND('Atividades Micro'!$A350=F$2,'Atividades Micro'!$L350&lt;&gt;""),'Atividades Micro'!$L350,"")</f>
        <v/>
      </c>
      <c r="G298" s="21" t="str">
        <f>IF(AND('Atividades Micro'!$A350=G$2,'Atividades Micro'!$K350&lt;&gt;""),'Atividades Micro'!$K350,"")</f>
        <v/>
      </c>
      <c r="H298" s="21" t="str">
        <f>IF(AND('Atividades Micro'!$A350=H$2,'Atividades Micro'!$L350&lt;&gt;""),'Atividades Micro'!$L350,"")</f>
        <v/>
      </c>
      <c r="I298" s="21" t="str">
        <f>IF(AND('Atividades Micro'!$A350=I$2,'Atividades Micro'!$K350&lt;&gt;""),'Atividades Micro'!$K350,"")</f>
        <v/>
      </c>
      <c r="J298" s="21" t="str">
        <f>IF(AND('Atividades Micro'!$A350=J$2,'Atividades Micro'!$L350&lt;&gt;""),'Atividades Micro'!$L350,"")</f>
        <v/>
      </c>
      <c r="K298" s="21" t="str">
        <f>IF(AND('Atividades Micro'!$B350=K$2,'Atividades Micro'!$K350&lt;&gt;""),'Atividades Micro'!$K350,"")</f>
        <v/>
      </c>
      <c r="L298" s="21" t="str">
        <f>IF(AND('Atividades Micro'!$B350=L$2,'Atividades Micro'!$L350&lt;&gt;""),'Atividades Micro'!$L350,"")</f>
        <v/>
      </c>
      <c r="M298" s="21" t="str">
        <f>IF(AND('Atividades Micro'!$B350=M$2,'Atividades Micro'!$K350&lt;&gt;""),'Atividades Micro'!$K350,"")</f>
        <v/>
      </c>
      <c r="N298" s="21" t="str">
        <f>IF(AND('Atividades Micro'!$B350=N$2,'Atividades Micro'!$L350&lt;&gt;""),'Atividades Micro'!$L350,"")</f>
        <v/>
      </c>
      <c r="O298" s="21" t="str">
        <f>IF(AND('Atividades Micro'!$A350=O$2,'Atividades Micro'!$K350&lt;&gt;""),'Atividades Micro'!$K350,"")</f>
        <v/>
      </c>
      <c r="P298" s="21" t="str">
        <f>IF(AND('Atividades Micro'!$A350=P$2,'Atividades Micro'!$L350&lt;&gt;""),'Atividades Micro'!$L350,"")</f>
        <v/>
      </c>
      <c r="Q298" s="21" t="str">
        <f>IF(AND('Atividades Micro'!$B350=Q$2,'Atividades Micro'!$K350&lt;&gt;""),'Atividades Micro'!$K350,"")</f>
        <v/>
      </c>
      <c r="R298" s="21" t="str">
        <f>IF(AND('Atividades Micro'!$B350=R$2,'Atividades Micro'!$L350&lt;&gt;""),'Atividades Micro'!$L350,"")</f>
        <v/>
      </c>
      <c r="S298" s="21" t="str">
        <f>IF(AND('Atividades Micro'!$A350=S$2,'Atividades Micro'!$K350&lt;&gt;""),'Atividades Micro'!$K350,"")</f>
        <v/>
      </c>
      <c r="T298" s="21" t="str">
        <f>IF(AND('Atividades Micro'!$A350=T$2,'Atividades Micro'!$L350&lt;&gt;""),'Atividades Micro'!$L350,"")</f>
        <v/>
      </c>
      <c r="U298" s="21" t="str">
        <f>IF(AND('Atividades Micro'!$B350=U$2,'Atividades Micro'!$K350&lt;&gt;""),'Atividades Micro'!$K350,"")</f>
        <v/>
      </c>
      <c r="V298" s="21" t="str">
        <f>IF(AND('Atividades Micro'!$B350=V$2,'Atividades Micro'!$L350&lt;&gt;""),'Atividades Micro'!$L350,"")</f>
        <v/>
      </c>
      <c r="W298" s="21" t="str">
        <f>IF(AND('Atividades Micro'!$B350=W$2,'Atividades Micro'!$K350&lt;&gt;""),'Atividades Micro'!$K350,"")</f>
        <v/>
      </c>
      <c r="X298" s="21" t="str">
        <f>IF(AND('Atividades Micro'!$B350=X$2,'Atividades Micro'!$L350&lt;&gt;""),'Atividades Micro'!$L350,"")</f>
        <v/>
      </c>
      <c r="Y298" s="21" t="str">
        <f>IF(AND('Atividades Micro'!$A350=Y$2,'Atividades Micro'!$K350&lt;&gt;""),'Atividades Micro'!$K350,"")</f>
        <v/>
      </c>
      <c r="Z298" s="21" t="str">
        <f>IF(AND('Atividades Micro'!$A350=Z$2,'Atividades Micro'!$L350&lt;&gt;""),'Atividades Micro'!$L350,"")</f>
        <v/>
      </c>
      <c r="AA298" s="21" t="str">
        <f>IF(AND('Atividades Micro'!$B350=AA$2,'Atividades Micro'!$K350&lt;&gt;""),'Atividades Micro'!$K350,"")</f>
        <v/>
      </c>
      <c r="AB298" s="21" t="str">
        <f>IF(AND('Atividades Micro'!$B350=AB$2,'Atividades Micro'!$L350&lt;&gt;""),'Atividades Micro'!$L350,"")</f>
        <v/>
      </c>
      <c r="AC298" s="21" t="str">
        <f>IF(AND('Atividades Micro'!$B350=AC$2,'Atividades Micro'!$K350&lt;&gt;""),'Atividades Micro'!$K350,"")</f>
        <v/>
      </c>
      <c r="AD298" s="21" t="str">
        <f>IF(AND('Atividades Micro'!$B350=AD$2,'Atividades Micro'!$L350&lt;&gt;""),'Atividades Micro'!$L350,"")</f>
        <v/>
      </c>
      <c r="AE298" s="21" t="str">
        <f>IF(AND('Atividades Micro'!$A350=AE$2,'Atividades Micro'!$K350&lt;&gt;""),'Atividades Micro'!$K350,"")</f>
        <v/>
      </c>
      <c r="AF298" s="21" t="str">
        <f>IF(AND('Atividades Micro'!$A350=AF$2,'Atividades Micro'!$L350&lt;&gt;""),'Atividades Micro'!$L350,"")</f>
        <v/>
      </c>
      <c r="AG298" s="21" t="str">
        <f>IF(AND('Atividades Micro'!$B350=AG$2,'Atividades Micro'!$K350&lt;&gt;""),'Atividades Micro'!$K350,"")</f>
        <v/>
      </c>
      <c r="AH298" s="21" t="str">
        <f>IF(AND('Atividades Micro'!$B350=AH$2,'Atividades Micro'!$L350&lt;&gt;""),'Atividades Micro'!$L350,"")</f>
        <v/>
      </c>
      <c r="AI298" s="21" t="str">
        <f>IF(AND('Atividades Micro'!$B350=AI$2,'Atividades Micro'!$K350&lt;&gt;""),'Atividades Micro'!$K350,"")</f>
        <v/>
      </c>
      <c r="AJ298" s="21" t="str">
        <f>IF(AND('Atividades Micro'!$B350=AJ$2,'Atividades Micro'!$L350&lt;&gt;""),'Atividades Micro'!$L350,"")</f>
        <v/>
      </c>
      <c r="AK298" s="21" t="str">
        <f>IF(AND('Atividades Micro'!$A350=AK$2,'Atividades Micro'!$K350&lt;&gt;""),'Atividades Micro'!$K350,"")</f>
        <v/>
      </c>
      <c r="AL298" s="21" t="str">
        <f>IF(AND('Atividades Micro'!$A350=AL$2,'Atividades Micro'!$L350&lt;&gt;""),'Atividades Micro'!$L350,"")</f>
        <v/>
      </c>
      <c r="AM298" s="21" t="str">
        <f>IF(AND('Atividades Micro'!$B350=AM$2,'Atividades Micro'!$K350&lt;&gt;""),'Atividades Micro'!$K350,"")</f>
        <v/>
      </c>
      <c r="AN298" s="21" t="str">
        <f>IF(AND('Atividades Micro'!$B350=AN$2,'Atividades Micro'!$L350&lt;&gt;""),'Atividades Micro'!$L350,"")</f>
        <v/>
      </c>
      <c r="AO298" s="21" t="str">
        <f>IF(AND('Atividades Micro'!$B350=AO$2,'Atividades Micro'!$K350&lt;&gt;""),'Atividades Micro'!$K350,"")</f>
        <v/>
      </c>
      <c r="AP298" s="21" t="str">
        <f>IF(AND('Atividades Micro'!$B350=AP$2,'Atividades Micro'!$L350&lt;&gt;""),'Atividades Micro'!$L350,"")</f>
        <v/>
      </c>
      <c r="AQ298" s="21" t="str">
        <f>IF(AND('Atividades Micro'!$A350=AQ$2,'Atividades Micro'!$K350&lt;&gt;""),'Atividades Micro'!$K350,"")</f>
        <v/>
      </c>
      <c r="AR298" s="21" t="str">
        <f>IF(AND('Atividades Micro'!$A350=AR$2,'Atividades Micro'!$L350&lt;&gt;""),'Atividades Micro'!$L350,"")</f>
        <v/>
      </c>
      <c r="AS298" s="21" t="str">
        <f>IF(AND('Atividades Micro'!$B350=AS$2,'Atividades Micro'!$K350&lt;&gt;""),'Atividades Micro'!$K350,"")</f>
        <v/>
      </c>
      <c r="AT298" s="21" t="str">
        <f>IF(AND('Atividades Micro'!$B350=AT$2,'Atividades Micro'!$L350&lt;&gt;""),'Atividades Micro'!$L350,"")</f>
        <v/>
      </c>
      <c r="AU298" s="21" t="str">
        <f>IF(AND('Atividades Micro'!$A350=AU$2,'Atividades Micro'!$K350&lt;&gt;""),'Atividades Micro'!$K350,"")</f>
        <v/>
      </c>
      <c r="AV298" s="21" t="str">
        <f>IF(AND('Atividades Micro'!$A350=AV$2,'Atividades Micro'!$L350&lt;&gt;""),'Atividades Micro'!$L350,"")</f>
        <v/>
      </c>
      <c r="AW298" s="21" t="str">
        <f>IF(AND('Atividades Micro'!$B350=AW$2,'Atividades Micro'!$K350&lt;&gt;""),'Atividades Micro'!$K350,"")</f>
        <v/>
      </c>
      <c r="AX298" s="21" t="str">
        <f>IF(AND('Atividades Micro'!$B350=AX$2,'Atividades Micro'!$L350&lt;&gt;""),'Atividades Micro'!$L350,"")</f>
        <v/>
      </c>
      <c r="AY298" s="21" t="str">
        <f>IF(AND('Atividades Micro'!$A350=AY$2,'Atividades Micro'!$K350&lt;&gt;""),'Atividades Micro'!$K350,"")</f>
        <v/>
      </c>
      <c r="AZ298" s="21" t="str">
        <f>IF(AND('Atividades Micro'!$A350=AZ$2,'Atividades Micro'!$L350&lt;&gt;""),'Atividades Micro'!$L350,"")</f>
        <v/>
      </c>
      <c r="BA298" s="21" t="str">
        <f>IF(AND('Atividades Micro'!$B350=BA$2,'Atividades Micro'!$K350&lt;&gt;""),'Atividades Micro'!$K350,"")</f>
        <v/>
      </c>
      <c r="BB298" s="21" t="str">
        <f>IF(AND('Atividades Micro'!$B350=BB$2,'Atividades Micro'!$L350&lt;&gt;""),'Atividades Micro'!$L350,"")</f>
        <v/>
      </c>
      <c r="BC298" s="21" t="str">
        <f>IF(AND('Atividades Micro'!$B350=BC$2,'Atividades Micro'!$G350="Macro",'Atividades Micro'!$K350&lt;&gt;""),'Atividades Micro'!$K350,"")</f>
        <v/>
      </c>
      <c r="BD298" s="21" t="str">
        <f>IF(AND('Atividades Micro'!$B350=BD$2,'Atividades Micro'!$G350="Macro",'Atividades Micro'!$K350&lt;&gt;""),'Atividades Micro'!$K350,"")</f>
        <v/>
      </c>
      <c r="BE298" s="21" t="str">
        <f>IF(AND('Atividades Micro'!$B350=BE$2,'Atividades Micro'!$G350="Macro",'Atividades Micro'!$K350&lt;&gt;""),'Atividades Micro'!$K350,"")</f>
        <v/>
      </c>
      <c r="BF298" s="21" t="str">
        <f>IF(AND('Atividades Micro'!$B350=BF$2,'Atividades Micro'!$G350="Macro",'Atividades Micro'!$K350&lt;&gt;""),'Atividades Micro'!$K350,"")</f>
        <v/>
      </c>
      <c r="BG298" s="21" t="str">
        <f>IF(AND('Atividades Micro'!$B350=BG$2,'Atividades Micro'!$G350="Macro",'Atividades Micro'!$K350&lt;&gt;""),'Atividades Micro'!$K350,"")</f>
        <v/>
      </c>
      <c r="BH298" s="21" t="str">
        <f>IF(AND('Atividades Micro'!$B350=BH$2,'Atividades Micro'!$G350="Macro",'Atividades Micro'!$K350&lt;&gt;""),'Atividades Micro'!$K350,"")</f>
        <v/>
      </c>
      <c r="BI298" s="21" t="str">
        <f>IF(AND('Atividades Micro'!$B350=BI$2,'Atividades Micro'!$G350="Macro",'Atividades Micro'!$K350&lt;&gt;""),'Atividades Micro'!$K350,"")</f>
        <v/>
      </c>
      <c r="BJ298" s="21" t="str">
        <f>IF(AND('Atividades Micro'!$B350=BJ$2,'Atividades Micro'!$G350="Macro",'Atividades Micro'!$K350&lt;&gt;""),'Atividades Micro'!$K350,"")</f>
        <v/>
      </c>
      <c r="BK298" s="21" t="str">
        <f>IF(AND('Atividades Micro'!$B350=BK$2,'Atividades Micro'!$G350="Macro",'Atividades Micro'!$K350&lt;&gt;""),'Atividades Micro'!$K350,"")</f>
        <v/>
      </c>
      <c r="BL298" s="21" t="str">
        <f>IF(AND('Atividades Micro'!$B350=BL$2,'Atividades Micro'!$G350="Macro",'Atividades Micro'!$K350&lt;&gt;""),'Atividades Micro'!$K350,"")</f>
        <v/>
      </c>
      <c r="BM298" s="21" t="str">
        <f>IF(AND('Atividades Micro'!$B350=BM$2,'Atividades Micro'!$G350="Macro",'Atividades Micro'!$K350&lt;&gt;""),'Atividades Micro'!$K350,"")</f>
        <v/>
      </c>
      <c r="BN298" s="21" t="str">
        <f>IF(AND('Atividades Micro'!$B350=BN$2,'Atividades Micro'!$G350="Macro",'Atividades Micro'!$K350&lt;&gt;""),'Atividades Micro'!$K350,"")</f>
        <v/>
      </c>
      <c r="BO298" s="21" t="str">
        <f>IF(AND('Atividades Micro'!$B350=BO$2,'Atividades Micro'!$G350="Macro",'Atividades Micro'!$K350&lt;&gt;""),'Atividades Micro'!$K350,"")</f>
        <v/>
      </c>
      <c r="BP298" s="21" t="str">
        <f>IF(AND('Atividades Micro'!$B350=BP$2,'Atividades Micro'!$G350="Macro",'Atividades Micro'!$K350&lt;&gt;""),'Atividades Micro'!$K350,"")</f>
        <v/>
      </c>
      <c r="BQ298" s="21" t="str">
        <f>IF(AND('Atividades Micro'!$B350=BQ$2,'Atividades Micro'!$G350="Macro",'Atividades Micro'!$K350&lt;&gt;""),'Atividades Micro'!$K350,"")</f>
        <v/>
      </c>
      <c r="BR298" s="21" t="str">
        <f>IF(AND('Atividades Micro'!$B350=BR$2,'Atividades Micro'!$G350="Macro",'Atividades Micro'!$K350&lt;&gt;""),'Atividades Micro'!$K350,"")</f>
        <v/>
      </c>
      <c r="BS298" s="21" t="str">
        <f>IF(AND('Atividades Micro'!$B350=BS$2,'Atividades Micro'!$G350="Macro",'Atividades Micro'!$K350&lt;&gt;""),'Atividades Micro'!$K350,"")</f>
        <v/>
      </c>
      <c r="BT298" s="21" t="str">
        <f>IF(AND('Atividades Micro'!$B350=BT$2,'Atividades Micro'!$G350="Macro",'Atividades Micro'!$K350&lt;&gt;""),'Atividades Micro'!$K350,"")</f>
        <v/>
      </c>
      <c r="BU298" s="21" t="str">
        <f>IF(AND('Atividades Micro'!$B350=BU$2,'Atividades Micro'!$G350="Macro",'Atividades Micro'!$K350&lt;&gt;""),'Atividades Micro'!$K350,"")</f>
        <v/>
      </c>
      <c r="BV298" s="21" t="str">
        <f>IF(AND('Atividades Micro'!$B350=BV$2,'Atividades Micro'!$G350="Macro",'Atividades Micro'!$K350&lt;&gt;""),'Atividades Micro'!$K350,"")</f>
        <v/>
      </c>
      <c r="BW298" s="21" t="str">
        <f>IF(AND('Atividades Micro'!$B350=BW$2,'Atividades Micro'!$G350="Macro",'Atividades Micro'!$K350&lt;&gt;""),'Atividades Micro'!$K350,"")</f>
        <v/>
      </c>
      <c r="BX298" s="21" t="str">
        <f>IF(AND('Atividades Micro'!$B350=BX$2,'Atividades Micro'!$G350="Macro",'Atividades Micro'!$K350&lt;&gt;""),'Atividades Micro'!$K350,"")</f>
        <v/>
      </c>
      <c r="BY298" s="21" t="str">
        <f>IF(AND('Atividades Micro'!$B350=BY$2,'Atividades Micro'!$G350="Macro",'Atividades Micro'!$K350&lt;&gt;""),'Atividades Micro'!$K350,"")</f>
        <v/>
      </c>
      <c r="BZ298" s="21" t="str">
        <f>IF(AND('Atividades Micro'!$B350=BZ$2,'Atividades Micro'!$G350="Macro",'Atividades Micro'!$K350&lt;&gt;""),'Atividades Micro'!$K350,"")</f>
        <v/>
      </c>
      <c r="CA298" s="21" t="str">
        <f>IF(AND('Atividades Micro'!$B350=CA$2,'Atividades Micro'!$G350="Macro",'Atividades Micro'!$K350&lt;&gt;""),'Atividades Micro'!$K350,"")</f>
        <v/>
      </c>
      <c r="CB298" s="21" t="str">
        <f>IF(AND('Atividades Micro'!$B350=CB$2,'Atividades Micro'!$G350="Macro",'Atividades Micro'!$K350&lt;&gt;""),'Atividades Micro'!$K350,"")</f>
        <v/>
      </c>
      <c r="CC298" s="21" t="str">
        <f>IF(AND('Atividades Micro'!$B350=CC$2,'Atividades Micro'!$G350="Macro",'Atividades Micro'!$K350&lt;&gt;""),'Atividades Micro'!$K350,"")</f>
        <v/>
      </c>
      <c r="CD298" s="21" t="str">
        <f>IF(AND('Atividades Micro'!$B350=CD$2,'Atividades Micro'!$G350="Micro",'Atividades Micro'!$K350&lt;&gt;""),'Atividades Micro'!$K350,"")</f>
        <v/>
      </c>
      <c r="CE298" s="21" t="str">
        <f>IF(AND('Atividades Micro'!$B350=CE$2,'Atividades Micro'!$G350="Micro",'Atividades Micro'!$K350&lt;&gt;""),'Atividades Micro'!$K350,"")</f>
        <v/>
      </c>
      <c r="CF298" s="21" t="str">
        <f>IF(AND('Atividades Micro'!$B350=CF$2,'Atividades Micro'!$G350="Micro",'Atividades Micro'!$K350&lt;&gt;""),'Atividades Micro'!$K350,"")</f>
        <v/>
      </c>
      <c r="CG298" s="21" t="str">
        <f>IF(AND('Atividades Micro'!$B350=CG$2,'Atividades Micro'!$G350="Micro",'Atividades Micro'!$K350&lt;&gt;""),'Atividades Micro'!$K350,"")</f>
        <v/>
      </c>
      <c r="CH298" s="21" t="str">
        <f>IF(AND('Atividades Micro'!$B350=CH$2,'Atividades Micro'!$G350="Micro",'Atividades Micro'!$K350&lt;&gt;""),'Atividades Micro'!$K350,"")</f>
        <v/>
      </c>
      <c r="CI298" s="21" t="str">
        <f>IF(AND('Atividades Micro'!$B350=CI$2,'Atividades Micro'!$G350="Micro",'Atividades Micro'!$K350&lt;&gt;""),'Atividades Micro'!$K350,"")</f>
        <v/>
      </c>
      <c r="CJ298" s="21" t="str">
        <f>IF(AND('Atividades Micro'!$B350=CJ$2,'Atividades Micro'!$G350="Micro",'Atividades Micro'!$K350&lt;&gt;""),'Atividades Micro'!$K350,"")</f>
        <v/>
      </c>
      <c r="CK298" s="21" t="str">
        <f>IF(AND('Atividades Micro'!$B350=CK$2,'Atividades Micro'!$G350="Micro",'Atividades Micro'!$K350&lt;&gt;""),'Atividades Micro'!$K350,"")</f>
        <v/>
      </c>
      <c r="CL298" s="21" t="str">
        <f>IF(AND('Atividades Micro'!$B350=CL$2,'Atividades Micro'!$G350="Micro",'Atividades Micro'!$K350&lt;&gt;""),'Atividades Micro'!$K350,"")</f>
        <v/>
      </c>
      <c r="CM298" s="21" t="str">
        <f>IF(AND('Atividades Micro'!$B350=CM$2,'Atividades Micro'!$G350="Micro",'Atividades Micro'!$K350&lt;&gt;""),'Atividades Micro'!$K350,"")</f>
        <v/>
      </c>
      <c r="CN298" s="21" t="str">
        <f>IF(AND('Atividades Micro'!$B350=CN$2,'Atividades Micro'!$G350="Micro",'Atividades Micro'!$K350&lt;&gt;""),'Atividades Micro'!$K350,"")</f>
        <v/>
      </c>
      <c r="CO298" s="21" t="str">
        <f>IF(AND('Atividades Micro'!$B350=CO$2,'Atividades Micro'!$G350="Micro",'Atividades Micro'!$K350&lt;&gt;""),'Atividades Micro'!$K350,"")</f>
        <v/>
      </c>
    </row>
    <row r="299" spans="1:93">
      <c r="A299" s="21" t="str">
        <f>IF(AND('Atividades Micro'!$A351=A$2,'Atividades Micro'!$K351&lt;&gt;""),'Atividades Micro'!$K351,"")</f>
        <v/>
      </c>
      <c r="B299" s="21" t="str">
        <f>IF(AND('Atividades Micro'!$A351=B$2,'Atividades Micro'!$L351&lt;&gt;""),'Atividades Micro'!$L351,"")</f>
        <v/>
      </c>
      <c r="C299" s="21" t="str">
        <f>IF(AND('Atividades Micro'!$A351=C$2,'Atividades Micro'!$K351&lt;&gt;""),'Atividades Micro'!$K351,"")</f>
        <v/>
      </c>
      <c r="D299" s="21" t="str">
        <f>IF(AND('Atividades Micro'!$A351=D$2,'Atividades Micro'!$L351&lt;&gt;""),'Atividades Micro'!$L351,"")</f>
        <v/>
      </c>
      <c r="E299" s="21" t="str">
        <f>IF(AND('Atividades Micro'!$A351=E$2,'Atividades Micro'!$K351&lt;&gt;""),'Atividades Micro'!$K351,"")</f>
        <v/>
      </c>
      <c r="F299" s="21" t="str">
        <f>IF(AND('Atividades Micro'!$A351=F$2,'Atividades Micro'!$L351&lt;&gt;""),'Atividades Micro'!$L351,"")</f>
        <v/>
      </c>
      <c r="G299" s="21" t="str">
        <f>IF(AND('Atividades Micro'!$A351=G$2,'Atividades Micro'!$K351&lt;&gt;""),'Atividades Micro'!$K351,"")</f>
        <v/>
      </c>
      <c r="H299" s="21" t="str">
        <f>IF(AND('Atividades Micro'!$A351=H$2,'Atividades Micro'!$L351&lt;&gt;""),'Atividades Micro'!$L351,"")</f>
        <v/>
      </c>
      <c r="I299" s="21" t="str">
        <f>IF(AND('Atividades Micro'!$A351=I$2,'Atividades Micro'!$K351&lt;&gt;""),'Atividades Micro'!$K351,"")</f>
        <v/>
      </c>
      <c r="J299" s="21" t="str">
        <f>IF(AND('Atividades Micro'!$A351=J$2,'Atividades Micro'!$L351&lt;&gt;""),'Atividades Micro'!$L351,"")</f>
        <v/>
      </c>
      <c r="K299" s="21" t="str">
        <f>IF(AND('Atividades Micro'!$B351=K$2,'Atividades Micro'!$K351&lt;&gt;""),'Atividades Micro'!$K351,"")</f>
        <v/>
      </c>
      <c r="L299" s="21" t="str">
        <f>IF(AND('Atividades Micro'!$B351=L$2,'Atividades Micro'!$L351&lt;&gt;""),'Atividades Micro'!$L351,"")</f>
        <v/>
      </c>
      <c r="M299" s="21" t="str">
        <f>IF(AND('Atividades Micro'!$B351=M$2,'Atividades Micro'!$K351&lt;&gt;""),'Atividades Micro'!$K351,"")</f>
        <v/>
      </c>
      <c r="N299" s="21" t="str">
        <f>IF(AND('Atividades Micro'!$B351=N$2,'Atividades Micro'!$L351&lt;&gt;""),'Atividades Micro'!$L351,"")</f>
        <v/>
      </c>
      <c r="O299" s="21" t="str">
        <f>IF(AND('Atividades Micro'!$A351=O$2,'Atividades Micro'!$K351&lt;&gt;""),'Atividades Micro'!$K351,"")</f>
        <v/>
      </c>
      <c r="P299" s="21" t="str">
        <f>IF(AND('Atividades Micro'!$A351=P$2,'Atividades Micro'!$L351&lt;&gt;""),'Atividades Micro'!$L351,"")</f>
        <v/>
      </c>
      <c r="Q299" s="21" t="str">
        <f>IF(AND('Atividades Micro'!$B351=Q$2,'Atividades Micro'!$K351&lt;&gt;""),'Atividades Micro'!$K351,"")</f>
        <v/>
      </c>
      <c r="R299" s="21" t="str">
        <f>IF(AND('Atividades Micro'!$B351=R$2,'Atividades Micro'!$L351&lt;&gt;""),'Atividades Micro'!$L351,"")</f>
        <v/>
      </c>
      <c r="S299" s="21" t="str">
        <f>IF(AND('Atividades Micro'!$A351=S$2,'Atividades Micro'!$K351&lt;&gt;""),'Atividades Micro'!$K351,"")</f>
        <v/>
      </c>
      <c r="T299" s="21" t="str">
        <f>IF(AND('Atividades Micro'!$A351=T$2,'Atividades Micro'!$L351&lt;&gt;""),'Atividades Micro'!$L351,"")</f>
        <v/>
      </c>
      <c r="U299" s="21" t="str">
        <f>IF(AND('Atividades Micro'!$B351=U$2,'Atividades Micro'!$K351&lt;&gt;""),'Atividades Micro'!$K351,"")</f>
        <v/>
      </c>
      <c r="V299" s="21" t="str">
        <f>IF(AND('Atividades Micro'!$B351=V$2,'Atividades Micro'!$L351&lt;&gt;""),'Atividades Micro'!$L351,"")</f>
        <v/>
      </c>
      <c r="W299" s="21" t="str">
        <f>IF(AND('Atividades Micro'!$B351=W$2,'Atividades Micro'!$K351&lt;&gt;""),'Atividades Micro'!$K351,"")</f>
        <v/>
      </c>
      <c r="X299" s="21" t="str">
        <f>IF(AND('Atividades Micro'!$B351=X$2,'Atividades Micro'!$L351&lt;&gt;""),'Atividades Micro'!$L351,"")</f>
        <v/>
      </c>
      <c r="Y299" s="21" t="str">
        <f>IF(AND('Atividades Micro'!$A351=Y$2,'Atividades Micro'!$K351&lt;&gt;""),'Atividades Micro'!$K351,"")</f>
        <v/>
      </c>
      <c r="Z299" s="21" t="str">
        <f>IF(AND('Atividades Micro'!$A351=Z$2,'Atividades Micro'!$L351&lt;&gt;""),'Atividades Micro'!$L351,"")</f>
        <v/>
      </c>
      <c r="AA299" s="21" t="str">
        <f>IF(AND('Atividades Micro'!$B351=AA$2,'Atividades Micro'!$K351&lt;&gt;""),'Atividades Micro'!$K351,"")</f>
        <v/>
      </c>
      <c r="AB299" s="21" t="str">
        <f>IF(AND('Atividades Micro'!$B351=AB$2,'Atividades Micro'!$L351&lt;&gt;""),'Atividades Micro'!$L351,"")</f>
        <v/>
      </c>
      <c r="AC299" s="21" t="str">
        <f>IF(AND('Atividades Micro'!$B351=AC$2,'Atividades Micro'!$K351&lt;&gt;""),'Atividades Micro'!$K351,"")</f>
        <v/>
      </c>
      <c r="AD299" s="21" t="str">
        <f>IF(AND('Atividades Micro'!$B351=AD$2,'Atividades Micro'!$L351&lt;&gt;""),'Atividades Micro'!$L351,"")</f>
        <v/>
      </c>
      <c r="AE299" s="21" t="str">
        <f>IF(AND('Atividades Micro'!$A351=AE$2,'Atividades Micro'!$K351&lt;&gt;""),'Atividades Micro'!$K351,"")</f>
        <v/>
      </c>
      <c r="AF299" s="21" t="str">
        <f>IF(AND('Atividades Micro'!$A351=AF$2,'Atividades Micro'!$L351&lt;&gt;""),'Atividades Micro'!$L351,"")</f>
        <v/>
      </c>
      <c r="AG299" s="21" t="str">
        <f>IF(AND('Atividades Micro'!$B351=AG$2,'Atividades Micro'!$K351&lt;&gt;""),'Atividades Micro'!$K351,"")</f>
        <v/>
      </c>
      <c r="AH299" s="21" t="str">
        <f>IF(AND('Atividades Micro'!$B351=AH$2,'Atividades Micro'!$L351&lt;&gt;""),'Atividades Micro'!$L351,"")</f>
        <v/>
      </c>
      <c r="AI299" s="21" t="str">
        <f>IF(AND('Atividades Micro'!$B351=AI$2,'Atividades Micro'!$K351&lt;&gt;""),'Atividades Micro'!$K351,"")</f>
        <v/>
      </c>
      <c r="AJ299" s="21" t="str">
        <f>IF(AND('Atividades Micro'!$B351=AJ$2,'Atividades Micro'!$L351&lt;&gt;""),'Atividades Micro'!$L351,"")</f>
        <v/>
      </c>
      <c r="AK299" s="21" t="str">
        <f>IF(AND('Atividades Micro'!$A351=AK$2,'Atividades Micro'!$K351&lt;&gt;""),'Atividades Micro'!$K351,"")</f>
        <v/>
      </c>
      <c r="AL299" s="21" t="str">
        <f>IF(AND('Atividades Micro'!$A351=AL$2,'Atividades Micro'!$L351&lt;&gt;""),'Atividades Micro'!$L351,"")</f>
        <v/>
      </c>
      <c r="AM299" s="21" t="str">
        <f>IF(AND('Atividades Micro'!$B351=AM$2,'Atividades Micro'!$K351&lt;&gt;""),'Atividades Micro'!$K351,"")</f>
        <v/>
      </c>
      <c r="AN299" s="21" t="str">
        <f>IF(AND('Atividades Micro'!$B351=AN$2,'Atividades Micro'!$L351&lt;&gt;""),'Atividades Micro'!$L351,"")</f>
        <v/>
      </c>
      <c r="AO299" s="21" t="str">
        <f>IF(AND('Atividades Micro'!$B351=AO$2,'Atividades Micro'!$K351&lt;&gt;""),'Atividades Micro'!$K351,"")</f>
        <v/>
      </c>
      <c r="AP299" s="21" t="str">
        <f>IF(AND('Atividades Micro'!$B351=AP$2,'Atividades Micro'!$L351&lt;&gt;""),'Atividades Micro'!$L351,"")</f>
        <v/>
      </c>
      <c r="AQ299" s="21" t="str">
        <f>IF(AND('Atividades Micro'!$A351=AQ$2,'Atividades Micro'!$K351&lt;&gt;""),'Atividades Micro'!$K351,"")</f>
        <v/>
      </c>
      <c r="AR299" s="21" t="str">
        <f>IF(AND('Atividades Micro'!$A351=AR$2,'Atividades Micro'!$L351&lt;&gt;""),'Atividades Micro'!$L351,"")</f>
        <v/>
      </c>
      <c r="AS299" s="21" t="str">
        <f>IF(AND('Atividades Micro'!$B351=AS$2,'Atividades Micro'!$K351&lt;&gt;""),'Atividades Micro'!$K351,"")</f>
        <v/>
      </c>
      <c r="AT299" s="21" t="str">
        <f>IF(AND('Atividades Micro'!$B351=AT$2,'Atividades Micro'!$L351&lt;&gt;""),'Atividades Micro'!$L351,"")</f>
        <v/>
      </c>
      <c r="AU299" s="21" t="str">
        <f>IF(AND('Atividades Micro'!$A351=AU$2,'Atividades Micro'!$K351&lt;&gt;""),'Atividades Micro'!$K351,"")</f>
        <v/>
      </c>
      <c r="AV299" s="21" t="str">
        <f>IF(AND('Atividades Micro'!$A351=AV$2,'Atividades Micro'!$L351&lt;&gt;""),'Atividades Micro'!$L351,"")</f>
        <v/>
      </c>
      <c r="AW299" s="21" t="str">
        <f>IF(AND('Atividades Micro'!$B351=AW$2,'Atividades Micro'!$K351&lt;&gt;""),'Atividades Micro'!$K351,"")</f>
        <v/>
      </c>
      <c r="AX299" s="21" t="str">
        <f>IF(AND('Atividades Micro'!$B351=AX$2,'Atividades Micro'!$L351&lt;&gt;""),'Atividades Micro'!$L351,"")</f>
        <v/>
      </c>
      <c r="AY299" s="21" t="str">
        <f>IF(AND('Atividades Micro'!$A351=AY$2,'Atividades Micro'!$K351&lt;&gt;""),'Atividades Micro'!$K351,"")</f>
        <v/>
      </c>
      <c r="AZ299" s="21" t="str">
        <f>IF(AND('Atividades Micro'!$A351=AZ$2,'Atividades Micro'!$L351&lt;&gt;""),'Atividades Micro'!$L351,"")</f>
        <v/>
      </c>
      <c r="BA299" s="21" t="str">
        <f>IF(AND('Atividades Micro'!$B351=BA$2,'Atividades Micro'!$K351&lt;&gt;""),'Atividades Micro'!$K351,"")</f>
        <v/>
      </c>
      <c r="BB299" s="21" t="str">
        <f>IF(AND('Atividades Micro'!$B351=BB$2,'Atividades Micro'!$L351&lt;&gt;""),'Atividades Micro'!$L351,"")</f>
        <v/>
      </c>
      <c r="BC299" s="21" t="str">
        <f>IF(AND('Atividades Micro'!$B351=BC$2,'Atividades Micro'!$G351="Macro",'Atividades Micro'!$K351&lt;&gt;""),'Atividades Micro'!$K351,"")</f>
        <v/>
      </c>
      <c r="BD299" s="21" t="str">
        <f>IF(AND('Atividades Micro'!$B351=BD$2,'Atividades Micro'!$G351="Macro",'Atividades Micro'!$K351&lt;&gt;""),'Atividades Micro'!$K351,"")</f>
        <v/>
      </c>
      <c r="BE299" s="21" t="str">
        <f>IF(AND('Atividades Micro'!$B351=BE$2,'Atividades Micro'!$G351="Macro",'Atividades Micro'!$K351&lt;&gt;""),'Atividades Micro'!$K351,"")</f>
        <v/>
      </c>
      <c r="BF299" s="21" t="str">
        <f>IF(AND('Atividades Micro'!$B351=BF$2,'Atividades Micro'!$G351="Macro",'Atividades Micro'!$K351&lt;&gt;""),'Atividades Micro'!$K351,"")</f>
        <v/>
      </c>
      <c r="BG299" s="21" t="str">
        <f>IF(AND('Atividades Micro'!$B351=BG$2,'Atividades Micro'!$G351="Macro",'Atividades Micro'!$K351&lt;&gt;""),'Atividades Micro'!$K351,"")</f>
        <v/>
      </c>
      <c r="BH299" s="21" t="str">
        <f>IF(AND('Atividades Micro'!$B351=BH$2,'Atividades Micro'!$G351="Macro",'Atividades Micro'!$K351&lt;&gt;""),'Atividades Micro'!$K351,"")</f>
        <v/>
      </c>
      <c r="BI299" s="21" t="str">
        <f>IF(AND('Atividades Micro'!$B351=BI$2,'Atividades Micro'!$G351="Macro",'Atividades Micro'!$K351&lt;&gt;""),'Atividades Micro'!$K351,"")</f>
        <v/>
      </c>
      <c r="BJ299" s="21" t="str">
        <f>IF(AND('Atividades Micro'!$B351=BJ$2,'Atividades Micro'!$G351="Macro",'Atividades Micro'!$K351&lt;&gt;""),'Atividades Micro'!$K351,"")</f>
        <v/>
      </c>
      <c r="BK299" s="21" t="str">
        <f>IF(AND('Atividades Micro'!$B351=BK$2,'Atividades Micro'!$G351="Macro",'Atividades Micro'!$K351&lt;&gt;""),'Atividades Micro'!$K351,"")</f>
        <v/>
      </c>
      <c r="BL299" s="21" t="str">
        <f>IF(AND('Atividades Micro'!$B351=BL$2,'Atividades Micro'!$G351="Macro",'Atividades Micro'!$K351&lt;&gt;""),'Atividades Micro'!$K351,"")</f>
        <v/>
      </c>
      <c r="BM299" s="21" t="str">
        <f>IF(AND('Atividades Micro'!$B351=BM$2,'Atividades Micro'!$G351="Macro",'Atividades Micro'!$K351&lt;&gt;""),'Atividades Micro'!$K351,"")</f>
        <v/>
      </c>
      <c r="BN299" s="21" t="str">
        <f>IF(AND('Atividades Micro'!$B351=BN$2,'Atividades Micro'!$G351="Macro",'Atividades Micro'!$K351&lt;&gt;""),'Atividades Micro'!$K351,"")</f>
        <v/>
      </c>
      <c r="BO299" s="21" t="str">
        <f>IF(AND('Atividades Micro'!$B351=BO$2,'Atividades Micro'!$G351="Macro",'Atividades Micro'!$K351&lt;&gt;""),'Atividades Micro'!$K351,"")</f>
        <v/>
      </c>
      <c r="BP299" s="21" t="str">
        <f>IF(AND('Atividades Micro'!$B351=BP$2,'Atividades Micro'!$G351="Macro",'Atividades Micro'!$K351&lt;&gt;""),'Atividades Micro'!$K351,"")</f>
        <v/>
      </c>
      <c r="BQ299" s="21" t="str">
        <f>IF(AND('Atividades Micro'!$B351=BQ$2,'Atividades Micro'!$G351="Macro",'Atividades Micro'!$K351&lt;&gt;""),'Atividades Micro'!$K351,"")</f>
        <v/>
      </c>
      <c r="BR299" s="21" t="str">
        <f>IF(AND('Atividades Micro'!$B351=BR$2,'Atividades Micro'!$G351="Macro",'Atividades Micro'!$K351&lt;&gt;""),'Atividades Micro'!$K351,"")</f>
        <v/>
      </c>
      <c r="BS299" s="21" t="str">
        <f>IF(AND('Atividades Micro'!$B351=BS$2,'Atividades Micro'!$G351="Macro",'Atividades Micro'!$K351&lt;&gt;""),'Atividades Micro'!$K351,"")</f>
        <v/>
      </c>
      <c r="BT299" s="21" t="str">
        <f>IF(AND('Atividades Micro'!$B351=BT$2,'Atividades Micro'!$G351="Macro",'Atividades Micro'!$K351&lt;&gt;""),'Atividades Micro'!$K351,"")</f>
        <v/>
      </c>
      <c r="BU299" s="21" t="str">
        <f>IF(AND('Atividades Micro'!$B351=BU$2,'Atividades Micro'!$G351="Macro",'Atividades Micro'!$K351&lt;&gt;""),'Atividades Micro'!$K351,"")</f>
        <v/>
      </c>
      <c r="BV299" s="21" t="str">
        <f>IF(AND('Atividades Micro'!$B351=BV$2,'Atividades Micro'!$G351="Macro",'Atividades Micro'!$K351&lt;&gt;""),'Atividades Micro'!$K351,"")</f>
        <v/>
      </c>
      <c r="BW299" s="21" t="str">
        <f>IF(AND('Atividades Micro'!$B351=BW$2,'Atividades Micro'!$G351="Macro",'Atividades Micro'!$K351&lt;&gt;""),'Atividades Micro'!$K351,"")</f>
        <v/>
      </c>
      <c r="BX299" s="21" t="str">
        <f>IF(AND('Atividades Micro'!$B351=BX$2,'Atividades Micro'!$G351="Macro",'Atividades Micro'!$K351&lt;&gt;""),'Atividades Micro'!$K351,"")</f>
        <v/>
      </c>
      <c r="BY299" s="21" t="str">
        <f>IF(AND('Atividades Micro'!$B351=BY$2,'Atividades Micro'!$G351="Macro",'Atividades Micro'!$K351&lt;&gt;""),'Atividades Micro'!$K351,"")</f>
        <v/>
      </c>
      <c r="BZ299" s="21" t="str">
        <f>IF(AND('Atividades Micro'!$B351=BZ$2,'Atividades Micro'!$G351="Macro",'Atividades Micro'!$K351&lt;&gt;""),'Atividades Micro'!$K351,"")</f>
        <v/>
      </c>
      <c r="CA299" s="21" t="str">
        <f>IF(AND('Atividades Micro'!$B351=CA$2,'Atividades Micro'!$G351="Macro",'Atividades Micro'!$K351&lt;&gt;""),'Atividades Micro'!$K351,"")</f>
        <v/>
      </c>
      <c r="CB299" s="21" t="str">
        <f>IF(AND('Atividades Micro'!$B351=CB$2,'Atividades Micro'!$G351="Macro",'Atividades Micro'!$K351&lt;&gt;""),'Atividades Micro'!$K351,"")</f>
        <v/>
      </c>
      <c r="CC299" s="21" t="str">
        <f>IF(AND('Atividades Micro'!$B351=CC$2,'Atividades Micro'!$G351="Macro",'Atividades Micro'!$K351&lt;&gt;""),'Atividades Micro'!$K351,"")</f>
        <v/>
      </c>
      <c r="CD299" s="21" t="str">
        <f>IF(AND('Atividades Micro'!$B351=CD$2,'Atividades Micro'!$G351="Micro",'Atividades Micro'!$K351&lt;&gt;""),'Atividades Micro'!$K351,"")</f>
        <v/>
      </c>
      <c r="CE299" s="21" t="str">
        <f>IF(AND('Atividades Micro'!$B351=CE$2,'Atividades Micro'!$G351="Micro",'Atividades Micro'!$K351&lt;&gt;""),'Atividades Micro'!$K351,"")</f>
        <v/>
      </c>
      <c r="CF299" s="21" t="str">
        <f>IF(AND('Atividades Micro'!$B351=CF$2,'Atividades Micro'!$G351="Micro",'Atividades Micro'!$K351&lt;&gt;""),'Atividades Micro'!$K351,"")</f>
        <v/>
      </c>
      <c r="CG299" s="21" t="str">
        <f>IF(AND('Atividades Micro'!$B351=CG$2,'Atividades Micro'!$G351="Micro",'Atividades Micro'!$K351&lt;&gt;""),'Atividades Micro'!$K351,"")</f>
        <v/>
      </c>
      <c r="CH299" s="21" t="str">
        <f>IF(AND('Atividades Micro'!$B351=CH$2,'Atividades Micro'!$G351="Micro",'Atividades Micro'!$K351&lt;&gt;""),'Atividades Micro'!$K351,"")</f>
        <v/>
      </c>
      <c r="CI299" s="21" t="str">
        <f>IF(AND('Atividades Micro'!$B351=CI$2,'Atividades Micro'!$G351="Micro",'Atividades Micro'!$K351&lt;&gt;""),'Atividades Micro'!$K351,"")</f>
        <v/>
      </c>
      <c r="CJ299" s="21" t="str">
        <f>IF(AND('Atividades Micro'!$B351=CJ$2,'Atividades Micro'!$G351="Micro",'Atividades Micro'!$K351&lt;&gt;""),'Atividades Micro'!$K351,"")</f>
        <v/>
      </c>
      <c r="CK299" s="21" t="str">
        <f>IF(AND('Atividades Micro'!$B351=CK$2,'Atividades Micro'!$G351="Micro",'Atividades Micro'!$K351&lt;&gt;""),'Atividades Micro'!$K351,"")</f>
        <v/>
      </c>
      <c r="CL299" s="21" t="str">
        <f>IF(AND('Atividades Micro'!$B351=CL$2,'Atividades Micro'!$G351="Micro",'Atividades Micro'!$K351&lt;&gt;""),'Atividades Micro'!$K351,"")</f>
        <v/>
      </c>
      <c r="CM299" s="21" t="str">
        <f>IF(AND('Atividades Micro'!$B351=CM$2,'Atividades Micro'!$G351="Micro",'Atividades Micro'!$K351&lt;&gt;""),'Atividades Micro'!$K351,"")</f>
        <v/>
      </c>
      <c r="CN299" s="21" t="str">
        <f>IF(AND('Atividades Micro'!$B351=CN$2,'Atividades Micro'!$G351="Micro",'Atividades Micro'!$K351&lt;&gt;""),'Atividades Micro'!$K351,"")</f>
        <v/>
      </c>
      <c r="CO299" s="21" t="str">
        <f>IF(AND('Atividades Micro'!$B351=CO$2,'Atividades Micro'!$G351="Micro",'Atividades Micro'!$K351&lt;&gt;""),'Atividades Micro'!$K351,"")</f>
        <v/>
      </c>
    </row>
    <row r="300" spans="1:93">
      <c r="A300" s="21" t="str">
        <f>IF(AND('Atividades Micro'!$A352=A$2,'Atividades Micro'!$K352&lt;&gt;""),'Atividades Micro'!$K352,"")</f>
        <v/>
      </c>
      <c r="B300" s="21" t="str">
        <f>IF(AND('Atividades Micro'!$A352=B$2,'Atividades Micro'!$L352&lt;&gt;""),'Atividades Micro'!$L352,"")</f>
        <v/>
      </c>
      <c r="C300" s="21" t="str">
        <f>IF(AND('Atividades Micro'!$A352=C$2,'Atividades Micro'!$K352&lt;&gt;""),'Atividades Micro'!$K352,"")</f>
        <v/>
      </c>
      <c r="D300" s="21" t="str">
        <f>IF(AND('Atividades Micro'!$A352=D$2,'Atividades Micro'!$L352&lt;&gt;""),'Atividades Micro'!$L352,"")</f>
        <v/>
      </c>
      <c r="E300" s="21" t="str">
        <f>IF(AND('Atividades Micro'!$A352=E$2,'Atividades Micro'!$K352&lt;&gt;""),'Atividades Micro'!$K352,"")</f>
        <v/>
      </c>
      <c r="F300" s="21" t="str">
        <f>IF(AND('Atividades Micro'!$A352=F$2,'Atividades Micro'!$L352&lt;&gt;""),'Atividades Micro'!$L352,"")</f>
        <v/>
      </c>
      <c r="G300" s="21" t="str">
        <f>IF(AND('Atividades Micro'!$A352=G$2,'Atividades Micro'!$K352&lt;&gt;""),'Atividades Micro'!$K352,"")</f>
        <v/>
      </c>
      <c r="H300" s="21" t="str">
        <f>IF(AND('Atividades Micro'!$A352=H$2,'Atividades Micro'!$L352&lt;&gt;""),'Atividades Micro'!$L352,"")</f>
        <v/>
      </c>
      <c r="I300" s="21" t="str">
        <f>IF(AND('Atividades Micro'!$A352=I$2,'Atividades Micro'!$K352&lt;&gt;""),'Atividades Micro'!$K352,"")</f>
        <v/>
      </c>
      <c r="J300" s="21" t="str">
        <f>IF(AND('Atividades Micro'!$A352=J$2,'Atividades Micro'!$L352&lt;&gt;""),'Atividades Micro'!$L352,"")</f>
        <v/>
      </c>
      <c r="K300" s="21" t="str">
        <f>IF(AND('Atividades Micro'!$B352=K$2,'Atividades Micro'!$K352&lt;&gt;""),'Atividades Micro'!$K352,"")</f>
        <v/>
      </c>
      <c r="L300" s="21" t="str">
        <f>IF(AND('Atividades Micro'!$B352=L$2,'Atividades Micro'!$L352&lt;&gt;""),'Atividades Micro'!$L352,"")</f>
        <v/>
      </c>
      <c r="M300" s="21" t="str">
        <f>IF(AND('Atividades Micro'!$B352=M$2,'Atividades Micro'!$K352&lt;&gt;""),'Atividades Micro'!$K352,"")</f>
        <v/>
      </c>
      <c r="N300" s="21" t="str">
        <f>IF(AND('Atividades Micro'!$B352=N$2,'Atividades Micro'!$L352&lt;&gt;""),'Atividades Micro'!$L352,"")</f>
        <v/>
      </c>
      <c r="O300" s="21" t="str">
        <f>IF(AND('Atividades Micro'!$A352=O$2,'Atividades Micro'!$K352&lt;&gt;""),'Atividades Micro'!$K352,"")</f>
        <v/>
      </c>
      <c r="P300" s="21" t="str">
        <f>IF(AND('Atividades Micro'!$A352=P$2,'Atividades Micro'!$L352&lt;&gt;""),'Atividades Micro'!$L352,"")</f>
        <v/>
      </c>
      <c r="Q300" s="21" t="str">
        <f>IF(AND('Atividades Micro'!$B352=Q$2,'Atividades Micro'!$K352&lt;&gt;""),'Atividades Micro'!$K352,"")</f>
        <v/>
      </c>
      <c r="R300" s="21" t="str">
        <f>IF(AND('Atividades Micro'!$B352=R$2,'Atividades Micro'!$L352&lt;&gt;""),'Atividades Micro'!$L352,"")</f>
        <v/>
      </c>
      <c r="S300" s="21" t="str">
        <f>IF(AND('Atividades Micro'!$A352=S$2,'Atividades Micro'!$K352&lt;&gt;""),'Atividades Micro'!$K352,"")</f>
        <v/>
      </c>
      <c r="T300" s="21" t="str">
        <f>IF(AND('Atividades Micro'!$A352=T$2,'Atividades Micro'!$L352&lt;&gt;""),'Atividades Micro'!$L352,"")</f>
        <v/>
      </c>
      <c r="U300" s="21" t="str">
        <f>IF(AND('Atividades Micro'!$B352=U$2,'Atividades Micro'!$K352&lt;&gt;""),'Atividades Micro'!$K352,"")</f>
        <v/>
      </c>
      <c r="V300" s="21" t="str">
        <f>IF(AND('Atividades Micro'!$B352=V$2,'Atividades Micro'!$L352&lt;&gt;""),'Atividades Micro'!$L352,"")</f>
        <v/>
      </c>
      <c r="W300" s="21" t="str">
        <f>IF(AND('Atividades Micro'!$B352=W$2,'Atividades Micro'!$K352&lt;&gt;""),'Atividades Micro'!$K352,"")</f>
        <v/>
      </c>
      <c r="X300" s="21" t="str">
        <f>IF(AND('Atividades Micro'!$B352=X$2,'Atividades Micro'!$L352&lt;&gt;""),'Atividades Micro'!$L352,"")</f>
        <v/>
      </c>
      <c r="Y300" s="21" t="str">
        <f>IF(AND('Atividades Micro'!$A352=Y$2,'Atividades Micro'!$K352&lt;&gt;""),'Atividades Micro'!$K352,"")</f>
        <v/>
      </c>
      <c r="Z300" s="21" t="str">
        <f>IF(AND('Atividades Micro'!$A352=Z$2,'Atividades Micro'!$L352&lt;&gt;""),'Atividades Micro'!$L352,"")</f>
        <v/>
      </c>
      <c r="AA300" s="21" t="str">
        <f>IF(AND('Atividades Micro'!$B352=AA$2,'Atividades Micro'!$K352&lt;&gt;""),'Atividades Micro'!$K352,"")</f>
        <v/>
      </c>
      <c r="AB300" s="21" t="str">
        <f>IF(AND('Atividades Micro'!$B352=AB$2,'Atividades Micro'!$L352&lt;&gt;""),'Atividades Micro'!$L352,"")</f>
        <v/>
      </c>
      <c r="AC300" s="21" t="str">
        <f>IF(AND('Atividades Micro'!$B352=AC$2,'Atividades Micro'!$K352&lt;&gt;""),'Atividades Micro'!$K352,"")</f>
        <v/>
      </c>
      <c r="AD300" s="21" t="str">
        <f>IF(AND('Atividades Micro'!$B352=AD$2,'Atividades Micro'!$L352&lt;&gt;""),'Atividades Micro'!$L352,"")</f>
        <v/>
      </c>
      <c r="AE300" s="21" t="str">
        <f>IF(AND('Atividades Micro'!$A352=AE$2,'Atividades Micro'!$K352&lt;&gt;""),'Atividades Micro'!$K352,"")</f>
        <v/>
      </c>
      <c r="AF300" s="21" t="str">
        <f>IF(AND('Atividades Micro'!$A352=AF$2,'Atividades Micro'!$L352&lt;&gt;""),'Atividades Micro'!$L352,"")</f>
        <v/>
      </c>
      <c r="AG300" s="21" t="str">
        <f>IF(AND('Atividades Micro'!$B352=AG$2,'Atividades Micro'!$K352&lt;&gt;""),'Atividades Micro'!$K352,"")</f>
        <v/>
      </c>
      <c r="AH300" s="21" t="str">
        <f>IF(AND('Atividades Micro'!$B352=AH$2,'Atividades Micro'!$L352&lt;&gt;""),'Atividades Micro'!$L352,"")</f>
        <v/>
      </c>
      <c r="AI300" s="21" t="str">
        <f>IF(AND('Atividades Micro'!$B352=AI$2,'Atividades Micro'!$K352&lt;&gt;""),'Atividades Micro'!$K352,"")</f>
        <v/>
      </c>
      <c r="AJ300" s="21" t="str">
        <f>IF(AND('Atividades Micro'!$B352=AJ$2,'Atividades Micro'!$L352&lt;&gt;""),'Atividades Micro'!$L352,"")</f>
        <v/>
      </c>
      <c r="AK300" s="21" t="str">
        <f>IF(AND('Atividades Micro'!$A352=AK$2,'Atividades Micro'!$K352&lt;&gt;""),'Atividades Micro'!$K352,"")</f>
        <v/>
      </c>
      <c r="AL300" s="21" t="str">
        <f>IF(AND('Atividades Micro'!$A352=AL$2,'Atividades Micro'!$L352&lt;&gt;""),'Atividades Micro'!$L352,"")</f>
        <v/>
      </c>
      <c r="AM300" s="21" t="str">
        <f>IF(AND('Atividades Micro'!$B352=AM$2,'Atividades Micro'!$K352&lt;&gt;""),'Atividades Micro'!$K352,"")</f>
        <v/>
      </c>
      <c r="AN300" s="21" t="str">
        <f>IF(AND('Atividades Micro'!$B352=AN$2,'Atividades Micro'!$L352&lt;&gt;""),'Atividades Micro'!$L352,"")</f>
        <v/>
      </c>
      <c r="AO300" s="21" t="str">
        <f>IF(AND('Atividades Micro'!$B352=AO$2,'Atividades Micro'!$K352&lt;&gt;""),'Atividades Micro'!$K352,"")</f>
        <v/>
      </c>
      <c r="AP300" s="21" t="str">
        <f>IF(AND('Atividades Micro'!$B352=AP$2,'Atividades Micro'!$L352&lt;&gt;""),'Atividades Micro'!$L352,"")</f>
        <v/>
      </c>
      <c r="AQ300" s="21" t="str">
        <f>IF(AND('Atividades Micro'!$A352=AQ$2,'Atividades Micro'!$K352&lt;&gt;""),'Atividades Micro'!$K352,"")</f>
        <v/>
      </c>
      <c r="AR300" s="21" t="str">
        <f>IF(AND('Atividades Micro'!$A352=AR$2,'Atividades Micro'!$L352&lt;&gt;""),'Atividades Micro'!$L352,"")</f>
        <v/>
      </c>
      <c r="AS300" s="21" t="str">
        <f>IF(AND('Atividades Micro'!$B352=AS$2,'Atividades Micro'!$K352&lt;&gt;""),'Atividades Micro'!$K352,"")</f>
        <v/>
      </c>
      <c r="AT300" s="21" t="str">
        <f>IF(AND('Atividades Micro'!$B352=AT$2,'Atividades Micro'!$L352&lt;&gt;""),'Atividades Micro'!$L352,"")</f>
        <v/>
      </c>
      <c r="AU300" s="21" t="str">
        <f>IF(AND('Atividades Micro'!$A352=AU$2,'Atividades Micro'!$K352&lt;&gt;""),'Atividades Micro'!$K352,"")</f>
        <v/>
      </c>
      <c r="AV300" s="21" t="str">
        <f>IF(AND('Atividades Micro'!$A352=AV$2,'Atividades Micro'!$L352&lt;&gt;""),'Atividades Micro'!$L352,"")</f>
        <v/>
      </c>
      <c r="AW300" s="21" t="str">
        <f>IF(AND('Atividades Micro'!$B352=AW$2,'Atividades Micro'!$K352&lt;&gt;""),'Atividades Micro'!$K352,"")</f>
        <v/>
      </c>
      <c r="AX300" s="21" t="str">
        <f>IF(AND('Atividades Micro'!$B352=AX$2,'Atividades Micro'!$L352&lt;&gt;""),'Atividades Micro'!$L352,"")</f>
        <v/>
      </c>
      <c r="AY300" s="21" t="str">
        <f>IF(AND('Atividades Micro'!$A352=AY$2,'Atividades Micro'!$K352&lt;&gt;""),'Atividades Micro'!$K352,"")</f>
        <v/>
      </c>
      <c r="AZ300" s="21" t="str">
        <f>IF(AND('Atividades Micro'!$A352=AZ$2,'Atividades Micro'!$L352&lt;&gt;""),'Atividades Micro'!$L352,"")</f>
        <v/>
      </c>
      <c r="BA300" s="21" t="str">
        <f>IF(AND('Atividades Micro'!$B352=BA$2,'Atividades Micro'!$K352&lt;&gt;""),'Atividades Micro'!$K352,"")</f>
        <v/>
      </c>
      <c r="BB300" s="21" t="str">
        <f>IF(AND('Atividades Micro'!$B352=BB$2,'Atividades Micro'!$L352&lt;&gt;""),'Atividades Micro'!$L352,"")</f>
        <v/>
      </c>
      <c r="BC300" s="21" t="str">
        <f>IF(AND('Atividades Micro'!$B352=BC$2,'Atividades Micro'!$G352="Macro",'Atividades Micro'!$K352&lt;&gt;""),'Atividades Micro'!$K352,"")</f>
        <v/>
      </c>
      <c r="BD300" s="21" t="str">
        <f>IF(AND('Atividades Micro'!$B352=BD$2,'Atividades Micro'!$G352="Macro",'Atividades Micro'!$K352&lt;&gt;""),'Atividades Micro'!$K352,"")</f>
        <v/>
      </c>
      <c r="BE300" s="21" t="str">
        <f>IF(AND('Atividades Micro'!$B352=BE$2,'Atividades Micro'!$G352="Macro",'Atividades Micro'!$K352&lt;&gt;""),'Atividades Micro'!$K352,"")</f>
        <v/>
      </c>
      <c r="BF300" s="21" t="str">
        <f>IF(AND('Atividades Micro'!$B352=BF$2,'Atividades Micro'!$G352="Macro",'Atividades Micro'!$K352&lt;&gt;""),'Atividades Micro'!$K352,"")</f>
        <v/>
      </c>
      <c r="BG300" s="21" t="str">
        <f>IF(AND('Atividades Micro'!$B352=BG$2,'Atividades Micro'!$G352="Macro",'Atividades Micro'!$K352&lt;&gt;""),'Atividades Micro'!$K352,"")</f>
        <v/>
      </c>
      <c r="BH300" s="21" t="str">
        <f>IF(AND('Atividades Micro'!$B352=BH$2,'Atividades Micro'!$G352="Macro",'Atividades Micro'!$K352&lt;&gt;""),'Atividades Micro'!$K352,"")</f>
        <v/>
      </c>
      <c r="BI300" s="21" t="str">
        <f>IF(AND('Atividades Micro'!$B352=BI$2,'Atividades Micro'!$G352="Macro",'Atividades Micro'!$K352&lt;&gt;""),'Atividades Micro'!$K352,"")</f>
        <v/>
      </c>
      <c r="BJ300" s="21" t="str">
        <f>IF(AND('Atividades Micro'!$B352=BJ$2,'Atividades Micro'!$G352="Macro",'Atividades Micro'!$K352&lt;&gt;""),'Atividades Micro'!$K352,"")</f>
        <v/>
      </c>
      <c r="BK300" s="21" t="str">
        <f>IF(AND('Atividades Micro'!$B352=BK$2,'Atividades Micro'!$G352="Macro",'Atividades Micro'!$K352&lt;&gt;""),'Atividades Micro'!$K352,"")</f>
        <v/>
      </c>
      <c r="BL300" s="21" t="str">
        <f>IF(AND('Atividades Micro'!$B352=BL$2,'Atividades Micro'!$G352="Macro",'Atividades Micro'!$K352&lt;&gt;""),'Atividades Micro'!$K352,"")</f>
        <v/>
      </c>
      <c r="BM300" s="21" t="str">
        <f>IF(AND('Atividades Micro'!$B352=BM$2,'Atividades Micro'!$G352="Macro",'Atividades Micro'!$K352&lt;&gt;""),'Atividades Micro'!$K352,"")</f>
        <v/>
      </c>
      <c r="BN300" s="21" t="str">
        <f>IF(AND('Atividades Micro'!$B352=BN$2,'Atividades Micro'!$G352="Macro",'Atividades Micro'!$K352&lt;&gt;""),'Atividades Micro'!$K352,"")</f>
        <v/>
      </c>
      <c r="BO300" s="21" t="str">
        <f>IF(AND('Atividades Micro'!$B352=BO$2,'Atividades Micro'!$G352="Macro",'Atividades Micro'!$K352&lt;&gt;""),'Atividades Micro'!$K352,"")</f>
        <v/>
      </c>
      <c r="BP300" s="21" t="str">
        <f>IF(AND('Atividades Micro'!$B352=BP$2,'Atividades Micro'!$G352="Macro",'Atividades Micro'!$K352&lt;&gt;""),'Atividades Micro'!$K352,"")</f>
        <v/>
      </c>
      <c r="BQ300" s="21" t="str">
        <f>IF(AND('Atividades Micro'!$B352=BQ$2,'Atividades Micro'!$G352="Macro",'Atividades Micro'!$K352&lt;&gt;""),'Atividades Micro'!$K352,"")</f>
        <v/>
      </c>
      <c r="BR300" s="21" t="str">
        <f>IF(AND('Atividades Micro'!$B352=BR$2,'Atividades Micro'!$G352="Macro",'Atividades Micro'!$K352&lt;&gt;""),'Atividades Micro'!$K352,"")</f>
        <v/>
      </c>
      <c r="BS300" s="21" t="str">
        <f>IF(AND('Atividades Micro'!$B352=BS$2,'Atividades Micro'!$G352="Macro",'Atividades Micro'!$K352&lt;&gt;""),'Atividades Micro'!$K352,"")</f>
        <v/>
      </c>
      <c r="BT300" s="21" t="str">
        <f>IF(AND('Atividades Micro'!$B352=BT$2,'Atividades Micro'!$G352="Macro",'Atividades Micro'!$K352&lt;&gt;""),'Atividades Micro'!$K352,"")</f>
        <v/>
      </c>
      <c r="BU300" s="21" t="str">
        <f>IF(AND('Atividades Micro'!$B352=BU$2,'Atividades Micro'!$G352="Macro",'Atividades Micro'!$K352&lt;&gt;""),'Atividades Micro'!$K352,"")</f>
        <v/>
      </c>
      <c r="BV300" s="21" t="str">
        <f>IF(AND('Atividades Micro'!$B352=BV$2,'Atividades Micro'!$G352="Macro",'Atividades Micro'!$K352&lt;&gt;""),'Atividades Micro'!$K352,"")</f>
        <v/>
      </c>
      <c r="BW300" s="21" t="str">
        <f>IF(AND('Atividades Micro'!$B352=BW$2,'Atividades Micro'!$G352="Macro",'Atividades Micro'!$K352&lt;&gt;""),'Atividades Micro'!$K352,"")</f>
        <v/>
      </c>
      <c r="BX300" s="21" t="str">
        <f>IF(AND('Atividades Micro'!$B352=BX$2,'Atividades Micro'!$G352="Macro",'Atividades Micro'!$K352&lt;&gt;""),'Atividades Micro'!$K352,"")</f>
        <v/>
      </c>
      <c r="BY300" s="21" t="str">
        <f>IF(AND('Atividades Micro'!$B352=BY$2,'Atividades Micro'!$G352="Macro",'Atividades Micro'!$K352&lt;&gt;""),'Atividades Micro'!$K352,"")</f>
        <v/>
      </c>
      <c r="BZ300" s="21" t="str">
        <f>IF(AND('Atividades Micro'!$B352=BZ$2,'Atividades Micro'!$G352="Macro",'Atividades Micro'!$K352&lt;&gt;""),'Atividades Micro'!$K352,"")</f>
        <v/>
      </c>
      <c r="CA300" s="21" t="str">
        <f>IF(AND('Atividades Micro'!$B352=CA$2,'Atividades Micro'!$G352="Macro",'Atividades Micro'!$K352&lt;&gt;""),'Atividades Micro'!$K352,"")</f>
        <v/>
      </c>
      <c r="CB300" s="21" t="str">
        <f>IF(AND('Atividades Micro'!$B352=CB$2,'Atividades Micro'!$G352="Macro",'Atividades Micro'!$K352&lt;&gt;""),'Atividades Micro'!$K352,"")</f>
        <v/>
      </c>
      <c r="CC300" s="21" t="str">
        <f>IF(AND('Atividades Micro'!$B352=CC$2,'Atividades Micro'!$G352="Macro",'Atividades Micro'!$K352&lt;&gt;""),'Atividades Micro'!$K352,"")</f>
        <v/>
      </c>
      <c r="CD300" s="21" t="str">
        <f>IF(AND('Atividades Micro'!$B352=CD$2,'Atividades Micro'!$G352="Micro",'Atividades Micro'!$K352&lt;&gt;""),'Atividades Micro'!$K352,"")</f>
        <v/>
      </c>
      <c r="CE300" s="21" t="str">
        <f>IF(AND('Atividades Micro'!$B352=CE$2,'Atividades Micro'!$G352="Micro",'Atividades Micro'!$K352&lt;&gt;""),'Atividades Micro'!$K352,"")</f>
        <v/>
      </c>
      <c r="CF300" s="21" t="str">
        <f>IF(AND('Atividades Micro'!$B352=CF$2,'Atividades Micro'!$G352="Micro",'Atividades Micro'!$K352&lt;&gt;""),'Atividades Micro'!$K352,"")</f>
        <v/>
      </c>
      <c r="CG300" s="21" t="str">
        <f>IF(AND('Atividades Micro'!$B352=CG$2,'Atividades Micro'!$G352="Micro",'Atividades Micro'!$K352&lt;&gt;""),'Atividades Micro'!$K352,"")</f>
        <v/>
      </c>
      <c r="CH300" s="21" t="str">
        <f>IF(AND('Atividades Micro'!$B352=CH$2,'Atividades Micro'!$G352="Micro",'Atividades Micro'!$K352&lt;&gt;""),'Atividades Micro'!$K352,"")</f>
        <v/>
      </c>
      <c r="CI300" s="21" t="str">
        <f>IF(AND('Atividades Micro'!$B352=CI$2,'Atividades Micro'!$G352="Micro",'Atividades Micro'!$K352&lt;&gt;""),'Atividades Micro'!$K352,"")</f>
        <v/>
      </c>
      <c r="CJ300" s="21" t="str">
        <f>IF(AND('Atividades Micro'!$B352=CJ$2,'Atividades Micro'!$G352="Micro",'Atividades Micro'!$K352&lt;&gt;""),'Atividades Micro'!$K352,"")</f>
        <v/>
      </c>
      <c r="CK300" s="21" t="str">
        <f>IF(AND('Atividades Micro'!$B352=CK$2,'Atividades Micro'!$G352="Micro",'Atividades Micro'!$K352&lt;&gt;""),'Atividades Micro'!$K352,"")</f>
        <v/>
      </c>
      <c r="CL300" s="21" t="str">
        <f>IF(AND('Atividades Micro'!$B352=CL$2,'Atividades Micro'!$G352="Micro",'Atividades Micro'!$K352&lt;&gt;""),'Atividades Micro'!$K352,"")</f>
        <v/>
      </c>
      <c r="CM300" s="21" t="str">
        <f>IF(AND('Atividades Micro'!$B352=CM$2,'Atividades Micro'!$G352="Micro",'Atividades Micro'!$K352&lt;&gt;""),'Atividades Micro'!$K352,"")</f>
        <v/>
      </c>
      <c r="CN300" s="21" t="str">
        <f>IF(AND('Atividades Micro'!$B352=CN$2,'Atividades Micro'!$G352="Micro",'Atividades Micro'!$K352&lt;&gt;""),'Atividades Micro'!$K352,"")</f>
        <v/>
      </c>
      <c r="CO300" s="21" t="str">
        <f>IF(AND('Atividades Micro'!$B352=CO$2,'Atividades Micro'!$G352="Micro",'Atividades Micro'!$K352&lt;&gt;""),'Atividades Micro'!$K352,"")</f>
        <v/>
      </c>
    </row>
    <row r="301" spans="1:93">
      <c r="A301" s="21" t="str">
        <f>IF(AND('Atividades Micro'!$A353=A$2,'Atividades Micro'!$K353&lt;&gt;""),'Atividades Micro'!$K353,"")</f>
        <v/>
      </c>
      <c r="B301" s="21" t="str">
        <f>IF(AND('Atividades Micro'!$A353=B$2,'Atividades Micro'!$L353&lt;&gt;""),'Atividades Micro'!$L353,"")</f>
        <v/>
      </c>
      <c r="C301" s="21" t="str">
        <f>IF(AND('Atividades Micro'!$A353=C$2,'Atividades Micro'!$K353&lt;&gt;""),'Atividades Micro'!$K353,"")</f>
        <v/>
      </c>
      <c r="D301" s="21" t="str">
        <f>IF(AND('Atividades Micro'!$A353=D$2,'Atividades Micro'!$L353&lt;&gt;""),'Atividades Micro'!$L353,"")</f>
        <v/>
      </c>
      <c r="E301" s="21" t="str">
        <f>IF(AND('Atividades Micro'!$A353=E$2,'Atividades Micro'!$K353&lt;&gt;""),'Atividades Micro'!$K353,"")</f>
        <v/>
      </c>
      <c r="F301" s="21" t="str">
        <f>IF(AND('Atividades Micro'!$A353=F$2,'Atividades Micro'!$L353&lt;&gt;""),'Atividades Micro'!$L353,"")</f>
        <v/>
      </c>
      <c r="G301" s="21" t="str">
        <f>IF(AND('Atividades Micro'!$A353=G$2,'Atividades Micro'!$K353&lt;&gt;""),'Atividades Micro'!$K353,"")</f>
        <v/>
      </c>
      <c r="H301" s="21" t="str">
        <f>IF(AND('Atividades Micro'!$A353=H$2,'Atividades Micro'!$L353&lt;&gt;""),'Atividades Micro'!$L353,"")</f>
        <v/>
      </c>
      <c r="I301" s="21" t="str">
        <f>IF(AND('Atividades Micro'!$A353=I$2,'Atividades Micro'!$K353&lt;&gt;""),'Atividades Micro'!$K353,"")</f>
        <v/>
      </c>
      <c r="J301" s="21" t="str">
        <f>IF(AND('Atividades Micro'!$A353=J$2,'Atividades Micro'!$L353&lt;&gt;""),'Atividades Micro'!$L353,"")</f>
        <v/>
      </c>
      <c r="K301" s="21" t="str">
        <f>IF(AND('Atividades Micro'!$B353=K$2,'Atividades Micro'!$K353&lt;&gt;""),'Atividades Micro'!$K353,"")</f>
        <v/>
      </c>
      <c r="L301" s="21" t="str">
        <f>IF(AND('Atividades Micro'!$B353=L$2,'Atividades Micro'!$L353&lt;&gt;""),'Atividades Micro'!$L353,"")</f>
        <v/>
      </c>
      <c r="M301" s="21" t="str">
        <f>IF(AND('Atividades Micro'!$B353=M$2,'Atividades Micro'!$K353&lt;&gt;""),'Atividades Micro'!$K353,"")</f>
        <v/>
      </c>
      <c r="N301" s="21" t="str">
        <f>IF(AND('Atividades Micro'!$B353=N$2,'Atividades Micro'!$L353&lt;&gt;""),'Atividades Micro'!$L353,"")</f>
        <v/>
      </c>
      <c r="O301" s="21" t="str">
        <f>IF(AND('Atividades Micro'!$A353=O$2,'Atividades Micro'!$K353&lt;&gt;""),'Atividades Micro'!$K353,"")</f>
        <v/>
      </c>
      <c r="P301" s="21" t="str">
        <f>IF(AND('Atividades Micro'!$A353=P$2,'Atividades Micro'!$L353&lt;&gt;""),'Atividades Micro'!$L353,"")</f>
        <v/>
      </c>
      <c r="Q301" s="21" t="str">
        <f>IF(AND('Atividades Micro'!$B353=Q$2,'Atividades Micro'!$K353&lt;&gt;""),'Atividades Micro'!$K353,"")</f>
        <v/>
      </c>
      <c r="R301" s="21" t="str">
        <f>IF(AND('Atividades Micro'!$B353=R$2,'Atividades Micro'!$L353&lt;&gt;""),'Atividades Micro'!$L353,"")</f>
        <v/>
      </c>
      <c r="S301" s="21" t="str">
        <f>IF(AND('Atividades Micro'!$A353=S$2,'Atividades Micro'!$K353&lt;&gt;""),'Atividades Micro'!$K353,"")</f>
        <v/>
      </c>
      <c r="T301" s="21" t="str">
        <f>IF(AND('Atividades Micro'!$A353=T$2,'Atividades Micro'!$L353&lt;&gt;""),'Atividades Micro'!$L353,"")</f>
        <v/>
      </c>
      <c r="U301" s="21" t="str">
        <f>IF(AND('Atividades Micro'!$B353=U$2,'Atividades Micro'!$K353&lt;&gt;""),'Atividades Micro'!$K353,"")</f>
        <v/>
      </c>
      <c r="V301" s="21" t="str">
        <f>IF(AND('Atividades Micro'!$B353=V$2,'Atividades Micro'!$L353&lt;&gt;""),'Atividades Micro'!$L353,"")</f>
        <v/>
      </c>
      <c r="W301" s="21" t="str">
        <f>IF(AND('Atividades Micro'!$B353=W$2,'Atividades Micro'!$K353&lt;&gt;""),'Atividades Micro'!$K353,"")</f>
        <v/>
      </c>
      <c r="X301" s="21" t="str">
        <f>IF(AND('Atividades Micro'!$B353=X$2,'Atividades Micro'!$L353&lt;&gt;""),'Atividades Micro'!$L353,"")</f>
        <v/>
      </c>
      <c r="Y301" s="21" t="str">
        <f>IF(AND('Atividades Micro'!$A353=Y$2,'Atividades Micro'!$K353&lt;&gt;""),'Atividades Micro'!$K353,"")</f>
        <v/>
      </c>
      <c r="Z301" s="21" t="str">
        <f>IF(AND('Atividades Micro'!$A353=Z$2,'Atividades Micro'!$L353&lt;&gt;""),'Atividades Micro'!$L353,"")</f>
        <v/>
      </c>
      <c r="AA301" s="21" t="str">
        <f>IF(AND('Atividades Micro'!$B353=AA$2,'Atividades Micro'!$K353&lt;&gt;""),'Atividades Micro'!$K353,"")</f>
        <v/>
      </c>
      <c r="AB301" s="21" t="str">
        <f>IF(AND('Atividades Micro'!$B353=AB$2,'Atividades Micro'!$L353&lt;&gt;""),'Atividades Micro'!$L353,"")</f>
        <v/>
      </c>
      <c r="AC301" s="21" t="str">
        <f>IF(AND('Atividades Micro'!$B353=AC$2,'Atividades Micro'!$K353&lt;&gt;""),'Atividades Micro'!$K353,"")</f>
        <v/>
      </c>
      <c r="AD301" s="21" t="str">
        <f>IF(AND('Atividades Micro'!$B353=AD$2,'Atividades Micro'!$L353&lt;&gt;""),'Atividades Micro'!$L353,"")</f>
        <v/>
      </c>
      <c r="AE301" s="21" t="str">
        <f>IF(AND('Atividades Micro'!$A353=AE$2,'Atividades Micro'!$K353&lt;&gt;""),'Atividades Micro'!$K353,"")</f>
        <v/>
      </c>
      <c r="AF301" s="21" t="str">
        <f>IF(AND('Atividades Micro'!$A353=AF$2,'Atividades Micro'!$L353&lt;&gt;""),'Atividades Micro'!$L353,"")</f>
        <v/>
      </c>
      <c r="AG301" s="21" t="str">
        <f>IF(AND('Atividades Micro'!$B353=AG$2,'Atividades Micro'!$K353&lt;&gt;""),'Atividades Micro'!$K353,"")</f>
        <v/>
      </c>
      <c r="AH301" s="21" t="str">
        <f>IF(AND('Atividades Micro'!$B353=AH$2,'Atividades Micro'!$L353&lt;&gt;""),'Atividades Micro'!$L353,"")</f>
        <v/>
      </c>
      <c r="AI301" s="21" t="str">
        <f>IF(AND('Atividades Micro'!$B353=AI$2,'Atividades Micro'!$K353&lt;&gt;""),'Atividades Micro'!$K353,"")</f>
        <v/>
      </c>
      <c r="AJ301" s="21" t="str">
        <f>IF(AND('Atividades Micro'!$B353=AJ$2,'Atividades Micro'!$L353&lt;&gt;""),'Atividades Micro'!$L353,"")</f>
        <v/>
      </c>
      <c r="AK301" s="21" t="str">
        <f>IF(AND('Atividades Micro'!$A353=AK$2,'Atividades Micro'!$K353&lt;&gt;""),'Atividades Micro'!$K353,"")</f>
        <v/>
      </c>
      <c r="AL301" s="21" t="str">
        <f>IF(AND('Atividades Micro'!$A353=AL$2,'Atividades Micro'!$L353&lt;&gt;""),'Atividades Micro'!$L353,"")</f>
        <v/>
      </c>
      <c r="AM301" s="21" t="str">
        <f>IF(AND('Atividades Micro'!$B353=AM$2,'Atividades Micro'!$K353&lt;&gt;""),'Atividades Micro'!$K353,"")</f>
        <v/>
      </c>
      <c r="AN301" s="21" t="str">
        <f>IF(AND('Atividades Micro'!$B353=AN$2,'Atividades Micro'!$L353&lt;&gt;""),'Atividades Micro'!$L353,"")</f>
        <v/>
      </c>
      <c r="AO301" s="21" t="str">
        <f>IF(AND('Atividades Micro'!$B353=AO$2,'Atividades Micro'!$K353&lt;&gt;""),'Atividades Micro'!$K353,"")</f>
        <v/>
      </c>
      <c r="AP301" s="21" t="str">
        <f>IF(AND('Atividades Micro'!$B353=AP$2,'Atividades Micro'!$L353&lt;&gt;""),'Atividades Micro'!$L353,"")</f>
        <v/>
      </c>
      <c r="AQ301" s="21" t="str">
        <f>IF(AND('Atividades Micro'!$A353=AQ$2,'Atividades Micro'!$K353&lt;&gt;""),'Atividades Micro'!$K353,"")</f>
        <v/>
      </c>
      <c r="AR301" s="21" t="str">
        <f>IF(AND('Atividades Micro'!$A353=AR$2,'Atividades Micro'!$L353&lt;&gt;""),'Atividades Micro'!$L353,"")</f>
        <v/>
      </c>
      <c r="AS301" s="21" t="str">
        <f>IF(AND('Atividades Micro'!$B353=AS$2,'Atividades Micro'!$K353&lt;&gt;""),'Atividades Micro'!$K353,"")</f>
        <v/>
      </c>
      <c r="AT301" s="21" t="str">
        <f>IF(AND('Atividades Micro'!$B353=AT$2,'Atividades Micro'!$L353&lt;&gt;""),'Atividades Micro'!$L353,"")</f>
        <v/>
      </c>
      <c r="AU301" s="21" t="str">
        <f>IF(AND('Atividades Micro'!$A353=AU$2,'Atividades Micro'!$K353&lt;&gt;""),'Atividades Micro'!$K353,"")</f>
        <v/>
      </c>
      <c r="AV301" s="21" t="str">
        <f>IF(AND('Atividades Micro'!$A353=AV$2,'Atividades Micro'!$L353&lt;&gt;""),'Atividades Micro'!$L353,"")</f>
        <v/>
      </c>
      <c r="AW301" s="21" t="str">
        <f>IF(AND('Atividades Micro'!$B353=AW$2,'Atividades Micro'!$K353&lt;&gt;""),'Atividades Micro'!$K353,"")</f>
        <v/>
      </c>
      <c r="AX301" s="21" t="str">
        <f>IF(AND('Atividades Micro'!$B353=AX$2,'Atividades Micro'!$L353&lt;&gt;""),'Atividades Micro'!$L353,"")</f>
        <v/>
      </c>
      <c r="AY301" s="21" t="str">
        <f>IF(AND('Atividades Micro'!$A353=AY$2,'Atividades Micro'!$K353&lt;&gt;""),'Atividades Micro'!$K353,"")</f>
        <v/>
      </c>
      <c r="AZ301" s="21" t="str">
        <f>IF(AND('Atividades Micro'!$A353=AZ$2,'Atividades Micro'!$L353&lt;&gt;""),'Atividades Micro'!$L353,"")</f>
        <v/>
      </c>
      <c r="BA301" s="21" t="str">
        <f>IF(AND('Atividades Micro'!$B353=BA$2,'Atividades Micro'!$K353&lt;&gt;""),'Atividades Micro'!$K353,"")</f>
        <v/>
      </c>
      <c r="BB301" s="21" t="str">
        <f>IF(AND('Atividades Micro'!$B353=BB$2,'Atividades Micro'!$L353&lt;&gt;""),'Atividades Micro'!$L353,"")</f>
        <v/>
      </c>
      <c r="BC301" s="21" t="str">
        <f>IF(AND('Atividades Micro'!$B353=BC$2,'Atividades Micro'!$G353="Macro",'Atividades Micro'!$K353&lt;&gt;""),'Atividades Micro'!$K353,"")</f>
        <v/>
      </c>
      <c r="BD301" s="21" t="str">
        <f>IF(AND('Atividades Micro'!$B353=BD$2,'Atividades Micro'!$G353="Macro",'Atividades Micro'!$K353&lt;&gt;""),'Atividades Micro'!$K353,"")</f>
        <v/>
      </c>
      <c r="BE301" s="21" t="str">
        <f>IF(AND('Atividades Micro'!$B353=BE$2,'Atividades Micro'!$G353="Macro",'Atividades Micro'!$K353&lt;&gt;""),'Atividades Micro'!$K353,"")</f>
        <v/>
      </c>
      <c r="BF301" s="21" t="str">
        <f>IF(AND('Atividades Micro'!$B353=BF$2,'Atividades Micro'!$G353="Macro",'Atividades Micro'!$K353&lt;&gt;""),'Atividades Micro'!$K353,"")</f>
        <v/>
      </c>
      <c r="BG301" s="21" t="str">
        <f>IF(AND('Atividades Micro'!$B353=BG$2,'Atividades Micro'!$G353="Macro",'Atividades Micro'!$K353&lt;&gt;""),'Atividades Micro'!$K353,"")</f>
        <v/>
      </c>
      <c r="BH301" s="21" t="str">
        <f>IF(AND('Atividades Micro'!$B353=BH$2,'Atividades Micro'!$G353="Macro",'Atividades Micro'!$K353&lt;&gt;""),'Atividades Micro'!$K353,"")</f>
        <v/>
      </c>
      <c r="BI301" s="21" t="str">
        <f>IF(AND('Atividades Micro'!$B353=BI$2,'Atividades Micro'!$G353="Macro",'Atividades Micro'!$K353&lt;&gt;""),'Atividades Micro'!$K353,"")</f>
        <v/>
      </c>
      <c r="BJ301" s="21" t="str">
        <f>IF(AND('Atividades Micro'!$B353=BJ$2,'Atividades Micro'!$G353="Macro",'Atividades Micro'!$K353&lt;&gt;""),'Atividades Micro'!$K353,"")</f>
        <v/>
      </c>
      <c r="BK301" s="21" t="str">
        <f>IF(AND('Atividades Micro'!$B353=BK$2,'Atividades Micro'!$G353="Macro",'Atividades Micro'!$K353&lt;&gt;""),'Atividades Micro'!$K353,"")</f>
        <v/>
      </c>
      <c r="BL301" s="21" t="str">
        <f>IF(AND('Atividades Micro'!$B353=BL$2,'Atividades Micro'!$G353="Macro",'Atividades Micro'!$K353&lt;&gt;""),'Atividades Micro'!$K353,"")</f>
        <v/>
      </c>
      <c r="BM301" s="21" t="str">
        <f>IF(AND('Atividades Micro'!$B353=BM$2,'Atividades Micro'!$G353="Macro",'Atividades Micro'!$K353&lt;&gt;""),'Atividades Micro'!$K353,"")</f>
        <v/>
      </c>
      <c r="BN301" s="21" t="str">
        <f>IF(AND('Atividades Micro'!$B353=BN$2,'Atividades Micro'!$G353="Macro",'Atividades Micro'!$K353&lt;&gt;""),'Atividades Micro'!$K353,"")</f>
        <v/>
      </c>
      <c r="BO301" s="21" t="str">
        <f>IF(AND('Atividades Micro'!$B353=BO$2,'Atividades Micro'!$G353="Macro",'Atividades Micro'!$K353&lt;&gt;""),'Atividades Micro'!$K353,"")</f>
        <v/>
      </c>
      <c r="BP301" s="21" t="str">
        <f>IF(AND('Atividades Micro'!$B353=BP$2,'Atividades Micro'!$G353="Macro",'Atividades Micro'!$K353&lt;&gt;""),'Atividades Micro'!$K353,"")</f>
        <v/>
      </c>
      <c r="BQ301" s="21" t="str">
        <f>IF(AND('Atividades Micro'!$B353=BQ$2,'Atividades Micro'!$G353="Macro",'Atividades Micro'!$K353&lt;&gt;""),'Atividades Micro'!$K353,"")</f>
        <v/>
      </c>
      <c r="BR301" s="21" t="str">
        <f>IF(AND('Atividades Micro'!$B353=BR$2,'Atividades Micro'!$G353="Macro",'Atividades Micro'!$K353&lt;&gt;""),'Atividades Micro'!$K353,"")</f>
        <v/>
      </c>
      <c r="BS301" s="21" t="str">
        <f>IF(AND('Atividades Micro'!$B353=BS$2,'Atividades Micro'!$G353="Macro",'Atividades Micro'!$K353&lt;&gt;""),'Atividades Micro'!$K353,"")</f>
        <v/>
      </c>
      <c r="BT301" s="21" t="str">
        <f>IF(AND('Atividades Micro'!$B353=BT$2,'Atividades Micro'!$G353="Macro",'Atividades Micro'!$K353&lt;&gt;""),'Atividades Micro'!$K353,"")</f>
        <v/>
      </c>
      <c r="BU301" s="21" t="str">
        <f>IF(AND('Atividades Micro'!$B353=BU$2,'Atividades Micro'!$G353="Macro",'Atividades Micro'!$K353&lt;&gt;""),'Atividades Micro'!$K353,"")</f>
        <v/>
      </c>
      <c r="BV301" s="21" t="str">
        <f>IF(AND('Atividades Micro'!$B353=BV$2,'Atividades Micro'!$G353="Macro",'Atividades Micro'!$K353&lt;&gt;""),'Atividades Micro'!$K353,"")</f>
        <v/>
      </c>
      <c r="BW301" s="21" t="str">
        <f>IF(AND('Atividades Micro'!$B353=BW$2,'Atividades Micro'!$G353="Macro",'Atividades Micro'!$K353&lt;&gt;""),'Atividades Micro'!$K353,"")</f>
        <v/>
      </c>
      <c r="BX301" s="21" t="str">
        <f>IF(AND('Atividades Micro'!$B353=BX$2,'Atividades Micro'!$G353="Macro",'Atividades Micro'!$K353&lt;&gt;""),'Atividades Micro'!$K353,"")</f>
        <v/>
      </c>
      <c r="BY301" s="21" t="str">
        <f>IF(AND('Atividades Micro'!$B353=BY$2,'Atividades Micro'!$G353="Macro",'Atividades Micro'!$K353&lt;&gt;""),'Atividades Micro'!$K353,"")</f>
        <v/>
      </c>
      <c r="BZ301" s="21" t="str">
        <f>IF(AND('Atividades Micro'!$B353=BZ$2,'Atividades Micro'!$G353="Macro",'Atividades Micro'!$K353&lt;&gt;""),'Atividades Micro'!$K353,"")</f>
        <v/>
      </c>
      <c r="CA301" s="21" t="str">
        <f>IF(AND('Atividades Micro'!$B353=CA$2,'Atividades Micro'!$G353="Macro",'Atividades Micro'!$K353&lt;&gt;""),'Atividades Micro'!$K353,"")</f>
        <v/>
      </c>
      <c r="CB301" s="21" t="str">
        <f>IF(AND('Atividades Micro'!$B353=CB$2,'Atividades Micro'!$G353="Macro",'Atividades Micro'!$K353&lt;&gt;""),'Atividades Micro'!$K353,"")</f>
        <v/>
      </c>
      <c r="CC301" s="21" t="str">
        <f>IF(AND('Atividades Micro'!$B353=CC$2,'Atividades Micro'!$G353="Macro",'Atividades Micro'!$K353&lt;&gt;""),'Atividades Micro'!$K353,"")</f>
        <v/>
      </c>
      <c r="CD301" s="21" t="str">
        <f>IF(AND('Atividades Micro'!$B353=CD$2,'Atividades Micro'!$G353="Micro",'Atividades Micro'!$K353&lt;&gt;""),'Atividades Micro'!$K353,"")</f>
        <v/>
      </c>
      <c r="CE301" s="21" t="str">
        <f>IF(AND('Atividades Micro'!$B353=CE$2,'Atividades Micro'!$G353="Micro",'Atividades Micro'!$K353&lt;&gt;""),'Atividades Micro'!$K353,"")</f>
        <v/>
      </c>
      <c r="CF301" s="21" t="str">
        <f>IF(AND('Atividades Micro'!$B353=CF$2,'Atividades Micro'!$G353="Micro",'Atividades Micro'!$K353&lt;&gt;""),'Atividades Micro'!$K353,"")</f>
        <v/>
      </c>
      <c r="CG301" s="21" t="str">
        <f>IF(AND('Atividades Micro'!$B353=CG$2,'Atividades Micro'!$G353="Micro",'Atividades Micro'!$K353&lt;&gt;""),'Atividades Micro'!$K353,"")</f>
        <v/>
      </c>
      <c r="CH301" s="21" t="str">
        <f>IF(AND('Atividades Micro'!$B353=CH$2,'Atividades Micro'!$G353="Micro",'Atividades Micro'!$K353&lt;&gt;""),'Atividades Micro'!$K353,"")</f>
        <v/>
      </c>
      <c r="CI301" s="21" t="str">
        <f>IF(AND('Atividades Micro'!$B353=CI$2,'Atividades Micro'!$G353="Micro",'Atividades Micro'!$K353&lt;&gt;""),'Atividades Micro'!$K353,"")</f>
        <v/>
      </c>
      <c r="CJ301" s="21" t="str">
        <f>IF(AND('Atividades Micro'!$B353=CJ$2,'Atividades Micro'!$G353="Micro",'Atividades Micro'!$K353&lt;&gt;""),'Atividades Micro'!$K353,"")</f>
        <v/>
      </c>
      <c r="CK301" s="21" t="str">
        <f>IF(AND('Atividades Micro'!$B353=CK$2,'Atividades Micro'!$G353="Micro",'Atividades Micro'!$K353&lt;&gt;""),'Atividades Micro'!$K353,"")</f>
        <v/>
      </c>
      <c r="CL301" s="21" t="str">
        <f>IF(AND('Atividades Micro'!$B353=CL$2,'Atividades Micro'!$G353="Micro",'Atividades Micro'!$K353&lt;&gt;""),'Atividades Micro'!$K353,"")</f>
        <v/>
      </c>
      <c r="CM301" s="21" t="str">
        <f>IF(AND('Atividades Micro'!$B353=CM$2,'Atividades Micro'!$G353="Micro",'Atividades Micro'!$K353&lt;&gt;""),'Atividades Micro'!$K353,"")</f>
        <v/>
      </c>
      <c r="CN301" s="21" t="str">
        <f>IF(AND('Atividades Micro'!$B353=CN$2,'Atividades Micro'!$G353="Micro",'Atividades Micro'!$K353&lt;&gt;""),'Atividades Micro'!$K353,"")</f>
        <v/>
      </c>
      <c r="CO301" s="21" t="str">
        <f>IF(AND('Atividades Micro'!$B353=CO$2,'Atividades Micro'!$G353="Micro",'Atividades Micro'!$K353&lt;&gt;""),'Atividades Micro'!$K353,"")</f>
        <v/>
      </c>
    </row>
    <row r="302" spans="1:93">
      <c r="A302" s="21" t="str">
        <f>IF(AND('Atividades Micro'!$A354=A$2,'Atividades Micro'!$K354&lt;&gt;""),'Atividades Micro'!$K354,"")</f>
        <v/>
      </c>
      <c r="B302" s="21" t="str">
        <f>IF(AND('Atividades Micro'!$A354=B$2,'Atividades Micro'!$L354&lt;&gt;""),'Atividades Micro'!$L354,"")</f>
        <v/>
      </c>
      <c r="C302" s="21" t="str">
        <f>IF(AND('Atividades Micro'!$A354=C$2,'Atividades Micro'!$K354&lt;&gt;""),'Atividades Micro'!$K354,"")</f>
        <v/>
      </c>
      <c r="D302" s="21" t="str">
        <f>IF(AND('Atividades Micro'!$A354=D$2,'Atividades Micro'!$L354&lt;&gt;""),'Atividades Micro'!$L354,"")</f>
        <v/>
      </c>
      <c r="E302" s="21" t="str">
        <f>IF(AND('Atividades Micro'!$A354=E$2,'Atividades Micro'!$K354&lt;&gt;""),'Atividades Micro'!$K354,"")</f>
        <v/>
      </c>
      <c r="F302" s="21" t="str">
        <f>IF(AND('Atividades Micro'!$A354=F$2,'Atividades Micro'!$L354&lt;&gt;""),'Atividades Micro'!$L354,"")</f>
        <v/>
      </c>
      <c r="G302" s="21" t="str">
        <f>IF(AND('Atividades Micro'!$A354=G$2,'Atividades Micro'!$K354&lt;&gt;""),'Atividades Micro'!$K354,"")</f>
        <v/>
      </c>
      <c r="H302" s="21" t="str">
        <f>IF(AND('Atividades Micro'!$A354=H$2,'Atividades Micro'!$L354&lt;&gt;""),'Atividades Micro'!$L354,"")</f>
        <v/>
      </c>
      <c r="I302" s="21" t="str">
        <f>IF(AND('Atividades Micro'!$A354=I$2,'Atividades Micro'!$K354&lt;&gt;""),'Atividades Micro'!$K354,"")</f>
        <v/>
      </c>
      <c r="J302" s="21" t="str">
        <f>IF(AND('Atividades Micro'!$A354=J$2,'Atividades Micro'!$L354&lt;&gt;""),'Atividades Micro'!$L354,"")</f>
        <v/>
      </c>
      <c r="K302" s="21" t="str">
        <f>IF(AND('Atividades Micro'!$B354=K$2,'Atividades Micro'!$K354&lt;&gt;""),'Atividades Micro'!$K354,"")</f>
        <v/>
      </c>
      <c r="L302" s="21" t="str">
        <f>IF(AND('Atividades Micro'!$B354=L$2,'Atividades Micro'!$L354&lt;&gt;""),'Atividades Micro'!$L354,"")</f>
        <v/>
      </c>
      <c r="M302" s="21" t="str">
        <f>IF(AND('Atividades Micro'!$B354=M$2,'Atividades Micro'!$K354&lt;&gt;""),'Atividades Micro'!$K354,"")</f>
        <v/>
      </c>
      <c r="N302" s="21" t="str">
        <f>IF(AND('Atividades Micro'!$B354=N$2,'Atividades Micro'!$L354&lt;&gt;""),'Atividades Micro'!$L354,"")</f>
        <v/>
      </c>
      <c r="O302" s="21" t="str">
        <f>IF(AND('Atividades Micro'!$A354=O$2,'Atividades Micro'!$K354&lt;&gt;""),'Atividades Micro'!$K354,"")</f>
        <v/>
      </c>
      <c r="P302" s="21" t="str">
        <f>IF(AND('Atividades Micro'!$A354=P$2,'Atividades Micro'!$L354&lt;&gt;""),'Atividades Micro'!$L354,"")</f>
        <v/>
      </c>
      <c r="Q302" s="21" t="str">
        <f>IF(AND('Atividades Micro'!$B354=Q$2,'Atividades Micro'!$K354&lt;&gt;""),'Atividades Micro'!$K354,"")</f>
        <v/>
      </c>
      <c r="R302" s="21" t="str">
        <f>IF(AND('Atividades Micro'!$B354=R$2,'Atividades Micro'!$L354&lt;&gt;""),'Atividades Micro'!$L354,"")</f>
        <v/>
      </c>
      <c r="S302" s="21" t="str">
        <f>IF(AND('Atividades Micro'!$A354=S$2,'Atividades Micro'!$K354&lt;&gt;""),'Atividades Micro'!$K354,"")</f>
        <v/>
      </c>
      <c r="T302" s="21" t="str">
        <f>IF(AND('Atividades Micro'!$A354=T$2,'Atividades Micro'!$L354&lt;&gt;""),'Atividades Micro'!$L354,"")</f>
        <v/>
      </c>
      <c r="U302" s="21" t="str">
        <f>IF(AND('Atividades Micro'!$B354=U$2,'Atividades Micro'!$K354&lt;&gt;""),'Atividades Micro'!$K354,"")</f>
        <v/>
      </c>
      <c r="V302" s="21" t="str">
        <f>IF(AND('Atividades Micro'!$B354=V$2,'Atividades Micro'!$L354&lt;&gt;""),'Atividades Micro'!$L354,"")</f>
        <v/>
      </c>
      <c r="W302" s="21" t="str">
        <f>IF(AND('Atividades Micro'!$B354=W$2,'Atividades Micro'!$K354&lt;&gt;""),'Atividades Micro'!$K354,"")</f>
        <v/>
      </c>
      <c r="X302" s="21" t="str">
        <f>IF(AND('Atividades Micro'!$B354=X$2,'Atividades Micro'!$L354&lt;&gt;""),'Atividades Micro'!$L354,"")</f>
        <v/>
      </c>
      <c r="Y302" s="21" t="str">
        <f>IF(AND('Atividades Micro'!$A354=Y$2,'Atividades Micro'!$K354&lt;&gt;""),'Atividades Micro'!$K354,"")</f>
        <v/>
      </c>
      <c r="Z302" s="21" t="str">
        <f>IF(AND('Atividades Micro'!$A354=Z$2,'Atividades Micro'!$L354&lt;&gt;""),'Atividades Micro'!$L354,"")</f>
        <v/>
      </c>
      <c r="AA302" s="21" t="str">
        <f>IF(AND('Atividades Micro'!$B354=AA$2,'Atividades Micro'!$K354&lt;&gt;""),'Atividades Micro'!$K354,"")</f>
        <v/>
      </c>
      <c r="AB302" s="21" t="str">
        <f>IF(AND('Atividades Micro'!$B354=AB$2,'Atividades Micro'!$L354&lt;&gt;""),'Atividades Micro'!$L354,"")</f>
        <v/>
      </c>
      <c r="AC302" s="21" t="str">
        <f>IF(AND('Atividades Micro'!$B354=AC$2,'Atividades Micro'!$K354&lt;&gt;""),'Atividades Micro'!$K354,"")</f>
        <v/>
      </c>
      <c r="AD302" s="21" t="str">
        <f>IF(AND('Atividades Micro'!$B354=AD$2,'Atividades Micro'!$L354&lt;&gt;""),'Atividades Micro'!$L354,"")</f>
        <v/>
      </c>
      <c r="AE302" s="21" t="str">
        <f>IF(AND('Atividades Micro'!$A354=AE$2,'Atividades Micro'!$K354&lt;&gt;""),'Atividades Micro'!$K354,"")</f>
        <v/>
      </c>
      <c r="AF302" s="21" t="str">
        <f>IF(AND('Atividades Micro'!$A354=AF$2,'Atividades Micro'!$L354&lt;&gt;""),'Atividades Micro'!$L354,"")</f>
        <v/>
      </c>
      <c r="AG302" s="21" t="str">
        <f>IF(AND('Atividades Micro'!$B354=AG$2,'Atividades Micro'!$K354&lt;&gt;""),'Atividades Micro'!$K354,"")</f>
        <v/>
      </c>
      <c r="AH302" s="21" t="str">
        <f>IF(AND('Atividades Micro'!$B354=AH$2,'Atividades Micro'!$L354&lt;&gt;""),'Atividades Micro'!$L354,"")</f>
        <v/>
      </c>
      <c r="AI302" s="21" t="str">
        <f>IF(AND('Atividades Micro'!$B354=AI$2,'Atividades Micro'!$K354&lt;&gt;""),'Atividades Micro'!$K354,"")</f>
        <v/>
      </c>
      <c r="AJ302" s="21" t="str">
        <f>IF(AND('Atividades Micro'!$B354=AJ$2,'Atividades Micro'!$L354&lt;&gt;""),'Atividades Micro'!$L354,"")</f>
        <v/>
      </c>
      <c r="AK302" s="21" t="str">
        <f>IF(AND('Atividades Micro'!$A354=AK$2,'Atividades Micro'!$K354&lt;&gt;""),'Atividades Micro'!$K354,"")</f>
        <v/>
      </c>
      <c r="AL302" s="21" t="str">
        <f>IF(AND('Atividades Micro'!$A354=AL$2,'Atividades Micro'!$L354&lt;&gt;""),'Atividades Micro'!$L354,"")</f>
        <v/>
      </c>
      <c r="AM302" s="21" t="str">
        <f>IF(AND('Atividades Micro'!$B354=AM$2,'Atividades Micro'!$K354&lt;&gt;""),'Atividades Micro'!$K354,"")</f>
        <v/>
      </c>
      <c r="AN302" s="21" t="str">
        <f>IF(AND('Atividades Micro'!$B354=AN$2,'Atividades Micro'!$L354&lt;&gt;""),'Atividades Micro'!$L354,"")</f>
        <v/>
      </c>
      <c r="AO302" s="21" t="str">
        <f>IF(AND('Atividades Micro'!$B354=AO$2,'Atividades Micro'!$K354&lt;&gt;""),'Atividades Micro'!$K354,"")</f>
        <v/>
      </c>
      <c r="AP302" s="21" t="str">
        <f>IF(AND('Atividades Micro'!$B354=AP$2,'Atividades Micro'!$L354&lt;&gt;""),'Atividades Micro'!$L354,"")</f>
        <v/>
      </c>
      <c r="AQ302" s="21" t="str">
        <f>IF(AND('Atividades Micro'!$A354=AQ$2,'Atividades Micro'!$K354&lt;&gt;""),'Atividades Micro'!$K354,"")</f>
        <v/>
      </c>
      <c r="AR302" s="21" t="str">
        <f>IF(AND('Atividades Micro'!$A354=AR$2,'Atividades Micro'!$L354&lt;&gt;""),'Atividades Micro'!$L354,"")</f>
        <v/>
      </c>
      <c r="AS302" s="21" t="str">
        <f>IF(AND('Atividades Micro'!$B354=AS$2,'Atividades Micro'!$K354&lt;&gt;""),'Atividades Micro'!$K354,"")</f>
        <v/>
      </c>
      <c r="AT302" s="21" t="str">
        <f>IF(AND('Atividades Micro'!$B354=AT$2,'Atividades Micro'!$L354&lt;&gt;""),'Atividades Micro'!$L354,"")</f>
        <v/>
      </c>
      <c r="AU302" s="21" t="str">
        <f>IF(AND('Atividades Micro'!$A354=AU$2,'Atividades Micro'!$K354&lt;&gt;""),'Atividades Micro'!$K354,"")</f>
        <v/>
      </c>
      <c r="AV302" s="21" t="str">
        <f>IF(AND('Atividades Micro'!$A354=AV$2,'Atividades Micro'!$L354&lt;&gt;""),'Atividades Micro'!$L354,"")</f>
        <v/>
      </c>
      <c r="AW302" s="21" t="str">
        <f>IF(AND('Atividades Micro'!$B354=AW$2,'Atividades Micro'!$K354&lt;&gt;""),'Atividades Micro'!$K354,"")</f>
        <v/>
      </c>
      <c r="AX302" s="21" t="str">
        <f>IF(AND('Atividades Micro'!$B354=AX$2,'Atividades Micro'!$L354&lt;&gt;""),'Atividades Micro'!$L354,"")</f>
        <v/>
      </c>
      <c r="AY302" s="21" t="str">
        <f>IF(AND('Atividades Micro'!$A354=AY$2,'Atividades Micro'!$K354&lt;&gt;""),'Atividades Micro'!$K354,"")</f>
        <v/>
      </c>
      <c r="AZ302" s="21" t="str">
        <f>IF(AND('Atividades Micro'!$A354=AZ$2,'Atividades Micro'!$L354&lt;&gt;""),'Atividades Micro'!$L354,"")</f>
        <v/>
      </c>
      <c r="BA302" s="21" t="str">
        <f>IF(AND('Atividades Micro'!$B354=BA$2,'Atividades Micro'!$K354&lt;&gt;""),'Atividades Micro'!$K354,"")</f>
        <v/>
      </c>
      <c r="BB302" s="21" t="str">
        <f>IF(AND('Atividades Micro'!$B354=BB$2,'Atividades Micro'!$L354&lt;&gt;""),'Atividades Micro'!$L354,"")</f>
        <v/>
      </c>
      <c r="BC302" s="21" t="str">
        <f>IF(AND('Atividades Micro'!$B354=BC$2,'Atividades Micro'!$G354="Macro",'Atividades Micro'!$K354&lt;&gt;""),'Atividades Micro'!$K354,"")</f>
        <v/>
      </c>
      <c r="BD302" s="21" t="str">
        <f>IF(AND('Atividades Micro'!$B354=BD$2,'Atividades Micro'!$G354="Macro",'Atividades Micro'!$K354&lt;&gt;""),'Atividades Micro'!$K354,"")</f>
        <v/>
      </c>
      <c r="BE302" s="21" t="str">
        <f>IF(AND('Atividades Micro'!$B354=BE$2,'Atividades Micro'!$G354="Macro",'Atividades Micro'!$K354&lt;&gt;""),'Atividades Micro'!$K354,"")</f>
        <v/>
      </c>
      <c r="BF302" s="21" t="str">
        <f>IF(AND('Atividades Micro'!$B354=BF$2,'Atividades Micro'!$G354="Macro",'Atividades Micro'!$K354&lt;&gt;""),'Atividades Micro'!$K354,"")</f>
        <v/>
      </c>
      <c r="BG302" s="21" t="str">
        <f>IF(AND('Atividades Micro'!$B354=BG$2,'Atividades Micro'!$G354="Macro",'Atividades Micro'!$K354&lt;&gt;""),'Atividades Micro'!$K354,"")</f>
        <v/>
      </c>
      <c r="BH302" s="21" t="str">
        <f>IF(AND('Atividades Micro'!$B354=BH$2,'Atividades Micro'!$G354="Macro",'Atividades Micro'!$K354&lt;&gt;""),'Atividades Micro'!$K354,"")</f>
        <v/>
      </c>
      <c r="BI302" s="21" t="str">
        <f>IF(AND('Atividades Micro'!$B354=BI$2,'Atividades Micro'!$G354="Macro",'Atividades Micro'!$K354&lt;&gt;""),'Atividades Micro'!$K354,"")</f>
        <v/>
      </c>
      <c r="BJ302" s="21" t="str">
        <f>IF(AND('Atividades Micro'!$B354=BJ$2,'Atividades Micro'!$G354="Macro",'Atividades Micro'!$K354&lt;&gt;""),'Atividades Micro'!$K354,"")</f>
        <v/>
      </c>
      <c r="BK302" s="21" t="str">
        <f>IF(AND('Atividades Micro'!$B354=BK$2,'Atividades Micro'!$G354="Macro",'Atividades Micro'!$K354&lt;&gt;""),'Atividades Micro'!$K354,"")</f>
        <v/>
      </c>
      <c r="BL302" s="21" t="str">
        <f>IF(AND('Atividades Micro'!$B354=BL$2,'Atividades Micro'!$G354="Macro",'Atividades Micro'!$K354&lt;&gt;""),'Atividades Micro'!$K354,"")</f>
        <v/>
      </c>
      <c r="BM302" s="21" t="str">
        <f>IF(AND('Atividades Micro'!$B354=BM$2,'Atividades Micro'!$G354="Macro",'Atividades Micro'!$K354&lt;&gt;""),'Atividades Micro'!$K354,"")</f>
        <v/>
      </c>
      <c r="BN302" s="21" t="str">
        <f>IF(AND('Atividades Micro'!$B354=BN$2,'Atividades Micro'!$G354="Macro",'Atividades Micro'!$K354&lt;&gt;""),'Atividades Micro'!$K354,"")</f>
        <v/>
      </c>
      <c r="BO302" s="21" t="str">
        <f>IF(AND('Atividades Micro'!$B354=BO$2,'Atividades Micro'!$G354="Macro",'Atividades Micro'!$K354&lt;&gt;""),'Atividades Micro'!$K354,"")</f>
        <v/>
      </c>
      <c r="BP302" s="21" t="str">
        <f>IF(AND('Atividades Micro'!$B354=BP$2,'Atividades Micro'!$G354="Macro",'Atividades Micro'!$K354&lt;&gt;""),'Atividades Micro'!$K354,"")</f>
        <v/>
      </c>
      <c r="BQ302" s="21" t="str">
        <f>IF(AND('Atividades Micro'!$B354=BQ$2,'Atividades Micro'!$G354="Macro",'Atividades Micro'!$K354&lt;&gt;""),'Atividades Micro'!$K354,"")</f>
        <v/>
      </c>
      <c r="BR302" s="21" t="str">
        <f>IF(AND('Atividades Micro'!$B354=BR$2,'Atividades Micro'!$G354="Macro",'Atividades Micro'!$K354&lt;&gt;""),'Atividades Micro'!$K354,"")</f>
        <v/>
      </c>
      <c r="BS302" s="21" t="str">
        <f>IF(AND('Atividades Micro'!$B354=BS$2,'Atividades Micro'!$G354="Macro",'Atividades Micro'!$K354&lt;&gt;""),'Atividades Micro'!$K354,"")</f>
        <v/>
      </c>
      <c r="BT302" s="21" t="str">
        <f>IF(AND('Atividades Micro'!$B354=BT$2,'Atividades Micro'!$G354="Macro",'Atividades Micro'!$K354&lt;&gt;""),'Atividades Micro'!$K354,"")</f>
        <v/>
      </c>
      <c r="BU302" s="21" t="str">
        <f>IF(AND('Atividades Micro'!$B354=BU$2,'Atividades Micro'!$G354="Macro",'Atividades Micro'!$K354&lt;&gt;""),'Atividades Micro'!$K354,"")</f>
        <v/>
      </c>
      <c r="BV302" s="21" t="str">
        <f>IF(AND('Atividades Micro'!$B354=BV$2,'Atividades Micro'!$G354="Macro",'Atividades Micro'!$K354&lt;&gt;""),'Atividades Micro'!$K354,"")</f>
        <v/>
      </c>
      <c r="BW302" s="21" t="str">
        <f>IF(AND('Atividades Micro'!$B354=BW$2,'Atividades Micro'!$G354="Macro",'Atividades Micro'!$K354&lt;&gt;""),'Atividades Micro'!$K354,"")</f>
        <v/>
      </c>
      <c r="BX302" s="21" t="str">
        <f>IF(AND('Atividades Micro'!$B354=BX$2,'Atividades Micro'!$G354="Macro",'Atividades Micro'!$K354&lt;&gt;""),'Atividades Micro'!$K354,"")</f>
        <v/>
      </c>
      <c r="BY302" s="21" t="str">
        <f>IF(AND('Atividades Micro'!$B354=BY$2,'Atividades Micro'!$G354="Macro",'Atividades Micro'!$K354&lt;&gt;""),'Atividades Micro'!$K354,"")</f>
        <v/>
      </c>
      <c r="BZ302" s="21" t="str">
        <f>IF(AND('Atividades Micro'!$B354=BZ$2,'Atividades Micro'!$G354="Macro",'Atividades Micro'!$K354&lt;&gt;""),'Atividades Micro'!$K354,"")</f>
        <v/>
      </c>
      <c r="CA302" s="21" t="str">
        <f>IF(AND('Atividades Micro'!$B354=CA$2,'Atividades Micro'!$G354="Macro",'Atividades Micro'!$K354&lt;&gt;""),'Atividades Micro'!$K354,"")</f>
        <v/>
      </c>
      <c r="CB302" s="21" t="str">
        <f>IF(AND('Atividades Micro'!$B354=CB$2,'Atividades Micro'!$G354="Macro",'Atividades Micro'!$K354&lt;&gt;""),'Atividades Micro'!$K354,"")</f>
        <v/>
      </c>
      <c r="CC302" s="21" t="str">
        <f>IF(AND('Atividades Micro'!$B354=CC$2,'Atividades Micro'!$G354="Macro",'Atividades Micro'!$K354&lt;&gt;""),'Atividades Micro'!$K354,"")</f>
        <v/>
      </c>
      <c r="CD302" s="21" t="str">
        <f>IF(AND('Atividades Micro'!$B354=CD$2,'Atividades Micro'!$G354="Micro",'Atividades Micro'!$K354&lt;&gt;""),'Atividades Micro'!$K354,"")</f>
        <v/>
      </c>
      <c r="CE302" s="21" t="str">
        <f>IF(AND('Atividades Micro'!$B354=CE$2,'Atividades Micro'!$G354="Micro",'Atividades Micro'!$K354&lt;&gt;""),'Atividades Micro'!$K354,"")</f>
        <v/>
      </c>
      <c r="CF302" s="21" t="str">
        <f>IF(AND('Atividades Micro'!$B354=CF$2,'Atividades Micro'!$G354="Micro",'Atividades Micro'!$K354&lt;&gt;""),'Atividades Micro'!$K354,"")</f>
        <v/>
      </c>
      <c r="CG302" s="21" t="str">
        <f>IF(AND('Atividades Micro'!$B354=CG$2,'Atividades Micro'!$G354="Micro",'Atividades Micro'!$K354&lt;&gt;""),'Atividades Micro'!$K354,"")</f>
        <v/>
      </c>
      <c r="CH302" s="21" t="str">
        <f>IF(AND('Atividades Micro'!$B354=CH$2,'Atividades Micro'!$G354="Micro",'Atividades Micro'!$K354&lt;&gt;""),'Atividades Micro'!$K354,"")</f>
        <v/>
      </c>
      <c r="CI302" s="21" t="str">
        <f>IF(AND('Atividades Micro'!$B354=CI$2,'Atividades Micro'!$G354="Micro",'Atividades Micro'!$K354&lt;&gt;""),'Atividades Micro'!$K354,"")</f>
        <v/>
      </c>
      <c r="CJ302" s="21" t="str">
        <f>IF(AND('Atividades Micro'!$B354=CJ$2,'Atividades Micro'!$G354="Micro",'Atividades Micro'!$K354&lt;&gt;""),'Atividades Micro'!$K354,"")</f>
        <v/>
      </c>
      <c r="CK302" s="21" t="str">
        <f>IF(AND('Atividades Micro'!$B354=CK$2,'Atividades Micro'!$G354="Micro",'Atividades Micro'!$K354&lt;&gt;""),'Atividades Micro'!$K354,"")</f>
        <v/>
      </c>
      <c r="CL302" s="21" t="str">
        <f>IF(AND('Atividades Micro'!$B354=CL$2,'Atividades Micro'!$G354="Micro",'Atividades Micro'!$K354&lt;&gt;""),'Atividades Micro'!$K354,"")</f>
        <v/>
      </c>
      <c r="CM302" s="21" t="str">
        <f>IF(AND('Atividades Micro'!$B354=CM$2,'Atividades Micro'!$G354="Micro",'Atividades Micro'!$K354&lt;&gt;""),'Atividades Micro'!$K354,"")</f>
        <v/>
      </c>
      <c r="CN302" s="21" t="str">
        <f>IF(AND('Atividades Micro'!$B354=CN$2,'Atividades Micro'!$G354="Micro",'Atividades Micro'!$K354&lt;&gt;""),'Atividades Micro'!$K354,"")</f>
        <v/>
      </c>
      <c r="CO302" s="21" t="str">
        <f>IF(AND('Atividades Micro'!$B354=CO$2,'Atividades Micro'!$G354="Micro",'Atividades Micro'!$K354&lt;&gt;""),'Atividades Micro'!$K354,"")</f>
        <v/>
      </c>
    </row>
    <row r="303" spans="1:93">
      <c r="A303" s="21" t="str">
        <f>IF(AND('Atividades Micro'!$A355=A$2,'Atividades Micro'!$K355&lt;&gt;""),'Atividades Micro'!$K355,"")</f>
        <v/>
      </c>
      <c r="B303" s="21" t="str">
        <f>IF(AND('Atividades Micro'!$A355=B$2,'Atividades Micro'!$L355&lt;&gt;""),'Atividades Micro'!$L355,"")</f>
        <v/>
      </c>
      <c r="C303" s="21" t="str">
        <f>IF(AND('Atividades Micro'!$A355=C$2,'Atividades Micro'!$K355&lt;&gt;""),'Atividades Micro'!$K355,"")</f>
        <v/>
      </c>
      <c r="D303" s="21" t="str">
        <f>IF(AND('Atividades Micro'!$A355=D$2,'Atividades Micro'!$L355&lt;&gt;""),'Atividades Micro'!$L355,"")</f>
        <v/>
      </c>
      <c r="E303" s="21" t="str">
        <f>IF(AND('Atividades Micro'!$A355=E$2,'Atividades Micro'!$K355&lt;&gt;""),'Atividades Micro'!$K355,"")</f>
        <v/>
      </c>
      <c r="F303" s="21" t="str">
        <f>IF(AND('Atividades Micro'!$A355=F$2,'Atividades Micro'!$L355&lt;&gt;""),'Atividades Micro'!$L355,"")</f>
        <v/>
      </c>
      <c r="G303" s="21" t="str">
        <f>IF(AND('Atividades Micro'!$A355=G$2,'Atividades Micro'!$K355&lt;&gt;""),'Atividades Micro'!$K355,"")</f>
        <v/>
      </c>
      <c r="H303" s="21" t="str">
        <f>IF(AND('Atividades Micro'!$A355=H$2,'Atividades Micro'!$L355&lt;&gt;""),'Atividades Micro'!$L355,"")</f>
        <v/>
      </c>
      <c r="I303" s="21" t="str">
        <f>IF(AND('Atividades Micro'!$A355=I$2,'Atividades Micro'!$K355&lt;&gt;""),'Atividades Micro'!$K355,"")</f>
        <v/>
      </c>
      <c r="J303" s="21" t="str">
        <f>IF(AND('Atividades Micro'!$A355=J$2,'Atividades Micro'!$L355&lt;&gt;""),'Atividades Micro'!$L355,"")</f>
        <v/>
      </c>
      <c r="K303" s="21" t="str">
        <f>IF(AND('Atividades Micro'!$B355=K$2,'Atividades Micro'!$K355&lt;&gt;""),'Atividades Micro'!$K355,"")</f>
        <v/>
      </c>
      <c r="L303" s="21" t="str">
        <f>IF(AND('Atividades Micro'!$B355=L$2,'Atividades Micro'!$L355&lt;&gt;""),'Atividades Micro'!$L355,"")</f>
        <v/>
      </c>
      <c r="M303" s="21" t="str">
        <f>IF(AND('Atividades Micro'!$B355=M$2,'Atividades Micro'!$K355&lt;&gt;""),'Atividades Micro'!$K355,"")</f>
        <v/>
      </c>
      <c r="N303" s="21" t="str">
        <f>IF(AND('Atividades Micro'!$B355=N$2,'Atividades Micro'!$L355&lt;&gt;""),'Atividades Micro'!$L355,"")</f>
        <v/>
      </c>
      <c r="O303" s="21" t="str">
        <f>IF(AND('Atividades Micro'!$A355=O$2,'Atividades Micro'!$K355&lt;&gt;""),'Atividades Micro'!$K355,"")</f>
        <v/>
      </c>
      <c r="P303" s="21" t="str">
        <f>IF(AND('Atividades Micro'!$A355=P$2,'Atividades Micro'!$L355&lt;&gt;""),'Atividades Micro'!$L355,"")</f>
        <v/>
      </c>
      <c r="Q303" s="21" t="str">
        <f>IF(AND('Atividades Micro'!$B355=Q$2,'Atividades Micro'!$K355&lt;&gt;""),'Atividades Micro'!$K355,"")</f>
        <v/>
      </c>
      <c r="R303" s="21" t="str">
        <f>IF(AND('Atividades Micro'!$B355=R$2,'Atividades Micro'!$L355&lt;&gt;""),'Atividades Micro'!$L355,"")</f>
        <v/>
      </c>
      <c r="S303" s="21" t="str">
        <f>IF(AND('Atividades Micro'!$A355=S$2,'Atividades Micro'!$K355&lt;&gt;""),'Atividades Micro'!$K355,"")</f>
        <v/>
      </c>
      <c r="T303" s="21" t="str">
        <f>IF(AND('Atividades Micro'!$A355=T$2,'Atividades Micro'!$L355&lt;&gt;""),'Atividades Micro'!$L355,"")</f>
        <v/>
      </c>
      <c r="U303" s="21" t="str">
        <f>IF(AND('Atividades Micro'!$B355=U$2,'Atividades Micro'!$K355&lt;&gt;""),'Atividades Micro'!$K355,"")</f>
        <v/>
      </c>
      <c r="V303" s="21" t="str">
        <f>IF(AND('Atividades Micro'!$B355=V$2,'Atividades Micro'!$L355&lt;&gt;""),'Atividades Micro'!$L355,"")</f>
        <v/>
      </c>
      <c r="W303" s="21" t="str">
        <f>IF(AND('Atividades Micro'!$B355=W$2,'Atividades Micro'!$K355&lt;&gt;""),'Atividades Micro'!$K355,"")</f>
        <v/>
      </c>
      <c r="X303" s="21" t="str">
        <f>IF(AND('Atividades Micro'!$B355=X$2,'Atividades Micro'!$L355&lt;&gt;""),'Atividades Micro'!$L355,"")</f>
        <v/>
      </c>
      <c r="Y303" s="21" t="str">
        <f>IF(AND('Atividades Micro'!$A355=Y$2,'Atividades Micro'!$K355&lt;&gt;""),'Atividades Micro'!$K355,"")</f>
        <v/>
      </c>
      <c r="Z303" s="21" t="str">
        <f>IF(AND('Atividades Micro'!$A355=Z$2,'Atividades Micro'!$L355&lt;&gt;""),'Atividades Micro'!$L355,"")</f>
        <v/>
      </c>
      <c r="AA303" s="21" t="str">
        <f>IF(AND('Atividades Micro'!$B355=AA$2,'Atividades Micro'!$K355&lt;&gt;""),'Atividades Micro'!$K355,"")</f>
        <v/>
      </c>
      <c r="AB303" s="21" t="str">
        <f>IF(AND('Atividades Micro'!$B355=AB$2,'Atividades Micro'!$L355&lt;&gt;""),'Atividades Micro'!$L355,"")</f>
        <v/>
      </c>
      <c r="AC303" s="21" t="str">
        <f>IF(AND('Atividades Micro'!$B355=AC$2,'Atividades Micro'!$K355&lt;&gt;""),'Atividades Micro'!$K355,"")</f>
        <v/>
      </c>
      <c r="AD303" s="21" t="str">
        <f>IF(AND('Atividades Micro'!$B355=AD$2,'Atividades Micro'!$L355&lt;&gt;""),'Atividades Micro'!$L355,"")</f>
        <v/>
      </c>
      <c r="AE303" s="21" t="str">
        <f>IF(AND('Atividades Micro'!$A355=AE$2,'Atividades Micro'!$K355&lt;&gt;""),'Atividades Micro'!$K355,"")</f>
        <v/>
      </c>
      <c r="AF303" s="21" t="str">
        <f>IF(AND('Atividades Micro'!$A355=AF$2,'Atividades Micro'!$L355&lt;&gt;""),'Atividades Micro'!$L355,"")</f>
        <v/>
      </c>
      <c r="AG303" s="21" t="str">
        <f>IF(AND('Atividades Micro'!$B355=AG$2,'Atividades Micro'!$K355&lt;&gt;""),'Atividades Micro'!$K355,"")</f>
        <v/>
      </c>
      <c r="AH303" s="21" t="str">
        <f>IF(AND('Atividades Micro'!$B355=AH$2,'Atividades Micro'!$L355&lt;&gt;""),'Atividades Micro'!$L355,"")</f>
        <v/>
      </c>
      <c r="AI303" s="21" t="str">
        <f>IF(AND('Atividades Micro'!$B355=AI$2,'Atividades Micro'!$K355&lt;&gt;""),'Atividades Micro'!$K355,"")</f>
        <v/>
      </c>
      <c r="AJ303" s="21" t="str">
        <f>IF(AND('Atividades Micro'!$B355=AJ$2,'Atividades Micro'!$L355&lt;&gt;""),'Atividades Micro'!$L355,"")</f>
        <v/>
      </c>
      <c r="AK303" s="21" t="str">
        <f>IF(AND('Atividades Micro'!$A355=AK$2,'Atividades Micro'!$K355&lt;&gt;""),'Atividades Micro'!$K355,"")</f>
        <v/>
      </c>
      <c r="AL303" s="21" t="str">
        <f>IF(AND('Atividades Micro'!$A355=AL$2,'Atividades Micro'!$L355&lt;&gt;""),'Atividades Micro'!$L355,"")</f>
        <v/>
      </c>
      <c r="AM303" s="21" t="str">
        <f>IF(AND('Atividades Micro'!$B355=AM$2,'Atividades Micro'!$K355&lt;&gt;""),'Atividades Micro'!$K355,"")</f>
        <v/>
      </c>
      <c r="AN303" s="21" t="str">
        <f>IF(AND('Atividades Micro'!$B355=AN$2,'Atividades Micro'!$L355&lt;&gt;""),'Atividades Micro'!$L355,"")</f>
        <v/>
      </c>
      <c r="AO303" s="21" t="str">
        <f>IF(AND('Atividades Micro'!$B355=AO$2,'Atividades Micro'!$K355&lt;&gt;""),'Atividades Micro'!$K355,"")</f>
        <v/>
      </c>
      <c r="AP303" s="21" t="str">
        <f>IF(AND('Atividades Micro'!$B355=AP$2,'Atividades Micro'!$L355&lt;&gt;""),'Atividades Micro'!$L355,"")</f>
        <v/>
      </c>
      <c r="AQ303" s="21" t="str">
        <f>IF(AND('Atividades Micro'!$A355=AQ$2,'Atividades Micro'!$K355&lt;&gt;""),'Atividades Micro'!$K355,"")</f>
        <v/>
      </c>
      <c r="AR303" s="21" t="str">
        <f>IF(AND('Atividades Micro'!$A355=AR$2,'Atividades Micro'!$L355&lt;&gt;""),'Atividades Micro'!$L355,"")</f>
        <v/>
      </c>
      <c r="AS303" s="21" t="str">
        <f>IF(AND('Atividades Micro'!$B355=AS$2,'Atividades Micro'!$K355&lt;&gt;""),'Atividades Micro'!$K355,"")</f>
        <v/>
      </c>
      <c r="AT303" s="21" t="str">
        <f>IF(AND('Atividades Micro'!$B355=AT$2,'Atividades Micro'!$L355&lt;&gt;""),'Atividades Micro'!$L355,"")</f>
        <v/>
      </c>
      <c r="AU303" s="21" t="str">
        <f>IF(AND('Atividades Micro'!$A355=AU$2,'Atividades Micro'!$K355&lt;&gt;""),'Atividades Micro'!$K355,"")</f>
        <v/>
      </c>
      <c r="AV303" s="21" t="str">
        <f>IF(AND('Atividades Micro'!$A355=AV$2,'Atividades Micro'!$L355&lt;&gt;""),'Atividades Micro'!$L355,"")</f>
        <v/>
      </c>
      <c r="AW303" s="21" t="str">
        <f>IF(AND('Atividades Micro'!$B355=AW$2,'Atividades Micro'!$K355&lt;&gt;""),'Atividades Micro'!$K355,"")</f>
        <v/>
      </c>
      <c r="AX303" s="21" t="str">
        <f>IF(AND('Atividades Micro'!$B355=AX$2,'Atividades Micro'!$L355&lt;&gt;""),'Atividades Micro'!$L355,"")</f>
        <v/>
      </c>
      <c r="AY303" s="21" t="str">
        <f>IF(AND('Atividades Micro'!$A355=AY$2,'Atividades Micro'!$K355&lt;&gt;""),'Atividades Micro'!$K355,"")</f>
        <v/>
      </c>
      <c r="AZ303" s="21" t="str">
        <f>IF(AND('Atividades Micro'!$A355=AZ$2,'Atividades Micro'!$L355&lt;&gt;""),'Atividades Micro'!$L355,"")</f>
        <v/>
      </c>
      <c r="BA303" s="21" t="str">
        <f>IF(AND('Atividades Micro'!$B355=BA$2,'Atividades Micro'!$K355&lt;&gt;""),'Atividades Micro'!$K355,"")</f>
        <v/>
      </c>
      <c r="BB303" s="21" t="str">
        <f>IF(AND('Atividades Micro'!$B355=BB$2,'Atividades Micro'!$L355&lt;&gt;""),'Atividades Micro'!$L355,"")</f>
        <v/>
      </c>
      <c r="BC303" s="21" t="str">
        <f>IF(AND('Atividades Micro'!$B355=BC$2,'Atividades Micro'!$G355="Macro",'Atividades Micro'!$K355&lt;&gt;""),'Atividades Micro'!$K355,"")</f>
        <v/>
      </c>
      <c r="BD303" s="21" t="str">
        <f>IF(AND('Atividades Micro'!$B355=BD$2,'Atividades Micro'!$G355="Macro",'Atividades Micro'!$K355&lt;&gt;""),'Atividades Micro'!$K355,"")</f>
        <v/>
      </c>
      <c r="BE303" s="21" t="str">
        <f>IF(AND('Atividades Micro'!$B355=BE$2,'Atividades Micro'!$G355="Macro",'Atividades Micro'!$K355&lt;&gt;""),'Atividades Micro'!$K355,"")</f>
        <v/>
      </c>
      <c r="BF303" s="21" t="str">
        <f>IF(AND('Atividades Micro'!$B355=BF$2,'Atividades Micro'!$G355="Macro",'Atividades Micro'!$K355&lt;&gt;""),'Atividades Micro'!$K355,"")</f>
        <v/>
      </c>
      <c r="BG303" s="21" t="str">
        <f>IF(AND('Atividades Micro'!$B355=BG$2,'Atividades Micro'!$G355="Macro",'Atividades Micro'!$K355&lt;&gt;""),'Atividades Micro'!$K355,"")</f>
        <v/>
      </c>
      <c r="BH303" s="21" t="str">
        <f>IF(AND('Atividades Micro'!$B355=BH$2,'Atividades Micro'!$G355="Macro",'Atividades Micro'!$K355&lt;&gt;""),'Atividades Micro'!$K355,"")</f>
        <v/>
      </c>
      <c r="BI303" s="21" t="str">
        <f>IF(AND('Atividades Micro'!$B355=BI$2,'Atividades Micro'!$G355="Macro",'Atividades Micro'!$K355&lt;&gt;""),'Atividades Micro'!$K355,"")</f>
        <v/>
      </c>
      <c r="BJ303" s="21" t="str">
        <f>IF(AND('Atividades Micro'!$B355=BJ$2,'Atividades Micro'!$G355="Macro",'Atividades Micro'!$K355&lt;&gt;""),'Atividades Micro'!$K355,"")</f>
        <v/>
      </c>
      <c r="BK303" s="21" t="str">
        <f>IF(AND('Atividades Micro'!$B355=BK$2,'Atividades Micro'!$G355="Macro",'Atividades Micro'!$K355&lt;&gt;""),'Atividades Micro'!$K355,"")</f>
        <v/>
      </c>
      <c r="BL303" s="21" t="str">
        <f>IF(AND('Atividades Micro'!$B355=BL$2,'Atividades Micro'!$G355="Macro",'Atividades Micro'!$K355&lt;&gt;""),'Atividades Micro'!$K355,"")</f>
        <v/>
      </c>
      <c r="BM303" s="21" t="str">
        <f>IF(AND('Atividades Micro'!$B355=BM$2,'Atividades Micro'!$G355="Macro",'Atividades Micro'!$K355&lt;&gt;""),'Atividades Micro'!$K355,"")</f>
        <v/>
      </c>
      <c r="BN303" s="21" t="str">
        <f>IF(AND('Atividades Micro'!$B355=BN$2,'Atividades Micro'!$G355="Macro",'Atividades Micro'!$K355&lt;&gt;""),'Atividades Micro'!$K355,"")</f>
        <v/>
      </c>
      <c r="BO303" s="21" t="str">
        <f>IF(AND('Atividades Micro'!$B355=BO$2,'Atividades Micro'!$G355="Macro",'Atividades Micro'!$K355&lt;&gt;""),'Atividades Micro'!$K355,"")</f>
        <v/>
      </c>
      <c r="BP303" s="21" t="str">
        <f>IF(AND('Atividades Micro'!$B355=BP$2,'Atividades Micro'!$G355="Macro",'Atividades Micro'!$K355&lt;&gt;""),'Atividades Micro'!$K355,"")</f>
        <v/>
      </c>
      <c r="BQ303" s="21" t="str">
        <f>IF(AND('Atividades Micro'!$B355=BQ$2,'Atividades Micro'!$G355="Macro",'Atividades Micro'!$K355&lt;&gt;""),'Atividades Micro'!$K355,"")</f>
        <v/>
      </c>
      <c r="BR303" s="21" t="str">
        <f>IF(AND('Atividades Micro'!$B355=BR$2,'Atividades Micro'!$G355="Macro",'Atividades Micro'!$K355&lt;&gt;""),'Atividades Micro'!$K355,"")</f>
        <v/>
      </c>
      <c r="BS303" s="21" t="str">
        <f>IF(AND('Atividades Micro'!$B355=BS$2,'Atividades Micro'!$G355="Macro",'Atividades Micro'!$K355&lt;&gt;""),'Atividades Micro'!$K355,"")</f>
        <v/>
      </c>
      <c r="BT303" s="21" t="str">
        <f>IF(AND('Atividades Micro'!$B355=BT$2,'Atividades Micro'!$G355="Macro",'Atividades Micro'!$K355&lt;&gt;""),'Atividades Micro'!$K355,"")</f>
        <v/>
      </c>
      <c r="BU303" s="21" t="str">
        <f>IF(AND('Atividades Micro'!$B355=BU$2,'Atividades Micro'!$G355="Macro",'Atividades Micro'!$K355&lt;&gt;""),'Atividades Micro'!$K355,"")</f>
        <v/>
      </c>
      <c r="BV303" s="21" t="str">
        <f>IF(AND('Atividades Micro'!$B355=BV$2,'Atividades Micro'!$G355="Macro",'Atividades Micro'!$K355&lt;&gt;""),'Atividades Micro'!$K355,"")</f>
        <v/>
      </c>
      <c r="BW303" s="21" t="str">
        <f>IF(AND('Atividades Micro'!$B355=BW$2,'Atividades Micro'!$G355="Macro",'Atividades Micro'!$K355&lt;&gt;""),'Atividades Micro'!$K355,"")</f>
        <v/>
      </c>
      <c r="BX303" s="21" t="str">
        <f>IF(AND('Atividades Micro'!$B355=BX$2,'Atividades Micro'!$G355="Macro",'Atividades Micro'!$K355&lt;&gt;""),'Atividades Micro'!$K355,"")</f>
        <v/>
      </c>
      <c r="BY303" s="21" t="str">
        <f>IF(AND('Atividades Micro'!$B355=BY$2,'Atividades Micro'!$G355="Macro",'Atividades Micro'!$K355&lt;&gt;""),'Atividades Micro'!$K355,"")</f>
        <v/>
      </c>
      <c r="BZ303" s="21" t="str">
        <f>IF(AND('Atividades Micro'!$B355=BZ$2,'Atividades Micro'!$G355="Macro",'Atividades Micro'!$K355&lt;&gt;""),'Atividades Micro'!$K355,"")</f>
        <v/>
      </c>
      <c r="CA303" s="21" t="str">
        <f>IF(AND('Atividades Micro'!$B355=CA$2,'Atividades Micro'!$G355="Macro",'Atividades Micro'!$K355&lt;&gt;""),'Atividades Micro'!$K355,"")</f>
        <v/>
      </c>
      <c r="CB303" s="21" t="str">
        <f>IF(AND('Atividades Micro'!$B355=CB$2,'Atividades Micro'!$G355="Macro",'Atividades Micro'!$K355&lt;&gt;""),'Atividades Micro'!$K355,"")</f>
        <v/>
      </c>
      <c r="CC303" s="21" t="str">
        <f>IF(AND('Atividades Micro'!$B355=CC$2,'Atividades Micro'!$G355="Macro",'Atividades Micro'!$K355&lt;&gt;""),'Atividades Micro'!$K355,"")</f>
        <v/>
      </c>
      <c r="CD303" s="21" t="str">
        <f>IF(AND('Atividades Micro'!$B355=CD$2,'Atividades Micro'!$G355="Micro",'Atividades Micro'!$K355&lt;&gt;""),'Atividades Micro'!$K355,"")</f>
        <v/>
      </c>
      <c r="CE303" s="21" t="str">
        <f>IF(AND('Atividades Micro'!$B355=CE$2,'Atividades Micro'!$G355="Micro",'Atividades Micro'!$K355&lt;&gt;""),'Atividades Micro'!$K355,"")</f>
        <v/>
      </c>
      <c r="CF303" s="21" t="str">
        <f>IF(AND('Atividades Micro'!$B355=CF$2,'Atividades Micro'!$G355="Micro",'Atividades Micro'!$K355&lt;&gt;""),'Atividades Micro'!$K355,"")</f>
        <v/>
      </c>
      <c r="CG303" s="21" t="str">
        <f>IF(AND('Atividades Micro'!$B355=CG$2,'Atividades Micro'!$G355="Micro",'Atividades Micro'!$K355&lt;&gt;""),'Atividades Micro'!$K355,"")</f>
        <v/>
      </c>
      <c r="CH303" s="21" t="str">
        <f>IF(AND('Atividades Micro'!$B355=CH$2,'Atividades Micro'!$G355="Micro",'Atividades Micro'!$K355&lt;&gt;""),'Atividades Micro'!$K355,"")</f>
        <v/>
      </c>
      <c r="CI303" s="21" t="str">
        <f>IF(AND('Atividades Micro'!$B355=CI$2,'Atividades Micro'!$G355="Micro",'Atividades Micro'!$K355&lt;&gt;""),'Atividades Micro'!$K355,"")</f>
        <v/>
      </c>
      <c r="CJ303" s="21" t="str">
        <f>IF(AND('Atividades Micro'!$B355=CJ$2,'Atividades Micro'!$G355="Micro",'Atividades Micro'!$K355&lt;&gt;""),'Atividades Micro'!$K355,"")</f>
        <v/>
      </c>
      <c r="CK303" s="21" t="str">
        <f>IF(AND('Atividades Micro'!$B355=CK$2,'Atividades Micro'!$G355="Micro",'Atividades Micro'!$K355&lt;&gt;""),'Atividades Micro'!$K355,"")</f>
        <v/>
      </c>
      <c r="CL303" s="21" t="str">
        <f>IF(AND('Atividades Micro'!$B355=CL$2,'Atividades Micro'!$G355="Micro",'Atividades Micro'!$K355&lt;&gt;""),'Atividades Micro'!$K355,"")</f>
        <v/>
      </c>
      <c r="CM303" s="21" t="str">
        <f>IF(AND('Atividades Micro'!$B355=CM$2,'Atividades Micro'!$G355="Micro",'Atividades Micro'!$K355&lt;&gt;""),'Atividades Micro'!$K355,"")</f>
        <v/>
      </c>
      <c r="CN303" s="21" t="str">
        <f>IF(AND('Atividades Micro'!$B355=CN$2,'Atividades Micro'!$G355="Micro",'Atividades Micro'!$K355&lt;&gt;""),'Atividades Micro'!$K355,"")</f>
        <v/>
      </c>
      <c r="CO303" s="21" t="str">
        <f>IF(AND('Atividades Micro'!$B355=CO$2,'Atividades Micro'!$G355="Micro",'Atividades Micro'!$K355&lt;&gt;""),'Atividades Micro'!$K355,"")</f>
        <v/>
      </c>
    </row>
    <row r="304" spans="1:93">
      <c r="A304" s="21" t="str">
        <f>IF(AND('Atividades Micro'!$A356=A$2,'Atividades Micro'!$K356&lt;&gt;""),'Atividades Micro'!$K356,"")</f>
        <v/>
      </c>
      <c r="B304" s="21" t="str">
        <f>IF(AND('Atividades Micro'!$A356=B$2,'Atividades Micro'!$L356&lt;&gt;""),'Atividades Micro'!$L356,"")</f>
        <v/>
      </c>
      <c r="C304" s="21" t="str">
        <f>IF(AND('Atividades Micro'!$A356=C$2,'Atividades Micro'!$K356&lt;&gt;""),'Atividades Micro'!$K356,"")</f>
        <v/>
      </c>
      <c r="D304" s="21" t="str">
        <f>IF(AND('Atividades Micro'!$A356=D$2,'Atividades Micro'!$L356&lt;&gt;""),'Atividades Micro'!$L356,"")</f>
        <v/>
      </c>
      <c r="E304" s="21" t="str">
        <f>IF(AND('Atividades Micro'!$A356=E$2,'Atividades Micro'!$K356&lt;&gt;""),'Atividades Micro'!$K356,"")</f>
        <v/>
      </c>
      <c r="F304" s="21" t="str">
        <f>IF(AND('Atividades Micro'!$A356=F$2,'Atividades Micro'!$L356&lt;&gt;""),'Atividades Micro'!$L356,"")</f>
        <v/>
      </c>
      <c r="G304" s="21" t="str">
        <f>IF(AND('Atividades Micro'!$A356=G$2,'Atividades Micro'!$K356&lt;&gt;""),'Atividades Micro'!$K356,"")</f>
        <v/>
      </c>
      <c r="H304" s="21" t="str">
        <f>IF(AND('Atividades Micro'!$A356=H$2,'Atividades Micro'!$L356&lt;&gt;""),'Atividades Micro'!$L356,"")</f>
        <v/>
      </c>
      <c r="I304" s="21" t="str">
        <f>IF(AND('Atividades Micro'!$A356=I$2,'Atividades Micro'!$K356&lt;&gt;""),'Atividades Micro'!$K356,"")</f>
        <v/>
      </c>
      <c r="J304" s="21" t="str">
        <f>IF(AND('Atividades Micro'!$A356=J$2,'Atividades Micro'!$L356&lt;&gt;""),'Atividades Micro'!$L356,"")</f>
        <v/>
      </c>
      <c r="K304" s="21" t="str">
        <f>IF(AND('Atividades Micro'!$B356=K$2,'Atividades Micro'!$K356&lt;&gt;""),'Atividades Micro'!$K356,"")</f>
        <v/>
      </c>
      <c r="L304" s="21" t="str">
        <f>IF(AND('Atividades Micro'!$B356=L$2,'Atividades Micro'!$L356&lt;&gt;""),'Atividades Micro'!$L356,"")</f>
        <v/>
      </c>
      <c r="M304" s="21" t="str">
        <f>IF(AND('Atividades Micro'!$B356=M$2,'Atividades Micro'!$K356&lt;&gt;""),'Atividades Micro'!$K356,"")</f>
        <v/>
      </c>
      <c r="N304" s="21" t="str">
        <f>IF(AND('Atividades Micro'!$B356=N$2,'Atividades Micro'!$L356&lt;&gt;""),'Atividades Micro'!$L356,"")</f>
        <v/>
      </c>
      <c r="O304" s="21" t="str">
        <f>IF(AND('Atividades Micro'!$A356=O$2,'Atividades Micro'!$K356&lt;&gt;""),'Atividades Micro'!$K356,"")</f>
        <v/>
      </c>
      <c r="P304" s="21" t="str">
        <f>IF(AND('Atividades Micro'!$A356=P$2,'Atividades Micro'!$L356&lt;&gt;""),'Atividades Micro'!$L356,"")</f>
        <v/>
      </c>
      <c r="Q304" s="21" t="str">
        <f>IF(AND('Atividades Micro'!$B356=Q$2,'Atividades Micro'!$K356&lt;&gt;""),'Atividades Micro'!$K356,"")</f>
        <v/>
      </c>
      <c r="R304" s="21" t="str">
        <f>IF(AND('Atividades Micro'!$B356=R$2,'Atividades Micro'!$L356&lt;&gt;""),'Atividades Micro'!$L356,"")</f>
        <v/>
      </c>
      <c r="S304" s="21" t="str">
        <f>IF(AND('Atividades Micro'!$A356=S$2,'Atividades Micro'!$K356&lt;&gt;""),'Atividades Micro'!$K356,"")</f>
        <v/>
      </c>
      <c r="T304" s="21" t="str">
        <f>IF(AND('Atividades Micro'!$A356=T$2,'Atividades Micro'!$L356&lt;&gt;""),'Atividades Micro'!$L356,"")</f>
        <v/>
      </c>
      <c r="U304" s="21" t="str">
        <f>IF(AND('Atividades Micro'!$B356=U$2,'Atividades Micro'!$K356&lt;&gt;""),'Atividades Micro'!$K356,"")</f>
        <v/>
      </c>
      <c r="V304" s="21" t="str">
        <f>IF(AND('Atividades Micro'!$B356=V$2,'Atividades Micro'!$L356&lt;&gt;""),'Atividades Micro'!$L356,"")</f>
        <v/>
      </c>
      <c r="W304" s="21" t="str">
        <f>IF(AND('Atividades Micro'!$B356=W$2,'Atividades Micro'!$K356&lt;&gt;""),'Atividades Micro'!$K356,"")</f>
        <v/>
      </c>
      <c r="X304" s="21" t="str">
        <f>IF(AND('Atividades Micro'!$B356=X$2,'Atividades Micro'!$L356&lt;&gt;""),'Atividades Micro'!$L356,"")</f>
        <v/>
      </c>
      <c r="Y304" s="21" t="str">
        <f>IF(AND('Atividades Micro'!$A356=Y$2,'Atividades Micro'!$K356&lt;&gt;""),'Atividades Micro'!$K356,"")</f>
        <v/>
      </c>
      <c r="Z304" s="21" t="str">
        <f>IF(AND('Atividades Micro'!$A356=Z$2,'Atividades Micro'!$L356&lt;&gt;""),'Atividades Micro'!$L356,"")</f>
        <v/>
      </c>
      <c r="AA304" s="21" t="str">
        <f>IF(AND('Atividades Micro'!$B356=AA$2,'Atividades Micro'!$K356&lt;&gt;""),'Atividades Micro'!$K356,"")</f>
        <v/>
      </c>
      <c r="AB304" s="21" t="str">
        <f>IF(AND('Atividades Micro'!$B356=AB$2,'Atividades Micro'!$L356&lt;&gt;""),'Atividades Micro'!$L356,"")</f>
        <v/>
      </c>
      <c r="AC304" s="21" t="str">
        <f>IF(AND('Atividades Micro'!$B356=AC$2,'Atividades Micro'!$K356&lt;&gt;""),'Atividades Micro'!$K356,"")</f>
        <v/>
      </c>
      <c r="AD304" s="21" t="str">
        <f>IF(AND('Atividades Micro'!$B356=AD$2,'Atividades Micro'!$L356&lt;&gt;""),'Atividades Micro'!$L356,"")</f>
        <v/>
      </c>
      <c r="AE304" s="21" t="str">
        <f>IF(AND('Atividades Micro'!$A356=AE$2,'Atividades Micro'!$K356&lt;&gt;""),'Atividades Micro'!$K356,"")</f>
        <v/>
      </c>
      <c r="AF304" s="21" t="str">
        <f>IF(AND('Atividades Micro'!$A356=AF$2,'Atividades Micro'!$L356&lt;&gt;""),'Atividades Micro'!$L356,"")</f>
        <v/>
      </c>
      <c r="AG304" s="21" t="str">
        <f>IF(AND('Atividades Micro'!$B356=AG$2,'Atividades Micro'!$K356&lt;&gt;""),'Atividades Micro'!$K356,"")</f>
        <v/>
      </c>
      <c r="AH304" s="21" t="str">
        <f>IF(AND('Atividades Micro'!$B356=AH$2,'Atividades Micro'!$L356&lt;&gt;""),'Atividades Micro'!$L356,"")</f>
        <v/>
      </c>
      <c r="AI304" s="21" t="str">
        <f>IF(AND('Atividades Micro'!$B356=AI$2,'Atividades Micro'!$K356&lt;&gt;""),'Atividades Micro'!$K356,"")</f>
        <v/>
      </c>
      <c r="AJ304" s="21" t="str">
        <f>IF(AND('Atividades Micro'!$B356=AJ$2,'Atividades Micro'!$L356&lt;&gt;""),'Atividades Micro'!$L356,"")</f>
        <v/>
      </c>
      <c r="AK304" s="21" t="str">
        <f>IF(AND('Atividades Micro'!$A356=AK$2,'Atividades Micro'!$K356&lt;&gt;""),'Atividades Micro'!$K356,"")</f>
        <v/>
      </c>
      <c r="AL304" s="21" t="str">
        <f>IF(AND('Atividades Micro'!$A356=AL$2,'Atividades Micro'!$L356&lt;&gt;""),'Atividades Micro'!$L356,"")</f>
        <v/>
      </c>
      <c r="AM304" s="21" t="str">
        <f>IF(AND('Atividades Micro'!$B356=AM$2,'Atividades Micro'!$K356&lt;&gt;""),'Atividades Micro'!$K356,"")</f>
        <v/>
      </c>
      <c r="AN304" s="21" t="str">
        <f>IF(AND('Atividades Micro'!$B356=AN$2,'Atividades Micro'!$L356&lt;&gt;""),'Atividades Micro'!$L356,"")</f>
        <v/>
      </c>
      <c r="AO304" s="21" t="str">
        <f>IF(AND('Atividades Micro'!$B356=AO$2,'Atividades Micro'!$K356&lt;&gt;""),'Atividades Micro'!$K356,"")</f>
        <v/>
      </c>
      <c r="AP304" s="21" t="str">
        <f>IF(AND('Atividades Micro'!$B356=AP$2,'Atividades Micro'!$L356&lt;&gt;""),'Atividades Micro'!$L356,"")</f>
        <v/>
      </c>
      <c r="AQ304" s="21" t="str">
        <f>IF(AND('Atividades Micro'!$A356=AQ$2,'Atividades Micro'!$K356&lt;&gt;""),'Atividades Micro'!$K356,"")</f>
        <v/>
      </c>
      <c r="AR304" s="21" t="str">
        <f>IF(AND('Atividades Micro'!$A356=AR$2,'Atividades Micro'!$L356&lt;&gt;""),'Atividades Micro'!$L356,"")</f>
        <v/>
      </c>
      <c r="AS304" s="21" t="str">
        <f>IF(AND('Atividades Micro'!$B356=AS$2,'Atividades Micro'!$K356&lt;&gt;""),'Atividades Micro'!$K356,"")</f>
        <v/>
      </c>
      <c r="AT304" s="21" t="str">
        <f>IF(AND('Atividades Micro'!$B356=AT$2,'Atividades Micro'!$L356&lt;&gt;""),'Atividades Micro'!$L356,"")</f>
        <v/>
      </c>
      <c r="AU304" s="21" t="str">
        <f>IF(AND('Atividades Micro'!$A356=AU$2,'Atividades Micro'!$K356&lt;&gt;""),'Atividades Micro'!$K356,"")</f>
        <v/>
      </c>
      <c r="AV304" s="21" t="str">
        <f>IF(AND('Atividades Micro'!$A356=AV$2,'Atividades Micro'!$L356&lt;&gt;""),'Atividades Micro'!$L356,"")</f>
        <v/>
      </c>
      <c r="AW304" s="21" t="str">
        <f>IF(AND('Atividades Micro'!$B356=AW$2,'Atividades Micro'!$K356&lt;&gt;""),'Atividades Micro'!$K356,"")</f>
        <v/>
      </c>
      <c r="AX304" s="21" t="str">
        <f>IF(AND('Atividades Micro'!$B356=AX$2,'Atividades Micro'!$L356&lt;&gt;""),'Atividades Micro'!$L356,"")</f>
        <v/>
      </c>
      <c r="AY304" s="21" t="str">
        <f>IF(AND('Atividades Micro'!$A356=AY$2,'Atividades Micro'!$K356&lt;&gt;""),'Atividades Micro'!$K356,"")</f>
        <v/>
      </c>
      <c r="AZ304" s="21" t="str">
        <f>IF(AND('Atividades Micro'!$A356=AZ$2,'Atividades Micro'!$L356&lt;&gt;""),'Atividades Micro'!$L356,"")</f>
        <v/>
      </c>
      <c r="BA304" s="21" t="str">
        <f>IF(AND('Atividades Micro'!$B356=BA$2,'Atividades Micro'!$K356&lt;&gt;""),'Atividades Micro'!$K356,"")</f>
        <v/>
      </c>
      <c r="BB304" s="21" t="str">
        <f>IF(AND('Atividades Micro'!$B356=BB$2,'Atividades Micro'!$L356&lt;&gt;""),'Atividades Micro'!$L356,"")</f>
        <v/>
      </c>
      <c r="BC304" s="21" t="str">
        <f>IF(AND('Atividades Micro'!$B356=BC$2,'Atividades Micro'!$G356="Macro",'Atividades Micro'!$K356&lt;&gt;""),'Atividades Micro'!$K356,"")</f>
        <v/>
      </c>
      <c r="BD304" s="21" t="str">
        <f>IF(AND('Atividades Micro'!$B356=BD$2,'Atividades Micro'!$G356="Macro",'Atividades Micro'!$K356&lt;&gt;""),'Atividades Micro'!$K356,"")</f>
        <v/>
      </c>
      <c r="BE304" s="21" t="str">
        <f>IF(AND('Atividades Micro'!$B356=BE$2,'Atividades Micro'!$G356="Macro",'Atividades Micro'!$K356&lt;&gt;""),'Atividades Micro'!$K356,"")</f>
        <v/>
      </c>
      <c r="BF304" s="21" t="str">
        <f>IF(AND('Atividades Micro'!$B356=BF$2,'Atividades Micro'!$G356="Macro",'Atividades Micro'!$K356&lt;&gt;""),'Atividades Micro'!$K356,"")</f>
        <v/>
      </c>
      <c r="BG304" s="21" t="str">
        <f>IF(AND('Atividades Micro'!$B356=BG$2,'Atividades Micro'!$G356="Macro",'Atividades Micro'!$K356&lt;&gt;""),'Atividades Micro'!$K356,"")</f>
        <v/>
      </c>
      <c r="BH304" s="21" t="str">
        <f>IF(AND('Atividades Micro'!$B356=BH$2,'Atividades Micro'!$G356="Macro",'Atividades Micro'!$K356&lt;&gt;""),'Atividades Micro'!$K356,"")</f>
        <v/>
      </c>
      <c r="BI304" s="21" t="str">
        <f>IF(AND('Atividades Micro'!$B356=BI$2,'Atividades Micro'!$G356="Macro",'Atividades Micro'!$K356&lt;&gt;""),'Atividades Micro'!$K356,"")</f>
        <v/>
      </c>
      <c r="BJ304" s="21" t="str">
        <f>IF(AND('Atividades Micro'!$B356=BJ$2,'Atividades Micro'!$G356="Macro",'Atividades Micro'!$K356&lt;&gt;""),'Atividades Micro'!$K356,"")</f>
        <v/>
      </c>
      <c r="BK304" s="21" t="str">
        <f>IF(AND('Atividades Micro'!$B356=BK$2,'Atividades Micro'!$G356="Macro",'Atividades Micro'!$K356&lt;&gt;""),'Atividades Micro'!$K356,"")</f>
        <v/>
      </c>
      <c r="BL304" s="21" t="str">
        <f>IF(AND('Atividades Micro'!$B356=BL$2,'Atividades Micro'!$G356="Macro",'Atividades Micro'!$K356&lt;&gt;""),'Atividades Micro'!$K356,"")</f>
        <v/>
      </c>
      <c r="BM304" s="21" t="str">
        <f>IF(AND('Atividades Micro'!$B356=BM$2,'Atividades Micro'!$G356="Macro",'Atividades Micro'!$K356&lt;&gt;""),'Atividades Micro'!$K356,"")</f>
        <v/>
      </c>
      <c r="BN304" s="21" t="str">
        <f>IF(AND('Atividades Micro'!$B356=BN$2,'Atividades Micro'!$G356="Macro",'Atividades Micro'!$K356&lt;&gt;""),'Atividades Micro'!$K356,"")</f>
        <v/>
      </c>
      <c r="BO304" s="21" t="str">
        <f>IF(AND('Atividades Micro'!$B356=BO$2,'Atividades Micro'!$G356="Macro",'Atividades Micro'!$K356&lt;&gt;""),'Atividades Micro'!$K356,"")</f>
        <v/>
      </c>
      <c r="BP304" s="21" t="str">
        <f>IF(AND('Atividades Micro'!$B356=BP$2,'Atividades Micro'!$G356="Macro",'Atividades Micro'!$K356&lt;&gt;""),'Atividades Micro'!$K356,"")</f>
        <v/>
      </c>
      <c r="BQ304" s="21" t="str">
        <f>IF(AND('Atividades Micro'!$B356=BQ$2,'Atividades Micro'!$G356="Macro",'Atividades Micro'!$K356&lt;&gt;""),'Atividades Micro'!$K356,"")</f>
        <v/>
      </c>
      <c r="BR304" s="21" t="str">
        <f>IF(AND('Atividades Micro'!$B356=BR$2,'Atividades Micro'!$G356="Macro",'Atividades Micro'!$K356&lt;&gt;""),'Atividades Micro'!$K356,"")</f>
        <v/>
      </c>
      <c r="BS304" s="21" t="str">
        <f>IF(AND('Atividades Micro'!$B356=BS$2,'Atividades Micro'!$G356="Macro",'Atividades Micro'!$K356&lt;&gt;""),'Atividades Micro'!$K356,"")</f>
        <v/>
      </c>
      <c r="BT304" s="21" t="str">
        <f>IF(AND('Atividades Micro'!$B356=BT$2,'Atividades Micro'!$G356="Macro",'Atividades Micro'!$K356&lt;&gt;""),'Atividades Micro'!$K356,"")</f>
        <v/>
      </c>
      <c r="BU304" s="21" t="str">
        <f>IF(AND('Atividades Micro'!$B356=BU$2,'Atividades Micro'!$G356="Macro",'Atividades Micro'!$K356&lt;&gt;""),'Atividades Micro'!$K356,"")</f>
        <v/>
      </c>
      <c r="BV304" s="21" t="str">
        <f>IF(AND('Atividades Micro'!$B356=BV$2,'Atividades Micro'!$G356="Macro",'Atividades Micro'!$K356&lt;&gt;""),'Atividades Micro'!$K356,"")</f>
        <v/>
      </c>
      <c r="BW304" s="21" t="str">
        <f>IF(AND('Atividades Micro'!$B356=BW$2,'Atividades Micro'!$G356="Macro",'Atividades Micro'!$K356&lt;&gt;""),'Atividades Micro'!$K356,"")</f>
        <v/>
      </c>
      <c r="BX304" s="21" t="str">
        <f>IF(AND('Atividades Micro'!$B356=BX$2,'Atividades Micro'!$G356="Macro",'Atividades Micro'!$K356&lt;&gt;""),'Atividades Micro'!$K356,"")</f>
        <v/>
      </c>
      <c r="BY304" s="21" t="str">
        <f>IF(AND('Atividades Micro'!$B356=BY$2,'Atividades Micro'!$G356="Macro",'Atividades Micro'!$K356&lt;&gt;""),'Atividades Micro'!$K356,"")</f>
        <v/>
      </c>
      <c r="BZ304" s="21" t="str">
        <f>IF(AND('Atividades Micro'!$B356=BZ$2,'Atividades Micro'!$G356="Macro",'Atividades Micro'!$K356&lt;&gt;""),'Atividades Micro'!$K356,"")</f>
        <v/>
      </c>
      <c r="CA304" s="21" t="str">
        <f>IF(AND('Atividades Micro'!$B356=CA$2,'Atividades Micro'!$G356="Macro",'Atividades Micro'!$K356&lt;&gt;""),'Atividades Micro'!$K356,"")</f>
        <v/>
      </c>
      <c r="CB304" s="21" t="str">
        <f>IF(AND('Atividades Micro'!$B356=CB$2,'Atividades Micro'!$G356="Macro",'Atividades Micro'!$K356&lt;&gt;""),'Atividades Micro'!$K356,"")</f>
        <v/>
      </c>
      <c r="CC304" s="21" t="str">
        <f>IF(AND('Atividades Micro'!$B356=CC$2,'Atividades Micro'!$G356="Macro",'Atividades Micro'!$K356&lt;&gt;""),'Atividades Micro'!$K356,"")</f>
        <v/>
      </c>
      <c r="CD304" s="21" t="str">
        <f>IF(AND('Atividades Micro'!$B356=CD$2,'Atividades Micro'!$G356="Micro",'Atividades Micro'!$K356&lt;&gt;""),'Atividades Micro'!$K356,"")</f>
        <v/>
      </c>
      <c r="CE304" s="21" t="str">
        <f>IF(AND('Atividades Micro'!$B356=CE$2,'Atividades Micro'!$G356="Micro",'Atividades Micro'!$K356&lt;&gt;""),'Atividades Micro'!$K356,"")</f>
        <v/>
      </c>
      <c r="CF304" s="21" t="str">
        <f>IF(AND('Atividades Micro'!$B356=CF$2,'Atividades Micro'!$G356="Micro",'Atividades Micro'!$K356&lt;&gt;""),'Atividades Micro'!$K356,"")</f>
        <v/>
      </c>
      <c r="CG304" s="21" t="str">
        <f>IF(AND('Atividades Micro'!$B356=CG$2,'Atividades Micro'!$G356="Micro",'Atividades Micro'!$K356&lt;&gt;""),'Atividades Micro'!$K356,"")</f>
        <v/>
      </c>
      <c r="CH304" s="21" t="str">
        <f>IF(AND('Atividades Micro'!$B356=CH$2,'Atividades Micro'!$G356="Micro",'Atividades Micro'!$K356&lt;&gt;""),'Atividades Micro'!$K356,"")</f>
        <v/>
      </c>
      <c r="CI304" s="21" t="str">
        <f>IF(AND('Atividades Micro'!$B356=CI$2,'Atividades Micro'!$G356="Micro",'Atividades Micro'!$K356&lt;&gt;""),'Atividades Micro'!$K356,"")</f>
        <v/>
      </c>
      <c r="CJ304" s="21" t="str">
        <f>IF(AND('Atividades Micro'!$B356=CJ$2,'Atividades Micro'!$G356="Micro",'Atividades Micro'!$K356&lt;&gt;""),'Atividades Micro'!$K356,"")</f>
        <v/>
      </c>
      <c r="CK304" s="21" t="str">
        <f>IF(AND('Atividades Micro'!$B356=CK$2,'Atividades Micro'!$G356="Micro",'Atividades Micro'!$K356&lt;&gt;""),'Atividades Micro'!$K356,"")</f>
        <v/>
      </c>
      <c r="CL304" s="21" t="str">
        <f>IF(AND('Atividades Micro'!$B356=CL$2,'Atividades Micro'!$G356="Micro",'Atividades Micro'!$K356&lt;&gt;""),'Atividades Micro'!$K356,"")</f>
        <v/>
      </c>
      <c r="CM304" s="21" t="str">
        <f>IF(AND('Atividades Micro'!$B356=CM$2,'Atividades Micro'!$G356="Micro",'Atividades Micro'!$K356&lt;&gt;""),'Atividades Micro'!$K356,"")</f>
        <v/>
      </c>
      <c r="CN304" s="21" t="str">
        <f>IF(AND('Atividades Micro'!$B356=CN$2,'Atividades Micro'!$G356="Micro",'Atividades Micro'!$K356&lt;&gt;""),'Atividades Micro'!$K356,"")</f>
        <v/>
      </c>
      <c r="CO304" s="21" t="str">
        <f>IF(AND('Atividades Micro'!$B356=CO$2,'Atividades Micro'!$G356="Micro",'Atividades Micro'!$K356&lt;&gt;""),'Atividades Micro'!$K356,"")</f>
        <v/>
      </c>
    </row>
    <row r="305" spans="1:93">
      <c r="A305" s="21" t="str">
        <f>IF(AND('Atividades Micro'!$A357=A$2,'Atividades Micro'!$K357&lt;&gt;""),'Atividades Micro'!$K357,"")</f>
        <v/>
      </c>
      <c r="B305" s="21" t="str">
        <f>IF(AND('Atividades Micro'!$A357=B$2,'Atividades Micro'!$L357&lt;&gt;""),'Atividades Micro'!$L357,"")</f>
        <v/>
      </c>
      <c r="C305" s="21" t="str">
        <f>IF(AND('Atividades Micro'!$A357=C$2,'Atividades Micro'!$K357&lt;&gt;""),'Atividades Micro'!$K357,"")</f>
        <v/>
      </c>
      <c r="D305" s="21" t="str">
        <f>IF(AND('Atividades Micro'!$A357=D$2,'Atividades Micro'!$L357&lt;&gt;""),'Atividades Micro'!$L357,"")</f>
        <v/>
      </c>
      <c r="E305" s="21" t="str">
        <f>IF(AND('Atividades Micro'!$A357=E$2,'Atividades Micro'!$K357&lt;&gt;""),'Atividades Micro'!$K357,"")</f>
        <v/>
      </c>
      <c r="F305" s="21" t="str">
        <f>IF(AND('Atividades Micro'!$A357=F$2,'Atividades Micro'!$L357&lt;&gt;""),'Atividades Micro'!$L357,"")</f>
        <v/>
      </c>
      <c r="G305" s="21" t="str">
        <f>IF(AND('Atividades Micro'!$A357=G$2,'Atividades Micro'!$K357&lt;&gt;""),'Atividades Micro'!$K357,"")</f>
        <v/>
      </c>
      <c r="H305" s="21" t="str">
        <f>IF(AND('Atividades Micro'!$A357=H$2,'Atividades Micro'!$L357&lt;&gt;""),'Atividades Micro'!$L357,"")</f>
        <v/>
      </c>
      <c r="I305" s="21" t="str">
        <f>IF(AND('Atividades Micro'!$A357=I$2,'Atividades Micro'!$K357&lt;&gt;""),'Atividades Micro'!$K357,"")</f>
        <v/>
      </c>
      <c r="J305" s="21" t="str">
        <f>IF(AND('Atividades Micro'!$A357=J$2,'Atividades Micro'!$L357&lt;&gt;""),'Atividades Micro'!$L357,"")</f>
        <v/>
      </c>
      <c r="K305" s="21" t="str">
        <f>IF(AND('Atividades Micro'!$B357=K$2,'Atividades Micro'!$K357&lt;&gt;""),'Atividades Micro'!$K357,"")</f>
        <v/>
      </c>
      <c r="L305" s="21" t="str">
        <f>IF(AND('Atividades Micro'!$B357=L$2,'Atividades Micro'!$L357&lt;&gt;""),'Atividades Micro'!$L357,"")</f>
        <v/>
      </c>
      <c r="M305" s="21" t="str">
        <f>IF(AND('Atividades Micro'!$B357=M$2,'Atividades Micro'!$K357&lt;&gt;""),'Atividades Micro'!$K357,"")</f>
        <v/>
      </c>
      <c r="N305" s="21" t="str">
        <f>IF(AND('Atividades Micro'!$B357=N$2,'Atividades Micro'!$L357&lt;&gt;""),'Atividades Micro'!$L357,"")</f>
        <v/>
      </c>
      <c r="O305" s="21" t="str">
        <f>IF(AND('Atividades Micro'!$A357=O$2,'Atividades Micro'!$K357&lt;&gt;""),'Atividades Micro'!$K357,"")</f>
        <v/>
      </c>
      <c r="P305" s="21" t="str">
        <f>IF(AND('Atividades Micro'!$A357=P$2,'Atividades Micro'!$L357&lt;&gt;""),'Atividades Micro'!$L357,"")</f>
        <v/>
      </c>
      <c r="Q305" s="21" t="str">
        <f>IF(AND('Atividades Micro'!$B357=Q$2,'Atividades Micro'!$K357&lt;&gt;""),'Atividades Micro'!$K357,"")</f>
        <v/>
      </c>
      <c r="R305" s="21" t="str">
        <f>IF(AND('Atividades Micro'!$B357=R$2,'Atividades Micro'!$L357&lt;&gt;""),'Atividades Micro'!$L357,"")</f>
        <v/>
      </c>
      <c r="S305" s="21" t="str">
        <f>IF(AND('Atividades Micro'!$A357=S$2,'Atividades Micro'!$K357&lt;&gt;""),'Atividades Micro'!$K357,"")</f>
        <v/>
      </c>
      <c r="T305" s="21" t="str">
        <f>IF(AND('Atividades Micro'!$A357=T$2,'Atividades Micro'!$L357&lt;&gt;""),'Atividades Micro'!$L357,"")</f>
        <v/>
      </c>
      <c r="U305" s="21" t="str">
        <f>IF(AND('Atividades Micro'!$B357=U$2,'Atividades Micro'!$K357&lt;&gt;""),'Atividades Micro'!$K357,"")</f>
        <v/>
      </c>
      <c r="V305" s="21" t="str">
        <f>IF(AND('Atividades Micro'!$B357=V$2,'Atividades Micro'!$L357&lt;&gt;""),'Atividades Micro'!$L357,"")</f>
        <v/>
      </c>
      <c r="W305" s="21" t="str">
        <f>IF(AND('Atividades Micro'!$B357=W$2,'Atividades Micro'!$K357&lt;&gt;""),'Atividades Micro'!$K357,"")</f>
        <v/>
      </c>
      <c r="X305" s="21" t="str">
        <f>IF(AND('Atividades Micro'!$B357=X$2,'Atividades Micro'!$L357&lt;&gt;""),'Atividades Micro'!$L357,"")</f>
        <v/>
      </c>
      <c r="Y305" s="21" t="str">
        <f>IF(AND('Atividades Micro'!$A357=Y$2,'Atividades Micro'!$K357&lt;&gt;""),'Atividades Micro'!$K357,"")</f>
        <v/>
      </c>
      <c r="Z305" s="21" t="str">
        <f>IF(AND('Atividades Micro'!$A357=Z$2,'Atividades Micro'!$L357&lt;&gt;""),'Atividades Micro'!$L357,"")</f>
        <v/>
      </c>
      <c r="AA305" s="21" t="str">
        <f>IF(AND('Atividades Micro'!$B357=AA$2,'Atividades Micro'!$K357&lt;&gt;""),'Atividades Micro'!$K357,"")</f>
        <v/>
      </c>
      <c r="AB305" s="21" t="str">
        <f>IF(AND('Atividades Micro'!$B357=AB$2,'Atividades Micro'!$L357&lt;&gt;""),'Atividades Micro'!$L357,"")</f>
        <v/>
      </c>
      <c r="AC305" s="21" t="str">
        <f>IF(AND('Atividades Micro'!$B357=AC$2,'Atividades Micro'!$K357&lt;&gt;""),'Atividades Micro'!$K357,"")</f>
        <v/>
      </c>
      <c r="AD305" s="21" t="str">
        <f>IF(AND('Atividades Micro'!$B357=AD$2,'Atividades Micro'!$L357&lt;&gt;""),'Atividades Micro'!$L357,"")</f>
        <v/>
      </c>
      <c r="AE305" s="21" t="str">
        <f>IF(AND('Atividades Micro'!$A357=AE$2,'Atividades Micro'!$K357&lt;&gt;""),'Atividades Micro'!$K357,"")</f>
        <v/>
      </c>
      <c r="AF305" s="21" t="str">
        <f>IF(AND('Atividades Micro'!$A357=AF$2,'Atividades Micro'!$L357&lt;&gt;""),'Atividades Micro'!$L357,"")</f>
        <v/>
      </c>
      <c r="AG305" s="21" t="str">
        <f>IF(AND('Atividades Micro'!$B357=AG$2,'Atividades Micro'!$K357&lt;&gt;""),'Atividades Micro'!$K357,"")</f>
        <v/>
      </c>
      <c r="AH305" s="21" t="str">
        <f>IF(AND('Atividades Micro'!$B357=AH$2,'Atividades Micro'!$L357&lt;&gt;""),'Atividades Micro'!$L357,"")</f>
        <v/>
      </c>
      <c r="AI305" s="21" t="str">
        <f>IF(AND('Atividades Micro'!$B357=AI$2,'Atividades Micro'!$K357&lt;&gt;""),'Atividades Micro'!$K357,"")</f>
        <v/>
      </c>
      <c r="AJ305" s="21" t="str">
        <f>IF(AND('Atividades Micro'!$B357=AJ$2,'Atividades Micro'!$L357&lt;&gt;""),'Atividades Micro'!$L357,"")</f>
        <v/>
      </c>
      <c r="AK305" s="21" t="str">
        <f>IF(AND('Atividades Micro'!$A357=AK$2,'Atividades Micro'!$K357&lt;&gt;""),'Atividades Micro'!$K357,"")</f>
        <v/>
      </c>
      <c r="AL305" s="21" t="str">
        <f>IF(AND('Atividades Micro'!$A357=AL$2,'Atividades Micro'!$L357&lt;&gt;""),'Atividades Micro'!$L357,"")</f>
        <v/>
      </c>
      <c r="AM305" s="21" t="str">
        <f>IF(AND('Atividades Micro'!$B357=AM$2,'Atividades Micro'!$K357&lt;&gt;""),'Atividades Micro'!$K357,"")</f>
        <v/>
      </c>
      <c r="AN305" s="21" t="str">
        <f>IF(AND('Atividades Micro'!$B357=AN$2,'Atividades Micro'!$L357&lt;&gt;""),'Atividades Micro'!$L357,"")</f>
        <v/>
      </c>
      <c r="AO305" s="21" t="str">
        <f>IF(AND('Atividades Micro'!$B357=AO$2,'Atividades Micro'!$K357&lt;&gt;""),'Atividades Micro'!$K357,"")</f>
        <v/>
      </c>
      <c r="AP305" s="21" t="str">
        <f>IF(AND('Atividades Micro'!$B357=AP$2,'Atividades Micro'!$L357&lt;&gt;""),'Atividades Micro'!$L357,"")</f>
        <v/>
      </c>
      <c r="AQ305" s="21" t="str">
        <f>IF(AND('Atividades Micro'!$A357=AQ$2,'Atividades Micro'!$K357&lt;&gt;""),'Atividades Micro'!$K357,"")</f>
        <v/>
      </c>
      <c r="AR305" s="21" t="str">
        <f>IF(AND('Atividades Micro'!$A357=AR$2,'Atividades Micro'!$L357&lt;&gt;""),'Atividades Micro'!$L357,"")</f>
        <v/>
      </c>
      <c r="AS305" s="21" t="str">
        <f>IF(AND('Atividades Micro'!$B357=AS$2,'Atividades Micro'!$K357&lt;&gt;""),'Atividades Micro'!$K357,"")</f>
        <v/>
      </c>
      <c r="AT305" s="21" t="str">
        <f>IF(AND('Atividades Micro'!$B357=AT$2,'Atividades Micro'!$L357&lt;&gt;""),'Atividades Micro'!$L357,"")</f>
        <v/>
      </c>
      <c r="AU305" s="21" t="str">
        <f>IF(AND('Atividades Micro'!$A357=AU$2,'Atividades Micro'!$K357&lt;&gt;""),'Atividades Micro'!$K357,"")</f>
        <v/>
      </c>
      <c r="AV305" s="21" t="str">
        <f>IF(AND('Atividades Micro'!$A357=AV$2,'Atividades Micro'!$L357&lt;&gt;""),'Atividades Micro'!$L357,"")</f>
        <v/>
      </c>
      <c r="AW305" s="21" t="str">
        <f>IF(AND('Atividades Micro'!$B357=AW$2,'Atividades Micro'!$K357&lt;&gt;""),'Atividades Micro'!$K357,"")</f>
        <v/>
      </c>
      <c r="AX305" s="21" t="str">
        <f>IF(AND('Atividades Micro'!$B357=AX$2,'Atividades Micro'!$L357&lt;&gt;""),'Atividades Micro'!$L357,"")</f>
        <v/>
      </c>
      <c r="AY305" s="21" t="str">
        <f>IF(AND('Atividades Micro'!$A357=AY$2,'Atividades Micro'!$K357&lt;&gt;""),'Atividades Micro'!$K357,"")</f>
        <v/>
      </c>
      <c r="AZ305" s="21" t="str">
        <f>IF(AND('Atividades Micro'!$A357=AZ$2,'Atividades Micro'!$L357&lt;&gt;""),'Atividades Micro'!$L357,"")</f>
        <v/>
      </c>
      <c r="BA305" s="21" t="str">
        <f>IF(AND('Atividades Micro'!$B357=BA$2,'Atividades Micro'!$K357&lt;&gt;""),'Atividades Micro'!$K357,"")</f>
        <v/>
      </c>
      <c r="BB305" s="21" t="str">
        <f>IF(AND('Atividades Micro'!$B357=BB$2,'Atividades Micro'!$L357&lt;&gt;""),'Atividades Micro'!$L357,"")</f>
        <v/>
      </c>
      <c r="BC305" s="21" t="str">
        <f>IF(AND('Atividades Micro'!$B357=BC$2,'Atividades Micro'!$G357="Macro",'Atividades Micro'!$K357&lt;&gt;""),'Atividades Micro'!$K357,"")</f>
        <v/>
      </c>
      <c r="BD305" s="21" t="str">
        <f>IF(AND('Atividades Micro'!$B357=BD$2,'Atividades Micro'!$G357="Macro",'Atividades Micro'!$K357&lt;&gt;""),'Atividades Micro'!$K357,"")</f>
        <v/>
      </c>
      <c r="BE305" s="21" t="str">
        <f>IF(AND('Atividades Micro'!$B357=BE$2,'Atividades Micro'!$G357="Macro",'Atividades Micro'!$K357&lt;&gt;""),'Atividades Micro'!$K357,"")</f>
        <v/>
      </c>
      <c r="BF305" s="21" t="str">
        <f>IF(AND('Atividades Micro'!$B357=BF$2,'Atividades Micro'!$G357="Macro",'Atividades Micro'!$K357&lt;&gt;""),'Atividades Micro'!$K357,"")</f>
        <v/>
      </c>
      <c r="BG305" s="21" t="str">
        <f>IF(AND('Atividades Micro'!$B357=BG$2,'Atividades Micro'!$G357="Macro",'Atividades Micro'!$K357&lt;&gt;""),'Atividades Micro'!$K357,"")</f>
        <v/>
      </c>
      <c r="BH305" s="21" t="str">
        <f>IF(AND('Atividades Micro'!$B357=BH$2,'Atividades Micro'!$G357="Macro",'Atividades Micro'!$K357&lt;&gt;""),'Atividades Micro'!$K357,"")</f>
        <v/>
      </c>
      <c r="BI305" s="21" t="str">
        <f>IF(AND('Atividades Micro'!$B357=BI$2,'Atividades Micro'!$G357="Macro",'Atividades Micro'!$K357&lt;&gt;""),'Atividades Micro'!$K357,"")</f>
        <v/>
      </c>
      <c r="BJ305" s="21" t="str">
        <f>IF(AND('Atividades Micro'!$B357=BJ$2,'Atividades Micro'!$G357="Macro",'Atividades Micro'!$K357&lt;&gt;""),'Atividades Micro'!$K357,"")</f>
        <v/>
      </c>
      <c r="BK305" s="21" t="str">
        <f>IF(AND('Atividades Micro'!$B357=BK$2,'Atividades Micro'!$G357="Macro",'Atividades Micro'!$K357&lt;&gt;""),'Atividades Micro'!$K357,"")</f>
        <v/>
      </c>
      <c r="BL305" s="21" t="str">
        <f>IF(AND('Atividades Micro'!$B357=BL$2,'Atividades Micro'!$G357="Macro",'Atividades Micro'!$K357&lt;&gt;""),'Atividades Micro'!$K357,"")</f>
        <v/>
      </c>
      <c r="BM305" s="21" t="str">
        <f>IF(AND('Atividades Micro'!$B357=BM$2,'Atividades Micro'!$G357="Macro",'Atividades Micro'!$K357&lt;&gt;""),'Atividades Micro'!$K357,"")</f>
        <v/>
      </c>
      <c r="BN305" s="21" t="str">
        <f>IF(AND('Atividades Micro'!$B357=BN$2,'Atividades Micro'!$G357="Macro",'Atividades Micro'!$K357&lt;&gt;""),'Atividades Micro'!$K357,"")</f>
        <v/>
      </c>
      <c r="BO305" s="21" t="str">
        <f>IF(AND('Atividades Micro'!$B357=BO$2,'Atividades Micro'!$G357="Macro",'Atividades Micro'!$K357&lt;&gt;""),'Atividades Micro'!$K357,"")</f>
        <v/>
      </c>
      <c r="BP305" s="21" t="str">
        <f>IF(AND('Atividades Micro'!$B357=BP$2,'Atividades Micro'!$G357="Macro",'Atividades Micro'!$K357&lt;&gt;""),'Atividades Micro'!$K357,"")</f>
        <v/>
      </c>
      <c r="BQ305" s="21" t="str">
        <f>IF(AND('Atividades Micro'!$B357=BQ$2,'Atividades Micro'!$G357="Macro",'Atividades Micro'!$K357&lt;&gt;""),'Atividades Micro'!$K357,"")</f>
        <v/>
      </c>
      <c r="BR305" s="21" t="str">
        <f>IF(AND('Atividades Micro'!$B357=BR$2,'Atividades Micro'!$G357="Macro",'Atividades Micro'!$K357&lt;&gt;""),'Atividades Micro'!$K357,"")</f>
        <v/>
      </c>
      <c r="BS305" s="21" t="str">
        <f>IF(AND('Atividades Micro'!$B357=BS$2,'Atividades Micro'!$G357="Macro",'Atividades Micro'!$K357&lt;&gt;""),'Atividades Micro'!$K357,"")</f>
        <v/>
      </c>
      <c r="BT305" s="21" t="str">
        <f>IF(AND('Atividades Micro'!$B357=BT$2,'Atividades Micro'!$G357="Macro",'Atividades Micro'!$K357&lt;&gt;""),'Atividades Micro'!$K357,"")</f>
        <v/>
      </c>
      <c r="BU305" s="21" t="str">
        <f>IF(AND('Atividades Micro'!$B357=BU$2,'Atividades Micro'!$G357="Macro",'Atividades Micro'!$K357&lt;&gt;""),'Atividades Micro'!$K357,"")</f>
        <v/>
      </c>
      <c r="BV305" s="21" t="str">
        <f>IF(AND('Atividades Micro'!$B357=BV$2,'Atividades Micro'!$G357="Macro",'Atividades Micro'!$K357&lt;&gt;""),'Atividades Micro'!$K357,"")</f>
        <v/>
      </c>
      <c r="BW305" s="21" t="str">
        <f>IF(AND('Atividades Micro'!$B357=BW$2,'Atividades Micro'!$G357="Macro",'Atividades Micro'!$K357&lt;&gt;""),'Atividades Micro'!$K357,"")</f>
        <v/>
      </c>
      <c r="BX305" s="21" t="str">
        <f>IF(AND('Atividades Micro'!$B357=BX$2,'Atividades Micro'!$G357="Macro",'Atividades Micro'!$K357&lt;&gt;""),'Atividades Micro'!$K357,"")</f>
        <v/>
      </c>
      <c r="BY305" s="21" t="str">
        <f>IF(AND('Atividades Micro'!$B357=BY$2,'Atividades Micro'!$G357="Macro",'Atividades Micro'!$K357&lt;&gt;""),'Atividades Micro'!$K357,"")</f>
        <v/>
      </c>
      <c r="BZ305" s="21" t="str">
        <f>IF(AND('Atividades Micro'!$B357=BZ$2,'Atividades Micro'!$G357="Macro",'Atividades Micro'!$K357&lt;&gt;""),'Atividades Micro'!$K357,"")</f>
        <v/>
      </c>
      <c r="CA305" s="21" t="str">
        <f>IF(AND('Atividades Micro'!$B357=CA$2,'Atividades Micro'!$G357="Macro",'Atividades Micro'!$K357&lt;&gt;""),'Atividades Micro'!$K357,"")</f>
        <v/>
      </c>
      <c r="CB305" s="21" t="str">
        <f>IF(AND('Atividades Micro'!$B357=CB$2,'Atividades Micro'!$G357="Macro",'Atividades Micro'!$K357&lt;&gt;""),'Atividades Micro'!$K357,"")</f>
        <v/>
      </c>
      <c r="CC305" s="21" t="str">
        <f>IF(AND('Atividades Micro'!$B357=CC$2,'Atividades Micro'!$G357="Macro",'Atividades Micro'!$K357&lt;&gt;""),'Atividades Micro'!$K357,"")</f>
        <v/>
      </c>
      <c r="CD305" s="21" t="str">
        <f>IF(AND('Atividades Micro'!$B357=CD$2,'Atividades Micro'!$G357="Micro",'Atividades Micro'!$K357&lt;&gt;""),'Atividades Micro'!$K357,"")</f>
        <v/>
      </c>
      <c r="CE305" s="21" t="str">
        <f>IF(AND('Atividades Micro'!$B357=CE$2,'Atividades Micro'!$G357="Micro",'Atividades Micro'!$K357&lt;&gt;""),'Atividades Micro'!$K357,"")</f>
        <v/>
      </c>
      <c r="CF305" s="21" t="str">
        <f>IF(AND('Atividades Micro'!$B357=CF$2,'Atividades Micro'!$G357="Micro",'Atividades Micro'!$K357&lt;&gt;""),'Atividades Micro'!$K357,"")</f>
        <v/>
      </c>
      <c r="CG305" s="21" t="str">
        <f>IF(AND('Atividades Micro'!$B357=CG$2,'Atividades Micro'!$G357="Micro",'Atividades Micro'!$K357&lt;&gt;""),'Atividades Micro'!$K357,"")</f>
        <v/>
      </c>
      <c r="CH305" s="21" t="str">
        <f>IF(AND('Atividades Micro'!$B357=CH$2,'Atividades Micro'!$G357="Micro",'Atividades Micro'!$K357&lt;&gt;""),'Atividades Micro'!$K357,"")</f>
        <v/>
      </c>
      <c r="CI305" s="21" t="str">
        <f>IF(AND('Atividades Micro'!$B357=CI$2,'Atividades Micro'!$G357="Micro",'Atividades Micro'!$K357&lt;&gt;""),'Atividades Micro'!$K357,"")</f>
        <v/>
      </c>
      <c r="CJ305" s="21" t="str">
        <f>IF(AND('Atividades Micro'!$B357=CJ$2,'Atividades Micro'!$G357="Micro",'Atividades Micro'!$K357&lt;&gt;""),'Atividades Micro'!$K357,"")</f>
        <v/>
      </c>
      <c r="CK305" s="21" t="str">
        <f>IF(AND('Atividades Micro'!$B357=CK$2,'Atividades Micro'!$G357="Micro",'Atividades Micro'!$K357&lt;&gt;""),'Atividades Micro'!$K357,"")</f>
        <v/>
      </c>
      <c r="CL305" s="21" t="str">
        <f>IF(AND('Atividades Micro'!$B357=CL$2,'Atividades Micro'!$G357="Micro",'Atividades Micro'!$K357&lt;&gt;""),'Atividades Micro'!$K357,"")</f>
        <v/>
      </c>
      <c r="CM305" s="21" t="str">
        <f>IF(AND('Atividades Micro'!$B357=CM$2,'Atividades Micro'!$G357="Micro",'Atividades Micro'!$K357&lt;&gt;""),'Atividades Micro'!$K357,"")</f>
        <v/>
      </c>
      <c r="CN305" s="21" t="str">
        <f>IF(AND('Atividades Micro'!$B357=CN$2,'Atividades Micro'!$G357="Micro",'Atividades Micro'!$K357&lt;&gt;""),'Atividades Micro'!$K357,"")</f>
        <v/>
      </c>
      <c r="CO305" s="21" t="str">
        <f>IF(AND('Atividades Micro'!$B357=CO$2,'Atividades Micro'!$G357="Micro",'Atividades Micro'!$K357&lt;&gt;""),'Atividades Micro'!$K357,"")</f>
        <v/>
      </c>
    </row>
    <row r="306" spans="1:93">
      <c r="A306" s="21" t="str">
        <f>IF(AND('Atividades Micro'!$A358=A$2,'Atividades Micro'!$K358&lt;&gt;""),'Atividades Micro'!$K358,"")</f>
        <v/>
      </c>
      <c r="B306" s="21" t="str">
        <f>IF(AND('Atividades Micro'!$A358=B$2,'Atividades Micro'!$L358&lt;&gt;""),'Atividades Micro'!$L358,"")</f>
        <v/>
      </c>
      <c r="C306" s="21" t="str">
        <f>IF(AND('Atividades Micro'!$A358=C$2,'Atividades Micro'!$K358&lt;&gt;""),'Atividades Micro'!$K358,"")</f>
        <v/>
      </c>
      <c r="D306" s="21" t="str">
        <f>IF(AND('Atividades Micro'!$A358=D$2,'Atividades Micro'!$L358&lt;&gt;""),'Atividades Micro'!$L358,"")</f>
        <v/>
      </c>
      <c r="E306" s="21" t="str">
        <f>IF(AND('Atividades Micro'!$A358=E$2,'Atividades Micro'!$K358&lt;&gt;""),'Atividades Micro'!$K358,"")</f>
        <v/>
      </c>
      <c r="F306" s="21" t="str">
        <f>IF(AND('Atividades Micro'!$A358=F$2,'Atividades Micro'!$L358&lt;&gt;""),'Atividades Micro'!$L358,"")</f>
        <v/>
      </c>
      <c r="G306" s="21" t="str">
        <f>IF(AND('Atividades Micro'!$A358=G$2,'Atividades Micro'!$K358&lt;&gt;""),'Atividades Micro'!$K358,"")</f>
        <v/>
      </c>
      <c r="H306" s="21" t="str">
        <f>IF(AND('Atividades Micro'!$A358=H$2,'Atividades Micro'!$L358&lt;&gt;""),'Atividades Micro'!$L358,"")</f>
        <v/>
      </c>
      <c r="I306" s="21" t="str">
        <f>IF(AND('Atividades Micro'!$A358=I$2,'Atividades Micro'!$K358&lt;&gt;""),'Atividades Micro'!$K358,"")</f>
        <v/>
      </c>
      <c r="J306" s="21" t="str">
        <f>IF(AND('Atividades Micro'!$A358=J$2,'Atividades Micro'!$L358&lt;&gt;""),'Atividades Micro'!$L358,"")</f>
        <v/>
      </c>
      <c r="K306" s="21" t="str">
        <f>IF(AND('Atividades Micro'!$B358=K$2,'Atividades Micro'!$K358&lt;&gt;""),'Atividades Micro'!$K358,"")</f>
        <v/>
      </c>
      <c r="L306" s="21" t="str">
        <f>IF(AND('Atividades Micro'!$B358=L$2,'Atividades Micro'!$L358&lt;&gt;""),'Atividades Micro'!$L358,"")</f>
        <v/>
      </c>
      <c r="M306" s="21" t="str">
        <f>IF(AND('Atividades Micro'!$B358=M$2,'Atividades Micro'!$K358&lt;&gt;""),'Atividades Micro'!$K358,"")</f>
        <v/>
      </c>
      <c r="N306" s="21" t="str">
        <f>IF(AND('Atividades Micro'!$B358=N$2,'Atividades Micro'!$L358&lt;&gt;""),'Atividades Micro'!$L358,"")</f>
        <v/>
      </c>
      <c r="O306" s="21" t="str">
        <f>IF(AND('Atividades Micro'!$A358=O$2,'Atividades Micro'!$K358&lt;&gt;""),'Atividades Micro'!$K358,"")</f>
        <v/>
      </c>
      <c r="P306" s="21" t="str">
        <f>IF(AND('Atividades Micro'!$A358=P$2,'Atividades Micro'!$L358&lt;&gt;""),'Atividades Micro'!$L358,"")</f>
        <v/>
      </c>
      <c r="Q306" s="21" t="str">
        <f>IF(AND('Atividades Micro'!$B358=Q$2,'Atividades Micro'!$K358&lt;&gt;""),'Atividades Micro'!$K358,"")</f>
        <v/>
      </c>
      <c r="R306" s="21" t="str">
        <f>IF(AND('Atividades Micro'!$B358=R$2,'Atividades Micro'!$L358&lt;&gt;""),'Atividades Micro'!$L358,"")</f>
        <v/>
      </c>
      <c r="S306" s="21" t="str">
        <f>IF(AND('Atividades Micro'!$A358=S$2,'Atividades Micro'!$K358&lt;&gt;""),'Atividades Micro'!$K358,"")</f>
        <v/>
      </c>
      <c r="T306" s="21" t="str">
        <f>IF(AND('Atividades Micro'!$A358=T$2,'Atividades Micro'!$L358&lt;&gt;""),'Atividades Micro'!$L358,"")</f>
        <v/>
      </c>
      <c r="U306" s="21" t="str">
        <f>IF(AND('Atividades Micro'!$B358=U$2,'Atividades Micro'!$K358&lt;&gt;""),'Atividades Micro'!$K358,"")</f>
        <v/>
      </c>
      <c r="V306" s="21" t="str">
        <f>IF(AND('Atividades Micro'!$B358=V$2,'Atividades Micro'!$L358&lt;&gt;""),'Atividades Micro'!$L358,"")</f>
        <v/>
      </c>
      <c r="W306" s="21" t="str">
        <f>IF(AND('Atividades Micro'!$B358=W$2,'Atividades Micro'!$K358&lt;&gt;""),'Atividades Micro'!$K358,"")</f>
        <v/>
      </c>
      <c r="X306" s="21" t="str">
        <f>IF(AND('Atividades Micro'!$B358=X$2,'Atividades Micro'!$L358&lt;&gt;""),'Atividades Micro'!$L358,"")</f>
        <v/>
      </c>
      <c r="Y306" s="21" t="str">
        <f>IF(AND('Atividades Micro'!$A358=Y$2,'Atividades Micro'!$K358&lt;&gt;""),'Atividades Micro'!$K358,"")</f>
        <v/>
      </c>
      <c r="Z306" s="21" t="str">
        <f>IF(AND('Atividades Micro'!$A358=Z$2,'Atividades Micro'!$L358&lt;&gt;""),'Atividades Micro'!$L358,"")</f>
        <v/>
      </c>
      <c r="AA306" s="21" t="str">
        <f>IF(AND('Atividades Micro'!$B358=AA$2,'Atividades Micro'!$K358&lt;&gt;""),'Atividades Micro'!$K358,"")</f>
        <v/>
      </c>
      <c r="AB306" s="21" t="str">
        <f>IF(AND('Atividades Micro'!$B358=AB$2,'Atividades Micro'!$L358&lt;&gt;""),'Atividades Micro'!$L358,"")</f>
        <v/>
      </c>
      <c r="AC306" s="21" t="str">
        <f>IF(AND('Atividades Micro'!$B358=AC$2,'Atividades Micro'!$K358&lt;&gt;""),'Atividades Micro'!$K358,"")</f>
        <v/>
      </c>
      <c r="AD306" s="21" t="str">
        <f>IF(AND('Atividades Micro'!$B358=AD$2,'Atividades Micro'!$L358&lt;&gt;""),'Atividades Micro'!$L358,"")</f>
        <v/>
      </c>
      <c r="AE306" s="21" t="str">
        <f>IF(AND('Atividades Micro'!$A358=AE$2,'Atividades Micro'!$K358&lt;&gt;""),'Atividades Micro'!$K358,"")</f>
        <v/>
      </c>
      <c r="AF306" s="21" t="str">
        <f>IF(AND('Atividades Micro'!$A358=AF$2,'Atividades Micro'!$L358&lt;&gt;""),'Atividades Micro'!$L358,"")</f>
        <v/>
      </c>
      <c r="AG306" s="21" t="str">
        <f>IF(AND('Atividades Micro'!$B358=AG$2,'Atividades Micro'!$K358&lt;&gt;""),'Atividades Micro'!$K358,"")</f>
        <v/>
      </c>
      <c r="AH306" s="21" t="str">
        <f>IF(AND('Atividades Micro'!$B358=AH$2,'Atividades Micro'!$L358&lt;&gt;""),'Atividades Micro'!$L358,"")</f>
        <v/>
      </c>
      <c r="AI306" s="21" t="str">
        <f>IF(AND('Atividades Micro'!$B358=AI$2,'Atividades Micro'!$K358&lt;&gt;""),'Atividades Micro'!$K358,"")</f>
        <v/>
      </c>
      <c r="AJ306" s="21" t="str">
        <f>IF(AND('Atividades Micro'!$B358=AJ$2,'Atividades Micro'!$L358&lt;&gt;""),'Atividades Micro'!$L358,"")</f>
        <v/>
      </c>
      <c r="AK306" s="21" t="str">
        <f>IF(AND('Atividades Micro'!$A358=AK$2,'Atividades Micro'!$K358&lt;&gt;""),'Atividades Micro'!$K358,"")</f>
        <v/>
      </c>
      <c r="AL306" s="21" t="str">
        <f>IF(AND('Atividades Micro'!$A358=AL$2,'Atividades Micro'!$L358&lt;&gt;""),'Atividades Micro'!$L358,"")</f>
        <v/>
      </c>
      <c r="AM306" s="21" t="str">
        <f>IF(AND('Atividades Micro'!$B358=AM$2,'Atividades Micro'!$K358&lt;&gt;""),'Atividades Micro'!$K358,"")</f>
        <v/>
      </c>
      <c r="AN306" s="21" t="str">
        <f>IF(AND('Atividades Micro'!$B358=AN$2,'Atividades Micro'!$L358&lt;&gt;""),'Atividades Micro'!$L358,"")</f>
        <v/>
      </c>
      <c r="AO306" s="21" t="str">
        <f>IF(AND('Atividades Micro'!$B358=AO$2,'Atividades Micro'!$K358&lt;&gt;""),'Atividades Micro'!$K358,"")</f>
        <v/>
      </c>
      <c r="AP306" s="21" t="str">
        <f>IF(AND('Atividades Micro'!$B358=AP$2,'Atividades Micro'!$L358&lt;&gt;""),'Atividades Micro'!$L358,"")</f>
        <v/>
      </c>
      <c r="AQ306" s="21" t="str">
        <f>IF(AND('Atividades Micro'!$A358=AQ$2,'Atividades Micro'!$K358&lt;&gt;""),'Atividades Micro'!$K358,"")</f>
        <v/>
      </c>
      <c r="AR306" s="21" t="str">
        <f>IF(AND('Atividades Micro'!$A358=AR$2,'Atividades Micro'!$L358&lt;&gt;""),'Atividades Micro'!$L358,"")</f>
        <v/>
      </c>
      <c r="AS306" s="21" t="str">
        <f>IF(AND('Atividades Micro'!$B358=AS$2,'Atividades Micro'!$K358&lt;&gt;""),'Atividades Micro'!$K358,"")</f>
        <v/>
      </c>
      <c r="AT306" s="21" t="str">
        <f>IF(AND('Atividades Micro'!$B358=AT$2,'Atividades Micro'!$L358&lt;&gt;""),'Atividades Micro'!$L358,"")</f>
        <v/>
      </c>
      <c r="AU306" s="21" t="str">
        <f>IF(AND('Atividades Micro'!$A358=AU$2,'Atividades Micro'!$K358&lt;&gt;""),'Atividades Micro'!$K358,"")</f>
        <v/>
      </c>
      <c r="AV306" s="21" t="str">
        <f>IF(AND('Atividades Micro'!$A358=AV$2,'Atividades Micro'!$L358&lt;&gt;""),'Atividades Micro'!$L358,"")</f>
        <v/>
      </c>
      <c r="AW306" s="21" t="str">
        <f>IF(AND('Atividades Micro'!$B358=AW$2,'Atividades Micro'!$K358&lt;&gt;""),'Atividades Micro'!$K358,"")</f>
        <v/>
      </c>
      <c r="AX306" s="21" t="str">
        <f>IF(AND('Atividades Micro'!$B358=AX$2,'Atividades Micro'!$L358&lt;&gt;""),'Atividades Micro'!$L358,"")</f>
        <v/>
      </c>
      <c r="AY306" s="21" t="str">
        <f>IF(AND('Atividades Micro'!$A358=AY$2,'Atividades Micro'!$K358&lt;&gt;""),'Atividades Micro'!$K358,"")</f>
        <v/>
      </c>
      <c r="AZ306" s="21" t="str">
        <f>IF(AND('Atividades Micro'!$A358=AZ$2,'Atividades Micro'!$L358&lt;&gt;""),'Atividades Micro'!$L358,"")</f>
        <v/>
      </c>
      <c r="BA306" s="21" t="str">
        <f>IF(AND('Atividades Micro'!$B358=BA$2,'Atividades Micro'!$K358&lt;&gt;""),'Atividades Micro'!$K358,"")</f>
        <v/>
      </c>
      <c r="BB306" s="21" t="str">
        <f>IF(AND('Atividades Micro'!$B358=BB$2,'Atividades Micro'!$L358&lt;&gt;""),'Atividades Micro'!$L358,"")</f>
        <v/>
      </c>
      <c r="BC306" s="21" t="str">
        <f>IF(AND('Atividades Micro'!$B358=BC$2,'Atividades Micro'!$G358="Macro",'Atividades Micro'!$K358&lt;&gt;""),'Atividades Micro'!$K358,"")</f>
        <v/>
      </c>
      <c r="BD306" s="21" t="str">
        <f>IF(AND('Atividades Micro'!$B358=BD$2,'Atividades Micro'!$G358="Macro",'Atividades Micro'!$K358&lt;&gt;""),'Atividades Micro'!$K358,"")</f>
        <v/>
      </c>
      <c r="BE306" s="21" t="str">
        <f>IF(AND('Atividades Micro'!$B358=BE$2,'Atividades Micro'!$G358="Macro",'Atividades Micro'!$K358&lt;&gt;""),'Atividades Micro'!$K358,"")</f>
        <v/>
      </c>
      <c r="BF306" s="21" t="str">
        <f>IF(AND('Atividades Micro'!$B358=BF$2,'Atividades Micro'!$G358="Macro",'Atividades Micro'!$K358&lt;&gt;""),'Atividades Micro'!$K358,"")</f>
        <v/>
      </c>
      <c r="BG306" s="21" t="str">
        <f>IF(AND('Atividades Micro'!$B358=BG$2,'Atividades Micro'!$G358="Macro",'Atividades Micro'!$K358&lt;&gt;""),'Atividades Micro'!$K358,"")</f>
        <v/>
      </c>
      <c r="BH306" s="21" t="str">
        <f>IF(AND('Atividades Micro'!$B358=BH$2,'Atividades Micro'!$G358="Macro",'Atividades Micro'!$K358&lt;&gt;""),'Atividades Micro'!$K358,"")</f>
        <v/>
      </c>
      <c r="BI306" s="21" t="str">
        <f>IF(AND('Atividades Micro'!$B358=BI$2,'Atividades Micro'!$G358="Macro",'Atividades Micro'!$K358&lt;&gt;""),'Atividades Micro'!$K358,"")</f>
        <v/>
      </c>
      <c r="BJ306" s="21" t="str">
        <f>IF(AND('Atividades Micro'!$B358=BJ$2,'Atividades Micro'!$G358="Macro",'Atividades Micro'!$K358&lt;&gt;""),'Atividades Micro'!$K358,"")</f>
        <v/>
      </c>
      <c r="BK306" s="21" t="str">
        <f>IF(AND('Atividades Micro'!$B358=BK$2,'Atividades Micro'!$G358="Macro",'Atividades Micro'!$K358&lt;&gt;""),'Atividades Micro'!$K358,"")</f>
        <v/>
      </c>
      <c r="BL306" s="21" t="str">
        <f>IF(AND('Atividades Micro'!$B358=BL$2,'Atividades Micro'!$G358="Macro",'Atividades Micro'!$K358&lt;&gt;""),'Atividades Micro'!$K358,"")</f>
        <v/>
      </c>
      <c r="BM306" s="21" t="str">
        <f>IF(AND('Atividades Micro'!$B358=BM$2,'Atividades Micro'!$G358="Macro",'Atividades Micro'!$K358&lt;&gt;""),'Atividades Micro'!$K358,"")</f>
        <v/>
      </c>
      <c r="BN306" s="21" t="str">
        <f>IF(AND('Atividades Micro'!$B358=BN$2,'Atividades Micro'!$G358="Macro",'Atividades Micro'!$K358&lt;&gt;""),'Atividades Micro'!$K358,"")</f>
        <v/>
      </c>
      <c r="BO306" s="21" t="str">
        <f>IF(AND('Atividades Micro'!$B358=BO$2,'Atividades Micro'!$G358="Macro",'Atividades Micro'!$K358&lt;&gt;""),'Atividades Micro'!$K358,"")</f>
        <v/>
      </c>
      <c r="BP306" s="21" t="str">
        <f>IF(AND('Atividades Micro'!$B358=BP$2,'Atividades Micro'!$G358="Macro",'Atividades Micro'!$K358&lt;&gt;""),'Atividades Micro'!$K358,"")</f>
        <v/>
      </c>
      <c r="BQ306" s="21" t="str">
        <f>IF(AND('Atividades Micro'!$B358=BQ$2,'Atividades Micro'!$G358="Macro",'Atividades Micro'!$K358&lt;&gt;""),'Atividades Micro'!$K358,"")</f>
        <v/>
      </c>
      <c r="BR306" s="21" t="str">
        <f>IF(AND('Atividades Micro'!$B358=BR$2,'Atividades Micro'!$G358="Macro",'Atividades Micro'!$K358&lt;&gt;""),'Atividades Micro'!$K358,"")</f>
        <v/>
      </c>
      <c r="BS306" s="21" t="str">
        <f>IF(AND('Atividades Micro'!$B358=BS$2,'Atividades Micro'!$G358="Macro",'Atividades Micro'!$K358&lt;&gt;""),'Atividades Micro'!$K358,"")</f>
        <v/>
      </c>
      <c r="BT306" s="21" t="str">
        <f>IF(AND('Atividades Micro'!$B358=BT$2,'Atividades Micro'!$G358="Macro",'Atividades Micro'!$K358&lt;&gt;""),'Atividades Micro'!$K358,"")</f>
        <v/>
      </c>
      <c r="BU306" s="21" t="str">
        <f>IF(AND('Atividades Micro'!$B358=BU$2,'Atividades Micro'!$G358="Macro",'Atividades Micro'!$K358&lt;&gt;""),'Atividades Micro'!$K358,"")</f>
        <v/>
      </c>
      <c r="BV306" s="21" t="str">
        <f>IF(AND('Atividades Micro'!$B358=BV$2,'Atividades Micro'!$G358="Macro",'Atividades Micro'!$K358&lt;&gt;""),'Atividades Micro'!$K358,"")</f>
        <v/>
      </c>
      <c r="BW306" s="21" t="str">
        <f>IF(AND('Atividades Micro'!$B358=BW$2,'Atividades Micro'!$G358="Macro",'Atividades Micro'!$K358&lt;&gt;""),'Atividades Micro'!$K358,"")</f>
        <v/>
      </c>
      <c r="BX306" s="21" t="str">
        <f>IF(AND('Atividades Micro'!$B358=BX$2,'Atividades Micro'!$G358="Macro",'Atividades Micro'!$K358&lt;&gt;""),'Atividades Micro'!$K358,"")</f>
        <v/>
      </c>
      <c r="BY306" s="21" t="str">
        <f>IF(AND('Atividades Micro'!$B358=BY$2,'Atividades Micro'!$G358="Macro",'Atividades Micro'!$K358&lt;&gt;""),'Atividades Micro'!$K358,"")</f>
        <v/>
      </c>
      <c r="BZ306" s="21" t="str">
        <f>IF(AND('Atividades Micro'!$B358=BZ$2,'Atividades Micro'!$G358="Macro",'Atividades Micro'!$K358&lt;&gt;""),'Atividades Micro'!$K358,"")</f>
        <v/>
      </c>
      <c r="CA306" s="21" t="str">
        <f>IF(AND('Atividades Micro'!$B358=CA$2,'Atividades Micro'!$G358="Macro",'Atividades Micro'!$K358&lt;&gt;""),'Atividades Micro'!$K358,"")</f>
        <v/>
      </c>
      <c r="CB306" s="21" t="str">
        <f>IF(AND('Atividades Micro'!$B358=CB$2,'Atividades Micro'!$G358="Macro",'Atividades Micro'!$K358&lt;&gt;""),'Atividades Micro'!$K358,"")</f>
        <v/>
      </c>
      <c r="CC306" s="21" t="str">
        <f>IF(AND('Atividades Micro'!$B358=CC$2,'Atividades Micro'!$G358="Macro",'Atividades Micro'!$K358&lt;&gt;""),'Atividades Micro'!$K358,"")</f>
        <v/>
      </c>
      <c r="CD306" s="21" t="str">
        <f>IF(AND('Atividades Micro'!$B358=CD$2,'Atividades Micro'!$G358="Micro",'Atividades Micro'!$K358&lt;&gt;""),'Atividades Micro'!$K358,"")</f>
        <v/>
      </c>
      <c r="CE306" s="21" t="str">
        <f>IF(AND('Atividades Micro'!$B358=CE$2,'Atividades Micro'!$G358="Micro",'Atividades Micro'!$K358&lt;&gt;""),'Atividades Micro'!$K358,"")</f>
        <v/>
      </c>
      <c r="CF306" s="21" t="str">
        <f>IF(AND('Atividades Micro'!$B358=CF$2,'Atividades Micro'!$G358="Micro",'Atividades Micro'!$K358&lt;&gt;""),'Atividades Micro'!$K358,"")</f>
        <v/>
      </c>
      <c r="CG306" s="21" t="str">
        <f>IF(AND('Atividades Micro'!$B358=CG$2,'Atividades Micro'!$G358="Micro",'Atividades Micro'!$K358&lt;&gt;""),'Atividades Micro'!$K358,"")</f>
        <v/>
      </c>
      <c r="CH306" s="21" t="str">
        <f>IF(AND('Atividades Micro'!$B358=CH$2,'Atividades Micro'!$G358="Micro",'Atividades Micro'!$K358&lt;&gt;""),'Atividades Micro'!$K358,"")</f>
        <v/>
      </c>
      <c r="CI306" s="21" t="str">
        <f>IF(AND('Atividades Micro'!$B358=CI$2,'Atividades Micro'!$G358="Micro",'Atividades Micro'!$K358&lt;&gt;""),'Atividades Micro'!$K358,"")</f>
        <v/>
      </c>
      <c r="CJ306" s="21" t="str">
        <f>IF(AND('Atividades Micro'!$B358=CJ$2,'Atividades Micro'!$G358="Micro",'Atividades Micro'!$K358&lt;&gt;""),'Atividades Micro'!$K358,"")</f>
        <v/>
      </c>
      <c r="CK306" s="21" t="str">
        <f>IF(AND('Atividades Micro'!$B358=CK$2,'Atividades Micro'!$G358="Micro",'Atividades Micro'!$K358&lt;&gt;""),'Atividades Micro'!$K358,"")</f>
        <v/>
      </c>
      <c r="CL306" s="21" t="str">
        <f>IF(AND('Atividades Micro'!$B358=CL$2,'Atividades Micro'!$G358="Micro",'Atividades Micro'!$K358&lt;&gt;""),'Atividades Micro'!$K358,"")</f>
        <v/>
      </c>
      <c r="CM306" s="21" t="str">
        <f>IF(AND('Atividades Micro'!$B358=CM$2,'Atividades Micro'!$G358="Micro",'Atividades Micro'!$K358&lt;&gt;""),'Atividades Micro'!$K358,"")</f>
        <v/>
      </c>
      <c r="CN306" s="21" t="str">
        <f>IF(AND('Atividades Micro'!$B358=CN$2,'Atividades Micro'!$G358="Micro",'Atividades Micro'!$K358&lt;&gt;""),'Atividades Micro'!$K358,"")</f>
        <v/>
      </c>
      <c r="CO306" s="21" t="str">
        <f>IF(AND('Atividades Micro'!$B358=CO$2,'Atividades Micro'!$G358="Micro",'Atividades Micro'!$K358&lt;&gt;""),'Atividades Micro'!$K358,"")</f>
        <v/>
      </c>
    </row>
    <row r="307" spans="1:93">
      <c r="A307" s="21" t="str">
        <f>IF(AND('Atividades Micro'!$A359=A$2,'Atividades Micro'!$K359&lt;&gt;""),'Atividades Micro'!$K359,"")</f>
        <v/>
      </c>
      <c r="B307" s="21" t="str">
        <f>IF(AND('Atividades Micro'!$A359=B$2,'Atividades Micro'!$L359&lt;&gt;""),'Atividades Micro'!$L359,"")</f>
        <v/>
      </c>
      <c r="C307" s="21" t="str">
        <f>IF(AND('Atividades Micro'!$A359=C$2,'Atividades Micro'!$K359&lt;&gt;""),'Atividades Micro'!$K359,"")</f>
        <v/>
      </c>
      <c r="D307" s="21" t="str">
        <f>IF(AND('Atividades Micro'!$A359=D$2,'Atividades Micro'!$L359&lt;&gt;""),'Atividades Micro'!$L359,"")</f>
        <v/>
      </c>
      <c r="E307" s="21" t="str">
        <f>IF(AND('Atividades Micro'!$A359=E$2,'Atividades Micro'!$K359&lt;&gt;""),'Atividades Micro'!$K359,"")</f>
        <v/>
      </c>
      <c r="F307" s="21" t="str">
        <f>IF(AND('Atividades Micro'!$A359=F$2,'Atividades Micro'!$L359&lt;&gt;""),'Atividades Micro'!$L359,"")</f>
        <v/>
      </c>
      <c r="G307" s="21" t="str">
        <f>IF(AND('Atividades Micro'!$A359=G$2,'Atividades Micro'!$K359&lt;&gt;""),'Atividades Micro'!$K359,"")</f>
        <v/>
      </c>
      <c r="H307" s="21" t="str">
        <f>IF(AND('Atividades Micro'!$A359=H$2,'Atividades Micro'!$L359&lt;&gt;""),'Atividades Micro'!$L359,"")</f>
        <v/>
      </c>
      <c r="I307" s="21" t="str">
        <f>IF(AND('Atividades Micro'!$A359=I$2,'Atividades Micro'!$K359&lt;&gt;""),'Atividades Micro'!$K359,"")</f>
        <v/>
      </c>
      <c r="J307" s="21" t="str">
        <f>IF(AND('Atividades Micro'!$A359=J$2,'Atividades Micro'!$L359&lt;&gt;""),'Atividades Micro'!$L359,"")</f>
        <v/>
      </c>
      <c r="K307" s="21" t="str">
        <f>IF(AND('Atividades Micro'!$B359=K$2,'Atividades Micro'!$K359&lt;&gt;""),'Atividades Micro'!$K359,"")</f>
        <v/>
      </c>
      <c r="L307" s="21" t="str">
        <f>IF(AND('Atividades Micro'!$B359=L$2,'Atividades Micro'!$L359&lt;&gt;""),'Atividades Micro'!$L359,"")</f>
        <v/>
      </c>
      <c r="M307" s="21" t="str">
        <f>IF(AND('Atividades Micro'!$B359=M$2,'Atividades Micro'!$K359&lt;&gt;""),'Atividades Micro'!$K359,"")</f>
        <v/>
      </c>
      <c r="N307" s="21" t="str">
        <f>IF(AND('Atividades Micro'!$B359=N$2,'Atividades Micro'!$L359&lt;&gt;""),'Atividades Micro'!$L359,"")</f>
        <v/>
      </c>
      <c r="O307" s="21" t="str">
        <f>IF(AND('Atividades Micro'!$A359=O$2,'Atividades Micro'!$K359&lt;&gt;""),'Atividades Micro'!$K359,"")</f>
        <v/>
      </c>
      <c r="P307" s="21" t="str">
        <f>IF(AND('Atividades Micro'!$A359=P$2,'Atividades Micro'!$L359&lt;&gt;""),'Atividades Micro'!$L359,"")</f>
        <v/>
      </c>
      <c r="Q307" s="21" t="str">
        <f>IF(AND('Atividades Micro'!$B359=Q$2,'Atividades Micro'!$K359&lt;&gt;""),'Atividades Micro'!$K359,"")</f>
        <v/>
      </c>
      <c r="R307" s="21" t="str">
        <f>IF(AND('Atividades Micro'!$B359=R$2,'Atividades Micro'!$L359&lt;&gt;""),'Atividades Micro'!$L359,"")</f>
        <v/>
      </c>
      <c r="S307" s="21" t="str">
        <f>IF(AND('Atividades Micro'!$A359=S$2,'Atividades Micro'!$K359&lt;&gt;""),'Atividades Micro'!$K359,"")</f>
        <v/>
      </c>
      <c r="T307" s="21" t="str">
        <f>IF(AND('Atividades Micro'!$A359=T$2,'Atividades Micro'!$L359&lt;&gt;""),'Atividades Micro'!$L359,"")</f>
        <v/>
      </c>
      <c r="U307" s="21" t="str">
        <f>IF(AND('Atividades Micro'!$B359=U$2,'Atividades Micro'!$K359&lt;&gt;""),'Atividades Micro'!$K359,"")</f>
        <v/>
      </c>
      <c r="V307" s="21" t="str">
        <f>IF(AND('Atividades Micro'!$B359=V$2,'Atividades Micro'!$L359&lt;&gt;""),'Atividades Micro'!$L359,"")</f>
        <v/>
      </c>
      <c r="W307" s="21" t="str">
        <f>IF(AND('Atividades Micro'!$B359=W$2,'Atividades Micro'!$K359&lt;&gt;""),'Atividades Micro'!$K359,"")</f>
        <v/>
      </c>
      <c r="X307" s="21" t="str">
        <f>IF(AND('Atividades Micro'!$B359=X$2,'Atividades Micro'!$L359&lt;&gt;""),'Atividades Micro'!$L359,"")</f>
        <v/>
      </c>
      <c r="Y307" s="21" t="str">
        <f>IF(AND('Atividades Micro'!$A359=Y$2,'Atividades Micro'!$K359&lt;&gt;""),'Atividades Micro'!$K359,"")</f>
        <v/>
      </c>
      <c r="Z307" s="21" t="str">
        <f>IF(AND('Atividades Micro'!$A359=Z$2,'Atividades Micro'!$L359&lt;&gt;""),'Atividades Micro'!$L359,"")</f>
        <v/>
      </c>
      <c r="AA307" s="21" t="str">
        <f>IF(AND('Atividades Micro'!$B359=AA$2,'Atividades Micro'!$K359&lt;&gt;""),'Atividades Micro'!$K359,"")</f>
        <v/>
      </c>
      <c r="AB307" s="21" t="str">
        <f>IF(AND('Atividades Micro'!$B359=AB$2,'Atividades Micro'!$L359&lt;&gt;""),'Atividades Micro'!$L359,"")</f>
        <v/>
      </c>
      <c r="AC307" s="21" t="str">
        <f>IF(AND('Atividades Micro'!$B359=AC$2,'Atividades Micro'!$K359&lt;&gt;""),'Atividades Micro'!$K359,"")</f>
        <v/>
      </c>
      <c r="AD307" s="21" t="str">
        <f>IF(AND('Atividades Micro'!$B359=AD$2,'Atividades Micro'!$L359&lt;&gt;""),'Atividades Micro'!$L359,"")</f>
        <v/>
      </c>
      <c r="AE307" s="21" t="str">
        <f>IF(AND('Atividades Micro'!$A359=AE$2,'Atividades Micro'!$K359&lt;&gt;""),'Atividades Micro'!$K359,"")</f>
        <v/>
      </c>
      <c r="AF307" s="21" t="str">
        <f>IF(AND('Atividades Micro'!$A359=AF$2,'Atividades Micro'!$L359&lt;&gt;""),'Atividades Micro'!$L359,"")</f>
        <v/>
      </c>
      <c r="AG307" s="21" t="str">
        <f>IF(AND('Atividades Micro'!$B359=AG$2,'Atividades Micro'!$K359&lt;&gt;""),'Atividades Micro'!$K359,"")</f>
        <v/>
      </c>
      <c r="AH307" s="21" t="str">
        <f>IF(AND('Atividades Micro'!$B359=AH$2,'Atividades Micro'!$L359&lt;&gt;""),'Atividades Micro'!$L359,"")</f>
        <v/>
      </c>
      <c r="AI307" s="21" t="str">
        <f>IF(AND('Atividades Micro'!$B359=AI$2,'Atividades Micro'!$K359&lt;&gt;""),'Atividades Micro'!$K359,"")</f>
        <v/>
      </c>
      <c r="AJ307" s="21" t="str">
        <f>IF(AND('Atividades Micro'!$B359=AJ$2,'Atividades Micro'!$L359&lt;&gt;""),'Atividades Micro'!$L359,"")</f>
        <v/>
      </c>
      <c r="AK307" s="21" t="str">
        <f>IF(AND('Atividades Micro'!$A359=AK$2,'Atividades Micro'!$K359&lt;&gt;""),'Atividades Micro'!$K359,"")</f>
        <v/>
      </c>
      <c r="AL307" s="21" t="str">
        <f>IF(AND('Atividades Micro'!$A359=AL$2,'Atividades Micro'!$L359&lt;&gt;""),'Atividades Micro'!$L359,"")</f>
        <v/>
      </c>
      <c r="AM307" s="21" t="str">
        <f>IF(AND('Atividades Micro'!$B359=AM$2,'Atividades Micro'!$K359&lt;&gt;""),'Atividades Micro'!$K359,"")</f>
        <v/>
      </c>
      <c r="AN307" s="21" t="str">
        <f>IF(AND('Atividades Micro'!$B359=AN$2,'Atividades Micro'!$L359&lt;&gt;""),'Atividades Micro'!$L359,"")</f>
        <v/>
      </c>
      <c r="AO307" s="21" t="str">
        <f>IF(AND('Atividades Micro'!$B359=AO$2,'Atividades Micro'!$K359&lt;&gt;""),'Atividades Micro'!$K359,"")</f>
        <v/>
      </c>
      <c r="AP307" s="21" t="str">
        <f>IF(AND('Atividades Micro'!$B359=AP$2,'Atividades Micro'!$L359&lt;&gt;""),'Atividades Micro'!$L359,"")</f>
        <v/>
      </c>
      <c r="AQ307" s="21" t="str">
        <f>IF(AND('Atividades Micro'!$A359=AQ$2,'Atividades Micro'!$K359&lt;&gt;""),'Atividades Micro'!$K359,"")</f>
        <v/>
      </c>
      <c r="AR307" s="21" t="str">
        <f>IF(AND('Atividades Micro'!$A359=AR$2,'Atividades Micro'!$L359&lt;&gt;""),'Atividades Micro'!$L359,"")</f>
        <v/>
      </c>
      <c r="AS307" s="21" t="str">
        <f>IF(AND('Atividades Micro'!$B359=AS$2,'Atividades Micro'!$K359&lt;&gt;""),'Atividades Micro'!$K359,"")</f>
        <v/>
      </c>
      <c r="AT307" s="21" t="str">
        <f>IF(AND('Atividades Micro'!$B359=AT$2,'Atividades Micro'!$L359&lt;&gt;""),'Atividades Micro'!$L359,"")</f>
        <v/>
      </c>
      <c r="AU307" s="21" t="str">
        <f>IF(AND('Atividades Micro'!$A359=AU$2,'Atividades Micro'!$K359&lt;&gt;""),'Atividades Micro'!$K359,"")</f>
        <v/>
      </c>
      <c r="AV307" s="21" t="str">
        <f>IF(AND('Atividades Micro'!$A359=AV$2,'Atividades Micro'!$L359&lt;&gt;""),'Atividades Micro'!$L359,"")</f>
        <v/>
      </c>
      <c r="AW307" s="21" t="str">
        <f>IF(AND('Atividades Micro'!$B359=AW$2,'Atividades Micro'!$K359&lt;&gt;""),'Atividades Micro'!$K359,"")</f>
        <v/>
      </c>
      <c r="AX307" s="21" t="str">
        <f>IF(AND('Atividades Micro'!$B359=AX$2,'Atividades Micro'!$L359&lt;&gt;""),'Atividades Micro'!$L359,"")</f>
        <v/>
      </c>
      <c r="AY307" s="21" t="str">
        <f>IF(AND('Atividades Micro'!$A359=AY$2,'Atividades Micro'!$K359&lt;&gt;""),'Atividades Micro'!$K359,"")</f>
        <v/>
      </c>
      <c r="AZ307" s="21" t="str">
        <f>IF(AND('Atividades Micro'!$A359=AZ$2,'Atividades Micro'!$L359&lt;&gt;""),'Atividades Micro'!$L359,"")</f>
        <v/>
      </c>
      <c r="BA307" s="21" t="str">
        <f>IF(AND('Atividades Micro'!$B359=BA$2,'Atividades Micro'!$K359&lt;&gt;""),'Atividades Micro'!$K359,"")</f>
        <v/>
      </c>
      <c r="BB307" s="21" t="str">
        <f>IF(AND('Atividades Micro'!$B359=BB$2,'Atividades Micro'!$L359&lt;&gt;""),'Atividades Micro'!$L359,"")</f>
        <v/>
      </c>
      <c r="BC307" s="21" t="str">
        <f>IF(AND('Atividades Micro'!$B359=BC$2,'Atividades Micro'!$G359="Macro",'Atividades Micro'!$K359&lt;&gt;""),'Atividades Micro'!$K359,"")</f>
        <v/>
      </c>
      <c r="BD307" s="21" t="str">
        <f>IF(AND('Atividades Micro'!$B359=BD$2,'Atividades Micro'!$G359="Macro",'Atividades Micro'!$K359&lt;&gt;""),'Atividades Micro'!$K359,"")</f>
        <v/>
      </c>
      <c r="BE307" s="21" t="str">
        <f>IF(AND('Atividades Micro'!$B359=BE$2,'Atividades Micro'!$G359="Macro",'Atividades Micro'!$K359&lt;&gt;""),'Atividades Micro'!$K359,"")</f>
        <v/>
      </c>
      <c r="BF307" s="21" t="str">
        <f>IF(AND('Atividades Micro'!$B359=BF$2,'Atividades Micro'!$G359="Macro",'Atividades Micro'!$K359&lt;&gt;""),'Atividades Micro'!$K359,"")</f>
        <v/>
      </c>
      <c r="BG307" s="21" t="str">
        <f>IF(AND('Atividades Micro'!$B359=BG$2,'Atividades Micro'!$G359="Macro",'Atividades Micro'!$K359&lt;&gt;""),'Atividades Micro'!$K359,"")</f>
        <v/>
      </c>
      <c r="BH307" s="21" t="str">
        <f>IF(AND('Atividades Micro'!$B359=BH$2,'Atividades Micro'!$G359="Macro",'Atividades Micro'!$K359&lt;&gt;""),'Atividades Micro'!$K359,"")</f>
        <v/>
      </c>
      <c r="BI307" s="21" t="str">
        <f>IF(AND('Atividades Micro'!$B359=BI$2,'Atividades Micro'!$G359="Macro",'Atividades Micro'!$K359&lt;&gt;""),'Atividades Micro'!$K359,"")</f>
        <v/>
      </c>
      <c r="BJ307" s="21" t="str">
        <f>IF(AND('Atividades Micro'!$B359=BJ$2,'Atividades Micro'!$G359="Macro",'Atividades Micro'!$K359&lt;&gt;""),'Atividades Micro'!$K359,"")</f>
        <v/>
      </c>
      <c r="BK307" s="21" t="str">
        <f>IF(AND('Atividades Micro'!$B359=BK$2,'Atividades Micro'!$G359="Macro",'Atividades Micro'!$K359&lt;&gt;""),'Atividades Micro'!$K359,"")</f>
        <v/>
      </c>
      <c r="BL307" s="21" t="str">
        <f>IF(AND('Atividades Micro'!$B359=BL$2,'Atividades Micro'!$G359="Macro",'Atividades Micro'!$K359&lt;&gt;""),'Atividades Micro'!$K359,"")</f>
        <v/>
      </c>
      <c r="BM307" s="21" t="str">
        <f>IF(AND('Atividades Micro'!$B359=BM$2,'Atividades Micro'!$G359="Macro",'Atividades Micro'!$K359&lt;&gt;""),'Atividades Micro'!$K359,"")</f>
        <v/>
      </c>
      <c r="BN307" s="21" t="str">
        <f>IF(AND('Atividades Micro'!$B359=BN$2,'Atividades Micro'!$G359="Macro",'Atividades Micro'!$K359&lt;&gt;""),'Atividades Micro'!$K359,"")</f>
        <v/>
      </c>
      <c r="BO307" s="21" t="str">
        <f>IF(AND('Atividades Micro'!$B359=BO$2,'Atividades Micro'!$G359="Macro",'Atividades Micro'!$K359&lt;&gt;""),'Atividades Micro'!$K359,"")</f>
        <v/>
      </c>
      <c r="BP307" s="21" t="str">
        <f>IF(AND('Atividades Micro'!$B359=BP$2,'Atividades Micro'!$G359="Macro",'Atividades Micro'!$K359&lt;&gt;""),'Atividades Micro'!$K359,"")</f>
        <v/>
      </c>
      <c r="BQ307" s="21" t="str">
        <f>IF(AND('Atividades Micro'!$B359=BQ$2,'Atividades Micro'!$G359="Macro",'Atividades Micro'!$K359&lt;&gt;""),'Atividades Micro'!$K359,"")</f>
        <v/>
      </c>
      <c r="BR307" s="21" t="str">
        <f>IF(AND('Atividades Micro'!$B359=BR$2,'Atividades Micro'!$G359="Macro",'Atividades Micro'!$K359&lt;&gt;""),'Atividades Micro'!$K359,"")</f>
        <v/>
      </c>
      <c r="BS307" s="21" t="str">
        <f>IF(AND('Atividades Micro'!$B359=BS$2,'Atividades Micro'!$G359="Macro",'Atividades Micro'!$K359&lt;&gt;""),'Atividades Micro'!$K359,"")</f>
        <v/>
      </c>
      <c r="BT307" s="21" t="str">
        <f>IF(AND('Atividades Micro'!$B359=BT$2,'Atividades Micro'!$G359="Macro",'Atividades Micro'!$K359&lt;&gt;""),'Atividades Micro'!$K359,"")</f>
        <v/>
      </c>
      <c r="BU307" s="21" t="str">
        <f>IF(AND('Atividades Micro'!$B359=BU$2,'Atividades Micro'!$G359="Macro",'Atividades Micro'!$K359&lt;&gt;""),'Atividades Micro'!$K359,"")</f>
        <v/>
      </c>
      <c r="BV307" s="21" t="str">
        <f>IF(AND('Atividades Micro'!$B359=BV$2,'Atividades Micro'!$G359="Macro",'Atividades Micro'!$K359&lt;&gt;""),'Atividades Micro'!$K359,"")</f>
        <v/>
      </c>
      <c r="BW307" s="21" t="str">
        <f>IF(AND('Atividades Micro'!$B359=BW$2,'Atividades Micro'!$G359="Macro",'Atividades Micro'!$K359&lt;&gt;""),'Atividades Micro'!$K359,"")</f>
        <v/>
      </c>
      <c r="BX307" s="21" t="str">
        <f>IF(AND('Atividades Micro'!$B359=BX$2,'Atividades Micro'!$G359="Macro",'Atividades Micro'!$K359&lt;&gt;""),'Atividades Micro'!$K359,"")</f>
        <v/>
      </c>
      <c r="BY307" s="21" t="str">
        <f>IF(AND('Atividades Micro'!$B359=BY$2,'Atividades Micro'!$G359="Macro",'Atividades Micro'!$K359&lt;&gt;""),'Atividades Micro'!$K359,"")</f>
        <v/>
      </c>
      <c r="BZ307" s="21" t="str">
        <f>IF(AND('Atividades Micro'!$B359=BZ$2,'Atividades Micro'!$G359="Macro",'Atividades Micro'!$K359&lt;&gt;""),'Atividades Micro'!$K359,"")</f>
        <v/>
      </c>
      <c r="CA307" s="21" t="str">
        <f>IF(AND('Atividades Micro'!$B359=CA$2,'Atividades Micro'!$G359="Macro",'Atividades Micro'!$K359&lt;&gt;""),'Atividades Micro'!$K359,"")</f>
        <v/>
      </c>
      <c r="CB307" s="21" t="str">
        <f>IF(AND('Atividades Micro'!$B359=CB$2,'Atividades Micro'!$G359="Macro",'Atividades Micro'!$K359&lt;&gt;""),'Atividades Micro'!$K359,"")</f>
        <v/>
      </c>
      <c r="CC307" s="21" t="str">
        <f>IF(AND('Atividades Micro'!$B359=CC$2,'Atividades Micro'!$G359="Macro",'Atividades Micro'!$K359&lt;&gt;""),'Atividades Micro'!$K359,"")</f>
        <v/>
      </c>
      <c r="CD307" s="21" t="str">
        <f>IF(AND('Atividades Micro'!$B359=CD$2,'Atividades Micro'!$G359="Micro",'Atividades Micro'!$K359&lt;&gt;""),'Atividades Micro'!$K359,"")</f>
        <v/>
      </c>
      <c r="CE307" s="21" t="str">
        <f>IF(AND('Atividades Micro'!$B359=CE$2,'Atividades Micro'!$G359="Micro",'Atividades Micro'!$K359&lt;&gt;""),'Atividades Micro'!$K359,"")</f>
        <v/>
      </c>
      <c r="CF307" s="21" t="str">
        <f>IF(AND('Atividades Micro'!$B359=CF$2,'Atividades Micro'!$G359="Micro",'Atividades Micro'!$K359&lt;&gt;""),'Atividades Micro'!$K359,"")</f>
        <v/>
      </c>
      <c r="CG307" s="21" t="str">
        <f>IF(AND('Atividades Micro'!$B359=CG$2,'Atividades Micro'!$G359="Micro",'Atividades Micro'!$K359&lt;&gt;""),'Atividades Micro'!$K359,"")</f>
        <v/>
      </c>
      <c r="CH307" s="21" t="str">
        <f>IF(AND('Atividades Micro'!$B359=CH$2,'Atividades Micro'!$G359="Micro",'Atividades Micro'!$K359&lt;&gt;""),'Atividades Micro'!$K359,"")</f>
        <v/>
      </c>
      <c r="CI307" s="21" t="str">
        <f>IF(AND('Atividades Micro'!$B359=CI$2,'Atividades Micro'!$G359="Micro",'Atividades Micro'!$K359&lt;&gt;""),'Atividades Micro'!$K359,"")</f>
        <v/>
      </c>
      <c r="CJ307" s="21" t="str">
        <f>IF(AND('Atividades Micro'!$B359=CJ$2,'Atividades Micro'!$G359="Micro",'Atividades Micro'!$K359&lt;&gt;""),'Atividades Micro'!$K359,"")</f>
        <v/>
      </c>
      <c r="CK307" s="21" t="str">
        <f>IF(AND('Atividades Micro'!$B359=CK$2,'Atividades Micro'!$G359="Micro",'Atividades Micro'!$K359&lt;&gt;""),'Atividades Micro'!$K359,"")</f>
        <v/>
      </c>
      <c r="CL307" s="21" t="str">
        <f>IF(AND('Atividades Micro'!$B359=CL$2,'Atividades Micro'!$G359="Micro",'Atividades Micro'!$K359&lt;&gt;""),'Atividades Micro'!$K359,"")</f>
        <v/>
      </c>
      <c r="CM307" s="21" t="str">
        <f>IF(AND('Atividades Micro'!$B359=CM$2,'Atividades Micro'!$G359="Micro",'Atividades Micro'!$K359&lt;&gt;""),'Atividades Micro'!$K359,"")</f>
        <v/>
      </c>
      <c r="CN307" s="21" t="str">
        <f>IF(AND('Atividades Micro'!$B359=CN$2,'Atividades Micro'!$G359="Micro",'Atividades Micro'!$K359&lt;&gt;""),'Atividades Micro'!$K359,"")</f>
        <v/>
      </c>
      <c r="CO307" s="21" t="str">
        <f>IF(AND('Atividades Micro'!$B359=CO$2,'Atividades Micro'!$G359="Micro",'Atividades Micro'!$K359&lt;&gt;""),'Atividades Micro'!$K359,"")</f>
        <v/>
      </c>
    </row>
    <row r="308" spans="1:93">
      <c r="A308" s="21" t="str">
        <f>IF(AND('Atividades Micro'!$A360=A$2,'Atividades Micro'!$K360&lt;&gt;""),'Atividades Micro'!$K360,"")</f>
        <v/>
      </c>
      <c r="B308" s="21" t="str">
        <f>IF(AND('Atividades Micro'!$A360=B$2,'Atividades Micro'!$L360&lt;&gt;""),'Atividades Micro'!$L360,"")</f>
        <v/>
      </c>
      <c r="C308" s="21" t="str">
        <f>IF(AND('Atividades Micro'!$A360=C$2,'Atividades Micro'!$K360&lt;&gt;""),'Atividades Micro'!$K360,"")</f>
        <v/>
      </c>
      <c r="D308" s="21" t="str">
        <f>IF(AND('Atividades Micro'!$A360=D$2,'Atividades Micro'!$L360&lt;&gt;""),'Atividades Micro'!$L360,"")</f>
        <v/>
      </c>
      <c r="E308" s="21" t="str">
        <f>IF(AND('Atividades Micro'!$A360=E$2,'Atividades Micro'!$K360&lt;&gt;""),'Atividades Micro'!$K360,"")</f>
        <v/>
      </c>
      <c r="F308" s="21" t="str">
        <f>IF(AND('Atividades Micro'!$A360=F$2,'Atividades Micro'!$L360&lt;&gt;""),'Atividades Micro'!$L360,"")</f>
        <v/>
      </c>
      <c r="G308" s="21" t="str">
        <f>IF(AND('Atividades Micro'!$A360=G$2,'Atividades Micro'!$K360&lt;&gt;""),'Atividades Micro'!$K360,"")</f>
        <v/>
      </c>
      <c r="H308" s="21" t="str">
        <f>IF(AND('Atividades Micro'!$A360=H$2,'Atividades Micro'!$L360&lt;&gt;""),'Atividades Micro'!$L360,"")</f>
        <v/>
      </c>
      <c r="I308" s="21" t="str">
        <f>IF(AND('Atividades Micro'!$A360=I$2,'Atividades Micro'!$K360&lt;&gt;""),'Atividades Micro'!$K360,"")</f>
        <v/>
      </c>
      <c r="J308" s="21" t="str">
        <f>IF(AND('Atividades Micro'!$A360=J$2,'Atividades Micro'!$L360&lt;&gt;""),'Atividades Micro'!$L360,"")</f>
        <v/>
      </c>
      <c r="K308" s="21" t="str">
        <f>IF(AND('Atividades Micro'!$B360=K$2,'Atividades Micro'!$K360&lt;&gt;""),'Atividades Micro'!$K360,"")</f>
        <v/>
      </c>
      <c r="L308" s="21" t="str">
        <f>IF(AND('Atividades Micro'!$B360=L$2,'Atividades Micro'!$L360&lt;&gt;""),'Atividades Micro'!$L360,"")</f>
        <v/>
      </c>
      <c r="M308" s="21" t="str">
        <f>IF(AND('Atividades Micro'!$B360=M$2,'Atividades Micro'!$K360&lt;&gt;""),'Atividades Micro'!$K360,"")</f>
        <v/>
      </c>
      <c r="N308" s="21" t="str">
        <f>IF(AND('Atividades Micro'!$B360=N$2,'Atividades Micro'!$L360&lt;&gt;""),'Atividades Micro'!$L360,"")</f>
        <v/>
      </c>
      <c r="O308" s="21" t="str">
        <f>IF(AND('Atividades Micro'!$A360=O$2,'Atividades Micro'!$K360&lt;&gt;""),'Atividades Micro'!$K360,"")</f>
        <v/>
      </c>
      <c r="P308" s="21" t="str">
        <f>IF(AND('Atividades Micro'!$A360=P$2,'Atividades Micro'!$L360&lt;&gt;""),'Atividades Micro'!$L360,"")</f>
        <v/>
      </c>
      <c r="Q308" s="21" t="str">
        <f>IF(AND('Atividades Micro'!$B360=Q$2,'Atividades Micro'!$K360&lt;&gt;""),'Atividades Micro'!$K360,"")</f>
        <v/>
      </c>
      <c r="R308" s="21" t="str">
        <f>IF(AND('Atividades Micro'!$B360=R$2,'Atividades Micro'!$L360&lt;&gt;""),'Atividades Micro'!$L360,"")</f>
        <v/>
      </c>
      <c r="S308" s="21" t="str">
        <f>IF(AND('Atividades Micro'!$A360=S$2,'Atividades Micro'!$K360&lt;&gt;""),'Atividades Micro'!$K360,"")</f>
        <v/>
      </c>
      <c r="T308" s="21" t="str">
        <f>IF(AND('Atividades Micro'!$A360=T$2,'Atividades Micro'!$L360&lt;&gt;""),'Atividades Micro'!$L360,"")</f>
        <v/>
      </c>
      <c r="U308" s="21" t="str">
        <f>IF(AND('Atividades Micro'!$B360=U$2,'Atividades Micro'!$K360&lt;&gt;""),'Atividades Micro'!$K360,"")</f>
        <v/>
      </c>
      <c r="V308" s="21" t="str">
        <f>IF(AND('Atividades Micro'!$B360=V$2,'Atividades Micro'!$L360&lt;&gt;""),'Atividades Micro'!$L360,"")</f>
        <v/>
      </c>
      <c r="W308" s="21" t="str">
        <f>IF(AND('Atividades Micro'!$B360=W$2,'Atividades Micro'!$K360&lt;&gt;""),'Atividades Micro'!$K360,"")</f>
        <v/>
      </c>
      <c r="X308" s="21" t="str">
        <f>IF(AND('Atividades Micro'!$B360=X$2,'Atividades Micro'!$L360&lt;&gt;""),'Atividades Micro'!$L360,"")</f>
        <v/>
      </c>
      <c r="Y308" s="21" t="str">
        <f>IF(AND('Atividades Micro'!$A360=Y$2,'Atividades Micro'!$K360&lt;&gt;""),'Atividades Micro'!$K360,"")</f>
        <v/>
      </c>
      <c r="Z308" s="21" t="str">
        <f>IF(AND('Atividades Micro'!$A360=Z$2,'Atividades Micro'!$L360&lt;&gt;""),'Atividades Micro'!$L360,"")</f>
        <v/>
      </c>
      <c r="AA308" s="21" t="str">
        <f>IF(AND('Atividades Micro'!$B360=AA$2,'Atividades Micro'!$K360&lt;&gt;""),'Atividades Micro'!$K360,"")</f>
        <v/>
      </c>
      <c r="AB308" s="21" t="str">
        <f>IF(AND('Atividades Micro'!$B360=AB$2,'Atividades Micro'!$L360&lt;&gt;""),'Atividades Micro'!$L360,"")</f>
        <v/>
      </c>
      <c r="AC308" s="21" t="str">
        <f>IF(AND('Atividades Micro'!$B360=AC$2,'Atividades Micro'!$K360&lt;&gt;""),'Atividades Micro'!$K360,"")</f>
        <v/>
      </c>
      <c r="AD308" s="21" t="str">
        <f>IF(AND('Atividades Micro'!$B360=AD$2,'Atividades Micro'!$L360&lt;&gt;""),'Atividades Micro'!$L360,"")</f>
        <v/>
      </c>
      <c r="AE308" s="21" t="str">
        <f>IF(AND('Atividades Micro'!$A360=AE$2,'Atividades Micro'!$K360&lt;&gt;""),'Atividades Micro'!$K360,"")</f>
        <v/>
      </c>
      <c r="AF308" s="21" t="str">
        <f>IF(AND('Atividades Micro'!$A360=AF$2,'Atividades Micro'!$L360&lt;&gt;""),'Atividades Micro'!$L360,"")</f>
        <v/>
      </c>
      <c r="AG308" s="21" t="str">
        <f>IF(AND('Atividades Micro'!$B360=AG$2,'Atividades Micro'!$K360&lt;&gt;""),'Atividades Micro'!$K360,"")</f>
        <v/>
      </c>
      <c r="AH308" s="21" t="str">
        <f>IF(AND('Atividades Micro'!$B360=AH$2,'Atividades Micro'!$L360&lt;&gt;""),'Atividades Micro'!$L360,"")</f>
        <v/>
      </c>
      <c r="AI308" s="21" t="str">
        <f>IF(AND('Atividades Micro'!$B360=AI$2,'Atividades Micro'!$K360&lt;&gt;""),'Atividades Micro'!$K360,"")</f>
        <v/>
      </c>
      <c r="AJ308" s="21" t="str">
        <f>IF(AND('Atividades Micro'!$B360=AJ$2,'Atividades Micro'!$L360&lt;&gt;""),'Atividades Micro'!$L360,"")</f>
        <v/>
      </c>
      <c r="AK308" s="21" t="str">
        <f>IF(AND('Atividades Micro'!$A360=AK$2,'Atividades Micro'!$K360&lt;&gt;""),'Atividades Micro'!$K360,"")</f>
        <v/>
      </c>
      <c r="AL308" s="21" t="str">
        <f>IF(AND('Atividades Micro'!$A360=AL$2,'Atividades Micro'!$L360&lt;&gt;""),'Atividades Micro'!$L360,"")</f>
        <v/>
      </c>
      <c r="AM308" s="21" t="str">
        <f>IF(AND('Atividades Micro'!$B360=AM$2,'Atividades Micro'!$K360&lt;&gt;""),'Atividades Micro'!$K360,"")</f>
        <v/>
      </c>
      <c r="AN308" s="21" t="str">
        <f>IF(AND('Atividades Micro'!$B360=AN$2,'Atividades Micro'!$L360&lt;&gt;""),'Atividades Micro'!$L360,"")</f>
        <v/>
      </c>
      <c r="AO308" s="21" t="str">
        <f>IF(AND('Atividades Micro'!$B360=AO$2,'Atividades Micro'!$K360&lt;&gt;""),'Atividades Micro'!$K360,"")</f>
        <v/>
      </c>
      <c r="AP308" s="21" t="str">
        <f>IF(AND('Atividades Micro'!$B360=AP$2,'Atividades Micro'!$L360&lt;&gt;""),'Atividades Micro'!$L360,"")</f>
        <v/>
      </c>
      <c r="AQ308" s="21" t="str">
        <f>IF(AND('Atividades Micro'!$A360=AQ$2,'Atividades Micro'!$K360&lt;&gt;""),'Atividades Micro'!$K360,"")</f>
        <v/>
      </c>
      <c r="AR308" s="21" t="str">
        <f>IF(AND('Atividades Micro'!$A360=AR$2,'Atividades Micro'!$L360&lt;&gt;""),'Atividades Micro'!$L360,"")</f>
        <v/>
      </c>
      <c r="AS308" s="21" t="str">
        <f>IF(AND('Atividades Micro'!$B360=AS$2,'Atividades Micro'!$K360&lt;&gt;""),'Atividades Micro'!$K360,"")</f>
        <v/>
      </c>
      <c r="AT308" s="21" t="str">
        <f>IF(AND('Atividades Micro'!$B360=AT$2,'Atividades Micro'!$L360&lt;&gt;""),'Atividades Micro'!$L360,"")</f>
        <v/>
      </c>
      <c r="AU308" s="21" t="str">
        <f>IF(AND('Atividades Micro'!$A360=AU$2,'Atividades Micro'!$K360&lt;&gt;""),'Atividades Micro'!$K360,"")</f>
        <v/>
      </c>
      <c r="AV308" s="21" t="str">
        <f>IF(AND('Atividades Micro'!$A360=AV$2,'Atividades Micro'!$L360&lt;&gt;""),'Atividades Micro'!$L360,"")</f>
        <v/>
      </c>
      <c r="AW308" s="21" t="str">
        <f>IF(AND('Atividades Micro'!$B360=AW$2,'Atividades Micro'!$K360&lt;&gt;""),'Atividades Micro'!$K360,"")</f>
        <v/>
      </c>
      <c r="AX308" s="21" t="str">
        <f>IF(AND('Atividades Micro'!$B360=AX$2,'Atividades Micro'!$L360&lt;&gt;""),'Atividades Micro'!$L360,"")</f>
        <v/>
      </c>
      <c r="AY308" s="21" t="str">
        <f>IF(AND('Atividades Micro'!$A360=AY$2,'Atividades Micro'!$K360&lt;&gt;""),'Atividades Micro'!$K360,"")</f>
        <v/>
      </c>
      <c r="AZ308" s="21" t="str">
        <f>IF(AND('Atividades Micro'!$A360=AZ$2,'Atividades Micro'!$L360&lt;&gt;""),'Atividades Micro'!$L360,"")</f>
        <v/>
      </c>
      <c r="BA308" s="21" t="str">
        <f>IF(AND('Atividades Micro'!$B360=BA$2,'Atividades Micro'!$K360&lt;&gt;""),'Atividades Micro'!$K360,"")</f>
        <v/>
      </c>
      <c r="BB308" s="21" t="str">
        <f>IF(AND('Atividades Micro'!$B360=BB$2,'Atividades Micro'!$L360&lt;&gt;""),'Atividades Micro'!$L360,"")</f>
        <v/>
      </c>
      <c r="BC308" s="21" t="str">
        <f>IF(AND('Atividades Micro'!$B360=BC$2,'Atividades Micro'!$G360="Macro",'Atividades Micro'!$K360&lt;&gt;""),'Atividades Micro'!$K360,"")</f>
        <v/>
      </c>
      <c r="BD308" s="21" t="str">
        <f>IF(AND('Atividades Micro'!$B360=BD$2,'Atividades Micro'!$G360="Macro",'Atividades Micro'!$K360&lt;&gt;""),'Atividades Micro'!$K360,"")</f>
        <v/>
      </c>
      <c r="BE308" s="21" t="str">
        <f>IF(AND('Atividades Micro'!$B360=BE$2,'Atividades Micro'!$G360="Macro",'Atividades Micro'!$K360&lt;&gt;""),'Atividades Micro'!$K360,"")</f>
        <v/>
      </c>
      <c r="BF308" s="21" t="str">
        <f>IF(AND('Atividades Micro'!$B360=BF$2,'Atividades Micro'!$G360="Macro",'Atividades Micro'!$K360&lt;&gt;""),'Atividades Micro'!$K360,"")</f>
        <v/>
      </c>
      <c r="BG308" s="21" t="str">
        <f>IF(AND('Atividades Micro'!$B360=BG$2,'Atividades Micro'!$G360="Macro",'Atividades Micro'!$K360&lt;&gt;""),'Atividades Micro'!$K360,"")</f>
        <v/>
      </c>
      <c r="BH308" s="21" t="str">
        <f>IF(AND('Atividades Micro'!$B360=BH$2,'Atividades Micro'!$G360="Macro",'Atividades Micro'!$K360&lt;&gt;""),'Atividades Micro'!$K360,"")</f>
        <v/>
      </c>
      <c r="BI308" s="21" t="str">
        <f>IF(AND('Atividades Micro'!$B360=BI$2,'Atividades Micro'!$G360="Macro",'Atividades Micro'!$K360&lt;&gt;""),'Atividades Micro'!$K360,"")</f>
        <v/>
      </c>
      <c r="BJ308" s="21" t="str">
        <f>IF(AND('Atividades Micro'!$B360=BJ$2,'Atividades Micro'!$G360="Macro",'Atividades Micro'!$K360&lt;&gt;""),'Atividades Micro'!$K360,"")</f>
        <v/>
      </c>
      <c r="BK308" s="21" t="str">
        <f>IF(AND('Atividades Micro'!$B360=BK$2,'Atividades Micro'!$G360="Macro",'Atividades Micro'!$K360&lt;&gt;""),'Atividades Micro'!$K360,"")</f>
        <v/>
      </c>
      <c r="BL308" s="21" t="str">
        <f>IF(AND('Atividades Micro'!$B360=BL$2,'Atividades Micro'!$G360="Macro",'Atividades Micro'!$K360&lt;&gt;""),'Atividades Micro'!$K360,"")</f>
        <v/>
      </c>
      <c r="BM308" s="21" t="str">
        <f>IF(AND('Atividades Micro'!$B360=BM$2,'Atividades Micro'!$G360="Macro",'Atividades Micro'!$K360&lt;&gt;""),'Atividades Micro'!$K360,"")</f>
        <v/>
      </c>
      <c r="BN308" s="21" t="str">
        <f>IF(AND('Atividades Micro'!$B360=BN$2,'Atividades Micro'!$G360="Macro",'Atividades Micro'!$K360&lt;&gt;""),'Atividades Micro'!$K360,"")</f>
        <v/>
      </c>
      <c r="BO308" s="21" t="str">
        <f>IF(AND('Atividades Micro'!$B360=BO$2,'Atividades Micro'!$G360="Macro",'Atividades Micro'!$K360&lt;&gt;""),'Atividades Micro'!$K360,"")</f>
        <v/>
      </c>
      <c r="BP308" s="21" t="str">
        <f>IF(AND('Atividades Micro'!$B360=BP$2,'Atividades Micro'!$G360="Macro",'Atividades Micro'!$K360&lt;&gt;""),'Atividades Micro'!$K360,"")</f>
        <v/>
      </c>
      <c r="BQ308" s="21" t="str">
        <f>IF(AND('Atividades Micro'!$B360=BQ$2,'Atividades Micro'!$G360="Macro",'Atividades Micro'!$K360&lt;&gt;""),'Atividades Micro'!$K360,"")</f>
        <v/>
      </c>
      <c r="BR308" s="21" t="str">
        <f>IF(AND('Atividades Micro'!$B360=BR$2,'Atividades Micro'!$G360="Macro",'Atividades Micro'!$K360&lt;&gt;""),'Atividades Micro'!$K360,"")</f>
        <v/>
      </c>
      <c r="BS308" s="21" t="str">
        <f>IF(AND('Atividades Micro'!$B360=BS$2,'Atividades Micro'!$G360="Macro",'Atividades Micro'!$K360&lt;&gt;""),'Atividades Micro'!$K360,"")</f>
        <v/>
      </c>
      <c r="BT308" s="21" t="str">
        <f>IF(AND('Atividades Micro'!$B360=BT$2,'Atividades Micro'!$G360="Macro",'Atividades Micro'!$K360&lt;&gt;""),'Atividades Micro'!$K360,"")</f>
        <v/>
      </c>
      <c r="BU308" s="21" t="str">
        <f>IF(AND('Atividades Micro'!$B360=BU$2,'Atividades Micro'!$G360="Macro",'Atividades Micro'!$K360&lt;&gt;""),'Atividades Micro'!$K360,"")</f>
        <v/>
      </c>
      <c r="BV308" s="21" t="str">
        <f>IF(AND('Atividades Micro'!$B360=BV$2,'Atividades Micro'!$G360="Macro",'Atividades Micro'!$K360&lt;&gt;""),'Atividades Micro'!$K360,"")</f>
        <v/>
      </c>
      <c r="BW308" s="21" t="str">
        <f>IF(AND('Atividades Micro'!$B360=BW$2,'Atividades Micro'!$G360="Macro",'Atividades Micro'!$K360&lt;&gt;""),'Atividades Micro'!$K360,"")</f>
        <v/>
      </c>
      <c r="BX308" s="21" t="str">
        <f>IF(AND('Atividades Micro'!$B360=BX$2,'Atividades Micro'!$G360="Macro",'Atividades Micro'!$K360&lt;&gt;""),'Atividades Micro'!$K360,"")</f>
        <v/>
      </c>
      <c r="BY308" s="21" t="str">
        <f>IF(AND('Atividades Micro'!$B360=BY$2,'Atividades Micro'!$G360="Macro",'Atividades Micro'!$K360&lt;&gt;""),'Atividades Micro'!$K360,"")</f>
        <v/>
      </c>
      <c r="BZ308" s="21" t="str">
        <f>IF(AND('Atividades Micro'!$B360=BZ$2,'Atividades Micro'!$G360="Macro",'Atividades Micro'!$K360&lt;&gt;""),'Atividades Micro'!$K360,"")</f>
        <v/>
      </c>
      <c r="CA308" s="21" t="str">
        <f>IF(AND('Atividades Micro'!$B360=CA$2,'Atividades Micro'!$G360="Macro",'Atividades Micro'!$K360&lt;&gt;""),'Atividades Micro'!$K360,"")</f>
        <v/>
      </c>
      <c r="CB308" s="21" t="str">
        <f>IF(AND('Atividades Micro'!$B360=CB$2,'Atividades Micro'!$G360="Macro",'Atividades Micro'!$K360&lt;&gt;""),'Atividades Micro'!$K360,"")</f>
        <v/>
      </c>
      <c r="CC308" s="21" t="str">
        <f>IF(AND('Atividades Micro'!$B360=CC$2,'Atividades Micro'!$G360="Macro",'Atividades Micro'!$K360&lt;&gt;""),'Atividades Micro'!$K360,"")</f>
        <v/>
      </c>
      <c r="CD308" s="21" t="str">
        <f>IF(AND('Atividades Micro'!$B360=CD$2,'Atividades Micro'!$G360="Micro",'Atividades Micro'!$K360&lt;&gt;""),'Atividades Micro'!$K360,"")</f>
        <v/>
      </c>
      <c r="CE308" s="21" t="str">
        <f>IF(AND('Atividades Micro'!$B360=CE$2,'Atividades Micro'!$G360="Micro",'Atividades Micro'!$K360&lt;&gt;""),'Atividades Micro'!$K360,"")</f>
        <v/>
      </c>
      <c r="CF308" s="21" t="str">
        <f>IF(AND('Atividades Micro'!$B360=CF$2,'Atividades Micro'!$G360="Micro",'Atividades Micro'!$K360&lt;&gt;""),'Atividades Micro'!$K360,"")</f>
        <v/>
      </c>
      <c r="CG308" s="21" t="str">
        <f>IF(AND('Atividades Micro'!$B360=CG$2,'Atividades Micro'!$G360="Micro",'Atividades Micro'!$K360&lt;&gt;""),'Atividades Micro'!$K360,"")</f>
        <v/>
      </c>
      <c r="CH308" s="21" t="str">
        <f>IF(AND('Atividades Micro'!$B360=CH$2,'Atividades Micro'!$G360="Micro",'Atividades Micro'!$K360&lt;&gt;""),'Atividades Micro'!$K360,"")</f>
        <v/>
      </c>
      <c r="CI308" s="21" t="str">
        <f>IF(AND('Atividades Micro'!$B360=CI$2,'Atividades Micro'!$G360="Micro",'Atividades Micro'!$K360&lt;&gt;""),'Atividades Micro'!$K360,"")</f>
        <v/>
      </c>
      <c r="CJ308" s="21" t="str">
        <f>IF(AND('Atividades Micro'!$B360=CJ$2,'Atividades Micro'!$G360="Micro",'Atividades Micro'!$K360&lt;&gt;""),'Atividades Micro'!$K360,"")</f>
        <v/>
      </c>
      <c r="CK308" s="21" t="str">
        <f>IF(AND('Atividades Micro'!$B360=CK$2,'Atividades Micro'!$G360="Micro",'Atividades Micro'!$K360&lt;&gt;""),'Atividades Micro'!$K360,"")</f>
        <v/>
      </c>
      <c r="CL308" s="21" t="str">
        <f>IF(AND('Atividades Micro'!$B360=CL$2,'Atividades Micro'!$G360="Micro",'Atividades Micro'!$K360&lt;&gt;""),'Atividades Micro'!$K360,"")</f>
        <v/>
      </c>
      <c r="CM308" s="21" t="str">
        <f>IF(AND('Atividades Micro'!$B360=CM$2,'Atividades Micro'!$G360="Micro",'Atividades Micro'!$K360&lt;&gt;""),'Atividades Micro'!$K360,"")</f>
        <v/>
      </c>
      <c r="CN308" s="21" t="str">
        <f>IF(AND('Atividades Micro'!$B360=CN$2,'Atividades Micro'!$G360="Micro",'Atividades Micro'!$K360&lt;&gt;""),'Atividades Micro'!$K360,"")</f>
        <v/>
      </c>
      <c r="CO308" s="21" t="str">
        <f>IF(AND('Atividades Micro'!$B360=CO$2,'Atividades Micro'!$G360="Micro",'Atividades Micro'!$K360&lt;&gt;""),'Atividades Micro'!$K360,"")</f>
        <v/>
      </c>
    </row>
    <row r="309" spans="1:93">
      <c r="A309" s="21" t="str">
        <f>IF(AND('Atividades Micro'!$A361=A$2,'Atividades Micro'!$K361&lt;&gt;""),'Atividades Micro'!$K361,"")</f>
        <v/>
      </c>
      <c r="B309" s="21" t="str">
        <f>IF(AND('Atividades Micro'!$A361=B$2,'Atividades Micro'!$L361&lt;&gt;""),'Atividades Micro'!$L361,"")</f>
        <v/>
      </c>
      <c r="C309" s="21" t="str">
        <f>IF(AND('Atividades Micro'!$A361=C$2,'Atividades Micro'!$K361&lt;&gt;""),'Atividades Micro'!$K361,"")</f>
        <v/>
      </c>
      <c r="D309" s="21" t="str">
        <f>IF(AND('Atividades Micro'!$A361=D$2,'Atividades Micro'!$L361&lt;&gt;""),'Atividades Micro'!$L361,"")</f>
        <v/>
      </c>
      <c r="E309" s="21" t="str">
        <f>IF(AND('Atividades Micro'!$A361=E$2,'Atividades Micro'!$K361&lt;&gt;""),'Atividades Micro'!$K361,"")</f>
        <v/>
      </c>
      <c r="F309" s="21" t="str">
        <f>IF(AND('Atividades Micro'!$A361=F$2,'Atividades Micro'!$L361&lt;&gt;""),'Atividades Micro'!$L361,"")</f>
        <v/>
      </c>
      <c r="G309" s="21" t="str">
        <f>IF(AND('Atividades Micro'!$A361=G$2,'Atividades Micro'!$K361&lt;&gt;""),'Atividades Micro'!$K361,"")</f>
        <v/>
      </c>
      <c r="H309" s="21" t="str">
        <f>IF(AND('Atividades Micro'!$A361=H$2,'Atividades Micro'!$L361&lt;&gt;""),'Atividades Micro'!$L361,"")</f>
        <v/>
      </c>
      <c r="I309" s="21" t="str">
        <f>IF(AND('Atividades Micro'!$A361=I$2,'Atividades Micro'!$K361&lt;&gt;""),'Atividades Micro'!$K361,"")</f>
        <v/>
      </c>
      <c r="J309" s="21" t="str">
        <f>IF(AND('Atividades Micro'!$A361=J$2,'Atividades Micro'!$L361&lt;&gt;""),'Atividades Micro'!$L361,"")</f>
        <v/>
      </c>
      <c r="K309" s="21" t="str">
        <f>IF(AND('Atividades Micro'!$B361=K$2,'Atividades Micro'!$K361&lt;&gt;""),'Atividades Micro'!$K361,"")</f>
        <v/>
      </c>
      <c r="L309" s="21" t="str">
        <f>IF(AND('Atividades Micro'!$B361=L$2,'Atividades Micro'!$L361&lt;&gt;""),'Atividades Micro'!$L361,"")</f>
        <v/>
      </c>
      <c r="M309" s="21" t="str">
        <f>IF(AND('Atividades Micro'!$B361=M$2,'Atividades Micro'!$K361&lt;&gt;""),'Atividades Micro'!$K361,"")</f>
        <v/>
      </c>
      <c r="N309" s="21" t="str">
        <f>IF(AND('Atividades Micro'!$B361=N$2,'Atividades Micro'!$L361&lt;&gt;""),'Atividades Micro'!$L361,"")</f>
        <v/>
      </c>
      <c r="O309" s="21" t="str">
        <f>IF(AND('Atividades Micro'!$A361=O$2,'Atividades Micro'!$K361&lt;&gt;""),'Atividades Micro'!$K361,"")</f>
        <v/>
      </c>
      <c r="P309" s="21" t="str">
        <f>IF(AND('Atividades Micro'!$A361=P$2,'Atividades Micro'!$L361&lt;&gt;""),'Atividades Micro'!$L361,"")</f>
        <v/>
      </c>
      <c r="Q309" s="21" t="str">
        <f>IF(AND('Atividades Micro'!$B361=Q$2,'Atividades Micro'!$K361&lt;&gt;""),'Atividades Micro'!$K361,"")</f>
        <v/>
      </c>
      <c r="R309" s="21" t="str">
        <f>IF(AND('Atividades Micro'!$B361=R$2,'Atividades Micro'!$L361&lt;&gt;""),'Atividades Micro'!$L361,"")</f>
        <v/>
      </c>
      <c r="S309" s="21" t="str">
        <f>IF(AND('Atividades Micro'!$A361=S$2,'Atividades Micro'!$K361&lt;&gt;""),'Atividades Micro'!$K361,"")</f>
        <v/>
      </c>
      <c r="T309" s="21" t="str">
        <f>IF(AND('Atividades Micro'!$A361=T$2,'Atividades Micro'!$L361&lt;&gt;""),'Atividades Micro'!$L361,"")</f>
        <v/>
      </c>
      <c r="U309" s="21" t="str">
        <f>IF(AND('Atividades Micro'!$B361=U$2,'Atividades Micro'!$K361&lt;&gt;""),'Atividades Micro'!$K361,"")</f>
        <v/>
      </c>
      <c r="V309" s="21" t="str">
        <f>IF(AND('Atividades Micro'!$B361=V$2,'Atividades Micro'!$L361&lt;&gt;""),'Atividades Micro'!$L361,"")</f>
        <v/>
      </c>
      <c r="W309" s="21" t="str">
        <f>IF(AND('Atividades Micro'!$B361=W$2,'Atividades Micro'!$K361&lt;&gt;""),'Atividades Micro'!$K361,"")</f>
        <v/>
      </c>
      <c r="X309" s="21" t="str">
        <f>IF(AND('Atividades Micro'!$B361=X$2,'Atividades Micro'!$L361&lt;&gt;""),'Atividades Micro'!$L361,"")</f>
        <v/>
      </c>
      <c r="Y309" s="21" t="str">
        <f>IF(AND('Atividades Micro'!$A361=Y$2,'Atividades Micro'!$K361&lt;&gt;""),'Atividades Micro'!$K361,"")</f>
        <v/>
      </c>
      <c r="Z309" s="21" t="str">
        <f>IF(AND('Atividades Micro'!$A361=Z$2,'Atividades Micro'!$L361&lt;&gt;""),'Atividades Micro'!$L361,"")</f>
        <v/>
      </c>
      <c r="AA309" s="21" t="str">
        <f>IF(AND('Atividades Micro'!$B361=AA$2,'Atividades Micro'!$K361&lt;&gt;""),'Atividades Micro'!$K361,"")</f>
        <v/>
      </c>
      <c r="AB309" s="21" t="str">
        <f>IF(AND('Atividades Micro'!$B361=AB$2,'Atividades Micro'!$L361&lt;&gt;""),'Atividades Micro'!$L361,"")</f>
        <v/>
      </c>
      <c r="AC309" s="21" t="str">
        <f>IF(AND('Atividades Micro'!$B361=AC$2,'Atividades Micro'!$K361&lt;&gt;""),'Atividades Micro'!$K361,"")</f>
        <v/>
      </c>
      <c r="AD309" s="21" t="str">
        <f>IF(AND('Atividades Micro'!$B361=AD$2,'Atividades Micro'!$L361&lt;&gt;""),'Atividades Micro'!$L361,"")</f>
        <v/>
      </c>
      <c r="AE309" s="21" t="str">
        <f>IF(AND('Atividades Micro'!$A361=AE$2,'Atividades Micro'!$K361&lt;&gt;""),'Atividades Micro'!$K361,"")</f>
        <v/>
      </c>
      <c r="AF309" s="21" t="str">
        <f>IF(AND('Atividades Micro'!$A361=AF$2,'Atividades Micro'!$L361&lt;&gt;""),'Atividades Micro'!$L361,"")</f>
        <v/>
      </c>
      <c r="AG309" s="21" t="str">
        <f>IF(AND('Atividades Micro'!$B361=AG$2,'Atividades Micro'!$K361&lt;&gt;""),'Atividades Micro'!$K361,"")</f>
        <v/>
      </c>
      <c r="AH309" s="21" t="str">
        <f>IF(AND('Atividades Micro'!$B361=AH$2,'Atividades Micro'!$L361&lt;&gt;""),'Atividades Micro'!$L361,"")</f>
        <v/>
      </c>
      <c r="AI309" s="21" t="str">
        <f>IF(AND('Atividades Micro'!$B361=AI$2,'Atividades Micro'!$K361&lt;&gt;""),'Atividades Micro'!$K361,"")</f>
        <v/>
      </c>
      <c r="AJ309" s="21" t="str">
        <f>IF(AND('Atividades Micro'!$B361=AJ$2,'Atividades Micro'!$L361&lt;&gt;""),'Atividades Micro'!$L361,"")</f>
        <v/>
      </c>
      <c r="AK309" s="21" t="str">
        <f>IF(AND('Atividades Micro'!$A361=AK$2,'Atividades Micro'!$K361&lt;&gt;""),'Atividades Micro'!$K361,"")</f>
        <v/>
      </c>
      <c r="AL309" s="21" t="str">
        <f>IF(AND('Atividades Micro'!$A361=AL$2,'Atividades Micro'!$L361&lt;&gt;""),'Atividades Micro'!$L361,"")</f>
        <v/>
      </c>
      <c r="AM309" s="21" t="str">
        <f>IF(AND('Atividades Micro'!$B361=AM$2,'Atividades Micro'!$K361&lt;&gt;""),'Atividades Micro'!$K361,"")</f>
        <v/>
      </c>
      <c r="AN309" s="21" t="str">
        <f>IF(AND('Atividades Micro'!$B361=AN$2,'Atividades Micro'!$L361&lt;&gt;""),'Atividades Micro'!$L361,"")</f>
        <v/>
      </c>
      <c r="AO309" s="21" t="str">
        <f>IF(AND('Atividades Micro'!$B361=AO$2,'Atividades Micro'!$K361&lt;&gt;""),'Atividades Micro'!$K361,"")</f>
        <v/>
      </c>
      <c r="AP309" s="21" t="str">
        <f>IF(AND('Atividades Micro'!$B361=AP$2,'Atividades Micro'!$L361&lt;&gt;""),'Atividades Micro'!$L361,"")</f>
        <v/>
      </c>
      <c r="AQ309" s="21" t="str">
        <f>IF(AND('Atividades Micro'!$A361=AQ$2,'Atividades Micro'!$K361&lt;&gt;""),'Atividades Micro'!$K361,"")</f>
        <v/>
      </c>
      <c r="AR309" s="21" t="str">
        <f>IF(AND('Atividades Micro'!$A361=AR$2,'Atividades Micro'!$L361&lt;&gt;""),'Atividades Micro'!$L361,"")</f>
        <v/>
      </c>
      <c r="AS309" s="21" t="str">
        <f>IF(AND('Atividades Micro'!$B361=AS$2,'Atividades Micro'!$K361&lt;&gt;""),'Atividades Micro'!$K361,"")</f>
        <v/>
      </c>
      <c r="AT309" s="21" t="str">
        <f>IF(AND('Atividades Micro'!$B361=AT$2,'Atividades Micro'!$L361&lt;&gt;""),'Atividades Micro'!$L361,"")</f>
        <v/>
      </c>
      <c r="AU309" s="21" t="str">
        <f>IF(AND('Atividades Micro'!$A361=AU$2,'Atividades Micro'!$K361&lt;&gt;""),'Atividades Micro'!$K361,"")</f>
        <v/>
      </c>
      <c r="AV309" s="21" t="str">
        <f>IF(AND('Atividades Micro'!$A361=AV$2,'Atividades Micro'!$L361&lt;&gt;""),'Atividades Micro'!$L361,"")</f>
        <v/>
      </c>
      <c r="AW309" s="21" t="str">
        <f>IF(AND('Atividades Micro'!$B361=AW$2,'Atividades Micro'!$K361&lt;&gt;""),'Atividades Micro'!$K361,"")</f>
        <v/>
      </c>
      <c r="AX309" s="21" t="str">
        <f>IF(AND('Atividades Micro'!$B361=AX$2,'Atividades Micro'!$L361&lt;&gt;""),'Atividades Micro'!$L361,"")</f>
        <v/>
      </c>
      <c r="AY309" s="21" t="str">
        <f>IF(AND('Atividades Micro'!$A361=AY$2,'Atividades Micro'!$K361&lt;&gt;""),'Atividades Micro'!$K361,"")</f>
        <v/>
      </c>
      <c r="AZ309" s="21" t="str">
        <f>IF(AND('Atividades Micro'!$A361=AZ$2,'Atividades Micro'!$L361&lt;&gt;""),'Atividades Micro'!$L361,"")</f>
        <v/>
      </c>
      <c r="BA309" s="21" t="str">
        <f>IF(AND('Atividades Micro'!$B361=BA$2,'Atividades Micro'!$K361&lt;&gt;""),'Atividades Micro'!$K361,"")</f>
        <v/>
      </c>
      <c r="BB309" s="21" t="str">
        <f>IF(AND('Atividades Micro'!$B361=BB$2,'Atividades Micro'!$L361&lt;&gt;""),'Atividades Micro'!$L361,"")</f>
        <v/>
      </c>
      <c r="BC309" s="21" t="str">
        <f>IF(AND('Atividades Micro'!$B361=BC$2,'Atividades Micro'!$G361="Macro",'Atividades Micro'!$K361&lt;&gt;""),'Atividades Micro'!$K361,"")</f>
        <v/>
      </c>
      <c r="BD309" s="21" t="str">
        <f>IF(AND('Atividades Micro'!$B361=BD$2,'Atividades Micro'!$G361="Macro",'Atividades Micro'!$K361&lt;&gt;""),'Atividades Micro'!$K361,"")</f>
        <v/>
      </c>
      <c r="BE309" s="21" t="str">
        <f>IF(AND('Atividades Micro'!$B361=BE$2,'Atividades Micro'!$G361="Macro",'Atividades Micro'!$K361&lt;&gt;""),'Atividades Micro'!$K361,"")</f>
        <v/>
      </c>
      <c r="BF309" s="21" t="str">
        <f>IF(AND('Atividades Micro'!$B361=BF$2,'Atividades Micro'!$G361="Macro",'Atividades Micro'!$K361&lt;&gt;""),'Atividades Micro'!$K361,"")</f>
        <v/>
      </c>
      <c r="BG309" s="21" t="str">
        <f>IF(AND('Atividades Micro'!$B361=BG$2,'Atividades Micro'!$G361="Macro",'Atividades Micro'!$K361&lt;&gt;""),'Atividades Micro'!$K361,"")</f>
        <v/>
      </c>
      <c r="BH309" s="21" t="str">
        <f>IF(AND('Atividades Micro'!$B361=BH$2,'Atividades Micro'!$G361="Macro",'Atividades Micro'!$K361&lt;&gt;""),'Atividades Micro'!$K361,"")</f>
        <v/>
      </c>
      <c r="BI309" s="21" t="str">
        <f>IF(AND('Atividades Micro'!$B361=BI$2,'Atividades Micro'!$G361="Macro",'Atividades Micro'!$K361&lt;&gt;""),'Atividades Micro'!$K361,"")</f>
        <v/>
      </c>
      <c r="BJ309" s="21" t="str">
        <f>IF(AND('Atividades Micro'!$B361=BJ$2,'Atividades Micro'!$G361="Macro",'Atividades Micro'!$K361&lt;&gt;""),'Atividades Micro'!$K361,"")</f>
        <v/>
      </c>
      <c r="BK309" s="21" t="str">
        <f>IF(AND('Atividades Micro'!$B361=BK$2,'Atividades Micro'!$G361="Macro",'Atividades Micro'!$K361&lt;&gt;""),'Atividades Micro'!$K361,"")</f>
        <v/>
      </c>
      <c r="BL309" s="21" t="str">
        <f>IF(AND('Atividades Micro'!$B361=BL$2,'Atividades Micro'!$G361="Macro",'Atividades Micro'!$K361&lt;&gt;""),'Atividades Micro'!$K361,"")</f>
        <v/>
      </c>
      <c r="BM309" s="21" t="str">
        <f>IF(AND('Atividades Micro'!$B361=BM$2,'Atividades Micro'!$G361="Macro",'Atividades Micro'!$K361&lt;&gt;""),'Atividades Micro'!$K361,"")</f>
        <v/>
      </c>
      <c r="BN309" s="21" t="str">
        <f>IF(AND('Atividades Micro'!$B361=BN$2,'Atividades Micro'!$G361="Macro",'Atividades Micro'!$K361&lt;&gt;""),'Atividades Micro'!$K361,"")</f>
        <v/>
      </c>
      <c r="BO309" s="21" t="str">
        <f>IF(AND('Atividades Micro'!$B361=BO$2,'Atividades Micro'!$G361="Macro",'Atividades Micro'!$K361&lt;&gt;""),'Atividades Micro'!$K361,"")</f>
        <v/>
      </c>
      <c r="BP309" s="21" t="str">
        <f>IF(AND('Atividades Micro'!$B361=BP$2,'Atividades Micro'!$G361="Macro",'Atividades Micro'!$K361&lt;&gt;""),'Atividades Micro'!$K361,"")</f>
        <v/>
      </c>
      <c r="BQ309" s="21" t="str">
        <f>IF(AND('Atividades Micro'!$B361=BQ$2,'Atividades Micro'!$G361="Macro",'Atividades Micro'!$K361&lt;&gt;""),'Atividades Micro'!$K361,"")</f>
        <v/>
      </c>
      <c r="BR309" s="21" t="str">
        <f>IF(AND('Atividades Micro'!$B361=BR$2,'Atividades Micro'!$G361="Macro",'Atividades Micro'!$K361&lt;&gt;""),'Atividades Micro'!$K361,"")</f>
        <v/>
      </c>
      <c r="BS309" s="21" t="str">
        <f>IF(AND('Atividades Micro'!$B361=BS$2,'Atividades Micro'!$G361="Macro",'Atividades Micro'!$K361&lt;&gt;""),'Atividades Micro'!$K361,"")</f>
        <v/>
      </c>
      <c r="BT309" s="21" t="str">
        <f>IF(AND('Atividades Micro'!$B361=BT$2,'Atividades Micro'!$G361="Macro",'Atividades Micro'!$K361&lt;&gt;""),'Atividades Micro'!$K361,"")</f>
        <v/>
      </c>
      <c r="BU309" s="21" t="str">
        <f>IF(AND('Atividades Micro'!$B361=BU$2,'Atividades Micro'!$G361="Macro",'Atividades Micro'!$K361&lt;&gt;""),'Atividades Micro'!$K361,"")</f>
        <v/>
      </c>
      <c r="BV309" s="21" t="str">
        <f>IF(AND('Atividades Micro'!$B361=BV$2,'Atividades Micro'!$G361="Macro",'Atividades Micro'!$K361&lt;&gt;""),'Atividades Micro'!$K361,"")</f>
        <v/>
      </c>
      <c r="BW309" s="21" t="str">
        <f>IF(AND('Atividades Micro'!$B361=BW$2,'Atividades Micro'!$G361="Macro",'Atividades Micro'!$K361&lt;&gt;""),'Atividades Micro'!$K361,"")</f>
        <v/>
      </c>
      <c r="BX309" s="21" t="str">
        <f>IF(AND('Atividades Micro'!$B361=BX$2,'Atividades Micro'!$G361="Macro",'Atividades Micro'!$K361&lt;&gt;""),'Atividades Micro'!$K361,"")</f>
        <v/>
      </c>
      <c r="BY309" s="21" t="str">
        <f>IF(AND('Atividades Micro'!$B361=BY$2,'Atividades Micro'!$G361="Macro",'Atividades Micro'!$K361&lt;&gt;""),'Atividades Micro'!$K361,"")</f>
        <v/>
      </c>
      <c r="BZ309" s="21" t="str">
        <f>IF(AND('Atividades Micro'!$B361=BZ$2,'Atividades Micro'!$G361="Macro",'Atividades Micro'!$K361&lt;&gt;""),'Atividades Micro'!$K361,"")</f>
        <v/>
      </c>
      <c r="CA309" s="21" t="str">
        <f>IF(AND('Atividades Micro'!$B361=CA$2,'Atividades Micro'!$G361="Macro",'Atividades Micro'!$K361&lt;&gt;""),'Atividades Micro'!$K361,"")</f>
        <v/>
      </c>
      <c r="CB309" s="21" t="str">
        <f>IF(AND('Atividades Micro'!$B361=CB$2,'Atividades Micro'!$G361="Macro",'Atividades Micro'!$K361&lt;&gt;""),'Atividades Micro'!$K361,"")</f>
        <v/>
      </c>
      <c r="CC309" s="21" t="str">
        <f>IF(AND('Atividades Micro'!$B361=CC$2,'Atividades Micro'!$G361="Macro",'Atividades Micro'!$K361&lt;&gt;""),'Atividades Micro'!$K361,"")</f>
        <v/>
      </c>
      <c r="CD309" s="21" t="str">
        <f>IF(AND('Atividades Micro'!$B361=CD$2,'Atividades Micro'!$G361="Micro",'Atividades Micro'!$K361&lt;&gt;""),'Atividades Micro'!$K361,"")</f>
        <v/>
      </c>
      <c r="CE309" s="21" t="str">
        <f>IF(AND('Atividades Micro'!$B361=CE$2,'Atividades Micro'!$G361="Micro",'Atividades Micro'!$K361&lt;&gt;""),'Atividades Micro'!$K361,"")</f>
        <v/>
      </c>
      <c r="CF309" s="21" t="str">
        <f>IF(AND('Atividades Micro'!$B361=CF$2,'Atividades Micro'!$G361="Micro",'Atividades Micro'!$K361&lt;&gt;""),'Atividades Micro'!$K361,"")</f>
        <v/>
      </c>
      <c r="CG309" s="21" t="str">
        <f>IF(AND('Atividades Micro'!$B361=CG$2,'Atividades Micro'!$G361="Micro",'Atividades Micro'!$K361&lt;&gt;""),'Atividades Micro'!$K361,"")</f>
        <v/>
      </c>
      <c r="CH309" s="21" t="str">
        <f>IF(AND('Atividades Micro'!$B361=CH$2,'Atividades Micro'!$G361="Micro",'Atividades Micro'!$K361&lt;&gt;""),'Atividades Micro'!$K361,"")</f>
        <v/>
      </c>
      <c r="CI309" s="21" t="str">
        <f>IF(AND('Atividades Micro'!$B361=CI$2,'Atividades Micro'!$G361="Micro",'Atividades Micro'!$K361&lt;&gt;""),'Atividades Micro'!$K361,"")</f>
        <v/>
      </c>
      <c r="CJ309" s="21" t="str">
        <f>IF(AND('Atividades Micro'!$B361=CJ$2,'Atividades Micro'!$G361="Micro",'Atividades Micro'!$K361&lt;&gt;""),'Atividades Micro'!$K361,"")</f>
        <v/>
      </c>
      <c r="CK309" s="21" t="str">
        <f>IF(AND('Atividades Micro'!$B361=CK$2,'Atividades Micro'!$G361="Micro",'Atividades Micro'!$K361&lt;&gt;""),'Atividades Micro'!$K361,"")</f>
        <v/>
      </c>
      <c r="CL309" s="21" t="str">
        <f>IF(AND('Atividades Micro'!$B361=CL$2,'Atividades Micro'!$G361="Micro",'Atividades Micro'!$K361&lt;&gt;""),'Atividades Micro'!$K361,"")</f>
        <v/>
      </c>
      <c r="CM309" s="21" t="str">
        <f>IF(AND('Atividades Micro'!$B361=CM$2,'Atividades Micro'!$G361="Micro",'Atividades Micro'!$K361&lt;&gt;""),'Atividades Micro'!$K361,"")</f>
        <v/>
      </c>
      <c r="CN309" s="21" t="str">
        <f>IF(AND('Atividades Micro'!$B361=CN$2,'Atividades Micro'!$G361="Micro",'Atividades Micro'!$K361&lt;&gt;""),'Atividades Micro'!$K361,"")</f>
        <v/>
      </c>
      <c r="CO309" s="21" t="str">
        <f>IF(AND('Atividades Micro'!$B361=CO$2,'Atividades Micro'!$G361="Micro",'Atividades Micro'!$K361&lt;&gt;""),'Atividades Micro'!$K361,"")</f>
        <v/>
      </c>
    </row>
    <row r="310" spans="1:93">
      <c r="A310" s="21" t="str">
        <f>IF(AND('Atividades Micro'!$A362=A$2,'Atividades Micro'!$K362&lt;&gt;""),'Atividades Micro'!$K362,"")</f>
        <v/>
      </c>
      <c r="B310" s="21" t="str">
        <f>IF(AND('Atividades Micro'!$A362=B$2,'Atividades Micro'!$L362&lt;&gt;""),'Atividades Micro'!$L362,"")</f>
        <v/>
      </c>
      <c r="C310" s="21" t="str">
        <f>IF(AND('Atividades Micro'!$A362=C$2,'Atividades Micro'!$K362&lt;&gt;""),'Atividades Micro'!$K362,"")</f>
        <v/>
      </c>
      <c r="D310" s="21" t="str">
        <f>IF(AND('Atividades Micro'!$A362=D$2,'Atividades Micro'!$L362&lt;&gt;""),'Atividades Micro'!$L362,"")</f>
        <v/>
      </c>
      <c r="E310" s="21" t="str">
        <f>IF(AND('Atividades Micro'!$A362=E$2,'Atividades Micro'!$K362&lt;&gt;""),'Atividades Micro'!$K362,"")</f>
        <v/>
      </c>
      <c r="F310" s="21" t="str">
        <f>IF(AND('Atividades Micro'!$A362=F$2,'Atividades Micro'!$L362&lt;&gt;""),'Atividades Micro'!$L362,"")</f>
        <v/>
      </c>
      <c r="G310" s="21" t="str">
        <f>IF(AND('Atividades Micro'!$A362=G$2,'Atividades Micro'!$K362&lt;&gt;""),'Atividades Micro'!$K362,"")</f>
        <v/>
      </c>
      <c r="H310" s="21" t="str">
        <f>IF(AND('Atividades Micro'!$A362=H$2,'Atividades Micro'!$L362&lt;&gt;""),'Atividades Micro'!$L362,"")</f>
        <v/>
      </c>
      <c r="I310" s="21" t="str">
        <f>IF(AND('Atividades Micro'!$A362=I$2,'Atividades Micro'!$K362&lt;&gt;""),'Atividades Micro'!$K362,"")</f>
        <v/>
      </c>
      <c r="J310" s="21" t="str">
        <f>IF(AND('Atividades Micro'!$A362=J$2,'Atividades Micro'!$L362&lt;&gt;""),'Atividades Micro'!$L362,"")</f>
        <v/>
      </c>
      <c r="K310" s="21" t="str">
        <f>IF(AND('Atividades Micro'!$B362=K$2,'Atividades Micro'!$K362&lt;&gt;""),'Atividades Micro'!$K362,"")</f>
        <v/>
      </c>
      <c r="L310" s="21" t="str">
        <f>IF(AND('Atividades Micro'!$B362=L$2,'Atividades Micro'!$L362&lt;&gt;""),'Atividades Micro'!$L362,"")</f>
        <v/>
      </c>
      <c r="M310" s="21" t="str">
        <f>IF(AND('Atividades Micro'!$B362=M$2,'Atividades Micro'!$K362&lt;&gt;""),'Atividades Micro'!$K362,"")</f>
        <v/>
      </c>
      <c r="N310" s="21" t="str">
        <f>IF(AND('Atividades Micro'!$B362=N$2,'Atividades Micro'!$L362&lt;&gt;""),'Atividades Micro'!$L362,"")</f>
        <v/>
      </c>
      <c r="O310" s="21" t="str">
        <f>IF(AND('Atividades Micro'!$A362=O$2,'Atividades Micro'!$K362&lt;&gt;""),'Atividades Micro'!$K362,"")</f>
        <v/>
      </c>
      <c r="P310" s="21" t="str">
        <f>IF(AND('Atividades Micro'!$A362=P$2,'Atividades Micro'!$L362&lt;&gt;""),'Atividades Micro'!$L362,"")</f>
        <v/>
      </c>
      <c r="Q310" s="21" t="str">
        <f>IF(AND('Atividades Micro'!$B362=Q$2,'Atividades Micro'!$K362&lt;&gt;""),'Atividades Micro'!$K362,"")</f>
        <v/>
      </c>
      <c r="R310" s="21" t="str">
        <f>IF(AND('Atividades Micro'!$B362=R$2,'Atividades Micro'!$L362&lt;&gt;""),'Atividades Micro'!$L362,"")</f>
        <v/>
      </c>
      <c r="S310" s="21" t="str">
        <f>IF(AND('Atividades Micro'!$A362=S$2,'Atividades Micro'!$K362&lt;&gt;""),'Atividades Micro'!$K362,"")</f>
        <v/>
      </c>
      <c r="T310" s="21" t="str">
        <f>IF(AND('Atividades Micro'!$A362=T$2,'Atividades Micro'!$L362&lt;&gt;""),'Atividades Micro'!$L362,"")</f>
        <v/>
      </c>
      <c r="U310" s="21" t="str">
        <f>IF(AND('Atividades Micro'!$B362=U$2,'Atividades Micro'!$K362&lt;&gt;""),'Atividades Micro'!$K362,"")</f>
        <v/>
      </c>
      <c r="V310" s="21" t="str">
        <f>IF(AND('Atividades Micro'!$B362=V$2,'Atividades Micro'!$L362&lt;&gt;""),'Atividades Micro'!$L362,"")</f>
        <v/>
      </c>
      <c r="W310" s="21" t="str">
        <f>IF(AND('Atividades Micro'!$B362=W$2,'Atividades Micro'!$K362&lt;&gt;""),'Atividades Micro'!$K362,"")</f>
        <v/>
      </c>
      <c r="X310" s="21" t="str">
        <f>IF(AND('Atividades Micro'!$B362=X$2,'Atividades Micro'!$L362&lt;&gt;""),'Atividades Micro'!$L362,"")</f>
        <v/>
      </c>
      <c r="Y310" s="21" t="str">
        <f>IF(AND('Atividades Micro'!$A362=Y$2,'Atividades Micro'!$K362&lt;&gt;""),'Atividades Micro'!$K362,"")</f>
        <v/>
      </c>
      <c r="Z310" s="21" t="str">
        <f>IF(AND('Atividades Micro'!$A362=Z$2,'Atividades Micro'!$L362&lt;&gt;""),'Atividades Micro'!$L362,"")</f>
        <v/>
      </c>
      <c r="AA310" s="21" t="str">
        <f>IF(AND('Atividades Micro'!$B362=AA$2,'Atividades Micro'!$K362&lt;&gt;""),'Atividades Micro'!$K362,"")</f>
        <v/>
      </c>
      <c r="AB310" s="21" t="str">
        <f>IF(AND('Atividades Micro'!$B362=AB$2,'Atividades Micro'!$L362&lt;&gt;""),'Atividades Micro'!$L362,"")</f>
        <v/>
      </c>
      <c r="AC310" s="21" t="str">
        <f>IF(AND('Atividades Micro'!$B362=AC$2,'Atividades Micro'!$K362&lt;&gt;""),'Atividades Micro'!$K362,"")</f>
        <v/>
      </c>
      <c r="AD310" s="21" t="str">
        <f>IF(AND('Atividades Micro'!$B362=AD$2,'Atividades Micro'!$L362&lt;&gt;""),'Atividades Micro'!$L362,"")</f>
        <v/>
      </c>
      <c r="AE310" s="21" t="str">
        <f>IF(AND('Atividades Micro'!$A362=AE$2,'Atividades Micro'!$K362&lt;&gt;""),'Atividades Micro'!$K362,"")</f>
        <v/>
      </c>
      <c r="AF310" s="21" t="str">
        <f>IF(AND('Atividades Micro'!$A362=AF$2,'Atividades Micro'!$L362&lt;&gt;""),'Atividades Micro'!$L362,"")</f>
        <v/>
      </c>
      <c r="AG310" s="21" t="str">
        <f>IF(AND('Atividades Micro'!$B362=AG$2,'Atividades Micro'!$K362&lt;&gt;""),'Atividades Micro'!$K362,"")</f>
        <v/>
      </c>
      <c r="AH310" s="21" t="str">
        <f>IF(AND('Atividades Micro'!$B362=AH$2,'Atividades Micro'!$L362&lt;&gt;""),'Atividades Micro'!$L362,"")</f>
        <v/>
      </c>
      <c r="AI310" s="21" t="str">
        <f>IF(AND('Atividades Micro'!$B362=AI$2,'Atividades Micro'!$K362&lt;&gt;""),'Atividades Micro'!$K362,"")</f>
        <v/>
      </c>
      <c r="AJ310" s="21" t="str">
        <f>IF(AND('Atividades Micro'!$B362=AJ$2,'Atividades Micro'!$L362&lt;&gt;""),'Atividades Micro'!$L362,"")</f>
        <v/>
      </c>
      <c r="AK310" s="21" t="str">
        <f>IF(AND('Atividades Micro'!$A362=AK$2,'Atividades Micro'!$K362&lt;&gt;""),'Atividades Micro'!$K362,"")</f>
        <v/>
      </c>
      <c r="AL310" s="21" t="str">
        <f>IF(AND('Atividades Micro'!$A362=AL$2,'Atividades Micro'!$L362&lt;&gt;""),'Atividades Micro'!$L362,"")</f>
        <v/>
      </c>
      <c r="AM310" s="21" t="str">
        <f>IF(AND('Atividades Micro'!$B362=AM$2,'Atividades Micro'!$K362&lt;&gt;""),'Atividades Micro'!$K362,"")</f>
        <v/>
      </c>
      <c r="AN310" s="21" t="str">
        <f>IF(AND('Atividades Micro'!$B362=AN$2,'Atividades Micro'!$L362&lt;&gt;""),'Atividades Micro'!$L362,"")</f>
        <v/>
      </c>
      <c r="AO310" s="21" t="str">
        <f>IF(AND('Atividades Micro'!$B362=AO$2,'Atividades Micro'!$K362&lt;&gt;""),'Atividades Micro'!$K362,"")</f>
        <v/>
      </c>
      <c r="AP310" s="21" t="str">
        <f>IF(AND('Atividades Micro'!$B362=AP$2,'Atividades Micro'!$L362&lt;&gt;""),'Atividades Micro'!$L362,"")</f>
        <v/>
      </c>
      <c r="AQ310" s="21" t="str">
        <f>IF(AND('Atividades Micro'!$A362=AQ$2,'Atividades Micro'!$K362&lt;&gt;""),'Atividades Micro'!$K362,"")</f>
        <v/>
      </c>
      <c r="AR310" s="21" t="str">
        <f>IF(AND('Atividades Micro'!$A362=AR$2,'Atividades Micro'!$L362&lt;&gt;""),'Atividades Micro'!$L362,"")</f>
        <v/>
      </c>
      <c r="AS310" s="21" t="str">
        <f>IF(AND('Atividades Micro'!$B362=AS$2,'Atividades Micro'!$K362&lt;&gt;""),'Atividades Micro'!$K362,"")</f>
        <v/>
      </c>
      <c r="AT310" s="21" t="str">
        <f>IF(AND('Atividades Micro'!$B362=AT$2,'Atividades Micro'!$L362&lt;&gt;""),'Atividades Micro'!$L362,"")</f>
        <v/>
      </c>
      <c r="AU310" s="21" t="str">
        <f>IF(AND('Atividades Micro'!$A362=AU$2,'Atividades Micro'!$K362&lt;&gt;""),'Atividades Micro'!$K362,"")</f>
        <v/>
      </c>
      <c r="AV310" s="21" t="str">
        <f>IF(AND('Atividades Micro'!$A362=AV$2,'Atividades Micro'!$L362&lt;&gt;""),'Atividades Micro'!$L362,"")</f>
        <v/>
      </c>
      <c r="AW310" s="21" t="str">
        <f>IF(AND('Atividades Micro'!$B362=AW$2,'Atividades Micro'!$K362&lt;&gt;""),'Atividades Micro'!$K362,"")</f>
        <v/>
      </c>
      <c r="AX310" s="21" t="str">
        <f>IF(AND('Atividades Micro'!$B362=AX$2,'Atividades Micro'!$L362&lt;&gt;""),'Atividades Micro'!$L362,"")</f>
        <v/>
      </c>
      <c r="AY310" s="21" t="str">
        <f>IF(AND('Atividades Micro'!$A362=AY$2,'Atividades Micro'!$K362&lt;&gt;""),'Atividades Micro'!$K362,"")</f>
        <v/>
      </c>
      <c r="AZ310" s="21" t="str">
        <f>IF(AND('Atividades Micro'!$A362=AZ$2,'Atividades Micro'!$L362&lt;&gt;""),'Atividades Micro'!$L362,"")</f>
        <v/>
      </c>
      <c r="BA310" s="21" t="str">
        <f>IF(AND('Atividades Micro'!$B362=BA$2,'Atividades Micro'!$K362&lt;&gt;""),'Atividades Micro'!$K362,"")</f>
        <v/>
      </c>
      <c r="BB310" s="21" t="str">
        <f>IF(AND('Atividades Micro'!$B362=BB$2,'Atividades Micro'!$L362&lt;&gt;""),'Atividades Micro'!$L362,"")</f>
        <v/>
      </c>
      <c r="BC310" s="21" t="str">
        <f>IF(AND('Atividades Micro'!$B362=BC$2,'Atividades Micro'!$G362="Macro",'Atividades Micro'!$K362&lt;&gt;""),'Atividades Micro'!$K362,"")</f>
        <v/>
      </c>
      <c r="BD310" s="21" t="str">
        <f>IF(AND('Atividades Micro'!$B362=BD$2,'Atividades Micro'!$G362="Macro",'Atividades Micro'!$K362&lt;&gt;""),'Atividades Micro'!$K362,"")</f>
        <v/>
      </c>
      <c r="BE310" s="21" t="str">
        <f>IF(AND('Atividades Micro'!$B362=BE$2,'Atividades Micro'!$G362="Macro",'Atividades Micro'!$K362&lt;&gt;""),'Atividades Micro'!$K362,"")</f>
        <v/>
      </c>
      <c r="BF310" s="21" t="str">
        <f>IF(AND('Atividades Micro'!$B362=BF$2,'Atividades Micro'!$G362="Macro",'Atividades Micro'!$K362&lt;&gt;""),'Atividades Micro'!$K362,"")</f>
        <v/>
      </c>
      <c r="BG310" s="21" t="str">
        <f>IF(AND('Atividades Micro'!$B362=BG$2,'Atividades Micro'!$G362="Macro",'Atividades Micro'!$K362&lt;&gt;""),'Atividades Micro'!$K362,"")</f>
        <v/>
      </c>
      <c r="BH310" s="21" t="str">
        <f>IF(AND('Atividades Micro'!$B362=BH$2,'Atividades Micro'!$G362="Macro",'Atividades Micro'!$K362&lt;&gt;""),'Atividades Micro'!$K362,"")</f>
        <v/>
      </c>
      <c r="BI310" s="21" t="str">
        <f>IF(AND('Atividades Micro'!$B362=BI$2,'Atividades Micro'!$G362="Macro",'Atividades Micro'!$K362&lt;&gt;""),'Atividades Micro'!$K362,"")</f>
        <v/>
      </c>
      <c r="BJ310" s="21" t="str">
        <f>IF(AND('Atividades Micro'!$B362=BJ$2,'Atividades Micro'!$G362="Macro",'Atividades Micro'!$K362&lt;&gt;""),'Atividades Micro'!$K362,"")</f>
        <v/>
      </c>
      <c r="BK310" s="21" t="str">
        <f>IF(AND('Atividades Micro'!$B362=BK$2,'Atividades Micro'!$G362="Macro",'Atividades Micro'!$K362&lt;&gt;""),'Atividades Micro'!$K362,"")</f>
        <v/>
      </c>
      <c r="BL310" s="21" t="str">
        <f>IF(AND('Atividades Micro'!$B362=BL$2,'Atividades Micro'!$G362="Macro",'Atividades Micro'!$K362&lt;&gt;""),'Atividades Micro'!$K362,"")</f>
        <v/>
      </c>
      <c r="BM310" s="21" t="str">
        <f>IF(AND('Atividades Micro'!$B362=BM$2,'Atividades Micro'!$G362="Macro",'Atividades Micro'!$K362&lt;&gt;""),'Atividades Micro'!$K362,"")</f>
        <v/>
      </c>
      <c r="BN310" s="21" t="str">
        <f>IF(AND('Atividades Micro'!$B362=BN$2,'Atividades Micro'!$G362="Macro",'Atividades Micro'!$K362&lt;&gt;""),'Atividades Micro'!$K362,"")</f>
        <v/>
      </c>
      <c r="BO310" s="21" t="str">
        <f>IF(AND('Atividades Micro'!$B362=BO$2,'Atividades Micro'!$G362="Macro",'Atividades Micro'!$K362&lt;&gt;""),'Atividades Micro'!$K362,"")</f>
        <v/>
      </c>
      <c r="BP310" s="21" t="str">
        <f>IF(AND('Atividades Micro'!$B362=BP$2,'Atividades Micro'!$G362="Macro",'Atividades Micro'!$K362&lt;&gt;""),'Atividades Micro'!$K362,"")</f>
        <v/>
      </c>
      <c r="BQ310" s="21" t="str">
        <f>IF(AND('Atividades Micro'!$B362=BQ$2,'Atividades Micro'!$G362="Macro",'Atividades Micro'!$K362&lt;&gt;""),'Atividades Micro'!$K362,"")</f>
        <v/>
      </c>
      <c r="BR310" s="21" t="str">
        <f>IF(AND('Atividades Micro'!$B362=BR$2,'Atividades Micro'!$G362="Macro",'Atividades Micro'!$K362&lt;&gt;""),'Atividades Micro'!$K362,"")</f>
        <v/>
      </c>
      <c r="BS310" s="21" t="str">
        <f>IF(AND('Atividades Micro'!$B362=BS$2,'Atividades Micro'!$G362="Macro",'Atividades Micro'!$K362&lt;&gt;""),'Atividades Micro'!$K362,"")</f>
        <v/>
      </c>
      <c r="BT310" s="21" t="str">
        <f>IF(AND('Atividades Micro'!$B362=BT$2,'Atividades Micro'!$G362="Macro",'Atividades Micro'!$K362&lt;&gt;""),'Atividades Micro'!$K362,"")</f>
        <v/>
      </c>
      <c r="BU310" s="21" t="str">
        <f>IF(AND('Atividades Micro'!$B362=BU$2,'Atividades Micro'!$G362="Macro",'Atividades Micro'!$K362&lt;&gt;""),'Atividades Micro'!$K362,"")</f>
        <v/>
      </c>
      <c r="BV310" s="21" t="str">
        <f>IF(AND('Atividades Micro'!$B362=BV$2,'Atividades Micro'!$G362="Macro",'Atividades Micro'!$K362&lt;&gt;""),'Atividades Micro'!$K362,"")</f>
        <v/>
      </c>
      <c r="BW310" s="21" t="str">
        <f>IF(AND('Atividades Micro'!$B362=BW$2,'Atividades Micro'!$G362="Macro",'Atividades Micro'!$K362&lt;&gt;""),'Atividades Micro'!$K362,"")</f>
        <v/>
      </c>
      <c r="BX310" s="21" t="str">
        <f>IF(AND('Atividades Micro'!$B362=BX$2,'Atividades Micro'!$G362="Macro",'Atividades Micro'!$K362&lt;&gt;""),'Atividades Micro'!$K362,"")</f>
        <v/>
      </c>
      <c r="BY310" s="21" t="str">
        <f>IF(AND('Atividades Micro'!$B362=BY$2,'Atividades Micro'!$G362="Macro",'Atividades Micro'!$K362&lt;&gt;""),'Atividades Micro'!$K362,"")</f>
        <v/>
      </c>
      <c r="BZ310" s="21" t="str">
        <f>IF(AND('Atividades Micro'!$B362=BZ$2,'Atividades Micro'!$G362="Macro",'Atividades Micro'!$K362&lt;&gt;""),'Atividades Micro'!$K362,"")</f>
        <v/>
      </c>
      <c r="CA310" s="21" t="str">
        <f>IF(AND('Atividades Micro'!$B362=CA$2,'Atividades Micro'!$G362="Macro",'Atividades Micro'!$K362&lt;&gt;""),'Atividades Micro'!$K362,"")</f>
        <v/>
      </c>
      <c r="CB310" s="21" t="str">
        <f>IF(AND('Atividades Micro'!$B362=CB$2,'Atividades Micro'!$G362="Macro",'Atividades Micro'!$K362&lt;&gt;""),'Atividades Micro'!$K362,"")</f>
        <v/>
      </c>
      <c r="CC310" s="21" t="str">
        <f>IF(AND('Atividades Micro'!$B362=CC$2,'Atividades Micro'!$G362="Macro",'Atividades Micro'!$K362&lt;&gt;""),'Atividades Micro'!$K362,"")</f>
        <v/>
      </c>
      <c r="CD310" s="21" t="str">
        <f>IF(AND('Atividades Micro'!$B362=CD$2,'Atividades Micro'!$G362="Micro",'Atividades Micro'!$K362&lt;&gt;""),'Atividades Micro'!$K362,"")</f>
        <v/>
      </c>
      <c r="CE310" s="21" t="str">
        <f>IF(AND('Atividades Micro'!$B362=CE$2,'Atividades Micro'!$G362="Micro",'Atividades Micro'!$K362&lt;&gt;""),'Atividades Micro'!$K362,"")</f>
        <v/>
      </c>
      <c r="CF310" s="21" t="str">
        <f>IF(AND('Atividades Micro'!$B362=CF$2,'Atividades Micro'!$G362="Micro",'Atividades Micro'!$K362&lt;&gt;""),'Atividades Micro'!$K362,"")</f>
        <v/>
      </c>
      <c r="CG310" s="21" t="str">
        <f>IF(AND('Atividades Micro'!$B362=CG$2,'Atividades Micro'!$G362="Micro",'Atividades Micro'!$K362&lt;&gt;""),'Atividades Micro'!$K362,"")</f>
        <v/>
      </c>
      <c r="CH310" s="21" t="str">
        <f>IF(AND('Atividades Micro'!$B362=CH$2,'Atividades Micro'!$G362="Micro",'Atividades Micro'!$K362&lt;&gt;""),'Atividades Micro'!$K362,"")</f>
        <v/>
      </c>
      <c r="CI310" s="21" t="str">
        <f>IF(AND('Atividades Micro'!$B362=CI$2,'Atividades Micro'!$G362="Micro",'Atividades Micro'!$K362&lt;&gt;""),'Atividades Micro'!$K362,"")</f>
        <v/>
      </c>
      <c r="CJ310" s="21" t="str">
        <f>IF(AND('Atividades Micro'!$B362=CJ$2,'Atividades Micro'!$G362="Micro",'Atividades Micro'!$K362&lt;&gt;""),'Atividades Micro'!$K362,"")</f>
        <v/>
      </c>
      <c r="CK310" s="21" t="str">
        <f>IF(AND('Atividades Micro'!$B362=CK$2,'Atividades Micro'!$G362="Micro",'Atividades Micro'!$K362&lt;&gt;""),'Atividades Micro'!$K362,"")</f>
        <v/>
      </c>
      <c r="CL310" s="21" t="str">
        <f>IF(AND('Atividades Micro'!$B362=CL$2,'Atividades Micro'!$G362="Micro",'Atividades Micro'!$K362&lt;&gt;""),'Atividades Micro'!$K362,"")</f>
        <v/>
      </c>
      <c r="CM310" s="21" t="str">
        <f>IF(AND('Atividades Micro'!$B362=CM$2,'Atividades Micro'!$G362="Micro",'Atividades Micro'!$K362&lt;&gt;""),'Atividades Micro'!$K362,"")</f>
        <v/>
      </c>
      <c r="CN310" s="21" t="str">
        <f>IF(AND('Atividades Micro'!$B362=CN$2,'Atividades Micro'!$G362="Micro",'Atividades Micro'!$K362&lt;&gt;""),'Atividades Micro'!$K362,"")</f>
        <v/>
      </c>
      <c r="CO310" s="21" t="str">
        <f>IF(AND('Atividades Micro'!$B362=CO$2,'Atividades Micro'!$G362="Micro",'Atividades Micro'!$K362&lt;&gt;""),'Atividades Micro'!$K362,"")</f>
        <v/>
      </c>
    </row>
    <row r="311" spans="1:93">
      <c r="A311" s="21" t="str">
        <f>IF(AND('Atividades Micro'!$A363=A$2,'Atividades Micro'!$K363&lt;&gt;""),'Atividades Micro'!$K363,"")</f>
        <v/>
      </c>
      <c r="B311" s="21" t="str">
        <f>IF(AND('Atividades Micro'!$A363=B$2,'Atividades Micro'!$L363&lt;&gt;""),'Atividades Micro'!$L363,"")</f>
        <v/>
      </c>
      <c r="C311" s="21" t="str">
        <f>IF(AND('Atividades Micro'!$A363=C$2,'Atividades Micro'!$K363&lt;&gt;""),'Atividades Micro'!$K363,"")</f>
        <v/>
      </c>
      <c r="D311" s="21" t="str">
        <f>IF(AND('Atividades Micro'!$A363=D$2,'Atividades Micro'!$L363&lt;&gt;""),'Atividades Micro'!$L363,"")</f>
        <v/>
      </c>
      <c r="E311" s="21" t="str">
        <f>IF(AND('Atividades Micro'!$A363=E$2,'Atividades Micro'!$K363&lt;&gt;""),'Atividades Micro'!$K363,"")</f>
        <v/>
      </c>
      <c r="F311" s="21" t="str">
        <f>IF(AND('Atividades Micro'!$A363=F$2,'Atividades Micro'!$L363&lt;&gt;""),'Atividades Micro'!$L363,"")</f>
        <v/>
      </c>
      <c r="G311" s="21" t="str">
        <f>IF(AND('Atividades Micro'!$A363=G$2,'Atividades Micro'!$K363&lt;&gt;""),'Atividades Micro'!$K363,"")</f>
        <v/>
      </c>
      <c r="H311" s="21" t="str">
        <f>IF(AND('Atividades Micro'!$A363=H$2,'Atividades Micro'!$L363&lt;&gt;""),'Atividades Micro'!$L363,"")</f>
        <v/>
      </c>
      <c r="I311" s="21" t="str">
        <f>IF(AND('Atividades Micro'!$A363=I$2,'Atividades Micro'!$K363&lt;&gt;""),'Atividades Micro'!$K363,"")</f>
        <v/>
      </c>
      <c r="J311" s="21" t="str">
        <f>IF(AND('Atividades Micro'!$A363=J$2,'Atividades Micro'!$L363&lt;&gt;""),'Atividades Micro'!$L363,"")</f>
        <v/>
      </c>
      <c r="K311" s="21" t="str">
        <f>IF(AND('Atividades Micro'!$B363=K$2,'Atividades Micro'!$K363&lt;&gt;""),'Atividades Micro'!$K363,"")</f>
        <v/>
      </c>
      <c r="L311" s="21" t="str">
        <f>IF(AND('Atividades Micro'!$B363=L$2,'Atividades Micro'!$L363&lt;&gt;""),'Atividades Micro'!$L363,"")</f>
        <v/>
      </c>
      <c r="M311" s="21" t="str">
        <f>IF(AND('Atividades Micro'!$B363=M$2,'Atividades Micro'!$K363&lt;&gt;""),'Atividades Micro'!$K363,"")</f>
        <v/>
      </c>
      <c r="N311" s="21" t="str">
        <f>IF(AND('Atividades Micro'!$B363=N$2,'Atividades Micro'!$L363&lt;&gt;""),'Atividades Micro'!$L363,"")</f>
        <v/>
      </c>
      <c r="O311" s="21" t="str">
        <f>IF(AND('Atividades Micro'!$A363=O$2,'Atividades Micro'!$K363&lt;&gt;""),'Atividades Micro'!$K363,"")</f>
        <v/>
      </c>
      <c r="P311" s="21" t="str">
        <f>IF(AND('Atividades Micro'!$A363=P$2,'Atividades Micro'!$L363&lt;&gt;""),'Atividades Micro'!$L363,"")</f>
        <v/>
      </c>
      <c r="Q311" s="21" t="str">
        <f>IF(AND('Atividades Micro'!$B363=Q$2,'Atividades Micro'!$K363&lt;&gt;""),'Atividades Micro'!$K363,"")</f>
        <v/>
      </c>
      <c r="R311" s="21" t="str">
        <f>IF(AND('Atividades Micro'!$B363=R$2,'Atividades Micro'!$L363&lt;&gt;""),'Atividades Micro'!$L363,"")</f>
        <v/>
      </c>
      <c r="S311" s="21" t="str">
        <f>IF(AND('Atividades Micro'!$A363=S$2,'Atividades Micro'!$K363&lt;&gt;""),'Atividades Micro'!$K363,"")</f>
        <v/>
      </c>
      <c r="T311" s="21" t="str">
        <f>IF(AND('Atividades Micro'!$A363=T$2,'Atividades Micro'!$L363&lt;&gt;""),'Atividades Micro'!$L363,"")</f>
        <v/>
      </c>
      <c r="U311" s="21" t="str">
        <f>IF(AND('Atividades Micro'!$B363=U$2,'Atividades Micro'!$K363&lt;&gt;""),'Atividades Micro'!$K363,"")</f>
        <v/>
      </c>
      <c r="V311" s="21" t="str">
        <f>IF(AND('Atividades Micro'!$B363=V$2,'Atividades Micro'!$L363&lt;&gt;""),'Atividades Micro'!$L363,"")</f>
        <v/>
      </c>
      <c r="W311" s="21" t="str">
        <f>IF(AND('Atividades Micro'!$B363=W$2,'Atividades Micro'!$K363&lt;&gt;""),'Atividades Micro'!$K363,"")</f>
        <v/>
      </c>
      <c r="X311" s="21" t="str">
        <f>IF(AND('Atividades Micro'!$B363=X$2,'Atividades Micro'!$L363&lt;&gt;""),'Atividades Micro'!$L363,"")</f>
        <v/>
      </c>
      <c r="Y311" s="21" t="str">
        <f>IF(AND('Atividades Micro'!$A363=Y$2,'Atividades Micro'!$K363&lt;&gt;""),'Atividades Micro'!$K363,"")</f>
        <v/>
      </c>
      <c r="Z311" s="21" t="str">
        <f>IF(AND('Atividades Micro'!$A363=Z$2,'Atividades Micro'!$L363&lt;&gt;""),'Atividades Micro'!$L363,"")</f>
        <v/>
      </c>
      <c r="AA311" s="21" t="str">
        <f>IF(AND('Atividades Micro'!$B363=AA$2,'Atividades Micro'!$K363&lt;&gt;""),'Atividades Micro'!$K363,"")</f>
        <v/>
      </c>
      <c r="AB311" s="21" t="str">
        <f>IF(AND('Atividades Micro'!$B363=AB$2,'Atividades Micro'!$L363&lt;&gt;""),'Atividades Micro'!$L363,"")</f>
        <v/>
      </c>
      <c r="AC311" s="21" t="str">
        <f>IF(AND('Atividades Micro'!$B363=AC$2,'Atividades Micro'!$K363&lt;&gt;""),'Atividades Micro'!$K363,"")</f>
        <v/>
      </c>
      <c r="AD311" s="21" t="str">
        <f>IF(AND('Atividades Micro'!$B363=AD$2,'Atividades Micro'!$L363&lt;&gt;""),'Atividades Micro'!$L363,"")</f>
        <v/>
      </c>
      <c r="AE311" s="21" t="str">
        <f>IF(AND('Atividades Micro'!$A363=AE$2,'Atividades Micro'!$K363&lt;&gt;""),'Atividades Micro'!$K363,"")</f>
        <v/>
      </c>
      <c r="AF311" s="21" t="str">
        <f>IF(AND('Atividades Micro'!$A363=AF$2,'Atividades Micro'!$L363&lt;&gt;""),'Atividades Micro'!$L363,"")</f>
        <v/>
      </c>
      <c r="AG311" s="21" t="str">
        <f>IF(AND('Atividades Micro'!$B363=AG$2,'Atividades Micro'!$K363&lt;&gt;""),'Atividades Micro'!$K363,"")</f>
        <v/>
      </c>
      <c r="AH311" s="21" t="str">
        <f>IF(AND('Atividades Micro'!$B363=AH$2,'Atividades Micro'!$L363&lt;&gt;""),'Atividades Micro'!$L363,"")</f>
        <v/>
      </c>
      <c r="AI311" s="21" t="str">
        <f>IF(AND('Atividades Micro'!$B363=AI$2,'Atividades Micro'!$K363&lt;&gt;""),'Atividades Micro'!$K363,"")</f>
        <v/>
      </c>
      <c r="AJ311" s="21" t="str">
        <f>IF(AND('Atividades Micro'!$B363=AJ$2,'Atividades Micro'!$L363&lt;&gt;""),'Atividades Micro'!$L363,"")</f>
        <v/>
      </c>
      <c r="AK311" s="21" t="str">
        <f>IF(AND('Atividades Micro'!$A363=AK$2,'Atividades Micro'!$K363&lt;&gt;""),'Atividades Micro'!$K363,"")</f>
        <v/>
      </c>
      <c r="AL311" s="21" t="str">
        <f>IF(AND('Atividades Micro'!$A363=AL$2,'Atividades Micro'!$L363&lt;&gt;""),'Atividades Micro'!$L363,"")</f>
        <v/>
      </c>
      <c r="AM311" s="21" t="str">
        <f>IF(AND('Atividades Micro'!$B363=AM$2,'Atividades Micro'!$K363&lt;&gt;""),'Atividades Micro'!$K363,"")</f>
        <v/>
      </c>
      <c r="AN311" s="21" t="str">
        <f>IF(AND('Atividades Micro'!$B363=AN$2,'Atividades Micro'!$L363&lt;&gt;""),'Atividades Micro'!$L363,"")</f>
        <v/>
      </c>
      <c r="AO311" s="21" t="str">
        <f>IF(AND('Atividades Micro'!$B363=AO$2,'Atividades Micro'!$K363&lt;&gt;""),'Atividades Micro'!$K363,"")</f>
        <v/>
      </c>
      <c r="AP311" s="21" t="str">
        <f>IF(AND('Atividades Micro'!$B363=AP$2,'Atividades Micro'!$L363&lt;&gt;""),'Atividades Micro'!$L363,"")</f>
        <v/>
      </c>
      <c r="AQ311" s="21" t="str">
        <f>IF(AND('Atividades Micro'!$A363=AQ$2,'Atividades Micro'!$K363&lt;&gt;""),'Atividades Micro'!$K363,"")</f>
        <v/>
      </c>
      <c r="AR311" s="21" t="str">
        <f>IF(AND('Atividades Micro'!$A363=AR$2,'Atividades Micro'!$L363&lt;&gt;""),'Atividades Micro'!$L363,"")</f>
        <v/>
      </c>
      <c r="AS311" s="21" t="str">
        <f>IF(AND('Atividades Micro'!$B363=AS$2,'Atividades Micro'!$K363&lt;&gt;""),'Atividades Micro'!$K363,"")</f>
        <v/>
      </c>
      <c r="AT311" s="21" t="str">
        <f>IF(AND('Atividades Micro'!$B363=AT$2,'Atividades Micro'!$L363&lt;&gt;""),'Atividades Micro'!$L363,"")</f>
        <v/>
      </c>
      <c r="AU311" s="21" t="str">
        <f>IF(AND('Atividades Micro'!$A363=AU$2,'Atividades Micro'!$K363&lt;&gt;""),'Atividades Micro'!$K363,"")</f>
        <v/>
      </c>
      <c r="AV311" s="21" t="str">
        <f>IF(AND('Atividades Micro'!$A363=AV$2,'Atividades Micro'!$L363&lt;&gt;""),'Atividades Micro'!$L363,"")</f>
        <v/>
      </c>
      <c r="AW311" s="21" t="str">
        <f>IF(AND('Atividades Micro'!$B363=AW$2,'Atividades Micro'!$K363&lt;&gt;""),'Atividades Micro'!$K363,"")</f>
        <v/>
      </c>
      <c r="AX311" s="21" t="str">
        <f>IF(AND('Atividades Micro'!$B363=AX$2,'Atividades Micro'!$L363&lt;&gt;""),'Atividades Micro'!$L363,"")</f>
        <v/>
      </c>
      <c r="AY311" s="21" t="str">
        <f>IF(AND('Atividades Micro'!$A363=AY$2,'Atividades Micro'!$K363&lt;&gt;""),'Atividades Micro'!$K363,"")</f>
        <v/>
      </c>
      <c r="AZ311" s="21" t="str">
        <f>IF(AND('Atividades Micro'!$A363=AZ$2,'Atividades Micro'!$L363&lt;&gt;""),'Atividades Micro'!$L363,"")</f>
        <v/>
      </c>
      <c r="BA311" s="21" t="str">
        <f>IF(AND('Atividades Micro'!$B363=BA$2,'Atividades Micro'!$K363&lt;&gt;""),'Atividades Micro'!$K363,"")</f>
        <v/>
      </c>
      <c r="BB311" s="21" t="str">
        <f>IF(AND('Atividades Micro'!$B363=BB$2,'Atividades Micro'!$L363&lt;&gt;""),'Atividades Micro'!$L363,"")</f>
        <v/>
      </c>
      <c r="BC311" s="21" t="str">
        <f>IF(AND('Atividades Micro'!$B363=BC$2,'Atividades Micro'!$G363="Macro",'Atividades Micro'!$K363&lt;&gt;""),'Atividades Micro'!$K363,"")</f>
        <v/>
      </c>
      <c r="BD311" s="21" t="str">
        <f>IF(AND('Atividades Micro'!$B363=BD$2,'Atividades Micro'!$G363="Macro",'Atividades Micro'!$K363&lt;&gt;""),'Atividades Micro'!$K363,"")</f>
        <v/>
      </c>
      <c r="BE311" s="21" t="str">
        <f>IF(AND('Atividades Micro'!$B363=BE$2,'Atividades Micro'!$G363="Macro",'Atividades Micro'!$K363&lt;&gt;""),'Atividades Micro'!$K363,"")</f>
        <v/>
      </c>
      <c r="BF311" s="21" t="str">
        <f>IF(AND('Atividades Micro'!$B363=BF$2,'Atividades Micro'!$G363="Macro",'Atividades Micro'!$K363&lt;&gt;""),'Atividades Micro'!$K363,"")</f>
        <v/>
      </c>
      <c r="BG311" s="21" t="str">
        <f>IF(AND('Atividades Micro'!$B363=BG$2,'Atividades Micro'!$G363="Macro",'Atividades Micro'!$K363&lt;&gt;""),'Atividades Micro'!$K363,"")</f>
        <v/>
      </c>
      <c r="BH311" s="21" t="str">
        <f>IF(AND('Atividades Micro'!$B363=BH$2,'Atividades Micro'!$G363="Macro",'Atividades Micro'!$K363&lt;&gt;""),'Atividades Micro'!$K363,"")</f>
        <v/>
      </c>
      <c r="BI311" s="21" t="str">
        <f>IF(AND('Atividades Micro'!$B363=BI$2,'Atividades Micro'!$G363="Macro",'Atividades Micro'!$K363&lt;&gt;""),'Atividades Micro'!$K363,"")</f>
        <v/>
      </c>
      <c r="BJ311" s="21" t="str">
        <f>IF(AND('Atividades Micro'!$B363=BJ$2,'Atividades Micro'!$G363="Macro",'Atividades Micro'!$K363&lt;&gt;""),'Atividades Micro'!$K363,"")</f>
        <v/>
      </c>
      <c r="BK311" s="21" t="str">
        <f>IF(AND('Atividades Micro'!$B363=BK$2,'Atividades Micro'!$G363="Macro",'Atividades Micro'!$K363&lt;&gt;""),'Atividades Micro'!$K363,"")</f>
        <v/>
      </c>
      <c r="BL311" s="21" t="str">
        <f>IF(AND('Atividades Micro'!$B363=BL$2,'Atividades Micro'!$G363="Macro",'Atividades Micro'!$K363&lt;&gt;""),'Atividades Micro'!$K363,"")</f>
        <v/>
      </c>
      <c r="BM311" s="21" t="str">
        <f>IF(AND('Atividades Micro'!$B363=BM$2,'Atividades Micro'!$G363="Macro",'Atividades Micro'!$K363&lt;&gt;""),'Atividades Micro'!$K363,"")</f>
        <v/>
      </c>
      <c r="BN311" s="21" t="str">
        <f>IF(AND('Atividades Micro'!$B363=BN$2,'Atividades Micro'!$G363="Macro",'Atividades Micro'!$K363&lt;&gt;""),'Atividades Micro'!$K363,"")</f>
        <v/>
      </c>
      <c r="BO311" s="21" t="str">
        <f>IF(AND('Atividades Micro'!$B363=BO$2,'Atividades Micro'!$G363="Macro",'Atividades Micro'!$K363&lt;&gt;""),'Atividades Micro'!$K363,"")</f>
        <v/>
      </c>
      <c r="BP311" s="21" t="str">
        <f>IF(AND('Atividades Micro'!$B363=BP$2,'Atividades Micro'!$G363="Macro",'Atividades Micro'!$K363&lt;&gt;""),'Atividades Micro'!$K363,"")</f>
        <v/>
      </c>
      <c r="BQ311" s="21" t="str">
        <f>IF(AND('Atividades Micro'!$B363=BQ$2,'Atividades Micro'!$G363="Macro",'Atividades Micro'!$K363&lt;&gt;""),'Atividades Micro'!$K363,"")</f>
        <v/>
      </c>
      <c r="BR311" s="21" t="str">
        <f>IF(AND('Atividades Micro'!$B363=BR$2,'Atividades Micro'!$G363="Macro",'Atividades Micro'!$K363&lt;&gt;""),'Atividades Micro'!$K363,"")</f>
        <v/>
      </c>
      <c r="BS311" s="21" t="str">
        <f>IF(AND('Atividades Micro'!$B363=BS$2,'Atividades Micro'!$G363="Macro",'Atividades Micro'!$K363&lt;&gt;""),'Atividades Micro'!$K363,"")</f>
        <v/>
      </c>
      <c r="BT311" s="21" t="str">
        <f>IF(AND('Atividades Micro'!$B363=BT$2,'Atividades Micro'!$G363="Macro",'Atividades Micro'!$K363&lt;&gt;""),'Atividades Micro'!$K363,"")</f>
        <v/>
      </c>
      <c r="BU311" s="21" t="str">
        <f>IF(AND('Atividades Micro'!$B363=BU$2,'Atividades Micro'!$G363="Macro",'Atividades Micro'!$K363&lt;&gt;""),'Atividades Micro'!$K363,"")</f>
        <v/>
      </c>
      <c r="BV311" s="21" t="str">
        <f>IF(AND('Atividades Micro'!$B363=BV$2,'Atividades Micro'!$G363="Macro",'Atividades Micro'!$K363&lt;&gt;""),'Atividades Micro'!$K363,"")</f>
        <v/>
      </c>
      <c r="BW311" s="21" t="str">
        <f>IF(AND('Atividades Micro'!$B363=BW$2,'Atividades Micro'!$G363="Macro",'Atividades Micro'!$K363&lt;&gt;""),'Atividades Micro'!$K363,"")</f>
        <v/>
      </c>
      <c r="BX311" s="21" t="str">
        <f>IF(AND('Atividades Micro'!$B363=BX$2,'Atividades Micro'!$G363="Macro",'Atividades Micro'!$K363&lt;&gt;""),'Atividades Micro'!$K363,"")</f>
        <v/>
      </c>
      <c r="BY311" s="21" t="str">
        <f>IF(AND('Atividades Micro'!$B363=BY$2,'Atividades Micro'!$G363="Macro",'Atividades Micro'!$K363&lt;&gt;""),'Atividades Micro'!$K363,"")</f>
        <v/>
      </c>
      <c r="BZ311" s="21" t="str">
        <f>IF(AND('Atividades Micro'!$B363=BZ$2,'Atividades Micro'!$G363="Macro",'Atividades Micro'!$K363&lt;&gt;""),'Atividades Micro'!$K363,"")</f>
        <v/>
      </c>
      <c r="CA311" s="21" t="str">
        <f>IF(AND('Atividades Micro'!$B363=CA$2,'Atividades Micro'!$G363="Macro",'Atividades Micro'!$K363&lt;&gt;""),'Atividades Micro'!$K363,"")</f>
        <v/>
      </c>
      <c r="CB311" s="21" t="str">
        <f>IF(AND('Atividades Micro'!$B363=CB$2,'Atividades Micro'!$G363="Macro",'Atividades Micro'!$K363&lt;&gt;""),'Atividades Micro'!$K363,"")</f>
        <v/>
      </c>
      <c r="CC311" s="21" t="str">
        <f>IF(AND('Atividades Micro'!$B363=CC$2,'Atividades Micro'!$G363="Macro",'Atividades Micro'!$K363&lt;&gt;""),'Atividades Micro'!$K363,"")</f>
        <v/>
      </c>
      <c r="CD311" s="21" t="str">
        <f>IF(AND('Atividades Micro'!$B363=CD$2,'Atividades Micro'!$G363="Micro",'Atividades Micro'!$K363&lt;&gt;""),'Atividades Micro'!$K363,"")</f>
        <v/>
      </c>
      <c r="CE311" s="21" t="str">
        <f>IF(AND('Atividades Micro'!$B363=CE$2,'Atividades Micro'!$G363="Micro",'Atividades Micro'!$K363&lt;&gt;""),'Atividades Micro'!$K363,"")</f>
        <v/>
      </c>
      <c r="CF311" s="21" t="str">
        <f>IF(AND('Atividades Micro'!$B363=CF$2,'Atividades Micro'!$G363="Micro",'Atividades Micro'!$K363&lt;&gt;""),'Atividades Micro'!$K363,"")</f>
        <v/>
      </c>
      <c r="CG311" s="21" t="str">
        <f>IF(AND('Atividades Micro'!$B363=CG$2,'Atividades Micro'!$G363="Micro",'Atividades Micro'!$K363&lt;&gt;""),'Atividades Micro'!$K363,"")</f>
        <v/>
      </c>
      <c r="CH311" s="21" t="str">
        <f>IF(AND('Atividades Micro'!$B363=CH$2,'Atividades Micro'!$G363="Micro",'Atividades Micro'!$K363&lt;&gt;""),'Atividades Micro'!$K363,"")</f>
        <v/>
      </c>
      <c r="CI311" s="21" t="str">
        <f>IF(AND('Atividades Micro'!$B363=CI$2,'Atividades Micro'!$G363="Micro",'Atividades Micro'!$K363&lt;&gt;""),'Atividades Micro'!$K363,"")</f>
        <v/>
      </c>
      <c r="CJ311" s="21" t="str">
        <f>IF(AND('Atividades Micro'!$B363=CJ$2,'Atividades Micro'!$G363="Micro",'Atividades Micro'!$K363&lt;&gt;""),'Atividades Micro'!$K363,"")</f>
        <v/>
      </c>
      <c r="CK311" s="21" t="str">
        <f>IF(AND('Atividades Micro'!$B363=CK$2,'Atividades Micro'!$G363="Micro",'Atividades Micro'!$K363&lt;&gt;""),'Atividades Micro'!$K363,"")</f>
        <v/>
      </c>
      <c r="CL311" s="21" t="str">
        <f>IF(AND('Atividades Micro'!$B363=CL$2,'Atividades Micro'!$G363="Micro",'Atividades Micro'!$K363&lt;&gt;""),'Atividades Micro'!$K363,"")</f>
        <v/>
      </c>
      <c r="CM311" s="21" t="str">
        <f>IF(AND('Atividades Micro'!$B363=CM$2,'Atividades Micro'!$G363="Micro",'Atividades Micro'!$K363&lt;&gt;""),'Atividades Micro'!$K363,"")</f>
        <v/>
      </c>
      <c r="CN311" s="21" t="str">
        <f>IF(AND('Atividades Micro'!$B363=CN$2,'Atividades Micro'!$G363="Micro",'Atividades Micro'!$K363&lt;&gt;""),'Atividades Micro'!$K363,"")</f>
        <v/>
      </c>
      <c r="CO311" s="21" t="str">
        <f>IF(AND('Atividades Micro'!$B363=CO$2,'Atividades Micro'!$G363="Micro",'Atividades Micro'!$K363&lt;&gt;""),'Atividades Micro'!$K363,"")</f>
        <v/>
      </c>
    </row>
    <row r="312" spans="1:93">
      <c r="A312" s="21" t="str">
        <f>IF(AND('Atividades Micro'!$A364=A$2,'Atividades Micro'!$K364&lt;&gt;""),'Atividades Micro'!$K364,"")</f>
        <v/>
      </c>
      <c r="B312" s="21" t="str">
        <f>IF(AND('Atividades Micro'!$A364=B$2,'Atividades Micro'!$L364&lt;&gt;""),'Atividades Micro'!$L364,"")</f>
        <v/>
      </c>
      <c r="C312" s="21" t="str">
        <f>IF(AND('Atividades Micro'!$A364=C$2,'Atividades Micro'!$K364&lt;&gt;""),'Atividades Micro'!$K364,"")</f>
        <v/>
      </c>
      <c r="D312" s="21" t="str">
        <f>IF(AND('Atividades Micro'!$A364=D$2,'Atividades Micro'!$L364&lt;&gt;""),'Atividades Micro'!$L364,"")</f>
        <v/>
      </c>
      <c r="E312" s="21" t="str">
        <f>IF(AND('Atividades Micro'!$A364=E$2,'Atividades Micro'!$K364&lt;&gt;""),'Atividades Micro'!$K364,"")</f>
        <v/>
      </c>
      <c r="F312" s="21" t="str">
        <f>IF(AND('Atividades Micro'!$A364=F$2,'Atividades Micro'!$L364&lt;&gt;""),'Atividades Micro'!$L364,"")</f>
        <v/>
      </c>
      <c r="G312" s="21" t="str">
        <f>IF(AND('Atividades Micro'!$A364=G$2,'Atividades Micro'!$K364&lt;&gt;""),'Atividades Micro'!$K364,"")</f>
        <v/>
      </c>
      <c r="H312" s="21" t="str">
        <f>IF(AND('Atividades Micro'!$A364=H$2,'Atividades Micro'!$L364&lt;&gt;""),'Atividades Micro'!$L364,"")</f>
        <v/>
      </c>
      <c r="I312" s="21" t="str">
        <f>IF(AND('Atividades Micro'!$A364=I$2,'Atividades Micro'!$K364&lt;&gt;""),'Atividades Micro'!$K364,"")</f>
        <v/>
      </c>
      <c r="J312" s="21" t="str">
        <f>IF(AND('Atividades Micro'!$A364=J$2,'Atividades Micro'!$L364&lt;&gt;""),'Atividades Micro'!$L364,"")</f>
        <v/>
      </c>
      <c r="K312" s="21" t="str">
        <f>IF(AND('Atividades Micro'!$B364=K$2,'Atividades Micro'!$K364&lt;&gt;""),'Atividades Micro'!$K364,"")</f>
        <v/>
      </c>
      <c r="L312" s="21" t="str">
        <f>IF(AND('Atividades Micro'!$B364=L$2,'Atividades Micro'!$L364&lt;&gt;""),'Atividades Micro'!$L364,"")</f>
        <v/>
      </c>
      <c r="M312" s="21" t="str">
        <f>IF(AND('Atividades Micro'!$B364=M$2,'Atividades Micro'!$K364&lt;&gt;""),'Atividades Micro'!$K364,"")</f>
        <v/>
      </c>
      <c r="N312" s="21" t="str">
        <f>IF(AND('Atividades Micro'!$B364=N$2,'Atividades Micro'!$L364&lt;&gt;""),'Atividades Micro'!$L364,"")</f>
        <v/>
      </c>
      <c r="O312" s="21" t="str">
        <f>IF(AND('Atividades Micro'!$A364=O$2,'Atividades Micro'!$K364&lt;&gt;""),'Atividades Micro'!$K364,"")</f>
        <v/>
      </c>
      <c r="P312" s="21" t="str">
        <f>IF(AND('Atividades Micro'!$A364=P$2,'Atividades Micro'!$L364&lt;&gt;""),'Atividades Micro'!$L364,"")</f>
        <v/>
      </c>
      <c r="Q312" s="21" t="str">
        <f>IF(AND('Atividades Micro'!$B364=Q$2,'Atividades Micro'!$K364&lt;&gt;""),'Atividades Micro'!$K364,"")</f>
        <v/>
      </c>
      <c r="R312" s="21" t="str">
        <f>IF(AND('Atividades Micro'!$B364=R$2,'Atividades Micro'!$L364&lt;&gt;""),'Atividades Micro'!$L364,"")</f>
        <v/>
      </c>
      <c r="S312" s="21" t="str">
        <f>IF(AND('Atividades Micro'!$A364=S$2,'Atividades Micro'!$K364&lt;&gt;""),'Atividades Micro'!$K364,"")</f>
        <v/>
      </c>
      <c r="T312" s="21" t="str">
        <f>IF(AND('Atividades Micro'!$A364=T$2,'Atividades Micro'!$L364&lt;&gt;""),'Atividades Micro'!$L364,"")</f>
        <v/>
      </c>
      <c r="U312" s="21" t="str">
        <f>IF(AND('Atividades Micro'!$B364=U$2,'Atividades Micro'!$K364&lt;&gt;""),'Atividades Micro'!$K364,"")</f>
        <v/>
      </c>
      <c r="V312" s="21" t="str">
        <f>IF(AND('Atividades Micro'!$B364=V$2,'Atividades Micro'!$L364&lt;&gt;""),'Atividades Micro'!$L364,"")</f>
        <v/>
      </c>
      <c r="W312" s="21" t="str">
        <f>IF(AND('Atividades Micro'!$B364=W$2,'Atividades Micro'!$K364&lt;&gt;""),'Atividades Micro'!$K364,"")</f>
        <v/>
      </c>
      <c r="X312" s="21" t="str">
        <f>IF(AND('Atividades Micro'!$B364=X$2,'Atividades Micro'!$L364&lt;&gt;""),'Atividades Micro'!$L364,"")</f>
        <v/>
      </c>
      <c r="Y312" s="21" t="str">
        <f>IF(AND('Atividades Micro'!$A364=Y$2,'Atividades Micro'!$K364&lt;&gt;""),'Atividades Micro'!$K364,"")</f>
        <v/>
      </c>
      <c r="Z312" s="21" t="str">
        <f>IF(AND('Atividades Micro'!$A364=Z$2,'Atividades Micro'!$L364&lt;&gt;""),'Atividades Micro'!$L364,"")</f>
        <v/>
      </c>
      <c r="AA312" s="21" t="str">
        <f>IF(AND('Atividades Micro'!$B364=AA$2,'Atividades Micro'!$K364&lt;&gt;""),'Atividades Micro'!$K364,"")</f>
        <v/>
      </c>
      <c r="AB312" s="21" t="str">
        <f>IF(AND('Atividades Micro'!$B364=AB$2,'Atividades Micro'!$L364&lt;&gt;""),'Atividades Micro'!$L364,"")</f>
        <v/>
      </c>
      <c r="AC312" s="21" t="str">
        <f>IF(AND('Atividades Micro'!$B364=AC$2,'Atividades Micro'!$K364&lt;&gt;""),'Atividades Micro'!$K364,"")</f>
        <v/>
      </c>
      <c r="AD312" s="21" t="str">
        <f>IF(AND('Atividades Micro'!$B364=AD$2,'Atividades Micro'!$L364&lt;&gt;""),'Atividades Micro'!$L364,"")</f>
        <v/>
      </c>
      <c r="AE312" s="21" t="str">
        <f>IF(AND('Atividades Micro'!$A364=AE$2,'Atividades Micro'!$K364&lt;&gt;""),'Atividades Micro'!$K364,"")</f>
        <v/>
      </c>
      <c r="AF312" s="21" t="str">
        <f>IF(AND('Atividades Micro'!$A364=AF$2,'Atividades Micro'!$L364&lt;&gt;""),'Atividades Micro'!$L364,"")</f>
        <v/>
      </c>
      <c r="AG312" s="21" t="str">
        <f>IF(AND('Atividades Micro'!$B364=AG$2,'Atividades Micro'!$K364&lt;&gt;""),'Atividades Micro'!$K364,"")</f>
        <v/>
      </c>
      <c r="AH312" s="21" t="str">
        <f>IF(AND('Atividades Micro'!$B364=AH$2,'Atividades Micro'!$L364&lt;&gt;""),'Atividades Micro'!$L364,"")</f>
        <v/>
      </c>
      <c r="AI312" s="21" t="str">
        <f>IF(AND('Atividades Micro'!$B364=AI$2,'Atividades Micro'!$K364&lt;&gt;""),'Atividades Micro'!$K364,"")</f>
        <v/>
      </c>
      <c r="AJ312" s="21" t="str">
        <f>IF(AND('Atividades Micro'!$B364=AJ$2,'Atividades Micro'!$L364&lt;&gt;""),'Atividades Micro'!$L364,"")</f>
        <v/>
      </c>
      <c r="AK312" s="21" t="str">
        <f>IF(AND('Atividades Micro'!$A364=AK$2,'Atividades Micro'!$K364&lt;&gt;""),'Atividades Micro'!$K364,"")</f>
        <v/>
      </c>
      <c r="AL312" s="21" t="str">
        <f>IF(AND('Atividades Micro'!$A364=AL$2,'Atividades Micro'!$L364&lt;&gt;""),'Atividades Micro'!$L364,"")</f>
        <v/>
      </c>
      <c r="AM312" s="21" t="str">
        <f>IF(AND('Atividades Micro'!$B364=AM$2,'Atividades Micro'!$K364&lt;&gt;""),'Atividades Micro'!$K364,"")</f>
        <v/>
      </c>
      <c r="AN312" s="21" t="str">
        <f>IF(AND('Atividades Micro'!$B364=AN$2,'Atividades Micro'!$L364&lt;&gt;""),'Atividades Micro'!$L364,"")</f>
        <v/>
      </c>
      <c r="AO312" s="21" t="str">
        <f>IF(AND('Atividades Micro'!$B364=AO$2,'Atividades Micro'!$K364&lt;&gt;""),'Atividades Micro'!$K364,"")</f>
        <v/>
      </c>
      <c r="AP312" s="21" t="str">
        <f>IF(AND('Atividades Micro'!$B364=AP$2,'Atividades Micro'!$L364&lt;&gt;""),'Atividades Micro'!$L364,"")</f>
        <v/>
      </c>
      <c r="AQ312" s="21" t="str">
        <f>IF(AND('Atividades Micro'!$A364=AQ$2,'Atividades Micro'!$K364&lt;&gt;""),'Atividades Micro'!$K364,"")</f>
        <v/>
      </c>
      <c r="AR312" s="21" t="str">
        <f>IF(AND('Atividades Micro'!$A364=AR$2,'Atividades Micro'!$L364&lt;&gt;""),'Atividades Micro'!$L364,"")</f>
        <v/>
      </c>
      <c r="AS312" s="21" t="str">
        <f>IF(AND('Atividades Micro'!$B364=AS$2,'Atividades Micro'!$K364&lt;&gt;""),'Atividades Micro'!$K364,"")</f>
        <v/>
      </c>
      <c r="AT312" s="21" t="str">
        <f>IF(AND('Atividades Micro'!$B364=AT$2,'Atividades Micro'!$L364&lt;&gt;""),'Atividades Micro'!$L364,"")</f>
        <v/>
      </c>
      <c r="AU312" s="21" t="str">
        <f>IF(AND('Atividades Micro'!$A364=AU$2,'Atividades Micro'!$K364&lt;&gt;""),'Atividades Micro'!$K364,"")</f>
        <v/>
      </c>
      <c r="AV312" s="21" t="str">
        <f>IF(AND('Atividades Micro'!$A364=AV$2,'Atividades Micro'!$L364&lt;&gt;""),'Atividades Micro'!$L364,"")</f>
        <v/>
      </c>
      <c r="AW312" s="21" t="str">
        <f>IF(AND('Atividades Micro'!$B364=AW$2,'Atividades Micro'!$K364&lt;&gt;""),'Atividades Micro'!$K364,"")</f>
        <v/>
      </c>
      <c r="AX312" s="21" t="str">
        <f>IF(AND('Atividades Micro'!$B364=AX$2,'Atividades Micro'!$L364&lt;&gt;""),'Atividades Micro'!$L364,"")</f>
        <v/>
      </c>
      <c r="AY312" s="21" t="str">
        <f>IF(AND('Atividades Micro'!$A364=AY$2,'Atividades Micro'!$K364&lt;&gt;""),'Atividades Micro'!$K364,"")</f>
        <v/>
      </c>
      <c r="AZ312" s="21" t="str">
        <f>IF(AND('Atividades Micro'!$A364=AZ$2,'Atividades Micro'!$L364&lt;&gt;""),'Atividades Micro'!$L364,"")</f>
        <v/>
      </c>
      <c r="BA312" s="21" t="str">
        <f>IF(AND('Atividades Micro'!$B364=BA$2,'Atividades Micro'!$K364&lt;&gt;""),'Atividades Micro'!$K364,"")</f>
        <v/>
      </c>
      <c r="BB312" s="21" t="str">
        <f>IF(AND('Atividades Micro'!$B364=BB$2,'Atividades Micro'!$L364&lt;&gt;""),'Atividades Micro'!$L364,"")</f>
        <v/>
      </c>
      <c r="BC312" s="21" t="str">
        <f>IF(AND('Atividades Micro'!$B364=BC$2,'Atividades Micro'!$G364="Macro",'Atividades Micro'!$K364&lt;&gt;""),'Atividades Micro'!$K364,"")</f>
        <v/>
      </c>
      <c r="BD312" s="21" t="str">
        <f>IF(AND('Atividades Micro'!$B364=BD$2,'Atividades Micro'!$G364="Macro",'Atividades Micro'!$K364&lt;&gt;""),'Atividades Micro'!$K364,"")</f>
        <v/>
      </c>
      <c r="BE312" s="21" t="str">
        <f>IF(AND('Atividades Micro'!$B364=BE$2,'Atividades Micro'!$G364="Macro",'Atividades Micro'!$K364&lt;&gt;""),'Atividades Micro'!$K364,"")</f>
        <v/>
      </c>
      <c r="BF312" s="21" t="str">
        <f>IF(AND('Atividades Micro'!$B364=BF$2,'Atividades Micro'!$G364="Macro",'Atividades Micro'!$K364&lt;&gt;""),'Atividades Micro'!$K364,"")</f>
        <v/>
      </c>
      <c r="BG312" s="21" t="str">
        <f>IF(AND('Atividades Micro'!$B364=BG$2,'Atividades Micro'!$G364="Macro",'Atividades Micro'!$K364&lt;&gt;""),'Atividades Micro'!$K364,"")</f>
        <v/>
      </c>
      <c r="BH312" s="21" t="str">
        <f>IF(AND('Atividades Micro'!$B364=BH$2,'Atividades Micro'!$G364="Macro",'Atividades Micro'!$K364&lt;&gt;""),'Atividades Micro'!$K364,"")</f>
        <v/>
      </c>
      <c r="BI312" s="21" t="str">
        <f>IF(AND('Atividades Micro'!$B364=BI$2,'Atividades Micro'!$G364="Macro",'Atividades Micro'!$K364&lt;&gt;""),'Atividades Micro'!$K364,"")</f>
        <v/>
      </c>
      <c r="BJ312" s="21" t="str">
        <f>IF(AND('Atividades Micro'!$B364=BJ$2,'Atividades Micro'!$G364="Macro",'Atividades Micro'!$K364&lt;&gt;""),'Atividades Micro'!$K364,"")</f>
        <v/>
      </c>
      <c r="BK312" s="21" t="str">
        <f>IF(AND('Atividades Micro'!$B364=BK$2,'Atividades Micro'!$G364="Macro",'Atividades Micro'!$K364&lt;&gt;""),'Atividades Micro'!$K364,"")</f>
        <v/>
      </c>
      <c r="BL312" s="21" t="str">
        <f>IF(AND('Atividades Micro'!$B364=BL$2,'Atividades Micro'!$G364="Macro",'Atividades Micro'!$K364&lt;&gt;""),'Atividades Micro'!$K364,"")</f>
        <v/>
      </c>
      <c r="BM312" s="21" t="str">
        <f>IF(AND('Atividades Micro'!$B364=BM$2,'Atividades Micro'!$G364="Macro",'Atividades Micro'!$K364&lt;&gt;""),'Atividades Micro'!$K364,"")</f>
        <v/>
      </c>
      <c r="BN312" s="21" t="str">
        <f>IF(AND('Atividades Micro'!$B364=BN$2,'Atividades Micro'!$G364="Macro",'Atividades Micro'!$K364&lt;&gt;""),'Atividades Micro'!$K364,"")</f>
        <v/>
      </c>
      <c r="BO312" s="21" t="str">
        <f>IF(AND('Atividades Micro'!$B364=BO$2,'Atividades Micro'!$G364="Macro",'Atividades Micro'!$K364&lt;&gt;""),'Atividades Micro'!$K364,"")</f>
        <v/>
      </c>
      <c r="BP312" s="21" t="str">
        <f>IF(AND('Atividades Micro'!$B364=BP$2,'Atividades Micro'!$G364="Macro",'Atividades Micro'!$K364&lt;&gt;""),'Atividades Micro'!$K364,"")</f>
        <v/>
      </c>
      <c r="BQ312" s="21" t="str">
        <f>IF(AND('Atividades Micro'!$B364=BQ$2,'Atividades Micro'!$G364="Macro",'Atividades Micro'!$K364&lt;&gt;""),'Atividades Micro'!$K364,"")</f>
        <v/>
      </c>
      <c r="BR312" s="21" t="str">
        <f>IF(AND('Atividades Micro'!$B364=BR$2,'Atividades Micro'!$G364="Macro",'Atividades Micro'!$K364&lt;&gt;""),'Atividades Micro'!$K364,"")</f>
        <v/>
      </c>
      <c r="BS312" s="21" t="str">
        <f>IF(AND('Atividades Micro'!$B364=BS$2,'Atividades Micro'!$G364="Macro",'Atividades Micro'!$K364&lt;&gt;""),'Atividades Micro'!$K364,"")</f>
        <v/>
      </c>
      <c r="BT312" s="21" t="str">
        <f>IF(AND('Atividades Micro'!$B364=BT$2,'Atividades Micro'!$G364="Macro",'Atividades Micro'!$K364&lt;&gt;""),'Atividades Micro'!$K364,"")</f>
        <v/>
      </c>
      <c r="BU312" s="21" t="str">
        <f>IF(AND('Atividades Micro'!$B364=BU$2,'Atividades Micro'!$G364="Macro",'Atividades Micro'!$K364&lt;&gt;""),'Atividades Micro'!$K364,"")</f>
        <v/>
      </c>
      <c r="BV312" s="21" t="str">
        <f>IF(AND('Atividades Micro'!$B364=BV$2,'Atividades Micro'!$G364="Macro",'Atividades Micro'!$K364&lt;&gt;""),'Atividades Micro'!$K364,"")</f>
        <v/>
      </c>
      <c r="BW312" s="21" t="str">
        <f>IF(AND('Atividades Micro'!$B364=BW$2,'Atividades Micro'!$G364="Macro",'Atividades Micro'!$K364&lt;&gt;""),'Atividades Micro'!$K364,"")</f>
        <v/>
      </c>
      <c r="BX312" s="21" t="str">
        <f>IF(AND('Atividades Micro'!$B364=BX$2,'Atividades Micro'!$G364="Macro",'Atividades Micro'!$K364&lt;&gt;""),'Atividades Micro'!$K364,"")</f>
        <v/>
      </c>
      <c r="BY312" s="21" t="str">
        <f>IF(AND('Atividades Micro'!$B364=BY$2,'Atividades Micro'!$G364="Macro",'Atividades Micro'!$K364&lt;&gt;""),'Atividades Micro'!$K364,"")</f>
        <v/>
      </c>
      <c r="BZ312" s="21" t="str">
        <f>IF(AND('Atividades Micro'!$B364=BZ$2,'Atividades Micro'!$G364="Macro",'Atividades Micro'!$K364&lt;&gt;""),'Atividades Micro'!$K364,"")</f>
        <v/>
      </c>
      <c r="CA312" s="21" t="str">
        <f>IF(AND('Atividades Micro'!$B364=CA$2,'Atividades Micro'!$G364="Macro",'Atividades Micro'!$K364&lt;&gt;""),'Atividades Micro'!$K364,"")</f>
        <v/>
      </c>
      <c r="CB312" s="21" t="str">
        <f>IF(AND('Atividades Micro'!$B364=CB$2,'Atividades Micro'!$G364="Macro",'Atividades Micro'!$K364&lt;&gt;""),'Atividades Micro'!$K364,"")</f>
        <v/>
      </c>
      <c r="CC312" s="21" t="str">
        <f>IF(AND('Atividades Micro'!$B364=CC$2,'Atividades Micro'!$G364="Macro",'Atividades Micro'!$K364&lt;&gt;""),'Atividades Micro'!$K364,"")</f>
        <v/>
      </c>
      <c r="CD312" s="21" t="str">
        <f>IF(AND('Atividades Micro'!$B364=CD$2,'Atividades Micro'!$G364="Micro",'Atividades Micro'!$K364&lt;&gt;""),'Atividades Micro'!$K364,"")</f>
        <v/>
      </c>
      <c r="CE312" s="21" t="str">
        <f>IF(AND('Atividades Micro'!$B364=CE$2,'Atividades Micro'!$G364="Micro",'Atividades Micro'!$K364&lt;&gt;""),'Atividades Micro'!$K364,"")</f>
        <v/>
      </c>
      <c r="CF312" s="21" t="str">
        <f>IF(AND('Atividades Micro'!$B364=CF$2,'Atividades Micro'!$G364="Micro",'Atividades Micro'!$K364&lt;&gt;""),'Atividades Micro'!$K364,"")</f>
        <v/>
      </c>
      <c r="CG312" s="21" t="str">
        <f>IF(AND('Atividades Micro'!$B364=CG$2,'Atividades Micro'!$G364="Micro",'Atividades Micro'!$K364&lt;&gt;""),'Atividades Micro'!$K364,"")</f>
        <v/>
      </c>
      <c r="CH312" s="21" t="str">
        <f>IF(AND('Atividades Micro'!$B364=CH$2,'Atividades Micro'!$G364="Micro",'Atividades Micro'!$K364&lt;&gt;""),'Atividades Micro'!$K364,"")</f>
        <v/>
      </c>
      <c r="CI312" s="21" t="str">
        <f>IF(AND('Atividades Micro'!$B364=CI$2,'Atividades Micro'!$G364="Micro",'Atividades Micro'!$K364&lt;&gt;""),'Atividades Micro'!$K364,"")</f>
        <v/>
      </c>
      <c r="CJ312" s="21" t="str">
        <f>IF(AND('Atividades Micro'!$B364=CJ$2,'Atividades Micro'!$G364="Micro",'Atividades Micro'!$K364&lt;&gt;""),'Atividades Micro'!$K364,"")</f>
        <v/>
      </c>
      <c r="CK312" s="21" t="str">
        <f>IF(AND('Atividades Micro'!$B364=CK$2,'Atividades Micro'!$G364="Micro",'Atividades Micro'!$K364&lt;&gt;""),'Atividades Micro'!$K364,"")</f>
        <v/>
      </c>
      <c r="CL312" s="21" t="str">
        <f>IF(AND('Atividades Micro'!$B364=CL$2,'Atividades Micro'!$G364="Micro",'Atividades Micro'!$K364&lt;&gt;""),'Atividades Micro'!$K364,"")</f>
        <v/>
      </c>
      <c r="CM312" s="21" t="str">
        <f>IF(AND('Atividades Micro'!$B364=CM$2,'Atividades Micro'!$G364="Micro",'Atividades Micro'!$K364&lt;&gt;""),'Atividades Micro'!$K364,"")</f>
        <v/>
      </c>
      <c r="CN312" s="21" t="str">
        <f>IF(AND('Atividades Micro'!$B364=CN$2,'Atividades Micro'!$G364="Micro",'Atividades Micro'!$K364&lt;&gt;""),'Atividades Micro'!$K364,"")</f>
        <v/>
      </c>
      <c r="CO312" s="21" t="str">
        <f>IF(AND('Atividades Micro'!$B364=CO$2,'Atividades Micro'!$G364="Micro",'Atividades Micro'!$K364&lt;&gt;""),'Atividades Micro'!$K364,"")</f>
        <v/>
      </c>
    </row>
    <row r="313" spans="1:93">
      <c r="A313" s="21" t="str">
        <f>IF(AND('Atividades Micro'!$A365=A$2,'Atividades Micro'!$K365&lt;&gt;""),'Atividades Micro'!$K365,"")</f>
        <v/>
      </c>
      <c r="B313" s="21" t="str">
        <f>IF(AND('Atividades Micro'!$A365=B$2,'Atividades Micro'!$L365&lt;&gt;""),'Atividades Micro'!$L365,"")</f>
        <v/>
      </c>
      <c r="C313" s="21" t="str">
        <f>IF(AND('Atividades Micro'!$A365=C$2,'Atividades Micro'!$K365&lt;&gt;""),'Atividades Micro'!$K365,"")</f>
        <v/>
      </c>
      <c r="D313" s="21" t="str">
        <f>IF(AND('Atividades Micro'!$A365=D$2,'Atividades Micro'!$L365&lt;&gt;""),'Atividades Micro'!$L365,"")</f>
        <v/>
      </c>
      <c r="E313" s="21" t="str">
        <f>IF(AND('Atividades Micro'!$A365=E$2,'Atividades Micro'!$K365&lt;&gt;""),'Atividades Micro'!$K365,"")</f>
        <v/>
      </c>
      <c r="F313" s="21" t="str">
        <f>IF(AND('Atividades Micro'!$A365=F$2,'Atividades Micro'!$L365&lt;&gt;""),'Atividades Micro'!$L365,"")</f>
        <v/>
      </c>
      <c r="G313" s="21" t="str">
        <f>IF(AND('Atividades Micro'!$A365=G$2,'Atividades Micro'!$K365&lt;&gt;""),'Atividades Micro'!$K365,"")</f>
        <v/>
      </c>
      <c r="H313" s="21" t="str">
        <f>IF(AND('Atividades Micro'!$A365=H$2,'Atividades Micro'!$L365&lt;&gt;""),'Atividades Micro'!$L365,"")</f>
        <v/>
      </c>
      <c r="I313" s="21" t="str">
        <f>IF(AND('Atividades Micro'!$A365=I$2,'Atividades Micro'!$K365&lt;&gt;""),'Atividades Micro'!$K365,"")</f>
        <v/>
      </c>
      <c r="J313" s="21" t="str">
        <f>IF(AND('Atividades Micro'!$A365=J$2,'Atividades Micro'!$L365&lt;&gt;""),'Atividades Micro'!$L365,"")</f>
        <v/>
      </c>
      <c r="K313" s="21" t="str">
        <f>IF(AND('Atividades Micro'!$B365=K$2,'Atividades Micro'!$K365&lt;&gt;""),'Atividades Micro'!$K365,"")</f>
        <v/>
      </c>
      <c r="L313" s="21" t="str">
        <f>IF(AND('Atividades Micro'!$B365=L$2,'Atividades Micro'!$L365&lt;&gt;""),'Atividades Micro'!$L365,"")</f>
        <v/>
      </c>
      <c r="M313" s="21" t="str">
        <f>IF(AND('Atividades Micro'!$B365=M$2,'Atividades Micro'!$K365&lt;&gt;""),'Atividades Micro'!$K365,"")</f>
        <v/>
      </c>
      <c r="N313" s="21" t="str">
        <f>IF(AND('Atividades Micro'!$B365=N$2,'Atividades Micro'!$L365&lt;&gt;""),'Atividades Micro'!$L365,"")</f>
        <v/>
      </c>
      <c r="O313" s="21" t="str">
        <f>IF(AND('Atividades Micro'!$A365=O$2,'Atividades Micro'!$K365&lt;&gt;""),'Atividades Micro'!$K365,"")</f>
        <v/>
      </c>
      <c r="P313" s="21" t="str">
        <f>IF(AND('Atividades Micro'!$A365=P$2,'Atividades Micro'!$L365&lt;&gt;""),'Atividades Micro'!$L365,"")</f>
        <v/>
      </c>
      <c r="Q313" s="21" t="str">
        <f>IF(AND('Atividades Micro'!$B365=Q$2,'Atividades Micro'!$K365&lt;&gt;""),'Atividades Micro'!$K365,"")</f>
        <v/>
      </c>
      <c r="R313" s="21" t="str">
        <f>IF(AND('Atividades Micro'!$B365=R$2,'Atividades Micro'!$L365&lt;&gt;""),'Atividades Micro'!$L365,"")</f>
        <v/>
      </c>
      <c r="S313" s="21" t="str">
        <f>IF(AND('Atividades Micro'!$A365=S$2,'Atividades Micro'!$K365&lt;&gt;""),'Atividades Micro'!$K365,"")</f>
        <v/>
      </c>
      <c r="T313" s="21" t="str">
        <f>IF(AND('Atividades Micro'!$A365=T$2,'Atividades Micro'!$L365&lt;&gt;""),'Atividades Micro'!$L365,"")</f>
        <v/>
      </c>
      <c r="U313" s="21" t="str">
        <f>IF(AND('Atividades Micro'!$B365=U$2,'Atividades Micro'!$K365&lt;&gt;""),'Atividades Micro'!$K365,"")</f>
        <v/>
      </c>
      <c r="V313" s="21" t="str">
        <f>IF(AND('Atividades Micro'!$B365=V$2,'Atividades Micro'!$L365&lt;&gt;""),'Atividades Micro'!$L365,"")</f>
        <v/>
      </c>
      <c r="W313" s="21" t="str">
        <f>IF(AND('Atividades Micro'!$B365=W$2,'Atividades Micro'!$K365&lt;&gt;""),'Atividades Micro'!$K365,"")</f>
        <v/>
      </c>
      <c r="X313" s="21" t="str">
        <f>IF(AND('Atividades Micro'!$B365=X$2,'Atividades Micro'!$L365&lt;&gt;""),'Atividades Micro'!$L365,"")</f>
        <v/>
      </c>
      <c r="Y313" s="21" t="str">
        <f>IF(AND('Atividades Micro'!$A365=Y$2,'Atividades Micro'!$K365&lt;&gt;""),'Atividades Micro'!$K365,"")</f>
        <v/>
      </c>
      <c r="Z313" s="21" t="str">
        <f>IF(AND('Atividades Micro'!$A365=Z$2,'Atividades Micro'!$L365&lt;&gt;""),'Atividades Micro'!$L365,"")</f>
        <v/>
      </c>
      <c r="AA313" s="21" t="str">
        <f>IF(AND('Atividades Micro'!$B365=AA$2,'Atividades Micro'!$K365&lt;&gt;""),'Atividades Micro'!$K365,"")</f>
        <v/>
      </c>
      <c r="AB313" s="21" t="str">
        <f>IF(AND('Atividades Micro'!$B365=AB$2,'Atividades Micro'!$L365&lt;&gt;""),'Atividades Micro'!$L365,"")</f>
        <v/>
      </c>
      <c r="AC313" s="21" t="str">
        <f>IF(AND('Atividades Micro'!$B365=AC$2,'Atividades Micro'!$K365&lt;&gt;""),'Atividades Micro'!$K365,"")</f>
        <v/>
      </c>
      <c r="AD313" s="21" t="str">
        <f>IF(AND('Atividades Micro'!$B365=AD$2,'Atividades Micro'!$L365&lt;&gt;""),'Atividades Micro'!$L365,"")</f>
        <v/>
      </c>
      <c r="AE313" s="21" t="str">
        <f>IF(AND('Atividades Micro'!$A365=AE$2,'Atividades Micro'!$K365&lt;&gt;""),'Atividades Micro'!$K365,"")</f>
        <v/>
      </c>
      <c r="AF313" s="21" t="str">
        <f>IF(AND('Atividades Micro'!$A365=AF$2,'Atividades Micro'!$L365&lt;&gt;""),'Atividades Micro'!$L365,"")</f>
        <v/>
      </c>
      <c r="AG313" s="21" t="str">
        <f>IF(AND('Atividades Micro'!$B365=AG$2,'Atividades Micro'!$K365&lt;&gt;""),'Atividades Micro'!$K365,"")</f>
        <v/>
      </c>
      <c r="AH313" s="21" t="str">
        <f>IF(AND('Atividades Micro'!$B365=AH$2,'Atividades Micro'!$L365&lt;&gt;""),'Atividades Micro'!$L365,"")</f>
        <v/>
      </c>
      <c r="AI313" s="21" t="str">
        <f>IF(AND('Atividades Micro'!$B365=AI$2,'Atividades Micro'!$K365&lt;&gt;""),'Atividades Micro'!$K365,"")</f>
        <v/>
      </c>
      <c r="AJ313" s="21" t="str">
        <f>IF(AND('Atividades Micro'!$B365=AJ$2,'Atividades Micro'!$L365&lt;&gt;""),'Atividades Micro'!$L365,"")</f>
        <v/>
      </c>
      <c r="AK313" s="21" t="str">
        <f>IF(AND('Atividades Micro'!$A365=AK$2,'Atividades Micro'!$K365&lt;&gt;""),'Atividades Micro'!$K365,"")</f>
        <v/>
      </c>
      <c r="AL313" s="21" t="str">
        <f>IF(AND('Atividades Micro'!$A365=AL$2,'Atividades Micro'!$L365&lt;&gt;""),'Atividades Micro'!$L365,"")</f>
        <v/>
      </c>
      <c r="AM313" s="21" t="str">
        <f>IF(AND('Atividades Micro'!$B365=AM$2,'Atividades Micro'!$K365&lt;&gt;""),'Atividades Micro'!$K365,"")</f>
        <v/>
      </c>
      <c r="AN313" s="21" t="str">
        <f>IF(AND('Atividades Micro'!$B365=AN$2,'Atividades Micro'!$L365&lt;&gt;""),'Atividades Micro'!$L365,"")</f>
        <v/>
      </c>
      <c r="AO313" s="21" t="str">
        <f>IF(AND('Atividades Micro'!$B365=AO$2,'Atividades Micro'!$K365&lt;&gt;""),'Atividades Micro'!$K365,"")</f>
        <v/>
      </c>
      <c r="AP313" s="21" t="str">
        <f>IF(AND('Atividades Micro'!$B365=AP$2,'Atividades Micro'!$L365&lt;&gt;""),'Atividades Micro'!$L365,"")</f>
        <v/>
      </c>
      <c r="AQ313" s="21" t="str">
        <f>IF(AND('Atividades Micro'!$A365=AQ$2,'Atividades Micro'!$K365&lt;&gt;""),'Atividades Micro'!$K365,"")</f>
        <v/>
      </c>
      <c r="AR313" s="21" t="str">
        <f>IF(AND('Atividades Micro'!$A365=AR$2,'Atividades Micro'!$L365&lt;&gt;""),'Atividades Micro'!$L365,"")</f>
        <v/>
      </c>
      <c r="AS313" s="21" t="str">
        <f>IF(AND('Atividades Micro'!$B365=AS$2,'Atividades Micro'!$K365&lt;&gt;""),'Atividades Micro'!$K365,"")</f>
        <v/>
      </c>
      <c r="AT313" s="21" t="str">
        <f>IF(AND('Atividades Micro'!$B365=AT$2,'Atividades Micro'!$L365&lt;&gt;""),'Atividades Micro'!$L365,"")</f>
        <v/>
      </c>
      <c r="AU313" s="21" t="str">
        <f>IF(AND('Atividades Micro'!$A365=AU$2,'Atividades Micro'!$K365&lt;&gt;""),'Atividades Micro'!$K365,"")</f>
        <v/>
      </c>
      <c r="AV313" s="21" t="str">
        <f>IF(AND('Atividades Micro'!$A365=AV$2,'Atividades Micro'!$L365&lt;&gt;""),'Atividades Micro'!$L365,"")</f>
        <v/>
      </c>
      <c r="AW313" s="21" t="str">
        <f>IF(AND('Atividades Micro'!$B365=AW$2,'Atividades Micro'!$K365&lt;&gt;""),'Atividades Micro'!$K365,"")</f>
        <v/>
      </c>
      <c r="AX313" s="21" t="str">
        <f>IF(AND('Atividades Micro'!$B365=AX$2,'Atividades Micro'!$L365&lt;&gt;""),'Atividades Micro'!$L365,"")</f>
        <v/>
      </c>
      <c r="AY313" s="21" t="str">
        <f>IF(AND('Atividades Micro'!$A365=AY$2,'Atividades Micro'!$K365&lt;&gt;""),'Atividades Micro'!$K365,"")</f>
        <v/>
      </c>
      <c r="AZ313" s="21" t="str">
        <f>IF(AND('Atividades Micro'!$A365=AZ$2,'Atividades Micro'!$L365&lt;&gt;""),'Atividades Micro'!$L365,"")</f>
        <v/>
      </c>
      <c r="BA313" s="21" t="str">
        <f>IF(AND('Atividades Micro'!$B365=BA$2,'Atividades Micro'!$K365&lt;&gt;""),'Atividades Micro'!$K365,"")</f>
        <v/>
      </c>
      <c r="BB313" s="21" t="str">
        <f>IF(AND('Atividades Micro'!$B365=BB$2,'Atividades Micro'!$L365&lt;&gt;""),'Atividades Micro'!$L365,"")</f>
        <v/>
      </c>
      <c r="BC313" s="21" t="str">
        <f>IF(AND('Atividades Micro'!$B365=BC$2,'Atividades Micro'!$G365="Macro",'Atividades Micro'!$K365&lt;&gt;""),'Atividades Micro'!$K365,"")</f>
        <v/>
      </c>
      <c r="BD313" s="21" t="str">
        <f>IF(AND('Atividades Micro'!$B365=BD$2,'Atividades Micro'!$G365="Macro",'Atividades Micro'!$K365&lt;&gt;""),'Atividades Micro'!$K365,"")</f>
        <v/>
      </c>
      <c r="BE313" s="21" t="str">
        <f>IF(AND('Atividades Micro'!$B365=BE$2,'Atividades Micro'!$G365="Macro",'Atividades Micro'!$K365&lt;&gt;""),'Atividades Micro'!$K365,"")</f>
        <v/>
      </c>
      <c r="BF313" s="21" t="str">
        <f>IF(AND('Atividades Micro'!$B365=BF$2,'Atividades Micro'!$G365="Macro",'Atividades Micro'!$K365&lt;&gt;""),'Atividades Micro'!$K365,"")</f>
        <v/>
      </c>
      <c r="BG313" s="21" t="str">
        <f>IF(AND('Atividades Micro'!$B365=BG$2,'Atividades Micro'!$G365="Macro",'Atividades Micro'!$K365&lt;&gt;""),'Atividades Micro'!$K365,"")</f>
        <v/>
      </c>
      <c r="BH313" s="21" t="str">
        <f>IF(AND('Atividades Micro'!$B365=BH$2,'Atividades Micro'!$G365="Macro",'Atividades Micro'!$K365&lt;&gt;""),'Atividades Micro'!$K365,"")</f>
        <v/>
      </c>
      <c r="BI313" s="21" t="str">
        <f>IF(AND('Atividades Micro'!$B365=BI$2,'Atividades Micro'!$G365="Macro",'Atividades Micro'!$K365&lt;&gt;""),'Atividades Micro'!$K365,"")</f>
        <v/>
      </c>
      <c r="BJ313" s="21" t="str">
        <f>IF(AND('Atividades Micro'!$B365=BJ$2,'Atividades Micro'!$G365="Macro",'Atividades Micro'!$K365&lt;&gt;""),'Atividades Micro'!$K365,"")</f>
        <v/>
      </c>
      <c r="BK313" s="21" t="str">
        <f>IF(AND('Atividades Micro'!$B365=BK$2,'Atividades Micro'!$G365="Macro",'Atividades Micro'!$K365&lt;&gt;""),'Atividades Micro'!$K365,"")</f>
        <v/>
      </c>
      <c r="BL313" s="21" t="str">
        <f>IF(AND('Atividades Micro'!$B365=BL$2,'Atividades Micro'!$G365="Macro",'Atividades Micro'!$K365&lt;&gt;""),'Atividades Micro'!$K365,"")</f>
        <v/>
      </c>
      <c r="BM313" s="21" t="str">
        <f>IF(AND('Atividades Micro'!$B365=BM$2,'Atividades Micro'!$G365="Macro",'Atividades Micro'!$K365&lt;&gt;""),'Atividades Micro'!$K365,"")</f>
        <v/>
      </c>
      <c r="BN313" s="21" t="str">
        <f>IF(AND('Atividades Micro'!$B365=BN$2,'Atividades Micro'!$G365="Macro",'Atividades Micro'!$K365&lt;&gt;""),'Atividades Micro'!$K365,"")</f>
        <v/>
      </c>
      <c r="BO313" s="21" t="str">
        <f>IF(AND('Atividades Micro'!$B365=BO$2,'Atividades Micro'!$G365="Macro",'Atividades Micro'!$K365&lt;&gt;""),'Atividades Micro'!$K365,"")</f>
        <v/>
      </c>
      <c r="BP313" s="21" t="str">
        <f>IF(AND('Atividades Micro'!$B365=BP$2,'Atividades Micro'!$G365="Macro",'Atividades Micro'!$K365&lt;&gt;""),'Atividades Micro'!$K365,"")</f>
        <v/>
      </c>
      <c r="BQ313" s="21" t="str">
        <f>IF(AND('Atividades Micro'!$B365=BQ$2,'Atividades Micro'!$G365="Macro",'Atividades Micro'!$K365&lt;&gt;""),'Atividades Micro'!$K365,"")</f>
        <v/>
      </c>
      <c r="BR313" s="21" t="str">
        <f>IF(AND('Atividades Micro'!$B365=BR$2,'Atividades Micro'!$G365="Macro",'Atividades Micro'!$K365&lt;&gt;""),'Atividades Micro'!$K365,"")</f>
        <v/>
      </c>
      <c r="BS313" s="21" t="str">
        <f>IF(AND('Atividades Micro'!$B365=BS$2,'Atividades Micro'!$G365="Macro",'Atividades Micro'!$K365&lt;&gt;""),'Atividades Micro'!$K365,"")</f>
        <v/>
      </c>
      <c r="BT313" s="21" t="str">
        <f>IF(AND('Atividades Micro'!$B365=BT$2,'Atividades Micro'!$G365="Macro",'Atividades Micro'!$K365&lt;&gt;""),'Atividades Micro'!$K365,"")</f>
        <v/>
      </c>
      <c r="BU313" s="21" t="str">
        <f>IF(AND('Atividades Micro'!$B365=BU$2,'Atividades Micro'!$G365="Macro",'Atividades Micro'!$K365&lt;&gt;""),'Atividades Micro'!$K365,"")</f>
        <v/>
      </c>
      <c r="BV313" s="21" t="str">
        <f>IF(AND('Atividades Micro'!$B365=BV$2,'Atividades Micro'!$G365="Macro",'Atividades Micro'!$K365&lt;&gt;""),'Atividades Micro'!$K365,"")</f>
        <v/>
      </c>
      <c r="BW313" s="21" t="str">
        <f>IF(AND('Atividades Micro'!$B365=BW$2,'Atividades Micro'!$G365="Macro",'Atividades Micro'!$K365&lt;&gt;""),'Atividades Micro'!$K365,"")</f>
        <v/>
      </c>
      <c r="BX313" s="21" t="str">
        <f>IF(AND('Atividades Micro'!$B365=BX$2,'Atividades Micro'!$G365="Macro",'Atividades Micro'!$K365&lt;&gt;""),'Atividades Micro'!$K365,"")</f>
        <v/>
      </c>
      <c r="BY313" s="21" t="str">
        <f>IF(AND('Atividades Micro'!$B365=BY$2,'Atividades Micro'!$G365="Macro",'Atividades Micro'!$K365&lt;&gt;""),'Atividades Micro'!$K365,"")</f>
        <v/>
      </c>
      <c r="BZ313" s="21" t="str">
        <f>IF(AND('Atividades Micro'!$B365=BZ$2,'Atividades Micro'!$G365="Macro",'Atividades Micro'!$K365&lt;&gt;""),'Atividades Micro'!$K365,"")</f>
        <v/>
      </c>
      <c r="CA313" s="21" t="str">
        <f>IF(AND('Atividades Micro'!$B365=CA$2,'Atividades Micro'!$G365="Macro",'Atividades Micro'!$K365&lt;&gt;""),'Atividades Micro'!$K365,"")</f>
        <v/>
      </c>
      <c r="CB313" s="21" t="str">
        <f>IF(AND('Atividades Micro'!$B365=CB$2,'Atividades Micro'!$G365="Macro",'Atividades Micro'!$K365&lt;&gt;""),'Atividades Micro'!$K365,"")</f>
        <v/>
      </c>
      <c r="CC313" s="21" t="str">
        <f>IF(AND('Atividades Micro'!$B365=CC$2,'Atividades Micro'!$G365="Macro",'Atividades Micro'!$K365&lt;&gt;""),'Atividades Micro'!$K365,"")</f>
        <v/>
      </c>
      <c r="CD313" s="21" t="str">
        <f>IF(AND('Atividades Micro'!$B365=CD$2,'Atividades Micro'!$G365="Micro",'Atividades Micro'!$K365&lt;&gt;""),'Atividades Micro'!$K365,"")</f>
        <v/>
      </c>
      <c r="CE313" s="21" t="str">
        <f>IF(AND('Atividades Micro'!$B365=CE$2,'Atividades Micro'!$G365="Micro",'Atividades Micro'!$K365&lt;&gt;""),'Atividades Micro'!$K365,"")</f>
        <v/>
      </c>
      <c r="CF313" s="21" t="str">
        <f>IF(AND('Atividades Micro'!$B365=CF$2,'Atividades Micro'!$G365="Micro",'Atividades Micro'!$K365&lt;&gt;""),'Atividades Micro'!$K365,"")</f>
        <v/>
      </c>
      <c r="CG313" s="21" t="str">
        <f>IF(AND('Atividades Micro'!$B365=CG$2,'Atividades Micro'!$G365="Micro",'Atividades Micro'!$K365&lt;&gt;""),'Atividades Micro'!$K365,"")</f>
        <v/>
      </c>
      <c r="CH313" s="21" t="str">
        <f>IF(AND('Atividades Micro'!$B365=CH$2,'Atividades Micro'!$G365="Micro",'Atividades Micro'!$K365&lt;&gt;""),'Atividades Micro'!$K365,"")</f>
        <v/>
      </c>
      <c r="CI313" s="21" t="str">
        <f>IF(AND('Atividades Micro'!$B365=CI$2,'Atividades Micro'!$G365="Micro",'Atividades Micro'!$K365&lt;&gt;""),'Atividades Micro'!$K365,"")</f>
        <v/>
      </c>
      <c r="CJ313" s="21" t="str">
        <f>IF(AND('Atividades Micro'!$B365=CJ$2,'Atividades Micro'!$G365="Micro",'Atividades Micro'!$K365&lt;&gt;""),'Atividades Micro'!$K365,"")</f>
        <v/>
      </c>
      <c r="CK313" s="21" t="str">
        <f>IF(AND('Atividades Micro'!$B365=CK$2,'Atividades Micro'!$G365="Micro",'Atividades Micro'!$K365&lt;&gt;""),'Atividades Micro'!$K365,"")</f>
        <v/>
      </c>
      <c r="CL313" s="21" t="str">
        <f>IF(AND('Atividades Micro'!$B365=CL$2,'Atividades Micro'!$G365="Micro",'Atividades Micro'!$K365&lt;&gt;""),'Atividades Micro'!$K365,"")</f>
        <v/>
      </c>
      <c r="CM313" s="21" t="str">
        <f>IF(AND('Atividades Micro'!$B365=CM$2,'Atividades Micro'!$G365="Micro",'Atividades Micro'!$K365&lt;&gt;""),'Atividades Micro'!$K365,"")</f>
        <v/>
      </c>
      <c r="CN313" s="21" t="str">
        <f>IF(AND('Atividades Micro'!$B365=CN$2,'Atividades Micro'!$G365="Micro",'Atividades Micro'!$K365&lt;&gt;""),'Atividades Micro'!$K365,"")</f>
        <v/>
      </c>
      <c r="CO313" s="21" t="str">
        <f>IF(AND('Atividades Micro'!$B365=CO$2,'Atividades Micro'!$G365="Micro",'Atividades Micro'!$K365&lt;&gt;""),'Atividades Micro'!$K365,"")</f>
        <v/>
      </c>
    </row>
    <row r="314" spans="1:93">
      <c r="A314" s="21" t="str">
        <f>IF(AND('Atividades Micro'!$A366=A$2,'Atividades Micro'!$K366&lt;&gt;""),'Atividades Micro'!$K366,"")</f>
        <v/>
      </c>
      <c r="B314" s="21" t="str">
        <f>IF(AND('Atividades Micro'!$A366=B$2,'Atividades Micro'!$L366&lt;&gt;""),'Atividades Micro'!$L366,"")</f>
        <v/>
      </c>
      <c r="C314" s="21" t="str">
        <f>IF(AND('Atividades Micro'!$A366=C$2,'Atividades Micro'!$K366&lt;&gt;""),'Atividades Micro'!$K366,"")</f>
        <v/>
      </c>
      <c r="D314" s="21" t="str">
        <f>IF(AND('Atividades Micro'!$A366=D$2,'Atividades Micro'!$L366&lt;&gt;""),'Atividades Micro'!$L366,"")</f>
        <v/>
      </c>
      <c r="E314" s="21" t="str">
        <f>IF(AND('Atividades Micro'!$A366=E$2,'Atividades Micro'!$K366&lt;&gt;""),'Atividades Micro'!$K366,"")</f>
        <v/>
      </c>
      <c r="F314" s="21" t="str">
        <f>IF(AND('Atividades Micro'!$A366=F$2,'Atividades Micro'!$L366&lt;&gt;""),'Atividades Micro'!$L366,"")</f>
        <v/>
      </c>
      <c r="G314" s="21" t="str">
        <f>IF(AND('Atividades Micro'!$A366=G$2,'Atividades Micro'!$K366&lt;&gt;""),'Atividades Micro'!$K366,"")</f>
        <v/>
      </c>
      <c r="H314" s="21" t="str">
        <f>IF(AND('Atividades Micro'!$A366=H$2,'Atividades Micro'!$L366&lt;&gt;""),'Atividades Micro'!$L366,"")</f>
        <v/>
      </c>
      <c r="I314" s="21" t="str">
        <f>IF(AND('Atividades Micro'!$A366=I$2,'Atividades Micro'!$K366&lt;&gt;""),'Atividades Micro'!$K366,"")</f>
        <v/>
      </c>
      <c r="J314" s="21" t="str">
        <f>IF(AND('Atividades Micro'!$A366=J$2,'Atividades Micro'!$L366&lt;&gt;""),'Atividades Micro'!$L366,"")</f>
        <v/>
      </c>
      <c r="K314" s="21" t="str">
        <f>IF(AND('Atividades Micro'!$B366=K$2,'Atividades Micro'!$K366&lt;&gt;""),'Atividades Micro'!$K366,"")</f>
        <v/>
      </c>
      <c r="L314" s="21" t="str">
        <f>IF(AND('Atividades Micro'!$B366=L$2,'Atividades Micro'!$L366&lt;&gt;""),'Atividades Micro'!$L366,"")</f>
        <v/>
      </c>
      <c r="M314" s="21" t="str">
        <f>IF(AND('Atividades Micro'!$B366=M$2,'Atividades Micro'!$K366&lt;&gt;""),'Atividades Micro'!$K366,"")</f>
        <v/>
      </c>
      <c r="N314" s="21" t="str">
        <f>IF(AND('Atividades Micro'!$B366=N$2,'Atividades Micro'!$L366&lt;&gt;""),'Atividades Micro'!$L366,"")</f>
        <v/>
      </c>
      <c r="O314" s="21" t="str">
        <f>IF(AND('Atividades Micro'!$A366=O$2,'Atividades Micro'!$K366&lt;&gt;""),'Atividades Micro'!$K366,"")</f>
        <v/>
      </c>
      <c r="P314" s="21" t="str">
        <f>IF(AND('Atividades Micro'!$A366=P$2,'Atividades Micro'!$L366&lt;&gt;""),'Atividades Micro'!$L366,"")</f>
        <v/>
      </c>
      <c r="Q314" s="21" t="str">
        <f>IF(AND('Atividades Micro'!$B366=Q$2,'Atividades Micro'!$K366&lt;&gt;""),'Atividades Micro'!$K366,"")</f>
        <v/>
      </c>
      <c r="R314" s="21" t="str">
        <f>IF(AND('Atividades Micro'!$B366=R$2,'Atividades Micro'!$L366&lt;&gt;""),'Atividades Micro'!$L366,"")</f>
        <v/>
      </c>
      <c r="S314" s="21" t="str">
        <f>IF(AND('Atividades Micro'!$A366=S$2,'Atividades Micro'!$K366&lt;&gt;""),'Atividades Micro'!$K366,"")</f>
        <v/>
      </c>
      <c r="T314" s="21" t="str">
        <f>IF(AND('Atividades Micro'!$A366=T$2,'Atividades Micro'!$L366&lt;&gt;""),'Atividades Micro'!$L366,"")</f>
        <v/>
      </c>
      <c r="U314" s="21" t="str">
        <f>IF(AND('Atividades Micro'!$B366=U$2,'Atividades Micro'!$K366&lt;&gt;""),'Atividades Micro'!$K366,"")</f>
        <v/>
      </c>
      <c r="V314" s="21" t="str">
        <f>IF(AND('Atividades Micro'!$B366=V$2,'Atividades Micro'!$L366&lt;&gt;""),'Atividades Micro'!$L366,"")</f>
        <v/>
      </c>
      <c r="W314" s="21" t="str">
        <f>IF(AND('Atividades Micro'!$B366=W$2,'Atividades Micro'!$K366&lt;&gt;""),'Atividades Micro'!$K366,"")</f>
        <v/>
      </c>
      <c r="X314" s="21" t="str">
        <f>IF(AND('Atividades Micro'!$B366=X$2,'Atividades Micro'!$L366&lt;&gt;""),'Atividades Micro'!$L366,"")</f>
        <v/>
      </c>
      <c r="Y314" s="21" t="str">
        <f>IF(AND('Atividades Micro'!$A366=Y$2,'Atividades Micro'!$K366&lt;&gt;""),'Atividades Micro'!$K366,"")</f>
        <v/>
      </c>
      <c r="Z314" s="21" t="str">
        <f>IF(AND('Atividades Micro'!$A366=Z$2,'Atividades Micro'!$L366&lt;&gt;""),'Atividades Micro'!$L366,"")</f>
        <v/>
      </c>
      <c r="AA314" s="21" t="str">
        <f>IF(AND('Atividades Micro'!$B366=AA$2,'Atividades Micro'!$K366&lt;&gt;""),'Atividades Micro'!$K366,"")</f>
        <v/>
      </c>
      <c r="AB314" s="21" t="str">
        <f>IF(AND('Atividades Micro'!$B366=AB$2,'Atividades Micro'!$L366&lt;&gt;""),'Atividades Micro'!$L366,"")</f>
        <v/>
      </c>
      <c r="AC314" s="21" t="str">
        <f>IF(AND('Atividades Micro'!$B366=AC$2,'Atividades Micro'!$K366&lt;&gt;""),'Atividades Micro'!$K366,"")</f>
        <v/>
      </c>
      <c r="AD314" s="21" t="str">
        <f>IF(AND('Atividades Micro'!$B366=AD$2,'Atividades Micro'!$L366&lt;&gt;""),'Atividades Micro'!$L366,"")</f>
        <v/>
      </c>
      <c r="AE314" s="21" t="str">
        <f>IF(AND('Atividades Micro'!$A366=AE$2,'Atividades Micro'!$K366&lt;&gt;""),'Atividades Micro'!$K366,"")</f>
        <v/>
      </c>
      <c r="AF314" s="21" t="str">
        <f>IF(AND('Atividades Micro'!$A366=AF$2,'Atividades Micro'!$L366&lt;&gt;""),'Atividades Micro'!$L366,"")</f>
        <v/>
      </c>
      <c r="AG314" s="21" t="str">
        <f>IF(AND('Atividades Micro'!$B366=AG$2,'Atividades Micro'!$K366&lt;&gt;""),'Atividades Micro'!$K366,"")</f>
        <v/>
      </c>
      <c r="AH314" s="21" t="str">
        <f>IF(AND('Atividades Micro'!$B366=AH$2,'Atividades Micro'!$L366&lt;&gt;""),'Atividades Micro'!$L366,"")</f>
        <v/>
      </c>
      <c r="AI314" s="21" t="str">
        <f>IF(AND('Atividades Micro'!$B366=AI$2,'Atividades Micro'!$K366&lt;&gt;""),'Atividades Micro'!$K366,"")</f>
        <v/>
      </c>
      <c r="AJ314" s="21" t="str">
        <f>IF(AND('Atividades Micro'!$B366=AJ$2,'Atividades Micro'!$L366&lt;&gt;""),'Atividades Micro'!$L366,"")</f>
        <v/>
      </c>
      <c r="AK314" s="21" t="str">
        <f>IF(AND('Atividades Micro'!$A366=AK$2,'Atividades Micro'!$K366&lt;&gt;""),'Atividades Micro'!$K366,"")</f>
        <v/>
      </c>
      <c r="AL314" s="21" t="str">
        <f>IF(AND('Atividades Micro'!$A366=AL$2,'Atividades Micro'!$L366&lt;&gt;""),'Atividades Micro'!$L366,"")</f>
        <v/>
      </c>
      <c r="AM314" s="21" t="str">
        <f>IF(AND('Atividades Micro'!$B366=AM$2,'Atividades Micro'!$K366&lt;&gt;""),'Atividades Micro'!$K366,"")</f>
        <v/>
      </c>
      <c r="AN314" s="21" t="str">
        <f>IF(AND('Atividades Micro'!$B366=AN$2,'Atividades Micro'!$L366&lt;&gt;""),'Atividades Micro'!$L366,"")</f>
        <v/>
      </c>
      <c r="AO314" s="21" t="str">
        <f>IF(AND('Atividades Micro'!$B366=AO$2,'Atividades Micro'!$K366&lt;&gt;""),'Atividades Micro'!$K366,"")</f>
        <v/>
      </c>
      <c r="AP314" s="21" t="str">
        <f>IF(AND('Atividades Micro'!$B366=AP$2,'Atividades Micro'!$L366&lt;&gt;""),'Atividades Micro'!$L366,"")</f>
        <v/>
      </c>
      <c r="AQ314" s="21" t="str">
        <f>IF(AND('Atividades Micro'!$A366=AQ$2,'Atividades Micro'!$K366&lt;&gt;""),'Atividades Micro'!$K366,"")</f>
        <v/>
      </c>
      <c r="AR314" s="21" t="str">
        <f>IF(AND('Atividades Micro'!$A366=AR$2,'Atividades Micro'!$L366&lt;&gt;""),'Atividades Micro'!$L366,"")</f>
        <v/>
      </c>
      <c r="AS314" s="21" t="str">
        <f>IF(AND('Atividades Micro'!$B366=AS$2,'Atividades Micro'!$K366&lt;&gt;""),'Atividades Micro'!$K366,"")</f>
        <v/>
      </c>
      <c r="AT314" s="21" t="str">
        <f>IF(AND('Atividades Micro'!$B366=AT$2,'Atividades Micro'!$L366&lt;&gt;""),'Atividades Micro'!$L366,"")</f>
        <v/>
      </c>
      <c r="AU314" s="21" t="str">
        <f>IF(AND('Atividades Micro'!$A366=AU$2,'Atividades Micro'!$K366&lt;&gt;""),'Atividades Micro'!$K366,"")</f>
        <v/>
      </c>
      <c r="AV314" s="21" t="str">
        <f>IF(AND('Atividades Micro'!$A366=AV$2,'Atividades Micro'!$L366&lt;&gt;""),'Atividades Micro'!$L366,"")</f>
        <v/>
      </c>
      <c r="AW314" s="21" t="str">
        <f>IF(AND('Atividades Micro'!$B366=AW$2,'Atividades Micro'!$K366&lt;&gt;""),'Atividades Micro'!$K366,"")</f>
        <v/>
      </c>
      <c r="AX314" s="21" t="str">
        <f>IF(AND('Atividades Micro'!$B366=AX$2,'Atividades Micro'!$L366&lt;&gt;""),'Atividades Micro'!$L366,"")</f>
        <v/>
      </c>
      <c r="AY314" s="21" t="str">
        <f>IF(AND('Atividades Micro'!$A366=AY$2,'Atividades Micro'!$K366&lt;&gt;""),'Atividades Micro'!$K366,"")</f>
        <v/>
      </c>
      <c r="AZ314" s="21" t="str">
        <f>IF(AND('Atividades Micro'!$A366=AZ$2,'Atividades Micro'!$L366&lt;&gt;""),'Atividades Micro'!$L366,"")</f>
        <v/>
      </c>
      <c r="BA314" s="21" t="str">
        <f>IF(AND('Atividades Micro'!$B366=BA$2,'Atividades Micro'!$K366&lt;&gt;""),'Atividades Micro'!$K366,"")</f>
        <v/>
      </c>
      <c r="BB314" s="21" t="str">
        <f>IF(AND('Atividades Micro'!$B366=BB$2,'Atividades Micro'!$L366&lt;&gt;""),'Atividades Micro'!$L366,"")</f>
        <v/>
      </c>
      <c r="BC314" s="21" t="str">
        <f>IF(AND('Atividades Micro'!$B366=BC$2,'Atividades Micro'!$G366="Macro",'Atividades Micro'!$K366&lt;&gt;""),'Atividades Micro'!$K366,"")</f>
        <v/>
      </c>
      <c r="BD314" s="21" t="str">
        <f>IF(AND('Atividades Micro'!$B366=BD$2,'Atividades Micro'!$G366="Macro",'Atividades Micro'!$K366&lt;&gt;""),'Atividades Micro'!$K366,"")</f>
        <v/>
      </c>
      <c r="BE314" s="21" t="str">
        <f>IF(AND('Atividades Micro'!$B366=BE$2,'Atividades Micro'!$G366="Macro",'Atividades Micro'!$K366&lt;&gt;""),'Atividades Micro'!$K366,"")</f>
        <v/>
      </c>
      <c r="BF314" s="21" t="str">
        <f>IF(AND('Atividades Micro'!$B366=BF$2,'Atividades Micro'!$G366="Macro",'Atividades Micro'!$K366&lt;&gt;""),'Atividades Micro'!$K366,"")</f>
        <v/>
      </c>
      <c r="BG314" s="21" t="str">
        <f>IF(AND('Atividades Micro'!$B366=BG$2,'Atividades Micro'!$G366="Macro",'Atividades Micro'!$K366&lt;&gt;""),'Atividades Micro'!$K366,"")</f>
        <v/>
      </c>
      <c r="BH314" s="21" t="str">
        <f>IF(AND('Atividades Micro'!$B366=BH$2,'Atividades Micro'!$G366="Macro",'Atividades Micro'!$K366&lt;&gt;""),'Atividades Micro'!$K366,"")</f>
        <v/>
      </c>
      <c r="BI314" s="21" t="str">
        <f>IF(AND('Atividades Micro'!$B366=BI$2,'Atividades Micro'!$G366="Macro",'Atividades Micro'!$K366&lt;&gt;""),'Atividades Micro'!$K366,"")</f>
        <v/>
      </c>
      <c r="BJ314" s="21" t="str">
        <f>IF(AND('Atividades Micro'!$B366=BJ$2,'Atividades Micro'!$G366="Macro",'Atividades Micro'!$K366&lt;&gt;""),'Atividades Micro'!$K366,"")</f>
        <v/>
      </c>
      <c r="BK314" s="21" t="str">
        <f>IF(AND('Atividades Micro'!$B366=BK$2,'Atividades Micro'!$G366="Macro",'Atividades Micro'!$K366&lt;&gt;""),'Atividades Micro'!$K366,"")</f>
        <v/>
      </c>
      <c r="BL314" s="21" t="str">
        <f>IF(AND('Atividades Micro'!$B366=BL$2,'Atividades Micro'!$G366="Macro",'Atividades Micro'!$K366&lt;&gt;""),'Atividades Micro'!$K366,"")</f>
        <v/>
      </c>
      <c r="BM314" s="21" t="str">
        <f>IF(AND('Atividades Micro'!$B366=BM$2,'Atividades Micro'!$G366="Macro",'Atividades Micro'!$K366&lt;&gt;""),'Atividades Micro'!$K366,"")</f>
        <v/>
      </c>
      <c r="BN314" s="21" t="str">
        <f>IF(AND('Atividades Micro'!$B366=BN$2,'Atividades Micro'!$G366="Macro",'Atividades Micro'!$K366&lt;&gt;""),'Atividades Micro'!$K366,"")</f>
        <v/>
      </c>
      <c r="BO314" s="21" t="str">
        <f>IF(AND('Atividades Micro'!$B366=BO$2,'Atividades Micro'!$G366="Macro",'Atividades Micro'!$K366&lt;&gt;""),'Atividades Micro'!$K366,"")</f>
        <v/>
      </c>
      <c r="BP314" s="21" t="str">
        <f>IF(AND('Atividades Micro'!$B366=BP$2,'Atividades Micro'!$G366="Macro",'Atividades Micro'!$K366&lt;&gt;""),'Atividades Micro'!$K366,"")</f>
        <v/>
      </c>
      <c r="BQ314" s="21" t="str">
        <f>IF(AND('Atividades Micro'!$B366=BQ$2,'Atividades Micro'!$G366="Macro",'Atividades Micro'!$K366&lt;&gt;""),'Atividades Micro'!$K366,"")</f>
        <v/>
      </c>
      <c r="BR314" s="21" t="str">
        <f>IF(AND('Atividades Micro'!$B366=BR$2,'Atividades Micro'!$G366="Macro",'Atividades Micro'!$K366&lt;&gt;""),'Atividades Micro'!$K366,"")</f>
        <v/>
      </c>
      <c r="BS314" s="21" t="str">
        <f>IF(AND('Atividades Micro'!$B366=BS$2,'Atividades Micro'!$G366="Macro",'Atividades Micro'!$K366&lt;&gt;""),'Atividades Micro'!$K366,"")</f>
        <v/>
      </c>
      <c r="BT314" s="21" t="str">
        <f>IF(AND('Atividades Micro'!$B366=BT$2,'Atividades Micro'!$G366="Macro",'Atividades Micro'!$K366&lt;&gt;""),'Atividades Micro'!$K366,"")</f>
        <v/>
      </c>
      <c r="BU314" s="21" t="str">
        <f>IF(AND('Atividades Micro'!$B366=BU$2,'Atividades Micro'!$G366="Macro",'Atividades Micro'!$K366&lt;&gt;""),'Atividades Micro'!$K366,"")</f>
        <v/>
      </c>
      <c r="BV314" s="21" t="str">
        <f>IF(AND('Atividades Micro'!$B366=BV$2,'Atividades Micro'!$G366="Macro",'Atividades Micro'!$K366&lt;&gt;""),'Atividades Micro'!$K366,"")</f>
        <v/>
      </c>
      <c r="BW314" s="21" t="str">
        <f>IF(AND('Atividades Micro'!$B366=BW$2,'Atividades Micro'!$G366="Macro",'Atividades Micro'!$K366&lt;&gt;""),'Atividades Micro'!$K366,"")</f>
        <v/>
      </c>
      <c r="BX314" s="21" t="str">
        <f>IF(AND('Atividades Micro'!$B366=BX$2,'Atividades Micro'!$G366="Macro",'Atividades Micro'!$K366&lt;&gt;""),'Atividades Micro'!$K366,"")</f>
        <v/>
      </c>
      <c r="BY314" s="21" t="str">
        <f>IF(AND('Atividades Micro'!$B366=BY$2,'Atividades Micro'!$G366="Macro",'Atividades Micro'!$K366&lt;&gt;""),'Atividades Micro'!$K366,"")</f>
        <v/>
      </c>
      <c r="BZ314" s="21" t="str">
        <f>IF(AND('Atividades Micro'!$B366=BZ$2,'Atividades Micro'!$G366="Macro",'Atividades Micro'!$K366&lt;&gt;""),'Atividades Micro'!$K366,"")</f>
        <v/>
      </c>
      <c r="CA314" s="21" t="str">
        <f>IF(AND('Atividades Micro'!$B366=CA$2,'Atividades Micro'!$G366="Macro",'Atividades Micro'!$K366&lt;&gt;""),'Atividades Micro'!$K366,"")</f>
        <v/>
      </c>
      <c r="CB314" s="21" t="str">
        <f>IF(AND('Atividades Micro'!$B366=CB$2,'Atividades Micro'!$G366="Macro",'Atividades Micro'!$K366&lt;&gt;""),'Atividades Micro'!$K366,"")</f>
        <v/>
      </c>
      <c r="CC314" s="21" t="str">
        <f>IF(AND('Atividades Micro'!$B366=CC$2,'Atividades Micro'!$G366="Macro",'Atividades Micro'!$K366&lt;&gt;""),'Atividades Micro'!$K366,"")</f>
        <v/>
      </c>
      <c r="CD314" s="21" t="str">
        <f>IF(AND('Atividades Micro'!$B366=CD$2,'Atividades Micro'!$G366="Micro",'Atividades Micro'!$K366&lt;&gt;""),'Atividades Micro'!$K366,"")</f>
        <v/>
      </c>
      <c r="CE314" s="21" t="str">
        <f>IF(AND('Atividades Micro'!$B366=CE$2,'Atividades Micro'!$G366="Micro",'Atividades Micro'!$K366&lt;&gt;""),'Atividades Micro'!$K366,"")</f>
        <v/>
      </c>
      <c r="CF314" s="21" t="str">
        <f>IF(AND('Atividades Micro'!$B366=CF$2,'Atividades Micro'!$G366="Micro",'Atividades Micro'!$K366&lt;&gt;""),'Atividades Micro'!$K366,"")</f>
        <v/>
      </c>
      <c r="CG314" s="21" t="str">
        <f>IF(AND('Atividades Micro'!$B366=CG$2,'Atividades Micro'!$G366="Micro",'Atividades Micro'!$K366&lt;&gt;""),'Atividades Micro'!$K366,"")</f>
        <v/>
      </c>
      <c r="CH314" s="21" t="str">
        <f>IF(AND('Atividades Micro'!$B366=CH$2,'Atividades Micro'!$G366="Micro",'Atividades Micro'!$K366&lt;&gt;""),'Atividades Micro'!$K366,"")</f>
        <v/>
      </c>
      <c r="CI314" s="21" t="str">
        <f>IF(AND('Atividades Micro'!$B366=CI$2,'Atividades Micro'!$G366="Micro",'Atividades Micro'!$K366&lt;&gt;""),'Atividades Micro'!$K366,"")</f>
        <v/>
      </c>
      <c r="CJ314" s="21" t="str">
        <f>IF(AND('Atividades Micro'!$B366=CJ$2,'Atividades Micro'!$G366="Micro",'Atividades Micro'!$K366&lt;&gt;""),'Atividades Micro'!$K366,"")</f>
        <v/>
      </c>
      <c r="CK314" s="21" t="str">
        <f>IF(AND('Atividades Micro'!$B366=CK$2,'Atividades Micro'!$G366="Micro",'Atividades Micro'!$K366&lt;&gt;""),'Atividades Micro'!$K366,"")</f>
        <v/>
      </c>
      <c r="CL314" s="21" t="str">
        <f>IF(AND('Atividades Micro'!$B366=CL$2,'Atividades Micro'!$G366="Micro",'Atividades Micro'!$K366&lt;&gt;""),'Atividades Micro'!$K366,"")</f>
        <v/>
      </c>
      <c r="CM314" s="21" t="str">
        <f>IF(AND('Atividades Micro'!$B366=CM$2,'Atividades Micro'!$G366="Micro",'Atividades Micro'!$K366&lt;&gt;""),'Atividades Micro'!$K366,"")</f>
        <v/>
      </c>
      <c r="CN314" s="21" t="str">
        <f>IF(AND('Atividades Micro'!$B366=CN$2,'Atividades Micro'!$G366="Micro",'Atividades Micro'!$K366&lt;&gt;""),'Atividades Micro'!$K366,"")</f>
        <v/>
      </c>
      <c r="CO314" s="21" t="str">
        <f>IF(AND('Atividades Micro'!$B366=CO$2,'Atividades Micro'!$G366="Micro",'Atividades Micro'!$K366&lt;&gt;""),'Atividades Micro'!$K366,"")</f>
        <v/>
      </c>
    </row>
    <row r="315" spans="1:93">
      <c r="A315" s="21" t="str">
        <f>IF(AND('Atividades Micro'!$A367=A$2,'Atividades Micro'!$K367&lt;&gt;""),'Atividades Micro'!$K367,"")</f>
        <v/>
      </c>
      <c r="B315" s="21" t="str">
        <f>IF(AND('Atividades Micro'!$A367=B$2,'Atividades Micro'!$L367&lt;&gt;""),'Atividades Micro'!$L367,"")</f>
        <v/>
      </c>
      <c r="C315" s="21" t="str">
        <f>IF(AND('Atividades Micro'!$A367=C$2,'Atividades Micro'!$K367&lt;&gt;""),'Atividades Micro'!$K367,"")</f>
        <v/>
      </c>
      <c r="D315" s="21" t="str">
        <f>IF(AND('Atividades Micro'!$A367=D$2,'Atividades Micro'!$L367&lt;&gt;""),'Atividades Micro'!$L367,"")</f>
        <v/>
      </c>
      <c r="E315" s="21" t="str">
        <f>IF(AND('Atividades Micro'!$A367=E$2,'Atividades Micro'!$K367&lt;&gt;""),'Atividades Micro'!$K367,"")</f>
        <v/>
      </c>
      <c r="F315" s="21" t="str">
        <f>IF(AND('Atividades Micro'!$A367=F$2,'Atividades Micro'!$L367&lt;&gt;""),'Atividades Micro'!$L367,"")</f>
        <v/>
      </c>
      <c r="G315" s="21" t="str">
        <f>IF(AND('Atividades Micro'!$A367=G$2,'Atividades Micro'!$K367&lt;&gt;""),'Atividades Micro'!$K367,"")</f>
        <v/>
      </c>
      <c r="H315" s="21" t="str">
        <f>IF(AND('Atividades Micro'!$A367=H$2,'Atividades Micro'!$L367&lt;&gt;""),'Atividades Micro'!$L367,"")</f>
        <v/>
      </c>
      <c r="I315" s="21" t="str">
        <f>IF(AND('Atividades Micro'!$A367=I$2,'Atividades Micro'!$K367&lt;&gt;""),'Atividades Micro'!$K367,"")</f>
        <v/>
      </c>
      <c r="J315" s="21" t="str">
        <f>IF(AND('Atividades Micro'!$A367=J$2,'Atividades Micro'!$L367&lt;&gt;""),'Atividades Micro'!$L367,"")</f>
        <v/>
      </c>
      <c r="K315" s="21" t="str">
        <f>IF(AND('Atividades Micro'!$B367=K$2,'Atividades Micro'!$K367&lt;&gt;""),'Atividades Micro'!$K367,"")</f>
        <v/>
      </c>
      <c r="L315" s="21" t="str">
        <f>IF(AND('Atividades Micro'!$B367=L$2,'Atividades Micro'!$L367&lt;&gt;""),'Atividades Micro'!$L367,"")</f>
        <v/>
      </c>
      <c r="M315" s="21" t="str">
        <f>IF(AND('Atividades Micro'!$B367=M$2,'Atividades Micro'!$K367&lt;&gt;""),'Atividades Micro'!$K367,"")</f>
        <v/>
      </c>
      <c r="N315" s="21" t="str">
        <f>IF(AND('Atividades Micro'!$B367=N$2,'Atividades Micro'!$L367&lt;&gt;""),'Atividades Micro'!$L367,"")</f>
        <v/>
      </c>
      <c r="O315" s="21" t="str">
        <f>IF(AND('Atividades Micro'!$A367=O$2,'Atividades Micro'!$K367&lt;&gt;""),'Atividades Micro'!$K367,"")</f>
        <v/>
      </c>
      <c r="P315" s="21" t="str">
        <f>IF(AND('Atividades Micro'!$A367=P$2,'Atividades Micro'!$L367&lt;&gt;""),'Atividades Micro'!$L367,"")</f>
        <v/>
      </c>
      <c r="Q315" s="21" t="str">
        <f>IF(AND('Atividades Micro'!$B367=Q$2,'Atividades Micro'!$K367&lt;&gt;""),'Atividades Micro'!$K367,"")</f>
        <v/>
      </c>
      <c r="R315" s="21" t="str">
        <f>IF(AND('Atividades Micro'!$B367=R$2,'Atividades Micro'!$L367&lt;&gt;""),'Atividades Micro'!$L367,"")</f>
        <v/>
      </c>
      <c r="S315" s="21" t="str">
        <f>IF(AND('Atividades Micro'!$A367=S$2,'Atividades Micro'!$K367&lt;&gt;""),'Atividades Micro'!$K367,"")</f>
        <v/>
      </c>
      <c r="T315" s="21" t="str">
        <f>IF(AND('Atividades Micro'!$A367=T$2,'Atividades Micro'!$L367&lt;&gt;""),'Atividades Micro'!$L367,"")</f>
        <v/>
      </c>
      <c r="U315" s="21" t="str">
        <f>IF(AND('Atividades Micro'!$B367=U$2,'Atividades Micro'!$K367&lt;&gt;""),'Atividades Micro'!$K367,"")</f>
        <v/>
      </c>
      <c r="V315" s="21" t="str">
        <f>IF(AND('Atividades Micro'!$B367=V$2,'Atividades Micro'!$L367&lt;&gt;""),'Atividades Micro'!$L367,"")</f>
        <v/>
      </c>
      <c r="W315" s="21" t="str">
        <f>IF(AND('Atividades Micro'!$B367=W$2,'Atividades Micro'!$K367&lt;&gt;""),'Atividades Micro'!$K367,"")</f>
        <v/>
      </c>
      <c r="X315" s="21" t="str">
        <f>IF(AND('Atividades Micro'!$B367=X$2,'Atividades Micro'!$L367&lt;&gt;""),'Atividades Micro'!$L367,"")</f>
        <v/>
      </c>
      <c r="Y315" s="21" t="str">
        <f>IF(AND('Atividades Micro'!$A367=Y$2,'Atividades Micro'!$K367&lt;&gt;""),'Atividades Micro'!$K367,"")</f>
        <v/>
      </c>
      <c r="Z315" s="21" t="str">
        <f>IF(AND('Atividades Micro'!$A367=Z$2,'Atividades Micro'!$L367&lt;&gt;""),'Atividades Micro'!$L367,"")</f>
        <v/>
      </c>
      <c r="AA315" s="21" t="str">
        <f>IF(AND('Atividades Micro'!$B367=AA$2,'Atividades Micro'!$K367&lt;&gt;""),'Atividades Micro'!$K367,"")</f>
        <v/>
      </c>
      <c r="AB315" s="21" t="str">
        <f>IF(AND('Atividades Micro'!$B367=AB$2,'Atividades Micro'!$L367&lt;&gt;""),'Atividades Micro'!$L367,"")</f>
        <v/>
      </c>
      <c r="AC315" s="21" t="str">
        <f>IF(AND('Atividades Micro'!$B367=AC$2,'Atividades Micro'!$K367&lt;&gt;""),'Atividades Micro'!$K367,"")</f>
        <v/>
      </c>
      <c r="AD315" s="21" t="str">
        <f>IF(AND('Atividades Micro'!$B367=AD$2,'Atividades Micro'!$L367&lt;&gt;""),'Atividades Micro'!$L367,"")</f>
        <v/>
      </c>
      <c r="AE315" s="21" t="str">
        <f>IF(AND('Atividades Micro'!$A367=AE$2,'Atividades Micro'!$K367&lt;&gt;""),'Atividades Micro'!$K367,"")</f>
        <v/>
      </c>
      <c r="AF315" s="21" t="str">
        <f>IF(AND('Atividades Micro'!$A367=AF$2,'Atividades Micro'!$L367&lt;&gt;""),'Atividades Micro'!$L367,"")</f>
        <v/>
      </c>
      <c r="AG315" s="21" t="str">
        <f>IF(AND('Atividades Micro'!$B367=AG$2,'Atividades Micro'!$K367&lt;&gt;""),'Atividades Micro'!$K367,"")</f>
        <v/>
      </c>
      <c r="AH315" s="21" t="str">
        <f>IF(AND('Atividades Micro'!$B367=AH$2,'Atividades Micro'!$L367&lt;&gt;""),'Atividades Micro'!$L367,"")</f>
        <v/>
      </c>
      <c r="AI315" s="21" t="str">
        <f>IF(AND('Atividades Micro'!$B367=AI$2,'Atividades Micro'!$K367&lt;&gt;""),'Atividades Micro'!$K367,"")</f>
        <v/>
      </c>
      <c r="AJ315" s="21" t="str">
        <f>IF(AND('Atividades Micro'!$B367=AJ$2,'Atividades Micro'!$L367&lt;&gt;""),'Atividades Micro'!$L367,"")</f>
        <v/>
      </c>
      <c r="AK315" s="21" t="str">
        <f>IF(AND('Atividades Micro'!$A367=AK$2,'Atividades Micro'!$K367&lt;&gt;""),'Atividades Micro'!$K367,"")</f>
        <v/>
      </c>
      <c r="AL315" s="21" t="str">
        <f>IF(AND('Atividades Micro'!$A367=AL$2,'Atividades Micro'!$L367&lt;&gt;""),'Atividades Micro'!$L367,"")</f>
        <v/>
      </c>
      <c r="AM315" s="21" t="str">
        <f>IF(AND('Atividades Micro'!$B367=AM$2,'Atividades Micro'!$K367&lt;&gt;""),'Atividades Micro'!$K367,"")</f>
        <v/>
      </c>
      <c r="AN315" s="21" t="str">
        <f>IF(AND('Atividades Micro'!$B367=AN$2,'Atividades Micro'!$L367&lt;&gt;""),'Atividades Micro'!$L367,"")</f>
        <v/>
      </c>
      <c r="AO315" s="21" t="str">
        <f>IF(AND('Atividades Micro'!$B367=AO$2,'Atividades Micro'!$K367&lt;&gt;""),'Atividades Micro'!$K367,"")</f>
        <v/>
      </c>
      <c r="AP315" s="21" t="str">
        <f>IF(AND('Atividades Micro'!$B367=AP$2,'Atividades Micro'!$L367&lt;&gt;""),'Atividades Micro'!$L367,"")</f>
        <v/>
      </c>
      <c r="AQ315" s="21" t="str">
        <f>IF(AND('Atividades Micro'!$A367=AQ$2,'Atividades Micro'!$K367&lt;&gt;""),'Atividades Micro'!$K367,"")</f>
        <v/>
      </c>
      <c r="AR315" s="21" t="str">
        <f>IF(AND('Atividades Micro'!$A367=AR$2,'Atividades Micro'!$L367&lt;&gt;""),'Atividades Micro'!$L367,"")</f>
        <v/>
      </c>
      <c r="AS315" s="21" t="str">
        <f>IF(AND('Atividades Micro'!$B367=AS$2,'Atividades Micro'!$K367&lt;&gt;""),'Atividades Micro'!$K367,"")</f>
        <v/>
      </c>
      <c r="AT315" s="21" t="str">
        <f>IF(AND('Atividades Micro'!$B367=AT$2,'Atividades Micro'!$L367&lt;&gt;""),'Atividades Micro'!$L367,"")</f>
        <v/>
      </c>
      <c r="AU315" s="21" t="str">
        <f>IF(AND('Atividades Micro'!$A367=AU$2,'Atividades Micro'!$K367&lt;&gt;""),'Atividades Micro'!$K367,"")</f>
        <v/>
      </c>
      <c r="AV315" s="21" t="str">
        <f>IF(AND('Atividades Micro'!$A367=AV$2,'Atividades Micro'!$L367&lt;&gt;""),'Atividades Micro'!$L367,"")</f>
        <v/>
      </c>
      <c r="AW315" s="21" t="str">
        <f>IF(AND('Atividades Micro'!$B367=AW$2,'Atividades Micro'!$K367&lt;&gt;""),'Atividades Micro'!$K367,"")</f>
        <v/>
      </c>
      <c r="AX315" s="21" t="str">
        <f>IF(AND('Atividades Micro'!$B367=AX$2,'Atividades Micro'!$L367&lt;&gt;""),'Atividades Micro'!$L367,"")</f>
        <v/>
      </c>
      <c r="AY315" s="21" t="str">
        <f>IF(AND('Atividades Micro'!$A367=AY$2,'Atividades Micro'!$K367&lt;&gt;""),'Atividades Micro'!$K367,"")</f>
        <v/>
      </c>
      <c r="AZ315" s="21" t="str">
        <f>IF(AND('Atividades Micro'!$A367=AZ$2,'Atividades Micro'!$L367&lt;&gt;""),'Atividades Micro'!$L367,"")</f>
        <v/>
      </c>
      <c r="BA315" s="21" t="str">
        <f>IF(AND('Atividades Micro'!$B367=BA$2,'Atividades Micro'!$K367&lt;&gt;""),'Atividades Micro'!$K367,"")</f>
        <v/>
      </c>
      <c r="BB315" s="21" t="str">
        <f>IF(AND('Atividades Micro'!$B367=BB$2,'Atividades Micro'!$L367&lt;&gt;""),'Atividades Micro'!$L367,"")</f>
        <v/>
      </c>
      <c r="BC315" s="21" t="str">
        <f>IF(AND('Atividades Micro'!$B367=BC$2,'Atividades Micro'!$G367="Macro",'Atividades Micro'!$K367&lt;&gt;""),'Atividades Micro'!$K367,"")</f>
        <v/>
      </c>
      <c r="BD315" s="21" t="str">
        <f>IF(AND('Atividades Micro'!$B367=BD$2,'Atividades Micro'!$G367="Macro",'Atividades Micro'!$K367&lt;&gt;""),'Atividades Micro'!$K367,"")</f>
        <v/>
      </c>
      <c r="BE315" s="21" t="str">
        <f>IF(AND('Atividades Micro'!$B367=BE$2,'Atividades Micro'!$G367="Macro",'Atividades Micro'!$K367&lt;&gt;""),'Atividades Micro'!$K367,"")</f>
        <v/>
      </c>
      <c r="BF315" s="21" t="str">
        <f>IF(AND('Atividades Micro'!$B367=BF$2,'Atividades Micro'!$G367="Macro",'Atividades Micro'!$K367&lt;&gt;""),'Atividades Micro'!$K367,"")</f>
        <v/>
      </c>
      <c r="BG315" s="21" t="str">
        <f>IF(AND('Atividades Micro'!$B367=BG$2,'Atividades Micro'!$G367="Macro",'Atividades Micro'!$K367&lt;&gt;""),'Atividades Micro'!$K367,"")</f>
        <v/>
      </c>
      <c r="BH315" s="21" t="str">
        <f>IF(AND('Atividades Micro'!$B367=BH$2,'Atividades Micro'!$G367="Macro",'Atividades Micro'!$K367&lt;&gt;""),'Atividades Micro'!$K367,"")</f>
        <v/>
      </c>
      <c r="BI315" s="21" t="str">
        <f>IF(AND('Atividades Micro'!$B367=BI$2,'Atividades Micro'!$G367="Macro",'Atividades Micro'!$K367&lt;&gt;""),'Atividades Micro'!$K367,"")</f>
        <v/>
      </c>
      <c r="BJ315" s="21" t="str">
        <f>IF(AND('Atividades Micro'!$B367=BJ$2,'Atividades Micro'!$G367="Macro",'Atividades Micro'!$K367&lt;&gt;""),'Atividades Micro'!$K367,"")</f>
        <v/>
      </c>
      <c r="BK315" s="21" t="str">
        <f>IF(AND('Atividades Micro'!$B367=BK$2,'Atividades Micro'!$G367="Macro",'Atividades Micro'!$K367&lt;&gt;""),'Atividades Micro'!$K367,"")</f>
        <v/>
      </c>
      <c r="BL315" s="21" t="str">
        <f>IF(AND('Atividades Micro'!$B367=BL$2,'Atividades Micro'!$G367="Macro",'Atividades Micro'!$K367&lt;&gt;""),'Atividades Micro'!$K367,"")</f>
        <v/>
      </c>
      <c r="BM315" s="21" t="str">
        <f>IF(AND('Atividades Micro'!$B367=BM$2,'Atividades Micro'!$G367="Macro",'Atividades Micro'!$K367&lt;&gt;""),'Atividades Micro'!$K367,"")</f>
        <v/>
      </c>
      <c r="BN315" s="21" t="str">
        <f>IF(AND('Atividades Micro'!$B367=BN$2,'Atividades Micro'!$G367="Macro",'Atividades Micro'!$K367&lt;&gt;""),'Atividades Micro'!$K367,"")</f>
        <v/>
      </c>
      <c r="BO315" s="21" t="str">
        <f>IF(AND('Atividades Micro'!$B367=BO$2,'Atividades Micro'!$G367="Macro",'Atividades Micro'!$K367&lt;&gt;""),'Atividades Micro'!$K367,"")</f>
        <v/>
      </c>
      <c r="BP315" s="21" t="str">
        <f>IF(AND('Atividades Micro'!$B367=BP$2,'Atividades Micro'!$G367="Macro",'Atividades Micro'!$K367&lt;&gt;""),'Atividades Micro'!$K367,"")</f>
        <v/>
      </c>
      <c r="BQ315" s="21" t="str">
        <f>IF(AND('Atividades Micro'!$B367=BQ$2,'Atividades Micro'!$G367="Macro",'Atividades Micro'!$K367&lt;&gt;""),'Atividades Micro'!$K367,"")</f>
        <v/>
      </c>
      <c r="BR315" s="21" t="str">
        <f>IF(AND('Atividades Micro'!$B367=BR$2,'Atividades Micro'!$G367="Macro",'Atividades Micro'!$K367&lt;&gt;""),'Atividades Micro'!$K367,"")</f>
        <v/>
      </c>
      <c r="BS315" s="21" t="str">
        <f>IF(AND('Atividades Micro'!$B367=BS$2,'Atividades Micro'!$G367="Macro",'Atividades Micro'!$K367&lt;&gt;""),'Atividades Micro'!$K367,"")</f>
        <v/>
      </c>
      <c r="BT315" s="21" t="str">
        <f>IF(AND('Atividades Micro'!$B367=BT$2,'Atividades Micro'!$G367="Macro",'Atividades Micro'!$K367&lt;&gt;""),'Atividades Micro'!$K367,"")</f>
        <v/>
      </c>
      <c r="BU315" s="21" t="str">
        <f>IF(AND('Atividades Micro'!$B367=BU$2,'Atividades Micro'!$G367="Macro",'Atividades Micro'!$K367&lt;&gt;""),'Atividades Micro'!$K367,"")</f>
        <v/>
      </c>
      <c r="BV315" s="21" t="str">
        <f>IF(AND('Atividades Micro'!$B367=BV$2,'Atividades Micro'!$G367="Macro",'Atividades Micro'!$K367&lt;&gt;""),'Atividades Micro'!$K367,"")</f>
        <v/>
      </c>
      <c r="BW315" s="21" t="str">
        <f>IF(AND('Atividades Micro'!$B367=BW$2,'Atividades Micro'!$G367="Macro",'Atividades Micro'!$K367&lt;&gt;""),'Atividades Micro'!$K367,"")</f>
        <v/>
      </c>
      <c r="BX315" s="21" t="str">
        <f>IF(AND('Atividades Micro'!$B367=BX$2,'Atividades Micro'!$G367="Macro",'Atividades Micro'!$K367&lt;&gt;""),'Atividades Micro'!$K367,"")</f>
        <v/>
      </c>
      <c r="BY315" s="21" t="str">
        <f>IF(AND('Atividades Micro'!$B367=BY$2,'Atividades Micro'!$G367="Macro",'Atividades Micro'!$K367&lt;&gt;""),'Atividades Micro'!$K367,"")</f>
        <v/>
      </c>
      <c r="BZ315" s="21" t="str">
        <f>IF(AND('Atividades Micro'!$B367=BZ$2,'Atividades Micro'!$G367="Macro",'Atividades Micro'!$K367&lt;&gt;""),'Atividades Micro'!$K367,"")</f>
        <v/>
      </c>
      <c r="CA315" s="21" t="str">
        <f>IF(AND('Atividades Micro'!$B367=CA$2,'Atividades Micro'!$G367="Macro",'Atividades Micro'!$K367&lt;&gt;""),'Atividades Micro'!$K367,"")</f>
        <v/>
      </c>
      <c r="CB315" s="21" t="str">
        <f>IF(AND('Atividades Micro'!$B367=CB$2,'Atividades Micro'!$G367="Macro",'Atividades Micro'!$K367&lt;&gt;""),'Atividades Micro'!$K367,"")</f>
        <v/>
      </c>
      <c r="CC315" s="21" t="str">
        <f>IF(AND('Atividades Micro'!$B367=CC$2,'Atividades Micro'!$G367="Macro",'Atividades Micro'!$K367&lt;&gt;""),'Atividades Micro'!$K367,"")</f>
        <v/>
      </c>
      <c r="CD315" s="21" t="str">
        <f>IF(AND('Atividades Micro'!$B367=CD$2,'Atividades Micro'!$G367="Micro",'Atividades Micro'!$K367&lt;&gt;""),'Atividades Micro'!$K367,"")</f>
        <v/>
      </c>
      <c r="CE315" s="21" t="str">
        <f>IF(AND('Atividades Micro'!$B367=CE$2,'Atividades Micro'!$G367="Micro",'Atividades Micro'!$K367&lt;&gt;""),'Atividades Micro'!$K367,"")</f>
        <v/>
      </c>
      <c r="CF315" s="21" t="str">
        <f>IF(AND('Atividades Micro'!$B367=CF$2,'Atividades Micro'!$G367="Micro",'Atividades Micro'!$K367&lt;&gt;""),'Atividades Micro'!$K367,"")</f>
        <v/>
      </c>
      <c r="CG315" s="21" t="str">
        <f>IF(AND('Atividades Micro'!$B367=CG$2,'Atividades Micro'!$G367="Micro",'Atividades Micro'!$K367&lt;&gt;""),'Atividades Micro'!$K367,"")</f>
        <v/>
      </c>
      <c r="CH315" s="21" t="str">
        <f>IF(AND('Atividades Micro'!$B367=CH$2,'Atividades Micro'!$G367="Micro",'Atividades Micro'!$K367&lt;&gt;""),'Atividades Micro'!$K367,"")</f>
        <v/>
      </c>
      <c r="CI315" s="21" t="str">
        <f>IF(AND('Atividades Micro'!$B367=CI$2,'Atividades Micro'!$G367="Micro",'Atividades Micro'!$K367&lt;&gt;""),'Atividades Micro'!$K367,"")</f>
        <v/>
      </c>
      <c r="CJ315" s="21" t="str">
        <f>IF(AND('Atividades Micro'!$B367=CJ$2,'Atividades Micro'!$G367="Micro",'Atividades Micro'!$K367&lt;&gt;""),'Atividades Micro'!$K367,"")</f>
        <v/>
      </c>
      <c r="CK315" s="21" t="str">
        <f>IF(AND('Atividades Micro'!$B367=CK$2,'Atividades Micro'!$G367="Micro",'Atividades Micro'!$K367&lt;&gt;""),'Atividades Micro'!$K367,"")</f>
        <v/>
      </c>
      <c r="CL315" s="21" t="str">
        <f>IF(AND('Atividades Micro'!$B367=CL$2,'Atividades Micro'!$G367="Micro",'Atividades Micro'!$K367&lt;&gt;""),'Atividades Micro'!$K367,"")</f>
        <v/>
      </c>
      <c r="CM315" s="21" t="str">
        <f>IF(AND('Atividades Micro'!$B367=CM$2,'Atividades Micro'!$G367="Micro",'Atividades Micro'!$K367&lt;&gt;""),'Atividades Micro'!$K367,"")</f>
        <v/>
      </c>
      <c r="CN315" s="21" t="str">
        <f>IF(AND('Atividades Micro'!$B367=CN$2,'Atividades Micro'!$G367="Micro",'Atividades Micro'!$K367&lt;&gt;""),'Atividades Micro'!$K367,"")</f>
        <v/>
      </c>
      <c r="CO315" s="21" t="str">
        <f>IF(AND('Atividades Micro'!$B367=CO$2,'Atividades Micro'!$G367="Micro",'Atividades Micro'!$K367&lt;&gt;""),'Atividades Micro'!$K367,"")</f>
        <v/>
      </c>
    </row>
    <row r="316" spans="1:93">
      <c r="A316" s="21" t="str">
        <f>IF(AND('Atividades Micro'!$A368=A$2,'Atividades Micro'!$K368&lt;&gt;""),'Atividades Micro'!$K368,"")</f>
        <v/>
      </c>
      <c r="B316" s="21" t="str">
        <f>IF(AND('Atividades Micro'!$A368=B$2,'Atividades Micro'!$L368&lt;&gt;""),'Atividades Micro'!$L368,"")</f>
        <v/>
      </c>
      <c r="C316" s="21" t="str">
        <f>IF(AND('Atividades Micro'!$A368=C$2,'Atividades Micro'!$K368&lt;&gt;""),'Atividades Micro'!$K368,"")</f>
        <v/>
      </c>
      <c r="D316" s="21" t="str">
        <f>IF(AND('Atividades Micro'!$A368=D$2,'Atividades Micro'!$L368&lt;&gt;""),'Atividades Micro'!$L368,"")</f>
        <v/>
      </c>
      <c r="E316" s="21" t="str">
        <f>IF(AND('Atividades Micro'!$A368=E$2,'Atividades Micro'!$K368&lt;&gt;""),'Atividades Micro'!$K368,"")</f>
        <v/>
      </c>
      <c r="F316" s="21" t="str">
        <f>IF(AND('Atividades Micro'!$A368=F$2,'Atividades Micro'!$L368&lt;&gt;""),'Atividades Micro'!$L368,"")</f>
        <v/>
      </c>
      <c r="G316" s="21" t="str">
        <f>IF(AND('Atividades Micro'!$A368=G$2,'Atividades Micro'!$K368&lt;&gt;""),'Atividades Micro'!$K368,"")</f>
        <v/>
      </c>
      <c r="H316" s="21" t="str">
        <f>IF(AND('Atividades Micro'!$A368=H$2,'Atividades Micro'!$L368&lt;&gt;""),'Atividades Micro'!$L368,"")</f>
        <v/>
      </c>
      <c r="I316" s="21" t="str">
        <f>IF(AND('Atividades Micro'!$A368=I$2,'Atividades Micro'!$K368&lt;&gt;""),'Atividades Micro'!$K368,"")</f>
        <v/>
      </c>
      <c r="J316" s="21" t="str">
        <f>IF(AND('Atividades Micro'!$A368=J$2,'Atividades Micro'!$L368&lt;&gt;""),'Atividades Micro'!$L368,"")</f>
        <v/>
      </c>
      <c r="K316" s="21" t="str">
        <f>IF(AND('Atividades Micro'!$B368=K$2,'Atividades Micro'!$K368&lt;&gt;""),'Atividades Micro'!$K368,"")</f>
        <v/>
      </c>
      <c r="L316" s="21" t="str">
        <f>IF(AND('Atividades Micro'!$B368=L$2,'Atividades Micro'!$L368&lt;&gt;""),'Atividades Micro'!$L368,"")</f>
        <v/>
      </c>
      <c r="M316" s="21" t="str">
        <f>IF(AND('Atividades Micro'!$B368=M$2,'Atividades Micro'!$K368&lt;&gt;""),'Atividades Micro'!$K368,"")</f>
        <v/>
      </c>
      <c r="N316" s="21" t="str">
        <f>IF(AND('Atividades Micro'!$B368=N$2,'Atividades Micro'!$L368&lt;&gt;""),'Atividades Micro'!$L368,"")</f>
        <v/>
      </c>
      <c r="O316" s="21" t="str">
        <f>IF(AND('Atividades Micro'!$A368=O$2,'Atividades Micro'!$K368&lt;&gt;""),'Atividades Micro'!$K368,"")</f>
        <v/>
      </c>
      <c r="P316" s="21" t="str">
        <f>IF(AND('Atividades Micro'!$A368=P$2,'Atividades Micro'!$L368&lt;&gt;""),'Atividades Micro'!$L368,"")</f>
        <v/>
      </c>
      <c r="Q316" s="21" t="str">
        <f>IF(AND('Atividades Micro'!$B368=Q$2,'Atividades Micro'!$K368&lt;&gt;""),'Atividades Micro'!$K368,"")</f>
        <v/>
      </c>
      <c r="R316" s="21" t="str">
        <f>IF(AND('Atividades Micro'!$B368=R$2,'Atividades Micro'!$L368&lt;&gt;""),'Atividades Micro'!$L368,"")</f>
        <v/>
      </c>
      <c r="S316" s="21" t="str">
        <f>IF(AND('Atividades Micro'!$A368=S$2,'Atividades Micro'!$K368&lt;&gt;""),'Atividades Micro'!$K368,"")</f>
        <v/>
      </c>
      <c r="T316" s="21" t="str">
        <f>IF(AND('Atividades Micro'!$A368=T$2,'Atividades Micro'!$L368&lt;&gt;""),'Atividades Micro'!$L368,"")</f>
        <v/>
      </c>
      <c r="U316" s="21" t="str">
        <f>IF(AND('Atividades Micro'!$B368=U$2,'Atividades Micro'!$K368&lt;&gt;""),'Atividades Micro'!$K368,"")</f>
        <v/>
      </c>
      <c r="V316" s="21" t="str">
        <f>IF(AND('Atividades Micro'!$B368=V$2,'Atividades Micro'!$L368&lt;&gt;""),'Atividades Micro'!$L368,"")</f>
        <v/>
      </c>
      <c r="W316" s="21" t="str">
        <f>IF(AND('Atividades Micro'!$B368=W$2,'Atividades Micro'!$K368&lt;&gt;""),'Atividades Micro'!$K368,"")</f>
        <v/>
      </c>
      <c r="X316" s="21" t="str">
        <f>IF(AND('Atividades Micro'!$B368=X$2,'Atividades Micro'!$L368&lt;&gt;""),'Atividades Micro'!$L368,"")</f>
        <v/>
      </c>
      <c r="Y316" s="21" t="str">
        <f>IF(AND('Atividades Micro'!$A368=Y$2,'Atividades Micro'!$K368&lt;&gt;""),'Atividades Micro'!$K368,"")</f>
        <v/>
      </c>
      <c r="Z316" s="21" t="str">
        <f>IF(AND('Atividades Micro'!$A368=Z$2,'Atividades Micro'!$L368&lt;&gt;""),'Atividades Micro'!$L368,"")</f>
        <v/>
      </c>
      <c r="AA316" s="21" t="str">
        <f>IF(AND('Atividades Micro'!$B368=AA$2,'Atividades Micro'!$K368&lt;&gt;""),'Atividades Micro'!$K368,"")</f>
        <v/>
      </c>
      <c r="AB316" s="21" t="str">
        <f>IF(AND('Atividades Micro'!$B368=AB$2,'Atividades Micro'!$L368&lt;&gt;""),'Atividades Micro'!$L368,"")</f>
        <v/>
      </c>
      <c r="AC316" s="21" t="str">
        <f>IF(AND('Atividades Micro'!$B368=AC$2,'Atividades Micro'!$K368&lt;&gt;""),'Atividades Micro'!$K368,"")</f>
        <v/>
      </c>
      <c r="AD316" s="21" t="str">
        <f>IF(AND('Atividades Micro'!$B368=AD$2,'Atividades Micro'!$L368&lt;&gt;""),'Atividades Micro'!$L368,"")</f>
        <v/>
      </c>
      <c r="AE316" s="21" t="str">
        <f>IF(AND('Atividades Micro'!$A368=AE$2,'Atividades Micro'!$K368&lt;&gt;""),'Atividades Micro'!$K368,"")</f>
        <v/>
      </c>
      <c r="AF316" s="21" t="str">
        <f>IF(AND('Atividades Micro'!$A368=AF$2,'Atividades Micro'!$L368&lt;&gt;""),'Atividades Micro'!$L368,"")</f>
        <v/>
      </c>
      <c r="AG316" s="21" t="str">
        <f>IF(AND('Atividades Micro'!$B368=AG$2,'Atividades Micro'!$K368&lt;&gt;""),'Atividades Micro'!$K368,"")</f>
        <v/>
      </c>
      <c r="AH316" s="21" t="str">
        <f>IF(AND('Atividades Micro'!$B368=AH$2,'Atividades Micro'!$L368&lt;&gt;""),'Atividades Micro'!$L368,"")</f>
        <v/>
      </c>
      <c r="AI316" s="21" t="str">
        <f>IF(AND('Atividades Micro'!$B368=AI$2,'Atividades Micro'!$K368&lt;&gt;""),'Atividades Micro'!$K368,"")</f>
        <v/>
      </c>
      <c r="AJ316" s="21" t="str">
        <f>IF(AND('Atividades Micro'!$B368=AJ$2,'Atividades Micro'!$L368&lt;&gt;""),'Atividades Micro'!$L368,"")</f>
        <v/>
      </c>
      <c r="AK316" s="21" t="str">
        <f>IF(AND('Atividades Micro'!$A368=AK$2,'Atividades Micro'!$K368&lt;&gt;""),'Atividades Micro'!$K368,"")</f>
        <v/>
      </c>
      <c r="AL316" s="21" t="str">
        <f>IF(AND('Atividades Micro'!$A368=AL$2,'Atividades Micro'!$L368&lt;&gt;""),'Atividades Micro'!$L368,"")</f>
        <v/>
      </c>
      <c r="AM316" s="21" t="str">
        <f>IF(AND('Atividades Micro'!$B368=AM$2,'Atividades Micro'!$K368&lt;&gt;""),'Atividades Micro'!$K368,"")</f>
        <v/>
      </c>
      <c r="AN316" s="21" t="str">
        <f>IF(AND('Atividades Micro'!$B368=AN$2,'Atividades Micro'!$L368&lt;&gt;""),'Atividades Micro'!$L368,"")</f>
        <v/>
      </c>
      <c r="AO316" s="21" t="str">
        <f>IF(AND('Atividades Micro'!$B368=AO$2,'Atividades Micro'!$K368&lt;&gt;""),'Atividades Micro'!$K368,"")</f>
        <v/>
      </c>
      <c r="AP316" s="21" t="str">
        <f>IF(AND('Atividades Micro'!$B368=AP$2,'Atividades Micro'!$L368&lt;&gt;""),'Atividades Micro'!$L368,"")</f>
        <v/>
      </c>
      <c r="AQ316" s="21" t="str">
        <f>IF(AND('Atividades Micro'!$A368=AQ$2,'Atividades Micro'!$K368&lt;&gt;""),'Atividades Micro'!$K368,"")</f>
        <v/>
      </c>
      <c r="AR316" s="21" t="str">
        <f>IF(AND('Atividades Micro'!$A368=AR$2,'Atividades Micro'!$L368&lt;&gt;""),'Atividades Micro'!$L368,"")</f>
        <v/>
      </c>
      <c r="AS316" s="21" t="str">
        <f>IF(AND('Atividades Micro'!$B368=AS$2,'Atividades Micro'!$K368&lt;&gt;""),'Atividades Micro'!$K368,"")</f>
        <v/>
      </c>
      <c r="AT316" s="21" t="str">
        <f>IF(AND('Atividades Micro'!$B368=AT$2,'Atividades Micro'!$L368&lt;&gt;""),'Atividades Micro'!$L368,"")</f>
        <v/>
      </c>
      <c r="AU316" s="21" t="str">
        <f>IF(AND('Atividades Micro'!$A368=AU$2,'Atividades Micro'!$K368&lt;&gt;""),'Atividades Micro'!$K368,"")</f>
        <v/>
      </c>
      <c r="AV316" s="21" t="str">
        <f>IF(AND('Atividades Micro'!$A368=AV$2,'Atividades Micro'!$L368&lt;&gt;""),'Atividades Micro'!$L368,"")</f>
        <v/>
      </c>
      <c r="AW316" s="21" t="str">
        <f>IF(AND('Atividades Micro'!$B368=AW$2,'Atividades Micro'!$K368&lt;&gt;""),'Atividades Micro'!$K368,"")</f>
        <v/>
      </c>
      <c r="AX316" s="21" t="str">
        <f>IF(AND('Atividades Micro'!$B368=AX$2,'Atividades Micro'!$L368&lt;&gt;""),'Atividades Micro'!$L368,"")</f>
        <v/>
      </c>
      <c r="AY316" s="21" t="str">
        <f>IF(AND('Atividades Micro'!$A368=AY$2,'Atividades Micro'!$K368&lt;&gt;""),'Atividades Micro'!$K368,"")</f>
        <v/>
      </c>
      <c r="AZ316" s="21" t="str">
        <f>IF(AND('Atividades Micro'!$A368=AZ$2,'Atividades Micro'!$L368&lt;&gt;""),'Atividades Micro'!$L368,"")</f>
        <v/>
      </c>
      <c r="BA316" s="21" t="str">
        <f>IF(AND('Atividades Micro'!$B368=BA$2,'Atividades Micro'!$K368&lt;&gt;""),'Atividades Micro'!$K368,"")</f>
        <v/>
      </c>
      <c r="BB316" s="21" t="str">
        <f>IF(AND('Atividades Micro'!$B368=BB$2,'Atividades Micro'!$L368&lt;&gt;""),'Atividades Micro'!$L368,"")</f>
        <v/>
      </c>
      <c r="BC316" s="21" t="str">
        <f>IF(AND('Atividades Micro'!$B368=BC$2,'Atividades Micro'!$G368="Macro",'Atividades Micro'!$K368&lt;&gt;""),'Atividades Micro'!$K368,"")</f>
        <v/>
      </c>
      <c r="BD316" s="21" t="str">
        <f>IF(AND('Atividades Micro'!$B368=BD$2,'Atividades Micro'!$G368="Macro",'Atividades Micro'!$K368&lt;&gt;""),'Atividades Micro'!$K368,"")</f>
        <v/>
      </c>
      <c r="BE316" s="21" t="str">
        <f>IF(AND('Atividades Micro'!$B368=BE$2,'Atividades Micro'!$G368="Macro",'Atividades Micro'!$K368&lt;&gt;""),'Atividades Micro'!$K368,"")</f>
        <v/>
      </c>
      <c r="BF316" s="21" t="str">
        <f>IF(AND('Atividades Micro'!$B368=BF$2,'Atividades Micro'!$G368="Macro",'Atividades Micro'!$K368&lt;&gt;""),'Atividades Micro'!$K368,"")</f>
        <v/>
      </c>
      <c r="BG316" s="21" t="str">
        <f>IF(AND('Atividades Micro'!$B368=BG$2,'Atividades Micro'!$G368="Macro",'Atividades Micro'!$K368&lt;&gt;""),'Atividades Micro'!$K368,"")</f>
        <v/>
      </c>
      <c r="BH316" s="21" t="str">
        <f>IF(AND('Atividades Micro'!$B368=BH$2,'Atividades Micro'!$G368="Macro",'Atividades Micro'!$K368&lt;&gt;""),'Atividades Micro'!$K368,"")</f>
        <v/>
      </c>
      <c r="BI316" s="21" t="str">
        <f>IF(AND('Atividades Micro'!$B368=BI$2,'Atividades Micro'!$G368="Macro",'Atividades Micro'!$K368&lt;&gt;""),'Atividades Micro'!$K368,"")</f>
        <v/>
      </c>
      <c r="BJ316" s="21" t="str">
        <f>IF(AND('Atividades Micro'!$B368=BJ$2,'Atividades Micro'!$G368="Macro",'Atividades Micro'!$K368&lt;&gt;""),'Atividades Micro'!$K368,"")</f>
        <v/>
      </c>
      <c r="BK316" s="21" t="str">
        <f>IF(AND('Atividades Micro'!$B368=BK$2,'Atividades Micro'!$G368="Macro",'Atividades Micro'!$K368&lt;&gt;""),'Atividades Micro'!$K368,"")</f>
        <v/>
      </c>
      <c r="BL316" s="21" t="str">
        <f>IF(AND('Atividades Micro'!$B368=BL$2,'Atividades Micro'!$G368="Macro",'Atividades Micro'!$K368&lt;&gt;""),'Atividades Micro'!$K368,"")</f>
        <v/>
      </c>
      <c r="BM316" s="21" t="str">
        <f>IF(AND('Atividades Micro'!$B368=BM$2,'Atividades Micro'!$G368="Macro",'Atividades Micro'!$K368&lt;&gt;""),'Atividades Micro'!$K368,"")</f>
        <v/>
      </c>
      <c r="BN316" s="21" t="str">
        <f>IF(AND('Atividades Micro'!$B368=BN$2,'Atividades Micro'!$G368="Macro",'Atividades Micro'!$K368&lt;&gt;""),'Atividades Micro'!$K368,"")</f>
        <v/>
      </c>
      <c r="BO316" s="21" t="str">
        <f>IF(AND('Atividades Micro'!$B368=BO$2,'Atividades Micro'!$G368="Macro",'Atividades Micro'!$K368&lt;&gt;""),'Atividades Micro'!$K368,"")</f>
        <v/>
      </c>
      <c r="BP316" s="21" t="str">
        <f>IF(AND('Atividades Micro'!$B368=BP$2,'Atividades Micro'!$G368="Macro",'Atividades Micro'!$K368&lt;&gt;""),'Atividades Micro'!$K368,"")</f>
        <v/>
      </c>
      <c r="BQ316" s="21" t="str">
        <f>IF(AND('Atividades Micro'!$B368=BQ$2,'Atividades Micro'!$G368="Macro",'Atividades Micro'!$K368&lt;&gt;""),'Atividades Micro'!$K368,"")</f>
        <v/>
      </c>
      <c r="BR316" s="21" t="str">
        <f>IF(AND('Atividades Micro'!$B368=BR$2,'Atividades Micro'!$G368="Macro",'Atividades Micro'!$K368&lt;&gt;""),'Atividades Micro'!$K368,"")</f>
        <v/>
      </c>
      <c r="BS316" s="21" t="str">
        <f>IF(AND('Atividades Micro'!$B368=BS$2,'Atividades Micro'!$G368="Macro",'Atividades Micro'!$K368&lt;&gt;""),'Atividades Micro'!$K368,"")</f>
        <v/>
      </c>
      <c r="BT316" s="21" t="str">
        <f>IF(AND('Atividades Micro'!$B368=BT$2,'Atividades Micro'!$G368="Macro",'Atividades Micro'!$K368&lt;&gt;""),'Atividades Micro'!$K368,"")</f>
        <v/>
      </c>
      <c r="BU316" s="21" t="str">
        <f>IF(AND('Atividades Micro'!$B368=BU$2,'Atividades Micro'!$G368="Macro",'Atividades Micro'!$K368&lt;&gt;""),'Atividades Micro'!$K368,"")</f>
        <v/>
      </c>
      <c r="BV316" s="21" t="str">
        <f>IF(AND('Atividades Micro'!$B368=BV$2,'Atividades Micro'!$G368="Macro",'Atividades Micro'!$K368&lt;&gt;""),'Atividades Micro'!$K368,"")</f>
        <v/>
      </c>
      <c r="BW316" s="21" t="str">
        <f>IF(AND('Atividades Micro'!$B368=BW$2,'Atividades Micro'!$G368="Macro",'Atividades Micro'!$K368&lt;&gt;""),'Atividades Micro'!$K368,"")</f>
        <v/>
      </c>
      <c r="BX316" s="21" t="str">
        <f>IF(AND('Atividades Micro'!$B368=BX$2,'Atividades Micro'!$G368="Macro",'Atividades Micro'!$K368&lt;&gt;""),'Atividades Micro'!$K368,"")</f>
        <v/>
      </c>
      <c r="BY316" s="21" t="str">
        <f>IF(AND('Atividades Micro'!$B368=BY$2,'Atividades Micro'!$G368="Macro",'Atividades Micro'!$K368&lt;&gt;""),'Atividades Micro'!$K368,"")</f>
        <v/>
      </c>
      <c r="BZ316" s="21" t="str">
        <f>IF(AND('Atividades Micro'!$B368=BZ$2,'Atividades Micro'!$G368="Macro",'Atividades Micro'!$K368&lt;&gt;""),'Atividades Micro'!$K368,"")</f>
        <v/>
      </c>
      <c r="CA316" s="21" t="str">
        <f>IF(AND('Atividades Micro'!$B368=CA$2,'Atividades Micro'!$G368="Macro",'Atividades Micro'!$K368&lt;&gt;""),'Atividades Micro'!$K368,"")</f>
        <v/>
      </c>
      <c r="CB316" s="21" t="str">
        <f>IF(AND('Atividades Micro'!$B368=CB$2,'Atividades Micro'!$G368="Macro",'Atividades Micro'!$K368&lt;&gt;""),'Atividades Micro'!$K368,"")</f>
        <v/>
      </c>
      <c r="CC316" s="21" t="str">
        <f>IF(AND('Atividades Micro'!$B368=CC$2,'Atividades Micro'!$G368="Macro",'Atividades Micro'!$K368&lt;&gt;""),'Atividades Micro'!$K368,"")</f>
        <v/>
      </c>
      <c r="CD316" s="21" t="str">
        <f>IF(AND('Atividades Micro'!$B368=CD$2,'Atividades Micro'!$G368="Micro",'Atividades Micro'!$K368&lt;&gt;""),'Atividades Micro'!$K368,"")</f>
        <v/>
      </c>
      <c r="CE316" s="21" t="str">
        <f>IF(AND('Atividades Micro'!$B368=CE$2,'Atividades Micro'!$G368="Micro",'Atividades Micro'!$K368&lt;&gt;""),'Atividades Micro'!$K368,"")</f>
        <v/>
      </c>
      <c r="CF316" s="21" t="str">
        <f>IF(AND('Atividades Micro'!$B368=CF$2,'Atividades Micro'!$G368="Micro",'Atividades Micro'!$K368&lt;&gt;""),'Atividades Micro'!$K368,"")</f>
        <v/>
      </c>
      <c r="CG316" s="21" t="str">
        <f>IF(AND('Atividades Micro'!$B368=CG$2,'Atividades Micro'!$G368="Micro",'Atividades Micro'!$K368&lt;&gt;""),'Atividades Micro'!$K368,"")</f>
        <v/>
      </c>
      <c r="CH316" s="21" t="str">
        <f>IF(AND('Atividades Micro'!$B368=CH$2,'Atividades Micro'!$G368="Micro",'Atividades Micro'!$K368&lt;&gt;""),'Atividades Micro'!$K368,"")</f>
        <v/>
      </c>
      <c r="CI316" s="21" t="str">
        <f>IF(AND('Atividades Micro'!$B368=CI$2,'Atividades Micro'!$G368="Micro",'Atividades Micro'!$K368&lt;&gt;""),'Atividades Micro'!$K368,"")</f>
        <v/>
      </c>
      <c r="CJ316" s="21" t="str">
        <f>IF(AND('Atividades Micro'!$B368=CJ$2,'Atividades Micro'!$G368="Micro",'Atividades Micro'!$K368&lt;&gt;""),'Atividades Micro'!$K368,"")</f>
        <v/>
      </c>
      <c r="CK316" s="21" t="str">
        <f>IF(AND('Atividades Micro'!$B368=CK$2,'Atividades Micro'!$G368="Micro",'Atividades Micro'!$K368&lt;&gt;""),'Atividades Micro'!$K368,"")</f>
        <v/>
      </c>
      <c r="CL316" s="21" t="str">
        <f>IF(AND('Atividades Micro'!$B368=CL$2,'Atividades Micro'!$G368="Micro",'Atividades Micro'!$K368&lt;&gt;""),'Atividades Micro'!$K368,"")</f>
        <v/>
      </c>
      <c r="CM316" s="21" t="str">
        <f>IF(AND('Atividades Micro'!$B368=CM$2,'Atividades Micro'!$G368="Micro",'Atividades Micro'!$K368&lt;&gt;""),'Atividades Micro'!$K368,"")</f>
        <v/>
      </c>
      <c r="CN316" s="21" t="str">
        <f>IF(AND('Atividades Micro'!$B368=CN$2,'Atividades Micro'!$G368="Micro",'Atividades Micro'!$K368&lt;&gt;""),'Atividades Micro'!$K368,"")</f>
        <v/>
      </c>
      <c r="CO316" s="21" t="str">
        <f>IF(AND('Atividades Micro'!$B368=CO$2,'Atividades Micro'!$G368="Micro",'Atividades Micro'!$K368&lt;&gt;""),'Atividades Micro'!$K368,"")</f>
        <v/>
      </c>
    </row>
    <row r="317" spans="1:93">
      <c r="A317" s="21" t="str">
        <f>IF(AND('Atividades Micro'!$A369=A$2,'Atividades Micro'!$K369&lt;&gt;""),'Atividades Micro'!$K369,"")</f>
        <v/>
      </c>
      <c r="B317" s="21" t="str">
        <f>IF(AND('Atividades Micro'!$A369=B$2,'Atividades Micro'!$L369&lt;&gt;""),'Atividades Micro'!$L369,"")</f>
        <v/>
      </c>
      <c r="C317" s="21" t="str">
        <f>IF(AND('Atividades Micro'!$A369=C$2,'Atividades Micro'!$K369&lt;&gt;""),'Atividades Micro'!$K369,"")</f>
        <v/>
      </c>
      <c r="D317" s="21" t="str">
        <f>IF(AND('Atividades Micro'!$A369=D$2,'Atividades Micro'!$L369&lt;&gt;""),'Atividades Micro'!$L369,"")</f>
        <v/>
      </c>
      <c r="E317" s="21" t="str">
        <f>IF(AND('Atividades Micro'!$A369=E$2,'Atividades Micro'!$K369&lt;&gt;""),'Atividades Micro'!$K369,"")</f>
        <v/>
      </c>
      <c r="F317" s="21" t="str">
        <f>IF(AND('Atividades Micro'!$A369=F$2,'Atividades Micro'!$L369&lt;&gt;""),'Atividades Micro'!$L369,"")</f>
        <v/>
      </c>
      <c r="G317" s="21" t="str">
        <f>IF(AND('Atividades Micro'!$A369=G$2,'Atividades Micro'!$K369&lt;&gt;""),'Atividades Micro'!$K369,"")</f>
        <v/>
      </c>
      <c r="H317" s="21" t="str">
        <f>IF(AND('Atividades Micro'!$A369=H$2,'Atividades Micro'!$L369&lt;&gt;""),'Atividades Micro'!$L369,"")</f>
        <v/>
      </c>
      <c r="I317" s="21" t="str">
        <f>IF(AND('Atividades Micro'!$A369=I$2,'Atividades Micro'!$K369&lt;&gt;""),'Atividades Micro'!$K369,"")</f>
        <v/>
      </c>
      <c r="J317" s="21" t="str">
        <f>IF(AND('Atividades Micro'!$A369=J$2,'Atividades Micro'!$L369&lt;&gt;""),'Atividades Micro'!$L369,"")</f>
        <v/>
      </c>
      <c r="K317" s="21" t="str">
        <f>IF(AND('Atividades Micro'!$B369=K$2,'Atividades Micro'!$K369&lt;&gt;""),'Atividades Micro'!$K369,"")</f>
        <v/>
      </c>
      <c r="L317" s="21" t="str">
        <f>IF(AND('Atividades Micro'!$B369=L$2,'Atividades Micro'!$L369&lt;&gt;""),'Atividades Micro'!$L369,"")</f>
        <v/>
      </c>
      <c r="M317" s="21" t="str">
        <f>IF(AND('Atividades Micro'!$B369=M$2,'Atividades Micro'!$K369&lt;&gt;""),'Atividades Micro'!$K369,"")</f>
        <v/>
      </c>
      <c r="N317" s="21" t="str">
        <f>IF(AND('Atividades Micro'!$B369=N$2,'Atividades Micro'!$L369&lt;&gt;""),'Atividades Micro'!$L369,"")</f>
        <v/>
      </c>
      <c r="O317" s="21" t="str">
        <f>IF(AND('Atividades Micro'!$A369=O$2,'Atividades Micro'!$K369&lt;&gt;""),'Atividades Micro'!$K369,"")</f>
        <v/>
      </c>
      <c r="P317" s="21" t="str">
        <f>IF(AND('Atividades Micro'!$A369=P$2,'Atividades Micro'!$L369&lt;&gt;""),'Atividades Micro'!$L369,"")</f>
        <v/>
      </c>
      <c r="Q317" s="21" t="str">
        <f>IF(AND('Atividades Micro'!$B369=Q$2,'Atividades Micro'!$K369&lt;&gt;""),'Atividades Micro'!$K369,"")</f>
        <v/>
      </c>
      <c r="R317" s="21" t="str">
        <f>IF(AND('Atividades Micro'!$B369=R$2,'Atividades Micro'!$L369&lt;&gt;""),'Atividades Micro'!$L369,"")</f>
        <v/>
      </c>
      <c r="S317" s="21" t="str">
        <f>IF(AND('Atividades Micro'!$A369=S$2,'Atividades Micro'!$K369&lt;&gt;""),'Atividades Micro'!$K369,"")</f>
        <v/>
      </c>
      <c r="T317" s="21" t="str">
        <f>IF(AND('Atividades Micro'!$A369=T$2,'Atividades Micro'!$L369&lt;&gt;""),'Atividades Micro'!$L369,"")</f>
        <v/>
      </c>
      <c r="U317" s="21" t="str">
        <f>IF(AND('Atividades Micro'!$B369=U$2,'Atividades Micro'!$K369&lt;&gt;""),'Atividades Micro'!$K369,"")</f>
        <v/>
      </c>
      <c r="V317" s="21" t="str">
        <f>IF(AND('Atividades Micro'!$B369=V$2,'Atividades Micro'!$L369&lt;&gt;""),'Atividades Micro'!$L369,"")</f>
        <v/>
      </c>
      <c r="W317" s="21" t="str">
        <f>IF(AND('Atividades Micro'!$B369=W$2,'Atividades Micro'!$K369&lt;&gt;""),'Atividades Micro'!$K369,"")</f>
        <v/>
      </c>
      <c r="X317" s="21" t="str">
        <f>IF(AND('Atividades Micro'!$B369=X$2,'Atividades Micro'!$L369&lt;&gt;""),'Atividades Micro'!$L369,"")</f>
        <v/>
      </c>
      <c r="Y317" s="21" t="str">
        <f>IF(AND('Atividades Micro'!$A369=Y$2,'Atividades Micro'!$K369&lt;&gt;""),'Atividades Micro'!$K369,"")</f>
        <v/>
      </c>
      <c r="Z317" s="21" t="str">
        <f>IF(AND('Atividades Micro'!$A369=Z$2,'Atividades Micro'!$L369&lt;&gt;""),'Atividades Micro'!$L369,"")</f>
        <v/>
      </c>
      <c r="AA317" s="21" t="str">
        <f>IF(AND('Atividades Micro'!$B369=AA$2,'Atividades Micro'!$K369&lt;&gt;""),'Atividades Micro'!$K369,"")</f>
        <v/>
      </c>
      <c r="AB317" s="21" t="str">
        <f>IF(AND('Atividades Micro'!$B369=AB$2,'Atividades Micro'!$L369&lt;&gt;""),'Atividades Micro'!$L369,"")</f>
        <v/>
      </c>
      <c r="AC317" s="21" t="str">
        <f>IF(AND('Atividades Micro'!$B369=AC$2,'Atividades Micro'!$K369&lt;&gt;""),'Atividades Micro'!$K369,"")</f>
        <v/>
      </c>
      <c r="AD317" s="21" t="str">
        <f>IF(AND('Atividades Micro'!$B369=AD$2,'Atividades Micro'!$L369&lt;&gt;""),'Atividades Micro'!$L369,"")</f>
        <v/>
      </c>
      <c r="AE317" s="21" t="str">
        <f>IF(AND('Atividades Micro'!$A369=AE$2,'Atividades Micro'!$K369&lt;&gt;""),'Atividades Micro'!$K369,"")</f>
        <v/>
      </c>
      <c r="AF317" s="21" t="str">
        <f>IF(AND('Atividades Micro'!$A369=AF$2,'Atividades Micro'!$L369&lt;&gt;""),'Atividades Micro'!$L369,"")</f>
        <v/>
      </c>
      <c r="AG317" s="21" t="str">
        <f>IF(AND('Atividades Micro'!$B369=AG$2,'Atividades Micro'!$K369&lt;&gt;""),'Atividades Micro'!$K369,"")</f>
        <v/>
      </c>
      <c r="AH317" s="21" t="str">
        <f>IF(AND('Atividades Micro'!$B369=AH$2,'Atividades Micro'!$L369&lt;&gt;""),'Atividades Micro'!$L369,"")</f>
        <v/>
      </c>
      <c r="AI317" s="21" t="str">
        <f>IF(AND('Atividades Micro'!$B369=AI$2,'Atividades Micro'!$K369&lt;&gt;""),'Atividades Micro'!$K369,"")</f>
        <v/>
      </c>
      <c r="AJ317" s="21" t="str">
        <f>IF(AND('Atividades Micro'!$B369=AJ$2,'Atividades Micro'!$L369&lt;&gt;""),'Atividades Micro'!$L369,"")</f>
        <v/>
      </c>
      <c r="AK317" s="21" t="str">
        <f>IF(AND('Atividades Micro'!$A369=AK$2,'Atividades Micro'!$K369&lt;&gt;""),'Atividades Micro'!$K369,"")</f>
        <v/>
      </c>
      <c r="AL317" s="21" t="str">
        <f>IF(AND('Atividades Micro'!$A369=AL$2,'Atividades Micro'!$L369&lt;&gt;""),'Atividades Micro'!$L369,"")</f>
        <v/>
      </c>
      <c r="AM317" s="21" t="str">
        <f>IF(AND('Atividades Micro'!$B369=AM$2,'Atividades Micro'!$K369&lt;&gt;""),'Atividades Micro'!$K369,"")</f>
        <v/>
      </c>
      <c r="AN317" s="21" t="str">
        <f>IF(AND('Atividades Micro'!$B369=AN$2,'Atividades Micro'!$L369&lt;&gt;""),'Atividades Micro'!$L369,"")</f>
        <v/>
      </c>
      <c r="AO317" s="21" t="str">
        <f>IF(AND('Atividades Micro'!$B369=AO$2,'Atividades Micro'!$K369&lt;&gt;""),'Atividades Micro'!$K369,"")</f>
        <v/>
      </c>
      <c r="AP317" s="21" t="str">
        <f>IF(AND('Atividades Micro'!$B369=AP$2,'Atividades Micro'!$L369&lt;&gt;""),'Atividades Micro'!$L369,"")</f>
        <v/>
      </c>
      <c r="AQ317" s="21" t="str">
        <f>IF(AND('Atividades Micro'!$A369=AQ$2,'Atividades Micro'!$K369&lt;&gt;""),'Atividades Micro'!$K369,"")</f>
        <v/>
      </c>
      <c r="AR317" s="21" t="str">
        <f>IF(AND('Atividades Micro'!$A369=AR$2,'Atividades Micro'!$L369&lt;&gt;""),'Atividades Micro'!$L369,"")</f>
        <v/>
      </c>
      <c r="AS317" s="21" t="str">
        <f>IF(AND('Atividades Micro'!$B369=AS$2,'Atividades Micro'!$K369&lt;&gt;""),'Atividades Micro'!$K369,"")</f>
        <v/>
      </c>
      <c r="AT317" s="21" t="str">
        <f>IF(AND('Atividades Micro'!$B369=AT$2,'Atividades Micro'!$L369&lt;&gt;""),'Atividades Micro'!$L369,"")</f>
        <v/>
      </c>
      <c r="AU317" s="21" t="str">
        <f>IF(AND('Atividades Micro'!$A369=AU$2,'Atividades Micro'!$K369&lt;&gt;""),'Atividades Micro'!$K369,"")</f>
        <v/>
      </c>
      <c r="AV317" s="21" t="str">
        <f>IF(AND('Atividades Micro'!$A369=AV$2,'Atividades Micro'!$L369&lt;&gt;""),'Atividades Micro'!$L369,"")</f>
        <v/>
      </c>
      <c r="AW317" s="21" t="str">
        <f>IF(AND('Atividades Micro'!$B369=AW$2,'Atividades Micro'!$K369&lt;&gt;""),'Atividades Micro'!$K369,"")</f>
        <v/>
      </c>
      <c r="AX317" s="21" t="str">
        <f>IF(AND('Atividades Micro'!$B369=AX$2,'Atividades Micro'!$L369&lt;&gt;""),'Atividades Micro'!$L369,"")</f>
        <v/>
      </c>
      <c r="AY317" s="21" t="str">
        <f>IF(AND('Atividades Micro'!$A369=AY$2,'Atividades Micro'!$K369&lt;&gt;""),'Atividades Micro'!$K369,"")</f>
        <v/>
      </c>
      <c r="AZ317" s="21" t="str">
        <f>IF(AND('Atividades Micro'!$A369=AZ$2,'Atividades Micro'!$L369&lt;&gt;""),'Atividades Micro'!$L369,"")</f>
        <v/>
      </c>
      <c r="BA317" s="21" t="str">
        <f>IF(AND('Atividades Micro'!$B369=BA$2,'Atividades Micro'!$K369&lt;&gt;""),'Atividades Micro'!$K369,"")</f>
        <v/>
      </c>
      <c r="BB317" s="21" t="str">
        <f>IF(AND('Atividades Micro'!$B369=BB$2,'Atividades Micro'!$L369&lt;&gt;""),'Atividades Micro'!$L369,"")</f>
        <v/>
      </c>
      <c r="BC317" s="21" t="str">
        <f>IF(AND('Atividades Micro'!$B369=BC$2,'Atividades Micro'!$G369="Macro",'Atividades Micro'!$K369&lt;&gt;""),'Atividades Micro'!$K369,"")</f>
        <v/>
      </c>
      <c r="BD317" s="21" t="str">
        <f>IF(AND('Atividades Micro'!$B369=BD$2,'Atividades Micro'!$G369="Macro",'Atividades Micro'!$K369&lt;&gt;""),'Atividades Micro'!$K369,"")</f>
        <v/>
      </c>
      <c r="BE317" s="21" t="str">
        <f>IF(AND('Atividades Micro'!$B369=BE$2,'Atividades Micro'!$G369="Macro",'Atividades Micro'!$K369&lt;&gt;""),'Atividades Micro'!$K369,"")</f>
        <v/>
      </c>
      <c r="BF317" s="21" t="str">
        <f>IF(AND('Atividades Micro'!$B369=BF$2,'Atividades Micro'!$G369="Macro",'Atividades Micro'!$K369&lt;&gt;""),'Atividades Micro'!$K369,"")</f>
        <v/>
      </c>
      <c r="BG317" s="21" t="str">
        <f>IF(AND('Atividades Micro'!$B369=BG$2,'Atividades Micro'!$G369="Macro",'Atividades Micro'!$K369&lt;&gt;""),'Atividades Micro'!$K369,"")</f>
        <v/>
      </c>
      <c r="BH317" s="21" t="str">
        <f>IF(AND('Atividades Micro'!$B369=BH$2,'Atividades Micro'!$G369="Macro",'Atividades Micro'!$K369&lt;&gt;""),'Atividades Micro'!$K369,"")</f>
        <v/>
      </c>
      <c r="BI317" s="21" t="str">
        <f>IF(AND('Atividades Micro'!$B369=BI$2,'Atividades Micro'!$G369="Macro",'Atividades Micro'!$K369&lt;&gt;""),'Atividades Micro'!$K369,"")</f>
        <v/>
      </c>
      <c r="BJ317" s="21" t="str">
        <f>IF(AND('Atividades Micro'!$B369=BJ$2,'Atividades Micro'!$G369="Macro",'Atividades Micro'!$K369&lt;&gt;""),'Atividades Micro'!$K369,"")</f>
        <v/>
      </c>
      <c r="BK317" s="21" t="str">
        <f>IF(AND('Atividades Micro'!$B369=BK$2,'Atividades Micro'!$G369="Macro",'Atividades Micro'!$K369&lt;&gt;""),'Atividades Micro'!$K369,"")</f>
        <v/>
      </c>
      <c r="BL317" s="21" t="str">
        <f>IF(AND('Atividades Micro'!$B369=BL$2,'Atividades Micro'!$G369="Macro",'Atividades Micro'!$K369&lt;&gt;""),'Atividades Micro'!$K369,"")</f>
        <v/>
      </c>
      <c r="BM317" s="21" t="str">
        <f>IF(AND('Atividades Micro'!$B369=BM$2,'Atividades Micro'!$G369="Macro",'Atividades Micro'!$K369&lt;&gt;""),'Atividades Micro'!$K369,"")</f>
        <v/>
      </c>
      <c r="BN317" s="21" t="str">
        <f>IF(AND('Atividades Micro'!$B369=BN$2,'Atividades Micro'!$G369="Macro",'Atividades Micro'!$K369&lt;&gt;""),'Atividades Micro'!$K369,"")</f>
        <v/>
      </c>
      <c r="BO317" s="21" t="str">
        <f>IF(AND('Atividades Micro'!$B369=BO$2,'Atividades Micro'!$G369="Macro",'Atividades Micro'!$K369&lt;&gt;""),'Atividades Micro'!$K369,"")</f>
        <v/>
      </c>
      <c r="BP317" s="21" t="str">
        <f>IF(AND('Atividades Micro'!$B369=BP$2,'Atividades Micro'!$G369="Macro",'Atividades Micro'!$K369&lt;&gt;""),'Atividades Micro'!$K369,"")</f>
        <v/>
      </c>
      <c r="BQ317" s="21" t="str">
        <f>IF(AND('Atividades Micro'!$B369=BQ$2,'Atividades Micro'!$G369="Macro",'Atividades Micro'!$K369&lt;&gt;""),'Atividades Micro'!$K369,"")</f>
        <v/>
      </c>
      <c r="BR317" s="21" t="str">
        <f>IF(AND('Atividades Micro'!$B369=BR$2,'Atividades Micro'!$G369="Macro",'Atividades Micro'!$K369&lt;&gt;""),'Atividades Micro'!$K369,"")</f>
        <v/>
      </c>
      <c r="BS317" s="21" t="str">
        <f>IF(AND('Atividades Micro'!$B369=BS$2,'Atividades Micro'!$G369="Macro",'Atividades Micro'!$K369&lt;&gt;""),'Atividades Micro'!$K369,"")</f>
        <v/>
      </c>
      <c r="BT317" s="21" t="str">
        <f>IF(AND('Atividades Micro'!$B369=BT$2,'Atividades Micro'!$G369="Macro",'Atividades Micro'!$K369&lt;&gt;""),'Atividades Micro'!$K369,"")</f>
        <v/>
      </c>
      <c r="BU317" s="21" t="str">
        <f>IF(AND('Atividades Micro'!$B369=BU$2,'Atividades Micro'!$G369="Macro",'Atividades Micro'!$K369&lt;&gt;""),'Atividades Micro'!$K369,"")</f>
        <v/>
      </c>
      <c r="BV317" s="21" t="str">
        <f>IF(AND('Atividades Micro'!$B369=BV$2,'Atividades Micro'!$G369="Macro",'Atividades Micro'!$K369&lt;&gt;""),'Atividades Micro'!$K369,"")</f>
        <v/>
      </c>
      <c r="BW317" s="21" t="str">
        <f>IF(AND('Atividades Micro'!$B369=BW$2,'Atividades Micro'!$G369="Macro",'Atividades Micro'!$K369&lt;&gt;""),'Atividades Micro'!$K369,"")</f>
        <v/>
      </c>
      <c r="BX317" s="21" t="str">
        <f>IF(AND('Atividades Micro'!$B369=BX$2,'Atividades Micro'!$G369="Macro",'Atividades Micro'!$K369&lt;&gt;""),'Atividades Micro'!$K369,"")</f>
        <v/>
      </c>
      <c r="BY317" s="21" t="str">
        <f>IF(AND('Atividades Micro'!$B369=BY$2,'Atividades Micro'!$G369="Macro",'Atividades Micro'!$K369&lt;&gt;""),'Atividades Micro'!$K369,"")</f>
        <v/>
      </c>
      <c r="BZ317" s="21" t="str">
        <f>IF(AND('Atividades Micro'!$B369=BZ$2,'Atividades Micro'!$G369="Macro",'Atividades Micro'!$K369&lt;&gt;""),'Atividades Micro'!$K369,"")</f>
        <v/>
      </c>
      <c r="CA317" s="21" t="str">
        <f>IF(AND('Atividades Micro'!$B369=CA$2,'Atividades Micro'!$G369="Macro",'Atividades Micro'!$K369&lt;&gt;""),'Atividades Micro'!$K369,"")</f>
        <v/>
      </c>
      <c r="CB317" s="21" t="str">
        <f>IF(AND('Atividades Micro'!$B369=CB$2,'Atividades Micro'!$G369="Macro",'Atividades Micro'!$K369&lt;&gt;""),'Atividades Micro'!$K369,"")</f>
        <v/>
      </c>
      <c r="CC317" s="21" t="str">
        <f>IF(AND('Atividades Micro'!$B369=CC$2,'Atividades Micro'!$G369="Macro",'Atividades Micro'!$K369&lt;&gt;""),'Atividades Micro'!$K369,"")</f>
        <v/>
      </c>
      <c r="CD317" s="21" t="str">
        <f>IF(AND('Atividades Micro'!$B369=CD$2,'Atividades Micro'!$G369="Micro",'Atividades Micro'!$K369&lt;&gt;""),'Atividades Micro'!$K369,"")</f>
        <v/>
      </c>
      <c r="CE317" s="21" t="str">
        <f>IF(AND('Atividades Micro'!$B369=CE$2,'Atividades Micro'!$G369="Micro",'Atividades Micro'!$K369&lt;&gt;""),'Atividades Micro'!$K369,"")</f>
        <v/>
      </c>
      <c r="CF317" s="21" t="str">
        <f>IF(AND('Atividades Micro'!$B369=CF$2,'Atividades Micro'!$G369="Micro",'Atividades Micro'!$K369&lt;&gt;""),'Atividades Micro'!$K369,"")</f>
        <v/>
      </c>
      <c r="CG317" s="21" t="str">
        <f>IF(AND('Atividades Micro'!$B369=CG$2,'Atividades Micro'!$G369="Micro",'Atividades Micro'!$K369&lt;&gt;""),'Atividades Micro'!$K369,"")</f>
        <v/>
      </c>
      <c r="CH317" s="21" t="str">
        <f>IF(AND('Atividades Micro'!$B369=CH$2,'Atividades Micro'!$G369="Micro",'Atividades Micro'!$K369&lt;&gt;""),'Atividades Micro'!$K369,"")</f>
        <v/>
      </c>
      <c r="CI317" s="21" t="str">
        <f>IF(AND('Atividades Micro'!$B369=CI$2,'Atividades Micro'!$G369="Micro",'Atividades Micro'!$K369&lt;&gt;""),'Atividades Micro'!$K369,"")</f>
        <v/>
      </c>
      <c r="CJ317" s="21" t="str">
        <f>IF(AND('Atividades Micro'!$B369=CJ$2,'Atividades Micro'!$G369="Micro",'Atividades Micro'!$K369&lt;&gt;""),'Atividades Micro'!$K369,"")</f>
        <v/>
      </c>
      <c r="CK317" s="21" t="str">
        <f>IF(AND('Atividades Micro'!$B369=CK$2,'Atividades Micro'!$G369="Micro",'Atividades Micro'!$K369&lt;&gt;""),'Atividades Micro'!$K369,"")</f>
        <v/>
      </c>
      <c r="CL317" s="21" t="str">
        <f>IF(AND('Atividades Micro'!$B369=CL$2,'Atividades Micro'!$G369="Micro",'Atividades Micro'!$K369&lt;&gt;""),'Atividades Micro'!$K369,"")</f>
        <v/>
      </c>
      <c r="CM317" s="21" t="str">
        <f>IF(AND('Atividades Micro'!$B369=CM$2,'Atividades Micro'!$G369="Micro",'Atividades Micro'!$K369&lt;&gt;""),'Atividades Micro'!$K369,"")</f>
        <v/>
      </c>
      <c r="CN317" s="21" t="str">
        <f>IF(AND('Atividades Micro'!$B369=CN$2,'Atividades Micro'!$G369="Micro",'Atividades Micro'!$K369&lt;&gt;""),'Atividades Micro'!$K369,"")</f>
        <v/>
      </c>
      <c r="CO317" s="21" t="str">
        <f>IF(AND('Atividades Micro'!$B369=CO$2,'Atividades Micro'!$G369="Micro",'Atividades Micro'!$K369&lt;&gt;""),'Atividades Micro'!$K369,"")</f>
        <v/>
      </c>
    </row>
    <row r="318" spans="1:93">
      <c r="A318" s="21" t="str">
        <f>IF(AND('Atividades Micro'!$A370=A$2,'Atividades Micro'!$K370&lt;&gt;""),'Atividades Micro'!$K370,"")</f>
        <v/>
      </c>
      <c r="B318" s="21" t="str">
        <f>IF(AND('Atividades Micro'!$A370=B$2,'Atividades Micro'!$L370&lt;&gt;""),'Atividades Micro'!$L370,"")</f>
        <v/>
      </c>
      <c r="C318" s="21" t="str">
        <f>IF(AND('Atividades Micro'!$A370=C$2,'Atividades Micro'!$K370&lt;&gt;""),'Atividades Micro'!$K370,"")</f>
        <v/>
      </c>
      <c r="D318" s="21" t="str">
        <f>IF(AND('Atividades Micro'!$A370=D$2,'Atividades Micro'!$L370&lt;&gt;""),'Atividades Micro'!$L370,"")</f>
        <v/>
      </c>
      <c r="E318" s="21" t="str">
        <f>IF(AND('Atividades Micro'!$A370=E$2,'Atividades Micro'!$K370&lt;&gt;""),'Atividades Micro'!$K370,"")</f>
        <v/>
      </c>
      <c r="F318" s="21" t="str">
        <f>IF(AND('Atividades Micro'!$A370=F$2,'Atividades Micro'!$L370&lt;&gt;""),'Atividades Micro'!$L370,"")</f>
        <v/>
      </c>
      <c r="G318" s="21" t="str">
        <f>IF(AND('Atividades Micro'!$A370=G$2,'Atividades Micro'!$K370&lt;&gt;""),'Atividades Micro'!$K370,"")</f>
        <v/>
      </c>
      <c r="H318" s="21" t="str">
        <f>IF(AND('Atividades Micro'!$A370=H$2,'Atividades Micro'!$L370&lt;&gt;""),'Atividades Micro'!$L370,"")</f>
        <v/>
      </c>
      <c r="I318" s="21" t="str">
        <f>IF(AND('Atividades Micro'!$A370=I$2,'Atividades Micro'!$K370&lt;&gt;""),'Atividades Micro'!$K370,"")</f>
        <v/>
      </c>
      <c r="J318" s="21" t="str">
        <f>IF(AND('Atividades Micro'!$A370=J$2,'Atividades Micro'!$L370&lt;&gt;""),'Atividades Micro'!$L370,"")</f>
        <v/>
      </c>
      <c r="K318" s="21" t="str">
        <f>IF(AND('Atividades Micro'!$B370=K$2,'Atividades Micro'!$K370&lt;&gt;""),'Atividades Micro'!$K370,"")</f>
        <v/>
      </c>
      <c r="L318" s="21" t="str">
        <f>IF(AND('Atividades Micro'!$B370=L$2,'Atividades Micro'!$L370&lt;&gt;""),'Atividades Micro'!$L370,"")</f>
        <v/>
      </c>
      <c r="M318" s="21" t="str">
        <f>IF(AND('Atividades Micro'!$B370=M$2,'Atividades Micro'!$K370&lt;&gt;""),'Atividades Micro'!$K370,"")</f>
        <v/>
      </c>
      <c r="N318" s="21" t="str">
        <f>IF(AND('Atividades Micro'!$B370=N$2,'Atividades Micro'!$L370&lt;&gt;""),'Atividades Micro'!$L370,"")</f>
        <v/>
      </c>
      <c r="O318" s="21" t="str">
        <f>IF(AND('Atividades Micro'!$A370=O$2,'Atividades Micro'!$K370&lt;&gt;""),'Atividades Micro'!$K370,"")</f>
        <v/>
      </c>
      <c r="P318" s="21" t="str">
        <f>IF(AND('Atividades Micro'!$A370=P$2,'Atividades Micro'!$L370&lt;&gt;""),'Atividades Micro'!$L370,"")</f>
        <v/>
      </c>
      <c r="Q318" s="21" t="str">
        <f>IF(AND('Atividades Micro'!$B370=Q$2,'Atividades Micro'!$K370&lt;&gt;""),'Atividades Micro'!$K370,"")</f>
        <v/>
      </c>
      <c r="R318" s="21" t="str">
        <f>IF(AND('Atividades Micro'!$B370=R$2,'Atividades Micro'!$L370&lt;&gt;""),'Atividades Micro'!$L370,"")</f>
        <v/>
      </c>
      <c r="S318" s="21" t="str">
        <f>IF(AND('Atividades Micro'!$A370=S$2,'Atividades Micro'!$K370&lt;&gt;""),'Atividades Micro'!$K370,"")</f>
        <v/>
      </c>
      <c r="T318" s="21" t="str">
        <f>IF(AND('Atividades Micro'!$A370=T$2,'Atividades Micro'!$L370&lt;&gt;""),'Atividades Micro'!$L370,"")</f>
        <v/>
      </c>
      <c r="U318" s="21" t="str">
        <f>IF(AND('Atividades Micro'!$B370=U$2,'Atividades Micro'!$K370&lt;&gt;""),'Atividades Micro'!$K370,"")</f>
        <v/>
      </c>
      <c r="V318" s="21" t="str">
        <f>IF(AND('Atividades Micro'!$B370=V$2,'Atividades Micro'!$L370&lt;&gt;""),'Atividades Micro'!$L370,"")</f>
        <v/>
      </c>
      <c r="W318" s="21" t="str">
        <f>IF(AND('Atividades Micro'!$B370=W$2,'Atividades Micro'!$K370&lt;&gt;""),'Atividades Micro'!$K370,"")</f>
        <v/>
      </c>
      <c r="X318" s="21" t="str">
        <f>IF(AND('Atividades Micro'!$B370=X$2,'Atividades Micro'!$L370&lt;&gt;""),'Atividades Micro'!$L370,"")</f>
        <v/>
      </c>
      <c r="Y318" s="21" t="str">
        <f>IF(AND('Atividades Micro'!$A370=Y$2,'Atividades Micro'!$K370&lt;&gt;""),'Atividades Micro'!$K370,"")</f>
        <v/>
      </c>
      <c r="Z318" s="21" t="str">
        <f>IF(AND('Atividades Micro'!$A370=Z$2,'Atividades Micro'!$L370&lt;&gt;""),'Atividades Micro'!$L370,"")</f>
        <v/>
      </c>
      <c r="AA318" s="21" t="str">
        <f>IF(AND('Atividades Micro'!$B370=AA$2,'Atividades Micro'!$K370&lt;&gt;""),'Atividades Micro'!$K370,"")</f>
        <v/>
      </c>
      <c r="AB318" s="21" t="str">
        <f>IF(AND('Atividades Micro'!$B370=AB$2,'Atividades Micro'!$L370&lt;&gt;""),'Atividades Micro'!$L370,"")</f>
        <v/>
      </c>
      <c r="AC318" s="21" t="str">
        <f>IF(AND('Atividades Micro'!$B370=AC$2,'Atividades Micro'!$K370&lt;&gt;""),'Atividades Micro'!$K370,"")</f>
        <v/>
      </c>
      <c r="AD318" s="21" t="str">
        <f>IF(AND('Atividades Micro'!$B370=AD$2,'Atividades Micro'!$L370&lt;&gt;""),'Atividades Micro'!$L370,"")</f>
        <v/>
      </c>
      <c r="AE318" s="21" t="str">
        <f>IF(AND('Atividades Micro'!$A370=AE$2,'Atividades Micro'!$K370&lt;&gt;""),'Atividades Micro'!$K370,"")</f>
        <v/>
      </c>
      <c r="AF318" s="21" t="str">
        <f>IF(AND('Atividades Micro'!$A370=AF$2,'Atividades Micro'!$L370&lt;&gt;""),'Atividades Micro'!$L370,"")</f>
        <v/>
      </c>
      <c r="AG318" s="21" t="str">
        <f>IF(AND('Atividades Micro'!$B370=AG$2,'Atividades Micro'!$K370&lt;&gt;""),'Atividades Micro'!$K370,"")</f>
        <v/>
      </c>
      <c r="AH318" s="21" t="str">
        <f>IF(AND('Atividades Micro'!$B370=AH$2,'Atividades Micro'!$L370&lt;&gt;""),'Atividades Micro'!$L370,"")</f>
        <v/>
      </c>
      <c r="AI318" s="21" t="str">
        <f>IF(AND('Atividades Micro'!$B370=AI$2,'Atividades Micro'!$K370&lt;&gt;""),'Atividades Micro'!$K370,"")</f>
        <v/>
      </c>
      <c r="AJ318" s="21" t="str">
        <f>IF(AND('Atividades Micro'!$B370=AJ$2,'Atividades Micro'!$L370&lt;&gt;""),'Atividades Micro'!$L370,"")</f>
        <v/>
      </c>
      <c r="AK318" s="21" t="str">
        <f>IF(AND('Atividades Micro'!$A370=AK$2,'Atividades Micro'!$K370&lt;&gt;""),'Atividades Micro'!$K370,"")</f>
        <v/>
      </c>
      <c r="AL318" s="21" t="str">
        <f>IF(AND('Atividades Micro'!$A370=AL$2,'Atividades Micro'!$L370&lt;&gt;""),'Atividades Micro'!$L370,"")</f>
        <v/>
      </c>
      <c r="AM318" s="21" t="str">
        <f>IF(AND('Atividades Micro'!$B370=AM$2,'Atividades Micro'!$K370&lt;&gt;""),'Atividades Micro'!$K370,"")</f>
        <v/>
      </c>
      <c r="AN318" s="21" t="str">
        <f>IF(AND('Atividades Micro'!$B370=AN$2,'Atividades Micro'!$L370&lt;&gt;""),'Atividades Micro'!$L370,"")</f>
        <v/>
      </c>
      <c r="AO318" s="21" t="str">
        <f>IF(AND('Atividades Micro'!$B370=AO$2,'Atividades Micro'!$K370&lt;&gt;""),'Atividades Micro'!$K370,"")</f>
        <v/>
      </c>
      <c r="AP318" s="21" t="str">
        <f>IF(AND('Atividades Micro'!$B370=AP$2,'Atividades Micro'!$L370&lt;&gt;""),'Atividades Micro'!$L370,"")</f>
        <v/>
      </c>
      <c r="AQ318" s="21" t="str">
        <f>IF(AND('Atividades Micro'!$A370=AQ$2,'Atividades Micro'!$K370&lt;&gt;""),'Atividades Micro'!$K370,"")</f>
        <v/>
      </c>
      <c r="AR318" s="21" t="str">
        <f>IF(AND('Atividades Micro'!$A370=AR$2,'Atividades Micro'!$L370&lt;&gt;""),'Atividades Micro'!$L370,"")</f>
        <v/>
      </c>
      <c r="AS318" s="21" t="str">
        <f>IF(AND('Atividades Micro'!$B370=AS$2,'Atividades Micro'!$K370&lt;&gt;""),'Atividades Micro'!$K370,"")</f>
        <v/>
      </c>
      <c r="AT318" s="21" t="str">
        <f>IF(AND('Atividades Micro'!$B370=AT$2,'Atividades Micro'!$L370&lt;&gt;""),'Atividades Micro'!$L370,"")</f>
        <v/>
      </c>
      <c r="AU318" s="21" t="str">
        <f>IF(AND('Atividades Micro'!$A370=AU$2,'Atividades Micro'!$K370&lt;&gt;""),'Atividades Micro'!$K370,"")</f>
        <v/>
      </c>
      <c r="AV318" s="21" t="str">
        <f>IF(AND('Atividades Micro'!$A370=AV$2,'Atividades Micro'!$L370&lt;&gt;""),'Atividades Micro'!$L370,"")</f>
        <v/>
      </c>
      <c r="AW318" s="21" t="str">
        <f>IF(AND('Atividades Micro'!$B370=AW$2,'Atividades Micro'!$K370&lt;&gt;""),'Atividades Micro'!$K370,"")</f>
        <v/>
      </c>
      <c r="AX318" s="21" t="str">
        <f>IF(AND('Atividades Micro'!$B370=AX$2,'Atividades Micro'!$L370&lt;&gt;""),'Atividades Micro'!$L370,"")</f>
        <v/>
      </c>
      <c r="AY318" s="21" t="str">
        <f>IF(AND('Atividades Micro'!$A370=AY$2,'Atividades Micro'!$K370&lt;&gt;""),'Atividades Micro'!$K370,"")</f>
        <v/>
      </c>
      <c r="AZ318" s="21" t="str">
        <f>IF(AND('Atividades Micro'!$A370=AZ$2,'Atividades Micro'!$L370&lt;&gt;""),'Atividades Micro'!$L370,"")</f>
        <v/>
      </c>
      <c r="BA318" s="21" t="str">
        <f>IF(AND('Atividades Micro'!$B370=BA$2,'Atividades Micro'!$K370&lt;&gt;""),'Atividades Micro'!$K370,"")</f>
        <v/>
      </c>
      <c r="BB318" s="21" t="str">
        <f>IF(AND('Atividades Micro'!$B370=BB$2,'Atividades Micro'!$L370&lt;&gt;""),'Atividades Micro'!$L370,"")</f>
        <v/>
      </c>
      <c r="BC318" s="21" t="str">
        <f>IF(AND('Atividades Micro'!$B370=BC$2,'Atividades Micro'!$G370="Macro",'Atividades Micro'!$K370&lt;&gt;""),'Atividades Micro'!$K370,"")</f>
        <v/>
      </c>
      <c r="BD318" s="21" t="str">
        <f>IF(AND('Atividades Micro'!$B370=BD$2,'Atividades Micro'!$G370="Macro",'Atividades Micro'!$K370&lt;&gt;""),'Atividades Micro'!$K370,"")</f>
        <v/>
      </c>
      <c r="BE318" s="21" t="str">
        <f>IF(AND('Atividades Micro'!$B370=BE$2,'Atividades Micro'!$G370="Macro",'Atividades Micro'!$K370&lt;&gt;""),'Atividades Micro'!$K370,"")</f>
        <v/>
      </c>
      <c r="BF318" s="21" t="str">
        <f>IF(AND('Atividades Micro'!$B370=BF$2,'Atividades Micro'!$G370="Macro",'Atividades Micro'!$K370&lt;&gt;""),'Atividades Micro'!$K370,"")</f>
        <v/>
      </c>
      <c r="BG318" s="21" t="str">
        <f>IF(AND('Atividades Micro'!$B370=BG$2,'Atividades Micro'!$G370="Macro",'Atividades Micro'!$K370&lt;&gt;""),'Atividades Micro'!$K370,"")</f>
        <v/>
      </c>
      <c r="BH318" s="21" t="str">
        <f>IF(AND('Atividades Micro'!$B370=BH$2,'Atividades Micro'!$G370="Macro",'Atividades Micro'!$K370&lt;&gt;""),'Atividades Micro'!$K370,"")</f>
        <v/>
      </c>
      <c r="BI318" s="21" t="str">
        <f>IF(AND('Atividades Micro'!$B370=BI$2,'Atividades Micro'!$G370="Macro",'Atividades Micro'!$K370&lt;&gt;""),'Atividades Micro'!$K370,"")</f>
        <v/>
      </c>
      <c r="BJ318" s="21" t="str">
        <f>IF(AND('Atividades Micro'!$B370=BJ$2,'Atividades Micro'!$G370="Macro",'Atividades Micro'!$K370&lt;&gt;""),'Atividades Micro'!$K370,"")</f>
        <v/>
      </c>
      <c r="BK318" s="21" t="str">
        <f>IF(AND('Atividades Micro'!$B370=BK$2,'Atividades Micro'!$G370="Macro",'Atividades Micro'!$K370&lt;&gt;""),'Atividades Micro'!$K370,"")</f>
        <v/>
      </c>
      <c r="BL318" s="21" t="str">
        <f>IF(AND('Atividades Micro'!$B370=BL$2,'Atividades Micro'!$G370="Macro",'Atividades Micro'!$K370&lt;&gt;""),'Atividades Micro'!$K370,"")</f>
        <v/>
      </c>
      <c r="BM318" s="21" t="str">
        <f>IF(AND('Atividades Micro'!$B370=BM$2,'Atividades Micro'!$G370="Macro",'Atividades Micro'!$K370&lt;&gt;""),'Atividades Micro'!$K370,"")</f>
        <v/>
      </c>
      <c r="BN318" s="21" t="str">
        <f>IF(AND('Atividades Micro'!$B370=BN$2,'Atividades Micro'!$G370="Macro",'Atividades Micro'!$K370&lt;&gt;""),'Atividades Micro'!$K370,"")</f>
        <v/>
      </c>
      <c r="BO318" s="21" t="str">
        <f>IF(AND('Atividades Micro'!$B370=BO$2,'Atividades Micro'!$G370="Macro",'Atividades Micro'!$K370&lt;&gt;""),'Atividades Micro'!$K370,"")</f>
        <v/>
      </c>
      <c r="BP318" s="21" t="str">
        <f>IF(AND('Atividades Micro'!$B370=BP$2,'Atividades Micro'!$G370="Macro",'Atividades Micro'!$K370&lt;&gt;""),'Atividades Micro'!$K370,"")</f>
        <v/>
      </c>
      <c r="BQ318" s="21" t="str">
        <f>IF(AND('Atividades Micro'!$B370=BQ$2,'Atividades Micro'!$G370="Macro",'Atividades Micro'!$K370&lt;&gt;""),'Atividades Micro'!$K370,"")</f>
        <v/>
      </c>
      <c r="BR318" s="21" t="str">
        <f>IF(AND('Atividades Micro'!$B370=BR$2,'Atividades Micro'!$G370="Macro",'Atividades Micro'!$K370&lt;&gt;""),'Atividades Micro'!$K370,"")</f>
        <v/>
      </c>
      <c r="BS318" s="21" t="str">
        <f>IF(AND('Atividades Micro'!$B370=BS$2,'Atividades Micro'!$G370="Macro",'Atividades Micro'!$K370&lt;&gt;""),'Atividades Micro'!$K370,"")</f>
        <v/>
      </c>
      <c r="BT318" s="21" t="str">
        <f>IF(AND('Atividades Micro'!$B370=BT$2,'Atividades Micro'!$G370="Macro",'Atividades Micro'!$K370&lt;&gt;""),'Atividades Micro'!$K370,"")</f>
        <v/>
      </c>
      <c r="BU318" s="21" t="str">
        <f>IF(AND('Atividades Micro'!$B370=BU$2,'Atividades Micro'!$G370="Macro",'Atividades Micro'!$K370&lt;&gt;""),'Atividades Micro'!$K370,"")</f>
        <v/>
      </c>
      <c r="BV318" s="21" t="str">
        <f>IF(AND('Atividades Micro'!$B370=BV$2,'Atividades Micro'!$G370="Macro",'Atividades Micro'!$K370&lt;&gt;""),'Atividades Micro'!$K370,"")</f>
        <v/>
      </c>
      <c r="BW318" s="21" t="str">
        <f>IF(AND('Atividades Micro'!$B370=BW$2,'Atividades Micro'!$G370="Macro",'Atividades Micro'!$K370&lt;&gt;""),'Atividades Micro'!$K370,"")</f>
        <v/>
      </c>
      <c r="BX318" s="21" t="str">
        <f>IF(AND('Atividades Micro'!$B370=BX$2,'Atividades Micro'!$G370="Macro",'Atividades Micro'!$K370&lt;&gt;""),'Atividades Micro'!$K370,"")</f>
        <v/>
      </c>
      <c r="BY318" s="21" t="str">
        <f>IF(AND('Atividades Micro'!$B370=BY$2,'Atividades Micro'!$G370="Macro",'Atividades Micro'!$K370&lt;&gt;""),'Atividades Micro'!$K370,"")</f>
        <v/>
      </c>
      <c r="BZ318" s="21" t="str">
        <f>IF(AND('Atividades Micro'!$B370=BZ$2,'Atividades Micro'!$G370="Macro",'Atividades Micro'!$K370&lt;&gt;""),'Atividades Micro'!$K370,"")</f>
        <v/>
      </c>
      <c r="CA318" s="21" t="str">
        <f>IF(AND('Atividades Micro'!$B370=CA$2,'Atividades Micro'!$G370="Macro",'Atividades Micro'!$K370&lt;&gt;""),'Atividades Micro'!$K370,"")</f>
        <v/>
      </c>
      <c r="CB318" s="21" t="str">
        <f>IF(AND('Atividades Micro'!$B370=CB$2,'Atividades Micro'!$G370="Macro",'Atividades Micro'!$K370&lt;&gt;""),'Atividades Micro'!$K370,"")</f>
        <v/>
      </c>
      <c r="CC318" s="21" t="str">
        <f>IF(AND('Atividades Micro'!$B370=CC$2,'Atividades Micro'!$G370="Macro",'Atividades Micro'!$K370&lt;&gt;""),'Atividades Micro'!$K370,"")</f>
        <v/>
      </c>
      <c r="CD318" s="21" t="str">
        <f>IF(AND('Atividades Micro'!$B370=CD$2,'Atividades Micro'!$G370="Micro",'Atividades Micro'!$K370&lt;&gt;""),'Atividades Micro'!$K370,"")</f>
        <v/>
      </c>
      <c r="CE318" s="21" t="str">
        <f>IF(AND('Atividades Micro'!$B370=CE$2,'Atividades Micro'!$G370="Micro",'Atividades Micro'!$K370&lt;&gt;""),'Atividades Micro'!$K370,"")</f>
        <v/>
      </c>
      <c r="CF318" s="21" t="str">
        <f>IF(AND('Atividades Micro'!$B370=CF$2,'Atividades Micro'!$G370="Micro",'Atividades Micro'!$K370&lt;&gt;""),'Atividades Micro'!$K370,"")</f>
        <v/>
      </c>
      <c r="CG318" s="21" t="str">
        <f>IF(AND('Atividades Micro'!$B370=CG$2,'Atividades Micro'!$G370="Micro",'Atividades Micro'!$K370&lt;&gt;""),'Atividades Micro'!$K370,"")</f>
        <v/>
      </c>
      <c r="CH318" s="21" t="str">
        <f>IF(AND('Atividades Micro'!$B370=CH$2,'Atividades Micro'!$G370="Micro",'Atividades Micro'!$K370&lt;&gt;""),'Atividades Micro'!$K370,"")</f>
        <v/>
      </c>
      <c r="CI318" s="21" t="str">
        <f>IF(AND('Atividades Micro'!$B370=CI$2,'Atividades Micro'!$G370="Micro",'Atividades Micro'!$K370&lt;&gt;""),'Atividades Micro'!$K370,"")</f>
        <v/>
      </c>
      <c r="CJ318" s="21" t="str">
        <f>IF(AND('Atividades Micro'!$B370=CJ$2,'Atividades Micro'!$G370="Micro",'Atividades Micro'!$K370&lt;&gt;""),'Atividades Micro'!$K370,"")</f>
        <v/>
      </c>
      <c r="CK318" s="21" t="str">
        <f>IF(AND('Atividades Micro'!$B370=CK$2,'Atividades Micro'!$G370="Micro",'Atividades Micro'!$K370&lt;&gt;""),'Atividades Micro'!$K370,"")</f>
        <v/>
      </c>
      <c r="CL318" s="21" t="str">
        <f>IF(AND('Atividades Micro'!$B370=CL$2,'Atividades Micro'!$G370="Micro",'Atividades Micro'!$K370&lt;&gt;""),'Atividades Micro'!$K370,"")</f>
        <v/>
      </c>
      <c r="CM318" s="21" t="str">
        <f>IF(AND('Atividades Micro'!$B370=CM$2,'Atividades Micro'!$G370="Micro",'Atividades Micro'!$K370&lt;&gt;""),'Atividades Micro'!$K370,"")</f>
        <v/>
      </c>
      <c r="CN318" s="21" t="str">
        <f>IF(AND('Atividades Micro'!$B370=CN$2,'Atividades Micro'!$G370="Micro",'Atividades Micro'!$K370&lt;&gt;""),'Atividades Micro'!$K370,"")</f>
        <v/>
      </c>
      <c r="CO318" s="21" t="str">
        <f>IF(AND('Atividades Micro'!$B370=CO$2,'Atividades Micro'!$G370="Micro",'Atividades Micro'!$K370&lt;&gt;""),'Atividades Micro'!$K370,"")</f>
        <v/>
      </c>
    </row>
    <row r="319" spans="1:93">
      <c r="A319" s="21" t="str">
        <f>IF(AND('Atividades Micro'!$A371=A$2,'Atividades Micro'!$K371&lt;&gt;""),'Atividades Micro'!$K371,"")</f>
        <v/>
      </c>
      <c r="B319" s="21" t="str">
        <f>IF(AND('Atividades Micro'!$A371=B$2,'Atividades Micro'!$L371&lt;&gt;""),'Atividades Micro'!$L371,"")</f>
        <v/>
      </c>
      <c r="C319" s="21" t="str">
        <f>IF(AND('Atividades Micro'!$A371=C$2,'Atividades Micro'!$K371&lt;&gt;""),'Atividades Micro'!$K371,"")</f>
        <v/>
      </c>
      <c r="D319" s="21" t="str">
        <f>IF(AND('Atividades Micro'!$A371=D$2,'Atividades Micro'!$L371&lt;&gt;""),'Atividades Micro'!$L371,"")</f>
        <v/>
      </c>
      <c r="E319" s="21" t="str">
        <f>IF(AND('Atividades Micro'!$A371=E$2,'Atividades Micro'!$K371&lt;&gt;""),'Atividades Micro'!$K371,"")</f>
        <v/>
      </c>
      <c r="F319" s="21" t="str">
        <f>IF(AND('Atividades Micro'!$A371=F$2,'Atividades Micro'!$L371&lt;&gt;""),'Atividades Micro'!$L371,"")</f>
        <v/>
      </c>
      <c r="G319" s="21" t="str">
        <f>IF(AND('Atividades Micro'!$A371=G$2,'Atividades Micro'!$K371&lt;&gt;""),'Atividades Micro'!$K371,"")</f>
        <v/>
      </c>
      <c r="H319" s="21" t="str">
        <f>IF(AND('Atividades Micro'!$A371=H$2,'Atividades Micro'!$L371&lt;&gt;""),'Atividades Micro'!$L371,"")</f>
        <v/>
      </c>
      <c r="I319" s="21" t="str">
        <f>IF(AND('Atividades Micro'!$A371=I$2,'Atividades Micro'!$K371&lt;&gt;""),'Atividades Micro'!$K371,"")</f>
        <v/>
      </c>
      <c r="J319" s="21" t="str">
        <f>IF(AND('Atividades Micro'!$A371=J$2,'Atividades Micro'!$L371&lt;&gt;""),'Atividades Micro'!$L371,"")</f>
        <v/>
      </c>
      <c r="K319" s="21" t="str">
        <f>IF(AND('Atividades Micro'!$B371=K$2,'Atividades Micro'!$K371&lt;&gt;""),'Atividades Micro'!$K371,"")</f>
        <v/>
      </c>
      <c r="L319" s="21" t="str">
        <f>IF(AND('Atividades Micro'!$B371=L$2,'Atividades Micro'!$L371&lt;&gt;""),'Atividades Micro'!$L371,"")</f>
        <v/>
      </c>
      <c r="M319" s="21" t="str">
        <f>IF(AND('Atividades Micro'!$B371=M$2,'Atividades Micro'!$K371&lt;&gt;""),'Atividades Micro'!$K371,"")</f>
        <v/>
      </c>
      <c r="N319" s="21" t="str">
        <f>IF(AND('Atividades Micro'!$B371=N$2,'Atividades Micro'!$L371&lt;&gt;""),'Atividades Micro'!$L371,"")</f>
        <v/>
      </c>
      <c r="O319" s="21" t="str">
        <f>IF(AND('Atividades Micro'!$A371=O$2,'Atividades Micro'!$K371&lt;&gt;""),'Atividades Micro'!$K371,"")</f>
        <v/>
      </c>
      <c r="P319" s="21" t="str">
        <f>IF(AND('Atividades Micro'!$A371=P$2,'Atividades Micro'!$L371&lt;&gt;""),'Atividades Micro'!$L371,"")</f>
        <v/>
      </c>
      <c r="Q319" s="21" t="str">
        <f>IF(AND('Atividades Micro'!$B371=Q$2,'Atividades Micro'!$K371&lt;&gt;""),'Atividades Micro'!$K371,"")</f>
        <v/>
      </c>
      <c r="R319" s="21" t="str">
        <f>IF(AND('Atividades Micro'!$B371=R$2,'Atividades Micro'!$L371&lt;&gt;""),'Atividades Micro'!$L371,"")</f>
        <v/>
      </c>
      <c r="S319" s="21" t="str">
        <f>IF(AND('Atividades Micro'!$A371=S$2,'Atividades Micro'!$K371&lt;&gt;""),'Atividades Micro'!$K371,"")</f>
        <v/>
      </c>
      <c r="T319" s="21" t="str">
        <f>IF(AND('Atividades Micro'!$A371=T$2,'Atividades Micro'!$L371&lt;&gt;""),'Atividades Micro'!$L371,"")</f>
        <v/>
      </c>
      <c r="U319" s="21" t="str">
        <f>IF(AND('Atividades Micro'!$B371=U$2,'Atividades Micro'!$K371&lt;&gt;""),'Atividades Micro'!$K371,"")</f>
        <v/>
      </c>
      <c r="V319" s="21" t="str">
        <f>IF(AND('Atividades Micro'!$B371=V$2,'Atividades Micro'!$L371&lt;&gt;""),'Atividades Micro'!$L371,"")</f>
        <v/>
      </c>
      <c r="W319" s="21" t="str">
        <f>IF(AND('Atividades Micro'!$B371=W$2,'Atividades Micro'!$K371&lt;&gt;""),'Atividades Micro'!$K371,"")</f>
        <v/>
      </c>
      <c r="X319" s="21" t="str">
        <f>IF(AND('Atividades Micro'!$B371=X$2,'Atividades Micro'!$L371&lt;&gt;""),'Atividades Micro'!$L371,"")</f>
        <v/>
      </c>
      <c r="Y319" s="21" t="str">
        <f>IF(AND('Atividades Micro'!$A371=Y$2,'Atividades Micro'!$K371&lt;&gt;""),'Atividades Micro'!$K371,"")</f>
        <v/>
      </c>
      <c r="Z319" s="21" t="str">
        <f>IF(AND('Atividades Micro'!$A371=Z$2,'Atividades Micro'!$L371&lt;&gt;""),'Atividades Micro'!$L371,"")</f>
        <v/>
      </c>
      <c r="AA319" s="21" t="str">
        <f>IF(AND('Atividades Micro'!$B371=AA$2,'Atividades Micro'!$K371&lt;&gt;""),'Atividades Micro'!$K371,"")</f>
        <v/>
      </c>
      <c r="AB319" s="21" t="str">
        <f>IF(AND('Atividades Micro'!$B371=AB$2,'Atividades Micro'!$L371&lt;&gt;""),'Atividades Micro'!$L371,"")</f>
        <v/>
      </c>
      <c r="AC319" s="21" t="str">
        <f>IF(AND('Atividades Micro'!$B371=AC$2,'Atividades Micro'!$K371&lt;&gt;""),'Atividades Micro'!$K371,"")</f>
        <v/>
      </c>
      <c r="AD319" s="21" t="str">
        <f>IF(AND('Atividades Micro'!$B371=AD$2,'Atividades Micro'!$L371&lt;&gt;""),'Atividades Micro'!$L371,"")</f>
        <v/>
      </c>
      <c r="AE319" s="21" t="str">
        <f>IF(AND('Atividades Micro'!$A371=AE$2,'Atividades Micro'!$K371&lt;&gt;""),'Atividades Micro'!$K371,"")</f>
        <v/>
      </c>
      <c r="AF319" s="21" t="str">
        <f>IF(AND('Atividades Micro'!$A371=AF$2,'Atividades Micro'!$L371&lt;&gt;""),'Atividades Micro'!$L371,"")</f>
        <v/>
      </c>
      <c r="AG319" s="21" t="str">
        <f>IF(AND('Atividades Micro'!$B371=AG$2,'Atividades Micro'!$K371&lt;&gt;""),'Atividades Micro'!$K371,"")</f>
        <v/>
      </c>
      <c r="AH319" s="21" t="str">
        <f>IF(AND('Atividades Micro'!$B371=AH$2,'Atividades Micro'!$L371&lt;&gt;""),'Atividades Micro'!$L371,"")</f>
        <v/>
      </c>
      <c r="AI319" s="21" t="str">
        <f>IF(AND('Atividades Micro'!$B371=AI$2,'Atividades Micro'!$K371&lt;&gt;""),'Atividades Micro'!$K371,"")</f>
        <v/>
      </c>
      <c r="AJ319" s="21" t="str">
        <f>IF(AND('Atividades Micro'!$B371=AJ$2,'Atividades Micro'!$L371&lt;&gt;""),'Atividades Micro'!$L371,"")</f>
        <v/>
      </c>
      <c r="AK319" s="21" t="str">
        <f>IF(AND('Atividades Micro'!$A371=AK$2,'Atividades Micro'!$K371&lt;&gt;""),'Atividades Micro'!$K371,"")</f>
        <v/>
      </c>
      <c r="AL319" s="21" t="str">
        <f>IF(AND('Atividades Micro'!$A371=AL$2,'Atividades Micro'!$L371&lt;&gt;""),'Atividades Micro'!$L371,"")</f>
        <v/>
      </c>
      <c r="AM319" s="21" t="str">
        <f>IF(AND('Atividades Micro'!$B371=AM$2,'Atividades Micro'!$K371&lt;&gt;""),'Atividades Micro'!$K371,"")</f>
        <v/>
      </c>
      <c r="AN319" s="21" t="str">
        <f>IF(AND('Atividades Micro'!$B371=AN$2,'Atividades Micro'!$L371&lt;&gt;""),'Atividades Micro'!$L371,"")</f>
        <v/>
      </c>
      <c r="AO319" s="21" t="str">
        <f>IF(AND('Atividades Micro'!$B371=AO$2,'Atividades Micro'!$K371&lt;&gt;""),'Atividades Micro'!$K371,"")</f>
        <v/>
      </c>
      <c r="AP319" s="21" t="str">
        <f>IF(AND('Atividades Micro'!$B371=AP$2,'Atividades Micro'!$L371&lt;&gt;""),'Atividades Micro'!$L371,"")</f>
        <v/>
      </c>
      <c r="AQ319" s="21" t="str">
        <f>IF(AND('Atividades Micro'!$A371=AQ$2,'Atividades Micro'!$K371&lt;&gt;""),'Atividades Micro'!$K371,"")</f>
        <v/>
      </c>
      <c r="AR319" s="21" t="str">
        <f>IF(AND('Atividades Micro'!$A371=AR$2,'Atividades Micro'!$L371&lt;&gt;""),'Atividades Micro'!$L371,"")</f>
        <v/>
      </c>
      <c r="AS319" s="21" t="str">
        <f>IF(AND('Atividades Micro'!$B371=AS$2,'Atividades Micro'!$K371&lt;&gt;""),'Atividades Micro'!$K371,"")</f>
        <v/>
      </c>
      <c r="AT319" s="21" t="str">
        <f>IF(AND('Atividades Micro'!$B371=AT$2,'Atividades Micro'!$L371&lt;&gt;""),'Atividades Micro'!$L371,"")</f>
        <v/>
      </c>
      <c r="AU319" s="21" t="str">
        <f>IF(AND('Atividades Micro'!$A371=AU$2,'Atividades Micro'!$K371&lt;&gt;""),'Atividades Micro'!$K371,"")</f>
        <v/>
      </c>
      <c r="AV319" s="21" t="str">
        <f>IF(AND('Atividades Micro'!$A371=AV$2,'Atividades Micro'!$L371&lt;&gt;""),'Atividades Micro'!$L371,"")</f>
        <v/>
      </c>
      <c r="AW319" s="21" t="str">
        <f>IF(AND('Atividades Micro'!$B371=AW$2,'Atividades Micro'!$K371&lt;&gt;""),'Atividades Micro'!$K371,"")</f>
        <v/>
      </c>
      <c r="AX319" s="21" t="str">
        <f>IF(AND('Atividades Micro'!$B371=AX$2,'Atividades Micro'!$L371&lt;&gt;""),'Atividades Micro'!$L371,"")</f>
        <v/>
      </c>
      <c r="AY319" s="21" t="str">
        <f>IF(AND('Atividades Micro'!$A371=AY$2,'Atividades Micro'!$K371&lt;&gt;""),'Atividades Micro'!$K371,"")</f>
        <v/>
      </c>
      <c r="AZ319" s="21" t="str">
        <f>IF(AND('Atividades Micro'!$A371=AZ$2,'Atividades Micro'!$L371&lt;&gt;""),'Atividades Micro'!$L371,"")</f>
        <v/>
      </c>
      <c r="BA319" s="21" t="str">
        <f>IF(AND('Atividades Micro'!$B371=BA$2,'Atividades Micro'!$K371&lt;&gt;""),'Atividades Micro'!$K371,"")</f>
        <v/>
      </c>
      <c r="BB319" s="21" t="str">
        <f>IF(AND('Atividades Micro'!$B371=BB$2,'Atividades Micro'!$L371&lt;&gt;""),'Atividades Micro'!$L371,"")</f>
        <v/>
      </c>
      <c r="BC319" s="21" t="str">
        <f>IF(AND('Atividades Micro'!$B371=BC$2,'Atividades Micro'!$G371="Macro",'Atividades Micro'!$K371&lt;&gt;""),'Atividades Micro'!$K371,"")</f>
        <v/>
      </c>
      <c r="BD319" s="21" t="str">
        <f>IF(AND('Atividades Micro'!$B371=BD$2,'Atividades Micro'!$G371="Macro",'Atividades Micro'!$K371&lt;&gt;""),'Atividades Micro'!$K371,"")</f>
        <v/>
      </c>
      <c r="BE319" s="21" t="str">
        <f>IF(AND('Atividades Micro'!$B371=BE$2,'Atividades Micro'!$G371="Macro",'Atividades Micro'!$K371&lt;&gt;""),'Atividades Micro'!$K371,"")</f>
        <v/>
      </c>
      <c r="BF319" s="21" t="str">
        <f>IF(AND('Atividades Micro'!$B371=BF$2,'Atividades Micro'!$G371="Macro",'Atividades Micro'!$K371&lt;&gt;""),'Atividades Micro'!$K371,"")</f>
        <v/>
      </c>
      <c r="BG319" s="21" t="str">
        <f>IF(AND('Atividades Micro'!$B371=BG$2,'Atividades Micro'!$G371="Macro",'Atividades Micro'!$K371&lt;&gt;""),'Atividades Micro'!$K371,"")</f>
        <v/>
      </c>
      <c r="BH319" s="21" t="str">
        <f>IF(AND('Atividades Micro'!$B371=BH$2,'Atividades Micro'!$G371="Macro",'Atividades Micro'!$K371&lt;&gt;""),'Atividades Micro'!$K371,"")</f>
        <v/>
      </c>
      <c r="BI319" s="21" t="str">
        <f>IF(AND('Atividades Micro'!$B371=BI$2,'Atividades Micro'!$G371="Macro",'Atividades Micro'!$K371&lt;&gt;""),'Atividades Micro'!$K371,"")</f>
        <v/>
      </c>
      <c r="BJ319" s="21" t="str">
        <f>IF(AND('Atividades Micro'!$B371=BJ$2,'Atividades Micro'!$G371="Macro",'Atividades Micro'!$K371&lt;&gt;""),'Atividades Micro'!$K371,"")</f>
        <v/>
      </c>
      <c r="BK319" s="21" t="str">
        <f>IF(AND('Atividades Micro'!$B371=BK$2,'Atividades Micro'!$G371="Macro",'Atividades Micro'!$K371&lt;&gt;""),'Atividades Micro'!$K371,"")</f>
        <v/>
      </c>
      <c r="BL319" s="21" t="str">
        <f>IF(AND('Atividades Micro'!$B371=BL$2,'Atividades Micro'!$G371="Macro",'Atividades Micro'!$K371&lt;&gt;""),'Atividades Micro'!$K371,"")</f>
        <v/>
      </c>
      <c r="BM319" s="21" t="str">
        <f>IF(AND('Atividades Micro'!$B371=BM$2,'Atividades Micro'!$G371="Macro",'Atividades Micro'!$K371&lt;&gt;""),'Atividades Micro'!$K371,"")</f>
        <v/>
      </c>
      <c r="BN319" s="21" t="str">
        <f>IF(AND('Atividades Micro'!$B371=BN$2,'Atividades Micro'!$G371="Macro",'Atividades Micro'!$K371&lt;&gt;""),'Atividades Micro'!$K371,"")</f>
        <v/>
      </c>
      <c r="BO319" s="21" t="str">
        <f>IF(AND('Atividades Micro'!$B371=BO$2,'Atividades Micro'!$G371="Macro",'Atividades Micro'!$K371&lt;&gt;""),'Atividades Micro'!$K371,"")</f>
        <v/>
      </c>
      <c r="BP319" s="21" t="str">
        <f>IF(AND('Atividades Micro'!$B371=BP$2,'Atividades Micro'!$G371="Macro",'Atividades Micro'!$K371&lt;&gt;""),'Atividades Micro'!$K371,"")</f>
        <v/>
      </c>
      <c r="BQ319" s="21" t="str">
        <f>IF(AND('Atividades Micro'!$B371=BQ$2,'Atividades Micro'!$G371="Macro",'Atividades Micro'!$K371&lt;&gt;""),'Atividades Micro'!$K371,"")</f>
        <v/>
      </c>
      <c r="BR319" s="21" t="str">
        <f>IF(AND('Atividades Micro'!$B371=BR$2,'Atividades Micro'!$G371="Macro",'Atividades Micro'!$K371&lt;&gt;""),'Atividades Micro'!$K371,"")</f>
        <v/>
      </c>
      <c r="BS319" s="21" t="str">
        <f>IF(AND('Atividades Micro'!$B371=BS$2,'Atividades Micro'!$G371="Macro",'Atividades Micro'!$K371&lt;&gt;""),'Atividades Micro'!$K371,"")</f>
        <v/>
      </c>
      <c r="BT319" s="21" t="str">
        <f>IF(AND('Atividades Micro'!$B371=BT$2,'Atividades Micro'!$G371="Macro",'Atividades Micro'!$K371&lt;&gt;""),'Atividades Micro'!$K371,"")</f>
        <v/>
      </c>
      <c r="BU319" s="21" t="str">
        <f>IF(AND('Atividades Micro'!$B371=BU$2,'Atividades Micro'!$G371="Macro",'Atividades Micro'!$K371&lt;&gt;""),'Atividades Micro'!$K371,"")</f>
        <v/>
      </c>
      <c r="BV319" s="21" t="str">
        <f>IF(AND('Atividades Micro'!$B371=BV$2,'Atividades Micro'!$G371="Macro",'Atividades Micro'!$K371&lt;&gt;""),'Atividades Micro'!$K371,"")</f>
        <v/>
      </c>
      <c r="BW319" s="21" t="str">
        <f>IF(AND('Atividades Micro'!$B371=BW$2,'Atividades Micro'!$G371="Macro",'Atividades Micro'!$K371&lt;&gt;""),'Atividades Micro'!$K371,"")</f>
        <v/>
      </c>
      <c r="BX319" s="21" t="str">
        <f>IF(AND('Atividades Micro'!$B371=BX$2,'Atividades Micro'!$G371="Macro",'Atividades Micro'!$K371&lt;&gt;""),'Atividades Micro'!$K371,"")</f>
        <v/>
      </c>
      <c r="BY319" s="21" t="str">
        <f>IF(AND('Atividades Micro'!$B371=BY$2,'Atividades Micro'!$G371="Macro",'Atividades Micro'!$K371&lt;&gt;""),'Atividades Micro'!$K371,"")</f>
        <v/>
      </c>
      <c r="BZ319" s="21" t="str">
        <f>IF(AND('Atividades Micro'!$B371=BZ$2,'Atividades Micro'!$G371="Macro",'Atividades Micro'!$K371&lt;&gt;""),'Atividades Micro'!$K371,"")</f>
        <v/>
      </c>
      <c r="CA319" s="21" t="str">
        <f>IF(AND('Atividades Micro'!$B371=CA$2,'Atividades Micro'!$G371="Macro",'Atividades Micro'!$K371&lt;&gt;""),'Atividades Micro'!$K371,"")</f>
        <v/>
      </c>
      <c r="CB319" s="21" t="str">
        <f>IF(AND('Atividades Micro'!$B371=CB$2,'Atividades Micro'!$G371="Macro",'Atividades Micro'!$K371&lt;&gt;""),'Atividades Micro'!$K371,"")</f>
        <v/>
      </c>
      <c r="CC319" s="21" t="str">
        <f>IF(AND('Atividades Micro'!$B371=CC$2,'Atividades Micro'!$G371="Macro",'Atividades Micro'!$K371&lt;&gt;""),'Atividades Micro'!$K371,"")</f>
        <v/>
      </c>
      <c r="CD319" s="21" t="str">
        <f>IF(AND('Atividades Micro'!$B371=CD$2,'Atividades Micro'!$G371="Micro",'Atividades Micro'!$K371&lt;&gt;""),'Atividades Micro'!$K371,"")</f>
        <v/>
      </c>
      <c r="CE319" s="21" t="str">
        <f>IF(AND('Atividades Micro'!$B371=CE$2,'Atividades Micro'!$G371="Micro",'Atividades Micro'!$K371&lt;&gt;""),'Atividades Micro'!$K371,"")</f>
        <v/>
      </c>
      <c r="CF319" s="21" t="str">
        <f>IF(AND('Atividades Micro'!$B371=CF$2,'Atividades Micro'!$G371="Micro",'Atividades Micro'!$K371&lt;&gt;""),'Atividades Micro'!$K371,"")</f>
        <v/>
      </c>
      <c r="CG319" s="21" t="str">
        <f>IF(AND('Atividades Micro'!$B371=CG$2,'Atividades Micro'!$G371="Micro",'Atividades Micro'!$K371&lt;&gt;""),'Atividades Micro'!$K371,"")</f>
        <v/>
      </c>
      <c r="CH319" s="21" t="str">
        <f>IF(AND('Atividades Micro'!$B371=CH$2,'Atividades Micro'!$G371="Micro",'Atividades Micro'!$K371&lt;&gt;""),'Atividades Micro'!$K371,"")</f>
        <v/>
      </c>
      <c r="CI319" s="21" t="str">
        <f>IF(AND('Atividades Micro'!$B371=CI$2,'Atividades Micro'!$G371="Micro",'Atividades Micro'!$K371&lt;&gt;""),'Atividades Micro'!$K371,"")</f>
        <v/>
      </c>
      <c r="CJ319" s="21" t="str">
        <f>IF(AND('Atividades Micro'!$B371=CJ$2,'Atividades Micro'!$G371="Micro",'Atividades Micro'!$K371&lt;&gt;""),'Atividades Micro'!$K371,"")</f>
        <v/>
      </c>
      <c r="CK319" s="21" t="str">
        <f>IF(AND('Atividades Micro'!$B371=CK$2,'Atividades Micro'!$G371="Micro",'Atividades Micro'!$K371&lt;&gt;""),'Atividades Micro'!$K371,"")</f>
        <v/>
      </c>
      <c r="CL319" s="21" t="str">
        <f>IF(AND('Atividades Micro'!$B371=CL$2,'Atividades Micro'!$G371="Micro",'Atividades Micro'!$K371&lt;&gt;""),'Atividades Micro'!$K371,"")</f>
        <v/>
      </c>
      <c r="CM319" s="21" t="str">
        <f>IF(AND('Atividades Micro'!$B371=CM$2,'Atividades Micro'!$G371="Micro",'Atividades Micro'!$K371&lt;&gt;""),'Atividades Micro'!$K371,"")</f>
        <v/>
      </c>
      <c r="CN319" s="21" t="str">
        <f>IF(AND('Atividades Micro'!$B371=CN$2,'Atividades Micro'!$G371="Micro",'Atividades Micro'!$K371&lt;&gt;""),'Atividades Micro'!$K371,"")</f>
        <v/>
      </c>
      <c r="CO319" s="21" t="str">
        <f>IF(AND('Atividades Micro'!$B371=CO$2,'Atividades Micro'!$G371="Micro",'Atividades Micro'!$K371&lt;&gt;""),'Atividades Micro'!$K371,"")</f>
        <v/>
      </c>
    </row>
    <row r="320" spans="1:93">
      <c r="A320" s="21" t="str">
        <f>IF(AND('Atividades Micro'!$A372=A$2,'Atividades Micro'!$K372&lt;&gt;""),'Atividades Micro'!$K372,"")</f>
        <v/>
      </c>
      <c r="B320" s="21" t="str">
        <f>IF(AND('Atividades Micro'!$A372=B$2,'Atividades Micro'!$L372&lt;&gt;""),'Atividades Micro'!$L372,"")</f>
        <v/>
      </c>
      <c r="C320" s="21" t="str">
        <f>IF(AND('Atividades Micro'!$A372=C$2,'Atividades Micro'!$K372&lt;&gt;""),'Atividades Micro'!$K372,"")</f>
        <v/>
      </c>
      <c r="D320" s="21" t="str">
        <f>IF(AND('Atividades Micro'!$A372=D$2,'Atividades Micro'!$L372&lt;&gt;""),'Atividades Micro'!$L372,"")</f>
        <v/>
      </c>
      <c r="E320" s="21" t="str">
        <f>IF(AND('Atividades Micro'!$A372=E$2,'Atividades Micro'!$K372&lt;&gt;""),'Atividades Micro'!$K372,"")</f>
        <v/>
      </c>
      <c r="F320" s="21" t="str">
        <f>IF(AND('Atividades Micro'!$A372=F$2,'Atividades Micro'!$L372&lt;&gt;""),'Atividades Micro'!$L372,"")</f>
        <v/>
      </c>
      <c r="G320" s="21" t="str">
        <f>IF(AND('Atividades Micro'!$A372=G$2,'Atividades Micro'!$K372&lt;&gt;""),'Atividades Micro'!$K372,"")</f>
        <v/>
      </c>
      <c r="H320" s="21" t="str">
        <f>IF(AND('Atividades Micro'!$A372=H$2,'Atividades Micro'!$L372&lt;&gt;""),'Atividades Micro'!$L372,"")</f>
        <v/>
      </c>
      <c r="I320" s="21" t="str">
        <f>IF(AND('Atividades Micro'!$A372=I$2,'Atividades Micro'!$K372&lt;&gt;""),'Atividades Micro'!$K372,"")</f>
        <v/>
      </c>
      <c r="J320" s="21" t="str">
        <f>IF(AND('Atividades Micro'!$A372=J$2,'Atividades Micro'!$L372&lt;&gt;""),'Atividades Micro'!$L372,"")</f>
        <v/>
      </c>
      <c r="K320" s="21" t="str">
        <f>IF(AND('Atividades Micro'!$B372=K$2,'Atividades Micro'!$K372&lt;&gt;""),'Atividades Micro'!$K372,"")</f>
        <v/>
      </c>
      <c r="L320" s="21" t="str">
        <f>IF(AND('Atividades Micro'!$B372=L$2,'Atividades Micro'!$L372&lt;&gt;""),'Atividades Micro'!$L372,"")</f>
        <v/>
      </c>
      <c r="M320" s="21" t="str">
        <f>IF(AND('Atividades Micro'!$B372=M$2,'Atividades Micro'!$K372&lt;&gt;""),'Atividades Micro'!$K372,"")</f>
        <v/>
      </c>
      <c r="N320" s="21" t="str">
        <f>IF(AND('Atividades Micro'!$B372=N$2,'Atividades Micro'!$L372&lt;&gt;""),'Atividades Micro'!$L372,"")</f>
        <v/>
      </c>
      <c r="O320" s="21" t="str">
        <f>IF(AND('Atividades Micro'!$A372=O$2,'Atividades Micro'!$K372&lt;&gt;""),'Atividades Micro'!$K372,"")</f>
        <v/>
      </c>
      <c r="P320" s="21" t="str">
        <f>IF(AND('Atividades Micro'!$A372=P$2,'Atividades Micro'!$L372&lt;&gt;""),'Atividades Micro'!$L372,"")</f>
        <v/>
      </c>
      <c r="Q320" s="21" t="str">
        <f>IF(AND('Atividades Micro'!$B372=Q$2,'Atividades Micro'!$K372&lt;&gt;""),'Atividades Micro'!$K372,"")</f>
        <v/>
      </c>
      <c r="R320" s="21" t="str">
        <f>IF(AND('Atividades Micro'!$B372=R$2,'Atividades Micro'!$L372&lt;&gt;""),'Atividades Micro'!$L372,"")</f>
        <v/>
      </c>
      <c r="S320" s="21" t="str">
        <f>IF(AND('Atividades Micro'!$A372=S$2,'Atividades Micro'!$K372&lt;&gt;""),'Atividades Micro'!$K372,"")</f>
        <v/>
      </c>
      <c r="T320" s="21" t="str">
        <f>IF(AND('Atividades Micro'!$A372=T$2,'Atividades Micro'!$L372&lt;&gt;""),'Atividades Micro'!$L372,"")</f>
        <v/>
      </c>
      <c r="U320" s="21" t="str">
        <f>IF(AND('Atividades Micro'!$B372=U$2,'Atividades Micro'!$K372&lt;&gt;""),'Atividades Micro'!$K372,"")</f>
        <v/>
      </c>
      <c r="V320" s="21" t="str">
        <f>IF(AND('Atividades Micro'!$B372=V$2,'Atividades Micro'!$L372&lt;&gt;""),'Atividades Micro'!$L372,"")</f>
        <v/>
      </c>
      <c r="W320" s="21" t="str">
        <f>IF(AND('Atividades Micro'!$B372=W$2,'Atividades Micro'!$K372&lt;&gt;""),'Atividades Micro'!$K372,"")</f>
        <v/>
      </c>
      <c r="X320" s="21" t="str">
        <f>IF(AND('Atividades Micro'!$B372=X$2,'Atividades Micro'!$L372&lt;&gt;""),'Atividades Micro'!$L372,"")</f>
        <v/>
      </c>
      <c r="Y320" s="21" t="str">
        <f>IF(AND('Atividades Micro'!$A372=Y$2,'Atividades Micro'!$K372&lt;&gt;""),'Atividades Micro'!$K372,"")</f>
        <v/>
      </c>
      <c r="Z320" s="21" t="str">
        <f>IF(AND('Atividades Micro'!$A372=Z$2,'Atividades Micro'!$L372&lt;&gt;""),'Atividades Micro'!$L372,"")</f>
        <v/>
      </c>
      <c r="AA320" s="21" t="str">
        <f>IF(AND('Atividades Micro'!$B372=AA$2,'Atividades Micro'!$K372&lt;&gt;""),'Atividades Micro'!$K372,"")</f>
        <v/>
      </c>
      <c r="AB320" s="21" t="str">
        <f>IF(AND('Atividades Micro'!$B372=AB$2,'Atividades Micro'!$L372&lt;&gt;""),'Atividades Micro'!$L372,"")</f>
        <v/>
      </c>
      <c r="AC320" s="21" t="str">
        <f>IF(AND('Atividades Micro'!$B372=AC$2,'Atividades Micro'!$K372&lt;&gt;""),'Atividades Micro'!$K372,"")</f>
        <v/>
      </c>
      <c r="AD320" s="21" t="str">
        <f>IF(AND('Atividades Micro'!$B372=AD$2,'Atividades Micro'!$L372&lt;&gt;""),'Atividades Micro'!$L372,"")</f>
        <v/>
      </c>
      <c r="AE320" s="21" t="str">
        <f>IF(AND('Atividades Micro'!$A372=AE$2,'Atividades Micro'!$K372&lt;&gt;""),'Atividades Micro'!$K372,"")</f>
        <v/>
      </c>
      <c r="AF320" s="21" t="str">
        <f>IF(AND('Atividades Micro'!$A372=AF$2,'Atividades Micro'!$L372&lt;&gt;""),'Atividades Micro'!$L372,"")</f>
        <v/>
      </c>
      <c r="AG320" s="21" t="str">
        <f>IF(AND('Atividades Micro'!$B372=AG$2,'Atividades Micro'!$K372&lt;&gt;""),'Atividades Micro'!$K372,"")</f>
        <v/>
      </c>
      <c r="AH320" s="21" t="str">
        <f>IF(AND('Atividades Micro'!$B372=AH$2,'Atividades Micro'!$L372&lt;&gt;""),'Atividades Micro'!$L372,"")</f>
        <v/>
      </c>
      <c r="AI320" s="21" t="str">
        <f>IF(AND('Atividades Micro'!$B372=AI$2,'Atividades Micro'!$K372&lt;&gt;""),'Atividades Micro'!$K372,"")</f>
        <v/>
      </c>
      <c r="AJ320" s="21" t="str">
        <f>IF(AND('Atividades Micro'!$B372=AJ$2,'Atividades Micro'!$L372&lt;&gt;""),'Atividades Micro'!$L372,"")</f>
        <v/>
      </c>
      <c r="AK320" s="21" t="str">
        <f>IF(AND('Atividades Micro'!$A372=AK$2,'Atividades Micro'!$K372&lt;&gt;""),'Atividades Micro'!$K372,"")</f>
        <v/>
      </c>
      <c r="AL320" s="21" t="str">
        <f>IF(AND('Atividades Micro'!$A372=AL$2,'Atividades Micro'!$L372&lt;&gt;""),'Atividades Micro'!$L372,"")</f>
        <v/>
      </c>
      <c r="AM320" s="21" t="str">
        <f>IF(AND('Atividades Micro'!$B372=AM$2,'Atividades Micro'!$K372&lt;&gt;""),'Atividades Micro'!$K372,"")</f>
        <v/>
      </c>
      <c r="AN320" s="21" t="str">
        <f>IF(AND('Atividades Micro'!$B372=AN$2,'Atividades Micro'!$L372&lt;&gt;""),'Atividades Micro'!$L372,"")</f>
        <v/>
      </c>
      <c r="AO320" s="21" t="str">
        <f>IF(AND('Atividades Micro'!$B372=AO$2,'Atividades Micro'!$K372&lt;&gt;""),'Atividades Micro'!$K372,"")</f>
        <v/>
      </c>
      <c r="AP320" s="21" t="str">
        <f>IF(AND('Atividades Micro'!$B372=AP$2,'Atividades Micro'!$L372&lt;&gt;""),'Atividades Micro'!$L372,"")</f>
        <v/>
      </c>
      <c r="AQ320" s="21" t="str">
        <f>IF(AND('Atividades Micro'!$A372=AQ$2,'Atividades Micro'!$K372&lt;&gt;""),'Atividades Micro'!$K372,"")</f>
        <v/>
      </c>
      <c r="AR320" s="21" t="str">
        <f>IF(AND('Atividades Micro'!$A372=AR$2,'Atividades Micro'!$L372&lt;&gt;""),'Atividades Micro'!$L372,"")</f>
        <v/>
      </c>
      <c r="AS320" s="21" t="str">
        <f>IF(AND('Atividades Micro'!$B372=AS$2,'Atividades Micro'!$K372&lt;&gt;""),'Atividades Micro'!$K372,"")</f>
        <v/>
      </c>
      <c r="AT320" s="21" t="str">
        <f>IF(AND('Atividades Micro'!$B372=AT$2,'Atividades Micro'!$L372&lt;&gt;""),'Atividades Micro'!$L372,"")</f>
        <v/>
      </c>
      <c r="AU320" s="21" t="str">
        <f>IF(AND('Atividades Micro'!$A372=AU$2,'Atividades Micro'!$K372&lt;&gt;""),'Atividades Micro'!$K372,"")</f>
        <v/>
      </c>
      <c r="AV320" s="21" t="str">
        <f>IF(AND('Atividades Micro'!$A372=AV$2,'Atividades Micro'!$L372&lt;&gt;""),'Atividades Micro'!$L372,"")</f>
        <v/>
      </c>
      <c r="AW320" s="21" t="str">
        <f>IF(AND('Atividades Micro'!$B372=AW$2,'Atividades Micro'!$K372&lt;&gt;""),'Atividades Micro'!$K372,"")</f>
        <v/>
      </c>
      <c r="AX320" s="21" t="str">
        <f>IF(AND('Atividades Micro'!$B372=AX$2,'Atividades Micro'!$L372&lt;&gt;""),'Atividades Micro'!$L372,"")</f>
        <v/>
      </c>
      <c r="AY320" s="21" t="str">
        <f>IF(AND('Atividades Micro'!$A372=AY$2,'Atividades Micro'!$K372&lt;&gt;""),'Atividades Micro'!$K372,"")</f>
        <v/>
      </c>
      <c r="AZ320" s="21" t="str">
        <f>IF(AND('Atividades Micro'!$A372=AZ$2,'Atividades Micro'!$L372&lt;&gt;""),'Atividades Micro'!$L372,"")</f>
        <v/>
      </c>
      <c r="BA320" s="21" t="str">
        <f>IF(AND('Atividades Micro'!$B372=BA$2,'Atividades Micro'!$K372&lt;&gt;""),'Atividades Micro'!$K372,"")</f>
        <v/>
      </c>
      <c r="BB320" s="21" t="str">
        <f>IF(AND('Atividades Micro'!$B372=BB$2,'Atividades Micro'!$L372&lt;&gt;""),'Atividades Micro'!$L372,"")</f>
        <v/>
      </c>
      <c r="BC320" s="21" t="str">
        <f>IF(AND('Atividades Micro'!$B372=BC$2,'Atividades Micro'!$G372="Macro",'Atividades Micro'!$K372&lt;&gt;""),'Atividades Micro'!$K372,"")</f>
        <v/>
      </c>
      <c r="BD320" s="21" t="str">
        <f>IF(AND('Atividades Micro'!$B372=BD$2,'Atividades Micro'!$G372="Macro",'Atividades Micro'!$K372&lt;&gt;""),'Atividades Micro'!$K372,"")</f>
        <v/>
      </c>
      <c r="BE320" s="21" t="str">
        <f>IF(AND('Atividades Micro'!$B372=BE$2,'Atividades Micro'!$G372="Macro",'Atividades Micro'!$K372&lt;&gt;""),'Atividades Micro'!$K372,"")</f>
        <v/>
      </c>
      <c r="BF320" s="21" t="str">
        <f>IF(AND('Atividades Micro'!$B372=BF$2,'Atividades Micro'!$G372="Macro",'Atividades Micro'!$K372&lt;&gt;""),'Atividades Micro'!$K372,"")</f>
        <v/>
      </c>
      <c r="BG320" s="21" t="str">
        <f>IF(AND('Atividades Micro'!$B372=BG$2,'Atividades Micro'!$G372="Macro",'Atividades Micro'!$K372&lt;&gt;""),'Atividades Micro'!$K372,"")</f>
        <v/>
      </c>
      <c r="BH320" s="21" t="str">
        <f>IF(AND('Atividades Micro'!$B372=BH$2,'Atividades Micro'!$G372="Macro",'Atividades Micro'!$K372&lt;&gt;""),'Atividades Micro'!$K372,"")</f>
        <v/>
      </c>
      <c r="BI320" s="21" t="str">
        <f>IF(AND('Atividades Micro'!$B372=BI$2,'Atividades Micro'!$G372="Macro",'Atividades Micro'!$K372&lt;&gt;""),'Atividades Micro'!$K372,"")</f>
        <v/>
      </c>
      <c r="BJ320" s="21" t="str">
        <f>IF(AND('Atividades Micro'!$B372=BJ$2,'Atividades Micro'!$G372="Macro",'Atividades Micro'!$K372&lt;&gt;""),'Atividades Micro'!$K372,"")</f>
        <v/>
      </c>
      <c r="BK320" s="21" t="str">
        <f>IF(AND('Atividades Micro'!$B372=BK$2,'Atividades Micro'!$G372="Macro",'Atividades Micro'!$K372&lt;&gt;""),'Atividades Micro'!$K372,"")</f>
        <v/>
      </c>
      <c r="BL320" s="21" t="str">
        <f>IF(AND('Atividades Micro'!$B372=BL$2,'Atividades Micro'!$G372="Macro",'Atividades Micro'!$K372&lt;&gt;""),'Atividades Micro'!$K372,"")</f>
        <v/>
      </c>
      <c r="BM320" s="21" t="str">
        <f>IF(AND('Atividades Micro'!$B372=BM$2,'Atividades Micro'!$G372="Macro",'Atividades Micro'!$K372&lt;&gt;""),'Atividades Micro'!$K372,"")</f>
        <v/>
      </c>
      <c r="BN320" s="21" t="str">
        <f>IF(AND('Atividades Micro'!$B372=BN$2,'Atividades Micro'!$G372="Macro",'Atividades Micro'!$K372&lt;&gt;""),'Atividades Micro'!$K372,"")</f>
        <v/>
      </c>
      <c r="BO320" s="21" t="str">
        <f>IF(AND('Atividades Micro'!$B372=BO$2,'Atividades Micro'!$G372="Macro",'Atividades Micro'!$K372&lt;&gt;""),'Atividades Micro'!$K372,"")</f>
        <v/>
      </c>
      <c r="BP320" s="21" t="str">
        <f>IF(AND('Atividades Micro'!$B372=BP$2,'Atividades Micro'!$G372="Macro",'Atividades Micro'!$K372&lt;&gt;""),'Atividades Micro'!$K372,"")</f>
        <v/>
      </c>
      <c r="BQ320" s="21" t="str">
        <f>IF(AND('Atividades Micro'!$B372=BQ$2,'Atividades Micro'!$G372="Macro",'Atividades Micro'!$K372&lt;&gt;""),'Atividades Micro'!$K372,"")</f>
        <v/>
      </c>
      <c r="BR320" s="21" t="str">
        <f>IF(AND('Atividades Micro'!$B372=BR$2,'Atividades Micro'!$G372="Macro",'Atividades Micro'!$K372&lt;&gt;""),'Atividades Micro'!$K372,"")</f>
        <v/>
      </c>
      <c r="BS320" s="21" t="str">
        <f>IF(AND('Atividades Micro'!$B372=BS$2,'Atividades Micro'!$G372="Macro",'Atividades Micro'!$K372&lt;&gt;""),'Atividades Micro'!$K372,"")</f>
        <v/>
      </c>
      <c r="BT320" s="21" t="str">
        <f>IF(AND('Atividades Micro'!$B372=BT$2,'Atividades Micro'!$G372="Macro",'Atividades Micro'!$K372&lt;&gt;""),'Atividades Micro'!$K372,"")</f>
        <v/>
      </c>
      <c r="BU320" s="21" t="str">
        <f>IF(AND('Atividades Micro'!$B372=BU$2,'Atividades Micro'!$G372="Macro",'Atividades Micro'!$K372&lt;&gt;""),'Atividades Micro'!$K372,"")</f>
        <v/>
      </c>
      <c r="BV320" s="21" t="str">
        <f>IF(AND('Atividades Micro'!$B372=BV$2,'Atividades Micro'!$G372="Macro",'Atividades Micro'!$K372&lt;&gt;""),'Atividades Micro'!$K372,"")</f>
        <v/>
      </c>
      <c r="BW320" s="21" t="str">
        <f>IF(AND('Atividades Micro'!$B372=BW$2,'Atividades Micro'!$G372="Macro",'Atividades Micro'!$K372&lt;&gt;""),'Atividades Micro'!$K372,"")</f>
        <v/>
      </c>
      <c r="BX320" s="21" t="str">
        <f>IF(AND('Atividades Micro'!$B372=BX$2,'Atividades Micro'!$G372="Macro",'Atividades Micro'!$K372&lt;&gt;""),'Atividades Micro'!$K372,"")</f>
        <v/>
      </c>
      <c r="BY320" s="21" t="str">
        <f>IF(AND('Atividades Micro'!$B372=BY$2,'Atividades Micro'!$G372="Macro",'Atividades Micro'!$K372&lt;&gt;""),'Atividades Micro'!$K372,"")</f>
        <v/>
      </c>
      <c r="BZ320" s="21" t="str">
        <f>IF(AND('Atividades Micro'!$B372=BZ$2,'Atividades Micro'!$G372="Macro",'Atividades Micro'!$K372&lt;&gt;""),'Atividades Micro'!$K372,"")</f>
        <v/>
      </c>
      <c r="CA320" s="21" t="str">
        <f>IF(AND('Atividades Micro'!$B372=CA$2,'Atividades Micro'!$G372="Macro",'Atividades Micro'!$K372&lt;&gt;""),'Atividades Micro'!$K372,"")</f>
        <v/>
      </c>
      <c r="CB320" s="21" t="str">
        <f>IF(AND('Atividades Micro'!$B372=CB$2,'Atividades Micro'!$G372="Macro",'Atividades Micro'!$K372&lt;&gt;""),'Atividades Micro'!$K372,"")</f>
        <v/>
      </c>
      <c r="CC320" s="21" t="str">
        <f>IF(AND('Atividades Micro'!$B372=CC$2,'Atividades Micro'!$G372="Macro",'Atividades Micro'!$K372&lt;&gt;""),'Atividades Micro'!$K372,"")</f>
        <v/>
      </c>
      <c r="CD320" s="21" t="str">
        <f>IF(AND('Atividades Micro'!$B372=CD$2,'Atividades Micro'!$G372="Micro",'Atividades Micro'!$K372&lt;&gt;""),'Atividades Micro'!$K372,"")</f>
        <v/>
      </c>
      <c r="CE320" s="21" t="str">
        <f>IF(AND('Atividades Micro'!$B372=CE$2,'Atividades Micro'!$G372="Micro",'Atividades Micro'!$K372&lt;&gt;""),'Atividades Micro'!$K372,"")</f>
        <v/>
      </c>
      <c r="CF320" s="21" t="str">
        <f>IF(AND('Atividades Micro'!$B372=CF$2,'Atividades Micro'!$G372="Micro",'Atividades Micro'!$K372&lt;&gt;""),'Atividades Micro'!$K372,"")</f>
        <v/>
      </c>
      <c r="CG320" s="21" t="str">
        <f>IF(AND('Atividades Micro'!$B372=CG$2,'Atividades Micro'!$G372="Micro",'Atividades Micro'!$K372&lt;&gt;""),'Atividades Micro'!$K372,"")</f>
        <v/>
      </c>
      <c r="CH320" s="21" t="str">
        <f>IF(AND('Atividades Micro'!$B372=CH$2,'Atividades Micro'!$G372="Micro",'Atividades Micro'!$K372&lt;&gt;""),'Atividades Micro'!$K372,"")</f>
        <v/>
      </c>
      <c r="CI320" s="21" t="str">
        <f>IF(AND('Atividades Micro'!$B372=CI$2,'Atividades Micro'!$G372="Micro",'Atividades Micro'!$K372&lt;&gt;""),'Atividades Micro'!$K372,"")</f>
        <v/>
      </c>
      <c r="CJ320" s="21" t="str">
        <f>IF(AND('Atividades Micro'!$B372=CJ$2,'Atividades Micro'!$G372="Micro",'Atividades Micro'!$K372&lt;&gt;""),'Atividades Micro'!$K372,"")</f>
        <v/>
      </c>
      <c r="CK320" s="21" t="str">
        <f>IF(AND('Atividades Micro'!$B372=CK$2,'Atividades Micro'!$G372="Micro",'Atividades Micro'!$K372&lt;&gt;""),'Atividades Micro'!$K372,"")</f>
        <v/>
      </c>
      <c r="CL320" s="21" t="str">
        <f>IF(AND('Atividades Micro'!$B372=CL$2,'Atividades Micro'!$G372="Micro",'Atividades Micro'!$K372&lt;&gt;""),'Atividades Micro'!$K372,"")</f>
        <v/>
      </c>
      <c r="CM320" s="21" t="str">
        <f>IF(AND('Atividades Micro'!$B372=CM$2,'Atividades Micro'!$G372="Micro",'Atividades Micro'!$K372&lt;&gt;""),'Atividades Micro'!$K372,"")</f>
        <v/>
      </c>
      <c r="CN320" s="21" t="str">
        <f>IF(AND('Atividades Micro'!$B372=CN$2,'Atividades Micro'!$G372="Micro",'Atividades Micro'!$K372&lt;&gt;""),'Atividades Micro'!$K372,"")</f>
        <v/>
      </c>
      <c r="CO320" s="21" t="str">
        <f>IF(AND('Atividades Micro'!$B372=CO$2,'Atividades Micro'!$G372="Micro",'Atividades Micro'!$K372&lt;&gt;""),'Atividades Micro'!$K372,"")</f>
        <v/>
      </c>
    </row>
    <row r="321" spans="1:93">
      <c r="A321" s="21" t="str">
        <f>IF(AND('Atividades Micro'!$A373=A$2,'Atividades Micro'!$K373&lt;&gt;""),'Atividades Micro'!$K373,"")</f>
        <v/>
      </c>
      <c r="B321" s="21" t="str">
        <f>IF(AND('Atividades Micro'!$A373=B$2,'Atividades Micro'!$L373&lt;&gt;""),'Atividades Micro'!$L373,"")</f>
        <v/>
      </c>
      <c r="C321" s="21" t="str">
        <f>IF(AND('Atividades Micro'!$A373=C$2,'Atividades Micro'!$K373&lt;&gt;""),'Atividades Micro'!$K373,"")</f>
        <v/>
      </c>
      <c r="D321" s="21" t="str">
        <f>IF(AND('Atividades Micro'!$A373=D$2,'Atividades Micro'!$L373&lt;&gt;""),'Atividades Micro'!$L373,"")</f>
        <v/>
      </c>
      <c r="E321" s="21" t="str">
        <f>IF(AND('Atividades Micro'!$A373=E$2,'Atividades Micro'!$K373&lt;&gt;""),'Atividades Micro'!$K373,"")</f>
        <v/>
      </c>
      <c r="F321" s="21" t="str">
        <f>IF(AND('Atividades Micro'!$A373=F$2,'Atividades Micro'!$L373&lt;&gt;""),'Atividades Micro'!$L373,"")</f>
        <v/>
      </c>
      <c r="G321" s="21" t="str">
        <f>IF(AND('Atividades Micro'!$A373=G$2,'Atividades Micro'!$K373&lt;&gt;""),'Atividades Micro'!$K373,"")</f>
        <v/>
      </c>
      <c r="H321" s="21" t="str">
        <f>IF(AND('Atividades Micro'!$A373=H$2,'Atividades Micro'!$L373&lt;&gt;""),'Atividades Micro'!$L373,"")</f>
        <v/>
      </c>
      <c r="I321" s="21" t="str">
        <f>IF(AND('Atividades Micro'!$A373=I$2,'Atividades Micro'!$K373&lt;&gt;""),'Atividades Micro'!$K373,"")</f>
        <v/>
      </c>
      <c r="J321" s="21" t="str">
        <f>IF(AND('Atividades Micro'!$A373=J$2,'Atividades Micro'!$L373&lt;&gt;""),'Atividades Micro'!$L373,"")</f>
        <v/>
      </c>
      <c r="K321" s="21" t="str">
        <f>IF(AND('Atividades Micro'!$B373=K$2,'Atividades Micro'!$K373&lt;&gt;""),'Atividades Micro'!$K373,"")</f>
        <v/>
      </c>
      <c r="L321" s="21" t="str">
        <f>IF(AND('Atividades Micro'!$B373=L$2,'Atividades Micro'!$L373&lt;&gt;""),'Atividades Micro'!$L373,"")</f>
        <v/>
      </c>
      <c r="M321" s="21" t="str">
        <f>IF(AND('Atividades Micro'!$B373=M$2,'Atividades Micro'!$K373&lt;&gt;""),'Atividades Micro'!$K373,"")</f>
        <v/>
      </c>
      <c r="N321" s="21" t="str">
        <f>IF(AND('Atividades Micro'!$B373=N$2,'Atividades Micro'!$L373&lt;&gt;""),'Atividades Micro'!$L373,"")</f>
        <v/>
      </c>
      <c r="O321" s="21" t="str">
        <f>IF(AND('Atividades Micro'!$A373=O$2,'Atividades Micro'!$K373&lt;&gt;""),'Atividades Micro'!$K373,"")</f>
        <v/>
      </c>
      <c r="P321" s="21" t="str">
        <f>IF(AND('Atividades Micro'!$A373=P$2,'Atividades Micro'!$L373&lt;&gt;""),'Atividades Micro'!$L373,"")</f>
        <v/>
      </c>
      <c r="Q321" s="21" t="str">
        <f>IF(AND('Atividades Micro'!$B373=Q$2,'Atividades Micro'!$K373&lt;&gt;""),'Atividades Micro'!$K373,"")</f>
        <v/>
      </c>
      <c r="R321" s="21" t="str">
        <f>IF(AND('Atividades Micro'!$B373=R$2,'Atividades Micro'!$L373&lt;&gt;""),'Atividades Micro'!$L373,"")</f>
        <v/>
      </c>
      <c r="S321" s="21" t="str">
        <f>IF(AND('Atividades Micro'!$A373=S$2,'Atividades Micro'!$K373&lt;&gt;""),'Atividades Micro'!$K373,"")</f>
        <v/>
      </c>
      <c r="T321" s="21" t="str">
        <f>IF(AND('Atividades Micro'!$A373=T$2,'Atividades Micro'!$L373&lt;&gt;""),'Atividades Micro'!$L373,"")</f>
        <v/>
      </c>
      <c r="U321" s="21" t="str">
        <f>IF(AND('Atividades Micro'!$B373=U$2,'Atividades Micro'!$K373&lt;&gt;""),'Atividades Micro'!$K373,"")</f>
        <v/>
      </c>
      <c r="V321" s="21" t="str">
        <f>IF(AND('Atividades Micro'!$B373=V$2,'Atividades Micro'!$L373&lt;&gt;""),'Atividades Micro'!$L373,"")</f>
        <v/>
      </c>
      <c r="W321" s="21" t="str">
        <f>IF(AND('Atividades Micro'!$B373=W$2,'Atividades Micro'!$K373&lt;&gt;""),'Atividades Micro'!$K373,"")</f>
        <v/>
      </c>
      <c r="X321" s="21" t="str">
        <f>IF(AND('Atividades Micro'!$B373=X$2,'Atividades Micro'!$L373&lt;&gt;""),'Atividades Micro'!$L373,"")</f>
        <v/>
      </c>
      <c r="Y321" s="21" t="str">
        <f>IF(AND('Atividades Micro'!$A373=Y$2,'Atividades Micro'!$K373&lt;&gt;""),'Atividades Micro'!$K373,"")</f>
        <v/>
      </c>
      <c r="Z321" s="21" t="str">
        <f>IF(AND('Atividades Micro'!$A373=Z$2,'Atividades Micro'!$L373&lt;&gt;""),'Atividades Micro'!$L373,"")</f>
        <v/>
      </c>
      <c r="AA321" s="21" t="str">
        <f>IF(AND('Atividades Micro'!$B373=AA$2,'Atividades Micro'!$K373&lt;&gt;""),'Atividades Micro'!$K373,"")</f>
        <v/>
      </c>
      <c r="AB321" s="21" t="str">
        <f>IF(AND('Atividades Micro'!$B373=AB$2,'Atividades Micro'!$L373&lt;&gt;""),'Atividades Micro'!$L373,"")</f>
        <v/>
      </c>
      <c r="AC321" s="21" t="str">
        <f>IF(AND('Atividades Micro'!$B373=AC$2,'Atividades Micro'!$K373&lt;&gt;""),'Atividades Micro'!$K373,"")</f>
        <v/>
      </c>
      <c r="AD321" s="21" t="str">
        <f>IF(AND('Atividades Micro'!$B373=AD$2,'Atividades Micro'!$L373&lt;&gt;""),'Atividades Micro'!$L373,"")</f>
        <v/>
      </c>
      <c r="AE321" s="21" t="str">
        <f>IF(AND('Atividades Micro'!$A373=AE$2,'Atividades Micro'!$K373&lt;&gt;""),'Atividades Micro'!$K373,"")</f>
        <v/>
      </c>
      <c r="AF321" s="21" t="str">
        <f>IF(AND('Atividades Micro'!$A373=AF$2,'Atividades Micro'!$L373&lt;&gt;""),'Atividades Micro'!$L373,"")</f>
        <v/>
      </c>
      <c r="AG321" s="21" t="str">
        <f>IF(AND('Atividades Micro'!$B373=AG$2,'Atividades Micro'!$K373&lt;&gt;""),'Atividades Micro'!$K373,"")</f>
        <v/>
      </c>
      <c r="AH321" s="21" t="str">
        <f>IF(AND('Atividades Micro'!$B373=AH$2,'Atividades Micro'!$L373&lt;&gt;""),'Atividades Micro'!$L373,"")</f>
        <v/>
      </c>
      <c r="AI321" s="21" t="str">
        <f>IF(AND('Atividades Micro'!$B373=AI$2,'Atividades Micro'!$K373&lt;&gt;""),'Atividades Micro'!$K373,"")</f>
        <v/>
      </c>
      <c r="AJ321" s="21" t="str">
        <f>IF(AND('Atividades Micro'!$B373=AJ$2,'Atividades Micro'!$L373&lt;&gt;""),'Atividades Micro'!$L373,"")</f>
        <v/>
      </c>
      <c r="AK321" s="21" t="str">
        <f>IF(AND('Atividades Micro'!$A373=AK$2,'Atividades Micro'!$K373&lt;&gt;""),'Atividades Micro'!$K373,"")</f>
        <v/>
      </c>
      <c r="AL321" s="21" t="str">
        <f>IF(AND('Atividades Micro'!$A373=AL$2,'Atividades Micro'!$L373&lt;&gt;""),'Atividades Micro'!$L373,"")</f>
        <v/>
      </c>
      <c r="AM321" s="21" t="str">
        <f>IF(AND('Atividades Micro'!$B373=AM$2,'Atividades Micro'!$K373&lt;&gt;""),'Atividades Micro'!$K373,"")</f>
        <v/>
      </c>
      <c r="AN321" s="21" t="str">
        <f>IF(AND('Atividades Micro'!$B373=AN$2,'Atividades Micro'!$L373&lt;&gt;""),'Atividades Micro'!$L373,"")</f>
        <v/>
      </c>
      <c r="AO321" s="21" t="str">
        <f>IF(AND('Atividades Micro'!$B373=AO$2,'Atividades Micro'!$K373&lt;&gt;""),'Atividades Micro'!$K373,"")</f>
        <v/>
      </c>
      <c r="AP321" s="21" t="str">
        <f>IF(AND('Atividades Micro'!$B373=AP$2,'Atividades Micro'!$L373&lt;&gt;""),'Atividades Micro'!$L373,"")</f>
        <v/>
      </c>
      <c r="AQ321" s="21" t="str">
        <f>IF(AND('Atividades Micro'!$A373=AQ$2,'Atividades Micro'!$K373&lt;&gt;""),'Atividades Micro'!$K373,"")</f>
        <v/>
      </c>
      <c r="AR321" s="21" t="str">
        <f>IF(AND('Atividades Micro'!$A373=AR$2,'Atividades Micro'!$L373&lt;&gt;""),'Atividades Micro'!$L373,"")</f>
        <v/>
      </c>
      <c r="AS321" s="21" t="str">
        <f>IF(AND('Atividades Micro'!$B373=AS$2,'Atividades Micro'!$K373&lt;&gt;""),'Atividades Micro'!$K373,"")</f>
        <v/>
      </c>
      <c r="AT321" s="21" t="str">
        <f>IF(AND('Atividades Micro'!$B373=AT$2,'Atividades Micro'!$L373&lt;&gt;""),'Atividades Micro'!$L373,"")</f>
        <v/>
      </c>
      <c r="AU321" s="21" t="str">
        <f>IF(AND('Atividades Micro'!$A373=AU$2,'Atividades Micro'!$K373&lt;&gt;""),'Atividades Micro'!$K373,"")</f>
        <v/>
      </c>
      <c r="AV321" s="21" t="str">
        <f>IF(AND('Atividades Micro'!$A373=AV$2,'Atividades Micro'!$L373&lt;&gt;""),'Atividades Micro'!$L373,"")</f>
        <v/>
      </c>
      <c r="AW321" s="21" t="str">
        <f>IF(AND('Atividades Micro'!$B373=AW$2,'Atividades Micro'!$K373&lt;&gt;""),'Atividades Micro'!$K373,"")</f>
        <v/>
      </c>
      <c r="AX321" s="21" t="str">
        <f>IF(AND('Atividades Micro'!$B373=AX$2,'Atividades Micro'!$L373&lt;&gt;""),'Atividades Micro'!$L373,"")</f>
        <v/>
      </c>
      <c r="AY321" s="21" t="str">
        <f>IF(AND('Atividades Micro'!$A373=AY$2,'Atividades Micro'!$K373&lt;&gt;""),'Atividades Micro'!$K373,"")</f>
        <v/>
      </c>
      <c r="AZ321" s="21" t="str">
        <f>IF(AND('Atividades Micro'!$A373=AZ$2,'Atividades Micro'!$L373&lt;&gt;""),'Atividades Micro'!$L373,"")</f>
        <v/>
      </c>
      <c r="BA321" s="21" t="str">
        <f>IF(AND('Atividades Micro'!$B373=BA$2,'Atividades Micro'!$K373&lt;&gt;""),'Atividades Micro'!$K373,"")</f>
        <v/>
      </c>
      <c r="BB321" s="21" t="str">
        <f>IF(AND('Atividades Micro'!$B373=BB$2,'Atividades Micro'!$L373&lt;&gt;""),'Atividades Micro'!$L373,"")</f>
        <v/>
      </c>
      <c r="BC321" s="21" t="str">
        <f>IF(AND('Atividades Micro'!$B373=BC$2,'Atividades Micro'!$G373="Macro",'Atividades Micro'!$K373&lt;&gt;""),'Atividades Micro'!$K373,"")</f>
        <v/>
      </c>
      <c r="BD321" s="21" t="str">
        <f>IF(AND('Atividades Micro'!$B373=BD$2,'Atividades Micro'!$G373="Macro",'Atividades Micro'!$K373&lt;&gt;""),'Atividades Micro'!$K373,"")</f>
        <v/>
      </c>
      <c r="BE321" s="21" t="str">
        <f>IF(AND('Atividades Micro'!$B373=BE$2,'Atividades Micro'!$G373="Macro",'Atividades Micro'!$K373&lt;&gt;""),'Atividades Micro'!$K373,"")</f>
        <v/>
      </c>
      <c r="BF321" s="21" t="str">
        <f>IF(AND('Atividades Micro'!$B373=BF$2,'Atividades Micro'!$G373="Macro",'Atividades Micro'!$K373&lt;&gt;""),'Atividades Micro'!$K373,"")</f>
        <v/>
      </c>
      <c r="BG321" s="21" t="str">
        <f>IF(AND('Atividades Micro'!$B373=BG$2,'Atividades Micro'!$G373="Macro",'Atividades Micro'!$K373&lt;&gt;""),'Atividades Micro'!$K373,"")</f>
        <v/>
      </c>
      <c r="BH321" s="21" t="str">
        <f>IF(AND('Atividades Micro'!$B373=BH$2,'Atividades Micro'!$G373="Macro",'Atividades Micro'!$K373&lt;&gt;""),'Atividades Micro'!$K373,"")</f>
        <v/>
      </c>
      <c r="BI321" s="21" t="str">
        <f>IF(AND('Atividades Micro'!$B373=BI$2,'Atividades Micro'!$G373="Macro",'Atividades Micro'!$K373&lt;&gt;""),'Atividades Micro'!$K373,"")</f>
        <v/>
      </c>
      <c r="BJ321" s="21" t="str">
        <f>IF(AND('Atividades Micro'!$B373=BJ$2,'Atividades Micro'!$G373="Macro",'Atividades Micro'!$K373&lt;&gt;""),'Atividades Micro'!$K373,"")</f>
        <v/>
      </c>
      <c r="BK321" s="21" t="str">
        <f>IF(AND('Atividades Micro'!$B373=BK$2,'Atividades Micro'!$G373="Macro",'Atividades Micro'!$K373&lt;&gt;""),'Atividades Micro'!$K373,"")</f>
        <v/>
      </c>
      <c r="BL321" s="21" t="str">
        <f>IF(AND('Atividades Micro'!$B373=BL$2,'Atividades Micro'!$G373="Macro",'Atividades Micro'!$K373&lt;&gt;""),'Atividades Micro'!$K373,"")</f>
        <v/>
      </c>
      <c r="BM321" s="21" t="str">
        <f>IF(AND('Atividades Micro'!$B373=BM$2,'Atividades Micro'!$G373="Macro",'Atividades Micro'!$K373&lt;&gt;""),'Atividades Micro'!$K373,"")</f>
        <v/>
      </c>
      <c r="BN321" s="21" t="str">
        <f>IF(AND('Atividades Micro'!$B373=BN$2,'Atividades Micro'!$G373="Macro",'Atividades Micro'!$K373&lt;&gt;""),'Atividades Micro'!$K373,"")</f>
        <v/>
      </c>
      <c r="BO321" s="21" t="str">
        <f>IF(AND('Atividades Micro'!$B373=BO$2,'Atividades Micro'!$G373="Macro",'Atividades Micro'!$K373&lt;&gt;""),'Atividades Micro'!$K373,"")</f>
        <v/>
      </c>
      <c r="BP321" s="21" t="str">
        <f>IF(AND('Atividades Micro'!$B373=BP$2,'Atividades Micro'!$G373="Macro",'Atividades Micro'!$K373&lt;&gt;""),'Atividades Micro'!$K373,"")</f>
        <v/>
      </c>
      <c r="BQ321" s="21" t="str">
        <f>IF(AND('Atividades Micro'!$B373=BQ$2,'Atividades Micro'!$G373="Macro",'Atividades Micro'!$K373&lt;&gt;""),'Atividades Micro'!$K373,"")</f>
        <v/>
      </c>
      <c r="BR321" s="21" t="str">
        <f>IF(AND('Atividades Micro'!$B373=BR$2,'Atividades Micro'!$G373="Macro",'Atividades Micro'!$K373&lt;&gt;""),'Atividades Micro'!$K373,"")</f>
        <v/>
      </c>
      <c r="BS321" s="21" t="str">
        <f>IF(AND('Atividades Micro'!$B373=BS$2,'Atividades Micro'!$G373="Macro",'Atividades Micro'!$K373&lt;&gt;""),'Atividades Micro'!$K373,"")</f>
        <v/>
      </c>
      <c r="BT321" s="21" t="str">
        <f>IF(AND('Atividades Micro'!$B373=BT$2,'Atividades Micro'!$G373="Macro",'Atividades Micro'!$K373&lt;&gt;""),'Atividades Micro'!$K373,"")</f>
        <v/>
      </c>
      <c r="BU321" s="21" t="str">
        <f>IF(AND('Atividades Micro'!$B373=BU$2,'Atividades Micro'!$G373="Macro",'Atividades Micro'!$K373&lt;&gt;""),'Atividades Micro'!$K373,"")</f>
        <v/>
      </c>
      <c r="BV321" s="21" t="str">
        <f>IF(AND('Atividades Micro'!$B373=BV$2,'Atividades Micro'!$G373="Macro",'Atividades Micro'!$K373&lt;&gt;""),'Atividades Micro'!$K373,"")</f>
        <v/>
      </c>
      <c r="BW321" s="21" t="str">
        <f>IF(AND('Atividades Micro'!$B373=BW$2,'Atividades Micro'!$G373="Macro",'Atividades Micro'!$K373&lt;&gt;""),'Atividades Micro'!$K373,"")</f>
        <v/>
      </c>
      <c r="BX321" s="21" t="str">
        <f>IF(AND('Atividades Micro'!$B373=BX$2,'Atividades Micro'!$G373="Macro",'Atividades Micro'!$K373&lt;&gt;""),'Atividades Micro'!$K373,"")</f>
        <v/>
      </c>
      <c r="BY321" s="21" t="str">
        <f>IF(AND('Atividades Micro'!$B373=BY$2,'Atividades Micro'!$G373="Macro",'Atividades Micro'!$K373&lt;&gt;""),'Atividades Micro'!$K373,"")</f>
        <v/>
      </c>
      <c r="BZ321" s="21" t="str">
        <f>IF(AND('Atividades Micro'!$B373=BZ$2,'Atividades Micro'!$G373="Macro",'Atividades Micro'!$K373&lt;&gt;""),'Atividades Micro'!$K373,"")</f>
        <v/>
      </c>
      <c r="CA321" s="21" t="str">
        <f>IF(AND('Atividades Micro'!$B373=CA$2,'Atividades Micro'!$G373="Macro",'Atividades Micro'!$K373&lt;&gt;""),'Atividades Micro'!$K373,"")</f>
        <v/>
      </c>
      <c r="CB321" s="21" t="str">
        <f>IF(AND('Atividades Micro'!$B373=CB$2,'Atividades Micro'!$G373="Macro",'Atividades Micro'!$K373&lt;&gt;""),'Atividades Micro'!$K373,"")</f>
        <v/>
      </c>
      <c r="CC321" s="21" t="str">
        <f>IF(AND('Atividades Micro'!$B373=CC$2,'Atividades Micro'!$G373="Macro",'Atividades Micro'!$K373&lt;&gt;""),'Atividades Micro'!$K373,"")</f>
        <v/>
      </c>
      <c r="CD321" s="21" t="str">
        <f>IF(AND('Atividades Micro'!$B373=CD$2,'Atividades Micro'!$G373="Micro",'Atividades Micro'!$K373&lt;&gt;""),'Atividades Micro'!$K373,"")</f>
        <v/>
      </c>
      <c r="CE321" s="21" t="str">
        <f>IF(AND('Atividades Micro'!$B373=CE$2,'Atividades Micro'!$G373="Micro",'Atividades Micro'!$K373&lt;&gt;""),'Atividades Micro'!$K373,"")</f>
        <v/>
      </c>
      <c r="CF321" s="21" t="str">
        <f>IF(AND('Atividades Micro'!$B373=CF$2,'Atividades Micro'!$G373="Micro",'Atividades Micro'!$K373&lt;&gt;""),'Atividades Micro'!$K373,"")</f>
        <v/>
      </c>
      <c r="CG321" s="21" t="str">
        <f>IF(AND('Atividades Micro'!$B373=CG$2,'Atividades Micro'!$G373="Micro",'Atividades Micro'!$K373&lt;&gt;""),'Atividades Micro'!$K373,"")</f>
        <v/>
      </c>
      <c r="CH321" s="21" t="str">
        <f>IF(AND('Atividades Micro'!$B373=CH$2,'Atividades Micro'!$G373="Micro",'Atividades Micro'!$K373&lt;&gt;""),'Atividades Micro'!$K373,"")</f>
        <v/>
      </c>
      <c r="CI321" s="21" t="str">
        <f>IF(AND('Atividades Micro'!$B373=CI$2,'Atividades Micro'!$G373="Micro",'Atividades Micro'!$K373&lt;&gt;""),'Atividades Micro'!$K373,"")</f>
        <v/>
      </c>
      <c r="CJ321" s="21" t="str">
        <f>IF(AND('Atividades Micro'!$B373=CJ$2,'Atividades Micro'!$G373="Micro",'Atividades Micro'!$K373&lt;&gt;""),'Atividades Micro'!$K373,"")</f>
        <v/>
      </c>
      <c r="CK321" s="21" t="str">
        <f>IF(AND('Atividades Micro'!$B373=CK$2,'Atividades Micro'!$G373="Micro",'Atividades Micro'!$K373&lt;&gt;""),'Atividades Micro'!$K373,"")</f>
        <v/>
      </c>
      <c r="CL321" s="21" t="str">
        <f>IF(AND('Atividades Micro'!$B373=CL$2,'Atividades Micro'!$G373="Micro",'Atividades Micro'!$K373&lt;&gt;""),'Atividades Micro'!$K373,"")</f>
        <v/>
      </c>
      <c r="CM321" s="21" t="str">
        <f>IF(AND('Atividades Micro'!$B373=CM$2,'Atividades Micro'!$G373="Micro",'Atividades Micro'!$K373&lt;&gt;""),'Atividades Micro'!$K373,"")</f>
        <v/>
      </c>
      <c r="CN321" s="21" t="str">
        <f>IF(AND('Atividades Micro'!$B373=CN$2,'Atividades Micro'!$G373="Micro",'Atividades Micro'!$K373&lt;&gt;""),'Atividades Micro'!$K373,"")</f>
        <v/>
      </c>
      <c r="CO321" s="21" t="str">
        <f>IF(AND('Atividades Micro'!$B373=CO$2,'Atividades Micro'!$G373="Micro",'Atividades Micro'!$K373&lt;&gt;""),'Atividades Micro'!$K373,"")</f>
        <v/>
      </c>
    </row>
    <row r="322" spans="1:93">
      <c r="A322" s="21" t="str">
        <f>IF(AND('Atividades Micro'!$A374=A$2,'Atividades Micro'!$K374&lt;&gt;""),'Atividades Micro'!$K374,"")</f>
        <v/>
      </c>
      <c r="B322" s="21" t="str">
        <f>IF(AND('Atividades Micro'!$A374=B$2,'Atividades Micro'!$L374&lt;&gt;""),'Atividades Micro'!$L374,"")</f>
        <v/>
      </c>
      <c r="C322" s="21" t="str">
        <f>IF(AND('Atividades Micro'!$A374=C$2,'Atividades Micro'!$K374&lt;&gt;""),'Atividades Micro'!$K374,"")</f>
        <v/>
      </c>
      <c r="D322" s="21" t="str">
        <f>IF(AND('Atividades Micro'!$A374=D$2,'Atividades Micro'!$L374&lt;&gt;""),'Atividades Micro'!$L374,"")</f>
        <v/>
      </c>
      <c r="E322" s="21" t="str">
        <f>IF(AND('Atividades Micro'!$A374=E$2,'Atividades Micro'!$K374&lt;&gt;""),'Atividades Micro'!$K374,"")</f>
        <v/>
      </c>
      <c r="F322" s="21" t="str">
        <f>IF(AND('Atividades Micro'!$A374=F$2,'Atividades Micro'!$L374&lt;&gt;""),'Atividades Micro'!$L374,"")</f>
        <v/>
      </c>
      <c r="G322" s="21" t="str">
        <f>IF(AND('Atividades Micro'!$A374=G$2,'Atividades Micro'!$K374&lt;&gt;""),'Atividades Micro'!$K374,"")</f>
        <v/>
      </c>
      <c r="H322" s="21" t="str">
        <f>IF(AND('Atividades Micro'!$A374=H$2,'Atividades Micro'!$L374&lt;&gt;""),'Atividades Micro'!$L374,"")</f>
        <v/>
      </c>
      <c r="I322" s="21" t="str">
        <f>IF(AND('Atividades Micro'!$A374=I$2,'Atividades Micro'!$K374&lt;&gt;""),'Atividades Micro'!$K374,"")</f>
        <v/>
      </c>
      <c r="J322" s="21" t="str">
        <f>IF(AND('Atividades Micro'!$A374=J$2,'Atividades Micro'!$L374&lt;&gt;""),'Atividades Micro'!$L374,"")</f>
        <v/>
      </c>
      <c r="K322" s="21" t="str">
        <f>IF(AND('Atividades Micro'!$B374=K$2,'Atividades Micro'!$K374&lt;&gt;""),'Atividades Micro'!$K374,"")</f>
        <v/>
      </c>
      <c r="L322" s="21" t="str">
        <f>IF(AND('Atividades Micro'!$B374=L$2,'Atividades Micro'!$L374&lt;&gt;""),'Atividades Micro'!$L374,"")</f>
        <v/>
      </c>
      <c r="M322" s="21" t="str">
        <f>IF(AND('Atividades Micro'!$B374=M$2,'Atividades Micro'!$K374&lt;&gt;""),'Atividades Micro'!$K374,"")</f>
        <v/>
      </c>
      <c r="N322" s="21" t="str">
        <f>IF(AND('Atividades Micro'!$B374=N$2,'Atividades Micro'!$L374&lt;&gt;""),'Atividades Micro'!$L374,"")</f>
        <v/>
      </c>
      <c r="O322" s="21" t="str">
        <f>IF(AND('Atividades Micro'!$A374=O$2,'Atividades Micro'!$K374&lt;&gt;""),'Atividades Micro'!$K374,"")</f>
        <v/>
      </c>
      <c r="P322" s="21" t="str">
        <f>IF(AND('Atividades Micro'!$A374=P$2,'Atividades Micro'!$L374&lt;&gt;""),'Atividades Micro'!$L374,"")</f>
        <v/>
      </c>
      <c r="Q322" s="21" t="str">
        <f>IF(AND('Atividades Micro'!$B374=Q$2,'Atividades Micro'!$K374&lt;&gt;""),'Atividades Micro'!$K374,"")</f>
        <v/>
      </c>
      <c r="R322" s="21" t="str">
        <f>IF(AND('Atividades Micro'!$B374=R$2,'Atividades Micro'!$L374&lt;&gt;""),'Atividades Micro'!$L374,"")</f>
        <v/>
      </c>
      <c r="S322" s="21" t="str">
        <f>IF(AND('Atividades Micro'!$A374=S$2,'Atividades Micro'!$K374&lt;&gt;""),'Atividades Micro'!$K374,"")</f>
        <v/>
      </c>
      <c r="T322" s="21" t="str">
        <f>IF(AND('Atividades Micro'!$A374=T$2,'Atividades Micro'!$L374&lt;&gt;""),'Atividades Micro'!$L374,"")</f>
        <v/>
      </c>
      <c r="U322" s="21" t="str">
        <f>IF(AND('Atividades Micro'!$B374=U$2,'Atividades Micro'!$K374&lt;&gt;""),'Atividades Micro'!$K374,"")</f>
        <v/>
      </c>
      <c r="V322" s="21" t="str">
        <f>IF(AND('Atividades Micro'!$B374=V$2,'Atividades Micro'!$L374&lt;&gt;""),'Atividades Micro'!$L374,"")</f>
        <v/>
      </c>
      <c r="W322" s="21" t="str">
        <f>IF(AND('Atividades Micro'!$B374=W$2,'Atividades Micro'!$K374&lt;&gt;""),'Atividades Micro'!$K374,"")</f>
        <v/>
      </c>
      <c r="X322" s="21" t="str">
        <f>IF(AND('Atividades Micro'!$B374=X$2,'Atividades Micro'!$L374&lt;&gt;""),'Atividades Micro'!$L374,"")</f>
        <v/>
      </c>
      <c r="Y322" s="21" t="str">
        <f>IF(AND('Atividades Micro'!$A374=Y$2,'Atividades Micro'!$K374&lt;&gt;""),'Atividades Micro'!$K374,"")</f>
        <v/>
      </c>
      <c r="Z322" s="21" t="str">
        <f>IF(AND('Atividades Micro'!$A374=Z$2,'Atividades Micro'!$L374&lt;&gt;""),'Atividades Micro'!$L374,"")</f>
        <v/>
      </c>
      <c r="AA322" s="21" t="str">
        <f>IF(AND('Atividades Micro'!$B374=AA$2,'Atividades Micro'!$K374&lt;&gt;""),'Atividades Micro'!$K374,"")</f>
        <v/>
      </c>
      <c r="AB322" s="21" t="str">
        <f>IF(AND('Atividades Micro'!$B374=AB$2,'Atividades Micro'!$L374&lt;&gt;""),'Atividades Micro'!$L374,"")</f>
        <v/>
      </c>
      <c r="AC322" s="21" t="str">
        <f>IF(AND('Atividades Micro'!$B374=AC$2,'Atividades Micro'!$K374&lt;&gt;""),'Atividades Micro'!$K374,"")</f>
        <v/>
      </c>
      <c r="AD322" s="21" t="str">
        <f>IF(AND('Atividades Micro'!$B374=AD$2,'Atividades Micro'!$L374&lt;&gt;""),'Atividades Micro'!$L374,"")</f>
        <v/>
      </c>
      <c r="AE322" s="21" t="str">
        <f>IF(AND('Atividades Micro'!$A374=AE$2,'Atividades Micro'!$K374&lt;&gt;""),'Atividades Micro'!$K374,"")</f>
        <v/>
      </c>
      <c r="AF322" s="21" t="str">
        <f>IF(AND('Atividades Micro'!$A374=AF$2,'Atividades Micro'!$L374&lt;&gt;""),'Atividades Micro'!$L374,"")</f>
        <v/>
      </c>
      <c r="AG322" s="21" t="str">
        <f>IF(AND('Atividades Micro'!$B374=AG$2,'Atividades Micro'!$K374&lt;&gt;""),'Atividades Micro'!$K374,"")</f>
        <v/>
      </c>
      <c r="AH322" s="21" t="str">
        <f>IF(AND('Atividades Micro'!$B374=AH$2,'Atividades Micro'!$L374&lt;&gt;""),'Atividades Micro'!$L374,"")</f>
        <v/>
      </c>
      <c r="AI322" s="21" t="str">
        <f>IF(AND('Atividades Micro'!$B374=AI$2,'Atividades Micro'!$K374&lt;&gt;""),'Atividades Micro'!$K374,"")</f>
        <v/>
      </c>
      <c r="AJ322" s="21" t="str">
        <f>IF(AND('Atividades Micro'!$B374=AJ$2,'Atividades Micro'!$L374&lt;&gt;""),'Atividades Micro'!$L374,"")</f>
        <v/>
      </c>
      <c r="AK322" s="21" t="str">
        <f>IF(AND('Atividades Micro'!$A374=AK$2,'Atividades Micro'!$K374&lt;&gt;""),'Atividades Micro'!$K374,"")</f>
        <v/>
      </c>
      <c r="AL322" s="21" t="str">
        <f>IF(AND('Atividades Micro'!$A374=AL$2,'Atividades Micro'!$L374&lt;&gt;""),'Atividades Micro'!$L374,"")</f>
        <v/>
      </c>
      <c r="AM322" s="21" t="str">
        <f>IF(AND('Atividades Micro'!$B374=AM$2,'Atividades Micro'!$K374&lt;&gt;""),'Atividades Micro'!$K374,"")</f>
        <v/>
      </c>
      <c r="AN322" s="21" t="str">
        <f>IF(AND('Atividades Micro'!$B374=AN$2,'Atividades Micro'!$L374&lt;&gt;""),'Atividades Micro'!$L374,"")</f>
        <v/>
      </c>
      <c r="AO322" s="21" t="str">
        <f>IF(AND('Atividades Micro'!$B374=AO$2,'Atividades Micro'!$K374&lt;&gt;""),'Atividades Micro'!$K374,"")</f>
        <v/>
      </c>
      <c r="AP322" s="21" t="str">
        <f>IF(AND('Atividades Micro'!$B374=AP$2,'Atividades Micro'!$L374&lt;&gt;""),'Atividades Micro'!$L374,"")</f>
        <v/>
      </c>
      <c r="AQ322" s="21" t="str">
        <f>IF(AND('Atividades Micro'!$A374=AQ$2,'Atividades Micro'!$K374&lt;&gt;""),'Atividades Micro'!$K374,"")</f>
        <v/>
      </c>
      <c r="AR322" s="21" t="str">
        <f>IF(AND('Atividades Micro'!$A374=AR$2,'Atividades Micro'!$L374&lt;&gt;""),'Atividades Micro'!$L374,"")</f>
        <v/>
      </c>
      <c r="AS322" s="21" t="str">
        <f>IF(AND('Atividades Micro'!$B374=AS$2,'Atividades Micro'!$K374&lt;&gt;""),'Atividades Micro'!$K374,"")</f>
        <v/>
      </c>
      <c r="AT322" s="21" t="str">
        <f>IF(AND('Atividades Micro'!$B374=AT$2,'Atividades Micro'!$L374&lt;&gt;""),'Atividades Micro'!$L374,"")</f>
        <v/>
      </c>
      <c r="AU322" s="21" t="str">
        <f>IF(AND('Atividades Micro'!$A374=AU$2,'Atividades Micro'!$K374&lt;&gt;""),'Atividades Micro'!$K374,"")</f>
        <v/>
      </c>
      <c r="AV322" s="21" t="str">
        <f>IF(AND('Atividades Micro'!$A374=AV$2,'Atividades Micro'!$L374&lt;&gt;""),'Atividades Micro'!$L374,"")</f>
        <v/>
      </c>
      <c r="AW322" s="21" t="str">
        <f>IF(AND('Atividades Micro'!$B374=AW$2,'Atividades Micro'!$K374&lt;&gt;""),'Atividades Micro'!$K374,"")</f>
        <v/>
      </c>
      <c r="AX322" s="21" t="str">
        <f>IF(AND('Atividades Micro'!$B374=AX$2,'Atividades Micro'!$L374&lt;&gt;""),'Atividades Micro'!$L374,"")</f>
        <v/>
      </c>
      <c r="AY322" s="21" t="str">
        <f>IF(AND('Atividades Micro'!$A374=AY$2,'Atividades Micro'!$K374&lt;&gt;""),'Atividades Micro'!$K374,"")</f>
        <v/>
      </c>
      <c r="AZ322" s="21" t="str">
        <f>IF(AND('Atividades Micro'!$A374=AZ$2,'Atividades Micro'!$L374&lt;&gt;""),'Atividades Micro'!$L374,"")</f>
        <v/>
      </c>
      <c r="BA322" s="21" t="str">
        <f>IF(AND('Atividades Micro'!$B374=BA$2,'Atividades Micro'!$K374&lt;&gt;""),'Atividades Micro'!$K374,"")</f>
        <v/>
      </c>
      <c r="BB322" s="21" t="str">
        <f>IF(AND('Atividades Micro'!$B374=BB$2,'Atividades Micro'!$L374&lt;&gt;""),'Atividades Micro'!$L374,"")</f>
        <v/>
      </c>
      <c r="BC322" s="21" t="str">
        <f>IF(AND('Atividades Micro'!$B374=BC$2,'Atividades Micro'!$G374="Macro",'Atividades Micro'!$K374&lt;&gt;""),'Atividades Micro'!$K374,"")</f>
        <v/>
      </c>
      <c r="BD322" s="21" t="str">
        <f>IF(AND('Atividades Micro'!$B374=BD$2,'Atividades Micro'!$G374="Macro",'Atividades Micro'!$K374&lt;&gt;""),'Atividades Micro'!$K374,"")</f>
        <v/>
      </c>
      <c r="BE322" s="21" t="str">
        <f>IF(AND('Atividades Micro'!$B374=BE$2,'Atividades Micro'!$G374="Macro",'Atividades Micro'!$K374&lt;&gt;""),'Atividades Micro'!$K374,"")</f>
        <v/>
      </c>
      <c r="BF322" s="21" t="str">
        <f>IF(AND('Atividades Micro'!$B374=BF$2,'Atividades Micro'!$G374="Macro",'Atividades Micro'!$K374&lt;&gt;""),'Atividades Micro'!$K374,"")</f>
        <v/>
      </c>
      <c r="BG322" s="21" t="str">
        <f>IF(AND('Atividades Micro'!$B374=BG$2,'Atividades Micro'!$G374="Macro",'Atividades Micro'!$K374&lt;&gt;""),'Atividades Micro'!$K374,"")</f>
        <v/>
      </c>
      <c r="BH322" s="21" t="str">
        <f>IF(AND('Atividades Micro'!$B374=BH$2,'Atividades Micro'!$G374="Macro",'Atividades Micro'!$K374&lt;&gt;""),'Atividades Micro'!$K374,"")</f>
        <v/>
      </c>
      <c r="BI322" s="21" t="str">
        <f>IF(AND('Atividades Micro'!$B374=BI$2,'Atividades Micro'!$G374="Macro",'Atividades Micro'!$K374&lt;&gt;""),'Atividades Micro'!$K374,"")</f>
        <v/>
      </c>
      <c r="BJ322" s="21" t="str">
        <f>IF(AND('Atividades Micro'!$B374=BJ$2,'Atividades Micro'!$G374="Macro",'Atividades Micro'!$K374&lt;&gt;""),'Atividades Micro'!$K374,"")</f>
        <v/>
      </c>
      <c r="BK322" s="21" t="str">
        <f>IF(AND('Atividades Micro'!$B374=BK$2,'Atividades Micro'!$G374="Macro",'Atividades Micro'!$K374&lt;&gt;""),'Atividades Micro'!$K374,"")</f>
        <v/>
      </c>
      <c r="BL322" s="21" t="str">
        <f>IF(AND('Atividades Micro'!$B374=BL$2,'Atividades Micro'!$G374="Macro",'Atividades Micro'!$K374&lt;&gt;""),'Atividades Micro'!$K374,"")</f>
        <v/>
      </c>
      <c r="BM322" s="21" t="str">
        <f>IF(AND('Atividades Micro'!$B374=BM$2,'Atividades Micro'!$G374="Macro",'Atividades Micro'!$K374&lt;&gt;""),'Atividades Micro'!$K374,"")</f>
        <v/>
      </c>
      <c r="BN322" s="21" t="str">
        <f>IF(AND('Atividades Micro'!$B374=BN$2,'Atividades Micro'!$G374="Macro",'Atividades Micro'!$K374&lt;&gt;""),'Atividades Micro'!$K374,"")</f>
        <v/>
      </c>
      <c r="BO322" s="21" t="str">
        <f>IF(AND('Atividades Micro'!$B374=BO$2,'Atividades Micro'!$G374="Macro",'Atividades Micro'!$K374&lt;&gt;""),'Atividades Micro'!$K374,"")</f>
        <v/>
      </c>
      <c r="BP322" s="21" t="str">
        <f>IF(AND('Atividades Micro'!$B374=BP$2,'Atividades Micro'!$G374="Macro",'Atividades Micro'!$K374&lt;&gt;""),'Atividades Micro'!$K374,"")</f>
        <v/>
      </c>
      <c r="BQ322" s="21" t="str">
        <f>IF(AND('Atividades Micro'!$B374=BQ$2,'Atividades Micro'!$G374="Macro",'Atividades Micro'!$K374&lt;&gt;""),'Atividades Micro'!$K374,"")</f>
        <v/>
      </c>
      <c r="BR322" s="21" t="str">
        <f>IF(AND('Atividades Micro'!$B374=BR$2,'Atividades Micro'!$G374="Macro",'Atividades Micro'!$K374&lt;&gt;""),'Atividades Micro'!$K374,"")</f>
        <v/>
      </c>
      <c r="BS322" s="21" t="str">
        <f>IF(AND('Atividades Micro'!$B374=BS$2,'Atividades Micro'!$G374="Macro",'Atividades Micro'!$K374&lt;&gt;""),'Atividades Micro'!$K374,"")</f>
        <v/>
      </c>
      <c r="BT322" s="21" t="str">
        <f>IF(AND('Atividades Micro'!$B374=BT$2,'Atividades Micro'!$G374="Macro",'Atividades Micro'!$K374&lt;&gt;""),'Atividades Micro'!$K374,"")</f>
        <v/>
      </c>
      <c r="BU322" s="21" t="str">
        <f>IF(AND('Atividades Micro'!$B374=BU$2,'Atividades Micro'!$G374="Macro",'Atividades Micro'!$K374&lt;&gt;""),'Atividades Micro'!$K374,"")</f>
        <v/>
      </c>
      <c r="BV322" s="21" t="str">
        <f>IF(AND('Atividades Micro'!$B374=BV$2,'Atividades Micro'!$G374="Macro",'Atividades Micro'!$K374&lt;&gt;""),'Atividades Micro'!$K374,"")</f>
        <v/>
      </c>
      <c r="BW322" s="21" t="str">
        <f>IF(AND('Atividades Micro'!$B374=BW$2,'Atividades Micro'!$G374="Macro",'Atividades Micro'!$K374&lt;&gt;""),'Atividades Micro'!$K374,"")</f>
        <v/>
      </c>
      <c r="BX322" s="21" t="str">
        <f>IF(AND('Atividades Micro'!$B374=BX$2,'Atividades Micro'!$G374="Macro",'Atividades Micro'!$K374&lt;&gt;""),'Atividades Micro'!$K374,"")</f>
        <v/>
      </c>
      <c r="BY322" s="21" t="str">
        <f>IF(AND('Atividades Micro'!$B374=BY$2,'Atividades Micro'!$G374="Macro",'Atividades Micro'!$K374&lt;&gt;""),'Atividades Micro'!$K374,"")</f>
        <v/>
      </c>
      <c r="BZ322" s="21" t="str">
        <f>IF(AND('Atividades Micro'!$B374=BZ$2,'Atividades Micro'!$G374="Macro",'Atividades Micro'!$K374&lt;&gt;""),'Atividades Micro'!$K374,"")</f>
        <v/>
      </c>
      <c r="CA322" s="21" t="str">
        <f>IF(AND('Atividades Micro'!$B374=CA$2,'Atividades Micro'!$G374="Macro",'Atividades Micro'!$K374&lt;&gt;""),'Atividades Micro'!$K374,"")</f>
        <v/>
      </c>
      <c r="CB322" s="21" t="str">
        <f>IF(AND('Atividades Micro'!$B374=CB$2,'Atividades Micro'!$G374="Macro",'Atividades Micro'!$K374&lt;&gt;""),'Atividades Micro'!$K374,"")</f>
        <v/>
      </c>
      <c r="CC322" s="21" t="str">
        <f>IF(AND('Atividades Micro'!$B374=CC$2,'Atividades Micro'!$G374="Macro",'Atividades Micro'!$K374&lt;&gt;""),'Atividades Micro'!$K374,"")</f>
        <v/>
      </c>
      <c r="CD322" s="21" t="str">
        <f>IF(AND('Atividades Micro'!$B374=CD$2,'Atividades Micro'!$G374="Micro",'Atividades Micro'!$K374&lt;&gt;""),'Atividades Micro'!$K374,"")</f>
        <v/>
      </c>
      <c r="CE322" s="21" t="str">
        <f>IF(AND('Atividades Micro'!$B374=CE$2,'Atividades Micro'!$G374="Micro",'Atividades Micro'!$K374&lt;&gt;""),'Atividades Micro'!$K374,"")</f>
        <v/>
      </c>
      <c r="CF322" s="21" t="str">
        <f>IF(AND('Atividades Micro'!$B374=CF$2,'Atividades Micro'!$G374="Micro",'Atividades Micro'!$K374&lt;&gt;""),'Atividades Micro'!$K374,"")</f>
        <v/>
      </c>
      <c r="CG322" s="21" t="str">
        <f>IF(AND('Atividades Micro'!$B374=CG$2,'Atividades Micro'!$G374="Micro",'Atividades Micro'!$K374&lt;&gt;""),'Atividades Micro'!$K374,"")</f>
        <v/>
      </c>
      <c r="CH322" s="21" t="str">
        <f>IF(AND('Atividades Micro'!$B374=CH$2,'Atividades Micro'!$G374="Micro",'Atividades Micro'!$K374&lt;&gt;""),'Atividades Micro'!$K374,"")</f>
        <v/>
      </c>
      <c r="CI322" s="21" t="str">
        <f>IF(AND('Atividades Micro'!$B374=CI$2,'Atividades Micro'!$G374="Micro",'Atividades Micro'!$K374&lt;&gt;""),'Atividades Micro'!$K374,"")</f>
        <v/>
      </c>
      <c r="CJ322" s="21" t="str">
        <f>IF(AND('Atividades Micro'!$B374=CJ$2,'Atividades Micro'!$G374="Micro",'Atividades Micro'!$K374&lt;&gt;""),'Atividades Micro'!$K374,"")</f>
        <v/>
      </c>
      <c r="CK322" s="21" t="str">
        <f>IF(AND('Atividades Micro'!$B374=CK$2,'Atividades Micro'!$G374="Micro",'Atividades Micro'!$K374&lt;&gt;""),'Atividades Micro'!$K374,"")</f>
        <v/>
      </c>
      <c r="CL322" s="21" t="str">
        <f>IF(AND('Atividades Micro'!$B374=CL$2,'Atividades Micro'!$G374="Micro",'Atividades Micro'!$K374&lt;&gt;""),'Atividades Micro'!$K374,"")</f>
        <v/>
      </c>
      <c r="CM322" s="21" t="str">
        <f>IF(AND('Atividades Micro'!$B374=CM$2,'Atividades Micro'!$G374="Micro",'Atividades Micro'!$K374&lt;&gt;""),'Atividades Micro'!$K374,"")</f>
        <v/>
      </c>
      <c r="CN322" s="21" t="str">
        <f>IF(AND('Atividades Micro'!$B374=CN$2,'Atividades Micro'!$G374="Micro",'Atividades Micro'!$K374&lt;&gt;""),'Atividades Micro'!$K374,"")</f>
        <v/>
      </c>
      <c r="CO322" s="21" t="str">
        <f>IF(AND('Atividades Micro'!$B374=CO$2,'Atividades Micro'!$G374="Micro",'Atividades Micro'!$K374&lt;&gt;""),'Atividades Micro'!$K374,"")</f>
        <v/>
      </c>
    </row>
    <row r="323" spans="1:93">
      <c r="A323" s="21" t="str">
        <f>IF(AND('Atividades Micro'!$A375=A$2,'Atividades Micro'!$K375&lt;&gt;""),'Atividades Micro'!$K375,"")</f>
        <v/>
      </c>
      <c r="B323" s="21" t="str">
        <f>IF(AND('Atividades Micro'!$A375=B$2,'Atividades Micro'!$L375&lt;&gt;""),'Atividades Micro'!$L375,"")</f>
        <v/>
      </c>
      <c r="C323" s="21" t="str">
        <f>IF(AND('Atividades Micro'!$A375=C$2,'Atividades Micro'!$K375&lt;&gt;""),'Atividades Micro'!$K375,"")</f>
        <v/>
      </c>
      <c r="D323" s="21" t="str">
        <f>IF(AND('Atividades Micro'!$A375=D$2,'Atividades Micro'!$L375&lt;&gt;""),'Atividades Micro'!$L375,"")</f>
        <v/>
      </c>
      <c r="E323" s="21" t="str">
        <f>IF(AND('Atividades Micro'!$A375=E$2,'Atividades Micro'!$K375&lt;&gt;""),'Atividades Micro'!$K375,"")</f>
        <v/>
      </c>
      <c r="F323" s="21" t="str">
        <f>IF(AND('Atividades Micro'!$A375=F$2,'Atividades Micro'!$L375&lt;&gt;""),'Atividades Micro'!$L375,"")</f>
        <v/>
      </c>
      <c r="G323" s="21" t="str">
        <f>IF(AND('Atividades Micro'!$A375=G$2,'Atividades Micro'!$K375&lt;&gt;""),'Atividades Micro'!$K375,"")</f>
        <v/>
      </c>
      <c r="H323" s="21" t="str">
        <f>IF(AND('Atividades Micro'!$A375=H$2,'Atividades Micro'!$L375&lt;&gt;""),'Atividades Micro'!$L375,"")</f>
        <v/>
      </c>
      <c r="I323" s="21" t="str">
        <f>IF(AND('Atividades Micro'!$A375=I$2,'Atividades Micro'!$K375&lt;&gt;""),'Atividades Micro'!$K375,"")</f>
        <v/>
      </c>
      <c r="J323" s="21" t="str">
        <f>IF(AND('Atividades Micro'!$A375=J$2,'Atividades Micro'!$L375&lt;&gt;""),'Atividades Micro'!$L375,"")</f>
        <v/>
      </c>
      <c r="K323" s="21" t="str">
        <f>IF(AND('Atividades Micro'!$B375=K$2,'Atividades Micro'!$K375&lt;&gt;""),'Atividades Micro'!$K375,"")</f>
        <v/>
      </c>
      <c r="L323" s="21" t="str">
        <f>IF(AND('Atividades Micro'!$B375=L$2,'Atividades Micro'!$L375&lt;&gt;""),'Atividades Micro'!$L375,"")</f>
        <v/>
      </c>
      <c r="M323" s="21" t="str">
        <f>IF(AND('Atividades Micro'!$B375=M$2,'Atividades Micro'!$K375&lt;&gt;""),'Atividades Micro'!$K375,"")</f>
        <v/>
      </c>
      <c r="N323" s="21" t="str">
        <f>IF(AND('Atividades Micro'!$B375=N$2,'Atividades Micro'!$L375&lt;&gt;""),'Atividades Micro'!$L375,"")</f>
        <v/>
      </c>
      <c r="O323" s="21" t="str">
        <f>IF(AND('Atividades Micro'!$A375=O$2,'Atividades Micro'!$K375&lt;&gt;""),'Atividades Micro'!$K375,"")</f>
        <v/>
      </c>
      <c r="P323" s="21" t="str">
        <f>IF(AND('Atividades Micro'!$A375=P$2,'Atividades Micro'!$L375&lt;&gt;""),'Atividades Micro'!$L375,"")</f>
        <v/>
      </c>
      <c r="Q323" s="21" t="str">
        <f>IF(AND('Atividades Micro'!$B375=Q$2,'Atividades Micro'!$K375&lt;&gt;""),'Atividades Micro'!$K375,"")</f>
        <v/>
      </c>
      <c r="R323" s="21" t="str">
        <f>IF(AND('Atividades Micro'!$B375=R$2,'Atividades Micro'!$L375&lt;&gt;""),'Atividades Micro'!$L375,"")</f>
        <v/>
      </c>
      <c r="S323" s="21" t="str">
        <f>IF(AND('Atividades Micro'!$A375=S$2,'Atividades Micro'!$K375&lt;&gt;""),'Atividades Micro'!$K375,"")</f>
        <v/>
      </c>
      <c r="T323" s="21" t="str">
        <f>IF(AND('Atividades Micro'!$A375=T$2,'Atividades Micro'!$L375&lt;&gt;""),'Atividades Micro'!$L375,"")</f>
        <v/>
      </c>
      <c r="U323" s="21" t="str">
        <f>IF(AND('Atividades Micro'!$B375=U$2,'Atividades Micro'!$K375&lt;&gt;""),'Atividades Micro'!$K375,"")</f>
        <v/>
      </c>
      <c r="V323" s="21" t="str">
        <f>IF(AND('Atividades Micro'!$B375=V$2,'Atividades Micro'!$L375&lt;&gt;""),'Atividades Micro'!$L375,"")</f>
        <v/>
      </c>
      <c r="W323" s="21" t="str">
        <f>IF(AND('Atividades Micro'!$B375=W$2,'Atividades Micro'!$K375&lt;&gt;""),'Atividades Micro'!$K375,"")</f>
        <v/>
      </c>
      <c r="X323" s="21" t="str">
        <f>IF(AND('Atividades Micro'!$B375=X$2,'Atividades Micro'!$L375&lt;&gt;""),'Atividades Micro'!$L375,"")</f>
        <v/>
      </c>
      <c r="Y323" s="21" t="str">
        <f>IF(AND('Atividades Micro'!$A375=Y$2,'Atividades Micro'!$K375&lt;&gt;""),'Atividades Micro'!$K375,"")</f>
        <v/>
      </c>
      <c r="Z323" s="21" t="str">
        <f>IF(AND('Atividades Micro'!$A375=Z$2,'Atividades Micro'!$L375&lt;&gt;""),'Atividades Micro'!$L375,"")</f>
        <v/>
      </c>
      <c r="AA323" s="21" t="str">
        <f>IF(AND('Atividades Micro'!$B375=AA$2,'Atividades Micro'!$K375&lt;&gt;""),'Atividades Micro'!$K375,"")</f>
        <v/>
      </c>
      <c r="AB323" s="21" t="str">
        <f>IF(AND('Atividades Micro'!$B375=AB$2,'Atividades Micro'!$L375&lt;&gt;""),'Atividades Micro'!$L375,"")</f>
        <v/>
      </c>
      <c r="AC323" s="21" t="str">
        <f>IF(AND('Atividades Micro'!$B375=AC$2,'Atividades Micro'!$K375&lt;&gt;""),'Atividades Micro'!$K375,"")</f>
        <v/>
      </c>
      <c r="AD323" s="21" t="str">
        <f>IF(AND('Atividades Micro'!$B375=AD$2,'Atividades Micro'!$L375&lt;&gt;""),'Atividades Micro'!$L375,"")</f>
        <v/>
      </c>
      <c r="AE323" s="21" t="str">
        <f>IF(AND('Atividades Micro'!$A375=AE$2,'Atividades Micro'!$K375&lt;&gt;""),'Atividades Micro'!$K375,"")</f>
        <v/>
      </c>
      <c r="AF323" s="21" t="str">
        <f>IF(AND('Atividades Micro'!$A375=AF$2,'Atividades Micro'!$L375&lt;&gt;""),'Atividades Micro'!$L375,"")</f>
        <v/>
      </c>
      <c r="AG323" s="21" t="str">
        <f>IF(AND('Atividades Micro'!$B375=AG$2,'Atividades Micro'!$K375&lt;&gt;""),'Atividades Micro'!$K375,"")</f>
        <v/>
      </c>
      <c r="AH323" s="21" t="str">
        <f>IF(AND('Atividades Micro'!$B375=AH$2,'Atividades Micro'!$L375&lt;&gt;""),'Atividades Micro'!$L375,"")</f>
        <v/>
      </c>
      <c r="AI323" s="21" t="str">
        <f>IF(AND('Atividades Micro'!$B375=AI$2,'Atividades Micro'!$K375&lt;&gt;""),'Atividades Micro'!$K375,"")</f>
        <v/>
      </c>
      <c r="AJ323" s="21" t="str">
        <f>IF(AND('Atividades Micro'!$B375=AJ$2,'Atividades Micro'!$L375&lt;&gt;""),'Atividades Micro'!$L375,"")</f>
        <v/>
      </c>
      <c r="AK323" s="21" t="str">
        <f>IF(AND('Atividades Micro'!$A375=AK$2,'Atividades Micro'!$K375&lt;&gt;""),'Atividades Micro'!$K375,"")</f>
        <v/>
      </c>
      <c r="AL323" s="21" t="str">
        <f>IF(AND('Atividades Micro'!$A375=AL$2,'Atividades Micro'!$L375&lt;&gt;""),'Atividades Micro'!$L375,"")</f>
        <v/>
      </c>
      <c r="AM323" s="21" t="str">
        <f>IF(AND('Atividades Micro'!$B375=AM$2,'Atividades Micro'!$K375&lt;&gt;""),'Atividades Micro'!$K375,"")</f>
        <v/>
      </c>
      <c r="AN323" s="21" t="str">
        <f>IF(AND('Atividades Micro'!$B375=AN$2,'Atividades Micro'!$L375&lt;&gt;""),'Atividades Micro'!$L375,"")</f>
        <v/>
      </c>
      <c r="AO323" s="21" t="str">
        <f>IF(AND('Atividades Micro'!$B375=AO$2,'Atividades Micro'!$K375&lt;&gt;""),'Atividades Micro'!$K375,"")</f>
        <v/>
      </c>
      <c r="AP323" s="21" t="str">
        <f>IF(AND('Atividades Micro'!$B375=AP$2,'Atividades Micro'!$L375&lt;&gt;""),'Atividades Micro'!$L375,"")</f>
        <v/>
      </c>
      <c r="AQ323" s="21" t="str">
        <f>IF(AND('Atividades Micro'!$A375=AQ$2,'Atividades Micro'!$K375&lt;&gt;""),'Atividades Micro'!$K375,"")</f>
        <v/>
      </c>
      <c r="AR323" s="21" t="str">
        <f>IF(AND('Atividades Micro'!$A375=AR$2,'Atividades Micro'!$L375&lt;&gt;""),'Atividades Micro'!$L375,"")</f>
        <v/>
      </c>
      <c r="AS323" s="21" t="str">
        <f>IF(AND('Atividades Micro'!$B375=AS$2,'Atividades Micro'!$K375&lt;&gt;""),'Atividades Micro'!$K375,"")</f>
        <v/>
      </c>
      <c r="AT323" s="21" t="str">
        <f>IF(AND('Atividades Micro'!$B375=AT$2,'Atividades Micro'!$L375&lt;&gt;""),'Atividades Micro'!$L375,"")</f>
        <v/>
      </c>
      <c r="AU323" s="21" t="str">
        <f>IF(AND('Atividades Micro'!$A375=AU$2,'Atividades Micro'!$K375&lt;&gt;""),'Atividades Micro'!$K375,"")</f>
        <v/>
      </c>
      <c r="AV323" s="21" t="str">
        <f>IF(AND('Atividades Micro'!$A375=AV$2,'Atividades Micro'!$L375&lt;&gt;""),'Atividades Micro'!$L375,"")</f>
        <v/>
      </c>
      <c r="AW323" s="21" t="str">
        <f>IF(AND('Atividades Micro'!$B375=AW$2,'Atividades Micro'!$K375&lt;&gt;""),'Atividades Micro'!$K375,"")</f>
        <v/>
      </c>
      <c r="AX323" s="21" t="str">
        <f>IF(AND('Atividades Micro'!$B375=AX$2,'Atividades Micro'!$L375&lt;&gt;""),'Atividades Micro'!$L375,"")</f>
        <v/>
      </c>
      <c r="AY323" s="21" t="str">
        <f>IF(AND('Atividades Micro'!$A375=AY$2,'Atividades Micro'!$K375&lt;&gt;""),'Atividades Micro'!$K375,"")</f>
        <v/>
      </c>
      <c r="AZ323" s="21" t="str">
        <f>IF(AND('Atividades Micro'!$A375=AZ$2,'Atividades Micro'!$L375&lt;&gt;""),'Atividades Micro'!$L375,"")</f>
        <v/>
      </c>
      <c r="BA323" s="21" t="str">
        <f>IF(AND('Atividades Micro'!$B375=BA$2,'Atividades Micro'!$K375&lt;&gt;""),'Atividades Micro'!$K375,"")</f>
        <v/>
      </c>
      <c r="BB323" s="21" t="str">
        <f>IF(AND('Atividades Micro'!$B375=BB$2,'Atividades Micro'!$L375&lt;&gt;""),'Atividades Micro'!$L375,"")</f>
        <v/>
      </c>
      <c r="BC323" s="21" t="str">
        <f>IF(AND('Atividades Micro'!$B375=BC$2,'Atividades Micro'!$G375="Macro",'Atividades Micro'!$K375&lt;&gt;""),'Atividades Micro'!$K375,"")</f>
        <v/>
      </c>
      <c r="BD323" s="21" t="str">
        <f>IF(AND('Atividades Micro'!$B375=BD$2,'Atividades Micro'!$G375="Macro",'Atividades Micro'!$K375&lt;&gt;""),'Atividades Micro'!$K375,"")</f>
        <v/>
      </c>
      <c r="BE323" s="21" t="str">
        <f>IF(AND('Atividades Micro'!$B375=BE$2,'Atividades Micro'!$G375="Macro",'Atividades Micro'!$K375&lt;&gt;""),'Atividades Micro'!$K375,"")</f>
        <v/>
      </c>
      <c r="BF323" s="21" t="str">
        <f>IF(AND('Atividades Micro'!$B375=BF$2,'Atividades Micro'!$G375="Macro",'Atividades Micro'!$K375&lt;&gt;""),'Atividades Micro'!$K375,"")</f>
        <v/>
      </c>
      <c r="BG323" s="21" t="str">
        <f>IF(AND('Atividades Micro'!$B375=BG$2,'Atividades Micro'!$G375="Macro",'Atividades Micro'!$K375&lt;&gt;""),'Atividades Micro'!$K375,"")</f>
        <v/>
      </c>
      <c r="BH323" s="21" t="str">
        <f>IF(AND('Atividades Micro'!$B375=BH$2,'Atividades Micro'!$G375="Macro",'Atividades Micro'!$K375&lt;&gt;""),'Atividades Micro'!$K375,"")</f>
        <v/>
      </c>
      <c r="BI323" s="21" t="str">
        <f>IF(AND('Atividades Micro'!$B375=BI$2,'Atividades Micro'!$G375="Macro",'Atividades Micro'!$K375&lt;&gt;""),'Atividades Micro'!$K375,"")</f>
        <v/>
      </c>
      <c r="BJ323" s="21" t="str">
        <f>IF(AND('Atividades Micro'!$B375=BJ$2,'Atividades Micro'!$G375="Macro",'Atividades Micro'!$K375&lt;&gt;""),'Atividades Micro'!$K375,"")</f>
        <v/>
      </c>
      <c r="BK323" s="21" t="str">
        <f>IF(AND('Atividades Micro'!$B375=BK$2,'Atividades Micro'!$G375="Macro",'Atividades Micro'!$K375&lt;&gt;""),'Atividades Micro'!$K375,"")</f>
        <v/>
      </c>
      <c r="BL323" s="21" t="str">
        <f>IF(AND('Atividades Micro'!$B375=BL$2,'Atividades Micro'!$G375="Macro",'Atividades Micro'!$K375&lt;&gt;""),'Atividades Micro'!$K375,"")</f>
        <v/>
      </c>
      <c r="BM323" s="21" t="str">
        <f>IF(AND('Atividades Micro'!$B375=BM$2,'Atividades Micro'!$G375="Macro",'Atividades Micro'!$K375&lt;&gt;""),'Atividades Micro'!$K375,"")</f>
        <v/>
      </c>
      <c r="BN323" s="21" t="str">
        <f>IF(AND('Atividades Micro'!$B375=BN$2,'Atividades Micro'!$G375="Macro",'Atividades Micro'!$K375&lt;&gt;""),'Atividades Micro'!$K375,"")</f>
        <v/>
      </c>
      <c r="BO323" s="21" t="str">
        <f>IF(AND('Atividades Micro'!$B375=BO$2,'Atividades Micro'!$G375="Macro",'Atividades Micro'!$K375&lt;&gt;""),'Atividades Micro'!$K375,"")</f>
        <v/>
      </c>
      <c r="BP323" s="21" t="str">
        <f>IF(AND('Atividades Micro'!$B375=BP$2,'Atividades Micro'!$G375="Macro",'Atividades Micro'!$K375&lt;&gt;""),'Atividades Micro'!$K375,"")</f>
        <v/>
      </c>
      <c r="BQ323" s="21" t="str">
        <f>IF(AND('Atividades Micro'!$B375=BQ$2,'Atividades Micro'!$G375="Macro",'Atividades Micro'!$K375&lt;&gt;""),'Atividades Micro'!$K375,"")</f>
        <v/>
      </c>
      <c r="BR323" s="21" t="str">
        <f>IF(AND('Atividades Micro'!$B375=BR$2,'Atividades Micro'!$G375="Macro",'Atividades Micro'!$K375&lt;&gt;""),'Atividades Micro'!$K375,"")</f>
        <v/>
      </c>
      <c r="BS323" s="21" t="str">
        <f>IF(AND('Atividades Micro'!$B375=BS$2,'Atividades Micro'!$G375="Macro",'Atividades Micro'!$K375&lt;&gt;""),'Atividades Micro'!$K375,"")</f>
        <v/>
      </c>
      <c r="BT323" s="21" t="str">
        <f>IF(AND('Atividades Micro'!$B375=BT$2,'Atividades Micro'!$G375="Macro",'Atividades Micro'!$K375&lt;&gt;""),'Atividades Micro'!$K375,"")</f>
        <v/>
      </c>
      <c r="BU323" s="21" t="str">
        <f>IF(AND('Atividades Micro'!$B375=BU$2,'Atividades Micro'!$G375="Macro",'Atividades Micro'!$K375&lt;&gt;""),'Atividades Micro'!$K375,"")</f>
        <v/>
      </c>
      <c r="BV323" s="21" t="str">
        <f>IF(AND('Atividades Micro'!$B375=BV$2,'Atividades Micro'!$G375="Macro",'Atividades Micro'!$K375&lt;&gt;""),'Atividades Micro'!$K375,"")</f>
        <v/>
      </c>
      <c r="BW323" s="21" t="str">
        <f>IF(AND('Atividades Micro'!$B375=BW$2,'Atividades Micro'!$G375="Macro",'Atividades Micro'!$K375&lt;&gt;""),'Atividades Micro'!$K375,"")</f>
        <v/>
      </c>
      <c r="BX323" s="21" t="str">
        <f>IF(AND('Atividades Micro'!$B375=BX$2,'Atividades Micro'!$G375="Macro",'Atividades Micro'!$K375&lt;&gt;""),'Atividades Micro'!$K375,"")</f>
        <v/>
      </c>
      <c r="BY323" s="21" t="str">
        <f>IF(AND('Atividades Micro'!$B375=BY$2,'Atividades Micro'!$G375="Macro",'Atividades Micro'!$K375&lt;&gt;""),'Atividades Micro'!$K375,"")</f>
        <v/>
      </c>
      <c r="BZ323" s="21" t="str">
        <f>IF(AND('Atividades Micro'!$B375=BZ$2,'Atividades Micro'!$G375="Macro",'Atividades Micro'!$K375&lt;&gt;""),'Atividades Micro'!$K375,"")</f>
        <v/>
      </c>
      <c r="CA323" s="21" t="str">
        <f>IF(AND('Atividades Micro'!$B375=CA$2,'Atividades Micro'!$G375="Macro",'Atividades Micro'!$K375&lt;&gt;""),'Atividades Micro'!$K375,"")</f>
        <v/>
      </c>
      <c r="CB323" s="21" t="str">
        <f>IF(AND('Atividades Micro'!$B375=CB$2,'Atividades Micro'!$G375="Macro",'Atividades Micro'!$K375&lt;&gt;""),'Atividades Micro'!$K375,"")</f>
        <v/>
      </c>
      <c r="CC323" s="21" t="str">
        <f>IF(AND('Atividades Micro'!$B375=CC$2,'Atividades Micro'!$G375="Macro",'Atividades Micro'!$K375&lt;&gt;""),'Atividades Micro'!$K375,"")</f>
        <v/>
      </c>
      <c r="CD323" s="21" t="str">
        <f>IF(AND('Atividades Micro'!$B375=CD$2,'Atividades Micro'!$G375="Micro",'Atividades Micro'!$K375&lt;&gt;""),'Atividades Micro'!$K375,"")</f>
        <v/>
      </c>
      <c r="CE323" s="21" t="str">
        <f>IF(AND('Atividades Micro'!$B375=CE$2,'Atividades Micro'!$G375="Micro",'Atividades Micro'!$K375&lt;&gt;""),'Atividades Micro'!$K375,"")</f>
        <v/>
      </c>
      <c r="CF323" s="21" t="str">
        <f>IF(AND('Atividades Micro'!$B375=CF$2,'Atividades Micro'!$G375="Micro",'Atividades Micro'!$K375&lt;&gt;""),'Atividades Micro'!$K375,"")</f>
        <v/>
      </c>
      <c r="CG323" s="21" t="str">
        <f>IF(AND('Atividades Micro'!$B375=CG$2,'Atividades Micro'!$G375="Micro",'Atividades Micro'!$K375&lt;&gt;""),'Atividades Micro'!$K375,"")</f>
        <v/>
      </c>
      <c r="CH323" s="21" t="str">
        <f>IF(AND('Atividades Micro'!$B375=CH$2,'Atividades Micro'!$G375="Micro",'Atividades Micro'!$K375&lt;&gt;""),'Atividades Micro'!$K375,"")</f>
        <v/>
      </c>
      <c r="CI323" s="21" t="str">
        <f>IF(AND('Atividades Micro'!$B375=CI$2,'Atividades Micro'!$G375="Micro",'Atividades Micro'!$K375&lt;&gt;""),'Atividades Micro'!$K375,"")</f>
        <v/>
      </c>
      <c r="CJ323" s="21" t="str">
        <f>IF(AND('Atividades Micro'!$B375=CJ$2,'Atividades Micro'!$G375="Micro",'Atividades Micro'!$K375&lt;&gt;""),'Atividades Micro'!$K375,"")</f>
        <v/>
      </c>
      <c r="CK323" s="21" t="str">
        <f>IF(AND('Atividades Micro'!$B375=CK$2,'Atividades Micro'!$G375="Micro",'Atividades Micro'!$K375&lt;&gt;""),'Atividades Micro'!$K375,"")</f>
        <v/>
      </c>
      <c r="CL323" s="21" t="str">
        <f>IF(AND('Atividades Micro'!$B375=CL$2,'Atividades Micro'!$G375="Micro",'Atividades Micro'!$K375&lt;&gt;""),'Atividades Micro'!$K375,"")</f>
        <v/>
      </c>
      <c r="CM323" s="21" t="str">
        <f>IF(AND('Atividades Micro'!$B375=CM$2,'Atividades Micro'!$G375="Micro",'Atividades Micro'!$K375&lt;&gt;""),'Atividades Micro'!$K375,"")</f>
        <v/>
      </c>
      <c r="CN323" s="21" t="str">
        <f>IF(AND('Atividades Micro'!$B375=CN$2,'Atividades Micro'!$G375="Micro",'Atividades Micro'!$K375&lt;&gt;""),'Atividades Micro'!$K375,"")</f>
        <v/>
      </c>
      <c r="CO323" s="21" t="str">
        <f>IF(AND('Atividades Micro'!$B375=CO$2,'Atividades Micro'!$G375="Micro",'Atividades Micro'!$K375&lt;&gt;""),'Atividades Micro'!$K375,"")</f>
        <v/>
      </c>
    </row>
    <row r="324" spans="1:93">
      <c r="A324" s="21" t="str">
        <f>IF(AND('Atividades Micro'!$A376=A$2,'Atividades Micro'!$K376&lt;&gt;""),'Atividades Micro'!$K376,"")</f>
        <v/>
      </c>
      <c r="B324" s="21" t="str">
        <f>IF(AND('Atividades Micro'!$A376=B$2,'Atividades Micro'!$L376&lt;&gt;""),'Atividades Micro'!$L376,"")</f>
        <v/>
      </c>
      <c r="C324" s="21" t="str">
        <f>IF(AND('Atividades Micro'!$A376=C$2,'Atividades Micro'!$K376&lt;&gt;""),'Atividades Micro'!$K376,"")</f>
        <v/>
      </c>
      <c r="D324" s="21" t="str">
        <f>IF(AND('Atividades Micro'!$A376=D$2,'Atividades Micro'!$L376&lt;&gt;""),'Atividades Micro'!$L376,"")</f>
        <v/>
      </c>
      <c r="E324" s="21" t="str">
        <f>IF(AND('Atividades Micro'!$A376=E$2,'Atividades Micro'!$K376&lt;&gt;""),'Atividades Micro'!$K376,"")</f>
        <v/>
      </c>
      <c r="F324" s="21" t="str">
        <f>IF(AND('Atividades Micro'!$A376=F$2,'Atividades Micro'!$L376&lt;&gt;""),'Atividades Micro'!$L376,"")</f>
        <v/>
      </c>
      <c r="G324" s="21" t="str">
        <f>IF(AND('Atividades Micro'!$A376=G$2,'Atividades Micro'!$K376&lt;&gt;""),'Atividades Micro'!$K376,"")</f>
        <v/>
      </c>
      <c r="H324" s="21" t="str">
        <f>IF(AND('Atividades Micro'!$A376=H$2,'Atividades Micro'!$L376&lt;&gt;""),'Atividades Micro'!$L376,"")</f>
        <v/>
      </c>
      <c r="I324" s="21" t="str">
        <f>IF(AND('Atividades Micro'!$A376=I$2,'Atividades Micro'!$K376&lt;&gt;""),'Atividades Micro'!$K376,"")</f>
        <v/>
      </c>
      <c r="J324" s="21" t="str">
        <f>IF(AND('Atividades Micro'!$A376=J$2,'Atividades Micro'!$L376&lt;&gt;""),'Atividades Micro'!$L376,"")</f>
        <v/>
      </c>
      <c r="K324" s="21" t="str">
        <f>IF(AND('Atividades Micro'!$B376=K$2,'Atividades Micro'!$K376&lt;&gt;""),'Atividades Micro'!$K376,"")</f>
        <v/>
      </c>
      <c r="L324" s="21" t="str">
        <f>IF(AND('Atividades Micro'!$B376=L$2,'Atividades Micro'!$L376&lt;&gt;""),'Atividades Micro'!$L376,"")</f>
        <v/>
      </c>
      <c r="M324" s="21" t="str">
        <f>IF(AND('Atividades Micro'!$B376=M$2,'Atividades Micro'!$K376&lt;&gt;""),'Atividades Micro'!$K376,"")</f>
        <v/>
      </c>
      <c r="N324" s="21" t="str">
        <f>IF(AND('Atividades Micro'!$B376=N$2,'Atividades Micro'!$L376&lt;&gt;""),'Atividades Micro'!$L376,"")</f>
        <v/>
      </c>
      <c r="O324" s="21" t="str">
        <f>IF(AND('Atividades Micro'!$A376=O$2,'Atividades Micro'!$K376&lt;&gt;""),'Atividades Micro'!$K376,"")</f>
        <v/>
      </c>
      <c r="P324" s="21" t="str">
        <f>IF(AND('Atividades Micro'!$A376=P$2,'Atividades Micro'!$L376&lt;&gt;""),'Atividades Micro'!$L376,"")</f>
        <v/>
      </c>
      <c r="Q324" s="21" t="str">
        <f>IF(AND('Atividades Micro'!$B376=Q$2,'Atividades Micro'!$K376&lt;&gt;""),'Atividades Micro'!$K376,"")</f>
        <v/>
      </c>
      <c r="R324" s="21" t="str">
        <f>IF(AND('Atividades Micro'!$B376=R$2,'Atividades Micro'!$L376&lt;&gt;""),'Atividades Micro'!$L376,"")</f>
        <v/>
      </c>
      <c r="S324" s="21" t="str">
        <f>IF(AND('Atividades Micro'!$A376=S$2,'Atividades Micro'!$K376&lt;&gt;""),'Atividades Micro'!$K376,"")</f>
        <v/>
      </c>
      <c r="T324" s="21" t="str">
        <f>IF(AND('Atividades Micro'!$A376=T$2,'Atividades Micro'!$L376&lt;&gt;""),'Atividades Micro'!$L376,"")</f>
        <v/>
      </c>
      <c r="U324" s="21" t="str">
        <f>IF(AND('Atividades Micro'!$B376=U$2,'Atividades Micro'!$K376&lt;&gt;""),'Atividades Micro'!$K376,"")</f>
        <v/>
      </c>
      <c r="V324" s="21" t="str">
        <f>IF(AND('Atividades Micro'!$B376=V$2,'Atividades Micro'!$L376&lt;&gt;""),'Atividades Micro'!$L376,"")</f>
        <v/>
      </c>
      <c r="W324" s="21" t="str">
        <f>IF(AND('Atividades Micro'!$B376=W$2,'Atividades Micro'!$K376&lt;&gt;""),'Atividades Micro'!$K376,"")</f>
        <v/>
      </c>
      <c r="X324" s="21" t="str">
        <f>IF(AND('Atividades Micro'!$B376=X$2,'Atividades Micro'!$L376&lt;&gt;""),'Atividades Micro'!$L376,"")</f>
        <v/>
      </c>
      <c r="Y324" s="21" t="str">
        <f>IF(AND('Atividades Micro'!$A376=Y$2,'Atividades Micro'!$K376&lt;&gt;""),'Atividades Micro'!$K376,"")</f>
        <v/>
      </c>
      <c r="Z324" s="21" t="str">
        <f>IF(AND('Atividades Micro'!$A376=Z$2,'Atividades Micro'!$L376&lt;&gt;""),'Atividades Micro'!$L376,"")</f>
        <v/>
      </c>
      <c r="AA324" s="21" t="str">
        <f>IF(AND('Atividades Micro'!$B376=AA$2,'Atividades Micro'!$K376&lt;&gt;""),'Atividades Micro'!$K376,"")</f>
        <v/>
      </c>
      <c r="AB324" s="21" t="str">
        <f>IF(AND('Atividades Micro'!$B376=AB$2,'Atividades Micro'!$L376&lt;&gt;""),'Atividades Micro'!$L376,"")</f>
        <v/>
      </c>
      <c r="AC324" s="21" t="str">
        <f>IF(AND('Atividades Micro'!$B376=AC$2,'Atividades Micro'!$K376&lt;&gt;""),'Atividades Micro'!$K376,"")</f>
        <v/>
      </c>
      <c r="AD324" s="21" t="str">
        <f>IF(AND('Atividades Micro'!$B376=AD$2,'Atividades Micro'!$L376&lt;&gt;""),'Atividades Micro'!$L376,"")</f>
        <v/>
      </c>
      <c r="AE324" s="21" t="str">
        <f>IF(AND('Atividades Micro'!$A376=AE$2,'Atividades Micro'!$K376&lt;&gt;""),'Atividades Micro'!$K376,"")</f>
        <v/>
      </c>
      <c r="AF324" s="21" t="str">
        <f>IF(AND('Atividades Micro'!$A376=AF$2,'Atividades Micro'!$L376&lt;&gt;""),'Atividades Micro'!$L376,"")</f>
        <v/>
      </c>
      <c r="AG324" s="21" t="str">
        <f>IF(AND('Atividades Micro'!$B376=AG$2,'Atividades Micro'!$K376&lt;&gt;""),'Atividades Micro'!$K376,"")</f>
        <v/>
      </c>
      <c r="AH324" s="21" t="str">
        <f>IF(AND('Atividades Micro'!$B376=AH$2,'Atividades Micro'!$L376&lt;&gt;""),'Atividades Micro'!$L376,"")</f>
        <v/>
      </c>
      <c r="AI324" s="21" t="str">
        <f>IF(AND('Atividades Micro'!$B376=AI$2,'Atividades Micro'!$K376&lt;&gt;""),'Atividades Micro'!$K376,"")</f>
        <v/>
      </c>
      <c r="AJ324" s="21" t="str">
        <f>IF(AND('Atividades Micro'!$B376=AJ$2,'Atividades Micro'!$L376&lt;&gt;""),'Atividades Micro'!$L376,"")</f>
        <v/>
      </c>
      <c r="AK324" s="21" t="str">
        <f>IF(AND('Atividades Micro'!$A376=AK$2,'Atividades Micro'!$K376&lt;&gt;""),'Atividades Micro'!$K376,"")</f>
        <v/>
      </c>
      <c r="AL324" s="21" t="str">
        <f>IF(AND('Atividades Micro'!$A376=AL$2,'Atividades Micro'!$L376&lt;&gt;""),'Atividades Micro'!$L376,"")</f>
        <v/>
      </c>
      <c r="AM324" s="21" t="str">
        <f>IF(AND('Atividades Micro'!$B376=AM$2,'Atividades Micro'!$K376&lt;&gt;""),'Atividades Micro'!$K376,"")</f>
        <v/>
      </c>
      <c r="AN324" s="21" t="str">
        <f>IF(AND('Atividades Micro'!$B376=AN$2,'Atividades Micro'!$L376&lt;&gt;""),'Atividades Micro'!$L376,"")</f>
        <v/>
      </c>
      <c r="AO324" s="21" t="str">
        <f>IF(AND('Atividades Micro'!$B376=AO$2,'Atividades Micro'!$K376&lt;&gt;""),'Atividades Micro'!$K376,"")</f>
        <v/>
      </c>
      <c r="AP324" s="21" t="str">
        <f>IF(AND('Atividades Micro'!$B376=AP$2,'Atividades Micro'!$L376&lt;&gt;""),'Atividades Micro'!$L376,"")</f>
        <v/>
      </c>
      <c r="AQ324" s="21" t="str">
        <f>IF(AND('Atividades Micro'!$A376=AQ$2,'Atividades Micro'!$K376&lt;&gt;""),'Atividades Micro'!$K376,"")</f>
        <v/>
      </c>
      <c r="AR324" s="21" t="str">
        <f>IF(AND('Atividades Micro'!$A376=AR$2,'Atividades Micro'!$L376&lt;&gt;""),'Atividades Micro'!$L376,"")</f>
        <v/>
      </c>
      <c r="AS324" s="21" t="str">
        <f>IF(AND('Atividades Micro'!$B376=AS$2,'Atividades Micro'!$K376&lt;&gt;""),'Atividades Micro'!$K376,"")</f>
        <v/>
      </c>
      <c r="AT324" s="21" t="str">
        <f>IF(AND('Atividades Micro'!$B376=AT$2,'Atividades Micro'!$L376&lt;&gt;""),'Atividades Micro'!$L376,"")</f>
        <v/>
      </c>
      <c r="AU324" s="21" t="str">
        <f>IF(AND('Atividades Micro'!$A376=AU$2,'Atividades Micro'!$K376&lt;&gt;""),'Atividades Micro'!$K376,"")</f>
        <v/>
      </c>
      <c r="AV324" s="21" t="str">
        <f>IF(AND('Atividades Micro'!$A376=AV$2,'Atividades Micro'!$L376&lt;&gt;""),'Atividades Micro'!$L376,"")</f>
        <v/>
      </c>
      <c r="AW324" s="21" t="str">
        <f>IF(AND('Atividades Micro'!$B376=AW$2,'Atividades Micro'!$K376&lt;&gt;""),'Atividades Micro'!$K376,"")</f>
        <v/>
      </c>
      <c r="AX324" s="21" t="str">
        <f>IF(AND('Atividades Micro'!$B376=AX$2,'Atividades Micro'!$L376&lt;&gt;""),'Atividades Micro'!$L376,"")</f>
        <v/>
      </c>
      <c r="AY324" s="21" t="str">
        <f>IF(AND('Atividades Micro'!$A376=AY$2,'Atividades Micro'!$K376&lt;&gt;""),'Atividades Micro'!$K376,"")</f>
        <v/>
      </c>
      <c r="AZ324" s="21" t="str">
        <f>IF(AND('Atividades Micro'!$A376=AZ$2,'Atividades Micro'!$L376&lt;&gt;""),'Atividades Micro'!$L376,"")</f>
        <v/>
      </c>
      <c r="BA324" s="21" t="str">
        <f>IF(AND('Atividades Micro'!$B376=BA$2,'Atividades Micro'!$K376&lt;&gt;""),'Atividades Micro'!$K376,"")</f>
        <v/>
      </c>
      <c r="BB324" s="21" t="str">
        <f>IF(AND('Atividades Micro'!$B376=BB$2,'Atividades Micro'!$L376&lt;&gt;""),'Atividades Micro'!$L376,"")</f>
        <v/>
      </c>
      <c r="BC324" s="21" t="str">
        <f>IF(AND('Atividades Micro'!$B376=BC$2,'Atividades Micro'!$G376="Macro",'Atividades Micro'!$K376&lt;&gt;""),'Atividades Micro'!$K376,"")</f>
        <v/>
      </c>
      <c r="BD324" s="21" t="str">
        <f>IF(AND('Atividades Micro'!$B376=BD$2,'Atividades Micro'!$G376="Macro",'Atividades Micro'!$K376&lt;&gt;""),'Atividades Micro'!$K376,"")</f>
        <v/>
      </c>
      <c r="BE324" s="21" t="str">
        <f>IF(AND('Atividades Micro'!$B376=BE$2,'Atividades Micro'!$G376="Macro",'Atividades Micro'!$K376&lt;&gt;""),'Atividades Micro'!$K376,"")</f>
        <v/>
      </c>
      <c r="BF324" s="21" t="str">
        <f>IF(AND('Atividades Micro'!$B376=BF$2,'Atividades Micro'!$G376="Macro",'Atividades Micro'!$K376&lt;&gt;""),'Atividades Micro'!$K376,"")</f>
        <v/>
      </c>
      <c r="BG324" s="21" t="str">
        <f>IF(AND('Atividades Micro'!$B376=BG$2,'Atividades Micro'!$G376="Macro",'Atividades Micro'!$K376&lt;&gt;""),'Atividades Micro'!$K376,"")</f>
        <v/>
      </c>
      <c r="BH324" s="21" t="str">
        <f>IF(AND('Atividades Micro'!$B376=BH$2,'Atividades Micro'!$G376="Macro",'Atividades Micro'!$K376&lt;&gt;""),'Atividades Micro'!$K376,"")</f>
        <v/>
      </c>
      <c r="BI324" s="21" t="str">
        <f>IF(AND('Atividades Micro'!$B376=BI$2,'Atividades Micro'!$G376="Macro",'Atividades Micro'!$K376&lt;&gt;""),'Atividades Micro'!$K376,"")</f>
        <v/>
      </c>
      <c r="BJ324" s="21" t="str">
        <f>IF(AND('Atividades Micro'!$B376=BJ$2,'Atividades Micro'!$G376="Macro",'Atividades Micro'!$K376&lt;&gt;""),'Atividades Micro'!$K376,"")</f>
        <v/>
      </c>
      <c r="BK324" s="21" t="str">
        <f>IF(AND('Atividades Micro'!$B376=BK$2,'Atividades Micro'!$G376="Macro",'Atividades Micro'!$K376&lt;&gt;""),'Atividades Micro'!$K376,"")</f>
        <v/>
      </c>
      <c r="BL324" s="21" t="str">
        <f>IF(AND('Atividades Micro'!$B376=BL$2,'Atividades Micro'!$G376="Macro",'Atividades Micro'!$K376&lt;&gt;""),'Atividades Micro'!$K376,"")</f>
        <v/>
      </c>
      <c r="BM324" s="21" t="str">
        <f>IF(AND('Atividades Micro'!$B376=BM$2,'Atividades Micro'!$G376="Macro",'Atividades Micro'!$K376&lt;&gt;""),'Atividades Micro'!$K376,"")</f>
        <v/>
      </c>
      <c r="BN324" s="21" t="str">
        <f>IF(AND('Atividades Micro'!$B376=BN$2,'Atividades Micro'!$G376="Macro",'Atividades Micro'!$K376&lt;&gt;""),'Atividades Micro'!$K376,"")</f>
        <v/>
      </c>
      <c r="BO324" s="21" t="str">
        <f>IF(AND('Atividades Micro'!$B376=BO$2,'Atividades Micro'!$G376="Macro",'Atividades Micro'!$K376&lt;&gt;""),'Atividades Micro'!$K376,"")</f>
        <v/>
      </c>
      <c r="BP324" s="21" t="str">
        <f>IF(AND('Atividades Micro'!$B376=BP$2,'Atividades Micro'!$G376="Macro",'Atividades Micro'!$K376&lt;&gt;""),'Atividades Micro'!$K376,"")</f>
        <v/>
      </c>
      <c r="BQ324" s="21" t="str">
        <f>IF(AND('Atividades Micro'!$B376=BQ$2,'Atividades Micro'!$G376="Macro",'Atividades Micro'!$K376&lt;&gt;""),'Atividades Micro'!$K376,"")</f>
        <v/>
      </c>
      <c r="BR324" s="21" t="str">
        <f>IF(AND('Atividades Micro'!$B376=BR$2,'Atividades Micro'!$G376="Macro",'Atividades Micro'!$K376&lt;&gt;""),'Atividades Micro'!$K376,"")</f>
        <v/>
      </c>
      <c r="BS324" s="21" t="str">
        <f>IF(AND('Atividades Micro'!$B376=BS$2,'Atividades Micro'!$G376="Macro",'Atividades Micro'!$K376&lt;&gt;""),'Atividades Micro'!$K376,"")</f>
        <v/>
      </c>
      <c r="BT324" s="21" t="str">
        <f>IF(AND('Atividades Micro'!$B376=BT$2,'Atividades Micro'!$G376="Macro",'Atividades Micro'!$K376&lt;&gt;""),'Atividades Micro'!$K376,"")</f>
        <v/>
      </c>
      <c r="BU324" s="21" t="str">
        <f>IF(AND('Atividades Micro'!$B376=BU$2,'Atividades Micro'!$G376="Macro",'Atividades Micro'!$K376&lt;&gt;""),'Atividades Micro'!$K376,"")</f>
        <v/>
      </c>
      <c r="BV324" s="21" t="str">
        <f>IF(AND('Atividades Micro'!$B376=BV$2,'Atividades Micro'!$G376="Macro",'Atividades Micro'!$K376&lt;&gt;""),'Atividades Micro'!$K376,"")</f>
        <v/>
      </c>
      <c r="BW324" s="21" t="str">
        <f>IF(AND('Atividades Micro'!$B376=BW$2,'Atividades Micro'!$G376="Macro",'Atividades Micro'!$K376&lt;&gt;""),'Atividades Micro'!$K376,"")</f>
        <v/>
      </c>
      <c r="BX324" s="21" t="str">
        <f>IF(AND('Atividades Micro'!$B376=BX$2,'Atividades Micro'!$G376="Macro",'Atividades Micro'!$K376&lt;&gt;""),'Atividades Micro'!$K376,"")</f>
        <v/>
      </c>
      <c r="BY324" s="21" t="str">
        <f>IF(AND('Atividades Micro'!$B376=BY$2,'Atividades Micro'!$G376="Macro",'Atividades Micro'!$K376&lt;&gt;""),'Atividades Micro'!$K376,"")</f>
        <v/>
      </c>
      <c r="BZ324" s="21" t="str">
        <f>IF(AND('Atividades Micro'!$B376=BZ$2,'Atividades Micro'!$G376="Macro",'Atividades Micro'!$K376&lt;&gt;""),'Atividades Micro'!$K376,"")</f>
        <v/>
      </c>
      <c r="CA324" s="21" t="str">
        <f>IF(AND('Atividades Micro'!$B376=CA$2,'Atividades Micro'!$G376="Macro",'Atividades Micro'!$K376&lt;&gt;""),'Atividades Micro'!$K376,"")</f>
        <v/>
      </c>
      <c r="CB324" s="21" t="str">
        <f>IF(AND('Atividades Micro'!$B376=CB$2,'Atividades Micro'!$G376="Macro",'Atividades Micro'!$K376&lt;&gt;""),'Atividades Micro'!$K376,"")</f>
        <v/>
      </c>
      <c r="CC324" s="21" t="str">
        <f>IF(AND('Atividades Micro'!$B376=CC$2,'Atividades Micro'!$G376="Macro",'Atividades Micro'!$K376&lt;&gt;""),'Atividades Micro'!$K376,"")</f>
        <v/>
      </c>
      <c r="CD324" s="21" t="str">
        <f>IF(AND('Atividades Micro'!$B376=CD$2,'Atividades Micro'!$G376="Micro",'Atividades Micro'!$K376&lt;&gt;""),'Atividades Micro'!$K376,"")</f>
        <v/>
      </c>
      <c r="CE324" s="21" t="str">
        <f>IF(AND('Atividades Micro'!$B376=CE$2,'Atividades Micro'!$G376="Micro",'Atividades Micro'!$K376&lt;&gt;""),'Atividades Micro'!$K376,"")</f>
        <v/>
      </c>
      <c r="CF324" s="21" t="str">
        <f>IF(AND('Atividades Micro'!$B376=CF$2,'Atividades Micro'!$G376="Micro",'Atividades Micro'!$K376&lt;&gt;""),'Atividades Micro'!$K376,"")</f>
        <v/>
      </c>
      <c r="CG324" s="21" t="str">
        <f>IF(AND('Atividades Micro'!$B376=CG$2,'Atividades Micro'!$G376="Micro",'Atividades Micro'!$K376&lt;&gt;""),'Atividades Micro'!$K376,"")</f>
        <v/>
      </c>
      <c r="CH324" s="21" t="str">
        <f>IF(AND('Atividades Micro'!$B376=CH$2,'Atividades Micro'!$G376="Micro",'Atividades Micro'!$K376&lt;&gt;""),'Atividades Micro'!$K376,"")</f>
        <v/>
      </c>
      <c r="CI324" s="21" t="str">
        <f>IF(AND('Atividades Micro'!$B376=CI$2,'Atividades Micro'!$G376="Micro",'Atividades Micro'!$K376&lt;&gt;""),'Atividades Micro'!$K376,"")</f>
        <v/>
      </c>
      <c r="CJ324" s="21" t="str">
        <f>IF(AND('Atividades Micro'!$B376=CJ$2,'Atividades Micro'!$G376="Micro",'Atividades Micro'!$K376&lt;&gt;""),'Atividades Micro'!$K376,"")</f>
        <v/>
      </c>
      <c r="CK324" s="21" t="str">
        <f>IF(AND('Atividades Micro'!$B376=CK$2,'Atividades Micro'!$G376="Micro",'Atividades Micro'!$K376&lt;&gt;""),'Atividades Micro'!$K376,"")</f>
        <v/>
      </c>
      <c r="CL324" s="21" t="str">
        <f>IF(AND('Atividades Micro'!$B376=CL$2,'Atividades Micro'!$G376="Micro",'Atividades Micro'!$K376&lt;&gt;""),'Atividades Micro'!$K376,"")</f>
        <v/>
      </c>
      <c r="CM324" s="21" t="str">
        <f>IF(AND('Atividades Micro'!$B376=CM$2,'Atividades Micro'!$G376="Micro",'Atividades Micro'!$K376&lt;&gt;""),'Atividades Micro'!$K376,"")</f>
        <v/>
      </c>
      <c r="CN324" s="21" t="str">
        <f>IF(AND('Atividades Micro'!$B376=CN$2,'Atividades Micro'!$G376="Micro",'Atividades Micro'!$K376&lt;&gt;""),'Atividades Micro'!$K376,"")</f>
        <v/>
      </c>
      <c r="CO324" s="21" t="str">
        <f>IF(AND('Atividades Micro'!$B376=CO$2,'Atividades Micro'!$G376="Micro",'Atividades Micro'!$K376&lt;&gt;""),'Atividades Micro'!$K376,"")</f>
        <v/>
      </c>
    </row>
    <row r="325" spans="1:93">
      <c r="A325" s="21" t="str">
        <f>IF(AND('Atividades Micro'!$A377=A$2,'Atividades Micro'!$K377&lt;&gt;""),'Atividades Micro'!$K377,"")</f>
        <v/>
      </c>
      <c r="B325" s="21" t="str">
        <f>IF(AND('Atividades Micro'!$A377=B$2,'Atividades Micro'!$L377&lt;&gt;""),'Atividades Micro'!$L377,"")</f>
        <v/>
      </c>
      <c r="C325" s="21" t="str">
        <f>IF(AND('Atividades Micro'!$A377=C$2,'Atividades Micro'!$K377&lt;&gt;""),'Atividades Micro'!$K377,"")</f>
        <v/>
      </c>
      <c r="D325" s="21" t="str">
        <f>IF(AND('Atividades Micro'!$A377=D$2,'Atividades Micro'!$L377&lt;&gt;""),'Atividades Micro'!$L377,"")</f>
        <v/>
      </c>
      <c r="E325" s="21" t="str">
        <f>IF(AND('Atividades Micro'!$A377=E$2,'Atividades Micro'!$K377&lt;&gt;""),'Atividades Micro'!$K377,"")</f>
        <v/>
      </c>
      <c r="F325" s="21" t="str">
        <f>IF(AND('Atividades Micro'!$A377=F$2,'Atividades Micro'!$L377&lt;&gt;""),'Atividades Micro'!$L377,"")</f>
        <v/>
      </c>
      <c r="G325" s="21" t="str">
        <f>IF(AND('Atividades Micro'!$A377=G$2,'Atividades Micro'!$K377&lt;&gt;""),'Atividades Micro'!$K377,"")</f>
        <v/>
      </c>
      <c r="H325" s="21" t="str">
        <f>IF(AND('Atividades Micro'!$A377=H$2,'Atividades Micro'!$L377&lt;&gt;""),'Atividades Micro'!$L377,"")</f>
        <v/>
      </c>
      <c r="I325" s="21" t="str">
        <f>IF(AND('Atividades Micro'!$A377=I$2,'Atividades Micro'!$K377&lt;&gt;""),'Atividades Micro'!$K377,"")</f>
        <v/>
      </c>
      <c r="J325" s="21" t="str">
        <f>IF(AND('Atividades Micro'!$A377=J$2,'Atividades Micro'!$L377&lt;&gt;""),'Atividades Micro'!$L377,"")</f>
        <v/>
      </c>
      <c r="K325" s="21" t="str">
        <f>IF(AND('Atividades Micro'!$B377=K$2,'Atividades Micro'!$K377&lt;&gt;""),'Atividades Micro'!$K377,"")</f>
        <v/>
      </c>
      <c r="L325" s="21" t="str">
        <f>IF(AND('Atividades Micro'!$B377=L$2,'Atividades Micro'!$L377&lt;&gt;""),'Atividades Micro'!$L377,"")</f>
        <v/>
      </c>
      <c r="M325" s="21" t="str">
        <f>IF(AND('Atividades Micro'!$B377=M$2,'Atividades Micro'!$K377&lt;&gt;""),'Atividades Micro'!$K377,"")</f>
        <v/>
      </c>
      <c r="N325" s="21" t="str">
        <f>IF(AND('Atividades Micro'!$B377=N$2,'Atividades Micro'!$L377&lt;&gt;""),'Atividades Micro'!$L377,"")</f>
        <v/>
      </c>
      <c r="O325" s="21" t="str">
        <f>IF(AND('Atividades Micro'!$A377=O$2,'Atividades Micro'!$K377&lt;&gt;""),'Atividades Micro'!$K377,"")</f>
        <v/>
      </c>
      <c r="P325" s="21" t="str">
        <f>IF(AND('Atividades Micro'!$A377=P$2,'Atividades Micro'!$L377&lt;&gt;""),'Atividades Micro'!$L377,"")</f>
        <v/>
      </c>
      <c r="Q325" s="21" t="str">
        <f>IF(AND('Atividades Micro'!$B377=Q$2,'Atividades Micro'!$K377&lt;&gt;""),'Atividades Micro'!$K377,"")</f>
        <v/>
      </c>
      <c r="R325" s="21" t="str">
        <f>IF(AND('Atividades Micro'!$B377=R$2,'Atividades Micro'!$L377&lt;&gt;""),'Atividades Micro'!$L377,"")</f>
        <v/>
      </c>
      <c r="S325" s="21" t="str">
        <f>IF(AND('Atividades Micro'!$A377=S$2,'Atividades Micro'!$K377&lt;&gt;""),'Atividades Micro'!$K377,"")</f>
        <v/>
      </c>
      <c r="T325" s="21" t="str">
        <f>IF(AND('Atividades Micro'!$A377=T$2,'Atividades Micro'!$L377&lt;&gt;""),'Atividades Micro'!$L377,"")</f>
        <v/>
      </c>
      <c r="U325" s="21" t="str">
        <f>IF(AND('Atividades Micro'!$B377=U$2,'Atividades Micro'!$K377&lt;&gt;""),'Atividades Micro'!$K377,"")</f>
        <v/>
      </c>
      <c r="V325" s="21" t="str">
        <f>IF(AND('Atividades Micro'!$B377=V$2,'Atividades Micro'!$L377&lt;&gt;""),'Atividades Micro'!$L377,"")</f>
        <v/>
      </c>
      <c r="W325" s="21" t="str">
        <f>IF(AND('Atividades Micro'!$B377=W$2,'Atividades Micro'!$K377&lt;&gt;""),'Atividades Micro'!$K377,"")</f>
        <v/>
      </c>
      <c r="X325" s="21" t="str">
        <f>IF(AND('Atividades Micro'!$B377=X$2,'Atividades Micro'!$L377&lt;&gt;""),'Atividades Micro'!$L377,"")</f>
        <v/>
      </c>
      <c r="Y325" s="21" t="str">
        <f>IF(AND('Atividades Micro'!$A377=Y$2,'Atividades Micro'!$K377&lt;&gt;""),'Atividades Micro'!$K377,"")</f>
        <v/>
      </c>
      <c r="Z325" s="21" t="str">
        <f>IF(AND('Atividades Micro'!$A377=Z$2,'Atividades Micro'!$L377&lt;&gt;""),'Atividades Micro'!$L377,"")</f>
        <v/>
      </c>
      <c r="AA325" s="21" t="str">
        <f>IF(AND('Atividades Micro'!$B377=AA$2,'Atividades Micro'!$K377&lt;&gt;""),'Atividades Micro'!$K377,"")</f>
        <v/>
      </c>
      <c r="AB325" s="21" t="str">
        <f>IF(AND('Atividades Micro'!$B377=AB$2,'Atividades Micro'!$L377&lt;&gt;""),'Atividades Micro'!$L377,"")</f>
        <v/>
      </c>
      <c r="AC325" s="21" t="str">
        <f>IF(AND('Atividades Micro'!$B377=AC$2,'Atividades Micro'!$K377&lt;&gt;""),'Atividades Micro'!$K377,"")</f>
        <v/>
      </c>
      <c r="AD325" s="21" t="str">
        <f>IF(AND('Atividades Micro'!$B377=AD$2,'Atividades Micro'!$L377&lt;&gt;""),'Atividades Micro'!$L377,"")</f>
        <v/>
      </c>
      <c r="AE325" s="21" t="str">
        <f>IF(AND('Atividades Micro'!$A377=AE$2,'Atividades Micro'!$K377&lt;&gt;""),'Atividades Micro'!$K377,"")</f>
        <v/>
      </c>
      <c r="AF325" s="21" t="str">
        <f>IF(AND('Atividades Micro'!$A377=AF$2,'Atividades Micro'!$L377&lt;&gt;""),'Atividades Micro'!$L377,"")</f>
        <v/>
      </c>
      <c r="AG325" s="21" t="str">
        <f>IF(AND('Atividades Micro'!$B377=AG$2,'Atividades Micro'!$K377&lt;&gt;""),'Atividades Micro'!$K377,"")</f>
        <v/>
      </c>
      <c r="AH325" s="21" t="str">
        <f>IF(AND('Atividades Micro'!$B377=AH$2,'Atividades Micro'!$L377&lt;&gt;""),'Atividades Micro'!$L377,"")</f>
        <v/>
      </c>
      <c r="AI325" s="21" t="str">
        <f>IF(AND('Atividades Micro'!$B377=AI$2,'Atividades Micro'!$K377&lt;&gt;""),'Atividades Micro'!$K377,"")</f>
        <v/>
      </c>
      <c r="AJ325" s="21" t="str">
        <f>IF(AND('Atividades Micro'!$B377=AJ$2,'Atividades Micro'!$L377&lt;&gt;""),'Atividades Micro'!$L377,"")</f>
        <v/>
      </c>
      <c r="AK325" s="21" t="str">
        <f>IF(AND('Atividades Micro'!$A377=AK$2,'Atividades Micro'!$K377&lt;&gt;""),'Atividades Micro'!$K377,"")</f>
        <v/>
      </c>
      <c r="AL325" s="21" t="str">
        <f>IF(AND('Atividades Micro'!$A377=AL$2,'Atividades Micro'!$L377&lt;&gt;""),'Atividades Micro'!$L377,"")</f>
        <v/>
      </c>
      <c r="AM325" s="21" t="str">
        <f>IF(AND('Atividades Micro'!$B377=AM$2,'Atividades Micro'!$K377&lt;&gt;""),'Atividades Micro'!$K377,"")</f>
        <v/>
      </c>
      <c r="AN325" s="21" t="str">
        <f>IF(AND('Atividades Micro'!$B377=AN$2,'Atividades Micro'!$L377&lt;&gt;""),'Atividades Micro'!$L377,"")</f>
        <v/>
      </c>
      <c r="AO325" s="21" t="str">
        <f>IF(AND('Atividades Micro'!$B377=AO$2,'Atividades Micro'!$K377&lt;&gt;""),'Atividades Micro'!$K377,"")</f>
        <v/>
      </c>
      <c r="AP325" s="21" t="str">
        <f>IF(AND('Atividades Micro'!$B377=AP$2,'Atividades Micro'!$L377&lt;&gt;""),'Atividades Micro'!$L377,"")</f>
        <v/>
      </c>
      <c r="AQ325" s="21" t="str">
        <f>IF(AND('Atividades Micro'!$A377=AQ$2,'Atividades Micro'!$K377&lt;&gt;""),'Atividades Micro'!$K377,"")</f>
        <v/>
      </c>
      <c r="AR325" s="21" t="str">
        <f>IF(AND('Atividades Micro'!$A377=AR$2,'Atividades Micro'!$L377&lt;&gt;""),'Atividades Micro'!$L377,"")</f>
        <v/>
      </c>
      <c r="AS325" s="21" t="str">
        <f>IF(AND('Atividades Micro'!$B377=AS$2,'Atividades Micro'!$K377&lt;&gt;""),'Atividades Micro'!$K377,"")</f>
        <v/>
      </c>
      <c r="AT325" s="21" t="str">
        <f>IF(AND('Atividades Micro'!$B377=AT$2,'Atividades Micro'!$L377&lt;&gt;""),'Atividades Micro'!$L377,"")</f>
        <v/>
      </c>
      <c r="AU325" s="21" t="str">
        <f>IF(AND('Atividades Micro'!$A377=AU$2,'Atividades Micro'!$K377&lt;&gt;""),'Atividades Micro'!$K377,"")</f>
        <v/>
      </c>
      <c r="AV325" s="21" t="str">
        <f>IF(AND('Atividades Micro'!$A377=AV$2,'Atividades Micro'!$L377&lt;&gt;""),'Atividades Micro'!$L377,"")</f>
        <v/>
      </c>
      <c r="AW325" s="21" t="str">
        <f>IF(AND('Atividades Micro'!$B377=AW$2,'Atividades Micro'!$K377&lt;&gt;""),'Atividades Micro'!$K377,"")</f>
        <v/>
      </c>
      <c r="AX325" s="21" t="str">
        <f>IF(AND('Atividades Micro'!$B377=AX$2,'Atividades Micro'!$L377&lt;&gt;""),'Atividades Micro'!$L377,"")</f>
        <v/>
      </c>
      <c r="AY325" s="21" t="str">
        <f>IF(AND('Atividades Micro'!$A377=AY$2,'Atividades Micro'!$K377&lt;&gt;""),'Atividades Micro'!$K377,"")</f>
        <v/>
      </c>
      <c r="AZ325" s="21" t="str">
        <f>IF(AND('Atividades Micro'!$A377=AZ$2,'Atividades Micro'!$L377&lt;&gt;""),'Atividades Micro'!$L377,"")</f>
        <v/>
      </c>
      <c r="BA325" s="21" t="str">
        <f>IF(AND('Atividades Micro'!$B377=BA$2,'Atividades Micro'!$K377&lt;&gt;""),'Atividades Micro'!$K377,"")</f>
        <v/>
      </c>
      <c r="BB325" s="21" t="str">
        <f>IF(AND('Atividades Micro'!$B377=BB$2,'Atividades Micro'!$L377&lt;&gt;""),'Atividades Micro'!$L377,"")</f>
        <v/>
      </c>
      <c r="BC325" s="21" t="str">
        <f>IF(AND('Atividades Micro'!$B377=BC$2,'Atividades Micro'!$G377="Macro",'Atividades Micro'!$K377&lt;&gt;""),'Atividades Micro'!$K377,"")</f>
        <v/>
      </c>
      <c r="BD325" s="21" t="str">
        <f>IF(AND('Atividades Micro'!$B377=BD$2,'Atividades Micro'!$G377="Macro",'Atividades Micro'!$K377&lt;&gt;""),'Atividades Micro'!$K377,"")</f>
        <v/>
      </c>
      <c r="BE325" s="21" t="str">
        <f>IF(AND('Atividades Micro'!$B377=BE$2,'Atividades Micro'!$G377="Macro",'Atividades Micro'!$K377&lt;&gt;""),'Atividades Micro'!$K377,"")</f>
        <v/>
      </c>
      <c r="BF325" s="21" t="str">
        <f>IF(AND('Atividades Micro'!$B377=BF$2,'Atividades Micro'!$G377="Macro",'Atividades Micro'!$K377&lt;&gt;""),'Atividades Micro'!$K377,"")</f>
        <v/>
      </c>
      <c r="BG325" s="21" t="str">
        <f>IF(AND('Atividades Micro'!$B377=BG$2,'Atividades Micro'!$G377="Macro",'Atividades Micro'!$K377&lt;&gt;""),'Atividades Micro'!$K377,"")</f>
        <v/>
      </c>
      <c r="BH325" s="21" t="str">
        <f>IF(AND('Atividades Micro'!$B377=BH$2,'Atividades Micro'!$G377="Macro",'Atividades Micro'!$K377&lt;&gt;""),'Atividades Micro'!$K377,"")</f>
        <v/>
      </c>
      <c r="BI325" s="21" t="str">
        <f>IF(AND('Atividades Micro'!$B377=BI$2,'Atividades Micro'!$G377="Macro",'Atividades Micro'!$K377&lt;&gt;""),'Atividades Micro'!$K377,"")</f>
        <v/>
      </c>
      <c r="BJ325" s="21" t="str">
        <f>IF(AND('Atividades Micro'!$B377=BJ$2,'Atividades Micro'!$G377="Macro",'Atividades Micro'!$K377&lt;&gt;""),'Atividades Micro'!$K377,"")</f>
        <v/>
      </c>
      <c r="BK325" s="21" t="str">
        <f>IF(AND('Atividades Micro'!$B377=BK$2,'Atividades Micro'!$G377="Macro",'Atividades Micro'!$K377&lt;&gt;""),'Atividades Micro'!$K377,"")</f>
        <v/>
      </c>
      <c r="BL325" s="21" t="str">
        <f>IF(AND('Atividades Micro'!$B377=BL$2,'Atividades Micro'!$G377="Macro",'Atividades Micro'!$K377&lt;&gt;""),'Atividades Micro'!$K377,"")</f>
        <v/>
      </c>
      <c r="BM325" s="21" t="str">
        <f>IF(AND('Atividades Micro'!$B377=BM$2,'Atividades Micro'!$G377="Macro",'Atividades Micro'!$K377&lt;&gt;""),'Atividades Micro'!$K377,"")</f>
        <v/>
      </c>
      <c r="BN325" s="21" t="str">
        <f>IF(AND('Atividades Micro'!$B377=BN$2,'Atividades Micro'!$G377="Macro",'Atividades Micro'!$K377&lt;&gt;""),'Atividades Micro'!$K377,"")</f>
        <v/>
      </c>
      <c r="BO325" s="21" t="str">
        <f>IF(AND('Atividades Micro'!$B377=BO$2,'Atividades Micro'!$G377="Macro",'Atividades Micro'!$K377&lt;&gt;""),'Atividades Micro'!$K377,"")</f>
        <v/>
      </c>
      <c r="BP325" s="21" t="str">
        <f>IF(AND('Atividades Micro'!$B377=BP$2,'Atividades Micro'!$G377="Macro",'Atividades Micro'!$K377&lt;&gt;""),'Atividades Micro'!$K377,"")</f>
        <v/>
      </c>
      <c r="BQ325" s="21" t="str">
        <f>IF(AND('Atividades Micro'!$B377=BQ$2,'Atividades Micro'!$G377="Macro",'Atividades Micro'!$K377&lt;&gt;""),'Atividades Micro'!$K377,"")</f>
        <v/>
      </c>
      <c r="BR325" s="21" t="str">
        <f>IF(AND('Atividades Micro'!$B377=BR$2,'Atividades Micro'!$G377="Macro",'Atividades Micro'!$K377&lt;&gt;""),'Atividades Micro'!$K377,"")</f>
        <v/>
      </c>
      <c r="BS325" s="21" t="str">
        <f>IF(AND('Atividades Micro'!$B377=BS$2,'Atividades Micro'!$G377="Macro",'Atividades Micro'!$K377&lt;&gt;""),'Atividades Micro'!$K377,"")</f>
        <v/>
      </c>
      <c r="BT325" s="21" t="str">
        <f>IF(AND('Atividades Micro'!$B377=BT$2,'Atividades Micro'!$G377="Macro",'Atividades Micro'!$K377&lt;&gt;""),'Atividades Micro'!$K377,"")</f>
        <v/>
      </c>
      <c r="BU325" s="21" t="str">
        <f>IF(AND('Atividades Micro'!$B377=BU$2,'Atividades Micro'!$G377="Macro",'Atividades Micro'!$K377&lt;&gt;""),'Atividades Micro'!$K377,"")</f>
        <v/>
      </c>
      <c r="BV325" s="21" t="str">
        <f>IF(AND('Atividades Micro'!$B377=BV$2,'Atividades Micro'!$G377="Macro",'Atividades Micro'!$K377&lt;&gt;""),'Atividades Micro'!$K377,"")</f>
        <v/>
      </c>
      <c r="BW325" s="21" t="str">
        <f>IF(AND('Atividades Micro'!$B377=BW$2,'Atividades Micro'!$G377="Macro",'Atividades Micro'!$K377&lt;&gt;""),'Atividades Micro'!$K377,"")</f>
        <v/>
      </c>
      <c r="BX325" s="21" t="str">
        <f>IF(AND('Atividades Micro'!$B377=BX$2,'Atividades Micro'!$G377="Macro",'Atividades Micro'!$K377&lt;&gt;""),'Atividades Micro'!$K377,"")</f>
        <v/>
      </c>
      <c r="BY325" s="21" t="str">
        <f>IF(AND('Atividades Micro'!$B377=BY$2,'Atividades Micro'!$G377="Macro",'Atividades Micro'!$K377&lt;&gt;""),'Atividades Micro'!$K377,"")</f>
        <v/>
      </c>
      <c r="BZ325" s="21" t="str">
        <f>IF(AND('Atividades Micro'!$B377=BZ$2,'Atividades Micro'!$G377="Macro",'Atividades Micro'!$K377&lt;&gt;""),'Atividades Micro'!$K377,"")</f>
        <v/>
      </c>
      <c r="CA325" s="21" t="str">
        <f>IF(AND('Atividades Micro'!$B377=CA$2,'Atividades Micro'!$G377="Macro",'Atividades Micro'!$K377&lt;&gt;""),'Atividades Micro'!$K377,"")</f>
        <v/>
      </c>
      <c r="CB325" s="21" t="str">
        <f>IF(AND('Atividades Micro'!$B377=CB$2,'Atividades Micro'!$G377="Macro",'Atividades Micro'!$K377&lt;&gt;""),'Atividades Micro'!$K377,"")</f>
        <v/>
      </c>
      <c r="CC325" s="21" t="str">
        <f>IF(AND('Atividades Micro'!$B377=CC$2,'Atividades Micro'!$G377="Macro",'Atividades Micro'!$K377&lt;&gt;""),'Atividades Micro'!$K377,"")</f>
        <v/>
      </c>
      <c r="CD325" s="21" t="str">
        <f>IF(AND('Atividades Micro'!$B377=CD$2,'Atividades Micro'!$G377="Micro",'Atividades Micro'!$K377&lt;&gt;""),'Atividades Micro'!$K377,"")</f>
        <v/>
      </c>
      <c r="CE325" s="21" t="str">
        <f>IF(AND('Atividades Micro'!$B377=CE$2,'Atividades Micro'!$G377="Micro",'Atividades Micro'!$K377&lt;&gt;""),'Atividades Micro'!$K377,"")</f>
        <v/>
      </c>
      <c r="CF325" s="21" t="str">
        <f>IF(AND('Atividades Micro'!$B377=CF$2,'Atividades Micro'!$G377="Micro",'Atividades Micro'!$K377&lt;&gt;""),'Atividades Micro'!$K377,"")</f>
        <v/>
      </c>
      <c r="CG325" s="21" t="str">
        <f>IF(AND('Atividades Micro'!$B377=CG$2,'Atividades Micro'!$G377="Micro",'Atividades Micro'!$K377&lt;&gt;""),'Atividades Micro'!$K377,"")</f>
        <v/>
      </c>
      <c r="CH325" s="21" t="str">
        <f>IF(AND('Atividades Micro'!$B377=CH$2,'Atividades Micro'!$G377="Micro",'Atividades Micro'!$K377&lt;&gt;""),'Atividades Micro'!$K377,"")</f>
        <v/>
      </c>
      <c r="CI325" s="21" t="str">
        <f>IF(AND('Atividades Micro'!$B377=CI$2,'Atividades Micro'!$G377="Micro",'Atividades Micro'!$K377&lt;&gt;""),'Atividades Micro'!$K377,"")</f>
        <v/>
      </c>
      <c r="CJ325" s="21" t="str">
        <f>IF(AND('Atividades Micro'!$B377=CJ$2,'Atividades Micro'!$G377="Micro",'Atividades Micro'!$K377&lt;&gt;""),'Atividades Micro'!$K377,"")</f>
        <v/>
      </c>
      <c r="CK325" s="21" t="str">
        <f>IF(AND('Atividades Micro'!$B377=CK$2,'Atividades Micro'!$G377="Micro",'Atividades Micro'!$K377&lt;&gt;""),'Atividades Micro'!$K377,"")</f>
        <v/>
      </c>
      <c r="CL325" s="21" t="str">
        <f>IF(AND('Atividades Micro'!$B377=CL$2,'Atividades Micro'!$G377="Micro",'Atividades Micro'!$K377&lt;&gt;""),'Atividades Micro'!$K377,"")</f>
        <v/>
      </c>
      <c r="CM325" s="21" t="str">
        <f>IF(AND('Atividades Micro'!$B377=CM$2,'Atividades Micro'!$G377="Micro",'Atividades Micro'!$K377&lt;&gt;""),'Atividades Micro'!$K377,"")</f>
        <v/>
      </c>
      <c r="CN325" s="21" t="str">
        <f>IF(AND('Atividades Micro'!$B377=CN$2,'Atividades Micro'!$G377="Micro",'Atividades Micro'!$K377&lt;&gt;""),'Atividades Micro'!$K377,"")</f>
        <v/>
      </c>
      <c r="CO325" s="21" t="str">
        <f>IF(AND('Atividades Micro'!$B377=CO$2,'Atividades Micro'!$G377="Micro",'Atividades Micro'!$K377&lt;&gt;""),'Atividades Micro'!$K377,"")</f>
        <v/>
      </c>
    </row>
    <row r="326" spans="1:93">
      <c r="A326" s="21" t="str">
        <f>IF(AND('Atividades Micro'!$A378=A$2,'Atividades Micro'!$K378&lt;&gt;""),'Atividades Micro'!$K378,"")</f>
        <v/>
      </c>
      <c r="B326" s="21" t="str">
        <f>IF(AND('Atividades Micro'!$A378=B$2,'Atividades Micro'!$L378&lt;&gt;""),'Atividades Micro'!$L378,"")</f>
        <v/>
      </c>
      <c r="C326" s="21" t="str">
        <f>IF(AND('Atividades Micro'!$A378=C$2,'Atividades Micro'!$K378&lt;&gt;""),'Atividades Micro'!$K378,"")</f>
        <v/>
      </c>
      <c r="D326" s="21" t="str">
        <f>IF(AND('Atividades Micro'!$A378=D$2,'Atividades Micro'!$L378&lt;&gt;""),'Atividades Micro'!$L378,"")</f>
        <v/>
      </c>
      <c r="E326" s="21" t="str">
        <f>IF(AND('Atividades Micro'!$A378=E$2,'Atividades Micro'!$K378&lt;&gt;""),'Atividades Micro'!$K378,"")</f>
        <v/>
      </c>
      <c r="F326" s="21" t="str">
        <f>IF(AND('Atividades Micro'!$A378=F$2,'Atividades Micro'!$L378&lt;&gt;""),'Atividades Micro'!$L378,"")</f>
        <v/>
      </c>
      <c r="G326" s="21" t="str">
        <f>IF(AND('Atividades Micro'!$A378=G$2,'Atividades Micro'!$K378&lt;&gt;""),'Atividades Micro'!$K378,"")</f>
        <v/>
      </c>
      <c r="H326" s="21" t="str">
        <f>IF(AND('Atividades Micro'!$A378=H$2,'Atividades Micro'!$L378&lt;&gt;""),'Atividades Micro'!$L378,"")</f>
        <v/>
      </c>
      <c r="I326" s="21" t="str">
        <f>IF(AND('Atividades Micro'!$A378=I$2,'Atividades Micro'!$K378&lt;&gt;""),'Atividades Micro'!$K378,"")</f>
        <v/>
      </c>
      <c r="J326" s="21" t="str">
        <f>IF(AND('Atividades Micro'!$A378=J$2,'Atividades Micro'!$L378&lt;&gt;""),'Atividades Micro'!$L378,"")</f>
        <v/>
      </c>
      <c r="K326" s="21" t="str">
        <f>IF(AND('Atividades Micro'!$B378=K$2,'Atividades Micro'!$K378&lt;&gt;""),'Atividades Micro'!$K378,"")</f>
        <v/>
      </c>
      <c r="L326" s="21" t="str">
        <f>IF(AND('Atividades Micro'!$B378=L$2,'Atividades Micro'!$L378&lt;&gt;""),'Atividades Micro'!$L378,"")</f>
        <v/>
      </c>
      <c r="M326" s="21" t="str">
        <f>IF(AND('Atividades Micro'!$B378=M$2,'Atividades Micro'!$K378&lt;&gt;""),'Atividades Micro'!$K378,"")</f>
        <v/>
      </c>
      <c r="N326" s="21" t="str">
        <f>IF(AND('Atividades Micro'!$B378=N$2,'Atividades Micro'!$L378&lt;&gt;""),'Atividades Micro'!$L378,"")</f>
        <v/>
      </c>
      <c r="O326" s="21" t="str">
        <f>IF(AND('Atividades Micro'!$A378=O$2,'Atividades Micro'!$K378&lt;&gt;""),'Atividades Micro'!$K378,"")</f>
        <v/>
      </c>
      <c r="P326" s="21" t="str">
        <f>IF(AND('Atividades Micro'!$A378=P$2,'Atividades Micro'!$L378&lt;&gt;""),'Atividades Micro'!$L378,"")</f>
        <v/>
      </c>
      <c r="Q326" s="21" t="str">
        <f>IF(AND('Atividades Micro'!$B378=Q$2,'Atividades Micro'!$K378&lt;&gt;""),'Atividades Micro'!$K378,"")</f>
        <v/>
      </c>
      <c r="R326" s="21" t="str">
        <f>IF(AND('Atividades Micro'!$B378=R$2,'Atividades Micro'!$L378&lt;&gt;""),'Atividades Micro'!$L378,"")</f>
        <v/>
      </c>
      <c r="S326" s="21" t="str">
        <f>IF(AND('Atividades Micro'!$A378=S$2,'Atividades Micro'!$K378&lt;&gt;""),'Atividades Micro'!$K378,"")</f>
        <v/>
      </c>
      <c r="T326" s="21" t="str">
        <f>IF(AND('Atividades Micro'!$A378=T$2,'Atividades Micro'!$L378&lt;&gt;""),'Atividades Micro'!$L378,"")</f>
        <v/>
      </c>
      <c r="U326" s="21" t="str">
        <f>IF(AND('Atividades Micro'!$B378=U$2,'Atividades Micro'!$K378&lt;&gt;""),'Atividades Micro'!$K378,"")</f>
        <v/>
      </c>
      <c r="V326" s="21" t="str">
        <f>IF(AND('Atividades Micro'!$B378=V$2,'Atividades Micro'!$L378&lt;&gt;""),'Atividades Micro'!$L378,"")</f>
        <v/>
      </c>
      <c r="W326" s="21" t="str">
        <f>IF(AND('Atividades Micro'!$B378=W$2,'Atividades Micro'!$K378&lt;&gt;""),'Atividades Micro'!$K378,"")</f>
        <v/>
      </c>
      <c r="X326" s="21" t="str">
        <f>IF(AND('Atividades Micro'!$B378=X$2,'Atividades Micro'!$L378&lt;&gt;""),'Atividades Micro'!$L378,"")</f>
        <v/>
      </c>
      <c r="Y326" s="21" t="str">
        <f>IF(AND('Atividades Micro'!$A378=Y$2,'Atividades Micro'!$K378&lt;&gt;""),'Atividades Micro'!$K378,"")</f>
        <v/>
      </c>
      <c r="Z326" s="21" t="str">
        <f>IF(AND('Atividades Micro'!$A378=Z$2,'Atividades Micro'!$L378&lt;&gt;""),'Atividades Micro'!$L378,"")</f>
        <v/>
      </c>
      <c r="AA326" s="21" t="str">
        <f>IF(AND('Atividades Micro'!$B378=AA$2,'Atividades Micro'!$K378&lt;&gt;""),'Atividades Micro'!$K378,"")</f>
        <v/>
      </c>
      <c r="AB326" s="21" t="str">
        <f>IF(AND('Atividades Micro'!$B378=AB$2,'Atividades Micro'!$L378&lt;&gt;""),'Atividades Micro'!$L378,"")</f>
        <v/>
      </c>
      <c r="AC326" s="21" t="str">
        <f>IF(AND('Atividades Micro'!$B378=AC$2,'Atividades Micro'!$K378&lt;&gt;""),'Atividades Micro'!$K378,"")</f>
        <v/>
      </c>
      <c r="AD326" s="21" t="str">
        <f>IF(AND('Atividades Micro'!$B378=AD$2,'Atividades Micro'!$L378&lt;&gt;""),'Atividades Micro'!$L378,"")</f>
        <v/>
      </c>
      <c r="AE326" s="21" t="str">
        <f>IF(AND('Atividades Micro'!$A378=AE$2,'Atividades Micro'!$K378&lt;&gt;""),'Atividades Micro'!$K378,"")</f>
        <v/>
      </c>
      <c r="AF326" s="21" t="str">
        <f>IF(AND('Atividades Micro'!$A378=AF$2,'Atividades Micro'!$L378&lt;&gt;""),'Atividades Micro'!$L378,"")</f>
        <v/>
      </c>
      <c r="AG326" s="21" t="str">
        <f>IF(AND('Atividades Micro'!$B378=AG$2,'Atividades Micro'!$K378&lt;&gt;""),'Atividades Micro'!$K378,"")</f>
        <v/>
      </c>
      <c r="AH326" s="21" t="str">
        <f>IF(AND('Atividades Micro'!$B378=AH$2,'Atividades Micro'!$L378&lt;&gt;""),'Atividades Micro'!$L378,"")</f>
        <v/>
      </c>
      <c r="AI326" s="21" t="str">
        <f>IF(AND('Atividades Micro'!$B378=AI$2,'Atividades Micro'!$K378&lt;&gt;""),'Atividades Micro'!$K378,"")</f>
        <v/>
      </c>
      <c r="AJ326" s="21" t="str">
        <f>IF(AND('Atividades Micro'!$B378=AJ$2,'Atividades Micro'!$L378&lt;&gt;""),'Atividades Micro'!$L378,"")</f>
        <v/>
      </c>
      <c r="AK326" s="21" t="str">
        <f>IF(AND('Atividades Micro'!$A378=AK$2,'Atividades Micro'!$K378&lt;&gt;""),'Atividades Micro'!$K378,"")</f>
        <v/>
      </c>
      <c r="AL326" s="21" t="str">
        <f>IF(AND('Atividades Micro'!$A378=AL$2,'Atividades Micro'!$L378&lt;&gt;""),'Atividades Micro'!$L378,"")</f>
        <v/>
      </c>
      <c r="AM326" s="21" t="str">
        <f>IF(AND('Atividades Micro'!$B378=AM$2,'Atividades Micro'!$K378&lt;&gt;""),'Atividades Micro'!$K378,"")</f>
        <v/>
      </c>
      <c r="AN326" s="21" t="str">
        <f>IF(AND('Atividades Micro'!$B378=AN$2,'Atividades Micro'!$L378&lt;&gt;""),'Atividades Micro'!$L378,"")</f>
        <v/>
      </c>
      <c r="AO326" s="21" t="str">
        <f>IF(AND('Atividades Micro'!$B378=AO$2,'Atividades Micro'!$K378&lt;&gt;""),'Atividades Micro'!$K378,"")</f>
        <v/>
      </c>
      <c r="AP326" s="21" t="str">
        <f>IF(AND('Atividades Micro'!$B378=AP$2,'Atividades Micro'!$L378&lt;&gt;""),'Atividades Micro'!$L378,"")</f>
        <v/>
      </c>
      <c r="AQ326" s="21" t="str">
        <f>IF(AND('Atividades Micro'!$A378=AQ$2,'Atividades Micro'!$K378&lt;&gt;""),'Atividades Micro'!$K378,"")</f>
        <v/>
      </c>
      <c r="AR326" s="21" t="str">
        <f>IF(AND('Atividades Micro'!$A378=AR$2,'Atividades Micro'!$L378&lt;&gt;""),'Atividades Micro'!$L378,"")</f>
        <v/>
      </c>
      <c r="AS326" s="21" t="str">
        <f>IF(AND('Atividades Micro'!$B378=AS$2,'Atividades Micro'!$K378&lt;&gt;""),'Atividades Micro'!$K378,"")</f>
        <v/>
      </c>
      <c r="AT326" s="21" t="str">
        <f>IF(AND('Atividades Micro'!$B378=AT$2,'Atividades Micro'!$L378&lt;&gt;""),'Atividades Micro'!$L378,"")</f>
        <v/>
      </c>
      <c r="AU326" s="21" t="str">
        <f>IF(AND('Atividades Micro'!$A378=AU$2,'Atividades Micro'!$K378&lt;&gt;""),'Atividades Micro'!$K378,"")</f>
        <v/>
      </c>
      <c r="AV326" s="21" t="str">
        <f>IF(AND('Atividades Micro'!$A378=AV$2,'Atividades Micro'!$L378&lt;&gt;""),'Atividades Micro'!$L378,"")</f>
        <v/>
      </c>
      <c r="AW326" s="21" t="str">
        <f>IF(AND('Atividades Micro'!$B378=AW$2,'Atividades Micro'!$K378&lt;&gt;""),'Atividades Micro'!$K378,"")</f>
        <v/>
      </c>
      <c r="AX326" s="21" t="str">
        <f>IF(AND('Atividades Micro'!$B378=AX$2,'Atividades Micro'!$L378&lt;&gt;""),'Atividades Micro'!$L378,"")</f>
        <v/>
      </c>
      <c r="AY326" s="21" t="str">
        <f>IF(AND('Atividades Micro'!$A378=AY$2,'Atividades Micro'!$K378&lt;&gt;""),'Atividades Micro'!$K378,"")</f>
        <v/>
      </c>
      <c r="AZ326" s="21" t="str">
        <f>IF(AND('Atividades Micro'!$A378=AZ$2,'Atividades Micro'!$L378&lt;&gt;""),'Atividades Micro'!$L378,"")</f>
        <v/>
      </c>
      <c r="BA326" s="21" t="str">
        <f>IF(AND('Atividades Micro'!$B378=BA$2,'Atividades Micro'!$K378&lt;&gt;""),'Atividades Micro'!$K378,"")</f>
        <v/>
      </c>
      <c r="BB326" s="21" t="str">
        <f>IF(AND('Atividades Micro'!$B378=BB$2,'Atividades Micro'!$L378&lt;&gt;""),'Atividades Micro'!$L378,"")</f>
        <v/>
      </c>
      <c r="BC326" s="21" t="str">
        <f>IF(AND('Atividades Micro'!$B378=BC$2,'Atividades Micro'!$G378="Macro",'Atividades Micro'!$K378&lt;&gt;""),'Atividades Micro'!$K378,"")</f>
        <v/>
      </c>
      <c r="BD326" s="21" t="str">
        <f>IF(AND('Atividades Micro'!$B378=BD$2,'Atividades Micro'!$G378="Macro",'Atividades Micro'!$K378&lt;&gt;""),'Atividades Micro'!$K378,"")</f>
        <v/>
      </c>
      <c r="BE326" s="21" t="str">
        <f>IF(AND('Atividades Micro'!$B378=BE$2,'Atividades Micro'!$G378="Macro",'Atividades Micro'!$K378&lt;&gt;""),'Atividades Micro'!$K378,"")</f>
        <v/>
      </c>
      <c r="BF326" s="21" t="str">
        <f>IF(AND('Atividades Micro'!$B378=BF$2,'Atividades Micro'!$G378="Macro",'Atividades Micro'!$K378&lt;&gt;""),'Atividades Micro'!$K378,"")</f>
        <v/>
      </c>
      <c r="BG326" s="21" t="str">
        <f>IF(AND('Atividades Micro'!$B378=BG$2,'Atividades Micro'!$G378="Macro",'Atividades Micro'!$K378&lt;&gt;""),'Atividades Micro'!$K378,"")</f>
        <v/>
      </c>
      <c r="BH326" s="21" t="str">
        <f>IF(AND('Atividades Micro'!$B378=BH$2,'Atividades Micro'!$G378="Macro",'Atividades Micro'!$K378&lt;&gt;""),'Atividades Micro'!$K378,"")</f>
        <v/>
      </c>
      <c r="BI326" s="21" t="str">
        <f>IF(AND('Atividades Micro'!$B378=BI$2,'Atividades Micro'!$G378="Macro",'Atividades Micro'!$K378&lt;&gt;""),'Atividades Micro'!$K378,"")</f>
        <v/>
      </c>
      <c r="BJ326" s="21" t="str">
        <f>IF(AND('Atividades Micro'!$B378=BJ$2,'Atividades Micro'!$G378="Macro",'Atividades Micro'!$K378&lt;&gt;""),'Atividades Micro'!$K378,"")</f>
        <v/>
      </c>
      <c r="BK326" s="21" t="str">
        <f>IF(AND('Atividades Micro'!$B378=BK$2,'Atividades Micro'!$G378="Macro",'Atividades Micro'!$K378&lt;&gt;""),'Atividades Micro'!$K378,"")</f>
        <v/>
      </c>
      <c r="BL326" s="21" t="str">
        <f>IF(AND('Atividades Micro'!$B378=BL$2,'Atividades Micro'!$G378="Macro",'Atividades Micro'!$K378&lt;&gt;""),'Atividades Micro'!$K378,"")</f>
        <v/>
      </c>
      <c r="BM326" s="21" t="str">
        <f>IF(AND('Atividades Micro'!$B378=BM$2,'Atividades Micro'!$G378="Macro",'Atividades Micro'!$K378&lt;&gt;""),'Atividades Micro'!$K378,"")</f>
        <v/>
      </c>
      <c r="BN326" s="21" t="str">
        <f>IF(AND('Atividades Micro'!$B378=BN$2,'Atividades Micro'!$G378="Macro",'Atividades Micro'!$K378&lt;&gt;""),'Atividades Micro'!$K378,"")</f>
        <v/>
      </c>
      <c r="BO326" s="21" t="str">
        <f>IF(AND('Atividades Micro'!$B378=BO$2,'Atividades Micro'!$G378="Macro",'Atividades Micro'!$K378&lt;&gt;""),'Atividades Micro'!$K378,"")</f>
        <v/>
      </c>
      <c r="BP326" s="21" t="str">
        <f>IF(AND('Atividades Micro'!$B378=BP$2,'Atividades Micro'!$G378="Macro",'Atividades Micro'!$K378&lt;&gt;""),'Atividades Micro'!$K378,"")</f>
        <v/>
      </c>
      <c r="BQ326" s="21" t="str">
        <f>IF(AND('Atividades Micro'!$B378=BQ$2,'Atividades Micro'!$G378="Macro",'Atividades Micro'!$K378&lt;&gt;""),'Atividades Micro'!$K378,"")</f>
        <v/>
      </c>
      <c r="BR326" s="21" t="str">
        <f>IF(AND('Atividades Micro'!$B378=BR$2,'Atividades Micro'!$G378="Macro",'Atividades Micro'!$K378&lt;&gt;""),'Atividades Micro'!$K378,"")</f>
        <v/>
      </c>
      <c r="BS326" s="21" t="str">
        <f>IF(AND('Atividades Micro'!$B378=BS$2,'Atividades Micro'!$G378="Macro",'Atividades Micro'!$K378&lt;&gt;""),'Atividades Micro'!$K378,"")</f>
        <v/>
      </c>
      <c r="BT326" s="21" t="str">
        <f>IF(AND('Atividades Micro'!$B378=BT$2,'Atividades Micro'!$G378="Macro",'Atividades Micro'!$K378&lt;&gt;""),'Atividades Micro'!$K378,"")</f>
        <v/>
      </c>
      <c r="BU326" s="21" t="str">
        <f>IF(AND('Atividades Micro'!$B378=BU$2,'Atividades Micro'!$G378="Macro",'Atividades Micro'!$K378&lt;&gt;""),'Atividades Micro'!$K378,"")</f>
        <v/>
      </c>
      <c r="BV326" s="21" t="str">
        <f>IF(AND('Atividades Micro'!$B378=BV$2,'Atividades Micro'!$G378="Macro",'Atividades Micro'!$K378&lt;&gt;""),'Atividades Micro'!$K378,"")</f>
        <v/>
      </c>
      <c r="BW326" s="21" t="str">
        <f>IF(AND('Atividades Micro'!$B378=BW$2,'Atividades Micro'!$G378="Macro",'Atividades Micro'!$K378&lt;&gt;""),'Atividades Micro'!$K378,"")</f>
        <v/>
      </c>
      <c r="BX326" s="21" t="str">
        <f>IF(AND('Atividades Micro'!$B378=BX$2,'Atividades Micro'!$G378="Macro",'Atividades Micro'!$K378&lt;&gt;""),'Atividades Micro'!$K378,"")</f>
        <v/>
      </c>
      <c r="BY326" s="21" t="str">
        <f>IF(AND('Atividades Micro'!$B378=BY$2,'Atividades Micro'!$G378="Macro",'Atividades Micro'!$K378&lt;&gt;""),'Atividades Micro'!$K378,"")</f>
        <v/>
      </c>
      <c r="BZ326" s="21" t="str">
        <f>IF(AND('Atividades Micro'!$B378=BZ$2,'Atividades Micro'!$G378="Macro",'Atividades Micro'!$K378&lt;&gt;""),'Atividades Micro'!$K378,"")</f>
        <v/>
      </c>
      <c r="CA326" s="21" t="str">
        <f>IF(AND('Atividades Micro'!$B378=CA$2,'Atividades Micro'!$G378="Macro",'Atividades Micro'!$K378&lt;&gt;""),'Atividades Micro'!$K378,"")</f>
        <v/>
      </c>
      <c r="CB326" s="21" t="str">
        <f>IF(AND('Atividades Micro'!$B378=CB$2,'Atividades Micro'!$G378="Macro",'Atividades Micro'!$K378&lt;&gt;""),'Atividades Micro'!$K378,"")</f>
        <v/>
      </c>
      <c r="CC326" s="21" t="str">
        <f>IF(AND('Atividades Micro'!$B378=CC$2,'Atividades Micro'!$G378="Macro",'Atividades Micro'!$K378&lt;&gt;""),'Atividades Micro'!$K378,"")</f>
        <v/>
      </c>
      <c r="CD326" s="21" t="str">
        <f>IF(AND('Atividades Micro'!$B378=CD$2,'Atividades Micro'!$G378="Micro",'Atividades Micro'!$K378&lt;&gt;""),'Atividades Micro'!$K378,"")</f>
        <v/>
      </c>
      <c r="CE326" s="21" t="str">
        <f>IF(AND('Atividades Micro'!$B378=CE$2,'Atividades Micro'!$G378="Micro",'Atividades Micro'!$K378&lt;&gt;""),'Atividades Micro'!$K378,"")</f>
        <v/>
      </c>
      <c r="CF326" s="21" t="str">
        <f>IF(AND('Atividades Micro'!$B378=CF$2,'Atividades Micro'!$G378="Micro",'Atividades Micro'!$K378&lt;&gt;""),'Atividades Micro'!$K378,"")</f>
        <v/>
      </c>
      <c r="CG326" s="21" t="str">
        <f>IF(AND('Atividades Micro'!$B378=CG$2,'Atividades Micro'!$G378="Micro",'Atividades Micro'!$K378&lt;&gt;""),'Atividades Micro'!$K378,"")</f>
        <v/>
      </c>
      <c r="CH326" s="21" t="str">
        <f>IF(AND('Atividades Micro'!$B378=CH$2,'Atividades Micro'!$G378="Micro",'Atividades Micro'!$K378&lt;&gt;""),'Atividades Micro'!$K378,"")</f>
        <v/>
      </c>
      <c r="CI326" s="21" t="str">
        <f>IF(AND('Atividades Micro'!$B378=CI$2,'Atividades Micro'!$G378="Micro",'Atividades Micro'!$K378&lt;&gt;""),'Atividades Micro'!$K378,"")</f>
        <v/>
      </c>
      <c r="CJ326" s="21" t="str">
        <f>IF(AND('Atividades Micro'!$B378=CJ$2,'Atividades Micro'!$G378="Micro",'Atividades Micro'!$K378&lt;&gt;""),'Atividades Micro'!$K378,"")</f>
        <v/>
      </c>
      <c r="CK326" s="21" t="str">
        <f>IF(AND('Atividades Micro'!$B378=CK$2,'Atividades Micro'!$G378="Micro",'Atividades Micro'!$K378&lt;&gt;""),'Atividades Micro'!$K378,"")</f>
        <v/>
      </c>
      <c r="CL326" s="21" t="str">
        <f>IF(AND('Atividades Micro'!$B378=CL$2,'Atividades Micro'!$G378="Micro",'Atividades Micro'!$K378&lt;&gt;""),'Atividades Micro'!$K378,"")</f>
        <v/>
      </c>
      <c r="CM326" s="21" t="str">
        <f>IF(AND('Atividades Micro'!$B378=CM$2,'Atividades Micro'!$G378="Micro",'Atividades Micro'!$K378&lt;&gt;""),'Atividades Micro'!$K378,"")</f>
        <v/>
      </c>
      <c r="CN326" s="21" t="str">
        <f>IF(AND('Atividades Micro'!$B378=CN$2,'Atividades Micro'!$G378="Micro",'Atividades Micro'!$K378&lt;&gt;""),'Atividades Micro'!$K378,"")</f>
        <v/>
      </c>
      <c r="CO326" s="21" t="str">
        <f>IF(AND('Atividades Micro'!$B378=CO$2,'Atividades Micro'!$G378="Micro",'Atividades Micro'!$K378&lt;&gt;""),'Atividades Micro'!$K378,"")</f>
        <v/>
      </c>
    </row>
    <row r="327" spans="1:93">
      <c r="A327" s="21" t="str">
        <f>IF(AND('Atividades Micro'!$A379=A$2,'Atividades Micro'!$K379&lt;&gt;""),'Atividades Micro'!$K379,"")</f>
        <v/>
      </c>
      <c r="B327" s="21" t="str">
        <f>IF(AND('Atividades Micro'!$A379=B$2,'Atividades Micro'!$L379&lt;&gt;""),'Atividades Micro'!$L379,"")</f>
        <v/>
      </c>
      <c r="C327" s="21" t="str">
        <f>IF(AND('Atividades Micro'!$A379=C$2,'Atividades Micro'!$K379&lt;&gt;""),'Atividades Micro'!$K379,"")</f>
        <v/>
      </c>
      <c r="D327" s="21" t="str">
        <f>IF(AND('Atividades Micro'!$A379=D$2,'Atividades Micro'!$L379&lt;&gt;""),'Atividades Micro'!$L379,"")</f>
        <v/>
      </c>
      <c r="E327" s="21" t="str">
        <f>IF(AND('Atividades Micro'!$A379=E$2,'Atividades Micro'!$K379&lt;&gt;""),'Atividades Micro'!$K379,"")</f>
        <v/>
      </c>
      <c r="F327" s="21" t="str">
        <f>IF(AND('Atividades Micro'!$A379=F$2,'Atividades Micro'!$L379&lt;&gt;""),'Atividades Micro'!$L379,"")</f>
        <v/>
      </c>
      <c r="G327" s="21" t="str">
        <f>IF(AND('Atividades Micro'!$A379=G$2,'Atividades Micro'!$K379&lt;&gt;""),'Atividades Micro'!$K379,"")</f>
        <v/>
      </c>
      <c r="H327" s="21" t="str">
        <f>IF(AND('Atividades Micro'!$A379=H$2,'Atividades Micro'!$L379&lt;&gt;""),'Atividades Micro'!$L379,"")</f>
        <v/>
      </c>
      <c r="I327" s="21" t="str">
        <f>IF(AND('Atividades Micro'!$A379=I$2,'Atividades Micro'!$K379&lt;&gt;""),'Atividades Micro'!$K379,"")</f>
        <v/>
      </c>
      <c r="J327" s="21" t="str">
        <f>IF(AND('Atividades Micro'!$A379=J$2,'Atividades Micro'!$L379&lt;&gt;""),'Atividades Micro'!$L379,"")</f>
        <v/>
      </c>
      <c r="K327" s="21" t="str">
        <f>IF(AND('Atividades Micro'!$B379=K$2,'Atividades Micro'!$K379&lt;&gt;""),'Atividades Micro'!$K379,"")</f>
        <v/>
      </c>
      <c r="L327" s="21" t="str">
        <f>IF(AND('Atividades Micro'!$B379=L$2,'Atividades Micro'!$L379&lt;&gt;""),'Atividades Micro'!$L379,"")</f>
        <v/>
      </c>
      <c r="M327" s="21" t="str">
        <f>IF(AND('Atividades Micro'!$B379=M$2,'Atividades Micro'!$K379&lt;&gt;""),'Atividades Micro'!$K379,"")</f>
        <v/>
      </c>
      <c r="N327" s="21" t="str">
        <f>IF(AND('Atividades Micro'!$B379=N$2,'Atividades Micro'!$L379&lt;&gt;""),'Atividades Micro'!$L379,"")</f>
        <v/>
      </c>
      <c r="O327" s="21" t="str">
        <f>IF(AND('Atividades Micro'!$A379=O$2,'Atividades Micro'!$K379&lt;&gt;""),'Atividades Micro'!$K379,"")</f>
        <v/>
      </c>
      <c r="P327" s="21" t="str">
        <f>IF(AND('Atividades Micro'!$A379=P$2,'Atividades Micro'!$L379&lt;&gt;""),'Atividades Micro'!$L379,"")</f>
        <v/>
      </c>
      <c r="Q327" s="21" t="str">
        <f>IF(AND('Atividades Micro'!$B379=Q$2,'Atividades Micro'!$K379&lt;&gt;""),'Atividades Micro'!$K379,"")</f>
        <v/>
      </c>
      <c r="R327" s="21" t="str">
        <f>IF(AND('Atividades Micro'!$B379=R$2,'Atividades Micro'!$L379&lt;&gt;""),'Atividades Micro'!$L379,"")</f>
        <v/>
      </c>
      <c r="S327" s="21" t="str">
        <f>IF(AND('Atividades Micro'!$A379=S$2,'Atividades Micro'!$K379&lt;&gt;""),'Atividades Micro'!$K379,"")</f>
        <v/>
      </c>
      <c r="T327" s="21" t="str">
        <f>IF(AND('Atividades Micro'!$A379=T$2,'Atividades Micro'!$L379&lt;&gt;""),'Atividades Micro'!$L379,"")</f>
        <v/>
      </c>
      <c r="U327" s="21" t="str">
        <f>IF(AND('Atividades Micro'!$B379=U$2,'Atividades Micro'!$K379&lt;&gt;""),'Atividades Micro'!$K379,"")</f>
        <v/>
      </c>
      <c r="V327" s="21" t="str">
        <f>IF(AND('Atividades Micro'!$B379=V$2,'Atividades Micro'!$L379&lt;&gt;""),'Atividades Micro'!$L379,"")</f>
        <v/>
      </c>
      <c r="W327" s="21" t="str">
        <f>IF(AND('Atividades Micro'!$B379=W$2,'Atividades Micro'!$K379&lt;&gt;""),'Atividades Micro'!$K379,"")</f>
        <v/>
      </c>
      <c r="X327" s="21" t="str">
        <f>IF(AND('Atividades Micro'!$B379=X$2,'Atividades Micro'!$L379&lt;&gt;""),'Atividades Micro'!$L379,"")</f>
        <v/>
      </c>
      <c r="Y327" s="21" t="str">
        <f>IF(AND('Atividades Micro'!$A379=Y$2,'Atividades Micro'!$K379&lt;&gt;""),'Atividades Micro'!$K379,"")</f>
        <v/>
      </c>
      <c r="Z327" s="21" t="str">
        <f>IF(AND('Atividades Micro'!$A379=Z$2,'Atividades Micro'!$L379&lt;&gt;""),'Atividades Micro'!$L379,"")</f>
        <v/>
      </c>
      <c r="AA327" s="21" t="str">
        <f>IF(AND('Atividades Micro'!$B379=AA$2,'Atividades Micro'!$K379&lt;&gt;""),'Atividades Micro'!$K379,"")</f>
        <v/>
      </c>
      <c r="AB327" s="21" t="str">
        <f>IF(AND('Atividades Micro'!$B379=AB$2,'Atividades Micro'!$L379&lt;&gt;""),'Atividades Micro'!$L379,"")</f>
        <v/>
      </c>
      <c r="AC327" s="21" t="str">
        <f>IF(AND('Atividades Micro'!$B379=AC$2,'Atividades Micro'!$K379&lt;&gt;""),'Atividades Micro'!$K379,"")</f>
        <v/>
      </c>
      <c r="AD327" s="21" t="str">
        <f>IF(AND('Atividades Micro'!$B379=AD$2,'Atividades Micro'!$L379&lt;&gt;""),'Atividades Micro'!$L379,"")</f>
        <v/>
      </c>
      <c r="AE327" s="21" t="str">
        <f>IF(AND('Atividades Micro'!$A379=AE$2,'Atividades Micro'!$K379&lt;&gt;""),'Atividades Micro'!$K379,"")</f>
        <v/>
      </c>
      <c r="AF327" s="21" t="str">
        <f>IF(AND('Atividades Micro'!$A379=AF$2,'Atividades Micro'!$L379&lt;&gt;""),'Atividades Micro'!$L379,"")</f>
        <v/>
      </c>
      <c r="AG327" s="21" t="str">
        <f>IF(AND('Atividades Micro'!$B379=AG$2,'Atividades Micro'!$K379&lt;&gt;""),'Atividades Micro'!$K379,"")</f>
        <v/>
      </c>
      <c r="AH327" s="21" t="str">
        <f>IF(AND('Atividades Micro'!$B379=AH$2,'Atividades Micro'!$L379&lt;&gt;""),'Atividades Micro'!$L379,"")</f>
        <v/>
      </c>
      <c r="AI327" s="21" t="str">
        <f>IF(AND('Atividades Micro'!$B379=AI$2,'Atividades Micro'!$K379&lt;&gt;""),'Atividades Micro'!$K379,"")</f>
        <v/>
      </c>
      <c r="AJ327" s="21" t="str">
        <f>IF(AND('Atividades Micro'!$B379=AJ$2,'Atividades Micro'!$L379&lt;&gt;""),'Atividades Micro'!$L379,"")</f>
        <v/>
      </c>
      <c r="AK327" s="21" t="str">
        <f>IF(AND('Atividades Micro'!$A379=AK$2,'Atividades Micro'!$K379&lt;&gt;""),'Atividades Micro'!$K379,"")</f>
        <v/>
      </c>
      <c r="AL327" s="21" t="str">
        <f>IF(AND('Atividades Micro'!$A379=AL$2,'Atividades Micro'!$L379&lt;&gt;""),'Atividades Micro'!$L379,"")</f>
        <v/>
      </c>
      <c r="AM327" s="21" t="str">
        <f>IF(AND('Atividades Micro'!$B379=AM$2,'Atividades Micro'!$K379&lt;&gt;""),'Atividades Micro'!$K379,"")</f>
        <v/>
      </c>
      <c r="AN327" s="21" t="str">
        <f>IF(AND('Atividades Micro'!$B379=AN$2,'Atividades Micro'!$L379&lt;&gt;""),'Atividades Micro'!$L379,"")</f>
        <v/>
      </c>
      <c r="AO327" s="21" t="str">
        <f>IF(AND('Atividades Micro'!$B379=AO$2,'Atividades Micro'!$K379&lt;&gt;""),'Atividades Micro'!$K379,"")</f>
        <v/>
      </c>
      <c r="AP327" s="21" t="str">
        <f>IF(AND('Atividades Micro'!$B379=AP$2,'Atividades Micro'!$L379&lt;&gt;""),'Atividades Micro'!$L379,"")</f>
        <v/>
      </c>
      <c r="AQ327" s="21" t="str">
        <f>IF(AND('Atividades Micro'!$A379=AQ$2,'Atividades Micro'!$K379&lt;&gt;""),'Atividades Micro'!$K379,"")</f>
        <v/>
      </c>
      <c r="AR327" s="21" t="str">
        <f>IF(AND('Atividades Micro'!$A379=AR$2,'Atividades Micro'!$L379&lt;&gt;""),'Atividades Micro'!$L379,"")</f>
        <v/>
      </c>
      <c r="AS327" s="21" t="str">
        <f>IF(AND('Atividades Micro'!$B379=AS$2,'Atividades Micro'!$K379&lt;&gt;""),'Atividades Micro'!$K379,"")</f>
        <v/>
      </c>
      <c r="AT327" s="21" t="str">
        <f>IF(AND('Atividades Micro'!$B379=AT$2,'Atividades Micro'!$L379&lt;&gt;""),'Atividades Micro'!$L379,"")</f>
        <v/>
      </c>
      <c r="AU327" s="21" t="str">
        <f>IF(AND('Atividades Micro'!$A379=AU$2,'Atividades Micro'!$K379&lt;&gt;""),'Atividades Micro'!$K379,"")</f>
        <v/>
      </c>
      <c r="AV327" s="21" t="str">
        <f>IF(AND('Atividades Micro'!$A379=AV$2,'Atividades Micro'!$L379&lt;&gt;""),'Atividades Micro'!$L379,"")</f>
        <v/>
      </c>
      <c r="AW327" s="21" t="str">
        <f>IF(AND('Atividades Micro'!$B379=AW$2,'Atividades Micro'!$K379&lt;&gt;""),'Atividades Micro'!$K379,"")</f>
        <v/>
      </c>
      <c r="AX327" s="21" t="str">
        <f>IF(AND('Atividades Micro'!$B379=AX$2,'Atividades Micro'!$L379&lt;&gt;""),'Atividades Micro'!$L379,"")</f>
        <v/>
      </c>
      <c r="AY327" s="21" t="str">
        <f>IF(AND('Atividades Micro'!$A379=AY$2,'Atividades Micro'!$K379&lt;&gt;""),'Atividades Micro'!$K379,"")</f>
        <v/>
      </c>
      <c r="AZ327" s="21" t="str">
        <f>IF(AND('Atividades Micro'!$A379=AZ$2,'Atividades Micro'!$L379&lt;&gt;""),'Atividades Micro'!$L379,"")</f>
        <v/>
      </c>
      <c r="BA327" s="21" t="str">
        <f>IF(AND('Atividades Micro'!$B379=BA$2,'Atividades Micro'!$K379&lt;&gt;""),'Atividades Micro'!$K379,"")</f>
        <v/>
      </c>
      <c r="BB327" s="21" t="str">
        <f>IF(AND('Atividades Micro'!$B379=BB$2,'Atividades Micro'!$L379&lt;&gt;""),'Atividades Micro'!$L379,"")</f>
        <v/>
      </c>
      <c r="BC327" s="21" t="str">
        <f>IF(AND('Atividades Micro'!$B379=BC$2,'Atividades Micro'!$G379="Macro",'Atividades Micro'!$K379&lt;&gt;""),'Atividades Micro'!$K379,"")</f>
        <v/>
      </c>
      <c r="BD327" s="21" t="str">
        <f>IF(AND('Atividades Micro'!$B379=BD$2,'Atividades Micro'!$G379="Macro",'Atividades Micro'!$K379&lt;&gt;""),'Atividades Micro'!$K379,"")</f>
        <v/>
      </c>
      <c r="BE327" s="21" t="str">
        <f>IF(AND('Atividades Micro'!$B379=BE$2,'Atividades Micro'!$G379="Macro",'Atividades Micro'!$K379&lt;&gt;""),'Atividades Micro'!$K379,"")</f>
        <v/>
      </c>
      <c r="BF327" s="21" t="str">
        <f>IF(AND('Atividades Micro'!$B379=BF$2,'Atividades Micro'!$G379="Macro",'Atividades Micro'!$K379&lt;&gt;""),'Atividades Micro'!$K379,"")</f>
        <v/>
      </c>
      <c r="BG327" s="21" t="str">
        <f>IF(AND('Atividades Micro'!$B379=BG$2,'Atividades Micro'!$G379="Macro",'Atividades Micro'!$K379&lt;&gt;""),'Atividades Micro'!$K379,"")</f>
        <v/>
      </c>
      <c r="BH327" s="21" t="str">
        <f>IF(AND('Atividades Micro'!$B379=BH$2,'Atividades Micro'!$G379="Macro",'Atividades Micro'!$K379&lt;&gt;""),'Atividades Micro'!$K379,"")</f>
        <v/>
      </c>
      <c r="BI327" s="21" t="str">
        <f>IF(AND('Atividades Micro'!$B379=BI$2,'Atividades Micro'!$G379="Macro",'Atividades Micro'!$K379&lt;&gt;""),'Atividades Micro'!$K379,"")</f>
        <v/>
      </c>
      <c r="BJ327" s="21" t="str">
        <f>IF(AND('Atividades Micro'!$B379=BJ$2,'Atividades Micro'!$G379="Macro",'Atividades Micro'!$K379&lt;&gt;""),'Atividades Micro'!$K379,"")</f>
        <v/>
      </c>
      <c r="BK327" s="21" t="str">
        <f>IF(AND('Atividades Micro'!$B379=BK$2,'Atividades Micro'!$G379="Macro",'Atividades Micro'!$K379&lt;&gt;""),'Atividades Micro'!$K379,"")</f>
        <v/>
      </c>
      <c r="BL327" s="21" t="str">
        <f>IF(AND('Atividades Micro'!$B379=BL$2,'Atividades Micro'!$G379="Macro",'Atividades Micro'!$K379&lt;&gt;""),'Atividades Micro'!$K379,"")</f>
        <v/>
      </c>
      <c r="BM327" s="21" t="str">
        <f>IF(AND('Atividades Micro'!$B379=BM$2,'Atividades Micro'!$G379="Macro",'Atividades Micro'!$K379&lt;&gt;""),'Atividades Micro'!$K379,"")</f>
        <v/>
      </c>
      <c r="BN327" s="21" t="str">
        <f>IF(AND('Atividades Micro'!$B379=BN$2,'Atividades Micro'!$G379="Macro",'Atividades Micro'!$K379&lt;&gt;""),'Atividades Micro'!$K379,"")</f>
        <v/>
      </c>
      <c r="BO327" s="21" t="str">
        <f>IF(AND('Atividades Micro'!$B379=BO$2,'Atividades Micro'!$G379="Macro",'Atividades Micro'!$K379&lt;&gt;""),'Atividades Micro'!$K379,"")</f>
        <v/>
      </c>
      <c r="BP327" s="21" t="str">
        <f>IF(AND('Atividades Micro'!$B379=BP$2,'Atividades Micro'!$G379="Macro",'Atividades Micro'!$K379&lt;&gt;""),'Atividades Micro'!$K379,"")</f>
        <v/>
      </c>
      <c r="BQ327" s="21" t="str">
        <f>IF(AND('Atividades Micro'!$B379=BQ$2,'Atividades Micro'!$G379="Macro",'Atividades Micro'!$K379&lt;&gt;""),'Atividades Micro'!$K379,"")</f>
        <v/>
      </c>
      <c r="BR327" s="21" t="str">
        <f>IF(AND('Atividades Micro'!$B379=BR$2,'Atividades Micro'!$G379="Macro",'Atividades Micro'!$K379&lt;&gt;""),'Atividades Micro'!$K379,"")</f>
        <v/>
      </c>
      <c r="BS327" s="21" t="str">
        <f>IF(AND('Atividades Micro'!$B379=BS$2,'Atividades Micro'!$G379="Macro",'Atividades Micro'!$K379&lt;&gt;""),'Atividades Micro'!$K379,"")</f>
        <v/>
      </c>
      <c r="BT327" s="21" t="str">
        <f>IF(AND('Atividades Micro'!$B379=BT$2,'Atividades Micro'!$G379="Macro",'Atividades Micro'!$K379&lt;&gt;""),'Atividades Micro'!$K379,"")</f>
        <v/>
      </c>
      <c r="BU327" s="21" t="str">
        <f>IF(AND('Atividades Micro'!$B379=BU$2,'Atividades Micro'!$G379="Macro",'Atividades Micro'!$K379&lt;&gt;""),'Atividades Micro'!$K379,"")</f>
        <v/>
      </c>
      <c r="BV327" s="21" t="str">
        <f>IF(AND('Atividades Micro'!$B379=BV$2,'Atividades Micro'!$G379="Macro",'Atividades Micro'!$K379&lt;&gt;""),'Atividades Micro'!$K379,"")</f>
        <v/>
      </c>
      <c r="BW327" s="21" t="str">
        <f>IF(AND('Atividades Micro'!$B379=BW$2,'Atividades Micro'!$G379="Macro",'Atividades Micro'!$K379&lt;&gt;""),'Atividades Micro'!$K379,"")</f>
        <v/>
      </c>
      <c r="BX327" s="21" t="str">
        <f>IF(AND('Atividades Micro'!$B379=BX$2,'Atividades Micro'!$G379="Macro",'Atividades Micro'!$K379&lt;&gt;""),'Atividades Micro'!$K379,"")</f>
        <v/>
      </c>
      <c r="BY327" s="21" t="str">
        <f>IF(AND('Atividades Micro'!$B379=BY$2,'Atividades Micro'!$G379="Macro",'Atividades Micro'!$K379&lt;&gt;""),'Atividades Micro'!$K379,"")</f>
        <v/>
      </c>
      <c r="BZ327" s="21" t="str">
        <f>IF(AND('Atividades Micro'!$B379=BZ$2,'Atividades Micro'!$G379="Macro",'Atividades Micro'!$K379&lt;&gt;""),'Atividades Micro'!$K379,"")</f>
        <v/>
      </c>
      <c r="CA327" s="21" t="str">
        <f>IF(AND('Atividades Micro'!$B379=CA$2,'Atividades Micro'!$G379="Macro",'Atividades Micro'!$K379&lt;&gt;""),'Atividades Micro'!$K379,"")</f>
        <v/>
      </c>
      <c r="CB327" s="21" t="str">
        <f>IF(AND('Atividades Micro'!$B379=CB$2,'Atividades Micro'!$G379="Macro",'Atividades Micro'!$K379&lt;&gt;""),'Atividades Micro'!$K379,"")</f>
        <v/>
      </c>
      <c r="CC327" s="21" t="str">
        <f>IF(AND('Atividades Micro'!$B379=CC$2,'Atividades Micro'!$G379="Macro",'Atividades Micro'!$K379&lt;&gt;""),'Atividades Micro'!$K379,"")</f>
        <v/>
      </c>
      <c r="CD327" s="21" t="str">
        <f>IF(AND('Atividades Micro'!$B379=CD$2,'Atividades Micro'!$G379="Micro",'Atividades Micro'!$K379&lt;&gt;""),'Atividades Micro'!$K379,"")</f>
        <v/>
      </c>
      <c r="CE327" s="21" t="str">
        <f>IF(AND('Atividades Micro'!$B379=CE$2,'Atividades Micro'!$G379="Micro",'Atividades Micro'!$K379&lt;&gt;""),'Atividades Micro'!$K379,"")</f>
        <v/>
      </c>
      <c r="CF327" s="21" t="str">
        <f>IF(AND('Atividades Micro'!$B379=CF$2,'Atividades Micro'!$G379="Micro",'Atividades Micro'!$K379&lt;&gt;""),'Atividades Micro'!$K379,"")</f>
        <v/>
      </c>
      <c r="CG327" s="21" t="str">
        <f>IF(AND('Atividades Micro'!$B379=CG$2,'Atividades Micro'!$G379="Micro",'Atividades Micro'!$K379&lt;&gt;""),'Atividades Micro'!$K379,"")</f>
        <v/>
      </c>
      <c r="CH327" s="21" t="str">
        <f>IF(AND('Atividades Micro'!$B379=CH$2,'Atividades Micro'!$G379="Micro",'Atividades Micro'!$K379&lt;&gt;""),'Atividades Micro'!$K379,"")</f>
        <v/>
      </c>
      <c r="CI327" s="21" t="str">
        <f>IF(AND('Atividades Micro'!$B379=CI$2,'Atividades Micro'!$G379="Micro",'Atividades Micro'!$K379&lt;&gt;""),'Atividades Micro'!$K379,"")</f>
        <v/>
      </c>
      <c r="CJ327" s="21" t="str">
        <f>IF(AND('Atividades Micro'!$B379=CJ$2,'Atividades Micro'!$G379="Micro",'Atividades Micro'!$K379&lt;&gt;""),'Atividades Micro'!$K379,"")</f>
        <v/>
      </c>
      <c r="CK327" s="21" t="str">
        <f>IF(AND('Atividades Micro'!$B379=CK$2,'Atividades Micro'!$G379="Micro",'Atividades Micro'!$K379&lt;&gt;""),'Atividades Micro'!$K379,"")</f>
        <v/>
      </c>
      <c r="CL327" s="21" t="str">
        <f>IF(AND('Atividades Micro'!$B379=CL$2,'Atividades Micro'!$G379="Micro",'Atividades Micro'!$K379&lt;&gt;""),'Atividades Micro'!$K379,"")</f>
        <v/>
      </c>
      <c r="CM327" s="21" t="str">
        <f>IF(AND('Atividades Micro'!$B379=CM$2,'Atividades Micro'!$G379="Micro",'Atividades Micro'!$K379&lt;&gt;""),'Atividades Micro'!$K379,"")</f>
        <v/>
      </c>
      <c r="CN327" s="21" t="str">
        <f>IF(AND('Atividades Micro'!$B379=CN$2,'Atividades Micro'!$G379="Micro",'Atividades Micro'!$K379&lt;&gt;""),'Atividades Micro'!$K379,"")</f>
        <v/>
      </c>
      <c r="CO327" s="21" t="str">
        <f>IF(AND('Atividades Micro'!$B379=CO$2,'Atividades Micro'!$G379="Micro",'Atividades Micro'!$K379&lt;&gt;""),'Atividades Micro'!$K379,"")</f>
        <v/>
      </c>
    </row>
    <row r="328" spans="1:93">
      <c r="A328" s="21" t="str">
        <f>IF(AND('Atividades Micro'!$A380=A$2,'Atividades Micro'!$K380&lt;&gt;""),'Atividades Micro'!$K380,"")</f>
        <v/>
      </c>
      <c r="B328" s="21" t="str">
        <f>IF(AND('Atividades Micro'!$A380=B$2,'Atividades Micro'!$L380&lt;&gt;""),'Atividades Micro'!$L380,"")</f>
        <v/>
      </c>
      <c r="C328" s="21" t="str">
        <f>IF(AND('Atividades Micro'!$A380=C$2,'Atividades Micro'!$K380&lt;&gt;""),'Atividades Micro'!$K380,"")</f>
        <v/>
      </c>
      <c r="D328" s="21" t="str">
        <f>IF(AND('Atividades Micro'!$A380=D$2,'Atividades Micro'!$L380&lt;&gt;""),'Atividades Micro'!$L380,"")</f>
        <v/>
      </c>
      <c r="E328" s="21" t="str">
        <f>IF(AND('Atividades Micro'!$A380=E$2,'Atividades Micro'!$K380&lt;&gt;""),'Atividades Micro'!$K380,"")</f>
        <v/>
      </c>
      <c r="F328" s="21" t="str">
        <f>IF(AND('Atividades Micro'!$A380=F$2,'Atividades Micro'!$L380&lt;&gt;""),'Atividades Micro'!$L380,"")</f>
        <v/>
      </c>
      <c r="G328" s="21" t="str">
        <f>IF(AND('Atividades Micro'!$A380=G$2,'Atividades Micro'!$K380&lt;&gt;""),'Atividades Micro'!$K380,"")</f>
        <v/>
      </c>
      <c r="H328" s="21" t="str">
        <f>IF(AND('Atividades Micro'!$A380=H$2,'Atividades Micro'!$L380&lt;&gt;""),'Atividades Micro'!$L380,"")</f>
        <v/>
      </c>
      <c r="I328" s="21" t="str">
        <f>IF(AND('Atividades Micro'!$A380=I$2,'Atividades Micro'!$K380&lt;&gt;""),'Atividades Micro'!$K380,"")</f>
        <v/>
      </c>
      <c r="J328" s="21" t="str">
        <f>IF(AND('Atividades Micro'!$A380=J$2,'Atividades Micro'!$L380&lt;&gt;""),'Atividades Micro'!$L380,"")</f>
        <v/>
      </c>
      <c r="K328" s="21" t="str">
        <f>IF(AND('Atividades Micro'!$B380=K$2,'Atividades Micro'!$K380&lt;&gt;""),'Atividades Micro'!$K380,"")</f>
        <v/>
      </c>
      <c r="L328" s="21" t="str">
        <f>IF(AND('Atividades Micro'!$B380=L$2,'Atividades Micro'!$L380&lt;&gt;""),'Atividades Micro'!$L380,"")</f>
        <v/>
      </c>
      <c r="M328" s="21" t="str">
        <f>IF(AND('Atividades Micro'!$B380=M$2,'Atividades Micro'!$K380&lt;&gt;""),'Atividades Micro'!$K380,"")</f>
        <v/>
      </c>
      <c r="N328" s="21" t="str">
        <f>IF(AND('Atividades Micro'!$B380=N$2,'Atividades Micro'!$L380&lt;&gt;""),'Atividades Micro'!$L380,"")</f>
        <v/>
      </c>
      <c r="O328" s="21" t="str">
        <f>IF(AND('Atividades Micro'!$A380=O$2,'Atividades Micro'!$K380&lt;&gt;""),'Atividades Micro'!$K380,"")</f>
        <v/>
      </c>
      <c r="P328" s="21" t="str">
        <f>IF(AND('Atividades Micro'!$A380=P$2,'Atividades Micro'!$L380&lt;&gt;""),'Atividades Micro'!$L380,"")</f>
        <v/>
      </c>
      <c r="Q328" s="21" t="str">
        <f>IF(AND('Atividades Micro'!$B380=Q$2,'Atividades Micro'!$K380&lt;&gt;""),'Atividades Micro'!$K380,"")</f>
        <v/>
      </c>
      <c r="R328" s="21" t="str">
        <f>IF(AND('Atividades Micro'!$B380=R$2,'Atividades Micro'!$L380&lt;&gt;""),'Atividades Micro'!$L380,"")</f>
        <v/>
      </c>
      <c r="S328" s="21" t="str">
        <f>IF(AND('Atividades Micro'!$A380=S$2,'Atividades Micro'!$K380&lt;&gt;""),'Atividades Micro'!$K380,"")</f>
        <v/>
      </c>
      <c r="T328" s="21" t="str">
        <f>IF(AND('Atividades Micro'!$A380=T$2,'Atividades Micro'!$L380&lt;&gt;""),'Atividades Micro'!$L380,"")</f>
        <v/>
      </c>
      <c r="U328" s="21" t="str">
        <f>IF(AND('Atividades Micro'!$B380=U$2,'Atividades Micro'!$K380&lt;&gt;""),'Atividades Micro'!$K380,"")</f>
        <v/>
      </c>
      <c r="V328" s="21" t="str">
        <f>IF(AND('Atividades Micro'!$B380=V$2,'Atividades Micro'!$L380&lt;&gt;""),'Atividades Micro'!$L380,"")</f>
        <v/>
      </c>
      <c r="W328" s="21" t="str">
        <f>IF(AND('Atividades Micro'!$B380=W$2,'Atividades Micro'!$K380&lt;&gt;""),'Atividades Micro'!$K380,"")</f>
        <v/>
      </c>
      <c r="X328" s="21" t="str">
        <f>IF(AND('Atividades Micro'!$B380=X$2,'Atividades Micro'!$L380&lt;&gt;""),'Atividades Micro'!$L380,"")</f>
        <v/>
      </c>
      <c r="Y328" s="21" t="str">
        <f>IF(AND('Atividades Micro'!$A380=Y$2,'Atividades Micro'!$K380&lt;&gt;""),'Atividades Micro'!$K380,"")</f>
        <v/>
      </c>
      <c r="Z328" s="21" t="str">
        <f>IF(AND('Atividades Micro'!$A380=Z$2,'Atividades Micro'!$L380&lt;&gt;""),'Atividades Micro'!$L380,"")</f>
        <v/>
      </c>
      <c r="AA328" s="21" t="str">
        <f>IF(AND('Atividades Micro'!$B380=AA$2,'Atividades Micro'!$K380&lt;&gt;""),'Atividades Micro'!$K380,"")</f>
        <v/>
      </c>
      <c r="AB328" s="21" t="str">
        <f>IF(AND('Atividades Micro'!$B380=AB$2,'Atividades Micro'!$L380&lt;&gt;""),'Atividades Micro'!$L380,"")</f>
        <v/>
      </c>
      <c r="AC328" s="21" t="str">
        <f>IF(AND('Atividades Micro'!$B380=AC$2,'Atividades Micro'!$K380&lt;&gt;""),'Atividades Micro'!$K380,"")</f>
        <v/>
      </c>
      <c r="AD328" s="21" t="str">
        <f>IF(AND('Atividades Micro'!$B380=AD$2,'Atividades Micro'!$L380&lt;&gt;""),'Atividades Micro'!$L380,"")</f>
        <v/>
      </c>
      <c r="AE328" s="21" t="str">
        <f>IF(AND('Atividades Micro'!$A380=AE$2,'Atividades Micro'!$K380&lt;&gt;""),'Atividades Micro'!$K380,"")</f>
        <v/>
      </c>
      <c r="AF328" s="21" t="str">
        <f>IF(AND('Atividades Micro'!$A380=AF$2,'Atividades Micro'!$L380&lt;&gt;""),'Atividades Micro'!$L380,"")</f>
        <v/>
      </c>
      <c r="AG328" s="21" t="str">
        <f>IF(AND('Atividades Micro'!$B380=AG$2,'Atividades Micro'!$K380&lt;&gt;""),'Atividades Micro'!$K380,"")</f>
        <v/>
      </c>
      <c r="AH328" s="21" t="str">
        <f>IF(AND('Atividades Micro'!$B380=AH$2,'Atividades Micro'!$L380&lt;&gt;""),'Atividades Micro'!$L380,"")</f>
        <v/>
      </c>
      <c r="AI328" s="21" t="str">
        <f>IF(AND('Atividades Micro'!$B380=AI$2,'Atividades Micro'!$K380&lt;&gt;""),'Atividades Micro'!$K380,"")</f>
        <v/>
      </c>
      <c r="AJ328" s="21" t="str">
        <f>IF(AND('Atividades Micro'!$B380=AJ$2,'Atividades Micro'!$L380&lt;&gt;""),'Atividades Micro'!$L380,"")</f>
        <v/>
      </c>
      <c r="AK328" s="21" t="str">
        <f>IF(AND('Atividades Micro'!$A380=AK$2,'Atividades Micro'!$K380&lt;&gt;""),'Atividades Micro'!$K380,"")</f>
        <v/>
      </c>
      <c r="AL328" s="21" t="str">
        <f>IF(AND('Atividades Micro'!$A380=AL$2,'Atividades Micro'!$L380&lt;&gt;""),'Atividades Micro'!$L380,"")</f>
        <v/>
      </c>
      <c r="AM328" s="21" t="str">
        <f>IF(AND('Atividades Micro'!$B380=AM$2,'Atividades Micro'!$K380&lt;&gt;""),'Atividades Micro'!$K380,"")</f>
        <v/>
      </c>
      <c r="AN328" s="21" t="str">
        <f>IF(AND('Atividades Micro'!$B380=AN$2,'Atividades Micro'!$L380&lt;&gt;""),'Atividades Micro'!$L380,"")</f>
        <v/>
      </c>
      <c r="AO328" s="21" t="str">
        <f>IF(AND('Atividades Micro'!$B380=AO$2,'Atividades Micro'!$K380&lt;&gt;""),'Atividades Micro'!$K380,"")</f>
        <v/>
      </c>
      <c r="AP328" s="21" t="str">
        <f>IF(AND('Atividades Micro'!$B380=AP$2,'Atividades Micro'!$L380&lt;&gt;""),'Atividades Micro'!$L380,"")</f>
        <v/>
      </c>
      <c r="AQ328" s="21" t="str">
        <f>IF(AND('Atividades Micro'!$A380=AQ$2,'Atividades Micro'!$K380&lt;&gt;""),'Atividades Micro'!$K380,"")</f>
        <v/>
      </c>
      <c r="AR328" s="21" t="str">
        <f>IF(AND('Atividades Micro'!$A380=AR$2,'Atividades Micro'!$L380&lt;&gt;""),'Atividades Micro'!$L380,"")</f>
        <v/>
      </c>
      <c r="AS328" s="21" t="str">
        <f>IF(AND('Atividades Micro'!$B380=AS$2,'Atividades Micro'!$K380&lt;&gt;""),'Atividades Micro'!$K380,"")</f>
        <v/>
      </c>
      <c r="AT328" s="21" t="str">
        <f>IF(AND('Atividades Micro'!$B380=AT$2,'Atividades Micro'!$L380&lt;&gt;""),'Atividades Micro'!$L380,"")</f>
        <v/>
      </c>
      <c r="AU328" s="21" t="str">
        <f>IF(AND('Atividades Micro'!$A380=AU$2,'Atividades Micro'!$K380&lt;&gt;""),'Atividades Micro'!$K380,"")</f>
        <v/>
      </c>
      <c r="AV328" s="21" t="str">
        <f>IF(AND('Atividades Micro'!$A380=AV$2,'Atividades Micro'!$L380&lt;&gt;""),'Atividades Micro'!$L380,"")</f>
        <v/>
      </c>
      <c r="AW328" s="21" t="str">
        <f>IF(AND('Atividades Micro'!$B380=AW$2,'Atividades Micro'!$K380&lt;&gt;""),'Atividades Micro'!$K380,"")</f>
        <v/>
      </c>
      <c r="AX328" s="21" t="str">
        <f>IF(AND('Atividades Micro'!$B380=AX$2,'Atividades Micro'!$L380&lt;&gt;""),'Atividades Micro'!$L380,"")</f>
        <v/>
      </c>
      <c r="AY328" s="21" t="str">
        <f>IF(AND('Atividades Micro'!$A380=AY$2,'Atividades Micro'!$K380&lt;&gt;""),'Atividades Micro'!$K380,"")</f>
        <v/>
      </c>
      <c r="AZ328" s="21" t="str">
        <f>IF(AND('Atividades Micro'!$A380=AZ$2,'Atividades Micro'!$L380&lt;&gt;""),'Atividades Micro'!$L380,"")</f>
        <v/>
      </c>
      <c r="BA328" s="21" t="str">
        <f>IF(AND('Atividades Micro'!$B380=BA$2,'Atividades Micro'!$K380&lt;&gt;""),'Atividades Micro'!$K380,"")</f>
        <v/>
      </c>
      <c r="BB328" s="21" t="str">
        <f>IF(AND('Atividades Micro'!$B380=BB$2,'Atividades Micro'!$L380&lt;&gt;""),'Atividades Micro'!$L380,"")</f>
        <v/>
      </c>
      <c r="BC328" s="21" t="str">
        <f>IF(AND('Atividades Micro'!$B380=BC$2,'Atividades Micro'!$G380="Macro",'Atividades Micro'!$K380&lt;&gt;""),'Atividades Micro'!$K380,"")</f>
        <v/>
      </c>
      <c r="BD328" s="21" t="str">
        <f>IF(AND('Atividades Micro'!$B380=BD$2,'Atividades Micro'!$G380="Macro",'Atividades Micro'!$K380&lt;&gt;""),'Atividades Micro'!$K380,"")</f>
        <v/>
      </c>
      <c r="BE328" s="21" t="str">
        <f>IF(AND('Atividades Micro'!$B380=BE$2,'Atividades Micro'!$G380="Macro",'Atividades Micro'!$K380&lt;&gt;""),'Atividades Micro'!$K380,"")</f>
        <v/>
      </c>
      <c r="BF328" s="21" t="str">
        <f>IF(AND('Atividades Micro'!$B380=BF$2,'Atividades Micro'!$G380="Macro",'Atividades Micro'!$K380&lt;&gt;""),'Atividades Micro'!$K380,"")</f>
        <v/>
      </c>
      <c r="BG328" s="21" t="str">
        <f>IF(AND('Atividades Micro'!$B380=BG$2,'Atividades Micro'!$G380="Macro",'Atividades Micro'!$K380&lt;&gt;""),'Atividades Micro'!$K380,"")</f>
        <v/>
      </c>
      <c r="BH328" s="21" t="str">
        <f>IF(AND('Atividades Micro'!$B380=BH$2,'Atividades Micro'!$G380="Macro",'Atividades Micro'!$K380&lt;&gt;""),'Atividades Micro'!$K380,"")</f>
        <v/>
      </c>
      <c r="BI328" s="21" t="str">
        <f>IF(AND('Atividades Micro'!$B380=BI$2,'Atividades Micro'!$G380="Macro",'Atividades Micro'!$K380&lt;&gt;""),'Atividades Micro'!$K380,"")</f>
        <v/>
      </c>
      <c r="BJ328" s="21" t="str">
        <f>IF(AND('Atividades Micro'!$B380=BJ$2,'Atividades Micro'!$G380="Macro",'Atividades Micro'!$K380&lt;&gt;""),'Atividades Micro'!$K380,"")</f>
        <v/>
      </c>
      <c r="BK328" s="21" t="str">
        <f>IF(AND('Atividades Micro'!$B380=BK$2,'Atividades Micro'!$G380="Macro",'Atividades Micro'!$K380&lt;&gt;""),'Atividades Micro'!$K380,"")</f>
        <v/>
      </c>
      <c r="BL328" s="21" t="str">
        <f>IF(AND('Atividades Micro'!$B380=BL$2,'Atividades Micro'!$G380="Macro",'Atividades Micro'!$K380&lt;&gt;""),'Atividades Micro'!$K380,"")</f>
        <v/>
      </c>
      <c r="BM328" s="21" t="str">
        <f>IF(AND('Atividades Micro'!$B380=BM$2,'Atividades Micro'!$G380="Macro",'Atividades Micro'!$K380&lt;&gt;""),'Atividades Micro'!$K380,"")</f>
        <v/>
      </c>
      <c r="BN328" s="21" t="str">
        <f>IF(AND('Atividades Micro'!$B380=BN$2,'Atividades Micro'!$G380="Macro",'Atividades Micro'!$K380&lt;&gt;""),'Atividades Micro'!$K380,"")</f>
        <v/>
      </c>
      <c r="BO328" s="21" t="str">
        <f>IF(AND('Atividades Micro'!$B380=BO$2,'Atividades Micro'!$G380="Macro",'Atividades Micro'!$K380&lt;&gt;""),'Atividades Micro'!$K380,"")</f>
        <v/>
      </c>
      <c r="BP328" s="21" t="str">
        <f>IF(AND('Atividades Micro'!$B380=BP$2,'Atividades Micro'!$G380="Macro",'Atividades Micro'!$K380&lt;&gt;""),'Atividades Micro'!$K380,"")</f>
        <v/>
      </c>
      <c r="BQ328" s="21" t="str">
        <f>IF(AND('Atividades Micro'!$B380=BQ$2,'Atividades Micro'!$G380="Macro",'Atividades Micro'!$K380&lt;&gt;""),'Atividades Micro'!$K380,"")</f>
        <v/>
      </c>
      <c r="BR328" s="21" t="str">
        <f>IF(AND('Atividades Micro'!$B380=BR$2,'Atividades Micro'!$G380="Macro",'Atividades Micro'!$K380&lt;&gt;""),'Atividades Micro'!$K380,"")</f>
        <v/>
      </c>
      <c r="BS328" s="21" t="str">
        <f>IF(AND('Atividades Micro'!$B380=BS$2,'Atividades Micro'!$G380="Macro",'Atividades Micro'!$K380&lt;&gt;""),'Atividades Micro'!$K380,"")</f>
        <v/>
      </c>
      <c r="BT328" s="21" t="str">
        <f>IF(AND('Atividades Micro'!$B380=BT$2,'Atividades Micro'!$G380="Macro",'Atividades Micro'!$K380&lt;&gt;""),'Atividades Micro'!$K380,"")</f>
        <v/>
      </c>
      <c r="BU328" s="21" t="str">
        <f>IF(AND('Atividades Micro'!$B380=BU$2,'Atividades Micro'!$G380="Macro",'Atividades Micro'!$K380&lt;&gt;""),'Atividades Micro'!$K380,"")</f>
        <v/>
      </c>
      <c r="BV328" s="21" t="str">
        <f>IF(AND('Atividades Micro'!$B380=BV$2,'Atividades Micro'!$G380="Macro",'Atividades Micro'!$K380&lt;&gt;""),'Atividades Micro'!$K380,"")</f>
        <v/>
      </c>
      <c r="BW328" s="21" t="str">
        <f>IF(AND('Atividades Micro'!$B380=BW$2,'Atividades Micro'!$G380="Macro",'Atividades Micro'!$K380&lt;&gt;""),'Atividades Micro'!$K380,"")</f>
        <v/>
      </c>
      <c r="BX328" s="21" t="str">
        <f>IF(AND('Atividades Micro'!$B380=BX$2,'Atividades Micro'!$G380="Macro",'Atividades Micro'!$K380&lt;&gt;""),'Atividades Micro'!$K380,"")</f>
        <v/>
      </c>
      <c r="BY328" s="21" t="str">
        <f>IF(AND('Atividades Micro'!$B380=BY$2,'Atividades Micro'!$G380="Macro",'Atividades Micro'!$K380&lt;&gt;""),'Atividades Micro'!$K380,"")</f>
        <v/>
      </c>
      <c r="BZ328" s="21" t="str">
        <f>IF(AND('Atividades Micro'!$B380=BZ$2,'Atividades Micro'!$G380="Macro",'Atividades Micro'!$K380&lt;&gt;""),'Atividades Micro'!$K380,"")</f>
        <v/>
      </c>
      <c r="CA328" s="21" t="str">
        <f>IF(AND('Atividades Micro'!$B380=CA$2,'Atividades Micro'!$G380="Macro",'Atividades Micro'!$K380&lt;&gt;""),'Atividades Micro'!$K380,"")</f>
        <v/>
      </c>
      <c r="CB328" s="21" t="str">
        <f>IF(AND('Atividades Micro'!$B380=CB$2,'Atividades Micro'!$G380="Macro",'Atividades Micro'!$K380&lt;&gt;""),'Atividades Micro'!$K380,"")</f>
        <v/>
      </c>
      <c r="CC328" s="21" t="str">
        <f>IF(AND('Atividades Micro'!$B380=CC$2,'Atividades Micro'!$G380="Macro",'Atividades Micro'!$K380&lt;&gt;""),'Atividades Micro'!$K380,"")</f>
        <v/>
      </c>
      <c r="CD328" s="21" t="str">
        <f>IF(AND('Atividades Micro'!$B380=CD$2,'Atividades Micro'!$G380="Micro",'Atividades Micro'!$K380&lt;&gt;""),'Atividades Micro'!$K380,"")</f>
        <v/>
      </c>
      <c r="CE328" s="21" t="str">
        <f>IF(AND('Atividades Micro'!$B380=CE$2,'Atividades Micro'!$G380="Micro",'Atividades Micro'!$K380&lt;&gt;""),'Atividades Micro'!$K380,"")</f>
        <v/>
      </c>
      <c r="CF328" s="21" t="str">
        <f>IF(AND('Atividades Micro'!$B380=CF$2,'Atividades Micro'!$G380="Micro",'Atividades Micro'!$K380&lt;&gt;""),'Atividades Micro'!$K380,"")</f>
        <v/>
      </c>
      <c r="CG328" s="21" t="str">
        <f>IF(AND('Atividades Micro'!$B380=CG$2,'Atividades Micro'!$G380="Micro",'Atividades Micro'!$K380&lt;&gt;""),'Atividades Micro'!$K380,"")</f>
        <v/>
      </c>
      <c r="CH328" s="21" t="str">
        <f>IF(AND('Atividades Micro'!$B380=CH$2,'Atividades Micro'!$G380="Micro",'Atividades Micro'!$K380&lt;&gt;""),'Atividades Micro'!$K380,"")</f>
        <v/>
      </c>
      <c r="CI328" s="21" t="str">
        <f>IF(AND('Atividades Micro'!$B380=CI$2,'Atividades Micro'!$G380="Micro",'Atividades Micro'!$K380&lt;&gt;""),'Atividades Micro'!$K380,"")</f>
        <v/>
      </c>
      <c r="CJ328" s="21" t="str">
        <f>IF(AND('Atividades Micro'!$B380=CJ$2,'Atividades Micro'!$G380="Micro",'Atividades Micro'!$K380&lt;&gt;""),'Atividades Micro'!$K380,"")</f>
        <v/>
      </c>
      <c r="CK328" s="21" t="str">
        <f>IF(AND('Atividades Micro'!$B380=CK$2,'Atividades Micro'!$G380="Micro",'Atividades Micro'!$K380&lt;&gt;""),'Atividades Micro'!$K380,"")</f>
        <v/>
      </c>
      <c r="CL328" s="21" t="str">
        <f>IF(AND('Atividades Micro'!$B380=CL$2,'Atividades Micro'!$G380="Micro",'Atividades Micro'!$K380&lt;&gt;""),'Atividades Micro'!$K380,"")</f>
        <v/>
      </c>
      <c r="CM328" s="21" t="str">
        <f>IF(AND('Atividades Micro'!$B380=CM$2,'Atividades Micro'!$G380="Micro",'Atividades Micro'!$K380&lt;&gt;""),'Atividades Micro'!$K380,"")</f>
        <v/>
      </c>
      <c r="CN328" s="21" t="str">
        <f>IF(AND('Atividades Micro'!$B380=CN$2,'Atividades Micro'!$G380="Micro",'Atividades Micro'!$K380&lt;&gt;""),'Atividades Micro'!$K380,"")</f>
        <v/>
      </c>
      <c r="CO328" s="21" t="str">
        <f>IF(AND('Atividades Micro'!$B380=CO$2,'Atividades Micro'!$G380="Micro",'Atividades Micro'!$K380&lt;&gt;""),'Atividades Micro'!$K380,"")</f>
        <v/>
      </c>
    </row>
    <row r="329" spans="1:93">
      <c r="A329" s="21" t="str">
        <f>IF(AND('Atividades Micro'!$A381=A$2,'Atividades Micro'!$K381&lt;&gt;""),'Atividades Micro'!$K381,"")</f>
        <v/>
      </c>
      <c r="B329" s="21" t="str">
        <f>IF(AND('Atividades Micro'!$A381=B$2,'Atividades Micro'!$L381&lt;&gt;""),'Atividades Micro'!$L381,"")</f>
        <v/>
      </c>
      <c r="C329" s="21" t="str">
        <f>IF(AND('Atividades Micro'!$A381=C$2,'Atividades Micro'!$K381&lt;&gt;""),'Atividades Micro'!$K381,"")</f>
        <v/>
      </c>
      <c r="D329" s="21" t="str">
        <f>IF(AND('Atividades Micro'!$A381=D$2,'Atividades Micro'!$L381&lt;&gt;""),'Atividades Micro'!$L381,"")</f>
        <v/>
      </c>
      <c r="E329" s="21" t="str">
        <f>IF(AND('Atividades Micro'!$A381=E$2,'Atividades Micro'!$K381&lt;&gt;""),'Atividades Micro'!$K381,"")</f>
        <v/>
      </c>
      <c r="F329" s="21" t="str">
        <f>IF(AND('Atividades Micro'!$A381=F$2,'Atividades Micro'!$L381&lt;&gt;""),'Atividades Micro'!$L381,"")</f>
        <v/>
      </c>
      <c r="G329" s="21" t="str">
        <f>IF(AND('Atividades Micro'!$A381=G$2,'Atividades Micro'!$K381&lt;&gt;""),'Atividades Micro'!$K381,"")</f>
        <v/>
      </c>
      <c r="H329" s="21" t="str">
        <f>IF(AND('Atividades Micro'!$A381=H$2,'Atividades Micro'!$L381&lt;&gt;""),'Atividades Micro'!$L381,"")</f>
        <v/>
      </c>
      <c r="I329" s="21" t="str">
        <f>IF(AND('Atividades Micro'!$A381=I$2,'Atividades Micro'!$K381&lt;&gt;""),'Atividades Micro'!$K381,"")</f>
        <v/>
      </c>
      <c r="J329" s="21" t="str">
        <f>IF(AND('Atividades Micro'!$A381=J$2,'Atividades Micro'!$L381&lt;&gt;""),'Atividades Micro'!$L381,"")</f>
        <v/>
      </c>
      <c r="K329" s="21" t="str">
        <f>IF(AND('Atividades Micro'!$B381=K$2,'Atividades Micro'!$K381&lt;&gt;""),'Atividades Micro'!$K381,"")</f>
        <v/>
      </c>
      <c r="L329" s="21" t="str">
        <f>IF(AND('Atividades Micro'!$B381=L$2,'Atividades Micro'!$L381&lt;&gt;""),'Atividades Micro'!$L381,"")</f>
        <v/>
      </c>
      <c r="M329" s="21" t="str">
        <f>IF(AND('Atividades Micro'!$B381=M$2,'Atividades Micro'!$K381&lt;&gt;""),'Atividades Micro'!$K381,"")</f>
        <v/>
      </c>
      <c r="N329" s="21" t="str">
        <f>IF(AND('Atividades Micro'!$B381=N$2,'Atividades Micro'!$L381&lt;&gt;""),'Atividades Micro'!$L381,"")</f>
        <v/>
      </c>
      <c r="O329" s="21" t="str">
        <f>IF(AND('Atividades Micro'!$A381=O$2,'Atividades Micro'!$K381&lt;&gt;""),'Atividades Micro'!$K381,"")</f>
        <v/>
      </c>
      <c r="P329" s="21" t="str">
        <f>IF(AND('Atividades Micro'!$A381=P$2,'Atividades Micro'!$L381&lt;&gt;""),'Atividades Micro'!$L381,"")</f>
        <v/>
      </c>
      <c r="Q329" s="21" t="str">
        <f>IF(AND('Atividades Micro'!$B381=Q$2,'Atividades Micro'!$K381&lt;&gt;""),'Atividades Micro'!$K381,"")</f>
        <v/>
      </c>
      <c r="R329" s="21" t="str">
        <f>IF(AND('Atividades Micro'!$B381=R$2,'Atividades Micro'!$L381&lt;&gt;""),'Atividades Micro'!$L381,"")</f>
        <v/>
      </c>
      <c r="S329" s="21" t="str">
        <f>IF(AND('Atividades Micro'!$A381=S$2,'Atividades Micro'!$K381&lt;&gt;""),'Atividades Micro'!$K381,"")</f>
        <v/>
      </c>
      <c r="T329" s="21" t="str">
        <f>IF(AND('Atividades Micro'!$A381=T$2,'Atividades Micro'!$L381&lt;&gt;""),'Atividades Micro'!$L381,"")</f>
        <v/>
      </c>
      <c r="U329" s="21" t="str">
        <f>IF(AND('Atividades Micro'!$B381=U$2,'Atividades Micro'!$K381&lt;&gt;""),'Atividades Micro'!$K381,"")</f>
        <v/>
      </c>
      <c r="V329" s="21" t="str">
        <f>IF(AND('Atividades Micro'!$B381=V$2,'Atividades Micro'!$L381&lt;&gt;""),'Atividades Micro'!$L381,"")</f>
        <v/>
      </c>
      <c r="W329" s="21" t="str">
        <f>IF(AND('Atividades Micro'!$B381=W$2,'Atividades Micro'!$K381&lt;&gt;""),'Atividades Micro'!$K381,"")</f>
        <v/>
      </c>
      <c r="X329" s="21" t="str">
        <f>IF(AND('Atividades Micro'!$B381=X$2,'Atividades Micro'!$L381&lt;&gt;""),'Atividades Micro'!$L381,"")</f>
        <v/>
      </c>
      <c r="Y329" s="21" t="str">
        <f>IF(AND('Atividades Micro'!$A381=Y$2,'Atividades Micro'!$K381&lt;&gt;""),'Atividades Micro'!$K381,"")</f>
        <v/>
      </c>
      <c r="Z329" s="21" t="str">
        <f>IF(AND('Atividades Micro'!$A381=Z$2,'Atividades Micro'!$L381&lt;&gt;""),'Atividades Micro'!$L381,"")</f>
        <v/>
      </c>
      <c r="AA329" s="21" t="str">
        <f>IF(AND('Atividades Micro'!$B381=AA$2,'Atividades Micro'!$K381&lt;&gt;""),'Atividades Micro'!$K381,"")</f>
        <v/>
      </c>
      <c r="AB329" s="21" t="str">
        <f>IF(AND('Atividades Micro'!$B381=AB$2,'Atividades Micro'!$L381&lt;&gt;""),'Atividades Micro'!$L381,"")</f>
        <v/>
      </c>
      <c r="AC329" s="21" t="str">
        <f>IF(AND('Atividades Micro'!$B381=AC$2,'Atividades Micro'!$K381&lt;&gt;""),'Atividades Micro'!$K381,"")</f>
        <v/>
      </c>
      <c r="AD329" s="21" t="str">
        <f>IF(AND('Atividades Micro'!$B381=AD$2,'Atividades Micro'!$L381&lt;&gt;""),'Atividades Micro'!$L381,"")</f>
        <v/>
      </c>
      <c r="AE329" s="21" t="str">
        <f>IF(AND('Atividades Micro'!$A381=AE$2,'Atividades Micro'!$K381&lt;&gt;""),'Atividades Micro'!$K381,"")</f>
        <v/>
      </c>
      <c r="AF329" s="21" t="str">
        <f>IF(AND('Atividades Micro'!$A381=AF$2,'Atividades Micro'!$L381&lt;&gt;""),'Atividades Micro'!$L381,"")</f>
        <v/>
      </c>
      <c r="AG329" s="21" t="str">
        <f>IF(AND('Atividades Micro'!$B381=AG$2,'Atividades Micro'!$K381&lt;&gt;""),'Atividades Micro'!$K381,"")</f>
        <v/>
      </c>
      <c r="AH329" s="21" t="str">
        <f>IF(AND('Atividades Micro'!$B381=AH$2,'Atividades Micro'!$L381&lt;&gt;""),'Atividades Micro'!$L381,"")</f>
        <v/>
      </c>
      <c r="AI329" s="21" t="str">
        <f>IF(AND('Atividades Micro'!$B381=AI$2,'Atividades Micro'!$K381&lt;&gt;""),'Atividades Micro'!$K381,"")</f>
        <v/>
      </c>
      <c r="AJ329" s="21" t="str">
        <f>IF(AND('Atividades Micro'!$B381=AJ$2,'Atividades Micro'!$L381&lt;&gt;""),'Atividades Micro'!$L381,"")</f>
        <v/>
      </c>
      <c r="AK329" s="21" t="str">
        <f>IF(AND('Atividades Micro'!$A381=AK$2,'Atividades Micro'!$K381&lt;&gt;""),'Atividades Micro'!$K381,"")</f>
        <v/>
      </c>
      <c r="AL329" s="21" t="str">
        <f>IF(AND('Atividades Micro'!$A381=AL$2,'Atividades Micro'!$L381&lt;&gt;""),'Atividades Micro'!$L381,"")</f>
        <v/>
      </c>
      <c r="AM329" s="21" t="str">
        <f>IF(AND('Atividades Micro'!$B381=AM$2,'Atividades Micro'!$K381&lt;&gt;""),'Atividades Micro'!$K381,"")</f>
        <v/>
      </c>
      <c r="AN329" s="21" t="str">
        <f>IF(AND('Atividades Micro'!$B381=AN$2,'Atividades Micro'!$L381&lt;&gt;""),'Atividades Micro'!$L381,"")</f>
        <v/>
      </c>
      <c r="AO329" s="21" t="str">
        <f>IF(AND('Atividades Micro'!$B381=AO$2,'Atividades Micro'!$K381&lt;&gt;""),'Atividades Micro'!$K381,"")</f>
        <v/>
      </c>
      <c r="AP329" s="21" t="str">
        <f>IF(AND('Atividades Micro'!$B381=AP$2,'Atividades Micro'!$L381&lt;&gt;""),'Atividades Micro'!$L381,"")</f>
        <v/>
      </c>
      <c r="AQ329" s="21" t="str">
        <f>IF(AND('Atividades Micro'!$A381=AQ$2,'Atividades Micro'!$K381&lt;&gt;""),'Atividades Micro'!$K381,"")</f>
        <v/>
      </c>
      <c r="AR329" s="21" t="str">
        <f>IF(AND('Atividades Micro'!$A381=AR$2,'Atividades Micro'!$L381&lt;&gt;""),'Atividades Micro'!$L381,"")</f>
        <v/>
      </c>
      <c r="AS329" s="21" t="str">
        <f>IF(AND('Atividades Micro'!$B381=AS$2,'Atividades Micro'!$K381&lt;&gt;""),'Atividades Micro'!$K381,"")</f>
        <v/>
      </c>
      <c r="AT329" s="21" t="str">
        <f>IF(AND('Atividades Micro'!$B381=AT$2,'Atividades Micro'!$L381&lt;&gt;""),'Atividades Micro'!$L381,"")</f>
        <v/>
      </c>
      <c r="AU329" s="21" t="str">
        <f>IF(AND('Atividades Micro'!$A381=AU$2,'Atividades Micro'!$K381&lt;&gt;""),'Atividades Micro'!$K381,"")</f>
        <v/>
      </c>
      <c r="AV329" s="21" t="str">
        <f>IF(AND('Atividades Micro'!$A381=AV$2,'Atividades Micro'!$L381&lt;&gt;""),'Atividades Micro'!$L381,"")</f>
        <v/>
      </c>
      <c r="AW329" s="21" t="str">
        <f>IF(AND('Atividades Micro'!$B381=AW$2,'Atividades Micro'!$K381&lt;&gt;""),'Atividades Micro'!$K381,"")</f>
        <v/>
      </c>
      <c r="AX329" s="21" t="str">
        <f>IF(AND('Atividades Micro'!$B381=AX$2,'Atividades Micro'!$L381&lt;&gt;""),'Atividades Micro'!$L381,"")</f>
        <v/>
      </c>
      <c r="AY329" s="21" t="str">
        <f>IF(AND('Atividades Micro'!$A381=AY$2,'Atividades Micro'!$K381&lt;&gt;""),'Atividades Micro'!$K381,"")</f>
        <v/>
      </c>
      <c r="AZ329" s="21" t="str">
        <f>IF(AND('Atividades Micro'!$A381=AZ$2,'Atividades Micro'!$L381&lt;&gt;""),'Atividades Micro'!$L381,"")</f>
        <v/>
      </c>
      <c r="BA329" s="21" t="str">
        <f>IF(AND('Atividades Micro'!$B381=BA$2,'Atividades Micro'!$K381&lt;&gt;""),'Atividades Micro'!$K381,"")</f>
        <v/>
      </c>
      <c r="BB329" s="21" t="str">
        <f>IF(AND('Atividades Micro'!$B381=BB$2,'Atividades Micro'!$L381&lt;&gt;""),'Atividades Micro'!$L381,"")</f>
        <v/>
      </c>
      <c r="BC329" s="21" t="str">
        <f>IF(AND('Atividades Micro'!$B381=BC$2,'Atividades Micro'!$G381="Macro",'Atividades Micro'!$K381&lt;&gt;""),'Atividades Micro'!$K381,"")</f>
        <v/>
      </c>
      <c r="BD329" s="21" t="str">
        <f>IF(AND('Atividades Micro'!$B381=BD$2,'Atividades Micro'!$G381="Macro",'Atividades Micro'!$K381&lt;&gt;""),'Atividades Micro'!$K381,"")</f>
        <v/>
      </c>
      <c r="BE329" s="21" t="str">
        <f>IF(AND('Atividades Micro'!$B381=BE$2,'Atividades Micro'!$G381="Macro",'Atividades Micro'!$K381&lt;&gt;""),'Atividades Micro'!$K381,"")</f>
        <v/>
      </c>
      <c r="BF329" s="21" t="str">
        <f>IF(AND('Atividades Micro'!$B381=BF$2,'Atividades Micro'!$G381="Macro",'Atividades Micro'!$K381&lt;&gt;""),'Atividades Micro'!$K381,"")</f>
        <v/>
      </c>
      <c r="BG329" s="21" t="str">
        <f>IF(AND('Atividades Micro'!$B381=BG$2,'Atividades Micro'!$G381="Macro",'Atividades Micro'!$K381&lt;&gt;""),'Atividades Micro'!$K381,"")</f>
        <v/>
      </c>
      <c r="BH329" s="21" t="str">
        <f>IF(AND('Atividades Micro'!$B381=BH$2,'Atividades Micro'!$G381="Macro",'Atividades Micro'!$K381&lt;&gt;""),'Atividades Micro'!$K381,"")</f>
        <v/>
      </c>
      <c r="BI329" s="21" t="str">
        <f>IF(AND('Atividades Micro'!$B381=BI$2,'Atividades Micro'!$G381="Macro",'Atividades Micro'!$K381&lt;&gt;""),'Atividades Micro'!$K381,"")</f>
        <v/>
      </c>
      <c r="BJ329" s="21" t="str">
        <f>IF(AND('Atividades Micro'!$B381=BJ$2,'Atividades Micro'!$G381="Macro",'Atividades Micro'!$K381&lt;&gt;""),'Atividades Micro'!$K381,"")</f>
        <v/>
      </c>
      <c r="BK329" s="21" t="str">
        <f>IF(AND('Atividades Micro'!$B381=BK$2,'Atividades Micro'!$G381="Macro",'Atividades Micro'!$K381&lt;&gt;""),'Atividades Micro'!$K381,"")</f>
        <v/>
      </c>
      <c r="BL329" s="21" t="str">
        <f>IF(AND('Atividades Micro'!$B381=BL$2,'Atividades Micro'!$G381="Macro",'Atividades Micro'!$K381&lt;&gt;""),'Atividades Micro'!$K381,"")</f>
        <v/>
      </c>
      <c r="BM329" s="21" t="str">
        <f>IF(AND('Atividades Micro'!$B381=BM$2,'Atividades Micro'!$G381="Macro",'Atividades Micro'!$K381&lt;&gt;""),'Atividades Micro'!$K381,"")</f>
        <v/>
      </c>
      <c r="BN329" s="21" t="str">
        <f>IF(AND('Atividades Micro'!$B381=BN$2,'Atividades Micro'!$G381="Macro",'Atividades Micro'!$K381&lt;&gt;""),'Atividades Micro'!$K381,"")</f>
        <v/>
      </c>
      <c r="BO329" s="21" t="str">
        <f>IF(AND('Atividades Micro'!$B381=BO$2,'Atividades Micro'!$G381="Macro",'Atividades Micro'!$K381&lt;&gt;""),'Atividades Micro'!$K381,"")</f>
        <v/>
      </c>
      <c r="BP329" s="21" t="str">
        <f>IF(AND('Atividades Micro'!$B381=BP$2,'Atividades Micro'!$G381="Macro",'Atividades Micro'!$K381&lt;&gt;""),'Atividades Micro'!$K381,"")</f>
        <v/>
      </c>
      <c r="BQ329" s="21" t="str">
        <f>IF(AND('Atividades Micro'!$B381=BQ$2,'Atividades Micro'!$G381="Macro",'Atividades Micro'!$K381&lt;&gt;""),'Atividades Micro'!$K381,"")</f>
        <v/>
      </c>
      <c r="BR329" s="21" t="str">
        <f>IF(AND('Atividades Micro'!$B381=BR$2,'Atividades Micro'!$G381="Macro",'Atividades Micro'!$K381&lt;&gt;""),'Atividades Micro'!$K381,"")</f>
        <v/>
      </c>
      <c r="BS329" s="21" t="str">
        <f>IF(AND('Atividades Micro'!$B381=BS$2,'Atividades Micro'!$G381="Macro",'Atividades Micro'!$K381&lt;&gt;""),'Atividades Micro'!$K381,"")</f>
        <v/>
      </c>
      <c r="BT329" s="21" t="str">
        <f>IF(AND('Atividades Micro'!$B381=BT$2,'Atividades Micro'!$G381="Macro",'Atividades Micro'!$K381&lt;&gt;""),'Atividades Micro'!$K381,"")</f>
        <v/>
      </c>
      <c r="BU329" s="21" t="str">
        <f>IF(AND('Atividades Micro'!$B381=BU$2,'Atividades Micro'!$G381="Macro",'Atividades Micro'!$K381&lt;&gt;""),'Atividades Micro'!$K381,"")</f>
        <v/>
      </c>
      <c r="BV329" s="21" t="str">
        <f>IF(AND('Atividades Micro'!$B381=BV$2,'Atividades Micro'!$G381="Macro",'Atividades Micro'!$K381&lt;&gt;""),'Atividades Micro'!$K381,"")</f>
        <v/>
      </c>
      <c r="BW329" s="21" t="str">
        <f>IF(AND('Atividades Micro'!$B381=BW$2,'Atividades Micro'!$G381="Macro",'Atividades Micro'!$K381&lt;&gt;""),'Atividades Micro'!$K381,"")</f>
        <v/>
      </c>
      <c r="BX329" s="21" t="str">
        <f>IF(AND('Atividades Micro'!$B381=BX$2,'Atividades Micro'!$G381="Macro",'Atividades Micro'!$K381&lt;&gt;""),'Atividades Micro'!$K381,"")</f>
        <v/>
      </c>
      <c r="BY329" s="21" t="str">
        <f>IF(AND('Atividades Micro'!$B381=BY$2,'Atividades Micro'!$G381="Macro",'Atividades Micro'!$K381&lt;&gt;""),'Atividades Micro'!$K381,"")</f>
        <v/>
      </c>
      <c r="BZ329" s="21" t="str">
        <f>IF(AND('Atividades Micro'!$B381=BZ$2,'Atividades Micro'!$G381="Macro",'Atividades Micro'!$K381&lt;&gt;""),'Atividades Micro'!$K381,"")</f>
        <v/>
      </c>
      <c r="CA329" s="21" t="str">
        <f>IF(AND('Atividades Micro'!$B381=CA$2,'Atividades Micro'!$G381="Macro",'Atividades Micro'!$K381&lt;&gt;""),'Atividades Micro'!$K381,"")</f>
        <v/>
      </c>
      <c r="CB329" s="21" t="str">
        <f>IF(AND('Atividades Micro'!$B381=CB$2,'Atividades Micro'!$G381="Macro",'Atividades Micro'!$K381&lt;&gt;""),'Atividades Micro'!$K381,"")</f>
        <v/>
      </c>
      <c r="CC329" s="21" t="str">
        <f>IF(AND('Atividades Micro'!$B381=CC$2,'Atividades Micro'!$G381="Macro",'Atividades Micro'!$K381&lt;&gt;""),'Atividades Micro'!$K381,"")</f>
        <v/>
      </c>
      <c r="CD329" s="21" t="str">
        <f>IF(AND('Atividades Micro'!$B381=CD$2,'Atividades Micro'!$G381="Micro",'Atividades Micro'!$K381&lt;&gt;""),'Atividades Micro'!$K381,"")</f>
        <v/>
      </c>
      <c r="CE329" s="21" t="str">
        <f>IF(AND('Atividades Micro'!$B381=CE$2,'Atividades Micro'!$G381="Micro",'Atividades Micro'!$K381&lt;&gt;""),'Atividades Micro'!$K381,"")</f>
        <v/>
      </c>
      <c r="CF329" s="21" t="str">
        <f>IF(AND('Atividades Micro'!$B381=CF$2,'Atividades Micro'!$G381="Micro",'Atividades Micro'!$K381&lt;&gt;""),'Atividades Micro'!$K381,"")</f>
        <v/>
      </c>
      <c r="CG329" s="21" t="str">
        <f>IF(AND('Atividades Micro'!$B381=CG$2,'Atividades Micro'!$G381="Micro",'Atividades Micro'!$K381&lt;&gt;""),'Atividades Micro'!$K381,"")</f>
        <v/>
      </c>
      <c r="CH329" s="21" t="str">
        <f>IF(AND('Atividades Micro'!$B381=CH$2,'Atividades Micro'!$G381="Micro",'Atividades Micro'!$K381&lt;&gt;""),'Atividades Micro'!$K381,"")</f>
        <v/>
      </c>
      <c r="CI329" s="21" t="str">
        <f>IF(AND('Atividades Micro'!$B381=CI$2,'Atividades Micro'!$G381="Micro",'Atividades Micro'!$K381&lt;&gt;""),'Atividades Micro'!$K381,"")</f>
        <v/>
      </c>
      <c r="CJ329" s="21" t="str">
        <f>IF(AND('Atividades Micro'!$B381=CJ$2,'Atividades Micro'!$G381="Micro",'Atividades Micro'!$K381&lt;&gt;""),'Atividades Micro'!$K381,"")</f>
        <v/>
      </c>
      <c r="CK329" s="21" t="str">
        <f>IF(AND('Atividades Micro'!$B381=CK$2,'Atividades Micro'!$G381="Micro",'Atividades Micro'!$K381&lt;&gt;""),'Atividades Micro'!$K381,"")</f>
        <v/>
      </c>
      <c r="CL329" s="21" t="str">
        <f>IF(AND('Atividades Micro'!$B381=CL$2,'Atividades Micro'!$G381="Micro",'Atividades Micro'!$K381&lt;&gt;""),'Atividades Micro'!$K381,"")</f>
        <v/>
      </c>
      <c r="CM329" s="21" t="str">
        <f>IF(AND('Atividades Micro'!$B381=CM$2,'Atividades Micro'!$G381="Micro",'Atividades Micro'!$K381&lt;&gt;""),'Atividades Micro'!$K381,"")</f>
        <v/>
      </c>
      <c r="CN329" s="21" t="str">
        <f>IF(AND('Atividades Micro'!$B381=CN$2,'Atividades Micro'!$G381="Micro",'Atividades Micro'!$K381&lt;&gt;""),'Atividades Micro'!$K381,"")</f>
        <v/>
      </c>
      <c r="CO329" s="21" t="str">
        <f>IF(AND('Atividades Micro'!$B381=CO$2,'Atividades Micro'!$G381="Micro",'Atividades Micro'!$K381&lt;&gt;""),'Atividades Micro'!$K381,"")</f>
        <v/>
      </c>
    </row>
    <row r="330" spans="1:93">
      <c r="A330" s="21" t="str">
        <f>IF(AND('Atividades Micro'!$A382=A$2,'Atividades Micro'!$K382&lt;&gt;""),'Atividades Micro'!$K382,"")</f>
        <v/>
      </c>
      <c r="B330" s="21" t="str">
        <f>IF(AND('Atividades Micro'!$A382=B$2,'Atividades Micro'!$L382&lt;&gt;""),'Atividades Micro'!$L382,"")</f>
        <v/>
      </c>
      <c r="C330" s="21" t="str">
        <f>IF(AND('Atividades Micro'!$A382=C$2,'Atividades Micro'!$K382&lt;&gt;""),'Atividades Micro'!$K382,"")</f>
        <v/>
      </c>
      <c r="D330" s="21" t="str">
        <f>IF(AND('Atividades Micro'!$A382=D$2,'Atividades Micro'!$L382&lt;&gt;""),'Atividades Micro'!$L382,"")</f>
        <v/>
      </c>
      <c r="E330" s="21" t="str">
        <f>IF(AND('Atividades Micro'!$A382=E$2,'Atividades Micro'!$K382&lt;&gt;""),'Atividades Micro'!$K382,"")</f>
        <v/>
      </c>
      <c r="F330" s="21" t="str">
        <f>IF(AND('Atividades Micro'!$A382=F$2,'Atividades Micro'!$L382&lt;&gt;""),'Atividades Micro'!$L382,"")</f>
        <v/>
      </c>
      <c r="G330" s="21" t="str">
        <f>IF(AND('Atividades Micro'!$A382=G$2,'Atividades Micro'!$K382&lt;&gt;""),'Atividades Micro'!$K382,"")</f>
        <v/>
      </c>
      <c r="H330" s="21" t="str">
        <f>IF(AND('Atividades Micro'!$A382=H$2,'Atividades Micro'!$L382&lt;&gt;""),'Atividades Micro'!$L382,"")</f>
        <v/>
      </c>
      <c r="I330" s="21" t="str">
        <f>IF(AND('Atividades Micro'!$A382=I$2,'Atividades Micro'!$K382&lt;&gt;""),'Atividades Micro'!$K382,"")</f>
        <v/>
      </c>
      <c r="J330" s="21" t="str">
        <f>IF(AND('Atividades Micro'!$A382=J$2,'Atividades Micro'!$L382&lt;&gt;""),'Atividades Micro'!$L382,"")</f>
        <v/>
      </c>
      <c r="K330" s="21" t="str">
        <f>IF(AND('Atividades Micro'!$B382=K$2,'Atividades Micro'!$K382&lt;&gt;""),'Atividades Micro'!$K382,"")</f>
        <v/>
      </c>
      <c r="L330" s="21" t="str">
        <f>IF(AND('Atividades Micro'!$B382=L$2,'Atividades Micro'!$L382&lt;&gt;""),'Atividades Micro'!$L382,"")</f>
        <v/>
      </c>
      <c r="M330" s="21" t="str">
        <f>IF(AND('Atividades Micro'!$B382=M$2,'Atividades Micro'!$K382&lt;&gt;""),'Atividades Micro'!$K382,"")</f>
        <v/>
      </c>
      <c r="N330" s="21" t="str">
        <f>IF(AND('Atividades Micro'!$B382=N$2,'Atividades Micro'!$L382&lt;&gt;""),'Atividades Micro'!$L382,"")</f>
        <v/>
      </c>
      <c r="O330" s="21" t="str">
        <f>IF(AND('Atividades Micro'!$A382=O$2,'Atividades Micro'!$K382&lt;&gt;""),'Atividades Micro'!$K382,"")</f>
        <v/>
      </c>
      <c r="P330" s="21" t="str">
        <f>IF(AND('Atividades Micro'!$A382=P$2,'Atividades Micro'!$L382&lt;&gt;""),'Atividades Micro'!$L382,"")</f>
        <v/>
      </c>
      <c r="Q330" s="21" t="str">
        <f>IF(AND('Atividades Micro'!$B382=Q$2,'Atividades Micro'!$K382&lt;&gt;""),'Atividades Micro'!$K382,"")</f>
        <v/>
      </c>
      <c r="R330" s="21" t="str">
        <f>IF(AND('Atividades Micro'!$B382=R$2,'Atividades Micro'!$L382&lt;&gt;""),'Atividades Micro'!$L382,"")</f>
        <v/>
      </c>
      <c r="S330" s="21" t="str">
        <f>IF(AND('Atividades Micro'!$A382=S$2,'Atividades Micro'!$K382&lt;&gt;""),'Atividades Micro'!$K382,"")</f>
        <v/>
      </c>
      <c r="T330" s="21" t="str">
        <f>IF(AND('Atividades Micro'!$A382=T$2,'Atividades Micro'!$L382&lt;&gt;""),'Atividades Micro'!$L382,"")</f>
        <v/>
      </c>
      <c r="U330" s="21" t="str">
        <f>IF(AND('Atividades Micro'!$B382=U$2,'Atividades Micro'!$K382&lt;&gt;""),'Atividades Micro'!$K382,"")</f>
        <v/>
      </c>
      <c r="V330" s="21" t="str">
        <f>IF(AND('Atividades Micro'!$B382=V$2,'Atividades Micro'!$L382&lt;&gt;""),'Atividades Micro'!$L382,"")</f>
        <v/>
      </c>
      <c r="W330" s="21" t="str">
        <f>IF(AND('Atividades Micro'!$B382=W$2,'Atividades Micro'!$K382&lt;&gt;""),'Atividades Micro'!$K382,"")</f>
        <v/>
      </c>
      <c r="X330" s="21" t="str">
        <f>IF(AND('Atividades Micro'!$B382=X$2,'Atividades Micro'!$L382&lt;&gt;""),'Atividades Micro'!$L382,"")</f>
        <v/>
      </c>
      <c r="Y330" s="21" t="str">
        <f>IF(AND('Atividades Micro'!$A382=Y$2,'Atividades Micro'!$K382&lt;&gt;""),'Atividades Micro'!$K382,"")</f>
        <v/>
      </c>
      <c r="Z330" s="21" t="str">
        <f>IF(AND('Atividades Micro'!$A382=Z$2,'Atividades Micro'!$L382&lt;&gt;""),'Atividades Micro'!$L382,"")</f>
        <v/>
      </c>
      <c r="AA330" s="21" t="str">
        <f>IF(AND('Atividades Micro'!$B382=AA$2,'Atividades Micro'!$K382&lt;&gt;""),'Atividades Micro'!$K382,"")</f>
        <v/>
      </c>
      <c r="AB330" s="21" t="str">
        <f>IF(AND('Atividades Micro'!$B382=AB$2,'Atividades Micro'!$L382&lt;&gt;""),'Atividades Micro'!$L382,"")</f>
        <v/>
      </c>
      <c r="AC330" s="21" t="str">
        <f>IF(AND('Atividades Micro'!$B382=AC$2,'Atividades Micro'!$K382&lt;&gt;""),'Atividades Micro'!$K382,"")</f>
        <v/>
      </c>
      <c r="AD330" s="21" t="str">
        <f>IF(AND('Atividades Micro'!$B382=AD$2,'Atividades Micro'!$L382&lt;&gt;""),'Atividades Micro'!$L382,"")</f>
        <v/>
      </c>
      <c r="AE330" s="21" t="str">
        <f>IF(AND('Atividades Micro'!$A382=AE$2,'Atividades Micro'!$K382&lt;&gt;""),'Atividades Micro'!$K382,"")</f>
        <v/>
      </c>
      <c r="AF330" s="21" t="str">
        <f>IF(AND('Atividades Micro'!$A382=AF$2,'Atividades Micro'!$L382&lt;&gt;""),'Atividades Micro'!$L382,"")</f>
        <v/>
      </c>
      <c r="AG330" s="21" t="str">
        <f>IF(AND('Atividades Micro'!$B382=AG$2,'Atividades Micro'!$K382&lt;&gt;""),'Atividades Micro'!$K382,"")</f>
        <v/>
      </c>
      <c r="AH330" s="21" t="str">
        <f>IF(AND('Atividades Micro'!$B382=AH$2,'Atividades Micro'!$L382&lt;&gt;""),'Atividades Micro'!$L382,"")</f>
        <v/>
      </c>
      <c r="AI330" s="21" t="str">
        <f>IF(AND('Atividades Micro'!$B382=AI$2,'Atividades Micro'!$K382&lt;&gt;""),'Atividades Micro'!$K382,"")</f>
        <v/>
      </c>
      <c r="AJ330" s="21" t="str">
        <f>IF(AND('Atividades Micro'!$B382=AJ$2,'Atividades Micro'!$L382&lt;&gt;""),'Atividades Micro'!$L382,"")</f>
        <v/>
      </c>
      <c r="AK330" s="21" t="str">
        <f>IF(AND('Atividades Micro'!$A382=AK$2,'Atividades Micro'!$K382&lt;&gt;""),'Atividades Micro'!$K382,"")</f>
        <v/>
      </c>
      <c r="AL330" s="21" t="str">
        <f>IF(AND('Atividades Micro'!$A382=AL$2,'Atividades Micro'!$L382&lt;&gt;""),'Atividades Micro'!$L382,"")</f>
        <v/>
      </c>
      <c r="AM330" s="21" t="str">
        <f>IF(AND('Atividades Micro'!$B382=AM$2,'Atividades Micro'!$K382&lt;&gt;""),'Atividades Micro'!$K382,"")</f>
        <v/>
      </c>
      <c r="AN330" s="21" t="str">
        <f>IF(AND('Atividades Micro'!$B382=AN$2,'Atividades Micro'!$L382&lt;&gt;""),'Atividades Micro'!$L382,"")</f>
        <v/>
      </c>
      <c r="AO330" s="21" t="str">
        <f>IF(AND('Atividades Micro'!$B382=AO$2,'Atividades Micro'!$K382&lt;&gt;""),'Atividades Micro'!$K382,"")</f>
        <v/>
      </c>
      <c r="AP330" s="21" t="str">
        <f>IF(AND('Atividades Micro'!$B382=AP$2,'Atividades Micro'!$L382&lt;&gt;""),'Atividades Micro'!$L382,"")</f>
        <v/>
      </c>
      <c r="AQ330" s="21" t="str">
        <f>IF(AND('Atividades Micro'!$A382=AQ$2,'Atividades Micro'!$K382&lt;&gt;""),'Atividades Micro'!$K382,"")</f>
        <v/>
      </c>
      <c r="AR330" s="21" t="str">
        <f>IF(AND('Atividades Micro'!$A382=AR$2,'Atividades Micro'!$L382&lt;&gt;""),'Atividades Micro'!$L382,"")</f>
        <v/>
      </c>
      <c r="AS330" s="21" t="str">
        <f>IF(AND('Atividades Micro'!$B382=AS$2,'Atividades Micro'!$K382&lt;&gt;""),'Atividades Micro'!$K382,"")</f>
        <v/>
      </c>
      <c r="AT330" s="21" t="str">
        <f>IF(AND('Atividades Micro'!$B382=AT$2,'Atividades Micro'!$L382&lt;&gt;""),'Atividades Micro'!$L382,"")</f>
        <v/>
      </c>
      <c r="AU330" s="21" t="str">
        <f>IF(AND('Atividades Micro'!$A382=AU$2,'Atividades Micro'!$K382&lt;&gt;""),'Atividades Micro'!$K382,"")</f>
        <v/>
      </c>
      <c r="AV330" s="21" t="str">
        <f>IF(AND('Atividades Micro'!$A382=AV$2,'Atividades Micro'!$L382&lt;&gt;""),'Atividades Micro'!$L382,"")</f>
        <v/>
      </c>
      <c r="AW330" s="21" t="str">
        <f>IF(AND('Atividades Micro'!$B382=AW$2,'Atividades Micro'!$K382&lt;&gt;""),'Atividades Micro'!$K382,"")</f>
        <v/>
      </c>
      <c r="AX330" s="21" t="str">
        <f>IF(AND('Atividades Micro'!$B382=AX$2,'Atividades Micro'!$L382&lt;&gt;""),'Atividades Micro'!$L382,"")</f>
        <v/>
      </c>
      <c r="AY330" s="21" t="str">
        <f>IF(AND('Atividades Micro'!$A382=AY$2,'Atividades Micro'!$K382&lt;&gt;""),'Atividades Micro'!$K382,"")</f>
        <v/>
      </c>
      <c r="AZ330" s="21" t="str">
        <f>IF(AND('Atividades Micro'!$A382=AZ$2,'Atividades Micro'!$L382&lt;&gt;""),'Atividades Micro'!$L382,"")</f>
        <v/>
      </c>
      <c r="BA330" s="21" t="str">
        <f>IF(AND('Atividades Micro'!$B382=BA$2,'Atividades Micro'!$K382&lt;&gt;""),'Atividades Micro'!$K382,"")</f>
        <v/>
      </c>
      <c r="BB330" s="21" t="str">
        <f>IF(AND('Atividades Micro'!$B382=BB$2,'Atividades Micro'!$L382&lt;&gt;""),'Atividades Micro'!$L382,"")</f>
        <v/>
      </c>
      <c r="BC330" s="21" t="str">
        <f>IF(AND('Atividades Micro'!$B382=BC$2,'Atividades Micro'!$G382="Macro",'Atividades Micro'!$K382&lt;&gt;""),'Atividades Micro'!$K382,"")</f>
        <v/>
      </c>
      <c r="BD330" s="21" t="str">
        <f>IF(AND('Atividades Micro'!$B382=BD$2,'Atividades Micro'!$G382="Macro",'Atividades Micro'!$K382&lt;&gt;""),'Atividades Micro'!$K382,"")</f>
        <v/>
      </c>
      <c r="BE330" s="21" t="str">
        <f>IF(AND('Atividades Micro'!$B382=BE$2,'Atividades Micro'!$G382="Macro",'Atividades Micro'!$K382&lt;&gt;""),'Atividades Micro'!$K382,"")</f>
        <v/>
      </c>
      <c r="BF330" s="21" t="str">
        <f>IF(AND('Atividades Micro'!$B382=BF$2,'Atividades Micro'!$G382="Macro",'Atividades Micro'!$K382&lt;&gt;""),'Atividades Micro'!$K382,"")</f>
        <v/>
      </c>
      <c r="BG330" s="21" t="str">
        <f>IF(AND('Atividades Micro'!$B382=BG$2,'Atividades Micro'!$G382="Macro",'Atividades Micro'!$K382&lt;&gt;""),'Atividades Micro'!$K382,"")</f>
        <v/>
      </c>
      <c r="BH330" s="21" t="str">
        <f>IF(AND('Atividades Micro'!$B382=BH$2,'Atividades Micro'!$G382="Macro",'Atividades Micro'!$K382&lt;&gt;""),'Atividades Micro'!$K382,"")</f>
        <v/>
      </c>
      <c r="BI330" s="21" t="str">
        <f>IF(AND('Atividades Micro'!$B382=BI$2,'Atividades Micro'!$G382="Macro",'Atividades Micro'!$K382&lt;&gt;""),'Atividades Micro'!$K382,"")</f>
        <v/>
      </c>
      <c r="BJ330" s="21" t="str">
        <f>IF(AND('Atividades Micro'!$B382=BJ$2,'Atividades Micro'!$G382="Macro",'Atividades Micro'!$K382&lt;&gt;""),'Atividades Micro'!$K382,"")</f>
        <v/>
      </c>
      <c r="BK330" s="21" t="str">
        <f>IF(AND('Atividades Micro'!$B382=BK$2,'Atividades Micro'!$G382="Macro",'Atividades Micro'!$K382&lt;&gt;""),'Atividades Micro'!$K382,"")</f>
        <v/>
      </c>
      <c r="BL330" s="21" t="str">
        <f>IF(AND('Atividades Micro'!$B382=BL$2,'Atividades Micro'!$G382="Macro",'Atividades Micro'!$K382&lt;&gt;""),'Atividades Micro'!$K382,"")</f>
        <v/>
      </c>
      <c r="BM330" s="21" t="str">
        <f>IF(AND('Atividades Micro'!$B382=BM$2,'Atividades Micro'!$G382="Macro",'Atividades Micro'!$K382&lt;&gt;""),'Atividades Micro'!$K382,"")</f>
        <v/>
      </c>
      <c r="BN330" s="21" t="str">
        <f>IF(AND('Atividades Micro'!$B382=BN$2,'Atividades Micro'!$G382="Macro",'Atividades Micro'!$K382&lt;&gt;""),'Atividades Micro'!$K382,"")</f>
        <v/>
      </c>
      <c r="BO330" s="21" t="str">
        <f>IF(AND('Atividades Micro'!$B382=BO$2,'Atividades Micro'!$G382="Macro",'Atividades Micro'!$K382&lt;&gt;""),'Atividades Micro'!$K382,"")</f>
        <v/>
      </c>
      <c r="BP330" s="21" t="str">
        <f>IF(AND('Atividades Micro'!$B382=BP$2,'Atividades Micro'!$G382="Macro",'Atividades Micro'!$K382&lt;&gt;""),'Atividades Micro'!$K382,"")</f>
        <v/>
      </c>
      <c r="BQ330" s="21" t="str">
        <f>IF(AND('Atividades Micro'!$B382=BQ$2,'Atividades Micro'!$G382="Macro",'Atividades Micro'!$K382&lt;&gt;""),'Atividades Micro'!$K382,"")</f>
        <v/>
      </c>
      <c r="BR330" s="21" t="str">
        <f>IF(AND('Atividades Micro'!$B382=BR$2,'Atividades Micro'!$G382="Macro",'Atividades Micro'!$K382&lt;&gt;""),'Atividades Micro'!$K382,"")</f>
        <v/>
      </c>
      <c r="BS330" s="21" t="str">
        <f>IF(AND('Atividades Micro'!$B382=BS$2,'Atividades Micro'!$G382="Macro",'Atividades Micro'!$K382&lt;&gt;""),'Atividades Micro'!$K382,"")</f>
        <v/>
      </c>
      <c r="BT330" s="21" t="str">
        <f>IF(AND('Atividades Micro'!$B382=BT$2,'Atividades Micro'!$G382="Macro",'Atividades Micro'!$K382&lt;&gt;""),'Atividades Micro'!$K382,"")</f>
        <v/>
      </c>
      <c r="BU330" s="21" t="str">
        <f>IF(AND('Atividades Micro'!$B382=BU$2,'Atividades Micro'!$G382="Macro",'Atividades Micro'!$K382&lt;&gt;""),'Atividades Micro'!$K382,"")</f>
        <v/>
      </c>
      <c r="BV330" s="21" t="str">
        <f>IF(AND('Atividades Micro'!$B382=BV$2,'Atividades Micro'!$G382="Macro",'Atividades Micro'!$K382&lt;&gt;""),'Atividades Micro'!$K382,"")</f>
        <v/>
      </c>
      <c r="BW330" s="21" t="str">
        <f>IF(AND('Atividades Micro'!$B382=BW$2,'Atividades Micro'!$G382="Macro",'Atividades Micro'!$K382&lt;&gt;""),'Atividades Micro'!$K382,"")</f>
        <v/>
      </c>
      <c r="BX330" s="21" t="str">
        <f>IF(AND('Atividades Micro'!$B382=BX$2,'Atividades Micro'!$G382="Macro",'Atividades Micro'!$K382&lt;&gt;""),'Atividades Micro'!$K382,"")</f>
        <v/>
      </c>
      <c r="BY330" s="21" t="str">
        <f>IF(AND('Atividades Micro'!$B382=BY$2,'Atividades Micro'!$G382="Macro",'Atividades Micro'!$K382&lt;&gt;""),'Atividades Micro'!$K382,"")</f>
        <v/>
      </c>
      <c r="BZ330" s="21" t="str">
        <f>IF(AND('Atividades Micro'!$B382=BZ$2,'Atividades Micro'!$G382="Macro",'Atividades Micro'!$K382&lt;&gt;""),'Atividades Micro'!$K382,"")</f>
        <v/>
      </c>
      <c r="CA330" s="21" t="str">
        <f>IF(AND('Atividades Micro'!$B382=CA$2,'Atividades Micro'!$G382="Macro",'Atividades Micro'!$K382&lt;&gt;""),'Atividades Micro'!$K382,"")</f>
        <v/>
      </c>
      <c r="CB330" s="21" t="str">
        <f>IF(AND('Atividades Micro'!$B382=CB$2,'Atividades Micro'!$G382="Macro",'Atividades Micro'!$K382&lt;&gt;""),'Atividades Micro'!$K382,"")</f>
        <v/>
      </c>
      <c r="CC330" s="21" t="str">
        <f>IF(AND('Atividades Micro'!$B382=CC$2,'Atividades Micro'!$G382="Macro",'Atividades Micro'!$K382&lt;&gt;""),'Atividades Micro'!$K382,"")</f>
        <v/>
      </c>
      <c r="CD330" s="21" t="str">
        <f>IF(AND('Atividades Micro'!$B382=CD$2,'Atividades Micro'!$G382="Micro",'Atividades Micro'!$K382&lt;&gt;""),'Atividades Micro'!$K382,"")</f>
        <v/>
      </c>
      <c r="CE330" s="21" t="str">
        <f>IF(AND('Atividades Micro'!$B382=CE$2,'Atividades Micro'!$G382="Micro",'Atividades Micro'!$K382&lt;&gt;""),'Atividades Micro'!$K382,"")</f>
        <v/>
      </c>
      <c r="CF330" s="21" t="str">
        <f>IF(AND('Atividades Micro'!$B382=CF$2,'Atividades Micro'!$G382="Micro",'Atividades Micro'!$K382&lt;&gt;""),'Atividades Micro'!$K382,"")</f>
        <v/>
      </c>
      <c r="CG330" s="21" t="str">
        <f>IF(AND('Atividades Micro'!$B382=CG$2,'Atividades Micro'!$G382="Micro",'Atividades Micro'!$K382&lt;&gt;""),'Atividades Micro'!$K382,"")</f>
        <v/>
      </c>
      <c r="CH330" s="21" t="str">
        <f>IF(AND('Atividades Micro'!$B382=CH$2,'Atividades Micro'!$G382="Micro",'Atividades Micro'!$K382&lt;&gt;""),'Atividades Micro'!$K382,"")</f>
        <v/>
      </c>
      <c r="CI330" s="21" t="str">
        <f>IF(AND('Atividades Micro'!$B382=CI$2,'Atividades Micro'!$G382="Micro",'Atividades Micro'!$K382&lt;&gt;""),'Atividades Micro'!$K382,"")</f>
        <v/>
      </c>
      <c r="CJ330" s="21" t="str">
        <f>IF(AND('Atividades Micro'!$B382=CJ$2,'Atividades Micro'!$G382="Micro",'Atividades Micro'!$K382&lt;&gt;""),'Atividades Micro'!$K382,"")</f>
        <v/>
      </c>
      <c r="CK330" s="21" t="str">
        <f>IF(AND('Atividades Micro'!$B382=CK$2,'Atividades Micro'!$G382="Micro",'Atividades Micro'!$K382&lt;&gt;""),'Atividades Micro'!$K382,"")</f>
        <v/>
      </c>
      <c r="CL330" s="21" t="str">
        <f>IF(AND('Atividades Micro'!$B382=CL$2,'Atividades Micro'!$G382="Micro",'Atividades Micro'!$K382&lt;&gt;""),'Atividades Micro'!$K382,"")</f>
        <v/>
      </c>
      <c r="CM330" s="21" t="str">
        <f>IF(AND('Atividades Micro'!$B382=CM$2,'Atividades Micro'!$G382="Micro",'Atividades Micro'!$K382&lt;&gt;""),'Atividades Micro'!$K382,"")</f>
        <v/>
      </c>
      <c r="CN330" s="21" t="str">
        <f>IF(AND('Atividades Micro'!$B382=CN$2,'Atividades Micro'!$G382="Micro",'Atividades Micro'!$K382&lt;&gt;""),'Atividades Micro'!$K382,"")</f>
        <v/>
      </c>
      <c r="CO330" s="21" t="str">
        <f>IF(AND('Atividades Micro'!$B382=CO$2,'Atividades Micro'!$G382="Micro",'Atividades Micro'!$K382&lt;&gt;""),'Atividades Micro'!$K382,"")</f>
        <v/>
      </c>
    </row>
    <row r="331" spans="1:93">
      <c r="A331" s="21" t="str">
        <f>IF(AND('Atividades Micro'!$A383=A$2,'Atividades Micro'!$K383&lt;&gt;""),'Atividades Micro'!$K383,"")</f>
        <v/>
      </c>
      <c r="B331" s="21" t="str">
        <f>IF(AND('Atividades Micro'!$A383=B$2,'Atividades Micro'!$L383&lt;&gt;""),'Atividades Micro'!$L383,"")</f>
        <v/>
      </c>
      <c r="C331" s="21" t="str">
        <f>IF(AND('Atividades Micro'!$A383=C$2,'Atividades Micro'!$K383&lt;&gt;""),'Atividades Micro'!$K383,"")</f>
        <v/>
      </c>
      <c r="D331" s="21" t="str">
        <f>IF(AND('Atividades Micro'!$A383=D$2,'Atividades Micro'!$L383&lt;&gt;""),'Atividades Micro'!$L383,"")</f>
        <v/>
      </c>
      <c r="E331" s="21" t="str">
        <f>IF(AND('Atividades Micro'!$A383=E$2,'Atividades Micro'!$K383&lt;&gt;""),'Atividades Micro'!$K383,"")</f>
        <v/>
      </c>
      <c r="F331" s="21" t="str">
        <f>IF(AND('Atividades Micro'!$A383=F$2,'Atividades Micro'!$L383&lt;&gt;""),'Atividades Micro'!$L383,"")</f>
        <v/>
      </c>
      <c r="G331" s="21" t="str">
        <f>IF(AND('Atividades Micro'!$A383=G$2,'Atividades Micro'!$K383&lt;&gt;""),'Atividades Micro'!$K383,"")</f>
        <v/>
      </c>
      <c r="H331" s="21" t="str">
        <f>IF(AND('Atividades Micro'!$A383=H$2,'Atividades Micro'!$L383&lt;&gt;""),'Atividades Micro'!$L383,"")</f>
        <v/>
      </c>
      <c r="I331" s="21" t="str">
        <f>IF(AND('Atividades Micro'!$A383=I$2,'Atividades Micro'!$K383&lt;&gt;""),'Atividades Micro'!$K383,"")</f>
        <v/>
      </c>
      <c r="J331" s="21" t="str">
        <f>IF(AND('Atividades Micro'!$A383=J$2,'Atividades Micro'!$L383&lt;&gt;""),'Atividades Micro'!$L383,"")</f>
        <v/>
      </c>
      <c r="K331" s="21" t="str">
        <f>IF(AND('Atividades Micro'!$B383=K$2,'Atividades Micro'!$K383&lt;&gt;""),'Atividades Micro'!$K383,"")</f>
        <v/>
      </c>
      <c r="L331" s="21" t="str">
        <f>IF(AND('Atividades Micro'!$B383=L$2,'Atividades Micro'!$L383&lt;&gt;""),'Atividades Micro'!$L383,"")</f>
        <v/>
      </c>
      <c r="M331" s="21" t="str">
        <f>IF(AND('Atividades Micro'!$B383=M$2,'Atividades Micro'!$K383&lt;&gt;""),'Atividades Micro'!$K383,"")</f>
        <v/>
      </c>
      <c r="N331" s="21" t="str">
        <f>IF(AND('Atividades Micro'!$B383=N$2,'Atividades Micro'!$L383&lt;&gt;""),'Atividades Micro'!$L383,"")</f>
        <v/>
      </c>
      <c r="O331" s="21" t="str">
        <f>IF(AND('Atividades Micro'!$A383=O$2,'Atividades Micro'!$K383&lt;&gt;""),'Atividades Micro'!$K383,"")</f>
        <v/>
      </c>
      <c r="P331" s="21" t="str">
        <f>IF(AND('Atividades Micro'!$A383=P$2,'Atividades Micro'!$L383&lt;&gt;""),'Atividades Micro'!$L383,"")</f>
        <v/>
      </c>
      <c r="Q331" s="21" t="str">
        <f>IF(AND('Atividades Micro'!$B383=Q$2,'Atividades Micro'!$K383&lt;&gt;""),'Atividades Micro'!$K383,"")</f>
        <v/>
      </c>
      <c r="R331" s="21" t="str">
        <f>IF(AND('Atividades Micro'!$B383=R$2,'Atividades Micro'!$L383&lt;&gt;""),'Atividades Micro'!$L383,"")</f>
        <v/>
      </c>
      <c r="S331" s="21" t="str">
        <f>IF(AND('Atividades Micro'!$A383=S$2,'Atividades Micro'!$K383&lt;&gt;""),'Atividades Micro'!$K383,"")</f>
        <v/>
      </c>
      <c r="T331" s="21" t="str">
        <f>IF(AND('Atividades Micro'!$A383=T$2,'Atividades Micro'!$L383&lt;&gt;""),'Atividades Micro'!$L383,"")</f>
        <v/>
      </c>
      <c r="U331" s="21" t="str">
        <f>IF(AND('Atividades Micro'!$B383=U$2,'Atividades Micro'!$K383&lt;&gt;""),'Atividades Micro'!$K383,"")</f>
        <v/>
      </c>
      <c r="V331" s="21" t="str">
        <f>IF(AND('Atividades Micro'!$B383=V$2,'Atividades Micro'!$L383&lt;&gt;""),'Atividades Micro'!$L383,"")</f>
        <v/>
      </c>
      <c r="W331" s="21" t="str">
        <f>IF(AND('Atividades Micro'!$B383=W$2,'Atividades Micro'!$K383&lt;&gt;""),'Atividades Micro'!$K383,"")</f>
        <v/>
      </c>
      <c r="X331" s="21" t="str">
        <f>IF(AND('Atividades Micro'!$B383=X$2,'Atividades Micro'!$L383&lt;&gt;""),'Atividades Micro'!$L383,"")</f>
        <v/>
      </c>
      <c r="Y331" s="21" t="str">
        <f>IF(AND('Atividades Micro'!$A383=Y$2,'Atividades Micro'!$K383&lt;&gt;""),'Atividades Micro'!$K383,"")</f>
        <v/>
      </c>
      <c r="Z331" s="21" t="str">
        <f>IF(AND('Atividades Micro'!$A383=Z$2,'Atividades Micro'!$L383&lt;&gt;""),'Atividades Micro'!$L383,"")</f>
        <v/>
      </c>
      <c r="AA331" s="21" t="str">
        <f>IF(AND('Atividades Micro'!$B383=AA$2,'Atividades Micro'!$K383&lt;&gt;""),'Atividades Micro'!$K383,"")</f>
        <v/>
      </c>
      <c r="AB331" s="21" t="str">
        <f>IF(AND('Atividades Micro'!$B383=AB$2,'Atividades Micro'!$L383&lt;&gt;""),'Atividades Micro'!$L383,"")</f>
        <v/>
      </c>
      <c r="AC331" s="21" t="str">
        <f>IF(AND('Atividades Micro'!$B383=AC$2,'Atividades Micro'!$K383&lt;&gt;""),'Atividades Micro'!$K383,"")</f>
        <v/>
      </c>
      <c r="AD331" s="21" t="str">
        <f>IF(AND('Atividades Micro'!$B383=AD$2,'Atividades Micro'!$L383&lt;&gt;""),'Atividades Micro'!$L383,"")</f>
        <v/>
      </c>
      <c r="AE331" s="21" t="str">
        <f>IF(AND('Atividades Micro'!$A383=AE$2,'Atividades Micro'!$K383&lt;&gt;""),'Atividades Micro'!$K383,"")</f>
        <v/>
      </c>
      <c r="AF331" s="21" t="str">
        <f>IF(AND('Atividades Micro'!$A383=AF$2,'Atividades Micro'!$L383&lt;&gt;""),'Atividades Micro'!$L383,"")</f>
        <v/>
      </c>
      <c r="AG331" s="21" t="str">
        <f>IF(AND('Atividades Micro'!$B383=AG$2,'Atividades Micro'!$K383&lt;&gt;""),'Atividades Micro'!$K383,"")</f>
        <v/>
      </c>
      <c r="AH331" s="21" t="str">
        <f>IF(AND('Atividades Micro'!$B383=AH$2,'Atividades Micro'!$L383&lt;&gt;""),'Atividades Micro'!$L383,"")</f>
        <v/>
      </c>
      <c r="AI331" s="21" t="str">
        <f>IF(AND('Atividades Micro'!$B383=AI$2,'Atividades Micro'!$K383&lt;&gt;""),'Atividades Micro'!$K383,"")</f>
        <v/>
      </c>
      <c r="AJ331" s="21" t="str">
        <f>IF(AND('Atividades Micro'!$B383=AJ$2,'Atividades Micro'!$L383&lt;&gt;""),'Atividades Micro'!$L383,"")</f>
        <v/>
      </c>
      <c r="AK331" s="21" t="str">
        <f>IF(AND('Atividades Micro'!$A383=AK$2,'Atividades Micro'!$K383&lt;&gt;""),'Atividades Micro'!$K383,"")</f>
        <v/>
      </c>
      <c r="AL331" s="21" t="str">
        <f>IF(AND('Atividades Micro'!$A383=AL$2,'Atividades Micro'!$L383&lt;&gt;""),'Atividades Micro'!$L383,"")</f>
        <v/>
      </c>
      <c r="AM331" s="21" t="str">
        <f>IF(AND('Atividades Micro'!$B383=AM$2,'Atividades Micro'!$K383&lt;&gt;""),'Atividades Micro'!$K383,"")</f>
        <v/>
      </c>
      <c r="AN331" s="21" t="str">
        <f>IF(AND('Atividades Micro'!$B383=AN$2,'Atividades Micro'!$L383&lt;&gt;""),'Atividades Micro'!$L383,"")</f>
        <v/>
      </c>
      <c r="AO331" s="21" t="str">
        <f>IF(AND('Atividades Micro'!$B383=AO$2,'Atividades Micro'!$K383&lt;&gt;""),'Atividades Micro'!$K383,"")</f>
        <v/>
      </c>
      <c r="AP331" s="21" t="str">
        <f>IF(AND('Atividades Micro'!$B383=AP$2,'Atividades Micro'!$L383&lt;&gt;""),'Atividades Micro'!$L383,"")</f>
        <v/>
      </c>
      <c r="AQ331" s="21" t="str">
        <f>IF(AND('Atividades Micro'!$A383=AQ$2,'Atividades Micro'!$K383&lt;&gt;""),'Atividades Micro'!$K383,"")</f>
        <v/>
      </c>
      <c r="AR331" s="21" t="str">
        <f>IF(AND('Atividades Micro'!$A383=AR$2,'Atividades Micro'!$L383&lt;&gt;""),'Atividades Micro'!$L383,"")</f>
        <v/>
      </c>
      <c r="AS331" s="21" t="str">
        <f>IF(AND('Atividades Micro'!$B383=AS$2,'Atividades Micro'!$K383&lt;&gt;""),'Atividades Micro'!$K383,"")</f>
        <v/>
      </c>
      <c r="AT331" s="21" t="str">
        <f>IF(AND('Atividades Micro'!$B383=AT$2,'Atividades Micro'!$L383&lt;&gt;""),'Atividades Micro'!$L383,"")</f>
        <v/>
      </c>
      <c r="AU331" s="21" t="str">
        <f>IF(AND('Atividades Micro'!$A383=AU$2,'Atividades Micro'!$K383&lt;&gt;""),'Atividades Micro'!$K383,"")</f>
        <v/>
      </c>
      <c r="AV331" s="21" t="str">
        <f>IF(AND('Atividades Micro'!$A383=AV$2,'Atividades Micro'!$L383&lt;&gt;""),'Atividades Micro'!$L383,"")</f>
        <v/>
      </c>
      <c r="AW331" s="21" t="str">
        <f>IF(AND('Atividades Micro'!$B383=AW$2,'Atividades Micro'!$K383&lt;&gt;""),'Atividades Micro'!$K383,"")</f>
        <v/>
      </c>
      <c r="AX331" s="21" t="str">
        <f>IF(AND('Atividades Micro'!$B383=AX$2,'Atividades Micro'!$L383&lt;&gt;""),'Atividades Micro'!$L383,"")</f>
        <v/>
      </c>
      <c r="AY331" s="21" t="str">
        <f>IF(AND('Atividades Micro'!$A383=AY$2,'Atividades Micro'!$K383&lt;&gt;""),'Atividades Micro'!$K383,"")</f>
        <v/>
      </c>
      <c r="AZ331" s="21" t="str">
        <f>IF(AND('Atividades Micro'!$A383=AZ$2,'Atividades Micro'!$L383&lt;&gt;""),'Atividades Micro'!$L383,"")</f>
        <v/>
      </c>
      <c r="BA331" s="21" t="str">
        <f>IF(AND('Atividades Micro'!$B383=BA$2,'Atividades Micro'!$K383&lt;&gt;""),'Atividades Micro'!$K383,"")</f>
        <v/>
      </c>
      <c r="BB331" s="21" t="str">
        <f>IF(AND('Atividades Micro'!$B383=BB$2,'Atividades Micro'!$L383&lt;&gt;""),'Atividades Micro'!$L383,"")</f>
        <v/>
      </c>
      <c r="BC331" s="21" t="str">
        <f>IF(AND('Atividades Micro'!$B383=BC$2,'Atividades Micro'!$G383="Macro",'Atividades Micro'!$K383&lt;&gt;""),'Atividades Micro'!$K383,"")</f>
        <v/>
      </c>
      <c r="BD331" s="21" t="str">
        <f>IF(AND('Atividades Micro'!$B383=BD$2,'Atividades Micro'!$G383="Macro",'Atividades Micro'!$K383&lt;&gt;""),'Atividades Micro'!$K383,"")</f>
        <v/>
      </c>
      <c r="BE331" s="21" t="str">
        <f>IF(AND('Atividades Micro'!$B383=BE$2,'Atividades Micro'!$G383="Macro",'Atividades Micro'!$K383&lt;&gt;""),'Atividades Micro'!$K383,"")</f>
        <v/>
      </c>
      <c r="BF331" s="21" t="str">
        <f>IF(AND('Atividades Micro'!$B383=BF$2,'Atividades Micro'!$G383="Macro",'Atividades Micro'!$K383&lt;&gt;""),'Atividades Micro'!$K383,"")</f>
        <v/>
      </c>
      <c r="BG331" s="21" t="str">
        <f>IF(AND('Atividades Micro'!$B383=BG$2,'Atividades Micro'!$G383="Macro",'Atividades Micro'!$K383&lt;&gt;""),'Atividades Micro'!$K383,"")</f>
        <v/>
      </c>
      <c r="BH331" s="21" t="str">
        <f>IF(AND('Atividades Micro'!$B383=BH$2,'Atividades Micro'!$G383="Macro",'Atividades Micro'!$K383&lt;&gt;""),'Atividades Micro'!$K383,"")</f>
        <v/>
      </c>
      <c r="BI331" s="21" t="str">
        <f>IF(AND('Atividades Micro'!$B383=BI$2,'Atividades Micro'!$G383="Macro",'Atividades Micro'!$K383&lt;&gt;""),'Atividades Micro'!$K383,"")</f>
        <v/>
      </c>
      <c r="BJ331" s="21" t="str">
        <f>IF(AND('Atividades Micro'!$B383=BJ$2,'Atividades Micro'!$G383="Macro",'Atividades Micro'!$K383&lt;&gt;""),'Atividades Micro'!$K383,"")</f>
        <v/>
      </c>
      <c r="BK331" s="21" t="str">
        <f>IF(AND('Atividades Micro'!$B383=BK$2,'Atividades Micro'!$G383="Macro",'Atividades Micro'!$K383&lt;&gt;""),'Atividades Micro'!$K383,"")</f>
        <v/>
      </c>
      <c r="BL331" s="21" t="str">
        <f>IF(AND('Atividades Micro'!$B383=BL$2,'Atividades Micro'!$G383="Macro",'Atividades Micro'!$K383&lt;&gt;""),'Atividades Micro'!$K383,"")</f>
        <v/>
      </c>
      <c r="BM331" s="21" t="str">
        <f>IF(AND('Atividades Micro'!$B383=BM$2,'Atividades Micro'!$G383="Macro",'Atividades Micro'!$K383&lt;&gt;""),'Atividades Micro'!$K383,"")</f>
        <v/>
      </c>
      <c r="BN331" s="21" t="str">
        <f>IF(AND('Atividades Micro'!$B383=BN$2,'Atividades Micro'!$G383="Macro",'Atividades Micro'!$K383&lt;&gt;""),'Atividades Micro'!$K383,"")</f>
        <v/>
      </c>
      <c r="BO331" s="21" t="str">
        <f>IF(AND('Atividades Micro'!$B383=BO$2,'Atividades Micro'!$G383="Macro",'Atividades Micro'!$K383&lt;&gt;""),'Atividades Micro'!$K383,"")</f>
        <v/>
      </c>
      <c r="BP331" s="21" t="str">
        <f>IF(AND('Atividades Micro'!$B383=BP$2,'Atividades Micro'!$G383="Macro",'Atividades Micro'!$K383&lt;&gt;""),'Atividades Micro'!$K383,"")</f>
        <v/>
      </c>
      <c r="BQ331" s="21" t="str">
        <f>IF(AND('Atividades Micro'!$B383=BQ$2,'Atividades Micro'!$G383="Macro",'Atividades Micro'!$K383&lt;&gt;""),'Atividades Micro'!$K383,"")</f>
        <v/>
      </c>
      <c r="BR331" s="21" t="str">
        <f>IF(AND('Atividades Micro'!$B383=BR$2,'Atividades Micro'!$G383="Macro",'Atividades Micro'!$K383&lt;&gt;""),'Atividades Micro'!$K383,"")</f>
        <v/>
      </c>
      <c r="BS331" s="21" t="str">
        <f>IF(AND('Atividades Micro'!$B383=BS$2,'Atividades Micro'!$G383="Macro",'Atividades Micro'!$K383&lt;&gt;""),'Atividades Micro'!$K383,"")</f>
        <v/>
      </c>
      <c r="BT331" s="21" t="str">
        <f>IF(AND('Atividades Micro'!$B383=BT$2,'Atividades Micro'!$G383="Macro",'Atividades Micro'!$K383&lt;&gt;""),'Atividades Micro'!$K383,"")</f>
        <v/>
      </c>
      <c r="BU331" s="21" t="str">
        <f>IF(AND('Atividades Micro'!$B383=BU$2,'Atividades Micro'!$G383="Macro",'Atividades Micro'!$K383&lt;&gt;""),'Atividades Micro'!$K383,"")</f>
        <v/>
      </c>
      <c r="BV331" s="21" t="str">
        <f>IF(AND('Atividades Micro'!$B383=BV$2,'Atividades Micro'!$G383="Macro",'Atividades Micro'!$K383&lt;&gt;""),'Atividades Micro'!$K383,"")</f>
        <v/>
      </c>
      <c r="BW331" s="21" t="str">
        <f>IF(AND('Atividades Micro'!$B383=BW$2,'Atividades Micro'!$G383="Macro",'Atividades Micro'!$K383&lt;&gt;""),'Atividades Micro'!$K383,"")</f>
        <v/>
      </c>
      <c r="BX331" s="21" t="str">
        <f>IF(AND('Atividades Micro'!$B383=BX$2,'Atividades Micro'!$G383="Macro",'Atividades Micro'!$K383&lt;&gt;""),'Atividades Micro'!$K383,"")</f>
        <v/>
      </c>
      <c r="BY331" s="21" t="str">
        <f>IF(AND('Atividades Micro'!$B383=BY$2,'Atividades Micro'!$G383="Macro",'Atividades Micro'!$K383&lt;&gt;""),'Atividades Micro'!$K383,"")</f>
        <v/>
      </c>
      <c r="BZ331" s="21" t="str">
        <f>IF(AND('Atividades Micro'!$B383=BZ$2,'Atividades Micro'!$G383="Macro",'Atividades Micro'!$K383&lt;&gt;""),'Atividades Micro'!$K383,"")</f>
        <v/>
      </c>
      <c r="CA331" s="21" t="str">
        <f>IF(AND('Atividades Micro'!$B383=CA$2,'Atividades Micro'!$G383="Macro",'Atividades Micro'!$K383&lt;&gt;""),'Atividades Micro'!$K383,"")</f>
        <v/>
      </c>
      <c r="CB331" s="21" t="str">
        <f>IF(AND('Atividades Micro'!$B383=CB$2,'Atividades Micro'!$G383="Macro",'Atividades Micro'!$K383&lt;&gt;""),'Atividades Micro'!$K383,"")</f>
        <v/>
      </c>
      <c r="CC331" s="21" t="str">
        <f>IF(AND('Atividades Micro'!$B383=CC$2,'Atividades Micro'!$G383="Macro",'Atividades Micro'!$K383&lt;&gt;""),'Atividades Micro'!$K383,"")</f>
        <v/>
      </c>
      <c r="CD331" s="21" t="str">
        <f>IF(AND('Atividades Micro'!$B383=CD$2,'Atividades Micro'!$G383="Micro",'Atividades Micro'!$K383&lt;&gt;""),'Atividades Micro'!$K383,"")</f>
        <v/>
      </c>
      <c r="CE331" s="21" t="str">
        <f>IF(AND('Atividades Micro'!$B383=CE$2,'Atividades Micro'!$G383="Micro",'Atividades Micro'!$K383&lt;&gt;""),'Atividades Micro'!$K383,"")</f>
        <v/>
      </c>
      <c r="CF331" s="21" t="str">
        <f>IF(AND('Atividades Micro'!$B383=CF$2,'Atividades Micro'!$G383="Micro",'Atividades Micro'!$K383&lt;&gt;""),'Atividades Micro'!$K383,"")</f>
        <v/>
      </c>
      <c r="CG331" s="21" t="str">
        <f>IF(AND('Atividades Micro'!$B383=CG$2,'Atividades Micro'!$G383="Micro",'Atividades Micro'!$K383&lt;&gt;""),'Atividades Micro'!$K383,"")</f>
        <v/>
      </c>
      <c r="CH331" s="21" t="str">
        <f>IF(AND('Atividades Micro'!$B383=CH$2,'Atividades Micro'!$G383="Micro",'Atividades Micro'!$K383&lt;&gt;""),'Atividades Micro'!$K383,"")</f>
        <v/>
      </c>
      <c r="CI331" s="21" t="str">
        <f>IF(AND('Atividades Micro'!$B383=CI$2,'Atividades Micro'!$G383="Micro",'Atividades Micro'!$K383&lt;&gt;""),'Atividades Micro'!$K383,"")</f>
        <v/>
      </c>
      <c r="CJ331" s="21" t="str">
        <f>IF(AND('Atividades Micro'!$B383=CJ$2,'Atividades Micro'!$G383="Micro",'Atividades Micro'!$K383&lt;&gt;""),'Atividades Micro'!$K383,"")</f>
        <v/>
      </c>
      <c r="CK331" s="21" t="str">
        <f>IF(AND('Atividades Micro'!$B383=CK$2,'Atividades Micro'!$G383="Micro",'Atividades Micro'!$K383&lt;&gt;""),'Atividades Micro'!$K383,"")</f>
        <v/>
      </c>
      <c r="CL331" s="21" t="str">
        <f>IF(AND('Atividades Micro'!$B383=CL$2,'Atividades Micro'!$G383="Micro",'Atividades Micro'!$K383&lt;&gt;""),'Atividades Micro'!$K383,"")</f>
        <v/>
      </c>
      <c r="CM331" s="21" t="str">
        <f>IF(AND('Atividades Micro'!$B383=CM$2,'Atividades Micro'!$G383="Micro",'Atividades Micro'!$K383&lt;&gt;""),'Atividades Micro'!$K383,"")</f>
        <v/>
      </c>
      <c r="CN331" s="21" t="str">
        <f>IF(AND('Atividades Micro'!$B383=CN$2,'Atividades Micro'!$G383="Micro",'Atividades Micro'!$K383&lt;&gt;""),'Atividades Micro'!$K383,"")</f>
        <v/>
      </c>
      <c r="CO331" s="21" t="str">
        <f>IF(AND('Atividades Micro'!$B383=CO$2,'Atividades Micro'!$G383="Micro",'Atividades Micro'!$K383&lt;&gt;""),'Atividades Micro'!$K383,"")</f>
        <v/>
      </c>
    </row>
    <row r="332" spans="1:93">
      <c r="A332" s="21" t="str">
        <f>IF(AND('Atividades Micro'!$A384=A$2,'Atividades Micro'!$K384&lt;&gt;""),'Atividades Micro'!$K384,"")</f>
        <v/>
      </c>
      <c r="B332" s="21" t="str">
        <f>IF(AND('Atividades Micro'!$A384=B$2,'Atividades Micro'!$L384&lt;&gt;""),'Atividades Micro'!$L384,"")</f>
        <v/>
      </c>
      <c r="C332" s="21" t="str">
        <f>IF(AND('Atividades Micro'!$A384=C$2,'Atividades Micro'!$K384&lt;&gt;""),'Atividades Micro'!$K384,"")</f>
        <v/>
      </c>
      <c r="D332" s="21" t="str">
        <f>IF(AND('Atividades Micro'!$A384=D$2,'Atividades Micro'!$L384&lt;&gt;""),'Atividades Micro'!$L384,"")</f>
        <v/>
      </c>
      <c r="E332" s="21" t="str">
        <f>IF(AND('Atividades Micro'!$A384=E$2,'Atividades Micro'!$K384&lt;&gt;""),'Atividades Micro'!$K384,"")</f>
        <v/>
      </c>
      <c r="F332" s="21" t="str">
        <f>IF(AND('Atividades Micro'!$A384=F$2,'Atividades Micro'!$L384&lt;&gt;""),'Atividades Micro'!$L384,"")</f>
        <v/>
      </c>
      <c r="G332" s="21" t="str">
        <f>IF(AND('Atividades Micro'!$A384=G$2,'Atividades Micro'!$K384&lt;&gt;""),'Atividades Micro'!$K384,"")</f>
        <v/>
      </c>
      <c r="H332" s="21" t="str">
        <f>IF(AND('Atividades Micro'!$A384=H$2,'Atividades Micro'!$L384&lt;&gt;""),'Atividades Micro'!$L384,"")</f>
        <v/>
      </c>
      <c r="I332" s="21" t="str">
        <f>IF(AND('Atividades Micro'!$A384=I$2,'Atividades Micro'!$K384&lt;&gt;""),'Atividades Micro'!$K384,"")</f>
        <v/>
      </c>
      <c r="J332" s="21" t="str">
        <f>IF(AND('Atividades Micro'!$A384=J$2,'Atividades Micro'!$L384&lt;&gt;""),'Atividades Micro'!$L384,"")</f>
        <v/>
      </c>
      <c r="K332" s="21" t="str">
        <f>IF(AND('Atividades Micro'!$B384=K$2,'Atividades Micro'!$K384&lt;&gt;""),'Atividades Micro'!$K384,"")</f>
        <v/>
      </c>
      <c r="L332" s="21" t="str">
        <f>IF(AND('Atividades Micro'!$B384=L$2,'Atividades Micro'!$L384&lt;&gt;""),'Atividades Micro'!$L384,"")</f>
        <v/>
      </c>
      <c r="M332" s="21" t="str">
        <f>IF(AND('Atividades Micro'!$B384=M$2,'Atividades Micro'!$K384&lt;&gt;""),'Atividades Micro'!$K384,"")</f>
        <v/>
      </c>
      <c r="N332" s="21" t="str">
        <f>IF(AND('Atividades Micro'!$B384=N$2,'Atividades Micro'!$L384&lt;&gt;""),'Atividades Micro'!$L384,"")</f>
        <v/>
      </c>
      <c r="O332" s="21" t="str">
        <f>IF(AND('Atividades Micro'!$A384=O$2,'Atividades Micro'!$K384&lt;&gt;""),'Atividades Micro'!$K384,"")</f>
        <v/>
      </c>
      <c r="P332" s="21" t="str">
        <f>IF(AND('Atividades Micro'!$A384=P$2,'Atividades Micro'!$L384&lt;&gt;""),'Atividades Micro'!$L384,"")</f>
        <v/>
      </c>
      <c r="Q332" s="21" t="str">
        <f>IF(AND('Atividades Micro'!$B384=Q$2,'Atividades Micro'!$K384&lt;&gt;""),'Atividades Micro'!$K384,"")</f>
        <v/>
      </c>
      <c r="R332" s="21" t="str">
        <f>IF(AND('Atividades Micro'!$B384=R$2,'Atividades Micro'!$L384&lt;&gt;""),'Atividades Micro'!$L384,"")</f>
        <v/>
      </c>
      <c r="S332" s="21" t="str">
        <f>IF(AND('Atividades Micro'!$A384=S$2,'Atividades Micro'!$K384&lt;&gt;""),'Atividades Micro'!$K384,"")</f>
        <v/>
      </c>
      <c r="T332" s="21" t="str">
        <f>IF(AND('Atividades Micro'!$A384=T$2,'Atividades Micro'!$L384&lt;&gt;""),'Atividades Micro'!$L384,"")</f>
        <v/>
      </c>
      <c r="U332" s="21" t="str">
        <f>IF(AND('Atividades Micro'!$B384=U$2,'Atividades Micro'!$K384&lt;&gt;""),'Atividades Micro'!$K384,"")</f>
        <v/>
      </c>
      <c r="V332" s="21" t="str">
        <f>IF(AND('Atividades Micro'!$B384=V$2,'Atividades Micro'!$L384&lt;&gt;""),'Atividades Micro'!$L384,"")</f>
        <v/>
      </c>
      <c r="W332" s="21" t="str">
        <f>IF(AND('Atividades Micro'!$B384=W$2,'Atividades Micro'!$K384&lt;&gt;""),'Atividades Micro'!$K384,"")</f>
        <v/>
      </c>
      <c r="X332" s="21" t="str">
        <f>IF(AND('Atividades Micro'!$B384=X$2,'Atividades Micro'!$L384&lt;&gt;""),'Atividades Micro'!$L384,"")</f>
        <v/>
      </c>
      <c r="Y332" s="21" t="str">
        <f>IF(AND('Atividades Micro'!$A384=Y$2,'Atividades Micro'!$K384&lt;&gt;""),'Atividades Micro'!$K384,"")</f>
        <v/>
      </c>
      <c r="Z332" s="21" t="str">
        <f>IF(AND('Atividades Micro'!$A384=Z$2,'Atividades Micro'!$L384&lt;&gt;""),'Atividades Micro'!$L384,"")</f>
        <v/>
      </c>
      <c r="AA332" s="21" t="str">
        <f>IF(AND('Atividades Micro'!$B384=AA$2,'Atividades Micro'!$K384&lt;&gt;""),'Atividades Micro'!$K384,"")</f>
        <v/>
      </c>
      <c r="AB332" s="21" t="str">
        <f>IF(AND('Atividades Micro'!$B384=AB$2,'Atividades Micro'!$L384&lt;&gt;""),'Atividades Micro'!$L384,"")</f>
        <v/>
      </c>
      <c r="AC332" s="21" t="str">
        <f>IF(AND('Atividades Micro'!$B384=AC$2,'Atividades Micro'!$K384&lt;&gt;""),'Atividades Micro'!$K384,"")</f>
        <v/>
      </c>
      <c r="AD332" s="21" t="str">
        <f>IF(AND('Atividades Micro'!$B384=AD$2,'Atividades Micro'!$L384&lt;&gt;""),'Atividades Micro'!$L384,"")</f>
        <v/>
      </c>
      <c r="AE332" s="21" t="str">
        <f>IF(AND('Atividades Micro'!$A384=AE$2,'Atividades Micro'!$K384&lt;&gt;""),'Atividades Micro'!$K384,"")</f>
        <v/>
      </c>
      <c r="AF332" s="21" t="str">
        <f>IF(AND('Atividades Micro'!$A384=AF$2,'Atividades Micro'!$L384&lt;&gt;""),'Atividades Micro'!$L384,"")</f>
        <v/>
      </c>
      <c r="AG332" s="21" t="str">
        <f>IF(AND('Atividades Micro'!$B384=AG$2,'Atividades Micro'!$K384&lt;&gt;""),'Atividades Micro'!$K384,"")</f>
        <v/>
      </c>
      <c r="AH332" s="21" t="str">
        <f>IF(AND('Atividades Micro'!$B384=AH$2,'Atividades Micro'!$L384&lt;&gt;""),'Atividades Micro'!$L384,"")</f>
        <v/>
      </c>
      <c r="AI332" s="21" t="str">
        <f>IF(AND('Atividades Micro'!$B384=AI$2,'Atividades Micro'!$K384&lt;&gt;""),'Atividades Micro'!$K384,"")</f>
        <v/>
      </c>
      <c r="AJ332" s="21" t="str">
        <f>IF(AND('Atividades Micro'!$B384=AJ$2,'Atividades Micro'!$L384&lt;&gt;""),'Atividades Micro'!$L384,"")</f>
        <v/>
      </c>
      <c r="AK332" s="21" t="str">
        <f>IF(AND('Atividades Micro'!$A384=AK$2,'Atividades Micro'!$K384&lt;&gt;""),'Atividades Micro'!$K384,"")</f>
        <v/>
      </c>
      <c r="AL332" s="21" t="str">
        <f>IF(AND('Atividades Micro'!$A384=AL$2,'Atividades Micro'!$L384&lt;&gt;""),'Atividades Micro'!$L384,"")</f>
        <v/>
      </c>
      <c r="AM332" s="21" t="str">
        <f>IF(AND('Atividades Micro'!$B384=AM$2,'Atividades Micro'!$K384&lt;&gt;""),'Atividades Micro'!$K384,"")</f>
        <v/>
      </c>
      <c r="AN332" s="21" t="str">
        <f>IF(AND('Atividades Micro'!$B384=AN$2,'Atividades Micro'!$L384&lt;&gt;""),'Atividades Micro'!$L384,"")</f>
        <v/>
      </c>
      <c r="AO332" s="21" t="str">
        <f>IF(AND('Atividades Micro'!$B384=AO$2,'Atividades Micro'!$K384&lt;&gt;""),'Atividades Micro'!$K384,"")</f>
        <v/>
      </c>
      <c r="AP332" s="21" t="str">
        <f>IF(AND('Atividades Micro'!$B384=AP$2,'Atividades Micro'!$L384&lt;&gt;""),'Atividades Micro'!$L384,"")</f>
        <v/>
      </c>
      <c r="AQ332" s="21" t="str">
        <f>IF(AND('Atividades Micro'!$A384=AQ$2,'Atividades Micro'!$K384&lt;&gt;""),'Atividades Micro'!$K384,"")</f>
        <v/>
      </c>
      <c r="AR332" s="21" t="str">
        <f>IF(AND('Atividades Micro'!$A384=AR$2,'Atividades Micro'!$L384&lt;&gt;""),'Atividades Micro'!$L384,"")</f>
        <v/>
      </c>
      <c r="AS332" s="21" t="str">
        <f>IF(AND('Atividades Micro'!$B384=AS$2,'Atividades Micro'!$K384&lt;&gt;""),'Atividades Micro'!$K384,"")</f>
        <v/>
      </c>
      <c r="AT332" s="21" t="str">
        <f>IF(AND('Atividades Micro'!$B384=AT$2,'Atividades Micro'!$L384&lt;&gt;""),'Atividades Micro'!$L384,"")</f>
        <v/>
      </c>
      <c r="AU332" s="21" t="str">
        <f>IF(AND('Atividades Micro'!$A384=AU$2,'Atividades Micro'!$K384&lt;&gt;""),'Atividades Micro'!$K384,"")</f>
        <v/>
      </c>
      <c r="AV332" s="21" t="str">
        <f>IF(AND('Atividades Micro'!$A384=AV$2,'Atividades Micro'!$L384&lt;&gt;""),'Atividades Micro'!$L384,"")</f>
        <v/>
      </c>
      <c r="AW332" s="21" t="str">
        <f>IF(AND('Atividades Micro'!$B384=AW$2,'Atividades Micro'!$K384&lt;&gt;""),'Atividades Micro'!$K384,"")</f>
        <v/>
      </c>
      <c r="AX332" s="21" t="str">
        <f>IF(AND('Atividades Micro'!$B384=AX$2,'Atividades Micro'!$L384&lt;&gt;""),'Atividades Micro'!$L384,"")</f>
        <v/>
      </c>
      <c r="AY332" s="21" t="str">
        <f>IF(AND('Atividades Micro'!$A384=AY$2,'Atividades Micro'!$K384&lt;&gt;""),'Atividades Micro'!$K384,"")</f>
        <v/>
      </c>
      <c r="AZ332" s="21" t="str">
        <f>IF(AND('Atividades Micro'!$A384=AZ$2,'Atividades Micro'!$L384&lt;&gt;""),'Atividades Micro'!$L384,"")</f>
        <v/>
      </c>
      <c r="BA332" s="21" t="str">
        <f>IF(AND('Atividades Micro'!$B384=BA$2,'Atividades Micro'!$K384&lt;&gt;""),'Atividades Micro'!$K384,"")</f>
        <v/>
      </c>
      <c r="BB332" s="21" t="str">
        <f>IF(AND('Atividades Micro'!$B384=BB$2,'Atividades Micro'!$L384&lt;&gt;""),'Atividades Micro'!$L384,"")</f>
        <v/>
      </c>
      <c r="BC332" s="21" t="str">
        <f>IF(AND('Atividades Micro'!$B384=BC$2,'Atividades Micro'!$G384="Macro",'Atividades Micro'!$K384&lt;&gt;""),'Atividades Micro'!$K384,"")</f>
        <v/>
      </c>
      <c r="BD332" s="21" t="str">
        <f>IF(AND('Atividades Micro'!$B384=BD$2,'Atividades Micro'!$G384="Macro",'Atividades Micro'!$K384&lt;&gt;""),'Atividades Micro'!$K384,"")</f>
        <v/>
      </c>
      <c r="BE332" s="21" t="str">
        <f>IF(AND('Atividades Micro'!$B384=BE$2,'Atividades Micro'!$G384="Macro",'Atividades Micro'!$K384&lt;&gt;""),'Atividades Micro'!$K384,"")</f>
        <v/>
      </c>
      <c r="BF332" s="21" t="str">
        <f>IF(AND('Atividades Micro'!$B384=BF$2,'Atividades Micro'!$G384="Macro",'Atividades Micro'!$K384&lt;&gt;""),'Atividades Micro'!$K384,"")</f>
        <v/>
      </c>
      <c r="BG332" s="21" t="str">
        <f>IF(AND('Atividades Micro'!$B384=BG$2,'Atividades Micro'!$G384="Macro",'Atividades Micro'!$K384&lt;&gt;""),'Atividades Micro'!$K384,"")</f>
        <v/>
      </c>
      <c r="BH332" s="21" t="str">
        <f>IF(AND('Atividades Micro'!$B384=BH$2,'Atividades Micro'!$G384="Macro",'Atividades Micro'!$K384&lt;&gt;""),'Atividades Micro'!$K384,"")</f>
        <v/>
      </c>
      <c r="BI332" s="21" t="str">
        <f>IF(AND('Atividades Micro'!$B384=BI$2,'Atividades Micro'!$G384="Macro",'Atividades Micro'!$K384&lt;&gt;""),'Atividades Micro'!$K384,"")</f>
        <v/>
      </c>
      <c r="BJ332" s="21" t="str">
        <f>IF(AND('Atividades Micro'!$B384=BJ$2,'Atividades Micro'!$G384="Macro",'Atividades Micro'!$K384&lt;&gt;""),'Atividades Micro'!$K384,"")</f>
        <v/>
      </c>
      <c r="BK332" s="21" t="str">
        <f>IF(AND('Atividades Micro'!$B384=BK$2,'Atividades Micro'!$G384="Macro",'Atividades Micro'!$K384&lt;&gt;""),'Atividades Micro'!$K384,"")</f>
        <v/>
      </c>
      <c r="BL332" s="21" t="str">
        <f>IF(AND('Atividades Micro'!$B384=BL$2,'Atividades Micro'!$G384="Macro",'Atividades Micro'!$K384&lt;&gt;""),'Atividades Micro'!$K384,"")</f>
        <v/>
      </c>
      <c r="BM332" s="21" t="str">
        <f>IF(AND('Atividades Micro'!$B384=BM$2,'Atividades Micro'!$G384="Macro",'Atividades Micro'!$K384&lt;&gt;""),'Atividades Micro'!$K384,"")</f>
        <v/>
      </c>
      <c r="BN332" s="21" t="str">
        <f>IF(AND('Atividades Micro'!$B384=BN$2,'Atividades Micro'!$G384="Macro",'Atividades Micro'!$K384&lt;&gt;""),'Atividades Micro'!$K384,"")</f>
        <v/>
      </c>
      <c r="BO332" s="21" t="str">
        <f>IF(AND('Atividades Micro'!$B384=BO$2,'Atividades Micro'!$G384="Macro",'Atividades Micro'!$K384&lt;&gt;""),'Atividades Micro'!$K384,"")</f>
        <v/>
      </c>
      <c r="BP332" s="21" t="str">
        <f>IF(AND('Atividades Micro'!$B384=BP$2,'Atividades Micro'!$G384="Macro",'Atividades Micro'!$K384&lt;&gt;""),'Atividades Micro'!$K384,"")</f>
        <v/>
      </c>
      <c r="BQ332" s="21" t="str">
        <f>IF(AND('Atividades Micro'!$B384=BQ$2,'Atividades Micro'!$G384="Macro",'Atividades Micro'!$K384&lt;&gt;""),'Atividades Micro'!$K384,"")</f>
        <v/>
      </c>
      <c r="BR332" s="21" t="str">
        <f>IF(AND('Atividades Micro'!$B384=BR$2,'Atividades Micro'!$G384="Macro",'Atividades Micro'!$K384&lt;&gt;""),'Atividades Micro'!$K384,"")</f>
        <v/>
      </c>
      <c r="BS332" s="21" t="str">
        <f>IF(AND('Atividades Micro'!$B384=BS$2,'Atividades Micro'!$G384="Macro",'Atividades Micro'!$K384&lt;&gt;""),'Atividades Micro'!$K384,"")</f>
        <v/>
      </c>
      <c r="BT332" s="21" t="str">
        <f>IF(AND('Atividades Micro'!$B384=BT$2,'Atividades Micro'!$G384="Macro",'Atividades Micro'!$K384&lt;&gt;""),'Atividades Micro'!$K384,"")</f>
        <v/>
      </c>
      <c r="BU332" s="21" t="str">
        <f>IF(AND('Atividades Micro'!$B384=BU$2,'Atividades Micro'!$G384="Macro",'Atividades Micro'!$K384&lt;&gt;""),'Atividades Micro'!$K384,"")</f>
        <v/>
      </c>
      <c r="BV332" s="21" t="str">
        <f>IF(AND('Atividades Micro'!$B384=BV$2,'Atividades Micro'!$G384="Macro",'Atividades Micro'!$K384&lt;&gt;""),'Atividades Micro'!$K384,"")</f>
        <v/>
      </c>
      <c r="BW332" s="21" t="str">
        <f>IF(AND('Atividades Micro'!$B384=BW$2,'Atividades Micro'!$G384="Macro",'Atividades Micro'!$K384&lt;&gt;""),'Atividades Micro'!$K384,"")</f>
        <v/>
      </c>
      <c r="BX332" s="21" t="str">
        <f>IF(AND('Atividades Micro'!$B384=BX$2,'Atividades Micro'!$G384="Macro",'Atividades Micro'!$K384&lt;&gt;""),'Atividades Micro'!$K384,"")</f>
        <v/>
      </c>
      <c r="BY332" s="21" t="str">
        <f>IF(AND('Atividades Micro'!$B384=BY$2,'Atividades Micro'!$G384="Macro",'Atividades Micro'!$K384&lt;&gt;""),'Atividades Micro'!$K384,"")</f>
        <v/>
      </c>
      <c r="BZ332" s="21" t="str">
        <f>IF(AND('Atividades Micro'!$B384=BZ$2,'Atividades Micro'!$G384="Macro",'Atividades Micro'!$K384&lt;&gt;""),'Atividades Micro'!$K384,"")</f>
        <v/>
      </c>
      <c r="CA332" s="21" t="str">
        <f>IF(AND('Atividades Micro'!$B384=CA$2,'Atividades Micro'!$G384="Macro",'Atividades Micro'!$K384&lt;&gt;""),'Atividades Micro'!$K384,"")</f>
        <v/>
      </c>
      <c r="CB332" s="21" t="str">
        <f>IF(AND('Atividades Micro'!$B384=CB$2,'Atividades Micro'!$G384="Macro",'Atividades Micro'!$K384&lt;&gt;""),'Atividades Micro'!$K384,"")</f>
        <v/>
      </c>
      <c r="CC332" s="21" t="str">
        <f>IF(AND('Atividades Micro'!$B384=CC$2,'Atividades Micro'!$G384="Macro",'Atividades Micro'!$K384&lt;&gt;""),'Atividades Micro'!$K384,"")</f>
        <v/>
      </c>
      <c r="CD332" s="21" t="str">
        <f>IF(AND('Atividades Micro'!$B384=CD$2,'Atividades Micro'!$G384="Micro",'Atividades Micro'!$K384&lt;&gt;""),'Atividades Micro'!$K384,"")</f>
        <v/>
      </c>
      <c r="CE332" s="21" t="str">
        <f>IF(AND('Atividades Micro'!$B384=CE$2,'Atividades Micro'!$G384="Micro",'Atividades Micro'!$K384&lt;&gt;""),'Atividades Micro'!$K384,"")</f>
        <v/>
      </c>
      <c r="CF332" s="21" t="str">
        <f>IF(AND('Atividades Micro'!$B384=CF$2,'Atividades Micro'!$G384="Micro",'Atividades Micro'!$K384&lt;&gt;""),'Atividades Micro'!$K384,"")</f>
        <v/>
      </c>
      <c r="CG332" s="21" t="str">
        <f>IF(AND('Atividades Micro'!$B384=CG$2,'Atividades Micro'!$G384="Micro",'Atividades Micro'!$K384&lt;&gt;""),'Atividades Micro'!$K384,"")</f>
        <v/>
      </c>
      <c r="CH332" s="21" t="str">
        <f>IF(AND('Atividades Micro'!$B384=CH$2,'Atividades Micro'!$G384="Micro",'Atividades Micro'!$K384&lt;&gt;""),'Atividades Micro'!$K384,"")</f>
        <v/>
      </c>
      <c r="CI332" s="21" t="str">
        <f>IF(AND('Atividades Micro'!$B384=CI$2,'Atividades Micro'!$G384="Micro",'Atividades Micro'!$K384&lt;&gt;""),'Atividades Micro'!$K384,"")</f>
        <v/>
      </c>
      <c r="CJ332" s="21" t="str">
        <f>IF(AND('Atividades Micro'!$B384=CJ$2,'Atividades Micro'!$G384="Micro",'Atividades Micro'!$K384&lt;&gt;""),'Atividades Micro'!$K384,"")</f>
        <v/>
      </c>
      <c r="CK332" s="21" t="str">
        <f>IF(AND('Atividades Micro'!$B384=CK$2,'Atividades Micro'!$G384="Micro",'Atividades Micro'!$K384&lt;&gt;""),'Atividades Micro'!$K384,"")</f>
        <v/>
      </c>
      <c r="CL332" s="21" t="str">
        <f>IF(AND('Atividades Micro'!$B384=CL$2,'Atividades Micro'!$G384="Micro",'Atividades Micro'!$K384&lt;&gt;""),'Atividades Micro'!$K384,"")</f>
        <v/>
      </c>
      <c r="CM332" s="21" t="str">
        <f>IF(AND('Atividades Micro'!$B384=CM$2,'Atividades Micro'!$G384="Micro",'Atividades Micro'!$K384&lt;&gt;""),'Atividades Micro'!$K384,"")</f>
        <v/>
      </c>
      <c r="CN332" s="21" t="str">
        <f>IF(AND('Atividades Micro'!$B384=CN$2,'Atividades Micro'!$G384="Micro",'Atividades Micro'!$K384&lt;&gt;""),'Atividades Micro'!$K384,"")</f>
        <v/>
      </c>
      <c r="CO332" s="21" t="str">
        <f>IF(AND('Atividades Micro'!$B384=CO$2,'Atividades Micro'!$G384="Micro",'Atividades Micro'!$K384&lt;&gt;""),'Atividades Micro'!$K384,"")</f>
        <v/>
      </c>
    </row>
    <row r="333" spans="1:93">
      <c r="A333" s="21" t="str">
        <f>IF(AND('Atividades Micro'!$A385=A$2,'Atividades Micro'!$K385&lt;&gt;""),'Atividades Micro'!$K385,"")</f>
        <v/>
      </c>
      <c r="B333" s="21" t="str">
        <f>IF(AND('Atividades Micro'!$A385=B$2,'Atividades Micro'!$L385&lt;&gt;""),'Atividades Micro'!$L385,"")</f>
        <v/>
      </c>
      <c r="C333" s="21" t="str">
        <f>IF(AND('Atividades Micro'!$A385=C$2,'Atividades Micro'!$K385&lt;&gt;""),'Atividades Micro'!$K385,"")</f>
        <v/>
      </c>
      <c r="D333" s="21" t="str">
        <f>IF(AND('Atividades Micro'!$A385=D$2,'Atividades Micro'!$L385&lt;&gt;""),'Atividades Micro'!$L385,"")</f>
        <v/>
      </c>
      <c r="E333" s="21" t="str">
        <f>IF(AND('Atividades Micro'!$A385=E$2,'Atividades Micro'!$K385&lt;&gt;""),'Atividades Micro'!$K385,"")</f>
        <v/>
      </c>
      <c r="F333" s="21" t="str">
        <f>IF(AND('Atividades Micro'!$A385=F$2,'Atividades Micro'!$L385&lt;&gt;""),'Atividades Micro'!$L385,"")</f>
        <v/>
      </c>
      <c r="G333" s="21" t="str">
        <f>IF(AND('Atividades Micro'!$A385=G$2,'Atividades Micro'!$K385&lt;&gt;""),'Atividades Micro'!$K385,"")</f>
        <v/>
      </c>
      <c r="H333" s="21" t="str">
        <f>IF(AND('Atividades Micro'!$A385=H$2,'Atividades Micro'!$L385&lt;&gt;""),'Atividades Micro'!$L385,"")</f>
        <v/>
      </c>
      <c r="I333" s="21" t="str">
        <f>IF(AND('Atividades Micro'!$A385=I$2,'Atividades Micro'!$K385&lt;&gt;""),'Atividades Micro'!$K385,"")</f>
        <v/>
      </c>
      <c r="J333" s="21" t="str">
        <f>IF(AND('Atividades Micro'!$A385=J$2,'Atividades Micro'!$L385&lt;&gt;""),'Atividades Micro'!$L385,"")</f>
        <v/>
      </c>
      <c r="K333" s="21" t="str">
        <f>IF(AND('Atividades Micro'!$B385=K$2,'Atividades Micro'!$K385&lt;&gt;""),'Atividades Micro'!$K385,"")</f>
        <v/>
      </c>
      <c r="L333" s="21" t="str">
        <f>IF(AND('Atividades Micro'!$B385=L$2,'Atividades Micro'!$L385&lt;&gt;""),'Atividades Micro'!$L385,"")</f>
        <v/>
      </c>
      <c r="M333" s="21" t="str">
        <f>IF(AND('Atividades Micro'!$B385=M$2,'Atividades Micro'!$K385&lt;&gt;""),'Atividades Micro'!$K385,"")</f>
        <v/>
      </c>
      <c r="N333" s="21" t="str">
        <f>IF(AND('Atividades Micro'!$B385=N$2,'Atividades Micro'!$L385&lt;&gt;""),'Atividades Micro'!$L385,"")</f>
        <v/>
      </c>
      <c r="O333" s="21" t="str">
        <f>IF(AND('Atividades Micro'!$A385=O$2,'Atividades Micro'!$K385&lt;&gt;""),'Atividades Micro'!$K385,"")</f>
        <v/>
      </c>
      <c r="P333" s="21" t="str">
        <f>IF(AND('Atividades Micro'!$A385=P$2,'Atividades Micro'!$L385&lt;&gt;""),'Atividades Micro'!$L385,"")</f>
        <v/>
      </c>
      <c r="Q333" s="21" t="str">
        <f>IF(AND('Atividades Micro'!$B385=Q$2,'Atividades Micro'!$K385&lt;&gt;""),'Atividades Micro'!$K385,"")</f>
        <v/>
      </c>
      <c r="R333" s="21" t="str">
        <f>IF(AND('Atividades Micro'!$B385=R$2,'Atividades Micro'!$L385&lt;&gt;""),'Atividades Micro'!$L385,"")</f>
        <v/>
      </c>
      <c r="S333" s="21" t="str">
        <f>IF(AND('Atividades Micro'!$A385=S$2,'Atividades Micro'!$K385&lt;&gt;""),'Atividades Micro'!$K385,"")</f>
        <v/>
      </c>
      <c r="T333" s="21" t="str">
        <f>IF(AND('Atividades Micro'!$A385=T$2,'Atividades Micro'!$L385&lt;&gt;""),'Atividades Micro'!$L385,"")</f>
        <v/>
      </c>
      <c r="U333" s="21" t="str">
        <f>IF(AND('Atividades Micro'!$B385=U$2,'Atividades Micro'!$K385&lt;&gt;""),'Atividades Micro'!$K385,"")</f>
        <v/>
      </c>
      <c r="V333" s="21" t="str">
        <f>IF(AND('Atividades Micro'!$B385=V$2,'Atividades Micro'!$L385&lt;&gt;""),'Atividades Micro'!$L385,"")</f>
        <v/>
      </c>
      <c r="W333" s="21" t="str">
        <f>IF(AND('Atividades Micro'!$B385=W$2,'Atividades Micro'!$K385&lt;&gt;""),'Atividades Micro'!$K385,"")</f>
        <v/>
      </c>
      <c r="X333" s="21" t="str">
        <f>IF(AND('Atividades Micro'!$B385=X$2,'Atividades Micro'!$L385&lt;&gt;""),'Atividades Micro'!$L385,"")</f>
        <v/>
      </c>
      <c r="Y333" s="21" t="str">
        <f>IF(AND('Atividades Micro'!$A385=Y$2,'Atividades Micro'!$K385&lt;&gt;""),'Atividades Micro'!$K385,"")</f>
        <v/>
      </c>
      <c r="Z333" s="21" t="str">
        <f>IF(AND('Atividades Micro'!$A385=Z$2,'Atividades Micro'!$L385&lt;&gt;""),'Atividades Micro'!$L385,"")</f>
        <v/>
      </c>
      <c r="AA333" s="21" t="str">
        <f>IF(AND('Atividades Micro'!$B385=AA$2,'Atividades Micro'!$K385&lt;&gt;""),'Atividades Micro'!$K385,"")</f>
        <v/>
      </c>
      <c r="AB333" s="21" t="str">
        <f>IF(AND('Atividades Micro'!$B385=AB$2,'Atividades Micro'!$L385&lt;&gt;""),'Atividades Micro'!$L385,"")</f>
        <v/>
      </c>
      <c r="AC333" s="21" t="str">
        <f>IF(AND('Atividades Micro'!$B385=AC$2,'Atividades Micro'!$K385&lt;&gt;""),'Atividades Micro'!$K385,"")</f>
        <v/>
      </c>
      <c r="AD333" s="21" t="str">
        <f>IF(AND('Atividades Micro'!$B385=AD$2,'Atividades Micro'!$L385&lt;&gt;""),'Atividades Micro'!$L385,"")</f>
        <v/>
      </c>
      <c r="AE333" s="21" t="str">
        <f>IF(AND('Atividades Micro'!$A385=AE$2,'Atividades Micro'!$K385&lt;&gt;""),'Atividades Micro'!$K385,"")</f>
        <v/>
      </c>
      <c r="AF333" s="21" t="str">
        <f>IF(AND('Atividades Micro'!$A385=AF$2,'Atividades Micro'!$L385&lt;&gt;""),'Atividades Micro'!$L385,"")</f>
        <v/>
      </c>
      <c r="AG333" s="21" t="str">
        <f>IF(AND('Atividades Micro'!$B385=AG$2,'Atividades Micro'!$K385&lt;&gt;""),'Atividades Micro'!$K385,"")</f>
        <v/>
      </c>
      <c r="AH333" s="21" t="str">
        <f>IF(AND('Atividades Micro'!$B385=AH$2,'Atividades Micro'!$L385&lt;&gt;""),'Atividades Micro'!$L385,"")</f>
        <v/>
      </c>
      <c r="AI333" s="21" t="str">
        <f>IF(AND('Atividades Micro'!$B385=AI$2,'Atividades Micro'!$K385&lt;&gt;""),'Atividades Micro'!$K385,"")</f>
        <v/>
      </c>
      <c r="AJ333" s="21" t="str">
        <f>IF(AND('Atividades Micro'!$B385=AJ$2,'Atividades Micro'!$L385&lt;&gt;""),'Atividades Micro'!$L385,"")</f>
        <v/>
      </c>
      <c r="AK333" s="21" t="str">
        <f>IF(AND('Atividades Micro'!$A385=AK$2,'Atividades Micro'!$K385&lt;&gt;""),'Atividades Micro'!$K385,"")</f>
        <v/>
      </c>
      <c r="AL333" s="21" t="str">
        <f>IF(AND('Atividades Micro'!$A385=AL$2,'Atividades Micro'!$L385&lt;&gt;""),'Atividades Micro'!$L385,"")</f>
        <v/>
      </c>
      <c r="AM333" s="21" t="str">
        <f>IF(AND('Atividades Micro'!$B385=AM$2,'Atividades Micro'!$K385&lt;&gt;""),'Atividades Micro'!$K385,"")</f>
        <v/>
      </c>
      <c r="AN333" s="21" t="str">
        <f>IF(AND('Atividades Micro'!$B385=AN$2,'Atividades Micro'!$L385&lt;&gt;""),'Atividades Micro'!$L385,"")</f>
        <v/>
      </c>
      <c r="AO333" s="21" t="str">
        <f>IF(AND('Atividades Micro'!$B385=AO$2,'Atividades Micro'!$K385&lt;&gt;""),'Atividades Micro'!$K385,"")</f>
        <v/>
      </c>
      <c r="AP333" s="21" t="str">
        <f>IF(AND('Atividades Micro'!$B385=AP$2,'Atividades Micro'!$L385&lt;&gt;""),'Atividades Micro'!$L385,"")</f>
        <v/>
      </c>
      <c r="AQ333" s="21" t="str">
        <f>IF(AND('Atividades Micro'!$A385=AQ$2,'Atividades Micro'!$K385&lt;&gt;""),'Atividades Micro'!$K385,"")</f>
        <v/>
      </c>
      <c r="AR333" s="21" t="str">
        <f>IF(AND('Atividades Micro'!$A385=AR$2,'Atividades Micro'!$L385&lt;&gt;""),'Atividades Micro'!$L385,"")</f>
        <v/>
      </c>
      <c r="AS333" s="21" t="str">
        <f>IF(AND('Atividades Micro'!$B385=AS$2,'Atividades Micro'!$K385&lt;&gt;""),'Atividades Micro'!$K385,"")</f>
        <v/>
      </c>
      <c r="AT333" s="21" t="str">
        <f>IF(AND('Atividades Micro'!$B385=AT$2,'Atividades Micro'!$L385&lt;&gt;""),'Atividades Micro'!$L385,"")</f>
        <v/>
      </c>
      <c r="AU333" s="21" t="str">
        <f>IF(AND('Atividades Micro'!$A385=AU$2,'Atividades Micro'!$K385&lt;&gt;""),'Atividades Micro'!$K385,"")</f>
        <v/>
      </c>
      <c r="AV333" s="21" t="str">
        <f>IF(AND('Atividades Micro'!$A385=AV$2,'Atividades Micro'!$L385&lt;&gt;""),'Atividades Micro'!$L385,"")</f>
        <v/>
      </c>
      <c r="AW333" s="21" t="str">
        <f>IF(AND('Atividades Micro'!$B385=AW$2,'Atividades Micro'!$K385&lt;&gt;""),'Atividades Micro'!$K385,"")</f>
        <v/>
      </c>
      <c r="AX333" s="21" t="str">
        <f>IF(AND('Atividades Micro'!$B385=AX$2,'Atividades Micro'!$L385&lt;&gt;""),'Atividades Micro'!$L385,"")</f>
        <v/>
      </c>
      <c r="AY333" s="21" t="str">
        <f>IF(AND('Atividades Micro'!$A385=AY$2,'Atividades Micro'!$K385&lt;&gt;""),'Atividades Micro'!$K385,"")</f>
        <v/>
      </c>
      <c r="AZ333" s="21" t="str">
        <f>IF(AND('Atividades Micro'!$A385=AZ$2,'Atividades Micro'!$L385&lt;&gt;""),'Atividades Micro'!$L385,"")</f>
        <v/>
      </c>
      <c r="BA333" s="21" t="str">
        <f>IF(AND('Atividades Micro'!$B385=BA$2,'Atividades Micro'!$K385&lt;&gt;""),'Atividades Micro'!$K385,"")</f>
        <v/>
      </c>
      <c r="BB333" s="21" t="str">
        <f>IF(AND('Atividades Micro'!$B385=BB$2,'Atividades Micro'!$L385&lt;&gt;""),'Atividades Micro'!$L385,"")</f>
        <v/>
      </c>
      <c r="BC333" s="21" t="str">
        <f>IF(AND('Atividades Micro'!$B385=BC$2,'Atividades Micro'!$G385="Macro",'Atividades Micro'!$K385&lt;&gt;""),'Atividades Micro'!$K385,"")</f>
        <v/>
      </c>
      <c r="BD333" s="21" t="str">
        <f>IF(AND('Atividades Micro'!$B385=BD$2,'Atividades Micro'!$G385="Macro",'Atividades Micro'!$K385&lt;&gt;""),'Atividades Micro'!$K385,"")</f>
        <v/>
      </c>
      <c r="BE333" s="21" t="str">
        <f>IF(AND('Atividades Micro'!$B385=BE$2,'Atividades Micro'!$G385="Macro",'Atividades Micro'!$K385&lt;&gt;""),'Atividades Micro'!$K385,"")</f>
        <v/>
      </c>
      <c r="BF333" s="21" t="str">
        <f>IF(AND('Atividades Micro'!$B385=BF$2,'Atividades Micro'!$G385="Macro",'Atividades Micro'!$K385&lt;&gt;""),'Atividades Micro'!$K385,"")</f>
        <v/>
      </c>
      <c r="BG333" s="21" t="str">
        <f>IF(AND('Atividades Micro'!$B385=BG$2,'Atividades Micro'!$G385="Macro",'Atividades Micro'!$K385&lt;&gt;""),'Atividades Micro'!$K385,"")</f>
        <v/>
      </c>
      <c r="BH333" s="21" t="str">
        <f>IF(AND('Atividades Micro'!$B385=BH$2,'Atividades Micro'!$G385="Macro",'Atividades Micro'!$K385&lt;&gt;""),'Atividades Micro'!$K385,"")</f>
        <v/>
      </c>
      <c r="BI333" s="21" t="str">
        <f>IF(AND('Atividades Micro'!$B385=BI$2,'Atividades Micro'!$G385="Macro",'Atividades Micro'!$K385&lt;&gt;""),'Atividades Micro'!$K385,"")</f>
        <v/>
      </c>
      <c r="BJ333" s="21" t="str">
        <f>IF(AND('Atividades Micro'!$B385=BJ$2,'Atividades Micro'!$G385="Macro",'Atividades Micro'!$K385&lt;&gt;""),'Atividades Micro'!$K385,"")</f>
        <v/>
      </c>
      <c r="BK333" s="21" t="str">
        <f>IF(AND('Atividades Micro'!$B385=BK$2,'Atividades Micro'!$G385="Macro",'Atividades Micro'!$K385&lt;&gt;""),'Atividades Micro'!$K385,"")</f>
        <v/>
      </c>
      <c r="BL333" s="21" t="str">
        <f>IF(AND('Atividades Micro'!$B385=BL$2,'Atividades Micro'!$G385="Macro",'Atividades Micro'!$K385&lt;&gt;""),'Atividades Micro'!$K385,"")</f>
        <v/>
      </c>
      <c r="BM333" s="21" t="str">
        <f>IF(AND('Atividades Micro'!$B385=BM$2,'Atividades Micro'!$G385="Macro",'Atividades Micro'!$K385&lt;&gt;""),'Atividades Micro'!$K385,"")</f>
        <v/>
      </c>
      <c r="BN333" s="21" t="str">
        <f>IF(AND('Atividades Micro'!$B385=BN$2,'Atividades Micro'!$G385="Macro",'Atividades Micro'!$K385&lt;&gt;""),'Atividades Micro'!$K385,"")</f>
        <v/>
      </c>
      <c r="BO333" s="21" t="str">
        <f>IF(AND('Atividades Micro'!$B385=BO$2,'Atividades Micro'!$G385="Macro",'Atividades Micro'!$K385&lt;&gt;""),'Atividades Micro'!$K385,"")</f>
        <v/>
      </c>
      <c r="BP333" s="21" t="str">
        <f>IF(AND('Atividades Micro'!$B385=BP$2,'Atividades Micro'!$G385="Macro",'Atividades Micro'!$K385&lt;&gt;""),'Atividades Micro'!$K385,"")</f>
        <v/>
      </c>
      <c r="BQ333" s="21" t="str">
        <f>IF(AND('Atividades Micro'!$B385=BQ$2,'Atividades Micro'!$G385="Macro",'Atividades Micro'!$K385&lt;&gt;""),'Atividades Micro'!$K385,"")</f>
        <v/>
      </c>
      <c r="BR333" s="21" t="str">
        <f>IF(AND('Atividades Micro'!$B385=BR$2,'Atividades Micro'!$G385="Macro",'Atividades Micro'!$K385&lt;&gt;""),'Atividades Micro'!$K385,"")</f>
        <v/>
      </c>
      <c r="BS333" s="21" t="str">
        <f>IF(AND('Atividades Micro'!$B385=BS$2,'Atividades Micro'!$G385="Macro",'Atividades Micro'!$K385&lt;&gt;""),'Atividades Micro'!$K385,"")</f>
        <v/>
      </c>
      <c r="BT333" s="21" t="str">
        <f>IF(AND('Atividades Micro'!$B385=BT$2,'Atividades Micro'!$G385="Macro",'Atividades Micro'!$K385&lt;&gt;""),'Atividades Micro'!$K385,"")</f>
        <v/>
      </c>
      <c r="BU333" s="21" t="str">
        <f>IF(AND('Atividades Micro'!$B385=BU$2,'Atividades Micro'!$G385="Macro",'Atividades Micro'!$K385&lt;&gt;""),'Atividades Micro'!$K385,"")</f>
        <v/>
      </c>
      <c r="BV333" s="21" t="str">
        <f>IF(AND('Atividades Micro'!$B385=BV$2,'Atividades Micro'!$G385="Macro",'Atividades Micro'!$K385&lt;&gt;""),'Atividades Micro'!$K385,"")</f>
        <v/>
      </c>
      <c r="BW333" s="21" t="str">
        <f>IF(AND('Atividades Micro'!$B385=BW$2,'Atividades Micro'!$G385="Macro",'Atividades Micro'!$K385&lt;&gt;""),'Atividades Micro'!$K385,"")</f>
        <v/>
      </c>
      <c r="BX333" s="21" t="str">
        <f>IF(AND('Atividades Micro'!$B385=BX$2,'Atividades Micro'!$G385="Macro",'Atividades Micro'!$K385&lt;&gt;""),'Atividades Micro'!$K385,"")</f>
        <v/>
      </c>
      <c r="BY333" s="21" t="str">
        <f>IF(AND('Atividades Micro'!$B385=BY$2,'Atividades Micro'!$G385="Macro",'Atividades Micro'!$K385&lt;&gt;""),'Atividades Micro'!$K385,"")</f>
        <v/>
      </c>
      <c r="BZ333" s="21" t="str">
        <f>IF(AND('Atividades Micro'!$B385=BZ$2,'Atividades Micro'!$G385="Macro",'Atividades Micro'!$K385&lt;&gt;""),'Atividades Micro'!$K385,"")</f>
        <v/>
      </c>
      <c r="CA333" s="21" t="str">
        <f>IF(AND('Atividades Micro'!$B385=CA$2,'Atividades Micro'!$G385="Macro",'Atividades Micro'!$K385&lt;&gt;""),'Atividades Micro'!$K385,"")</f>
        <v/>
      </c>
      <c r="CB333" s="21" t="str">
        <f>IF(AND('Atividades Micro'!$B385=CB$2,'Atividades Micro'!$G385="Macro",'Atividades Micro'!$K385&lt;&gt;""),'Atividades Micro'!$K385,"")</f>
        <v/>
      </c>
      <c r="CC333" s="21" t="str">
        <f>IF(AND('Atividades Micro'!$B385=CC$2,'Atividades Micro'!$G385="Macro",'Atividades Micro'!$K385&lt;&gt;""),'Atividades Micro'!$K385,"")</f>
        <v/>
      </c>
      <c r="CD333" s="21" t="str">
        <f>IF(AND('Atividades Micro'!$B385=CD$2,'Atividades Micro'!$G385="Micro",'Atividades Micro'!$K385&lt;&gt;""),'Atividades Micro'!$K385,"")</f>
        <v/>
      </c>
      <c r="CE333" s="21" t="str">
        <f>IF(AND('Atividades Micro'!$B385=CE$2,'Atividades Micro'!$G385="Micro",'Atividades Micro'!$K385&lt;&gt;""),'Atividades Micro'!$K385,"")</f>
        <v/>
      </c>
      <c r="CF333" s="21" t="str">
        <f>IF(AND('Atividades Micro'!$B385=CF$2,'Atividades Micro'!$G385="Micro",'Atividades Micro'!$K385&lt;&gt;""),'Atividades Micro'!$K385,"")</f>
        <v/>
      </c>
      <c r="CG333" s="21" t="str">
        <f>IF(AND('Atividades Micro'!$B385=CG$2,'Atividades Micro'!$G385="Micro",'Atividades Micro'!$K385&lt;&gt;""),'Atividades Micro'!$K385,"")</f>
        <v/>
      </c>
      <c r="CH333" s="21" t="str">
        <f>IF(AND('Atividades Micro'!$B385=CH$2,'Atividades Micro'!$G385="Micro",'Atividades Micro'!$K385&lt;&gt;""),'Atividades Micro'!$K385,"")</f>
        <v/>
      </c>
      <c r="CI333" s="21" t="str">
        <f>IF(AND('Atividades Micro'!$B385=CI$2,'Atividades Micro'!$G385="Micro",'Atividades Micro'!$K385&lt;&gt;""),'Atividades Micro'!$K385,"")</f>
        <v/>
      </c>
      <c r="CJ333" s="21" t="str">
        <f>IF(AND('Atividades Micro'!$B385=CJ$2,'Atividades Micro'!$G385="Micro",'Atividades Micro'!$K385&lt;&gt;""),'Atividades Micro'!$K385,"")</f>
        <v/>
      </c>
      <c r="CK333" s="21" t="str">
        <f>IF(AND('Atividades Micro'!$B385=CK$2,'Atividades Micro'!$G385="Micro",'Atividades Micro'!$K385&lt;&gt;""),'Atividades Micro'!$K385,"")</f>
        <v/>
      </c>
      <c r="CL333" s="21" t="str">
        <f>IF(AND('Atividades Micro'!$B385=CL$2,'Atividades Micro'!$G385="Micro",'Atividades Micro'!$K385&lt;&gt;""),'Atividades Micro'!$K385,"")</f>
        <v/>
      </c>
      <c r="CM333" s="21" t="str">
        <f>IF(AND('Atividades Micro'!$B385=CM$2,'Atividades Micro'!$G385="Micro",'Atividades Micro'!$K385&lt;&gt;""),'Atividades Micro'!$K385,"")</f>
        <v/>
      </c>
      <c r="CN333" s="21" t="str">
        <f>IF(AND('Atividades Micro'!$B385=CN$2,'Atividades Micro'!$G385="Micro",'Atividades Micro'!$K385&lt;&gt;""),'Atividades Micro'!$K385,"")</f>
        <v/>
      </c>
      <c r="CO333" s="21" t="str">
        <f>IF(AND('Atividades Micro'!$B385=CO$2,'Atividades Micro'!$G385="Micro",'Atividades Micro'!$K385&lt;&gt;""),'Atividades Micro'!$K385,"")</f>
        <v/>
      </c>
    </row>
    <row r="334" spans="1:93">
      <c r="A334" s="21" t="str">
        <f>IF(AND('Atividades Micro'!$A386=A$2,'Atividades Micro'!$K386&lt;&gt;""),'Atividades Micro'!$K386,"")</f>
        <v/>
      </c>
      <c r="B334" s="21" t="str">
        <f>IF(AND('Atividades Micro'!$A386=B$2,'Atividades Micro'!$L386&lt;&gt;""),'Atividades Micro'!$L386,"")</f>
        <v/>
      </c>
      <c r="C334" s="21" t="str">
        <f>IF(AND('Atividades Micro'!$A386=C$2,'Atividades Micro'!$K386&lt;&gt;""),'Atividades Micro'!$K386,"")</f>
        <v/>
      </c>
      <c r="D334" s="21" t="str">
        <f>IF(AND('Atividades Micro'!$A386=D$2,'Atividades Micro'!$L386&lt;&gt;""),'Atividades Micro'!$L386,"")</f>
        <v/>
      </c>
      <c r="E334" s="21" t="str">
        <f>IF(AND('Atividades Micro'!$A386=E$2,'Atividades Micro'!$K386&lt;&gt;""),'Atividades Micro'!$K386,"")</f>
        <v/>
      </c>
      <c r="F334" s="21" t="str">
        <f>IF(AND('Atividades Micro'!$A386=F$2,'Atividades Micro'!$L386&lt;&gt;""),'Atividades Micro'!$L386,"")</f>
        <v/>
      </c>
      <c r="G334" s="21" t="str">
        <f>IF(AND('Atividades Micro'!$A386=G$2,'Atividades Micro'!$K386&lt;&gt;""),'Atividades Micro'!$K386,"")</f>
        <v/>
      </c>
      <c r="H334" s="21" t="str">
        <f>IF(AND('Atividades Micro'!$A386=H$2,'Atividades Micro'!$L386&lt;&gt;""),'Atividades Micro'!$L386,"")</f>
        <v/>
      </c>
      <c r="I334" s="21" t="str">
        <f>IF(AND('Atividades Micro'!$A386=I$2,'Atividades Micro'!$K386&lt;&gt;""),'Atividades Micro'!$K386,"")</f>
        <v/>
      </c>
      <c r="J334" s="21" t="str">
        <f>IF(AND('Atividades Micro'!$A386=J$2,'Atividades Micro'!$L386&lt;&gt;""),'Atividades Micro'!$L386,"")</f>
        <v/>
      </c>
      <c r="K334" s="21" t="str">
        <f>IF(AND('Atividades Micro'!$B386=K$2,'Atividades Micro'!$K386&lt;&gt;""),'Atividades Micro'!$K386,"")</f>
        <v/>
      </c>
      <c r="L334" s="21" t="str">
        <f>IF(AND('Atividades Micro'!$B386=L$2,'Atividades Micro'!$L386&lt;&gt;""),'Atividades Micro'!$L386,"")</f>
        <v/>
      </c>
      <c r="M334" s="21" t="str">
        <f>IF(AND('Atividades Micro'!$B386=M$2,'Atividades Micro'!$K386&lt;&gt;""),'Atividades Micro'!$K386,"")</f>
        <v/>
      </c>
      <c r="N334" s="21" t="str">
        <f>IF(AND('Atividades Micro'!$B386=N$2,'Atividades Micro'!$L386&lt;&gt;""),'Atividades Micro'!$L386,"")</f>
        <v/>
      </c>
      <c r="O334" s="21" t="str">
        <f>IF(AND('Atividades Micro'!$A386=O$2,'Atividades Micro'!$K386&lt;&gt;""),'Atividades Micro'!$K386,"")</f>
        <v/>
      </c>
      <c r="P334" s="21" t="str">
        <f>IF(AND('Atividades Micro'!$A386=P$2,'Atividades Micro'!$L386&lt;&gt;""),'Atividades Micro'!$L386,"")</f>
        <v/>
      </c>
      <c r="Q334" s="21" t="str">
        <f>IF(AND('Atividades Micro'!$B386=Q$2,'Atividades Micro'!$K386&lt;&gt;""),'Atividades Micro'!$K386,"")</f>
        <v/>
      </c>
      <c r="R334" s="21" t="str">
        <f>IF(AND('Atividades Micro'!$B386=R$2,'Atividades Micro'!$L386&lt;&gt;""),'Atividades Micro'!$L386,"")</f>
        <v/>
      </c>
      <c r="S334" s="21" t="str">
        <f>IF(AND('Atividades Micro'!$A386=S$2,'Atividades Micro'!$K386&lt;&gt;""),'Atividades Micro'!$K386,"")</f>
        <v/>
      </c>
      <c r="T334" s="21" t="str">
        <f>IF(AND('Atividades Micro'!$A386=T$2,'Atividades Micro'!$L386&lt;&gt;""),'Atividades Micro'!$L386,"")</f>
        <v/>
      </c>
      <c r="U334" s="21" t="str">
        <f>IF(AND('Atividades Micro'!$B386=U$2,'Atividades Micro'!$K386&lt;&gt;""),'Atividades Micro'!$K386,"")</f>
        <v/>
      </c>
      <c r="V334" s="21" t="str">
        <f>IF(AND('Atividades Micro'!$B386=V$2,'Atividades Micro'!$L386&lt;&gt;""),'Atividades Micro'!$L386,"")</f>
        <v/>
      </c>
      <c r="W334" s="21" t="str">
        <f>IF(AND('Atividades Micro'!$B386=W$2,'Atividades Micro'!$K386&lt;&gt;""),'Atividades Micro'!$K386,"")</f>
        <v/>
      </c>
      <c r="X334" s="21" t="str">
        <f>IF(AND('Atividades Micro'!$B386=X$2,'Atividades Micro'!$L386&lt;&gt;""),'Atividades Micro'!$L386,"")</f>
        <v/>
      </c>
      <c r="Y334" s="21" t="str">
        <f>IF(AND('Atividades Micro'!$A386=Y$2,'Atividades Micro'!$K386&lt;&gt;""),'Atividades Micro'!$K386,"")</f>
        <v/>
      </c>
      <c r="Z334" s="21" t="str">
        <f>IF(AND('Atividades Micro'!$A386=Z$2,'Atividades Micro'!$L386&lt;&gt;""),'Atividades Micro'!$L386,"")</f>
        <v/>
      </c>
      <c r="AA334" s="21" t="str">
        <f>IF(AND('Atividades Micro'!$B386=AA$2,'Atividades Micro'!$K386&lt;&gt;""),'Atividades Micro'!$K386,"")</f>
        <v/>
      </c>
      <c r="AB334" s="21" t="str">
        <f>IF(AND('Atividades Micro'!$B386=AB$2,'Atividades Micro'!$L386&lt;&gt;""),'Atividades Micro'!$L386,"")</f>
        <v/>
      </c>
      <c r="AC334" s="21" t="str">
        <f>IF(AND('Atividades Micro'!$B386=AC$2,'Atividades Micro'!$K386&lt;&gt;""),'Atividades Micro'!$K386,"")</f>
        <v/>
      </c>
      <c r="AD334" s="21" t="str">
        <f>IF(AND('Atividades Micro'!$B386=AD$2,'Atividades Micro'!$L386&lt;&gt;""),'Atividades Micro'!$L386,"")</f>
        <v/>
      </c>
      <c r="AE334" s="21" t="str">
        <f>IF(AND('Atividades Micro'!$A386=AE$2,'Atividades Micro'!$K386&lt;&gt;""),'Atividades Micro'!$K386,"")</f>
        <v/>
      </c>
      <c r="AF334" s="21" t="str">
        <f>IF(AND('Atividades Micro'!$A386=AF$2,'Atividades Micro'!$L386&lt;&gt;""),'Atividades Micro'!$L386,"")</f>
        <v/>
      </c>
      <c r="AG334" s="21" t="str">
        <f>IF(AND('Atividades Micro'!$B386=AG$2,'Atividades Micro'!$K386&lt;&gt;""),'Atividades Micro'!$K386,"")</f>
        <v/>
      </c>
      <c r="AH334" s="21" t="str">
        <f>IF(AND('Atividades Micro'!$B386=AH$2,'Atividades Micro'!$L386&lt;&gt;""),'Atividades Micro'!$L386,"")</f>
        <v/>
      </c>
      <c r="AI334" s="21" t="str">
        <f>IF(AND('Atividades Micro'!$B386=AI$2,'Atividades Micro'!$K386&lt;&gt;""),'Atividades Micro'!$K386,"")</f>
        <v/>
      </c>
      <c r="AJ334" s="21" t="str">
        <f>IF(AND('Atividades Micro'!$B386=AJ$2,'Atividades Micro'!$L386&lt;&gt;""),'Atividades Micro'!$L386,"")</f>
        <v/>
      </c>
      <c r="AK334" s="21" t="str">
        <f>IF(AND('Atividades Micro'!$A386=AK$2,'Atividades Micro'!$K386&lt;&gt;""),'Atividades Micro'!$K386,"")</f>
        <v/>
      </c>
      <c r="AL334" s="21" t="str">
        <f>IF(AND('Atividades Micro'!$A386=AL$2,'Atividades Micro'!$L386&lt;&gt;""),'Atividades Micro'!$L386,"")</f>
        <v/>
      </c>
      <c r="AM334" s="21" t="str">
        <f>IF(AND('Atividades Micro'!$B386=AM$2,'Atividades Micro'!$K386&lt;&gt;""),'Atividades Micro'!$K386,"")</f>
        <v/>
      </c>
      <c r="AN334" s="21" t="str">
        <f>IF(AND('Atividades Micro'!$B386=AN$2,'Atividades Micro'!$L386&lt;&gt;""),'Atividades Micro'!$L386,"")</f>
        <v/>
      </c>
      <c r="AO334" s="21" t="str">
        <f>IF(AND('Atividades Micro'!$B386=AO$2,'Atividades Micro'!$K386&lt;&gt;""),'Atividades Micro'!$K386,"")</f>
        <v/>
      </c>
      <c r="AP334" s="21" t="str">
        <f>IF(AND('Atividades Micro'!$B386=AP$2,'Atividades Micro'!$L386&lt;&gt;""),'Atividades Micro'!$L386,"")</f>
        <v/>
      </c>
      <c r="AQ334" s="21" t="str">
        <f>IF(AND('Atividades Micro'!$A386=AQ$2,'Atividades Micro'!$K386&lt;&gt;""),'Atividades Micro'!$K386,"")</f>
        <v/>
      </c>
      <c r="AR334" s="21" t="str">
        <f>IF(AND('Atividades Micro'!$A386=AR$2,'Atividades Micro'!$L386&lt;&gt;""),'Atividades Micro'!$L386,"")</f>
        <v/>
      </c>
      <c r="AS334" s="21" t="str">
        <f>IF(AND('Atividades Micro'!$B386=AS$2,'Atividades Micro'!$K386&lt;&gt;""),'Atividades Micro'!$K386,"")</f>
        <v/>
      </c>
      <c r="AT334" s="21" t="str">
        <f>IF(AND('Atividades Micro'!$B386=AT$2,'Atividades Micro'!$L386&lt;&gt;""),'Atividades Micro'!$L386,"")</f>
        <v/>
      </c>
      <c r="AU334" s="21" t="str">
        <f>IF(AND('Atividades Micro'!$A386=AU$2,'Atividades Micro'!$K386&lt;&gt;""),'Atividades Micro'!$K386,"")</f>
        <v/>
      </c>
      <c r="AV334" s="21" t="str">
        <f>IF(AND('Atividades Micro'!$A386=AV$2,'Atividades Micro'!$L386&lt;&gt;""),'Atividades Micro'!$L386,"")</f>
        <v/>
      </c>
      <c r="AW334" s="21" t="str">
        <f>IF(AND('Atividades Micro'!$B386=AW$2,'Atividades Micro'!$K386&lt;&gt;""),'Atividades Micro'!$K386,"")</f>
        <v/>
      </c>
      <c r="AX334" s="21" t="str">
        <f>IF(AND('Atividades Micro'!$B386=AX$2,'Atividades Micro'!$L386&lt;&gt;""),'Atividades Micro'!$L386,"")</f>
        <v/>
      </c>
      <c r="AY334" s="21" t="str">
        <f>IF(AND('Atividades Micro'!$A386=AY$2,'Atividades Micro'!$K386&lt;&gt;""),'Atividades Micro'!$K386,"")</f>
        <v/>
      </c>
      <c r="AZ334" s="21" t="str">
        <f>IF(AND('Atividades Micro'!$A386=AZ$2,'Atividades Micro'!$L386&lt;&gt;""),'Atividades Micro'!$L386,"")</f>
        <v/>
      </c>
      <c r="BA334" s="21" t="str">
        <f>IF(AND('Atividades Micro'!$B386=BA$2,'Atividades Micro'!$K386&lt;&gt;""),'Atividades Micro'!$K386,"")</f>
        <v/>
      </c>
      <c r="BB334" s="21" t="str">
        <f>IF(AND('Atividades Micro'!$B386=BB$2,'Atividades Micro'!$L386&lt;&gt;""),'Atividades Micro'!$L386,"")</f>
        <v/>
      </c>
      <c r="BC334" s="21" t="str">
        <f>IF(AND('Atividades Micro'!$B386=BC$2,'Atividades Micro'!$G386="Macro",'Atividades Micro'!$K386&lt;&gt;""),'Atividades Micro'!$K386,"")</f>
        <v/>
      </c>
      <c r="BD334" s="21" t="str">
        <f>IF(AND('Atividades Micro'!$B386=BD$2,'Atividades Micro'!$G386="Macro",'Atividades Micro'!$K386&lt;&gt;""),'Atividades Micro'!$K386,"")</f>
        <v/>
      </c>
      <c r="BE334" s="21" t="str">
        <f>IF(AND('Atividades Micro'!$B386=BE$2,'Atividades Micro'!$G386="Macro",'Atividades Micro'!$K386&lt;&gt;""),'Atividades Micro'!$K386,"")</f>
        <v/>
      </c>
      <c r="BF334" s="21" t="str">
        <f>IF(AND('Atividades Micro'!$B386=BF$2,'Atividades Micro'!$G386="Macro",'Atividades Micro'!$K386&lt;&gt;""),'Atividades Micro'!$K386,"")</f>
        <v/>
      </c>
      <c r="BG334" s="21" t="str">
        <f>IF(AND('Atividades Micro'!$B386=BG$2,'Atividades Micro'!$G386="Macro",'Atividades Micro'!$K386&lt;&gt;""),'Atividades Micro'!$K386,"")</f>
        <v/>
      </c>
      <c r="BH334" s="21" t="str">
        <f>IF(AND('Atividades Micro'!$B386=BH$2,'Atividades Micro'!$G386="Macro",'Atividades Micro'!$K386&lt;&gt;""),'Atividades Micro'!$K386,"")</f>
        <v/>
      </c>
      <c r="BI334" s="21" t="str">
        <f>IF(AND('Atividades Micro'!$B386=BI$2,'Atividades Micro'!$G386="Macro",'Atividades Micro'!$K386&lt;&gt;""),'Atividades Micro'!$K386,"")</f>
        <v/>
      </c>
      <c r="BJ334" s="21" t="str">
        <f>IF(AND('Atividades Micro'!$B386=BJ$2,'Atividades Micro'!$G386="Macro",'Atividades Micro'!$K386&lt;&gt;""),'Atividades Micro'!$K386,"")</f>
        <v/>
      </c>
      <c r="BK334" s="21" t="str">
        <f>IF(AND('Atividades Micro'!$B386=BK$2,'Atividades Micro'!$G386="Macro",'Atividades Micro'!$K386&lt;&gt;""),'Atividades Micro'!$K386,"")</f>
        <v/>
      </c>
      <c r="BL334" s="21" t="str">
        <f>IF(AND('Atividades Micro'!$B386=BL$2,'Atividades Micro'!$G386="Macro",'Atividades Micro'!$K386&lt;&gt;""),'Atividades Micro'!$K386,"")</f>
        <v/>
      </c>
      <c r="BM334" s="21" t="str">
        <f>IF(AND('Atividades Micro'!$B386=BM$2,'Atividades Micro'!$G386="Macro",'Atividades Micro'!$K386&lt;&gt;""),'Atividades Micro'!$K386,"")</f>
        <v/>
      </c>
      <c r="BN334" s="21" t="str">
        <f>IF(AND('Atividades Micro'!$B386=BN$2,'Atividades Micro'!$G386="Macro",'Atividades Micro'!$K386&lt;&gt;""),'Atividades Micro'!$K386,"")</f>
        <v/>
      </c>
      <c r="BO334" s="21" t="str">
        <f>IF(AND('Atividades Micro'!$B386=BO$2,'Atividades Micro'!$G386="Macro",'Atividades Micro'!$K386&lt;&gt;""),'Atividades Micro'!$K386,"")</f>
        <v/>
      </c>
      <c r="BP334" s="21" t="str">
        <f>IF(AND('Atividades Micro'!$B386=BP$2,'Atividades Micro'!$G386="Macro",'Atividades Micro'!$K386&lt;&gt;""),'Atividades Micro'!$K386,"")</f>
        <v/>
      </c>
      <c r="BQ334" s="21" t="str">
        <f>IF(AND('Atividades Micro'!$B386=BQ$2,'Atividades Micro'!$G386="Macro",'Atividades Micro'!$K386&lt;&gt;""),'Atividades Micro'!$K386,"")</f>
        <v/>
      </c>
      <c r="BR334" s="21" t="str">
        <f>IF(AND('Atividades Micro'!$B386=BR$2,'Atividades Micro'!$G386="Macro",'Atividades Micro'!$K386&lt;&gt;""),'Atividades Micro'!$K386,"")</f>
        <v/>
      </c>
      <c r="BS334" s="21" t="str">
        <f>IF(AND('Atividades Micro'!$B386=BS$2,'Atividades Micro'!$G386="Macro",'Atividades Micro'!$K386&lt;&gt;""),'Atividades Micro'!$K386,"")</f>
        <v/>
      </c>
      <c r="BT334" s="21" t="str">
        <f>IF(AND('Atividades Micro'!$B386=BT$2,'Atividades Micro'!$G386="Macro",'Atividades Micro'!$K386&lt;&gt;""),'Atividades Micro'!$K386,"")</f>
        <v/>
      </c>
      <c r="BU334" s="21" t="str">
        <f>IF(AND('Atividades Micro'!$B386=BU$2,'Atividades Micro'!$G386="Macro",'Atividades Micro'!$K386&lt;&gt;""),'Atividades Micro'!$K386,"")</f>
        <v/>
      </c>
      <c r="BV334" s="21" t="str">
        <f>IF(AND('Atividades Micro'!$B386=BV$2,'Atividades Micro'!$G386="Macro",'Atividades Micro'!$K386&lt;&gt;""),'Atividades Micro'!$K386,"")</f>
        <v/>
      </c>
      <c r="BW334" s="21" t="str">
        <f>IF(AND('Atividades Micro'!$B386=BW$2,'Atividades Micro'!$G386="Macro",'Atividades Micro'!$K386&lt;&gt;""),'Atividades Micro'!$K386,"")</f>
        <v/>
      </c>
      <c r="BX334" s="21" t="str">
        <f>IF(AND('Atividades Micro'!$B386=BX$2,'Atividades Micro'!$G386="Macro",'Atividades Micro'!$K386&lt;&gt;""),'Atividades Micro'!$K386,"")</f>
        <v/>
      </c>
      <c r="BY334" s="21" t="str">
        <f>IF(AND('Atividades Micro'!$B386=BY$2,'Atividades Micro'!$G386="Macro",'Atividades Micro'!$K386&lt;&gt;""),'Atividades Micro'!$K386,"")</f>
        <v/>
      </c>
      <c r="BZ334" s="21" t="str">
        <f>IF(AND('Atividades Micro'!$B386=BZ$2,'Atividades Micro'!$G386="Macro",'Atividades Micro'!$K386&lt;&gt;""),'Atividades Micro'!$K386,"")</f>
        <v/>
      </c>
      <c r="CA334" s="21" t="str">
        <f>IF(AND('Atividades Micro'!$B386=CA$2,'Atividades Micro'!$G386="Macro",'Atividades Micro'!$K386&lt;&gt;""),'Atividades Micro'!$K386,"")</f>
        <v/>
      </c>
      <c r="CB334" s="21" t="str">
        <f>IF(AND('Atividades Micro'!$B386=CB$2,'Atividades Micro'!$G386="Macro",'Atividades Micro'!$K386&lt;&gt;""),'Atividades Micro'!$K386,"")</f>
        <v/>
      </c>
      <c r="CC334" s="21" t="str">
        <f>IF(AND('Atividades Micro'!$B386=CC$2,'Atividades Micro'!$G386="Macro",'Atividades Micro'!$K386&lt;&gt;""),'Atividades Micro'!$K386,"")</f>
        <v/>
      </c>
      <c r="CD334" s="21" t="str">
        <f>IF(AND('Atividades Micro'!$B386=CD$2,'Atividades Micro'!$G386="Micro",'Atividades Micro'!$K386&lt;&gt;""),'Atividades Micro'!$K386,"")</f>
        <v/>
      </c>
      <c r="CE334" s="21" t="str">
        <f>IF(AND('Atividades Micro'!$B386=CE$2,'Atividades Micro'!$G386="Micro",'Atividades Micro'!$K386&lt;&gt;""),'Atividades Micro'!$K386,"")</f>
        <v/>
      </c>
      <c r="CF334" s="21" t="str">
        <f>IF(AND('Atividades Micro'!$B386=CF$2,'Atividades Micro'!$G386="Micro",'Atividades Micro'!$K386&lt;&gt;""),'Atividades Micro'!$K386,"")</f>
        <v/>
      </c>
      <c r="CG334" s="21" t="str">
        <f>IF(AND('Atividades Micro'!$B386=CG$2,'Atividades Micro'!$G386="Micro",'Atividades Micro'!$K386&lt;&gt;""),'Atividades Micro'!$K386,"")</f>
        <v/>
      </c>
      <c r="CH334" s="21" t="str">
        <f>IF(AND('Atividades Micro'!$B386=CH$2,'Atividades Micro'!$G386="Micro",'Atividades Micro'!$K386&lt;&gt;""),'Atividades Micro'!$K386,"")</f>
        <v/>
      </c>
      <c r="CI334" s="21" t="str">
        <f>IF(AND('Atividades Micro'!$B386=CI$2,'Atividades Micro'!$G386="Micro",'Atividades Micro'!$K386&lt;&gt;""),'Atividades Micro'!$K386,"")</f>
        <v/>
      </c>
      <c r="CJ334" s="21" t="str">
        <f>IF(AND('Atividades Micro'!$B386=CJ$2,'Atividades Micro'!$G386="Micro",'Atividades Micro'!$K386&lt;&gt;""),'Atividades Micro'!$K386,"")</f>
        <v/>
      </c>
      <c r="CK334" s="21" t="str">
        <f>IF(AND('Atividades Micro'!$B386=CK$2,'Atividades Micro'!$G386="Micro",'Atividades Micro'!$K386&lt;&gt;""),'Atividades Micro'!$K386,"")</f>
        <v/>
      </c>
      <c r="CL334" s="21" t="str">
        <f>IF(AND('Atividades Micro'!$B386=CL$2,'Atividades Micro'!$G386="Micro",'Atividades Micro'!$K386&lt;&gt;""),'Atividades Micro'!$K386,"")</f>
        <v/>
      </c>
      <c r="CM334" s="21" t="str">
        <f>IF(AND('Atividades Micro'!$B386=CM$2,'Atividades Micro'!$G386="Micro",'Atividades Micro'!$K386&lt;&gt;""),'Atividades Micro'!$K386,"")</f>
        <v/>
      </c>
      <c r="CN334" s="21" t="str">
        <f>IF(AND('Atividades Micro'!$B386=CN$2,'Atividades Micro'!$G386="Micro",'Atividades Micro'!$K386&lt;&gt;""),'Atividades Micro'!$K386,"")</f>
        <v/>
      </c>
      <c r="CO334" s="21" t="str">
        <f>IF(AND('Atividades Micro'!$B386=CO$2,'Atividades Micro'!$G386="Micro",'Atividades Micro'!$K386&lt;&gt;""),'Atividades Micro'!$K386,"")</f>
        <v/>
      </c>
    </row>
    <row r="335" spans="1:93">
      <c r="A335" s="21" t="str">
        <f>IF(AND('Atividades Micro'!$A387=A$2,'Atividades Micro'!$K387&lt;&gt;""),'Atividades Micro'!$K387,"")</f>
        <v/>
      </c>
      <c r="B335" s="21" t="str">
        <f>IF(AND('Atividades Micro'!$A387=B$2,'Atividades Micro'!$L387&lt;&gt;""),'Atividades Micro'!$L387,"")</f>
        <v/>
      </c>
      <c r="C335" s="21" t="str">
        <f>IF(AND('Atividades Micro'!$A387=C$2,'Atividades Micro'!$K387&lt;&gt;""),'Atividades Micro'!$K387,"")</f>
        <v/>
      </c>
      <c r="D335" s="21" t="str">
        <f>IF(AND('Atividades Micro'!$A387=D$2,'Atividades Micro'!$L387&lt;&gt;""),'Atividades Micro'!$L387,"")</f>
        <v/>
      </c>
      <c r="E335" s="21" t="str">
        <f>IF(AND('Atividades Micro'!$A387=E$2,'Atividades Micro'!$K387&lt;&gt;""),'Atividades Micro'!$K387,"")</f>
        <v/>
      </c>
      <c r="F335" s="21" t="str">
        <f>IF(AND('Atividades Micro'!$A387=F$2,'Atividades Micro'!$L387&lt;&gt;""),'Atividades Micro'!$L387,"")</f>
        <v/>
      </c>
      <c r="G335" s="21" t="str">
        <f>IF(AND('Atividades Micro'!$A387=G$2,'Atividades Micro'!$K387&lt;&gt;""),'Atividades Micro'!$K387,"")</f>
        <v/>
      </c>
      <c r="H335" s="21" t="str">
        <f>IF(AND('Atividades Micro'!$A387=H$2,'Atividades Micro'!$L387&lt;&gt;""),'Atividades Micro'!$L387,"")</f>
        <v/>
      </c>
      <c r="I335" s="21" t="str">
        <f>IF(AND('Atividades Micro'!$A387=I$2,'Atividades Micro'!$K387&lt;&gt;""),'Atividades Micro'!$K387,"")</f>
        <v/>
      </c>
      <c r="J335" s="21" t="str">
        <f>IF(AND('Atividades Micro'!$A387=J$2,'Atividades Micro'!$L387&lt;&gt;""),'Atividades Micro'!$L387,"")</f>
        <v/>
      </c>
      <c r="K335" s="21" t="str">
        <f>IF(AND('Atividades Micro'!$B387=K$2,'Atividades Micro'!$K387&lt;&gt;""),'Atividades Micro'!$K387,"")</f>
        <v/>
      </c>
      <c r="L335" s="21" t="str">
        <f>IF(AND('Atividades Micro'!$B387=L$2,'Atividades Micro'!$L387&lt;&gt;""),'Atividades Micro'!$L387,"")</f>
        <v/>
      </c>
      <c r="M335" s="21" t="str">
        <f>IF(AND('Atividades Micro'!$B387=M$2,'Atividades Micro'!$K387&lt;&gt;""),'Atividades Micro'!$K387,"")</f>
        <v/>
      </c>
      <c r="N335" s="21" t="str">
        <f>IF(AND('Atividades Micro'!$B387=N$2,'Atividades Micro'!$L387&lt;&gt;""),'Atividades Micro'!$L387,"")</f>
        <v/>
      </c>
      <c r="O335" s="21" t="str">
        <f>IF(AND('Atividades Micro'!$A387=O$2,'Atividades Micro'!$K387&lt;&gt;""),'Atividades Micro'!$K387,"")</f>
        <v/>
      </c>
      <c r="P335" s="21" t="str">
        <f>IF(AND('Atividades Micro'!$A387=P$2,'Atividades Micro'!$L387&lt;&gt;""),'Atividades Micro'!$L387,"")</f>
        <v/>
      </c>
      <c r="Q335" s="21" t="str">
        <f>IF(AND('Atividades Micro'!$B387=Q$2,'Atividades Micro'!$K387&lt;&gt;""),'Atividades Micro'!$K387,"")</f>
        <v/>
      </c>
      <c r="R335" s="21" t="str">
        <f>IF(AND('Atividades Micro'!$B387=R$2,'Atividades Micro'!$L387&lt;&gt;""),'Atividades Micro'!$L387,"")</f>
        <v/>
      </c>
      <c r="S335" s="21" t="str">
        <f>IF(AND('Atividades Micro'!$A387=S$2,'Atividades Micro'!$K387&lt;&gt;""),'Atividades Micro'!$K387,"")</f>
        <v/>
      </c>
      <c r="T335" s="21" t="str">
        <f>IF(AND('Atividades Micro'!$A387=T$2,'Atividades Micro'!$L387&lt;&gt;""),'Atividades Micro'!$L387,"")</f>
        <v/>
      </c>
      <c r="U335" s="21" t="str">
        <f>IF(AND('Atividades Micro'!$B387=U$2,'Atividades Micro'!$K387&lt;&gt;""),'Atividades Micro'!$K387,"")</f>
        <v/>
      </c>
      <c r="V335" s="21" t="str">
        <f>IF(AND('Atividades Micro'!$B387=V$2,'Atividades Micro'!$L387&lt;&gt;""),'Atividades Micro'!$L387,"")</f>
        <v/>
      </c>
      <c r="W335" s="21" t="str">
        <f>IF(AND('Atividades Micro'!$B387=W$2,'Atividades Micro'!$K387&lt;&gt;""),'Atividades Micro'!$K387,"")</f>
        <v/>
      </c>
      <c r="X335" s="21" t="str">
        <f>IF(AND('Atividades Micro'!$B387=X$2,'Atividades Micro'!$L387&lt;&gt;""),'Atividades Micro'!$L387,"")</f>
        <v/>
      </c>
      <c r="Y335" s="21" t="str">
        <f>IF(AND('Atividades Micro'!$A387=Y$2,'Atividades Micro'!$K387&lt;&gt;""),'Atividades Micro'!$K387,"")</f>
        <v/>
      </c>
      <c r="Z335" s="21" t="str">
        <f>IF(AND('Atividades Micro'!$A387=Z$2,'Atividades Micro'!$L387&lt;&gt;""),'Atividades Micro'!$L387,"")</f>
        <v/>
      </c>
      <c r="AA335" s="21" t="str">
        <f>IF(AND('Atividades Micro'!$B387=AA$2,'Atividades Micro'!$K387&lt;&gt;""),'Atividades Micro'!$K387,"")</f>
        <v/>
      </c>
      <c r="AB335" s="21" t="str">
        <f>IF(AND('Atividades Micro'!$B387=AB$2,'Atividades Micro'!$L387&lt;&gt;""),'Atividades Micro'!$L387,"")</f>
        <v/>
      </c>
      <c r="AC335" s="21" t="str">
        <f>IF(AND('Atividades Micro'!$B387=AC$2,'Atividades Micro'!$K387&lt;&gt;""),'Atividades Micro'!$K387,"")</f>
        <v/>
      </c>
      <c r="AD335" s="21" t="str">
        <f>IF(AND('Atividades Micro'!$B387=AD$2,'Atividades Micro'!$L387&lt;&gt;""),'Atividades Micro'!$L387,"")</f>
        <v/>
      </c>
      <c r="AE335" s="21" t="str">
        <f>IF(AND('Atividades Micro'!$A387=AE$2,'Atividades Micro'!$K387&lt;&gt;""),'Atividades Micro'!$K387,"")</f>
        <v/>
      </c>
      <c r="AF335" s="21" t="str">
        <f>IF(AND('Atividades Micro'!$A387=AF$2,'Atividades Micro'!$L387&lt;&gt;""),'Atividades Micro'!$L387,"")</f>
        <v/>
      </c>
      <c r="AG335" s="21" t="str">
        <f>IF(AND('Atividades Micro'!$B387=AG$2,'Atividades Micro'!$K387&lt;&gt;""),'Atividades Micro'!$K387,"")</f>
        <v/>
      </c>
      <c r="AH335" s="21" t="str">
        <f>IF(AND('Atividades Micro'!$B387=AH$2,'Atividades Micro'!$L387&lt;&gt;""),'Atividades Micro'!$L387,"")</f>
        <v/>
      </c>
      <c r="AI335" s="21" t="str">
        <f>IF(AND('Atividades Micro'!$B387=AI$2,'Atividades Micro'!$K387&lt;&gt;""),'Atividades Micro'!$K387,"")</f>
        <v/>
      </c>
      <c r="AJ335" s="21" t="str">
        <f>IF(AND('Atividades Micro'!$B387=AJ$2,'Atividades Micro'!$L387&lt;&gt;""),'Atividades Micro'!$L387,"")</f>
        <v/>
      </c>
      <c r="AK335" s="21" t="str">
        <f>IF(AND('Atividades Micro'!$A387=AK$2,'Atividades Micro'!$K387&lt;&gt;""),'Atividades Micro'!$K387,"")</f>
        <v/>
      </c>
      <c r="AL335" s="21" t="str">
        <f>IF(AND('Atividades Micro'!$A387=AL$2,'Atividades Micro'!$L387&lt;&gt;""),'Atividades Micro'!$L387,"")</f>
        <v/>
      </c>
      <c r="AM335" s="21" t="str">
        <f>IF(AND('Atividades Micro'!$B387=AM$2,'Atividades Micro'!$K387&lt;&gt;""),'Atividades Micro'!$K387,"")</f>
        <v/>
      </c>
      <c r="AN335" s="21" t="str">
        <f>IF(AND('Atividades Micro'!$B387=AN$2,'Atividades Micro'!$L387&lt;&gt;""),'Atividades Micro'!$L387,"")</f>
        <v/>
      </c>
      <c r="AO335" s="21" t="str">
        <f>IF(AND('Atividades Micro'!$B387=AO$2,'Atividades Micro'!$K387&lt;&gt;""),'Atividades Micro'!$K387,"")</f>
        <v/>
      </c>
      <c r="AP335" s="21" t="str">
        <f>IF(AND('Atividades Micro'!$B387=AP$2,'Atividades Micro'!$L387&lt;&gt;""),'Atividades Micro'!$L387,"")</f>
        <v/>
      </c>
      <c r="AQ335" s="21" t="str">
        <f>IF(AND('Atividades Micro'!$A387=AQ$2,'Atividades Micro'!$K387&lt;&gt;""),'Atividades Micro'!$K387,"")</f>
        <v/>
      </c>
      <c r="AR335" s="21" t="str">
        <f>IF(AND('Atividades Micro'!$A387=AR$2,'Atividades Micro'!$L387&lt;&gt;""),'Atividades Micro'!$L387,"")</f>
        <v/>
      </c>
      <c r="AS335" s="21" t="str">
        <f>IF(AND('Atividades Micro'!$B387=AS$2,'Atividades Micro'!$K387&lt;&gt;""),'Atividades Micro'!$K387,"")</f>
        <v/>
      </c>
      <c r="AT335" s="21" t="str">
        <f>IF(AND('Atividades Micro'!$B387=AT$2,'Atividades Micro'!$L387&lt;&gt;""),'Atividades Micro'!$L387,"")</f>
        <v/>
      </c>
      <c r="AU335" s="21" t="str">
        <f>IF(AND('Atividades Micro'!$A387=AU$2,'Atividades Micro'!$K387&lt;&gt;""),'Atividades Micro'!$K387,"")</f>
        <v/>
      </c>
      <c r="AV335" s="21" t="str">
        <f>IF(AND('Atividades Micro'!$A387=AV$2,'Atividades Micro'!$L387&lt;&gt;""),'Atividades Micro'!$L387,"")</f>
        <v/>
      </c>
      <c r="AW335" s="21" t="str">
        <f>IF(AND('Atividades Micro'!$B387=AW$2,'Atividades Micro'!$K387&lt;&gt;""),'Atividades Micro'!$K387,"")</f>
        <v/>
      </c>
      <c r="AX335" s="21" t="str">
        <f>IF(AND('Atividades Micro'!$B387=AX$2,'Atividades Micro'!$L387&lt;&gt;""),'Atividades Micro'!$L387,"")</f>
        <v/>
      </c>
      <c r="AY335" s="21" t="str">
        <f>IF(AND('Atividades Micro'!$A387=AY$2,'Atividades Micro'!$K387&lt;&gt;""),'Atividades Micro'!$K387,"")</f>
        <v/>
      </c>
      <c r="AZ335" s="21" t="str">
        <f>IF(AND('Atividades Micro'!$A387=AZ$2,'Atividades Micro'!$L387&lt;&gt;""),'Atividades Micro'!$L387,"")</f>
        <v/>
      </c>
      <c r="BA335" s="21" t="str">
        <f>IF(AND('Atividades Micro'!$B387=BA$2,'Atividades Micro'!$K387&lt;&gt;""),'Atividades Micro'!$K387,"")</f>
        <v/>
      </c>
      <c r="BB335" s="21" t="str">
        <f>IF(AND('Atividades Micro'!$B387=BB$2,'Atividades Micro'!$L387&lt;&gt;""),'Atividades Micro'!$L387,"")</f>
        <v/>
      </c>
      <c r="BC335" s="21" t="str">
        <f>IF(AND('Atividades Micro'!$B387=BC$2,'Atividades Micro'!$G387="Macro",'Atividades Micro'!$K387&lt;&gt;""),'Atividades Micro'!$K387,"")</f>
        <v/>
      </c>
      <c r="BD335" s="21" t="str">
        <f>IF(AND('Atividades Micro'!$B387=BD$2,'Atividades Micro'!$G387="Macro",'Atividades Micro'!$K387&lt;&gt;""),'Atividades Micro'!$K387,"")</f>
        <v/>
      </c>
      <c r="BE335" s="21" t="str">
        <f>IF(AND('Atividades Micro'!$B387=BE$2,'Atividades Micro'!$G387="Macro",'Atividades Micro'!$K387&lt;&gt;""),'Atividades Micro'!$K387,"")</f>
        <v/>
      </c>
      <c r="BF335" s="21" t="str">
        <f>IF(AND('Atividades Micro'!$B387=BF$2,'Atividades Micro'!$G387="Macro",'Atividades Micro'!$K387&lt;&gt;""),'Atividades Micro'!$K387,"")</f>
        <v/>
      </c>
      <c r="BG335" s="21" t="str">
        <f>IF(AND('Atividades Micro'!$B387=BG$2,'Atividades Micro'!$G387="Macro",'Atividades Micro'!$K387&lt;&gt;""),'Atividades Micro'!$K387,"")</f>
        <v/>
      </c>
      <c r="BH335" s="21" t="str">
        <f>IF(AND('Atividades Micro'!$B387=BH$2,'Atividades Micro'!$G387="Macro",'Atividades Micro'!$K387&lt;&gt;""),'Atividades Micro'!$K387,"")</f>
        <v/>
      </c>
      <c r="BI335" s="21" t="str">
        <f>IF(AND('Atividades Micro'!$B387=BI$2,'Atividades Micro'!$G387="Macro",'Atividades Micro'!$K387&lt;&gt;""),'Atividades Micro'!$K387,"")</f>
        <v/>
      </c>
      <c r="BJ335" s="21" t="str">
        <f>IF(AND('Atividades Micro'!$B387=BJ$2,'Atividades Micro'!$G387="Macro",'Atividades Micro'!$K387&lt;&gt;""),'Atividades Micro'!$K387,"")</f>
        <v/>
      </c>
      <c r="BK335" s="21" t="str">
        <f>IF(AND('Atividades Micro'!$B387=BK$2,'Atividades Micro'!$G387="Macro",'Atividades Micro'!$K387&lt;&gt;""),'Atividades Micro'!$K387,"")</f>
        <v/>
      </c>
      <c r="BL335" s="21" t="str">
        <f>IF(AND('Atividades Micro'!$B387=BL$2,'Atividades Micro'!$G387="Macro",'Atividades Micro'!$K387&lt;&gt;""),'Atividades Micro'!$K387,"")</f>
        <v/>
      </c>
      <c r="BM335" s="21" t="str">
        <f>IF(AND('Atividades Micro'!$B387=BM$2,'Atividades Micro'!$G387="Macro",'Atividades Micro'!$K387&lt;&gt;""),'Atividades Micro'!$K387,"")</f>
        <v/>
      </c>
      <c r="BN335" s="21" t="str">
        <f>IF(AND('Atividades Micro'!$B387=BN$2,'Atividades Micro'!$G387="Macro",'Atividades Micro'!$K387&lt;&gt;""),'Atividades Micro'!$K387,"")</f>
        <v/>
      </c>
      <c r="BO335" s="21" t="str">
        <f>IF(AND('Atividades Micro'!$B387=BO$2,'Atividades Micro'!$G387="Macro",'Atividades Micro'!$K387&lt;&gt;""),'Atividades Micro'!$K387,"")</f>
        <v/>
      </c>
      <c r="BP335" s="21" t="str">
        <f>IF(AND('Atividades Micro'!$B387=BP$2,'Atividades Micro'!$G387="Macro",'Atividades Micro'!$K387&lt;&gt;""),'Atividades Micro'!$K387,"")</f>
        <v/>
      </c>
      <c r="BQ335" s="21" t="str">
        <f>IF(AND('Atividades Micro'!$B387=BQ$2,'Atividades Micro'!$G387="Macro",'Atividades Micro'!$K387&lt;&gt;""),'Atividades Micro'!$K387,"")</f>
        <v/>
      </c>
      <c r="BR335" s="21" t="str">
        <f>IF(AND('Atividades Micro'!$B387=BR$2,'Atividades Micro'!$G387="Macro",'Atividades Micro'!$K387&lt;&gt;""),'Atividades Micro'!$K387,"")</f>
        <v/>
      </c>
      <c r="BS335" s="21" t="str">
        <f>IF(AND('Atividades Micro'!$B387=BS$2,'Atividades Micro'!$G387="Macro",'Atividades Micro'!$K387&lt;&gt;""),'Atividades Micro'!$K387,"")</f>
        <v/>
      </c>
      <c r="BT335" s="21" t="str">
        <f>IF(AND('Atividades Micro'!$B387=BT$2,'Atividades Micro'!$G387="Macro",'Atividades Micro'!$K387&lt;&gt;""),'Atividades Micro'!$K387,"")</f>
        <v/>
      </c>
      <c r="BU335" s="21" t="str">
        <f>IF(AND('Atividades Micro'!$B387=BU$2,'Atividades Micro'!$G387="Macro",'Atividades Micro'!$K387&lt;&gt;""),'Atividades Micro'!$K387,"")</f>
        <v/>
      </c>
      <c r="BV335" s="21" t="str">
        <f>IF(AND('Atividades Micro'!$B387=BV$2,'Atividades Micro'!$G387="Macro",'Atividades Micro'!$K387&lt;&gt;""),'Atividades Micro'!$K387,"")</f>
        <v/>
      </c>
      <c r="BW335" s="21" t="str">
        <f>IF(AND('Atividades Micro'!$B387=BW$2,'Atividades Micro'!$G387="Macro",'Atividades Micro'!$K387&lt;&gt;""),'Atividades Micro'!$K387,"")</f>
        <v/>
      </c>
      <c r="BX335" s="21" t="str">
        <f>IF(AND('Atividades Micro'!$B387=BX$2,'Atividades Micro'!$G387="Macro",'Atividades Micro'!$K387&lt;&gt;""),'Atividades Micro'!$K387,"")</f>
        <v/>
      </c>
      <c r="BY335" s="21" t="str">
        <f>IF(AND('Atividades Micro'!$B387=BY$2,'Atividades Micro'!$G387="Macro",'Atividades Micro'!$K387&lt;&gt;""),'Atividades Micro'!$K387,"")</f>
        <v/>
      </c>
      <c r="BZ335" s="21" t="str">
        <f>IF(AND('Atividades Micro'!$B387=BZ$2,'Atividades Micro'!$G387="Macro",'Atividades Micro'!$K387&lt;&gt;""),'Atividades Micro'!$K387,"")</f>
        <v/>
      </c>
      <c r="CA335" s="21" t="str">
        <f>IF(AND('Atividades Micro'!$B387=CA$2,'Atividades Micro'!$G387="Macro",'Atividades Micro'!$K387&lt;&gt;""),'Atividades Micro'!$K387,"")</f>
        <v/>
      </c>
      <c r="CB335" s="21" t="str">
        <f>IF(AND('Atividades Micro'!$B387=CB$2,'Atividades Micro'!$G387="Macro",'Atividades Micro'!$K387&lt;&gt;""),'Atividades Micro'!$K387,"")</f>
        <v/>
      </c>
      <c r="CC335" s="21" t="str">
        <f>IF(AND('Atividades Micro'!$B387=CC$2,'Atividades Micro'!$G387="Macro",'Atividades Micro'!$K387&lt;&gt;""),'Atividades Micro'!$K387,"")</f>
        <v/>
      </c>
      <c r="CD335" s="21" t="str">
        <f>IF(AND('Atividades Micro'!$B387=CD$2,'Atividades Micro'!$G387="Micro",'Atividades Micro'!$K387&lt;&gt;""),'Atividades Micro'!$K387,"")</f>
        <v/>
      </c>
      <c r="CE335" s="21" t="str">
        <f>IF(AND('Atividades Micro'!$B387=CE$2,'Atividades Micro'!$G387="Micro",'Atividades Micro'!$K387&lt;&gt;""),'Atividades Micro'!$K387,"")</f>
        <v/>
      </c>
      <c r="CF335" s="21" t="str">
        <f>IF(AND('Atividades Micro'!$B387=CF$2,'Atividades Micro'!$G387="Micro",'Atividades Micro'!$K387&lt;&gt;""),'Atividades Micro'!$K387,"")</f>
        <v/>
      </c>
      <c r="CG335" s="21" t="str">
        <f>IF(AND('Atividades Micro'!$B387=CG$2,'Atividades Micro'!$G387="Micro",'Atividades Micro'!$K387&lt;&gt;""),'Atividades Micro'!$K387,"")</f>
        <v/>
      </c>
      <c r="CH335" s="21" t="str">
        <f>IF(AND('Atividades Micro'!$B387=CH$2,'Atividades Micro'!$G387="Micro",'Atividades Micro'!$K387&lt;&gt;""),'Atividades Micro'!$K387,"")</f>
        <v/>
      </c>
      <c r="CI335" s="21" t="str">
        <f>IF(AND('Atividades Micro'!$B387=CI$2,'Atividades Micro'!$G387="Micro",'Atividades Micro'!$K387&lt;&gt;""),'Atividades Micro'!$K387,"")</f>
        <v/>
      </c>
      <c r="CJ335" s="21" t="str">
        <f>IF(AND('Atividades Micro'!$B387=CJ$2,'Atividades Micro'!$G387="Micro",'Atividades Micro'!$K387&lt;&gt;""),'Atividades Micro'!$K387,"")</f>
        <v/>
      </c>
      <c r="CK335" s="21" t="str">
        <f>IF(AND('Atividades Micro'!$B387=CK$2,'Atividades Micro'!$G387="Micro",'Atividades Micro'!$K387&lt;&gt;""),'Atividades Micro'!$K387,"")</f>
        <v/>
      </c>
      <c r="CL335" s="21" t="str">
        <f>IF(AND('Atividades Micro'!$B387=CL$2,'Atividades Micro'!$G387="Micro",'Atividades Micro'!$K387&lt;&gt;""),'Atividades Micro'!$K387,"")</f>
        <v/>
      </c>
      <c r="CM335" s="21" t="str">
        <f>IF(AND('Atividades Micro'!$B387=CM$2,'Atividades Micro'!$G387="Micro",'Atividades Micro'!$K387&lt;&gt;""),'Atividades Micro'!$K387,"")</f>
        <v/>
      </c>
      <c r="CN335" s="21" t="str">
        <f>IF(AND('Atividades Micro'!$B387=CN$2,'Atividades Micro'!$G387="Micro",'Atividades Micro'!$K387&lt;&gt;""),'Atividades Micro'!$K387,"")</f>
        <v/>
      </c>
      <c r="CO335" s="21" t="str">
        <f>IF(AND('Atividades Micro'!$B387=CO$2,'Atividades Micro'!$G387="Micro",'Atividades Micro'!$K387&lt;&gt;""),'Atividades Micro'!$K387,"")</f>
        <v/>
      </c>
    </row>
    <row r="336" spans="1:93">
      <c r="A336" s="21" t="str">
        <f>IF(AND('Atividades Micro'!$A388=A$2,'Atividades Micro'!$K388&lt;&gt;""),'Atividades Micro'!$K388,"")</f>
        <v/>
      </c>
      <c r="B336" s="21" t="str">
        <f>IF(AND('Atividades Micro'!$A388=B$2,'Atividades Micro'!$L388&lt;&gt;""),'Atividades Micro'!$L388,"")</f>
        <v/>
      </c>
      <c r="C336" s="21" t="str">
        <f>IF(AND('Atividades Micro'!$A388=C$2,'Atividades Micro'!$K388&lt;&gt;""),'Atividades Micro'!$K388,"")</f>
        <v/>
      </c>
      <c r="D336" s="21" t="str">
        <f>IF(AND('Atividades Micro'!$A388=D$2,'Atividades Micro'!$L388&lt;&gt;""),'Atividades Micro'!$L388,"")</f>
        <v/>
      </c>
      <c r="E336" s="21" t="str">
        <f>IF(AND('Atividades Micro'!$A388=E$2,'Atividades Micro'!$K388&lt;&gt;""),'Atividades Micro'!$K388,"")</f>
        <v/>
      </c>
      <c r="F336" s="21" t="str">
        <f>IF(AND('Atividades Micro'!$A388=F$2,'Atividades Micro'!$L388&lt;&gt;""),'Atividades Micro'!$L388,"")</f>
        <v/>
      </c>
      <c r="G336" s="21" t="str">
        <f>IF(AND('Atividades Micro'!$A388=G$2,'Atividades Micro'!$K388&lt;&gt;""),'Atividades Micro'!$K388,"")</f>
        <v/>
      </c>
      <c r="H336" s="21" t="str">
        <f>IF(AND('Atividades Micro'!$A388=H$2,'Atividades Micro'!$L388&lt;&gt;""),'Atividades Micro'!$L388,"")</f>
        <v/>
      </c>
      <c r="I336" s="21" t="str">
        <f>IF(AND('Atividades Micro'!$A388=I$2,'Atividades Micro'!$K388&lt;&gt;""),'Atividades Micro'!$K388,"")</f>
        <v/>
      </c>
      <c r="J336" s="21" t="str">
        <f>IF(AND('Atividades Micro'!$A388=J$2,'Atividades Micro'!$L388&lt;&gt;""),'Atividades Micro'!$L388,"")</f>
        <v/>
      </c>
      <c r="K336" s="21" t="str">
        <f>IF(AND('Atividades Micro'!$B388=K$2,'Atividades Micro'!$K388&lt;&gt;""),'Atividades Micro'!$K388,"")</f>
        <v/>
      </c>
      <c r="L336" s="21" t="str">
        <f>IF(AND('Atividades Micro'!$B388=L$2,'Atividades Micro'!$L388&lt;&gt;""),'Atividades Micro'!$L388,"")</f>
        <v/>
      </c>
      <c r="M336" s="21" t="str">
        <f>IF(AND('Atividades Micro'!$B388=M$2,'Atividades Micro'!$K388&lt;&gt;""),'Atividades Micro'!$K388,"")</f>
        <v/>
      </c>
      <c r="N336" s="21" t="str">
        <f>IF(AND('Atividades Micro'!$B388=N$2,'Atividades Micro'!$L388&lt;&gt;""),'Atividades Micro'!$L388,"")</f>
        <v/>
      </c>
      <c r="O336" s="21" t="str">
        <f>IF(AND('Atividades Micro'!$A388=O$2,'Atividades Micro'!$K388&lt;&gt;""),'Atividades Micro'!$K388,"")</f>
        <v/>
      </c>
      <c r="P336" s="21" t="str">
        <f>IF(AND('Atividades Micro'!$A388=P$2,'Atividades Micro'!$L388&lt;&gt;""),'Atividades Micro'!$L388,"")</f>
        <v/>
      </c>
      <c r="Q336" s="21" t="str">
        <f>IF(AND('Atividades Micro'!$B388=Q$2,'Atividades Micro'!$K388&lt;&gt;""),'Atividades Micro'!$K388,"")</f>
        <v/>
      </c>
      <c r="R336" s="21" t="str">
        <f>IF(AND('Atividades Micro'!$B388=R$2,'Atividades Micro'!$L388&lt;&gt;""),'Atividades Micro'!$L388,"")</f>
        <v/>
      </c>
      <c r="S336" s="21" t="str">
        <f>IF(AND('Atividades Micro'!$A388=S$2,'Atividades Micro'!$K388&lt;&gt;""),'Atividades Micro'!$K388,"")</f>
        <v/>
      </c>
      <c r="T336" s="21" t="str">
        <f>IF(AND('Atividades Micro'!$A388=T$2,'Atividades Micro'!$L388&lt;&gt;""),'Atividades Micro'!$L388,"")</f>
        <v/>
      </c>
      <c r="U336" s="21" t="str">
        <f>IF(AND('Atividades Micro'!$B388=U$2,'Atividades Micro'!$K388&lt;&gt;""),'Atividades Micro'!$K388,"")</f>
        <v/>
      </c>
      <c r="V336" s="21" t="str">
        <f>IF(AND('Atividades Micro'!$B388=V$2,'Atividades Micro'!$L388&lt;&gt;""),'Atividades Micro'!$L388,"")</f>
        <v/>
      </c>
      <c r="W336" s="21" t="str">
        <f>IF(AND('Atividades Micro'!$B388=W$2,'Atividades Micro'!$K388&lt;&gt;""),'Atividades Micro'!$K388,"")</f>
        <v/>
      </c>
      <c r="X336" s="21" t="str">
        <f>IF(AND('Atividades Micro'!$B388=X$2,'Atividades Micro'!$L388&lt;&gt;""),'Atividades Micro'!$L388,"")</f>
        <v/>
      </c>
      <c r="Y336" s="21" t="str">
        <f>IF(AND('Atividades Micro'!$A388=Y$2,'Atividades Micro'!$K388&lt;&gt;""),'Atividades Micro'!$K388,"")</f>
        <v/>
      </c>
      <c r="Z336" s="21" t="str">
        <f>IF(AND('Atividades Micro'!$A388=Z$2,'Atividades Micro'!$L388&lt;&gt;""),'Atividades Micro'!$L388,"")</f>
        <v/>
      </c>
      <c r="AA336" s="21" t="str">
        <f>IF(AND('Atividades Micro'!$B388=AA$2,'Atividades Micro'!$K388&lt;&gt;""),'Atividades Micro'!$K388,"")</f>
        <v/>
      </c>
      <c r="AB336" s="21" t="str">
        <f>IF(AND('Atividades Micro'!$B388=AB$2,'Atividades Micro'!$L388&lt;&gt;""),'Atividades Micro'!$L388,"")</f>
        <v/>
      </c>
      <c r="AC336" s="21" t="str">
        <f>IF(AND('Atividades Micro'!$B388=AC$2,'Atividades Micro'!$K388&lt;&gt;""),'Atividades Micro'!$K388,"")</f>
        <v/>
      </c>
      <c r="AD336" s="21" t="str">
        <f>IF(AND('Atividades Micro'!$B388=AD$2,'Atividades Micro'!$L388&lt;&gt;""),'Atividades Micro'!$L388,"")</f>
        <v/>
      </c>
      <c r="AE336" s="21" t="str">
        <f>IF(AND('Atividades Micro'!$A388=AE$2,'Atividades Micro'!$K388&lt;&gt;""),'Atividades Micro'!$K388,"")</f>
        <v/>
      </c>
      <c r="AF336" s="21" t="str">
        <f>IF(AND('Atividades Micro'!$A388=AF$2,'Atividades Micro'!$L388&lt;&gt;""),'Atividades Micro'!$L388,"")</f>
        <v/>
      </c>
      <c r="AG336" s="21" t="str">
        <f>IF(AND('Atividades Micro'!$B388=AG$2,'Atividades Micro'!$K388&lt;&gt;""),'Atividades Micro'!$K388,"")</f>
        <v/>
      </c>
      <c r="AH336" s="21" t="str">
        <f>IF(AND('Atividades Micro'!$B388=AH$2,'Atividades Micro'!$L388&lt;&gt;""),'Atividades Micro'!$L388,"")</f>
        <v/>
      </c>
      <c r="AI336" s="21" t="str">
        <f>IF(AND('Atividades Micro'!$B388=AI$2,'Atividades Micro'!$K388&lt;&gt;""),'Atividades Micro'!$K388,"")</f>
        <v/>
      </c>
      <c r="AJ336" s="21" t="str">
        <f>IF(AND('Atividades Micro'!$B388=AJ$2,'Atividades Micro'!$L388&lt;&gt;""),'Atividades Micro'!$L388,"")</f>
        <v/>
      </c>
      <c r="AK336" s="21" t="str">
        <f>IF(AND('Atividades Micro'!$A388=AK$2,'Atividades Micro'!$K388&lt;&gt;""),'Atividades Micro'!$K388,"")</f>
        <v/>
      </c>
      <c r="AL336" s="21" t="str">
        <f>IF(AND('Atividades Micro'!$A388=AL$2,'Atividades Micro'!$L388&lt;&gt;""),'Atividades Micro'!$L388,"")</f>
        <v/>
      </c>
      <c r="AM336" s="21" t="str">
        <f>IF(AND('Atividades Micro'!$B388=AM$2,'Atividades Micro'!$K388&lt;&gt;""),'Atividades Micro'!$K388,"")</f>
        <v/>
      </c>
      <c r="AN336" s="21" t="str">
        <f>IF(AND('Atividades Micro'!$B388=AN$2,'Atividades Micro'!$L388&lt;&gt;""),'Atividades Micro'!$L388,"")</f>
        <v/>
      </c>
      <c r="AO336" s="21" t="str">
        <f>IF(AND('Atividades Micro'!$B388=AO$2,'Atividades Micro'!$K388&lt;&gt;""),'Atividades Micro'!$K388,"")</f>
        <v/>
      </c>
      <c r="AP336" s="21" t="str">
        <f>IF(AND('Atividades Micro'!$B388=AP$2,'Atividades Micro'!$L388&lt;&gt;""),'Atividades Micro'!$L388,"")</f>
        <v/>
      </c>
      <c r="AQ336" s="21" t="str">
        <f>IF(AND('Atividades Micro'!$A388=AQ$2,'Atividades Micro'!$K388&lt;&gt;""),'Atividades Micro'!$K388,"")</f>
        <v/>
      </c>
      <c r="AR336" s="21" t="str">
        <f>IF(AND('Atividades Micro'!$A388=AR$2,'Atividades Micro'!$L388&lt;&gt;""),'Atividades Micro'!$L388,"")</f>
        <v/>
      </c>
      <c r="AS336" s="21" t="str">
        <f>IF(AND('Atividades Micro'!$B388=AS$2,'Atividades Micro'!$K388&lt;&gt;""),'Atividades Micro'!$K388,"")</f>
        <v/>
      </c>
      <c r="AT336" s="21" t="str">
        <f>IF(AND('Atividades Micro'!$B388=AT$2,'Atividades Micro'!$L388&lt;&gt;""),'Atividades Micro'!$L388,"")</f>
        <v/>
      </c>
      <c r="AU336" s="21" t="str">
        <f>IF(AND('Atividades Micro'!$A388=AU$2,'Atividades Micro'!$K388&lt;&gt;""),'Atividades Micro'!$K388,"")</f>
        <v/>
      </c>
      <c r="AV336" s="21" t="str">
        <f>IF(AND('Atividades Micro'!$A388=AV$2,'Atividades Micro'!$L388&lt;&gt;""),'Atividades Micro'!$L388,"")</f>
        <v/>
      </c>
      <c r="AW336" s="21" t="str">
        <f>IF(AND('Atividades Micro'!$B388=AW$2,'Atividades Micro'!$K388&lt;&gt;""),'Atividades Micro'!$K388,"")</f>
        <v/>
      </c>
      <c r="AX336" s="21" t="str">
        <f>IF(AND('Atividades Micro'!$B388=AX$2,'Atividades Micro'!$L388&lt;&gt;""),'Atividades Micro'!$L388,"")</f>
        <v/>
      </c>
      <c r="AY336" s="21" t="str">
        <f>IF(AND('Atividades Micro'!$A388=AY$2,'Atividades Micro'!$K388&lt;&gt;""),'Atividades Micro'!$K388,"")</f>
        <v/>
      </c>
      <c r="AZ336" s="21" t="str">
        <f>IF(AND('Atividades Micro'!$A388=AZ$2,'Atividades Micro'!$L388&lt;&gt;""),'Atividades Micro'!$L388,"")</f>
        <v/>
      </c>
      <c r="BA336" s="21" t="str">
        <f>IF(AND('Atividades Micro'!$B388=BA$2,'Atividades Micro'!$K388&lt;&gt;""),'Atividades Micro'!$K388,"")</f>
        <v/>
      </c>
      <c r="BB336" s="21" t="str">
        <f>IF(AND('Atividades Micro'!$B388=BB$2,'Atividades Micro'!$L388&lt;&gt;""),'Atividades Micro'!$L388,"")</f>
        <v/>
      </c>
      <c r="BC336" s="21" t="str">
        <f>IF(AND('Atividades Micro'!$B388=BC$2,'Atividades Micro'!$G388="Macro",'Atividades Micro'!$K388&lt;&gt;""),'Atividades Micro'!$K388,"")</f>
        <v/>
      </c>
      <c r="BD336" s="21" t="str">
        <f>IF(AND('Atividades Micro'!$B388=BD$2,'Atividades Micro'!$G388="Macro",'Atividades Micro'!$K388&lt;&gt;""),'Atividades Micro'!$K388,"")</f>
        <v/>
      </c>
      <c r="BE336" s="21" t="str">
        <f>IF(AND('Atividades Micro'!$B388=BE$2,'Atividades Micro'!$G388="Macro",'Atividades Micro'!$K388&lt;&gt;""),'Atividades Micro'!$K388,"")</f>
        <v/>
      </c>
      <c r="BF336" s="21" t="str">
        <f>IF(AND('Atividades Micro'!$B388=BF$2,'Atividades Micro'!$G388="Macro",'Atividades Micro'!$K388&lt;&gt;""),'Atividades Micro'!$K388,"")</f>
        <v/>
      </c>
      <c r="BG336" s="21" t="str">
        <f>IF(AND('Atividades Micro'!$B388=BG$2,'Atividades Micro'!$G388="Macro",'Atividades Micro'!$K388&lt;&gt;""),'Atividades Micro'!$K388,"")</f>
        <v/>
      </c>
      <c r="BH336" s="21" t="str">
        <f>IF(AND('Atividades Micro'!$B388=BH$2,'Atividades Micro'!$G388="Macro",'Atividades Micro'!$K388&lt;&gt;""),'Atividades Micro'!$K388,"")</f>
        <v/>
      </c>
      <c r="BI336" s="21" t="str">
        <f>IF(AND('Atividades Micro'!$B388=BI$2,'Atividades Micro'!$G388="Macro",'Atividades Micro'!$K388&lt;&gt;""),'Atividades Micro'!$K388,"")</f>
        <v/>
      </c>
      <c r="BJ336" s="21" t="str">
        <f>IF(AND('Atividades Micro'!$B388=BJ$2,'Atividades Micro'!$G388="Macro",'Atividades Micro'!$K388&lt;&gt;""),'Atividades Micro'!$K388,"")</f>
        <v/>
      </c>
      <c r="BK336" s="21" t="str">
        <f>IF(AND('Atividades Micro'!$B388=BK$2,'Atividades Micro'!$G388="Macro",'Atividades Micro'!$K388&lt;&gt;""),'Atividades Micro'!$K388,"")</f>
        <v/>
      </c>
      <c r="BL336" s="21" t="str">
        <f>IF(AND('Atividades Micro'!$B388=BL$2,'Atividades Micro'!$G388="Macro",'Atividades Micro'!$K388&lt;&gt;""),'Atividades Micro'!$K388,"")</f>
        <v/>
      </c>
      <c r="BM336" s="21" t="str">
        <f>IF(AND('Atividades Micro'!$B388=BM$2,'Atividades Micro'!$G388="Macro",'Atividades Micro'!$K388&lt;&gt;""),'Atividades Micro'!$K388,"")</f>
        <v/>
      </c>
      <c r="BN336" s="21" t="str">
        <f>IF(AND('Atividades Micro'!$B388=BN$2,'Atividades Micro'!$G388="Macro",'Atividades Micro'!$K388&lt;&gt;""),'Atividades Micro'!$K388,"")</f>
        <v/>
      </c>
      <c r="BO336" s="21" t="str">
        <f>IF(AND('Atividades Micro'!$B388=BO$2,'Atividades Micro'!$G388="Macro",'Atividades Micro'!$K388&lt;&gt;""),'Atividades Micro'!$K388,"")</f>
        <v/>
      </c>
      <c r="BP336" s="21" t="str">
        <f>IF(AND('Atividades Micro'!$B388=BP$2,'Atividades Micro'!$G388="Macro",'Atividades Micro'!$K388&lt;&gt;""),'Atividades Micro'!$K388,"")</f>
        <v/>
      </c>
      <c r="BQ336" s="21" t="str">
        <f>IF(AND('Atividades Micro'!$B388=BQ$2,'Atividades Micro'!$G388="Macro",'Atividades Micro'!$K388&lt;&gt;""),'Atividades Micro'!$K388,"")</f>
        <v/>
      </c>
      <c r="BR336" s="21" t="str">
        <f>IF(AND('Atividades Micro'!$B388=BR$2,'Atividades Micro'!$G388="Macro",'Atividades Micro'!$K388&lt;&gt;""),'Atividades Micro'!$K388,"")</f>
        <v/>
      </c>
      <c r="BS336" s="21" t="str">
        <f>IF(AND('Atividades Micro'!$B388=BS$2,'Atividades Micro'!$G388="Macro",'Atividades Micro'!$K388&lt;&gt;""),'Atividades Micro'!$K388,"")</f>
        <v/>
      </c>
      <c r="BT336" s="21" t="str">
        <f>IF(AND('Atividades Micro'!$B388=BT$2,'Atividades Micro'!$G388="Macro",'Atividades Micro'!$K388&lt;&gt;""),'Atividades Micro'!$K388,"")</f>
        <v/>
      </c>
      <c r="BU336" s="21" t="str">
        <f>IF(AND('Atividades Micro'!$B388=BU$2,'Atividades Micro'!$G388="Macro",'Atividades Micro'!$K388&lt;&gt;""),'Atividades Micro'!$K388,"")</f>
        <v/>
      </c>
      <c r="BV336" s="21" t="str">
        <f>IF(AND('Atividades Micro'!$B388=BV$2,'Atividades Micro'!$G388="Macro",'Atividades Micro'!$K388&lt;&gt;""),'Atividades Micro'!$K388,"")</f>
        <v/>
      </c>
      <c r="BW336" s="21" t="str">
        <f>IF(AND('Atividades Micro'!$B388=BW$2,'Atividades Micro'!$G388="Macro",'Atividades Micro'!$K388&lt;&gt;""),'Atividades Micro'!$K388,"")</f>
        <v/>
      </c>
      <c r="BX336" s="21" t="str">
        <f>IF(AND('Atividades Micro'!$B388=BX$2,'Atividades Micro'!$G388="Macro",'Atividades Micro'!$K388&lt;&gt;""),'Atividades Micro'!$K388,"")</f>
        <v/>
      </c>
      <c r="BY336" s="21" t="str">
        <f>IF(AND('Atividades Micro'!$B388=BY$2,'Atividades Micro'!$G388="Macro",'Atividades Micro'!$K388&lt;&gt;""),'Atividades Micro'!$K388,"")</f>
        <v/>
      </c>
      <c r="BZ336" s="21" t="str">
        <f>IF(AND('Atividades Micro'!$B388=BZ$2,'Atividades Micro'!$G388="Macro",'Atividades Micro'!$K388&lt;&gt;""),'Atividades Micro'!$K388,"")</f>
        <v/>
      </c>
      <c r="CA336" s="21" t="str">
        <f>IF(AND('Atividades Micro'!$B388=CA$2,'Atividades Micro'!$G388="Macro",'Atividades Micro'!$K388&lt;&gt;""),'Atividades Micro'!$K388,"")</f>
        <v/>
      </c>
      <c r="CB336" s="21" t="str">
        <f>IF(AND('Atividades Micro'!$B388=CB$2,'Atividades Micro'!$G388="Macro",'Atividades Micro'!$K388&lt;&gt;""),'Atividades Micro'!$K388,"")</f>
        <v/>
      </c>
      <c r="CC336" s="21" t="str">
        <f>IF(AND('Atividades Micro'!$B388=CC$2,'Atividades Micro'!$G388="Macro",'Atividades Micro'!$K388&lt;&gt;""),'Atividades Micro'!$K388,"")</f>
        <v/>
      </c>
      <c r="CD336" s="21" t="str">
        <f>IF(AND('Atividades Micro'!$B388=CD$2,'Atividades Micro'!$G388="Micro",'Atividades Micro'!$K388&lt;&gt;""),'Atividades Micro'!$K388,"")</f>
        <v/>
      </c>
      <c r="CE336" s="21" t="str">
        <f>IF(AND('Atividades Micro'!$B388=CE$2,'Atividades Micro'!$G388="Micro",'Atividades Micro'!$K388&lt;&gt;""),'Atividades Micro'!$K388,"")</f>
        <v/>
      </c>
      <c r="CF336" s="21" t="str">
        <f>IF(AND('Atividades Micro'!$B388=CF$2,'Atividades Micro'!$G388="Micro",'Atividades Micro'!$K388&lt;&gt;""),'Atividades Micro'!$K388,"")</f>
        <v/>
      </c>
      <c r="CG336" s="21" t="str">
        <f>IF(AND('Atividades Micro'!$B388=CG$2,'Atividades Micro'!$G388="Micro",'Atividades Micro'!$K388&lt;&gt;""),'Atividades Micro'!$K388,"")</f>
        <v/>
      </c>
      <c r="CH336" s="21" t="str">
        <f>IF(AND('Atividades Micro'!$B388=CH$2,'Atividades Micro'!$G388="Micro",'Atividades Micro'!$K388&lt;&gt;""),'Atividades Micro'!$K388,"")</f>
        <v/>
      </c>
      <c r="CI336" s="21" t="str">
        <f>IF(AND('Atividades Micro'!$B388=CI$2,'Atividades Micro'!$G388="Micro",'Atividades Micro'!$K388&lt;&gt;""),'Atividades Micro'!$K388,"")</f>
        <v/>
      </c>
      <c r="CJ336" s="21" t="str">
        <f>IF(AND('Atividades Micro'!$B388=CJ$2,'Atividades Micro'!$G388="Micro",'Atividades Micro'!$K388&lt;&gt;""),'Atividades Micro'!$K388,"")</f>
        <v/>
      </c>
      <c r="CK336" s="21" t="str">
        <f>IF(AND('Atividades Micro'!$B388=CK$2,'Atividades Micro'!$G388="Micro",'Atividades Micro'!$K388&lt;&gt;""),'Atividades Micro'!$K388,"")</f>
        <v/>
      </c>
      <c r="CL336" s="21" t="str">
        <f>IF(AND('Atividades Micro'!$B388=CL$2,'Atividades Micro'!$G388="Micro",'Atividades Micro'!$K388&lt;&gt;""),'Atividades Micro'!$K388,"")</f>
        <v/>
      </c>
      <c r="CM336" s="21" t="str">
        <f>IF(AND('Atividades Micro'!$B388=CM$2,'Atividades Micro'!$G388="Micro",'Atividades Micro'!$K388&lt;&gt;""),'Atividades Micro'!$K388,"")</f>
        <v/>
      </c>
      <c r="CN336" s="21" t="str">
        <f>IF(AND('Atividades Micro'!$B388=CN$2,'Atividades Micro'!$G388="Micro",'Atividades Micro'!$K388&lt;&gt;""),'Atividades Micro'!$K388,"")</f>
        <v/>
      </c>
      <c r="CO336" s="21" t="str">
        <f>IF(AND('Atividades Micro'!$B388=CO$2,'Atividades Micro'!$G388="Micro",'Atividades Micro'!$K388&lt;&gt;""),'Atividades Micro'!$K388,"")</f>
        <v/>
      </c>
    </row>
    <row r="337" spans="1:93">
      <c r="A337" s="21" t="str">
        <f>IF(AND('Atividades Micro'!$A389=A$2,'Atividades Micro'!$K389&lt;&gt;""),'Atividades Micro'!$K389,"")</f>
        <v/>
      </c>
      <c r="B337" s="21" t="str">
        <f>IF(AND('Atividades Micro'!$A389=B$2,'Atividades Micro'!$L389&lt;&gt;""),'Atividades Micro'!$L389,"")</f>
        <v/>
      </c>
      <c r="C337" s="21" t="str">
        <f>IF(AND('Atividades Micro'!$A389=C$2,'Atividades Micro'!$K389&lt;&gt;""),'Atividades Micro'!$K389,"")</f>
        <v/>
      </c>
      <c r="D337" s="21" t="str">
        <f>IF(AND('Atividades Micro'!$A389=D$2,'Atividades Micro'!$L389&lt;&gt;""),'Atividades Micro'!$L389,"")</f>
        <v/>
      </c>
      <c r="E337" s="21" t="str">
        <f>IF(AND('Atividades Micro'!$A389=E$2,'Atividades Micro'!$K389&lt;&gt;""),'Atividades Micro'!$K389,"")</f>
        <v/>
      </c>
      <c r="F337" s="21" t="str">
        <f>IF(AND('Atividades Micro'!$A389=F$2,'Atividades Micro'!$L389&lt;&gt;""),'Atividades Micro'!$L389,"")</f>
        <v/>
      </c>
      <c r="G337" s="21" t="str">
        <f>IF(AND('Atividades Micro'!$A389=G$2,'Atividades Micro'!$K389&lt;&gt;""),'Atividades Micro'!$K389,"")</f>
        <v/>
      </c>
      <c r="H337" s="21" t="str">
        <f>IF(AND('Atividades Micro'!$A389=H$2,'Atividades Micro'!$L389&lt;&gt;""),'Atividades Micro'!$L389,"")</f>
        <v/>
      </c>
      <c r="I337" s="21" t="str">
        <f>IF(AND('Atividades Micro'!$A389=I$2,'Atividades Micro'!$K389&lt;&gt;""),'Atividades Micro'!$K389,"")</f>
        <v/>
      </c>
      <c r="J337" s="21" t="str">
        <f>IF(AND('Atividades Micro'!$A389=J$2,'Atividades Micro'!$L389&lt;&gt;""),'Atividades Micro'!$L389,"")</f>
        <v/>
      </c>
      <c r="K337" s="21" t="str">
        <f>IF(AND('Atividades Micro'!$B389=K$2,'Atividades Micro'!$K389&lt;&gt;""),'Atividades Micro'!$K389,"")</f>
        <v/>
      </c>
      <c r="L337" s="21" t="str">
        <f>IF(AND('Atividades Micro'!$B389=L$2,'Atividades Micro'!$L389&lt;&gt;""),'Atividades Micro'!$L389,"")</f>
        <v/>
      </c>
      <c r="M337" s="21" t="str">
        <f>IF(AND('Atividades Micro'!$B389=M$2,'Atividades Micro'!$K389&lt;&gt;""),'Atividades Micro'!$K389,"")</f>
        <v/>
      </c>
      <c r="N337" s="21" t="str">
        <f>IF(AND('Atividades Micro'!$B389=N$2,'Atividades Micro'!$L389&lt;&gt;""),'Atividades Micro'!$L389,"")</f>
        <v/>
      </c>
      <c r="O337" s="21" t="str">
        <f>IF(AND('Atividades Micro'!$A389=O$2,'Atividades Micro'!$K389&lt;&gt;""),'Atividades Micro'!$K389,"")</f>
        <v/>
      </c>
      <c r="P337" s="21" t="str">
        <f>IF(AND('Atividades Micro'!$A389=P$2,'Atividades Micro'!$L389&lt;&gt;""),'Atividades Micro'!$L389,"")</f>
        <v/>
      </c>
      <c r="Q337" s="21" t="str">
        <f>IF(AND('Atividades Micro'!$B389=Q$2,'Atividades Micro'!$K389&lt;&gt;""),'Atividades Micro'!$K389,"")</f>
        <v/>
      </c>
      <c r="R337" s="21" t="str">
        <f>IF(AND('Atividades Micro'!$B389=R$2,'Atividades Micro'!$L389&lt;&gt;""),'Atividades Micro'!$L389,"")</f>
        <v/>
      </c>
      <c r="S337" s="21" t="str">
        <f>IF(AND('Atividades Micro'!$A389=S$2,'Atividades Micro'!$K389&lt;&gt;""),'Atividades Micro'!$K389,"")</f>
        <v/>
      </c>
      <c r="T337" s="21" t="str">
        <f>IF(AND('Atividades Micro'!$A389=T$2,'Atividades Micro'!$L389&lt;&gt;""),'Atividades Micro'!$L389,"")</f>
        <v/>
      </c>
      <c r="U337" s="21" t="str">
        <f>IF(AND('Atividades Micro'!$B389=U$2,'Atividades Micro'!$K389&lt;&gt;""),'Atividades Micro'!$K389,"")</f>
        <v/>
      </c>
      <c r="V337" s="21" t="str">
        <f>IF(AND('Atividades Micro'!$B389=V$2,'Atividades Micro'!$L389&lt;&gt;""),'Atividades Micro'!$L389,"")</f>
        <v/>
      </c>
      <c r="W337" s="21" t="str">
        <f>IF(AND('Atividades Micro'!$B389=W$2,'Atividades Micro'!$K389&lt;&gt;""),'Atividades Micro'!$K389,"")</f>
        <v/>
      </c>
      <c r="X337" s="21" t="str">
        <f>IF(AND('Atividades Micro'!$B389=X$2,'Atividades Micro'!$L389&lt;&gt;""),'Atividades Micro'!$L389,"")</f>
        <v/>
      </c>
      <c r="Y337" s="21" t="str">
        <f>IF(AND('Atividades Micro'!$A389=Y$2,'Atividades Micro'!$K389&lt;&gt;""),'Atividades Micro'!$K389,"")</f>
        <v/>
      </c>
      <c r="Z337" s="21" t="str">
        <f>IF(AND('Atividades Micro'!$A389=Z$2,'Atividades Micro'!$L389&lt;&gt;""),'Atividades Micro'!$L389,"")</f>
        <v/>
      </c>
      <c r="AA337" s="21" t="str">
        <f>IF(AND('Atividades Micro'!$B389=AA$2,'Atividades Micro'!$K389&lt;&gt;""),'Atividades Micro'!$K389,"")</f>
        <v/>
      </c>
      <c r="AB337" s="21" t="str">
        <f>IF(AND('Atividades Micro'!$B389=AB$2,'Atividades Micro'!$L389&lt;&gt;""),'Atividades Micro'!$L389,"")</f>
        <v/>
      </c>
      <c r="AC337" s="21" t="str">
        <f>IF(AND('Atividades Micro'!$B389=AC$2,'Atividades Micro'!$K389&lt;&gt;""),'Atividades Micro'!$K389,"")</f>
        <v/>
      </c>
      <c r="AD337" s="21" t="str">
        <f>IF(AND('Atividades Micro'!$B389=AD$2,'Atividades Micro'!$L389&lt;&gt;""),'Atividades Micro'!$L389,"")</f>
        <v/>
      </c>
      <c r="AE337" s="21" t="str">
        <f>IF(AND('Atividades Micro'!$A389=AE$2,'Atividades Micro'!$K389&lt;&gt;""),'Atividades Micro'!$K389,"")</f>
        <v/>
      </c>
      <c r="AF337" s="21" t="str">
        <f>IF(AND('Atividades Micro'!$A389=AF$2,'Atividades Micro'!$L389&lt;&gt;""),'Atividades Micro'!$L389,"")</f>
        <v/>
      </c>
      <c r="AG337" s="21" t="str">
        <f>IF(AND('Atividades Micro'!$B389=AG$2,'Atividades Micro'!$K389&lt;&gt;""),'Atividades Micro'!$K389,"")</f>
        <v/>
      </c>
      <c r="AH337" s="21" t="str">
        <f>IF(AND('Atividades Micro'!$B389=AH$2,'Atividades Micro'!$L389&lt;&gt;""),'Atividades Micro'!$L389,"")</f>
        <v/>
      </c>
      <c r="AI337" s="21" t="str">
        <f>IF(AND('Atividades Micro'!$B389=AI$2,'Atividades Micro'!$K389&lt;&gt;""),'Atividades Micro'!$K389,"")</f>
        <v/>
      </c>
      <c r="AJ337" s="21" t="str">
        <f>IF(AND('Atividades Micro'!$B389=AJ$2,'Atividades Micro'!$L389&lt;&gt;""),'Atividades Micro'!$L389,"")</f>
        <v/>
      </c>
      <c r="AK337" s="21" t="str">
        <f>IF(AND('Atividades Micro'!$A389=AK$2,'Atividades Micro'!$K389&lt;&gt;""),'Atividades Micro'!$K389,"")</f>
        <v/>
      </c>
      <c r="AL337" s="21" t="str">
        <f>IF(AND('Atividades Micro'!$A389=AL$2,'Atividades Micro'!$L389&lt;&gt;""),'Atividades Micro'!$L389,"")</f>
        <v/>
      </c>
      <c r="AM337" s="21" t="str">
        <f>IF(AND('Atividades Micro'!$B389=AM$2,'Atividades Micro'!$K389&lt;&gt;""),'Atividades Micro'!$K389,"")</f>
        <v/>
      </c>
      <c r="AN337" s="21" t="str">
        <f>IF(AND('Atividades Micro'!$B389=AN$2,'Atividades Micro'!$L389&lt;&gt;""),'Atividades Micro'!$L389,"")</f>
        <v/>
      </c>
      <c r="AO337" s="21" t="str">
        <f>IF(AND('Atividades Micro'!$B389=AO$2,'Atividades Micro'!$K389&lt;&gt;""),'Atividades Micro'!$K389,"")</f>
        <v/>
      </c>
      <c r="AP337" s="21" t="str">
        <f>IF(AND('Atividades Micro'!$B389=AP$2,'Atividades Micro'!$L389&lt;&gt;""),'Atividades Micro'!$L389,"")</f>
        <v/>
      </c>
      <c r="AQ337" s="21" t="str">
        <f>IF(AND('Atividades Micro'!$A389=AQ$2,'Atividades Micro'!$K389&lt;&gt;""),'Atividades Micro'!$K389,"")</f>
        <v/>
      </c>
      <c r="AR337" s="21" t="str">
        <f>IF(AND('Atividades Micro'!$A389=AR$2,'Atividades Micro'!$L389&lt;&gt;""),'Atividades Micro'!$L389,"")</f>
        <v/>
      </c>
      <c r="AS337" s="21" t="str">
        <f>IF(AND('Atividades Micro'!$B389=AS$2,'Atividades Micro'!$K389&lt;&gt;""),'Atividades Micro'!$K389,"")</f>
        <v/>
      </c>
      <c r="AT337" s="21" t="str">
        <f>IF(AND('Atividades Micro'!$B389=AT$2,'Atividades Micro'!$L389&lt;&gt;""),'Atividades Micro'!$L389,"")</f>
        <v/>
      </c>
      <c r="AU337" s="21" t="str">
        <f>IF(AND('Atividades Micro'!$A389=AU$2,'Atividades Micro'!$K389&lt;&gt;""),'Atividades Micro'!$K389,"")</f>
        <v/>
      </c>
      <c r="AV337" s="21" t="str">
        <f>IF(AND('Atividades Micro'!$A389=AV$2,'Atividades Micro'!$L389&lt;&gt;""),'Atividades Micro'!$L389,"")</f>
        <v/>
      </c>
      <c r="AW337" s="21" t="str">
        <f>IF(AND('Atividades Micro'!$B389=AW$2,'Atividades Micro'!$K389&lt;&gt;""),'Atividades Micro'!$K389,"")</f>
        <v/>
      </c>
      <c r="AX337" s="21" t="str">
        <f>IF(AND('Atividades Micro'!$B389=AX$2,'Atividades Micro'!$L389&lt;&gt;""),'Atividades Micro'!$L389,"")</f>
        <v/>
      </c>
      <c r="AY337" s="21" t="str">
        <f>IF(AND('Atividades Micro'!$A389=AY$2,'Atividades Micro'!$K389&lt;&gt;""),'Atividades Micro'!$K389,"")</f>
        <v/>
      </c>
      <c r="AZ337" s="21" t="str">
        <f>IF(AND('Atividades Micro'!$A389=AZ$2,'Atividades Micro'!$L389&lt;&gt;""),'Atividades Micro'!$L389,"")</f>
        <v/>
      </c>
      <c r="BA337" s="21" t="str">
        <f>IF(AND('Atividades Micro'!$B389=BA$2,'Atividades Micro'!$K389&lt;&gt;""),'Atividades Micro'!$K389,"")</f>
        <v/>
      </c>
      <c r="BB337" s="21" t="str">
        <f>IF(AND('Atividades Micro'!$B389=BB$2,'Atividades Micro'!$L389&lt;&gt;""),'Atividades Micro'!$L389,"")</f>
        <v/>
      </c>
      <c r="BC337" s="21" t="str">
        <f>IF(AND('Atividades Micro'!$B389=BC$2,'Atividades Micro'!$G389="Macro",'Atividades Micro'!$K389&lt;&gt;""),'Atividades Micro'!$K389,"")</f>
        <v/>
      </c>
      <c r="BD337" s="21" t="str">
        <f>IF(AND('Atividades Micro'!$B389=BD$2,'Atividades Micro'!$G389="Macro",'Atividades Micro'!$K389&lt;&gt;""),'Atividades Micro'!$K389,"")</f>
        <v/>
      </c>
      <c r="BE337" s="21" t="str">
        <f>IF(AND('Atividades Micro'!$B389=BE$2,'Atividades Micro'!$G389="Macro",'Atividades Micro'!$K389&lt;&gt;""),'Atividades Micro'!$K389,"")</f>
        <v/>
      </c>
      <c r="BF337" s="21" t="str">
        <f>IF(AND('Atividades Micro'!$B389=BF$2,'Atividades Micro'!$G389="Macro",'Atividades Micro'!$K389&lt;&gt;""),'Atividades Micro'!$K389,"")</f>
        <v/>
      </c>
      <c r="BG337" s="21" t="str">
        <f>IF(AND('Atividades Micro'!$B389=BG$2,'Atividades Micro'!$G389="Macro",'Atividades Micro'!$K389&lt;&gt;""),'Atividades Micro'!$K389,"")</f>
        <v/>
      </c>
      <c r="BH337" s="21" t="str">
        <f>IF(AND('Atividades Micro'!$B389=BH$2,'Atividades Micro'!$G389="Macro",'Atividades Micro'!$K389&lt;&gt;""),'Atividades Micro'!$K389,"")</f>
        <v/>
      </c>
      <c r="BI337" s="21" t="str">
        <f>IF(AND('Atividades Micro'!$B389=BI$2,'Atividades Micro'!$G389="Macro",'Atividades Micro'!$K389&lt;&gt;""),'Atividades Micro'!$K389,"")</f>
        <v/>
      </c>
      <c r="BJ337" s="21" t="str">
        <f>IF(AND('Atividades Micro'!$B389=BJ$2,'Atividades Micro'!$G389="Macro",'Atividades Micro'!$K389&lt;&gt;""),'Atividades Micro'!$K389,"")</f>
        <v/>
      </c>
      <c r="BK337" s="21" t="str">
        <f>IF(AND('Atividades Micro'!$B389=BK$2,'Atividades Micro'!$G389="Macro",'Atividades Micro'!$K389&lt;&gt;""),'Atividades Micro'!$K389,"")</f>
        <v/>
      </c>
      <c r="BL337" s="21" t="str">
        <f>IF(AND('Atividades Micro'!$B389=BL$2,'Atividades Micro'!$G389="Macro",'Atividades Micro'!$K389&lt;&gt;""),'Atividades Micro'!$K389,"")</f>
        <v/>
      </c>
      <c r="BM337" s="21" t="str">
        <f>IF(AND('Atividades Micro'!$B389=BM$2,'Atividades Micro'!$G389="Macro",'Atividades Micro'!$K389&lt;&gt;""),'Atividades Micro'!$K389,"")</f>
        <v/>
      </c>
      <c r="BN337" s="21" t="str">
        <f>IF(AND('Atividades Micro'!$B389=BN$2,'Atividades Micro'!$G389="Macro",'Atividades Micro'!$K389&lt;&gt;""),'Atividades Micro'!$K389,"")</f>
        <v/>
      </c>
      <c r="BO337" s="21" t="str">
        <f>IF(AND('Atividades Micro'!$B389=BO$2,'Atividades Micro'!$G389="Macro",'Atividades Micro'!$K389&lt;&gt;""),'Atividades Micro'!$K389,"")</f>
        <v/>
      </c>
      <c r="BP337" s="21" t="str">
        <f>IF(AND('Atividades Micro'!$B389=BP$2,'Atividades Micro'!$G389="Macro",'Atividades Micro'!$K389&lt;&gt;""),'Atividades Micro'!$K389,"")</f>
        <v/>
      </c>
      <c r="BQ337" s="21" t="str">
        <f>IF(AND('Atividades Micro'!$B389=BQ$2,'Atividades Micro'!$G389="Macro",'Atividades Micro'!$K389&lt;&gt;""),'Atividades Micro'!$K389,"")</f>
        <v/>
      </c>
      <c r="BR337" s="21" t="str">
        <f>IF(AND('Atividades Micro'!$B389=BR$2,'Atividades Micro'!$G389="Macro",'Atividades Micro'!$K389&lt;&gt;""),'Atividades Micro'!$K389,"")</f>
        <v/>
      </c>
      <c r="BS337" s="21" t="str">
        <f>IF(AND('Atividades Micro'!$B389=BS$2,'Atividades Micro'!$G389="Macro",'Atividades Micro'!$K389&lt;&gt;""),'Atividades Micro'!$K389,"")</f>
        <v/>
      </c>
      <c r="BT337" s="21" t="str">
        <f>IF(AND('Atividades Micro'!$B389=BT$2,'Atividades Micro'!$G389="Macro",'Atividades Micro'!$K389&lt;&gt;""),'Atividades Micro'!$K389,"")</f>
        <v/>
      </c>
      <c r="BU337" s="21" t="str">
        <f>IF(AND('Atividades Micro'!$B389=BU$2,'Atividades Micro'!$G389="Macro",'Atividades Micro'!$K389&lt;&gt;""),'Atividades Micro'!$K389,"")</f>
        <v/>
      </c>
      <c r="BV337" s="21" t="str">
        <f>IF(AND('Atividades Micro'!$B389=BV$2,'Atividades Micro'!$G389="Macro",'Atividades Micro'!$K389&lt;&gt;""),'Atividades Micro'!$K389,"")</f>
        <v/>
      </c>
      <c r="BW337" s="21" t="str">
        <f>IF(AND('Atividades Micro'!$B389=BW$2,'Atividades Micro'!$G389="Macro",'Atividades Micro'!$K389&lt;&gt;""),'Atividades Micro'!$K389,"")</f>
        <v/>
      </c>
      <c r="BX337" s="21" t="str">
        <f>IF(AND('Atividades Micro'!$B389=BX$2,'Atividades Micro'!$G389="Macro",'Atividades Micro'!$K389&lt;&gt;""),'Atividades Micro'!$K389,"")</f>
        <v/>
      </c>
      <c r="BY337" s="21" t="str">
        <f>IF(AND('Atividades Micro'!$B389=BY$2,'Atividades Micro'!$G389="Macro",'Atividades Micro'!$K389&lt;&gt;""),'Atividades Micro'!$K389,"")</f>
        <v/>
      </c>
      <c r="BZ337" s="21" t="str">
        <f>IF(AND('Atividades Micro'!$B389=BZ$2,'Atividades Micro'!$G389="Macro",'Atividades Micro'!$K389&lt;&gt;""),'Atividades Micro'!$K389,"")</f>
        <v/>
      </c>
      <c r="CA337" s="21" t="str">
        <f>IF(AND('Atividades Micro'!$B389=CA$2,'Atividades Micro'!$G389="Macro",'Atividades Micro'!$K389&lt;&gt;""),'Atividades Micro'!$K389,"")</f>
        <v/>
      </c>
      <c r="CB337" s="21" t="str">
        <f>IF(AND('Atividades Micro'!$B389=CB$2,'Atividades Micro'!$G389="Macro",'Atividades Micro'!$K389&lt;&gt;""),'Atividades Micro'!$K389,"")</f>
        <v/>
      </c>
      <c r="CC337" s="21" t="str">
        <f>IF(AND('Atividades Micro'!$B389=CC$2,'Atividades Micro'!$G389="Macro",'Atividades Micro'!$K389&lt;&gt;""),'Atividades Micro'!$K389,"")</f>
        <v/>
      </c>
      <c r="CD337" s="21" t="str">
        <f>IF(AND('Atividades Micro'!$B389=CD$2,'Atividades Micro'!$G389="Micro",'Atividades Micro'!$K389&lt;&gt;""),'Atividades Micro'!$K389,"")</f>
        <v/>
      </c>
      <c r="CE337" s="21" t="str">
        <f>IF(AND('Atividades Micro'!$B389=CE$2,'Atividades Micro'!$G389="Micro",'Atividades Micro'!$K389&lt;&gt;""),'Atividades Micro'!$K389,"")</f>
        <v/>
      </c>
      <c r="CF337" s="21" t="str">
        <f>IF(AND('Atividades Micro'!$B389=CF$2,'Atividades Micro'!$G389="Micro",'Atividades Micro'!$K389&lt;&gt;""),'Atividades Micro'!$K389,"")</f>
        <v/>
      </c>
      <c r="CG337" s="21" t="str">
        <f>IF(AND('Atividades Micro'!$B389=CG$2,'Atividades Micro'!$G389="Micro",'Atividades Micro'!$K389&lt;&gt;""),'Atividades Micro'!$K389,"")</f>
        <v/>
      </c>
      <c r="CH337" s="21" t="str">
        <f>IF(AND('Atividades Micro'!$B389=CH$2,'Atividades Micro'!$G389="Micro",'Atividades Micro'!$K389&lt;&gt;""),'Atividades Micro'!$K389,"")</f>
        <v/>
      </c>
      <c r="CI337" s="21" t="str">
        <f>IF(AND('Atividades Micro'!$B389=CI$2,'Atividades Micro'!$G389="Micro",'Atividades Micro'!$K389&lt;&gt;""),'Atividades Micro'!$K389,"")</f>
        <v/>
      </c>
      <c r="CJ337" s="21" t="str">
        <f>IF(AND('Atividades Micro'!$B389=CJ$2,'Atividades Micro'!$G389="Micro",'Atividades Micro'!$K389&lt;&gt;""),'Atividades Micro'!$K389,"")</f>
        <v/>
      </c>
      <c r="CK337" s="21" t="str">
        <f>IF(AND('Atividades Micro'!$B389=CK$2,'Atividades Micro'!$G389="Micro",'Atividades Micro'!$K389&lt;&gt;""),'Atividades Micro'!$K389,"")</f>
        <v/>
      </c>
      <c r="CL337" s="21" t="str">
        <f>IF(AND('Atividades Micro'!$B389=CL$2,'Atividades Micro'!$G389="Micro",'Atividades Micro'!$K389&lt;&gt;""),'Atividades Micro'!$K389,"")</f>
        <v/>
      </c>
      <c r="CM337" s="21" t="str">
        <f>IF(AND('Atividades Micro'!$B389=CM$2,'Atividades Micro'!$G389="Micro",'Atividades Micro'!$K389&lt;&gt;""),'Atividades Micro'!$K389,"")</f>
        <v/>
      </c>
      <c r="CN337" s="21" t="str">
        <f>IF(AND('Atividades Micro'!$B389=CN$2,'Atividades Micro'!$G389="Micro",'Atividades Micro'!$K389&lt;&gt;""),'Atividades Micro'!$K389,"")</f>
        <v/>
      </c>
      <c r="CO337" s="21" t="str">
        <f>IF(AND('Atividades Micro'!$B389=CO$2,'Atividades Micro'!$G389="Micro",'Atividades Micro'!$K389&lt;&gt;""),'Atividades Micro'!$K389,"")</f>
        <v/>
      </c>
    </row>
    <row r="338" spans="1:93">
      <c r="A338" s="21" t="str">
        <f>IF(AND('Atividades Micro'!$A390=A$2,'Atividades Micro'!$K390&lt;&gt;""),'Atividades Micro'!$K390,"")</f>
        <v/>
      </c>
      <c r="B338" s="21" t="str">
        <f>IF(AND('Atividades Micro'!$A390=B$2,'Atividades Micro'!$L390&lt;&gt;""),'Atividades Micro'!$L390,"")</f>
        <v/>
      </c>
      <c r="C338" s="21" t="str">
        <f>IF(AND('Atividades Micro'!$A390=C$2,'Atividades Micro'!$K390&lt;&gt;""),'Atividades Micro'!$K390,"")</f>
        <v/>
      </c>
      <c r="D338" s="21" t="str">
        <f>IF(AND('Atividades Micro'!$A390=D$2,'Atividades Micro'!$L390&lt;&gt;""),'Atividades Micro'!$L390,"")</f>
        <v/>
      </c>
      <c r="E338" s="21" t="str">
        <f>IF(AND('Atividades Micro'!$A390=E$2,'Atividades Micro'!$K390&lt;&gt;""),'Atividades Micro'!$K390,"")</f>
        <v/>
      </c>
      <c r="F338" s="21" t="str">
        <f>IF(AND('Atividades Micro'!$A390=F$2,'Atividades Micro'!$L390&lt;&gt;""),'Atividades Micro'!$L390,"")</f>
        <v/>
      </c>
      <c r="G338" s="21" t="str">
        <f>IF(AND('Atividades Micro'!$A390=G$2,'Atividades Micro'!$K390&lt;&gt;""),'Atividades Micro'!$K390,"")</f>
        <v/>
      </c>
      <c r="H338" s="21" t="str">
        <f>IF(AND('Atividades Micro'!$A390=H$2,'Atividades Micro'!$L390&lt;&gt;""),'Atividades Micro'!$L390,"")</f>
        <v/>
      </c>
      <c r="I338" s="21" t="str">
        <f>IF(AND('Atividades Micro'!$A390=I$2,'Atividades Micro'!$K390&lt;&gt;""),'Atividades Micro'!$K390,"")</f>
        <v/>
      </c>
      <c r="J338" s="21" t="str">
        <f>IF(AND('Atividades Micro'!$A390=J$2,'Atividades Micro'!$L390&lt;&gt;""),'Atividades Micro'!$L390,"")</f>
        <v/>
      </c>
      <c r="K338" s="21" t="str">
        <f>IF(AND('Atividades Micro'!$B390=K$2,'Atividades Micro'!$K390&lt;&gt;""),'Atividades Micro'!$K390,"")</f>
        <v/>
      </c>
      <c r="L338" s="21" t="str">
        <f>IF(AND('Atividades Micro'!$B390=L$2,'Atividades Micro'!$L390&lt;&gt;""),'Atividades Micro'!$L390,"")</f>
        <v/>
      </c>
      <c r="M338" s="21" t="str">
        <f>IF(AND('Atividades Micro'!$B390=M$2,'Atividades Micro'!$K390&lt;&gt;""),'Atividades Micro'!$K390,"")</f>
        <v/>
      </c>
      <c r="N338" s="21" t="str">
        <f>IF(AND('Atividades Micro'!$B390=N$2,'Atividades Micro'!$L390&lt;&gt;""),'Atividades Micro'!$L390,"")</f>
        <v/>
      </c>
      <c r="O338" s="21" t="str">
        <f>IF(AND('Atividades Micro'!$A390=O$2,'Atividades Micro'!$K390&lt;&gt;""),'Atividades Micro'!$K390,"")</f>
        <v/>
      </c>
      <c r="P338" s="21" t="str">
        <f>IF(AND('Atividades Micro'!$A390=P$2,'Atividades Micro'!$L390&lt;&gt;""),'Atividades Micro'!$L390,"")</f>
        <v/>
      </c>
      <c r="Q338" s="21" t="str">
        <f>IF(AND('Atividades Micro'!$B390=Q$2,'Atividades Micro'!$K390&lt;&gt;""),'Atividades Micro'!$K390,"")</f>
        <v/>
      </c>
      <c r="R338" s="21" t="str">
        <f>IF(AND('Atividades Micro'!$B390=R$2,'Atividades Micro'!$L390&lt;&gt;""),'Atividades Micro'!$L390,"")</f>
        <v/>
      </c>
      <c r="S338" s="21" t="str">
        <f>IF(AND('Atividades Micro'!$A390=S$2,'Atividades Micro'!$K390&lt;&gt;""),'Atividades Micro'!$K390,"")</f>
        <v/>
      </c>
      <c r="T338" s="21" t="str">
        <f>IF(AND('Atividades Micro'!$A390=T$2,'Atividades Micro'!$L390&lt;&gt;""),'Atividades Micro'!$L390,"")</f>
        <v/>
      </c>
      <c r="U338" s="21" t="str">
        <f>IF(AND('Atividades Micro'!$B390=U$2,'Atividades Micro'!$K390&lt;&gt;""),'Atividades Micro'!$K390,"")</f>
        <v/>
      </c>
      <c r="V338" s="21" t="str">
        <f>IF(AND('Atividades Micro'!$B390=V$2,'Atividades Micro'!$L390&lt;&gt;""),'Atividades Micro'!$L390,"")</f>
        <v/>
      </c>
      <c r="W338" s="21" t="str">
        <f>IF(AND('Atividades Micro'!$B390=W$2,'Atividades Micro'!$K390&lt;&gt;""),'Atividades Micro'!$K390,"")</f>
        <v/>
      </c>
      <c r="X338" s="21" t="str">
        <f>IF(AND('Atividades Micro'!$B390=X$2,'Atividades Micro'!$L390&lt;&gt;""),'Atividades Micro'!$L390,"")</f>
        <v/>
      </c>
      <c r="Y338" s="21" t="str">
        <f>IF(AND('Atividades Micro'!$A390=Y$2,'Atividades Micro'!$K390&lt;&gt;""),'Atividades Micro'!$K390,"")</f>
        <v/>
      </c>
      <c r="Z338" s="21" t="str">
        <f>IF(AND('Atividades Micro'!$A390=Z$2,'Atividades Micro'!$L390&lt;&gt;""),'Atividades Micro'!$L390,"")</f>
        <v/>
      </c>
      <c r="AA338" s="21" t="str">
        <f>IF(AND('Atividades Micro'!$B390=AA$2,'Atividades Micro'!$K390&lt;&gt;""),'Atividades Micro'!$K390,"")</f>
        <v/>
      </c>
      <c r="AB338" s="21" t="str">
        <f>IF(AND('Atividades Micro'!$B390=AB$2,'Atividades Micro'!$L390&lt;&gt;""),'Atividades Micro'!$L390,"")</f>
        <v/>
      </c>
      <c r="AC338" s="21" t="str">
        <f>IF(AND('Atividades Micro'!$B390=AC$2,'Atividades Micro'!$K390&lt;&gt;""),'Atividades Micro'!$K390,"")</f>
        <v/>
      </c>
      <c r="AD338" s="21" t="str">
        <f>IF(AND('Atividades Micro'!$B390=AD$2,'Atividades Micro'!$L390&lt;&gt;""),'Atividades Micro'!$L390,"")</f>
        <v/>
      </c>
      <c r="AE338" s="21" t="str">
        <f>IF(AND('Atividades Micro'!$A390=AE$2,'Atividades Micro'!$K390&lt;&gt;""),'Atividades Micro'!$K390,"")</f>
        <v/>
      </c>
      <c r="AF338" s="21" t="str">
        <f>IF(AND('Atividades Micro'!$A390=AF$2,'Atividades Micro'!$L390&lt;&gt;""),'Atividades Micro'!$L390,"")</f>
        <v/>
      </c>
      <c r="AG338" s="21" t="str">
        <f>IF(AND('Atividades Micro'!$B390=AG$2,'Atividades Micro'!$K390&lt;&gt;""),'Atividades Micro'!$K390,"")</f>
        <v/>
      </c>
      <c r="AH338" s="21" t="str">
        <f>IF(AND('Atividades Micro'!$B390=AH$2,'Atividades Micro'!$L390&lt;&gt;""),'Atividades Micro'!$L390,"")</f>
        <v/>
      </c>
      <c r="AI338" s="21" t="str">
        <f>IF(AND('Atividades Micro'!$B390=AI$2,'Atividades Micro'!$K390&lt;&gt;""),'Atividades Micro'!$K390,"")</f>
        <v/>
      </c>
      <c r="AJ338" s="21" t="str">
        <f>IF(AND('Atividades Micro'!$B390=AJ$2,'Atividades Micro'!$L390&lt;&gt;""),'Atividades Micro'!$L390,"")</f>
        <v/>
      </c>
      <c r="AK338" s="21" t="str">
        <f>IF(AND('Atividades Micro'!$A390=AK$2,'Atividades Micro'!$K390&lt;&gt;""),'Atividades Micro'!$K390,"")</f>
        <v/>
      </c>
      <c r="AL338" s="21" t="str">
        <f>IF(AND('Atividades Micro'!$A390=AL$2,'Atividades Micro'!$L390&lt;&gt;""),'Atividades Micro'!$L390,"")</f>
        <v/>
      </c>
      <c r="AM338" s="21" t="str">
        <f>IF(AND('Atividades Micro'!$B390=AM$2,'Atividades Micro'!$K390&lt;&gt;""),'Atividades Micro'!$K390,"")</f>
        <v/>
      </c>
      <c r="AN338" s="21" t="str">
        <f>IF(AND('Atividades Micro'!$B390=AN$2,'Atividades Micro'!$L390&lt;&gt;""),'Atividades Micro'!$L390,"")</f>
        <v/>
      </c>
      <c r="AO338" s="21" t="str">
        <f>IF(AND('Atividades Micro'!$B390=AO$2,'Atividades Micro'!$K390&lt;&gt;""),'Atividades Micro'!$K390,"")</f>
        <v/>
      </c>
      <c r="AP338" s="21" t="str">
        <f>IF(AND('Atividades Micro'!$B390=AP$2,'Atividades Micro'!$L390&lt;&gt;""),'Atividades Micro'!$L390,"")</f>
        <v/>
      </c>
      <c r="AQ338" s="21" t="str">
        <f>IF(AND('Atividades Micro'!$A390=AQ$2,'Atividades Micro'!$K390&lt;&gt;""),'Atividades Micro'!$K390,"")</f>
        <v/>
      </c>
      <c r="AR338" s="21" t="str">
        <f>IF(AND('Atividades Micro'!$A390=AR$2,'Atividades Micro'!$L390&lt;&gt;""),'Atividades Micro'!$L390,"")</f>
        <v/>
      </c>
      <c r="AS338" s="21" t="str">
        <f>IF(AND('Atividades Micro'!$B390=AS$2,'Atividades Micro'!$K390&lt;&gt;""),'Atividades Micro'!$K390,"")</f>
        <v/>
      </c>
      <c r="AT338" s="21" t="str">
        <f>IF(AND('Atividades Micro'!$B390=AT$2,'Atividades Micro'!$L390&lt;&gt;""),'Atividades Micro'!$L390,"")</f>
        <v/>
      </c>
      <c r="AU338" s="21" t="str">
        <f>IF(AND('Atividades Micro'!$A390=AU$2,'Atividades Micro'!$K390&lt;&gt;""),'Atividades Micro'!$K390,"")</f>
        <v/>
      </c>
      <c r="AV338" s="21" t="str">
        <f>IF(AND('Atividades Micro'!$A390=AV$2,'Atividades Micro'!$L390&lt;&gt;""),'Atividades Micro'!$L390,"")</f>
        <v/>
      </c>
      <c r="AW338" s="21" t="str">
        <f>IF(AND('Atividades Micro'!$B390=AW$2,'Atividades Micro'!$K390&lt;&gt;""),'Atividades Micro'!$K390,"")</f>
        <v/>
      </c>
      <c r="AX338" s="21" t="str">
        <f>IF(AND('Atividades Micro'!$B390=AX$2,'Atividades Micro'!$L390&lt;&gt;""),'Atividades Micro'!$L390,"")</f>
        <v/>
      </c>
      <c r="AY338" s="21" t="str">
        <f>IF(AND('Atividades Micro'!$A390=AY$2,'Atividades Micro'!$K390&lt;&gt;""),'Atividades Micro'!$K390,"")</f>
        <v/>
      </c>
      <c r="AZ338" s="21" t="str">
        <f>IF(AND('Atividades Micro'!$A390=AZ$2,'Atividades Micro'!$L390&lt;&gt;""),'Atividades Micro'!$L390,"")</f>
        <v/>
      </c>
      <c r="BA338" s="21" t="str">
        <f>IF(AND('Atividades Micro'!$B390=BA$2,'Atividades Micro'!$K390&lt;&gt;""),'Atividades Micro'!$K390,"")</f>
        <v/>
      </c>
      <c r="BB338" s="21" t="str">
        <f>IF(AND('Atividades Micro'!$B390=BB$2,'Atividades Micro'!$L390&lt;&gt;""),'Atividades Micro'!$L390,"")</f>
        <v/>
      </c>
      <c r="BC338" s="21" t="str">
        <f>IF(AND('Atividades Micro'!$B390=BC$2,'Atividades Micro'!$G390="Macro",'Atividades Micro'!$K390&lt;&gt;""),'Atividades Micro'!$K390,"")</f>
        <v/>
      </c>
      <c r="BD338" s="21" t="str">
        <f>IF(AND('Atividades Micro'!$B390=BD$2,'Atividades Micro'!$G390="Macro",'Atividades Micro'!$K390&lt;&gt;""),'Atividades Micro'!$K390,"")</f>
        <v/>
      </c>
      <c r="BE338" s="21" t="str">
        <f>IF(AND('Atividades Micro'!$B390=BE$2,'Atividades Micro'!$G390="Macro",'Atividades Micro'!$K390&lt;&gt;""),'Atividades Micro'!$K390,"")</f>
        <v/>
      </c>
      <c r="BF338" s="21" t="str">
        <f>IF(AND('Atividades Micro'!$B390=BF$2,'Atividades Micro'!$G390="Macro",'Atividades Micro'!$K390&lt;&gt;""),'Atividades Micro'!$K390,"")</f>
        <v/>
      </c>
      <c r="BG338" s="21" t="str">
        <f>IF(AND('Atividades Micro'!$B390=BG$2,'Atividades Micro'!$G390="Macro",'Atividades Micro'!$K390&lt;&gt;""),'Atividades Micro'!$K390,"")</f>
        <v/>
      </c>
      <c r="BH338" s="21" t="str">
        <f>IF(AND('Atividades Micro'!$B390=BH$2,'Atividades Micro'!$G390="Macro",'Atividades Micro'!$K390&lt;&gt;""),'Atividades Micro'!$K390,"")</f>
        <v/>
      </c>
      <c r="BI338" s="21" t="str">
        <f>IF(AND('Atividades Micro'!$B390=BI$2,'Atividades Micro'!$G390="Macro",'Atividades Micro'!$K390&lt;&gt;""),'Atividades Micro'!$K390,"")</f>
        <v/>
      </c>
      <c r="BJ338" s="21" t="str">
        <f>IF(AND('Atividades Micro'!$B390=BJ$2,'Atividades Micro'!$G390="Macro",'Atividades Micro'!$K390&lt;&gt;""),'Atividades Micro'!$K390,"")</f>
        <v/>
      </c>
      <c r="BK338" s="21" t="str">
        <f>IF(AND('Atividades Micro'!$B390=BK$2,'Atividades Micro'!$G390="Macro",'Atividades Micro'!$K390&lt;&gt;""),'Atividades Micro'!$K390,"")</f>
        <v/>
      </c>
      <c r="BL338" s="21" t="str">
        <f>IF(AND('Atividades Micro'!$B390=BL$2,'Atividades Micro'!$G390="Macro",'Atividades Micro'!$K390&lt;&gt;""),'Atividades Micro'!$K390,"")</f>
        <v/>
      </c>
      <c r="BM338" s="21" t="str">
        <f>IF(AND('Atividades Micro'!$B390=BM$2,'Atividades Micro'!$G390="Macro",'Atividades Micro'!$K390&lt;&gt;""),'Atividades Micro'!$K390,"")</f>
        <v/>
      </c>
      <c r="BN338" s="21" t="str">
        <f>IF(AND('Atividades Micro'!$B390=BN$2,'Atividades Micro'!$G390="Macro",'Atividades Micro'!$K390&lt;&gt;""),'Atividades Micro'!$K390,"")</f>
        <v/>
      </c>
      <c r="BO338" s="21" t="str">
        <f>IF(AND('Atividades Micro'!$B390=BO$2,'Atividades Micro'!$G390="Macro",'Atividades Micro'!$K390&lt;&gt;""),'Atividades Micro'!$K390,"")</f>
        <v/>
      </c>
      <c r="BP338" s="21" t="str">
        <f>IF(AND('Atividades Micro'!$B390=BP$2,'Atividades Micro'!$G390="Macro",'Atividades Micro'!$K390&lt;&gt;""),'Atividades Micro'!$K390,"")</f>
        <v/>
      </c>
      <c r="BQ338" s="21" t="str">
        <f>IF(AND('Atividades Micro'!$B390=BQ$2,'Atividades Micro'!$G390="Macro",'Atividades Micro'!$K390&lt;&gt;""),'Atividades Micro'!$K390,"")</f>
        <v/>
      </c>
      <c r="BR338" s="21" t="str">
        <f>IF(AND('Atividades Micro'!$B390=BR$2,'Atividades Micro'!$G390="Macro",'Atividades Micro'!$K390&lt;&gt;""),'Atividades Micro'!$K390,"")</f>
        <v/>
      </c>
      <c r="BS338" s="21" t="str">
        <f>IF(AND('Atividades Micro'!$B390=BS$2,'Atividades Micro'!$G390="Macro",'Atividades Micro'!$K390&lt;&gt;""),'Atividades Micro'!$K390,"")</f>
        <v/>
      </c>
      <c r="BT338" s="21" t="str">
        <f>IF(AND('Atividades Micro'!$B390=BT$2,'Atividades Micro'!$G390="Macro",'Atividades Micro'!$K390&lt;&gt;""),'Atividades Micro'!$K390,"")</f>
        <v/>
      </c>
      <c r="BU338" s="21" t="str">
        <f>IF(AND('Atividades Micro'!$B390=BU$2,'Atividades Micro'!$G390="Macro",'Atividades Micro'!$K390&lt;&gt;""),'Atividades Micro'!$K390,"")</f>
        <v/>
      </c>
      <c r="BV338" s="21" t="str">
        <f>IF(AND('Atividades Micro'!$B390=BV$2,'Atividades Micro'!$G390="Macro",'Atividades Micro'!$K390&lt;&gt;""),'Atividades Micro'!$K390,"")</f>
        <v/>
      </c>
      <c r="BW338" s="21" t="str">
        <f>IF(AND('Atividades Micro'!$B390=BW$2,'Atividades Micro'!$G390="Macro",'Atividades Micro'!$K390&lt;&gt;""),'Atividades Micro'!$K390,"")</f>
        <v/>
      </c>
      <c r="BX338" s="21" t="str">
        <f>IF(AND('Atividades Micro'!$B390=BX$2,'Atividades Micro'!$G390="Macro",'Atividades Micro'!$K390&lt;&gt;""),'Atividades Micro'!$K390,"")</f>
        <v/>
      </c>
      <c r="BY338" s="21" t="str">
        <f>IF(AND('Atividades Micro'!$B390=BY$2,'Atividades Micro'!$G390="Macro",'Atividades Micro'!$K390&lt;&gt;""),'Atividades Micro'!$K390,"")</f>
        <v/>
      </c>
      <c r="BZ338" s="21" t="str">
        <f>IF(AND('Atividades Micro'!$B390=BZ$2,'Atividades Micro'!$G390="Macro",'Atividades Micro'!$K390&lt;&gt;""),'Atividades Micro'!$K390,"")</f>
        <v/>
      </c>
      <c r="CA338" s="21" t="str">
        <f>IF(AND('Atividades Micro'!$B390=CA$2,'Atividades Micro'!$G390="Macro",'Atividades Micro'!$K390&lt;&gt;""),'Atividades Micro'!$K390,"")</f>
        <v/>
      </c>
      <c r="CB338" s="21" t="str">
        <f>IF(AND('Atividades Micro'!$B390=CB$2,'Atividades Micro'!$G390="Macro",'Atividades Micro'!$K390&lt;&gt;""),'Atividades Micro'!$K390,"")</f>
        <v/>
      </c>
      <c r="CC338" s="21" t="str">
        <f>IF(AND('Atividades Micro'!$B390=CC$2,'Atividades Micro'!$G390="Macro",'Atividades Micro'!$K390&lt;&gt;""),'Atividades Micro'!$K390,"")</f>
        <v/>
      </c>
      <c r="CD338" s="21" t="str">
        <f>IF(AND('Atividades Micro'!$B390=CD$2,'Atividades Micro'!$G390="Micro",'Atividades Micro'!$K390&lt;&gt;""),'Atividades Micro'!$K390,"")</f>
        <v/>
      </c>
      <c r="CE338" s="21" t="str">
        <f>IF(AND('Atividades Micro'!$B390=CE$2,'Atividades Micro'!$G390="Micro",'Atividades Micro'!$K390&lt;&gt;""),'Atividades Micro'!$K390,"")</f>
        <v/>
      </c>
      <c r="CF338" s="21" t="str">
        <f>IF(AND('Atividades Micro'!$B390=CF$2,'Atividades Micro'!$G390="Micro",'Atividades Micro'!$K390&lt;&gt;""),'Atividades Micro'!$K390,"")</f>
        <v/>
      </c>
      <c r="CG338" s="21" t="str">
        <f>IF(AND('Atividades Micro'!$B390=CG$2,'Atividades Micro'!$G390="Micro",'Atividades Micro'!$K390&lt;&gt;""),'Atividades Micro'!$K390,"")</f>
        <v/>
      </c>
      <c r="CH338" s="21" t="str">
        <f>IF(AND('Atividades Micro'!$B390=CH$2,'Atividades Micro'!$G390="Micro",'Atividades Micro'!$K390&lt;&gt;""),'Atividades Micro'!$K390,"")</f>
        <v/>
      </c>
      <c r="CI338" s="21" t="str">
        <f>IF(AND('Atividades Micro'!$B390=CI$2,'Atividades Micro'!$G390="Micro",'Atividades Micro'!$K390&lt;&gt;""),'Atividades Micro'!$K390,"")</f>
        <v/>
      </c>
      <c r="CJ338" s="21" t="str">
        <f>IF(AND('Atividades Micro'!$B390=CJ$2,'Atividades Micro'!$G390="Micro",'Atividades Micro'!$K390&lt;&gt;""),'Atividades Micro'!$K390,"")</f>
        <v/>
      </c>
      <c r="CK338" s="21" t="str">
        <f>IF(AND('Atividades Micro'!$B390=CK$2,'Atividades Micro'!$G390="Micro",'Atividades Micro'!$K390&lt;&gt;""),'Atividades Micro'!$K390,"")</f>
        <v/>
      </c>
      <c r="CL338" s="21" t="str">
        <f>IF(AND('Atividades Micro'!$B390=CL$2,'Atividades Micro'!$G390="Micro",'Atividades Micro'!$K390&lt;&gt;""),'Atividades Micro'!$K390,"")</f>
        <v/>
      </c>
      <c r="CM338" s="21" t="str">
        <f>IF(AND('Atividades Micro'!$B390=CM$2,'Atividades Micro'!$G390="Micro",'Atividades Micro'!$K390&lt;&gt;""),'Atividades Micro'!$K390,"")</f>
        <v/>
      </c>
      <c r="CN338" s="21" t="str">
        <f>IF(AND('Atividades Micro'!$B390=CN$2,'Atividades Micro'!$G390="Micro",'Atividades Micro'!$K390&lt;&gt;""),'Atividades Micro'!$K390,"")</f>
        <v/>
      </c>
      <c r="CO338" s="21" t="str">
        <f>IF(AND('Atividades Micro'!$B390=CO$2,'Atividades Micro'!$G390="Micro",'Atividades Micro'!$K390&lt;&gt;""),'Atividades Micro'!$K390,"")</f>
        <v/>
      </c>
    </row>
    <row r="339" spans="1:93">
      <c r="A339" s="21" t="str">
        <f>IF(AND('Atividades Micro'!$A391=A$2,'Atividades Micro'!$K391&lt;&gt;""),'Atividades Micro'!$K391,"")</f>
        <v/>
      </c>
      <c r="B339" s="21" t="str">
        <f>IF(AND('Atividades Micro'!$A391=B$2,'Atividades Micro'!$L391&lt;&gt;""),'Atividades Micro'!$L391,"")</f>
        <v/>
      </c>
      <c r="C339" s="21" t="str">
        <f>IF(AND('Atividades Micro'!$A391=C$2,'Atividades Micro'!$K391&lt;&gt;""),'Atividades Micro'!$K391,"")</f>
        <v/>
      </c>
      <c r="D339" s="21" t="str">
        <f>IF(AND('Atividades Micro'!$A391=D$2,'Atividades Micro'!$L391&lt;&gt;""),'Atividades Micro'!$L391,"")</f>
        <v/>
      </c>
      <c r="E339" s="21" t="str">
        <f>IF(AND('Atividades Micro'!$A391=E$2,'Atividades Micro'!$K391&lt;&gt;""),'Atividades Micro'!$K391,"")</f>
        <v/>
      </c>
      <c r="F339" s="21" t="str">
        <f>IF(AND('Atividades Micro'!$A391=F$2,'Atividades Micro'!$L391&lt;&gt;""),'Atividades Micro'!$L391,"")</f>
        <v/>
      </c>
      <c r="G339" s="21" t="str">
        <f>IF(AND('Atividades Micro'!$A391=G$2,'Atividades Micro'!$K391&lt;&gt;""),'Atividades Micro'!$K391,"")</f>
        <v/>
      </c>
      <c r="H339" s="21" t="str">
        <f>IF(AND('Atividades Micro'!$A391=H$2,'Atividades Micro'!$L391&lt;&gt;""),'Atividades Micro'!$L391,"")</f>
        <v/>
      </c>
      <c r="I339" s="21" t="str">
        <f>IF(AND('Atividades Micro'!$A391=I$2,'Atividades Micro'!$K391&lt;&gt;""),'Atividades Micro'!$K391,"")</f>
        <v/>
      </c>
      <c r="J339" s="21" t="str">
        <f>IF(AND('Atividades Micro'!$A391=J$2,'Atividades Micro'!$L391&lt;&gt;""),'Atividades Micro'!$L391,"")</f>
        <v/>
      </c>
      <c r="K339" s="21" t="str">
        <f>IF(AND('Atividades Micro'!$B391=K$2,'Atividades Micro'!$K391&lt;&gt;""),'Atividades Micro'!$K391,"")</f>
        <v/>
      </c>
      <c r="L339" s="21" t="str">
        <f>IF(AND('Atividades Micro'!$B391=L$2,'Atividades Micro'!$L391&lt;&gt;""),'Atividades Micro'!$L391,"")</f>
        <v/>
      </c>
      <c r="M339" s="21" t="str">
        <f>IF(AND('Atividades Micro'!$B391=M$2,'Atividades Micro'!$K391&lt;&gt;""),'Atividades Micro'!$K391,"")</f>
        <v/>
      </c>
      <c r="N339" s="21" t="str">
        <f>IF(AND('Atividades Micro'!$B391=N$2,'Atividades Micro'!$L391&lt;&gt;""),'Atividades Micro'!$L391,"")</f>
        <v/>
      </c>
      <c r="O339" s="21" t="str">
        <f>IF(AND('Atividades Micro'!$A391=O$2,'Atividades Micro'!$K391&lt;&gt;""),'Atividades Micro'!$K391,"")</f>
        <v/>
      </c>
      <c r="P339" s="21" t="str">
        <f>IF(AND('Atividades Micro'!$A391=P$2,'Atividades Micro'!$L391&lt;&gt;""),'Atividades Micro'!$L391,"")</f>
        <v/>
      </c>
      <c r="Q339" s="21" t="str">
        <f>IF(AND('Atividades Micro'!$B391=Q$2,'Atividades Micro'!$K391&lt;&gt;""),'Atividades Micro'!$K391,"")</f>
        <v/>
      </c>
      <c r="R339" s="21" t="str">
        <f>IF(AND('Atividades Micro'!$B391=R$2,'Atividades Micro'!$L391&lt;&gt;""),'Atividades Micro'!$L391,"")</f>
        <v/>
      </c>
      <c r="S339" s="21" t="str">
        <f>IF(AND('Atividades Micro'!$A391=S$2,'Atividades Micro'!$K391&lt;&gt;""),'Atividades Micro'!$K391,"")</f>
        <v/>
      </c>
      <c r="T339" s="21" t="str">
        <f>IF(AND('Atividades Micro'!$A391=T$2,'Atividades Micro'!$L391&lt;&gt;""),'Atividades Micro'!$L391,"")</f>
        <v/>
      </c>
      <c r="U339" s="21" t="str">
        <f>IF(AND('Atividades Micro'!$B391=U$2,'Atividades Micro'!$K391&lt;&gt;""),'Atividades Micro'!$K391,"")</f>
        <v/>
      </c>
      <c r="V339" s="21" t="str">
        <f>IF(AND('Atividades Micro'!$B391=V$2,'Atividades Micro'!$L391&lt;&gt;""),'Atividades Micro'!$L391,"")</f>
        <v/>
      </c>
      <c r="W339" s="21" t="str">
        <f>IF(AND('Atividades Micro'!$B391=W$2,'Atividades Micro'!$K391&lt;&gt;""),'Atividades Micro'!$K391,"")</f>
        <v/>
      </c>
      <c r="X339" s="21" t="str">
        <f>IF(AND('Atividades Micro'!$B391=X$2,'Atividades Micro'!$L391&lt;&gt;""),'Atividades Micro'!$L391,"")</f>
        <v/>
      </c>
      <c r="Y339" s="21" t="str">
        <f>IF(AND('Atividades Micro'!$A391=Y$2,'Atividades Micro'!$K391&lt;&gt;""),'Atividades Micro'!$K391,"")</f>
        <v/>
      </c>
      <c r="Z339" s="21" t="str">
        <f>IF(AND('Atividades Micro'!$A391=Z$2,'Atividades Micro'!$L391&lt;&gt;""),'Atividades Micro'!$L391,"")</f>
        <v/>
      </c>
      <c r="AA339" s="21" t="str">
        <f>IF(AND('Atividades Micro'!$B391=AA$2,'Atividades Micro'!$K391&lt;&gt;""),'Atividades Micro'!$K391,"")</f>
        <v/>
      </c>
      <c r="AB339" s="21" t="str">
        <f>IF(AND('Atividades Micro'!$B391=AB$2,'Atividades Micro'!$L391&lt;&gt;""),'Atividades Micro'!$L391,"")</f>
        <v/>
      </c>
      <c r="AC339" s="21" t="str">
        <f>IF(AND('Atividades Micro'!$B391=AC$2,'Atividades Micro'!$K391&lt;&gt;""),'Atividades Micro'!$K391,"")</f>
        <v/>
      </c>
      <c r="AD339" s="21" t="str">
        <f>IF(AND('Atividades Micro'!$B391=AD$2,'Atividades Micro'!$L391&lt;&gt;""),'Atividades Micro'!$L391,"")</f>
        <v/>
      </c>
      <c r="AE339" s="21" t="str">
        <f>IF(AND('Atividades Micro'!$A391=AE$2,'Atividades Micro'!$K391&lt;&gt;""),'Atividades Micro'!$K391,"")</f>
        <v/>
      </c>
      <c r="AF339" s="21" t="str">
        <f>IF(AND('Atividades Micro'!$A391=AF$2,'Atividades Micro'!$L391&lt;&gt;""),'Atividades Micro'!$L391,"")</f>
        <v/>
      </c>
      <c r="AG339" s="21" t="str">
        <f>IF(AND('Atividades Micro'!$B391=AG$2,'Atividades Micro'!$K391&lt;&gt;""),'Atividades Micro'!$K391,"")</f>
        <v/>
      </c>
      <c r="AH339" s="21" t="str">
        <f>IF(AND('Atividades Micro'!$B391=AH$2,'Atividades Micro'!$L391&lt;&gt;""),'Atividades Micro'!$L391,"")</f>
        <v/>
      </c>
      <c r="AI339" s="21" t="str">
        <f>IF(AND('Atividades Micro'!$B391=AI$2,'Atividades Micro'!$K391&lt;&gt;""),'Atividades Micro'!$K391,"")</f>
        <v/>
      </c>
      <c r="AJ339" s="21" t="str">
        <f>IF(AND('Atividades Micro'!$B391=AJ$2,'Atividades Micro'!$L391&lt;&gt;""),'Atividades Micro'!$L391,"")</f>
        <v/>
      </c>
      <c r="AK339" s="21" t="str">
        <f>IF(AND('Atividades Micro'!$A391=AK$2,'Atividades Micro'!$K391&lt;&gt;""),'Atividades Micro'!$K391,"")</f>
        <v/>
      </c>
      <c r="AL339" s="21" t="str">
        <f>IF(AND('Atividades Micro'!$A391=AL$2,'Atividades Micro'!$L391&lt;&gt;""),'Atividades Micro'!$L391,"")</f>
        <v/>
      </c>
      <c r="AM339" s="21" t="str">
        <f>IF(AND('Atividades Micro'!$B391=AM$2,'Atividades Micro'!$K391&lt;&gt;""),'Atividades Micro'!$K391,"")</f>
        <v/>
      </c>
      <c r="AN339" s="21" t="str">
        <f>IF(AND('Atividades Micro'!$B391=AN$2,'Atividades Micro'!$L391&lt;&gt;""),'Atividades Micro'!$L391,"")</f>
        <v/>
      </c>
      <c r="AO339" s="21" t="str">
        <f>IF(AND('Atividades Micro'!$B391=AO$2,'Atividades Micro'!$K391&lt;&gt;""),'Atividades Micro'!$K391,"")</f>
        <v/>
      </c>
      <c r="AP339" s="21" t="str">
        <f>IF(AND('Atividades Micro'!$B391=AP$2,'Atividades Micro'!$L391&lt;&gt;""),'Atividades Micro'!$L391,"")</f>
        <v/>
      </c>
      <c r="AQ339" s="21" t="str">
        <f>IF(AND('Atividades Micro'!$A391=AQ$2,'Atividades Micro'!$K391&lt;&gt;""),'Atividades Micro'!$K391,"")</f>
        <v/>
      </c>
      <c r="AR339" s="21" t="str">
        <f>IF(AND('Atividades Micro'!$A391=AR$2,'Atividades Micro'!$L391&lt;&gt;""),'Atividades Micro'!$L391,"")</f>
        <v/>
      </c>
      <c r="AS339" s="21" t="str">
        <f>IF(AND('Atividades Micro'!$B391=AS$2,'Atividades Micro'!$K391&lt;&gt;""),'Atividades Micro'!$K391,"")</f>
        <v/>
      </c>
      <c r="AT339" s="21" t="str">
        <f>IF(AND('Atividades Micro'!$B391=AT$2,'Atividades Micro'!$L391&lt;&gt;""),'Atividades Micro'!$L391,"")</f>
        <v/>
      </c>
      <c r="AU339" s="21" t="str">
        <f>IF(AND('Atividades Micro'!$A391=AU$2,'Atividades Micro'!$K391&lt;&gt;""),'Atividades Micro'!$K391,"")</f>
        <v/>
      </c>
      <c r="AV339" s="21" t="str">
        <f>IF(AND('Atividades Micro'!$A391=AV$2,'Atividades Micro'!$L391&lt;&gt;""),'Atividades Micro'!$L391,"")</f>
        <v/>
      </c>
      <c r="AW339" s="21" t="str">
        <f>IF(AND('Atividades Micro'!$B391=AW$2,'Atividades Micro'!$K391&lt;&gt;""),'Atividades Micro'!$K391,"")</f>
        <v/>
      </c>
      <c r="AX339" s="21" t="str">
        <f>IF(AND('Atividades Micro'!$B391=AX$2,'Atividades Micro'!$L391&lt;&gt;""),'Atividades Micro'!$L391,"")</f>
        <v/>
      </c>
      <c r="AY339" s="21" t="str">
        <f>IF(AND('Atividades Micro'!$A391=AY$2,'Atividades Micro'!$K391&lt;&gt;""),'Atividades Micro'!$K391,"")</f>
        <v/>
      </c>
      <c r="AZ339" s="21" t="str">
        <f>IF(AND('Atividades Micro'!$A391=AZ$2,'Atividades Micro'!$L391&lt;&gt;""),'Atividades Micro'!$L391,"")</f>
        <v/>
      </c>
      <c r="BA339" s="21" t="str">
        <f>IF(AND('Atividades Micro'!$B391=BA$2,'Atividades Micro'!$K391&lt;&gt;""),'Atividades Micro'!$K391,"")</f>
        <v/>
      </c>
      <c r="BB339" s="21" t="str">
        <f>IF(AND('Atividades Micro'!$B391=BB$2,'Atividades Micro'!$L391&lt;&gt;""),'Atividades Micro'!$L391,"")</f>
        <v/>
      </c>
      <c r="BC339" s="21" t="str">
        <f>IF(AND('Atividades Micro'!$B391=BC$2,'Atividades Micro'!$G391="Macro",'Atividades Micro'!$K391&lt;&gt;""),'Atividades Micro'!$K391,"")</f>
        <v/>
      </c>
      <c r="BD339" s="21" t="str">
        <f>IF(AND('Atividades Micro'!$B391=BD$2,'Atividades Micro'!$G391="Macro",'Atividades Micro'!$K391&lt;&gt;""),'Atividades Micro'!$K391,"")</f>
        <v/>
      </c>
      <c r="BE339" s="21" t="str">
        <f>IF(AND('Atividades Micro'!$B391=BE$2,'Atividades Micro'!$G391="Macro",'Atividades Micro'!$K391&lt;&gt;""),'Atividades Micro'!$K391,"")</f>
        <v/>
      </c>
      <c r="BF339" s="21" t="str">
        <f>IF(AND('Atividades Micro'!$B391=BF$2,'Atividades Micro'!$G391="Macro",'Atividades Micro'!$K391&lt;&gt;""),'Atividades Micro'!$K391,"")</f>
        <v/>
      </c>
      <c r="BG339" s="21" t="str">
        <f>IF(AND('Atividades Micro'!$B391=BG$2,'Atividades Micro'!$G391="Macro",'Atividades Micro'!$K391&lt;&gt;""),'Atividades Micro'!$K391,"")</f>
        <v/>
      </c>
      <c r="BH339" s="21" t="str">
        <f>IF(AND('Atividades Micro'!$B391=BH$2,'Atividades Micro'!$G391="Macro",'Atividades Micro'!$K391&lt;&gt;""),'Atividades Micro'!$K391,"")</f>
        <v/>
      </c>
      <c r="BI339" s="21" t="str">
        <f>IF(AND('Atividades Micro'!$B391=BI$2,'Atividades Micro'!$G391="Macro",'Atividades Micro'!$K391&lt;&gt;""),'Atividades Micro'!$K391,"")</f>
        <v/>
      </c>
      <c r="BJ339" s="21" t="str">
        <f>IF(AND('Atividades Micro'!$B391=BJ$2,'Atividades Micro'!$G391="Macro",'Atividades Micro'!$K391&lt;&gt;""),'Atividades Micro'!$K391,"")</f>
        <v/>
      </c>
      <c r="BK339" s="21" t="str">
        <f>IF(AND('Atividades Micro'!$B391=BK$2,'Atividades Micro'!$G391="Macro",'Atividades Micro'!$K391&lt;&gt;""),'Atividades Micro'!$K391,"")</f>
        <v/>
      </c>
      <c r="BL339" s="21" t="str">
        <f>IF(AND('Atividades Micro'!$B391=BL$2,'Atividades Micro'!$G391="Macro",'Atividades Micro'!$K391&lt;&gt;""),'Atividades Micro'!$K391,"")</f>
        <v/>
      </c>
      <c r="BM339" s="21" t="str">
        <f>IF(AND('Atividades Micro'!$B391=BM$2,'Atividades Micro'!$G391="Macro",'Atividades Micro'!$K391&lt;&gt;""),'Atividades Micro'!$K391,"")</f>
        <v/>
      </c>
      <c r="BN339" s="21" t="str">
        <f>IF(AND('Atividades Micro'!$B391=BN$2,'Atividades Micro'!$G391="Macro",'Atividades Micro'!$K391&lt;&gt;""),'Atividades Micro'!$K391,"")</f>
        <v/>
      </c>
      <c r="BO339" s="21" t="str">
        <f>IF(AND('Atividades Micro'!$B391=BO$2,'Atividades Micro'!$G391="Macro",'Atividades Micro'!$K391&lt;&gt;""),'Atividades Micro'!$K391,"")</f>
        <v/>
      </c>
      <c r="BP339" s="21" t="str">
        <f>IF(AND('Atividades Micro'!$B391=BP$2,'Atividades Micro'!$G391="Macro",'Atividades Micro'!$K391&lt;&gt;""),'Atividades Micro'!$K391,"")</f>
        <v/>
      </c>
      <c r="BQ339" s="21" t="str">
        <f>IF(AND('Atividades Micro'!$B391=BQ$2,'Atividades Micro'!$G391="Macro",'Atividades Micro'!$K391&lt;&gt;""),'Atividades Micro'!$K391,"")</f>
        <v/>
      </c>
      <c r="BR339" s="21" t="str">
        <f>IF(AND('Atividades Micro'!$B391=BR$2,'Atividades Micro'!$G391="Macro",'Atividades Micro'!$K391&lt;&gt;""),'Atividades Micro'!$K391,"")</f>
        <v/>
      </c>
      <c r="BS339" s="21" t="str">
        <f>IF(AND('Atividades Micro'!$B391=BS$2,'Atividades Micro'!$G391="Macro",'Atividades Micro'!$K391&lt;&gt;""),'Atividades Micro'!$K391,"")</f>
        <v/>
      </c>
      <c r="BT339" s="21" t="str">
        <f>IF(AND('Atividades Micro'!$B391=BT$2,'Atividades Micro'!$G391="Macro",'Atividades Micro'!$K391&lt;&gt;""),'Atividades Micro'!$K391,"")</f>
        <v/>
      </c>
      <c r="BU339" s="21" t="str">
        <f>IF(AND('Atividades Micro'!$B391=BU$2,'Atividades Micro'!$G391="Macro",'Atividades Micro'!$K391&lt;&gt;""),'Atividades Micro'!$K391,"")</f>
        <v/>
      </c>
      <c r="BV339" s="21" t="str">
        <f>IF(AND('Atividades Micro'!$B391=BV$2,'Atividades Micro'!$G391="Macro",'Atividades Micro'!$K391&lt;&gt;""),'Atividades Micro'!$K391,"")</f>
        <v/>
      </c>
      <c r="BW339" s="21" t="str">
        <f>IF(AND('Atividades Micro'!$B391=BW$2,'Atividades Micro'!$G391="Macro",'Atividades Micro'!$K391&lt;&gt;""),'Atividades Micro'!$K391,"")</f>
        <v/>
      </c>
      <c r="BX339" s="21" t="str">
        <f>IF(AND('Atividades Micro'!$B391=BX$2,'Atividades Micro'!$G391="Macro",'Atividades Micro'!$K391&lt;&gt;""),'Atividades Micro'!$K391,"")</f>
        <v/>
      </c>
      <c r="BY339" s="21" t="str">
        <f>IF(AND('Atividades Micro'!$B391=BY$2,'Atividades Micro'!$G391="Macro",'Atividades Micro'!$K391&lt;&gt;""),'Atividades Micro'!$K391,"")</f>
        <v/>
      </c>
      <c r="BZ339" s="21" t="str">
        <f>IF(AND('Atividades Micro'!$B391=BZ$2,'Atividades Micro'!$G391="Macro",'Atividades Micro'!$K391&lt;&gt;""),'Atividades Micro'!$K391,"")</f>
        <v/>
      </c>
      <c r="CA339" s="21" t="str">
        <f>IF(AND('Atividades Micro'!$B391=CA$2,'Atividades Micro'!$G391="Macro",'Atividades Micro'!$K391&lt;&gt;""),'Atividades Micro'!$K391,"")</f>
        <v/>
      </c>
      <c r="CB339" s="21" t="str">
        <f>IF(AND('Atividades Micro'!$B391=CB$2,'Atividades Micro'!$G391="Macro",'Atividades Micro'!$K391&lt;&gt;""),'Atividades Micro'!$K391,"")</f>
        <v/>
      </c>
      <c r="CC339" s="21" t="str">
        <f>IF(AND('Atividades Micro'!$B391=CC$2,'Atividades Micro'!$G391="Macro",'Atividades Micro'!$K391&lt;&gt;""),'Atividades Micro'!$K391,"")</f>
        <v/>
      </c>
      <c r="CD339" s="21" t="str">
        <f>IF(AND('Atividades Micro'!$B391=CD$2,'Atividades Micro'!$G391="Micro",'Atividades Micro'!$K391&lt;&gt;""),'Atividades Micro'!$K391,"")</f>
        <v/>
      </c>
      <c r="CE339" s="21" t="str">
        <f>IF(AND('Atividades Micro'!$B391=CE$2,'Atividades Micro'!$G391="Micro",'Atividades Micro'!$K391&lt;&gt;""),'Atividades Micro'!$K391,"")</f>
        <v/>
      </c>
      <c r="CF339" s="21" t="str">
        <f>IF(AND('Atividades Micro'!$B391=CF$2,'Atividades Micro'!$G391="Micro",'Atividades Micro'!$K391&lt;&gt;""),'Atividades Micro'!$K391,"")</f>
        <v/>
      </c>
      <c r="CG339" s="21" t="str">
        <f>IF(AND('Atividades Micro'!$B391=CG$2,'Atividades Micro'!$G391="Micro",'Atividades Micro'!$K391&lt;&gt;""),'Atividades Micro'!$K391,"")</f>
        <v/>
      </c>
      <c r="CH339" s="21" t="str">
        <f>IF(AND('Atividades Micro'!$B391=CH$2,'Atividades Micro'!$G391="Micro",'Atividades Micro'!$K391&lt;&gt;""),'Atividades Micro'!$K391,"")</f>
        <v/>
      </c>
      <c r="CI339" s="21" t="str">
        <f>IF(AND('Atividades Micro'!$B391=CI$2,'Atividades Micro'!$G391="Micro",'Atividades Micro'!$K391&lt;&gt;""),'Atividades Micro'!$K391,"")</f>
        <v/>
      </c>
      <c r="CJ339" s="21" t="str">
        <f>IF(AND('Atividades Micro'!$B391=CJ$2,'Atividades Micro'!$G391="Micro",'Atividades Micro'!$K391&lt;&gt;""),'Atividades Micro'!$K391,"")</f>
        <v/>
      </c>
      <c r="CK339" s="21" t="str">
        <f>IF(AND('Atividades Micro'!$B391=CK$2,'Atividades Micro'!$G391="Micro",'Atividades Micro'!$K391&lt;&gt;""),'Atividades Micro'!$K391,"")</f>
        <v/>
      </c>
      <c r="CL339" s="21" t="str">
        <f>IF(AND('Atividades Micro'!$B391=CL$2,'Atividades Micro'!$G391="Micro",'Atividades Micro'!$K391&lt;&gt;""),'Atividades Micro'!$K391,"")</f>
        <v/>
      </c>
      <c r="CM339" s="21" t="str">
        <f>IF(AND('Atividades Micro'!$B391=CM$2,'Atividades Micro'!$G391="Micro",'Atividades Micro'!$K391&lt;&gt;""),'Atividades Micro'!$K391,"")</f>
        <v/>
      </c>
      <c r="CN339" s="21" t="str">
        <f>IF(AND('Atividades Micro'!$B391=CN$2,'Atividades Micro'!$G391="Micro",'Atividades Micro'!$K391&lt;&gt;""),'Atividades Micro'!$K391,"")</f>
        <v/>
      </c>
      <c r="CO339" s="21" t="str">
        <f>IF(AND('Atividades Micro'!$B391=CO$2,'Atividades Micro'!$G391="Micro",'Atividades Micro'!$K391&lt;&gt;""),'Atividades Micro'!$K391,"")</f>
        <v/>
      </c>
    </row>
    <row r="340" spans="1:93">
      <c r="A340" s="21" t="str">
        <f>IF(AND('Atividades Micro'!$A392=A$2,'Atividades Micro'!$K392&lt;&gt;""),'Atividades Micro'!$K392,"")</f>
        <v/>
      </c>
      <c r="B340" s="21" t="str">
        <f>IF(AND('Atividades Micro'!$A392=B$2,'Atividades Micro'!$L392&lt;&gt;""),'Atividades Micro'!$L392,"")</f>
        <v/>
      </c>
      <c r="C340" s="21" t="str">
        <f>IF(AND('Atividades Micro'!$A392=C$2,'Atividades Micro'!$K392&lt;&gt;""),'Atividades Micro'!$K392,"")</f>
        <v/>
      </c>
      <c r="D340" s="21" t="str">
        <f>IF(AND('Atividades Micro'!$A392=D$2,'Atividades Micro'!$L392&lt;&gt;""),'Atividades Micro'!$L392,"")</f>
        <v/>
      </c>
      <c r="E340" s="21" t="str">
        <f>IF(AND('Atividades Micro'!$A392=E$2,'Atividades Micro'!$K392&lt;&gt;""),'Atividades Micro'!$K392,"")</f>
        <v/>
      </c>
      <c r="F340" s="21" t="str">
        <f>IF(AND('Atividades Micro'!$A392=F$2,'Atividades Micro'!$L392&lt;&gt;""),'Atividades Micro'!$L392,"")</f>
        <v/>
      </c>
      <c r="G340" s="21" t="str">
        <f>IF(AND('Atividades Micro'!$A392=G$2,'Atividades Micro'!$K392&lt;&gt;""),'Atividades Micro'!$K392,"")</f>
        <v/>
      </c>
      <c r="H340" s="21" t="str">
        <f>IF(AND('Atividades Micro'!$A392=H$2,'Atividades Micro'!$L392&lt;&gt;""),'Atividades Micro'!$L392,"")</f>
        <v/>
      </c>
      <c r="I340" s="21" t="str">
        <f>IF(AND('Atividades Micro'!$A392=I$2,'Atividades Micro'!$K392&lt;&gt;""),'Atividades Micro'!$K392,"")</f>
        <v/>
      </c>
      <c r="J340" s="21" t="str">
        <f>IF(AND('Atividades Micro'!$A392=J$2,'Atividades Micro'!$L392&lt;&gt;""),'Atividades Micro'!$L392,"")</f>
        <v/>
      </c>
      <c r="K340" s="21" t="str">
        <f>IF(AND('Atividades Micro'!$B392=K$2,'Atividades Micro'!$K392&lt;&gt;""),'Atividades Micro'!$K392,"")</f>
        <v/>
      </c>
      <c r="L340" s="21" t="str">
        <f>IF(AND('Atividades Micro'!$B392=L$2,'Atividades Micro'!$L392&lt;&gt;""),'Atividades Micro'!$L392,"")</f>
        <v/>
      </c>
      <c r="M340" s="21" t="str">
        <f>IF(AND('Atividades Micro'!$B392=M$2,'Atividades Micro'!$K392&lt;&gt;""),'Atividades Micro'!$K392,"")</f>
        <v/>
      </c>
      <c r="N340" s="21" t="str">
        <f>IF(AND('Atividades Micro'!$B392=N$2,'Atividades Micro'!$L392&lt;&gt;""),'Atividades Micro'!$L392,"")</f>
        <v/>
      </c>
      <c r="O340" s="21" t="str">
        <f>IF(AND('Atividades Micro'!$A392=O$2,'Atividades Micro'!$K392&lt;&gt;""),'Atividades Micro'!$K392,"")</f>
        <v/>
      </c>
      <c r="P340" s="21" t="str">
        <f>IF(AND('Atividades Micro'!$A392=P$2,'Atividades Micro'!$L392&lt;&gt;""),'Atividades Micro'!$L392,"")</f>
        <v/>
      </c>
      <c r="Q340" s="21" t="str">
        <f>IF(AND('Atividades Micro'!$B392=Q$2,'Atividades Micro'!$K392&lt;&gt;""),'Atividades Micro'!$K392,"")</f>
        <v/>
      </c>
      <c r="R340" s="21" t="str">
        <f>IF(AND('Atividades Micro'!$B392=R$2,'Atividades Micro'!$L392&lt;&gt;""),'Atividades Micro'!$L392,"")</f>
        <v/>
      </c>
      <c r="S340" s="21" t="str">
        <f>IF(AND('Atividades Micro'!$A392=S$2,'Atividades Micro'!$K392&lt;&gt;""),'Atividades Micro'!$K392,"")</f>
        <v/>
      </c>
      <c r="T340" s="21" t="str">
        <f>IF(AND('Atividades Micro'!$A392=T$2,'Atividades Micro'!$L392&lt;&gt;""),'Atividades Micro'!$L392,"")</f>
        <v/>
      </c>
      <c r="U340" s="21" t="str">
        <f>IF(AND('Atividades Micro'!$B392=U$2,'Atividades Micro'!$K392&lt;&gt;""),'Atividades Micro'!$K392,"")</f>
        <v/>
      </c>
      <c r="V340" s="21" t="str">
        <f>IF(AND('Atividades Micro'!$B392=V$2,'Atividades Micro'!$L392&lt;&gt;""),'Atividades Micro'!$L392,"")</f>
        <v/>
      </c>
      <c r="W340" s="21" t="str">
        <f>IF(AND('Atividades Micro'!$B392=W$2,'Atividades Micro'!$K392&lt;&gt;""),'Atividades Micro'!$K392,"")</f>
        <v/>
      </c>
      <c r="X340" s="21" t="str">
        <f>IF(AND('Atividades Micro'!$B392=X$2,'Atividades Micro'!$L392&lt;&gt;""),'Atividades Micro'!$L392,"")</f>
        <v/>
      </c>
      <c r="Y340" s="21" t="str">
        <f>IF(AND('Atividades Micro'!$A392=Y$2,'Atividades Micro'!$K392&lt;&gt;""),'Atividades Micro'!$K392,"")</f>
        <v/>
      </c>
      <c r="Z340" s="21" t="str">
        <f>IF(AND('Atividades Micro'!$A392=Z$2,'Atividades Micro'!$L392&lt;&gt;""),'Atividades Micro'!$L392,"")</f>
        <v/>
      </c>
      <c r="AA340" s="21" t="str">
        <f>IF(AND('Atividades Micro'!$B392=AA$2,'Atividades Micro'!$K392&lt;&gt;""),'Atividades Micro'!$K392,"")</f>
        <v/>
      </c>
      <c r="AB340" s="21" t="str">
        <f>IF(AND('Atividades Micro'!$B392=AB$2,'Atividades Micro'!$L392&lt;&gt;""),'Atividades Micro'!$L392,"")</f>
        <v/>
      </c>
      <c r="AC340" s="21" t="str">
        <f>IF(AND('Atividades Micro'!$B392=AC$2,'Atividades Micro'!$K392&lt;&gt;""),'Atividades Micro'!$K392,"")</f>
        <v/>
      </c>
      <c r="AD340" s="21" t="str">
        <f>IF(AND('Atividades Micro'!$B392=AD$2,'Atividades Micro'!$L392&lt;&gt;""),'Atividades Micro'!$L392,"")</f>
        <v/>
      </c>
      <c r="AE340" s="21" t="str">
        <f>IF(AND('Atividades Micro'!$A392=AE$2,'Atividades Micro'!$K392&lt;&gt;""),'Atividades Micro'!$K392,"")</f>
        <v/>
      </c>
      <c r="AF340" s="21" t="str">
        <f>IF(AND('Atividades Micro'!$A392=AF$2,'Atividades Micro'!$L392&lt;&gt;""),'Atividades Micro'!$L392,"")</f>
        <v/>
      </c>
      <c r="AG340" s="21" t="str">
        <f>IF(AND('Atividades Micro'!$B392=AG$2,'Atividades Micro'!$K392&lt;&gt;""),'Atividades Micro'!$K392,"")</f>
        <v/>
      </c>
      <c r="AH340" s="21" t="str">
        <f>IF(AND('Atividades Micro'!$B392=AH$2,'Atividades Micro'!$L392&lt;&gt;""),'Atividades Micro'!$L392,"")</f>
        <v/>
      </c>
      <c r="AI340" s="21" t="str">
        <f>IF(AND('Atividades Micro'!$B392=AI$2,'Atividades Micro'!$K392&lt;&gt;""),'Atividades Micro'!$K392,"")</f>
        <v/>
      </c>
      <c r="AJ340" s="21" t="str">
        <f>IF(AND('Atividades Micro'!$B392=AJ$2,'Atividades Micro'!$L392&lt;&gt;""),'Atividades Micro'!$L392,"")</f>
        <v/>
      </c>
      <c r="AK340" s="21" t="str">
        <f>IF(AND('Atividades Micro'!$A392=AK$2,'Atividades Micro'!$K392&lt;&gt;""),'Atividades Micro'!$K392,"")</f>
        <v/>
      </c>
      <c r="AL340" s="21" t="str">
        <f>IF(AND('Atividades Micro'!$A392=AL$2,'Atividades Micro'!$L392&lt;&gt;""),'Atividades Micro'!$L392,"")</f>
        <v/>
      </c>
      <c r="AM340" s="21" t="str">
        <f>IF(AND('Atividades Micro'!$B392=AM$2,'Atividades Micro'!$K392&lt;&gt;""),'Atividades Micro'!$K392,"")</f>
        <v/>
      </c>
      <c r="AN340" s="21" t="str">
        <f>IF(AND('Atividades Micro'!$B392=AN$2,'Atividades Micro'!$L392&lt;&gt;""),'Atividades Micro'!$L392,"")</f>
        <v/>
      </c>
      <c r="AO340" s="21" t="str">
        <f>IF(AND('Atividades Micro'!$B392=AO$2,'Atividades Micro'!$K392&lt;&gt;""),'Atividades Micro'!$K392,"")</f>
        <v/>
      </c>
      <c r="AP340" s="21" t="str">
        <f>IF(AND('Atividades Micro'!$B392=AP$2,'Atividades Micro'!$L392&lt;&gt;""),'Atividades Micro'!$L392,"")</f>
        <v/>
      </c>
      <c r="AQ340" s="21" t="str">
        <f>IF(AND('Atividades Micro'!$A392=AQ$2,'Atividades Micro'!$K392&lt;&gt;""),'Atividades Micro'!$K392,"")</f>
        <v/>
      </c>
      <c r="AR340" s="21" t="str">
        <f>IF(AND('Atividades Micro'!$A392=AR$2,'Atividades Micro'!$L392&lt;&gt;""),'Atividades Micro'!$L392,"")</f>
        <v/>
      </c>
      <c r="AS340" s="21" t="str">
        <f>IF(AND('Atividades Micro'!$B392=AS$2,'Atividades Micro'!$K392&lt;&gt;""),'Atividades Micro'!$K392,"")</f>
        <v/>
      </c>
      <c r="AT340" s="21" t="str">
        <f>IF(AND('Atividades Micro'!$B392=AT$2,'Atividades Micro'!$L392&lt;&gt;""),'Atividades Micro'!$L392,"")</f>
        <v/>
      </c>
      <c r="AU340" s="21" t="str">
        <f>IF(AND('Atividades Micro'!$A392=AU$2,'Atividades Micro'!$K392&lt;&gt;""),'Atividades Micro'!$K392,"")</f>
        <v/>
      </c>
      <c r="AV340" s="21" t="str">
        <f>IF(AND('Atividades Micro'!$A392=AV$2,'Atividades Micro'!$L392&lt;&gt;""),'Atividades Micro'!$L392,"")</f>
        <v/>
      </c>
      <c r="AW340" s="21" t="str">
        <f>IF(AND('Atividades Micro'!$B392=AW$2,'Atividades Micro'!$K392&lt;&gt;""),'Atividades Micro'!$K392,"")</f>
        <v/>
      </c>
      <c r="AX340" s="21" t="str">
        <f>IF(AND('Atividades Micro'!$B392=AX$2,'Atividades Micro'!$L392&lt;&gt;""),'Atividades Micro'!$L392,"")</f>
        <v/>
      </c>
      <c r="AY340" s="21" t="str">
        <f>IF(AND('Atividades Micro'!$A392=AY$2,'Atividades Micro'!$K392&lt;&gt;""),'Atividades Micro'!$K392,"")</f>
        <v/>
      </c>
      <c r="AZ340" s="21" t="str">
        <f>IF(AND('Atividades Micro'!$A392=AZ$2,'Atividades Micro'!$L392&lt;&gt;""),'Atividades Micro'!$L392,"")</f>
        <v/>
      </c>
      <c r="BA340" s="21" t="str">
        <f>IF(AND('Atividades Micro'!$B392=BA$2,'Atividades Micro'!$K392&lt;&gt;""),'Atividades Micro'!$K392,"")</f>
        <v/>
      </c>
      <c r="BB340" s="21" t="str">
        <f>IF(AND('Atividades Micro'!$B392=BB$2,'Atividades Micro'!$L392&lt;&gt;""),'Atividades Micro'!$L392,"")</f>
        <v/>
      </c>
      <c r="BC340" s="21" t="str">
        <f>IF(AND('Atividades Micro'!$B392=BC$2,'Atividades Micro'!$G392="Macro",'Atividades Micro'!$K392&lt;&gt;""),'Atividades Micro'!$K392,"")</f>
        <v/>
      </c>
      <c r="BD340" s="21" t="str">
        <f>IF(AND('Atividades Micro'!$B392=BD$2,'Atividades Micro'!$G392="Macro",'Atividades Micro'!$K392&lt;&gt;""),'Atividades Micro'!$K392,"")</f>
        <v/>
      </c>
      <c r="BE340" s="21" t="str">
        <f>IF(AND('Atividades Micro'!$B392=BE$2,'Atividades Micro'!$G392="Macro",'Atividades Micro'!$K392&lt;&gt;""),'Atividades Micro'!$K392,"")</f>
        <v/>
      </c>
      <c r="BF340" s="21" t="str">
        <f>IF(AND('Atividades Micro'!$B392=BF$2,'Atividades Micro'!$G392="Macro",'Atividades Micro'!$K392&lt;&gt;""),'Atividades Micro'!$K392,"")</f>
        <v/>
      </c>
      <c r="BG340" s="21" t="str">
        <f>IF(AND('Atividades Micro'!$B392=BG$2,'Atividades Micro'!$G392="Macro",'Atividades Micro'!$K392&lt;&gt;""),'Atividades Micro'!$K392,"")</f>
        <v/>
      </c>
      <c r="BH340" s="21" t="str">
        <f>IF(AND('Atividades Micro'!$B392=BH$2,'Atividades Micro'!$G392="Macro",'Atividades Micro'!$K392&lt;&gt;""),'Atividades Micro'!$K392,"")</f>
        <v/>
      </c>
      <c r="BI340" s="21" t="str">
        <f>IF(AND('Atividades Micro'!$B392=BI$2,'Atividades Micro'!$G392="Macro",'Atividades Micro'!$K392&lt;&gt;""),'Atividades Micro'!$K392,"")</f>
        <v/>
      </c>
      <c r="BJ340" s="21" t="str">
        <f>IF(AND('Atividades Micro'!$B392=BJ$2,'Atividades Micro'!$G392="Macro",'Atividades Micro'!$K392&lt;&gt;""),'Atividades Micro'!$K392,"")</f>
        <v/>
      </c>
      <c r="BK340" s="21" t="str">
        <f>IF(AND('Atividades Micro'!$B392=BK$2,'Atividades Micro'!$G392="Macro",'Atividades Micro'!$K392&lt;&gt;""),'Atividades Micro'!$K392,"")</f>
        <v/>
      </c>
      <c r="BL340" s="21" t="str">
        <f>IF(AND('Atividades Micro'!$B392=BL$2,'Atividades Micro'!$G392="Macro",'Atividades Micro'!$K392&lt;&gt;""),'Atividades Micro'!$K392,"")</f>
        <v/>
      </c>
      <c r="BM340" s="21" t="str">
        <f>IF(AND('Atividades Micro'!$B392=BM$2,'Atividades Micro'!$G392="Macro",'Atividades Micro'!$K392&lt;&gt;""),'Atividades Micro'!$K392,"")</f>
        <v/>
      </c>
      <c r="BN340" s="21" t="str">
        <f>IF(AND('Atividades Micro'!$B392=BN$2,'Atividades Micro'!$G392="Macro",'Atividades Micro'!$K392&lt;&gt;""),'Atividades Micro'!$K392,"")</f>
        <v/>
      </c>
      <c r="BO340" s="21" t="str">
        <f>IF(AND('Atividades Micro'!$B392=BO$2,'Atividades Micro'!$G392="Macro",'Atividades Micro'!$K392&lt;&gt;""),'Atividades Micro'!$K392,"")</f>
        <v/>
      </c>
      <c r="BP340" s="21" t="str">
        <f>IF(AND('Atividades Micro'!$B392=BP$2,'Atividades Micro'!$G392="Macro",'Atividades Micro'!$K392&lt;&gt;""),'Atividades Micro'!$K392,"")</f>
        <v/>
      </c>
      <c r="BQ340" s="21" t="str">
        <f>IF(AND('Atividades Micro'!$B392=BQ$2,'Atividades Micro'!$G392="Macro",'Atividades Micro'!$K392&lt;&gt;""),'Atividades Micro'!$K392,"")</f>
        <v/>
      </c>
      <c r="BR340" s="21" t="str">
        <f>IF(AND('Atividades Micro'!$B392=BR$2,'Atividades Micro'!$G392="Macro",'Atividades Micro'!$K392&lt;&gt;""),'Atividades Micro'!$K392,"")</f>
        <v/>
      </c>
      <c r="BS340" s="21" t="str">
        <f>IF(AND('Atividades Micro'!$B392=BS$2,'Atividades Micro'!$G392="Macro",'Atividades Micro'!$K392&lt;&gt;""),'Atividades Micro'!$K392,"")</f>
        <v/>
      </c>
      <c r="BT340" s="21" t="str">
        <f>IF(AND('Atividades Micro'!$B392=BT$2,'Atividades Micro'!$G392="Macro",'Atividades Micro'!$K392&lt;&gt;""),'Atividades Micro'!$K392,"")</f>
        <v/>
      </c>
      <c r="BU340" s="21" t="str">
        <f>IF(AND('Atividades Micro'!$B392=BU$2,'Atividades Micro'!$G392="Macro",'Atividades Micro'!$K392&lt;&gt;""),'Atividades Micro'!$K392,"")</f>
        <v/>
      </c>
      <c r="BV340" s="21" t="str">
        <f>IF(AND('Atividades Micro'!$B392=BV$2,'Atividades Micro'!$G392="Macro",'Atividades Micro'!$K392&lt;&gt;""),'Atividades Micro'!$K392,"")</f>
        <v/>
      </c>
      <c r="BW340" s="21" t="str">
        <f>IF(AND('Atividades Micro'!$B392=BW$2,'Atividades Micro'!$G392="Macro",'Atividades Micro'!$K392&lt;&gt;""),'Atividades Micro'!$K392,"")</f>
        <v/>
      </c>
      <c r="BX340" s="21" t="str">
        <f>IF(AND('Atividades Micro'!$B392=BX$2,'Atividades Micro'!$G392="Macro",'Atividades Micro'!$K392&lt;&gt;""),'Atividades Micro'!$K392,"")</f>
        <v/>
      </c>
      <c r="BY340" s="21" t="str">
        <f>IF(AND('Atividades Micro'!$B392=BY$2,'Atividades Micro'!$G392="Macro",'Atividades Micro'!$K392&lt;&gt;""),'Atividades Micro'!$K392,"")</f>
        <v/>
      </c>
      <c r="BZ340" s="21" t="str">
        <f>IF(AND('Atividades Micro'!$B392=BZ$2,'Atividades Micro'!$G392="Macro",'Atividades Micro'!$K392&lt;&gt;""),'Atividades Micro'!$K392,"")</f>
        <v/>
      </c>
      <c r="CA340" s="21" t="str">
        <f>IF(AND('Atividades Micro'!$B392=CA$2,'Atividades Micro'!$G392="Macro",'Atividades Micro'!$K392&lt;&gt;""),'Atividades Micro'!$K392,"")</f>
        <v/>
      </c>
      <c r="CB340" s="21" t="str">
        <f>IF(AND('Atividades Micro'!$B392=CB$2,'Atividades Micro'!$G392="Macro",'Atividades Micro'!$K392&lt;&gt;""),'Atividades Micro'!$K392,"")</f>
        <v/>
      </c>
      <c r="CC340" s="21" t="str">
        <f>IF(AND('Atividades Micro'!$B392=CC$2,'Atividades Micro'!$G392="Macro",'Atividades Micro'!$K392&lt;&gt;""),'Atividades Micro'!$K392,"")</f>
        <v/>
      </c>
      <c r="CD340" s="21" t="str">
        <f>IF(AND('Atividades Micro'!$B392=CD$2,'Atividades Micro'!$G392="Micro",'Atividades Micro'!$K392&lt;&gt;""),'Atividades Micro'!$K392,"")</f>
        <v/>
      </c>
      <c r="CE340" s="21" t="str">
        <f>IF(AND('Atividades Micro'!$B392=CE$2,'Atividades Micro'!$G392="Micro",'Atividades Micro'!$K392&lt;&gt;""),'Atividades Micro'!$K392,"")</f>
        <v/>
      </c>
      <c r="CF340" s="21" t="str">
        <f>IF(AND('Atividades Micro'!$B392=CF$2,'Atividades Micro'!$G392="Micro",'Atividades Micro'!$K392&lt;&gt;""),'Atividades Micro'!$K392,"")</f>
        <v/>
      </c>
      <c r="CG340" s="21" t="str">
        <f>IF(AND('Atividades Micro'!$B392=CG$2,'Atividades Micro'!$G392="Micro",'Atividades Micro'!$K392&lt;&gt;""),'Atividades Micro'!$K392,"")</f>
        <v/>
      </c>
      <c r="CH340" s="21" t="str">
        <f>IF(AND('Atividades Micro'!$B392=CH$2,'Atividades Micro'!$G392="Micro",'Atividades Micro'!$K392&lt;&gt;""),'Atividades Micro'!$K392,"")</f>
        <v/>
      </c>
      <c r="CI340" s="21" t="str">
        <f>IF(AND('Atividades Micro'!$B392=CI$2,'Atividades Micro'!$G392="Micro",'Atividades Micro'!$K392&lt;&gt;""),'Atividades Micro'!$K392,"")</f>
        <v/>
      </c>
      <c r="CJ340" s="21" t="str">
        <f>IF(AND('Atividades Micro'!$B392=CJ$2,'Atividades Micro'!$G392="Micro",'Atividades Micro'!$K392&lt;&gt;""),'Atividades Micro'!$K392,"")</f>
        <v/>
      </c>
      <c r="CK340" s="21" t="str">
        <f>IF(AND('Atividades Micro'!$B392=CK$2,'Atividades Micro'!$G392="Micro",'Atividades Micro'!$K392&lt;&gt;""),'Atividades Micro'!$K392,"")</f>
        <v/>
      </c>
      <c r="CL340" s="21" t="str">
        <f>IF(AND('Atividades Micro'!$B392=CL$2,'Atividades Micro'!$G392="Micro",'Atividades Micro'!$K392&lt;&gt;""),'Atividades Micro'!$K392,"")</f>
        <v/>
      </c>
      <c r="CM340" s="21" t="str">
        <f>IF(AND('Atividades Micro'!$B392=CM$2,'Atividades Micro'!$G392="Micro",'Atividades Micro'!$K392&lt;&gt;""),'Atividades Micro'!$K392,"")</f>
        <v/>
      </c>
      <c r="CN340" s="21" t="str">
        <f>IF(AND('Atividades Micro'!$B392=CN$2,'Atividades Micro'!$G392="Micro",'Atividades Micro'!$K392&lt;&gt;""),'Atividades Micro'!$K392,"")</f>
        <v/>
      </c>
      <c r="CO340" s="21" t="str">
        <f>IF(AND('Atividades Micro'!$B392=CO$2,'Atividades Micro'!$G392="Micro",'Atividades Micro'!$K392&lt;&gt;""),'Atividades Micro'!$K392,"")</f>
        <v/>
      </c>
    </row>
    <row r="341" spans="1:93">
      <c r="A341" s="21" t="str">
        <f>IF(AND('Atividades Micro'!$A393=A$2,'Atividades Micro'!$K393&lt;&gt;""),'Atividades Micro'!$K393,"")</f>
        <v/>
      </c>
      <c r="B341" s="21" t="str">
        <f>IF(AND('Atividades Micro'!$A393=B$2,'Atividades Micro'!$L393&lt;&gt;""),'Atividades Micro'!$L393,"")</f>
        <v/>
      </c>
      <c r="C341" s="21" t="str">
        <f>IF(AND('Atividades Micro'!$A393=C$2,'Atividades Micro'!$K393&lt;&gt;""),'Atividades Micro'!$K393,"")</f>
        <v/>
      </c>
      <c r="D341" s="21" t="str">
        <f>IF(AND('Atividades Micro'!$A393=D$2,'Atividades Micro'!$L393&lt;&gt;""),'Atividades Micro'!$L393,"")</f>
        <v/>
      </c>
      <c r="E341" s="21" t="str">
        <f>IF(AND('Atividades Micro'!$A393=E$2,'Atividades Micro'!$K393&lt;&gt;""),'Atividades Micro'!$K393,"")</f>
        <v/>
      </c>
      <c r="F341" s="21" t="str">
        <f>IF(AND('Atividades Micro'!$A393=F$2,'Atividades Micro'!$L393&lt;&gt;""),'Atividades Micro'!$L393,"")</f>
        <v/>
      </c>
      <c r="G341" s="21" t="str">
        <f>IF(AND('Atividades Micro'!$A393=G$2,'Atividades Micro'!$K393&lt;&gt;""),'Atividades Micro'!$K393,"")</f>
        <v/>
      </c>
      <c r="H341" s="21" t="str">
        <f>IF(AND('Atividades Micro'!$A393=H$2,'Atividades Micro'!$L393&lt;&gt;""),'Atividades Micro'!$L393,"")</f>
        <v/>
      </c>
      <c r="I341" s="21" t="str">
        <f>IF(AND('Atividades Micro'!$A393=I$2,'Atividades Micro'!$K393&lt;&gt;""),'Atividades Micro'!$K393,"")</f>
        <v/>
      </c>
      <c r="J341" s="21" t="str">
        <f>IF(AND('Atividades Micro'!$A393=J$2,'Atividades Micro'!$L393&lt;&gt;""),'Atividades Micro'!$L393,"")</f>
        <v/>
      </c>
      <c r="K341" s="21" t="str">
        <f>IF(AND('Atividades Micro'!$B393=K$2,'Atividades Micro'!$K393&lt;&gt;""),'Atividades Micro'!$K393,"")</f>
        <v/>
      </c>
      <c r="L341" s="21" t="str">
        <f>IF(AND('Atividades Micro'!$B393=L$2,'Atividades Micro'!$L393&lt;&gt;""),'Atividades Micro'!$L393,"")</f>
        <v/>
      </c>
      <c r="M341" s="21" t="str">
        <f>IF(AND('Atividades Micro'!$B393=M$2,'Atividades Micro'!$K393&lt;&gt;""),'Atividades Micro'!$K393,"")</f>
        <v/>
      </c>
      <c r="N341" s="21" t="str">
        <f>IF(AND('Atividades Micro'!$B393=N$2,'Atividades Micro'!$L393&lt;&gt;""),'Atividades Micro'!$L393,"")</f>
        <v/>
      </c>
      <c r="O341" s="21" t="str">
        <f>IF(AND('Atividades Micro'!$A393=O$2,'Atividades Micro'!$K393&lt;&gt;""),'Atividades Micro'!$K393,"")</f>
        <v/>
      </c>
      <c r="P341" s="21" t="str">
        <f>IF(AND('Atividades Micro'!$A393=P$2,'Atividades Micro'!$L393&lt;&gt;""),'Atividades Micro'!$L393,"")</f>
        <v/>
      </c>
      <c r="Q341" s="21" t="str">
        <f>IF(AND('Atividades Micro'!$B393=Q$2,'Atividades Micro'!$K393&lt;&gt;""),'Atividades Micro'!$K393,"")</f>
        <v/>
      </c>
      <c r="R341" s="21" t="str">
        <f>IF(AND('Atividades Micro'!$B393=R$2,'Atividades Micro'!$L393&lt;&gt;""),'Atividades Micro'!$L393,"")</f>
        <v/>
      </c>
      <c r="S341" s="21" t="str">
        <f>IF(AND('Atividades Micro'!$A393=S$2,'Atividades Micro'!$K393&lt;&gt;""),'Atividades Micro'!$K393,"")</f>
        <v/>
      </c>
      <c r="T341" s="21" t="str">
        <f>IF(AND('Atividades Micro'!$A393=T$2,'Atividades Micro'!$L393&lt;&gt;""),'Atividades Micro'!$L393,"")</f>
        <v/>
      </c>
      <c r="U341" s="21" t="str">
        <f>IF(AND('Atividades Micro'!$B393=U$2,'Atividades Micro'!$K393&lt;&gt;""),'Atividades Micro'!$K393,"")</f>
        <v/>
      </c>
      <c r="V341" s="21" t="str">
        <f>IF(AND('Atividades Micro'!$B393=V$2,'Atividades Micro'!$L393&lt;&gt;""),'Atividades Micro'!$L393,"")</f>
        <v/>
      </c>
      <c r="W341" s="21" t="str">
        <f>IF(AND('Atividades Micro'!$B393=W$2,'Atividades Micro'!$K393&lt;&gt;""),'Atividades Micro'!$K393,"")</f>
        <v/>
      </c>
      <c r="X341" s="21" t="str">
        <f>IF(AND('Atividades Micro'!$B393=X$2,'Atividades Micro'!$L393&lt;&gt;""),'Atividades Micro'!$L393,"")</f>
        <v/>
      </c>
      <c r="Y341" s="21" t="str">
        <f>IF(AND('Atividades Micro'!$A393=Y$2,'Atividades Micro'!$K393&lt;&gt;""),'Atividades Micro'!$K393,"")</f>
        <v/>
      </c>
      <c r="Z341" s="21" t="str">
        <f>IF(AND('Atividades Micro'!$A393=Z$2,'Atividades Micro'!$L393&lt;&gt;""),'Atividades Micro'!$L393,"")</f>
        <v/>
      </c>
      <c r="AA341" s="21" t="str">
        <f>IF(AND('Atividades Micro'!$B393=AA$2,'Atividades Micro'!$K393&lt;&gt;""),'Atividades Micro'!$K393,"")</f>
        <v/>
      </c>
      <c r="AB341" s="21" t="str">
        <f>IF(AND('Atividades Micro'!$B393=AB$2,'Atividades Micro'!$L393&lt;&gt;""),'Atividades Micro'!$L393,"")</f>
        <v/>
      </c>
      <c r="AC341" s="21" t="str">
        <f>IF(AND('Atividades Micro'!$B393=AC$2,'Atividades Micro'!$K393&lt;&gt;""),'Atividades Micro'!$K393,"")</f>
        <v/>
      </c>
      <c r="AD341" s="21" t="str">
        <f>IF(AND('Atividades Micro'!$B393=AD$2,'Atividades Micro'!$L393&lt;&gt;""),'Atividades Micro'!$L393,"")</f>
        <v/>
      </c>
      <c r="AE341" s="21" t="str">
        <f>IF(AND('Atividades Micro'!$A393=AE$2,'Atividades Micro'!$K393&lt;&gt;""),'Atividades Micro'!$K393,"")</f>
        <v/>
      </c>
      <c r="AF341" s="21" t="str">
        <f>IF(AND('Atividades Micro'!$A393=AF$2,'Atividades Micro'!$L393&lt;&gt;""),'Atividades Micro'!$L393,"")</f>
        <v/>
      </c>
      <c r="AG341" s="21" t="str">
        <f>IF(AND('Atividades Micro'!$B393=AG$2,'Atividades Micro'!$K393&lt;&gt;""),'Atividades Micro'!$K393,"")</f>
        <v/>
      </c>
      <c r="AH341" s="21" t="str">
        <f>IF(AND('Atividades Micro'!$B393=AH$2,'Atividades Micro'!$L393&lt;&gt;""),'Atividades Micro'!$L393,"")</f>
        <v/>
      </c>
      <c r="AI341" s="21" t="str">
        <f>IF(AND('Atividades Micro'!$B393=AI$2,'Atividades Micro'!$K393&lt;&gt;""),'Atividades Micro'!$K393,"")</f>
        <v/>
      </c>
      <c r="AJ341" s="21" t="str">
        <f>IF(AND('Atividades Micro'!$B393=AJ$2,'Atividades Micro'!$L393&lt;&gt;""),'Atividades Micro'!$L393,"")</f>
        <v/>
      </c>
      <c r="AK341" s="21" t="str">
        <f>IF(AND('Atividades Micro'!$A393=AK$2,'Atividades Micro'!$K393&lt;&gt;""),'Atividades Micro'!$K393,"")</f>
        <v/>
      </c>
      <c r="AL341" s="21" t="str">
        <f>IF(AND('Atividades Micro'!$A393=AL$2,'Atividades Micro'!$L393&lt;&gt;""),'Atividades Micro'!$L393,"")</f>
        <v/>
      </c>
      <c r="AM341" s="21" t="str">
        <f>IF(AND('Atividades Micro'!$B393=AM$2,'Atividades Micro'!$K393&lt;&gt;""),'Atividades Micro'!$K393,"")</f>
        <v/>
      </c>
      <c r="AN341" s="21" t="str">
        <f>IF(AND('Atividades Micro'!$B393=AN$2,'Atividades Micro'!$L393&lt;&gt;""),'Atividades Micro'!$L393,"")</f>
        <v/>
      </c>
      <c r="AO341" s="21" t="str">
        <f>IF(AND('Atividades Micro'!$B393=AO$2,'Atividades Micro'!$K393&lt;&gt;""),'Atividades Micro'!$K393,"")</f>
        <v/>
      </c>
      <c r="AP341" s="21" t="str">
        <f>IF(AND('Atividades Micro'!$B393=AP$2,'Atividades Micro'!$L393&lt;&gt;""),'Atividades Micro'!$L393,"")</f>
        <v/>
      </c>
      <c r="AQ341" s="21" t="str">
        <f>IF(AND('Atividades Micro'!$A393=AQ$2,'Atividades Micro'!$K393&lt;&gt;""),'Atividades Micro'!$K393,"")</f>
        <v/>
      </c>
      <c r="AR341" s="21" t="str">
        <f>IF(AND('Atividades Micro'!$A393=AR$2,'Atividades Micro'!$L393&lt;&gt;""),'Atividades Micro'!$L393,"")</f>
        <v/>
      </c>
      <c r="AS341" s="21" t="str">
        <f>IF(AND('Atividades Micro'!$B393=AS$2,'Atividades Micro'!$K393&lt;&gt;""),'Atividades Micro'!$K393,"")</f>
        <v/>
      </c>
      <c r="AT341" s="21" t="str">
        <f>IF(AND('Atividades Micro'!$B393=AT$2,'Atividades Micro'!$L393&lt;&gt;""),'Atividades Micro'!$L393,"")</f>
        <v/>
      </c>
      <c r="AU341" s="21" t="str">
        <f>IF(AND('Atividades Micro'!$A393=AU$2,'Atividades Micro'!$K393&lt;&gt;""),'Atividades Micro'!$K393,"")</f>
        <v/>
      </c>
      <c r="AV341" s="21" t="str">
        <f>IF(AND('Atividades Micro'!$A393=AV$2,'Atividades Micro'!$L393&lt;&gt;""),'Atividades Micro'!$L393,"")</f>
        <v/>
      </c>
      <c r="AW341" s="21" t="str">
        <f>IF(AND('Atividades Micro'!$B393=AW$2,'Atividades Micro'!$K393&lt;&gt;""),'Atividades Micro'!$K393,"")</f>
        <v/>
      </c>
      <c r="AX341" s="21" t="str">
        <f>IF(AND('Atividades Micro'!$B393=AX$2,'Atividades Micro'!$L393&lt;&gt;""),'Atividades Micro'!$L393,"")</f>
        <v/>
      </c>
      <c r="AY341" s="21" t="str">
        <f>IF(AND('Atividades Micro'!$A393=AY$2,'Atividades Micro'!$K393&lt;&gt;""),'Atividades Micro'!$K393,"")</f>
        <v/>
      </c>
      <c r="AZ341" s="21" t="str">
        <f>IF(AND('Atividades Micro'!$A393=AZ$2,'Atividades Micro'!$L393&lt;&gt;""),'Atividades Micro'!$L393,"")</f>
        <v/>
      </c>
      <c r="BA341" s="21" t="str">
        <f>IF(AND('Atividades Micro'!$B393=BA$2,'Atividades Micro'!$K393&lt;&gt;""),'Atividades Micro'!$K393,"")</f>
        <v/>
      </c>
      <c r="BB341" s="21" t="str">
        <f>IF(AND('Atividades Micro'!$B393=BB$2,'Atividades Micro'!$L393&lt;&gt;""),'Atividades Micro'!$L393,"")</f>
        <v/>
      </c>
      <c r="BC341" s="21" t="str">
        <f>IF(AND('Atividades Micro'!$B393=BC$2,'Atividades Micro'!$G393="Macro",'Atividades Micro'!$K393&lt;&gt;""),'Atividades Micro'!$K393,"")</f>
        <v/>
      </c>
      <c r="BD341" s="21" t="str">
        <f>IF(AND('Atividades Micro'!$B393=BD$2,'Atividades Micro'!$G393="Macro",'Atividades Micro'!$K393&lt;&gt;""),'Atividades Micro'!$K393,"")</f>
        <v/>
      </c>
      <c r="BE341" s="21" t="str">
        <f>IF(AND('Atividades Micro'!$B393=BE$2,'Atividades Micro'!$G393="Macro",'Atividades Micro'!$K393&lt;&gt;""),'Atividades Micro'!$K393,"")</f>
        <v/>
      </c>
      <c r="BF341" s="21" t="str">
        <f>IF(AND('Atividades Micro'!$B393=BF$2,'Atividades Micro'!$G393="Macro",'Atividades Micro'!$K393&lt;&gt;""),'Atividades Micro'!$K393,"")</f>
        <v/>
      </c>
      <c r="BG341" s="21" t="str">
        <f>IF(AND('Atividades Micro'!$B393=BG$2,'Atividades Micro'!$G393="Macro",'Atividades Micro'!$K393&lt;&gt;""),'Atividades Micro'!$K393,"")</f>
        <v/>
      </c>
      <c r="BH341" s="21" t="str">
        <f>IF(AND('Atividades Micro'!$B393=BH$2,'Atividades Micro'!$G393="Macro",'Atividades Micro'!$K393&lt;&gt;""),'Atividades Micro'!$K393,"")</f>
        <v/>
      </c>
      <c r="BI341" s="21" t="str">
        <f>IF(AND('Atividades Micro'!$B393=BI$2,'Atividades Micro'!$G393="Macro",'Atividades Micro'!$K393&lt;&gt;""),'Atividades Micro'!$K393,"")</f>
        <v/>
      </c>
      <c r="BJ341" s="21" t="str">
        <f>IF(AND('Atividades Micro'!$B393=BJ$2,'Atividades Micro'!$G393="Macro",'Atividades Micro'!$K393&lt;&gt;""),'Atividades Micro'!$K393,"")</f>
        <v/>
      </c>
      <c r="BK341" s="21" t="str">
        <f>IF(AND('Atividades Micro'!$B393=BK$2,'Atividades Micro'!$G393="Macro",'Atividades Micro'!$K393&lt;&gt;""),'Atividades Micro'!$K393,"")</f>
        <v/>
      </c>
      <c r="BL341" s="21" t="str">
        <f>IF(AND('Atividades Micro'!$B393=BL$2,'Atividades Micro'!$G393="Macro",'Atividades Micro'!$K393&lt;&gt;""),'Atividades Micro'!$K393,"")</f>
        <v/>
      </c>
      <c r="BM341" s="21" t="str">
        <f>IF(AND('Atividades Micro'!$B393=BM$2,'Atividades Micro'!$G393="Macro",'Atividades Micro'!$K393&lt;&gt;""),'Atividades Micro'!$K393,"")</f>
        <v/>
      </c>
      <c r="BN341" s="21" t="str">
        <f>IF(AND('Atividades Micro'!$B393=BN$2,'Atividades Micro'!$G393="Macro",'Atividades Micro'!$K393&lt;&gt;""),'Atividades Micro'!$K393,"")</f>
        <v/>
      </c>
      <c r="BO341" s="21" t="str">
        <f>IF(AND('Atividades Micro'!$B393=BO$2,'Atividades Micro'!$G393="Macro",'Atividades Micro'!$K393&lt;&gt;""),'Atividades Micro'!$K393,"")</f>
        <v/>
      </c>
      <c r="BP341" s="21" t="str">
        <f>IF(AND('Atividades Micro'!$B393=BP$2,'Atividades Micro'!$G393="Macro",'Atividades Micro'!$K393&lt;&gt;""),'Atividades Micro'!$K393,"")</f>
        <v/>
      </c>
      <c r="BQ341" s="21" t="str">
        <f>IF(AND('Atividades Micro'!$B393=BQ$2,'Atividades Micro'!$G393="Macro",'Atividades Micro'!$K393&lt;&gt;""),'Atividades Micro'!$K393,"")</f>
        <v/>
      </c>
      <c r="BR341" s="21" t="str">
        <f>IF(AND('Atividades Micro'!$B393=BR$2,'Atividades Micro'!$G393="Macro",'Atividades Micro'!$K393&lt;&gt;""),'Atividades Micro'!$K393,"")</f>
        <v/>
      </c>
      <c r="BS341" s="21" t="str">
        <f>IF(AND('Atividades Micro'!$B393=BS$2,'Atividades Micro'!$G393="Macro",'Atividades Micro'!$K393&lt;&gt;""),'Atividades Micro'!$K393,"")</f>
        <v/>
      </c>
      <c r="BT341" s="21" t="str">
        <f>IF(AND('Atividades Micro'!$B393=BT$2,'Atividades Micro'!$G393="Macro",'Atividades Micro'!$K393&lt;&gt;""),'Atividades Micro'!$K393,"")</f>
        <v/>
      </c>
      <c r="BU341" s="21" t="str">
        <f>IF(AND('Atividades Micro'!$B393=BU$2,'Atividades Micro'!$G393="Macro",'Atividades Micro'!$K393&lt;&gt;""),'Atividades Micro'!$K393,"")</f>
        <v/>
      </c>
      <c r="BV341" s="21" t="str">
        <f>IF(AND('Atividades Micro'!$B393=BV$2,'Atividades Micro'!$G393="Macro",'Atividades Micro'!$K393&lt;&gt;""),'Atividades Micro'!$K393,"")</f>
        <v/>
      </c>
      <c r="BW341" s="21" t="str">
        <f>IF(AND('Atividades Micro'!$B393=BW$2,'Atividades Micro'!$G393="Macro",'Atividades Micro'!$K393&lt;&gt;""),'Atividades Micro'!$K393,"")</f>
        <v/>
      </c>
      <c r="BX341" s="21" t="str">
        <f>IF(AND('Atividades Micro'!$B393=BX$2,'Atividades Micro'!$G393="Macro",'Atividades Micro'!$K393&lt;&gt;""),'Atividades Micro'!$K393,"")</f>
        <v/>
      </c>
      <c r="BY341" s="21" t="str">
        <f>IF(AND('Atividades Micro'!$B393=BY$2,'Atividades Micro'!$G393="Macro",'Atividades Micro'!$K393&lt;&gt;""),'Atividades Micro'!$K393,"")</f>
        <v/>
      </c>
      <c r="BZ341" s="21" t="str">
        <f>IF(AND('Atividades Micro'!$B393=BZ$2,'Atividades Micro'!$G393="Macro",'Atividades Micro'!$K393&lt;&gt;""),'Atividades Micro'!$K393,"")</f>
        <v/>
      </c>
      <c r="CA341" s="21" t="str">
        <f>IF(AND('Atividades Micro'!$B393=CA$2,'Atividades Micro'!$G393="Macro",'Atividades Micro'!$K393&lt;&gt;""),'Atividades Micro'!$K393,"")</f>
        <v/>
      </c>
      <c r="CB341" s="21" t="str">
        <f>IF(AND('Atividades Micro'!$B393=CB$2,'Atividades Micro'!$G393="Macro",'Atividades Micro'!$K393&lt;&gt;""),'Atividades Micro'!$K393,"")</f>
        <v/>
      </c>
      <c r="CC341" s="21" t="str">
        <f>IF(AND('Atividades Micro'!$B393=CC$2,'Atividades Micro'!$G393="Macro",'Atividades Micro'!$K393&lt;&gt;""),'Atividades Micro'!$K393,"")</f>
        <v/>
      </c>
      <c r="CD341" s="21" t="str">
        <f>IF(AND('Atividades Micro'!$B393=CD$2,'Atividades Micro'!$G393="Micro",'Atividades Micro'!$K393&lt;&gt;""),'Atividades Micro'!$K393,"")</f>
        <v/>
      </c>
      <c r="CE341" s="21" t="str">
        <f>IF(AND('Atividades Micro'!$B393=CE$2,'Atividades Micro'!$G393="Micro",'Atividades Micro'!$K393&lt;&gt;""),'Atividades Micro'!$K393,"")</f>
        <v/>
      </c>
      <c r="CF341" s="21" t="str">
        <f>IF(AND('Atividades Micro'!$B393=CF$2,'Atividades Micro'!$G393="Micro",'Atividades Micro'!$K393&lt;&gt;""),'Atividades Micro'!$K393,"")</f>
        <v/>
      </c>
      <c r="CG341" s="21" t="str">
        <f>IF(AND('Atividades Micro'!$B393=CG$2,'Atividades Micro'!$G393="Micro",'Atividades Micro'!$K393&lt;&gt;""),'Atividades Micro'!$K393,"")</f>
        <v/>
      </c>
      <c r="CH341" s="21" t="str">
        <f>IF(AND('Atividades Micro'!$B393=CH$2,'Atividades Micro'!$G393="Micro",'Atividades Micro'!$K393&lt;&gt;""),'Atividades Micro'!$K393,"")</f>
        <v/>
      </c>
      <c r="CI341" s="21" t="str">
        <f>IF(AND('Atividades Micro'!$B393=CI$2,'Atividades Micro'!$G393="Micro",'Atividades Micro'!$K393&lt;&gt;""),'Atividades Micro'!$K393,"")</f>
        <v/>
      </c>
      <c r="CJ341" s="21" t="str">
        <f>IF(AND('Atividades Micro'!$B393=CJ$2,'Atividades Micro'!$G393="Micro",'Atividades Micro'!$K393&lt;&gt;""),'Atividades Micro'!$K393,"")</f>
        <v/>
      </c>
      <c r="CK341" s="21" t="str">
        <f>IF(AND('Atividades Micro'!$B393=CK$2,'Atividades Micro'!$G393="Micro",'Atividades Micro'!$K393&lt;&gt;""),'Atividades Micro'!$K393,"")</f>
        <v/>
      </c>
      <c r="CL341" s="21" t="str">
        <f>IF(AND('Atividades Micro'!$B393=CL$2,'Atividades Micro'!$G393="Micro",'Atividades Micro'!$K393&lt;&gt;""),'Atividades Micro'!$K393,"")</f>
        <v/>
      </c>
      <c r="CM341" s="21" t="str">
        <f>IF(AND('Atividades Micro'!$B393=CM$2,'Atividades Micro'!$G393="Micro",'Atividades Micro'!$K393&lt;&gt;""),'Atividades Micro'!$K393,"")</f>
        <v/>
      </c>
      <c r="CN341" s="21" t="str">
        <f>IF(AND('Atividades Micro'!$B393=CN$2,'Atividades Micro'!$G393="Micro",'Atividades Micro'!$K393&lt;&gt;""),'Atividades Micro'!$K393,"")</f>
        <v/>
      </c>
      <c r="CO341" s="21" t="str">
        <f>IF(AND('Atividades Micro'!$B393=CO$2,'Atividades Micro'!$G393="Micro",'Atividades Micro'!$K393&lt;&gt;""),'Atividades Micro'!$K393,"")</f>
        <v/>
      </c>
    </row>
    <row r="342" spans="1:93">
      <c r="A342" s="21" t="str">
        <f>IF(AND('Atividades Micro'!$A394=A$2,'Atividades Micro'!$K394&lt;&gt;""),'Atividades Micro'!$K394,"")</f>
        <v/>
      </c>
      <c r="B342" s="21" t="str">
        <f>IF(AND('Atividades Micro'!$A394=B$2,'Atividades Micro'!$L394&lt;&gt;""),'Atividades Micro'!$L394,"")</f>
        <v/>
      </c>
      <c r="C342" s="21" t="str">
        <f>IF(AND('Atividades Micro'!$A394=C$2,'Atividades Micro'!$K394&lt;&gt;""),'Atividades Micro'!$K394,"")</f>
        <v/>
      </c>
      <c r="D342" s="21" t="str">
        <f>IF(AND('Atividades Micro'!$A394=D$2,'Atividades Micro'!$L394&lt;&gt;""),'Atividades Micro'!$L394,"")</f>
        <v/>
      </c>
      <c r="E342" s="21" t="str">
        <f>IF(AND('Atividades Micro'!$A394=E$2,'Atividades Micro'!$K394&lt;&gt;""),'Atividades Micro'!$K394,"")</f>
        <v/>
      </c>
      <c r="F342" s="21" t="str">
        <f>IF(AND('Atividades Micro'!$A394=F$2,'Atividades Micro'!$L394&lt;&gt;""),'Atividades Micro'!$L394,"")</f>
        <v/>
      </c>
      <c r="G342" s="21" t="str">
        <f>IF(AND('Atividades Micro'!$A394=G$2,'Atividades Micro'!$K394&lt;&gt;""),'Atividades Micro'!$K394,"")</f>
        <v/>
      </c>
      <c r="H342" s="21" t="str">
        <f>IF(AND('Atividades Micro'!$A394=H$2,'Atividades Micro'!$L394&lt;&gt;""),'Atividades Micro'!$L394,"")</f>
        <v/>
      </c>
      <c r="I342" s="21" t="str">
        <f>IF(AND('Atividades Micro'!$A394=I$2,'Atividades Micro'!$K394&lt;&gt;""),'Atividades Micro'!$K394,"")</f>
        <v/>
      </c>
      <c r="J342" s="21" t="str">
        <f>IF(AND('Atividades Micro'!$A394=J$2,'Atividades Micro'!$L394&lt;&gt;""),'Atividades Micro'!$L394,"")</f>
        <v/>
      </c>
      <c r="K342" s="21" t="str">
        <f>IF(AND('Atividades Micro'!$B394=K$2,'Atividades Micro'!$K394&lt;&gt;""),'Atividades Micro'!$K394,"")</f>
        <v/>
      </c>
      <c r="L342" s="21" t="str">
        <f>IF(AND('Atividades Micro'!$B394=L$2,'Atividades Micro'!$L394&lt;&gt;""),'Atividades Micro'!$L394,"")</f>
        <v/>
      </c>
      <c r="M342" s="21" t="str">
        <f>IF(AND('Atividades Micro'!$B394=M$2,'Atividades Micro'!$K394&lt;&gt;""),'Atividades Micro'!$K394,"")</f>
        <v/>
      </c>
      <c r="N342" s="21" t="str">
        <f>IF(AND('Atividades Micro'!$B394=N$2,'Atividades Micro'!$L394&lt;&gt;""),'Atividades Micro'!$L394,"")</f>
        <v/>
      </c>
      <c r="O342" s="21" t="str">
        <f>IF(AND('Atividades Micro'!$A394=O$2,'Atividades Micro'!$K394&lt;&gt;""),'Atividades Micro'!$K394,"")</f>
        <v/>
      </c>
      <c r="P342" s="21" t="str">
        <f>IF(AND('Atividades Micro'!$A394=P$2,'Atividades Micro'!$L394&lt;&gt;""),'Atividades Micro'!$L394,"")</f>
        <v/>
      </c>
      <c r="Q342" s="21" t="str">
        <f>IF(AND('Atividades Micro'!$B394=Q$2,'Atividades Micro'!$K394&lt;&gt;""),'Atividades Micro'!$K394,"")</f>
        <v/>
      </c>
      <c r="R342" s="21" t="str">
        <f>IF(AND('Atividades Micro'!$B394=R$2,'Atividades Micro'!$L394&lt;&gt;""),'Atividades Micro'!$L394,"")</f>
        <v/>
      </c>
      <c r="S342" s="21" t="str">
        <f>IF(AND('Atividades Micro'!$A394=S$2,'Atividades Micro'!$K394&lt;&gt;""),'Atividades Micro'!$K394,"")</f>
        <v/>
      </c>
      <c r="T342" s="21" t="str">
        <f>IF(AND('Atividades Micro'!$A394=T$2,'Atividades Micro'!$L394&lt;&gt;""),'Atividades Micro'!$L394,"")</f>
        <v/>
      </c>
      <c r="U342" s="21" t="str">
        <f>IF(AND('Atividades Micro'!$B394=U$2,'Atividades Micro'!$K394&lt;&gt;""),'Atividades Micro'!$K394,"")</f>
        <v/>
      </c>
      <c r="V342" s="21" t="str">
        <f>IF(AND('Atividades Micro'!$B394=V$2,'Atividades Micro'!$L394&lt;&gt;""),'Atividades Micro'!$L394,"")</f>
        <v/>
      </c>
      <c r="W342" s="21" t="str">
        <f>IF(AND('Atividades Micro'!$B394=W$2,'Atividades Micro'!$K394&lt;&gt;""),'Atividades Micro'!$K394,"")</f>
        <v/>
      </c>
      <c r="X342" s="21" t="str">
        <f>IF(AND('Atividades Micro'!$B394=X$2,'Atividades Micro'!$L394&lt;&gt;""),'Atividades Micro'!$L394,"")</f>
        <v/>
      </c>
      <c r="Y342" s="21" t="str">
        <f>IF(AND('Atividades Micro'!$A394=Y$2,'Atividades Micro'!$K394&lt;&gt;""),'Atividades Micro'!$K394,"")</f>
        <v/>
      </c>
      <c r="Z342" s="21" t="str">
        <f>IF(AND('Atividades Micro'!$A394=Z$2,'Atividades Micro'!$L394&lt;&gt;""),'Atividades Micro'!$L394,"")</f>
        <v/>
      </c>
      <c r="AA342" s="21" t="str">
        <f>IF(AND('Atividades Micro'!$B394=AA$2,'Atividades Micro'!$K394&lt;&gt;""),'Atividades Micro'!$K394,"")</f>
        <v/>
      </c>
      <c r="AB342" s="21" t="str">
        <f>IF(AND('Atividades Micro'!$B394=AB$2,'Atividades Micro'!$L394&lt;&gt;""),'Atividades Micro'!$L394,"")</f>
        <v/>
      </c>
      <c r="AC342" s="21" t="str">
        <f>IF(AND('Atividades Micro'!$B394=AC$2,'Atividades Micro'!$K394&lt;&gt;""),'Atividades Micro'!$K394,"")</f>
        <v/>
      </c>
      <c r="AD342" s="21" t="str">
        <f>IF(AND('Atividades Micro'!$B394=AD$2,'Atividades Micro'!$L394&lt;&gt;""),'Atividades Micro'!$L394,"")</f>
        <v/>
      </c>
      <c r="AE342" s="21" t="str">
        <f>IF(AND('Atividades Micro'!$A394=AE$2,'Atividades Micro'!$K394&lt;&gt;""),'Atividades Micro'!$K394,"")</f>
        <v/>
      </c>
      <c r="AF342" s="21" t="str">
        <f>IF(AND('Atividades Micro'!$A394=AF$2,'Atividades Micro'!$L394&lt;&gt;""),'Atividades Micro'!$L394,"")</f>
        <v/>
      </c>
      <c r="AG342" s="21" t="str">
        <f>IF(AND('Atividades Micro'!$B394=AG$2,'Atividades Micro'!$K394&lt;&gt;""),'Atividades Micro'!$K394,"")</f>
        <v/>
      </c>
      <c r="AH342" s="21" t="str">
        <f>IF(AND('Atividades Micro'!$B394=AH$2,'Atividades Micro'!$L394&lt;&gt;""),'Atividades Micro'!$L394,"")</f>
        <v/>
      </c>
      <c r="AI342" s="21" t="str">
        <f>IF(AND('Atividades Micro'!$B394=AI$2,'Atividades Micro'!$K394&lt;&gt;""),'Atividades Micro'!$K394,"")</f>
        <v/>
      </c>
      <c r="AJ342" s="21" t="str">
        <f>IF(AND('Atividades Micro'!$B394=AJ$2,'Atividades Micro'!$L394&lt;&gt;""),'Atividades Micro'!$L394,"")</f>
        <v/>
      </c>
      <c r="AK342" s="21" t="str">
        <f>IF(AND('Atividades Micro'!$A394=AK$2,'Atividades Micro'!$K394&lt;&gt;""),'Atividades Micro'!$K394,"")</f>
        <v/>
      </c>
      <c r="AL342" s="21" t="str">
        <f>IF(AND('Atividades Micro'!$A394=AL$2,'Atividades Micro'!$L394&lt;&gt;""),'Atividades Micro'!$L394,"")</f>
        <v/>
      </c>
      <c r="AM342" s="21" t="str">
        <f>IF(AND('Atividades Micro'!$B394=AM$2,'Atividades Micro'!$K394&lt;&gt;""),'Atividades Micro'!$K394,"")</f>
        <v/>
      </c>
      <c r="AN342" s="21" t="str">
        <f>IF(AND('Atividades Micro'!$B394=AN$2,'Atividades Micro'!$L394&lt;&gt;""),'Atividades Micro'!$L394,"")</f>
        <v/>
      </c>
      <c r="AO342" s="21" t="str">
        <f>IF(AND('Atividades Micro'!$B394=AO$2,'Atividades Micro'!$K394&lt;&gt;""),'Atividades Micro'!$K394,"")</f>
        <v/>
      </c>
      <c r="AP342" s="21" t="str">
        <f>IF(AND('Atividades Micro'!$B394=AP$2,'Atividades Micro'!$L394&lt;&gt;""),'Atividades Micro'!$L394,"")</f>
        <v/>
      </c>
      <c r="AQ342" s="21" t="str">
        <f>IF(AND('Atividades Micro'!$A394=AQ$2,'Atividades Micro'!$K394&lt;&gt;""),'Atividades Micro'!$K394,"")</f>
        <v/>
      </c>
      <c r="AR342" s="21" t="str">
        <f>IF(AND('Atividades Micro'!$A394=AR$2,'Atividades Micro'!$L394&lt;&gt;""),'Atividades Micro'!$L394,"")</f>
        <v/>
      </c>
      <c r="AS342" s="21" t="str">
        <f>IF(AND('Atividades Micro'!$B394=AS$2,'Atividades Micro'!$K394&lt;&gt;""),'Atividades Micro'!$K394,"")</f>
        <v/>
      </c>
      <c r="AT342" s="21" t="str">
        <f>IF(AND('Atividades Micro'!$B394=AT$2,'Atividades Micro'!$L394&lt;&gt;""),'Atividades Micro'!$L394,"")</f>
        <v/>
      </c>
      <c r="AU342" s="21" t="str">
        <f>IF(AND('Atividades Micro'!$A394=AU$2,'Atividades Micro'!$K394&lt;&gt;""),'Atividades Micro'!$K394,"")</f>
        <v/>
      </c>
      <c r="AV342" s="21" t="str">
        <f>IF(AND('Atividades Micro'!$A394=AV$2,'Atividades Micro'!$L394&lt;&gt;""),'Atividades Micro'!$L394,"")</f>
        <v/>
      </c>
      <c r="AW342" s="21" t="str">
        <f>IF(AND('Atividades Micro'!$B394=AW$2,'Atividades Micro'!$K394&lt;&gt;""),'Atividades Micro'!$K394,"")</f>
        <v/>
      </c>
      <c r="AX342" s="21" t="str">
        <f>IF(AND('Atividades Micro'!$B394=AX$2,'Atividades Micro'!$L394&lt;&gt;""),'Atividades Micro'!$L394,"")</f>
        <v/>
      </c>
      <c r="AY342" s="21" t="str">
        <f>IF(AND('Atividades Micro'!$A394=AY$2,'Atividades Micro'!$K394&lt;&gt;""),'Atividades Micro'!$K394,"")</f>
        <v/>
      </c>
      <c r="AZ342" s="21" t="str">
        <f>IF(AND('Atividades Micro'!$A394=AZ$2,'Atividades Micro'!$L394&lt;&gt;""),'Atividades Micro'!$L394,"")</f>
        <v/>
      </c>
      <c r="BA342" s="21" t="str">
        <f>IF(AND('Atividades Micro'!$B394=BA$2,'Atividades Micro'!$K394&lt;&gt;""),'Atividades Micro'!$K394,"")</f>
        <v/>
      </c>
      <c r="BB342" s="21" t="str">
        <f>IF(AND('Atividades Micro'!$B394=BB$2,'Atividades Micro'!$L394&lt;&gt;""),'Atividades Micro'!$L394,"")</f>
        <v/>
      </c>
      <c r="BC342" s="21" t="str">
        <f>IF(AND('Atividades Micro'!$B394=BC$2,'Atividades Micro'!$G394="Macro",'Atividades Micro'!$K394&lt;&gt;""),'Atividades Micro'!$K394,"")</f>
        <v/>
      </c>
      <c r="BD342" s="21" t="str">
        <f>IF(AND('Atividades Micro'!$B394=BD$2,'Atividades Micro'!$G394="Macro",'Atividades Micro'!$K394&lt;&gt;""),'Atividades Micro'!$K394,"")</f>
        <v/>
      </c>
      <c r="BE342" s="21" t="str">
        <f>IF(AND('Atividades Micro'!$B394=BE$2,'Atividades Micro'!$G394="Macro",'Atividades Micro'!$K394&lt;&gt;""),'Atividades Micro'!$K394,"")</f>
        <v/>
      </c>
      <c r="BF342" s="21" t="str">
        <f>IF(AND('Atividades Micro'!$B394=BF$2,'Atividades Micro'!$G394="Macro",'Atividades Micro'!$K394&lt;&gt;""),'Atividades Micro'!$K394,"")</f>
        <v/>
      </c>
      <c r="BG342" s="21" t="str">
        <f>IF(AND('Atividades Micro'!$B394=BG$2,'Atividades Micro'!$G394="Macro",'Atividades Micro'!$K394&lt;&gt;""),'Atividades Micro'!$K394,"")</f>
        <v/>
      </c>
      <c r="BH342" s="21" t="str">
        <f>IF(AND('Atividades Micro'!$B394=BH$2,'Atividades Micro'!$G394="Macro",'Atividades Micro'!$K394&lt;&gt;""),'Atividades Micro'!$K394,"")</f>
        <v/>
      </c>
      <c r="BI342" s="21" t="str">
        <f>IF(AND('Atividades Micro'!$B394=BI$2,'Atividades Micro'!$G394="Macro",'Atividades Micro'!$K394&lt;&gt;""),'Atividades Micro'!$K394,"")</f>
        <v/>
      </c>
      <c r="BJ342" s="21" t="str">
        <f>IF(AND('Atividades Micro'!$B394=BJ$2,'Atividades Micro'!$G394="Macro",'Atividades Micro'!$K394&lt;&gt;""),'Atividades Micro'!$K394,"")</f>
        <v/>
      </c>
      <c r="BK342" s="21" t="str">
        <f>IF(AND('Atividades Micro'!$B394=BK$2,'Atividades Micro'!$G394="Macro",'Atividades Micro'!$K394&lt;&gt;""),'Atividades Micro'!$K394,"")</f>
        <v/>
      </c>
      <c r="BL342" s="21" t="str">
        <f>IF(AND('Atividades Micro'!$B394=BL$2,'Atividades Micro'!$G394="Macro",'Atividades Micro'!$K394&lt;&gt;""),'Atividades Micro'!$K394,"")</f>
        <v/>
      </c>
      <c r="BM342" s="21" t="str">
        <f>IF(AND('Atividades Micro'!$B394=BM$2,'Atividades Micro'!$G394="Macro",'Atividades Micro'!$K394&lt;&gt;""),'Atividades Micro'!$K394,"")</f>
        <v/>
      </c>
      <c r="BN342" s="21" t="str">
        <f>IF(AND('Atividades Micro'!$B394=BN$2,'Atividades Micro'!$G394="Macro",'Atividades Micro'!$K394&lt;&gt;""),'Atividades Micro'!$K394,"")</f>
        <v/>
      </c>
      <c r="BO342" s="21" t="str">
        <f>IF(AND('Atividades Micro'!$B394=BO$2,'Atividades Micro'!$G394="Macro",'Atividades Micro'!$K394&lt;&gt;""),'Atividades Micro'!$K394,"")</f>
        <v/>
      </c>
      <c r="BP342" s="21" t="str">
        <f>IF(AND('Atividades Micro'!$B394=BP$2,'Atividades Micro'!$G394="Macro",'Atividades Micro'!$K394&lt;&gt;""),'Atividades Micro'!$K394,"")</f>
        <v/>
      </c>
      <c r="BQ342" s="21" t="str">
        <f>IF(AND('Atividades Micro'!$B394=BQ$2,'Atividades Micro'!$G394="Macro",'Atividades Micro'!$K394&lt;&gt;""),'Atividades Micro'!$K394,"")</f>
        <v/>
      </c>
      <c r="BR342" s="21" t="str">
        <f>IF(AND('Atividades Micro'!$B394=BR$2,'Atividades Micro'!$G394="Macro",'Atividades Micro'!$K394&lt;&gt;""),'Atividades Micro'!$K394,"")</f>
        <v/>
      </c>
      <c r="BS342" s="21" t="str">
        <f>IF(AND('Atividades Micro'!$B394=BS$2,'Atividades Micro'!$G394="Macro",'Atividades Micro'!$K394&lt;&gt;""),'Atividades Micro'!$K394,"")</f>
        <v/>
      </c>
      <c r="BT342" s="21" t="str">
        <f>IF(AND('Atividades Micro'!$B394=BT$2,'Atividades Micro'!$G394="Macro",'Atividades Micro'!$K394&lt;&gt;""),'Atividades Micro'!$K394,"")</f>
        <v/>
      </c>
      <c r="BU342" s="21" t="str">
        <f>IF(AND('Atividades Micro'!$B394=BU$2,'Atividades Micro'!$G394="Macro",'Atividades Micro'!$K394&lt;&gt;""),'Atividades Micro'!$K394,"")</f>
        <v/>
      </c>
      <c r="BV342" s="21" t="str">
        <f>IF(AND('Atividades Micro'!$B394=BV$2,'Atividades Micro'!$G394="Macro",'Atividades Micro'!$K394&lt;&gt;""),'Atividades Micro'!$K394,"")</f>
        <v/>
      </c>
      <c r="BW342" s="21" t="str">
        <f>IF(AND('Atividades Micro'!$B394=BW$2,'Atividades Micro'!$G394="Macro",'Atividades Micro'!$K394&lt;&gt;""),'Atividades Micro'!$K394,"")</f>
        <v/>
      </c>
      <c r="BX342" s="21" t="str">
        <f>IF(AND('Atividades Micro'!$B394=BX$2,'Atividades Micro'!$G394="Macro",'Atividades Micro'!$K394&lt;&gt;""),'Atividades Micro'!$K394,"")</f>
        <v/>
      </c>
      <c r="BY342" s="21" t="str">
        <f>IF(AND('Atividades Micro'!$B394=BY$2,'Atividades Micro'!$G394="Macro",'Atividades Micro'!$K394&lt;&gt;""),'Atividades Micro'!$K394,"")</f>
        <v/>
      </c>
      <c r="BZ342" s="21" t="str">
        <f>IF(AND('Atividades Micro'!$B394=BZ$2,'Atividades Micro'!$G394="Macro",'Atividades Micro'!$K394&lt;&gt;""),'Atividades Micro'!$K394,"")</f>
        <v/>
      </c>
      <c r="CA342" s="21" t="str">
        <f>IF(AND('Atividades Micro'!$B394=CA$2,'Atividades Micro'!$G394="Macro",'Atividades Micro'!$K394&lt;&gt;""),'Atividades Micro'!$K394,"")</f>
        <v/>
      </c>
      <c r="CB342" s="21" t="str">
        <f>IF(AND('Atividades Micro'!$B394=CB$2,'Atividades Micro'!$G394="Macro",'Atividades Micro'!$K394&lt;&gt;""),'Atividades Micro'!$K394,"")</f>
        <v/>
      </c>
      <c r="CC342" s="21" t="str">
        <f>IF(AND('Atividades Micro'!$B394=CC$2,'Atividades Micro'!$G394="Macro",'Atividades Micro'!$K394&lt;&gt;""),'Atividades Micro'!$K394,"")</f>
        <v/>
      </c>
      <c r="CD342" s="21" t="str">
        <f>IF(AND('Atividades Micro'!$B394=CD$2,'Atividades Micro'!$G394="Micro",'Atividades Micro'!$K394&lt;&gt;""),'Atividades Micro'!$K394,"")</f>
        <v/>
      </c>
      <c r="CE342" s="21" t="str">
        <f>IF(AND('Atividades Micro'!$B394=CE$2,'Atividades Micro'!$G394="Micro",'Atividades Micro'!$K394&lt;&gt;""),'Atividades Micro'!$K394,"")</f>
        <v/>
      </c>
      <c r="CF342" s="21" t="str">
        <f>IF(AND('Atividades Micro'!$B394=CF$2,'Atividades Micro'!$G394="Micro",'Atividades Micro'!$K394&lt;&gt;""),'Atividades Micro'!$K394,"")</f>
        <v/>
      </c>
      <c r="CG342" s="21" t="str">
        <f>IF(AND('Atividades Micro'!$B394=CG$2,'Atividades Micro'!$G394="Micro",'Atividades Micro'!$K394&lt;&gt;""),'Atividades Micro'!$K394,"")</f>
        <v/>
      </c>
      <c r="CH342" s="21" t="str">
        <f>IF(AND('Atividades Micro'!$B394=CH$2,'Atividades Micro'!$G394="Micro",'Atividades Micro'!$K394&lt;&gt;""),'Atividades Micro'!$K394,"")</f>
        <v/>
      </c>
      <c r="CI342" s="21" t="str">
        <f>IF(AND('Atividades Micro'!$B394=CI$2,'Atividades Micro'!$G394="Micro",'Atividades Micro'!$K394&lt;&gt;""),'Atividades Micro'!$K394,"")</f>
        <v/>
      </c>
      <c r="CJ342" s="21" t="str">
        <f>IF(AND('Atividades Micro'!$B394=CJ$2,'Atividades Micro'!$G394="Micro",'Atividades Micro'!$K394&lt;&gt;""),'Atividades Micro'!$K394,"")</f>
        <v/>
      </c>
      <c r="CK342" s="21" t="str">
        <f>IF(AND('Atividades Micro'!$B394=CK$2,'Atividades Micro'!$G394="Micro",'Atividades Micro'!$K394&lt;&gt;""),'Atividades Micro'!$K394,"")</f>
        <v/>
      </c>
      <c r="CL342" s="21" t="str">
        <f>IF(AND('Atividades Micro'!$B394=CL$2,'Atividades Micro'!$G394="Micro",'Atividades Micro'!$K394&lt;&gt;""),'Atividades Micro'!$K394,"")</f>
        <v/>
      </c>
      <c r="CM342" s="21" t="str">
        <f>IF(AND('Atividades Micro'!$B394=CM$2,'Atividades Micro'!$G394="Micro",'Atividades Micro'!$K394&lt;&gt;""),'Atividades Micro'!$K394,"")</f>
        <v/>
      </c>
      <c r="CN342" s="21" t="str">
        <f>IF(AND('Atividades Micro'!$B394=CN$2,'Atividades Micro'!$G394="Micro",'Atividades Micro'!$K394&lt;&gt;""),'Atividades Micro'!$K394,"")</f>
        <v/>
      </c>
      <c r="CO342" s="21" t="str">
        <f>IF(AND('Atividades Micro'!$B394=CO$2,'Atividades Micro'!$G394="Micro",'Atividades Micro'!$K394&lt;&gt;""),'Atividades Micro'!$K394,"")</f>
        <v/>
      </c>
    </row>
    <row r="343" spans="1:93">
      <c r="A343" s="21" t="str">
        <f>IF(AND('Atividades Micro'!$A395=A$2,'Atividades Micro'!$K395&lt;&gt;""),'Atividades Micro'!$K395,"")</f>
        <v/>
      </c>
      <c r="B343" s="21" t="str">
        <f>IF(AND('Atividades Micro'!$A395=B$2,'Atividades Micro'!$L395&lt;&gt;""),'Atividades Micro'!$L395,"")</f>
        <v/>
      </c>
      <c r="C343" s="21" t="str">
        <f>IF(AND('Atividades Micro'!$A395=C$2,'Atividades Micro'!$K395&lt;&gt;""),'Atividades Micro'!$K395,"")</f>
        <v/>
      </c>
      <c r="D343" s="21" t="str">
        <f>IF(AND('Atividades Micro'!$A395=D$2,'Atividades Micro'!$L395&lt;&gt;""),'Atividades Micro'!$L395,"")</f>
        <v/>
      </c>
      <c r="E343" s="21" t="str">
        <f>IF(AND('Atividades Micro'!$A395=E$2,'Atividades Micro'!$K395&lt;&gt;""),'Atividades Micro'!$K395,"")</f>
        <v/>
      </c>
      <c r="F343" s="21" t="str">
        <f>IF(AND('Atividades Micro'!$A395=F$2,'Atividades Micro'!$L395&lt;&gt;""),'Atividades Micro'!$L395,"")</f>
        <v/>
      </c>
      <c r="G343" s="21" t="str">
        <f>IF(AND('Atividades Micro'!$A395=G$2,'Atividades Micro'!$K395&lt;&gt;""),'Atividades Micro'!$K395,"")</f>
        <v/>
      </c>
      <c r="H343" s="21" t="str">
        <f>IF(AND('Atividades Micro'!$A395=H$2,'Atividades Micro'!$L395&lt;&gt;""),'Atividades Micro'!$L395,"")</f>
        <v/>
      </c>
      <c r="I343" s="21" t="str">
        <f>IF(AND('Atividades Micro'!$A395=I$2,'Atividades Micro'!$K395&lt;&gt;""),'Atividades Micro'!$K395,"")</f>
        <v/>
      </c>
      <c r="J343" s="21" t="str">
        <f>IF(AND('Atividades Micro'!$A395=J$2,'Atividades Micro'!$L395&lt;&gt;""),'Atividades Micro'!$L395,"")</f>
        <v/>
      </c>
      <c r="K343" s="21" t="str">
        <f>IF(AND('Atividades Micro'!$B395=K$2,'Atividades Micro'!$K395&lt;&gt;""),'Atividades Micro'!$K395,"")</f>
        <v/>
      </c>
      <c r="L343" s="21" t="str">
        <f>IF(AND('Atividades Micro'!$B395=L$2,'Atividades Micro'!$L395&lt;&gt;""),'Atividades Micro'!$L395,"")</f>
        <v/>
      </c>
      <c r="M343" s="21" t="str">
        <f>IF(AND('Atividades Micro'!$B395=M$2,'Atividades Micro'!$K395&lt;&gt;""),'Atividades Micro'!$K395,"")</f>
        <v/>
      </c>
      <c r="N343" s="21" t="str">
        <f>IF(AND('Atividades Micro'!$B395=N$2,'Atividades Micro'!$L395&lt;&gt;""),'Atividades Micro'!$L395,"")</f>
        <v/>
      </c>
      <c r="O343" s="21" t="str">
        <f>IF(AND('Atividades Micro'!$A395=O$2,'Atividades Micro'!$K395&lt;&gt;""),'Atividades Micro'!$K395,"")</f>
        <v/>
      </c>
      <c r="P343" s="21" t="str">
        <f>IF(AND('Atividades Micro'!$A395=P$2,'Atividades Micro'!$L395&lt;&gt;""),'Atividades Micro'!$L395,"")</f>
        <v/>
      </c>
      <c r="Q343" s="21" t="str">
        <f>IF(AND('Atividades Micro'!$B395=Q$2,'Atividades Micro'!$K395&lt;&gt;""),'Atividades Micro'!$K395,"")</f>
        <v/>
      </c>
      <c r="R343" s="21" t="str">
        <f>IF(AND('Atividades Micro'!$B395=R$2,'Atividades Micro'!$L395&lt;&gt;""),'Atividades Micro'!$L395,"")</f>
        <v/>
      </c>
      <c r="S343" s="21" t="str">
        <f>IF(AND('Atividades Micro'!$A395=S$2,'Atividades Micro'!$K395&lt;&gt;""),'Atividades Micro'!$K395,"")</f>
        <v/>
      </c>
      <c r="T343" s="21" t="str">
        <f>IF(AND('Atividades Micro'!$A395=T$2,'Atividades Micro'!$L395&lt;&gt;""),'Atividades Micro'!$L395,"")</f>
        <v/>
      </c>
      <c r="U343" s="21" t="str">
        <f>IF(AND('Atividades Micro'!$B395=U$2,'Atividades Micro'!$K395&lt;&gt;""),'Atividades Micro'!$K395,"")</f>
        <v/>
      </c>
      <c r="V343" s="21" t="str">
        <f>IF(AND('Atividades Micro'!$B395=V$2,'Atividades Micro'!$L395&lt;&gt;""),'Atividades Micro'!$L395,"")</f>
        <v/>
      </c>
      <c r="W343" s="21" t="str">
        <f>IF(AND('Atividades Micro'!$B395=W$2,'Atividades Micro'!$K395&lt;&gt;""),'Atividades Micro'!$K395,"")</f>
        <v/>
      </c>
      <c r="X343" s="21" t="str">
        <f>IF(AND('Atividades Micro'!$B395=X$2,'Atividades Micro'!$L395&lt;&gt;""),'Atividades Micro'!$L395,"")</f>
        <v/>
      </c>
      <c r="Y343" s="21" t="str">
        <f>IF(AND('Atividades Micro'!$A395=Y$2,'Atividades Micro'!$K395&lt;&gt;""),'Atividades Micro'!$K395,"")</f>
        <v/>
      </c>
      <c r="Z343" s="21" t="str">
        <f>IF(AND('Atividades Micro'!$A395=Z$2,'Atividades Micro'!$L395&lt;&gt;""),'Atividades Micro'!$L395,"")</f>
        <v/>
      </c>
      <c r="AA343" s="21" t="str">
        <f>IF(AND('Atividades Micro'!$B395=AA$2,'Atividades Micro'!$K395&lt;&gt;""),'Atividades Micro'!$K395,"")</f>
        <v/>
      </c>
      <c r="AB343" s="21" t="str">
        <f>IF(AND('Atividades Micro'!$B395=AB$2,'Atividades Micro'!$L395&lt;&gt;""),'Atividades Micro'!$L395,"")</f>
        <v/>
      </c>
      <c r="AC343" s="21" t="str">
        <f>IF(AND('Atividades Micro'!$B395=AC$2,'Atividades Micro'!$K395&lt;&gt;""),'Atividades Micro'!$K395,"")</f>
        <v/>
      </c>
      <c r="AD343" s="21" t="str">
        <f>IF(AND('Atividades Micro'!$B395=AD$2,'Atividades Micro'!$L395&lt;&gt;""),'Atividades Micro'!$L395,"")</f>
        <v/>
      </c>
      <c r="AE343" s="21" t="str">
        <f>IF(AND('Atividades Micro'!$A395=AE$2,'Atividades Micro'!$K395&lt;&gt;""),'Atividades Micro'!$K395,"")</f>
        <v/>
      </c>
      <c r="AF343" s="21" t="str">
        <f>IF(AND('Atividades Micro'!$A395=AF$2,'Atividades Micro'!$L395&lt;&gt;""),'Atividades Micro'!$L395,"")</f>
        <v/>
      </c>
      <c r="AG343" s="21" t="str">
        <f>IF(AND('Atividades Micro'!$B395=AG$2,'Atividades Micro'!$K395&lt;&gt;""),'Atividades Micro'!$K395,"")</f>
        <v/>
      </c>
      <c r="AH343" s="21" t="str">
        <f>IF(AND('Atividades Micro'!$B395=AH$2,'Atividades Micro'!$L395&lt;&gt;""),'Atividades Micro'!$L395,"")</f>
        <v/>
      </c>
      <c r="AI343" s="21" t="str">
        <f>IF(AND('Atividades Micro'!$B395=AI$2,'Atividades Micro'!$K395&lt;&gt;""),'Atividades Micro'!$K395,"")</f>
        <v/>
      </c>
      <c r="AJ343" s="21" t="str">
        <f>IF(AND('Atividades Micro'!$B395=AJ$2,'Atividades Micro'!$L395&lt;&gt;""),'Atividades Micro'!$L395,"")</f>
        <v/>
      </c>
      <c r="AK343" s="21" t="str">
        <f>IF(AND('Atividades Micro'!$A395=AK$2,'Atividades Micro'!$K395&lt;&gt;""),'Atividades Micro'!$K395,"")</f>
        <v/>
      </c>
      <c r="AL343" s="21" t="str">
        <f>IF(AND('Atividades Micro'!$A395=AL$2,'Atividades Micro'!$L395&lt;&gt;""),'Atividades Micro'!$L395,"")</f>
        <v/>
      </c>
      <c r="AM343" s="21" t="str">
        <f>IF(AND('Atividades Micro'!$B395=AM$2,'Atividades Micro'!$K395&lt;&gt;""),'Atividades Micro'!$K395,"")</f>
        <v/>
      </c>
      <c r="AN343" s="21" t="str">
        <f>IF(AND('Atividades Micro'!$B395=AN$2,'Atividades Micro'!$L395&lt;&gt;""),'Atividades Micro'!$L395,"")</f>
        <v/>
      </c>
      <c r="AO343" s="21" t="str">
        <f>IF(AND('Atividades Micro'!$B395=AO$2,'Atividades Micro'!$K395&lt;&gt;""),'Atividades Micro'!$K395,"")</f>
        <v/>
      </c>
      <c r="AP343" s="21" t="str">
        <f>IF(AND('Atividades Micro'!$B395=AP$2,'Atividades Micro'!$L395&lt;&gt;""),'Atividades Micro'!$L395,"")</f>
        <v/>
      </c>
      <c r="AQ343" s="21" t="str">
        <f>IF(AND('Atividades Micro'!$A395=AQ$2,'Atividades Micro'!$K395&lt;&gt;""),'Atividades Micro'!$K395,"")</f>
        <v/>
      </c>
      <c r="AR343" s="21" t="str">
        <f>IF(AND('Atividades Micro'!$A395=AR$2,'Atividades Micro'!$L395&lt;&gt;""),'Atividades Micro'!$L395,"")</f>
        <v/>
      </c>
      <c r="AS343" s="21" t="str">
        <f>IF(AND('Atividades Micro'!$B395=AS$2,'Atividades Micro'!$K395&lt;&gt;""),'Atividades Micro'!$K395,"")</f>
        <v/>
      </c>
      <c r="AT343" s="21" t="str">
        <f>IF(AND('Atividades Micro'!$B395=AT$2,'Atividades Micro'!$L395&lt;&gt;""),'Atividades Micro'!$L395,"")</f>
        <v/>
      </c>
      <c r="AU343" s="21" t="str">
        <f>IF(AND('Atividades Micro'!$A395=AU$2,'Atividades Micro'!$K395&lt;&gt;""),'Atividades Micro'!$K395,"")</f>
        <v/>
      </c>
      <c r="AV343" s="21" t="str">
        <f>IF(AND('Atividades Micro'!$A395=AV$2,'Atividades Micro'!$L395&lt;&gt;""),'Atividades Micro'!$L395,"")</f>
        <v/>
      </c>
      <c r="AW343" s="21" t="str">
        <f>IF(AND('Atividades Micro'!$B395=AW$2,'Atividades Micro'!$K395&lt;&gt;""),'Atividades Micro'!$K395,"")</f>
        <v/>
      </c>
      <c r="AX343" s="21" t="str">
        <f>IF(AND('Atividades Micro'!$B395=AX$2,'Atividades Micro'!$L395&lt;&gt;""),'Atividades Micro'!$L395,"")</f>
        <v/>
      </c>
      <c r="AY343" s="21" t="str">
        <f>IF(AND('Atividades Micro'!$A395=AY$2,'Atividades Micro'!$K395&lt;&gt;""),'Atividades Micro'!$K395,"")</f>
        <v/>
      </c>
      <c r="AZ343" s="21" t="str">
        <f>IF(AND('Atividades Micro'!$A395=AZ$2,'Atividades Micro'!$L395&lt;&gt;""),'Atividades Micro'!$L395,"")</f>
        <v/>
      </c>
      <c r="BA343" s="21" t="str">
        <f>IF(AND('Atividades Micro'!$B395=BA$2,'Atividades Micro'!$K395&lt;&gt;""),'Atividades Micro'!$K395,"")</f>
        <v/>
      </c>
      <c r="BB343" s="21" t="str">
        <f>IF(AND('Atividades Micro'!$B395=BB$2,'Atividades Micro'!$L395&lt;&gt;""),'Atividades Micro'!$L395,"")</f>
        <v/>
      </c>
      <c r="BC343" s="21" t="str">
        <f>IF(AND('Atividades Micro'!$B395=BC$2,'Atividades Micro'!$G395="Macro",'Atividades Micro'!$K395&lt;&gt;""),'Atividades Micro'!$K395,"")</f>
        <v/>
      </c>
      <c r="BD343" s="21" t="str">
        <f>IF(AND('Atividades Micro'!$B395=BD$2,'Atividades Micro'!$G395="Macro",'Atividades Micro'!$K395&lt;&gt;""),'Atividades Micro'!$K395,"")</f>
        <v/>
      </c>
      <c r="BE343" s="21" t="str">
        <f>IF(AND('Atividades Micro'!$B395=BE$2,'Atividades Micro'!$G395="Macro",'Atividades Micro'!$K395&lt;&gt;""),'Atividades Micro'!$K395,"")</f>
        <v/>
      </c>
      <c r="BF343" s="21" t="str">
        <f>IF(AND('Atividades Micro'!$B395=BF$2,'Atividades Micro'!$G395="Macro",'Atividades Micro'!$K395&lt;&gt;""),'Atividades Micro'!$K395,"")</f>
        <v/>
      </c>
      <c r="BG343" s="21" t="str">
        <f>IF(AND('Atividades Micro'!$B395=BG$2,'Atividades Micro'!$G395="Macro",'Atividades Micro'!$K395&lt;&gt;""),'Atividades Micro'!$K395,"")</f>
        <v/>
      </c>
      <c r="BH343" s="21" t="str">
        <f>IF(AND('Atividades Micro'!$B395=BH$2,'Atividades Micro'!$G395="Macro",'Atividades Micro'!$K395&lt;&gt;""),'Atividades Micro'!$K395,"")</f>
        <v/>
      </c>
      <c r="BI343" s="21" t="str">
        <f>IF(AND('Atividades Micro'!$B395=BI$2,'Atividades Micro'!$G395="Macro",'Atividades Micro'!$K395&lt;&gt;""),'Atividades Micro'!$K395,"")</f>
        <v/>
      </c>
      <c r="BJ343" s="21" t="str">
        <f>IF(AND('Atividades Micro'!$B395=BJ$2,'Atividades Micro'!$G395="Macro",'Atividades Micro'!$K395&lt;&gt;""),'Atividades Micro'!$K395,"")</f>
        <v/>
      </c>
      <c r="BK343" s="21" t="str">
        <f>IF(AND('Atividades Micro'!$B395=BK$2,'Atividades Micro'!$G395="Macro",'Atividades Micro'!$K395&lt;&gt;""),'Atividades Micro'!$K395,"")</f>
        <v/>
      </c>
      <c r="BL343" s="21" t="str">
        <f>IF(AND('Atividades Micro'!$B395=BL$2,'Atividades Micro'!$G395="Macro",'Atividades Micro'!$K395&lt;&gt;""),'Atividades Micro'!$K395,"")</f>
        <v/>
      </c>
      <c r="BM343" s="21" t="str">
        <f>IF(AND('Atividades Micro'!$B395=BM$2,'Atividades Micro'!$G395="Macro",'Atividades Micro'!$K395&lt;&gt;""),'Atividades Micro'!$K395,"")</f>
        <v/>
      </c>
      <c r="BN343" s="21" t="str">
        <f>IF(AND('Atividades Micro'!$B395=BN$2,'Atividades Micro'!$G395="Macro",'Atividades Micro'!$K395&lt;&gt;""),'Atividades Micro'!$K395,"")</f>
        <v/>
      </c>
      <c r="BO343" s="21" t="str">
        <f>IF(AND('Atividades Micro'!$B395=BO$2,'Atividades Micro'!$G395="Macro",'Atividades Micro'!$K395&lt;&gt;""),'Atividades Micro'!$K395,"")</f>
        <v/>
      </c>
      <c r="BP343" s="21" t="str">
        <f>IF(AND('Atividades Micro'!$B395=BP$2,'Atividades Micro'!$G395="Macro",'Atividades Micro'!$K395&lt;&gt;""),'Atividades Micro'!$K395,"")</f>
        <v/>
      </c>
      <c r="BQ343" s="21" t="str">
        <f>IF(AND('Atividades Micro'!$B395=BQ$2,'Atividades Micro'!$G395="Macro",'Atividades Micro'!$K395&lt;&gt;""),'Atividades Micro'!$K395,"")</f>
        <v/>
      </c>
      <c r="BR343" s="21" t="str">
        <f>IF(AND('Atividades Micro'!$B395=BR$2,'Atividades Micro'!$G395="Macro",'Atividades Micro'!$K395&lt;&gt;""),'Atividades Micro'!$K395,"")</f>
        <v/>
      </c>
      <c r="BS343" s="21" t="str">
        <f>IF(AND('Atividades Micro'!$B395=BS$2,'Atividades Micro'!$G395="Macro",'Atividades Micro'!$K395&lt;&gt;""),'Atividades Micro'!$K395,"")</f>
        <v/>
      </c>
      <c r="BT343" s="21" t="str">
        <f>IF(AND('Atividades Micro'!$B395=BT$2,'Atividades Micro'!$G395="Macro",'Atividades Micro'!$K395&lt;&gt;""),'Atividades Micro'!$K395,"")</f>
        <v/>
      </c>
      <c r="BU343" s="21" t="str">
        <f>IF(AND('Atividades Micro'!$B395=BU$2,'Atividades Micro'!$G395="Macro",'Atividades Micro'!$K395&lt;&gt;""),'Atividades Micro'!$K395,"")</f>
        <v/>
      </c>
      <c r="BV343" s="21" t="str">
        <f>IF(AND('Atividades Micro'!$B395=BV$2,'Atividades Micro'!$G395="Macro",'Atividades Micro'!$K395&lt;&gt;""),'Atividades Micro'!$K395,"")</f>
        <v/>
      </c>
      <c r="BW343" s="21" t="str">
        <f>IF(AND('Atividades Micro'!$B395=BW$2,'Atividades Micro'!$G395="Macro",'Atividades Micro'!$K395&lt;&gt;""),'Atividades Micro'!$K395,"")</f>
        <v/>
      </c>
      <c r="BX343" s="21" t="str">
        <f>IF(AND('Atividades Micro'!$B395=BX$2,'Atividades Micro'!$G395="Macro",'Atividades Micro'!$K395&lt;&gt;""),'Atividades Micro'!$K395,"")</f>
        <v/>
      </c>
      <c r="BY343" s="21" t="str">
        <f>IF(AND('Atividades Micro'!$B395=BY$2,'Atividades Micro'!$G395="Macro",'Atividades Micro'!$K395&lt;&gt;""),'Atividades Micro'!$K395,"")</f>
        <v/>
      </c>
      <c r="BZ343" s="21" t="str">
        <f>IF(AND('Atividades Micro'!$B395=BZ$2,'Atividades Micro'!$G395="Macro",'Atividades Micro'!$K395&lt;&gt;""),'Atividades Micro'!$K395,"")</f>
        <v/>
      </c>
      <c r="CA343" s="21" t="str">
        <f>IF(AND('Atividades Micro'!$B395=CA$2,'Atividades Micro'!$G395="Macro",'Atividades Micro'!$K395&lt;&gt;""),'Atividades Micro'!$K395,"")</f>
        <v/>
      </c>
      <c r="CB343" s="21" t="str">
        <f>IF(AND('Atividades Micro'!$B395=CB$2,'Atividades Micro'!$G395="Macro",'Atividades Micro'!$K395&lt;&gt;""),'Atividades Micro'!$K395,"")</f>
        <v/>
      </c>
      <c r="CC343" s="21" t="str">
        <f>IF(AND('Atividades Micro'!$B395=CC$2,'Atividades Micro'!$G395="Macro",'Atividades Micro'!$K395&lt;&gt;""),'Atividades Micro'!$K395,"")</f>
        <v/>
      </c>
      <c r="CD343" s="21" t="str">
        <f>IF(AND('Atividades Micro'!$B395=CD$2,'Atividades Micro'!$G395="Micro",'Atividades Micro'!$K395&lt;&gt;""),'Atividades Micro'!$K395,"")</f>
        <v/>
      </c>
      <c r="CE343" s="21" t="str">
        <f>IF(AND('Atividades Micro'!$B395=CE$2,'Atividades Micro'!$G395="Micro",'Atividades Micro'!$K395&lt;&gt;""),'Atividades Micro'!$K395,"")</f>
        <v/>
      </c>
      <c r="CF343" s="21" t="str">
        <f>IF(AND('Atividades Micro'!$B395=CF$2,'Atividades Micro'!$G395="Micro",'Atividades Micro'!$K395&lt;&gt;""),'Atividades Micro'!$K395,"")</f>
        <v/>
      </c>
      <c r="CG343" s="21" t="str">
        <f>IF(AND('Atividades Micro'!$B395=CG$2,'Atividades Micro'!$G395="Micro",'Atividades Micro'!$K395&lt;&gt;""),'Atividades Micro'!$K395,"")</f>
        <v/>
      </c>
      <c r="CH343" s="21" t="str">
        <f>IF(AND('Atividades Micro'!$B395=CH$2,'Atividades Micro'!$G395="Micro",'Atividades Micro'!$K395&lt;&gt;""),'Atividades Micro'!$K395,"")</f>
        <v/>
      </c>
      <c r="CI343" s="21" t="str">
        <f>IF(AND('Atividades Micro'!$B395=CI$2,'Atividades Micro'!$G395="Micro",'Atividades Micro'!$K395&lt;&gt;""),'Atividades Micro'!$K395,"")</f>
        <v/>
      </c>
      <c r="CJ343" s="21" t="str">
        <f>IF(AND('Atividades Micro'!$B395=CJ$2,'Atividades Micro'!$G395="Micro",'Atividades Micro'!$K395&lt;&gt;""),'Atividades Micro'!$K395,"")</f>
        <v/>
      </c>
      <c r="CK343" s="21" t="str">
        <f>IF(AND('Atividades Micro'!$B395=CK$2,'Atividades Micro'!$G395="Micro",'Atividades Micro'!$K395&lt;&gt;""),'Atividades Micro'!$K395,"")</f>
        <v/>
      </c>
      <c r="CL343" s="21" t="str">
        <f>IF(AND('Atividades Micro'!$B395=CL$2,'Atividades Micro'!$G395="Micro",'Atividades Micro'!$K395&lt;&gt;""),'Atividades Micro'!$K395,"")</f>
        <v/>
      </c>
      <c r="CM343" s="21" t="str">
        <f>IF(AND('Atividades Micro'!$B395=CM$2,'Atividades Micro'!$G395="Micro",'Atividades Micro'!$K395&lt;&gt;""),'Atividades Micro'!$K395,"")</f>
        <v/>
      </c>
      <c r="CN343" s="21" t="str">
        <f>IF(AND('Atividades Micro'!$B395=CN$2,'Atividades Micro'!$G395="Micro",'Atividades Micro'!$K395&lt;&gt;""),'Atividades Micro'!$K395,"")</f>
        <v/>
      </c>
      <c r="CO343" s="21" t="str">
        <f>IF(AND('Atividades Micro'!$B395=CO$2,'Atividades Micro'!$G395="Micro",'Atividades Micro'!$K395&lt;&gt;""),'Atividades Micro'!$K395,"")</f>
        <v/>
      </c>
    </row>
    <row r="344" spans="1:93">
      <c r="A344" s="21" t="str">
        <f>IF(AND('Atividades Micro'!$A396=A$2,'Atividades Micro'!$K396&lt;&gt;""),'Atividades Micro'!$K396,"")</f>
        <v/>
      </c>
      <c r="B344" s="21" t="str">
        <f>IF(AND('Atividades Micro'!$A396=B$2,'Atividades Micro'!$L396&lt;&gt;""),'Atividades Micro'!$L396,"")</f>
        <v/>
      </c>
      <c r="C344" s="21" t="str">
        <f>IF(AND('Atividades Micro'!$A396=C$2,'Atividades Micro'!$K396&lt;&gt;""),'Atividades Micro'!$K396,"")</f>
        <v/>
      </c>
      <c r="D344" s="21" t="str">
        <f>IF(AND('Atividades Micro'!$A396=D$2,'Atividades Micro'!$L396&lt;&gt;""),'Atividades Micro'!$L396,"")</f>
        <v/>
      </c>
      <c r="E344" s="21" t="str">
        <f>IF(AND('Atividades Micro'!$A396=E$2,'Atividades Micro'!$K396&lt;&gt;""),'Atividades Micro'!$K396,"")</f>
        <v/>
      </c>
      <c r="F344" s="21" t="str">
        <f>IF(AND('Atividades Micro'!$A396=F$2,'Atividades Micro'!$L396&lt;&gt;""),'Atividades Micro'!$L396,"")</f>
        <v/>
      </c>
      <c r="G344" s="21" t="str">
        <f>IF(AND('Atividades Micro'!$A396=G$2,'Atividades Micro'!$K396&lt;&gt;""),'Atividades Micro'!$K396,"")</f>
        <v/>
      </c>
      <c r="H344" s="21" t="str">
        <f>IF(AND('Atividades Micro'!$A396=H$2,'Atividades Micro'!$L396&lt;&gt;""),'Atividades Micro'!$L396,"")</f>
        <v/>
      </c>
      <c r="I344" s="21" t="str">
        <f>IF(AND('Atividades Micro'!$A396=I$2,'Atividades Micro'!$K396&lt;&gt;""),'Atividades Micro'!$K396,"")</f>
        <v/>
      </c>
      <c r="J344" s="21" t="str">
        <f>IF(AND('Atividades Micro'!$A396=J$2,'Atividades Micro'!$L396&lt;&gt;""),'Atividades Micro'!$L396,"")</f>
        <v/>
      </c>
      <c r="K344" s="21" t="str">
        <f>IF(AND('Atividades Micro'!$B396=K$2,'Atividades Micro'!$K396&lt;&gt;""),'Atividades Micro'!$K396,"")</f>
        <v/>
      </c>
      <c r="L344" s="21" t="str">
        <f>IF(AND('Atividades Micro'!$B396=L$2,'Atividades Micro'!$L396&lt;&gt;""),'Atividades Micro'!$L396,"")</f>
        <v/>
      </c>
      <c r="M344" s="21" t="str">
        <f>IF(AND('Atividades Micro'!$B396=M$2,'Atividades Micro'!$K396&lt;&gt;""),'Atividades Micro'!$K396,"")</f>
        <v/>
      </c>
      <c r="N344" s="21" t="str">
        <f>IF(AND('Atividades Micro'!$B396=N$2,'Atividades Micro'!$L396&lt;&gt;""),'Atividades Micro'!$L396,"")</f>
        <v/>
      </c>
      <c r="O344" s="21" t="str">
        <f>IF(AND('Atividades Micro'!$A396=O$2,'Atividades Micro'!$K396&lt;&gt;""),'Atividades Micro'!$K396,"")</f>
        <v/>
      </c>
      <c r="P344" s="21" t="str">
        <f>IF(AND('Atividades Micro'!$A396=P$2,'Atividades Micro'!$L396&lt;&gt;""),'Atividades Micro'!$L396,"")</f>
        <v/>
      </c>
      <c r="Q344" s="21" t="str">
        <f>IF(AND('Atividades Micro'!$B396=Q$2,'Atividades Micro'!$K396&lt;&gt;""),'Atividades Micro'!$K396,"")</f>
        <v/>
      </c>
      <c r="R344" s="21" t="str">
        <f>IF(AND('Atividades Micro'!$B396=R$2,'Atividades Micro'!$L396&lt;&gt;""),'Atividades Micro'!$L396,"")</f>
        <v/>
      </c>
      <c r="S344" s="21" t="str">
        <f>IF(AND('Atividades Micro'!$A396=S$2,'Atividades Micro'!$K396&lt;&gt;""),'Atividades Micro'!$K396,"")</f>
        <v/>
      </c>
      <c r="T344" s="21" t="str">
        <f>IF(AND('Atividades Micro'!$A396=T$2,'Atividades Micro'!$L396&lt;&gt;""),'Atividades Micro'!$L396,"")</f>
        <v/>
      </c>
      <c r="U344" s="21" t="str">
        <f>IF(AND('Atividades Micro'!$B396=U$2,'Atividades Micro'!$K396&lt;&gt;""),'Atividades Micro'!$K396,"")</f>
        <v/>
      </c>
      <c r="V344" s="21" t="str">
        <f>IF(AND('Atividades Micro'!$B396=V$2,'Atividades Micro'!$L396&lt;&gt;""),'Atividades Micro'!$L396,"")</f>
        <v/>
      </c>
      <c r="W344" s="21" t="str">
        <f>IF(AND('Atividades Micro'!$B396=W$2,'Atividades Micro'!$K396&lt;&gt;""),'Atividades Micro'!$K396,"")</f>
        <v/>
      </c>
      <c r="X344" s="21" t="str">
        <f>IF(AND('Atividades Micro'!$B396=X$2,'Atividades Micro'!$L396&lt;&gt;""),'Atividades Micro'!$L396,"")</f>
        <v/>
      </c>
      <c r="Y344" s="21" t="str">
        <f>IF(AND('Atividades Micro'!$A396=Y$2,'Atividades Micro'!$K396&lt;&gt;""),'Atividades Micro'!$K396,"")</f>
        <v/>
      </c>
      <c r="Z344" s="21" t="str">
        <f>IF(AND('Atividades Micro'!$A396=Z$2,'Atividades Micro'!$L396&lt;&gt;""),'Atividades Micro'!$L396,"")</f>
        <v/>
      </c>
      <c r="AA344" s="21" t="str">
        <f>IF(AND('Atividades Micro'!$B396=AA$2,'Atividades Micro'!$K396&lt;&gt;""),'Atividades Micro'!$K396,"")</f>
        <v/>
      </c>
      <c r="AB344" s="21" t="str">
        <f>IF(AND('Atividades Micro'!$B396=AB$2,'Atividades Micro'!$L396&lt;&gt;""),'Atividades Micro'!$L396,"")</f>
        <v/>
      </c>
      <c r="AC344" s="21" t="str">
        <f>IF(AND('Atividades Micro'!$B396=AC$2,'Atividades Micro'!$K396&lt;&gt;""),'Atividades Micro'!$K396,"")</f>
        <v/>
      </c>
      <c r="AD344" s="21" t="str">
        <f>IF(AND('Atividades Micro'!$B396=AD$2,'Atividades Micro'!$L396&lt;&gt;""),'Atividades Micro'!$L396,"")</f>
        <v/>
      </c>
      <c r="AE344" s="21" t="str">
        <f>IF(AND('Atividades Micro'!$A396=AE$2,'Atividades Micro'!$K396&lt;&gt;""),'Atividades Micro'!$K396,"")</f>
        <v/>
      </c>
      <c r="AF344" s="21" t="str">
        <f>IF(AND('Atividades Micro'!$A396=AF$2,'Atividades Micro'!$L396&lt;&gt;""),'Atividades Micro'!$L396,"")</f>
        <v/>
      </c>
      <c r="AG344" s="21" t="str">
        <f>IF(AND('Atividades Micro'!$B396=AG$2,'Atividades Micro'!$K396&lt;&gt;""),'Atividades Micro'!$K396,"")</f>
        <v/>
      </c>
      <c r="AH344" s="21" t="str">
        <f>IF(AND('Atividades Micro'!$B396=AH$2,'Atividades Micro'!$L396&lt;&gt;""),'Atividades Micro'!$L396,"")</f>
        <v/>
      </c>
      <c r="AI344" s="21" t="str">
        <f>IF(AND('Atividades Micro'!$B396=AI$2,'Atividades Micro'!$K396&lt;&gt;""),'Atividades Micro'!$K396,"")</f>
        <v/>
      </c>
      <c r="AJ344" s="21" t="str">
        <f>IF(AND('Atividades Micro'!$B396=AJ$2,'Atividades Micro'!$L396&lt;&gt;""),'Atividades Micro'!$L396,"")</f>
        <v/>
      </c>
      <c r="AK344" s="21" t="str">
        <f>IF(AND('Atividades Micro'!$A396=AK$2,'Atividades Micro'!$K396&lt;&gt;""),'Atividades Micro'!$K396,"")</f>
        <v/>
      </c>
      <c r="AL344" s="21" t="str">
        <f>IF(AND('Atividades Micro'!$A396=AL$2,'Atividades Micro'!$L396&lt;&gt;""),'Atividades Micro'!$L396,"")</f>
        <v/>
      </c>
      <c r="AM344" s="21" t="str">
        <f>IF(AND('Atividades Micro'!$B396=AM$2,'Atividades Micro'!$K396&lt;&gt;""),'Atividades Micro'!$K396,"")</f>
        <v/>
      </c>
      <c r="AN344" s="21" t="str">
        <f>IF(AND('Atividades Micro'!$B396=AN$2,'Atividades Micro'!$L396&lt;&gt;""),'Atividades Micro'!$L396,"")</f>
        <v/>
      </c>
      <c r="AO344" s="21" t="str">
        <f>IF(AND('Atividades Micro'!$B396=AO$2,'Atividades Micro'!$K396&lt;&gt;""),'Atividades Micro'!$K396,"")</f>
        <v/>
      </c>
      <c r="AP344" s="21" t="str">
        <f>IF(AND('Atividades Micro'!$B396=AP$2,'Atividades Micro'!$L396&lt;&gt;""),'Atividades Micro'!$L396,"")</f>
        <v/>
      </c>
      <c r="AQ344" s="21" t="str">
        <f>IF(AND('Atividades Micro'!$A396=AQ$2,'Atividades Micro'!$K396&lt;&gt;""),'Atividades Micro'!$K396,"")</f>
        <v/>
      </c>
      <c r="AR344" s="21" t="str">
        <f>IF(AND('Atividades Micro'!$A396=AR$2,'Atividades Micro'!$L396&lt;&gt;""),'Atividades Micro'!$L396,"")</f>
        <v/>
      </c>
      <c r="AS344" s="21" t="str">
        <f>IF(AND('Atividades Micro'!$B396=AS$2,'Atividades Micro'!$K396&lt;&gt;""),'Atividades Micro'!$K396,"")</f>
        <v/>
      </c>
      <c r="AT344" s="21" t="str">
        <f>IF(AND('Atividades Micro'!$B396=AT$2,'Atividades Micro'!$L396&lt;&gt;""),'Atividades Micro'!$L396,"")</f>
        <v/>
      </c>
      <c r="AU344" s="21" t="str">
        <f>IF(AND('Atividades Micro'!$A396=AU$2,'Atividades Micro'!$K396&lt;&gt;""),'Atividades Micro'!$K396,"")</f>
        <v/>
      </c>
      <c r="AV344" s="21" t="str">
        <f>IF(AND('Atividades Micro'!$A396=AV$2,'Atividades Micro'!$L396&lt;&gt;""),'Atividades Micro'!$L396,"")</f>
        <v/>
      </c>
      <c r="AW344" s="21" t="str">
        <f>IF(AND('Atividades Micro'!$B396=AW$2,'Atividades Micro'!$K396&lt;&gt;""),'Atividades Micro'!$K396,"")</f>
        <v/>
      </c>
      <c r="AX344" s="21" t="str">
        <f>IF(AND('Atividades Micro'!$B396=AX$2,'Atividades Micro'!$L396&lt;&gt;""),'Atividades Micro'!$L396,"")</f>
        <v/>
      </c>
      <c r="AY344" s="21" t="str">
        <f>IF(AND('Atividades Micro'!$A396=AY$2,'Atividades Micro'!$K396&lt;&gt;""),'Atividades Micro'!$K396,"")</f>
        <v/>
      </c>
      <c r="AZ344" s="21" t="str">
        <f>IF(AND('Atividades Micro'!$A396=AZ$2,'Atividades Micro'!$L396&lt;&gt;""),'Atividades Micro'!$L396,"")</f>
        <v/>
      </c>
      <c r="BA344" s="21" t="str">
        <f>IF(AND('Atividades Micro'!$B396=BA$2,'Atividades Micro'!$K396&lt;&gt;""),'Atividades Micro'!$K396,"")</f>
        <v/>
      </c>
      <c r="BB344" s="21" t="str">
        <f>IF(AND('Atividades Micro'!$B396=BB$2,'Atividades Micro'!$L396&lt;&gt;""),'Atividades Micro'!$L396,"")</f>
        <v/>
      </c>
      <c r="BC344" s="21" t="str">
        <f>IF(AND('Atividades Micro'!$B396=BC$2,'Atividades Micro'!$G396="Macro",'Atividades Micro'!$K396&lt;&gt;""),'Atividades Micro'!$K396,"")</f>
        <v/>
      </c>
      <c r="BD344" s="21" t="str">
        <f>IF(AND('Atividades Micro'!$B396=BD$2,'Atividades Micro'!$G396="Macro",'Atividades Micro'!$K396&lt;&gt;""),'Atividades Micro'!$K396,"")</f>
        <v/>
      </c>
      <c r="BE344" s="21" t="str">
        <f>IF(AND('Atividades Micro'!$B396=BE$2,'Atividades Micro'!$G396="Macro",'Atividades Micro'!$K396&lt;&gt;""),'Atividades Micro'!$K396,"")</f>
        <v/>
      </c>
      <c r="BF344" s="21" t="str">
        <f>IF(AND('Atividades Micro'!$B396=BF$2,'Atividades Micro'!$G396="Macro",'Atividades Micro'!$K396&lt;&gt;""),'Atividades Micro'!$K396,"")</f>
        <v/>
      </c>
      <c r="BG344" s="21" t="str">
        <f>IF(AND('Atividades Micro'!$B396=BG$2,'Atividades Micro'!$G396="Macro",'Atividades Micro'!$K396&lt;&gt;""),'Atividades Micro'!$K396,"")</f>
        <v/>
      </c>
      <c r="BH344" s="21" t="str">
        <f>IF(AND('Atividades Micro'!$B396=BH$2,'Atividades Micro'!$G396="Macro",'Atividades Micro'!$K396&lt;&gt;""),'Atividades Micro'!$K396,"")</f>
        <v/>
      </c>
      <c r="BI344" s="21" t="str">
        <f>IF(AND('Atividades Micro'!$B396=BI$2,'Atividades Micro'!$G396="Macro",'Atividades Micro'!$K396&lt;&gt;""),'Atividades Micro'!$K396,"")</f>
        <v/>
      </c>
      <c r="BJ344" s="21" t="str">
        <f>IF(AND('Atividades Micro'!$B396=BJ$2,'Atividades Micro'!$G396="Macro",'Atividades Micro'!$K396&lt;&gt;""),'Atividades Micro'!$K396,"")</f>
        <v/>
      </c>
      <c r="BK344" s="21" t="str">
        <f>IF(AND('Atividades Micro'!$B396=BK$2,'Atividades Micro'!$G396="Macro",'Atividades Micro'!$K396&lt;&gt;""),'Atividades Micro'!$K396,"")</f>
        <v/>
      </c>
      <c r="BL344" s="21" t="str">
        <f>IF(AND('Atividades Micro'!$B396=BL$2,'Atividades Micro'!$G396="Macro",'Atividades Micro'!$K396&lt;&gt;""),'Atividades Micro'!$K396,"")</f>
        <v/>
      </c>
      <c r="BM344" s="21" t="str">
        <f>IF(AND('Atividades Micro'!$B396=BM$2,'Atividades Micro'!$G396="Macro",'Atividades Micro'!$K396&lt;&gt;""),'Atividades Micro'!$K396,"")</f>
        <v/>
      </c>
      <c r="BN344" s="21" t="str">
        <f>IF(AND('Atividades Micro'!$B396=BN$2,'Atividades Micro'!$G396="Macro",'Atividades Micro'!$K396&lt;&gt;""),'Atividades Micro'!$K396,"")</f>
        <v/>
      </c>
      <c r="BO344" s="21" t="str">
        <f>IF(AND('Atividades Micro'!$B396=BO$2,'Atividades Micro'!$G396="Macro",'Atividades Micro'!$K396&lt;&gt;""),'Atividades Micro'!$K396,"")</f>
        <v/>
      </c>
      <c r="BP344" s="21" t="str">
        <f>IF(AND('Atividades Micro'!$B396=BP$2,'Atividades Micro'!$G396="Macro",'Atividades Micro'!$K396&lt;&gt;""),'Atividades Micro'!$K396,"")</f>
        <v/>
      </c>
      <c r="BQ344" s="21" t="str">
        <f>IF(AND('Atividades Micro'!$B396=BQ$2,'Atividades Micro'!$G396="Macro",'Atividades Micro'!$K396&lt;&gt;""),'Atividades Micro'!$K396,"")</f>
        <v/>
      </c>
      <c r="BR344" s="21" t="str">
        <f>IF(AND('Atividades Micro'!$B396=BR$2,'Atividades Micro'!$G396="Macro",'Atividades Micro'!$K396&lt;&gt;""),'Atividades Micro'!$K396,"")</f>
        <v/>
      </c>
      <c r="BS344" s="21" t="str">
        <f>IF(AND('Atividades Micro'!$B396=BS$2,'Atividades Micro'!$G396="Macro",'Atividades Micro'!$K396&lt;&gt;""),'Atividades Micro'!$K396,"")</f>
        <v/>
      </c>
      <c r="BT344" s="21" t="str">
        <f>IF(AND('Atividades Micro'!$B396=BT$2,'Atividades Micro'!$G396="Macro",'Atividades Micro'!$K396&lt;&gt;""),'Atividades Micro'!$K396,"")</f>
        <v/>
      </c>
      <c r="BU344" s="21" t="str">
        <f>IF(AND('Atividades Micro'!$B396=BU$2,'Atividades Micro'!$G396="Macro",'Atividades Micro'!$K396&lt;&gt;""),'Atividades Micro'!$K396,"")</f>
        <v/>
      </c>
      <c r="BV344" s="21" t="str">
        <f>IF(AND('Atividades Micro'!$B396=BV$2,'Atividades Micro'!$G396="Macro",'Atividades Micro'!$K396&lt;&gt;""),'Atividades Micro'!$K396,"")</f>
        <v/>
      </c>
      <c r="BW344" s="21" t="str">
        <f>IF(AND('Atividades Micro'!$B396=BW$2,'Atividades Micro'!$G396="Macro",'Atividades Micro'!$K396&lt;&gt;""),'Atividades Micro'!$K396,"")</f>
        <v/>
      </c>
      <c r="BX344" s="21" t="str">
        <f>IF(AND('Atividades Micro'!$B396=BX$2,'Atividades Micro'!$G396="Macro",'Atividades Micro'!$K396&lt;&gt;""),'Atividades Micro'!$K396,"")</f>
        <v/>
      </c>
      <c r="BY344" s="21" t="str">
        <f>IF(AND('Atividades Micro'!$B396=BY$2,'Atividades Micro'!$G396="Macro",'Atividades Micro'!$K396&lt;&gt;""),'Atividades Micro'!$K396,"")</f>
        <v/>
      </c>
      <c r="BZ344" s="21" t="str">
        <f>IF(AND('Atividades Micro'!$B396=BZ$2,'Atividades Micro'!$G396="Macro",'Atividades Micro'!$K396&lt;&gt;""),'Atividades Micro'!$K396,"")</f>
        <v/>
      </c>
      <c r="CA344" s="21" t="str">
        <f>IF(AND('Atividades Micro'!$B396=CA$2,'Atividades Micro'!$G396="Macro",'Atividades Micro'!$K396&lt;&gt;""),'Atividades Micro'!$K396,"")</f>
        <v/>
      </c>
      <c r="CB344" s="21" t="str">
        <f>IF(AND('Atividades Micro'!$B396=CB$2,'Atividades Micro'!$G396="Macro",'Atividades Micro'!$K396&lt;&gt;""),'Atividades Micro'!$K396,"")</f>
        <v/>
      </c>
      <c r="CC344" s="21" t="str">
        <f>IF(AND('Atividades Micro'!$B396=CC$2,'Atividades Micro'!$G396="Macro",'Atividades Micro'!$K396&lt;&gt;""),'Atividades Micro'!$K396,"")</f>
        <v/>
      </c>
      <c r="CD344" s="21" t="str">
        <f>IF(AND('Atividades Micro'!$B396=CD$2,'Atividades Micro'!$G396="Micro",'Atividades Micro'!$K396&lt;&gt;""),'Atividades Micro'!$K396,"")</f>
        <v/>
      </c>
      <c r="CE344" s="21" t="str">
        <f>IF(AND('Atividades Micro'!$B396=CE$2,'Atividades Micro'!$G396="Micro",'Atividades Micro'!$K396&lt;&gt;""),'Atividades Micro'!$K396,"")</f>
        <v/>
      </c>
      <c r="CF344" s="21" t="str">
        <f>IF(AND('Atividades Micro'!$B396=CF$2,'Atividades Micro'!$G396="Micro",'Atividades Micro'!$K396&lt;&gt;""),'Atividades Micro'!$K396,"")</f>
        <v/>
      </c>
      <c r="CG344" s="21" t="str">
        <f>IF(AND('Atividades Micro'!$B396=CG$2,'Atividades Micro'!$G396="Micro",'Atividades Micro'!$K396&lt;&gt;""),'Atividades Micro'!$K396,"")</f>
        <v/>
      </c>
      <c r="CH344" s="21" t="str">
        <f>IF(AND('Atividades Micro'!$B396=CH$2,'Atividades Micro'!$G396="Micro",'Atividades Micro'!$K396&lt;&gt;""),'Atividades Micro'!$K396,"")</f>
        <v/>
      </c>
      <c r="CI344" s="21" t="str">
        <f>IF(AND('Atividades Micro'!$B396=CI$2,'Atividades Micro'!$G396="Micro",'Atividades Micro'!$K396&lt;&gt;""),'Atividades Micro'!$K396,"")</f>
        <v/>
      </c>
      <c r="CJ344" s="21" t="str">
        <f>IF(AND('Atividades Micro'!$B396=CJ$2,'Atividades Micro'!$G396="Micro",'Atividades Micro'!$K396&lt;&gt;""),'Atividades Micro'!$K396,"")</f>
        <v/>
      </c>
      <c r="CK344" s="21" t="str">
        <f>IF(AND('Atividades Micro'!$B396=CK$2,'Atividades Micro'!$G396="Micro",'Atividades Micro'!$K396&lt;&gt;""),'Atividades Micro'!$K396,"")</f>
        <v/>
      </c>
      <c r="CL344" s="21" t="str">
        <f>IF(AND('Atividades Micro'!$B396=CL$2,'Atividades Micro'!$G396="Micro",'Atividades Micro'!$K396&lt;&gt;""),'Atividades Micro'!$K396,"")</f>
        <v/>
      </c>
      <c r="CM344" s="21" t="str">
        <f>IF(AND('Atividades Micro'!$B396=CM$2,'Atividades Micro'!$G396="Micro",'Atividades Micro'!$K396&lt;&gt;""),'Atividades Micro'!$K396,"")</f>
        <v/>
      </c>
      <c r="CN344" s="21" t="str">
        <f>IF(AND('Atividades Micro'!$B396=CN$2,'Atividades Micro'!$G396="Micro",'Atividades Micro'!$K396&lt;&gt;""),'Atividades Micro'!$K396,"")</f>
        <v/>
      </c>
      <c r="CO344" s="21" t="str">
        <f>IF(AND('Atividades Micro'!$B396=CO$2,'Atividades Micro'!$G396="Micro",'Atividades Micro'!$K396&lt;&gt;""),'Atividades Micro'!$K396,"")</f>
        <v/>
      </c>
    </row>
    <row r="345" spans="1:93">
      <c r="A345" s="21" t="str">
        <f>IF(AND('Atividades Micro'!$A397=A$2,'Atividades Micro'!$K397&lt;&gt;""),'Atividades Micro'!$K397,"")</f>
        <v/>
      </c>
      <c r="B345" s="21" t="str">
        <f>IF(AND('Atividades Micro'!$A397=B$2,'Atividades Micro'!$L397&lt;&gt;""),'Atividades Micro'!$L397,"")</f>
        <v/>
      </c>
      <c r="C345" s="21" t="str">
        <f>IF(AND('Atividades Micro'!$A397=C$2,'Atividades Micro'!$K397&lt;&gt;""),'Atividades Micro'!$K397,"")</f>
        <v/>
      </c>
      <c r="D345" s="21" t="str">
        <f>IF(AND('Atividades Micro'!$A397=D$2,'Atividades Micro'!$L397&lt;&gt;""),'Atividades Micro'!$L397,"")</f>
        <v/>
      </c>
      <c r="E345" s="21" t="str">
        <f>IF(AND('Atividades Micro'!$A397=E$2,'Atividades Micro'!$K397&lt;&gt;""),'Atividades Micro'!$K397,"")</f>
        <v/>
      </c>
      <c r="F345" s="21" t="str">
        <f>IF(AND('Atividades Micro'!$A397=F$2,'Atividades Micro'!$L397&lt;&gt;""),'Atividades Micro'!$L397,"")</f>
        <v/>
      </c>
      <c r="G345" s="21" t="str">
        <f>IF(AND('Atividades Micro'!$A397=G$2,'Atividades Micro'!$K397&lt;&gt;""),'Atividades Micro'!$K397,"")</f>
        <v/>
      </c>
      <c r="H345" s="21" t="str">
        <f>IF(AND('Atividades Micro'!$A397=H$2,'Atividades Micro'!$L397&lt;&gt;""),'Atividades Micro'!$L397,"")</f>
        <v/>
      </c>
      <c r="I345" s="21" t="str">
        <f>IF(AND('Atividades Micro'!$A397=I$2,'Atividades Micro'!$K397&lt;&gt;""),'Atividades Micro'!$K397,"")</f>
        <v/>
      </c>
      <c r="J345" s="21" t="str">
        <f>IF(AND('Atividades Micro'!$A397=J$2,'Atividades Micro'!$L397&lt;&gt;""),'Atividades Micro'!$L397,"")</f>
        <v/>
      </c>
      <c r="K345" s="21" t="str">
        <f>IF(AND('Atividades Micro'!$B397=K$2,'Atividades Micro'!$K397&lt;&gt;""),'Atividades Micro'!$K397,"")</f>
        <v/>
      </c>
      <c r="L345" s="21" t="str">
        <f>IF(AND('Atividades Micro'!$B397=L$2,'Atividades Micro'!$L397&lt;&gt;""),'Atividades Micro'!$L397,"")</f>
        <v/>
      </c>
      <c r="M345" s="21" t="str">
        <f>IF(AND('Atividades Micro'!$B397=M$2,'Atividades Micro'!$K397&lt;&gt;""),'Atividades Micro'!$K397,"")</f>
        <v/>
      </c>
      <c r="N345" s="21" t="str">
        <f>IF(AND('Atividades Micro'!$B397=N$2,'Atividades Micro'!$L397&lt;&gt;""),'Atividades Micro'!$L397,"")</f>
        <v/>
      </c>
      <c r="O345" s="21" t="str">
        <f>IF(AND('Atividades Micro'!$A397=O$2,'Atividades Micro'!$K397&lt;&gt;""),'Atividades Micro'!$K397,"")</f>
        <v/>
      </c>
      <c r="P345" s="21" t="str">
        <f>IF(AND('Atividades Micro'!$A397=P$2,'Atividades Micro'!$L397&lt;&gt;""),'Atividades Micro'!$L397,"")</f>
        <v/>
      </c>
      <c r="Q345" s="21" t="str">
        <f>IF(AND('Atividades Micro'!$B397=Q$2,'Atividades Micro'!$K397&lt;&gt;""),'Atividades Micro'!$K397,"")</f>
        <v/>
      </c>
      <c r="R345" s="21" t="str">
        <f>IF(AND('Atividades Micro'!$B397=R$2,'Atividades Micro'!$L397&lt;&gt;""),'Atividades Micro'!$L397,"")</f>
        <v/>
      </c>
      <c r="S345" s="21" t="str">
        <f>IF(AND('Atividades Micro'!$A397=S$2,'Atividades Micro'!$K397&lt;&gt;""),'Atividades Micro'!$K397,"")</f>
        <v/>
      </c>
      <c r="T345" s="21" t="str">
        <f>IF(AND('Atividades Micro'!$A397=T$2,'Atividades Micro'!$L397&lt;&gt;""),'Atividades Micro'!$L397,"")</f>
        <v/>
      </c>
      <c r="U345" s="21" t="str">
        <f>IF(AND('Atividades Micro'!$B397=U$2,'Atividades Micro'!$K397&lt;&gt;""),'Atividades Micro'!$K397,"")</f>
        <v/>
      </c>
      <c r="V345" s="21" t="str">
        <f>IF(AND('Atividades Micro'!$B397=V$2,'Atividades Micro'!$L397&lt;&gt;""),'Atividades Micro'!$L397,"")</f>
        <v/>
      </c>
      <c r="W345" s="21" t="str">
        <f>IF(AND('Atividades Micro'!$B397=W$2,'Atividades Micro'!$K397&lt;&gt;""),'Atividades Micro'!$K397,"")</f>
        <v/>
      </c>
      <c r="X345" s="21" t="str">
        <f>IF(AND('Atividades Micro'!$B397=X$2,'Atividades Micro'!$L397&lt;&gt;""),'Atividades Micro'!$L397,"")</f>
        <v/>
      </c>
      <c r="Y345" s="21" t="str">
        <f>IF(AND('Atividades Micro'!$A397=Y$2,'Atividades Micro'!$K397&lt;&gt;""),'Atividades Micro'!$K397,"")</f>
        <v/>
      </c>
      <c r="Z345" s="21" t="str">
        <f>IF(AND('Atividades Micro'!$A397=Z$2,'Atividades Micro'!$L397&lt;&gt;""),'Atividades Micro'!$L397,"")</f>
        <v/>
      </c>
      <c r="AA345" s="21" t="str">
        <f>IF(AND('Atividades Micro'!$B397=AA$2,'Atividades Micro'!$K397&lt;&gt;""),'Atividades Micro'!$K397,"")</f>
        <v/>
      </c>
      <c r="AB345" s="21" t="str">
        <f>IF(AND('Atividades Micro'!$B397=AB$2,'Atividades Micro'!$L397&lt;&gt;""),'Atividades Micro'!$L397,"")</f>
        <v/>
      </c>
      <c r="AC345" s="21" t="str">
        <f>IF(AND('Atividades Micro'!$B397=AC$2,'Atividades Micro'!$K397&lt;&gt;""),'Atividades Micro'!$K397,"")</f>
        <v/>
      </c>
      <c r="AD345" s="21" t="str">
        <f>IF(AND('Atividades Micro'!$B397=AD$2,'Atividades Micro'!$L397&lt;&gt;""),'Atividades Micro'!$L397,"")</f>
        <v/>
      </c>
      <c r="AE345" s="21" t="str">
        <f>IF(AND('Atividades Micro'!$A397=AE$2,'Atividades Micro'!$K397&lt;&gt;""),'Atividades Micro'!$K397,"")</f>
        <v/>
      </c>
      <c r="AF345" s="21" t="str">
        <f>IF(AND('Atividades Micro'!$A397=AF$2,'Atividades Micro'!$L397&lt;&gt;""),'Atividades Micro'!$L397,"")</f>
        <v/>
      </c>
      <c r="AG345" s="21" t="str">
        <f>IF(AND('Atividades Micro'!$B397=AG$2,'Atividades Micro'!$K397&lt;&gt;""),'Atividades Micro'!$K397,"")</f>
        <v/>
      </c>
      <c r="AH345" s="21" t="str">
        <f>IF(AND('Atividades Micro'!$B397=AH$2,'Atividades Micro'!$L397&lt;&gt;""),'Atividades Micro'!$L397,"")</f>
        <v/>
      </c>
      <c r="AI345" s="21" t="str">
        <f>IF(AND('Atividades Micro'!$B397=AI$2,'Atividades Micro'!$K397&lt;&gt;""),'Atividades Micro'!$K397,"")</f>
        <v/>
      </c>
      <c r="AJ345" s="21" t="str">
        <f>IF(AND('Atividades Micro'!$B397=AJ$2,'Atividades Micro'!$L397&lt;&gt;""),'Atividades Micro'!$L397,"")</f>
        <v/>
      </c>
      <c r="AK345" s="21" t="str">
        <f>IF(AND('Atividades Micro'!$A397=AK$2,'Atividades Micro'!$K397&lt;&gt;""),'Atividades Micro'!$K397,"")</f>
        <v/>
      </c>
      <c r="AL345" s="21" t="str">
        <f>IF(AND('Atividades Micro'!$A397=AL$2,'Atividades Micro'!$L397&lt;&gt;""),'Atividades Micro'!$L397,"")</f>
        <v/>
      </c>
      <c r="AM345" s="21" t="str">
        <f>IF(AND('Atividades Micro'!$B397=AM$2,'Atividades Micro'!$K397&lt;&gt;""),'Atividades Micro'!$K397,"")</f>
        <v/>
      </c>
      <c r="AN345" s="21" t="str">
        <f>IF(AND('Atividades Micro'!$B397=AN$2,'Atividades Micro'!$L397&lt;&gt;""),'Atividades Micro'!$L397,"")</f>
        <v/>
      </c>
      <c r="AO345" s="21" t="str">
        <f>IF(AND('Atividades Micro'!$B397=AO$2,'Atividades Micro'!$K397&lt;&gt;""),'Atividades Micro'!$K397,"")</f>
        <v/>
      </c>
      <c r="AP345" s="21" t="str">
        <f>IF(AND('Atividades Micro'!$B397=AP$2,'Atividades Micro'!$L397&lt;&gt;""),'Atividades Micro'!$L397,"")</f>
        <v/>
      </c>
      <c r="AQ345" s="21" t="str">
        <f>IF(AND('Atividades Micro'!$A397=AQ$2,'Atividades Micro'!$K397&lt;&gt;""),'Atividades Micro'!$K397,"")</f>
        <v/>
      </c>
      <c r="AR345" s="21" t="str">
        <f>IF(AND('Atividades Micro'!$A397=AR$2,'Atividades Micro'!$L397&lt;&gt;""),'Atividades Micro'!$L397,"")</f>
        <v/>
      </c>
      <c r="AS345" s="21" t="str">
        <f>IF(AND('Atividades Micro'!$B397=AS$2,'Atividades Micro'!$K397&lt;&gt;""),'Atividades Micro'!$K397,"")</f>
        <v/>
      </c>
      <c r="AT345" s="21" t="str">
        <f>IF(AND('Atividades Micro'!$B397=AT$2,'Atividades Micro'!$L397&lt;&gt;""),'Atividades Micro'!$L397,"")</f>
        <v/>
      </c>
      <c r="AU345" s="21" t="str">
        <f>IF(AND('Atividades Micro'!$A397=AU$2,'Atividades Micro'!$K397&lt;&gt;""),'Atividades Micro'!$K397,"")</f>
        <v/>
      </c>
      <c r="AV345" s="21" t="str">
        <f>IF(AND('Atividades Micro'!$A397=AV$2,'Atividades Micro'!$L397&lt;&gt;""),'Atividades Micro'!$L397,"")</f>
        <v/>
      </c>
      <c r="AW345" s="21" t="str">
        <f>IF(AND('Atividades Micro'!$B397=AW$2,'Atividades Micro'!$K397&lt;&gt;""),'Atividades Micro'!$K397,"")</f>
        <v/>
      </c>
      <c r="AX345" s="21" t="str">
        <f>IF(AND('Atividades Micro'!$B397=AX$2,'Atividades Micro'!$L397&lt;&gt;""),'Atividades Micro'!$L397,"")</f>
        <v/>
      </c>
      <c r="AY345" s="21" t="str">
        <f>IF(AND('Atividades Micro'!$A397=AY$2,'Atividades Micro'!$K397&lt;&gt;""),'Atividades Micro'!$K397,"")</f>
        <v/>
      </c>
      <c r="AZ345" s="21" t="str">
        <f>IF(AND('Atividades Micro'!$A397=AZ$2,'Atividades Micro'!$L397&lt;&gt;""),'Atividades Micro'!$L397,"")</f>
        <v/>
      </c>
      <c r="BA345" s="21" t="str">
        <f>IF(AND('Atividades Micro'!$B397=BA$2,'Atividades Micro'!$K397&lt;&gt;""),'Atividades Micro'!$K397,"")</f>
        <v/>
      </c>
      <c r="BB345" s="21" t="str">
        <f>IF(AND('Atividades Micro'!$B397=BB$2,'Atividades Micro'!$L397&lt;&gt;""),'Atividades Micro'!$L397,"")</f>
        <v/>
      </c>
      <c r="BC345" s="21" t="str">
        <f>IF(AND('Atividades Micro'!$B397=BC$2,'Atividades Micro'!$G397="Macro",'Atividades Micro'!$K397&lt;&gt;""),'Atividades Micro'!$K397,"")</f>
        <v/>
      </c>
      <c r="BD345" s="21" t="str">
        <f>IF(AND('Atividades Micro'!$B397=BD$2,'Atividades Micro'!$G397="Macro",'Atividades Micro'!$K397&lt;&gt;""),'Atividades Micro'!$K397,"")</f>
        <v/>
      </c>
      <c r="BE345" s="21" t="str">
        <f>IF(AND('Atividades Micro'!$B397=BE$2,'Atividades Micro'!$G397="Macro",'Atividades Micro'!$K397&lt;&gt;""),'Atividades Micro'!$K397,"")</f>
        <v/>
      </c>
      <c r="BF345" s="21" t="str">
        <f>IF(AND('Atividades Micro'!$B397=BF$2,'Atividades Micro'!$G397="Macro",'Atividades Micro'!$K397&lt;&gt;""),'Atividades Micro'!$K397,"")</f>
        <v/>
      </c>
      <c r="BG345" s="21" t="str">
        <f>IF(AND('Atividades Micro'!$B397=BG$2,'Atividades Micro'!$G397="Macro",'Atividades Micro'!$K397&lt;&gt;""),'Atividades Micro'!$K397,"")</f>
        <v/>
      </c>
      <c r="BH345" s="21" t="str">
        <f>IF(AND('Atividades Micro'!$B397=BH$2,'Atividades Micro'!$G397="Macro",'Atividades Micro'!$K397&lt;&gt;""),'Atividades Micro'!$K397,"")</f>
        <v/>
      </c>
      <c r="BI345" s="21" t="str">
        <f>IF(AND('Atividades Micro'!$B397=BI$2,'Atividades Micro'!$G397="Macro",'Atividades Micro'!$K397&lt;&gt;""),'Atividades Micro'!$K397,"")</f>
        <v/>
      </c>
      <c r="BJ345" s="21" t="str">
        <f>IF(AND('Atividades Micro'!$B397=BJ$2,'Atividades Micro'!$G397="Macro",'Atividades Micro'!$K397&lt;&gt;""),'Atividades Micro'!$K397,"")</f>
        <v/>
      </c>
      <c r="BK345" s="21" t="str">
        <f>IF(AND('Atividades Micro'!$B397=BK$2,'Atividades Micro'!$G397="Macro",'Atividades Micro'!$K397&lt;&gt;""),'Atividades Micro'!$K397,"")</f>
        <v/>
      </c>
      <c r="BL345" s="21" t="str">
        <f>IF(AND('Atividades Micro'!$B397=BL$2,'Atividades Micro'!$G397="Macro",'Atividades Micro'!$K397&lt;&gt;""),'Atividades Micro'!$K397,"")</f>
        <v/>
      </c>
      <c r="BM345" s="21" t="str">
        <f>IF(AND('Atividades Micro'!$B397=BM$2,'Atividades Micro'!$G397="Macro",'Atividades Micro'!$K397&lt;&gt;""),'Atividades Micro'!$K397,"")</f>
        <v/>
      </c>
      <c r="BN345" s="21" t="str">
        <f>IF(AND('Atividades Micro'!$B397=BN$2,'Atividades Micro'!$G397="Macro",'Atividades Micro'!$K397&lt;&gt;""),'Atividades Micro'!$K397,"")</f>
        <v/>
      </c>
      <c r="BO345" s="21" t="str">
        <f>IF(AND('Atividades Micro'!$B397=BO$2,'Atividades Micro'!$G397="Macro",'Atividades Micro'!$K397&lt;&gt;""),'Atividades Micro'!$K397,"")</f>
        <v/>
      </c>
      <c r="BP345" s="21" t="str">
        <f>IF(AND('Atividades Micro'!$B397=BP$2,'Atividades Micro'!$G397="Macro",'Atividades Micro'!$K397&lt;&gt;""),'Atividades Micro'!$K397,"")</f>
        <v/>
      </c>
      <c r="BQ345" s="21" t="str">
        <f>IF(AND('Atividades Micro'!$B397=BQ$2,'Atividades Micro'!$G397="Macro",'Atividades Micro'!$K397&lt;&gt;""),'Atividades Micro'!$K397,"")</f>
        <v/>
      </c>
      <c r="BR345" s="21" t="str">
        <f>IF(AND('Atividades Micro'!$B397=BR$2,'Atividades Micro'!$G397="Macro",'Atividades Micro'!$K397&lt;&gt;""),'Atividades Micro'!$K397,"")</f>
        <v/>
      </c>
      <c r="BS345" s="21" t="str">
        <f>IF(AND('Atividades Micro'!$B397=BS$2,'Atividades Micro'!$G397="Macro",'Atividades Micro'!$K397&lt;&gt;""),'Atividades Micro'!$K397,"")</f>
        <v/>
      </c>
      <c r="BT345" s="21" t="str">
        <f>IF(AND('Atividades Micro'!$B397=BT$2,'Atividades Micro'!$G397="Macro",'Atividades Micro'!$K397&lt;&gt;""),'Atividades Micro'!$K397,"")</f>
        <v/>
      </c>
      <c r="BU345" s="21" t="str">
        <f>IF(AND('Atividades Micro'!$B397=BU$2,'Atividades Micro'!$G397="Macro",'Atividades Micro'!$K397&lt;&gt;""),'Atividades Micro'!$K397,"")</f>
        <v/>
      </c>
      <c r="BV345" s="21" t="str">
        <f>IF(AND('Atividades Micro'!$B397=BV$2,'Atividades Micro'!$G397="Macro",'Atividades Micro'!$K397&lt;&gt;""),'Atividades Micro'!$K397,"")</f>
        <v/>
      </c>
      <c r="BW345" s="21" t="str">
        <f>IF(AND('Atividades Micro'!$B397=BW$2,'Atividades Micro'!$G397="Macro",'Atividades Micro'!$K397&lt;&gt;""),'Atividades Micro'!$K397,"")</f>
        <v/>
      </c>
      <c r="BX345" s="21" t="str">
        <f>IF(AND('Atividades Micro'!$B397=BX$2,'Atividades Micro'!$G397="Macro",'Atividades Micro'!$K397&lt;&gt;""),'Atividades Micro'!$K397,"")</f>
        <v/>
      </c>
      <c r="BY345" s="21" t="str">
        <f>IF(AND('Atividades Micro'!$B397=BY$2,'Atividades Micro'!$G397="Macro",'Atividades Micro'!$K397&lt;&gt;""),'Atividades Micro'!$K397,"")</f>
        <v/>
      </c>
      <c r="BZ345" s="21" t="str">
        <f>IF(AND('Atividades Micro'!$B397=BZ$2,'Atividades Micro'!$G397="Macro",'Atividades Micro'!$K397&lt;&gt;""),'Atividades Micro'!$K397,"")</f>
        <v/>
      </c>
      <c r="CA345" s="21" t="str">
        <f>IF(AND('Atividades Micro'!$B397=CA$2,'Atividades Micro'!$G397="Macro",'Atividades Micro'!$K397&lt;&gt;""),'Atividades Micro'!$K397,"")</f>
        <v/>
      </c>
      <c r="CB345" s="21" t="str">
        <f>IF(AND('Atividades Micro'!$B397=CB$2,'Atividades Micro'!$G397="Macro",'Atividades Micro'!$K397&lt;&gt;""),'Atividades Micro'!$K397,"")</f>
        <v/>
      </c>
      <c r="CC345" s="21" t="str">
        <f>IF(AND('Atividades Micro'!$B397=CC$2,'Atividades Micro'!$G397="Macro",'Atividades Micro'!$K397&lt;&gt;""),'Atividades Micro'!$K397,"")</f>
        <v/>
      </c>
      <c r="CD345" s="21" t="str">
        <f>IF(AND('Atividades Micro'!$B397=CD$2,'Atividades Micro'!$G397="Micro",'Atividades Micro'!$K397&lt;&gt;""),'Atividades Micro'!$K397,"")</f>
        <v/>
      </c>
      <c r="CE345" s="21" t="str">
        <f>IF(AND('Atividades Micro'!$B397=CE$2,'Atividades Micro'!$G397="Micro",'Atividades Micro'!$K397&lt;&gt;""),'Atividades Micro'!$K397,"")</f>
        <v/>
      </c>
      <c r="CF345" s="21" t="str">
        <f>IF(AND('Atividades Micro'!$B397=CF$2,'Atividades Micro'!$G397="Micro",'Atividades Micro'!$K397&lt;&gt;""),'Atividades Micro'!$K397,"")</f>
        <v/>
      </c>
      <c r="CG345" s="21" t="str">
        <f>IF(AND('Atividades Micro'!$B397=CG$2,'Atividades Micro'!$G397="Micro",'Atividades Micro'!$K397&lt;&gt;""),'Atividades Micro'!$K397,"")</f>
        <v/>
      </c>
      <c r="CH345" s="21" t="str">
        <f>IF(AND('Atividades Micro'!$B397=CH$2,'Atividades Micro'!$G397="Micro",'Atividades Micro'!$K397&lt;&gt;""),'Atividades Micro'!$K397,"")</f>
        <v/>
      </c>
      <c r="CI345" s="21" t="str">
        <f>IF(AND('Atividades Micro'!$B397=CI$2,'Atividades Micro'!$G397="Micro",'Atividades Micro'!$K397&lt;&gt;""),'Atividades Micro'!$K397,"")</f>
        <v/>
      </c>
      <c r="CJ345" s="21" t="str">
        <f>IF(AND('Atividades Micro'!$B397=CJ$2,'Atividades Micro'!$G397="Micro",'Atividades Micro'!$K397&lt;&gt;""),'Atividades Micro'!$K397,"")</f>
        <v/>
      </c>
      <c r="CK345" s="21" t="str">
        <f>IF(AND('Atividades Micro'!$B397=CK$2,'Atividades Micro'!$G397="Micro",'Atividades Micro'!$K397&lt;&gt;""),'Atividades Micro'!$K397,"")</f>
        <v/>
      </c>
      <c r="CL345" s="21" t="str">
        <f>IF(AND('Atividades Micro'!$B397=CL$2,'Atividades Micro'!$G397="Micro",'Atividades Micro'!$K397&lt;&gt;""),'Atividades Micro'!$K397,"")</f>
        <v/>
      </c>
      <c r="CM345" s="21" t="str">
        <f>IF(AND('Atividades Micro'!$B397=CM$2,'Atividades Micro'!$G397="Micro",'Atividades Micro'!$K397&lt;&gt;""),'Atividades Micro'!$K397,"")</f>
        <v/>
      </c>
      <c r="CN345" s="21" t="str">
        <f>IF(AND('Atividades Micro'!$B397=CN$2,'Atividades Micro'!$G397="Micro",'Atividades Micro'!$K397&lt;&gt;""),'Atividades Micro'!$K397,"")</f>
        <v/>
      </c>
      <c r="CO345" s="21" t="str">
        <f>IF(AND('Atividades Micro'!$B397=CO$2,'Atividades Micro'!$G397="Micro",'Atividades Micro'!$K397&lt;&gt;""),'Atividades Micro'!$K397,"")</f>
        <v/>
      </c>
    </row>
    <row r="346" spans="1:93">
      <c r="A346" s="21" t="str">
        <f>IF(AND('Atividades Micro'!$A398=A$2,'Atividades Micro'!$K398&lt;&gt;""),'Atividades Micro'!$K398,"")</f>
        <v/>
      </c>
      <c r="B346" s="21" t="str">
        <f>IF(AND('Atividades Micro'!$A398=B$2,'Atividades Micro'!$L398&lt;&gt;""),'Atividades Micro'!$L398,"")</f>
        <v/>
      </c>
      <c r="C346" s="21" t="str">
        <f>IF(AND('Atividades Micro'!$A398=C$2,'Atividades Micro'!$K398&lt;&gt;""),'Atividades Micro'!$K398,"")</f>
        <v/>
      </c>
      <c r="D346" s="21" t="str">
        <f>IF(AND('Atividades Micro'!$A398=D$2,'Atividades Micro'!$L398&lt;&gt;""),'Atividades Micro'!$L398,"")</f>
        <v/>
      </c>
      <c r="E346" s="21" t="str">
        <f>IF(AND('Atividades Micro'!$A398=E$2,'Atividades Micro'!$K398&lt;&gt;""),'Atividades Micro'!$K398,"")</f>
        <v/>
      </c>
      <c r="F346" s="21" t="str">
        <f>IF(AND('Atividades Micro'!$A398=F$2,'Atividades Micro'!$L398&lt;&gt;""),'Atividades Micro'!$L398,"")</f>
        <v/>
      </c>
      <c r="G346" s="21" t="str">
        <f>IF(AND('Atividades Micro'!$A398=G$2,'Atividades Micro'!$K398&lt;&gt;""),'Atividades Micro'!$K398,"")</f>
        <v/>
      </c>
      <c r="H346" s="21" t="str">
        <f>IF(AND('Atividades Micro'!$A398=H$2,'Atividades Micro'!$L398&lt;&gt;""),'Atividades Micro'!$L398,"")</f>
        <v/>
      </c>
      <c r="I346" s="21" t="str">
        <f>IF(AND('Atividades Micro'!$A398=I$2,'Atividades Micro'!$K398&lt;&gt;""),'Atividades Micro'!$K398,"")</f>
        <v/>
      </c>
      <c r="J346" s="21" t="str">
        <f>IF(AND('Atividades Micro'!$A398=J$2,'Atividades Micro'!$L398&lt;&gt;""),'Atividades Micro'!$L398,"")</f>
        <v/>
      </c>
      <c r="K346" s="21" t="str">
        <f>IF(AND('Atividades Micro'!$B398=K$2,'Atividades Micro'!$K398&lt;&gt;""),'Atividades Micro'!$K398,"")</f>
        <v/>
      </c>
      <c r="L346" s="21" t="str">
        <f>IF(AND('Atividades Micro'!$B398=L$2,'Atividades Micro'!$L398&lt;&gt;""),'Atividades Micro'!$L398,"")</f>
        <v/>
      </c>
      <c r="M346" s="21" t="str">
        <f>IF(AND('Atividades Micro'!$B398=M$2,'Atividades Micro'!$K398&lt;&gt;""),'Atividades Micro'!$K398,"")</f>
        <v/>
      </c>
      <c r="N346" s="21" t="str">
        <f>IF(AND('Atividades Micro'!$B398=N$2,'Atividades Micro'!$L398&lt;&gt;""),'Atividades Micro'!$L398,"")</f>
        <v/>
      </c>
      <c r="O346" s="21" t="str">
        <f>IF(AND('Atividades Micro'!$A398=O$2,'Atividades Micro'!$K398&lt;&gt;""),'Atividades Micro'!$K398,"")</f>
        <v/>
      </c>
      <c r="P346" s="21" t="str">
        <f>IF(AND('Atividades Micro'!$A398=P$2,'Atividades Micro'!$L398&lt;&gt;""),'Atividades Micro'!$L398,"")</f>
        <v/>
      </c>
      <c r="Q346" s="21" t="str">
        <f>IF(AND('Atividades Micro'!$B398=Q$2,'Atividades Micro'!$K398&lt;&gt;""),'Atividades Micro'!$K398,"")</f>
        <v/>
      </c>
      <c r="R346" s="21" t="str">
        <f>IF(AND('Atividades Micro'!$B398=R$2,'Atividades Micro'!$L398&lt;&gt;""),'Atividades Micro'!$L398,"")</f>
        <v/>
      </c>
      <c r="S346" s="21" t="str">
        <f>IF(AND('Atividades Micro'!$A398=S$2,'Atividades Micro'!$K398&lt;&gt;""),'Atividades Micro'!$K398,"")</f>
        <v/>
      </c>
      <c r="T346" s="21" t="str">
        <f>IF(AND('Atividades Micro'!$A398=T$2,'Atividades Micro'!$L398&lt;&gt;""),'Atividades Micro'!$L398,"")</f>
        <v/>
      </c>
      <c r="U346" s="21" t="str">
        <f>IF(AND('Atividades Micro'!$B398=U$2,'Atividades Micro'!$K398&lt;&gt;""),'Atividades Micro'!$K398,"")</f>
        <v/>
      </c>
      <c r="V346" s="21" t="str">
        <f>IF(AND('Atividades Micro'!$B398=V$2,'Atividades Micro'!$L398&lt;&gt;""),'Atividades Micro'!$L398,"")</f>
        <v/>
      </c>
      <c r="W346" s="21" t="str">
        <f>IF(AND('Atividades Micro'!$B398=W$2,'Atividades Micro'!$K398&lt;&gt;""),'Atividades Micro'!$K398,"")</f>
        <v/>
      </c>
      <c r="X346" s="21" t="str">
        <f>IF(AND('Atividades Micro'!$B398=X$2,'Atividades Micro'!$L398&lt;&gt;""),'Atividades Micro'!$L398,"")</f>
        <v/>
      </c>
      <c r="Y346" s="21" t="str">
        <f>IF(AND('Atividades Micro'!$A398=Y$2,'Atividades Micro'!$K398&lt;&gt;""),'Atividades Micro'!$K398,"")</f>
        <v/>
      </c>
      <c r="Z346" s="21" t="str">
        <f>IF(AND('Atividades Micro'!$A398=Z$2,'Atividades Micro'!$L398&lt;&gt;""),'Atividades Micro'!$L398,"")</f>
        <v/>
      </c>
      <c r="AA346" s="21" t="str">
        <f>IF(AND('Atividades Micro'!$B398=AA$2,'Atividades Micro'!$K398&lt;&gt;""),'Atividades Micro'!$K398,"")</f>
        <v/>
      </c>
      <c r="AB346" s="21" t="str">
        <f>IF(AND('Atividades Micro'!$B398=AB$2,'Atividades Micro'!$L398&lt;&gt;""),'Atividades Micro'!$L398,"")</f>
        <v/>
      </c>
      <c r="AC346" s="21" t="str">
        <f>IF(AND('Atividades Micro'!$B398=AC$2,'Atividades Micro'!$K398&lt;&gt;""),'Atividades Micro'!$K398,"")</f>
        <v/>
      </c>
      <c r="AD346" s="21" t="str">
        <f>IF(AND('Atividades Micro'!$B398=AD$2,'Atividades Micro'!$L398&lt;&gt;""),'Atividades Micro'!$L398,"")</f>
        <v/>
      </c>
      <c r="AE346" s="21" t="str">
        <f>IF(AND('Atividades Micro'!$A398=AE$2,'Atividades Micro'!$K398&lt;&gt;""),'Atividades Micro'!$K398,"")</f>
        <v/>
      </c>
      <c r="AF346" s="21" t="str">
        <f>IF(AND('Atividades Micro'!$A398=AF$2,'Atividades Micro'!$L398&lt;&gt;""),'Atividades Micro'!$L398,"")</f>
        <v/>
      </c>
      <c r="AG346" s="21" t="str">
        <f>IF(AND('Atividades Micro'!$B398=AG$2,'Atividades Micro'!$K398&lt;&gt;""),'Atividades Micro'!$K398,"")</f>
        <v/>
      </c>
      <c r="AH346" s="21" t="str">
        <f>IF(AND('Atividades Micro'!$B398=AH$2,'Atividades Micro'!$L398&lt;&gt;""),'Atividades Micro'!$L398,"")</f>
        <v/>
      </c>
      <c r="AI346" s="21" t="str">
        <f>IF(AND('Atividades Micro'!$B398=AI$2,'Atividades Micro'!$K398&lt;&gt;""),'Atividades Micro'!$K398,"")</f>
        <v/>
      </c>
      <c r="AJ346" s="21" t="str">
        <f>IF(AND('Atividades Micro'!$B398=AJ$2,'Atividades Micro'!$L398&lt;&gt;""),'Atividades Micro'!$L398,"")</f>
        <v/>
      </c>
      <c r="AK346" s="21" t="str">
        <f>IF(AND('Atividades Micro'!$A398=AK$2,'Atividades Micro'!$K398&lt;&gt;""),'Atividades Micro'!$K398,"")</f>
        <v/>
      </c>
      <c r="AL346" s="21" t="str">
        <f>IF(AND('Atividades Micro'!$A398=AL$2,'Atividades Micro'!$L398&lt;&gt;""),'Atividades Micro'!$L398,"")</f>
        <v/>
      </c>
      <c r="AM346" s="21" t="str">
        <f>IF(AND('Atividades Micro'!$B398=AM$2,'Atividades Micro'!$K398&lt;&gt;""),'Atividades Micro'!$K398,"")</f>
        <v/>
      </c>
      <c r="AN346" s="21" t="str">
        <f>IF(AND('Atividades Micro'!$B398=AN$2,'Atividades Micro'!$L398&lt;&gt;""),'Atividades Micro'!$L398,"")</f>
        <v/>
      </c>
      <c r="AO346" s="21" t="str">
        <f>IF(AND('Atividades Micro'!$B398=AO$2,'Atividades Micro'!$K398&lt;&gt;""),'Atividades Micro'!$K398,"")</f>
        <v/>
      </c>
      <c r="AP346" s="21" t="str">
        <f>IF(AND('Atividades Micro'!$B398=AP$2,'Atividades Micro'!$L398&lt;&gt;""),'Atividades Micro'!$L398,"")</f>
        <v/>
      </c>
      <c r="AQ346" s="21" t="str">
        <f>IF(AND('Atividades Micro'!$A398=AQ$2,'Atividades Micro'!$K398&lt;&gt;""),'Atividades Micro'!$K398,"")</f>
        <v/>
      </c>
      <c r="AR346" s="21" t="str">
        <f>IF(AND('Atividades Micro'!$A398=AR$2,'Atividades Micro'!$L398&lt;&gt;""),'Atividades Micro'!$L398,"")</f>
        <v/>
      </c>
      <c r="AS346" s="21" t="str">
        <f>IF(AND('Atividades Micro'!$B398=AS$2,'Atividades Micro'!$K398&lt;&gt;""),'Atividades Micro'!$K398,"")</f>
        <v/>
      </c>
      <c r="AT346" s="21" t="str">
        <f>IF(AND('Atividades Micro'!$B398=AT$2,'Atividades Micro'!$L398&lt;&gt;""),'Atividades Micro'!$L398,"")</f>
        <v/>
      </c>
      <c r="AU346" s="21" t="str">
        <f>IF(AND('Atividades Micro'!$A398=AU$2,'Atividades Micro'!$K398&lt;&gt;""),'Atividades Micro'!$K398,"")</f>
        <v/>
      </c>
      <c r="AV346" s="21" t="str">
        <f>IF(AND('Atividades Micro'!$A398=AV$2,'Atividades Micro'!$L398&lt;&gt;""),'Atividades Micro'!$L398,"")</f>
        <v/>
      </c>
      <c r="AW346" s="21" t="str">
        <f>IF(AND('Atividades Micro'!$B398=AW$2,'Atividades Micro'!$K398&lt;&gt;""),'Atividades Micro'!$K398,"")</f>
        <v/>
      </c>
      <c r="AX346" s="21" t="str">
        <f>IF(AND('Atividades Micro'!$B398=AX$2,'Atividades Micro'!$L398&lt;&gt;""),'Atividades Micro'!$L398,"")</f>
        <v/>
      </c>
      <c r="AY346" s="21" t="str">
        <f>IF(AND('Atividades Micro'!$A398=AY$2,'Atividades Micro'!$K398&lt;&gt;""),'Atividades Micro'!$K398,"")</f>
        <v/>
      </c>
      <c r="AZ346" s="21" t="str">
        <f>IF(AND('Atividades Micro'!$A398=AZ$2,'Atividades Micro'!$L398&lt;&gt;""),'Atividades Micro'!$L398,"")</f>
        <v/>
      </c>
      <c r="BA346" s="21" t="str">
        <f>IF(AND('Atividades Micro'!$B398=BA$2,'Atividades Micro'!$K398&lt;&gt;""),'Atividades Micro'!$K398,"")</f>
        <v/>
      </c>
      <c r="BB346" s="21" t="str">
        <f>IF(AND('Atividades Micro'!$B398=BB$2,'Atividades Micro'!$L398&lt;&gt;""),'Atividades Micro'!$L398,"")</f>
        <v/>
      </c>
      <c r="BC346" s="21" t="str">
        <f>IF(AND('Atividades Micro'!$B398=BC$2,'Atividades Micro'!$G398="Macro",'Atividades Micro'!$K398&lt;&gt;""),'Atividades Micro'!$K398,"")</f>
        <v/>
      </c>
      <c r="BD346" s="21" t="str">
        <f>IF(AND('Atividades Micro'!$B398=BD$2,'Atividades Micro'!$G398="Macro",'Atividades Micro'!$K398&lt;&gt;""),'Atividades Micro'!$K398,"")</f>
        <v/>
      </c>
      <c r="BE346" s="21" t="str">
        <f>IF(AND('Atividades Micro'!$B398=BE$2,'Atividades Micro'!$G398="Macro",'Atividades Micro'!$K398&lt;&gt;""),'Atividades Micro'!$K398,"")</f>
        <v/>
      </c>
      <c r="BF346" s="21" t="str">
        <f>IF(AND('Atividades Micro'!$B398=BF$2,'Atividades Micro'!$G398="Macro",'Atividades Micro'!$K398&lt;&gt;""),'Atividades Micro'!$K398,"")</f>
        <v/>
      </c>
      <c r="BG346" s="21" t="str">
        <f>IF(AND('Atividades Micro'!$B398=BG$2,'Atividades Micro'!$G398="Macro",'Atividades Micro'!$K398&lt;&gt;""),'Atividades Micro'!$K398,"")</f>
        <v/>
      </c>
      <c r="BH346" s="21" t="str">
        <f>IF(AND('Atividades Micro'!$B398=BH$2,'Atividades Micro'!$G398="Macro",'Atividades Micro'!$K398&lt;&gt;""),'Atividades Micro'!$K398,"")</f>
        <v/>
      </c>
      <c r="BI346" s="21" t="str">
        <f>IF(AND('Atividades Micro'!$B398=BI$2,'Atividades Micro'!$G398="Macro",'Atividades Micro'!$K398&lt;&gt;""),'Atividades Micro'!$K398,"")</f>
        <v/>
      </c>
      <c r="BJ346" s="21" t="str">
        <f>IF(AND('Atividades Micro'!$B398=BJ$2,'Atividades Micro'!$G398="Macro",'Atividades Micro'!$K398&lt;&gt;""),'Atividades Micro'!$K398,"")</f>
        <v/>
      </c>
      <c r="BK346" s="21" t="str">
        <f>IF(AND('Atividades Micro'!$B398=BK$2,'Atividades Micro'!$G398="Macro",'Atividades Micro'!$K398&lt;&gt;""),'Atividades Micro'!$K398,"")</f>
        <v/>
      </c>
      <c r="BL346" s="21" t="str">
        <f>IF(AND('Atividades Micro'!$B398=BL$2,'Atividades Micro'!$G398="Macro",'Atividades Micro'!$K398&lt;&gt;""),'Atividades Micro'!$K398,"")</f>
        <v/>
      </c>
      <c r="BM346" s="21" t="str">
        <f>IF(AND('Atividades Micro'!$B398=BM$2,'Atividades Micro'!$G398="Macro",'Atividades Micro'!$K398&lt;&gt;""),'Atividades Micro'!$K398,"")</f>
        <v/>
      </c>
      <c r="BN346" s="21" t="str">
        <f>IF(AND('Atividades Micro'!$B398=BN$2,'Atividades Micro'!$G398="Macro",'Atividades Micro'!$K398&lt;&gt;""),'Atividades Micro'!$K398,"")</f>
        <v/>
      </c>
      <c r="BO346" s="21" t="str">
        <f>IF(AND('Atividades Micro'!$B398=BO$2,'Atividades Micro'!$G398="Macro",'Atividades Micro'!$K398&lt;&gt;""),'Atividades Micro'!$K398,"")</f>
        <v/>
      </c>
      <c r="BP346" s="21" t="str">
        <f>IF(AND('Atividades Micro'!$B398=BP$2,'Atividades Micro'!$G398="Macro",'Atividades Micro'!$K398&lt;&gt;""),'Atividades Micro'!$K398,"")</f>
        <v/>
      </c>
      <c r="BQ346" s="21" t="str">
        <f>IF(AND('Atividades Micro'!$B398=BQ$2,'Atividades Micro'!$G398="Macro",'Atividades Micro'!$K398&lt;&gt;""),'Atividades Micro'!$K398,"")</f>
        <v/>
      </c>
      <c r="BR346" s="21" t="str">
        <f>IF(AND('Atividades Micro'!$B398=BR$2,'Atividades Micro'!$G398="Macro",'Atividades Micro'!$K398&lt;&gt;""),'Atividades Micro'!$K398,"")</f>
        <v/>
      </c>
      <c r="BS346" s="21" t="str">
        <f>IF(AND('Atividades Micro'!$B398=BS$2,'Atividades Micro'!$G398="Macro",'Atividades Micro'!$K398&lt;&gt;""),'Atividades Micro'!$K398,"")</f>
        <v/>
      </c>
      <c r="BT346" s="21" t="str">
        <f>IF(AND('Atividades Micro'!$B398=BT$2,'Atividades Micro'!$G398="Macro",'Atividades Micro'!$K398&lt;&gt;""),'Atividades Micro'!$K398,"")</f>
        <v/>
      </c>
      <c r="BU346" s="21" t="str">
        <f>IF(AND('Atividades Micro'!$B398=BU$2,'Atividades Micro'!$G398="Macro",'Atividades Micro'!$K398&lt;&gt;""),'Atividades Micro'!$K398,"")</f>
        <v/>
      </c>
      <c r="BV346" s="21" t="str">
        <f>IF(AND('Atividades Micro'!$B398=BV$2,'Atividades Micro'!$G398="Macro",'Atividades Micro'!$K398&lt;&gt;""),'Atividades Micro'!$K398,"")</f>
        <v/>
      </c>
      <c r="BW346" s="21" t="str">
        <f>IF(AND('Atividades Micro'!$B398=BW$2,'Atividades Micro'!$G398="Macro",'Atividades Micro'!$K398&lt;&gt;""),'Atividades Micro'!$K398,"")</f>
        <v/>
      </c>
      <c r="BX346" s="21" t="str">
        <f>IF(AND('Atividades Micro'!$B398=BX$2,'Atividades Micro'!$G398="Macro",'Atividades Micro'!$K398&lt;&gt;""),'Atividades Micro'!$K398,"")</f>
        <v/>
      </c>
      <c r="BY346" s="21" t="str">
        <f>IF(AND('Atividades Micro'!$B398=BY$2,'Atividades Micro'!$G398="Macro",'Atividades Micro'!$K398&lt;&gt;""),'Atividades Micro'!$K398,"")</f>
        <v/>
      </c>
      <c r="BZ346" s="21" t="str">
        <f>IF(AND('Atividades Micro'!$B398=BZ$2,'Atividades Micro'!$G398="Macro",'Atividades Micro'!$K398&lt;&gt;""),'Atividades Micro'!$K398,"")</f>
        <v/>
      </c>
      <c r="CA346" s="21" t="str">
        <f>IF(AND('Atividades Micro'!$B398=CA$2,'Atividades Micro'!$G398="Macro",'Atividades Micro'!$K398&lt;&gt;""),'Atividades Micro'!$K398,"")</f>
        <v/>
      </c>
      <c r="CB346" s="21" t="str">
        <f>IF(AND('Atividades Micro'!$B398=CB$2,'Atividades Micro'!$G398="Macro",'Atividades Micro'!$K398&lt;&gt;""),'Atividades Micro'!$K398,"")</f>
        <v/>
      </c>
      <c r="CC346" s="21" t="str">
        <f>IF(AND('Atividades Micro'!$B398=CC$2,'Atividades Micro'!$G398="Macro",'Atividades Micro'!$K398&lt;&gt;""),'Atividades Micro'!$K398,"")</f>
        <v/>
      </c>
      <c r="CD346" s="21" t="str">
        <f>IF(AND('Atividades Micro'!$B398=CD$2,'Atividades Micro'!$G398="Micro",'Atividades Micro'!$K398&lt;&gt;""),'Atividades Micro'!$K398,"")</f>
        <v/>
      </c>
      <c r="CE346" s="21" t="str">
        <f>IF(AND('Atividades Micro'!$B398=CE$2,'Atividades Micro'!$G398="Micro",'Atividades Micro'!$K398&lt;&gt;""),'Atividades Micro'!$K398,"")</f>
        <v/>
      </c>
      <c r="CF346" s="21" t="str">
        <f>IF(AND('Atividades Micro'!$B398=CF$2,'Atividades Micro'!$G398="Micro",'Atividades Micro'!$K398&lt;&gt;""),'Atividades Micro'!$K398,"")</f>
        <v/>
      </c>
      <c r="CG346" s="21" t="str">
        <f>IF(AND('Atividades Micro'!$B398=CG$2,'Atividades Micro'!$G398="Micro",'Atividades Micro'!$K398&lt;&gt;""),'Atividades Micro'!$K398,"")</f>
        <v/>
      </c>
      <c r="CH346" s="21" t="str">
        <f>IF(AND('Atividades Micro'!$B398=CH$2,'Atividades Micro'!$G398="Micro",'Atividades Micro'!$K398&lt;&gt;""),'Atividades Micro'!$K398,"")</f>
        <v/>
      </c>
      <c r="CI346" s="21" t="str">
        <f>IF(AND('Atividades Micro'!$B398=CI$2,'Atividades Micro'!$G398="Micro",'Atividades Micro'!$K398&lt;&gt;""),'Atividades Micro'!$K398,"")</f>
        <v/>
      </c>
      <c r="CJ346" s="21" t="str">
        <f>IF(AND('Atividades Micro'!$B398=CJ$2,'Atividades Micro'!$G398="Micro",'Atividades Micro'!$K398&lt;&gt;""),'Atividades Micro'!$K398,"")</f>
        <v/>
      </c>
      <c r="CK346" s="21" t="str">
        <f>IF(AND('Atividades Micro'!$B398=CK$2,'Atividades Micro'!$G398="Micro",'Atividades Micro'!$K398&lt;&gt;""),'Atividades Micro'!$K398,"")</f>
        <v/>
      </c>
      <c r="CL346" s="21" t="str">
        <f>IF(AND('Atividades Micro'!$B398=CL$2,'Atividades Micro'!$G398="Micro",'Atividades Micro'!$K398&lt;&gt;""),'Atividades Micro'!$K398,"")</f>
        <v/>
      </c>
      <c r="CM346" s="21" t="str">
        <f>IF(AND('Atividades Micro'!$B398=CM$2,'Atividades Micro'!$G398="Micro",'Atividades Micro'!$K398&lt;&gt;""),'Atividades Micro'!$K398,"")</f>
        <v/>
      </c>
      <c r="CN346" s="21" t="str">
        <f>IF(AND('Atividades Micro'!$B398=CN$2,'Atividades Micro'!$G398="Micro",'Atividades Micro'!$K398&lt;&gt;""),'Atividades Micro'!$K398,"")</f>
        <v/>
      </c>
      <c r="CO346" s="21" t="str">
        <f>IF(AND('Atividades Micro'!$B398=CO$2,'Atividades Micro'!$G398="Micro",'Atividades Micro'!$K398&lt;&gt;""),'Atividades Micro'!$K398,"")</f>
        <v/>
      </c>
    </row>
    <row r="347" spans="1:93">
      <c r="A347" s="21" t="str">
        <f>IF(AND('Atividades Micro'!$A399=A$2,'Atividades Micro'!$K399&lt;&gt;""),'Atividades Micro'!$K399,"")</f>
        <v/>
      </c>
      <c r="B347" s="21" t="str">
        <f>IF(AND('Atividades Micro'!$A399=B$2,'Atividades Micro'!$L399&lt;&gt;""),'Atividades Micro'!$L399,"")</f>
        <v/>
      </c>
      <c r="C347" s="21" t="str">
        <f>IF(AND('Atividades Micro'!$A399=C$2,'Atividades Micro'!$K399&lt;&gt;""),'Atividades Micro'!$K399,"")</f>
        <v/>
      </c>
      <c r="D347" s="21" t="str">
        <f>IF(AND('Atividades Micro'!$A399=D$2,'Atividades Micro'!$L399&lt;&gt;""),'Atividades Micro'!$L399,"")</f>
        <v/>
      </c>
      <c r="E347" s="21" t="str">
        <f>IF(AND('Atividades Micro'!$A399=E$2,'Atividades Micro'!$K399&lt;&gt;""),'Atividades Micro'!$K399,"")</f>
        <v/>
      </c>
      <c r="F347" s="21" t="str">
        <f>IF(AND('Atividades Micro'!$A399=F$2,'Atividades Micro'!$L399&lt;&gt;""),'Atividades Micro'!$L399,"")</f>
        <v/>
      </c>
      <c r="G347" s="21" t="str">
        <f>IF(AND('Atividades Micro'!$A399=G$2,'Atividades Micro'!$K399&lt;&gt;""),'Atividades Micro'!$K399,"")</f>
        <v/>
      </c>
      <c r="H347" s="21" t="str">
        <f>IF(AND('Atividades Micro'!$A399=H$2,'Atividades Micro'!$L399&lt;&gt;""),'Atividades Micro'!$L399,"")</f>
        <v/>
      </c>
      <c r="I347" s="21" t="str">
        <f>IF(AND('Atividades Micro'!$A399=I$2,'Atividades Micro'!$K399&lt;&gt;""),'Atividades Micro'!$K399,"")</f>
        <v/>
      </c>
      <c r="J347" s="21" t="str">
        <f>IF(AND('Atividades Micro'!$A399=J$2,'Atividades Micro'!$L399&lt;&gt;""),'Atividades Micro'!$L399,"")</f>
        <v/>
      </c>
      <c r="K347" s="21" t="str">
        <f>IF(AND('Atividades Micro'!$B399=K$2,'Atividades Micro'!$K399&lt;&gt;""),'Atividades Micro'!$K399,"")</f>
        <v/>
      </c>
      <c r="L347" s="21" t="str">
        <f>IF(AND('Atividades Micro'!$B399=L$2,'Atividades Micro'!$L399&lt;&gt;""),'Atividades Micro'!$L399,"")</f>
        <v/>
      </c>
      <c r="M347" s="21" t="str">
        <f>IF(AND('Atividades Micro'!$B399=M$2,'Atividades Micro'!$K399&lt;&gt;""),'Atividades Micro'!$K399,"")</f>
        <v/>
      </c>
      <c r="N347" s="21" t="str">
        <f>IF(AND('Atividades Micro'!$B399=N$2,'Atividades Micro'!$L399&lt;&gt;""),'Atividades Micro'!$L399,"")</f>
        <v/>
      </c>
      <c r="O347" s="21" t="str">
        <f>IF(AND('Atividades Micro'!$A399=O$2,'Atividades Micro'!$K399&lt;&gt;""),'Atividades Micro'!$K399,"")</f>
        <v/>
      </c>
      <c r="P347" s="21" t="str">
        <f>IF(AND('Atividades Micro'!$A399=P$2,'Atividades Micro'!$L399&lt;&gt;""),'Atividades Micro'!$L399,"")</f>
        <v/>
      </c>
      <c r="Q347" s="21" t="str">
        <f>IF(AND('Atividades Micro'!$B399=Q$2,'Atividades Micro'!$K399&lt;&gt;""),'Atividades Micro'!$K399,"")</f>
        <v/>
      </c>
      <c r="R347" s="21" t="str">
        <f>IF(AND('Atividades Micro'!$B399=R$2,'Atividades Micro'!$L399&lt;&gt;""),'Atividades Micro'!$L399,"")</f>
        <v/>
      </c>
      <c r="S347" s="21" t="str">
        <f>IF(AND('Atividades Micro'!$A399=S$2,'Atividades Micro'!$K399&lt;&gt;""),'Atividades Micro'!$K399,"")</f>
        <v/>
      </c>
      <c r="T347" s="21" t="str">
        <f>IF(AND('Atividades Micro'!$A399=T$2,'Atividades Micro'!$L399&lt;&gt;""),'Atividades Micro'!$L399,"")</f>
        <v/>
      </c>
      <c r="U347" s="21" t="str">
        <f>IF(AND('Atividades Micro'!$B399=U$2,'Atividades Micro'!$K399&lt;&gt;""),'Atividades Micro'!$K399,"")</f>
        <v/>
      </c>
      <c r="V347" s="21" t="str">
        <f>IF(AND('Atividades Micro'!$B399=V$2,'Atividades Micro'!$L399&lt;&gt;""),'Atividades Micro'!$L399,"")</f>
        <v/>
      </c>
      <c r="W347" s="21" t="str">
        <f>IF(AND('Atividades Micro'!$B399=W$2,'Atividades Micro'!$K399&lt;&gt;""),'Atividades Micro'!$K399,"")</f>
        <v/>
      </c>
      <c r="X347" s="21" t="str">
        <f>IF(AND('Atividades Micro'!$B399=X$2,'Atividades Micro'!$L399&lt;&gt;""),'Atividades Micro'!$L399,"")</f>
        <v/>
      </c>
      <c r="Y347" s="21" t="str">
        <f>IF(AND('Atividades Micro'!$A399=Y$2,'Atividades Micro'!$K399&lt;&gt;""),'Atividades Micro'!$K399,"")</f>
        <v/>
      </c>
      <c r="Z347" s="21" t="str">
        <f>IF(AND('Atividades Micro'!$A399=Z$2,'Atividades Micro'!$L399&lt;&gt;""),'Atividades Micro'!$L399,"")</f>
        <v/>
      </c>
      <c r="AA347" s="21" t="str">
        <f>IF(AND('Atividades Micro'!$B399=AA$2,'Atividades Micro'!$K399&lt;&gt;""),'Atividades Micro'!$K399,"")</f>
        <v/>
      </c>
      <c r="AB347" s="21" t="str">
        <f>IF(AND('Atividades Micro'!$B399=AB$2,'Atividades Micro'!$L399&lt;&gt;""),'Atividades Micro'!$L399,"")</f>
        <v/>
      </c>
      <c r="AC347" s="21" t="str">
        <f>IF(AND('Atividades Micro'!$B399=AC$2,'Atividades Micro'!$K399&lt;&gt;""),'Atividades Micro'!$K399,"")</f>
        <v/>
      </c>
      <c r="AD347" s="21" t="str">
        <f>IF(AND('Atividades Micro'!$B399=AD$2,'Atividades Micro'!$L399&lt;&gt;""),'Atividades Micro'!$L399,"")</f>
        <v/>
      </c>
      <c r="AE347" s="21" t="str">
        <f>IF(AND('Atividades Micro'!$A399=AE$2,'Atividades Micro'!$K399&lt;&gt;""),'Atividades Micro'!$K399,"")</f>
        <v/>
      </c>
      <c r="AF347" s="21" t="str">
        <f>IF(AND('Atividades Micro'!$A399=AF$2,'Atividades Micro'!$L399&lt;&gt;""),'Atividades Micro'!$L399,"")</f>
        <v/>
      </c>
      <c r="AG347" s="21" t="str">
        <f>IF(AND('Atividades Micro'!$B399=AG$2,'Atividades Micro'!$K399&lt;&gt;""),'Atividades Micro'!$K399,"")</f>
        <v/>
      </c>
      <c r="AH347" s="21" t="str">
        <f>IF(AND('Atividades Micro'!$B399=AH$2,'Atividades Micro'!$L399&lt;&gt;""),'Atividades Micro'!$L399,"")</f>
        <v/>
      </c>
      <c r="AI347" s="21" t="str">
        <f>IF(AND('Atividades Micro'!$B399=AI$2,'Atividades Micro'!$K399&lt;&gt;""),'Atividades Micro'!$K399,"")</f>
        <v/>
      </c>
      <c r="AJ347" s="21" t="str">
        <f>IF(AND('Atividades Micro'!$B399=AJ$2,'Atividades Micro'!$L399&lt;&gt;""),'Atividades Micro'!$L399,"")</f>
        <v/>
      </c>
      <c r="AK347" s="21" t="str">
        <f>IF(AND('Atividades Micro'!$A399=AK$2,'Atividades Micro'!$K399&lt;&gt;""),'Atividades Micro'!$K399,"")</f>
        <v/>
      </c>
      <c r="AL347" s="21" t="str">
        <f>IF(AND('Atividades Micro'!$A399=AL$2,'Atividades Micro'!$L399&lt;&gt;""),'Atividades Micro'!$L399,"")</f>
        <v/>
      </c>
      <c r="AM347" s="21" t="str">
        <f>IF(AND('Atividades Micro'!$B399=AM$2,'Atividades Micro'!$K399&lt;&gt;""),'Atividades Micro'!$K399,"")</f>
        <v/>
      </c>
      <c r="AN347" s="21" t="str">
        <f>IF(AND('Atividades Micro'!$B399=AN$2,'Atividades Micro'!$L399&lt;&gt;""),'Atividades Micro'!$L399,"")</f>
        <v/>
      </c>
      <c r="AO347" s="21" t="str">
        <f>IF(AND('Atividades Micro'!$B399=AO$2,'Atividades Micro'!$K399&lt;&gt;""),'Atividades Micro'!$K399,"")</f>
        <v/>
      </c>
      <c r="AP347" s="21" t="str">
        <f>IF(AND('Atividades Micro'!$B399=AP$2,'Atividades Micro'!$L399&lt;&gt;""),'Atividades Micro'!$L399,"")</f>
        <v/>
      </c>
      <c r="AQ347" s="21" t="str">
        <f>IF(AND('Atividades Micro'!$A399=AQ$2,'Atividades Micro'!$K399&lt;&gt;""),'Atividades Micro'!$K399,"")</f>
        <v/>
      </c>
      <c r="AR347" s="21" t="str">
        <f>IF(AND('Atividades Micro'!$A399=AR$2,'Atividades Micro'!$L399&lt;&gt;""),'Atividades Micro'!$L399,"")</f>
        <v/>
      </c>
      <c r="AS347" s="21" t="str">
        <f>IF(AND('Atividades Micro'!$B399=AS$2,'Atividades Micro'!$K399&lt;&gt;""),'Atividades Micro'!$K399,"")</f>
        <v/>
      </c>
      <c r="AT347" s="21" t="str">
        <f>IF(AND('Atividades Micro'!$B399=AT$2,'Atividades Micro'!$L399&lt;&gt;""),'Atividades Micro'!$L399,"")</f>
        <v/>
      </c>
      <c r="AU347" s="21" t="str">
        <f>IF(AND('Atividades Micro'!$A399=AU$2,'Atividades Micro'!$K399&lt;&gt;""),'Atividades Micro'!$K399,"")</f>
        <v/>
      </c>
      <c r="AV347" s="21" t="str">
        <f>IF(AND('Atividades Micro'!$A399=AV$2,'Atividades Micro'!$L399&lt;&gt;""),'Atividades Micro'!$L399,"")</f>
        <v/>
      </c>
      <c r="AW347" s="21" t="str">
        <f>IF(AND('Atividades Micro'!$B399=AW$2,'Atividades Micro'!$K399&lt;&gt;""),'Atividades Micro'!$K399,"")</f>
        <v/>
      </c>
      <c r="AX347" s="21" t="str">
        <f>IF(AND('Atividades Micro'!$B399=AX$2,'Atividades Micro'!$L399&lt;&gt;""),'Atividades Micro'!$L399,"")</f>
        <v/>
      </c>
      <c r="AY347" s="21" t="str">
        <f>IF(AND('Atividades Micro'!$A399=AY$2,'Atividades Micro'!$K399&lt;&gt;""),'Atividades Micro'!$K399,"")</f>
        <v/>
      </c>
      <c r="AZ347" s="21" t="str">
        <f>IF(AND('Atividades Micro'!$A399=AZ$2,'Atividades Micro'!$L399&lt;&gt;""),'Atividades Micro'!$L399,"")</f>
        <v/>
      </c>
      <c r="BA347" s="21" t="str">
        <f>IF(AND('Atividades Micro'!$B399=BA$2,'Atividades Micro'!$K399&lt;&gt;""),'Atividades Micro'!$K399,"")</f>
        <v/>
      </c>
      <c r="BB347" s="21" t="str">
        <f>IF(AND('Atividades Micro'!$B399=BB$2,'Atividades Micro'!$L399&lt;&gt;""),'Atividades Micro'!$L399,"")</f>
        <v/>
      </c>
      <c r="BC347" s="21" t="str">
        <f>IF(AND('Atividades Micro'!$B399=BC$2,'Atividades Micro'!$G399="Macro",'Atividades Micro'!$K399&lt;&gt;""),'Atividades Micro'!$K399,"")</f>
        <v/>
      </c>
      <c r="BD347" s="21" t="str">
        <f>IF(AND('Atividades Micro'!$B399=BD$2,'Atividades Micro'!$G399="Macro",'Atividades Micro'!$K399&lt;&gt;""),'Atividades Micro'!$K399,"")</f>
        <v/>
      </c>
      <c r="BE347" s="21" t="str">
        <f>IF(AND('Atividades Micro'!$B399=BE$2,'Atividades Micro'!$G399="Macro",'Atividades Micro'!$K399&lt;&gt;""),'Atividades Micro'!$K399,"")</f>
        <v/>
      </c>
      <c r="BF347" s="21" t="str">
        <f>IF(AND('Atividades Micro'!$B399=BF$2,'Atividades Micro'!$G399="Macro",'Atividades Micro'!$K399&lt;&gt;""),'Atividades Micro'!$K399,"")</f>
        <v/>
      </c>
      <c r="BG347" s="21" t="str">
        <f>IF(AND('Atividades Micro'!$B399=BG$2,'Atividades Micro'!$G399="Macro",'Atividades Micro'!$K399&lt;&gt;""),'Atividades Micro'!$K399,"")</f>
        <v/>
      </c>
      <c r="BH347" s="21" t="str">
        <f>IF(AND('Atividades Micro'!$B399=BH$2,'Atividades Micro'!$G399="Macro",'Atividades Micro'!$K399&lt;&gt;""),'Atividades Micro'!$K399,"")</f>
        <v/>
      </c>
      <c r="BI347" s="21" t="str">
        <f>IF(AND('Atividades Micro'!$B399=BI$2,'Atividades Micro'!$G399="Macro",'Atividades Micro'!$K399&lt;&gt;""),'Atividades Micro'!$K399,"")</f>
        <v/>
      </c>
      <c r="BJ347" s="21" t="str">
        <f>IF(AND('Atividades Micro'!$B399=BJ$2,'Atividades Micro'!$G399="Macro",'Atividades Micro'!$K399&lt;&gt;""),'Atividades Micro'!$K399,"")</f>
        <v/>
      </c>
      <c r="BK347" s="21" t="str">
        <f>IF(AND('Atividades Micro'!$B399=BK$2,'Atividades Micro'!$G399="Macro",'Atividades Micro'!$K399&lt;&gt;""),'Atividades Micro'!$K399,"")</f>
        <v/>
      </c>
      <c r="BL347" s="21" t="str">
        <f>IF(AND('Atividades Micro'!$B399=BL$2,'Atividades Micro'!$G399="Macro",'Atividades Micro'!$K399&lt;&gt;""),'Atividades Micro'!$K399,"")</f>
        <v/>
      </c>
      <c r="BM347" s="21" t="str">
        <f>IF(AND('Atividades Micro'!$B399=BM$2,'Atividades Micro'!$G399="Macro",'Atividades Micro'!$K399&lt;&gt;""),'Atividades Micro'!$K399,"")</f>
        <v/>
      </c>
      <c r="BN347" s="21" t="str">
        <f>IF(AND('Atividades Micro'!$B399=BN$2,'Atividades Micro'!$G399="Macro",'Atividades Micro'!$K399&lt;&gt;""),'Atividades Micro'!$K399,"")</f>
        <v/>
      </c>
      <c r="BO347" s="21" t="str">
        <f>IF(AND('Atividades Micro'!$B399=BO$2,'Atividades Micro'!$G399="Macro",'Atividades Micro'!$K399&lt;&gt;""),'Atividades Micro'!$K399,"")</f>
        <v/>
      </c>
      <c r="BP347" s="21" t="str">
        <f>IF(AND('Atividades Micro'!$B399=BP$2,'Atividades Micro'!$G399="Macro",'Atividades Micro'!$K399&lt;&gt;""),'Atividades Micro'!$K399,"")</f>
        <v/>
      </c>
      <c r="BQ347" s="21" t="str">
        <f>IF(AND('Atividades Micro'!$B399=BQ$2,'Atividades Micro'!$G399="Macro",'Atividades Micro'!$K399&lt;&gt;""),'Atividades Micro'!$K399,"")</f>
        <v/>
      </c>
      <c r="BR347" s="21" t="str">
        <f>IF(AND('Atividades Micro'!$B399=BR$2,'Atividades Micro'!$G399="Macro",'Atividades Micro'!$K399&lt;&gt;""),'Atividades Micro'!$K399,"")</f>
        <v/>
      </c>
      <c r="BS347" s="21" t="str">
        <f>IF(AND('Atividades Micro'!$B399=BS$2,'Atividades Micro'!$G399="Macro",'Atividades Micro'!$K399&lt;&gt;""),'Atividades Micro'!$K399,"")</f>
        <v/>
      </c>
      <c r="BT347" s="21" t="str">
        <f>IF(AND('Atividades Micro'!$B399=BT$2,'Atividades Micro'!$G399="Macro",'Atividades Micro'!$K399&lt;&gt;""),'Atividades Micro'!$K399,"")</f>
        <v/>
      </c>
      <c r="BU347" s="21" t="str">
        <f>IF(AND('Atividades Micro'!$B399=BU$2,'Atividades Micro'!$G399="Macro",'Atividades Micro'!$K399&lt;&gt;""),'Atividades Micro'!$K399,"")</f>
        <v/>
      </c>
      <c r="BV347" s="21" t="str">
        <f>IF(AND('Atividades Micro'!$B399=BV$2,'Atividades Micro'!$G399="Macro",'Atividades Micro'!$K399&lt;&gt;""),'Atividades Micro'!$K399,"")</f>
        <v/>
      </c>
      <c r="BW347" s="21" t="str">
        <f>IF(AND('Atividades Micro'!$B399=BW$2,'Atividades Micro'!$G399="Macro",'Atividades Micro'!$K399&lt;&gt;""),'Atividades Micro'!$K399,"")</f>
        <v/>
      </c>
      <c r="BX347" s="21" t="str">
        <f>IF(AND('Atividades Micro'!$B399=BX$2,'Atividades Micro'!$G399="Macro",'Atividades Micro'!$K399&lt;&gt;""),'Atividades Micro'!$K399,"")</f>
        <v/>
      </c>
      <c r="BY347" s="21" t="str">
        <f>IF(AND('Atividades Micro'!$B399=BY$2,'Atividades Micro'!$G399="Macro",'Atividades Micro'!$K399&lt;&gt;""),'Atividades Micro'!$K399,"")</f>
        <v/>
      </c>
      <c r="BZ347" s="21" t="str">
        <f>IF(AND('Atividades Micro'!$B399=BZ$2,'Atividades Micro'!$G399="Macro",'Atividades Micro'!$K399&lt;&gt;""),'Atividades Micro'!$K399,"")</f>
        <v/>
      </c>
      <c r="CA347" s="21" t="str">
        <f>IF(AND('Atividades Micro'!$B399=CA$2,'Atividades Micro'!$G399="Macro",'Atividades Micro'!$K399&lt;&gt;""),'Atividades Micro'!$K399,"")</f>
        <v/>
      </c>
      <c r="CB347" s="21" t="str">
        <f>IF(AND('Atividades Micro'!$B399=CB$2,'Atividades Micro'!$G399="Macro",'Atividades Micro'!$K399&lt;&gt;""),'Atividades Micro'!$K399,"")</f>
        <v/>
      </c>
      <c r="CC347" s="21" t="str">
        <f>IF(AND('Atividades Micro'!$B399=CC$2,'Atividades Micro'!$G399="Macro",'Atividades Micro'!$K399&lt;&gt;""),'Atividades Micro'!$K399,"")</f>
        <v/>
      </c>
      <c r="CD347" s="21" t="str">
        <f>IF(AND('Atividades Micro'!$B399=CD$2,'Atividades Micro'!$G399="Micro",'Atividades Micro'!$K399&lt;&gt;""),'Atividades Micro'!$K399,"")</f>
        <v/>
      </c>
      <c r="CE347" s="21" t="str">
        <f>IF(AND('Atividades Micro'!$B399=CE$2,'Atividades Micro'!$G399="Micro",'Atividades Micro'!$K399&lt;&gt;""),'Atividades Micro'!$K399,"")</f>
        <v/>
      </c>
      <c r="CF347" s="21" t="str">
        <f>IF(AND('Atividades Micro'!$B399=CF$2,'Atividades Micro'!$G399="Micro",'Atividades Micro'!$K399&lt;&gt;""),'Atividades Micro'!$K399,"")</f>
        <v/>
      </c>
      <c r="CG347" s="21" t="str">
        <f>IF(AND('Atividades Micro'!$B399=CG$2,'Atividades Micro'!$G399="Micro",'Atividades Micro'!$K399&lt;&gt;""),'Atividades Micro'!$K399,"")</f>
        <v/>
      </c>
      <c r="CH347" s="21" t="str">
        <f>IF(AND('Atividades Micro'!$B399=CH$2,'Atividades Micro'!$G399="Micro",'Atividades Micro'!$K399&lt;&gt;""),'Atividades Micro'!$K399,"")</f>
        <v/>
      </c>
      <c r="CI347" s="21" t="str">
        <f>IF(AND('Atividades Micro'!$B399=CI$2,'Atividades Micro'!$G399="Micro",'Atividades Micro'!$K399&lt;&gt;""),'Atividades Micro'!$K399,"")</f>
        <v/>
      </c>
      <c r="CJ347" s="21" t="str">
        <f>IF(AND('Atividades Micro'!$B399=CJ$2,'Atividades Micro'!$G399="Micro",'Atividades Micro'!$K399&lt;&gt;""),'Atividades Micro'!$K399,"")</f>
        <v/>
      </c>
      <c r="CK347" s="21" t="str">
        <f>IF(AND('Atividades Micro'!$B399=CK$2,'Atividades Micro'!$G399="Micro",'Atividades Micro'!$K399&lt;&gt;""),'Atividades Micro'!$K399,"")</f>
        <v/>
      </c>
      <c r="CL347" s="21" t="str">
        <f>IF(AND('Atividades Micro'!$B399=CL$2,'Atividades Micro'!$G399="Micro",'Atividades Micro'!$K399&lt;&gt;""),'Atividades Micro'!$K399,"")</f>
        <v/>
      </c>
      <c r="CM347" s="21" t="str">
        <f>IF(AND('Atividades Micro'!$B399=CM$2,'Atividades Micro'!$G399="Micro",'Atividades Micro'!$K399&lt;&gt;""),'Atividades Micro'!$K399,"")</f>
        <v/>
      </c>
      <c r="CN347" s="21" t="str">
        <f>IF(AND('Atividades Micro'!$B399=CN$2,'Atividades Micro'!$G399="Micro",'Atividades Micro'!$K399&lt;&gt;""),'Atividades Micro'!$K399,"")</f>
        <v/>
      </c>
      <c r="CO347" s="21" t="str">
        <f>IF(AND('Atividades Micro'!$B399=CO$2,'Atividades Micro'!$G399="Micro",'Atividades Micro'!$K399&lt;&gt;""),'Atividades Micro'!$K399,"")</f>
        <v/>
      </c>
    </row>
    <row r="348" spans="1:93">
      <c r="A348" s="21" t="str">
        <f>IF(AND('Atividades Micro'!$A400=A$2,'Atividades Micro'!$K400&lt;&gt;""),'Atividades Micro'!$K400,"")</f>
        <v/>
      </c>
      <c r="B348" s="21" t="str">
        <f>IF(AND('Atividades Micro'!$A400=B$2,'Atividades Micro'!$L400&lt;&gt;""),'Atividades Micro'!$L400,"")</f>
        <v/>
      </c>
      <c r="C348" s="21" t="str">
        <f>IF(AND('Atividades Micro'!$A400=C$2,'Atividades Micro'!$K400&lt;&gt;""),'Atividades Micro'!$K400,"")</f>
        <v/>
      </c>
      <c r="D348" s="21" t="str">
        <f>IF(AND('Atividades Micro'!$A400=D$2,'Atividades Micro'!$L400&lt;&gt;""),'Atividades Micro'!$L400,"")</f>
        <v/>
      </c>
      <c r="E348" s="21" t="str">
        <f>IF(AND('Atividades Micro'!$A400=E$2,'Atividades Micro'!$K400&lt;&gt;""),'Atividades Micro'!$K400,"")</f>
        <v/>
      </c>
      <c r="F348" s="21" t="str">
        <f>IF(AND('Atividades Micro'!$A400=F$2,'Atividades Micro'!$L400&lt;&gt;""),'Atividades Micro'!$L400,"")</f>
        <v/>
      </c>
      <c r="G348" s="21" t="str">
        <f>IF(AND('Atividades Micro'!$A400=G$2,'Atividades Micro'!$K400&lt;&gt;""),'Atividades Micro'!$K400,"")</f>
        <v/>
      </c>
      <c r="H348" s="21" t="str">
        <f>IF(AND('Atividades Micro'!$A400=H$2,'Atividades Micro'!$L400&lt;&gt;""),'Atividades Micro'!$L400,"")</f>
        <v/>
      </c>
      <c r="I348" s="21" t="str">
        <f>IF(AND('Atividades Micro'!$A400=I$2,'Atividades Micro'!$K400&lt;&gt;""),'Atividades Micro'!$K400,"")</f>
        <v/>
      </c>
      <c r="J348" s="21" t="str">
        <f>IF(AND('Atividades Micro'!$A400=J$2,'Atividades Micro'!$L400&lt;&gt;""),'Atividades Micro'!$L400,"")</f>
        <v/>
      </c>
      <c r="K348" s="21" t="str">
        <f>IF(AND('Atividades Micro'!$B400=K$2,'Atividades Micro'!$K400&lt;&gt;""),'Atividades Micro'!$K400,"")</f>
        <v/>
      </c>
      <c r="L348" s="21" t="str">
        <f>IF(AND('Atividades Micro'!$B400=L$2,'Atividades Micro'!$L400&lt;&gt;""),'Atividades Micro'!$L400,"")</f>
        <v/>
      </c>
      <c r="M348" s="21" t="str">
        <f>IF(AND('Atividades Micro'!$B400=M$2,'Atividades Micro'!$K400&lt;&gt;""),'Atividades Micro'!$K400,"")</f>
        <v/>
      </c>
      <c r="N348" s="21" t="str">
        <f>IF(AND('Atividades Micro'!$B400=N$2,'Atividades Micro'!$L400&lt;&gt;""),'Atividades Micro'!$L400,"")</f>
        <v/>
      </c>
      <c r="O348" s="21" t="str">
        <f>IF(AND('Atividades Micro'!$A400=O$2,'Atividades Micro'!$K400&lt;&gt;""),'Atividades Micro'!$K400,"")</f>
        <v/>
      </c>
      <c r="P348" s="21" t="str">
        <f>IF(AND('Atividades Micro'!$A400=P$2,'Atividades Micro'!$L400&lt;&gt;""),'Atividades Micro'!$L400,"")</f>
        <v/>
      </c>
      <c r="Q348" s="21" t="str">
        <f>IF(AND('Atividades Micro'!$B400=Q$2,'Atividades Micro'!$K400&lt;&gt;""),'Atividades Micro'!$K400,"")</f>
        <v/>
      </c>
      <c r="R348" s="21" t="str">
        <f>IF(AND('Atividades Micro'!$B400=R$2,'Atividades Micro'!$L400&lt;&gt;""),'Atividades Micro'!$L400,"")</f>
        <v/>
      </c>
      <c r="S348" s="21" t="str">
        <f>IF(AND('Atividades Micro'!$A400=S$2,'Atividades Micro'!$K400&lt;&gt;""),'Atividades Micro'!$K400,"")</f>
        <v/>
      </c>
      <c r="T348" s="21" t="str">
        <f>IF(AND('Atividades Micro'!$A400=T$2,'Atividades Micro'!$L400&lt;&gt;""),'Atividades Micro'!$L400,"")</f>
        <v/>
      </c>
      <c r="U348" s="21" t="str">
        <f>IF(AND('Atividades Micro'!$B400=U$2,'Atividades Micro'!$K400&lt;&gt;""),'Atividades Micro'!$K400,"")</f>
        <v/>
      </c>
      <c r="V348" s="21" t="str">
        <f>IF(AND('Atividades Micro'!$B400=V$2,'Atividades Micro'!$L400&lt;&gt;""),'Atividades Micro'!$L400,"")</f>
        <v/>
      </c>
      <c r="W348" s="21" t="str">
        <f>IF(AND('Atividades Micro'!$B400=W$2,'Atividades Micro'!$K400&lt;&gt;""),'Atividades Micro'!$K400,"")</f>
        <v/>
      </c>
      <c r="X348" s="21" t="str">
        <f>IF(AND('Atividades Micro'!$B400=X$2,'Atividades Micro'!$L400&lt;&gt;""),'Atividades Micro'!$L400,"")</f>
        <v/>
      </c>
      <c r="Y348" s="21" t="str">
        <f>IF(AND('Atividades Micro'!$A400=Y$2,'Atividades Micro'!$K400&lt;&gt;""),'Atividades Micro'!$K400,"")</f>
        <v/>
      </c>
      <c r="Z348" s="21" t="str">
        <f>IF(AND('Atividades Micro'!$A400=Z$2,'Atividades Micro'!$L400&lt;&gt;""),'Atividades Micro'!$L400,"")</f>
        <v/>
      </c>
      <c r="AA348" s="21" t="str">
        <f>IF(AND('Atividades Micro'!$B400=AA$2,'Atividades Micro'!$K400&lt;&gt;""),'Atividades Micro'!$K400,"")</f>
        <v/>
      </c>
      <c r="AB348" s="21" t="str">
        <f>IF(AND('Atividades Micro'!$B400=AB$2,'Atividades Micro'!$L400&lt;&gt;""),'Atividades Micro'!$L400,"")</f>
        <v/>
      </c>
      <c r="AC348" s="21" t="str">
        <f>IF(AND('Atividades Micro'!$B400=AC$2,'Atividades Micro'!$K400&lt;&gt;""),'Atividades Micro'!$K400,"")</f>
        <v/>
      </c>
      <c r="AD348" s="21" t="str">
        <f>IF(AND('Atividades Micro'!$B400=AD$2,'Atividades Micro'!$L400&lt;&gt;""),'Atividades Micro'!$L400,"")</f>
        <v/>
      </c>
      <c r="AE348" s="21" t="str">
        <f>IF(AND('Atividades Micro'!$A400=AE$2,'Atividades Micro'!$K400&lt;&gt;""),'Atividades Micro'!$K400,"")</f>
        <v/>
      </c>
      <c r="AF348" s="21" t="str">
        <f>IF(AND('Atividades Micro'!$A400=AF$2,'Atividades Micro'!$L400&lt;&gt;""),'Atividades Micro'!$L400,"")</f>
        <v/>
      </c>
      <c r="AG348" s="21" t="str">
        <f>IF(AND('Atividades Micro'!$B400=AG$2,'Atividades Micro'!$K400&lt;&gt;""),'Atividades Micro'!$K400,"")</f>
        <v/>
      </c>
      <c r="AH348" s="21" t="str">
        <f>IF(AND('Atividades Micro'!$B400=AH$2,'Atividades Micro'!$L400&lt;&gt;""),'Atividades Micro'!$L400,"")</f>
        <v/>
      </c>
      <c r="AI348" s="21" t="str">
        <f>IF(AND('Atividades Micro'!$B400=AI$2,'Atividades Micro'!$K400&lt;&gt;""),'Atividades Micro'!$K400,"")</f>
        <v/>
      </c>
      <c r="AJ348" s="21" t="str">
        <f>IF(AND('Atividades Micro'!$B400=AJ$2,'Atividades Micro'!$L400&lt;&gt;""),'Atividades Micro'!$L400,"")</f>
        <v/>
      </c>
      <c r="AK348" s="21" t="str">
        <f>IF(AND('Atividades Micro'!$A400=AK$2,'Atividades Micro'!$K400&lt;&gt;""),'Atividades Micro'!$K400,"")</f>
        <v/>
      </c>
      <c r="AL348" s="21" t="str">
        <f>IF(AND('Atividades Micro'!$A400=AL$2,'Atividades Micro'!$L400&lt;&gt;""),'Atividades Micro'!$L400,"")</f>
        <v/>
      </c>
      <c r="AM348" s="21" t="str">
        <f>IF(AND('Atividades Micro'!$B400=AM$2,'Atividades Micro'!$K400&lt;&gt;""),'Atividades Micro'!$K400,"")</f>
        <v/>
      </c>
      <c r="AN348" s="21" t="str">
        <f>IF(AND('Atividades Micro'!$B400=AN$2,'Atividades Micro'!$L400&lt;&gt;""),'Atividades Micro'!$L400,"")</f>
        <v/>
      </c>
      <c r="AO348" s="21" t="str">
        <f>IF(AND('Atividades Micro'!$B400=AO$2,'Atividades Micro'!$K400&lt;&gt;""),'Atividades Micro'!$K400,"")</f>
        <v/>
      </c>
      <c r="AP348" s="21" t="str">
        <f>IF(AND('Atividades Micro'!$B400=AP$2,'Atividades Micro'!$L400&lt;&gt;""),'Atividades Micro'!$L400,"")</f>
        <v/>
      </c>
      <c r="AQ348" s="21" t="str">
        <f>IF(AND('Atividades Micro'!$A400=AQ$2,'Atividades Micro'!$K400&lt;&gt;""),'Atividades Micro'!$K400,"")</f>
        <v/>
      </c>
      <c r="AR348" s="21" t="str">
        <f>IF(AND('Atividades Micro'!$A400=AR$2,'Atividades Micro'!$L400&lt;&gt;""),'Atividades Micro'!$L400,"")</f>
        <v/>
      </c>
      <c r="AS348" s="21" t="str">
        <f>IF(AND('Atividades Micro'!$B400=AS$2,'Atividades Micro'!$K400&lt;&gt;""),'Atividades Micro'!$K400,"")</f>
        <v/>
      </c>
      <c r="AT348" s="21" t="str">
        <f>IF(AND('Atividades Micro'!$B400=AT$2,'Atividades Micro'!$L400&lt;&gt;""),'Atividades Micro'!$L400,"")</f>
        <v/>
      </c>
      <c r="AU348" s="21" t="str">
        <f>IF(AND('Atividades Micro'!$A400=AU$2,'Atividades Micro'!$K400&lt;&gt;""),'Atividades Micro'!$K400,"")</f>
        <v/>
      </c>
      <c r="AV348" s="21" t="str">
        <f>IF(AND('Atividades Micro'!$A400=AV$2,'Atividades Micro'!$L400&lt;&gt;""),'Atividades Micro'!$L400,"")</f>
        <v/>
      </c>
      <c r="AW348" s="21" t="str">
        <f>IF(AND('Atividades Micro'!$B400=AW$2,'Atividades Micro'!$K400&lt;&gt;""),'Atividades Micro'!$K400,"")</f>
        <v/>
      </c>
      <c r="AX348" s="21" t="str">
        <f>IF(AND('Atividades Micro'!$B400=AX$2,'Atividades Micro'!$L400&lt;&gt;""),'Atividades Micro'!$L400,"")</f>
        <v/>
      </c>
      <c r="AY348" s="21" t="str">
        <f>IF(AND('Atividades Micro'!$A400=AY$2,'Atividades Micro'!$K400&lt;&gt;""),'Atividades Micro'!$K400,"")</f>
        <v/>
      </c>
      <c r="AZ348" s="21" t="str">
        <f>IF(AND('Atividades Micro'!$A400=AZ$2,'Atividades Micro'!$L400&lt;&gt;""),'Atividades Micro'!$L400,"")</f>
        <v/>
      </c>
      <c r="BA348" s="21" t="str">
        <f>IF(AND('Atividades Micro'!$B400=BA$2,'Atividades Micro'!$K400&lt;&gt;""),'Atividades Micro'!$K400,"")</f>
        <v/>
      </c>
      <c r="BB348" s="21" t="str">
        <f>IF(AND('Atividades Micro'!$B400=BB$2,'Atividades Micro'!$L400&lt;&gt;""),'Atividades Micro'!$L400,"")</f>
        <v/>
      </c>
      <c r="BC348" s="21" t="str">
        <f>IF(AND('Atividades Micro'!$B400=BC$2,'Atividades Micro'!$G400="Macro",'Atividades Micro'!$K400&lt;&gt;""),'Atividades Micro'!$K400,"")</f>
        <v/>
      </c>
      <c r="BD348" s="21" t="str">
        <f>IF(AND('Atividades Micro'!$B400=BD$2,'Atividades Micro'!$G400="Macro",'Atividades Micro'!$K400&lt;&gt;""),'Atividades Micro'!$K400,"")</f>
        <v/>
      </c>
      <c r="BE348" s="21" t="str">
        <f>IF(AND('Atividades Micro'!$B400=BE$2,'Atividades Micro'!$G400="Macro",'Atividades Micro'!$K400&lt;&gt;""),'Atividades Micro'!$K400,"")</f>
        <v/>
      </c>
      <c r="BF348" s="21" t="str">
        <f>IF(AND('Atividades Micro'!$B400=BF$2,'Atividades Micro'!$G400="Macro",'Atividades Micro'!$K400&lt;&gt;""),'Atividades Micro'!$K400,"")</f>
        <v/>
      </c>
      <c r="BG348" s="21" t="str">
        <f>IF(AND('Atividades Micro'!$B400=BG$2,'Atividades Micro'!$G400="Macro",'Atividades Micro'!$K400&lt;&gt;""),'Atividades Micro'!$K400,"")</f>
        <v/>
      </c>
      <c r="BH348" s="21" t="str">
        <f>IF(AND('Atividades Micro'!$B400=BH$2,'Atividades Micro'!$G400="Macro",'Atividades Micro'!$K400&lt;&gt;""),'Atividades Micro'!$K400,"")</f>
        <v/>
      </c>
      <c r="BI348" s="21" t="str">
        <f>IF(AND('Atividades Micro'!$B400=BI$2,'Atividades Micro'!$G400="Macro",'Atividades Micro'!$K400&lt;&gt;""),'Atividades Micro'!$K400,"")</f>
        <v/>
      </c>
      <c r="BJ348" s="21" t="str">
        <f>IF(AND('Atividades Micro'!$B400=BJ$2,'Atividades Micro'!$G400="Macro",'Atividades Micro'!$K400&lt;&gt;""),'Atividades Micro'!$K400,"")</f>
        <v/>
      </c>
      <c r="BK348" s="21" t="str">
        <f>IF(AND('Atividades Micro'!$B400=BK$2,'Atividades Micro'!$G400="Macro",'Atividades Micro'!$K400&lt;&gt;""),'Atividades Micro'!$K400,"")</f>
        <v/>
      </c>
      <c r="BL348" s="21" t="str">
        <f>IF(AND('Atividades Micro'!$B400=BL$2,'Atividades Micro'!$G400="Macro",'Atividades Micro'!$K400&lt;&gt;""),'Atividades Micro'!$K400,"")</f>
        <v/>
      </c>
      <c r="BM348" s="21" t="str">
        <f>IF(AND('Atividades Micro'!$B400=BM$2,'Atividades Micro'!$G400="Macro",'Atividades Micro'!$K400&lt;&gt;""),'Atividades Micro'!$K400,"")</f>
        <v/>
      </c>
      <c r="BN348" s="21" t="str">
        <f>IF(AND('Atividades Micro'!$B400=BN$2,'Atividades Micro'!$G400="Macro",'Atividades Micro'!$K400&lt;&gt;""),'Atividades Micro'!$K400,"")</f>
        <v/>
      </c>
      <c r="BO348" s="21" t="str">
        <f>IF(AND('Atividades Micro'!$B400=BO$2,'Atividades Micro'!$G400="Macro",'Atividades Micro'!$K400&lt;&gt;""),'Atividades Micro'!$K400,"")</f>
        <v/>
      </c>
      <c r="BP348" s="21" t="str">
        <f>IF(AND('Atividades Micro'!$B400=BP$2,'Atividades Micro'!$G400="Macro",'Atividades Micro'!$K400&lt;&gt;""),'Atividades Micro'!$K400,"")</f>
        <v/>
      </c>
      <c r="BQ348" s="21" t="str">
        <f>IF(AND('Atividades Micro'!$B400=BQ$2,'Atividades Micro'!$G400="Macro",'Atividades Micro'!$K400&lt;&gt;""),'Atividades Micro'!$K400,"")</f>
        <v/>
      </c>
      <c r="BR348" s="21" t="str">
        <f>IF(AND('Atividades Micro'!$B400=BR$2,'Atividades Micro'!$G400="Macro",'Atividades Micro'!$K400&lt;&gt;""),'Atividades Micro'!$K400,"")</f>
        <v/>
      </c>
      <c r="BS348" s="21" t="str">
        <f>IF(AND('Atividades Micro'!$B400=BS$2,'Atividades Micro'!$G400="Macro",'Atividades Micro'!$K400&lt;&gt;""),'Atividades Micro'!$K400,"")</f>
        <v/>
      </c>
      <c r="BT348" s="21" t="str">
        <f>IF(AND('Atividades Micro'!$B400=BT$2,'Atividades Micro'!$G400="Macro",'Atividades Micro'!$K400&lt;&gt;""),'Atividades Micro'!$K400,"")</f>
        <v/>
      </c>
      <c r="BU348" s="21" t="str">
        <f>IF(AND('Atividades Micro'!$B400=BU$2,'Atividades Micro'!$G400="Macro",'Atividades Micro'!$K400&lt;&gt;""),'Atividades Micro'!$K400,"")</f>
        <v/>
      </c>
      <c r="BV348" s="21" t="str">
        <f>IF(AND('Atividades Micro'!$B400=BV$2,'Atividades Micro'!$G400="Macro",'Atividades Micro'!$K400&lt;&gt;""),'Atividades Micro'!$K400,"")</f>
        <v/>
      </c>
      <c r="BW348" s="21" t="str">
        <f>IF(AND('Atividades Micro'!$B400=BW$2,'Atividades Micro'!$G400="Macro",'Atividades Micro'!$K400&lt;&gt;""),'Atividades Micro'!$K400,"")</f>
        <v/>
      </c>
      <c r="BX348" s="21" t="str">
        <f>IF(AND('Atividades Micro'!$B400=BX$2,'Atividades Micro'!$G400="Macro",'Atividades Micro'!$K400&lt;&gt;""),'Atividades Micro'!$K400,"")</f>
        <v/>
      </c>
      <c r="BY348" s="21" t="str">
        <f>IF(AND('Atividades Micro'!$B400=BY$2,'Atividades Micro'!$G400="Macro",'Atividades Micro'!$K400&lt;&gt;""),'Atividades Micro'!$K400,"")</f>
        <v/>
      </c>
      <c r="BZ348" s="21" t="str">
        <f>IF(AND('Atividades Micro'!$B400=BZ$2,'Atividades Micro'!$G400="Macro",'Atividades Micro'!$K400&lt;&gt;""),'Atividades Micro'!$K400,"")</f>
        <v/>
      </c>
      <c r="CA348" s="21" t="str">
        <f>IF(AND('Atividades Micro'!$B400=CA$2,'Atividades Micro'!$G400="Macro",'Atividades Micro'!$K400&lt;&gt;""),'Atividades Micro'!$K400,"")</f>
        <v/>
      </c>
      <c r="CB348" s="21" t="str">
        <f>IF(AND('Atividades Micro'!$B400=CB$2,'Atividades Micro'!$G400="Macro",'Atividades Micro'!$K400&lt;&gt;""),'Atividades Micro'!$K400,"")</f>
        <v/>
      </c>
      <c r="CC348" s="21" t="str">
        <f>IF(AND('Atividades Micro'!$B400=CC$2,'Atividades Micro'!$G400="Macro",'Atividades Micro'!$K400&lt;&gt;""),'Atividades Micro'!$K400,"")</f>
        <v/>
      </c>
      <c r="CD348" s="21" t="str">
        <f>IF(AND('Atividades Micro'!$B400=CD$2,'Atividades Micro'!$G400="Micro",'Atividades Micro'!$K400&lt;&gt;""),'Atividades Micro'!$K400,"")</f>
        <v/>
      </c>
      <c r="CE348" s="21" t="str">
        <f>IF(AND('Atividades Micro'!$B400=CE$2,'Atividades Micro'!$G400="Micro",'Atividades Micro'!$K400&lt;&gt;""),'Atividades Micro'!$K400,"")</f>
        <v/>
      </c>
      <c r="CF348" s="21" t="str">
        <f>IF(AND('Atividades Micro'!$B400=CF$2,'Atividades Micro'!$G400="Micro",'Atividades Micro'!$K400&lt;&gt;""),'Atividades Micro'!$K400,"")</f>
        <v/>
      </c>
      <c r="CG348" s="21" t="str">
        <f>IF(AND('Atividades Micro'!$B400=CG$2,'Atividades Micro'!$G400="Micro",'Atividades Micro'!$K400&lt;&gt;""),'Atividades Micro'!$K400,"")</f>
        <v/>
      </c>
      <c r="CH348" s="21" t="str">
        <f>IF(AND('Atividades Micro'!$B400=CH$2,'Atividades Micro'!$G400="Micro",'Atividades Micro'!$K400&lt;&gt;""),'Atividades Micro'!$K400,"")</f>
        <v/>
      </c>
      <c r="CI348" s="21" t="str">
        <f>IF(AND('Atividades Micro'!$B400=CI$2,'Atividades Micro'!$G400="Micro",'Atividades Micro'!$K400&lt;&gt;""),'Atividades Micro'!$K400,"")</f>
        <v/>
      </c>
      <c r="CJ348" s="21" t="str">
        <f>IF(AND('Atividades Micro'!$B400=CJ$2,'Atividades Micro'!$G400="Micro",'Atividades Micro'!$K400&lt;&gt;""),'Atividades Micro'!$K400,"")</f>
        <v/>
      </c>
      <c r="CK348" s="21" t="str">
        <f>IF(AND('Atividades Micro'!$B400=CK$2,'Atividades Micro'!$G400="Micro",'Atividades Micro'!$K400&lt;&gt;""),'Atividades Micro'!$K400,"")</f>
        <v/>
      </c>
      <c r="CL348" s="21" t="str">
        <f>IF(AND('Atividades Micro'!$B400=CL$2,'Atividades Micro'!$G400="Micro",'Atividades Micro'!$K400&lt;&gt;""),'Atividades Micro'!$K400,"")</f>
        <v/>
      </c>
      <c r="CM348" s="21" t="str">
        <f>IF(AND('Atividades Micro'!$B400=CM$2,'Atividades Micro'!$G400="Micro",'Atividades Micro'!$K400&lt;&gt;""),'Atividades Micro'!$K400,"")</f>
        <v/>
      </c>
      <c r="CN348" s="21" t="str">
        <f>IF(AND('Atividades Micro'!$B400=CN$2,'Atividades Micro'!$G400="Micro",'Atividades Micro'!$K400&lt;&gt;""),'Atividades Micro'!$K400,"")</f>
        <v/>
      </c>
      <c r="CO348" s="21" t="str">
        <f>IF(AND('Atividades Micro'!$B400=CO$2,'Atividades Micro'!$G400="Micro",'Atividades Micro'!$K400&lt;&gt;""),'Atividades Micro'!$K400,"")</f>
        <v/>
      </c>
    </row>
    <row r="349" spans="1:93">
      <c r="A349" s="21" t="str">
        <f>IF(AND('Atividades Micro'!$A401=A$2,'Atividades Micro'!$K401&lt;&gt;""),'Atividades Micro'!$K401,"")</f>
        <v/>
      </c>
      <c r="B349" s="21" t="str">
        <f>IF(AND('Atividades Micro'!$A401=B$2,'Atividades Micro'!$L401&lt;&gt;""),'Atividades Micro'!$L401,"")</f>
        <v/>
      </c>
      <c r="C349" s="21" t="str">
        <f>IF(AND('Atividades Micro'!$A401=C$2,'Atividades Micro'!$K401&lt;&gt;""),'Atividades Micro'!$K401,"")</f>
        <v/>
      </c>
      <c r="D349" s="21" t="str">
        <f>IF(AND('Atividades Micro'!$A401=D$2,'Atividades Micro'!$L401&lt;&gt;""),'Atividades Micro'!$L401,"")</f>
        <v/>
      </c>
      <c r="E349" s="21" t="str">
        <f>IF(AND('Atividades Micro'!$A401=E$2,'Atividades Micro'!$K401&lt;&gt;""),'Atividades Micro'!$K401,"")</f>
        <v/>
      </c>
      <c r="F349" s="21" t="str">
        <f>IF(AND('Atividades Micro'!$A401=F$2,'Atividades Micro'!$L401&lt;&gt;""),'Atividades Micro'!$L401,"")</f>
        <v/>
      </c>
      <c r="G349" s="21" t="str">
        <f>IF(AND('Atividades Micro'!$A401=G$2,'Atividades Micro'!$K401&lt;&gt;""),'Atividades Micro'!$K401,"")</f>
        <v/>
      </c>
      <c r="H349" s="21" t="str">
        <f>IF(AND('Atividades Micro'!$A401=H$2,'Atividades Micro'!$L401&lt;&gt;""),'Atividades Micro'!$L401,"")</f>
        <v/>
      </c>
      <c r="I349" s="21" t="str">
        <f>IF(AND('Atividades Micro'!$A401=I$2,'Atividades Micro'!$K401&lt;&gt;""),'Atividades Micro'!$K401,"")</f>
        <v/>
      </c>
      <c r="J349" s="21" t="str">
        <f>IF(AND('Atividades Micro'!$A401=J$2,'Atividades Micro'!$L401&lt;&gt;""),'Atividades Micro'!$L401,"")</f>
        <v/>
      </c>
      <c r="K349" s="21" t="str">
        <f>IF(AND('Atividades Micro'!$B401=K$2,'Atividades Micro'!$K401&lt;&gt;""),'Atividades Micro'!$K401,"")</f>
        <v/>
      </c>
      <c r="L349" s="21" t="str">
        <f>IF(AND('Atividades Micro'!$B401=L$2,'Atividades Micro'!$L401&lt;&gt;""),'Atividades Micro'!$L401,"")</f>
        <v/>
      </c>
      <c r="M349" s="21" t="str">
        <f>IF(AND('Atividades Micro'!$B401=M$2,'Atividades Micro'!$K401&lt;&gt;""),'Atividades Micro'!$K401,"")</f>
        <v/>
      </c>
      <c r="N349" s="21" t="str">
        <f>IF(AND('Atividades Micro'!$B401=N$2,'Atividades Micro'!$L401&lt;&gt;""),'Atividades Micro'!$L401,"")</f>
        <v/>
      </c>
      <c r="O349" s="21" t="str">
        <f>IF(AND('Atividades Micro'!$A401=O$2,'Atividades Micro'!$K401&lt;&gt;""),'Atividades Micro'!$K401,"")</f>
        <v/>
      </c>
      <c r="P349" s="21" t="str">
        <f>IF(AND('Atividades Micro'!$A401=P$2,'Atividades Micro'!$L401&lt;&gt;""),'Atividades Micro'!$L401,"")</f>
        <v/>
      </c>
      <c r="Q349" s="21" t="str">
        <f>IF(AND('Atividades Micro'!$B401=Q$2,'Atividades Micro'!$K401&lt;&gt;""),'Atividades Micro'!$K401,"")</f>
        <v/>
      </c>
      <c r="R349" s="21" t="str">
        <f>IF(AND('Atividades Micro'!$B401=R$2,'Atividades Micro'!$L401&lt;&gt;""),'Atividades Micro'!$L401,"")</f>
        <v/>
      </c>
      <c r="S349" s="21" t="str">
        <f>IF(AND('Atividades Micro'!$A401=S$2,'Atividades Micro'!$K401&lt;&gt;""),'Atividades Micro'!$K401,"")</f>
        <v/>
      </c>
      <c r="T349" s="21" t="str">
        <f>IF(AND('Atividades Micro'!$A401=T$2,'Atividades Micro'!$L401&lt;&gt;""),'Atividades Micro'!$L401,"")</f>
        <v/>
      </c>
      <c r="U349" s="21" t="str">
        <f>IF(AND('Atividades Micro'!$B401=U$2,'Atividades Micro'!$K401&lt;&gt;""),'Atividades Micro'!$K401,"")</f>
        <v/>
      </c>
      <c r="V349" s="21" t="str">
        <f>IF(AND('Atividades Micro'!$B401=V$2,'Atividades Micro'!$L401&lt;&gt;""),'Atividades Micro'!$L401,"")</f>
        <v/>
      </c>
      <c r="W349" s="21" t="str">
        <f>IF(AND('Atividades Micro'!$B401=W$2,'Atividades Micro'!$K401&lt;&gt;""),'Atividades Micro'!$K401,"")</f>
        <v/>
      </c>
      <c r="X349" s="21" t="str">
        <f>IF(AND('Atividades Micro'!$B401=X$2,'Atividades Micro'!$L401&lt;&gt;""),'Atividades Micro'!$L401,"")</f>
        <v/>
      </c>
      <c r="Y349" s="21" t="str">
        <f>IF(AND('Atividades Micro'!$A401=Y$2,'Atividades Micro'!$K401&lt;&gt;""),'Atividades Micro'!$K401,"")</f>
        <v/>
      </c>
      <c r="Z349" s="21" t="str">
        <f>IF(AND('Atividades Micro'!$A401=Z$2,'Atividades Micro'!$L401&lt;&gt;""),'Atividades Micro'!$L401,"")</f>
        <v/>
      </c>
      <c r="AA349" s="21" t="str">
        <f>IF(AND('Atividades Micro'!$B401=AA$2,'Atividades Micro'!$K401&lt;&gt;""),'Atividades Micro'!$K401,"")</f>
        <v/>
      </c>
      <c r="AB349" s="21" t="str">
        <f>IF(AND('Atividades Micro'!$B401=AB$2,'Atividades Micro'!$L401&lt;&gt;""),'Atividades Micro'!$L401,"")</f>
        <v/>
      </c>
      <c r="AC349" s="21" t="str">
        <f>IF(AND('Atividades Micro'!$B401=AC$2,'Atividades Micro'!$K401&lt;&gt;""),'Atividades Micro'!$K401,"")</f>
        <v/>
      </c>
      <c r="AD349" s="21" t="str">
        <f>IF(AND('Atividades Micro'!$B401=AD$2,'Atividades Micro'!$L401&lt;&gt;""),'Atividades Micro'!$L401,"")</f>
        <v/>
      </c>
      <c r="AE349" s="21" t="str">
        <f>IF(AND('Atividades Micro'!$A401=AE$2,'Atividades Micro'!$K401&lt;&gt;""),'Atividades Micro'!$K401,"")</f>
        <v/>
      </c>
      <c r="AF349" s="21" t="str">
        <f>IF(AND('Atividades Micro'!$A401=AF$2,'Atividades Micro'!$L401&lt;&gt;""),'Atividades Micro'!$L401,"")</f>
        <v/>
      </c>
      <c r="AG349" s="21" t="str">
        <f>IF(AND('Atividades Micro'!$B401=AG$2,'Atividades Micro'!$K401&lt;&gt;""),'Atividades Micro'!$K401,"")</f>
        <v/>
      </c>
      <c r="AH349" s="21" t="str">
        <f>IF(AND('Atividades Micro'!$B401=AH$2,'Atividades Micro'!$L401&lt;&gt;""),'Atividades Micro'!$L401,"")</f>
        <v/>
      </c>
      <c r="AI349" s="21" t="str">
        <f>IF(AND('Atividades Micro'!$B401=AI$2,'Atividades Micro'!$K401&lt;&gt;""),'Atividades Micro'!$K401,"")</f>
        <v/>
      </c>
      <c r="AJ349" s="21" t="str">
        <f>IF(AND('Atividades Micro'!$B401=AJ$2,'Atividades Micro'!$L401&lt;&gt;""),'Atividades Micro'!$L401,"")</f>
        <v/>
      </c>
      <c r="AK349" s="21" t="str">
        <f>IF(AND('Atividades Micro'!$A401=AK$2,'Atividades Micro'!$K401&lt;&gt;""),'Atividades Micro'!$K401,"")</f>
        <v/>
      </c>
      <c r="AL349" s="21" t="str">
        <f>IF(AND('Atividades Micro'!$A401=AL$2,'Atividades Micro'!$L401&lt;&gt;""),'Atividades Micro'!$L401,"")</f>
        <v/>
      </c>
      <c r="AM349" s="21" t="str">
        <f>IF(AND('Atividades Micro'!$B401=AM$2,'Atividades Micro'!$K401&lt;&gt;""),'Atividades Micro'!$K401,"")</f>
        <v/>
      </c>
      <c r="AN349" s="21" t="str">
        <f>IF(AND('Atividades Micro'!$B401=AN$2,'Atividades Micro'!$L401&lt;&gt;""),'Atividades Micro'!$L401,"")</f>
        <v/>
      </c>
      <c r="AO349" s="21" t="str">
        <f>IF(AND('Atividades Micro'!$B401=AO$2,'Atividades Micro'!$K401&lt;&gt;""),'Atividades Micro'!$K401,"")</f>
        <v/>
      </c>
      <c r="AP349" s="21" t="str">
        <f>IF(AND('Atividades Micro'!$B401=AP$2,'Atividades Micro'!$L401&lt;&gt;""),'Atividades Micro'!$L401,"")</f>
        <v/>
      </c>
      <c r="AQ349" s="21" t="str">
        <f>IF(AND('Atividades Micro'!$A401=AQ$2,'Atividades Micro'!$K401&lt;&gt;""),'Atividades Micro'!$K401,"")</f>
        <v/>
      </c>
      <c r="AR349" s="21" t="str">
        <f>IF(AND('Atividades Micro'!$A401=AR$2,'Atividades Micro'!$L401&lt;&gt;""),'Atividades Micro'!$L401,"")</f>
        <v/>
      </c>
      <c r="AS349" s="21" t="str">
        <f>IF(AND('Atividades Micro'!$B401=AS$2,'Atividades Micro'!$K401&lt;&gt;""),'Atividades Micro'!$K401,"")</f>
        <v/>
      </c>
      <c r="AT349" s="21" t="str">
        <f>IF(AND('Atividades Micro'!$B401=AT$2,'Atividades Micro'!$L401&lt;&gt;""),'Atividades Micro'!$L401,"")</f>
        <v/>
      </c>
      <c r="AU349" s="21" t="str">
        <f>IF(AND('Atividades Micro'!$A401=AU$2,'Atividades Micro'!$K401&lt;&gt;""),'Atividades Micro'!$K401,"")</f>
        <v/>
      </c>
      <c r="AV349" s="21" t="str">
        <f>IF(AND('Atividades Micro'!$A401=AV$2,'Atividades Micro'!$L401&lt;&gt;""),'Atividades Micro'!$L401,"")</f>
        <v/>
      </c>
      <c r="AW349" s="21" t="str">
        <f>IF(AND('Atividades Micro'!$B401=AW$2,'Atividades Micro'!$K401&lt;&gt;""),'Atividades Micro'!$K401,"")</f>
        <v/>
      </c>
      <c r="AX349" s="21" t="str">
        <f>IF(AND('Atividades Micro'!$B401=AX$2,'Atividades Micro'!$L401&lt;&gt;""),'Atividades Micro'!$L401,"")</f>
        <v/>
      </c>
      <c r="AY349" s="21" t="str">
        <f>IF(AND('Atividades Micro'!$A401=AY$2,'Atividades Micro'!$K401&lt;&gt;""),'Atividades Micro'!$K401,"")</f>
        <v/>
      </c>
      <c r="AZ349" s="21" t="str">
        <f>IF(AND('Atividades Micro'!$A401=AZ$2,'Atividades Micro'!$L401&lt;&gt;""),'Atividades Micro'!$L401,"")</f>
        <v/>
      </c>
      <c r="BA349" s="21" t="str">
        <f>IF(AND('Atividades Micro'!$B401=BA$2,'Atividades Micro'!$K401&lt;&gt;""),'Atividades Micro'!$K401,"")</f>
        <v/>
      </c>
      <c r="BB349" s="21" t="str">
        <f>IF(AND('Atividades Micro'!$B401=BB$2,'Atividades Micro'!$L401&lt;&gt;""),'Atividades Micro'!$L401,"")</f>
        <v/>
      </c>
      <c r="BC349" s="21" t="str">
        <f>IF(AND('Atividades Micro'!$B401=BC$2,'Atividades Micro'!$G401="Macro",'Atividades Micro'!$K401&lt;&gt;""),'Atividades Micro'!$K401,"")</f>
        <v/>
      </c>
      <c r="BD349" s="21" t="str">
        <f>IF(AND('Atividades Micro'!$B401=BD$2,'Atividades Micro'!$G401="Macro",'Atividades Micro'!$K401&lt;&gt;""),'Atividades Micro'!$K401,"")</f>
        <v/>
      </c>
      <c r="BE349" s="21" t="str">
        <f>IF(AND('Atividades Micro'!$B401=BE$2,'Atividades Micro'!$G401="Macro",'Atividades Micro'!$K401&lt;&gt;""),'Atividades Micro'!$K401,"")</f>
        <v/>
      </c>
      <c r="BF349" s="21" t="str">
        <f>IF(AND('Atividades Micro'!$B401=BF$2,'Atividades Micro'!$G401="Macro",'Atividades Micro'!$K401&lt;&gt;""),'Atividades Micro'!$K401,"")</f>
        <v/>
      </c>
      <c r="BG349" s="21" t="str">
        <f>IF(AND('Atividades Micro'!$B401=BG$2,'Atividades Micro'!$G401="Macro",'Atividades Micro'!$K401&lt;&gt;""),'Atividades Micro'!$K401,"")</f>
        <v/>
      </c>
      <c r="BH349" s="21" t="str">
        <f>IF(AND('Atividades Micro'!$B401=BH$2,'Atividades Micro'!$G401="Macro",'Atividades Micro'!$K401&lt;&gt;""),'Atividades Micro'!$K401,"")</f>
        <v/>
      </c>
      <c r="BI349" s="21" t="str">
        <f>IF(AND('Atividades Micro'!$B401=BI$2,'Atividades Micro'!$G401="Macro",'Atividades Micro'!$K401&lt;&gt;""),'Atividades Micro'!$K401,"")</f>
        <v/>
      </c>
      <c r="BJ349" s="21" t="str">
        <f>IF(AND('Atividades Micro'!$B401=BJ$2,'Atividades Micro'!$G401="Macro",'Atividades Micro'!$K401&lt;&gt;""),'Atividades Micro'!$K401,"")</f>
        <v/>
      </c>
      <c r="BK349" s="21" t="str">
        <f>IF(AND('Atividades Micro'!$B401=BK$2,'Atividades Micro'!$G401="Macro",'Atividades Micro'!$K401&lt;&gt;""),'Atividades Micro'!$K401,"")</f>
        <v/>
      </c>
      <c r="BL349" s="21" t="str">
        <f>IF(AND('Atividades Micro'!$B401=BL$2,'Atividades Micro'!$G401="Macro",'Atividades Micro'!$K401&lt;&gt;""),'Atividades Micro'!$K401,"")</f>
        <v/>
      </c>
      <c r="BM349" s="21" t="str">
        <f>IF(AND('Atividades Micro'!$B401=BM$2,'Atividades Micro'!$G401="Macro",'Atividades Micro'!$K401&lt;&gt;""),'Atividades Micro'!$K401,"")</f>
        <v/>
      </c>
      <c r="BN349" s="21" t="str">
        <f>IF(AND('Atividades Micro'!$B401=BN$2,'Atividades Micro'!$G401="Macro",'Atividades Micro'!$K401&lt;&gt;""),'Atividades Micro'!$K401,"")</f>
        <v/>
      </c>
      <c r="BO349" s="21" t="str">
        <f>IF(AND('Atividades Micro'!$B401=BO$2,'Atividades Micro'!$G401="Macro",'Atividades Micro'!$K401&lt;&gt;""),'Atividades Micro'!$K401,"")</f>
        <v/>
      </c>
      <c r="BP349" s="21" t="str">
        <f>IF(AND('Atividades Micro'!$B401=BP$2,'Atividades Micro'!$G401="Macro",'Atividades Micro'!$K401&lt;&gt;""),'Atividades Micro'!$K401,"")</f>
        <v/>
      </c>
      <c r="BQ349" s="21" t="str">
        <f>IF(AND('Atividades Micro'!$B401=BQ$2,'Atividades Micro'!$G401="Macro",'Atividades Micro'!$K401&lt;&gt;""),'Atividades Micro'!$K401,"")</f>
        <v/>
      </c>
      <c r="BR349" s="21" t="str">
        <f>IF(AND('Atividades Micro'!$B401=BR$2,'Atividades Micro'!$G401="Macro",'Atividades Micro'!$K401&lt;&gt;""),'Atividades Micro'!$K401,"")</f>
        <v/>
      </c>
      <c r="BS349" s="21" t="str">
        <f>IF(AND('Atividades Micro'!$B401=BS$2,'Atividades Micro'!$G401="Macro",'Atividades Micro'!$K401&lt;&gt;""),'Atividades Micro'!$K401,"")</f>
        <v/>
      </c>
      <c r="BT349" s="21" t="str">
        <f>IF(AND('Atividades Micro'!$B401=BT$2,'Atividades Micro'!$G401="Macro",'Atividades Micro'!$K401&lt;&gt;""),'Atividades Micro'!$K401,"")</f>
        <v/>
      </c>
      <c r="BU349" s="21" t="str">
        <f>IF(AND('Atividades Micro'!$B401=BU$2,'Atividades Micro'!$G401="Macro",'Atividades Micro'!$K401&lt;&gt;""),'Atividades Micro'!$K401,"")</f>
        <v/>
      </c>
      <c r="BV349" s="21" t="str">
        <f>IF(AND('Atividades Micro'!$B401=BV$2,'Atividades Micro'!$G401="Macro",'Atividades Micro'!$K401&lt;&gt;""),'Atividades Micro'!$K401,"")</f>
        <v/>
      </c>
      <c r="BW349" s="21" t="str">
        <f>IF(AND('Atividades Micro'!$B401=BW$2,'Atividades Micro'!$G401="Macro",'Atividades Micro'!$K401&lt;&gt;""),'Atividades Micro'!$K401,"")</f>
        <v/>
      </c>
      <c r="BX349" s="21" t="str">
        <f>IF(AND('Atividades Micro'!$B401=BX$2,'Atividades Micro'!$G401="Macro",'Atividades Micro'!$K401&lt;&gt;""),'Atividades Micro'!$K401,"")</f>
        <v/>
      </c>
      <c r="BY349" s="21" t="str">
        <f>IF(AND('Atividades Micro'!$B401=BY$2,'Atividades Micro'!$G401="Macro",'Atividades Micro'!$K401&lt;&gt;""),'Atividades Micro'!$K401,"")</f>
        <v/>
      </c>
      <c r="BZ349" s="21" t="str">
        <f>IF(AND('Atividades Micro'!$B401=BZ$2,'Atividades Micro'!$G401="Macro",'Atividades Micro'!$K401&lt;&gt;""),'Atividades Micro'!$K401,"")</f>
        <v/>
      </c>
      <c r="CA349" s="21" t="str">
        <f>IF(AND('Atividades Micro'!$B401=CA$2,'Atividades Micro'!$G401="Macro",'Atividades Micro'!$K401&lt;&gt;""),'Atividades Micro'!$K401,"")</f>
        <v/>
      </c>
      <c r="CB349" s="21" t="str">
        <f>IF(AND('Atividades Micro'!$B401=CB$2,'Atividades Micro'!$G401="Macro",'Atividades Micro'!$K401&lt;&gt;""),'Atividades Micro'!$K401,"")</f>
        <v/>
      </c>
      <c r="CC349" s="21" t="str">
        <f>IF(AND('Atividades Micro'!$B401=CC$2,'Atividades Micro'!$G401="Macro",'Atividades Micro'!$K401&lt;&gt;""),'Atividades Micro'!$K401,"")</f>
        <v/>
      </c>
      <c r="CD349" s="21" t="str">
        <f>IF(AND('Atividades Micro'!$B401=CD$2,'Atividades Micro'!$G401="Micro",'Atividades Micro'!$K401&lt;&gt;""),'Atividades Micro'!$K401,"")</f>
        <v/>
      </c>
      <c r="CE349" s="21" t="str">
        <f>IF(AND('Atividades Micro'!$B401=CE$2,'Atividades Micro'!$G401="Micro",'Atividades Micro'!$K401&lt;&gt;""),'Atividades Micro'!$K401,"")</f>
        <v/>
      </c>
      <c r="CF349" s="21" t="str">
        <f>IF(AND('Atividades Micro'!$B401=CF$2,'Atividades Micro'!$G401="Micro",'Atividades Micro'!$K401&lt;&gt;""),'Atividades Micro'!$K401,"")</f>
        <v/>
      </c>
      <c r="CG349" s="21" t="str">
        <f>IF(AND('Atividades Micro'!$B401=CG$2,'Atividades Micro'!$G401="Micro",'Atividades Micro'!$K401&lt;&gt;""),'Atividades Micro'!$K401,"")</f>
        <v/>
      </c>
      <c r="CH349" s="21" t="str">
        <f>IF(AND('Atividades Micro'!$B401=CH$2,'Atividades Micro'!$G401="Micro",'Atividades Micro'!$K401&lt;&gt;""),'Atividades Micro'!$K401,"")</f>
        <v/>
      </c>
      <c r="CI349" s="21" t="str">
        <f>IF(AND('Atividades Micro'!$B401=CI$2,'Atividades Micro'!$G401="Micro",'Atividades Micro'!$K401&lt;&gt;""),'Atividades Micro'!$K401,"")</f>
        <v/>
      </c>
      <c r="CJ349" s="21" t="str">
        <f>IF(AND('Atividades Micro'!$B401=CJ$2,'Atividades Micro'!$G401="Micro",'Atividades Micro'!$K401&lt;&gt;""),'Atividades Micro'!$K401,"")</f>
        <v/>
      </c>
      <c r="CK349" s="21" t="str">
        <f>IF(AND('Atividades Micro'!$B401=CK$2,'Atividades Micro'!$G401="Micro",'Atividades Micro'!$K401&lt;&gt;""),'Atividades Micro'!$K401,"")</f>
        <v/>
      </c>
      <c r="CL349" s="21" t="str">
        <f>IF(AND('Atividades Micro'!$B401=CL$2,'Atividades Micro'!$G401="Micro",'Atividades Micro'!$K401&lt;&gt;""),'Atividades Micro'!$K401,"")</f>
        <v/>
      </c>
      <c r="CM349" s="21" t="str">
        <f>IF(AND('Atividades Micro'!$B401=CM$2,'Atividades Micro'!$G401="Micro",'Atividades Micro'!$K401&lt;&gt;""),'Atividades Micro'!$K401,"")</f>
        <v/>
      </c>
      <c r="CN349" s="21" t="str">
        <f>IF(AND('Atividades Micro'!$B401=CN$2,'Atividades Micro'!$G401="Micro",'Atividades Micro'!$K401&lt;&gt;""),'Atividades Micro'!$K401,"")</f>
        <v/>
      </c>
      <c r="CO349" s="21" t="str">
        <f>IF(AND('Atividades Micro'!$B401=CO$2,'Atividades Micro'!$G401="Micro",'Atividades Micro'!$K401&lt;&gt;""),'Atividades Micro'!$K401,"")</f>
        <v/>
      </c>
    </row>
    <row r="350" spans="1:93">
      <c r="A350" s="21" t="str">
        <f>IF(AND('Atividades Micro'!$A402=A$2,'Atividades Micro'!$K402&lt;&gt;""),'Atividades Micro'!$K402,"")</f>
        <v/>
      </c>
      <c r="B350" s="21" t="str">
        <f>IF(AND('Atividades Micro'!$A402=B$2,'Atividades Micro'!$L402&lt;&gt;""),'Atividades Micro'!$L402,"")</f>
        <v/>
      </c>
      <c r="C350" s="21" t="str">
        <f>IF(AND('Atividades Micro'!$A402=C$2,'Atividades Micro'!$K402&lt;&gt;""),'Atividades Micro'!$K402,"")</f>
        <v/>
      </c>
      <c r="D350" s="21" t="str">
        <f>IF(AND('Atividades Micro'!$A402=D$2,'Atividades Micro'!$L402&lt;&gt;""),'Atividades Micro'!$L402,"")</f>
        <v/>
      </c>
      <c r="E350" s="21" t="str">
        <f>IF(AND('Atividades Micro'!$A402=E$2,'Atividades Micro'!$K402&lt;&gt;""),'Atividades Micro'!$K402,"")</f>
        <v/>
      </c>
      <c r="F350" s="21" t="str">
        <f>IF(AND('Atividades Micro'!$A402=F$2,'Atividades Micro'!$L402&lt;&gt;""),'Atividades Micro'!$L402,"")</f>
        <v/>
      </c>
      <c r="G350" s="21" t="str">
        <f>IF(AND('Atividades Micro'!$A402=G$2,'Atividades Micro'!$K402&lt;&gt;""),'Atividades Micro'!$K402,"")</f>
        <v/>
      </c>
      <c r="H350" s="21" t="str">
        <f>IF(AND('Atividades Micro'!$A402=H$2,'Atividades Micro'!$L402&lt;&gt;""),'Atividades Micro'!$L402,"")</f>
        <v/>
      </c>
      <c r="I350" s="21" t="str">
        <f>IF(AND('Atividades Micro'!$A402=I$2,'Atividades Micro'!$K402&lt;&gt;""),'Atividades Micro'!$K402,"")</f>
        <v/>
      </c>
      <c r="J350" s="21" t="str">
        <f>IF(AND('Atividades Micro'!$A402=J$2,'Atividades Micro'!$L402&lt;&gt;""),'Atividades Micro'!$L402,"")</f>
        <v/>
      </c>
      <c r="K350" s="21" t="str">
        <f>IF(AND('Atividades Micro'!$B402=K$2,'Atividades Micro'!$K402&lt;&gt;""),'Atividades Micro'!$K402,"")</f>
        <v/>
      </c>
      <c r="L350" s="21" t="str">
        <f>IF(AND('Atividades Micro'!$B402=L$2,'Atividades Micro'!$L402&lt;&gt;""),'Atividades Micro'!$L402,"")</f>
        <v/>
      </c>
      <c r="M350" s="21" t="str">
        <f>IF(AND('Atividades Micro'!$B402=M$2,'Atividades Micro'!$K402&lt;&gt;""),'Atividades Micro'!$K402,"")</f>
        <v/>
      </c>
      <c r="N350" s="21" t="str">
        <f>IF(AND('Atividades Micro'!$B402=N$2,'Atividades Micro'!$L402&lt;&gt;""),'Atividades Micro'!$L402,"")</f>
        <v/>
      </c>
      <c r="O350" s="21" t="str">
        <f>IF(AND('Atividades Micro'!$A402=O$2,'Atividades Micro'!$K402&lt;&gt;""),'Atividades Micro'!$K402,"")</f>
        <v/>
      </c>
      <c r="P350" s="21" t="str">
        <f>IF(AND('Atividades Micro'!$A402=P$2,'Atividades Micro'!$L402&lt;&gt;""),'Atividades Micro'!$L402,"")</f>
        <v/>
      </c>
      <c r="Q350" s="21" t="str">
        <f>IF(AND('Atividades Micro'!$B402=Q$2,'Atividades Micro'!$K402&lt;&gt;""),'Atividades Micro'!$K402,"")</f>
        <v/>
      </c>
      <c r="R350" s="21" t="str">
        <f>IF(AND('Atividades Micro'!$B402=R$2,'Atividades Micro'!$L402&lt;&gt;""),'Atividades Micro'!$L402,"")</f>
        <v/>
      </c>
      <c r="S350" s="21" t="str">
        <f>IF(AND('Atividades Micro'!$A402=S$2,'Atividades Micro'!$K402&lt;&gt;""),'Atividades Micro'!$K402,"")</f>
        <v/>
      </c>
      <c r="T350" s="21" t="str">
        <f>IF(AND('Atividades Micro'!$A402=T$2,'Atividades Micro'!$L402&lt;&gt;""),'Atividades Micro'!$L402,"")</f>
        <v/>
      </c>
      <c r="U350" s="21" t="str">
        <f>IF(AND('Atividades Micro'!$B402=U$2,'Atividades Micro'!$K402&lt;&gt;""),'Atividades Micro'!$K402,"")</f>
        <v/>
      </c>
      <c r="V350" s="21" t="str">
        <f>IF(AND('Atividades Micro'!$B402=V$2,'Atividades Micro'!$L402&lt;&gt;""),'Atividades Micro'!$L402,"")</f>
        <v/>
      </c>
      <c r="W350" s="21" t="str">
        <f>IF(AND('Atividades Micro'!$B402=W$2,'Atividades Micro'!$K402&lt;&gt;""),'Atividades Micro'!$K402,"")</f>
        <v/>
      </c>
      <c r="X350" s="21" t="str">
        <f>IF(AND('Atividades Micro'!$B402=X$2,'Atividades Micro'!$L402&lt;&gt;""),'Atividades Micro'!$L402,"")</f>
        <v/>
      </c>
      <c r="Y350" s="21" t="str">
        <f>IF(AND('Atividades Micro'!$A402=Y$2,'Atividades Micro'!$K402&lt;&gt;""),'Atividades Micro'!$K402,"")</f>
        <v/>
      </c>
      <c r="Z350" s="21" t="str">
        <f>IF(AND('Atividades Micro'!$A402=Z$2,'Atividades Micro'!$L402&lt;&gt;""),'Atividades Micro'!$L402,"")</f>
        <v/>
      </c>
      <c r="AA350" s="21" t="str">
        <f>IF(AND('Atividades Micro'!$B402=AA$2,'Atividades Micro'!$K402&lt;&gt;""),'Atividades Micro'!$K402,"")</f>
        <v/>
      </c>
      <c r="AB350" s="21" t="str">
        <f>IF(AND('Atividades Micro'!$B402=AB$2,'Atividades Micro'!$L402&lt;&gt;""),'Atividades Micro'!$L402,"")</f>
        <v/>
      </c>
      <c r="AC350" s="21" t="str">
        <f>IF(AND('Atividades Micro'!$B402=AC$2,'Atividades Micro'!$K402&lt;&gt;""),'Atividades Micro'!$K402,"")</f>
        <v/>
      </c>
      <c r="AD350" s="21" t="str">
        <f>IF(AND('Atividades Micro'!$B402=AD$2,'Atividades Micro'!$L402&lt;&gt;""),'Atividades Micro'!$L402,"")</f>
        <v/>
      </c>
      <c r="AE350" s="21" t="str">
        <f>IF(AND('Atividades Micro'!$A402=AE$2,'Atividades Micro'!$K402&lt;&gt;""),'Atividades Micro'!$K402,"")</f>
        <v/>
      </c>
      <c r="AF350" s="21" t="str">
        <f>IF(AND('Atividades Micro'!$A402=AF$2,'Atividades Micro'!$L402&lt;&gt;""),'Atividades Micro'!$L402,"")</f>
        <v/>
      </c>
      <c r="AG350" s="21" t="str">
        <f>IF(AND('Atividades Micro'!$B402=AG$2,'Atividades Micro'!$K402&lt;&gt;""),'Atividades Micro'!$K402,"")</f>
        <v/>
      </c>
      <c r="AH350" s="21" t="str">
        <f>IF(AND('Atividades Micro'!$B402=AH$2,'Atividades Micro'!$L402&lt;&gt;""),'Atividades Micro'!$L402,"")</f>
        <v/>
      </c>
      <c r="AI350" s="21" t="str">
        <f>IF(AND('Atividades Micro'!$B402=AI$2,'Atividades Micro'!$K402&lt;&gt;""),'Atividades Micro'!$K402,"")</f>
        <v/>
      </c>
      <c r="AJ350" s="21" t="str">
        <f>IF(AND('Atividades Micro'!$B402=AJ$2,'Atividades Micro'!$L402&lt;&gt;""),'Atividades Micro'!$L402,"")</f>
        <v/>
      </c>
      <c r="AK350" s="21" t="str">
        <f>IF(AND('Atividades Micro'!$A402=AK$2,'Atividades Micro'!$K402&lt;&gt;""),'Atividades Micro'!$K402,"")</f>
        <v/>
      </c>
      <c r="AL350" s="21" t="str">
        <f>IF(AND('Atividades Micro'!$A402=AL$2,'Atividades Micro'!$L402&lt;&gt;""),'Atividades Micro'!$L402,"")</f>
        <v/>
      </c>
      <c r="AM350" s="21" t="str">
        <f>IF(AND('Atividades Micro'!$B402=AM$2,'Atividades Micro'!$K402&lt;&gt;""),'Atividades Micro'!$K402,"")</f>
        <v/>
      </c>
      <c r="AN350" s="21" t="str">
        <f>IF(AND('Atividades Micro'!$B402=AN$2,'Atividades Micro'!$L402&lt;&gt;""),'Atividades Micro'!$L402,"")</f>
        <v/>
      </c>
      <c r="AO350" s="21" t="str">
        <f>IF(AND('Atividades Micro'!$B402=AO$2,'Atividades Micro'!$K402&lt;&gt;""),'Atividades Micro'!$K402,"")</f>
        <v/>
      </c>
      <c r="AP350" s="21" t="str">
        <f>IF(AND('Atividades Micro'!$B402=AP$2,'Atividades Micro'!$L402&lt;&gt;""),'Atividades Micro'!$L402,"")</f>
        <v/>
      </c>
      <c r="AQ350" s="21" t="str">
        <f>IF(AND('Atividades Micro'!$A402=AQ$2,'Atividades Micro'!$K402&lt;&gt;""),'Atividades Micro'!$K402,"")</f>
        <v/>
      </c>
      <c r="AR350" s="21" t="str">
        <f>IF(AND('Atividades Micro'!$A402=AR$2,'Atividades Micro'!$L402&lt;&gt;""),'Atividades Micro'!$L402,"")</f>
        <v/>
      </c>
      <c r="AS350" s="21" t="str">
        <f>IF(AND('Atividades Micro'!$B402=AS$2,'Atividades Micro'!$K402&lt;&gt;""),'Atividades Micro'!$K402,"")</f>
        <v/>
      </c>
      <c r="AT350" s="21" t="str">
        <f>IF(AND('Atividades Micro'!$B402=AT$2,'Atividades Micro'!$L402&lt;&gt;""),'Atividades Micro'!$L402,"")</f>
        <v/>
      </c>
      <c r="AU350" s="21" t="str">
        <f>IF(AND('Atividades Micro'!$A402=AU$2,'Atividades Micro'!$K402&lt;&gt;""),'Atividades Micro'!$K402,"")</f>
        <v/>
      </c>
      <c r="AV350" s="21" t="str">
        <f>IF(AND('Atividades Micro'!$A402=AV$2,'Atividades Micro'!$L402&lt;&gt;""),'Atividades Micro'!$L402,"")</f>
        <v/>
      </c>
      <c r="AW350" s="21" t="str">
        <f>IF(AND('Atividades Micro'!$B402=AW$2,'Atividades Micro'!$K402&lt;&gt;""),'Atividades Micro'!$K402,"")</f>
        <v/>
      </c>
      <c r="AX350" s="21" t="str">
        <f>IF(AND('Atividades Micro'!$B402=AX$2,'Atividades Micro'!$L402&lt;&gt;""),'Atividades Micro'!$L402,"")</f>
        <v/>
      </c>
      <c r="AY350" s="21" t="str">
        <f>IF(AND('Atividades Micro'!$A402=AY$2,'Atividades Micro'!$K402&lt;&gt;""),'Atividades Micro'!$K402,"")</f>
        <v/>
      </c>
      <c r="AZ350" s="21" t="str">
        <f>IF(AND('Atividades Micro'!$A402=AZ$2,'Atividades Micro'!$L402&lt;&gt;""),'Atividades Micro'!$L402,"")</f>
        <v/>
      </c>
      <c r="BA350" s="21" t="str">
        <f>IF(AND('Atividades Micro'!$B402=BA$2,'Atividades Micro'!$K402&lt;&gt;""),'Atividades Micro'!$K402,"")</f>
        <v/>
      </c>
      <c r="BB350" s="21" t="str">
        <f>IF(AND('Atividades Micro'!$B402=BB$2,'Atividades Micro'!$L402&lt;&gt;""),'Atividades Micro'!$L402,"")</f>
        <v/>
      </c>
      <c r="BC350" s="21" t="str">
        <f>IF(AND('Atividades Micro'!$B402=BC$2,'Atividades Micro'!$G402="Macro",'Atividades Micro'!$K402&lt;&gt;""),'Atividades Micro'!$K402,"")</f>
        <v/>
      </c>
      <c r="BD350" s="21" t="str">
        <f>IF(AND('Atividades Micro'!$B402=BD$2,'Atividades Micro'!$G402="Macro",'Atividades Micro'!$K402&lt;&gt;""),'Atividades Micro'!$K402,"")</f>
        <v/>
      </c>
      <c r="BE350" s="21" t="str">
        <f>IF(AND('Atividades Micro'!$B402=BE$2,'Atividades Micro'!$G402="Macro",'Atividades Micro'!$K402&lt;&gt;""),'Atividades Micro'!$K402,"")</f>
        <v/>
      </c>
      <c r="BF350" s="21" t="str">
        <f>IF(AND('Atividades Micro'!$B402=BF$2,'Atividades Micro'!$G402="Macro",'Atividades Micro'!$K402&lt;&gt;""),'Atividades Micro'!$K402,"")</f>
        <v/>
      </c>
      <c r="BG350" s="21" t="str">
        <f>IF(AND('Atividades Micro'!$B402=BG$2,'Atividades Micro'!$G402="Macro",'Atividades Micro'!$K402&lt;&gt;""),'Atividades Micro'!$K402,"")</f>
        <v/>
      </c>
      <c r="BH350" s="21" t="str">
        <f>IF(AND('Atividades Micro'!$B402=BH$2,'Atividades Micro'!$G402="Macro",'Atividades Micro'!$K402&lt;&gt;""),'Atividades Micro'!$K402,"")</f>
        <v/>
      </c>
      <c r="BI350" s="21" t="str">
        <f>IF(AND('Atividades Micro'!$B402=BI$2,'Atividades Micro'!$G402="Macro",'Atividades Micro'!$K402&lt;&gt;""),'Atividades Micro'!$K402,"")</f>
        <v/>
      </c>
      <c r="BJ350" s="21" t="str">
        <f>IF(AND('Atividades Micro'!$B402=BJ$2,'Atividades Micro'!$G402="Macro",'Atividades Micro'!$K402&lt;&gt;""),'Atividades Micro'!$K402,"")</f>
        <v/>
      </c>
      <c r="BK350" s="21" t="str">
        <f>IF(AND('Atividades Micro'!$B402=BK$2,'Atividades Micro'!$G402="Macro",'Atividades Micro'!$K402&lt;&gt;""),'Atividades Micro'!$K402,"")</f>
        <v/>
      </c>
      <c r="BL350" s="21" t="str">
        <f>IF(AND('Atividades Micro'!$B402=BL$2,'Atividades Micro'!$G402="Macro",'Atividades Micro'!$K402&lt;&gt;""),'Atividades Micro'!$K402,"")</f>
        <v/>
      </c>
      <c r="BM350" s="21" t="str">
        <f>IF(AND('Atividades Micro'!$B402=BM$2,'Atividades Micro'!$G402="Macro",'Atividades Micro'!$K402&lt;&gt;""),'Atividades Micro'!$K402,"")</f>
        <v/>
      </c>
      <c r="BN350" s="21" t="str">
        <f>IF(AND('Atividades Micro'!$B402=BN$2,'Atividades Micro'!$G402="Macro",'Atividades Micro'!$K402&lt;&gt;""),'Atividades Micro'!$K402,"")</f>
        <v/>
      </c>
      <c r="BO350" s="21" t="str">
        <f>IF(AND('Atividades Micro'!$B402=BO$2,'Atividades Micro'!$G402="Macro",'Atividades Micro'!$K402&lt;&gt;""),'Atividades Micro'!$K402,"")</f>
        <v/>
      </c>
      <c r="BP350" s="21" t="str">
        <f>IF(AND('Atividades Micro'!$B402=BP$2,'Atividades Micro'!$G402="Macro",'Atividades Micro'!$K402&lt;&gt;""),'Atividades Micro'!$K402,"")</f>
        <v/>
      </c>
      <c r="BQ350" s="21" t="str">
        <f>IF(AND('Atividades Micro'!$B402=BQ$2,'Atividades Micro'!$G402="Macro",'Atividades Micro'!$K402&lt;&gt;""),'Atividades Micro'!$K402,"")</f>
        <v/>
      </c>
      <c r="BR350" s="21" t="str">
        <f>IF(AND('Atividades Micro'!$B402=BR$2,'Atividades Micro'!$G402="Macro",'Atividades Micro'!$K402&lt;&gt;""),'Atividades Micro'!$K402,"")</f>
        <v/>
      </c>
      <c r="BS350" s="21" t="str">
        <f>IF(AND('Atividades Micro'!$B402=BS$2,'Atividades Micro'!$G402="Macro",'Atividades Micro'!$K402&lt;&gt;""),'Atividades Micro'!$K402,"")</f>
        <v/>
      </c>
      <c r="BT350" s="21" t="str">
        <f>IF(AND('Atividades Micro'!$B402=BT$2,'Atividades Micro'!$G402="Macro",'Atividades Micro'!$K402&lt;&gt;""),'Atividades Micro'!$K402,"")</f>
        <v/>
      </c>
      <c r="BU350" s="21" t="str">
        <f>IF(AND('Atividades Micro'!$B402=BU$2,'Atividades Micro'!$G402="Macro",'Atividades Micro'!$K402&lt;&gt;""),'Atividades Micro'!$K402,"")</f>
        <v/>
      </c>
      <c r="BV350" s="21" t="str">
        <f>IF(AND('Atividades Micro'!$B402=BV$2,'Atividades Micro'!$G402="Macro",'Atividades Micro'!$K402&lt;&gt;""),'Atividades Micro'!$K402,"")</f>
        <v/>
      </c>
      <c r="BW350" s="21" t="str">
        <f>IF(AND('Atividades Micro'!$B402=BW$2,'Atividades Micro'!$G402="Macro",'Atividades Micro'!$K402&lt;&gt;""),'Atividades Micro'!$K402,"")</f>
        <v/>
      </c>
      <c r="BX350" s="21" t="str">
        <f>IF(AND('Atividades Micro'!$B402=BX$2,'Atividades Micro'!$G402="Macro",'Atividades Micro'!$K402&lt;&gt;""),'Atividades Micro'!$K402,"")</f>
        <v/>
      </c>
      <c r="BY350" s="21" t="str">
        <f>IF(AND('Atividades Micro'!$B402=BY$2,'Atividades Micro'!$G402="Macro",'Atividades Micro'!$K402&lt;&gt;""),'Atividades Micro'!$K402,"")</f>
        <v/>
      </c>
      <c r="BZ350" s="21" t="str">
        <f>IF(AND('Atividades Micro'!$B402=BZ$2,'Atividades Micro'!$G402="Macro",'Atividades Micro'!$K402&lt;&gt;""),'Atividades Micro'!$K402,"")</f>
        <v/>
      </c>
      <c r="CA350" s="21" t="str">
        <f>IF(AND('Atividades Micro'!$B402=CA$2,'Atividades Micro'!$G402="Macro",'Atividades Micro'!$K402&lt;&gt;""),'Atividades Micro'!$K402,"")</f>
        <v/>
      </c>
      <c r="CB350" s="21" t="str">
        <f>IF(AND('Atividades Micro'!$B402=CB$2,'Atividades Micro'!$G402="Macro",'Atividades Micro'!$K402&lt;&gt;""),'Atividades Micro'!$K402,"")</f>
        <v/>
      </c>
      <c r="CC350" s="21" t="str">
        <f>IF(AND('Atividades Micro'!$B402=CC$2,'Atividades Micro'!$G402="Macro",'Atividades Micro'!$K402&lt;&gt;""),'Atividades Micro'!$K402,"")</f>
        <v/>
      </c>
      <c r="CD350" s="21" t="str">
        <f>IF(AND('Atividades Micro'!$B402=CD$2,'Atividades Micro'!$G402="Micro",'Atividades Micro'!$K402&lt;&gt;""),'Atividades Micro'!$K402,"")</f>
        <v/>
      </c>
      <c r="CE350" s="21" t="str">
        <f>IF(AND('Atividades Micro'!$B402=CE$2,'Atividades Micro'!$G402="Micro",'Atividades Micro'!$K402&lt;&gt;""),'Atividades Micro'!$K402,"")</f>
        <v/>
      </c>
      <c r="CF350" s="21" t="str">
        <f>IF(AND('Atividades Micro'!$B402=CF$2,'Atividades Micro'!$G402="Micro",'Atividades Micro'!$K402&lt;&gt;""),'Atividades Micro'!$K402,"")</f>
        <v/>
      </c>
      <c r="CG350" s="21" t="str">
        <f>IF(AND('Atividades Micro'!$B402=CG$2,'Atividades Micro'!$G402="Micro",'Atividades Micro'!$K402&lt;&gt;""),'Atividades Micro'!$K402,"")</f>
        <v/>
      </c>
      <c r="CH350" s="21" t="str">
        <f>IF(AND('Atividades Micro'!$B402=CH$2,'Atividades Micro'!$G402="Micro",'Atividades Micro'!$K402&lt;&gt;""),'Atividades Micro'!$K402,"")</f>
        <v/>
      </c>
      <c r="CI350" s="21" t="str">
        <f>IF(AND('Atividades Micro'!$B402=CI$2,'Atividades Micro'!$G402="Micro",'Atividades Micro'!$K402&lt;&gt;""),'Atividades Micro'!$K402,"")</f>
        <v/>
      </c>
      <c r="CJ350" s="21" t="str">
        <f>IF(AND('Atividades Micro'!$B402=CJ$2,'Atividades Micro'!$G402="Micro",'Atividades Micro'!$K402&lt;&gt;""),'Atividades Micro'!$K402,"")</f>
        <v/>
      </c>
      <c r="CK350" s="21" t="str">
        <f>IF(AND('Atividades Micro'!$B402=CK$2,'Atividades Micro'!$G402="Micro",'Atividades Micro'!$K402&lt;&gt;""),'Atividades Micro'!$K402,"")</f>
        <v/>
      </c>
      <c r="CL350" s="21" t="str">
        <f>IF(AND('Atividades Micro'!$B402=CL$2,'Atividades Micro'!$G402="Micro",'Atividades Micro'!$K402&lt;&gt;""),'Atividades Micro'!$K402,"")</f>
        <v/>
      </c>
      <c r="CM350" s="21" t="str">
        <f>IF(AND('Atividades Micro'!$B402=CM$2,'Atividades Micro'!$G402="Micro",'Atividades Micro'!$K402&lt;&gt;""),'Atividades Micro'!$K402,"")</f>
        <v/>
      </c>
      <c r="CN350" s="21" t="str">
        <f>IF(AND('Atividades Micro'!$B402=CN$2,'Atividades Micro'!$G402="Micro",'Atividades Micro'!$K402&lt;&gt;""),'Atividades Micro'!$K402,"")</f>
        <v/>
      </c>
      <c r="CO350" s="21" t="str">
        <f>IF(AND('Atividades Micro'!$B402=CO$2,'Atividades Micro'!$G402="Micro",'Atividades Micro'!$K402&lt;&gt;""),'Atividades Micro'!$K402,"")</f>
        <v/>
      </c>
    </row>
    <row r="351" spans="1:93">
      <c r="A351" s="21" t="str">
        <f>IF(AND('Atividades Micro'!$A403=A$2,'Atividades Micro'!$K403&lt;&gt;""),'Atividades Micro'!$K403,"")</f>
        <v/>
      </c>
      <c r="B351" s="21" t="str">
        <f>IF(AND('Atividades Micro'!$A403=B$2,'Atividades Micro'!$L403&lt;&gt;""),'Atividades Micro'!$L403,"")</f>
        <v/>
      </c>
      <c r="C351" s="21" t="str">
        <f>IF(AND('Atividades Micro'!$A403=C$2,'Atividades Micro'!$K403&lt;&gt;""),'Atividades Micro'!$K403,"")</f>
        <v/>
      </c>
      <c r="D351" s="21" t="str">
        <f>IF(AND('Atividades Micro'!$A403=D$2,'Atividades Micro'!$L403&lt;&gt;""),'Atividades Micro'!$L403,"")</f>
        <v/>
      </c>
      <c r="E351" s="21" t="str">
        <f>IF(AND('Atividades Micro'!$A403=E$2,'Atividades Micro'!$K403&lt;&gt;""),'Atividades Micro'!$K403,"")</f>
        <v/>
      </c>
      <c r="F351" s="21" t="str">
        <f>IF(AND('Atividades Micro'!$A403=F$2,'Atividades Micro'!$L403&lt;&gt;""),'Atividades Micro'!$L403,"")</f>
        <v/>
      </c>
      <c r="G351" s="21" t="str">
        <f>IF(AND('Atividades Micro'!$A403=G$2,'Atividades Micro'!$K403&lt;&gt;""),'Atividades Micro'!$K403,"")</f>
        <v/>
      </c>
      <c r="H351" s="21" t="str">
        <f>IF(AND('Atividades Micro'!$A403=H$2,'Atividades Micro'!$L403&lt;&gt;""),'Atividades Micro'!$L403,"")</f>
        <v/>
      </c>
      <c r="I351" s="21" t="str">
        <f>IF(AND('Atividades Micro'!$A403=I$2,'Atividades Micro'!$K403&lt;&gt;""),'Atividades Micro'!$K403,"")</f>
        <v/>
      </c>
      <c r="J351" s="21" t="str">
        <f>IF(AND('Atividades Micro'!$A403=J$2,'Atividades Micro'!$L403&lt;&gt;""),'Atividades Micro'!$L403,"")</f>
        <v/>
      </c>
      <c r="K351" s="21" t="str">
        <f>IF(AND('Atividades Micro'!$B403=K$2,'Atividades Micro'!$K403&lt;&gt;""),'Atividades Micro'!$K403,"")</f>
        <v/>
      </c>
      <c r="L351" s="21" t="str">
        <f>IF(AND('Atividades Micro'!$B403=L$2,'Atividades Micro'!$L403&lt;&gt;""),'Atividades Micro'!$L403,"")</f>
        <v/>
      </c>
      <c r="M351" s="21" t="str">
        <f>IF(AND('Atividades Micro'!$B403=M$2,'Atividades Micro'!$K403&lt;&gt;""),'Atividades Micro'!$K403,"")</f>
        <v/>
      </c>
      <c r="N351" s="21" t="str">
        <f>IF(AND('Atividades Micro'!$B403=N$2,'Atividades Micro'!$L403&lt;&gt;""),'Atividades Micro'!$L403,"")</f>
        <v/>
      </c>
      <c r="O351" s="21" t="str">
        <f>IF(AND('Atividades Micro'!$A403=O$2,'Atividades Micro'!$K403&lt;&gt;""),'Atividades Micro'!$K403,"")</f>
        <v/>
      </c>
      <c r="P351" s="21" t="str">
        <f>IF(AND('Atividades Micro'!$A403=P$2,'Atividades Micro'!$L403&lt;&gt;""),'Atividades Micro'!$L403,"")</f>
        <v/>
      </c>
      <c r="Q351" s="21" t="str">
        <f>IF(AND('Atividades Micro'!$B403=Q$2,'Atividades Micro'!$K403&lt;&gt;""),'Atividades Micro'!$K403,"")</f>
        <v/>
      </c>
      <c r="R351" s="21" t="str">
        <f>IF(AND('Atividades Micro'!$B403=R$2,'Atividades Micro'!$L403&lt;&gt;""),'Atividades Micro'!$L403,"")</f>
        <v/>
      </c>
      <c r="S351" s="21" t="str">
        <f>IF(AND('Atividades Micro'!$A403=S$2,'Atividades Micro'!$K403&lt;&gt;""),'Atividades Micro'!$K403,"")</f>
        <v/>
      </c>
      <c r="T351" s="21" t="str">
        <f>IF(AND('Atividades Micro'!$A403=T$2,'Atividades Micro'!$L403&lt;&gt;""),'Atividades Micro'!$L403,"")</f>
        <v/>
      </c>
      <c r="U351" s="21" t="str">
        <f>IF(AND('Atividades Micro'!$B403=U$2,'Atividades Micro'!$K403&lt;&gt;""),'Atividades Micro'!$K403,"")</f>
        <v/>
      </c>
      <c r="V351" s="21" t="str">
        <f>IF(AND('Atividades Micro'!$B403=V$2,'Atividades Micro'!$L403&lt;&gt;""),'Atividades Micro'!$L403,"")</f>
        <v/>
      </c>
      <c r="W351" s="21" t="str">
        <f>IF(AND('Atividades Micro'!$B403=W$2,'Atividades Micro'!$K403&lt;&gt;""),'Atividades Micro'!$K403,"")</f>
        <v/>
      </c>
      <c r="X351" s="21" t="str">
        <f>IF(AND('Atividades Micro'!$B403=X$2,'Atividades Micro'!$L403&lt;&gt;""),'Atividades Micro'!$L403,"")</f>
        <v/>
      </c>
      <c r="Y351" s="21" t="str">
        <f>IF(AND('Atividades Micro'!$A403=Y$2,'Atividades Micro'!$K403&lt;&gt;""),'Atividades Micro'!$K403,"")</f>
        <v/>
      </c>
      <c r="Z351" s="21" t="str">
        <f>IF(AND('Atividades Micro'!$A403=Z$2,'Atividades Micro'!$L403&lt;&gt;""),'Atividades Micro'!$L403,"")</f>
        <v/>
      </c>
      <c r="AA351" s="21" t="str">
        <f>IF(AND('Atividades Micro'!$B403=AA$2,'Atividades Micro'!$K403&lt;&gt;""),'Atividades Micro'!$K403,"")</f>
        <v/>
      </c>
      <c r="AB351" s="21" t="str">
        <f>IF(AND('Atividades Micro'!$B403=AB$2,'Atividades Micro'!$L403&lt;&gt;""),'Atividades Micro'!$L403,"")</f>
        <v/>
      </c>
      <c r="AC351" s="21" t="str">
        <f>IF(AND('Atividades Micro'!$B403=AC$2,'Atividades Micro'!$K403&lt;&gt;""),'Atividades Micro'!$K403,"")</f>
        <v/>
      </c>
      <c r="AD351" s="21" t="str">
        <f>IF(AND('Atividades Micro'!$B403=AD$2,'Atividades Micro'!$L403&lt;&gt;""),'Atividades Micro'!$L403,"")</f>
        <v/>
      </c>
      <c r="AE351" s="21" t="str">
        <f>IF(AND('Atividades Micro'!$A403=AE$2,'Atividades Micro'!$K403&lt;&gt;""),'Atividades Micro'!$K403,"")</f>
        <v/>
      </c>
      <c r="AF351" s="21" t="str">
        <f>IF(AND('Atividades Micro'!$A403=AF$2,'Atividades Micro'!$L403&lt;&gt;""),'Atividades Micro'!$L403,"")</f>
        <v/>
      </c>
      <c r="AG351" s="21" t="str">
        <f>IF(AND('Atividades Micro'!$B403=AG$2,'Atividades Micro'!$K403&lt;&gt;""),'Atividades Micro'!$K403,"")</f>
        <v/>
      </c>
      <c r="AH351" s="21" t="str">
        <f>IF(AND('Atividades Micro'!$B403=AH$2,'Atividades Micro'!$L403&lt;&gt;""),'Atividades Micro'!$L403,"")</f>
        <v/>
      </c>
      <c r="AI351" s="21" t="str">
        <f>IF(AND('Atividades Micro'!$B403=AI$2,'Atividades Micro'!$K403&lt;&gt;""),'Atividades Micro'!$K403,"")</f>
        <v/>
      </c>
      <c r="AJ351" s="21" t="str">
        <f>IF(AND('Atividades Micro'!$B403=AJ$2,'Atividades Micro'!$L403&lt;&gt;""),'Atividades Micro'!$L403,"")</f>
        <v/>
      </c>
      <c r="AK351" s="21" t="str">
        <f>IF(AND('Atividades Micro'!$A403=AK$2,'Atividades Micro'!$K403&lt;&gt;""),'Atividades Micro'!$K403,"")</f>
        <v/>
      </c>
      <c r="AL351" s="21" t="str">
        <f>IF(AND('Atividades Micro'!$A403=AL$2,'Atividades Micro'!$L403&lt;&gt;""),'Atividades Micro'!$L403,"")</f>
        <v/>
      </c>
      <c r="AM351" s="21" t="str">
        <f>IF(AND('Atividades Micro'!$B403=AM$2,'Atividades Micro'!$K403&lt;&gt;""),'Atividades Micro'!$K403,"")</f>
        <v/>
      </c>
      <c r="AN351" s="21" t="str">
        <f>IF(AND('Atividades Micro'!$B403=AN$2,'Atividades Micro'!$L403&lt;&gt;""),'Atividades Micro'!$L403,"")</f>
        <v/>
      </c>
      <c r="AO351" s="21" t="str">
        <f>IF(AND('Atividades Micro'!$B403=AO$2,'Atividades Micro'!$K403&lt;&gt;""),'Atividades Micro'!$K403,"")</f>
        <v/>
      </c>
      <c r="AP351" s="21" t="str">
        <f>IF(AND('Atividades Micro'!$B403=AP$2,'Atividades Micro'!$L403&lt;&gt;""),'Atividades Micro'!$L403,"")</f>
        <v/>
      </c>
      <c r="AQ351" s="21" t="str">
        <f>IF(AND('Atividades Micro'!$A403=AQ$2,'Atividades Micro'!$K403&lt;&gt;""),'Atividades Micro'!$K403,"")</f>
        <v/>
      </c>
      <c r="AR351" s="21" t="str">
        <f>IF(AND('Atividades Micro'!$A403=AR$2,'Atividades Micro'!$L403&lt;&gt;""),'Atividades Micro'!$L403,"")</f>
        <v/>
      </c>
      <c r="AS351" s="21" t="str">
        <f>IF(AND('Atividades Micro'!$B403=AS$2,'Atividades Micro'!$K403&lt;&gt;""),'Atividades Micro'!$K403,"")</f>
        <v/>
      </c>
      <c r="AT351" s="21" t="str">
        <f>IF(AND('Atividades Micro'!$B403=AT$2,'Atividades Micro'!$L403&lt;&gt;""),'Atividades Micro'!$L403,"")</f>
        <v/>
      </c>
      <c r="AU351" s="21" t="str">
        <f>IF(AND('Atividades Micro'!$A403=AU$2,'Atividades Micro'!$K403&lt;&gt;""),'Atividades Micro'!$K403,"")</f>
        <v/>
      </c>
      <c r="AV351" s="21" t="str">
        <f>IF(AND('Atividades Micro'!$A403=AV$2,'Atividades Micro'!$L403&lt;&gt;""),'Atividades Micro'!$L403,"")</f>
        <v/>
      </c>
      <c r="AW351" s="21" t="str">
        <f>IF(AND('Atividades Micro'!$B403=AW$2,'Atividades Micro'!$K403&lt;&gt;""),'Atividades Micro'!$K403,"")</f>
        <v/>
      </c>
      <c r="AX351" s="21" t="str">
        <f>IF(AND('Atividades Micro'!$B403=AX$2,'Atividades Micro'!$L403&lt;&gt;""),'Atividades Micro'!$L403,"")</f>
        <v/>
      </c>
      <c r="AY351" s="21" t="str">
        <f>IF(AND('Atividades Micro'!$A403=AY$2,'Atividades Micro'!$K403&lt;&gt;""),'Atividades Micro'!$K403,"")</f>
        <v/>
      </c>
      <c r="AZ351" s="21" t="str">
        <f>IF(AND('Atividades Micro'!$A403=AZ$2,'Atividades Micro'!$L403&lt;&gt;""),'Atividades Micro'!$L403,"")</f>
        <v/>
      </c>
      <c r="BA351" s="21" t="str">
        <f>IF(AND('Atividades Micro'!$B403=BA$2,'Atividades Micro'!$K403&lt;&gt;""),'Atividades Micro'!$K403,"")</f>
        <v/>
      </c>
      <c r="BB351" s="21" t="str">
        <f>IF(AND('Atividades Micro'!$B403=BB$2,'Atividades Micro'!$L403&lt;&gt;""),'Atividades Micro'!$L403,"")</f>
        <v/>
      </c>
      <c r="BC351" s="21" t="str">
        <f>IF(AND('Atividades Micro'!$B403=BC$2,'Atividades Micro'!$G403="Macro",'Atividades Micro'!$K403&lt;&gt;""),'Atividades Micro'!$K403,"")</f>
        <v/>
      </c>
      <c r="BD351" s="21" t="str">
        <f>IF(AND('Atividades Micro'!$B403=BD$2,'Atividades Micro'!$G403="Macro",'Atividades Micro'!$K403&lt;&gt;""),'Atividades Micro'!$K403,"")</f>
        <v/>
      </c>
      <c r="BE351" s="21" t="str">
        <f>IF(AND('Atividades Micro'!$B403=BE$2,'Atividades Micro'!$G403="Macro",'Atividades Micro'!$K403&lt;&gt;""),'Atividades Micro'!$K403,"")</f>
        <v/>
      </c>
      <c r="BF351" s="21" t="str">
        <f>IF(AND('Atividades Micro'!$B403=BF$2,'Atividades Micro'!$G403="Macro",'Atividades Micro'!$K403&lt;&gt;""),'Atividades Micro'!$K403,"")</f>
        <v/>
      </c>
      <c r="BG351" s="21" t="str">
        <f>IF(AND('Atividades Micro'!$B403=BG$2,'Atividades Micro'!$G403="Macro",'Atividades Micro'!$K403&lt;&gt;""),'Atividades Micro'!$K403,"")</f>
        <v/>
      </c>
      <c r="BH351" s="21" t="str">
        <f>IF(AND('Atividades Micro'!$B403=BH$2,'Atividades Micro'!$G403="Macro",'Atividades Micro'!$K403&lt;&gt;""),'Atividades Micro'!$K403,"")</f>
        <v/>
      </c>
      <c r="BI351" s="21" t="str">
        <f>IF(AND('Atividades Micro'!$B403=BI$2,'Atividades Micro'!$G403="Macro",'Atividades Micro'!$K403&lt;&gt;""),'Atividades Micro'!$K403,"")</f>
        <v/>
      </c>
      <c r="BJ351" s="21" t="str">
        <f>IF(AND('Atividades Micro'!$B403=BJ$2,'Atividades Micro'!$G403="Macro",'Atividades Micro'!$K403&lt;&gt;""),'Atividades Micro'!$K403,"")</f>
        <v/>
      </c>
      <c r="BK351" s="21" t="str">
        <f>IF(AND('Atividades Micro'!$B403=BK$2,'Atividades Micro'!$G403="Macro",'Atividades Micro'!$K403&lt;&gt;""),'Atividades Micro'!$K403,"")</f>
        <v/>
      </c>
      <c r="BL351" s="21" t="str">
        <f>IF(AND('Atividades Micro'!$B403=BL$2,'Atividades Micro'!$G403="Macro",'Atividades Micro'!$K403&lt;&gt;""),'Atividades Micro'!$K403,"")</f>
        <v/>
      </c>
      <c r="BM351" s="21" t="str">
        <f>IF(AND('Atividades Micro'!$B403=BM$2,'Atividades Micro'!$G403="Macro",'Atividades Micro'!$K403&lt;&gt;""),'Atividades Micro'!$K403,"")</f>
        <v/>
      </c>
      <c r="BN351" s="21" t="str">
        <f>IF(AND('Atividades Micro'!$B403=BN$2,'Atividades Micro'!$G403="Macro",'Atividades Micro'!$K403&lt;&gt;""),'Atividades Micro'!$K403,"")</f>
        <v/>
      </c>
      <c r="BO351" s="21" t="str">
        <f>IF(AND('Atividades Micro'!$B403=BO$2,'Atividades Micro'!$G403="Macro",'Atividades Micro'!$K403&lt;&gt;""),'Atividades Micro'!$K403,"")</f>
        <v/>
      </c>
      <c r="BP351" s="21" t="str">
        <f>IF(AND('Atividades Micro'!$B403=BP$2,'Atividades Micro'!$G403="Macro",'Atividades Micro'!$K403&lt;&gt;""),'Atividades Micro'!$K403,"")</f>
        <v/>
      </c>
      <c r="BQ351" s="21" t="str">
        <f>IF(AND('Atividades Micro'!$B403=BQ$2,'Atividades Micro'!$G403="Macro",'Atividades Micro'!$K403&lt;&gt;""),'Atividades Micro'!$K403,"")</f>
        <v/>
      </c>
      <c r="BR351" s="21" t="str">
        <f>IF(AND('Atividades Micro'!$B403=BR$2,'Atividades Micro'!$G403="Macro",'Atividades Micro'!$K403&lt;&gt;""),'Atividades Micro'!$K403,"")</f>
        <v/>
      </c>
      <c r="BS351" s="21" t="str">
        <f>IF(AND('Atividades Micro'!$B403=BS$2,'Atividades Micro'!$G403="Macro",'Atividades Micro'!$K403&lt;&gt;""),'Atividades Micro'!$K403,"")</f>
        <v/>
      </c>
      <c r="BT351" s="21" t="str">
        <f>IF(AND('Atividades Micro'!$B403=BT$2,'Atividades Micro'!$G403="Macro",'Atividades Micro'!$K403&lt;&gt;""),'Atividades Micro'!$K403,"")</f>
        <v/>
      </c>
      <c r="BU351" s="21" t="str">
        <f>IF(AND('Atividades Micro'!$B403=BU$2,'Atividades Micro'!$G403="Macro",'Atividades Micro'!$K403&lt;&gt;""),'Atividades Micro'!$K403,"")</f>
        <v/>
      </c>
      <c r="BV351" s="21" t="str">
        <f>IF(AND('Atividades Micro'!$B403=BV$2,'Atividades Micro'!$G403="Macro",'Atividades Micro'!$K403&lt;&gt;""),'Atividades Micro'!$K403,"")</f>
        <v/>
      </c>
      <c r="BW351" s="21" t="str">
        <f>IF(AND('Atividades Micro'!$B403=BW$2,'Atividades Micro'!$G403="Macro",'Atividades Micro'!$K403&lt;&gt;""),'Atividades Micro'!$K403,"")</f>
        <v/>
      </c>
      <c r="BX351" s="21" t="str">
        <f>IF(AND('Atividades Micro'!$B403=BX$2,'Atividades Micro'!$G403="Macro",'Atividades Micro'!$K403&lt;&gt;""),'Atividades Micro'!$K403,"")</f>
        <v/>
      </c>
      <c r="BY351" s="21" t="str">
        <f>IF(AND('Atividades Micro'!$B403=BY$2,'Atividades Micro'!$G403="Macro",'Atividades Micro'!$K403&lt;&gt;""),'Atividades Micro'!$K403,"")</f>
        <v/>
      </c>
      <c r="BZ351" s="21" t="str">
        <f>IF(AND('Atividades Micro'!$B403=BZ$2,'Atividades Micro'!$G403="Macro",'Atividades Micro'!$K403&lt;&gt;""),'Atividades Micro'!$K403,"")</f>
        <v/>
      </c>
      <c r="CA351" s="21" t="str">
        <f>IF(AND('Atividades Micro'!$B403=CA$2,'Atividades Micro'!$G403="Macro",'Atividades Micro'!$K403&lt;&gt;""),'Atividades Micro'!$K403,"")</f>
        <v/>
      </c>
      <c r="CB351" s="21" t="str">
        <f>IF(AND('Atividades Micro'!$B403=CB$2,'Atividades Micro'!$G403="Macro",'Atividades Micro'!$K403&lt;&gt;""),'Atividades Micro'!$K403,"")</f>
        <v/>
      </c>
      <c r="CC351" s="21" t="str">
        <f>IF(AND('Atividades Micro'!$B403=CC$2,'Atividades Micro'!$G403="Macro",'Atividades Micro'!$K403&lt;&gt;""),'Atividades Micro'!$K403,"")</f>
        <v/>
      </c>
      <c r="CD351" s="21" t="str">
        <f>IF(AND('Atividades Micro'!$B403=CD$2,'Atividades Micro'!$G403="Micro",'Atividades Micro'!$K403&lt;&gt;""),'Atividades Micro'!$K403,"")</f>
        <v/>
      </c>
      <c r="CE351" s="21" t="str">
        <f>IF(AND('Atividades Micro'!$B403=CE$2,'Atividades Micro'!$G403="Micro",'Atividades Micro'!$K403&lt;&gt;""),'Atividades Micro'!$K403,"")</f>
        <v/>
      </c>
      <c r="CF351" s="21" t="str">
        <f>IF(AND('Atividades Micro'!$B403=CF$2,'Atividades Micro'!$G403="Micro",'Atividades Micro'!$K403&lt;&gt;""),'Atividades Micro'!$K403,"")</f>
        <v/>
      </c>
      <c r="CG351" s="21" t="str">
        <f>IF(AND('Atividades Micro'!$B403=CG$2,'Atividades Micro'!$G403="Micro",'Atividades Micro'!$K403&lt;&gt;""),'Atividades Micro'!$K403,"")</f>
        <v/>
      </c>
      <c r="CH351" s="21" t="str">
        <f>IF(AND('Atividades Micro'!$B403=CH$2,'Atividades Micro'!$G403="Micro",'Atividades Micro'!$K403&lt;&gt;""),'Atividades Micro'!$K403,"")</f>
        <v/>
      </c>
      <c r="CI351" s="21" t="str">
        <f>IF(AND('Atividades Micro'!$B403=CI$2,'Atividades Micro'!$G403="Micro",'Atividades Micro'!$K403&lt;&gt;""),'Atividades Micro'!$K403,"")</f>
        <v/>
      </c>
      <c r="CJ351" s="21" t="str">
        <f>IF(AND('Atividades Micro'!$B403=CJ$2,'Atividades Micro'!$G403="Micro",'Atividades Micro'!$K403&lt;&gt;""),'Atividades Micro'!$K403,"")</f>
        <v/>
      </c>
      <c r="CK351" s="21" t="str">
        <f>IF(AND('Atividades Micro'!$B403=CK$2,'Atividades Micro'!$G403="Micro",'Atividades Micro'!$K403&lt;&gt;""),'Atividades Micro'!$K403,"")</f>
        <v/>
      </c>
      <c r="CL351" s="21" t="str">
        <f>IF(AND('Atividades Micro'!$B403=CL$2,'Atividades Micro'!$G403="Micro",'Atividades Micro'!$K403&lt;&gt;""),'Atividades Micro'!$K403,"")</f>
        <v/>
      </c>
      <c r="CM351" s="21" t="str">
        <f>IF(AND('Atividades Micro'!$B403=CM$2,'Atividades Micro'!$G403="Micro",'Atividades Micro'!$K403&lt;&gt;""),'Atividades Micro'!$K403,"")</f>
        <v/>
      </c>
      <c r="CN351" s="21" t="str">
        <f>IF(AND('Atividades Micro'!$B403=CN$2,'Atividades Micro'!$G403="Micro",'Atividades Micro'!$K403&lt;&gt;""),'Atividades Micro'!$K403,"")</f>
        <v/>
      </c>
      <c r="CO351" s="21" t="str">
        <f>IF(AND('Atividades Micro'!$B403=CO$2,'Atividades Micro'!$G403="Micro",'Atividades Micro'!$K403&lt;&gt;""),'Atividades Micro'!$K403,"")</f>
        <v/>
      </c>
    </row>
    <row r="352" spans="1:93">
      <c r="A352" s="21" t="str">
        <f>IF(AND('Atividades Micro'!$A404=A$2,'Atividades Micro'!$K404&lt;&gt;""),'Atividades Micro'!$K404,"")</f>
        <v/>
      </c>
      <c r="B352" s="21" t="str">
        <f>IF(AND('Atividades Micro'!$A404=B$2,'Atividades Micro'!$L404&lt;&gt;""),'Atividades Micro'!$L404,"")</f>
        <v/>
      </c>
      <c r="C352" s="21" t="str">
        <f>IF(AND('Atividades Micro'!$A404=C$2,'Atividades Micro'!$K404&lt;&gt;""),'Atividades Micro'!$K404,"")</f>
        <v/>
      </c>
      <c r="D352" s="21" t="str">
        <f>IF(AND('Atividades Micro'!$A404=D$2,'Atividades Micro'!$L404&lt;&gt;""),'Atividades Micro'!$L404,"")</f>
        <v/>
      </c>
      <c r="E352" s="21" t="str">
        <f>IF(AND('Atividades Micro'!$A404=E$2,'Atividades Micro'!$K404&lt;&gt;""),'Atividades Micro'!$K404,"")</f>
        <v/>
      </c>
      <c r="F352" s="21" t="str">
        <f>IF(AND('Atividades Micro'!$A404=F$2,'Atividades Micro'!$L404&lt;&gt;""),'Atividades Micro'!$L404,"")</f>
        <v/>
      </c>
      <c r="G352" s="21" t="str">
        <f>IF(AND('Atividades Micro'!$A404=G$2,'Atividades Micro'!$K404&lt;&gt;""),'Atividades Micro'!$K404,"")</f>
        <v/>
      </c>
      <c r="H352" s="21" t="str">
        <f>IF(AND('Atividades Micro'!$A404=H$2,'Atividades Micro'!$L404&lt;&gt;""),'Atividades Micro'!$L404,"")</f>
        <v/>
      </c>
      <c r="I352" s="21" t="str">
        <f>IF(AND('Atividades Micro'!$A404=I$2,'Atividades Micro'!$K404&lt;&gt;""),'Atividades Micro'!$K404,"")</f>
        <v/>
      </c>
      <c r="J352" s="21" t="str">
        <f>IF(AND('Atividades Micro'!$A404=J$2,'Atividades Micro'!$L404&lt;&gt;""),'Atividades Micro'!$L404,"")</f>
        <v/>
      </c>
      <c r="K352" s="21" t="str">
        <f>IF(AND('Atividades Micro'!$B404=K$2,'Atividades Micro'!$K404&lt;&gt;""),'Atividades Micro'!$K404,"")</f>
        <v/>
      </c>
      <c r="L352" s="21" t="str">
        <f>IF(AND('Atividades Micro'!$B404=L$2,'Atividades Micro'!$L404&lt;&gt;""),'Atividades Micro'!$L404,"")</f>
        <v/>
      </c>
      <c r="M352" s="21" t="str">
        <f>IF(AND('Atividades Micro'!$B404=M$2,'Atividades Micro'!$K404&lt;&gt;""),'Atividades Micro'!$K404,"")</f>
        <v/>
      </c>
      <c r="N352" s="21" t="str">
        <f>IF(AND('Atividades Micro'!$B404=N$2,'Atividades Micro'!$L404&lt;&gt;""),'Atividades Micro'!$L404,"")</f>
        <v/>
      </c>
      <c r="O352" s="21" t="str">
        <f>IF(AND('Atividades Micro'!$A404=O$2,'Atividades Micro'!$K404&lt;&gt;""),'Atividades Micro'!$K404,"")</f>
        <v/>
      </c>
      <c r="P352" s="21" t="str">
        <f>IF(AND('Atividades Micro'!$A404=P$2,'Atividades Micro'!$L404&lt;&gt;""),'Atividades Micro'!$L404,"")</f>
        <v/>
      </c>
      <c r="Q352" s="21" t="str">
        <f>IF(AND('Atividades Micro'!$B404=Q$2,'Atividades Micro'!$K404&lt;&gt;""),'Atividades Micro'!$K404,"")</f>
        <v/>
      </c>
      <c r="R352" s="21" t="str">
        <f>IF(AND('Atividades Micro'!$B404=R$2,'Atividades Micro'!$L404&lt;&gt;""),'Atividades Micro'!$L404,"")</f>
        <v/>
      </c>
      <c r="S352" s="21" t="str">
        <f>IF(AND('Atividades Micro'!$A404=S$2,'Atividades Micro'!$K404&lt;&gt;""),'Atividades Micro'!$K404,"")</f>
        <v/>
      </c>
      <c r="T352" s="21" t="str">
        <f>IF(AND('Atividades Micro'!$A404=T$2,'Atividades Micro'!$L404&lt;&gt;""),'Atividades Micro'!$L404,"")</f>
        <v/>
      </c>
      <c r="U352" s="21" t="str">
        <f>IF(AND('Atividades Micro'!$B404=U$2,'Atividades Micro'!$K404&lt;&gt;""),'Atividades Micro'!$K404,"")</f>
        <v/>
      </c>
      <c r="V352" s="21" t="str">
        <f>IF(AND('Atividades Micro'!$B404=V$2,'Atividades Micro'!$L404&lt;&gt;""),'Atividades Micro'!$L404,"")</f>
        <v/>
      </c>
      <c r="W352" s="21" t="str">
        <f>IF(AND('Atividades Micro'!$B404=W$2,'Atividades Micro'!$K404&lt;&gt;""),'Atividades Micro'!$K404,"")</f>
        <v/>
      </c>
      <c r="X352" s="21" t="str">
        <f>IF(AND('Atividades Micro'!$B404=X$2,'Atividades Micro'!$L404&lt;&gt;""),'Atividades Micro'!$L404,"")</f>
        <v/>
      </c>
      <c r="Y352" s="21" t="str">
        <f>IF(AND('Atividades Micro'!$A404=Y$2,'Atividades Micro'!$K404&lt;&gt;""),'Atividades Micro'!$K404,"")</f>
        <v/>
      </c>
      <c r="Z352" s="21" t="str">
        <f>IF(AND('Atividades Micro'!$A404=Z$2,'Atividades Micro'!$L404&lt;&gt;""),'Atividades Micro'!$L404,"")</f>
        <v/>
      </c>
      <c r="AA352" s="21" t="str">
        <f>IF(AND('Atividades Micro'!$B404=AA$2,'Atividades Micro'!$K404&lt;&gt;""),'Atividades Micro'!$K404,"")</f>
        <v/>
      </c>
      <c r="AB352" s="21" t="str">
        <f>IF(AND('Atividades Micro'!$B404=AB$2,'Atividades Micro'!$L404&lt;&gt;""),'Atividades Micro'!$L404,"")</f>
        <v/>
      </c>
      <c r="AC352" s="21" t="str">
        <f>IF(AND('Atividades Micro'!$B404=AC$2,'Atividades Micro'!$K404&lt;&gt;""),'Atividades Micro'!$K404,"")</f>
        <v/>
      </c>
      <c r="AD352" s="21" t="str">
        <f>IF(AND('Atividades Micro'!$B404=AD$2,'Atividades Micro'!$L404&lt;&gt;""),'Atividades Micro'!$L404,"")</f>
        <v/>
      </c>
      <c r="AE352" s="21" t="str">
        <f>IF(AND('Atividades Micro'!$A404=AE$2,'Atividades Micro'!$K404&lt;&gt;""),'Atividades Micro'!$K404,"")</f>
        <v/>
      </c>
      <c r="AF352" s="21" t="str">
        <f>IF(AND('Atividades Micro'!$A404=AF$2,'Atividades Micro'!$L404&lt;&gt;""),'Atividades Micro'!$L404,"")</f>
        <v/>
      </c>
      <c r="AG352" s="21" t="str">
        <f>IF(AND('Atividades Micro'!$B404=AG$2,'Atividades Micro'!$K404&lt;&gt;""),'Atividades Micro'!$K404,"")</f>
        <v/>
      </c>
      <c r="AH352" s="21" t="str">
        <f>IF(AND('Atividades Micro'!$B404=AH$2,'Atividades Micro'!$L404&lt;&gt;""),'Atividades Micro'!$L404,"")</f>
        <v/>
      </c>
      <c r="AI352" s="21" t="str">
        <f>IF(AND('Atividades Micro'!$B404=AI$2,'Atividades Micro'!$K404&lt;&gt;""),'Atividades Micro'!$K404,"")</f>
        <v/>
      </c>
      <c r="AJ352" s="21" t="str">
        <f>IF(AND('Atividades Micro'!$B404=AJ$2,'Atividades Micro'!$L404&lt;&gt;""),'Atividades Micro'!$L404,"")</f>
        <v/>
      </c>
      <c r="AK352" s="21" t="str">
        <f>IF(AND('Atividades Micro'!$A404=AK$2,'Atividades Micro'!$K404&lt;&gt;""),'Atividades Micro'!$K404,"")</f>
        <v/>
      </c>
      <c r="AL352" s="21" t="str">
        <f>IF(AND('Atividades Micro'!$A404=AL$2,'Atividades Micro'!$L404&lt;&gt;""),'Atividades Micro'!$L404,"")</f>
        <v/>
      </c>
      <c r="AM352" s="21" t="str">
        <f>IF(AND('Atividades Micro'!$B404=AM$2,'Atividades Micro'!$K404&lt;&gt;""),'Atividades Micro'!$K404,"")</f>
        <v/>
      </c>
      <c r="AN352" s="21" t="str">
        <f>IF(AND('Atividades Micro'!$B404=AN$2,'Atividades Micro'!$L404&lt;&gt;""),'Atividades Micro'!$L404,"")</f>
        <v/>
      </c>
      <c r="AO352" s="21" t="str">
        <f>IF(AND('Atividades Micro'!$B404=AO$2,'Atividades Micro'!$K404&lt;&gt;""),'Atividades Micro'!$K404,"")</f>
        <v/>
      </c>
      <c r="AP352" s="21" t="str">
        <f>IF(AND('Atividades Micro'!$B404=AP$2,'Atividades Micro'!$L404&lt;&gt;""),'Atividades Micro'!$L404,"")</f>
        <v/>
      </c>
      <c r="AQ352" s="21" t="str">
        <f>IF(AND('Atividades Micro'!$A404=AQ$2,'Atividades Micro'!$K404&lt;&gt;""),'Atividades Micro'!$K404,"")</f>
        <v/>
      </c>
      <c r="AR352" s="21" t="str">
        <f>IF(AND('Atividades Micro'!$A404=AR$2,'Atividades Micro'!$L404&lt;&gt;""),'Atividades Micro'!$L404,"")</f>
        <v/>
      </c>
      <c r="AS352" s="21" t="str">
        <f>IF(AND('Atividades Micro'!$B404=AS$2,'Atividades Micro'!$K404&lt;&gt;""),'Atividades Micro'!$K404,"")</f>
        <v/>
      </c>
      <c r="AT352" s="21" t="str">
        <f>IF(AND('Atividades Micro'!$B404=AT$2,'Atividades Micro'!$L404&lt;&gt;""),'Atividades Micro'!$L404,"")</f>
        <v/>
      </c>
      <c r="AU352" s="21" t="str">
        <f>IF(AND('Atividades Micro'!$A404=AU$2,'Atividades Micro'!$K404&lt;&gt;""),'Atividades Micro'!$K404,"")</f>
        <v/>
      </c>
      <c r="AV352" s="21" t="str">
        <f>IF(AND('Atividades Micro'!$A404=AV$2,'Atividades Micro'!$L404&lt;&gt;""),'Atividades Micro'!$L404,"")</f>
        <v/>
      </c>
      <c r="AW352" s="21" t="str">
        <f>IF(AND('Atividades Micro'!$B404=AW$2,'Atividades Micro'!$K404&lt;&gt;""),'Atividades Micro'!$K404,"")</f>
        <v/>
      </c>
      <c r="AX352" s="21" t="str">
        <f>IF(AND('Atividades Micro'!$B404=AX$2,'Atividades Micro'!$L404&lt;&gt;""),'Atividades Micro'!$L404,"")</f>
        <v/>
      </c>
      <c r="AY352" s="21" t="str">
        <f>IF(AND('Atividades Micro'!$A404=AY$2,'Atividades Micro'!$K404&lt;&gt;""),'Atividades Micro'!$K404,"")</f>
        <v/>
      </c>
      <c r="AZ352" s="21" t="str">
        <f>IF(AND('Atividades Micro'!$A404=AZ$2,'Atividades Micro'!$L404&lt;&gt;""),'Atividades Micro'!$L404,"")</f>
        <v/>
      </c>
      <c r="BA352" s="21" t="str">
        <f>IF(AND('Atividades Micro'!$B404=BA$2,'Atividades Micro'!$K404&lt;&gt;""),'Atividades Micro'!$K404,"")</f>
        <v/>
      </c>
      <c r="BB352" s="21" t="str">
        <f>IF(AND('Atividades Micro'!$B404=BB$2,'Atividades Micro'!$L404&lt;&gt;""),'Atividades Micro'!$L404,"")</f>
        <v/>
      </c>
      <c r="BC352" s="21" t="str">
        <f>IF(AND('Atividades Micro'!$B404=BC$2,'Atividades Micro'!$G404="Macro",'Atividades Micro'!$K404&lt;&gt;""),'Atividades Micro'!$K404,"")</f>
        <v/>
      </c>
      <c r="BD352" s="21" t="str">
        <f>IF(AND('Atividades Micro'!$B404=BD$2,'Atividades Micro'!$G404="Macro",'Atividades Micro'!$K404&lt;&gt;""),'Atividades Micro'!$K404,"")</f>
        <v/>
      </c>
      <c r="BE352" s="21" t="str">
        <f>IF(AND('Atividades Micro'!$B404=BE$2,'Atividades Micro'!$G404="Macro",'Atividades Micro'!$K404&lt;&gt;""),'Atividades Micro'!$K404,"")</f>
        <v/>
      </c>
      <c r="BF352" s="21" t="str">
        <f>IF(AND('Atividades Micro'!$B404=BF$2,'Atividades Micro'!$G404="Macro",'Atividades Micro'!$K404&lt;&gt;""),'Atividades Micro'!$K404,"")</f>
        <v/>
      </c>
      <c r="BG352" s="21" t="str">
        <f>IF(AND('Atividades Micro'!$B404=BG$2,'Atividades Micro'!$G404="Macro",'Atividades Micro'!$K404&lt;&gt;""),'Atividades Micro'!$K404,"")</f>
        <v/>
      </c>
      <c r="BH352" s="21" t="str">
        <f>IF(AND('Atividades Micro'!$B404=BH$2,'Atividades Micro'!$G404="Macro",'Atividades Micro'!$K404&lt;&gt;""),'Atividades Micro'!$K404,"")</f>
        <v/>
      </c>
      <c r="BI352" s="21" t="str">
        <f>IF(AND('Atividades Micro'!$B404=BI$2,'Atividades Micro'!$G404="Macro",'Atividades Micro'!$K404&lt;&gt;""),'Atividades Micro'!$K404,"")</f>
        <v/>
      </c>
      <c r="BJ352" s="21" t="str">
        <f>IF(AND('Atividades Micro'!$B404=BJ$2,'Atividades Micro'!$G404="Macro",'Atividades Micro'!$K404&lt;&gt;""),'Atividades Micro'!$K404,"")</f>
        <v/>
      </c>
      <c r="BK352" s="21" t="str">
        <f>IF(AND('Atividades Micro'!$B404=BK$2,'Atividades Micro'!$G404="Macro",'Atividades Micro'!$K404&lt;&gt;""),'Atividades Micro'!$K404,"")</f>
        <v/>
      </c>
      <c r="BL352" s="21" t="str">
        <f>IF(AND('Atividades Micro'!$B404=BL$2,'Atividades Micro'!$G404="Macro",'Atividades Micro'!$K404&lt;&gt;""),'Atividades Micro'!$K404,"")</f>
        <v/>
      </c>
      <c r="BM352" s="21" t="str">
        <f>IF(AND('Atividades Micro'!$B404=BM$2,'Atividades Micro'!$G404="Macro",'Atividades Micro'!$K404&lt;&gt;""),'Atividades Micro'!$K404,"")</f>
        <v/>
      </c>
      <c r="BN352" s="21" t="str">
        <f>IF(AND('Atividades Micro'!$B404=BN$2,'Atividades Micro'!$G404="Macro",'Atividades Micro'!$K404&lt;&gt;""),'Atividades Micro'!$K404,"")</f>
        <v/>
      </c>
      <c r="BO352" s="21" t="str">
        <f>IF(AND('Atividades Micro'!$B404=BO$2,'Atividades Micro'!$G404="Macro",'Atividades Micro'!$K404&lt;&gt;""),'Atividades Micro'!$K404,"")</f>
        <v/>
      </c>
      <c r="BP352" s="21" t="str">
        <f>IF(AND('Atividades Micro'!$B404=BP$2,'Atividades Micro'!$G404="Macro",'Atividades Micro'!$K404&lt;&gt;""),'Atividades Micro'!$K404,"")</f>
        <v/>
      </c>
      <c r="BQ352" s="21" t="str">
        <f>IF(AND('Atividades Micro'!$B404=BQ$2,'Atividades Micro'!$G404="Macro",'Atividades Micro'!$K404&lt;&gt;""),'Atividades Micro'!$K404,"")</f>
        <v/>
      </c>
      <c r="BR352" s="21" t="str">
        <f>IF(AND('Atividades Micro'!$B404=BR$2,'Atividades Micro'!$G404="Macro",'Atividades Micro'!$K404&lt;&gt;""),'Atividades Micro'!$K404,"")</f>
        <v/>
      </c>
      <c r="BS352" s="21" t="str">
        <f>IF(AND('Atividades Micro'!$B404=BS$2,'Atividades Micro'!$G404="Macro",'Atividades Micro'!$K404&lt;&gt;""),'Atividades Micro'!$K404,"")</f>
        <v/>
      </c>
      <c r="BT352" s="21" t="str">
        <f>IF(AND('Atividades Micro'!$B404=BT$2,'Atividades Micro'!$G404="Macro",'Atividades Micro'!$K404&lt;&gt;""),'Atividades Micro'!$K404,"")</f>
        <v/>
      </c>
      <c r="BU352" s="21" t="str">
        <f>IF(AND('Atividades Micro'!$B404=BU$2,'Atividades Micro'!$G404="Macro",'Atividades Micro'!$K404&lt;&gt;""),'Atividades Micro'!$K404,"")</f>
        <v/>
      </c>
      <c r="BV352" s="21" t="str">
        <f>IF(AND('Atividades Micro'!$B404=BV$2,'Atividades Micro'!$G404="Macro",'Atividades Micro'!$K404&lt;&gt;""),'Atividades Micro'!$K404,"")</f>
        <v/>
      </c>
      <c r="BW352" s="21" t="str">
        <f>IF(AND('Atividades Micro'!$B404=BW$2,'Atividades Micro'!$G404="Macro",'Atividades Micro'!$K404&lt;&gt;""),'Atividades Micro'!$K404,"")</f>
        <v/>
      </c>
      <c r="BX352" s="21" t="str">
        <f>IF(AND('Atividades Micro'!$B404=BX$2,'Atividades Micro'!$G404="Macro",'Atividades Micro'!$K404&lt;&gt;""),'Atividades Micro'!$K404,"")</f>
        <v/>
      </c>
      <c r="BY352" s="21" t="str">
        <f>IF(AND('Atividades Micro'!$B404=BY$2,'Atividades Micro'!$G404="Macro",'Atividades Micro'!$K404&lt;&gt;""),'Atividades Micro'!$K404,"")</f>
        <v/>
      </c>
      <c r="BZ352" s="21" t="str">
        <f>IF(AND('Atividades Micro'!$B404=BZ$2,'Atividades Micro'!$G404="Macro",'Atividades Micro'!$K404&lt;&gt;""),'Atividades Micro'!$K404,"")</f>
        <v/>
      </c>
      <c r="CA352" s="21" t="str">
        <f>IF(AND('Atividades Micro'!$B404=CA$2,'Atividades Micro'!$G404="Macro",'Atividades Micro'!$K404&lt;&gt;""),'Atividades Micro'!$K404,"")</f>
        <v/>
      </c>
      <c r="CB352" s="21" t="str">
        <f>IF(AND('Atividades Micro'!$B404=CB$2,'Atividades Micro'!$G404="Macro",'Atividades Micro'!$K404&lt;&gt;""),'Atividades Micro'!$K404,"")</f>
        <v/>
      </c>
      <c r="CC352" s="21" t="str">
        <f>IF(AND('Atividades Micro'!$B404=CC$2,'Atividades Micro'!$G404="Macro",'Atividades Micro'!$K404&lt;&gt;""),'Atividades Micro'!$K404,"")</f>
        <v/>
      </c>
      <c r="CD352" s="21" t="str">
        <f>IF(AND('Atividades Micro'!$B404=CD$2,'Atividades Micro'!$G404="Micro",'Atividades Micro'!$K404&lt;&gt;""),'Atividades Micro'!$K404,"")</f>
        <v/>
      </c>
      <c r="CE352" s="21" t="str">
        <f>IF(AND('Atividades Micro'!$B404=CE$2,'Atividades Micro'!$G404="Micro",'Atividades Micro'!$K404&lt;&gt;""),'Atividades Micro'!$K404,"")</f>
        <v/>
      </c>
      <c r="CF352" s="21" t="str">
        <f>IF(AND('Atividades Micro'!$B404=CF$2,'Atividades Micro'!$G404="Micro",'Atividades Micro'!$K404&lt;&gt;""),'Atividades Micro'!$K404,"")</f>
        <v/>
      </c>
      <c r="CG352" s="21" t="str">
        <f>IF(AND('Atividades Micro'!$B404=CG$2,'Atividades Micro'!$G404="Micro",'Atividades Micro'!$K404&lt;&gt;""),'Atividades Micro'!$K404,"")</f>
        <v/>
      </c>
      <c r="CH352" s="21" t="str">
        <f>IF(AND('Atividades Micro'!$B404=CH$2,'Atividades Micro'!$G404="Micro",'Atividades Micro'!$K404&lt;&gt;""),'Atividades Micro'!$K404,"")</f>
        <v/>
      </c>
      <c r="CI352" s="21" t="str">
        <f>IF(AND('Atividades Micro'!$B404=CI$2,'Atividades Micro'!$G404="Micro",'Atividades Micro'!$K404&lt;&gt;""),'Atividades Micro'!$K404,"")</f>
        <v/>
      </c>
      <c r="CJ352" s="21" t="str">
        <f>IF(AND('Atividades Micro'!$B404=CJ$2,'Atividades Micro'!$G404="Micro",'Atividades Micro'!$K404&lt;&gt;""),'Atividades Micro'!$K404,"")</f>
        <v/>
      </c>
      <c r="CK352" s="21" t="str">
        <f>IF(AND('Atividades Micro'!$B404=CK$2,'Atividades Micro'!$G404="Micro",'Atividades Micro'!$K404&lt;&gt;""),'Atividades Micro'!$K404,"")</f>
        <v/>
      </c>
      <c r="CL352" s="21" t="str">
        <f>IF(AND('Atividades Micro'!$B404=CL$2,'Atividades Micro'!$G404="Micro",'Atividades Micro'!$K404&lt;&gt;""),'Atividades Micro'!$K404,"")</f>
        <v/>
      </c>
      <c r="CM352" s="21" t="str">
        <f>IF(AND('Atividades Micro'!$B404=CM$2,'Atividades Micro'!$G404="Micro",'Atividades Micro'!$K404&lt;&gt;""),'Atividades Micro'!$K404,"")</f>
        <v/>
      </c>
      <c r="CN352" s="21" t="str">
        <f>IF(AND('Atividades Micro'!$B404=CN$2,'Atividades Micro'!$G404="Micro",'Atividades Micro'!$K404&lt;&gt;""),'Atividades Micro'!$K404,"")</f>
        <v/>
      </c>
      <c r="CO352" s="21" t="str">
        <f>IF(AND('Atividades Micro'!$B404=CO$2,'Atividades Micro'!$G404="Micro",'Atividades Micro'!$K404&lt;&gt;""),'Atividades Micro'!$K404,"")</f>
        <v/>
      </c>
    </row>
    <row r="353" spans="1:93">
      <c r="A353" s="21" t="str">
        <f>IF(AND('Atividades Micro'!$A405=A$2,'Atividades Micro'!$K405&lt;&gt;""),'Atividades Micro'!$K405,"")</f>
        <v/>
      </c>
      <c r="B353" s="21" t="str">
        <f>IF(AND('Atividades Micro'!$A405=B$2,'Atividades Micro'!$L405&lt;&gt;""),'Atividades Micro'!$L405,"")</f>
        <v/>
      </c>
      <c r="C353" s="21" t="str">
        <f>IF(AND('Atividades Micro'!$A405=C$2,'Atividades Micro'!$K405&lt;&gt;""),'Atividades Micro'!$K405,"")</f>
        <v/>
      </c>
      <c r="D353" s="21" t="str">
        <f>IF(AND('Atividades Micro'!$A405=D$2,'Atividades Micro'!$L405&lt;&gt;""),'Atividades Micro'!$L405,"")</f>
        <v/>
      </c>
      <c r="E353" s="21" t="str">
        <f>IF(AND('Atividades Micro'!$A405=E$2,'Atividades Micro'!$K405&lt;&gt;""),'Atividades Micro'!$K405,"")</f>
        <v/>
      </c>
      <c r="F353" s="21" t="str">
        <f>IF(AND('Atividades Micro'!$A405=F$2,'Atividades Micro'!$L405&lt;&gt;""),'Atividades Micro'!$L405,"")</f>
        <v/>
      </c>
      <c r="G353" s="21" t="str">
        <f>IF(AND('Atividades Micro'!$A405=G$2,'Atividades Micro'!$K405&lt;&gt;""),'Atividades Micro'!$K405,"")</f>
        <v/>
      </c>
      <c r="H353" s="21" t="str">
        <f>IF(AND('Atividades Micro'!$A405=H$2,'Atividades Micro'!$L405&lt;&gt;""),'Atividades Micro'!$L405,"")</f>
        <v/>
      </c>
      <c r="I353" s="21" t="str">
        <f>IF(AND('Atividades Micro'!$A405=I$2,'Atividades Micro'!$K405&lt;&gt;""),'Atividades Micro'!$K405,"")</f>
        <v/>
      </c>
      <c r="J353" s="21" t="str">
        <f>IF(AND('Atividades Micro'!$A405=J$2,'Atividades Micro'!$L405&lt;&gt;""),'Atividades Micro'!$L405,"")</f>
        <v/>
      </c>
      <c r="K353" s="21" t="str">
        <f>IF(AND('Atividades Micro'!$B405=K$2,'Atividades Micro'!$K405&lt;&gt;""),'Atividades Micro'!$K405,"")</f>
        <v/>
      </c>
      <c r="L353" s="21" t="str">
        <f>IF(AND('Atividades Micro'!$B405=L$2,'Atividades Micro'!$L405&lt;&gt;""),'Atividades Micro'!$L405,"")</f>
        <v/>
      </c>
      <c r="M353" s="21" t="str">
        <f>IF(AND('Atividades Micro'!$B405=M$2,'Atividades Micro'!$K405&lt;&gt;""),'Atividades Micro'!$K405,"")</f>
        <v/>
      </c>
      <c r="N353" s="21" t="str">
        <f>IF(AND('Atividades Micro'!$B405=N$2,'Atividades Micro'!$L405&lt;&gt;""),'Atividades Micro'!$L405,"")</f>
        <v/>
      </c>
      <c r="O353" s="21" t="str">
        <f>IF(AND('Atividades Micro'!$A405=O$2,'Atividades Micro'!$K405&lt;&gt;""),'Atividades Micro'!$K405,"")</f>
        <v/>
      </c>
      <c r="P353" s="21" t="str">
        <f>IF(AND('Atividades Micro'!$A405=P$2,'Atividades Micro'!$L405&lt;&gt;""),'Atividades Micro'!$L405,"")</f>
        <v/>
      </c>
      <c r="Q353" s="21" t="str">
        <f>IF(AND('Atividades Micro'!$B405=Q$2,'Atividades Micro'!$K405&lt;&gt;""),'Atividades Micro'!$K405,"")</f>
        <v/>
      </c>
      <c r="R353" s="21" t="str">
        <f>IF(AND('Atividades Micro'!$B405=R$2,'Atividades Micro'!$L405&lt;&gt;""),'Atividades Micro'!$L405,"")</f>
        <v/>
      </c>
      <c r="S353" s="21" t="str">
        <f>IF(AND('Atividades Micro'!$A405=S$2,'Atividades Micro'!$K405&lt;&gt;""),'Atividades Micro'!$K405,"")</f>
        <v/>
      </c>
      <c r="T353" s="21" t="str">
        <f>IF(AND('Atividades Micro'!$A405=T$2,'Atividades Micro'!$L405&lt;&gt;""),'Atividades Micro'!$L405,"")</f>
        <v/>
      </c>
      <c r="U353" s="21" t="str">
        <f>IF(AND('Atividades Micro'!$B405=U$2,'Atividades Micro'!$K405&lt;&gt;""),'Atividades Micro'!$K405,"")</f>
        <v/>
      </c>
      <c r="V353" s="21" t="str">
        <f>IF(AND('Atividades Micro'!$B405=V$2,'Atividades Micro'!$L405&lt;&gt;""),'Atividades Micro'!$L405,"")</f>
        <v/>
      </c>
      <c r="W353" s="21" t="str">
        <f>IF(AND('Atividades Micro'!$B405=W$2,'Atividades Micro'!$K405&lt;&gt;""),'Atividades Micro'!$K405,"")</f>
        <v/>
      </c>
      <c r="X353" s="21" t="str">
        <f>IF(AND('Atividades Micro'!$B405=X$2,'Atividades Micro'!$L405&lt;&gt;""),'Atividades Micro'!$L405,"")</f>
        <v/>
      </c>
      <c r="Y353" s="21" t="str">
        <f>IF(AND('Atividades Micro'!$A405=Y$2,'Atividades Micro'!$K405&lt;&gt;""),'Atividades Micro'!$K405,"")</f>
        <v/>
      </c>
      <c r="Z353" s="21" t="str">
        <f>IF(AND('Atividades Micro'!$A405=Z$2,'Atividades Micro'!$L405&lt;&gt;""),'Atividades Micro'!$L405,"")</f>
        <v/>
      </c>
      <c r="AA353" s="21" t="str">
        <f>IF(AND('Atividades Micro'!$B405=AA$2,'Atividades Micro'!$K405&lt;&gt;""),'Atividades Micro'!$K405,"")</f>
        <v/>
      </c>
      <c r="AB353" s="21" t="str">
        <f>IF(AND('Atividades Micro'!$B405=AB$2,'Atividades Micro'!$L405&lt;&gt;""),'Atividades Micro'!$L405,"")</f>
        <v/>
      </c>
      <c r="AC353" s="21" t="str">
        <f>IF(AND('Atividades Micro'!$B405=AC$2,'Atividades Micro'!$K405&lt;&gt;""),'Atividades Micro'!$K405,"")</f>
        <v/>
      </c>
      <c r="AD353" s="21" t="str">
        <f>IF(AND('Atividades Micro'!$B405=AD$2,'Atividades Micro'!$L405&lt;&gt;""),'Atividades Micro'!$L405,"")</f>
        <v/>
      </c>
      <c r="AE353" s="21" t="str">
        <f>IF(AND('Atividades Micro'!$A405=AE$2,'Atividades Micro'!$K405&lt;&gt;""),'Atividades Micro'!$K405,"")</f>
        <v/>
      </c>
      <c r="AF353" s="21" t="str">
        <f>IF(AND('Atividades Micro'!$A405=AF$2,'Atividades Micro'!$L405&lt;&gt;""),'Atividades Micro'!$L405,"")</f>
        <v/>
      </c>
      <c r="AG353" s="21" t="str">
        <f>IF(AND('Atividades Micro'!$B405=AG$2,'Atividades Micro'!$K405&lt;&gt;""),'Atividades Micro'!$K405,"")</f>
        <v/>
      </c>
      <c r="AH353" s="21" t="str">
        <f>IF(AND('Atividades Micro'!$B405=AH$2,'Atividades Micro'!$L405&lt;&gt;""),'Atividades Micro'!$L405,"")</f>
        <v/>
      </c>
      <c r="AI353" s="21" t="str">
        <f>IF(AND('Atividades Micro'!$B405=AI$2,'Atividades Micro'!$K405&lt;&gt;""),'Atividades Micro'!$K405,"")</f>
        <v/>
      </c>
      <c r="AJ353" s="21" t="str">
        <f>IF(AND('Atividades Micro'!$B405=AJ$2,'Atividades Micro'!$L405&lt;&gt;""),'Atividades Micro'!$L405,"")</f>
        <v/>
      </c>
      <c r="AK353" s="21" t="str">
        <f>IF(AND('Atividades Micro'!$A405=AK$2,'Atividades Micro'!$K405&lt;&gt;""),'Atividades Micro'!$K405,"")</f>
        <v/>
      </c>
      <c r="AL353" s="21" t="str">
        <f>IF(AND('Atividades Micro'!$A405=AL$2,'Atividades Micro'!$L405&lt;&gt;""),'Atividades Micro'!$L405,"")</f>
        <v/>
      </c>
      <c r="AM353" s="21" t="str">
        <f>IF(AND('Atividades Micro'!$B405=AM$2,'Atividades Micro'!$K405&lt;&gt;""),'Atividades Micro'!$K405,"")</f>
        <v/>
      </c>
      <c r="AN353" s="21" t="str">
        <f>IF(AND('Atividades Micro'!$B405=AN$2,'Atividades Micro'!$L405&lt;&gt;""),'Atividades Micro'!$L405,"")</f>
        <v/>
      </c>
      <c r="AO353" s="21" t="str">
        <f>IF(AND('Atividades Micro'!$B405=AO$2,'Atividades Micro'!$K405&lt;&gt;""),'Atividades Micro'!$K405,"")</f>
        <v/>
      </c>
      <c r="AP353" s="21" t="str">
        <f>IF(AND('Atividades Micro'!$B405=AP$2,'Atividades Micro'!$L405&lt;&gt;""),'Atividades Micro'!$L405,"")</f>
        <v/>
      </c>
      <c r="AQ353" s="21" t="str">
        <f>IF(AND('Atividades Micro'!$A405=AQ$2,'Atividades Micro'!$K405&lt;&gt;""),'Atividades Micro'!$K405,"")</f>
        <v/>
      </c>
      <c r="AR353" s="21" t="str">
        <f>IF(AND('Atividades Micro'!$A405=AR$2,'Atividades Micro'!$L405&lt;&gt;""),'Atividades Micro'!$L405,"")</f>
        <v/>
      </c>
      <c r="AS353" s="21" t="str">
        <f>IF(AND('Atividades Micro'!$B405=AS$2,'Atividades Micro'!$K405&lt;&gt;""),'Atividades Micro'!$K405,"")</f>
        <v/>
      </c>
      <c r="AT353" s="21" t="str">
        <f>IF(AND('Atividades Micro'!$B405=AT$2,'Atividades Micro'!$L405&lt;&gt;""),'Atividades Micro'!$L405,"")</f>
        <v/>
      </c>
      <c r="AU353" s="21" t="str">
        <f>IF(AND('Atividades Micro'!$A405=AU$2,'Atividades Micro'!$K405&lt;&gt;""),'Atividades Micro'!$K405,"")</f>
        <v/>
      </c>
      <c r="AV353" s="21" t="str">
        <f>IF(AND('Atividades Micro'!$A405=AV$2,'Atividades Micro'!$L405&lt;&gt;""),'Atividades Micro'!$L405,"")</f>
        <v/>
      </c>
      <c r="AW353" s="21" t="str">
        <f>IF(AND('Atividades Micro'!$B405=AW$2,'Atividades Micro'!$K405&lt;&gt;""),'Atividades Micro'!$K405,"")</f>
        <v/>
      </c>
      <c r="AX353" s="21" t="str">
        <f>IF(AND('Atividades Micro'!$B405=AX$2,'Atividades Micro'!$L405&lt;&gt;""),'Atividades Micro'!$L405,"")</f>
        <v/>
      </c>
      <c r="AY353" s="21" t="str">
        <f>IF(AND('Atividades Micro'!$A405=AY$2,'Atividades Micro'!$K405&lt;&gt;""),'Atividades Micro'!$K405,"")</f>
        <v/>
      </c>
      <c r="AZ353" s="21" t="str">
        <f>IF(AND('Atividades Micro'!$A405=AZ$2,'Atividades Micro'!$L405&lt;&gt;""),'Atividades Micro'!$L405,"")</f>
        <v/>
      </c>
      <c r="BA353" s="21" t="str">
        <f>IF(AND('Atividades Micro'!$B405=BA$2,'Atividades Micro'!$K405&lt;&gt;""),'Atividades Micro'!$K405,"")</f>
        <v/>
      </c>
      <c r="BB353" s="21" t="str">
        <f>IF(AND('Atividades Micro'!$B405=BB$2,'Atividades Micro'!$L405&lt;&gt;""),'Atividades Micro'!$L405,"")</f>
        <v/>
      </c>
      <c r="BC353" s="21" t="str">
        <f>IF(AND('Atividades Micro'!$B405=BC$2,'Atividades Micro'!$G405="Macro",'Atividades Micro'!$K405&lt;&gt;""),'Atividades Micro'!$K405,"")</f>
        <v/>
      </c>
      <c r="BD353" s="21" t="str">
        <f>IF(AND('Atividades Micro'!$B405=BD$2,'Atividades Micro'!$G405="Macro",'Atividades Micro'!$K405&lt;&gt;""),'Atividades Micro'!$K405,"")</f>
        <v/>
      </c>
      <c r="BE353" s="21" t="str">
        <f>IF(AND('Atividades Micro'!$B405=BE$2,'Atividades Micro'!$G405="Macro",'Atividades Micro'!$K405&lt;&gt;""),'Atividades Micro'!$K405,"")</f>
        <v/>
      </c>
      <c r="BF353" s="21" t="str">
        <f>IF(AND('Atividades Micro'!$B405=BF$2,'Atividades Micro'!$G405="Macro",'Atividades Micro'!$K405&lt;&gt;""),'Atividades Micro'!$K405,"")</f>
        <v/>
      </c>
      <c r="BG353" s="21" t="str">
        <f>IF(AND('Atividades Micro'!$B405=BG$2,'Atividades Micro'!$G405="Macro",'Atividades Micro'!$K405&lt;&gt;""),'Atividades Micro'!$K405,"")</f>
        <v/>
      </c>
      <c r="BH353" s="21" t="str">
        <f>IF(AND('Atividades Micro'!$B405=BH$2,'Atividades Micro'!$G405="Macro",'Atividades Micro'!$K405&lt;&gt;""),'Atividades Micro'!$K405,"")</f>
        <v/>
      </c>
      <c r="BI353" s="21" t="str">
        <f>IF(AND('Atividades Micro'!$B405=BI$2,'Atividades Micro'!$G405="Macro",'Atividades Micro'!$K405&lt;&gt;""),'Atividades Micro'!$K405,"")</f>
        <v/>
      </c>
      <c r="BJ353" s="21" t="str">
        <f>IF(AND('Atividades Micro'!$B405=BJ$2,'Atividades Micro'!$G405="Macro",'Atividades Micro'!$K405&lt;&gt;""),'Atividades Micro'!$K405,"")</f>
        <v/>
      </c>
      <c r="BK353" s="21" t="str">
        <f>IF(AND('Atividades Micro'!$B405=BK$2,'Atividades Micro'!$G405="Macro",'Atividades Micro'!$K405&lt;&gt;""),'Atividades Micro'!$K405,"")</f>
        <v/>
      </c>
      <c r="BL353" s="21" t="str">
        <f>IF(AND('Atividades Micro'!$B405=BL$2,'Atividades Micro'!$G405="Macro",'Atividades Micro'!$K405&lt;&gt;""),'Atividades Micro'!$K405,"")</f>
        <v/>
      </c>
      <c r="BM353" s="21" t="str">
        <f>IF(AND('Atividades Micro'!$B405=BM$2,'Atividades Micro'!$G405="Macro",'Atividades Micro'!$K405&lt;&gt;""),'Atividades Micro'!$K405,"")</f>
        <v/>
      </c>
      <c r="BN353" s="21" t="str">
        <f>IF(AND('Atividades Micro'!$B405=BN$2,'Atividades Micro'!$G405="Macro",'Atividades Micro'!$K405&lt;&gt;""),'Atividades Micro'!$K405,"")</f>
        <v/>
      </c>
      <c r="BO353" s="21" t="str">
        <f>IF(AND('Atividades Micro'!$B405=BO$2,'Atividades Micro'!$G405="Macro",'Atividades Micro'!$K405&lt;&gt;""),'Atividades Micro'!$K405,"")</f>
        <v/>
      </c>
      <c r="BP353" s="21" t="str">
        <f>IF(AND('Atividades Micro'!$B405=BP$2,'Atividades Micro'!$G405="Macro",'Atividades Micro'!$K405&lt;&gt;""),'Atividades Micro'!$K405,"")</f>
        <v/>
      </c>
      <c r="BQ353" s="21" t="str">
        <f>IF(AND('Atividades Micro'!$B405=BQ$2,'Atividades Micro'!$G405="Macro",'Atividades Micro'!$K405&lt;&gt;""),'Atividades Micro'!$K405,"")</f>
        <v/>
      </c>
      <c r="BR353" s="21" t="str">
        <f>IF(AND('Atividades Micro'!$B405=BR$2,'Atividades Micro'!$G405="Macro",'Atividades Micro'!$K405&lt;&gt;""),'Atividades Micro'!$K405,"")</f>
        <v/>
      </c>
      <c r="BS353" s="21" t="str">
        <f>IF(AND('Atividades Micro'!$B405=BS$2,'Atividades Micro'!$G405="Macro",'Atividades Micro'!$K405&lt;&gt;""),'Atividades Micro'!$K405,"")</f>
        <v/>
      </c>
      <c r="BT353" s="21" t="str">
        <f>IF(AND('Atividades Micro'!$B405=BT$2,'Atividades Micro'!$G405="Macro",'Atividades Micro'!$K405&lt;&gt;""),'Atividades Micro'!$K405,"")</f>
        <v/>
      </c>
      <c r="BU353" s="21" t="str">
        <f>IF(AND('Atividades Micro'!$B405=BU$2,'Atividades Micro'!$G405="Macro",'Atividades Micro'!$K405&lt;&gt;""),'Atividades Micro'!$K405,"")</f>
        <v/>
      </c>
      <c r="BV353" s="21" t="str">
        <f>IF(AND('Atividades Micro'!$B405=BV$2,'Atividades Micro'!$G405="Macro",'Atividades Micro'!$K405&lt;&gt;""),'Atividades Micro'!$K405,"")</f>
        <v/>
      </c>
      <c r="BW353" s="21" t="str">
        <f>IF(AND('Atividades Micro'!$B405=BW$2,'Atividades Micro'!$G405="Macro",'Atividades Micro'!$K405&lt;&gt;""),'Atividades Micro'!$K405,"")</f>
        <v/>
      </c>
      <c r="BX353" s="21" t="str">
        <f>IF(AND('Atividades Micro'!$B405=BX$2,'Atividades Micro'!$G405="Macro",'Atividades Micro'!$K405&lt;&gt;""),'Atividades Micro'!$K405,"")</f>
        <v/>
      </c>
      <c r="BY353" s="21" t="str">
        <f>IF(AND('Atividades Micro'!$B405=BY$2,'Atividades Micro'!$G405="Macro",'Atividades Micro'!$K405&lt;&gt;""),'Atividades Micro'!$K405,"")</f>
        <v/>
      </c>
      <c r="BZ353" s="21" t="str">
        <f>IF(AND('Atividades Micro'!$B405=BZ$2,'Atividades Micro'!$G405="Macro",'Atividades Micro'!$K405&lt;&gt;""),'Atividades Micro'!$K405,"")</f>
        <v/>
      </c>
      <c r="CA353" s="21" t="str">
        <f>IF(AND('Atividades Micro'!$B405=CA$2,'Atividades Micro'!$G405="Macro",'Atividades Micro'!$K405&lt;&gt;""),'Atividades Micro'!$K405,"")</f>
        <v/>
      </c>
      <c r="CB353" s="21" t="str">
        <f>IF(AND('Atividades Micro'!$B405=CB$2,'Atividades Micro'!$G405="Macro",'Atividades Micro'!$K405&lt;&gt;""),'Atividades Micro'!$K405,"")</f>
        <v/>
      </c>
      <c r="CC353" s="21" t="str">
        <f>IF(AND('Atividades Micro'!$B405=CC$2,'Atividades Micro'!$G405="Macro",'Atividades Micro'!$K405&lt;&gt;""),'Atividades Micro'!$K405,"")</f>
        <v/>
      </c>
      <c r="CD353" s="21" t="str">
        <f>IF(AND('Atividades Micro'!$B405=CD$2,'Atividades Micro'!$G405="Micro",'Atividades Micro'!$K405&lt;&gt;""),'Atividades Micro'!$K405,"")</f>
        <v/>
      </c>
      <c r="CE353" s="21" t="str">
        <f>IF(AND('Atividades Micro'!$B405=CE$2,'Atividades Micro'!$G405="Micro",'Atividades Micro'!$K405&lt;&gt;""),'Atividades Micro'!$K405,"")</f>
        <v/>
      </c>
      <c r="CF353" s="21" t="str">
        <f>IF(AND('Atividades Micro'!$B405=CF$2,'Atividades Micro'!$G405="Micro",'Atividades Micro'!$K405&lt;&gt;""),'Atividades Micro'!$K405,"")</f>
        <v/>
      </c>
      <c r="CG353" s="21" t="str">
        <f>IF(AND('Atividades Micro'!$B405=CG$2,'Atividades Micro'!$G405="Micro",'Atividades Micro'!$K405&lt;&gt;""),'Atividades Micro'!$K405,"")</f>
        <v/>
      </c>
      <c r="CH353" s="21" t="str">
        <f>IF(AND('Atividades Micro'!$B405=CH$2,'Atividades Micro'!$G405="Micro",'Atividades Micro'!$K405&lt;&gt;""),'Atividades Micro'!$K405,"")</f>
        <v/>
      </c>
      <c r="CI353" s="21" t="str">
        <f>IF(AND('Atividades Micro'!$B405=CI$2,'Atividades Micro'!$G405="Micro",'Atividades Micro'!$K405&lt;&gt;""),'Atividades Micro'!$K405,"")</f>
        <v/>
      </c>
      <c r="CJ353" s="21" t="str">
        <f>IF(AND('Atividades Micro'!$B405=CJ$2,'Atividades Micro'!$G405="Micro",'Atividades Micro'!$K405&lt;&gt;""),'Atividades Micro'!$K405,"")</f>
        <v/>
      </c>
      <c r="CK353" s="21" t="str">
        <f>IF(AND('Atividades Micro'!$B405=CK$2,'Atividades Micro'!$G405="Micro",'Atividades Micro'!$K405&lt;&gt;""),'Atividades Micro'!$K405,"")</f>
        <v/>
      </c>
      <c r="CL353" s="21" t="str">
        <f>IF(AND('Atividades Micro'!$B405=CL$2,'Atividades Micro'!$G405="Micro",'Atividades Micro'!$K405&lt;&gt;""),'Atividades Micro'!$K405,"")</f>
        <v/>
      </c>
      <c r="CM353" s="21" t="str">
        <f>IF(AND('Atividades Micro'!$B405=CM$2,'Atividades Micro'!$G405="Micro",'Atividades Micro'!$K405&lt;&gt;""),'Atividades Micro'!$K405,"")</f>
        <v/>
      </c>
      <c r="CN353" s="21" t="str">
        <f>IF(AND('Atividades Micro'!$B405=CN$2,'Atividades Micro'!$G405="Micro",'Atividades Micro'!$K405&lt;&gt;""),'Atividades Micro'!$K405,"")</f>
        <v/>
      </c>
      <c r="CO353" s="21" t="str">
        <f>IF(AND('Atividades Micro'!$B405=CO$2,'Atividades Micro'!$G405="Micro",'Atividades Micro'!$K405&lt;&gt;""),'Atividades Micro'!$K405,"")</f>
        <v/>
      </c>
    </row>
    <row r="354" spans="1:93">
      <c r="A354" s="21" t="str">
        <f>IF(AND('Atividades Micro'!$A406=A$2,'Atividades Micro'!$K406&lt;&gt;""),'Atividades Micro'!$K406,"")</f>
        <v/>
      </c>
      <c r="B354" s="21" t="str">
        <f>IF(AND('Atividades Micro'!$A406=B$2,'Atividades Micro'!$L406&lt;&gt;""),'Atividades Micro'!$L406,"")</f>
        <v/>
      </c>
      <c r="C354" s="21" t="str">
        <f>IF(AND('Atividades Micro'!$A406=C$2,'Atividades Micro'!$K406&lt;&gt;""),'Atividades Micro'!$K406,"")</f>
        <v/>
      </c>
      <c r="D354" s="21" t="str">
        <f>IF(AND('Atividades Micro'!$A406=D$2,'Atividades Micro'!$L406&lt;&gt;""),'Atividades Micro'!$L406,"")</f>
        <v/>
      </c>
      <c r="E354" s="21" t="str">
        <f>IF(AND('Atividades Micro'!$A406=E$2,'Atividades Micro'!$K406&lt;&gt;""),'Atividades Micro'!$K406,"")</f>
        <v/>
      </c>
      <c r="F354" s="21" t="str">
        <f>IF(AND('Atividades Micro'!$A406=F$2,'Atividades Micro'!$L406&lt;&gt;""),'Atividades Micro'!$L406,"")</f>
        <v/>
      </c>
      <c r="G354" s="21" t="str">
        <f>IF(AND('Atividades Micro'!$A406=G$2,'Atividades Micro'!$K406&lt;&gt;""),'Atividades Micro'!$K406,"")</f>
        <v/>
      </c>
      <c r="H354" s="21" t="str">
        <f>IF(AND('Atividades Micro'!$A406=H$2,'Atividades Micro'!$L406&lt;&gt;""),'Atividades Micro'!$L406,"")</f>
        <v/>
      </c>
      <c r="I354" s="21" t="str">
        <f>IF(AND('Atividades Micro'!$A406=I$2,'Atividades Micro'!$K406&lt;&gt;""),'Atividades Micro'!$K406,"")</f>
        <v/>
      </c>
      <c r="J354" s="21" t="str">
        <f>IF(AND('Atividades Micro'!$A406=J$2,'Atividades Micro'!$L406&lt;&gt;""),'Atividades Micro'!$L406,"")</f>
        <v/>
      </c>
      <c r="K354" s="21" t="str">
        <f>IF(AND('Atividades Micro'!$B406=K$2,'Atividades Micro'!$K406&lt;&gt;""),'Atividades Micro'!$K406,"")</f>
        <v/>
      </c>
      <c r="L354" s="21" t="str">
        <f>IF(AND('Atividades Micro'!$B406=L$2,'Atividades Micro'!$L406&lt;&gt;""),'Atividades Micro'!$L406,"")</f>
        <v/>
      </c>
      <c r="M354" s="21" t="str">
        <f>IF(AND('Atividades Micro'!$B406=M$2,'Atividades Micro'!$K406&lt;&gt;""),'Atividades Micro'!$K406,"")</f>
        <v/>
      </c>
      <c r="N354" s="21" t="str">
        <f>IF(AND('Atividades Micro'!$B406=N$2,'Atividades Micro'!$L406&lt;&gt;""),'Atividades Micro'!$L406,"")</f>
        <v/>
      </c>
      <c r="O354" s="21" t="str">
        <f>IF(AND('Atividades Micro'!$A406=O$2,'Atividades Micro'!$K406&lt;&gt;""),'Atividades Micro'!$K406,"")</f>
        <v/>
      </c>
      <c r="P354" s="21" t="str">
        <f>IF(AND('Atividades Micro'!$A406=P$2,'Atividades Micro'!$L406&lt;&gt;""),'Atividades Micro'!$L406,"")</f>
        <v/>
      </c>
      <c r="Q354" s="21" t="str">
        <f>IF(AND('Atividades Micro'!$B406=Q$2,'Atividades Micro'!$K406&lt;&gt;""),'Atividades Micro'!$K406,"")</f>
        <v/>
      </c>
      <c r="R354" s="21" t="str">
        <f>IF(AND('Atividades Micro'!$B406=R$2,'Atividades Micro'!$L406&lt;&gt;""),'Atividades Micro'!$L406,"")</f>
        <v/>
      </c>
      <c r="S354" s="21" t="str">
        <f>IF(AND('Atividades Micro'!$A406=S$2,'Atividades Micro'!$K406&lt;&gt;""),'Atividades Micro'!$K406,"")</f>
        <v/>
      </c>
      <c r="T354" s="21" t="str">
        <f>IF(AND('Atividades Micro'!$A406=T$2,'Atividades Micro'!$L406&lt;&gt;""),'Atividades Micro'!$L406,"")</f>
        <v/>
      </c>
      <c r="U354" s="21" t="str">
        <f>IF(AND('Atividades Micro'!$B406=U$2,'Atividades Micro'!$K406&lt;&gt;""),'Atividades Micro'!$K406,"")</f>
        <v/>
      </c>
      <c r="V354" s="21" t="str">
        <f>IF(AND('Atividades Micro'!$B406=V$2,'Atividades Micro'!$L406&lt;&gt;""),'Atividades Micro'!$L406,"")</f>
        <v/>
      </c>
      <c r="W354" s="21" t="str">
        <f>IF(AND('Atividades Micro'!$B406=W$2,'Atividades Micro'!$K406&lt;&gt;""),'Atividades Micro'!$K406,"")</f>
        <v/>
      </c>
      <c r="X354" s="21" t="str">
        <f>IF(AND('Atividades Micro'!$B406=X$2,'Atividades Micro'!$L406&lt;&gt;""),'Atividades Micro'!$L406,"")</f>
        <v/>
      </c>
      <c r="Y354" s="21" t="str">
        <f>IF(AND('Atividades Micro'!$A406=Y$2,'Atividades Micro'!$K406&lt;&gt;""),'Atividades Micro'!$K406,"")</f>
        <v/>
      </c>
      <c r="Z354" s="21" t="str">
        <f>IF(AND('Atividades Micro'!$A406=Z$2,'Atividades Micro'!$L406&lt;&gt;""),'Atividades Micro'!$L406,"")</f>
        <v/>
      </c>
      <c r="AA354" s="21" t="str">
        <f>IF(AND('Atividades Micro'!$B406=AA$2,'Atividades Micro'!$K406&lt;&gt;""),'Atividades Micro'!$K406,"")</f>
        <v/>
      </c>
      <c r="AB354" s="21" t="str">
        <f>IF(AND('Atividades Micro'!$B406=AB$2,'Atividades Micro'!$L406&lt;&gt;""),'Atividades Micro'!$L406,"")</f>
        <v/>
      </c>
      <c r="AC354" s="21" t="str">
        <f>IF(AND('Atividades Micro'!$B406=AC$2,'Atividades Micro'!$K406&lt;&gt;""),'Atividades Micro'!$K406,"")</f>
        <v/>
      </c>
      <c r="AD354" s="21" t="str">
        <f>IF(AND('Atividades Micro'!$B406=AD$2,'Atividades Micro'!$L406&lt;&gt;""),'Atividades Micro'!$L406,"")</f>
        <v/>
      </c>
      <c r="AE354" s="21" t="str">
        <f>IF(AND('Atividades Micro'!$A406=AE$2,'Atividades Micro'!$K406&lt;&gt;""),'Atividades Micro'!$K406,"")</f>
        <v/>
      </c>
      <c r="AF354" s="21" t="str">
        <f>IF(AND('Atividades Micro'!$A406=AF$2,'Atividades Micro'!$L406&lt;&gt;""),'Atividades Micro'!$L406,"")</f>
        <v/>
      </c>
      <c r="AG354" s="21" t="str">
        <f>IF(AND('Atividades Micro'!$B406=AG$2,'Atividades Micro'!$K406&lt;&gt;""),'Atividades Micro'!$K406,"")</f>
        <v/>
      </c>
      <c r="AH354" s="21" t="str">
        <f>IF(AND('Atividades Micro'!$B406=AH$2,'Atividades Micro'!$L406&lt;&gt;""),'Atividades Micro'!$L406,"")</f>
        <v/>
      </c>
      <c r="AI354" s="21" t="str">
        <f>IF(AND('Atividades Micro'!$B406=AI$2,'Atividades Micro'!$K406&lt;&gt;""),'Atividades Micro'!$K406,"")</f>
        <v/>
      </c>
      <c r="AJ354" s="21" t="str">
        <f>IF(AND('Atividades Micro'!$B406=AJ$2,'Atividades Micro'!$L406&lt;&gt;""),'Atividades Micro'!$L406,"")</f>
        <v/>
      </c>
      <c r="AK354" s="21" t="str">
        <f>IF(AND('Atividades Micro'!$A406=AK$2,'Atividades Micro'!$K406&lt;&gt;""),'Atividades Micro'!$K406,"")</f>
        <v/>
      </c>
      <c r="AL354" s="21" t="str">
        <f>IF(AND('Atividades Micro'!$A406=AL$2,'Atividades Micro'!$L406&lt;&gt;""),'Atividades Micro'!$L406,"")</f>
        <v/>
      </c>
      <c r="AM354" s="21" t="str">
        <f>IF(AND('Atividades Micro'!$B406=AM$2,'Atividades Micro'!$K406&lt;&gt;""),'Atividades Micro'!$K406,"")</f>
        <v/>
      </c>
      <c r="AN354" s="21" t="str">
        <f>IF(AND('Atividades Micro'!$B406=AN$2,'Atividades Micro'!$L406&lt;&gt;""),'Atividades Micro'!$L406,"")</f>
        <v/>
      </c>
      <c r="AO354" s="21" t="str">
        <f>IF(AND('Atividades Micro'!$B406=AO$2,'Atividades Micro'!$K406&lt;&gt;""),'Atividades Micro'!$K406,"")</f>
        <v/>
      </c>
      <c r="AP354" s="21" t="str">
        <f>IF(AND('Atividades Micro'!$B406=AP$2,'Atividades Micro'!$L406&lt;&gt;""),'Atividades Micro'!$L406,"")</f>
        <v/>
      </c>
      <c r="AQ354" s="21" t="str">
        <f>IF(AND('Atividades Micro'!$A406=AQ$2,'Atividades Micro'!$K406&lt;&gt;""),'Atividades Micro'!$K406,"")</f>
        <v/>
      </c>
      <c r="AR354" s="21" t="str">
        <f>IF(AND('Atividades Micro'!$A406=AR$2,'Atividades Micro'!$L406&lt;&gt;""),'Atividades Micro'!$L406,"")</f>
        <v/>
      </c>
      <c r="AS354" s="21" t="str">
        <f>IF(AND('Atividades Micro'!$B406=AS$2,'Atividades Micro'!$K406&lt;&gt;""),'Atividades Micro'!$K406,"")</f>
        <v/>
      </c>
      <c r="AT354" s="21" t="str">
        <f>IF(AND('Atividades Micro'!$B406=AT$2,'Atividades Micro'!$L406&lt;&gt;""),'Atividades Micro'!$L406,"")</f>
        <v/>
      </c>
      <c r="AU354" s="21" t="str">
        <f>IF(AND('Atividades Micro'!$A406=AU$2,'Atividades Micro'!$K406&lt;&gt;""),'Atividades Micro'!$K406,"")</f>
        <v/>
      </c>
      <c r="AV354" s="21" t="str">
        <f>IF(AND('Atividades Micro'!$A406=AV$2,'Atividades Micro'!$L406&lt;&gt;""),'Atividades Micro'!$L406,"")</f>
        <v/>
      </c>
      <c r="AW354" s="21" t="str">
        <f>IF(AND('Atividades Micro'!$B406=AW$2,'Atividades Micro'!$K406&lt;&gt;""),'Atividades Micro'!$K406,"")</f>
        <v/>
      </c>
      <c r="AX354" s="21" t="str">
        <f>IF(AND('Atividades Micro'!$B406=AX$2,'Atividades Micro'!$L406&lt;&gt;""),'Atividades Micro'!$L406,"")</f>
        <v/>
      </c>
      <c r="AY354" s="21" t="str">
        <f>IF(AND('Atividades Micro'!$A406=AY$2,'Atividades Micro'!$K406&lt;&gt;""),'Atividades Micro'!$K406,"")</f>
        <v/>
      </c>
      <c r="AZ354" s="21" t="str">
        <f>IF(AND('Atividades Micro'!$A406=AZ$2,'Atividades Micro'!$L406&lt;&gt;""),'Atividades Micro'!$L406,"")</f>
        <v/>
      </c>
      <c r="BA354" s="21" t="str">
        <f>IF(AND('Atividades Micro'!$B406=BA$2,'Atividades Micro'!$K406&lt;&gt;""),'Atividades Micro'!$K406,"")</f>
        <v/>
      </c>
      <c r="BB354" s="21" t="str">
        <f>IF(AND('Atividades Micro'!$B406=BB$2,'Atividades Micro'!$L406&lt;&gt;""),'Atividades Micro'!$L406,"")</f>
        <v/>
      </c>
      <c r="BC354" s="21" t="str">
        <f>IF(AND('Atividades Micro'!$B406=BC$2,'Atividades Micro'!$G406="Macro",'Atividades Micro'!$K406&lt;&gt;""),'Atividades Micro'!$K406,"")</f>
        <v/>
      </c>
      <c r="BD354" s="21" t="str">
        <f>IF(AND('Atividades Micro'!$B406=BD$2,'Atividades Micro'!$G406="Macro",'Atividades Micro'!$K406&lt;&gt;""),'Atividades Micro'!$K406,"")</f>
        <v/>
      </c>
      <c r="BE354" s="21" t="str">
        <f>IF(AND('Atividades Micro'!$B406=BE$2,'Atividades Micro'!$G406="Macro",'Atividades Micro'!$K406&lt;&gt;""),'Atividades Micro'!$K406,"")</f>
        <v/>
      </c>
      <c r="BF354" s="21" t="str">
        <f>IF(AND('Atividades Micro'!$B406=BF$2,'Atividades Micro'!$G406="Macro",'Atividades Micro'!$K406&lt;&gt;""),'Atividades Micro'!$K406,"")</f>
        <v/>
      </c>
      <c r="BG354" s="21" t="str">
        <f>IF(AND('Atividades Micro'!$B406=BG$2,'Atividades Micro'!$G406="Macro",'Atividades Micro'!$K406&lt;&gt;""),'Atividades Micro'!$K406,"")</f>
        <v/>
      </c>
      <c r="BH354" s="21" t="str">
        <f>IF(AND('Atividades Micro'!$B406=BH$2,'Atividades Micro'!$G406="Macro",'Atividades Micro'!$K406&lt;&gt;""),'Atividades Micro'!$K406,"")</f>
        <v/>
      </c>
      <c r="BI354" s="21" t="str">
        <f>IF(AND('Atividades Micro'!$B406=BI$2,'Atividades Micro'!$G406="Macro",'Atividades Micro'!$K406&lt;&gt;""),'Atividades Micro'!$K406,"")</f>
        <v/>
      </c>
      <c r="BJ354" s="21" t="str">
        <f>IF(AND('Atividades Micro'!$B406=BJ$2,'Atividades Micro'!$G406="Macro",'Atividades Micro'!$K406&lt;&gt;""),'Atividades Micro'!$K406,"")</f>
        <v/>
      </c>
      <c r="BK354" s="21" t="str">
        <f>IF(AND('Atividades Micro'!$B406=BK$2,'Atividades Micro'!$G406="Macro",'Atividades Micro'!$K406&lt;&gt;""),'Atividades Micro'!$K406,"")</f>
        <v/>
      </c>
      <c r="BL354" s="21" t="str">
        <f>IF(AND('Atividades Micro'!$B406=BL$2,'Atividades Micro'!$G406="Macro",'Atividades Micro'!$K406&lt;&gt;""),'Atividades Micro'!$K406,"")</f>
        <v/>
      </c>
      <c r="BM354" s="21" t="str">
        <f>IF(AND('Atividades Micro'!$B406=BM$2,'Atividades Micro'!$G406="Macro",'Atividades Micro'!$K406&lt;&gt;""),'Atividades Micro'!$K406,"")</f>
        <v/>
      </c>
      <c r="BN354" s="21" t="str">
        <f>IF(AND('Atividades Micro'!$B406=BN$2,'Atividades Micro'!$G406="Macro",'Atividades Micro'!$K406&lt;&gt;""),'Atividades Micro'!$K406,"")</f>
        <v/>
      </c>
      <c r="BO354" s="21" t="str">
        <f>IF(AND('Atividades Micro'!$B406=BO$2,'Atividades Micro'!$G406="Macro",'Atividades Micro'!$K406&lt;&gt;""),'Atividades Micro'!$K406,"")</f>
        <v/>
      </c>
      <c r="BP354" s="21" t="str">
        <f>IF(AND('Atividades Micro'!$B406=BP$2,'Atividades Micro'!$G406="Macro",'Atividades Micro'!$K406&lt;&gt;""),'Atividades Micro'!$K406,"")</f>
        <v/>
      </c>
      <c r="BQ354" s="21" t="str">
        <f>IF(AND('Atividades Micro'!$B406=BQ$2,'Atividades Micro'!$G406="Macro",'Atividades Micro'!$K406&lt;&gt;""),'Atividades Micro'!$K406,"")</f>
        <v/>
      </c>
      <c r="BR354" s="21" t="str">
        <f>IF(AND('Atividades Micro'!$B406=BR$2,'Atividades Micro'!$G406="Macro",'Atividades Micro'!$K406&lt;&gt;""),'Atividades Micro'!$K406,"")</f>
        <v/>
      </c>
      <c r="BS354" s="21" t="str">
        <f>IF(AND('Atividades Micro'!$B406=BS$2,'Atividades Micro'!$G406="Macro",'Atividades Micro'!$K406&lt;&gt;""),'Atividades Micro'!$K406,"")</f>
        <v/>
      </c>
      <c r="BT354" s="21" t="str">
        <f>IF(AND('Atividades Micro'!$B406=BT$2,'Atividades Micro'!$G406="Macro",'Atividades Micro'!$K406&lt;&gt;""),'Atividades Micro'!$K406,"")</f>
        <v/>
      </c>
      <c r="BU354" s="21" t="str">
        <f>IF(AND('Atividades Micro'!$B406=BU$2,'Atividades Micro'!$G406="Macro",'Atividades Micro'!$K406&lt;&gt;""),'Atividades Micro'!$K406,"")</f>
        <v/>
      </c>
      <c r="BV354" s="21" t="str">
        <f>IF(AND('Atividades Micro'!$B406=BV$2,'Atividades Micro'!$G406="Macro",'Atividades Micro'!$K406&lt;&gt;""),'Atividades Micro'!$K406,"")</f>
        <v/>
      </c>
      <c r="BW354" s="21" t="str">
        <f>IF(AND('Atividades Micro'!$B406=BW$2,'Atividades Micro'!$G406="Macro",'Atividades Micro'!$K406&lt;&gt;""),'Atividades Micro'!$K406,"")</f>
        <v/>
      </c>
      <c r="BX354" s="21" t="str">
        <f>IF(AND('Atividades Micro'!$B406=BX$2,'Atividades Micro'!$G406="Macro",'Atividades Micro'!$K406&lt;&gt;""),'Atividades Micro'!$K406,"")</f>
        <v/>
      </c>
      <c r="BY354" s="21" t="str">
        <f>IF(AND('Atividades Micro'!$B406=BY$2,'Atividades Micro'!$G406="Macro",'Atividades Micro'!$K406&lt;&gt;""),'Atividades Micro'!$K406,"")</f>
        <v/>
      </c>
      <c r="BZ354" s="21" t="str">
        <f>IF(AND('Atividades Micro'!$B406=BZ$2,'Atividades Micro'!$G406="Macro",'Atividades Micro'!$K406&lt;&gt;""),'Atividades Micro'!$K406,"")</f>
        <v/>
      </c>
      <c r="CA354" s="21" t="str">
        <f>IF(AND('Atividades Micro'!$B406=CA$2,'Atividades Micro'!$G406="Macro",'Atividades Micro'!$K406&lt;&gt;""),'Atividades Micro'!$K406,"")</f>
        <v/>
      </c>
      <c r="CB354" s="21" t="str">
        <f>IF(AND('Atividades Micro'!$B406=CB$2,'Atividades Micro'!$G406="Macro",'Atividades Micro'!$K406&lt;&gt;""),'Atividades Micro'!$K406,"")</f>
        <v/>
      </c>
      <c r="CC354" s="21" t="str">
        <f>IF(AND('Atividades Micro'!$B406=CC$2,'Atividades Micro'!$G406="Macro",'Atividades Micro'!$K406&lt;&gt;""),'Atividades Micro'!$K406,"")</f>
        <v/>
      </c>
      <c r="CD354" s="21" t="str">
        <f>IF(AND('Atividades Micro'!$B406=CD$2,'Atividades Micro'!$G406="Micro",'Atividades Micro'!$K406&lt;&gt;""),'Atividades Micro'!$K406,"")</f>
        <v/>
      </c>
      <c r="CE354" s="21" t="str">
        <f>IF(AND('Atividades Micro'!$B406=CE$2,'Atividades Micro'!$G406="Micro",'Atividades Micro'!$K406&lt;&gt;""),'Atividades Micro'!$K406,"")</f>
        <v/>
      </c>
      <c r="CF354" s="21" t="str">
        <f>IF(AND('Atividades Micro'!$B406=CF$2,'Atividades Micro'!$G406="Micro",'Atividades Micro'!$K406&lt;&gt;""),'Atividades Micro'!$K406,"")</f>
        <v/>
      </c>
      <c r="CG354" s="21" t="str">
        <f>IF(AND('Atividades Micro'!$B406=CG$2,'Atividades Micro'!$G406="Micro",'Atividades Micro'!$K406&lt;&gt;""),'Atividades Micro'!$K406,"")</f>
        <v/>
      </c>
      <c r="CH354" s="21" t="str">
        <f>IF(AND('Atividades Micro'!$B406=CH$2,'Atividades Micro'!$G406="Micro",'Atividades Micro'!$K406&lt;&gt;""),'Atividades Micro'!$K406,"")</f>
        <v/>
      </c>
      <c r="CI354" s="21" t="str">
        <f>IF(AND('Atividades Micro'!$B406=CI$2,'Atividades Micro'!$G406="Micro",'Atividades Micro'!$K406&lt;&gt;""),'Atividades Micro'!$K406,"")</f>
        <v/>
      </c>
      <c r="CJ354" s="21" t="str">
        <f>IF(AND('Atividades Micro'!$B406=CJ$2,'Atividades Micro'!$G406="Micro",'Atividades Micro'!$K406&lt;&gt;""),'Atividades Micro'!$K406,"")</f>
        <v/>
      </c>
      <c r="CK354" s="21" t="str">
        <f>IF(AND('Atividades Micro'!$B406=CK$2,'Atividades Micro'!$G406="Micro",'Atividades Micro'!$K406&lt;&gt;""),'Atividades Micro'!$K406,"")</f>
        <v/>
      </c>
      <c r="CL354" s="21" t="str">
        <f>IF(AND('Atividades Micro'!$B406=CL$2,'Atividades Micro'!$G406="Micro",'Atividades Micro'!$K406&lt;&gt;""),'Atividades Micro'!$K406,"")</f>
        <v/>
      </c>
      <c r="CM354" s="21" t="str">
        <f>IF(AND('Atividades Micro'!$B406=CM$2,'Atividades Micro'!$G406="Micro",'Atividades Micro'!$K406&lt;&gt;""),'Atividades Micro'!$K406,"")</f>
        <v/>
      </c>
      <c r="CN354" s="21" t="str">
        <f>IF(AND('Atividades Micro'!$B406=CN$2,'Atividades Micro'!$G406="Micro",'Atividades Micro'!$K406&lt;&gt;""),'Atividades Micro'!$K406,"")</f>
        <v/>
      </c>
      <c r="CO354" s="21" t="str">
        <f>IF(AND('Atividades Micro'!$B406=CO$2,'Atividades Micro'!$G406="Micro",'Atividades Micro'!$K406&lt;&gt;""),'Atividades Micro'!$K406,"")</f>
        <v/>
      </c>
    </row>
    <row r="355" spans="1:93">
      <c r="A355" s="21" t="str">
        <f>IF(AND('Atividades Micro'!$A407=A$2,'Atividades Micro'!$K407&lt;&gt;""),'Atividades Micro'!$K407,"")</f>
        <v/>
      </c>
      <c r="B355" s="21" t="str">
        <f>IF(AND('Atividades Micro'!$A407=B$2,'Atividades Micro'!$L407&lt;&gt;""),'Atividades Micro'!$L407,"")</f>
        <v/>
      </c>
      <c r="C355" s="21" t="str">
        <f>IF(AND('Atividades Micro'!$A407=C$2,'Atividades Micro'!$K407&lt;&gt;""),'Atividades Micro'!$K407,"")</f>
        <v/>
      </c>
      <c r="D355" s="21" t="str">
        <f>IF(AND('Atividades Micro'!$A407=D$2,'Atividades Micro'!$L407&lt;&gt;""),'Atividades Micro'!$L407,"")</f>
        <v/>
      </c>
      <c r="E355" s="21" t="str">
        <f>IF(AND('Atividades Micro'!$A407=E$2,'Atividades Micro'!$K407&lt;&gt;""),'Atividades Micro'!$K407,"")</f>
        <v/>
      </c>
      <c r="F355" s="21" t="str">
        <f>IF(AND('Atividades Micro'!$A407=F$2,'Atividades Micro'!$L407&lt;&gt;""),'Atividades Micro'!$L407,"")</f>
        <v/>
      </c>
      <c r="G355" s="21" t="str">
        <f>IF(AND('Atividades Micro'!$A407=G$2,'Atividades Micro'!$K407&lt;&gt;""),'Atividades Micro'!$K407,"")</f>
        <v/>
      </c>
      <c r="H355" s="21" t="str">
        <f>IF(AND('Atividades Micro'!$A407=H$2,'Atividades Micro'!$L407&lt;&gt;""),'Atividades Micro'!$L407,"")</f>
        <v/>
      </c>
      <c r="I355" s="21" t="str">
        <f>IF(AND('Atividades Micro'!$A407=I$2,'Atividades Micro'!$K407&lt;&gt;""),'Atividades Micro'!$K407,"")</f>
        <v/>
      </c>
      <c r="J355" s="21" t="str">
        <f>IF(AND('Atividades Micro'!$A407=J$2,'Atividades Micro'!$L407&lt;&gt;""),'Atividades Micro'!$L407,"")</f>
        <v/>
      </c>
      <c r="K355" s="21" t="str">
        <f>IF(AND('Atividades Micro'!$B407=K$2,'Atividades Micro'!$K407&lt;&gt;""),'Atividades Micro'!$K407,"")</f>
        <v/>
      </c>
      <c r="L355" s="21" t="str">
        <f>IF(AND('Atividades Micro'!$B407=L$2,'Atividades Micro'!$L407&lt;&gt;""),'Atividades Micro'!$L407,"")</f>
        <v/>
      </c>
      <c r="M355" s="21" t="str">
        <f>IF(AND('Atividades Micro'!$B407=M$2,'Atividades Micro'!$K407&lt;&gt;""),'Atividades Micro'!$K407,"")</f>
        <v/>
      </c>
      <c r="N355" s="21" t="str">
        <f>IF(AND('Atividades Micro'!$B407=N$2,'Atividades Micro'!$L407&lt;&gt;""),'Atividades Micro'!$L407,"")</f>
        <v/>
      </c>
      <c r="O355" s="21" t="str">
        <f>IF(AND('Atividades Micro'!$A407=O$2,'Atividades Micro'!$K407&lt;&gt;""),'Atividades Micro'!$K407,"")</f>
        <v/>
      </c>
      <c r="P355" s="21" t="str">
        <f>IF(AND('Atividades Micro'!$A407=P$2,'Atividades Micro'!$L407&lt;&gt;""),'Atividades Micro'!$L407,"")</f>
        <v/>
      </c>
      <c r="Q355" s="21" t="str">
        <f>IF(AND('Atividades Micro'!$B407=Q$2,'Atividades Micro'!$K407&lt;&gt;""),'Atividades Micro'!$K407,"")</f>
        <v/>
      </c>
      <c r="R355" s="21" t="str">
        <f>IF(AND('Atividades Micro'!$B407=R$2,'Atividades Micro'!$L407&lt;&gt;""),'Atividades Micro'!$L407,"")</f>
        <v/>
      </c>
      <c r="S355" s="21" t="str">
        <f>IF(AND('Atividades Micro'!$A407=S$2,'Atividades Micro'!$K407&lt;&gt;""),'Atividades Micro'!$K407,"")</f>
        <v/>
      </c>
      <c r="T355" s="21" t="str">
        <f>IF(AND('Atividades Micro'!$A407=T$2,'Atividades Micro'!$L407&lt;&gt;""),'Atividades Micro'!$L407,"")</f>
        <v/>
      </c>
      <c r="U355" s="21" t="str">
        <f>IF(AND('Atividades Micro'!$B407=U$2,'Atividades Micro'!$K407&lt;&gt;""),'Atividades Micro'!$K407,"")</f>
        <v/>
      </c>
      <c r="V355" s="21" t="str">
        <f>IF(AND('Atividades Micro'!$B407=V$2,'Atividades Micro'!$L407&lt;&gt;""),'Atividades Micro'!$L407,"")</f>
        <v/>
      </c>
      <c r="W355" s="21" t="str">
        <f>IF(AND('Atividades Micro'!$B407=W$2,'Atividades Micro'!$K407&lt;&gt;""),'Atividades Micro'!$K407,"")</f>
        <v/>
      </c>
      <c r="X355" s="21" t="str">
        <f>IF(AND('Atividades Micro'!$B407=X$2,'Atividades Micro'!$L407&lt;&gt;""),'Atividades Micro'!$L407,"")</f>
        <v/>
      </c>
      <c r="Y355" s="21" t="str">
        <f>IF(AND('Atividades Micro'!$A407=Y$2,'Atividades Micro'!$K407&lt;&gt;""),'Atividades Micro'!$K407,"")</f>
        <v/>
      </c>
      <c r="Z355" s="21" t="str">
        <f>IF(AND('Atividades Micro'!$A407=Z$2,'Atividades Micro'!$L407&lt;&gt;""),'Atividades Micro'!$L407,"")</f>
        <v/>
      </c>
      <c r="AA355" s="21" t="str">
        <f>IF(AND('Atividades Micro'!$B407=AA$2,'Atividades Micro'!$K407&lt;&gt;""),'Atividades Micro'!$K407,"")</f>
        <v/>
      </c>
      <c r="AB355" s="21" t="str">
        <f>IF(AND('Atividades Micro'!$B407=AB$2,'Atividades Micro'!$L407&lt;&gt;""),'Atividades Micro'!$L407,"")</f>
        <v/>
      </c>
      <c r="AC355" s="21" t="str">
        <f>IF(AND('Atividades Micro'!$B407=AC$2,'Atividades Micro'!$K407&lt;&gt;""),'Atividades Micro'!$K407,"")</f>
        <v/>
      </c>
      <c r="AD355" s="21" t="str">
        <f>IF(AND('Atividades Micro'!$B407=AD$2,'Atividades Micro'!$L407&lt;&gt;""),'Atividades Micro'!$L407,"")</f>
        <v/>
      </c>
      <c r="AE355" s="21" t="str">
        <f>IF(AND('Atividades Micro'!$A407=AE$2,'Atividades Micro'!$K407&lt;&gt;""),'Atividades Micro'!$K407,"")</f>
        <v/>
      </c>
      <c r="AF355" s="21" t="str">
        <f>IF(AND('Atividades Micro'!$A407=AF$2,'Atividades Micro'!$L407&lt;&gt;""),'Atividades Micro'!$L407,"")</f>
        <v/>
      </c>
      <c r="AG355" s="21" t="str">
        <f>IF(AND('Atividades Micro'!$B407=AG$2,'Atividades Micro'!$K407&lt;&gt;""),'Atividades Micro'!$K407,"")</f>
        <v/>
      </c>
      <c r="AH355" s="21" t="str">
        <f>IF(AND('Atividades Micro'!$B407=AH$2,'Atividades Micro'!$L407&lt;&gt;""),'Atividades Micro'!$L407,"")</f>
        <v/>
      </c>
      <c r="AI355" s="21" t="str">
        <f>IF(AND('Atividades Micro'!$B407=AI$2,'Atividades Micro'!$K407&lt;&gt;""),'Atividades Micro'!$K407,"")</f>
        <v/>
      </c>
      <c r="AJ355" s="21" t="str">
        <f>IF(AND('Atividades Micro'!$B407=AJ$2,'Atividades Micro'!$L407&lt;&gt;""),'Atividades Micro'!$L407,"")</f>
        <v/>
      </c>
      <c r="AK355" s="21" t="str">
        <f>IF(AND('Atividades Micro'!$A407=AK$2,'Atividades Micro'!$K407&lt;&gt;""),'Atividades Micro'!$K407,"")</f>
        <v/>
      </c>
      <c r="AL355" s="21" t="str">
        <f>IF(AND('Atividades Micro'!$A407=AL$2,'Atividades Micro'!$L407&lt;&gt;""),'Atividades Micro'!$L407,"")</f>
        <v/>
      </c>
      <c r="AM355" s="21" t="str">
        <f>IF(AND('Atividades Micro'!$B407=AM$2,'Atividades Micro'!$K407&lt;&gt;""),'Atividades Micro'!$K407,"")</f>
        <v/>
      </c>
      <c r="AN355" s="21" t="str">
        <f>IF(AND('Atividades Micro'!$B407=AN$2,'Atividades Micro'!$L407&lt;&gt;""),'Atividades Micro'!$L407,"")</f>
        <v/>
      </c>
      <c r="AO355" s="21" t="str">
        <f>IF(AND('Atividades Micro'!$B407=AO$2,'Atividades Micro'!$K407&lt;&gt;""),'Atividades Micro'!$K407,"")</f>
        <v/>
      </c>
      <c r="AP355" s="21" t="str">
        <f>IF(AND('Atividades Micro'!$B407=AP$2,'Atividades Micro'!$L407&lt;&gt;""),'Atividades Micro'!$L407,"")</f>
        <v/>
      </c>
      <c r="AQ355" s="21" t="str">
        <f>IF(AND('Atividades Micro'!$A407=AQ$2,'Atividades Micro'!$K407&lt;&gt;""),'Atividades Micro'!$K407,"")</f>
        <v/>
      </c>
      <c r="AR355" s="21" t="str">
        <f>IF(AND('Atividades Micro'!$A407=AR$2,'Atividades Micro'!$L407&lt;&gt;""),'Atividades Micro'!$L407,"")</f>
        <v/>
      </c>
      <c r="AS355" s="21" t="str">
        <f>IF(AND('Atividades Micro'!$B407=AS$2,'Atividades Micro'!$K407&lt;&gt;""),'Atividades Micro'!$K407,"")</f>
        <v/>
      </c>
      <c r="AT355" s="21" t="str">
        <f>IF(AND('Atividades Micro'!$B407=AT$2,'Atividades Micro'!$L407&lt;&gt;""),'Atividades Micro'!$L407,"")</f>
        <v/>
      </c>
      <c r="AU355" s="21" t="str">
        <f>IF(AND('Atividades Micro'!$A407=AU$2,'Atividades Micro'!$K407&lt;&gt;""),'Atividades Micro'!$K407,"")</f>
        <v/>
      </c>
      <c r="AV355" s="21" t="str">
        <f>IF(AND('Atividades Micro'!$A407=AV$2,'Atividades Micro'!$L407&lt;&gt;""),'Atividades Micro'!$L407,"")</f>
        <v/>
      </c>
      <c r="AW355" s="21" t="str">
        <f>IF(AND('Atividades Micro'!$B407=AW$2,'Atividades Micro'!$K407&lt;&gt;""),'Atividades Micro'!$K407,"")</f>
        <v/>
      </c>
      <c r="AX355" s="21" t="str">
        <f>IF(AND('Atividades Micro'!$B407=AX$2,'Atividades Micro'!$L407&lt;&gt;""),'Atividades Micro'!$L407,"")</f>
        <v/>
      </c>
      <c r="AY355" s="21" t="str">
        <f>IF(AND('Atividades Micro'!$A407=AY$2,'Atividades Micro'!$K407&lt;&gt;""),'Atividades Micro'!$K407,"")</f>
        <v/>
      </c>
      <c r="AZ355" s="21" t="str">
        <f>IF(AND('Atividades Micro'!$A407=AZ$2,'Atividades Micro'!$L407&lt;&gt;""),'Atividades Micro'!$L407,"")</f>
        <v/>
      </c>
      <c r="BA355" s="21" t="str">
        <f>IF(AND('Atividades Micro'!$B407=BA$2,'Atividades Micro'!$K407&lt;&gt;""),'Atividades Micro'!$K407,"")</f>
        <v/>
      </c>
      <c r="BB355" s="21" t="str">
        <f>IF(AND('Atividades Micro'!$B407=BB$2,'Atividades Micro'!$L407&lt;&gt;""),'Atividades Micro'!$L407,"")</f>
        <v/>
      </c>
      <c r="BC355" s="21" t="str">
        <f>IF(AND('Atividades Micro'!$B407=BC$2,'Atividades Micro'!$G407="Macro",'Atividades Micro'!$K407&lt;&gt;""),'Atividades Micro'!$K407,"")</f>
        <v/>
      </c>
      <c r="BD355" s="21" t="str">
        <f>IF(AND('Atividades Micro'!$B407=BD$2,'Atividades Micro'!$G407="Macro",'Atividades Micro'!$K407&lt;&gt;""),'Atividades Micro'!$K407,"")</f>
        <v/>
      </c>
      <c r="BE355" s="21" t="str">
        <f>IF(AND('Atividades Micro'!$B407=BE$2,'Atividades Micro'!$G407="Macro",'Atividades Micro'!$K407&lt;&gt;""),'Atividades Micro'!$K407,"")</f>
        <v/>
      </c>
      <c r="BF355" s="21" t="str">
        <f>IF(AND('Atividades Micro'!$B407=BF$2,'Atividades Micro'!$G407="Macro",'Atividades Micro'!$K407&lt;&gt;""),'Atividades Micro'!$K407,"")</f>
        <v/>
      </c>
      <c r="BG355" s="21" t="str">
        <f>IF(AND('Atividades Micro'!$B407=BG$2,'Atividades Micro'!$G407="Macro",'Atividades Micro'!$K407&lt;&gt;""),'Atividades Micro'!$K407,"")</f>
        <v/>
      </c>
      <c r="BH355" s="21" t="str">
        <f>IF(AND('Atividades Micro'!$B407=BH$2,'Atividades Micro'!$G407="Macro",'Atividades Micro'!$K407&lt;&gt;""),'Atividades Micro'!$K407,"")</f>
        <v/>
      </c>
      <c r="BI355" s="21" t="str">
        <f>IF(AND('Atividades Micro'!$B407=BI$2,'Atividades Micro'!$G407="Macro",'Atividades Micro'!$K407&lt;&gt;""),'Atividades Micro'!$K407,"")</f>
        <v/>
      </c>
      <c r="BJ355" s="21" t="str">
        <f>IF(AND('Atividades Micro'!$B407=BJ$2,'Atividades Micro'!$G407="Macro",'Atividades Micro'!$K407&lt;&gt;""),'Atividades Micro'!$K407,"")</f>
        <v/>
      </c>
      <c r="BK355" s="21" t="str">
        <f>IF(AND('Atividades Micro'!$B407=BK$2,'Atividades Micro'!$G407="Macro",'Atividades Micro'!$K407&lt;&gt;""),'Atividades Micro'!$K407,"")</f>
        <v/>
      </c>
      <c r="BL355" s="21" t="str">
        <f>IF(AND('Atividades Micro'!$B407=BL$2,'Atividades Micro'!$G407="Macro",'Atividades Micro'!$K407&lt;&gt;""),'Atividades Micro'!$K407,"")</f>
        <v/>
      </c>
      <c r="BM355" s="21" t="str">
        <f>IF(AND('Atividades Micro'!$B407=BM$2,'Atividades Micro'!$G407="Macro",'Atividades Micro'!$K407&lt;&gt;""),'Atividades Micro'!$K407,"")</f>
        <v/>
      </c>
      <c r="BN355" s="21" t="str">
        <f>IF(AND('Atividades Micro'!$B407=BN$2,'Atividades Micro'!$G407="Macro",'Atividades Micro'!$K407&lt;&gt;""),'Atividades Micro'!$K407,"")</f>
        <v/>
      </c>
      <c r="BO355" s="21" t="str">
        <f>IF(AND('Atividades Micro'!$B407=BO$2,'Atividades Micro'!$G407="Macro",'Atividades Micro'!$K407&lt;&gt;""),'Atividades Micro'!$K407,"")</f>
        <v/>
      </c>
      <c r="BP355" s="21" t="str">
        <f>IF(AND('Atividades Micro'!$B407=BP$2,'Atividades Micro'!$G407="Macro",'Atividades Micro'!$K407&lt;&gt;""),'Atividades Micro'!$K407,"")</f>
        <v/>
      </c>
      <c r="BQ355" s="21" t="str">
        <f>IF(AND('Atividades Micro'!$B407=BQ$2,'Atividades Micro'!$G407="Macro",'Atividades Micro'!$K407&lt;&gt;""),'Atividades Micro'!$K407,"")</f>
        <v/>
      </c>
      <c r="BR355" s="21" t="str">
        <f>IF(AND('Atividades Micro'!$B407=BR$2,'Atividades Micro'!$G407="Macro",'Atividades Micro'!$K407&lt;&gt;""),'Atividades Micro'!$K407,"")</f>
        <v/>
      </c>
      <c r="BS355" s="21" t="str">
        <f>IF(AND('Atividades Micro'!$B407=BS$2,'Atividades Micro'!$G407="Macro",'Atividades Micro'!$K407&lt;&gt;""),'Atividades Micro'!$K407,"")</f>
        <v/>
      </c>
      <c r="BT355" s="21" t="str">
        <f>IF(AND('Atividades Micro'!$B407=BT$2,'Atividades Micro'!$G407="Macro",'Atividades Micro'!$K407&lt;&gt;""),'Atividades Micro'!$K407,"")</f>
        <v/>
      </c>
      <c r="BU355" s="21" t="str">
        <f>IF(AND('Atividades Micro'!$B407=BU$2,'Atividades Micro'!$G407="Macro",'Atividades Micro'!$K407&lt;&gt;""),'Atividades Micro'!$K407,"")</f>
        <v/>
      </c>
      <c r="BV355" s="21" t="str">
        <f>IF(AND('Atividades Micro'!$B407=BV$2,'Atividades Micro'!$G407="Macro",'Atividades Micro'!$K407&lt;&gt;""),'Atividades Micro'!$K407,"")</f>
        <v/>
      </c>
      <c r="BW355" s="21" t="str">
        <f>IF(AND('Atividades Micro'!$B407=BW$2,'Atividades Micro'!$G407="Macro",'Atividades Micro'!$K407&lt;&gt;""),'Atividades Micro'!$K407,"")</f>
        <v/>
      </c>
      <c r="BX355" s="21" t="str">
        <f>IF(AND('Atividades Micro'!$B407=BX$2,'Atividades Micro'!$G407="Macro",'Atividades Micro'!$K407&lt;&gt;""),'Atividades Micro'!$K407,"")</f>
        <v/>
      </c>
      <c r="BY355" s="21" t="str">
        <f>IF(AND('Atividades Micro'!$B407=BY$2,'Atividades Micro'!$G407="Macro",'Atividades Micro'!$K407&lt;&gt;""),'Atividades Micro'!$K407,"")</f>
        <v/>
      </c>
      <c r="BZ355" s="21" t="str">
        <f>IF(AND('Atividades Micro'!$B407=BZ$2,'Atividades Micro'!$G407="Macro",'Atividades Micro'!$K407&lt;&gt;""),'Atividades Micro'!$K407,"")</f>
        <v/>
      </c>
      <c r="CA355" s="21" t="str">
        <f>IF(AND('Atividades Micro'!$B407=CA$2,'Atividades Micro'!$G407="Macro",'Atividades Micro'!$K407&lt;&gt;""),'Atividades Micro'!$K407,"")</f>
        <v/>
      </c>
      <c r="CB355" s="21" t="str">
        <f>IF(AND('Atividades Micro'!$B407=CB$2,'Atividades Micro'!$G407="Macro",'Atividades Micro'!$K407&lt;&gt;""),'Atividades Micro'!$K407,"")</f>
        <v/>
      </c>
      <c r="CC355" s="21" t="str">
        <f>IF(AND('Atividades Micro'!$B407=CC$2,'Atividades Micro'!$G407="Macro",'Atividades Micro'!$K407&lt;&gt;""),'Atividades Micro'!$K407,"")</f>
        <v/>
      </c>
      <c r="CD355" s="21" t="str">
        <f>IF(AND('Atividades Micro'!$B407=CD$2,'Atividades Micro'!$G407="Micro",'Atividades Micro'!$K407&lt;&gt;""),'Atividades Micro'!$K407,"")</f>
        <v/>
      </c>
      <c r="CE355" s="21" t="str">
        <f>IF(AND('Atividades Micro'!$B407=CE$2,'Atividades Micro'!$G407="Micro",'Atividades Micro'!$K407&lt;&gt;""),'Atividades Micro'!$K407,"")</f>
        <v/>
      </c>
      <c r="CF355" s="21" t="str">
        <f>IF(AND('Atividades Micro'!$B407=CF$2,'Atividades Micro'!$G407="Micro",'Atividades Micro'!$K407&lt;&gt;""),'Atividades Micro'!$K407,"")</f>
        <v/>
      </c>
      <c r="CG355" s="21" t="str">
        <f>IF(AND('Atividades Micro'!$B407=CG$2,'Atividades Micro'!$G407="Micro",'Atividades Micro'!$K407&lt;&gt;""),'Atividades Micro'!$K407,"")</f>
        <v/>
      </c>
      <c r="CH355" s="21" t="str">
        <f>IF(AND('Atividades Micro'!$B407=CH$2,'Atividades Micro'!$G407="Micro",'Atividades Micro'!$K407&lt;&gt;""),'Atividades Micro'!$K407,"")</f>
        <v/>
      </c>
      <c r="CI355" s="21" t="str">
        <f>IF(AND('Atividades Micro'!$B407=CI$2,'Atividades Micro'!$G407="Micro",'Atividades Micro'!$K407&lt;&gt;""),'Atividades Micro'!$K407,"")</f>
        <v/>
      </c>
      <c r="CJ355" s="21" t="str">
        <f>IF(AND('Atividades Micro'!$B407=CJ$2,'Atividades Micro'!$G407="Micro",'Atividades Micro'!$K407&lt;&gt;""),'Atividades Micro'!$K407,"")</f>
        <v/>
      </c>
      <c r="CK355" s="21" t="str">
        <f>IF(AND('Atividades Micro'!$B407=CK$2,'Atividades Micro'!$G407="Micro",'Atividades Micro'!$K407&lt;&gt;""),'Atividades Micro'!$K407,"")</f>
        <v/>
      </c>
      <c r="CL355" s="21" t="str">
        <f>IF(AND('Atividades Micro'!$B407=CL$2,'Atividades Micro'!$G407="Micro",'Atividades Micro'!$K407&lt;&gt;""),'Atividades Micro'!$K407,"")</f>
        <v/>
      </c>
      <c r="CM355" s="21" t="str">
        <f>IF(AND('Atividades Micro'!$B407=CM$2,'Atividades Micro'!$G407="Micro",'Atividades Micro'!$K407&lt;&gt;""),'Atividades Micro'!$K407,"")</f>
        <v/>
      </c>
      <c r="CN355" s="21" t="str">
        <f>IF(AND('Atividades Micro'!$B407=CN$2,'Atividades Micro'!$G407="Micro",'Atividades Micro'!$K407&lt;&gt;""),'Atividades Micro'!$K407,"")</f>
        <v/>
      </c>
      <c r="CO355" s="21" t="str">
        <f>IF(AND('Atividades Micro'!$B407=CO$2,'Atividades Micro'!$G407="Micro",'Atividades Micro'!$K407&lt;&gt;""),'Atividades Micro'!$K407,"")</f>
        <v/>
      </c>
    </row>
    <row r="356" spans="1:93">
      <c r="A356" s="21" t="str">
        <f>IF(AND('Atividades Micro'!$A408=A$2,'Atividades Micro'!$K408&lt;&gt;""),'Atividades Micro'!$K408,"")</f>
        <v/>
      </c>
      <c r="B356" s="21" t="str">
        <f>IF(AND('Atividades Micro'!$A408=B$2,'Atividades Micro'!$L408&lt;&gt;""),'Atividades Micro'!$L408,"")</f>
        <v/>
      </c>
      <c r="C356" s="21" t="str">
        <f>IF(AND('Atividades Micro'!$A408=C$2,'Atividades Micro'!$K408&lt;&gt;""),'Atividades Micro'!$K408,"")</f>
        <v/>
      </c>
      <c r="D356" s="21" t="str">
        <f>IF(AND('Atividades Micro'!$A408=D$2,'Atividades Micro'!$L408&lt;&gt;""),'Atividades Micro'!$L408,"")</f>
        <v/>
      </c>
      <c r="E356" s="21" t="str">
        <f>IF(AND('Atividades Micro'!$A408=E$2,'Atividades Micro'!$K408&lt;&gt;""),'Atividades Micro'!$K408,"")</f>
        <v/>
      </c>
      <c r="F356" s="21" t="str">
        <f>IF(AND('Atividades Micro'!$A408=F$2,'Atividades Micro'!$L408&lt;&gt;""),'Atividades Micro'!$L408,"")</f>
        <v/>
      </c>
      <c r="G356" s="21" t="str">
        <f>IF(AND('Atividades Micro'!$A408=G$2,'Atividades Micro'!$K408&lt;&gt;""),'Atividades Micro'!$K408,"")</f>
        <v/>
      </c>
      <c r="H356" s="21" t="str">
        <f>IF(AND('Atividades Micro'!$A408=H$2,'Atividades Micro'!$L408&lt;&gt;""),'Atividades Micro'!$L408,"")</f>
        <v/>
      </c>
      <c r="I356" s="21" t="str">
        <f>IF(AND('Atividades Micro'!$A408=I$2,'Atividades Micro'!$K408&lt;&gt;""),'Atividades Micro'!$K408,"")</f>
        <v/>
      </c>
      <c r="J356" s="21" t="str">
        <f>IF(AND('Atividades Micro'!$A408=J$2,'Atividades Micro'!$L408&lt;&gt;""),'Atividades Micro'!$L408,"")</f>
        <v/>
      </c>
      <c r="K356" s="21" t="str">
        <f>IF(AND('Atividades Micro'!$B408=K$2,'Atividades Micro'!$K408&lt;&gt;""),'Atividades Micro'!$K408,"")</f>
        <v/>
      </c>
      <c r="L356" s="21" t="str">
        <f>IF(AND('Atividades Micro'!$B408=L$2,'Atividades Micro'!$L408&lt;&gt;""),'Atividades Micro'!$L408,"")</f>
        <v/>
      </c>
      <c r="M356" s="21" t="str">
        <f>IF(AND('Atividades Micro'!$B408=M$2,'Atividades Micro'!$K408&lt;&gt;""),'Atividades Micro'!$K408,"")</f>
        <v/>
      </c>
      <c r="N356" s="21" t="str">
        <f>IF(AND('Atividades Micro'!$B408=N$2,'Atividades Micro'!$L408&lt;&gt;""),'Atividades Micro'!$L408,"")</f>
        <v/>
      </c>
      <c r="O356" s="21" t="str">
        <f>IF(AND('Atividades Micro'!$A408=O$2,'Atividades Micro'!$K408&lt;&gt;""),'Atividades Micro'!$K408,"")</f>
        <v/>
      </c>
      <c r="P356" s="21" t="str">
        <f>IF(AND('Atividades Micro'!$A408=P$2,'Atividades Micro'!$L408&lt;&gt;""),'Atividades Micro'!$L408,"")</f>
        <v/>
      </c>
      <c r="Q356" s="21" t="str">
        <f>IF(AND('Atividades Micro'!$B408=Q$2,'Atividades Micro'!$K408&lt;&gt;""),'Atividades Micro'!$K408,"")</f>
        <v/>
      </c>
      <c r="R356" s="21" t="str">
        <f>IF(AND('Atividades Micro'!$B408=R$2,'Atividades Micro'!$L408&lt;&gt;""),'Atividades Micro'!$L408,"")</f>
        <v/>
      </c>
      <c r="S356" s="21" t="str">
        <f>IF(AND('Atividades Micro'!$A408=S$2,'Atividades Micro'!$K408&lt;&gt;""),'Atividades Micro'!$K408,"")</f>
        <v/>
      </c>
      <c r="T356" s="21" t="str">
        <f>IF(AND('Atividades Micro'!$A408=T$2,'Atividades Micro'!$L408&lt;&gt;""),'Atividades Micro'!$L408,"")</f>
        <v/>
      </c>
      <c r="U356" s="21" t="str">
        <f>IF(AND('Atividades Micro'!$B408=U$2,'Atividades Micro'!$K408&lt;&gt;""),'Atividades Micro'!$K408,"")</f>
        <v/>
      </c>
      <c r="V356" s="21" t="str">
        <f>IF(AND('Atividades Micro'!$B408=V$2,'Atividades Micro'!$L408&lt;&gt;""),'Atividades Micro'!$L408,"")</f>
        <v/>
      </c>
      <c r="W356" s="21" t="str">
        <f>IF(AND('Atividades Micro'!$B408=W$2,'Atividades Micro'!$K408&lt;&gt;""),'Atividades Micro'!$K408,"")</f>
        <v/>
      </c>
      <c r="X356" s="21" t="str">
        <f>IF(AND('Atividades Micro'!$B408=X$2,'Atividades Micro'!$L408&lt;&gt;""),'Atividades Micro'!$L408,"")</f>
        <v/>
      </c>
      <c r="Y356" s="21" t="str">
        <f>IF(AND('Atividades Micro'!$A408=Y$2,'Atividades Micro'!$K408&lt;&gt;""),'Atividades Micro'!$K408,"")</f>
        <v/>
      </c>
      <c r="Z356" s="21" t="str">
        <f>IF(AND('Atividades Micro'!$A408=Z$2,'Atividades Micro'!$L408&lt;&gt;""),'Atividades Micro'!$L408,"")</f>
        <v/>
      </c>
      <c r="AA356" s="21" t="str">
        <f>IF(AND('Atividades Micro'!$B408=AA$2,'Atividades Micro'!$K408&lt;&gt;""),'Atividades Micro'!$K408,"")</f>
        <v/>
      </c>
      <c r="AB356" s="21" t="str">
        <f>IF(AND('Atividades Micro'!$B408=AB$2,'Atividades Micro'!$L408&lt;&gt;""),'Atividades Micro'!$L408,"")</f>
        <v/>
      </c>
      <c r="AC356" s="21" t="str">
        <f>IF(AND('Atividades Micro'!$B408=AC$2,'Atividades Micro'!$K408&lt;&gt;""),'Atividades Micro'!$K408,"")</f>
        <v/>
      </c>
      <c r="AD356" s="21" t="str">
        <f>IF(AND('Atividades Micro'!$B408=AD$2,'Atividades Micro'!$L408&lt;&gt;""),'Atividades Micro'!$L408,"")</f>
        <v/>
      </c>
      <c r="AE356" s="21" t="str">
        <f>IF(AND('Atividades Micro'!$A408=AE$2,'Atividades Micro'!$K408&lt;&gt;""),'Atividades Micro'!$K408,"")</f>
        <v/>
      </c>
      <c r="AF356" s="21" t="str">
        <f>IF(AND('Atividades Micro'!$A408=AF$2,'Atividades Micro'!$L408&lt;&gt;""),'Atividades Micro'!$L408,"")</f>
        <v/>
      </c>
      <c r="AG356" s="21" t="str">
        <f>IF(AND('Atividades Micro'!$B408=AG$2,'Atividades Micro'!$K408&lt;&gt;""),'Atividades Micro'!$K408,"")</f>
        <v/>
      </c>
      <c r="AH356" s="21" t="str">
        <f>IF(AND('Atividades Micro'!$B408=AH$2,'Atividades Micro'!$L408&lt;&gt;""),'Atividades Micro'!$L408,"")</f>
        <v/>
      </c>
      <c r="AI356" s="21" t="str">
        <f>IF(AND('Atividades Micro'!$B408=AI$2,'Atividades Micro'!$K408&lt;&gt;""),'Atividades Micro'!$K408,"")</f>
        <v/>
      </c>
      <c r="AJ356" s="21" t="str">
        <f>IF(AND('Atividades Micro'!$B408=AJ$2,'Atividades Micro'!$L408&lt;&gt;""),'Atividades Micro'!$L408,"")</f>
        <v/>
      </c>
      <c r="AK356" s="21" t="str">
        <f>IF(AND('Atividades Micro'!$A408=AK$2,'Atividades Micro'!$K408&lt;&gt;""),'Atividades Micro'!$K408,"")</f>
        <v/>
      </c>
      <c r="AL356" s="21" t="str">
        <f>IF(AND('Atividades Micro'!$A408=AL$2,'Atividades Micro'!$L408&lt;&gt;""),'Atividades Micro'!$L408,"")</f>
        <v/>
      </c>
      <c r="AM356" s="21" t="str">
        <f>IF(AND('Atividades Micro'!$B408=AM$2,'Atividades Micro'!$K408&lt;&gt;""),'Atividades Micro'!$K408,"")</f>
        <v/>
      </c>
      <c r="AN356" s="21" t="str">
        <f>IF(AND('Atividades Micro'!$B408=AN$2,'Atividades Micro'!$L408&lt;&gt;""),'Atividades Micro'!$L408,"")</f>
        <v/>
      </c>
      <c r="AO356" s="21" t="str">
        <f>IF(AND('Atividades Micro'!$B408=AO$2,'Atividades Micro'!$K408&lt;&gt;""),'Atividades Micro'!$K408,"")</f>
        <v/>
      </c>
      <c r="AP356" s="21" t="str">
        <f>IF(AND('Atividades Micro'!$B408=AP$2,'Atividades Micro'!$L408&lt;&gt;""),'Atividades Micro'!$L408,"")</f>
        <v/>
      </c>
      <c r="AQ356" s="21" t="str">
        <f>IF(AND('Atividades Micro'!$A408=AQ$2,'Atividades Micro'!$K408&lt;&gt;""),'Atividades Micro'!$K408,"")</f>
        <v/>
      </c>
      <c r="AR356" s="21" t="str">
        <f>IF(AND('Atividades Micro'!$A408=AR$2,'Atividades Micro'!$L408&lt;&gt;""),'Atividades Micro'!$L408,"")</f>
        <v/>
      </c>
      <c r="AS356" s="21" t="str">
        <f>IF(AND('Atividades Micro'!$B408=AS$2,'Atividades Micro'!$K408&lt;&gt;""),'Atividades Micro'!$K408,"")</f>
        <v/>
      </c>
      <c r="AT356" s="21" t="str">
        <f>IF(AND('Atividades Micro'!$B408=AT$2,'Atividades Micro'!$L408&lt;&gt;""),'Atividades Micro'!$L408,"")</f>
        <v/>
      </c>
      <c r="AU356" s="21" t="str">
        <f>IF(AND('Atividades Micro'!$A408=AU$2,'Atividades Micro'!$K408&lt;&gt;""),'Atividades Micro'!$K408,"")</f>
        <v/>
      </c>
      <c r="AV356" s="21" t="str">
        <f>IF(AND('Atividades Micro'!$A408=AV$2,'Atividades Micro'!$L408&lt;&gt;""),'Atividades Micro'!$L408,"")</f>
        <v/>
      </c>
      <c r="AW356" s="21" t="str">
        <f>IF(AND('Atividades Micro'!$B408=AW$2,'Atividades Micro'!$K408&lt;&gt;""),'Atividades Micro'!$K408,"")</f>
        <v/>
      </c>
      <c r="AX356" s="21" t="str">
        <f>IF(AND('Atividades Micro'!$B408=AX$2,'Atividades Micro'!$L408&lt;&gt;""),'Atividades Micro'!$L408,"")</f>
        <v/>
      </c>
      <c r="AY356" s="21" t="str">
        <f>IF(AND('Atividades Micro'!$A408=AY$2,'Atividades Micro'!$K408&lt;&gt;""),'Atividades Micro'!$K408,"")</f>
        <v/>
      </c>
      <c r="AZ356" s="21" t="str">
        <f>IF(AND('Atividades Micro'!$A408=AZ$2,'Atividades Micro'!$L408&lt;&gt;""),'Atividades Micro'!$L408,"")</f>
        <v/>
      </c>
      <c r="BA356" s="21" t="str">
        <f>IF(AND('Atividades Micro'!$B408=BA$2,'Atividades Micro'!$K408&lt;&gt;""),'Atividades Micro'!$K408,"")</f>
        <v/>
      </c>
      <c r="BB356" s="21" t="str">
        <f>IF(AND('Atividades Micro'!$B408=BB$2,'Atividades Micro'!$L408&lt;&gt;""),'Atividades Micro'!$L408,"")</f>
        <v/>
      </c>
      <c r="BC356" s="21" t="str">
        <f>IF(AND('Atividades Micro'!$B408=BC$2,'Atividades Micro'!$G408="Macro",'Atividades Micro'!$K408&lt;&gt;""),'Atividades Micro'!$K408,"")</f>
        <v/>
      </c>
      <c r="BD356" s="21" t="str">
        <f>IF(AND('Atividades Micro'!$B408=BD$2,'Atividades Micro'!$G408="Macro",'Atividades Micro'!$K408&lt;&gt;""),'Atividades Micro'!$K408,"")</f>
        <v/>
      </c>
      <c r="BE356" s="21" t="str">
        <f>IF(AND('Atividades Micro'!$B408=BE$2,'Atividades Micro'!$G408="Macro",'Atividades Micro'!$K408&lt;&gt;""),'Atividades Micro'!$K408,"")</f>
        <v/>
      </c>
      <c r="BF356" s="21" t="str">
        <f>IF(AND('Atividades Micro'!$B408=BF$2,'Atividades Micro'!$G408="Macro",'Atividades Micro'!$K408&lt;&gt;""),'Atividades Micro'!$K408,"")</f>
        <v/>
      </c>
      <c r="BG356" s="21" t="str">
        <f>IF(AND('Atividades Micro'!$B408=BG$2,'Atividades Micro'!$G408="Macro",'Atividades Micro'!$K408&lt;&gt;""),'Atividades Micro'!$K408,"")</f>
        <v/>
      </c>
      <c r="BH356" s="21" t="str">
        <f>IF(AND('Atividades Micro'!$B408=BH$2,'Atividades Micro'!$G408="Macro",'Atividades Micro'!$K408&lt;&gt;""),'Atividades Micro'!$K408,"")</f>
        <v/>
      </c>
      <c r="BI356" s="21" t="str">
        <f>IF(AND('Atividades Micro'!$B408=BI$2,'Atividades Micro'!$G408="Macro",'Atividades Micro'!$K408&lt;&gt;""),'Atividades Micro'!$K408,"")</f>
        <v/>
      </c>
      <c r="BJ356" s="21" t="str">
        <f>IF(AND('Atividades Micro'!$B408=BJ$2,'Atividades Micro'!$G408="Macro",'Atividades Micro'!$K408&lt;&gt;""),'Atividades Micro'!$K408,"")</f>
        <v/>
      </c>
      <c r="BK356" s="21" t="str">
        <f>IF(AND('Atividades Micro'!$B408=BK$2,'Atividades Micro'!$G408="Macro",'Atividades Micro'!$K408&lt;&gt;""),'Atividades Micro'!$K408,"")</f>
        <v/>
      </c>
      <c r="BL356" s="21" t="str">
        <f>IF(AND('Atividades Micro'!$B408=BL$2,'Atividades Micro'!$G408="Macro",'Atividades Micro'!$K408&lt;&gt;""),'Atividades Micro'!$K408,"")</f>
        <v/>
      </c>
      <c r="BM356" s="21" t="str">
        <f>IF(AND('Atividades Micro'!$B408=BM$2,'Atividades Micro'!$G408="Macro",'Atividades Micro'!$K408&lt;&gt;""),'Atividades Micro'!$K408,"")</f>
        <v/>
      </c>
      <c r="BN356" s="21" t="str">
        <f>IF(AND('Atividades Micro'!$B408=BN$2,'Atividades Micro'!$G408="Macro",'Atividades Micro'!$K408&lt;&gt;""),'Atividades Micro'!$K408,"")</f>
        <v/>
      </c>
      <c r="BO356" s="21" t="str">
        <f>IF(AND('Atividades Micro'!$B408=BO$2,'Atividades Micro'!$G408="Macro",'Atividades Micro'!$K408&lt;&gt;""),'Atividades Micro'!$K408,"")</f>
        <v/>
      </c>
      <c r="BP356" s="21" t="str">
        <f>IF(AND('Atividades Micro'!$B408=BP$2,'Atividades Micro'!$G408="Macro",'Atividades Micro'!$K408&lt;&gt;""),'Atividades Micro'!$K408,"")</f>
        <v/>
      </c>
      <c r="BQ356" s="21" t="str">
        <f>IF(AND('Atividades Micro'!$B408=BQ$2,'Atividades Micro'!$G408="Macro",'Atividades Micro'!$K408&lt;&gt;""),'Atividades Micro'!$K408,"")</f>
        <v/>
      </c>
      <c r="BR356" s="21" t="str">
        <f>IF(AND('Atividades Micro'!$B408=BR$2,'Atividades Micro'!$G408="Macro",'Atividades Micro'!$K408&lt;&gt;""),'Atividades Micro'!$K408,"")</f>
        <v/>
      </c>
      <c r="BS356" s="21" t="str">
        <f>IF(AND('Atividades Micro'!$B408=BS$2,'Atividades Micro'!$G408="Macro",'Atividades Micro'!$K408&lt;&gt;""),'Atividades Micro'!$K408,"")</f>
        <v/>
      </c>
      <c r="BT356" s="21" t="str">
        <f>IF(AND('Atividades Micro'!$B408=BT$2,'Atividades Micro'!$G408="Macro",'Atividades Micro'!$K408&lt;&gt;""),'Atividades Micro'!$K408,"")</f>
        <v/>
      </c>
      <c r="BU356" s="21" t="str">
        <f>IF(AND('Atividades Micro'!$B408=BU$2,'Atividades Micro'!$G408="Macro",'Atividades Micro'!$K408&lt;&gt;""),'Atividades Micro'!$K408,"")</f>
        <v/>
      </c>
      <c r="BV356" s="21" t="str">
        <f>IF(AND('Atividades Micro'!$B408=BV$2,'Atividades Micro'!$G408="Macro",'Atividades Micro'!$K408&lt;&gt;""),'Atividades Micro'!$K408,"")</f>
        <v/>
      </c>
      <c r="BW356" s="21" t="str">
        <f>IF(AND('Atividades Micro'!$B408=BW$2,'Atividades Micro'!$G408="Macro",'Atividades Micro'!$K408&lt;&gt;""),'Atividades Micro'!$K408,"")</f>
        <v/>
      </c>
      <c r="BX356" s="21" t="str">
        <f>IF(AND('Atividades Micro'!$B408=BX$2,'Atividades Micro'!$G408="Macro",'Atividades Micro'!$K408&lt;&gt;""),'Atividades Micro'!$K408,"")</f>
        <v/>
      </c>
      <c r="BY356" s="21" t="str">
        <f>IF(AND('Atividades Micro'!$B408=BY$2,'Atividades Micro'!$G408="Macro",'Atividades Micro'!$K408&lt;&gt;""),'Atividades Micro'!$K408,"")</f>
        <v/>
      </c>
      <c r="BZ356" s="21" t="str">
        <f>IF(AND('Atividades Micro'!$B408=BZ$2,'Atividades Micro'!$G408="Macro",'Atividades Micro'!$K408&lt;&gt;""),'Atividades Micro'!$K408,"")</f>
        <v/>
      </c>
      <c r="CA356" s="21" t="str">
        <f>IF(AND('Atividades Micro'!$B408=CA$2,'Atividades Micro'!$G408="Macro",'Atividades Micro'!$K408&lt;&gt;""),'Atividades Micro'!$K408,"")</f>
        <v/>
      </c>
      <c r="CB356" s="21" t="str">
        <f>IF(AND('Atividades Micro'!$B408=CB$2,'Atividades Micro'!$G408="Macro",'Atividades Micro'!$K408&lt;&gt;""),'Atividades Micro'!$K408,"")</f>
        <v/>
      </c>
      <c r="CC356" s="21" t="str">
        <f>IF(AND('Atividades Micro'!$B408=CC$2,'Atividades Micro'!$G408="Macro",'Atividades Micro'!$K408&lt;&gt;""),'Atividades Micro'!$K408,"")</f>
        <v/>
      </c>
      <c r="CD356" s="21" t="str">
        <f>IF(AND('Atividades Micro'!$B408=CD$2,'Atividades Micro'!$G408="Micro",'Atividades Micro'!$K408&lt;&gt;""),'Atividades Micro'!$K408,"")</f>
        <v/>
      </c>
      <c r="CE356" s="21" t="str">
        <f>IF(AND('Atividades Micro'!$B408=CE$2,'Atividades Micro'!$G408="Micro",'Atividades Micro'!$K408&lt;&gt;""),'Atividades Micro'!$K408,"")</f>
        <v/>
      </c>
      <c r="CF356" s="21" t="str">
        <f>IF(AND('Atividades Micro'!$B408=CF$2,'Atividades Micro'!$G408="Micro",'Atividades Micro'!$K408&lt;&gt;""),'Atividades Micro'!$K408,"")</f>
        <v/>
      </c>
      <c r="CG356" s="21" t="str">
        <f>IF(AND('Atividades Micro'!$B408=CG$2,'Atividades Micro'!$G408="Micro",'Atividades Micro'!$K408&lt;&gt;""),'Atividades Micro'!$K408,"")</f>
        <v/>
      </c>
      <c r="CH356" s="21" t="str">
        <f>IF(AND('Atividades Micro'!$B408=CH$2,'Atividades Micro'!$G408="Micro",'Atividades Micro'!$K408&lt;&gt;""),'Atividades Micro'!$K408,"")</f>
        <v/>
      </c>
      <c r="CI356" s="21" t="str">
        <f>IF(AND('Atividades Micro'!$B408=CI$2,'Atividades Micro'!$G408="Micro",'Atividades Micro'!$K408&lt;&gt;""),'Atividades Micro'!$K408,"")</f>
        <v/>
      </c>
      <c r="CJ356" s="21" t="str">
        <f>IF(AND('Atividades Micro'!$B408=CJ$2,'Atividades Micro'!$G408="Micro",'Atividades Micro'!$K408&lt;&gt;""),'Atividades Micro'!$K408,"")</f>
        <v/>
      </c>
      <c r="CK356" s="21" t="str">
        <f>IF(AND('Atividades Micro'!$B408=CK$2,'Atividades Micro'!$G408="Micro",'Atividades Micro'!$K408&lt;&gt;""),'Atividades Micro'!$K408,"")</f>
        <v/>
      </c>
      <c r="CL356" s="21" t="str">
        <f>IF(AND('Atividades Micro'!$B408=CL$2,'Atividades Micro'!$G408="Micro",'Atividades Micro'!$K408&lt;&gt;""),'Atividades Micro'!$K408,"")</f>
        <v/>
      </c>
      <c r="CM356" s="21" t="str">
        <f>IF(AND('Atividades Micro'!$B408=CM$2,'Atividades Micro'!$G408="Micro",'Atividades Micro'!$K408&lt;&gt;""),'Atividades Micro'!$K408,"")</f>
        <v/>
      </c>
      <c r="CN356" s="21" t="str">
        <f>IF(AND('Atividades Micro'!$B408=CN$2,'Atividades Micro'!$G408="Micro",'Atividades Micro'!$K408&lt;&gt;""),'Atividades Micro'!$K408,"")</f>
        <v/>
      </c>
      <c r="CO356" s="21" t="str">
        <f>IF(AND('Atividades Micro'!$B408=CO$2,'Atividades Micro'!$G408="Micro",'Atividades Micro'!$K408&lt;&gt;""),'Atividades Micro'!$K408,"")</f>
        <v/>
      </c>
    </row>
    <row r="357" spans="1:93">
      <c r="A357" s="21" t="str">
        <f>IF(AND('Atividades Micro'!$A409=A$2,'Atividades Micro'!$K409&lt;&gt;""),'Atividades Micro'!$K409,"")</f>
        <v/>
      </c>
      <c r="B357" s="21" t="str">
        <f>IF(AND('Atividades Micro'!$A409=B$2,'Atividades Micro'!$L409&lt;&gt;""),'Atividades Micro'!$L409,"")</f>
        <v/>
      </c>
      <c r="C357" s="21" t="str">
        <f>IF(AND('Atividades Micro'!$A409=C$2,'Atividades Micro'!$K409&lt;&gt;""),'Atividades Micro'!$K409,"")</f>
        <v/>
      </c>
      <c r="D357" s="21" t="str">
        <f>IF(AND('Atividades Micro'!$A409=D$2,'Atividades Micro'!$L409&lt;&gt;""),'Atividades Micro'!$L409,"")</f>
        <v/>
      </c>
      <c r="E357" s="21" t="str">
        <f>IF(AND('Atividades Micro'!$A409=E$2,'Atividades Micro'!$K409&lt;&gt;""),'Atividades Micro'!$K409,"")</f>
        <v/>
      </c>
      <c r="F357" s="21" t="str">
        <f>IF(AND('Atividades Micro'!$A409=F$2,'Atividades Micro'!$L409&lt;&gt;""),'Atividades Micro'!$L409,"")</f>
        <v/>
      </c>
      <c r="G357" s="21" t="str">
        <f>IF(AND('Atividades Micro'!$A409=G$2,'Atividades Micro'!$K409&lt;&gt;""),'Atividades Micro'!$K409,"")</f>
        <v/>
      </c>
      <c r="H357" s="21" t="str">
        <f>IF(AND('Atividades Micro'!$A409=H$2,'Atividades Micro'!$L409&lt;&gt;""),'Atividades Micro'!$L409,"")</f>
        <v/>
      </c>
      <c r="I357" s="21" t="str">
        <f>IF(AND('Atividades Micro'!$A409=I$2,'Atividades Micro'!$K409&lt;&gt;""),'Atividades Micro'!$K409,"")</f>
        <v/>
      </c>
      <c r="J357" s="21" t="str">
        <f>IF(AND('Atividades Micro'!$A409=J$2,'Atividades Micro'!$L409&lt;&gt;""),'Atividades Micro'!$L409,"")</f>
        <v/>
      </c>
      <c r="K357" s="21" t="str">
        <f>IF(AND('Atividades Micro'!$B409=K$2,'Atividades Micro'!$K409&lt;&gt;""),'Atividades Micro'!$K409,"")</f>
        <v/>
      </c>
      <c r="L357" s="21" t="str">
        <f>IF(AND('Atividades Micro'!$B409=L$2,'Atividades Micro'!$L409&lt;&gt;""),'Atividades Micro'!$L409,"")</f>
        <v/>
      </c>
      <c r="M357" s="21" t="str">
        <f>IF(AND('Atividades Micro'!$B409=M$2,'Atividades Micro'!$K409&lt;&gt;""),'Atividades Micro'!$K409,"")</f>
        <v/>
      </c>
      <c r="N357" s="21" t="str">
        <f>IF(AND('Atividades Micro'!$B409=N$2,'Atividades Micro'!$L409&lt;&gt;""),'Atividades Micro'!$L409,"")</f>
        <v/>
      </c>
      <c r="O357" s="21" t="str">
        <f>IF(AND('Atividades Micro'!$A409=O$2,'Atividades Micro'!$K409&lt;&gt;""),'Atividades Micro'!$K409,"")</f>
        <v/>
      </c>
      <c r="P357" s="21" t="str">
        <f>IF(AND('Atividades Micro'!$A409=P$2,'Atividades Micro'!$L409&lt;&gt;""),'Atividades Micro'!$L409,"")</f>
        <v/>
      </c>
      <c r="Q357" s="21" t="str">
        <f>IF(AND('Atividades Micro'!$B409=Q$2,'Atividades Micro'!$K409&lt;&gt;""),'Atividades Micro'!$K409,"")</f>
        <v/>
      </c>
      <c r="R357" s="21" t="str">
        <f>IF(AND('Atividades Micro'!$B409=R$2,'Atividades Micro'!$L409&lt;&gt;""),'Atividades Micro'!$L409,"")</f>
        <v/>
      </c>
      <c r="S357" s="21" t="str">
        <f>IF(AND('Atividades Micro'!$A409=S$2,'Atividades Micro'!$K409&lt;&gt;""),'Atividades Micro'!$K409,"")</f>
        <v/>
      </c>
      <c r="T357" s="21" t="str">
        <f>IF(AND('Atividades Micro'!$A409=T$2,'Atividades Micro'!$L409&lt;&gt;""),'Atividades Micro'!$L409,"")</f>
        <v/>
      </c>
      <c r="U357" s="21" t="str">
        <f>IF(AND('Atividades Micro'!$B409=U$2,'Atividades Micro'!$K409&lt;&gt;""),'Atividades Micro'!$K409,"")</f>
        <v/>
      </c>
      <c r="V357" s="21" t="str">
        <f>IF(AND('Atividades Micro'!$B409=V$2,'Atividades Micro'!$L409&lt;&gt;""),'Atividades Micro'!$L409,"")</f>
        <v/>
      </c>
      <c r="W357" s="21" t="str">
        <f>IF(AND('Atividades Micro'!$B409=W$2,'Atividades Micro'!$K409&lt;&gt;""),'Atividades Micro'!$K409,"")</f>
        <v/>
      </c>
      <c r="X357" s="21" t="str">
        <f>IF(AND('Atividades Micro'!$B409=X$2,'Atividades Micro'!$L409&lt;&gt;""),'Atividades Micro'!$L409,"")</f>
        <v/>
      </c>
      <c r="Y357" s="21" t="str">
        <f>IF(AND('Atividades Micro'!$A409=Y$2,'Atividades Micro'!$K409&lt;&gt;""),'Atividades Micro'!$K409,"")</f>
        <v/>
      </c>
      <c r="Z357" s="21" t="str">
        <f>IF(AND('Atividades Micro'!$A409=Z$2,'Atividades Micro'!$L409&lt;&gt;""),'Atividades Micro'!$L409,"")</f>
        <v/>
      </c>
      <c r="AA357" s="21" t="str">
        <f>IF(AND('Atividades Micro'!$B409=AA$2,'Atividades Micro'!$K409&lt;&gt;""),'Atividades Micro'!$K409,"")</f>
        <v/>
      </c>
      <c r="AB357" s="21" t="str">
        <f>IF(AND('Atividades Micro'!$B409=AB$2,'Atividades Micro'!$L409&lt;&gt;""),'Atividades Micro'!$L409,"")</f>
        <v/>
      </c>
      <c r="AC357" s="21" t="str">
        <f>IF(AND('Atividades Micro'!$B409=AC$2,'Atividades Micro'!$K409&lt;&gt;""),'Atividades Micro'!$K409,"")</f>
        <v/>
      </c>
      <c r="AD357" s="21" t="str">
        <f>IF(AND('Atividades Micro'!$B409=AD$2,'Atividades Micro'!$L409&lt;&gt;""),'Atividades Micro'!$L409,"")</f>
        <v/>
      </c>
      <c r="AE357" s="21" t="str">
        <f>IF(AND('Atividades Micro'!$A409=AE$2,'Atividades Micro'!$K409&lt;&gt;""),'Atividades Micro'!$K409,"")</f>
        <v/>
      </c>
      <c r="AF357" s="21" t="str">
        <f>IF(AND('Atividades Micro'!$A409=AF$2,'Atividades Micro'!$L409&lt;&gt;""),'Atividades Micro'!$L409,"")</f>
        <v/>
      </c>
      <c r="AG357" s="21" t="str">
        <f>IF(AND('Atividades Micro'!$B409=AG$2,'Atividades Micro'!$K409&lt;&gt;""),'Atividades Micro'!$K409,"")</f>
        <v/>
      </c>
      <c r="AH357" s="21" t="str">
        <f>IF(AND('Atividades Micro'!$B409=AH$2,'Atividades Micro'!$L409&lt;&gt;""),'Atividades Micro'!$L409,"")</f>
        <v/>
      </c>
      <c r="AI357" s="21" t="str">
        <f>IF(AND('Atividades Micro'!$B409=AI$2,'Atividades Micro'!$K409&lt;&gt;""),'Atividades Micro'!$K409,"")</f>
        <v/>
      </c>
      <c r="AJ357" s="21" t="str">
        <f>IF(AND('Atividades Micro'!$B409=AJ$2,'Atividades Micro'!$L409&lt;&gt;""),'Atividades Micro'!$L409,"")</f>
        <v/>
      </c>
      <c r="AK357" s="21" t="str">
        <f>IF(AND('Atividades Micro'!$A409=AK$2,'Atividades Micro'!$K409&lt;&gt;""),'Atividades Micro'!$K409,"")</f>
        <v/>
      </c>
      <c r="AL357" s="21" t="str">
        <f>IF(AND('Atividades Micro'!$A409=AL$2,'Atividades Micro'!$L409&lt;&gt;""),'Atividades Micro'!$L409,"")</f>
        <v/>
      </c>
      <c r="AM357" s="21" t="str">
        <f>IF(AND('Atividades Micro'!$B409=AM$2,'Atividades Micro'!$K409&lt;&gt;""),'Atividades Micro'!$K409,"")</f>
        <v/>
      </c>
      <c r="AN357" s="21" t="str">
        <f>IF(AND('Atividades Micro'!$B409=AN$2,'Atividades Micro'!$L409&lt;&gt;""),'Atividades Micro'!$L409,"")</f>
        <v/>
      </c>
      <c r="AO357" s="21" t="str">
        <f>IF(AND('Atividades Micro'!$B409=AO$2,'Atividades Micro'!$K409&lt;&gt;""),'Atividades Micro'!$K409,"")</f>
        <v/>
      </c>
      <c r="AP357" s="21" t="str">
        <f>IF(AND('Atividades Micro'!$B409=AP$2,'Atividades Micro'!$L409&lt;&gt;""),'Atividades Micro'!$L409,"")</f>
        <v/>
      </c>
      <c r="AQ357" s="21" t="str">
        <f>IF(AND('Atividades Micro'!$A409=AQ$2,'Atividades Micro'!$K409&lt;&gt;""),'Atividades Micro'!$K409,"")</f>
        <v/>
      </c>
      <c r="AR357" s="21" t="str">
        <f>IF(AND('Atividades Micro'!$A409=AR$2,'Atividades Micro'!$L409&lt;&gt;""),'Atividades Micro'!$L409,"")</f>
        <v/>
      </c>
      <c r="AS357" s="21" t="str">
        <f>IF(AND('Atividades Micro'!$B409=AS$2,'Atividades Micro'!$K409&lt;&gt;""),'Atividades Micro'!$K409,"")</f>
        <v/>
      </c>
      <c r="AT357" s="21" t="str">
        <f>IF(AND('Atividades Micro'!$B409=AT$2,'Atividades Micro'!$L409&lt;&gt;""),'Atividades Micro'!$L409,"")</f>
        <v/>
      </c>
      <c r="AU357" s="21" t="str">
        <f>IF(AND('Atividades Micro'!$A409=AU$2,'Atividades Micro'!$K409&lt;&gt;""),'Atividades Micro'!$K409,"")</f>
        <v/>
      </c>
      <c r="AV357" s="21" t="str">
        <f>IF(AND('Atividades Micro'!$A409=AV$2,'Atividades Micro'!$L409&lt;&gt;""),'Atividades Micro'!$L409,"")</f>
        <v/>
      </c>
      <c r="AW357" s="21" t="str">
        <f>IF(AND('Atividades Micro'!$B409=AW$2,'Atividades Micro'!$K409&lt;&gt;""),'Atividades Micro'!$K409,"")</f>
        <v/>
      </c>
      <c r="AX357" s="21" t="str">
        <f>IF(AND('Atividades Micro'!$B409=AX$2,'Atividades Micro'!$L409&lt;&gt;""),'Atividades Micro'!$L409,"")</f>
        <v/>
      </c>
      <c r="AY357" s="21" t="str">
        <f>IF(AND('Atividades Micro'!$A409=AY$2,'Atividades Micro'!$K409&lt;&gt;""),'Atividades Micro'!$K409,"")</f>
        <v/>
      </c>
      <c r="AZ357" s="21" t="str">
        <f>IF(AND('Atividades Micro'!$A409=AZ$2,'Atividades Micro'!$L409&lt;&gt;""),'Atividades Micro'!$L409,"")</f>
        <v/>
      </c>
      <c r="BA357" s="21" t="str">
        <f>IF(AND('Atividades Micro'!$B409=BA$2,'Atividades Micro'!$K409&lt;&gt;""),'Atividades Micro'!$K409,"")</f>
        <v/>
      </c>
      <c r="BB357" s="21" t="str">
        <f>IF(AND('Atividades Micro'!$B409=BB$2,'Atividades Micro'!$L409&lt;&gt;""),'Atividades Micro'!$L409,"")</f>
        <v/>
      </c>
      <c r="BC357" s="21" t="str">
        <f>IF(AND('Atividades Micro'!$B409=BC$2,'Atividades Micro'!$G409="Macro",'Atividades Micro'!$K409&lt;&gt;""),'Atividades Micro'!$K409,"")</f>
        <v/>
      </c>
      <c r="BD357" s="21" t="str">
        <f>IF(AND('Atividades Micro'!$B409=BD$2,'Atividades Micro'!$G409="Macro",'Atividades Micro'!$K409&lt;&gt;""),'Atividades Micro'!$K409,"")</f>
        <v/>
      </c>
      <c r="BE357" s="21" t="str">
        <f>IF(AND('Atividades Micro'!$B409=BE$2,'Atividades Micro'!$G409="Macro",'Atividades Micro'!$K409&lt;&gt;""),'Atividades Micro'!$K409,"")</f>
        <v/>
      </c>
      <c r="BF357" s="21" t="str">
        <f>IF(AND('Atividades Micro'!$B409=BF$2,'Atividades Micro'!$G409="Macro",'Atividades Micro'!$K409&lt;&gt;""),'Atividades Micro'!$K409,"")</f>
        <v/>
      </c>
      <c r="BG357" s="21" t="str">
        <f>IF(AND('Atividades Micro'!$B409=BG$2,'Atividades Micro'!$G409="Macro",'Atividades Micro'!$K409&lt;&gt;""),'Atividades Micro'!$K409,"")</f>
        <v/>
      </c>
      <c r="BH357" s="21" t="str">
        <f>IF(AND('Atividades Micro'!$B409=BH$2,'Atividades Micro'!$G409="Macro",'Atividades Micro'!$K409&lt;&gt;""),'Atividades Micro'!$K409,"")</f>
        <v/>
      </c>
      <c r="BI357" s="21" t="str">
        <f>IF(AND('Atividades Micro'!$B409=BI$2,'Atividades Micro'!$G409="Macro",'Atividades Micro'!$K409&lt;&gt;""),'Atividades Micro'!$K409,"")</f>
        <v/>
      </c>
      <c r="BJ357" s="21" t="str">
        <f>IF(AND('Atividades Micro'!$B409=BJ$2,'Atividades Micro'!$G409="Macro",'Atividades Micro'!$K409&lt;&gt;""),'Atividades Micro'!$K409,"")</f>
        <v/>
      </c>
      <c r="BK357" s="21" t="str">
        <f>IF(AND('Atividades Micro'!$B409=BK$2,'Atividades Micro'!$G409="Macro",'Atividades Micro'!$K409&lt;&gt;""),'Atividades Micro'!$K409,"")</f>
        <v/>
      </c>
      <c r="BL357" s="21" t="str">
        <f>IF(AND('Atividades Micro'!$B409=BL$2,'Atividades Micro'!$G409="Macro",'Atividades Micro'!$K409&lt;&gt;""),'Atividades Micro'!$K409,"")</f>
        <v/>
      </c>
      <c r="BM357" s="21" t="str">
        <f>IF(AND('Atividades Micro'!$B409=BM$2,'Atividades Micro'!$G409="Macro",'Atividades Micro'!$K409&lt;&gt;""),'Atividades Micro'!$K409,"")</f>
        <v/>
      </c>
      <c r="BN357" s="21" t="str">
        <f>IF(AND('Atividades Micro'!$B409=BN$2,'Atividades Micro'!$G409="Macro",'Atividades Micro'!$K409&lt;&gt;""),'Atividades Micro'!$K409,"")</f>
        <v/>
      </c>
      <c r="BO357" s="21" t="str">
        <f>IF(AND('Atividades Micro'!$B409=BO$2,'Atividades Micro'!$G409="Macro",'Atividades Micro'!$K409&lt;&gt;""),'Atividades Micro'!$K409,"")</f>
        <v/>
      </c>
      <c r="BP357" s="21" t="str">
        <f>IF(AND('Atividades Micro'!$B409=BP$2,'Atividades Micro'!$G409="Macro",'Atividades Micro'!$K409&lt;&gt;""),'Atividades Micro'!$K409,"")</f>
        <v/>
      </c>
      <c r="BQ357" s="21" t="str">
        <f>IF(AND('Atividades Micro'!$B409=BQ$2,'Atividades Micro'!$G409="Macro",'Atividades Micro'!$K409&lt;&gt;""),'Atividades Micro'!$K409,"")</f>
        <v/>
      </c>
      <c r="BR357" s="21" t="str">
        <f>IF(AND('Atividades Micro'!$B409=BR$2,'Atividades Micro'!$G409="Macro",'Atividades Micro'!$K409&lt;&gt;""),'Atividades Micro'!$K409,"")</f>
        <v/>
      </c>
      <c r="BS357" s="21" t="str">
        <f>IF(AND('Atividades Micro'!$B409=BS$2,'Atividades Micro'!$G409="Macro",'Atividades Micro'!$K409&lt;&gt;""),'Atividades Micro'!$K409,"")</f>
        <v/>
      </c>
      <c r="BT357" s="21" t="str">
        <f>IF(AND('Atividades Micro'!$B409=BT$2,'Atividades Micro'!$G409="Macro",'Atividades Micro'!$K409&lt;&gt;""),'Atividades Micro'!$K409,"")</f>
        <v/>
      </c>
      <c r="BU357" s="21" t="str">
        <f>IF(AND('Atividades Micro'!$B409=BU$2,'Atividades Micro'!$G409="Macro",'Atividades Micro'!$K409&lt;&gt;""),'Atividades Micro'!$K409,"")</f>
        <v/>
      </c>
      <c r="BV357" s="21" t="str">
        <f>IF(AND('Atividades Micro'!$B409=BV$2,'Atividades Micro'!$G409="Macro",'Atividades Micro'!$K409&lt;&gt;""),'Atividades Micro'!$K409,"")</f>
        <v/>
      </c>
      <c r="BW357" s="21" t="str">
        <f>IF(AND('Atividades Micro'!$B409=BW$2,'Atividades Micro'!$G409="Macro",'Atividades Micro'!$K409&lt;&gt;""),'Atividades Micro'!$K409,"")</f>
        <v/>
      </c>
      <c r="BX357" s="21" t="str">
        <f>IF(AND('Atividades Micro'!$B409=BX$2,'Atividades Micro'!$G409="Macro",'Atividades Micro'!$K409&lt;&gt;""),'Atividades Micro'!$K409,"")</f>
        <v/>
      </c>
      <c r="BY357" s="21" t="str">
        <f>IF(AND('Atividades Micro'!$B409=BY$2,'Atividades Micro'!$G409="Macro",'Atividades Micro'!$K409&lt;&gt;""),'Atividades Micro'!$K409,"")</f>
        <v/>
      </c>
      <c r="BZ357" s="21" t="str">
        <f>IF(AND('Atividades Micro'!$B409=BZ$2,'Atividades Micro'!$G409="Macro",'Atividades Micro'!$K409&lt;&gt;""),'Atividades Micro'!$K409,"")</f>
        <v/>
      </c>
      <c r="CA357" s="21" t="str">
        <f>IF(AND('Atividades Micro'!$B409=CA$2,'Atividades Micro'!$G409="Macro",'Atividades Micro'!$K409&lt;&gt;""),'Atividades Micro'!$K409,"")</f>
        <v/>
      </c>
      <c r="CB357" s="21" t="str">
        <f>IF(AND('Atividades Micro'!$B409=CB$2,'Atividades Micro'!$G409="Macro",'Atividades Micro'!$K409&lt;&gt;""),'Atividades Micro'!$K409,"")</f>
        <v/>
      </c>
      <c r="CC357" s="21" t="str">
        <f>IF(AND('Atividades Micro'!$B409=CC$2,'Atividades Micro'!$G409="Macro",'Atividades Micro'!$K409&lt;&gt;""),'Atividades Micro'!$K409,"")</f>
        <v/>
      </c>
      <c r="CD357" s="21" t="str">
        <f>IF(AND('Atividades Micro'!$B409=CD$2,'Atividades Micro'!$G409="Micro",'Atividades Micro'!$K409&lt;&gt;""),'Atividades Micro'!$K409,"")</f>
        <v/>
      </c>
      <c r="CE357" s="21" t="str">
        <f>IF(AND('Atividades Micro'!$B409=CE$2,'Atividades Micro'!$G409="Micro",'Atividades Micro'!$K409&lt;&gt;""),'Atividades Micro'!$K409,"")</f>
        <v/>
      </c>
      <c r="CF357" s="21" t="str">
        <f>IF(AND('Atividades Micro'!$B409=CF$2,'Atividades Micro'!$G409="Micro",'Atividades Micro'!$K409&lt;&gt;""),'Atividades Micro'!$K409,"")</f>
        <v/>
      </c>
      <c r="CG357" s="21" t="str">
        <f>IF(AND('Atividades Micro'!$B409=CG$2,'Atividades Micro'!$G409="Micro",'Atividades Micro'!$K409&lt;&gt;""),'Atividades Micro'!$K409,"")</f>
        <v/>
      </c>
      <c r="CH357" s="21" t="str">
        <f>IF(AND('Atividades Micro'!$B409=CH$2,'Atividades Micro'!$G409="Micro",'Atividades Micro'!$K409&lt;&gt;""),'Atividades Micro'!$K409,"")</f>
        <v/>
      </c>
      <c r="CI357" s="21" t="str">
        <f>IF(AND('Atividades Micro'!$B409=CI$2,'Atividades Micro'!$G409="Micro",'Atividades Micro'!$K409&lt;&gt;""),'Atividades Micro'!$K409,"")</f>
        <v/>
      </c>
      <c r="CJ357" s="21" t="str">
        <f>IF(AND('Atividades Micro'!$B409=CJ$2,'Atividades Micro'!$G409="Micro",'Atividades Micro'!$K409&lt;&gt;""),'Atividades Micro'!$K409,"")</f>
        <v/>
      </c>
      <c r="CK357" s="21" t="str">
        <f>IF(AND('Atividades Micro'!$B409=CK$2,'Atividades Micro'!$G409="Micro",'Atividades Micro'!$K409&lt;&gt;""),'Atividades Micro'!$K409,"")</f>
        <v/>
      </c>
      <c r="CL357" s="21" t="str">
        <f>IF(AND('Atividades Micro'!$B409=CL$2,'Atividades Micro'!$G409="Micro",'Atividades Micro'!$K409&lt;&gt;""),'Atividades Micro'!$K409,"")</f>
        <v/>
      </c>
      <c r="CM357" s="21" t="str">
        <f>IF(AND('Atividades Micro'!$B409=CM$2,'Atividades Micro'!$G409="Micro",'Atividades Micro'!$K409&lt;&gt;""),'Atividades Micro'!$K409,"")</f>
        <v/>
      </c>
      <c r="CN357" s="21" t="str">
        <f>IF(AND('Atividades Micro'!$B409=CN$2,'Atividades Micro'!$G409="Micro",'Atividades Micro'!$K409&lt;&gt;""),'Atividades Micro'!$K409,"")</f>
        <v/>
      </c>
      <c r="CO357" s="21" t="str">
        <f>IF(AND('Atividades Micro'!$B409=CO$2,'Atividades Micro'!$G409="Micro",'Atividades Micro'!$K409&lt;&gt;""),'Atividades Micro'!$K409,"")</f>
        <v/>
      </c>
    </row>
    <row r="358" spans="1:93">
      <c r="A358" s="21" t="str">
        <f>IF(AND('Atividades Micro'!$A410=A$2,'Atividades Micro'!$K410&lt;&gt;""),'Atividades Micro'!$K410,"")</f>
        <v/>
      </c>
      <c r="B358" s="21" t="str">
        <f>IF(AND('Atividades Micro'!$A410=B$2,'Atividades Micro'!$L410&lt;&gt;""),'Atividades Micro'!$L410,"")</f>
        <v/>
      </c>
      <c r="C358" s="21" t="str">
        <f>IF(AND('Atividades Micro'!$A410=C$2,'Atividades Micro'!$K410&lt;&gt;""),'Atividades Micro'!$K410,"")</f>
        <v/>
      </c>
      <c r="D358" s="21" t="str">
        <f>IF(AND('Atividades Micro'!$A410=D$2,'Atividades Micro'!$L410&lt;&gt;""),'Atividades Micro'!$L410,"")</f>
        <v/>
      </c>
      <c r="E358" s="21" t="str">
        <f>IF(AND('Atividades Micro'!$A410=E$2,'Atividades Micro'!$K410&lt;&gt;""),'Atividades Micro'!$K410,"")</f>
        <v/>
      </c>
      <c r="F358" s="21" t="str">
        <f>IF(AND('Atividades Micro'!$A410=F$2,'Atividades Micro'!$L410&lt;&gt;""),'Atividades Micro'!$L410,"")</f>
        <v/>
      </c>
      <c r="G358" s="21" t="str">
        <f>IF(AND('Atividades Micro'!$A410=G$2,'Atividades Micro'!$K410&lt;&gt;""),'Atividades Micro'!$K410,"")</f>
        <v/>
      </c>
      <c r="H358" s="21" t="str">
        <f>IF(AND('Atividades Micro'!$A410=H$2,'Atividades Micro'!$L410&lt;&gt;""),'Atividades Micro'!$L410,"")</f>
        <v/>
      </c>
      <c r="I358" s="21" t="str">
        <f>IF(AND('Atividades Micro'!$A410=I$2,'Atividades Micro'!$K410&lt;&gt;""),'Atividades Micro'!$K410,"")</f>
        <v/>
      </c>
      <c r="J358" s="21" t="str">
        <f>IF(AND('Atividades Micro'!$A410=J$2,'Atividades Micro'!$L410&lt;&gt;""),'Atividades Micro'!$L410,"")</f>
        <v/>
      </c>
      <c r="K358" s="21" t="str">
        <f>IF(AND('Atividades Micro'!$B410=K$2,'Atividades Micro'!$K410&lt;&gt;""),'Atividades Micro'!$K410,"")</f>
        <v/>
      </c>
      <c r="L358" s="21" t="str">
        <f>IF(AND('Atividades Micro'!$B410=L$2,'Atividades Micro'!$L410&lt;&gt;""),'Atividades Micro'!$L410,"")</f>
        <v/>
      </c>
      <c r="M358" s="21" t="str">
        <f>IF(AND('Atividades Micro'!$B410=M$2,'Atividades Micro'!$K410&lt;&gt;""),'Atividades Micro'!$K410,"")</f>
        <v/>
      </c>
      <c r="N358" s="21" t="str">
        <f>IF(AND('Atividades Micro'!$B410=N$2,'Atividades Micro'!$L410&lt;&gt;""),'Atividades Micro'!$L410,"")</f>
        <v/>
      </c>
      <c r="O358" s="21" t="str">
        <f>IF(AND('Atividades Micro'!$A410=O$2,'Atividades Micro'!$K410&lt;&gt;""),'Atividades Micro'!$K410,"")</f>
        <v/>
      </c>
      <c r="P358" s="21" t="str">
        <f>IF(AND('Atividades Micro'!$A410=P$2,'Atividades Micro'!$L410&lt;&gt;""),'Atividades Micro'!$L410,"")</f>
        <v/>
      </c>
      <c r="Q358" s="21" t="str">
        <f>IF(AND('Atividades Micro'!$B410=Q$2,'Atividades Micro'!$K410&lt;&gt;""),'Atividades Micro'!$K410,"")</f>
        <v/>
      </c>
      <c r="R358" s="21" t="str">
        <f>IF(AND('Atividades Micro'!$B410=R$2,'Atividades Micro'!$L410&lt;&gt;""),'Atividades Micro'!$L410,"")</f>
        <v/>
      </c>
      <c r="S358" s="21" t="str">
        <f>IF(AND('Atividades Micro'!$A410=S$2,'Atividades Micro'!$K410&lt;&gt;""),'Atividades Micro'!$K410,"")</f>
        <v/>
      </c>
      <c r="T358" s="21" t="str">
        <f>IF(AND('Atividades Micro'!$A410=T$2,'Atividades Micro'!$L410&lt;&gt;""),'Atividades Micro'!$L410,"")</f>
        <v/>
      </c>
      <c r="U358" s="21" t="str">
        <f>IF(AND('Atividades Micro'!$B410=U$2,'Atividades Micro'!$K410&lt;&gt;""),'Atividades Micro'!$K410,"")</f>
        <v/>
      </c>
      <c r="V358" s="21" t="str">
        <f>IF(AND('Atividades Micro'!$B410=V$2,'Atividades Micro'!$L410&lt;&gt;""),'Atividades Micro'!$L410,"")</f>
        <v/>
      </c>
      <c r="W358" s="21" t="str">
        <f>IF(AND('Atividades Micro'!$B410=W$2,'Atividades Micro'!$K410&lt;&gt;""),'Atividades Micro'!$K410,"")</f>
        <v/>
      </c>
      <c r="X358" s="21" t="str">
        <f>IF(AND('Atividades Micro'!$B410=X$2,'Atividades Micro'!$L410&lt;&gt;""),'Atividades Micro'!$L410,"")</f>
        <v/>
      </c>
      <c r="Y358" s="21" t="str">
        <f>IF(AND('Atividades Micro'!$A410=Y$2,'Atividades Micro'!$K410&lt;&gt;""),'Atividades Micro'!$K410,"")</f>
        <v/>
      </c>
      <c r="Z358" s="21" t="str">
        <f>IF(AND('Atividades Micro'!$A410=Z$2,'Atividades Micro'!$L410&lt;&gt;""),'Atividades Micro'!$L410,"")</f>
        <v/>
      </c>
      <c r="AA358" s="21" t="str">
        <f>IF(AND('Atividades Micro'!$B410=AA$2,'Atividades Micro'!$K410&lt;&gt;""),'Atividades Micro'!$K410,"")</f>
        <v/>
      </c>
      <c r="AB358" s="21" t="str">
        <f>IF(AND('Atividades Micro'!$B410=AB$2,'Atividades Micro'!$L410&lt;&gt;""),'Atividades Micro'!$L410,"")</f>
        <v/>
      </c>
      <c r="AC358" s="21" t="str">
        <f>IF(AND('Atividades Micro'!$B410=AC$2,'Atividades Micro'!$K410&lt;&gt;""),'Atividades Micro'!$K410,"")</f>
        <v/>
      </c>
      <c r="AD358" s="21" t="str">
        <f>IF(AND('Atividades Micro'!$B410=AD$2,'Atividades Micro'!$L410&lt;&gt;""),'Atividades Micro'!$L410,"")</f>
        <v/>
      </c>
      <c r="AE358" s="21" t="str">
        <f>IF(AND('Atividades Micro'!$A410=AE$2,'Atividades Micro'!$K410&lt;&gt;""),'Atividades Micro'!$K410,"")</f>
        <v/>
      </c>
      <c r="AF358" s="21" t="str">
        <f>IF(AND('Atividades Micro'!$A410=AF$2,'Atividades Micro'!$L410&lt;&gt;""),'Atividades Micro'!$L410,"")</f>
        <v/>
      </c>
      <c r="AG358" s="21" t="str">
        <f>IF(AND('Atividades Micro'!$B410=AG$2,'Atividades Micro'!$K410&lt;&gt;""),'Atividades Micro'!$K410,"")</f>
        <v/>
      </c>
      <c r="AH358" s="21" t="str">
        <f>IF(AND('Atividades Micro'!$B410=AH$2,'Atividades Micro'!$L410&lt;&gt;""),'Atividades Micro'!$L410,"")</f>
        <v/>
      </c>
      <c r="AI358" s="21" t="str">
        <f>IF(AND('Atividades Micro'!$B410=AI$2,'Atividades Micro'!$K410&lt;&gt;""),'Atividades Micro'!$K410,"")</f>
        <v/>
      </c>
      <c r="AJ358" s="21" t="str">
        <f>IF(AND('Atividades Micro'!$B410=AJ$2,'Atividades Micro'!$L410&lt;&gt;""),'Atividades Micro'!$L410,"")</f>
        <v/>
      </c>
      <c r="AK358" s="21" t="str">
        <f>IF(AND('Atividades Micro'!$A410=AK$2,'Atividades Micro'!$K410&lt;&gt;""),'Atividades Micro'!$K410,"")</f>
        <v/>
      </c>
      <c r="AL358" s="21" t="str">
        <f>IF(AND('Atividades Micro'!$A410=AL$2,'Atividades Micro'!$L410&lt;&gt;""),'Atividades Micro'!$L410,"")</f>
        <v/>
      </c>
      <c r="AM358" s="21" t="str">
        <f>IF(AND('Atividades Micro'!$B410=AM$2,'Atividades Micro'!$K410&lt;&gt;""),'Atividades Micro'!$K410,"")</f>
        <v/>
      </c>
      <c r="AN358" s="21" t="str">
        <f>IF(AND('Atividades Micro'!$B410=AN$2,'Atividades Micro'!$L410&lt;&gt;""),'Atividades Micro'!$L410,"")</f>
        <v/>
      </c>
      <c r="AO358" s="21" t="str">
        <f>IF(AND('Atividades Micro'!$B410=AO$2,'Atividades Micro'!$K410&lt;&gt;""),'Atividades Micro'!$K410,"")</f>
        <v/>
      </c>
      <c r="AP358" s="21" t="str">
        <f>IF(AND('Atividades Micro'!$B410=AP$2,'Atividades Micro'!$L410&lt;&gt;""),'Atividades Micro'!$L410,"")</f>
        <v/>
      </c>
      <c r="AQ358" s="21" t="str">
        <f>IF(AND('Atividades Micro'!$A410=AQ$2,'Atividades Micro'!$K410&lt;&gt;""),'Atividades Micro'!$K410,"")</f>
        <v/>
      </c>
      <c r="AR358" s="21" t="str">
        <f>IF(AND('Atividades Micro'!$A410=AR$2,'Atividades Micro'!$L410&lt;&gt;""),'Atividades Micro'!$L410,"")</f>
        <v/>
      </c>
      <c r="AS358" s="21" t="str">
        <f>IF(AND('Atividades Micro'!$B410=AS$2,'Atividades Micro'!$K410&lt;&gt;""),'Atividades Micro'!$K410,"")</f>
        <v/>
      </c>
      <c r="AT358" s="21" t="str">
        <f>IF(AND('Atividades Micro'!$B410=AT$2,'Atividades Micro'!$L410&lt;&gt;""),'Atividades Micro'!$L410,"")</f>
        <v/>
      </c>
      <c r="AU358" s="21" t="str">
        <f>IF(AND('Atividades Micro'!$A410=AU$2,'Atividades Micro'!$K410&lt;&gt;""),'Atividades Micro'!$K410,"")</f>
        <v/>
      </c>
      <c r="AV358" s="21" t="str">
        <f>IF(AND('Atividades Micro'!$A410=AV$2,'Atividades Micro'!$L410&lt;&gt;""),'Atividades Micro'!$L410,"")</f>
        <v/>
      </c>
      <c r="AW358" s="21" t="str">
        <f>IF(AND('Atividades Micro'!$B410=AW$2,'Atividades Micro'!$K410&lt;&gt;""),'Atividades Micro'!$K410,"")</f>
        <v/>
      </c>
      <c r="AX358" s="21" t="str">
        <f>IF(AND('Atividades Micro'!$B410=AX$2,'Atividades Micro'!$L410&lt;&gt;""),'Atividades Micro'!$L410,"")</f>
        <v/>
      </c>
      <c r="AY358" s="21" t="str">
        <f>IF(AND('Atividades Micro'!$A410=AY$2,'Atividades Micro'!$K410&lt;&gt;""),'Atividades Micro'!$K410,"")</f>
        <v/>
      </c>
      <c r="AZ358" s="21" t="str">
        <f>IF(AND('Atividades Micro'!$A410=AZ$2,'Atividades Micro'!$L410&lt;&gt;""),'Atividades Micro'!$L410,"")</f>
        <v/>
      </c>
      <c r="BA358" s="21" t="str">
        <f>IF(AND('Atividades Micro'!$B410=BA$2,'Atividades Micro'!$K410&lt;&gt;""),'Atividades Micro'!$K410,"")</f>
        <v/>
      </c>
      <c r="BB358" s="21" t="str">
        <f>IF(AND('Atividades Micro'!$B410=BB$2,'Atividades Micro'!$L410&lt;&gt;""),'Atividades Micro'!$L410,"")</f>
        <v/>
      </c>
      <c r="BC358" s="21" t="str">
        <f>IF(AND('Atividades Micro'!$B410=BC$2,'Atividades Micro'!$G410="Macro",'Atividades Micro'!$K410&lt;&gt;""),'Atividades Micro'!$K410,"")</f>
        <v/>
      </c>
      <c r="BD358" s="21" t="str">
        <f>IF(AND('Atividades Micro'!$B410=BD$2,'Atividades Micro'!$G410="Macro",'Atividades Micro'!$K410&lt;&gt;""),'Atividades Micro'!$K410,"")</f>
        <v/>
      </c>
      <c r="BE358" s="21" t="str">
        <f>IF(AND('Atividades Micro'!$B410=BE$2,'Atividades Micro'!$G410="Macro",'Atividades Micro'!$K410&lt;&gt;""),'Atividades Micro'!$K410,"")</f>
        <v/>
      </c>
      <c r="BF358" s="21" t="str">
        <f>IF(AND('Atividades Micro'!$B410=BF$2,'Atividades Micro'!$G410="Macro",'Atividades Micro'!$K410&lt;&gt;""),'Atividades Micro'!$K410,"")</f>
        <v/>
      </c>
      <c r="BG358" s="21" t="str">
        <f>IF(AND('Atividades Micro'!$B410=BG$2,'Atividades Micro'!$G410="Macro",'Atividades Micro'!$K410&lt;&gt;""),'Atividades Micro'!$K410,"")</f>
        <v/>
      </c>
      <c r="BH358" s="21" t="str">
        <f>IF(AND('Atividades Micro'!$B410=BH$2,'Atividades Micro'!$G410="Macro",'Atividades Micro'!$K410&lt;&gt;""),'Atividades Micro'!$K410,"")</f>
        <v/>
      </c>
      <c r="BI358" s="21" t="str">
        <f>IF(AND('Atividades Micro'!$B410=BI$2,'Atividades Micro'!$G410="Macro",'Atividades Micro'!$K410&lt;&gt;""),'Atividades Micro'!$K410,"")</f>
        <v/>
      </c>
      <c r="BJ358" s="21" t="str">
        <f>IF(AND('Atividades Micro'!$B410=BJ$2,'Atividades Micro'!$G410="Macro",'Atividades Micro'!$K410&lt;&gt;""),'Atividades Micro'!$K410,"")</f>
        <v/>
      </c>
      <c r="BK358" s="21" t="str">
        <f>IF(AND('Atividades Micro'!$B410=BK$2,'Atividades Micro'!$G410="Macro",'Atividades Micro'!$K410&lt;&gt;""),'Atividades Micro'!$K410,"")</f>
        <v/>
      </c>
      <c r="BL358" s="21" t="str">
        <f>IF(AND('Atividades Micro'!$B410=BL$2,'Atividades Micro'!$G410="Macro",'Atividades Micro'!$K410&lt;&gt;""),'Atividades Micro'!$K410,"")</f>
        <v/>
      </c>
      <c r="BM358" s="21" t="str">
        <f>IF(AND('Atividades Micro'!$B410=BM$2,'Atividades Micro'!$G410="Macro",'Atividades Micro'!$K410&lt;&gt;""),'Atividades Micro'!$K410,"")</f>
        <v/>
      </c>
      <c r="BN358" s="21" t="str">
        <f>IF(AND('Atividades Micro'!$B410=BN$2,'Atividades Micro'!$G410="Macro",'Atividades Micro'!$K410&lt;&gt;""),'Atividades Micro'!$K410,"")</f>
        <v/>
      </c>
      <c r="BO358" s="21" t="str">
        <f>IF(AND('Atividades Micro'!$B410=BO$2,'Atividades Micro'!$G410="Macro",'Atividades Micro'!$K410&lt;&gt;""),'Atividades Micro'!$K410,"")</f>
        <v/>
      </c>
      <c r="BP358" s="21" t="str">
        <f>IF(AND('Atividades Micro'!$B410=BP$2,'Atividades Micro'!$G410="Macro",'Atividades Micro'!$K410&lt;&gt;""),'Atividades Micro'!$K410,"")</f>
        <v/>
      </c>
      <c r="BQ358" s="21" t="str">
        <f>IF(AND('Atividades Micro'!$B410=BQ$2,'Atividades Micro'!$G410="Macro",'Atividades Micro'!$K410&lt;&gt;""),'Atividades Micro'!$K410,"")</f>
        <v/>
      </c>
      <c r="BR358" s="21" t="str">
        <f>IF(AND('Atividades Micro'!$B410=BR$2,'Atividades Micro'!$G410="Macro",'Atividades Micro'!$K410&lt;&gt;""),'Atividades Micro'!$K410,"")</f>
        <v/>
      </c>
      <c r="BS358" s="21" t="str">
        <f>IF(AND('Atividades Micro'!$B410=BS$2,'Atividades Micro'!$G410="Macro",'Atividades Micro'!$K410&lt;&gt;""),'Atividades Micro'!$K410,"")</f>
        <v/>
      </c>
      <c r="BT358" s="21" t="str">
        <f>IF(AND('Atividades Micro'!$B410=BT$2,'Atividades Micro'!$G410="Macro",'Atividades Micro'!$K410&lt;&gt;""),'Atividades Micro'!$K410,"")</f>
        <v/>
      </c>
      <c r="BU358" s="21" t="str">
        <f>IF(AND('Atividades Micro'!$B410=BU$2,'Atividades Micro'!$G410="Macro",'Atividades Micro'!$K410&lt;&gt;""),'Atividades Micro'!$K410,"")</f>
        <v/>
      </c>
      <c r="BV358" s="21" t="str">
        <f>IF(AND('Atividades Micro'!$B410=BV$2,'Atividades Micro'!$G410="Macro",'Atividades Micro'!$K410&lt;&gt;""),'Atividades Micro'!$K410,"")</f>
        <v/>
      </c>
      <c r="BW358" s="21" t="str">
        <f>IF(AND('Atividades Micro'!$B410=BW$2,'Atividades Micro'!$G410="Macro",'Atividades Micro'!$K410&lt;&gt;""),'Atividades Micro'!$K410,"")</f>
        <v/>
      </c>
      <c r="BX358" s="21" t="str">
        <f>IF(AND('Atividades Micro'!$B410=BX$2,'Atividades Micro'!$G410="Macro",'Atividades Micro'!$K410&lt;&gt;""),'Atividades Micro'!$K410,"")</f>
        <v/>
      </c>
      <c r="BY358" s="21" t="str">
        <f>IF(AND('Atividades Micro'!$B410=BY$2,'Atividades Micro'!$G410="Macro",'Atividades Micro'!$K410&lt;&gt;""),'Atividades Micro'!$K410,"")</f>
        <v/>
      </c>
      <c r="BZ358" s="21" t="str">
        <f>IF(AND('Atividades Micro'!$B410=BZ$2,'Atividades Micro'!$G410="Macro",'Atividades Micro'!$K410&lt;&gt;""),'Atividades Micro'!$K410,"")</f>
        <v/>
      </c>
      <c r="CA358" s="21" t="str">
        <f>IF(AND('Atividades Micro'!$B410=CA$2,'Atividades Micro'!$G410="Macro",'Atividades Micro'!$K410&lt;&gt;""),'Atividades Micro'!$K410,"")</f>
        <v/>
      </c>
      <c r="CB358" s="21" t="str">
        <f>IF(AND('Atividades Micro'!$B410=CB$2,'Atividades Micro'!$G410="Macro",'Atividades Micro'!$K410&lt;&gt;""),'Atividades Micro'!$K410,"")</f>
        <v/>
      </c>
      <c r="CC358" s="21" t="str">
        <f>IF(AND('Atividades Micro'!$B410=CC$2,'Atividades Micro'!$G410="Macro",'Atividades Micro'!$K410&lt;&gt;""),'Atividades Micro'!$K410,"")</f>
        <v/>
      </c>
      <c r="CD358" s="21" t="str">
        <f>IF(AND('Atividades Micro'!$B410=CD$2,'Atividades Micro'!$G410="Micro",'Atividades Micro'!$K410&lt;&gt;""),'Atividades Micro'!$K410,"")</f>
        <v/>
      </c>
      <c r="CE358" s="21" t="str">
        <f>IF(AND('Atividades Micro'!$B410=CE$2,'Atividades Micro'!$G410="Micro",'Atividades Micro'!$K410&lt;&gt;""),'Atividades Micro'!$K410,"")</f>
        <v/>
      </c>
      <c r="CF358" s="21" t="str">
        <f>IF(AND('Atividades Micro'!$B410=CF$2,'Atividades Micro'!$G410="Micro",'Atividades Micro'!$K410&lt;&gt;""),'Atividades Micro'!$K410,"")</f>
        <v/>
      </c>
      <c r="CG358" s="21" t="str">
        <f>IF(AND('Atividades Micro'!$B410=CG$2,'Atividades Micro'!$G410="Micro",'Atividades Micro'!$K410&lt;&gt;""),'Atividades Micro'!$K410,"")</f>
        <v/>
      </c>
      <c r="CH358" s="21" t="str">
        <f>IF(AND('Atividades Micro'!$B410=CH$2,'Atividades Micro'!$G410="Micro",'Atividades Micro'!$K410&lt;&gt;""),'Atividades Micro'!$K410,"")</f>
        <v/>
      </c>
      <c r="CI358" s="21" t="str">
        <f>IF(AND('Atividades Micro'!$B410=CI$2,'Atividades Micro'!$G410="Micro",'Atividades Micro'!$K410&lt;&gt;""),'Atividades Micro'!$K410,"")</f>
        <v/>
      </c>
      <c r="CJ358" s="21" t="str">
        <f>IF(AND('Atividades Micro'!$B410=CJ$2,'Atividades Micro'!$G410="Micro",'Atividades Micro'!$K410&lt;&gt;""),'Atividades Micro'!$K410,"")</f>
        <v/>
      </c>
      <c r="CK358" s="21" t="str">
        <f>IF(AND('Atividades Micro'!$B410=CK$2,'Atividades Micro'!$G410="Micro",'Atividades Micro'!$K410&lt;&gt;""),'Atividades Micro'!$K410,"")</f>
        <v/>
      </c>
      <c r="CL358" s="21" t="str">
        <f>IF(AND('Atividades Micro'!$B410=CL$2,'Atividades Micro'!$G410="Micro",'Atividades Micro'!$K410&lt;&gt;""),'Atividades Micro'!$K410,"")</f>
        <v/>
      </c>
      <c r="CM358" s="21" t="str">
        <f>IF(AND('Atividades Micro'!$B410=CM$2,'Atividades Micro'!$G410="Micro",'Atividades Micro'!$K410&lt;&gt;""),'Atividades Micro'!$K410,"")</f>
        <v/>
      </c>
      <c r="CN358" s="21" t="str">
        <f>IF(AND('Atividades Micro'!$B410=CN$2,'Atividades Micro'!$G410="Micro",'Atividades Micro'!$K410&lt;&gt;""),'Atividades Micro'!$K410,"")</f>
        <v/>
      </c>
      <c r="CO358" s="21" t="str">
        <f>IF(AND('Atividades Micro'!$B410=CO$2,'Atividades Micro'!$G410="Micro",'Atividades Micro'!$K410&lt;&gt;""),'Atividades Micro'!$K410,"")</f>
        <v/>
      </c>
    </row>
    <row r="359" spans="1:93">
      <c r="A359" s="21" t="str">
        <f>IF(AND('Atividades Micro'!$A411=A$2,'Atividades Micro'!$K411&lt;&gt;""),'Atividades Micro'!$K411,"")</f>
        <v/>
      </c>
      <c r="B359" s="21" t="str">
        <f>IF(AND('Atividades Micro'!$A411=B$2,'Atividades Micro'!$L411&lt;&gt;""),'Atividades Micro'!$L411,"")</f>
        <v/>
      </c>
      <c r="C359" s="21" t="str">
        <f>IF(AND('Atividades Micro'!$A411=C$2,'Atividades Micro'!$K411&lt;&gt;""),'Atividades Micro'!$K411,"")</f>
        <v/>
      </c>
      <c r="D359" s="21" t="str">
        <f>IF(AND('Atividades Micro'!$A411=D$2,'Atividades Micro'!$L411&lt;&gt;""),'Atividades Micro'!$L411,"")</f>
        <v/>
      </c>
      <c r="E359" s="21" t="str">
        <f>IF(AND('Atividades Micro'!$A411=E$2,'Atividades Micro'!$K411&lt;&gt;""),'Atividades Micro'!$K411,"")</f>
        <v/>
      </c>
      <c r="F359" s="21" t="str">
        <f>IF(AND('Atividades Micro'!$A411=F$2,'Atividades Micro'!$L411&lt;&gt;""),'Atividades Micro'!$L411,"")</f>
        <v/>
      </c>
      <c r="G359" s="21" t="str">
        <f>IF(AND('Atividades Micro'!$A411=G$2,'Atividades Micro'!$K411&lt;&gt;""),'Atividades Micro'!$K411,"")</f>
        <v/>
      </c>
      <c r="H359" s="21" t="str">
        <f>IF(AND('Atividades Micro'!$A411=H$2,'Atividades Micro'!$L411&lt;&gt;""),'Atividades Micro'!$L411,"")</f>
        <v/>
      </c>
      <c r="I359" s="21" t="str">
        <f>IF(AND('Atividades Micro'!$A411=I$2,'Atividades Micro'!$K411&lt;&gt;""),'Atividades Micro'!$K411,"")</f>
        <v/>
      </c>
      <c r="J359" s="21" t="str">
        <f>IF(AND('Atividades Micro'!$A411=J$2,'Atividades Micro'!$L411&lt;&gt;""),'Atividades Micro'!$L411,"")</f>
        <v/>
      </c>
      <c r="K359" s="21" t="str">
        <f>IF(AND('Atividades Micro'!$B411=K$2,'Atividades Micro'!$K411&lt;&gt;""),'Atividades Micro'!$K411,"")</f>
        <v/>
      </c>
      <c r="L359" s="21" t="str">
        <f>IF(AND('Atividades Micro'!$B411=L$2,'Atividades Micro'!$L411&lt;&gt;""),'Atividades Micro'!$L411,"")</f>
        <v/>
      </c>
      <c r="M359" s="21" t="str">
        <f>IF(AND('Atividades Micro'!$B411=M$2,'Atividades Micro'!$K411&lt;&gt;""),'Atividades Micro'!$K411,"")</f>
        <v/>
      </c>
      <c r="N359" s="21" t="str">
        <f>IF(AND('Atividades Micro'!$B411=N$2,'Atividades Micro'!$L411&lt;&gt;""),'Atividades Micro'!$L411,"")</f>
        <v/>
      </c>
      <c r="O359" s="21" t="str">
        <f>IF(AND('Atividades Micro'!$A411=O$2,'Atividades Micro'!$K411&lt;&gt;""),'Atividades Micro'!$K411,"")</f>
        <v/>
      </c>
      <c r="P359" s="21" t="str">
        <f>IF(AND('Atividades Micro'!$A411=P$2,'Atividades Micro'!$L411&lt;&gt;""),'Atividades Micro'!$L411,"")</f>
        <v/>
      </c>
      <c r="Q359" s="21" t="str">
        <f>IF(AND('Atividades Micro'!$B411=Q$2,'Atividades Micro'!$K411&lt;&gt;""),'Atividades Micro'!$K411,"")</f>
        <v/>
      </c>
      <c r="R359" s="21" t="str">
        <f>IF(AND('Atividades Micro'!$B411=R$2,'Atividades Micro'!$L411&lt;&gt;""),'Atividades Micro'!$L411,"")</f>
        <v/>
      </c>
      <c r="S359" s="21" t="str">
        <f>IF(AND('Atividades Micro'!$A411=S$2,'Atividades Micro'!$K411&lt;&gt;""),'Atividades Micro'!$K411,"")</f>
        <v/>
      </c>
      <c r="T359" s="21" t="str">
        <f>IF(AND('Atividades Micro'!$A411=T$2,'Atividades Micro'!$L411&lt;&gt;""),'Atividades Micro'!$L411,"")</f>
        <v/>
      </c>
      <c r="U359" s="21" t="str">
        <f>IF(AND('Atividades Micro'!$B411=U$2,'Atividades Micro'!$K411&lt;&gt;""),'Atividades Micro'!$K411,"")</f>
        <v/>
      </c>
      <c r="V359" s="21" t="str">
        <f>IF(AND('Atividades Micro'!$B411=V$2,'Atividades Micro'!$L411&lt;&gt;""),'Atividades Micro'!$L411,"")</f>
        <v/>
      </c>
      <c r="W359" s="21" t="str">
        <f>IF(AND('Atividades Micro'!$B411=W$2,'Atividades Micro'!$K411&lt;&gt;""),'Atividades Micro'!$K411,"")</f>
        <v/>
      </c>
      <c r="X359" s="21" t="str">
        <f>IF(AND('Atividades Micro'!$B411=X$2,'Atividades Micro'!$L411&lt;&gt;""),'Atividades Micro'!$L411,"")</f>
        <v/>
      </c>
      <c r="Y359" s="21" t="str">
        <f>IF(AND('Atividades Micro'!$A411=Y$2,'Atividades Micro'!$K411&lt;&gt;""),'Atividades Micro'!$K411,"")</f>
        <v/>
      </c>
      <c r="Z359" s="21" t="str">
        <f>IF(AND('Atividades Micro'!$A411=Z$2,'Atividades Micro'!$L411&lt;&gt;""),'Atividades Micro'!$L411,"")</f>
        <v/>
      </c>
      <c r="AA359" s="21" t="str">
        <f>IF(AND('Atividades Micro'!$B411=AA$2,'Atividades Micro'!$K411&lt;&gt;""),'Atividades Micro'!$K411,"")</f>
        <v/>
      </c>
      <c r="AB359" s="21" t="str">
        <f>IF(AND('Atividades Micro'!$B411=AB$2,'Atividades Micro'!$L411&lt;&gt;""),'Atividades Micro'!$L411,"")</f>
        <v/>
      </c>
      <c r="AC359" s="21" t="str">
        <f>IF(AND('Atividades Micro'!$B411=AC$2,'Atividades Micro'!$K411&lt;&gt;""),'Atividades Micro'!$K411,"")</f>
        <v/>
      </c>
      <c r="AD359" s="21" t="str">
        <f>IF(AND('Atividades Micro'!$B411=AD$2,'Atividades Micro'!$L411&lt;&gt;""),'Atividades Micro'!$L411,"")</f>
        <v/>
      </c>
      <c r="AE359" s="21" t="str">
        <f>IF(AND('Atividades Micro'!$A411=AE$2,'Atividades Micro'!$K411&lt;&gt;""),'Atividades Micro'!$K411,"")</f>
        <v/>
      </c>
      <c r="AF359" s="21" t="str">
        <f>IF(AND('Atividades Micro'!$A411=AF$2,'Atividades Micro'!$L411&lt;&gt;""),'Atividades Micro'!$L411,"")</f>
        <v/>
      </c>
      <c r="AG359" s="21" t="str">
        <f>IF(AND('Atividades Micro'!$B411=AG$2,'Atividades Micro'!$K411&lt;&gt;""),'Atividades Micro'!$K411,"")</f>
        <v/>
      </c>
      <c r="AH359" s="21" t="str">
        <f>IF(AND('Atividades Micro'!$B411=AH$2,'Atividades Micro'!$L411&lt;&gt;""),'Atividades Micro'!$L411,"")</f>
        <v/>
      </c>
      <c r="AI359" s="21" t="str">
        <f>IF(AND('Atividades Micro'!$B411=AI$2,'Atividades Micro'!$K411&lt;&gt;""),'Atividades Micro'!$K411,"")</f>
        <v/>
      </c>
      <c r="AJ359" s="21" t="str">
        <f>IF(AND('Atividades Micro'!$B411=AJ$2,'Atividades Micro'!$L411&lt;&gt;""),'Atividades Micro'!$L411,"")</f>
        <v/>
      </c>
      <c r="AK359" s="21" t="str">
        <f>IF(AND('Atividades Micro'!$A411=AK$2,'Atividades Micro'!$K411&lt;&gt;""),'Atividades Micro'!$K411,"")</f>
        <v/>
      </c>
      <c r="AL359" s="21" t="str">
        <f>IF(AND('Atividades Micro'!$A411=AL$2,'Atividades Micro'!$L411&lt;&gt;""),'Atividades Micro'!$L411,"")</f>
        <v/>
      </c>
      <c r="AM359" s="21" t="str">
        <f>IF(AND('Atividades Micro'!$B411=AM$2,'Atividades Micro'!$K411&lt;&gt;""),'Atividades Micro'!$K411,"")</f>
        <v/>
      </c>
      <c r="AN359" s="21" t="str">
        <f>IF(AND('Atividades Micro'!$B411=AN$2,'Atividades Micro'!$L411&lt;&gt;""),'Atividades Micro'!$L411,"")</f>
        <v/>
      </c>
      <c r="AO359" s="21" t="str">
        <f>IF(AND('Atividades Micro'!$B411=AO$2,'Atividades Micro'!$K411&lt;&gt;""),'Atividades Micro'!$K411,"")</f>
        <v/>
      </c>
      <c r="AP359" s="21" t="str">
        <f>IF(AND('Atividades Micro'!$B411=AP$2,'Atividades Micro'!$L411&lt;&gt;""),'Atividades Micro'!$L411,"")</f>
        <v/>
      </c>
      <c r="AQ359" s="21" t="str">
        <f>IF(AND('Atividades Micro'!$A411=AQ$2,'Atividades Micro'!$K411&lt;&gt;""),'Atividades Micro'!$K411,"")</f>
        <v/>
      </c>
      <c r="AR359" s="21" t="str">
        <f>IF(AND('Atividades Micro'!$A411=AR$2,'Atividades Micro'!$L411&lt;&gt;""),'Atividades Micro'!$L411,"")</f>
        <v/>
      </c>
      <c r="AS359" s="21" t="str">
        <f>IF(AND('Atividades Micro'!$B411=AS$2,'Atividades Micro'!$K411&lt;&gt;""),'Atividades Micro'!$K411,"")</f>
        <v/>
      </c>
      <c r="AT359" s="21" t="str">
        <f>IF(AND('Atividades Micro'!$B411=AT$2,'Atividades Micro'!$L411&lt;&gt;""),'Atividades Micro'!$L411,"")</f>
        <v/>
      </c>
      <c r="AU359" s="21" t="str">
        <f>IF(AND('Atividades Micro'!$A411=AU$2,'Atividades Micro'!$K411&lt;&gt;""),'Atividades Micro'!$K411,"")</f>
        <v/>
      </c>
      <c r="AV359" s="21" t="str">
        <f>IF(AND('Atividades Micro'!$A411=AV$2,'Atividades Micro'!$L411&lt;&gt;""),'Atividades Micro'!$L411,"")</f>
        <v/>
      </c>
      <c r="AW359" s="21" t="str">
        <f>IF(AND('Atividades Micro'!$B411=AW$2,'Atividades Micro'!$K411&lt;&gt;""),'Atividades Micro'!$K411,"")</f>
        <v/>
      </c>
      <c r="AX359" s="21" t="str">
        <f>IF(AND('Atividades Micro'!$B411=AX$2,'Atividades Micro'!$L411&lt;&gt;""),'Atividades Micro'!$L411,"")</f>
        <v/>
      </c>
      <c r="AY359" s="21" t="str">
        <f>IF(AND('Atividades Micro'!$A411=AY$2,'Atividades Micro'!$K411&lt;&gt;""),'Atividades Micro'!$K411,"")</f>
        <v/>
      </c>
      <c r="AZ359" s="21" t="str">
        <f>IF(AND('Atividades Micro'!$A411=AZ$2,'Atividades Micro'!$L411&lt;&gt;""),'Atividades Micro'!$L411,"")</f>
        <v/>
      </c>
      <c r="BA359" s="21" t="str">
        <f>IF(AND('Atividades Micro'!$B411=BA$2,'Atividades Micro'!$K411&lt;&gt;""),'Atividades Micro'!$K411,"")</f>
        <v/>
      </c>
      <c r="BB359" s="21" t="str">
        <f>IF(AND('Atividades Micro'!$B411=BB$2,'Atividades Micro'!$L411&lt;&gt;""),'Atividades Micro'!$L411,"")</f>
        <v/>
      </c>
      <c r="BC359" s="21" t="str">
        <f>IF(AND('Atividades Micro'!$B411=BC$2,'Atividades Micro'!$G411="Macro",'Atividades Micro'!$K411&lt;&gt;""),'Atividades Micro'!$K411,"")</f>
        <v/>
      </c>
      <c r="BD359" s="21" t="str">
        <f>IF(AND('Atividades Micro'!$B411=BD$2,'Atividades Micro'!$G411="Macro",'Atividades Micro'!$K411&lt;&gt;""),'Atividades Micro'!$K411,"")</f>
        <v/>
      </c>
      <c r="BE359" s="21" t="str">
        <f>IF(AND('Atividades Micro'!$B411=BE$2,'Atividades Micro'!$G411="Macro",'Atividades Micro'!$K411&lt;&gt;""),'Atividades Micro'!$K411,"")</f>
        <v/>
      </c>
      <c r="BF359" s="21" t="str">
        <f>IF(AND('Atividades Micro'!$B411=BF$2,'Atividades Micro'!$G411="Macro",'Atividades Micro'!$K411&lt;&gt;""),'Atividades Micro'!$K411,"")</f>
        <v/>
      </c>
      <c r="BG359" s="21" t="str">
        <f>IF(AND('Atividades Micro'!$B411=BG$2,'Atividades Micro'!$G411="Macro",'Atividades Micro'!$K411&lt;&gt;""),'Atividades Micro'!$K411,"")</f>
        <v/>
      </c>
      <c r="BH359" s="21" t="str">
        <f>IF(AND('Atividades Micro'!$B411=BH$2,'Atividades Micro'!$G411="Macro",'Atividades Micro'!$K411&lt;&gt;""),'Atividades Micro'!$K411,"")</f>
        <v/>
      </c>
      <c r="BI359" s="21" t="str">
        <f>IF(AND('Atividades Micro'!$B411=BI$2,'Atividades Micro'!$G411="Macro",'Atividades Micro'!$K411&lt;&gt;""),'Atividades Micro'!$K411,"")</f>
        <v/>
      </c>
      <c r="BJ359" s="21" t="str">
        <f>IF(AND('Atividades Micro'!$B411=BJ$2,'Atividades Micro'!$G411="Macro",'Atividades Micro'!$K411&lt;&gt;""),'Atividades Micro'!$K411,"")</f>
        <v/>
      </c>
      <c r="BK359" s="21" t="str">
        <f>IF(AND('Atividades Micro'!$B411=BK$2,'Atividades Micro'!$G411="Macro",'Atividades Micro'!$K411&lt;&gt;""),'Atividades Micro'!$K411,"")</f>
        <v/>
      </c>
      <c r="BL359" s="21" t="str">
        <f>IF(AND('Atividades Micro'!$B411=BL$2,'Atividades Micro'!$G411="Macro",'Atividades Micro'!$K411&lt;&gt;""),'Atividades Micro'!$K411,"")</f>
        <v/>
      </c>
      <c r="BM359" s="21" t="str">
        <f>IF(AND('Atividades Micro'!$B411=BM$2,'Atividades Micro'!$G411="Macro",'Atividades Micro'!$K411&lt;&gt;""),'Atividades Micro'!$K411,"")</f>
        <v/>
      </c>
      <c r="BN359" s="21" t="str">
        <f>IF(AND('Atividades Micro'!$B411=BN$2,'Atividades Micro'!$G411="Macro",'Atividades Micro'!$K411&lt;&gt;""),'Atividades Micro'!$K411,"")</f>
        <v/>
      </c>
      <c r="BO359" s="21" t="str">
        <f>IF(AND('Atividades Micro'!$B411=BO$2,'Atividades Micro'!$G411="Macro",'Atividades Micro'!$K411&lt;&gt;""),'Atividades Micro'!$K411,"")</f>
        <v/>
      </c>
      <c r="BP359" s="21" t="str">
        <f>IF(AND('Atividades Micro'!$B411=BP$2,'Atividades Micro'!$G411="Macro",'Atividades Micro'!$K411&lt;&gt;""),'Atividades Micro'!$K411,"")</f>
        <v/>
      </c>
      <c r="BQ359" s="21" t="str">
        <f>IF(AND('Atividades Micro'!$B411=BQ$2,'Atividades Micro'!$G411="Macro",'Atividades Micro'!$K411&lt;&gt;""),'Atividades Micro'!$K411,"")</f>
        <v/>
      </c>
      <c r="BR359" s="21" t="str">
        <f>IF(AND('Atividades Micro'!$B411=BR$2,'Atividades Micro'!$G411="Macro",'Atividades Micro'!$K411&lt;&gt;""),'Atividades Micro'!$K411,"")</f>
        <v/>
      </c>
      <c r="BS359" s="21" t="str">
        <f>IF(AND('Atividades Micro'!$B411=BS$2,'Atividades Micro'!$G411="Macro",'Atividades Micro'!$K411&lt;&gt;""),'Atividades Micro'!$K411,"")</f>
        <v/>
      </c>
      <c r="BT359" s="21" t="str">
        <f>IF(AND('Atividades Micro'!$B411=BT$2,'Atividades Micro'!$G411="Macro",'Atividades Micro'!$K411&lt;&gt;""),'Atividades Micro'!$K411,"")</f>
        <v/>
      </c>
      <c r="BU359" s="21" t="str">
        <f>IF(AND('Atividades Micro'!$B411=BU$2,'Atividades Micro'!$G411="Macro",'Atividades Micro'!$K411&lt;&gt;""),'Atividades Micro'!$K411,"")</f>
        <v/>
      </c>
      <c r="BV359" s="21" t="str">
        <f>IF(AND('Atividades Micro'!$B411=BV$2,'Atividades Micro'!$G411="Macro",'Atividades Micro'!$K411&lt;&gt;""),'Atividades Micro'!$K411,"")</f>
        <v/>
      </c>
      <c r="BW359" s="21" t="str">
        <f>IF(AND('Atividades Micro'!$B411=BW$2,'Atividades Micro'!$G411="Macro",'Atividades Micro'!$K411&lt;&gt;""),'Atividades Micro'!$K411,"")</f>
        <v/>
      </c>
      <c r="BX359" s="21" t="str">
        <f>IF(AND('Atividades Micro'!$B411=BX$2,'Atividades Micro'!$G411="Macro",'Atividades Micro'!$K411&lt;&gt;""),'Atividades Micro'!$K411,"")</f>
        <v/>
      </c>
      <c r="BY359" s="21" t="str">
        <f>IF(AND('Atividades Micro'!$B411=BY$2,'Atividades Micro'!$G411="Macro",'Atividades Micro'!$K411&lt;&gt;""),'Atividades Micro'!$K411,"")</f>
        <v/>
      </c>
      <c r="BZ359" s="21" t="str">
        <f>IF(AND('Atividades Micro'!$B411=BZ$2,'Atividades Micro'!$G411="Macro",'Atividades Micro'!$K411&lt;&gt;""),'Atividades Micro'!$K411,"")</f>
        <v/>
      </c>
      <c r="CA359" s="21" t="str">
        <f>IF(AND('Atividades Micro'!$B411=CA$2,'Atividades Micro'!$G411="Macro",'Atividades Micro'!$K411&lt;&gt;""),'Atividades Micro'!$K411,"")</f>
        <v/>
      </c>
      <c r="CB359" s="21" t="str">
        <f>IF(AND('Atividades Micro'!$B411=CB$2,'Atividades Micro'!$G411="Macro",'Atividades Micro'!$K411&lt;&gt;""),'Atividades Micro'!$K411,"")</f>
        <v/>
      </c>
      <c r="CC359" s="21" t="str">
        <f>IF(AND('Atividades Micro'!$B411=CC$2,'Atividades Micro'!$G411="Macro",'Atividades Micro'!$K411&lt;&gt;""),'Atividades Micro'!$K411,"")</f>
        <v/>
      </c>
      <c r="CD359" s="21" t="str">
        <f>IF(AND('Atividades Micro'!$B411=CD$2,'Atividades Micro'!$G411="Micro",'Atividades Micro'!$K411&lt;&gt;""),'Atividades Micro'!$K411,"")</f>
        <v/>
      </c>
      <c r="CE359" s="21" t="str">
        <f>IF(AND('Atividades Micro'!$B411=CE$2,'Atividades Micro'!$G411="Micro",'Atividades Micro'!$K411&lt;&gt;""),'Atividades Micro'!$K411,"")</f>
        <v/>
      </c>
      <c r="CF359" s="21" t="str">
        <f>IF(AND('Atividades Micro'!$B411=CF$2,'Atividades Micro'!$G411="Micro",'Atividades Micro'!$K411&lt;&gt;""),'Atividades Micro'!$K411,"")</f>
        <v/>
      </c>
      <c r="CG359" s="21" t="str">
        <f>IF(AND('Atividades Micro'!$B411=CG$2,'Atividades Micro'!$G411="Micro",'Atividades Micro'!$K411&lt;&gt;""),'Atividades Micro'!$K411,"")</f>
        <v/>
      </c>
      <c r="CH359" s="21" t="str">
        <f>IF(AND('Atividades Micro'!$B411=CH$2,'Atividades Micro'!$G411="Micro",'Atividades Micro'!$K411&lt;&gt;""),'Atividades Micro'!$K411,"")</f>
        <v/>
      </c>
      <c r="CI359" s="21" t="str">
        <f>IF(AND('Atividades Micro'!$B411=CI$2,'Atividades Micro'!$G411="Micro",'Atividades Micro'!$K411&lt;&gt;""),'Atividades Micro'!$K411,"")</f>
        <v/>
      </c>
      <c r="CJ359" s="21" t="str">
        <f>IF(AND('Atividades Micro'!$B411=CJ$2,'Atividades Micro'!$G411="Micro",'Atividades Micro'!$K411&lt;&gt;""),'Atividades Micro'!$K411,"")</f>
        <v/>
      </c>
      <c r="CK359" s="21" t="str">
        <f>IF(AND('Atividades Micro'!$B411=CK$2,'Atividades Micro'!$G411="Micro",'Atividades Micro'!$K411&lt;&gt;""),'Atividades Micro'!$K411,"")</f>
        <v/>
      </c>
      <c r="CL359" s="21" t="str">
        <f>IF(AND('Atividades Micro'!$B411=CL$2,'Atividades Micro'!$G411="Micro",'Atividades Micro'!$K411&lt;&gt;""),'Atividades Micro'!$K411,"")</f>
        <v/>
      </c>
      <c r="CM359" s="21" t="str">
        <f>IF(AND('Atividades Micro'!$B411=CM$2,'Atividades Micro'!$G411="Micro",'Atividades Micro'!$K411&lt;&gt;""),'Atividades Micro'!$K411,"")</f>
        <v/>
      </c>
      <c r="CN359" s="21" t="str">
        <f>IF(AND('Atividades Micro'!$B411=CN$2,'Atividades Micro'!$G411="Micro",'Atividades Micro'!$K411&lt;&gt;""),'Atividades Micro'!$K411,"")</f>
        <v/>
      </c>
      <c r="CO359" s="21" t="str">
        <f>IF(AND('Atividades Micro'!$B411=CO$2,'Atividades Micro'!$G411="Micro",'Atividades Micro'!$K411&lt;&gt;""),'Atividades Micro'!$K411,"")</f>
        <v/>
      </c>
    </row>
    <row r="360" spans="1:93">
      <c r="A360" s="21" t="str">
        <f>IF(AND('Atividades Micro'!$A412=A$2,'Atividades Micro'!$K412&lt;&gt;""),'Atividades Micro'!$K412,"")</f>
        <v/>
      </c>
      <c r="B360" s="21" t="str">
        <f>IF(AND('Atividades Micro'!$A412=B$2,'Atividades Micro'!$L412&lt;&gt;""),'Atividades Micro'!$L412,"")</f>
        <v/>
      </c>
      <c r="C360" s="21" t="str">
        <f>IF(AND('Atividades Micro'!$A412=C$2,'Atividades Micro'!$K412&lt;&gt;""),'Atividades Micro'!$K412,"")</f>
        <v/>
      </c>
      <c r="D360" s="21" t="str">
        <f>IF(AND('Atividades Micro'!$A412=D$2,'Atividades Micro'!$L412&lt;&gt;""),'Atividades Micro'!$L412,"")</f>
        <v/>
      </c>
      <c r="E360" s="21" t="str">
        <f>IF(AND('Atividades Micro'!$A412=E$2,'Atividades Micro'!$K412&lt;&gt;""),'Atividades Micro'!$K412,"")</f>
        <v/>
      </c>
      <c r="F360" s="21" t="str">
        <f>IF(AND('Atividades Micro'!$A412=F$2,'Atividades Micro'!$L412&lt;&gt;""),'Atividades Micro'!$L412,"")</f>
        <v/>
      </c>
      <c r="G360" s="21" t="str">
        <f>IF(AND('Atividades Micro'!$A412=G$2,'Atividades Micro'!$K412&lt;&gt;""),'Atividades Micro'!$K412,"")</f>
        <v/>
      </c>
      <c r="H360" s="21" t="str">
        <f>IF(AND('Atividades Micro'!$A412=H$2,'Atividades Micro'!$L412&lt;&gt;""),'Atividades Micro'!$L412,"")</f>
        <v/>
      </c>
      <c r="I360" s="21" t="str">
        <f>IF(AND('Atividades Micro'!$A412=I$2,'Atividades Micro'!$K412&lt;&gt;""),'Atividades Micro'!$K412,"")</f>
        <v/>
      </c>
      <c r="J360" s="21" t="str">
        <f>IF(AND('Atividades Micro'!$A412=J$2,'Atividades Micro'!$L412&lt;&gt;""),'Atividades Micro'!$L412,"")</f>
        <v/>
      </c>
      <c r="K360" s="21" t="str">
        <f>IF(AND('Atividades Micro'!$B412=K$2,'Atividades Micro'!$K412&lt;&gt;""),'Atividades Micro'!$K412,"")</f>
        <v/>
      </c>
      <c r="L360" s="21" t="str">
        <f>IF(AND('Atividades Micro'!$B412=L$2,'Atividades Micro'!$L412&lt;&gt;""),'Atividades Micro'!$L412,"")</f>
        <v/>
      </c>
      <c r="M360" s="21" t="str">
        <f>IF(AND('Atividades Micro'!$B412=M$2,'Atividades Micro'!$K412&lt;&gt;""),'Atividades Micro'!$K412,"")</f>
        <v/>
      </c>
      <c r="N360" s="21" t="str">
        <f>IF(AND('Atividades Micro'!$B412=N$2,'Atividades Micro'!$L412&lt;&gt;""),'Atividades Micro'!$L412,"")</f>
        <v/>
      </c>
      <c r="O360" s="21" t="str">
        <f>IF(AND('Atividades Micro'!$A412=O$2,'Atividades Micro'!$K412&lt;&gt;""),'Atividades Micro'!$K412,"")</f>
        <v/>
      </c>
      <c r="P360" s="21" t="str">
        <f>IF(AND('Atividades Micro'!$A412=P$2,'Atividades Micro'!$L412&lt;&gt;""),'Atividades Micro'!$L412,"")</f>
        <v/>
      </c>
      <c r="Q360" s="21" t="str">
        <f>IF(AND('Atividades Micro'!$B412=Q$2,'Atividades Micro'!$K412&lt;&gt;""),'Atividades Micro'!$K412,"")</f>
        <v/>
      </c>
      <c r="R360" s="21" t="str">
        <f>IF(AND('Atividades Micro'!$B412=R$2,'Atividades Micro'!$L412&lt;&gt;""),'Atividades Micro'!$L412,"")</f>
        <v/>
      </c>
      <c r="S360" s="21" t="str">
        <f>IF(AND('Atividades Micro'!$A412=S$2,'Atividades Micro'!$K412&lt;&gt;""),'Atividades Micro'!$K412,"")</f>
        <v/>
      </c>
      <c r="T360" s="21" t="str">
        <f>IF(AND('Atividades Micro'!$A412=T$2,'Atividades Micro'!$L412&lt;&gt;""),'Atividades Micro'!$L412,"")</f>
        <v/>
      </c>
      <c r="U360" s="21" t="str">
        <f>IF(AND('Atividades Micro'!$B412=U$2,'Atividades Micro'!$K412&lt;&gt;""),'Atividades Micro'!$K412,"")</f>
        <v/>
      </c>
      <c r="V360" s="21" t="str">
        <f>IF(AND('Atividades Micro'!$B412=V$2,'Atividades Micro'!$L412&lt;&gt;""),'Atividades Micro'!$L412,"")</f>
        <v/>
      </c>
      <c r="W360" s="21" t="str">
        <f>IF(AND('Atividades Micro'!$B412=W$2,'Atividades Micro'!$K412&lt;&gt;""),'Atividades Micro'!$K412,"")</f>
        <v/>
      </c>
      <c r="X360" s="21" t="str">
        <f>IF(AND('Atividades Micro'!$B412=X$2,'Atividades Micro'!$L412&lt;&gt;""),'Atividades Micro'!$L412,"")</f>
        <v/>
      </c>
      <c r="Y360" s="21" t="str">
        <f>IF(AND('Atividades Micro'!$A412=Y$2,'Atividades Micro'!$K412&lt;&gt;""),'Atividades Micro'!$K412,"")</f>
        <v/>
      </c>
      <c r="Z360" s="21" t="str">
        <f>IF(AND('Atividades Micro'!$A412=Z$2,'Atividades Micro'!$L412&lt;&gt;""),'Atividades Micro'!$L412,"")</f>
        <v/>
      </c>
      <c r="AA360" s="21" t="str">
        <f>IF(AND('Atividades Micro'!$B412=AA$2,'Atividades Micro'!$K412&lt;&gt;""),'Atividades Micro'!$K412,"")</f>
        <v/>
      </c>
      <c r="AB360" s="21" t="str">
        <f>IF(AND('Atividades Micro'!$B412=AB$2,'Atividades Micro'!$L412&lt;&gt;""),'Atividades Micro'!$L412,"")</f>
        <v/>
      </c>
      <c r="AC360" s="21" t="str">
        <f>IF(AND('Atividades Micro'!$B412=AC$2,'Atividades Micro'!$K412&lt;&gt;""),'Atividades Micro'!$K412,"")</f>
        <v/>
      </c>
      <c r="AD360" s="21" t="str">
        <f>IF(AND('Atividades Micro'!$B412=AD$2,'Atividades Micro'!$L412&lt;&gt;""),'Atividades Micro'!$L412,"")</f>
        <v/>
      </c>
      <c r="AE360" s="21" t="str">
        <f>IF(AND('Atividades Micro'!$A412=AE$2,'Atividades Micro'!$K412&lt;&gt;""),'Atividades Micro'!$K412,"")</f>
        <v/>
      </c>
      <c r="AF360" s="21" t="str">
        <f>IF(AND('Atividades Micro'!$A412=AF$2,'Atividades Micro'!$L412&lt;&gt;""),'Atividades Micro'!$L412,"")</f>
        <v/>
      </c>
      <c r="AG360" s="21" t="str">
        <f>IF(AND('Atividades Micro'!$B412=AG$2,'Atividades Micro'!$K412&lt;&gt;""),'Atividades Micro'!$K412,"")</f>
        <v/>
      </c>
      <c r="AH360" s="21" t="str">
        <f>IF(AND('Atividades Micro'!$B412=AH$2,'Atividades Micro'!$L412&lt;&gt;""),'Atividades Micro'!$L412,"")</f>
        <v/>
      </c>
      <c r="AI360" s="21" t="str">
        <f>IF(AND('Atividades Micro'!$B412=AI$2,'Atividades Micro'!$K412&lt;&gt;""),'Atividades Micro'!$K412,"")</f>
        <v/>
      </c>
      <c r="AJ360" s="21" t="str">
        <f>IF(AND('Atividades Micro'!$B412=AJ$2,'Atividades Micro'!$L412&lt;&gt;""),'Atividades Micro'!$L412,"")</f>
        <v/>
      </c>
      <c r="AK360" s="21" t="str">
        <f>IF(AND('Atividades Micro'!$A412=AK$2,'Atividades Micro'!$K412&lt;&gt;""),'Atividades Micro'!$K412,"")</f>
        <v/>
      </c>
      <c r="AL360" s="21" t="str">
        <f>IF(AND('Atividades Micro'!$A412=AL$2,'Atividades Micro'!$L412&lt;&gt;""),'Atividades Micro'!$L412,"")</f>
        <v/>
      </c>
      <c r="AM360" s="21" t="str">
        <f>IF(AND('Atividades Micro'!$B412=AM$2,'Atividades Micro'!$K412&lt;&gt;""),'Atividades Micro'!$K412,"")</f>
        <v/>
      </c>
      <c r="AN360" s="21" t="str">
        <f>IF(AND('Atividades Micro'!$B412=AN$2,'Atividades Micro'!$L412&lt;&gt;""),'Atividades Micro'!$L412,"")</f>
        <v/>
      </c>
      <c r="AO360" s="21" t="str">
        <f>IF(AND('Atividades Micro'!$B412=AO$2,'Atividades Micro'!$K412&lt;&gt;""),'Atividades Micro'!$K412,"")</f>
        <v/>
      </c>
      <c r="AP360" s="21" t="str">
        <f>IF(AND('Atividades Micro'!$B412=AP$2,'Atividades Micro'!$L412&lt;&gt;""),'Atividades Micro'!$L412,"")</f>
        <v/>
      </c>
      <c r="AQ360" s="21" t="str">
        <f>IF(AND('Atividades Micro'!$A412=AQ$2,'Atividades Micro'!$K412&lt;&gt;""),'Atividades Micro'!$K412,"")</f>
        <v/>
      </c>
      <c r="AR360" s="21" t="str">
        <f>IF(AND('Atividades Micro'!$A412=AR$2,'Atividades Micro'!$L412&lt;&gt;""),'Atividades Micro'!$L412,"")</f>
        <v/>
      </c>
      <c r="AS360" s="21" t="str">
        <f>IF(AND('Atividades Micro'!$B412=AS$2,'Atividades Micro'!$K412&lt;&gt;""),'Atividades Micro'!$K412,"")</f>
        <v/>
      </c>
      <c r="AT360" s="21" t="str">
        <f>IF(AND('Atividades Micro'!$B412=AT$2,'Atividades Micro'!$L412&lt;&gt;""),'Atividades Micro'!$L412,"")</f>
        <v/>
      </c>
      <c r="AU360" s="21" t="str">
        <f>IF(AND('Atividades Micro'!$A412=AU$2,'Atividades Micro'!$K412&lt;&gt;""),'Atividades Micro'!$K412,"")</f>
        <v/>
      </c>
      <c r="AV360" s="21" t="str">
        <f>IF(AND('Atividades Micro'!$A412=AV$2,'Atividades Micro'!$L412&lt;&gt;""),'Atividades Micro'!$L412,"")</f>
        <v/>
      </c>
      <c r="AW360" s="21" t="str">
        <f>IF(AND('Atividades Micro'!$B412=AW$2,'Atividades Micro'!$K412&lt;&gt;""),'Atividades Micro'!$K412,"")</f>
        <v/>
      </c>
      <c r="AX360" s="21" t="str">
        <f>IF(AND('Atividades Micro'!$B412=AX$2,'Atividades Micro'!$L412&lt;&gt;""),'Atividades Micro'!$L412,"")</f>
        <v/>
      </c>
      <c r="AY360" s="21" t="str">
        <f>IF(AND('Atividades Micro'!$A412=AY$2,'Atividades Micro'!$K412&lt;&gt;""),'Atividades Micro'!$K412,"")</f>
        <v/>
      </c>
      <c r="AZ360" s="21" t="str">
        <f>IF(AND('Atividades Micro'!$A412=AZ$2,'Atividades Micro'!$L412&lt;&gt;""),'Atividades Micro'!$L412,"")</f>
        <v/>
      </c>
      <c r="BA360" s="21" t="str">
        <f>IF(AND('Atividades Micro'!$B412=BA$2,'Atividades Micro'!$K412&lt;&gt;""),'Atividades Micro'!$K412,"")</f>
        <v/>
      </c>
      <c r="BB360" s="21" t="str">
        <f>IF(AND('Atividades Micro'!$B412=BB$2,'Atividades Micro'!$L412&lt;&gt;""),'Atividades Micro'!$L412,"")</f>
        <v/>
      </c>
      <c r="BC360" s="21" t="str">
        <f>IF(AND('Atividades Micro'!$B412=BC$2,'Atividades Micro'!$G412="Macro",'Atividades Micro'!$K412&lt;&gt;""),'Atividades Micro'!$K412,"")</f>
        <v/>
      </c>
      <c r="BD360" s="21" t="str">
        <f>IF(AND('Atividades Micro'!$B412=BD$2,'Atividades Micro'!$G412="Macro",'Atividades Micro'!$K412&lt;&gt;""),'Atividades Micro'!$K412,"")</f>
        <v/>
      </c>
      <c r="BE360" s="21" t="str">
        <f>IF(AND('Atividades Micro'!$B412=BE$2,'Atividades Micro'!$G412="Macro",'Atividades Micro'!$K412&lt;&gt;""),'Atividades Micro'!$K412,"")</f>
        <v/>
      </c>
      <c r="BF360" s="21" t="str">
        <f>IF(AND('Atividades Micro'!$B412=BF$2,'Atividades Micro'!$G412="Macro",'Atividades Micro'!$K412&lt;&gt;""),'Atividades Micro'!$K412,"")</f>
        <v/>
      </c>
      <c r="BG360" s="21" t="str">
        <f>IF(AND('Atividades Micro'!$B412=BG$2,'Atividades Micro'!$G412="Macro",'Atividades Micro'!$K412&lt;&gt;""),'Atividades Micro'!$K412,"")</f>
        <v/>
      </c>
      <c r="BH360" s="21" t="str">
        <f>IF(AND('Atividades Micro'!$B412=BH$2,'Atividades Micro'!$G412="Macro",'Atividades Micro'!$K412&lt;&gt;""),'Atividades Micro'!$K412,"")</f>
        <v/>
      </c>
      <c r="BI360" s="21" t="str">
        <f>IF(AND('Atividades Micro'!$B412=BI$2,'Atividades Micro'!$G412="Macro",'Atividades Micro'!$K412&lt;&gt;""),'Atividades Micro'!$K412,"")</f>
        <v/>
      </c>
      <c r="BJ360" s="21" t="str">
        <f>IF(AND('Atividades Micro'!$B412=BJ$2,'Atividades Micro'!$G412="Macro",'Atividades Micro'!$K412&lt;&gt;""),'Atividades Micro'!$K412,"")</f>
        <v/>
      </c>
      <c r="BK360" s="21" t="str">
        <f>IF(AND('Atividades Micro'!$B412=BK$2,'Atividades Micro'!$G412="Macro",'Atividades Micro'!$K412&lt;&gt;""),'Atividades Micro'!$K412,"")</f>
        <v/>
      </c>
      <c r="BL360" s="21" t="str">
        <f>IF(AND('Atividades Micro'!$B412=BL$2,'Atividades Micro'!$G412="Macro",'Atividades Micro'!$K412&lt;&gt;""),'Atividades Micro'!$K412,"")</f>
        <v/>
      </c>
      <c r="BM360" s="21" t="str">
        <f>IF(AND('Atividades Micro'!$B412=BM$2,'Atividades Micro'!$G412="Macro",'Atividades Micro'!$K412&lt;&gt;""),'Atividades Micro'!$K412,"")</f>
        <v/>
      </c>
      <c r="BN360" s="21" t="str">
        <f>IF(AND('Atividades Micro'!$B412=BN$2,'Atividades Micro'!$G412="Macro",'Atividades Micro'!$K412&lt;&gt;""),'Atividades Micro'!$K412,"")</f>
        <v/>
      </c>
      <c r="BO360" s="21" t="str">
        <f>IF(AND('Atividades Micro'!$B412=BO$2,'Atividades Micro'!$G412="Macro",'Atividades Micro'!$K412&lt;&gt;""),'Atividades Micro'!$K412,"")</f>
        <v/>
      </c>
      <c r="BP360" s="21" t="str">
        <f>IF(AND('Atividades Micro'!$B412=BP$2,'Atividades Micro'!$G412="Macro",'Atividades Micro'!$K412&lt;&gt;""),'Atividades Micro'!$K412,"")</f>
        <v/>
      </c>
      <c r="BQ360" s="21" t="str">
        <f>IF(AND('Atividades Micro'!$B412=BQ$2,'Atividades Micro'!$G412="Macro",'Atividades Micro'!$K412&lt;&gt;""),'Atividades Micro'!$K412,"")</f>
        <v/>
      </c>
      <c r="BR360" s="21" t="str">
        <f>IF(AND('Atividades Micro'!$B412=BR$2,'Atividades Micro'!$G412="Macro",'Atividades Micro'!$K412&lt;&gt;""),'Atividades Micro'!$K412,"")</f>
        <v/>
      </c>
      <c r="BS360" s="21" t="str">
        <f>IF(AND('Atividades Micro'!$B412=BS$2,'Atividades Micro'!$G412="Macro",'Atividades Micro'!$K412&lt;&gt;""),'Atividades Micro'!$K412,"")</f>
        <v/>
      </c>
      <c r="BT360" s="21" t="str">
        <f>IF(AND('Atividades Micro'!$B412=BT$2,'Atividades Micro'!$G412="Macro",'Atividades Micro'!$K412&lt;&gt;""),'Atividades Micro'!$K412,"")</f>
        <v/>
      </c>
      <c r="BU360" s="21" t="str">
        <f>IF(AND('Atividades Micro'!$B412=BU$2,'Atividades Micro'!$G412="Macro",'Atividades Micro'!$K412&lt;&gt;""),'Atividades Micro'!$K412,"")</f>
        <v/>
      </c>
      <c r="BV360" s="21" t="str">
        <f>IF(AND('Atividades Micro'!$B412=BV$2,'Atividades Micro'!$G412="Macro",'Atividades Micro'!$K412&lt;&gt;""),'Atividades Micro'!$K412,"")</f>
        <v/>
      </c>
      <c r="BW360" s="21" t="str">
        <f>IF(AND('Atividades Micro'!$B412=BW$2,'Atividades Micro'!$G412="Macro",'Atividades Micro'!$K412&lt;&gt;""),'Atividades Micro'!$K412,"")</f>
        <v/>
      </c>
      <c r="BX360" s="21" t="str">
        <f>IF(AND('Atividades Micro'!$B412=BX$2,'Atividades Micro'!$G412="Macro",'Atividades Micro'!$K412&lt;&gt;""),'Atividades Micro'!$K412,"")</f>
        <v/>
      </c>
      <c r="BY360" s="21" t="str">
        <f>IF(AND('Atividades Micro'!$B412=BY$2,'Atividades Micro'!$G412="Macro",'Atividades Micro'!$K412&lt;&gt;""),'Atividades Micro'!$K412,"")</f>
        <v/>
      </c>
      <c r="BZ360" s="21" t="str">
        <f>IF(AND('Atividades Micro'!$B412=BZ$2,'Atividades Micro'!$G412="Macro",'Atividades Micro'!$K412&lt;&gt;""),'Atividades Micro'!$K412,"")</f>
        <v/>
      </c>
      <c r="CA360" s="21" t="str">
        <f>IF(AND('Atividades Micro'!$B412=CA$2,'Atividades Micro'!$G412="Macro",'Atividades Micro'!$K412&lt;&gt;""),'Atividades Micro'!$K412,"")</f>
        <v/>
      </c>
      <c r="CB360" s="21" t="str">
        <f>IF(AND('Atividades Micro'!$B412=CB$2,'Atividades Micro'!$G412="Macro",'Atividades Micro'!$K412&lt;&gt;""),'Atividades Micro'!$K412,"")</f>
        <v/>
      </c>
      <c r="CC360" s="21" t="str">
        <f>IF(AND('Atividades Micro'!$B412=CC$2,'Atividades Micro'!$G412="Macro",'Atividades Micro'!$K412&lt;&gt;""),'Atividades Micro'!$K412,"")</f>
        <v/>
      </c>
      <c r="CD360" s="21" t="str">
        <f>IF(AND('Atividades Micro'!$B412=CD$2,'Atividades Micro'!$G412="Micro",'Atividades Micro'!$K412&lt;&gt;""),'Atividades Micro'!$K412,"")</f>
        <v/>
      </c>
      <c r="CE360" s="21" t="str">
        <f>IF(AND('Atividades Micro'!$B412=CE$2,'Atividades Micro'!$G412="Micro",'Atividades Micro'!$K412&lt;&gt;""),'Atividades Micro'!$K412,"")</f>
        <v/>
      </c>
      <c r="CF360" s="21" t="str">
        <f>IF(AND('Atividades Micro'!$B412=CF$2,'Atividades Micro'!$G412="Micro",'Atividades Micro'!$K412&lt;&gt;""),'Atividades Micro'!$K412,"")</f>
        <v/>
      </c>
      <c r="CG360" s="21" t="str">
        <f>IF(AND('Atividades Micro'!$B412=CG$2,'Atividades Micro'!$G412="Micro",'Atividades Micro'!$K412&lt;&gt;""),'Atividades Micro'!$K412,"")</f>
        <v/>
      </c>
      <c r="CH360" s="21" t="str">
        <f>IF(AND('Atividades Micro'!$B412=CH$2,'Atividades Micro'!$G412="Micro",'Atividades Micro'!$K412&lt;&gt;""),'Atividades Micro'!$K412,"")</f>
        <v/>
      </c>
      <c r="CI360" s="21" t="str">
        <f>IF(AND('Atividades Micro'!$B412=CI$2,'Atividades Micro'!$G412="Micro",'Atividades Micro'!$K412&lt;&gt;""),'Atividades Micro'!$K412,"")</f>
        <v/>
      </c>
      <c r="CJ360" s="21" t="str">
        <f>IF(AND('Atividades Micro'!$B412=CJ$2,'Atividades Micro'!$G412="Micro",'Atividades Micro'!$K412&lt;&gt;""),'Atividades Micro'!$K412,"")</f>
        <v/>
      </c>
      <c r="CK360" s="21" t="str">
        <f>IF(AND('Atividades Micro'!$B412=CK$2,'Atividades Micro'!$G412="Micro",'Atividades Micro'!$K412&lt;&gt;""),'Atividades Micro'!$K412,"")</f>
        <v/>
      </c>
      <c r="CL360" s="21" t="str">
        <f>IF(AND('Atividades Micro'!$B412=CL$2,'Atividades Micro'!$G412="Micro",'Atividades Micro'!$K412&lt;&gt;""),'Atividades Micro'!$K412,"")</f>
        <v/>
      </c>
      <c r="CM360" s="21" t="str">
        <f>IF(AND('Atividades Micro'!$B412=CM$2,'Atividades Micro'!$G412="Micro",'Atividades Micro'!$K412&lt;&gt;""),'Atividades Micro'!$K412,"")</f>
        <v/>
      </c>
      <c r="CN360" s="21" t="str">
        <f>IF(AND('Atividades Micro'!$B412=CN$2,'Atividades Micro'!$G412="Micro",'Atividades Micro'!$K412&lt;&gt;""),'Atividades Micro'!$K412,"")</f>
        <v/>
      </c>
      <c r="CO360" s="21" t="str">
        <f>IF(AND('Atividades Micro'!$B412=CO$2,'Atividades Micro'!$G412="Micro",'Atividades Micro'!$K412&lt;&gt;""),'Atividades Micro'!$K412,"")</f>
        <v/>
      </c>
    </row>
    <row r="361" spans="1:93">
      <c r="A361" s="21" t="str">
        <f>IF(AND('Atividades Micro'!$A413=A$2,'Atividades Micro'!$K413&lt;&gt;""),'Atividades Micro'!$K413,"")</f>
        <v/>
      </c>
      <c r="B361" s="21" t="str">
        <f>IF(AND('Atividades Micro'!$A413=B$2,'Atividades Micro'!$L413&lt;&gt;""),'Atividades Micro'!$L413,"")</f>
        <v/>
      </c>
      <c r="C361" s="21" t="str">
        <f>IF(AND('Atividades Micro'!$A413=C$2,'Atividades Micro'!$K413&lt;&gt;""),'Atividades Micro'!$K413,"")</f>
        <v/>
      </c>
      <c r="D361" s="21" t="str">
        <f>IF(AND('Atividades Micro'!$A413=D$2,'Atividades Micro'!$L413&lt;&gt;""),'Atividades Micro'!$L413,"")</f>
        <v/>
      </c>
      <c r="E361" s="21" t="str">
        <f>IF(AND('Atividades Micro'!$A413=E$2,'Atividades Micro'!$K413&lt;&gt;""),'Atividades Micro'!$K413,"")</f>
        <v/>
      </c>
      <c r="F361" s="21" t="str">
        <f>IF(AND('Atividades Micro'!$A413=F$2,'Atividades Micro'!$L413&lt;&gt;""),'Atividades Micro'!$L413,"")</f>
        <v/>
      </c>
      <c r="G361" s="21" t="str">
        <f>IF(AND('Atividades Micro'!$A413=G$2,'Atividades Micro'!$K413&lt;&gt;""),'Atividades Micro'!$K413,"")</f>
        <v/>
      </c>
      <c r="H361" s="21" t="str">
        <f>IF(AND('Atividades Micro'!$A413=H$2,'Atividades Micro'!$L413&lt;&gt;""),'Atividades Micro'!$L413,"")</f>
        <v/>
      </c>
      <c r="I361" s="21" t="str">
        <f>IF(AND('Atividades Micro'!$A413=I$2,'Atividades Micro'!$K413&lt;&gt;""),'Atividades Micro'!$K413,"")</f>
        <v/>
      </c>
      <c r="J361" s="21" t="str">
        <f>IF(AND('Atividades Micro'!$A413=J$2,'Atividades Micro'!$L413&lt;&gt;""),'Atividades Micro'!$L413,"")</f>
        <v/>
      </c>
      <c r="K361" s="21" t="str">
        <f>IF(AND('Atividades Micro'!$B413=K$2,'Atividades Micro'!$K413&lt;&gt;""),'Atividades Micro'!$K413,"")</f>
        <v/>
      </c>
      <c r="L361" s="21" t="str">
        <f>IF(AND('Atividades Micro'!$B413=L$2,'Atividades Micro'!$L413&lt;&gt;""),'Atividades Micro'!$L413,"")</f>
        <v/>
      </c>
      <c r="M361" s="21" t="str">
        <f>IF(AND('Atividades Micro'!$B413=M$2,'Atividades Micro'!$K413&lt;&gt;""),'Atividades Micro'!$K413,"")</f>
        <v/>
      </c>
      <c r="N361" s="21" t="str">
        <f>IF(AND('Atividades Micro'!$B413=N$2,'Atividades Micro'!$L413&lt;&gt;""),'Atividades Micro'!$L413,"")</f>
        <v/>
      </c>
      <c r="O361" s="21" t="str">
        <f>IF(AND('Atividades Micro'!$A413=O$2,'Atividades Micro'!$K413&lt;&gt;""),'Atividades Micro'!$K413,"")</f>
        <v/>
      </c>
      <c r="P361" s="21" t="str">
        <f>IF(AND('Atividades Micro'!$A413=P$2,'Atividades Micro'!$L413&lt;&gt;""),'Atividades Micro'!$L413,"")</f>
        <v/>
      </c>
      <c r="Q361" s="21" t="str">
        <f>IF(AND('Atividades Micro'!$B413=Q$2,'Atividades Micro'!$K413&lt;&gt;""),'Atividades Micro'!$K413,"")</f>
        <v/>
      </c>
      <c r="R361" s="21" t="str">
        <f>IF(AND('Atividades Micro'!$B413=R$2,'Atividades Micro'!$L413&lt;&gt;""),'Atividades Micro'!$L413,"")</f>
        <v/>
      </c>
      <c r="S361" s="21" t="str">
        <f>IF(AND('Atividades Micro'!$A413=S$2,'Atividades Micro'!$K413&lt;&gt;""),'Atividades Micro'!$K413,"")</f>
        <v/>
      </c>
      <c r="T361" s="21" t="str">
        <f>IF(AND('Atividades Micro'!$A413=T$2,'Atividades Micro'!$L413&lt;&gt;""),'Atividades Micro'!$L413,"")</f>
        <v/>
      </c>
      <c r="U361" s="21" t="str">
        <f>IF(AND('Atividades Micro'!$B413=U$2,'Atividades Micro'!$K413&lt;&gt;""),'Atividades Micro'!$K413,"")</f>
        <v/>
      </c>
      <c r="V361" s="21" t="str">
        <f>IF(AND('Atividades Micro'!$B413=V$2,'Atividades Micro'!$L413&lt;&gt;""),'Atividades Micro'!$L413,"")</f>
        <v/>
      </c>
      <c r="W361" s="21" t="str">
        <f>IF(AND('Atividades Micro'!$B413=W$2,'Atividades Micro'!$K413&lt;&gt;""),'Atividades Micro'!$K413,"")</f>
        <v/>
      </c>
      <c r="X361" s="21" t="str">
        <f>IF(AND('Atividades Micro'!$B413=X$2,'Atividades Micro'!$L413&lt;&gt;""),'Atividades Micro'!$L413,"")</f>
        <v/>
      </c>
      <c r="Y361" s="21" t="str">
        <f>IF(AND('Atividades Micro'!$A413=Y$2,'Atividades Micro'!$K413&lt;&gt;""),'Atividades Micro'!$K413,"")</f>
        <v/>
      </c>
      <c r="Z361" s="21" t="str">
        <f>IF(AND('Atividades Micro'!$A413=Z$2,'Atividades Micro'!$L413&lt;&gt;""),'Atividades Micro'!$L413,"")</f>
        <v/>
      </c>
      <c r="AA361" s="21" t="str">
        <f>IF(AND('Atividades Micro'!$B413=AA$2,'Atividades Micro'!$K413&lt;&gt;""),'Atividades Micro'!$K413,"")</f>
        <v/>
      </c>
      <c r="AB361" s="21" t="str">
        <f>IF(AND('Atividades Micro'!$B413=AB$2,'Atividades Micro'!$L413&lt;&gt;""),'Atividades Micro'!$L413,"")</f>
        <v/>
      </c>
      <c r="AC361" s="21" t="str">
        <f>IF(AND('Atividades Micro'!$B413=AC$2,'Atividades Micro'!$K413&lt;&gt;""),'Atividades Micro'!$K413,"")</f>
        <v/>
      </c>
      <c r="AD361" s="21" t="str">
        <f>IF(AND('Atividades Micro'!$B413=AD$2,'Atividades Micro'!$L413&lt;&gt;""),'Atividades Micro'!$L413,"")</f>
        <v/>
      </c>
      <c r="AE361" s="21" t="str">
        <f>IF(AND('Atividades Micro'!$A413=AE$2,'Atividades Micro'!$K413&lt;&gt;""),'Atividades Micro'!$K413,"")</f>
        <v/>
      </c>
      <c r="AF361" s="21" t="str">
        <f>IF(AND('Atividades Micro'!$A413=AF$2,'Atividades Micro'!$L413&lt;&gt;""),'Atividades Micro'!$L413,"")</f>
        <v/>
      </c>
      <c r="AG361" s="21" t="str">
        <f>IF(AND('Atividades Micro'!$B413=AG$2,'Atividades Micro'!$K413&lt;&gt;""),'Atividades Micro'!$K413,"")</f>
        <v/>
      </c>
      <c r="AH361" s="21" t="str">
        <f>IF(AND('Atividades Micro'!$B413=AH$2,'Atividades Micro'!$L413&lt;&gt;""),'Atividades Micro'!$L413,"")</f>
        <v/>
      </c>
      <c r="AI361" s="21" t="str">
        <f>IF(AND('Atividades Micro'!$B413=AI$2,'Atividades Micro'!$K413&lt;&gt;""),'Atividades Micro'!$K413,"")</f>
        <v/>
      </c>
      <c r="AJ361" s="21" t="str">
        <f>IF(AND('Atividades Micro'!$B413=AJ$2,'Atividades Micro'!$L413&lt;&gt;""),'Atividades Micro'!$L413,"")</f>
        <v/>
      </c>
      <c r="AK361" s="21" t="str">
        <f>IF(AND('Atividades Micro'!$A413=AK$2,'Atividades Micro'!$K413&lt;&gt;""),'Atividades Micro'!$K413,"")</f>
        <v/>
      </c>
      <c r="AL361" s="21" t="str">
        <f>IF(AND('Atividades Micro'!$A413=AL$2,'Atividades Micro'!$L413&lt;&gt;""),'Atividades Micro'!$L413,"")</f>
        <v/>
      </c>
      <c r="AM361" s="21" t="str">
        <f>IF(AND('Atividades Micro'!$B413=AM$2,'Atividades Micro'!$K413&lt;&gt;""),'Atividades Micro'!$K413,"")</f>
        <v/>
      </c>
      <c r="AN361" s="21" t="str">
        <f>IF(AND('Atividades Micro'!$B413=AN$2,'Atividades Micro'!$L413&lt;&gt;""),'Atividades Micro'!$L413,"")</f>
        <v/>
      </c>
      <c r="AO361" s="21" t="str">
        <f>IF(AND('Atividades Micro'!$B413=AO$2,'Atividades Micro'!$K413&lt;&gt;""),'Atividades Micro'!$K413,"")</f>
        <v/>
      </c>
      <c r="AP361" s="21" t="str">
        <f>IF(AND('Atividades Micro'!$B413=AP$2,'Atividades Micro'!$L413&lt;&gt;""),'Atividades Micro'!$L413,"")</f>
        <v/>
      </c>
      <c r="AQ361" s="21" t="str">
        <f>IF(AND('Atividades Micro'!$A413=AQ$2,'Atividades Micro'!$K413&lt;&gt;""),'Atividades Micro'!$K413,"")</f>
        <v/>
      </c>
      <c r="AR361" s="21" t="str">
        <f>IF(AND('Atividades Micro'!$A413=AR$2,'Atividades Micro'!$L413&lt;&gt;""),'Atividades Micro'!$L413,"")</f>
        <v/>
      </c>
      <c r="AS361" s="21" t="str">
        <f>IF(AND('Atividades Micro'!$B413=AS$2,'Atividades Micro'!$K413&lt;&gt;""),'Atividades Micro'!$K413,"")</f>
        <v/>
      </c>
      <c r="AT361" s="21" t="str">
        <f>IF(AND('Atividades Micro'!$B413=AT$2,'Atividades Micro'!$L413&lt;&gt;""),'Atividades Micro'!$L413,"")</f>
        <v/>
      </c>
      <c r="AU361" s="21" t="str">
        <f>IF(AND('Atividades Micro'!$A413=AU$2,'Atividades Micro'!$K413&lt;&gt;""),'Atividades Micro'!$K413,"")</f>
        <v/>
      </c>
      <c r="AV361" s="21" t="str">
        <f>IF(AND('Atividades Micro'!$A413=AV$2,'Atividades Micro'!$L413&lt;&gt;""),'Atividades Micro'!$L413,"")</f>
        <v/>
      </c>
      <c r="AW361" s="21" t="str">
        <f>IF(AND('Atividades Micro'!$B413=AW$2,'Atividades Micro'!$K413&lt;&gt;""),'Atividades Micro'!$K413,"")</f>
        <v/>
      </c>
      <c r="AX361" s="21" t="str">
        <f>IF(AND('Atividades Micro'!$B413=AX$2,'Atividades Micro'!$L413&lt;&gt;""),'Atividades Micro'!$L413,"")</f>
        <v/>
      </c>
      <c r="AY361" s="21" t="str">
        <f>IF(AND('Atividades Micro'!$A413=AY$2,'Atividades Micro'!$K413&lt;&gt;""),'Atividades Micro'!$K413,"")</f>
        <v/>
      </c>
      <c r="AZ361" s="21" t="str">
        <f>IF(AND('Atividades Micro'!$A413=AZ$2,'Atividades Micro'!$L413&lt;&gt;""),'Atividades Micro'!$L413,"")</f>
        <v/>
      </c>
      <c r="BA361" s="21" t="str">
        <f>IF(AND('Atividades Micro'!$B413=BA$2,'Atividades Micro'!$K413&lt;&gt;""),'Atividades Micro'!$K413,"")</f>
        <v/>
      </c>
      <c r="BB361" s="21" t="str">
        <f>IF(AND('Atividades Micro'!$B413=BB$2,'Atividades Micro'!$L413&lt;&gt;""),'Atividades Micro'!$L413,"")</f>
        <v/>
      </c>
      <c r="BC361" s="21" t="str">
        <f>IF(AND('Atividades Micro'!$B413=BC$2,'Atividades Micro'!$G413="Macro",'Atividades Micro'!$K413&lt;&gt;""),'Atividades Micro'!$K413,"")</f>
        <v/>
      </c>
      <c r="BD361" s="21" t="str">
        <f>IF(AND('Atividades Micro'!$B413=BD$2,'Atividades Micro'!$G413="Macro",'Atividades Micro'!$K413&lt;&gt;""),'Atividades Micro'!$K413,"")</f>
        <v/>
      </c>
      <c r="BE361" s="21" t="str">
        <f>IF(AND('Atividades Micro'!$B413=BE$2,'Atividades Micro'!$G413="Macro",'Atividades Micro'!$K413&lt;&gt;""),'Atividades Micro'!$K413,"")</f>
        <v/>
      </c>
      <c r="BF361" s="21" t="str">
        <f>IF(AND('Atividades Micro'!$B413=BF$2,'Atividades Micro'!$G413="Macro",'Atividades Micro'!$K413&lt;&gt;""),'Atividades Micro'!$K413,"")</f>
        <v/>
      </c>
      <c r="BG361" s="21" t="str">
        <f>IF(AND('Atividades Micro'!$B413=BG$2,'Atividades Micro'!$G413="Macro",'Atividades Micro'!$K413&lt;&gt;""),'Atividades Micro'!$K413,"")</f>
        <v/>
      </c>
      <c r="BH361" s="21" t="str">
        <f>IF(AND('Atividades Micro'!$B413=BH$2,'Atividades Micro'!$G413="Macro",'Atividades Micro'!$K413&lt;&gt;""),'Atividades Micro'!$K413,"")</f>
        <v/>
      </c>
      <c r="BI361" s="21" t="str">
        <f>IF(AND('Atividades Micro'!$B413=BI$2,'Atividades Micro'!$G413="Macro",'Atividades Micro'!$K413&lt;&gt;""),'Atividades Micro'!$K413,"")</f>
        <v/>
      </c>
      <c r="BJ361" s="21" t="str">
        <f>IF(AND('Atividades Micro'!$B413=BJ$2,'Atividades Micro'!$G413="Macro",'Atividades Micro'!$K413&lt;&gt;""),'Atividades Micro'!$K413,"")</f>
        <v/>
      </c>
      <c r="BK361" s="21" t="str">
        <f>IF(AND('Atividades Micro'!$B413=BK$2,'Atividades Micro'!$G413="Macro",'Atividades Micro'!$K413&lt;&gt;""),'Atividades Micro'!$K413,"")</f>
        <v/>
      </c>
      <c r="BL361" s="21" t="str">
        <f>IF(AND('Atividades Micro'!$B413=BL$2,'Atividades Micro'!$G413="Macro",'Atividades Micro'!$K413&lt;&gt;""),'Atividades Micro'!$K413,"")</f>
        <v/>
      </c>
      <c r="BM361" s="21" t="str">
        <f>IF(AND('Atividades Micro'!$B413=BM$2,'Atividades Micro'!$G413="Macro",'Atividades Micro'!$K413&lt;&gt;""),'Atividades Micro'!$K413,"")</f>
        <v/>
      </c>
      <c r="BN361" s="21" t="str">
        <f>IF(AND('Atividades Micro'!$B413=BN$2,'Atividades Micro'!$G413="Macro",'Atividades Micro'!$K413&lt;&gt;""),'Atividades Micro'!$K413,"")</f>
        <v/>
      </c>
      <c r="BO361" s="21" t="str">
        <f>IF(AND('Atividades Micro'!$B413=BO$2,'Atividades Micro'!$G413="Macro",'Atividades Micro'!$K413&lt;&gt;""),'Atividades Micro'!$K413,"")</f>
        <v/>
      </c>
      <c r="BP361" s="21" t="str">
        <f>IF(AND('Atividades Micro'!$B413=BP$2,'Atividades Micro'!$G413="Macro",'Atividades Micro'!$K413&lt;&gt;""),'Atividades Micro'!$K413,"")</f>
        <v/>
      </c>
      <c r="BQ361" s="21" t="str">
        <f>IF(AND('Atividades Micro'!$B413=BQ$2,'Atividades Micro'!$G413="Macro",'Atividades Micro'!$K413&lt;&gt;""),'Atividades Micro'!$K413,"")</f>
        <v/>
      </c>
      <c r="BR361" s="21" t="str">
        <f>IF(AND('Atividades Micro'!$B413=BR$2,'Atividades Micro'!$G413="Macro",'Atividades Micro'!$K413&lt;&gt;""),'Atividades Micro'!$K413,"")</f>
        <v/>
      </c>
      <c r="BS361" s="21" t="str">
        <f>IF(AND('Atividades Micro'!$B413=BS$2,'Atividades Micro'!$G413="Macro",'Atividades Micro'!$K413&lt;&gt;""),'Atividades Micro'!$K413,"")</f>
        <v/>
      </c>
      <c r="BT361" s="21" t="str">
        <f>IF(AND('Atividades Micro'!$B413=BT$2,'Atividades Micro'!$G413="Macro",'Atividades Micro'!$K413&lt;&gt;""),'Atividades Micro'!$K413,"")</f>
        <v/>
      </c>
      <c r="BU361" s="21" t="str">
        <f>IF(AND('Atividades Micro'!$B413=BU$2,'Atividades Micro'!$G413="Macro",'Atividades Micro'!$K413&lt;&gt;""),'Atividades Micro'!$K413,"")</f>
        <v/>
      </c>
      <c r="BV361" s="21" t="str">
        <f>IF(AND('Atividades Micro'!$B413=BV$2,'Atividades Micro'!$G413="Macro",'Atividades Micro'!$K413&lt;&gt;""),'Atividades Micro'!$K413,"")</f>
        <v/>
      </c>
      <c r="BW361" s="21" t="str">
        <f>IF(AND('Atividades Micro'!$B413=BW$2,'Atividades Micro'!$G413="Macro",'Atividades Micro'!$K413&lt;&gt;""),'Atividades Micro'!$K413,"")</f>
        <v/>
      </c>
      <c r="BX361" s="21" t="str">
        <f>IF(AND('Atividades Micro'!$B413=BX$2,'Atividades Micro'!$G413="Macro",'Atividades Micro'!$K413&lt;&gt;""),'Atividades Micro'!$K413,"")</f>
        <v/>
      </c>
      <c r="BY361" s="21" t="str">
        <f>IF(AND('Atividades Micro'!$B413=BY$2,'Atividades Micro'!$G413="Macro",'Atividades Micro'!$K413&lt;&gt;""),'Atividades Micro'!$K413,"")</f>
        <v/>
      </c>
      <c r="BZ361" s="21" t="str">
        <f>IF(AND('Atividades Micro'!$B413=BZ$2,'Atividades Micro'!$G413="Macro",'Atividades Micro'!$K413&lt;&gt;""),'Atividades Micro'!$K413,"")</f>
        <v/>
      </c>
      <c r="CA361" s="21" t="str">
        <f>IF(AND('Atividades Micro'!$B413=CA$2,'Atividades Micro'!$G413="Macro",'Atividades Micro'!$K413&lt;&gt;""),'Atividades Micro'!$K413,"")</f>
        <v/>
      </c>
      <c r="CB361" s="21" t="str">
        <f>IF(AND('Atividades Micro'!$B413=CB$2,'Atividades Micro'!$G413="Macro",'Atividades Micro'!$K413&lt;&gt;""),'Atividades Micro'!$K413,"")</f>
        <v/>
      </c>
      <c r="CC361" s="21" t="str">
        <f>IF(AND('Atividades Micro'!$B413=CC$2,'Atividades Micro'!$G413="Macro",'Atividades Micro'!$K413&lt;&gt;""),'Atividades Micro'!$K413,"")</f>
        <v/>
      </c>
      <c r="CD361" s="21" t="str">
        <f>IF(AND('Atividades Micro'!$B413=CD$2,'Atividades Micro'!$G413="Micro",'Atividades Micro'!$K413&lt;&gt;""),'Atividades Micro'!$K413,"")</f>
        <v/>
      </c>
      <c r="CE361" s="21" t="str">
        <f>IF(AND('Atividades Micro'!$B413=CE$2,'Atividades Micro'!$G413="Micro",'Atividades Micro'!$K413&lt;&gt;""),'Atividades Micro'!$K413,"")</f>
        <v/>
      </c>
      <c r="CF361" s="21" t="str">
        <f>IF(AND('Atividades Micro'!$B413=CF$2,'Atividades Micro'!$G413="Micro",'Atividades Micro'!$K413&lt;&gt;""),'Atividades Micro'!$K413,"")</f>
        <v/>
      </c>
      <c r="CG361" s="21" t="str">
        <f>IF(AND('Atividades Micro'!$B413=CG$2,'Atividades Micro'!$G413="Micro",'Atividades Micro'!$K413&lt;&gt;""),'Atividades Micro'!$K413,"")</f>
        <v/>
      </c>
      <c r="CH361" s="21" t="str">
        <f>IF(AND('Atividades Micro'!$B413=CH$2,'Atividades Micro'!$G413="Micro",'Atividades Micro'!$K413&lt;&gt;""),'Atividades Micro'!$K413,"")</f>
        <v/>
      </c>
      <c r="CI361" s="21" t="str">
        <f>IF(AND('Atividades Micro'!$B413=CI$2,'Atividades Micro'!$G413="Micro",'Atividades Micro'!$K413&lt;&gt;""),'Atividades Micro'!$K413,"")</f>
        <v/>
      </c>
      <c r="CJ361" s="21" t="str">
        <f>IF(AND('Atividades Micro'!$B413=CJ$2,'Atividades Micro'!$G413="Micro",'Atividades Micro'!$K413&lt;&gt;""),'Atividades Micro'!$K413,"")</f>
        <v/>
      </c>
      <c r="CK361" s="21" t="str">
        <f>IF(AND('Atividades Micro'!$B413=CK$2,'Atividades Micro'!$G413="Micro",'Atividades Micro'!$K413&lt;&gt;""),'Atividades Micro'!$K413,"")</f>
        <v/>
      </c>
      <c r="CL361" s="21" t="str">
        <f>IF(AND('Atividades Micro'!$B413=CL$2,'Atividades Micro'!$G413="Micro",'Atividades Micro'!$K413&lt;&gt;""),'Atividades Micro'!$K413,"")</f>
        <v/>
      </c>
      <c r="CM361" s="21" t="str">
        <f>IF(AND('Atividades Micro'!$B413=CM$2,'Atividades Micro'!$G413="Micro",'Atividades Micro'!$K413&lt;&gt;""),'Atividades Micro'!$K413,"")</f>
        <v/>
      </c>
      <c r="CN361" s="21" t="str">
        <f>IF(AND('Atividades Micro'!$B413=CN$2,'Atividades Micro'!$G413="Micro",'Atividades Micro'!$K413&lt;&gt;""),'Atividades Micro'!$K413,"")</f>
        <v/>
      </c>
      <c r="CO361" s="21" t="str">
        <f>IF(AND('Atividades Micro'!$B413=CO$2,'Atividades Micro'!$G413="Micro",'Atividades Micro'!$K413&lt;&gt;""),'Atividades Micro'!$K413,"")</f>
        <v/>
      </c>
    </row>
    <row r="362" spans="1:93">
      <c r="A362" s="21" t="str">
        <f>IF(AND('Atividades Micro'!$A414=A$2,'Atividades Micro'!$K414&lt;&gt;""),'Atividades Micro'!$K414,"")</f>
        <v/>
      </c>
      <c r="B362" s="21" t="str">
        <f>IF(AND('Atividades Micro'!$A414=B$2,'Atividades Micro'!$L414&lt;&gt;""),'Atividades Micro'!$L414,"")</f>
        <v/>
      </c>
      <c r="C362" s="21" t="str">
        <f>IF(AND('Atividades Micro'!$A414=C$2,'Atividades Micro'!$K414&lt;&gt;""),'Atividades Micro'!$K414,"")</f>
        <v/>
      </c>
      <c r="D362" s="21" t="str">
        <f>IF(AND('Atividades Micro'!$A414=D$2,'Atividades Micro'!$L414&lt;&gt;""),'Atividades Micro'!$L414,"")</f>
        <v/>
      </c>
      <c r="E362" s="21" t="str">
        <f>IF(AND('Atividades Micro'!$A414=E$2,'Atividades Micro'!$K414&lt;&gt;""),'Atividades Micro'!$K414,"")</f>
        <v/>
      </c>
      <c r="F362" s="21" t="str">
        <f>IF(AND('Atividades Micro'!$A414=F$2,'Atividades Micro'!$L414&lt;&gt;""),'Atividades Micro'!$L414,"")</f>
        <v/>
      </c>
      <c r="G362" s="21" t="str">
        <f>IF(AND('Atividades Micro'!$A414=G$2,'Atividades Micro'!$K414&lt;&gt;""),'Atividades Micro'!$K414,"")</f>
        <v/>
      </c>
      <c r="H362" s="21" t="str">
        <f>IF(AND('Atividades Micro'!$A414=H$2,'Atividades Micro'!$L414&lt;&gt;""),'Atividades Micro'!$L414,"")</f>
        <v/>
      </c>
      <c r="I362" s="21" t="str">
        <f>IF(AND('Atividades Micro'!$A414=I$2,'Atividades Micro'!$K414&lt;&gt;""),'Atividades Micro'!$K414,"")</f>
        <v/>
      </c>
      <c r="J362" s="21" t="str">
        <f>IF(AND('Atividades Micro'!$A414=J$2,'Atividades Micro'!$L414&lt;&gt;""),'Atividades Micro'!$L414,"")</f>
        <v/>
      </c>
      <c r="K362" s="21" t="str">
        <f>IF(AND('Atividades Micro'!$B414=K$2,'Atividades Micro'!$K414&lt;&gt;""),'Atividades Micro'!$K414,"")</f>
        <v/>
      </c>
      <c r="L362" s="21" t="str">
        <f>IF(AND('Atividades Micro'!$B414=L$2,'Atividades Micro'!$L414&lt;&gt;""),'Atividades Micro'!$L414,"")</f>
        <v/>
      </c>
      <c r="M362" s="21" t="str">
        <f>IF(AND('Atividades Micro'!$B414=M$2,'Atividades Micro'!$K414&lt;&gt;""),'Atividades Micro'!$K414,"")</f>
        <v/>
      </c>
      <c r="N362" s="21" t="str">
        <f>IF(AND('Atividades Micro'!$B414=N$2,'Atividades Micro'!$L414&lt;&gt;""),'Atividades Micro'!$L414,"")</f>
        <v/>
      </c>
      <c r="O362" s="21" t="str">
        <f>IF(AND('Atividades Micro'!$A414=O$2,'Atividades Micro'!$K414&lt;&gt;""),'Atividades Micro'!$K414,"")</f>
        <v/>
      </c>
      <c r="P362" s="21" t="str">
        <f>IF(AND('Atividades Micro'!$A414=P$2,'Atividades Micro'!$L414&lt;&gt;""),'Atividades Micro'!$L414,"")</f>
        <v/>
      </c>
      <c r="Q362" s="21" t="str">
        <f>IF(AND('Atividades Micro'!$B414=Q$2,'Atividades Micro'!$K414&lt;&gt;""),'Atividades Micro'!$K414,"")</f>
        <v/>
      </c>
      <c r="R362" s="21" t="str">
        <f>IF(AND('Atividades Micro'!$B414=R$2,'Atividades Micro'!$L414&lt;&gt;""),'Atividades Micro'!$L414,"")</f>
        <v/>
      </c>
      <c r="S362" s="21" t="str">
        <f>IF(AND('Atividades Micro'!$A414=S$2,'Atividades Micro'!$K414&lt;&gt;""),'Atividades Micro'!$K414,"")</f>
        <v/>
      </c>
      <c r="T362" s="21" t="str">
        <f>IF(AND('Atividades Micro'!$A414=T$2,'Atividades Micro'!$L414&lt;&gt;""),'Atividades Micro'!$L414,"")</f>
        <v/>
      </c>
      <c r="U362" s="21" t="str">
        <f>IF(AND('Atividades Micro'!$B414=U$2,'Atividades Micro'!$K414&lt;&gt;""),'Atividades Micro'!$K414,"")</f>
        <v/>
      </c>
      <c r="V362" s="21" t="str">
        <f>IF(AND('Atividades Micro'!$B414=V$2,'Atividades Micro'!$L414&lt;&gt;""),'Atividades Micro'!$L414,"")</f>
        <v/>
      </c>
      <c r="W362" s="21" t="str">
        <f>IF(AND('Atividades Micro'!$B414=W$2,'Atividades Micro'!$K414&lt;&gt;""),'Atividades Micro'!$K414,"")</f>
        <v/>
      </c>
      <c r="X362" s="21" t="str">
        <f>IF(AND('Atividades Micro'!$B414=X$2,'Atividades Micro'!$L414&lt;&gt;""),'Atividades Micro'!$L414,"")</f>
        <v/>
      </c>
      <c r="Y362" s="21" t="str">
        <f>IF(AND('Atividades Micro'!$A414=Y$2,'Atividades Micro'!$K414&lt;&gt;""),'Atividades Micro'!$K414,"")</f>
        <v/>
      </c>
      <c r="Z362" s="21" t="str">
        <f>IF(AND('Atividades Micro'!$A414=Z$2,'Atividades Micro'!$L414&lt;&gt;""),'Atividades Micro'!$L414,"")</f>
        <v/>
      </c>
      <c r="AA362" s="21" t="str">
        <f>IF(AND('Atividades Micro'!$B414=AA$2,'Atividades Micro'!$K414&lt;&gt;""),'Atividades Micro'!$K414,"")</f>
        <v/>
      </c>
      <c r="AB362" s="21" t="str">
        <f>IF(AND('Atividades Micro'!$B414=AB$2,'Atividades Micro'!$L414&lt;&gt;""),'Atividades Micro'!$L414,"")</f>
        <v/>
      </c>
      <c r="AC362" s="21" t="str">
        <f>IF(AND('Atividades Micro'!$B414=AC$2,'Atividades Micro'!$K414&lt;&gt;""),'Atividades Micro'!$K414,"")</f>
        <v/>
      </c>
      <c r="AD362" s="21" t="str">
        <f>IF(AND('Atividades Micro'!$B414=AD$2,'Atividades Micro'!$L414&lt;&gt;""),'Atividades Micro'!$L414,"")</f>
        <v/>
      </c>
      <c r="AE362" s="21" t="str">
        <f>IF(AND('Atividades Micro'!$A414=AE$2,'Atividades Micro'!$K414&lt;&gt;""),'Atividades Micro'!$K414,"")</f>
        <v/>
      </c>
      <c r="AF362" s="21" t="str">
        <f>IF(AND('Atividades Micro'!$A414=AF$2,'Atividades Micro'!$L414&lt;&gt;""),'Atividades Micro'!$L414,"")</f>
        <v/>
      </c>
      <c r="AG362" s="21" t="str">
        <f>IF(AND('Atividades Micro'!$B414=AG$2,'Atividades Micro'!$K414&lt;&gt;""),'Atividades Micro'!$K414,"")</f>
        <v/>
      </c>
      <c r="AH362" s="21" t="str">
        <f>IF(AND('Atividades Micro'!$B414=AH$2,'Atividades Micro'!$L414&lt;&gt;""),'Atividades Micro'!$L414,"")</f>
        <v/>
      </c>
      <c r="AI362" s="21" t="str">
        <f>IF(AND('Atividades Micro'!$B414=AI$2,'Atividades Micro'!$K414&lt;&gt;""),'Atividades Micro'!$K414,"")</f>
        <v/>
      </c>
      <c r="AJ362" s="21" t="str">
        <f>IF(AND('Atividades Micro'!$B414=AJ$2,'Atividades Micro'!$L414&lt;&gt;""),'Atividades Micro'!$L414,"")</f>
        <v/>
      </c>
      <c r="AK362" s="21" t="str">
        <f>IF(AND('Atividades Micro'!$A414=AK$2,'Atividades Micro'!$K414&lt;&gt;""),'Atividades Micro'!$K414,"")</f>
        <v/>
      </c>
      <c r="AL362" s="21" t="str">
        <f>IF(AND('Atividades Micro'!$A414=AL$2,'Atividades Micro'!$L414&lt;&gt;""),'Atividades Micro'!$L414,"")</f>
        <v/>
      </c>
      <c r="AM362" s="21" t="str">
        <f>IF(AND('Atividades Micro'!$B414=AM$2,'Atividades Micro'!$K414&lt;&gt;""),'Atividades Micro'!$K414,"")</f>
        <v/>
      </c>
      <c r="AN362" s="21" t="str">
        <f>IF(AND('Atividades Micro'!$B414=AN$2,'Atividades Micro'!$L414&lt;&gt;""),'Atividades Micro'!$L414,"")</f>
        <v/>
      </c>
      <c r="AO362" s="21" t="str">
        <f>IF(AND('Atividades Micro'!$B414=AO$2,'Atividades Micro'!$K414&lt;&gt;""),'Atividades Micro'!$K414,"")</f>
        <v/>
      </c>
      <c r="AP362" s="21" t="str">
        <f>IF(AND('Atividades Micro'!$B414=AP$2,'Atividades Micro'!$L414&lt;&gt;""),'Atividades Micro'!$L414,"")</f>
        <v/>
      </c>
      <c r="AQ362" s="21" t="str">
        <f>IF(AND('Atividades Micro'!$A414=AQ$2,'Atividades Micro'!$K414&lt;&gt;""),'Atividades Micro'!$K414,"")</f>
        <v/>
      </c>
      <c r="AR362" s="21" t="str">
        <f>IF(AND('Atividades Micro'!$A414=AR$2,'Atividades Micro'!$L414&lt;&gt;""),'Atividades Micro'!$L414,"")</f>
        <v/>
      </c>
      <c r="AS362" s="21" t="str">
        <f>IF(AND('Atividades Micro'!$B414=AS$2,'Atividades Micro'!$K414&lt;&gt;""),'Atividades Micro'!$K414,"")</f>
        <v/>
      </c>
      <c r="AT362" s="21" t="str">
        <f>IF(AND('Atividades Micro'!$B414=AT$2,'Atividades Micro'!$L414&lt;&gt;""),'Atividades Micro'!$L414,"")</f>
        <v/>
      </c>
      <c r="AU362" s="21" t="str">
        <f>IF(AND('Atividades Micro'!$A414=AU$2,'Atividades Micro'!$K414&lt;&gt;""),'Atividades Micro'!$K414,"")</f>
        <v/>
      </c>
      <c r="AV362" s="21" t="str">
        <f>IF(AND('Atividades Micro'!$A414=AV$2,'Atividades Micro'!$L414&lt;&gt;""),'Atividades Micro'!$L414,"")</f>
        <v/>
      </c>
      <c r="AW362" s="21" t="str">
        <f>IF(AND('Atividades Micro'!$B414=AW$2,'Atividades Micro'!$K414&lt;&gt;""),'Atividades Micro'!$K414,"")</f>
        <v/>
      </c>
      <c r="AX362" s="21" t="str">
        <f>IF(AND('Atividades Micro'!$B414=AX$2,'Atividades Micro'!$L414&lt;&gt;""),'Atividades Micro'!$L414,"")</f>
        <v/>
      </c>
      <c r="AY362" s="21" t="str">
        <f>IF(AND('Atividades Micro'!$A414=AY$2,'Atividades Micro'!$K414&lt;&gt;""),'Atividades Micro'!$K414,"")</f>
        <v/>
      </c>
      <c r="AZ362" s="21" t="str">
        <f>IF(AND('Atividades Micro'!$A414=AZ$2,'Atividades Micro'!$L414&lt;&gt;""),'Atividades Micro'!$L414,"")</f>
        <v/>
      </c>
      <c r="BA362" s="21" t="str">
        <f>IF(AND('Atividades Micro'!$B414=BA$2,'Atividades Micro'!$K414&lt;&gt;""),'Atividades Micro'!$K414,"")</f>
        <v/>
      </c>
      <c r="BB362" s="21" t="str">
        <f>IF(AND('Atividades Micro'!$B414=BB$2,'Atividades Micro'!$L414&lt;&gt;""),'Atividades Micro'!$L414,"")</f>
        <v/>
      </c>
      <c r="BC362" s="21" t="str">
        <f>IF(AND('Atividades Micro'!$B414=BC$2,'Atividades Micro'!$G414="Macro",'Atividades Micro'!$K414&lt;&gt;""),'Atividades Micro'!$K414,"")</f>
        <v/>
      </c>
      <c r="BD362" s="21" t="str">
        <f>IF(AND('Atividades Micro'!$B414=BD$2,'Atividades Micro'!$G414="Macro",'Atividades Micro'!$K414&lt;&gt;""),'Atividades Micro'!$K414,"")</f>
        <v/>
      </c>
      <c r="BE362" s="21" t="str">
        <f>IF(AND('Atividades Micro'!$B414=BE$2,'Atividades Micro'!$G414="Macro",'Atividades Micro'!$K414&lt;&gt;""),'Atividades Micro'!$K414,"")</f>
        <v/>
      </c>
      <c r="BF362" s="21" t="str">
        <f>IF(AND('Atividades Micro'!$B414=BF$2,'Atividades Micro'!$G414="Macro",'Atividades Micro'!$K414&lt;&gt;""),'Atividades Micro'!$K414,"")</f>
        <v/>
      </c>
      <c r="BG362" s="21" t="str">
        <f>IF(AND('Atividades Micro'!$B414=BG$2,'Atividades Micro'!$G414="Macro",'Atividades Micro'!$K414&lt;&gt;""),'Atividades Micro'!$K414,"")</f>
        <v/>
      </c>
      <c r="BH362" s="21" t="str">
        <f>IF(AND('Atividades Micro'!$B414=BH$2,'Atividades Micro'!$G414="Macro",'Atividades Micro'!$K414&lt;&gt;""),'Atividades Micro'!$K414,"")</f>
        <v/>
      </c>
      <c r="BI362" s="21" t="str">
        <f>IF(AND('Atividades Micro'!$B414=BI$2,'Atividades Micro'!$G414="Macro",'Atividades Micro'!$K414&lt;&gt;""),'Atividades Micro'!$K414,"")</f>
        <v/>
      </c>
      <c r="BJ362" s="21" t="str">
        <f>IF(AND('Atividades Micro'!$B414=BJ$2,'Atividades Micro'!$G414="Macro",'Atividades Micro'!$K414&lt;&gt;""),'Atividades Micro'!$K414,"")</f>
        <v/>
      </c>
      <c r="BK362" s="21" t="str">
        <f>IF(AND('Atividades Micro'!$B414=BK$2,'Atividades Micro'!$G414="Macro",'Atividades Micro'!$K414&lt;&gt;""),'Atividades Micro'!$K414,"")</f>
        <v/>
      </c>
      <c r="BL362" s="21" t="str">
        <f>IF(AND('Atividades Micro'!$B414=BL$2,'Atividades Micro'!$G414="Macro",'Atividades Micro'!$K414&lt;&gt;""),'Atividades Micro'!$K414,"")</f>
        <v/>
      </c>
      <c r="BM362" s="21" t="str">
        <f>IF(AND('Atividades Micro'!$B414=BM$2,'Atividades Micro'!$G414="Macro",'Atividades Micro'!$K414&lt;&gt;""),'Atividades Micro'!$K414,"")</f>
        <v/>
      </c>
      <c r="BN362" s="21" t="str">
        <f>IF(AND('Atividades Micro'!$B414=BN$2,'Atividades Micro'!$G414="Macro",'Atividades Micro'!$K414&lt;&gt;""),'Atividades Micro'!$K414,"")</f>
        <v/>
      </c>
      <c r="BO362" s="21" t="str">
        <f>IF(AND('Atividades Micro'!$B414=BO$2,'Atividades Micro'!$G414="Macro",'Atividades Micro'!$K414&lt;&gt;""),'Atividades Micro'!$K414,"")</f>
        <v/>
      </c>
      <c r="BP362" s="21" t="str">
        <f>IF(AND('Atividades Micro'!$B414=BP$2,'Atividades Micro'!$G414="Macro",'Atividades Micro'!$K414&lt;&gt;""),'Atividades Micro'!$K414,"")</f>
        <v/>
      </c>
      <c r="BQ362" s="21" t="str">
        <f>IF(AND('Atividades Micro'!$B414=BQ$2,'Atividades Micro'!$G414="Macro",'Atividades Micro'!$K414&lt;&gt;""),'Atividades Micro'!$K414,"")</f>
        <v/>
      </c>
      <c r="BR362" s="21" t="str">
        <f>IF(AND('Atividades Micro'!$B414=BR$2,'Atividades Micro'!$G414="Macro",'Atividades Micro'!$K414&lt;&gt;""),'Atividades Micro'!$K414,"")</f>
        <v/>
      </c>
      <c r="BS362" s="21" t="str">
        <f>IF(AND('Atividades Micro'!$B414=BS$2,'Atividades Micro'!$G414="Macro",'Atividades Micro'!$K414&lt;&gt;""),'Atividades Micro'!$K414,"")</f>
        <v/>
      </c>
      <c r="BT362" s="21" t="str">
        <f>IF(AND('Atividades Micro'!$B414=BT$2,'Atividades Micro'!$G414="Macro",'Atividades Micro'!$K414&lt;&gt;""),'Atividades Micro'!$K414,"")</f>
        <v/>
      </c>
      <c r="BU362" s="21" t="str">
        <f>IF(AND('Atividades Micro'!$B414=BU$2,'Atividades Micro'!$G414="Macro",'Atividades Micro'!$K414&lt;&gt;""),'Atividades Micro'!$K414,"")</f>
        <v/>
      </c>
      <c r="BV362" s="21" t="str">
        <f>IF(AND('Atividades Micro'!$B414=BV$2,'Atividades Micro'!$G414="Macro",'Atividades Micro'!$K414&lt;&gt;""),'Atividades Micro'!$K414,"")</f>
        <v/>
      </c>
      <c r="BW362" s="21" t="str">
        <f>IF(AND('Atividades Micro'!$B414=BW$2,'Atividades Micro'!$G414="Macro",'Atividades Micro'!$K414&lt;&gt;""),'Atividades Micro'!$K414,"")</f>
        <v/>
      </c>
      <c r="BX362" s="21" t="str">
        <f>IF(AND('Atividades Micro'!$B414=BX$2,'Atividades Micro'!$G414="Macro",'Atividades Micro'!$K414&lt;&gt;""),'Atividades Micro'!$K414,"")</f>
        <v/>
      </c>
      <c r="BY362" s="21" t="str">
        <f>IF(AND('Atividades Micro'!$B414=BY$2,'Atividades Micro'!$G414="Macro",'Atividades Micro'!$K414&lt;&gt;""),'Atividades Micro'!$K414,"")</f>
        <v/>
      </c>
      <c r="BZ362" s="21" t="str">
        <f>IF(AND('Atividades Micro'!$B414=BZ$2,'Atividades Micro'!$G414="Macro",'Atividades Micro'!$K414&lt;&gt;""),'Atividades Micro'!$K414,"")</f>
        <v/>
      </c>
      <c r="CA362" s="21" t="str">
        <f>IF(AND('Atividades Micro'!$B414=CA$2,'Atividades Micro'!$G414="Macro",'Atividades Micro'!$K414&lt;&gt;""),'Atividades Micro'!$K414,"")</f>
        <v/>
      </c>
      <c r="CB362" s="21" t="str">
        <f>IF(AND('Atividades Micro'!$B414=CB$2,'Atividades Micro'!$G414="Macro",'Atividades Micro'!$K414&lt;&gt;""),'Atividades Micro'!$K414,"")</f>
        <v/>
      </c>
      <c r="CC362" s="21" t="str">
        <f>IF(AND('Atividades Micro'!$B414=CC$2,'Atividades Micro'!$G414="Macro",'Atividades Micro'!$K414&lt;&gt;""),'Atividades Micro'!$K414,"")</f>
        <v/>
      </c>
      <c r="CD362" s="21" t="str">
        <f>IF(AND('Atividades Micro'!$B414=CD$2,'Atividades Micro'!$G414="Micro",'Atividades Micro'!$K414&lt;&gt;""),'Atividades Micro'!$K414,"")</f>
        <v/>
      </c>
      <c r="CE362" s="21" t="str">
        <f>IF(AND('Atividades Micro'!$B414=CE$2,'Atividades Micro'!$G414="Micro",'Atividades Micro'!$K414&lt;&gt;""),'Atividades Micro'!$K414,"")</f>
        <v/>
      </c>
      <c r="CF362" s="21" t="str">
        <f>IF(AND('Atividades Micro'!$B414=CF$2,'Atividades Micro'!$G414="Micro",'Atividades Micro'!$K414&lt;&gt;""),'Atividades Micro'!$K414,"")</f>
        <v/>
      </c>
      <c r="CG362" s="21" t="str">
        <f>IF(AND('Atividades Micro'!$B414=CG$2,'Atividades Micro'!$G414="Micro",'Atividades Micro'!$K414&lt;&gt;""),'Atividades Micro'!$K414,"")</f>
        <v/>
      </c>
      <c r="CH362" s="21" t="str">
        <f>IF(AND('Atividades Micro'!$B414=CH$2,'Atividades Micro'!$G414="Micro",'Atividades Micro'!$K414&lt;&gt;""),'Atividades Micro'!$K414,"")</f>
        <v/>
      </c>
      <c r="CI362" s="21" t="str">
        <f>IF(AND('Atividades Micro'!$B414=CI$2,'Atividades Micro'!$G414="Micro",'Atividades Micro'!$K414&lt;&gt;""),'Atividades Micro'!$K414,"")</f>
        <v/>
      </c>
      <c r="CJ362" s="21" t="str">
        <f>IF(AND('Atividades Micro'!$B414=CJ$2,'Atividades Micro'!$G414="Micro",'Atividades Micro'!$K414&lt;&gt;""),'Atividades Micro'!$K414,"")</f>
        <v/>
      </c>
      <c r="CK362" s="21" t="str">
        <f>IF(AND('Atividades Micro'!$B414=CK$2,'Atividades Micro'!$G414="Micro",'Atividades Micro'!$K414&lt;&gt;""),'Atividades Micro'!$K414,"")</f>
        <v/>
      </c>
      <c r="CL362" s="21" t="str">
        <f>IF(AND('Atividades Micro'!$B414=CL$2,'Atividades Micro'!$G414="Micro",'Atividades Micro'!$K414&lt;&gt;""),'Atividades Micro'!$K414,"")</f>
        <v/>
      </c>
      <c r="CM362" s="21" t="str">
        <f>IF(AND('Atividades Micro'!$B414=CM$2,'Atividades Micro'!$G414="Micro",'Atividades Micro'!$K414&lt;&gt;""),'Atividades Micro'!$K414,"")</f>
        <v/>
      </c>
      <c r="CN362" s="21" t="str">
        <f>IF(AND('Atividades Micro'!$B414=CN$2,'Atividades Micro'!$G414="Micro",'Atividades Micro'!$K414&lt;&gt;""),'Atividades Micro'!$K414,"")</f>
        <v/>
      </c>
      <c r="CO362" s="21" t="str">
        <f>IF(AND('Atividades Micro'!$B414=CO$2,'Atividades Micro'!$G414="Micro",'Atividades Micro'!$K414&lt;&gt;""),'Atividades Micro'!$K414,"")</f>
        <v/>
      </c>
    </row>
    <row r="363" spans="1:93">
      <c r="A363" s="21" t="str">
        <f>IF(AND('Atividades Micro'!$A415=A$2,'Atividades Micro'!$K415&lt;&gt;""),'Atividades Micro'!$K415,"")</f>
        <v/>
      </c>
      <c r="B363" s="21" t="str">
        <f>IF(AND('Atividades Micro'!$A415=B$2,'Atividades Micro'!$L415&lt;&gt;""),'Atividades Micro'!$L415,"")</f>
        <v/>
      </c>
      <c r="C363" s="21" t="str">
        <f>IF(AND('Atividades Micro'!$A415=C$2,'Atividades Micro'!$K415&lt;&gt;""),'Atividades Micro'!$K415,"")</f>
        <v/>
      </c>
      <c r="D363" s="21" t="str">
        <f>IF(AND('Atividades Micro'!$A415=D$2,'Atividades Micro'!$L415&lt;&gt;""),'Atividades Micro'!$L415,"")</f>
        <v/>
      </c>
      <c r="E363" s="21" t="str">
        <f>IF(AND('Atividades Micro'!$A415=E$2,'Atividades Micro'!$K415&lt;&gt;""),'Atividades Micro'!$K415,"")</f>
        <v/>
      </c>
      <c r="F363" s="21" t="str">
        <f>IF(AND('Atividades Micro'!$A415=F$2,'Atividades Micro'!$L415&lt;&gt;""),'Atividades Micro'!$L415,"")</f>
        <v/>
      </c>
      <c r="G363" s="21" t="str">
        <f>IF(AND('Atividades Micro'!$A415=G$2,'Atividades Micro'!$K415&lt;&gt;""),'Atividades Micro'!$K415,"")</f>
        <v/>
      </c>
      <c r="H363" s="21" t="str">
        <f>IF(AND('Atividades Micro'!$A415=H$2,'Atividades Micro'!$L415&lt;&gt;""),'Atividades Micro'!$L415,"")</f>
        <v/>
      </c>
      <c r="I363" s="21" t="str">
        <f>IF(AND('Atividades Micro'!$A415=I$2,'Atividades Micro'!$K415&lt;&gt;""),'Atividades Micro'!$K415,"")</f>
        <v/>
      </c>
      <c r="J363" s="21" t="str">
        <f>IF(AND('Atividades Micro'!$A415=J$2,'Atividades Micro'!$L415&lt;&gt;""),'Atividades Micro'!$L415,"")</f>
        <v/>
      </c>
      <c r="K363" s="21" t="str">
        <f>IF(AND('Atividades Micro'!$B415=K$2,'Atividades Micro'!$K415&lt;&gt;""),'Atividades Micro'!$K415,"")</f>
        <v/>
      </c>
      <c r="L363" s="21" t="str">
        <f>IF(AND('Atividades Micro'!$B415=L$2,'Atividades Micro'!$L415&lt;&gt;""),'Atividades Micro'!$L415,"")</f>
        <v/>
      </c>
      <c r="M363" s="21" t="str">
        <f>IF(AND('Atividades Micro'!$B415=M$2,'Atividades Micro'!$K415&lt;&gt;""),'Atividades Micro'!$K415,"")</f>
        <v/>
      </c>
      <c r="N363" s="21" t="str">
        <f>IF(AND('Atividades Micro'!$B415=N$2,'Atividades Micro'!$L415&lt;&gt;""),'Atividades Micro'!$L415,"")</f>
        <v/>
      </c>
      <c r="O363" s="21" t="str">
        <f>IF(AND('Atividades Micro'!$A415=O$2,'Atividades Micro'!$K415&lt;&gt;""),'Atividades Micro'!$K415,"")</f>
        <v/>
      </c>
      <c r="P363" s="21" t="str">
        <f>IF(AND('Atividades Micro'!$A415=P$2,'Atividades Micro'!$L415&lt;&gt;""),'Atividades Micro'!$L415,"")</f>
        <v/>
      </c>
      <c r="Q363" s="21" t="str">
        <f>IF(AND('Atividades Micro'!$B415=Q$2,'Atividades Micro'!$K415&lt;&gt;""),'Atividades Micro'!$K415,"")</f>
        <v/>
      </c>
      <c r="R363" s="21" t="str">
        <f>IF(AND('Atividades Micro'!$B415=R$2,'Atividades Micro'!$L415&lt;&gt;""),'Atividades Micro'!$L415,"")</f>
        <v/>
      </c>
      <c r="S363" s="21" t="str">
        <f>IF(AND('Atividades Micro'!$A415=S$2,'Atividades Micro'!$K415&lt;&gt;""),'Atividades Micro'!$K415,"")</f>
        <v/>
      </c>
      <c r="T363" s="21" t="str">
        <f>IF(AND('Atividades Micro'!$A415=T$2,'Atividades Micro'!$L415&lt;&gt;""),'Atividades Micro'!$L415,"")</f>
        <v/>
      </c>
      <c r="U363" s="21" t="str">
        <f>IF(AND('Atividades Micro'!$B415=U$2,'Atividades Micro'!$K415&lt;&gt;""),'Atividades Micro'!$K415,"")</f>
        <v/>
      </c>
      <c r="V363" s="21" t="str">
        <f>IF(AND('Atividades Micro'!$B415=V$2,'Atividades Micro'!$L415&lt;&gt;""),'Atividades Micro'!$L415,"")</f>
        <v/>
      </c>
      <c r="W363" s="21" t="str">
        <f>IF(AND('Atividades Micro'!$B415=W$2,'Atividades Micro'!$K415&lt;&gt;""),'Atividades Micro'!$K415,"")</f>
        <v/>
      </c>
      <c r="X363" s="21" t="str">
        <f>IF(AND('Atividades Micro'!$B415=X$2,'Atividades Micro'!$L415&lt;&gt;""),'Atividades Micro'!$L415,"")</f>
        <v/>
      </c>
      <c r="Y363" s="21" t="str">
        <f>IF(AND('Atividades Micro'!$A415=Y$2,'Atividades Micro'!$K415&lt;&gt;""),'Atividades Micro'!$K415,"")</f>
        <v/>
      </c>
      <c r="Z363" s="21" t="str">
        <f>IF(AND('Atividades Micro'!$A415=Z$2,'Atividades Micro'!$L415&lt;&gt;""),'Atividades Micro'!$L415,"")</f>
        <v/>
      </c>
      <c r="AA363" s="21" t="str">
        <f>IF(AND('Atividades Micro'!$B415=AA$2,'Atividades Micro'!$K415&lt;&gt;""),'Atividades Micro'!$K415,"")</f>
        <v/>
      </c>
      <c r="AB363" s="21" t="str">
        <f>IF(AND('Atividades Micro'!$B415=AB$2,'Atividades Micro'!$L415&lt;&gt;""),'Atividades Micro'!$L415,"")</f>
        <v/>
      </c>
      <c r="AC363" s="21" t="str">
        <f>IF(AND('Atividades Micro'!$B415=AC$2,'Atividades Micro'!$K415&lt;&gt;""),'Atividades Micro'!$K415,"")</f>
        <v/>
      </c>
      <c r="AD363" s="21" t="str">
        <f>IF(AND('Atividades Micro'!$B415=AD$2,'Atividades Micro'!$L415&lt;&gt;""),'Atividades Micro'!$L415,"")</f>
        <v/>
      </c>
      <c r="AE363" s="21" t="str">
        <f>IF(AND('Atividades Micro'!$A415=AE$2,'Atividades Micro'!$K415&lt;&gt;""),'Atividades Micro'!$K415,"")</f>
        <v/>
      </c>
      <c r="AF363" s="21" t="str">
        <f>IF(AND('Atividades Micro'!$A415=AF$2,'Atividades Micro'!$L415&lt;&gt;""),'Atividades Micro'!$L415,"")</f>
        <v/>
      </c>
      <c r="AG363" s="21" t="str">
        <f>IF(AND('Atividades Micro'!$B415=AG$2,'Atividades Micro'!$K415&lt;&gt;""),'Atividades Micro'!$K415,"")</f>
        <v/>
      </c>
      <c r="AH363" s="21" t="str">
        <f>IF(AND('Atividades Micro'!$B415=AH$2,'Atividades Micro'!$L415&lt;&gt;""),'Atividades Micro'!$L415,"")</f>
        <v/>
      </c>
      <c r="AI363" s="21" t="str">
        <f>IF(AND('Atividades Micro'!$B415=AI$2,'Atividades Micro'!$K415&lt;&gt;""),'Atividades Micro'!$K415,"")</f>
        <v/>
      </c>
      <c r="AJ363" s="21" t="str">
        <f>IF(AND('Atividades Micro'!$B415=AJ$2,'Atividades Micro'!$L415&lt;&gt;""),'Atividades Micro'!$L415,"")</f>
        <v/>
      </c>
      <c r="AK363" s="21" t="str">
        <f>IF(AND('Atividades Micro'!$A415=AK$2,'Atividades Micro'!$K415&lt;&gt;""),'Atividades Micro'!$K415,"")</f>
        <v/>
      </c>
      <c r="AL363" s="21" t="str">
        <f>IF(AND('Atividades Micro'!$A415=AL$2,'Atividades Micro'!$L415&lt;&gt;""),'Atividades Micro'!$L415,"")</f>
        <v/>
      </c>
      <c r="AM363" s="21" t="str">
        <f>IF(AND('Atividades Micro'!$B415=AM$2,'Atividades Micro'!$K415&lt;&gt;""),'Atividades Micro'!$K415,"")</f>
        <v/>
      </c>
      <c r="AN363" s="21" t="str">
        <f>IF(AND('Atividades Micro'!$B415=AN$2,'Atividades Micro'!$L415&lt;&gt;""),'Atividades Micro'!$L415,"")</f>
        <v/>
      </c>
      <c r="AO363" s="21" t="str">
        <f>IF(AND('Atividades Micro'!$B415=AO$2,'Atividades Micro'!$K415&lt;&gt;""),'Atividades Micro'!$K415,"")</f>
        <v/>
      </c>
      <c r="AP363" s="21" t="str">
        <f>IF(AND('Atividades Micro'!$B415=AP$2,'Atividades Micro'!$L415&lt;&gt;""),'Atividades Micro'!$L415,"")</f>
        <v/>
      </c>
      <c r="AQ363" s="21" t="str">
        <f>IF(AND('Atividades Micro'!$A415=AQ$2,'Atividades Micro'!$K415&lt;&gt;""),'Atividades Micro'!$K415,"")</f>
        <v/>
      </c>
      <c r="AR363" s="21" t="str">
        <f>IF(AND('Atividades Micro'!$A415=AR$2,'Atividades Micro'!$L415&lt;&gt;""),'Atividades Micro'!$L415,"")</f>
        <v/>
      </c>
      <c r="AS363" s="21" t="str">
        <f>IF(AND('Atividades Micro'!$B415=AS$2,'Atividades Micro'!$K415&lt;&gt;""),'Atividades Micro'!$K415,"")</f>
        <v/>
      </c>
      <c r="AT363" s="21" t="str">
        <f>IF(AND('Atividades Micro'!$B415=AT$2,'Atividades Micro'!$L415&lt;&gt;""),'Atividades Micro'!$L415,"")</f>
        <v/>
      </c>
      <c r="AU363" s="21" t="str">
        <f>IF(AND('Atividades Micro'!$A415=AU$2,'Atividades Micro'!$K415&lt;&gt;""),'Atividades Micro'!$K415,"")</f>
        <v/>
      </c>
      <c r="AV363" s="21" t="str">
        <f>IF(AND('Atividades Micro'!$A415=AV$2,'Atividades Micro'!$L415&lt;&gt;""),'Atividades Micro'!$L415,"")</f>
        <v/>
      </c>
      <c r="AW363" s="21" t="str">
        <f>IF(AND('Atividades Micro'!$B415=AW$2,'Atividades Micro'!$K415&lt;&gt;""),'Atividades Micro'!$K415,"")</f>
        <v/>
      </c>
      <c r="AX363" s="21" t="str">
        <f>IF(AND('Atividades Micro'!$B415=AX$2,'Atividades Micro'!$L415&lt;&gt;""),'Atividades Micro'!$L415,"")</f>
        <v/>
      </c>
      <c r="AY363" s="21" t="str">
        <f>IF(AND('Atividades Micro'!$A415=AY$2,'Atividades Micro'!$K415&lt;&gt;""),'Atividades Micro'!$K415,"")</f>
        <v/>
      </c>
      <c r="AZ363" s="21" t="str">
        <f>IF(AND('Atividades Micro'!$A415=AZ$2,'Atividades Micro'!$L415&lt;&gt;""),'Atividades Micro'!$L415,"")</f>
        <v/>
      </c>
      <c r="BA363" s="21" t="str">
        <f>IF(AND('Atividades Micro'!$B415=BA$2,'Atividades Micro'!$K415&lt;&gt;""),'Atividades Micro'!$K415,"")</f>
        <v/>
      </c>
      <c r="BB363" s="21" t="str">
        <f>IF(AND('Atividades Micro'!$B415=BB$2,'Atividades Micro'!$L415&lt;&gt;""),'Atividades Micro'!$L415,"")</f>
        <v/>
      </c>
      <c r="BC363" s="21" t="str">
        <f>IF(AND('Atividades Micro'!$B415=BC$2,'Atividades Micro'!$G415="Macro",'Atividades Micro'!$K415&lt;&gt;""),'Atividades Micro'!$K415,"")</f>
        <v/>
      </c>
      <c r="BD363" s="21" t="str">
        <f>IF(AND('Atividades Micro'!$B415=BD$2,'Atividades Micro'!$G415="Macro",'Atividades Micro'!$K415&lt;&gt;""),'Atividades Micro'!$K415,"")</f>
        <v/>
      </c>
      <c r="BE363" s="21" t="str">
        <f>IF(AND('Atividades Micro'!$B415=BE$2,'Atividades Micro'!$G415="Macro",'Atividades Micro'!$K415&lt;&gt;""),'Atividades Micro'!$K415,"")</f>
        <v/>
      </c>
      <c r="BF363" s="21" t="str">
        <f>IF(AND('Atividades Micro'!$B415=BF$2,'Atividades Micro'!$G415="Macro",'Atividades Micro'!$K415&lt;&gt;""),'Atividades Micro'!$K415,"")</f>
        <v/>
      </c>
      <c r="BG363" s="21" t="str">
        <f>IF(AND('Atividades Micro'!$B415=BG$2,'Atividades Micro'!$G415="Macro",'Atividades Micro'!$K415&lt;&gt;""),'Atividades Micro'!$K415,"")</f>
        <v/>
      </c>
      <c r="BH363" s="21" t="str">
        <f>IF(AND('Atividades Micro'!$B415=BH$2,'Atividades Micro'!$G415="Macro",'Atividades Micro'!$K415&lt;&gt;""),'Atividades Micro'!$K415,"")</f>
        <v/>
      </c>
      <c r="BI363" s="21" t="str">
        <f>IF(AND('Atividades Micro'!$B415=BI$2,'Atividades Micro'!$G415="Macro",'Atividades Micro'!$K415&lt;&gt;""),'Atividades Micro'!$K415,"")</f>
        <v/>
      </c>
      <c r="BJ363" s="21" t="str">
        <f>IF(AND('Atividades Micro'!$B415=BJ$2,'Atividades Micro'!$G415="Macro",'Atividades Micro'!$K415&lt;&gt;""),'Atividades Micro'!$K415,"")</f>
        <v/>
      </c>
      <c r="BK363" s="21" t="str">
        <f>IF(AND('Atividades Micro'!$B415=BK$2,'Atividades Micro'!$G415="Macro",'Atividades Micro'!$K415&lt;&gt;""),'Atividades Micro'!$K415,"")</f>
        <v/>
      </c>
      <c r="BL363" s="21" t="str">
        <f>IF(AND('Atividades Micro'!$B415=BL$2,'Atividades Micro'!$G415="Macro",'Atividades Micro'!$K415&lt;&gt;""),'Atividades Micro'!$K415,"")</f>
        <v/>
      </c>
      <c r="BM363" s="21" t="str">
        <f>IF(AND('Atividades Micro'!$B415=BM$2,'Atividades Micro'!$G415="Macro",'Atividades Micro'!$K415&lt;&gt;""),'Atividades Micro'!$K415,"")</f>
        <v/>
      </c>
      <c r="BN363" s="21" t="str">
        <f>IF(AND('Atividades Micro'!$B415=BN$2,'Atividades Micro'!$G415="Macro",'Atividades Micro'!$K415&lt;&gt;""),'Atividades Micro'!$K415,"")</f>
        <v/>
      </c>
      <c r="BO363" s="21" t="str">
        <f>IF(AND('Atividades Micro'!$B415=BO$2,'Atividades Micro'!$G415="Macro",'Atividades Micro'!$K415&lt;&gt;""),'Atividades Micro'!$K415,"")</f>
        <v/>
      </c>
      <c r="BP363" s="21" t="str">
        <f>IF(AND('Atividades Micro'!$B415=BP$2,'Atividades Micro'!$G415="Macro",'Atividades Micro'!$K415&lt;&gt;""),'Atividades Micro'!$K415,"")</f>
        <v/>
      </c>
      <c r="BQ363" s="21" t="str">
        <f>IF(AND('Atividades Micro'!$B415=BQ$2,'Atividades Micro'!$G415="Macro",'Atividades Micro'!$K415&lt;&gt;""),'Atividades Micro'!$K415,"")</f>
        <v/>
      </c>
      <c r="BR363" s="21" t="str">
        <f>IF(AND('Atividades Micro'!$B415=BR$2,'Atividades Micro'!$G415="Macro",'Atividades Micro'!$K415&lt;&gt;""),'Atividades Micro'!$K415,"")</f>
        <v/>
      </c>
      <c r="BS363" s="21" t="str">
        <f>IF(AND('Atividades Micro'!$B415=BS$2,'Atividades Micro'!$G415="Macro",'Atividades Micro'!$K415&lt;&gt;""),'Atividades Micro'!$K415,"")</f>
        <v/>
      </c>
      <c r="BT363" s="21" t="str">
        <f>IF(AND('Atividades Micro'!$B415=BT$2,'Atividades Micro'!$G415="Macro",'Atividades Micro'!$K415&lt;&gt;""),'Atividades Micro'!$K415,"")</f>
        <v/>
      </c>
      <c r="BU363" s="21" t="str">
        <f>IF(AND('Atividades Micro'!$B415=BU$2,'Atividades Micro'!$G415="Macro",'Atividades Micro'!$K415&lt;&gt;""),'Atividades Micro'!$K415,"")</f>
        <v/>
      </c>
      <c r="BV363" s="21" t="str">
        <f>IF(AND('Atividades Micro'!$B415=BV$2,'Atividades Micro'!$G415="Macro",'Atividades Micro'!$K415&lt;&gt;""),'Atividades Micro'!$K415,"")</f>
        <v/>
      </c>
      <c r="BW363" s="21" t="str">
        <f>IF(AND('Atividades Micro'!$B415=BW$2,'Atividades Micro'!$G415="Macro",'Atividades Micro'!$K415&lt;&gt;""),'Atividades Micro'!$K415,"")</f>
        <v/>
      </c>
      <c r="BX363" s="21" t="str">
        <f>IF(AND('Atividades Micro'!$B415=BX$2,'Atividades Micro'!$G415="Macro",'Atividades Micro'!$K415&lt;&gt;""),'Atividades Micro'!$K415,"")</f>
        <v/>
      </c>
      <c r="BY363" s="21" t="str">
        <f>IF(AND('Atividades Micro'!$B415=BY$2,'Atividades Micro'!$G415="Macro",'Atividades Micro'!$K415&lt;&gt;""),'Atividades Micro'!$K415,"")</f>
        <v/>
      </c>
      <c r="BZ363" s="21" t="str">
        <f>IF(AND('Atividades Micro'!$B415=BZ$2,'Atividades Micro'!$G415="Macro",'Atividades Micro'!$K415&lt;&gt;""),'Atividades Micro'!$K415,"")</f>
        <v/>
      </c>
      <c r="CA363" s="21" t="str">
        <f>IF(AND('Atividades Micro'!$B415=CA$2,'Atividades Micro'!$G415="Macro",'Atividades Micro'!$K415&lt;&gt;""),'Atividades Micro'!$K415,"")</f>
        <v/>
      </c>
      <c r="CB363" s="21" t="str">
        <f>IF(AND('Atividades Micro'!$B415=CB$2,'Atividades Micro'!$G415="Macro",'Atividades Micro'!$K415&lt;&gt;""),'Atividades Micro'!$K415,"")</f>
        <v/>
      </c>
      <c r="CC363" s="21" t="str">
        <f>IF(AND('Atividades Micro'!$B415=CC$2,'Atividades Micro'!$G415="Macro",'Atividades Micro'!$K415&lt;&gt;""),'Atividades Micro'!$K415,"")</f>
        <v/>
      </c>
      <c r="CD363" s="21" t="str">
        <f>IF(AND('Atividades Micro'!$B415=CD$2,'Atividades Micro'!$G415="Micro",'Atividades Micro'!$K415&lt;&gt;""),'Atividades Micro'!$K415,"")</f>
        <v/>
      </c>
      <c r="CE363" s="21" t="str">
        <f>IF(AND('Atividades Micro'!$B415=CE$2,'Atividades Micro'!$G415="Micro",'Atividades Micro'!$K415&lt;&gt;""),'Atividades Micro'!$K415,"")</f>
        <v/>
      </c>
      <c r="CF363" s="21" t="str">
        <f>IF(AND('Atividades Micro'!$B415=CF$2,'Atividades Micro'!$G415="Micro",'Atividades Micro'!$K415&lt;&gt;""),'Atividades Micro'!$K415,"")</f>
        <v/>
      </c>
      <c r="CG363" s="21" t="str">
        <f>IF(AND('Atividades Micro'!$B415=CG$2,'Atividades Micro'!$G415="Micro",'Atividades Micro'!$K415&lt;&gt;""),'Atividades Micro'!$K415,"")</f>
        <v/>
      </c>
      <c r="CH363" s="21" t="str">
        <f>IF(AND('Atividades Micro'!$B415=CH$2,'Atividades Micro'!$G415="Micro",'Atividades Micro'!$K415&lt;&gt;""),'Atividades Micro'!$K415,"")</f>
        <v/>
      </c>
      <c r="CI363" s="21" t="str">
        <f>IF(AND('Atividades Micro'!$B415=CI$2,'Atividades Micro'!$G415="Micro",'Atividades Micro'!$K415&lt;&gt;""),'Atividades Micro'!$K415,"")</f>
        <v/>
      </c>
      <c r="CJ363" s="21" t="str">
        <f>IF(AND('Atividades Micro'!$B415=CJ$2,'Atividades Micro'!$G415="Micro",'Atividades Micro'!$K415&lt;&gt;""),'Atividades Micro'!$K415,"")</f>
        <v/>
      </c>
      <c r="CK363" s="21" t="str">
        <f>IF(AND('Atividades Micro'!$B415=CK$2,'Atividades Micro'!$G415="Micro",'Atividades Micro'!$K415&lt;&gt;""),'Atividades Micro'!$K415,"")</f>
        <v/>
      </c>
      <c r="CL363" s="21" t="str">
        <f>IF(AND('Atividades Micro'!$B415=CL$2,'Atividades Micro'!$G415="Micro",'Atividades Micro'!$K415&lt;&gt;""),'Atividades Micro'!$K415,"")</f>
        <v/>
      </c>
      <c r="CM363" s="21" t="str">
        <f>IF(AND('Atividades Micro'!$B415=CM$2,'Atividades Micro'!$G415="Micro",'Atividades Micro'!$K415&lt;&gt;""),'Atividades Micro'!$K415,"")</f>
        <v/>
      </c>
      <c r="CN363" s="21" t="str">
        <f>IF(AND('Atividades Micro'!$B415=CN$2,'Atividades Micro'!$G415="Micro",'Atividades Micro'!$K415&lt;&gt;""),'Atividades Micro'!$K415,"")</f>
        <v/>
      </c>
      <c r="CO363" s="21" t="str">
        <f>IF(AND('Atividades Micro'!$B415=CO$2,'Atividades Micro'!$G415="Micro",'Atividades Micro'!$K415&lt;&gt;""),'Atividades Micro'!$K415,"")</f>
        <v/>
      </c>
    </row>
    <row r="364" spans="1:93">
      <c r="A364" s="21" t="str">
        <f>IF(AND('Atividades Micro'!$A416=A$2,'Atividades Micro'!$K416&lt;&gt;""),'Atividades Micro'!$K416,"")</f>
        <v/>
      </c>
      <c r="B364" s="21" t="str">
        <f>IF(AND('Atividades Micro'!$A416=B$2,'Atividades Micro'!$L416&lt;&gt;""),'Atividades Micro'!$L416,"")</f>
        <v/>
      </c>
      <c r="C364" s="21" t="str">
        <f>IF(AND('Atividades Micro'!$A416=C$2,'Atividades Micro'!$K416&lt;&gt;""),'Atividades Micro'!$K416,"")</f>
        <v/>
      </c>
      <c r="D364" s="21" t="str">
        <f>IF(AND('Atividades Micro'!$A416=D$2,'Atividades Micro'!$L416&lt;&gt;""),'Atividades Micro'!$L416,"")</f>
        <v/>
      </c>
      <c r="E364" s="21" t="str">
        <f>IF(AND('Atividades Micro'!$A416=E$2,'Atividades Micro'!$K416&lt;&gt;""),'Atividades Micro'!$K416,"")</f>
        <v/>
      </c>
      <c r="F364" s="21" t="str">
        <f>IF(AND('Atividades Micro'!$A416=F$2,'Atividades Micro'!$L416&lt;&gt;""),'Atividades Micro'!$L416,"")</f>
        <v/>
      </c>
      <c r="G364" s="21" t="str">
        <f>IF(AND('Atividades Micro'!$A416=G$2,'Atividades Micro'!$K416&lt;&gt;""),'Atividades Micro'!$K416,"")</f>
        <v/>
      </c>
      <c r="H364" s="21" t="str">
        <f>IF(AND('Atividades Micro'!$A416=H$2,'Atividades Micro'!$L416&lt;&gt;""),'Atividades Micro'!$L416,"")</f>
        <v/>
      </c>
      <c r="I364" s="21" t="str">
        <f>IF(AND('Atividades Micro'!$A416=I$2,'Atividades Micro'!$K416&lt;&gt;""),'Atividades Micro'!$K416,"")</f>
        <v/>
      </c>
      <c r="J364" s="21" t="str">
        <f>IF(AND('Atividades Micro'!$A416=J$2,'Atividades Micro'!$L416&lt;&gt;""),'Atividades Micro'!$L416,"")</f>
        <v/>
      </c>
      <c r="K364" s="21" t="str">
        <f>IF(AND('Atividades Micro'!$B416=K$2,'Atividades Micro'!$K416&lt;&gt;""),'Atividades Micro'!$K416,"")</f>
        <v/>
      </c>
      <c r="L364" s="21" t="str">
        <f>IF(AND('Atividades Micro'!$B416=L$2,'Atividades Micro'!$L416&lt;&gt;""),'Atividades Micro'!$L416,"")</f>
        <v/>
      </c>
      <c r="M364" s="21" t="str">
        <f>IF(AND('Atividades Micro'!$B416=M$2,'Atividades Micro'!$K416&lt;&gt;""),'Atividades Micro'!$K416,"")</f>
        <v/>
      </c>
      <c r="N364" s="21" t="str">
        <f>IF(AND('Atividades Micro'!$B416=N$2,'Atividades Micro'!$L416&lt;&gt;""),'Atividades Micro'!$L416,"")</f>
        <v/>
      </c>
      <c r="O364" s="21" t="str">
        <f>IF(AND('Atividades Micro'!$A416=O$2,'Atividades Micro'!$K416&lt;&gt;""),'Atividades Micro'!$K416,"")</f>
        <v/>
      </c>
      <c r="P364" s="21" t="str">
        <f>IF(AND('Atividades Micro'!$A416=P$2,'Atividades Micro'!$L416&lt;&gt;""),'Atividades Micro'!$L416,"")</f>
        <v/>
      </c>
      <c r="Q364" s="21" t="str">
        <f>IF(AND('Atividades Micro'!$B416=Q$2,'Atividades Micro'!$K416&lt;&gt;""),'Atividades Micro'!$K416,"")</f>
        <v/>
      </c>
      <c r="R364" s="21" t="str">
        <f>IF(AND('Atividades Micro'!$B416=R$2,'Atividades Micro'!$L416&lt;&gt;""),'Atividades Micro'!$L416,"")</f>
        <v/>
      </c>
      <c r="S364" s="21" t="str">
        <f>IF(AND('Atividades Micro'!$A416=S$2,'Atividades Micro'!$K416&lt;&gt;""),'Atividades Micro'!$K416,"")</f>
        <v/>
      </c>
      <c r="T364" s="21" t="str">
        <f>IF(AND('Atividades Micro'!$A416=T$2,'Atividades Micro'!$L416&lt;&gt;""),'Atividades Micro'!$L416,"")</f>
        <v/>
      </c>
      <c r="U364" s="21" t="str">
        <f>IF(AND('Atividades Micro'!$B416=U$2,'Atividades Micro'!$K416&lt;&gt;""),'Atividades Micro'!$K416,"")</f>
        <v/>
      </c>
      <c r="V364" s="21" t="str">
        <f>IF(AND('Atividades Micro'!$B416=V$2,'Atividades Micro'!$L416&lt;&gt;""),'Atividades Micro'!$L416,"")</f>
        <v/>
      </c>
      <c r="W364" s="21" t="str">
        <f>IF(AND('Atividades Micro'!$B416=W$2,'Atividades Micro'!$K416&lt;&gt;""),'Atividades Micro'!$K416,"")</f>
        <v/>
      </c>
      <c r="X364" s="21" t="str">
        <f>IF(AND('Atividades Micro'!$B416=X$2,'Atividades Micro'!$L416&lt;&gt;""),'Atividades Micro'!$L416,"")</f>
        <v/>
      </c>
      <c r="Y364" s="21" t="str">
        <f>IF(AND('Atividades Micro'!$A416=Y$2,'Atividades Micro'!$K416&lt;&gt;""),'Atividades Micro'!$K416,"")</f>
        <v/>
      </c>
      <c r="Z364" s="21" t="str">
        <f>IF(AND('Atividades Micro'!$A416=Z$2,'Atividades Micro'!$L416&lt;&gt;""),'Atividades Micro'!$L416,"")</f>
        <v/>
      </c>
      <c r="AA364" s="21" t="str">
        <f>IF(AND('Atividades Micro'!$B416=AA$2,'Atividades Micro'!$K416&lt;&gt;""),'Atividades Micro'!$K416,"")</f>
        <v/>
      </c>
      <c r="AB364" s="21" t="str">
        <f>IF(AND('Atividades Micro'!$B416=AB$2,'Atividades Micro'!$L416&lt;&gt;""),'Atividades Micro'!$L416,"")</f>
        <v/>
      </c>
      <c r="AC364" s="21" t="str">
        <f>IF(AND('Atividades Micro'!$B416=AC$2,'Atividades Micro'!$K416&lt;&gt;""),'Atividades Micro'!$K416,"")</f>
        <v/>
      </c>
      <c r="AD364" s="21" t="str">
        <f>IF(AND('Atividades Micro'!$B416=AD$2,'Atividades Micro'!$L416&lt;&gt;""),'Atividades Micro'!$L416,"")</f>
        <v/>
      </c>
      <c r="AE364" s="21" t="str">
        <f>IF(AND('Atividades Micro'!$A416=AE$2,'Atividades Micro'!$K416&lt;&gt;""),'Atividades Micro'!$K416,"")</f>
        <v/>
      </c>
      <c r="AF364" s="21" t="str">
        <f>IF(AND('Atividades Micro'!$A416=AF$2,'Atividades Micro'!$L416&lt;&gt;""),'Atividades Micro'!$L416,"")</f>
        <v/>
      </c>
      <c r="AG364" s="21" t="str">
        <f>IF(AND('Atividades Micro'!$B416=AG$2,'Atividades Micro'!$K416&lt;&gt;""),'Atividades Micro'!$K416,"")</f>
        <v/>
      </c>
      <c r="AH364" s="21" t="str">
        <f>IF(AND('Atividades Micro'!$B416=AH$2,'Atividades Micro'!$L416&lt;&gt;""),'Atividades Micro'!$L416,"")</f>
        <v/>
      </c>
      <c r="AI364" s="21" t="str">
        <f>IF(AND('Atividades Micro'!$B416=AI$2,'Atividades Micro'!$K416&lt;&gt;""),'Atividades Micro'!$K416,"")</f>
        <v/>
      </c>
      <c r="AJ364" s="21" t="str">
        <f>IF(AND('Atividades Micro'!$B416=AJ$2,'Atividades Micro'!$L416&lt;&gt;""),'Atividades Micro'!$L416,"")</f>
        <v/>
      </c>
      <c r="AK364" s="21" t="str">
        <f>IF(AND('Atividades Micro'!$A416=AK$2,'Atividades Micro'!$K416&lt;&gt;""),'Atividades Micro'!$K416,"")</f>
        <v/>
      </c>
      <c r="AL364" s="21" t="str">
        <f>IF(AND('Atividades Micro'!$A416=AL$2,'Atividades Micro'!$L416&lt;&gt;""),'Atividades Micro'!$L416,"")</f>
        <v/>
      </c>
      <c r="AM364" s="21" t="str">
        <f>IF(AND('Atividades Micro'!$B416=AM$2,'Atividades Micro'!$K416&lt;&gt;""),'Atividades Micro'!$K416,"")</f>
        <v/>
      </c>
      <c r="AN364" s="21" t="str">
        <f>IF(AND('Atividades Micro'!$B416=AN$2,'Atividades Micro'!$L416&lt;&gt;""),'Atividades Micro'!$L416,"")</f>
        <v/>
      </c>
      <c r="AO364" s="21" t="str">
        <f>IF(AND('Atividades Micro'!$B416=AO$2,'Atividades Micro'!$K416&lt;&gt;""),'Atividades Micro'!$K416,"")</f>
        <v/>
      </c>
      <c r="AP364" s="21" t="str">
        <f>IF(AND('Atividades Micro'!$B416=AP$2,'Atividades Micro'!$L416&lt;&gt;""),'Atividades Micro'!$L416,"")</f>
        <v/>
      </c>
      <c r="AQ364" s="21" t="str">
        <f>IF(AND('Atividades Micro'!$A416=AQ$2,'Atividades Micro'!$K416&lt;&gt;""),'Atividades Micro'!$K416,"")</f>
        <v/>
      </c>
      <c r="AR364" s="21" t="str">
        <f>IF(AND('Atividades Micro'!$A416=AR$2,'Atividades Micro'!$L416&lt;&gt;""),'Atividades Micro'!$L416,"")</f>
        <v/>
      </c>
      <c r="AS364" s="21" t="str">
        <f>IF(AND('Atividades Micro'!$B416=AS$2,'Atividades Micro'!$K416&lt;&gt;""),'Atividades Micro'!$K416,"")</f>
        <v/>
      </c>
      <c r="AT364" s="21" t="str">
        <f>IF(AND('Atividades Micro'!$B416=AT$2,'Atividades Micro'!$L416&lt;&gt;""),'Atividades Micro'!$L416,"")</f>
        <v/>
      </c>
      <c r="AU364" s="21" t="str">
        <f>IF(AND('Atividades Micro'!$A416=AU$2,'Atividades Micro'!$K416&lt;&gt;""),'Atividades Micro'!$K416,"")</f>
        <v/>
      </c>
      <c r="AV364" s="21" t="str">
        <f>IF(AND('Atividades Micro'!$A416=AV$2,'Atividades Micro'!$L416&lt;&gt;""),'Atividades Micro'!$L416,"")</f>
        <v/>
      </c>
      <c r="AW364" s="21" t="str">
        <f>IF(AND('Atividades Micro'!$B416=AW$2,'Atividades Micro'!$K416&lt;&gt;""),'Atividades Micro'!$K416,"")</f>
        <v/>
      </c>
      <c r="AX364" s="21" t="str">
        <f>IF(AND('Atividades Micro'!$B416=AX$2,'Atividades Micro'!$L416&lt;&gt;""),'Atividades Micro'!$L416,"")</f>
        <v/>
      </c>
      <c r="AY364" s="21" t="str">
        <f>IF(AND('Atividades Micro'!$A416=AY$2,'Atividades Micro'!$K416&lt;&gt;""),'Atividades Micro'!$K416,"")</f>
        <v/>
      </c>
      <c r="AZ364" s="21" t="str">
        <f>IF(AND('Atividades Micro'!$A416=AZ$2,'Atividades Micro'!$L416&lt;&gt;""),'Atividades Micro'!$L416,"")</f>
        <v/>
      </c>
      <c r="BA364" s="21" t="str">
        <f>IF(AND('Atividades Micro'!$B416=BA$2,'Atividades Micro'!$K416&lt;&gt;""),'Atividades Micro'!$K416,"")</f>
        <v/>
      </c>
      <c r="BB364" s="21" t="str">
        <f>IF(AND('Atividades Micro'!$B416=BB$2,'Atividades Micro'!$L416&lt;&gt;""),'Atividades Micro'!$L416,"")</f>
        <v/>
      </c>
      <c r="BC364" s="21" t="str">
        <f>IF(AND('Atividades Micro'!$B416=BC$2,'Atividades Micro'!$G416="Macro",'Atividades Micro'!$K416&lt;&gt;""),'Atividades Micro'!$K416,"")</f>
        <v/>
      </c>
      <c r="BD364" s="21" t="str">
        <f>IF(AND('Atividades Micro'!$B416=BD$2,'Atividades Micro'!$G416="Macro",'Atividades Micro'!$K416&lt;&gt;""),'Atividades Micro'!$K416,"")</f>
        <v/>
      </c>
      <c r="BE364" s="21" t="str">
        <f>IF(AND('Atividades Micro'!$B416=BE$2,'Atividades Micro'!$G416="Macro",'Atividades Micro'!$K416&lt;&gt;""),'Atividades Micro'!$K416,"")</f>
        <v/>
      </c>
      <c r="BF364" s="21" t="str">
        <f>IF(AND('Atividades Micro'!$B416=BF$2,'Atividades Micro'!$G416="Macro",'Atividades Micro'!$K416&lt;&gt;""),'Atividades Micro'!$K416,"")</f>
        <v/>
      </c>
      <c r="BG364" s="21" t="str">
        <f>IF(AND('Atividades Micro'!$B416=BG$2,'Atividades Micro'!$G416="Macro",'Atividades Micro'!$K416&lt;&gt;""),'Atividades Micro'!$K416,"")</f>
        <v/>
      </c>
      <c r="BH364" s="21" t="str">
        <f>IF(AND('Atividades Micro'!$B416=BH$2,'Atividades Micro'!$G416="Macro",'Atividades Micro'!$K416&lt;&gt;""),'Atividades Micro'!$K416,"")</f>
        <v/>
      </c>
      <c r="BI364" s="21" t="str">
        <f>IF(AND('Atividades Micro'!$B416=BI$2,'Atividades Micro'!$G416="Macro",'Atividades Micro'!$K416&lt;&gt;""),'Atividades Micro'!$K416,"")</f>
        <v/>
      </c>
      <c r="BJ364" s="21" t="str">
        <f>IF(AND('Atividades Micro'!$B416=BJ$2,'Atividades Micro'!$G416="Macro",'Atividades Micro'!$K416&lt;&gt;""),'Atividades Micro'!$K416,"")</f>
        <v/>
      </c>
      <c r="BK364" s="21" t="str">
        <f>IF(AND('Atividades Micro'!$B416=BK$2,'Atividades Micro'!$G416="Macro",'Atividades Micro'!$K416&lt;&gt;""),'Atividades Micro'!$K416,"")</f>
        <v/>
      </c>
      <c r="BL364" s="21" t="str">
        <f>IF(AND('Atividades Micro'!$B416=BL$2,'Atividades Micro'!$G416="Macro",'Atividades Micro'!$K416&lt;&gt;""),'Atividades Micro'!$K416,"")</f>
        <v/>
      </c>
      <c r="BM364" s="21" t="str">
        <f>IF(AND('Atividades Micro'!$B416=BM$2,'Atividades Micro'!$G416="Macro",'Atividades Micro'!$K416&lt;&gt;""),'Atividades Micro'!$K416,"")</f>
        <v/>
      </c>
      <c r="BN364" s="21" t="str">
        <f>IF(AND('Atividades Micro'!$B416=BN$2,'Atividades Micro'!$G416="Macro",'Atividades Micro'!$K416&lt;&gt;""),'Atividades Micro'!$K416,"")</f>
        <v/>
      </c>
      <c r="BO364" s="21" t="str">
        <f>IF(AND('Atividades Micro'!$B416=BO$2,'Atividades Micro'!$G416="Macro",'Atividades Micro'!$K416&lt;&gt;""),'Atividades Micro'!$K416,"")</f>
        <v/>
      </c>
      <c r="BP364" s="21" t="str">
        <f>IF(AND('Atividades Micro'!$B416=BP$2,'Atividades Micro'!$G416="Macro",'Atividades Micro'!$K416&lt;&gt;""),'Atividades Micro'!$K416,"")</f>
        <v/>
      </c>
      <c r="BQ364" s="21" t="str">
        <f>IF(AND('Atividades Micro'!$B416=BQ$2,'Atividades Micro'!$G416="Macro",'Atividades Micro'!$K416&lt;&gt;""),'Atividades Micro'!$K416,"")</f>
        <v/>
      </c>
      <c r="BR364" s="21" t="str">
        <f>IF(AND('Atividades Micro'!$B416=BR$2,'Atividades Micro'!$G416="Macro",'Atividades Micro'!$K416&lt;&gt;""),'Atividades Micro'!$K416,"")</f>
        <v/>
      </c>
      <c r="BS364" s="21" t="str">
        <f>IF(AND('Atividades Micro'!$B416=BS$2,'Atividades Micro'!$G416="Macro",'Atividades Micro'!$K416&lt;&gt;""),'Atividades Micro'!$K416,"")</f>
        <v/>
      </c>
      <c r="BT364" s="21" t="str">
        <f>IF(AND('Atividades Micro'!$B416=BT$2,'Atividades Micro'!$G416="Macro",'Atividades Micro'!$K416&lt;&gt;""),'Atividades Micro'!$K416,"")</f>
        <v/>
      </c>
      <c r="BU364" s="21" t="str">
        <f>IF(AND('Atividades Micro'!$B416=BU$2,'Atividades Micro'!$G416="Macro",'Atividades Micro'!$K416&lt;&gt;""),'Atividades Micro'!$K416,"")</f>
        <v/>
      </c>
      <c r="BV364" s="21" t="str">
        <f>IF(AND('Atividades Micro'!$B416=BV$2,'Atividades Micro'!$G416="Macro",'Atividades Micro'!$K416&lt;&gt;""),'Atividades Micro'!$K416,"")</f>
        <v/>
      </c>
      <c r="BW364" s="21" t="str">
        <f>IF(AND('Atividades Micro'!$B416=BW$2,'Atividades Micro'!$G416="Macro",'Atividades Micro'!$K416&lt;&gt;""),'Atividades Micro'!$K416,"")</f>
        <v/>
      </c>
      <c r="BX364" s="21" t="str">
        <f>IF(AND('Atividades Micro'!$B416=BX$2,'Atividades Micro'!$G416="Macro",'Atividades Micro'!$K416&lt;&gt;""),'Atividades Micro'!$K416,"")</f>
        <v/>
      </c>
      <c r="BY364" s="21" t="str">
        <f>IF(AND('Atividades Micro'!$B416=BY$2,'Atividades Micro'!$G416="Macro",'Atividades Micro'!$K416&lt;&gt;""),'Atividades Micro'!$K416,"")</f>
        <v/>
      </c>
      <c r="BZ364" s="21" t="str">
        <f>IF(AND('Atividades Micro'!$B416=BZ$2,'Atividades Micro'!$G416="Macro",'Atividades Micro'!$K416&lt;&gt;""),'Atividades Micro'!$K416,"")</f>
        <v/>
      </c>
      <c r="CA364" s="21" t="str">
        <f>IF(AND('Atividades Micro'!$B416=CA$2,'Atividades Micro'!$G416="Macro",'Atividades Micro'!$K416&lt;&gt;""),'Atividades Micro'!$K416,"")</f>
        <v/>
      </c>
      <c r="CB364" s="21" t="str">
        <f>IF(AND('Atividades Micro'!$B416=CB$2,'Atividades Micro'!$G416="Macro",'Atividades Micro'!$K416&lt;&gt;""),'Atividades Micro'!$K416,"")</f>
        <v/>
      </c>
      <c r="CC364" s="21" t="str">
        <f>IF(AND('Atividades Micro'!$B416=CC$2,'Atividades Micro'!$G416="Macro",'Atividades Micro'!$K416&lt;&gt;""),'Atividades Micro'!$K416,"")</f>
        <v/>
      </c>
      <c r="CD364" s="21" t="str">
        <f>IF(AND('Atividades Micro'!$B416=CD$2,'Atividades Micro'!$G416="Micro",'Atividades Micro'!$K416&lt;&gt;""),'Atividades Micro'!$K416,"")</f>
        <v/>
      </c>
      <c r="CE364" s="21" t="str">
        <f>IF(AND('Atividades Micro'!$B416=CE$2,'Atividades Micro'!$G416="Micro",'Atividades Micro'!$K416&lt;&gt;""),'Atividades Micro'!$K416,"")</f>
        <v/>
      </c>
      <c r="CF364" s="21" t="str">
        <f>IF(AND('Atividades Micro'!$B416=CF$2,'Atividades Micro'!$G416="Micro",'Atividades Micro'!$K416&lt;&gt;""),'Atividades Micro'!$K416,"")</f>
        <v/>
      </c>
      <c r="CG364" s="21" t="str">
        <f>IF(AND('Atividades Micro'!$B416=CG$2,'Atividades Micro'!$G416="Micro",'Atividades Micro'!$K416&lt;&gt;""),'Atividades Micro'!$K416,"")</f>
        <v/>
      </c>
      <c r="CH364" s="21" t="str">
        <f>IF(AND('Atividades Micro'!$B416=CH$2,'Atividades Micro'!$G416="Micro",'Atividades Micro'!$K416&lt;&gt;""),'Atividades Micro'!$K416,"")</f>
        <v/>
      </c>
      <c r="CI364" s="21" t="str">
        <f>IF(AND('Atividades Micro'!$B416=CI$2,'Atividades Micro'!$G416="Micro",'Atividades Micro'!$K416&lt;&gt;""),'Atividades Micro'!$K416,"")</f>
        <v/>
      </c>
      <c r="CJ364" s="21" t="str">
        <f>IF(AND('Atividades Micro'!$B416=CJ$2,'Atividades Micro'!$G416="Micro",'Atividades Micro'!$K416&lt;&gt;""),'Atividades Micro'!$K416,"")</f>
        <v/>
      </c>
      <c r="CK364" s="21" t="str">
        <f>IF(AND('Atividades Micro'!$B416=CK$2,'Atividades Micro'!$G416="Micro",'Atividades Micro'!$K416&lt;&gt;""),'Atividades Micro'!$K416,"")</f>
        <v/>
      </c>
      <c r="CL364" s="21" t="str">
        <f>IF(AND('Atividades Micro'!$B416=CL$2,'Atividades Micro'!$G416="Micro",'Atividades Micro'!$K416&lt;&gt;""),'Atividades Micro'!$K416,"")</f>
        <v/>
      </c>
      <c r="CM364" s="21" t="str">
        <f>IF(AND('Atividades Micro'!$B416=CM$2,'Atividades Micro'!$G416="Micro",'Atividades Micro'!$K416&lt;&gt;""),'Atividades Micro'!$K416,"")</f>
        <v/>
      </c>
      <c r="CN364" s="21" t="str">
        <f>IF(AND('Atividades Micro'!$B416=CN$2,'Atividades Micro'!$G416="Micro",'Atividades Micro'!$K416&lt;&gt;""),'Atividades Micro'!$K416,"")</f>
        <v/>
      </c>
      <c r="CO364" s="21" t="str">
        <f>IF(AND('Atividades Micro'!$B416=CO$2,'Atividades Micro'!$G416="Micro",'Atividades Micro'!$K416&lt;&gt;""),'Atividades Micro'!$K416,"")</f>
        <v/>
      </c>
    </row>
    <row r="365" spans="1:93">
      <c r="A365" s="21" t="str">
        <f>IF(AND('Atividades Micro'!$A417=A$2,'Atividades Micro'!$K417&lt;&gt;""),'Atividades Micro'!$K417,"")</f>
        <v/>
      </c>
      <c r="B365" s="21" t="str">
        <f>IF(AND('Atividades Micro'!$A417=B$2,'Atividades Micro'!$L417&lt;&gt;""),'Atividades Micro'!$L417,"")</f>
        <v/>
      </c>
      <c r="C365" s="21" t="str">
        <f>IF(AND('Atividades Micro'!$A417=C$2,'Atividades Micro'!$K417&lt;&gt;""),'Atividades Micro'!$K417,"")</f>
        <v/>
      </c>
      <c r="D365" s="21" t="str">
        <f>IF(AND('Atividades Micro'!$A417=D$2,'Atividades Micro'!$L417&lt;&gt;""),'Atividades Micro'!$L417,"")</f>
        <v/>
      </c>
      <c r="E365" s="21" t="str">
        <f>IF(AND('Atividades Micro'!$A417=E$2,'Atividades Micro'!$K417&lt;&gt;""),'Atividades Micro'!$K417,"")</f>
        <v/>
      </c>
      <c r="F365" s="21" t="str">
        <f>IF(AND('Atividades Micro'!$A417=F$2,'Atividades Micro'!$L417&lt;&gt;""),'Atividades Micro'!$L417,"")</f>
        <v/>
      </c>
      <c r="G365" s="21" t="str">
        <f>IF(AND('Atividades Micro'!$A417=G$2,'Atividades Micro'!$K417&lt;&gt;""),'Atividades Micro'!$K417,"")</f>
        <v/>
      </c>
      <c r="H365" s="21" t="str">
        <f>IF(AND('Atividades Micro'!$A417=H$2,'Atividades Micro'!$L417&lt;&gt;""),'Atividades Micro'!$L417,"")</f>
        <v/>
      </c>
      <c r="I365" s="21" t="str">
        <f>IF(AND('Atividades Micro'!$A417=I$2,'Atividades Micro'!$K417&lt;&gt;""),'Atividades Micro'!$K417,"")</f>
        <v/>
      </c>
      <c r="J365" s="21" t="str">
        <f>IF(AND('Atividades Micro'!$A417=J$2,'Atividades Micro'!$L417&lt;&gt;""),'Atividades Micro'!$L417,"")</f>
        <v/>
      </c>
      <c r="K365" s="21" t="str">
        <f>IF(AND('Atividades Micro'!$B417=K$2,'Atividades Micro'!$K417&lt;&gt;""),'Atividades Micro'!$K417,"")</f>
        <v/>
      </c>
      <c r="L365" s="21" t="str">
        <f>IF(AND('Atividades Micro'!$B417=L$2,'Atividades Micro'!$L417&lt;&gt;""),'Atividades Micro'!$L417,"")</f>
        <v/>
      </c>
      <c r="M365" s="21" t="str">
        <f>IF(AND('Atividades Micro'!$B417=M$2,'Atividades Micro'!$K417&lt;&gt;""),'Atividades Micro'!$K417,"")</f>
        <v/>
      </c>
      <c r="N365" s="21" t="str">
        <f>IF(AND('Atividades Micro'!$B417=N$2,'Atividades Micro'!$L417&lt;&gt;""),'Atividades Micro'!$L417,"")</f>
        <v/>
      </c>
      <c r="O365" s="21" t="str">
        <f>IF(AND('Atividades Micro'!$A417=O$2,'Atividades Micro'!$K417&lt;&gt;""),'Atividades Micro'!$K417,"")</f>
        <v/>
      </c>
      <c r="P365" s="21" t="str">
        <f>IF(AND('Atividades Micro'!$A417=P$2,'Atividades Micro'!$L417&lt;&gt;""),'Atividades Micro'!$L417,"")</f>
        <v/>
      </c>
      <c r="Q365" s="21" t="str">
        <f>IF(AND('Atividades Micro'!$B417=Q$2,'Atividades Micro'!$K417&lt;&gt;""),'Atividades Micro'!$K417,"")</f>
        <v/>
      </c>
      <c r="R365" s="21" t="str">
        <f>IF(AND('Atividades Micro'!$B417=R$2,'Atividades Micro'!$L417&lt;&gt;""),'Atividades Micro'!$L417,"")</f>
        <v/>
      </c>
      <c r="S365" s="21" t="str">
        <f>IF(AND('Atividades Micro'!$A417=S$2,'Atividades Micro'!$K417&lt;&gt;""),'Atividades Micro'!$K417,"")</f>
        <v/>
      </c>
      <c r="T365" s="21" t="str">
        <f>IF(AND('Atividades Micro'!$A417=T$2,'Atividades Micro'!$L417&lt;&gt;""),'Atividades Micro'!$L417,"")</f>
        <v/>
      </c>
      <c r="U365" s="21" t="str">
        <f>IF(AND('Atividades Micro'!$B417=U$2,'Atividades Micro'!$K417&lt;&gt;""),'Atividades Micro'!$K417,"")</f>
        <v/>
      </c>
      <c r="V365" s="21" t="str">
        <f>IF(AND('Atividades Micro'!$B417=V$2,'Atividades Micro'!$L417&lt;&gt;""),'Atividades Micro'!$L417,"")</f>
        <v/>
      </c>
      <c r="W365" s="21" t="str">
        <f>IF(AND('Atividades Micro'!$B417=W$2,'Atividades Micro'!$K417&lt;&gt;""),'Atividades Micro'!$K417,"")</f>
        <v/>
      </c>
      <c r="X365" s="21" t="str">
        <f>IF(AND('Atividades Micro'!$B417=X$2,'Atividades Micro'!$L417&lt;&gt;""),'Atividades Micro'!$L417,"")</f>
        <v/>
      </c>
      <c r="Y365" s="21" t="str">
        <f>IF(AND('Atividades Micro'!$A417=Y$2,'Atividades Micro'!$K417&lt;&gt;""),'Atividades Micro'!$K417,"")</f>
        <v/>
      </c>
      <c r="Z365" s="21" t="str">
        <f>IF(AND('Atividades Micro'!$A417=Z$2,'Atividades Micro'!$L417&lt;&gt;""),'Atividades Micro'!$L417,"")</f>
        <v/>
      </c>
      <c r="AA365" s="21" t="str">
        <f>IF(AND('Atividades Micro'!$B417=AA$2,'Atividades Micro'!$K417&lt;&gt;""),'Atividades Micro'!$K417,"")</f>
        <v/>
      </c>
      <c r="AB365" s="21" t="str">
        <f>IF(AND('Atividades Micro'!$B417=AB$2,'Atividades Micro'!$L417&lt;&gt;""),'Atividades Micro'!$L417,"")</f>
        <v/>
      </c>
      <c r="AC365" s="21" t="str">
        <f>IF(AND('Atividades Micro'!$B417=AC$2,'Atividades Micro'!$K417&lt;&gt;""),'Atividades Micro'!$K417,"")</f>
        <v/>
      </c>
      <c r="AD365" s="21" t="str">
        <f>IF(AND('Atividades Micro'!$B417=AD$2,'Atividades Micro'!$L417&lt;&gt;""),'Atividades Micro'!$L417,"")</f>
        <v/>
      </c>
      <c r="AE365" s="21" t="str">
        <f>IF(AND('Atividades Micro'!$A417=AE$2,'Atividades Micro'!$K417&lt;&gt;""),'Atividades Micro'!$K417,"")</f>
        <v/>
      </c>
      <c r="AF365" s="21" t="str">
        <f>IF(AND('Atividades Micro'!$A417=AF$2,'Atividades Micro'!$L417&lt;&gt;""),'Atividades Micro'!$L417,"")</f>
        <v/>
      </c>
      <c r="AG365" s="21" t="str">
        <f>IF(AND('Atividades Micro'!$B417=AG$2,'Atividades Micro'!$K417&lt;&gt;""),'Atividades Micro'!$K417,"")</f>
        <v/>
      </c>
      <c r="AH365" s="21" t="str">
        <f>IF(AND('Atividades Micro'!$B417=AH$2,'Atividades Micro'!$L417&lt;&gt;""),'Atividades Micro'!$L417,"")</f>
        <v/>
      </c>
      <c r="AI365" s="21" t="str">
        <f>IF(AND('Atividades Micro'!$B417=AI$2,'Atividades Micro'!$K417&lt;&gt;""),'Atividades Micro'!$K417,"")</f>
        <v/>
      </c>
      <c r="AJ365" s="21" t="str">
        <f>IF(AND('Atividades Micro'!$B417=AJ$2,'Atividades Micro'!$L417&lt;&gt;""),'Atividades Micro'!$L417,"")</f>
        <v/>
      </c>
      <c r="AK365" s="21" t="str">
        <f>IF(AND('Atividades Micro'!$A417=AK$2,'Atividades Micro'!$K417&lt;&gt;""),'Atividades Micro'!$K417,"")</f>
        <v/>
      </c>
      <c r="AL365" s="21" t="str">
        <f>IF(AND('Atividades Micro'!$A417=AL$2,'Atividades Micro'!$L417&lt;&gt;""),'Atividades Micro'!$L417,"")</f>
        <v/>
      </c>
      <c r="AM365" s="21" t="str">
        <f>IF(AND('Atividades Micro'!$B417=AM$2,'Atividades Micro'!$K417&lt;&gt;""),'Atividades Micro'!$K417,"")</f>
        <v/>
      </c>
      <c r="AN365" s="21" t="str">
        <f>IF(AND('Atividades Micro'!$B417=AN$2,'Atividades Micro'!$L417&lt;&gt;""),'Atividades Micro'!$L417,"")</f>
        <v/>
      </c>
      <c r="AO365" s="21" t="str">
        <f>IF(AND('Atividades Micro'!$B417=AO$2,'Atividades Micro'!$K417&lt;&gt;""),'Atividades Micro'!$K417,"")</f>
        <v/>
      </c>
      <c r="AP365" s="21" t="str">
        <f>IF(AND('Atividades Micro'!$B417=AP$2,'Atividades Micro'!$L417&lt;&gt;""),'Atividades Micro'!$L417,"")</f>
        <v/>
      </c>
      <c r="AQ365" s="21" t="str">
        <f>IF(AND('Atividades Micro'!$A417=AQ$2,'Atividades Micro'!$K417&lt;&gt;""),'Atividades Micro'!$K417,"")</f>
        <v/>
      </c>
      <c r="AR365" s="21" t="str">
        <f>IF(AND('Atividades Micro'!$A417=AR$2,'Atividades Micro'!$L417&lt;&gt;""),'Atividades Micro'!$L417,"")</f>
        <v/>
      </c>
      <c r="AS365" s="21" t="str">
        <f>IF(AND('Atividades Micro'!$B417=AS$2,'Atividades Micro'!$K417&lt;&gt;""),'Atividades Micro'!$K417,"")</f>
        <v/>
      </c>
      <c r="AT365" s="21" t="str">
        <f>IF(AND('Atividades Micro'!$B417=AT$2,'Atividades Micro'!$L417&lt;&gt;""),'Atividades Micro'!$L417,"")</f>
        <v/>
      </c>
      <c r="AU365" s="21" t="str">
        <f>IF(AND('Atividades Micro'!$A417=AU$2,'Atividades Micro'!$K417&lt;&gt;""),'Atividades Micro'!$K417,"")</f>
        <v/>
      </c>
      <c r="AV365" s="21" t="str">
        <f>IF(AND('Atividades Micro'!$A417=AV$2,'Atividades Micro'!$L417&lt;&gt;""),'Atividades Micro'!$L417,"")</f>
        <v/>
      </c>
      <c r="AW365" s="21" t="str">
        <f>IF(AND('Atividades Micro'!$B417=AW$2,'Atividades Micro'!$K417&lt;&gt;""),'Atividades Micro'!$K417,"")</f>
        <v/>
      </c>
      <c r="AX365" s="21" t="str">
        <f>IF(AND('Atividades Micro'!$B417=AX$2,'Atividades Micro'!$L417&lt;&gt;""),'Atividades Micro'!$L417,"")</f>
        <v/>
      </c>
      <c r="AY365" s="21" t="str">
        <f>IF(AND('Atividades Micro'!$A417=AY$2,'Atividades Micro'!$K417&lt;&gt;""),'Atividades Micro'!$K417,"")</f>
        <v/>
      </c>
      <c r="AZ365" s="21" t="str">
        <f>IF(AND('Atividades Micro'!$A417=AZ$2,'Atividades Micro'!$L417&lt;&gt;""),'Atividades Micro'!$L417,"")</f>
        <v/>
      </c>
      <c r="BA365" s="21" t="str">
        <f>IF(AND('Atividades Micro'!$B417=BA$2,'Atividades Micro'!$K417&lt;&gt;""),'Atividades Micro'!$K417,"")</f>
        <v/>
      </c>
      <c r="BB365" s="21" t="str">
        <f>IF(AND('Atividades Micro'!$B417=BB$2,'Atividades Micro'!$L417&lt;&gt;""),'Atividades Micro'!$L417,"")</f>
        <v/>
      </c>
      <c r="BC365" s="21" t="str">
        <f>IF(AND('Atividades Micro'!$B417=BC$2,'Atividades Micro'!$G417="Macro",'Atividades Micro'!$K417&lt;&gt;""),'Atividades Micro'!$K417,"")</f>
        <v/>
      </c>
      <c r="BD365" s="21" t="str">
        <f>IF(AND('Atividades Micro'!$B417=BD$2,'Atividades Micro'!$G417="Macro",'Atividades Micro'!$K417&lt;&gt;""),'Atividades Micro'!$K417,"")</f>
        <v/>
      </c>
      <c r="BE365" s="21" t="str">
        <f>IF(AND('Atividades Micro'!$B417=BE$2,'Atividades Micro'!$G417="Macro",'Atividades Micro'!$K417&lt;&gt;""),'Atividades Micro'!$K417,"")</f>
        <v/>
      </c>
      <c r="BF365" s="21" t="str">
        <f>IF(AND('Atividades Micro'!$B417=BF$2,'Atividades Micro'!$G417="Macro",'Atividades Micro'!$K417&lt;&gt;""),'Atividades Micro'!$K417,"")</f>
        <v/>
      </c>
      <c r="BG365" s="21" t="str">
        <f>IF(AND('Atividades Micro'!$B417=BG$2,'Atividades Micro'!$G417="Macro",'Atividades Micro'!$K417&lt;&gt;""),'Atividades Micro'!$K417,"")</f>
        <v/>
      </c>
      <c r="BH365" s="21" t="str">
        <f>IF(AND('Atividades Micro'!$B417=BH$2,'Atividades Micro'!$G417="Macro",'Atividades Micro'!$K417&lt;&gt;""),'Atividades Micro'!$K417,"")</f>
        <v/>
      </c>
      <c r="BI365" s="21" t="str">
        <f>IF(AND('Atividades Micro'!$B417=BI$2,'Atividades Micro'!$G417="Macro",'Atividades Micro'!$K417&lt;&gt;""),'Atividades Micro'!$K417,"")</f>
        <v/>
      </c>
      <c r="BJ365" s="21" t="str">
        <f>IF(AND('Atividades Micro'!$B417=BJ$2,'Atividades Micro'!$G417="Macro",'Atividades Micro'!$K417&lt;&gt;""),'Atividades Micro'!$K417,"")</f>
        <v/>
      </c>
      <c r="BK365" s="21" t="str">
        <f>IF(AND('Atividades Micro'!$B417=BK$2,'Atividades Micro'!$G417="Macro",'Atividades Micro'!$K417&lt;&gt;""),'Atividades Micro'!$K417,"")</f>
        <v/>
      </c>
      <c r="BL365" s="21" t="str">
        <f>IF(AND('Atividades Micro'!$B417=BL$2,'Atividades Micro'!$G417="Macro",'Atividades Micro'!$K417&lt;&gt;""),'Atividades Micro'!$K417,"")</f>
        <v/>
      </c>
      <c r="BM365" s="21" t="str">
        <f>IF(AND('Atividades Micro'!$B417=BM$2,'Atividades Micro'!$G417="Macro",'Atividades Micro'!$K417&lt;&gt;""),'Atividades Micro'!$K417,"")</f>
        <v/>
      </c>
      <c r="BN365" s="21" t="str">
        <f>IF(AND('Atividades Micro'!$B417=BN$2,'Atividades Micro'!$G417="Macro",'Atividades Micro'!$K417&lt;&gt;""),'Atividades Micro'!$K417,"")</f>
        <v/>
      </c>
      <c r="BO365" s="21" t="str">
        <f>IF(AND('Atividades Micro'!$B417=BO$2,'Atividades Micro'!$G417="Macro",'Atividades Micro'!$K417&lt;&gt;""),'Atividades Micro'!$K417,"")</f>
        <v/>
      </c>
      <c r="BP365" s="21" t="str">
        <f>IF(AND('Atividades Micro'!$B417=BP$2,'Atividades Micro'!$G417="Macro",'Atividades Micro'!$K417&lt;&gt;""),'Atividades Micro'!$K417,"")</f>
        <v/>
      </c>
      <c r="BQ365" s="21" t="str">
        <f>IF(AND('Atividades Micro'!$B417=BQ$2,'Atividades Micro'!$G417="Macro",'Atividades Micro'!$K417&lt;&gt;""),'Atividades Micro'!$K417,"")</f>
        <v/>
      </c>
      <c r="BR365" s="21" t="str">
        <f>IF(AND('Atividades Micro'!$B417=BR$2,'Atividades Micro'!$G417="Macro",'Atividades Micro'!$K417&lt;&gt;""),'Atividades Micro'!$K417,"")</f>
        <v/>
      </c>
      <c r="BS365" s="21" t="str">
        <f>IF(AND('Atividades Micro'!$B417=BS$2,'Atividades Micro'!$G417="Macro",'Atividades Micro'!$K417&lt;&gt;""),'Atividades Micro'!$K417,"")</f>
        <v/>
      </c>
      <c r="BT365" s="21" t="str">
        <f>IF(AND('Atividades Micro'!$B417=BT$2,'Atividades Micro'!$G417="Macro",'Atividades Micro'!$K417&lt;&gt;""),'Atividades Micro'!$K417,"")</f>
        <v/>
      </c>
      <c r="BU365" s="21" t="str">
        <f>IF(AND('Atividades Micro'!$B417=BU$2,'Atividades Micro'!$G417="Macro",'Atividades Micro'!$K417&lt;&gt;""),'Atividades Micro'!$K417,"")</f>
        <v/>
      </c>
      <c r="BV365" s="21" t="str">
        <f>IF(AND('Atividades Micro'!$B417=BV$2,'Atividades Micro'!$G417="Macro",'Atividades Micro'!$K417&lt;&gt;""),'Atividades Micro'!$K417,"")</f>
        <v/>
      </c>
      <c r="BW365" s="21" t="str">
        <f>IF(AND('Atividades Micro'!$B417=BW$2,'Atividades Micro'!$G417="Macro",'Atividades Micro'!$K417&lt;&gt;""),'Atividades Micro'!$K417,"")</f>
        <v/>
      </c>
      <c r="BX365" s="21" t="str">
        <f>IF(AND('Atividades Micro'!$B417=BX$2,'Atividades Micro'!$G417="Macro",'Atividades Micro'!$K417&lt;&gt;""),'Atividades Micro'!$K417,"")</f>
        <v/>
      </c>
      <c r="BY365" s="21" t="str">
        <f>IF(AND('Atividades Micro'!$B417=BY$2,'Atividades Micro'!$G417="Macro",'Atividades Micro'!$K417&lt;&gt;""),'Atividades Micro'!$K417,"")</f>
        <v/>
      </c>
      <c r="BZ365" s="21" t="str">
        <f>IF(AND('Atividades Micro'!$B417=BZ$2,'Atividades Micro'!$G417="Macro",'Atividades Micro'!$K417&lt;&gt;""),'Atividades Micro'!$K417,"")</f>
        <v/>
      </c>
      <c r="CA365" s="21" t="str">
        <f>IF(AND('Atividades Micro'!$B417=CA$2,'Atividades Micro'!$G417="Macro",'Atividades Micro'!$K417&lt;&gt;""),'Atividades Micro'!$K417,"")</f>
        <v/>
      </c>
      <c r="CB365" s="21" t="str">
        <f>IF(AND('Atividades Micro'!$B417=CB$2,'Atividades Micro'!$G417="Macro",'Atividades Micro'!$K417&lt;&gt;""),'Atividades Micro'!$K417,"")</f>
        <v/>
      </c>
      <c r="CC365" s="21" t="str">
        <f>IF(AND('Atividades Micro'!$B417=CC$2,'Atividades Micro'!$G417="Macro",'Atividades Micro'!$K417&lt;&gt;""),'Atividades Micro'!$K417,"")</f>
        <v/>
      </c>
      <c r="CD365" s="21" t="str">
        <f>IF(AND('Atividades Micro'!$B417=CD$2,'Atividades Micro'!$G417="Micro",'Atividades Micro'!$K417&lt;&gt;""),'Atividades Micro'!$K417,"")</f>
        <v/>
      </c>
      <c r="CE365" s="21" t="str">
        <f>IF(AND('Atividades Micro'!$B417=CE$2,'Atividades Micro'!$G417="Micro",'Atividades Micro'!$K417&lt;&gt;""),'Atividades Micro'!$K417,"")</f>
        <v/>
      </c>
      <c r="CF365" s="21" t="str">
        <f>IF(AND('Atividades Micro'!$B417=CF$2,'Atividades Micro'!$G417="Micro",'Atividades Micro'!$K417&lt;&gt;""),'Atividades Micro'!$K417,"")</f>
        <v/>
      </c>
      <c r="CG365" s="21" t="str">
        <f>IF(AND('Atividades Micro'!$B417=CG$2,'Atividades Micro'!$G417="Micro",'Atividades Micro'!$K417&lt;&gt;""),'Atividades Micro'!$K417,"")</f>
        <v/>
      </c>
      <c r="CH365" s="21" t="str">
        <f>IF(AND('Atividades Micro'!$B417=CH$2,'Atividades Micro'!$G417="Micro",'Atividades Micro'!$K417&lt;&gt;""),'Atividades Micro'!$K417,"")</f>
        <v/>
      </c>
      <c r="CI365" s="21" t="str">
        <f>IF(AND('Atividades Micro'!$B417=CI$2,'Atividades Micro'!$G417="Micro",'Atividades Micro'!$K417&lt;&gt;""),'Atividades Micro'!$K417,"")</f>
        <v/>
      </c>
      <c r="CJ365" s="21" t="str">
        <f>IF(AND('Atividades Micro'!$B417=CJ$2,'Atividades Micro'!$G417="Micro",'Atividades Micro'!$K417&lt;&gt;""),'Atividades Micro'!$K417,"")</f>
        <v/>
      </c>
      <c r="CK365" s="21" t="str">
        <f>IF(AND('Atividades Micro'!$B417=CK$2,'Atividades Micro'!$G417="Micro",'Atividades Micro'!$K417&lt;&gt;""),'Atividades Micro'!$K417,"")</f>
        <v/>
      </c>
      <c r="CL365" s="21" t="str">
        <f>IF(AND('Atividades Micro'!$B417=CL$2,'Atividades Micro'!$G417="Micro",'Atividades Micro'!$K417&lt;&gt;""),'Atividades Micro'!$K417,"")</f>
        <v/>
      </c>
      <c r="CM365" s="21" t="str">
        <f>IF(AND('Atividades Micro'!$B417=CM$2,'Atividades Micro'!$G417="Micro",'Atividades Micro'!$K417&lt;&gt;""),'Atividades Micro'!$K417,"")</f>
        <v/>
      </c>
      <c r="CN365" s="21" t="str">
        <f>IF(AND('Atividades Micro'!$B417=CN$2,'Atividades Micro'!$G417="Micro",'Atividades Micro'!$K417&lt;&gt;""),'Atividades Micro'!$K417,"")</f>
        <v/>
      </c>
      <c r="CO365" s="21" t="str">
        <f>IF(AND('Atividades Micro'!$B417=CO$2,'Atividades Micro'!$G417="Micro",'Atividades Micro'!$K417&lt;&gt;""),'Atividades Micro'!$K417,"")</f>
        <v/>
      </c>
    </row>
    <row r="366" spans="1:93">
      <c r="A366" s="21" t="str">
        <f>IF(AND('Atividades Micro'!$A418=A$2,'Atividades Micro'!$K418&lt;&gt;""),'Atividades Micro'!$K418,"")</f>
        <v/>
      </c>
      <c r="B366" s="21" t="str">
        <f>IF(AND('Atividades Micro'!$A418=B$2,'Atividades Micro'!$L418&lt;&gt;""),'Atividades Micro'!$L418,"")</f>
        <v/>
      </c>
      <c r="C366" s="21" t="str">
        <f>IF(AND('Atividades Micro'!$A418=C$2,'Atividades Micro'!$K418&lt;&gt;""),'Atividades Micro'!$K418,"")</f>
        <v/>
      </c>
      <c r="D366" s="21" t="str">
        <f>IF(AND('Atividades Micro'!$A418=D$2,'Atividades Micro'!$L418&lt;&gt;""),'Atividades Micro'!$L418,"")</f>
        <v/>
      </c>
      <c r="E366" s="21" t="str">
        <f>IF(AND('Atividades Micro'!$A418=E$2,'Atividades Micro'!$K418&lt;&gt;""),'Atividades Micro'!$K418,"")</f>
        <v/>
      </c>
      <c r="F366" s="21" t="str">
        <f>IF(AND('Atividades Micro'!$A418=F$2,'Atividades Micro'!$L418&lt;&gt;""),'Atividades Micro'!$L418,"")</f>
        <v/>
      </c>
      <c r="G366" s="21" t="str">
        <f>IF(AND('Atividades Micro'!$A418=G$2,'Atividades Micro'!$K418&lt;&gt;""),'Atividades Micro'!$K418,"")</f>
        <v/>
      </c>
      <c r="H366" s="21" t="str">
        <f>IF(AND('Atividades Micro'!$A418=H$2,'Atividades Micro'!$L418&lt;&gt;""),'Atividades Micro'!$L418,"")</f>
        <v/>
      </c>
      <c r="I366" s="21" t="str">
        <f>IF(AND('Atividades Micro'!$A418=I$2,'Atividades Micro'!$K418&lt;&gt;""),'Atividades Micro'!$K418,"")</f>
        <v/>
      </c>
      <c r="J366" s="21" t="str">
        <f>IF(AND('Atividades Micro'!$A418=J$2,'Atividades Micro'!$L418&lt;&gt;""),'Atividades Micro'!$L418,"")</f>
        <v/>
      </c>
      <c r="K366" s="21" t="str">
        <f>IF(AND('Atividades Micro'!$B418=K$2,'Atividades Micro'!$K418&lt;&gt;""),'Atividades Micro'!$K418,"")</f>
        <v/>
      </c>
      <c r="L366" s="21" t="str">
        <f>IF(AND('Atividades Micro'!$B418=L$2,'Atividades Micro'!$L418&lt;&gt;""),'Atividades Micro'!$L418,"")</f>
        <v/>
      </c>
      <c r="M366" s="21" t="str">
        <f>IF(AND('Atividades Micro'!$B418=M$2,'Atividades Micro'!$K418&lt;&gt;""),'Atividades Micro'!$K418,"")</f>
        <v/>
      </c>
      <c r="N366" s="21" t="str">
        <f>IF(AND('Atividades Micro'!$B418=N$2,'Atividades Micro'!$L418&lt;&gt;""),'Atividades Micro'!$L418,"")</f>
        <v/>
      </c>
      <c r="O366" s="21" t="str">
        <f>IF(AND('Atividades Micro'!$A418=O$2,'Atividades Micro'!$K418&lt;&gt;""),'Atividades Micro'!$K418,"")</f>
        <v/>
      </c>
      <c r="P366" s="21" t="str">
        <f>IF(AND('Atividades Micro'!$A418=P$2,'Atividades Micro'!$L418&lt;&gt;""),'Atividades Micro'!$L418,"")</f>
        <v/>
      </c>
      <c r="Q366" s="21" t="str">
        <f>IF(AND('Atividades Micro'!$B418=Q$2,'Atividades Micro'!$K418&lt;&gt;""),'Atividades Micro'!$K418,"")</f>
        <v/>
      </c>
      <c r="R366" s="21" t="str">
        <f>IF(AND('Atividades Micro'!$B418=R$2,'Atividades Micro'!$L418&lt;&gt;""),'Atividades Micro'!$L418,"")</f>
        <v/>
      </c>
      <c r="S366" s="21" t="str">
        <f>IF(AND('Atividades Micro'!$A418=S$2,'Atividades Micro'!$K418&lt;&gt;""),'Atividades Micro'!$K418,"")</f>
        <v/>
      </c>
      <c r="T366" s="21" t="str">
        <f>IF(AND('Atividades Micro'!$A418=T$2,'Atividades Micro'!$L418&lt;&gt;""),'Atividades Micro'!$L418,"")</f>
        <v/>
      </c>
      <c r="U366" s="21" t="str">
        <f>IF(AND('Atividades Micro'!$B418=U$2,'Atividades Micro'!$K418&lt;&gt;""),'Atividades Micro'!$K418,"")</f>
        <v/>
      </c>
      <c r="V366" s="21" t="str">
        <f>IF(AND('Atividades Micro'!$B418=V$2,'Atividades Micro'!$L418&lt;&gt;""),'Atividades Micro'!$L418,"")</f>
        <v/>
      </c>
      <c r="W366" s="21" t="str">
        <f>IF(AND('Atividades Micro'!$B418=W$2,'Atividades Micro'!$K418&lt;&gt;""),'Atividades Micro'!$K418,"")</f>
        <v/>
      </c>
      <c r="X366" s="21" t="str">
        <f>IF(AND('Atividades Micro'!$B418=X$2,'Atividades Micro'!$L418&lt;&gt;""),'Atividades Micro'!$L418,"")</f>
        <v/>
      </c>
      <c r="Y366" s="21" t="str">
        <f>IF(AND('Atividades Micro'!$A418=Y$2,'Atividades Micro'!$K418&lt;&gt;""),'Atividades Micro'!$K418,"")</f>
        <v/>
      </c>
      <c r="Z366" s="21" t="str">
        <f>IF(AND('Atividades Micro'!$A418=Z$2,'Atividades Micro'!$L418&lt;&gt;""),'Atividades Micro'!$L418,"")</f>
        <v/>
      </c>
      <c r="AA366" s="21" t="str">
        <f>IF(AND('Atividades Micro'!$B418=AA$2,'Atividades Micro'!$K418&lt;&gt;""),'Atividades Micro'!$K418,"")</f>
        <v/>
      </c>
      <c r="AB366" s="21" t="str">
        <f>IF(AND('Atividades Micro'!$B418=AB$2,'Atividades Micro'!$L418&lt;&gt;""),'Atividades Micro'!$L418,"")</f>
        <v/>
      </c>
      <c r="AC366" s="21" t="str">
        <f>IF(AND('Atividades Micro'!$B418=AC$2,'Atividades Micro'!$K418&lt;&gt;""),'Atividades Micro'!$K418,"")</f>
        <v/>
      </c>
      <c r="AD366" s="21" t="str">
        <f>IF(AND('Atividades Micro'!$B418=AD$2,'Atividades Micro'!$L418&lt;&gt;""),'Atividades Micro'!$L418,"")</f>
        <v/>
      </c>
      <c r="AE366" s="21" t="str">
        <f>IF(AND('Atividades Micro'!$A418=AE$2,'Atividades Micro'!$K418&lt;&gt;""),'Atividades Micro'!$K418,"")</f>
        <v/>
      </c>
      <c r="AF366" s="21" t="str">
        <f>IF(AND('Atividades Micro'!$A418=AF$2,'Atividades Micro'!$L418&lt;&gt;""),'Atividades Micro'!$L418,"")</f>
        <v/>
      </c>
      <c r="AG366" s="21" t="str">
        <f>IF(AND('Atividades Micro'!$B418=AG$2,'Atividades Micro'!$K418&lt;&gt;""),'Atividades Micro'!$K418,"")</f>
        <v/>
      </c>
      <c r="AH366" s="21" t="str">
        <f>IF(AND('Atividades Micro'!$B418=AH$2,'Atividades Micro'!$L418&lt;&gt;""),'Atividades Micro'!$L418,"")</f>
        <v/>
      </c>
      <c r="AI366" s="21" t="str">
        <f>IF(AND('Atividades Micro'!$B418=AI$2,'Atividades Micro'!$K418&lt;&gt;""),'Atividades Micro'!$K418,"")</f>
        <v/>
      </c>
      <c r="AJ366" s="21" t="str">
        <f>IF(AND('Atividades Micro'!$B418=AJ$2,'Atividades Micro'!$L418&lt;&gt;""),'Atividades Micro'!$L418,"")</f>
        <v/>
      </c>
      <c r="AK366" s="21" t="str">
        <f>IF(AND('Atividades Micro'!$A418=AK$2,'Atividades Micro'!$K418&lt;&gt;""),'Atividades Micro'!$K418,"")</f>
        <v/>
      </c>
      <c r="AL366" s="21" t="str">
        <f>IF(AND('Atividades Micro'!$A418=AL$2,'Atividades Micro'!$L418&lt;&gt;""),'Atividades Micro'!$L418,"")</f>
        <v/>
      </c>
      <c r="AM366" s="21" t="str">
        <f>IF(AND('Atividades Micro'!$B418=AM$2,'Atividades Micro'!$K418&lt;&gt;""),'Atividades Micro'!$K418,"")</f>
        <v/>
      </c>
      <c r="AN366" s="21" t="str">
        <f>IF(AND('Atividades Micro'!$B418=AN$2,'Atividades Micro'!$L418&lt;&gt;""),'Atividades Micro'!$L418,"")</f>
        <v/>
      </c>
      <c r="AO366" s="21" t="str">
        <f>IF(AND('Atividades Micro'!$B418=AO$2,'Atividades Micro'!$K418&lt;&gt;""),'Atividades Micro'!$K418,"")</f>
        <v/>
      </c>
      <c r="AP366" s="21" t="str">
        <f>IF(AND('Atividades Micro'!$B418=AP$2,'Atividades Micro'!$L418&lt;&gt;""),'Atividades Micro'!$L418,"")</f>
        <v/>
      </c>
      <c r="AQ366" s="21" t="str">
        <f>IF(AND('Atividades Micro'!$A418=AQ$2,'Atividades Micro'!$K418&lt;&gt;""),'Atividades Micro'!$K418,"")</f>
        <v/>
      </c>
      <c r="AR366" s="21" t="str">
        <f>IF(AND('Atividades Micro'!$A418=AR$2,'Atividades Micro'!$L418&lt;&gt;""),'Atividades Micro'!$L418,"")</f>
        <v/>
      </c>
      <c r="AS366" s="21" t="str">
        <f>IF(AND('Atividades Micro'!$B418=AS$2,'Atividades Micro'!$K418&lt;&gt;""),'Atividades Micro'!$K418,"")</f>
        <v/>
      </c>
      <c r="AT366" s="21" t="str">
        <f>IF(AND('Atividades Micro'!$B418=AT$2,'Atividades Micro'!$L418&lt;&gt;""),'Atividades Micro'!$L418,"")</f>
        <v/>
      </c>
      <c r="AU366" s="21" t="str">
        <f>IF(AND('Atividades Micro'!$A418=AU$2,'Atividades Micro'!$K418&lt;&gt;""),'Atividades Micro'!$K418,"")</f>
        <v/>
      </c>
      <c r="AV366" s="21" t="str">
        <f>IF(AND('Atividades Micro'!$A418=AV$2,'Atividades Micro'!$L418&lt;&gt;""),'Atividades Micro'!$L418,"")</f>
        <v/>
      </c>
      <c r="AW366" s="21" t="str">
        <f>IF(AND('Atividades Micro'!$B418=AW$2,'Atividades Micro'!$K418&lt;&gt;""),'Atividades Micro'!$K418,"")</f>
        <v/>
      </c>
      <c r="AX366" s="21" t="str">
        <f>IF(AND('Atividades Micro'!$B418=AX$2,'Atividades Micro'!$L418&lt;&gt;""),'Atividades Micro'!$L418,"")</f>
        <v/>
      </c>
      <c r="AY366" s="21" t="str">
        <f>IF(AND('Atividades Micro'!$A418=AY$2,'Atividades Micro'!$K418&lt;&gt;""),'Atividades Micro'!$K418,"")</f>
        <v/>
      </c>
      <c r="AZ366" s="21" t="str">
        <f>IF(AND('Atividades Micro'!$A418=AZ$2,'Atividades Micro'!$L418&lt;&gt;""),'Atividades Micro'!$L418,"")</f>
        <v/>
      </c>
      <c r="BA366" s="21" t="str">
        <f>IF(AND('Atividades Micro'!$B418=BA$2,'Atividades Micro'!$K418&lt;&gt;""),'Atividades Micro'!$K418,"")</f>
        <v/>
      </c>
      <c r="BB366" s="21" t="str">
        <f>IF(AND('Atividades Micro'!$B418=BB$2,'Atividades Micro'!$L418&lt;&gt;""),'Atividades Micro'!$L418,"")</f>
        <v/>
      </c>
      <c r="BC366" s="21" t="str">
        <f>IF(AND('Atividades Micro'!$B418=BC$2,'Atividades Micro'!$G418="Macro",'Atividades Micro'!$K418&lt;&gt;""),'Atividades Micro'!$K418,"")</f>
        <v/>
      </c>
      <c r="BD366" s="21" t="str">
        <f>IF(AND('Atividades Micro'!$B418=BD$2,'Atividades Micro'!$G418="Macro",'Atividades Micro'!$K418&lt;&gt;""),'Atividades Micro'!$K418,"")</f>
        <v/>
      </c>
      <c r="BE366" s="21" t="str">
        <f>IF(AND('Atividades Micro'!$B418=BE$2,'Atividades Micro'!$G418="Macro",'Atividades Micro'!$K418&lt;&gt;""),'Atividades Micro'!$K418,"")</f>
        <v/>
      </c>
      <c r="BF366" s="21" t="str">
        <f>IF(AND('Atividades Micro'!$B418=BF$2,'Atividades Micro'!$G418="Macro",'Atividades Micro'!$K418&lt;&gt;""),'Atividades Micro'!$K418,"")</f>
        <v/>
      </c>
      <c r="BG366" s="21" t="str">
        <f>IF(AND('Atividades Micro'!$B418=BG$2,'Atividades Micro'!$G418="Macro",'Atividades Micro'!$K418&lt;&gt;""),'Atividades Micro'!$K418,"")</f>
        <v/>
      </c>
      <c r="BH366" s="21" t="str">
        <f>IF(AND('Atividades Micro'!$B418=BH$2,'Atividades Micro'!$G418="Macro",'Atividades Micro'!$K418&lt;&gt;""),'Atividades Micro'!$K418,"")</f>
        <v/>
      </c>
      <c r="BI366" s="21" t="str">
        <f>IF(AND('Atividades Micro'!$B418=BI$2,'Atividades Micro'!$G418="Macro",'Atividades Micro'!$K418&lt;&gt;""),'Atividades Micro'!$K418,"")</f>
        <v/>
      </c>
      <c r="BJ366" s="21" t="str">
        <f>IF(AND('Atividades Micro'!$B418=BJ$2,'Atividades Micro'!$G418="Macro",'Atividades Micro'!$K418&lt;&gt;""),'Atividades Micro'!$K418,"")</f>
        <v/>
      </c>
      <c r="BK366" s="21" t="str">
        <f>IF(AND('Atividades Micro'!$B418=BK$2,'Atividades Micro'!$G418="Macro",'Atividades Micro'!$K418&lt;&gt;""),'Atividades Micro'!$K418,"")</f>
        <v/>
      </c>
      <c r="BL366" s="21" t="str">
        <f>IF(AND('Atividades Micro'!$B418=BL$2,'Atividades Micro'!$G418="Macro",'Atividades Micro'!$K418&lt;&gt;""),'Atividades Micro'!$K418,"")</f>
        <v/>
      </c>
      <c r="BM366" s="21" t="str">
        <f>IF(AND('Atividades Micro'!$B418=BM$2,'Atividades Micro'!$G418="Macro",'Atividades Micro'!$K418&lt;&gt;""),'Atividades Micro'!$K418,"")</f>
        <v/>
      </c>
      <c r="BN366" s="21" t="str">
        <f>IF(AND('Atividades Micro'!$B418=BN$2,'Atividades Micro'!$G418="Macro",'Atividades Micro'!$K418&lt;&gt;""),'Atividades Micro'!$K418,"")</f>
        <v/>
      </c>
      <c r="BO366" s="21" t="str">
        <f>IF(AND('Atividades Micro'!$B418=BO$2,'Atividades Micro'!$G418="Macro",'Atividades Micro'!$K418&lt;&gt;""),'Atividades Micro'!$K418,"")</f>
        <v/>
      </c>
      <c r="BP366" s="21" t="str">
        <f>IF(AND('Atividades Micro'!$B418=BP$2,'Atividades Micro'!$G418="Macro",'Atividades Micro'!$K418&lt;&gt;""),'Atividades Micro'!$K418,"")</f>
        <v/>
      </c>
      <c r="BQ366" s="21" t="str">
        <f>IF(AND('Atividades Micro'!$B418=BQ$2,'Atividades Micro'!$G418="Macro",'Atividades Micro'!$K418&lt;&gt;""),'Atividades Micro'!$K418,"")</f>
        <v/>
      </c>
      <c r="BR366" s="21" t="str">
        <f>IF(AND('Atividades Micro'!$B418=BR$2,'Atividades Micro'!$G418="Macro",'Atividades Micro'!$K418&lt;&gt;""),'Atividades Micro'!$K418,"")</f>
        <v/>
      </c>
      <c r="BS366" s="21" t="str">
        <f>IF(AND('Atividades Micro'!$B418=BS$2,'Atividades Micro'!$G418="Macro",'Atividades Micro'!$K418&lt;&gt;""),'Atividades Micro'!$K418,"")</f>
        <v/>
      </c>
      <c r="BT366" s="21" t="str">
        <f>IF(AND('Atividades Micro'!$B418=BT$2,'Atividades Micro'!$G418="Macro",'Atividades Micro'!$K418&lt;&gt;""),'Atividades Micro'!$K418,"")</f>
        <v/>
      </c>
      <c r="BU366" s="21" t="str">
        <f>IF(AND('Atividades Micro'!$B418=BU$2,'Atividades Micro'!$G418="Macro",'Atividades Micro'!$K418&lt;&gt;""),'Atividades Micro'!$K418,"")</f>
        <v/>
      </c>
      <c r="BV366" s="21" t="str">
        <f>IF(AND('Atividades Micro'!$B418=BV$2,'Atividades Micro'!$G418="Macro",'Atividades Micro'!$K418&lt;&gt;""),'Atividades Micro'!$K418,"")</f>
        <v/>
      </c>
      <c r="BW366" s="21" t="str">
        <f>IF(AND('Atividades Micro'!$B418=BW$2,'Atividades Micro'!$G418="Macro",'Atividades Micro'!$K418&lt;&gt;""),'Atividades Micro'!$K418,"")</f>
        <v/>
      </c>
      <c r="BX366" s="21" t="str">
        <f>IF(AND('Atividades Micro'!$B418=BX$2,'Atividades Micro'!$G418="Macro",'Atividades Micro'!$K418&lt;&gt;""),'Atividades Micro'!$K418,"")</f>
        <v/>
      </c>
      <c r="BY366" s="21" t="str">
        <f>IF(AND('Atividades Micro'!$B418=BY$2,'Atividades Micro'!$G418="Macro",'Atividades Micro'!$K418&lt;&gt;""),'Atividades Micro'!$K418,"")</f>
        <v/>
      </c>
      <c r="BZ366" s="21" t="str">
        <f>IF(AND('Atividades Micro'!$B418=BZ$2,'Atividades Micro'!$G418="Macro",'Atividades Micro'!$K418&lt;&gt;""),'Atividades Micro'!$K418,"")</f>
        <v/>
      </c>
      <c r="CA366" s="21" t="str">
        <f>IF(AND('Atividades Micro'!$B418=CA$2,'Atividades Micro'!$G418="Macro",'Atividades Micro'!$K418&lt;&gt;""),'Atividades Micro'!$K418,"")</f>
        <v/>
      </c>
      <c r="CB366" s="21" t="str">
        <f>IF(AND('Atividades Micro'!$B418=CB$2,'Atividades Micro'!$G418="Macro",'Atividades Micro'!$K418&lt;&gt;""),'Atividades Micro'!$K418,"")</f>
        <v/>
      </c>
      <c r="CC366" s="21" t="str">
        <f>IF(AND('Atividades Micro'!$B418=CC$2,'Atividades Micro'!$G418="Macro",'Atividades Micro'!$K418&lt;&gt;""),'Atividades Micro'!$K418,"")</f>
        <v/>
      </c>
      <c r="CD366" s="21" t="str">
        <f>IF(AND('Atividades Micro'!$B418=CD$2,'Atividades Micro'!$G418="Micro",'Atividades Micro'!$K418&lt;&gt;""),'Atividades Micro'!$K418,"")</f>
        <v/>
      </c>
      <c r="CE366" s="21" t="str">
        <f>IF(AND('Atividades Micro'!$B418=CE$2,'Atividades Micro'!$G418="Micro",'Atividades Micro'!$K418&lt;&gt;""),'Atividades Micro'!$K418,"")</f>
        <v/>
      </c>
      <c r="CF366" s="21" t="str">
        <f>IF(AND('Atividades Micro'!$B418=CF$2,'Atividades Micro'!$G418="Micro",'Atividades Micro'!$K418&lt;&gt;""),'Atividades Micro'!$K418,"")</f>
        <v/>
      </c>
      <c r="CG366" s="21" t="str">
        <f>IF(AND('Atividades Micro'!$B418=CG$2,'Atividades Micro'!$G418="Micro",'Atividades Micro'!$K418&lt;&gt;""),'Atividades Micro'!$K418,"")</f>
        <v/>
      </c>
      <c r="CH366" s="21" t="str">
        <f>IF(AND('Atividades Micro'!$B418=CH$2,'Atividades Micro'!$G418="Micro",'Atividades Micro'!$K418&lt;&gt;""),'Atividades Micro'!$K418,"")</f>
        <v/>
      </c>
      <c r="CI366" s="21" t="str">
        <f>IF(AND('Atividades Micro'!$B418=CI$2,'Atividades Micro'!$G418="Micro",'Atividades Micro'!$K418&lt;&gt;""),'Atividades Micro'!$K418,"")</f>
        <v/>
      </c>
      <c r="CJ366" s="21" t="str">
        <f>IF(AND('Atividades Micro'!$B418=CJ$2,'Atividades Micro'!$G418="Micro",'Atividades Micro'!$K418&lt;&gt;""),'Atividades Micro'!$K418,"")</f>
        <v/>
      </c>
      <c r="CK366" s="21" t="str">
        <f>IF(AND('Atividades Micro'!$B418=CK$2,'Atividades Micro'!$G418="Micro",'Atividades Micro'!$K418&lt;&gt;""),'Atividades Micro'!$K418,"")</f>
        <v/>
      </c>
      <c r="CL366" s="21" t="str">
        <f>IF(AND('Atividades Micro'!$B418=CL$2,'Atividades Micro'!$G418="Micro",'Atividades Micro'!$K418&lt;&gt;""),'Atividades Micro'!$K418,"")</f>
        <v/>
      </c>
      <c r="CM366" s="21" t="str">
        <f>IF(AND('Atividades Micro'!$B418=CM$2,'Atividades Micro'!$G418="Micro",'Atividades Micro'!$K418&lt;&gt;""),'Atividades Micro'!$K418,"")</f>
        <v/>
      </c>
      <c r="CN366" s="21" t="str">
        <f>IF(AND('Atividades Micro'!$B418=CN$2,'Atividades Micro'!$G418="Micro",'Atividades Micro'!$K418&lt;&gt;""),'Atividades Micro'!$K418,"")</f>
        <v/>
      </c>
      <c r="CO366" s="21" t="str">
        <f>IF(AND('Atividades Micro'!$B418=CO$2,'Atividades Micro'!$G418="Micro",'Atividades Micro'!$K418&lt;&gt;""),'Atividades Micro'!$K418,"")</f>
        <v/>
      </c>
    </row>
    <row r="367" spans="1:93">
      <c r="A367" s="21" t="str">
        <f>IF(AND('Atividades Micro'!$A419=A$2,'Atividades Micro'!$K419&lt;&gt;""),'Atividades Micro'!$K419,"")</f>
        <v/>
      </c>
      <c r="B367" s="21" t="str">
        <f>IF(AND('Atividades Micro'!$A419=B$2,'Atividades Micro'!$L419&lt;&gt;""),'Atividades Micro'!$L419,"")</f>
        <v/>
      </c>
      <c r="C367" s="21" t="str">
        <f>IF(AND('Atividades Micro'!$A419=C$2,'Atividades Micro'!$K419&lt;&gt;""),'Atividades Micro'!$K419,"")</f>
        <v/>
      </c>
      <c r="D367" s="21" t="str">
        <f>IF(AND('Atividades Micro'!$A419=D$2,'Atividades Micro'!$L419&lt;&gt;""),'Atividades Micro'!$L419,"")</f>
        <v/>
      </c>
      <c r="E367" s="21" t="str">
        <f>IF(AND('Atividades Micro'!$A419=E$2,'Atividades Micro'!$K419&lt;&gt;""),'Atividades Micro'!$K419,"")</f>
        <v/>
      </c>
      <c r="F367" s="21" t="str">
        <f>IF(AND('Atividades Micro'!$A419=F$2,'Atividades Micro'!$L419&lt;&gt;""),'Atividades Micro'!$L419,"")</f>
        <v/>
      </c>
      <c r="G367" s="21" t="str">
        <f>IF(AND('Atividades Micro'!$A419=G$2,'Atividades Micro'!$K419&lt;&gt;""),'Atividades Micro'!$K419,"")</f>
        <v/>
      </c>
      <c r="H367" s="21" t="str">
        <f>IF(AND('Atividades Micro'!$A419=H$2,'Atividades Micro'!$L419&lt;&gt;""),'Atividades Micro'!$L419,"")</f>
        <v/>
      </c>
      <c r="I367" s="21" t="str">
        <f>IF(AND('Atividades Micro'!$A419=I$2,'Atividades Micro'!$K419&lt;&gt;""),'Atividades Micro'!$K419,"")</f>
        <v/>
      </c>
      <c r="J367" s="21" t="str">
        <f>IF(AND('Atividades Micro'!$A419=J$2,'Atividades Micro'!$L419&lt;&gt;""),'Atividades Micro'!$L419,"")</f>
        <v/>
      </c>
      <c r="K367" s="21" t="str">
        <f>IF(AND('Atividades Micro'!$B419=K$2,'Atividades Micro'!$K419&lt;&gt;""),'Atividades Micro'!$K419,"")</f>
        <v/>
      </c>
      <c r="L367" s="21" t="str">
        <f>IF(AND('Atividades Micro'!$B419=L$2,'Atividades Micro'!$L419&lt;&gt;""),'Atividades Micro'!$L419,"")</f>
        <v/>
      </c>
      <c r="M367" s="21" t="str">
        <f>IF(AND('Atividades Micro'!$B419=M$2,'Atividades Micro'!$K419&lt;&gt;""),'Atividades Micro'!$K419,"")</f>
        <v/>
      </c>
      <c r="N367" s="21" t="str">
        <f>IF(AND('Atividades Micro'!$B419=N$2,'Atividades Micro'!$L419&lt;&gt;""),'Atividades Micro'!$L419,"")</f>
        <v/>
      </c>
      <c r="O367" s="21" t="str">
        <f>IF(AND('Atividades Micro'!$A419=O$2,'Atividades Micro'!$K419&lt;&gt;""),'Atividades Micro'!$K419,"")</f>
        <v/>
      </c>
      <c r="P367" s="21" t="str">
        <f>IF(AND('Atividades Micro'!$A419=P$2,'Atividades Micro'!$L419&lt;&gt;""),'Atividades Micro'!$L419,"")</f>
        <v/>
      </c>
      <c r="Q367" s="21" t="str">
        <f>IF(AND('Atividades Micro'!$B419=Q$2,'Atividades Micro'!$K419&lt;&gt;""),'Atividades Micro'!$K419,"")</f>
        <v/>
      </c>
      <c r="R367" s="21" t="str">
        <f>IF(AND('Atividades Micro'!$B419=R$2,'Atividades Micro'!$L419&lt;&gt;""),'Atividades Micro'!$L419,"")</f>
        <v/>
      </c>
      <c r="S367" s="21" t="str">
        <f>IF(AND('Atividades Micro'!$A419=S$2,'Atividades Micro'!$K419&lt;&gt;""),'Atividades Micro'!$K419,"")</f>
        <v/>
      </c>
      <c r="T367" s="21" t="str">
        <f>IF(AND('Atividades Micro'!$A419=T$2,'Atividades Micro'!$L419&lt;&gt;""),'Atividades Micro'!$L419,"")</f>
        <v/>
      </c>
      <c r="U367" s="21" t="str">
        <f>IF(AND('Atividades Micro'!$B419=U$2,'Atividades Micro'!$K419&lt;&gt;""),'Atividades Micro'!$K419,"")</f>
        <v/>
      </c>
      <c r="V367" s="21" t="str">
        <f>IF(AND('Atividades Micro'!$B419=V$2,'Atividades Micro'!$L419&lt;&gt;""),'Atividades Micro'!$L419,"")</f>
        <v/>
      </c>
      <c r="W367" s="21" t="str">
        <f>IF(AND('Atividades Micro'!$B419=W$2,'Atividades Micro'!$K419&lt;&gt;""),'Atividades Micro'!$K419,"")</f>
        <v/>
      </c>
      <c r="X367" s="21" t="str">
        <f>IF(AND('Atividades Micro'!$B419=X$2,'Atividades Micro'!$L419&lt;&gt;""),'Atividades Micro'!$L419,"")</f>
        <v/>
      </c>
      <c r="Y367" s="21" t="str">
        <f>IF(AND('Atividades Micro'!$A419=Y$2,'Atividades Micro'!$K419&lt;&gt;""),'Atividades Micro'!$K419,"")</f>
        <v/>
      </c>
      <c r="Z367" s="21" t="str">
        <f>IF(AND('Atividades Micro'!$A419=Z$2,'Atividades Micro'!$L419&lt;&gt;""),'Atividades Micro'!$L419,"")</f>
        <v/>
      </c>
      <c r="AA367" s="21" t="str">
        <f>IF(AND('Atividades Micro'!$B419=AA$2,'Atividades Micro'!$K419&lt;&gt;""),'Atividades Micro'!$K419,"")</f>
        <v/>
      </c>
      <c r="AB367" s="21" t="str">
        <f>IF(AND('Atividades Micro'!$B419=AB$2,'Atividades Micro'!$L419&lt;&gt;""),'Atividades Micro'!$L419,"")</f>
        <v/>
      </c>
      <c r="AC367" s="21" t="str">
        <f>IF(AND('Atividades Micro'!$B419=AC$2,'Atividades Micro'!$K419&lt;&gt;""),'Atividades Micro'!$K419,"")</f>
        <v/>
      </c>
      <c r="AD367" s="21" t="str">
        <f>IF(AND('Atividades Micro'!$B419=AD$2,'Atividades Micro'!$L419&lt;&gt;""),'Atividades Micro'!$L419,"")</f>
        <v/>
      </c>
      <c r="AE367" s="21" t="str">
        <f>IF(AND('Atividades Micro'!$A419=AE$2,'Atividades Micro'!$K419&lt;&gt;""),'Atividades Micro'!$K419,"")</f>
        <v/>
      </c>
      <c r="AF367" s="21" t="str">
        <f>IF(AND('Atividades Micro'!$A419=AF$2,'Atividades Micro'!$L419&lt;&gt;""),'Atividades Micro'!$L419,"")</f>
        <v/>
      </c>
      <c r="AG367" s="21" t="str">
        <f>IF(AND('Atividades Micro'!$B419=AG$2,'Atividades Micro'!$K419&lt;&gt;""),'Atividades Micro'!$K419,"")</f>
        <v/>
      </c>
      <c r="AH367" s="21" t="str">
        <f>IF(AND('Atividades Micro'!$B419=AH$2,'Atividades Micro'!$L419&lt;&gt;""),'Atividades Micro'!$L419,"")</f>
        <v/>
      </c>
      <c r="AI367" s="21" t="str">
        <f>IF(AND('Atividades Micro'!$B419=AI$2,'Atividades Micro'!$K419&lt;&gt;""),'Atividades Micro'!$K419,"")</f>
        <v/>
      </c>
      <c r="AJ367" s="21" t="str">
        <f>IF(AND('Atividades Micro'!$B419=AJ$2,'Atividades Micro'!$L419&lt;&gt;""),'Atividades Micro'!$L419,"")</f>
        <v/>
      </c>
      <c r="AK367" s="21" t="str">
        <f>IF(AND('Atividades Micro'!$A419=AK$2,'Atividades Micro'!$K419&lt;&gt;""),'Atividades Micro'!$K419,"")</f>
        <v/>
      </c>
      <c r="AL367" s="21" t="str">
        <f>IF(AND('Atividades Micro'!$A419=AL$2,'Atividades Micro'!$L419&lt;&gt;""),'Atividades Micro'!$L419,"")</f>
        <v/>
      </c>
      <c r="AM367" s="21" t="str">
        <f>IF(AND('Atividades Micro'!$B419=AM$2,'Atividades Micro'!$K419&lt;&gt;""),'Atividades Micro'!$K419,"")</f>
        <v/>
      </c>
      <c r="AN367" s="21" t="str">
        <f>IF(AND('Atividades Micro'!$B419=AN$2,'Atividades Micro'!$L419&lt;&gt;""),'Atividades Micro'!$L419,"")</f>
        <v/>
      </c>
      <c r="AO367" s="21" t="str">
        <f>IF(AND('Atividades Micro'!$B419=AO$2,'Atividades Micro'!$K419&lt;&gt;""),'Atividades Micro'!$K419,"")</f>
        <v/>
      </c>
      <c r="AP367" s="21" t="str">
        <f>IF(AND('Atividades Micro'!$B419=AP$2,'Atividades Micro'!$L419&lt;&gt;""),'Atividades Micro'!$L419,"")</f>
        <v/>
      </c>
      <c r="AQ367" s="21" t="str">
        <f>IF(AND('Atividades Micro'!$A419=AQ$2,'Atividades Micro'!$K419&lt;&gt;""),'Atividades Micro'!$K419,"")</f>
        <v/>
      </c>
      <c r="AR367" s="21" t="str">
        <f>IF(AND('Atividades Micro'!$A419=AR$2,'Atividades Micro'!$L419&lt;&gt;""),'Atividades Micro'!$L419,"")</f>
        <v/>
      </c>
      <c r="AS367" s="21" t="str">
        <f>IF(AND('Atividades Micro'!$B419=AS$2,'Atividades Micro'!$K419&lt;&gt;""),'Atividades Micro'!$K419,"")</f>
        <v/>
      </c>
      <c r="AT367" s="21" t="str">
        <f>IF(AND('Atividades Micro'!$B419=AT$2,'Atividades Micro'!$L419&lt;&gt;""),'Atividades Micro'!$L419,"")</f>
        <v/>
      </c>
      <c r="AU367" s="21" t="str">
        <f>IF(AND('Atividades Micro'!$A419=AU$2,'Atividades Micro'!$K419&lt;&gt;""),'Atividades Micro'!$K419,"")</f>
        <v/>
      </c>
      <c r="AV367" s="21" t="str">
        <f>IF(AND('Atividades Micro'!$A419=AV$2,'Atividades Micro'!$L419&lt;&gt;""),'Atividades Micro'!$L419,"")</f>
        <v/>
      </c>
      <c r="AW367" s="21" t="str">
        <f>IF(AND('Atividades Micro'!$B419=AW$2,'Atividades Micro'!$K419&lt;&gt;""),'Atividades Micro'!$K419,"")</f>
        <v/>
      </c>
      <c r="AX367" s="21" t="str">
        <f>IF(AND('Atividades Micro'!$B419=AX$2,'Atividades Micro'!$L419&lt;&gt;""),'Atividades Micro'!$L419,"")</f>
        <v/>
      </c>
      <c r="AY367" s="21" t="str">
        <f>IF(AND('Atividades Micro'!$A419=AY$2,'Atividades Micro'!$K419&lt;&gt;""),'Atividades Micro'!$K419,"")</f>
        <v/>
      </c>
      <c r="AZ367" s="21" t="str">
        <f>IF(AND('Atividades Micro'!$A419=AZ$2,'Atividades Micro'!$L419&lt;&gt;""),'Atividades Micro'!$L419,"")</f>
        <v/>
      </c>
      <c r="BA367" s="21" t="str">
        <f>IF(AND('Atividades Micro'!$B419=BA$2,'Atividades Micro'!$K419&lt;&gt;""),'Atividades Micro'!$K419,"")</f>
        <v/>
      </c>
      <c r="BB367" s="21" t="str">
        <f>IF(AND('Atividades Micro'!$B419=BB$2,'Atividades Micro'!$L419&lt;&gt;""),'Atividades Micro'!$L419,"")</f>
        <v/>
      </c>
      <c r="BC367" s="21" t="str">
        <f>IF(AND('Atividades Micro'!$B419=BC$2,'Atividades Micro'!$G419="Macro",'Atividades Micro'!$K419&lt;&gt;""),'Atividades Micro'!$K419,"")</f>
        <v/>
      </c>
      <c r="BD367" s="21" t="str">
        <f>IF(AND('Atividades Micro'!$B419=BD$2,'Atividades Micro'!$G419="Macro",'Atividades Micro'!$K419&lt;&gt;""),'Atividades Micro'!$K419,"")</f>
        <v/>
      </c>
      <c r="BE367" s="21" t="str">
        <f>IF(AND('Atividades Micro'!$B419=BE$2,'Atividades Micro'!$G419="Macro",'Atividades Micro'!$K419&lt;&gt;""),'Atividades Micro'!$K419,"")</f>
        <v/>
      </c>
      <c r="BF367" s="21" t="str">
        <f>IF(AND('Atividades Micro'!$B419=BF$2,'Atividades Micro'!$G419="Macro",'Atividades Micro'!$K419&lt;&gt;""),'Atividades Micro'!$K419,"")</f>
        <v/>
      </c>
      <c r="BG367" s="21" t="str">
        <f>IF(AND('Atividades Micro'!$B419=BG$2,'Atividades Micro'!$G419="Macro",'Atividades Micro'!$K419&lt;&gt;""),'Atividades Micro'!$K419,"")</f>
        <v/>
      </c>
      <c r="BH367" s="21" t="str">
        <f>IF(AND('Atividades Micro'!$B419=BH$2,'Atividades Micro'!$G419="Macro",'Atividades Micro'!$K419&lt;&gt;""),'Atividades Micro'!$K419,"")</f>
        <v/>
      </c>
      <c r="BI367" s="21" t="str">
        <f>IF(AND('Atividades Micro'!$B419=BI$2,'Atividades Micro'!$G419="Macro",'Atividades Micro'!$K419&lt;&gt;""),'Atividades Micro'!$K419,"")</f>
        <v/>
      </c>
      <c r="BJ367" s="21" t="str">
        <f>IF(AND('Atividades Micro'!$B419=BJ$2,'Atividades Micro'!$G419="Macro",'Atividades Micro'!$K419&lt;&gt;""),'Atividades Micro'!$K419,"")</f>
        <v/>
      </c>
      <c r="BK367" s="21" t="str">
        <f>IF(AND('Atividades Micro'!$B419=BK$2,'Atividades Micro'!$G419="Macro",'Atividades Micro'!$K419&lt;&gt;""),'Atividades Micro'!$K419,"")</f>
        <v/>
      </c>
      <c r="BL367" s="21" t="str">
        <f>IF(AND('Atividades Micro'!$B419=BL$2,'Atividades Micro'!$G419="Macro",'Atividades Micro'!$K419&lt;&gt;""),'Atividades Micro'!$K419,"")</f>
        <v/>
      </c>
      <c r="BM367" s="21" t="str">
        <f>IF(AND('Atividades Micro'!$B419=BM$2,'Atividades Micro'!$G419="Macro",'Atividades Micro'!$K419&lt;&gt;""),'Atividades Micro'!$K419,"")</f>
        <v/>
      </c>
      <c r="BN367" s="21" t="str">
        <f>IF(AND('Atividades Micro'!$B419=BN$2,'Atividades Micro'!$G419="Macro",'Atividades Micro'!$K419&lt;&gt;""),'Atividades Micro'!$K419,"")</f>
        <v/>
      </c>
      <c r="BO367" s="21" t="str">
        <f>IF(AND('Atividades Micro'!$B419=BO$2,'Atividades Micro'!$G419="Macro",'Atividades Micro'!$K419&lt;&gt;""),'Atividades Micro'!$K419,"")</f>
        <v/>
      </c>
      <c r="BP367" s="21" t="str">
        <f>IF(AND('Atividades Micro'!$B419=BP$2,'Atividades Micro'!$G419="Macro",'Atividades Micro'!$K419&lt;&gt;""),'Atividades Micro'!$K419,"")</f>
        <v/>
      </c>
      <c r="BQ367" s="21" t="str">
        <f>IF(AND('Atividades Micro'!$B419=BQ$2,'Atividades Micro'!$G419="Macro",'Atividades Micro'!$K419&lt;&gt;""),'Atividades Micro'!$K419,"")</f>
        <v/>
      </c>
      <c r="BR367" s="21" t="str">
        <f>IF(AND('Atividades Micro'!$B419=BR$2,'Atividades Micro'!$G419="Macro",'Atividades Micro'!$K419&lt;&gt;""),'Atividades Micro'!$K419,"")</f>
        <v/>
      </c>
      <c r="BS367" s="21" t="str">
        <f>IF(AND('Atividades Micro'!$B419=BS$2,'Atividades Micro'!$G419="Macro",'Atividades Micro'!$K419&lt;&gt;""),'Atividades Micro'!$K419,"")</f>
        <v/>
      </c>
      <c r="BT367" s="21" t="str">
        <f>IF(AND('Atividades Micro'!$B419=BT$2,'Atividades Micro'!$G419="Macro",'Atividades Micro'!$K419&lt;&gt;""),'Atividades Micro'!$K419,"")</f>
        <v/>
      </c>
      <c r="BU367" s="21" t="str">
        <f>IF(AND('Atividades Micro'!$B419=BU$2,'Atividades Micro'!$G419="Macro",'Atividades Micro'!$K419&lt;&gt;""),'Atividades Micro'!$K419,"")</f>
        <v/>
      </c>
      <c r="BV367" s="21" t="str">
        <f>IF(AND('Atividades Micro'!$B419=BV$2,'Atividades Micro'!$G419="Macro",'Atividades Micro'!$K419&lt;&gt;""),'Atividades Micro'!$K419,"")</f>
        <v/>
      </c>
      <c r="BW367" s="21" t="str">
        <f>IF(AND('Atividades Micro'!$B419=BW$2,'Atividades Micro'!$G419="Macro",'Atividades Micro'!$K419&lt;&gt;""),'Atividades Micro'!$K419,"")</f>
        <v/>
      </c>
      <c r="BX367" s="21" t="str">
        <f>IF(AND('Atividades Micro'!$B419=BX$2,'Atividades Micro'!$G419="Macro",'Atividades Micro'!$K419&lt;&gt;""),'Atividades Micro'!$K419,"")</f>
        <v/>
      </c>
      <c r="BY367" s="21" t="str">
        <f>IF(AND('Atividades Micro'!$B419=BY$2,'Atividades Micro'!$G419="Macro",'Atividades Micro'!$K419&lt;&gt;""),'Atividades Micro'!$K419,"")</f>
        <v/>
      </c>
      <c r="BZ367" s="21" t="str">
        <f>IF(AND('Atividades Micro'!$B419=BZ$2,'Atividades Micro'!$G419="Macro",'Atividades Micro'!$K419&lt;&gt;""),'Atividades Micro'!$K419,"")</f>
        <v/>
      </c>
      <c r="CA367" s="21" t="str">
        <f>IF(AND('Atividades Micro'!$B419=CA$2,'Atividades Micro'!$G419="Macro",'Atividades Micro'!$K419&lt;&gt;""),'Atividades Micro'!$K419,"")</f>
        <v/>
      </c>
      <c r="CB367" s="21" t="str">
        <f>IF(AND('Atividades Micro'!$B419=CB$2,'Atividades Micro'!$G419="Macro",'Atividades Micro'!$K419&lt;&gt;""),'Atividades Micro'!$K419,"")</f>
        <v/>
      </c>
      <c r="CC367" s="21" t="str">
        <f>IF(AND('Atividades Micro'!$B419=CC$2,'Atividades Micro'!$G419="Macro",'Atividades Micro'!$K419&lt;&gt;""),'Atividades Micro'!$K419,"")</f>
        <v/>
      </c>
      <c r="CD367" s="21" t="str">
        <f>IF(AND('Atividades Micro'!$B419=CD$2,'Atividades Micro'!$G419="Micro",'Atividades Micro'!$K419&lt;&gt;""),'Atividades Micro'!$K419,"")</f>
        <v/>
      </c>
      <c r="CE367" s="21" t="str">
        <f>IF(AND('Atividades Micro'!$B419=CE$2,'Atividades Micro'!$G419="Micro",'Atividades Micro'!$K419&lt;&gt;""),'Atividades Micro'!$K419,"")</f>
        <v/>
      </c>
      <c r="CF367" s="21" t="str">
        <f>IF(AND('Atividades Micro'!$B419=CF$2,'Atividades Micro'!$G419="Micro",'Atividades Micro'!$K419&lt;&gt;""),'Atividades Micro'!$K419,"")</f>
        <v/>
      </c>
      <c r="CG367" s="21" t="str">
        <f>IF(AND('Atividades Micro'!$B419=CG$2,'Atividades Micro'!$G419="Micro",'Atividades Micro'!$K419&lt;&gt;""),'Atividades Micro'!$K419,"")</f>
        <v/>
      </c>
      <c r="CH367" s="21" t="str">
        <f>IF(AND('Atividades Micro'!$B419=CH$2,'Atividades Micro'!$G419="Micro",'Atividades Micro'!$K419&lt;&gt;""),'Atividades Micro'!$K419,"")</f>
        <v/>
      </c>
      <c r="CI367" s="21" t="str">
        <f>IF(AND('Atividades Micro'!$B419=CI$2,'Atividades Micro'!$G419="Micro",'Atividades Micro'!$K419&lt;&gt;""),'Atividades Micro'!$K419,"")</f>
        <v/>
      </c>
      <c r="CJ367" s="21" t="str">
        <f>IF(AND('Atividades Micro'!$B419=CJ$2,'Atividades Micro'!$G419="Micro",'Atividades Micro'!$K419&lt;&gt;""),'Atividades Micro'!$K419,"")</f>
        <v/>
      </c>
      <c r="CK367" s="21" t="str">
        <f>IF(AND('Atividades Micro'!$B419=CK$2,'Atividades Micro'!$G419="Micro",'Atividades Micro'!$K419&lt;&gt;""),'Atividades Micro'!$K419,"")</f>
        <v/>
      </c>
      <c r="CL367" s="21" t="str">
        <f>IF(AND('Atividades Micro'!$B419=CL$2,'Atividades Micro'!$G419="Micro",'Atividades Micro'!$K419&lt;&gt;""),'Atividades Micro'!$K419,"")</f>
        <v/>
      </c>
      <c r="CM367" s="21" t="str">
        <f>IF(AND('Atividades Micro'!$B419=CM$2,'Atividades Micro'!$G419="Micro",'Atividades Micro'!$K419&lt;&gt;""),'Atividades Micro'!$K419,"")</f>
        <v/>
      </c>
      <c r="CN367" s="21" t="str">
        <f>IF(AND('Atividades Micro'!$B419=CN$2,'Atividades Micro'!$G419="Micro",'Atividades Micro'!$K419&lt;&gt;""),'Atividades Micro'!$K419,"")</f>
        <v/>
      </c>
      <c r="CO367" s="21" t="str">
        <f>IF(AND('Atividades Micro'!$B419=CO$2,'Atividades Micro'!$G419="Micro",'Atividades Micro'!$K419&lt;&gt;""),'Atividades Micro'!$K419,"")</f>
        <v/>
      </c>
    </row>
    <row r="368" spans="1:93">
      <c r="A368" s="21" t="str">
        <f>IF(AND('Atividades Micro'!$A420=A$2,'Atividades Micro'!$K420&lt;&gt;""),'Atividades Micro'!$K420,"")</f>
        <v/>
      </c>
      <c r="B368" s="21" t="str">
        <f>IF(AND('Atividades Micro'!$A420=B$2,'Atividades Micro'!$L420&lt;&gt;""),'Atividades Micro'!$L420,"")</f>
        <v/>
      </c>
      <c r="C368" s="21" t="str">
        <f>IF(AND('Atividades Micro'!$A420=C$2,'Atividades Micro'!$K420&lt;&gt;""),'Atividades Micro'!$K420,"")</f>
        <v/>
      </c>
      <c r="D368" s="21" t="str">
        <f>IF(AND('Atividades Micro'!$A420=D$2,'Atividades Micro'!$L420&lt;&gt;""),'Atividades Micro'!$L420,"")</f>
        <v/>
      </c>
      <c r="E368" s="21" t="str">
        <f>IF(AND('Atividades Micro'!$A420=E$2,'Atividades Micro'!$K420&lt;&gt;""),'Atividades Micro'!$K420,"")</f>
        <v/>
      </c>
      <c r="F368" s="21" t="str">
        <f>IF(AND('Atividades Micro'!$A420=F$2,'Atividades Micro'!$L420&lt;&gt;""),'Atividades Micro'!$L420,"")</f>
        <v/>
      </c>
      <c r="G368" s="21" t="str">
        <f>IF(AND('Atividades Micro'!$A420=G$2,'Atividades Micro'!$K420&lt;&gt;""),'Atividades Micro'!$K420,"")</f>
        <v/>
      </c>
      <c r="H368" s="21" t="str">
        <f>IF(AND('Atividades Micro'!$A420=H$2,'Atividades Micro'!$L420&lt;&gt;""),'Atividades Micro'!$L420,"")</f>
        <v/>
      </c>
      <c r="I368" s="21" t="str">
        <f>IF(AND('Atividades Micro'!$A420=I$2,'Atividades Micro'!$K420&lt;&gt;""),'Atividades Micro'!$K420,"")</f>
        <v/>
      </c>
      <c r="J368" s="21" t="str">
        <f>IF(AND('Atividades Micro'!$A420=J$2,'Atividades Micro'!$L420&lt;&gt;""),'Atividades Micro'!$L420,"")</f>
        <v/>
      </c>
      <c r="K368" s="21" t="str">
        <f>IF(AND('Atividades Micro'!$B420=K$2,'Atividades Micro'!$K420&lt;&gt;""),'Atividades Micro'!$K420,"")</f>
        <v/>
      </c>
      <c r="L368" s="21" t="str">
        <f>IF(AND('Atividades Micro'!$B420=L$2,'Atividades Micro'!$L420&lt;&gt;""),'Atividades Micro'!$L420,"")</f>
        <v/>
      </c>
      <c r="M368" s="21" t="str">
        <f>IF(AND('Atividades Micro'!$B420=M$2,'Atividades Micro'!$K420&lt;&gt;""),'Atividades Micro'!$K420,"")</f>
        <v/>
      </c>
      <c r="N368" s="21" t="str">
        <f>IF(AND('Atividades Micro'!$B420=N$2,'Atividades Micro'!$L420&lt;&gt;""),'Atividades Micro'!$L420,"")</f>
        <v/>
      </c>
      <c r="O368" s="21" t="str">
        <f>IF(AND('Atividades Micro'!$A420=O$2,'Atividades Micro'!$K420&lt;&gt;""),'Atividades Micro'!$K420,"")</f>
        <v/>
      </c>
      <c r="P368" s="21" t="str">
        <f>IF(AND('Atividades Micro'!$A420=P$2,'Atividades Micro'!$L420&lt;&gt;""),'Atividades Micro'!$L420,"")</f>
        <v/>
      </c>
      <c r="Q368" s="21" t="str">
        <f>IF(AND('Atividades Micro'!$B420=Q$2,'Atividades Micro'!$K420&lt;&gt;""),'Atividades Micro'!$K420,"")</f>
        <v/>
      </c>
      <c r="R368" s="21" t="str">
        <f>IF(AND('Atividades Micro'!$B420=R$2,'Atividades Micro'!$L420&lt;&gt;""),'Atividades Micro'!$L420,"")</f>
        <v/>
      </c>
      <c r="S368" s="21" t="str">
        <f>IF(AND('Atividades Micro'!$A420=S$2,'Atividades Micro'!$K420&lt;&gt;""),'Atividades Micro'!$K420,"")</f>
        <v/>
      </c>
      <c r="T368" s="21" t="str">
        <f>IF(AND('Atividades Micro'!$A420=T$2,'Atividades Micro'!$L420&lt;&gt;""),'Atividades Micro'!$L420,"")</f>
        <v/>
      </c>
      <c r="U368" s="21" t="str">
        <f>IF(AND('Atividades Micro'!$B420=U$2,'Atividades Micro'!$K420&lt;&gt;""),'Atividades Micro'!$K420,"")</f>
        <v/>
      </c>
      <c r="V368" s="21" t="str">
        <f>IF(AND('Atividades Micro'!$B420=V$2,'Atividades Micro'!$L420&lt;&gt;""),'Atividades Micro'!$L420,"")</f>
        <v/>
      </c>
      <c r="W368" s="21" t="str">
        <f>IF(AND('Atividades Micro'!$B420=W$2,'Atividades Micro'!$K420&lt;&gt;""),'Atividades Micro'!$K420,"")</f>
        <v/>
      </c>
      <c r="X368" s="21" t="str">
        <f>IF(AND('Atividades Micro'!$B420=X$2,'Atividades Micro'!$L420&lt;&gt;""),'Atividades Micro'!$L420,"")</f>
        <v/>
      </c>
      <c r="Y368" s="21" t="str">
        <f>IF(AND('Atividades Micro'!$A420=Y$2,'Atividades Micro'!$K420&lt;&gt;""),'Atividades Micro'!$K420,"")</f>
        <v/>
      </c>
      <c r="Z368" s="21" t="str">
        <f>IF(AND('Atividades Micro'!$A420=Z$2,'Atividades Micro'!$L420&lt;&gt;""),'Atividades Micro'!$L420,"")</f>
        <v/>
      </c>
      <c r="AA368" s="21" t="str">
        <f>IF(AND('Atividades Micro'!$B420=AA$2,'Atividades Micro'!$K420&lt;&gt;""),'Atividades Micro'!$K420,"")</f>
        <v/>
      </c>
      <c r="AB368" s="21" t="str">
        <f>IF(AND('Atividades Micro'!$B420=AB$2,'Atividades Micro'!$L420&lt;&gt;""),'Atividades Micro'!$L420,"")</f>
        <v/>
      </c>
      <c r="AC368" s="21" t="str">
        <f>IF(AND('Atividades Micro'!$B420=AC$2,'Atividades Micro'!$K420&lt;&gt;""),'Atividades Micro'!$K420,"")</f>
        <v/>
      </c>
      <c r="AD368" s="21" t="str">
        <f>IF(AND('Atividades Micro'!$B420=AD$2,'Atividades Micro'!$L420&lt;&gt;""),'Atividades Micro'!$L420,"")</f>
        <v/>
      </c>
      <c r="AE368" s="21" t="str">
        <f>IF(AND('Atividades Micro'!$A420=AE$2,'Atividades Micro'!$K420&lt;&gt;""),'Atividades Micro'!$K420,"")</f>
        <v/>
      </c>
      <c r="AF368" s="21" t="str">
        <f>IF(AND('Atividades Micro'!$A420=AF$2,'Atividades Micro'!$L420&lt;&gt;""),'Atividades Micro'!$L420,"")</f>
        <v/>
      </c>
      <c r="AG368" s="21" t="str">
        <f>IF(AND('Atividades Micro'!$B420=AG$2,'Atividades Micro'!$K420&lt;&gt;""),'Atividades Micro'!$K420,"")</f>
        <v/>
      </c>
      <c r="AH368" s="21" t="str">
        <f>IF(AND('Atividades Micro'!$B420=AH$2,'Atividades Micro'!$L420&lt;&gt;""),'Atividades Micro'!$L420,"")</f>
        <v/>
      </c>
      <c r="AI368" s="21" t="str">
        <f>IF(AND('Atividades Micro'!$B420=AI$2,'Atividades Micro'!$K420&lt;&gt;""),'Atividades Micro'!$K420,"")</f>
        <v/>
      </c>
      <c r="AJ368" s="21" t="str">
        <f>IF(AND('Atividades Micro'!$B420=AJ$2,'Atividades Micro'!$L420&lt;&gt;""),'Atividades Micro'!$L420,"")</f>
        <v/>
      </c>
      <c r="AK368" s="21" t="str">
        <f>IF(AND('Atividades Micro'!$A420=AK$2,'Atividades Micro'!$K420&lt;&gt;""),'Atividades Micro'!$K420,"")</f>
        <v/>
      </c>
      <c r="AL368" s="21" t="str">
        <f>IF(AND('Atividades Micro'!$A420=AL$2,'Atividades Micro'!$L420&lt;&gt;""),'Atividades Micro'!$L420,"")</f>
        <v/>
      </c>
      <c r="AM368" s="21" t="str">
        <f>IF(AND('Atividades Micro'!$B420=AM$2,'Atividades Micro'!$K420&lt;&gt;""),'Atividades Micro'!$K420,"")</f>
        <v/>
      </c>
      <c r="AN368" s="21" t="str">
        <f>IF(AND('Atividades Micro'!$B420=AN$2,'Atividades Micro'!$L420&lt;&gt;""),'Atividades Micro'!$L420,"")</f>
        <v/>
      </c>
      <c r="AO368" s="21" t="str">
        <f>IF(AND('Atividades Micro'!$B420=AO$2,'Atividades Micro'!$K420&lt;&gt;""),'Atividades Micro'!$K420,"")</f>
        <v/>
      </c>
      <c r="AP368" s="21" t="str">
        <f>IF(AND('Atividades Micro'!$B420=AP$2,'Atividades Micro'!$L420&lt;&gt;""),'Atividades Micro'!$L420,"")</f>
        <v/>
      </c>
      <c r="AQ368" s="21" t="str">
        <f>IF(AND('Atividades Micro'!$A420=AQ$2,'Atividades Micro'!$K420&lt;&gt;""),'Atividades Micro'!$K420,"")</f>
        <v/>
      </c>
      <c r="AR368" s="21" t="str">
        <f>IF(AND('Atividades Micro'!$A420=AR$2,'Atividades Micro'!$L420&lt;&gt;""),'Atividades Micro'!$L420,"")</f>
        <v/>
      </c>
      <c r="AS368" s="21" t="str">
        <f>IF(AND('Atividades Micro'!$B420=AS$2,'Atividades Micro'!$K420&lt;&gt;""),'Atividades Micro'!$K420,"")</f>
        <v/>
      </c>
      <c r="AT368" s="21" t="str">
        <f>IF(AND('Atividades Micro'!$B420=AT$2,'Atividades Micro'!$L420&lt;&gt;""),'Atividades Micro'!$L420,"")</f>
        <v/>
      </c>
      <c r="AU368" s="21" t="str">
        <f>IF(AND('Atividades Micro'!$A420=AU$2,'Atividades Micro'!$K420&lt;&gt;""),'Atividades Micro'!$K420,"")</f>
        <v/>
      </c>
      <c r="AV368" s="21" t="str">
        <f>IF(AND('Atividades Micro'!$A420=AV$2,'Atividades Micro'!$L420&lt;&gt;""),'Atividades Micro'!$L420,"")</f>
        <v/>
      </c>
      <c r="AW368" s="21" t="str">
        <f>IF(AND('Atividades Micro'!$B420=AW$2,'Atividades Micro'!$K420&lt;&gt;""),'Atividades Micro'!$K420,"")</f>
        <v/>
      </c>
      <c r="AX368" s="21" t="str">
        <f>IF(AND('Atividades Micro'!$B420=AX$2,'Atividades Micro'!$L420&lt;&gt;""),'Atividades Micro'!$L420,"")</f>
        <v/>
      </c>
      <c r="AY368" s="21" t="str">
        <f>IF(AND('Atividades Micro'!$A420=AY$2,'Atividades Micro'!$K420&lt;&gt;""),'Atividades Micro'!$K420,"")</f>
        <v/>
      </c>
      <c r="AZ368" s="21" t="str">
        <f>IF(AND('Atividades Micro'!$A420=AZ$2,'Atividades Micro'!$L420&lt;&gt;""),'Atividades Micro'!$L420,"")</f>
        <v/>
      </c>
      <c r="BA368" s="21" t="str">
        <f>IF(AND('Atividades Micro'!$B420=BA$2,'Atividades Micro'!$K420&lt;&gt;""),'Atividades Micro'!$K420,"")</f>
        <v/>
      </c>
      <c r="BB368" s="21" t="str">
        <f>IF(AND('Atividades Micro'!$B420=BB$2,'Atividades Micro'!$L420&lt;&gt;""),'Atividades Micro'!$L420,"")</f>
        <v/>
      </c>
      <c r="BC368" s="21" t="str">
        <f>IF(AND('Atividades Micro'!$B420=BC$2,'Atividades Micro'!$G420="Macro",'Atividades Micro'!$K420&lt;&gt;""),'Atividades Micro'!$K420,"")</f>
        <v/>
      </c>
      <c r="BD368" s="21" t="str">
        <f>IF(AND('Atividades Micro'!$B420=BD$2,'Atividades Micro'!$G420="Macro",'Atividades Micro'!$K420&lt;&gt;""),'Atividades Micro'!$K420,"")</f>
        <v/>
      </c>
      <c r="BE368" s="21" t="str">
        <f>IF(AND('Atividades Micro'!$B420=BE$2,'Atividades Micro'!$G420="Macro",'Atividades Micro'!$K420&lt;&gt;""),'Atividades Micro'!$K420,"")</f>
        <v/>
      </c>
      <c r="BF368" s="21" t="str">
        <f>IF(AND('Atividades Micro'!$B420=BF$2,'Atividades Micro'!$G420="Macro",'Atividades Micro'!$K420&lt;&gt;""),'Atividades Micro'!$K420,"")</f>
        <v/>
      </c>
      <c r="BG368" s="21" t="str">
        <f>IF(AND('Atividades Micro'!$B420=BG$2,'Atividades Micro'!$G420="Macro",'Atividades Micro'!$K420&lt;&gt;""),'Atividades Micro'!$K420,"")</f>
        <v/>
      </c>
      <c r="BH368" s="21" t="str">
        <f>IF(AND('Atividades Micro'!$B420=BH$2,'Atividades Micro'!$G420="Macro",'Atividades Micro'!$K420&lt;&gt;""),'Atividades Micro'!$K420,"")</f>
        <v/>
      </c>
      <c r="BI368" s="21" t="str">
        <f>IF(AND('Atividades Micro'!$B420=BI$2,'Atividades Micro'!$G420="Macro",'Atividades Micro'!$K420&lt;&gt;""),'Atividades Micro'!$K420,"")</f>
        <v/>
      </c>
      <c r="BJ368" s="21" t="str">
        <f>IF(AND('Atividades Micro'!$B420=BJ$2,'Atividades Micro'!$G420="Macro",'Atividades Micro'!$K420&lt;&gt;""),'Atividades Micro'!$K420,"")</f>
        <v/>
      </c>
      <c r="BK368" s="21" t="str">
        <f>IF(AND('Atividades Micro'!$B420=BK$2,'Atividades Micro'!$G420="Macro",'Atividades Micro'!$K420&lt;&gt;""),'Atividades Micro'!$K420,"")</f>
        <v/>
      </c>
      <c r="BL368" s="21" t="str">
        <f>IF(AND('Atividades Micro'!$B420=BL$2,'Atividades Micro'!$G420="Macro",'Atividades Micro'!$K420&lt;&gt;""),'Atividades Micro'!$K420,"")</f>
        <v/>
      </c>
      <c r="BM368" s="21" t="str">
        <f>IF(AND('Atividades Micro'!$B420=BM$2,'Atividades Micro'!$G420="Macro",'Atividades Micro'!$K420&lt;&gt;""),'Atividades Micro'!$K420,"")</f>
        <v/>
      </c>
      <c r="BN368" s="21" t="str">
        <f>IF(AND('Atividades Micro'!$B420=BN$2,'Atividades Micro'!$G420="Macro",'Atividades Micro'!$K420&lt;&gt;""),'Atividades Micro'!$K420,"")</f>
        <v/>
      </c>
      <c r="BO368" s="21" t="str">
        <f>IF(AND('Atividades Micro'!$B420=BO$2,'Atividades Micro'!$G420="Macro",'Atividades Micro'!$K420&lt;&gt;""),'Atividades Micro'!$K420,"")</f>
        <v/>
      </c>
      <c r="BP368" s="21" t="str">
        <f>IF(AND('Atividades Micro'!$B420=BP$2,'Atividades Micro'!$G420="Macro",'Atividades Micro'!$K420&lt;&gt;""),'Atividades Micro'!$K420,"")</f>
        <v/>
      </c>
      <c r="BQ368" s="21" t="str">
        <f>IF(AND('Atividades Micro'!$B420=BQ$2,'Atividades Micro'!$G420="Macro",'Atividades Micro'!$K420&lt;&gt;""),'Atividades Micro'!$K420,"")</f>
        <v/>
      </c>
      <c r="BR368" s="21" t="str">
        <f>IF(AND('Atividades Micro'!$B420=BR$2,'Atividades Micro'!$G420="Macro",'Atividades Micro'!$K420&lt;&gt;""),'Atividades Micro'!$K420,"")</f>
        <v/>
      </c>
      <c r="BS368" s="21" t="str">
        <f>IF(AND('Atividades Micro'!$B420=BS$2,'Atividades Micro'!$G420="Macro",'Atividades Micro'!$K420&lt;&gt;""),'Atividades Micro'!$K420,"")</f>
        <v/>
      </c>
      <c r="BT368" s="21" t="str">
        <f>IF(AND('Atividades Micro'!$B420=BT$2,'Atividades Micro'!$G420="Macro",'Atividades Micro'!$K420&lt;&gt;""),'Atividades Micro'!$K420,"")</f>
        <v/>
      </c>
      <c r="BU368" s="21" t="str">
        <f>IF(AND('Atividades Micro'!$B420=BU$2,'Atividades Micro'!$G420="Macro",'Atividades Micro'!$K420&lt;&gt;""),'Atividades Micro'!$K420,"")</f>
        <v/>
      </c>
      <c r="BV368" s="21" t="str">
        <f>IF(AND('Atividades Micro'!$B420=BV$2,'Atividades Micro'!$G420="Macro",'Atividades Micro'!$K420&lt;&gt;""),'Atividades Micro'!$K420,"")</f>
        <v/>
      </c>
      <c r="BW368" s="21" t="str">
        <f>IF(AND('Atividades Micro'!$B420=BW$2,'Atividades Micro'!$G420="Macro",'Atividades Micro'!$K420&lt;&gt;""),'Atividades Micro'!$K420,"")</f>
        <v/>
      </c>
      <c r="BX368" s="21" t="str">
        <f>IF(AND('Atividades Micro'!$B420=BX$2,'Atividades Micro'!$G420="Macro",'Atividades Micro'!$K420&lt;&gt;""),'Atividades Micro'!$K420,"")</f>
        <v/>
      </c>
      <c r="BY368" s="21" t="str">
        <f>IF(AND('Atividades Micro'!$B420=BY$2,'Atividades Micro'!$G420="Macro",'Atividades Micro'!$K420&lt;&gt;""),'Atividades Micro'!$K420,"")</f>
        <v/>
      </c>
      <c r="BZ368" s="21" t="str">
        <f>IF(AND('Atividades Micro'!$B420=BZ$2,'Atividades Micro'!$G420="Macro",'Atividades Micro'!$K420&lt;&gt;""),'Atividades Micro'!$K420,"")</f>
        <v/>
      </c>
      <c r="CA368" s="21" t="str">
        <f>IF(AND('Atividades Micro'!$B420=CA$2,'Atividades Micro'!$G420="Macro",'Atividades Micro'!$K420&lt;&gt;""),'Atividades Micro'!$K420,"")</f>
        <v/>
      </c>
      <c r="CB368" s="21" t="str">
        <f>IF(AND('Atividades Micro'!$B420=CB$2,'Atividades Micro'!$G420="Macro",'Atividades Micro'!$K420&lt;&gt;""),'Atividades Micro'!$K420,"")</f>
        <v/>
      </c>
      <c r="CC368" s="21" t="str">
        <f>IF(AND('Atividades Micro'!$B420=CC$2,'Atividades Micro'!$G420="Macro",'Atividades Micro'!$K420&lt;&gt;""),'Atividades Micro'!$K420,"")</f>
        <v/>
      </c>
      <c r="CD368" s="21" t="str">
        <f>IF(AND('Atividades Micro'!$B420=CD$2,'Atividades Micro'!$G420="Micro",'Atividades Micro'!$K420&lt;&gt;""),'Atividades Micro'!$K420,"")</f>
        <v/>
      </c>
      <c r="CE368" s="21" t="str">
        <f>IF(AND('Atividades Micro'!$B420=CE$2,'Atividades Micro'!$G420="Micro",'Atividades Micro'!$K420&lt;&gt;""),'Atividades Micro'!$K420,"")</f>
        <v/>
      </c>
      <c r="CF368" s="21" t="str">
        <f>IF(AND('Atividades Micro'!$B420=CF$2,'Atividades Micro'!$G420="Micro",'Atividades Micro'!$K420&lt;&gt;""),'Atividades Micro'!$K420,"")</f>
        <v/>
      </c>
      <c r="CG368" s="21" t="str">
        <f>IF(AND('Atividades Micro'!$B420=CG$2,'Atividades Micro'!$G420="Micro",'Atividades Micro'!$K420&lt;&gt;""),'Atividades Micro'!$K420,"")</f>
        <v/>
      </c>
      <c r="CH368" s="21" t="str">
        <f>IF(AND('Atividades Micro'!$B420=CH$2,'Atividades Micro'!$G420="Micro",'Atividades Micro'!$K420&lt;&gt;""),'Atividades Micro'!$K420,"")</f>
        <v/>
      </c>
      <c r="CI368" s="21" t="str">
        <f>IF(AND('Atividades Micro'!$B420=CI$2,'Atividades Micro'!$G420="Micro",'Atividades Micro'!$K420&lt;&gt;""),'Atividades Micro'!$K420,"")</f>
        <v/>
      </c>
      <c r="CJ368" s="21" t="str">
        <f>IF(AND('Atividades Micro'!$B420=CJ$2,'Atividades Micro'!$G420="Micro",'Atividades Micro'!$K420&lt;&gt;""),'Atividades Micro'!$K420,"")</f>
        <v/>
      </c>
      <c r="CK368" s="21" t="str">
        <f>IF(AND('Atividades Micro'!$B420=CK$2,'Atividades Micro'!$G420="Micro",'Atividades Micro'!$K420&lt;&gt;""),'Atividades Micro'!$K420,"")</f>
        <v/>
      </c>
      <c r="CL368" s="21" t="str">
        <f>IF(AND('Atividades Micro'!$B420=CL$2,'Atividades Micro'!$G420="Micro",'Atividades Micro'!$K420&lt;&gt;""),'Atividades Micro'!$K420,"")</f>
        <v/>
      </c>
      <c r="CM368" s="21" t="str">
        <f>IF(AND('Atividades Micro'!$B420=CM$2,'Atividades Micro'!$G420="Micro",'Atividades Micro'!$K420&lt;&gt;""),'Atividades Micro'!$K420,"")</f>
        <v/>
      </c>
      <c r="CN368" s="21" t="str">
        <f>IF(AND('Atividades Micro'!$B420=CN$2,'Atividades Micro'!$G420="Micro",'Atividades Micro'!$K420&lt;&gt;""),'Atividades Micro'!$K420,"")</f>
        <v/>
      </c>
      <c r="CO368" s="21" t="str">
        <f>IF(AND('Atividades Micro'!$B420=CO$2,'Atividades Micro'!$G420="Micro",'Atividades Micro'!$K420&lt;&gt;""),'Atividades Micro'!$K420,"")</f>
        <v/>
      </c>
    </row>
    <row r="369" spans="1:93">
      <c r="A369" s="21" t="str">
        <f>IF(AND('Atividades Micro'!$A421=A$2,'Atividades Micro'!$K421&lt;&gt;""),'Atividades Micro'!$K421,"")</f>
        <v/>
      </c>
      <c r="B369" s="21" t="str">
        <f>IF(AND('Atividades Micro'!$A421=B$2,'Atividades Micro'!$L421&lt;&gt;""),'Atividades Micro'!$L421,"")</f>
        <v/>
      </c>
      <c r="C369" s="21" t="str">
        <f>IF(AND('Atividades Micro'!$A421=C$2,'Atividades Micro'!$K421&lt;&gt;""),'Atividades Micro'!$K421,"")</f>
        <v/>
      </c>
      <c r="D369" s="21" t="str">
        <f>IF(AND('Atividades Micro'!$A421=D$2,'Atividades Micro'!$L421&lt;&gt;""),'Atividades Micro'!$L421,"")</f>
        <v/>
      </c>
      <c r="E369" s="21" t="str">
        <f>IF(AND('Atividades Micro'!$A421=E$2,'Atividades Micro'!$K421&lt;&gt;""),'Atividades Micro'!$K421,"")</f>
        <v/>
      </c>
      <c r="F369" s="21" t="str">
        <f>IF(AND('Atividades Micro'!$A421=F$2,'Atividades Micro'!$L421&lt;&gt;""),'Atividades Micro'!$L421,"")</f>
        <v/>
      </c>
      <c r="G369" s="21" t="str">
        <f>IF(AND('Atividades Micro'!$A421=G$2,'Atividades Micro'!$K421&lt;&gt;""),'Atividades Micro'!$K421,"")</f>
        <v/>
      </c>
      <c r="H369" s="21" t="str">
        <f>IF(AND('Atividades Micro'!$A421=H$2,'Atividades Micro'!$L421&lt;&gt;""),'Atividades Micro'!$L421,"")</f>
        <v/>
      </c>
      <c r="I369" s="21" t="str">
        <f>IF(AND('Atividades Micro'!$A421=I$2,'Atividades Micro'!$K421&lt;&gt;""),'Atividades Micro'!$K421,"")</f>
        <v/>
      </c>
      <c r="J369" s="21" t="str">
        <f>IF(AND('Atividades Micro'!$A421=J$2,'Atividades Micro'!$L421&lt;&gt;""),'Atividades Micro'!$L421,"")</f>
        <v/>
      </c>
      <c r="K369" s="21" t="str">
        <f>IF(AND('Atividades Micro'!$B421=K$2,'Atividades Micro'!$K421&lt;&gt;""),'Atividades Micro'!$K421,"")</f>
        <v/>
      </c>
      <c r="L369" s="21" t="str">
        <f>IF(AND('Atividades Micro'!$B421=L$2,'Atividades Micro'!$L421&lt;&gt;""),'Atividades Micro'!$L421,"")</f>
        <v/>
      </c>
      <c r="M369" s="21" t="str">
        <f>IF(AND('Atividades Micro'!$B421=M$2,'Atividades Micro'!$K421&lt;&gt;""),'Atividades Micro'!$K421,"")</f>
        <v/>
      </c>
      <c r="N369" s="21" t="str">
        <f>IF(AND('Atividades Micro'!$B421=N$2,'Atividades Micro'!$L421&lt;&gt;""),'Atividades Micro'!$L421,"")</f>
        <v/>
      </c>
      <c r="O369" s="21" t="str">
        <f>IF(AND('Atividades Micro'!$A421=O$2,'Atividades Micro'!$K421&lt;&gt;""),'Atividades Micro'!$K421,"")</f>
        <v/>
      </c>
      <c r="P369" s="21" t="str">
        <f>IF(AND('Atividades Micro'!$A421=P$2,'Atividades Micro'!$L421&lt;&gt;""),'Atividades Micro'!$L421,"")</f>
        <v/>
      </c>
      <c r="Q369" s="21" t="str">
        <f>IF(AND('Atividades Micro'!$B421=Q$2,'Atividades Micro'!$K421&lt;&gt;""),'Atividades Micro'!$K421,"")</f>
        <v/>
      </c>
      <c r="R369" s="21" t="str">
        <f>IF(AND('Atividades Micro'!$B421=R$2,'Atividades Micro'!$L421&lt;&gt;""),'Atividades Micro'!$L421,"")</f>
        <v/>
      </c>
      <c r="S369" s="21" t="str">
        <f>IF(AND('Atividades Micro'!$A421=S$2,'Atividades Micro'!$K421&lt;&gt;""),'Atividades Micro'!$K421,"")</f>
        <v/>
      </c>
      <c r="T369" s="21" t="str">
        <f>IF(AND('Atividades Micro'!$A421=T$2,'Atividades Micro'!$L421&lt;&gt;""),'Atividades Micro'!$L421,"")</f>
        <v/>
      </c>
      <c r="U369" s="21" t="str">
        <f>IF(AND('Atividades Micro'!$B421=U$2,'Atividades Micro'!$K421&lt;&gt;""),'Atividades Micro'!$K421,"")</f>
        <v/>
      </c>
      <c r="V369" s="21" t="str">
        <f>IF(AND('Atividades Micro'!$B421=V$2,'Atividades Micro'!$L421&lt;&gt;""),'Atividades Micro'!$L421,"")</f>
        <v/>
      </c>
      <c r="W369" s="21" t="str">
        <f>IF(AND('Atividades Micro'!$B421=W$2,'Atividades Micro'!$K421&lt;&gt;""),'Atividades Micro'!$K421,"")</f>
        <v/>
      </c>
      <c r="X369" s="21" t="str">
        <f>IF(AND('Atividades Micro'!$B421=X$2,'Atividades Micro'!$L421&lt;&gt;""),'Atividades Micro'!$L421,"")</f>
        <v/>
      </c>
      <c r="Y369" s="21" t="str">
        <f>IF(AND('Atividades Micro'!$A421=Y$2,'Atividades Micro'!$K421&lt;&gt;""),'Atividades Micro'!$K421,"")</f>
        <v/>
      </c>
      <c r="Z369" s="21" t="str">
        <f>IF(AND('Atividades Micro'!$A421=Z$2,'Atividades Micro'!$L421&lt;&gt;""),'Atividades Micro'!$L421,"")</f>
        <v/>
      </c>
      <c r="AA369" s="21" t="str">
        <f>IF(AND('Atividades Micro'!$B421=AA$2,'Atividades Micro'!$K421&lt;&gt;""),'Atividades Micro'!$K421,"")</f>
        <v/>
      </c>
      <c r="AB369" s="21" t="str">
        <f>IF(AND('Atividades Micro'!$B421=AB$2,'Atividades Micro'!$L421&lt;&gt;""),'Atividades Micro'!$L421,"")</f>
        <v/>
      </c>
      <c r="AC369" s="21" t="str">
        <f>IF(AND('Atividades Micro'!$B421=AC$2,'Atividades Micro'!$K421&lt;&gt;""),'Atividades Micro'!$K421,"")</f>
        <v/>
      </c>
      <c r="AD369" s="21" t="str">
        <f>IF(AND('Atividades Micro'!$B421=AD$2,'Atividades Micro'!$L421&lt;&gt;""),'Atividades Micro'!$L421,"")</f>
        <v/>
      </c>
      <c r="AE369" s="21" t="str">
        <f>IF(AND('Atividades Micro'!$A421=AE$2,'Atividades Micro'!$K421&lt;&gt;""),'Atividades Micro'!$K421,"")</f>
        <v/>
      </c>
      <c r="AF369" s="21" t="str">
        <f>IF(AND('Atividades Micro'!$A421=AF$2,'Atividades Micro'!$L421&lt;&gt;""),'Atividades Micro'!$L421,"")</f>
        <v/>
      </c>
      <c r="AG369" s="21" t="str">
        <f>IF(AND('Atividades Micro'!$B421=AG$2,'Atividades Micro'!$K421&lt;&gt;""),'Atividades Micro'!$K421,"")</f>
        <v/>
      </c>
      <c r="AH369" s="21" t="str">
        <f>IF(AND('Atividades Micro'!$B421=AH$2,'Atividades Micro'!$L421&lt;&gt;""),'Atividades Micro'!$L421,"")</f>
        <v/>
      </c>
      <c r="AI369" s="21" t="str">
        <f>IF(AND('Atividades Micro'!$B421=AI$2,'Atividades Micro'!$K421&lt;&gt;""),'Atividades Micro'!$K421,"")</f>
        <v/>
      </c>
      <c r="AJ369" s="21" t="str">
        <f>IF(AND('Atividades Micro'!$B421=AJ$2,'Atividades Micro'!$L421&lt;&gt;""),'Atividades Micro'!$L421,"")</f>
        <v/>
      </c>
      <c r="AK369" s="21" t="str">
        <f>IF(AND('Atividades Micro'!$A421=AK$2,'Atividades Micro'!$K421&lt;&gt;""),'Atividades Micro'!$K421,"")</f>
        <v/>
      </c>
      <c r="AL369" s="21" t="str">
        <f>IF(AND('Atividades Micro'!$A421=AL$2,'Atividades Micro'!$L421&lt;&gt;""),'Atividades Micro'!$L421,"")</f>
        <v/>
      </c>
      <c r="AM369" s="21" t="str">
        <f>IF(AND('Atividades Micro'!$B421=AM$2,'Atividades Micro'!$K421&lt;&gt;""),'Atividades Micro'!$K421,"")</f>
        <v/>
      </c>
      <c r="AN369" s="21" t="str">
        <f>IF(AND('Atividades Micro'!$B421=AN$2,'Atividades Micro'!$L421&lt;&gt;""),'Atividades Micro'!$L421,"")</f>
        <v/>
      </c>
      <c r="AO369" s="21" t="str">
        <f>IF(AND('Atividades Micro'!$B421=AO$2,'Atividades Micro'!$K421&lt;&gt;""),'Atividades Micro'!$K421,"")</f>
        <v/>
      </c>
      <c r="AP369" s="21" t="str">
        <f>IF(AND('Atividades Micro'!$B421=AP$2,'Atividades Micro'!$L421&lt;&gt;""),'Atividades Micro'!$L421,"")</f>
        <v/>
      </c>
      <c r="AQ369" s="21" t="str">
        <f>IF(AND('Atividades Micro'!$A421=AQ$2,'Atividades Micro'!$K421&lt;&gt;""),'Atividades Micro'!$K421,"")</f>
        <v/>
      </c>
      <c r="AR369" s="21" t="str">
        <f>IF(AND('Atividades Micro'!$A421=AR$2,'Atividades Micro'!$L421&lt;&gt;""),'Atividades Micro'!$L421,"")</f>
        <v/>
      </c>
      <c r="AS369" s="21" t="str">
        <f>IF(AND('Atividades Micro'!$B421=AS$2,'Atividades Micro'!$K421&lt;&gt;""),'Atividades Micro'!$K421,"")</f>
        <v/>
      </c>
      <c r="AT369" s="21" t="str">
        <f>IF(AND('Atividades Micro'!$B421=AT$2,'Atividades Micro'!$L421&lt;&gt;""),'Atividades Micro'!$L421,"")</f>
        <v/>
      </c>
      <c r="AU369" s="21" t="str">
        <f>IF(AND('Atividades Micro'!$A421=AU$2,'Atividades Micro'!$K421&lt;&gt;""),'Atividades Micro'!$K421,"")</f>
        <v/>
      </c>
      <c r="AV369" s="21" t="str">
        <f>IF(AND('Atividades Micro'!$A421=AV$2,'Atividades Micro'!$L421&lt;&gt;""),'Atividades Micro'!$L421,"")</f>
        <v/>
      </c>
      <c r="AW369" s="21" t="str">
        <f>IF(AND('Atividades Micro'!$B421=AW$2,'Atividades Micro'!$K421&lt;&gt;""),'Atividades Micro'!$K421,"")</f>
        <v/>
      </c>
      <c r="AX369" s="21" t="str">
        <f>IF(AND('Atividades Micro'!$B421=AX$2,'Atividades Micro'!$L421&lt;&gt;""),'Atividades Micro'!$L421,"")</f>
        <v/>
      </c>
      <c r="AY369" s="21" t="str">
        <f>IF(AND('Atividades Micro'!$A421=AY$2,'Atividades Micro'!$K421&lt;&gt;""),'Atividades Micro'!$K421,"")</f>
        <v/>
      </c>
      <c r="AZ369" s="21" t="str">
        <f>IF(AND('Atividades Micro'!$A421=AZ$2,'Atividades Micro'!$L421&lt;&gt;""),'Atividades Micro'!$L421,"")</f>
        <v/>
      </c>
      <c r="BA369" s="21" t="str">
        <f>IF(AND('Atividades Micro'!$B421=BA$2,'Atividades Micro'!$K421&lt;&gt;""),'Atividades Micro'!$K421,"")</f>
        <v/>
      </c>
      <c r="BB369" s="21" t="str">
        <f>IF(AND('Atividades Micro'!$B421=BB$2,'Atividades Micro'!$L421&lt;&gt;""),'Atividades Micro'!$L421,"")</f>
        <v/>
      </c>
      <c r="BC369" s="21" t="str">
        <f>IF(AND('Atividades Micro'!$B421=BC$2,'Atividades Micro'!$G421="Macro",'Atividades Micro'!$K421&lt;&gt;""),'Atividades Micro'!$K421,"")</f>
        <v/>
      </c>
      <c r="BD369" s="21" t="str">
        <f>IF(AND('Atividades Micro'!$B421=BD$2,'Atividades Micro'!$G421="Macro",'Atividades Micro'!$K421&lt;&gt;""),'Atividades Micro'!$K421,"")</f>
        <v/>
      </c>
      <c r="BE369" s="21" t="str">
        <f>IF(AND('Atividades Micro'!$B421=BE$2,'Atividades Micro'!$G421="Macro",'Atividades Micro'!$K421&lt;&gt;""),'Atividades Micro'!$K421,"")</f>
        <v/>
      </c>
      <c r="BF369" s="21" t="str">
        <f>IF(AND('Atividades Micro'!$B421=BF$2,'Atividades Micro'!$G421="Macro",'Atividades Micro'!$K421&lt;&gt;""),'Atividades Micro'!$K421,"")</f>
        <v/>
      </c>
      <c r="BG369" s="21" t="str">
        <f>IF(AND('Atividades Micro'!$B421=BG$2,'Atividades Micro'!$G421="Macro",'Atividades Micro'!$K421&lt;&gt;""),'Atividades Micro'!$K421,"")</f>
        <v/>
      </c>
      <c r="BH369" s="21" t="str">
        <f>IF(AND('Atividades Micro'!$B421=BH$2,'Atividades Micro'!$G421="Macro",'Atividades Micro'!$K421&lt;&gt;""),'Atividades Micro'!$K421,"")</f>
        <v/>
      </c>
      <c r="BI369" s="21" t="str">
        <f>IF(AND('Atividades Micro'!$B421=BI$2,'Atividades Micro'!$G421="Macro",'Atividades Micro'!$K421&lt;&gt;""),'Atividades Micro'!$K421,"")</f>
        <v/>
      </c>
      <c r="BJ369" s="21" t="str">
        <f>IF(AND('Atividades Micro'!$B421=BJ$2,'Atividades Micro'!$G421="Macro",'Atividades Micro'!$K421&lt;&gt;""),'Atividades Micro'!$K421,"")</f>
        <v/>
      </c>
      <c r="BK369" s="21" t="str">
        <f>IF(AND('Atividades Micro'!$B421=BK$2,'Atividades Micro'!$G421="Macro",'Atividades Micro'!$K421&lt;&gt;""),'Atividades Micro'!$K421,"")</f>
        <v/>
      </c>
      <c r="BL369" s="21" t="str">
        <f>IF(AND('Atividades Micro'!$B421=BL$2,'Atividades Micro'!$G421="Macro",'Atividades Micro'!$K421&lt;&gt;""),'Atividades Micro'!$K421,"")</f>
        <v/>
      </c>
      <c r="BM369" s="21" t="str">
        <f>IF(AND('Atividades Micro'!$B421=BM$2,'Atividades Micro'!$G421="Macro",'Atividades Micro'!$K421&lt;&gt;""),'Atividades Micro'!$K421,"")</f>
        <v/>
      </c>
      <c r="BN369" s="21" t="str">
        <f>IF(AND('Atividades Micro'!$B421=BN$2,'Atividades Micro'!$G421="Macro",'Atividades Micro'!$K421&lt;&gt;""),'Atividades Micro'!$K421,"")</f>
        <v/>
      </c>
      <c r="BO369" s="21" t="str">
        <f>IF(AND('Atividades Micro'!$B421=BO$2,'Atividades Micro'!$G421="Macro",'Atividades Micro'!$K421&lt;&gt;""),'Atividades Micro'!$K421,"")</f>
        <v/>
      </c>
      <c r="BP369" s="21" t="str">
        <f>IF(AND('Atividades Micro'!$B421=BP$2,'Atividades Micro'!$G421="Macro",'Atividades Micro'!$K421&lt;&gt;""),'Atividades Micro'!$K421,"")</f>
        <v/>
      </c>
      <c r="BQ369" s="21" t="str">
        <f>IF(AND('Atividades Micro'!$B421=BQ$2,'Atividades Micro'!$G421="Macro",'Atividades Micro'!$K421&lt;&gt;""),'Atividades Micro'!$K421,"")</f>
        <v/>
      </c>
      <c r="BR369" s="21" t="str">
        <f>IF(AND('Atividades Micro'!$B421=BR$2,'Atividades Micro'!$G421="Macro",'Atividades Micro'!$K421&lt;&gt;""),'Atividades Micro'!$K421,"")</f>
        <v/>
      </c>
      <c r="BS369" s="21" t="str">
        <f>IF(AND('Atividades Micro'!$B421=BS$2,'Atividades Micro'!$G421="Macro",'Atividades Micro'!$K421&lt;&gt;""),'Atividades Micro'!$K421,"")</f>
        <v/>
      </c>
      <c r="BT369" s="21" t="str">
        <f>IF(AND('Atividades Micro'!$B421=BT$2,'Atividades Micro'!$G421="Macro",'Atividades Micro'!$K421&lt;&gt;""),'Atividades Micro'!$K421,"")</f>
        <v/>
      </c>
      <c r="BU369" s="21" t="str">
        <f>IF(AND('Atividades Micro'!$B421=BU$2,'Atividades Micro'!$G421="Macro",'Atividades Micro'!$K421&lt;&gt;""),'Atividades Micro'!$K421,"")</f>
        <v/>
      </c>
      <c r="BV369" s="21" t="str">
        <f>IF(AND('Atividades Micro'!$B421=BV$2,'Atividades Micro'!$G421="Macro",'Atividades Micro'!$K421&lt;&gt;""),'Atividades Micro'!$K421,"")</f>
        <v/>
      </c>
      <c r="BW369" s="21" t="str">
        <f>IF(AND('Atividades Micro'!$B421=BW$2,'Atividades Micro'!$G421="Macro",'Atividades Micro'!$K421&lt;&gt;""),'Atividades Micro'!$K421,"")</f>
        <v/>
      </c>
      <c r="BX369" s="21" t="str">
        <f>IF(AND('Atividades Micro'!$B421=BX$2,'Atividades Micro'!$G421="Macro",'Atividades Micro'!$K421&lt;&gt;""),'Atividades Micro'!$K421,"")</f>
        <v/>
      </c>
      <c r="BY369" s="21" t="str">
        <f>IF(AND('Atividades Micro'!$B421=BY$2,'Atividades Micro'!$G421="Macro",'Atividades Micro'!$K421&lt;&gt;""),'Atividades Micro'!$K421,"")</f>
        <v/>
      </c>
      <c r="BZ369" s="21" t="str">
        <f>IF(AND('Atividades Micro'!$B421=BZ$2,'Atividades Micro'!$G421="Macro",'Atividades Micro'!$K421&lt;&gt;""),'Atividades Micro'!$K421,"")</f>
        <v/>
      </c>
      <c r="CA369" s="21" t="str">
        <f>IF(AND('Atividades Micro'!$B421=CA$2,'Atividades Micro'!$G421="Macro",'Atividades Micro'!$K421&lt;&gt;""),'Atividades Micro'!$K421,"")</f>
        <v/>
      </c>
      <c r="CB369" s="21" t="str">
        <f>IF(AND('Atividades Micro'!$B421=CB$2,'Atividades Micro'!$G421="Macro",'Atividades Micro'!$K421&lt;&gt;""),'Atividades Micro'!$K421,"")</f>
        <v/>
      </c>
      <c r="CC369" s="21" t="str">
        <f>IF(AND('Atividades Micro'!$B421=CC$2,'Atividades Micro'!$G421="Macro",'Atividades Micro'!$K421&lt;&gt;""),'Atividades Micro'!$K421,"")</f>
        <v/>
      </c>
      <c r="CD369" s="21" t="str">
        <f>IF(AND('Atividades Micro'!$B421=CD$2,'Atividades Micro'!$G421="Micro",'Atividades Micro'!$K421&lt;&gt;""),'Atividades Micro'!$K421,"")</f>
        <v/>
      </c>
      <c r="CE369" s="21" t="str">
        <f>IF(AND('Atividades Micro'!$B421=CE$2,'Atividades Micro'!$G421="Micro",'Atividades Micro'!$K421&lt;&gt;""),'Atividades Micro'!$K421,"")</f>
        <v/>
      </c>
      <c r="CF369" s="21" t="str">
        <f>IF(AND('Atividades Micro'!$B421=CF$2,'Atividades Micro'!$G421="Micro",'Atividades Micro'!$K421&lt;&gt;""),'Atividades Micro'!$K421,"")</f>
        <v/>
      </c>
      <c r="CG369" s="21" t="str">
        <f>IF(AND('Atividades Micro'!$B421=CG$2,'Atividades Micro'!$G421="Micro",'Atividades Micro'!$K421&lt;&gt;""),'Atividades Micro'!$K421,"")</f>
        <v/>
      </c>
      <c r="CH369" s="21" t="str">
        <f>IF(AND('Atividades Micro'!$B421=CH$2,'Atividades Micro'!$G421="Micro",'Atividades Micro'!$K421&lt;&gt;""),'Atividades Micro'!$K421,"")</f>
        <v/>
      </c>
      <c r="CI369" s="21" t="str">
        <f>IF(AND('Atividades Micro'!$B421=CI$2,'Atividades Micro'!$G421="Micro",'Atividades Micro'!$K421&lt;&gt;""),'Atividades Micro'!$K421,"")</f>
        <v/>
      </c>
      <c r="CJ369" s="21" t="str">
        <f>IF(AND('Atividades Micro'!$B421=CJ$2,'Atividades Micro'!$G421="Micro",'Atividades Micro'!$K421&lt;&gt;""),'Atividades Micro'!$K421,"")</f>
        <v/>
      </c>
      <c r="CK369" s="21" t="str">
        <f>IF(AND('Atividades Micro'!$B421=CK$2,'Atividades Micro'!$G421="Micro",'Atividades Micro'!$K421&lt;&gt;""),'Atividades Micro'!$K421,"")</f>
        <v/>
      </c>
      <c r="CL369" s="21" t="str">
        <f>IF(AND('Atividades Micro'!$B421=CL$2,'Atividades Micro'!$G421="Micro",'Atividades Micro'!$K421&lt;&gt;""),'Atividades Micro'!$K421,"")</f>
        <v/>
      </c>
      <c r="CM369" s="21" t="str">
        <f>IF(AND('Atividades Micro'!$B421=CM$2,'Atividades Micro'!$G421="Micro",'Atividades Micro'!$K421&lt;&gt;""),'Atividades Micro'!$K421,"")</f>
        <v/>
      </c>
      <c r="CN369" s="21" t="str">
        <f>IF(AND('Atividades Micro'!$B421=CN$2,'Atividades Micro'!$G421="Micro",'Atividades Micro'!$K421&lt;&gt;""),'Atividades Micro'!$K421,"")</f>
        <v/>
      </c>
      <c r="CO369" s="21" t="str">
        <f>IF(AND('Atividades Micro'!$B421=CO$2,'Atividades Micro'!$G421="Micro",'Atividades Micro'!$K421&lt;&gt;""),'Atividades Micro'!$K421,"")</f>
        <v/>
      </c>
    </row>
    <row r="370" spans="1:93">
      <c r="A370" s="21" t="str">
        <f>IF(AND('Atividades Micro'!$A422=A$2,'Atividades Micro'!$K422&lt;&gt;""),'Atividades Micro'!$K422,"")</f>
        <v/>
      </c>
      <c r="B370" s="21" t="str">
        <f>IF(AND('Atividades Micro'!$A422=B$2,'Atividades Micro'!$L422&lt;&gt;""),'Atividades Micro'!$L422,"")</f>
        <v/>
      </c>
      <c r="C370" s="21" t="str">
        <f>IF(AND('Atividades Micro'!$A422=C$2,'Atividades Micro'!$K422&lt;&gt;""),'Atividades Micro'!$K422,"")</f>
        <v/>
      </c>
      <c r="D370" s="21" t="str">
        <f>IF(AND('Atividades Micro'!$A422=D$2,'Atividades Micro'!$L422&lt;&gt;""),'Atividades Micro'!$L422,"")</f>
        <v/>
      </c>
      <c r="E370" s="21" t="str">
        <f>IF(AND('Atividades Micro'!$A422=E$2,'Atividades Micro'!$K422&lt;&gt;""),'Atividades Micro'!$K422,"")</f>
        <v/>
      </c>
      <c r="F370" s="21" t="str">
        <f>IF(AND('Atividades Micro'!$A422=F$2,'Atividades Micro'!$L422&lt;&gt;""),'Atividades Micro'!$L422,"")</f>
        <v/>
      </c>
      <c r="G370" s="21" t="str">
        <f>IF(AND('Atividades Micro'!$A422=G$2,'Atividades Micro'!$K422&lt;&gt;""),'Atividades Micro'!$K422,"")</f>
        <v/>
      </c>
      <c r="H370" s="21" t="str">
        <f>IF(AND('Atividades Micro'!$A422=H$2,'Atividades Micro'!$L422&lt;&gt;""),'Atividades Micro'!$L422,"")</f>
        <v/>
      </c>
      <c r="I370" s="21" t="str">
        <f>IF(AND('Atividades Micro'!$A422=I$2,'Atividades Micro'!$K422&lt;&gt;""),'Atividades Micro'!$K422,"")</f>
        <v/>
      </c>
      <c r="J370" s="21" t="str">
        <f>IF(AND('Atividades Micro'!$A422=J$2,'Atividades Micro'!$L422&lt;&gt;""),'Atividades Micro'!$L422,"")</f>
        <v/>
      </c>
      <c r="K370" s="21" t="str">
        <f>IF(AND('Atividades Micro'!$B422=K$2,'Atividades Micro'!$K422&lt;&gt;""),'Atividades Micro'!$K422,"")</f>
        <v/>
      </c>
      <c r="L370" s="21" t="str">
        <f>IF(AND('Atividades Micro'!$B422=L$2,'Atividades Micro'!$L422&lt;&gt;""),'Atividades Micro'!$L422,"")</f>
        <v/>
      </c>
      <c r="M370" s="21" t="str">
        <f>IF(AND('Atividades Micro'!$B422=M$2,'Atividades Micro'!$K422&lt;&gt;""),'Atividades Micro'!$K422,"")</f>
        <v/>
      </c>
      <c r="N370" s="21" t="str">
        <f>IF(AND('Atividades Micro'!$B422=N$2,'Atividades Micro'!$L422&lt;&gt;""),'Atividades Micro'!$L422,"")</f>
        <v/>
      </c>
      <c r="O370" s="21" t="str">
        <f>IF(AND('Atividades Micro'!$A422=O$2,'Atividades Micro'!$K422&lt;&gt;""),'Atividades Micro'!$K422,"")</f>
        <v/>
      </c>
      <c r="P370" s="21" t="str">
        <f>IF(AND('Atividades Micro'!$A422=P$2,'Atividades Micro'!$L422&lt;&gt;""),'Atividades Micro'!$L422,"")</f>
        <v/>
      </c>
      <c r="Q370" s="21" t="str">
        <f>IF(AND('Atividades Micro'!$B422=Q$2,'Atividades Micro'!$K422&lt;&gt;""),'Atividades Micro'!$K422,"")</f>
        <v/>
      </c>
      <c r="R370" s="21" t="str">
        <f>IF(AND('Atividades Micro'!$B422=R$2,'Atividades Micro'!$L422&lt;&gt;""),'Atividades Micro'!$L422,"")</f>
        <v/>
      </c>
      <c r="S370" s="21" t="str">
        <f>IF(AND('Atividades Micro'!$A422=S$2,'Atividades Micro'!$K422&lt;&gt;""),'Atividades Micro'!$K422,"")</f>
        <v/>
      </c>
      <c r="T370" s="21" t="str">
        <f>IF(AND('Atividades Micro'!$A422=T$2,'Atividades Micro'!$L422&lt;&gt;""),'Atividades Micro'!$L422,"")</f>
        <v/>
      </c>
      <c r="U370" s="21" t="str">
        <f>IF(AND('Atividades Micro'!$B422=U$2,'Atividades Micro'!$K422&lt;&gt;""),'Atividades Micro'!$K422,"")</f>
        <v/>
      </c>
      <c r="V370" s="21" t="str">
        <f>IF(AND('Atividades Micro'!$B422=V$2,'Atividades Micro'!$L422&lt;&gt;""),'Atividades Micro'!$L422,"")</f>
        <v/>
      </c>
      <c r="W370" s="21" t="str">
        <f>IF(AND('Atividades Micro'!$B422=W$2,'Atividades Micro'!$K422&lt;&gt;""),'Atividades Micro'!$K422,"")</f>
        <v/>
      </c>
      <c r="X370" s="21" t="str">
        <f>IF(AND('Atividades Micro'!$B422=X$2,'Atividades Micro'!$L422&lt;&gt;""),'Atividades Micro'!$L422,"")</f>
        <v/>
      </c>
      <c r="Y370" s="21" t="str">
        <f>IF(AND('Atividades Micro'!$A422=Y$2,'Atividades Micro'!$K422&lt;&gt;""),'Atividades Micro'!$K422,"")</f>
        <v/>
      </c>
      <c r="Z370" s="21" t="str">
        <f>IF(AND('Atividades Micro'!$A422=Z$2,'Atividades Micro'!$L422&lt;&gt;""),'Atividades Micro'!$L422,"")</f>
        <v/>
      </c>
      <c r="AA370" s="21" t="str">
        <f>IF(AND('Atividades Micro'!$B422=AA$2,'Atividades Micro'!$K422&lt;&gt;""),'Atividades Micro'!$K422,"")</f>
        <v/>
      </c>
      <c r="AB370" s="21" t="str">
        <f>IF(AND('Atividades Micro'!$B422=AB$2,'Atividades Micro'!$L422&lt;&gt;""),'Atividades Micro'!$L422,"")</f>
        <v/>
      </c>
      <c r="AC370" s="21" t="str">
        <f>IF(AND('Atividades Micro'!$B422=AC$2,'Atividades Micro'!$K422&lt;&gt;""),'Atividades Micro'!$K422,"")</f>
        <v/>
      </c>
      <c r="AD370" s="21" t="str">
        <f>IF(AND('Atividades Micro'!$B422=AD$2,'Atividades Micro'!$L422&lt;&gt;""),'Atividades Micro'!$L422,"")</f>
        <v/>
      </c>
      <c r="AE370" s="21" t="str">
        <f>IF(AND('Atividades Micro'!$A422=AE$2,'Atividades Micro'!$K422&lt;&gt;""),'Atividades Micro'!$K422,"")</f>
        <v/>
      </c>
      <c r="AF370" s="21" t="str">
        <f>IF(AND('Atividades Micro'!$A422=AF$2,'Atividades Micro'!$L422&lt;&gt;""),'Atividades Micro'!$L422,"")</f>
        <v/>
      </c>
      <c r="AG370" s="21" t="str">
        <f>IF(AND('Atividades Micro'!$B422=AG$2,'Atividades Micro'!$K422&lt;&gt;""),'Atividades Micro'!$K422,"")</f>
        <v/>
      </c>
      <c r="AH370" s="21" t="str">
        <f>IF(AND('Atividades Micro'!$B422=AH$2,'Atividades Micro'!$L422&lt;&gt;""),'Atividades Micro'!$L422,"")</f>
        <v/>
      </c>
      <c r="AI370" s="21" t="str">
        <f>IF(AND('Atividades Micro'!$B422=AI$2,'Atividades Micro'!$K422&lt;&gt;""),'Atividades Micro'!$K422,"")</f>
        <v/>
      </c>
      <c r="AJ370" s="21" t="str">
        <f>IF(AND('Atividades Micro'!$B422=AJ$2,'Atividades Micro'!$L422&lt;&gt;""),'Atividades Micro'!$L422,"")</f>
        <v/>
      </c>
      <c r="AK370" s="21" t="str">
        <f>IF(AND('Atividades Micro'!$A422=AK$2,'Atividades Micro'!$K422&lt;&gt;""),'Atividades Micro'!$K422,"")</f>
        <v/>
      </c>
      <c r="AL370" s="21" t="str">
        <f>IF(AND('Atividades Micro'!$A422=AL$2,'Atividades Micro'!$L422&lt;&gt;""),'Atividades Micro'!$L422,"")</f>
        <v/>
      </c>
      <c r="AM370" s="21" t="str">
        <f>IF(AND('Atividades Micro'!$B422=AM$2,'Atividades Micro'!$K422&lt;&gt;""),'Atividades Micro'!$K422,"")</f>
        <v/>
      </c>
      <c r="AN370" s="21" t="str">
        <f>IF(AND('Atividades Micro'!$B422=AN$2,'Atividades Micro'!$L422&lt;&gt;""),'Atividades Micro'!$L422,"")</f>
        <v/>
      </c>
      <c r="AO370" s="21" t="str">
        <f>IF(AND('Atividades Micro'!$B422=AO$2,'Atividades Micro'!$K422&lt;&gt;""),'Atividades Micro'!$K422,"")</f>
        <v/>
      </c>
      <c r="AP370" s="21" t="str">
        <f>IF(AND('Atividades Micro'!$B422=AP$2,'Atividades Micro'!$L422&lt;&gt;""),'Atividades Micro'!$L422,"")</f>
        <v/>
      </c>
      <c r="AQ370" s="21" t="str">
        <f>IF(AND('Atividades Micro'!$A422=AQ$2,'Atividades Micro'!$K422&lt;&gt;""),'Atividades Micro'!$K422,"")</f>
        <v/>
      </c>
      <c r="AR370" s="21" t="str">
        <f>IF(AND('Atividades Micro'!$A422=AR$2,'Atividades Micro'!$L422&lt;&gt;""),'Atividades Micro'!$L422,"")</f>
        <v/>
      </c>
      <c r="AS370" s="21" t="str">
        <f>IF(AND('Atividades Micro'!$B422=AS$2,'Atividades Micro'!$K422&lt;&gt;""),'Atividades Micro'!$K422,"")</f>
        <v/>
      </c>
      <c r="AT370" s="21" t="str">
        <f>IF(AND('Atividades Micro'!$B422=AT$2,'Atividades Micro'!$L422&lt;&gt;""),'Atividades Micro'!$L422,"")</f>
        <v/>
      </c>
      <c r="AU370" s="21" t="str">
        <f>IF(AND('Atividades Micro'!$A422=AU$2,'Atividades Micro'!$K422&lt;&gt;""),'Atividades Micro'!$K422,"")</f>
        <v/>
      </c>
      <c r="AV370" s="21" t="str">
        <f>IF(AND('Atividades Micro'!$A422=AV$2,'Atividades Micro'!$L422&lt;&gt;""),'Atividades Micro'!$L422,"")</f>
        <v/>
      </c>
      <c r="AW370" s="21" t="str">
        <f>IF(AND('Atividades Micro'!$B422=AW$2,'Atividades Micro'!$K422&lt;&gt;""),'Atividades Micro'!$K422,"")</f>
        <v/>
      </c>
      <c r="AX370" s="21" t="str">
        <f>IF(AND('Atividades Micro'!$B422=AX$2,'Atividades Micro'!$L422&lt;&gt;""),'Atividades Micro'!$L422,"")</f>
        <v/>
      </c>
      <c r="AY370" s="21" t="str">
        <f>IF(AND('Atividades Micro'!$A422=AY$2,'Atividades Micro'!$K422&lt;&gt;""),'Atividades Micro'!$K422,"")</f>
        <v/>
      </c>
      <c r="AZ370" s="21" t="str">
        <f>IF(AND('Atividades Micro'!$A422=AZ$2,'Atividades Micro'!$L422&lt;&gt;""),'Atividades Micro'!$L422,"")</f>
        <v/>
      </c>
      <c r="BA370" s="21" t="str">
        <f>IF(AND('Atividades Micro'!$B422=BA$2,'Atividades Micro'!$K422&lt;&gt;""),'Atividades Micro'!$K422,"")</f>
        <v/>
      </c>
      <c r="BB370" s="21" t="str">
        <f>IF(AND('Atividades Micro'!$B422=BB$2,'Atividades Micro'!$L422&lt;&gt;""),'Atividades Micro'!$L422,"")</f>
        <v/>
      </c>
      <c r="BC370" s="21" t="str">
        <f>IF(AND('Atividades Micro'!$B422=BC$2,'Atividades Micro'!$G422="Macro",'Atividades Micro'!$K422&lt;&gt;""),'Atividades Micro'!$K422,"")</f>
        <v/>
      </c>
      <c r="BD370" s="21" t="str">
        <f>IF(AND('Atividades Micro'!$B422=BD$2,'Atividades Micro'!$G422="Macro",'Atividades Micro'!$K422&lt;&gt;""),'Atividades Micro'!$K422,"")</f>
        <v/>
      </c>
      <c r="BE370" s="21" t="str">
        <f>IF(AND('Atividades Micro'!$B422=BE$2,'Atividades Micro'!$G422="Macro",'Atividades Micro'!$K422&lt;&gt;""),'Atividades Micro'!$K422,"")</f>
        <v/>
      </c>
      <c r="BF370" s="21" t="str">
        <f>IF(AND('Atividades Micro'!$B422=BF$2,'Atividades Micro'!$G422="Macro",'Atividades Micro'!$K422&lt;&gt;""),'Atividades Micro'!$K422,"")</f>
        <v/>
      </c>
      <c r="BG370" s="21" t="str">
        <f>IF(AND('Atividades Micro'!$B422=BG$2,'Atividades Micro'!$G422="Macro",'Atividades Micro'!$K422&lt;&gt;""),'Atividades Micro'!$K422,"")</f>
        <v/>
      </c>
      <c r="BH370" s="21" t="str">
        <f>IF(AND('Atividades Micro'!$B422=BH$2,'Atividades Micro'!$G422="Macro",'Atividades Micro'!$K422&lt;&gt;""),'Atividades Micro'!$K422,"")</f>
        <v/>
      </c>
      <c r="BI370" s="21" t="str">
        <f>IF(AND('Atividades Micro'!$B422=BI$2,'Atividades Micro'!$G422="Macro",'Atividades Micro'!$K422&lt;&gt;""),'Atividades Micro'!$K422,"")</f>
        <v/>
      </c>
      <c r="BJ370" s="21" t="str">
        <f>IF(AND('Atividades Micro'!$B422=BJ$2,'Atividades Micro'!$G422="Macro",'Atividades Micro'!$K422&lt;&gt;""),'Atividades Micro'!$K422,"")</f>
        <v/>
      </c>
      <c r="BK370" s="21" t="str">
        <f>IF(AND('Atividades Micro'!$B422=BK$2,'Atividades Micro'!$G422="Macro",'Atividades Micro'!$K422&lt;&gt;""),'Atividades Micro'!$K422,"")</f>
        <v/>
      </c>
      <c r="BL370" s="21" t="str">
        <f>IF(AND('Atividades Micro'!$B422=BL$2,'Atividades Micro'!$G422="Macro",'Atividades Micro'!$K422&lt;&gt;""),'Atividades Micro'!$K422,"")</f>
        <v/>
      </c>
      <c r="BM370" s="21" t="str">
        <f>IF(AND('Atividades Micro'!$B422=BM$2,'Atividades Micro'!$G422="Macro",'Atividades Micro'!$K422&lt;&gt;""),'Atividades Micro'!$K422,"")</f>
        <v/>
      </c>
      <c r="BN370" s="21" t="str">
        <f>IF(AND('Atividades Micro'!$B422=BN$2,'Atividades Micro'!$G422="Macro",'Atividades Micro'!$K422&lt;&gt;""),'Atividades Micro'!$K422,"")</f>
        <v/>
      </c>
      <c r="BO370" s="21" t="str">
        <f>IF(AND('Atividades Micro'!$B422=BO$2,'Atividades Micro'!$G422="Macro",'Atividades Micro'!$K422&lt;&gt;""),'Atividades Micro'!$K422,"")</f>
        <v/>
      </c>
      <c r="BP370" s="21" t="str">
        <f>IF(AND('Atividades Micro'!$B422=BP$2,'Atividades Micro'!$G422="Macro",'Atividades Micro'!$K422&lt;&gt;""),'Atividades Micro'!$K422,"")</f>
        <v/>
      </c>
      <c r="BQ370" s="21" t="str">
        <f>IF(AND('Atividades Micro'!$B422=BQ$2,'Atividades Micro'!$G422="Macro",'Atividades Micro'!$K422&lt;&gt;""),'Atividades Micro'!$K422,"")</f>
        <v/>
      </c>
      <c r="BR370" s="21" t="str">
        <f>IF(AND('Atividades Micro'!$B422=BR$2,'Atividades Micro'!$G422="Macro",'Atividades Micro'!$K422&lt;&gt;""),'Atividades Micro'!$K422,"")</f>
        <v/>
      </c>
      <c r="BS370" s="21" t="str">
        <f>IF(AND('Atividades Micro'!$B422=BS$2,'Atividades Micro'!$G422="Macro",'Atividades Micro'!$K422&lt;&gt;""),'Atividades Micro'!$K422,"")</f>
        <v/>
      </c>
      <c r="BT370" s="21" t="str">
        <f>IF(AND('Atividades Micro'!$B422=BT$2,'Atividades Micro'!$G422="Macro",'Atividades Micro'!$K422&lt;&gt;""),'Atividades Micro'!$K422,"")</f>
        <v/>
      </c>
      <c r="BU370" s="21" t="str">
        <f>IF(AND('Atividades Micro'!$B422=BU$2,'Atividades Micro'!$G422="Macro",'Atividades Micro'!$K422&lt;&gt;""),'Atividades Micro'!$K422,"")</f>
        <v/>
      </c>
      <c r="BV370" s="21" t="str">
        <f>IF(AND('Atividades Micro'!$B422=BV$2,'Atividades Micro'!$G422="Macro",'Atividades Micro'!$K422&lt;&gt;""),'Atividades Micro'!$K422,"")</f>
        <v/>
      </c>
      <c r="BW370" s="21" t="str">
        <f>IF(AND('Atividades Micro'!$B422=BW$2,'Atividades Micro'!$G422="Macro",'Atividades Micro'!$K422&lt;&gt;""),'Atividades Micro'!$K422,"")</f>
        <v/>
      </c>
      <c r="BX370" s="21" t="str">
        <f>IF(AND('Atividades Micro'!$B422=BX$2,'Atividades Micro'!$G422="Macro",'Atividades Micro'!$K422&lt;&gt;""),'Atividades Micro'!$K422,"")</f>
        <v/>
      </c>
      <c r="BY370" s="21" t="str">
        <f>IF(AND('Atividades Micro'!$B422=BY$2,'Atividades Micro'!$G422="Macro",'Atividades Micro'!$K422&lt;&gt;""),'Atividades Micro'!$K422,"")</f>
        <v/>
      </c>
      <c r="BZ370" s="21" t="str">
        <f>IF(AND('Atividades Micro'!$B422=BZ$2,'Atividades Micro'!$G422="Macro",'Atividades Micro'!$K422&lt;&gt;""),'Atividades Micro'!$K422,"")</f>
        <v/>
      </c>
      <c r="CA370" s="21" t="str">
        <f>IF(AND('Atividades Micro'!$B422=CA$2,'Atividades Micro'!$G422="Macro",'Atividades Micro'!$K422&lt;&gt;""),'Atividades Micro'!$K422,"")</f>
        <v/>
      </c>
      <c r="CB370" s="21" t="str">
        <f>IF(AND('Atividades Micro'!$B422=CB$2,'Atividades Micro'!$G422="Macro",'Atividades Micro'!$K422&lt;&gt;""),'Atividades Micro'!$K422,"")</f>
        <v/>
      </c>
      <c r="CC370" s="21" t="str">
        <f>IF(AND('Atividades Micro'!$B422=CC$2,'Atividades Micro'!$G422="Macro",'Atividades Micro'!$K422&lt;&gt;""),'Atividades Micro'!$K422,"")</f>
        <v/>
      </c>
      <c r="CD370" s="21" t="str">
        <f>IF(AND('Atividades Micro'!$B422=CD$2,'Atividades Micro'!$G422="Micro",'Atividades Micro'!$K422&lt;&gt;""),'Atividades Micro'!$K422,"")</f>
        <v/>
      </c>
      <c r="CE370" s="21" t="str">
        <f>IF(AND('Atividades Micro'!$B422=CE$2,'Atividades Micro'!$G422="Micro",'Atividades Micro'!$K422&lt;&gt;""),'Atividades Micro'!$K422,"")</f>
        <v/>
      </c>
      <c r="CF370" s="21" t="str">
        <f>IF(AND('Atividades Micro'!$B422=CF$2,'Atividades Micro'!$G422="Micro",'Atividades Micro'!$K422&lt;&gt;""),'Atividades Micro'!$K422,"")</f>
        <v/>
      </c>
      <c r="CG370" s="21" t="str">
        <f>IF(AND('Atividades Micro'!$B422=CG$2,'Atividades Micro'!$G422="Micro",'Atividades Micro'!$K422&lt;&gt;""),'Atividades Micro'!$K422,"")</f>
        <v/>
      </c>
      <c r="CH370" s="21" t="str">
        <f>IF(AND('Atividades Micro'!$B422=CH$2,'Atividades Micro'!$G422="Micro",'Atividades Micro'!$K422&lt;&gt;""),'Atividades Micro'!$K422,"")</f>
        <v/>
      </c>
      <c r="CI370" s="21" t="str">
        <f>IF(AND('Atividades Micro'!$B422=CI$2,'Atividades Micro'!$G422="Micro",'Atividades Micro'!$K422&lt;&gt;""),'Atividades Micro'!$K422,"")</f>
        <v/>
      </c>
      <c r="CJ370" s="21" t="str">
        <f>IF(AND('Atividades Micro'!$B422=CJ$2,'Atividades Micro'!$G422="Micro",'Atividades Micro'!$K422&lt;&gt;""),'Atividades Micro'!$K422,"")</f>
        <v/>
      </c>
      <c r="CK370" s="21" t="str">
        <f>IF(AND('Atividades Micro'!$B422=CK$2,'Atividades Micro'!$G422="Micro",'Atividades Micro'!$K422&lt;&gt;""),'Atividades Micro'!$K422,"")</f>
        <v/>
      </c>
      <c r="CL370" s="21" t="str">
        <f>IF(AND('Atividades Micro'!$B422=CL$2,'Atividades Micro'!$G422="Micro",'Atividades Micro'!$K422&lt;&gt;""),'Atividades Micro'!$K422,"")</f>
        <v/>
      </c>
      <c r="CM370" s="21" t="str">
        <f>IF(AND('Atividades Micro'!$B422=CM$2,'Atividades Micro'!$G422="Micro",'Atividades Micro'!$K422&lt;&gt;""),'Atividades Micro'!$K422,"")</f>
        <v/>
      </c>
      <c r="CN370" s="21" t="str">
        <f>IF(AND('Atividades Micro'!$B422=CN$2,'Atividades Micro'!$G422="Micro",'Atividades Micro'!$K422&lt;&gt;""),'Atividades Micro'!$K422,"")</f>
        <v/>
      </c>
      <c r="CO370" s="21" t="str">
        <f>IF(AND('Atividades Micro'!$B422=CO$2,'Atividades Micro'!$G422="Micro",'Atividades Micro'!$K422&lt;&gt;""),'Atividades Micro'!$K422,"")</f>
        <v/>
      </c>
    </row>
    <row r="371" spans="1:93">
      <c r="A371" s="21" t="str">
        <f>IF(AND('Atividades Micro'!$A423=A$2,'Atividades Micro'!$K423&lt;&gt;""),'Atividades Micro'!$K423,"")</f>
        <v/>
      </c>
      <c r="B371" s="21" t="str">
        <f>IF(AND('Atividades Micro'!$A423=B$2,'Atividades Micro'!$L423&lt;&gt;""),'Atividades Micro'!$L423,"")</f>
        <v/>
      </c>
      <c r="C371" s="21" t="str">
        <f>IF(AND('Atividades Micro'!$A423=C$2,'Atividades Micro'!$K423&lt;&gt;""),'Atividades Micro'!$K423,"")</f>
        <v/>
      </c>
      <c r="D371" s="21" t="str">
        <f>IF(AND('Atividades Micro'!$A423=D$2,'Atividades Micro'!$L423&lt;&gt;""),'Atividades Micro'!$L423,"")</f>
        <v/>
      </c>
      <c r="E371" s="21" t="str">
        <f>IF(AND('Atividades Micro'!$A423=E$2,'Atividades Micro'!$K423&lt;&gt;""),'Atividades Micro'!$K423,"")</f>
        <v/>
      </c>
      <c r="F371" s="21" t="str">
        <f>IF(AND('Atividades Micro'!$A423=F$2,'Atividades Micro'!$L423&lt;&gt;""),'Atividades Micro'!$L423,"")</f>
        <v/>
      </c>
      <c r="G371" s="21" t="str">
        <f>IF(AND('Atividades Micro'!$A423=G$2,'Atividades Micro'!$K423&lt;&gt;""),'Atividades Micro'!$K423,"")</f>
        <v/>
      </c>
      <c r="H371" s="21" t="str">
        <f>IF(AND('Atividades Micro'!$A423=H$2,'Atividades Micro'!$L423&lt;&gt;""),'Atividades Micro'!$L423,"")</f>
        <v/>
      </c>
      <c r="I371" s="21" t="str">
        <f>IF(AND('Atividades Micro'!$A423=I$2,'Atividades Micro'!$K423&lt;&gt;""),'Atividades Micro'!$K423,"")</f>
        <v/>
      </c>
      <c r="J371" s="21" t="str">
        <f>IF(AND('Atividades Micro'!$A423=J$2,'Atividades Micro'!$L423&lt;&gt;""),'Atividades Micro'!$L423,"")</f>
        <v/>
      </c>
      <c r="K371" s="21" t="str">
        <f>IF(AND('Atividades Micro'!$B423=K$2,'Atividades Micro'!$K423&lt;&gt;""),'Atividades Micro'!$K423,"")</f>
        <v/>
      </c>
      <c r="L371" s="21" t="str">
        <f>IF(AND('Atividades Micro'!$B423=L$2,'Atividades Micro'!$L423&lt;&gt;""),'Atividades Micro'!$L423,"")</f>
        <v/>
      </c>
      <c r="M371" s="21" t="str">
        <f>IF(AND('Atividades Micro'!$B423=M$2,'Atividades Micro'!$K423&lt;&gt;""),'Atividades Micro'!$K423,"")</f>
        <v/>
      </c>
      <c r="N371" s="21" t="str">
        <f>IF(AND('Atividades Micro'!$B423=N$2,'Atividades Micro'!$L423&lt;&gt;""),'Atividades Micro'!$L423,"")</f>
        <v/>
      </c>
      <c r="O371" s="21" t="str">
        <f>IF(AND('Atividades Micro'!$A423=O$2,'Atividades Micro'!$K423&lt;&gt;""),'Atividades Micro'!$K423,"")</f>
        <v/>
      </c>
      <c r="P371" s="21" t="str">
        <f>IF(AND('Atividades Micro'!$A423=P$2,'Atividades Micro'!$L423&lt;&gt;""),'Atividades Micro'!$L423,"")</f>
        <v/>
      </c>
      <c r="Q371" s="21" t="str">
        <f>IF(AND('Atividades Micro'!$B423=Q$2,'Atividades Micro'!$K423&lt;&gt;""),'Atividades Micro'!$K423,"")</f>
        <v/>
      </c>
      <c r="R371" s="21" t="str">
        <f>IF(AND('Atividades Micro'!$B423=R$2,'Atividades Micro'!$L423&lt;&gt;""),'Atividades Micro'!$L423,"")</f>
        <v/>
      </c>
      <c r="S371" s="21" t="str">
        <f>IF(AND('Atividades Micro'!$A423=S$2,'Atividades Micro'!$K423&lt;&gt;""),'Atividades Micro'!$K423,"")</f>
        <v/>
      </c>
      <c r="T371" s="21" t="str">
        <f>IF(AND('Atividades Micro'!$A423=T$2,'Atividades Micro'!$L423&lt;&gt;""),'Atividades Micro'!$L423,"")</f>
        <v/>
      </c>
      <c r="U371" s="21" t="str">
        <f>IF(AND('Atividades Micro'!$B423=U$2,'Atividades Micro'!$K423&lt;&gt;""),'Atividades Micro'!$K423,"")</f>
        <v/>
      </c>
      <c r="V371" s="21" t="str">
        <f>IF(AND('Atividades Micro'!$B423=V$2,'Atividades Micro'!$L423&lt;&gt;""),'Atividades Micro'!$L423,"")</f>
        <v/>
      </c>
      <c r="W371" s="21" t="str">
        <f>IF(AND('Atividades Micro'!$B423=W$2,'Atividades Micro'!$K423&lt;&gt;""),'Atividades Micro'!$K423,"")</f>
        <v/>
      </c>
      <c r="X371" s="21" t="str">
        <f>IF(AND('Atividades Micro'!$B423=X$2,'Atividades Micro'!$L423&lt;&gt;""),'Atividades Micro'!$L423,"")</f>
        <v/>
      </c>
      <c r="Y371" s="21" t="str">
        <f>IF(AND('Atividades Micro'!$A423=Y$2,'Atividades Micro'!$K423&lt;&gt;""),'Atividades Micro'!$K423,"")</f>
        <v/>
      </c>
      <c r="Z371" s="21" t="str">
        <f>IF(AND('Atividades Micro'!$A423=Z$2,'Atividades Micro'!$L423&lt;&gt;""),'Atividades Micro'!$L423,"")</f>
        <v/>
      </c>
      <c r="AA371" s="21" t="str">
        <f>IF(AND('Atividades Micro'!$B423=AA$2,'Atividades Micro'!$K423&lt;&gt;""),'Atividades Micro'!$K423,"")</f>
        <v/>
      </c>
      <c r="AB371" s="21" t="str">
        <f>IF(AND('Atividades Micro'!$B423=AB$2,'Atividades Micro'!$L423&lt;&gt;""),'Atividades Micro'!$L423,"")</f>
        <v/>
      </c>
      <c r="AC371" s="21" t="str">
        <f>IF(AND('Atividades Micro'!$B423=AC$2,'Atividades Micro'!$K423&lt;&gt;""),'Atividades Micro'!$K423,"")</f>
        <v/>
      </c>
      <c r="AD371" s="21" t="str">
        <f>IF(AND('Atividades Micro'!$B423=AD$2,'Atividades Micro'!$L423&lt;&gt;""),'Atividades Micro'!$L423,"")</f>
        <v/>
      </c>
      <c r="AE371" s="21" t="str">
        <f>IF(AND('Atividades Micro'!$A423=AE$2,'Atividades Micro'!$K423&lt;&gt;""),'Atividades Micro'!$K423,"")</f>
        <v/>
      </c>
      <c r="AF371" s="21" t="str">
        <f>IF(AND('Atividades Micro'!$A423=AF$2,'Atividades Micro'!$L423&lt;&gt;""),'Atividades Micro'!$L423,"")</f>
        <v/>
      </c>
      <c r="AG371" s="21" t="str">
        <f>IF(AND('Atividades Micro'!$B423=AG$2,'Atividades Micro'!$K423&lt;&gt;""),'Atividades Micro'!$K423,"")</f>
        <v/>
      </c>
      <c r="AH371" s="21" t="str">
        <f>IF(AND('Atividades Micro'!$B423=AH$2,'Atividades Micro'!$L423&lt;&gt;""),'Atividades Micro'!$L423,"")</f>
        <v/>
      </c>
      <c r="AI371" s="21" t="str">
        <f>IF(AND('Atividades Micro'!$B423=AI$2,'Atividades Micro'!$K423&lt;&gt;""),'Atividades Micro'!$K423,"")</f>
        <v/>
      </c>
      <c r="AJ371" s="21" t="str">
        <f>IF(AND('Atividades Micro'!$B423=AJ$2,'Atividades Micro'!$L423&lt;&gt;""),'Atividades Micro'!$L423,"")</f>
        <v/>
      </c>
      <c r="AK371" s="21" t="str">
        <f>IF(AND('Atividades Micro'!$A423=AK$2,'Atividades Micro'!$K423&lt;&gt;""),'Atividades Micro'!$K423,"")</f>
        <v/>
      </c>
      <c r="AL371" s="21" t="str">
        <f>IF(AND('Atividades Micro'!$A423=AL$2,'Atividades Micro'!$L423&lt;&gt;""),'Atividades Micro'!$L423,"")</f>
        <v/>
      </c>
      <c r="AM371" s="21" t="str">
        <f>IF(AND('Atividades Micro'!$B423=AM$2,'Atividades Micro'!$K423&lt;&gt;""),'Atividades Micro'!$K423,"")</f>
        <v/>
      </c>
      <c r="AN371" s="21" t="str">
        <f>IF(AND('Atividades Micro'!$B423=AN$2,'Atividades Micro'!$L423&lt;&gt;""),'Atividades Micro'!$L423,"")</f>
        <v/>
      </c>
      <c r="AO371" s="21" t="str">
        <f>IF(AND('Atividades Micro'!$B423=AO$2,'Atividades Micro'!$K423&lt;&gt;""),'Atividades Micro'!$K423,"")</f>
        <v/>
      </c>
      <c r="AP371" s="21" t="str">
        <f>IF(AND('Atividades Micro'!$B423=AP$2,'Atividades Micro'!$L423&lt;&gt;""),'Atividades Micro'!$L423,"")</f>
        <v/>
      </c>
      <c r="AQ371" s="21" t="str">
        <f>IF(AND('Atividades Micro'!$A423=AQ$2,'Atividades Micro'!$K423&lt;&gt;""),'Atividades Micro'!$K423,"")</f>
        <v/>
      </c>
      <c r="AR371" s="21" t="str">
        <f>IF(AND('Atividades Micro'!$A423=AR$2,'Atividades Micro'!$L423&lt;&gt;""),'Atividades Micro'!$L423,"")</f>
        <v/>
      </c>
      <c r="AS371" s="21" t="str">
        <f>IF(AND('Atividades Micro'!$B423=AS$2,'Atividades Micro'!$K423&lt;&gt;""),'Atividades Micro'!$K423,"")</f>
        <v/>
      </c>
      <c r="AT371" s="21" t="str">
        <f>IF(AND('Atividades Micro'!$B423=AT$2,'Atividades Micro'!$L423&lt;&gt;""),'Atividades Micro'!$L423,"")</f>
        <v/>
      </c>
      <c r="AU371" s="21" t="str">
        <f>IF(AND('Atividades Micro'!$A423=AU$2,'Atividades Micro'!$K423&lt;&gt;""),'Atividades Micro'!$K423,"")</f>
        <v/>
      </c>
      <c r="AV371" s="21" t="str">
        <f>IF(AND('Atividades Micro'!$A423=AV$2,'Atividades Micro'!$L423&lt;&gt;""),'Atividades Micro'!$L423,"")</f>
        <v/>
      </c>
      <c r="AW371" s="21" t="str">
        <f>IF(AND('Atividades Micro'!$B423=AW$2,'Atividades Micro'!$K423&lt;&gt;""),'Atividades Micro'!$K423,"")</f>
        <v/>
      </c>
      <c r="AX371" s="21" t="str">
        <f>IF(AND('Atividades Micro'!$B423=AX$2,'Atividades Micro'!$L423&lt;&gt;""),'Atividades Micro'!$L423,"")</f>
        <v/>
      </c>
      <c r="AY371" s="21" t="str">
        <f>IF(AND('Atividades Micro'!$A423=AY$2,'Atividades Micro'!$K423&lt;&gt;""),'Atividades Micro'!$K423,"")</f>
        <v/>
      </c>
      <c r="AZ371" s="21" t="str">
        <f>IF(AND('Atividades Micro'!$A423=AZ$2,'Atividades Micro'!$L423&lt;&gt;""),'Atividades Micro'!$L423,"")</f>
        <v/>
      </c>
      <c r="BA371" s="21" t="str">
        <f>IF(AND('Atividades Micro'!$B423=BA$2,'Atividades Micro'!$K423&lt;&gt;""),'Atividades Micro'!$K423,"")</f>
        <v/>
      </c>
      <c r="BB371" s="21" t="str">
        <f>IF(AND('Atividades Micro'!$B423=BB$2,'Atividades Micro'!$L423&lt;&gt;""),'Atividades Micro'!$L423,"")</f>
        <v/>
      </c>
      <c r="BC371" s="21" t="str">
        <f>IF(AND('Atividades Micro'!$B423=BC$2,'Atividades Micro'!$G423="Macro",'Atividades Micro'!$K423&lt;&gt;""),'Atividades Micro'!$K423,"")</f>
        <v/>
      </c>
      <c r="BD371" s="21" t="str">
        <f>IF(AND('Atividades Micro'!$B423=BD$2,'Atividades Micro'!$G423="Macro",'Atividades Micro'!$K423&lt;&gt;""),'Atividades Micro'!$K423,"")</f>
        <v/>
      </c>
      <c r="BE371" s="21" t="str">
        <f>IF(AND('Atividades Micro'!$B423=BE$2,'Atividades Micro'!$G423="Macro",'Atividades Micro'!$K423&lt;&gt;""),'Atividades Micro'!$K423,"")</f>
        <v/>
      </c>
      <c r="BF371" s="21" t="str">
        <f>IF(AND('Atividades Micro'!$B423=BF$2,'Atividades Micro'!$G423="Macro",'Atividades Micro'!$K423&lt;&gt;""),'Atividades Micro'!$K423,"")</f>
        <v/>
      </c>
      <c r="BG371" s="21" t="str">
        <f>IF(AND('Atividades Micro'!$B423=BG$2,'Atividades Micro'!$G423="Macro",'Atividades Micro'!$K423&lt;&gt;""),'Atividades Micro'!$K423,"")</f>
        <v/>
      </c>
      <c r="BH371" s="21" t="str">
        <f>IF(AND('Atividades Micro'!$B423=BH$2,'Atividades Micro'!$G423="Macro",'Atividades Micro'!$K423&lt;&gt;""),'Atividades Micro'!$K423,"")</f>
        <v/>
      </c>
      <c r="BI371" s="21" t="str">
        <f>IF(AND('Atividades Micro'!$B423=BI$2,'Atividades Micro'!$G423="Macro",'Atividades Micro'!$K423&lt;&gt;""),'Atividades Micro'!$K423,"")</f>
        <v/>
      </c>
      <c r="BJ371" s="21" t="str">
        <f>IF(AND('Atividades Micro'!$B423=BJ$2,'Atividades Micro'!$G423="Macro",'Atividades Micro'!$K423&lt;&gt;""),'Atividades Micro'!$K423,"")</f>
        <v/>
      </c>
      <c r="BK371" s="21" t="str">
        <f>IF(AND('Atividades Micro'!$B423=BK$2,'Atividades Micro'!$G423="Macro",'Atividades Micro'!$K423&lt;&gt;""),'Atividades Micro'!$K423,"")</f>
        <v/>
      </c>
      <c r="BL371" s="21" t="str">
        <f>IF(AND('Atividades Micro'!$B423=BL$2,'Atividades Micro'!$G423="Macro",'Atividades Micro'!$K423&lt;&gt;""),'Atividades Micro'!$K423,"")</f>
        <v/>
      </c>
      <c r="BM371" s="21" t="str">
        <f>IF(AND('Atividades Micro'!$B423=BM$2,'Atividades Micro'!$G423="Macro",'Atividades Micro'!$K423&lt;&gt;""),'Atividades Micro'!$K423,"")</f>
        <v/>
      </c>
      <c r="BN371" s="21" t="str">
        <f>IF(AND('Atividades Micro'!$B423=BN$2,'Atividades Micro'!$G423="Macro",'Atividades Micro'!$K423&lt;&gt;""),'Atividades Micro'!$K423,"")</f>
        <v/>
      </c>
      <c r="BO371" s="21" t="str">
        <f>IF(AND('Atividades Micro'!$B423=BO$2,'Atividades Micro'!$G423="Macro",'Atividades Micro'!$K423&lt;&gt;""),'Atividades Micro'!$K423,"")</f>
        <v/>
      </c>
      <c r="BP371" s="21" t="str">
        <f>IF(AND('Atividades Micro'!$B423=BP$2,'Atividades Micro'!$G423="Macro",'Atividades Micro'!$K423&lt;&gt;""),'Atividades Micro'!$K423,"")</f>
        <v/>
      </c>
      <c r="BQ371" s="21" t="str">
        <f>IF(AND('Atividades Micro'!$B423=BQ$2,'Atividades Micro'!$G423="Macro",'Atividades Micro'!$K423&lt;&gt;""),'Atividades Micro'!$K423,"")</f>
        <v/>
      </c>
      <c r="BR371" s="21" t="str">
        <f>IF(AND('Atividades Micro'!$B423=BR$2,'Atividades Micro'!$G423="Macro",'Atividades Micro'!$K423&lt;&gt;""),'Atividades Micro'!$K423,"")</f>
        <v/>
      </c>
      <c r="BS371" s="21" t="str">
        <f>IF(AND('Atividades Micro'!$B423=BS$2,'Atividades Micro'!$G423="Macro",'Atividades Micro'!$K423&lt;&gt;""),'Atividades Micro'!$K423,"")</f>
        <v/>
      </c>
      <c r="BT371" s="21" t="str">
        <f>IF(AND('Atividades Micro'!$B423=BT$2,'Atividades Micro'!$G423="Macro",'Atividades Micro'!$K423&lt;&gt;""),'Atividades Micro'!$K423,"")</f>
        <v/>
      </c>
      <c r="BU371" s="21" t="str">
        <f>IF(AND('Atividades Micro'!$B423=BU$2,'Atividades Micro'!$G423="Macro",'Atividades Micro'!$K423&lt;&gt;""),'Atividades Micro'!$K423,"")</f>
        <v/>
      </c>
      <c r="BV371" s="21" t="str">
        <f>IF(AND('Atividades Micro'!$B423=BV$2,'Atividades Micro'!$G423="Macro",'Atividades Micro'!$K423&lt;&gt;""),'Atividades Micro'!$K423,"")</f>
        <v/>
      </c>
      <c r="BW371" s="21" t="str">
        <f>IF(AND('Atividades Micro'!$B423=BW$2,'Atividades Micro'!$G423="Macro",'Atividades Micro'!$K423&lt;&gt;""),'Atividades Micro'!$K423,"")</f>
        <v/>
      </c>
      <c r="BX371" s="21" t="str">
        <f>IF(AND('Atividades Micro'!$B423=BX$2,'Atividades Micro'!$G423="Macro",'Atividades Micro'!$K423&lt;&gt;""),'Atividades Micro'!$K423,"")</f>
        <v/>
      </c>
      <c r="BY371" s="21" t="str">
        <f>IF(AND('Atividades Micro'!$B423=BY$2,'Atividades Micro'!$G423="Macro",'Atividades Micro'!$K423&lt;&gt;""),'Atividades Micro'!$K423,"")</f>
        <v/>
      </c>
      <c r="BZ371" s="21" t="str">
        <f>IF(AND('Atividades Micro'!$B423=BZ$2,'Atividades Micro'!$G423="Macro",'Atividades Micro'!$K423&lt;&gt;""),'Atividades Micro'!$K423,"")</f>
        <v/>
      </c>
      <c r="CA371" s="21" t="str">
        <f>IF(AND('Atividades Micro'!$B423=CA$2,'Atividades Micro'!$G423="Macro",'Atividades Micro'!$K423&lt;&gt;""),'Atividades Micro'!$K423,"")</f>
        <v/>
      </c>
      <c r="CB371" s="21" t="str">
        <f>IF(AND('Atividades Micro'!$B423=CB$2,'Atividades Micro'!$G423="Macro",'Atividades Micro'!$K423&lt;&gt;""),'Atividades Micro'!$K423,"")</f>
        <v/>
      </c>
      <c r="CC371" s="21" t="str">
        <f>IF(AND('Atividades Micro'!$B423=CC$2,'Atividades Micro'!$G423="Macro",'Atividades Micro'!$K423&lt;&gt;""),'Atividades Micro'!$K423,"")</f>
        <v/>
      </c>
      <c r="CD371" s="21" t="str">
        <f>IF(AND('Atividades Micro'!$B423=CD$2,'Atividades Micro'!$G423="Micro",'Atividades Micro'!$K423&lt;&gt;""),'Atividades Micro'!$K423,"")</f>
        <v/>
      </c>
      <c r="CE371" s="21" t="str">
        <f>IF(AND('Atividades Micro'!$B423=CE$2,'Atividades Micro'!$G423="Micro",'Atividades Micro'!$K423&lt;&gt;""),'Atividades Micro'!$K423,"")</f>
        <v/>
      </c>
      <c r="CF371" s="21" t="str">
        <f>IF(AND('Atividades Micro'!$B423=CF$2,'Atividades Micro'!$G423="Micro",'Atividades Micro'!$K423&lt;&gt;""),'Atividades Micro'!$K423,"")</f>
        <v/>
      </c>
      <c r="CG371" s="21" t="str">
        <f>IF(AND('Atividades Micro'!$B423=CG$2,'Atividades Micro'!$G423="Micro",'Atividades Micro'!$K423&lt;&gt;""),'Atividades Micro'!$K423,"")</f>
        <v/>
      </c>
      <c r="CH371" s="21" t="str">
        <f>IF(AND('Atividades Micro'!$B423=CH$2,'Atividades Micro'!$G423="Micro",'Atividades Micro'!$K423&lt;&gt;""),'Atividades Micro'!$K423,"")</f>
        <v/>
      </c>
      <c r="CI371" s="21" t="str">
        <f>IF(AND('Atividades Micro'!$B423=CI$2,'Atividades Micro'!$G423="Micro",'Atividades Micro'!$K423&lt;&gt;""),'Atividades Micro'!$K423,"")</f>
        <v/>
      </c>
      <c r="CJ371" s="21" t="str">
        <f>IF(AND('Atividades Micro'!$B423=CJ$2,'Atividades Micro'!$G423="Micro",'Atividades Micro'!$K423&lt;&gt;""),'Atividades Micro'!$K423,"")</f>
        <v/>
      </c>
      <c r="CK371" s="21" t="str">
        <f>IF(AND('Atividades Micro'!$B423=CK$2,'Atividades Micro'!$G423="Micro",'Atividades Micro'!$K423&lt;&gt;""),'Atividades Micro'!$K423,"")</f>
        <v/>
      </c>
      <c r="CL371" s="21" t="str">
        <f>IF(AND('Atividades Micro'!$B423=CL$2,'Atividades Micro'!$G423="Micro",'Atividades Micro'!$K423&lt;&gt;""),'Atividades Micro'!$K423,"")</f>
        <v/>
      </c>
      <c r="CM371" s="21" t="str">
        <f>IF(AND('Atividades Micro'!$B423=CM$2,'Atividades Micro'!$G423="Micro",'Atividades Micro'!$K423&lt;&gt;""),'Atividades Micro'!$K423,"")</f>
        <v/>
      </c>
      <c r="CN371" s="21" t="str">
        <f>IF(AND('Atividades Micro'!$B423=CN$2,'Atividades Micro'!$G423="Micro",'Atividades Micro'!$K423&lt;&gt;""),'Atividades Micro'!$K423,"")</f>
        <v/>
      </c>
      <c r="CO371" s="21" t="str">
        <f>IF(AND('Atividades Micro'!$B423=CO$2,'Atividades Micro'!$G423="Micro",'Atividades Micro'!$K423&lt;&gt;""),'Atividades Micro'!$K423,"")</f>
        <v/>
      </c>
    </row>
    <row r="372" spans="1:93">
      <c r="A372" s="21" t="str">
        <f>IF(AND('Atividades Micro'!$A424=A$2,'Atividades Micro'!$K424&lt;&gt;""),'Atividades Micro'!$K424,"")</f>
        <v/>
      </c>
      <c r="B372" s="21" t="str">
        <f>IF(AND('Atividades Micro'!$A424=B$2,'Atividades Micro'!$L424&lt;&gt;""),'Atividades Micro'!$L424,"")</f>
        <v/>
      </c>
      <c r="C372" s="21" t="str">
        <f>IF(AND('Atividades Micro'!$A424=C$2,'Atividades Micro'!$K424&lt;&gt;""),'Atividades Micro'!$K424,"")</f>
        <v/>
      </c>
      <c r="D372" s="21" t="str">
        <f>IF(AND('Atividades Micro'!$A424=D$2,'Atividades Micro'!$L424&lt;&gt;""),'Atividades Micro'!$L424,"")</f>
        <v/>
      </c>
      <c r="E372" s="21" t="str">
        <f>IF(AND('Atividades Micro'!$A424=E$2,'Atividades Micro'!$K424&lt;&gt;""),'Atividades Micro'!$K424,"")</f>
        <v/>
      </c>
      <c r="F372" s="21" t="str">
        <f>IF(AND('Atividades Micro'!$A424=F$2,'Atividades Micro'!$L424&lt;&gt;""),'Atividades Micro'!$L424,"")</f>
        <v/>
      </c>
      <c r="G372" s="21" t="str">
        <f>IF(AND('Atividades Micro'!$A424=G$2,'Atividades Micro'!$K424&lt;&gt;""),'Atividades Micro'!$K424,"")</f>
        <v/>
      </c>
      <c r="H372" s="21" t="str">
        <f>IF(AND('Atividades Micro'!$A424=H$2,'Atividades Micro'!$L424&lt;&gt;""),'Atividades Micro'!$L424,"")</f>
        <v/>
      </c>
      <c r="I372" s="21" t="str">
        <f>IF(AND('Atividades Micro'!$A424=I$2,'Atividades Micro'!$K424&lt;&gt;""),'Atividades Micro'!$K424,"")</f>
        <v/>
      </c>
      <c r="J372" s="21" t="str">
        <f>IF(AND('Atividades Micro'!$A424=J$2,'Atividades Micro'!$L424&lt;&gt;""),'Atividades Micro'!$L424,"")</f>
        <v/>
      </c>
      <c r="K372" s="21" t="str">
        <f>IF(AND('Atividades Micro'!$B424=K$2,'Atividades Micro'!$K424&lt;&gt;""),'Atividades Micro'!$K424,"")</f>
        <v/>
      </c>
      <c r="L372" s="21" t="str">
        <f>IF(AND('Atividades Micro'!$B424=L$2,'Atividades Micro'!$L424&lt;&gt;""),'Atividades Micro'!$L424,"")</f>
        <v/>
      </c>
      <c r="M372" s="21" t="str">
        <f>IF(AND('Atividades Micro'!$B424=M$2,'Atividades Micro'!$K424&lt;&gt;""),'Atividades Micro'!$K424,"")</f>
        <v/>
      </c>
      <c r="N372" s="21" t="str">
        <f>IF(AND('Atividades Micro'!$B424=N$2,'Atividades Micro'!$L424&lt;&gt;""),'Atividades Micro'!$L424,"")</f>
        <v/>
      </c>
      <c r="O372" s="21" t="str">
        <f>IF(AND('Atividades Micro'!$A424=O$2,'Atividades Micro'!$K424&lt;&gt;""),'Atividades Micro'!$K424,"")</f>
        <v/>
      </c>
      <c r="P372" s="21" t="str">
        <f>IF(AND('Atividades Micro'!$A424=P$2,'Atividades Micro'!$L424&lt;&gt;""),'Atividades Micro'!$L424,"")</f>
        <v/>
      </c>
      <c r="Q372" s="21" t="str">
        <f>IF(AND('Atividades Micro'!$B424=Q$2,'Atividades Micro'!$K424&lt;&gt;""),'Atividades Micro'!$K424,"")</f>
        <v/>
      </c>
      <c r="R372" s="21" t="str">
        <f>IF(AND('Atividades Micro'!$B424=R$2,'Atividades Micro'!$L424&lt;&gt;""),'Atividades Micro'!$L424,"")</f>
        <v/>
      </c>
      <c r="S372" s="21" t="str">
        <f>IF(AND('Atividades Micro'!$A424=S$2,'Atividades Micro'!$K424&lt;&gt;""),'Atividades Micro'!$K424,"")</f>
        <v/>
      </c>
      <c r="T372" s="21" t="str">
        <f>IF(AND('Atividades Micro'!$A424=T$2,'Atividades Micro'!$L424&lt;&gt;""),'Atividades Micro'!$L424,"")</f>
        <v/>
      </c>
      <c r="U372" s="21" t="str">
        <f>IF(AND('Atividades Micro'!$B424=U$2,'Atividades Micro'!$K424&lt;&gt;""),'Atividades Micro'!$K424,"")</f>
        <v/>
      </c>
      <c r="V372" s="21" t="str">
        <f>IF(AND('Atividades Micro'!$B424=V$2,'Atividades Micro'!$L424&lt;&gt;""),'Atividades Micro'!$L424,"")</f>
        <v/>
      </c>
      <c r="W372" s="21" t="str">
        <f>IF(AND('Atividades Micro'!$B424=W$2,'Atividades Micro'!$K424&lt;&gt;""),'Atividades Micro'!$K424,"")</f>
        <v/>
      </c>
      <c r="X372" s="21" t="str">
        <f>IF(AND('Atividades Micro'!$B424=X$2,'Atividades Micro'!$L424&lt;&gt;""),'Atividades Micro'!$L424,"")</f>
        <v/>
      </c>
      <c r="Y372" s="21" t="str">
        <f>IF(AND('Atividades Micro'!$A424=Y$2,'Atividades Micro'!$K424&lt;&gt;""),'Atividades Micro'!$K424,"")</f>
        <v/>
      </c>
      <c r="Z372" s="21" t="str">
        <f>IF(AND('Atividades Micro'!$A424=Z$2,'Atividades Micro'!$L424&lt;&gt;""),'Atividades Micro'!$L424,"")</f>
        <v/>
      </c>
      <c r="AA372" s="21" t="str">
        <f>IF(AND('Atividades Micro'!$B424=AA$2,'Atividades Micro'!$K424&lt;&gt;""),'Atividades Micro'!$K424,"")</f>
        <v/>
      </c>
      <c r="AB372" s="21" t="str">
        <f>IF(AND('Atividades Micro'!$B424=AB$2,'Atividades Micro'!$L424&lt;&gt;""),'Atividades Micro'!$L424,"")</f>
        <v/>
      </c>
      <c r="AC372" s="21" t="str">
        <f>IF(AND('Atividades Micro'!$B424=AC$2,'Atividades Micro'!$K424&lt;&gt;""),'Atividades Micro'!$K424,"")</f>
        <v/>
      </c>
      <c r="AD372" s="21" t="str">
        <f>IF(AND('Atividades Micro'!$B424=AD$2,'Atividades Micro'!$L424&lt;&gt;""),'Atividades Micro'!$L424,"")</f>
        <v/>
      </c>
      <c r="AE372" s="21" t="str">
        <f>IF(AND('Atividades Micro'!$A424=AE$2,'Atividades Micro'!$K424&lt;&gt;""),'Atividades Micro'!$K424,"")</f>
        <v/>
      </c>
      <c r="AF372" s="21" t="str">
        <f>IF(AND('Atividades Micro'!$A424=AF$2,'Atividades Micro'!$L424&lt;&gt;""),'Atividades Micro'!$L424,"")</f>
        <v/>
      </c>
      <c r="AG372" s="21" t="str">
        <f>IF(AND('Atividades Micro'!$B424=AG$2,'Atividades Micro'!$K424&lt;&gt;""),'Atividades Micro'!$K424,"")</f>
        <v/>
      </c>
      <c r="AH372" s="21" t="str">
        <f>IF(AND('Atividades Micro'!$B424=AH$2,'Atividades Micro'!$L424&lt;&gt;""),'Atividades Micro'!$L424,"")</f>
        <v/>
      </c>
      <c r="AI372" s="21" t="str">
        <f>IF(AND('Atividades Micro'!$B424=AI$2,'Atividades Micro'!$K424&lt;&gt;""),'Atividades Micro'!$K424,"")</f>
        <v/>
      </c>
      <c r="AJ372" s="21" t="str">
        <f>IF(AND('Atividades Micro'!$B424=AJ$2,'Atividades Micro'!$L424&lt;&gt;""),'Atividades Micro'!$L424,"")</f>
        <v/>
      </c>
      <c r="AK372" s="21" t="str">
        <f>IF(AND('Atividades Micro'!$A424=AK$2,'Atividades Micro'!$K424&lt;&gt;""),'Atividades Micro'!$K424,"")</f>
        <v/>
      </c>
      <c r="AL372" s="21" t="str">
        <f>IF(AND('Atividades Micro'!$A424=AL$2,'Atividades Micro'!$L424&lt;&gt;""),'Atividades Micro'!$L424,"")</f>
        <v/>
      </c>
      <c r="AM372" s="21" t="str">
        <f>IF(AND('Atividades Micro'!$B424=AM$2,'Atividades Micro'!$K424&lt;&gt;""),'Atividades Micro'!$K424,"")</f>
        <v/>
      </c>
      <c r="AN372" s="21" t="str">
        <f>IF(AND('Atividades Micro'!$B424=AN$2,'Atividades Micro'!$L424&lt;&gt;""),'Atividades Micro'!$L424,"")</f>
        <v/>
      </c>
      <c r="AO372" s="21" t="str">
        <f>IF(AND('Atividades Micro'!$B424=AO$2,'Atividades Micro'!$K424&lt;&gt;""),'Atividades Micro'!$K424,"")</f>
        <v/>
      </c>
      <c r="AP372" s="21" t="str">
        <f>IF(AND('Atividades Micro'!$B424=AP$2,'Atividades Micro'!$L424&lt;&gt;""),'Atividades Micro'!$L424,"")</f>
        <v/>
      </c>
      <c r="AQ372" s="21" t="str">
        <f>IF(AND('Atividades Micro'!$A424=AQ$2,'Atividades Micro'!$K424&lt;&gt;""),'Atividades Micro'!$K424,"")</f>
        <v/>
      </c>
      <c r="AR372" s="21" t="str">
        <f>IF(AND('Atividades Micro'!$A424=AR$2,'Atividades Micro'!$L424&lt;&gt;""),'Atividades Micro'!$L424,"")</f>
        <v/>
      </c>
      <c r="AS372" s="21" t="str">
        <f>IF(AND('Atividades Micro'!$B424=AS$2,'Atividades Micro'!$K424&lt;&gt;""),'Atividades Micro'!$K424,"")</f>
        <v/>
      </c>
      <c r="AT372" s="21" t="str">
        <f>IF(AND('Atividades Micro'!$B424=AT$2,'Atividades Micro'!$L424&lt;&gt;""),'Atividades Micro'!$L424,"")</f>
        <v/>
      </c>
      <c r="AU372" s="21" t="str">
        <f>IF(AND('Atividades Micro'!$A424=AU$2,'Atividades Micro'!$K424&lt;&gt;""),'Atividades Micro'!$K424,"")</f>
        <v/>
      </c>
      <c r="AV372" s="21" t="str">
        <f>IF(AND('Atividades Micro'!$A424=AV$2,'Atividades Micro'!$L424&lt;&gt;""),'Atividades Micro'!$L424,"")</f>
        <v/>
      </c>
      <c r="AW372" s="21" t="str">
        <f>IF(AND('Atividades Micro'!$B424=AW$2,'Atividades Micro'!$K424&lt;&gt;""),'Atividades Micro'!$K424,"")</f>
        <v/>
      </c>
      <c r="AX372" s="21" t="str">
        <f>IF(AND('Atividades Micro'!$B424=AX$2,'Atividades Micro'!$L424&lt;&gt;""),'Atividades Micro'!$L424,"")</f>
        <v/>
      </c>
      <c r="AY372" s="21" t="str">
        <f>IF(AND('Atividades Micro'!$A424=AY$2,'Atividades Micro'!$K424&lt;&gt;""),'Atividades Micro'!$K424,"")</f>
        <v/>
      </c>
      <c r="AZ372" s="21" t="str">
        <f>IF(AND('Atividades Micro'!$A424=AZ$2,'Atividades Micro'!$L424&lt;&gt;""),'Atividades Micro'!$L424,"")</f>
        <v/>
      </c>
      <c r="BA372" s="21" t="str">
        <f>IF(AND('Atividades Micro'!$B424=BA$2,'Atividades Micro'!$K424&lt;&gt;""),'Atividades Micro'!$K424,"")</f>
        <v/>
      </c>
      <c r="BB372" s="21" t="str">
        <f>IF(AND('Atividades Micro'!$B424=BB$2,'Atividades Micro'!$L424&lt;&gt;""),'Atividades Micro'!$L424,"")</f>
        <v/>
      </c>
      <c r="BC372" s="21" t="str">
        <f>IF(AND('Atividades Micro'!$B424=BC$2,'Atividades Micro'!$G424="Macro",'Atividades Micro'!$K424&lt;&gt;""),'Atividades Micro'!$K424,"")</f>
        <v/>
      </c>
      <c r="BD372" s="21" t="str">
        <f>IF(AND('Atividades Micro'!$B424=BD$2,'Atividades Micro'!$G424="Macro",'Atividades Micro'!$K424&lt;&gt;""),'Atividades Micro'!$K424,"")</f>
        <v/>
      </c>
      <c r="BE372" s="21" t="str">
        <f>IF(AND('Atividades Micro'!$B424=BE$2,'Atividades Micro'!$G424="Macro",'Atividades Micro'!$K424&lt;&gt;""),'Atividades Micro'!$K424,"")</f>
        <v/>
      </c>
      <c r="BF372" s="21" t="str">
        <f>IF(AND('Atividades Micro'!$B424=BF$2,'Atividades Micro'!$G424="Macro",'Atividades Micro'!$K424&lt;&gt;""),'Atividades Micro'!$K424,"")</f>
        <v/>
      </c>
      <c r="BG372" s="21" t="str">
        <f>IF(AND('Atividades Micro'!$B424=BG$2,'Atividades Micro'!$G424="Macro",'Atividades Micro'!$K424&lt;&gt;""),'Atividades Micro'!$K424,"")</f>
        <v/>
      </c>
      <c r="BH372" s="21" t="str">
        <f>IF(AND('Atividades Micro'!$B424=BH$2,'Atividades Micro'!$G424="Macro",'Atividades Micro'!$K424&lt;&gt;""),'Atividades Micro'!$K424,"")</f>
        <v/>
      </c>
      <c r="BI372" s="21" t="str">
        <f>IF(AND('Atividades Micro'!$B424=BI$2,'Atividades Micro'!$G424="Macro",'Atividades Micro'!$K424&lt;&gt;""),'Atividades Micro'!$K424,"")</f>
        <v/>
      </c>
      <c r="BJ372" s="21" t="str">
        <f>IF(AND('Atividades Micro'!$B424=BJ$2,'Atividades Micro'!$G424="Macro",'Atividades Micro'!$K424&lt;&gt;""),'Atividades Micro'!$K424,"")</f>
        <v/>
      </c>
      <c r="BK372" s="21" t="str">
        <f>IF(AND('Atividades Micro'!$B424=BK$2,'Atividades Micro'!$G424="Macro",'Atividades Micro'!$K424&lt;&gt;""),'Atividades Micro'!$K424,"")</f>
        <v/>
      </c>
      <c r="BL372" s="21" t="str">
        <f>IF(AND('Atividades Micro'!$B424=BL$2,'Atividades Micro'!$G424="Macro",'Atividades Micro'!$K424&lt;&gt;""),'Atividades Micro'!$K424,"")</f>
        <v/>
      </c>
      <c r="BM372" s="21" t="str">
        <f>IF(AND('Atividades Micro'!$B424=BM$2,'Atividades Micro'!$G424="Macro",'Atividades Micro'!$K424&lt;&gt;""),'Atividades Micro'!$K424,"")</f>
        <v/>
      </c>
      <c r="BN372" s="21" t="str">
        <f>IF(AND('Atividades Micro'!$B424=BN$2,'Atividades Micro'!$G424="Macro",'Atividades Micro'!$K424&lt;&gt;""),'Atividades Micro'!$K424,"")</f>
        <v/>
      </c>
      <c r="BO372" s="21" t="str">
        <f>IF(AND('Atividades Micro'!$B424=BO$2,'Atividades Micro'!$G424="Macro",'Atividades Micro'!$K424&lt;&gt;""),'Atividades Micro'!$K424,"")</f>
        <v/>
      </c>
      <c r="BP372" s="21" t="str">
        <f>IF(AND('Atividades Micro'!$B424=BP$2,'Atividades Micro'!$G424="Macro",'Atividades Micro'!$K424&lt;&gt;""),'Atividades Micro'!$K424,"")</f>
        <v/>
      </c>
      <c r="BQ372" s="21" t="str">
        <f>IF(AND('Atividades Micro'!$B424=BQ$2,'Atividades Micro'!$G424="Macro",'Atividades Micro'!$K424&lt;&gt;""),'Atividades Micro'!$K424,"")</f>
        <v/>
      </c>
      <c r="BR372" s="21" t="str">
        <f>IF(AND('Atividades Micro'!$B424=BR$2,'Atividades Micro'!$G424="Macro",'Atividades Micro'!$K424&lt;&gt;""),'Atividades Micro'!$K424,"")</f>
        <v/>
      </c>
      <c r="BS372" s="21" t="str">
        <f>IF(AND('Atividades Micro'!$B424=BS$2,'Atividades Micro'!$G424="Macro",'Atividades Micro'!$K424&lt;&gt;""),'Atividades Micro'!$K424,"")</f>
        <v/>
      </c>
      <c r="BT372" s="21" t="str">
        <f>IF(AND('Atividades Micro'!$B424=BT$2,'Atividades Micro'!$G424="Macro",'Atividades Micro'!$K424&lt;&gt;""),'Atividades Micro'!$K424,"")</f>
        <v/>
      </c>
      <c r="BU372" s="21" t="str">
        <f>IF(AND('Atividades Micro'!$B424=BU$2,'Atividades Micro'!$G424="Macro",'Atividades Micro'!$K424&lt;&gt;""),'Atividades Micro'!$K424,"")</f>
        <v/>
      </c>
      <c r="BV372" s="21" t="str">
        <f>IF(AND('Atividades Micro'!$B424=BV$2,'Atividades Micro'!$G424="Macro",'Atividades Micro'!$K424&lt;&gt;""),'Atividades Micro'!$K424,"")</f>
        <v/>
      </c>
      <c r="BW372" s="21" t="str">
        <f>IF(AND('Atividades Micro'!$B424=BW$2,'Atividades Micro'!$G424="Macro",'Atividades Micro'!$K424&lt;&gt;""),'Atividades Micro'!$K424,"")</f>
        <v/>
      </c>
      <c r="BX372" s="21" t="str">
        <f>IF(AND('Atividades Micro'!$B424=BX$2,'Atividades Micro'!$G424="Macro",'Atividades Micro'!$K424&lt;&gt;""),'Atividades Micro'!$K424,"")</f>
        <v/>
      </c>
      <c r="BY372" s="21" t="str">
        <f>IF(AND('Atividades Micro'!$B424=BY$2,'Atividades Micro'!$G424="Macro",'Atividades Micro'!$K424&lt;&gt;""),'Atividades Micro'!$K424,"")</f>
        <v/>
      </c>
      <c r="BZ372" s="21" t="str">
        <f>IF(AND('Atividades Micro'!$B424=BZ$2,'Atividades Micro'!$G424="Macro",'Atividades Micro'!$K424&lt;&gt;""),'Atividades Micro'!$K424,"")</f>
        <v/>
      </c>
      <c r="CA372" s="21" t="str">
        <f>IF(AND('Atividades Micro'!$B424=CA$2,'Atividades Micro'!$G424="Macro",'Atividades Micro'!$K424&lt;&gt;""),'Atividades Micro'!$K424,"")</f>
        <v/>
      </c>
      <c r="CB372" s="21" t="str">
        <f>IF(AND('Atividades Micro'!$B424=CB$2,'Atividades Micro'!$G424="Macro",'Atividades Micro'!$K424&lt;&gt;""),'Atividades Micro'!$K424,"")</f>
        <v/>
      </c>
      <c r="CC372" s="21" t="str">
        <f>IF(AND('Atividades Micro'!$B424=CC$2,'Atividades Micro'!$G424="Macro",'Atividades Micro'!$K424&lt;&gt;""),'Atividades Micro'!$K424,"")</f>
        <v/>
      </c>
      <c r="CD372" s="21" t="str">
        <f>IF(AND('Atividades Micro'!$B424=CD$2,'Atividades Micro'!$G424="Micro",'Atividades Micro'!$K424&lt;&gt;""),'Atividades Micro'!$K424,"")</f>
        <v/>
      </c>
      <c r="CE372" s="21" t="str">
        <f>IF(AND('Atividades Micro'!$B424=CE$2,'Atividades Micro'!$G424="Micro",'Atividades Micro'!$K424&lt;&gt;""),'Atividades Micro'!$K424,"")</f>
        <v/>
      </c>
      <c r="CF372" s="21" t="str">
        <f>IF(AND('Atividades Micro'!$B424=CF$2,'Atividades Micro'!$G424="Micro",'Atividades Micro'!$K424&lt;&gt;""),'Atividades Micro'!$K424,"")</f>
        <v/>
      </c>
      <c r="CG372" s="21" t="str">
        <f>IF(AND('Atividades Micro'!$B424=CG$2,'Atividades Micro'!$G424="Micro",'Atividades Micro'!$K424&lt;&gt;""),'Atividades Micro'!$K424,"")</f>
        <v/>
      </c>
      <c r="CH372" s="21" t="str">
        <f>IF(AND('Atividades Micro'!$B424=CH$2,'Atividades Micro'!$G424="Micro",'Atividades Micro'!$K424&lt;&gt;""),'Atividades Micro'!$K424,"")</f>
        <v/>
      </c>
      <c r="CI372" s="21" t="str">
        <f>IF(AND('Atividades Micro'!$B424=CI$2,'Atividades Micro'!$G424="Micro",'Atividades Micro'!$K424&lt;&gt;""),'Atividades Micro'!$K424,"")</f>
        <v/>
      </c>
      <c r="CJ372" s="21" t="str">
        <f>IF(AND('Atividades Micro'!$B424=CJ$2,'Atividades Micro'!$G424="Micro",'Atividades Micro'!$K424&lt;&gt;""),'Atividades Micro'!$K424,"")</f>
        <v/>
      </c>
      <c r="CK372" s="21" t="str">
        <f>IF(AND('Atividades Micro'!$B424=CK$2,'Atividades Micro'!$G424="Micro",'Atividades Micro'!$K424&lt;&gt;""),'Atividades Micro'!$K424,"")</f>
        <v/>
      </c>
      <c r="CL372" s="21" t="str">
        <f>IF(AND('Atividades Micro'!$B424=CL$2,'Atividades Micro'!$G424="Micro",'Atividades Micro'!$K424&lt;&gt;""),'Atividades Micro'!$K424,"")</f>
        <v/>
      </c>
      <c r="CM372" s="21" t="str">
        <f>IF(AND('Atividades Micro'!$B424=CM$2,'Atividades Micro'!$G424="Micro",'Atividades Micro'!$K424&lt;&gt;""),'Atividades Micro'!$K424,"")</f>
        <v/>
      </c>
      <c r="CN372" s="21" t="str">
        <f>IF(AND('Atividades Micro'!$B424=CN$2,'Atividades Micro'!$G424="Micro",'Atividades Micro'!$K424&lt;&gt;""),'Atividades Micro'!$K424,"")</f>
        <v/>
      </c>
      <c r="CO372" s="21" t="str">
        <f>IF(AND('Atividades Micro'!$B424=CO$2,'Atividades Micro'!$G424="Micro",'Atividades Micro'!$K424&lt;&gt;""),'Atividades Micro'!$K424,"")</f>
        <v/>
      </c>
    </row>
    <row r="373" spans="1:93">
      <c r="A373" s="21" t="str">
        <f>IF(AND('Atividades Micro'!$A425=A$2,'Atividades Micro'!$K425&lt;&gt;""),'Atividades Micro'!$K425,"")</f>
        <v/>
      </c>
      <c r="B373" s="21" t="str">
        <f>IF(AND('Atividades Micro'!$A425=B$2,'Atividades Micro'!$L425&lt;&gt;""),'Atividades Micro'!$L425,"")</f>
        <v/>
      </c>
      <c r="C373" s="21" t="str">
        <f>IF(AND('Atividades Micro'!$A425=C$2,'Atividades Micro'!$K425&lt;&gt;""),'Atividades Micro'!$K425,"")</f>
        <v/>
      </c>
      <c r="D373" s="21" t="str">
        <f>IF(AND('Atividades Micro'!$A425=D$2,'Atividades Micro'!$L425&lt;&gt;""),'Atividades Micro'!$L425,"")</f>
        <v/>
      </c>
      <c r="E373" s="21" t="str">
        <f>IF(AND('Atividades Micro'!$A425=E$2,'Atividades Micro'!$K425&lt;&gt;""),'Atividades Micro'!$K425,"")</f>
        <v/>
      </c>
      <c r="F373" s="21" t="str">
        <f>IF(AND('Atividades Micro'!$A425=F$2,'Atividades Micro'!$L425&lt;&gt;""),'Atividades Micro'!$L425,"")</f>
        <v/>
      </c>
      <c r="G373" s="21" t="str">
        <f>IF(AND('Atividades Micro'!$A425=G$2,'Atividades Micro'!$K425&lt;&gt;""),'Atividades Micro'!$K425,"")</f>
        <v/>
      </c>
      <c r="H373" s="21" t="str">
        <f>IF(AND('Atividades Micro'!$A425=H$2,'Atividades Micro'!$L425&lt;&gt;""),'Atividades Micro'!$L425,"")</f>
        <v/>
      </c>
      <c r="I373" s="21" t="str">
        <f>IF(AND('Atividades Micro'!$A425=I$2,'Atividades Micro'!$K425&lt;&gt;""),'Atividades Micro'!$K425,"")</f>
        <v/>
      </c>
      <c r="J373" s="21" t="str">
        <f>IF(AND('Atividades Micro'!$A425=J$2,'Atividades Micro'!$L425&lt;&gt;""),'Atividades Micro'!$L425,"")</f>
        <v/>
      </c>
      <c r="K373" s="21" t="str">
        <f>IF(AND('Atividades Micro'!$B425=K$2,'Atividades Micro'!$K425&lt;&gt;""),'Atividades Micro'!$K425,"")</f>
        <v/>
      </c>
      <c r="L373" s="21" t="str">
        <f>IF(AND('Atividades Micro'!$B425=L$2,'Atividades Micro'!$L425&lt;&gt;""),'Atividades Micro'!$L425,"")</f>
        <v/>
      </c>
      <c r="M373" s="21" t="str">
        <f>IF(AND('Atividades Micro'!$B425=M$2,'Atividades Micro'!$K425&lt;&gt;""),'Atividades Micro'!$K425,"")</f>
        <v/>
      </c>
      <c r="N373" s="21" t="str">
        <f>IF(AND('Atividades Micro'!$B425=N$2,'Atividades Micro'!$L425&lt;&gt;""),'Atividades Micro'!$L425,"")</f>
        <v/>
      </c>
      <c r="O373" s="21" t="str">
        <f>IF(AND('Atividades Micro'!$A425=O$2,'Atividades Micro'!$K425&lt;&gt;""),'Atividades Micro'!$K425,"")</f>
        <v/>
      </c>
      <c r="P373" s="21" t="str">
        <f>IF(AND('Atividades Micro'!$A425=P$2,'Atividades Micro'!$L425&lt;&gt;""),'Atividades Micro'!$L425,"")</f>
        <v/>
      </c>
      <c r="Q373" s="21" t="str">
        <f>IF(AND('Atividades Micro'!$B425=Q$2,'Atividades Micro'!$K425&lt;&gt;""),'Atividades Micro'!$K425,"")</f>
        <v/>
      </c>
      <c r="R373" s="21" t="str">
        <f>IF(AND('Atividades Micro'!$B425=R$2,'Atividades Micro'!$L425&lt;&gt;""),'Atividades Micro'!$L425,"")</f>
        <v/>
      </c>
      <c r="S373" s="21" t="str">
        <f>IF(AND('Atividades Micro'!$A425=S$2,'Atividades Micro'!$K425&lt;&gt;""),'Atividades Micro'!$K425,"")</f>
        <v/>
      </c>
      <c r="T373" s="21" t="str">
        <f>IF(AND('Atividades Micro'!$A425=T$2,'Atividades Micro'!$L425&lt;&gt;""),'Atividades Micro'!$L425,"")</f>
        <v/>
      </c>
      <c r="U373" s="21" t="str">
        <f>IF(AND('Atividades Micro'!$B425=U$2,'Atividades Micro'!$K425&lt;&gt;""),'Atividades Micro'!$K425,"")</f>
        <v/>
      </c>
      <c r="V373" s="21" t="str">
        <f>IF(AND('Atividades Micro'!$B425=V$2,'Atividades Micro'!$L425&lt;&gt;""),'Atividades Micro'!$L425,"")</f>
        <v/>
      </c>
      <c r="W373" s="21" t="str">
        <f>IF(AND('Atividades Micro'!$B425=W$2,'Atividades Micro'!$K425&lt;&gt;""),'Atividades Micro'!$K425,"")</f>
        <v/>
      </c>
      <c r="X373" s="21" t="str">
        <f>IF(AND('Atividades Micro'!$B425=X$2,'Atividades Micro'!$L425&lt;&gt;""),'Atividades Micro'!$L425,"")</f>
        <v/>
      </c>
      <c r="Y373" s="21" t="str">
        <f>IF(AND('Atividades Micro'!$A425=Y$2,'Atividades Micro'!$K425&lt;&gt;""),'Atividades Micro'!$K425,"")</f>
        <v/>
      </c>
      <c r="Z373" s="21" t="str">
        <f>IF(AND('Atividades Micro'!$A425=Z$2,'Atividades Micro'!$L425&lt;&gt;""),'Atividades Micro'!$L425,"")</f>
        <v/>
      </c>
      <c r="AA373" s="21" t="str">
        <f>IF(AND('Atividades Micro'!$B425=AA$2,'Atividades Micro'!$K425&lt;&gt;""),'Atividades Micro'!$K425,"")</f>
        <v/>
      </c>
      <c r="AB373" s="21" t="str">
        <f>IF(AND('Atividades Micro'!$B425=AB$2,'Atividades Micro'!$L425&lt;&gt;""),'Atividades Micro'!$L425,"")</f>
        <v/>
      </c>
      <c r="AC373" s="21" t="str">
        <f>IF(AND('Atividades Micro'!$B425=AC$2,'Atividades Micro'!$K425&lt;&gt;""),'Atividades Micro'!$K425,"")</f>
        <v/>
      </c>
      <c r="AD373" s="21" t="str">
        <f>IF(AND('Atividades Micro'!$B425=AD$2,'Atividades Micro'!$L425&lt;&gt;""),'Atividades Micro'!$L425,"")</f>
        <v/>
      </c>
      <c r="AE373" s="21" t="str">
        <f>IF(AND('Atividades Micro'!$A425=AE$2,'Atividades Micro'!$K425&lt;&gt;""),'Atividades Micro'!$K425,"")</f>
        <v/>
      </c>
      <c r="AF373" s="21" t="str">
        <f>IF(AND('Atividades Micro'!$A425=AF$2,'Atividades Micro'!$L425&lt;&gt;""),'Atividades Micro'!$L425,"")</f>
        <v/>
      </c>
      <c r="AG373" s="21" t="str">
        <f>IF(AND('Atividades Micro'!$B425=AG$2,'Atividades Micro'!$K425&lt;&gt;""),'Atividades Micro'!$K425,"")</f>
        <v/>
      </c>
      <c r="AH373" s="21" t="str">
        <f>IF(AND('Atividades Micro'!$B425=AH$2,'Atividades Micro'!$L425&lt;&gt;""),'Atividades Micro'!$L425,"")</f>
        <v/>
      </c>
      <c r="AI373" s="21" t="str">
        <f>IF(AND('Atividades Micro'!$B425=AI$2,'Atividades Micro'!$K425&lt;&gt;""),'Atividades Micro'!$K425,"")</f>
        <v/>
      </c>
      <c r="AJ373" s="21" t="str">
        <f>IF(AND('Atividades Micro'!$B425=AJ$2,'Atividades Micro'!$L425&lt;&gt;""),'Atividades Micro'!$L425,"")</f>
        <v/>
      </c>
      <c r="AK373" s="21" t="str">
        <f>IF(AND('Atividades Micro'!$A425=AK$2,'Atividades Micro'!$K425&lt;&gt;""),'Atividades Micro'!$K425,"")</f>
        <v/>
      </c>
      <c r="AL373" s="21" t="str">
        <f>IF(AND('Atividades Micro'!$A425=AL$2,'Atividades Micro'!$L425&lt;&gt;""),'Atividades Micro'!$L425,"")</f>
        <v/>
      </c>
      <c r="AM373" s="21" t="str">
        <f>IF(AND('Atividades Micro'!$B425=AM$2,'Atividades Micro'!$K425&lt;&gt;""),'Atividades Micro'!$K425,"")</f>
        <v/>
      </c>
      <c r="AN373" s="21" t="str">
        <f>IF(AND('Atividades Micro'!$B425=AN$2,'Atividades Micro'!$L425&lt;&gt;""),'Atividades Micro'!$L425,"")</f>
        <v/>
      </c>
      <c r="AO373" s="21" t="str">
        <f>IF(AND('Atividades Micro'!$B425=AO$2,'Atividades Micro'!$K425&lt;&gt;""),'Atividades Micro'!$K425,"")</f>
        <v/>
      </c>
      <c r="AP373" s="21" t="str">
        <f>IF(AND('Atividades Micro'!$B425=AP$2,'Atividades Micro'!$L425&lt;&gt;""),'Atividades Micro'!$L425,"")</f>
        <v/>
      </c>
      <c r="AQ373" s="21" t="str">
        <f>IF(AND('Atividades Micro'!$A425=AQ$2,'Atividades Micro'!$K425&lt;&gt;""),'Atividades Micro'!$K425,"")</f>
        <v/>
      </c>
      <c r="AR373" s="21" t="str">
        <f>IF(AND('Atividades Micro'!$A425=AR$2,'Atividades Micro'!$L425&lt;&gt;""),'Atividades Micro'!$L425,"")</f>
        <v/>
      </c>
      <c r="AS373" s="21" t="str">
        <f>IF(AND('Atividades Micro'!$B425=AS$2,'Atividades Micro'!$K425&lt;&gt;""),'Atividades Micro'!$K425,"")</f>
        <v/>
      </c>
      <c r="AT373" s="21" t="str">
        <f>IF(AND('Atividades Micro'!$B425=AT$2,'Atividades Micro'!$L425&lt;&gt;""),'Atividades Micro'!$L425,"")</f>
        <v/>
      </c>
      <c r="AU373" s="21" t="str">
        <f>IF(AND('Atividades Micro'!$A425=AU$2,'Atividades Micro'!$K425&lt;&gt;""),'Atividades Micro'!$K425,"")</f>
        <v/>
      </c>
      <c r="AV373" s="21" t="str">
        <f>IF(AND('Atividades Micro'!$A425=AV$2,'Atividades Micro'!$L425&lt;&gt;""),'Atividades Micro'!$L425,"")</f>
        <v/>
      </c>
      <c r="AW373" s="21" t="str">
        <f>IF(AND('Atividades Micro'!$B425=AW$2,'Atividades Micro'!$K425&lt;&gt;""),'Atividades Micro'!$K425,"")</f>
        <v/>
      </c>
      <c r="AX373" s="21" t="str">
        <f>IF(AND('Atividades Micro'!$B425=AX$2,'Atividades Micro'!$L425&lt;&gt;""),'Atividades Micro'!$L425,"")</f>
        <v/>
      </c>
      <c r="AY373" s="21" t="str">
        <f>IF(AND('Atividades Micro'!$A425=AY$2,'Atividades Micro'!$K425&lt;&gt;""),'Atividades Micro'!$K425,"")</f>
        <v/>
      </c>
      <c r="AZ373" s="21" t="str">
        <f>IF(AND('Atividades Micro'!$A425=AZ$2,'Atividades Micro'!$L425&lt;&gt;""),'Atividades Micro'!$L425,"")</f>
        <v/>
      </c>
      <c r="BA373" s="21" t="str">
        <f>IF(AND('Atividades Micro'!$B425=BA$2,'Atividades Micro'!$K425&lt;&gt;""),'Atividades Micro'!$K425,"")</f>
        <v/>
      </c>
      <c r="BB373" s="21" t="str">
        <f>IF(AND('Atividades Micro'!$B425=BB$2,'Atividades Micro'!$L425&lt;&gt;""),'Atividades Micro'!$L425,"")</f>
        <v/>
      </c>
      <c r="BC373" s="21" t="str">
        <f>IF(AND('Atividades Micro'!$B425=BC$2,'Atividades Micro'!$G425="Macro",'Atividades Micro'!$K425&lt;&gt;""),'Atividades Micro'!$K425,"")</f>
        <v/>
      </c>
      <c r="BD373" s="21" t="str">
        <f>IF(AND('Atividades Micro'!$B425=BD$2,'Atividades Micro'!$G425="Macro",'Atividades Micro'!$K425&lt;&gt;""),'Atividades Micro'!$K425,"")</f>
        <v/>
      </c>
      <c r="BE373" s="21" t="str">
        <f>IF(AND('Atividades Micro'!$B425=BE$2,'Atividades Micro'!$G425="Macro",'Atividades Micro'!$K425&lt;&gt;""),'Atividades Micro'!$K425,"")</f>
        <v/>
      </c>
      <c r="BF373" s="21" t="str">
        <f>IF(AND('Atividades Micro'!$B425=BF$2,'Atividades Micro'!$G425="Macro",'Atividades Micro'!$K425&lt;&gt;""),'Atividades Micro'!$K425,"")</f>
        <v/>
      </c>
      <c r="BG373" s="21" t="str">
        <f>IF(AND('Atividades Micro'!$B425=BG$2,'Atividades Micro'!$G425="Macro",'Atividades Micro'!$K425&lt;&gt;""),'Atividades Micro'!$K425,"")</f>
        <v/>
      </c>
      <c r="BH373" s="21" t="str">
        <f>IF(AND('Atividades Micro'!$B425=BH$2,'Atividades Micro'!$G425="Macro",'Atividades Micro'!$K425&lt;&gt;""),'Atividades Micro'!$K425,"")</f>
        <v/>
      </c>
      <c r="BI373" s="21" t="str">
        <f>IF(AND('Atividades Micro'!$B425=BI$2,'Atividades Micro'!$G425="Macro",'Atividades Micro'!$K425&lt;&gt;""),'Atividades Micro'!$K425,"")</f>
        <v/>
      </c>
      <c r="BJ373" s="21" t="str">
        <f>IF(AND('Atividades Micro'!$B425=BJ$2,'Atividades Micro'!$G425="Macro",'Atividades Micro'!$K425&lt;&gt;""),'Atividades Micro'!$K425,"")</f>
        <v/>
      </c>
      <c r="BK373" s="21" t="str">
        <f>IF(AND('Atividades Micro'!$B425=BK$2,'Atividades Micro'!$G425="Macro",'Atividades Micro'!$K425&lt;&gt;""),'Atividades Micro'!$K425,"")</f>
        <v/>
      </c>
      <c r="BL373" s="21" t="str">
        <f>IF(AND('Atividades Micro'!$B425=BL$2,'Atividades Micro'!$G425="Macro",'Atividades Micro'!$K425&lt;&gt;""),'Atividades Micro'!$K425,"")</f>
        <v/>
      </c>
      <c r="BM373" s="21" t="str">
        <f>IF(AND('Atividades Micro'!$B425=BM$2,'Atividades Micro'!$G425="Macro",'Atividades Micro'!$K425&lt;&gt;""),'Atividades Micro'!$K425,"")</f>
        <v/>
      </c>
      <c r="BN373" s="21" t="str">
        <f>IF(AND('Atividades Micro'!$B425=BN$2,'Atividades Micro'!$G425="Macro",'Atividades Micro'!$K425&lt;&gt;""),'Atividades Micro'!$K425,"")</f>
        <v/>
      </c>
      <c r="BO373" s="21" t="str">
        <f>IF(AND('Atividades Micro'!$B425=BO$2,'Atividades Micro'!$G425="Macro",'Atividades Micro'!$K425&lt;&gt;""),'Atividades Micro'!$K425,"")</f>
        <v/>
      </c>
      <c r="BP373" s="21" t="str">
        <f>IF(AND('Atividades Micro'!$B425=BP$2,'Atividades Micro'!$G425="Macro",'Atividades Micro'!$K425&lt;&gt;""),'Atividades Micro'!$K425,"")</f>
        <v/>
      </c>
      <c r="BQ373" s="21" t="str">
        <f>IF(AND('Atividades Micro'!$B425=BQ$2,'Atividades Micro'!$G425="Macro",'Atividades Micro'!$K425&lt;&gt;""),'Atividades Micro'!$K425,"")</f>
        <v/>
      </c>
      <c r="BR373" s="21" t="str">
        <f>IF(AND('Atividades Micro'!$B425=BR$2,'Atividades Micro'!$G425="Macro",'Atividades Micro'!$K425&lt;&gt;""),'Atividades Micro'!$K425,"")</f>
        <v/>
      </c>
      <c r="BS373" s="21" t="str">
        <f>IF(AND('Atividades Micro'!$B425=BS$2,'Atividades Micro'!$G425="Macro",'Atividades Micro'!$K425&lt;&gt;""),'Atividades Micro'!$K425,"")</f>
        <v/>
      </c>
      <c r="BT373" s="21" t="str">
        <f>IF(AND('Atividades Micro'!$B425=BT$2,'Atividades Micro'!$G425="Macro",'Atividades Micro'!$K425&lt;&gt;""),'Atividades Micro'!$K425,"")</f>
        <v/>
      </c>
      <c r="BU373" s="21" t="str">
        <f>IF(AND('Atividades Micro'!$B425=BU$2,'Atividades Micro'!$G425="Macro",'Atividades Micro'!$K425&lt;&gt;""),'Atividades Micro'!$K425,"")</f>
        <v/>
      </c>
      <c r="BV373" s="21" t="str">
        <f>IF(AND('Atividades Micro'!$B425=BV$2,'Atividades Micro'!$G425="Macro",'Atividades Micro'!$K425&lt;&gt;""),'Atividades Micro'!$K425,"")</f>
        <v/>
      </c>
      <c r="BW373" s="21" t="str">
        <f>IF(AND('Atividades Micro'!$B425=BW$2,'Atividades Micro'!$G425="Macro",'Atividades Micro'!$K425&lt;&gt;""),'Atividades Micro'!$K425,"")</f>
        <v/>
      </c>
      <c r="BX373" s="21" t="str">
        <f>IF(AND('Atividades Micro'!$B425=BX$2,'Atividades Micro'!$G425="Macro",'Atividades Micro'!$K425&lt;&gt;""),'Atividades Micro'!$K425,"")</f>
        <v/>
      </c>
      <c r="BY373" s="21" t="str">
        <f>IF(AND('Atividades Micro'!$B425=BY$2,'Atividades Micro'!$G425="Macro",'Atividades Micro'!$K425&lt;&gt;""),'Atividades Micro'!$K425,"")</f>
        <v/>
      </c>
      <c r="BZ373" s="21" t="str">
        <f>IF(AND('Atividades Micro'!$B425=BZ$2,'Atividades Micro'!$G425="Macro",'Atividades Micro'!$K425&lt;&gt;""),'Atividades Micro'!$K425,"")</f>
        <v/>
      </c>
      <c r="CA373" s="21" t="str">
        <f>IF(AND('Atividades Micro'!$B425=CA$2,'Atividades Micro'!$G425="Macro",'Atividades Micro'!$K425&lt;&gt;""),'Atividades Micro'!$K425,"")</f>
        <v/>
      </c>
      <c r="CB373" s="21" t="str">
        <f>IF(AND('Atividades Micro'!$B425=CB$2,'Atividades Micro'!$G425="Macro",'Atividades Micro'!$K425&lt;&gt;""),'Atividades Micro'!$K425,"")</f>
        <v/>
      </c>
      <c r="CC373" s="21" t="str">
        <f>IF(AND('Atividades Micro'!$B425=CC$2,'Atividades Micro'!$G425="Macro",'Atividades Micro'!$K425&lt;&gt;""),'Atividades Micro'!$K425,"")</f>
        <v/>
      </c>
      <c r="CD373" s="21" t="str">
        <f>IF(AND('Atividades Micro'!$B425=CD$2,'Atividades Micro'!$G425="Micro",'Atividades Micro'!$K425&lt;&gt;""),'Atividades Micro'!$K425,"")</f>
        <v/>
      </c>
      <c r="CE373" s="21" t="str">
        <f>IF(AND('Atividades Micro'!$B425=CE$2,'Atividades Micro'!$G425="Micro",'Atividades Micro'!$K425&lt;&gt;""),'Atividades Micro'!$K425,"")</f>
        <v/>
      </c>
      <c r="CF373" s="21" t="str">
        <f>IF(AND('Atividades Micro'!$B425=CF$2,'Atividades Micro'!$G425="Micro",'Atividades Micro'!$K425&lt;&gt;""),'Atividades Micro'!$K425,"")</f>
        <v/>
      </c>
      <c r="CG373" s="21" t="str">
        <f>IF(AND('Atividades Micro'!$B425=CG$2,'Atividades Micro'!$G425="Micro",'Atividades Micro'!$K425&lt;&gt;""),'Atividades Micro'!$K425,"")</f>
        <v/>
      </c>
      <c r="CH373" s="21" t="str">
        <f>IF(AND('Atividades Micro'!$B425=CH$2,'Atividades Micro'!$G425="Micro",'Atividades Micro'!$K425&lt;&gt;""),'Atividades Micro'!$K425,"")</f>
        <v/>
      </c>
      <c r="CI373" s="21" t="str">
        <f>IF(AND('Atividades Micro'!$B425=CI$2,'Atividades Micro'!$G425="Micro",'Atividades Micro'!$K425&lt;&gt;""),'Atividades Micro'!$K425,"")</f>
        <v/>
      </c>
      <c r="CJ373" s="21" t="str">
        <f>IF(AND('Atividades Micro'!$B425=CJ$2,'Atividades Micro'!$G425="Micro",'Atividades Micro'!$K425&lt;&gt;""),'Atividades Micro'!$K425,"")</f>
        <v/>
      </c>
      <c r="CK373" s="21" t="str">
        <f>IF(AND('Atividades Micro'!$B425=CK$2,'Atividades Micro'!$G425="Micro",'Atividades Micro'!$K425&lt;&gt;""),'Atividades Micro'!$K425,"")</f>
        <v/>
      </c>
      <c r="CL373" s="21" t="str">
        <f>IF(AND('Atividades Micro'!$B425=CL$2,'Atividades Micro'!$G425="Micro",'Atividades Micro'!$K425&lt;&gt;""),'Atividades Micro'!$K425,"")</f>
        <v/>
      </c>
      <c r="CM373" s="21" t="str">
        <f>IF(AND('Atividades Micro'!$B425=CM$2,'Atividades Micro'!$G425="Micro",'Atividades Micro'!$K425&lt;&gt;""),'Atividades Micro'!$K425,"")</f>
        <v/>
      </c>
      <c r="CN373" s="21" t="str">
        <f>IF(AND('Atividades Micro'!$B425=CN$2,'Atividades Micro'!$G425="Micro",'Atividades Micro'!$K425&lt;&gt;""),'Atividades Micro'!$K425,"")</f>
        <v/>
      </c>
      <c r="CO373" s="21" t="str">
        <f>IF(AND('Atividades Micro'!$B425=CO$2,'Atividades Micro'!$G425="Micro",'Atividades Micro'!$K425&lt;&gt;""),'Atividades Micro'!$K425,"")</f>
        <v/>
      </c>
    </row>
    <row r="374" spans="1:93">
      <c r="A374" s="21" t="str">
        <f>IF(AND('Atividades Micro'!$A426=A$2,'Atividades Micro'!$K426&lt;&gt;""),'Atividades Micro'!$K426,"")</f>
        <v/>
      </c>
      <c r="B374" s="21" t="str">
        <f>IF(AND('Atividades Micro'!$A426=B$2,'Atividades Micro'!$L426&lt;&gt;""),'Atividades Micro'!$L426,"")</f>
        <v/>
      </c>
      <c r="C374" s="21" t="str">
        <f>IF(AND('Atividades Micro'!$A426=C$2,'Atividades Micro'!$K426&lt;&gt;""),'Atividades Micro'!$K426,"")</f>
        <v/>
      </c>
      <c r="D374" s="21" t="str">
        <f>IF(AND('Atividades Micro'!$A426=D$2,'Atividades Micro'!$L426&lt;&gt;""),'Atividades Micro'!$L426,"")</f>
        <v/>
      </c>
      <c r="E374" s="21" t="str">
        <f>IF(AND('Atividades Micro'!$A426=E$2,'Atividades Micro'!$K426&lt;&gt;""),'Atividades Micro'!$K426,"")</f>
        <v/>
      </c>
      <c r="F374" s="21" t="str">
        <f>IF(AND('Atividades Micro'!$A426=F$2,'Atividades Micro'!$L426&lt;&gt;""),'Atividades Micro'!$L426,"")</f>
        <v/>
      </c>
      <c r="G374" s="21" t="str">
        <f>IF(AND('Atividades Micro'!$A426=G$2,'Atividades Micro'!$K426&lt;&gt;""),'Atividades Micro'!$K426,"")</f>
        <v/>
      </c>
      <c r="H374" s="21" t="str">
        <f>IF(AND('Atividades Micro'!$A426=H$2,'Atividades Micro'!$L426&lt;&gt;""),'Atividades Micro'!$L426,"")</f>
        <v/>
      </c>
      <c r="I374" s="21" t="str">
        <f>IF(AND('Atividades Micro'!$A426=I$2,'Atividades Micro'!$K426&lt;&gt;""),'Atividades Micro'!$K426,"")</f>
        <v/>
      </c>
      <c r="J374" s="21" t="str">
        <f>IF(AND('Atividades Micro'!$A426=J$2,'Atividades Micro'!$L426&lt;&gt;""),'Atividades Micro'!$L426,"")</f>
        <v/>
      </c>
      <c r="K374" s="21" t="str">
        <f>IF(AND('Atividades Micro'!$B426=K$2,'Atividades Micro'!$K426&lt;&gt;""),'Atividades Micro'!$K426,"")</f>
        <v/>
      </c>
      <c r="L374" s="21" t="str">
        <f>IF(AND('Atividades Micro'!$B426=L$2,'Atividades Micro'!$L426&lt;&gt;""),'Atividades Micro'!$L426,"")</f>
        <v/>
      </c>
      <c r="M374" s="21" t="str">
        <f>IF(AND('Atividades Micro'!$B426=M$2,'Atividades Micro'!$K426&lt;&gt;""),'Atividades Micro'!$K426,"")</f>
        <v/>
      </c>
      <c r="N374" s="21" t="str">
        <f>IF(AND('Atividades Micro'!$B426=N$2,'Atividades Micro'!$L426&lt;&gt;""),'Atividades Micro'!$L426,"")</f>
        <v/>
      </c>
      <c r="O374" s="21" t="str">
        <f>IF(AND('Atividades Micro'!$A426=O$2,'Atividades Micro'!$K426&lt;&gt;""),'Atividades Micro'!$K426,"")</f>
        <v/>
      </c>
      <c r="P374" s="21" t="str">
        <f>IF(AND('Atividades Micro'!$A426=P$2,'Atividades Micro'!$L426&lt;&gt;""),'Atividades Micro'!$L426,"")</f>
        <v/>
      </c>
      <c r="Q374" s="21" t="str">
        <f>IF(AND('Atividades Micro'!$B426=Q$2,'Atividades Micro'!$K426&lt;&gt;""),'Atividades Micro'!$K426,"")</f>
        <v/>
      </c>
      <c r="R374" s="21" t="str">
        <f>IF(AND('Atividades Micro'!$B426=R$2,'Atividades Micro'!$L426&lt;&gt;""),'Atividades Micro'!$L426,"")</f>
        <v/>
      </c>
      <c r="S374" s="21" t="str">
        <f>IF(AND('Atividades Micro'!$A426=S$2,'Atividades Micro'!$K426&lt;&gt;""),'Atividades Micro'!$K426,"")</f>
        <v/>
      </c>
      <c r="T374" s="21" t="str">
        <f>IF(AND('Atividades Micro'!$A426=T$2,'Atividades Micro'!$L426&lt;&gt;""),'Atividades Micro'!$L426,"")</f>
        <v/>
      </c>
      <c r="U374" s="21" t="str">
        <f>IF(AND('Atividades Micro'!$B426=U$2,'Atividades Micro'!$K426&lt;&gt;""),'Atividades Micro'!$K426,"")</f>
        <v/>
      </c>
      <c r="V374" s="21" t="str">
        <f>IF(AND('Atividades Micro'!$B426=V$2,'Atividades Micro'!$L426&lt;&gt;""),'Atividades Micro'!$L426,"")</f>
        <v/>
      </c>
      <c r="W374" s="21" t="str">
        <f>IF(AND('Atividades Micro'!$B426=W$2,'Atividades Micro'!$K426&lt;&gt;""),'Atividades Micro'!$K426,"")</f>
        <v/>
      </c>
      <c r="X374" s="21" t="str">
        <f>IF(AND('Atividades Micro'!$B426=X$2,'Atividades Micro'!$L426&lt;&gt;""),'Atividades Micro'!$L426,"")</f>
        <v/>
      </c>
      <c r="Y374" s="21" t="str">
        <f>IF(AND('Atividades Micro'!$A426=Y$2,'Atividades Micro'!$K426&lt;&gt;""),'Atividades Micro'!$K426,"")</f>
        <v/>
      </c>
      <c r="Z374" s="21" t="str">
        <f>IF(AND('Atividades Micro'!$A426=Z$2,'Atividades Micro'!$L426&lt;&gt;""),'Atividades Micro'!$L426,"")</f>
        <v/>
      </c>
      <c r="AA374" s="21" t="str">
        <f>IF(AND('Atividades Micro'!$B426=AA$2,'Atividades Micro'!$K426&lt;&gt;""),'Atividades Micro'!$K426,"")</f>
        <v/>
      </c>
      <c r="AB374" s="21" t="str">
        <f>IF(AND('Atividades Micro'!$B426=AB$2,'Atividades Micro'!$L426&lt;&gt;""),'Atividades Micro'!$L426,"")</f>
        <v/>
      </c>
      <c r="AC374" s="21" t="str">
        <f>IF(AND('Atividades Micro'!$B426=AC$2,'Atividades Micro'!$K426&lt;&gt;""),'Atividades Micro'!$K426,"")</f>
        <v/>
      </c>
      <c r="AD374" s="21" t="str">
        <f>IF(AND('Atividades Micro'!$B426=AD$2,'Atividades Micro'!$L426&lt;&gt;""),'Atividades Micro'!$L426,"")</f>
        <v/>
      </c>
      <c r="AE374" s="21" t="str">
        <f>IF(AND('Atividades Micro'!$A426=AE$2,'Atividades Micro'!$K426&lt;&gt;""),'Atividades Micro'!$K426,"")</f>
        <v/>
      </c>
      <c r="AF374" s="21" t="str">
        <f>IF(AND('Atividades Micro'!$A426=AF$2,'Atividades Micro'!$L426&lt;&gt;""),'Atividades Micro'!$L426,"")</f>
        <v/>
      </c>
      <c r="AG374" s="21" t="str">
        <f>IF(AND('Atividades Micro'!$B426=AG$2,'Atividades Micro'!$K426&lt;&gt;""),'Atividades Micro'!$K426,"")</f>
        <v/>
      </c>
      <c r="AH374" s="21" t="str">
        <f>IF(AND('Atividades Micro'!$B426=AH$2,'Atividades Micro'!$L426&lt;&gt;""),'Atividades Micro'!$L426,"")</f>
        <v/>
      </c>
      <c r="AI374" s="21" t="str">
        <f>IF(AND('Atividades Micro'!$B426=AI$2,'Atividades Micro'!$K426&lt;&gt;""),'Atividades Micro'!$K426,"")</f>
        <v/>
      </c>
      <c r="AJ374" s="21" t="str">
        <f>IF(AND('Atividades Micro'!$B426=AJ$2,'Atividades Micro'!$L426&lt;&gt;""),'Atividades Micro'!$L426,"")</f>
        <v/>
      </c>
      <c r="AK374" s="21" t="str">
        <f>IF(AND('Atividades Micro'!$A426=AK$2,'Atividades Micro'!$K426&lt;&gt;""),'Atividades Micro'!$K426,"")</f>
        <v/>
      </c>
      <c r="AL374" s="21" t="str">
        <f>IF(AND('Atividades Micro'!$A426=AL$2,'Atividades Micro'!$L426&lt;&gt;""),'Atividades Micro'!$L426,"")</f>
        <v/>
      </c>
      <c r="AM374" s="21" t="str">
        <f>IF(AND('Atividades Micro'!$B426=AM$2,'Atividades Micro'!$K426&lt;&gt;""),'Atividades Micro'!$K426,"")</f>
        <v/>
      </c>
      <c r="AN374" s="21" t="str">
        <f>IF(AND('Atividades Micro'!$B426=AN$2,'Atividades Micro'!$L426&lt;&gt;""),'Atividades Micro'!$L426,"")</f>
        <v/>
      </c>
      <c r="AO374" s="21" t="str">
        <f>IF(AND('Atividades Micro'!$B426=AO$2,'Atividades Micro'!$K426&lt;&gt;""),'Atividades Micro'!$K426,"")</f>
        <v/>
      </c>
      <c r="AP374" s="21" t="str">
        <f>IF(AND('Atividades Micro'!$B426=AP$2,'Atividades Micro'!$L426&lt;&gt;""),'Atividades Micro'!$L426,"")</f>
        <v/>
      </c>
      <c r="AQ374" s="21" t="str">
        <f>IF(AND('Atividades Micro'!$A426=AQ$2,'Atividades Micro'!$K426&lt;&gt;""),'Atividades Micro'!$K426,"")</f>
        <v/>
      </c>
      <c r="AR374" s="21" t="str">
        <f>IF(AND('Atividades Micro'!$A426=AR$2,'Atividades Micro'!$L426&lt;&gt;""),'Atividades Micro'!$L426,"")</f>
        <v/>
      </c>
      <c r="AS374" s="21" t="str">
        <f>IF(AND('Atividades Micro'!$B426=AS$2,'Atividades Micro'!$K426&lt;&gt;""),'Atividades Micro'!$K426,"")</f>
        <v/>
      </c>
      <c r="AT374" s="21" t="str">
        <f>IF(AND('Atividades Micro'!$B426=AT$2,'Atividades Micro'!$L426&lt;&gt;""),'Atividades Micro'!$L426,"")</f>
        <v/>
      </c>
      <c r="AU374" s="21" t="str">
        <f>IF(AND('Atividades Micro'!$A426=AU$2,'Atividades Micro'!$K426&lt;&gt;""),'Atividades Micro'!$K426,"")</f>
        <v/>
      </c>
      <c r="AV374" s="21" t="str">
        <f>IF(AND('Atividades Micro'!$A426=AV$2,'Atividades Micro'!$L426&lt;&gt;""),'Atividades Micro'!$L426,"")</f>
        <v/>
      </c>
      <c r="AW374" s="21" t="str">
        <f>IF(AND('Atividades Micro'!$B426=AW$2,'Atividades Micro'!$K426&lt;&gt;""),'Atividades Micro'!$K426,"")</f>
        <v/>
      </c>
      <c r="AX374" s="21" t="str">
        <f>IF(AND('Atividades Micro'!$B426=AX$2,'Atividades Micro'!$L426&lt;&gt;""),'Atividades Micro'!$L426,"")</f>
        <v/>
      </c>
      <c r="AY374" s="21" t="str">
        <f>IF(AND('Atividades Micro'!$A426=AY$2,'Atividades Micro'!$K426&lt;&gt;""),'Atividades Micro'!$K426,"")</f>
        <v/>
      </c>
      <c r="AZ374" s="21" t="str">
        <f>IF(AND('Atividades Micro'!$A426=AZ$2,'Atividades Micro'!$L426&lt;&gt;""),'Atividades Micro'!$L426,"")</f>
        <v/>
      </c>
      <c r="BA374" s="21" t="str">
        <f>IF(AND('Atividades Micro'!$B426=BA$2,'Atividades Micro'!$K426&lt;&gt;""),'Atividades Micro'!$K426,"")</f>
        <v/>
      </c>
      <c r="BB374" s="21" t="str">
        <f>IF(AND('Atividades Micro'!$B426=BB$2,'Atividades Micro'!$L426&lt;&gt;""),'Atividades Micro'!$L426,"")</f>
        <v/>
      </c>
      <c r="BC374" s="21" t="str">
        <f>IF(AND('Atividades Micro'!$B426=BC$2,'Atividades Micro'!$G426="Macro",'Atividades Micro'!$K426&lt;&gt;""),'Atividades Micro'!$K426,"")</f>
        <v/>
      </c>
      <c r="BD374" s="21" t="str">
        <f>IF(AND('Atividades Micro'!$B426=BD$2,'Atividades Micro'!$G426="Macro",'Atividades Micro'!$K426&lt;&gt;""),'Atividades Micro'!$K426,"")</f>
        <v/>
      </c>
      <c r="BE374" s="21" t="str">
        <f>IF(AND('Atividades Micro'!$B426=BE$2,'Atividades Micro'!$G426="Macro",'Atividades Micro'!$K426&lt;&gt;""),'Atividades Micro'!$K426,"")</f>
        <v/>
      </c>
      <c r="BF374" s="21" t="str">
        <f>IF(AND('Atividades Micro'!$B426=BF$2,'Atividades Micro'!$G426="Macro",'Atividades Micro'!$K426&lt;&gt;""),'Atividades Micro'!$K426,"")</f>
        <v/>
      </c>
      <c r="BG374" s="21" t="str">
        <f>IF(AND('Atividades Micro'!$B426=BG$2,'Atividades Micro'!$G426="Macro",'Atividades Micro'!$K426&lt;&gt;""),'Atividades Micro'!$K426,"")</f>
        <v/>
      </c>
      <c r="BH374" s="21" t="str">
        <f>IF(AND('Atividades Micro'!$B426=BH$2,'Atividades Micro'!$G426="Macro",'Atividades Micro'!$K426&lt;&gt;""),'Atividades Micro'!$K426,"")</f>
        <v/>
      </c>
      <c r="BI374" s="21" t="str">
        <f>IF(AND('Atividades Micro'!$B426=BI$2,'Atividades Micro'!$G426="Macro",'Atividades Micro'!$K426&lt;&gt;""),'Atividades Micro'!$K426,"")</f>
        <v/>
      </c>
      <c r="BJ374" s="21" t="str">
        <f>IF(AND('Atividades Micro'!$B426=BJ$2,'Atividades Micro'!$G426="Macro",'Atividades Micro'!$K426&lt;&gt;""),'Atividades Micro'!$K426,"")</f>
        <v/>
      </c>
      <c r="BK374" s="21" t="str">
        <f>IF(AND('Atividades Micro'!$B426=BK$2,'Atividades Micro'!$G426="Macro",'Atividades Micro'!$K426&lt;&gt;""),'Atividades Micro'!$K426,"")</f>
        <v/>
      </c>
      <c r="BL374" s="21" t="str">
        <f>IF(AND('Atividades Micro'!$B426=BL$2,'Atividades Micro'!$G426="Macro",'Atividades Micro'!$K426&lt;&gt;""),'Atividades Micro'!$K426,"")</f>
        <v/>
      </c>
      <c r="BM374" s="21" t="str">
        <f>IF(AND('Atividades Micro'!$B426=BM$2,'Atividades Micro'!$G426="Macro",'Atividades Micro'!$K426&lt;&gt;""),'Atividades Micro'!$K426,"")</f>
        <v/>
      </c>
      <c r="BN374" s="21" t="str">
        <f>IF(AND('Atividades Micro'!$B426=BN$2,'Atividades Micro'!$G426="Macro",'Atividades Micro'!$K426&lt;&gt;""),'Atividades Micro'!$K426,"")</f>
        <v/>
      </c>
      <c r="BO374" s="21" t="str">
        <f>IF(AND('Atividades Micro'!$B426=BO$2,'Atividades Micro'!$G426="Macro",'Atividades Micro'!$K426&lt;&gt;""),'Atividades Micro'!$K426,"")</f>
        <v/>
      </c>
      <c r="BP374" s="21" t="str">
        <f>IF(AND('Atividades Micro'!$B426=BP$2,'Atividades Micro'!$G426="Macro",'Atividades Micro'!$K426&lt;&gt;""),'Atividades Micro'!$K426,"")</f>
        <v/>
      </c>
      <c r="BQ374" s="21" t="str">
        <f>IF(AND('Atividades Micro'!$B426=BQ$2,'Atividades Micro'!$G426="Macro",'Atividades Micro'!$K426&lt;&gt;""),'Atividades Micro'!$K426,"")</f>
        <v/>
      </c>
      <c r="BR374" s="21" t="str">
        <f>IF(AND('Atividades Micro'!$B426=BR$2,'Atividades Micro'!$G426="Macro",'Atividades Micro'!$K426&lt;&gt;""),'Atividades Micro'!$K426,"")</f>
        <v/>
      </c>
      <c r="BS374" s="21" t="str">
        <f>IF(AND('Atividades Micro'!$B426=BS$2,'Atividades Micro'!$G426="Macro",'Atividades Micro'!$K426&lt;&gt;""),'Atividades Micro'!$K426,"")</f>
        <v/>
      </c>
      <c r="BT374" s="21" t="str">
        <f>IF(AND('Atividades Micro'!$B426=BT$2,'Atividades Micro'!$G426="Macro",'Atividades Micro'!$K426&lt;&gt;""),'Atividades Micro'!$K426,"")</f>
        <v/>
      </c>
      <c r="BU374" s="21" t="str">
        <f>IF(AND('Atividades Micro'!$B426=BU$2,'Atividades Micro'!$G426="Macro",'Atividades Micro'!$K426&lt;&gt;""),'Atividades Micro'!$K426,"")</f>
        <v/>
      </c>
      <c r="BV374" s="21" t="str">
        <f>IF(AND('Atividades Micro'!$B426=BV$2,'Atividades Micro'!$G426="Macro",'Atividades Micro'!$K426&lt;&gt;""),'Atividades Micro'!$K426,"")</f>
        <v/>
      </c>
      <c r="BW374" s="21" t="str">
        <f>IF(AND('Atividades Micro'!$B426=BW$2,'Atividades Micro'!$G426="Macro",'Atividades Micro'!$K426&lt;&gt;""),'Atividades Micro'!$K426,"")</f>
        <v/>
      </c>
      <c r="BX374" s="21" t="str">
        <f>IF(AND('Atividades Micro'!$B426=BX$2,'Atividades Micro'!$G426="Macro",'Atividades Micro'!$K426&lt;&gt;""),'Atividades Micro'!$K426,"")</f>
        <v/>
      </c>
      <c r="BY374" s="21" t="str">
        <f>IF(AND('Atividades Micro'!$B426=BY$2,'Atividades Micro'!$G426="Macro",'Atividades Micro'!$K426&lt;&gt;""),'Atividades Micro'!$K426,"")</f>
        <v/>
      </c>
      <c r="BZ374" s="21" t="str">
        <f>IF(AND('Atividades Micro'!$B426=BZ$2,'Atividades Micro'!$G426="Macro",'Atividades Micro'!$K426&lt;&gt;""),'Atividades Micro'!$K426,"")</f>
        <v/>
      </c>
      <c r="CA374" s="21" t="str">
        <f>IF(AND('Atividades Micro'!$B426=CA$2,'Atividades Micro'!$G426="Macro",'Atividades Micro'!$K426&lt;&gt;""),'Atividades Micro'!$K426,"")</f>
        <v/>
      </c>
      <c r="CB374" s="21" t="str">
        <f>IF(AND('Atividades Micro'!$B426=CB$2,'Atividades Micro'!$G426="Macro",'Atividades Micro'!$K426&lt;&gt;""),'Atividades Micro'!$K426,"")</f>
        <v/>
      </c>
      <c r="CC374" s="21" t="str">
        <f>IF(AND('Atividades Micro'!$B426=CC$2,'Atividades Micro'!$G426="Macro",'Atividades Micro'!$K426&lt;&gt;""),'Atividades Micro'!$K426,"")</f>
        <v/>
      </c>
      <c r="CD374" s="21" t="str">
        <f>IF(AND('Atividades Micro'!$B426=CD$2,'Atividades Micro'!$G426="Micro",'Atividades Micro'!$K426&lt;&gt;""),'Atividades Micro'!$K426,"")</f>
        <v/>
      </c>
      <c r="CE374" s="21" t="str">
        <f>IF(AND('Atividades Micro'!$B426=CE$2,'Atividades Micro'!$G426="Micro",'Atividades Micro'!$K426&lt;&gt;""),'Atividades Micro'!$K426,"")</f>
        <v/>
      </c>
      <c r="CF374" s="21" t="str">
        <f>IF(AND('Atividades Micro'!$B426=CF$2,'Atividades Micro'!$G426="Micro",'Atividades Micro'!$K426&lt;&gt;""),'Atividades Micro'!$K426,"")</f>
        <v/>
      </c>
      <c r="CG374" s="21" t="str">
        <f>IF(AND('Atividades Micro'!$B426=CG$2,'Atividades Micro'!$G426="Micro",'Atividades Micro'!$K426&lt;&gt;""),'Atividades Micro'!$K426,"")</f>
        <v/>
      </c>
      <c r="CH374" s="21" t="str">
        <f>IF(AND('Atividades Micro'!$B426=CH$2,'Atividades Micro'!$G426="Micro",'Atividades Micro'!$K426&lt;&gt;""),'Atividades Micro'!$K426,"")</f>
        <v/>
      </c>
      <c r="CI374" s="21" t="str">
        <f>IF(AND('Atividades Micro'!$B426=CI$2,'Atividades Micro'!$G426="Micro",'Atividades Micro'!$K426&lt;&gt;""),'Atividades Micro'!$K426,"")</f>
        <v/>
      </c>
      <c r="CJ374" s="21" t="str">
        <f>IF(AND('Atividades Micro'!$B426=CJ$2,'Atividades Micro'!$G426="Micro",'Atividades Micro'!$K426&lt;&gt;""),'Atividades Micro'!$K426,"")</f>
        <v/>
      </c>
      <c r="CK374" s="21" t="str">
        <f>IF(AND('Atividades Micro'!$B426=CK$2,'Atividades Micro'!$G426="Micro",'Atividades Micro'!$K426&lt;&gt;""),'Atividades Micro'!$K426,"")</f>
        <v/>
      </c>
      <c r="CL374" s="21" t="str">
        <f>IF(AND('Atividades Micro'!$B426=CL$2,'Atividades Micro'!$G426="Micro",'Atividades Micro'!$K426&lt;&gt;""),'Atividades Micro'!$K426,"")</f>
        <v/>
      </c>
      <c r="CM374" s="21" t="str">
        <f>IF(AND('Atividades Micro'!$B426=CM$2,'Atividades Micro'!$G426="Micro",'Atividades Micro'!$K426&lt;&gt;""),'Atividades Micro'!$K426,"")</f>
        <v/>
      </c>
      <c r="CN374" s="21" t="str">
        <f>IF(AND('Atividades Micro'!$B426=CN$2,'Atividades Micro'!$G426="Micro",'Atividades Micro'!$K426&lt;&gt;""),'Atividades Micro'!$K426,"")</f>
        <v/>
      </c>
      <c r="CO374" s="21" t="str">
        <f>IF(AND('Atividades Micro'!$B426=CO$2,'Atividades Micro'!$G426="Micro",'Atividades Micro'!$K426&lt;&gt;""),'Atividades Micro'!$K426,"")</f>
        <v/>
      </c>
    </row>
    <row r="375" spans="1:93">
      <c r="A375" s="21" t="str">
        <f>IF(AND('Atividades Micro'!$A427=A$2,'Atividades Micro'!$K427&lt;&gt;""),'Atividades Micro'!$K427,"")</f>
        <v/>
      </c>
      <c r="B375" s="21" t="str">
        <f>IF(AND('Atividades Micro'!$A427=B$2,'Atividades Micro'!$L427&lt;&gt;""),'Atividades Micro'!$L427,"")</f>
        <v/>
      </c>
      <c r="C375" s="21" t="str">
        <f>IF(AND('Atividades Micro'!$A427=C$2,'Atividades Micro'!$K427&lt;&gt;""),'Atividades Micro'!$K427,"")</f>
        <v/>
      </c>
      <c r="D375" s="21" t="str">
        <f>IF(AND('Atividades Micro'!$A427=D$2,'Atividades Micro'!$L427&lt;&gt;""),'Atividades Micro'!$L427,"")</f>
        <v/>
      </c>
      <c r="E375" s="21" t="str">
        <f>IF(AND('Atividades Micro'!$A427=E$2,'Atividades Micro'!$K427&lt;&gt;""),'Atividades Micro'!$K427,"")</f>
        <v/>
      </c>
      <c r="F375" s="21" t="str">
        <f>IF(AND('Atividades Micro'!$A427=F$2,'Atividades Micro'!$L427&lt;&gt;""),'Atividades Micro'!$L427,"")</f>
        <v/>
      </c>
      <c r="G375" s="21" t="str">
        <f>IF(AND('Atividades Micro'!$A427=G$2,'Atividades Micro'!$K427&lt;&gt;""),'Atividades Micro'!$K427,"")</f>
        <v/>
      </c>
      <c r="H375" s="21" t="str">
        <f>IF(AND('Atividades Micro'!$A427=H$2,'Atividades Micro'!$L427&lt;&gt;""),'Atividades Micro'!$L427,"")</f>
        <v/>
      </c>
      <c r="I375" s="21" t="str">
        <f>IF(AND('Atividades Micro'!$A427=I$2,'Atividades Micro'!$K427&lt;&gt;""),'Atividades Micro'!$K427,"")</f>
        <v/>
      </c>
      <c r="J375" s="21" t="str">
        <f>IF(AND('Atividades Micro'!$A427=J$2,'Atividades Micro'!$L427&lt;&gt;""),'Atividades Micro'!$L427,"")</f>
        <v/>
      </c>
      <c r="K375" s="21" t="str">
        <f>IF(AND('Atividades Micro'!$B427=K$2,'Atividades Micro'!$K427&lt;&gt;""),'Atividades Micro'!$K427,"")</f>
        <v/>
      </c>
      <c r="L375" s="21" t="str">
        <f>IF(AND('Atividades Micro'!$B427=L$2,'Atividades Micro'!$L427&lt;&gt;""),'Atividades Micro'!$L427,"")</f>
        <v/>
      </c>
      <c r="M375" s="21" t="str">
        <f>IF(AND('Atividades Micro'!$B427=M$2,'Atividades Micro'!$K427&lt;&gt;""),'Atividades Micro'!$K427,"")</f>
        <v/>
      </c>
      <c r="N375" s="21" t="str">
        <f>IF(AND('Atividades Micro'!$B427=N$2,'Atividades Micro'!$L427&lt;&gt;""),'Atividades Micro'!$L427,"")</f>
        <v/>
      </c>
      <c r="O375" s="21" t="str">
        <f>IF(AND('Atividades Micro'!$A427=O$2,'Atividades Micro'!$K427&lt;&gt;""),'Atividades Micro'!$K427,"")</f>
        <v/>
      </c>
      <c r="P375" s="21" t="str">
        <f>IF(AND('Atividades Micro'!$A427=P$2,'Atividades Micro'!$L427&lt;&gt;""),'Atividades Micro'!$L427,"")</f>
        <v/>
      </c>
      <c r="Q375" s="21" t="str">
        <f>IF(AND('Atividades Micro'!$B427=Q$2,'Atividades Micro'!$K427&lt;&gt;""),'Atividades Micro'!$K427,"")</f>
        <v/>
      </c>
      <c r="R375" s="21" t="str">
        <f>IF(AND('Atividades Micro'!$B427=R$2,'Atividades Micro'!$L427&lt;&gt;""),'Atividades Micro'!$L427,"")</f>
        <v/>
      </c>
      <c r="S375" s="21" t="str">
        <f>IF(AND('Atividades Micro'!$A427=S$2,'Atividades Micro'!$K427&lt;&gt;""),'Atividades Micro'!$K427,"")</f>
        <v/>
      </c>
      <c r="T375" s="21" t="str">
        <f>IF(AND('Atividades Micro'!$A427=T$2,'Atividades Micro'!$L427&lt;&gt;""),'Atividades Micro'!$L427,"")</f>
        <v/>
      </c>
      <c r="U375" s="21" t="str">
        <f>IF(AND('Atividades Micro'!$B427=U$2,'Atividades Micro'!$K427&lt;&gt;""),'Atividades Micro'!$K427,"")</f>
        <v/>
      </c>
      <c r="V375" s="21" t="str">
        <f>IF(AND('Atividades Micro'!$B427=V$2,'Atividades Micro'!$L427&lt;&gt;""),'Atividades Micro'!$L427,"")</f>
        <v/>
      </c>
      <c r="W375" s="21" t="str">
        <f>IF(AND('Atividades Micro'!$B427=W$2,'Atividades Micro'!$K427&lt;&gt;""),'Atividades Micro'!$K427,"")</f>
        <v/>
      </c>
      <c r="X375" s="21" t="str">
        <f>IF(AND('Atividades Micro'!$B427=X$2,'Atividades Micro'!$L427&lt;&gt;""),'Atividades Micro'!$L427,"")</f>
        <v/>
      </c>
      <c r="Y375" s="21" t="str">
        <f>IF(AND('Atividades Micro'!$A427=Y$2,'Atividades Micro'!$K427&lt;&gt;""),'Atividades Micro'!$K427,"")</f>
        <v/>
      </c>
      <c r="Z375" s="21" t="str">
        <f>IF(AND('Atividades Micro'!$A427=Z$2,'Atividades Micro'!$L427&lt;&gt;""),'Atividades Micro'!$L427,"")</f>
        <v/>
      </c>
      <c r="AA375" s="21" t="str">
        <f>IF(AND('Atividades Micro'!$B427=AA$2,'Atividades Micro'!$K427&lt;&gt;""),'Atividades Micro'!$K427,"")</f>
        <v/>
      </c>
      <c r="AB375" s="21" t="str">
        <f>IF(AND('Atividades Micro'!$B427=AB$2,'Atividades Micro'!$L427&lt;&gt;""),'Atividades Micro'!$L427,"")</f>
        <v/>
      </c>
      <c r="AC375" s="21" t="str">
        <f>IF(AND('Atividades Micro'!$B427=AC$2,'Atividades Micro'!$K427&lt;&gt;""),'Atividades Micro'!$K427,"")</f>
        <v/>
      </c>
      <c r="AD375" s="21" t="str">
        <f>IF(AND('Atividades Micro'!$B427=AD$2,'Atividades Micro'!$L427&lt;&gt;""),'Atividades Micro'!$L427,"")</f>
        <v/>
      </c>
      <c r="AE375" s="21" t="str">
        <f>IF(AND('Atividades Micro'!$A427=AE$2,'Atividades Micro'!$K427&lt;&gt;""),'Atividades Micro'!$K427,"")</f>
        <v/>
      </c>
      <c r="AF375" s="21" t="str">
        <f>IF(AND('Atividades Micro'!$A427=AF$2,'Atividades Micro'!$L427&lt;&gt;""),'Atividades Micro'!$L427,"")</f>
        <v/>
      </c>
      <c r="AG375" s="21" t="str">
        <f>IF(AND('Atividades Micro'!$B427=AG$2,'Atividades Micro'!$K427&lt;&gt;""),'Atividades Micro'!$K427,"")</f>
        <v/>
      </c>
      <c r="AH375" s="21" t="str">
        <f>IF(AND('Atividades Micro'!$B427=AH$2,'Atividades Micro'!$L427&lt;&gt;""),'Atividades Micro'!$L427,"")</f>
        <v/>
      </c>
      <c r="AI375" s="21" t="str">
        <f>IF(AND('Atividades Micro'!$B427=AI$2,'Atividades Micro'!$K427&lt;&gt;""),'Atividades Micro'!$K427,"")</f>
        <v/>
      </c>
      <c r="AJ375" s="21" t="str">
        <f>IF(AND('Atividades Micro'!$B427=AJ$2,'Atividades Micro'!$L427&lt;&gt;""),'Atividades Micro'!$L427,"")</f>
        <v/>
      </c>
      <c r="AK375" s="21" t="str">
        <f>IF(AND('Atividades Micro'!$A427=AK$2,'Atividades Micro'!$K427&lt;&gt;""),'Atividades Micro'!$K427,"")</f>
        <v/>
      </c>
      <c r="AL375" s="21" t="str">
        <f>IF(AND('Atividades Micro'!$A427=AL$2,'Atividades Micro'!$L427&lt;&gt;""),'Atividades Micro'!$L427,"")</f>
        <v/>
      </c>
      <c r="AM375" s="21" t="str">
        <f>IF(AND('Atividades Micro'!$B427=AM$2,'Atividades Micro'!$K427&lt;&gt;""),'Atividades Micro'!$K427,"")</f>
        <v/>
      </c>
      <c r="AN375" s="21" t="str">
        <f>IF(AND('Atividades Micro'!$B427=AN$2,'Atividades Micro'!$L427&lt;&gt;""),'Atividades Micro'!$L427,"")</f>
        <v/>
      </c>
      <c r="AO375" s="21" t="str">
        <f>IF(AND('Atividades Micro'!$B427=AO$2,'Atividades Micro'!$K427&lt;&gt;""),'Atividades Micro'!$K427,"")</f>
        <v/>
      </c>
      <c r="AP375" s="21" t="str">
        <f>IF(AND('Atividades Micro'!$B427=AP$2,'Atividades Micro'!$L427&lt;&gt;""),'Atividades Micro'!$L427,"")</f>
        <v/>
      </c>
      <c r="AQ375" s="21" t="str">
        <f>IF(AND('Atividades Micro'!$A427=AQ$2,'Atividades Micro'!$K427&lt;&gt;""),'Atividades Micro'!$K427,"")</f>
        <v/>
      </c>
      <c r="AR375" s="21" t="str">
        <f>IF(AND('Atividades Micro'!$A427=AR$2,'Atividades Micro'!$L427&lt;&gt;""),'Atividades Micro'!$L427,"")</f>
        <v/>
      </c>
      <c r="AS375" s="21" t="str">
        <f>IF(AND('Atividades Micro'!$B427=AS$2,'Atividades Micro'!$K427&lt;&gt;""),'Atividades Micro'!$K427,"")</f>
        <v/>
      </c>
      <c r="AT375" s="21" t="str">
        <f>IF(AND('Atividades Micro'!$B427=AT$2,'Atividades Micro'!$L427&lt;&gt;""),'Atividades Micro'!$L427,"")</f>
        <v/>
      </c>
      <c r="AU375" s="21" t="str">
        <f>IF(AND('Atividades Micro'!$A427=AU$2,'Atividades Micro'!$K427&lt;&gt;""),'Atividades Micro'!$K427,"")</f>
        <v/>
      </c>
      <c r="AV375" s="21" t="str">
        <f>IF(AND('Atividades Micro'!$A427=AV$2,'Atividades Micro'!$L427&lt;&gt;""),'Atividades Micro'!$L427,"")</f>
        <v/>
      </c>
      <c r="AW375" s="21" t="str">
        <f>IF(AND('Atividades Micro'!$B427=AW$2,'Atividades Micro'!$K427&lt;&gt;""),'Atividades Micro'!$K427,"")</f>
        <v/>
      </c>
      <c r="AX375" s="21" t="str">
        <f>IF(AND('Atividades Micro'!$B427=AX$2,'Atividades Micro'!$L427&lt;&gt;""),'Atividades Micro'!$L427,"")</f>
        <v/>
      </c>
      <c r="AY375" s="21" t="str">
        <f>IF(AND('Atividades Micro'!$A427=AY$2,'Atividades Micro'!$K427&lt;&gt;""),'Atividades Micro'!$K427,"")</f>
        <v/>
      </c>
      <c r="AZ375" s="21" t="str">
        <f>IF(AND('Atividades Micro'!$A427=AZ$2,'Atividades Micro'!$L427&lt;&gt;""),'Atividades Micro'!$L427,"")</f>
        <v/>
      </c>
      <c r="BA375" s="21" t="str">
        <f>IF(AND('Atividades Micro'!$B427=BA$2,'Atividades Micro'!$K427&lt;&gt;""),'Atividades Micro'!$K427,"")</f>
        <v/>
      </c>
      <c r="BB375" s="21" t="str">
        <f>IF(AND('Atividades Micro'!$B427=BB$2,'Atividades Micro'!$L427&lt;&gt;""),'Atividades Micro'!$L427,"")</f>
        <v/>
      </c>
      <c r="BC375" s="21" t="str">
        <f>IF(AND('Atividades Micro'!$B427=BC$2,'Atividades Micro'!$G427="Macro",'Atividades Micro'!$K427&lt;&gt;""),'Atividades Micro'!$K427,"")</f>
        <v/>
      </c>
      <c r="BD375" s="21" t="str">
        <f>IF(AND('Atividades Micro'!$B427=BD$2,'Atividades Micro'!$G427="Macro",'Atividades Micro'!$K427&lt;&gt;""),'Atividades Micro'!$K427,"")</f>
        <v/>
      </c>
      <c r="BE375" s="21" t="str">
        <f>IF(AND('Atividades Micro'!$B427=BE$2,'Atividades Micro'!$G427="Macro",'Atividades Micro'!$K427&lt;&gt;""),'Atividades Micro'!$K427,"")</f>
        <v/>
      </c>
      <c r="BF375" s="21" t="str">
        <f>IF(AND('Atividades Micro'!$B427=BF$2,'Atividades Micro'!$G427="Macro",'Atividades Micro'!$K427&lt;&gt;""),'Atividades Micro'!$K427,"")</f>
        <v/>
      </c>
      <c r="BG375" s="21" t="str">
        <f>IF(AND('Atividades Micro'!$B427=BG$2,'Atividades Micro'!$G427="Macro",'Atividades Micro'!$K427&lt;&gt;""),'Atividades Micro'!$K427,"")</f>
        <v/>
      </c>
      <c r="BH375" s="21" t="str">
        <f>IF(AND('Atividades Micro'!$B427=BH$2,'Atividades Micro'!$G427="Macro",'Atividades Micro'!$K427&lt;&gt;""),'Atividades Micro'!$K427,"")</f>
        <v/>
      </c>
      <c r="BI375" s="21" t="str">
        <f>IF(AND('Atividades Micro'!$B427=BI$2,'Atividades Micro'!$G427="Macro",'Atividades Micro'!$K427&lt;&gt;""),'Atividades Micro'!$K427,"")</f>
        <v/>
      </c>
      <c r="BJ375" s="21" t="str">
        <f>IF(AND('Atividades Micro'!$B427=BJ$2,'Atividades Micro'!$G427="Macro",'Atividades Micro'!$K427&lt;&gt;""),'Atividades Micro'!$K427,"")</f>
        <v/>
      </c>
      <c r="BK375" s="21" t="str">
        <f>IF(AND('Atividades Micro'!$B427=BK$2,'Atividades Micro'!$G427="Macro",'Atividades Micro'!$K427&lt;&gt;""),'Atividades Micro'!$K427,"")</f>
        <v/>
      </c>
      <c r="BL375" s="21" t="str">
        <f>IF(AND('Atividades Micro'!$B427=BL$2,'Atividades Micro'!$G427="Macro",'Atividades Micro'!$K427&lt;&gt;""),'Atividades Micro'!$K427,"")</f>
        <v/>
      </c>
      <c r="BM375" s="21" t="str">
        <f>IF(AND('Atividades Micro'!$B427=BM$2,'Atividades Micro'!$G427="Macro",'Atividades Micro'!$K427&lt;&gt;""),'Atividades Micro'!$K427,"")</f>
        <v/>
      </c>
      <c r="BN375" s="21" t="str">
        <f>IF(AND('Atividades Micro'!$B427=BN$2,'Atividades Micro'!$G427="Macro",'Atividades Micro'!$K427&lt;&gt;""),'Atividades Micro'!$K427,"")</f>
        <v/>
      </c>
      <c r="BO375" s="21" t="str">
        <f>IF(AND('Atividades Micro'!$B427=BO$2,'Atividades Micro'!$G427="Macro",'Atividades Micro'!$K427&lt;&gt;""),'Atividades Micro'!$K427,"")</f>
        <v/>
      </c>
      <c r="BP375" s="21" t="str">
        <f>IF(AND('Atividades Micro'!$B427=BP$2,'Atividades Micro'!$G427="Macro",'Atividades Micro'!$K427&lt;&gt;""),'Atividades Micro'!$K427,"")</f>
        <v/>
      </c>
      <c r="BQ375" s="21" t="str">
        <f>IF(AND('Atividades Micro'!$B427=BQ$2,'Atividades Micro'!$G427="Macro",'Atividades Micro'!$K427&lt;&gt;""),'Atividades Micro'!$K427,"")</f>
        <v/>
      </c>
      <c r="BR375" s="21" t="str">
        <f>IF(AND('Atividades Micro'!$B427=BR$2,'Atividades Micro'!$G427="Macro",'Atividades Micro'!$K427&lt;&gt;""),'Atividades Micro'!$K427,"")</f>
        <v/>
      </c>
      <c r="BS375" s="21" t="str">
        <f>IF(AND('Atividades Micro'!$B427=BS$2,'Atividades Micro'!$G427="Macro",'Atividades Micro'!$K427&lt;&gt;""),'Atividades Micro'!$K427,"")</f>
        <v/>
      </c>
      <c r="BT375" s="21" t="str">
        <f>IF(AND('Atividades Micro'!$B427=BT$2,'Atividades Micro'!$G427="Macro",'Atividades Micro'!$K427&lt;&gt;""),'Atividades Micro'!$K427,"")</f>
        <v/>
      </c>
      <c r="BU375" s="21" t="str">
        <f>IF(AND('Atividades Micro'!$B427=BU$2,'Atividades Micro'!$G427="Macro",'Atividades Micro'!$K427&lt;&gt;""),'Atividades Micro'!$K427,"")</f>
        <v/>
      </c>
      <c r="BV375" s="21" t="str">
        <f>IF(AND('Atividades Micro'!$B427=BV$2,'Atividades Micro'!$G427="Macro",'Atividades Micro'!$K427&lt;&gt;""),'Atividades Micro'!$K427,"")</f>
        <v/>
      </c>
      <c r="BW375" s="21" t="str">
        <f>IF(AND('Atividades Micro'!$B427=BW$2,'Atividades Micro'!$G427="Macro",'Atividades Micro'!$K427&lt;&gt;""),'Atividades Micro'!$K427,"")</f>
        <v/>
      </c>
      <c r="BX375" s="21" t="str">
        <f>IF(AND('Atividades Micro'!$B427=BX$2,'Atividades Micro'!$G427="Macro",'Atividades Micro'!$K427&lt;&gt;""),'Atividades Micro'!$K427,"")</f>
        <v/>
      </c>
      <c r="BY375" s="21" t="str">
        <f>IF(AND('Atividades Micro'!$B427=BY$2,'Atividades Micro'!$G427="Macro",'Atividades Micro'!$K427&lt;&gt;""),'Atividades Micro'!$K427,"")</f>
        <v/>
      </c>
      <c r="BZ375" s="21" t="str">
        <f>IF(AND('Atividades Micro'!$B427=BZ$2,'Atividades Micro'!$G427="Macro",'Atividades Micro'!$K427&lt;&gt;""),'Atividades Micro'!$K427,"")</f>
        <v/>
      </c>
      <c r="CA375" s="21" t="str">
        <f>IF(AND('Atividades Micro'!$B427=CA$2,'Atividades Micro'!$G427="Macro",'Atividades Micro'!$K427&lt;&gt;""),'Atividades Micro'!$K427,"")</f>
        <v/>
      </c>
      <c r="CB375" s="21" t="str">
        <f>IF(AND('Atividades Micro'!$B427=CB$2,'Atividades Micro'!$G427="Macro",'Atividades Micro'!$K427&lt;&gt;""),'Atividades Micro'!$K427,"")</f>
        <v/>
      </c>
      <c r="CC375" s="21" t="str">
        <f>IF(AND('Atividades Micro'!$B427=CC$2,'Atividades Micro'!$G427="Macro",'Atividades Micro'!$K427&lt;&gt;""),'Atividades Micro'!$K427,"")</f>
        <v/>
      </c>
      <c r="CD375" s="21" t="str">
        <f>IF(AND('Atividades Micro'!$B427=CD$2,'Atividades Micro'!$G427="Micro",'Atividades Micro'!$K427&lt;&gt;""),'Atividades Micro'!$K427,"")</f>
        <v/>
      </c>
      <c r="CE375" s="21" t="str">
        <f>IF(AND('Atividades Micro'!$B427=CE$2,'Atividades Micro'!$G427="Micro",'Atividades Micro'!$K427&lt;&gt;""),'Atividades Micro'!$K427,"")</f>
        <v/>
      </c>
      <c r="CF375" s="21" t="str">
        <f>IF(AND('Atividades Micro'!$B427=CF$2,'Atividades Micro'!$G427="Micro",'Atividades Micro'!$K427&lt;&gt;""),'Atividades Micro'!$K427,"")</f>
        <v/>
      </c>
      <c r="CG375" s="21" t="str">
        <f>IF(AND('Atividades Micro'!$B427=CG$2,'Atividades Micro'!$G427="Micro",'Atividades Micro'!$K427&lt;&gt;""),'Atividades Micro'!$K427,"")</f>
        <v/>
      </c>
      <c r="CH375" s="21" t="str">
        <f>IF(AND('Atividades Micro'!$B427=CH$2,'Atividades Micro'!$G427="Micro",'Atividades Micro'!$K427&lt;&gt;""),'Atividades Micro'!$K427,"")</f>
        <v/>
      </c>
      <c r="CI375" s="21" t="str">
        <f>IF(AND('Atividades Micro'!$B427=CI$2,'Atividades Micro'!$G427="Micro",'Atividades Micro'!$K427&lt;&gt;""),'Atividades Micro'!$K427,"")</f>
        <v/>
      </c>
      <c r="CJ375" s="21" t="str">
        <f>IF(AND('Atividades Micro'!$B427=CJ$2,'Atividades Micro'!$G427="Micro",'Atividades Micro'!$K427&lt;&gt;""),'Atividades Micro'!$K427,"")</f>
        <v/>
      </c>
      <c r="CK375" s="21" t="str">
        <f>IF(AND('Atividades Micro'!$B427=CK$2,'Atividades Micro'!$G427="Micro",'Atividades Micro'!$K427&lt;&gt;""),'Atividades Micro'!$K427,"")</f>
        <v/>
      </c>
      <c r="CL375" s="21" t="str">
        <f>IF(AND('Atividades Micro'!$B427=CL$2,'Atividades Micro'!$G427="Micro",'Atividades Micro'!$K427&lt;&gt;""),'Atividades Micro'!$K427,"")</f>
        <v/>
      </c>
      <c r="CM375" s="21" t="str">
        <f>IF(AND('Atividades Micro'!$B427=CM$2,'Atividades Micro'!$G427="Micro",'Atividades Micro'!$K427&lt;&gt;""),'Atividades Micro'!$K427,"")</f>
        <v/>
      </c>
      <c r="CN375" s="21" t="str">
        <f>IF(AND('Atividades Micro'!$B427=CN$2,'Atividades Micro'!$G427="Micro",'Atividades Micro'!$K427&lt;&gt;""),'Atividades Micro'!$K427,"")</f>
        <v/>
      </c>
      <c r="CO375" s="21" t="str">
        <f>IF(AND('Atividades Micro'!$B427=CO$2,'Atividades Micro'!$G427="Micro",'Atividades Micro'!$K427&lt;&gt;""),'Atividades Micro'!$K427,"")</f>
        <v/>
      </c>
    </row>
    <row r="376" spans="1:93">
      <c r="A376" s="21" t="str">
        <f>IF(AND('Atividades Micro'!$A428=A$2,'Atividades Micro'!$K428&lt;&gt;""),'Atividades Micro'!$K428,"")</f>
        <v/>
      </c>
      <c r="B376" s="21" t="str">
        <f>IF(AND('Atividades Micro'!$A428=B$2,'Atividades Micro'!$L428&lt;&gt;""),'Atividades Micro'!$L428,"")</f>
        <v/>
      </c>
      <c r="C376" s="21" t="str">
        <f>IF(AND('Atividades Micro'!$A428=C$2,'Atividades Micro'!$K428&lt;&gt;""),'Atividades Micro'!$K428,"")</f>
        <v/>
      </c>
      <c r="D376" s="21" t="str">
        <f>IF(AND('Atividades Micro'!$A428=D$2,'Atividades Micro'!$L428&lt;&gt;""),'Atividades Micro'!$L428,"")</f>
        <v/>
      </c>
      <c r="E376" s="21" t="str">
        <f>IF(AND('Atividades Micro'!$A428=E$2,'Atividades Micro'!$K428&lt;&gt;""),'Atividades Micro'!$K428,"")</f>
        <v/>
      </c>
      <c r="F376" s="21" t="str">
        <f>IF(AND('Atividades Micro'!$A428=F$2,'Atividades Micro'!$L428&lt;&gt;""),'Atividades Micro'!$L428,"")</f>
        <v/>
      </c>
      <c r="G376" s="21" t="str">
        <f>IF(AND('Atividades Micro'!$A428=G$2,'Atividades Micro'!$K428&lt;&gt;""),'Atividades Micro'!$K428,"")</f>
        <v/>
      </c>
      <c r="H376" s="21" t="str">
        <f>IF(AND('Atividades Micro'!$A428=H$2,'Atividades Micro'!$L428&lt;&gt;""),'Atividades Micro'!$L428,"")</f>
        <v/>
      </c>
      <c r="I376" s="21" t="str">
        <f>IF(AND('Atividades Micro'!$A428=I$2,'Atividades Micro'!$K428&lt;&gt;""),'Atividades Micro'!$K428,"")</f>
        <v/>
      </c>
      <c r="J376" s="21" t="str">
        <f>IF(AND('Atividades Micro'!$A428=J$2,'Atividades Micro'!$L428&lt;&gt;""),'Atividades Micro'!$L428,"")</f>
        <v/>
      </c>
      <c r="K376" s="21" t="str">
        <f>IF(AND('Atividades Micro'!$B428=K$2,'Atividades Micro'!$K428&lt;&gt;""),'Atividades Micro'!$K428,"")</f>
        <v/>
      </c>
      <c r="L376" s="21" t="str">
        <f>IF(AND('Atividades Micro'!$B428=L$2,'Atividades Micro'!$L428&lt;&gt;""),'Atividades Micro'!$L428,"")</f>
        <v/>
      </c>
      <c r="M376" s="21" t="str">
        <f>IF(AND('Atividades Micro'!$B428=M$2,'Atividades Micro'!$K428&lt;&gt;""),'Atividades Micro'!$K428,"")</f>
        <v/>
      </c>
      <c r="N376" s="21" t="str">
        <f>IF(AND('Atividades Micro'!$B428=N$2,'Atividades Micro'!$L428&lt;&gt;""),'Atividades Micro'!$L428,"")</f>
        <v/>
      </c>
      <c r="O376" s="21" t="str">
        <f>IF(AND('Atividades Micro'!$A428=O$2,'Atividades Micro'!$K428&lt;&gt;""),'Atividades Micro'!$K428,"")</f>
        <v/>
      </c>
      <c r="P376" s="21" t="str">
        <f>IF(AND('Atividades Micro'!$A428=P$2,'Atividades Micro'!$L428&lt;&gt;""),'Atividades Micro'!$L428,"")</f>
        <v/>
      </c>
      <c r="Q376" s="21" t="str">
        <f>IF(AND('Atividades Micro'!$B428=Q$2,'Atividades Micro'!$K428&lt;&gt;""),'Atividades Micro'!$K428,"")</f>
        <v/>
      </c>
      <c r="R376" s="21" t="str">
        <f>IF(AND('Atividades Micro'!$B428=R$2,'Atividades Micro'!$L428&lt;&gt;""),'Atividades Micro'!$L428,"")</f>
        <v/>
      </c>
      <c r="S376" s="21" t="str">
        <f>IF(AND('Atividades Micro'!$A428=S$2,'Atividades Micro'!$K428&lt;&gt;""),'Atividades Micro'!$K428,"")</f>
        <v/>
      </c>
      <c r="T376" s="21" t="str">
        <f>IF(AND('Atividades Micro'!$A428=T$2,'Atividades Micro'!$L428&lt;&gt;""),'Atividades Micro'!$L428,"")</f>
        <v/>
      </c>
      <c r="U376" s="21" t="str">
        <f>IF(AND('Atividades Micro'!$B428=U$2,'Atividades Micro'!$K428&lt;&gt;""),'Atividades Micro'!$K428,"")</f>
        <v/>
      </c>
      <c r="V376" s="21" t="str">
        <f>IF(AND('Atividades Micro'!$B428=V$2,'Atividades Micro'!$L428&lt;&gt;""),'Atividades Micro'!$L428,"")</f>
        <v/>
      </c>
      <c r="W376" s="21" t="str">
        <f>IF(AND('Atividades Micro'!$B428=W$2,'Atividades Micro'!$K428&lt;&gt;""),'Atividades Micro'!$K428,"")</f>
        <v/>
      </c>
      <c r="X376" s="21" t="str">
        <f>IF(AND('Atividades Micro'!$B428=X$2,'Atividades Micro'!$L428&lt;&gt;""),'Atividades Micro'!$L428,"")</f>
        <v/>
      </c>
      <c r="Y376" s="21" t="str">
        <f>IF(AND('Atividades Micro'!$A428=Y$2,'Atividades Micro'!$K428&lt;&gt;""),'Atividades Micro'!$K428,"")</f>
        <v/>
      </c>
      <c r="Z376" s="21" t="str">
        <f>IF(AND('Atividades Micro'!$A428=Z$2,'Atividades Micro'!$L428&lt;&gt;""),'Atividades Micro'!$L428,"")</f>
        <v/>
      </c>
      <c r="AA376" s="21" t="str">
        <f>IF(AND('Atividades Micro'!$B428=AA$2,'Atividades Micro'!$K428&lt;&gt;""),'Atividades Micro'!$K428,"")</f>
        <v/>
      </c>
      <c r="AB376" s="21" t="str">
        <f>IF(AND('Atividades Micro'!$B428=AB$2,'Atividades Micro'!$L428&lt;&gt;""),'Atividades Micro'!$L428,"")</f>
        <v/>
      </c>
      <c r="AC376" s="21" t="str">
        <f>IF(AND('Atividades Micro'!$B428=AC$2,'Atividades Micro'!$K428&lt;&gt;""),'Atividades Micro'!$K428,"")</f>
        <v/>
      </c>
      <c r="AD376" s="21" t="str">
        <f>IF(AND('Atividades Micro'!$B428=AD$2,'Atividades Micro'!$L428&lt;&gt;""),'Atividades Micro'!$L428,"")</f>
        <v/>
      </c>
      <c r="AE376" s="21" t="str">
        <f>IF(AND('Atividades Micro'!$A428=AE$2,'Atividades Micro'!$K428&lt;&gt;""),'Atividades Micro'!$K428,"")</f>
        <v/>
      </c>
      <c r="AF376" s="21" t="str">
        <f>IF(AND('Atividades Micro'!$A428=AF$2,'Atividades Micro'!$L428&lt;&gt;""),'Atividades Micro'!$L428,"")</f>
        <v/>
      </c>
      <c r="AG376" s="21" t="str">
        <f>IF(AND('Atividades Micro'!$B428=AG$2,'Atividades Micro'!$K428&lt;&gt;""),'Atividades Micro'!$K428,"")</f>
        <v/>
      </c>
      <c r="AH376" s="21" t="str">
        <f>IF(AND('Atividades Micro'!$B428=AH$2,'Atividades Micro'!$L428&lt;&gt;""),'Atividades Micro'!$L428,"")</f>
        <v/>
      </c>
      <c r="AI376" s="21" t="str">
        <f>IF(AND('Atividades Micro'!$B428=AI$2,'Atividades Micro'!$K428&lt;&gt;""),'Atividades Micro'!$K428,"")</f>
        <v/>
      </c>
      <c r="AJ376" s="21" t="str">
        <f>IF(AND('Atividades Micro'!$B428=AJ$2,'Atividades Micro'!$L428&lt;&gt;""),'Atividades Micro'!$L428,"")</f>
        <v/>
      </c>
      <c r="AK376" s="21" t="str">
        <f>IF(AND('Atividades Micro'!$A428=AK$2,'Atividades Micro'!$K428&lt;&gt;""),'Atividades Micro'!$K428,"")</f>
        <v/>
      </c>
      <c r="AL376" s="21" t="str">
        <f>IF(AND('Atividades Micro'!$A428=AL$2,'Atividades Micro'!$L428&lt;&gt;""),'Atividades Micro'!$L428,"")</f>
        <v/>
      </c>
      <c r="AM376" s="21" t="str">
        <f>IF(AND('Atividades Micro'!$B428=AM$2,'Atividades Micro'!$K428&lt;&gt;""),'Atividades Micro'!$K428,"")</f>
        <v/>
      </c>
      <c r="AN376" s="21" t="str">
        <f>IF(AND('Atividades Micro'!$B428=AN$2,'Atividades Micro'!$L428&lt;&gt;""),'Atividades Micro'!$L428,"")</f>
        <v/>
      </c>
      <c r="AO376" s="21" t="str">
        <f>IF(AND('Atividades Micro'!$B428=AO$2,'Atividades Micro'!$K428&lt;&gt;""),'Atividades Micro'!$K428,"")</f>
        <v/>
      </c>
      <c r="AP376" s="21" t="str">
        <f>IF(AND('Atividades Micro'!$B428=AP$2,'Atividades Micro'!$L428&lt;&gt;""),'Atividades Micro'!$L428,"")</f>
        <v/>
      </c>
      <c r="AQ376" s="21" t="str">
        <f>IF(AND('Atividades Micro'!$A428=AQ$2,'Atividades Micro'!$K428&lt;&gt;""),'Atividades Micro'!$K428,"")</f>
        <v/>
      </c>
      <c r="AR376" s="21" t="str">
        <f>IF(AND('Atividades Micro'!$A428=AR$2,'Atividades Micro'!$L428&lt;&gt;""),'Atividades Micro'!$L428,"")</f>
        <v/>
      </c>
      <c r="AS376" s="21" t="str">
        <f>IF(AND('Atividades Micro'!$B428=AS$2,'Atividades Micro'!$K428&lt;&gt;""),'Atividades Micro'!$K428,"")</f>
        <v/>
      </c>
      <c r="AT376" s="21" t="str">
        <f>IF(AND('Atividades Micro'!$B428=AT$2,'Atividades Micro'!$L428&lt;&gt;""),'Atividades Micro'!$L428,"")</f>
        <v/>
      </c>
      <c r="AU376" s="21" t="str">
        <f>IF(AND('Atividades Micro'!$A428=AU$2,'Atividades Micro'!$K428&lt;&gt;""),'Atividades Micro'!$K428,"")</f>
        <v/>
      </c>
      <c r="AV376" s="21" t="str">
        <f>IF(AND('Atividades Micro'!$A428=AV$2,'Atividades Micro'!$L428&lt;&gt;""),'Atividades Micro'!$L428,"")</f>
        <v/>
      </c>
      <c r="AW376" s="21" t="str">
        <f>IF(AND('Atividades Micro'!$B428=AW$2,'Atividades Micro'!$K428&lt;&gt;""),'Atividades Micro'!$K428,"")</f>
        <v/>
      </c>
      <c r="AX376" s="21" t="str">
        <f>IF(AND('Atividades Micro'!$B428=AX$2,'Atividades Micro'!$L428&lt;&gt;""),'Atividades Micro'!$L428,"")</f>
        <v/>
      </c>
      <c r="AY376" s="21" t="str">
        <f>IF(AND('Atividades Micro'!$A428=AY$2,'Atividades Micro'!$K428&lt;&gt;""),'Atividades Micro'!$K428,"")</f>
        <v/>
      </c>
      <c r="AZ376" s="21" t="str">
        <f>IF(AND('Atividades Micro'!$A428=AZ$2,'Atividades Micro'!$L428&lt;&gt;""),'Atividades Micro'!$L428,"")</f>
        <v/>
      </c>
      <c r="BA376" s="21" t="str">
        <f>IF(AND('Atividades Micro'!$B428=BA$2,'Atividades Micro'!$K428&lt;&gt;""),'Atividades Micro'!$K428,"")</f>
        <v/>
      </c>
      <c r="BB376" s="21" t="str">
        <f>IF(AND('Atividades Micro'!$B428=BB$2,'Atividades Micro'!$L428&lt;&gt;""),'Atividades Micro'!$L428,"")</f>
        <v/>
      </c>
      <c r="BC376" s="21" t="str">
        <f>IF(AND('Atividades Micro'!$B428=BC$2,'Atividades Micro'!$G428="Macro",'Atividades Micro'!$K428&lt;&gt;""),'Atividades Micro'!$K428,"")</f>
        <v/>
      </c>
      <c r="BD376" s="21" t="str">
        <f>IF(AND('Atividades Micro'!$B428=BD$2,'Atividades Micro'!$G428="Macro",'Atividades Micro'!$K428&lt;&gt;""),'Atividades Micro'!$K428,"")</f>
        <v/>
      </c>
      <c r="BE376" s="21" t="str">
        <f>IF(AND('Atividades Micro'!$B428=BE$2,'Atividades Micro'!$G428="Macro",'Atividades Micro'!$K428&lt;&gt;""),'Atividades Micro'!$K428,"")</f>
        <v/>
      </c>
      <c r="BF376" s="21" t="str">
        <f>IF(AND('Atividades Micro'!$B428=BF$2,'Atividades Micro'!$G428="Macro",'Atividades Micro'!$K428&lt;&gt;""),'Atividades Micro'!$K428,"")</f>
        <v/>
      </c>
      <c r="BG376" s="21" t="str">
        <f>IF(AND('Atividades Micro'!$B428=BG$2,'Atividades Micro'!$G428="Macro",'Atividades Micro'!$K428&lt;&gt;""),'Atividades Micro'!$K428,"")</f>
        <v/>
      </c>
      <c r="BH376" s="21" t="str">
        <f>IF(AND('Atividades Micro'!$B428=BH$2,'Atividades Micro'!$G428="Macro",'Atividades Micro'!$K428&lt;&gt;""),'Atividades Micro'!$K428,"")</f>
        <v/>
      </c>
      <c r="BI376" s="21" t="str">
        <f>IF(AND('Atividades Micro'!$B428=BI$2,'Atividades Micro'!$G428="Macro",'Atividades Micro'!$K428&lt;&gt;""),'Atividades Micro'!$K428,"")</f>
        <v/>
      </c>
      <c r="BJ376" s="21" t="str">
        <f>IF(AND('Atividades Micro'!$B428=BJ$2,'Atividades Micro'!$G428="Macro",'Atividades Micro'!$K428&lt;&gt;""),'Atividades Micro'!$K428,"")</f>
        <v/>
      </c>
      <c r="BK376" s="21" t="str">
        <f>IF(AND('Atividades Micro'!$B428=BK$2,'Atividades Micro'!$G428="Macro",'Atividades Micro'!$K428&lt;&gt;""),'Atividades Micro'!$K428,"")</f>
        <v/>
      </c>
      <c r="BL376" s="21" t="str">
        <f>IF(AND('Atividades Micro'!$B428=BL$2,'Atividades Micro'!$G428="Macro",'Atividades Micro'!$K428&lt;&gt;""),'Atividades Micro'!$K428,"")</f>
        <v/>
      </c>
      <c r="BM376" s="21" t="str">
        <f>IF(AND('Atividades Micro'!$B428=BM$2,'Atividades Micro'!$G428="Macro",'Atividades Micro'!$K428&lt;&gt;""),'Atividades Micro'!$K428,"")</f>
        <v/>
      </c>
      <c r="BN376" s="21" t="str">
        <f>IF(AND('Atividades Micro'!$B428=BN$2,'Atividades Micro'!$G428="Macro",'Atividades Micro'!$K428&lt;&gt;""),'Atividades Micro'!$K428,"")</f>
        <v/>
      </c>
      <c r="BO376" s="21" t="str">
        <f>IF(AND('Atividades Micro'!$B428=BO$2,'Atividades Micro'!$G428="Macro",'Atividades Micro'!$K428&lt;&gt;""),'Atividades Micro'!$K428,"")</f>
        <v/>
      </c>
      <c r="BP376" s="21" t="str">
        <f>IF(AND('Atividades Micro'!$B428=BP$2,'Atividades Micro'!$G428="Macro",'Atividades Micro'!$K428&lt;&gt;""),'Atividades Micro'!$K428,"")</f>
        <v/>
      </c>
      <c r="BQ376" s="21" t="str">
        <f>IF(AND('Atividades Micro'!$B428=BQ$2,'Atividades Micro'!$G428="Macro",'Atividades Micro'!$K428&lt;&gt;""),'Atividades Micro'!$K428,"")</f>
        <v/>
      </c>
      <c r="BR376" s="21" t="str">
        <f>IF(AND('Atividades Micro'!$B428=BR$2,'Atividades Micro'!$G428="Macro",'Atividades Micro'!$K428&lt;&gt;""),'Atividades Micro'!$K428,"")</f>
        <v/>
      </c>
      <c r="BS376" s="21" t="str">
        <f>IF(AND('Atividades Micro'!$B428=BS$2,'Atividades Micro'!$G428="Macro",'Atividades Micro'!$K428&lt;&gt;""),'Atividades Micro'!$K428,"")</f>
        <v/>
      </c>
      <c r="BT376" s="21" t="str">
        <f>IF(AND('Atividades Micro'!$B428=BT$2,'Atividades Micro'!$G428="Macro",'Atividades Micro'!$K428&lt;&gt;""),'Atividades Micro'!$K428,"")</f>
        <v/>
      </c>
      <c r="BU376" s="21" t="str">
        <f>IF(AND('Atividades Micro'!$B428=BU$2,'Atividades Micro'!$G428="Macro",'Atividades Micro'!$K428&lt;&gt;""),'Atividades Micro'!$K428,"")</f>
        <v/>
      </c>
      <c r="BV376" s="21" t="str">
        <f>IF(AND('Atividades Micro'!$B428=BV$2,'Atividades Micro'!$G428="Macro",'Atividades Micro'!$K428&lt;&gt;""),'Atividades Micro'!$K428,"")</f>
        <v/>
      </c>
      <c r="BW376" s="21" t="str">
        <f>IF(AND('Atividades Micro'!$B428=BW$2,'Atividades Micro'!$G428="Macro",'Atividades Micro'!$K428&lt;&gt;""),'Atividades Micro'!$K428,"")</f>
        <v/>
      </c>
      <c r="BX376" s="21" t="str">
        <f>IF(AND('Atividades Micro'!$B428=BX$2,'Atividades Micro'!$G428="Macro",'Atividades Micro'!$K428&lt;&gt;""),'Atividades Micro'!$K428,"")</f>
        <v/>
      </c>
      <c r="BY376" s="21" t="str">
        <f>IF(AND('Atividades Micro'!$B428=BY$2,'Atividades Micro'!$G428="Macro",'Atividades Micro'!$K428&lt;&gt;""),'Atividades Micro'!$K428,"")</f>
        <v/>
      </c>
      <c r="BZ376" s="21" t="str">
        <f>IF(AND('Atividades Micro'!$B428=BZ$2,'Atividades Micro'!$G428="Macro",'Atividades Micro'!$K428&lt;&gt;""),'Atividades Micro'!$K428,"")</f>
        <v/>
      </c>
      <c r="CA376" s="21" t="str">
        <f>IF(AND('Atividades Micro'!$B428=CA$2,'Atividades Micro'!$G428="Macro",'Atividades Micro'!$K428&lt;&gt;""),'Atividades Micro'!$K428,"")</f>
        <v/>
      </c>
      <c r="CB376" s="21" t="str">
        <f>IF(AND('Atividades Micro'!$B428=CB$2,'Atividades Micro'!$G428="Macro",'Atividades Micro'!$K428&lt;&gt;""),'Atividades Micro'!$K428,"")</f>
        <v/>
      </c>
      <c r="CC376" s="21" t="str">
        <f>IF(AND('Atividades Micro'!$B428=CC$2,'Atividades Micro'!$G428="Macro",'Atividades Micro'!$K428&lt;&gt;""),'Atividades Micro'!$K428,"")</f>
        <v/>
      </c>
      <c r="CD376" s="21" t="str">
        <f>IF(AND('Atividades Micro'!$B428=CD$2,'Atividades Micro'!$G428="Micro",'Atividades Micro'!$K428&lt;&gt;""),'Atividades Micro'!$K428,"")</f>
        <v/>
      </c>
      <c r="CE376" s="21" t="str">
        <f>IF(AND('Atividades Micro'!$B428=CE$2,'Atividades Micro'!$G428="Micro",'Atividades Micro'!$K428&lt;&gt;""),'Atividades Micro'!$K428,"")</f>
        <v/>
      </c>
      <c r="CF376" s="21" t="str">
        <f>IF(AND('Atividades Micro'!$B428=CF$2,'Atividades Micro'!$G428="Micro",'Atividades Micro'!$K428&lt;&gt;""),'Atividades Micro'!$K428,"")</f>
        <v/>
      </c>
      <c r="CG376" s="21" t="str">
        <f>IF(AND('Atividades Micro'!$B428=CG$2,'Atividades Micro'!$G428="Micro",'Atividades Micro'!$K428&lt;&gt;""),'Atividades Micro'!$K428,"")</f>
        <v/>
      </c>
      <c r="CH376" s="21" t="str">
        <f>IF(AND('Atividades Micro'!$B428=CH$2,'Atividades Micro'!$G428="Micro",'Atividades Micro'!$K428&lt;&gt;""),'Atividades Micro'!$K428,"")</f>
        <v/>
      </c>
      <c r="CI376" s="21" t="str">
        <f>IF(AND('Atividades Micro'!$B428=CI$2,'Atividades Micro'!$G428="Micro",'Atividades Micro'!$K428&lt;&gt;""),'Atividades Micro'!$K428,"")</f>
        <v/>
      </c>
      <c r="CJ376" s="21" t="str">
        <f>IF(AND('Atividades Micro'!$B428=CJ$2,'Atividades Micro'!$G428="Micro",'Atividades Micro'!$K428&lt;&gt;""),'Atividades Micro'!$K428,"")</f>
        <v/>
      </c>
      <c r="CK376" s="21" t="str">
        <f>IF(AND('Atividades Micro'!$B428=CK$2,'Atividades Micro'!$G428="Micro",'Atividades Micro'!$K428&lt;&gt;""),'Atividades Micro'!$K428,"")</f>
        <v/>
      </c>
      <c r="CL376" s="21" t="str">
        <f>IF(AND('Atividades Micro'!$B428=CL$2,'Atividades Micro'!$G428="Micro",'Atividades Micro'!$K428&lt;&gt;""),'Atividades Micro'!$K428,"")</f>
        <v/>
      </c>
      <c r="CM376" s="21" t="str">
        <f>IF(AND('Atividades Micro'!$B428=CM$2,'Atividades Micro'!$G428="Micro",'Atividades Micro'!$K428&lt;&gt;""),'Atividades Micro'!$K428,"")</f>
        <v/>
      </c>
      <c r="CN376" s="21" t="str">
        <f>IF(AND('Atividades Micro'!$B428=CN$2,'Atividades Micro'!$G428="Micro",'Atividades Micro'!$K428&lt;&gt;""),'Atividades Micro'!$K428,"")</f>
        <v/>
      </c>
      <c r="CO376" s="21" t="str">
        <f>IF(AND('Atividades Micro'!$B428=CO$2,'Atividades Micro'!$G428="Micro",'Atividades Micro'!$K428&lt;&gt;""),'Atividades Micro'!$K428,"")</f>
        <v/>
      </c>
    </row>
    <row r="377" spans="1:93">
      <c r="A377" s="21" t="str">
        <f>IF(AND('Atividades Micro'!$A429=A$2,'Atividades Micro'!$K429&lt;&gt;""),'Atividades Micro'!$K429,"")</f>
        <v/>
      </c>
      <c r="B377" s="21" t="str">
        <f>IF(AND('Atividades Micro'!$A429=B$2,'Atividades Micro'!$L429&lt;&gt;""),'Atividades Micro'!$L429,"")</f>
        <v/>
      </c>
      <c r="C377" s="21" t="str">
        <f>IF(AND('Atividades Micro'!$A429=C$2,'Atividades Micro'!$K429&lt;&gt;""),'Atividades Micro'!$K429,"")</f>
        <v/>
      </c>
      <c r="D377" s="21" t="str">
        <f>IF(AND('Atividades Micro'!$A429=D$2,'Atividades Micro'!$L429&lt;&gt;""),'Atividades Micro'!$L429,"")</f>
        <v/>
      </c>
      <c r="E377" s="21" t="str">
        <f>IF(AND('Atividades Micro'!$A429=E$2,'Atividades Micro'!$K429&lt;&gt;""),'Atividades Micro'!$K429,"")</f>
        <v/>
      </c>
      <c r="F377" s="21" t="str">
        <f>IF(AND('Atividades Micro'!$A429=F$2,'Atividades Micro'!$L429&lt;&gt;""),'Atividades Micro'!$L429,"")</f>
        <v/>
      </c>
      <c r="G377" s="21" t="str">
        <f>IF(AND('Atividades Micro'!$A429=G$2,'Atividades Micro'!$K429&lt;&gt;""),'Atividades Micro'!$K429,"")</f>
        <v/>
      </c>
      <c r="H377" s="21" t="str">
        <f>IF(AND('Atividades Micro'!$A429=H$2,'Atividades Micro'!$L429&lt;&gt;""),'Atividades Micro'!$L429,"")</f>
        <v/>
      </c>
      <c r="I377" s="21" t="str">
        <f>IF(AND('Atividades Micro'!$A429=I$2,'Atividades Micro'!$K429&lt;&gt;""),'Atividades Micro'!$K429,"")</f>
        <v/>
      </c>
      <c r="J377" s="21" t="str">
        <f>IF(AND('Atividades Micro'!$A429=J$2,'Atividades Micro'!$L429&lt;&gt;""),'Atividades Micro'!$L429,"")</f>
        <v/>
      </c>
      <c r="K377" s="21" t="str">
        <f>IF(AND('Atividades Micro'!$B429=K$2,'Atividades Micro'!$K429&lt;&gt;""),'Atividades Micro'!$K429,"")</f>
        <v/>
      </c>
      <c r="L377" s="21" t="str">
        <f>IF(AND('Atividades Micro'!$B429=L$2,'Atividades Micro'!$L429&lt;&gt;""),'Atividades Micro'!$L429,"")</f>
        <v/>
      </c>
      <c r="M377" s="21" t="str">
        <f>IF(AND('Atividades Micro'!$B429=M$2,'Atividades Micro'!$K429&lt;&gt;""),'Atividades Micro'!$K429,"")</f>
        <v/>
      </c>
      <c r="N377" s="21" t="str">
        <f>IF(AND('Atividades Micro'!$B429=N$2,'Atividades Micro'!$L429&lt;&gt;""),'Atividades Micro'!$L429,"")</f>
        <v/>
      </c>
      <c r="O377" s="21" t="str">
        <f>IF(AND('Atividades Micro'!$A429=O$2,'Atividades Micro'!$K429&lt;&gt;""),'Atividades Micro'!$K429,"")</f>
        <v/>
      </c>
      <c r="P377" s="21" t="str">
        <f>IF(AND('Atividades Micro'!$A429=P$2,'Atividades Micro'!$L429&lt;&gt;""),'Atividades Micro'!$L429,"")</f>
        <v/>
      </c>
      <c r="Q377" s="21" t="str">
        <f>IF(AND('Atividades Micro'!$B429=Q$2,'Atividades Micro'!$K429&lt;&gt;""),'Atividades Micro'!$K429,"")</f>
        <v/>
      </c>
      <c r="R377" s="21" t="str">
        <f>IF(AND('Atividades Micro'!$B429=R$2,'Atividades Micro'!$L429&lt;&gt;""),'Atividades Micro'!$L429,"")</f>
        <v/>
      </c>
      <c r="S377" s="21" t="str">
        <f>IF(AND('Atividades Micro'!$A429=S$2,'Atividades Micro'!$K429&lt;&gt;""),'Atividades Micro'!$K429,"")</f>
        <v/>
      </c>
      <c r="T377" s="21" t="str">
        <f>IF(AND('Atividades Micro'!$A429=T$2,'Atividades Micro'!$L429&lt;&gt;""),'Atividades Micro'!$L429,"")</f>
        <v/>
      </c>
      <c r="U377" s="21" t="str">
        <f>IF(AND('Atividades Micro'!$B429=U$2,'Atividades Micro'!$K429&lt;&gt;""),'Atividades Micro'!$K429,"")</f>
        <v/>
      </c>
      <c r="V377" s="21" t="str">
        <f>IF(AND('Atividades Micro'!$B429=V$2,'Atividades Micro'!$L429&lt;&gt;""),'Atividades Micro'!$L429,"")</f>
        <v/>
      </c>
      <c r="W377" s="21" t="str">
        <f>IF(AND('Atividades Micro'!$B429=W$2,'Atividades Micro'!$K429&lt;&gt;""),'Atividades Micro'!$K429,"")</f>
        <v/>
      </c>
      <c r="X377" s="21" t="str">
        <f>IF(AND('Atividades Micro'!$B429=X$2,'Atividades Micro'!$L429&lt;&gt;""),'Atividades Micro'!$L429,"")</f>
        <v/>
      </c>
      <c r="Y377" s="21" t="str">
        <f>IF(AND('Atividades Micro'!$A429=Y$2,'Atividades Micro'!$K429&lt;&gt;""),'Atividades Micro'!$K429,"")</f>
        <v/>
      </c>
      <c r="Z377" s="21" t="str">
        <f>IF(AND('Atividades Micro'!$A429=Z$2,'Atividades Micro'!$L429&lt;&gt;""),'Atividades Micro'!$L429,"")</f>
        <v/>
      </c>
      <c r="AA377" s="21" t="str">
        <f>IF(AND('Atividades Micro'!$B429=AA$2,'Atividades Micro'!$K429&lt;&gt;""),'Atividades Micro'!$K429,"")</f>
        <v/>
      </c>
      <c r="AB377" s="21" t="str">
        <f>IF(AND('Atividades Micro'!$B429=AB$2,'Atividades Micro'!$L429&lt;&gt;""),'Atividades Micro'!$L429,"")</f>
        <v/>
      </c>
      <c r="AC377" s="21" t="str">
        <f>IF(AND('Atividades Micro'!$B429=AC$2,'Atividades Micro'!$K429&lt;&gt;""),'Atividades Micro'!$K429,"")</f>
        <v/>
      </c>
      <c r="AD377" s="21" t="str">
        <f>IF(AND('Atividades Micro'!$B429=AD$2,'Atividades Micro'!$L429&lt;&gt;""),'Atividades Micro'!$L429,"")</f>
        <v/>
      </c>
      <c r="AE377" s="21" t="str">
        <f>IF(AND('Atividades Micro'!$A429=AE$2,'Atividades Micro'!$K429&lt;&gt;""),'Atividades Micro'!$K429,"")</f>
        <v/>
      </c>
      <c r="AF377" s="21" t="str">
        <f>IF(AND('Atividades Micro'!$A429=AF$2,'Atividades Micro'!$L429&lt;&gt;""),'Atividades Micro'!$L429,"")</f>
        <v/>
      </c>
      <c r="AG377" s="21" t="str">
        <f>IF(AND('Atividades Micro'!$B429=AG$2,'Atividades Micro'!$K429&lt;&gt;""),'Atividades Micro'!$K429,"")</f>
        <v/>
      </c>
      <c r="AH377" s="21" t="str">
        <f>IF(AND('Atividades Micro'!$B429=AH$2,'Atividades Micro'!$L429&lt;&gt;""),'Atividades Micro'!$L429,"")</f>
        <v/>
      </c>
      <c r="AI377" s="21" t="str">
        <f>IF(AND('Atividades Micro'!$B429=AI$2,'Atividades Micro'!$K429&lt;&gt;""),'Atividades Micro'!$K429,"")</f>
        <v/>
      </c>
      <c r="AJ377" s="21" t="str">
        <f>IF(AND('Atividades Micro'!$B429=AJ$2,'Atividades Micro'!$L429&lt;&gt;""),'Atividades Micro'!$L429,"")</f>
        <v/>
      </c>
      <c r="AK377" s="21" t="str">
        <f>IF(AND('Atividades Micro'!$A429=AK$2,'Atividades Micro'!$K429&lt;&gt;""),'Atividades Micro'!$K429,"")</f>
        <v/>
      </c>
      <c r="AL377" s="21" t="str">
        <f>IF(AND('Atividades Micro'!$A429=AL$2,'Atividades Micro'!$L429&lt;&gt;""),'Atividades Micro'!$L429,"")</f>
        <v/>
      </c>
      <c r="AM377" s="21" t="str">
        <f>IF(AND('Atividades Micro'!$B429=AM$2,'Atividades Micro'!$K429&lt;&gt;""),'Atividades Micro'!$K429,"")</f>
        <v/>
      </c>
      <c r="AN377" s="21" t="str">
        <f>IF(AND('Atividades Micro'!$B429=AN$2,'Atividades Micro'!$L429&lt;&gt;""),'Atividades Micro'!$L429,"")</f>
        <v/>
      </c>
      <c r="AO377" s="21" t="str">
        <f>IF(AND('Atividades Micro'!$B429=AO$2,'Atividades Micro'!$K429&lt;&gt;""),'Atividades Micro'!$K429,"")</f>
        <v/>
      </c>
      <c r="AP377" s="21" t="str">
        <f>IF(AND('Atividades Micro'!$B429=AP$2,'Atividades Micro'!$L429&lt;&gt;""),'Atividades Micro'!$L429,"")</f>
        <v/>
      </c>
      <c r="AQ377" s="21" t="str">
        <f>IF(AND('Atividades Micro'!$A429=AQ$2,'Atividades Micro'!$K429&lt;&gt;""),'Atividades Micro'!$K429,"")</f>
        <v/>
      </c>
      <c r="AR377" s="21" t="str">
        <f>IF(AND('Atividades Micro'!$A429=AR$2,'Atividades Micro'!$L429&lt;&gt;""),'Atividades Micro'!$L429,"")</f>
        <v/>
      </c>
      <c r="AS377" s="21" t="str">
        <f>IF(AND('Atividades Micro'!$B429=AS$2,'Atividades Micro'!$K429&lt;&gt;""),'Atividades Micro'!$K429,"")</f>
        <v/>
      </c>
      <c r="AT377" s="21" t="str">
        <f>IF(AND('Atividades Micro'!$B429=AT$2,'Atividades Micro'!$L429&lt;&gt;""),'Atividades Micro'!$L429,"")</f>
        <v/>
      </c>
      <c r="AU377" s="21" t="str">
        <f>IF(AND('Atividades Micro'!$A429=AU$2,'Atividades Micro'!$K429&lt;&gt;""),'Atividades Micro'!$K429,"")</f>
        <v/>
      </c>
      <c r="AV377" s="21" t="str">
        <f>IF(AND('Atividades Micro'!$A429=AV$2,'Atividades Micro'!$L429&lt;&gt;""),'Atividades Micro'!$L429,"")</f>
        <v/>
      </c>
      <c r="AW377" s="21" t="str">
        <f>IF(AND('Atividades Micro'!$B429=AW$2,'Atividades Micro'!$K429&lt;&gt;""),'Atividades Micro'!$K429,"")</f>
        <v/>
      </c>
      <c r="AX377" s="21" t="str">
        <f>IF(AND('Atividades Micro'!$B429=AX$2,'Atividades Micro'!$L429&lt;&gt;""),'Atividades Micro'!$L429,"")</f>
        <v/>
      </c>
      <c r="AY377" s="21" t="str">
        <f>IF(AND('Atividades Micro'!$A429=AY$2,'Atividades Micro'!$K429&lt;&gt;""),'Atividades Micro'!$K429,"")</f>
        <v/>
      </c>
      <c r="AZ377" s="21" t="str">
        <f>IF(AND('Atividades Micro'!$A429=AZ$2,'Atividades Micro'!$L429&lt;&gt;""),'Atividades Micro'!$L429,"")</f>
        <v/>
      </c>
      <c r="BA377" s="21" t="str">
        <f>IF(AND('Atividades Micro'!$B429=BA$2,'Atividades Micro'!$K429&lt;&gt;""),'Atividades Micro'!$K429,"")</f>
        <v/>
      </c>
      <c r="BB377" s="21" t="str">
        <f>IF(AND('Atividades Micro'!$B429=BB$2,'Atividades Micro'!$L429&lt;&gt;""),'Atividades Micro'!$L429,"")</f>
        <v/>
      </c>
      <c r="BC377" s="21" t="str">
        <f>IF(AND('Atividades Micro'!$B429=BC$2,'Atividades Micro'!$G429="Macro",'Atividades Micro'!$K429&lt;&gt;""),'Atividades Micro'!$K429,"")</f>
        <v/>
      </c>
      <c r="BD377" s="21" t="str">
        <f>IF(AND('Atividades Micro'!$B429=BD$2,'Atividades Micro'!$G429="Macro",'Atividades Micro'!$K429&lt;&gt;""),'Atividades Micro'!$K429,"")</f>
        <v/>
      </c>
      <c r="BE377" s="21" t="str">
        <f>IF(AND('Atividades Micro'!$B429=BE$2,'Atividades Micro'!$G429="Macro",'Atividades Micro'!$K429&lt;&gt;""),'Atividades Micro'!$K429,"")</f>
        <v/>
      </c>
      <c r="BF377" s="21" t="str">
        <f>IF(AND('Atividades Micro'!$B429=BF$2,'Atividades Micro'!$G429="Macro",'Atividades Micro'!$K429&lt;&gt;""),'Atividades Micro'!$K429,"")</f>
        <v/>
      </c>
      <c r="BG377" s="21" t="str">
        <f>IF(AND('Atividades Micro'!$B429=BG$2,'Atividades Micro'!$G429="Macro",'Atividades Micro'!$K429&lt;&gt;""),'Atividades Micro'!$K429,"")</f>
        <v/>
      </c>
      <c r="BH377" s="21" t="str">
        <f>IF(AND('Atividades Micro'!$B429=BH$2,'Atividades Micro'!$G429="Macro",'Atividades Micro'!$K429&lt;&gt;""),'Atividades Micro'!$K429,"")</f>
        <v/>
      </c>
      <c r="BI377" s="21" t="str">
        <f>IF(AND('Atividades Micro'!$B429=BI$2,'Atividades Micro'!$G429="Macro",'Atividades Micro'!$K429&lt;&gt;""),'Atividades Micro'!$K429,"")</f>
        <v/>
      </c>
      <c r="BJ377" s="21" t="str">
        <f>IF(AND('Atividades Micro'!$B429=BJ$2,'Atividades Micro'!$G429="Macro",'Atividades Micro'!$K429&lt;&gt;""),'Atividades Micro'!$K429,"")</f>
        <v/>
      </c>
      <c r="BK377" s="21" t="str">
        <f>IF(AND('Atividades Micro'!$B429=BK$2,'Atividades Micro'!$G429="Macro",'Atividades Micro'!$K429&lt;&gt;""),'Atividades Micro'!$K429,"")</f>
        <v/>
      </c>
      <c r="BL377" s="21" t="str">
        <f>IF(AND('Atividades Micro'!$B429=BL$2,'Atividades Micro'!$G429="Macro",'Atividades Micro'!$K429&lt;&gt;""),'Atividades Micro'!$K429,"")</f>
        <v/>
      </c>
      <c r="BM377" s="21" t="str">
        <f>IF(AND('Atividades Micro'!$B429=BM$2,'Atividades Micro'!$G429="Macro",'Atividades Micro'!$K429&lt;&gt;""),'Atividades Micro'!$K429,"")</f>
        <v/>
      </c>
      <c r="BN377" s="21" t="str">
        <f>IF(AND('Atividades Micro'!$B429=BN$2,'Atividades Micro'!$G429="Macro",'Atividades Micro'!$K429&lt;&gt;""),'Atividades Micro'!$K429,"")</f>
        <v/>
      </c>
      <c r="BO377" s="21" t="str">
        <f>IF(AND('Atividades Micro'!$B429=BO$2,'Atividades Micro'!$G429="Macro",'Atividades Micro'!$K429&lt;&gt;""),'Atividades Micro'!$K429,"")</f>
        <v/>
      </c>
      <c r="BP377" s="21" t="str">
        <f>IF(AND('Atividades Micro'!$B429=BP$2,'Atividades Micro'!$G429="Macro",'Atividades Micro'!$K429&lt;&gt;""),'Atividades Micro'!$K429,"")</f>
        <v/>
      </c>
      <c r="BQ377" s="21" t="str">
        <f>IF(AND('Atividades Micro'!$B429=BQ$2,'Atividades Micro'!$G429="Macro",'Atividades Micro'!$K429&lt;&gt;""),'Atividades Micro'!$K429,"")</f>
        <v/>
      </c>
      <c r="BR377" s="21" t="str">
        <f>IF(AND('Atividades Micro'!$B429=BR$2,'Atividades Micro'!$G429="Macro",'Atividades Micro'!$K429&lt;&gt;""),'Atividades Micro'!$K429,"")</f>
        <v/>
      </c>
      <c r="BS377" s="21" t="str">
        <f>IF(AND('Atividades Micro'!$B429=BS$2,'Atividades Micro'!$G429="Macro",'Atividades Micro'!$K429&lt;&gt;""),'Atividades Micro'!$K429,"")</f>
        <v/>
      </c>
      <c r="BT377" s="21" t="str">
        <f>IF(AND('Atividades Micro'!$B429=BT$2,'Atividades Micro'!$G429="Macro",'Atividades Micro'!$K429&lt;&gt;""),'Atividades Micro'!$K429,"")</f>
        <v/>
      </c>
      <c r="BU377" s="21" t="str">
        <f>IF(AND('Atividades Micro'!$B429=BU$2,'Atividades Micro'!$G429="Macro",'Atividades Micro'!$K429&lt;&gt;""),'Atividades Micro'!$K429,"")</f>
        <v/>
      </c>
      <c r="BV377" s="21" t="str">
        <f>IF(AND('Atividades Micro'!$B429=BV$2,'Atividades Micro'!$G429="Macro",'Atividades Micro'!$K429&lt;&gt;""),'Atividades Micro'!$K429,"")</f>
        <v/>
      </c>
      <c r="BW377" s="21" t="str">
        <f>IF(AND('Atividades Micro'!$B429=BW$2,'Atividades Micro'!$G429="Macro",'Atividades Micro'!$K429&lt;&gt;""),'Atividades Micro'!$K429,"")</f>
        <v/>
      </c>
      <c r="BX377" s="21" t="str">
        <f>IF(AND('Atividades Micro'!$B429=BX$2,'Atividades Micro'!$G429="Macro",'Atividades Micro'!$K429&lt;&gt;""),'Atividades Micro'!$K429,"")</f>
        <v/>
      </c>
      <c r="BY377" s="21" t="str">
        <f>IF(AND('Atividades Micro'!$B429=BY$2,'Atividades Micro'!$G429="Macro",'Atividades Micro'!$K429&lt;&gt;""),'Atividades Micro'!$K429,"")</f>
        <v/>
      </c>
      <c r="BZ377" s="21" t="str">
        <f>IF(AND('Atividades Micro'!$B429=BZ$2,'Atividades Micro'!$G429="Macro",'Atividades Micro'!$K429&lt;&gt;""),'Atividades Micro'!$K429,"")</f>
        <v/>
      </c>
      <c r="CA377" s="21" t="str">
        <f>IF(AND('Atividades Micro'!$B429=CA$2,'Atividades Micro'!$G429="Macro",'Atividades Micro'!$K429&lt;&gt;""),'Atividades Micro'!$K429,"")</f>
        <v/>
      </c>
      <c r="CB377" s="21" t="str">
        <f>IF(AND('Atividades Micro'!$B429=CB$2,'Atividades Micro'!$G429="Macro",'Atividades Micro'!$K429&lt;&gt;""),'Atividades Micro'!$K429,"")</f>
        <v/>
      </c>
      <c r="CC377" s="21" t="str">
        <f>IF(AND('Atividades Micro'!$B429=CC$2,'Atividades Micro'!$G429="Macro",'Atividades Micro'!$K429&lt;&gt;""),'Atividades Micro'!$K429,"")</f>
        <v/>
      </c>
      <c r="CD377" s="21" t="str">
        <f>IF(AND('Atividades Micro'!$B429=CD$2,'Atividades Micro'!$G429="Micro",'Atividades Micro'!$K429&lt;&gt;""),'Atividades Micro'!$K429,"")</f>
        <v/>
      </c>
      <c r="CE377" s="21" t="str">
        <f>IF(AND('Atividades Micro'!$B429=CE$2,'Atividades Micro'!$G429="Micro",'Atividades Micro'!$K429&lt;&gt;""),'Atividades Micro'!$K429,"")</f>
        <v/>
      </c>
      <c r="CF377" s="21" t="str">
        <f>IF(AND('Atividades Micro'!$B429=CF$2,'Atividades Micro'!$G429="Micro",'Atividades Micro'!$K429&lt;&gt;""),'Atividades Micro'!$K429,"")</f>
        <v/>
      </c>
      <c r="CG377" s="21" t="str">
        <f>IF(AND('Atividades Micro'!$B429=CG$2,'Atividades Micro'!$G429="Micro",'Atividades Micro'!$K429&lt;&gt;""),'Atividades Micro'!$K429,"")</f>
        <v/>
      </c>
      <c r="CH377" s="21" t="str">
        <f>IF(AND('Atividades Micro'!$B429=CH$2,'Atividades Micro'!$G429="Micro",'Atividades Micro'!$K429&lt;&gt;""),'Atividades Micro'!$K429,"")</f>
        <v/>
      </c>
      <c r="CI377" s="21" t="str">
        <f>IF(AND('Atividades Micro'!$B429=CI$2,'Atividades Micro'!$G429="Micro",'Atividades Micro'!$K429&lt;&gt;""),'Atividades Micro'!$K429,"")</f>
        <v/>
      </c>
      <c r="CJ377" s="21" t="str">
        <f>IF(AND('Atividades Micro'!$B429=CJ$2,'Atividades Micro'!$G429="Micro",'Atividades Micro'!$K429&lt;&gt;""),'Atividades Micro'!$K429,"")</f>
        <v/>
      </c>
      <c r="CK377" s="21" t="str">
        <f>IF(AND('Atividades Micro'!$B429=CK$2,'Atividades Micro'!$G429="Micro",'Atividades Micro'!$K429&lt;&gt;""),'Atividades Micro'!$K429,"")</f>
        <v/>
      </c>
      <c r="CL377" s="21" t="str">
        <f>IF(AND('Atividades Micro'!$B429=CL$2,'Atividades Micro'!$G429="Micro",'Atividades Micro'!$K429&lt;&gt;""),'Atividades Micro'!$K429,"")</f>
        <v/>
      </c>
      <c r="CM377" s="21" t="str">
        <f>IF(AND('Atividades Micro'!$B429=CM$2,'Atividades Micro'!$G429="Micro",'Atividades Micro'!$K429&lt;&gt;""),'Atividades Micro'!$K429,"")</f>
        <v/>
      </c>
      <c r="CN377" s="21" t="str">
        <f>IF(AND('Atividades Micro'!$B429=CN$2,'Atividades Micro'!$G429="Micro",'Atividades Micro'!$K429&lt;&gt;""),'Atividades Micro'!$K429,"")</f>
        <v/>
      </c>
      <c r="CO377" s="21" t="str">
        <f>IF(AND('Atividades Micro'!$B429=CO$2,'Atividades Micro'!$G429="Micro",'Atividades Micro'!$K429&lt;&gt;""),'Atividades Micro'!$K429,"")</f>
        <v/>
      </c>
    </row>
    <row r="378" spans="1:93">
      <c r="A378" s="21" t="str">
        <f>IF(AND('Atividades Micro'!$A430=A$2,'Atividades Micro'!$K430&lt;&gt;""),'Atividades Micro'!$K430,"")</f>
        <v/>
      </c>
      <c r="B378" s="21" t="str">
        <f>IF(AND('Atividades Micro'!$A430=B$2,'Atividades Micro'!$L430&lt;&gt;""),'Atividades Micro'!$L430,"")</f>
        <v/>
      </c>
      <c r="C378" s="21" t="str">
        <f>IF(AND('Atividades Micro'!$A430=C$2,'Atividades Micro'!$K430&lt;&gt;""),'Atividades Micro'!$K430,"")</f>
        <v/>
      </c>
      <c r="D378" s="21" t="str">
        <f>IF(AND('Atividades Micro'!$A430=D$2,'Atividades Micro'!$L430&lt;&gt;""),'Atividades Micro'!$L430,"")</f>
        <v/>
      </c>
      <c r="E378" s="21" t="str">
        <f>IF(AND('Atividades Micro'!$A430=E$2,'Atividades Micro'!$K430&lt;&gt;""),'Atividades Micro'!$K430,"")</f>
        <v/>
      </c>
      <c r="F378" s="21" t="str">
        <f>IF(AND('Atividades Micro'!$A430=F$2,'Atividades Micro'!$L430&lt;&gt;""),'Atividades Micro'!$L430,"")</f>
        <v/>
      </c>
      <c r="G378" s="21" t="str">
        <f>IF(AND('Atividades Micro'!$A430=G$2,'Atividades Micro'!$K430&lt;&gt;""),'Atividades Micro'!$K430,"")</f>
        <v/>
      </c>
      <c r="H378" s="21" t="str">
        <f>IF(AND('Atividades Micro'!$A430=H$2,'Atividades Micro'!$L430&lt;&gt;""),'Atividades Micro'!$L430,"")</f>
        <v/>
      </c>
      <c r="I378" s="21" t="str">
        <f>IF(AND('Atividades Micro'!$A430=I$2,'Atividades Micro'!$K430&lt;&gt;""),'Atividades Micro'!$K430,"")</f>
        <v/>
      </c>
      <c r="J378" s="21" t="str">
        <f>IF(AND('Atividades Micro'!$A430=J$2,'Atividades Micro'!$L430&lt;&gt;""),'Atividades Micro'!$L430,"")</f>
        <v/>
      </c>
      <c r="K378" s="21" t="str">
        <f>IF(AND('Atividades Micro'!$B430=K$2,'Atividades Micro'!$K430&lt;&gt;""),'Atividades Micro'!$K430,"")</f>
        <v/>
      </c>
      <c r="L378" s="21" t="str">
        <f>IF(AND('Atividades Micro'!$B430=L$2,'Atividades Micro'!$L430&lt;&gt;""),'Atividades Micro'!$L430,"")</f>
        <v/>
      </c>
      <c r="M378" s="21" t="str">
        <f>IF(AND('Atividades Micro'!$B430=M$2,'Atividades Micro'!$K430&lt;&gt;""),'Atividades Micro'!$K430,"")</f>
        <v/>
      </c>
      <c r="N378" s="21" t="str">
        <f>IF(AND('Atividades Micro'!$B430=N$2,'Atividades Micro'!$L430&lt;&gt;""),'Atividades Micro'!$L430,"")</f>
        <v/>
      </c>
      <c r="O378" s="21" t="str">
        <f>IF(AND('Atividades Micro'!$A430=O$2,'Atividades Micro'!$K430&lt;&gt;""),'Atividades Micro'!$K430,"")</f>
        <v/>
      </c>
      <c r="P378" s="21" t="str">
        <f>IF(AND('Atividades Micro'!$A430=P$2,'Atividades Micro'!$L430&lt;&gt;""),'Atividades Micro'!$L430,"")</f>
        <v/>
      </c>
      <c r="Q378" s="21" t="str">
        <f>IF(AND('Atividades Micro'!$B430=Q$2,'Atividades Micro'!$K430&lt;&gt;""),'Atividades Micro'!$K430,"")</f>
        <v/>
      </c>
      <c r="R378" s="21" t="str">
        <f>IF(AND('Atividades Micro'!$B430=R$2,'Atividades Micro'!$L430&lt;&gt;""),'Atividades Micro'!$L430,"")</f>
        <v/>
      </c>
      <c r="S378" s="21" t="str">
        <f>IF(AND('Atividades Micro'!$A430=S$2,'Atividades Micro'!$K430&lt;&gt;""),'Atividades Micro'!$K430,"")</f>
        <v/>
      </c>
      <c r="T378" s="21" t="str">
        <f>IF(AND('Atividades Micro'!$A430=T$2,'Atividades Micro'!$L430&lt;&gt;""),'Atividades Micro'!$L430,"")</f>
        <v/>
      </c>
      <c r="U378" s="21" t="str">
        <f>IF(AND('Atividades Micro'!$B430=U$2,'Atividades Micro'!$K430&lt;&gt;""),'Atividades Micro'!$K430,"")</f>
        <v/>
      </c>
      <c r="V378" s="21" t="str">
        <f>IF(AND('Atividades Micro'!$B430=V$2,'Atividades Micro'!$L430&lt;&gt;""),'Atividades Micro'!$L430,"")</f>
        <v/>
      </c>
      <c r="W378" s="21" t="str">
        <f>IF(AND('Atividades Micro'!$B430=W$2,'Atividades Micro'!$K430&lt;&gt;""),'Atividades Micro'!$K430,"")</f>
        <v/>
      </c>
      <c r="X378" s="21" t="str">
        <f>IF(AND('Atividades Micro'!$B430=X$2,'Atividades Micro'!$L430&lt;&gt;""),'Atividades Micro'!$L430,"")</f>
        <v/>
      </c>
      <c r="Y378" s="21" t="str">
        <f>IF(AND('Atividades Micro'!$A430=Y$2,'Atividades Micro'!$K430&lt;&gt;""),'Atividades Micro'!$K430,"")</f>
        <v/>
      </c>
      <c r="Z378" s="21" t="str">
        <f>IF(AND('Atividades Micro'!$A430=Z$2,'Atividades Micro'!$L430&lt;&gt;""),'Atividades Micro'!$L430,"")</f>
        <v/>
      </c>
      <c r="AA378" s="21" t="str">
        <f>IF(AND('Atividades Micro'!$B430=AA$2,'Atividades Micro'!$K430&lt;&gt;""),'Atividades Micro'!$K430,"")</f>
        <v/>
      </c>
      <c r="AB378" s="21" t="str">
        <f>IF(AND('Atividades Micro'!$B430=AB$2,'Atividades Micro'!$L430&lt;&gt;""),'Atividades Micro'!$L430,"")</f>
        <v/>
      </c>
      <c r="AC378" s="21" t="str">
        <f>IF(AND('Atividades Micro'!$B430=AC$2,'Atividades Micro'!$K430&lt;&gt;""),'Atividades Micro'!$K430,"")</f>
        <v/>
      </c>
      <c r="AD378" s="21" t="str">
        <f>IF(AND('Atividades Micro'!$B430=AD$2,'Atividades Micro'!$L430&lt;&gt;""),'Atividades Micro'!$L430,"")</f>
        <v/>
      </c>
      <c r="AE378" s="21" t="str">
        <f>IF(AND('Atividades Micro'!$A430=AE$2,'Atividades Micro'!$K430&lt;&gt;""),'Atividades Micro'!$K430,"")</f>
        <v/>
      </c>
      <c r="AF378" s="21" t="str">
        <f>IF(AND('Atividades Micro'!$A430=AF$2,'Atividades Micro'!$L430&lt;&gt;""),'Atividades Micro'!$L430,"")</f>
        <v/>
      </c>
      <c r="AG378" s="21" t="str">
        <f>IF(AND('Atividades Micro'!$B430=AG$2,'Atividades Micro'!$K430&lt;&gt;""),'Atividades Micro'!$K430,"")</f>
        <v/>
      </c>
      <c r="AH378" s="21" t="str">
        <f>IF(AND('Atividades Micro'!$B430=AH$2,'Atividades Micro'!$L430&lt;&gt;""),'Atividades Micro'!$L430,"")</f>
        <v/>
      </c>
      <c r="AI378" s="21" t="str">
        <f>IF(AND('Atividades Micro'!$B430=AI$2,'Atividades Micro'!$K430&lt;&gt;""),'Atividades Micro'!$K430,"")</f>
        <v/>
      </c>
      <c r="AJ378" s="21" t="str">
        <f>IF(AND('Atividades Micro'!$B430=AJ$2,'Atividades Micro'!$L430&lt;&gt;""),'Atividades Micro'!$L430,"")</f>
        <v/>
      </c>
      <c r="AK378" s="21" t="str">
        <f>IF(AND('Atividades Micro'!$A430=AK$2,'Atividades Micro'!$K430&lt;&gt;""),'Atividades Micro'!$K430,"")</f>
        <v/>
      </c>
      <c r="AL378" s="21" t="str">
        <f>IF(AND('Atividades Micro'!$A430=AL$2,'Atividades Micro'!$L430&lt;&gt;""),'Atividades Micro'!$L430,"")</f>
        <v/>
      </c>
      <c r="AM378" s="21" t="str">
        <f>IF(AND('Atividades Micro'!$B430=AM$2,'Atividades Micro'!$K430&lt;&gt;""),'Atividades Micro'!$K430,"")</f>
        <v/>
      </c>
      <c r="AN378" s="21" t="str">
        <f>IF(AND('Atividades Micro'!$B430=AN$2,'Atividades Micro'!$L430&lt;&gt;""),'Atividades Micro'!$L430,"")</f>
        <v/>
      </c>
      <c r="AO378" s="21" t="str">
        <f>IF(AND('Atividades Micro'!$B430=AO$2,'Atividades Micro'!$K430&lt;&gt;""),'Atividades Micro'!$K430,"")</f>
        <v/>
      </c>
      <c r="AP378" s="21" t="str">
        <f>IF(AND('Atividades Micro'!$B430=AP$2,'Atividades Micro'!$L430&lt;&gt;""),'Atividades Micro'!$L430,"")</f>
        <v/>
      </c>
      <c r="AQ378" s="21" t="str">
        <f>IF(AND('Atividades Micro'!$A430=AQ$2,'Atividades Micro'!$K430&lt;&gt;""),'Atividades Micro'!$K430,"")</f>
        <v/>
      </c>
      <c r="AR378" s="21" t="str">
        <f>IF(AND('Atividades Micro'!$A430=AR$2,'Atividades Micro'!$L430&lt;&gt;""),'Atividades Micro'!$L430,"")</f>
        <v/>
      </c>
      <c r="AS378" s="21" t="str">
        <f>IF(AND('Atividades Micro'!$B430=AS$2,'Atividades Micro'!$K430&lt;&gt;""),'Atividades Micro'!$K430,"")</f>
        <v/>
      </c>
      <c r="AT378" s="21" t="str">
        <f>IF(AND('Atividades Micro'!$B430=AT$2,'Atividades Micro'!$L430&lt;&gt;""),'Atividades Micro'!$L430,"")</f>
        <v/>
      </c>
      <c r="AU378" s="21" t="str">
        <f>IF(AND('Atividades Micro'!$A430=AU$2,'Atividades Micro'!$K430&lt;&gt;""),'Atividades Micro'!$K430,"")</f>
        <v/>
      </c>
      <c r="AV378" s="21" t="str">
        <f>IF(AND('Atividades Micro'!$A430=AV$2,'Atividades Micro'!$L430&lt;&gt;""),'Atividades Micro'!$L430,"")</f>
        <v/>
      </c>
      <c r="AW378" s="21" t="str">
        <f>IF(AND('Atividades Micro'!$B430=AW$2,'Atividades Micro'!$K430&lt;&gt;""),'Atividades Micro'!$K430,"")</f>
        <v/>
      </c>
      <c r="AX378" s="21" t="str">
        <f>IF(AND('Atividades Micro'!$B430=AX$2,'Atividades Micro'!$L430&lt;&gt;""),'Atividades Micro'!$L430,"")</f>
        <v/>
      </c>
      <c r="AY378" s="21" t="str">
        <f>IF(AND('Atividades Micro'!$A430=AY$2,'Atividades Micro'!$K430&lt;&gt;""),'Atividades Micro'!$K430,"")</f>
        <v/>
      </c>
      <c r="AZ378" s="21" t="str">
        <f>IF(AND('Atividades Micro'!$A430=AZ$2,'Atividades Micro'!$L430&lt;&gt;""),'Atividades Micro'!$L430,"")</f>
        <v/>
      </c>
      <c r="BA378" s="21" t="str">
        <f>IF(AND('Atividades Micro'!$B430=BA$2,'Atividades Micro'!$K430&lt;&gt;""),'Atividades Micro'!$K430,"")</f>
        <v/>
      </c>
      <c r="BB378" s="21" t="str">
        <f>IF(AND('Atividades Micro'!$B430=BB$2,'Atividades Micro'!$L430&lt;&gt;""),'Atividades Micro'!$L430,"")</f>
        <v/>
      </c>
      <c r="BC378" s="21" t="str">
        <f>IF(AND('Atividades Micro'!$B430=BC$2,'Atividades Micro'!$G430="Macro",'Atividades Micro'!$K430&lt;&gt;""),'Atividades Micro'!$K430,"")</f>
        <v/>
      </c>
      <c r="BD378" s="21" t="str">
        <f>IF(AND('Atividades Micro'!$B430=BD$2,'Atividades Micro'!$G430="Macro",'Atividades Micro'!$K430&lt;&gt;""),'Atividades Micro'!$K430,"")</f>
        <v/>
      </c>
      <c r="BE378" s="21" t="str">
        <f>IF(AND('Atividades Micro'!$B430=BE$2,'Atividades Micro'!$G430="Macro",'Atividades Micro'!$K430&lt;&gt;""),'Atividades Micro'!$K430,"")</f>
        <v/>
      </c>
      <c r="BF378" s="21" t="str">
        <f>IF(AND('Atividades Micro'!$B430=BF$2,'Atividades Micro'!$G430="Macro",'Atividades Micro'!$K430&lt;&gt;""),'Atividades Micro'!$K430,"")</f>
        <v/>
      </c>
      <c r="BG378" s="21" t="str">
        <f>IF(AND('Atividades Micro'!$B430=BG$2,'Atividades Micro'!$G430="Macro",'Atividades Micro'!$K430&lt;&gt;""),'Atividades Micro'!$K430,"")</f>
        <v/>
      </c>
      <c r="BH378" s="21" t="str">
        <f>IF(AND('Atividades Micro'!$B430=BH$2,'Atividades Micro'!$G430="Macro",'Atividades Micro'!$K430&lt;&gt;""),'Atividades Micro'!$K430,"")</f>
        <v/>
      </c>
      <c r="BI378" s="21" t="str">
        <f>IF(AND('Atividades Micro'!$B430=BI$2,'Atividades Micro'!$G430="Macro",'Atividades Micro'!$K430&lt;&gt;""),'Atividades Micro'!$K430,"")</f>
        <v/>
      </c>
      <c r="BJ378" s="21" t="str">
        <f>IF(AND('Atividades Micro'!$B430=BJ$2,'Atividades Micro'!$G430="Macro",'Atividades Micro'!$K430&lt;&gt;""),'Atividades Micro'!$K430,"")</f>
        <v/>
      </c>
      <c r="BK378" s="21" t="str">
        <f>IF(AND('Atividades Micro'!$B430=BK$2,'Atividades Micro'!$G430="Macro",'Atividades Micro'!$K430&lt;&gt;""),'Atividades Micro'!$K430,"")</f>
        <v/>
      </c>
      <c r="BL378" s="21" t="str">
        <f>IF(AND('Atividades Micro'!$B430=BL$2,'Atividades Micro'!$G430="Macro",'Atividades Micro'!$K430&lt;&gt;""),'Atividades Micro'!$K430,"")</f>
        <v/>
      </c>
      <c r="BM378" s="21" t="str">
        <f>IF(AND('Atividades Micro'!$B430=BM$2,'Atividades Micro'!$G430="Macro",'Atividades Micro'!$K430&lt;&gt;""),'Atividades Micro'!$K430,"")</f>
        <v/>
      </c>
      <c r="BN378" s="21" t="str">
        <f>IF(AND('Atividades Micro'!$B430=BN$2,'Atividades Micro'!$G430="Macro",'Atividades Micro'!$K430&lt;&gt;""),'Atividades Micro'!$K430,"")</f>
        <v/>
      </c>
      <c r="BO378" s="21" t="str">
        <f>IF(AND('Atividades Micro'!$B430=BO$2,'Atividades Micro'!$G430="Macro",'Atividades Micro'!$K430&lt;&gt;""),'Atividades Micro'!$K430,"")</f>
        <v/>
      </c>
      <c r="BP378" s="21" t="str">
        <f>IF(AND('Atividades Micro'!$B430=BP$2,'Atividades Micro'!$G430="Macro",'Atividades Micro'!$K430&lt;&gt;""),'Atividades Micro'!$K430,"")</f>
        <v/>
      </c>
      <c r="BQ378" s="21" t="str">
        <f>IF(AND('Atividades Micro'!$B430=BQ$2,'Atividades Micro'!$G430="Macro",'Atividades Micro'!$K430&lt;&gt;""),'Atividades Micro'!$K430,"")</f>
        <v/>
      </c>
      <c r="BR378" s="21" t="str">
        <f>IF(AND('Atividades Micro'!$B430=BR$2,'Atividades Micro'!$G430="Macro",'Atividades Micro'!$K430&lt;&gt;""),'Atividades Micro'!$K430,"")</f>
        <v/>
      </c>
      <c r="BS378" s="21" t="str">
        <f>IF(AND('Atividades Micro'!$B430=BS$2,'Atividades Micro'!$G430="Macro",'Atividades Micro'!$K430&lt;&gt;""),'Atividades Micro'!$K430,"")</f>
        <v/>
      </c>
      <c r="BT378" s="21" t="str">
        <f>IF(AND('Atividades Micro'!$B430=BT$2,'Atividades Micro'!$G430="Macro",'Atividades Micro'!$K430&lt;&gt;""),'Atividades Micro'!$K430,"")</f>
        <v/>
      </c>
      <c r="BU378" s="21" t="str">
        <f>IF(AND('Atividades Micro'!$B430=BU$2,'Atividades Micro'!$G430="Macro",'Atividades Micro'!$K430&lt;&gt;""),'Atividades Micro'!$K430,"")</f>
        <v/>
      </c>
      <c r="BV378" s="21" t="str">
        <f>IF(AND('Atividades Micro'!$B430=BV$2,'Atividades Micro'!$G430="Macro",'Atividades Micro'!$K430&lt;&gt;""),'Atividades Micro'!$K430,"")</f>
        <v/>
      </c>
      <c r="BW378" s="21" t="str">
        <f>IF(AND('Atividades Micro'!$B430=BW$2,'Atividades Micro'!$G430="Macro",'Atividades Micro'!$K430&lt;&gt;""),'Atividades Micro'!$K430,"")</f>
        <v/>
      </c>
      <c r="BX378" s="21" t="str">
        <f>IF(AND('Atividades Micro'!$B430=BX$2,'Atividades Micro'!$G430="Macro",'Atividades Micro'!$K430&lt;&gt;""),'Atividades Micro'!$K430,"")</f>
        <v/>
      </c>
      <c r="BY378" s="21" t="str">
        <f>IF(AND('Atividades Micro'!$B430=BY$2,'Atividades Micro'!$G430="Macro",'Atividades Micro'!$K430&lt;&gt;""),'Atividades Micro'!$K430,"")</f>
        <v/>
      </c>
      <c r="BZ378" s="21" t="str">
        <f>IF(AND('Atividades Micro'!$B430=BZ$2,'Atividades Micro'!$G430="Macro",'Atividades Micro'!$K430&lt;&gt;""),'Atividades Micro'!$K430,"")</f>
        <v/>
      </c>
      <c r="CA378" s="21" t="str">
        <f>IF(AND('Atividades Micro'!$B430=CA$2,'Atividades Micro'!$G430="Macro",'Atividades Micro'!$K430&lt;&gt;""),'Atividades Micro'!$K430,"")</f>
        <v/>
      </c>
      <c r="CB378" s="21" t="str">
        <f>IF(AND('Atividades Micro'!$B430=CB$2,'Atividades Micro'!$G430="Macro",'Atividades Micro'!$K430&lt;&gt;""),'Atividades Micro'!$K430,"")</f>
        <v/>
      </c>
      <c r="CC378" s="21" t="str">
        <f>IF(AND('Atividades Micro'!$B430=CC$2,'Atividades Micro'!$G430="Macro",'Atividades Micro'!$K430&lt;&gt;""),'Atividades Micro'!$K430,"")</f>
        <v/>
      </c>
      <c r="CD378" s="21" t="str">
        <f>IF(AND('Atividades Micro'!$B430=CD$2,'Atividades Micro'!$G430="Micro",'Atividades Micro'!$K430&lt;&gt;""),'Atividades Micro'!$K430,"")</f>
        <v/>
      </c>
      <c r="CE378" s="21" t="str">
        <f>IF(AND('Atividades Micro'!$B430=CE$2,'Atividades Micro'!$G430="Micro",'Atividades Micro'!$K430&lt;&gt;""),'Atividades Micro'!$K430,"")</f>
        <v/>
      </c>
      <c r="CF378" s="21" t="str">
        <f>IF(AND('Atividades Micro'!$B430=CF$2,'Atividades Micro'!$G430="Micro",'Atividades Micro'!$K430&lt;&gt;""),'Atividades Micro'!$K430,"")</f>
        <v/>
      </c>
      <c r="CG378" s="21" t="str">
        <f>IF(AND('Atividades Micro'!$B430=CG$2,'Atividades Micro'!$G430="Micro",'Atividades Micro'!$K430&lt;&gt;""),'Atividades Micro'!$K430,"")</f>
        <v/>
      </c>
      <c r="CH378" s="21" t="str">
        <f>IF(AND('Atividades Micro'!$B430=CH$2,'Atividades Micro'!$G430="Micro",'Atividades Micro'!$K430&lt;&gt;""),'Atividades Micro'!$K430,"")</f>
        <v/>
      </c>
      <c r="CI378" s="21" t="str">
        <f>IF(AND('Atividades Micro'!$B430=CI$2,'Atividades Micro'!$G430="Micro",'Atividades Micro'!$K430&lt;&gt;""),'Atividades Micro'!$K430,"")</f>
        <v/>
      </c>
      <c r="CJ378" s="21" t="str">
        <f>IF(AND('Atividades Micro'!$B430=CJ$2,'Atividades Micro'!$G430="Micro",'Atividades Micro'!$K430&lt;&gt;""),'Atividades Micro'!$K430,"")</f>
        <v/>
      </c>
      <c r="CK378" s="21" t="str">
        <f>IF(AND('Atividades Micro'!$B430=CK$2,'Atividades Micro'!$G430="Micro",'Atividades Micro'!$K430&lt;&gt;""),'Atividades Micro'!$K430,"")</f>
        <v/>
      </c>
      <c r="CL378" s="21" t="str">
        <f>IF(AND('Atividades Micro'!$B430=CL$2,'Atividades Micro'!$G430="Micro",'Atividades Micro'!$K430&lt;&gt;""),'Atividades Micro'!$K430,"")</f>
        <v/>
      </c>
      <c r="CM378" s="21" t="str">
        <f>IF(AND('Atividades Micro'!$B430=CM$2,'Atividades Micro'!$G430="Micro",'Atividades Micro'!$K430&lt;&gt;""),'Atividades Micro'!$K430,"")</f>
        <v/>
      </c>
      <c r="CN378" s="21" t="str">
        <f>IF(AND('Atividades Micro'!$B430=CN$2,'Atividades Micro'!$G430="Micro",'Atividades Micro'!$K430&lt;&gt;""),'Atividades Micro'!$K430,"")</f>
        <v/>
      </c>
      <c r="CO378" s="21" t="str">
        <f>IF(AND('Atividades Micro'!$B430=CO$2,'Atividades Micro'!$G430="Micro",'Atividades Micro'!$K430&lt;&gt;""),'Atividades Micro'!$K430,"")</f>
        <v/>
      </c>
    </row>
    <row r="379" spans="1:93">
      <c r="A379" s="21" t="str">
        <f>IF(AND('Atividades Micro'!$A431=A$2,'Atividades Micro'!$K431&lt;&gt;""),'Atividades Micro'!$K431,"")</f>
        <v/>
      </c>
      <c r="B379" s="21" t="str">
        <f>IF(AND('Atividades Micro'!$A431=B$2,'Atividades Micro'!$L431&lt;&gt;""),'Atividades Micro'!$L431,"")</f>
        <v/>
      </c>
      <c r="C379" s="21" t="str">
        <f>IF(AND('Atividades Micro'!$A431=C$2,'Atividades Micro'!$K431&lt;&gt;""),'Atividades Micro'!$K431,"")</f>
        <v/>
      </c>
      <c r="D379" s="21" t="str">
        <f>IF(AND('Atividades Micro'!$A431=D$2,'Atividades Micro'!$L431&lt;&gt;""),'Atividades Micro'!$L431,"")</f>
        <v/>
      </c>
      <c r="E379" s="21" t="str">
        <f>IF(AND('Atividades Micro'!$A431=E$2,'Atividades Micro'!$K431&lt;&gt;""),'Atividades Micro'!$K431,"")</f>
        <v/>
      </c>
      <c r="F379" s="21" t="str">
        <f>IF(AND('Atividades Micro'!$A431=F$2,'Atividades Micro'!$L431&lt;&gt;""),'Atividades Micro'!$L431,"")</f>
        <v/>
      </c>
      <c r="G379" s="21" t="str">
        <f>IF(AND('Atividades Micro'!$A431=G$2,'Atividades Micro'!$K431&lt;&gt;""),'Atividades Micro'!$K431,"")</f>
        <v/>
      </c>
      <c r="H379" s="21" t="str">
        <f>IF(AND('Atividades Micro'!$A431=H$2,'Atividades Micro'!$L431&lt;&gt;""),'Atividades Micro'!$L431,"")</f>
        <v/>
      </c>
      <c r="I379" s="21" t="str">
        <f>IF(AND('Atividades Micro'!$A431=I$2,'Atividades Micro'!$K431&lt;&gt;""),'Atividades Micro'!$K431,"")</f>
        <v/>
      </c>
      <c r="J379" s="21" t="str">
        <f>IF(AND('Atividades Micro'!$A431=J$2,'Atividades Micro'!$L431&lt;&gt;""),'Atividades Micro'!$L431,"")</f>
        <v/>
      </c>
      <c r="K379" s="21" t="str">
        <f>IF(AND('Atividades Micro'!$B431=K$2,'Atividades Micro'!$K431&lt;&gt;""),'Atividades Micro'!$K431,"")</f>
        <v/>
      </c>
      <c r="L379" s="21" t="str">
        <f>IF(AND('Atividades Micro'!$B431=L$2,'Atividades Micro'!$L431&lt;&gt;""),'Atividades Micro'!$L431,"")</f>
        <v/>
      </c>
      <c r="M379" s="21" t="str">
        <f>IF(AND('Atividades Micro'!$B431=M$2,'Atividades Micro'!$K431&lt;&gt;""),'Atividades Micro'!$K431,"")</f>
        <v/>
      </c>
      <c r="N379" s="21" t="str">
        <f>IF(AND('Atividades Micro'!$B431=N$2,'Atividades Micro'!$L431&lt;&gt;""),'Atividades Micro'!$L431,"")</f>
        <v/>
      </c>
      <c r="O379" s="21" t="str">
        <f>IF(AND('Atividades Micro'!$A431=O$2,'Atividades Micro'!$K431&lt;&gt;""),'Atividades Micro'!$K431,"")</f>
        <v/>
      </c>
      <c r="P379" s="21" t="str">
        <f>IF(AND('Atividades Micro'!$A431=P$2,'Atividades Micro'!$L431&lt;&gt;""),'Atividades Micro'!$L431,"")</f>
        <v/>
      </c>
      <c r="Q379" s="21" t="str">
        <f>IF(AND('Atividades Micro'!$B431=Q$2,'Atividades Micro'!$K431&lt;&gt;""),'Atividades Micro'!$K431,"")</f>
        <v/>
      </c>
      <c r="R379" s="21" t="str">
        <f>IF(AND('Atividades Micro'!$B431=R$2,'Atividades Micro'!$L431&lt;&gt;""),'Atividades Micro'!$L431,"")</f>
        <v/>
      </c>
      <c r="S379" s="21" t="str">
        <f>IF(AND('Atividades Micro'!$A431=S$2,'Atividades Micro'!$K431&lt;&gt;""),'Atividades Micro'!$K431,"")</f>
        <v/>
      </c>
      <c r="T379" s="21" t="str">
        <f>IF(AND('Atividades Micro'!$A431=T$2,'Atividades Micro'!$L431&lt;&gt;""),'Atividades Micro'!$L431,"")</f>
        <v/>
      </c>
      <c r="U379" s="21" t="str">
        <f>IF(AND('Atividades Micro'!$B431=U$2,'Atividades Micro'!$K431&lt;&gt;""),'Atividades Micro'!$K431,"")</f>
        <v/>
      </c>
      <c r="V379" s="21" t="str">
        <f>IF(AND('Atividades Micro'!$B431=V$2,'Atividades Micro'!$L431&lt;&gt;""),'Atividades Micro'!$L431,"")</f>
        <v/>
      </c>
      <c r="W379" s="21" t="str">
        <f>IF(AND('Atividades Micro'!$B431=W$2,'Atividades Micro'!$K431&lt;&gt;""),'Atividades Micro'!$K431,"")</f>
        <v/>
      </c>
      <c r="X379" s="21" t="str">
        <f>IF(AND('Atividades Micro'!$B431=X$2,'Atividades Micro'!$L431&lt;&gt;""),'Atividades Micro'!$L431,"")</f>
        <v/>
      </c>
      <c r="Y379" s="21" t="str">
        <f>IF(AND('Atividades Micro'!$A431=Y$2,'Atividades Micro'!$K431&lt;&gt;""),'Atividades Micro'!$K431,"")</f>
        <v/>
      </c>
      <c r="Z379" s="21" t="str">
        <f>IF(AND('Atividades Micro'!$A431=Z$2,'Atividades Micro'!$L431&lt;&gt;""),'Atividades Micro'!$L431,"")</f>
        <v/>
      </c>
      <c r="AA379" s="21" t="str">
        <f>IF(AND('Atividades Micro'!$B431=AA$2,'Atividades Micro'!$K431&lt;&gt;""),'Atividades Micro'!$K431,"")</f>
        <v/>
      </c>
      <c r="AB379" s="21" t="str">
        <f>IF(AND('Atividades Micro'!$B431=AB$2,'Atividades Micro'!$L431&lt;&gt;""),'Atividades Micro'!$L431,"")</f>
        <v/>
      </c>
      <c r="AC379" s="21" t="str">
        <f>IF(AND('Atividades Micro'!$B431=AC$2,'Atividades Micro'!$K431&lt;&gt;""),'Atividades Micro'!$K431,"")</f>
        <v/>
      </c>
      <c r="AD379" s="21" t="str">
        <f>IF(AND('Atividades Micro'!$B431=AD$2,'Atividades Micro'!$L431&lt;&gt;""),'Atividades Micro'!$L431,"")</f>
        <v/>
      </c>
      <c r="AE379" s="21" t="str">
        <f>IF(AND('Atividades Micro'!$A431=AE$2,'Atividades Micro'!$K431&lt;&gt;""),'Atividades Micro'!$K431,"")</f>
        <v/>
      </c>
      <c r="AF379" s="21" t="str">
        <f>IF(AND('Atividades Micro'!$A431=AF$2,'Atividades Micro'!$L431&lt;&gt;""),'Atividades Micro'!$L431,"")</f>
        <v/>
      </c>
      <c r="AG379" s="21" t="str">
        <f>IF(AND('Atividades Micro'!$B431=AG$2,'Atividades Micro'!$K431&lt;&gt;""),'Atividades Micro'!$K431,"")</f>
        <v/>
      </c>
      <c r="AH379" s="21" t="str">
        <f>IF(AND('Atividades Micro'!$B431=AH$2,'Atividades Micro'!$L431&lt;&gt;""),'Atividades Micro'!$L431,"")</f>
        <v/>
      </c>
      <c r="AI379" s="21" t="str">
        <f>IF(AND('Atividades Micro'!$B431=AI$2,'Atividades Micro'!$K431&lt;&gt;""),'Atividades Micro'!$K431,"")</f>
        <v/>
      </c>
      <c r="AJ379" s="21" t="str">
        <f>IF(AND('Atividades Micro'!$B431=AJ$2,'Atividades Micro'!$L431&lt;&gt;""),'Atividades Micro'!$L431,"")</f>
        <v/>
      </c>
      <c r="AK379" s="21" t="str">
        <f>IF(AND('Atividades Micro'!$A431=AK$2,'Atividades Micro'!$K431&lt;&gt;""),'Atividades Micro'!$K431,"")</f>
        <v/>
      </c>
      <c r="AL379" s="21" t="str">
        <f>IF(AND('Atividades Micro'!$A431=AL$2,'Atividades Micro'!$L431&lt;&gt;""),'Atividades Micro'!$L431,"")</f>
        <v/>
      </c>
      <c r="AM379" s="21" t="str">
        <f>IF(AND('Atividades Micro'!$B431=AM$2,'Atividades Micro'!$K431&lt;&gt;""),'Atividades Micro'!$K431,"")</f>
        <v/>
      </c>
      <c r="AN379" s="21" t="str">
        <f>IF(AND('Atividades Micro'!$B431=AN$2,'Atividades Micro'!$L431&lt;&gt;""),'Atividades Micro'!$L431,"")</f>
        <v/>
      </c>
      <c r="AO379" s="21" t="str">
        <f>IF(AND('Atividades Micro'!$B431=AO$2,'Atividades Micro'!$K431&lt;&gt;""),'Atividades Micro'!$K431,"")</f>
        <v/>
      </c>
      <c r="AP379" s="21" t="str">
        <f>IF(AND('Atividades Micro'!$B431=AP$2,'Atividades Micro'!$L431&lt;&gt;""),'Atividades Micro'!$L431,"")</f>
        <v/>
      </c>
      <c r="AQ379" s="21" t="str">
        <f>IF(AND('Atividades Micro'!$A431=AQ$2,'Atividades Micro'!$K431&lt;&gt;""),'Atividades Micro'!$K431,"")</f>
        <v/>
      </c>
      <c r="AR379" s="21" t="str">
        <f>IF(AND('Atividades Micro'!$A431=AR$2,'Atividades Micro'!$L431&lt;&gt;""),'Atividades Micro'!$L431,"")</f>
        <v/>
      </c>
      <c r="AS379" s="21" t="str">
        <f>IF(AND('Atividades Micro'!$B431=AS$2,'Atividades Micro'!$K431&lt;&gt;""),'Atividades Micro'!$K431,"")</f>
        <v/>
      </c>
      <c r="AT379" s="21" t="str">
        <f>IF(AND('Atividades Micro'!$B431=AT$2,'Atividades Micro'!$L431&lt;&gt;""),'Atividades Micro'!$L431,"")</f>
        <v/>
      </c>
      <c r="AU379" s="21" t="str">
        <f>IF(AND('Atividades Micro'!$A431=AU$2,'Atividades Micro'!$K431&lt;&gt;""),'Atividades Micro'!$K431,"")</f>
        <v/>
      </c>
      <c r="AV379" s="21" t="str">
        <f>IF(AND('Atividades Micro'!$A431=AV$2,'Atividades Micro'!$L431&lt;&gt;""),'Atividades Micro'!$L431,"")</f>
        <v/>
      </c>
      <c r="AW379" s="21" t="str">
        <f>IF(AND('Atividades Micro'!$B431=AW$2,'Atividades Micro'!$K431&lt;&gt;""),'Atividades Micro'!$K431,"")</f>
        <v/>
      </c>
      <c r="AX379" s="21" t="str">
        <f>IF(AND('Atividades Micro'!$B431=AX$2,'Atividades Micro'!$L431&lt;&gt;""),'Atividades Micro'!$L431,"")</f>
        <v/>
      </c>
      <c r="AY379" s="21" t="str">
        <f>IF(AND('Atividades Micro'!$A431=AY$2,'Atividades Micro'!$K431&lt;&gt;""),'Atividades Micro'!$K431,"")</f>
        <v/>
      </c>
      <c r="AZ379" s="21" t="str">
        <f>IF(AND('Atividades Micro'!$A431=AZ$2,'Atividades Micro'!$L431&lt;&gt;""),'Atividades Micro'!$L431,"")</f>
        <v/>
      </c>
      <c r="BA379" s="21" t="str">
        <f>IF(AND('Atividades Micro'!$B431=BA$2,'Atividades Micro'!$K431&lt;&gt;""),'Atividades Micro'!$K431,"")</f>
        <v/>
      </c>
      <c r="BB379" s="21" t="str">
        <f>IF(AND('Atividades Micro'!$B431=BB$2,'Atividades Micro'!$L431&lt;&gt;""),'Atividades Micro'!$L431,"")</f>
        <v/>
      </c>
      <c r="BC379" s="21" t="str">
        <f>IF(AND('Atividades Micro'!$B431=BC$2,'Atividades Micro'!$G431="Macro",'Atividades Micro'!$K431&lt;&gt;""),'Atividades Micro'!$K431,"")</f>
        <v/>
      </c>
      <c r="BD379" s="21" t="str">
        <f>IF(AND('Atividades Micro'!$B431=BD$2,'Atividades Micro'!$G431="Macro",'Atividades Micro'!$K431&lt;&gt;""),'Atividades Micro'!$K431,"")</f>
        <v/>
      </c>
      <c r="BE379" s="21" t="str">
        <f>IF(AND('Atividades Micro'!$B431=BE$2,'Atividades Micro'!$G431="Macro",'Atividades Micro'!$K431&lt;&gt;""),'Atividades Micro'!$K431,"")</f>
        <v/>
      </c>
      <c r="BF379" s="21" t="str">
        <f>IF(AND('Atividades Micro'!$B431=BF$2,'Atividades Micro'!$G431="Macro",'Atividades Micro'!$K431&lt;&gt;""),'Atividades Micro'!$K431,"")</f>
        <v/>
      </c>
      <c r="BG379" s="21" t="str">
        <f>IF(AND('Atividades Micro'!$B431=BG$2,'Atividades Micro'!$G431="Macro",'Atividades Micro'!$K431&lt;&gt;""),'Atividades Micro'!$K431,"")</f>
        <v/>
      </c>
      <c r="BH379" s="21" t="str">
        <f>IF(AND('Atividades Micro'!$B431=BH$2,'Atividades Micro'!$G431="Macro",'Atividades Micro'!$K431&lt;&gt;""),'Atividades Micro'!$K431,"")</f>
        <v/>
      </c>
      <c r="BI379" s="21" t="str">
        <f>IF(AND('Atividades Micro'!$B431=BI$2,'Atividades Micro'!$G431="Macro",'Atividades Micro'!$K431&lt;&gt;""),'Atividades Micro'!$K431,"")</f>
        <v/>
      </c>
      <c r="BJ379" s="21" t="str">
        <f>IF(AND('Atividades Micro'!$B431=BJ$2,'Atividades Micro'!$G431="Macro",'Atividades Micro'!$K431&lt;&gt;""),'Atividades Micro'!$K431,"")</f>
        <v/>
      </c>
      <c r="BK379" s="21" t="str">
        <f>IF(AND('Atividades Micro'!$B431=BK$2,'Atividades Micro'!$G431="Macro",'Atividades Micro'!$K431&lt;&gt;""),'Atividades Micro'!$K431,"")</f>
        <v/>
      </c>
      <c r="BL379" s="21" t="str">
        <f>IF(AND('Atividades Micro'!$B431=BL$2,'Atividades Micro'!$G431="Macro",'Atividades Micro'!$K431&lt;&gt;""),'Atividades Micro'!$K431,"")</f>
        <v/>
      </c>
      <c r="BM379" s="21" t="str">
        <f>IF(AND('Atividades Micro'!$B431=BM$2,'Atividades Micro'!$G431="Macro",'Atividades Micro'!$K431&lt;&gt;""),'Atividades Micro'!$K431,"")</f>
        <v/>
      </c>
      <c r="BN379" s="21" t="str">
        <f>IF(AND('Atividades Micro'!$B431=BN$2,'Atividades Micro'!$G431="Macro",'Atividades Micro'!$K431&lt;&gt;""),'Atividades Micro'!$K431,"")</f>
        <v/>
      </c>
      <c r="BO379" s="21" t="str">
        <f>IF(AND('Atividades Micro'!$B431=BO$2,'Atividades Micro'!$G431="Macro",'Atividades Micro'!$K431&lt;&gt;""),'Atividades Micro'!$K431,"")</f>
        <v/>
      </c>
      <c r="BP379" s="21" t="str">
        <f>IF(AND('Atividades Micro'!$B431=BP$2,'Atividades Micro'!$G431="Macro",'Atividades Micro'!$K431&lt;&gt;""),'Atividades Micro'!$K431,"")</f>
        <v/>
      </c>
      <c r="BQ379" s="21" t="str">
        <f>IF(AND('Atividades Micro'!$B431=BQ$2,'Atividades Micro'!$G431="Macro",'Atividades Micro'!$K431&lt;&gt;""),'Atividades Micro'!$K431,"")</f>
        <v/>
      </c>
      <c r="BR379" s="21" t="str">
        <f>IF(AND('Atividades Micro'!$B431=BR$2,'Atividades Micro'!$G431="Macro",'Atividades Micro'!$K431&lt;&gt;""),'Atividades Micro'!$K431,"")</f>
        <v/>
      </c>
      <c r="BS379" s="21" t="str">
        <f>IF(AND('Atividades Micro'!$B431=BS$2,'Atividades Micro'!$G431="Macro",'Atividades Micro'!$K431&lt;&gt;""),'Atividades Micro'!$K431,"")</f>
        <v/>
      </c>
      <c r="BT379" s="21" t="str">
        <f>IF(AND('Atividades Micro'!$B431=BT$2,'Atividades Micro'!$G431="Macro",'Atividades Micro'!$K431&lt;&gt;""),'Atividades Micro'!$K431,"")</f>
        <v/>
      </c>
      <c r="BU379" s="21" t="str">
        <f>IF(AND('Atividades Micro'!$B431=BU$2,'Atividades Micro'!$G431="Macro",'Atividades Micro'!$K431&lt;&gt;""),'Atividades Micro'!$K431,"")</f>
        <v/>
      </c>
      <c r="BV379" s="21" t="str">
        <f>IF(AND('Atividades Micro'!$B431=BV$2,'Atividades Micro'!$G431="Macro",'Atividades Micro'!$K431&lt;&gt;""),'Atividades Micro'!$K431,"")</f>
        <v/>
      </c>
      <c r="BW379" s="21" t="str">
        <f>IF(AND('Atividades Micro'!$B431=BW$2,'Atividades Micro'!$G431="Macro",'Atividades Micro'!$K431&lt;&gt;""),'Atividades Micro'!$K431,"")</f>
        <v/>
      </c>
      <c r="BX379" s="21" t="str">
        <f>IF(AND('Atividades Micro'!$B431=BX$2,'Atividades Micro'!$G431="Macro",'Atividades Micro'!$K431&lt;&gt;""),'Atividades Micro'!$K431,"")</f>
        <v/>
      </c>
      <c r="BY379" s="21" t="str">
        <f>IF(AND('Atividades Micro'!$B431=BY$2,'Atividades Micro'!$G431="Macro",'Atividades Micro'!$K431&lt;&gt;""),'Atividades Micro'!$K431,"")</f>
        <v/>
      </c>
      <c r="BZ379" s="21" t="str">
        <f>IF(AND('Atividades Micro'!$B431=BZ$2,'Atividades Micro'!$G431="Macro",'Atividades Micro'!$K431&lt;&gt;""),'Atividades Micro'!$K431,"")</f>
        <v/>
      </c>
      <c r="CA379" s="21" t="str">
        <f>IF(AND('Atividades Micro'!$B431=CA$2,'Atividades Micro'!$G431="Macro",'Atividades Micro'!$K431&lt;&gt;""),'Atividades Micro'!$K431,"")</f>
        <v/>
      </c>
      <c r="CB379" s="21" t="str">
        <f>IF(AND('Atividades Micro'!$B431=CB$2,'Atividades Micro'!$G431="Macro",'Atividades Micro'!$K431&lt;&gt;""),'Atividades Micro'!$K431,"")</f>
        <v/>
      </c>
      <c r="CC379" s="21" t="str">
        <f>IF(AND('Atividades Micro'!$B431=CC$2,'Atividades Micro'!$G431="Macro",'Atividades Micro'!$K431&lt;&gt;""),'Atividades Micro'!$K431,"")</f>
        <v/>
      </c>
      <c r="CD379" s="21" t="str">
        <f>IF(AND('Atividades Micro'!$B431=CD$2,'Atividades Micro'!$G431="Micro",'Atividades Micro'!$K431&lt;&gt;""),'Atividades Micro'!$K431,"")</f>
        <v/>
      </c>
      <c r="CE379" s="21" t="str">
        <f>IF(AND('Atividades Micro'!$B431=CE$2,'Atividades Micro'!$G431="Micro",'Atividades Micro'!$K431&lt;&gt;""),'Atividades Micro'!$K431,"")</f>
        <v/>
      </c>
      <c r="CF379" s="21" t="str">
        <f>IF(AND('Atividades Micro'!$B431=CF$2,'Atividades Micro'!$G431="Micro",'Atividades Micro'!$K431&lt;&gt;""),'Atividades Micro'!$K431,"")</f>
        <v/>
      </c>
      <c r="CG379" s="21" t="str">
        <f>IF(AND('Atividades Micro'!$B431=CG$2,'Atividades Micro'!$G431="Micro",'Atividades Micro'!$K431&lt;&gt;""),'Atividades Micro'!$K431,"")</f>
        <v/>
      </c>
      <c r="CH379" s="21" t="str">
        <f>IF(AND('Atividades Micro'!$B431=CH$2,'Atividades Micro'!$G431="Micro",'Atividades Micro'!$K431&lt;&gt;""),'Atividades Micro'!$K431,"")</f>
        <v/>
      </c>
      <c r="CI379" s="21" t="str">
        <f>IF(AND('Atividades Micro'!$B431=CI$2,'Atividades Micro'!$G431="Micro",'Atividades Micro'!$K431&lt;&gt;""),'Atividades Micro'!$K431,"")</f>
        <v/>
      </c>
      <c r="CJ379" s="21" t="str">
        <f>IF(AND('Atividades Micro'!$B431=CJ$2,'Atividades Micro'!$G431="Micro",'Atividades Micro'!$K431&lt;&gt;""),'Atividades Micro'!$K431,"")</f>
        <v/>
      </c>
      <c r="CK379" s="21" t="str">
        <f>IF(AND('Atividades Micro'!$B431=CK$2,'Atividades Micro'!$G431="Micro",'Atividades Micro'!$K431&lt;&gt;""),'Atividades Micro'!$K431,"")</f>
        <v/>
      </c>
      <c r="CL379" s="21" t="str">
        <f>IF(AND('Atividades Micro'!$B431=CL$2,'Atividades Micro'!$G431="Micro",'Atividades Micro'!$K431&lt;&gt;""),'Atividades Micro'!$K431,"")</f>
        <v/>
      </c>
      <c r="CM379" s="21" t="str">
        <f>IF(AND('Atividades Micro'!$B431=CM$2,'Atividades Micro'!$G431="Micro",'Atividades Micro'!$K431&lt;&gt;""),'Atividades Micro'!$K431,"")</f>
        <v/>
      </c>
      <c r="CN379" s="21" t="str">
        <f>IF(AND('Atividades Micro'!$B431=CN$2,'Atividades Micro'!$G431="Micro",'Atividades Micro'!$K431&lt;&gt;""),'Atividades Micro'!$K431,"")</f>
        <v/>
      </c>
      <c r="CO379" s="21" t="str">
        <f>IF(AND('Atividades Micro'!$B431=CO$2,'Atividades Micro'!$G431="Micro",'Atividades Micro'!$K431&lt;&gt;""),'Atividades Micro'!$K431,"")</f>
        <v/>
      </c>
    </row>
    <row r="380" spans="1:93">
      <c r="A380" s="21" t="str">
        <f>IF(AND('Atividades Micro'!$A432=A$2,'Atividades Micro'!$K432&lt;&gt;""),'Atividades Micro'!$K432,"")</f>
        <v/>
      </c>
      <c r="B380" s="21" t="str">
        <f>IF(AND('Atividades Micro'!$A432=B$2,'Atividades Micro'!$L432&lt;&gt;""),'Atividades Micro'!$L432,"")</f>
        <v/>
      </c>
      <c r="C380" s="21" t="str">
        <f>IF(AND('Atividades Micro'!$A432=C$2,'Atividades Micro'!$K432&lt;&gt;""),'Atividades Micro'!$K432,"")</f>
        <v/>
      </c>
      <c r="D380" s="21" t="str">
        <f>IF(AND('Atividades Micro'!$A432=D$2,'Atividades Micro'!$L432&lt;&gt;""),'Atividades Micro'!$L432,"")</f>
        <v/>
      </c>
      <c r="E380" s="21" t="str">
        <f>IF(AND('Atividades Micro'!$A432=E$2,'Atividades Micro'!$K432&lt;&gt;""),'Atividades Micro'!$K432,"")</f>
        <v/>
      </c>
      <c r="F380" s="21" t="str">
        <f>IF(AND('Atividades Micro'!$A432=F$2,'Atividades Micro'!$L432&lt;&gt;""),'Atividades Micro'!$L432,"")</f>
        <v/>
      </c>
      <c r="G380" s="21" t="str">
        <f>IF(AND('Atividades Micro'!$A432=G$2,'Atividades Micro'!$K432&lt;&gt;""),'Atividades Micro'!$K432,"")</f>
        <v/>
      </c>
      <c r="H380" s="21" t="str">
        <f>IF(AND('Atividades Micro'!$A432=H$2,'Atividades Micro'!$L432&lt;&gt;""),'Atividades Micro'!$L432,"")</f>
        <v/>
      </c>
      <c r="I380" s="21" t="str">
        <f>IF(AND('Atividades Micro'!$A432=I$2,'Atividades Micro'!$K432&lt;&gt;""),'Atividades Micro'!$K432,"")</f>
        <v/>
      </c>
      <c r="J380" s="21" t="str">
        <f>IF(AND('Atividades Micro'!$A432=J$2,'Atividades Micro'!$L432&lt;&gt;""),'Atividades Micro'!$L432,"")</f>
        <v/>
      </c>
      <c r="K380" s="21" t="str">
        <f>IF(AND('Atividades Micro'!$B432=K$2,'Atividades Micro'!$K432&lt;&gt;""),'Atividades Micro'!$K432,"")</f>
        <v/>
      </c>
      <c r="L380" s="21" t="str">
        <f>IF(AND('Atividades Micro'!$B432=L$2,'Atividades Micro'!$L432&lt;&gt;""),'Atividades Micro'!$L432,"")</f>
        <v/>
      </c>
      <c r="M380" s="21" t="str">
        <f>IF(AND('Atividades Micro'!$B432=M$2,'Atividades Micro'!$K432&lt;&gt;""),'Atividades Micro'!$K432,"")</f>
        <v/>
      </c>
      <c r="N380" s="21" t="str">
        <f>IF(AND('Atividades Micro'!$B432=N$2,'Atividades Micro'!$L432&lt;&gt;""),'Atividades Micro'!$L432,"")</f>
        <v/>
      </c>
      <c r="O380" s="21" t="str">
        <f>IF(AND('Atividades Micro'!$A432=O$2,'Atividades Micro'!$K432&lt;&gt;""),'Atividades Micro'!$K432,"")</f>
        <v/>
      </c>
      <c r="P380" s="21" t="str">
        <f>IF(AND('Atividades Micro'!$A432=P$2,'Atividades Micro'!$L432&lt;&gt;""),'Atividades Micro'!$L432,"")</f>
        <v/>
      </c>
      <c r="Q380" s="21" t="str">
        <f>IF(AND('Atividades Micro'!$B432=Q$2,'Atividades Micro'!$K432&lt;&gt;""),'Atividades Micro'!$K432,"")</f>
        <v/>
      </c>
      <c r="R380" s="21" t="str">
        <f>IF(AND('Atividades Micro'!$B432=R$2,'Atividades Micro'!$L432&lt;&gt;""),'Atividades Micro'!$L432,"")</f>
        <v/>
      </c>
      <c r="S380" s="21" t="str">
        <f>IF(AND('Atividades Micro'!$A432=S$2,'Atividades Micro'!$K432&lt;&gt;""),'Atividades Micro'!$K432,"")</f>
        <v/>
      </c>
      <c r="T380" s="21" t="str">
        <f>IF(AND('Atividades Micro'!$A432=T$2,'Atividades Micro'!$L432&lt;&gt;""),'Atividades Micro'!$L432,"")</f>
        <v/>
      </c>
      <c r="U380" s="21" t="str">
        <f>IF(AND('Atividades Micro'!$B432=U$2,'Atividades Micro'!$K432&lt;&gt;""),'Atividades Micro'!$K432,"")</f>
        <v/>
      </c>
      <c r="V380" s="21" t="str">
        <f>IF(AND('Atividades Micro'!$B432=V$2,'Atividades Micro'!$L432&lt;&gt;""),'Atividades Micro'!$L432,"")</f>
        <v/>
      </c>
      <c r="W380" s="21" t="str">
        <f>IF(AND('Atividades Micro'!$B432=W$2,'Atividades Micro'!$K432&lt;&gt;""),'Atividades Micro'!$K432,"")</f>
        <v/>
      </c>
      <c r="X380" s="21" t="str">
        <f>IF(AND('Atividades Micro'!$B432=X$2,'Atividades Micro'!$L432&lt;&gt;""),'Atividades Micro'!$L432,"")</f>
        <v/>
      </c>
      <c r="Y380" s="21" t="str">
        <f>IF(AND('Atividades Micro'!$A432=Y$2,'Atividades Micro'!$K432&lt;&gt;""),'Atividades Micro'!$K432,"")</f>
        <v/>
      </c>
      <c r="Z380" s="21" t="str">
        <f>IF(AND('Atividades Micro'!$A432=Z$2,'Atividades Micro'!$L432&lt;&gt;""),'Atividades Micro'!$L432,"")</f>
        <v/>
      </c>
      <c r="AA380" s="21" t="str">
        <f>IF(AND('Atividades Micro'!$B432=AA$2,'Atividades Micro'!$K432&lt;&gt;""),'Atividades Micro'!$K432,"")</f>
        <v/>
      </c>
      <c r="AB380" s="21" t="str">
        <f>IF(AND('Atividades Micro'!$B432=AB$2,'Atividades Micro'!$L432&lt;&gt;""),'Atividades Micro'!$L432,"")</f>
        <v/>
      </c>
      <c r="AC380" s="21" t="str">
        <f>IF(AND('Atividades Micro'!$B432=AC$2,'Atividades Micro'!$K432&lt;&gt;""),'Atividades Micro'!$K432,"")</f>
        <v/>
      </c>
      <c r="AD380" s="21" t="str">
        <f>IF(AND('Atividades Micro'!$B432=AD$2,'Atividades Micro'!$L432&lt;&gt;""),'Atividades Micro'!$L432,"")</f>
        <v/>
      </c>
      <c r="AE380" s="21" t="str">
        <f>IF(AND('Atividades Micro'!$A432=AE$2,'Atividades Micro'!$K432&lt;&gt;""),'Atividades Micro'!$K432,"")</f>
        <v/>
      </c>
      <c r="AF380" s="21" t="str">
        <f>IF(AND('Atividades Micro'!$A432=AF$2,'Atividades Micro'!$L432&lt;&gt;""),'Atividades Micro'!$L432,"")</f>
        <v/>
      </c>
      <c r="AG380" s="21" t="str">
        <f>IF(AND('Atividades Micro'!$B432=AG$2,'Atividades Micro'!$K432&lt;&gt;""),'Atividades Micro'!$K432,"")</f>
        <v/>
      </c>
      <c r="AH380" s="21" t="str">
        <f>IF(AND('Atividades Micro'!$B432=AH$2,'Atividades Micro'!$L432&lt;&gt;""),'Atividades Micro'!$L432,"")</f>
        <v/>
      </c>
      <c r="AI380" s="21" t="str">
        <f>IF(AND('Atividades Micro'!$B432=AI$2,'Atividades Micro'!$K432&lt;&gt;""),'Atividades Micro'!$K432,"")</f>
        <v/>
      </c>
      <c r="AJ380" s="21" t="str">
        <f>IF(AND('Atividades Micro'!$B432=AJ$2,'Atividades Micro'!$L432&lt;&gt;""),'Atividades Micro'!$L432,"")</f>
        <v/>
      </c>
      <c r="AK380" s="21" t="str">
        <f>IF(AND('Atividades Micro'!$A432=AK$2,'Atividades Micro'!$K432&lt;&gt;""),'Atividades Micro'!$K432,"")</f>
        <v/>
      </c>
      <c r="AL380" s="21" t="str">
        <f>IF(AND('Atividades Micro'!$A432=AL$2,'Atividades Micro'!$L432&lt;&gt;""),'Atividades Micro'!$L432,"")</f>
        <v/>
      </c>
      <c r="AM380" s="21" t="str">
        <f>IF(AND('Atividades Micro'!$B432=AM$2,'Atividades Micro'!$K432&lt;&gt;""),'Atividades Micro'!$K432,"")</f>
        <v/>
      </c>
      <c r="AN380" s="21" t="str">
        <f>IF(AND('Atividades Micro'!$B432=AN$2,'Atividades Micro'!$L432&lt;&gt;""),'Atividades Micro'!$L432,"")</f>
        <v/>
      </c>
      <c r="AO380" s="21" t="str">
        <f>IF(AND('Atividades Micro'!$B432=AO$2,'Atividades Micro'!$K432&lt;&gt;""),'Atividades Micro'!$K432,"")</f>
        <v/>
      </c>
      <c r="AP380" s="21" t="str">
        <f>IF(AND('Atividades Micro'!$B432=AP$2,'Atividades Micro'!$L432&lt;&gt;""),'Atividades Micro'!$L432,"")</f>
        <v/>
      </c>
      <c r="AQ380" s="21" t="str">
        <f>IF(AND('Atividades Micro'!$A432=AQ$2,'Atividades Micro'!$K432&lt;&gt;""),'Atividades Micro'!$K432,"")</f>
        <v/>
      </c>
      <c r="AR380" s="21" t="str">
        <f>IF(AND('Atividades Micro'!$A432=AR$2,'Atividades Micro'!$L432&lt;&gt;""),'Atividades Micro'!$L432,"")</f>
        <v/>
      </c>
      <c r="AS380" s="21" t="str">
        <f>IF(AND('Atividades Micro'!$B432=AS$2,'Atividades Micro'!$K432&lt;&gt;""),'Atividades Micro'!$K432,"")</f>
        <v/>
      </c>
      <c r="AT380" s="21" t="str">
        <f>IF(AND('Atividades Micro'!$B432=AT$2,'Atividades Micro'!$L432&lt;&gt;""),'Atividades Micro'!$L432,"")</f>
        <v/>
      </c>
      <c r="AU380" s="21" t="str">
        <f>IF(AND('Atividades Micro'!$A432=AU$2,'Atividades Micro'!$K432&lt;&gt;""),'Atividades Micro'!$K432,"")</f>
        <v/>
      </c>
      <c r="AV380" s="21" t="str">
        <f>IF(AND('Atividades Micro'!$A432=AV$2,'Atividades Micro'!$L432&lt;&gt;""),'Atividades Micro'!$L432,"")</f>
        <v/>
      </c>
      <c r="AW380" s="21" t="str">
        <f>IF(AND('Atividades Micro'!$B432=AW$2,'Atividades Micro'!$K432&lt;&gt;""),'Atividades Micro'!$K432,"")</f>
        <v/>
      </c>
      <c r="AX380" s="21" t="str">
        <f>IF(AND('Atividades Micro'!$B432=AX$2,'Atividades Micro'!$L432&lt;&gt;""),'Atividades Micro'!$L432,"")</f>
        <v/>
      </c>
      <c r="AY380" s="21" t="str">
        <f>IF(AND('Atividades Micro'!$A432=AY$2,'Atividades Micro'!$K432&lt;&gt;""),'Atividades Micro'!$K432,"")</f>
        <v/>
      </c>
      <c r="AZ380" s="21" t="str">
        <f>IF(AND('Atividades Micro'!$A432=AZ$2,'Atividades Micro'!$L432&lt;&gt;""),'Atividades Micro'!$L432,"")</f>
        <v/>
      </c>
      <c r="BA380" s="21" t="str">
        <f>IF(AND('Atividades Micro'!$B432=BA$2,'Atividades Micro'!$K432&lt;&gt;""),'Atividades Micro'!$K432,"")</f>
        <v/>
      </c>
      <c r="BB380" s="21" t="str">
        <f>IF(AND('Atividades Micro'!$B432=BB$2,'Atividades Micro'!$L432&lt;&gt;""),'Atividades Micro'!$L432,"")</f>
        <v/>
      </c>
      <c r="BC380" s="21" t="str">
        <f>IF(AND('Atividades Micro'!$B432=BC$2,'Atividades Micro'!$G432="Macro",'Atividades Micro'!$K432&lt;&gt;""),'Atividades Micro'!$K432,"")</f>
        <v/>
      </c>
      <c r="BD380" s="21" t="str">
        <f>IF(AND('Atividades Micro'!$B432=BD$2,'Atividades Micro'!$G432="Macro",'Atividades Micro'!$K432&lt;&gt;""),'Atividades Micro'!$K432,"")</f>
        <v/>
      </c>
      <c r="BE380" s="21" t="str">
        <f>IF(AND('Atividades Micro'!$B432=BE$2,'Atividades Micro'!$G432="Macro",'Atividades Micro'!$K432&lt;&gt;""),'Atividades Micro'!$K432,"")</f>
        <v/>
      </c>
      <c r="BF380" s="21" t="str">
        <f>IF(AND('Atividades Micro'!$B432=BF$2,'Atividades Micro'!$G432="Macro",'Atividades Micro'!$K432&lt;&gt;""),'Atividades Micro'!$K432,"")</f>
        <v/>
      </c>
      <c r="BG380" s="21" t="str">
        <f>IF(AND('Atividades Micro'!$B432=BG$2,'Atividades Micro'!$G432="Macro",'Atividades Micro'!$K432&lt;&gt;""),'Atividades Micro'!$K432,"")</f>
        <v/>
      </c>
      <c r="BH380" s="21" t="str">
        <f>IF(AND('Atividades Micro'!$B432=BH$2,'Atividades Micro'!$G432="Macro",'Atividades Micro'!$K432&lt;&gt;""),'Atividades Micro'!$K432,"")</f>
        <v/>
      </c>
      <c r="BI380" s="21" t="str">
        <f>IF(AND('Atividades Micro'!$B432=BI$2,'Atividades Micro'!$G432="Macro",'Atividades Micro'!$K432&lt;&gt;""),'Atividades Micro'!$K432,"")</f>
        <v/>
      </c>
      <c r="BJ380" s="21" t="str">
        <f>IF(AND('Atividades Micro'!$B432=BJ$2,'Atividades Micro'!$G432="Macro",'Atividades Micro'!$K432&lt;&gt;""),'Atividades Micro'!$K432,"")</f>
        <v/>
      </c>
      <c r="BK380" s="21" t="str">
        <f>IF(AND('Atividades Micro'!$B432=BK$2,'Atividades Micro'!$G432="Macro",'Atividades Micro'!$K432&lt;&gt;""),'Atividades Micro'!$K432,"")</f>
        <v/>
      </c>
      <c r="BL380" s="21" t="str">
        <f>IF(AND('Atividades Micro'!$B432=BL$2,'Atividades Micro'!$G432="Macro",'Atividades Micro'!$K432&lt;&gt;""),'Atividades Micro'!$K432,"")</f>
        <v/>
      </c>
      <c r="BM380" s="21" t="str">
        <f>IF(AND('Atividades Micro'!$B432=BM$2,'Atividades Micro'!$G432="Macro",'Atividades Micro'!$K432&lt;&gt;""),'Atividades Micro'!$K432,"")</f>
        <v/>
      </c>
      <c r="BN380" s="21" t="str">
        <f>IF(AND('Atividades Micro'!$B432=BN$2,'Atividades Micro'!$G432="Macro",'Atividades Micro'!$K432&lt;&gt;""),'Atividades Micro'!$K432,"")</f>
        <v/>
      </c>
      <c r="BO380" s="21" t="str">
        <f>IF(AND('Atividades Micro'!$B432=BO$2,'Atividades Micro'!$G432="Macro",'Atividades Micro'!$K432&lt;&gt;""),'Atividades Micro'!$K432,"")</f>
        <v/>
      </c>
      <c r="BP380" s="21" t="str">
        <f>IF(AND('Atividades Micro'!$B432=BP$2,'Atividades Micro'!$G432="Macro",'Atividades Micro'!$K432&lt;&gt;""),'Atividades Micro'!$K432,"")</f>
        <v/>
      </c>
      <c r="BQ380" s="21" t="str">
        <f>IF(AND('Atividades Micro'!$B432=BQ$2,'Atividades Micro'!$G432="Macro",'Atividades Micro'!$K432&lt;&gt;""),'Atividades Micro'!$K432,"")</f>
        <v/>
      </c>
      <c r="BR380" s="21" t="str">
        <f>IF(AND('Atividades Micro'!$B432=BR$2,'Atividades Micro'!$G432="Macro",'Atividades Micro'!$K432&lt;&gt;""),'Atividades Micro'!$K432,"")</f>
        <v/>
      </c>
      <c r="BS380" s="21" t="str">
        <f>IF(AND('Atividades Micro'!$B432=BS$2,'Atividades Micro'!$G432="Macro",'Atividades Micro'!$K432&lt;&gt;""),'Atividades Micro'!$K432,"")</f>
        <v/>
      </c>
      <c r="BT380" s="21" t="str">
        <f>IF(AND('Atividades Micro'!$B432=BT$2,'Atividades Micro'!$G432="Macro",'Atividades Micro'!$K432&lt;&gt;""),'Atividades Micro'!$K432,"")</f>
        <v/>
      </c>
      <c r="BU380" s="21" t="str">
        <f>IF(AND('Atividades Micro'!$B432=BU$2,'Atividades Micro'!$G432="Macro",'Atividades Micro'!$K432&lt;&gt;""),'Atividades Micro'!$K432,"")</f>
        <v/>
      </c>
      <c r="BV380" s="21" t="str">
        <f>IF(AND('Atividades Micro'!$B432=BV$2,'Atividades Micro'!$G432="Macro",'Atividades Micro'!$K432&lt;&gt;""),'Atividades Micro'!$K432,"")</f>
        <v/>
      </c>
      <c r="BW380" s="21" t="str">
        <f>IF(AND('Atividades Micro'!$B432=BW$2,'Atividades Micro'!$G432="Macro",'Atividades Micro'!$K432&lt;&gt;""),'Atividades Micro'!$K432,"")</f>
        <v/>
      </c>
      <c r="BX380" s="21" t="str">
        <f>IF(AND('Atividades Micro'!$B432=BX$2,'Atividades Micro'!$G432="Macro",'Atividades Micro'!$K432&lt;&gt;""),'Atividades Micro'!$K432,"")</f>
        <v/>
      </c>
      <c r="BY380" s="21" t="str">
        <f>IF(AND('Atividades Micro'!$B432=BY$2,'Atividades Micro'!$G432="Macro",'Atividades Micro'!$K432&lt;&gt;""),'Atividades Micro'!$K432,"")</f>
        <v/>
      </c>
      <c r="BZ380" s="21" t="str">
        <f>IF(AND('Atividades Micro'!$B432=BZ$2,'Atividades Micro'!$G432="Macro",'Atividades Micro'!$K432&lt;&gt;""),'Atividades Micro'!$K432,"")</f>
        <v/>
      </c>
      <c r="CA380" s="21" t="str">
        <f>IF(AND('Atividades Micro'!$B432=CA$2,'Atividades Micro'!$G432="Macro",'Atividades Micro'!$K432&lt;&gt;""),'Atividades Micro'!$K432,"")</f>
        <v/>
      </c>
      <c r="CB380" s="21" t="str">
        <f>IF(AND('Atividades Micro'!$B432=CB$2,'Atividades Micro'!$G432="Macro",'Atividades Micro'!$K432&lt;&gt;""),'Atividades Micro'!$K432,"")</f>
        <v/>
      </c>
      <c r="CC380" s="21" t="str">
        <f>IF(AND('Atividades Micro'!$B432=CC$2,'Atividades Micro'!$G432="Macro",'Atividades Micro'!$K432&lt;&gt;""),'Atividades Micro'!$K432,"")</f>
        <v/>
      </c>
      <c r="CD380" s="21" t="str">
        <f>IF(AND('Atividades Micro'!$B432=CD$2,'Atividades Micro'!$G432="Micro",'Atividades Micro'!$K432&lt;&gt;""),'Atividades Micro'!$K432,"")</f>
        <v/>
      </c>
      <c r="CE380" s="21" t="str">
        <f>IF(AND('Atividades Micro'!$B432=CE$2,'Atividades Micro'!$G432="Micro",'Atividades Micro'!$K432&lt;&gt;""),'Atividades Micro'!$K432,"")</f>
        <v/>
      </c>
      <c r="CF380" s="21" t="str">
        <f>IF(AND('Atividades Micro'!$B432=CF$2,'Atividades Micro'!$G432="Micro",'Atividades Micro'!$K432&lt;&gt;""),'Atividades Micro'!$K432,"")</f>
        <v/>
      </c>
      <c r="CG380" s="21" t="str">
        <f>IF(AND('Atividades Micro'!$B432=CG$2,'Atividades Micro'!$G432="Micro",'Atividades Micro'!$K432&lt;&gt;""),'Atividades Micro'!$K432,"")</f>
        <v/>
      </c>
      <c r="CH380" s="21" t="str">
        <f>IF(AND('Atividades Micro'!$B432=CH$2,'Atividades Micro'!$G432="Micro",'Atividades Micro'!$K432&lt;&gt;""),'Atividades Micro'!$K432,"")</f>
        <v/>
      </c>
      <c r="CI380" s="21" t="str">
        <f>IF(AND('Atividades Micro'!$B432=CI$2,'Atividades Micro'!$G432="Micro",'Atividades Micro'!$K432&lt;&gt;""),'Atividades Micro'!$K432,"")</f>
        <v/>
      </c>
      <c r="CJ380" s="21" t="str">
        <f>IF(AND('Atividades Micro'!$B432=CJ$2,'Atividades Micro'!$G432="Micro",'Atividades Micro'!$K432&lt;&gt;""),'Atividades Micro'!$K432,"")</f>
        <v/>
      </c>
      <c r="CK380" s="21" t="str">
        <f>IF(AND('Atividades Micro'!$B432=CK$2,'Atividades Micro'!$G432="Micro",'Atividades Micro'!$K432&lt;&gt;""),'Atividades Micro'!$K432,"")</f>
        <v/>
      </c>
      <c r="CL380" s="21" t="str">
        <f>IF(AND('Atividades Micro'!$B432=CL$2,'Atividades Micro'!$G432="Micro",'Atividades Micro'!$K432&lt;&gt;""),'Atividades Micro'!$K432,"")</f>
        <v/>
      </c>
      <c r="CM380" s="21" t="str">
        <f>IF(AND('Atividades Micro'!$B432=CM$2,'Atividades Micro'!$G432="Micro",'Atividades Micro'!$K432&lt;&gt;""),'Atividades Micro'!$K432,"")</f>
        <v/>
      </c>
      <c r="CN380" s="21" t="str">
        <f>IF(AND('Atividades Micro'!$B432=CN$2,'Atividades Micro'!$G432="Micro",'Atividades Micro'!$K432&lt;&gt;""),'Atividades Micro'!$K432,"")</f>
        <v/>
      </c>
      <c r="CO380" s="21" t="str">
        <f>IF(AND('Atividades Micro'!$B432=CO$2,'Atividades Micro'!$G432="Micro",'Atividades Micro'!$K432&lt;&gt;""),'Atividades Micro'!$K432,"")</f>
        <v/>
      </c>
    </row>
    <row r="381" spans="1:93">
      <c r="A381" s="21" t="str">
        <f>IF(AND('Atividades Micro'!$A433=A$2,'Atividades Micro'!$K433&lt;&gt;""),'Atividades Micro'!$K433,"")</f>
        <v/>
      </c>
      <c r="B381" s="21" t="str">
        <f>IF(AND('Atividades Micro'!$A433=B$2,'Atividades Micro'!$L433&lt;&gt;""),'Atividades Micro'!$L433,"")</f>
        <v/>
      </c>
      <c r="C381" s="21" t="str">
        <f>IF(AND('Atividades Micro'!$A433=C$2,'Atividades Micro'!$K433&lt;&gt;""),'Atividades Micro'!$K433,"")</f>
        <v/>
      </c>
      <c r="D381" s="21" t="str">
        <f>IF(AND('Atividades Micro'!$A433=D$2,'Atividades Micro'!$L433&lt;&gt;""),'Atividades Micro'!$L433,"")</f>
        <v/>
      </c>
      <c r="E381" s="21" t="str">
        <f>IF(AND('Atividades Micro'!$A433=E$2,'Atividades Micro'!$K433&lt;&gt;""),'Atividades Micro'!$K433,"")</f>
        <v/>
      </c>
      <c r="F381" s="21" t="str">
        <f>IF(AND('Atividades Micro'!$A433=F$2,'Atividades Micro'!$L433&lt;&gt;""),'Atividades Micro'!$L433,"")</f>
        <v/>
      </c>
      <c r="G381" s="21" t="str">
        <f>IF(AND('Atividades Micro'!$A433=G$2,'Atividades Micro'!$K433&lt;&gt;""),'Atividades Micro'!$K433,"")</f>
        <v/>
      </c>
      <c r="H381" s="21" t="str">
        <f>IF(AND('Atividades Micro'!$A433=H$2,'Atividades Micro'!$L433&lt;&gt;""),'Atividades Micro'!$L433,"")</f>
        <v/>
      </c>
      <c r="I381" s="21" t="str">
        <f>IF(AND('Atividades Micro'!$A433=I$2,'Atividades Micro'!$K433&lt;&gt;""),'Atividades Micro'!$K433,"")</f>
        <v/>
      </c>
      <c r="J381" s="21" t="str">
        <f>IF(AND('Atividades Micro'!$A433=J$2,'Atividades Micro'!$L433&lt;&gt;""),'Atividades Micro'!$L433,"")</f>
        <v/>
      </c>
      <c r="K381" s="21" t="str">
        <f>IF(AND('Atividades Micro'!$B433=K$2,'Atividades Micro'!$K433&lt;&gt;""),'Atividades Micro'!$K433,"")</f>
        <v/>
      </c>
      <c r="L381" s="21" t="str">
        <f>IF(AND('Atividades Micro'!$B433=L$2,'Atividades Micro'!$L433&lt;&gt;""),'Atividades Micro'!$L433,"")</f>
        <v/>
      </c>
      <c r="M381" s="21" t="str">
        <f>IF(AND('Atividades Micro'!$B433=M$2,'Atividades Micro'!$K433&lt;&gt;""),'Atividades Micro'!$K433,"")</f>
        <v/>
      </c>
      <c r="N381" s="21" t="str">
        <f>IF(AND('Atividades Micro'!$B433=N$2,'Atividades Micro'!$L433&lt;&gt;""),'Atividades Micro'!$L433,"")</f>
        <v/>
      </c>
      <c r="O381" s="21" t="str">
        <f>IF(AND('Atividades Micro'!$A433=O$2,'Atividades Micro'!$K433&lt;&gt;""),'Atividades Micro'!$K433,"")</f>
        <v/>
      </c>
      <c r="P381" s="21" t="str">
        <f>IF(AND('Atividades Micro'!$A433=P$2,'Atividades Micro'!$L433&lt;&gt;""),'Atividades Micro'!$L433,"")</f>
        <v/>
      </c>
      <c r="Q381" s="21" t="str">
        <f>IF(AND('Atividades Micro'!$B433=Q$2,'Atividades Micro'!$K433&lt;&gt;""),'Atividades Micro'!$K433,"")</f>
        <v/>
      </c>
      <c r="R381" s="21" t="str">
        <f>IF(AND('Atividades Micro'!$B433=R$2,'Atividades Micro'!$L433&lt;&gt;""),'Atividades Micro'!$L433,"")</f>
        <v/>
      </c>
      <c r="S381" s="21" t="str">
        <f>IF(AND('Atividades Micro'!$A433=S$2,'Atividades Micro'!$K433&lt;&gt;""),'Atividades Micro'!$K433,"")</f>
        <v/>
      </c>
      <c r="T381" s="21" t="str">
        <f>IF(AND('Atividades Micro'!$A433=T$2,'Atividades Micro'!$L433&lt;&gt;""),'Atividades Micro'!$L433,"")</f>
        <v/>
      </c>
      <c r="U381" s="21" t="str">
        <f>IF(AND('Atividades Micro'!$B433=U$2,'Atividades Micro'!$K433&lt;&gt;""),'Atividades Micro'!$K433,"")</f>
        <v/>
      </c>
      <c r="V381" s="21" t="str">
        <f>IF(AND('Atividades Micro'!$B433=V$2,'Atividades Micro'!$L433&lt;&gt;""),'Atividades Micro'!$L433,"")</f>
        <v/>
      </c>
      <c r="W381" s="21" t="str">
        <f>IF(AND('Atividades Micro'!$B433=W$2,'Atividades Micro'!$K433&lt;&gt;""),'Atividades Micro'!$K433,"")</f>
        <v/>
      </c>
      <c r="X381" s="21" t="str">
        <f>IF(AND('Atividades Micro'!$B433=X$2,'Atividades Micro'!$L433&lt;&gt;""),'Atividades Micro'!$L433,"")</f>
        <v/>
      </c>
      <c r="Y381" s="21" t="str">
        <f>IF(AND('Atividades Micro'!$A433=Y$2,'Atividades Micro'!$K433&lt;&gt;""),'Atividades Micro'!$K433,"")</f>
        <v/>
      </c>
      <c r="Z381" s="21" t="str">
        <f>IF(AND('Atividades Micro'!$A433=Z$2,'Atividades Micro'!$L433&lt;&gt;""),'Atividades Micro'!$L433,"")</f>
        <v/>
      </c>
      <c r="AA381" s="21" t="str">
        <f>IF(AND('Atividades Micro'!$B433=AA$2,'Atividades Micro'!$K433&lt;&gt;""),'Atividades Micro'!$K433,"")</f>
        <v/>
      </c>
      <c r="AB381" s="21" t="str">
        <f>IF(AND('Atividades Micro'!$B433=AB$2,'Atividades Micro'!$L433&lt;&gt;""),'Atividades Micro'!$L433,"")</f>
        <v/>
      </c>
      <c r="AC381" s="21" t="str">
        <f>IF(AND('Atividades Micro'!$B433=AC$2,'Atividades Micro'!$K433&lt;&gt;""),'Atividades Micro'!$K433,"")</f>
        <v/>
      </c>
      <c r="AD381" s="21" t="str">
        <f>IF(AND('Atividades Micro'!$B433=AD$2,'Atividades Micro'!$L433&lt;&gt;""),'Atividades Micro'!$L433,"")</f>
        <v/>
      </c>
      <c r="AE381" s="21" t="str">
        <f>IF(AND('Atividades Micro'!$A433=AE$2,'Atividades Micro'!$K433&lt;&gt;""),'Atividades Micro'!$K433,"")</f>
        <v/>
      </c>
      <c r="AF381" s="21" t="str">
        <f>IF(AND('Atividades Micro'!$A433=AF$2,'Atividades Micro'!$L433&lt;&gt;""),'Atividades Micro'!$L433,"")</f>
        <v/>
      </c>
      <c r="AG381" s="21" t="str">
        <f>IF(AND('Atividades Micro'!$B433=AG$2,'Atividades Micro'!$K433&lt;&gt;""),'Atividades Micro'!$K433,"")</f>
        <v/>
      </c>
      <c r="AH381" s="21" t="str">
        <f>IF(AND('Atividades Micro'!$B433=AH$2,'Atividades Micro'!$L433&lt;&gt;""),'Atividades Micro'!$L433,"")</f>
        <v/>
      </c>
      <c r="AI381" s="21" t="str">
        <f>IF(AND('Atividades Micro'!$B433=AI$2,'Atividades Micro'!$K433&lt;&gt;""),'Atividades Micro'!$K433,"")</f>
        <v/>
      </c>
      <c r="AJ381" s="21" t="str">
        <f>IF(AND('Atividades Micro'!$B433=AJ$2,'Atividades Micro'!$L433&lt;&gt;""),'Atividades Micro'!$L433,"")</f>
        <v/>
      </c>
      <c r="AK381" s="21" t="str">
        <f>IF(AND('Atividades Micro'!$A433=AK$2,'Atividades Micro'!$K433&lt;&gt;""),'Atividades Micro'!$K433,"")</f>
        <v/>
      </c>
      <c r="AL381" s="21" t="str">
        <f>IF(AND('Atividades Micro'!$A433=AL$2,'Atividades Micro'!$L433&lt;&gt;""),'Atividades Micro'!$L433,"")</f>
        <v/>
      </c>
      <c r="AM381" s="21" t="str">
        <f>IF(AND('Atividades Micro'!$B433=AM$2,'Atividades Micro'!$K433&lt;&gt;""),'Atividades Micro'!$K433,"")</f>
        <v/>
      </c>
      <c r="AN381" s="21" t="str">
        <f>IF(AND('Atividades Micro'!$B433=AN$2,'Atividades Micro'!$L433&lt;&gt;""),'Atividades Micro'!$L433,"")</f>
        <v/>
      </c>
      <c r="AO381" s="21" t="str">
        <f>IF(AND('Atividades Micro'!$B433=AO$2,'Atividades Micro'!$K433&lt;&gt;""),'Atividades Micro'!$K433,"")</f>
        <v/>
      </c>
      <c r="AP381" s="21" t="str">
        <f>IF(AND('Atividades Micro'!$B433=AP$2,'Atividades Micro'!$L433&lt;&gt;""),'Atividades Micro'!$L433,"")</f>
        <v/>
      </c>
      <c r="AQ381" s="21" t="str">
        <f>IF(AND('Atividades Micro'!$A433=AQ$2,'Atividades Micro'!$K433&lt;&gt;""),'Atividades Micro'!$K433,"")</f>
        <v/>
      </c>
      <c r="AR381" s="21" t="str">
        <f>IF(AND('Atividades Micro'!$A433=AR$2,'Atividades Micro'!$L433&lt;&gt;""),'Atividades Micro'!$L433,"")</f>
        <v/>
      </c>
      <c r="AS381" s="21" t="str">
        <f>IF(AND('Atividades Micro'!$B433=AS$2,'Atividades Micro'!$K433&lt;&gt;""),'Atividades Micro'!$K433,"")</f>
        <v/>
      </c>
      <c r="AT381" s="21" t="str">
        <f>IF(AND('Atividades Micro'!$B433=AT$2,'Atividades Micro'!$L433&lt;&gt;""),'Atividades Micro'!$L433,"")</f>
        <v/>
      </c>
      <c r="AU381" s="21" t="str">
        <f>IF(AND('Atividades Micro'!$A433=AU$2,'Atividades Micro'!$K433&lt;&gt;""),'Atividades Micro'!$K433,"")</f>
        <v/>
      </c>
      <c r="AV381" s="21" t="str">
        <f>IF(AND('Atividades Micro'!$A433=AV$2,'Atividades Micro'!$L433&lt;&gt;""),'Atividades Micro'!$L433,"")</f>
        <v/>
      </c>
      <c r="AW381" s="21" t="str">
        <f>IF(AND('Atividades Micro'!$B433=AW$2,'Atividades Micro'!$K433&lt;&gt;""),'Atividades Micro'!$K433,"")</f>
        <v/>
      </c>
      <c r="AX381" s="21" t="str">
        <f>IF(AND('Atividades Micro'!$B433=AX$2,'Atividades Micro'!$L433&lt;&gt;""),'Atividades Micro'!$L433,"")</f>
        <v/>
      </c>
      <c r="AY381" s="21" t="str">
        <f>IF(AND('Atividades Micro'!$A433=AY$2,'Atividades Micro'!$K433&lt;&gt;""),'Atividades Micro'!$K433,"")</f>
        <v/>
      </c>
      <c r="AZ381" s="21" t="str">
        <f>IF(AND('Atividades Micro'!$A433=AZ$2,'Atividades Micro'!$L433&lt;&gt;""),'Atividades Micro'!$L433,"")</f>
        <v/>
      </c>
      <c r="BA381" s="21" t="str">
        <f>IF(AND('Atividades Micro'!$B433=BA$2,'Atividades Micro'!$K433&lt;&gt;""),'Atividades Micro'!$K433,"")</f>
        <v/>
      </c>
      <c r="BB381" s="21" t="str">
        <f>IF(AND('Atividades Micro'!$B433=BB$2,'Atividades Micro'!$L433&lt;&gt;""),'Atividades Micro'!$L433,"")</f>
        <v/>
      </c>
      <c r="BC381" s="21" t="str">
        <f>IF(AND('Atividades Micro'!$B433=BC$2,'Atividades Micro'!$G433="Macro",'Atividades Micro'!$K433&lt;&gt;""),'Atividades Micro'!$K433,"")</f>
        <v/>
      </c>
      <c r="BD381" s="21" t="str">
        <f>IF(AND('Atividades Micro'!$B433=BD$2,'Atividades Micro'!$G433="Macro",'Atividades Micro'!$K433&lt;&gt;""),'Atividades Micro'!$K433,"")</f>
        <v/>
      </c>
      <c r="BE381" s="21" t="str">
        <f>IF(AND('Atividades Micro'!$B433=BE$2,'Atividades Micro'!$G433="Macro",'Atividades Micro'!$K433&lt;&gt;""),'Atividades Micro'!$K433,"")</f>
        <v/>
      </c>
      <c r="BF381" s="21" t="str">
        <f>IF(AND('Atividades Micro'!$B433=BF$2,'Atividades Micro'!$G433="Macro",'Atividades Micro'!$K433&lt;&gt;""),'Atividades Micro'!$K433,"")</f>
        <v/>
      </c>
      <c r="BG381" s="21" t="str">
        <f>IF(AND('Atividades Micro'!$B433=BG$2,'Atividades Micro'!$G433="Macro",'Atividades Micro'!$K433&lt;&gt;""),'Atividades Micro'!$K433,"")</f>
        <v/>
      </c>
      <c r="BH381" s="21" t="str">
        <f>IF(AND('Atividades Micro'!$B433=BH$2,'Atividades Micro'!$G433="Macro",'Atividades Micro'!$K433&lt;&gt;""),'Atividades Micro'!$K433,"")</f>
        <v/>
      </c>
      <c r="BI381" s="21" t="str">
        <f>IF(AND('Atividades Micro'!$B433=BI$2,'Atividades Micro'!$G433="Macro",'Atividades Micro'!$K433&lt;&gt;""),'Atividades Micro'!$K433,"")</f>
        <v/>
      </c>
      <c r="BJ381" s="21" t="str">
        <f>IF(AND('Atividades Micro'!$B433=BJ$2,'Atividades Micro'!$G433="Macro",'Atividades Micro'!$K433&lt;&gt;""),'Atividades Micro'!$K433,"")</f>
        <v/>
      </c>
      <c r="BK381" s="21" t="str">
        <f>IF(AND('Atividades Micro'!$B433=BK$2,'Atividades Micro'!$G433="Macro",'Atividades Micro'!$K433&lt;&gt;""),'Atividades Micro'!$K433,"")</f>
        <v/>
      </c>
      <c r="BL381" s="21" t="str">
        <f>IF(AND('Atividades Micro'!$B433=BL$2,'Atividades Micro'!$G433="Macro",'Atividades Micro'!$K433&lt;&gt;""),'Atividades Micro'!$K433,"")</f>
        <v/>
      </c>
      <c r="BM381" s="21" t="str">
        <f>IF(AND('Atividades Micro'!$B433=BM$2,'Atividades Micro'!$G433="Macro",'Atividades Micro'!$K433&lt;&gt;""),'Atividades Micro'!$K433,"")</f>
        <v/>
      </c>
      <c r="BN381" s="21" t="str">
        <f>IF(AND('Atividades Micro'!$B433=BN$2,'Atividades Micro'!$G433="Macro",'Atividades Micro'!$K433&lt;&gt;""),'Atividades Micro'!$K433,"")</f>
        <v/>
      </c>
      <c r="BO381" s="21" t="str">
        <f>IF(AND('Atividades Micro'!$B433=BO$2,'Atividades Micro'!$G433="Macro",'Atividades Micro'!$K433&lt;&gt;""),'Atividades Micro'!$K433,"")</f>
        <v/>
      </c>
      <c r="BP381" s="21" t="str">
        <f>IF(AND('Atividades Micro'!$B433=BP$2,'Atividades Micro'!$G433="Macro",'Atividades Micro'!$K433&lt;&gt;""),'Atividades Micro'!$K433,"")</f>
        <v/>
      </c>
      <c r="BQ381" s="21" t="str">
        <f>IF(AND('Atividades Micro'!$B433=BQ$2,'Atividades Micro'!$G433="Macro",'Atividades Micro'!$K433&lt;&gt;""),'Atividades Micro'!$K433,"")</f>
        <v/>
      </c>
      <c r="BR381" s="21" t="str">
        <f>IF(AND('Atividades Micro'!$B433=BR$2,'Atividades Micro'!$G433="Macro",'Atividades Micro'!$K433&lt;&gt;""),'Atividades Micro'!$K433,"")</f>
        <v/>
      </c>
      <c r="BS381" s="21" t="str">
        <f>IF(AND('Atividades Micro'!$B433=BS$2,'Atividades Micro'!$G433="Macro",'Atividades Micro'!$K433&lt;&gt;""),'Atividades Micro'!$K433,"")</f>
        <v/>
      </c>
      <c r="BT381" s="21" t="str">
        <f>IF(AND('Atividades Micro'!$B433=BT$2,'Atividades Micro'!$G433="Macro",'Atividades Micro'!$K433&lt;&gt;""),'Atividades Micro'!$K433,"")</f>
        <v/>
      </c>
      <c r="BU381" s="21" t="str">
        <f>IF(AND('Atividades Micro'!$B433=BU$2,'Atividades Micro'!$G433="Macro",'Atividades Micro'!$K433&lt;&gt;""),'Atividades Micro'!$K433,"")</f>
        <v/>
      </c>
      <c r="BV381" s="21" t="str">
        <f>IF(AND('Atividades Micro'!$B433=BV$2,'Atividades Micro'!$G433="Macro",'Atividades Micro'!$K433&lt;&gt;""),'Atividades Micro'!$K433,"")</f>
        <v/>
      </c>
      <c r="BW381" s="21" t="str">
        <f>IF(AND('Atividades Micro'!$B433=BW$2,'Atividades Micro'!$G433="Macro",'Atividades Micro'!$K433&lt;&gt;""),'Atividades Micro'!$K433,"")</f>
        <v/>
      </c>
      <c r="BX381" s="21" t="str">
        <f>IF(AND('Atividades Micro'!$B433=BX$2,'Atividades Micro'!$G433="Macro",'Atividades Micro'!$K433&lt;&gt;""),'Atividades Micro'!$K433,"")</f>
        <v/>
      </c>
      <c r="BY381" s="21" t="str">
        <f>IF(AND('Atividades Micro'!$B433=BY$2,'Atividades Micro'!$G433="Macro",'Atividades Micro'!$K433&lt;&gt;""),'Atividades Micro'!$K433,"")</f>
        <v/>
      </c>
      <c r="BZ381" s="21" t="str">
        <f>IF(AND('Atividades Micro'!$B433=BZ$2,'Atividades Micro'!$G433="Macro",'Atividades Micro'!$K433&lt;&gt;""),'Atividades Micro'!$K433,"")</f>
        <v/>
      </c>
      <c r="CA381" s="21" t="str">
        <f>IF(AND('Atividades Micro'!$B433=CA$2,'Atividades Micro'!$G433="Macro",'Atividades Micro'!$K433&lt;&gt;""),'Atividades Micro'!$K433,"")</f>
        <v/>
      </c>
      <c r="CB381" s="21" t="str">
        <f>IF(AND('Atividades Micro'!$B433=CB$2,'Atividades Micro'!$G433="Macro",'Atividades Micro'!$K433&lt;&gt;""),'Atividades Micro'!$K433,"")</f>
        <v/>
      </c>
      <c r="CC381" s="21" t="str">
        <f>IF(AND('Atividades Micro'!$B433=CC$2,'Atividades Micro'!$G433="Macro",'Atividades Micro'!$K433&lt;&gt;""),'Atividades Micro'!$K433,"")</f>
        <v/>
      </c>
      <c r="CD381" s="21" t="str">
        <f>IF(AND('Atividades Micro'!$B433=CD$2,'Atividades Micro'!$G433="Micro",'Atividades Micro'!$K433&lt;&gt;""),'Atividades Micro'!$K433,"")</f>
        <v/>
      </c>
      <c r="CE381" s="21" t="str">
        <f>IF(AND('Atividades Micro'!$B433=CE$2,'Atividades Micro'!$G433="Micro",'Atividades Micro'!$K433&lt;&gt;""),'Atividades Micro'!$K433,"")</f>
        <v/>
      </c>
      <c r="CF381" s="21" t="str">
        <f>IF(AND('Atividades Micro'!$B433=CF$2,'Atividades Micro'!$G433="Micro",'Atividades Micro'!$K433&lt;&gt;""),'Atividades Micro'!$K433,"")</f>
        <v/>
      </c>
      <c r="CG381" s="21" t="str">
        <f>IF(AND('Atividades Micro'!$B433=CG$2,'Atividades Micro'!$G433="Micro",'Atividades Micro'!$K433&lt;&gt;""),'Atividades Micro'!$K433,"")</f>
        <v/>
      </c>
      <c r="CH381" s="21" t="str">
        <f>IF(AND('Atividades Micro'!$B433=CH$2,'Atividades Micro'!$G433="Micro",'Atividades Micro'!$K433&lt;&gt;""),'Atividades Micro'!$K433,"")</f>
        <v/>
      </c>
      <c r="CI381" s="21" t="str">
        <f>IF(AND('Atividades Micro'!$B433=CI$2,'Atividades Micro'!$G433="Micro",'Atividades Micro'!$K433&lt;&gt;""),'Atividades Micro'!$K433,"")</f>
        <v/>
      </c>
      <c r="CJ381" s="21" t="str">
        <f>IF(AND('Atividades Micro'!$B433=CJ$2,'Atividades Micro'!$G433="Micro",'Atividades Micro'!$K433&lt;&gt;""),'Atividades Micro'!$K433,"")</f>
        <v/>
      </c>
      <c r="CK381" s="21" t="str">
        <f>IF(AND('Atividades Micro'!$B433=CK$2,'Atividades Micro'!$G433="Micro",'Atividades Micro'!$K433&lt;&gt;""),'Atividades Micro'!$K433,"")</f>
        <v/>
      </c>
      <c r="CL381" s="21" t="str">
        <f>IF(AND('Atividades Micro'!$B433=CL$2,'Atividades Micro'!$G433="Micro",'Atividades Micro'!$K433&lt;&gt;""),'Atividades Micro'!$K433,"")</f>
        <v/>
      </c>
      <c r="CM381" s="21" t="str">
        <f>IF(AND('Atividades Micro'!$B433=CM$2,'Atividades Micro'!$G433="Micro",'Atividades Micro'!$K433&lt;&gt;""),'Atividades Micro'!$K433,"")</f>
        <v/>
      </c>
      <c r="CN381" s="21" t="str">
        <f>IF(AND('Atividades Micro'!$B433=CN$2,'Atividades Micro'!$G433="Micro",'Atividades Micro'!$K433&lt;&gt;""),'Atividades Micro'!$K433,"")</f>
        <v/>
      </c>
      <c r="CO381" s="21" t="str">
        <f>IF(AND('Atividades Micro'!$B433=CO$2,'Atividades Micro'!$G433="Micro",'Atividades Micro'!$K433&lt;&gt;""),'Atividades Micro'!$K433,"")</f>
        <v/>
      </c>
    </row>
    <row r="382" spans="1:93">
      <c r="A382" s="21" t="str">
        <f>IF(AND('Atividades Micro'!$A434=A$2,'Atividades Micro'!$K434&lt;&gt;""),'Atividades Micro'!$K434,"")</f>
        <v/>
      </c>
      <c r="B382" s="21" t="str">
        <f>IF(AND('Atividades Micro'!$A434=B$2,'Atividades Micro'!$L434&lt;&gt;""),'Atividades Micro'!$L434,"")</f>
        <v/>
      </c>
      <c r="C382" s="21" t="str">
        <f>IF(AND('Atividades Micro'!$A434=C$2,'Atividades Micro'!$K434&lt;&gt;""),'Atividades Micro'!$K434,"")</f>
        <v/>
      </c>
      <c r="D382" s="21" t="str">
        <f>IF(AND('Atividades Micro'!$A434=D$2,'Atividades Micro'!$L434&lt;&gt;""),'Atividades Micro'!$L434,"")</f>
        <v/>
      </c>
      <c r="E382" s="21" t="str">
        <f>IF(AND('Atividades Micro'!$A434=E$2,'Atividades Micro'!$K434&lt;&gt;""),'Atividades Micro'!$K434,"")</f>
        <v/>
      </c>
      <c r="F382" s="21" t="str">
        <f>IF(AND('Atividades Micro'!$A434=F$2,'Atividades Micro'!$L434&lt;&gt;""),'Atividades Micro'!$L434,"")</f>
        <v/>
      </c>
      <c r="G382" s="21" t="str">
        <f>IF(AND('Atividades Micro'!$A434=G$2,'Atividades Micro'!$K434&lt;&gt;""),'Atividades Micro'!$K434,"")</f>
        <v/>
      </c>
      <c r="H382" s="21" t="str">
        <f>IF(AND('Atividades Micro'!$A434=H$2,'Atividades Micro'!$L434&lt;&gt;""),'Atividades Micro'!$L434,"")</f>
        <v/>
      </c>
      <c r="I382" s="21" t="str">
        <f>IF(AND('Atividades Micro'!$A434=I$2,'Atividades Micro'!$K434&lt;&gt;""),'Atividades Micro'!$K434,"")</f>
        <v/>
      </c>
      <c r="J382" s="21" t="str">
        <f>IF(AND('Atividades Micro'!$A434=J$2,'Atividades Micro'!$L434&lt;&gt;""),'Atividades Micro'!$L434,"")</f>
        <v/>
      </c>
      <c r="K382" s="21" t="str">
        <f>IF(AND('Atividades Micro'!$B434=K$2,'Atividades Micro'!$K434&lt;&gt;""),'Atividades Micro'!$K434,"")</f>
        <v/>
      </c>
      <c r="L382" s="21" t="str">
        <f>IF(AND('Atividades Micro'!$B434=L$2,'Atividades Micro'!$L434&lt;&gt;""),'Atividades Micro'!$L434,"")</f>
        <v/>
      </c>
      <c r="M382" s="21" t="str">
        <f>IF(AND('Atividades Micro'!$B434=M$2,'Atividades Micro'!$K434&lt;&gt;""),'Atividades Micro'!$K434,"")</f>
        <v/>
      </c>
      <c r="N382" s="21" t="str">
        <f>IF(AND('Atividades Micro'!$B434=N$2,'Atividades Micro'!$L434&lt;&gt;""),'Atividades Micro'!$L434,"")</f>
        <v/>
      </c>
      <c r="O382" s="21" t="str">
        <f>IF(AND('Atividades Micro'!$A434=O$2,'Atividades Micro'!$K434&lt;&gt;""),'Atividades Micro'!$K434,"")</f>
        <v/>
      </c>
      <c r="P382" s="21" t="str">
        <f>IF(AND('Atividades Micro'!$A434=P$2,'Atividades Micro'!$L434&lt;&gt;""),'Atividades Micro'!$L434,"")</f>
        <v/>
      </c>
      <c r="Q382" s="21" t="str">
        <f>IF(AND('Atividades Micro'!$B434=Q$2,'Atividades Micro'!$K434&lt;&gt;""),'Atividades Micro'!$K434,"")</f>
        <v/>
      </c>
      <c r="R382" s="21" t="str">
        <f>IF(AND('Atividades Micro'!$B434=R$2,'Atividades Micro'!$L434&lt;&gt;""),'Atividades Micro'!$L434,"")</f>
        <v/>
      </c>
      <c r="S382" s="21" t="str">
        <f>IF(AND('Atividades Micro'!$A434=S$2,'Atividades Micro'!$K434&lt;&gt;""),'Atividades Micro'!$K434,"")</f>
        <v/>
      </c>
      <c r="T382" s="21" t="str">
        <f>IF(AND('Atividades Micro'!$A434=T$2,'Atividades Micro'!$L434&lt;&gt;""),'Atividades Micro'!$L434,"")</f>
        <v/>
      </c>
      <c r="U382" s="21" t="str">
        <f>IF(AND('Atividades Micro'!$B434=U$2,'Atividades Micro'!$K434&lt;&gt;""),'Atividades Micro'!$K434,"")</f>
        <v/>
      </c>
      <c r="V382" s="21" t="str">
        <f>IF(AND('Atividades Micro'!$B434=V$2,'Atividades Micro'!$L434&lt;&gt;""),'Atividades Micro'!$L434,"")</f>
        <v/>
      </c>
      <c r="W382" s="21" t="str">
        <f>IF(AND('Atividades Micro'!$B434=W$2,'Atividades Micro'!$K434&lt;&gt;""),'Atividades Micro'!$K434,"")</f>
        <v/>
      </c>
      <c r="X382" s="21" t="str">
        <f>IF(AND('Atividades Micro'!$B434=X$2,'Atividades Micro'!$L434&lt;&gt;""),'Atividades Micro'!$L434,"")</f>
        <v/>
      </c>
      <c r="Y382" s="21" t="str">
        <f>IF(AND('Atividades Micro'!$A434=Y$2,'Atividades Micro'!$K434&lt;&gt;""),'Atividades Micro'!$K434,"")</f>
        <v/>
      </c>
      <c r="Z382" s="21" t="str">
        <f>IF(AND('Atividades Micro'!$A434=Z$2,'Atividades Micro'!$L434&lt;&gt;""),'Atividades Micro'!$L434,"")</f>
        <v/>
      </c>
      <c r="AA382" s="21" t="str">
        <f>IF(AND('Atividades Micro'!$B434=AA$2,'Atividades Micro'!$K434&lt;&gt;""),'Atividades Micro'!$K434,"")</f>
        <v/>
      </c>
      <c r="AB382" s="21" t="str">
        <f>IF(AND('Atividades Micro'!$B434=AB$2,'Atividades Micro'!$L434&lt;&gt;""),'Atividades Micro'!$L434,"")</f>
        <v/>
      </c>
      <c r="AC382" s="21" t="str">
        <f>IF(AND('Atividades Micro'!$B434=AC$2,'Atividades Micro'!$K434&lt;&gt;""),'Atividades Micro'!$K434,"")</f>
        <v/>
      </c>
      <c r="AD382" s="21" t="str">
        <f>IF(AND('Atividades Micro'!$B434=AD$2,'Atividades Micro'!$L434&lt;&gt;""),'Atividades Micro'!$L434,"")</f>
        <v/>
      </c>
      <c r="AE382" s="21" t="str">
        <f>IF(AND('Atividades Micro'!$A434=AE$2,'Atividades Micro'!$K434&lt;&gt;""),'Atividades Micro'!$K434,"")</f>
        <v/>
      </c>
      <c r="AF382" s="21" t="str">
        <f>IF(AND('Atividades Micro'!$A434=AF$2,'Atividades Micro'!$L434&lt;&gt;""),'Atividades Micro'!$L434,"")</f>
        <v/>
      </c>
      <c r="AG382" s="21" t="str">
        <f>IF(AND('Atividades Micro'!$B434=AG$2,'Atividades Micro'!$K434&lt;&gt;""),'Atividades Micro'!$K434,"")</f>
        <v/>
      </c>
      <c r="AH382" s="21" t="str">
        <f>IF(AND('Atividades Micro'!$B434=AH$2,'Atividades Micro'!$L434&lt;&gt;""),'Atividades Micro'!$L434,"")</f>
        <v/>
      </c>
      <c r="AI382" s="21" t="str">
        <f>IF(AND('Atividades Micro'!$B434=AI$2,'Atividades Micro'!$K434&lt;&gt;""),'Atividades Micro'!$K434,"")</f>
        <v/>
      </c>
      <c r="AJ382" s="21" t="str">
        <f>IF(AND('Atividades Micro'!$B434=AJ$2,'Atividades Micro'!$L434&lt;&gt;""),'Atividades Micro'!$L434,"")</f>
        <v/>
      </c>
      <c r="AK382" s="21" t="str">
        <f>IF(AND('Atividades Micro'!$A434=AK$2,'Atividades Micro'!$K434&lt;&gt;""),'Atividades Micro'!$K434,"")</f>
        <v/>
      </c>
      <c r="AL382" s="21" t="str">
        <f>IF(AND('Atividades Micro'!$A434=AL$2,'Atividades Micro'!$L434&lt;&gt;""),'Atividades Micro'!$L434,"")</f>
        <v/>
      </c>
      <c r="AM382" s="21" t="str">
        <f>IF(AND('Atividades Micro'!$B434=AM$2,'Atividades Micro'!$K434&lt;&gt;""),'Atividades Micro'!$K434,"")</f>
        <v/>
      </c>
      <c r="AN382" s="21" t="str">
        <f>IF(AND('Atividades Micro'!$B434=AN$2,'Atividades Micro'!$L434&lt;&gt;""),'Atividades Micro'!$L434,"")</f>
        <v/>
      </c>
      <c r="AO382" s="21" t="str">
        <f>IF(AND('Atividades Micro'!$B434=AO$2,'Atividades Micro'!$K434&lt;&gt;""),'Atividades Micro'!$K434,"")</f>
        <v/>
      </c>
      <c r="AP382" s="21" t="str">
        <f>IF(AND('Atividades Micro'!$B434=AP$2,'Atividades Micro'!$L434&lt;&gt;""),'Atividades Micro'!$L434,"")</f>
        <v/>
      </c>
      <c r="AQ382" s="21" t="str">
        <f>IF(AND('Atividades Micro'!$A434=AQ$2,'Atividades Micro'!$K434&lt;&gt;""),'Atividades Micro'!$K434,"")</f>
        <v/>
      </c>
      <c r="AR382" s="21" t="str">
        <f>IF(AND('Atividades Micro'!$A434=AR$2,'Atividades Micro'!$L434&lt;&gt;""),'Atividades Micro'!$L434,"")</f>
        <v/>
      </c>
      <c r="AS382" s="21" t="str">
        <f>IF(AND('Atividades Micro'!$B434=AS$2,'Atividades Micro'!$K434&lt;&gt;""),'Atividades Micro'!$K434,"")</f>
        <v/>
      </c>
      <c r="AT382" s="21" t="str">
        <f>IF(AND('Atividades Micro'!$B434=AT$2,'Atividades Micro'!$L434&lt;&gt;""),'Atividades Micro'!$L434,"")</f>
        <v/>
      </c>
      <c r="AU382" s="21" t="str">
        <f>IF(AND('Atividades Micro'!$A434=AU$2,'Atividades Micro'!$K434&lt;&gt;""),'Atividades Micro'!$K434,"")</f>
        <v/>
      </c>
      <c r="AV382" s="21" t="str">
        <f>IF(AND('Atividades Micro'!$A434=AV$2,'Atividades Micro'!$L434&lt;&gt;""),'Atividades Micro'!$L434,"")</f>
        <v/>
      </c>
      <c r="AW382" s="21" t="str">
        <f>IF(AND('Atividades Micro'!$B434=AW$2,'Atividades Micro'!$K434&lt;&gt;""),'Atividades Micro'!$K434,"")</f>
        <v/>
      </c>
      <c r="AX382" s="21" t="str">
        <f>IF(AND('Atividades Micro'!$B434=AX$2,'Atividades Micro'!$L434&lt;&gt;""),'Atividades Micro'!$L434,"")</f>
        <v/>
      </c>
      <c r="AY382" s="21" t="str">
        <f>IF(AND('Atividades Micro'!$A434=AY$2,'Atividades Micro'!$K434&lt;&gt;""),'Atividades Micro'!$K434,"")</f>
        <v/>
      </c>
      <c r="AZ382" s="21" t="str">
        <f>IF(AND('Atividades Micro'!$A434=AZ$2,'Atividades Micro'!$L434&lt;&gt;""),'Atividades Micro'!$L434,"")</f>
        <v/>
      </c>
      <c r="BA382" s="21" t="str">
        <f>IF(AND('Atividades Micro'!$B434=BA$2,'Atividades Micro'!$K434&lt;&gt;""),'Atividades Micro'!$K434,"")</f>
        <v/>
      </c>
      <c r="BB382" s="21" t="str">
        <f>IF(AND('Atividades Micro'!$B434=BB$2,'Atividades Micro'!$L434&lt;&gt;""),'Atividades Micro'!$L434,"")</f>
        <v/>
      </c>
      <c r="BC382" s="21" t="str">
        <f>IF(AND('Atividades Micro'!$B434=BC$2,'Atividades Micro'!$G434="Macro",'Atividades Micro'!$K434&lt;&gt;""),'Atividades Micro'!$K434,"")</f>
        <v/>
      </c>
      <c r="BD382" s="21" t="str">
        <f>IF(AND('Atividades Micro'!$B434=BD$2,'Atividades Micro'!$G434="Macro",'Atividades Micro'!$K434&lt;&gt;""),'Atividades Micro'!$K434,"")</f>
        <v/>
      </c>
      <c r="BE382" s="21" t="str">
        <f>IF(AND('Atividades Micro'!$B434=BE$2,'Atividades Micro'!$G434="Macro",'Atividades Micro'!$K434&lt;&gt;""),'Atividades Micro'!$K434,"")</f>
        <v/>
      </c>
      <c r="BF382" s="21" t="str">
        <f>IF(AND('Atividades Micro'!$B434=BF$2,'Atividades Micro'!$G434="Macro",'Atividades Micro'!$K434&lt;&gt;""),'Atividades Micro'!$K434,"")</f>
        <v/>
      </c>
      <c r="BG382" s="21" t="str">
        <f>IF(AND('Atividades Micro'!$B434=BG$2,'Atividades Micro'!$G434="Macro",'Atividades Micro'!$K434&lt;&gt;""),'Atividades Micro'!$K434,"")</f>
        <v/>
      </c>
      <c r="BH382" s="21" t="str">
        <f>IF(AND('Atividades Micro'!$B434=BH$2,'Atividades Micro'!$G434="Macro",'Atividades Micro'!$K434&lt;&gt;""),'Atividades Micro'!$K434,"")</f>
        <v/>
      </c>
      <c r="BI382" s="21" t="str">
        <f>IF(AND('Atividades Micro'!$B434=BI$2,'Atividades Micro'!$G434="Macro",'Atividades Micro'!$K434&lt;&gt;""),'Atividades Micro'!$K434,"")</f>
        <v/>
      </c>
      <c r="BJ382" s="21" t="str">
        <f>IF(AND('Atividades Micro'!$B434=BJ$2,'Atividades Micro'!$G434="Macro",'Atividades Micro'!$K434&lt;&gt;""),'Atividades Micro'!$K434,"")</f>
        <v/>
      </c>
      <c r="BK382" s="21" t="str">
        <f>IF(AND('Atividades Micro'!$B434=BK$2,'Atividades Micro'!$G434="Macro",'Atividades Micro'!$K434&lt;&gt;""),'Atividades Micro'!$K434,"")</f>
        <v/>
      </c>
      <c r="BL382" s="21" t="str">
        <f>IF(AND('Atividades Micro'!$B434=BL$2,'Atividades Micro'!$G434="Macro",'Atividades Micro'!$K434&lt;&gt;""),'Atividades Micro'!$K434,"")</f>
        <v/>
      </c>
      <c r="BM382" s="21" t="str">
        <f>IF(AND('Atividades Micro'!$B434=BM$2,'Atividades Micro'!$G434="Macro",'Atividades Micro'!$K434&lt;&gt;""),'Atividades Micro'!$K434,"")</f>
        <v/>
      </c>
      <c r="BN382" s="21" t="str">
        <f>IF(AND('Atividades Micro'!$B434=BN$2,'Atividades Micro'!$G434="Macro",'Atividades Micro'!$K434&lt;&gt;""),'Atividades Micro'!$K434,"")</f>
        <v/>
      </c>
      <c r="BO382" s="21" t="str">
        <f>IF(AND('Atividades Micro'!$B434=BO$2,'Atividades Micro'!$G434="Macro",'Atividades Micro'!$K434&lt;&gt;""),'Atividades Micro'!$K434,"")</f>
        <v/>
      </c>
      <c r="BP382" s="21" t="str">
        <f>IF(AND('Atividades Micro'!$B434=BP$2,'Atividades Micro'!$G434="Macro",'Atividades Micro'!$K434&lt;&gt;""),'Atividades Micro'!$K434,"")</f>
        <v/>
      </c>
      <c r="BQ382" s="21" t="str">
        <f>IF(AND('Atividades Micro'!$B434=BQ$2,'Atividades Micro'!$G434="Macro",'Atividades Micro'!$K434&lt;&gt;""),'Atividades Micro'!$K434,"")</f>
        <v/>
      </c>
      <c r="BR382" s="21" t="str">
        <f>IF(AND('Atividades Micro'!$B434=BR$2,'Atividades Micro'!$G434="Macro",'Atividades Micro'!$K434&lt;&gt;""),'Atividades Micro'!$K434,"")</f>
        <v/>
      </c>
      <c r="BS382" s="21" t="str">
        <f>IF(AND('Atividades Micro'!$B434=BS$2,'Atividades Micro'!$G434="Macro",'Atividades Micro'!$K434&lt;&gt;""),'Atividades Micro'!$K434,"")</f>
        <v/>
      </c>
      <c r="BT382" s="21" t="str">
        <f>IF(AND('Atividades Micro'!$B434=BT$2,'Atividades Micro'!$G434="Macro",'Atividades Micro'!$K434&lt;&gt;""),'Atividades Micro'!$K434,"")</f>
        <v/>
      </c>
      <c r="BU382" s="21" t="str">
        <f>IF(AND('Atividades Micro'!$B434=BU$2,'Atividades Micro'!$G434="Macro",'Atividades Micro'!$K434&lt;&gt;""),'Atividades Micro'!$K434,"")</f>
        <v/>
      </c>
      <c r="BV382" s="21" t="str">
        <f>IF(AND('Atividades Micro'!$B434=BV$2,'Atividades Micro'!$G434="Macro",'Atividades Micro'!$K434&lt;&gt;""),'Atividades Micro'!$K434,"")</f>
        <v/>
      </c>
      <c r="BW382" s="21" t="str">
        <f>IF(AND('Atividades Micro'!$B434=BW$2,'Atividades Micro'!$G434="Macro",'Atividades Micro'!$K434&lt;&gt;""),'Atividades Micro'!$K434,"")</f>
        <v/>
      </c>
      <c r="BX382" s="21" t="str">
        <f>IF(AND('Atividades Micro'!$B434=BX$2,'Atividades Micro'!$G434="Macro",'Atividades Micro'!$K434&lt;&gt;""),'Atividades Micro'!$K434,"")</f>
        <v/>
      </c>
      <c r="BY382" s="21" t="str">
        <f>IF(AND('Atividades Micro'!$B434=BY$2,'Atividades Micro'!$G434="Macro",'Atividades Micro'!$K434&lt;&gt;""),'Atividades Micro'!$K434,"")</f>
        <v/>
      </c>
      <c r="BZ382" s="21" t="str">
        <f>IF(AND('Atividades Micro'!$B434=BZ$2,'Atividades Micro'!$G434="Macro",'Atividades Micro'!$K434&lt;&gt;""),'Atividades Micro'!$K434,"")</f>
        <v/>
      </c>
      <c r="CA382" s="21" t="str">
        <f>IF(AND('Atividades Micro'!$B434=CA$2,'Atividades Micro'!$G434="Macro",'Atividades Micro'!$K434&lt;&gt;""),'Atividades Micro'!$K434,"")</f>
        <v/>
      </c>
      <c r="CB382" s="21" t="str">
        <f>IF(AND('Atividades Micro'!$B434=CB$2,'Atividades Micro'!$G434="Macro",'Atividades Micro'!$K434&lt;&gt;""),'Atividades Micro'!$K434,"")</f>
        <v/>
      </c>
      <c r="CC382" s="21" t="str">
        <f>IF(AND('Atividades Micro'!$B434=CC$2,'Atividades Micro'!$G434="Macro",'Atividades Micro'!$K434&lt;&gt;""),'Atividades Micro'!$K434,"")</f>
        <v/>
      </c>
      <c r="CD382" s="21" t="str">
        <f>IF(AND('Atividades Micro'!$B434=CD$2,'Atividades Micro'!$G434="Micro",'Atividades Micro'!$K434&lt;&gt;""),'Atividades Micro'!$K434,"")</f>
        <v/>
      </c>
      <c r="CE382" s="21" t="str">
        <f>IF(AND('Atividades Micro'!$B434=CE$2,'Atividades Micro'!$G434="Micro",'Atividades Micro'!$K434&lt;&gt;""),'Atividades Micro'!$K434,"")</f>
        <v/>
      </c>
      <c r="CF382" s="21" t="str">
        <f>IF(AND('Atividades Micro'!$B434=CF$2,'Atividades Micro'!$G434="Micro",'Atividades Micro'!$K434&lt;&gt;""),'Atividades Micro'!$K434,"")</f>
        <v/>
      </c>
      <c r="CG382" s="21" t="str">
        <f>IF(AND('Atividades Micro'!$B434=CG$2,'Atividades Micro'!$G434="Micro",'Atividades Micro'!$K434&lt;&gt;""),'Atividades Micro'!$K434,"")</f>
        <v/>
      </c>
      <c r="CH382" s="21" t="str">
        <f>IF(AND('Atividades Micro'!$B434=CH$2,'Atividades Micro'!$G434="Micro",'Atividades Micro'!$K434&lt;&gt;""),'Atividades Micro'!$K434,"")</f>
        <v/>
      </c>
      <c r="CI382" s="21" t="str">
        <f>IF(AND('Atividades Micro'!$B434=CI$2,'Atividades Micro'!$G434="Micro",'Atividades Micro'!$K434&lt;&gt;""),'Atividades Micro'!$K434,"")</f>
        <v/>
      </c>
      <c r="CJ382" s="21" t="str">
        <f>IF(AND('Atividades Micro'!$B434=CJ$2,'Atividades Micro'!$G434="Micro",'Atividades Micro'!$K434&lt;&gt;""),'Atividades Micro'!$K434,"")</f>
        <v/>
      </c>
      <c r="CK382" s="21" t="str">
        <f>IF(AND('Atividades Micro'!$B434=CK$2,'Atividades Micro'!$G434="Micro",'Atividades Micro'!$K434&lt;&gt;""),'Atividades Micro'!$K434,"")</f>
        <v/>
      </c>
      <c r="CL382" s="21" t="str">
        <f>IF(AND('Atividades Micro'!$B434=CL$2,'Atividades Micro'!$G434="Micro",'Atividades Micro'!$K434&lt;&gt;""),'Atividades Micro'!$K434,"")</f>
        <v/>
      </c>
      <c r="CM382" s="21" t="str">
        <f>IF(AND('Atividades Micro'!$B434=CM$2,'Atividades Micro'!$G434="Micro",'Atividades Micro'!$K434&lt;&gt;""),'Atividades Micro'!$K434,"")</f>
        <v/>
      </c>
      <c r="CN382" s="21" t="str">
        <f>IF(AND('Atividades Micro'!$B434=CN$2,'Atividades Micro'!$G434="Micro",'Atividades Micro'!$K434&lt;&gt;""),'Atividades Micro'!$K434,"")</f>
        <v/>
      </c>
      <c r="CO382" s="21" t="str">
        <f>IF(AND('Atividades Micro'!$B434=CO$2,'Atividades Micro'!$G434="Micro",'Atividades Micro'!$K434&lt;&gt;""),'Atividades Micro'!$K434,"")</f>
        <v/>
      </c>
    </row>
    <row r="383" spans="1:93">
      <c r="A383" s="21" t="str">
        <f>IF(AND('Atividades Micro'!$A435=A$2,'Atividades Micro'!$K435&lt;&gt;""),'Atividades Micro'!$K435,"")</f>
        <v/>
      </c>
      <c r="B383" s="21" t="str">
        <f>IF(AND('Atividades Micro'!$A435=B$2,'Atividades Micro'!$L435&lt;&gt;""),'Atividades Micro'!$L435,"")</f>
        <v/>
      </c>
      <c r="C383" s="21" t="str">
        <f>IF(AND('Atividades Micro'!$A435=C$2,'Atividades Micro'!$K435&lt;&gt;""),'Atividades Micro'!$K435,"")</f>
        <v/>
      </c>
      <c r="D383" s="21" t="str">
        <f>IF(AND('Atividades Micro'!$A435=D$2,'Atividades Micro'!$L435&lt;&gt;""),'Atividades Micro'!$L435,"")</f>
        <v/>
      </c>
      <c r="E383" s="21" t="str">
        <f>IF(AND('Atividades Micro'!$A435=E$2,'Atividades Micro'!$K435&lt;&gt;""),'Atividades Micro'!$K435,"")</f>
        <v/>
      </c>
      <c r="F383" s="21" t="str">
        <f>IF(AND('Atividades Micro'!$A435=F$2,'Atividades Micro'!$L435&lt;&gt;""),'Atividades Micro'!$L435,"")</f>
        <v/>
      </c>
      <c r="G383" s="21" t="str">
        <f>IF(AND('Atividades Micro'!$A435=G$2,'Atividades Micro'!$K435&lt;&gt;""),'Atividades Micro'!$K435,"")</f>
        <v/>
      </c>
      <c r="H383" s="21" t="str">
        <f>IF(AND('Atividades Micro'!$A435=H$2,'Atividades Micro'!$L435&lt;&gt;""),'Atividades Micro'!$L435,"")</f>
        <v/>
      </c>
      <c r="I383" s="21" t="str">
        <f>IF(AND('Atividades Micro'!$A435=I$2,'Atividades Micro'!$K435&lt;&gt;""),'Atividades Micro'!$K435,"")</f>
        <v/>
      </c>
      <c r="J383" s="21" t="str">
        <f>IF(AND('Atividades Micro'!$A435=J$2,'Atividades Micro'!$L435&lt;&gt;""),'Atividades Micro'!$L435,"")</f>
        <v/>
      </c>
      <c r="K383" s="21" t="str">
        <f>IF(AND('Atividades Micro'!$B435=K$2,'Atividades Micro'!$K435&lt;&gt;""),'Atividades Micro'!$K435,"")</f>
        <v/>
      </c>
      <c r="L383" s="21" t="str">
        <f>IF(AND('Atividades Micro'!$B435=L$2,'Atividades Micro'!$L435&lt;&gt;""),'Atividades Micro'!$L435,"")</f>
        <v/>
      </c>
      <c r="M383" s="21" t="str">
        <f>IF(AND('Atividades Micro'!$B435=M$2,'Atividades Micro'!$K435&lt;&gt;""),'Atividades Micro'!$K435,"")</f>
        <v/>
      </c>
      <c r="N383" s="21" t="str">
        <f>IF(AND('Atividades Micro'!$B435=N$2,'Atividades Micro'!$L435&lt;&gt;""),'Atividades Micro'!$L435,"")</f>
        <v/>
      </c>
      <c r="O383" s="21" t="str">
        <f>IF(AND('Atividades Micro'!$A435=O$2,'Atividades Micro'!$K435&lt;&gt;""),'Atividades Micro'!$K435,"")</f>
        <v/>
      </c>
      <c r="P383" s="21" t="str">
        <f>IF(AND('Atividades Micro'!$A435=P$2,'Atividades Micro'!$L435&lt;&gt;""),'Atividades Micro'!$L435,"")</f>
        <v/>
      </c>
      <c r="Q383" s="21" t="str">
        <f>IF(AND('Atividades Micro'!$B435=Q$2,'Atividades Micro'!$K435&lt;&gt;""),'Atividades Micro'!$K435,"")</f>
        <v/>
      </c>
      <c r="R383" s="21" t="str">
        <f>IF(AND('Atividades Micro'!$B435=R$2,'Atividades Micro'!$L435&lt;&gt;""),'Atividades Micro'!$L435,"")</f>
        <v/>
      </c>
      <c r="S383" s="21" t="str">
        <f>IF(AND('Atividades Micro'!$A435=S$2,'Atividades Micro'!$K435&lt;&gt;""),'Atividades Micro'!$K435,"")</f>
        <v/>
      </c>
      <c r="T383" s="21" t="str">
        <f>IF(AND('Atividades Micro'!$A435=T$2,'Atividades Micro'!$L435&lt;&gt;""),'Atividades Micro'!$L435,"")</f>
        <v/>
      </c>
      <c r="U383" s="21" t="str">
        <f>IF(AND('Atividades Micro'!$B435=U$2,'Atividades Micro'!$K435&lt;&gt;""),'Atividades Micro'!$K435,"")</f>
        <v/>
      </c>
      <c r="V383" s="21" t="str">
        <f>IF(AND('Atividades Micro'!$B435=V$2,'Atividades Micro'!$L435&lt;&gt;""),'Atividades Micro'!$L435,"")</f>
        <v/>
      </c>
      <c r="W383" s="21" t="str">
        <f>IF(AND('Atividades Micro'!$B435=W$2,'Atividades Micro'!$K435&lt;&gt;""),'Atividades Micro'!$K435,"")</f>
        <v/>
      </c>
      <c r="X383" s="21" t="str">
        <f>IF(AND('Atividades Micro'!$B435=X$2,'Atividades Micro'!$L435&lt;&gt;""),'Atividades Micro'!$L435,"")</f>
        <v/>
      </c>
      <c r="Y383" s="21" t="str">
        <f>IF(AND('Atividades Micro'!$A435=Y$2,'Atividades Micro'!$K435&lt;&gt;""),'Atividades Micro'!$K435,"")</f>
        <v/>
      </c>
      <c r="Z383" s="21" t="str">
        <f>IF(AND('Atividades Micro'!$A435=Z$2,'Atividades Micro'!$L435&lt;&gt;""),'Atividades Micro'!$L435,"")</f>
        <v/>
      </c>
      <c r="AA383" s="21" t="str">
        <f>IF(AND('Atividades Micro'!$B435=AA$2,'Atividades Micro'!$K435&lt;&gt;""),'Atividades Micro'!$K435,"")</f>
        <v/>
      </c>
      <c r="AB383" s="21" t="str">
        <f>IF(AND('Atividades Micro'!$B435=AB$2,'Atividades Micro'!$L435&lt;&gt;""),'Atividades Micro'!$L435,"")</f>
        <v/>
      </c>
      <c r="AC383" s="21" t="str">
        <f>IF(AND('Atividades Micro'!$B435=AC$2,'Atividades Micro'!$K435&lt;&gt;""),'Atividades Micro'!$K435,"")</f>
        <v/>
      </c>
      <c r="AD383" s="21" t="str">
        <f>IF(AND('Atividades Micro'!$B435=AD$2,'Atividades Micro'!$L435&lt;&gt;""),'Atividades Micro'!$L435,"")</f>
        <v/>
      </c>
      <c r="AE383" s="21" t="str">
        <f>IF(AND('Atividades Micro'!$A435=AE$2,'Atividades Micro'!$K435&lt;&gt;""),'Atividades Micro'!$K435,"")</f>
        <v/>
      </c>
      <c r="AF383" s="21" t="str">
        <f>IF(AND('Atividades Micro'!$A435=AF$2,'Atividades Micro'!$L435&lt;&gt;""),'Atividades Micro'!$L435,"")</f>
        <v/>
      </c>
      <c r="AG383" s="21" t="str">
        <f>IF(AND('Atividades Micro'!$B435=AG$2,'Atividades Micro'!$K435&lt;&gt;""),'Atividades Micro'!$K435,"")</f>
        <v/>
      </c>
      <c r="AH383" s="21" t="str">
        <f>IF(AND('Atividades Micro'!$B435=AH$2,'Atividades Micro'!$L435&lt;&gt;""),'Atividades Micro'!$L435,"")</f>
        <v/>
      </c>
      <c r="AI383" s="21" t="str">
        <f>IF(AND('Atividades Micro'!$B435=AI$2,'Atividades Micro'!$K435&lt;&gt;""),'Atividades Micro'!$K435,"")</f>
        <v/>
      </c>
      <c r="AJ383" s="21" t="str">
        <f>IF(AND('Atividades Micro'!$B435=AJ$2,'Atividades Micro'!$L435&lt;&gt;""),'Atividades Micro'!$L435,"")</f>
        <v/>
      </c>
      <c r="AK383" s="21" t="str">
        <f>IF(AND('Atividades Micro'!$A435=AK$2,'Atividades Micro'!$K435&lt;&gt;""),'Atividades Micro'!$K435,"")</f>
        <v/>
      </c>
      <c r="AL383" s="21" t="str">
        <f>IF(AND('Atividades Micro'!$A435=AL$2,'Atividades Micro'!$L435&lt;&gt;""),'Atividades Micro'!$L435,"")</f>
        <v/>
      </c>
      <c r="AM383" s="21" t="str">
        <f>IF(AND('Atividades Micro'!$B435=AM$2,'Atividades Micro'!$K435&lt;&gt;""),'Atividades Micro'!$K435,"")</f>
        <v/>
      </c>
      <c r="AN383" s="21" t="str">
        <f>IF(AND('Atividades Micro'!$B435=AN$2,'Atividades Micro'!$L435&lt;&gt;""),'Atividades Micro'!$L435,"")</f>
        <v/>
      </c>
      <c r="AO383" s="21" t="str">
        <f>IF(AND('Atividades Micro'!$B435=AO$2,'Atividades Micro'!$K435&lt;&gt;""),'Atividades Micro'!$K435,"")</f>
        <v/>
      </c>
      <c r="AP383" s="21" t="str">
        <f>IF(AND('Atividades Micro'!$B435=AP$2,'Atividades Micro'!$L435&lt;&gt;""),'Atividades Micro'!$L435,"")</f>
        <v/>
      </c>
      <c r="AQ383" s="21" t="str">
        <f>IF(AND('Atividades Micro'!$A435=AQ$2,'Atividades Micro'!$K435&lt;&gt;""),'Atividades Micro'!$K435,"")</f>
        <v/>
      </c>
      <c r="AR383" s="21" t="str">
        <f>IF(AND('Atividades Micro'!$A435=AR$2,'Atividades Micro'!$L435&lt;&gt;""),'Atividades Micro'!$L435,"")</f>
        <v/>
      </c>
      <c r="AS383" s="21" t="str">
        <f>IF(AND('Atividades Micro'!$B435=AS$2,'Atividades Micro'!$K435&lt;&gt;""),'Atividades Micro'!$K435,"")</f>
        <v/>
      </c>
      <c r="AT383" s="21" t="str">
        <f>IF(AND('Atividades Micro'!$B435=AT$2,'Atividades Micro'!$L435&lt;&gt;""),'Atividades Micro'!$L435,"")</f>
        <v/>
      </c>
      <c r="AU383" s="21" t="str">
        <f>IF(AND('Atividades Micro'!$A435=AU$2,'Atividades Micro'!$K435&lt;&gt;""),'Atividades Micro'!$K435,"")</f>
        <v/>
      </c>
      <c r="AV383" s="21" t="str">
        <f>IF(AND('Atividades Micro'!$A435=AV$2,'Atividades Micro'!$L435&lt;&gt;""),'Atividades Micro'!$L435,"")</f>
        <v/>
      </c>
      <c r="AW383" s="21" t="str">
        <f>IF(AND('Atividades Micro'!$B435=AW$2,'Atividades Micro'!$K435&lt;&gt;""),'Atividades Micro'!$K435,"")</f>
        <v/>
      </c>
      <c r="AX383" s="21" t="str">
        <f>IF(AND('Atividades Micro'!$B435=AX$2,'Atividades Micro'!$L435&lt;&gt;""),'Atividades Micro'!$L435,"")</f>
        <v/>
      </c>
      <c r="AY383" s="21" t="str">
        <f>IF(AND('Atividades Micro'!$A435=AY$2,'Atividades Micro'!$K435&lt;&gt;""),'Atividades Micro'!$K435,"")</f>
        <v/>
      </c>
      <c r="AZ383" s="21" t="str">
        <f>IF(AND('Atividades Micro'!$A435=AZ$2,'Atividades Micro'!$L435&lt;&gt;""),'Atividades Micro'!$L435,"")</f>
        <v/>
      </c>
      <c r="BA383" s="21" t="str">
        <f>IF(AND('Atividades Micro'!$B435=BA$2,'Atividades Micro'!$K435&lt;&gt;""),'Atividades Micro'!$K435,"")</f>
        <v/>
      </c>
      <c r="BB383" s="21" t="str">
        <f>IF(AND('Atividades Micro'!$B435=BB$2,'Atividades Micro'!$L435&lt;&gt;""),'Atividades Micro'!$L435,"")</f>
        <v/>
      </c>
      <c r="BC383" s="21" t="str">
        <f>IF(AND('Atividades Micro'!$B435=BC$2,'Atividades Micro'!$G435="Macro",'Atividades Micro'!$K435&lt;&gt;""),'Atividades Micro'!$K435,"")</f>
        <v/>
      </c>
      <c r="BD383" s="21" t="str">
        <f>IF(AND('Atividades Micro'!$B435=BD$2,'Atividades Micro'!$G435="Macro",'Atividades Micro'!$K435&lt;&gt;""),'Atividades Micro'!$K435,"")</f>
        <v/>
      </c>
      <c r="BE383" s="21" t="str">
        <f>IF(AND('Atividades Micro'!$B435=BE$2,'Atividades Micro'!$G435="Macro",'Atividades Micro'!$K435&lt;&gt;""),'Atividades Micro'!$K435,"")</f>
        <v/>
      </c>
      <c r="BF383" s="21" t="str">
        <f>IF(AND('Atividades Micro'!$B435=BF$2,'Atividades Micro'!$G435="Macro",'Atividades Micro'!$K435&lt;&gt;""),'Atividades Micro'!$K435,"")</f>
        <v/>
      </c>
      <c r="BG383" s="21" t="str">
        <f>IF(AND('Atividades Micro'!$B435=BG$2,'Atividades Micro'!$G435="Macro",'Atividades Micro'!$K435&lt;&gt;""),'Atividades Micro'!$K435,"")</f>
        <v/>
      </c>
      <c r="BH383" s="21" t="str">
        <f>IF(AND('Atividades Micro'!$B435=BH$2,'Atividades Micro'!$G435="Macro",'Atividades Micro'!$K435&lt;&gt;""),'Atividades Micro'!$K435,"")</f>
        <v/>
      </c>
      <c r="BI383" s="21" t="str">
        <f>IF(AND('Atividades Micro'!$B435=BI$2,'Atividades Micro'!$G435="Macro",'Atividades Micro'!$K435&lt;&gt;""),'Atividades Micro'!$K435,"")</f>
        <v/>
      </c>
      <c r="BJ383" s="21" t="str">
        <f>IF(AND('Atividades Micro'!$B435=BJ$2,'Atividades Micro'!$G435="Macro",'Atividades Micro'!$K435&lt;&gt;""),'Atividades Micro'!$K435,"")</f>
        <v/>
      </c>
      <c r="BK383" s="21" t="str">
        <f>IF(AND('Atividades Micro'!$B435=BK$2,'Atividades Micro'!$G435="Macro",'Atividades Micro'!$K435&lt;&gt;""),'Atividades Micro'!$K435,"")</f>
        <v/>
      </c>
      <c r="BL383" s="21" t="str">
        <f>IF(AND('Atividades Micro'!$B435=BL$2,'Atividades Micro'!$G435="Macro",'Atividades Micro'!$K435&lt;&gt;""),'Atividades Micro'!$K435,"")</f>
        <v/>
      </c>
      <c r="BM383" s="21" t="str">
        <f>IF(AND('Atividades Micro'!$B435=BM$2,'Atividades Micro'!$G435="Macro",'Atividades Micro'!$K435&lt;&gt;""),'Atividades Micro'!$K435,"")</f>
        <v/>
      </c>
      <c r="BN383" s="21" t="str">
        <f>IF(AND('Atividades Micro'!$B435=BN$2,'Atividades Micro'!$G435="Macro",'Atividades Micro'!$K435&lt;&gt;""),'Atividades Micro'!$K435,"")</f>
        <v/>
      </c>
      <c r="BO383" s="21" t="str">
        <f>IF(AND('Atividades Micro'!$B435=BO$2,'Atividades Micro'!$G435="Macro",'Atividades Micro'!$K435&lt;&gt;""),'Atividades Micro'!$K435,"")</f>
        <v/>
      </c>
      <c r="BP383" s="21" t="str">
        <f>IF(AND('Atividades Micro'!$B435=BP$2,'Atividades Micro'!$G435="Macro",'Atividades Micro'!$K435&lt;&gt;""),'Atividades Micro'!$K435,"")</f>
        <v/>
      </c>
      <c r="BQ383" s="21" t="str">
        <f>IF(AND('Atividades Micro'!$B435=BQ$2,'Atividades Micro'!$G435="Macro",'Atividades Micro'!$K435&lt;&gt;""),'Atividades Micro'!$K435,"")</f>
        <v/>
      </c>
      <c r="BR383" s="21" t="str">
        <f>IF(AND('Atividades Micro'!$B435=BR$2,'Atividades Micro'!$G435="Macro",'Atividades Micro'!$K435&lt;&gt;""),'Atividades Micro'!$K435,"")</f>
        <v/>
      </c>
      <c r="BS383" s="21" t="str">
        <f>IF(AND('Atividades Micro'!$B435=BS$2,'Atividades Micro'!$G435="Macro",'Atividades Micro'!$K435&lt;&gt;""),'Atividades Micro'!$K435,"")</f>
        <v/>
      </c>
      <c r="BT383" s="21" t="str">
        <f>IF(AND('Atividades Micro'!$B435=BT$2,'Atividades Micro'!$G435="Macro",'Atividades Micro'!$K435&lt;&gt;""),'Atividades Micro'!$K435,"")</f>
        <v/>
      </c>
      <c r="BU383" s="21" t="str">
        <f>IF(AND('Atividades Micro'!$B435=BU$2,'Atividades Micro'!$G435="Macro",'Atividades Micro'!$K435&lt;&gt;""),'Atividades Micro'!$K435,"")</f>
        <v/>
      </c>
      <c r="BV383" s="21" t="str">
        <f>IF(AND('Atividades Micro'!$B435=BV$2,'Atividades Micro'!$G435="Macro",'Atividades Micro'!$K435&lt;&gt;""),'Atividades Micro'!$K435,"")</f>
        <v/>
      </c>
      <c r="BW383" s="21" t="str">
        <f>IF(AND('Atividades Micro'!$B435=BW$2,'Atividades Micro'!$G435="Macro",'Atividades Micro'!$K435&lt;&gt;""),'Atividades Micro'!$K435,"")</f>
        <v/>
      </c>
      <c r="BX383" s="21" t="str">
        <f>IF(AND('Atividades Micro'!$B435=BX$2,'Atividades Micro'!$G435="Macro",'Atividades Micro'!$K435&lt;&gt;""),'Atividades Micro'!$K435,"")</f>
        <v/>
      </c>
      <c r="BY383" s="21" t="str">
        <f>IF(AND('Atividades Micro'!$B435=BY$2,'Atividades Micro'!$G435="Macro",'Atividades Micro'!$K435&lt;&gt;""),'Atividades Micro'!$K435,"")</f>
        <v/>
      </c>
      <c r="BZ383" s="21" t="str">
        <f>IF(AND('Atividades Micro'!$B435=BZ$2,'Atividades Micro'!$G435="Macro",'Atividades Micro'!$K435&lt;&gt;""),'Atividades Micro'!$K435,"")</f>
        <v/>
      </c>
      <c r="CA383" s="21" t="str">
        <f>IF(AND('Atividades Micro'!$B435=CA$2,'Atividades Micro'!$G435="Macro",'Atividades Micro'!$K435&lt;&gt;""),'Atividades Micro'!$K435,"")</f>
        <v/>
      </c>
      <c r="CB383" s="21" t="str">
        <f>IF(AND('Atividades Micro'!$B435=CB$2,'Atividades Micro'!$G435="Macro",'Atividades Micro'!$K435&lt;&gt;""),'Atividades Micro'!$K435,"")</f>
        <v/>
      </c>
      <c r="CC383" s="21" t="str">
        <f>IF(AND('Atividades Micro'!$B435=CC$2,'Atividades Micro'!$G435="Macro",'Atividades Micro'!$K435&lt;&gt;""),'Atividades Micro'!$K435,"")</f>
        <v/>
      </c>
      <c r="CD383" s="21" t="str">
        <f>IF(AND('Atividades Micro'!$B435=CD$2,'Atividades Micro'!$G435="Micro",'Atividades Micro'!$K435&lt;&gt;""),'Atividades Micro'!$K435,"")</f>
        <v/>
      </c>
      <c r="CE383" s="21" t="str">
        <f>IF(AND('Atividades Micro'!$B435=CE$2,'Atividades Micro'!$G435="Micro",'Atividades Micro'!$K435&lt;&gt;""),'Atividades Micro'!$K435,"")</f>
        <v/>
      </c>
      <c r="CF383" s="21" t="str">
        <f>IF(AND('Atividades Micro'!$B435=CF$2,'Atividades Micro'!$G435="Micro",'Atividades Micro'!$K435&lt;&gt;""),'Atividades Micro'!$K435,"")</f>
        <v/>
      </c>
      <c r="CG383" s="21" t="str">
        <f>IF(AND('Atividades Micro'!$B435=CG$2,'Atividades Micro'!$G435="Micro",'Atividades Micro'!$K435&lt;&gt;""),'Atividades Micro'!$K435,"")</f>
        <v/>
      </c>
      <c r="CH383" s="21" t="str">
        <f>IF(AND('Atividades Micro'!$B435=CH$2,'Atividades Micro'!$G435="Micro",'Atividades Micro'!$K435&lt;&gt;""),'Atividades Micro'!$K435,"")</f>
        <v/>
      </c>
      <c r="CI383" s="21" t="str">
        <f>IF(AND('Atividades Micro'!$B435=CI$2,'Atividades Micro'!$G435="Micro",'Atividades Micro'!$K435&lt;&gt;""),'Atividades Micro'!$K435,"")</f>
        <v/>
      </c>
      <c r="CJ383" s="21" t="str">
        <f>IF(AND('Atividades Micro'!$B435=CJ$2,'Atividades Micro'!$G435="Micro",'Atividades Micro'!$K435&lt;&gt;""),'Atividades Micro'!$K435,"")</f>
        <v/>
      </c>
      <c r="CK383" s="21" t="str">
        <f>IF(AND('Atividades Micro'!$B435=CK$2,'Atividades Micro'!$G435="Micro",'Atividades Micro'!$K435&lt;&gt;""),'Atividades Micro'!$K435,"")</f>
        <v/>
      </c>
      <c r="CL383" s="21" t="str">
        <f>IF(AND('Atividades Micro'!$B435=CL$2,'Atividades Micro'!$G435="Micro",'Atividades Micro'!$K435&lt;&gt;""),'Atividades Micro'!$K435,"")</f>
        <v/>
      </c>
      <c r="CM383" s="21" t="str">
        <f>IF(AND('Atividades Micro'!$B435=CM$2,'Atividades Micro'!$G435="Micro",'Atividades Micro'!$K435&lt;&gt;""),'Atividades Micro'!$K435,"")</f>
        <v/>
      </c>
      <c r="CN383" s="21" t="str">
        <f>IF(AND('Atividades Micro'!$B435=CN$2,'Atividades Micro'!$G435="Micro",'Atividades Micro'!$K435&lt;&gt;""),'Atividades Micro'!$K435,"")</f>
        <v/>
      </c>
      <c r="CO383" s="21" t="str">
        <f>IF(AND('Atividades Micro'!$B435=CO$2,'Atividades Micro'!$G435="Micro",'Atividades Micro'!$K435&lt;&gt;""),'Atividades Micro'!$K435,"")</f>
        <v/>
      </c>
    </row>
    <row r="384" spans="1:93">
      <c r="A384" s="21" t="str">
        <f>IF(AND('Atividades Micro'!$A436=A$2,'Atividades Micro'!$K436&lt;&gt;""),'Atividades Micro'!$K436,"")</f>
        <v/>
      </c>
      <c r="B384" s="21" t="str">
        <f>IF(AND('Atividades Micro'!$A436=B$2,'Atividades Micro'!$L436&lt;&gt;""),'Atividades Micro'!$L436,"")</f>
        <v/>
      </c>
      <c r="C384" s="21" t="str">
        <f>IF(AND('Atividades Micro'!$A436=C$2,'Atividades Micro'!$K436&lt;&gt;""),'Atividades Micro'!$K436,"")</f>
        <v/>
      </c>
      <c r="D384" s="21" t="str">
        <f>IF(AND('Atividades Micro'!$A436=D$2,'Atividades Micro'!$L436&lt;&gt;""),'Atividades Micro'!$L436,"")</f>
        <v/>
      </c>
      <c r="E384" s="21" t="str">
        <f>IF(AND('Atividades Micro'!$A436=E$2,'Atividades Micro'!$K436&lt;&gt;""),'Atividades Micro'!$K436,"")</f>
        <v/>
      </c>
      <c r="F384" s="21" t="str">
        <f>IF(AND('Atividades Micro'!$A436=F$2,'Atividades Micro'!$L436&lt;&gt;""),'Atividades Micro'!$L436,"")</f>
        <v/>
      </c>
      <c r="G384" s="21" t="str">
        <f>IF(AND('Atividades Micro'!$A436=G$2,'Atividades Micro'!$K436&lt;&gt;""),'Atividades Micro'!$K436,"")</f>
        <v/>
      </c>
      <c r="H384" s="21" t="str">
        <f>IF(AND('Atividades Micro'!$A436=H$2,'Atividades Micro'!$L436&lt;&gt;""),'Atividades Micro'!$L436,"")</f>
        <v/>
      </c>
      <c r="I384" s="21" t="str">
        <f>IF(AND('Atividades Micro'!$A436=I$2,'Atividades Micro'!$K436&lt;&gt;""),'Atividades Micro'!$K436,"")</f>
        <v/>
      </c>
      <c r="J384" s="21" t="str">
        <f>IF(AND('Atividades Micro'!$A436=J$2,'Atividades Micro'!$L436&lt;&gt;""),'Atividades Micro'!$L436,"")</f>
        <v/>
      </c>
      <c r="K384" s="21" t="str">
        <f>IF(AND('Atividades Micro'!$B436=K$2,'Atividades Micro'!$K436&lt;&gt;""),'Atividades Micro'!$K436,"")</f>
        <v/>
      </c>
      <c r="L384" s="21" t="str">
        <f>IF(AND('Atividades Micro'!$B436=L$2,'Atividades Micro'!$L436&lt;&gt;""),'Atividades Micro'!$L436,"")</f>
        <v/>
      </c>
      <c r="M384" s="21" t="str">
        <f>IF(AND('Atividades Micro'!$B436=M$2,'Atividades Micro'!$K436&lt;&gt;""),'Atividades Micro'!$K436,"")</f>
        <v/>
      </c>
      <c r="N384" s="21" t="str">
        <f>IF(AND('Atividades Micro'!$B436=N$2,'Atividades Micro'!$L436&lt;&gt;""),'Atividades Micro'!$L436,"")</f>
        <v/>
      </c>
      <c r="O384" s="21" t="str">
        <f>IF(AND('Atividades Micro'!$A436=O$2,'Atividades Micro'!$K436&lt;&gt;""),'Atividades Micro'!$K436,"")</f>
        <v/>
      </c>
      <c r="P384" s="21" t="str">
        <f>IF(AND('Atividades Micro'!$A436=P$2,'Atividades Micro'!$L436&lt;&gt;""),'Atividades Micro'!$L436,"")</f>
        <v/>
      </c>
      <c r="Q384" s="21" t="str">
        <f>IF(AND('Atividades Micro'!$B436=Q$2,'Atividades Micro'!$K436&lt;&gt;""),'Atividades Micro'!$K436,"")</f>
        <v/>
      </c>
      <c r="R384" s="21" t="str">
        <f>IF(AND('Atividades Micro'!$B436=R$2,'Atividades Micro'!$L436&lt;&gt;""),'Atividades Micro'!$L436,"")</f>
        <v/>
      </c>
      <c r="S384" s="21" t="str">
        <f>IF(AND('Atividades Micro'!$A436=S$2,'Atividades Micro'!$K436&lt;&gt;""),'Atividades Micro'!$K436,"")</f>
        <v/>
      </c>
      <c r="T384" s="21" t="str">
        <f>IF(AND('Atividades Micro'!$A436=T$2,'Atividades Micro'!$L436&lt;&gt;""),'Atividades Micro'!$L436,"")</f>
        <v/>
      </c>
      <c r="U384" s="21" t="str">
        <f>IF(AND('Atividades Micro'!$B436=U$2,'Atividades Micro'!$K436&lt;&gt;""),'Atividades Micro'!$K436,"")</f>
        <v/>
      </c>
      <c r="V384" s="21" t="str">
        <f>IF(AND('Atividades Micro'!$B436=V$2,'Atividades Micro'!$L436&lt;&gt;""),'Atividades Micro'!$L436,"")</f>
        <v/>
      </c>
      <c r="W384" s="21" t="str">
        <f>IF(AND('Atividades Micro'!$B436=W$2,'Atividades Micro'!$K436&lt;&gt;""),'Atividades Micro'!$K436,"")</f>
        <v/>
      </c>
      <c r="X384" s="21" t="str">
        <f>IF(AND('Atividades Micro'!$B436=X$2,'Atividades Micro'!$L436&lt;&gt;""),'Atividades Micro'!$L436,"")</f>
        <v/>
      </c>
      <c r="Y384" s="21" t="str">
        <f>IF(AND('Atividades Micro'!$A436=Y$2,'Atividades Micro'!$K436&lt;&gt;""),'Atividades Micro'!$K436,"")</f>
        <v/>
      </c>
      <c r="Z384" s="21" t="str">
        <f>IF(AND('Atividades Micro'!$A436=Z$2,'Atividades Micro'!$L436&lt;&gt;""),'Atividades Micro'!$L436,"")</f>
        <v/>
      </c>
      <c r="AA384" s="21" t="str">
        <f>IF(AND('Atividades Micro'!$B436=AA$2,'Atividades Micro'!$K436&lt;&gt;""),'Atividades Micro'!$K436,"")</f>
        <v/>
      </c>
      <c r="AB384" s="21" t="str">
        <f>IF(AND('Atividades Micro'!$B436=AB$2,'Atividades Micro'!$L436&lt;&gt;""),'Atividades Micro'!$L436,"")</f>
        <v/>
      </c>
      <c r="AC384" s="21" t="str">
        <f>IF(AND('Atividades Micro'!$B436=AC$2,'Atividades Micro'!$K436&lt;&gt;""),'Atividades Micro'!$K436,"")</f>
        <v/>
      </c>
      <c r="AD384" s="21" t="str">
        <f>IF(AND('Atividades Micro'!$B436=AD$2,'Atividades Micro'!$L436&lt;&gt;""),'Atividades Micro'!$L436,"")</f>
        <v/>
      </c>
      <c r="AE384" s="21" t="str">
        <f>IF(AND('Atividades Micro'!$A436=AE$2,'Atividades Micro'!$K436&lt;&gt;""),'Atividades Micro'!$K436,"")</f>
        <v/>
      </c>
      <c r="AF384" s="21" t="str">
        <f>IF(AND('Atividades Micro'!$A436=AF$2,'Atividades Micro'!$L436&lt;&gt;""),'Atividades Micro'!$L436,"")</f>
        <v/>
      </c>
      <c r="AG384" s="21" t="str">
        <f>IF(AND('Atividades Micro'!$B436=AG$2,'Atividades Micro'!$K436&lt;&gt;""),'Atividades Micro'!$K436,"")</f>
        <v/>
      </c>
      <c r="AH384" s="21" t="str">
        <f>IF(AND('Atividades Micro'!$B436=AH$2,'Atividades Micro'!$L436&lt;&gt;""),'Atividades Micro'!$L436,"")</f>
        <v/>
      </c>
      <c r="AI384" s="21" t="str">
        <f>IF(AND('Atividades Micro'!$B436=AI$2,'Atividades Micro'!$K436&lt;&gt;""),'Atividades Micro'!$K436,"")</f>
        <v/>
      </c>
      <c r="AJ384" s="21" t="str">
        <f>IF(AND('Atividades Micro'!$B436=AJ$2,'Atividades Micro'!$L436&lt;&gt;""),'Atividades Micro'!$L436,"")</f>
        <v/>
      </c>
      <c r="AK384" s="21" t="str">
        <f>IF(AND('Atividades Micro'!$A436=AK$2,'Atividades Micro'!$K436&lt;&gt;""),'Atividades Micro'!$K436,"")</f>
        <v/>
      </c>
      <c r="AL384" s="21" t="str">
        <f>IF(AND('Atividades Micro'!$A436=AL$2,'Atividades Micro'!$L436&lt;&gt;""),'Atividades Micro'!$L436,"")</f>
        <v/>
      </c>
      <c r="AM384" s="21" t="str">
        <f>IF(AND('Atividades Micro'!$B436=AM$2,'Atividades Micro'!$K436&lt;&gt;""),'Atividades Micro'!$K436,"")</f>
        <v/>
      </c>
      <c r="AN384" s="21" t="str">
        <f>IF(AND('Atividades Micro'!$B436=AN$2,'Atividades Micro'!$L436&lt;&gt;""),'Atividades Micro'!$L436,"")</f>
        <v/>
      </c>
      <c r="AO384" s="21" t="str">
        <f>IF(AND('Atividades Micro'!$B436=AO$2,'Atividades Micro'!$K436&lt;&gt;""),'Atividades Micro'!$K436,"")</f>
        <v/>
      </c>
      <c r="AP384" s="21" t="str">
        <f>IF(AND('Atividades Micro'!$B436=AP$2,'Atividades Micro'!$L436&lt;&gt;""),'Atividades Micro'!$L436,"")</f>
        <v/>
      </c>
      <c r="AQ384" s="21" t="str">
        <f>IF(AND('Atividades Micro'!$A436=AQ$2,'Atividades Micro'!$K436&lt;&gt;""),'Atividades Micro'!$K436,"")</f>
        <v/>
      </c>
      <c r="AR384" s="21" t="str">
        <f>IF(AND('Atividades Micro'!$A436=AR$2,'Atividades Micro'!$L436&lt;&gt;""),'Atividades Micro'!$L436,"")</f>
        <v/>
      </c>
      <c r="AS384" s="21" t="str">
        <f>IF(AND('Atividades Micro'!$B436=AS$2,'Atividades Micro'!$K436&lt;&gt;""),'Atividades Micro'!$K436,"")</f>
        <v/>
      </c>
      <c r="AT384" s="21" t="str">
        <f>IF(AND('Atividades Micro'!$B436=AT$2,'Atividades Micro'!$L436&lt;&gt;""),'Atividades Micro'!$L436,"")</f>
        <v/>
      </c>
      <c r="AU384" s="21" t="str">
        <f>IF(AND('Atividades Micro'!$A436=AU$2,'Atividades Micro'!$K436&lt;&gt;""),'Atividades Micro'!$K436,"")</f>
        <v/>
      </c>
      <c r="AV384" s="21" t="str">
        <f>IF(AND('Atividades Micro'!$A436=AV$2,'Atividades Micro'!$L436&lt;&gt;""),'Atividades Micro'!$L436,"")</f>
        <v/>
      </c>
      <c r="AW384" s="21" t="str">
        <f>IF(AND('Atividades Micro'!$B436=AW$2,'Atividades Micro'!$K436&lt;&gt;""),'Atividades Micro'!$K436,"")</f>
        <v/>
      </c>
      <c r="AX384" s="21" t="str">
        <f>IF(AND('Atividades Micro'!$B436=AX$2,'Atividades Micro'!$L436&lt;&gt;""),'Atividades Micro'!$L436,"")</f>
        <v/>
      </c>
      <c r="AY384" s="21" t="str">
        <f>IF(AND('Atividades Micro'!$A436=AY$2,'Atividades Micro'!$K436&lt;&gt;""),'Atividades Micro'!$K436,"")</f>
        <v/>
      </c>
      <c r="AZ384" s="21" t="str">
        <f>IF(AND('Atividades Micro'!$A436=AZ$2,'Atividades Micro'!$L436&lt;&gt;""),'Atividades Micro'!$L436,"")</f>
        <v/>
      </c>
      <c r="BA384" s="21" t="str">
        <f>IF(AND('Atividades Micro'!$B436=BA$2,'Atividades Micro'!$K436&lt;&gt;""),'Atividades Micro'!$K436,"")</f>
        <v/>
      </c>
      <c r="BB384" s="21" t="str">
        <f>IF(AND('Atividades Micro'!$B436=BB$2,'Atividades Micro'!$L436&lt;&gt;""),'Atividades Micro'!$L436,"")</f>
        <v/>
      </c>
      <c r="BC384" s="21" t="str">
        <f>IF(AND('Atividades Micro'!$B436=BC$2,'Atividades Micro'!$G436="Macro",'Atividades Micro'!$K436&lt;&gt;""),'Atividades Micro'!$K436,"")</f>
        <v/>
      </c>
      <c r="BD384" s="21" t="str">
        <f>IF(AND('Atividades Micro'!$B436=BD$2,'Atividades Micro'!$G436="Macro",'Atividades Micro'!$K436&lt;&gt;""),'Atividades Micro'!$K436,"")</f>
        <v/>
      </c>
      <c r="BE384" s="21" t="str">
        <f>IF(AND('Atividades Micro'!$B436=BE$2,'Atividades Micro'!$G436="Macro",'Atividades Micro'!$K436&lt;&gt;""),'Atividades Micro'!$K436,"")</f>
        <v/>
      </c>
      <c r="BF384" s="21" t="str">
        <f>IF(AND('Atividades Micro'!$B436=BF$2,'Atividades Micro'!$G436="Macro",'Atividades Micro'!$K436&lt;&gt;""),'Atividades Micro'!$K436,"")</f>
        <v/>
      </c>
      <c r="BG384" s="21" t="str">
        <f>IF(AND('Atividades Micro'!$B436=BG$2,'Atividades Micro'!$G436="Macro",'Atividades Micro'!$K436&lt;&gt;""),'Atividades Micro'!$K436,"")</f>
        <v/>
      </c>
      <c r="BH384" s="21" t="str">
        <f>IF(AND('Atividades Micro'!$B436=BH$2,'Atividades Micro'!$G436="Macro",'Atividades Micro'!$K436&lt;&gt;""),'Atividades Micro'!$K436,"")</f>
        <v/>
      </c>
      <c r="BI384" s="21" t="str">
        <f>IF(AND('Atividades Micro'!$B436=BI$2,'Atividades Micro'!$G436="Macro",'Atividades Micro'!$K436&lt;&gt;""),'Atividades Micro'!$K436,"")</f>
        <v/>
      </c>
      <c r="BJ384" s="21" t="str">
        <f>IF(AND('Atividades Micro'!$B436=BJ$2,'Atividades Micro'!$G436="Macro",'Atividades Micro'!$K436&lt;&gt;""),'Atividades Micro'!$K436,"")</f>
        <v/>
      </c>
      <c r="BK384" s="21" t="str">
        <f>IF(AND('Atividades Micro'!$B436=BK$2,'Atividades Micro'!$G436="Macro",'Atividades Micro'!$K436&lt;&gt;""),'Atividades Micro'!$K436,"")</f>
        <v/>
      </c>
      <c r="BL384" s="21" t="str">
        <f>IF(AND('Atividades Micro'!$B436=BL$2,'Atividades Micro'!$G436="Macro",'Atividades Micro'!$K436&lt;&gt;""),'Atividades Micro'!$K436,"")</f>
        <v/>
      </c>
      <c r="BM384" s="21" t="str">
        <f>IF(AND('Atividades Micro'!$B436=BM$2,'Atividades Micro'!$G436="Macro",'Atividades Micro'!$K436&lt;&gt;""),'Atividades Micro'!$K436,"")</f>
        <v/>
      </c>
      <c r="BN384" s="21" t="str">
        <f>IF(AND('Atividades Micro'!$B436=BN$2,'Atividades Micro'!$G436="Macro",'Atividades Micro'!$K436&lt;&gt;""),'Atividades Micro'!$K436,"")</f>
        <v/>
      </c>
      <c r="BO384" s="21" t="str">
        <f>IF(AND('Atividades Micro'!$B436=BO$2,'Atividades Micro'!$G436="Macro",'Atividades Micro'!$K436&lt;&gt;""),'Atividades Micro'!$K436,"")</f>
        <v/>
      </c>
      <c r="BP384" s="21" t="str">
        <f>IF(AND('Atividades Micro'!$B436=BP$2,'Atividades Micro'!$G436="Macro",'Atividades Micro'!$K436&lt;&gt;""),'Atividades Micro'!$K436,"")</f>
        <v/>
      </c>
      <c r="BQ384" s="21" t="str">
        <f>IF(AND('Atividades Micro'!$B436=BQ$2,'Atividades Micro'!$G436="Macro",'Atividades Micro'!$K436&lt;&gt;""),'Atividades Micro'!$K436,"")</f>
        <v/>
      </c>
      <c r="BR384" s="21" t="str">
        <f>IF(AND('Atividades Micro'!$B436=BR$2,'Atividades Micro'!$G436="Macro",'Atividades Micro'!$K436&lt;&gt;""),'Atividades Micro'!$K436,"")</f>
        <v/>
      </c>
      <c r="BS384" s="21" t="str">
        <f>IF(AND('Atividades Micro'!$B436=BS$2,'Atividades Micro'!$G436="Macro",'Atividades Micro'!$K436&lt;&gt;""),'Atividades Micro'!$K436,"")</f>
        <v/>
      </c>
      <c r="BT384" s="21" t="str">
        <f>IF(AND('Atividades Micro'!$B436=BT$2,'Atividades Micro'!$G436="Macro",'Atividades Micro'!$K436&lt;&gt;""),'Atividades Micro'!$K436,"")</f>
        <v/>
      </c>
      <c r="BU384" s="21" t="str">
        <f>IF(AND('Atividades Micro'!$B436=BU$2,'Atividades Micro'!$G436="Macro",'Atividades Micro'!$K436&lt;&gt;""),'Atividades Micro'!$K436,"")</f>
        <v/>
      </c>
      <c r="BV384" s="21" t="str">
        <f>IF(AND('Atividades Micro'!$B436=BV$2,'Atividades Micro'!$G436="Macro",'Atividades Micro'!$K436&lt;&gt;""),'Atividades Micro'!$K436,"")</f>
        <v/>
      </c>
      <c r="BW384" s="21" t="str">
        <f>IF(AND('Atividades Micro'!$B436=BW$2,'Atividades Micro'!$G436="Macro",'Atividades Micro'!$K436&lt;&gt;""),'Atividades Micro'!$K436,"")</f>
        <v/>
      </c>
      <c r="BX384" s="21" t="str">
        <f>IF(AND('Atividades Micro'!$B436=BX$2,'Atividades Micro'!$G436="Macro",'Atividades Micro'!$K436&lt;&gt;""),'Atividades Micro'!$K436,"")</f>
        <v/>
      </c>
      <c r="BY384" s="21" t="str">
        <f>IF(AND('Atividades Micro'!$B436=BY$2,'Atividades Micro'!$G436="Macro",'Atividades Micro'!$K436&lt;&gt;""),'Atividades Micro'!$K436,"")</f>
        <v/>
      </c>
      <c r="BZ384" s="21" t="str">
        <f>IF(AND('Atividades Micro'!$B436=BZ$2,'Atividades Micro'!$G436="Macro",'Atividades Micro'!$K436&lt;&gt;""),'Atividades Micro'!$K436,"")</f>
        <v/>
      </c>
      <c r="CA384" s="21" t="str">
        <f>IF(AND('Atividades Micro'!$B436=CA$2,'Atividades Micro'!$G436="Macro",'Atividades Micro'!$K436&lt;&gt;""),'Atividades Micro'!$K436,"")</f>
        <v/>
      </c>
      <c r="CB384" s="21" t="str">
        <f>IF(AND('Atividades Micro'!$B436=CB$2,'Atividades Micro'!$G436="Macro",'Atividades Micro'!$K436&lt;&gt;""),'Atividades Micro'!$K436,"")</f>
        <v/>
      </c>
      <c r="CC384" s="21" t="str">
        <f>IF(AND('Atividades Micro'!$B436=CC$2,'Atividades Micro'!$G436="Macro",'Atividades Micro'!$K436&lt;&gt;""),'Atividades Micro'!$K436,"")</f>
        <v/>
      </c>
      <c r="CD384" s="21" t="str">
        <f>IF(AND('Atividades Micro'!$B436=CD$2,'Atividades Micro'!$G436="Micro",'Atividades Micro'!$K436&lt;&gt;""),'Atividades Micro'!$K436,"")</f>
        <v/>
      </c>
      <c r="CE384" s="21" t="str">
        <f>IF(AND('Atividades Micro'!$B436=CE$2,'Atividades Micro'!$G436="Micro",'Atividades Micro'!$K436&lt;&gt;""),'Atividades Micro'!$K436,"")</f>
        <v/>
      </c>
      <c r="CF384" s="21" t="str">
        <f>IF(AND('Atividades Micro'!$B436=CF$2,'Atividades Micro'!$G436="Micro",'Atividades Micro'!$K436&lt;&gt;""),'Atividades Micro'!$K436,"")</f>
        <v/>
      </c>
      <c r="CG384" s="21" t="str">
        <f>IF(AND('Atividades Micro'!$B436=CG$2,'Atividades Micro'!$G436="Micro",'Atividades Micro'!$K436&lt;&gt;""),'Atividades Micro'!$K436,"")</f>
        <v/>
      </c>
      <c r="CH384" s="21" t="str">
        <f>IF(AND('Atividades Micro'!$B436=CH$2,'Atividades Micro'!$G436="Micro",'Atividades Micro'!$K436&lt;&gt;""),'Atividades Micro'!$K436,"")</f>
        <v/>
      </c>
      <c r="CI384" s="21" t="str">
        <f>IF(AND('Atividades Micro'!$B436=CI$2,'Atividades Micro'!$G436="Micro",'Atividades Micro'!$K436&lt;&gt;""),'Atividades Micro'!$K436,"")</f>
        <v/>
      </c>
      <c r="CJ384" s="21" t="str">
        <f>IF(AND('Atividades Micro'!$B436=CJ$2,'Atividades Micro'!$G436="Micro",'Atividades Micro'!$K436&lt;&gt;""),'Atividades Micro'!$K436,"")</f>
        <v/>
      </c>
      <c r="CK384" s="21" t="str">
        <f>IF(AND('Atividades Micro'!$B436=CK$2,'Atividades Micro'!$G436="Micro",'Atividades Micro'!$K436&lt;&gt;""),'Atividades Micro'!$K436,"")</f>
        <v/>
      </c>
      <c r="CL384" s="21" t="str">
        <f>IF(AND('Atividades Micro'!$B436=CL$2,'Atividades Micro'!$G436="Micro",'Atividades Micro'!$K436&lt;&gt;""),'Atividades Micro'!$K436,"")</f>
        <v/>
      </c>
      <c r="CM384" s="21" t="str">
        <f>IF(AND('Atividades Micro'!$B436=CM$2,'Atividades Micro'!$G436="Micro",'Atividades Micro'!$K436&lt;&gt;""),'Atividades Micro'!$K436,"")</f>
        <v/>
      </c>
      <c r="CN384" s="21" t="str">
        <f>IF(AND('Atividades Micro'!$B436=CN$2,'Atividades Micro'!$G436="Micro",'Atividades Micro'!$K436&lt;&gt;""),'Atividades Micro'!$K436,"")</f>
        <v/>
      </c>
      <c r="CO384" s="21" t="str">
        <f>IF(AND('Atividades Micro'!$B436=CO$2,'Atividades Micro'!$G436="Micro",'Atividades Micro'!$K436&lt;&gt;""),'Atividades Micro'!$K436,"")</f>
        <v/>
      </c>
    </row>
    <row r="385" spans="1:93">
      <c r="A385" s="21" t="str">
        <f>IF(AND('Atividades Micro'!$A437=A$2,'Atividades Micro'!$K437&lt;&gt;""),'Atividades Micro'!$K437,"")</f>
        <v/>
      </c>
      <c r="B385" s="21" t="str">
        <f>IF(AND('Atividades Micro'!$A437=B$2,'Atividades Micro'!$L437&lt;&gt;""),'Atividades Micro'!$L437,"")</f>
        <v/>
      </c>
      <c r="C385" s="21" t="str">
        <f>IF(AND('Atividades Micro'!$A437=C$2,'Atividades Micro'!$K437&lt;&gt;""),'Atividades Micro'!$K437,"")</f>
        <v/>
      </c>
      <c r="D385" s="21" t="str">
        <f>IF(AND('Atividades Micro'!$A437=D$2,'Atividades Micro'!$L437&lt;&gt;""),'Atividades Micro'!$L437,"")</f>
        <v/>
      </c>
      <c r="E385" s="21" t="str">
        <f>IF(AND('Atividades Micro'!$A437=E$2,'Atividades Micro'!$K437&lt;&gt;""),'Atividades Micro'!$K437,"")</f>
        <v/>
      </c>
      <c r="F385" s="21" t="str">
        <f>IF(AND('Atividades Micro'!$A437=F$2,'Atividades Micro'!$L437&lt;&gt;""),'Atividades Micro'!$L437,"")</f>
        <v/>
      </c>
      <c r="G385" s="21" t="str">
        <f>IF(AND('Atividades Micro'!$A437=G$2,'Atividades Micro'!$K437&lt;&gt;""),'Atividades Micro'!$K437,"")</f>
        <v/>
      </c>
      <c r="H385" s="21" t="str">
        <f>IF(AND('Atividades Micro'!$A437=H$2,'Atividades Micro'!$L437&lt;&gt;""),'Atividades Micro'!$L437,"")</f>
        <v/>
      </c>
      <c r="I385" s="21" t="str">
        <f>IF(AND('Atividades Micro'!$A437=I$2,'Atividades Micro'!$K437&lt;&gt;""),'Atividades Micro'!$K437,"")</f>
        <v/>
      </c>
      <c r="J385" s="21" t="str">
        <f>IF(AND('Atividades Micro'!$A437=J$2,'Atividades Micro'!$L437&lt;&gt;""),'Atividades Micro'!$L437,"")</f>
        <v/>
      </c>
      <c r="K385" s="21" t="str">
        <f>IF(AND('Atividades Micro'!$B437=K$2,'Atividades Micro'!$K437&lt;&gt;""),'Atividades Micro'!$K437,"")</f>
        <v/>
      </c>
      <c r="L385" s="21" t="str">
        <f>IF(AND('Atividades Micro'!$B437=L$2,'Atividades Micro'!$L437&lt;&gt;""),'Atividades Micro'!$L437,"")</f>
        <v/>
      </c>
      <c r="M385" s="21" t="str">
        <f>IF(AND('Atividades Micro'!$B437=M$2,'Atividades Micro'!$K437&lt;&gt;""),'Atividades Micro'!$K437,"")</f>
        <v/>
      </c>
      <c r="N385" s="21" t="str">
        <f>IF(AND('Atividades Micro'!$B437=N$2,'Atividades Micro'!$L437&lt;&gt;""),'Atividades Micro'!$L437,"")</f>
        <v/>
      </c>
      <c r="O385" s="21" t="str">
        <f>IF(AND('Atividades Micro'!$A437=O$2,'Atividades Micro'!$K437&lt;&gt;""),'Atividades Micro'!$K437,"")</f>
        <v/>
      </c>
      <c r="P385" s="21" t="str">
        <f>IF(AND('Atividades Micro'!$A437=P$2,'Atividades Micro'!$L437&lt;&gt;""),'Atividades Micro'!$L437,"")</f>
        <v/>
      </c>
      <c r="Q385" s="21" t="str">
        <f>IF(AND('Atividades Micro'!$B437=Q$2,'Atividades Micro'!$K437&lt;&gt;""),'Atividades Micro'!$K437,"")</f>
        <v/>
      </c>
      <c r="R385" s="21" t="str">
        <f>IF(AND('Atividades Micro'!$B437=R$2,'Atividades Micro'!$L437&lt;&gt;""),'Atividades Micro'!$L437,"")</f>
        <v/>
      </c>
      <c r="S385" s="21" t="str">
        <f>IF(AND('Atividades Micro'!$A437=S$2,'Atividades Micro'!$K437&lt;&gt;""),'Atividades Micro'!$K437,"")</f>
        <v/>
      </c>
      <c r="T385" s="21" t="str">
        <f>IF(AND('Atividades Micro'!$A437=T$2,'Atividades Micro'!$L437&lt;&gt;""),'Atividades Micro'!$L437,"")</f>
        <v/>
      </c>
      <c r="U385" s="21" t="str">
        <f>IF(AND('Atividades Micro'!$B437=U$2,'Atividades Micro'!$K437&lt;&gt;""),'Atividades Micro'!$K437,"")</f>
        <v/>
      </c>
      <c r="V385" s="21" t="str">
        <f>IF(AND('Atividades Micro'!$B437=V$2,'Atividades Micro'!$L437&lt;&gt;""),'Atividades Micro'!$L437,"")</f>
        <v/>
      </c>
      <c r="W385" s="21" t="str">
        <f>IF(AND('Atividades Micro'!$B437=W$2,'Atividades Micro'!$K437&lt;&gt;""),'Atividades Micro'!$K437,"")</f>
        <v/>
      </c>
      <c r="X385" s="21" t="str">
        <f>IF(AND('Atividades Micro'!$B437=X$2,'Atividades Micro'!$L437&lt;&gt;""),'Atividades Micro'!$L437,"")</f>
        <v/>
      </c>
      <c r="Y385" s="21" t="str">
        <f>IF(AND('Atividades Micro'!$A437=Y$2,'Atividades Micro'!$K437&lt;&gt;""),'Atividades Micro'!$K437,"")</f>
        <v/>
      </c>
      <c r="Z385" s="21" t="str">
        <f>IF(AND('Atividades Micro'!$A437=Z$2,'Atividades Micro'!$L437&lt;&gt;""),'Atividades Micro'!$L437,"")</f>
        <v/>
      </c>
      <c r="AA385" s="21" t="str">
        <f>IF(AND('Atividades Micro'!$B437=AA$2,'Atividades Micro'!$K437&lt;&gt;""),'Atividades Micro'!$K437,"")</f>
        <v/>
      </c>
      <c r="AB385" s="21" t="str">
        <f>IF(AND('Atividades Micro'!$B437=AB$2,'Atividades Micro'!$L437&lt;&gt;""),'Atividades Micro'!$L437,"")</f>
        <v/>
      </c>
      <c r="AC385" s="21" t="str">
        <f>IF(AND('Atividades Micro'!$B437=AC$2,'Atividades Micro'!$K437&lt;&gt;""),'Atividades Micro'!$K437,"")</f>
        <v/>
      </c>
      <c r="AD385" s="21" t="str">
        <f>IF(AND('Atividades Micro'!$B437=AD$2,'Atividades Micro'!$L437&lt;&gt;""),'Atividades Micro'!$L437,"")</f>
        <v/>
      </c>
      <c r="AE385" s="21" t="str">
        <f>IF(AND('Atividades Micro'!$A437=AE$2,'Atividades Micro'!$K437&lt;&gt;""),'Atividades Micro'!$K437,"")</f>
        <v/>
      </c>
      <c r="AF385" s="21" t="str">
        <f>IF(AND('Atividades Micro'!$A437=AF$2,'Atividades Micro'!$L437&lt;&gt;""),'Atividades Micro'!$L437,"")</f>
        <v/>
      </c>
      <c r="AG385" s="21" t="str">
        <f>IF(AND('Atividades Micro'!$B437=AG$2,'Atividades Micro'!$K437&lt;&gt;""),'Atividades Micro'!$K437,"")</f>
        <v/>
      </c>
      <c r="AH385" s="21" t="str">
        <f>IF(AND('Atividades Micro'!$B437=AH$2,'Atividades Micro'!$L437&lt;&gt;""),'Atividades Micro'!$L437,"")</f>
        <v/>
      </c>
      <c r="AI385" s="21" t="str">
        <f>IF(AND('Atividades Micro'!$B437=AI$2,'Atividades Micro'!$K437&lt;&gt;""),'Atividades Micro'!$K437,"")</f>
        <v/>
      </c>
      <c r="AJ385" s="21" t="str">
        <f>IF(AND('Atividades Micro'!$B437=AJ$2,'Atividades Micro'!$L437&lt;&gt;""),'Atividades Micro'!$L437,"")</f>
        <v/>
      </c>
      <c r="AK385" s="21" t="str">
        <f>IF(AND('Atividades Micro'!$A437=AK$2,'Atividades Micro'!$K437&lt;&gt;""),'Atividades Micro'!$K437,"")</f>
        <v/>
      </c>
      <c r="AL385" s="21" t="str">
        <f>IF(AND('Atividades Micro'!$A437=AL$2,'Atividades Micro'!$L437&lt;&gt;""),'Atividades Micro'!$L437,"")</f>
        <v/>
      </c>
      <c r="AM385" s="21" t="str">
        <f>IF(AND('Atividades Micro'!$B437=AM$2,'Atividades Micro'!$K437&lt;&gt;""),'Atividades Micro'!$K437,"")</f>
        <v/>
      </c>
      <c r="AN385" s="21" t="str">
        <f>IF(AND('Atividades Micro'!$B437=AN$2,'Atividades Micro'!$L437&lt;&gt;""),'Atividades Micro'!$L437,"")</f>
        <v/>
      </c>
      <c r="AO385" s="21" t="str">
        <f>IF(AND('Atividades Micro'!$B437=AO$2,'Atividades Micro'!$K437&lt;&gt;""),'Atividades Micro'!$K437,"")</f>
        <v/>
      </c>
      <c r="AP385" s="21" t="str">
        <f>IF(AND('Atividades Micro'!$B437=AP$2,'Atividades Micro'!$L437&lt;&gt;""),'Atividades Micro'!$L437,"")</f>
        <v/>
      </c>
      <c r="AQ385" s="21" t="str">
        <f>IF(AND('Atividades Micro'!$A437=AQ$2,'Atividades Micro'!$K437&lt;&gt;""),'Atividades Micro'!$K437,"")</f>
        <v/>
      </c>
      <c r="AR385" s="21" t="str">
        <f>IF(AND('Atividades Micro'!$A437=AR$2,'Atividades Micro'!$L437&lt;&gt;""),'Atividades Micro'!$L437,"")</f>
        <v/>
      </c>
      <c r="AS385" s="21" t="str">
        <f>IF(AND('Atividades Micro'!$B437=AS$2,'Atividades Micro'!$K437&lt;&gt;""),'Atividades Micro'!$K437,"")</f>
        <v/>
      </c>
      <c r="AT385" s="21" t="str">
        <f>IF(AND('Atividades Micro'!$B437=AT$2,'Atividades Micro'!$L437&lt;&gt;""),'Atividades Micro'!$L437,"")</f>
        <v/>
      </c>
      <c r="AU385" s="21" t="str">
        <f>IF(AND('Atividades Micro'!$A437=AU$2,'Atividades Micro'!$K437&lt;&gt;""),'Atividades Micro'!$K437,"")</f>
        <v/>
      </c>
      <c r="AV385" s="21" t="str">
        <f>IF(AND('Atividades Micro'!$A437=AV$2,'Atividades Micro'!$L437&lt;&gt;""),'Atividades Micro'!$L437,"")</f>
        <v/>
      </c>
      <c r="AW385" s="21" t="str">
        <f>IF(AND('Atividades Micro'!$B437=AW$2,'Atividades Micro'!$K437&lt;&gt;""),'Atividades Micro'!$K437,"")</f>
        <v/>
      </c>
      <c r="AX385" s="21" t="str">
        <f>IF(AND('Atividades Micro'!$B437=AX$2,'Atividades Micro'!$L437&lt;&gt;""),'Atividades Micro'!$L437,"")</f>
        <v/>
      </c>
      <c r="AY385" s="21" t="str">
        <f>IF(AND('Atividades Micro'!$A437=AY$2,'Atividades Micro'!$K437&lt;&gt;""),'Atividades Micro'!$K437,"")</f>
        <v/>
      </c>
      <c r="AZ385" s="21" t="str">
        <f>IF(AND('Atividades Micro'!$A437=AZ$2,'Atividades Micro'!$L437&lt;&gt;""),'Atividades Micro'!$L437,"")</f>
        <v/>
      </c>
      <c r="BA385" s="21" t="str">
        <f>IF(AND('Atividades Micro'!$B437=BA$2,'Atividades Micro'!$K437&lt;&gt;""),'Atividades Micro'!$K437,"")</f>
        <v/>
      </c>
      <c r="BB385" s="21" t="str">
        <f>IF(AND('Atividades Micro'!$B437=BB$2,'Atividades Micro'!$L437&lt;&gt;""),'Atividades Micro'!$L437,"")</f>
        <v/>
      </c>
      <c r="BC385" s="21" t="str">
        <f>IF(AND('Atividades Micro'!$B437=BC$2,'Atividades Micro'!$G437="Macro",'Atividades Micro'!$K437&lt;&gt;""),'Atividades Micro'!$K437,"")</f>
        <v/>
      </c>
      <c r="BD385" s="21" t="str">
        <f>IF(AND('Atividades Micro'!$B437=BD$2,'Atividades Micro'!$G437="Macro",'Atividades Micro'!$K437&lt;&gt;""),'Atividades Micro'!$K437,"")</f>
        <v/>
      </c>
      <c r="BE385" s="21" t="str">
        <f>IF(AND('Atividades Micro'!$B437=BE$2,'Atividades Micro'!$G437="Macro",'Atividades Micro'!$K437&lt;&gt;""),'Atividades Micro'!$K437,"")</f>
        <v/>
      </c>
      <c r="BF385" s="21" t="str">
        <f>IF(AND('Atividades Micro'!$B437=BF$2,'Atividades Micro'!$G437="Macro",'Atividades Micro'!$K437&lt;&gt;""),'Atividades Micro'!$K437,"")</f>
        <v/>
      </c>
      <c r="BG385" s="21" t="str">
        <f>IF(AND('Atividades Micro'!$B437=BG$2,'Atividades Micro'!$G437="Macro",'Atividades Micro'!$K437&lt;&gt;""),'Atividades Micro'!$K437,"")</f>
        <v/>
      </c>
      <c r="BH385" s="21" t="str">
        <f>IF(AND('Atividades Micro'!$B437=BH$2,'Atividades Micro'!$G437="Macro",'Atividades Micro'!$K437&lt;&gt;""),'Atividades Micro'!$K437,"")</f>
        <v/>
      </c>
      <c r="BI385" s="21" t="str">
        <f>IF(AND('Atividades Micro'!$B437=BI$2,'Atividades Micro'!$G437="Macro",'Atividades Micro'!$K437&lt;&gt;""),'Atividades Micro'!$K437,"")</f>
        <v/>
      </c>
      <c r="BJ385" s="21" t="str">
        <f>IF(AND('Atividades Micro'!$B437=BJ$2,'Atividades Micro'!$G437="Macro",'Atividades Micro'!$K437&lt;&gt;""),'Atividades Micro'!$K437,"")</f>
        <v/>
      </c>
      <c r="BK385" s="21" t="str">
        <f>IF(AND('Atividades Micro'!$B437=BK$2,'Atividades Micro'!$G437="Macro",'Atividades Micro'!$K437&lt;&gt;""),'Atividades Micro'!$K437,"")</f>
        <v/>
      </c>
      <c r="BL385" s="21" t="str">
        <f>IF(AND('Atividades Micro'!$B437=BL$2,'Atividades Micro'!$G437="Macro",'Atividades Micro'!$K437&lt;&gt;""),'Atividades Micro'!$K437,"")</f>
        <v/>
      </c>
      <c r="BM385" s="21" t="str">
        <f>IF(AND('Atividades Micro'!$B437=BM$2,'Atividades Micro'!$G437="Macro",'Atividades Micro'!$K437&lt;&gt;""),'Atividades Micro'!$K437,"")</f>
        <v/>
      </c>
      <c r="BN385" s="21" t="str">
        <f>IF(AND('Atividades Micro'!$B437=BN$2,'Atividades Micro'!$G437="Macro",'Atividades Micro'!$K437&lt;&gt;""),'Atividades Micro'!$K437,"")</f>
        <v/>
      </c>
      <c r="BO385" s="21" t="str">
        <f>IF(AND('Atividades Micro'!$B437=BO$2,'Atividades Micro'!$G437="Macro",'Atividades Micro'!$K437&lt;&gt;""),'Atividades Micro'!$K437,"")</f>
        <v/>
      </c>
      <c r="BP385" s="21" t="str">
        <f>IF(AND('Atividades Micro'!$B437=BP$2,'Atividades Micro'!$G437="Macro",'Atividades Micro'!$K437&lt;&gt;""),'Atividades Micro'!$K437,"")</f>
        <v/>
      </c>
      <c r="BQ385" s="21" t="str">
        <f>IF(AND('Atividades Micro'!$B437=BQ$2,'Atividades Micro'!$G437="Macro",'Atividades Micro'!$K437&lt;&gt;""),'Atividades Micro'!$K437,"")</f>
        <v/>
      </c>
      <c r="BR385" s="21" t="str">
        <f>IF(AND('Atividades Micro'!$B437=BR$2,'Atividades Micro'!$G437="Macro",'Atividades Micro'!$K437&lt;&gt;""),'Atividades Micro'!$K437,"")</f>
        <v/>
      </c>
      <c r="BS385" s="21" t="str">
        <f>IF(AND('Atividades Micro'!$B437=BS$2,'Atividades Micro'!$G437="Macro",'Atividades Micro'!$K437&lt;&gt;""),'Atividades Micro'!$K437,"")</f>
        <v/>
      </c>
      <c r="BT385" s="21" t="str">
        <f>IF(AND('Atividades Micro'!$B437=BT$2,'Atividades Micro'!$G437="Macro",'Atividades Micro'!$K437&lt;&gt;""),'Atividades Micro'!$K437,"")</f>
        <v/>
      </c>
      <c r="BU385" s="21" t="str">
        <f>IF(AND('Atividades Micro'!$B437=BU$2,'Atividades Micro'!$G437="Macro",'Atividades Micro'!$K437&lt;&gt;""),'Atividades Micro'!$K437,"")</f>
        <v/>
      </c>
      <c r="BV385" s="21" t="str">
        <f>IF(AND('Atividades Micro'!$B437=BV$2,'Atividades Micro'!$G437="Macro",'Atividades Micro'!$K437&lt;&gt;""),'Atividades Micro'!$K437,"")</f>
        <v/>
      </c>
      <c r="BW385" s="21" t="str">
        <f>IF(AND('Atividades Micro'!$B437=BW$2,'Atividades Micro'!$G437="Macro",'Atividades Micro'!$K437&lt;&gt;""),'Atividades Micro'!$K437,"")</f>
        <v/>
      </c>
      <c r="BX385" s="21" t="str">
        <f>IF(AND('Atividades Micro'!$B437=BX$2,'Atividades Micro'!$G437="Macro",'Atividades Micro'!$K437&lt;&gt;""),'Atividades Micro'!$K437,"")</f>
        <v/>
      </c>
      <c r="BY385" s="21" t="str">
        <f>IF(AND('Atividades Micro'!$B437=BY$2,'Atividades Micro'!$G437="Macro",'Atividades Micro'!$K437&lt;&gt;""),'Atividades Micro'!$K437,"")</f>
        <v/>
      </c>
      <c r="BZ385" s="21" t="str">
        <f>IF(AND('Atividades Micro'!$B437=BZ$2,'Atividades Micro'!$G437="Macro",'Atividades Micro'!$K437&lt;&gt;""),'Atividades Micro'!$K437,"")</f>
        <v/>
      </c>
      <c r="CA385" s="21" t="str">
        <f>IF(AND('Atividades Micro'!$B437=CA$2,'Atividades Micro'!$G437="Macro",'Atividades Micro'!$K437&lt;&gt;""),'Atividades Micro'!$K437,"")</f>
        <v/>
      </c>
      <c r="CB385" s="21" t="str">
        <f>IF(AND('Atividades Micro'!$B437=CB$2,'Atividades Micro'!$G437="Macro",'Atividades Micro'!$K437&lt;&gt;""),'Atividades Micro'!$K437,"")</f>
        <v/>
      </c>
      <c r="CC385" s="21" t="str">
        <f>IF(AND('Atividades Micro'!$B437=CC$2,'Atividades Micro'!$G437="Macro",'Atividades Micro'!$K437&lt;&gt;""),'Atividades Micro'!$K437,"")</f>
        <v/>
      </c>
      <c r="CD385" s="21" t="str">
        <f>IF(AND('Atividades Micro'!$B437=CD$2,'Atividades Micro'!$G437="Micro",'Atividades Micro'!$K437&lt;&gt;""),'Atividades Micro'!$K437,"")</f>
        <v/>
      </c>
      <c r="CE385" s="21" t="str">
        <f>IF(AND('Atividades Micro'!$B437=CE$2,'Atividades Micro'!$G437="Micro",'Atividades Micro'!$K437&lt;&gt;""),'Atividades Micro'!$K437,"")</f>
        <v/>
      </c>
      <c r="CF385" s="21" t="str">
        <f>IF(AND('Atividades Micro'!$B437=CF$2,'Atividades Micro'!$G437="Micro",'Atividades Micro'!$K437&lt;&gt;""),'Atividades Micro'!$K437,"")</f>
        <v/>
      </c>
      <c r="CG385" s="21" t="str">
        <f>IF(AND('Atividades Micro'!$B437=CG$2,'Atividades Micro'!$G437="Micro",'Atividades Micro'!$K437&lt;&gt;""),'Atividades Micro'!$K437,"")</f>
        <v/>
      </c>
      <c r="CH385" s="21" t="str">
        <f>IF(AND('Atividades Micro'!$B437=CH$2,'Atividades Micro'!$G437="Micro",'Atividades Micro'!$K437&lt;&gt;""),'Atividades Micro'!$K437,"")</f>
        <v/>
      </c>
      <c r="CI385" s="21" t="str">
        <f>IF(AND('Atividades Micro'!$B437=CI$2,'Atividades Micro'!$G437="Micro",'Atividades Micro'!$K437&lt;&gt;""),'Atividades Micro'!$K437,"")</f>
        <v/>
      </c>
      <c r="CJ385" s="21" t="str">
        <f>IF(AND('Atividades Micro'!$B437=CJ$2,'Atividades Micro'!$G437="Micro",'Atividades Micro'!$K437&lt;&gt;""),'Atividades Micro'!$K437,"")</f>
        <v/>
      </c>
      <c r="CK385" s="21" t="str">
        <f>IF(AND('Atividades Micro'!$B437=CK$2,'Atividades Micro'!$G437="Micro",'Atividades Micro'!$K437&lt;&gt;""),'Atividades Micro'!$K437,"")</f>
        <v/>
      </c>
      <c r="CL385" s="21" t="str">
        <f>IF(AND('Atividades Micro'!$B437=CL$2,'Atividades Micro'!$G437="Micro",'Atividades Micro'!$K437&lt;&gt;""),'Atividades Micro'!$K437,"")</f>
        <v/>
      </c>
      <c r="CM385" s="21" t="str">
        <f>IF(AND('Atividades Micro'!$B437=CM$2,'Atividades Micro'!$G437="Micro",'Atividades Micro'!$K437&lt;&gt;""),'Atividades Micro'!$K437,"")</f>
        <v/>
      </c>
      <c r="CN385" s="21" t="str">
        <f>IF(AND('Atividades Micro'!$B437=CN$2,'Atividades Micro'!$G437="Micro",'Atividades Micro'!$K437&lt;&gt;""),'Atividades Micro'!$K437,"")</f>
        <v/>
      </c>
      <c r="CO385" s="21" t="str">
        <f>IF(AND('Atividades Micro'!$B437=CO$2,'Atividades Micro'!$G437="Micro",'Atividades Micro'!$K437&lt;&gt;""),'Atividades Micro'!$K437,"")</f>
        <v/>
      </c>
    </row>
    <row r="386" spans="1:93">
      <c r="A386" s="21" t="str">
        <f>IF(AND('Atividades Micro'!$A438=A$2,'Atividades Micro'!$K438&lt;&gt;""),'Atividades Micro'!$K438,"")</f>
        <v/>
      </c>
      <c r="B386" s="21" t="str">
        <f>IF(AND('Atividades Micro'!$A438=B$2,'Atividades Micro'!$L438&lt;&gt;""),'Atividades Micro'!$L438,"")</f>
        <v/>
      </c>
      <c r="C386" s="21" t="str">
        <f>IF(AND('Atividades Micro'!$A438=C$2,'Atividades Micro'!$K438&lt;&gt;""),'Atividades Micro'!$K438,"")</f>
        <v/>
      </c>
      <c r="D386" s="21" t="str">
        <f>IF(AND('Atividades Micro'!$A438=D$2,'Atividades Micro'!$L438&lt;&gt;""),'Atividades Micro'!$L438,"")</f>
        <v/>
      </c>
      <c r="E386" s="21" t="str">
        <f>IF(AND('Atividades Micro'!$A438=E$2,'Atividades Micro'!$K438&lt;&gt;""),'Atividades Micro'!$K438,"")</f>
        <v/>
      </c>
      <c r="F386" s="21" t="str">
        <f>IF(AND('Atividades Micro'!$A438=F$2,'Atividades Micro'!$L438&lt;&gt;""),'Atividades Micro'!$L438,"")</f>
        <v/>
      </c>
      <c r="G386" s="21" t="str">
        <f>IF(AND('Atividades Micro'!$A438=G$2,'Atividades Micro'!$K438&lt;&gt;""),'Atividades Micro'!$K438,"")</f>
        <v/>
      </c>
      <c r="H386" s="21" t="str">
        <f>IF(AND('Atividades Micro'!$A438=H$2,'Atividades Micro'!$L438&lt;&gt;""),'Atividades Micro'!$L438,"")</f>
        <v/>
      </c>
      <c r="I386" s="21" t="str">
        <f>IF(AND('Atividades Micro'!$A438=I$2,'Atividades Micro'!$K438&lt;&gt;""),'Atividades Micro'!$K438,"")</f>
        <v/>
      </c>
      <c r="J386" s="21" t="str">
        <f>IF(AND('Atividades Micro'!$A438=J$2,'Atividades Micro'!$L438&lt;&gt;""),'Atividades Micro'!$L438,"")</f>
        <v/>
      </c>
      <c r="K386" s="21" t="str">
        <f>IF(AND('Atividades Micro'!$B438=K$2,'Atividades Micro'!$K438&lt;&gt;""),'Atividades Micro'!$K438,"")</f>
        <v/>
      </c>
      <c r="L386" s="21" t="str">
        <f>IF(AND('Atividades Micro'!$B438=L$2,'Atividades Micro'!$L438&lt;&gt;""),'Atividades Micro'!$L438,"")</f>
        <v/>
      </c>
      <c r="M386" s="21" t="str">
        <f>IF(AND('Atividades Micro'!$B438=M$2,'Atividades Micro'!$K438&lt;&gt;""),'Atividades Micro'!$K438,"")</f>
        <v/>
      </c>
      <c r="N386" s="21" t="str">
        <f>IF(AND('Atividades Micro'!$B438=N$2,'Atividades Micro'!$L438&lt;&gt;""),'Atividades Micro'!$L438,"")</f>
        <v/>
      </c>
      <c r="O386" s="21" t="str">
        <f>IF(AND('Atividades Micro'!$A438=O$2,'Atividades Micro'!$K438&lt;&gt;""),'Atividades Micro'!$K438,"")</f>
        <v/>
      </c>
      <c r="P386" s="21" t="str">
        <f>IF(AND('Atividades Micro'!$A438=P$2,'Atividades Micro'!$L438&lt;&gt;""),'Atividades Micro'!$L438,"")</f>
        <v/>
      </c>
      <c r="Q386" s="21" t="str">
        <f>IF(AND('Atividades Micro'!$B438=Q$2,'Atividades Micro'!$K438&lt;&gt;""),'Atividades Micro'!$K438,"")</f>
        <v/>
      </c>
      <c r="R386" s="21" t="str">
        <f>IF(AND('Atividades Micro'!$B438=R$2,'Atividades Micro'!$L438&lt;&gt;""),'Atividades Micro'!$L438,"")</f>
        <v/>
      </c>
      <c r="S386" s="21" t="str">
        <f>IF(AND('Atividades Micro'!$A438=S$2,'Atividades Micro'!$K438&lt;&gt;""),'Atividades Micro'!$K438,"")</f>
        <v/>
      </c>
      <c r="T386" s="21" t="str">
        <f>IF(AND('Atividades Micro'!$A438=T$2,'Atividades Micro'!$L438&lt;&gt;""),'Atividades Micro'!$L438,"")</f>
        <v/>
      </c>
      <c r="U386" s="21" t="str">
        <f>IF(AND('Atividades Micro'!$B438=U$2,'Atividades Micro'!$K438&lt;&gt;""),'Atividades Micro'!$K438,"")</f>
        <v/>
      </c>
      <c r="V386" s="21" t="str">
        <f>IF(AND('Atividades Micro'!$B438=V$2,'Atividades Micro'!$L438&lt;&gt;""),'Atividades Micro'!$L438,"")</f>
        <v/>
      </c>
      <c r="W386" s="21" t="str">
        <f>IF(AND('Atividades Micro'!$B438=W$2,'Atividades Micro'!$K438&lt;&gt;""),'Atividades Micro'!$K438,"")</f>
        <v/>
      </c>
      <c r="X386" s="21" t="str">
        <f>IF(AND('Atividades Micro'!$B438=X$2,'Atividades Micro'!$L438&lt;&gt;""),'Atividades Micro'!$L438,"")</f>
        <v/>
      </c>
      <c r="Y386" s="21" t="str">
        <f>IF(AND('Atividades Micro'!$A438=Y$2,'Atividades Micro'!$K438&lt;&gt;""),'Atividades Micro'!$K438,"")</f>
        <v/>
      </c>
      <c r="Z386" s="21" t="str">
        <f>IF(AND('Atividades Micro'!$A438=Z$2,'Atividades Micro'!$L438&lt;&gt;""),'Atividades Micro'!$L438,"")</f>
        <v/>
      </c>
      <c r="AA386" s="21" t="str">
        <f>IF(AND('Atividades Micro'!$B438=AA$2,'Atividades Micro'!$K438&lt;&gt;""),'Atividades Micro'!$K438,"")</f>
        <v/>
      </c>
      <c r="AB386" s="21" t="str">
        <f>IF(AND('Atividades Micro'!$B438=AB$2,'Atividades Micro'!$L438&lt;&gt;""),'Atividades Micro'!$L438,"")</f>
        <v/>
      </c>
      <c r="AC386" s="21" t="str">
        <f>IF(AND('Atividades Micro'!$B438=AC$2,'Atividades Micro'!$K438&lt;&gt;""),'Atividades Micro'!$K438,"")</f>
        <v/>
      </c>
      <c r="AD386" s="21" t="str">
        <f>IF(AND('Atividades Micro'!$B438=AD$2,'Atividades Micro'!$L438&lt;&gt;""),'Atividades Micro'!$L438,"")</f>
        <v/>
      </c>
      <c r="AE386" s="21" t="str">
        <f>IF(AND('Atividades Micro'!$A438=AE$2,'Atividades Micro'!$K438&lt;&gt;""),'Atividades Micro'!$K438,"")</f>
        <v/>
      </c>
      <c r="AF386" s="21" t="str">
        <f>IF(AND('Atividades Micro'!$A438=AF$2,'Atividades Micro'!$L438&lt;&gt;""),'Atividades Micro'!$L438,"")</f>
        <v/>
      </c>
      <c r="AG386" s="21" t="str">
        <f>IF(AND('Atividades Micro'!$B438=AG$2,'Atividades Micro'!$K438&lt;&gt;""),'Atividades Micro'!$K438,"")</f>
        <v/>
      </c>
      <c r="AH386" s="21" t="str">
        <f>IF(AND('Atividades Micro'!$B438=AH$2,'Atividades Micro'!$L438&lt;&gt;""),'Atividades Micro'!$L438,"")</f>
        <v/>
      </c>
      <c r="AI386" s="21" t="str">
        <f>IF(AND('Atividades Micro'!$B438=AI$2,'Atividades Micro'!$K438&lt;&gt;""),'Atividades Micro'!$K438,"")</f>
        <v/>
      </c>
      <c r="AJ386" s="21" t="str">
        <f>IF(AND('Atividades Micro'!$B438=AJ$2,'Atividades Micro'!$L438&lt;&gt;""),'Atividades Micro'!$L438,"")</f>
        <v/>
      </c>
      <c r="AK386" s="21" t="str">
        <f>IF(AND('Atividades Micro'!$A438=AK$2,'Atividades Micro'!$K438&lt;&gt;""),'Atividades Micro'!$K438,"")</f>
        <v/>
      </c>
      <c r="AL386" s="21" t="str">
        <f>IF(AND('Atividades Micro'!$A438=AL$2,'Atividades Micro'!$L438&lt;&gt;""),'Atividades Micro'!$L438,"")</f>
        <v/>
      </c>
      <c r="AM386" s="21" t="str">
        <f>IF(AND('Atividades Micro'!$B438=AM$2,'Atividades Micro'!$K438&lt;&gt;""),'Atividades Micro'!$K438,"")</f>
        <v/>
      </c>
      <c r="AN386" s="21" t="str">
        <f>IF(AND('Atividades Micro'!$B438=AN$2,'Atividades Micro'!$L438&lt;&gt;""),'Atividades Micro'!$L438,"")</f>
        <v/>
      </c>
      <c r="AO386" s="21" t="str">
        <f>IF(AND('Atividades Micro'!$B438=AO$2,'Atividades Micro'!$K438&lt;&gt;""),'Atividades Micro'!$K438,"")</f>
        <v/>
      </c>
      <c r="AP386" s="21" t="str">
        <f>IF(AND('Atividades Micro'!$B438=AP$2,'Atividades Micro'!$L438&lt;&gt;""),'Atividades Micro'!$L438,"")</f>
        <v/>
      </c>
      <c r="AQ386" s="21" t="str">
        <f>IF(AND('Atividades Micro'!$A438=AQ$2,'Atividades Micro'!$K438&lt;&gt;""),'Atividades Micro'!$K438,"")</f>
        <v/>
      </c>
      <c r="AR386" s="21" t="str">
        <f>IF(AND('Atividades Micro'!$A438=AR$2,'Atividades Micro'!$L438&lt;&gt;""),'Atividades Micro'!$L438,"")</f>
        <v/>
      </c>
      <c r="AS386" s="21" t="str">
        <f>IF(AND('Atividades Micro'!$B438=AS$2,'Atividades Micro'!$K438&lt;&gt;""),'Atividades Micro'!$K438,"")</f>
        <v/>
      </c>
      <c r="AT386" s="21" t="str">
        <f>IF(AND('Atividades Micro'!$B438=AT$2,'Atividades Micro'!$L438&lt;&gt;""),'Atividades Micro'!$L438,"")</f>
        <v/>
      </c>
      <c r="AU386" s="21" t="str">
        <f>IF(AND('Atividades Micro'!$A438=AU$2,'Atividades Micro'!$K438&lt;&gt;""),'Atividades Micro'!$K438,"")</f>
        <v/>
      </c>
      <c r="AV386" s="21" t="str">
        <f>IF(AND('Atividades Micro'!$A438=AV$2,'Atividades Micro'!$L438&lt;&gt;""),'Atividades Micro'!$L438,"")</f>
        <v/>
      </c>
      <c r="AW386" s="21" t="str">
        <f>IF(AND('Atividades Micro'!$B438=AW$2,'Atividades Micro'!$K438&lt;&gt;""),'Atividades Micro'!$K438,"")</f>
        <v/>
      </c>
      <c r="AX386" s="21" t="str">
        <f>IF(AND('Atividades Micro'!$B438=AX$2,'Atividades Micro'!$L438&lt;&gt;""),'Atividades Micro'!$L438,"")</f>
        <v/>
      </c>
      <c r="AY386" s="21" t="str">
        <f>IF(AND('Atividades Micro'!$A438=AY$2,'Atividades Micro'!$K438&lt;&gt;""),'Atividades Micro'!$K438,"")</f>
        <v/>
      </c>
      <c r="AZ386" s="21" t="str">
        <f>IF(AND('Atividades Micro'!$A438=AZ$2,'Atividades Micro'!$L438&lt;&gt;""),'Atividades Micro'!$L438,"")</f>
        <v/>
      </c>
      <c r="BA386" s="21" t="str">
        <f>IF(AND('Atividades Micro'!$B438=BA$2,'Atividades Micro'!$K438&lt;&gt;""),'Atividades Micro'!$K438,"")</f>
        <v/>
      </c>
      <c r="BB386" s="21" t="str">
        <f>IF(AND('Atividades Micro'!$B438=BB$2,'Atividades Micro'!$L438&lt;&gt;""),'Atividades Micro'!$L438,"")</f>
        <v/>
      </c>
      <c r="BC386" s="21" t="str">
        <f>IF(AND('Atividades Micro'!$B438=BC$2,'Atividades Micro'!$G438="Macro",'Atividades Micro'!$K438&lt;&gt;""),'Atividades Micro'!$K438,"")</f>
        <v/>
      </c>
      <c r="BD386" s="21" t="str">
        <f>IF(AND('Atividades Micro'!$B438=BD$2,'Atividades Micro'!$G438="Macro",'Atividades Micro'!$K438&lt;&gt;""),'Atividades Micro'!$K438,"")</f>
        <v/>
      </c>
      <c r="BE386" s="21" t="str">
        <f>IF(AND('Atividades Micro'!$B438=BE$2,'Atividades Micro'!$G438="Macro",'Atividades Micro'!$K438&lt;&gt;""),'Atividades Micro'!$K438,"")</f>
        <v/>
      </c>
      <c r="BF386" s="21" t="str">
        <f>IF(AND('Atividades Micro'!$B438=BF$2,'Atividades Micro'!$G438="Macro",'Atividades Micro'!$K438&lt;&gt;""),'Atividades Micro'!$K438,"")</f>
        <v/>
      </c>
      <c r="BG386" s="21" t="str">
        <f>IF(AND('Atividades Micro'!$B438=BG$2,'Atividades Micro'!$G438="Macro",'Atividades Micro'!$K438&lt;&gt;""),'Atividades Micro'!$K438,"")</f>
        <v/>
      </c>
      <c r="BH386" s="21" t="str">
        <f>IF(AND('Atividades Micro'!$B438=BH$2,'Atividades Micro'!$G438="Macro",'Atividades Micro'!$K438&lt;&gt;""),'Atividades Micro'!$K438,"")</f>
        <v/>
      </c>
      <c r="BI386" s="21" t="str">
        <f>IF(AND('Atividades Micro'!$B438=BI$2,'Atividades Micro'!$G438="Macro",'Atividades Micro'!$K438&lt;&gt;""),'Atividades Micro'!$K438,"")</f>
        <v/>
      </c>
      <c r="BJ386" s="21" t="str">
        <f>IF(AND('Atividades Micro'!$B438=BJ$2,'Atividades Micro'!$G438="Macro",'Atividades Micro'!$K438&lt;&gt;""),'Atividades Micro'!$K438,"")</f>
        <v/>
      </c>
      <c r="BK386" s="21" t="str">
        <f>IF(AND('Atividades Micro'!$B438=BK$2,'Atividades Micro'!$G438="Macro",'Atividades Micro'!$K438&lt;&gt;""),'Atividades Micro'!$K438,"")</f>
        <v/>
      </c>
      <c r="BL386" s="21" t="str">
        <f>IF(AND('Atividades Micro'!$B438=BL$2,'Atividades Micro'!$G438="Macro",'Atividades Micro'!$K438&lt;&gt;""),'Atividades Micro'!$K438,"")</f>
        <v/>
      </c>
      <c r="BM386" s="21" t="str">
        <f>IF(AND('Atividades Micro'!$B438=BM$2,'Atividades Micro'!$G438="Macro",'Atividades Micro'!$K438&lt;&gt;""),'Atividades Micro'!$K438,"")</f>
        <v/>
      </c>
      <c r="BN386" s="21" t="str">
        <f>IF(AND('Atividades Micro'!$B438=BN$2,'Atividades Micro'!$G438="Macro",'Atividades Micro'!$K438&lt;&gt;""),'Atividades Micro'!$K438,"")</f>
        <v/>
      </c>
      <c r="BO386" s="21" t="str">
        <f>IF(AND('Atividades Micro'!$B438=BO$2,'Atividades Micro'!$G438="Macro",'Atividades Micro'!$K438&lt;&gt;""),'Atividades Micro'!$K438,"")</f>
        <v/>
      </c>
      <c r="BP386" s="21" t="str">
        <f>IF(AND('Atividades Micro'!$B438=BP$2,'Atividades Micro'!$G438="Macro",'Atividades Micro'!$K438&lt;&gt;""),'Atividades Micro'!$K438,"")</f>
        <v/>
      </c>
      <c r="BQ386" s="21" t="str">
        <f>IF(AND('Atividades Micro'!$B438=BQ$2,'Atividades Micro'!$G438="Macro",'Atividades Micro'!$K438&lt;&gt;""),'Atividades Micro'!$K438,"")</f>
        <v/>
      </c>
      <c r="BR386" s="21" t="str">
        <f>IF(AND('Atividades Micro'!$B438=BR$2,'Atividades Micro'!$G438="Macro",'Atividades Micro'!$K438&lt;&gt;""),'Atividades Micro'!$K438,"")</f>
        <v/>
      </c>
      <c r="BS386" s="21" t="str">
        <f>IF(AND('Atividades Micro'!$B438=BS$2,'Atividades Micro'!$G438="Macro",'Atividades Micro'!$K438&lt;&gt;""),'Atividades Micro'!$K438,"")</f>
        <v/>
      </c>
      <c r="BT386" s="21" t="str">
        <f>IF(AND('Atividades Micro'!$B438=BT$2,'Atividades Micro'!$G438="Macro",'Atividades Micro'!$K438&lt;&gt;""),'Atividades Micro'!$K438,"")</f>
        <v/>
      </c>
      <c r="BU386" s="21" t="str">
        <f>IF(AND('Atividades Micro'!$B438=BU$2,'Atividades Micro'!$G438="Macro",'Atividades Micro'!$K438&lt;&gt;""),'Atividades Micro'!$K438,"")</f>
        <v/>
      </c>
      <c r="BV386" s="21" t="str">
        <f>IF(AND('Atividades Micro'!$B438=BV$2,'Atividades Micro'!$G438="Macro",'Atividades Micro'!$K438&lt;&gt;""),'Atividades Micro'!$K438,"")</f>
        <v/>
      </c>
      <c r="BW386" s="21" t="str">
        <f>IF(AND('Atividades Micro'!$B438=BW$2,'Atividades Micro'!$G438="Macro",'Atividades Micro'!$K438&lt;&gt;""),'Atividades Micro'!$K438,"")</f>
        <v/>
      </c>
      <c r="BX386" s="21" t="str">
        <f>IF(AND('Atividades Micro'!$B438=BX$2,'Atividades Micro'!$G438="Macro",'Atividades Micro'!$K438&lt;&gt;""),'Atividades Micro'!$K438,"")</f>
        <v/>
      </c>
      <c r="BY386" s="21" t="str">
        <f>IF(AND('Atividades Micro'!$B438=BY$2,'Atividades Micro'!$G438="Macro",'Atividades Micro'!$K438&lt;&gt;""),'Atividades Micro'!$K438,"")</f>
        <v/>
      </c>
      <c r="BZ386" s="21" t="str">
        <f>IF(AND('Atividades Micro'!$B438=BZ$2,'Atividades Micro'!$G438="Macro",'Atividades Micro'!$K438&lt;&gt;""),'Atividades Micro'!$K438,"")</f>
        <v/>
      </c>
      <c r="CA386" s="21" t="str">
        <f>IF(AND('Atividades Micro'!$B438=CA$2,'Atividades Micro'!$G438="Macro",'Atividades Micro'!$K438&lt;&gt;""),'Atividades Micro'!$K438,"")</f>
        <v/>
      </c>
      <c r="CB386" s="21" t="str">
        <f>IF(AND('Atividades Micro'!$B438=CB$2,'Atividades Micro'!$G438="Macro",'Atividades Micro'!$K438&lt;&gt;""),'Atividades Micro'!$K438,"")</f>
        <v/>
      </c>
      <c r="CC386" s="21" t="str">
        <f>IF(AND('Atividades Micro'!$B438=CC$2,'Atividades Micro'!$G438="Macro",'Atividades Micro'!$K438&lt;&gt;""),'Atividades Micro'!$K438,"")</f>
        <v/>
      </c>
      <c r="CD386" s="21" t="str">
        <f>IF(AND('Atividades Micro'!$B438=CD$2,'Atividades Micro'!$G438="Micro",'Atividades Micro'!$K438&lt;&gt;""),'Atividades Micro'!$K438,"")</f>
        <v/>
      </c>
      <c r="CE386" s="21" t="str">
        <f>IF(AND('Atividades Micro'!$B438=CE$2,'Atividades Micro'!$G438="Micro",'Atividades Micro'!$K438&lt;&gt;""),'Atividades Micro'!$K438,"")</f>
        <v/>
      </c>
      <c r="CF386" s="21" t="str">
        <f>IF(AND('Atividades Micro'!$B438=CF$2,'Atividades Micro'!$G438="Micro",'Atividades Micro'!$K438&lt;&gt;""),'Atividades Micro'!$K438,"")</f>
        <v/>
      </c>
      <c r="CG386" s="21" t="str">
        <f>IF(AND('Atividades Micro'!$B438=CG$2,'Atividades Micro'!$G438="Micro",'Atividades Micro'!$K438&lt;&gt;""),'Atividades Micro'!$K438,"")</f>
        <v/>
      </c>
      <c r="CH386" s="21" t="str">
        <f>IF(AND('Atividades Micro'!$B438=CH$2,'Atividades Micro'!$G438="Micro",'Atividades Micro'!$K438&lt;&gt;""),'Atividades Micro'!$K438,"")</f>
        <v/>
      </c>
      <c r="CI386" s="21" t="str">
        <f>IF(AND('Atividades Micro'!$B438=CI$2,'Atividades Micro'!$G438="Micro",'Atividades Micro'!$K438&lt;&gt;""),'Atividades Micro'!$K438,"")</f>
        <v/>
      </c>
      <c r="CJ386" s="21" t="str">
        <f>IF(AND('Atividades Micro'!$B438=CJ$2,'Atividades Micro'!$G438="Micro",'Atividades Micro'!$K438&lt;&gt;""),'Atividades Micro'!$K438,"")</f>
        <v/>
      </c>
      <c r="CK386" s="21" t="str">
        <f>IF(AND('Atividades Micro'!$B438=CK$2,'Atividades Micro'!$G438="Micro",'Atividades Micro'!$K438&lt;&gt;""),'Atividades Micro'!$K438,"")</f>
        <v/>
      </c>
      <c r="CL386" s="21" t="str">
        <f>IF(AND('Atividades Micro'!$B438=CL$2,'Atividades Micro'!$G438="Micro",'Atividades Micro'!$K438&lt;&gt;""),'Atividades Micro'!$K438,"")</f>
        <v/>
      </c>
      <c r="CM386" s="21" t="str">
        <f>IF(AND('Atividades Micro'!$B438=CM$2,'Atividades Micro'!$G438="Micro",'Atividades Micro'!$K438&lt;&gt;""),'Atividades Micro'!$K438,"")</f>
        <v/>
      </c>
      <c r="CN386" s="21" t="str">
        <f>IF(AND('Atividades Micro'!$B438=CN$2,'Atividades Micro'!$G438="Micro",'Atividades Micro'!$K438&lt;&gt;""),'Atividades Micro'!$K438,"")</f>
        <v/>
      </c>
      <c r="CO386" s="21" t="str">
        <f>IF(AND('Atividades Micro'!$B438=CO$2,'Atividades Micro'!$G438="Micro",'Atividades Micro'!$K438&lt;&gt;""),'Atividades Micro'!$K438,"")</f>
        <v/>
      </c>
    </row>
    <row r="387" spans="1:93">
      <c r="A387" s="21" t="str">
        <f>IF(AND('Atividades Micro'!$A439=A$2,'Atividades Micro'!$K439&lt;&gt;""),'Atividades Micro'!$K439,"")</f>
        <v/>
      </c>
      <c r="B387" s="21" t="str">
        <f>IF(AND('Atividades Micro'!$A439=B$2,'Atividades Micro'!$L439&lt;&gt;""),'Atividades Micro'!$L439,"")</f>
        <v/>
      </c>
      <c r="C387" s="21" t="str">
        <f>IF(AND('Atividades Micro'!$A439=C$2,'Atividades Micro'!$K439&lt;&gt;""),'Atividades Micro'!$K439,"")</f>
        <v/>
      </c>
      <c r="D387" s="21" t="str">
        <f>IF(AND('Atividades Micro'!$A439=D$2,'Atividades Micro'!$L439&lt;&gt;""),'Atividades Micro'!$L439,"")</f>
        <v/>
      </c>
      <c r="E387" s="21" t="str">
        <f>IF(AND('Atividades Micro'!$A439=E$2,'Atividades Micro'!$K439&lt;&gt;""),'Atividades Micro'!$K439,"")</f>
        <v/>
      </c>
      <c r="F387" s="21" t="str">
        <f>IF(AND('Atividades Micro'!$A439=F$2,'Atividades Micro'!$L439&lt;&gt;""),'Atividades Micro'!$L439,"")</f>
        <v/>
      </c>
      <c r="G387" s="21" t="str">
        <f>IF(AND('Atividades Micro'!$A439=G$2,'Atividades Micro'!$K439&lt;&gt;""),'Atividades Micro'!$K439,"")</f>
        <v/>
      </c>
      <c r="H387" s="21" t="str">
        <f>IF(AND('Atividades Micro'!$A439=H$2,'Atividades Micro'!$L439&lt;&gt;""),'Atividades Micro'!$L439,"")</f>
        <v/>
      </c>
      <c r="I387" s="21" t="str">
        <f>IF(AND('Atividades Micro'!$A439=I$2,'Atividades Micro'!$K439&lt;&gt;""),'Atividades Micro'!$K439,"")</f>
        <v/>
      </c>
      <c r="J387" s="21" t="str">
        <f>IF(AND('Atividades Micro'!$A439=J$2,'Atividades Micro'!$L439&lt;&gt;""),'Atividades Micro'!$L439,"")</f>
        <v/>
      </c>
      <c r="K387" s="21" t="str">
        <f>IF(AND('Atividades Micro'!$B439=K$2,'Atividades Micro'!$K439&lt;&gt;""),'Atividades Micro'!$K439,"")</f>
        <v/>
      </c>
      <c r="L387" s="21" t="str">
        <f>IF(AND('Atividades Micro'!$B439=L$2,'Atividades Micro'!$L439&lt;&gt;""),'Atividades Micro'!$L439,"")</f>
        <v/>
      </c>
      <c r="M387" s="21" t="str">
        <f>IF(AND('Atividades Micro'!$B439=M$2,'Atividades Micro'!$K439&lt;&gt;""),'Atividades Micro'!$K439,"")</f>
        <v/>
      </c>
      <c r="N387" s="21" t="str">
        <f>IF(AND('Atividades Micro'!$B439=N$2,'Atividades Micro'!$L439&lt;&gt;""),'Atividades Micro'!$L439,"")</f>
        <v/>
      </c>
      <c r="O387" s="21" t="str">
        <f>IF(AND('Atividades Micro'!$A439=O$2,'Atividades Micro'!$K439&lt;&gt;""),'Atividades Micro'!$K439,"")</f>
        <v/>
      </c>
      <c r="P387" s="21" t="str">
        <f>IF(AND('Atividades Micro'!$A439=P$2,'Atividades Micro'!$L439&lt;&gt;""),'Atividades Micro'!$L439,"")</f>
        <v/>
      </c>
      <c r="Q387" s="21" t="str">
        <f>IF(AND('Atividades Micro'!$B439=Q$2,'Atividades Micro'!$K439&lt;&gt;""),'Atividades Micro'!$K439,"")</f>
        <v/>
      </c>
      <c r="R387" s="21" t="str">
        <f>IF(AND('Atividades Micro'!$B439=R$2,'Atividades Micro'!$L439&lt;&gt;""),'Atividades Micro'!$L439,"")</f>
        <v/>
      </c>
      <c r="S387" s="21" t="str">
        <f>IF(AND('Atividades Micro'!$A439=S$2,'Atividades Micro'!$K439&lt;&gt;""),'Atividades Micro'!$K439,"")</f>
        <v/>
      </c>
      <c r="T387" s="21" t="str">
        <f>IF(AND('Atividades Micro'!$A439=T$2,'Atividades Micro'!$L439&lt;&gt;""),'Atividades Micro'!$L439,"")</f>
        <v/>
      </c>
      <c r="U387" s="21" t="str">
        <f>IF(AND('Atividades Micro'!$B439=U$2,'Atividades Micro'!$K439&lt;&gt;""),'Atividades Micro'!$K439,"")</f>
        <v/>
      </c>
      <c r="V387" s="21" t="str">
        <f>IF(AND('Atividades Micro'!$B439=V$2,'Atividades Micro'!$L439&lt;&gt;""),'Atividades Micro'!$L439,"")</f>
        <v/>
      </c>
      <c r="W387" s="21" t="str">
        <f>IF(AND('Atividades Micro'!$B439=W$2,'Atividades Micro'!$K439&lt;&gt;""),'Atividades Micro'!$K439,"")</f>
        <v/>
      </c>
      <c r="X387" s="21" t="str">
        <f>IF(AND('Atividades Micro'!$B439=X$2,'Atividades Micro'!$L439&lt;&gt;""),'Atividades Micro'!$L439,"")</f>
        <v/>
      </c>
      <c r="Y387" s="21" t="str">
        <f>IF(AND('Atividades Micro'!$A439=Y$2,'Atividades Micro'!$K439&lt;&gt;""),'Atividades Micro'!$K439,"")</f>
        <v/>
      </c>
      <c r="Z387" s="21" t="str">
        <f>IF(AND('Atividades Micro'!$A439=Z$2,'Atividades Micro'!$L439&lt;&gt;""),'Atividades Micro'!$L439,"")</f>
        <v/>
      </c>
      <c r="AA387" s="21" t="str">
        <f>IF(AND('Atividades Micro'!$B439=AA$2,'Atividades Micro'!$K439&lt;&gt;""),'Atividades Micro'!$K439,"")</f>
        <v/>
      </c>
      <c r="AB387" s="21" t="str">
        <f>IF(AND('Atividades Micro'!$B439=AB$2,'Atividades Micro'!$L439&lt;&gt;""),'Atividades Micro'!$L439,"")</f>
        <v/>
      </c>
      <c r="AC387" s="21" t="str">
        <f>IF(AND('Atividades Micro'!$B439=AC$2,'Atividades Micro'!$K439&lt;&gt;""),'Atividades Micro'!$K439,"")</f>
        <v/>
      </c>
      <c r="AD387" s="21" t="str">
        <f>IF(AND('Atividades Micro'!$B439=AD$2,'Atividades Micro'!$L439&lt;&gt;""),'Atividades Micro'!$L439,"")</f>
        <v/>
      </c>
      <c r="AE387" s="21" t="str">
        <f>IF(AND('Atividades Micro'!$A439=AE$2,'Atividades Micro'!$K439&lt;&gt;""),'Atividades Micro'!$K439,"")</f>
        <v/>
      </c>
      <c r="AF387" s="21" t="str">
        <f>IF(AND('Atividades Micro'!$A439=AF$2,'Atividades Micro'!$L439&lt;&gt;""),'Atividades Micro'!$L439,"")</f>
        <v/>
      </c>
      <c r="AG387" s="21" t="str">
        <f>IF(AND('Atividades Micro'!$B439=AG$2,'Atividades Micro'!$K439&lt;&gt;""),'Atividades Micro'!$K439,"")</f>
        <v/>
      </c>
      <c r="AH387" s="21" t="str">
        <f>IF(AND('Atividades Micro'!$B439=AH$2,'Atividades Micro'!$L439&lt;&gt;""),'Atividades Micro'!$L439,"")</f>
        <v/>
      </c>
      <c r="AI387" s="21" t="str">
        <f>IF(AND('Atividades Micro'!$B439=AI$2,'Atividades Micro'!$K439&lt;&gt;""),'Atividades Micro'!$K439,"")</f>
        <v/>
      </c>
      <c r="AJ387" s="21" t="str">
        <f>IF(AND('Atividades Micro'!$B439=AJ$2,'Atividades Micro'!$L439&lt;&gt;""),'Atividades Micro'!$L439,"")</f>
        <v/>
      </c>
      <c r="AK387" s="21" t="str">
        <f>IF(AND('Atividades Micro'!$A439=AK$2,'Atividades Micro'!$K439&lt;&gt;""),'Atividades Micro'!$K439,"")</f>
        <v/>
      </c>
      <c r="AL387" s="21" t="str">
        <f>IF(AND('Atividades Micro'!$A439=AL$2,'Atividades Micro'!$L439&lt;&gt;""),'Atividades Micro'!$L439,"")</f>
        <v/>
      </c>
      <c r="AM387" s="21" t="str">
        <f>IF(AND('Atividades Micro'!$B439=AM$2,'Atividades Micro'!$K439&lt;&gt;""),'Atividades Micro'!$K439,"")</f>
        <v/>
      </c>
      <c r="AN387" s="21" t="str">
        <f>IF(AND('Atividades Micro'!$B439=AN$2,'Atividades Micro'!$L439&lt;&gt;""),'Atividades Micro'!$L439,"")</f>
        <v/>
      </c>
      <c r="AO387" s="21" t="str">
        <f>IF(AND('Atividades Micro'!$B439=AO$2,'Atividades Micro'!$K439&lt;&gt;""),'Atividades Micro'!$K439,"")</f>
        <v/>
      </c>
      <c r="AP387" s="21" t="str">
        <f>IF(AND('Atividades Micro'!$B439=AP$2,'Atividades Micro'!$L439&lt;&gt;""),'Atividades Micro'!$L439,"")</f>
        <v/>
      </c>
      <c r="AQ387" s="21" t="str">
        <f>IF(AND('Atividades Micro'!$A439=AQ$2,'Atividades Micro'!$K439&lt;&gt;""),'Atividades Micro'!$K439,"")</f>
        <v/>
      </c>
      <c r="AR387" s="21" t="str">
        <f>IF(AND('Atividades Micro'!$A439=AR$2,'Atividades Micro'!$L439&lt;&gt;""),'Atividades Micro'!$L439,"")</f>
        <v/>
      </c>
      <c r="AS387" s="21" t="str">
        <f>IF(AND('Atividades Micro'!$B439=AS$2,'Atividades Micro'!$K439&lt;&gt;""),'Atividades Micro'!$K439,"")</f>
        <v/>
      </c>
      <c r="AT387" s="21" t="str">
        <f>IF(AND('Atividades Micro'!$B439=AT$2,'Atividades Micro'!$L439&lt;&gt;""),'Atividades Micro'!$L439,"")</f>
        <v/>
      </c>
      <c r="AU387" s="21" t="str">
        <f>IF(AND('Atividades Micro'!$A439=AU$2,'Atividades Micro'!$K439&lt;&gt;""),'Atividades Micro'!$K439,"")</f>
        <v/>
      </c>
      <c r="AV387" s="21" t="str">
        <f>IF(AND('Atividades Micro'!$A439=AV$2,'Atividades Micro'!$L439&lt;&gt;""),'Atividades Micro'!$L439,"")</f>
        <v/>
      </c>
      <c r="AW387" s="21" t="str">
        <f>IF(AND('Atividades Micro'!$B439=AW$2,'Atividades Micro'!$K439&lt;&gt;""),'Atividades Micro'!$K439,"")</f>
        <v/>
      </c>
      <c r="AX387" s="21" t="str">
        <f>IF(AND('Atividades Micro'!$B439=AX$2,'Atividades Micro'!$L439&lt;&gt;""),'Atividades Micro'!$L439,"")</f>
        <v/>
      </c>
      <c r="AY387" s="21" t="str">
        <f>IF(AND('Atividades Micro'!$A439=AY$2,'Atividades Micro'!$K439&lt;&gt;""),'Atividades Micro'!$K439,"")</f>
        <v/>
      </c>
      <c r="AZ387" s="21" t="str">
        <f>IF(AND('Atividades Micro'!$A439=AZ$2,'Atividades Micro'!$L439&lt;&gt;""),'Atividades Micro'!$L439,"")</f>
        <v/>
      </c>
      <c r="BA387" s="21" t="str">
        <f>IF(AND('Atividades Micro'!$B439=BA$2,'Atividades Micro'!$K439&lt;&gt;""),'Atividades Micro'!$K439,"")</f>
        <v/>
      </c>
      <c r="BB387" s="21" t="str">
        <f>IF(AND('Atividades Micro'!$B439=BB$2,'Atividades Micro'!$L439&lt;&gt;""),'Atividades Micro'!$L439,"")</f>
        <v/>
      </c>
      <c r="BC387" s="21" t="str">
        <f>IF(AND('Atividades Micro'!$B439=BC$2,'Atividades Micro'!$G439="Macro",'Atividades Micro'!$K439&lt;&gt;""),'Atividades Micro'!$K439,"")</f>
        <v/>
      </c>
      <c r="BD387" s="21" t="str">
        <f>IF(AND('Atividades Micro'!$B439=BD$2,'Atividades Micro'!$G439="Macro",'Atividades Micro'!$K439&lt;&gt;""),'Atividades Micro'!$K439,"")</f>
        <v/>
      </c>
      <c r="BE387" s="21" t="str">
        <f>IF(AND('Atividades Micro'!$B439=BE$2,'Atividades Micro'!$G439="Macro",'Atividades Micro'!$K439&lt;&gt;""),'Atividades Micro'!$K439,"")</f>
        <v/>
      </c>
      <c r="BF387" s="21" t="str">
        <f>IF(AND('Atividades Micro'!$B439=BF$2,'Atividades Micro'!$G439="Macro",'Atividades Micro'!$K439&lt;&gt;""),'Atividades Micro'!$K439,"")</f>
        <v/>
      </c>
      <c r="BG387" s="21" t="str">
        <f>IF(AND('Atividades Micro'!$B439=BG$2,'Atividades Micro'!$G439="Macro",'Atividades Micro'!$K439&lt;&gt;""),'Atividades Micro'!$K439,"")</f>
        <v/>
      </c>
      <c r="BH387" s="21" t="str">
        <f>IF(AND('Atividades Micro'!$B439=BH$2,'Atividades Micro'!$G439="Macro",'Atividades Micro'!$K439&lt;&gt;""),'Atividades Micro'!$K439,"")</f>
        <v/>
      </c>
      <c r="BI387" s="21" t="str">
        <f>IF(AND('Atividades Micro'!$B439=BI$2,'Atividades Micro'!$G439="Macro",'Atividades Micro'!$K439&lt;&gt;""),'Atividades Micro'!$K439,"")</f>
        <v/>
      </c>
      <c r="BJ387" s="21" t="str">
        <f>IF(AND('Atividades Micro'!$B439=BJ$2,'Atividades Micro'!$G439="Macro",'Atividades Micro'!$K439&lt;&gt;""),'Atividades Micro'!$K439,"")</f>
        <v/>
      </c>
      <c r="BK387" s="21" t="str">
        <f>IF(AND('Atividades Micro'!$B439=BK$2,'Atividades Micro'!$G439="Macro",'Atividades Micro'!$K439&lt;&gt;""),'Atividades Micro'!$K439,"")</f>
        <v/>
      </c>
      <c r="BL387" s="21" t="str">
        <f>IF(AND('Atividades Micro'!$B439=BL$2,'Atividades Micro'!$G439="Macro",'Atividades Micro'!$K439&lt;&gt;""),'Atividades Micro'!$K439,"")</f>
        <v/>
      </c>
      <c r="BM387" s="21" t="str">
        <f>IF(AND('Atividades Micro'!$B439=BM$2,'Atividades Micro'!$G439="Macro",'Atividades Micro'!$K439&lt;&gt;""),'Atividades Micro'!$K439,"")</f>
        <v/>
      </c>
      <c r="BN387" s="21" t="str">
        <f>IF(AND('Atividades Micro'!$B439=BN$2,'Atividades Micro'!$G439="Macro",'Atividades Micro'!$K439&lt;&gt;""),'Atividades Micro'!$K439,"")</f>
        <v/>
      </c>
      <c r="BO387" s="21" t="str">
        <f>IF(AND('Atividades Micro'!$B439=BO$2,'Atividades Micro'!$G439="Macro",'Atividades Micro'!$K439&lt;&gt;""),'Atividades Micro'!$K439,"")</f>
        <v/>
      </c>
      <c r="BP387" s="21" t="str">
        <f>IF(AND('Atividades Micro'!$B439=BP$2,'Atividades Micro'!$G439="Macro",'Atividades Micro'!$K439&lt;&gt;""),'Atividades Micro'!$K439,"")</f>
        <v/>
      </c>
      <c r="BQ387" s="21" t="str">
        <f>IF(AND('Atividades Micro'!$B439=BQ$2,'Atividades Micro'!$G439="Macro",'Atividades Micro'!$K439&lt;&gt;""),'Atividades Micro'!$K439,"")</f>
        <v/>
      </c>
      <c r="BR387" s="21" t="str">
        <f>IF(AND('Atividades Micro'!$B439=BR$2,'Atividades Micro'!$G439="Macro",'Atividades Micro'!$K439&lt;&gt;""),'Atividades Micro'!$K439,"")</f>
        <v/>
      </c>
      <c r="BS387" s="21" t="str">
        <f>IF(AND('Atividades Micro'!$B439=BS$2,'Atividades Micro'!$G439="Macro",'Atividades Micro'!$K439&lt;&gt;""),'Atividades Micro'!$K439,"")</f>
        <v/>
      </c>
      <c r="BT387" s="21" t="str">
        <f>IF(AND('Atividades Micro'!$B439=BT$2,'Atividades Micro'!$G439="Macro",'Atividades Micro'!$K439&lt;&gt;""),'Atividades Micro'!$K439,"")</f>
        <v/>
      </c>
      <c r="BU387" s="21" t="str">
        <f>IF(AND('Atividades Micro'!$B439=BU$2,'Atividades Micro'!$G439="Macro",'Atividades Micro'!$K439&lt;&gt;""),'Atividades Micro'!$K439,"")</f>
        <v/>
      </c>
      <c r="BV387" s="21" t="str">
        <f>IF(AND('Atividades Micro'!$B439=BV$2,'Atividades Micro'!$G439="Macro",'Atividades Micro'!$K439&lt;&gt;""),'Atividades Micro'!$K439,"")</f>
        <v/>
      </c>
      <c r="BW387" s="21" t="str">
        <f>IF(AND('Atividades Micro'!$B439=BW$2,'Atividades Micro'!$G439="Macro",'Atividades Micro'!$K439&lt;&gt;""),'Atividades Micro'!$K439,"")</f>
        <v/>
      </c>
      <c r="BX387" s="21" t="str">
        <f>IF(AND('Atividades Micro'!$B439=BX$2,'Atividades Micro'!$G439="Macro",'Atividades Micro'!$K439&lt;&gt;""),'Atividades Micro'!$K439,"")</f>
        <v/>
      </c>
      <c r="BY387" s="21" t="str">
        <f>IF(AND('Atividades Micro'!$B439=BY$2,'Atividades Micro'!$G439="Macro",'Atividades Micro'!$K439&lt;&gt;""),'Atividades Micro'!$K439,"")</f>
        <v/>
      </c>
      <c r="BZ387" s="21" t="str">
        <f>IF(AND('Atividades Micro'!$B439=BZ$2,'Atividades Micro'!$G439="Macro",'Atividades Micro'!$K439&lt;&gt;""),'Atividades Micro'!$K439,"")</f>
        <v/>
      </c>
      <c r="CA387" s="21" t="str">
        <f>IF(AND('Atividades Micro'!$B439=CA$2,'Atividades Micro'!$G439="Macro",'Atividades Micro'!$K439&lt;&gt;""),'Atividades Micro'!$K439,"")</f>
        <v/>
      </c>
      <c r="CB387" s="21" t="str">
        <f>IF(AND('Atividades Micro'!$B439=CB$2,'Atividades Micro'!$G439="Macro",'Atividades Micro'!$K439&lt;&gt;""),'Atividades Micro'!$K439,"")</f>
        <v/>
      </c>
      <c r="CC387" s="21" t="str">
        <f>IF(AND('Atividades Micro'!$B439=CC$2,'Atividades Micro'!$G439="Macro",'Atividades Micro'!$K439&lt;&gt;""),'Atividades Micro'!$K439,"")</f>
        <v/>
      </c>
      <c r="CD387" s="21" t="str">
        <f>IF(AND('Atividades Micro'!$B439=CD$2,'Atividades Micro'!$G439="Micro",'Atividades Micro'!$K439&lt;&gt;""),'Atividades Micro'!$K439,"")</f>
        <v/>
      </c>
      <c r="CE387" s="21" t="str">
        <f>IF(AND('Atividades Micro'!$B439=CE$2,'Atividades Micro'!$G439="Micro",'Atividades Micro'!$K439&lt;&gt;""),'Atividades Micro'!$K439,"")</f>
        <v/>
      </c>
      <c r="CF387" s="21" t="str">
        <f>IF(AND('Atividades Micro'!$B439=CF$2,'Atividades Micro'!$G439="Micro",'Atividades Micro'!$K439&lt;&gt;""),'Atividades Micro'!$K439,"")</f>
        <v/>
      </c>
      <c r="CG387" s="21" t="str">
        <f>IF(AND('Atividades Micro'!$B439=CG$2,'Atividades Micro'!$G439="Micro",'Atividades Micro'!$K439&lt;&gt;""),'Atividades Micro'!$K439,"")</f>
        <v/>
      </c>
      <c r="CH387" s="21" t="str">
        <f>IF(AND('Atividades Micro'!$B439=CH$2,'Atividades Micro'!$G439="Micro",'Atividades Micro'!$K439&lt;&gt;""),'Atividades Micro'!$K439,"")</f>
        <v/>
      </c>
      <c r="CI387" s="21" t="str">
        <f>IF(AND('Atividades Micro'!$B439=CI$2,'Atividades Micro'!$G439="Micro",'Atividades Micro'!$K439&lt;&gt;""),'Atividades Micro'!$K439,"")</f>
        <v/>
      </c>
      <c r="CJ387" s="21" t="str">
        <f>IF(AND('Atividades Micro'!$B439=CJ$2,'Atividades Micro'!$G439="Micro",'Atividades Micro'!$K439&lt;&gt;""),'Atividades Micro'!$K439,"")</f>
        <v/>
      </c>
      <c r="CK387" s="21" t="str">
        <f>IF(AND('Atividades Micro'!$B439=CK$2,'Atividades Micro'!$G439="Micro",'Atividades Micro'!$K439&lt;&gt;""),'Atividades Micro'!$K439,"")</f>
        <v/>
      </c>
      <c r="CL387" s="21" t="str">
        <f>IF(AND('Atividades Micro'!$B439=CL$2,'Atividades Micro'!$G439="Micro",'Atividades Micro'!$K439&lt;&gt;""),'Atividades Micro'!$K439,"")</f>
        <v/>
      </c>
      <c r="CM387" s="21" t="str">
        <f>IF(AND('Atividades Micro'!$B439=CM$2,'Atividades Micro'!$G439="Micro",'Atividades Micro'!$K439&lt;&gt;""),'Atividades Micro'!$K439,"")</f>
        <v/>
      </c>
      <c r="CN387" s="21" t="str">
        <f>IF(AND('Atividades Micro'!$B439=CN$2,'Atividades Micro'!$G439="Micro",'Atividades Micro'!$K439&lt;&gt;""),'Atividades Micro'!$K439,"")</f>
        <v/>
      </c>
      <c r="CO387" s="21" t="str">
        <f>IF(AND('Atividades Micro'!$B439=CO$2,'Atividades Micro'!$G439="Micro",'Atividades Micro'!$K439&lt;&gt;""),'Atividades Micro'!$K439,"")</f>
        <v/>
      </c>
    </row>
    <row r="388" spans="1:93">
      <c r="A388" s="21" t="str">
        <f>IF(AND('Atividades Micro'!$A440=A$2,'Atividades Micro'!$K440&lt;&gt;""),'Atividades Micro'!$K440,"")</f>
        <v/>
      </c>
      <c r="B388" s="21" t="str">
        <f>IF(AND('Atividades Micro'!$A440=B$2,'Atividades Micro'!$L440&lt;&gt;""),'Atividades Micro'!$L440,"")</f>
        <v/>
      </c>
      <c r="C388" s="21" t="str">
        <f>IF(AND('Atividades Micro'!$A440=C$2,'Atividades Micro'!$K440&lt;&gt;""),'Atividades Micro'!$K440,"")</f>
        <v/>
      </c>
      <c r="D388" s="21" t="str">
        <f>IF(AND('Atividades Micro'!$A440=D$2,'Atividades Micro'!$L440&lt;&gt;""),'Atividades Micro'!$L440,"")</f>
        <v/>
      </c>
      <c r="E388" s="21" t="str">
        <f>IF(AND('Atividades Micro'!$A440=E$2,'Atividades Micro'!$K440&lt;&gt;""),'Atividades Micro'!$K440,"")</f>
        <v/>
      </c>
      <c r="F388" s="21" t="str">
        <f>IF(AND('Atividades Micro'!$A440=F$2,'Atividades Micro'!$L440&lt;&gt;""),'Atividades Micro'!$L440,"")</f>
        <v/>
      </c>
      <c r="G388" s="21" t="str">
        <f>IF(AND('Atividades Micro'!$A440=G$2,'Atividades Micro'!$K440&lt;&gt;""),'Atividades Micro'!$K440,"")</f>
        <v/>
      </c>
      <c r="H388" s="21" t="str">
        <f>IF(AND('Atividades Micro'!$A440=H$2,'Atividades Micro'!$L440&lt;&gt;""),'Atividades Micro'!$L440,"")</f>
        <v/>
      </c>
      <c r="I388" s="21" t="str">
        <f>IF(AND('Atividades Micro'!$A440=I$2,'Atividades Micro'!$K440&lt;&gt;""),'Atividades Micro'!$K440,"")</f>
        <v/>
      </c>
      <c r="J388" s="21" t="str">
        <f>IF(AND('Atividades Micro'!$A440=J$2,'Atividades Micro'!$L440&lt;&gt;""),'Atividades Micro'!$L440,"")</f>
        <v/>
      </c>
      <c r="K388" s="21" t="str">
        <f>IF(AND('Atividades Micro'!$B440=K$2,'Atividades Micro'!$K440&lt;&gt;""),'Atividades Micro'!$K440,"")</f>
        <v/>
      </c>
      <c r="L388" s="21" t="str">
        <f>IF(AND('Atividades Micro'!$B440=L$2,'Atividades Micro'!$L440&lt;&gt;""),'Atividades Micro'!$L440,"")</f>
        <v/>
      </c>
      <c r="M388" s="21" t="str">
        <f>IF(AND('Atividades Micro'!$B440=M$2,'Atividades Micro'!$K440&lt;&gt;""),'Atividades Micro'!$K440,"")</f>
        <v/>
      </c>
      <c r="N388" s="21" t="str">
        <f>IF(AND('Atividades Micro'!$B440=N$2,'Atividades Micro'!$L440&lt;&gt;""),'Atividades Micro'!$L440,"")</f>
        <v/>
      </c>
      <c r="O388" s="21" t="str">
        <f>IF(AND('Atividades Micro'!$A440=O$2,'Atividades Micro'!$K440&lt;&gt;""),'Atividades Micro'!$K440,"")</f>
        <v/>
      </c>
      <c r="P388" s="21" t="str">
        <f>IF(AND('Atividades Micro'!$A440=P$2,'Atividades Micro'!$L440&lt;&gt;""),'Atividades Micro'!$L440,"")</f>
        <v/>
      </c>
      <c r="Q388" s="21" t="str">
        <f>IF(AND('Atividades Micro'!$B440=Q$2,'Atividades Micro'!$K440&lt;&gt;""),'Atividades Micro'!$K440,"")</f>
        <v/>
      </c>
      <c r="R388" s="21" t="str">
        <f>IF(AND('Atividades Micro'!$B440=R$2,'Atividades Micro'!$L440&lt;&gt;""),'Atividades Micro'!$L440,"")</f>
        <v/>
      </c>
      <c r="S388" s="21" t="str">
        <f>IF(AND('Atividades Micro'!$A440=S$2,'Atividades Micro'!$K440&lt;&gt;""),'Atividades Micro'!$K440,"")</f>
        <v/>
      </c>
      <c r="T388" s="21" t="str">
        <f>IF(AND('Atividades Micro'!$A440=T$2,'Atividades Micro'!$L440&lt;&gt;""),'Atividades Micro'!$L440,"")</f>
        <v/>
      </c>
      <c r="U388" s="21" t="str">
        <f>IF(AND('Atividades Micro'!$B440=U$2,'Atividades Micro'!$K440&lt;&gt;""),'Atividades Micro'!$K440,"")</f>
        <v/>
      </c>
      <c r="V388" s="21" t="str">
        <f>IF(AND('Atividades Micro'!$B440=V$2,'Atividades Micro'!$L440&lt;&gt;""),'Atividades Micro'!$L440,"")</f>
        <v/>
      </c>
      <c r="W388" s="21" t="str">
        <f>IF(AND('Atividades Micro'!$B440=W$2,'Atividades Micro'!$K440&lt;&gt;""),'Atividades Micro'!$K440,"")</f>
        <v/>
      </c>
      <c r="X388" s="21" t="str">
        <f>IF(AND('Atividades Micro'!$B440=X$2,'Atividades Micro'!$L440&lt;&gt;""),'Atividades Micro'!$L440,"")</f>
        <v/>
      </c>
      <c r="Y388" s="21" t="str">
        <f>IF(AND('Atividades Micro'!$A440=Y$2,'Atividades Micro'!$K440&lt;&gt;""),'Atividades Micro'!$K440,"")</f>
        <v/>
      </c>
      <c r="Z388" s="21" t="str">
        <f>IF(AND('Atividades Micro'!$A440=Z$2,'Atividades Micro'!$L440&lt;&gt;""),'Atividades Micro'!$L440,"")</f>
        <v/>
      </c>
      <c r="AA388" s="21" t="str">
        <f>IF(AND('Atividades Micro'!$B440=AA$2,'Atividades Micro'!$K440&lt;&gt;""),'Atividades Micro'!$K440,"")</f>
        <v/>
      </c>
      <c r="AB388" s="21" t="str">
        <f>IF(AND('Atividades Micro'!$B440=AB$2,'Atividades Micro'!$L440&lt;&gt;""),'Atividades Micro'!$L440,"")</f>
        <v/>
      </c>
      <c r="AC388" s="21" t="str">
        <f>IF(AND('Atividades Micro'!$B440=AC$2,'Atividades Micro'!$K440&lt;&gt;""),'Atividades Micro'!$K440,"")</f>
        <v/>
      </c>
      <c r="AD388" s="21" t="str">
        <f>IF(AND('Atividades Micro'!$B440=AD$2,'Atividades Micro'!$L440&lt;&gt;""),'Atividades Micro'!$L440,"")</f>
        <v/>
      </c>
      <c r="AE388" s="21" t="str">
        <f>IF(AND('Atividades Micro'!$A440=AE$2,'Atividades Micro'!$K440&lt;&gt;""),'Atividades Micro'!$K440,"")</f>
        <v/>
      </c>
      <c r="AF388" s="21" t="str">
        <f>IF(AND('Atividades Micro'!$A440=AF$2,'Atividades Micro'!$L440&lt;&gt;""),'Atividades Micro'!$L440,"")</f>
        <v/>
      </c>
      <c r="AG388" s="21" t="str">
        <f>IF(AND('Atividades Micro'!$B440=AG$2,'Atividades Micro'!$K440&lt;&gt;""),'Atividades Micro'!$K440,"")</f>
        <v/>
      </c>
      <c r="AH388" s="21" t="str">
        <f>IF(AND('Atividades Micro'!$B440=AH$2,'Atividades Micro'!$L440&lt;&gt;""),'Atividades Micro'!$L440,"")</f>
        <v/>
      </c>
      <c r="AI388" s="21" t="str">
        <f>IF(AND('Atividades Micro'!$B440=AI$2,'Atividades Micro'!$K440&lt;&gt;""),'Atividades Micro'!$K440,"")</f>
        <v/>
      </c>
      <c r="AJ388" s="21" t="str">
        <f>IF(AND('Atividades Micro'!$B440=AJ$2,'Atividades Micro'!$L440&lt;&gt;""),'Atividades Micro'!$L440,"")</f>
        <v/>
      </c>
      <c r="AK388" s="21" t="str">
        <f>IF(AND('Atividades Micro'!$A440=AK$2,'Atividades Micro'!$K440&lt;&gt;""),'Atividades Micro'!$K440,"")</f>
        <v/>
      </c>
      <c r="AL388" s="21" t="str">
        <f>IF(AND('Atividades Micro'!$A440=AL$2,'Atividades Micro'!$L440&lt;&gt;""),'Atividades Micro'!$L440,"")</f>
        <v/>
      </c>
      <c r="AM388" s="21" t="str">
        <f>IF(AND('Atividades Micro'!$B440=AM$2,'Atividades Micro'!$K440&lt;&gt;""),'Atividades Micro'!$K440,"")</f>
        <v/>
      </c>
      <c r="AN388" s="21" t="str">
        <f>IF(AND('Atividades Micro'!$B440=AN$2,'Atividades Micro'!$L440&lt;&gt;""),'Atividades Micro'!$L440,"")</f>
        <v/>
      </c>
      <c r="AO388" s="21" t="str">
        <f>IF(AND('Atividades Micro'!$B440=AO$2,'Atividades Micro'!$K440&lt;&gt;""),'Atividades Micro'!$K440,"")</f>
        <v/>
      </c>
      <c r="AP388" s="21" t="str">
        <f>IF(AND('Atividades Micro'!$B440=AP$2,'Atividades Micro'!$L440&lt;&gt;""),'Atividades Micro'!$L440,"")</f>
        <v/>
      </c>
      <c r="AQ388" s="21" t="str">
        <f>IF(AND('Atividades Micro'!$A440=AQ$2,'Atividades Micro'!$K440&lt;&gt;""),'Atividades Micro'!$K440,"")</f>
        <v/>
      </c>
      <c r="AR388" s="21" t="str">
        <f>IF(AND('Atividades Micro'!$A440=AR$2,'Atividades Micro'!$L440&lt;&gt;""),'Atividades Micro'!$L440,"")</f>
        <v/>
      </c>
      <c r="AS388" s="21" t="str">
        <f>IF(AND('Atividades Micro'!$B440=AS$2,'Atividades Micro'!$K440&lt;&gt;""),'Atividades Micro'!$K440,"")</f>
        <v/>
      </c>
      <c r="AT388" s="21" t="str">
        <f>IF(AND('Atividades Micro'!$B440=AT$2,'Atividades Micro'!$L440&lt;&gt;""),'Atividades Micro'!$L440,"")</f>
        <v/>
      </c>
      <c r="AU388" s="21" t="str">
        <f>IF(AND('Atividades Micro'!$A440=AU$2,'Atividades Micro'!$K440&lt;&gt;""),'Atividades Micro'!$K440,"")</f>
        <v/>
      </c>
      <c r="AV388" s="21" t="str">
        <f>IF(AND('Atividades Micro'!$A440=AV$2,'Atividades Micro'!$L440&lt;&gt;""),'Atividades Micro'!$L440,"")</f>
        <v/>
      </c>
      <c r="AW388" s="21" t="str">
        <f>IF(AND('Atividades Micro'!$B440=AW$2,'Atividades Micro'!$K440&lt;&gt;""),'Atividades Micro'!$K440,"")</f>
        <v/>
      </c>
      <c r="AX388" s="21" t="str">
        <f>IF(AND('Atividades Micro'!$B440=AX$2,'Atividades Micro'!$L440&lt;&gt;""),'Atividades Micro'!$L440,"")</f>
        <v/>
      </c>
      <c r="AY388" s="21" t="str">
        <f>IF(AND('Atividades Micro'!$A440=AY$2,'Atividades Micro'!$K440&lt;&gt;""),'Atividades Micro'!$K440,"")</f>
        <v/>
      </c>
      <c r="AZ388" s="21" t="str">
        <f>IF(AND('Atividades Micro'!$A440=AZ$2,'Atividades Micro'!$L440&lt;&gt;""),'Atividades Micro'!$L440,"")</f>
        <v/>
      </c>
      <c r="BA388" s="21" t="str">
        <f>IF(AND('Atividades Micro'!$B440=BA$2,'Atividades Micro'!$K440&lt;&gt;""),'Atividades Micro'!$K440,"")</f>
        <v/>
      </c>
      <c r="BB388" s="21" t="str">
        <f>IF(AND('Atividades Micro'!$B440=BB$2,'Atividades Micro'!$L440&lt;&gt;""),'Atividades Micro'!$L440,"")</f>
        <v/>
      </c>
      <c r="BC388" s="21" t="str">
        <f>IF(AND('Atividades Micro'!$B440=BC$2,'Atividades Micro'!$G440="Macro",'Atividades Micro'!$K440&lt;&gt;""),'Atividades Micro'!$K440,"")</f>
        <v/>
      </c>
      <c r="BD388" s="21" t="str">
        <f>IF(AND('Atividades Micro'!$B440=BD$2,'Atividades Micro'!$G440="Macro",'Atividades Micro'!$K440&lt;&gt;""),'Atividades Micro'!$K440,"")</f>
        <v/>
      </c>
      <c r="BE388" s="21" t="str">
        <f>IF(AND('Atividades Micro'!$B440=BE$2,'Atividades Micro'!$G440="Macro",'Atividades Micro'!$K440&lt;&gt;""),'Atividades Micro'!$K440,"")</f>
        <v/>
      </c>
      <c r="BF388" s="21" t="str">
        <f>IF(AND('Atividades Micro'!$B440=BF$2,'Atividades Micro'!$G440="Macro",'Atividades Micro'!$K440&lt;&gt;""),'Atividades Micro'!$K440,"")</f>
        <v/>
      </c>
      <c r="BG388" s="21" t="str">
        <f>IF(AND('Atividades Micro'!$B440=BG$2,'Atividades Micro'!$G440="Macro",'Atividades Micro'!$K440&lt;&gt;""),'Atividades Micro'!$K440,"")</f>
        <v/>
      </c>
      <c r="BH388" s="21" t="str">
        <f>IF(AND('Atividades Micro'!$B440=BH$2,'Atividades Micro'!$G440="Macro",'Atividades Micro'!$K440&lt;&gt;""),'Atividades Micro'!$K440,"")</f>
        <v/>
      </c>
      <c r="BI388" s="21" t="str">
        <f>IF(AND('Atividades Micro'!$B440=BI$2,'Atividades Micro'!$G440="Macro",'Atividades Micro'!$K440&lt;&gt;""),'Atividades Micro'!$K440,"")</f>
        <v/>
      </c>
      <c r="BJ388" s="21" t="str">
        <f>IF(AND('Atividades Micro'!$B440=BJ$2,'Atividades Micro'!$G440="Macro",'Atividades Micro'!$K440&lt;&gt;""),'Atividades Micro'!$K440,"")</f>
        <v/>
      </c>
      <c r="BK388" s="21" t="str">
        <f>IF(AND('Atividades Micro'!$B440=BK$2,'Atividades Micro'!$G440="Macro",'Atividades Micro'!$K440&lt;&gt;""),'Atividades Micro'!$K440,"")</f>
        <v/>
      </c>
      <c r="BL388" s="21" t="str">
        <f>IF(AND('Atividades Micro'!$B440=BL$2,'Atividades Micro'!$G440="Macro",'Atividades Micro'!$K440&lt;&gt;""),'Atividades Micro'!$K440,"")</f>
        <v/>
      </c>
      <c r="BM388" s="21" t="str">
        <f>IF(AND('Atividades Micro'!$B440=BM$2,'Atividades Micro'!$G440="Macro",'Atividades Micro'!$K440&lt;&gt;""),'Atividades Micro'!$K440,"")</f>
        <v/>
      </c>
      <c r="BN388" s="21" t="str">
        <f>IF(AND('Atividades Micro'!$B440=BN$2,'Atividades Micro'!$G440="Macro",'Atividades Micro'!$K440&lt;&gt;""),'Atividades Micro'!$K440,"")</f>
        <v/>
      </c>
      <c r="BO388" s="21" t="str">
        <f>IF(AND('Atividades Micro'!$B440=BO$2,'Atividades Micro'!$G440="Macro",'Atividades Micro'!$K440&lt;&gt;""),'Atividades Micro'!$K440,"")</f>
        <v/>
      </c>
      <c r="BP388" s="21" t="str">
        <f>IF(AND('Atividades Micro'!$B440=BP$2,'Atividades Micro'!$G440="Macro",'Atividades Micro'!$K440&lt;&gt;""),'Atividades Micro'!$K440,"")</f>
        <v/>
      </c>
      <c r="BQ388" s="21" t="str">
        <f>IF(AND('Atividades Micro'!$B440=BQ$2,'Atividades Micro'!$G440="Macro",'Atividades Micro'!$K440&lt;&gt;""),'Atividades Micro'!$K440,"")</f>
        <v/>
      </c>
      <c r="BR388" s="21" t="str">
        <f>IF(AND('Atividades Micro'!$B440=BR$2,'Atividades Micro'!$G440="Macro",'Atividades Micro'!$K440&lt;&gt;""),'Atividades Micro'!$K440,"")</f>
        <v/>
      </c>
      <c r="BS388" s="21" t="str">
        <f>IF(AND('Atividades Micro'!$B440=BS$2,'Atividades Micro'!$G440="Macro",'Atividades Micro'!$K440&lt;&gt;""),'Atividades Micro'!$K440,"")</f>
        <v/>
      </c>
      <c r="BT388" s="21" t="str">
        <f>IF(AND('Atividades Micro'!$B440=BT$2,'Atividades Micro'!$G440="Macro",'Atividades Micro'!$K440&lt;&gt;""),'Atividades Micro'!$K440,"")</f>
        <v/>
      </c>
      <c r="BU388" s="21" t="str">
        <f>IF(AND('Atividades Micro'!$B440=BU$2,'Atividades Micro'!$G440="Macro",'Atividades Micro'!$K440&lt;&gt;""),'Atividades Micro'!$K440,"")</f>
        <v/>
      </c>
      <c r="BV388" s="21" t="str">
        <f>IF(AND('Atividades Micro'!$B440=BV$2,'Atividades Micro'!$G440="Macro",'Atividades Micro'!$K440&lt;&gt;""),'Atividades Micro'!$K440,"")</f>
        <v/>
      </c>
      <c r="BW388" s="21" t="str">
        <f>IF(AND('Atividades Micro'!$B440=BW$2,'Atividades Micro'!$G440="Macro",'Atividades Micro'!$K440&lt;&gt;""),'Atividades Micro'!$K440,"")</f>
        <v/>
      </c>
      <c r="BX388" s="21" t="str">
        <f>IF(AND('Atividades Micro'!$B440=BX$2,'Atividades Micro'!$G440="Macro",'Atividades Micro'!$K440&lt;&gt;""),'Atividades Micro'!$K440,"")</f>
        <v/>
      </c>
      <c r="BY388" s="21" t="str">
        <f>IF(AND('Atividades Micro'!$B440=BY$2,'Atividades Micro'!$G440="Macro",'Atividades Micro'!$K440&lt;&gt;""),'Atividades Micro'!$K440,"")</f>
        <v/>
      </c>
      <c r="BZ388" s="21" t="str">
        <f>IF(AND('Atividades Micro'!$B440=BZ$2,'Atividades Micro'!$G440="Macro",'Atividades Micro'!$K440&lt;&gt;""),'Atividades Micro'!$K440,"")</f>
        <v/>
      </c>
      <c r="CA388" s="21" t="str">
        <f>IF(AND('Atividades Micro'!$B440=CA$2,'Atividades Micro'!$G440="Macro",'Atividades Micro'!$K440&lt;&gt;""),'Atividades Micro'!$K440,"")</f>
        <v/>
      </c>
      <c r="CB388" s="21" t="str">
        <f>IF(AND('Atividades Micro'!$B440=CB$2,'Atividades Micro'!$G440="Macro",'Atividades Micro'!$K440&lt;&gt;""),'Atividades Micro'!$K440,"")</f>
        <v/>
      </c>
      <c r="CC388" s="21" t="str">
        <f>IF(AND('Atividades Micro'!$B440=CC$2,'Atividades Micro'!$G440="Macro",'Atividades Micro'!$K440&lt;&gt;""),'Atividades Micro'!$K440,"")</f>
        <v/>
      </c>
      <c r="CD388" s="21" t="str">
        <f>IF(AND('Atividades Micro'!$B440=CD$2,'Atividades Micro'!$G440="Micro",'Atividades Micro'!$K440&lt;&gt;""),'Atividades Micro'!$K440,"")</f>
        <v/>
      </c>
      <c r="CE388" s="21" t="str">
        <f>IF(AND('Atividades Micro'!$B440=CE$2,'Atividades Micro'!$G440="Micro",'Atividades Micro'!$K440&lt;&gt;""),'Atividades Micro'!$K440,"")</f>
        <v/>
      </c>
      <c r="CF388" s="21" t="str">
        <f>IF(AND('Atividades Micro'!$B440=CF$2,'Atividades Micro'!$G440="Micro",'Atividades Micro'!$K440&lt;&gt;""),'Atividades Micro'!$K440,"")</f>
        <v/>
      </c>
      <c r="CG388" s="21" t="str">
        <f>IF(AND('Atividades Micro'!$B440=CG$2,'Atividades Micro'!$G440="Micro",'Atividades Micro'!$K440&lt;&gt;""),'Atividades Micro'!$K440,"")</f>
        <v/>
      </c>
      <c r="CH388" s="21" t="str">
        <f>IF(AND('Atividades Micro'!$B440=CH$2,'Atividades Micro'!$G440="Micro",'Atividades Micro'!$K440&lt;&gt;""),'Atividades Micro'!$K440,"")</f>
        <v/>
      </c>
      <c r="CI388" s="21" t="str">
        <f>IF(AND('Atividades Micro'!$B440=CI$2,'Atividades Micro'!$G440="Micro",'Atividades Micro'!$K440&lt;&gt;""),'Atividades Micro'!$K440,"")</f>
        <v/>
      </c>
      <c r="CJ388" s="21" t="str">
        <f>IF(AND('Atividades Micro'!$B440=CJ$2,'Atividades Micro'!$G440="Micro",'Atividades Micro'!$K440&lt;&gt;""),'Atividades Micro'!$K440,"")</f>
        <v/>
      </c>
      <c r="CK388" s="21" t="str">
        <f>IF(AND('Atividades Micro'!$B440=CK$2,'Atividades Micro'!$G440="Micro",'Atividades Micro'!$K440&lt;&gt;""),'Atividades Micro'!$K440,"")</f>
        <v/>
      </c>
      <c r="CL388" s="21" t="str">
        <f>IF(AND('Atividades Micro'!$B440=CL$2,'Atividades Micro'!$G440="Micro",'Atividades Micro'!$K440&lt;&gt;""),'Atividades Micro'!$K440,"")</f>
        <v/>
      </c>
      <c r="CM388" s="21" t="str">
        <f>IF(AND('Atividades Micro'!$B440=CM$2,'Atividades Micro'!$G440="Micro",'Atividades Micro'!$K440&lt;&gt;""),'Atividades Micro'!$K440,"")</f>
        <v/>
      </c>
      <c r="CN388" s="21" t="str">
        <f>IF(AND('Atividades Micro'!$B440=CN$2,'Atividades Micro'!$G440="Micro",'Atividades Micro'!$K440&lt;&gt;""),'Atividades Micro'!$K440,"")</f>
        <v/>
      </c>
      <c r="CO388" s="21" t="str">
        <f>IF(AND('Atividades Micro'!$B440=CO$2,'Atividades Micro'!$G440="Micro",'Atividades Micro'!$K440&lt;&gt;""),'Atividades Micro'!$K440,"")</f>
        <v/>
      </c>
    </row>
    <row r="389" spans="1:93">
      <c r="A389" s="21" t="str">
        <f>IF(AND('Atividades Micro'!$A441=A$2,'Atividades Micro'!$K441&lt;&gt;""),'Atividades Micro'!$K441,"")</f>
        <v/>
      </c>
      <c r="B389" s="21" t="str">
        <f>IF(AND('Atividades Micro'!$A441=B$2,'Atividades Micro'!$L441&lt;&gt;""),'Atividades Micro'!$L441,"")</f>
        <v/>
      </c>
      <c r="C389" s="21" t="str">
        <f>IF(AND('Atividades Micro'!$A441=C$2,'Atividades Micro'!$K441&lt;&gt;""),'Atividades Micro'!$K441,"")</f>
        <v/>
      </c>
      <c r="D389" s="21" t="str">
        <f>IF(AND('Atividades Micro'!$A441=D$2,'Atividades Micro'!$L441&lt;&gt;""),'Atividades Micro'!$L441,"")</f>
        <v/>
      </c>
      <c r="E389" s="21" t="str">
        <f>IF(AND('Atividades Micro'!$A441=E$2,'Atividades Micro'!$K441&lt;&gt;""),'Atividades Micro'!$K441,"")</f>
        <v/>
      </c>
      <c r="F389" s="21" t="str">
        <f>IF(AND('Atividades Micro'!$A441=F$2,'Atividades Micro'!$L441&lt;&gt;""),'Atividades Micro'!$L441,"")</f>
        <v/>
      </c>
      <c r="G389" s="21" t="str">
        <f>IF(AND('Atividades Micro'!$A441=G$2,'Atividades Micro'!$K441&lt;&gt;""),'Atividades Micro'!$K441,"")</f>
        <v/>
      </c>
      <c r="H389" s="21" t="str">
        <f>IF(AND('Atividades Micro'!$A441=H$2,'Atividades Micro'!$L441&lt;&gt;""),'Atividades Micro'!$L441,"")</f>
        <v/>
      </c>
      <c r="I389" s="21" t="str">
        <f>IF(AND('Atividades Micro'!$A441=I$2,'Atividades Micro'!$K441&lt;&gt;""),'Atividades Micro'!$K441,"")</f>
        <v/>
      </c>
      <c r="J389" s="21" t="str">
        <f>IF(AND('Atividades Micro'!$A441=J$2,'Atividades Micro'!$L441&lt;&gt;""),'Atividades Micro'!$L441,"")</f>
        <v/>
      </c>
      <c r="K389" s="21" t="str">
        <f>IF(AND('Atividades Micro'!$B441=K$2,'Atividades Micro'!$K441&lt;&gt;""),'Atividades Micro'!$K441,"")</f>
        <v/>
      </c>
      <c r="L389" s="21" t="str">
        <f>IF(AND('Atividades Micro'!$B441=L$2,'Atividades Micro'!$L441&lt;&gt;""),'Atividades Micro'!$L441,"")</f>
        <v/>
      </c>
      <c r="M389" s="21" t="str">
        <f>IF(AND('Atividades Micro'!$B441=M$2,'Atividades Micro'!$K441&lt;&gt;""),'Atividades Micro'!$K441,"")</f>
        <v/>
      </c>
      <c r="N389" s="21" t="str">
        <f>IF(AND('Atividades Micro'!$B441=N$2,'Atividades Micro'!$L441&lt;&gt;""),'Atividades Micro'!$L441,"")</f>
        <v/>
      </c>
      <c r="O389" s="21" t="str">
        <f>IF(AND('Atividades Micro'!$A441=O$2,'Atividades Micro'!$K441&lt;&gt;""),'Atividades Micro'!$K441,"")</f>
        <v/>
      </c>
      <c r="P389" s="21" t="str">
        <f>IF(AND('Atividades Micro'!$A441=P$2,'Atividades Micro'!$L441&lt;&gt;""),'Atividades Micro'!$L441,"")</f>
        <v/>
      </c>
      <c r="Q389" s="21" t="str">
        <f>IF(AND('Atividades Micro'!$B441=Q$2,'Atividades Micro'!$K441&lt;&gt;""),'Atividades Micro'!$K441,"")</f>
        <v/>
      </c>
      <c r="R389" s="21" t="str">
        <f>IF(AND('Atividades Micro'!$B441=R$2,'Atividades Micro'!$L441&lt;&gt;""),'Atividades Micro'!$L441,"")</f>
        <v/>
      </c>
      <c r="S389" s="21" t="str">
        <f>IF(AND('Atividades Micro'!$A441=S$2,'Atividades Micro'!$K441&lt;&gt;""),'Atividades Micro'!$K441,"")</f>
        <v/>
      </c>
      <c r="T389" s="21" t="str">
        <f>IF(AND('Atividades Micro'!$A441=T$2,'Atividades Micro'!$L441&lt;&gt;""),'Atividades Micro'!$L441,"")</f>
        <v/>
      </c>
      <c r="U389" s="21" t="str">
        <f>IF(AND('Atividades Micro'!$B441=U$2,'Atividades Micro'!$K441&lt;&gt;""),'Atividades Micro'!$K441,"")</f>
        <v/>
      </c>
      <c r="V389" s="21" t="str">
        <f>IF(AND('Atividades Micro'!$B441=V$2,'Atividades Micro'!$L441&lt;&gt;""),'Atividades Micro'!$L441,"")</f>
        <v/>
      </c>
      <c r="W389" s="21" t="str">
        <f>IF(AND('Atividades Micro'!$B441=W$2,'Atividades Micro'!$K441&lt;&gt;""),'Atividades Micro'!$K441,"")</f>
        <v/>
      </c>
      <c r="X389" s="21" t="str">
        <f>IF(AND('Atividades Micro'!$B441=X$2,'Atividades Micro'!$L441&lt;&gt;""),'Atividades Micro'!$L441,"")</f>
        <v/>
      </c>
      <c r="Y389" s="21" t="str">
        <f>IF(AND('Atividades Micro'!$A441=Y$2,'Atividades Micro'!$K441&lt;&gt;""),'Atividades Micro'!$K441,"")</f>
        <v/>
      </c>
      <c r="Z389" s="21" t="str">
        <f>IF(AND('Atividades Micro'!$A441=Z$2,'Atividades Micro'!$L441&lt;&gt;""),'Atividades Micro'!$L441,"")</f>
        <v/>
      </c>
      <c r="AA389" s="21" t="str">
        <f>IF(AND('Atividades Micro'!$B441=AA$2,'Atividades Micro'!$K441&lt;&gt;""),'Atividades Micro'!$K441,"")</f>
        <v/>
      </c>
      <c r="AB389" s="21" t="str">
        <f>IF(AND('Atividades Micro'!$B441=AB$2,'Atividades Micro'!$L441&lt;&gt;""),'Atividades Micro'!$L441,"")</f>
        <v/>
      </c>
      <c r="AC389" s="21" t="str">
        <f>IF(AND('Atividades Micro'!$B441=AC$2,'Atividades Micro'!$K441&lt;&gt;""),'Atividades Micro'!$K441,"")</f>
        <v/>
      </c>
      <c r="AD389" s="21" t="str">
        <f>IF(AND('Atividades Micro'!$B441=AD$2,'Atividades Micro'!$L441&lt;&gt;""),'Atividades Micro'!$L441,"")</f>
        <v/>
      </c>
      <c r="AE389" s="21" t="str">
        <f>IF(AND('Atividades Micro'!$A441=AE$2,'Atividades Micro'!$K441&lt;&gt;""),'Atividades Micro'!$K441,"")</f>
        <v/>
      </c>
      <c r="AF389" s="21" t="str">
        <f>IF(AND('Atividades Micro'!$A441=AF$2,'Atividades Micro'!$L441&lt;&gt;""),'Atividades Micro'!$L441,"")</f>
        <v/>
      </c>
      <c r="AG389" s="21" t="str">
        <f>IF(AND('Atividades Micro'!$B441=AG$2,'Atividades Micro'!$K441&lt;&gt;""),'Atividades Micro'!$K441,"")</f>
        <v/>
      </c>
      <c r="AH389" s="21" t="str">
        <f>IF(AND('Atividades Micro'!$B441=AH$2,'Atividades Micro'!$L441&lt;&gt;""),'Atividades Micro'!$L441,"")</f>
        <v/>
      </c>
      <c r="AI389" s="21" t="str">
        <f>IF(AND('Atividades Micro'!$B441=AI$2,'Atividades Micro'!$K441&lt;&gt;""),'Atividades Micro'!$K441,"")</f>
        <v/>
      </c>
      <c r="AJ389" s="21" t="str">
        <f>IF(AND('Atividades Micro'!$B441=AJ$2,'Atividades Micro'!$L441&lt;&gt;""),'Atividades Micro'!$L441,"")</f>
        <v/>
      </c>
      <c r="AK389" s="21" t="str">
        <f>IF(AND('Atividades Micro'!$A441=AK$2,'Atividades Micro'!$K441&lt;&gt;""),'Atividades Micro'!$K441,"")</f>
        <v/>
      </c>
      <c r="AL389" s="21" t="str">
        <f>IF(AND('Atividades Micro'!$A441=AL$2,'Atividades Micro'!$L441&lt;&gt;""),'Atividades Micro'!$L441,"")</f>
        <v/>
      </c>
      <c r="AM389" s="21" t="str">
        <f>IF(AND('Atividades Micro'!$B441=AM$2,'Atividades Micro'!$K441&lt;&gt;""),'Atividades Micro'!$K441,"")</f>
        <v/>
      </c>
      <c r="AN389" s="21" t="str">
        <f>IF(AND('Atividades Micro'!$B441=AN$2,'Atividades Micro'!$L441&lt;&gt;""),'Atividades Micro'!$L441,"")</f>
        <v/>
      </c>
      <c r="AO389" s="21" t="str">
        <f>IF(AND('Atividades Micro'!$B441=AO$2,'Atividades Micro'!$K441&lt;&gt;""),'Atividades Micro'!$K441,"")</f>
        <v/>
      </c>
      <c r="AP389" s="21" t="str">
        <f>IF(AND('Atividades Micro'!$B441=AP$2,'Atividades Micro'!$L441&lt;&gt;""),'Atividades Micro'!$L441,"")</f>
        <v/>
      </c>
      <c r="AQ389" s="21" t="str">
        <f>IF(AND('Atividades Micro'!$A441=AQ$2,'Atividades Micro'!$K441&lt;&gt;""),'Atividades Micro'!$K441,"")</f>
        <v/>
      </c>
      <c r="AR389" s="21" t="str">
        <f>IF(AND('Atividades Micro'!$A441=AR$2,'Atividades Micro'!$L441&lt;&gt;""),'Atividades Micro'!$L441,"")</f>
        <v/>
      </c>
      <c r="AS389" s="21" t="str">
        <f>IF(AND('Atividades Micro'!$B441=AS$2,'Atividades Micro'!$K441&lt;&gt;""),'Atividades Micro'!$K441,"")</f>
        <v/>
      </c>
      <c r="AT389" s="21" t="str">
        <f>IF(AND('Atividades Micro'!$B441=AT$2,'Atividades Micro'!$L441&lt;&gt;""),'Atividades Micro'!$L441,"")</f>
        <v/>
      </c>
      <c r="AU389" s="21" t="str">
        <f>IF(AND('Atividades Micro'!$A441=AU$2,'Atividades Micro'!$K441&lt;&gt;""),'Atividades Micro'!$K441,"")</f>
        <v/>
      </c>
      <c r="AV389" s="21" t="str">
        <f>IF(AND('Atividades Micro'!$A441=AV$2,'Atividades Micro'!$L441&lt;&gt;""),'Atividades Micro'!$L441,"")</f>
        <v/>
      </c>
      <c r="AW389" s="21" t="str">
        <f>IF(AND('Atividades Micro'!$B441=AW$2,'Atividades Micro'!$K441&lt;&gt;""),'Atividades Micro'!$K441,"")</f>
        <v/>
      </c>
      <c r="AX389" s="21" t="str">
        <f>IF(AND('Atividades Micro'!$B441=AX$2,'Atividades Micro'!$L441&lt;&gt;""),'Atividades Micro'!$L441,"")</f>
        <v/>
      </c>
      <c r="AY389" s="21" t="str">
        <f>IF(AND('Atividades Micro'!$A441=AY$2,'Atividades Micro'!$K441&lt;&gt;""),'Atividades Micro'!$K441,"")</f>
        <v/>
      </c>
      <c r="AZ389" s="21" t="str">
        <f>IF(AND('Atividades Micro'!$A441=AZ$2,'Atividades Micro'!$L441&lt;&gt;""),'Atividades Micro'!$L441,"")</f>
        <v/>
      </c>
      <c r="BA389" s="21" t="str">
        <f>IF(AND('Atividades Micro'!$B441=BA$2,'Atividades Micro'!$K441&lt;&gt;""),'Atividades Micro'!$K441,"")</f>
        <v/>
      </c>
      <c r="BB389" s="21" t="str">
        <f>IF(AND('Atividades Micro'!$B441=BB$2,'Atividades Micro'!$L441&lt;&gt;""),'Atividades Micro'!$L441,"")</f>
        <v/>
      </c>
      <c r="BC389" s="21" t="str">
        <f>IF(AND('Atividades Micro'!$B441=BC$2,'Atividades Micro'!$G441="Macro",'Atividades Micro'!$K441&lt;&gt;""),'Atividades Micro'!$K441,"")</f>
        <v/>
      </c>
      <c r="BD389" s="21" t="str">
        <f>IF(AND('Atividades Micro'!$B441=BD$2,'Atividades Micro'!$G441="Macro",'Atividades Micro'!$K441&lt;&gt;""),'Atividades Micro'!$K441,"")</f>
        <v/>
      </c>
      <c r="BE389" s="21" t="str">
        <f>IF(AND('Atividades Micro'!$B441=BE$2,'Atividades Micro'!$G441="Macro",'Atividades Micro'!$K441&lt;&gt;""),'Atividades Micro'!$K441,"")</f>
        <v/>
      </c>
      <c r="BF389" s="21" t="str">
        <f>IF(AND('Atividades Micro'!$B441=BF$2,'Atividades Micro'!$G441="Macro",'Atividades Micro'!$K441&lt;&gt;""),'Atividades Micro'!$K441,"")</f>
        <v/>
      </c>
      <c r="BG389" s="21" t="str">
        <f>IF(AND('Atividades Micro'!$B441=BG$2,'Atividades Micro'!$G441="Macro",'Atividades Micro'!$K441&lt;&gt;""),'Atividades Micro'!$K441,"")</f>
        <v/>
      </c>
      <c r="BH389" s="21" t="str">
        <f>IF(AND('Atividades Micro'!$B441=BH$2,'Atividades Micro'!$G441="Macro",'Atividades Micro'!$K441&lt;&gt;""),'Atividades Micro'!$K441,"")</f>
        <v/>
      </c>
      <c r="BI389" s="21" t="str">
        <f>IF(AND('Atividades Micro'!$B441=BI$2,'Atividades Micro'!$G441="Macro",'Atividades Micro'!$K441&lt;&gt;""),'Atividades Micro'!$K441,"")</f>
        <v/>
      </c>
      <c r="BJ389" s="21" t="str">
        <f>IF(AND('Atividades Micro'!$B441=BJ$2,'Atividades Micro'!$G441="Macro",'Atividades Micro'!$K441&lt;&gt;""),'Atividades Micro'!$K441,"")</f>
        <v/>
      </c>
      <c r="BK389" s="21" t="str">
        <f>IF(AND('Atividades Micro'!$B441=BK$2,'Atividades Micro'!$G441="Macro",'Atividades Micro'!$K441&lt;&gt;""),'Atividades Micro'!$K441,"")</f>
        <v/>
      </c>
      <c r="BL389" s="21" t="str">
        <f>IF(AND('Atividades Micro'!$B441=BL$2,'Atividades Micro'!$G441="Macro",'Atividades Micro'!$K441&lt;&gt;""),'Atividades Micro'!$K441,"")</f>
        <v/>
      </c>
      <c r="BM389" s="21" t="str">
        <f>IF(AND('Atividades Micro'!$B441=BM$2,'Atividades Micro'!$G441="Macro",'Atividades Micro'!$K441&lt;&gt;""),'Atividades Micro'!$K441,"")</f>
        <v/>
      </c>
      <c r="BN389" s="21" t="str">
        <f>IF(AND('Atividades Micro'!$B441=BN$2,'Atividades Micro'!$G441="Macro",'Atividades Micro'!$K441&lt;&gt;""),'Atividades Micro'!$K441,"")</f>
        <v/>
      </c>
      <c r="BO389" s="21" t="str">
        <f>IF(AND('Atividades Micro'!$B441=BO$2,'Atividades Micro'!$G441="Macro",'Atividades Micro'!$K441&lt;&gt;""),'Atividades Micro'!$K441,"")</f>
        <v/>
      </c>
      <c r="BP389" s="21" t="str">
        <f>IF(AND('Atividades Micro'!$B441=BP$2,'Atividades Micro'!$G441="Macro",'Atividades Micro'!$K441&lt;&gt;""),'Atividades Micro'!$K441,"")</f>
        <v/>
      </c>
      <c r="BQ389" s="21" t="str">
        <f>IF(AND('Atividades Micro'!$B441=BQ$2,'Atividades Micro'!$G441="Macro",'Atividades Micro'!$K441&lt;&gt;""),'Atividades Micro'!$K441,"")</f>
        <v/>
      </c>
      <c r="BR389" s="21" t="str">
        <f>IF(AND('Atividades Micro'!$B441=BR$2,'Atividades Micro'!$G441="Macro",'Atividades Micro'!$K441&lt;&gt;""),'Atividades Micro'!$K441,"")</f>
        <v/>
      </c>
      <c r="BS389" s="21" t="str">
        <f>IF(AND('Atividades Micro'!$B441=BS$2,'Atividades Micro'!$G441="Macro",'Atividades Micro'!$K441&lt;&gt;""),'Atividades Micro'!$K441,"")</f>
        <v/>
      </c>
      <c r="BT389" s="21" t="str">
        <f>IF(AND('Atividades Micro'!$B441=BT$2,'Atividades Micro'!$G441="Macro",'Atividades Micro'!$K441&lt;&gt;""),'Atividades Micro'!$K441,"")</f>
        <v/>
      </c>
      <c r="BU389" s="21" t="str">
        <f>IF(AND('Atividades Micro'!$B441=BU$2,'Atividades Micro'!$G441="Macro",'Atividades Micro'!$K441&lt;&gt;""),'Atividades Micro'!$K441,"")</f>
        <v/>
      </c>
      <c r="BV389" s="21" t="str">
        <f>IF(AND('Atividades Micro'!$B441=BV$2,'Atividades Micro'!$G441="Macro",'Atividades Micro'!$K441&lt;&gt;""),'Atividades Micro'!$K441,"")</f>
        <v/>
      </c>
      <c r="BW389" s="21" t="str">
        <f>IF(AND('Atividades Micro'!$B441=BW$2,'Atividades Micro'!$G441="Macro",'Atividades Micro'!$K441&lt;&gt;""),'Atividades Micro'!$K441,"")</f>
        <v/>
      </c>
      <c r="BX389" s="21" t="str">
        <f>IF(AND('Atividades Micro'!$B441=BX$2,'Atividades Micro'!$G441="Macro",'Atividades Micro'!$K441&lt;&gt;""),'Atividades Micro'!$K441,"")</f>
        <v/>
      </c>
      <c r="BY389" s="21" t="str">
        <f>IF(AND('Atividades Micro'!$B441=BY$2,'Atividades Micro'!$G441="Macro",'Atividades Micro'!$K441&lt;&gt;""),'Atividades Micro'!$K441,"")</f>
        <v/>
      </c>
      <c r="BZ389" s="21" t="str">
        <f>IF(AND('Atividades Micro'!$B441=BZ$2,'Atividades Micro'!$G441="Macro",'Atividades Micro'!$K441&lt;&gt;""),'Atividades Micro'!$K441,"")</f>
        <v/>
      </c>
      <c r="CA389" s="21" t="str">
        <f>IF(AND('Atividades Micro'!$B441=CA$2,'Atividades Micro'!$G441="Macro",'Atividades Micro'!$K441&lt;&gt;""),'Atividades Micro'!$K441,"")</f>
        <v/>
      </c>
      <c r="CB389" s="21" t="str">
        <f>IF(AND('Atividades Micro'!$B441=CB$2,'Atividades Micro'!$G441="Macro",'Atividades Micro'!$K441&lt;&gt;""),'Atividades Micro'!$K441,"")</f>
        <v/>
      </c>
      <c r="CC389" s="21" t="str">
        <f>IF(AND('Atividades Micro'!$B441=CC$2,'Atividades Micro'!$G441="Macro",'Atividades Micro'!$K441&lt;&gt;""),'Atividades Micro'!$K441,"")</f>
        <v/>
      </c>
      <c r="CD389" s="21" t="str">
        <f>IF(AND('Atividades Micro'!$B441=CD$2,'Atividades Micro'!$G441="Micro",'Atividades Micro'!$K441&lt;&gt;""),'Atividades Micro'!$K441,"")</f>
        <v/>
      </c>
      <c r="CE389" s="21" t="str">
        <f>IF(AND('Atividades Micro'!$B441=CE$2,'Atividades Micro'!$G441="Micro",'Atividades Micro'!$K441&lt;&gt;""),'Atividades Micro'!$K441,"")</f>
        <v/>
      </c>
      <c r="CF389" s="21" t="str">
        <f>IF(AND('Atividades Micro'!$B441=CF$2,'Atividades Micro'!$G441="Micro",'Atividades Micro'!$K441&lt;&gt;""),'Atividades Micro'!$K441,"")</f>
        <v/>
      </c>
      <c r="CG389" s="21" t="str">
        <f>IF(AND('Atividades Micro'!$B441=CG$2,'Atividades Micro'!$G441="Micro",'Atividades Micro'!$K441&lt;&gt;""),'Atividades Micro'!$K441,"")</f>
        <v/>
      </c>
      <c r="CH389" s="21" t="str">
        <f>IF(AND('Atividades Micro'!$B441=CH$2,'Atividades Micro'!$G441="Micro",'Atividades Micro'!$K441&lt;&gt;""),'Atividades Micro'!$K441,"")</f>
        <v/>
      </c>
      <c r="CI389" s="21" t="str">
        <f>IF(AND('Atividades Micro'!$B441=CI$2,'Atividades Micro'!$G441="Micro",'Atividades Micro'!$K441&lt;&gt;""),'Atividades Micro'!$K441,"")</f>
        <v/>
      </c>
      <c r="CJ389" s="21" t="str">
        <f>IF(AND('Atividades Micro'!$B441=CJ$2,'Atividades Micro'!$G441="Micro",'Atividades Micro'!$K441&lt;&gt;""),'Atividades Micro'!$K441,"")</f>
        <v/>
      </c>
      <c r="CK389" s="21" t="str">
        <f>IF(AND('Atividades Micro'!$B441=CK$2,'Atividades Micro'!$G441="Micro",'Atividades Micro'!$K441&lt;&gt;""),'Atividades Micro'!$K441,"")</f>
        <v/>
      </c>
      <c r="CL389" s="21" t="str">
        <f>IF(AND('Atividades Micro'!$B441=CL$2,'Atividades Micro'!$G441="Micro",'Atividades Micro'!$K441&lt;&gt;""),'Atividades Micro'!$K441,"")</f>
        <v/>
      </c>
      <c r="CM389" s="21" t="str">
        <f>IF(AND('Atividades Micro'!$B441=CM$2,'Atividades Micro'!$G441="Micro",'Atividades Micro'!$K441&lt;&gt;""),'Atividades Micro'!$K441,"")</f>
        <v/>
      </c>
      <c r="CN389" s="21" t="str">
        <f>IF(AND('Atividades Micro'!$B441=CN$2,'Atividades Micro'!$G441="Micro",'Atividades Micro'!$K441&lt;&gt;""),'Atividades Micro'!$K441,"")</f>
        <v/>
      </c>
      <c r="CO389" s="21" t="str">
        <f>IF(AND('Atividades Micro'!$B441=CO$2,'Atividades Micro'!$G441="Micro",'Atividades Micro'!$K441&lt;&gt;""),'Atividades Micro'!$K441,"")</f>
        <v/>
      </c>
    </row>
    <row r="390" spans="1:93">
      <c r="A390" s="21" t="str">
        <f>IF(AND('Atividades Micro'!$A442=A$2,'Atividades Micro'!$K442&lt;&gt;""),'Atividades Micro'!$K442,"")</f>
        <v/>
      </c>
      <c r="B390" s="21" t="str">
        <f>IF(AND('Atividades Micro'!$A442=B$2,'Atividades Micro'!$L442&lt;&gt;""),'Atividades Micro'!$L442,"")</f>
        <v/>
      </c>
      <c r="C390" s="21" t="str">
        <f>IF(AND('Atividades Micro'!$A442=C$2,'Atividades Micro'!$K442&lt;&gt;""),'Atividades Micro'!$K442,"")</f>
        <v/>
      </c>
      <c r="D390" s="21" t="str">
        <f>IF(AND('Atividades Micro'!$A442=D$2,'Atividades Micro'!$L442&lt;&gt;""),'Atividades Micro'!$L442,"")</f>
        <v/>
      </c>
      <c r="E390" s="21" t="str">
        <f>IF(AND('Atividades Micro'!$A442=E$2,'Atividades Micro'!$K442&lt;&gt;""),'Atividades Micro'!$K442,"")</f>
        <v/>
      </c>
      <c r="F390" s="21" t="str">
        <f>IF(AND('Atividades Micro'!$A442=F$2,'Atividades Micro'!$L442&lt;&gt;""),'Atividades Micro'!$L442,"")</f>
        <v/>
      </c>
      <c r="G390" s="21" t="str">
        <f>IF(AND('Atividades Micro'!$A442=G$2,'Atividades Micro'!$K442&lt;&gt;""),'Atividades Micro'!$K442,"")</f>
        <v/>
      </c>
      <c r="H390" s="21" t="str">
        <f>IF(AND('Atividades Micro'!$A442=H$2,'Atividades Micro'!$L442&lt;&gt;""),'Atividades Micro'!$L442,"")</f>
        <v/>
      </c>
      <c r="I390" s="21" t="str">
        <f>IF(AND('Atividades Micro'!$A442=I$2,'Atividades Micro'!$K442&lt;&gt;""),'Atividades Micro'!$K442,"")</f>
        <v/>
      </c>
      <c r="J390" s="21" t="str">
        <f>IF(AND('Atividades Micro'!$A442=J$2,'Atividades Micro'!$L442&lt;&gt;""),'Atividades Micro'!$L442,"")</f>
        <v/>
      </c>
      <c r="K390" s="21" t="str">
        <f>IF(AND('Atividades Micro'!$B442=K$2,'Atividades Micro'!$K442&lt;&gt;""),'Atividades Micro'!$K442,"")</f>
        <v/>
      </c>
      <c r="L390" s="21" t="str">
        <f>IF(AND('Atividades Micro'!$B442=L$2,'Atividades Micro'!$L442&lt;&gt;""),'Atividades Micro'!$L442,"")</f>
        <v/>
      </c>
      <c r="M390" s="21" t="str">
        <f>IF(AND('Atividades Micro'!$B442=M$2,'Atividades Micro'!$K442&lt;&gt;""),'Atividades Micro'!$K442,"")</f>
        <v/>
      </c>
      <c r="N390" s="21" t="str">
        <f>IF(AND('Atividades Micro'!$B442=N$2,'Atividades Micro'!$L442&lt;&gt;""),'Atividades Micro'!$L442,"")</f>
        <v/>
      </c>
      <c r="O390" s="21" t="str">
        <f>IF(AND('Atividades Micro'!$A442=O$2,'Atividades Micro'!$K442&lt;&gt;""),'Atividades Micro'!$K442,"")</f>
        <v/>
      </c>
      <c r="P390" s="21" t="str">
        <f>IF(AND('Atividades Micro'!$A442=P$2,'Atividades Micro'!$L442&lt;&gt;""),'Atividades Micro'!$L442,"")</f>
        <v/>
      </c>
      <c r="Q390" s="21" t="str">
        <f>IF(AND('Atividades Micro'!$B442=Q$2,'Atividades Micro'!$K442&lt;&gt;""),'Atividades Micro'!$K442,"")</f>
        <v/>
      </c>
      <c r="R390" s="21" t="str">
        <f>IF(AND('Atividades Micro'!$B442=R$2,'Atividades Micro'!$L442&lt;&gt;""),'Atividades Micro'!$L442,"")</f>
        <v/>
      </c>
      <c r="S390" s="21" t="str">
        <f>IF(AND('Atividades Micro'!$A442=S$2,'Atividades Micro'!$K442&lt;&gt;""),'Atividades Micro'!$K442,"")</f>
        <v/>
      </c>
      <c r="T390" s="21" t="str">
        <f>IF(AND('Atividades Micro'!$A442=T$2,'Atividades Micro'!$L442&lt;&gt;""),'Atividades Micro'!$L442,"")</f>
        <v/>
      </c>
      <c r="U390" s="21" t="str">
        <f>IF(AND('Atividades Micro'!$B442=U$2,'Atividades Micro'!$K442&lt;&gt;""),'Atividades Micro'!$K442,"")</f>
        <v/>
      </c>
      <c r="V390" s="21" t="str">
        <f>IF(AND('Atividades Micro'!$B442=V$2,'Atividades Micro'!$L442&lt;&gt;""),'Atividades Micro'!$L442,"")</f>
        <v/>
      </c>
      <c r="W390" s="21" t="str">
        <f>IF(AND('Atividades Micro'!$B442=W$2,'Atividades Micro'!$K442&lt;&gt;""),'Atividades Micro'!$K442,"")</f>
        <v/>
      </c>
      <c r="X390" s="21" t="str">
        <f>IF(AND('Atividades Micro'!$B442=X$2,'Atividades Micro'!$L442&lt;&gt;""),'Atividades Micro'!$L442,"")</f>
        <v/>
      </c>
      <c r="Y390" s="21" t="str">
        <f>IF(AND('Atividades Micro'!$A442=Y$2,'Atividades Micro'!$K442&lt;&gt;""),'Atividades Micro'!$K442,"")</f>
        <v/>
      </c>
      <c r="Z390" s="21" t="str">
        <f>IF(AND('Atividades Micro'!$A442=Z$2,'Atividades Micro'!$L442&lt;&gt;""),'Atividades Micro'!$L442,"")</f>
        <v/>
      </c>
      <c r="AA390" s="21" t="str">
        <f>IF(AND('Atividades Micro'!$B442=AA$2,'Atividades Micro'!$K442&lt;&gt;""),'Atividades Micro'!$K442,"")</f>
        <v/>
      </c>
      <c r="AB390" s="21" t="str">
        <f>IF(AND('Atividades Micro'!$B442=AB$2,'Atividades Micro'!$L442&lt;&gt;""),'Atividades Micro'!$L442,"")</f>
        <v/>
      </c>
      <c r="AC390" s="21" t="str">
        <f>IF(AND('Atividades Micro'!$B442=AC$2,'Atividades Micro'!$K442&lt;&gt;""),'Atividades Micro'!$K442,"")</f>
        <v/>
      </c>
      <c r="AD390" s="21" t="str">
        <f>IF(AND('Atividades Micro'!$B442=AD$2,'Atividades Micro'!$L442&lt;&gt;""),'Atividades Micro'!$L442,"")</f>
        <v/>
      </c>
      <c r="AE390" s="21" t="str">
        <f>IF(AND('Atividades Micro'!$A442=AE$2,'Atividades Micro'!$K442&lt;&gt;""),'Atividades Micro'!$K442,"")</f>
        <v/>
      </c>
      <c r="AF390" s="21" t="str">
        <f>IF(AND('Atividades Micro'!$A442=AF$2,'Atividades Micro'!$L442&lt;&gt;""),'Atividades Micro'!$L442,"")</f>
        <v/>
      </c>
      <c r="AG390" s="21" t="str">
        <f>IF(AND('Atividades Micro'!$B442=AG$2,'Atividades Micro'!$K442&lt;&gt;""),'Atividades Micro'!$K442,"")</f>
        <v/>
      </c>
      <c r="AH390" s="21" t="str">
        <f>IF(AND('Atividades Micro'!$B442=AH$2,'Atividades Micro'!$L442&lt;&gt;""),'Atividades Micro'!$L442,"")</f>
        <v/>
      </c>
      <c r="AI390" s="21" t="str">
        <f>IF(AND('Atividades Micro'!$B442=AI$2,'Atividades Micro'!$K442&lt;&gt;""),'Atividades Micro'!$K442,"")</f>
        <v/>
      </c>
      <c r="AJ390" s="21" t="str">
        <f>IF(AND('Atividades Micro'!$B442=AJ$2,'Atividades Micro'!$L442&lt;&gt;""),'Atividades Micro'!$L442,"")</f>
        <v/>
      </c>
      <c r="AK390" s="21" t="str">
        <f>IF(AND('Atividades Micro'!$A442=AK$2,'Atividades Micro'!$K442&lt;&gt;""),'Atividades Micro'!$K442,"")</f>
        <v/>
      </c>
      <c r="AL390" s="21" t="str">
        <f>IF(AND('Atividades Micro'!$A442=AL$2,'Atividades Micro'!$L442&lt;&gt;""),'Atividades Micro'!$L442,"")</f>
        <v/>
      </c>
      <c r="AM390" s="21" t="str">
        <f>IF(AND('Atividades Micro'!$B442=AM$2,'Atividades Micro'!$K442&lt;&gt;""),'Atividades Micro'!$K442,"")</f>
        <v/>
      </c>
      <c r="AN390" s="21" t="str">
        <f>IF(AND('Atividades Micro'!$B442=AN$2,'Atividades Micro'!$L442&lt;&gt;""),'Atividades Micro'!$L442,"")</f>
        <v/>
      </c>
      <c r="AO390" s="21" t="str">
        <f>IF(AND('Atividades Micro'!$B442=AO$2,'Atividades Micro'!$K442&lt;&gt;""),'Atividades Micro'!$K442,"")</f>
        <v/>
      </c>
      <c r="AP390" s="21" t="str">
        <f>IF(AND('Atividades Micro'!$B442=AP$2,'Atividades Micro'!$L442&lt;&gt;""),'Atividades Micro'!$L442,"")</f>
        <v/>
      </c>
      <c r="AQ390" s="21" t="str">
        <f>IF(AND('Atividades Micro'!$A442=AQ$2,'Atividades Micro'!$K442&lt;&gt;""),'Atividades Micro'!$K442,"")</f>
        <v/>
      </c>
      <c r="AR390" s="21" t="str">
        <f>IF(AND('Atividades Micro'!$A442=AR$2,'Atividades Micro'!$L442&lt;&gt;""),'Atividades Micro'!$L442,"")</f>
        <v/>
      </c>
      <c r="AS390" s="21" t="str">
        <f>IF(AND('Atividades Micro'!$B442=AS$2,'Atividades Micro'!$K442&lt;&gt;""),'Atividades Micro'!$K442,"")</f>
        <v/>
      </c>
      <c r="AT390" s="21" t="str">
        <f>IF(AND('Atividades Micro'!$B442=AT$2,'Atividades Micro'!$L442&lt;&gt;""),'Atividades Micro'!$L442,"")</f>
        <v/>
      </c>
      <c r="AU390" s="21" t="str">
        <f>IF(AND('Atividades Micro'!$A442=AU$2,'Atividades Micro'!$K442&lt;&gt;""),'Atividades Micro'!$K442,"")</f>
        <v/>
      </c>
      <c r="AV390" s="21" t="str">
        <f>IF(AND('Atividades Micro'!$A442=AV$2,'Atividades Micro'!$L442&lt;&gt;""),'Atividades Micro'!$L442,"")</f>
        <v/>
      </c>
      <c r="AW390" s="21" t="str">
        <f>IF(AND('Atividades Micro'!$B442=AW$2,'Atividades Micro'!$K442&lt;&gt;""),'Atividades Micro'!$K442,"")</f>
        <v/>
      </c>
      <c r="AX390" s="21" t="str">
        <f>IF(AND('Atividades Micro'!$B442=AX$2,'Atividades Micro'!$L442&lt;&gt;""),'Atividades Micro'!$L442,"")</f>
        <v/>
      </c>
      <c r="AY390" s="21" t="str">
        <f>IF(AND('Atividades Micro'!$A442=AY$2,'Atividades Micro'!$K442&lt;&gt;""),'Atividades Micro'!$K442,"")</f>
        <v/>
      </c>
      <c r="AZ390" s="21" t="str">
        <f>IF(AND('Atividades Micro'!$A442=AZ$2,'Atividades Micro'!$L442&lt;&gt;""),'Atividades Micro'!$L442,"")</f>
        <v/>
      </c>
      <c r="BA390" s="21" t="str">
        <f>IF(AND('Atividades Micro'!$B442=BA$2,'Atividades Micro'!$K442&lt;&gt;""),'Atividades Micro'!$K442,"")</f>
        <v/>
      </c>
      <c r="BB390" s="21" t="str">
        <f>IF(AND('Atividades Micro'!$B442=BB$2,'Atividades Micro'!$L442&lt;&gt;""),'Atividades Micro'!$L442,"")</f>
        <v/>
      </c>
      <c r="BC390" s="21" t="str">
        <f>IF(AND('Atividades Micro'!$B442=BC$2,'Atividades Micro'!$G442="Macro",'Atividades Micro'!$K442&lt;&gt;""),'Atividades Micro'!$K442,"")</f>
        <v/>
      </c>
      <c r="BD390" s="21" t="str">
        <f>IF(AND('Atividades Micro'!$B442=BD$2,'Atividades Micro'!$G442="Macro",'Atividades Micro'!$K442&lt;&gt;""),'Atividades Micro'!$K442,"")</f>
        <v/>
      </c>
      <c r="BE390" s="21" t="str">
        <f>IF(AND('Atividades Micro'!$B442=BE$2,'Atividades Micro'!$G442="Macro",'Atividades Micro'!$K442&lt;&gt;""),'Atividades Micro'!$K442,"")</f>
        <v/>
      </c>
      <c r="BF390" s="21" t="str">
        <f>IF(AND('Atividades Micro'!$B442=BF$2,'Atividades Micro'!$G442="Macro",'Atividades Micro'!$K442&lt;&gt;""),'Atividades Micro'!$K442,"")</f>
        <v/>
      </c>
      <c r="BG390" s="21" t="str">
        <f>IF(AND('Atividades Micro'!$B442=BG$2,'Atividades Micro'!$G442="Macro",'Atividades Micro'!$K442&lt;&gt;""),'Atividades Micro'!$K442,"")</f>
        <v/>
      </c>
      <c r="BH390" s="21" t="str">
        <f>IF(AND('Atividades Micro'!$B442=BH$2,'Atividades Micro'!$G442="Macro",'Atividades Micro'!$K442&lt;&gt;""),'Atividades Micro'!$K442,"")</f>
        <v/>
      </c>
      <c r="BI390" s="21" t="str">
        <f>IF(AND('Atividades Micro'!$B442=BI$2,'Atividades Micro'!$G442="Macro",'Atividades Micro'!$K442&lt;&gt;""),'Atividades Micro'!$K442,"")</f>
        <v/>
      </c>
      <c r="BJ390" s="21" t="str">
        <f>IF(AND('Atividades Micro'!$B442=BJ$2,'Atividades Micro'!$G442="Macro",'Atividades Micro'!$K442&lt;&gt;""),'Atividades Micro'!$K442,"")</f>
        <v/>
      </c>
      <c r="BK390" s="21" t="str">
        <f>IF(AND('Atividades Micro'!$B442=BK$2,'Atividades Micro'!$G442="Macro",'Atividades Micro'!$K442&lt;&gt;""),'Atividades Micro'!$K442,"")</f>
        <v/>
      </c>
      <c r="BL390" s="21" t="str">
        <f>IF(AND('Atividades Micro'!$B442=BL$2,'Atividades Micro'!$G442="Macro",'Atividades Micro'!$K442&lt;&gt;""),'Atividades Micro'!$K442,"")</f>
        <v/>
      </c>
      <c r="BM390" s="21" t="str">
        <f>IF(AND('Atividades Micro'!$B442=BM$2,'Atividades Micro'!$G442="Macro",'Atividades Micro'!$K442&lt;&gt;""),'Atividades Micro'!$K442,"")</f>
        <v/>
      </c>
      <c r="BN390" s="21" t="str">
        <f>IF(AND('Atividades Micro'!$B442=BN$2,'Atividades Micro'!$G442="Macro",'Atividades Micro'!$K442&lt;&gt;""),'Atividades Micro'!$K442,"")</f>
        <v/>
      </c>
      <c r="BO390" s="21" t="str">
        <f>IF(AND('Atividades Micro'!$B442=BO$2,'Atividades Micro'!$G442="Macro",'Atividades Micro'!$K442&lt;&gt;""),'Atividades Micro'!$K442,"")</f>
        <v/>
      </c>
      <c r="BP390" s="21" t="str">
        <f>IF(AND('Atividades Micro'!$B442=BP$2,'Atividades Micro'!$G442="Macro",'Atividades Micro'!$K442&lt;&gt;""),'Atividades Micro'!$K442,"")</f>
        <v/>
      </c>
      <c r="BQ390" s="21" t="str">
        <f>IF(AND('Atividades Micro'!$B442=BQ$2,'Atividades Micro'!$G442="Macro",'Atividades Micro'!$K442&lt;&gt;""),'Atividades Micro'!$K442,"")</f>
        <v/>
      </c>
      <c r="BR390" s="21" t="str">
        <f>IF(AND('Atividades Micro'!$B442=BR$2,'Atividades Micro'!$G442="Macro",'Atividades Micro'!$K442&lt;&gt;""),'Atividades Micro'!$K442,"")</f>
        <v/>
      </c>
      <c r="BS390" s="21" t="str">
        <f>IF(AND('Atividades Micro'!$B442=BS$2,'Atividades Micro'!$G442="Macro",'Atividades Micro'!$K442&lt;&gt;""),'Atividades Micro'!$K442,"")</f>
        <v/>
      </c>
      <c r="BT390" s="21" t="str">
        <f>IF(AND('Atividades Micro'!$B442=BT$2,'Atividades Micro'!$G442="Macro",'Atividades Micro'!$K442&lt;&gt;""),'Atividades Micro'!$K442,"")</f>
        <v/>
      </c>
      <c r="BU390" s="21" t="str">
        <f>IF(AND('Atividades Micro'!$B442=BU$2,'Atividades Micro'!$G442="Macro",'Atividades Micro'!$K442&lt;&gt;""),'Atividades Micro'!$K442,"")</f>
        <v/>
      </c>
      <c r="BV390" s="21" t="str">
        <f>IF(AND('Atividades Micro'!$B442=BV$2,'Atividades Micro'!$G442="Macro",'Atividades Micro'!$K442&lt;&gt;""),'Atividades Micro'!$K442,"")</f>
        <v/>
      </c>
      <c r="BW390" s="21" t="str">
        <f>IF(AND('Atividades Micro'!$B442=BW$2,'Atividades Micro'!$G442="Macro",'Atividades Micro'!$K442&lt;&gt;""),'Atividades Micro'!$K442,"")</f>
        <v/>
      </c>
      <c r="BX390" s="21" t="str">
        <f>IF(AND('Atividades Micro'!$B442=BX$2,'Atividades Micro'!$G442="Macro",'Atividades Micro'!$K442&lt;&gt;""),'Atividades Micro'!$K442,"")</f>
        <v/>
      </c>
      <c r="BY390" s="21" t="str">
        <f>IF(AND('Atividades Micro'!$B442=BY$2,'Atividades Micro'!$G442="Macro",'Atividades Micro'!$K442&lt;&gt;""),'Atividades Micro'!$K442,"")</f>
        <v/>
      </c>
      <c r="BZ390" s="21" t="str">
        <f>IF(AND('Atividades Micro'!$B442=BZ$2,'Atividades Micro'!$G442="Macro",'Atividades Micro'!$K442&lt;&gt;""),'Atividades Micro'!$K442,"")</f>
        <v/>
      </c>
      <c r="CA390" s="21" t="str">
        <f>IF(AND('Atividades Micro'!$B442=CA$2,'Atividades Micro'!$G442="Macro",'Atividades Micro'!$K442&lt;&gt;""),'Atividades Micro'!$K442,"")</f>
        <v/>
      </c>
      <c r="CB390" s="21" t="str">
        <f>IF(AND('Atividades Micro'!$B442=CB$2,'Atividades Micro'!$G442="Macro",'Atividades Micro'!$K442&lt;&gt;""),'Atividades Micro'!$K442,"")</f>
        <v/>
      </c>
      <c r="CC390" s="21" t="str">
        <f>IF(AND('Atividades Micro'!$B442=CC$2,'Atividades Micro'!$G442="Macro",'Atividades Micro'!$K442&lt;&gt;""),'Atividades Micro'!$K442,"")</f>
        <v/>
      </c>
      <c r="CD390" s="21" t="str">
        <f>IF(AND('Atividades Micro'!$B442=CD$2,'Atividades Micro'!$G442="Micro",'Atividades Micro'!$K442&lt;&gt;""),'Atividades Micro'!$K442,"")</f>
        <v/>
      </c>
      <c r="CE390" s="21" t="str">
        <f>IF(AND('Atividades Micro'!$B442=CE$2,'Atividades Micro'!$G442="Micro",'Atividades Micro'!$K442&lt;&gt;""),'Atividades Micro'!$K442,"")</f>
        <v/>
      </c>
      <c r="CF390" s="21" t="str">
        <f>IF(AND('Atividades Micro'!$B442=CF$2,'Atividades Micro'!$G442="Micro",'Atividades Micro'!$K442&lt;&gt;""),'Atividades Micro'!$K442,"")</f>
        <v/>
      </c>
      <c r="CG390" s="21" t="str">
        <f>IF(AND('Atividades Micro'!$B442=CG$2,'Atividades Micro'!$G442="Micro",'Atividades Micro'!$K442&lt;&gt;""),'Atividades Micro'!$K442,"")</f>
        <v/>
      </c>
      <c r="CH390" s="21" t="str">
        <f>IF(AND('Atividades Micro'!$B442=CH$2,'Atividades Micro'!$G442="Micro",'Atividades Micro'!$K442&lt;&gt;""),'Atividades Micro'!$K442,"")</f>
        <v/>
      </c>
      <c r="CI390" s="21" t="str">
        <f>IF(AND('Atividades Micro'!$B442=CI$2,'Atividades Micro'!$G442="Micro",'Atividades Micro'!$K442&lt;&gt;""),'Atividades Micro'!$K442,"")</f>
        <v/>
      </c>
      <c r="CJ390" s="21" t="str">
        <f>IF(AND('Atividades Micro'!$B442=CJ$2,'Atividades Micro'!$G442="Micro",'Atividades Micro'!$K442&lt;&gt;""),'Atividades Micro'!$K442,"")</f>
        <v/>
      </c>
      <c r="CK390" s="21" t="str">
        <f>IF(AND('Atividades Micro'!$B442=CK$2,'Atividades Micro'!$G442="Micro",'Atividades Micro'!$K442&lt;&gt;""),'Atividades Micro'!$K442,"")</f>
        <v/>
      </c>
      <c r="CL390" s="21" t="str">
        <f>IF(AND('Atividades Micro'!$B442=CL$2,'Atividades Micro'!$G442="Micro",'Atividades Micro'!$K442&lt;&gt;""),'Atividades Micro'!$K442,"")</f>
        <v/>
      </c>
      <c r="CM390" s="21" t="str">
        <f>IF(AND('Atividades Micro'!$B442=CM$2,'Atividades Micro'!$G442="Micro",'Atividades Micro'!$K442&lt;&gt;""),'Atividades Micro'!$K442,"")</f>
        <v/>
      </c>
      <c r="CN390" s="21" t="str">
        <f>IF(AND('Atividades Micro'!$B442=CN$2,'Atividades Micro'!$G442="Micro",'Atividades Micro'!$K442&lt;&gt;""),'Atividades Micro'!$K442,"")</f>
        <v/>
      </c>
      <c r="CO390" s="21" t="str">
        <f>IF(AND('Atividades Micro'!$B442=CO$2,'Atividades Micro'!$G442="Micro",'Atividades Micro'!$K442&lt;&gt;""),'Atividades Micro'!$K442,"")</f>
        <v/>
      </c>
    </row>
    <row r="391" spans="1:93">
      <c r="A391" s="21" t="str">
        <f>IF(AND('Atividades Micro'!$A443=A$2,'Atividades Micro'!$K443&lt;&gt;""),'Atividades Micro'!$K443,"")</f>
        <v/>
      </c>
      <c r="B391" s="21" t="str">
        <f>IF(AND('Atividades Micro'!$A443=B$2,'Atividades Micro'!$L443&lt;&gt;""),'Atividades Micro'!$L443,"")</f>
        <v/>
      </c>
      <c r="C391" s="21" t="str">
        <f>IF(AND('Atividades Micro'!$A443=C$2,'Atividades Micro'!$K443&lt;&gt;""),'Atividades Micro'!$K443,"")</f>
        <v/>
      </c>
      <c r="D391" s="21" t="str">
        <f>IF(AND('Atividades Micro'!$A443=D$2,'Atividades Micro'!$L443&lt;&gt;""),'Atividades Micro'!$L443,"")</f>
        <v/>
      </c>
      <c r="E391" s="21" t="str">
        <f>IF(AND('Atividades Micro'!$A443=E$2,'Atividades Micro'!$K443&lt;&gt;""),'Atividades Micro'!$K443,"")</f>
        <v/>
      </c>
      <c r="F391" s="21" t="str">
        <f>IF(AND('Atividades Micro'!$A443=F$2,'Atividades Micro'!$L443&lt;&gt;""),'Atividades Micro'!$L443,"")</f>
        <v/>
      </c>
      <c r="G391" s="21" t="str">
        <f>IF(AND('Atividades Micro'!$A443=G$2,'Atividades Micro'!$K443&lt;&gt;""),'Atividades Micro'!$K443,"")</f>
        <v/>
      </c>
      <c r="H391" s="21" t="str">
        <f>IF(AND('Atividades Micro'!$A443=H$2,'Atividades Micro'!$L443&lt;&gt;""),'Atividades Micro'!$L443,"")</f>
        <v/>
      </c>
      <c r="I391" s="21" t="str">
        <f>IF(AND('Atividades Micro'!$A443=I$2,'Atividades Micro'!$K443&lt;&gt;""),'Atividades Micro'!$K443,"")</f>
        <v/>
      </c>
      <c r="J391" s="21" t="str">
        <f>IF(AND('Atividades Micro'!$A443=J$2,'Atividades Micro'!$L443&lt;&gt;""),'Atividades Micro'!$L443,"")</f>
        <v/>
      </c>
      <c r="K391" s="21" t="str">
        <f>IF(AND('Atividades Micro'!$B443=K$2,'Atividades Micro'!$K443&lt;&gt;""),'Atividades Micro'!$K443,"")</f>
        <v/>
      </c>
      <c r="L391" s="21" t="str">
        <f>IF(AND('Atividades Micro'!$B443=L$2,'Atividades Micro'!$L443&lt;&gt;""),'Atividades Micro'!$L443,"")</f>
        <v/>
      </c>
      <c r="M391" s="21" t="str">
        <f>IF(AND('Atividades Micro'!$B443=M$2,'Atividades Micro'!$K443&lt;&gt;""),'Atividades Micro'!$K443,"")</f>
        <v/>
      </c>
      <c r="N391" s="21" t="str">
        <f>IF(AND('Atividades Micro'!$B443=N$2,'Atividades Micro'!$L443&lt;&gt;""),'Atividades Micro'!$L443,"")</f>
        <v/>
      </c>
      <c r="O391" s="21" t="str">
        <f>IF(AND('Atividades Micro'!$A443=O$2,'Atividades Micro'!$K443&lt;&gt;""),'Atividades Micro'!$K443,"")</f>
        <v/>
      </c>
      <c r="P391" s="21" t="str">
        <f>IF(AND('Atividades Micro'!$A443=P$2,'Atividades Micro'!$L443&lt;&gt;""),'Atividades Micro'!$L443,"")</f>
        <v/>
      </c>
      <c r="Q391" s="21" t="str">
        <f>IF(AND('Atividades Micro'!$B443=Q$2,'Atividades Micro'!$K443&lt;&gt;""),'Atividades Micro'!$K443,"")</f>
        <v/>
      </c>
      <c r="R391" s="21" t="str">
        <f>IF(AND('Atividades Micro'!$B443=R$2,'Atividades Micro'!$L443&lt;&gt;""),'Atividades Micro'!$L443,"")</f>
        <v/>
      </c>
      <c r="S391" s="21" t="str">
        <f>IF(AND('Atividades Micro'!$A443=S$2,'Atividades Micro'!$K443&lt;&gt;""),'Atividades Micro'!$K443,"")</f>
        <v/>
      </c>
      <c r="T391" s="21" t="str">
        <f>IF(AND('Atividades Micro'!$A443=T$2,'Atividades Micro'!$L443&lt;&gt;""),'Atividades Micro'!$L443,"")</f>
        <v/>
      </c>
      <c r="U391" s="21" t="str">
        <f>IF(AND('Atividades Micro'!$B443=U$2,'Atividades Micro'!$K443&lt;&gt;""),'Atividades Micro'!$K443,"")</f>
        <v/>
      </c>
      <c r="V391" s="21" t="str">
        <f>IF(AND('Atividades Micro'!$B443=V$2,'Atividades Micro'!$L443&lt;&gt;""),'Atividades Micro'!$L443,"")</f>
        <v/>
      </c>
      <c r="W391" s="21" t="str">
        <f>IF(AND('Atividades Micro'!$B443=W$2,'Atividades Micro'!$K443&lt;&gt;""),'Atividades Micro'!$K443,"")</f>
        <v/>
      </c>
      <c r="X391" s="21" t="str">
        <f>IF(AND('Atividades Micro'!$B443=X$2,'Atividades Micro'!$L443&lt;&gt;""),'Atividades Micro'!$L443,"")</f>
        <v/>
      </c>
      <c r="Y391" s="21" t="str">
        <f>IF(AND('Atividades Micro'!$A443=Y$2,'Atividades Micro'!$K443&lt;&gt;""),'Atividades Micro'!$K443,"")</f>
        <v/>
      </c>
      <c r="Z391" s="21" t="str">
        <f>IF(AND('Atividades Micro'!$A443=Z$2,'Atividades Micro'!$L443&lt;&gt;""),'Atividades Micro'!$L443,"")</f>
        <v/>
      </c>
      <c r="AA391" s="21" t="str">
        <f>IF(AND('Atividades Micro'!$B443=AA$2,'Atividades Micro'!$K443&lt;&gt;""),'Atividades Micro'!$K443,"")</f>
        <v/>
      </c>
      <c r="AB391" s="21" t="str">
        <f>IF(AND('Atividades Micro'!$B443=AB$2,'Atividades Micro'!$L443&lt;&gt;""),'Atividades Micro'!$L443,"")</f>
        <v/>
      </c>
      <c r="AC391" s="21" t="str">
        <f>IF(AND('Atividades Micro'!$B443=AC$2,'Atividades Micro'!$K443&lt;&gt;""),'Atividades Micro'!$K443,"")</f>
        <v/>
      </c>
      <c r="AD391" s="21" t="str">
        <f>IF(AND('Atividades Micro'!$B443=AD$2,'Atividades Micro'!$L443&lt;&gt;""),'Atividades Micro'!$L443,"")</f>
        <v/>
      </c>
      <c r="AE391" s="21" t="str">
        <f>IF(AND('Atividades Micro'!$A443=AE$2,'Atividades Micro'!$K443&lt;&gt;""),'Atividades Micro'!$K443,"")</f>
        <v/>
      </c>
      <c r="AF391" s="21" t="str">
        <f>IF(AND('Atividades Micro'!$A443=AF$2,'Atividades Micro'!$L443&lt;&gt;""),'Atividades Micro'!$L443,"")</f>
        <v/>
      </c>
      <c r="AG391" s="21" t="str">
        <f>IF(AND('Atividades Micro'!$B443=AG$2,'Atividades Micro'!$K443&lt;&gt;""),'Atividades Micro'!$K443,"")</f>
        <v/>
      </c>
      <c r="AH391" s="21" t="str">
        <f>IF(AND('Atividades Micro'!$B443=AH$2,'Atividades Micro'!$L443&lt;&gt;""),'Atividades Micro'!$L443,"")</f>
        <v/>
      </c>
      <c r="AI391" s="21" t="str">
        <f>IF(AND('Atividades Micro'!$B443=AI$2,'Atividades Micro'!$K443&lt;&gt;""),'Atividades Micro'!$K443,"")</f>
        <v/>
      </c>
      <c r="AJ391" s="21" t="str">
        <f>IF(AND('Atividades Micro'!$B443=AJ$2,'Atividades Micro'!$L443&lt;&gt;""),'Atividades Micro'!$L443,"")</f>
        <v/>
      </c>
      <c r="AK391" s="21" t="str">
        <f>IF(AND('Atividades Micro'!$A443=AK$2,'Atividades Micro'!$K443&lt;&gt;""),'Atividades Micro'!$K443,"")</f>
        <v/>
      </c>
      <c r="AL391" s="21" t="str">
        <f>IF(AND('Atividades Micro'!$A443=AL$2,'Atividades Micro'!$L443&lt;&gt;""),'Atividades Micro'!$L443,"")</f>
        <v/>
      </c>
      <c r="AM391" s="21" t="str">
        <f>IF(AND('Atividades Micro'!$B443=AM$2,'Atividades Micro'!$K443&lt;&gt;""),'Atividades Micro'!$K443,"")</f>
        <v/>
      </c>
      <c r="AN391" s="21" t="str">
        <f>IF(AND('Atividades Micro'!$B443=AN$2,'Atividades Micro'!$L443&lt;&gt;""),'Atividades Micro'!$L443,"")</f>
        <v/>
      </c>
      <c r="AO391" s="21" t="str">
        <f>IF(AND('Atividades Micro'!$B443=AO$2,'Atividades Micro'!$K443&lt;&gt;""),'Atividades Micro'!$K443,"")</f>
        <v/>
      </c>
      <c r="AP391" s="21" t="str">
        <f>IF(AND('Atividades Micro'!$B443=AP$2,'Atividades Micro'!$L443&lt;&gt;""),'Atividades Micro'!$L443,"")</f>
        <v/>
      </c>
      <c r="AQ391" s="21" t="str">
        <f>IF(AND('Atividades Micro'!$A443=AQ$2,'Atividades Micro'!$K443&lt;&gt;""),'Atividades Micro'!$K443,"")</f>
        <v/>
      </c>
      <c r="AR391" s="21" t="str">
        <f>IF(AND('Atividades Micro'!$A443=AR$2,'Atividades Micro'!$L443&lt;&gt;""),'Atividades Micro'!$L443,"")</f>
        <v/>
      </c>
      <c r="AS391" s="21" t="str">
        <f>IF(AND('Atividades Micro'!$B443=AS$2,'Atividades Micro'!$K443&lt;&gt;""),'Atividades Micro'!$K443,"")</f>
        <v/>
      </c>
      <c r="AT391" s="21" t="str">
        <f>IF(AND('Atividades Micro'!$B443=AT$2,'Atividades Micro'!$L443&lt;&gt;""),'Atividades Micro'!$L443,"")</f>
        <v/>
      </c>
      <c r="AU391" s="21" t="str">
        <f>IF(AND('Atividades Micro'!$A443=AU$2,'Atividades Micro'!$K443&lt;&gt;""),'Atividades Micro'!$K443,"")</f>
        <v/>
      </c>
      <c r="AV391" s="21" t="str">
        <f>IF(AND('Atividades Micro'!$A443=AV$2,'Atividades Micro'!$L443&lt;&gt;""),'Atividades Micro'!$L443,"")</f>
        <v/>
      </c>
      <c r="AW391" s="21" t="str">
        <f>IF(AND('Atividades Micro'!$B443=AW$2,'Atividades Micro'!$K443&lt;&gt;""),'Atividades Micro'!$K443,"")</f>
        <v/>
      </c>
      <c r="AX391" s="21" t="str">
        <f>IF(AND('Atividades Micro'!$B443=AX$2,'Atividades Micro'!$L443&lt;&gt;""),'Atividades Micro'!$L443,"")</f>
        <v/>
      </c>
      <c r="AY391" s="21" t="str">
        <f>IF(AND('Atividades Micro'!$A443=AY$2,'Atividades Micro'!$K443&lt;&gt;""),'Atividades Micro'!$K443,"")</f>
        <v/>
      </c>
      <c r="AZ391" s="21" t="str">
        <f>IF(AND('Atividades Micro'!$A443=AZ$2,'Atividades Micro'!$L443&lt;&gt;""),'Atividades Micro'!$L443,"")</f>
        <v/>
      </c>
      <c r="BA391" s="21" t="str">
        <f>IF(AND('Atividades Micro'!$B443=BA$2,'Atividades Micro'!$K443&lt;&gt;""),'Atividades Micro'!$K443,"")</f>
        <v/>
      </c>
      <c r="BB391" s="21" t="str">
        <f>IF(AND('Atividades Micro'!$B443=BB$2,'Atividades Micro'!$L443&lt;&gt;""),'Atividades Micro'!$L443,"")</f>
        <v/>
      </c>
      <c r="BC391" s="21" t="str">
        <f>IF(AND('Atividades Micro'!$B443=BC$2,'Atividades Micro'!$G443="Macro",'Atividades Micro'!$K443&lt;&gt;""),'Atividades Micro'!$K443,"")</f>
        <v/>
      </c>
      <c r="BD391" s="21" t="str">
        <f>IF(AND('Atividades Micro'!$B443=BD$2,'Atividades Micro'!$G443="Macro",'Atividades Micro'!$K443&lt;&gt;""),'Atividades Micro'!$K443,"")</f>
        <v/>
      </c>
      <c r="BE391" s="21" t="str">
        <f>IF(AND('Atividades Micro'!$B443=BE$2,'Atividades Micro'!$G443="Macro",'Atividades Micro'!$K443&lt;&gt;""),'Atividades Micro'!$K443,"")</f>
        <v/>
      </c>
      <c r="BF391" s="21" t="str">
        <f>IF(AND('Atividades Micro'!$B443=BF$2,'Atividades Micro'!$G443="Macro",'Atividades Micro'!$K443&lt;&gt;""),'Atividades Micro'!$K443,"")</f>
        <v/>
      </c>
      <c r="BG391" s="21" t="str">
        <f>IF(AND('Atividades Micro'!$B443=BG$2,'Atividades Micro'!$G443="Macro",'Atividades Micro'!$K443&lt;&gt;""),'Atividades Micro'!$K443,"")</f>
        <v/>
      </c>
      <c r="BH391" s="21" t="str">
        <f>IF(AND('Atividades Micro'!$B443=BH$2,'Atividades Micro'!$G443="Macro",'Atividades Micro'!$K443&lt;&gt;""),'Atividades Micro'!$K443,"")</f>
        <v/>
      </c>
      <c r="BI391" s="21" t="str">
        <f>IF(AND('Atividades Micro'!$B443=BI$2,'Atividades Micro'!$G443="Macro",'Atividades Micro'!$K443&lt;&gt;""),'Atividades Micro'!$K443,"")</f>
        <v/>
      </c>
      <c r="BJ391" s="21" t="str">
        <f>IF(AND('Atividades Micro'!$B443=BJ$2,'Atividades Micro'!$G443="Macro",'Atividades Micro'!$K443&lt;&gt;""),'Atividades Micro'!$K443,"")</f>
        <v/>
      </c>
      <c r="BK391" s="21" t="str">
        <f>IF(AND('Atividades Micro'!$B443=BK$2,'Atividades Micro'!$G443="Macro",'Atividades Micro'!$K443&lt;&gt;""),'Atividades Micro'!$K443,"")</f>
        <v/>
      </c>
      <c r="BL391" s="21" t="str">
        <f>IF(AND('Atividades Micro'!$B443=BL$2,'Atividades Micro'!$G443="Macro",'Atividades Micro'!$K443&lt;&gt;""),'Atividades Micro'!$K443,"")</f>
        <v/>
      </c>
      <c r="BM391" s="21" t="str">
        <f>IF(AND('Atividades Micro'!$B443=BM$2,'Atividades Micro'!$G443="Macro",'Atividades Micro'!$K443&lt;&gt;""),'Atividades Micro'!$K443,"")</f>
        <v/>
      </c>
      <c r="BN391" s="21" t="str">
        <f>IF(AND('Atividades Micro'!$B443=BN$2,'Atividades Micro'!$G443="Macro",'Atividades Micro'!$K443&lt;&gt;""),'Atividades Micro'!$K443,"")</f>
        <v/>
      </c>
      <c r="BO391" s="21" t="str">
        <f>IF(AND('Atividades Micro'!$B443=BO$2,'Atividades Micro'!$G443="Macro",'Atividades Micro'!$K443&lt;&gt;""),'Atividades Micro'!$K443,"")</f>
        <v/>
      </c>
      <c r="BP391" s="21" t="str">
        <f>IF(AND('Atividades Micro'!$B443=BP$2,'Atividades Micro'!$G443="Macro",'Atividades Micro'!$K443&lt;&gt;""),'Atividades Micro'!$K443,"")</f>
        <v/>
      </c>
      <c r="BQ391" s="21" t="str">
        <f>IF(AND('Atividades Micro'!$B443=BQ$2,'Atividades Micro'!$G443="Macro",'Atividades Micro'!$K443&lt;&gt;""),'Atividades Micro'!$K443,"")</f>
        <v/>
      </c>
      <c r="BR391" s="21" t="str">
        <f>IF(AND('Atividades Micro'!$B443=BR$2,'Atividades Micro'!$G443="Macro",'Atividades Micro'!$K443&lt;&gt;""),'Atividades Micro'!$K443,"")</f>
        <v/>
      </c>
      <c r="BS391" s="21" t="str">
        <f>IF(AND('Atividades Micro'!$B443=BS$2,'Atividades Micro'!$G443="Macro",'Atividades Micro'!$K443&lt;&gt;""),'Atividades Micro'!$K443,"")</f>
        <v/>
      </c>
      <c r="BT391" s="21" t="str">
        <f>IF(AND('Atividades Micro'!$B443=BT$2,'Atividades Micro'!$G443="Macro",'Atividades Micro'!$K443&lt;&gt;""),'Atividades Micro'!$K443,"")</f>
        <v/>
      </c>
      <c r="BU391" s="21" t="str">
        <f>IF(AND('Atividades Micro'!$B443=BU$2,'Atividades Micro'!$G443="Macro",'Atividades Micro'!$K443&lt;&gt;""),'Atividades Micro'!$K443,"")</f>
        <v/>
      </c>
      <c r="BV391" s="21" t="str">
        <f>IF(AND('Atividades Micro'!$B443=BV$2,'Atividades Micro'!$G443="Macro",'Atividades Micro'!$K443&lt;&gt;""),'Atividades Micro'!$K443,"")</f>
        <v/>
      </c>
      <c r="BW391" s="21" t="str">
        <f>IF(AND('Atividades Micro'!$B443=BW$2,'Atividades Micro'!$G443="Macro",'Atividades Micro'!$K443&lt;&gt;""),'Atividades Micro'!$K443,"")</f>
        <v/>
      </c>
      <c r="BX391" s="21" t="str">
        <f>IF(AND('Atividades Micro'!$B443=BX$2,'Atividades Micro'!$G443="Macro",'Atividades Micro'!$K443&lt;&gt;""),'Atividades Micro'!$K443,"")</f>
        <v/>
      </c>
      <c r="BY391" s="21" t="str">
        <f>IF(AND('Atividades Micro'!$B443=BY$2,'Atividades Micro'!$G443="Macro",'Atividades Micro'!$K443&lt;&gt;""),'Atividades Micro'!$K443,"")</f>
        <v/>
      </c>
      <c r="BZ391" s="21" t="str">
        <f>IF(AND('Atividades Micro'!$B443=BZ$2,'Atividades Micro'!$G443="Macro",'Atividades Micro'!$K443&lt;&gt;""),'Atividades Micro'!$K443,"")</f>
        <v/>
      </c>
      <c r="CA391" s="21" t="str">
        <f>IF(AND('Atividades Micro'!$B443=CA$2,'Atividades Micro'!$G443="Macro",'Atividades Micro'!$K443&lt;&gt;""),'Atividades Micro'!$K443,"")</f>
        <v/>
      </c>
      <c r="CB391" s="21" t="str">
        <f>IF(AND('Atividades Micro'!$B443=CB$2,'Atividades Micro'!$G443="Macro",'Atividades Micro'!$K443&lt;&gt;""),'Atividades Micro'!$K443,"")</f>
        <v/>
      </c>
      <c r="CC391" s="21" t="str">
        <f>IF(AND('Atividades Micro'!$B443=CC$2,'Atividades Micro'!$G443="Macro",'Atividades Micro'!$K443&lt;&gt;""),'Atividades Micro'!$K443,"")</f>
        <v/>
      </c>
      <c r="CD391" s="21" t="str">
        <f>IF(AND('Atividades Micro'!$B443=CD$2,'Atividades Micro'!$G443="Micro",'Atividades Micro'!$K443&lt;&gt;""),'Atividades Micro'!$K443,"")</f>
        <v/>
      </c>
      <c r="CE391" s="21" t="str">
        <f>IF(AND('Atividades Micro'!$B443=CE$2,'Atividades Micro'!$G443="Micro",'Atividades Micro'!$K443&lt;&gt;""),'Atividades Micro'!$K443,"")</f>
        <v/>
      </c>
      <c r="CF391" s="21" t="str">
        <f>IF(AND('Atividades Micro'!$B443=CF$2,'Atividades Micro'!$G443="Micro",'Atividades Micro'!$K443&lt;&gt;""),'Atividades Micro'!$K443,"")</f>
        <v/>
      </c>
      <c r="CG391" s="21" t="str">
        <f>IF(AND('Atividades Micro'!$B443=CG$2,'Atividades Micro'!$G443="Micro",'Atividades Micro'!$K443&lt;&gt;""),'Atividades Micro'!$K443,"")</f>
        <v/>
      </c>
      <c r="CH391" s="21" t="str">
        <f>IF(AND('Atividades Micro'!$B443=CH$2,'Atividades Micro'!$G443="Micro",'Atividades Micro'!$K443&lt;&gt;""),'Atividades Micro'!$K443,"")</f>
        <v/>
      </c>
      <c r="CI391" s="21" t="str">
        <f>IF(AND('Atividades Micro'!$B443=CI$2,'Atividades Micro'!$G443="Micro",'Atividades Micro'!$K443&lt;&gt;""),'Atividades Micro'!$K443,"")</f>
        <v/>
      </c>
      <c r="CJ391" s="21" t="str">
        <f>IF(AND('Atividades Micro'!$B443=CJ$2,'Atividades Micro'!$G443="Micro",'Atividades Micro'!$K443&lt;&gt;""),'Atividades Micro'!$K443,"")</f>
        <v/>
      </c>
      <c r="CK391" s="21" t="str">
        <f>IF(AND('Atividades Micro'!$B443=CK$2,'Atividades Micro'!$G443="Micro",'Atividades Micro'!$K443&lt;&gt;""),'Atividades Micro'!$K443,"")</f>
        <v/>
      </c>
      <c r="CL391" s="21" t="str">
        <f>IF(AND('Atividades Micro'!$B443=CL$2,'Atividades Micro'!$G443="Micro",'Atividades Micro'!$K443&lt;&gt;""),'Atividades Micro'!$K443,"")</f>
        <v/>
      </c>
      <c r="CM391" s="21" t="str">
        <f>IF(AND('Atividades Micro'!$B443=CM$2,'Atividades Micro'!$G443="Micro",'Atividades Micro'!$K443&lt;&gt;""),'Atividades Micro'!$K443,"")</f>
        <v/>
      </c>
      <c r="CN391" s="21" t="str">
        <f>IF(AND('Atividades Micro'!$B443=CN$2,'Atividades Micro'!$G443="Micro",'Atividades Micro'!$K443&lt;&gt;""),'Atividades Micro'!$K443,"")</f>
        <v/>
      </c>
      <c r="CO391" s="21" t="str">
        <f>IF(AND('Atividades Micro'!$B443=CO$2,'Atividades Micro'!$G443="Micro",'Atividades Micro'!$K443&lt;&gt;""),'Atividades Micro'!$K443,"")</f>
        <v/>
      </c>
    </row>
    <row r="392" spans="1:93">
      <c r="A392" s="21" t="str">
        <f>IF(AND('Atividades Micro'!$A444=A$2,'Atividades Micro'!$K444&lt;&gt;""),'Atividades Micro'!$K444,"")</f>
        <v/>
      </c>
      <c r="B392" s="21" t="str">
        <f>IF(AND('Atividades Micro'!$A444=B$2,'Atividades Micro'!$L444&lt;&gt;""),'Atividades Micro'!$L444,"")</f>
        <v/>
      </c>
      <c r="C392" s="21" t="str">
        <f>IF(AND('Atividades Micro'!$A444=C$2,'Atividades Micro'!$K444&lt;&gt;""),'Atividades Micro'!$K444,"")</f>
        <v/>
      </c>
      <c r="D392" s="21" t="str">
        <f>IF(AND('Atividades Micro'!$A444=D$2,'Atividades Micro'!$L444&lt;&gt;""),'Atividades Micro'!$L444,"")</f>
        <v/>
      </c>
      <c r="E392" s="21" t="str">
        <f>IF(AND('Atividades Micro'!$A444=E$2,'Atividades Micro'!$K444&lt;&gt;""),'Atividades Micro'!$K444,"")</f>
        <v/>
      </c>
      <c r="F392" s="21" t="str">
        <f>IF(AND('Atividades Micro'!$A444=F$2,'Atividades Micro'!$L444&lt;&gt;""),'Atividades Micro'!$L444,"")</f>
        <v/>
      </c>
      <c r="G392" s="21" t="str">
        <f>IF(AND('Atividades Micro'!$A444=G$2,'Atividades Micro'!$K444&lt;&gt;""),'Atividades Micro'!$K444,"")</f>
        <v/>
      </c>
      <c r="H392" s="21" t="str">
        <f>IF(AND('Atividades Micro'!$A444=H$2,'Atividades Micro'!$L444&lt;&gt;""),'Atividades Micro'!$L444,"")</f>
        <v/>
      </c>
      <c r="I392" s="21" t="str">
        <f>IF(AND('Atividades Micro'!$A444=I$2,'Atividades Micro'!$K444&lt;&gt;""),'Atividades Micro'!$K444,"")</f>
        <v/>
      </c>
      <c r="J392" s="21" t="str">
        <f>IF(AND('Atividades Micro'!$A444=J$2,'Atividades Micro'!$L444&lt;&gt;""),'Atividades Micro'!$L444,"")</f>
        <v/>
      </c>
      <c r="K392" s="21" t="str">
        <f>IF(AND('Atividades Micro'!$B444=K$2,'Atividades Micro'!$K444&lt;&gt;""),'Atividades Micro'!$K444,"")</f>
        <v/>
      </c>
      <c r="L392" s="21" t="str">
        <f>IF(AND('Atividades Micro'!$B444=L$2,'Atividades Micro'!$L444&lt;&gt;""),'Atividades Micro'!$L444,"")</f>
        <v/>
      </c>
      <c r="M392" s="21" t="str">
        <f>IF(AND('Atividades Micro'!$B444=M$2,'Atividades Micro'!$K444&lt;&gt;""),'Atividades Micro'!$K444,"")</f>
        <v/>
      </c>
      <c r="N392" s="21" t="str">
        <f>IF(AND('Atividades Micro'!$B444=N$2,'Atividades Micro'!$L444&lt;&gt;""),'Atividades Micro'!$L444,"")</f>
        <v/>
      </c>
      <c r="O392" s="21" t="str">
        <f>IF(AND('Atividades Micro'!$A444=O$2,'Atividades Micro'!$K444&lt;&gt;""),'Atividades Micro'!$K444,"")</f>
        <v/>
      </c>
      <c r="P392" s="21" t="str">
        <f>IF(AND('Atividades Micro'!$A444=P$2,'Atividades Micro'!$L444&lt;&gt;""),'Atividades Micro'!$L444,"")</f>
        <v/>
      </c>
      <c r="Q392" s="21" t="str">
        <f>IF(AND('Atividades Micro'!$B444=Q$2,'Atividades Micro'!$K444&lt;&gt;""),'Atividades Micro'!$K444,"")</f>
        <v/>
      </c>
      <c r="R392" s="21" t="str">
        <f>IF(AND('Atividades Micro'!$B444=R$2,'Atividades Micro'!$L444&lt;&gt;""),'Atividades Micro'!$L444,"")</f>
        <v/>
      </c>
      <c r="S392" s="21" t="str">
        <f>IF(AND('Atividades Micro'!$A444=S$2,'Atividades Micro'!$K444&lt;&gt;""),'Atividades Micro'!$K444,"")</f>
        <v/>
      </c>
      <c r="T392" s="21" t="str">
        <f>IF(AND('Atividades Micro'!$A444=T$2,'Atividades Micro'!$L444&lt;&gt;""),'Atividades Micro'!$L444,"")</f>
        <v/>
      </c>
      <c r="U392" s="21" t="str">
        <f>IF(AND('Atividades Micro'!$B444=U$2,'Atividades Micro'!$K444&lt;&gt;""),'Atividades Micro'!$K444,"")</f>
        <v/>
      </c>
      <c r="V392" s="21" t="str">
        <f>IF(AND('Atividades Micro'!$B444=V$2,'Atividades Micro'!$L444&lt;&gt;""),'Atividades Micro'!$L444,"")</f>
        <v/>
      </c>
      <c r="W392" s="21" t="str">
        <f>IF(AND('Atividades Micro'!$B444=W$2,'Atividades Micro'!$K444&lt;&gt;""),'Atividades Micro'!$K444,"")</f>
        <v/>
      </c>
      <c r="X392" s="21" t="str">
        <f>IF(AND('Atividades Micro'!$B444=X$2,'Atividades Micro'!$L444&lt;&gt;""),'Atividades Micro'!$L444,"")</f>
        <v/>
      </c>
      <c r="Y392" s="21" t="str">
        <f>IF(AND('Atividades Micro'!$A444=Y$2,'Atividades Micro'!$K444&lt;&gt;""),'Atividades Micro'!$K444,"")</f>
        <v/>
      </c>
      <c r="Z392" s="21" t="str">
        <f>IF(AND('Atividades Micro'!$A444=Z$2,'Atividades Micro'!$L444&lt;&gt;""),'Atividades Micro'!$L444,"")</f>
        <v/>
      </c>
      <c r="AA392" s="21" t="str">
        <f>IF(AND('Atividades Micro'!$B444=AA$2,'Atividades Micro'!$K444&lt;&gt;""),'Atividades Micro'!$K444,"")</f>
        <v/>
      </c>
      <c r="AB392" s="21" t="str">
        <f>IF(AND('Atividades Micro'!$B444=AB$2,'Atividades Micro'!$L444&lt;&gt;""),'Atividades Micro'!$L444,"")</f>
        <v/>
      </c>
      <c r="AC392" s="21" t="str">
        <f>IF(AND('Atividades Micro'!$B444=AC$2,'Atividades Micro'!$K444&lt;&gt;""),'Atividades Micro'!$K444,"")</f>
        <v/>
      </c>
      <c r="AD392" s="21" t="str">
        <f>IF(AND('Atividades Micro'!$B444=AD$2,'Atividades Micro'!$L444&lt;&gt;""),'Atividades Micro'!$L444,"")</f>
        <v/>
      </c>
      <c r="AE392" s="21" t="str">
        <f>IF(AND('Atividades Micro'!$A444=AE$2,'Atividades Micro'!$K444&lt;&gt;""),'Atividades Micro'!$K444,"")</f>
        <v/>
      </c>
      <c r="AF392" s="21" t="str">
        <f>IF(AND('Atividades Micro'!$A444=AF$2,'Atividades Micro'!$L444&lt;&gt;""),'Atividades Micro'!$L444,"")</f>
        <v/>
      </c>
      <c r="AG392" s="21" t="str">
        <f>IF(AND('Atividades Micro'!$B444=AG$2,'Atividades Micro'!$K444&lt;&gt;""),'Atividades Micro'!$K444,"")</f>
        <v/>
      </c>
      <c r="AH392" s="21" t="str">
        <f>IF(AND('Atividades Micro'!$B444=AH$2,'Atividades Micro'!$L444&lt;&gt;""),'Atividades Micro'!$L444,"")</f>
        <v/>
      </c>
      <c r="AI392" s="21" t="str">
        <f>IF(AND('Atividades Micro'!$B444=AI$2,'Atividades Micro'!$K444&lt;&gt;""),'Atividades Micro'!$K444,"")</f>
        <v/>
      </c>
      <c r="AJ392" s="21" t="str">
        <f>IF(AND('Atividades Micro'!$B444=AJ$2,'Atividades Micro'!$L444&lt;&gt;""),'Atividades Micro'!$L444,"")</f>
        <v/>
      </c>
      <c r="AK392" s="21" t="str">
        <f>IF(AND('Atividades Micro'!$A444=AK$2,'Atividades Micro'!$K444&lt;&gt;""),'Atividades Micro'!$K444,"")</f>
        <v/>
      </c>
      <c r="AL392" s="21" t="str">
        <f>IF(AND('Atividades Micro'!$A444=AL$2,'Atividades Micro'!$L444&lt;&gt;""),'Atividades Micro'!$L444,"")</f>
        <v/>
      </c>
      <c r="AM392" s="21" t="str">
        <f>IF(AND('Atividades Micro'!$B444=AM$2,'Atividades Micro'!$K444&lt;&gt;""),'Atividades Micro'!$K444,"")</f>
        <v/>
      </c>
      <c r="AN392" s="21" t="str">
        <f>IF(AND('Atividades Micro'!$B444=AN$2,'Atividades Micro'!$L444&lt;&gt;""),'Atividades Micro'!$L444,"")</f>
        <v/>
      </c>
      <c r="AO392" s="21" t="str">
        <f>IF(AND('Atividades Micro'!$B444=AO$2,'Atividades Micro'!$K444&lt;&gt;""),'Atividades Micro'!$K444,"")</f>
        <v/>
      </c>
      <c r="AP392" s="21" t="str">
        <f>IF(AND('Atividades Micro'!$B444=AP$2,'Atividades Micro'!$L444&lt;&gt;""),'Atividades Micro'!$L444,"")</f>
        <v/>
      </c>
      <c r="AQ392" s="21" t="str">
        <f>IF(AND('Atividades Micro'!$A444=AQ$2,'Atividades Micro'!$K444&lt;&gt;""),'Atividades Micro'!$K444,"")</f>
        <v/>
      </c>
      <c r="AR392" s="21" t="str">
        <f>IF(AND('Atividades Micro'!$A444=AR$2,'Atividades Micro'!$L444&lt;&gt;""),'Atividades Micro'!$L444,"")</f>
        <v/>
      </c>
      <c r="AS392" s="21" t="str">
        <f>IF(AND('Atividades Micro'!$B444=AS$2,'Atividades Micro'!$K444&lt;&gt;""),'Atividades Micro'!$K444,"")</f>
        <v/>
      </c>
      <c r="AT392" s="21" t="str">
        <f>IF(AND('Atividades Micro'!$B444=AT$2,'Atividades Micro'!$L444&lt;&gt;""),'Atividades Micro'!$L444,"")</f>
        <v/>
      </c>
      <c r="AU392" s="21" t="str">
        <f>IF(AND('Atividades Micro'!$A444=AU$2,'Atividades Micro'!$K444&lt;&gt;""),'Atividades Micro'!$K444,"")</f>
        <v/>
      </c>
      <c r="AV392" s="21" t="str">
        <f>IF(AND('Atividades Micro'!$A444=AV$2,'Atividades Micro'!$L444&lt;&gt;""),'Atividades Micro'!$L444,"")</f>
        <v/>
      </c>
      <c r="AW392" s="21" t="str">
        <f>IF(AND('Atividades Micro'!$B444=AW$2,'Atividades Micro'!$K444&lt;&gt;""),'Atividades Micro'!$K444,"")</f>
        <v/>
      </c>
      <c r="AX392" s="21" t="str">
        <f>IF(AND('Atividades Micro'!$B444=AX$2,'Atividades Micro'!$L444&lt;&gt;""),'Atividades Micro'!$L444,"")</f>
        <v/>
      </c>
      <c r="AY392" s="21" t="str">
        <f>IF(AND('Atividades Micro'!$A444=AY$2,'Atividades Micro'!$K444&lt;&gt;""),'Atividades Micro'!$K444,"")</f>
        <v/>
      </c>
      <c r="AZ392" s="21" t="str">
        <f>IF(AND('Atividades Micro'!$A444=AZ$2,'Atividades Micro'!$L444&lt;&gt;""),'Atividades Micro'!$L444,"")</f>
        <v/>
      </c>
      <c r="BA392" s="21" t="str">
        <f>IF(AND('Atividades Micro'!$B444=BA$2,'Atividades Micro'!$K444&lt;&gt;""),'Atividades Micro'!$K444,"")</f>
        <v/>
      </c>
      <c r="BB392" s="21" t="str">
        <f>IF(AND('Atividades Micro'!$B444=BB$2,'Atividades Micro'!$L444&lt;&gt;""),'Atividades Micro'!$L444,"")</f>
        <v/>
      </c>
      <c r="BC392" s="21" t="str">
        <f>IF(AND('Atividades Micro'!$B444=BC$2,'Atividades Micro'!$G444="Macro",'Atividades Micro'!$K444&lt;&gt;""),'Atividades Micro'!$K444,"")</f>
        <v/>
      </c>
      <c r="BD392" s="21" t="str">
        <f>IF(AND('Atividades Micro'!$B444=BD$2,'Atividades Micro'!$G444="Macro",'Atividades Micro'!$K444&lt;&gt;""),'Atividades Micro'!$K444,"")</f>
        <v/>
      </c>
      <c r="BE392" s="21" t="str">
        <f>IF(AND('Atividades Micro'!$B444=BE$2,'Atividades Micro'!$G444="Macro",'Atividades Micro'!$K444&lt;&gt;""),'Atividades Micro'!$K444,"")</f>
        <v/>
      </c>
      <c r="BF392" s="21" t="str">
        <f>IF(AND('Atividades Micro'!$B444=BF$2,'Atividades Micro'!$G444="Macro",'Atividades Micro'!$K444&lt;&gt;""),'Atividades Micro'!$K444,"")</f>
        <v/>
      </c>
      <c r="BG392" s="21" t="str">
        <f>IF(AND('Atividades Micro'!$B444=BG$2,'Atividades Micro'!$G444="Macro",'Atividades Micro'!$K444&lt;&gt;""),'Atividades Micro'!$K444,"")</f>
        <v/>
      </c>
      <c r="BH392" s="21" t="str">
        <f>IF(AND('Atividades Micro'!$B444=BH$2,'Atividades Micro'!$G444="Macro",'Atividades Micro'!$K444&lt;&gt;""),'Atividades Micro'!$K444,"")</f>
        <v/>
      </c>
      <c r="BI392" s="21" t="str">
        <f>IF(AND('Atividades Micro'!$B444=BI$2,'Atividades Micro'!$G444="Macro",'Atividades Micro'!$K444&lt;&gt;""),'Atividades Micro'!$K444,"")</f>
        <v/>
      </c>
      <c r="BJ392" s="21" t="str">
        <f>IF(AND('Atividades Micro'!$B444=BJ$2,'Atividades Micro'!$G444="Macro",'Atividades Micro'!$K444&lt;&gt;""),'Atividades Micro'!$K444,"")</f>
        <v/>
      </c>
      <c r="BK392" s="21" t="str">
        <f>IF(AND('Atividades Micro'!$B444=BK$2,'Atividades Micro'!$G444="Macro",'Atividades Micro'!$K444&lt;&gt;""),'Atividades Micro'!$K444,"")</f>
        <v/>
      </c>
      <c r="BL392" s="21" t="str">
        <f>IF(AND('Atividades Micro'!$B444=BL$2,'Atividades Micro'!$G444="Macro",'Atividades Micro'!$K444&lt;&gt;""),'Atividades Micro'!$K444,"")</f>
        <v/>
      </c>
      <c r="BM392" s="21" t="str">
        <f>IF(AND('Atividades Micro'!$B444=BM$2,'Atividades Micro'!$G444="Macro",'Atividades Micro'!$K444&lt;&gt;""),'Atividades Micro'!$K444,"")</f>
        <v/>
      </c>
      <c r="BN392" s="21" t="str">
        <f>IF(AND('Atividades Micro'!$B444=BN$2,'Atividades Micro'!$G444="Macro",'Atividades Micro'!$K444&lt;&gt;""),'Atividades Micro'!$K444,"")</f>
        <v/>
      </c>
      <c r="BO392" s="21" t="str">
        <f>IF(AND('Atividades Micro'!$B444=BO$2,'Atividades Micro'!$G444="Macro",'Atividades Micro'!$K444&lt;&gt;""),'Atividades Micro'!$K444,"")</f>
        <v/>
      </c>
      <c r="BP392" s="21" t="str">
        <f>IF(AND('Atividades Micro'!$B444=BP$2,'Atividades Micro'!$G444="Macro",'Atividades Micro'!$K444&lt;&gt;""),'Atividades Micro'!$K444,"")</f>
        <v/>
      </c>
      <c r="BQ392" s="21" t="str">
        <f>IF(AND('Atividades Micro'!$B444=BQ$2,'Atividades Micro'!$G444="Macro",'Atividades Micro'!$K444&lt;&gt;""),'Atividades Micro'!$K444,"")</f>
        <v/>
      </c>
      <c r="BR392" s="21" t="str">
        <f>IF(AND('Atividades Micro'!$B444=BR$2,'Atividades Micro'!$G444="Macro",'Atividades Micro'!$K444&lt;&gt;""),'Atividades Micro'!$K444,"")</f>
        <v/>
      </c>
      <c r="BS392" s="21" t="str">
        <f>IF(AND('Atividades Micro'!$B444=BS$2,'Atividades Micro'!$G444="Macro",'Atividades Micro'!$K444&lt;&gt;""),'Atividades Micro'!$K444,"")</f>
        <v/>
      </c>
      <c r="BT392" s="21" t="str">
        <f>IF(AND('Atividades Micro'!$B444=BT$2,'Atividades Micro'!$G444="Macro",'Atividades Micro'!$K444&lt;&gt;""),'Atividades Micro'!$K444,"")</f>
        <v/>
      </c>
      <c r="BU392" s="21" t="str">
        <f>IF(AND('Atividades Micro'!$B444=BU$2,'Atividades Micro'!$G444="Macro",'Atividades Micro'!$K444&lt;&gt;""),'Atividades Micro'!$K444,"")</f>
        <v/>
      </c>
      <c r="BV392" s="21" t="str">
        <f>IF(AND('Atividades Micro'!$B444=BV$2,'Atividades Micro'!$G444="Macro",'Atividades Micro'!$K444&lt;&gt;""),'Atividades Micro'!$K444,"")</f>
        <v/>
      </c>
      <c r="BW392" s="21" t="str">
        <f>IF(AND('Atividades Micro'!$B444=BW$2,'Atividades Micro'!$G444="Macro",'Atividades Micro'!$K444&lt;&gt;""),'Atividades Micro'!$K444,"")</f>
        <v/>
      </c>
      <c r="BX392" s="21" t="str">
        <f>IF(AND('Atividades Micro'!$B444=BX$2,'Atividades Micro'!$G444="Macro",'Atividades Micro'!$K444&lt;&gt;""),'Atividades Micro'!$K444,"")</f>
        <v/>
      </c>
      <c r="BY392" s="21" t="str">
        <f>IF(AND('Atividades Micro'!$B444=BY$2,'Atividades Micro'!$G444="Macro",'Atividades Micro'!$K444&lt;&gt;""),'Atividades Micro'!$K444,"")</f>
        <v/>
      </c>
      <c r="BZ392" s="21" t="str">
        <f>IF(AND('Atividades Micro'!$B444=BZ$2,'Atividades Micro'!$G444="Macro",'Atividades Micro'!$K444&lt;&gt;""),'Atividades Micro'!$K444,"")</f>
        <v/>
      </c>
      <c r="CA392" s="21" t="str">
        <f>IF(AND('Atividades Micro'!$B444=CA$2,'Atividades Micro'!$G444="Macro",'Atividades Micro'!$K444&lt;&gt;""),'Atividades Micro'!$K444,"")</f>
        <v/>
      </c>
      <c r="CB392" s="21" t="str">
        <f>IF(AND('Atividades Micro'!$B444=CB$2,'Atividades Micro'!$G444="Macro",'Atividades Micro'!$K444&lt;&gt;""),'Atividades Micro'!$K444,"")</f>
        <v/>
      </c>
      <c r="CC392" s="21" t="str">
        <f>IF(AND('Atividades Micro'!$B444=CC$2,'Atividades Micro'!$G444="Macro",'Atividades Micro'!$K444&lt;&gt;""),'Atividades Micro'!$K444,"")</f>
        <v/>
      </c>
      <c r="CD392" s="21" t="str">
        <f>IF(AND('Atividades Micro'!$B444=CD$2,'Atividades Micro'!$G444="Micro",'Atividades Micro'!$K444&lt;&gt;""),'Atividades Micro'!$K444,"")</f>
        <v/>
      </c>
      <c r="CE392" s="21" t="str">
        <f>IF(AND('Atividades Micro'!$B444=CE$2,'Atividades Micro'!$G444="Micro",'Atividades Micro'!$K444&lt;&gt;""),'Atividades Micro'!$K444,"")</f>
        <v/>
      </c>
      <c r="CF392" s="21" t="str">
        <f>IF(AND('Atividades Micro'!$B444=CF$2,'Atividades Micro'!$G444="Micro",'Atividades Micro'!$K444&lt;&gt;""),'Atividades Micro'!$K444,"")</f>
        <v/>
      </c>
      <c r="CG392" s="21" t="str">
        <f>IF(AND('Atividades Micro'!$B444=CG$2,'Atividades Micro'!$G444="Micro",'Atividades Micro'!$K444&lt;&gt;""),'Atividades Micro'!$K444,"")</f>
        <v/>
      </c>
      <c r="CH392" s="21" t="str">
        <f>IF(AND('Atividades Micro'!$B444=CH$2,'Atividades Micro'!$G444="Micro",'Atividades Micro'!$K444&lt;&gt;""),'Atividades Micro'!$K444,"")</f>
        <v/>
      </c>
      <c r="CI392" s="21" t="str">
        <f>IF(AND('Atividades Micro'!$B444=CI$2,'Atividades Micro'!$G444="Micro",'Atividades Micro'!$K444&lt;&gt;""),'Atividades Micro'!$K444,"")</f>
        <v/>
      </c>
      <c r="CJ392" s="21" t="str">
        <f>IF(AND('Atividades Micro'!$B444=CJ$2,'Atividades Micro'!$G444="Micro",'Atividades Micro'!$K444&lt;&gt;""),'Atividades Micro'!$K444,"")</f>
        <v/>
      </c>
      <c r="CK392" s="21" t="str">
        <f>IF(AND('Atividades Micro'!$B444=CK$2,'Atividades Micro'!$G444="Micro",'Atividades Micro'!$K444&lt;&gt;""),'Atividades Micro'!$K444,"")</f>
        <v/>
      </c>
      <c r="CL392" s="21" t="str">
        <f>IF(AND('Atividades Micro'!$B444=CL$2,'Atividades Micro'!$G444="Micro",'Atividades Micro'!$K444&lt;&gt;""),'Atividades Micro'!$K444,"")</f>
        <v/>
      </c>
      <c r="CM392" s="21" t="str">
        <f>IF(AND('Atividades Micro'!$B444=CM$2,'Atividades Micro'!$G444="Micro",'Atividades Micro'!$K444&lt;&gt;""),'Atividades Micro'!$K444,"")</f>
        <v/>
      </c>
      <c r="CN392" s="21" t="str">
        <f>IF(AND('Atividades Micro'!$B444=CN$2,'Atividades Micro'!$G444="Micro",'Atividades Micro'!$K444&lt;&gt;""),'Atividades Micro'!$K444,"")</f>
        <v/>
      </c>
      <c r="CO392" s="21" t="str">
        <f>IF(AND('Atividades Micro'!$B444=CO$2,'Atividades Micro'!$G444="Micro",'Atividades Micro'!$K444&lt;&gt;""),'Atividades Micro'!$K444,"")</f>
        <v/>
      </c>
    </row>
    <row r="393" spans="1:93">
      <c r="A393" s="21" t="str">
        <f>IF(AND('Atividades Micro'!$A445=A$2,'Atividades Micro'!$K445&lt;&gt;""),'Atividades Micro'!$K445,"")</f>
        <v/>
      </c>
      <c r="B393" s="21" t="str">
        <f>IF(AND('Atividades Micro'!$A445=B$2,'Atividades Micro'!$L445&lt;&gt;""),'Atividades Micro'!$L445,"")</f>
        <v/>
      </c>
      <c r="C393" s="21" t="str">
        <f>IF(AND('Atividades Micro'!$A445=C$2,'Atividades Micro'!$K445&lt;&gt;""),'Atividades Micro'!$K445,"")</f>
        <v/>
      </c>
      <c r="D393" s="21" t="str">
        <f>IF(AND('Atividades Micro'!$A445=D$2,'Atividades Micro'!$L445&lt;&gt;""),'Atividades Micro'!$L445,"")</f>
        <v/>
      </c>
      <c r="E393" s="21" t="str">
        <f>IF(AND('Atividades Micro'!$A445=E$2,'Atividades Micro'!$K445&lt;&gt;""),'Atividades Micro'!$K445,"")</f>
        <v/>
      </c>
      <c r="F393" s="21" t="str">
        <f>IF(AND('Atividades Micro'!$A445=F$2,'Atividades Micro'!$L445&lt;&gt;""),'Atividades Micro'!$L445,"")</f>
        <v/>
      </c>
      <c r="G393" s="21" t="str">
        <f>IF(AND('Atividades Micro'!$A445=G$2,'Atividades Micro'!$K445&lt;&gt;""),'Atividades Micro'!$K445,"")</f>
        <v/>
      </c>
      <c r="H393" s="21" t="str">
        <f>IF(AND('Atividades Micro'!$A445=H$2,'Atividades Micro'!$L445&lt;&gt;""),'Atividades Micro'!$L445,"")</f>
        <v/>
      </c>
      <c r="I393" s="21" t="str">
        <f>IF(AND('Atividades Micro'!$A445=I$2,'Atividades Micro'!$K445&lt;&gt;""),'Atividades Micro'!$K445,"")</f>
        <v/>
      </c>
      <c r="J393" s="21" t="str">
        <f>IF(AND('Atividades Micro'!$A445=J$2,'Atividades Micro'!$L445&lt;&gt;""),'Atividades Micro'!$L445,"")</f>
        <v/>
      </c>
      <c r="K393" s="21" t="str">
        <f>IF(AND('Atividades Micro'!$B445=K$2,'Atividades Micro'!$K445&lt;&gt;""),'Atividades Micro'!$K445,"")</f>
        <v/>
      </c>
      <c r="L393" s="21" t="str">
        <f>IF(AND('Atividades Micro'!$B445=L$2,'Atividades Micro'!$L445&lt;&gt;""),'Atividades Micro'!$L445,"")</f>
        <v/>
      </c>
      <c r="M393" s="21" t="str">
        <f>IF(AND('Atividades Micro'!$B445=M$2,'Atividades Micro'!$K445&lt;&gt;""),'Atividades Micro'!$K445,"")</f>
        <v/>
      </c>
      <c r="N393" s="21" t="str">
        <f>IF(AND('Atividades Micro'!$B445=N$2,'Atividades Micro'!$L445&lt;&gt;""),'Atividades Micro'!$L445,"")</f>
        <v/>
      </c>
      <c r="O393" s="21" t="str">
        <f>IF(AND('Atividades Micro'!$A445=O$2,'Atividades Micro'!$K445&lt;&gt;""),'Atividades Micro'!$K445,"")</f>
        <v/>
      </c>
      <c r="P393" s="21" t="str">
        <f>IF(AND('Atividades Micro'!$A445=P$2,'Atividades Micro'!$L445&lt;&gt;""),'Atividades Micro'!$L445,"")</f>
        <v/>
      </c>
      <c r="Q393" s="21" t="str">
        <f>IF(AND('Atividades Micro'!$B445=Q$2,'Atividades Micro'!$K445&lt;&gt;""),'Atividades Micro'!$K445,"")</f>
        <v/>
      </c>
      <c r="R393" s="21" t="str">
        <f>IF(AND('Atividades Micro'!$B445=R$2,'Atividades Micro'!$L445&lt;&gt;""),'Atividades Micro'!$L445,"")</f>
        <v/>
      </c>
      <c r="S393" s="21" t="str">
        <f>IF(AND('Atividades Micro'!$A445=S$2,'Atividades Micro'!$K445&lt;&gt;""),'Atividades Micro'!$K445,"")</f>
        <v/>
      </c>
      <c r="T393" s="21" t="str">
        <f>IF(AND('Atividades Micro'!$A445=T$2,'Atividades Micro'!$L445&lt;&gt;""),'Atividades Micro'!$L445,"")</f>
        <v/>
      </c>
      <c r="U393" s="21" t="str">
        <f>IF(AND('Atividades Micro'!$B445=U$2,'Atividades Micro'!$K445&lt;&gt;""),'Atividades Micro'!$K445,"")</f>
        <v/>
      </c>
      <c r="V393" s="21" t="str">
        <f>IF(AND('Atividades Micro'!$B445=V$2,'Atividades Micro'!$L445&lt;&gt;""),'Atividades Micro'!$L445,"")</f>
        <v/>
      </c>
      <c r="W393" s="21" t="str">
        <f>IF(AND('Atividades Micro'!$B445=W$2,'Atividades Micro'!$K445&lt;&gt;""),'Atividades Micro'!$K445,"")</f>
        <v/>
      </c>
      <c r="X393" s="21" t="str">
        <f>IF(AND('Atividades Micro'!$B445=X$2,'Atividades Micro'!$L445&lt;&gt;""),'Atividades Micro'!$L445,"")</f>
        <v/>
      </c>
      <c r="Y393" s="21" t="str">
        <f>IF(AND('Atividades Micro'!$A445=Y$2,'Atividades Micro'!$K445&lt;&gt;""),'Atividades Micro'!$K445,"")</f>
        <v/>
      </c>
      <c r="Z393" s="21" t="str">
        <f>IF(AND('Atividades Micro'!$A445=Z$2,'Atividades Micro'!$L445&lt;&gt;""),'Atividades Micro'!$L445,"")</f>
        <v/>
      </c>
      <c r="AA393" s="21" t="str">
        <f>IF(AND('Atividades Micro'!$B445=AA$2,'Atividades Micro'!$K445&lt;&gt;""),'Atividades Micro'!$K445,"")</f>
        <v/>
      </c>
      <c r="AB393" s="21" t="str">
        <f>IF(AND('Atividades Micro'!$B445=AB$2,'Atividades Micro'!$L445&lt;&gt;""),'Atividades Micro'!$L445,"")</f>
        <v/>
      </c>
      <c r="AC393" s="21" t="str">
        <f>IF(AND('Atividades Micro'!$B445=AC$2,'Atividades Micro'!$K445&lt;&gt;""),'Atividades Micro'!$K445,"")</f>
        <v/>
      </c>
      <c r="AD393" s="21" t="str">
        <f>IF(AND('Atividades Micro'!$B445=AD$2,'Atividades Micro'!$L445&lt;&gt;""),'Atividades Micro'!$L445,"")</f>
        <v/>
      </c>
      <c r="AE393" s="21" t="str">
        <f>IF(AND('Atividades Micro'!$A445=AE$2,'Atividades Micro'!$K445&lt;&gt;""),'Atividades Micro'!$K445,"")</f>
        <v/>
      </c>
      <c r="AF393" s="21" t="str">
        <f>IF(AND('Atividades Micro'!$A445=AF$2,'Atividades Micro'!$L445&lt;&gt;""),'Atividades Micro'!$L445,"")</f>
        <v/>
      </c>
      <c r="AG393" s="21" t="str">
        <f>IF(AND('Atividades Micro'!$B445=AG$2,'Atividades Micro'!$K445&lt;&gt;""),'Atividades Micro'!$K445,"")</f>
        <v/>
      </c>
      <c r="AH393" s="21" t="str">
        <f>IF(AND('Atividades Micro'!$B445=AH$2,'Atividades Micro'!$L445&lt;&gt;""),'Atividades Micro'!$L445,"")</f>
        <v/>
      </c>
      <c r="AI393" s="21" t="str">
        <f>IF(AND('Atividades Micro'!$B445=AI$2,'Atividades Micro'!$K445&lt;&gt;""),'Atividades Micro'!$K445,"")</f>
        <v/>
      </c>
      <c r="AJ393" s="21" t="str">
        <f>IF(AND('Atividades Micro'!$B445=AJ$2,'Atividades Micro'!$L445&lt;&gt;""),'Atividades Micro'!$L445,"")</f>
        <v/>
      </c>
      <c r="AK393" s="21" t="str">
        <f>IF(AND('Atividades Micro'!$A445=AK$2,'Atividades Micro'!$K445&lt;&gt;""),'Atividades Micro'!$K445,"")</f>
        <v/>
      </c>
      <c r="AL393" s="21" t="str">
        <f>IF(AND('Atividades Micro'!$A445=AL$2,'Atividades Micro'!$L445&lt;&gt;""),'Atividades Micro'!$L445,"")</f>
        <v/>
      </c>
      <c r="AM393" s="21" t="str">
        <f>IF(AND('Atividades Micro'!$B445=AM$2,'Atividades Micro'!$K445&lt;&gt;""),'Atividades Micro'!$K445,"")</f>
        <v/>
      </c>
      <c r="AN393" s="21" t="str">
        <f>IF(AND('Atividades Micro'!$B445=AN$2,'Atividades Micro'!$L445&lt;&gt;""),'Atividades Micro'!$L445,"")</f>
        <v/>
      </c>
      <c r="AO393" s="21" t="str">
        <f>IF(AND('Atividades Micro'!$B445=AO$2,'Atividades Micro'!$K445&lt;&gt;""),'Atividades Micro'!$K445,"")</f>
        <v/>
      </c>
      <c r="AP393" s="21" t="str">
        <f>IF(AND('Atividades Micro'!$B445=AP$2,'Atividades Micro'!$L445&lt;&gt;""),'Atividades Micro'!$L445,"")</f>
        <v/>
      </c>
      <c r="AQ393" s="21" t="str">
        <f>IF(AND('Atividades Micro'!$A445=AQ$2,'Atividades Micro'!$K445&lt;&gt;""),'Atividades Micro'!$K445,"")</f>
        <v/>
      </c>
      <c r="AR393" s="21" t="str">
        <f>IF(AND('Atividades Micro'!$A445=AR$2,'Atividades Micro'!$L445&lt;&gt;""),'Atividades Micro'!$L445,"")</f>
        <v/>
      </c>
      <c r="AS393" s="21" t="str">
        <f>IF(AND('Atividades Micro'!$B445=AS$2,'Atividades Micro'!$K445&lt;&gt;""),'Atividades Micro'!$K445,"")</f>
        <v/>
      </c>
      <c r="AT393" s="21" t="str">
        <f>IF(AND('Atividades Micro'!$B445=AT$2,'Atividades Micro'!$L445&lt;&gt;""),'Atividades Micro'!$L445,"")</f>
        <v/>
      </c>
      <c r="AU393" s="21" t="str">
        <f>IF(AND('Atividades Micro'!$A445=AU$2,'Atividades Micro'!$K445&lt;&gt;""),'Atividades Micro'!$K445,"")</f>
        <v/>
      </c>
      <c r="AV393" s="21" t="str">
        <f>IF(AND('Atividades Micro'!$A445=AV$2,'Atividades Micro'!$L445&lt;&gt;""),'Atividades Micro'!$L445,"")</f>
        <v/>
      </c>
      <c r="AW393" s="21" t="str">
        <f>IF(AND('Atividades Micro'!$B445=AW$2,'Atividades Micro'!$K445&lt;&gt;""),'Atividades Micro'!$K445,"")</f>
        <v/>
      </c>
      <c r="AX393" s="21" t="str">
        <f>IF(AND('Atividades Micro'!$B445=AX$2,'Atividades Micro'!$L445&lt;&gt;""),'Atividades Micro'!$L445,"")</f>
        <v/>
      </c>
      <c r="AY393" s="21" t="str">
        <f>IF(AND('Atividades Micro'!$A445=AY$2,'Atividades Micro'!$K445&lt;&gt;""),'Atividades Micro'!$K445,"")</f>
        <v/>
      </c>
      <c r="AZ393" s="21" t="str">
        <f>IF(AND('Atividades Micro'!$A445=AZ$2,'Atividades Micro'!$L445&lt;&gt;""),'Atividades Micro'!$L445,"")</f>
        <v/>
      </c>
      <c r="BA393" s="21" t="str">
        <f>IF(AND('Atividades Micro'!$B445=BA$2,'Atividades Micro'!$K445&lt;&gt;""),'Atividades Micro'!$K445,"")</f>
        <v/>
      </c>
      <c r="BB393" s="21" t="str">
        <f>IF(AND('Atividades Micro'!$B445=BB$2,'Atividades Micro'!$L445&lt;&gt;""),'Atividades Micro'!$L445,"")</f>
        <v/>
      </c>
      <c r="BC393" s="21" t="str">
        <f>IF(AND('Atividades Micro'!$B445=BC$2,'Atividades Micro'!$G445="Macro",'Atividades Micro'!$K445&lt;&gt;""),'Atividades Micro'!$K445,"")</f>
        <v/>
      </c>
      <c r="BD393" s="21" t="str">
        <f>IF(AND('Atividades Micro'!$B445=BD$2,'Atividades Micro'!$G445="Macro",'Atividades Micro'!$K445&lt;&gt;""),'Atividades Micro'!$K445,"")</f>
        <v/>
      </c>
      <c r="BE393" s="21" t="str">
        <f>IF(AND('Atividades Micro'!$B445=BE$2,'Atividades Micro'!$G445="Macro",'Atividades Micro'!$K445&lt;&gt;""),'Atividades Micro'!$K445,"")</f>
        <v/>
      </c>
      <c r="BF393" s="21" t="str">
        <f>IF(AND('Atividades Micro'!$B445=BF$2,'Atividades Micro'!$G445="Macro",'Atividades Micro'!$K445&lt;&gt;""),'Atividades Micro'!$K445,"")</f>
        <v/>
      </c>
      <c r="BG393" s="21" t="str">
        <f>IF(AND('Atividades Micro'!$B445=BG$2,'Atividades Micro'!$G445="Macro",'Atividades Micro'!$K445&lt;&gt;""),'Atividades Micro'!$K445,"")</f>
        <v/>
      </c>
      <c r="BH393" s="21" t="str">
        <f>IF(AND('Atividades Micro'!$B445=BH$2,'Atividades Micro'!$G445="Macro",'Atividades Micro'!$K445&lt;&gt;""),'Atividades Micro'!$K445,"")</f>
        <v/>
      </c>
      <c r="BI393" s="21" t="str">
        <f>IF(AND('Atividades Micro'!$B445=BI$2,'Atividades Micro'!$G445="Macro",'Atividades Micro'!$K445&lt;&gt;""),'Atividades Micro'!$K445,"")</f>
        <v/>
      </c>
      <c r="BJ393" s="21" t="str">
        <f>IF(AND('Atividades Micro'!$B445=BJ$2,'Atividades Micro'!$G445="Macro",'Atividades Micro'!$K445&lt;&gt;""),'Atividades Micro'!$K445,"")</f>
        <v/>
      </c>
      <c r="BK393" s="21" t="str">
        <f>IF(AND('Atividades Micro'!$B445=BK$2,'Atividades Micro'!$G445="Macro",'Atividades Micro'!$K445&lt;&gt;""),'Atividades Micro'!$K445,"")</f>
        <v/>
      </c>
      <c r="BL393" s="21" t="str">
        <f>IF(AND('Atividades Micro'!$B445=BL$2,'Atividades Micro'!$G445="Macro",'Atividades Micro'!$K445&lt;&gt;""),'Atividades Micro'!$K445,"")</f>
        <v/>
      </c>
      <c r="BM393" s="21" t="str">
        <f>IF(AND('Atividades Micro'!$B445=BM$2,'Atividades Micro'!$G445="Macro",'Atividades Micro'!$K445&lt;&gt;""),'Atividades Micro'!$K445,"")</f>
        <v/>
      </c>
      <c r="BN393" s="21" t="str">
        <f>IF(AND('Atividades Micro'!$B445=BN$2,'Atividades Micro'!$G445="Macro",'Atividades Micro'!$K445&lt;&gt;""),'Atividades Micro'!$K445,"")</f>
        <v/>
      </c>
      <c r="BO393" s="21" t="str">
        <f>IF(AND('Atividades Micro'!$B445=BO$2,'Atividades Micro'!$G445="Macro",'Atividades Micro'!$K445&lt;&gt;""),'Atividades Micro'!$K445,"")</f>
        <v/>
      </c>
      <c r="BP393" s="21" t="str">
        <f>IF(AND('Atividades Micro'!$B445=BP$2,'Atividades Micro'!$G445="Macro",'Atividades Micro'!$K445&lt;&gt;""),'Atividades Micro'!$K445,"")</f>
        <v/>
      </c>
      <c r="BQ393" s="21" t="str">
        <f>IF(AND('Atividades Micro'!$B445=BQ$2,'Atividades Micro'!$G445="Macro",'Atividades Micro'!$K445&lt;&gt;""),'Atividades Micro'!$K445,"")</f>
        <v/>
      </c>
      <c r="BR393" s="21" t="str">
        <f>IF(AND('Atividades Micro'!$B445=BR$2,'Atividades Micro'!$G445="Macro",'Atividades Micro'!$K445&lt;&gt;""),'Atividades Micro'!$K445,"")</f>
        <v/>
      </c>
      <c r="BS393" s="21" t="str">
        <f>IF(AND('Atividades Micro'!$B445=BS$2,'Atividades Micro'!$G445="Macro",'Atividades Micro'!$K445&lt;&gt;""),'Atividades Micro'!$K445,"")</f>
        <v/>
      </c>
      <c r="BT393" s="21" t="str">
        <f>IF(AND('Atividades Micro'!$B445=BT$2,'Atividades Micro'!$G445="Macro",'Atividades Micro'!$K445&lt;&gt;""),'Atividades Micro'!$K445,"")</f>
        <v/>
      </c>
      <c r="BU393" s="21" t="str">
        <f>IF(AND('Atividades Micro'!$B445=BU$2,'Atividades Micro'!$G445="Macro",'Atividades Micro'!$K445&lt;&gt;""),'Atividades Micro'!$K445,"")</f>
        <v/>
      </c>
      <c r="BV393" s="21" t="str">
        <f>IF(AND('Atividades Micro'!$B445=BV$2,'Atividades Micro'!$G445="Macro",'Atividades Micro'!$K445&lt;&gt;""),'Atividades Micro'!$K445,"")</f>
        <v/>
      </c>
      <c r="BW393" s="21" t="str">
        <f>IF(AND('Atividades Micro'!$B445=BW$2,'Atividades Micro'!$G445="Macro",'Atividades Micro'!$K445&lt;&gt;""),'Atividades Micro'!$K445,"")</f>
        <v/>
      </c>
      <c r="BX393" s="21" t="str">
        <f>IF(AND('Atividades Micro'!$B445=BX$2,'Atividades Micro'!$G445="Macro",'Atividades Micro'!$K445&lt;&gt;""),'Atividades Micro'!$K445,"")</f>
        <v/>
      </c>
      <c r="BY393" s="21" t="str">
        <f>IF(AND('Atividades Micro'!$B445=BY$2,'Atividades Micro'!$G445="Macro",'Atividades Micro'!$K445&lt;&gt;""),'Atividades Micro'!$K445,"")</f>
        <v/>
      </c>
      <c r="BZ393" s="21" t="str">
        <f>IF(AND('Atividades Micro'!$B445=BZ$2,'Atividades Micro'!$G445="Macro",'Atividades Micro'!$K445&lt;&gt;""),'Atividades Micro'!$K445,"")</f>
        <v/>
      </c>
      <c r="CA393" s="21" t="str">
        <f>IF(AND('Atividades Micro'!$B445=CA$2,'Atividades Micro'!$G445="Macro",'Atividades Micro'!$K445&lt;&gt;""),'Atividades Micro'!$K445,"")</f>
        <v/>
      </c>
      <c r="CB393" s="21" t="str">
        <f>IF(AND('Atividades Micro'!$B445=CB$2,'Atividades Micro'!$G445="Macro",'Atividades Micro'!$K445&lt;&gt;""),'Atividades Micro'!$K445,"")</f>
        <v/>
      </c>
      <c r="CC393" s="21" t="str">
        <f>IF(AND('Atividades Micro'!$B445=CC$2,'Atividades Micro'!$G445="Macro",'Atividades Micro'!$K445&lt;&gt;""),'Atividades Micro'!$K445,"")</f>
        <v/>
      </c>
      <c r="CD393" s="21" t="str">
        <f>IF(AND('Atividades Micro'!$B445=CD$2,'Atividades Micro'!$G445="Micro",'Atividades Micro'!$K445&lt;&gt;""),'Atividades Micro'!$K445,"")</f>
        <v/>
      </c>
      <c r="CE393" s="21" t="str">
        <f>IF(AND('Atividades Micro'!$B445=CE$2,'Atividades Micro'!$G445="Micro",'Atividades Micro'!$K445&lt;&gt;""),'Atividades Micro'!$K445,"")</f>
        <v/>
      </c>
      <c r="CF393" s="21" t="str">
        <f>IF(AND('Atividades Micro'!$B445=CF$2,'Atividades Micro'!$G445="Micro",'Atividades Micro'!$K445&lt;&gt;""),'Atividades Micro'!$K445,"")</f>
        <v/>
      </c>
      <c r="CG393" s="21" t="str">
        <f>IF(AND('Atividades Micro'!$B445=CG$2,'Atividades Micro'!$G445="Micro",'Atividades Micro'!$K445&lt;&gt;""),'Atividades Micro'!$K445,"")</f>
        <v/>
      </c>
      <c r="CH393" s="21" t="str">
        <f>IF(AND('Atividades Micro'!$B445=CH$2,'Atividades Micro'!$G445="Micro",'Atividades Micro'!$K445&lt;&gt;""),'Atividades Micro'!$K445,"")</f>
        <v/>
      </c>
      <c r="CI393" s="21" t="str">
        <f>IF(AND('Atividades Micro'!$B445=CI$2,'Atividades Micro'!$G445="Micro",'Atividades Micro'!$K445&lt;&gt;""),'Atividades Micro'!$K445,"")</f>
        <v/>
      </c>
      <c r="CJ393" s="21" t="str">
        <f>IF(AND('Atividades Micro'!$B445=CJ$2,'Atividades Micro'!$G445="Micro",'Atividades Micro'!$K445&lt;&gt;""),'Atividades Micro'!$K445,"")</f>
        <v/>
      </c>
      <c r="CK393" s="21" t="str">
        <f>IF(AND('Atividades Micro'!$B445=CK$2,'Atividades Micro'!$G445="Micro",'Atividades Micro'!$K445&lt;&gt;""),'Atividades Micro'!$K445,"")</f>
        <v/>
      </c>
      <c r="CL393" s="21" t="str">
        <f>IF(AND('Atividades Micro'!$B445=CL$2,'Atividades Micro'!$G445="Micro",'Atividades Micro'!$K445&lt;&gt;""),'Atividades Micro'!$K445,"")</f>
        <v/>
      </c>
      <c r="CM393" s="21" t="str">
        <f>IF(AND('Atividades Micro'!$B445=CM$2,'Atividades Micro'!$G445="Micro",'Atividades Micro'!$K445&lt;&gt;""),'Atividades Micro'!$K445,"")</f>
        <v/>
      </c>
      <c r="CN393" s="21" t="str">
        <f>IF(AND('Atividades Micro'!$B445=CN$2,'Atividades Micro'!$G445="Micro",'Atividades Micro'!$K445&lt;&gt;""),'Atividades Micro'!$K445,"")</f>
        <v/>
      </c>
      <c r="CO393" s="21" t="str">
        <f>IF(AND('Atividades Micro'!$B445=CO$2,'Atividades Micro'!$G445="Micro",'Atividades Micro'!$K445&lt;&gt;""),'Atividades Micro'!$K445,"")</f>
        <v/>
      </c>
    </row>
    <row r="394" spans="1:93">
      <c r="A394" s="21" t="str">
        <f>IF(AND('Atividades Micro'!$A446=A$2,'Atividades Micro'!$K446&lt;&gt;""),'Atividades Micro'!$K446,"")</f>
        <v/>
      </c>
      <c r="B394" s="21" t="str">
        <f>IF(AND('Atividades Micro'!$A446=B$2,'Atividades Micro'!$L446&lt;&gt;""),'Atividades Micro'!$L446,"")</f>
        <v/>
      </c>
      <c r="C394" s="21" t="str">
        <f>IF(AND('Atividades Micro'!$A446=C$2,'Atividades Micro'!$K446&lt;&gt;""),'Atividades Micro'!$K446,"")</f>
        <v/>
      </c>
      <c r="D394" s="21" t="str">
        <f>IF(AND('Atividades Micro'!$A446=D$2,'Atividades Micro'!$L446&lt;&gt;""),'Atividades Micro'!$L446,"")</f>
        <v/>
      </c>
      <c r="E394" s="21" t="str">
        <f>IF(AND('Atividades Micro'!$A446=E$2,'Atividades Micro'!$K446&lt;&gt;""),'Atividades Micro'!$K446,"")</f>
        <v/>
      </c>
      <c r="F394" s="21" t="str">
        <f>IF(AND('Atividades Micro'!$A446=F$2,'Atividades Micro'!$L446&lt;&gt;""),'Atividades Micro'!$L446,"")</f>
        <v/>
      </c>
      <c r="G394" s="21" t="str">
        <f>IF(AND('Atividades Micro'!$A446=G$2,'Atividades Micro'!$K446&lt;&gt;""),'Atividades Micro'!$K446,"")</f>
        <v/>
      </c>
      <c r="H394" s="21" t="str">
        <f>IF(AND('Atividades Micro'!$A446=H$2,'Atividades Micro'!$L446&lt;&gt;""),'Atividades Micro'!$L446,"")</f>
        <v/>
      </c>
      <c r="I394" s="21" t="str">
        <f>IF(AND('Atividades Micro'!$A446=I$2,'Atividades Micro'!$K446&lt;&gt;""),'Atividades Micro'!$K446,"")</f>
        <v/>
      </c>
      <c r="J394" s="21" t="str">
        <f>IF(AND('Atividades Micro'!$A446=J$2,'Atividades Micro'!$L446&lt;&gt;""),'Atividades Micro'!$L446,"")</f>
        <v/>
      </c>
      <c r="K394" s="21" t="str">
        <f>IF(AND('Atividades Micro'!$B446=K$2,'Atividades Micro'!$K446&lt;&gt;""),'Atividades Micro'!$K446,"")</f>
        <v/>
      </c>
      <c r="L394" s="21" t="str">
        <f>IF(AND('Atividades Micro'!$B446=L$2,'Atividades Micro'!$L446&lt;&gt;""),'Atividades Micro'!$L446,"")</f>
        <v/>
      </c>
      <c r="M394" s="21" t="str">
        <f>IF(AND('Atividades Micro'!$B446=M$2,'Atividades Micro'!$K446&lt;&gt;""),'Atividades Micro'!$K446,"")</f>
        <v/>
      </c>
      <c r="N394" s="21" t="str">
        <f>IF(AND('Atividades Micro'!$B446=N$2,'Atividades Micro'!$L446&lt;&gt;""),'Atividades Micro'!$L446,"")</f>
        <v/>
      </c>
      <c r="O394" s="21" t="str">
        <f>IF(AND('Atividades Micro'!$A446=O$2,'Atividades Micro'!$K446&lt;&gt;""),'Atividades Micro'!$K446,"")</f>
        <v/>
      </c>
      <c r="P394" s="21" t="str">
        <f>IF(AND('Atividades Micro'!$A446=P$2,'Atividades Micro'!$L446&lt;&gt;""),'Atividades Micro'!$L446,"")</f>
        <v/>
      </c>
      <c r="Q394" s="21" t="str">
        <f>IF(AND('Atividades Micro'!$B446=Q$2,'Atividades Micro'!$K446&lt;&gt;""),'Atividades Micro'!$K446,"")</f>
        <v/>
      </c>
      <c r="R394" s="21" t="str">
        <f>IF(AND('Atividades Micro'!$B446=R$2,'Atividades Micro'!$L446&lt;&gt;""),'Atividades Micro'!$L446,"")</f>
        <v/>
      </c>
      <c r="S394" s="21" t="str">
        <f>IF(AND('Atividades Micro'!$A446=S$2,'Atividades Micro'!$K446&lt;&gt;""),'Atividades Micro'!$K446,"")</f>
        <v/>
      </c>
      <c r="T394" s="21" t="str">
        <f>IF(AND('Atividades Micro'!$A446=T$2,'Atividades Micro'!$L446&lt;&gt;""),'Atividades Micro'!$L446,"")</f>
        <v/>
      </c>
      <c r="U394" s="21" t="str">
        <f>IF(AND('Atividades Micro'!$B446=U$2,'Atividades Micro'!$K446&lt;&gt;""),'Atividades Micro'!$K446,"")</f>
        <v/>
      </c>
      <c r="V394" s="21" t="str">
        <f>IF(AND('Atividades Micro'!$B446=V$2,'Atividades Micro'!$L446&lt;&gt;""),'Atividades Micro'!$L446,"")</f>
        <v/>
      </c>
      <c r="W394" s="21" t="str">
        <f>IF(AND('Atividades Micro'!$B446=W$2,'Atividades Micro'!$K446&lt;&gt;""),'Atividades Micro'!$K446,"")</f>
        <v/>
      </c>
      <c r="X394" s="21" t="str">
        <f>IF(AND('Atividades Micro'!$B446=X$2,'Atividades Micro'!$L446&lt;&gt;""),'Atividades Micro'!$L446,"")</f>
        <v/>
      </c>
      <c r="Y394" s="21" t="str">
        <f>IF(AND('Atividades Micro'!$A446=Y$2,'Atividades Micro'!$K446&lt;&gt;""),'Atividades Micro'!$K446,"")</f>
        <v/>
      </c>
      <c r="Z394" s="21" t="str">
        <f>IF(AND('Atividades Micro'!$A446=Z$2,'Atividades Micro'!$L446&lt;&gt;""),'Atividades Micro'!$L446,"")</f>
        <v/>
      </c>
      <c r="AA394" s="21" t="str">
        <f>IF(AND('Atividades Micro'!$B446=AA$2,'Atividades Micro'!$K446&lt;&gt;""),'Atividades Micro'!$K446,"")</f>
        <v/>
      </c>
      <c r="AB394" s="21" t="str">
        <f>IF(AND('Atividades Micro'!$B446=AB$2,'Atividades Micro'!$L446&lt;&gt;""),'Atividades Micro'!$L446,"")</f>
        <v/>
      </c>
      <c r="AC394" s="21" t="str">
        <f>IF(AND('Atividades Micro'!$B446=AC$2,'Atividades Micro'!$K446&lt;&gt;""),'Atividades Micro'!$K446,"")</f>
        <v/>
      </c>
      <c r="AD394" s="21" t="str">
        <f>IF(AND('Atividades Micro'!$B446=AD$2,'Atividades Micro'!$L446&lt;&gt;""),'Atividades Micro'!$L446,"")</f>
        <v/>
      </c>
      <c r="AE394" s="21" t="str">
        <f>IF(AND('Atividades Micro'!$A446=AE$2,'Atividades Micro'!$K446&lt;&gt;""),'Atividades Micro'!$K446,"")</f>
        <v/>
      </c>
      <c r="AF394" s="21" t="str">
        <f>IF(AND('Atividades Micro'!$A446=AF$2,'Atividades Micro'!$L446&lt;&gt;""),'Atividades Micro'!$L446,"")</f>
        <v/>
      </c>
      <c r="AG394" s="21" t="str">
        <f>IF(AND('Atividades Micro'!$B446=AG$2,'Atividades Micro'!$K446&lt;&gt;""),'Atividades Micro'!$K446,"")</f>
        <v/>
      </c>
      <c r="AH394" s="21" t="str">
        <f>IF(AND('Atividades Micro'!$B446=AH$2,'Atividades Micro'!$L446&lt;&gt;""),'Atividades Micro'!$L446,"")</f>
        <v/>
      </c>
      <c r="AI394" s="21" t="str">
        <f>IF(AND('Atividades Micro'!$B446=AI$2,'Atividades Micro'!$K446&lt;&gt;""),'Atividades Micro'!$K446,"")</f>
        <v/>
      </c>
      <c r="AJ394" s="21" t="str">
        <f>IF(AND('Atividades Micro'!$B446=AJ$2,'Atividades Micro'!$L446&lt;&gt;""),'Atividades Micro'!$L446,"")</f>
        <v/>
      </c>
      <c r="AK394" s="21" t="str">
        <f>IF(AND('Atividades Micro'!$A446=AK$2,'Atividades Micro'!$K446&lt;&gt;""),'Atividades Micro'!$K446,"")</f>
        <v/>
      </c>
      <c r="AL394" s="21" t="str">
        <f>IF(AND('Atividades Micro'!$A446=AL$2,'Atividades Micro'!$L446&lt;&gt;""),'Atividades Micro'!$L446,"")</f>
        <v/>
      </c>
      <c r="AM394" s="21" t="str">
        <f>IF(AND('Atividades Micro'!$B446=AM$2,'Atividades Micro'!$K446&lt;&gt;""),'Atividades Micro'!$K446,"")</f>
        <v/>
      </c>
      <c r="AN394" s="21" t="str">
        <f>IF(AND('Atividades Micro'!$B446=AN$2,'Atividades Micro'!$L446&lt;&gt;""),'Atividades Micro'!$L446,"")</f>
        <v/>
      </c>
      <c r="AO394" s="21" t="str">
        <f>IF(AND('Atividades Micro'!$B446=AO$2,'Atividades Micro'!$K446&lt;&gt;""),'Atividades Micro'!$K446,"")</f>
        <v/>
      </c>
      <c r="AP394" s="21" t="str">
        <f>IF(AND('Atividades Micro'!$B446=AP$2,'Atividades Micro'!$L446&lt;&gt;""),'Atividades Micro'!$L446,"")</f>
        <v/>
      </c>
      <c r="AQ394" s="21" t="str">
        <f>IF(AND('Atividades Micro'!$A446=AQ$2,'Atividades Micro'!$K446&lt;&gt;""),'Atividades Micro'!$K446,"")</f>
        <v/>
      </c>
      <c r="AR394" s="21" t="str">
        <f>IF(AND('Atividades Micro'!$A446=AR$2,'Atividades Micro'!$L446&lt;&gt;""),'Atividades Micro'!$L446,"")</f>
        <v/>
      </c>
      <c r="AS394" s="21" t="str">
        <f>IF(AND('Atividades Micro'!$B446=AS$2,'Atividades Micro'!$K446&lt;&gt;""),'Atividades Micro'!$K446,"")</f>
        <v/>
      </c>
      <c r="AT394" s="21" t="str">
        <f>IF(AND('Atividades Micro'!$B446=AT$2,'Atividades Micro'!$L446&lt;&gt;""),'Atividades Micro'!$L446,"")</f>
        <v/>
      </c>
      <c r="AU394" s="21" t="str">
        <f>IF(AND('Atividades Micro'!$A446=AU$2,'Atividades Micro'!$K446&lt;&gt;""),'Atividades Micro'!$K446,"")</f>
        <v/>
      </c>
      <c r="AV394" s="21" t="str">
        <f>IF(AND('Atividades Micro'!$A446=AV$2,'Atividades Micro'!$L446&lt;&gt;""),'Atividades Micro'!$L446,"")</f>
        <v/>
      </c>
      <c r="AW394" s="21" t="str">
        <f>IF(AND('Atividades Micro'!$B446=AW$2,'Atividades Micro'!$K446&lt;&gt;""),'Atividades Micro'!$K446,"")</f>
        <v/>
      </c>
      <c r="AX394" s="21" t="str">
        <f>IF(AND('Atividades Micro'!$B446=AX$2,'Atividades Micro'!$L446&lt;&gt;""),'Atividades Micro'!$L446,"")</f>
        <v/>
      </c>
      <c r="AY394" s="21" t="str">
        <f>IF(AND('Atividades Micro'!$A446=AY$2,'Atividades Micro'!$K446&lt;&gt;""),'Atividades Micro'!$K446,"")</f>
        <v/>
      </c>
      <c r="AZ394" s="21" t="str">
        <f>IF(AND('Atividades Micro'!$A446=AZ$2,'Atividades Micro'!$L446&lt;&gt;""),'Atividades Micro'!$L446,"")</f>
        <v/>
      </c>
      <c r="BA394" s="21" t="str">
        <f>IF(AND('Atividades Micro'!$B446=BA$2,'Atividades Micro'!$K446&lt;&gt;""),'Atividades Micro'!$K446,"")</f>
        <v/>
      </c>
      <c r="BB394" s="21" t="str">
        <f>IF(AND('Atividades Micro'!$B446=BB$2,'Atividades Micro'!$L446&lt;&gt;""),'Atividades Micro'!$L446,"")</f>
        <v/>
      </c>
      <c r="BC394" s="21" t="str">
        <f>IF(AND('Atividades Micro'!$B446=BC$2,'Atividades Micro'!$G446="Macro",'Atividades Micro'!$K446&lt;&gt;""),'Atividades Micro'!$K446,"")</f>
        <v/>
      </c>
      <c r="BD394" s="21" t="str">
        <f>IF(AND('Atividades Micro'!$B446=BD$2,'Atividades Micro'!$G446="Macro",'Atividades Micro'!$K446&lt;&gt;""),'Atividades Micro'!$K446,"")</f>
        <v/>
      </c>
      <c r="BE394" s="21" t="str">
        <f>IF(AND('Atividades Micro'!$B446=BE$2,'Atividades Micro'!$G446="Macro",'Atividades Micro'!$K446&lt;&gt;""),'Atividades Micro'!$K446,"")</f>
        <v/>
      </c>
      <c r="BF394" s="21" t="str">
        <f>IF(AND('Atividades Micro'!$B446=BF$2,'Atividades Micro'!$G446="Macro",'Atividades Micro'!$K446&lt;&gt;""),'Atividades Micro'!$K446,"")</f>
        <v/>
      </c>
      <c r="BG394" s="21" t="str">
        <f>IF(AND('Atividades Micro'!$B446=BG$2,'Atividades Micro'!$G446="Macro",'Atividades Micro'!$K446&lt;&gt;""),'Atividades Micro'!$K446,"")</f>
        <v/>
      </c>
      <c r="BH394" s="21" t="str">
        <f>IF(AND('Atividades Micro'!$B446=BH$2,'Atividades Micro'!$G446="Macro",'Atividades Micro'!$K446&lt;&gt;""),'Atividades Micro'!$K446,"")</f>
        <v/>
      </c>
      <c r="BI394" s="21" t="str">
        <f>IF(AND('Atividades Micro'!$B446=BI$2,'Atividades Micro'!$G446="Macro",'Atividades Micro'!$K446&lt;&gt;""),'Atividades Micro'!$K446,"")</f>
        <v/>
      </c>
      <c r="BJ394" s="21" t="str">
        <f>IF(AND('Atividades Micro'!$B446=BJ$2,'Atividades Micro'!$G446="Macro",'Atividades Micro'!$K446&lt;&gt;""),'Atividades Micro'!$K446,"")</f>
        <v/>
      </c>
      <c r="BK394" s="21" t="str">
        <f>IF(AND('Atividades Micro'!$B446=BK$2,'Atividades Micro'!$G446="Macro",'Atividades Micro'!$K446&lt;&gt;""),'Atividades Micro'!$K446,"")</f>
        <v/>
      </c>
      <c r="BL394" s="21" t="str">
        <f>IF(AND('Atividades Micro'!$B446=BL$2,'Atividades Micro'!$G446="Macro",'Atividades Micro'!$K446&lt;&gt;""),'Atividades Micro'!$K446,"")</f>
        <v/>
      </c>
      <c r="BM394" s="21" t="str">
        <f>IF(AND('Atividades Micro'!$B446=BM$2,'Atividades Micro'!$G446="Macro",'Atividades Micro'!$K446&lt;&gt;""),'Atividades Micro'!$K446,"")</f>
        <v/>
      </c>
      <c r="BN394" s="21" t="str">
        <f>IF(AND('Atividades Micro'!$B446=BN$2,'Atividades Micro'!$G446="Macro",'Atividades Micro'!$K446&lt;&gt;""),'Atividades Micro'!$K446,"")</f>
        <v/>
      </c>
      <c r="BO394" s="21" t="str">
        <f>IF(AND('Atividades Micro'!$B446=BO$2,'Atividades Micro'!$G446="Macro",'Atividades Micro'!$K446&lt;&gt;""),'Atividades Micro'!$K446,"")</f>
        <v/>
      </c>
      <c r="BP394" s="21" t="str">
        <f>IF(AND('Atividades Micro'!$B446=BP$2,'Atividades Micro'!$G446="Macro",'Atividades Micro'!$K446&lt;&gt;""),'Atividades Micro'!$K446,"")</f>
        <v/>
      </c>
      <c r="BQ394" s="21" t="str">
        <f>IF(AND('Atividades Micro'!$B446=BQ$2,'Atividades Micro'!$G446="Macro",'Atividades Micro'!$K446&lt;&gt;""),'Atividades Micro'!$K446,"")</f>
        <v/>
      </c>
      <c r="BR394" s="21" t="str">
        <f>IF(AND('Atividades Micro'!$B446=BR$2,'Atividades Micro'!$G446="Macro",'Atividades Micro'!$K446&lt;&gt;""),'Atividades Micro'!$K446,"")</f>
        <v/>
      </c>
      <c r="BS394" s="21" t="str">
        <f>IF(AND('Atividades Micro'!$B446=BS$2,'Atividades Micro'!$G446="Macro",'Atividades Micro'!$K446&lt;&gt;""),'Atividades Micro'!$K446,"")</f>
        <v/>
      </c>
      <c r="BT394" s="21" t="str">
        <f>IF(AND('Atividades Micro'!$B446=BT$2,'Atividades Micro'!$G446="Macro",'Atividades Micro'!$K446&lt;&gt;""),'Atividades Micro'!$K446,"")</f>
        <v/>
      </c>
      <c r="BU394" s="21" t="str">
        <f>IF(AND('Atividades Micro'!$B446=BU$2,'Atividades Micro'!$G446="Macro",'Atividades Micro'!$K446&lt;&gt;""),'Atividades Micro'!$K446,"")</f>
        <v/>
      </c>
      <c r="BV394" s="21" t="str">
        <f>IF(AND('Atividades Micro'!$B446=BV$2,'Atividades Micro'!$G446="Macro",'Atividades Micro'!$K446&lt;&gt;""),'Atividades Micro'!$K446,"")</f>
        <v/>
      </c>
      <c r="BW394" s="21" t="str">
        <f>IF(AND('Atividades Micro'!$B446=BW$2,'Atividades Micro'!$G446="Macro",'Atividades Micro'!$K446&lt;&gt;""),'Atividades Micro'!$K446,"")</f>
        <v/>
      </c>
      <c r="BX394" s="21" t="str">
        <f>IF(AND('Atividades Micro'!$B446=BX$2,'Atividades Micro'!$G446="Macro",'Atividades Micro'!$K446&lt;&gt;""),'Atividades Micro'!$K446,"")</f>
        <v/>
      </c>
      <c r="BY394" s="21" t="str">
        <f>IF(AND('Atividades Micro'!$B446=BY$2,'Atividades Micro'!$G446="Macro",'Atividades Micro'!$K446&lt;&gt;""),'Atividades Micro'!$K446,"")</f>
        <v/>
      </c>
      <c r="BZ394" s="21" t="str">
        <f>IF(AND('Atividades Micro'!$B446=BZ$2,'Atividades Micro'!$G446="Macro",'Atividades Micro'!$K446&lt;&gt;""),'Atividades Micro'!$K446,"")</f>
        <v/>
      </c>
      <c r="CA394" s="21" t="str">
        <f>IF(AND('Atividades Micro'!$B446=CA$2,'Atividades Micro'!$G446="Macro",'Atividades Micro'!$K446&lt;&gt;""),'Atividades Micro'!$K446,"")</f>
        <v/>
      </c>
      <c r="CB394" s="21" t="str">
        <f>IF(AND('Atividades Micro'!$B446=CB$2,'Atividades Micro'!$G446="Macro",'Atividades Micro'!$K446&lt;&gt;""),'Atividades Micro'!$K446,"")</f>
        <v/>
      </c>
      <c r="CC394" s="21" t="str">
        <f>IF(AND('Atividades Micro'!$B446=CC$2,'Atividades Micro'!$G446="Macro",'Atividades Micro'!$K446&lt;&gt;""),'Atividades Micro'!$K446,"")</f>
        <v/>
      </c>
      <c r="CD394" s="21" t="str">
        <f>IF(AND('Atividades Micro'!$B446=CD$2,'Atividades Micro'!$G446="Micro",'Atividades Micro'!$K446&lt;&gt;""),'Atividades Micro'!$K446,"")</f>
        <v/>
      </c>
      <c r="CE394" s="21" t="str">
        <f>IF(AND('Atividades Micro'!$B446=CE$2,'Atividades Micro'!$G446="Micro",'Atividades Micro'!$K446&lt;&gt;""),'Atividades Micro'!$K446,"")</f>
        <v/>
      </c>
      <c r="CF394" s="21" t="str">
        <f>IF(AND('Atividades Micro'!$B446=CF$2,'Atividades Micro'!$G446="Micro",'Atividades Micro'!$K446&lt;&gt;""),'Atividades Micro'!$K446,"")</f>
        <v/>
      </c>
      <c r="CG394" s="21" t="str">
        <f>IF(AND('Atividades Micro'!$B446=CG$2,'Atividades Micro'!$G446="Micro",'Atividades Micro'!$K446&lt;&gt;""),'Atividades Micro'!$K446,"")</f>
        <v/>
      </c>
      <c r="CH394" s="21" t="str">
        <f>IF(AND('Atividades Micro'!$B446=CH$2,'Atividades Micro'!$G446="Micro",'Atividades Micro'!$K446&lt;&gt;""),'Atividades Micro'!$K446,"")</f>
        <v/>
      </c>
      <c r="CI394" s="21" t="str">
        <f>IF(AND('Atividades Micro'!$B446=CI$2,'Atividades Micro'!$G446="Micro",'Atividades Micro'!$K446&lt;&gt;""),'Atividades Micro'!$K446,"")</f>
        <v/>
      </c>
      <c r="CJ394" s="21" t="str">
        <f>IF(AND('Atividades Micro'!$B446=CJ$2,'Atividades Micro'!$G446="Micro",'Atividades Micro'!$K446&lt;&gt;""),'Atividades Micro'!$K446,"")</f>
        <v/>
      </c>
      <c r="CK394" s="21" t="str">
        <f>IF(AND('Atividades Micro'!$B446=CK$2,'Atividades Micro'!$G446="Micro",'Atividades Micro'!$K446&lt;&gt;""),'Atividades Micro'!$K446,"")</f>
        <v/>
      </c>
      <c r="CL394" s="21" t="str">
        <f>IF(AND('Atividades Micro'!$B446=CL$2,'Atividades Micro'!$G446="Micro",'Atividades Micro'!$K446&lt;&gt;""),'Atividades Micro'!$K446,"")</f>
        <v/>
      </c>
      <c r="CM394" s="21" t="str">
        <f>IF(AND('Atividades Micro'!$B446=CM$2,'Atividades Micro'!$G446="Micro",'Atividades Micro'!$K446&lt;&gt;""),'Atividades Micro'!$K446,"")</f>
        <v/>
      </c>
      <c r="CN394" s="21" t="str">
        <f>IF(AND('Atividades Micro'!$B446=CN$2,'Atividades Micro'!$G446="Micro",'Atividades Micro'!$K446&lt;&gt;""),'Atividades Micro'!$K446,"")</f>
        <v/>
      </c>
      <c r="CO394" s="21" t="str">
        <f>IF(AND('Atividades Micro'!$B446=CO$2,'Atividades Micro'!$G446="Micro",'Atividades Micro'!$K446&lt;&gt;""),'Atividades Micro'!$K446,"")</f>
        <v/>
      </c>
    </row>
    <row r="395" spans="1:93">
      <c r="A395" s="21" t="str">
        <f>IF(AND('Atividades Micro'!$A447=A$2,'Atividades Micro'!$K447&lt;&gt;""),'Atividades Micro'!$K447,"")</f>
        <v/>
      </c>
      <c r="B395" s="21" t="str">
        <f>IF(AND('Atividades Micro'!$A447=B$2,'Atividades Micro'!$L447&lt;&gt;""),'Atividades Micro'!$L447,"")</f>
        <v/>
      </c>
      <c r="C395" s="21" t="str">
        <f>IF(AND('Atividades Micro'!$A447=C$2,'Atividades Micro'!$K447&lt;&gt;""),'Atividades Micro'!$K447,"")</f>
        <v/>
      </c>
      <c r="D395" s="21" t="str">
        <f>IF(AND('Atividades Micro'!$A447=D$2,'Atividades Micro'!$L447&lt;&gt;""),'Atividades Micro'!$L447,"")</f>
        <v/>
      </c>
      <c r="E395" s="21" t="str">
        <f>IF(AND('Atividades Micro'!$A447=E$2,'Atividades Micro'!$K447&lt;&gt;""),'Atividades Micro'!$K447,"")</f>
        <v/>
      </c>
      <c r="F395" s="21" t="str">
        <f>IF(AND('Atividades Micro'!$A447=F$2,'Atividades Micro'!$L447&lt;&gt;""),'Atividades Micro'!$L447,"")</f>
        <v/>
      </c>
      <c r="G395" s="21" t="str">
        <f>IF(AND('Atividades Micro'!$A447=G$2,'Atividades Micro'!$K447&lt;&gt;""),'Atividades Micro'!$K447,"")</f>
        <v/>
      </c>
      <c r="H395" s="21" t="str">
        <f>IF(AND('Atividades Micro'!$A447=H$2,'Atividades Micro'!$L447&lt;&gt;""),'Atividades Micro'!$L447,"")</f>
        <v/>
      </c>
      <c r="I395" s="21" t="str">
        <f>IF(AND('Atividades Micro'!$A447=I$2,'Atividades Micro'!$K447&lt;&gt;""),'Atividades Micro'!$K447,"")</f>
        <v/>
      </c>
      <c r="J395" s="21" t="str">
        <f>IF(AND('Atividades Micro'!$A447=J$2,'Atividades Micro'!$L447&lt;&gt;""),'Atividades Micro'!$L447,"")</f>
        <v/>
      </c>
      <c r="K395" s="21" t="str">
        <f>IF(AND('Atividades Micro'!$B447=K$2,'Atividades Micro'!$K447&lt;&gt;""),'Atividades Micro'!$K447,"")</f>
        <v/>
      </c>
      <c r="L395" s="21" t="str">
        <f>IF(AND('Atividades Micro'!$B447=L$2,'Atividades Micro'!$L447&lt;&gt;""),'Atividades Micro'!$L447,"")</f>
        <v/>
      </c>
      <c r="M395" s="21" t="str">
        <f>IF(AND('Atividades Micro'!$B447=M$2,'Atividades Micro'!$K447&lt;&gt;""),'Atividades Micro'!$K447,"")</f>
        <v/>
      </c>
      <c r="N395" s="21" t="str">
        <f>IF(AND('Atividades Micro'!$B447=N$2,'Atividades Micro'!$L447&lt;&gt;""),'Atividades Micro'!$L447,"")</f>
        <v/>
      </c>
      <c r="O395" s="21" t="str">
        <f>IF(AND('Atividades Micro'!$A447=O$2,'Atividades Micro'!$K447&lt;&gt;""),'Atividades Micro'!$K447,"")</f>
        <v/>
      </c>
      <c r="P395" s="21" t="str">
        <f>IF(AND('Atividades Micro'!$A447=P$2,'Atividades Micro'!$L447&lt;&gt;""),'Atividades Micro'!$L447,"")</f>
        <v/>
      </c>
      <c r="Q395" s="21" t="str">
        <f>IF(AND('Atividades Micro'!$B447=Q$2,'Atividades Micro'!$K447&lt;&gt;""),'Atividades Micro'!$K447,"")</f>
        <v/>
      </c>
      <c r="R395" s="21" t="str">
        <f>IF(AND('Atividades Micro'!$B447=R$2,'Atividades Micro'!$L447&lt;&gt;""),'Atividades Micro'!$L447,"")</f>
        <v/>
      </c>
      <c r="S395" s="21" t="str">
        <f>IF(AND('Atividades Micro'!$A447=S$2,'Atividades Micro'!$K447&lt;&gt;""),'Atividades Micro'!$K447,"")</f>
        <v/>
      </c>
      <c r="T395" s="21" t="str">
        <f>IF(AND('Atividades Micro'!$A447=T$2,'Atividades Micro'!$L447&lt;&gt;""),'Atividades Micro'!$L447,"")</f>
        <v/>
      </c>
      <c r="U395" s="21" t="str">
        <f>IF(AND('Atividades Micro'!$B447=U$2,'Atividades Micro'!$K447&lt;&gt;""),'Atividades Micro'!$K447,"")</f>
        <v/>
      </c>
      <c r="V395" s="21" t="str">
        <f>IF(AND('Atividades Micro'!$B447=V$2,'Atividades Micro'!$L447&lt;&gt;""),'Atividades Micro'!$L447,"")</f>
        <v/>
      </c>
      <c r="W395" s="21" t="str">
        <f>IF(AND('Atividades Micro'!$B447=W$2,'Atividades Micro'!$K447&lt;&gt;""),'Atividades Micro'!$K447,"")</f>
        <v/>
      </c>
      <c r="X395" s="21" t="str">
        <f>IF(AND('Atividades Micro'!$B447=X$2,'Atividades Micro'!$L447&lt;&gt;""),'Atividades Micro'!$L447,"")</f>
        <v/>
      </c>
      <c r="Y395" s="21" t="str">
        <f>IF(AND('Atividades Micro'!$A447=Y$2,'Atividades Micro'!$K447&lt;&gt;""),'Atividades Micro'!$K447,"")</f>
        <v/>
      </c>
      <c r="Z395" s="21" t="str">
        <f>IF(AND('Atividades Micro'!$A447=Z$2,'Atividades Micro'!$L447&lt;&gt;""),'Atividades Micro'!$L447,"")</f>
        <v/>
      </c>
      <c r="AA395" s="21" t="str">
        <f>IF(AND('Atividades Micro'!$B447=AA$2,'Atividades Micro'!$K447&lt;&gt;""),'Atividades Micro'!$K447,"")</f>
        <v/>
      </c>
      <c r="AB395" s="21" t="str">
        <f>IF(AND('Atividades Micro'!$B447=AB$2,'Atividades Micro'!$L447&lt;&gt;""),'Atividades Micro'!$L447,"")</f>
        <v/>
      </c>
      <c r="AC395" s="21" t="str">
        <f>IF(AND('Atividades Micro'!$B447=AC$2,'Atividades Micro'!$K447&lt;&gt;""),'Atividades Micro'!$K447,"")</f>
        <v/>
      </c>
      <c r="AD395" s="21" t="str">
        <f>IF(AND('Atividades Micro'!$B447=AD$2,'Atividades Micro'!$L447&lt;&gt;""),'Atividades Micro'!$L447,"")</f>
        <v/>
      </c>
      <c r="AE395" s="21" t="str">
        <f>IF(AND('Atividades Micro'!$A447=AE$2,'Atividades Micro'!$K447&lt;&gt;""),'Atividades Micro'!$K447,"")</f>
        <v/>
      </c>
      <c r="AF395" s="21" t="str">
        <f>IF(AND('Atividades Micro'!$A447=AF$2,'Atividades Micro'!$L447&lt;&gt;""),'Atividades Micro'!$L447,"")</f>
        <v/>
      </c>
      <c r="AG395" s="21" t="str">
        <f>IF(AND('Atividades Micro'!$B447=AG$2,'Atividades Micro'!$K447&lt;&gt;""),'Atividades Micro'!$K447,"")</f>
        <v/>
      </c>
      <c r="AH395" s="21" t="str">
        <f>IF(AND('Atividades Micro'!$B447=AH$2,'Atividades Micro'!$L447&lt;&gt;""),'Atividades Micro'!$L447,"")</f>
        <v/>
      </c>
      <c r="AI395" s="21" t="str">
        <f>IF(AND('Atividades Micro'!$B447=AI$2,'Atividades Micro'!$K447&lt;&gt;""),'Atividades Micro'!$K447,"")</f>
        <v/>
      </c>
      <c r="AJ395" s="21" t="str">
        <f>IF(AND('Atividades Micro'!$B447=AJ$2,'Atividades Micro'!$L447&lt;&gt;""),'Atividades Micro'!$L447,"")</f>
        <v/>
      </c>
      <c r="AK395" s="21" t="str">
        <f>IF(AND('Atividades Micro'!$A447=AK$2,'Atividades Micro'!$K447&lt;&gt;""),'Atividades Micro'!$K447,"")</f>
        <v/>
      </c>
      <c r="AL395" s="21" t="str">
        <f>IF(AND('Atividades Micro'!$A447=AL$2,'Atividades Micro'!$L447&lt;&gt;""),'Atividades Micro'!$L447,"")</f>
        <v/>
      </c>
      <c r="AM395" s="21" t="str">
        <f>IF(AND('Atividades Micro'!$B447=AM$2,'Atividades Micro'!$K447&lt;&gt;""),'Atividades Micro'!$K447,"")</f>
        <v/>
      </c>
      <c r="AN395" s="21" t="str">
        <f>IF(AND('Atividades Micro'!$B447=AN$2,'Atividades Micro'!$L447&lt;&gt;""),'Atividades Micro'!$L447,"")</f>
        <v/>
      </c>
      <c r="AO395" s="21" t="str">
        <f>IF(AND('Atividades Micro'!$B447=AO$2,'Atividades Micro'!$K447&lt;&gt;""),'Atividades Micro'!$K447,"")</f>
        <v/>
      </c>
      <c r="AP395" s="21" t="str">
        <f>IF(AND('Atividades Micro'!$B447=AP$2,'Atividades Micro'!$L447&lt;&gt;""),'Atividades Micro'!$L447,"")</f>
        <v/>
      </c>
      <c r="AQ395" s="21" t="str">
        <f>IF(AND('Atividades Micro'!$A447=AQ$2,'Atividades Micro'!$K447&lt;&gt;""),'Atividades Micro'!$K447,"")</f>
        <v/>
      </c>
      <c r="AR395" s="21" t="str">
        <f>IF(AND('Atividades Micro'!$A447=AR$2,'Atividades Micro'!$L447&lt;&gt;""),'Atividades Micro'!$L447,"")</f>
        <v/>
      </c>
      <c r="AS395" s="21" t="str">
        <f>IF(AND('Atividades Micro'!$B447=AS$2,'Atividades Micro'!$K447&lt;&gt;""),'Atividades Micro'!$K447,"")</f>
        <v/>
      </c>
      <c r="AT395" s="21" t="str">
        <f>IF(AND('Atividades Micro'!$B447=AT$2,'Atividades Micro'!$L447&lt;&gt;""),'Atividades Micro'!$L447,"")</f>
        <v/>
      </c>
      <c r="AU395" s="21" t="str">
        <f>IF(AND('Atividades Micro'!$A447=AU$2,'Atividades Micro'!$K447&lt;&gt;""),'Atividades Micro'!$K447,"")</f>
        <v/>
      </c>
      <c r="AV395" s="21" t="str">
        <f>IF(AND('Atividades Micro'!$A447=AV$2,'Atividades Micro'!$L447&lt;&gt;""),'Atividades Micro'!$L447,"")</f>
        <v/>
      </c>
      <c r="AW395" s="21" t="str">
        <f>IF(AND('Atividades Micro'!$B447=AW$2,'Atividades Micro'!$K447&lt;&gt;""),'Atividades Micro'!$K447,"")</f>
        <v/>
      </c>
      <c r="AX395" s="21" t="str">
        <f>IF(AND('Atividades Micro'!$B447=AX$2,'Atividades Micro'!$L447&lt;&gt;""),'Atividades Micro'!$L447,"")</f>
        <v/>
      </c>
      <c r="AY395" s="21" t="str">
        <f>IF(AND('Atividades Micro'!$A447=AY$2,'Atividades Micro'!$K447&lt;&gt;""),'Atividades Micro'!$K447,"")</f>
        <v/>
      </c>
      <c r="AZ395" s="21" t="str">
        <f>IF(AND('Atividades Micro'!$A447=AZ$2,'Atividades Micro'!$L447&lt;&gt;""),'Atividades Micro'!$L447,"")</f>
        <v/>
      </c>
      <c r="BA395" s="21" t="str">
        <f>IF(AND('Atividades Micro'!$B447=BA$2,'Atividades Micro'!$K447&lt;&gt;""),'Atividades Micro'!$K447,"")</f>
        <v/>
      </c>
      <c r="BB395" s="21" t="str">
        <f>IF(AND('Atividades Micro'!$B447=BB$2,'Atividades Micro'!$L447&lt;&gt;""),'Atividades Micro'!$L447,"")</f>
        <v/>
      </c>
      <c r="BC395" s="21" t="str">
        <f>IF(AND('Atividades Micro'!$B447=BC$2,'Atividades Micro'!$G447="Macro",'Atividades Micro'!$K447&lt;&gt;""),'Atividades Micro'!$K447,"")</f>
        <v/>
      </c>
      <c r="BD395" s="21" t="str">
        <f>IF(AND('Atividades Micro'!$B447=BD$2,'Atividades Micro'!$G447="Macro",'Atividades Micro'!$K447&lt;&gt;""),'Atividades Micro'!$K447,"")</f>
        <v/>
      </c>
      <c r="BE395" s="21" t="str">
        <f>IF(AND('Atividades Micro'!$B447=BE$2,'Atividades Micro'!$G447="Macro",'Atividades Micro'!$K447&lt;&gt;""),'Atividades Micro'!$K447,"")</f>
        <v/>
      </c>
      <c r="BF395" s="21" t="str">
        <f>IF(AND('Atividades Micro'!$B447=BF$2,'Atividades Micro'!$G447="Macro",'Atividades Micro'!$K447&lt;&gt;""),'Atividades Micro'!$K447,"")</f>
        <v/>
      </c>
      <c r="BG395" s="21" t="str">
        <f>IF(AND('Atividades Micro'!$B447=BG$2,'Atividades Micro'!$G447="Macro",'Atividades Micro'!$K447&lt;&gt;""),'Atividades Micro'!$K447,"")</f>
        <v/>
      </c>
      <c r="BH395" s="21" t="str">
        <f>IF(AND('Atividades Micro'!$B447=BH$2,'Atividades Micro'!$G447="Macro",'Atividades Micro'!$K447&lt;&gt;""),'Atividades Micro'!$K447,"")</f>
        <v/>
      </c>
      <c r="BI395" s="21" t="str">
        <f>IF(AND('Atividades Micro'!$B447=BI$2,'Atividades Micro'!$G447="Macro",'Atividades Micro'!$K447&lt;&gt;""),'Atividades Micro'!$K447,"")</f>
        <v/>
      </c>
      <c r="BJ395" s="21" t="str">
        <f>IF(AND('Atividades Micro'!$B447=BJ$2,'Atividades Micro'!$G447="Macro",'Atividades Micro'!$K447&lt;&gt;""),'Atividades Micro'!$K447,"")</f>
        <v/>
      </c>
      <c r="BK395" s="21" t="str">
        <f>IF(AND('Atividades Micro'!$B447=BK$2,'Atividades Micro'!$G447="Macro",'Atividades Micro'!$K447&lt;&gt;""),'Atividades Micro'!$K447,"")</f>
        <v/>
      </c>
      <c r="BL395" s="21" t="str">
        <f>IF(AND('Atividades Micro'!$B447=BL$2,'Atividades Micro'!$G447="Macro",'Atividades Micro'!$K447&lt;&gt;""),'Atividades Micro'!$K447,"")</f>
        <v/>
      </c>
      <c r="BM395" s="21" t="str">
        <f>IF(AND('Atividades Micro'!$B447=BM$2,'Atividades Micro'!$G447="Macro",'Atividades Micro'!$K447&lt;&gt;""),'Atividades Micro'!$K447,"")</f>
        <v/>
      </c>
      <c r="BN395" s="21" t="str">
        <f>IF(AND('Atividades Micro'!$B447=BN$2,'Atividades Micro'!$G447="Macro",'Atividades Micro'!$K447&lt;&gt;""),'Atividades Micro'!$K447,"")</f>
        <v/>
      </c>
      <c r="BO395" s="21" t="str">
        <f>IF(AND('Atividades Micro'!$B447=BO$2,'Atividades Micro'!$G447="Macro",'Atividades Micro'!$K447&lt;&gt;""),'Atividades Micro'!$K447,"")</f>
        <v/>
      </c>
      <c r="BP395" s="21" t="str">
        <f>IF(AND('Atividades Micro'!$B447=BP$2,'Atividades Micro'!$G447="Macro",'Atividades Micro'!$K447&lt;&gt;""),'Atividades Micro'!$K447,"")</f>
        <v/>
      </c>
      <c r="BQ395" s="21" t="str">
        <f>IF(AND('Atividades Micro'!$B447=BQ$2,'Atividades Micro'!$G447="Macro",'Atividades Micro'!$K447&lt;&gt;""),'Atividades Micro'!$K447,"")</f>
        <v/>
      </c>
      <c r="BR395" s="21" t="str">
        <f>IF(AND('Atividades Micro'!$B447=BR$2,'Atividades Micro'!$G447="Macro",'Atividades Micro'!$K447&lt;&gt;""),'Atividades Micro'!$K447,"")</f>
        <v/>
      </c>
      <c r="BS395" s="21" t="str">
        <f>IF(AND('Atividades Micro'!$B447=BS$2,'Atividades Micro'!$G447="Macro",'Atividades Micro'!$K447&lt;&gt;""),'Atividades Micro'!$K447,"")</f>
        <v/>
      </c>
      <c r="BT395" s="21" t="str">
        <f>IF(AND('Atividades Micro'!$B447=BT$2,'Atividades Micro'!$G447="Macro",'Atividades Micro'!$K447&lt;&gt;""),'Atividades Micro'!$K447,"")</f>
        <v/>
      </c>
      <c r="BU395" s="21" t="str">
        <f>IF(AND('Atividades Micro'!$B447=BU$2,'Atividades Micro'!$G447="Macro",'Atividades Micro'!$K447&lt;&gt;""),'Atividades Micro'!$K447,"")</f>
        <v/>
      </c>
      <c r="BV395" s="21" t="str">
        <f>IF(AND('Atividades Micro'!$B447=BV$2,'Atividades Micro'!$G447="Macro",'Atividades Micro'!$K447&lt;&gt;""),'Atividades Micro'!$K447,"")</f>
        <v/>
      </c>
      <c r="BW395" s="21" t="str">
        <f>IF(AND('Atividades Micro'!$B447=BW$2,'Atividades Micro'!$G447="Macro",'Atividades Micro'!$K447&lt;&gt;""),'Atividades Micro'!$K447,"")</f>
        <v/>
      </c>
      <c r="BX395" s="21" t="str">
        <f>IF(AND('Atividades Micro'!$B447=BX$2,'Atividades Micro'!$G447="Macro",'Atividades Micro'!$K447&lt;&gt;""),'Atividades Micro'!$K447,"")</f>
        <v/>
      </c>
      <c r="BY395" s="21" t="str">
        <f>IF(AND('Atividades Micro'!$B447=BY$2,'Atividades Micro'!$G447="Macro",'Atividades Micro'!$K447&lt;&gt;""),'Atividades Micro'!$K447,"")</f>
        <v/>
      </c>
      <c r="BZ395" s="21" t="str">
        <f>IF(AND('Atividades Micro'!$B447=BZ$2,'Atividades Micro'!$G447="Macro",'Atividades Micro'!$K447&lt;&gt;""),'Atividades Micro'!$K447,"")</f>
        <v/>
      </c>
      <c r="CA395" s="21" t="str">
        <f>IF(AND('Atividades Micro'!$B447=CA$2,'Atividades Micro'!$G447="Macro",'Atividades Micro'!$K447&lt;&gt;""),'Atividades Micro'!$K447,"")</f>
        <v/>
      </c>
      <c r="CB395" s="21" t="str">
        <f>IF(AND('Atividades Micro'!$B447=CB$2,'Atividades Micro'!$G447="Macro",'Atividades Micro'!$K447&lt;&gt;""),'Atividades Micro'!$K447,"")</f>
        <v/>
      </c>
      <c r="CC395" s="21" t="str">
        <f>IF(AND('Atividades Micro'!$B447=CC$2,'Atividades Micro'!$G447="Macro",'Atividades Micro'!$K447&lt;&gt;""),'Atividades Micro'!$K447,"")</f>
        <v/>
      </c>
      <c r="CD395" s="21" t="str">
        <f>IF(AND('Atividades Micro'!$B447=CD$2,'Atividades Micro'!$G447="Micro",'Atividades Micro'!$K447&lt;&gt;""),'Atividades Micro'!$K447,"")</f>
        <v/>
      </c>
      <c r="CE395" s="21" t="str">
        <f>IF(AND('Atividades Micro'!$B447=CE$2,'Atividades Micro'!$G447="Micro",'Atividades Micro'!$K447&lt;&gt;""),'Atividades Micro'!$K447,"")</f>
        <v/>
      </c>
      <c r="CF395" s="21" t="str">
        <f>IF(AND('Atividades Micro'!$B447=CF$2,'Atividades Micro'!$G447="Micro",'Atividades Micro'!$K447&lt;&gt;""),'Atividades Micro'!$K447,"")</f>
        <v/>
      </c>
      <c r="CG395" s="21" t="str">
        <f>IF(AND('Atividades Micro'!$B447=CG$2,'Atividades Micro'!$G447="Micro",'Atividades Micro'!$K447&lt;&gt;""),'Atividades Micro'!$K447,"")</f>
        <v/>
      </c>
      <c r="CH395" s="21" t="str">
        <f>IF(AND('Atividades Micro'!$B447=CH$2,'Atividades Micro'!$G447="Micro",'Atividades Micro'!$K447&lt;&gt;""),'Atividades Micro'!$K447,"")</f>
        <v/>
      </c>
      <c r="CI395" s="21" t="str">
        <f>IF(AND('Atividades Micro'!$B447=CI$2,'Atividades Micro'!$G447="Micro",'Atividades Micro'!$K447&lt;&gt;""),'Atividades Micro'!$K447,"")</f>
        <v/>
      </c>
      <c r="CJ395" s="21" t="str">
        <f>IF(AND('Atividades Micro'!$B447=CJ$2,'Atividades Micro'!$G447="Micro",'Atividades Micro'!$K447&lt;&gt;""),'Atividades Micro'!$K447,"")</f>
        <v/>
      </c>
      <c r="CK395" s="21" t="str">
        <f>IF(AND('Atividades Micro'!$B447=CK$2,'Atividades Micro'!$G447="Micro",'Atividades Micro'!$K447&lt;&gt;""),'Atividades Micro'!$K447,"")</f>
        <v/>
      </c>
      <c r="CL395" s="21" t="str">
        <f>IF(AND('Atividades Micro'!$B447=CL$2,'Atividades Micro'!$G447="Micro",'Atividades Micro'!$K447&lt;&gt;""),'Atividades Micro'!$K447,"")</f>
        <v/>
      </c>
      <c r="CM395" s="21" t="str">
        <f>IF(AND('Atividades Micro'!$B447=CM$2,'Atividades Micro'!$G447="Micro",'Atividades Micro'!$K447&lt;&gt;""),'Atividades Micro'!$K447,"")</f>
        <v/>
      </c>
      <c r="CN395" s="21" t="str">
        <f>IF(AND('Atividades Micro'!$B447=CN$2,'Atividades Micro'!$G447="Micro",'Atividades Micro'!$K447&lt;&gt;""),'Atividades Micro'!$K447,"")</f>
        <v/>
      </c>
      <c r="CO395" s="21" t="str">
        <f>IF(AND('Atividades Micro'!$B447=CO$2,'Atividades Micro'!$G447="Micro",'Atividades Micro'!$K447&lt;&gt;""),'Atividades Micro'!$K447,"")</f>
        <v/>
      </c>
    </row>
    <row r="396" spans="1:93">
      <c r="A396" s="21" t="str">
        <f>IF(AND('Atividades Micro'!$A448=A$2,'Atividades Micro'!$K448&lt;&gt;""),'Atividades Micro'!$K448,"")</f>
        <v/>
      </c>
      <c r="B396" s="21" t="str">
        <f>IF(AND('Atividades Micro'!$A448=B$2,'Atividades Micro'!$L448&lt;&gt;""),'Atividades Micro'!$L448,"")</f>
        <v/>
      </c>
      <c r="C396" s="21" t="str">
        <f>IF(AND('Atividades Micro'!$A448=C$2,'Atividades Micro'!$K448&lt;&gt;""),'Atividades Micro'!$K448,"")</f>
        <v/>
      </c>
      <c r="D396" s="21" t="str">
        <f>IF(AND('Atividades Micro'!$A448=D$2,'Atividades Micro'!$L448&lt;&gt;""),'Atividades Micro'!$L448,"")</f>
        <v/>
      </c>
      <c r="E396" s="21" t="str">
        <f>IF(AND('Atividades Micro'!$A448=E$2,'Atividades Micro'!$K448&lt;&gt;""),'Atividades Micro'!$K448,"")</f>
        <v/>
      </c>
      <c r="F396" s="21" t="str">
        <f>IF(AND('Atividades Micro'!$A448=F$2,'Atividades Micro'!$L448&lt;&gt;""),'Atividades Micro'!$L448,"")</f>
        <v/>
      </c>
      <c r="G396" s="21" t="str">
        <f>IF(AND('Atividades Micro'!$A448=G$2,'Atividades Micro'!$K448&lt;&gt;""),'Atividades Micro'!$K448,"")</f>
        <v/>
      </c>
      <c r="H396" s="21" t="str">
        <f>IF(AND('Atividades Micro'!$A448=H$2,'Atividades Micro'!$L448&lt;&gt;""),'Atividades Micro'!$L448,"")</f>
        <v/>
      </c>
      <c r="I396" s="21" t="str">
        <f>IF(AND('Atividades Micro'!$A448=I$2,'Atividades Micro'!$K448&lt;&gt;""),'Atividades Micro'!$K448,"")</f>
        <v/>
      </c>
      <c r="J396" s="21" t="str">
        <f>IF(AND('Atividades Micro'!$A448=J$2,'Atividades Micro'!$L448&lt;&gt;""),'Atividades Micro'!$L448,"")</f>
        <v/>
      </c>
      <c r="K396" s="21" t="str">
        <f>IF(AND('Atividades Micro'!$B448=K$2,'Atividades Micro'!$K448&lt;&gt;""),'Atividades Micro'!$K448,"")</f>
        <v/>
      </c>
      <c r="L396" s="21" t="str">
        <f>IF(AND('Atividades Micro'!$B448=L$2,'Atividades Micro'!$L448&lt;&gt;""),'Atividades Micro'!$L448,"")</f>
        <v/>
      </c>
      <c r="M396" s="21" t="str">
        <f>IF(AND('Atividades Micro'!$B448=M$2,'Atividades Micro'!$K448&lt;&gt;""),'Atividades Micro'!$K448,"")</f>
        <v/>
      </c>
      <c r="N396" s="21" t="str">
        <f>IF(AND('Atividades Micro'!$B448=N$2,'Atividades Micro'!$L448&lt;&gt;""),'Atividades Micro'!$L448,"")</f>
        <v/>
      </c>
      <c r="O396" s="21" t="str">
        <f>IF(AND('Atividades Micro'!$A448=O$2,'Atividades Micro'!$K448&lt;&gt;""),'Atividades Micro'!$K448,"")</f>
        <v/>
      </c>
      <c r="P396" s="21" t="str">
        <f>IF(AND('Atividades Micro'!$A448=P$2,'Atividades Micro'!$L448&lt;&gt;""),'Atividades Micro'!$L448,"")</f>
        <v/>
      </c>
      <c r="Q396" s="21" t="str">
        <f>IF(AND('Atividades Micro'!$B448=Q$2,'Atividades Micro'!$K448&lt;&gt;""),'Atividades Micro'!$K448,"")</f>
        <v/>
      </c>
      <c r="R396" s="21" t="str">
        <f>IF(AND('Atividades Micro'!$B448=R$2,'Atividades Micro'!$L448&lt;&gt;""),'Atividades Micro'!$L448,"")</f>
        <v/>
      </c>
      <c r="S396" s="21" t="str">
        <f>IF(AND('Atividades Micro'!$A448=S$2,'Atividades Micro'!$K448&lt;&gt;""),'Atividades Micro'!$K448,"")</f>
        <v/>
      </c>
      <c r="T396" s="21" t="str">
        <f>IF(AND('Atividades Micro'!$A448=T$2,'Atividades Micro'!$L448&lt;&gt;""),'Atividades Micro'!$L448,"")</f>
        <v/>
      </c>
      <c r="U396" s="21" t="str">
        <f>IF(AND('Atividades Micro'!$B448=U$2,'Atividades Micro'!$K448&lt;&gt;""),'Atividades Micro'!$K448,"")</f>
        <v/>
      </c>
      <c r="V396" s="21" t="str">
        <f>IF(AND('Atividades Micro'!$B448=V$2,'Atividades Micro'!$L448&lt;&gt;""),'Atividades Micro'!$L448,"")</f>
        <v/>
      </c>
      <c r="W396" s="21" t="str">
        <f>IF(AND('Atividades Micro'!$B448=W$2,'Atividades Micro'!$K448&lt;&gt;""),'Atividades Micro'!$K448,"")</f>
        <v/>
      </c>
      <c r="X396" s="21" t="str">
        <f>IF(AND('Atividades Micro'!$B448=X$2,'Atividades Micro'!$L448&lt;&gt;""),'Atividades Micro'!$L448,"")</f>
        <v/>
      </c>
      <c r="Y396" s="21" t="str">
        <f>IF(AND('Atividades Micro'!$A448=Y$2,'Atividades Micro'!$K448&lt;&gt;""),'Atividades Micro'!$K448,"")</f>
        <v/>
      </c>
      <c r="Z396" s="21" t="str">
        <f>IF(AND('Atividades Micro'!$A448=Z$2,'Atividades Micro'!$L448&lt;&gt;""),'Atividades Micro'!$L448,"")</f>
        <v/>
      </c>
      <c r="AA396" s="21" t="str">
        <f>IF(AND('Atividades Micro'!$B448=AA$2,'Atividades Micro'!$K448&lt;&gt;""),'Atividades Micro'!$K448,"")</f>
        <v/>
      </c>
      <c r="AB396" s="21" t="str">
        <f>IF(AND('Atividades Micro'!$B448=AB$2,'Atividades Micro'!$L448&lt;&gt;""),'Atividades Micro'!$L448,"")</f>
        <v/>
      </c>
      <c r="AC396" s="21" t="str">
        <f>IF(AND('Atividades Micro'!$B448=AC$2,'Atividades Micro'!$K448&lt;&gt;""),'Atividades Micro'!$K448,"")</f>
        <v/>
      </c>
      <c r="AD396" s="21" t="str">
        <f>IF(AND('Atividades Micro'!$B448=AD$2,'Atividades Micro'!$L448&lt;&gt;""),'Atividades Micro'!$L448,"")</f>
        <v/>
      </c>
      <c r="AE396" s="21" t="str">
        <f>IF(AND('Atividades Micro'!$A448=AE$2,'Atividades Micro'!$K448&lt;&gt;""),'Atividades Micro'!$K448,"")</f>
        <v/>
      </c>
      <c r="AF396" s="21" t="str">
        <f>IF(AND('Atividades Micro'!$A448=AF$2,'Atividades Micro'!$L448&lt;&gt;""),'Atividades Micro'!$L448,"")</f>
        <v/>
      </c>
      <c r="AG396" s="21" t="str">
        <f>IF(AND('Atividades Micro'!$B448=AG$2,'Atividades Micro'!$K448&lt;&gt;""),'Atividades Micro'!$K448,"")</f>
        <v/>
      </c>
      <c r="AH396" s="21" t="str">
        <f>IF(AND('Atividades Micro'!$B448=AH$2,'Atividades Micro'!$L448&lt;&gt;""),'Atividades Micro'!$L448,"")</f>
        <v/>
      </c>
      <c r="AI396" s="21" t="str">
        <f>IF(AND('Atividades Micro'!$B448=AI$2,'Atividades Micro'!$K448&lt;&gt;""),'Atividades Micro'!$K448,"")</f>
        <v/>
      </c>
      <c r="AJ396" s="21" t="str">
        <f>IF(AND('Atividades Micro'!$B448=AJ$2,'Atividades Micro'!$L448&lt;&gt;""),'Atividades Micro'!$L448,"")</f>
        <v/>
      </c>
      <c r="AK396" s="21" t="str">
        <f>IF(AND('Atividades Micro'!$A448=AK$2,'Atividades Micro'!$K448&lt;&gt;""),'Atividades Micro'!$K448,"")</f>
        <v/>
      </c>
      <c r="AL396" s="21" t="str">
        <f>IF(AND('Atividades Micro'!$A448=AL$2,'Atividades Micro'!$L448&lt;&gt;""),'Atividades Micro'!$L448,"")</f>
        <v/>
      </c>
      <c r="AM396" s="21" t="str">
        <f>IF(AND('Atividades Micro'!$B448=AM$2,'Atividades Micro'!$K448&lt;&gt;""),'Atividades Micro'!$K448,"")</f>
        <v/>
      </c>
      <c r="AN396" s="21" t="str">
        <f>IF(AND('Atividades Micro'!$B448=AN$2,'Atividades Micro'!$L448&lt;&gt;""),'Atividades Micro'!$L448,"")</f>
        <v/>
      </c>
      <c r="AO396" s="21" t="str">
        <f>IF(AND('Atividades Micro'!$B448=AO$2,'Atividades Micro'!$K448&lt;&gt;""),'Atividades Micro'!$K448,"")</f>
        <v/>
      </c>
      <c r="AP396" s="21" t="str">
        <f>IF(AND('Atividades Micro'!$B448=AP$2,'Atividades Micro'!$L448&lt;&gt;""),'Atividades Micro'!$L448,"")</f>
        <v/>
      </c>
      <c r="AQ396" s="21" t="str">
        <f>IF(AND('Atividades Micro'!$A448=AQ$2,'Atividades Micro'!$K448&lt;&gt;""),'Atividades Micro'!$K448,"")</f>
        <v/>
      </c>
      <c r="AR396" s="21" t="str">
        <f>IF(AND('Atividades Micro'!$A448=AR$2,'Atividades Micro'!$L448&lt;&gt;""),'Atividades Micro'!$L448,"")</f>
        <v/>
      </c>
      <c r="AS396" s="21" t="str">
        <f>IF(AND('Atividades Micro'!$B448=AS$2,'Atividades Micro'!$K448&lt;&gt;""),'Atividades Micro'!$K448,"")</f>
        <v/>
      </c>
      <c r="AT396" s="21" t="str">
        <f>IF(AND('Atividades Micro'!$B448=AT$2,'Atividades Micro'!$L448&lt;&gt;""),'Atividades Micro'!$L448,"")</f>
        <v/>
      </c>
      <c r="AU396" s="21" t="str">
        <f>IF(AND('Atividades Micro'!$A448=AU$2,'Atividades Micro'!$K448&lt;&gt;""),'Atividades Micro'!$K448,"")</f>
        <v/>
      </c>
      <c r="AV396" s="21" t="str">
        <f>IF(AND('Atividades Micro'!$A448=AV$2,'Atividades Micro'!$L448&lt;&gt;""),'Atividades Micro'!$L448,"")</f>
        <v/>
      </c>
      <c r="AW396" s="21" t="str">
        <f>IF(AND('Atividades Micro'!$B448=AW$2,'Atividades Micro'!$K448&lt;&gt;""),'Atividades Micro'!$K448,"")</f>
        <v/>
      </c>
      <c r="AX396" s="21" t="str">
        <f>IF(AND('Atividades Micro'!$B448=AX$2,'Atividades Micro'!$L448&lt;&gt;""),'Atividades Micro'!$L448,"")</f>
        <v/>
      </c>
      <c r="AY396" s="21" t="str">
        <f>IF(AND('Atividades Micro'!$A448=AY$2,'Atividades Micro'!$K448&lt;&gt;""),'Atividades Micro'!$K448,"")</f>
        <v/>
      </c>
      <c r="AZ396" s="21" t="str">
        <f>IF(AND('Atividades Micro'!$A448=AZ$2,'Atividades Micro'!$L448&lt;&gt;""),'Atividades Micro'!$L448,"")</f>
        <v/>
      </c>
      <c r="BA396" s="21" t="str">
        <f>IF(AND('Atividades Micro'!$B448=BA$2,'Atividades Micro'!$K448&lt;&gt;""),'Atividades Micro'!$K448,"")</f>
        <v/>
      </c>
      <c r="BB396" s="21" t="str">
        <f>IF(AND('Atividades Micro'!$B448=BB$2,'Atividades Micro'!$L448&lt;&gt;""),'Atividades Micro'!$L448,"")</f>
        <v/>
      </c>
      <c r="BC396" s="21" t="str">
        <f>IF(AND('Atividades Micro'!$B448=BC$2,'Atividades Micro'!$G448="Macro",'Atividades Micro'!$K448&lt;&gt;""),'Atividades Micro'!$K448,"")</f>
        <v/>
      </c>
      <c r="BD396" s="21" t="str">
        <f>IF(AND('Atividades Micro'!$B448=BD$2,'Atividades Micro'!$G448="Macro",'Atividades Micro'!$K448&lt;&gt;""),'Atividades Micro'!$K448,"")</f>
        <v/>
      </c>
      <c r="BE396" s="21" t="str">
        <f>IF(AND('Atividades Micro'!$B448=BE$2,'Atividades Micro'!$G448="Macro",'Atividades Micro'!$K448&lt;&gt;""),'Atividades Micro'!$K448,"")</f>
        <v/>
      </c>
      <c r="BF396" s="21" t="str">
        <f>IF(AND('Atividades Micro'!$B448=BF$2,'Atividades Micro'!$G448="Macro",'Atividades Micro'!$K448&lt;&gt;""),'Atividades Micro'!$K448,"")</f>
        <v/>
      </c>
      <c r="BG396" s="21" t="str">
        <f>IF(AND('Atividades Micro'!$B448=BG$2,'Atividades Micro'!$G448="Macro",'Atividades Micro'!$K448&lt;&gt;""),'Atividades Micro'!$K448,"")</f>
        <v/>
      </c>
      <c r="BH396" s="21" t="str">
        <f>IF(AND('Atividades Micro'!$B448=BH$2,'Atividades Micro'!$G448="Macro",'Atividades Micro'!$K448&lt;&gt;""),'Atividades Micro'!$K448,"")</f>
        <v/>
      </c>
      <c r="BI396" s="21" t="str">
        <f>IF(AND('Atividades Micro'!$B448=BI$2,'Atividades Micro'!$G448="Macro",'Atividades Micro'!$K448&lt;&gt;""),'Atividades Micro'!$K448,"")</f>
        <v/>
      </c>
      <c r="BJ396" s="21" t="str">
        <f>IF(AND('Atividades Micro'!$B448=BJ$2,'Atividades Micro'!$G448="Macro",'Atividades Micro'!$K448&lt;&gt;""),'Atividades Micro'!$K448,"")</f>
        <v/>
      </c>
      <c r="BK396" s="21" t="str">
        <f>IF(AND('Atividades Micro'!$B448=BK$2,'Atividades Micro'!$G448="Macro",'Atividades Micro'!$K448&lt;&gt;""),'Atividades Micro'!$K448,"")</f>
        <v/>
      </c>
      <c r="BL396" s="21" t="str">
        <f>IF(AND('Atividades Micro'!$B448=BL$2,'Atividades Micro'!$G448="Macro",'Atividades Micro'!$K448&lt;&gt;""),'Atividades Micro'!$K448,"")</f>
        <v/>
      </c>
      <c r="BM396" s="21" t="str">
        <f>IF(AND('Atividades Micro'!$B448=BM$2,'Atividades Micro'!$G448="Macro",'Atividades Micro'!$K448&lt;&gt;""),'Atividades Micro'!$K448,"")</f>
        <v/>
      </c>
      <c r="BN396" s="21" t="str">
        <f>IF(AND('Atividades Micro'!$B448=BN$2,'Atividades Micro'!$G448="Macro",'Atividades Micro'!$K448&lt;&gt;""),'Atividades Micro'!$K448,"")</f>
        <v/>
      </c>
      <c r="BO396" s="21" t="str">
        <f>IF(AND('Atividades Micro'!$B448=BO$2,'Atividades Micro'!$G448="Macro",'Atividades Micro'!$K448&lt;&gt;""),'Atividades Micro'!$K448,"")</f>
        <v/>
      </c>
      <c r="BP396" s="21" t="str">
        <f>IF(AND('Atividades Micro'!$B448=BP$2,'Atividades Micro'!$G448="Macro",'Atividades Micro'!$K448&lt;&gt;""),'Atividades Micro'!$K448,"")</f>
        <v/>
      </c>
      <c r="BQ396" s="21" t="str">
        <f>IF(AND('Atividades Micro'!$B448=BQ$2,'Atividades Micro'!$G448="Macro",'Atividades Micro'!$K448&lt;&gt;""),'Atividades Micro'!$K448,"")</f>
        <v/>
      </c>
      <c r="BR396" s="21" t="str">
        <f>IF(AND('Atividades Micro'!$B448=BR$2,'Atividades Micro'!$G448="Macro",'Atividades Micro'!$K448&lt;&gt;""),'Atividades Micro'!$K448,"")</f>
        <v/>
      </c>
      <c r="BS396" s="21" t="str">
        <f>IF(AND('Atividades Micro'!$B448=BS$2,'Atividades Micro'!$G448="Macro",'Atividades Micro'!$K448&lt;&gt;""),'Atividades Micro'!$K448,"")</f>
        <v/>
      </c>
      <c r="BT396" s="21" t="str">
        <f>IF(AND('Atividades Micro'!$B448=BT$2,'Atividades Micro'!$G448="Macro",'Atividades Micro'!$K448&lt;&gt;""),'Atividades Micro'!$K448,"")</f>
        <v/>
      </c>
      <c r="BU396" s="21" t="str">
        <f>IF(AND('Atividades Micro'!$B448=BU$2,'Atividades Micro'!$G448="Macro",'Atividades Micro'!$K448&lt;&gt;""),'Atividades Micro'!$K448,"")</f>
        <v/>
      </c>
      <c r="BV396" s="21" t="str">
        <f>IF(AND('Atividades Micro'!$B448=BV$2,'Atividades Micro'!$G448="Macro",'Atividades Micro'!$K448&lt;&gt;""),'Atividades Micro'!$K448,"")</f>
        <v/>
      </c>
      <c r="BW396" s="21" t="str">
        <f>IF(AND('Atividades Micro'!$B448=BW$2,'Atividades Micro'!$G448="Macro",'Atividades Micro'!$K448&lt;&gt;""),'Atividades Micro'!$K448,"")</f>
        <v/>
      </c>
      <c r="BX396" s="21" t="str">
        <f>IF(AND('Atividades Micro'!$B448=BX$2,'Atividades Micro'!$G448="Macro",'Atividades Micro'!$K448&lt;&gt;""),'Atividades Micro'!$K448,"")</f>
        <v/>
      </c>
      <c r="BY396" s="21" t="str">
        <f>IF(AND('Atividades Micro'!$B448=BY$2,'Atividades Micro'!$G448="Macro",'Atividades Micro'!$K448&lt;&gt;""),'Atividades Micro'!$K448,"")</f>
        <v/>
      </c>
      <c r="BZ396" s="21" t="str">
        <f>IF(AND('Atividades Micro'!$B448=BZ$2,'Atividades Micro'!$G448="Macro",'Atividades Micro'!$K448&lt;&gt;""),'Atividades Micro'!$K448,"")</f>
        <v/>
      </c>
      <c r="CA396" s="21" t="str">
        <f>IF(AND('Atividades Micro'!$B448=CA$2,'Atividades Micro'!$G448="Macro",'Atividades Micro'!$K448&lt;&gt;""),'Atividades Micro'!$K448,"")</f>
        <v/>
      </c>
      <c r="CB396" s="21" t="str">
        <f>IF(AND('Atividades Micro'!$B448=CB$2,'Atividades Micro'!$G448="Macro",'Atividades Micro'!$K448&lt;&gt;""),'Atividades Micro'!$K448,"")</f>
        <v/>
      </c>
      <c r="CC396" s="21" t="str">
        <f>IF(AND('Atividades Micro'!$B448=CC$2,'Atividades Micro'!$G448="Macro",'Atividades Micro'!$K448&lt;&gt;""),'Atividades Micro'!$K448,"")</f>
        <v/>
      </c>
      <c r="CD396" s="21" t="str">
        <f>IF(AND('Atividades Micro'!$B448=CD$2,'Atividades Micro'!$G448="Micro",'Atividades Micro'!$K448&lt;&gt;""),'Atividades Micro'!$K448,"")</f>
        <v/>
      </c>
      <c r="CE396" s="21" t="str">
        <f>IF(AND('Atividades Micro'!$B448=CE$2,'Atividades Micro'!$G448="Micro",'Atividades Micro'!$K448&lt;&gt;""),'Atividades Micro'!$K448,"")</f>
        <v/>
      </c>
      <c r="CF396" s="21" t="str">
        <f>IF(AND('Atividades Micro'!$B448=CF$2,'Atividades Micro'!$G448="Micro",'Atividades Micro'!$K448&lt;&gt;""),'Atividades Micro'!$K448,"")</f>
        <v/>
      </c>
      <c r="CG396" s="21" t="str">
        <f>IF(AND('Atividades Micro'!$B448=CG$2,'Atividades Micro'!$G448="Micro",'Atividades Micro'!$K448&lt;&gt;""),'Atividades Micro'!$K448,"")</f>
        <v/>
      </c>
      <c r="CH396" s="21" t="str">
        <f>IF(AND('Atividades Micro'!$B448=CH$2,'Atividades Micro'!$G448="Micro",'Atividades Micro'!$K448&lt;&gt;""),'Atividades Micro'!$K448,"")</f>
        <v/>
      </c>
      <c r="CI396" s="21" t="str">
        <f>IF(AND('Atividades Micro'!$B448=CI$2,'Atividades Micro'!$G448="Micro",'Atividades Micro'!$K448&lt;&gt;""),'Atividades Micro'!$K448,"")</f>
        <v/>
      </c>
      <c r="CJ396" s="21" t="str">
        <f>IF(AND('Atividades Micro'!$B448=CJ$2,'Atividades Micro'!$G448="Micro",'Atividades Micro'!$K448&lt;&gt;""),'Atividades Micro'!$K448,"")</f>
        <v/>
      </c>
      <c r="CK396" s="21" t="str">
        <f>IF(AND('Atividades Micro'!$B448=CK$2,'Atividades Micro'!$G448="Micro",'Atividades Micro'!$K448&lt;&gt;""),'Atividades Micro'!$K448,"")</f>
        <v/>
      </c>
      <c r="CL396" s="21" t="str">
        <f>IF(AND('Atividades Micro'!$B448=CL$2,'Atividades Micro'!$G448="Micro",'Atividades Micro'!$K448&lt;&gt;""),'Atividades Micro'!$K448,"")</f>
        <v/>
      </c>
      <c r="CM396" s="21" t="str">
        <f>IF(AND('Atividades Micro'!$B448=CM$2,'Atividades Micro'!$G448="Micro",'Atividades Micro'!$K448&lt;&gt;""),'Atividades Micro'!$K448,"")</f>
        <v/>
      </c>
      <c r="CN396" s="21" t="str">
        <f>IF(AND('Atividades Micro'!$B448=CN$2,'Atividades Micro'!$G448="Micro",'Atividades Micro'!$K448&lt;&gt;""),'Atividades Micro'!$K448,"")</f>
        <v/>
      </c>
      <c r="CO396" s="21" t="str">
        <f>IF(AND('Atividades Micro'!$B448=CO$2,'Atividades Micro'!$G448="Micro",'Atividades Micro'!$K448&lt;&gt;""),'Atividades Micro'!$K448,"")</f>
        <v/>
      </c>
    </row>
    <row r="397" spans="1:93">
      <c r="A397" s="21" t="str">
        <f>IF(AND('Atividades Micro'!$A449=A$2,'Atividades Micro'!$K449&lt;&gt;""),'Atividades Micro'!$K449,"")</f>
        <v/>
      </c>
      <c r="B397" s="21" t="str">
        <f>IF(AND('Atividades Micro'!$A449=B$2,'Atividades Micro'!$L449&lt;&gt;""),'Atividades Micro'!$L449,"")</f>
        <v/>
      </c>
      <c r="C397" s="21" t="str">
        <f>IF(AND('Atividades Micro'!$A449=C$2,'Atividades Micro'!$K449&lt;&gt;""),'Atividades Micro'!$K449,"")</f>
        <v/>
      </c>
      <c r="D397" s="21" t="str">
        <f>IF(AND('Atividades Micro'!$A449=D$2,'Atividades Micro'!$L449&lt;&gt;""),'Atividades Micro'!$L449,"")</f>
        <v/>
      </c>
      <c r="E397" s="21" t="str">
        <f>IF(AND('Atividades Micro'!$A449=E$2,'Atividades Micro'!$K449&lt;&gt;""),'Atividades Micro'!$K449,"")</f>
        <v/>
      </c>
      <c r="F397" s="21" t="str">
        <f>IF(AND('Atividades Micro'!$A449=F$2,'Atividades Micro'!$L449&lt;&gt;""),'Atividades Micro'!$L449,"")</f>
        <v/>
      </c>
      <c r="G397" s="21" t="str">
        <f>IF(AND('Atividades Micro'!$A449=G$2,'Atividades Micro'!$K449&lt;&gt;""),'Atividades Micro'!$K449,"")</f>
        <v/>
      </c>
      <c r="H397" s="21" t="str">
        <f>IF(AND('Atividades Micro'!$A449=H$2,'Atividades Micro'!$L449&lt;&gt;""),'Atividades Micro'!$L449,"")</f>
        <v/>
      </c>
      <c r="I397" s="21" t="str">
        <f>IF(AND('Atividades Micro'!$A449=I$2,'Atividades Micro'!$K449&lt;&gt;""),'Atividades Micro'!$K449,"")</f>
        <v/>
      </c>
      <c r="J397" s="21" t="str">
        <f>IF(AND('Atividades Micro'!$A449=J$2,'Atividades Micro'!$L449&lt;&gt;""),'Atividades Micro'!$L449,"")</f>
        <v/>
      </c>
      <c r="K397" s="21" t="str">
        <f>IF(AND('Atividades Micro'!$B449=K$2,'Atividades Micro'!$K449&lt;&gt;""),'Atividades Micro'!$K449,"")</f>
        <v/>
      </c>
      <c r="L397" s="21" t="str">
        <f>IF(AND('Atividades Micro'!$B449=L$2,'Atividades Micro'!$L449&lt;&gt;""),'Atividades Micro'!$L449,"")</f>
        <v/>
      </c>
      <c r="M397" s="21" t="str">
        <f>IF(AND('Atividades Micro'!$B449=M$2,'Atividades Micro'!$K449&lt;&gt;""),'Atividades Micro'!$K449,"")</f>
        <v/>
      </c>
      <c r="N397" s="21" t="str">
        <f>IF(AND('Atividades Micro'!$B449=N$2,'Atividades Micro'!$L449&lt;&gt;""),'Atividades Micro'!$L449,"")</f>
        <v/>
      </c>
      <c r="O397" s="21" t="str">
        <f>IF(AND('Atividades Micro'!$A449=O$2,'Atividades Micro'!$K449&lt;&gt;""),'Atividades Micro'!$K449,"")</f>
        <v/>
      </c>
      <c r="P397" s="21" t="str">
        <f>IF(AND('Atividades Micro'!$A449=P$2,'Atividades Micro'!$L449&lt;&gt;""),'Atividades Micro'!$L449,"")</f>
        <v/>
      </c>
      <c r="Q397" s="21" t="str">
        <f>IF(AND('Atividades Micro'!$B449=Q$2,'Atividades Micro'!$K449&lt;&gt;""),'Atividades Micro'!$K449,"")</f>
        <v/>
      </c>
      <c r="R397" s="21" t="str">
        <f>IF(AND('Atividades Micro'!$B449=R$2,'Atividades Micro'!$L449&lt;&gt;""),'Atividades Micro'!$L449,"")</f>
        <v/>
      </c>
      <c r="S397" s="21" t="str">
        <f>IF(AND('Atividades Micro'!$A449=S$2,'Atividades Micro'!$K449&lt;&gt;""),'Atividades Micro'!$K449,"")</f>
        <v/>
      </c>
      <c r="T397" s="21" t="str">
        <f>IF(AND('Atividades Micro'!$A449=T$2,'Atividades Micro'!$L449&lt;&gt;""),'Atividades Micro'!$L449,"")</f>
        <v/>
      </c>
      <c r="U397" s="21" t="str">
        <f>IF(AND('Atividades Micro'!$B449=U$2,'Atividades Micro'!$K449&lt;&gt;""),'Atividades Micro'!$K449,"")</f>
        <v/>
      </c>
      <c r="V397" s="21" t="str">
        <f>IF(AND('Atividades Micro'!$B449=V$2,'Atividades Micro'!$L449&lt;&gt;""),'Atividades Micro'!$L449,"")</f>
        <v/>
      </c>
      <c r="W397" s="21" t="str">
        <f>IF(AND('Atividades Micro'!$B449=W$2,'Atividades Micro'!$K449&lt;&gt;""),'Atividades Micro'!$K449,"")</f>
        <v/>
      </c>
      <c r="X397" s="21" t="str">
        <f>IF(AND('Atividades Micro'!$B449=X$2,'Atividades Micro'!$L449&lt;&gt;""),'Atividades Micro'!$L449,"")</f>
        <v/>
      </c>
      <c r="Y397" s="21" t="str">
        <f>IF(AND('Atividades Micro'!$A449=Y$2,'Atividades Micro'!$K449&lt;&gt;""),'Atividades Micro'!$K449,"")</f>
        <v/>
      </c>
      <c r="Z397" s="21" t="str">
        <f>IF(AND('Atividades Micro'!$A449=Z$2,'Atividades Micro'!$L449&lt;&gt;""),'Atividades Micro'!$L449,"")</f>
        <v/>
      </c>
      <c r="AA397" s="21" t="str">
        <f>IF(AND('Atividades Micro'!$B449=AA$2,'Atividades Micro'!$K449&lt;&gt;""),'Atividades Micro'!$K449,"")</f>
        <v/>
      </c>
      <c r="AB397" s="21" t="str">
        <f>IF(AND('Atividades Micro'!$B449=AB$2,'Atividades Micro'!$L449&lt;&gt;""),'Atividades Micro'!$L449,"")</f>
        <v/>
      </c>
      <c r="AC397" s="21" t="str">
        <f>IF(AND('Atividades Micro'!$B449=AC$2,'Atividades Micro'!$K449&lt;&gt;""),'Atividades Micro'!$K449,"")</f>
        <v/>
      </c>
      <c r="AD397" s="21" t="str">
        <f>IF(AND('Atividades Micro'!$B449=AD$2,'Atividades Micro'!$L449&lt;&gt;""),'Atividades Micro'!$L449,"")</f>
        <v/>
      </c>
      <c r="AE397" s="21" t="str">
        <f>IF(AND('Atividades Micro'!$A449=AE$2,'Atividades Micro'!$K449&lt;&gt;""),'Atividades Micro'!$K449,"")</f>
        <v/>
      </c>
      <c r="AF397" s="21" t="str">
        <f>IF(AND('Atividades Micro'!$A449=AF$2,'Atividades Micro'!$L449&lt;&gt;""),'Atividades Micro'!$L449,"")</f>
        <v/>
      </c>
      <c r="AG397" s="21" t="str">
        <f>IF(AND('Atividades Micro'!$B449=AG$2,'Atividades Micro'!$K449&lt;&gt;""),'Atividades Micro'!$K449,"")</f>
        <v/>
      </c>
      <c r="AH397" s="21" t="str">
        <f>IF(AND('Atividades Micro'!$B449=AH$2,'Atividades Micro'!$L449&lt;&gt;""),'Atividades Micro'!$L449,"")</f>
        <v/>
      </c>
      <c r="AI397" s="21" t="str">
        <f>IF(AND('Atividades Micro'!$B449=AI$2,'Atividades Micro'!$K449&lt;&gt;""),'Atividades Micro'!$K449,"")</f>
        <v/>
      </c>
      <c r="AJ397" s="21" t="str">
        <f>IF(AND('Atividades Micro'!$B449=AJ$2,'Atividades Micro'!$L449&lt;&gt;""),'Atividades Micro'!$L449,"")</f>
        <v/>
      </c>
      <c r="AK397" s="21" t="str">
        <f>IF(AND('Atividades Micro'!$A449=AK$2,'Atividades Micro'!$K449&lt;&gt;""),'Atividades Micro'!$K449,"")</f>
        <v/>
      </c>
      <c r="AL397" s="21" t="str">
        <f>IF(AND('Atividades Micro'!$A449=AL$2,'Atividades Micro'!$L449&lt;&gt;""),'Atividades Micro'!$L449,"")</f>
        <v/>
      </c>
      <c r="AM397" s="21" t="str">
        <f>IF(AND('Atividades Micro'!$B449=AM$2,'Atividades Micro'!$K449&lt;&gt;""),'Atividades Micro'!$K449,"")</f>
        <v/>
      </c>
      <c r="AN397" s="21" t="str">
        <f>IF(AND('Atividades Micro'!$B449=AN$2,'Atividades Micro'!$L449&lt;&gt;""),'Atividades Micro'!$L449,"")</f>
        <v/>
      </c>
      <c r="AO397" s="21" t="str">
        <f>IF(AND('Atividades Micro'!$B449=AO$2,'Atividades Micro'!$K449&lt;&gt;""),'Atividades Micro'!$K449,"")</f>
        <v/>
      </c>
      <c r="AP397" s="21" t="str">
        <f>IF(AND('Atividades Micro'!$B449=AP$2,'Atividades Micro'!$L449&lt;&gt;""),'Atividades Micro'!$L449,"")</f>
        <v/>
      </c>
      <c r="AQ397" s="21" t="str">
        <f>IF(AND('Atividades Micro'!$A449=AQ$2,'Atividades Micro'!$K449&lt;&gt;""),'Atividades Micro'!$K449,"")</f>
        <v/>
      </c>
      <c r="AR397" s="21" t="str">
        <f>IF(AND('Atividades Micro'!$A449=AR$2,'Atividades Micro'!$L449&lt;&gt;""),'Atividades Micro'!$L449,"")</f>
        <v/>
      </c>
      <c r="AS397" s="21" t="str">
        <f>IF(AND('Atividades Micro'!$B449=AS$2,'Atividades Micro'!$K449&lt;&gt;""),'Atividades Micro'!$K449,"")</f>
        <v/>
      </c>
      <c r="AT397" s="21" t="str">
        <f>IF(AND('Atividades Micro'!$B449=AT$2,'Atividades Micro'!$L449&lt;&gt;""),'Atividades Micro'!$L449,"")</f>
        <v/>
      </c>
      <c r="AU397" s="21" t="str">
        <f>IF(AND('Atividades Micro'!$A449=AU$2,'Atividades Micro'!$K449&lt;&gt;""),'Atividades Micro'!$K449,"")</f>
        <v/>
      </c>
      <c r="AV397" s="21" t="str">
        <f>IF(AND('Atividades Micro'!$A449=AV$2,'Atividades Micro'!$L449&lt;&gt;""),'Atividades Micro'!$L449,"")</f>
        <v/>
      </c>
      <c r="AW397" s="21" t="str">
        <f>IF(AND('Atividades Micro'!$B449=AW$2,'Atividades Micro'!$K449&lt;&gt;""),'Atividades Micro'!$K449,"")</f>
        <v/>
      </c>
      <c r="AX397" s="21" t="str">
        <f>IF(AND('Atividades Micro'!$B449=AX$2,'Atividades Micro'!$L449&lt;&gt;""),'Atividades Micro'!$L449,"")</f>
        <v/>
      </c>
      <c r="AY397" s="21" t="str">
        <f>IF(AND('Atividades Micro'!$A449=AY$2,'Atividades Micro'!$K449&lt;&gt;""),'Atividades Micro'!$K449,"")</f>
        <v/>
      </c>
      <c r="AZ397" s="21" t="str">
        <f>IF(AND('Atividades Micro'!$A449=AZ$2,'Atividades Micro'!$L449&lt;&gt;""),'Atividades Micro'!$L449,"")</f>
        <v/>
      </c>
      <c r="BA397" s="21" t="str">
        <f>IF(AND('Atividades Micro'!$B449=BA$2,'Atividades Micro'!$K449&lt;&gt;""),'Atividades Micro'!$K449,"")</f>
        <v/>
      </c>
      <c r="BB397" s="21" t="str">
        <f>IF(AND('Atividades Micro'!$B449=BB$2,'Atividades Micro'!$L449&lt;&gt;""),'Atividades Micro'!$L449,"")</f>
        <v/>
      </c>
      <c r="BC397" s="21" t="str">
        <f>IF(AND('Atividades Micro'!$B449=BC$2,'Atividades Micro'!$G449="Macro",'Atividades Micro'!$K449&lt;&gt;""),'Atividades Micro'!$K449,"")</f>
        <v/>
      </c>
      <c r="BD397" s="21" t="str">
        <f>IF(AND('Atividades Micro'!$B449=BD$2,'Atividades Micro'!$G449="Macro",'Atividades Micro'!$K449&lt;&gt;""),'Atividades Micro'!$K449,"")</f>
        <v/>
      </c>
      <c r="BE397" s="21" t="str">
        <f>IF(AND('Atividades Micro'!$B449=BE$2,'Atividades Micro'!$G449="Macro",'Atividades Micro'!$K449&lt;&gt;""),'Atividades Micro'!$K449,"")</f>
        <v/>
      </c>
      <c r="BF397" s="21" t="str">
        <f>IF(AND('Atividades Micro'!$B449=BF$2,'Atividades Micro'!$G449="Macro",'Atividades Micro'!$K449&lt;&gt;""),'Atividades Micro'!$K449,"")</f>
        <v/>
      </c>
      <c r="BG397" s="21" t="str">
        <f>IF(AND('Atividades Micro'!$B449=BG$2,'Atividades Micro'!$G449="Macro",'Atividades Micro'!$K449&lt;&gt;""),'Atividades Micro'!$K449,"")</f>
        <v/>
      </c>
      <c r="BH397" s="21" t="str">
        <f>IF(AND('Atividades Micro'!$B449=BH$2,'Atividades Micro'!$G449="Macro",'Atividades Micro'!$K449&lt;&gt;""),'Atividades Micro'!$K449,"")</f>
        <v/>
      </c>
      <c r="BI397" s="21" t="str">
        <f>IF(AND('Atividades Micro'!$B449=BI$2,'Atividades Micro'!$G449="Macro",'Atividades Micro'!$K449&lt;&gt;""),'Atividades Micro'!$K449,"")</f>
        <v/>
      </c>
      <c r="BJ397" s="21" t="str">
        <f>IF(AND('Atividades Micro'!$B449=BJ$2,'Atividades Micro'!$G449="Macro",'Atividades Micro'!$K449&lt;&gt;""),'Atividades Micro'!$K449,"")</f>
        <v/>
      </c>
      <c r="BK397" s="21" t="str">
        <f>IF(AND('Atividades Micro'!$B449=BK$2,'Atividades Micro'!$G449="Macro",'Atividades Micro'!$K449&lt;&gt;""),'Atividades Micro'!$K449,"")</f>
        <v/>
      </c>
      <c r="BL397" s="21" t="str">
        <f>IF(AND('Atividades Micro'!$B449=BL$2,'Atividades Micro'!$G449="Macro",'Atividades Micro'!$K449&lt;&gt;""),'Atividades Micro'!$K449,"")</f>
        <v/>
      </c>
      <c r="BM397" s="21" t="str">
        <f>IF(AND('Atividades Micro'!$B449=BM$2,'Atividades Micro'!$G449="Macro",'Atividades Micro'!$K449&lt;&gt;""),'Atividades Micro'!$K449,"")</f>
        <v/>
      </c>
      <c r="BN397" s="21" t="str">
        <f>IF(AND('Atividades Micro'!$B449=BN$2,'Atividades Micro'!$G449="Macro",'Atividades Micro'!$K449&lt;&gt;""),'Atividades Micro'!$K449,"")</f>
        <v/>
      </c>
      <c r="BO397" s="21" t="str">
        <f>IF(AND('Atividades Micro'!$B449=BO$2,'Atividades Micro'!$G449="Macro",'Atividades Micro'!$K449&lt;&gt;""),'Atividades Micro'!$K449,"")</f>
        <v/>
      </c>
      <c r="BP397" s="21" t="str">
        <f>IF(AND('Atividades Micro'!$B449=BP$2,'Atividades Micro'!$G449="Macro",'Atividades Micro'!$K449&lt;&gt;""),'Atividades Micro'!$K449,"")</f>
        <v/>
      </c>
      <c r="BQ397" s="21" t="str">
        <f>IF(AND('Atividades Micro'!$B449=BQ$2,'Atividades Micro'!$G449="Macro",'Atividades Micro'!$K449&lt;&gt;""),'Atividades Micro'!$K449,"")</f>
        <v/>
      </c>
      <c r="BR397" s="21" t="str">
        <f>IF(AND('Atividades Micro'!$B449=BR$2,'Atividades Micro'!$G449="Macro",'Atividades Micro'!$K449&lt;&gt;""),'Atividades Micro'!$K449,"")</f>
        <v/>
      </c>
      <c r="BS397" s="21" t="str">
        <f>IF(AND('Atividades Micro'!$B449=BS$2,'Atividades Micro'!$G449="Macro",'Atividades Micro'!$K449&lt;&gt;""),'Atividades Micro'!$K449,"")</f>
        <v/>
      </c>
      <c r="BT397" s="21" t="str">
        <f>IF(AND('Atividades Micro'!$B449=BT$2,'Atividades Micro'!$G449="Macro",'Atividades Micro'!$K449&lt;&gt;""),'Atividades Micro'!$K449,"")</f>
        <v/>
      </c>
      <c r="BU397" s="21" t="str">
        <f>IF(AND('Atividades Micro'!$B449=BU$2,'Atividades Micro'!$G449="Macro",'Atividades Micro'!$K449&lt;&gt;""),'Atividades Micro'!$K449,"")</f>
        <v/>
      </c>
      <c r="BV397" s="21" t="str">
        <f>IF(AND('Atividades Micro'!$B449=BV$2,'Atividades Micro'!$G449="Macro",'Atividades Micro'!$K449&lt;&gt;""),'Atividades Micro'!$K449,"")</f>
        <v/>
      </c>
      <c r="BW397" s="21" t="str">
        <f>IF(AND('Atividades Micro'!$B449=BW$2,'Atividades Micro'!$G449="Macro",'Atividades Micro'!$K449&lt;&gt;""),'Atividades Micro'!$K449,"")</f>
        <v/>
      </c>
      <c r="BX397" s="21" t="str">
        <f>IF(AND('Atividades Micro'!$B449=BX$2,'Atividades Micro'!$G449="Macro",'Atividades Micro'!$K449&lt;&gt;""),'Atividades Micro'!$K449,"")</f>
        <v/>
      </c>
      <c r="BY397" s="21" t="str">
        <f>IF(AND('Atividades Micro'!$B449=BY$2,'Atividades Micro'!$G449="Macro",'Atividades Micro'!$K449&lt;&gt;""),'Atividades Micro'!$K449,"")</f>
        <v/>
      </c>
      <c r="BZ397" s="21" t="str">
        <f>IF(AND('Atividades Micro'!$B449=BZ$2,'Atividades Micro'!$G449="Macro",'Atividades Micro'!$K449&lt;&gt;""),'Atividades Micro'!$K449,"")</f>
        <v/>
      </c>
      <c r="CA397" s="21" t="str">
        <f>IF(AND('Atividades Micro'!$B449=CA$2,'Atividades Micro'!$G449="Macro",'Atividades Micro'!$K449&lt;&gt;""),'Atividades Micro'!$K449,"")</f>
        <v/>
      </c>
      <c r="CB397" s="21" t="str">
        <f>IF(AND('Atividades Micro'!$B449=CB$2,'Atividades Micro'!$G449="Macro",'Atividades Micro'!$K449&lt;&gt;""),'Atividades Micro'!$K449,"")</f>
        <v/>
      </c>
      <c r="CC397" s="21" t="str">
        <f>IF(AND('Atividades Micro'!$B449=CC$2,'Atividades Micro'!$G449="Macro",'Atividades Micro'!$K449&lt;&gt;""),'Atividades Micro'!$K449,"")</f>
        <v/>
      </c>
      <c r="CD397" s="21" t="str">
        <f>IF(AND('Atividades Micro'!$B449=CD$2,'Atividades Micro'!$G449="Micro",'Atividades Micro'!$K449&lt;&gt;""),'Atividades Micro'!$K449,"")</f>
        <v/>
      </c>
      <c r="CE397" s="21" t="str">
        <f>IF(AND('Atividades Micro'!$B449=CE$2,'Atividades Micro'!$G449="Micro",'Atividades Micro'!$K449&lt;&gt;""),'Atividades Micro'!$K449,"")</f>
        <v/>
      </c>
      <c r="CF397" s="21" t="str">
        <f>IF(AND('Atividades Micro'!$B449=CF$2,'Atividades Micro'!$G449="Micro",'Atividades Micro'!$K449&lt;&gt;""),'Atividades Micro'!$K449,"")</f>
        <v/>
      </c>
      <c r="CG397" s="21" t="str">
        <f>IF(AND('Atividades Micro'!$B449=CG$2,'Atividades Micro'!$G449="Micro",'Atividades Micro'!$K449&lt;&gt;""),'Atividades Micro'!$K449,"")</f>
        <v/>
      </c>
      <c r="CH397" s="21" t="str">
        <f>IF(AND('Atividades Micro'!$B449=CH$2,'Atividades Micro'!$G449="Micro",'Atividades Micro'!$K449&lt;&gt;""),'Atividades Micro'!$K449,"")</f>
        <v/>
      </c>
      <c r="CI397" s="21" t="str">
        <f>IF(AND('Atividades Micro'!$B449=CI$2,'Atividades Micro'!$G449="Micro",'Atividades Micro'!$K449&lt;&gt;""),'Atividades Micro'!$K449,"")</f>
        <v/>
      </c>
      <c r="CJ397" s="21" t="str">
        <f>IF(AND('Atividades Micro'!$B449=CJ$2,'Atividades Micro'!$G449="Micro",'Atividades Micro'!$K449&lt;&gt;""),'Atividades Micro'!$K449,"")</f>
        <v/>
      </c>
      <c r="CK397" s="21" t="str">
        <f>IF(AND('Atividades Micro'!$B449=CK$2,'Atividades Micro'!$G449="Micro",'Atividades Micro'!$K449&lt;&gt;""),'Atividades Micro'!$K449,"")</f>
        <v/>
      </c>
      <c r="CL397" s="21" t="str">
        <f>IF(AND('Atividades Micro'!$B449=CL$2,'Atividades Micro'!$G449="Micro",'Atividades Micro'!$K449&lt;&gt;""),'Atividades Micro'!$K449,"")</f>
        <v/>
      </c>
      <c r="CM397" s="21" t="str">
        <f>IF(AND('Atividades Micro'!$B449=CM$2,'Atividades Micro'!$G449="Micro",'Atividades Micro'!$K449&lt;&gt;""),'Atividades Micro'!$K449,"")</f>
        <v/>
      </c>
      <c r="CN397" s="21" t="str">
        <f>IF(AND('Atividades Micro'!$B449=CN$2,'Atividades Micro'!$G449="Micro",'Atividades Micro'!$K449&lt;&gt;""),'Atividades Micro'!$K449,"")</f>
        <v/>
      </c>
      <c r="CO397" s="21" t="str">
        <f>IF(AND('Atividades Micro'!$B449=CO$2,'Atividades Micro'!$G449="Micro",'Atividades Micro'!$K449&lt;&gt;""),'Atividades Micro'!$K449,"")</f>
        <v/>
      </c>
    </row>
    <row r="398" spans="1:93">
      <c r="A398" s="21" t="str">
        <f>IF(AND('Atividades Micro'!$A450=A$2,'Atividades Micro'!$K450&lt;&gt;""),'Atividades Micro'!$K450,"")</f>
        <v/>
      </c>
      <c r="B398" s="21" t="str">
        <f>IF(AND('Atividades Micro'!$A450=B$2,'Atividades Micro'!$L450&lt;&gt;""),'Atividades Micro'!$L450,"")</f>
        <v/>
      </c>
      <c r="C398" s="21" t="str">
        <f>IF(AND('Atividades Micro'!$A450=C$2,'Atividades Micro'!$K450&lt;&gt;""),'Atividades Micro'!$K450,"")</f>
        <v/>
      </c>
      <c r="D398" s="21" t="str">
        <f>IF(AND('Atividades Micro'!$A450=D$2,'Atividades Micro'!$L450&lt;&gt;""),'Atividades Micro'!$L450,"")</f>
        <v/>
      </c>
      <c r="E398" s="21" t="str">
        <f>IF(AND('Atividades Micro'!$A450=E$2,'Atividades Micro'!$K450&lt;&gt;""),'Atividades Micro'!$K450,"")</f>
        <v/>
      </c>
      <c r="F398" s="21" t="str">
        <f>IF(AND('Atividades Micro'!$A450=F$2,'Atividades Micro'!$L450&lt;&gt;""),'Atividades Micro'!$L450,"")</f>
        <v/>
      </c>
      <c r="G398" s="21" t="str">
        <f>IF(AND('Atividades Micro'!$A450=G$2,'Atividades Micro'!$K450&lt;&gt;""),'Atividades Micro'!$K450,"")</f>
        <v/>
      </c>
      <c r="H398" s="21" t="str">
        <f>IF(AND('Atividades Micro'!$A450=H$2,'Atividades Micro'!$L450&lt;&gt;""),'Atividades Micro'!$L450,"")</f>
        <v/>
      </c>
      <c r="I398" s="21" t="str">
        <f>IF(AND('Atividades Micro'!$A450=I$2,'Atividades Micro'!$K450&lt;&gt;""),'Atividades Micro'!$K450,"")</f>
        <v/>
      </c>
      <c r="J398" s="21" t="str">
        <f>IF(AND('Atividades Micro'!$A450=J$2,'Atividades Micro'!$L450&lt;&gt;""),'Atividades Micro'!$L450,"")</f>
        <v/>
      </c>
      <c r="K398" s="21" t="str">
        <f>IF(AND('Atividades Micro'!$B450=K$2,'Atividades Micro'!$K450&lt;&gt;""),'Atividades Micro'!$K450,"")</f>
        <v/>
      </c>
      <c r="L398" s="21" t="str">
        <f>IF(AND('Atividades Micro'!$B450=L$2,'Atividades Micro'!$L450&lt;&gt;""),'Atividades Micro'!$L450,"")</f>
        <v/>
      </c>
      <c r="M398" s="21" t="str">
        <f>IF(AND('Atividades Micro'!$B450=M$2,'Atividades Micro'!$K450&lt;&gt;""),'Atividades Micro'!$K450,"")</f>
        <v/>
      </c>
      <c r="N398" s="21" t="str">
        <f>IF(AND('Atividades Micro'!$B450=N$2,'Atividades Micro'!$L450&lt;&gt;""),'Atividades Micro'!$L450,"")</f>
        <v/>
      </c>
      <c r="O398" s="21" t="str">
        <f>IF(AND('Atividades Micro'!$A450=O$2,'Atividades Micro'!$K450&lt;&gt;""),'Atividades Micro'!$K450,"")</f>
        <v/>
      </c>
      <c r="P398" s="21" t="str">
        <f>IF(AND('Atividades Micro'!$A450=P$2,'Atividades Micro'!$L450&lt;&gt;""),'Atividades Micro'!$L450,"")</f>
        <v/>
      </c>
      <c r="Q398" s="21" t="str">
        <f>IF(AND('Atividades Micro'!$B450=Q$2,'Atividades Micro'!$K450&lt;&gt;""),'Atividades Micro'!$K450,"")</f>
        <v/>
      </c>
      <c r="R398" s="21" t="str">
        <f>IF(AND('Atividades Micro'!$B450=R$2,'Atividades Micro'!$L450&lt;&gt;""),'Atividades Micro'!$L450,"")</f>
        <v/>
      </c>
      <c r="S398" s="21" t="str">
        <f>IF(AND('Atividades Micro'!$A450=S$2,'Atividades Micro'!$K450&lt;&gt;""),'Atividades Micro'!$K450,"")</f>
        <v/>
      </c>
      <c r="T398" s="21" t="str">
        <f>IF(AND('Atividades Micro'!$A450=T$2,'Atividades Micro'!$L450&lt;&gt;""),'Atividades Micro'!$L450,"")</f>
        <v/>
      </c>
      <c r="U398" s="21" t="str">
        <f>IF(AND('Atividades Micro'!$B450=U$2,'Atividades Micro'!$K450&lt;&gt;""),'Atividades Micro'!$K450,"")</f>
        <v/>
      </c>
      <c r="V398" s="21" t="str">
        <f>IF(AND('Atividades Micro'!$B450=V$2,'Atividades Micro'!$L450&lt;&gt;""),'Atividades Micro'!$L450,"")</f>
        <v/>
      </c>
      <c r="W398" s="21" t="str">
        <f>IF(AND('Atividades Micro'!$B450=W$2,'Atividades Micro'!$K450&lt;&gt;""),'Atividades Micro'!$K450,"")</f>
        <v/>
      </c>
      <c r="X398" s="21" t="str">
        <f>IF(AND('Atividades Micro'!$B450=X$2,'Atividades Micro'!$L450&lt;&gt;""),'Atividades Micro'!$L450,"")</f>
        <v/>
      </c>
      <c r="Y398" s="21" t="str">
        <f>IF(AND('Atividades Micro'!$A450=Y$2,'Atividades Micro'!$K450&lt;&gt;""),'Atividades Micro'!$K450,"")</f>
        <v/>
      </c>
      <c r="Z398" s="21" t="str">
        <f>IF(AND('Atividades Micro'!$A450=Z$2,'Atividades Micro'!$L450&lt;&gt;""),'Atividades Micro'!$L450,"")</f>
        <v/>
      </c>
      <c r="AA398" s="21" t="str">
        <f>IF(AND('Atividades Micro'!$B450=AA$2,'Atividades Micro'!$K450&lt;&gt;""),'Atividades Micro'!$K450,"")</f>
        <v/>
      </c>
      <c r="AB398" s="21" t="str">
        <f>IF(AND('Atividades Micro'!$B450=AB$2,'Atividades Micro'!$L450&lt;&gt;""),'Atividades Micro'!$L450,"")</f>
        <v/>
      </c>
      <c r="AC398" s="21" t="str">
        <f>IF(AND('Atividades Micro'!$B450=AC$2,'Atividades Micro'!$K450&lt;&gt;""),'Atividades Micro'!$K450,"")</f>
        <v/>
      </c>
      <c r="AD398" s="21" t="str">
        <f>IF(AND('Atividades Micro'!$B450=AD$2,'Atividades Micro'!$L450&lt;&gt;""),'Atividades Micro'!$L450,"")</f>
        <v/>
      </c>
      <c r="AE398" s="21" t="str">
        <f>IF(AND('Atividades Micro'!$A450=AE$2,'Atividades Micro'!$K450&lt;&gt;""),'Atividades Micro'!$K450,"")</f>
        <v/>
      </c>
      <c r="AF398" s="21" t="str">
        <f>IF(AND('Atividades Micro'!$A450=AF$2,'Atividades Micro'!$L450&lt;&gt;""),'Atividades Micro'!$L450,"")</f>
        <v/>
      </c>
      <c r="AG398" s="21" t="str">
        <f>IF(AND('Atividades Micro'!$B450=AG$2,'Atividades Micro'!$K450&lt;&gt;""),'Atividades Micro'!$K450,"")</f>
        <v/>
      </c>
      <c r="AH398" s="21" t="str">
        <f>IF(AND('Atividades Micro'!$B450=AH$2,'Atividades Micro'!$L450&lt;&gt;""),'Atividades Micro'!$L450,"")</f>
        <v/>
      </c>
      <c r="AI398" s="21" t="str">
        <f>IF(AND('Atividades Micro'!$B450=AI$2,'Atividades Micro'!$K450&lt;&gt;""),'Atividades Micro'!$K450,"")</f>
        <v/>
      </c>
      <c r="AJ398" s="21" t="str">
        <f>IF(AND('Atividades Micro'!$B450=AJ$2,'Atividades Micro'!$L450&lt;&gt;""),'Atividades Micro'!$L450,"")</f>
        <v/>
      </c>
      <c r="AK398" s="21" t="str">
        <f>IF(AND('Atividades Micro'!$A450=AK$2,'Atividades Micro'!$K450&lt;&gt;""),'Atividades Micro'!$K450,"")</f>
        <v/>
      </c>
      <c r="AL398" s="21" t="str">
        <f>IF(AND('Atividades Micro'!$A450=AL$2,'Atividades Micro'!$L450&lt;&gt;""),'Atividades Micro'!$L450,"")</f>
        <v/>
      </c>
      <c r="AM398" s="21" t="str">
        <f>IF(AND('Atividades Micro'!$B450=AM$2,'Atividades Micro'!$K450&lt;&gt;""),'Atividades Micro'!$K450,"")</f>
        <v/>
      </c>
      <c r="AN398" s="21" t="str">
        <f>IF(AND('Atividades Micro'!$B450=AN$2,'Atividades Micro'!$L450&lt;&gt;""),'Atividades Micro'!$L450,"")</f>
        <v/>
      </c>
      <c r="AO398" s="21" t="str">
        <f>IF(AND('Atividades Micro'!$B450=AO$2,'Atividades Micro'!$K450&lt;&gt;""),'Atividades Micro'!$K450,"")</f>
        <v/>
      </c>
      <c r="AP398" s="21" t="str">
        <f>IF(AND('Atividades Micro'!$B450=AP$2,'Atividades Micro'!$L450&lt;&gt;""),'Atividades Micro'!$L450,"")</f>
        <v/>
      </c>
      <c r="AQ398" s="21" t="str">
        <f>IF(AND('Atividades Micro'!$A450=AQ$2,'Atividades Micro'!$K450&lt;&gt;""),'Atividades Micro'!$K450,"")</f>
        <v/>
      </c>
      <c r="AR398" s="21" t="str">
        <f>IF(AND('Atividades Micro'!$A450=AR$2,'Atividades Micro'!$L450&lt;&gt;""),'Atividades Micro'!$L450,"")</f>
        <v/>
      </c>
      <c r="AS398" s="21" t="str">
        <f>IF(AND('Atividades Micro'!$B450=AS$2,'Atividades Micro'!$K450&lt;&gt;""),'Atividades Micro'!$K450,"")</f>
        <v/>
      </c>
      <c r="AT398" s="21" t="str">
        <f>IF(AND('Atividades Micro'!$B450=AT$2,'Atividades Micro'!$L450&lt;&gt;""),'Atividades Micro'!$L450,"")</f>
        <v/>
      </c>
      <c r="AU398" s="21" t="str">
        <f>IF(AND('Atividades Micro'!$A450=AU$2,'Atividades Micro'!$K450&lt;&gt;""),'Atividades Micro'!$K450,"")</f>
        <v/>
      </c>
      <c r="AV398" s="21" t="str">
        <f>IF(AND('Atividades Micro'!$A450=AV$2,'Atividades Micro'!$L450&lt;&gt;""),'Atividades Micro'!$L450,"")</f>
        <v/>
      </c>
      <c r="AW398" s="21" t="str">
        <f>IF(AND('Atividades Micro'!$B450=AW$2,'Atividades Micro'!$K450&lt;&gt;""),'Atividades Micro'!$K450,"")</f>
        <v/>
      </c>
      <c r="AX398" s="21" t="str">
        <f>IF(AND('Atividades Micro'!$B450=AX$2,'Atividades Micro'!$L450&lt;&gt;""),'Atividades Micro'!$L450,"")</f>
        <v/>
      </c>
      <c r="AY398" s="21" t="str">
        <f>IF(AND('Atividades Micro'!$A450=AY$2,'Atividades Micro'!$K450&lt;&gt;""),'Atividades Micro'!$K450,"")</f>
        <v/>
      </c>
      <c r="AZ398" s="21" t="str">
        <f>IF(AND('Atividades Micro'!$A450=AZ$2,'Atividades Micro'!$L450&lt;&gt;""),'Atividades Micro'!$L450,"")</f>
        <v/>
      </c>
      <c r="BA398" s="21" t="str">
        <f>IF(AND('Atividades Micro'!$B450=BA$2,'Atividades Micro'!$K450&lt;&gt;""),'Atividades Micro'!$K450,"")</f>
        <v/>
      </c>
      <c r="BB398" s="21" t="str">
        <f>IF(AND('Atividades Micro'!$B450=BB$2,'Atividades Micro'!$L450&lt;&gt;""),'Atividades Micro'!$L450,"")</f>
        <v/>
      </c>
      <c r="BC398" s="21" t="str">
        <f>IF(AND('Atividades Micro'!$B450=BC$2,'Atividades Micro'!$G450="Macro",'Atividades Micro'!$K450&lt;&gt;""),'Atividades Micro'!$K450,"")</f>
        <v/>
      </c>
      <c r="BD398" s="21" t="str">
        <f>IF(AND('Atividades Micro'!$B450=BD$2,'Atividades Micro'!$G450="Macro",'Atividades Micro'!$K450&lt;&gt;""),'Atividades Micro'!$K450,"")</f>
        <v/>
      </c>
      <c r="BE398" s="21" t="str">
        <f>IF(AND('Atividades Micro'!$B450=BE$2,'Atividades Micro'!$G450="Macro",'Atividades Micro'!$K450&lt;&gt;""),'Atividades Micro'!$K450,"")</f>
        <v/>
      </c>
      <c r="BF398" s="21" t="str">
        <f>IF(AND('Atividades Micro'!$B450=BF$2,'Atividades Micro'!$G450="Macro",'Atividades Micro'!$K450&lt;&gt;""),'Atividades Micro'!$K450,"")</f>
        <v/>
      </c>
      <c r="BG398" s="21" t="str">
        <f>IF(AND('Atividades Micro'!$B450=BG$2,'Atividades Micro'!$G450="Macro",'Atividades Micro'!$K450&lt;&gt;""),'Atividades Micro'!$K450,"")</f>
        <v/>
      </c>
      <c r="BH398" s="21" t="str">
        <f>IF(AND('Atividades Micro'!$B450=BH$2,'Atividades Micro'!$G450="Macro",'Atividades Micro'!$K450&lt;&gt;""),'Atividades Micro'!$K450,"")</f>
        <v/>
      </c>
      <c r="BI398" s="21" t="str">
        <f>IF(AND('Atividades Micro'!$B450=BI$2,'Atividades Micro'!$G450="Macro",'Atividades Micro'!$K450&lt;&gt;""),'Atividades Micro'!$K450,"")</f>
        <v/>
      </c>
      <c r="BJ398" s="21" t="str">
        <f>IF(AND('Atividades Micro'!$B450=BJ$2,'Atividades Micro'!$G450="Macro",'Atividades Micro'!$K450&lt;&gt;""),'Atividades Micro'!$K450,"")</f>
        <v/>
      </c>
      <c r="BK398" s="21" t="str">
        <f>IF(AND('Atividades Micro'!$B450=BK$2,'Atividades Micro'!$G450="Macro",'Atividades Micro'!$K450&lt;&gt;""),'Atividades Micro'!$K450,"")</f>
        <v/>
      </c>
      <c r="BL398" s="21" t="str">
        <f>IF(AND('Atividades Micro'!$B450=BL$2,'Atividades Micro'!$G450="Macro",'Atividades Micro'!$K450&lt;&gt;""),'Atividades Micro'!$K450,"")</f>
        <v/>
      </c>
      <c r="BM398" s="21" t="str">
        <f>IF(AND('Atividades Micro'!$B450=BM$2,'Atividades Micro'!$G450="Macro",'Atividades Micro'!$K450&lt;&gt;""),'Atividades Micro'!$K450,"")</f>
        <v/>
      </c>
      <c r="BN398" s="21" t="str">
        <f>IF(AND('Atividades Micro'!$B450=BN$2,'Atividades Micro'!$G450="Macro",'Atividades Micro'!$K450&lt;&gt;""),'Atividades Micro'!$K450,"")</f>
        <v/>
      </c>
      <c r="BO398" s="21" t="str">
        <f>IF(AND('Atividades Micro'!$B450=BO$2,'Atividades Micro'!$G450="Macro",'Atividades Micro'!$K450&lt;&gt;""),'Atividades Micro'!$K450,"")</f>
        <v/>
      </c>
      <c r="BP398" s="21" t="str">
        <f>IF(AND('Atividades Micro'!$B450=BP$2,'Atividades Micro'!$G450="Macro",'Atividades Micro'!$K450&lt;&gt;""),'Atividades Micro'!$K450,"")</f>
        <v/>
      </c>
      <c r="BQ398" s="21" t="str">
        <f>IF(AND('Atividades Micro'!$B450=BQ$2,'Atividades Micro'!$G450="Macro",'Atividades Micro'!$K450&lt;&gt;""),'Atividades Micro'!$K450,"")</f>
        <v/>
      </c>
      <c r="BR398" s="21" t="str">
        <f>IF(AND('Atividades Micro'!$B450=BR$2,'Atividades Micro'!$G450="Macro",'Atividades Micro'!$K450&lt;&gt;""),'Atividades Micro'!$K450,"")</f>
        <v/>
      </c>
      <c r="BS398" s="21" t="str">
        <f>IF(AND('Atividades Micro'!$B450=BS$2,'Atividades Micro'!$G450="Macro",'Atividades Micro'!$K450&lt;&gt;""),'Atividades Micro'!$K450,"")</f>
        <v/>
      </c>
      <c r="BT398" s="21" t="str">
        <f>IF(AND('Atividades Micro'!$B450=BT$2,'Atividades Micro'!$G450="Macro",'Atividades Micro'!$K450&lt;&gt;""),'Atividades Micro'!$K450,"")</f>
        <v/>
      </c>
      <c r="BU398" s="21" t="str">
        <f>IF(AND('Atividades Micro'!$B450=BU$2,'Atividades Micro'!$G450="Macro",'Atividades Micro'!$K450&lt;&gt;""),'Atividades Micro'!$K450,"")</f>
        <v/>
      </c>
      <c r="BV398" s="21" t="str">
        <f>IF(AND('Atividades Micro'!$B450=BV$2,'Atividades Micro'!$G450="Macro",'Atividades Micro'!$K450&lt;&gt;""),'Atividades Micro'!$K450,"")</f>
        <v/>
      </c>
      <c r="BW398" s="21" t="str">
        <f>IF(AND('Atividades Micro'!$B450=BW$2,'Atividades Micro'!$G450="Macro",'Atividades Micro'!$K450&lt;&gt;""),'Atividades Micro'!$K450,"")</f>
        <v/>
      </c>
      <c r="BX398" s="21" t="str">
        <f>IF(AND('Atividades Micro'!$B450=BX$2,'Atividades Micro'!$G450="Macro",'Atividades Micro'!$K450&lt;&gt;""),'Atividades Micro'!$K450,"")</f>
        <v/>
      </c>
      <c r="BY398" s="21" t="str">
        <f>IF(AND('Atividades Micro'!$B450=BY$2,'Atividades Micro'!$G450="Macro",'Atividades Micro'!$K450&lt;&gt;""),'Atividades Micro'!$K450,"")</f>
        <v/>
      </c>
      <c r="BZ398" s="21" t="str">
        <f>IF(AND('Atividades Micro'!$B450=BZ$2,'Atividades Micro'!$G450="Macro",'Atividades Micro'!$K450&lt;&gt;""),'Atividades Micro'!$K450,"")</f>
        <v/>
      </c>
      <c r="CA398" s="21" t="str">
        <f>IF(AND('Atividades Micro'!$B450=CA$2,'Atividades Micro'!$G450="Macro",'Atividades Micro'!$K450&lt;&gt;""),'Atividades Micro'!$K450,"")</f>
        <v/>
      </c>
      <c r="CB398" s="21" t="str">
        <f>IF(AND('Atividades Micro'!$B450=CB$2,'Atividades Micro'!$G450="Macro",'Atividades Micro'!$K450&lt;&gt;""),'Atividades Micro'!$K450,"")</f>
        <v/>
      </c>
      <c r="CC398" s="21" t="str">
        <f>IF(AND('Atividades Micro'!$B450=CC$2,'Atividades Micro'!$G450="Macro",'Atividades Micro'!$K450&lt;&gt;""),'Atividades Micro'!$K450,"")</f>
        <v/>
      </c>
      <c r="CD398" s="21" t="str">
        <f>IF(AND('Atividades Micro'!$B450=CD$2,'Atividades Micro'!$G450="Micro",'Atividades Micro'!$K450&lt;&gt;""),'Atividades Micro'!$K450,"")</f>
        <v/>
      </c>
      <c r="CE398" s="21" t="str">
        <f>IF(AND('Atividades Micro'!$B450=CE$2,'Atividades Micro'!$G450="Micro",'Atividades Micro'!$K450&lt;&gt;""),'Atividades Micro'!$K450,"")</f>
        <v/>
      </c>
      <c r="CF398" s="21" t="str">
        <f>IF(AND('Atividades Micro'!$B450=CF$2,'Atividades Micro'!$G450="Micro",'Atividades Micro'!$K450&lt;&gt;""),'Atividades Micro'!$K450,"")</f>
        <v/>
      </c>
      <c r="CG398" s="21" t="str">
        <f>IF(AND('Atividades Micro'!$B450=CG$2,'Atividades Micro'!$G450="Micro",'Atividades Micro'!$K450&lt;&gt;""),'Atividades Micro'!$K450,"")</f>
        <v/>
      </c>
      <c r="CH398" s="21" t="str">
        <f>IF(AND('Atividades Micro'!$B450=CH$2,'Atividades Micro'!$G450="Micro",'Atividades Micro'!$K450&lt;&gt;""),'Atividades Micro'!$K450,"")</f>
        <v/>
      </c>
      <c r="CI398" s="21" t="str">
        <f>IF(AND('Atividades Micro'!$B450=CI$2,'Atividades Micro'!$G450="Micro",'Atividades Micro'!$K450&lt;&gt;""),'Atividades Micro'!$K450,"")</f>
        <v/>
      </c>
      <c r="CJ398" s="21" t="str">
        <f>IF(AND('Atividades Micro'!$B450=CJ$2,'Atividades Micro'!$G450="Micro",'Atividades Micro'!$K450&lt;&gt;""),'Atividades Micro'!$K450,"")</f>
        <v/>
      </c>
      <c r="CK398" s="21" t="str">
        <f>IF(AND('Atividades Micro'!$B450=CK$2,'Atividades Micro'!$G450="Micro",'Atividades Micro'!$K450&lt;&gt;""),'Atividades Micro'!$K450,"")</f>
        <v/>
      </c>
      <c r="CL398" s="21" t="str">
        <f>IF(AND('Atividades Micro'!$B450=CL$2,'Atividades Micro'!$G450="Micro",'Atividades Micro'!$K450&lt;&gt;""),'Atividades Micro'!$K450,"")</f>
        <v/>
      </c>
      <c r="CM398" s="21" t="str">
        <f>IF(AND('Atividades Micro'!$B450=CM$2,'Atividades Micro'!$G450="Micro",'Atividades Micro'!$K450&lt;&gt;""),'Atividades Micro'!$K450,"")</f>
        <v/>
      </c>
      <c r="CN398" s="21" t="str">
        <f>IF(AND('Atividades Micro'!$B450=CN$2,'Atividades Micro'!$G450="Micro",'Atividades Micro'!$K450&lt;&gt;""),'Atividades Micro'!$K450,"")</f>
        <v/>
      </c>
      <c r="CO398" s="21" t="str">
        <f>IF(AND('Atividades Micro'!$B450=CO$2,'Atividades Micro'!$G450="Micro",'Atividades Micro'!$K450&lt;&gt;""),'Atividades Micro'!$K450,"")</f>
        <v/>
      </c>
    </row>
    <row r="399" spans="1:93">
      <c r="A399" s="21" t="str">
        <f>IF(AND('Atividades Micro'!$A451=A$2,'Atividades Micro'!$K451&lt;&gt;""),'Atividades Micro'!$K451,"")</f>
        <v/>
      </c>
      <c r="B399" s="21" t="str">
        <f>IF(AND('Atividades Micro'!$A451=B$2,'Atividades Micro'!$L451&lt;&gt;""),'Atividades Micro'!$L451,"")</f>
        <v/>
      </c>
      <c r="C399" s="21" t="str">
        <f>IF(AND('Atividades Micro'!$A451=C$2,'Atividades Micro'!$K451&lt;&gt;""),'Atividades Micro'!$K451,"")</f>
        <v/>
      </c>
      <c r="D399" s="21" t="str">
        <f>IF(AND('Atividades Micro'!$A451=D$2,'Atividades Micro'!$L451&lt;&gt;""),'Atividades Micro'!$L451,"")</f>
        <v/>
      </c>
      <c r="E399" s="21" t="str">
        <f>IF(AND('Atividades Micro'!$A451=E$2,'Atividades Micro'!$K451&lt;&gt;""),'Atividades Micro'!$K451,"")</f>
        <v/>
      </c>
      <c r="F399" s="21" t="str">
        <f>IF(AND('Atividades Micro'!$A451=F$2,'Atividades Micro'!$L451&lt;&gt;""),'Atividades Micro'!$L451,"")</f>
        <v/>
      </c>
      <c r="G399" s="21" t="str">
        <f>IF(AND('Atividades Micro'!$A451=G$2,'Atividades Micro'!$K451&lt;&gt;""),'Atividades Micro'!$K451,"")</f>
        <v/>
      </c>
      <c r="H399" s="21" t="str">
        <f>IF(AND('Atividades Micro'!$A451=H$2,'Atividades Micro'!$L451&lt;&gt;""),'Atividades Micro'!$L451,"")</f>
        <v/>
      </c>
      <c r="I399" s="21" t="str">
        <f>IF(AND('Atividades Micro'!$A451=I$2,'Atividades Micro'!$K451&lt;&gt;""),'Atividades Micro'!$K451,"")</f>
        <v/>
      </c>
      <c r="J399" s="21" t="str">
        <f>IF(AND('Atividades Micro'!$A451=J$2,'Atividades Micro'!$L451&lt;&gt;""),'Atividades Micro'!$L451,"")</f>
        <v/>
      </c>
      <c r="K399" s="21" t="str">
        <f>IF(AND('Atividades Micro'!$B451=K$2,'Atividades Micro'!$K451&lt;&gt;""),'Atividades Micro'!$K451,"")</f>
        <v/>
      </c>
      <c r="L399" s="21" t="str">
        <f>IF(AND('Atividades Micro'!$B451=L$2,'Atividades Micro'!$L451&lt;&gt;""),'Atividades Micro'!$L451,"")</f>
        <v/>
      </c>
      <c r="M399" s="21" t="str">
        <f>IF(AND('Atividades Micro'!$B451=M$2,'Atividades Micro'!$K451&lt;&gt;""),'Atividades Micro'!$K451,"")</f>
        <v/>
      </c>
      <c r="N399" s="21" t="str">
        <f>IF(AND('Atividades Micro'!$B451=N$2,'Atividades Micro'!$L451&lt;&gt;""),'Atividades Micro'!$L451,"")</f>
        <v/>
      </c>
      <c r="O399" s="21" t="str">
        <f>IF(AND('Atividades Micro'!$A451=O$2,'Atividades Micro'!$K451&lt;&gt;""),'Atividades Micro'!$K451,"")</f>
        <v/>
      </c>
      <c r="P399" s="21" t="str">
        <f>IF(AND('Atividades Micro'!$A451=P$2,'Atividades Micro'!$L451&lt;&gt;""),'Atividades Micro'!$L451,"")</f>
        <v/>
      </c>
      <c r="Q399" s="21" t="str">
        <f>IF(AND('Atividades Micro'!$B451=Q$2,'Atividades Micro'!$K451&lt;&gt;""),'Atividades Micro'!$K451,"")</f>
        <v/>
      </c>
      <c r="R399" s="21" t="str">
        <f>IF(AND('Atividades Micro'!$B451=R$2,'Atividades Micro'!$L451&lt;&gt;""),'Atividades Micro'!$L451,"")</f>
        <v/>
      </c>
      <c r="S399" s="21" t="str">
        <f>IF(AND('Atividades Micro'!$A451=S$2,'Atividades Micro'!$K451&lt;&gt;""),'Atividades Micro'!$K451,"")</f>
        <v/>
      </c>
      <c r="T399" s="21" t="str">
        <f>IF(AND('Atividades Micro'!$A451=T$2,'Atividades Micro'!$L451&lt;&gt;""),'Atividades Micro'!$L451,"")</f>
        <v/>
      </c>
      <c r="U399" s="21" t="str">
        <f>IF(AND('Atividades Micro'!$B451=U$2,'Atividades Micro'!$K451&lt;&gt;""),'Atividades Micro'!$K451,"")</f>
        <v/>
      </c>
      <c r="V399" s="21" t="str">
        <f>IF(AND('Atividades Micro'!$B451=V$2,'Atividades Micro'!$L451&lt;&gt;""),'Atividades Micro'!$L451,"")</f>
        <v/>
      </c>
      <c r="W399" s="21" t="str">
        <f>IF(AND('Atividades Micro'!$B451=W$2,'Atividades Micro'!$K451&lt;&gt;""),'Atividades Micro'!$K451,"")</f>
        <v/>
      </c>
      <c r="X399" s="21" t="str">
        <f>IF(AND('Atividades Micro'!$B451=X$2,'Atividades Micro'!$L451&lt;&gt;""),'Atividades Micro'!$L451,"")</f>
        <v/>
      </c>
      <c r="Y399" s="21" t="str">
        <f>IF(AND('Atividades Micro'!$A451=Y$2,'Atividades Micro'!$K451&lt;&gt;""),'Atividades Micro'!$K451,"")</f>
        <v/>
      </c>
      <c r="Z399" s="21" t="str">
        <f>IF(AND('Atividades Micro'!$A451=Z$2,'Atividades Micro'!$L451&lt;&gt;""),'Atividades Micro'!$L451,"")</f>
        <v/>
      </c>
      <c r="AA399" s="21" t="str">
        <f>IF(AND('Atividades Micro'!$B451=AA$2,'Atividades Micro'!$K451&lt;&gt;""),'Atividades Micro'!$K451,"")</f>
        <v/>
      </c>
      <c r="AB399" s="21" t="str">
        <f>IF(AND('Atividades Micro'!$B451=AB$2,'Atividades Micro'!$L451&lt;&gt;""),'Atividades Micro'!$L451,"")</f>
        <v/>
      </c>
      <c r="AC399" s="21" t="str">
        <f>IF(AND('Atividades Micro'!$B451=AC$2,'Atividades Micro'!$K451&lt;&gt;""),'Atividades Micro'!$K451,"")</f>
        <v/>
      </c>
      <c r="AD399" s="21" t="str">
        <f>IF(AND('Atividades Micro'!$B451=AD$2,'Atividades Micro'!$L451&lt;&gt;""),'Atividades Micro'!$L451,"")</f>
        <v/>
      </c>
      <c r="AE399" s="21" t="str">
        <f>IF(AND('Atividades Micro'!$A451=AE$2,'Atividades Micro'!$K451&lt;&gt;""),'Atividades Micro'!$K451,"")</f>
        <v/>
      </c>
      <c r="AF399" s="21" t="str">
        <f>IF(AND('Atividades Micro'!$A451=AF$2,'Atividades Micro'!$L451&lt;&gt;""),'Atividades Micro'!$L451,"")</f>
        <v/>
      </c>
      <c r="AG399" s="21" t="str">
        <f>IF(AND('Atividades Micro'!$B451=AG$2,'Atividades Micro'!$K451&lt;&gt;""),'Atividades Micro'!$K451,"")</f>
        <v/>
      </c>
      <c r="AH399" s="21" t="str">
        <f>IF(AND('Atividades Micro'!$B451=AH$2,'Atividades Micro'!$L451&lt;&gt;""),'Atividades Micro'!$L451,"")</f>
        <v/>
      </c>
      <c r="AI399" s="21" t="str">
        <f>IF(AND('Atividades Micro'!$B451=AI$2,'Atividades Micro'!$K451&lt;&gt;""),'Atividades Micro'!$K451,"")</f>
        <v/>
      </c>
      <c r="AJ399" s="21" t="str">
        <f>IF(AND('Atividades Micro'!$B451=AJ$2,'Atividades Micro'!$L451&lt;&gt;""),'Atividades Micro'!$L451,"")</f>
        <v/>
      </c>
      <c r="AK399" s="21" t="str">
        <f>IF(AND('Atividades Micro'!$A451=AK$2,'Atividades Micro'!$K451&lt;&gt;""),'Atividades Micro'!$K451,"")</f>
        <v/>
      </c>
      <c r="AL399" s="21" t="str">
        <f>IF(AND('Atividades Micro'!$A451=AL$2,'Atividades Micro'!$L451&lt;&gt;""),'Atividades Micro'!$L451,"")</f>
        <v/>
      </c>
      <c r="AM399" s="21" t="str">
        <f>IF(AND('Atividades Micro'!$B451=AM$2,'Atividades Micro'!$K451&lt;&gt;""),'Atividades Micro'!$K451,"")</f>
        <v/>
      </c>
      <c r="AN399" s="21" t="str">
        <f>IF(AND('Atividades Micro'!$B451=AN$2,'Atividades Micro'!$L451&lt;&gt;""),'Atividades Micro'!$L451,"")</f>
        <v/>
      </c>
      <c r="AO399" s="21" t="str">
        <f>IF(AND('Atividades Micro'!$B451=AO$2,'Atividades Micro'!$K451&lt;&gt;""),'Atividades Micro'!$K451,"")</f>
        <v/>
      </c>
      <c r="AP399" s="21" t="str">
        <f>IF(AND('Atividades Micro'!$B451=AP$2,'Atividades Micro'!$L451&lt;&gt;""),'Atividades Micro'!$L451,"")</f>
        <v/>
      </c>
      <c r="AQ399" s="21" t="str">
        <f>IF(AND('Atividades Micro'!$A451=AQ$2,'Atividades Micro'!$K451&lt;&gt;""),'Atividades Micro'!$K451,"")</f>
        <v/>
      </c>
      <c r="AR399" s="21" t="str">
        <f>IF(AND('Atividades Micro'!$A451=AR$2,'Atividades Micro'!$L451&lt;&gt;""),'Atividades Micro'!$L451,"")</f>
        <v/>
      </c>
      <c r="AS399" s="21" t="str">
        <f>IF(AND('Atividades Micro'!$B451=AS$2,'Atividades Micro'!$K451&lt;&gt;""),'Atividades Micro'!$K451,"")</f>
        <v/>
      </c>
      <c r="AT399" s="21" t="str">
        <f>IF(AND('Atividades Micro'!$B451=AT$2,'Atividades Micro'!$L451&lt;&gt;""),'Atividades Micro'!$L451,"")</f>
        <v/>
      </c>
      <c r="AU399" s="21" t="str">
        <f>IF(AND('Atividades Micro'!$A451=AU$2,'Atividades Micro'!$K451&lt;&gt;""),'Atividades Micro'!$K451,"")</f>
        <v/>
      </c>
      <c r="AV399" s="21" t="str">
        <f>IF(AND('Atividades Micro'!$A451=AV$2,'Atividades Micro'!$L451&lt;&gt;""),'Atividades Micro'!$L451,"")</f>
        <v/>
      </c>
      <c r="AW399" s="21" t="str">
        <f>IF(AND('Atividades Micro'!$B451=AW$2,'Atividades Micro'!$K451&lt;&gt;""),'Atividades Micro'!$K451,"")</f>
        <v/>
      </c>
      <c r="AX399" s="21" t="str">
        <f>IF(AND('Atividades Micro'!$B451=AX$2,'Atividades Micro'!$L451&lt;&gt;""),'Atividades Micro'!$L451,"")</f>
        <v/>
      </c>
      <c r="AY399" s="21" t="str">
        <f>IF(AND('Atividades Micro'!$A451=AY$2,'Atividades Micro'!$K451&lt;&gt;""),'Atividades Micro'!$K451,"")</f>
        <v/>
      </c>
      <c r="AZ399" s="21" t="str">
        <f>IF(AND('Atividades Micro'!$A451=AZ$2,'Atividades Micro'!$L451&lt;&gt;""),'Atividades Micro'!$L451,"")</f>
        <v/>
      </c>
      <c r="BA399" s="21" t="str">
        <f>IF(AND('Atividades Micro'!$B451=BA$2,'Atividades Micro'!$K451&lt;&gt;""),'Atividades Micro'!$K451,"")</f>
        <v/>
      </c>
      <c r="BB399" s="21" t="str">
        <f>IF(AND('Atividades Micro'!$B451=BB$2,'Atividades Micro'!$L451&lt;&gt;""),'Atividades Micro'!$L451,"")</f>
        <v/>
      </c>
      <c r="BC399" s="21" t="str">
        <f>IF(AND('Atividades Micro'!$B451=BC$2,'Atividades Micro'!$G451="Macro",'Atividades Micro'!$K451&lt;&gt;""),'Atividades Micro'!$K451,"")</f>
        <v/>
      </c>
      <c r="BD399" s="21" t="str">
        <f>IF(AND('Atividades Micro'!$B451=BD$2,'Atividades Micro'!$G451="Macro",'Atividades Micro'!$K451&lt;&gt;""),'Atividades Micro'!$K451,"")</f>
        <v/>
      </c>
      <c r="BE399" s="21" t="str">
        <f>IF(AND('Atividades Micro'!$B451=BE$2,'Atividades Micro'!$G451="Macro",'Atividades Micro'!$K451&lt;&gt;""),'Atividades Micro'!$K451,"")</f>
        <v/>
      </c>
      <c r="BF399" s="21" t="str">
        <f>IF(AND('Atividades Micro'!$B451=BF$2,'Atividades Micro'!$G451="Macro",'Atividades Micro'!$K451&lt;&gt;""),'Atividades Micro'!$K451,"")</f>
        <v/>
      </c>
      <c r="BG399" s="21" t="str">
        <f>IF(AND('Atividades Micro'!$B451=BG$2,'Atividades Micro'!$G451="Macro",'Atividades Micro'!$K451&lt;&gt;""),'Atividades Micro'!$K451,"")</f>
        <v/>
      </c>
      <c r="BH399" s="21" t="str">
        <f>IF(AND('Atividades Micro'!$B451=BH$2,'Atividades Micro'!$G451="Macro",'Atividades Micro'!$K451&lt;&gt;""),'Atividades Micro'!$K451,"")</f>
        <v/>
      </c>
      <c r="BI399" s="21" t="str">
        <f>IF(AND('Atividades Micro'!$B451=BI$2,'Atividades Micro'!$G451="Macro",'Atividades Micro'!$K451&lt;&gt;""),'Atividades Micro'!$K451,"")</f>
        <v/>
      </c>
      <c r="BJ399" s="21" t="str">
        <f>IF(AND('Atividades Micro'!$B451=BJ$2,'Atividades Micro'!$G451="Macro",'Atividades Micro'!$K451&lt;&gt;""),'Atividades Micro'!$K451,"")</f>
        <v/>
      </c>
      <c r="BK399" s="21" t="str">
        <f>IF(AND('Atividades Micro'!$B451=BK$2,'Atividades Micro'!$G451="Macro",'Atividades Micro'!$K451&lt;&gt;""),'Atividades Micro'!$K451,"")</f>
        <v/>
      </c>
      <c r="BL399" s="21" t="str">
        <f>IF(AND('Atividades Micro'!$B451=BL$2,'Atividades Micro'!$G451="Macro",'Atividades Micro'!$K451&lt;&gt;""),'Atividades Micro'!$K451,"")</f>
        <v/>
      </c>
      <c r="BM399" s="21" t="str">
        <f>IF(AND('Atividades Micro'!$B451=BM$2,'Atividades Micro'!$G451="Macro",'Atividades Micro'!$K451&lt;&gt;""),'Atividades Micro'!$K451,"")</f>
        <v/>
      </c>
      <c r="BN399" s="21" t="str">
        <f>IF(AND('Atividades Micro'!$B451=BN$2,'Atividades Micro'!$G451="Macro",'Atividades Micro'!$K451&lt;&gt;""),'Atividades Micro'!$K451,"")</f>
        <v/>
      </c>
      <c r="BO399" s="21" t="str">
        <f>IF(AND('Atividades Micro'!$B451=BO$2,'Atividades Micro'!$G451="Macro",'Atividades Micro'!$K451&lt;&gt;""),'Atividades Micro'!$K451,"")</f>
        <v/>
      </c>
      <c r="BP399" s="21" t="str">
        <f>IF(AND('Atividades Micro'!$B451=BP$2,'Atividades Micro'!$G451="Macro",'Atividades Micro'!$K451&lt;&gt;""),'Atividades Micro'!$K451,"")</f>
        <v/>
      </c>
      <c r="BQ399" s="21" t="str">
        <f>IF(AND('Atividades Micro'!$B451=BQ$2,'Atividades Micro'!$G451="Macro",'Atividades Micro'!$K451&lt;&gt;""),'Atividades Micro'!$K451,"")</f>
        <v/>
      </c>
      <c r="BR399" s="21" t="str">
        <f>IF(AND('Atividades Micro'!$B451=BR$2,'Atividades Micro'!$G451="Macro",'Atividades Micro'!$K451&lt;&gt;""),'Atividades Micro'!$K451,"")</f>
        <v/>
      </c>
      <c r="BS399" s="21" t="str">
        <f>IF(AND('Atividades Micro'!$B451=BS$2,'Atividades Micro'!$G451="Macro",'Atividades Micro'!$K451&lt;&gt;""),'Atividades Micro'!$K451,"")</f>
        <v/>
      </c>
      <c r="BT399" s="21" t="str">
        <f>IF(AND('Atividades Micro'!$B451=BT$2,'Atividades Micro'!$G451="Macro",'Atividades Micro'!$K451&lt;&gt;""),'Atividades Micro'!$K451,"")</f>
        <v/>
      </c>
      <c r="BU399" s="21" t="str">
        <f>IF(AND('Atividades Micro'!$B451=BU$2,'Atividades Micro'!$G451="Macro",'Atividades Micro'!$K451&lt;&gt;""),'Atividades Micro'!$K451,"")</f>
        <v/>
      </c>
      <c r="BV399" s="21" t="str">
        <f>IF(AND('Atividades Micro'!$B451=BV$2,'Atividades Micro'!$G451="Macro",'Atividades Micro'!$K451&lt;&gt;""),'Atividades Micro'!$K451,"")</f>
        <v/>
      </c>
      <c r="BW399" s="21" t="str">
        <f>IF(AND('Atividades Micro'!$B451=BW$2,'Atividades Micro'!$G451="Macro",'Atividades Micro'!$K451&lt;&gt;""),'Atividades Micro'!$K451,"")</f>
        <v/>
      </c>
      <c r="BX399" s="21" t="str">
        <f>IF(AND('Atividades Micro'!$B451=BX$2,'Atividades Micro'!$G451="Macro",'Atividades Micro'!$K451&lt;&gt;""),'Atividades Micro'!$K451,"")</f>
        <v/>
      </c>
      <c r="BY399" s="21" t="str">
        <f>IF(AND('Atividades Micro'!$B451=BY$2,'Atividades Micro'!$G451="Macro",'Atividades Micro'!$K451&lt;&gt;""),'Atividades Micro'!$K451,"")</f>
        <v/>
      </c>
      <c r="BZ399" s="21" t="str">
        <f>IF(AND('Atividades Micro'!$B451=BZ$2,'Atividades Micro'!$G451="Macro",'Atividades Micro'!$K451&lt;&gt;""),'Atividades Micro'!$K451,"")</f>
        <v/>
      </c>
      <c r="CA399" s="21" t="str">
        <f>IF(AND('Atividades Micro'!$B451=CA$2,'Atividades Micro'!$G451="Macro",'Atividades Micro'!$K451&lt;&gt;""),'Atividades Micro'!$K451,"")</f>
        <v/>
      </c>
      <c r="CB399" s="21" t="str">
        <f>IF(AND('Atividades Micro'!$B451=CB$2,'Atividades Micro'!$G451="Macro",'Atividades Micro'!$K451&lt;&gt;""),'Atividades Micro'!$K451,"")</f>
        <v/>
      </c>
      <c r="CC399" s="21" t="str">
        <f>IF(AND('Atividades Micro'!$B451=CC$2,'Atividades Micro'!$G451="Macro",'Atividades Micro'!$K451&lt;&gt;""),'Atividades Micro'!$K451,"")</f>
        <v/>
      </c>
      <c r="CD399" s="21" t="str">
        <f>IF(AND('Atividades Micro'!$B451=CD$2,'Atividades Micro'!$G451="Micro",'Atividades Micro'!$K451&lt;&gt;""),'Atividades Micro'!$K451,"")</f>
        <v/>
      </c>
      <c r="CE399" s="21" t="str">
        <f>IF(AND('Atividades Micro'!$B451=CE$2,'Atividades Micro'!$G451="Micro",'Atividades Micro'!$K451&lt;&gt;""),'Atividades Micro'!$K451,"")</f>
        <v/>
      </c>
      <c r="CF399" s="21" t="str">
        <f>IF(AND('Atividades Micro'!$B451=CF$2,'Atividades Micro'!$G451="Micro",'Atividades Micro'!$K451&lt;&gt;""),'Atividades Micro'!$K451,"")</f>
        <v/>
      </c>
      <c r="CG399" s="21" t="str">
        <f>IF(AND('Atividades Micro'!$B451=CG$2,'Atividades Micro'!$G451="Micro",'Atividades Micro'!$K451&lt;&gt;""),'Atividades Micro'!$K451,"")</f>
        <v/>
      </c>
      <c r="CH399" s="21" t="str">
        <f>IF(AND('Atividades Micro'!$B451=CH$2,'Atividades Micro'!$G451="Micro",'Atividades Micro'!$K451&lt;&gt;""),'Atividades Micro'!$K451,"")</f>
        <v/>
      </c>
      <c r="CI399" s="21" t="str">
        <f>IF(AND('Atividades Micro'!$B451=CI$2,'Atividades Micro'!$G451="Micro",'Atividades Micro'!$K451&lt;&gt;""),'Atividades Micro'!$K451,"")</f>
        <v/>
      </c>
      <c r="CJ399" s="21" t="str">
        <f>IF(AND('Atividades Micro'!$B451=CJ$2,'Atividades Micro'!$G451="Micro",'Atividades Micro'!$K451&lt;&gt;""),'Atividades Micro'!$K451,"")</f>
        <v/>
      </c>
      <c r="CK399" s="21" t="str">
        <f>IF(AND('Atividades Micro'!$B451=CK$2,'Atividades Micro'!$G451="Micro",'Atividades Micro'!$K451&lt;&gt;""),'Atividades Micro'!$K451,"")</f>
        <v/>
      </c>
      <c r="CL399" s="21" t="str">
        <f>IF(AND('Atividades Micro'!$B451=CL$2,'Atividades Micro'!$G451="Micro",'Atividades Micro'!$K451&lt;&gt;""),'Atividades Micro'!$K451,"")</f>
        <v/>
      </c>
      <c r="CM399" s="21" t="str">
        <f>IF(AND('Atividades Micro'!$B451=CM$2,'Atividades Micro'!$G451="Micro",'Atividades Micro'!$K451&lt;&gt;""),'Atividades Micro'!$K451,"")</f>
        <v/>
      </c>
      <c r="CN399" s="21" t="str">
        <f>IF(AND('Atividades Micro'!$B451=CN$2,'Atividades Micro'!$G451="Micro",'Atividades Micro'!$K451&lt;&gt;""),'Atividades Micro'!$K451,"")</f>
        <v/>
      </c>
      <c r="CO399" s="21" t="str">
        <f>IF(AND('Atividades Micro'!$B451=CO$2,'Atividades Micro'!$G451="Micro",'Atividades Micro'!$K451&lt;&gt;""),'Atividades Micro'!$K451,"")</f>
        <v/>
      </c>
    </row>
    <row r="400" spans="1:93">
      <c r="A400" s="21" t="str">
        <f>IF(AND('Atividades Micro'!$A452=A$2,'Atividades Micro'!$K452&lt;&gt;""),'Atividades Micro'!$K452,"")</f>
        <v/>
      </c>
      <c r="B400" s="21" t="str">
        <f>IF(AND('Atividades Micro'!$A452=B$2,'Atividades Micro'!$L452&lt;&gt;""),'Atividades Micro'!$L452,"")</f>
        <v/>
      </c>
      <c r="C400" s="21" t="str">
        <f>IF(AND('Atividades Micro'!$A452=C$2,'Atividades Micro'!$K452&lt;&gt;""),'Atividades Micro'!$K452,"")</f>
        <v/>
      </c>
      <c r="D400" s="21" t="str">
        <f>IF(AND('Atividades Micro'!$A452=D$2,'Atividades Micro'!$L452&lt;&gt;""),'Atividades Micro'!$L452,"")</f>
        <v/>
      </c>
      <c r="E400" s="21" t="str">
        <f>IF(AND('Atividades Micro'!$A452=E$2,'Atividades Micro'!$K452&lt;&gt;""),'Atividades Micro'!$K452,"")</f>
        <v/>
      </c>
      <c r="F400" s="21" t="str">
        <f>IF(AND('Atividades Micro'!$A452=F$2,'Atividades Micro'!$L452&lt;&gt;""),'Atividades Micro'!$L452,"")</f>
        <v/>
      </c>
      <c r="G400" s="21" t="str">
        <f>IF(AND('Atividades Micro'!$A452=G$2,'Atividades Micro'!$K452&lt;&gt;""),'Atividades Micro'!$K452,"")</f>
        <v/>
      </c>
      <c r="H400" s="21" t="str">
        <f>IF(AND('Atividades Micro'!$A452=H$2,'Atividades Micro'!$L452&lt;&gt;""),'Atividades Micro'!$L452,"")</f>
        <v/>
      </c>
      <c r="I400" s="21" t="str">
        <f>IF(AND('Atividades Micro'!$A452=I$2,'Atividades Micro'!$K452&lt;&gt;""),'Atividades Micro'!$K452,"")</f>
        <v/>
      </c>
      <c r="J400" s="21" t="str">
        <f>IF(AND('Atividades Micro'!$A452=J$2,'Atividades Micro'!$L452&lt;&gt;""),'Atividades Micro'!$L452,"")</f>
        <v/>
      </c>
      <c r="K400" s="21" t="str">
        <f>IF(AND('Atividades Micro'!$B452=K$2,'Atividades Micro'!$K452&lt;&gt;""),'Atividades Micro'!$K452,"")</f>
        <v/>
      </c>
      <c r="L400" s="21" t="str">
        <f>IF(AND('Atividades Micro'!$B452=L$2,'Atividades Micro'!$L452&lt;&gt;""),'Atividades Micro'!$L452,"")</f>
        <v/>
      </c>
      <c r="M400" s="21" t="str">
        <f>IF(AND('Atividades Micro'!$B452=M$2,'Atividades Micro'!$K452&lt;&gt;""),'Atividades Micro'!$K452,"")</f>
        <v/>
      </c>
      <c r="N400" s="21" t="str">
        <f>IF(AND('Atividades Micro'!$B452=N$2,'Atividades Micro'!$L452&lt;&gt;""),'Atividades Micro'!$L452,"")</f>
        <v/>
      </c>
      <c r="O400" s="21" t="str">
        <f>IF(AND('Atividades Micro'!$A452=O$2,'Atividades Micro'!$K452&lt;&gt;""),'Atividades Micro'!$K452,"")</f>
        <v/>
      </c>
      <c r="P400" s="21" t="str">
        <f>IF(AND('Atividades Micro'!$A452=P$2,'Atividades Micro'!$L452&lt;&gt;""),'Atividades Micro'!$L452,"")</f>
        <v/>
      </c>
      <c r="Q400" s="21" t="str">
        <f>IF(AND('Atividades Micro'!$B452=Q$2,'Atividades Micro'!$K452&lt;&gt;""),'Atividades Micro'!$K452,"")</f>
        <v/>
      </c>
      <c r="R400" s="21" t="str">
        <f>IF(AND('Atividades Micro'!$B452=R$2,'Atividades Micro'!$L452&lt;&gt;""),'Atividades Micro'!$L452,"")</f>
        <v/>
      </c>
      <c r="S400" s="21" t="str">
        <f>IF(AND('Atividades Micro'!$A452=S$2,'Atividades Micro'!$K452&lt;&gt;""),'Atividades Micro'!$K452,"")</f>
        <v/>
      </c>
      <c r="T400" s="21" t="str">
        <f>IF(AND('Atividades Micro'!$A452=T$2,'Atividades Micro'!$L452&lt;&gt;""),'Atividades Micro'!$L452,"")</f>
        <v/>
      </c>
      <c r="U400" s="21" t="str">
        <f>IF(AND('Atividades Micro'!$B452=U$2,'Atividades Micro'!$K452&lt;&gt;""),'Atividades Micro'!$K452,"")</f>
        <v/>
      </c>
      <c r="V400" s="21" t="str">
        <f>IF(AND('Atividades Micro'!$B452=V$2,'Atividades Micro'!$L452&lt;&gt;""),'Atividades Micro'!$L452,"")</f>
        <v/>
      </c>
      <c r="W400" s="21" t="str">
        <f>IF(AND('Atividades Micro'!$B452=W$2,'Atividades Micro'!$K452&lt;&gt;""),'Atividades Micro'!$K452,"")</f>
        <v/>
      </c>
      <c r="X400" s="21" t="str">
        <f>IF(AND('Atividades Micro'!$B452=X$2,'Atividades Micro'!$L452&lt;&gt;""),'Atividades Micro'!$L452,"")</f>
        <v/>
      </c>
      <c r="Y400" s="21" t="str">
        <f>IF(AND('Atividades Micro'!$A452=Y$2,'Atividades Micro'!$K452&lt;&gt;""),'Atividades Micro'!$K452,"")</f>
        <v/>
      </c>
      <c r="Z400" s="21" t="str">
        <f>IF(AND('Atividades Micro'!$A452=Z$2,'Atividades Micro'!$L452&lt;&gt;""),'Atividades Micro'!$L452,"")</f>
        <v/>
      </c>
      <c r="AA400" s="21" t="str">
        <f>IF(AND('Atividades Micro'!$B452=AA$2,'Atividades Micro'!$K452&lt;&gt;""),'Atividades Micro'!$K452,"")</f>
        <v/>
      </c>
      <c r="AB400" s="21" t="str">
        <f>IF(AND('Atividades Micro'!$B452=AB$2,'Atividades Micro'!$L452&lt;&gt;""),'Atividades Micro'!$L452,"")</f>
        <v/>
      </c>
      <c r="AC400" s="21" t="str">
        <f>IF(AND('Atividades Micro'!$B452=AC$2,'Atividades Micro'!$K452&lt;&gt;""),'Atividades Micro'!$K452,"")</f>
        <v/>
      </c>
      <c r="AD400" s="21" t="str">
        <f>IF(AND('Atividades Micro'!$B452=AD$2,'Atividades Micro'!$L452&lt;&gt;""),'Atividades Micro'!$L452,"")</f>
        <v/>
      </c>
      <c r="AE400" s="21" t="str">
        <f>IF(AND('Atividades Micro'!$A452=AE$2,'Atividades Micro'!$K452&lt;&gt;""),'Atividades Micro'!$K452,"")</f>
        <v/>
      </c>
      <c r="AF400" s="21" t="str">
        <f>IF(AND('Atividades Micro'!$A452=AF$2,'Atividades Micro'!$L452&lt;&gt;""),'Atividades Micro'!$L452,"")</f>
        <v/>
      </c>
      <c r="AG400" s="21" t="str">
        <f>IF(AND('Atividades Micro'!$B452=AG$2,'Atividades Micro'!$K452&lt;&gt;""),'Atividades Micro'!$K452,"")</f>
        <v/>
      </c>
      <c r="AH400" s="21" t="str">
        <f>IF(AND('Atividades Micro'!$B452=AH$2,'Atividades Micro'!$L452&lt;&gt;""),'Atividades Micro'!$L452,"")</f>
        <v/>
      </c>
      <c r="AI400" s="21" t="str">
        <f>IF(AND('Atividades Micro'!$B452=AI$2,'Atividades Micro'!$K452&lt;&gt;""),'Atividades Micro'!$K452,"")</f>
        <v/>
      </c>
      <c r="AJ400" s="21" t="str">
        <f>IF(AND('Atividades Micro'!$B452=AJ$2,'Atividades Micro'!$L452&lt;&gt;""),'Atividades Micro'!$L452,"")</f>
        <v/>
      </c>
      <c r="AK400" s="21" t="str">
        <f>IF(AND('Atividades Micro'!$A452=AK$2,'Atividades Micro'!$K452&lt;&gt;""),'Atividades Micro'!$K452,"")</f>
        <v/>
      </c>
      <c r="AL400" s="21" t="str">
        <f>IF(AND('Atividades Micro'!$A452=AL$2,'Atividades Micro'!$L452&lt;&gt;""),'Atividades Micro'!$L452,"")</f>
        <v/>
      </c>
      <c r="AM400" s="21" t="str">
        <f>IF(AND('Atividades Micro'!$B452=AM$2,'Atividades Micro'!$K452&lt;&gt;""),'Atividades Micro'!$K452,"")</f>
        <v/>
      </c>
      <c r="AN400" s="21" t="str">
        <f>IF(AND('Atividades Micro'!$B452=AN$2,'Atividades Micro'!$L452&lt;&gt;""),'Atividades Micro'!$L452,"")</f>
        <v/>
      </c>
      <c r="AO400" s="21" t="str">
        <f>IF(AND('Atividades Micro'!$B452=AO$2,'Atividades Micro'!$K452&lt;&gt;""),'Atividades Micro'!$K452,"")</f>
        <v/>
      </c>
      <c r="AP400" s="21" t="str">
        <f>IF(AND('Atividades Micro'!$B452=AP$2,'Atividades Micro'!$L452&lt;&gt;""),'Atividades Micro'!$L452,"")</f>
        <v/>
      </c>
      <c r="AQ400" s="21" t="str">
        <f>IF(AND('Atividades Micro'!$A452=AQ$2,'Atividades Micro'!$K452&lt;&gt;""),'Atividades Micro'!$K452,"")</f>
        <v/>
      </c>
      <c r="AR400" s="21" t="str">
        <f>IF(AND('Atividades Micro'!$A452=AR$2,'Atividades Micro'!$L452&lt;&gt;""),'Atividades Micro'!$L452,"")</f>
        <v/>
      </c>
      <c r="AS400" s="21" t="str">
        <f>IF(AND('Atividades Micro'!$B452=AS$2,'Atividades Micro'!$K452&lt;&gt;""),'Atividades Micro'!$K452,"")</f>
        <v/>
      </c>
      <c r="AT400" s="21" t="str">
        <f>IF(AND('Atividades Micro'!$B452=AT$2,'Atividades Micro'!$L452&lt;&gt;""),'Atividades Micro'!$L452,"")</f>
        <v/>
      </c>
      <c r="AU400" s="21" t="str">
        <f>IF(AND('Atividades Micro'!$A452=AU$2,'Atividades Micro'!$K452&lt;&gt;""),'Atividades Micro'!$K452,"")</f>
        <v/>
      </c>
      <c r="AV400" s="21" t="str">
        <f>IF(AND('Atividades Micro'!$A452=AV$2,'Atividades Micro'!$L452&lt;&gt;""),'Atividades Micro'!$L452,"")</f>
        <v/>
      </c>
      <c r="AW400" s="21" t="str">
        <f>IF(AND('Atividades Micro'!$B452=AW$2,'Atividades Micro'!$K452&lt;&gt;""),'Atividades Micro'!$K452,"")</f>
        <v/>
      </c>
      <c r="AX400" s="21" t="str">
        <f>IF(AND('Atividades Micro'!$B452=AX$2,'Atividades Micro'!$L452&lt;&gt;""),'Atividades Micro'!$L452,"")</f>
        <v/>
      </c>
      <c r="AY400" s="21" t="str">
        <f>IF(AND('Atividades Micro'!$A452=AY$2,'Atividades Micro'!$K452&lt;&gt;""),'Atividades Micro'!$K452,"")</f>
        <v/>
      </c>
      <c r="AZ400" s="21" t="str">
        <f>IF(AND('Atividades Micro'!$A452=AZ$2,'Atividades Micro'!$L452&lt;&gt;""),'Atividades Micro'!$L452,"")</f>
        <v/>
      </c>
      <c r="BA400" s="21" t="str">
        <f>IF(AND('Atividades Micro'!$B452=BA$2,'Atividades Micro'!$K452&lt;&gt;""),'Atividades Micro'!$K452,"")</f>
        <v/>
      </c>
      <c r="BB400" s="21" t="str">
        <f>IF(AND('Atividades Micro'!$B452=BB$2,'Atividades Micro'!$L452&lt;&gt;""),'Atividades Micro'!$L452,"")</f>
        <v/>
      </c>
      <c r="BC400" s="21" t="str">
        <f>IF(AND('Atividades Micro'!$B452=BC$2,'Atividades Micro'!$G452="Macro",'Atividades Micro'!$K452&lt;&gt;""),'Atividades Micro'!$K452,"")</f>
        <v/>
      </c>
      <c r="BD400" s="21" t="str">
        <f>IF(AND('Atividades Micro'!$B452=BD$2,'Atividades Micro'!$G452="Macro",'Atividades Micro'!$K452&lt;&gt;""),'Atividades Micro'!$K452,"")</f>
        <v/>
      </c>
      <c r="BE400" s="21" t="str">
        <f>IF(AND('Atividades Micro'!$B452=BE$2,'Atividades Micro'!$G452="Macro",'Atividades Micro'!$K452&lt;&gt;""),'Atividades Micro'!$K452,"")</f>
        <v/>
      </c>
      <c r="BF400" s="21" t="str">
        <f>IF(AND('Atividades Micro'!$B452=BF$2,'Atividades Micro'!$G452="Macro",'Atividades Micro'!$K452&lt;&gt;""),'Atividades Micro'!$K452,"")</f>
        <v/>
      </c>
      <c r="BG400" s="21" t="str">
        <f>IF(AND('Atividades Micro'!$B452=BG$2,'Atividades Micro'!$G452="Macro",'Atividades Micro'!$K452&lt;&gt;""),'Atividades Micro'!$K452,"")</f>
        <v/>
      </c>
      <c r="BH400" s="21" t="str">
        <f>IF(AND('Atividades Micro'!$B452=BH$2,'Atividades Micro'!$G452="Macro",'Atividades Micro'!$K452&lt;&gt;""),'Atividades Micro'!$K452,"")</f>
        <v/>
      </c>
      <c r="BI400" s="21" t="str">
        <f>IF(AND('Atividades Micro'!$B452=BI$2,'Atividades Micro'!$G452="Macro",'Atividades Micro'!$K452&lt;&gt;""),'Atividades Micro'!$K452,"")</f>
        <v/>
      </c>
      <c r="BJ400" s="21" t="str">
        <f>IF(AND('Atividades Micro'!$B452=BJ$2,'Atividades Micro'!$G452="Macro",'Atividades Micro'!$K452&lt;&gt;""),'Atividades Micro'!$K452,"")</f>
        <v/>
      </c>
      <c r="BK400" s="21" t="str">
        <f>IF(AND('Atividades Micro'!$B452=BK$2,'Atividades Micro'!$G452="Macro",'Atividades Micro'!$K452&lt;&gt;""),'Atividades Micro'!$K452,"")</f>
        <v/>
      </c>
      <c r="BL400" s="21" t="str">
        <f>IF(AND('Atividades Micro'!$B452=BL$2,'Atividades Micro'!$G452="Macro",'Atividades Micro'!$K452&lt;&gt;""),'Atividades Micro'!$K452,"")</f>
        <v/>
      </c>
      <c r="BM400" s="21" t="str">
        <f>IF(AND('Atividades Micro'!$B452=BM$2,'Atividades Micro'!$G452="Macro",'Atividades Micro'!$K452&lt;&gt;""),'Atividades Micro'!$K452,"")</f>
        <v/>
      </c>
      <c r="BN400" s="21" t="str">
        <f>IF(AND('Atividades Micro'!$B452=BN$2,'Atividades Micro'!$G452="Macro",'Atividades Micro'!$K452&lt;&gt;""),'Atividades Micro'!$K452,"")</f>
        <v/>
      </c>
      <c r="BO400" s="21" t="str">
        <f>IF(AND('Atividades Micro'!$B452=BO$2,'Atividades Micro'!$G452="Macro",'Atividades Micro'!$K452&lt;&gt;""),'Atividades Micro'!$K452,"")</f>
        <v/>
      </c>
      <c r="BP400" s="21" t="str">
        <f>IF(AND('Atividades Micro'!$B452=BP$2,'Atividades Micro'!$G452="Macro",'Atividades Micro'!$K452&lt;&gt;""),'Atividades Micro'!$K452,"")</f>
        <v/>
      </c>
      <c r="BQ400" s="21" t="str">
        <f>IF(AND('Atividades Micro'!$B452=BQ$2,'Atividades Micro'!$G452="Macro",'Atividades Micro'!$K452&lt;&gt;""),'Atividades Micro'!$K452,"")</f>
        <v/>
      </c>
      <c r="BR400" s="21" t="str">
        <f>IF(AND('Atividades Micro'!$B452=BR$2,'Atividades Micro'!$G452="Macro",'Atividades Micro'!$K452&lt;&gt;""),'Atividades Micro'!$K452,"")</f>
        <v/>
      </c>
      <c r="BS400" s="21" t="str">
        <f>IF(AND('Atividades Micro'!$B452=BS$2,'Atividades Micro'!$G452="Macro",'Atividades Micro'!$K452&lt;&gt;""),'Atividades Micro'!$K452,"")</f>
        <v/>
      </c>
      <c r="BT400" s="21" t="str">
        <f>IF(AND('Atividades Micro'!$B452=BT$2,'Atividades Micro'!$G452="Macro",'Atividades Micro'!$K452&lt;&gt;""),'Atividades Micro'!$K452,"")</f>
        <v/>
      </c>
      <c r="BU400" s="21" t="str">
        <f>IF(AND('Atividades Micro'!$B452=BU$2,'Atividades Micro'!$G452="Macro",'Atividades Micro'!$K452&lt;&gt;""),'Atividades Micro'!$K452,"")</f>
        <v/>
      </c>
      <c r="BV400" s="21" t="str">
        <f>IF(AND('Atividades Micro'!$B452=BV$2,'Atividades Micro'!$G452="Macro",'Atividades Micro'!$K452&lt;&gt;""),'Atividades Micro'!$K452,"")</f>
        <v/>
      </c>
      <c r="BW400" s="21" t="str">
        <f>IF(AND('Atividades Micro'!$B452=BW$2,'Atividades Micro'!$G452="Macro",'Atividades Micro'!$K452&lt;&gt;""),'Atividades Micro'!$K452,"")</f>
        <v/>
      </c>
      <c r="BX400" s="21" t="str">
        <f>IF(AND('Atividades Micro'!$B452=BX$2,'Atividades Micro'!$G452="Macro",'Atividades Micro'!$K452&lt;&gt;""),'Atividades Micro'!$K452,"")</f>
        <v/>
      </c>
      <c r="BY400" s="21" t="str">
        <f>IF(AND('Atividades Micro'!$B452=BY$2,'Atividades Micro'!$G452="Macro",'Atividades Micro'!$K452&lt;&gt;""),'Atividades Micro'!$K452,"")</f>
        <v/>
      </c>
      <c r="BZ400" s="21" t="str">
        <f>IF(AND('Atividades Micro'!$B452=BZ$2,'Atividades Micro'!$G452="Macro",'Atividades Micro'!$K452&lt;&gt;""),'Atividades Micro'!$K452,"")</f>
        <v/>
      </c>
      <c r="CA400" s="21" t="str">
        <f>IF(AND('Atividades Micro'!$B452=CA$2,'Atividades Micro'!$G452="Macro",'Atividades Micro'!$K452&lt;&gt;""),'Atividades Micro'!$K452,"")</f>
        <v/>
      </c>
      <c r="CB400" s="21" t="str">
        <f>IF(AND('Atividades Micro'!$B452=CB$2,'Atividades Micro'!$G452="Macro",'Atividades Micro'!$K452&lt;&gt;""),'Atividades Micro'!$K452,"")</f>
        <v/>
      </c>
      <c r="CC400" s="21" t="str">
        <f>IF(AND('Atividades Micro'!$B452=CC$2,'Atividades Micro'!$G452="Macro",'Atividades Micro'!$K452&lt;&gt;""),'Atividades Micro'!$K452,"")</f>
        <v/>
      </c>
      <c r="CD400" s="21" t="str">
        <f>IF(AND('Atividades Micro'!$B452=CD$2,'Atividades Micro'!$G452="Micro",'Atividades Micro'!$K452&lt;&gt;""),'Atividades Micro'!$K452,"")</f>
        <v/>
      </c>
      <c r="CE400" s="21" t="str">
        <f>IF(AND('Atividades Micro'!$B452=CE$2,'Atividades Micro'!$G452="Micro",'Atividades Micro'!$K452&lt;&gt;""),'Atividades Micro'!$K452,"")</f>
        <v/>
      </c>
      <c r="CF400" s="21" t="str">
        <f>IF(AND('Atividades Micro'!$B452=CF$2,'Atividades Micro'!$G452="Micro",'Atividades Micro'!$K452&lt;&gt;""),'Atividades Micro'!$K452,"")</f>
        <v/>
      </c>
      <c r="CG400" s="21" t="str">
        <f>IF(AND('Atividades Micro'!$B452=CG$2,'Atividades Micro'!$G452="Micro",'Atividades Micro'!$K452&lt;&gt;""),'Atividades Micro'!$K452,"")</f>
        <v/>
      </c>
      <c r="CH400" s="21" t="str">
        <f>IF(AND('Atividades Micro'!$B452=CH$2,'Atividades Micro'!$G452="Micro",'Atividades Micro'!$K452&lt;&gt;""),'Atividades Micro'!$K452,"")</f>
        <v/>
      </c>
      <c r="CI400" s="21" t="str">
        <f>IF(AND('Atividades Micro'!$B452=CI$2,'Atividades Micro'!$G452="Micro",'Atividades Micro'!$K452&lt;&gt;""),'Atividades Micro'!$K452,"")</f>
        <v/>
      </c>
      <c r="CJ400" s="21" t="str">
        <f>IF(AND('Atividades Micro'!$B452=CJ$2,'Atividades Micro'!$G452="Micro",'Atividades Micro'!$K452&lt;&gt;""),'Atividades Micro'!$K452,"")</f>
        <v/>
      </c>
      <c r="CK400" s="21" t="str">
        <f>IF(AND('Atividades Micro'!$B452=CK$2,'Atividades Micro'!$G452="Micro",'Atividades Micro'!$K452&lt;&gt;""),'Atividades Micro'!$K452,"")</f>
        <v/>
      </c>
      <c r="CL400" s="21" t="str">
        <f>IF(AND('Atividades Micro'!$B452=CL$2,'Atividades Micro'!$G452="Micro",'Atividades Micro'!$K452&lt;&gt;""),'Atividades Micro'!$K452,"")</f>
        <v/>
      </c>
      <c r="CM400" s="21" t="str">
        <f>IF(AND('Atividades Micro'!$B452=CM$2,'Atividades Micro'!$G452="Micro",'Atividades Micro'!$K452&lt;&gt;""),'Atividades Micro'!$K452,"")</f>
        <v/>
      </c>
      <c r="CN400" s="21" t="str">
        <f>IF(AND('Atividades Micro'!$B452=CN$2,'Atividades Micro'!$G452="Micro",'Atividades Micro'!$K452&lt;&gt;""),'Atividades Micro'!$K452,"")</f>
        <v/>
      </c>
      <c r="CO400" s="21" t="str">
        <f>IF(AND('Atividades Micro'!$B452=CO$2,'Atividades Micro'!$G452="Micro",'Atividades Micro'!$K452&lt;&gt;""),'Atividades Micro'!$K452,"")</f>
        <v/>
      </c>
    </row>
    <row r="401" spans="1:93">
      <c r="A401" s="21" t="str">
        <f>IF(AND('Atividades Micro'!$A453=A$2,'Atividades Micro'!$K453&lt;&gt;""),'Atividades Micro'!$K453,"")</f>
        <v/>
      </c>
      <c r="B401" s="21" t="str">
        <f>IF(AND('Atividades Micro'!$A453=B$2,'Atividades Micro'!$L453&lt;&gt;""),'Atividades Micro'!$L453,"")</f>
        <v/>
      </c>
      <c r="C401" s="21" t="str">
        <f>IF(AND('Atividades Micro'!$A453=C$2,'Atividades Micro'!$K453&lt;&gt;""),'Atividades Micro'!$K453,"")</f>
        <v/>
      </c>
      <c r="D401" s="21" t="str">
        <f>IF(AND('Atividades Micro'!$A453=D$2,'Atividades Micro'!$L453&lt;&gt;""),'Atividades Micro'!$L453,"")</f>
        <v/>
      </c>
      <c r="E401" s="21" t="str">
        <f>IF(AND('Atividades Micro'!$A453=E$2,'Atividades Micro'!$K453&lt;&gt;""),'Atividades Micro'!$K453,"")</f>
        <v/>
      </c>
      <c r="F401" s="21" t="str">
        <f>IF(AND('Atividades Micro'!$A453=F$2,'Atividades Micro'!$L453&lt;&gt;""),'Atividades Micro'!$L453,"")</f>
        <v/>
      </c>
      <c r="G401" s="21" t="str">
        <f>IF(AND('Atividades Micro'!$A453=G$2,'Atividades Micro'!$K453&lt;&gt;""),'Atividades Micro'!$K453,"")</f>
        <v/>
      </c>
      <c r="H401" s="21" t="str">
        <f>IF(AND('Atividades Micro'!$A453=H$2,'Atividades Micro'!$L453&lt;&gt;""),'Atividades Micro'!$L453,"")</f>
        <v/>
      </c>
      <c r="I401" s="21" t="str">
        <f>IF(AND('Atividades Micro'!$A453=I$2,'Atividades Micro'!$K453&lt;&gt;""),'Atividades Micro'!$K453,"")</f>
        <v/>
      </c>
      <c r="J401" s="21" t="str">
        <f>IF(AND('Atividades Micro'!$A453=J$2,'Atividades Micro'!$L453&lt;&gt;""),'Atividades Micro'!$L453,"")</f>
        <v/>
      </c>
      <c r="K401" s="21" t="str">
        <f>IF(AND('Atividades Micro'!$B453=K$2,'Atividades Micro'!$K453&lt;&gt;""),'Atividades Micro'!$K453,"")</f>
        <v/>
      </c>
      <c r="L401" s="21" t="str">
        <f>IF(AND('Atividades Micro'!$B453=L$2,'Atividades Micro'!$L453&lt;&gt;""),'Atividades Micro'!$L453,"")</f>
        <v/>
      </c>
      <c r="M401" s="21" t="str">
        <f>IF(AND('Atividades Micro'!$B453=M$2,'Atividades Micro'!$K453&lt;&gt;""),'Atividades Micro'!$K453,"")</f>
        <v/>
      </c>
      <c r="N401" s="21" t="str">
        <f>IF(AND('Atividades Micro'!$B453=N$2,'Atividades Micro'!$L453&lt;&gt;""),'Atividades Micro'!$L453,"")</f>
        <v/>
      </c>
      <c r="O401" s="21" t="str">
        <f>IF(AND('Atividades Micro'!$A453=O$2,'Atividades Micro'!$K453&lt;&gt;""),'Atividades Micro'!$K453,"")</f>
        <v/>
      </c>
      <c r="P401" s="21" t="str">
        <f>IF(AND('Atividades Micro'!$A453=P$2,'Atividades Micro'!$L453&lt;&gt;""),'Atividades Micro'!$L453,"")</f>
        <v/>
      </c>
      <c r="Q401" s="21" t="str">
        <f>IF(AND('Atividades Micro'!$B453=Q$2,'Atividades Micro'!$K453&lt;&gt;""),'Atividades Micro'!$K453,"")</f>
        <v/>
      </c>
      <c r="R401" s="21" t="str">
        <f>IF(AND('Atividades Micro'!$B453=R$2,'Atividades Micro'!$L453&lt;&gt;""),'Atividades Micro'!$L453,"")</f>
        <v/>
      </c>
      <c r="S401" s="21" t="str">
        <f>IF(AND('Atividades Micro'!$A453=S$2,'Atividades Micro'!$K453&lt;&gt;""),'Atividades Micro'!$K453,"")</f>
        <v/>
      </c>
      <c r="T401" s="21" t="str">
        <f>IF(AND('Atividades Micro'!$A453=T$2,'Atividades Micro'!$L453&lt;&gt;""),'Atividades Micro'!$L453,"")</f>
        <v/>
      </c>
      <c r="U401" s="21" t="str">
        <f>IF(AND('Atividades Micro'!$B453=U$2,'Atividades Micro'!$K453&lt;&gt;""),'Atividades Micro'!$K453,"")</f>
        <v/>
      </c>
      <c r="V401" s="21" t="str">
        <f>IF(AND('Atividades Micro'!$B453=V$2,'Atividades Micro'!$L453&lt;&gt;""),'Atividades Micro'!$L453,"")</f>
        <v/>
      </c>
      <c r="W401" s="21" t="str">
        <f>IF(AND('Atividades Micro'!$B453=W$2,'Atividades Micro'!$K453&lt;&gt;""),'Atividades Micro'!$K453,"")</f>
        <v/>
      </c>
      <c r="X401" s="21" t="str">
        <f>IF(AND('Atividades Micro'!$B453=X$2,'Atividades Micro'!$L453&lt;&gt;""),'Atividades Micro'!$L453,"")</f>
        <v/>
      </c>
      <c r="Y401" s="21" t="str">
        <f>IF(AND('Atividades Micro'!$A453=Y$2,'Atividades Micro'!$K453&lt;&gt;""),'Atividades Micro'!$K453,"")</f>
        <v/>
      </c>
      <c r="Z401" s="21" t="str">
        <f>IF(AND('Atividades Micro'!$A453=Z$2,'Atividades Micro'!$L453&lt;&gt;""),'Atividades Micro'!$L453,"")</f>
        <v/>
      </c>
      <c r="AA401" s="21" t="str">
        <f>IF(AND('Atividades Micro'!$B453=AA$2,'Atividades Micro'!$K453&lt;&gt;""),'Atividades Micro'!$K453,"")</f>
        <v/>
      </c>
      <c r="AB401" s="21" t="str">
        <f>IF(AND('Atividades Micro'!$B453=AB$2,'Atividades Micro'!$L453&lt;&gt;""),'Atividades Micro'!$L453,"")</f>
        <v/>
      </c>
      <c r="AC401" s="21" t="str">
        <f>IF(AND('Atividades Micro'!$B453=AC$2,'Atividades Micro'!$K453&lt;&gt;""),'Atividades Micro'!$K453,"")</f>
        <v/>
      </c>
      <c r="AD401" s="21" t="str">
        <f>IF(AND('Atividades Micro'!$B453=AD$2,'Atividades Micro'!$L453&lt;&gt;""),'Atividades Micro'!$L453,"")</f>
        <v/>
      </c>
      <c r="AE401" s="21" t="str">
        <f>IF(AND('Atividades Micro'!$A453=AE$2,'Atividades Micro'!$K453&lt;&gt;""),'Atividades Micro'!$K453,"")</f>
        <v/>
      </c>
      <c r="AF401" s="21" t="str">
        <f>IF(AND('Atividades Micro'!$A453=AF$2,'Atividades Micro'!$L453&lt;&gt;""),'Atividades Micro'!$L453,"")</f>
        <v/>
      </c>
      <c r="AG401" s="21" t="str">
        <f>IF(AND('Atividades Micro'!$B453=AG$2,'Atividades Micro'!$K453&lt;&gt;""),'Atividades Micro'!$K453,"")</f>
        <v/>
      </c>
      <c r="AH401" s="21" t="str">
        <f>IF(AND('Atividades Micro'!$B453=AH$2,'Atividades Micro'!$L453&lt;&gt;""),'Atividades Micro'!$L453,"")</f>
        <v/>
      </c>
      <c r="AI401" s="21" t="str">
        <f>IF(AND('Atividades Micro'!$B453=AI$2,'Atividades Micro'!$K453&lt;&gt;""),'Atividades Micro'!$K453,"")</f>
        <v/>
      </c>
      <c r="AJ401" s="21" t="str">
        <f>IF(AND('Atividades Micro'!$B453=AJ$2,'Atividades Micro'!$L453&lt;&gt;""),'Atividades Micro'!$L453,"")</f>
        <v/>
      </c>
      <c r="AK401" s="21" t="str">
        <f>IF(AND('Atividades Micro'!$A453=AK$2,'Atividades Micro'!$K453&lt;&gt;""),'Atividades Micro'!$K453,"")</f>
        <v/>
      </c>
      <c r="AL401" s="21" t="str">
        <f>IF(AND('Atividades Micro'!$A453=AL$2,'Atividades Micro'!$L453&lt;&gt;""),'Atividades Micro'!$L453,"")</f>
        <v/>
      </c>
      <c r="AM401" s="21" t="str">
        <f>IF(AND('Atividades Micro'!$B453=AM$2,'Atividades Micro'!$K453&lt;&gt;""),'Atividades Micro'!$K453,"")</f>
        <v/>
      </c>
      <c r="AN401" s="21" t="str">
        <f>IF(AND('Atividades Micro'!$B453=AN$2,'Atividades Micro'!$L453&lt;&gt;""),'Atividades Micro'!$L453,"")</f>
        <v/>
      </c>
      <c r="AO401" s="21" t="str">
        <f>IF(AND('Atividades Micro'!$B453=AO$2,'Atividades Micro'!$K453&lt;&gt;""),'Atividades Micro'!$K453,"")</f>
        <v/>
      </c>
      <c r="AP401" s="21" t="str">
        <f>IF(AND('Atividades Micro'!$B453=AP$2,'Atividades Micro'!$L453&lt;&gt;""),'Atividades Micro'!$L453,"")</f>
        <v/>
      </c>
      <c r="AQ401" s="21" t="str">
        <f>IF(AND('Atividades Micro'!$A453=AQ$2,'Atividades Micro'!$K453&lt;&gt;""),'Atividades Micro'!$K453,"")</f>
        <v/>
      </c>
      <c r="AR401" s="21" t="str">
        <f>IF(AND('Atividades Micro'!$A453=AR$2,'Atividades Micro'!$L453&lt;&gt;""),'Atividades Micro'!$L453,"")</f>
        <v/>
      </c>
      <c r="AS401" s="21" t="str">
        <f>IF(AND('Atividades Micro'!$B453=AS$2,'Atividades Micro'!$K453&lt;&gt;""),'Atividades Micro'!$K453,"")</f>
        <v/>
      </c>
      <c r="AT401" s="21" t="str">
        <f>IF(AND('Atividades Micro'!$B453=AT$2,'Atividades Micro'!$L453&lt;&gt;""),'Atividades Micro'!$L453,"")</f>
        <v/>
      </c>
      <c r="AU401" s="21" t="str">
        <f>IF(AND('Atividades Micro'!$A453=AU$2,'Atividades Micro'!$K453&lt;&gt;""),'Atividades Micro'!$K453,"")</f>
        <v/>
      </c>
      <c r="AV401" s="21" t="str">
        <f>IF(AND('Atividades Micro'!$A453=AV$2,'Atividades Micro'!$L453&lt;&gt;""),'Atividades Micro'!$L453,"")</f>
        <v/>
      </c>
      <c r="AW401" s="21" t="str">
        <f>IF(AND('Atividades Micro'!$B453=AW$2,'Atividades Micro'!$K453&lt;&gt;""),'Atividades Micro'!$K453,"")</f>
        <v/>
      </c>
      <c r="AX401" s="21" t="str">
        <f>IF(AND('Atividades Micro'!$B453=AX$2,'Atividades Micro'!$L453&lt;&gt;""),'Atividades Micro'!$L453,"")</f>
        <v/>
      </c>
      <c r="AY401" s="21" t="str">
        <f>IF(AND('Atividades Micro'!$A453=AY$2,'Atividades Micro'!$K453&lt;&gt;""),'Atividades Micro'!$K453,"")</f>
        <v/>
      </c>
      <c r="AZ401" s="21" t="str">
        <f>IF(AND('Atividades Micro'!$A453=AZ$2,'Atividades Micro'!$L453&lt;&gt;""),'Atividades Micro'!$L453,"")</f>
        <v/>
      </c>
      <c r="BA401" s="21" t="str">
        <f>IF(AND('Atividades Micro'!$B453=BA$2,'Atividades Micro'!$K453&lt;&gt;""),'Atividades Micro'!$K453,"")</f>
        <v/>
      </c>
      <c r="BB401" s="21" t="str">
        <f>IF(AND('Atividades Micro'!$B453=BB$2,'Atividades Micro'!$L453&lt;&gt;""),'Atividades Micro'!$L453,"")</f>
        <v/>
      </c>
      <c r="BC401" s="21" t="str">
        <f>IF(AND('Atividades Micro'!$B453=BC$2,'Atividades Micro'!$G453="Macro",'Atividades Micro'!$K453&lt;&gt;""),'Atividades Micro'!$K453,"")</f>
        <v/>
      </c>
      <c r="BD401" s="21" t="str">
        <f>IF(AND('Atividades Micro'!$B453=BD$2,'Atividades Micro'!$G453="Macro",'Atividades Micro'!$K453&lt;&gt;""),'Atividades Micro'!$K453,"")</f>
        <v/>
      </c>
      <c r="BE401" s="21" t="str">
        <f>IF(AND('Atividades Micro'!$B453=BE$2,'Atividades Micro'!$G453="Macro",'Atividades Micro'!$K453&lt;&gt;""),'Atividades Micro'!$K453,"")</f>
        <v/>
      </c>
      <c r="BF401" s="21" t="str">
        <f>IF(AND('Atividades Micro'!$B453=BF$2,'Atividades Micro'!$G453="Macro",'Atividades Micro'!$K453&lt;&gt;""),'Atividades Micro'!$K453,"")</f>
        <v/>
      </c>
      <c r="BG401" s="21" t="str">
        <f>IF(AND('Atividades Micro'!$B453=BG$2,'Atividades Micro'!$G453="Macro",'Atividades Micro'!$K453&lt;&gt;""),'Atividades Micro'!$K453,"")</f>
        <v/>
      </c>
      <c r="BH401" s="21" t="str">
        <f>IF(AND('Atividades Micro'!$B453=BH$2,'Atividades Micro'!$G453="Macro",'Atividades Micro'!$K453&lt;&gt;""),'Atividades Micro'!$K453,"")</f>
        <v/>
      </c>
      <c r="BI401" s="21" t="str">
        <f>IF(AND('Atividades Micro'!$B453=BI$2,'Atividades Micro'!$G453="Macro",'Atividades Micro'!$K453&lt;&gt;""),'Atividades Micro'!$K453,"")</f>
        <v/>
      </c>
      <c r="BJ401" s="21" t="str">
        <f>IF(AND('Atividades Micro'!$B453=BJ$2,'Atividades Micro'!$G453="Macro",'Atividades Micro'!$K453&lt;&gt;""),'Atividades Micro'!$K453,"")</f>
        <v/>
      </c>
      <c r="BK401" s="21" t="str">
        <f>IF(AND('Atividades Micro'!$B453=BK$2,'Atividades Micro'!$G453="Macro",'Atividades Micro'!$K453&lt;&gt;""),'Atividades Micro'!$K453,"")</f>
        <v/>
      </c>
      <c r="BL401" s="21" t="str">
        <f>IF(AND('Atividades Micro'!$B453=BL$2,'Atividades Micro'!$G453="Macro",'Atividades Micro'!$K453&lt;&gt;""),'Atividades Micro'!$K453,"")</f>
        <v/>
      </c>
      <c r="BM401" s="21" t="str">
        <f>IF(AND('Atividades Micro'!$B453=BM$2,'Atividades Micro'!$G453="Macro",'Atividades Micro'!$K453&lt;&gt;""),'Atividades Micro'!$K453,"")</f>
        <v/>
      </c>
      <c r="BN401" s="21" t="str">
        <f>IF(AND('Atividades Micro'!$B453=BN$2,'Atividades Micro'!$G453="Macro",'Atividades Micro'!$K453&lt;&gt;""),'Atividades Micro'!$K453,"")</f>
        <v/>
      </c>
      <c r="BO401" s="21" t="str">
        <f>IF(AND('Atividades Micro'!$B453=BO$2,'Atividades Micro'!$G453="Macro",'Atividades Micro'!$K453&lt;&gt;""),'Atividades Micro'!$K453,"")</f>
        <v/>
      </c>
      <c r="BP401" s="21" t="str">
        <f>IF(AND('Atividades Micro'!$B453=BP$2,'Atividades Micro'!$G453="Macro",'Atividades Micro'!$K453&lt;&gt;""),'Atividades Micro'!$K453,"")</f>
        <v/>
      </c>
      <c r="BQ401" s="21" t="str">
        <f>IF(AND('Atividades Micro'!$B453=BQ$2,'Atividades Micro'!$G453="Macro",'Atividades Micro'!$K453&lt;&gt;""),'Atividades Micro'!$K453,"")</f>
        <v/>
      </c>
      <c r="BR401" s="21" t="str">
        <f>IF(AND('Atividades Micro'!$B453=BR$2,'Atividades Micro'!$G453="Macro",'Atividades Micro'!$K453&lt;&gt;""),'Atividades Micro'!$K453,"")</f>
        <v/>
      </c>
      <c r="BS401" s="21" t="str">
        <f>IF(AND('Atividades Micro'!$B453=BS$2,'Atividades Micro'!$G453="Macro",'Atividades Micro'!$K453&lt;&gt;""),'Atividades Micro'!$K453,"")</f>
        <v/>
      </c>
      <c r="BT401" s="21" t="str">
        <f>IF(AND('Atividades Micro'!$B453=BT$2,'Atividades Micro'!$G453="Macro",'Atividades Micro'!$K453&lt;&gt;""),'Atividades Micro'!$K453,"")</f>
        <v/>
      </c>
      <c r="BU401" s="21" t="str">
        <f>IF(AND('Atividades Micro'!$B453=BU$2,'Atividades Micro'!$G453="Macro",'Atividades Micro'!$K453&lt;&gt;""),'Atividades Micro'!$K453,"")</f>
        <v/>
      </c>
      <c r="BV401" s="21" t="str">
        <f>IF(AND('Atividades Micro'!$B453=BV$2,'Atividades Micro'!$G453="Macro",'Atividades Micro'!$K453&lt;&gt;""),'Atividades Micro'!$K453,"")</f>
        <v/>
      </c>
      <c r="BW401" s="21" t="str">
        <f>IF(AND('Atividades Micro'!$B453=BW$2,'Atividades Micro'!$G453="Macro",'Atividades Micro'!$K453&lt;&gt;""),'Atividades Micro'!$K453,"")</f>
        <v/>
      </c>
      <c r="BX401" s="21" t="str">
        <f>IF(AND('Atividades Micro'!$B453=BX$2,'Atividades Micro'!$G453="Macro",'Atividades Micro'!$K453&lt;&gt;""),'Atividades Micro'!$K453,"")</f>
        <v/>
      </c>
      <c r="BY401" s="21" t="str">
        <f>IF(AND('Atividades Micro'!$B453=BY$2,'Atividades Micro'!$G453="Macro",'Atividades Micro'!$K453&lt;&gt;""),'Atividades Micro'!$K453,"")</f>
        <v/>
      </c>
      <c r="BZ401" s="21" t="str">
        <f>IF(AND('Atividades Micro'!$B453=BZ$2,'Atividades Micro'!$G453="Macro",'Atividades Micro'!$K453&lt;&gt;""),'Atividades Micro'!$K453,"")</f>
        <v/>
      </c>
      <c r="CA401" s="21" t="str">
        <f>IF(AND('Atividades Micro'!$B453=CA$2,'Atividades Micro'!$G453="Macro",'Atividades Micro'!$K453&lt;&gt;""),'Atividades Micro'!$K453,"")</f>
        <v/>
      </c>
      <c r="CB401" s="21" t="str">
        <f>IF(AND('Atividades Micro'!$B453=CB$2,'Atividades Micro'!$G453="Macro",'Atividades Micro'!$K453&lt;&gt;""),'Atividades Micro'!$K453,"")</f>
        <v/>
      </c>
      <c r="CC401" s="21" t="str">
        <f>IF(AND('Atividades Micro'!$B453=CC$2,'Atividades Micro'!$G453="Macro",'Atividades Micro'!$K453&lt;&gt;""),'Atividades Micro'!$K453,"")</f>
        <v/>
      </c>
      <c r="CD401" s="21" t="str">
        <f>IF(AND('Atividades Micro'!$B453=CD$2,'Atividades Micro'!$G453="Micro",'Atividades Micro'!$K453&lt;&gt;""),'Atividades Micro'!$K453,"")</f>
        <v/>
      </c>
      <c r="CE401" s="21" t="str">
        <f>IF(AND('Atividades Micro'!$B453=CE$2,'Atividades Micro'!$G453="Micro",'Atividades Micro'!$K453&lt;&gt;""),'Atividades Micro'!$K453,"")</f>
        <v/>
      </c>
      <c r="CF401" s="21" t="str">
        <f>IF(AND('Atividades Micro'!$B453=CF$2,'Atividades Micro'!$G453="Micro",'Atividades Micro'!$K453&lt;&gt;""),'Atividades Micro'!$K453,"")</f>
        <v/>
      </c>
      <c r="CG401" s="21" t="str">
        <f>IF(AND('Atividades Micro'!$B453=CG$2,'Atividades Micro'!$G453="Micro",'Atividades Micro'!$K453&lt;&gt;""),'Atividades Micro'!$K453,"")</f>
        <v/>
      </c>
      <c r="CH401" s="21" t="str">
        <f>IF(AND('Atividades Micro'!$B453=CH$2,'Atividades Micro'!$G453="Micro",'Atividades Micro'!$K453&lt;&gt;""),'Atividades Micro'!$K453,"")</f>
        <v/>
      </c>
      <c r="CI401" s="21" t="str">
        <f>IF(AND('Atividades Micro'!$B453=CI$2,'Atividades Micro'!$G453="Micro",'Atividades Micro'!$K453&lt;&gt;""),'Atividades Micro'!$K453,"")</f>
        <v/>
      </c>
      <c r="CJ401" s="21" t="str">
        <f>IF(AND('Atividades Micro'!$B453=CJ$2,'Atividades Micro'!$G453="Micro",'Atividades Micro'!$K453&lt;&gt;""),'Atividades Micro'!$K453,"")</f>
        <v/>
      </c>
      <c r="CK401" s="21" t="str">
        <f>IF(AND('Atividades Micro'!$B453=CK$2,'Atividades Micro'!$G453="Micro",'Atividades Micro'!$K453&lt;&gt;""),'Atividades Micro'!$K453,"")</f>
        <v/>
      </c>
      <c r="CL401" s="21" t="str">
        <f>IF(AND('Atividades Micro'!$B453=CL$2,'Atividades Micro'!$G453="Micro",'Atividades Micro'!$K453&lt;&gt;""),'Atividades Micro'!$K453,"")</f>
        <v/>
      </c>
      <c r="CM401" s="21" t="str">
        <f>IF(AND('Atividades Micro'!$B453=CM$2,'Atividades Micro'!$G453="Micro",'Atividades Micro'!$K453&lt;&gt;""),'Atividades Micro'!$K453,"")</f>
        <v/>
      </c>
      <c r="CN401" s="21" t="str">
        <f>IF(AND('Atividades Micro'!$B453=CN$2,'Atividades Micro'!$G453="Micro",'Atividades Micro'!$K453&lt;&gt;""),'Atividades Micro'!$K453,"")</f>
        <v/>
      </c>
      <c r="CO401" s="21" t="str">
        <f>IF(AND('Atividades Micro'!$B453=CO$2,'Atividades Micro'!$G453="Micro",'Atividades Micro'!$K453&lt;&gt;""),'Atividades Micro'!$K453,"")</f>
        <v/>
      </c>
    </row>
    <row r="402" spans="1:93">
      <c r="A402" s="21" t="str">
        <f>IF(AND('Atividades Micro'!$A454=A$2,'Atividades Micro'!$K454&lt;&gt;""),'Atividades Micro'!$K454,"")</f>
        <v/>
      </c>
      <c r="B402" s="21" t="str">
        <f>IF(AND('Atividades Micro'!$A454=B$2,'Atividades Micro'!$L454&lt;&gt;""),'Atividades Micro'!$L454,"")</f>
        <v/>
      </c>
      <c r="C402" s="21" t="str">
        <f>IF(AND('Atividades Micro'!$A454=C$2,'Atividades Micro'!$K454&lt;&gt;""),'Atividades Micro'!$K454,"")</f>
        <v/>
      </c>
      <c r="D402" s="21" t="str">
        <f>IF(AND('Atividades Micro'!$A454=D$2,'Atividades Micro'!$L454&lt;&gt;""),'Atividades Micro'!$L454,"")</f>
        <v/>
      </c>
      <c r="E402" s="21" t="str">
        <f>IF(AND('Atividades Micro'!$A454=E$2,'Atividades Micro'!$K454&lt;&gt;""),'Atividades Micro'!$K454,"")</f>
        <v/>
      </c>
      <c r="F402" s="21" t="str">
        <f>IF(AND('Atividades Micro'!$A454=F$2,'Atividades Micro'!$L454&lt;&gt;""),'Atividades Micro'!$L454,"")</f>
        <v/>
      </c>
      <c r="G402" s="21" t="str">
        <f>IF(AND('Atividades Micro'!$A454=G$2,'Atividades Micro'!$K454&lt;&gt;""),'Atividades Micro'!$K454,"")</f>
        <v/>
      </c>
      <c r="H402" s="21" t="str">
        <f>IF(AND('Atividades Micro'!$A454=H$2,'Atividades Micro'!$L454&lt;&gt;""),'Atividades Micro'!$L454,"")</f>
        <v/>
      </c>
      <c r="I402" s="21" t="str">
        <f>IF(AND('Atividades Micro'!$A454=I$2,'Atividades Micro'!$K454&lt;&gt;""),'Atividades Micro'!$K454,"")</f>
        <v/>
      </c>
      <c r="J402" s="21" t="str">
        <f>IF(AND('Atividades Micro'!$A454=J$2,'Atividades Micro'!$L454&lt;&gt;""),'Atividades Micro'!$L454,"")</f>
        <v/>
      </c>
      <c r="K402" s="21" t="str">
        <f>IF(AND('Atividades Micro'!$B454=K$2,'Atividades Micro'!$K454&lt;&gt;""),'Atividades Micro'!$K454,"")</f>
        <v/>
      </c>
      <c r="L402" s="21" t="str">
        <f>IF(AND('Atividades Micro'!$B454=L$2,'Atividades Micro'!$L454&lt;&gt;""),'Atividades Micro'!$L454,"")</f>
        <v/>
      </c>
      <c r="M402" s="21" t="str">
        <f>IF(AND('Atividades Micro'!$B454=M$2,'Atividades Micro'!$K454&lt;&gt;""),'Atividades Micro'!$K454,"")</f>
        <v/>
      </c>
      <c r="N402" s="21" t="str">
        <f>IF(AND('Atividades Micro'!$B454=N$2,'Atividades Micro'!$L454&lt;&gt;""),'Atividades Micro'!$L454,"")</f>
        <v/>
      </c>
      <c r="O402" s="21" t="str">
        <f>IF(AND('Atividades Micro'!$A454=O$2,'Atividades Micro'!$K454&lt;&gt;""),'Atividades Micro'!$K454,"")</f>
        <v/>
      </c>
      <c r="P402" s="21" t="str">
        <f>IF(AND('Atividades Micro'!$A454=P$2,'Atividades Micro'!$L454&lt;&gt;""),'Atividades Micro'!$L454,"")</f>
        <v/>
      </c>
      <c r="Q402" s="21" t="str">
        <f>IF(AND('Atividades Micro'!$B454=Q$2,'Atividades Micro'!$K454&lt;&gt;""),'Atividades Micro'!$K454,"")</f>
        <v/>
      </c>
      <c r="R402" s="21" t="str">
        <f>IF(AND('Atividades Micro'!$B454=R$2,'Atividades Micro'!$L454&lt;&gt;""),'Atividades Micro'!$L454,"")</f>
        <v/>
      </c>
      <c r="S402" s="21" t="str">
        <f>IF(AND('Atividades Micro'!$A454=S$2,'Atividades Micro'!$K454&lt;&gt;""),'Atividades Micro'!$K454,"")</f>
        <v/>
      </c>
      <c r="T402" s="21" t="str">
        <f>IF(AND('Atividades Micro'!$A454=T$2,'Atividades Micro'!$L454&lt;&gt;""),'Atividades Micro'!$L454,"")</f>
        <v/>
      </c>
      <c r="U402" s="21" t="str">
        <f>IF(AND('Atividades Micro'!$B454=U$2,'Atividades Micro'!$K454&lt;&gt;""),'Atividades Micro'!$K454,"")</f>
        <v/>
      </c>
      <c r="V402" s="21" t="str">
        <f>IF(AND('Atividades Micro'!$B454=V$2,'Atividades Micro'!$L454&lt;&gt;""),'Atividades Micro'!$L454,"")</f>
        <v/>
      </c>
      <c r="W402" s="21" t="str">
        <f>IF(AND('Atividades Micro'!$B454=W$2,'Atividades Micro'!$K454&lt;&gt;""),'Atividades Micro'!$K454,"")</f>
        <v/>
      </c>
      <c r="X402" s="21" t="str">
        <f>IF(AND('Atividades Micro'!$B454=X$2,'Atividades Micro'!$L454&lt;&gt;""),'Atividades Micro'!$L454,"")</f>
        <v/>
      </c>
      <c r="Y402" s="21" t="str">
        <f>IF(AND('Atividades Micro'!$A454=Y$2,'Atividades Micro'!$K454&lt;&gt;""),'Atividades Micro'!$K454,"")</f>
        <v/>
      </c>
      <c r="Z402" s="21" t="str">
        <f>IF(AND('Atividades Micro'!$A454=Z$2,'Atividades Micro'!$L454&lt;&gt;""),'Atividades Micro'!$L454,"")</f>
        <v/>
      </c>
      <c r="AA402" s="21" t="str">
        <f>IF(AND('Atividades Micro'!$B454=AA$2,'Atividades Micro'!$K454&lt;&gt;""),'Atividades Micro'!$K454,"")</f>
        <v/>
      </c>
      <c r="AB402" s="21" t="str">
        <f>IF(AND('Atividades Micro'!$B454=AB$2,'Atividades Micro'!$L454&lt;&gt;""),'Atividades Micro'!$L454,"")</f>
        <v/>
      </c>
      <c r="AC402" s="21" t="str">
        <f>IF(AND('Atividades Micro'!$B454=AC$2,'Atividades Micro'!$K454&lt;&gt;""),'Atividades Micro'!$K454,"")</f>
        <v/>
      </c>
      <c r="AD402" s="21" t="str">
        <f>IF(AND('Atividades Micro'!$B454=AD$2,'Atividades Micro'!$L454&lt;&gt;""),'Atividades Micro'!$L454,"")</f>
        <v/>
      </c>
      <c r="AE402" s="21" t="str">
        <f>IF(AND('Atividades Micro'!$A454=AE$2,'Atividades Micro'!$K454&lt;&gt;""),'Atividades Micro'!$K454,"")</f>
        <v/>
      </c>
      <c r="AF402" s="21" t="str">
        <f>IF(AND('Atividades Micro'!$A454=AF$2,'Atividades Micro'!$L454&lt;&gt;""),'Atividades Micro'!$L454,"")</f>
        <v/>
      </c>
      <c r="AG402" s="21" t="str">
        <f>IF(AND('Atividades Micro'!$B454=AG$2,'Atividades Micro'!$K454&lt;&gt;""),'Atividades Micro'!$K454,"")</f>
        <v/>
      </c>
      <c r="AH402" s="21" t="str">
        <f>IF(AND('Atividades Micro'!$B454=AH$2,'Atividades Micro'!$L454&lt;&gt;""),'Atividades Micro'!$L454,"")</f>
        <v/>
      </c>
      <c r="AI402" s="21" t="str">
        <f>IF(AND('Atividades Micro'!$B454=AI$2,'Atividades Micro'!$K454&lt;&gt;""),'Atividades Micro'!$K454,"")</f>
        <v/>
      </c>
      <c r="AJ402" s="21" t="str">
        <f>IF(AND('Atividades Micro'!$B454=AJ$2,'Atividades Micro'!$L454&lt;&gt;""),'Atividades Micro'!$L454,"")</f>
        <v/>
      </c>
      <c r="AK402" s="21" t="str">
        <f>IF(AND('Atividades Micro'!$A454=AK$2,'Atividades Micro'!$K454&lt;&gt;""),'Atividades Micro'!$K454,"")</f>
        <v/>
      </c>
      <c r="AL402" s="21" t="str">
        <f>IF(AND('Atividades Micro'!$A454=AL$2,'Atividades Micro'!$L454&lt;&gt;""),'Atividades Micro'!$L454,"")</f>
        <v/>
      </c>
      <c r="AM402" s="21" t="str">
        <f>IF(AND('Atividades Micro'!$B454=AM$2,'Atividades Micro'!$K454&lt;&gt;""),'Atividades Micro'!$K454,"")</f>
        <v/>
      </c>
      <c r="AN402" s="21" t="str">
        <f>IF(AND('Atividades Micro'!$B454=AN$2,'Atividades Micro'!$L454&lt;&gt;""),'Atividades Micro'!$L454,"")</f>
        <v/>
      </c>
      <c r="AO402" s="21" t="str">
        <f>IF(AND('Atividades Micro'!$B454=AO$2,'Atividades Micro'!$K454&lt;&gt;""),'Atividades Micro'!$K454,"")</f>
        <v/>
      </c>
      <c r="AP402" s="21" t="str">
        <f>IF(AND('Atividades Micro'!$B454=AP$2,'Atividades Micro'!$L454&lt;&gt;""),'Atividades Micro'!$L454,"")</f>
        <v/>
      </c>
      <c r="AQ402" s="21" t="str">
        <f>IF(AND('Atividades Micro'!$A454=AQ$2,'Atividades Micro'!$K454&lt;&gt;""),'Atividades Micro'!$K454,"")</f>
        <v/>
      </c>
      <c r="AR402" s="21" t="str">
        <f>IF(AND('Atividades Micro'!$A454=AR$2,'Atividades Micro'!$L454&lt;&gt;""),'Atividades Micro'!$L454,"")</f>
        <v/>
      </c>
      <c r="AS402" s="21" t="str">
        <f>IF(AND('Atividades Micro'!$B454=AS$2,'Atividades Micro'!$K454&lt;&gt;""),'Atividades Micro'!$K454,"")</f>
        <v/>
      </c>
      <c r="AT402" s="21" t="str">
        <f>IF(AND('Atividades Micro'!$B454=AT$2,'Atividades Micro'!$L454&lt;&gt;""),'Atividades Micro'!$L454,"")</f>
        <v/>
      </c>
      <c r="AU402" s="21" t="str">
        <f>IF(AND('Atividades Micro'!$A454=AU$2,'Atividades Micro'!$K454&lt;&gt;""),'Atividades Micro'!$K454,"")</f>
        <v/>
      </c>
      <c r="AV402" s="21" t="str">
        <f>IF(AND('Atividades Micro'!$A454=AV$2,'Atividades Micro'!$L454&lt;&gt;""),'Atividades Micro'!$L454,"")</f>
        <v/>
      </c>
      <c r="AW402" s="21" t="str">
        <f>IF(AND('Atividades Micro'!$B454=AW$2,'Atividades Micro'!$K454&lt;&gt;""),'Atividades Micro'!$K454,"")</f>
        <v/>
      </c>
      <c r="AX402" s="21" t="str">
        <f>IF(AND('Atividades Micro'!$B454=AX$2,'Atividades Micro'!$L454&lt;&gt;""),'Atividades Micro'!$L454,"")</f>
        <v/>
      </c>
      <c r="AY402" s="21" t="str">
        <f>IF(AND('Atividades Micro'!$A454=AY$2,'Atividades Micro'!$K454&lt;&gt;""),'Atividades Micro'!$K454,"")</f>
        <v/>
      </c>
      <c r="AZ402" s="21" t="str">
        <f>IF(AND('Atividades Micro'!$A454=AZ$2,'Atividades Micro'!$L454&lt;&gt;""),'Atividades Micro'!$L454,"")</f>
        <v/>
      </c>
      <c r="BA402" s="21" t="str">
        <f>IF(AND('Atividades Micro'!$B454=BA$2,'Atividades Micro'!$K454&lt;&gt;""),'Atividades Micro'!$K454,"")</f>
        <v/>
      </c>
      <c r="BB402" s="21" t="str">
        <f>IF(AND('Atividades Micro'!$B454=BB$2,'Atividades Micro'!$L454&lt;&gt;""),'Atividades Micro'!$L454,"")</f>
        <v/>
      </c>
      <c r="BC402" s="21" t="str">
        <f>IF(AND('Atividades Micro'!$B454=BC$2,'Atividades Micro'!$G454="Macro",'Atividades Micro'!$K454&lt;&gt;""),'Atividades Micro'!$K454,"")</f>
        <v/>
      </c>
      <c r="BD402" s="21" t="str">
        <f>IF(AND('Atividades Micro'!$B454=BD$2,'Atividades Micro'!$G454="Macro",'Atividades Micro'!$K454&lt;&gt;""),'Atividades Micro'!$K454,"")</f>
        <v/>
      </c>
      <c r="BE402" s="21" t="str">
        <f>IF(AND('Atividades Micro'!$B454=BE$2,'Atividades Micro'!$G454="Macro",'Atividades Micro'!$K454&lt;&gt;""),'Atividades Micro'!$K454,"")</f>
        <v/>
      </c>
      <c r="BF402" s="21" t="str">
        <f>IF(AND('Atividades Micro'!$B454=BF$2,'Atividades Micro'!$G454="Macro",'Atividades Micro'!$K454&lt;&gt;""),'Atividades Micro'!$K454,"")</f>
        <v/>
      </c>
      <c r="BG402" s="21" t="str">
        <f>IF(AND('Atividades Micro'!$B454=BG$2,'Atividades Micro'!$G454="Macro",'Atividades Micro'!$K454&lt;&gt;""),'Atividades Micro'!$K454,"")</f>
        <v/>
      </c>
      <c r="BH402" s="21" t="str">
        <f>IF(AND('Atividades Micro'!$B454=BH$2,'Atividades Micro'!$G454="Macro",'Atividades Micro'!$K454&lt;&gt;""),'Atividades Micro'!$K454,"")</f>
        <v/>
      </c>
      <c r="BI402" s="21" t="str">
        <f>IF(AND('Atividades Micro'!$B454=BI$2,'Atividades Micro'!$G454="Macro",'Atividades Micro'!$K454&lt;&gt;""),'Atividades Micro'!$K454,"")</f>
        <v/>
      </c>
      <c r="BJ402" s="21" t="str">
        <f>IF(AND('Atividades Micro'!$B454=BJ$2,'Atividades Micro'!$G454="Macro",'Atividades Micro'!$K454&lt;&gt;""),'Atividades Micro'!$K454,"")</f>
        <v/>
      </c>
      <c r="BK402" s="21" t="str">
        <f>IF(AND('Atividades Micro'!$B454=BK$2,'Atividades Micro'!$G454="Macro",'Atividades Micro'!$K454&lt;&gt;""),'Atividades Micro'!$K454,"")</f>
        <v/>
      </c>
      <c r="BL402" s="21" t="str">
        <f>IF(AND('Atividades Micro'!$B454=BL$2,'Atividades Micro'!$G454="Macro",'Atividades Micro'!$K454&lt;&gt;""),'Atividades Micro'!$K454,"")</f>
        <v/>
      </c>
      <c r="BM402" s="21" t="str">
        <f>IF(AND('Atividades Micro'!$B454=BM$2,'Atividades Micro'!$G454="Macro",'Atividades Micro'!$K454&lt;&gt;""),'Atividades Micro'!$K454,"")</f>
        <v/>
      </c>
      <c r="BN402" s="21" t="str">
        <f>IF(AND('Atividades Micro'!$B454=BN$2,'Atividades Micro'!$G454="Macro",'Atividades Micro'!$K454&lt;&gt;""),'Atividades Micro'!$K454,"")</f>
        <v/>
      </c>
      <c r="BO402" s="21" t="str">
        <f>IF(AND('Atividades Micro'!$B454=BO$2,'Atividades Micro'!$G454="Macro",'Atividades Micro'!$K454&lt;&gt;""),'Atividades Micro'!$K454,"")</f>
        <v/>
      </c>
      <c r="BP402" s="21" t="str">
        <f>IF(AND('Atividades Micro'!$B454=BP$2,'Atividades Micro'!$G454="Macro",'Atividades Micro'!$K454&lt;&gt;""),'Atividades Micro'!$K454,"")</f>
        <v/>
      </c>
      <c r="BQ402" s="21" t="str">
        <f>IF(AND('Atividades Micro'!$B454=BQ$2,'Atividades Micro'!$G454="Macro",'Atividades Micro'!$K454&lt;&gt;""),'Atividades Micro'!$K454,"")</f>
        <v/>
      </c>
      <c r="BR402" s="21" t="str">
        <f>IF(AND('Atividades Micro'!$B454=BR$2,'Atividades Micro'!$G454="Macro",'Atividades Micro'!$K454&lt;&gt;""),'Atividades Micro'!$K454,"")</f>
        <v/>
      </c>
      <c r="BS402" s="21" t="str">
        <f>IF(AND('Atividades Micro'!$B454=BS$2,'Atividades Micro'!$G454="Macro",'Atividades Micro'!$K454&lt;&gt;""),'Atividades Micro'!$K454,"")</f>
        <v/>
      </c>
      <c r="BT402" s="21" t="str">
        <f>IF(AND('Atividades Micro'!$B454=BT$2,'Atividades Micro'!$G454="Macro",'Atividades Micro'!$K454&lt;&gt;""),'Atividades Micro'!$K454,"")</f>
        <v/>
      </c>
      <c r="BU402" s="21" t="str">
        <f>IF(AND('Atividades Micro'!$B454=BU$2,'Atividades Micro'!$G454="Macro",'Atividades Micro'!$K454&lt;&gt;""),'Atividades Micro'!$K454,"")</f>
        <v/>
      </c>
      <c r="BV402" s="21" t="str">
        <f>IF(AND('Atividades Micro'!$B454=BV$2,'Atividades Micro'!$G454="Macro",'Atividades Micro'!$K454&lt;&gt;""),'Atividades Micro'!$K454,"")</f>
        <v/>
      </c>
      <c r="BW402" s="21" t="str">
        <f>IF(AND('Atividades Micro'!$B454=BW$2,'Atividades Micro'!$G454="Macro",'Atividades Micro'!$K454&lt;&gt;""),'Atividades Micro'!$K454,"")</f>
        <v/>
      </c>
      <c r="BX402" s="21" t="str">
        <f>IF(AND('Atividades Micro'!$B454=BX$2,'Atividades Micro'!$G454="Macro",'Atividades Micro'!$K454&lt;&gt;""),'Atividades Micro'!$K454,"")</f>
        <v/>
      </c>
      <c r="BY402" s="21" t="str">
        <f>IF(AND('Atividades Micro'!$B454=BY$2,'Atividades Micro'!$G454="Macro",'Atividades Micro'!$K454&lt;&gt;""),'Atividades Micro'!$K454,"")</f>
        <v/>
      </c>
      <c r="BZ402" s="21" t="str">
        <f>IF(AND('Atividades Micro'!$B454=BZ$2,'Atividades Micro'!$G454="Macro",'Atividades Micro'!$K454&lt;&gt;""),'Atividades Micro'!$K454,"")</f>
        <v/>
      </c>
      <c r="CA402" s="21" t="str">
        <f>IF(AND('Atividades Micro'!$B454=CA$2,'Atividades Micro'!$G454="Macro",'Atividades Micro'!$K454&lt;&gt;""),'Atividades Micro'!$K454,"")</f>
        <v/>
      </c>
      <c r="CB402" s="21" t="str">
        <f>IF(AND('Atividades Micro'!$B454=CB$2,'Atividades Micro'!$G454="Macro",'Atividades Micro'!$K454&lt;&gt;""),'Atividades Micro'!$K454,"")</f>
        <v/>
      </c>
      <c r="CC402" s="21" t="str">
        <f>IF(AND('Atividades Micro'!$B454=CC$2,'Atividades Micro'!$G454="Macro",'Atividades Micro'!$K454&lt;&gt;""),'Atividades Micro'!$K454,"")</f>
        <v/>
      </c>
      <c r="CD402" s="21" t="str">
        <f>IF(AND('Atividades Micro'!$B454=CD$2,'Atividades Micro'!$G454="Micro",'Atividades Micro'!$K454&lt;&gt;""),'Atividades Micro'!$K454,"")</f>
        <v/>
      </c>
      <c r="CE402" s="21" t="str">
        <f>IF(AND('Atividades Micro'!$B454=CE$2,'Atividades Micro'!$G454="Micro",'Atividades Micro'!$K454&lt;&gt;""),'Atividades Micro'!$K454,"")</f>
        <v/>
      </c>
      <c r="CF402" s="21" t="str">
        <f>IF(AND('Atividades Micro'!$B454=CF$2,'Atividades Micro'!$G454="Micro",'Atividades Micro'!$K454&lt;&gt;""),'Atividades Micro'!$K454,"")</f>
        <v/>
      </c>
      <c r="CG402" s="21" t="str">
        <f>IF(AND('Atividades Micro'!$B454=CG$2,'Atividades Micro'!$G454="Micro",'Atividades Micro'!$K454&lt;&gt;""),'Atividades Micro'!$K454,"")</f>
        <v/>
      </c>
      <c r="CH402" s="21" t="str">
        <f>IF(AND('Atividades Micro'!$B454=CH$2,'Atividades Micro'!$G454="Micro",'Atividades Micro'!$K454&lt;&gt;""),'Atividades Micro'!$K454,"")</f>
        <v/>
      </c>
      <c r="CI402" s="21" t="str">
        <f>IF(AND('Atividades Micro'!$B454=CI$2,'Atividades Micro'!$G454="Micro",'Atividades Micro'!$K454&lt;&gt;""),'Atividades Micro'!$K454,"")</f>
        <v/>
      </c>
      <c r="CJ402" s="21" t="str">
        <f>IF(AND('Atividades Micro'!$B454=CJ$2,'Atividades Micro'!$G454="Micro",'Atividades Micro'!$K454&lt;&gt;""),'Atividades Micro'!$K454,"")</f>
        <v/>
      </c>
      <c r="CK402" s="21" t="str">
        <f>IF(AND('Atividades Micro'!$B454=CK$2,'Atividades Micro'!$G454="Micro",'Atividades Micro'!$K454&lt;&gt;""),'Atividades Micro'!$K454,"")</f>
        <v/>
      </c>
      <c r="CL402" s="21" t="str">
        <f>IF(AND('Atividades Micro'!$B454=CL$2,'Atividades Micro'!$G454="Micro",'Atividades Micro'!$K454&lt;&gt;""),'Atividades Micro'!$K454,"")</f>
        <v/>
      </c>
      <c r="CM402" s="21" t="str">
        <f>IF(AND('Atividades Micro'!$B454=CM$2,'Atividades Micro'!$G454="Micro",'Atividades Micro'!$K454&lt;&gt;""),'Atividades Micro'!$K454,"")</f>
        <v/>
      </c>
      <c r="CN402" s="21" t="str">
        <f>IF(AND('Atividades Micro'!$B454=CN$2,'Atividades Micro'!$G454="Micro",'Atividades Micro'!$K454&lt;&gt;""),'Atividades Micro'!$K454,"")</f>
        <v/>
      </c>
      <c r="CO402" s="21" t="str">
        <f>IF(AND('Atividades Micro'!$B454=CO$2,'Atividades Micro'!$G454="Micro",'Atividades Micro'!$K454&lt;&gt;""),'Atividades Micro'!$K454,"")</f>
        <v/>
      </c>
    </row>
    <row r="403" spans="1:93">
      <c r="A403" s="21" t="str">
        <f>IF(AND('Atividades Micro'!$A455=A$2,'Atividades Micro'!$K455&lt;&gt;""),'Atividades Micro'!$K455,"")</f>
        <v/>
      </c>
      <c r="B403" s="21" t="str">
        <f>IF(AND('Atividades Micro'!$A455=B$2,'Atividades Micro'!$L455&lt;&gt;""),'Atividades Micro'!$L455,"")</f>
        <v/>
      </c>
      <c r="C403" s="21" t="str">
        <f>IF(AND('Atividades Micro'!$A455=C$2,'Atividades Micro'!$K455&lt;&gt;""),'Atividades Micro'!$K455,"")</f>
        <v/>
      </c>
      <c r="D403" s="21" t="str">
        <f>IF(AND('Atividades Micro'!$A455=D$2,'Atividades Micro'!$L455&lt;&gt;""),'Atividades Micro'!$L455,"")</f>
        <v/>
      </c>
      <c r="E403" s="21" t="str">
        <f>IF(AND('Atividades Micro'!$A455=E$2,'Atividades Micro'!$K455&lt;&gt;""),'Atividades Micro'!$K455,"")</f>
        <v/>
      </c>
      <c r="F403" s="21" t="str">
        <f>IF(AND('Atividades Micro'!$A455=F$2,'Atividades Micro'!$L455&lt;&gt;""),'Atividades Micro'!$L455,"")</f>
        <v/>
      </c>
      <c r="G403" s="21" t="str">
        <f>IF(AND('Atividades Micro'!$A455=G$2,'Atividades Micro'!$K455&lt;&gt;""),'Atividades Micro'!$K455,"")</f>
        <v/>
      </c>
      <c r="H403" s="21" t="str">
        <f>IF(AND('Atividades Micro'!$A455=H$2,'Atividades Micro'!$L455&lt;&gt;""),'Atividades Micro'!$L455,"")</f>
        <v/>
      </c>
      <c r="I403" s="21" t="str">
        <f>IF(AND('Atividades Micro'!$A455=I$2,'Atividades Micro'!$K455&lt;&gt;""),'Atividades Micro'!$K455,"")</f>
        <v/>
      </c>
      <c r="J403" s="21" t="str">
        <f>IF(AND('Atividades Micro'!$A455=J$2,'Atividades Micro'!$L455&lt;&gt;""),'Atividades Micro'!$L455,"")</f>
        <v/>
      </c>
      <c r="K403" s="21" t="str">
        <f>IF(AND('Atividades Micro'!$B455=K$2,'Atividades Micro'!$K455&lt;&gt;""),'Atividades Micro'!$K455,"")</f>
        <v/>
      </c>
      <c r="L403" s="21" t="str">
        <f>IF(AND('Atividades Micro'!$B455=L$2,'Atividades Micro'!$L455&lt;&gt;""),'Atividades Micro'!$L455,"")</f>
        <v/>
      </c>
      <c r="M403" s="21" t="str">
        <f>IF(AND('Atividades Micro'!$B455=M$2,'Atividades Micro'!$K455&lt;&gt;""),'Atividades Micro'!$K455,"")</f>
        <v/>
      </c>
      <c r="N403" s="21" t="str">
        <f>IF(AND('Atividades Micro'!$B455=N$2,'Atividades Micro'!$L455&lt;&gt;""),'Atividades Micro'!$L455,"")</f>
        <v/>
      </c>
      <c r="O403" s="21" t="str">
        <f>IF(AND('Atividades Micro'!$A455=O$2,'Atividades Micro'!$K455&lt;&gt;""),'Atividades Micro'!$K455,"")</f>
        <v/>
      </c>
      <c r="P403" s="21" t="str">
        <f>IF(AND('Atividades Micro'!$A455=P$2,'Atividades Micro'!$L455&lt;&gt;""),'Atividades Micro'!$L455,"")</f>
        <v/>
      </c>
      <c r="Q403" s="21" t="str">
        <f>IF(AND('Atividades Micro'!$B455=Q$2,'Atividades Micro'!$K455&lt;&gt;""),'Atividades Micro'!$K455,"")</f>
        <v/>
      </c>
      <c r="R403" s="21" t="str">
        <f>IF(AND('Atividades Micro'!$B455=R$2,'Atividades Micro'!$L455&lt;&gt;""),'Atividades Micro'!$L455,"")</f>
        <v/>
      </c>
      <c r="S403" s="21" t="str">
        <f>IF(AND('Atividades Micro'!$A455=S$2,'Atividades Micro'!$K455&lt;&gt;""),'Atividades Micro'!$K455,"")</f>
        <v/>
      </c>
      <c r="T403" s="21" t="str">
        <f>IF(AND('Atividades Micro'!$A455=T$2,'Atividades Micro'!$L455&lt;&gt;""),'Atividades Micro'!$L455,"")</f>
        <v/>
      </c>
      <c r="U403" s="21" t="str">
        <f>IF(AND('Atividades Micro'!$B455=U$2,'Atividades Micro'!$K455&lt;&gt;""),'Atividades Micro'!$K455,"")</f>
        <v/>
      </c>
      <c r="V403" s="21" t="str">
        <f>IF(AND('Atividades Micro'!$B455=V$2,'Atividades Micro'!$L455&lt;&gt;""),'Atividades Micro'!$L455,"")</f>
        <v/>
      </c>
      <c r="W403" s="21" t="str">
        <f>IF(AND('Atividades Micro'!$B455=W$2,'Atividades Micro'!$K455&lt;&gt;""),'Atividades Micro'!$K455,"")</f>
        <v/>
      </c>
      <c r="X403" s="21" t="str">
        <f>IF(AND('Atividades Micro'!$B455=X$2,'Atividades Micro'!$L455&lt;&gt;""),'Atividades Micro'!$L455,"")</f>
        <v/>
      </c>
      <c r="Y403" s="21" t="str">
        <f>IF(AND('Atividades Micro'!$A455=Y$2,'Atividades Micro'!$K455&lt;&gt;""),'Atividades Micro'!$K455,"")</f>
        <v/>
      </c>
      <c r="Z403" s="21" t="str">
        <f>IF(AND('Atividades Micro'!$A455=Z$2,'Atividades Micro'!$L455&lt;&gt;""),'Atividades Micro'!$L455,"")</f>
        <v/>
      </c>
      <c r="AA403" s="21" t="str">
        <f>IF(AND('Atividades Micro'!$B455=AA$2,'Atividades Micro'!$K455&lt;&gt;""),'Atividades Micro'!$K455,"")</f>
        <v/>
      </c>
      <c r="AB403" s="21" t="str">
        <f>IF(AND('Atividades Micro'!$B455=AB$2,'Atividades Micro'!$L455&lt;&gt;""),'Atividades Micro'!$L455,"")</f>
        <v/>
      </c>
      <c r="AC403" s="21" t="str">
        <f>IF(AND('Atividades Micro'!$B455=AC$2,'Atividades Micro'!$K455&lt;&gt;""),'Atividades Micro'!$K455,"")</f>
        <v/>
      </c>
      <c r="AD403" s="21" t="str">
        <f>IF(AND('Atividades Micro'!$B455=AD$2,'Atividades Micro'!$L455&lt;&gt;""),'Atividades Micro'!$L455,"")</f>
        <v/>
      </c>
      <c r="AE403" s="21" t="str">
        <f>IF(AND('Atividades Micro'!$A455=AE$2,'Atividades Micro'!$K455&lt;&gt;""),'Atividades Micro'!$K455,"")</f>
        <v/>
      </c>
      <c r="AF403" s="21" t="str">
        <f>IF(AND('Atividades Micro'!$A455=AF$2,'Atividades Micro'!$L455&lt;&gt;""),'Atividades Micro'!$L455,"")</f>
        <v/>
      </c>
      <c r="AG403" s="21" t="str">
        <f>IF(AND('Atividades Micro'!$B455=AG$2,'Atividades Micro'!$K455&lt;&gt;""),'Atividades Micro'!$K455,"")</f>
        <v/>
      </c>
      <c r="AH403" s="21" t="str">
        <f>IF(AND('Atividades Micro'!$B455=AH$2,'Atividades Micro'!$L455&lt;&gt;""),'Atividades Micro'!$L455,"")</f>
        <v/>
      </c>
      <c r="AI403" s="21" t="str">
        <f>IF(AND('Atividades Micro'!$B455=AI$2,'Atividades Micro'!$K455&lt;&gt;""),'Atividades Micro'!$K455,"")</f>
        <v/>
      </c>
      <c r="AJ403" s="21" t="str">
        <f>IF(AND('Atividades Micro'!$B455=AJ$2,'Atividades Micro'!$L455&lt;&gt;""),'Atividades Micro'!$L455,"")</f>
        <v/>
      </c>
      <c r="AK403" s="21" t="str">
        <f>IF(AND('Atividades Micro'!$A455=AK$2,'Atividades Micro'!$K455&lt;&gt;""),'Atividades Micro'!$K455,"")</f>
        <v/>
      </c>
      <c r="AL403" s="21" t="str">
        <f>IF(AND('Atividades Micro'!$A455=AL$2,'Atividades Micro'!$L455&lt;&gt;""),'Atividades Micro'!$L455,"")</f>
        <v/>
      </c>
      <c r="AM403" s="21" t="str">
        <f>IF(AND('Atividades Micro'!$B455=AM$2,'Atividades Micro'!$K455&lt;&gt;""),'Atividades Micro'!$K455,"")</f>
        <v/>
      </c>
      <c r="AN403" s="21" t="str">
        <f>IF(AND('Atividades Micro'!$B455=AN$2,'Atividades Micro'!$L455&lt;&gt;""),'Atividades Micro'!$L455,"")</f>
        <v/>
      </c>
      <c r="AO403" s="21" t="str">
        <f>IF(AND('Atividades Micro'!$B455=AO$2,'Atividades Micro'!$K455&lt;&gt;""),'Atividades Micro'!$K455,"")</f>
        <v/>
      </c>
      <c r="AP403" s="21" t="str">
        <f>IF(AND('Atividades Micro'!$B455=AP$2,'Atividades Micro'!$L455&lt;&gt;""),'Atividades Micro'!$L455,"")</f>
        <v/>
      </c>
      <c r="AQ403" s="21" t="str">
        <f>IF(AND('Atividades Micro'!$A455=AQ$2,'Atividades Micro'!$K455&lt;&gt;""),'Atividades Micro'!$K455,"")</f>
        <v/>
      </c>
      <c r="AR403" s="21" t="str">
        <f>IF(AND('Atividades Micro'!$A455=AR$2,'Atividades Micro'!$L455&lt;&gt;""),'Atividades Micro'!$L455,"")</f>
        <v/>
      </c>
      <c r="AS403" s="21" t="str">
        <f>IF(AND('Atividades Micro'!$B455=AS$2,'Atividades Micro'!$K455&lt;&gt;""),'Atividades Micro'!$K455,"")</f>
        <v/>
      </c>
      <c r="AT403" s="21" t="str">
        <f>IF(AND('Atividades Micro'!$B455=AT$2,'Atividades Micro'!$L455&lt;&gt;""),'Atividades Micro'!$L455,"")</f>
        <v/>
      </c>
      <c r="AU403" s="21" t="str">
        <f>IF(AND('Atividades Micro'!$A455=AU$2,'Atividades Micro'!$K455&lt;&gt;""),'Atividades Micro'!$K455,"")</f>
        <v/>
      </c>
      <c r="AV403" s="21" t="str">
        <f>IF(AND('Atividades Micro'!$A455=AV$2,'Atividades Micro'!$L455&lt;&gt;""),'Atividades Micro'!$L455,"")</f>
        <v/>
      </c>
      <c r="AW403" s="21" t="str">
        <f>IF(AND('Atividades Micro'!$B455=AW$2,'Atividades Micro'!$K455&lt;&gt;""),'Atividades Micro'!$K455,"")</f>
        <v/>
      </c>
      <c r="AX403" s="21" t="str">
        <f>IF(AND('Atividades Micro'!$B455=AX$2,'Atividades Micro'!$L455&lt;&gt;""),'Atividades Micro'!$L455,"")</f>
        <v/>
      </c>
      <c r="AY403" s="21" t="str">
        <f>IF(AND('Atividades Micro'!$A455=AY$2,'Atividades Micro'!$K455&lt;&gt;""),'Atividades Micro'!$K455,"")</f>
        <v/>
      </c>
      <c r="AZ403" s="21" t="str">
        <f>IF(AND('Atividades Micro'!$A455=AZ$2,'Atividades Micro'!$L455&lt;&gt;""),'Atividades Micro'!$L455,"")</f>
        <v/>
      </c>
      <c r="BA403" s="21" t="str">
        <f>IF(AND('Atividades Micro'!$B455=BA$2,'Atividades Micro'!$K455&lt;&gt;""),'Atividades Micro'!$K455,"")</f>
        <v/>
      </c>
      <c r="BB403" s="21" t="str">
        <f>IF(AND('Atividades Micro'!$B455=BB$2,'Atividades Micro'!$L455&lt;&gt;""),'Atividades Micro'!$L455,"")</f>
        <v/>
      </c>
      <c r="BC403" s="21" t="str">
        <f>IF(AND('Atividades Micro'!$B455=BC$2,'Atividades Micro'!$G455="Macro",'Atividades Micro'!$K455&lt;&gt;""),'Atividades Micro'!$K455,"")</f>
        <v/>
      </c>
      <c r="BD403" s="21" t="str">
        <f>IF(AND('Atividades Micro'!$B455=BD$2,'Atividades Micro'!$G455="Macro",'Atividades Micro'!$K455&lt;&gt;""),'Atividades Micro'!$K455,"")</f>
        <v/>
      </c>
      <c r="BE403" s="21" t="str">
        <f>IF(AND('Atividades Micro'!$B455=BE$2,'Atividades Micro'!$G455="Macro",'Atividades Micro'!$K455&lt;&gt;""),'Atividades Micro'!$K455,"")</f>
        <v/>
      </c>
      <c r="BF403" s="21" t="str">
        <f>IF(AND('Atividades Micro'!$B455=BF$2,'Atividades Micro'!$G455="Macro",'Atividades Micro'!$K455&lt;&gt;""),'Atividades Micro'!$K455,"")</f>
        <v/>
      </c>
      <c r="BG403" s="21" t="str">
        <f>IF(AND('Atividades Micro'!$B455=BG$2,'Atividades Micro'!$G455="Macro",'Atividades Micro'!$K455&lt;&gt;""),'Atividades Micro'!$K455,"")</f>
        <v/>
      </c>
      <c r="BH403" s="21" t="str">
        <f>IF(AND('Atividades Micro'!$B455=BH$2,'Atividades Micro'!$G455="Macro",'Atividades Micro'!$K455&lt;&gt;""),'Atividades Micro'!$K455,"")</f>
        <v/>
      </c>
      <c r="BI403" s="21" t="str">
        <f>IF(AND('Atividades Micro'!$B455=BI$2,'Atividades Micro'!$G455="Macro",'Atividades Micro'!$K455&lt;&gt;""),'Atividades Micro'!$K455,"")</f>
        <v/>
      </c>
      <c r="BJ403" s="21" t="str">
        <f>IF(AND('Atividades Micro'!$B455=BJ$2,'Atividades Micro'!$G455="Macro",'Atividades Micro'!$K455&lt;&gt;""),'Atividades Micro'!$K455,"")</f>
        <v/>
      </c>
      <c r="BK403" s="21" t="str">
        <f>IF(AND('Atividades Micro'!$B455=BK$2,'Atividades Micro'!$G455="Macro",'Atividades Micro'!$K455&lt;&gt;""),'Atividades Micro'!$K455,"")</f>
        <v/>
      </c>
      <c r="BL403" s="21" t="str">
        <f>IF(AND('Atividades Micro'!$B455=BL$2,'Atividades Micro'!$G455="Macro",'Atividades Micro'!$K455&lt;&gt;""),'Atividades Micro'!$K455,"")</f>
        <v/>
      </c>
      <c r="BM403" s="21" t="str">
        <f>IF(AND('Atividades Micro'!$B455=BM$2,'Atividades Micro'!$G455="Macro",'Atividades Micro'!$K455&lt;&gt;""),'Atividades Micro'!$K455,"")</f>
        <v/>
      </c>
      <c r="BN403" s="21" t="str">
        <f>IF(AND('Atividades Micro'!$B455=BN$2,'Atividades Micro'!$G455="Macro",'Atividades Micro'!$K455&lt;&gt;""),'Atividades Micro'!$K455,"")</f>
        <v/>
      </c>
      <c r="BO403" s="21" t="str">
        <f>IF(AND('Atividades Micro'!$B455=BO$2,'Atividades Micro'!$G455="Macro",'Atividades Micro'!$K455&lt;&gt;""),'Atividades Micro'!$K455,"")</f>
        <v/>
      </c>
      <c r="BP403" s="21" t="str">
        <f>IF(AND('Atividades Micro'!$B455=BP$2,'Atividades Micro'!$G455="Macro",'Atividades Micro'!$K455&lt;&gt;""),'Atividades Micro'!$K455,"")</f>
        <v/>
      </c>
      <c r="BQ403" s="21" t="str">
        <f>IF(AND('Atividades Micro'!$B455=BQ$2,'Atividades Micro'!$G455="Macro",'Atividades Micro'!$K455&lt;&gt;""),'Atividades Micro'!$K455,"")</f>
        <v/>
      </c>
      <c r="BR403" s="21" t="str">
        <f>IF(AND('Atividades Micro'!$B455=BR$2,'Atividades Micro'!$G455="Macro",'Atividades Micro'!$K455&lt;&gt;""),'Atividades Micro'!$K455,"")</f>
        <v/>
      </c>
      <c r="BS403" s="21" t="str">
        <f>IF(AND('Atividades Micro'!$B455=BS$2,'Atividades Micro'!$G455="Macro",'Atividades Micro'!$K455&lt;&gt;""),'Atividades Micro'!$K455,"")</f>
        <v/>
      </c>
      <c r="BT403" s="21" t="str">
        <f>IF(AND('Atividades Micro'!$B455=BT$2,'Atividades Micro'!$G455="Macro",'Atividades Micro'!$K455&lt;&gt;""),'Atividades Micro'!$K455,"")</f>
        <v/>
      </c>
      <c r="BU403" s="21" t="str">
        <f>IF(AND('Atividades Micro'!$B455=BU$2,'Atividades Micro'!$G455="Macro",'Atividades Micro'!$K455&lt;&gt;""),'Atividades Micro'!$K455,"")</f>
        <v/>
      </c>
      <c r="BV403" s="21" t="str">
        <f>IF(AND('Atividades Micro'!$B455=BV$2,'Atividades Micro'!$G455="Macro",'Atividades Micro'!$K455&lt;&gt;""),'Atividades Micro'!$K455,"")</f>
        <v/>
      </c>
      <c r="BW403" s="21" t="str">
        <f>IF(AND('Atividades Micro'!$B455=BW$2,'Atividades Micro'!$G455="Macro",'Atividades Micro'!$K455&lt;&gt;""),'Atividades Micro'!$K455,"")</f>
        <v/>
      </c>
      <c r="BX403" s="21" t="str">
        <f>IF(AND('Atividades Micro'!$B455=BX$2,'Atividades Micro'!$G455="Macro",'Atividades Micro'!$K455&lt;&gt;""),'Atividades Micro'!$K455,"")</f>
        <v/>
      </c>
      <c r="BY403" s="21" t="str">
        <f>IF(AND('Atividades Micro'!$B455=BY$2,'Atividades Micro'!$G455="Macro",'Atividades Micro'!$K455&lt;&gt;""),'Atividades Micro'!$K455,"")</f>
        <v/>
      </c>
      <c r="BZ403" s="21" t="str">
        <f>IF(AND('Atividades Micro'!$B455=BZ$2,'Atividades Micro'!$G455="Macro",'Atividades Micro'!$K455&lt;&gt;""),'Atividades Micro'!$K455,"")</f>
        <v/>
      </c>
      <c r="CA403" s="21" t="str">
        <f>IF(AND('Atividades Micro'!$B455=CA$2,'Atividades Micro'!$G455="Macro",'Atividades Micro'!$K455&lt;&gt;""),'Atividades Micro'!$K455,"")</f>
        <v/>
      </c>
      <c r="CB403" s="21" t="str">
        <f>IF(AND('Atividades Micro'!$B455=CB$2,'Atividades Micro'!$G455="Macro",'Atividades Micro'!$K455&lt;&gt;""),'Atividades Micro'!$K455,"")</f>
        <v/>
      </c>
      <c r="CC403" s="21" t="str">
        <f>IF(AND('Atividades Micro'!$B455=CC$2,'Atividades Micro'!$G455="Macro",'Atividades Micro'!$K455&lt;&gt;""),'Atividades Micro'!$K455,"")</f>
        <v/>
      </c>
      <c r="CD403" s="21" t="str">
        <f>IF(AND('Atividades Micro'!$B455=CD$2,'Atividades Micro'!$G455="Micro",'Atividades Micro'!$K455&lt;&gt;""),'Atividades Micro'!$K455,"")</f>
        <v/>
      </c>
      <c r="CE403" s="21" t="str">
        <f>IF(AND('Atividades Micro'!$B455=CE$2,'Atividades Micro'!$G455="Micro",'Atividades Micro'!$K455&lt;&gt;""),'Atividades Micro'!$K455,"")</f>
        <v/>
      </c>
      <c r="CF403" s="21" t="str">
        <f>IF(AND('Atividades Micro'!$B455=CF$2,'Atividades Micro'!$G455="Micro",'Atividades Micro'!$K455&lt;&gt;""),'Atividades Micro'!$K455,"")</f>
        <v/>
      </c>
      <c r="CG403" s="21" t="str">
        <f>IF(AND('Atividades Micro'!$B455=CG$2,'Atividades Micro'!$G455="Micro",'Atividades Micro'!$K455&lt;&gt;""),'Atividades Micro'!$K455,"")</f>
        <v/>
      </c>
      <c r="CH403" s="21" t="str">
        <f>IF(AND('Atividades Micro'!$B455=CH$2,'Atividades Micro'!$G455="Micro",'Atividades Micro'!$K455&lt;&gt;""),'Atividades Micro'!$K455,"")</f>
        <v/>
      </c>
      <c r="CI403" s="21" t="str">
        <f>IF(AND('Atividades Micro'!$B455=CI$2,'Atividades Micro'!$G455="Micro",'Atividades Micro'!$K455&lt;&gt;""),'Atividades Micro'!$K455,"")</f>
        <v/>
      </c>
      <c r="CJ403" s="21" t="str">
        <f>IF(AND('Atividades Micro'!$B455=CJ$2,'Atividades Micro'!$G455="Micro",'Atividades Micro'!$K455&lt;&gt;""),'Atividades Micro'!$K455,"")</f>
        <v/>
      </c>
      <c r="CK403" s="21" t="str">
        <f>IF(AND('Atividades Micro'!$B455=CK$2,'Atividades Micro'!$G455="Micro",'Atividades Micro'!$K455&lt;&gt;""),'Atividades Micro'!$K455,"")</f>
        <v/>
      </c>
      <c r="CL403" s="21" t="str">
        <f>IF(AND('Atividades Micro'!$B455=CL$2,'Atividades Micro'!$G455="Micro",'Atividades Micro'!$K455&lt;&gt;""),'Atividades Micro'!$K455,"")</f>
        <v/>
      </c>
      <c r="CM403" s="21" t="str">
        <f>IF(AND('Atividades Micro'!$B455=CM$2,'Atividades Micro'!$G455="Micro",'Atividades Micro'!$K455&lt;&gt;""),'Atividades Micro'!$K455,"")</f>
        <v/>
      </c>
      <c r="CN403" s="21" t="str">
        <f>IF(AND('Atividades Micro'!$B455=CN$2,'Atividades Micro'!$G455="Micro",'Atividades Micro'!$K455&lt;&gt;""),'Atividades Micro'!$K455,"")</f>
        <v/>
      </c>
      <c r="CO403" s="21" t="str">
        <f>IF(AND('Atividades Micro'!$B455=CO$2,'Atividades Micro'!$G455="Micro",'Atividades Micro'!$K455&lt;&gt;""),'Atividades Micro'!$K455,"")</f>
        <v/>
      </c>
    </row>
    <row r="404" spans="1:93">
      <c r="A404" s="21" t="str">
        <f>IF(AND('Atividades Micro'!$A456=A$2,'Atividades Micro'!$K456&lt;&gt;""),'Atividades Micro'!$K456,"")</f>
        <v/>
      </c>
      <c r="B404" s="21" t="str">
        <f>IF(AND('Atividades Micro'!$A456=B$2,'Atividades Micro'!$L456&lt;&gt;""),'Atividades Micro'!$L456,"")</f>
        <v/>
      </c>
      <c r="C404" s="21" t="str">
        <f>IF(AND('Atividades Micro'!$A456=C$2,'Atividades Micro'!$K456&lt;&gt;""),'Atividades Micro'!$K456,"")</f>
        <v/>
      </c>
      <c r="D404" s="21" t="str">
        <f>IF(AND('Atividades Micro'!$A456=D$2,'Atividades Micro'!$L456&lt;&gt;""),'Atividades Micro'!$L456,"")</f>
        <v/>
      </c>
      <c r="E404" s="21" t="str">
        <f>IF(AND('Atividades Micro'!$A456=E$2,'Atividades Micro'!$K456&lt;&gt;""),'Atividades Micro'!$K456,"")</f>
        <v/>
      </c>
      <c r="F404" s="21" t="str">
        <f>IF(AND('Atividades Micro'!$A456=F$2,'Atividades Micro'!$L456&lt;&gt;""),'Atividades Micro'!$L456,"")</f>
        <v/>
      </c>
      <c r="G404" s="21" t="str">
        <f>IF(AND('Atividades Micro'!$A456=G$2,'Atividades Micro'!$K456&lt;&gt;""),'Atividades Micro'!$K456,"")</f>
        <v/>
      </c>
      <c r="H404" s="21" t="str">
        <f>IF(AND('Atividades Micro'!$A456=H$2,'Atividades Micro'!$L456&lt;&gt;""),'Atividades Micro'!$L456,"")</f>
        <v/>
      </c>
      <c r="I404" s="21" t="str">
        <f>IF(AND('Atividades Micro'!$A456=I$2,'Atividades Micro'!$K456&lt;&gt;""),'Atividades Micro'!$K456,"")</f>
        <v/>
      </c>
      <c r="J404" s="21" t="str">
        <f>IF(AND('Atividades Micro'!$A456=J$2,'Atividades Micro'!$L456&lt;&gt;""),'Atividades Micro'!$L456,"")</f>
        <v/>
      </c>
      <c r="K404" s="21" t="str">
        <f>IF(AND('Atividades Micro'!$B456=K$2,'Atividades Micro'!$K456&lt;&gt;""),'Atividades Micro'!$K456,"")</f>
        <v/>
      </c>
      <c r="L404" s="21" t="str">
        <f>IF(AND('Atividades Micro'!$B456=L$2,'Atividades Micro'!$L456&lt;&gt;""),'Atividades Micro'!$L456,"")</f>
        <v/>
      </c>
      <c r="M404" s="21" t="str">
        <f>IF(AND('Atividades Micro'!$B456=M$2,'Atividades Micro'!$K456&lt;&gt;""),'Atividades Micro'!$K456,"")</f>
        <v/>
      </c>
      <c r="N404" s="21" t="str">
        <f>IF(AND('Atividades Micro'!$B456=N$2,'Atividades Micro'!$L456&lt;&gt;""),'Atividades Micro'!$L456,"")</f>
        <v/>
      </c>
      <c r="O404" s="21" t="str">
        <f>IF(AND('Atividades Micro'!$A456=O$2,'Atividades Micro'!$K456&lt;&gt;""),'Atividades Micro'!$K456,"")</f>
        <v/>
      </c>
      <c r="P404" s="21" t="str">
        <f>IF(AND('Atividades Micro'!$A456=P$2,'Atividades Micro'!$L456&lt;&gt;""),'Atividades Micro'!$L456,"")</f>
        <v/>
      </c>
      <c r="Q404" s="21" t="str">
        <f>IF(AND('Atividades Micro'!$B456=Q$2,'Atividades Micro'!$K456&lt;&gt;""),'Atividades Micro'!$K456,"")</f>
        <v/>
      </c>
      <c r="R404" s="21" t="str">
        <f>IF(AND('Atividades Micro'!$B456=R$2,'Atividades Micro'!$L456&lt;&gt;""),'Atividades Micro'!$L456,"")</f>
        <v/>
      </c>
      <c r="S404" s="21" t="str">
        <f>IF(AND('Atividades Micro'!$A456=S$2,'Atividades Micro'!$K456&lt;&gt;""),'Atividades Micro'!$K456,"")</f>
        <v/>
      </c>
      <c r="T404" s="21" t="str">
        <f>IF(AND('Atividades Micro'!$A456=T$2,'Atividades Micro'!$L456&lt;&gt;""),'Atividades Micro'!$L456,"")</f>
        <v/>
      </c>
      <c r="U404" s="21" t="str">
        <f>IF(AND('Atividades Micro'!$B456=U$2,'Atividades Micro'!$K456&lt;&gt;""),'Atividades Micro'!$K456,"")</f>
        <v/>
      </c>
      <c r="V404" s="21" t="str">
        <f>IF(AND('Atividades Micro'!$B456=V$2,'Atividades Micro'!$L456&lt;&gt;""),'Atividades Micro'!$L456,"")</f>
        <v/>
      </c>
      <c r="W404" s="21" t="str">
        <f>IF(AND('Atividades Micro'!$B456=W$2,'Atividades Micro'!$K456&lt;&gt;""),'Atividades Micro'!$K456,"")</f>
        <v/>
      </c>
      <c r="X404" s="21" t="str">
        <f>IF(AND('Atividades Micro'!$B456=X$2,'Atividades Micro'!$L456&lt;&gt;""),'Atividades Micro'!$L456,"")</f>
        <v/>
      </c>
      <c r="Y404" s="21" t="str">
        <f>IF(AND('Atividades Micro'!$A456=Y$2,'Atividades Micro'!$K456&lt;&gt;""),'Atividades Micro'!$K456,"")</f>
        <v/>
      </c>
      <c r="Z404" s="21" t="str">
        <f>IF(AND('Atividades Micro'!$A456=Z$2,'Atividades Micro'!$L456&lt;&gt;""),'Atividades Micro'!$L456,"")</f>
        <v/>
      </c>
      <c r="AA404" s="21" t="str">
        <f>IF(AND('Atividades Micro'!$B456=AA$2,'Atividades Micro'!$K456&lt;&gt;""),'Atividades Micro'!$K456,"")</f>
        <v/>
      </c>
      <c r="AB404" s="21" t="str">
        <f>IF(AND('Atividades Micro'!$B456=AB$2,'Atividades Micro'!$L456&lt;&gt;""),'Atividades Micro'!$L456,"")</f>
        <v/>
      </c>
      <c r="AC404" s="21" t="str">
        <f>IF(AND('Atividades Micro'!$B456=AC$2,'Atividades Micro'!$K456&lt;&gt;""),'Atividades Micro'!$K456,"")</f>
        <v/>
      </c>
      <c r="AD404" s="21" t="str">
        <f>IF(AND('Atividades Micro'!$B456=AD$2,'Atividades Micro'!$L456&lt;&gt;""),'Atividades Micro'!$L456,"")</f>
        <v/>
      </c>
      <c r="AE404" s="21" t="str">
        <f>IF(AND('Atividades Micro'!$A456=AE$2,'Atividades Micro'!$K456&lt;&gt;""),'Atividades Micro'!$K456,"")</f>
        <v/>
      </c>
      <c r="AF404" s="21" t="str">
        <f>IF(AND('Atividades Micro'!$A456=AF$2,'Atividades Micro'!$L456&lt;&gt;""),'Atividades Micro'!$L456,"")</f>
        <v/>
      </c>
      <c r="AG404" s="21" t="str">
        <f>IF(AND('Atividades Micro'!$B456=AG$2,'Atividades Micro'!$K456&lt;&gt;""),'Atividades Micro'!$K456,"")</f>
        <v/>
      </c>
      <c r="AH404" s="21" t="str">
        <f>IF(AND('Atividades Micro'!$B456=AH$2,'Atividades Micro'!$L456&lt;&gt;""),'Atividades Micro'!$L456,"")</f>
        <v/>
      </c>
      <c r="AI404" s="21" t="str">
        <f>IF(AND('Atividades Micro'!$B456=AI$2,'Atividades Micro'!$K456&lt;&gt;""),'Atividades Micro'!$K456,"")</f>
        <v/>
      </c>
      <c r="AJ404" s="21" t="str">
        <f>IF(AND('Atividades Micro'!$B456=AJ$2,'Atividades Micro'!$L456&lt;&gt;""),'Atividades Micro'!$L456,"")</f>
        <v/>
      </c>
      <c r="AK404" s="21" t="str">
        <f>IF(AND('Atividades Micro'!$A456=AK$2,'Atividades Micro'!$K456&lt;&gt;""),'Atividades Micro'!$K456,"")</f>
        <v/>
      </c>
      <c r="AL404" s="21" t="str">
        <f>IF(AND('Atividades Micro'!$A456=AL$2,'Atividades Micro'!$L456&lt;&gt;""),'Atividades Micro'!$L456,"")</f>
        <v/>
      </c>
      <c r="AM404" s="21" t="str">
        <f>IF(AND('Atividades Micro'!$B456=AM$2,'Atividades Micro'!$K456&lt;&gt;""),'Atividades Micro'!$K456,"")</f>
        <v/>
      </c>
      <c r="AN404" s="21" t="str">
        <f>IF(AND('Atividades Micro'!$B456=AN$2,'Atividades Micro'!$L456&lt;&gt;""),'Atividades Micro'!$L456,"")</f>
        <v/>
      </c>
      <c r="AO404" s="21" t="str">
        <f>IF(AND('Atividades Micro'!$B456=AO$2,'Atividades Micro'!$K456&lt;&gt;""),'Atividades Micro'!$K456,"")</f>
        <v/>
      </c>
      <c r="AP404" s="21" t="str">
        <f>IF(AND('Atividades Micro'!$B456=AP$2,'Atividades Micro'!$L456&lt;&gt;""),'Atividades Micro'!$L456,"")</f>
        <v/>
      </c>
      <c r="AQ404" s="21" t="str">
        <f>IF(AND('Atividades Micro'!$A456=AQ$2,'Atividades Micro'!$K456&lt;&gt;""),'Atividades Micro'!$K456,"")</f>
        <v/>
      </c>
      <c r="AR404" s="21" t="str">
        <f>IF(AND('Atividades Micro'!$A456=AR$2,'Atividades Micro'!$L456&lt;&gt;""),'Atividades Micro'!$L456,"")</f>
        <v/>
      </c>
      <c r="AS404" s="21" t="str">
        <f>IF(AND('Atividades Micro'!$B456=AS$2,'Atividades Micro'!$K456&lt;&gt;""),'Atividades Micro'!$K456,"")</f>
        <v/>
      </c>
      <c r="AT404" s="21" t="str">
        <f>IF(AND('Atividades Micro'!$B456=AT$2,'Atividades Micro'!$L456&lt;&gt;""),'Atividades Micro'!$L456,"")</f>
        <v/>
      </c>
      <c r="AU404" s="21" t="str">
        <f>IF(AND('Atividades Micro'!$A456=AU$2,'Atividades Micro'!$K456&lt;&gt;""),'Atividades Micro'!$K456,"")</f>
        <v/>
      </c>
      <c r="AV404" s="21" t="str">
        <f>IF(AND('Atividades Micro'!$A456=AV$2,'Atividades Micro'!$L456&lt;&gt;""),'Atividades Micro'!$L456,"")</f>
        <v/>
      </c>
      <c r="AW404" s="21" t="str">
        <f>IF(AND('Atividades Micro'!$B456=AW$2,'Atividades Micro'!$K456&lt;&gt;""),'Atividades Micro'!$K456,"")</f>
        <v/>
      </c>
      <c r="AX404" s="21" t="str">
        <f>IF(AND('Atividades Micro'!$B456=AX$2,'Atividades Micro'!$L456&lt;&gt;""),'Atividades Micro'!$L456,"")</f>
        <v/>
      </c>
      <c r="AY404" s="21" t="str">
        <f>IF(AND('Atividades Micro'!$A456=AY$2,'Atividades Micro'!$K456&lt;&gt;""),'Atividades Micro'!$K456,"")</f>
        <v/>
      </c>
      <c r="AZ404" s="21" t="str">
        <f>IF(AND('Atividades Micro'!$A456=AZ$2,'Atividades Micro'!$L456&lt;&gt;""),'Atividades Micro'!$L456,"")</f>
        <v/>
      </c>
      <c r="BA404" s="21" t="str">
        <f>IF(AND('Atividades Micro'!$B456=BA$2,'Atividades Micro'!$K456&lt;&gt;""),'Atividades Micro'!$K456,"")</f>
        <v/>
      </c>
      <c r="BB404" s="21" t="str">
        <f>IF(AND('Atividades Micro'!$B456=BB$2,'Atividades Micro'!$L456&lt;&gt;""),'Atividades Micro'!$L456,"")</f>
        <v/>
      </c>
      <c r="BC404" s="21" t="str">
        <f>IF(AND('Atividades Micro'!$B456=BC$2,'Atividades Micro'!$G456="Macro",'Atividades Micro'!$K456&lt;&gt;""),'Atividades Micro'!$K456,"")</f>
        <v/>
      </c>
      <c r="BD404" s="21" t="str">
        <f>IF(AND('Atividades Micro'!$B456=BD$2,'Atividades Micro'!$G456="Macro",'Atividades Micro'!$K456&lt;&gt;""),'Atividades Micro'!$K456,"")</f>
        <v/>
      </c>
      <c r="BE404" s="21" t="str">
        <f>IF(AND('Atividades Micro'!$B456=BE$2,'Atividades Micro'!$G456="Macro",'Atividades Micro'!$K456&lt;&gt;""),'Atividades Micro'!$K456,"")</f>
        <v/>
      </c>
      <c r="BF404" s="21" t="str">
        <f>IF(AND('Atividades Micro'!$B456=BF$2,'Atividades Micro'!$G456="Macro",'Atividades Micro'!$K456&lt;&gt;""),'Atividades Micro'!$K456,"")</f>
        <v/>
      </c>
      <c r="BG404" s="21" t="str">
        <f>IF(AND('Atividades Micro'!$B456=BG$2,'Atividades Micro'!$G456="Macro",'Atividades Micro'!$K456&lt;&gt;""),'Atividades Micro'!$K456,"")</f>
        <v/>
      </c>
      <c r="BH404" s="21" t="str">
        <f>IF(AND('Atividades Micro'!$B456=BH$2,'Atividades Micro'!$G456="Macro",'Atividades Micro'!$K456&lt;&gt;""),'Atividades Micro'!$K456,"")</f>
        <v/>
      </c>
      <c r="BI404" s="21" t="str">
        <f>IF(AND('Atividades Micro'!$B456=BI$2,'Atividades Micro'!$G456="Macro",'Atividades Micro'!$K456&lt;&gt;""),'Atividades Micro'!$K456,"")</f>
        <v/>
      </c>
      <c r="BJ404" s="21" t="str">
        <f>IF(AND('Atividades Micro'!$B456=BJ$2,'Atividades Micro'!$G456="Macro",'Atividades Micro'!$K456&lt;&gt;""),'Atividades Micro'!$K456,"")</f>
        <v/>
      </c>
      <c r="BK404" s="21" t="str">
        <f>IF(AND('Atividades Micro'!$B456=BK$2,'Atividades Micro'!$G456="Macro",'Atividades Micro'!$K456&lt;&gt;""),'Atividades Micro'!$K456,"")</f>
        <v/>
      </c>
      <c r="BL404" s="21" t="str">
        <f>IF(AND('Atividades Micro'!$B456=BL$2,'Atividades Micro'!$G456="Macro",'Atividades Micro'!$K456&lt;&gt;""),'Atividades Micro'!$K456,"")</f>
        <v/>
      </c>
      <c r="BM404" s="21" t="str">
        <f>IF(AND('Atividades Micro'!$B456=BM$2,'Atividades Micro'!$G456="Macro",'Atividades Micro'!$K456&lt;&gt;""),'Atividades Micro'!$K456,"")</f>
        <v/>
      </c>
      <c r="BN404" s="21" t="str">
        <f>IF(AND('Atividades Micro'!$B456=BN$2,'Atividades Micro'!$G456="Macro",'Atividades Micro'!$K456&lt;&gt;""),'Atividades Micro'!$K456,"")</f>
        <v/>
      </c>
      <c r="BO404" s="21" t="str">
        <f>IF(AND('Atividades Micro'!$B456=BO$2,'Atividades Micro'!$G456="Macro",'Atividades Micro'!$K456&lt;&gt;""),'Atividades Micro'!$K456,"")</f>
        <v/>
      </c>
      <c r="BP404" s="21" t="str">
        <f>IF(AND('Atividades Micro'!$B456=BP$2,'Atividades Micro'!$G456="Macro",'Atividades Micro'!$K456&lt;&gt;""),'Atividades Micro'!$K456,"")</f>
        <v/>
      </c>
      <c r="BQ404" s="21" t="str">
        <f>IF(AND('Atividades Micro'!$B456=BQ$2,'Atividades Micro'!$G456="Macro",'Atividades Micro'!$K456&lt;&gt;""),'Atividades Micro'!$K456,"")</f>
        <v/>
      </c>
      <c r="BR404" s="21" t="str">
        <f>IF(AND('Atividades Micro'!$B456=BR$2,'Atividades Micro'!$G456="Macro",'Atividades Micro'!$K456&lt;&gt;""),'Atividades Micro'!$K456,"")</f>
        <v/>
      </c>
      <c r="BS404" s="21" t="str">
        <f>IF(AND('Atividades Micro'!$B456=BS$2,'Atividades Micro'!$G456="Macro",'Atividades Micro'!$K456&lt;&gt;""),'Atividades Micro'!$K456,"")</f>
        <v/>
      </c>
      <c r="BT404" s="21" t="str">
        <f>IF(AND('Atividades Micro'!$B456=BT$2,'Atividades Micro'!$G456="Macro",'Atividades Micro'!$K456&lt;&gt;""),'Atividades Micro'!$K456,"")</f>
        <v/>
      </c>
      <c r="BU404" s="21" t="str">
        <f>IF(AND('Atividades Micro'!$B456=BU$2,'Atividades Micro'!$G456="Macro",'Atividades Micro'!$K456&lt;&gt;""),'Atividades Micro'!$K456,"")</f>
        <v/>
      </c>
      <c r="BV404" s="21" t="str">
        <f>IF(AND('Atividades Micro'!$B456=BV$2,'Atividades Micro'!$G456="Macro",'Atividades Micro'!$K456&lt;&gt;""),'Atividades Micro'!$K456,"")</f>
        <v/>
      </c>
      <c r="BW404" s="21" t="str">
        <f>IF(AND('Atividades Micro'!$B456=BW$2,'Atividades Micro'!$G456="Macro",'Atividades Micro'!$K456&lt;&gt;""),'Atividades Micro'!$K456,"")</f>
        <v/>
      </c>
      <c r="BX404" s="21" t="str">
        <f>IF(AND('Atividades Micro'!$B456=BX$2,'Atividades Micro'!$G456="Macro",'Atividades Micro'!$K456&lt;&gt;""),'Atividades Micro'!$K456,"")</f>
        <v/>
      </c>
      <c r="BY404" s="21" t="str">
        <f>IF(AND('Atividades Micro'!$B456=BY$2,'Atividades Micro'!$G456="Macro",'Atividades Micro'!$K456&lt;&gt;""),'Atividades Micro'!$K456,"")</f>
        <v/>
      </c>
      <c r="BZ404" s="21" t="str">
        <f>IF(AND('Atividades Micro'!$B456=BZ$2,'Atividades Micro'!$G456="Macro",'Atividades Micro'!$K456&lt;&gt;""),'Atividades Micro'!$K456,"")</f>
        <v/>
      </c>
      <c r="CA404" s="21" t="str">
        <f>IF(AND('Atividades Micro'!$B456=CA$2,'Atividades Micro'!$G456="Macro",'Atividades Micro'!$K456&lt;&gt;""),'Atividades Micro'!$K456,"")</f>
        <v/>
      </c>
      <c r="CB404" s="21" t="str">
        <f>IF(AND('Atividades Micro'!$B456=CB$2,'Atividades Micro'!$G456="Macro",'Atividades Micro'!$K456&lt;&gt;""),'Atividades Micro'!$K456,"")</f>
        <v/>
      </c>
      <c r="CC404" s="21" t="str">
        <f>IF(AND('Atividades Micro'!$B456=CC$2,'Atividades Micro'!$G456="Macro",'Atividades Micro'!$K456&lt;&gt;""),'Atividades Micro'!$K456,"")</f>
        <v/>
      </c>
      <c r="CD404" s="21" t="str">
        <f>IF(AND('Atividades Micro'!$B456=CD$2,'Atividades Micro'!$G456="Micro",'Atividades Micro'!$K456&lt;&gt;""),'Atividades Micro'!$K456,"")</f>
        <v/>
      </c>
      <c r="CE404" s="21" t="str">
        <f>IF(AND('Atividades Micro'!$B456=CE$2,'Atividades Micro'!$G456="Micro",'Atividades Micro'!$K456&lt;&gt;""),'Atividades Micro'!$K456,"")</f>
        <v/>
      </c>
      <c r="CF404" s="21" t="str">
        <f>IF(AND('Atividades Micro'!$B456=CF$2,'Atividades Micro'!$G456="Micro",'Atividades Micro'!$K456&lt;&gt;""),'Atividades Micro'!$K456,"")</f>
        <v/>
      </c>
      <c r="CG404" s="21" t="str">
        <f>IF(AND('Atividades Micro'!$B456=CG$2,'Atividades Micro'!$G456="Micro",'Atividades Micro'!$K456&lt;&gt;""),'Atividades Micro'!$K456,"")</f>
        <v/>
      </c>
      <c r="CH404" s="21" t="str">
        <f>IF(AND('Atividades Micro'!$B456=CH$2,'Atividades Micro'!$G456="Micro",'Atividades Micro'!$K456&lt;&gt;""),'Atividades Micro'!$K456,"")</f>
        <v/>
      </c>
      <c r="CI404" s="21" t="str">
        <f>IF(AND('Atividades Micro'!$B456=CI$2,'Atividades Micro'!$G456="Micro",'Atividades Micro'!$K456&lt;&gt;""),'Atividades Micro'!$K456,"")</f>
        <v/>
      </c>
      <c r="CJ404" s="21" t="str">
        <f>IF(AND('Atividades Micro'!$B456=CJ$2,'Atividades Micro'!$G456="Micro",'Atividades Micro'!$K456&lt;&gt;""),'Atividades Micro'!$K456,"")</f>
        <v/>
      </c>
      <c r="CK404" s="21" t="str">
        <f>IF(AND('Atividades Micro'!$B456=CK$2,'Atividades Micro'!$G456="Micro",'Atividades Micro'!$K456&lt;&gt;""),'Atividades Micro'!$K456,"")</f>
        <v/>
      </c>
      <c r="CL404" s="21" t="str">
        <f>IF(AND('Atividades Micro'!$B456=CL$2,'Atividades Micro'!$G456="Micro",'Atividades Micro'!$K456&lt;&gt;""),'Atividades Micro'!$K456,"")</f>
        <v/>
      </c>
      <c r="CM404" s="21" t="str">
        <f>IF(AND('Atividades Micro'!$B456=CM$2,'Atividades Micro'!$G456="Micro",'Atividades Micro'!$K456&lt;&gt;""),'Atividades Micro'!$K456,"")</f>
        <v/>
      </c>
      <c r="CN404" s="21" t="str">
        <f>IF(AND('Atividades Micro'!$B456=CN$2,'Atividades Micro'!$G456="Micro",'Atividades Micro'!$K456&lt;&gt;""),'Atividades Micro'!$K456,"")</f>
        <v/>
      </c>
      <c r="CO404" s="21" t="str">
        <f>IF(AND('Atividades Micro'!$B456=CO$2,'Atividades Micro'!$G456="Micro",'Atividades Micro'!$K456&lt;&gt;""),'Atividades Micro'!$K456,"")</f>
        <v/>
      </c>
    </row>
    <row r="405" spans="1:93">
      <c r="A405" s="21" t="str">
        <f>IF(AND('Atividades Micro'!$A457=A$2,'Atividades Micro'!$K457&lt;&gt;""),'Atividades Micro'!$K457,"")</f>
        <v/>
      </c>
      <c r="B405" s="21" t="str">
        <f>IF(AND('Atividades Micro'!$A457=B$2,'Atividades Micro'!$L457&lt;&gt;""),'Atividades Micro'!$L457,"")</f>
        <v/>
      </c>
      <c r="C405" s="21" t="str">
        <f>IF(AND('Atividades Micro'!$A457=C$2,'Atividades Micro'!$K457&lt;&gt;""),'Atividades Micro'!$K457,"")</f>
        <v/>
      </c>
      <c r="D405" s="21" t="str">
        <f>IF(AND('Atividades Micro'!$A457=D$2,'Atividades Micro'!$L457&lt;&gt;""),'Atividades Micro'!$L457,"")</f>
        <v/>
      </c>
      <c r="E405" s="21" t="str">
        <f>IF(AND('Atividades Micro'!$A457=E$2,'Atividades Micro'!$K457&lt;&gt;""),'Atividades Micro'!$K457,"")</f>
        <v/>
      </c>
      <c r="F405" s="21" t="str">
        <f>IF(AND('Atividades Micro'!$A457=F$2,'Atividades Micro'!$L457&lt;&gt;""),'Atividades Micro'!$L457,"")</f>
        <v/>
      </c>
      <c r="G405" s="21" t="str">
        <f>IF(AND('Atividades Micro'!$A457=G$2,'Atividades Micro'!$K457&lt;&gt;""),'Atividades Micro'!$K457,"")</f>
        <v/>
      </c>
      <c r="H405" s="21" t="str">
        <f>IF(AND('Atividades Micro'!$A457=H$2,'Atividades Micro'!$L457&lt;&gt;""),'Atividades Micro'!$L457,"")</f>
        <v/>
      </c>
      <c r="I405" s="21" t="str">
        <f>IF(AND('Atividades Micro'!$A457=I$2,'Atividades Micro'!$K457&lt;&gt;""),'Atividades Micro'!$K457,"")</f>
        <v/>
      </c>
      <c r="J405" s="21" t="str">
        <f>IF(AND('Atividades Micro'!$A457=J$2,'Atividades Micro'!$L457&lt;&gt;""),'Atividades Micro'!$L457,"")</f>
        <v/>
      </c>
      <c r="K405" s="21" t="str">
        <f>IF(AND('Atividades Micro'!$B457=K$2,'Atividades Micro'!$K457&lt;&gt;""),'Atividades Micro'!$K457,"")</f>
        <v/>
      </c>
      <c r="L405" s="21" t="str">
        <f>IF(AND('Atividades Micro'!$B457=L$2,'Atividades Micro'!$L457&lt;&gt;""),'Atividades Micro'!$L457,"")</f>
        <v/>
      </c>
      <c r="M405" s="21" t="str">
        <f>IF(AND('Atividades Micro'!$B457=M$2,'Atividades Micro'!$K457&lt;&gt;""),'Atividades Micro'!$K457,"")</f>
        <v/>
      </c>
      <c r="N405" s="21" t="str">
        <f>IF(AND('Atividades Micro'!$B457=N$2,'Atividades Micro'!$L457&lt;&gt;""),'Atividades Micro'!$L457,"")</f>
        <v/>
      </c>
      <c r="O405" s="21" t="str">
        <f>IF(AND('Atividades Micro'!$A457=O$2,'Atividades Micro'!$K457&lt;&gt;""),'Atividades Micro'!$K457,"")</f>
        <v/>
      </c>
      <c r="P405" s="21" t="str">
        <f>IF(AND('Atividades Micro'!$A457=P$2,'Atividades Micro'!$L457&lt;&gt;""),'Atividades Micro'!$L457,"")</f>
        <v/>
      </c>
      <c r="Q405" s="21" t="str">
        <f>IF(AND('Atividades Micro'!$B457=Q$2,'Atividades Micro'!$K457&lt;&gt;""),'Atividades Micro'!$K457,"")</f>
        <v/>
      </c>
      <c r="R405" s="21" t="str">
        <f>IF(AND('Atividades Micro'!$B457=R$2,'Atividades Micro'!$L457&lt;&gt;""),'Atividades Micro'!$L457,"")</f>
        <v/>
      </c>
      <c r="S405" s="21" t="str">
        <f>IF(AND('Atividades Micro'!$A457=S$2,'Atividades Micro'!$K457&lt;&gt;""),'Atividades Micro'!$K457,"")</f>
        <v/>
      </c>
      <c r="T405" s="21" t="str">
        <f>IF(AND('Atividades Micro'!$A457=T$2,'Atividades Micro'!$L457&lt;&gt;""),'Atividades Micro'!$L457,"")</f>
        <v/>
      </c>
      <c r="U405" s="21" t="str">
        <f>IF(AND('Atividades Micro'!$B457=U$2,'Atividades Micro'!$K457&lt;&gt;""),'Atividades Micro'!$K457,"")</f>
        <v/>
      </c>
      <c r="V405" s="21" t="str">
        <f>IF(AND('Atividades Micro'!$B457=V$2,'Atividades Micro'!$L457&lt;&gt;""),'Atividades Micro'!$L457,"")</f>
        <v/>
      </c>
      <c r="W405" s="21" t="str">
        <f>IF(AND('Atividades Micro'!$B457=W$2,'Atividades Micro'!$K457&lt;&gt;""),'Atividades Micro'!$K457,"")</f>
        <v/>
      </c>
      <c r="X405" s="21" t="str">
        <f>IF(AND('Atividades Micro'!$B457=X$2,'Atividades Micro'!$L457&lt;&gt;""),'Atividades Micro'!$L457,"")</f>
        <v/>
      </c>
      <c r="Y405" s="21" t="str">
        <f>IF(AND('Atividades Micro'!$A457=Y$2,'Atividades Micro'!$K457&lt;&gt;""),'Atividades Micro'!$K457,"")</f>
        <v/>
      </c>
      <c r="Z405" s="21" t="str">
        <f>IF(AND('Atividades Micro'!$A457=Z$2,'Atividades Micro'!$L457&lt;&gt;""),'Atividades Micro'!$L457,"")</f>
        <v/>
      </c>
      <c r="AA405" s="21" t="str">
        <f>IF(AND('Atividades Micro'!$B457=AA$2,'Atividades Micro'!$K457&lt;&gt;""),'Atividades Micro'!$K457,"")</f>
        <v/>
      </c>
      <c r="AB405" s="21" t="str">
        <f>IF(AND('Atividades Micro'!$B457=AB$2,'Atividades Micro'!$L457&lt;&gt;""),'Atividades Micro'!$L457,"")</f>
        <v/>
      </c>
      <c r="AC405" s="21" t="str">
        <f>IF(AND('Atividades Micro'!$B457=AC$2,'Atividades Micro'!$K457&lt;&gt;""),'Atividades Micro'!$K457,"")</f>
        <v/>
      </c>
      <c r="AD405" s="21" t="str">
        <f>IF(AND('Atividades Micro'!$B457=AD$2,'Atividades Micro'!$L457&lt;&gt;""),'Atividades Micro'!$L457,"")</f>
        <v/>
      </c>
      <c r="AE405" s="21" t="str">
        <f>IF(AND('Atividades Micro'!$A457=AE$2,'Atividades Micro'!$K457&lt;&gt;""),'Atividades Micro'!$K457,"")</f>
        <v/>
      </c>
      <c r="AF405" s="21" t="str">
        <f>IF(AND('Atividades Micro'!$A457=AF$2,'Atividades Micro'!$L457&lt;&gt;""),'Atividades Micro'!$L457,"")</f>
        <v/>
      </c>
      <c r="AG405" s="21" t="str">
        <f>IF(AND('Atividades Micro'!$B457=AG$2,'Atividades Micro'!$K457&lt;&gt;""),'Atividades Micro'!$K457,"")</f>
        <v/>
      </c>
      <c r="AH405" s="21" t="str">
        <f>IF(AND('Atividades Micro'!$B457=AH$2,'Atividades Micro'!$L457&lt;&gt;""),'Atividades Micro'!$L457,"")</f>
        <v/>
      </c>
      <c r="AI405" s="21" t="str">
        <f>IF(AND('Atividades Micro'!$B457=AI$2,'Atividades Micro'!$K457&lt;&gt;""),'Atividades Micro'!$K457,"")</f>
        <v/>
      </c>
      <c r="AJ405" s="21" t="str">
        <f>IF(AND('Atividades Micro'!$B457=AJ$2,'Atividades Micro'!$L457&lt;&gt;""),'Atividades Micro'!$L457,"")</f>
        <v/>
      </c>
      <c r="AK405" s="21" t="str">
        <f>IF(AND('Atividades Micro'!$A457=AK$2,'Atividades Micro'!$K457&lt;&gt;""),'Atividades Micro'!$K457,"")</f>
        <v/>
      </c>
      <c r="AL405" s="21" t="str">
        <f>IF(AND('Atividades Micro'!$A457=AL$2,'Atividades Micro'!$L457&lt;&gt;""),'Atividades Micro'!$L457,"")</f>
        <v/>
      </c>
      <c r="AM405" s="21" t="str">
        <f>IF(AND('Atividades Micro'!$B457=AM$2,'Atividades Micro'!$K457&lt;&gt;""),'Atividades Micro'!$K457,"")</f>
        <v/>
      </c>
      <c r="AN405" s="21" t="str">
        <f>IF(AND('Atividades Micro'!$B457=AN$2,'Atividades Micro'!$L457&lt;&gt;""),'Atividades Micro'!$L457,"")</f>
        <v/>
      </c>
      <c r="AO405" s="21" t="str">
        <f>IF(AND('Atividades Micro'!$B457=AO$2,'Atividades Micro'!$K457&lt;&gt;""),'Atividades Micro'!$K457,"")</f>
        <v/>
      </c>
      <c r="AP405" s="21" t="str">
        <f>IF(AND('Atividades Micro'!$B457=AP$2,'Atividades Micro'!$L457&lt;&gt;""),'Atividades Micro'!$L457,"")</f>
        <v/>
      </c>
      <c r="AQ405" s="21" t="str">
        <f>IF(AND('Atividades Micro'!$A457=AQ$2,'Atividades Micro'!$K457&lt;&gt;""),'Atividades Micro'!$K457,"")</f>
        <v/>
      </c>
      <c r="AR405" s="21" t="str">
        <f>IF(AND('Atividades Micro'!$A457=AR$2,'Atividades Micro'!$L457&lt;&gt;""),'Atividades Micro'!$L457,"")</f>
        <v/>
      </c>
      <c r="AS405" s="21" t="str">
        <f>IF(AND('Atividades Micro'!$B457=AS$2,'Atividades Micro'!$K457&lt;&gt;""),'Atividades Micro'!$K457,"")</f>
        <v/>
      </c>
      <c r="AT405" s="21" t="str">
        <f>IF(AND('Atividades Micro'!$B457=AT$2,'Atividades Micro'!$L457&lt;&gt;""),'Atividades Micro'!$L457,"")</f>
        <v/>
      </c>
      <c r="AU405" s="21" t="str">
        <f>IF(AND('Atividades Micro'!$A457=AU$2,'Atividades Micro'!$K457&lt;&gt;""),'Atividades Micro'!$K457,"")</f>
        <v/>
      </c>
      <c r="AV405" s="21" t="str">
        <f>IF(AND('Atividades Micro'!$A457=AV$2,'Atividades Micro'!$L457&lt;&gt;""),'Atividades Micro'!$L457,"")</f>
        <v/>
      </c>
      <c r="AW405" s="21" t="str">
        <f>IF(AND('Atividades Micro'!$B457=AW$2,'Atividades Micro'!$K457&lt;&gt;""),'Atividades Micro'!$K457,"")</f>
        <v/>
      </c>
      <c r="AX405" s="21" t="str">
        <f>IF(AND('Atividades Micro'!$B457=AX$2,'Atividades Micro'!$L457&lt;&gt;""),'Atividades Micro'!$L457,"")</f>
        <v/>
      </c>
      <c r="AY405" s="21" t="str">
        <f>IF(AND('Atividades Micro'!$A457=AY$2,'Atividades Micro'!$K457&lt;&gt;""),'Atividades Micro'!$K457,"")</f>
        <v/>
      </c>
      <c r="AZ405" s="21" t="str">
        <f>IF(AND('Atividades Micro'!$A457=AZ$2,'Atividades Micro'!$L457&lt;&gt;""),'Atividades Micro'!$L457,"")</f>
        <v/>
      </c>
      <c r="BA405" s="21" t="str">
        <f>IF(AND('Atividades Micro'!$B457=BA$2,'Atividades Micro'!$K457&lt;&gt;""),'Atividades Micro'!$K457,"")</f>
        <v/>
      </c>
      <c r="BB405" s="21" t="str">
        <f>IF(AND('Atividades Micro'!$B457=BB$2,'Atividades Micro'!$L457&lt;&gt;""),'Atividades Micro'!$L457,"")</f>
        <v/>
      </c>
      <c r="BC405" s="21" t="str">
        <f>IF(AND('Atividades Micro'!$B457=BC$2,'Atividades Micro'!$G457="Macro",'Atividades Micro'!$K457&lt;&gt;""),'Atividades Micro'!$K457,"")</f>
        <v/>
      </c>
      <c r="BD405" s="21" t="str">
        <f>IF(AND('Atividades Micro'!$B457=BD$2,'Atividades Micro'!$G457="Macro",'Atividades Micro'!$K457&lt;&gt;""),'Atividades Micro'!$K457,"")</f>
        <v/>
      </c>
      <c r="BE405" s="21" t="str">
        <f>IF(AND('Atividades Micro'!$B457=BE$2,'Atividades Micro'!$G457="Macro",'Atividades Micro'!$K457&lt;&gt;""),'Atividades Micro'!$K457,"")</f>
        <v/>
      </c>
      <c r="BF405" s="21" t="str">
        <f>IF(AND('Atividades Micro'!$B457=BF$2,'Atividades Micro'!$G457="Macro",'Atividades Micro'!$K457&lt;&gt;""),'Atividades Micro'!$K457,"")</f>
        <v/>
      </c>
      <c r="BG405" s="21" t="str">
        <f>IF(AND('Atividades Micro'!$B457=BG$2,'Atividades Micro'!$G457="Macro",'Atividades Micro'!$K457&lt;&gt;""),'Atividades Micro'!$K457,"")</f>
        <v/>
      </c>
      <c r="BH405" s="21" t="str">
        <f>IF(AND('Atividades Micro'!$B457=BH$2,'Atividades Micro'!$G457="Macro",'Atividades Micro'!$K457&lt;&gt;""),'Atividades Micro'!$K457,"")</f>
        <v/>
      </c>
      <c r="BI405" s="21" t="str">
        <f>IF(AND('Atividades Micro'!$B457=BI$2,'Atividades Micro'!$G457="Macro",'Atividades Micro'!$K457&lt;&gt;""),'Atividades Micro'!$K457,"")</f>
        <v/>
      </c>
      <c r="BJ405" s="21" t="str">
        <f>IF(AND('Atividades Micro'!$B457=BJ$2,'Atividades Micro'!$G457="Macro",'Atividades Micro'!$K457&lt;&gt;""),'Atividades Micro'!$K457,"")</f>
        <v/>
      </c>
      <c r="BK405" s="21" t="str">
        <f>IF(AND('Atividades Micro'!$B457=BK$2,'Atividades Micro'!$G457="Macro",'Atividades Micro'!$K457&lt;&gt;""),'Atividades Micro'!$K457,"")</f>
        <v/>
      </c>
      <c r="BL405" s="21" t="str">
        <f>IF(AND('Atividades Micro'!$B457=BL$2,'Atividades Micro'!$G457="Macro",'Atividades Micro'!$K457&lt;&gt;""),'Atividades Micro'!$K457,"")</f>
        <v/>
      </c>
      <c r="BM405" s="21" t="str">
        <f>IF(AND('Atividades Micro'!$B457=BM$2,'Atividades Micro'!$G457="Macro",'Atividades Micro'!$K457&lt;&gt;""),'Atividades Micro'!$K457,"")</f>
        <v/>
      </c>
      <c r="BN405" s="21" t="str">
        <f>IF(AND('Atividades Micro'!$B457=BN$2,'Atividades Micro'!$G457="Macro",'Atividades Micro'!$K457&lt;&gt;""),'Atividades Micro'!$K457,"")</f>
        <v/>
      </c>
      <c r="BO405" s="21" t="str">
        <f>IF(AND('Atividades Micro'!$B457=BO$2,'Atividades Micro'!$G457="Macro",'Atividades Micro'!$K457&lt;&gt;""),'Atividades Micro'!$K457,"")</f>
        <v/>
      </c>
      <c r="BP405" s="21" t="str">
        <f>IF(AND('Atividades Micro'!$B457=BP$2,'Atividades Micro'!$G457="Macro",'Atividades Micro'!$K457&lt;&gt;""),'Atividades Micro'!$K457,"")</f>
        <v/>
      </c>
      <c r="BQ405" s="21" t="str">
        <f>IF(AND('Atividades Micro'!$B457=BQ$2,'Atividades Micro'!$G457="Macro",'Atividades Micro'!$K457&lt;&gt;""),'Atividades Micro'!$K457,"")</f>
        <v/>
      </c>
      <c r="BR405" s="21" t="str">
        <f>IF(AND('Atividades Micro'!$B457=BR$2,'Atividades Micro'!$G457="Macro",'Atividades Micro'!$K457&lt;&gt;""),'Atividades Micro'!$K457,"")</f>
        <v/>
      </c>
      <c r="BS405" s="21" t="str">
        <f>IF(AND('Atividades Micro'!$B457=BS$2,'Atividades Micro'!$G457="Macro",'Atividades Micro'!$K457&lt;&gt;""),'Atividades Micro'!$K457,"")</f>
        <v/>
      </c>
      <c r="BT405" s="21" t="str">
        <f>IF(AND('Atividades Micro'!$B457=BT$2,'Atividades Micro'!$G457="Macro",'Atividades Micro'!$K457&lt;&gt;""),'Atividades Micro'!$K457,"")</f>
        <v/>
      </c>
      <c r="BU405" s="21" t="str">
        <f>IF(AND('Atividades Micro'!$B457=BU$2,'Atividades Micro'!$G457="Macro",'Atividades Micro'!$K457&lt;&gt;""),'Atividades Micro'!$K457,"")</f>
        <v/>
      </c>
      <c r="BV405" s="21" t="str">
        <f>IF(AND('Atividades Micro'!$B457=BV$2,'Atividades Micro'!$G457="Macro",'Atividades Micro'!$K457&lt;&gt;""),'Atividades Micro'!$K457,"")</f>
        <v/>
      </c>
      <c r="BW405" s="21" t="str">
        <f>IF(AND('Atividades Micro'!$B457=BW$2,'Atividades Micro'!$G457="Macro",'Atividades Micro'!$K457&lt;&gt;""),'Atividades Micro'!$K457,"")</f>
        <v/>
      </c>
      <c r="BX405" s="21" t="str">
        <f>IF(AND('Atividades Micro'!$B457=BX$2,'Atividades Micro'!$G457="Macro",'Atividades Micro'!$K457&lt;&gt;""),'Atividades Micro'!$K457,"")</f>
        <v/>
      </c>
      <c r="BY405" s="21" t="str">
        <f>IF(AND('Atividades Micro'!$B457=BY$2,'Atividades Micro'!$G457="Macro",'Atividades Micro'!$K457&lt;&gt;""),'Atividades Micro'!$K457,"")</f>
        <v/>
      </c>
      <c r="BZ405" s="21" t="str">
        <f>IF(AND('Atividades Micro'!$B457=BZ$2,'Atividades Micro'!$G457="Macro",'Atividades Micro'!$K457&lt;&gt;""),'Atividades Micro'!$K457,"")</f>
        <v/>
      </c>
      <c r="CA405" s="21" t="str">
        <f>IF(AND('Atividades Micro'!$B457=CA$2,'Atividades Micro'!$G457="Macro",'Atividades Micro'!$K457&lt;&gt;""),'Atividades Micro'!$K457,"")</f>
        <v/>
      </c>
      <c r="CB405" s="21" t="str">
        <f>IF(AND('Atividades Micro'!$B457=CB$2,'Atividades Micro'!$G457="Macro",'Atividades Micro'!$K457&lt;&gt;""),'Atividades Micro'!$K457,"")</f>
        <v/>
      </c>
      <c r="CC405" s="21" t="str">
        <f>IF(AND('Atividades Micro'!$B457=CC$2,'Atividades Micro'!$G457="Macro",'Atividades Micro'!$K457&lt;&gt;""),'Atividades Micro'!$K457,"")</f>
        <v/>
      </c>
      <c r="CD405" s="21" t="str">
        <f>IF(AND('Atividades Micro'!$B457=CD$2,'Atividades Micro'!$G457="Micro",'Atividades Micro'!$K457&lt;&gt;""),'Atividades Micro'!$K457,"")</f>
        <v/>
      </c>
      <c r="CE405" s="21" t="str">
        <f>IF(AND('Atividades Micro'!$B457=CE$2,'Atividades Micro'!$G457="Micro",'Atividades Micro'!$K457&lt;&gt;""),'Atividades Micro'!$K457,"")</f>
        <v/>
      </c>
      <c r="CF405" s="21" t="str">
        <f>IF(AND('Atividades Micro'!$B457=CF$2,'Atividades Micro'!$G457="Micro",'Atividades Micro'!$K457&lt;&gt;""),'Atividades Micro'!$K457,"")</f>
        <v/>
      </c>
      <c r="CG405" s="21" t="str">
        <f>IF(AND('Atividades Micro'!$B457=CG$2,'Atividades Micro'!$G457="Micro",'Atividades Micro'!$K457&lt;&gt;""),'Atividades Micro'!$K457,"")</f>
        <v/>
      </c>
      <c r="CH405" s="21" t="str">
        <f>IF(AND('Atividades Micro'!$B457=CH$2,'Atividades Micro'!$G457="Micro",'Atividades Micro'!$K457&lt;&gt;""),'Atividades Micro'!$K457,"")</f>
        <v/>
      </c>
      <c r="CI405" s="21" t="str">
        <f>IF(AND('Atividades Micro'!$B457=CI$2,'Atividades Micro'!$G457="Micro",'Atividades Micro'!$K457&lt;&gt;""),'Atividades Micro'!$K457,"")</f>
        <v/>
      </c>
      <c r="CJ405" s="21" t="str">
        <f>IF(AND('Atividades Micro'!$B457=CJ$2,'Atividades Micro'!$G457="Micro",'Atividades Micro'!$K457&lt;&gt;""),'Atividades Micro'!$K457,"")</f>
        <v/>
      </c>
      <c r="CK405" s="21" t="str">
        <f>IF(AND('Atividades Micro'!$B457=CK$2,'Atividades Micro'!$G457="Micro",'Atividades Micro'!$K457&lt;&gt;""),'Atividades Micro'!$K457,"")</f>
        <v/>
      </c>
      <c r="CL405" s="21" t="str">
        <f>IF(AND('Atividades Micro'!$B457=CL$2,'Atividades Micro'!$G457="Micro",'Atividades Micro'!$K457&lt;&gt;""),'Atividades Micro'!$K457,"")</f>
        <v/>
      </c>
      <c r="CM405" s="21" t="str">
        <f>IF(AND('Atividades Micro'!$B457=CM$2,'Atividades Micro'!$G457="Micro",'Atividades Micro'!$K457&lt;&gt;""),'Atividades Micro'!$K457,"")</f>
        <v/>
      </c>
      <c r="CN405" s="21" t="str">
        <f>IF(AND('Atividades Micro'!$B457=CN$2,'Atividades Micro'!$G457="Micro",'Atividades Micro'!$K457&lt;&gt;""),'Atividades Micro'!$K457,"")</f>
        <v/>
      </c>
      <c r="CO405" s="21" t="str">
        <f>IF(AND('Atividades Micro'!$B457=CO$2,'Atividades Micro'!$G457="Micro",'Atividades Micro'!$K457&lt;&gt;""),'Atividades Micro'!$K457,"")</f>
        <v/>
      </c>
    </row>
    <row r="406" spans="1:93">
      <c r="A406" s="21" t="str">
        <f>IF(AND('Atividades Micro'!$A458=A$2,'Atividades Micro'!$K458&lt;&gt;""),'Atividades Micro'!$K458,"")</f>
        <v/>
      </c>
      <c r="B406" s="21" t="str">
        <f>IF(AND('Atividades Micro'!$A458=B$2,'Atividades Micro'!$L458&lt;&gt;""),'Atividades Micro'!$L458,"")</f>
        <v/>
      </c>
      <c r="C406" s="21" t="str">
        <f>IF(AND('Atividades Micro'!$A458=C$2,'Atividades Micro'!$K458&lt;&gt;""),'Atividades Micro'!$K458,"")</f>
        <v/>
      </c>
      <c r="D406" s="21" t="str">
        <f>IF(AND('Atividades Micro'!$A458=D$2,'Atividades Micro'!$L458&lt;&gt;""),'Atividades Micro'!$L458,"")</f>
        <v/>
      </c>
      <c r="E406" s="21" t="str">
        <f>IF(AND('Atividades Micro'!$A458=E$2,'Atividades Micro'!$K458&lt;&gt;""),'Atividades Micro'!$K458,"")</f>
        <v/>
      </c>
      <c r="F406" s="21" t="str">
        <f>IF(AND('Atividades Micro'!$A458=F$2,'Atividades Micro'!$L458&lt;&gt;""),'Atividades Micro'!$L458,"")</f>
        <v/>
      </c>
      <c r="G406" s="21" t="str">
        <f>IF(AND('Atividades Micro'!$A458=G$2,'Atividades Micro'!$K458&lt;&gt;""),'Atividades Micro'!$K458,"")</f>
        <v/>
      </c>
      <c r="H406" s="21" t="str">
        <f>IF(AND('Atividades Micro'!$A458=H$2,'Atividades Micro'!$L458&lt;&gt;""),'Atividades Micro'!$L458,"")</f>
        <v/>
      </c>
      <c r="I406" s="21" t="str">
        <f>IF(AND('Atividades Micro'!$A458=I$2,'Atividades Micro'!$K458&lt;&gt;""),'Atividades Micro'!$K458,"")</f>
        <v/>
      </c>
      <c r="J406" s="21" t="str">
        <f>IF(AND('Atividades Micro'!$A458=J$2,'Atividades Micro'!$L458&lt;&gt;""),'Atividades Micro'!$L458,"")</f>
        <v/>
      </c>
      <c r="K406" s="21" t="str">
        <f>IF(AND('Atividades Micro'!$B458=K$2,'Atividades Micro'!$K458&lt;&gt;""),'Atividades Micro'!$K458,"")</f>
        <v/>
      </c>
      <c r="L406" s="21" t="str">
        <f>IF(AND('Atividades Micro'!$B458=L$2,'Atividades Micro'!$L458&lt;&gt;""),'Atividades Micro'!$L458,"")</f>
        <v/>
      </c>
      <c r="M406" s="21" t="str">
        <f>IF(AND('Atividades Micro'!$B458=M$2,'Atividades Micro'!$K458&lt;&gt;""),'Atividades Micro'!$K458,"")</f>
        <v/>
      </c>
      <c r="N406" s="21" t="str">
        <f>IF(AND('Atividades Micro'!$B458=N$2,'Atividades Micro'!$L458&lt;&gt;""),'Atividades Micro'!$L458,"")</f>
        <v/>
      </c>
      <c r="O406" s="21" t="str">
        <f>IF(AND('Atividades Micro'!$A458=O$2,'Atividades Micro'!$K458&lt;&gt;""),'Atividades Micro'!$K458,"")</f>
        <v/>
      </c>
      <c r="P406" s="21" t="str">
        <f>IF(AND('Atividades Micro'!$A458=P$2,'Atividades Micro'!$L458&lt;&gt;""),'Atividades Micro'!$L458,"")</f>
        <v/>
      </c>
      <c r="Q406" s="21" t="str">
        <f>IF(AND('Atividades Micro'!$B458=Q$2,'Atividades Micro'!$K458&lt;&gt;""),'Atividades Micro'!$K458,"")</f>
        <v/>
      </c>
      <c r="R406" s="21" t="str">
        <f>IF(AND('Atividades Micro'!$B458=R$2,'Atividades Micro'!$L458&lt;&gt;""),'Atividades Micro'!$L458,"")</f>
        <v/>
      </c>
      <c r="S406" s="21" t="str">
        <f>IF(AND('Atividades Micro'!$A458=S$2,'Atividades Micro'!$K458&lt;&gt;""),'Atividades Micro'!$K458,"")</f>
        <v/>
      </c>
      <c r="T406" s="21" t="str">
        <f>IF(AND('Atividades Micro'!$A458=T$2,'Atividades Micro'!$L458&lt;&gt;""),'Atividades Micro'!$L458,"")</f>
        <v/>
      </c>
      <c r="U406" s="21" t="str">
        <f>IF(AND('Atividades Micro'!$B458=U$2,'Atividades Micro'!$K458&lt;&gt;""),'Atividades Micro'!$K458,"")</f>
        <v/>
      </c>
      <c r="V406" s="21" t="str">
        <f>IF(AND('Atividades Micro'!$B458=V$2,'Atividades Micro'!$L458&lt;&gt;""),'Atividades Micro'!$L458,"")</f>
        <v/>
      </c>
      <c r="W406" s="21" t="str">
        <f>IF(AND('Atividades Micro'!$B458=W$2,'Atividades Micro'!$K458&lt;&gt;""),'Atividades Micro'!$K458,"")</f>
        <v/>
      </c>
      <c r="X406" s="21" t="str">
        <f>IF(AND('Atividades Micro'!$B458=X$2,'Atividades Micro'!$L458&lt;&gt;""),'Atividades Micro'!$L458,"")</f>
        <v/>
      </c>
      <c r="Y406" s="21" t="str">
        <f>IF(AND('Atividades Micro'!$A458=Y$2,'Atividades Micro'!$K458&lt;&gt;""),'Atividades Micro'!$K458,"")</f>
        <v/>
      </c>
      <c r="Z406" s="21" t="str">
        <f>IF(AND('Atividades Micro'!$A458=Z$2,'Atividades Micro'!$L458&lt;&gt;""),'Atividades Micro'!$L458,"")</f>
        <v/>
      </c>
      <c r="AA406" s="21" t="str">
        <f>IF(AND('Atividades Micro'!$B458=AA$2,'Atividades Micro'!$K458&lt;&gt;""),'Atividades Micro'!$K458,"")</f>
        <v/>
      </c>
      <c r="AB406" s="21" t="str">
        <f>IF(AND('Atividades Micro'!$B458=AB$2,'Atividades Micro'!$L458&lt;&gt;""),'Atividades Micro'!$L458,"")</f>
        <v/>
      </c>
      <c r="AC406" s="21" t="str">
        <f>IF(AND('Atividades Micro'!$B458=AC$2,'Atividades Micro'!$K458&lt;&gt;""),'Atividades Micro'!$K458,"")</f>
        <v/>
      </c>
      <c r="AD406" s="21" t="str">
        <f>IF(AND('Atividades Micro'!$B458=AD$2,'Atividades Micro'!$L458&lt;&gt;""),'Atividades Micro'!$L458,"")</f>
        <v/>
      </c>
      <c r="AE406" s="21" t="str">
        <f>IF(AND('Atividades Micro'!$A458=AE$2,'Atividades Micro'!$K458&lt;&gt;""),'Atividades Micro'!$K458,"")</f>
        <v/>
      </c>
      <c r="AF406" s="21" t="str">
        <f>IF(AND('Atividades Micro'!$A458=AF$2,'Atividades Micro'!$L458&lt;&gt;""),'Atividades Micro'!$L458,"")</f>
        <v/>
      </c>
      <c r="AG406" s="21" t="str">
        <f>IF(AND('Atividades Micro'!$B458=AG$2,'Atividades Micro'!$K458&lt;&gt;""),'Atividades Micro'!$K458,"")</f>
        <v/>
      </c>
      <c r="AH406" s="21" t="str">
        <f>IF(AND('Atividades Micro'!$B458=AH$2,'Atividades Micro'!$L458&lt;&gt;""),'Atividades Micro'!$L458,"")</f>
        <v/>
      </c>
      <c r="AI406" s="21" t="str">
        <f>IF(AND('Atividades Micro'!$B458=AI$2,'Atividades Micro'!$K458&lt;&gt;""),'Atividades Micro'!$K458,"")</f>
        <v/>
      </c>
      <c r="AJ406" s="21" t="str">
        <f>IF(AND('Atividades Micro'!$B458=AJ$2,'Atividades Micro'!$L458&lt;&gt;""),'Atividades Micro'!$L458,"")</f>
        <v/>
      </c>
      <c r="AK406" s="21" t="str">
        <f>IF(AND('Atividades Micro'!$A458=AK$2,'Atividades Micro'!$K458&lt;&gt;""),'Atividades Micro'!$K458,"")</f>
        <v/>
      </c>
      <c r="AL406" s="21" t="str">
        <f>IF(AND('Atividades Micro'!$A458=AL$2,'Atividades Micro'!$L458&lt;&gt;""),'Atividades Micro'!$L458,"")</f>
        <v/>
      </c>
      <c r="AM406" s="21" t="str">
        <f>IF(AND('Atividades Micro'!$B458=AM$2,'Atividades Micro'!$K458&lt;&gt;""),'Atividades Micro'!$K458,"")</f>
        <v/>
      </c>
      <c r="AN406" s="21" t="str">
        <f>IF(AND('Atividades Micro'!$B458=AN$2,'Atividades Micro'!$L458&lt;&gt;""),'Atividades Micro'!$L458,"")</f>
        <v/>
      </c>
      <c r="AO406" s="21" t="str">
        <f>IF(AND('Atividades Micro'!$B458=AO$2,'Atividades Micro'!$K458&lt;&gt;""),'Atividades Micro'!$K458,"")</f>
        <v/>
      </c>
      <c r="AP406" s="21" t="str">
        <f>IF(AND('Atividades Micro'!$B458=AP$2,'Atividades Micro'!$L458&lt;&gt;""),'Atividades Micro'!$L458,"")</f>
        <v/>
      </c>
      <c r="AQ406" s="21" t="str">
        <f>IF(AND('Atividades Micro'!$A458=AQ$2,'Atividades Micro'!$K458&lt;&gt;""),'Atividades Micro'!$K458,"")</f>
        <v/>
      </c>
      <c r="AR406" s="21" t="str">
        <f>IF(AND('Atividades Micro'!$A458=AR$2,'Atividades Micro'!$L458&lt;&gt;""),'Atividades Micro'!$L458,"")</f>
        <v/>
      </c>
      <c r="AS406" s="21" t="str">
        <f>IF(AND('Atividades Micro'!$B458=AS$2,'Atividades Micro'!$K458&lt;&gt;""),'Atividades Micro'!$K458,"")</f>
        <v/>
      </c>
      <c r="AT406" s="21" t="str">
        <f>IF(AND('Atividades Micro'!$B458=AT$2,'Atividades Micro'!$L458&lt;&gt;""),'Atividades Micro'!$L458,"")</f>
        <v/>
      </c>
      <c r="AU406" s="21" t="str">
        <f>IF(AND('Atividades Micro'!$A458=AU$2,'Atividades Micro'!$K458&lt;&gt;""),'Atividades Micro'!$K458,"")</f>
        <v/>
      </c>
      <c r="AV406" s="21" t="str">
        <f>IF(AND('Atividades Micro'!$A458=AV$2,'Atividades Micro'!$L458&lt;&gt;""),'Atividades Micro'!$L458,"")</f>
        <v/>
      </c>
      <c r="AW406" s="21" t="str">
        <f>IF(AND('Atividades Micro'!$B458=AW$2,'Atividades Micro'!$K458&lt;&gt;""),'Atividades Micro'!$K458,"")</f>
        <v/>
      </c>
      <c r="AX406" s="21" t="str">
        <f>IF(AND('Atividades Micro'!$B458=AX$2,'Atividades Micro'!$L458&lt;&gt;""),'Atividades Micro'!$L458,"")</f>
        <v/>
      </c>
      <c r="AY406" s="21" t="str">
        <f>IF(AND('Atividades Micro'!$A458=AY$2,'Atividades Micro'!$K458&lt;&gt;""),'Atividades Micro'!$K458,"")</f>
        <v/>
      </c>
      <c r="AZ406" s="21" t="str">
        <f>IF(AND('Atividades Micro'!$A458=AZ$2,'Atividades Micro'!$L458&lt;&gt;""),'Atividades Micro'!$L458,"")</f>
        <v/>
      </c>
      <c r="BA406" s="21" t="str">
        <f>IF(AND('Atividades Micro'!$B458=BA$2,'Atividades Micro'!$K458&lt;&gt;""),'Atividades Micro'!$K458,"")</f>
        <v/>
      </c>
      <c r="BB406" s="21" t="str">
        <f>IF(AND('Atividades Micro'!$B458=BB$2,'Atividades Micro'!$L458&lt;&gt;""),'Atividades Micro'!$L458,"")</f>
        <v/>
      </c>
      <c r="BC406" s="21" t="str">
        <f>IF(AND('Atividades Micro'!$B458=BC$2,'Atividades Micro'!$G458="Macro",'Atividades Micro'!$K458&lt;&gt;""),'Atividades Micro'!$K458,"")</f>
        <v/>
      </c>
      <c r="BD406" s="21" t="str">
        <f>IF(AND('Atividades Micro'!$B458=BD$2,'Atividades Micro'!$G458="Macro",'Atividades Micro'!$K458&lt;&gt;""),'Atividades Micro'!$K458,"")</f>
        <v/>
      </c>
      <c r="BE406" s="21" t="str">
        <f>IF(AND('Atividades Micro'!$B458=BE$2,'Atividades Micro'!$G458="Macro",'Atividades Micro'!$K458&lt;&gt;""),'Atividades Micro'!$K458,"")</f>
        <v/>
      </c>
      <c r="BF406" s="21" t="str">
        <f>IF(AND('Atividades Micro'!$B458=BF$2,'Atividades Micro'!$G458="Macro",'Atividades Micro'!$K458&lt;&gt;""),'Atividades Micro'!$K458,"")</f>
        <v/>
      </c>
      <c r="BG406" s="21" t="str">
        <f>IF(AND('Atividades Micro'!$B458=BG$2,'Atividades Micro'!$G458="Macro",'Atividades Micro'!$K458&lt;&gt;""),'Atividades Micro'!$K458,"")</f>
        <v/>
      </c>
      <c r="BH406" s="21" t="str">
        <f>IF(AND('Atividades Micro'!$B458=BH$2,'Atividades Micro'!$G458="Macro",'Atividades Micro'!$K458&lt;&gt;""),'Atividades Micro'!$K458,"")</f>
        <v/>
      </c>
      <c r="BI406" s="21" t="str">
        <f>IF(AND('Atividades Micro'!$B458=BI$2,'Atividades Micro'!$G458="Macro",'Atividades Micro'!$K458&lt;&gt;""),'Atividades Micro'!$K458,"")</f>
        <v/>
      </c>
      <c r="BJ406" s="21" t="str">
        <f>IF(AND('Atividades Micro'!$B458=BJ$2,'Atividades Micro'!$G458="Macro",'Atividades Micro'!$K458&lt;&gt;""),'Atividades Micro'!$K458,"")</f>
        <v/>
      </c>
      <c r="BK406" s="21" t="str">
        <f>IF(AND('Atividades Micro'!$B458=BK$2,'Atividades Micro'!$G458="Macro",'Atividades Micro'!$K458&lt;&gt;""),'Atividades Micro'!$K458,"")</f>
        <v/>
      </c>
      <c r="BL406" s="21" t="str">
        <f>IF(AND('Atividades Micro'!$B458=BL$2,'Atividades Micro'!$G458="Macro",'Atividades Micro'!$K458&lt;&gt;""),'Atividades Micro'!$K458,"")</f>
        <v/>
      </c>
      <c r="BM406" s="21" t="str">
        <f>IF(AND('Atividades Micro'!$B458=BM$2,'Atividades Micro'!$G458="Macro",'Atividades Micro'!$K458&lt;&gt;""),'Atividades Micro'!$K458,"")</f>
        <v/>
      </c>
      <c r="BN406" s="21" t="str">
        <f>IF(AND('Atividades Micro'!$B458=BN$2,'Atividades Micro'!$G458="Macro",'Atividades Micro'!$K458&lt;&gt;""),'Atividades Micro'!$K458,"")</f>
        <v/>
      </c>
      <c r="BO406" s="21" t="str">
        <f>IF(AND('Atividades Micro'!$B458=BO$2,'Atividades Micro'!$G458="Macro",'Atividades Micro'!$K458&lt;&gt;""),'Atividades Micro'!$K458,"")</f>
        <v/>
      </c>
      <c r="BP406" s="21" t="str">
        <f>IF(AND('Atividades Micro'!$B458=BP$2,'Atividades Micro'!$G458="Macro",'Atividades Micro'!$K458&lt;&gt;""),'Atividades Micro'!$K458,"")</f>
        <v/>
      </c>
      <c r="BQ406" s="21" t="str">
        <f>IF(AND('Atividades Micro'!$B458=BQ$2,'Atividades Micro'!$G458="Macro",'Atividades Micro'!$K458&lt;&gt;""),'Atividades Micro'!$K458,"")</f>
        <v/>
      </c>
      <c r="BR406" s="21" t="str">
        <f>IF(AND('Atividades Micro'!$B458=BR$2,'Atividades Micro'!$G458="Macro",'Atividades Micro'!$K458&lt;&gt;""),'Atividades Micro'!$K458,"")</f>
        <v/>
      </c>
      <c r="BS406" s="21" t="str">
        <f>IF(AND('Atividades Micro'!$B458=BS$2,'Atividades Micro'!$G458="Macro",'Atividades Micro'!$K458&lt;&gt;""),'Atividades Micro'!$K458,"")</f>
        <v/>
      </c>
      <c r="BT406" s="21" t="str">
        <f>IF(AND('Atividades Micro'!$B458=BT$2,'Atividades Micro'!$G458="Macro",'Atividades Micro'!$K458&lt;&gt;""),'Atividades Micro'!$K458,"")</f>
        <v/>
      </c>
      <c r="BU406" s="21" t="str">
        <f>IF(AND('Atividades Micro'!$B458=BU$2,'Atividades Micro'!$G458="Macro",'Atividades Micro'!$K458&lt;&gt;""),'Atividades Micro'!$K458,"")</f>
        <v/>
      </c>
      <c r="BV406" s="21" t="str">
        <f>IF(AND('Atividades Micro'!$B458=BV$2,'Atividades Micro'!$G458="Macro",'Atividades Micro'!$K458&lt;&gt;""),'Atividades Micro'!$K458,"")</f>
        <v/>
      </c>
      <c r="BW406" s="21" t="str">
        <f>IF(AND('Atividades Micro'!$B458=BW$2,'Atividades Micro'!$G458="Macro",'Atividades Micro'!$K458&lt;&gt;""),'Atividades Micro'!$K458,"")</f>
        <v/>
      </c>
      <c r="BX406" s="21" t="str">
        <f>IF(AND('Atividades Micro'!$B458=BX$2,'Atividades Micro'!$G458="Macro",'Atividades Micro'!$K458&lt;&gt;""),'Atividades Micro'!$K458,"")</f>
        <v/>
      </c>
      <c r="BY406" s="21" t="str">
        <f>IF(AND('Atividades Micro'!$B458=BY$2,'Atividades Micro'!$G458="Macro",'Atividades Micro'!$K458&lt;&gt;""),'Atividades Micro'!$K458,"")</f>
        <v/>
      </c>
      <c r="BZ406" s="21" t="str">
        <f>IF(AND('Atividades Micro'!$B458=BZ$2,'Atividades Micro'!$G458="Macro",'Atividades Micro'!$K458&lt;&gt;""),'Atividades Micro'!$K458,"")</f>
        <v/>
      </c>
      <c r="CA406" s="21" t="str">
        <f>IF(AND('Atividades Micro'!$B458=CA$2,'Atividades Micro'!$G458="Macro",'Atividades Micro'!$K458&lt;&gt;""),'Atividades Micro'!$K458,"")</f>
        <v/>
      </c>
      <c r="CB406" s="21" t="str">
        <f>IF(AND('Atividades Micro'!$B458=CB$2,'Atividades Micro'!$G458="Macro",'Atividades Micro'!$K458&lt;&gt;""),'Atividades Micro'!$K458,"")</f>
        <v/>
      </c>
      <c r="CC406" s="21" t="str">
        <f>IF(AND('Atividades Micro'!$B458=CC$2,'Atividades Micro'!$G458="Macro",'Atividades Micro'!$K458&lt;&gt;""),'Atividades Micro'!$K458,"")</f>
        <v/>
      </c>
      <c r="CD406" s="21" t="str">
        <f>IF(AND('Atividades Micro'!$B458=CD$2,'Atividades Micro'!$G458="Micro",'Atividades Micro'!$K458&lt;&gt;""),'Atividades Micro'!$K458,"")</f>
        <v/>
      </c>
      <c r="CE406" s="21" t="str">
        <f>IF(AND('Atividades Micro'!$B458=CE$2,'Atividades Micro'!$G458="Micro",'Atividades Micro'!$K458&lt;&gt;""),'Atividades Micro'!$K458,"")</f>
        <v/>
      </c>
      <c r="CF406" s="21" t="str">
        <f>IF(AND('Atividades Micro'!$B458=CF$2,'Atividades Micro'!$G458="Micro",'Atividades Micro'!$K458&lt;&gt;""),'Atividades Micro'!$K458,"")</f>
        <v/>
      </c>
      <c r="CG406" s="21" t="str">
        <f>IF(AND('Atividades Micro'!$B458=CG$2,'Atividades Micro'!$G458="Micro",'Atividades Micro'!$K458&lt;&gt;""),'Atividades Micro'!$K458,"")</f>
        <v/>
      </c>
      <c r="CH406" s="21" t="str">
        <f>IF(AND('Atividades Micro'!$B458=CH$2,'Atividades Micro'!$G458="Micro",'Atividades Micro'!$K458&lt;&gt;""),'Atividades Micro'!$K458,"")</f>
        <v/>
      </c>
      <c r="CI406" s="21" t="str">
        <f>IF(AND('Atividades Micro'!$B458=CI$2,'Atividades Micro'!$G458="Micro",'Atividades Micro'!$K458&lt;&gt;""),'Atividades Micro'!$K458,"")</f>
        <v/>
      </c>
      <c r="CJ406" s="21" t="str">
        <f>IF(AND('Atividades Micro'!$B458=CJ$2,'Atividades Micro'!$G458="Micro",'Atividades Micro'!$K458&lt;&gt;""),'Atividades Micro'!$K458,"")</f>
        <v/>
      </c>
      <c r="CK406" s="21" t="str">
        <f>IF(AND('Atividades Micro'!$B458=CK$2,'Atividades Micro'!$G458="Micro",'Atividades Micro'!$K458&lt;&gt;""),'Atividades Micro'!$K458,"")</f>
        <v/>
      </c>
      <c r="CL406" s="21" t="str">
        <f>IF(AND('Atividades Micro'!$B458=CL$2,'Atividades Micro'!$G458="Micro",'Atividades Micro'!$K458&lt;&gt;""),'Atividades Micro'!$K458,"")</f>
        <v/>
      </c>
      <c r="CM406" s="21" t="str">
        <f>IF(AND('Atividades Micro'!$B458=CM$2,'Atividades Micro'!$G458="Micro",'Atividades Micro'!$K458&lt;&gt;""),'Atividades Micro'!$K458,"")</f>
        <v/>
      </c>
      <c r="CN406" s="21" t="str">
        <f>IF(AND('Atividades Micro'!$B458=CN$2,'Atividades Micro'!$G458="Micro",'Atividades Micro'!$K458&lt;&gt;""),'Atividades Micro'!$K458,"")</f>
        <v/>
      </c>
      <c r="CO406" s="21" t="str">
        <f>IF(AND('Atividades Micro'!$B458=CO$2,'Atividades Micro'!$G458="Micro",'Atividades Micro'!$K458&lt;&gt;""),'Atividades Micro'!$K458,"")</f>
        <v/>
      </c>
    </row>
    <row r="407" spans="1:93">
      <c r="A407" s="21" t="str">
        <f>IF(AND('Atividades Micro'!$A459=A$2,'Atividades Micro'!$K459&lt;&gt;""),'Atividades Micro'!$K459,"")</f>
        <v/>
      </c>
      <c r="B407" s="21" t="str">
        <f>IF(AND('Atividades Micro'!$A459=B$2,'Atividades Micro'!$L459&lt;&gt;""),'Atividades Micro'!$L459,"")</f>
        <v/>
      </c>
      <c r="C407" s="21" t="str">
        <f>IF(AND('Atividades Micro'!$A459=C$2,'Atividades Micro'!$K459&lt;&gt;""),'Atividades Micro'!$K459,"")</f>
        <v/>
      </c>
      <c r="D407" s="21" t="str">
        <f>IF(AND('Atividades Micro'!$A459=D$2,'Atividades Micro'!$L459&lt;&gt;""),'Atividades Micro'!$L459,"")</f>
        <v/>
      </c>
      <c r="E407" s="21" t="str">
        <f>IF(AND('Atividades Micro'!$A459=E$2,'Atividades Micro'!$K459&lt;&gt;""),'Atividades Micro'!$K459,"")</f>
        <v/>
      </c>
      <c r="F407" s="21" t="str">
        <f>IF(AND('Atividades Micro'!$A459=F$2,'Atividades Micro'!$L459&lt;&gt;""),'Atividades Micro'!$L459,"")</f>
        <v/>
      </c>
      <c r="G407" s="21" t="str">
        <f>IF(AND('Atividades Micro'!$A459=G$2,'Atividades Micro'!$K459&lt;&gt;""),'Atividades Micro'!$K459,"")</f>
        <v/>
      </c>
      <c r="H407" s="21" t="str">
        <f>IF(AND('Atividades Micro'!$A459=H$2,'Atividades Micro'!$L459&lt;&gt;""),'Atividades Micro'!$L459,"")</f>
        <v/>
      </c>
      <c r="I407" s="21" t="str">
        <f>IF(AND('Atividades Micro'!$A459=I$2,'Atividades Micro'!$K459&lt;&gt;""),'Atividades Micro'!$K459,"")</f>
        <v/>
      </c>
      <c r="J407" s="21" t="str">
        <f>IF(AND('Atividades Micro'!$A459=J$2,'Atividades Micro'!$L459&lt;&gt;""),'Atividades Micro'!$L459,"")</f>
        <v/>
      </c>
      <c r="K407" s="21" t="str">
        <f>IF(AND('Atividades Micro'!$B459=K$2,'Atividades Micro'!$K459&lt;&gt;""),'Atividades Micro'!$K459,"")</f>
        <v/>
      </c>
      <c r="L407" s="21" t="str">
        <f>IF(AND('Atividades Micro'!$B459=L$2,'Atividades Micro'!$L459&lt;&gt;""),'Atividades Micro'!$L459,"")</f>
        <v/>
      </c>
      <c r="M407" s="21" t="str">
        <f>IF(AND('Atividades Micro'!$B459=M$2,'Atividades Micro'!$K459&lt;&gt;""),'Atividades Micro'!$K459,"")</f>
        <v/>
      </c>
      <c r="N407" s="21" t="str">
        <f>IF(AND('Atividades Micro'!$B459=N$2,'Atividades Micro'!$L459&lt;&gt;""),'Atividades Micro'!$L459,"")</f>
        <v/>
      </c>
      <c r="O407" s="21" t="str">
        <f>IF(AND('Atividades Micro'!$A459=O$2,'Atividades Micro'!$K459&lt;&gt;""),'Atividades Micro'!$K459,"")</f>
        <v/>
      </c>
      <c r="P407" s="21" t="str">
        <f>IF(AND('Atividades Micro'!$A459=P$2,'Atividades Micro'!$L459&lt;&gt;""),'Atividades Micro'!$L459,"")</f>
        <v/>
      </c>
      <c r="Q407" s="21" t="str">
        <f>IF(AND('Atividades Micro'!$B459=Q$2,'Atividades Micro'!$K459&lt;&gt;""),'Atividades Micro'!$K459,"")</f>
        <v/>
      </c>
      <c r="R407" s="21" t="str">
        <f>IF(AND('Atividades Micro'!$B459=R$2,'Atividades Micro'!$L459&lt;&gt;""),'Atividades Micro'!$L459,"")</f>
        <v/>
      </c>
      <c r="S407" s="21" t="str">
        <f>IF(AND('Atividades Micro'!$A459=S$2,'Atividades Micro'!$K459&lt;&gt;""),'Atividades Micro'!$K459,"")</f>
        <v/>
      </c>
      <c r="T407" s="21" t="str">
        <f>IF(AND('Atividades Micro'!$A459=T$2,'Atividades Micro'!$L459&lt;&gt;""),'Atividades Micro'!$L459,"")</f>
        <v/>
      </c>
      <c r="U407" s="21" t="str">
        <f>IF(AND('Atividades Micro'!$B459=U$2,'Atividades Micro'!$K459&lt;&gt;""),'Atividades Micro'!$K459,"")</f>
        <v/>
      </c>
      <c r="V407" s="21" t="str">
        <f>IF(AND('Atividades Micro'!$B459=V$2,'Atividades Micro'!$L459&lt;&gt;""),'Atividades Micro'!$L459,"")</f>
        <v/>
      </c>
      <c r="W407" s="21" t="str">
        <f>IF(AND('Atividades Micro'!$B459=W$2,'Atividades Micro'!$K459&lt;&gt;""),'Atividades Micro'!$K459,"")</f>
        <v/>
      </c>
      <c r="X407" s="21" t="str">
        <f>IF(AND('Atividades Micro'!$B459=X$2,'Atividades Micro'!$L459&lt;&gt;""),'Atividades Micro'!$L459,"")</f>
        <v/>
      </c>
      <c r="Y407" s="21" t="str">
        <f>IF(AND('Atividades Micro'!$A459=Y$2,'Atividades Micro'!$K459&lt;&gt;""),'Atividades Micro'!$K459,"")</f>
        <v/>
      </c>
      <c r="Z407" s="21" t="str">
        <f>IF(AND('Atividades Micro'!$A459=Z$2,'Atividades Micro'!$L459&lt;&gt;""),'Atividades Micro'!$L459,"")</f>
        <v/>
      </c>
      <c r="AA407" s="21" t="str">
        <f>IF(AND('Atividades Micro'!$B459=AA$2,'Atividades Micro'!$K459&lt;&gt;""),'Atividades Micro'!$K459,"")</f>
        <v/>
      </c>
      <c r="AB407" s="21" t="str">
        <f>IF(AND('Atividades Micro'!$B459=AB$2,'Atividades Micro'!$L459&lt;&gt;""),'Atividades Micro'!$L459,"")</f>
        <v/>
      </c>
      <c r="AC407" s="21" t="str">
        <f>IF(AND('Atividades Micro'!$B459=AC$2,'Atividades Micro'!$K459&lt;&gt;""),'Atividades Micro'!$K459,"")</f>
        <v/>
      </c>
      <c r="AD407" s="21" t="str">
        <f>IF(AND('Atividades Micro'!$B459=AD$2,'Atividades Micro'!$L459&lt;&gt;""),'Atividades Micro'!$L459,"")</f>
        <v/>
      </c>
      <c r="AE407" s="21" t="str">
        <f>IF(AND('Atividades Micro'!$A459=AE$2,'Atividades Micro'!$K459&lt;&gt;""),'Atividades Micro'!$K459,"")</f>
        <v/>
      </c>
      <c r="AF407" s="21" t="str">
        <f>IF(AND('Atividades Micro'!$A459=AF$2,'Atividades Micro'!$L459&lt;&gt;""),'Atividades Micro'!$L459,"")</f>
        <v/>
      </c>
      <c r="AG407" s="21" t="str">
        <f>IF(AND('Atividades Micro'!$B459=AG$2,'Atividades Micro'!$K459&lt;&gt;""),'Atividades Micro'!$K459,"")</f>
        <v/>
      </c>
      <c r="AH407" s="21" t="str">
        <f>IF(AND('Atividades Micro'!$B459=AH$2,'Atividades Micro'!$L459&lt;&gt;""),'Atividades Micro'!$L459,"")</f>
        <v/>
      </c>
      <c r="AI407" s="21" t="str">
        <f>IF(AND('Atividades Micro'!$B459=AI$2,'Atividades Micro'!$K459&lt;&gt;""),'Atividades Micro'!$K459,"")</f>
        <v/>
      </c>
      <c r="AJ407" s="21" t="str">
        <f>IF(AND('Atividades Micro'!$B459=AJ$2,'Atividades Micro'!$L459&lt;&gt;""),'Atividades Micro'!$L459,"")</f>
        <v/>
      </c>
      <c r="AK407" s="21" t="str">
        <f>IF(AND('Atividades Micro'!$A459=AK$2,'Atividades Micro'!$K459&lt;&gt;""),'Atividades Micro'!$K459,"")</f>
        <v/>
      </c>
      <c r="AL407" s="21" t="str">
        <f>IF(AND('Atividades Micro'!$A459=AL$2,'Atividades Micro'!$L459&lt;&gt;""),'Atividades Micro'!$L459,"")</f>
        <v/>
      </c>
      <c r="AM407" s="21" t="str">
        <f>IF(AND('Atividades Micro'!$B459=AM$2,'Atividades Micro'!$K459&lt;&gt;""),'Atividades Micro'!$K459,"")</f>
        <v/>
      </c>
      <c r="AN407" s="21" t="str">
        <f>IF(AND('Atividades Micro'!$B459=AN$2,'Atividades Micro'!$L459&lt;&gt;""),'Atividades Micro'!$L459,"")</f>
        <v/>
      </c>
      <c r="AO407" s="21" t="str">
        <f>IF(AND('Atividades Micro'!$B459=AO$2,'Atividades Micro'!$K459&lt;&gt;""),'Atividades Micro'!$K459,"")</f>
        <v/>
      </c>
      <c r="AP407" s="21" t="str">
        <f>IF(AND('Atividades Micro'!$B459=AP$2,'Atividades Micro'!$L459&lt;&gt;""),'Atividades Micro'!$L459,"")</f>
        <v/>
      </c>
      <c r="AQ407" s="21" t="str">
        <f>IF(AND('Atividades Micro'!$A459=AQ$2,'Atividades Micro'!$K459&lt;&gt;""),'Atividades Micro'!$K459,"")</f>
        <v/>
      </c>
      <c r="AR407" s="21" t="str">
        <f>IF(AND('Atividades Micro'!$A459=AR$2,'Atividades Micro'!$L459&lt;&gt;""),'Atividades Micro'!$L459,"")</f>
        <v/>
      </c>
      <c r="AS407" s="21" t="str">
        <f>IF(AND('Atividades Micro'!$B459=AS$2,'Atividades Micro'!$K459&lt;&gt;""),'Atividades Micro'!$K459,"")</f>
        <v/>
      </c>
      <c r="AT407" s="21" t="str">
        <f>IF(AND('Atividades Micro'!$B459=AT$2,'Atividades Micro'!$L459&lt;&gt;""),'Atividades Micro'!$L459,"")</f>
        <v/>
      </c>
      <c r="AU407" s="21" t="str">
        <f>IF(AND('Atividades Micro'!$A459=AU$2,'Atividades Micro'!$K459&lt;&gt;""),'Atividades Micro'!$K459,"")</f>
        <v/>
      </c>
      <c r="AV407" s="21" t="str">
        <f>IF(AND('Atividades Micro'!$A459=AV$2,'Atividades Micro'!$L459&lt;&gt;""),'Atividades Micro'!$L459,"")</f>
        <v/>
      </c>
      <c r="AW407" s="21" t="str">
        <f>IF(AND('Atividades Micro'!$B459=AW$2,'Atividades Micro'!$K459&lt;&gt;""),'Atividades Micro'!$K459,"")</f>
        <v/>
      </c>
      <c r="AX407" s="21" t="str">
        <f>IF(AND('Atividades Micro'!$B459=AX$2,'Atividades Micro'!$L459&lt;&gt;""),'Atividades Micro'!$L459,"")</f>
        <v/>
      </c>
      <c r="AY407" s="21" t="str">
        <f>IF(AND('Atividades Micro'!$A459=AY$2,'Atividades Micro'!$K459&lt;&gt;""),'Atividades Micro'!$K459,"")</f>
        <v/>
      </c>
      <c r="AZ407" s="21" t="str">
        <f>IF(AND('Atividades Micro'!$A459=AZ$2,'Atividades Micro'!$L459&lt;&gt;""),'Atividades Micro'!$L459,"")</f>
        <v/>
      </c>
      <c r="BA407" s="21" t="str">
        <f>IF(AND('Atividades Micro'!$B459=BA$2,'Atividades Micro'!$K459&lt;&gt;""),'Atividades Micro'!$K459,"")</f>
        <v/>
      </c>
      <c r="BB407" s="21" t="str">
        <f>IF(AND('Atividades Micro'!$B459=BB$2,'Atividades Micro'!$L459&lt;&gt;""),'Atividades Micro'!$L459,"")</f>
        <v/>
      </c>
      <c r="BC407" s="21" t="str">
        <f>IF(AND('Atividades Micro'!$B459=BC$2,'Atividades Micro'!$G459="Macro",'Atividades Micro'!$K459&lt;&gt;""),'Atividades Micro'!$K459,"")</f>
        <v/>
      </c>
      <c r="BD407" s="21" t="str">
        <f>IF(AND('Atividades Micro'!$B459=BD$2,'Atividades Micro'!$G459="Macro",'Atividades Micro'!$K459&lt;&gt;""),'Atividades Micro'!$K459,"")</f>
        <v/>
      </c>
      <c r="BE407" s="21" t="str">
        <f>IF(AND('Atividades Micro'!$B459=BE$2,'Atividades Micro'!$G459="Macro",'Atividades Micro'!$K459&lt;&gt;""),'Atividades Micro'!$K459,"")</f>
        <v/>
      </c>
      <c r="BF407" s="21" t="str">
        <f>IF(AND('Atividades Micro'!$B459=BF$2,'Atividades Micro'!$G459="Macro",'Atividades Micro'!$K459&lt;&gt;""),'Atividades Micro'!$K459,"")</f>
        <v/>
      </c>
      <c r="BG407" s="21" t="str">
        <f>IF(AND('Atividades Micro'!$B459=BG$2,'Atividades Micro'!$G459="Macro",'Atividades Micro'!$K459&lt;&gt;""),'Atividades Micro'!$K459,"")</f>
        <v/>
      </c>
      <c r="BH407" s="21" t="str">
        <f>IF(AND('Atividades Micro'!$B459=BH$2,'Atividades Micro'!$G459="Macro",'Atividades Micro'!$K459&lt;&gt;""),'Atividades Micro'!$K459,"")</f>
        <v/>
      </c>
      <c r="BI407" s="21" t="str">
        <f>IF(AND('Atividades Micro'!$B459=BI$2,'Atividades Micro'!$G459="Macro",'Atividades Micro'!$K459&lt;&gt;""),'Atividades Micro'!$K459,"")</f>
        <v/>
      </c>
      <c r="BJ407" s="21" t="str">
        <f>IF(AND('Atividades Micro'!$B459=BJ$2,'Atividades Micro'!$G459="Macro",'Atividades Micro'!$K459&lt;&gt;""),'Atividades Micro'!$K459,"")</f>
        <v/>
      </c>
      <c r="BK407" s="21" t="str">
        <f>IF(AND('Atividades Micro'!$B459=BK$2,'Atividades Micro'!$G459="Macro",'Atividades Micro'!$K459&lt;&gt;""),'Atividades Micro'!$K459,"")</f>
        <v/>
      </c>
      <c r="BL407" s="21" t="str">
        <f>IF(AND('Atividades Micro'!$B459=BL$2,'Atividades Micro'!$G459="Macro",'Atividades Micro'!$K459&lt;&gt;""),'Atividades Micro'!$K459,"")</f>
        <v/>
      </c>
      <c r="BM407" s="21" t="str">
        <f>IF(AND('Atividades Micro'!$B459=BM$2,'Atividades Micro'!$G459="Macro",'Atividades Micro'!$K459&lt;&gt;""),'Atividades Micro'!$K459,"")</f>
        <v/>
      </c>
      <c r="BN407" s="21" t="str">
        <f>IF(AND('Atividades Micro'!$B459=BN$2,'Atividades Micro'!$G459="Macro",'Atividades Micro'!$K459&lt;&gt;""),'Atividades Micro'!$K459,"")</f>
        <v/>
      </c>
      <c r="BO407" s="21" t="str">
        <f>IF(AND('Atividades Micro'!$B459=BO$2,'Atividades Micro'!$G459="Macro",'Atividades Micro'!$K459&lt;&gt;""),'Atividades Micro'!$K459,"")</f>
        <v/>
      </c>
      <c r="BP407" s="21" t="str">
        <f>IF(AND('Atividades Micro'!$B459=BP$2,'Atividades Micro'!$G459="Macro",'Atividades Micro'!$K459&lt;&gt;""),'Atividades Micro'!$K459,"")</f>
        <v/>
      </c>
      <c r="BQ407" s="21" t="str">
        <f>IF(AND('Atividades Micro'!$B459=BQ$2,'Atividades Micro'!$G459="Macro",'Atividades Micro'!$K459&lt;&gt;""),'Atividades Micro'!$K459,"")</f>
        <v/>
      </c>
      <c r="BR407" s="21" t="str">
        <f>IF(AND('Atividades Micro'!$B459=BR$2,'Atividades Micro'!$G459="Macro",'Atividades Micro'!$K459&lt;&gt;""),'Atividades Micro'!$K459,"")</f>
        <v/>
      </c>
      <c r="BS407" s="21" t="str">
        <f>IF(AND('Atividades Micro'!$B459=BS$2,'Atividades Micro'!$G459="Macro",'Atividades Micro'!$K459&lt;&gt;""),'Atividades Micro'!$K459,"")</f>
        <v/>
      </c>
      <c r="BT407" s="21" t="str">
        <f>IF(AND('Atividades Micro'!$B459=BT$2,'Atividades Micro'!$G459="Macro",'Atividades Micro'!$K459&lt;&gt;""),'Atividades Micro'!$K459,"")</f>
        <v/>
      </c>
      <c r="BU407" s="21" t="str">
        <f>IF(AND('Atividades Micro'!$B459=BU$2,'Atividades Micro'!$G459="Macro",'Atividades Micro'!$K459&lt;&gt;""),'Atividades Micro'!$K459,"")</f>
        <v/>
      </c>
      <c r="BV407" s="21" t="str">
        <f>IF(AND('Atividades Micro'!$B459=BV$2,'Atividades Micro'!$G459="Macro",'Atividades Micro'!$K459&lt;&gt;""),'Atividades Micro'!$K459,"")</f>
        <v/>
      </c>
      <c r="BW407" s="21" t="str">
        <f>IF(AND('Atividades Micro'!$B459=BW$2,'Atividades Micro'!$G459="Macro",'Atividades Micro'!$K459&lt;&gt;""),'Atividades Micro'!$K459,"")</f>
        <v/>
      </c>
      <c r="BX407" s="21" t="str">
        <f>IF(AND('Atividades Micro'!$B459=BX$2,'Atividades Micro'!$G459="Macro",'Atividades Micro'!$K459&lt;&gt;""),'Atividades Micro'!$K459,"")</f>
        <v/>
      </c>
      <c r="BY407" s="21" t="str">
        <f>IF(AND('Atividades Micro'!$B459=BY$2,'Atividades Micro'!$G459="Macro",'Atividades Micro'!$K459&lt;&gt;""),'Atividades Micro'!$K459,"")</f>
        <v/>
      </c>
      <c r="BZ407" s="21" t="str">
        <f>IF(AND('Atividades Micro'!$B459=BZ$2,'Atividades Micro'!$G459="Macro",'Atividades Micro'!$K459&lt;&gt;""),'Atividades Micro'!$K459,"")</f>
        <v/>
      </c>
      <c r="CA407" s="21" t="str">
        <f>IF(AND('Atividades Micro'!$B459=CA$2,'Atividades Micro'!$G459="Macro",'Atividades Micro'!$K459&lt;&gt;""),'Atividades Micro'!$K459,"")</f>
        <v/>
      </c>
      <c r="CB407" s="21" t="str">
        <f>IF(AND('Atividades Micro'!$B459=CB$2,'Atividades Micro'!$G459="Macro",'Atividades Micro'!$K459&lt;&gt;""),'Atividades Micro'!$K459,"")</f>
        <v/>
      </c>
      <c r="CC407" s="21" t="str">
        <f>IF(AND('Atividades Micro'!$B459=CC$2,'Atividades Micro'!$G459="Macro",'Atividades Micro'!$K459&lt;&gt;""),'Atividades Micro'!$K459,"")</f>
        <v/>
      </c>
      <c r="CD407" s="21" t="str">
        <f>IF(AND('Atividades Micro'!$B459=CD$2,'Atividades Micro'!$G459="Micro",'Atividades Micro'!$K459&lt;&gt;""),'Atividades Micro'!$K459,"")</f>
        <v/>
      </c>
      <c r="CE407" s="21" t="str">
        <f>IF(AND('Atividades Micro'!$B459=CE$2,'Atividades Micro'!$G459="Micro",'Atividades Micro'!$K459&lt;&gt;""),'Atividades Micro'!$K459,"")</f>
        <v/>
      </c>
      <c r="CF407" s="21" t="str">
        <f>IF(AND('Atividades Micro'!$B459=CF$2,'Atividades Micro'!$G459="Micro",'Atividades Micro'!$K459&lt;&gt;""),'Atividades Micro'!$K459,"")</f>
        <v/>
      </c>
      <c r="CG407" s="21" t="str">
        <f>IF(AND('Atividades Micro'!$B459=CG$2,'Atividades Micro'!$G459="Micro",'Atividades Micro'!$K459&lt;&gt;""),'Atividades Micro'!$K459,"")</f>
        <v/>
      </c>
      <c r="CH407" s="21" t="str">
        <f>IF(AND('Atividades Micro'!$B459=CH$2,'Atividades Micro'!$G459="Micro",'Atividades Micro'!$K459&lt;&gt;""),'Atividades Micro'!$K459,"")</f>
        <v/>
      </c>
      <c r="CI407" s="21" t="str">
        <f>IF(AND('Atividades Micro'!$B459=CI$2,'Atividades Micro'!$G459="Micro",'Atividades Micro'!$K459&lt;&gt;""),'Atividades Micro'!$K459,"")</f>
        <v/>
      </c>
      <c r="CJ407" s="21" t="str">
        <f>IF(AND('Atividades Micro'!$B459=CJ$2,'Atividades Micro'!$G459="Micro",'Atividades Micro'!$K459&lt;&gt;""),'Atividades Micro'!$K459,"")</f>
        <v/>
      </c>
      <c r="CK407" s="21" t="str">
        <f>IF(AND('Atividades Micro'!$B459=CK$2,'Atividades Micro'!$G459="Micro",'Atividades Micro'!$K459&lt;&gt;""),'Atividades Micro'!$K459,"")</f>
        <v/>
      </c>
      <c r="CL407" s="21" t="str">
        <f>IF(AND('Atividades Micro'!$B459=CL$2,'Atividades Micro'!$G459="Micro",'Atividades Micro'!$K459&lt;&gt;""),'Atividades Micro'!$K459,"")</f>
        <v/>
      </c>
      <c r="CM407" s="21" t="str">
        <f>IF(AND('Atividades Micro'!$B459=CM$2,'Atividades Micro'!$G459="Micro",'Atividades Micro'!$K459&lt;&gt;""),'Atividades Micro'!$K459,"")</f>
        <v/>
      </c>
      <c r="CN407" s="21" t="str">
        <f>IF(AND('Atividades Micro'!$B459=CN$2,'Atividades Micro'!$G459="Micro",'Atividades Micro'!$K459&lt;&gt;""),'Atividades Micro'!$K459,"")</f>
        <v/>
      </c>
      <c r="CO407" s="21" t="str">
        <f>IF(AND('Atividades Micro'!$B459=CO$2,'Atividades Micro'!$G459="Micro",'Atividades Micro'!$K459&lt;&gt;""),'Atividades Micro'!$K459,"")</f>
        <v/>
      </c>
    </row>
    <row r="408" spans="1:93">
      <c r="A408" s="21" t="str">
        <f>IF(AND('Atividades Micro'!$A460=A$2,'Atividades Micro'!$K460&lt;&gt;""),'Atividades Micro'!$K460,"")</f>
        <v/>
      </c>
      <c r="B408" s="21" t="str">
        <f>IF(AND('Atividades Micro'!$A460=B$2,'Atividades Micro'!$L460&lt;&gt;""),'Atividades Micro'!$L460,"")</f>
        <v/>
      </c>
      <c r="C408" s="21" t="str">
        <f>IF(AND('Atividades Micro'!$A460=C$2,'Atividades Micro'!$K460&lt;&gt;""),'Atividades Micro'!$K460,"")</f>
        <v/>
      </c>
      <c r="D408" s="21" t="str">
        <f>IF(AND('Atividades Micro'!$A460=D$2,'Atividades Micro'!$L460&lt;&gt;""),'Atividades Micro'!$L460,"")</f>
        <v/>
      </c>
      <c r="E408" s="21" t="str">
        <f>IF(AND('Atividades Micro'!$A460=E$2,'Atividades Micro'!$K460&lt;&gt;""),'Atividades Micro'!$K460,"")</f>
        <v/>
      </c>
      <c r="F408" s="21" t="str">
        <f>IF(AND('Atividades Micro'!$A460=F$2,'Atividades Micro'!$L460&lt;&gt;""),'Atividades Micro'!$L460,"")</f>
        <v/>
      </c>
      <c r="G408" s="21" t="str">
        <f>IF(AND('Atividades Micro'!$A460=G$2,'Atividades Micro'!$K460&lt;&gt;""),'Atividades Micro'!$K460,"")</f>
        <v/>
      </c>
      <c r="H408" s="21" t="str">
        <f>IF(AND('Atividades Micro'!$A460=H$2,'Atividades Micro'!$L460&lt;&gt;""),'Atividades Micro'!$L460,"")</f>
        <v/>
      </c>
      <c r="I408" s="21" t="str">
        <f>IF(AND('Atividades Micro'!$A460=I$2,'Atividades Micro'!$K460&lt;&gt;""),'Atividades Micro'!$K460,"")</f>
        <v/>
      </c>
      <c r="J408" s="21" t="str">
        <f>IF(AND('Atividades Micro'!$A460=J$2,'Atividades Micro'!$L460&lt;&gt;""),'Atividades Micro'!$L460,"")</f>
        <v/>
      </c>
      <c r="K408" s="21" t="str">
        <f>IF(AND('Atividades Micro'!$B460=K$2,'Atividades Micro'!$K460&lt;&gt;""),'Atividades Micro'!$K460,"")</f>
        <v/>
      </c>
      <c r="L408" s="21" t="str">
        <f>IF(AND('Atividades Micro'!$B460=L$2,'Atividades Micro'!$L460&lt;&gt;""),'Atividades Micro'!$L460,"")</f>
        <v/>
      </c>
      <c r="M408" s="21" t="str">
        <f>IF(AND('Atividades Micro'!$B460=M$2,'Atividades Micro'!$K460&lt;&gt;""),'Atividades Micro'!$K460,"")</f>
        <v/>
      </c>
      <c r="N408" s="21" t="str">
        <f>IF(AND('Atividades Micro'!$B460=N$2,'Atividades Micro'!$L460&lt;&gt;""),'Atividades Micro'!$L460,"")</f>
        <v/>
      </c>
      <c r="O408" s="21" t="str">
        <f>IF(AND('Atividades Micro'!$A460=O$2,'Atividades Micro'!$K460&lt;&gt;""),'Atividades Micro'!$K460,"")</f>
        <v/>
      </c>
      <c r="P408" s="21" t="str">
        <f>IF(AND('Atividades Micro'!$A460=P$2,'Atividades Micro'!$L460&lt;&gt;""),'Atividades Micro'!$L460,"")</f>
        <v/>
      </c>
      <c r="Q408" s="21" t="str">
        <f>IF(AND('Atividades Micro'!$B460=Q$2,'Atividades Micro'!$K460&lt;&gt;""),'Atividades Micro'!$K460,"")</f>
        <v/>
      </c>
      <c r="R408" s="21" t="str">
        <f>IF(AND('Atividades Micro'!$B460=R$2,'Atividades Micro'!$L460&lt;&gt;""),'Atividades Micro'!$L460,"")</f>
        <v/>
      </c>
      <c r="S408" s="21" t="str">
        <f>IF(AND('Atividades Micro'!$A460=S$2,'Atividades Micro'!$K460&lt;&gt;""),'Atividades Micro'!$K460,"")</f>
        <v/>
      </c>
      <c r="T408" s="21" t="str">
        <f>IF(AND('Atividades Micro'!$A460=T$2,'Atividades Micro'!$L460&lt;&gt;""),'Atividades Micro'!$L460,"")</f>
        <v/>
      </c>
      <c r="U408" s="21" t="str">
        <f>IF(AND('Atividades Micro'!$B460=U$2,'Atividades Micro'!$K460&lt;&gt;""),'Atividades Micro'!$K460,"")</f>
        <v/>
      </c>
      <c r="V408" s="21" t="str">
        <f>IF(AND('Atividades Micro'!$B460=V$2,'Atividades Micro'!$L460&lt;&gt;""),'Atividades Micro'!$L460,"")</f>
        <v/>
      </c>
      <c r="W408" s="21" t="str">
        <f>IF(AND('Atividades Micro'!$B460=W$2,'Atividades Micro'!$K460&lt;&gt;""),'Atividades Micro'!$K460,"")</f>
        <v/>
      </c>
      <c r="X408" s="21" t="str">
        <f>IF(AND('Atividades Micro'!$B460=X$2,'Atividades Micro'!$L460&lt;&gt;""),'Atividades Micro'!$L460,"")</f>
        <v/>
      </c>
      <c r="Y408" s="21" t="str">
        <f>IF(AND('Atividades Micro'!$A460=Y$2,'Atividades Micro'!$K460&lt;&gt;""),'Atividades Micro'!$K460,"")</f>
        <v/>
      </c>
      <c r="Z408" s="21" t="str">
        <f>IF(AND('Atividades Micro'!$A460=Z$2,'Atividades Micro'!$L460&lt;&gt;""),'Atividades Micro'!$L460,"")</f>
        <v/>
      </c>
      <c r="AA408" s="21" t="str">
        <f>IF(AND('Atividades Micro'!$B460=AA$2,'Atividades Micro'!$K460&lt;&gt;""),'Atividades Micro'!$K460,"")</f>
        <v/>
      </c>
      <c r="AB408" s="21" t="str">
        <f>IF(AND('Atividades Micro'!$B460=AB$2,'Atividades Micro'!$L460&lt;&gt;""),'Atividades Micro'!$L460,"")</f>
        <v/>
      </c>
      <c r="AC408" s="21" t="str">
        <f>IF(AND('Atividades Micro'!$B460=AC$2,'Atividades Micro'!$K460&lt;&gt;""),'Atividades Micro'!$K460,"")</f>
        <v/>
      </c>
      <c r="AD408" s="21" t="str">
        <f>IF(AND('Atividades Micro'!$B460=AD$2,'Atividades Micro'!$L460&lt;&gt;""),'Atividades Micro'!$L460,"")</f>
        <v/>
      </c>
      <c r="AE408" s="21" t="str">
        <f>IF(AND('Atividades Micro'!$A460=AE$2,'Atividades Micro'!$K460&lt;&gt;""),'Atividades Micro'!$K460,"")</f>
        <v/>
      </c>
      <c r="AF408" s="21" t="str">
        <f>IF(AND('Atividades Micro'!$A460=AF$2,'Atividades Micro'!$L460&lt;&gt;""),'Atividades Micro'!$L460,"")</f>
        <v/>
      </c>
      <c r="AG408" s="21" t="str">
        <f>IF(AND('Atividades Micro'!$B460=AG$2,'Atividades Micro'!$K460&lt;&gt;""),'Atividades Micro'!$K460,"")</f>
        <v/>
      </c>
      <c r="AH408" s="21" t="str">
        <f>IF(AND('Atividades Micro'!$B460=AH$2,'Atividades Micro'!$L460&lt;&gt;""),'Atividades Micro'!$L460,"")</f>
        <v/>
      </c>
      <c r="AI408" s="21" t="str">
        <f>IF(AND('Atividades Micro'!$B460=AI$2,'Atividades Micro'!$K460&lt;&gt;""),'Atividades Micro'!$K460,"")</f>
        <v/>
      </c>
      <c r="AJ408" s="21" t="str">
        <f>IF(AND('Atividades Micro'!$B460=AJ$2,'Atividades Micro'!$L460&lt;&gt;""),'Atividades Micro'!$L460,"")</f>
        <v/>
      </c>
      <c r="AK408" s="21" t="str">
        <f>IF(AND('Atividades Micro'!$A460=AK$2,'Atividades Micro'!$K460&lt;&gt;""),'Atividades Micro'!$K460,"")</f>
        <v/>
      </c>
      <c r="AL408" s="21" t="str">
        <f>IF(AND('Atividades Micro'!$A460=AL$2,'Atividades Micro'!$L460&lt;&gt;""),'Atividades Micro'!$L460,"")</f>
        <v/>
      </c>
      <c r="AM408" s="21" t="str">
        <f>IF(AND('Atividades Micro'!$B460=AM$2,'Atividades Micro'!$K460&lt;&gt;""),'Atividades Micro'!$K460,"")</f>
        <v/>
      </c>
      <c r="AN408" s="21" t="str">
        <f>IF(AND('Atividades Micro'!$B460=AN$2,'Atividades Micro'!$L460&lt;&gt;""),'Atividades Micro'!$L460,"")</f>
        <v/>
      </c>
      <c r="AO408" s="21" t="str">
        <f>IF(AND('Atividades Micro'!$B460=AO$2,'Atividades Micro'!$K460&lt;&gt;""),'Atividades Micro'!$K460,"")</f>
        <v/>
      </c>
      <c r="AP408" s="21" t="str">
        <f>IF(AND('Atividades Micro'!$B460=AP$2,'Atividades Micro'!$L460&lt;&gt;""),'Atividades Micro'!$L460,"")</f>
        <v/>
      </c>
      <c r="AQ408" s="21" t="str">
        <f>IF(AND('Atividades Micro'!$A460=AQ$2,'Atividades Micro'!$K460&lt;&gt;""),'Atividades Micro'!$K460,"")</f>
        <v/>
      </c>
      <c r="AR408" s="21" t="str">
        <f>IF(AND('Atividades Micro'!$A460=AR$2,'Atividades Micro'!$L460&lt;&gt;""),'Atividades Micro'!$L460,"")</f>
        <v/>
      </c>
      <c r="AS408" s="21" t="str">
        <f>IF(AND('Atividades Micro'!$B460=AS$2,'Atividades Micro'!$K460&lt;&gt;""),'Atividades Micro'!$K460,"")</f>
        <v/>
      </c>
      <c r="AT408" s="21" t="str">
        <f>IF(AND('Atividades Micro'!$B460=AT$2,'Atividades Micro'!$L460&lt;&gt;""),'Atividades Micro'!$L460,"")</f>
        <v/>
      </c>
      <c r="AU408" s="21" t="str">
        <f>IF(AND('Atividades Micro'!$A460=AU$2,'Atividades Micro'!$K460&lt;&gt;""),'Atividades Micro'!$K460,"")</f>
        <v/>
      </c>
      <c r="AV408" s="21" t="str">
        <f>IF(AND('Atividades Micro'!$A460=AV$2,'Atividades Micro'!$L460&lt;&gt;""),'Atividades Micro'!$L460,"")</f>
        <v/>
      </c>
      <c r="AW408" s="21" t="str">
        <f>IF(AND('Atividades Micro'!$B460=AW$2,'Atividades Micro'!$K460&lt;&gt;""),'Atividades Micro'!$K460,"")</f>
        <v/>
      </c>
      <c r="AX408" s="21" t="str">
        <f>IF(AND('Atividades Micro'!$B460=AX$2,'Atividades Micro'!$L460&lt;&gt;""),'Atividades Micro'!$L460,"")</f>
        <v/>
      </c>
      <c r="AY408" s="21" t="str">
        <f>IF(AND('Atividades Micro'!$A460=AY$2,'Atividades Micro'!$K460&lt;&gt;""),'Atividades Micro'!$K460,"")</f>
        <v/>
      </c>
      <c r="AZ408" s="21" t="str">
        <f>IF(AND('Atividades Micro'!$A460=AZ$2,'Atividades Micro'!$L460&lt;&gt;""),'Atividades Micro'!$L460,"")</f>
        <v/>
      </c>
      <c r="BA408" s="21" t="str">
        <f>IF(AND('Atividades Micro'!$B460=BA$2,'Atividades Micro'!$K460&lt;&gt;""),'Atividades Micro'!$K460,"")</f>
        <v/>
      </c>
      <c r="BB408" s="21" t="str">
        <f>IF(AND('Atividades Micro'!$B460=BB$2,'Atividades Micro'!$L460&lt;&gt;""),'Atividades Micro'!$L460,"")</f>
        <v/>
      </c>
      <c r="BC408" s="21" t="str">
        <f>IF(AND('Atividades Micro'!$B460=BC$2,'Atividades Micro'!$G460="Macro",'Atividades Micro'!$K460&lt;&gt;""),'Atividades Micro'!$K460,"")</f>
        <v/>
      </c>
      <c r="BD408" s="21" t="str">
        <f>IF(AND('Atividades Micro'!$B460=BD$2,'Atividades Micro'!$G460="Macro",'Atividades Micro'!$K460&lt;&gt;""),'Atividades Micro'!$K460,"")</f>
        <v/>
      </c>
      <c r="BE408" s="21" t="str">
        <f>IF(AND('Atividades Micro'!$B460=BE$2,'Atividades Micro'!$G460="Macro",'Atividades Micro'!$K460&lt;&gt;""),'Atividades Micro'!$K460,"")</f>
        <v/>
      </c>
      <c r="BF408" s="21" t="str">
        <f>IF(AND('Atividades Micro'!$B460=BF$2,'Atividades Micro'!$G460="Macro",'Atividades Micro'!$K460&lt;&gt;""),'Atividades Micro'!$K460,"")</f>
        <v/>
      </c>
      <c r="BG408" s="21" t="str">
        <f>IF(AND('Atividades Micro'!$B460=BG$2,'Atividades Micro'!$G460="Macro",'Atividades Micro'!$K460&lt;&gt;""),'Atividades Micro'!$K460,"")</f>
        <v/>
      </c>
      <c r="BH408" s="21" t="str">
        <f>IF(AND('Atividades Micro'!$B460=BH$2,'Atividades Micro'!$G460="Macro",'Atividades Micro'!$K460&lt;&gt;""),'Atividades Micro'!$K460,"")</f>
        <v/>
      </c>
      <c r="BI408" s="21" t="str">
        <f>IF(AND('Atividades Micro'!$B460=BI$2,'Atividades Micro'!$G460="Macro",'Atividades Micro'!$K460&lt;&gt;""),'Atividades Micro'!$K460,"")</f>
        <v/>
      </c>
      <c r="BJ408" s="21" t="str">
        <f>IF(AND('Atividades Micro'!$B460=BJ$2,'Atividades Micro'!$G460="Macro",'Atividades Micro'!$K460&lt;&gt;""),'Atividades Micro'!$K460,"")</f>
        <v/>
      </c>
      <c r="BK408" s="21" t="str">
        <f>IF(AND('Atividades Micro'!$B460=BK$2,'Atividades Micro'!$G460="Macro",'Atividades Micro'!$K460&lt;&gt;""),'Atividades Micro'!$K460,"")</f>
        <v/>
      </c>
      <c r="BL408" s="21" t="str">
        <f>IF(AND('Atividades Micro'!$B460=BL$2,'Atividades Micro'!$G460="Macro",'Atividades Micro'!$K460&lt;&gt;""),'Atividades Micro'!$K460,"")</f>
        <v/>
      </c>
      <c r="BM408" s="21" t="str">
        <f>IF(AND('Atividades Micro'!$B460=BM$2,'Atividades Micro'!$G460="Macro",'Atividades Micro'!$K460&lt;&gt;""),'Atividades Micro'!$K460,"")</f>
        <v/>
      </c>
      <c r="BN408" s="21" t="str">
        <f>IF(AND('Atividades Micro'!$B460=BN$2,'Atividades Micro'!$G460="Macro",'Atividades Micro'!$K460&lt;&gt;""),'Atividades Micro'!$K460,"")</f>
        <v/>
      </c>
      <c r="BO408" s="21" t="str">
        <f>IF(AND('Atividades Micro'!$B460=BO$2,'Atividades Micro'!$G460="Macro",'Atividades Micro'!$K460&lt;&gt;""),'Atividades Micro'!$K460,"")</f>
        <v/>
      </c>
      <c r="BP408" s="21" t="str">
        <f>IF(AND('Atividades Micro'!$B460=BP$2,'Atividades Micro'!$G460="Macro",'Atividades Micro'!$K460&lt;&gt;""),'Atividades Micro'!$K460,"")</f>
        <v/>
      </c>
      <c r="BQ408" s="21" t="str">
        <f>IF(AND('Atividades Micro'!$B460=BQ$2,'Atividades Micro'!$G460="Macro",'Atividades Micro'!$K460&lt;&gt;""),'Atividades Micro'!$K460,"")</f>
        <v/>
      </c>
      <c r="BR408" s="21" t="str">
        <f>IF(AND('Atividades Micro'!$B460=BR$2,'Atividades Micro'!$G460="Macro",'Atividades Micro'!$K460&lt;&gt;""),'Atividades Micro'!$K460,"")</f>
        <v/>
      </c>
      <c r="BS408" s="21" t="str">
        <f>IF(AND('Atividades Micro'!$B460=BS$2,'Atividades Micro'!$G460="Macro",'Atividades Micro'!$K460&lt;&gt;""),'Atividades Micro'!$K460,"")</f>
        <v/>
      </c>
      <c r="BT408" s="21" t="str">
        <f>IF(AND('Atividades Micro'!$B460=BT$2,'Atividades Micro'!$G460="Macro",'Atividades Micro'!$K460&lt;&gt;""),'Atividades Micro'!$K460,"")</f>
        <v/>
      </c>
      <c r="BU408" s="21" t="str">
        <f>IF(AND('Atividades Micro'!$B460=BU$2,'Atividades Micro'!$G460="Macro",'Atividades Micro'!$K460&lt;&gt;""),'Atividades Micro'!$K460,"")</f>
        <v/>
      </c>
      <c r="BV408" s="21" t="str">
        <f>IF(AND('Atividades Micro'!$B460=BV$2,'Atividades Micro'!$G460="Macro",'Atividades Micro'!$K460&lt;&gt;""),'Atividades Micro'!$K460,"")</f>
        <v/>
      </c>
      <c r="BW408" s="21" t="str">
        <f>IF(AND('Atividades Micro'!$B460=BW$2,'Atividades Micro'!$G460="Macro",'Atividades Micro'!$K460&lt;&gt;""),'Atividades Micro'!$K460,"")</f>
        <v/>
      </c>
      <c r="BX408" s="21" t="str">
        <f>IF(AND('Atividades Micro'!$B460=BX$2,'Atividades Micro'!$G460="Macro",'Atividades Micro'!$K460&lt;&gt;""),'Atividades Micro'!$K460,"")</f>
        <v/>
      </c>
      <c r="BY408" s="21" t="str">
        <f>IF(AND('Atividades Micro'!$B460=BY$2,'Atividades Micro'!$G460="Macro",'Atividades Micro'!$K460&lt;&gt;""),'Atividades Micro'!$K460,"")</f>
        <v/>
      </c>
      <c r="BZ408" s="21" t="str">
        <f>IF(AND('Atividades Micro'!$B460=BZ$2,'Atividades Micro'!$G460="Macro",'Atividades Micro'!$K460&lt;&gt;""),'Atividades Micro'!$K460,"")</f>
        <v/>
      </c>
      <c r="CA408" s="21" t="str">
        <f>IF(AND('Atividades Micro'!$B460=CA$2,'Atividades Micro'!$G460="Macro",'Atividades Micro'!$K460&lt;&gt;""),'Atividades Micro'!$K460,"")</f>
        <v/>
      </c>
      <c r="CB408" s="21" t="str">
        <f>IF(AND('Atividades Micro'!$B460=CB$2,'Atividades Micro'!$G460="Macro",'Atividades Micro'!$K460&lt;&gt;""),'Atividades Micro'!$K460,"")</f>
        <v/>
      </c>
      <c r="CC408" s="21" t="str">
        <f>IF(AND('Atividades Micro'!$B460=CC$2,'Atividades Micro'!$G460="Macro",'Atividades Micro'!$K460&lt;&gt;""),'Atividades Micro'!$K460,"")</f>
        <v/>
      </c>
      <c r="CD408" s="21" t="str">
        <f>IF(AND('Atividades Micro'!$B460=CD$2,'Atividades Micro'!$G460="Micro",'Atividades Micro'!$K460&lt;&gt;""),'Atividades Micro'!$K460,"")</f>
        <v/>
      </c>
      <c r="CE408" s="21" t="str">
        <f>IF(AND('Atividades Micro'!$B460=CE$2,'Atividades Micro'!$G460="Micro",'Atividades Micro'!$K460&lt;&gt;""),'Atividades Micro'!$K460,"")</f>
        <v/>
      </c>
      <c r="CF408" s="21" t="str">
        <f>IF(AND('Atividades Micro'!$B460=CF$2,'Atividades Micro'!$G460="Micro",'Atividades Micro'!$K460&lt;&gt;""),'Atividades Micro'!$K460,"")</f>
        <v/>
      </c>
      <c r="CG408" s="21" t="str">
        <f>IF(AND('Atividades Micro'!$B460=CG$2,'Atividades Micro'!$G460="Micro",'Atividades Micro'!$K460&lt;&gt;""),'Atividades Micro'!$K460,"")</f>
        <v/>
      </c>
      <c r="CH408" s="21" t="str">
        <f>IF(AND('Atividades Micro'!$B460=CH$2,'Atividades Micro'!$G460="Micro",'Atividades Micro'!$K460&lt;&gt;""),'Atividades Micro'!$K460,"")</f>
        <v/>
      </c>
      <c r="CI408" s="21" t="str">
        <f>IF(AND('Atividades Micro'!$B460=CI$2,'Atividades Micro'!$G460="Micro",'Atividades Micro'!$K460&lt;&gt;""),'Atividades Micro'!$K460,"")</f>
        <v/>
      </c>
      <c r="CJ408" s="21" t="str">
        <f>IF(AND('Atividades Micro'!$B460=CJ$2,'Atividades Micro'!$G460="Micro",'Atividades Micro'!$K460&lt;&gt;""),'Atividades Micro'!$K460,"")</f>
        <v/>
      </c>
      <c r="CK408" s="21" t="str">
        <f>IF(AND('Atividades Micro'!$B460=CK$2,'Atividades Micro'!$G460="Micro",'Atividades Micro'!$K460&lt;&gt;""),'Atividades Micro'!$K460,"")</f>
        <v/>
      </c>
      <c r="CL408" s="21" t="str">
        <f>IF(AND('Atividades Micro'!$B460=CL$2,'Atividades Micro'!$G460="Micro",'Atividades Micro'!$K460&lt;&gt;""),'Atividades Micro'!$K460,"")</f>
        <v/>
      </c>
      <c r="CM408" s="21" t="str">
        <f>IF(AND('Atividades Micro'!$B460=CM$2,'Atividades Micro'!$G460="Micro",'Atividades Micro'!$K460&lt;&gt;""),'Atividades Micro'!$K460,"")</f>
        <v/>
      </c>
      <c r="CN408" s="21" t="str">
        <f>IF(AND('Atividades Micro'!$B460=CN$2,'Atividades Micro'!$G460="Micro",'Atividades Micro'!$K460&lt;&gt;""),'Atividades Micro'!$K460,"")</f>
        <v/>
      </c>
      <c r="CO408" s="21" t="str">
        <f>IF(AND('Atividades Micro'!$B460=CO$2,'Atividades Micro'!$G460="Micro",'Atividades Micro'!$K460&lt;&gt;""),'Atividades Micro'!$K460,"")</f>
        <v/>
      </c>
    </row>
    <row r="409" spans="1:93">
      <c r="A409" s="21" t="str">
        <f>IF(AND('Atividades Micro'!$A461=A$2,'Atividades Micro'!$K461&lt;&gt;""),'Atividades Micro'!$K461,"")</f>
        <v/>
      </c>
      <c r="B409" s="21" t="str">
        <f>IF(AND('Atividades Micro'!$A461=B$2,'Atividades Micro'!$L461&lt;&gt;""),'Atividades Micro'!$L461,"")</f>
        <v/>
      </c>
      <c r="C409" s="21" t="str">
        <f>IF(AND('Atividades Micro'!$A461=C$2,'Atividades Micro'!$K461&lt;&gt;""),'Atividades Micro'!$K461,"")</f>
        <v/>
      </c>
      <c r="D409" s="21" t="str">
        <f>IF(AND('Atividades Micro'!$A461=D$2,'Atividades Micro'!$L461&lt;&gt;""),'Atividades Micro'!$L461,"")</f>
        <v/>
      </c>
      <c r="E409" s="21" t="str">
        <f>IF(AND('Atividades Micro'!$A461=E$2,'Atividades Micro'!$K461&lt;&gt;""),'Atividades Micro'!$K461,"")</f>
        <v/>
      </c>
      <c r="F409" s="21" t="str">
        <f>IF(AND('Atividades Micro'!$A461=F$2,'Atividades Micro'!$L461&lt;&gt;""),'Atividades Micro'!$L461,"")</f>
        <v/>
      </c>
      <c r="G409" s="21" t="str">
        <f>IF(AND('Atividades Micro'!$A461=G$2,'Atividades Micro'!$K461&lt;&gt;""),'Atividades Micro'!$K461,"")</f>
        <v/>
      </c>
      <c r="H409" s="21" t="str">
        <f>IF(AND('Atividades Micro'!$A461=H$2,'Atividades Micro'!$L461&lt;&gt;""),'Atividades Micro'!$L461,"")</f>
        <v/>
      </c>
      <c r="I409" s="21" t="str">
        <f>IF(AND('Atividades Micro'!$A461=I$2,'Atividades Micro'!$K461&lt;&gt;""),'Atividades Micro'!$K461,"")</f>
        <v/>
      </c>
      <c r="J409" s="21" t="str">
        <f>IF(AND('Atividades Micro'!$A461=J$2,'Atividades Micro'!$L461&lt;&gt;""),'Atividades Micro'!$L461,"")</f>
        <v/>
      </c>
      <c r="K409" s="21" t="str">
        <f>IF(AND('Atividades Micro'!$B461=K$2,'Atividades Micro'!$K461&lt;&gt;""),'Atividades Micro'!$K461,"")</f>
        <v/>
      </c>
      <c r="L409" s="21" t="str">
        <f>IF(AND('Atividades Micro'!$B461=L$2,'Atividades Micro'!$L461&lt;&gt;""),'Atividades Micro'!$L461,"")</f>
        <v/>
      </c>
      <c r="M409" s="21" t="str">
        <f>IF(AND('Atividades Micro'!$B461=M$2,'Atividades Micro'!$K461&lt;&gt;""),'Atividades Micro'!$K461,"")</f>
        <v/>
      </c>
      <c r="N409" s="21" t="str">
        <f>IF(AND('Atividades Micro'!$B461=N$2,'Atividades Micro'!$L461&lt;&gt;""),'Atividades Micro'!$L461,"")</f>
        <v/>
      </c>
      <c r="O409" s="21" t="str">
        <f>IF(AND('Atividades Micro'!$A461=O$2,'Atividades Micro'!$K461&lt;&gt;""),'Atividades Micro'!$K461,"")</f>
        <v/>
      </c>
      <c r="P409" s="21" t="str">
        <f>IF(AND('Atividades Micro'!$A461=P$2,'Atividades Micro'!$L461&lt;&gt;""),'Atividades Micro'!$L461,"")</f>
        <v/>
      </c>
      <c r="Q409" s="21" t="str">
        <f>IF(AND('Atividades Micro'!$B461=Q$2,'Atividades Micro'!$K461&lt;&gt;""),'Atividades Micro'!$K461,"")</f>
        <v/>
      </c>
      <c r="R409" s="21" t="str">
        <f>IF(AND('Atividades Micro'!$B461=R$2,'Atividades Micro'!$L461&lt;&gt;""),'Atividades Micro'!$L461,"")</f>
        <v/>
      </c>
      <c r="S409" s="21" t="str">
        <f>IF(AND('Atividades Micro'!$A461=S$2,'Atividades Micro'!$K461&lt;&gt;""),'Atividades Micro'!$K461,"")</f>
        <v/>
      </c>
      <c r="T409" s="21" t="str">
        <f>IF(AND('Atividades Micro'!$A461=T$2,'Atividades Micro'!$L461&lt;&gt;""),'Atividades Micro'!$L461,"")</f>
        <v/>
      </c>
      <c r="U409" s="21" t="str">
        <f>IF(AND('Atividades Micro'!$B461=U$2,'Atividades Micro'!$K461&lt;&gt;""),'Atividades Micro'!$K461,"")</f>
        <v/>
      </c>
      <c r="V409" s="21" t="str">
        <f>IF(AND('Atividades Micro'!$B461=V$2,'Atividades Micro'!$L461&lt;&gt;""),'Atividades Micro'!$L461,"")</f>
        <v/>
      </c>
      <c r="W409" s="21" t="str">
        <f>IF(AND('Atividades Micro'!$B461=W$2,'Atividades Micro'!$K461&lt;&gt;""),'Atividades Micro'!$K461,"")</f>
        <v/>
      </c>
      <c r="X409" s="21" t="str">
        <f>IF(AND('Atividades Micro'!$B461=X$2,'Atividades Micro'!$L461&lt;&gt;""),'Atividades Micro'!$L461,"")</f>
        <v/>
      </c>
      <c r="Y409" s="21" t="str">
        <f>IF(AND('Atividades Micro'!$A461=Y$2,'Atividades Micro'!$K461&lt;&gt;""),'Atividades Micro'!$K461,"")</f>
        <v/>
      </c>
      <c r="Z409" s="21" t="str">
        <f>IF(AND('Atividades Micro'!$A461=Z$2,'Atividades Micro'!$L461&lt;&gt;""),'Atividades Micro'!$L461,"")</f>
        <v/>
      </c>
      <c r="AA409" s="21" t="str">
        <f>IF(AND('Atividades Micro'!$B461=AA$2,'Atividades Micro'!$K461&lt;&gt;""),'Atividades Micro'!$K461,"")</f>
        <v/>
      </c>
      <c r="AB409" s="21" t="str">
        <f>IF(AND('Atividades Micro'!$B461=AB$2,'Atividades Micro'!$L461&lt;&gt;""),'Atividades Micro'!$L461,"")</f>
        <v/>
      </c>
      <c r="AC409" s="21" t="str">
        <f>IF(AND('Atividades Micro'!$B461=AC$2,'Atividades Micro'!$K461&lt;&gt;""),'Atividades Micro'!$K461,"")</f>
        <v/>
      </c>
      <c r="AD409" s="21" t="str">
        <f>IF(AND('Atividades Micro'!$B461=AD$2,'Atividades Micro'!$L461&lt;&gt;""),'Atividades Micro'!$L461,"")</f>
        <v/>
      </c>
      <c r="AE409" s="21" t="str">
        <f>IF(AND('Atividades Micro'!$A461=AE$2,'Atividades Micro'!$K461&lt;&gt;""),'Atividades Micro'!$K461,"")</f>
        <v/>
      </c>
      <c r="AF409" s="21" t="str">
        <f>IF(AND('Atividades Micro'!$A461=AF$2,'Atividades Micro'!$L461&lt;&gt;""),'Atividades Micro'!$L461,"")</f>
        <v/>
      </c>
      <c r="AG409" s="21" t="str">
        <f>IF(AND('Atividades Micro'!$B461=AG$2,'Atividades Micro'!$K461&lt;&gt;""),'Atividades Micro'!$K461,"")</f>
        <v/>
      </c>
      <c r="AH409" s="21" t="str">
        <f>IF(AND('Atividades Micro'!$B461=AH$2,'Atividades Micro'!$L461&lt;&gt;""),'Atividades Micro'!$L461,"")</f>
        <v/>
      </c>
      <c r="AI409" s="21" t="str">
        <f>IF(AND('Atividades Micro'!$B461=AI$2,'Atividades Micro'!$K461&lt;&gt;""),'Atividades Micro'!$K461,"")</f>
        <v/>
      </c>
      <c r="AJ409" s="21" t="str">
        <f>IF(AND('Atividades Micro'!$B461=AJ$2,'Atividades Micro'!$L461&lt;&gt;""),'Atividades Micro'!$L461,"")</f>
        <v/>
      </c>
      <c r="AK409" s="21" t="str">
        <f>IF(AND('Atividades Micro'!$A461=AK$2,'Atividades Micro'!$K461&lt;&gt;""),'Atividades Micro'!$K461,"")</f>
        <v/>
      </c>
      <c r="AL409" s="21" t="str">
        <f>IF(AND('Atividades Micro'!$A461=AL$2,'Atividades Micro'!$L461&lt;&gt;""),'Atividades Micro'!$L461,"")</f>
        <v/>
      </c>
      <c r="AM409" s="21" t="str">
        <f>IF(AND('Atividades Micro'!$B461=AM$2,'Atividades Micro'!$K461&lt;&gt;""),'Atividades Micro'!$K461,"")</f>
        <v/>
      </c>
      <c r="AN409" s="21" t="str">
        <f>IF(AND('Atividades Micro'!$B461=AN$2,'Atividades Micro'!$L461&lt;&gt;""),'Atividades Micro'!$L461,"")</f>
        <v/>
      </c>
      <c r="AO409" s="21" t="str">
        <f>IF(AND('Atividades Micro'!$B461=AO$2,'Atividades Micro'!$K461&lt;&gt;""),'Atividades Micro'!$K461,"")</f>
        <v/>
      </c>
      <c r="AP409" s="21" t="str">
        <f>IF(AND('Atividades Micro'!$B461=AP$2,'Atividades Micro'!$L461&lt;&gt;""),'Atividades Micro'!$L461,"")</f>
        <v/>
      </c>
      <c r="AQ409" s="21" t="str">
        <f>IF(AND('Atividades Micro'!$A461=AQ$2,'Atividades Micro'!$K461&lt;&gt;""),'Atividades Micro'!$K461,"")</f>
        <v/>
      </c>
      <c r="AR409" s="21" t="str">
        <f>IF(AND('Atividades Micro'!$A461=AR$2,'Atividades Micro'!$L461&lt;&gt;""),'Atividades Micro'!$L461,"")</f>
        <v/>
      </c>
      <c r="AS409" s="21" t="str">
        <f>IF(AND('Atividades Micro'!$B461=AS$2,'Atividades Micro'!$K461&lt;&gt;""),'Atividades Micro'!$K461,"")</f>
        <v/>
      </c>
      <c r="AT409" s="21" t="str">
        <f>IF(AND('Atividades Micro'!$B461=AT$2,'Atividades Micro'!$L461&lt;&gt;""),'Atividades Micro'!$L461,"")</f>
        <v/>
      </c>
      <c r="AU409" s="21" t="str">
        <f>IF(AND('Atividades Micro'!$A461=AU$2,'Atividades Micro'!$K461&lt;&gt;""),'Atividades Micro'!$K461,"")</f>
        <v/>
      </c>
      <c r="AV409" s="21" t="str">
        <f>IF(AND('Atividades Micro'!$A461=AV$2,'Atividades Micro'!$L461&lt;&gt;""),'Atividades Micro'!$L461,"")</f>
        <v/>
      </c>
      <c r="AW409" s="21" t="str">
        <f>IF(AND('Atividades Micro'!$B461=AW$2,'Atividades Micro'!$K461&lt;&gt;""),'Atividades Micro'!$K461,"")</f>
        <v/>
      </c>
      <c r="AX409" s="21" t="str">
        <f>IF(AND('Atividades Micro'!$B461=AX$2,'Atividades Micro'!$L461&lt;&gt;""),'Atividades Micro'!$L461,"")</f>
        <v/>
      </c>
      <c r="AY409" s="21" t="str">
        <f>IF(AND('Atividades Micro'!$A461=AY$2,'Atividades Micro'!$K461&lt;&gt;""),'Atividades Micro'!$K461,"")</f>
        <v/>
      </c>
      <c r="AZ409" s="21" t="str">
        <f>IF(AND('Atividades Micro'!$A461=AZ$2,'Atividades Micro'!$L461&lt;&gt;""),'Atividades Micro'!$L461,"")</f>
        <v/>
      </c>
      <c r="BA409" s="21" t="str">
        <f>IF(AND('Atividades Micro'!$B461=BA$2,'Atividades Micro'!$K461&lt;&gt;""),'Atividades Micro'!$K461,"")</f>
        <v/>
      </c>
      <c r="BB409" s="21" t="str">
        <f>IF(AND('Atividades Micro'!$B461=BB$2,'Atividades Micro'!$L461&lt;&gt;""),'Atividades Micro'!$L461,"")</f>
        <v/>
      </c>
      <c r="BC409" s="21" t="str">
        <f>IF(AND('Atividades Micro'!$B461=BC$2,'Atividades Micro'!$G461="Macro",'Atividades Micro'!$K461&lt;&gt;""),'Atividades Micro'!$K461,"")</f>
        <v/>
      </c>
      <c r="BD409" s="21" t="str">
        <f>IF(AND('Atividades Micro'!$B461=BD$2,'Atividades Micro'!$G461="Macro",'Atividades Micro'!$K461&lt;&gt;""),'Atividades Micro'!$K461,"")</f>
        <v/>
      </c>
      <c r="BE409" s="21" t="str">
        <f>IF(AND('Atividades Micro'!$B461=BE$2,'Atividades Micro'!$G461="Macro",'Atividades Micro'!$K461&lt;&gt;""),'Atividades Micro'!$K461,"")</f>
        <v/>
      </c>
      <c r="BF409" s="21" t="str">
        <f>IF(AND('Atividades Micro'!$B461=BF$2,'Atividades Micro'!$G461="Macro",'Atividades Micro'!$K461&lt;&gt;""),'Atividades Micro'!$K461,"")</f>
        <v/>
      </c>
      <c r="BG409" s="21" t="str">
        <f>IF(AND('Atividades Micro'!$B461=BG$2,'Atividades Micro'!$G461="Macro",'Atividades Micro'!$K461&lt;&gt;""),'Atividades Micro'!$K461,"")</f>
        <v/>
      </c>
      <c r="BH409" s="21" t="str">
        <f>IF(AND('Atividades Micro'!$B461=BH$2,'Atividades Micro'!$G461="Macro",'Atividades Micro'!$K461&lt;&gt;""),'Atividades Micro'!$K461,"")</f>
        <v/>
      </c>
      <c r="BI409" s="21" t="str">
        <f>IF(AND('Atividades Micro'!$B461=BI$2,'Atividades Micro'!$G461="Macro",'Atividades Micro'!$K461&lt;&gt;""),'Atividades Micro'!$K461,"")</f>
        <v/>
      </c>
      <c r="BJ409" s="21" t="str">
        <f>IF(AND('Atividades Micro'!$B461=BJ$2,'Atividades Micro'!$G461="Macro",'Atividades Micro'!$K461&lt;&gt;""),'Atividades Micro'!$K461,"")</f>
        <v/>
      </c>
      <c r="BK409" s="21" t="str">
        <f>IF(AND('Atividades Micro'!$B461=BK$2,'Atividades Micro'!$G461="Macro",'Atividades Micro'!$K461&lt;&gt;""),'Atividades Micro'!$K461,"")</f>
        <v/>
      </c>
      <c r="BL409" s="21" t="str">
        <f>IF(AND('Atividades Micro'!$B461=BL$2,'Atividades Micro'!$G461="Macro",'Atividades Micro'!$K461&lt;&gt;""),'Atividades Micro'!$K461,"")</f>
        <v/>
      </c>
      <c r="BM409" s="21" t="str">
        <f>IF(AND('Atividades Micro'!$B461=BM$2,'Atividades Micro'!$G461="Macro",'Atividades Micro'!$K461&lt;&gt;""),'Atividades Micro'!$K461,"")</f>
        <v/>
      </c>
      <c r="BN409" s="21" t="str">
        <f>IF(AND('Atividades Micro'!$B461=BN$2,'Atividades Micro'!$G461="Macro",'Atividades Micro'!$K461&lt;&gt;""),'Atividades Micro'!$K461,"")</f>
        <v/>
      </c>
      <c r="BO409" s="21" t="str">
        <f>IF(AND('Atividades Micro'!$B461=BO$2,'Atividades Micro'!$G461="Macro",'Atividades Micro'!$K461&lt;&gt;""),'Atividades Micro'!$K461,"")</f>
        <v/>
      </c>
      <c r="BP409" s="21" t="str">
        <f>IF(AND('Atividades Micro'!$B461=BP$2,'Atividades Micro'!$G461="Macro",'Atividades Micro'!$K461&lt;&gt;""),'Atividades Micro'!$K461,"")</f>
        <v/>
      </c>
      <c r="BQ409" s="21" t="str">
        <f>IF(AND('Atividades Micro'!$B461=BQ$2,'Atividades Micro'!$G461="Macro",'Atividades Micro'!$K461&lt;&gt;""),'Atividades Micro'!$K461,"")</f>
        <v/>
      </c>
      <c r="BR409" s="21" t="str">
        <f>IF(AND('Atividades Micro'!$B461=BR$2,'Atividades Micro'!$G461="Macro",'Atividades Micro'!$K461&lt;&gt;""),'Atividades Micro'!$K461,"")</f>
        <v/>
      </c>
      <c r="BS409" s="21" t="str">
        <f>IF(AND('Atividades Micro'!$B461=BS$2,'Atividades Micro'!$G461="Macro",'Atividades Micro'!$K461&lt;&gt;""),'Atividades Micro'!$K461,"")</f>
        <v/>
      </c>
      <c r="BT409" s="21" t="str">
        <f>IF(AND('Atividades Micro'!$B461=BT$2,'Atividades Micro'!$G461="Macro",'Atividades Micro'!$K461&lt;&gt;""),'Atividades Micro'!$K461,"")</f>
        <v/>
      </c>
      <c r="BU409" s="21" t="str">
        <f>IF(AND('Atividades Micro'!$B461=BU$2,'Atividades Micro'!$G461="Macro",'Atividades Micro'!$K461&lt;&gt;""),'Atividades Micro'!$K461,"")</f>
        <v/>
      </c>
      <c r="BV409" s="21" t="str">
        <f>IF(AND('Atividades Micro'!$B461=BV$2,'Atividades Micro'!$G461="Macro",'Atividades Micro'!$K461&lt;&gt;""),'Atividades Micro'!$K461,"")</f>
        <v/>
      </c>
      <c r="BW409" s="21" t="str">
        <f>IF(AND('Atividades Micro'!$B461=BW$2,'Atividades Micro'!$G461="Macro",'Atividades Micro'!$K461&lt;&gt;""),'Atividades Micro'!$K461,"")</f>
        <v/>
      </c>
      <c r="BX409" s="21" t="str">
        <f>IF(AND('Atividades Micro'!$B461=BX$2,'Atividades Micro'!$G461="Macro",'Atividades Micro'!$K461&lt;&gt;""),'Atividades Micro'!$K461,"")</f>
        <v/>
      </c>
      <c r="BY409" s="21" t="str">
        <f>IF(AND('Atividades Micro'!$B461=BY$2,'Atividades Micro'!$G461="Macro",'Atividades Micro'!$K461&lt;&gt;""),'Atividades Micro'!$K461,"")</f>
        <v/>
      </c>
      <c r="BZ409" s="21" t="str">
        <f>IF(AND('Atividades Micro'!$B461=BZ$2,'Atividades Micro'!$G461="Macro",'Atividades Micro'!$K461&lt;&gt;""),'Atividades Micro'!$K461,"")</f>
        <v/>
      </c>
      <c r="CA409" s="21" t="str">
        <f>IF(AND('Atividades Micro'!$B461=CA$2,'Atividades Micro'!$G461="Macro",'Atividades Micro'!$K461&lt;&gt;""),'Atividades Micro'!$K461,"")</f>
        <v/>
      </c>
      <c r="CB409" s="21" t="str">
        <f>IF(AND('Atividades Micro'!$B461=CB$2,'Atividades Micro'!$G461="Macro",'Atividades Micro'!$K461&lt;&gt;""),'Atividades Micro'!$K461,"")</f>
        <v/>
      </c>
      <c r="CC409" s="21" t="str">
        <f>IF(AND('Atividades Micro'!$B461=CC$2,'Atividades Micro'!$G461="Macro",'Atividades Micro'!$K461&lt;&gt;""),'Atividades Micro'!$K461,"")</f>
        <v/>
      </c>
      <c r="CD409" s="21" t="str">
        <f>IF(AND('Atividades Micro'!$B461=CD$2,'Atividades Micro'!$G461="Micro",'Atividades Micro'!$K461&lt;&gt;""),'Atividades Micro'!$K461,"")</f>
        <v/>
      </c>
      <c r="CE409" s="21" t="str">
        <f>IF(AND('Atividades Micro'!$B461=CE$2,'Atividades Micro'!$G461="Micro",'Atividades Micro'!$K461&lt;&gt;""),'Atividades Micro'!$K461,"")</f>
        <v/>
      </c>
      <c r="CF409" s="21" t="str">
        <f>IF(AND('Atividades Micro'!$B461=CF$2,'Atividades Micro'!$G461="Micro",'Atividades Micro'!$K461&lt;&gt;""),'Atividades Micro'!$K461,"")</f>
        <v/>
      </c>
      <c r="CG409" s="21" t="str">
        <f>IF(AND('Atividades Micro'!$B461=CG$2,'Atividades Micro'!$G461="Micro",'Atividades Micro'!$K461&lt;&gt;""),'Atividades Micro'!$K461,"")</f>
        <v/>
      </c>
      <c r="CH409" s="21" t="str">
        <f>IF(AND('Atividades Micro'!$B461=CH$2,'Atividades Micro'!$G461="Micro",'Atividades Micro'!$K461&lt;&gt;""),'Atividades Micro'!$K461,"")</f>
        <v/>
      </c>
      <c r="CI409" s="21" t="str">
        <f>IF(AND('Atividades Micro'!$B461=CI$2,'Atividades Micro'!$G461="Micro",'Atividades Micro'!$K461&lt;&gt;""),'Atividades Micro'!$K461,"")</f>
        <v/>
      </c>
      <c r="CJ409" s="21" t="str">
        <f>IF(AND('Atividades Micro'!$B461=CJ$2,'Atividades Micro'!$G461="Micro",'Atividades Micro'!$K461&lt;&gt;""),'Atividades Micro'!$K461,"")</f>
        <v/>
      </c>
      <c r="CK409" s="21" t="str">
        <f>IF(AND('Atividades Micro'!$B461=CK$2,'Atividades Micro'!$G461="Micro",'Atividades Micro'!$K461&lt;&gt;""),'Atividades Micro'!$K461,"")</f>
        <v/>
      </c>
      <c r="CL409" s="21" t="str">
        <f>IF(AND('Atividades Micro'!$B461=CL$2,'Atividades Micro'!$G461="Micro",'Atividades Micro'!$K461&lt;&gt;""),'Atividades Micro'!$K461,"")</f>
        <v/>
      </c>
      <c r="CM409" s="21" t="str">
        <f>IF(AND('Atividades Micro'!$B461=CM$2,'Atividades Micro'!$G461="Micro",'Atividades Micro'!$K461&lt;&gt;""),'Atividades Micro'!$K461,"")</f>
        <v/>
      </c>
      <c r="CN409" s="21" t="str">
        <f>IF(AND('Atividades Micro'!$B461=CN$2,'Atividades Micro'!$G461="Micro",'Atividades Micro'!$K461&lt;&gt;""),'Atividades Micro'!$K461,"")</f>
        <v/>
      </c>
      <c r="CO409" s="21" t="str">
        <f>IF(AND('Atividades Micro'!$B461=CO$2,'Atividades Micro'!$G461="Micro",'Atividades Micro'!$K461&lt;&gt;""),'Atividades Micro'!$K461,"")</f>
        <v/>
      </c>
    </row>
    <row r="410" spans="1:93">
      <c r="A410" s="21" t="str">
        <f>IF(AND('Atividades Micro'!$A462=A$2,'Atividades Micro'!$K462&lt;&gt;""),'Atividades Micro'!$K462,"")</f>
        <v/>
      </c>
      <c r="B410" s="21" t="str">
        <f>IF(AND('Atividades Micro'!$A462=B$2,'Atividades Micro'!$L462&lt;&gt;""),'Atividades Micro'!$L462,"")</f>
        <v/>
      </c>
      <c r="C410" s="21" t="str">
        <f>IF(AND('Atividades Micro'!$A462=C$2,'Atividades Micro'!$K462&lt;&gt;""),'Atividades Micro'!$K462,"")</f>
        <v/>
      </c>
      <c r="D410" s="21" t="str">
        <f>IF(AND('Atividades Micro'!$A462=D$2,'Atividades Micro'!$L462&lt;&gt;""),'Atividades Micro'!$L462,"")</f>
        <v/>
      </c>
      <c r="E410" s="21" t="str">
        <f>IF(AND('Atividades Micro'!$A462=E$2,'Atividades Micro'!$K462&lt;&gt;""),'Atividades Micro'!$K462,"")</f>
        <v/>
      </c>
      <c r="F410" s="21" t="str">
        <f>IF(AND('Atividades Micro'!$A462=F$2,'Atividades Micro'!$L462&lt;&gt;""),'Atividades Micro'!$L462,"")</f>
        <v/>
      </c>
      <c r="G410" s="21" t="str">
        <f>IF(AND('Atividades Micro'!$A462=G$2,'Atividades Micro'!$K462&lt;&gt;""),'Atividades Micro'!$K462,"")</f>
        <v/>
      </c>
      <c r="H410" s="21" t="str">
        <f>IF(AND('Atividades Micro'!$A462=H$2,'Atividades Micro'!$L462&lt;&gt;""),'Atividades Micro'!$L462,"")</f>
        <v/>
      </c>
      <c r="I410" s="21" t="str">
        <f>IF(AND('Atividades Micro'!$A462=I$2,'Atividades Micro'!$K462&lt;&gt;""),'Atividades Micro'!$K462,"")</f>
        <v/>
      </c>
      <c r="J410" s="21" t="str">
        <f>IF(AND('Atividades Micro'!$A462=J$2,'Atividades Micro'!$L462&lt;&gt;""),'Atividades Micro'!$L462,"")</f>
        <v/>
      </c>
      <c r="K410" s="21" t="str">
        <f>IF(AND('Atividades Micro'!$B462=K$2,'Atividades Micro'!$K462&lt;&gt;""),'Atividades Micro'!$K462,"")</f>
        <v/>
      </c>
      <c r="L410" s="21" t="str">
        <f>IF(AND('Atividades Micro'!$B462=L$2,'Atividades Micro'!$L462&lt;&gt;""),'Atividades Micro'!$L462,"")</f>
        <v/>
      </c>
      <c r="M410" s="21" t="str">
        <f>IF(AND('Atividades Micro'!$B462=M$2,'Atividades Micro'!$K462&lt;&gt;""),'Atividades Micro'!$K462,"")</f>
        <v/>
      </c>
      <c r="N410" s="21" t="str">
        <f>IF(AND('Atividades Micro'!$B462=N$2,'Atividades Micro'!$L462&lt;&gt;""),'Atividades Micro'!$L462,"")</f>
        <v/>
      </c>
      <c r="O410" s="21" t="str">
        <f>IF(AND('Atividades Micro'!$A462=O$2,'Atividades Micro'!$K462&lt;&gt;""),'Atividades Micro'!$K462,"")</f>
        <v/>
      </c>
      <c r="P410" s="21" t="str">
        <f>IF(AND('Atividades Micro'!$A462=P$2,'Atividades Micro'!$L462&lt;&gt;""),'Atividades Micro'!$L462,"")</f>
        <v/>
      </c>
      <c r="Q410" s="21" t="str">
        <f>IF(AND('Atividades Micro'!$B462=Q$2,'Atividades Micro'!$K462&lt;&gt;""),'Atividades Micro'!$K462,"")</f>
        <v/>
      </c>
      <c r="R410" s="21" t="str">
        <f>IF(AND('Atividades Micro'!$B462=R$2,'Atividades Micro'!$L462&lt;&gt;""),'Atividades Micro'!$L462,"")</f>
        <v/>
      </c>
      <c r="S410" s="21" t="str">
        <f>IF(AND('Atividades Micro'!$A462=S$2,'Atividades Micro'!$K462&lt;&gt;""),'Atividades Micro'!$K462,"")</f>
        <v/>
      </c>
      <c r="T410" s="21" t="str">
        <f>IF(AND('Atividades Micro'!$A462=T$2,'Atividades Micro'!$L462&lt;&gt;""),'Atividades Micro'!$L462,"")</f>
        <v/>
      </c>
      <c r="U410" s="21" t="str">
        <f>IF(AND('Atividades Micro'!$B462=U$2,'Atividades Micro'!$K462&lt;&gt;""),'Atividades Micro'!$K462,"")</f>
        <v/>
      </c>
      <c r="V410" s="21" t="str">
        <f>IF(AND('Atividades Micro'!$B462=V$2,'Atividades Micro'!$L462&lt;&gt;""),'Atividades Micro'!$L462,"")</f>
        <v/>
      </c>
      <c r="W410" s="21" t="str">
        <f>IF(AND('Atividades Micro'!$B462=W$2,'Atividades Micro'!$K462&lt;&gt;""),'Atividades Micro'!$K462,"")</f>
        <v/>
      </c>
      <c r="X410" s="21" t="str">
        <f>IF(AND('Atividades Micro'!$B462=X$2,'Atividades Micro'!$L462&lt;&gt;""),'Atividades Micro'!$L462,"")</f>
        <v/>
      </c>
      <c r="Y410" s="21" t="str">
        <f>IF(AND('Atividades Micro'!$A462=Y$2,'Atividades Micro'!$K462&lt;&gt;""),'Atividades Micro'!$K462,"")</f>
        <v/>
      </c>
      <c r="Z410" s="21" t="str">
        <f>IF(AND('Atividades Micro'!$A462=Z$2,'Atividades Micro'!$L462&lt;&gt;""),'Atividades Micro'!$L462,"")</f>
        <v/>
      </c>
      <c r="AA410" s="21" t="str">
        <f>IF(AND('Atividades Micro'!$B462=AA$2,'Atividades Micro'!$K462&lt;&gt;""),'Atividades Micro'!$K462,"")</f>
        <v/>
      </c>
      <c r="AB410" s="21" t="str">
        <f>IF(AND('Atividades Micro'!$B462=AB$2,'Atividades Micro'!$L462&lt;&gt;""),'Atividades Micro'!$L462,"")</f>
        <v/>
      </c>
      <c r="AC410" s="21" t="str">
        <f>IF(AND('Atividades Micro'!$B462=AC$2,'Atividades Micro'!$K462&lt;&gt;""),'Atividades Micro'!$K462,"")</f>
        <v/>
      </c>
      <c r="AD410" s="21" t="str">
        <f>IF(AND('Atividades Micro'!$B462=AD$2,'Atividades Micro'!$L462&lt;&gt;""),'Atividades Micro'!$L462,"")</f>
        <v/>
      </c>
      <c r="AE410" s="21" t="str">
        <f>IF(AND('Atividades Micro'!$A462=AE$2,'Atividades Micro'!$K462&lt;&gt;""),'Atividades Micro'!$K462,"")</f>
        <v/>
      </c>
      <c r="AF410" s="21" t="str">
        <f>IF(AND('Atividades Micro'!$A462=AF$2,'Atividades Micro'!$L462&lt;&gt;""),'Atividades Micro'!$L462,"")</f>
        <v/>
      </c>
      <c r="AG410" s="21" t="str">
        <f>IF(AND('Atividades Micro'!$B462=AG$2,'Atividades Micro'!$K462&lt;&gt;""),'Atividades Micro'!$K462,"")</f>
        <v/>
      </c>
      <c r="AH410" s="21" t="str">
        <f>IF(AND('Atividades Micro'!$B462=AH$2,'Atividades Micro'!$L462&lt;&gt;""),'Atividades Micro'!$L462,"")</f>
        <v/>
      </c>
      <c r="AI410" s="21" t="str">
        <f>IF(AND('Atividades Micro'!$B462=AI$2,'Atividades Micro'!$K462&lt;&gt;""),'Atividades Micro'!$K462,"")</f>
        <v/>
      </c>
      <c r="AJ410" s="21" t="str">
        <f>IF(AND('Atividades Micro'!$B462=AJ$2,'Atividades Micro'!$L462&lt;&gt;""),'Atividades Micro'!$L462,"")</f>
        <v/>
      </c>
      <c r="AK410" s="21" t="str">
        <f>IF(AND('Atividades Micro'!$A462=AK$2,'Atividades Micro'!$K462&lt;&gt;""),'Atividades Micro'!$K462,"")</f>
        <v/>
      </c>
      <c r="AL410" s="21" t="str">
        <f>IF(AND('Atividades Micro'!$A462=AL$2,'Atividades Micro'!$L462&lt;&gt;""),'Atividades Micro'!$L462,"")</f>
        <v/>
      </c>
      <c r="AM410" s="21" t="str">
        <f>IF(AND('Atividades Micro'!$B462=AM$2,'Atividades Micro'!$K462&lt;&gt;""),'Atividades Micro'!$K462,"")</f>
        <v/>
      </c>
      <c r="AN410" s="21" t="str">
        <f>IF(AND('Atividades Micro'!$B462=AN$2,'Atividades Micro'!$L462&lt;&gt;""),'Atividades Micro'!$L462,"")</f>
        <v/>
      </c>
      <c r="AO410" s="21" t="str">
        <f>IF(AND('Atividades Micro'!$B462=AO$2,'Atividades Micro'!$K462&lt;&gt;""),'Atividades Micro'!$K462,"")</f>
        <v/>
      </c>
      <c r="AP410" s="21" t="str">
        <f>IF(AND('Atividades Micro'!$B462=AP$2,'Atividades Micro'!$L462&lt;&gt;""),'Atividades Micro'!$L462,"")</f>
        <v/>
      </c>
      <c r="AQ410" s="21" t="str">
        <f>IF(AND('Atividades Micro'!$A462=AQ$2,'Atividades Micro'!$K462&lt;&gt;""),'Atividades Micro'!$K462,"")</f>
        <v/>
      </c>
      <c r="AR410" s="21" t="str">
        <f>IF(AND('Atividades Micro'!$A462=AR$2,'Atividades Micro'!$L462&lt;&gt;""),'Atividades Micro'!$L462,"")</f>
        <v/>
      </c>
      <c r="AS410" s="21" t="str">
        <f>IF(AND('Atividades Micro'!$B462=AS$2,'Atividades Micro'!$K462&lt;&gt;""),'Atividades Micro'!$K462,"")</f>
        <v/>
      </c>
      <c r="AT410" s="21" t="str">
        <f>IF(AND('Atividades Micro'!$B462=AT$2,'Atividades Micro'!$L462&lt;&gt;""),'Atividades Micro'!$L462,"")</f>
        <v/>
      </c>
      <c r="AU410" s="21" t="str">
        <f>IF(AND('Atividades Micro'!$A462=AU$2,'Atividades Micro'!$K462&lt;&gt;""),'Atividades Micro'!$K462,"")</f>
        <v/>
      </c>
      <c r="AV410" s="21" t="str">
        <f>IF(AND('Atividades Micro'!$A462=AV$2,'Atividades Micro'!$L462&lt;&gt;""),'Atividades Micro'!$L462,"")</f>
        <v/>
      </c>
      <c r="AW410" s="21" t="str">
        <f>IF(AND('Atividades Micro'!$B462=AW$2,'Atividades Micro'!$K462&lt;&gt;""),'Atividades Micro'!$K462,"")</f>
        <v/>
      </c>
      <c r="AX410" s="21" t="str">
        <f>IF(AND('Atividades Micro'!$B462=AX$2,'Atividades Micro'!$L462&lt;&gt;""),'Atividades Micro'!$L462,"")</f>
        <v/>
      </c>
      <c r="AY410" s="21" t="str">
        <f>IF(AND('Atividades Micro'!$A462=AY$2,'Atividades Micro'!$K462&lt;&gt;""),'Atividades Micro'!$K462,"")</f>
        <v/>
      </c>
      <c r="AZ410" s="21" t="str">
        <f>IF(AND('Atividades Micro'!$A462=AZ$2,'Atividades Micro'!$L462&lt;&gt;""),'Atividades Micro'!$L462,"")</f>
        <v/>
      </c>
      <c r="BA410" s="21" t="str">
        <f>IF(AND('Atividades Micro'!$B462=BA$2,'Atividades Micro'!$K462&lt;&gt;""),'Atividades Micro'!$K462,"")</f>
        <v/>
      </c>
      <c r="BB410" s="21" t="str">
        <f>IF(AND('Atividades Micro'!$B462=BB$2,'Atividades Micro'!$L462&lt;&gt;""),'Atividades Micro'!$L462,"")</f>
        <v/>
      </c>
      <c r="BC410" s="21" t="str">
        <f>IF(AND('Atividades Micro'!$B462=BC$2,'Atividades Micro'!$G462="Macro",'Atividades Micro'!$K462&lt;&gt;""),'Atividades Micro'!$K462,"")</f>
        <v/>
      </c>
      <c r="BD410" s="21" t="str">
        <f>IF(AND('Atividades Micro'!$B462=BD$2,'Atividades Micro'!$G462="Macro",'Atividades Micro'!$K462&lt;&gt;""),'Atividades Micro'!$K462,"")</f>
        <v/>
      </c>
      <c r="BE410" s="21" t="str">
        <f>IF(AND('Atividades Micro'!$B462=BE$2,'Atividades Micro'!$G462="Macro",'Atividades Micro'!$K462&lt;&gt;""),'Atividades Micro'!$K462,"")</f>
        <v/>
      </c>
      <c r="BF410" s="21" t="str">
        <f>IF(AND('Atividades Micro'!$B462=BF$2,'Atividades Micro'!$G462="Macro",'Atividades Micro'!$K462&lt;&gt;""),'Atividades Micro'!$K462,"")</f>
        <v/>
      </c>
      <c r="BG410" s="21" t="str">
        <f>IF(AND('Atividades Micro'!$B462=BG$2,'Atividades Micro'!$G462="Macro",'Atividades Micro'!$K462&lt;&gt;""),'Atividades Micro'!$K462,"")</f>
        <v/>
      </c>
      <c r="BH410" s="21" t="str">
        <f>IF(AND('Atividades Micro'!$B462=BH$2,'Atividades Micro'!$G462="Macro",'Atividades Micro'!$K462&lt;&gt;""),'Atividades Micro'!$K462,"")</f>
        <v/>
      </c>
      <c r="BI410" s="21" t="str">
        <f>IF(AND('Atividades Micro'!$B462=BI$2,'Atividades Micro'!$G462="Macro",'Atividades Micro'!$K462&lt;&gt;""),'Atividades Micro'!$K462,"")</f>
        <v/>
      </c>
      <c r="BJ410" s="21" t="str">
        <f>IF(AND('Atividades Micro'!$B462=BJ$2,'Atividades Micro'!$G462="Macro",'Atividades Micro'!$K462&lt;&gt;""),'Atividades Micro'!$K462,"")</f>
        <v/>
      </c>
      <c r="BK410" s="21" t="str">
        <f>IF(AND('Atividades Micro'!$B462=BK$2,'Atividades Micro'!$G462="Macro",'Atividades Micro'!$K462&lt;&gt;""),'Atividades Micro'!$K462,"")</f>
        <v/>
      </c>
      <c r="BL410" s="21" t="str">
        <f>IF(AND('Atividades Micro'!$B462=BL$2,'Atividades Micro'!$G462="Macro",'Atividades Micro'!$K462&lt;&gt;""),'Atividades Micro'!$K462,"")</f>
        <v/>
      </c>
      <c r="BM410" s="21" t="str">
        <f>IF(AND('Atividades Micro'!$B462=BM$2,'Atividades Micro'!$G462="Macro",'Atividades Micro'!$K462&lt;&gt;""),'Atividades Micro'!$K462,"")</f>
        <v/>
      </c>
      <c r="BN410" s="21" t="str">
        <f>IF(AND('Atividades Micro'!$B462=BN$2,'Atividades Micro'!$G462="Macro",'Atividades Micro'!$K462&lt;&gt;""),'Atividades Micro'!$K462,"")</f>
        <v/>
      </c>
      <c r="BO410" s="21" t="str">
        <f>IF(AND('Atividades Micro'!$B462=BO$2,'Atividades Micro'!$G462="Macro",'Atividades Micro'!$K462&lt;&gt;""),'Atividades Micro'!$K462,"")</f>
        <v/>
      </c>
      <c r="BP410" s="21" t="str">
        <f>IF(AND('Atividades Micro'!$B462=BP$2,'Atividades Micro'!$G462="Macro",'Atividades Micro'!$K462&lt;&gt;""),'Atividades Micro'!$K462,"")</f>
        <v/>
      </c>
      <c r="BQ410" s="21" t="str">
        <f>IF(AND('Atividades Micro'!$B462=BQ$2,'Atividades Micro'!$G462="Macro",'Atividades Micro'!$K462&lt;&gt;""),'Atividades Micro'!$K462,"")</f>
        <v/>
      </c>
      <c r="BR410" s="21" t="str">
        <f>IF(AND('Atividades Micro'!$B462=BR$2,'Atividades Micro'!$G462="Macro",'Atividades Micro'!$K462&lt;&gt;""),'Atividades Micro'!$K462,"")</f>
        <v/>
      </c>
      <c r="BS410" s="21" t="str">
        <f>IF(AND('Atividades Micro'!$B462=BS$2,'Atividades Micro'!$G462="Macro",'Atividades Micro'!$K462&lt;&gt;""),'Atividades Micro'!$K462,"")</f>
        <v/>
      </c>
      <c r="BT410" s="21" t="str">
        <f>IF(AND('Atividades Micro'!$B462=BT$2,'Atividades Micro'!$G462="Macro",'Atividades Micro'!$K462&lt;&gt;""),'Atividades Micro'!$K462,"")</f>
        <v/>
      </c>
      <c r="BU410" s="21" t="str">
        <f>IF(AND('Atividades Micro'!$B462=BU$2,'Atividades Micro'!$G462="Macro",'Atividades Micro'!$K462&lt;&gt;""),'Atividades Micro'!$K462,"")</f>
        <v/>
      </c>
      <c r="BV410" s="21" t="str">
        <f>IF(AND('Atividades Micro'!$B462=BV$2,'Atividades Micro'!$G462="Macro",'Atividades Micro'!$K462&lt;&gt;""),'Atividades Micro'!$K462,"")</f>
        <v/>
      </c>
      <c r="BW410" s="21" t="str">
        <f>IF(AND('Atividades Micro'!$B462=BW$2,'Atividades Micro'!$G462="Macro",'Atividades Micro'!$K462&lt;&gt;""),'Atividades Micro'!$K462,"")</f>
        <v/>
      </c>
      <c r="BX410" s="21" t="str">
        <f>IF(AND('Atividades Micro'!$B462=BX$2,'Atividades Micro'!$G462="Macro",'Atividades Micro'!$K462&lt;&gt;""),'Atividades Micro'!$K462,"")</f>
        <v/>
      </c>
      <c r="BY410" s="21" t="str">
        <f>IF(AND('Atividades Micro'!$B462=BY$2,'Atividades Micro'!$G462="Macro",'Atividades Micro'!$K462&lt;&gt;""),'Atividades Micro'!$K462,"")</f>
        <v/>
      </c>
      <c r="BZ410" s="21" t="str">
        <f>IF(AND('Atividades Micro'!$B462=BZ$2,'Atividades Micro'!$G462="Macro",'Atividades Micro'!$K462&lt;&gt;""),'Atividades Micro'!$K462,"")</f>
        <v/>
      </c>
      <c r="CA410" s="21" t="str">
        <f>IF(AND('Atividades Micro'!$B462=CA$2,'Atividades Micro'!$G462="Macro",'Atividades Micro'!$K462&lt;&gt;""),'Atividades Micro'!$K462,"")</f>
        <v/>
      </c>
      <c r="CB410" s="21" t="str">
        <f>IF(AND('Atividades Micro'!$B462=CB$2,'Atividades Micro'!$G462="Macro",'Atividades Micro'!$K462&lt;&gt;""),'Atividades Micro'!$K462,"")</f>
        <v/>
      </c>
      <c r="CC410" s="21" t="str">
        <f>IF(AND('Atividades Micro'!$B462=CC$2,'Atividades Micro'!$G462="Macro",'Atividades Micro'!$K462&lt;&gt;""),'Atividades Micro'!$K462,"")</f>
        <v/>
      </c>
      <c r="CD410" s="21" t="str">
        <f>IF(AND('Atividades Micro'!$B462=CD$2,'Atividades Micro'!$G462="Micro",'Atividades Micro'!$K462&lt;&gt;""),'Atividades Micro'!$K462,"")</f>
        <v/>
      </c>
      <c r="CE410" s="21" t="str">
        <f>IF(AND('Atividades Micro'!$B462=CE$2,'Atividades Micro'!$G462="Micro",'Atividades Micro'!$K462&lt;&gt;""),'Atividades Micro'!$K462,"")</f>
        <v/>
      </c>
      <c r="CF410" s="21" t="str">
        <f>IF(AND('Atividades Micro'!$B462=CF$2,'Atividades Micro'!$G462="Micro",'Atividades Micro'!$K462&lt;&gt;""),'Atividades Micro'!$K462,"")</f>
        <v/>
      </c>
      <c r="CG410" s="21" t="str">
        <f>IF(AND('Atividades Micro'!$B462=CG$2,'Atividades Micro'!$G462="Micro",'Atividades Micro'!$K462&lt;&gt;""),'Atividades Micro'!$K462,"")</f>
        <v/>
      </c>
      <c r="CH410" s="21" t="str">
        <f>IF(AND('Atividades Micro'!$B462=CH$2,'Atividades Micro'!$G462="Micro",'Atividades Micro'!$K462&lt;&gt;""),'Atividades Micro'!$K462,"")</f>
        <v/>
      </c>
      <c r="CI410" s="21" t="str">
        <f>IF(AND('Atividades Micro'!$B462=CI$2,'Atividades Micro'!$G462="Micro",'Atividades Micro'!$K462&lt;&gt;""),'Atividades Micro'!$K462,"")</f>
        <v/>
      </c>
      <c r="CJ410" s="21" t="str">
        <f>IF(AND('Atividades Micro'!$B462=CJ$2,'Atividades Micro'!$G462="Micro",'Atividades Micro'!$K462&lt;&gt;""),'Atividades Micro'!$K462,"")</f>
        <v/>
      </c>
      <c r="CK410" s="21" t="str">
        <f>IF(AND('Atividades Micro'!$B462=CK$2,'Atividades Micro'!$G462="Micro",'Atividades Micro'!$K462&lt;&gt;""),'Atividades Micro'!$K462,"")</f>
        <v/>
      </c>
      <c r="CL410" s="21" t="str">
        <f>IF(AND('Atividades Micro'!$B462=CL$2,'Atividades Micro'!$G462="Micro",'Atividades Micro'!$K462&lt;&gt;""),'Atividades Micro'!$K462,"")</f>
        <v/>
      </c>
      <c r="CM410" s="21" t="str">
        <f>IF(AND('Atividades Micro'!$B462=CM$2,'Atividades Micro'!$G462="Micro",'Atividades Micro'!$K462&lt;&gt;""),'Atividades Micro'!$K462,"")</f>
        <v/>
      </c>
      <c r="CN410" s="21" t="str">
        <f>IF(AND('Atividades Micro'!$B462=CN$2,'Atividades Micro'!$G462="Micro",'Atividades Micro'!$K462&lt;&gt;""),'Atividades Micro'!$K462,"")</f>
        <v/>
      </c>
      <c r="CO410" s="21" t="str">
        <f>IF(AND('Atividades Micro'!$B462=CO$2,'Atividades Micro'!$G462="Micro",'Atividades Micro'!$K462&lt;&gt;""),'Atividades Micro'!$K462,"")</f>
        <v/>
      </c>
    </row>
    <row r="411" spans="1:93">
      <c r="A411" s="21" t="str">
        <f>IF(AND('Atividades Micro'!$A463=A$2,'Atividades Micro'!$K463&lt;&gt;""),'Atividades Micro'!$K463,"")</f>
        <v/>
      </c>
      <c r="B411" s="21" t="str">
        <f>IF(AND('Atividades Micro'!$A463=B$2,'Atividades Micro'!$L463&lt;&gt;""),'Atividades Micro'!$L463,"")</f>
        <v/>
      </c>
      <c r="C411" s="21" t="str">
        <f>IF(AND('Atividades Micro'!$A463=C$2,'Atividades Micro'!$K463&lt;&gt;""),'Atividades Micro'!$K463,"")</f>
        <v/>
      </c>
      <c r="D411" s="21" t="str">
        <f>IF(AND('Atividades Micro'!$A463=D$2,'Atividades Micro'!$L463&lt;&gt;""),'Atividades Micro'!$L463,"")</f>
        <v/>
      </c>
      <c r="E411" s="21" t="str">
        <f>IF(AND('Atividades Micro'!$A463=E$2,'Atividades Micro'!$K463&lt;&gt;""),'Atividades Micro'!$K463,"")</f>
        <v/>
      </c>
      <c r="F411" s="21" t="str">
        <f>IF(AND('Atividades Micro'!$A463=F$2,'Atividades Micro'!$L463&lt;&gt;""),'Atividades Micro'!$L463,"")</f>
        <v/>
      </c>
      <c r="G411" s="21" t="str">
        <f>IF(AND('Atividades Micro'!$A463=G$2,'Atividades Micro'!$K463&lt;&gt;""),'Atividades Micro'!$K463,"")</f>
        <v/>
      </c>
      <c r="H411" s="21" t="str">
        <f>IF(AND('Atividades Micro'!$A463=H$2,'Atividades Micro'!$L463&lt;&gt;""),'Atividades Micro'!$L463,"")</f>
        <v/>
      </c>
      <c r="I411" s="21" t="str">
        <f>IF(AND('Atividades Micro'!$A463=I$2,'Atividades Micro'!$K463&lt;&gt;""),'Atividades Micro'!$K463,"")</f>
        <v/>
      </c>
      <c r="J411" s="21" t="str">
        <f>IF(AND('Atividades Micro'!$A463=J$2,'Atividades Micro'!$L463&lt;&gt;""),'Atividades Micro'!$L463,"")</f>
        <v/>
      </c>
      <c r="K411" s="21" t="str">
        <f>IF(AND('Atividades Micro'!$B463=K$2,'Atividades Micro'!$K463&lt;&gt;""),'Atividades Micro'!$K463,"")</f>
        <v/>
      </c>
      <c r="L411" s="21" t="str">
        <f>IF(AND('Atividades Micro'!$B463=L$2,'Atividades Micro'!$L463&lt;&gt;""),'Atividades Micro'!$L463,"")</f>
        <v/>
      </c>
      <c r="M411" s="21" t="str">
        <f>IF(AND('Atividades Micro'!$B463=M$2,'Atividades Micro'!$K463&lt;&gt;""),'Atividades Micro'!$K463,"")</f>
        <v/>
      </c>
      <c r="N411" s="21" t="str">
        <f>IF(AND('Atividades Micro'!$B463=N$2,'Atividades Micro'!$L463&lt;&gt;""),'Atividades Micro'!$L463,"")</f>
        <v/>
      </c>
      <c r="O411" s="21" t="str">
        <f>IF(AND('Atividades Micro'!$A463=O$2,'Atividades Micro'!$K463&lt;&gt;""),'Atividades Micro'!$K463,"")</f>
        <v/>
      </c>
      <c r="P411" s="21" t="str">
        <f>IF(AND('Atividades Micro'!$A463=P$2,'Atividades Micro'!$L463&lt;&gt;""),'Atividades Micro'!$L463,"")</f>
        <v/>
      </c>
      <c r="Q411" s="21" t="str">
        <f>IF(AND('Atividades Micro'!$B463=Q$2,'Atividades Micro'!$K463&lt;&gt;""),'Atividades Micro'!$K463,"")</f>
        <v/>
      </c>
      <c r="R411" s="21" t="str">
        <f>IF(AND('Atividades Micro'!$B463=R$2,'Atividades Micro'!$L463&lt;&gt;""),'Atividades Micro'!$L463,"")</f>
        <v/>
      </c>
      <c r="S411" s="21" t="str">
        <f>IF(AND('Atividades Micro'!$A463=S$2,'Atividades Micro'!$K463&lt;&gt;""),'Atividades Micro'!$K463,"")</f>
        <v/>
      </c>
      <c r="T411" s="21" t="str">
        <f>IF(AND('Atividades Micro'!$A463=T$2,'Atividades Micro'!$L463&lt;&gt;""),'Atividades Micro'!$L463,"")</f>
        <v/>
      </c>
      <c r="U411" s="21" t="str">
        <f>IF(AND('Atividades Micro'!$B463=U$2,'Atividades Micro'!$K463&lt;&gt;""),'Atividades Micro'!$K463,"")</f>
        <v/>
      </c>
      <c r="V411" s="21" t="str">
        <f>IF(AND('Atividades Micro'!$B463=V$2,'Atividades Micro'!$L463&lt;&gt;""),'Atividades Micro'!$L463,"")</f>
        <v/>
      </c>
      <c r="W411" s="21" t="str">
        <f>IF(AND('Atividades Micro'!$B463=W$2,'Atividades Micro'!$K463&lt;&gt;""),'Atividades Micro'!$K463,"")</f>
        <v/>
      </c>
      <c r="X411" s="21" t="str">
        <f>IF(AND('Atividades Micro'!$B463=X$2,'Atividades Micro'!$L463&lt;&gt;""),'Atividades Micro'!$L463,"")</f>
        <v/>
      </c>
      <c r="Y411" s="21" t="str">
        <f>IF(AND('Atividades Micro'!$A463=Y$2,'Atividades Micro'!$K463&lt;&gt;""),'Atividades Micro'!$K463,"")</f>
        <v/>
      </c>
      <c r="Z411" s="21" t="str">
        <f>IF(AND('Atividades Micro'!$A463=Z$2,'Atividades Micro'!$L463&lt;&gt;""),'Atividades Micro'!$L463,"")</f>
        <v/>
      </c>
      <c r="AA411" s="21" t="str">
        <f>IF(AND('Atividades Micro'!$B463=AA$2,'Atividades Micro'!$K463&lt;&gt;""),'Atividades Micro'!$K463,"")</f>
        <v/>
      </c>
      <c r="AB411" s="21" t="str">
        <f>IF(AND('Atividades Micro'!$B463=AB$2,'Atividades Micro'!$L463&lt;&gt;""),'Atividades Micro'!$L463,"")</f>
        <v/>
      </c>
      <c r="AC411" s="21" t="str">
        <f>IF(AND('Atividades Micro'!$B463=AC$2,'Atividades Micro'!$K463&lt;&gt;""),'Atividades Micro'!$K463,"")</f>
        <v/>
      </c>
      <c r="AD411" s="21" t="str">
        <f>IF(AND('Atividades Micro'!$B463=AD$2,'Atividades Micro'!$L463&lt;&gt;""),'Atividades Micro'!$L463,"")</f>
        <v/>
      </c>
      <c r="AE411" s="21" t="str">
        <f>IF(AND('Atividades Micro'!$A463=AE$2,'Atividades Micro'!$K463&lt;&gt;""),'Atividades Micro'!$K463,"")</f>
        <v/>
      </c>
      <c r="AF411" s="21" t="str">
        <f>IF(AND('Atividades Micro'!$A463=AF$2,'Atividades Micro'!$L463&lt;&gt;""),'Atividades Micro'!$L463,"")</f>
        <v/>
      </c>
      <c r="AG411" s="21" t="str">
        <f>IF(AND('Atividades Micro'!$B463=AG$2,'Atividades Micro'!$K463&lt;&gt;""),'Atividades Micro'!$K463,"")</f>
        <v/>
      </c>
      <c r="AH411" s="21" t="str">
        <f>IF(AND('Atividades Micro'!$B463=AH$2,'Atividades Micro'!$L463&lt;&gt;""),'Atividades Micro'!$L463,"")</f>
        <v/>
      </c>
      <c r="AI411" s="21" t="str">
        <f>IF(AND('Atividades Micro'!$B463=AI$2,'Atividades Micro'!$K463&lt;&gt;""),'Atividades Micro'!$K463,"")</f>
        <v/>
      </c>
      <c r="AJ411" s="21" t="str">
        <f>IF(AND('Atividades Micro'!$B463=AJ$2,'Atividades Micro'!$L463&lt;&gt;""),'Atividades Micro'!$L463,"")</f>
        <v/>
      </c>
      <c r="AK411" s="21" t="str">
        <f>IF(AND('Atividades Micro'!$A463=AK$2,'Atividades Micro'!$K463&lt;&gt;""),'Atividades Micro'!$K463,"")</f>
        <v/>
      </c>
      <c r="AL411" s="21" t="str">
        <f>IF(AND('Atividades Micro'!$A463=AL$2,'Atividades Micro'!$L463&lt;&gt;""),'Atividades Micro'!$L463,"")</f>
        <v/>
      </c>
      <c r="AM411" s="21" t="str">
        <f>IF(AND('Atividades Micro'!$B463=AM$2,'Atividades Micro'!$K463&lt;&gt;""),'Atividades Micro'!$K463,"")</f>
        <v/>
      </c>
      <c r="AN411" s="21" t="str">
        <f>IF(AND('Atividades Micro'!$B463=AN$2,'Atividades Micro'!$L463&lt;&gt;""),'Atividades Micro'!$L463,"")</f>
        <v/>
      </c>
      <c r="AO411" s="21" t="str">
        <f>IF(AND('Atividades Micro'!$B463=AO$2,'Atividades Micro'!$K463&lt;&gt;""),'Atividades Micro'!$K463,"")</f>
        <v/>
      </c>
      <c r="AP411" s="21" t="str">
        <f>IF(AND('Atividades Micro'!$B463=AP$2,'Atividades Micro'!$L463&lt;&gt;""),'Atividades Micro'!$L463,"")</f>
        <v/>
      </c>
      <c r="AQ411" s="21" t="str">
        <f>IF(AND('Atividades Micro'!$A463=AQ$2,'Atividades Micro'!$K463&lt;&gt;""),'Atividades Micro'!$K463,"")</f>
        <v/>
      </c>
      <c r="AR411" s="21" t="str">
        <f>IF(AND('Atividades Micro'!$A463=AR$2,'Atividades Micro'!$L463&lt;&gt;""),'Atividades Micro'!$L463,"")</f>
        <v/>
      </c>
      <c r="AS411" s="21" t="str">
        <f>IF(AND('Atividades Micro'!$B463=AS$2,'Atividades Micro'!$K463&lt;&gt;""),'Atividades Micro'!$K463,"")</f>
        <v/>
      </c>
      <c r="AT411" s="21" t="str">
        <f>IF(AND('Atividades Micro'!$B463=AT$2,'Atividades Micro'!$L463&lt;&gt;""),'Atividades Micro'!$L463,"")</f>
        <v/>
      </c>
      <c r="AU411" s="21" t="str">
        <f>IF(AND('Atividades Micro'!$A463=AU$2,'Atividades Micro'!$K463&lt;&gt;""),'Atividades Micro'!$K463,"")</f>
        <v/>
      </c>
      <c r="AV411" s="21" t="str">
        <f>IF(AND('Atividades Micro'!$A463=AV$2,'Atividades Micro'!$L463&lt;&gt;""),'Atividades Micro'!$L463,"")</f>
        <v/>
      </c>
      <c r="AW411" s="21" t="str">
        <f>IF(AND('Atividades Micro'!$B463=AW$2,'Atividades Micro'!$K463&lt;&gt;""),'Atividades Micro'!$K463,"")</f>
        <v/>
      </c>
      <c r="AX411" s="21" t="str">
        <f>IF(AND('Atividades Micro'!$B463=AX$2,'Atividades Micro'!$L463&lt;&gt;""),'Atividades Micro'!$L463,"")</f>
        <v/>
      </c>
      <c r="AY411" s="21" t="str">
        <f>IF(AND('Atividades Micro'!$A463=AY$2,'Atividades Micro'!$K463&lt;&gt;""),'Atividades Micro'!$K463,"")</f>
        <v/>
      </c>
      <c r="AZ411" s="21" t="str">
        <f>IF(AND('Atividades Micro'!$A463=AZ$2,'Atividades Micro'!$L463&lt;&gt;""),'Atividades Micro'!$L463,"")</f>
        <v/>
      </c>
      <c r="BA411" s="21" t="str">
        <f>IF(AND('Atividades Micro'!$B463=BA$2,'Atividades Micro'!$K463&lt;&gt;""),'Atividades Micro'!$K463,"")</f>
        <v/>
      </c>
      <c r="BB411" s="21" t="str">
        <f>IF(AND('Atividades Micro'!$B463=BB$2,'Atividades Micro'!$L463&lt;&gt;""),'Atividades Micro'!$L463,"")</f>
        <v/>
      </c>
      <c r="BC411" s="21" t="str">
        <f>IF(AND('Atividades Micro'!$B463=BC$2,'Atividades Micro'!$G463="Macro",'Atividades Micro'!$K463&lt;&gt;""),'Atividades Micro'!$K463,"")</f>
        <v/>
      </c>
      <c r="BD411" s="21" t="str">
        <f>IF(AND('Atividades Micro'!$B463=BD$2,'Atividades Micro'!$G463="Macro",'Atividades Micro'!$K463&lt;&gt;""),'Atividades Micro'!$K463,"")</f>
        <v/>
      </c>
      <c r="BE411" s="21" t="str">
        <f>IF(AND('Atividades Micro'!$B463=BE$2,'Atividades Micro'!$G463="Macro",'Atividades Micro'!$K463&lt;&gt;""),'Atividades Micro'!$K463,"")</f>
        <v/>
      </c>
      <c r="BF411" s="21" t="str">
        <f>IF(AND('Atividades Micro'!$B463=BF$2,'Atividades Micro'!$G463="Macro",'Atividades Micro'!$K463&lt;&gt;""),'Atividades Micro'!$K463,"")</f>
        <v/>
      </c>
      <c r="BG411" s="21" t="str">
        <f>IF(AND('Atividades Micro'!$B463=BG$2,'Atividades Micro'!$G463="Macro",'Atividades Micro'!$K463&lt;&gt;""),'Atividades Micro'!$K463,"")</f>
        <v/>
      </c>
      <c r="BH411" s="21" t="str">
        <f>IF(AND('Atividades Micro'!$B463=BH$2,'Atividades Micro'!$G463="Macro",'Atividades Micro'!$K463&lt;&gt;""),'Atividades Micro'!$K463,"")</f>
        <v/>
      </c>
      <c r="BI411" s="21" t="str">
        <f>IF(AND('Atividades Micro'!$B463=BI$2,'Atividades Micro'!$G463="Macro",'Atividades Micro'!$K463&lt;&gt;""),'Atividades Micro'!$K463,"")</f>
        <v/>
      </c>
      <c r="BJ411" s="21" t="str">
        <f>IF(AND('Atividades Micro'!$B463=BJ$2,'Atividades Micro'!$G463="Macro",'Atividades Micro'!$K463&lt;&gt;""),'Atividades Micro'!$K463,"")</f>
        <v/>
      </c>
      <c r="BK411" s="21" t="str">
        <f>IF(AND('Atividades Micro'!$B463=BK$2,'Atividades Micro'!$G463="Macro",'Atividades Micro'!$K463&lt;&gt;""),'Atividades Micro'!$K463,"")</f>
        <v/>
      </c>
      <c r="BL411" s="21" t="str">
        <f>IF(AND('Atividades Micro'!$B463=BL$2,'Atividades Micro'!$G463="Macro",'Atividades Micro'!$K463&lt;&gt;""),'Atividades Micro'!$K463,"")</f>
        <v/>
      </c>
      <c r="BM411" s="21" t="str">
        <f>IF(AND('Atividades Micro'!$B463=BM$2,'Atividades Micro'!$G463="Macro",'Atividades Micro'!$K463&lt;&gt;""),'Atividades Micro'!$K463,"")</f>
        <v/>
      </c>
      <c r="BN411" s="21" t="str">
        <f>IF(AND('Atividades Micro'!$B463=BN$2,'Atividades Micro'!$G463="Macro",'Atividades Micro'!$K463&lt;&gt;""),'Atividades Micro'!$K463,"")</f>
        <v/>
      </c>
      <c r="BO411" s="21" t="str">
        <f>IF(AND('Atividades Micro'!$B463=BO$2,'Atividades Micro'!$G463="Macro",'Atividades Micro'!$K463&lt;&gt;""),'Atividades Micro'!$K463,"")</f>
        <v/>
      </c>
      <c r="BP411" s="21" t="str">
        <f>IF(AND('Atividades Micro'!$B463=BP$2,'Atividades Micro'!$G463="Macro",'Atividades Micro'!$K463&lt;&gt;""),'Atividades Micro'!$K463,"")</f>
        <v/>
      </c>
      <c r="BQ411" s="21" t="str">
        <f>IF(AND('Atividades Micro'!$B463=BQ$2,'Atividades Micro'!$G463="Macro",'Atividades Micro'!$K463&lt;&gt;""),'Atividades Micro'!$K463,"")</f>
        <v/>
      </c>
      <c r="BR411" s="21" t="str">
        <f>IF(AND('Atividades Micro'!$B463=BR$2,'Atividades Micro'!$G463="Macro",'Atividades Micro'!$K463&lt;&gt;""),'Atividades Micro'!$K463,"")</f>
        <v/>
      </c>
      <c r="BS411" s="21" t="str">
        <f>IF(AND('Atividades Micro'!$B463=BS$2,'Atividades Micro'!$G463="Macro",'Atividades Micro'!$K463&lt;&gt;""),'Atividades Micro'!$K463,"")</f>
        <v/>
      </c>
      <c r="BT411" s="21" t="str">
        <f>IF(AND('Atividades Micro'!$B463=BT$2,'Atividades Micro'!$G463="Macro",'Atividades Micro'!$K463&lt;&gt;""),'Atividades Micro'!$K463,"")</f>
        <v/>
      </c>
      <c r="BU411" s="21" t="str">
        <f>IF(AND('Atividades Micro'!$B463=BU$2,'Atividades Micro'!$G463="Macro",'Atividades Micro'!$K463&lt;&gt;""),'Atividades Micro'!$K463,"")</f>
        <v/>
      </c>
      <c r="BV411" s="21" t="str">
        <f>IF(AND('Atividades Micro'!$B463=BV$2,'Atividades Micro'!$G463="Macro",'Atividades Micro'!$K463&lt;&gt;""),'Atividades Micro'!$K463,"")</f>
        <v/>
      </c>
      <c r="BW411" s="21" t="str">
        <f>IF(AND('Atividades Micro'!$B463=BW$2,'Atividades Micro'!$G463="Macro",'Atividades Micro'!$K463&lt;&gt;""),'Atividades Micro'!$K463,"")</f>
        <v/>
      </c>
      <c r="BX411" s="21" t="str">
        <f>IF(AND('Atividades Micro'!$B463=BX$2,'Atividades Micro'!$G463="Macro",'Atividades Micro'!$K463&lt;&gt;""),'Atividades Micro'!$K463,"")</f>
        <v/>
      </c>
      <c r="BY411" s="21" t="str">
        <f>IF(AND('Atividades Micro'!$B463=BY$2,'Atividades Micro'!$G463="Macro",'Atividades Micro'!$K463&lt;&gt;""),'Atividades Micro'!$K463,"")</f>
        <v/>
      </c>
      <c r="BZ411" s="21" t="str">
        <f>IF(AND('Atividades Micro'!$B463=BZ$2,'Atividades Micro'!$G463="Macro",'Atividades Micro'!$K463&lt;&gt;""),'Atividades Micro'!$K463,"")</f>
        <v/>
      </c>
      <c r="CA411" s="21" t="str">
        <f>IF(AND('Atividades Micro'!$B463=CA$2,'Atividades Micro'!$G463="Macro",'Atividades Micro'!$K463&lt;&gt;""),'Atividades Micro'!$K463,"")</f>
        <v/>
      </c>
      <c r="CB411" s="21" t="str">
        <f>IF(AND('Atividades Micro'!$B463=CB$2,'Atividades Micro'!$G463="Macro",'Atividades Micro'!$K463&lt;&gt;""),'Atividades Micro'!$K463,"")</f>
        <v/>
      </c>
      <c r="CC411" s="21" t="str">
        <f>IF(AND('Atividades Micro'!$B463=CC$2,'Atividades Micro'!$G463="Macro",'Atividades Micro'!$K463&lt;&gt;""),'Atividades Micro'!$K463,"")</f>
        <v/>
      </c>
      <c r="CD411" s="21" t="str">
        <f>IF(AND('Atividades Micro'!$B463=CD$2,'Atividades Micro'!$G463="Micro",'Atividades Micro'!$K463&lt;&gt;""),'Atividades Micro'!$K463,"")</f>
        <v/>
      </c>
      <c r="CE411" s="21" t="str">
        <f>IF(AND('Atividades Micro'!$B463=CE$2,'Atividades Micro'!$G463="Micro",'Atividades Micro'!$K463&lt;&gt;""),'Atividades Micro'!$K463,"")</f>
        <v/>
      </c>
      <c r="CF411" s="21" t="str">
        <f>IF(AND('Atividades Micro'!$B463=CF$2,'Atividades Micro'!$G463="Micro",'Atividades Micro'!$K463&lt;&gt;""),'Atividades Micro'!$K463,"")</f>
        <v/>
      </c>
      <c r="CG411" s="21" t="str">
        <f>IF(AND('Atividades Micro'!$B463=CG$2,'Atividades Micro'!$G463="Micro",'Atividades Micro'!$K463&lt;&gt;""),'Atividades Micro'!$K463,"")</f>
        <v/>
      </c>
      <c r="CH411" s="21" t="str">
        <f>IF(AND('Atividades Micro'!$B463=CH$2,'Atividades Micro'!$G463="Micro",'Atividades Micro'!$K463&lt;&gt;""),'Atividades Micro'!$K463,"")</f>
        <v/>
      </c>
      <c r="CI411" s="21" t="str">
        <f>IF(AND('Atividades Micro'!$B463=CI$2,'Atividades Micro'!$G463="Micro",'Atividades Micro'!$K463&lt;&gt;""),'Atividades Micro'!$K463,"")</f>
        <v/>
      </c>
      <c r="CJ411" s="21" t="str">
        <f>IF(AND('Atividades Micro'!$B463=CJ$2,'Atividades Micro'!$G463="Micro",'Atividades Micro'!$K463&lt;&gt;""),'Atividades Micro'!$K463,"")</f>
        <v/>
      </c>
      <c r="CK411" s="21" t="str">
        <f>IF(AND('Atividades Micro'!$B463=CK$2,'Atividades Micro'!$G463="Micro",'Atividades Micro'!$K463&lt;&gt;""),'Atividades Micro'!$K463,"")</f>
        <v/>
      </c>
      <c r="CL411" s="21" t="str">
        <f>IF(AND('Atividades Micro'!$B463=CL$2,'Atividades Micro'!$G463="Micro",'Atividades Micro'!$K463&lt;&gt;""),'Atividades Micro'!$K463,"")</f>
        <v/>
      </c>
      <c r="CM411" s="21" t="str">
        <f>IF(AND('Atividades Micro'!$B463=CM$2,'Atividades Micro'!$G463="Micro",'Atividades Micro'!$K463&lt;&gt;""),'Atividades Micro'!$K463,"")</f>
        <v/>
      </c>
      <c r="CN411" s="21" t="str">
        <f>IF(AND('Atividades Micro'!$B463=CN$2,'Atividades Micro'!$G463="Micro",'Atividades Micro'!$K463&lt;&gt;""),'Atividades Micro'!$K463,"")</f>
        <v/>
      </c>
      <c r="CO411" s="21" t="str">
        <f>IF(AND('Atividades Micro'!$B463=CO$2,'Atividades Micro'!$G463="Micro",'Atividades Micro'!$K463&lt;&gt;""),'Atividades Micro'!$K463,"")</f>
        <v/>
      </c>
    </row>
    <row r="412" spans="1:93">
      <c r="A412" s="21" t="str">
        <f>IF(AND('Atividades Micro'!$A464=A$2,'Atividades Micro'!$K464&lt;&gt;""),'Atividades Micro'!$K464,"")</f>
        <v/>
      </c>
      <c r="B412" s="21" t="str">
        <f>IF(AND('Atividades Micro'!$A464=B$2,'Atividades Micro'!$L464&lt;&gt;""),'Atividades Micro'!$L464,"")</f>
        <v/>
      </c>
      <c r="C412" s="21" t="str">
        <f>IF(AND('Atividades Micro'!$A464=C$2,'Atividades Micro'!$K464&lt;&gt;""),'Atividades Micro'!$K464,"")</f>
        <v/>
      </c>
      <c r="D412" s="21" t="str">
        <f>IF(AND('Atividades Micro'!$A464=D$2,'Atividades Micro'!$L464&lt;&gt;""),'Atividades Micro'!$L464,"")</f>
        <v/>
      </c>
      <c r="E412" s="21" t="str">
        <f>IF(AND('Atividades Micro'!$A464=E$2,'Atividades Micro'!$K464&lt;&gt;""),'Atividades Micro'!$K464,"")</f>
        <v/>
      </c>
      <c r="F412" s="21" t="str">
        <f>IF(AND('Atividades Micro'!$A464=F$2,'Atividades Micro'!$L464&lt;&gt;""),'Atividades Micro'!$L464,"")</f>
        <v/>
      </c>
      <c r="G412" s="21" t="str">
        <f>IF(AND('Atividades Micro'!$A464=G$2,'Atividades Micro'!$K464&lt;&gt;""),'Atividades Micro'!$K464,"")</f>
        <v/>
      </c>
      <c r="H412" s="21" t="str">
        <f>IF(AND('Atividades Micro'!$A464=H$2,'Atividades Micro'!$L464&lt;&gt;""),'Atividades Micro'!$L464,"")</f>
        <v/>
      </c>
      <c r="I412" s="21" t="str">
        <f>IF(AND('Atividades Micro'!$A464=I$2,'Atividades Micro'!$K464&lt;&gt;""),'Atividades Micro'!$K464,"")</f>
        <v/>
      </c>
      <c r="J412" s="21" t="str">
        <f>IF(AND('Atividades Micro'!$A464=J$2,'Atividades Micro'!$L464&lt;&gt;""),'Atividades Micro'!$L464,"")</f>
        <v/>
      </c>
      <c r="K412" s="21" t="str">
        <f>IF(AND('Atividades Micro'!$B464=K$2,'Atividades Micro'!$K464&lt;&gt;""),'Atividades Micro'!$K464,"")</f>
        <v/>
      </c>
      <c r="L412" s="21" t="str">
        <f>IF(AND('Atividades Micro'!$B464=L$2,'Atividades Micro'!$L464&lt;&gt;""),'Atividades Micro'!$L464,"")</f>
        <v/>
      </c>
      <c r="M412" s="21" t="str">
        <f>IF(AND('Atividades Micro'!$B464=M$2,'Atividades Micro'!$K464&lt;&gt;""),'Atividades Micro'!$K464,"")</f>
        <v/>
      </c>
      <c r="N412" s="21" t="str">
        <f>IF(AND('Atividades Micro'!$B464=N$2,'Atividades Micro'!$L464&lt;&gt;""),'Atividades Micro'!$L464,"")</f>
        <v/>
      </c>
      <c r="O412" s="21" t="str">
        <f>IF(AND('Atividades Micro'!$A464=O$2,'Atividades Micro'!$K464&lt;&gt;""),'Atividades Micro'!$K464,"")</f>
        <v/>
      </c>
      <c r="P412" s="21" t="str">
        <f>IF(AND('Atividades Micro'!$A464=P$2,'Atividades Micro'!$L464&lt;&gt;""),'Atividades Micro'!$L464,"")</f>
        <v/>
      </c>
      <c r="Q412" s="21" t="str">
        <f>IF(AND('Atividades Micro'!$B464=Q$2,'Atividades Micro'!$K464&lt;&gt;""),'Atividades Micro'!$K464,"")</f>
        <v/>
      </c>
      <c r="R412" s="21" t="str">
        <f>IF(AND('Atividades Micro'!$B464=R$2,'Atividades Micro'!$L464&lt;&gt;""),'Atividades Micro'!$L464,"")</f>
        <v/>
      </c>
      <c r="S412" s="21" t="str">
        <f>IF(AND('Atividades Micro'!$A464=S$2,'Atividades Micro'!$K464&lt;&gt;""),'Atividades Micro'!$K464,"")</f>
        <v/>
      </c>
      <c r="T412" s="21" t="str">
        <f>IF(AND('Atividades Micro'!$A464=T$2,'Atividades Micro'!$L464&lt;&gt;""),'Atividades Micro'!$L464,"")</f>
        <v/>
      </c>
      <c r="U412" s="21" t="str">
        <f>IF(AND('Atividades Micro'!$B464=U$2,'Atividades Micro'!$K464&lt;&gt;""),'Atividades Micro'!$K464,"")</f>
        <v/>
      </c>
      <c r="V412" s="21" t="str">
        <f>IF(AND('Atividades Micro'!$B464=V$2,'Atividades Micro'!$L464&lt;&gt;""),'Atividades Micro'!$L464,"")</f>
        <v/>
      </c>
      <c r="W412" s="21" t="str">
        <f>IF(AND('Atividades Micro'!$B464=W$2,'Atividades Micro'!$K464&lt;&gt;""),'Atividades Micro'!$K464,"")</f>
        <v/>
      </c>
      <c r="X412" s="21" t="str">
        <f>IF(AND('Atividades Micro'!$B464=X$2,'Atividades Micro'!$L464&lt;&gt;""),'Atividades Micro'!$L464,"")</f>
        <v/>
      </c>
      <c r="Y412" s="21" t="str">
        <f>IF(AND('Atividades Micro'!$A464=Y$2,'Atividades Micro'!$K464&lt;&gt;""),'Atividades Micro'!$K464,"")</f>
        <v/>
      </c>
      <c r="Z412" s="21" t="str">
        <f>IF(AND('Atividades Micro'!$A464=Z$2,'Atividades Micro'!$L464&lt;&gt;""),'Atividades Micro'!$L464,"")</f>
        <v/>
      </c>
      <c r="AA412" s="21" t="str">
        <f>IF(AND('Atividades Micro'!$B464=AA$2,'Atividades Micro'!$K464&lt;&gt;""),'Atividades Micro'!$K464,"")</f>
        <v/>
      </c>
      <c r="AB412" s="21" t="str">
        <f>IF(AND('Atividades Micro'!$B464=AB$2,'Atividades Micro'!$L464&lt;&gt;""),'Atividades Micro'!$L464,"")</f>
        <v/>
      </c>
      <c r="AC412" s="21" t="str">
        <f>IF(AND('Atividades Micro'!$B464=AC$2,'Atividades Micro'!$K464&lt;&gt;""),'Atividades Micro'!$K464,"")</f>
        <v/>
      </c>
      <c r="AD412" s="21" t="str">
        <f>IF(AND('Atividades Micro'!$B464=AD$2,'Atividades Micro'!$L464&lt;&gt;""),'Atividades Micro'!$L464,"")</f>
        <v/>
      </c>
      <c r="AE412" s="21" t="str">
        <f>IF(AND('Atividades Micro'!$A464=AE$2,'Atividades Micro'!$K464&lt;&gt;""),'Atividades Micro'!$K464,"")</f>
        <v/>
      </c>
      <c r="AF412" s="21" t="str">
        <f>IF(AND('Atividades Micro'!$A464=AF$2,'Atividades Micro'!$L464&lt;&gt;""),'Atividades Micro'!$L464,"")</f>
        <v/>
      </c>
      <c r="AG412" s="21" t="str">
        <f>IF(AND('Atividades Micro'!$B464=AG$2,'Atividades Micro'!$K464&lt;&gt;""),'Atividades Micro'!$K464,"")</f>
        <v/>
      </c>
      <c r="AH412" s="21" t="str">
        <f>IF(AND('Atividades Micro'!$B464=AH$2,'Atividades Micro'!$L464&lt;&gt;""),'Atividades Micro'!$L464,"")</f>
        <v/>
      </c>
      <c r="AI412" s="21" t="str">
        <f>IF(AND('Atividades Micro'!$B464=AI$2,'Atividades Micro'!$K464&lt;&gt;""),'Atividades Micro'!$K464,"")</f>
        <v/>
      </c>
      <c r="AJ412" s="21" t="str">
        <f>IF(AND('Atividades Micro'!$B464=AJ$2,'Atividades Micro'!$L464&lt;&gt;""),'Atividades Micro'!$L464,"")</f>
        <v/>
      </c>
      <c r="AK412" s="21" t="str">
        <f>IF(AND('Atividades Micro'!$A464=AK$2,'Atividades Micro'!$K464&lt;&gt;""),'Atividades Micro'!$K464,"")</f>
        <v/>
      </c>
      <c r="AL412" s="21" t="str">
        <f>IF(AND('Atividades Micro'!$A464=AL$2,'Atividades Micro'!$L464&lt;&gt;""),'Atividades Micro'!$L464,"")</f>
        <v/>
      </c>
      <c r="AM412" s="21" t="str">
        <f>IF(AND('Atividades Micro'!$B464=AM$2,'Atividades Micro'!$K464&lt;&gt;""),'Atividades Micro'!$K464,"")</f>
        <v/>
      </c>
      <c r="AN412" s="21" t="str">
        <f>IF(AND('Atividades Micro'!$B464=AN$2,'Atividades Micro'!$L464&lt;&gt;""),'Atividades Micro'!$L464,"")</f>
        <v/>
      </c>
      <c r="AO412" s="21" t="str">
        <f>IF(AND('Atividades Micro'!$B464=AO$2,'Atividades Micro'!$K464&lt;&gt;""),'Atividades Micro'!$K464,"")</f>
        <v/>
      </c>
      <c r="AP412" s="21" t="str">
        <f>IF(AND('Atividades Micro'!$B464=AP$2,'Atividades Micro'!$L464&lt;&gt;""),'Atividades Micro'!$L464,"")</f>
        <v/>
      </c>
      <c r="AQ412" s="21" t="str">
        <f>IF(AND('Atividades Micro'!$A464=AQ$2,'Atividades Micro'!$K464&lt;&gt;""),'Atividades Micro'!$K464,"")</f>
        <v/>
      </c>
      <c r="AR412" s="21" t="str">
        <f>IF(AND('Atividades Micro'!$A464=AR$2,'Atividades Micro'!$L464&lt;&gt;""),'Atividades Micro'!$L464,"")</f>
        <v/>
      </c>
      <c r="AS412" s="21" t="str">
        <f>IF(AND('Atividades Micro'!$B464=AS$2,'Atividades Micro'!$K464&lt;&gt;""),'Atividades Micro'!$K464,"")</f>
        <v/>
      </c>
      <c r="AT412" s="21" t="str">
        <f>IF(AND('Atividades Micro'!$B464=AT$2,'Atividades Micro'!$L464&lt;&gt;""),'Atividades Micro'!$L464,"")</f>
        <v/>
      </c>
      <c r="AU412" s="21" t="str">
        <f>IF(AND('Atividades Micro'!$A464=AU$2,'Atividades Micro'!$K464&lt;&gt;""),'Atividades Micro'!$K464,"")</f>
        <v/>
      </c>
      <c r="AV412" s="21" t="str">
        <f>IF(AND('Atividades Micro'!$A464=AV$2,'Atividades Micro'!$L464&lt;&gt;""),'Atividades Micro'!$L464,"")</f>
        <v/>
      </c>
      <c r="AW412" s="21" t="str">
        <f>IF(AND('Atividades Micro'!$B464=AW$2,'Atividades Micro'!$K464&lt;&gt;""),'Atividades Micro'!$K464,"")</f>
        <v/>
      </c>
      <c r="AX412" s="21" t="str">
        <f>IF(AND('Atividades Micro'!$B464=AX$2,'Atividades Micro'!$L464&lt;&gt;""),'Atividades Micro'!$L464,"")</f>
        <v/>
      </c>
      <c r="AY412" s="21" t="str">
        <f>IF(AND('Atividades Micro'!$A464=AY$2,'Atividades Micro'!$K464&lt;&gt;""),'Atividades Micro'!$K464,"")</f>
        <v/>
      </c>
      <c r="AZ412" s="21" t="str">
        <f>IF(AND('Atividades Micro'!$A464=AZ$2,'Atividades Micro'!$L464&lt;&gt;""),'Atividades Micro'!$L464,"")</f>
        <v/>
      </c>
      <c r="BA412" s="21" t="str">
        <f>IF(AND('Atividades Micro'!$B464=BA$2,'Atividades Micro'!$K464&lt;&gt;""),'Atividades Micro'!$K464,"")</f>
        <v/>
      </c>
      <c r="BB412" s="21" t="str">
        <f>IF(AND('Atividades Micro'!$B464=BB$2,'Atividades Micro'!$L464&lt;&gt;""),'Atividades Micro'!$L464,"")</f>
        <v/>
      </c>
      <c r="BC412" s="21" t="str">
        <f>IF(AND('Atividades Micro'!$B464=BC$2,'Atividades Micro'!$G464="Macro",'Atividades Micro'!$K464&lt;&gt;""),'Atividades Micro'!$K464,"")</f>
        <v/>
      </c>
      <c r="BD412" s="21" t="str">
        <f>IF(AND('Atividades Micro'!$B464=BD$2,'Atividades Micro'!$G464="Macro",'Atividades Micro'!$K464&lt;&gt;""),'Atividades Micro'!$K464,"")</f>
        <v/>
      </c>
      <c r="BE412" s="21" t="str">
        <f>IF(AND('Atividades Micro'!$B464=BE$2,'Atividades Micro'!$G464="Macro",'Atividades Micro'!$K464&lt;&gt;""),'Atividades Micro'!$K464,"")</f>
        <v/>
      </c>
      <c r="BF412" s="21" t="str">
        <f>IF(AND('Atividades Micro'!$B464=BF$2,'Atividades Micro'!$G464="Macro",'Atividades Micro'!$K464&lt;&gt;""),'Atividades Micro'!$K464,"")</f>
        <v/>
      </c>
      <c r="BG412" s="21" t="str">
        <f>IF(AND('Atividades Micro'!$B464=BG$2,'Atividades Micro'!$G464="Macro",'Atividades Micro'!$K464&lt;&gt;""),'Atividades Micro'!$K464,"")</f>
        <v/>
      </c>
      <c r="BH412" s="21" t="str">
        <f>IF(AND('Atividades Micro'!$B464=BH$2,'Atividades Micro'!$G464="Macro",'Atividades Micro'!$K464&lt;&gt;""),'Atividades Micro'!$K464,"")</f>
        <v/>
      </c>
      <c r="BI412" s="21" t="str">
        <f>IF(AND('Atividades Micro'!$B464=BI$2,'Atividades Micro'!$G464="Macro",'Atividades Micro'!$K464&lt;&gt;""),'Atividades Micro'!$K464,"")</f>
        <v/>
      </c>
      <c r="BJ412" s="21" t="str">
        <f>IF(AND('Atividades Micro'!$B464=BJ$2,'Atividades Micro'!$G464="Macro",'Atividades Micro'!$K464&lt;&gt;""),'Atividades Micro'!$K464,"")</f>
        <v/>
      </c>
      <c r="BK412" s="21" t="str">
        <f>IF(AND('Atividades Micro'!$B464=BK$2,'Atividades Micro'!$G464="Macro",'Atividades Micro'!$K464&lt;&gt;""),'Atividades Micro'!$K464,"")</f>
        <v/>
      </c>
      <c r="BL412" s="21" t="str">
        <f>IF(AND('Atividades Micro'!$B464=BL$2,'Atividades Micro'!$G464="Macro",'Atividades Micro'!$K464&lt;&gt;""),'Atividades Micro'!$K464,"")</f>
        <v/>
      </c>
      <c r="BM412" s="21" t="str">
        <f>IF(AND('Atividades Micro'!$B464=BM$2,'Atividades Micro'!$G464="Macro",'Atividades Micro'!$K464&lt;&gt;""),'Atividades Micro'!$K464,"")</f>
        <v/>
      </c>
      <c r="BN412" s="21" t="str">
        <f>IF(AND('Atividades Micro'!$B464=BN$2,'Atividades Micro'!$G464="Macro",'Atividades Micro'!$K464&lt;&gt;""),'Atividades Micro'!$K464,"")</f>
        <v/>
      </c>
      <c r="BO412" s="21" t="str">
        <f>IF(AND('Atividades Micro'!$B464=BO$2,'Atividades Micro'!$G464="Macro",'Atividades Micro'!$K464&lt;&gt;""),'Atividades Micro'!$K464,"")</f>
        <v/>
      </c>
      <c r="BP412" s="21" t="str">
        <f>IF(AND('Atividades Micro'!$B464=BP$2,'Atividades Micro'!$G464="Macro",'Atividades Micro'!$K464&lt;&gt;""),'Atividades Micro'!$K464,"")</f>
        <v/>
      </c>
      <c r="BQ412" s="21" t="str">
        <f>IF(AND('Atividades Micro'!$B464=BQ$2,'Atividades Micro'!$G464="Macro",'Atividades Micro'!$K464&lt;&gt;""),'Atividades Micro'!$K464,"")</f>
        <v/>
      </c>
      <c r="BR412" s="21" t="str">
        <f>IF(AND('Atividades Micro'!$B464=BR$2,'Atividades Micro'!$G464="Macro",'Atividades Micro'!$K464&lt;&gt;""),'Atividades Micro'!$K464,"")</f>
        <v/>
      </c>
      <c r="BS412" s="21" t="str">
        <f>IF(AND('Atividades Micro'!$B464=BS$2,'Atividades Micro'!$G464="Macro",'Atividades Micro'!$K464&lt;&gt;""),'Atividades Micro'!$K464,"")</f>
        <v/>
      </c>
      <c r="BT412" s="21" t="str">
        <f>IF(AND('Atividades Micro'!$B464=BT$2,'Atividades Micro'!$G464="Macro",'Atividades Micro'!$K464&lt;&gt;""),'Atividades Micro'!$K464,"")</f>
        <v/>
      </c>
      <c r="BU412" s="21" t="str">
        <f>IF(AND('Atividades Micro'!$B464=BU$2,'Atividades Micro'!$G464="Macro",'Atividades Micro'!$K464&lt;&gt;""),'Atividades Micro'!$K464,"")</f>
        <v/>
      </c>
      <c r="BV412" s="21" t="str">
        <f>IF(AND('Atividades Micro'!$B464=BV$2,'Atividades Micro'!$G464="Macro",'Atividades Micro'!$K464&lt;&gt;""),'Atividades Micro'!$K464,"")</f>
        <v/>
      </c>
      <c r="BW412" s="21" t="str">
        <f>IF(AND('Atividades Micro'!$B464=BW$2,'Atividades Micro'!$G464="Macro",'Atividades Micro'!$K464&lt;&gt;""),'Atividades Micro'!$K464,"")</f>
        <v/>
      </c>
      <c r="BX412" s="21" t="str">
        <f>IF(AND('Atividades Micro'!$B464=BX$2,'Atividades Micro'!$G464="Macro",'Atividades Micro'!$K464&lt;&gt;""),'Atividades Micro'!$K464,"")</f>
        <v/>
      </c>
      <c r="BY412" s="21" t="str">
        <f>IF(AND('Atividades Micro'!$B464=BY$2,'Atividades Micro'!$G464="Macro",'Atividades Micro'!$K464&lt;&gt;""),'Atividades Micro'!$K464,"")</f>
        <v/>
      </c>
      <c r="BZ412" s="21" t="str">
        <f>IF(AND('Atividades Micro'!$B464=BZ$2,'Atividades Micro'!$G464="Macro",'Atividades Micro'!$K464&lt;&gt;""),'Atividades Micro'!$K464,"")</f>
        <v/>
      </c>
      <c r="CA412" s="21" t="str">
        <f>IF(AND('Atividades Micro'!$B464=CA$2,'Atividades Micro'!$G464="Macro",'Atividades Micro'!$K464&lt;&gt;""),'Atividades Micro'!$K464,"")</f>
        <v/>
      </c>
      <c r="CB412" s="21" t="str">
        <f>IF(AND('Atividades Micro'!$B464=CB$2,'Atividades Micro'!$G464="Macro",'Atividades Micro'!$K464&lt;&gt;""),'Atividades Micro'!$K464,"")</f>
        <v/>
      </c>
      <c r="CC412" s="21" t="str">
        <f>IF(AND('Atividades Micro'!$B464=CC$2,'Atividades Micro'!$G464="Macro",'Atividades Micro'!$K464&lt;&gt;""),'Atividades Micro'!$K464,"")</f>
        <v/>
      </c>
      <c r="CD412" s="21" t="str">
        <f>IF(AND('Atividades Micro'!$B464=CD$2,'Atividades Micro'!$G464="Micro",'Atividades Micro'!$K464&lt;&gt;""),'Atividades Micro'!$K464,"")</f>
        <v/>
      </c>
      <c r="CE412" s="21" t="str">
        <f>IF(AND('Atividades Micro'!$B464=CE$2,'Atividades Micro'!$G464="Micro",'Atividades Micro'!$K464&lt;&gt;""),'Atividades Micro'!$K464,"")</f>
        <v/>
      </c>
      <c r="CF412" s="21" t="str">
        <f>IF(AND('Atividades Micro'!$B464=CF$2,'Atividades Micro'!$G464="Micro",'Atividades Micro'!$K464&lt;&gt;""),'Atividades Micro'!$K464,"")</f>
        <v/>
      </c>
      <c r="CG412" s="21" t="str">
        <f>IF(AND('Atividades Micro'!$B464=CG$2,'Atividades Micro'!$G464="Micro",'Atividades Micro'!$K464&lt;&gt;""),'Atividades Micro'!$K464,"")</f>
        <v/>
      </c>
      <c r="CH412" s="21" t="str">
        <f>IF(AND('Atividades Micro'!$B464=CH$2,'Atividades Micro'!$G464="Micro",'Atividades Micro'!$K464&lt;&gt;""),'Atividades Micro'!$K464,"")</f>
        <v/>
      </c>
      <c r="CI412" s="21" t="str">
        <f>IF(AND('Atividades Micro'!$B464=CI$2,'Atividades Micro'!$G464="Micro",'Atividades Micro'!$K464&lt;&gt;""),'Atividades Micro'!$K464,"")</f>
        <v/>
      </c>
      <c r="CJ412" s="21" t="str">
        <f>IF(AND('Atividades Micro'!$B464=CJ$2,'Atividades Micro'!$G464="Micro",'Atividades Micro'!$K464&lt;&gt;""),'Atividades Micro'!$K464,"")</f>
        <v/>
      </c>
      <c r="CK412" s="21" t="str">
        <f>IF(AND('Atividades Micro'!$B464=CK$2,'Atividades Micro'!$G464="Micro",'Atividades Micro'!$K464&lt;&gt;""),'Atividades Micro'!$K464,"")</f>
        <v/>
      </c>
      <c r="CL412" s="21" t="str">
        <f>IF(AND('Atividades Micro'!$B464=CL$2,'Atividades Micro'!$G464="Micro",'Atividades Micro'!$K464&lt;&gt;""),'Atividades Micro'!$K464,"")</f>
        <v/>
      </c>
      <c r="CM412" s="21" t="str">
        <f>IF(AND('Atividades Micro'!$B464=CM$2,'Atividades Micro'!$G464="Micro",'Atividades Micro'!$K464&lt;&gt;""),'Atividades Micro'!$K464,"")</f>
        <v/>
      </c>
      <c r="CN412" s="21" t="str">
        <f>IF(AND('Atividades Micro'!$B464=CN$2,'Atividades Micro'!$G464="Micro",'Atividades Micro'!$K464&lt;&gt;""),'Atividades Micro'!$K464,"")</f>
        <v/>
      </c>
      <c r="CO412" s="21" t="str">
        <f>IF(AND('Atividades Micro'!$B464=CO$2,'Atividades Micro'!$G464="Micro",'Atividades Micro'!$K464&lt;&gt;""),'Atividades Micro'!$K464,"")</f>
        <v/>
      </c>
    </row>
    <row r="413" spans="1:93">
      <c r="A413" s="21" t="str">
        <f>IF(AND('Atividades Micro'!$A465=A$2,'Atividades Micro'!$K465&lt;&gt;""),'Atividades Micro'!$K465,"")</f>
        <v/>
      </c>
      <c r="B413" s="21" t="str">
        <f>IF(AND('Atividades Micro'!$A465=B$2,'Atividades Micro'!$L465&lt;&gt;""),'Atividades Micro'!$L465,"")</f>
        <v/>
      </c>
      <c r="C413" s="21" t="str">
        <f>IF(AND('Atividades Micro'!$A465=C$2,'Atividades Micro'!$K465&lt;&gt;""),'Atividades Micro'!$K465,"")</f>
        <v/>
      </c>
      <c r="D413" s="21" t="str">
        <f>IF(AND('Atividades Micro'!$A465=D$2,'Atividades Micro'!$L465&lt;&gt;""),'Atividades Micro'!$L465,"")</f>
        <v/>
      </c>
      <c r="E413" s="21" t="str">
        <f>IF(AND('Atividades Micro'!$A465=E$2,'Atividades Micro'!$K465&lt;&gt;""),'Atividades Micro'!$K465,"")</f>
        <v/>
      </c>
      <c r="F413" s="21" t="str">
        <f>IF(AND('Atividades Micro'!$A465=F$2,'Atividades Micro'!$L465&lt;&gt;""),'Atividades Micro'!$L465,"")</f>
        <v/>
      </c>
      <c r="G413" s="21" t="str">
        <f>IF(AND('Atividades Micro'!$A465=G$2,'Atividades Micro'!$K465&lt;&gt;""),'Atividades Micro'!$K465,"")</f>
        <v/>
      </c>
      <c r="H413" s="21" t="str">
        <f>IF(AND('Atividades Micro'!$A465=H$2,'Atividades Micro'!$L465&lt;&gt;""),'Atividades Micro'!$L465,"")</f>
        <v/>
      </c>
      <c r="I413" s="21" t="str">
        <f>IF(AND('Atividades Micro'!$A465=I$2,'Atividades Micro'!$K465&lt;&gt;""),'Atividades Micro'!$K465,"")</f>
        <v/>
      </c>
      <c r="J413" s="21" t="str">
        <f>IF(AND('Atividades Micro'!$A465=J$2,'Atividades Micro'!$L465&lt;&gt;""),'Atividades Micro'!$L465,"")</f>
        <v/>
      </c>
      <c r="K413" s="21" t="str">
        <f>IF(AND('Atividades Micro'!$B465=K$2,'Atividades Micro'!$K465&lt;&gt;""),'Atividades Micro'!$K465,"")</f>
        <v/>
      </c>
      <c r="L413" s="21" t="str">
        <f>IF(AND('Atividades Micro'!$B465=L$2,'Atividades Micro'!$L465&lt;&gt;""),'Atividades Micro'!$L465,"")</f>
        <v/>
      </c>
      <c r="M413" s="21" t="str">
        <f>IF(AND('Atividades Micro'!$B465=M$2,'Atividades Micro'!$K465&lt;&gt;""),'Atividades Micro'!$K465,"")</f>
        <v/>
      </c>
      <c r="N413" s="21" t="str">
        <f>IF(AND('Atividades Micro'!$B465=N$2,'Atividades Micro'!$L465&lt;&gt;""),'Atividades Micro'!$L465,"")</f>
        <v/>
      </c>
      <c r="O413" s="21" t="str">
        <f>IF(AND('Atividades Micro'!$A465=O$2,'Atividades Micro'!$K465&lt;&gt;""),'Atividades Micro'!$K465,"")</f>
        <v/>
      </c>
      <c r="P413" s="21" t="str">
        <f>IF(AND('Atividades Micro'!$A465=P$2,'Atividades Micro'!$L465&lt;&gt;""),'Atividades Micro'!$L465,"")</f>
        <v/>
      </c>
      <c r="Q413" s="21" t="str">
        <f>IF(AND('Atividades Micro'!$B465=Q$2,'Atividades Micro'!$K465&lt;&gt;""),'Atividades Micro'!$K465,"")</f>
        <v/>
      </c>
      <c r="R413" s="21" t="str">
        <f>IF(AND('Atividades Micro'!$B465=R$2,'Atividades Micro'!$L465&lt;&gt;""),'Atividades Micro'!$L465,"")</f>
        <v/>
      </c>
      <c r="S413" s="21" t="str">
        <f>IF(AND('Atividades Micro'!$A465=S$2,'Atividades Micro'!$K465&lt;&gt;""),'Atividades Micro'!$K465,"")</f>
        <v/>
      </c>
      <c r="T413" s="21" t="str">
        <f>IF(AND('Atividades Micro'!$A465=T$2,'Atividades Micro'!$L465&lt;&gt;""),'Atividades Micro'!$L465,"")</f>
        <v/>
      </c>
      <c r="U413" s="21" t="str">
        <f>IF(AND('Atividades Micro'!$B465=U$2,'Atividades Micro'!$K465&lt;&gt;""),'Atividades Micro'!$K465,"")</f>
        <v/>
      </c>
      <c r="V413" s="21" t="str">
        <f>IF(AND('Atividades Micro'!$B465=V$2,'Atividades Micro'!$L465&lt;&gt;""),'Atividades Micro'!$L465,"")</f>
        <v/>
      </c>
      <c r="W413" s="21" t="str">
        <f>IF(AND('Atividades Micro'!$B465=W$2,'Atividades Micro'!$K465&lt;&gt;""),'Atividades Micro'!$K465,"")</f>
        <v/>
      </c>
      <c r="X413" s="21" t="str">
        <f>IF(AND('Atividades Micro'!$B465=X$2,'Atividades Micro'!$L465&lt;&gt;""),'Atividades Micro'!$L465,"")</f>
        <v/>
      </c>
      <c r="Y413" s="21" t="str">
        <f>IF(AND('Atividades Micro'!$A465=Y$2,'Atividades Micro'!$K465&lt;&gt;""),'Atividades Micro'!$K465,"")</f>
        <v/>
      </c>
      <c r="Z413" s="21" t="str">
        <f>IF(AND('Atividades Micro'!$A465=Z$2,'Atividades Micro'!$L465&lt;&gt;""),'Atividades Micro'!$L465,"")</f>
        <v/>
      </c>
      <c r="AA413" s="21" t="str">
        <f>IF(AND('Atividades Micro'!$B465=AA$2,'Atividades Micro'!$K465&lt;&gt;""),'Atividades Micro'!$K465,"")</f>
        <v/>
      </c>
      <c r="AB413" s="21" t="str">
        <f>IF(AND('Atividades Micro'!$B465=AB$2,'Atividades Micro'!$L465&lt;&gt;""),'Atividades Micro'!$L465,"")</f>
        <v/>
      </c>
      <c r="AC413" s="21" t="str">
        <f>IF(AND('Atividades Micro'!$B465=AC$2,'Atividades Micro'!$K465&lt;&gt;""),'Atividades Micro'!$K465,"")</f>
        <v/>
      </c>
      <c r="AD413" s="21" t="str">
        <f>IF(AND('Atividades Micro'!$B465=AD$2,'Atividades Micro'!$L465&lt;&gt;""),'Atividades Micro'!$L465,"")</f>
        <v/>
      </c>
      <c r="AE413" s="21" t="str">
        <f>IF(AND('Atividades Micro'!$A465=AE$2,'Atividades Micro'!$K465&lt;&gt;""),'Atividades Micro'!$K465,"")</f>
        <v/>
      </c>
      <c r="AF413" s="21" t="str">
        <f>IF(AND('Atividades Micro'!$A465=AF$2,'Atividades Micro'!$L465&lt;&gt;""),'Atividades Micro'!$L465,"")</f>
        <v/>
      </c>
      <c r="AG413" s="21" t="str">
        <f>IF(AND('Atividades Micro'!$B465=AG$2,'Atividades Micro'!$K465&lt;&gt;""),'Atividades Micro'!$K465,"")</f>
        <v/>
      </c>
      <c r="AH413" s="21" t="str">
        <f>IF(AND('Atividades Micro'!$B465=AH$2,'Atividades Micro'!$L465&lt;&gt;""),'Atividades Micro'!$L465,"")</f>
        <v/>
      </c>
      <c r="AI413" s="21" t="str">
        <f>IF(AND('Atividades Micro'!$B465=AI$2,'Atividades Micro'!$K465&lt;&gt;""),'Atividades Micro'!$K465,"")</f>
        <v/>
      </c>
      <c r="AJ413" s="21" t="str">
        <f>IF(AND('Atividades Micro'!$B465=AJ$2,'Atividades Micro'!$L465&lt;&gt;""),'Atividades Micro'!$L465,"")</f>
        <v/>
      </c>
      <c r="AK413" s="21" t="str">
        <f>IF(AND('Atividades Micro'!$A465=AK$2,'Atividades Micro'!$K465&lt;&gt;""),'Atividades Micro'!$K465,"")</f>
        <v/>
      </c>
      <c r="AL413" s="21" t="str">
        <f>IF(AND('Atividades Micro'!$A465=AL$2,'Atividades Micro'!$L465&lt;&gt;""),'Atividades Micro'!$L465,"")</f>
        <v/>
      </c>
      <c r="AM413" s="21" t="str">
        <f>IF(AND('Atividades Micro'!$B465=AM$2,'Atividades Micro'!$K465&lt;&gt;""),'Atividades Micro'!$K465,"")</f>
        <v/>
      </c>
      <c r="AN413" s="21" t="str">
        <f>IF(AND('Atividades Micro'!$B465=AN$2,'Atividades Micro'!$L465&lt;&gt;""),'Atividades Micro'!$L465,"")</f>
        <v/>
      </c>
      <c r="AO413" s="21" t="str">
        <f>IF(AND('Atividades Micro'!$B465=AO$2,'Atividades Micro'!$K465&lt;&gt;""),'Atividades Micro'!$K465,"")</f>
        <v/>
      </c>
      <c r="AP413" s="21" t="str">
        <f>IF(AND('Atividades Micro'!$B465=AP$2,'Atividades Micro'!$L465&lt;&gt;""),'Atividades Micro'!$L465,"")</f>
        <v/>
      </c>
      <c r="AQ413" s="21" t="str">
        <f>IF(AND('Atividades Micro'!$A465=AQ$2,'Atividades Micro'!$K465&lt;&gt;""),'Atividades Micro'!$K465,"")</f>
        <v/>
      </c>
      <c r="AR413" s="21" t="str">
        <f>IF(AND('Atividades Micro'!$A465=AR$2,'Atividades Micro'!$L465&lt;&gt;""),'Atividades Micro'!$L465,"")</f>
        <v/>
      </c>
      <c r="AS413" s="21" t="str">
        <f>IF(AND('Atividades Micro'!$B465=AS$2,'Atividades Micro'!$K465&lt;&gt;""),'Atividades Micro'!$K465,"")</f>
        <v/>
      </c>
      <c r="AT413" s="21" t="str">
        <f>IF(AND('Atividades Micro'!$B465=AT$2,'Atividades Micro'!$L465&lt;&gt;""),'Atividades Micro'!$L465,"")</f>
        <v/>
      </c>
      <c r="AU413" s="21" t="str">
        <f>IF(AND('Atividades Micro'!$A465=AU$2,'Atividades Micro'!$K465&lt;&gt;""),'Atividades Micro'!$K465,"")</f>
        <v/>
      </c>
      <c r="AV413" s="21" t="str">
        <f>IF(AND('Atividades Micro'!$A465=AV$2,'Atividades Micro'!$L465&lt;&gt;""),'Atividades Micro'!$L465,"")</f>
        <v/>
      </c>
      <c r="AW413" s="21" t="str">
        <f>IF(AND('Atividades Micro'!$B465=AW$2,'Atividades Micro'!$K465&lt;&gt;""),'Atividades Micro'!$K465,"")</f>
        <v/>
      </c>
      <c r="AX413" s="21" t="str">
        <f>IF(AND('Atividades Micro'!$B465=AX$2,'Atividades Micro'!$L465&lt;&gt;""),'Atividades Micro'!$L465,"")</f>
        <v/>
      </c>
      <c r="AY413" s="21" t="str">
        <f>IF(AND('Atividades Micro'!$A465=AY$2,'Atividades Micro'!$K465&lt;&gt;""),'Atividades Micro'!$K465,"")</f>
        <v/>
      </c>
      <c r="AZ413" s="21" t="str">
        <f>IF(AND('Atividades Micro'!$A465=AZ$2,'Atividades Micro'!$L465&lt;&gt;""),'Atividades Micro'!$L465,"")</f>
        <v/>
      </c>
      <c r="BA413" s="21" t="str">
        <f>IF(AND('Atividades Micro'!$B465=BA$2,'Atividades Micro'!$K465&lt;&gt;""),'Atividades Micro'!$K465,"")</f>
        <v/>
      </c>
      <c r="BB413" s="21" t="str">
        <f>IF(AND('Atividades Micro'!$B465=BB$2,'Atividades Micro'!$L465&lt;&gt;""),'Atividades Micro'!$L465,"")</f>
        <v/>
      </c>
      <c r="BC413" s="21" t="str">
        <f>IF(AND('Atividades Micro'!$B465=BC$2,'Atividades Micro'!$G465="Macro",'Atividades Micro'!$K465&lt;&gt;""),'Atividades Micro'!$K465,"")</f>
        <v/>
      </c>
      <c r="BD413" s="21" t="str">
        <f>IF(AND('Atividades Micro'!$B465=BD$2,'Atividades Micro'!$G465="Macro",'Atividades Micro'!$K465&lt;&gt;""),'Atividades Micro'!$K465,"")</f>
        <v/>
      </c>
      <c r="BE413" s="21" t="str">
        <f>IF(AND('Atividades Micro'!$B465=BE$2,'Atividades Micro'!$G465="Macro",'Atividades Micro'!$K465&lt;&gt;""),'Atividades Micro'!$K465,"")</f>
        <v/>
      </c>
      <c r="BF413" s="21" t="str">
        <f>IF(AND('Atividades Micro'!$B465=BF$2,'Atividades Micro'!$G465="Macro",'Atividades Micro'!$K465&lt;&gt;""),'Atividades Micro'!$K465,"")</f>
        <v/>
      </c>
      <c r="BG413" s="21" t="str">
        <f>IF(AND('Atividades Micro'!$B465=BG$2,'Atividades Micro'!$G465="Macro",'Atividades Micro'!$K465&lt;&gt;""),'Atividades Micro'!$K465,"")</f>
        <v/>
      </c>
      <c r="BH413" s="21" t="str">
        <f>IF(AND('Atividades Micro'!$B465=BH$2,'Atividades Micro'!$G465="Macro",'Atividades Micro'!$K465&lt;&gt;""),'Atividades Micro'!$K465,"")</f>
        <v/>
      </c>
      <c r="BI413" s="21" t="str">
        <f>IF(AND('Atividades Micro'!$B465=BI$2,'Atividades Micro'!$G465="Macro",'Atividades Micro'!$K465&lt;&gt;""),'Atividades Micro'!$K465,"")</f>
        <v/>
      </c>
      <c r="BJ413" s="21" t="str">
        <f>IF(AND('Atividades Micro'!$B465=BJ$2,'Atividades Micro'!$G465="Macro",'Atividades Micro'!$K465&lt;&gt;""),'Atividades Micro'!$K465,"")</f>
        <v/>
      </c>
      <c r="BK413" s="21" t="str">
        <f>IF(AND('Atividades Micro'!$B465=BK$2,'Atividades Micro'!$G465="Macro",'Atividades Micro'!$K465&lt;&gt;""),'Atividades Micro'!$K465,"")</f>
        <v/>
      </c>
      <c r="BL413" s="21" t="str">
        <f>IF(AND('Atividades Micro'!$B465=BL$2,'Atividades Micro'!$G465="Macro",'Atividades Micro'!$K465&lt;&gt;""),'Atividades Micro'!$K465,"")</f>
        <v/>
      </c>
      <c r="BM413" s="21" t="str">
        <f>IF(AND('Atividades Micro'!$B465=BM$2,'Atividades Micro'!$G465="Macro",'Atividades Micro'!$K465&lt;&gt;""),'Atividades Micro'!$K465,"")</f>
        <v/>
      </c>
      <c r="BN413" s="21" t="str">
        <f>IF(AND('Atividades Micro'!$B465=BN$2,'Atividades Micro'!$G465="Macro",'Atividades Micro'!$K465&lt;&gt;""),'Atividades Micro'!$K465,"")</f>
        <v/>
      </c>
      <c r="BO413" s="21" t="str">
        <f>IF(AND('Atividades Micro'!$B465=BO$2,'Atividades Micro'!$G465="Macro",'Atividades Micro'!$K465&lt;&gt;""),'Atividades Micro'!$K465,"")</f>
        <v/>
      </c>
      <c r="BP413" s="21" t="str">
        <f>IF(AND('Atividades Micro'!$B465=BP$2,'Atividades Micro'!$G465="Macro",'Atividades Micro'!$K465&lt;&gt;""),'Atividades Micro'!$K465,"")</f>
        <v/>
      </c>
      <c r="BQ413" s="21" t="str">
        <f>IF(AND('Atividades Micro'!$B465=BQ$2,'Atividades Micro'!$G465="Macro",'Atividades Micro'!$K465&lt;&gt;""),'Atividades Micro'!$K465,"")</f>
        <v/>
      </c>
      <c r="BR413" s="21" t="str">
        <f>IF(AND('Atividades Micro'!$B465=BR$2,'Atividades Micro'!$G465="Macro",'Atividades Micro'!$K465&lt;&gt;""),'Atividades Micro'!$K465,"")</f>
        <v/>
      </c>
      <c r="BS413" s="21" t="str">
        <f>IF(AND('Atividades Micro'!$B465=BS$2,'Atividades Micro'!$G465="Macro",'Atividades Micro'!$K465&lt;&gt;""),'Atividades Micro'!$K465,"")</f>
        <v/>
      </c>
      <c r="BT413" s="21" t="str">
        <f>IF(AND('Atividades Micro'!$B465=BT$2,'Atividades Micro'!$G465="Macro",'Atividades Micro'!$K465&lt;&gt;""),'Atividades Micro'!$K465,"")</f>
        <v/>
      </c>
      <c r="BU413" s="21" t="str">
        <f>IF(AND('Atividades Micro'!$B465=BU$2,'Atividades Micro'!$G465="Macro",'Atividades Micro'!$K465&lt;&gt;""),'Atividades Micro'!$K465,"")</f>
        <v/>
      </c>
      <c r="BV413" s="21" t="str">
        <f>IF(AND('Atividades Micro'!$B465=BV$2,'Atividades Micro'!$G465="Macro",'Atividades Micro'!$K465&lt;&gt;""),'Atividades Micro'!$K465,"")</f>
        <v/>
      </c>
      <c r="BW413" s="21" t="str">
        <f>IF(AND('Atividades Micro'!$B465=BW$2,'Atividades Micro'!$G465="Macro",'Atividades Micro'!$K465&lt;&gt;""),'Atividades Micro'!$K465,"")</f>
        <v/>
      </c>
      <c r="BX413" s="21" t="str">
        <f>IF(AND('Atividades Micro'!$B465=BX$2,'Atividades Micro'!$G465="Macro",'Atividades Micro'!$K465&lt;&gt;""),'Atividades Micro'!$K465,"")</f>
        <v/>
      </c>
      <c r="BY413" s="21" t="str">
        <f>IF(AND('Atividades Micro'!$B465=BY$2,'Atividades Micro'!$G465="Macro",'Atividades Micro'!$K465&lt;&gt;""),'Atividades Micro'!$K465,"")</f>
        <v/>
      </c>
      <c r="BZ413" s="21" t="str">
        <f>IF(AND('Atividades Micro'!$B465=BZ$2,'Atividades Micro'!$G465="Macro",'Atividades Micro'!$K465&lt;&gt;""),'Atividades Micro'!$K465,"")</f>
        <v/>
      </c>
      <c r="CA413" s="21" t="str">
        <f>IF(AND('Atividades Micro'!$B465=CA$2,'Atividades Micro'!$G465="Macro",'Atividades Micro'!$K465&lt;&gt;""),'Atividades Micro'!$K465,"")</f>
        <v/>
      </c>
      <c r="CB413" s="21" t="str">
        <f>IF(AND('Atividades Micro'!$B465=CB$2,'Atividades Micro'!$G465="Macro",'Atividades Micro'!$K465&lt;&gt;""),'Atividades Micro'!$K465,"")</f>
        <v/>
      </c>
      <c r="CC413" s="21" t="str">
        <f>IF(AND('Atividades Micro'!$B465=CC$2,'Atividades Micro'!$G465="Macro",'Atividades Micro'!$K465&lt;&gt;""),'Atividades Micro'!$K465,"")</f>
        <v/>
      </c>
      <c r="CD413" s="21" t="str">
        <f>IF(AND('Atividades Micro'!$B465=CD$2,'Atividades Micro'!$G465="Micro",'Atividades Micro'!$K465&lt;&gt;""),'Atividades Micro'!$K465,"")</f>
        <v/>
      </c>
      <c r="CE413" s="21" t="str">
        <f>IF(AND('Atividades Micro'!$B465=CE$2,'Atividades Micro'!$G465="Micro",'Atividades Micro'!$K465&lt;&gt;""),'Atividades Micro'!$K465,"")</f>
        <v/>
      </c>
      <c r="CF413" s="21" t="str">
        <f>IF(AND('Atividades Micro'!$B465=CF$2,'Atividades Micro'!$G465="Micro",'Atividades Micro'!$K465&lt;&gt;""),'Atividades Micro'!$K465,"")</f>
        <v/>
      </c>
      <c r="CG413" s="21" t="str">
        <f>IF(AND('Atividades Micro'!$B465=CG$2,'Atividades Micro'!$G465="Micro",'Atividades Micro'!$K465&lt;&gt;""),'Atividades Micro'!$K465,"")</f>
        <v/>
      </c>
      <c r="CH413" s="21" t="str">
        <f>IF(AND('Atividades Micro'!$B465=CH$2,'Atividades Micro'!$G465="Micro",'Atividades Micro'!$K465&lt;&gt;""),'Atividades Micro'!$K465,"")</f>
        <v/>
      </c>
      <c r="CI413" s="21" t="str">
        <f>IF(AND('Atividades Micro'!$B465=CI$2,'Atividades Micro'!$G465="Micro",'Atividades Micro'!$K465&lt;&gt;""),'Atividades Micro'!$K465,"")</f>
        <v/>
      </c>
      <c r="CJ413" s="21" t="str">
        <f>IF(AND('Atividades Micro'!$B465=CJ$2,'Atividades Micro'!$G465="Micro",'Atividades Micro'!$K465&lt;&gt;""),'Atividades Micro'!$K465,"")</f>
        <v/>
      </c>
      <c r="CK413" s="21" t="str">
        <f>IF(AND('Atividades Micro'!$B465=CK$2,'Atividades Micro'!$G465="Micro",'Atividades Micro'!$K465&lt;&gt;""),'Atividades Micro'!$K465,"")</f>
        <v/>
      </c>
      <c r="CL413" s="21" t="str">
        <f>IF(AND('Atividades Micro'!$B465=CL$2,'Atividades Micro'!$G465="Micro",'Atividades Micro'!$K465&lt;&gt;""),'Atividades Micro'!$K465,"")</f>
        <v/>
      </c>
      <c r="CM413" s="21" t="str">
        <f>IF(AND('Atividades Micro'!$B465=CM$2,'Atividades Micro'!$G465="Micro",'Atividades Micro'!$K465&lt;&gt;""),'Atividades Micro'!$K465,"")</f>
        <v/>
      </c>
      <c r="CN413" s="21" t="str">
        <f>IF(AND('Atividades Micro'!$B465=CN$2,'Atividades Micro'!$G465="Micro",'Atividades Micro'!$K465&lt;&gt;""),'Atividades Micro'!$K465,"")</f>
        <v/>
      </c>
      <c r="CO413" s="21" t="str">
        <f>IF(AND('Atividades Micro'!$B465=CO$2,'Atividades Micro'!$G465="Micro",'Atividades Micro'!$K465&lt;&gt;""),'Atividades Micro'!$K465,"")</f>
        <v/>
      </c>
    </row>
    <row r="414" spans="1:93">
      <c r="A414" s="21" t="str">
        <f>IF(AND('Atividades Micro'!$A466=A$2,'Atividades Micro'!$K466&lt;&gt;""),'Atividades Micro'!$K466,"")</f>
        <v/>
      </c>
      <c r="B414" s="21" t="str">
        <f>IF(AND('Atividades Micro'!$A466=B$2,'Atividades Micro'!$L466&lt;&gt;""),'Atividades Micro'!$L466,"")</f>
        <v/>
      </c>
      <c r="C414" s="21" t="str">
        <f>IF(AND('Atividades Micro'!$A466=C$2,'Atividades Micro'!$K466&lt;&gt;""),'Atividades Micro'!$K466,"")</f>
        <v/>
      </c>
      <c r="D414" s="21" t="str">
        <f>IF(AND('Atividades Micro'!$A466=D$2,'Atividades Micro'!$L466&lt;&gt;""),'Atividades Micro'!$L466,"")</f>
        <v/>
      </c>
      <c r="E414" s="21" t="str">
        <f>IF(AND('Atividades Micro'!$A466=E$2,'Atividades Micro'!$K466&lt;&gt;""),'Atividades Micro'!$K466,"")</f>
        <v/>
      </c>
      <c r="F414" s="21" t="str">
        <f>IF(AND('Atividades Micro'!$A466=F$2,'Atividades Micro'!$L466&lt;&gt;""),'Atividades Micro'!$L466,"")</f>
        <v/>
      </c>
      <c r="G414" s="21" t="str">
        <f>IF(AND('Atividades Micro'!$A466=G$2,'Atividades Micro'!$K466&lt;&gt;""),'Atividades Micro'!$K466,"")</f>
        <v/>
      </c>
      <c r="H414" s="21" t="str">
        <f>IF(AND('Atividades Micro'!$A466=H$2,'Atividades Micro'!$L466&lt;&gt;""),'Atividades Micro'!$L466,"")</f>
        <v/>
      </c>
      <c r="I414" s="21" t="str">
        <f>IF(AND('Atividades Micro'!$A466=I$2,'Atividades Micro'!$K466&lt;&gt;""),'Atividades Micro'!$K466,"")</f>
        <v/>
      </c>
      <c r="J414" s="21" t="str">
        <f>IF(AND('Atividades Micro'!$A466=J$2,'Atividades Micro'!$L466&lt;&gt;""),'Atividades Micro'!$L466,"")</f>
        <v/>
      </c>
      <c r="K414" s="21" t="str">
        <f>IF(AND('Atividades Micro'!$B466=K$2,'Atividades Micro'!$K466&lt;&gt;""),'Atividades Micro'!$K466,"")</f>
        <v/>
      </c>
      <c r="L414" s="21" t="str">
        <f>IF(AND('Atividades Micro'!$B466=L$2,'Atividades Micro'!$L466&lt;&gt;""),'Atividades Micro'!$L466,"")</f>
        <v/>
      </c>
      <c r="M414" s="21" t="str">
        <f>IF(AND('Atividades Micro'!$B466=M$2,'Atividades Micro'!$K466&lt;&gt;""),'Atividades Micro'!$K466,"")</f>
        <v/>
      </c>
      <c r="N414" s="21" t="str">
        <f>IF(AND('Atividades Micro'!$B466=N$2,'Atividades Micro'!$L466&lt;&gt;""),'Atividades Micro'!$L466,"")</f>
        <v/>
      </c>
      <c r="O414" s="21" t="str">
        <f>IF(AND('Atividades Micro'!$A466=O$2,'Atividades Micro'!$K466&lt;&gt;""),'Atividades Micro'!$K466,"")</f>
        <v/>
      </c>
      <c r="P414" s="21" t="str">
        <f>IF(AND('Atividades Micro'!$A466=P$2,'Atividades Micro'!$L466&lt;&gt;""),'Atividades Micro'!$L466,"")</f>
        <v/>
      </c>
      <c r="Q414" s="21" t="str">
        <f>IF(AND('Atividades Micro'!$B466=Q$2,'Atividades Micro'!$K466&lt;&gt;""),'Atividades Micro'!$K466,"")</f>
        <v/>
      </c>
      <c r="R414" s="21" t="str">
        <f>IF(AND('Atividades Micro'!$B466=R$2,'Atividades Micro'!$L466&lt;&gt;""),'Atividades Micro'!$L466,"")</f>
        <v/>
      </c>
      <c r="S414" s="21" t="str">
        <f>IF(AND('Atividades Micro'!$A466=S$2,'Atividades Micro'!$K466&lt;&gt;""),'Atividades Micro'!$K466,"")</f>
        <v/>
      </c>
      <c r="T414" s="21" t="str">
        <f>IF(AND('Atividades Micro'!$A466=T$2,'Atividades Micro'!$L466&lt;&gt;""),'Atividades Micro'!$L466,"")</f>
        <v/>
      </c>
      <c r="U414" s="21" t="str">
        <f>IF(AND('Atividades Micro'!$B466=U$2,'Atividades Micro'!$K466&lt;&gt;""),'Atividades Micro'!$K466,"")</f>
        <v/>
      </c>
      <c r="V414" s="21" t="str">
        <f>IF(AND('Atividades Micro'!$B466=V$2,'Atividades Micro'!$L466&lt;&gt;""),'Atividades Micro'!$L466,"")</f>
        <v/>
      </c>
      <c r="W414" s="21" t="str">
        <f>IF(AND('Atividades Micro'!$B466=W$2,'Atividades Micro'!$K466&lt;&gt;""),'Atividades Micro'!$K466,"")</f>
        <v/>
      </c>
      <c r="X414" s="21" t="str">
        <f>IF(AND('Atividades Micro'!$B466=X$2,'Atividades Micro'!$L466&lt;&gt;""),'Atividades Micro'!$L466,"")</f>
        <v/>
      </c>
      <c r="Y414" s="21" t="str">
        <f>IF(AND('Atividades Micro'!$A466=Y$2,'Atividades Micro'!$K466&lt;&gt;""),'Atividades Micro'!$K466,"")</f>
        <v/>
      </c>
      <c r="Z414" s="21" t="str">
        <f>IF(AND('Atividades Micro'!$A466=Z$2,'Atividades Micro'!$L466&lt;&gt;""),'Atividades Micro'!$L466,"")</f>
        <v/>
      </c>
      <c r="AA414" s="21" t="str">
        <f>IF(AND('Atividades Micro'!$B466=AA$2,'Atividades Micro'!$K466&lt;&gt;""),'Atividades Micro'!$K466,"")</f>
        <v/>
      </c>
      <c r="AB414" s="21" t="str">
        <f>IF(AND('Atividades Micro'!$B466=AB$2,'Atividades Micro'!$L466&lt;&gt;""),'Atividades Micro'!$L466,"")</f>
        <v/>
      </c>
      <c r="AC414" s="21" t="str">
        <f>IF(AND('Atividades Micro'!$B466=AC$2,'Atividades Micro'!$K466&lt;&gt;""),'Atividades Micro'!$K466,"")</f>
        <v/>
      </c>
      <c r="AD414" s="21" t="str">
        <f>IF(AND('Atividades Micro'!$B466=AD$2,'Atividades Micro'!$L466&lt;&gt;""),'Atividades Micro'!$L466,"")</f>
        <v/>
      </c>
      <c r="AE414" s="21" t="str">
        <f>IF(AND('Atividades Micro'!$A466=AE$2,'Atividades Micro'!$K466&lt;&gt;""),'Atividades Micro'!$K466,"")</f>
        <v/>
      </c>
      <c r="AF414" s="21" t="str">
        <f>IF(AND('Atividades Micro'!$A466=AF$2,'Atividades Micro'!$L466&lt;&gt;""),'Atividades Micro'!$L466,"")</f>
        <v/>
      </c>
      <c r="AG414" s="21" t="str">
        <f>IF(AND('Atividades Micro'!$B466=AG$2,'Atividades Micro'!$K466&lt;&gt;""),'Atividades Micro'!$K466,"")</f>
        <v/>
      </c>
      <c r="AH414" s="21" t="str">
        <f>IF(AND('Atividades Micro'!$B466=AH$2,'Atividades Micro'!$L466&lt;&gt;""),'Atividades Micro'!$L466,"")</f>
        <v/>
      </c>
      <c r="AI414" s="21" t="str">
        <f>IF(AND('Atividades Micro'!$B466=AI$2,'Atividades Micro'!$K466&lt;&gt;""),'Atividades Micro'!$K466,"")</f>
        <v/>
      </c>
      <c r="AJ414" s="21" t="str">
        <f>IF(AND('Atividades Micro'!$B466=AJ$2,'Atividades Micro'!$L466&lt;&gt;""),'Atividades Micro'!$L466,"")</f>
        <v/>
      </c>
      <c r="AK414" s="21" t="str">
        <f>IF(AND('Atividades Micro'!$A466=AK$2,'Atividades Micro'!$K466&lt;&gt;""),'Atividades Micro'!$K466,"")</f>
        <v/>
      </c>
      <c r="AL414" s="21" t="str">
        <f>IF(AND('Atividades Micro'!$A466=AL$2,'Atividades Micro'!$L466&lt;&gt;""),'Atividades Micro'!$L466,"")</f>
        <v/>
      </c>
      <c r="AM414" s="21" t="str">
        <f>IF(AND('Atividades Micro'!$B466=AM$2,'Atividades Micro'!$K466&lt;&gt;""),'Atividades Micro'!$K466,"")</f>
        <v/>
      </c>
      <c r="AN414" s="21" t="str">
        <f>IF(AND('Atividades Micro'!$B466=AN$2,'Atividades Micro'!$L466&lt;&gt;""),'Atividades Micro'!$L466,"")</f>
        <v/>
      </c>
      <c r="AO414" s="21" t="str">
        <f>IF(AND('Atividades Micro'!$B466=AO$2,'Atividades Micro'!$K466&lt;&gt;""),'Atividades Micro'!$K466,"")</f>
        <v/>
      </c>
      <c r="AP414" s="21" t="str">
        <f>IF(AND('Atividades Micro'!$B466=AP$2,'Atividades Micro'!$L466&lt;&gt;""),'Atividades Micro'!$L466,"")</f>
        <v/>
      </c>
      <c r="AQ414" s="21" t="str">
        <f>IF(AND('Atividades Micro'!$A466=AQ$2,'Atividades Micro'!$K466&lt;&gt;""),'Atividades Micro'!$K466,"")</f>
        <v/>
      </c>
      <c r="AR414" s="21" t="str">
        <f>IF(AND('Atividades Micro'!$A466=AR$2,'Atividades Micro'!$L466&lt;&gt;""),'Atividades Micro'!$L466,"")</f>
        <v/>
      </c>
      <c r="AS414" s="21" t="str">
        <f>IF(AND('Atividades Micro'!$B466=AS$2,'Atividades Micro'!$K466&lt;&gt;""),'Atividades Micro'!$K466,"")</f>
        <v/>
      </c>
      <c r="AT414" s="21" t="str">
        <f>IF(AND('Atividades Micro'!$B466=AT$2,'Atividades Micro'!$L466&lt;&gt;""),'Atividades Micro'!$L466,"")</f>
        <v/>
      </c>
      <c r="AU414" s="21" t="str">
        <f>IF(AND('Atividades Micro'!$A466=AU$2,'Atividades Micro'!$K466&lt;&gt;""),'Atividades Micro'!$K466,"")</f>
        <v/>
      </c>
      <c r="AV414" s="21" t="str">
        <f>IF(AND('Atividades Micro'!$A466=AV$2,'Atividades Micro'!$L466&lt;&gt;""),'Atividades Micro'!$L466,"")</f>
        <v/>
      </c>
      <c r="AW414" s="21" t="str">
        <f>IF(AND('Atividades Micro'!$B466=AW$2,'Atividades Micro'!$K466&lt;&gt;""),'Atividades Micro'!$K466,"")</f>
        <v/>
      </c>
      <c r="AX414" s="21" t="str">
        <f>IF(AND('Atividades Micro'!$B466=AX$2,'Atividades Micro'!$L466&lt;&gt;""),'Atividades Micro'!$L466,"")</f>
        <v/>
      </c>
      <c r="AY414" s="21" t="str">
        <f>IF(AND('Atividades Micro'!$A466=AY$2,'Atividades Micro'!$K466&lt;&gt;""),'Atividades Micro'!$K466,"")</f>
        <v/>
      </c>
      <c r="AZ414" s="21" t="str">
        <f>IF(AND('Atividades Micro'!$A466=AZ$2,'Atividades Micro'!$L466&lt;&gt;""),'Atividades Micro'!$L466,"")</f>
        <v/>
      </c>
      <c r="BA414" s="21" t="str">
        <f>IF(AND('Atividades Micro'!$B466=BA$2,'Atividades Micro'!$K466&lt;&gt;""),'Atividades Micro'!$K466,"")</f>
        <v/>
      </c>
      <c r="BB414" s="21" t="str">
        <f>IF(AND('Atividades Micro'!$B466=BB$2,'Atividades Micro'!$L466&lt;&gt;""),'Atividades Micro'!$L466,"")</f>
        <v/>
      </c>
      <c r="BC414" s="21" t="str">
        <f>IF(AND('Atividades Micro'!$B466=BC$2,'Atividades Micro'!$G466="Macro",'Atividades Micro'!$K466&lt;&gt;""),'Atividades Micro'!$K466,"")</f>
        <v/>
      </c>
      <c r="BD414" s="21" t="str">
        <f>IF(AND('Atividades Micro'!$B466=BD$2,'Atividades Micro'!$G466="Macro",'Atividades Micro'!$K466&lt;&gt;""),'Atividades Micro'!$K466,"")</f>
        <v/>
      </c>
      <c r="BE414" s="21" t="str">
        <f>IF(AND('Atividades Micro'!$B466=BE$2,'Atividades Micro'!$G466="Macro",'Atividades Micro'!$K466&lt;&gt;""),'Atividades Micro'!$K466,"")</f>
        <v/>
      </c>
      <c r="BF414" s="21" t="str">
        <f>IF(AND('Atividades Micro'!$B466=BF$2,'Atividades Micro'!$G466="Macro",'Atividades Micro'!$K466&lt;&gt;""),'Atividades Micro'!$K466,"")</f>
        <v/>
      </c>
      <c r="BG414" s="21" t="str">
        <f>IF(AND('Atividades Micro'!$B466=BG$2,'Atividades Micro'!$G466="Macro",'Atividades Micro'!$K466&lt;&gt;""),'Atividades Micro'!$K466,"")</f>
        <v/>
      </c>
      <c r="BH414" s="21" t="str">
        <f>IF(AND('Atividades Micro'!$B466=BH$2,'Atividades Micro'!$G466="Macro",'Atividades Micro'!$K466&lt;&gt;""),'Atividades Micro'!$K466,"")</f>
        <v/>
      </c>
      <c r="BI414" s="21" t="str">
        <f>IF(AND('Atividades Micro'!$B466=BI$2,'Atividades Micro'!$G466="Macro",'Atividades Micro'!$K466&lt;&gt;""),'Atividades Micro'!$K466,"")</f>
        <v/>
      </c>
      <c r="BJ414" s="21" t="str">
        <f>IF(AND('Atividades Micro'!$B466=BJ$2,'Atividades Micro'!$G466="Macro",'Atividades Micro'!$K466&lt;&gt;""),'Atividades Micro'!$K466,"")</f>
        <v/>
      </c>
      <c r="BK414" s="21" t="str">
        <f>IF(AND('Atividades Micro'!$B466=BK$2,'Atividades Micro'!$G466="Macro",'Atividades Micro'!$K466&lt;&gt;""),'Atividades Micro'!$K466,"")</f>
        <v/>
      </c>
      <c r="BL414" s="21" t="str">
        <f>IF(AND('Atividades Micro'!$B466=BL$2,'Atividades Micro'!$G466="Macro",'Atividades Micro'!$K466&lt;&gt;""),'Atividades Micro'!$K466,"")</f>
        <v/>
      </c>
      <c r="BM414" s="21" t="str">
        <f>IF(AND('Atividades Micro'!$B466=BM$2,'Atividades Micro'!$G466="Macro",'Atividades Micro'!$K466&lt;&gt;""),'Atividades Micro'!$K466,"")</f>
        <v/>
      </c>
      <c r="BN414" s="21" t="str">
        <f>IF(AND('Atividades Micro'!$B466=BN$2,'Atividades Micro'!$G466="Macro",'Atividades Micro'!$K466&lt;&gt;""),'Atividades Micro'!$K466,"")</f>
        <v/>
      </c>
      <c r="BO414" s="21" t="str">
        <f>IF(AND('Atividades Micro'!$B466=BO$2,'Atividades Micro'!$G466="Macro",'Atividades Micro'!$K466&lt;&gt;""),'Atividades Micro'!$K466,"")</f>
        <v/>
      </c>
      <c r="BP414" s="21" t="str">
        <f>IF(AND('Atividades Micro'!$B466=BP$2,'Atividades Micro'!$G466="Macro",'Atividades Micro'!$K466&lt;&gt;""),'Atividades Micro'!$K466,"")</f>
        <v/>
      </c>
      <c r="BQ414" s="21" t="str">
        <f>IF(AND('Atividades Micro'!$B466=BQ$2,'Atividades Micro'!$G466="Macro",'Atividades Micro'!$K466&lt;&gt;""),'Atividades Micro'!$K466,"")</f>
        <v/>
      </c>
      <c r="BR414" s="21" t="str">
        <f>IF(AND('Atividades Micro'!$B466=BR$2,'Atividades Micro'!$G466="Macro",'Atividades Micro'!$K466&lt;&gt;""),'Atividades Micro'!$K466,"")</f>
        <v/>
      </c>
      <c r="BS414" s="21" t="str">
        <f>IF(AND('Atividades Micro'!$B466=BS$2,'Atividades Micro'!$G466="Macro",'Atividades Micro'!$K466&lt;&gt;""),'Atividades Micro'!$K466,"")</f>
        <v/>
      </c>
      <c r="BT414" s="21" t="str">
        <f>IF(AND('Atividades Micro'!$B466=BT$2,'Atividades Micro'!$G466="Macro",'Atividades Micro'!$K466&lt;&gt;""),'Atividades Micro'!$K466,"")</f>
        <v/>
      </c>
      <c r="BU414" s="21" t="str">
        <f>IF(AND('Atividades Micro'!$B466=BU$2,'Atividades Micro'!$G466="Macro",'Atividades Micro'!$K466&lt;&gt;""),'Atividades Micro'!$K466,"")</f>
        <v/>
      </c>
      <c r="BV414" s="21" t="str">
        <f>IF(AND('Atividades Micro'!$B466=BV$2,'Atividades Micro'!$G466="Macro",'Atividades Micro'!$K466&lt;&gt;""),'Atividades Micro'!$K466,"")</f>
        <v/>
      </c>
      <c r="BW414" s="21" t="str">
        <f>IF(AND('Atividades Micro'!$B466=BW$2,'Atividades Micro'!$G466="Macro",'Atividades Micro'!$K466&lt;&gt;""),'Atividades Micro'!$K466,"")</f>
        <v/>
      </c>
      <c r="BX414" s="21" t="str">
        <f>IF(AND('Atividades Micro'!$B466=BX$2,'Atividades Micro'!$G466="Macro",'Atividades Micro'!$K466&lt;&gt;""),'Atividades Micro'!$K466,"")</f>
        <v/>
      </c>
      <c r="BY414" s="21" t="str">
        <f>IF(AND('Atividades Micro'!$B466=BY$2,'Atividades Micro'!$G466="Macro",'Atividades Micro'!$K466&lt;&gt;""),'Atividades Micro'!$K466,"")</f>
        <v/>
      </c>
      <c r="BZ414" s="21" t="str">
        <f>IF(AND('Atividades Micro'!$B466=BZ$2,'Atividades Micro'!$G466="Macro",'Atividades Micro'!$K466&lt;&gt;""),'Atividades Micro'!$K466,"")</f>
        <v/>
      </c>
      <c r="CA414" s="21" t="str">
        <f>IF(AND('Atividades Micro'!$B466=CA$2,'Atividades Micro'!$G466="Macro",'Atividades Micro'!$K466&lt;&gt;""),'Atividades Micro'!$K466,"")</f>
        <v/>
      </c>
      <c r="CB414" s="21" t="str">
        <f>IF(AND('Atividades Micro'!$B466=CB$2,'Atividades Micro'!$G466="Macro",'Atividades Micro'!$K466&lt;&gt;""),'Atividades Micro'!$K466,"")</f>
        <v/>
      </c>
      <c r="CC414" s="21" t="str">
        <f>IF(AND('Atividades Micro'!$B466=CC$2,'Atividades Micro'!$G466="Macro",'Atividades Micro'!$K466&lt;&gt;""),'Atividades Micro'!$K466,"")</f>
        <v/>
      </c>
      <c r="CD414" s="21" t="str">
        <f>IF(AND('Atividades Micro'!$B466=CD$2,'Atividades Micro'!$G466="Micro",'Atividades Micro'!$K466&lt;&gt;""),'Atividades Micro'!$K466,"")</f>
        <v/>
      </c>
      <c r="CE414" s="21" t="str">
        <f>IF(AND('Atividades Micro'!$B466=CE$2,'Atividades Micro'!$G466="Micro",'Atividades Micro'!$K466&lt;&gt;""),'Atividades Micro'!$K466,"")</f>
        <v/>
      </c>
      <c r="CF414" s="21" t="str">
        <f>IF(AND('Atividades Micro'!$B466=CF$2,'Atividades Micro'!$G466="Micro",'Atividades Micro'!$K466&lt;&gt;""),'Atividades Micro'!$K466,"")</f>
        <v/>
      </c>
      <c r="CG414" s="21" t="str">
        <f>IF(AND('Atividades Micro'!$B466=CG$2,'Atividades Micro'!$G466="Micro",'Atividades Micro'!$K466&lt;&gt;""),'Atividades Micro'!$K466,"")</f>
        <v/>
      </c>
      <c r="CH414" s="21" t="str">
        <f>IF(AND('Atividades Micro'!$B466=CH$2,'Atividades Micro'!$G466="Micro",'Atividades Micro'!$K466&lt;&gt;""),'Atividades Micro'!$K466,"")</f>
        <v/>
      </c>
      <c r="CI414" s="21" t="str">
        <f>IF(AND('Atividades Micro'!$B466=CI$2,'Atividades Micro'!$G466="Micro",'Atividades Micro'!$K466&lt;&gt;""),'Atividades Micro'!$K466,"")</f>
        <v/>
      </c>
      <c r="CJ414" s="21" t="str">
        <f>IF(AND('Atividades Micro'!$B466=CJ$2,'Atividades Micro'!$G466="Micro",'Atividades Micro'!$K466&lt;&gt;""),'Atividades Micro'!$K466,"")</f>
        <v/>
      </c>
      <c r="CK414" s="21" t="str">
        <f>IF(AND('Atividades Micro'!$B466=CK$2,'Atividades Micro'!$G466="Micro",'Atividades Micro'!$K466&lt;&gt;""),'Atividades Micro'!$K466,"")</f>
        <v/>
      </c>
      <c r="CL414" s="21" t="str">
        <f>IF(AND('Atividades Micro'!$B466=CL$2,'Atividades Micro'!$G466="Micro",'Atividades Micro'!$K466&lt;&gt;""),'Atividades Micro'!$K466,"")</f>
        <v/>
      </c>
      <c r="CM414" s="21" t="str">
        <f>IF(AND('Atividades Micro'!$B466=CM$2,'Atividades Micro'!$G466="Micro",'Atividades Micro'!$K466&lt;&gt;""),'Atividades Micro'!$K466,"")</f>
        <v/>
      </c>
      <c r="CN414" s="21" t="str">
        <f>IF(AND('Atividades Micro'!$B466=CN$2,'Atividades Micro'!$G466="Micro",'Atividades Micro'!$K466&lt;&gt;""),'Atividades Micro'!$K466,"")</f>
        <v/>
      </c>
      <c r="CO414" s="21" t="str">
        <f>IF(AND('Atividades Micro'!$B466=CO$2,'Atividades Micro'!$G466="Micro",'Atividades Micro'!$K466&lt;&gt;""),'Atividades Micro'!$K466,"")</f>
        <v/>
      </c>
    </row>
    <row r="415" spans="1:93">
      <c r="A415" s="21" t="str">
        <f>IF(AND('Atividades Micro'!$A467=A$2,'Atividades Micro'!$K467&lt;&gt;""),'Atividades Micro'!$K467,"")</f>
        <v/>
      </c>
      <c r="B415" s="21" t="str">
        <f>IF(AND('Atividades Micro'!$A467=B$2,'Atividades Micro'!$L467&lt;&gt;""),'Atividades Micro'!$L467,"")</f>
        <v/>
      </c>
      <c r="C415" s="21" t="str">
        <f>IF(AND('Atividades Micro'!$A467=C$2,'Atividades Micro'!$K467&lt;&gt;""),'Atividades Micro'!$K467,"")</f>
        <v/>
      </c>
      <c r="D415" s="21" t="str">
        <f>IF(AND('Atividades Micro'!$A467=D$2,'Atividades Micro'!$L467&lt;&gt;""),'Atividades Micro'!$L467,"")</f>
        <v/>
      </c>
      <c r="E415" s="21" t="str">
        <f>IF(AND('Atividades Micro'!$A467=E$2,'Atividades Micro'!$K467&lt;&gt;""),'Atividades Micro'!$K467,"")</f>
        <v/>
      </c>
      <c r="F415" s="21" t="str">
        <f>IF(AND('Atividades Micro'!$A467=F$2,'Atividades Micro'!$L467&lt;&gt;""),'Atividades Micro'!$L467,"")</f>
        <v/>
      </c>
      <c r="G415" s="21" t="str">
        <f>IF(AND('Atividades Micro'!$A467=G$2,'Atividades Micro'!$K467&lt;&gt;""),'Atividades Micro'!$K467,"")</f>
        <v/>
      </c>
      <c r="H415" s="21" t="str">
        <f>IF(AND('Atividades Micro'!$A467=H$2,'Atividades Micro'!$L467&lt;&gt;""),'Atividades Micro'!$L467,"")</f>
        <v/>
      </c>
      <c r="I415" s="21" t="str">
        <f>IF(AND('Atividades Micro'!$A467=I$2,'Atividades Micro'!$K467&lt;&gt;""),'Atividades Micro'!$K467,"")</f>
        <v/>
      </c>
      <c r="J415" s="21" t="str">
        <f>IF(AND('Atividades Micro'!$A467=J$2,'Atividades Micro'!$L467&lt;&gt;""),'Atividades Micro'!$L467,"")</f>
        <v/>
      </c>
      <c r="K415" s="21" t="str">
        <f>IF(AND('Atividades Micro'!$B467=K$2,'Atividades Micro'!$K467&lt;&gt;""),'Atividades Micro'!$K467,"")</f>
        <v/>
      </c>
      <c r="L415" s="21" t="str">
        <f>IF(AND('Atividades Micro'!$B467=L$2,'Atividades Micro'!$L467&lt;&gt;""),'Atividades Micro'!$L467,"")</f>
        <v/>
      </c>
      <c r="M415" s="21" t="str">
        <f>IF(AND('Atividades Micro'!$B467=M$2,'Atividades Micro'!$K467&lt;&gt;""),'Atividades Micro'!$K467,"")</f>
        <v/>
      </c>
      <c r="N415" s="21" t="str">
        <f>IF(AND('Atividades Micro'!$B467=N$2,'Atividades Micro'!$L467&lt;&gt;""),'Atividades Micro'!$L467,"")</f>
        <v/>
      </c>
      <c r="O415" s="21" t="str">
        <f>IF(AND('Atividades Micro'!$A467=O$2,'Atividades Micro'!$K467&lt;&gt;""),'Atividades Micro'!$K467,"")</f>
        <v/>
      </c>
      <c r="P415" s="21" t="str">
        <f>IF(AND('Atividades Micro'!$A467=P$2,'Atividades Micro'!$L467&lt;&gt;""),'Atividades Micro'!$L467,"")</f>
        <v/>
      </c>
      <c r="Q415" s="21" t="str">
        <f>IF(AND('Atividades Micro'!$B467=Q$2,'Atividades Micro'!$K467&lt;&gt;""),'Atividades Micro'!$K467,"")</f>
        <v/>
      </c>
      <c r="R415" s="21" t="str">
        <f>IF(AND('Atividades Micro'!$B467=R$2,'Atividades Micro'!$L467&lt;&gt;""),'Atividades Micro'!$L467,"")</f>
        <v/>
      </c>
      <c r="S415" s="21" t="str">
        <f>IF(AND('Atividades Micro'!$A467=S$2,'Atividades Micro'!$K467&lt;&gt;""),'Atividades Micro'!$K467,"")</f>
        <v/>
      </c>
      <c r="T415" s="21" t="str">
        <f>IF(AND('Atividades Micro'!$A467=T$2,'Atividades Micro'!$L467&lt;&gt;""),'Atividades Micro'!$L467,"")</f>
        <v/>
      </c>
      <c r="U415" s="21" t="str">
        <f>IF(AND('Atividades Micro'!$B467=U$2,'Atividades Micro'!$K467&lt;&gt;""),'Atividades Micro'!$K467,"")</f>
        <v/>
      </c>
      <c r="V415" s="21" t="str">
        <f>IF(AND('Atividades Micro'!$B467=V$2,'Atividades Micro'!$L467&lt;&gt;""),'Atividades Micro'!$L467,"")</f>
        <v/>
      </c>
      <c r="W415" s="21" t="str">
        <f>IF(AND('Atividades Micro'!$B467=W$2,'Atividades Micro'!$K467&lt;&gt;""),'Atividades Micro'!$K467,"")</f>
        <v/>
      </c>
      <c r="X415" s="21" t="str">
        <f>IF(AND('Atividades Micro'!$B467=X$2,'Atividades Micro'!$L467&lt;&gt;""),'Atividades Micro'!$L467,"")</f>
        <v/>
      </c>
      <c r="Y415" s="21" t="str">
        <f>IF(AND('Atividades Micro'!$A467=Y$2,'Atividades Micro'!$K467&lt;&gt;""),'Atividades Micro'!$K467,"")</f>
        <v/>
      </c>
      <c r="Z415" s="21" t="str">
        <f>IF(AND('Atividades Micro'!$A467=Z$2,'Atividades Micro'!$L467&lt;&gt;""),'Atividades Micro'!$L467,"")</f>
        <v/>
      </c>
      <c r="AA415" s="21" t="str">
        <f>IF(AND('Atividades Micro'!$B467=AA$2,'Atividades Micro'!$K467&lt;&gt;""),'Atividades Micro'!$K467,"")</f>
        <v/>
      </c>
      <c r="AB415" s="21" t="str">
        <f>IF(AND('Atividades Micro'!$B467=AB$2,'Atividades Micro'!$L467&lt;&gt;""),'Atividades Micro'!$L467,"")</f>
        <v/>
      </c>
      <c r="AC415" s="21" t="str">
        <f>IF(AND('Atividades Micro'!$B467=AC$2,'Atividades Micro'!$K467&lt;&gt;""),'Atividades Micro'!$K467,"")</f>
        <v/>
      </c>
      <c r="AD415" s="21" t="str">
        <f>IF(AND('Atividades Micro'!$B467=AD$2,'Atividades Micro'!$L467&lt;&gt;""),'Atividades Micro'!$L467,"")</f>
        <v/>
      </c>
      <c r="AE415" s="21" t="str">
        <f>IF(AND('Atividades Micro'!$A467=AE$2,'Atividades Micro'!$K467&lt;&gt;""),'Atividades Micro'!$K467,"")</f>
        <v/>
      </c>
      <c r="AF415" s="21" t="str">
        <f>IF(AND('Atividades Micro'!$A467=AF$2,'Atividades Micro'!$L467&lt;&gt;""),'Atividades Micro'!$L467,"")</f>
        <v/>
      </c>
      <c r="AG415" s="21" t="str">
        <f>IF(AND('Atividades Micro'!$B467=AG$2,'Atividades Micro'!$K467&lt;&gt;""),'Atividades Micro'!$K467,"")</f>
        <v/>
      </c>
      <c r="AH415" s="21" t="str">
        <f>IF(AND('Atividades Micro'!$B467=AH$2,'Atividades Micro'!$L467&lt;&gt;""),'Atividades Micro'!$L467,"")</f>
        <v/>
      </c>
      <c r="AI415" s="21" t="str">
        <f>IF(AND('Atividades Micro'!$B467=AI$2,'Atividades Micro'!$K467&lt;&gt;""),'Atividades Micro'!$K467,"")</f>
        <v/>
      </c>
      <c r="AJ415" s="21" t="str">
        <f>IF(AND('Atividades Micro'!$B467=AJ$2,'Atividades Micro'!$L467&lt;&gt;""),'Atividades Micro'!$L467,"")</f>
        <v/>
      </c>
      <c r="AK415" s="21" t="str">
        <f>IF(AND('Atividades Micro'!$A467=AK$2,'Atividades Micro'!$K467&lt;&gt;""),'Atividades Micro'!$K467,"")</f>
        <v/>
      </c>
      <c r="AL415" s="21" t="str">
        <f>IF(AND('Atividades Micro'!$A467=AL$2,'Atividades Micro'!$L467&lt;&gt;""),'Atividades Micro'!$L467,"")</f>
        <v/>
      </c>
      <c r="AM415" s="21" t="str">
        <f>IF(AND('Atividades Micro'!$B467=AM$2,'Atividades Micro'!$K467&lt;&gt;""),'Atividades Micro'!$K467,"")</f>
        <v/>
      </c>
      <c r="AN415" s="21" t="str">
        <f>IF(AND('Atividades Micro'!$B467=AN$2,'Atividades Micro'!$L467&lt;&gt;""),'Atividades Micro'!$L467,"")</f>
        <v/>
      </c>
      <c r="AO415" s="21" t="str">
        <f>IF(AND('Atividades Micro'!$B467=AO$2,'Atividades Micro'!$K467&lt;&gt;""),'Atividades Micro'!$K467,"")</f>
        <v/>
      </c>
      <c r="AP415" s="21" t="str">
        <f>IF(AND('Atividades Micro'!$B467=AP$2,'Atividades Micro'!$L467&lt;&gt;""),'Atividades Micro'!$L467,"")</f>
        <v/>
      </c>
      <c r="AQ415" s="21" t="str">
        <f>IF(AND('Atividades Micro'!$A467=AQ$2,'Atividades Micro'!$K467&lt;&gt;""),'Atividades Micro'!$K467,"")</f>
        <v/>
      </c>
      <c r="AR415" s="21" t="str">
        <f>IF(AND('Atividades Micro'!$A467=AR$2,'Atividades Micro'!$L467&lt;&gt;""),'Atividades Micro'!$L467,"")</f>
        <v/>
      </c>
      <c r="AS415" s="21" t="str">
        <f>IF(AND('Atividades Micro'!$B467=AS$2,'Atividades Micro'!$K467&lt;&gt;""),'Atividades Micro'!$K467,"")</f>
        <v/>
      </c>
      <c r="AT415" s="21" t="str">
        <f>IF(AND('Atividades Micro'!$B467=AT$2,'Atividades Micro'!$L467&lt;&gt;""),'Atividades Micro'!$L467,"")</f>
        <v/>
      </c>
      <c r="AU415" s="21" t="str">
        <f>IF(AND('Atividades Micro'!$A467=AU$2,'Atividades Micro'!$K467&lt;&gt;""),'Atividades Micro'!$K467,"")</f>
        <v/>
      </c>
      <c r="AV415" s="21" t="str">
        <f>IF(AND('Atividades Micro'!$A467=AV$2,'Atividades Micro'!$L467&lt;&gt;""),'Atividades Micro'!$L467,"")</f>
        <v/>
      </c>
      <c r="AW415" s="21" t="str">
        <f>IF(AND('Atividades Micro'!$B467=AW$2,'Atividades Micro'!$K467&lt;&gt;""),'Atividades Micro'!$K467,"")</f>
        <v/>
      </c>
      <c r="AX415" s="21" t="str">
        <f>IF(AND('Atividades Micro'!$B467=AX$2,'Atividades Micro'!$L467&lt;&gt;""),'Atividades Micro'!$L467,"")</f>
        <v/>
      </c>
      <c r="AY415" s="21" t="str">
        <f>IF(AND('Atividades Micro'!$A467=AY$2,'Atividades Micro'!$K467&lt;&gt;""),'Atividades Micro'!$K467,"")</f>
        <v/>
      </c>
      <c r="AZ415" s="21" t="str">
        <f>IF(AND('Atividades Micro'!$A467=AZ$2,'Atividades Micro'!$L467&lt;&gt;""),'Atividades Micro'!$L467,"")</f>
        <v/>
      </c>
      <c r="BA415" s="21" t="str">
        <f>IF(AND('Atividades Micro'!$B467=BA$2,'Atividades Micro'!$K467&lt;&gt;""),'Atividades Micro'!$K467,"")</f>
        <v/>
      </c>
      <c r="BB415" s="21" t="str">
        <f>IF(AND('Atividades Micro'!$B467=BB$2,'Atividades Micro'!$L467&lt;&gt;""),'Atividades Micro'!$L467,"")</f>
        <v/>
      </c>
      <c r="BC415" s="21" t="str">
        <f>IF(AND('Atividades Micro'!$B467=BC$2,'Atividades Micro'!$G467="Macro",'Atividades Micro'!$K467&lt;&gt;""),'Atividades Micro'!$K467,"")</f>
        <v/>
      </c>
      <c r="BD415" s="21" t="str">
        <f>IF(AND('Atividades Micro'!$B467=BD$2,'Atividades Micro'!$G467="Macro",'Atividades Micro'!$K467&lt;&gt;""),'Atividades Micro'!$K467,"")</f>
        <v/>
      </c>
      <c r="BE415" s="21" t="str">
        <f>IF(AND('Atividades Micro'!$B467=BE$2,'Atividades Micro'!$G467="Macro",'Atividades Micro'!$K467&lt;&gt;""),'Atividades Micro'!$K467,"")</f>
        <v/>
      </c>
      <c r="BF415" s="21" t="str">
        <f>IF(AND('Atividades Micro'!$B467=BF$2,'Atividades Micro'!$G467="Macro",'Atividades Micro'!$K467&lt;&gt;""),'Atividades Micro'!$K467,"")</f>
        <v/>
      </c>
      <c r="BG415" s="21" t="str">
        <f>IF(AND('Atividades Micro'!$B467=BG$2,'Atividades Micro'!$G467="Macro",'Atividades Micro'!$K467&lt;&gt;""),'Atividades Micro'!$K467,"")</f>
        <v/>
      </c>
      <c r="BH415" s="21" t="str">
        <f>IF(AND('Atividades Micro'!$B467=BH$2,'Atividades Micro'!$G467="Macro",'Atividades Micro'!$K467&lt;&gt;""),'Atividades Micro'!$K467,"")</f>
        <v/>
      </c>
      <c r="BI415" s="21" t="str">
        <f>IF(AND('Atividades Micro'!$B467=BI$2,'Atividades Micro'!$G467="Macro",'Atividades Micro'!$K467&lt;&gt;""),'Atividades Micro'!$K467,"")</f>
        <v/>
      </c>
      <c r="BJ415" s="21" t="str">
        <f>IF(AND('Atividades Micro'!$B467=BJ$2,'Atividades Micro'!$G467="Macro",'Atividades Micro'!$K467&lt;&gt;""),'Atividades Micro'!$K467,"")</f>
        <v/>
      </c>
      <c r="BK415" s="21" t="str">
        <f>IF(AND('Atividades Micro'!$B467=BK$2,'Atividades Micro'!$G467="Macro",'Atividades Micro'!$K467&lt;&gt;""),'Atividades Micro'!$K467,"")</f>
        <v/>
      </c>
      <c r="BL415" s="21" t="str">
        <f>IF(AND('Atividades Micro'!$B467=BL$2,'Atividades Micro'!$G467="Macro",'Atividades Micro'!$K467&lt;&gt;""),'Atividades Micro'!$K467,"")</f>
        <v/>
      </c>
      <c r="BM415" s="21" t="str">
        <f>IF(AND('Atividades Micro'!$B467=BM$2,'Atividades Micro'!$G467="Macro",'Atividades Micro'!$K467&lt;&gt;""),'Atividades Micro'!$K467,"")</f>
        <v/>
      </c>
      <c r="BN415" s="21" t="str">
        <f>IF(AND('Atividades Micro'!$B467=BN$2,'Atividades Micro'!$G467="Macro",'Atividades Micro'!$K467&lt;&gt;""),'Atividades Micro'!$K467,"")</f>
        <v/>
      </c>
      <c r="BO415" s="21" t="str">
        <f>IF(AND('Atividades Micro'!$B467=BO$2,'Atividades Micro'!$G467="Macro",'Atividades Micro'!$K467&lt;&gt;""),'Atividades Micro'!$K467,"")</f>
        <v/>
      </c>
      <c r="BP415" s="21" t="str">
        <f>IF(AND('Atividades Micro'!$B467=BP$2,'Atividades Micro'!$G467="Macro",'Atividades Micro'!$K467&lt;&gt;""),'Atividades Micro'!$K467,"")</f>
        <v/>
      </c>
      <c r="BQ415" s="21" t="str">
        <f>IF(AND('Atividades Micro'!$B467=BQ$2,'Atividades Micro'!$G467="Macro",'Atividades Micro'!$K467&lt;&gt;""),'Atividades Micro'!$K467,"")</f>
        <v/>
      </c>
      <c r="BR415" s="21" t="str">
        <f>IF(AND('Atividades Micro'!$B467=BR$2,'Atividades Micro'!$G467="Macro",'Atividades Micro'!$K467&lt;&gt;""),'Atividades Micro'!$K467,"")</f>
        <v/>
      </c>
      <c r="BS415" s="21" t="str">
        <f>IF(AND('Atividades Micro'!$B467=BS$2,'Atividades Micro'!$G467="Macro",'Atividades Micro'!$K467&lt;&gt;""),'Atividades Micro'!$K467,"")</f>
        <v/>
      </c>
      <c r="BT415" s="21" t="str">
        <f>IF(AND('Atividades Micro'!$B467=BT$2,'Atividades Micro'!$G467="Macro",'Atividades Micro'!$K467&lt;&gt;""),'Atividades Micro'!$K467,"")</f>
        <v/>
      </c>
      <c r="BU415" s="21" t="str">
        <f>IF(AND('Atividades Micro'!$B467=BU$2,'Atividades Micro'!$G467="Macro",'Atividades Micro'!$K467&lt;&gt;""),'Atividades Micro'!$K467,"")</f>
        <v/>
      </c>
      <c r="BV415" s="21" t="str">
        <f>IF(AND('Atividades Micro'!$B467=BV$2,'Atividades Micro'!$G467="Macro",'Atividades Micro'!$K467&lt;&gt;""),'Atividades Micro'!$K467,"")</f>
        <v/>
      </c>
      <c r="BW415" s="21" t="str">
        <f>IF(AND('Atividades Micro'!$B467=BW$2,'Atividades Micro'!$G467="Macro",'Atividades Micro'!$K467&lt;&gt;""),'Atividades Micro'!$K467,"")</f>
        <v/>
      </c>
      <c r="BX415" s="21" t="str">
        <f>IF(AND('Atividades Micro'!$B467=BX$2,'Atividades Micro'!$G467="Macro",'Atividades Micro'!$K467&lt;&gt;""),'Atividades Micro'!$K467,"")</f>
        <v/>
      </c>
      <c r="BY415" s="21" t="str">
        <f>IF(AND('Atividades Micro'!$B467=BY$2,'Atividades Micro'!$G467="Macro",'Atividades Micro'!$K467&lt;&gt;""),'Atividades Micro'!$K467,"")</f>
        <v/>
      </c>
      <c r="BZ415" s="21" t="str">
        <f>IF(AND('Atividades Micro'!$B467=BZ$2,'Atividades Micro'!$G467="Macro",'Atividades Micro'!$K467&lt;&gt;""),'Atividades Micro'!$K467,"")</f>
        <v/>
      </c>
      <c r="CA415" s="21" t="str">
        <f>IF(AND('Atividades Micro'!$B467=CA$2,'Atividades Micro'!$G467="Macro",'Atividades Micro'!$K467&lt;&gt;""),'Atividades Micro'!$K467,"")</f>
        <v/>
      </c>
      <c r="CB415" s="21" t="str">
        <f>IF(AND('Atividades Micro'!$B467=CB$2,'Atividades Micro'!$G467="Macro",'Atividades Micro'!$K467&lt;&gt;""),'Atividades Micro'!$K467,"")</f>
        <v/>
      </c>
      <c r="CC415" s="21" t="str">
        <f>IF(AND('Atividades Micro'!$B467=CC$2,'Atividades Micro'!$G467="Macro",'Atividades Micro'!$K467&lt;&gt;""),'Atividades Micro'!$K467,"")</f>
        <v/>
      </c>
      <c r="CD415" s="21" t="str">
        <f>IF(AND('Atividades Micro'!$B467=CD$2,'Atividades Micro'!$G467="Micro",'Atividades Micro'!$K467&lt;&gt;""),'Atividades Micro'!$K467,"")</f>
        <v/>
      </c>
      <c r="CE415" s="21" t="str">
        <f>IF(AND('Atividades Micro'!$B467=CE$2,'Atividades Micro'!$G467="Micro",'Atividades Micro'!$K467&lt;&gt;""),'Atividades Micro'!$K467,"")</f>
        <v/>
      </c>
      <c r="CF415" s="21" t="str">
        <f>IF(AND('Atividades Micro'!$B467=CF$2,'Atividades Micro'!$G467="Micro",'Atividades Micro'!$K467&lt;&gt;""),'Atividades Micro'!$K467,"")</f>
        <v/>
      </c>
      <c r="CG415" s="21" t="str">
        <f>IF(AND('Atividades Micro'!$B467=CG$2,'Atividades Micro'!$G467="Micro",'Atividades Micro'!$K467&lt;&gt;""),'Atividades Micro'!$K467,"")</f>
        <v/>
      </c>
      <c r="CH415" s="21" t="str">
        <f>IF(AND('Atividades Micro'!$B467=CH$2,'Atividades Micro'!$G467="Micro",'Atividades Micro'!$K467&lt;&gt;""),'Atividades Micro'!$K467,"")</f>
        <v/>
      </c>
      <c r="CI415" s="21" t="str">
        <f>IF(AND('Atividades Micro'!$B467=CI$2,'Atividades Micro'!$G467="Micro",'Atividades Micro'!$K467&lt;&gt;""),'Atividades Micro'!$K467,"")</f>
        <v/>
      </c>
      <c r="CJ415" s="21" t="str">
        <f>IF(AND('Atividades Micro'!$B467=CJ$2,'Atividades Micro'!$G467="Micro",'Atividades Micro'!$K467&lt;&gt;""),'Atividades Micro'!$K467,"")</f>
        <v/>
      </c>
      <c r="CK415" s="21" t="str">
        <f>IF(AND('Atividades Micro'!$B467=CK$2,'Atividades Micro'!$G467="Micro",'Atividades Micro'!$K467&lt;&gt;""),'Atividades Micro'!$K467,"")</f>
        <v/>
      </c>
      <c r="CL415" s="21" t="str">
        <f>IF(AND('Atividades Micro'!$B467=CL$2,'Atividades Micro'!$G467="Micro",'Atividades Micro'!$K467&lt;&gt;""),'Atividades Micro'!$K467,"")</f>
        <v/>
      </c>
      <c r="CM415" s="21" t="str">
        <f>IF(AND('Atividades Micro'!$B467=CM$2,'Atividades Micro'!$G467="Micro",'Atividades Micro'!$K467&lt;&gt;""),'Atividades Micro'!$K467,"")</f>
        <v/>
      </c>
      <c r="CN415" s="21" t="str">
        <f>IF(AND('Atividades Micro'!$B467=CN$2,'Atividades Micro'!$G467="Micro",'Atividades Micro'!$K467&lt;&gt;""),'Atividades Micro'!$K467,"")</f>
        <v/>
      </c>
      <c r="CO415" s="21" t="str">
        <f>IF(AND('Atividades Micro'!$B467=CO$2,'Atividades Micro'!$G467="Micro",'Atividades Micro'!$K467&lt;&gt;""),'Atividades Micro'!$K467,"")</f>
        <v/>
      </c>
    </row>
    <row r="416" spans="1:93">
      <c r="A416" s="21" t="str">
        <f>IF(AND('Atividades Micro'!$A468=A$2,'Atividades Micro'!$K468&lt;&gt;""),'Atividades Micro'!$K468,"")</f>
        <v/>
      </c>
      <c r="B416" s="21" t="str">
        <f>IF(AND('Atividades Micro'!$A468=B$2,'Atividades Micro'!$L468&lt;&gt;""),'Atividades Micro'!$L468,"")</f>
        <v/>
      </c>
      <c r="C416" s="21" t="str">
        <f>IF(AND('Atividades Micro'!$A468=C$2,'Atividades Micro'!$K468&lt;&gt;""),'Atividades Micro'!$K468,"")</f>
        <v/>
      </c>
      <c r="D416" s="21" t="str">
        <f>IF(AND('Atividades Micro'!$A468=D$2,'Atividades Micro'!$L468&lt;&gt;""),'Atividades Micro'!$L468,"")</f>
        <v/>
      </c>
      <c r="E416" s="21" t="str">
        <f>IF(AND('Atividades Micro'!$A468=E$2,'Atividades Micro'!$K468&lt;&gt;""),'Atividades Micro'!$K468,"")</f>
        <v/>
      </c>
      <c r="F416" s="21" t="str">
        <f>IF(AND('Atividades Micro'!$A468=F$2,'Atividades Micro'!$L468&lt;&gt;""),'Atividades Micro'!$L468,"")</f>
        <v/>
      </c>
      <c r="G416" s="21" t="str">
        <f>IF(AND('Atividades Micro'!$A468=G$2,'Atividades Micro'!$K468&lt;&gt;""),'Atividades Micro'!$K468,"")</f>
        <v/>
      </c>
      <c r="H416" s="21" t="str">
        <f>IF(AND('Atividades Micro'!$A468=H$2,'Atividades Micro'!$L468&lt;&gt;""),'Atividades Micro'!$L468,"")</f>
        <v/>
      </c>
      <c r="I416" s="21" t="str">
        <f>IF(AND('Atividades Micro'!$A468=I$2,'Atividades Micro'!$K468&lt;&gt;""),'Atividades Micro'!$K468,"")</f>
        <v/>
      </c>
      <c r="J416" s="21" t="str">
        <f>IF(AND('Atividades Micro'!$A468=J$2,'Atividades Micro'!$L468&lt;&gt;""),'Atividades Micro'!$L468,"")</f>
        <v/>
      </c>
      <c r="K416" s="21" t="str">
        <f>IF(AND('Atividades Micro'!$B468=K$2,'Atividades Micro'!$K468&lt;&gt;""),'Atividades Micro'!$K468,"")</f>
        <v/>
      </c>
      <c r="L416" s="21" t="str">
        <f>IF(AND('Atividades Micro'!$B468=L$2,'Atividades Micro'!$L468&lt;&gt;""),'Atividades Micro'!$L468,"")</f>
        <v/>
      </c>
      <c r="M416" s="21" t="str">
        <f>IF(AND('Atividades Micro'!$B468=M$2,'Atividades Micro'!$K468&lt;&gt;""),'Atividades Micro'!$K468,"")</f>
        <v/>
      </c>
      <c r="N416" s="21" t="str">
        <f>IF(AND('Atividades Micro'!$B468=N$2,'Atividades Micro'!$L468&lt;&gt;""),'Atividades Micro'!$L468,"")</f>
        <v/>
      </c>
      <c r="O416" s="21" t="str">
        <f>IF(AND('Atividades Micro'!$A468=O$2,'Atividades Micro'!$K468&lt;&gt;""),'Atividades Micro'!$K468,"")</f>
        <v/>
      </c>
      <c r="P416" s="21" t="str">
        <f>IF(AND('Atividades Micro'!$A468=P$2,'Atividades Micro'!$L468&lt;&gt;""),'Atividades Micro'!$L468,"")</f>
        <v/>
      </c>
      <c r="Q416" s="21" t="str">
        <f>IF(AND('Atividades Micro'!$B468=Q$2,'Atividades Micro'!$K468&lt;&gt;""),'Atividades Micro'!$K468,"")</f>
        <v/>
      </c>
      <c r="R416" s="21" t="str">
        <f>IF(AND('Atividades Micro'!$B468=R$2,'Atividades Micro'!$L468&lt;&gt;""),'Atividades Micro'!$L468,"")</f>
        <v/>
      </c>
      <c r="S416" s="21" t="str">
        <f>IF(AND('Atividades Micro'!$A468=S$2,'Atividades Micro'!$K468&lt;&gt;""),'Atividades Micro'!$K468,"")</f>
        <v/>
      </c>
      <c r="T416" s="21" t="str">
        <f>IF(AND('Atividades Micro'!$A468=T$2,'Atividades Micro'!$L468&lt;&gt;""),'Atividades Micro'!$L468,"")</f>
        <v/>
      </c>
      <c r="U416" s="21" t="str">
        <f>IF(AND('Atividades Micro'!$B468=U$2,'Atividades Micro'!$K468&lt;&gt;""),'Atividades Micro'!$K468,"")</f>
        <v/>
      </c>
      <c r="V416" s="21" t="str">
        <f>IF(AND('Atividades Micro'!$B468=V$2,'Atividades Micro'!$L468&lt;&gt;""),'Atividades Micro'!$L468,"")</f>
        <v/>
      </c>
      <c r="W416" s="21" t="str">
        <f>IF(AND('Atividades Micro'!$B468=W$2,'Atividades Micro'!$K468&lt;&gt;""),'Atividades Micro'!$K468,"")</f>
        <v/>
      </c>
      <c r="X416" s="21" t="str">
        <f>IF(AND('Atividades Micro'!$B468=X$2,'Atividades Micro'!$L468&lt;&gt;""),'Atividades Micro'!$L468,"")</f>
        <v/>
      </c>
      <c r="Y416" s="21" t="str">
        <f>IF(AND('Atividades Micro'!$A468=Y$2,'Atividades Micro'!$K468&lt;&gt;""),'Atividades Micro'!$K468,"")</f>
        <v/>
      </c>
      <c r="Z416" s="21" t="str">
        <f>IF(AND('Atividades Micro'!$A468=Z$2,'Atividades Micro'!$L468&lt;&gt;""),'Atividades Micro'!$L468,"")</f>
        <v/>
      </c>
      <c r="AA416" s="21" t="str">
        <f>IF(AND('Atividades Micro'!$B468=AA$2,'Atividades Micro'!$K468&lt;&gt;""),'Atividades Micro'!$K468,"")</f>
        <v/>
      </c>
      <c r="AB416" s="21" t="str">
        <f>IF(AND('Atividades Micro'!$B468=AB$2,'Atividades Micro'!$L468&lt;&gt;""),'Atividades Micro'!$L468,"")</f>
        <v/>
      </c>
      <c r="AC416" s="21" t="str">
        <f>IF(AND('Atividades Micro'!$B468=AC$2,'Atividades Micro'!$K468&lt;&gt;""),'Atividades Micro'!$K468,"")</f>
        <v/>
      </c>
      <c r="AD416" s="21" t="str">
        <f>IF(AND('Atividades Micro'!$B468=AD$2,'Atividades Micro'!$L468&lt;&gt;""),'Atividades Micro'!$L468,"")</f>
        <v/>
      </c>
      <c r="AE416" s="21" t="str">
        <f>IF(AND('Atividades Micro'!$A468=AE$2,'Atividades Micro'!$K468&lt;&gt;""),'Atividades Micro'!$K468,"")</f>
        <v/>
      </c>
      <c r="AF416" s="21" t="str">
        <f>IF(AND('Atividades Micro'!$A468=AF$2,'Atividades Micro'!$L468&lt;&gt;""),'Atividades Micro'!$L468,"")</f>
        <v/>
      </c>
      <c r="AG416" s="21" t="str">
        <f>IF(AND('Atividades Micro'!$B468=AG$2,'Atividades Micro'!$K468&lt;&gt;""),'Atividades Micro'!$K468,"")</f>
        <v/>
      </c>
      <c r="AH416" s="21" t="str">
        <f>IF(AND('Atividades Micro'!$B468=AH$2,'Atividades Micro'!$L468&lt;&gt;""),'Atividades Micro'!$L468,"")</f>
        <v/>
      </c>
      <c r="AI416" s="21" t="str">
        <f>IF(AND('Atividades Micro'!$B468=AI$2,'Atividades Micro'!$K468&lt;&gt;""),'Atividades Micro'!$K468,"")</f>
        <v/>
      </c>
      <c r="AJ416" s="21" t="str">
        <f>IF(AND('Atividades Micro'!$B468=AJ$2,'Atividades Micro'!$L468&lt;&gt;""),'Atividades Micro'!$L468,"")</f>
        <v/>
      </c>
      <c r="AK416" s="21" t="str">
        <f>IF(AND('Atividades Micro'!$A468=AK$2,'Atividades Micro'!$K468&lt;&gt;""),'Atividades Micro'!$K468,"")</f>
        <v/>
      </c>
      <c r="AL416" s="21" t="str">
        <f>IF(AND('Atividades Micro'!$A468=AL$2,'Atividades Micro'!$L468&lt;&gt;""),'Atividades Micro'!$L468,"")</f>
        <v/>
      </c>
      <c r="AM416" s="21" t="str">
        <f>IF(AND('Atividades Micro'!$B468=AM$2,'Atividades Micro'!$K468&lt;&gt;""),'Atividades Micro'!$K468,"")</f>
        <v/>
      </c>
      <c r="AN416" s="21" t="str">
        <f>IF(AND('Atividades Micro'!$B468=AN$2,'Atividades Micro'!$L468&lt;&gt;""),'Atividades Micro'!$L468,"")</f>
        <v/>
      </c>
      <c r="AO416" s="21" t="str">
        <f>IF(AND('Atividades Micro'!$B468=AO$2,'Atividades Micro'!$K468&lt;&gt;""),'Atividades Micro'!$K468,"")</f>
        <v/>
      </c>
      <c r="AP416" s="21" t="str">
        <f>IF(AND('Atividades Micro'!$B468=AP$2,'Atividades Micro'!$L468&lt;&gt;""),'Atividades Micro'!$L468,"")</f>
        <v/>
      </c>
      <c r="AQ416" s="21" t="str">
        <f>IF(AND('Atividades Micro'!$A468=AQ$2,'Atividades Micro'!$K468&lt;&gt;""),'Atividades Micro'!$K468,"")</f>
        <v/>
      </c>
      <c r="AR416" s="21" t="str">
        <f>IF(AND('Atividades Micro'!$A468=AR$2,'Atividades Micro'!$L468&lt;&gt;""),'Atividades Micro'!$L468,"")</f>
        <v/>
      </c>
      <c r="AS416" s="21" t="str">
        <f>IF(AND('Atividades Micro'!$B468=AS$2,'Atividades Micro'!$K468&lt;&gt;""),'Atividades Micro'!$K468,"")</f>
        <v/>
      </c>
      <c r="AT416" s="21" t="str">
        <f>IF(AND('Atividades Micro'!$B468=AT$2,'Atividades Micro'!$L468&lt;&gt;""),'Atividades Micro'!$L468,"")</f>
        <v/>
      </c>
      <c r="AU416" s="21" t="str">
        <f>IF(AND('Atividades Micro'!$A468=AU$2,'Atividades Micro'!$K468&lt;&gt;""),'Atividades Micro'!$K468,"")</f>
        <v/>
      </c>
      <c r="AV416" s="21" t="str">
        <f>IF(AND('Atividades Micro'!$A468=AV$2,'Atividades Micro'!$L468&lt;&gt;""),'Atividades Micro'!$L468,"")</f>
        <v/>
      </c>
      <c r="AW416" s="21" t="str">
        <f>IF(AND('Atividades Micro'!$B468=AW$2,'Atividades Micro'!$K468&lt;&gt;""),'Atividades Micro'!$K468,"")</f>
        <v/>
      </c>
      <c r="AX416" s="21" t="str">
        <f>IF(AND('Atividades Micro'!$B468=AX$2,'Atividades Micro'!$L468&lt;&gt;""),'Atividades Micro'!$L468,"")</f>
        <v/>
      </c>
      <c r="AY416" s="21" t="str">
        <f>IF(AND('Atividades Micro'!$A468=AY$2,'Atividades Micro'!$K468&lt;&gt;""),'Atividades Micro'!$K468,"")</f>
        <v/>
      </c>
      <c r="AZ416" s="21" t="str">
        <f>IF(AND('Atividades Micro'!$A468=AZ$2,'Atividades Micro'!$L468&lt;&gt;""),'Atividades Micro'!$L468,"")</f>
        <v/>
      </c>
      <c r="BA416" s="21" t="str">
        <f>IF(AND('Atividades Micro'!$B468=BA$2,'Atividades Micro'!$K468&lt;&gt;""),'Atividades Micro'!$K468,"")</f>
        <v/>
      </c>
      <c r="BB416" s="21" t="str">
        <f>IF(AND('Atividades Micro'!$B468=BB$2,'Atividades Micro'!$L468&lt;&gt;""),'Atividades Micro'!$L468,"")</f>
        <v/>
      </c>
      <c r="BC416" s="21" t="str">
        <f>IF(AND('Atividades Micro'!$B468=BC$2,'Atividades Micro'!$G468="Macro",'Atividades Micro'!$K468&lt;&gt;""),'Atividades Micro'!$K468,"")</f>
        <v/>
      </c>
      <c r="BD416" s="21" t="str">
        <f>IF(AND('Atividades Micro'!$B468=BD$2,'Atividades Micro'!$G468="Macro",'Atividades Micro'!$K468&lt;&gt;""),'Atividades Micro'!$K468,"")</f>
        <v/>
      </c>
      <c r="BE416" s="21" t="str">
        <f>IF(AND('Atividades Micro'!$B468=BE$2,'Atividades Micro'!$G468="Macro",'Atividades Micro'!$K468&lt;&gt;""),'Atividades Micro'!$K468,"")</f>
        <v/>
      </c>
      <c r="BF416" s="21" t="str">
        <f>IF(AND('Atividades Micro'!$B468=BF$2,'Atividades Micro'!$G468="Macro",'Atividades Micro'!$K468&lt;&gt;""),'Atividades Micro'!$K468,"")</f>
        <v/>
      </c>
      <c r="BG416" s="21" t="str">
        <f>IF(AND('Atividades Micro'!$B468=BG$2,'Atividades Micro'!$G468="Macro",'Atividades Micro'!$K468&lt;&gt;""),'Atividades Micro'!$K468,"")</f>
        <v/>
      </c>
      <c r="BH416" s="21" t="str">
        <f>IF(AND('Atividades Micro'!$B468=BH$2,'Atividades Micro'!$G468="Macro",'Atividades Micro'!$K468&lt;&gt;""),'Atividades Micro'!$K468,"")</f>
        <v/>
      </c>
      <c r="BI416" s="21" t="str">
        <f>IF(AND('Atividades Micro'!$B468=BI$2,'Atividades Micro'!$G468="Macro",'Atividades Micro'!$K468&lt;&gt;""),'Atividades Micro'!$K468,"")</f>
        <v/>
      </c>
      <c r="BJ416" s="21" t="str">
        <f>IF(AND('Atividades Micro'!$B468=BJ$2,'Atividades Micro'!$G468="Macro",'Atividades Micro'!$K468&lt;&gt;""),'Atividades Micro'!$K468,"")</f>
        <v/>
      </c>
      <c r="BK416" s="21" t="str">
        <f>IF(AND('Atividades Micro'!$B468=BK$2,'Atividades Micro'!$G468="Macro",'Atividades Micro'!$K468&lt;&gt;""),'Atividades Micro'!$K468,"")</f>
        <v/>
      </c>
      <c r="BL416" s="21" t="str">
        <f>IF(AND('Atividades Micro'!$B468=BL$2,'Atividades Micro'!$G468="Macro",'Atividades Micro'!$K468&lt;&gt;""),'Atividades Micro'!$K468,"")</f>
        <v/>
      </c>
      <c r="BM416" s="21" t="str">
        <f>IF(AND('Atividades Micro'!$B468=BM$2,'Atividades Micro'!$G468="Macro",'Atividades Micro'!$K468&lt;&gt;""),'Atividades Micro'!$K468,"")</f>
        <v/>
      </c>
      <c r="BN416" s="21" t="str">
        <f>IF(AND('Atividades Micro'!$B468=BN$2,'Atividades Micro'!$G468="Macro",'Atividades Micro'!$K468&lt;&gt;""),'Atividades Micro'!$K468,"")</f>
        <v/>
      </c>
      <c r="BO416" s="21" t="str">
        <f>IF(AND('Atividades Micro'!$B468=BO$2,'Atividades Micro'!$G468="Macro",'Atividades Micro'!$K468&lt;&gt;""),'Atividades Micro'!$K468,"")</f>
        <v/>
      </c>
      <c r="BP416" s="21" t="str">
        <f>IF(AND('Atividades Micro'!$B468=BP$2,'Atividades Micro'!$G468="Macro",'Atividades Micro'!$K468&lt;&gt;""),'Atividades Micro'!$K468,"")</f>
        <v/>
      </c>
      <c r="BQ416" s="21" t="str">
        <f>IF(AND('Atividades Micro'!$B468=BQ$2,'Atividades Micro'!$G468="Macro",'Atividades Micro'!$K468&lt;&gt;""),'Atividades Micro'!$K468,"")</f>
        <v/>
      </c>
      <c r="BR416" s="21" t="str">
        <f>IF(AND('Atividades Micro'!$B468=BR$2,'Atividades Micro'!$G468="Macro",'Atividades Micro'!$K468&lt;&gt;""),'Atividades Micro'!$K468,"")</f>
        <v/>
      </c>
      <c r="BS416" s="21" t="str">
        <f>IF(AND('Atividades Micro'!$B468=BS$2,'Atividades Micro'!$G468="Macro",'Atividades Micro'!$K468&lt;&gt;""),'Atividades Micro'!$K468,"")</f>
        <v/>
      </c>
      <c r="BT416" s="21" t="str">
        <f>IF(AND('Atividades Micro'!$B468=BT$2,'Atividades Micro'!$G468="Macro",'Atividades Micro'!$K468&lt;&gt;""),'Atividades Micro'!$K468,"")</f>
        <v/>
      </c>
      <c r="BU416" s="21" t="str">
        <f>IF(AND('Atividades Micro'!$B468=BU$2,'Atividades Micro'!$G468="Macro",'Atividades Micro'!$K468&lt;&gt;""),'Atividades Micro'!$K468,"")</f>
        <v/>
      </c>
      <c r="BV416" s="21" t="str">
        <f>IF(AND('Atividades Micro'!$B468=BV$2,'Atividades Micro'!$G468="Macro",'Atividades Micro'!$K468&lt;&gt;""),'Atividades Micro'!$K468,"")</f>
        <v/>
      </c>
      <c r="BW416" s="21" t="str">
        <f>IF(AND('Atividades Micro'!$B468=BW$2,'Atividades Micro'!$G468="Macro",'Atividades Micro'!$K468&lt;&gt;""),'Atividades Micro'!$K468,"")</f>
        <v/>
      </c>
      <c r="BX416" s="21" t="str">
        <f>IF(AND('Atividades Micro'!$B468=BX$2,'Atividades Micro'!$G468="Macro",'Atividades Micro'!$K468&lt;&gt;""),'Atividades Micro'!$K468,"")</f>
        <v/>
      </c>
      <c r="BY416" s="21" t="str">
        <f>IF(AND('Atividades Micro'!$B468=BY$2,'Atividades Micro'!$G468="Macro",'Atividades Micro'!$K468&lt;&gt;""),'Atividades Micro'!$K468,"")</f>
        <v/>
      </c>
      <c r="BZ416" s="21" t="str">
        <f>IF(AND('Atividades Micro'!$B468=BZ$2,'Atividades Micro'!$G468="Macro",'Atividades Micro'!$K468&lt;&gt;""),'Atividades Micro'!$K468,"")</f>
        <v/>
      </c>
      <c r="CA416" s="21" t="str">
        <f>IF(AND('Atividades Micro'!$B468=CA$2,'Atividades Micro'!$G468="Macro",'Atividades Micro'!$K468&lt;&gt;""),'Atividades Micro'!$K468,"")</f>
        <v/>
      </c>
      <c r="CB416" s="21" t="str">
        <f>IF(AND('Atividades Micro'!$B468=CB$2,'Atividades Micro'!$G468="Macro",'Atividades Micro'!$K468&lt;&gt;""),'Atividades Micro'!$K468,"")</f>
        <v/>
      </c>
      <c r="CC416" s="21" t="str">
        <f>IF(AND('Atividades Micro'!$B468=CC$2,'Atividades Micro'!$G468="Macro",'Atividades Micro'!$K468&lt;&gt;""),'Atividades Micro'!$K468,"")</f>
        <v/>
      </c>
      <c r="CD416" s="21" t="str">
        <f>IF(AND('Atividades Micro'!$B468=CD$2,'Atividades Micro'!$G468="Micro",'Atividades Micro'!$K468&lt;&gt;""),'Atividades Micro'!$K468,"")</f>
        <v/>
      </c>
      <c r="CE416" s="21" t="str">
        <f>IF(AND('Atividades Micro'!$B468=CE$2,'Atividades Micro'!$G468="Micro",'Atividades Micro'!$K468&lt;&gt;""),'Atividades Micro'!$K468,"")</f>
        <v/>
      </c>
      <c r="CF416" s="21" t="str">
        <f>IF(AND('Atividades Micro'!$B468=CF$2,'Atividades Micro'!$G468="Micro",'Atividades Micro'!$K468&lt;&gt;""),'Atividades Micro'!$K468,"")</f>
        <v/>
      </c>
      <c r="CG416" s="21" t="str">
        <f>IF(AND('Atividades Micro'!$B468=CG$2,'Atividades Micro'!$G468="Micro",'Atividades Micro'!$K468&lt;&gt;""),'Atividades Micro'!$K468,"")</f>
        <v/>
      </c>
      <c r="CH416" s="21" t="str">
        <f>IF(AND('Atividades Micro'!$B468=CH$2,'Atividades Micro'!$G468="Micro",'Atividades Micro'!$K468&lt;&gt;""),'Atividades Micro'!$K468,"")</f>
        <v/>
      </c>
      <c r="CI416" s="21" t="str">
        <f>IF(AND('Atividades Micro'!$B468=CI$2,'Atividades Micro'!$G468="Micro",'Atividades Micro'!$K468&lt;&gt;""),'Atividades Micro'!$K468,"")</f>
        <v/>
      </c>
      <c r="CJ416" s="21" t="str">
        <f>IF(AND('Atividades Micro'!$B468=CJ$2,'Atividades Micro'!$G468="Micro",'Atividades Micro'!$K468&lt;&gt;""),'Atividades Micro'!$K468,"")</f>
        <v/>
      </c>
      <c r="CK416" s="21" t="str">
        <f>IF(AND('Atividades Micro'!$B468=CK$2,'Atividades Micro'!$G468="Micro",'Atividades Micro'!$K468&lt;&gt;""),'Atividades Micro'!$K468,"")</f>
        <v/>
      </c>
      <c r="CL416" s="21" t="str">
        <f>IF(AND('Atividades Micro'!$B468=CL$2,'Atividades Micro'!$G468="Micro",'Atividades Micro'!$K468&lt;&gt;""),'Atividades Micro'!$K468,"")</f>
        <v/>
      </c>
      <c r="CM416" s="21" t="str">
        <f>IF(AND('Atividades Micro'!$B468=CM$2,'Atividades Micro'!$G468="Micro",'Atividades Micro'!$K468&lt;&gt;""),'Atividades Micro'!$K468,"")</f>
        <v/>
      </c>
      <c r="CN416" s="21" t="str">
        <f>IF(AND('Atividades Micro'!$B468=CN$2,'Atividades Micro'!$G468="Micro",'Atividades Micro'!$K468&lt;&gt;""),'Atividades Micro'!$K468,"")</f>
        <v/>
      </c>
      <c r="CO416" s="21" t="str">
        <f>IF(AND('Atividades Micro'!$B468=CO$2,'Atividades Micro'!$G468="Micro",'Atividades Micro'!$K468&lt;&gt;""),'Atividades Micro'!$K468,"")</f>
        <v/>
      </c>
    </row>
    <row r="417" spans="1:93">
      <c r="A417" s="21" t="str">
        <f>IF(AND('Atividades Micro'!$A469=A$2,'Atividades Micro'!$K469&lt;&gt;""),'Atividades Micro'!$K469,"")</f>
        <v/>
      </c>
      <c r="B417" s="21" t="str">
        <f>IF(AND('Atividades Micro'!$A469=B$2,'Atividades Micro'!$L469&lt;&gt;""),'Atividades Micro'!$L469,"")</f>
        <v/>
      </c>
      <c r="C417" s="21" t="str">
        <f>IF(AND('Atividades Micro'!$A469=C$2,'Atividades Micro'!$K469&lt;&gt;""),'Atividades Micro'!$K469,"")</f>
        <v/>
      </c>
      <c r="D417" s="21" t="str">
        <f>IF(AND('Atividades Micro'!$A469=D$2,'Atividades Micro'!$L469&lt;&gt;""),'Atividades Micro'!$L469,"")</f>
        <v/>
      </c>
      <c r="E417" s="21" t="str">
        <f>IF(AND('Atividades Micro'!$A469=E$2,'Atividades Micro'!$K469&lt;&gt;""),'Atividades Micro'!$K469,"")</f>
        <v/>
      </c>
      <c r="F417" s="21" t="str">
        <f>IF(AND('Atividades Micro'!$A469=F$2,'Atividades Micro'!$L469&lt;&gt;""),'Atividades Micro'!$L469,"")</f>
        <v/>
      </c>
      <c r="G417" s="21" t="str">
        <f>IF(AND('Atividades Micro'!$A469=G$2,'Atividades Micro'!$K469&lt;&gt;""),'Atividades Micro'!$K469,"")</f>
        <v/>
      </c>
      <c r="H417" s="21" t="str">
        <f>IF(AND('Atividades Micro'!$A469=H$2,'Atividades Micro'!$L469&lt;&gt;""),'Atividades Micro'!$L469,"")</f>
        <v/>
      </c>
      <c r="I417" s="21" t="str">
        <f>IF(AND('Atividades Micro'!$A469=I$2,'Atividades Micro'!$K469&lt;&gt;""),'Atividades Micro'!$K469,"")</f>
        <v/>
      </c>
      <c r="J417" s="21" t="str">
        <f>IF(AND('Atividades Micro'!$A469=J$2,'Atividades Micro'!$L469&lt;&gt;""),'Atividades Micro'!$L469,"")</f>
        <v/>
      </c>
      <c r="K417" s="21" t="str">
        <f>IF(AND('Atividades Micro'!$B469=K$2,'Atividades Micro'!$K469&lt;&gt;""),'Atividades Micro'!$K469,"")</f>
        <v/>
      </c>
      <c r="L417" s="21" t="str">
        <f>IF(AND('Atividades Micro'!$B469=L$2,'Atividades Micro'!$L469&lt;&gt;""),'Atividades Micro'!$L469,"")</f>
        <v/>
      </c>
      <c r="M417" s="21" t="str">
        <f>IF(AND('Atividades Micro'!$B469=M$2,'Atividades Micro'!$K469&lt;&gt;""),'Atividades Micro'!$K469,"")</f>
        <v/>
      </c>
      <c r="N417" s="21" t="str">
        <f>IF(AND('Atividades Micro'!$B469=N$2,'Atividades Micro'!$L469&lt;&gt;""),'Atividades Micro'!$L469,"")</f>
        <v/>
      </c>
      <c r="O417" s="21" t="str">
        <f>IF(AND('Atividades Micro'!$A469=O$2,'Atividades Micro'!$K469&lt;&gt;""),'Atividades Micro'!$K469,"")</f>
        <v/>
      </c>
      <c r="P417" s="21" t="str">
        <f>IF(AND('Atividades Micro'!$A469=P$2,'Atividades Micro'!$L469&lt;&gt;""),'Atividades Micro'!$L469,"")</f>
        <v/>
      </c>
      <c r="Q417" s="21" t="str">
        <f>IF(AND('Atividades Micro'!$B469=Q$2,'Atividades Micro'!$K469&lt;&gt;""),'Atividades Micro'!$K469,"")</f>
        <v/>
      </c>
      <c r="R417" s="21" t="str">
        <f>IF(AND('Atividades Micro'!$B469=R$2,'Atividades Micro'!$L469&lt;&gt;""),'Atividades Micro'!$L469,"")</f>
        <v/>
      </c>
      <c r="S417" s="21" t="str">
        <f>IF(AND('Atividades Micro'!$A469=S$2,'Atividades Micro'!$K469&lt;&gt;""),'Atividades Micro'!$K469,"")</f>
        <v/>
      </c>
      <c r="T417" s="21" t="str">
        <f>IF(AND('Atividades Micro'!$A469=T$2,'Atividades Micro'!$L469&lt;&gt;""),'Atividades Micro'!$L469,"")</f>
        <v/>
      </c>
      <c r="U417" s="21" t="str">
        <f>IF(AND('Atividades Micro'!$B469=U$2,'Atividades Micro'!$K469&lt;&gt;""),'Atividades Micro'!$K469,"")</f>
        <v/>
      </c>
      <c r="V417" s="21" t="str">
        <f>IF(AND('Atividades Micro'!$B469=V$2,'Atividades Micro'!$L469&lt;&gt;""),'Atividades Micro'!$L469,"")</f>
        <v/>
      </c>
      <c r="W417" s="21" t="str">
        <f>IF(AND('Atividades Micro'!$B469=W$2,'Atividades Micro'!$K469&lt;&gt;""),'Atividades Micro'!$K469,"")</f>
        <v/>
      </c>
      <c r="X417" s="21" t="str">
        <f>IF(AND('Atividades Micro'!$B469=X$2,'Atividades Micro'!$L469&lt;&gt;""),'Atividades Micro'!$L469,"")</f>
        <v/>
      </c>
      <c r="Y417" s="21" t="str">
        <f>IF(AND('Atividades Micro'!$A469=Y$2,'Atividades Micro'!$K469&lt;&gt;""),'Atividades Micro'!$K469,"")</f>
        <v/>
      </c>
      <c r="Z417" s="21" t="str">
        <f>IF(AND('Atividades Micro'!$A469=Z$2,'Atividades Micro'!$L469&lt;&gt;""),'Atividades Micro'!$L469,"")</f>
        <v/>
      </c>
      <c r="AA417" s="21" t="str">
        <f>IF(AND('Atividades Micro'!$B469=AA$2,'Atividades Micro'!$K469&lt;&gt;""),'Atividades Micro'!$K469,"")</f>
        <v/>
      </c>
      <c r="AB417" s="21" t="str">
        <f>IF(AND('Atividades Micro'!$B469=AB$2,'Atividades Micro'!$L469&lt;&gt;""),'Atividades Micro'!$L469,"")</f>
        <v/>
      </c>
      <c r="AC417" s="21" t="str">
        <f>IF(AND('Atividades Micro'!$B469=AC$2,'Atividades Micro'!$K469&lt;&gt;""),'Atividades Micro'!$K469,"")</f>
        <v/>
      </c>
      <c r="AD417" s="21" t="str">
        <f>IF(AND('Atividades Micro'!$B469=AD$2,'Atividades Micro'!$L469&lt;&gt;""),'Atividades Micro'!$L469,"")</f>
        <v/>
      </c>
      <c r="AE417" s="21" t="str">
        <f>IF(AND('Atividades Micro'!$A469=AE$2,'Atividades Micro'!$K469&lt;&gt;""),'Atividades Micro'!$K469,"")</f>
        <v/>
      </c>
      <c r="AF417" s="21" t="str">
        <f>IF(AND('Atividades Micro'!$A469=AF$2,'Atividades Micro'!$L469&lt;&gt;""),'Atividades Micro'!$L469,"")</f>
        <v/>
      </c>
      <c r="AG417" s="21" t="str">
        <f>IF(AND('Atividades Micro'!$B469=AG$2,'Atividades Micro'!$K469&lt;&gt;""),'Atividades Micro'!$K469,"")</f>
        <v/>
      </c>
      <c r="AH417" s="21" t="str">
        <f>IF(AND('Atividades Micro'!$B469=AH$2,'Atividades Micro'!$L469&lt;&gt;""),'Atividades Micro'!$L469,"")</f>
        <v/>
      </c>
      <c r="AI417" s="21" t="str">
        <f>IF(AND('Atividades Micro'!$B469=AI$2,'Atividades Micro'!$K469&lt;&gt;""),'Atividades Micro'!$K469,"")</f>
        <v/>
      </c>
      <c r="AJ417" s="21" t="str">
        <f>IF(AND('Atividades Micro'!$B469=AJ$2,'Atividades Micro'!$L469&lt;&gt;""),'Atividades Micro'!$L469,"")</f>
        <v/>
      </c>
      <c r="AK417" s="21" t="str">
        <f>IF(AND('Atividades Micro'!$A469=AK$2,'Atividades Micro'!$K469&lt;&gt;""),'Atividades Micro'!$K469,"")</f>
        <v/>
      </c>
      <c r="AL417" s="21" t="str">
        <f>IF(AND('Atividades Micro'!$A469=AL$2,'Atividades Micro'!$L469&lt;&gt;""),'Atividades Micro'!$L469,"")</f>
        <v/>
      </c>
      <c r="AM417" s="21" t="str">
        <f>IF(AND('Atividades Micro'!$B469=AM$2,'Atividades Micro'!$K469&lt;&gt;""),'Atividades Micro'!$K469,"")</f>
        <v/>
      </c>
      <c r="AN417" s="21" t="str">
        <f>IF(AND('Atividades Micro'!$B469=AN$2,'Atividades Micro'!$L469&lt;&gt;""),'Atividades Micro'!$L469,"")</f>
        <v/>
      </c>
      <c r="AO417" s="21" t="str">
        <f>IF(AND('Atividades Micro'!$B469=AO$2,'Atividades Micro'!$K469&lt;&gt;""),'Atividades Micro'!$K469,"")</f>
        <v/>
      </c>
      <c r="AP417" s="21" t="str">
        <f>IF(AND('Atividades Micro'!$B469=AP$2,'Atividades Micro'!$L469&lt;&gt;""),'Atividades Micro'!$L469,"")</f>
        <v/>
      </c>
      <c r="AQ417" s="21" t="str">
        <f>IF(AND('Atividades Micro'!$A469=AQ$2,'Atividades Micro'!$K469&lt;&gt;""),'Atividades Micro'!$K469,"")</f>
        <v/>
      </c>
      <c r="AR417" s="21" t="str">
        <f>IF(AND('Atividades Micro'!$A469=AR$2,'Atividades Micro'!$L469&lt;&gt;""),'Atividades Micro'!$L469,"")</f>
        <v/>
      </c>
      <c r="AS417" s="21" t="str">
        <f>IF(AND('Atividades Micro'!$B469=AS$2,'Atividades Micro'!$K469&lt;&gt;""),'Atividades Micro'!$K469,"")</f>
        <v/>
      </c>
      <c r="AT417" s="21" t="str">
        <f>IF(AND('Atividades Micro'!$B469=AT$2,'Atividades Micro'!$L469&lt;&gt;""),'Atividades Micro'!$L469,"")</f>
        <v/>
      </c>
      <c r="AU417" s="21" t="str">
        <f>IF(AND('Atividades Micro'!$A469=AU$2,'Atividades Micro'!$K469&lt;&gt;""),'Atividades Micro'!$K469,"")</f>
        <v/>
      </c>
      <c r="AV417" s="21" t="str">
        <f>IF(AND('Atividades Micro'!$A469=AV$2,'Atividades Micro'!$L469&lt;&gt;""),'Atividades Micro'!$L469,"")</f>
        <v/>
      </c>
      <c r="AW417" s="21" t="str">
        <f>IF(AND('Atividades Micro'!$B469=AW$2,'Atividades Micro'!$K469&lt;&gt;""),'Atividades Micro'!$K469,"")</f>
        <v/>
      </c>
      <c r="AX417" s="21" t="str">
        <f>IF(AND('Atividades Micro'!$B469=AX$2,'Atividades Micro'!$L469&lt;&gt;""),'Atividades Micro'!$L469,"")</f>
        <v/>
      </c>
      <c r="AY417" s="21" t="str">
        <f>IF(AND('Atividades Micro'!$A469=AY$2,'Atividades Micro'!$K469&lt;&gt;""),'Atividades Micro'!$K469,"")</f>
        <v/>
      </c>
      <c r="AZ417" s="21" t="str">
        <f>IF(AND('Atividades Micro'!$A469=AZ$2,'Atividades Micro'!$L469&lt;&gt;""),'Atividades Micro'!$L469,"")</f>
        <v/>
      </c>
      <c r="BA417" s="21" t="str">
        <f>IF(AND('Atividades Micro'!$B469=BA$2,'Atividades Micro'!$K469&lt;&gt;""),'Atividades Micro'!$K469,"")</f>
        <v/>
      </c>
      <c r="BB417" s="21" t="str">
        <f>IF(AND('Atividades Micro'!$B469=BB$2,'Atividades Micro'!$L469&lt;&gt;""),'Atividades Micro'!$L469,"")</f>
        <v/>
      </c>
      <c r="BC417" s="21" t="str">
        <f>IF(AND('Atividades Micro'!$B469=BC$2,'Atividades Micro'!$G469="Macro",'Atividades Micro'!$K469&lt;&gt;""),'Atividades Micro'!$K469,"")</f>
        <v/>
      </c>
      <c r="BD417" s="21" t="str">
        <f>IF(AND('Atividades Micro'!$B469=BD$2,'Atividades Micro'!$G469="Macro",'Atividades Micro'!$K469&lt;&gt;""),'Atividades Micro'!$K469,"")</f>
        <v/>
      </c>
      <c r="BE417" s="21" t="str">
        <f>IF(AND('Atividades Micro'!$B469=BE$2,'Atividades Micro'!$G469="Macro",'Atividades Micro'!$K469&lt;&gt;""),'Atividades Micro'!$K469,"")</f>
        <v/>
      </c>
      <c r="BF417" s="21" t="str">
        <f>IF(AND('Atividades Micro'!$B469=BF$2,'Atividades Micro'!$G469="Macro",'Atividades Micro'!$K469&lt;&gt;""),'Atividades Micro'!$K469,"")</f>
        <v/>
      </c>
      <c r="BG417" s="21" t="str">
        <f>IF(AND('Atividades Micro'!$B469=BG$2,'Atividades Micro'!$G469="Macro",'Atividades Micro'!$K469&lt;&gt;""),'Atividades Micro'!$K469,"")</f>
        <v/>
      </c>
      <c r="BH417" s="21" t="str">
        <f>IF(AND('Atividades Micro'!$B469=BH$2,'Atividades Micro'!$G469="Macro",'Atividades Micro'!$K469&lt;&gt;""),'Atividades Micro'!$K469,"")</f>
        <v/>
      </c>
      <c r="BI417" s="21" t="str">
        <f>IF(AND('Atividades Micro'!$B469=BI$2,'Atividades Micro'!$G469="Macro",'Atividades Micro'!$K469&lt;&gt;""),'Atividades Micro'!$K469,"")</f>
        <v/>
      </c>
      <c r="BJ417" s="21" t="str">
        <f>IF(AND('Atividades Micro'!$B469=BJ$2,'Atividades Micro'!$G469="Macro",'Atividades Micro'!$K469&lt;&gt;""),'Atividades Micro'!$K469,"")</f>
        <v/>
      </c>
      <c r="BK417" s="21" t="str">
        <f>IF(AND('Atividades Micro'!$B469=BK$2,'Atividades Micro'!$G469="Macro",'Atividades Micro'!$K469&lt;&gt;""),'Atividades Micro'!$K469,"")</f>
        <v/>
      </c>
      <c r="BL417" s="21" t="str">
        <f>IF(AND('Atividades Micro'!$B469=BL$2,'Atividades Micro'!$G469="Macro",'Atividades Micro'!$K469&lt;&gt;""),'Atividades Micro'!$K469,"")</f>
        <v/>
      </c>
      <c r="BM417" s="21" t="str">
        <f>IF(AND('Atividades Micro'!$B469=BM$2,'Atividades Micro'!$G469="Macro",'Atividades Micro'!$K469&lt;&gt;""),'Atividades Micro'!$K469,"")</f>
        <v/>
      </c>
      <c r="BN417" s="21" t="str">
        <f>IF(AND('Atividades Micro'!$B469=BN$2,'Atividades Micro'!$G469="Macro",'Atividades Micro'!$K469&lt;&gt;""),'Atividades Micro'!$K469,"")</f>
        <v/>
      </c>
      <c r="BO417" s="21" t="str">
        <f>IF(AND('Atividades Micro'!$B469=BO$2,'Atividades Micro'!$G469="Macro",'Atividades Micro'!$K469&lt;&gt;""),'Atividades Micro'!$K469,"")</f>
        <v/>
      </c>
      <c r="BP417" s="21" t="str">
        <f>IF(AND('Atividades Micro'!$B469=BP$2,'Atividades Micro'!$G469="Macro",'Atividades Micro'!$K469&lt;&gt;""),'Atividades Micro'!$K469,"")</f>
        <v/>
      </c>
      <c r="BQ417" s="21" t="str">
        <f>IF(AND('Atividades Micro'!$B469=BQ$2,'Atividades Micro'!$G469="Macro",'Atividades Micro'!$K469&lt;&gt;""),'Atividades Micro'!$K469,"")</f>
        <v/>
      </c>
      <c r="BR417" s="21" t="str">
        <f>IF(AND('Atividades Micro'!$B469=BR$2,'Atividades Micro'!$G469="Macro",'Atividades Micro'!$K469&lt;&gt;""),'Atividades Micro'!$K469,"")</f>
        <v/>
      </c>
      <c r="BS417" s="21" t="str">
        <f>IF(AND('Atividades Micro'!$B469=BS$2,'Atividades Micro'!$G469="Macro",'Atividades Micro'!$K469&lt;&gt;""),'Atividades Micro'!$K469,"")</f>
        <v/>
      </c>
      <c r="BT417" s="21" t="str">
        <f>IF(AND('Atividades Micro'!$B469=BT$2,'Atividades Micro'!$G469="Macro",'Atividades Micro'!$K469&lt;&gt;""),'Atividades Micro'!$K469,"")</f>
        <v/>
      </c>
      <c r="BU417" s="21" t="str">
        <f>IF(AND('Atividades Micro'!$B469=BU$2,'Atividades Micro'!$G469="Macro",'Atividades Micro'!$K469&lt;&gt;""),'Atividades Micro'!$K469,"")</f>
        <v/>
      </c>
      <c r="BV417" s="21" t="str">
        <f>IF(AND('Atividades Micro'!$B469=BV$2,'Atividades Micro'!$G469="Macro",'Atividades Micro'!$K469&lt;&gt;""),'Atividades Micro'!$K469,"")</f>
        <v/>
      </c>
      <c r="BW417" s="21" t="str">
        <f>IF(AND('Atividades Micro'!$B469=BW$2,'Atividades Micro'!$G469="Macro",'Atividades Micro'!$K469&lt;&gt;""),'Atividades Micro'!$K469,"")</f>
        <v/>
      </c>
      <c r="BX417" s="21" t="str">
        <f>IF(AND('Atividades Micro'!$B469=BX$2,'Atividades Micro'!$G469="Macro",'Atividades Micro'!$K469&lt;&gt;""),'Atividades Micro'!$K469,"")</f>
        <v/>
      </c>
      <c r="BY417" s="21" t="str">
        <f>IF(AND('Atividades Micro'!$B469=BY$2,'Atividades Micro'!$G469="Macro",'Atividades Micro'!$K469&lt;&gt;""),'Atividades Micro'!$K469,"")</f>
        <v/>
      </c>
      <c r="BZ417" s="21" t="str">
        <f>IF(AND('Atividades Micro'!$B469=BZ$2,'Atividades Micro'!$G469="Macro",'Atividades Micro'!$K469&lt;&gt;""),'Atividades Micro'!$K469,"")</f>
        <v/>
      </c>
      <c r="CA417" s="21" t="str">
        <f>IF(AND('Atividades Micro'!$B469=CA$2,'Atividades Micro'!$G469="Macro",'Atividades Micro'!$K469&lt;&gt;""),'Atividades Micro'!$K469,"")</f>
        <v/>
      </c>
      <c r="CB417" s="21" t="str">
        <f>IF(AND('Atividades Micro'!$B469=CB$2,'Atividades Micro'!$G469="Macro",'Atividades Micro'!$K469&lt;&gt;""),'Atividades Micro'!$K469,"")</f>
        <v/>
      </c>
      <c r="CC417" s="21" t="str">
        <f>IF(AND('Atividades Micro'!$B469=CC$2,'Atividades Micro'!$G469="Macro",'Atividades Micro'!$K469&lt;&gt;""),'Atividades Micro'!$K469,"")</f>
        <v/>
      </c>
      <c r="CD417" s="21" t="str">
        <f>IF(AND('Atividades Micro'!$B469=CD$2,'Atividades Micro'!$G469="Micro",'Atividades Micro'!$K469&lt;&gt;""),'Atividades Micro'!$K469,"")</f>
        <v/>
      </c>
      <c r="CE417" s="21" t="str">
        <f>IF(AND('Atividades Micro'!$B469=CE$2,'Atividades Micro'!$G469="Micro",'Atividades Micro'!$K469&lt;&gt;""),'Atividades Micro'!$K469,"")</f>
        <v/>
      </c>
      <c r="CF417" s="21" t="str">
        <f>IF(AND('Atividades Micro'!$B469=CF$2,'Atividades Micro'!$G469="Micro",'Atividades Micro'!$K469&lt;&gt;""),'Atividades Micro'!$K469,"")</f>
        <v/>
      </c>
      <c r="CG417" s="21" t="str">
        <f>IF(AND('Atividades Micro'!$B469=CG$2,'Atividades Micro'!$G469="Micro",'Atividades Micro'!$K469&lt;&gt;""),'Atividades Micro'!$K469,"")</f>
        <v/>
      </c>
      <c r="CH417" s="21" t="str">
        <f>IF(AND('Atividades Micro'!$B469=CH$2,'Atividades Micro'!$G469="Micro",'Atividades Micro'!$K469&lt;&gt;""),'Atividades Micro'!$K469,"")</f>
        <v/>
      </c>
      <c r="CI417" s="21" t="str">
        <f>IF(AND('Atividades Micro'!$B469=CI$2,'Atividades Micro'!$G469="Micro",'Atividades Micro'!$K469&lt;&gt;""),'Atividades Micro'!$K469,"")</f>
        <v/>
      </c>
      <c r="CJ417" s="21" t="str">
        <f>IF(AND('Atividades Micro'!$B469=CJ$2,'Atividades Micro'!$G469="Micro",'Atividades Micro'!$K469&lt;&gt;""),'Atividades Micro'!$K469,"")</f>
        <v/>
      </c>
      <c r="CK417" s="21" t="str">
        <f>IF(AND('Atividades Micro'!$B469=CK$2,'Atividades Micro'!$G469="Micro",'Atividades Micro'!$K469&lt;&gt;""),'Atividades Micro'!$K469,"")</f>
        <v/>
      </c>
      <c r="CL417" s="21" t="str">
        <f>IF(AND('Atividades Micro'!$B469=CL$2,'Atividades Micro'!$G469="Micro",'Atividades Micro'!$K469&lt;&gt;""),'Atividades Micro'!$K469,"")</f>
        <v/>
      </c>
      <c r="CM417" s="21" t="str">
        <f>IF(AND('Atividades Micro'!$B469=CM$2,'Atividades Micro'!$G469="Micro",'Atividades Micro'!$K469&lt;&gt;""),'Atividades Micro'!$K469,"")</f>
        <v/>
      </c>
      <c r="CN417" s="21" t="str">
        <f>IF(AND('Atividades Micro'!$B469=CN$2,'Atividades Micro'!$G469="Micro",'Atividades Micro'!$K469&lt;&gt;""),'Atividades Micro'!$K469,"")</f>
        <v/>
      </c>
      <c r="CO417" s="21" t="str">
        <f>IF(AND('Atividades Micro'!$B469=CO$2,'Atividades Micro'!$G469="Micro",'Atividades Micro'!$K469&lt;&gt;""),'Atividades Micro'!$K469,"")</f>
        <v/>
      </c>
    </row>
    <row r="418" spans="1:93">
      <c r="A418" s="21" t="str">
        <f>IF(AND('Atividades Micro'!$A470=A$2,'Atividades Micro'!$K470&lt;&gt;""),'Atividades Micro'!$K470,"")</f>
        <v/>
      </c>
      <c r="B418" s="21" t="str">
        <f>IF(AND('Atividades Micro'!$A470=B$2,'Atividades Micro'!$L470&lt;&gt;""),'Atividades Micro'!$L470,"")</f>
        <v/>
      </c>
      <c r="C418" s="21" t="str">
        <f>IF(AND('Atividades Micro'!$A470=C$2,'Atividades Micro'!$K470&lt;&gt;""),'Atividades Micro'!$K470,"")</f>
        <v/>
      </c>
      <c r="D418" s="21" t="str">
        <f>IF(AND('Atividades Micro'!$A470=D$2,'Atividades Micro'!$L470&lt;&gt;""),'Atividades Micro'!$L470,"")</f>
        <v/>
      </c>
      <c r="E418" s="21" t="str">
        <f>IF(AND('Atividades Micro'!$A470=E$2,'Atividades Micro'!$K470&lt;&gt;""),'Atividades Micro'!$K470,"")</f>
        <v/>
      </c>
      <c r="F418" s="21" t="str">
        <f>IF(AND('Atividades Micro'!$A470=F$2,'Atividades Micro'!$L470&lt;&gt;""),'Atividades Micro'!$L470,"")</f>
        <v/>
      </c>
      <c r="G418" s="21" t="str">
        <f>IF(AND('Atividades Micro'!$A470=G$2,'Atividades Micro'!$K470&lt;&gt;""),'Atividades Micro'!$K470,"")</f>
        <v/>
      </c>
      <c r="H418" s="21" t="str">
        <f>IF(AND('Atividades Micro'!$A470=H$2,'Atividades Micro'!$L470&lt;&gt;""),'Atividades Micro'!$L470,"")</f>
        <v/>
      </c>
      <c r="I418" s="21" t="str">
        <f>IF(AND('Atividades Micro'!$A470=I$2,'Atividades Micro'!$K470&lt;&gt;""),'Atividades Micro'!$K470,"")</f>
        <v/>
      </c>
      <c r="J418" s="21" t="str">
        <f>IF(AND('Atividades Micro'!$A470=J$2,'Atividades Micro'!$L470&lt;&gt;""),'Atividades Micro'!$L470,"")</f>
        <v/>
      </c>
      <c r="K418" s="21" t="str">
        <f>IF(AND('Atividades Micro'!$B470=K$2,'Atividades Micro'!$K470&lt;&gt;""),'Atividades Micro'!$K470,"")</f>
        <v/>
      </c>
      <c r="L418" s="21" t="str">
        <f>IF(AND('Atividades Micro'!$B470=L$2,'Atividades Micro'!$L470&lt;&gt;""),'Atividades Micro'!$L470,"")</f>
        <v/>
      </c>
      <c r="M418" s="21" t="str">
        <f>IF(AND('Atividades Micro'!$B470=M$2,'Atividades Micro'!$K470&lt;&gt;""),'Atividades Micro'!$K470,"")</f>
        <v/>
      </c>
      <c r="N418" s="21" t="str">
        <f>IF(AND('Atividades Micro'!$B470=N$2,'Atividades Micro'!$L470&lt;&gt;""),'Atividades Micro'!$L470,"")</f>
        <v/>
      </c>
      <c r="O418" s="21" t="str">
        <f>IF(AND('Atividades Micro'!$A470=O$2,'Atividades Micro'!$K470&lt;&gt;""),'Atividades Micro'!$K470,"")</f>
        <v/>
      </c>
      <c r="P418" s="21" t="str">
        <f>IF(AND('Atividades Micro'!$A470=P$2,'Atividades Micro'!$L470&lt;&gt;""),'Atividades Micro'!$L470,"")</f>
        <v/>
      </c>
      <c r="Q418" s="21" t="str">
        <f>IF(AND('Atividades Micro'!$B470=Q$2,'Atividades Micro'!$K470&lt;&gt;""),'Atividades Micro'!$K470,"")</f>
        <v/>
      </c>
      <c r="R418" s="21" t="str">
        <f>IF(AND('Atividades Micro'!$B470=R$2,'Atividades Micro'!$L470&lt;&gt;""),'Atividades Micro'!$L470,"")</f>
        <v/>
      </c>
      <c r="S418" s="21" t="str">
        <f>IF(AND('Atividades Micro'!$A470=S$2,'Atividades Micro'!$K470&lt;&gt;""),'Atividades Micro'!$K470,"")</f>
        <v/>
      </c>
      <c r="T418" s="21" t="str">
        <f>IF(AND('Atividades Micro'!$A470=T$2,'Atividades Micro'!$L470&lt;&gt;""),'Atividades Micro'!$L470,"")</f>
        <v/>
      </c>
      <c r="U418" s="21" t="str">
        <f>IF(AND('Atividades Micro'!$B470=U$2,'Atividades Micro'!$K470&lt;&gt;""),'Atividades Micro'!$K470,"")</f>
        <v/>
      </c>
      <c r="V418" s="21" t="str">
        <f>IF(AND('Atividades Micro'!$B470=V$2,'Atividades Micro'!$L470&lt;&gt;""),'Atividades Micro'!$L470,"")</f>
        <v/>
      </c>
      <c r="W418" s="21" t="str">
        <f>IF(AND('Atividades Micro'!$B470=W$2,'Atividades Micro'!$K470&lt;&gt;""),'Atividades Micro'!$K470,"")</f>
        <v/>
      </c>
      <c r="X418" s="21" t="str">
        <f>IF(AND('Atividades Micro'!$B470=X$2,'Atividades Micro'!$L470&lt;&gt;""),'Atividades Micro'!$L470,"")</f>
        <v/>
      </c>
      <c r="Y418" s="21" t="str">
        <f>IF(AND('Atividades Micro'!$A470=Y$2,'Atividades Micro'!$K470&lt;&gt;""),'Atividades Micro'!$K470,"")</f>
        <v/>
      </c>
      <c r="Z418" s="21" t="str">
        <f>IF(AND('Atividades Micro'!$A470=Z$2,'Atividades Micro'!$L470&lt;&gt;""),'Atividades Micro'!$L470,"")</f>
        <v/>
      </c>
      <c r="AA418" s="21" t="str">
        <f>IF(AND('Atividades Micro'!$B470=AA$2,'Atividades Micro'!$K470&lt;&gt;""),'Atividades Micro'!$K470,"")</f>
        <v/>
      </c>
      <c r="AB418" s="21" t="str">
        <f>IF(AND('Atividades Micro'!$B470=AB$2,'Atividades Micro'!$L470&lt;&gt;""),'Atividades Micro'!$L470,"")</f>
        <v/>
      </c>
      <c r="AC418" s="21" t="str">
        <f>IF(AND('Atividades Micro'!$B470=AC$2,'Atividades Micro'!$K470&lt;&gt;""),'Atividades Micro'!$K470,"")</f>
        <v/>
      </c>
      <c r="AD418" s="21" t="str">
        <f>IF(AND('Atividades Micro'!$B470=AD$2,'Atividades Micro'!$L470&lt;&gt;""),'Atividades Micro'!$L470,"")</f>
        <v/>
      </c>
      <c r="AE418" s="21" t="str">
        <f>IF(AND('Atividades Micro'!$A470=AE$2,'Atividades Micro'!$K470&lt;&gt;""),'Atividades Micro'!$K470,"")</f>
        <v/>
      </c>
      <c r="AF418" s="21" t="str">
        <f>IF(AND('Atividades Micro'!$A470=AF$2,'Atividades Micro'!$L470&lt;&gt;""),'Atividades Micro'!$L470,"")</f>
        <v/>
      </c>
      <c r="AG418" s="21" t="str">
        <f>IF(AND('Atividades Micro'!$B470=AG$2,'Atividades Micro'!$K470&lt;&gt;""),'Atividades Micro'!$K470,"")</f>
        <v/>
      </c>
      <c r="AH418" s="21" t="str">
        <f>IF(AND('Atividades Micro'!$B470=AH$2,'Atividades Micro'!$L470&lt;&gt;""),'Atividades Micro'!$L470,"")</f>
        <v/>
      </c>
      <c r="AI418" s="21" t="str">
        <f>IF(AND('Atividades Micro'!$B470=AI$2,'Atividades Micro'!$K470&lt;&gt;""),'Atividades Micro'!$K470,"")</f>
        <v/>
      </c>
      <c r="AJ418" s="21" t="str">
        <f>IF(AND('Atividades Micro'!$B470=AJ$2,'Atividades Micro'!$L470&lt;&gt;""),'Atividades Micro'!$L470,"")</f>
        <v/>
      </c>
      <c r="AK418" s="21" t="str">
        <f>IF(AND('Atividades Micro'!$A470=AK$2,'Atividades Micro'!$K470&lt;&gt;""),'Atividades Micro'!$K470,"")</f>
        <v/>
      </c>
      <c r="AL418" s="21" t="str">
        <f>IF(AND('Atividades Micro'!$A470=AL$2,'Atividades Micro'!$L470&lt;&gt;""),'Atividades Micro'!$L470,"")</f>
        <v/>
      </c>
      <c r="AM418" s="21" t="str">
        <f>IF(AND('Atividades Micro'!$B470=AM$2,'Atividades Micro'!$K470&lt;&gt;""),'Atividades Micro'!$K470,"")</f>
        <v/>
      </c>
      <c r="AN418" s="21" t="str">
        <f>IF(AND('Atividades Micro'!$B470=AN$2,'Atividades Micro'!$L470&lt;&gt;""),'Atividades Micro'!$L470,"")</f>
        <v/>
      </c>
      <c r="AO418" s="21" t="str">
        <f>IF(AND('Atividades Micro'!$B470=AO$2,'Atividades Micro'!$K470&lt;&gt;""),'Atividades Micro'!$K470,"")</f>
        <v/>
      </c>
      <c r="AP418" s="21" t="str">
        <f>IF(AND('Atividades Micro'!$B470=AP$2,'Atividades Micro'!$L470&lt;&gt;""),'Atividades Micro'!$L470,"")</f>
        <v/>
      </c>
      <c r="AQ418" s="21" t="str">
        <f>IF(AND('Atividades Micro'!$A470=AQ$2,'Atividades Micro'!$K470&lt;&gt;""),'Atividades Micro'!$K470,"")</f>
        <v/>
      </c>
      <c r="AR418" s="21" t="str">
        <f>IF(AND('Atividades Micro'!$A470=AR$2,'Atividades Micro'!$L470&lt;&gt;""),'Atividades Micro'!$L470,"")</f>
        <v/>
      </c>
      <c r="AS418" s="21" t="str">
        <f>IF(AND('Atividades Micro'!$B470=AS$2,'Atividades Micro'!$K470&lt;&gt;""),'Atividades Micro'!$K470,"")</f>
        <v/>
      </c>
      <c r="AT418" s="21" t="str">
        <f>IF(AND('Atividades Micro'!$B470=AT$2,'Atividades Micro'!$L470&lt;&gt;""),'Atividades Micro'!$L470,"")</f>
        <v/>
      </c>
      <c r="AU418" s="21" t="str">
        <f>IF(AND('Atividades Micro'!$A470=AU$2,'Atividades Micro'!$K470&lt;&gt;""),'Atividades Micro'!$K470,"")</f>
        <v/>
      </c>
      <c r="AV418" s="21" t="str">
        <f>IF(AND('Atividades Micro'!$A470=AV$2,'Atividades Micro'!$L470&lt;&gt;""),'Atividades Micro'!$L470,"")</f>
        <v/>
      </c>
      <c r="AW418" s="21" t="str">
        <f>IF(AND('Atividades Micro'!$B470=AW$2,'Atividades Micro'!$K470&lt;&gt;""),'Atividades Micro'!$K470,"")</f>
        <v/>
      </c>
      <c r="AX418" s="21" t="str">
        <f>IF(AND('Atividades Micro'!$B470=AX$2,'Atividades Micro'!$L470&lt;&gt;""),'Atividades Micro'!$L470,"")</f>
        <v/>
      </c>
      <c r="AY418" s="21" t="str">
        <f>IF(AND('Atividades Micro'!$A470=AY$2,'Atividades Micro'!$K470&lt;&gt;""),'Atividades Micro'!$K470,"")</f>
        <v/>
      </c>
      <c r="AZ418" s="21" t="str">
        <f>IF(AND('Atividades Micro'!$A470=AZ$2,'Atividades Micro'!$L470&lt;&gt;""),'Atividades Micro'!$L470,"")</f>
        <v/>
      </c>
      <c r="BA418" s="21" t="str">
        <f>IF(AND('Atividades Micro'!$B470=BA$2,'Atividades Micro'!$K470&lt;&gt;""),'Atividades Micro'!$K470,"")</f>
        <v/>
      </c>
      <c r="BB418" s="21" t="str">
        <f>IF(AND('Atividades Micro'!$B470=BB$2,'Atividades Micro'!$L470&lt;&gt;""),'Atividades Micro'!$L470,"")</f>
        <v/>
      </c>
      <c r="BC418" s="21" t="str">
        <f>IF(AND('Atividades Micro'!$B470=BC$2,'Atividades Micro'!$G470="Macro",'Atividades Micro'!$K470&lt;&gt;""),'Atividades Micro'!$K470,"")</f>
        <v/>
      </c>
      <c r="BD418" s="21" t="str">
        <f>IF(AND('Atividades Micro'!$B470=BD$2,'Atividades Micro'!$G470="Macro",'Atividades Micro'!$K470&lt;&gt;""),'Atividades Micro'!$K470,"")</f>
        <v/>
      </c>
      <c r="BE418" s="21" t="str">
        <f>IF(AND('Atividades Micro'!$B470=BE$2,'Atividades Micro'!$G470="Macro",'Atividades Micro'!$K470&lt;&gt;""),'Atividades Micro'!$K470,"")</f>
        <v/>
      </c>
      <c r="BF418" s="21" t="str">
        <f>IF(AND('Atividades Micro'!$B470=BF$2,'Atividades Micro'!$G470="Macro",'Atividades Micro'!$K470&lt;&gt;""),'Atividades Micro'!$K470,"")</f>
        <v/>
      </c>
      <c r="BG418" s="21" t="str">
        <f>IF(AND('Atividades Micro'!$B470=BG$2,'Atividades Micro'!$G470="Macro",'Atividades Micro'!$K470&lt;&gt;""),'Atividades Micro'!$K470,"")</f>
        <v/>
      </c>
      <c r="BH418" s="21" t="str">
        <f>IF(AND('Atividades Micro'!$B470=BH$2,'Atividades Micro'!$G470="Macro",'Atividades Micro'!$K470&lt;&gt;""),'Atividades Micro'!$K470,"")</f>
        <v/>
      </c>
      <c r="BI418" s="21" t="str">
        <f>IF(AND('Atividades Micro'!$B470=BI$2,'Atividades Micro'!$G470="Macro",'Atividades Micro'!$K470&lt;&gt;""),'Atividades Micro'!$K470,"")</f>
        <v/>
      </c>
      <c r="BJ418" s="21" t="str">
        <f>IF(AND('Atividades Micro'!$B470=BJ$2,'Atividades Micro'!$G470="Macro",'Atividades Micro'!$K470&lt;&gt;""),'Atividades Micro'!$K470,"")</f>
        <v/>
      </c>
      <c r="BK418" s="21" t="str">
        <f>IF(AND('Atividades Micro'!$B470=BK$2,'Atividades Micro'!$G470="Macro",'Atividades Micro'!$K470&lt;&gt;""),'Atividades Micro'!$K470,"")</f>
        <v/>
      </c>
      <c r="BL418" s="21" t="str">
        <f>IF(AND('Atividades Micro'!$B470=BL$2,'Atividades Micro'!$G470="Macro",'Atividades Micro'!$K470&lt;&gt;""),'Atividades Micro'!$K470,"")</f>
        <v/>
      </c>
      <c r="BM418" s="21" t="str">
        <f>IF(AND('Atividades Micro'!$B470=BM$2,'Atividades Micro'!$G470="Macro",'Atividades Micro'!$K470&lt;&gt;""),'Atividades Micro'!$K470,"")</f>
        <v/>
      </c>
      <c r="BN418" s="21" t="str">
        <f>IF(AND('Atividades Micro'!$B470=BN$2,'Atividades Micro'!$G470="Macro",'Atividades Micro'!$K470&lt;&gt;""),'Atividades Micro'!$K470,"")</f>
        <v/>
      </c>
      <c r="BO418" s="21" t="str">
        <f>IF(AND('Atividades Micro'!$B470=BO$2,'Atividades Micro'!$G470="Macro",'Atividades Micro'!$K470&lt;&gt;""),'Atividades Micro'!$K470,"")</f>
        <v/>
      </c>
      <c r="BP418" s="21" t="str">
        <f>IF(AND('Atividades Micro'!$B470=BP$2,'Atividades Micro'!$G470="Macro",'Atividades Micro'!$K470&lt;&gt;""),'Atividades Micro'!$K470,"")</f>
        <v/>
      </c>
      <c r="BQ418" s="21" t="str">
        <f>IF(AND('Atividades Micro'!$B470=BQ$2,'Atividades Micro'!$G470="Macro",'Atividades Micro'!$K470&lt;&gt;""),'Atividades Micro'!$K470,"")</f>
        <v/>
      </c>
      <c r="BR418" s="21" t="str">
        <f>IF(AND('Atividades Micro'!$B470=BR$2,'Atividades Micro'!$G470="Macro",'Atividades Micro'!$K470&lt;&gt;""),'Atividades Micro'!$K470,"")</f>
        <v/>
      </c>
      <c r="BS418" s="21" t="str">
        <f>IF(AND('Atividades Micro'!$B470=BS$2,'Atividades Micro'!$G470="Macro",'Atividades Micro'!$K470&lt;&gt;""),'Atividades Micro'!$K470,"")</f>
        <v/>
      </c>
      <c r="BT418" s="21" t="str">
        <f>IF(AND('Atividades Micro'!$B470=BT$2,'Atividades Micro'!$G470="Macro",'Atividades Micro'!$K470&lt;&gt;""),'Atividades Micro'!$K470,"")</f>
        <v/>
      </c>
      <c r="BU418" s="21" t="str">
        <f>IF(AND('Atividades Micro'!$B470=BU$2,'Atividades Micro'!$G470="Macro",'Atividades Micro'!$K470&lt;&gt;""),'Atividades Micro'!$K470,"")</f>
        <v/>
      </c>
      <c r="BV418" s="21" t="str">
        <f>IF(AND('Atividades Micro'!$B470=BV$2,'Atividades Micro'!$G470="Macro",'Atividades Micro'!$K470&lt;&gt;""),'Atividades Micro'!$K470,"")</f>
        <v/>
      </c>
      <c r="BW418" s="21" t="str">
        <f>IF(AND('Atividades Micro'!$B470=BW$2,'Atividades Micro'!$G470="Macro",'Atividades Micro'!$K470&lt;&gt;""),'Atividades Micro'!$K470,"")</f>
        <v/>
      </c>
      <c r="BX418" s="21" t="str">
        <f>IF(AND('Atividades Micro'!$B470=BX$2,'Atividades Micro'!$G470="Macro",'Atividades Micro'!$K470&lt;&gt;""),'Atividades Micro'!$K470,"")</f>
        <v/>
      </c>
      <c r="BY418" s="21" t="str">
        <f>IF(AND('Atividades Micro'!$B470=BY$2,'Atividades Micro'!$G470="Macro",'Atividades Micro'!$K470&lt;&gt;""),'Atividades Micro'!$K470,"")</f>
        <v/>
      </c>
      <c r="BZ418" s="21" t="str">
        <f>IF(AND('Atividades Micro'!$B470=BZ$2,'Atividades Micro'!$G470="Macro",'Atividades Micro'!$K470&lt;&gt;""),'Atividades Micro'!$K470,"")</f>
        <v/>
      </c>
      <c r="CA418" s="21" t="str">
        <f>IF(AND('Atividades Micro'!$B470=CA$2,'Atividades Micro'!$G470="Macro",'Atividades Micro'!$K470&lt;&gt;""),'Atividades Micro'!$K470,"")</f>
        <v/>
      </c>
      <c r="CB418" s="21" t="str">
        <f>IF(AND('Atividades Micro'!$B470=CB$2,'Atividades Micro'!$G470="Macro",'Atividades Micro'!$K470&lt;&gt;""),'Atividades Micro'!$K470,"")</f>
        <v/>
      </c>
      <c r="CC418" s="21" t="str">
        <f>IF(AND('Atividades Micro'!$B470=CC$2,'Atividades Micro'!$G470="Macro",'Atividades Micro'!$K470&lt;&gt;""),'Atividades Micro'!$K470,"")</f>
        <v/>
      </c>
      <c r="CD418" s="21" t="str">
        <f>IF(AND('Atividades Micro'!$B470=CD$2,'Atividades Micro'!$G470="Micro",'Atividades Micro'!$K470&lt;&gt;""),'Atividades Micro'!$K470,"")</f>
        <v/>
      </c>
      <c r="CE418" s="21" t="str">
        <f>IF(AND('Atividades Micro'!$B470=CE$2,'Atividades Micro'!$G470="Micro",'Atividades Micro'!$K470&lt;&gt;""),'Atividades Micro'!$K470,"")</f>
        <v/>
      </c>
      <c r="CF418" s="21" t="str">
        <f>IF(AND('Atividades Micro'!$B470=CF$2,'Atividades Micro'!$G470="Micro",'Atividades Micro'!$K470&lt;&gt;""),'Atividades Micro'!$K470,"")</f>
        <v/>
      </c>
      <c r="CG418" s="21" t="str">
        <f>IF(AND('Atividades Micro'!$B470=CG$2,'Atividades Micro'!$G470="Micro",'Atividades Micro'!$K470&lt;&gt;""),'Atividades Micro'!$K470,"")</f>
        <v/>
      </c>
      <c r="CH418" s="21" t="str">
        <f>IF(AND('Atividades Micro'!$B470=CH$2,'Atividades Micro'!$G470="Micro",'Atividades Micro'!$K470&lt;&gt;""),'Atividades Micro'!$K470,"")</f>
        <v/>
      </c>
      <c r="CI418" s="21" t="str">
        <f>IF(AND('Atividades Micro'!$B470=CI$2,'Atividades Micro'!$G470="Micro",'Atividades Micro'!$K470&lt;&gt;""),'Atividades Micro'!$K470,"")</f>
        <v/>
      </c>
      <c r="CJ418" s="21" t="str">
        <f>IF(AND('Atividades Micro'!$B470=CJ$2,'Atividades Micro'!$G470="Micro",'Atividades Micro'!$K470&lt;&gt;""),'Atividades Micro'!$K470,"")</f>
        <v/>
      </c>
      <c r="CK418" s="21" t="str">
        <f>IF(AND('Atividades Micro'!$B470=CK$2,'Atividades Micro'!$G470="Micro",'Atividades Micro'!$K470&lt;&gt;""),'Atividades Micro'!$K470,"")</f>
        <v/>
      </c>
      <c r="CL418" s="21" t="str">
        <f>IF(AND('Atividades Micro'!$B470=CL$2,'Atividades Micro'!$G470="Micro",'Atividades Micro'!$K470&lt;&gt;""),'Atividades Micro'!$K470,"")</f>
        <v/>
      </c>
      <c r="CM418" s="21" t="str">
        <f>IF(AND('Atividades Micro'!$B470=CM$2,'Atividades Micro'!$G470="Micro",'Atividades Micro'!$K470&lt;&gt;""),'Atividades Micro'!$K470,"")</f>
        <v/>
      </c>
      <c r="CN418" s="21" t="str">
        <f>IF(AND('Atividades Micro'!$B470=CN$2,'Atividades Micro'!$G470="Micro",'Atividades Micro'!$K470&lt;&gt;""),'Atividades Micro'!$K470,"")</f>
        <v/>
      </c>
      <c r="CO418" s="21" t="str">
        <f>IF(AND('Atividades Micro'!$B470=CO$2,'Atividades Micro'!$G470="Micro",'Atividades Micro'!$K470&lt;&gt;""),'Atividades Micro'!$K470,"")</f>
        <v/>
      </c>
    </row>
    <row r="419" spans="1:93">
      <c r="A419" s="21" t="str">
        <f>IF(AND('Atividades Micro'!$A471=A$2,'Atividades Micro'!$K471&lt;&gt;""),'Atividades Micro'!$K471,"")</f>
        <v/>
      </c>
      <c r="B419" s="21" t="str">
        <f>IF(AND('Atividades Micro'!$A471=B$2,'Atividades Micro'!$L471&lt;&gt;""),'Atividades Micro'!$L471,"")</f>
        <v/>
      </c>
      <c r="C419" s="21" t="str">
        <f>IF(AND('Atividades Micro'!$A471=C$2,'Atividades Micro'!$K471&lt;&gt;""),'Atividades Micro'!$K471,"")</f>
        <v/>
      </c>
      <c r="D419" s="21" t="str">
        <f>IF(AND('Atividades Micro'!$A471=D$2,'Atividades Micro'!$L471&lt;&gt;""),'Atividades Micro'!$L471,"")</f>
        <v/>
      </c>
      <c r="E419" s="21" t="str">
        <f>IF(AND('Atividades Micro'!$A471=E$2,'Atividades Micro'!$K471&lt;&gt;""),'Atividades Micro'!$K471,"")</f>
        <v/>
      </c>
      <c r="F419" s="21" t="str">
        <f>IF(AND('Atividades Micro'!$A471=F$2,'Atividades Micro'!$L471&lt;&gt;""),'Atividades Micro'!$L471,"")</f>
        <v/>
      </c>
      <c r="G419" s="21" t="str">
        <f>IF(AND('Atividades Micro'!$A471=G$2,'Atividades Micro'!$K471&lt;&gt;""),'Atividades Micro'!$K471,"")</f>
        <v/>
      </c>
      <c r="H419" s="21" t="str">
        <f>IF(AND('Atividades Micro'!$A471=H$2,'Atividades Micro'!$L471&lt;&gt;""),'Atividades Micro'!$L471,"")</f>
        <v/>
      </c>
      <c r="I419" s="21" t="str">
        <f>IF(AND('Atividades Micro'!$A471=I$2,'Atividades Micro'!$K471&lt;&gt;""),'Atividades Micro'!$K471,"")</f>
        <v/>
      </c>
      <c r="J419" s="21" t="str">
        <f>IF(AND('Atividades Micro'!$A471=J$2,'Atividades Micro'!$L471&lt;&gt;""),'Atividades Micro'!$L471,"")</f>
        <v/>
      </c>
      <c r="K419" s="21" t="str">
        <f>IF(AND('Atividades Micro'!$B471=K$2,'Atividades Micro'!$K471&lt;&gt;""),'Atividades Micro'!$K471,"")</f>
        <v/>
      </c>
      <c r="L419" s="21" t="str">
        <f>IF(AND('Atividades Micro'!$B471=L$2,'Atividades Micro'!$L471&lt;&gt;""),'Atividades Micro'!$L471,"")</f>
        <v/>
      </c>
      <c r="M419" s="21" t="str">
        <f>IF(AND('Atividades Micro'!$B471=M$2,'Atividades Micro'!$K471&lt;&gt;""),'Atividades Micro'!$K471,"")</f>
        <v/>
      </c>
      <c r="N419" s="21" t="str">
        <f>IF(AND('Atividades Micro'!$B471=N$2,'Atividades Micro'!$L471&lt;&gt;""),'Atividades Micro'!$L471,"")</f>
        <v/>
      </c>
      <c r="O419" s="21" t="str">
        <f>IF(AND('Atividades Micro'!$A471=O$2,'Atividades Micro'!$K471&lt;&gt;""),'Atividades Micro'!$K471,"")</f>
        <v/>
      </c>
      <c r="P419" s="21" t="str">
        <f>IF(AND('Atividades Micro'!$A471=P$2,'Atividades Micro'!$L471&lt;&gt;""),'Atividades Micro'!$L471,"")</f>
        <v/>
      </c>
      <c r="Q419" s="21" t="str">
        <f>IF(AND('Atividades Micro'!$B471=Q$2,'Atividades Micro'!$K471&lt;&gt;""),'Atividades Micro'!$K471,"")</f>
        <v/>
      </c>
      <c r="R419" s="21" t="str">
        <f>IF(AND('Atividades Micro'!$B471=R$2,'Atividades Micro'!$L471&lt;&gt;""),'Atividades Micro'!$L471,"")</f>
        <v/>
      </c>
      <c r="S419" s="21" t="str">
        <f>IF(AND('Atividades Micro'!$A471=S$2,'Atividades Micro'!$K471&lt;&gt;""),'Atividades Micro'!$K471,"")</f>
        <v/>
      </c>
      <c r="T419" s="21" t="str">
        <f>IF(AND('Atividades Micro'!$A471=T$2,'Atividades Micro'!$L471&lt;&gt;""),'Atividades Micro'!$L471,"")</f>
        <v/>
      </c>
      <c r="U419" s="21" t="str">
        <f>IF(AND('Atividades Micro'!$B471=U$2,'Atividades Micro'!$K471&lt;&gt;""),'Atividades Micro'!$K471,"")</f>
        <v/>
      </c>
      <c r="V419" s="21" t="str">
        <f>IF(AND('Atividades Micro'!$B471=V$2,'Atividades Micro'!$L471&lt;&gt;""),'Atividades Micro'!$L471,"")</f>
        <v/>
      </c>
      <c r="W419" s="21" t="str">
        <f>IF(AND('Atividades Micro'!$B471=W$2,'Atividades Micro'!$K471&lt;&gt;""),'Atividades Micro'!$K471,"")</f>
        <v/>
      </c>
      <c r="X419" s="21" t="str">
        <f>IF(AND('Atividades Micro'!$B471=X$2,'Atividades Micro'!$L471&lt;&gt;""),'Atividades Micro'!$L471,"")</f>
        <v/>
      </c>
      <c r="Y419" s="21" t="str">
        <f>IF(AND('Atividades Micro'!$A471=Y$2,'Atividades Micro'!$K471&lt;&gt;""),'Atividades Micro'!$K471,"")</f>
        <v/>
      </c>
      <c r="Z419" s="21" t="str">
        <f>IF(AND('Atividades Micro'!$A471=Z$2,'Atividades Micro'!$L471&lt;&gt;""),'Atividades Micro'!$L471,"")</f>
        <v/>
      </c>
      <c r="AA419" s="21" t="str">
        <f>IF(AND('Atividades Micro'!$B471=AA$2,'Atividades Micro'!$K471&lt;&gt;""),'Atividades Micro'!$K471,"")</f>
        <v/>
      </c>
      <c r="AB419" s="21" t="str">
        <f>IF(AND('Atividades Micro'!$B471=AB$2,'Atividades Micro'!$L471&lt;&gt;""),'Atividades Micro'!$L471,"")</f>
        <v/>
      </c>
      <c r="AC419" s="21" t="str">
        <f>IF(AND('Atividades Micro'!$B471=AC$2,'Atividades Micro'!$K471&lt;&gt;""),'Atividades Micro'!$K471,"")</f>
        <v/>
      </c>
      <c r="AD419" s="21" t="str">
        <f>IF(AND('Atividades Micro'!$B471=AD$2,'Atividades Micro'!$L471&lt;&gt;""),'Atividades Micro'!$L471,"")</f>
        <v/>
      </c>
      <c r="AE419" s="21" t="str">
        <f>IF(AND('Atividades Micro'!$A471=AE$2,'Atividades Micro'!$K471&lt;&gt;""),'Atividades Micro'!$K471,"")</f>
        <v/>
      </c>
      <c r="AF419" s="21" t="str">
        <f>IF(AND('Atividades Micro'!$A471=AF$2,'Atividades Micro'!$L471&lt;&gt;""),'Atividades Micro'!$L471,"")</f>
        <v/>
      </c>
      <c r="AG419" s="21" t="str">
        <f>IF(AND('Atividades Micro'!$B471=AG$2,'Atividades Micro'!$K471&lt;&gt;""),'Atividades Micro'!$K471,"")</f>
        <v/>
      </c>
      <c r="AH419" s="21" t="str">
        <f>IF(AND('Atividades Micro'!$B471=AH$2,'Atividades Micro'!$L471&lt;&gt;""),'Atividades Micro'!$L471,"")</f>
        <v/>
      </c>
      <c r="AI419" s="21" t="str">
        <f>IF(AND('Atividades Micro'!$B471=AI$2,'Atividades Micro'!$K471&lt;&gt;""),'Atividades Micro'!$K471,"")</f>
        <v/>
      </c>
      <c r="AJ419" s="21" t="str">
        <f>IF(AND('Atividades Micro'!$B471=AJ$2,'Atividades Micro'!$L471&lt;&gt;""),'Atividades Micro'!$L471,"")</f>
        <v/>
      </c>
      <c r="AK419" s="21" t="str">
        <f>IF(AND('Atividades Micro'!$A471=AK$2,'Atividades Micro'!$K471&lt;&gt;""),'Atividades Micro'!$K471,"")</f>
        <v/>
      </c>
      <c r="AL419" s="21" t="str">
        <f>IF(AND('Atividades Micro'!$A471=AL$2,'Atividades Micro'!$L471&lt;&gt;""),'Atividades Micro'!$L471,"")</f>
        <v/>
      </c>
      <c r="AM419" s="21" t="str">
        <f>IF(AND('Atividades Micro'!$B471=AM$2,'Atividades Micro'!$K471&lt;&gt;""),'Atividades Micro'!$K471,"")</f>
        <v/>
      </c>
      <c r="AN419" s="21" t="str">
        <f>IF(AND('Atividades Micro'!$B471=AN$2,'Atividades Micro'!$L471&lt;&gt;""),'Atividades Micro'!$L471,"")</f>
        <v/>
      </c>
      <c r="AO419" s="21" t="str">
        <f>IF(AND('Atividades Micro'!$B471=AO$2,'Atividades Micro'!$K471&lt;&gt;""),'Atividades Micro'!$K471,"")</f>
        <v/>
      </c>
      <c r="AP419" s="21" t="str">
        <f>IF(AND('Atividades Micro'!$B471=AP$2,'Atividades Micro'!$L471&lt;&gt;""),'Atividades Micro'!$L471,"")</f>
        <v/>
      </c>
      <c r="AQ419" s="21" t="str">
        <f>IF(AND('Atividades Micro'!$A471=AQ$2,'Atividades Micro'!$K471&lt;&gt;""),'Atividades Micro'!$K471,"")</f>
        <v/>
      </c>
      <c r="AR419" s="21" t="str">
        <f>IF(AND('Atividades Micro'!$A471=AR$2,'Atividades Micro'!$L471&lt;&gt;""),'Atividades Micro'!$L471,"")</f>
        <v/>
      </c>
      <c r="AS419" s="21" t="str">
        <f>IF(AND('Atividades Micro'!$B471=AS$2,'Atividades Micro'!$K471&lt;&gt;""),'Atividades Micro'!$K471,"")</f>
        <v/>
      </c>
      <c r="AT419" s="21" t="str">
        <f>IF(AND('Atividades Micro'!$B471=AT$2,'Atividades Micro'!$L471&lt;&gt;""),'Atividades Micro'!$L471,"")</f>
        <v/>
      </c>
      <c r="AU419" s="21" t="str">
        <f>IF(AND('Atividades Micro'!$A471=AU$2,'Atividades Micro'!$K471&lt;&gt;""),'Atividades Micro'!$K471,"")</f>
        <v/>
      </c>
      <c r="AV419" s="21" t="str">
        <f>IF(AND('Atividades Micro'!$A471=AV$2,'Atividades Micro'!$L471&lt;&gt;""),'Atividades Micro'!$L471,"")</f>
        <v/>
      </c>
      <c r="AW419" s="21" t="str">
        <f>IF(AND('Atividades Micro'!$B471=AW$2,'Atividades Micro'!$K471&lt;&gt;""),'Atividades Micro'!$K471,"")</f>
        <v/>
      </c>
      <c r="AX419" s="21" t="str">
        <f>IF(AND('Atividades Micro'!$B471=AX$2,'Atividades Micro'!$L471&lt;&gt;""),'Atividades Micro'!$L471,"")</f>
        <v/>
      </c>
      <c r="AY419" s="21" t="str">
        <f>IF(AND('Atividades Micro'!$A471=AY$2,'Atividades Micro'!$K471&lt;&gt;""),'Atividades Micro'!$K471,"")</f>
        <v/>
      </c>
      <c r="AZ419" s="21" t="str">
        <f>IF(AND('Atividades Micro'!$A471=AZ$2,'Atividades Micro'!$L471&lt;&gt;""),'Atividades Micro'!$L471,"")</f>
        <v/>
      </c>
      <c r="BA419" s="21" t="str">
        <f>IF(AND('Atividades Micro'!$B471=BA$2,'Atividades Micro'!$K471&lt;&gt;""),'Atividades Micro'!$K471,"")</f>
        <v/>
      </c>
      <c r="BB419" s="21" t="str">
        <f>IF(AND('Atividades Micro'!$B471=BB$2,'Atividades Micro'!$L471&lt;&gt;""),'Atividades Micro'!$L471,"")</f>
        <v/>
      </c>
      <c r="BC419" s="21" t="str">
        <f>IF(AND('Atividades Micro'!$B471=BC$2,'Atividades Micro'!$G471="Macro",'Atividades Micro'!$K471&lt;&gt;""),'Atividades Micro'!$K471,"")</f>
        <v/>
      </c>
      <c r="BD419" s="21" t="str">
        <f>IF(AND('Atividades Micro'!$B471=BD$2,'Atividades Micro'!$G471="Macro",'Atividades Micro'!$K471&lt;&gt;""),'Atividades Micro'!$K471,"")</f>
        <v/>
      </c>
      <c r="BE419" s="21" t="str">
        <f>IF(AND('Atividades Micro'!$B471=BE$2,'Atividades Micro'!$G471="Macro",'Atividades Micro'!$K471&lt;&gt;""),'Atividades Micro'!$K471,"")</f>
        <v/>
      </c>
      <c r="BF419" s="21" t="str">
        <f>IF(AND('Atividades Micro'!$B471=BF$2,'Atividades Micro'!$G471="Macro",'Atividades Micro'!$K471&lt;&gt;""),'Atividades Micro'!$K471,"")</f>
        <v/>
      </c>
      <c r="BG419" s="21" t="str">
        <f>IF(AND('Atividades Micro'!$B471=BG$2,'Atividades Micro'!$G471="Macro",'Atividades Micro'!$K471&lt;&gt;""),'Atividades Micro'!$K471,"")</f>
        <v/>
      </c>
      <c r="BH419" s="21" t="str">
        <f>IF(AND('Atividades Micro'!$B471=BH$2,'Atividades Micro'!$G471="Macro",'Atividades Micro'!$K471&lt;&gt;""),'Atividades Micro'!$K471,"")</f>
        <v/>
      </c>
      <c r="BI419" s="21" t="str">
        <f>IF(AND('Atividades Micro'!$B471=BI$2,'Atividades Micro'!$G471="Macro",'Atividades Micro'!$K471&lt;&gt;""),'Atividades Micro'!$K471,"")</f>
        <v/>
      </c>
      <c r="BJ419" s="21" t="str">
        <f>IF(AND('Atividades Micro'!$B471=BJ$2,'Atividades Micro'!$G471="Macro",'Atividades Micro'!$K471&lt;&gt;""),'Atividades Micro'!$K471,"")</f>
        <v/>
      </c>
      <c r="BK419" s="21" t="str">
        <f>IF(AND('Atividades Micro'!$B471=BK$2,'Atividades Micro'!$G471="Macro",'Atividades Micro'!$K471&lt;&gt;""),'Atividades Micro'!$K471,"")</f>
        <v/>
      </c>
      <c r="BL419" s="21" t="str">
        <f>IF(AND('Atividades Micro'!$B471=BL$2,'Atividades Micro'!$G471="Macro",'Atividades Micro'!$K471&lt;&gt;""),'Atividades Micro'!$K471,"")</f>
        <v/>
      </c>
      <c r="BM419" s="21" t="str">
        <f>IF(AND('Atividades Micro'!$B471=BM$2,'Atividades Micro'!$G471="Macro",'Atividades Micro'!$K471&lt;&gt;""),'Atividades Micro'!$K471,"")</f>
        <v/>
      </c>
      <c r="BN419" s="21" t="str">
        <f>IF(AND('Atividades Micro'!$B471=BN$2,'Atividades Micro'!$G471="Macro",'Atividades Micro'!$K471&lt;&gt;""),'Atividades Micro'!$K471,"")</f>
        <v/>
      </c>
      <c r="BO419" s="21" t="str">
        <f>IF(AND('Atividades Micro'!$B471=BO$2,'Atividades Micro'!$G471="Macro",'Atividades Micro'!$K471&lt;&gt;""),'Atividades Micro'!$K471,"")</f>
        <v/>
      </c>
      <c r="BP419" s="21" t="str">
        <f>IF(AND('Atividades Micro'!$B471=BP$2,'Atividades Micro'!$G471="Macro",'Atividades Micro'!$K471&lt;&gt;""),'Atividades Micro'!$K471,"")</f>
        <v/>
      </c>
      <c r="BQ419" s="21" t="str">
        <f>IF(AND('Atividades Micro'!$B471=BQ$2,'Atividades Micro'!$G471="Macro",'Atividades Micro'!$K471&lt;&gt;""),'Atividades Micro'!$K471,"")</f>
        <v/>
      </c>
      <c r="BR419" s="21" t="str">
        <f>IF(AND('Atividades Micro'!$B471=BR$2,'Atividades Micro'!$G471="Macro",'Atividades Micro'!$K471&lt;&gt;""),'Atividades Micro'!$K471,"")</f>
        <v/>
      </c>
      <c r="BS419" s="21" t="str">
        <f>IF(AND('Atividades Micro'!$B471=BS$2,'Atividades Micro'!$G471="Macro",'Atividades Micro'!$K471&lt;&gt;""),'Atividades Micro'!$K471,"")</f>
        <v/>
      </c>
      <c r="BT419" s="21" t="str">
        <f>IF(AND('Atividades Micro'!$B471=BT$2,'Atividades Micro'!$G471="Macro",'Atividades Micro'!$K471&lt;&gt;""),'Atividades Micro'!$K471,"")</f>
        <v/>
      </c>
      <c r="BU419" s="21" t="str">
        <f>IF(AND('Atividades Micro'!$B471=BU$2,'Atividades Micro'!$G471="Macro",'Atividades Micro'!$K471&lt;&gt;""),'Atividades Micro'!$K471,"")</f>
        <v/>
      </c>
      <c r="BV419" s="21" t="str">
        <f>IF(AND('Atividades Micro'!$B471=BV$2,'Atividades Micro'!$G471="Macro",'Atividades Micro'!$K471&lt;&gt;""),'Atividades Micro'!$K471,"")</f>
        <v/>
      </c>
      <c r="BW419" s="21" t="str">
        <f>IF(AND('Atividades Micro'!$B471=BW$2,'Atividades Micro'!$G471="Macro",'Atividades Micro'!$K471&lt;&gt;""),'Atividades Micro'!$K471,"")</f>
        <v/>
      </c>
      <c r="BX419" s="21" t="str">
        <f>IF(AND('Atividades Micro'!$B471=BX$2,'Atividades Micro'!$G471="Macro",'Atividades Micro'!$K471&lt;&gt;""),'Atividades Micro'!$K471,"")</f>
        <v/>
      </c>
      <c r="BY419" s="21" t="str">
        <f>IF(AND('Atividades Micro'!$B471=BY$2,'Atividades Micro'!$G471="Macro",'Atividades Micro'!$K471&lt;&gt;""),'Atividades Micro'!$K471,"")</f>
        <v/>
      </c>
      <c r="BZ419" s="21" t="str">
        <f>IF(AND('Atividades Micro'!$B471=BZ$2,'Atividades Micro'!$G471="Macro",'Atividades Micro'!$K471&lt;&gt;""),'Atividades Micro'!$K471,"")</f>
        <v/>
      </c>
      <c r="CA419" s="21" t="str">
        <f>IF(AND('Atividades Micro'!$B471=CA$2,'Atividades Micro'!$G471="Macro",'Atividades Micro'!$K471&lt;&gt;""),'Atividades Micro'!$K471,"")</f>
        <v/>
      </c>
      <c r="CB419" s="21" t="str">
        <f>IF(AND('Atividades Micro'!$B471=CB$2,'Atividades Micro'!$G471="Macro",'Atividades Micro'!$K471&lt;&gt;""),'Atividades Micro'!$K471,"")</f>
        <v/>
      </c>
      <c r="CC419" s="21" t="str">
        <f>IF(AND('Atividades Micro'!$B471=CC$2,'Atividades Micro'!$G471="Macro",'Atividades Micro'!$K471&lt;&gt;""),'Atividades Micro'!$K471,"")</f>
        <v/>
      </c>
      <c r="CD419" s="21" t="str">
        <f>IF(AND('Atividades Micro'!$B471=CD$2,'Atividades Micro'!$G471="Micro",'Atividades Micro'!$K471&lt;&gt;""),'Atividades Micro'!$K471,"")</f>
        <v/>
      </c>
      <c r="CE419" s="21" t="str">
        <f>IF(AND('Atividades Micro'!$B471=CE$2,'Atividades Micro'!$G471="Micro",'Atividades Micro'!$K471&lt;&gt;""),'Atividades Micro'!$K471,"")</f>
        <v/>
      </c>
      <c r="CF419" s="21" t="str">
        <f>IF(AND('Atividades Micro'!$B471=CF$2,'Atividades Micro'!$G471="Micro",'Atividades Micro'!$K471&lt;&gt;""),'Atividades Micro'!$K471,"")</f>
        <v/>
      </c>
      <c r="CG419" s="21" t="str">
        <f>IF(AND('Atividades Micro'!$B471=CG$2,'Atividades Micro'!$G471="Micro",'Atividades Micro'!$K471&lt;&gt;""),'Atividades Micro'!$K471,"")</f>
        <v/>
      </c>
      <c r="CH419" s="21" t="str">
        <f>IF(AND('Atividades Micro'!$B471=CH$2,'Atividades Micro'!$G471="Micro",'Atividades Micro'!$K471&lt;&gt;""),'Atividades Micro'!$K471,"")</f>
        <v/>
      </c>
      <c r="CI419" s="21" t="str">
        <f>IF(AND('Atividades Micro'!$B471=CI$2,'Atividades Micro'!$G471="Micro",'Atividades Micro'!$K471&lt;&gt;""),'Atividades Micro'!$K471,"")</f>
        <v/>
      </c>
      <c r="CJ419" s="21" t="str">
        <f>IF(AND('Atividades Micro'!$B471=CJ$2,'Atividades Micro'!$G471="Micro",'Atividades Micro'!$K471&lt;&gt;""),'Atividades Micro'!$K471,"")</f>
        <v/>
      </c>
      <c r="CK419" s="21" t="str">
        <f>IF(AND('Atividades Micro'!$B471=CK$2,'Atividades Micro'!$G471="Micro",'Atividades Micro'!$K471&lt;&gt;""),'Atividades Micro'!$K471,"")</f>
        <v/>
      </c>
      <c r="CL419" s="21" t="str">
        <f>IF(AND('Atividades Micro'!$B471=CL$2,'Atividades Micro'!$G471="Micro",'Atividades Micro'!$K471&lt;&gt;""),'Atividades Micro'!$K471,"")</f>
        <v/>
      </c>
      <c r="CM419" s="21" t="str">
        <f>IF(AND('Atividades Micro'!$B471=CM$2,'Atividades Micro'!$G471="Micro",'Atividades Micro'!$K471&lt;&gt;""),'Atividades Micro'!$K471,"")</f>
        <v/>
      </c>
      <c r="CN419" s="21" t="str">
        <f>IF(AND('Atividades Micro'!$B471=CN$2,'Atividades Micro'!$G471="Micro",'Atividades Micro'!$K471&lt;&gt;""),'Atividades Micro'!$K471,"")</f>
        <v/>
      </c>
      <c r="CO419" s="21" t="str">
        <f>IF(AND('Atividades Micro'!$B471=CO$2,'Atividades Micro'!$G471="Micro",'Atividades Micro'!$K471&lt;&gt;""),'Atividades Micro'!$K471,"")</f>
        <v/>
      </c>
    </row>
    <row r="420" spans="1:93">
      <c r="A420" s="21" t="str">
        <f>IF(AND('Atividades Micro'!$A472=A$2,'Atividades Micro'!$K472&lt;&gt;""),'Atividades Micro'!$K472,"")</f>
        <v/>
      </c>
      <c r="B420" s="21" t="str">
        <f>IF(AND('Atividades Micro'!$A472=B$2,'Atividades Micro'!$L472&lt;&gt;""),'Atividades Micro'!$L472,"")</f>
        <v/>
      </c>
      <c r="C420" s="21" t="str">
        <f>IF(AND('Atividades Micro'!$A472=C$2,'Atividades Micro'!$K472&lt;&gt;""),'Atividades Micro'!$K472,"")</f>
        <v/>
      </c>
      <c r="D420" s="21" t="str">
        <f>IF(AND('Atividades Micro'!$A472=D$2,'Atividades Micro'!$L472&lt;&gt;""),'Atividades Micro'!$L472,"")</f>
        <v/>
      </c>
      <c r="E420" s="21" t="str">
        <f>IF(AND('Atividades Micro'!$A472=E$2,'Atividades Micro'!$K472&lt;&gt;""),'Atividades Micro'!$K472,"")</f>
        <v/>
      </c>
      <c r="F420" s="21" t="str">
        <f>IF(AND('Atividades Micro'!$A472=F$2,'Atividades Micro'!$L472&lt;&gt;""),'Atividades Micro'!$L472,"")</f>
        <v/>
      </c>
      <c r="G420" s="21" t="str">
        <f>IF(AND('Atividades Micro'!$A472=G$2,'Atividades Micro'!$K472&lt;&gt;""),'Atividades Micro'!$K472,"")</f>
        <v/>
      </c>
      <c r="H420" s="21" t="str">
        <f>IF(AND('Atividades Micro'!$A472=H$2,'Atividades Micro'!$L472&lt;&gt;""),'Atividades Micro'!$L472,"")</f>
        <v/>
      </c>
      <c r="I420" s="21" t="str">
        <f>IF(AND('Atividades Micro'!$A472=I$2,'Atividades Micro'!$K472&lt;&gt;""),'Atividades Micro'!$K472,"")</f>
        <v/>
      </c>
      <c r="J420" s="21" t="str">
        <f>IF(AND('Atividades Micro'!$A472=J$2,'Atividades Micro'!$L472&lt;&gt;""),'Atividades Micro'!$L472,"")</f>
        <v/>
      </c>
      <c r="K420" s="21" t="str">
        <f>IF(AND('Atividades Micro'!$B472=K$2,'Atividades Micro'!$K472&lt;&gt;""),'Atividades Micro'!$K472,"")</f>
        <v/>
      </c>
      <c r="L420" s="21" t="str">
        <f>IF(AND('Atividades Micro'!$B472=L$2,'Atividades Micro'!$L472&lt;&gt;""),'Atividades Micro'!$L472,"")</f>
        <v/>
      </c>
      <c r="M420" s="21" t="str">
        <f>IF(AND('Atividades Micro'!$B472=M$2,'Atividades Micro'!$K472&lt;&gt;""),'Atividades Micro'!$K472,"")</f>
        <v/>
      </c>
      <c r="N420" s="21" t="str">
        <f>IF(AND('Atividades Micro'!$B472=N$2,'Atividades Micro'!$L472&lt;&gt;""),'Atividades Micro'!$L472,"")</f>
        <v/>
      </c>
      <c r="O420" s="21" t="str">
        <f>IF(AND('Atividades Micro'!$A472=O$2,'Atividades Micro'!$K472&lt;&gt;""),'Atividades Micro'!$K472,"")</f>
        <v/>
      </c>
      <c r="P420" s="21" t="str">
        <f>IF(AND('Atividades Micro'!$A472=P$2,'Atividades Micro'!$L472&lt;&gt;""),'Atividades Micro'!$L472,"")</f>
        <v/>
      </c>
      <c r="Q420" s="21" t="str">
        <f>IF(AND('Atividades Micro'!$B472=Q$2,'Atividades Micro'!$K472&lt;&gt;""),'Atividades Micro'!$K472,"")</f>
        <v/>
      </c>
      <c r="R420" s="21" t="str">
        <f>IF(AND('Atividades Micro'!$B472=R$2,'Atividades Micro'!$L472&lt;&gt;""),'Atividades Micro'!$L472,"")</f>
        <v/>
      </c>
      <c r="S420" s="21" t="str">
        <f>IF(AND('Atividades Micro'!$A472=S$2,'Atividades Micro'!$K472&lt;&gt;""),'Atividades Micro'!$K472,"")</f>
        <v/>
      </c>
      <c r="T420" s="21" t="str">
        <f>IF(AND('Atividades Micro'!$A472=T$2,'Atividades Micro'!$L472&lt;&gt;""),'Atividades Micro'!$L472,"")</f>
        <v/>
      </c>
      <c r="U420" s="21" t="str">
        <f>IF(AND('Atividades Micro'!$B472=U$2,'Atividades Micro'!$K472&lt;&gt;""),'Atividades Micro'!$K472,"")</f>
        <v/>
      </c>
      <c r="V420" s="21" t="str">
        <f>IF(AND('Atividades Micro'!$B472=V$2,'Atividades Micro'!$L472&lt;&gt;""),'Atividades Micro'!$L472,"")</f>
        <v/>
      </c>
      <c r="W420" s="21" t="str">
        <f>IF(AND('Atividades Micro'!$B472=W$2,'Atividades Micro'!$K472&lt;&gt;""),'Atividades Micro'!$K472,"")</f>
        <v/>
      </c>
      <c r="X420" s="21" t="str">
        <f>IF(AND('Atividades Micro'!$B472=X$2,'Atividades Micro'!$L472&lt;&gt;""),'Atividades Micro'!$L472,"")</f>
        <v/>
      </c>
      <c r="Y420" s="21" t="str">
        <f>IF(AND('Atividades Micro'!$A472=Y$2,'Atividades Micro'!$K472&lt;&gt;""),'Atividades Micro'!$K472,"")</f>
        <v/>
      </c>
      <c r="Z420" s="21" t="str">
        <f>IF(AND('Atividades Micro'!$A472=Z$2,'Atividades Micro'!$L472&lt;&gt;""),'Atividades Micro'!$L472,"")</f>
        <v/>
      </c>
      <c r="AA420" s="21" t="str">
        <f>IF(AND('Atividades Micro'!$B472=AA$2,'Atividades Micro'!$K472&lt;&gt;""),'Atividades Micro'!$K472,"")</f>
        <v/>
      </c>
      <c r="AB420" s="21" t="str">
        <f>IF(AND('Atividades Micro'!$B472=AB$2,'Atividades Micro'!$L472&lt;&gt;""),'Atividades Micro'!$L472,"")</f>
        <v/>
      </c>
      <c r="AC420" s="21" t="str">
        <f>IF(AND('Atividades Micro'!$B472=AC$2,'Atividades Micro'!$K472&lt;&gt;""),'Atividades Micro'!$K472,"")</f>
        <v/>
      </c>
      <c r="AD420" s="21" t="str">
        <f>IF(AND('Atividades Micro'!$B472=AD$2,'Atividades Micro'!$L472&lt;&gt;""),'Atividades Micro'!$L472,"")</f>
        <v/>
      </c>
      <c r="AE420" s="21" t="str">
        <f>IF(AND('Atividades Micro'!$A472=AE$2,'Atividades Micro'!$K472&lt;&gt;""),'Atividades Micro'!$K472,"")</f>
        <v/>
      </c>
      <c r="AF420" s="21" t="str">
        <f>IF(AND('Atividades Micro'!$A472=AF$2,'Atividades Micro'!$L472&lt;&gt;""),'Atividades Micro'!$L472,"")</f>
        <v/>
      </c>
      <c r="AG420" s="21" t="str">
        <f>IF(AND('Atividades Micro'!$B472=AG$2,'Atividades Micro'!$K472&lt;&gt;""),'Atividades Micro'!$K472,"")</f>
        <v/>
      </c>
      <c r="AH420" s="21" t="str">
        <f>IF(AND('Atividades Micro'!$B472=AH$2,'Atividades Micro'!$L472&lt;&gt;""),'Atividades Micro'!$L472,"")</f>
        <v/>
      </c>
      <c r="AI420" s="21" t="str">
        <f>IF(AND('Atividades Micro'!$B472=AI$2,'Atividades Micro'!$K472&lt;&gt;""),'Atividades Micro'!$K472,"")</f>
        <v/>
      </c>
      <c r="AJ420" s="21" t="str">
        <f>IF(AND('Atividades Micro'!$B472=AJ$2,'Atividades Micro'!$L472&lt;&gt;""),'Atividades Micro'!$L472,"")</f>
        <v/>
      </c>
      <c r="AK420" s="21" t="str">
        <f>IF(AND('Atividades Micro'!$A472=AK$2,'Atividades Micro'!$K472&lt;&gt;""),'Atividades Micro'!$K472,"")</f>
        <v/>
      </c>
      <c r="AL420" s="21" t="str">
        <f>IF(AND('Atividades Micro'!$A472=AL$2,'Atividades Micro'!$L472&lt;&gt;""),'Atividades Micro'!$L472,"")</f>
        <v/>
      </c>
      <c r="AM420" s="21" t="str">
        <f>IF(AND('Atividades Micro'!$B472=AM$2,'Atividades Micro'!$K472&lt;&gt;""),'Atividades Micro'!$K472,"")</f>
        <v/>
      </c>
      <c r="AN420" s="21" t="str">
        <f>IF(AND('Atividades Micro'!$B472=AN$2,'Atividades Micro'!$L472&lt;&gt;""),'Atividades Micro'!$L472,"")</f>
        <v/>
      </c>
      <c r="AO420" s="21" t="str">
        <f>IF(AND('Atividades Micro'!$B472=AO$2,'Atividades Micro'!$K472&lt;&gt;""),'Atividades Micro'!$K472,"")</f>
        <v/>
      </c>
      <c r="AP420" s="21" t="str">
        <f>IF(AND('Atividades Micro'!$B472=AP$2,'Atividades Micro'!$L472&lt;&gt;""),'Atividades Micro'!$L472,"")</f>
        <v/>
      </c>
      <c r="AQ420" s="21" t="str">
        <f>IF(AND('Atividades Micro'!$A472=AQ$2,'Atividades Micro'!$K472&lt;&gt;""),'Atividades Micro'!$K472,"")</f>
        <v/>
      </c>
      <c r="AR420" s="21" t="str">
        <f>IF(AND('Atividades Micro'!$A472=AR$2,'Atividades Micro'!$L472&lt;&gt;""),'Atividades Micro'!$L472,"")</f>
        <v/>
      </c>
      <c r="AS420" s="21" t="str">
        <f>IF(AND('Atividades Micro'!$B472=AS$2,'Atividades Micro'!$K472&lt;&gt;""),'Atividades Micro'!$K472,"")</f>
        <v/>
      </c>
      <c r="AT420" s="21" t="str">
        <f>IF(AND('Atividades Micro'!$B472=AT$2,'Atividades Micro'!$L472&lt;&gt;""),'Atividades Micro'!$L472,"")</f>
        <v/>
      </c>
      <c r="AU420" s="21" t="str">
        <f>IF(AND('Atividades Micro'!$A472=AU$2,'Atividades Micro'!$K472&lt;&gt;""),'Atividades Micro'!$K472,"")</f>
        <v/>
      </c>
      <c r="AV420" s="21" t="str">
        <f>IF(AND('Atividades Micro'!$A472=AV$2,'Atividades Micro'!$L472&lt;&gt;""),'Atividades Micro'!$L472,"")</f>
        <v/>
      </c>
      <c r="AW420" s="21" t="str">
        <f>IF(AND('Atividades Micro'!$B472=AW$2,'Atividades Micro'!$K472&lt;&gt;""),'Atividades Micro'!$K472,"")</f>
        <v/>
      </c>
      <c r="AX420" s="21" t="str">
        <f>IF(AND('Atividades Micro'!$B472=AX$2,'Atividades Micro'!$L472&lt;&gt;""),'Atividades Micro'!$L472,"")</f>
        <v/>
      </c>
      <c r="AY420" s="21" t="str">
        <f>IF(AND('Atividades Micro'!$A472=AY$2,'Atividades Micro'!$K472&lt;&gt;""),'Atividades Micro'!$K472,"")</f>
        <v/>
      </c>
      <c r="AZ420" s="21" t="str">
        <f>IF(AND('Atividades Micro'!$A472=AZ$2,'Atividades Micro'!$L472&lt;&gt;""),'Atividades Micro'!$L472,"")</f>
        <v/>
      </c>
      <c r="BA420" s="21" t="str">
        <f>IF(AND('Atividades Micro'!$B472=BA$2,'Atividades Micro'!$K472&lt;&gt;""),'Atividades Micro'!$K472,"")</f>
        <v/>
      </c>
      <c r="BB420" s="21" t="str">
        <f>IF(AND('Atividades Micro'!$B472=BB$2,'Atividades Micro'!$L472&lt;&gt;""),'Atividades Micro'!$L472,"")</f>
        <v/>
      </c>
      <c r="BC420" s="21" t="str">
        <f>IF(AND('Atividades Micro'!$B472=BC$2,'Atividades Micro'!$G472="Macro",'Atividades Micro'!$K472&lt;&gt;""),'Atividades Micro'!$K472,"")</f>
        <v/>
      </c>
      <c r="BD420" s="21" t="str">
        <f>IF(AND('Atividades Micro'!$B472=BD$2,'Atividades Micro'!$G472="Macro",'Atividades Micro'!$K472&lt;&gt;""),'Atividades Micro'!$K472,"")</f>
        <v/>
      </c>
      <c r="BE420" s="21" t="str">
        <f>IF(AND('Atividades Micro'!$B472=BE$2,'Atividades Micro'!$G472="Macro",'Atividades Micro'!$K472&lt;&gt;""),'Atividades Micro'!$K472,"")</f>
        <v/>
      </c>
      <c r="BF420" s="21" t="str">
        <f>IF(AND('Atividades Micro'!$B472=BF$2,'Atividades Micro'!$G472="Macro",'Atividades Micro'!$K472&lt;&gt;""),'Atividades Micro'!$K472,"")</f>
        <v/>
      </c>
      <c r="BG420" s="21" t="str">
        <f>IF(AND('Atividades Micro'!$B472=BG$2,'Atividades Micro'!$G472="Macro",'Atividades Micro'!$K472&lt;&gt;""),'Atividades Micro'!$K472,"")</f>
        <v/>
      </c>
      <c r="BH420" s="21" t="str">
        <f>IF(AND('Atividades Micro'!$B472=BH$2,'Atividades Micro'!$G472="Macro",'Atividades Micro'!$K472&lt;&gt;""),'Atividades Micro'!$K472,"")</f>
        <v/>
      </c>
      <c r="BI420" s="21" t="str">
        <f>IF(AND('Atividades Micro'!$B472=BI$2,'Atividades Micro'!$G472="Macro",'Atividades Micro'!$K472&lt;&gt;""),'Atividades Micro'!$K472,"")</f>
        <v/>
      </c>
      <c r="BJ420" s="21" t="str">
        <f>IF(AND('Atividades Micro'!$B472=BJ$2,'Atividades Micro'!$G472="Macro",'Atividades Micro'!$K472&lt;&gt;""),'Atividades Micro'!$K472,"")</f>
        <v/>
      </c>
      <c r="BK420" s="21" t="str">
        <f>IF(AND('Atividades Micro'!$B472=BK$2,'Atividades Micro'!$G472="Macro",'Atividades Micro'!$K472&lt;&gt;""),'Atividades Micro'!$K472,"")</f>
        <v/>
      </c>
      <c r="BL420" s="21" t="str">
        <f>IF(AND('Atividades Micro'!$B472=BL$2,'Atividades Micro'!$G472="Macro",'Atividades Micro'!$K472&lt;&gt;""),'Atividades Micro'!$K472,"")</f>
        <v/>
      </c>
      <c r="BM420" s="21" t="str">
        <f>IF(AND('Atividades Micro'!$B472=BM$2,'Atividades Micro'!$G472="Macro",'Atividades Micro'!$K472&lt;&gt;""),'Atividades Micro'!$K472,"")</f>
        <v/>
      </c>
      <c r="BN420" s="21" t="str">
        <f>IF(AND('Atividades Micro'!$B472=BN$2,'Atividades Micro'!$G472="Macro",'Atividades Micro'!$K472&lt;&gt;""),'Atividades Micro'!$K472,"")</f>
        <v/>
      </c>
      <c r="BO420" s="21" t="str">
        <f>IF(AND('Atividades Micro'!$B472=BO$2,'Atividades Micro'!$G472="Macro",'Atividades Micro'!$K472&lt;&gt;""),'Atividades Micro'!$K472,"")</f>
        <v/>
      </c>
      <c r="BP420" s="21" t="str">
        <f>IF(AND('Atividades Micro'!$B472=BP$2,'Atividades Micro'!$G472="Macro",'Atividades Micro'!$K472&lt;&gt;""),'Atividades Micro'!$K472,"")</f>
        <v/>
      </c>
      <c r="BQ420" s="21" t="str">
        <f>IF(AND('Atividades Micro'!$B472=BQ$2,'Atividades Micro'!$G472="Macro",'Atividades Micro'!$K472&lt;&gt;""),'Atividades Micro'!$K472,"")</f>
        <v/>
      </c>
      <c r="BR420" s="21" t="str">
        <f>IF(AND('Atividades Micro'!$B472=BR$2,'Atividades Micro'!$G472="Macro",'Atividades Micro'!$K472&lt;&gt;""),'Atividades Micro'!$K472,"")</f>
        <v/>
      </c>
      <c r="BS420" s="21" t="str">
        <f>IF(AND('Atividades Micro'!$B472=BS$2,'Atividades Micro'!$G472="Macro",'Atividades Micro'!$K472&lt;&gt;""),'Atividades Micro'!$K472,"")</f>
        <v/>
      </c>
      <c r="BT420" s="21" t="str">
        <f>IF(AND('Atividades Micro'!$B472=BT$2,'Atividades Micro'!$G472="Macro",'Atividades Micro'!$K472&lt;&gt;""),'Atividades Micro'!$K472,"")</f>
        <v/>
      </c>
      <c r="BU420" s="21" t="str">
        <f>IF(AND('Atividades Micro'!$B472=BU$2,'Atividades Micro'!$G472="Macro",'Atividades Micro'!$K472&lt;&gt;""),'Atividades Micro'!$K472,"")</f>
        <v/>
      </c>
      <c r="BV420" s="21" t="str">
        <f>IF(AND('Atividades Micro'!$B472=BV$2,'Atividades Micro'!$G472="Macro",'Atividades Micro'!$K472&lt;&gt;""),'Atividades Micro'!$K472,"")</f>
        <v/>
      </c>
      <c r="BW420" s="21" t="str">
        <f>IF(AND('Atividades Micro'!$B472=BW$2,'Atividades Micro'!$G472="Macro",'Atividades Micro'!$K472&lt;&gt;""),'Atividades Micro'!$K472,"")</f>
        <v/>
      </c>
      <c r="BX420" s="21" t="str">
        <f>IF(AND('Atividades Micro'!$B472=BX$2,'Atividades Micro'!$G472="Macro",'Atividades Micro'!$K472&lt;&gt;""),'Atividades Micro'!$K472,"")</f>
        <v/>
      </c>
      <c r="BY420" s="21" t="str">
        <f>IF(AND('Atividades Micro'!$B472=BY$2,'Atividades Micro'!$G472="Macro",'Atividades Micro'!$K472&lt;&gt;""),'Atividades Micro'!$K472,"")</f>
        <v/>
      </c>
      <c r="BZ420" s="21" t="str">
        <f>IF(AND('Atividades Micro'!$B472=BZ$2,'Atividades Micro'!$G472="Macro",'Atividades Micro'!$K472&lt;&gt;""),'Atividades Micro'!$K472,"")</f>
        <v/>
      </c>
      <c r="CA420" s="21" t="str">
        <f>IF(AND('Atividades Micro'!$B472=CA$2,'Atividades Micro'!$G472="Macro",'Atividades Micro'!$K472&lt;&gt;""),'Atividades Micro'!$K472,"")</f>
        <v/>
      </c>
      <c r="CB420" s="21" t="str">
        <f>IF(AND('Atividades Micro'!$B472=CB$2,'Atividades Micro'!$G472="Macro",'Atividades Micro'!$K472&lt;&gt;""),'Atividades Micro'!$K472,"")</f>
        <v/>
      </c>
      <c r="CC420" s="21" t="str">
        <f>IF(AND('Atividades Micro'!$B472=CC$2,'Atividades Micro'!$G472="Macro",'Atividades Micro'!$K472&lt;&gt;""),'Atividades Micro'!$K472,"")</f>
        <v/>
      </c>
      <c r="CD420" s="21" t="str">
        <f>IF(AND('Atividades Micro'!$B472=CD$2,'Atividades Micro'!$G472="Micro",'Atividades Micro'!$K472&lt;&gt;""),'Atividades Micro'!$K472,"")</f>
        <v/>
      </c>
      <c r="CE420" s="21" t="str">
        <f>IF(AND('Atividades Micro'!$B472=CE$2,'Atividades Micro'!$G472="Micro",'Atividades Micro'!$K472&lt;&gt;""),'Atividades Micro'!$K472,"")</f>
        <v/>
      </c>
      <c r="CF420" s="21" t="str">
        <f>IF(AND('Atividades Micro'!$B472=CF$2,'Atividades Micro'!$G472="Micro",'Atividades Micro'!$K472&lt;&gt;""),'Atividades Micro'!$K472,"")</f>
        <v/>
      </c>
      <c r="CG420" s="21" t="str">
        <f>IF(AND('Atividades Micro'!$B472=CG$2,'Atividades Micro'!$G472="Micro",'Atividades Micro'!$K472&lt;&gt;""),'Atividades Micro'!$K472,"")</f>
        <v/>
      </c>
      <c r="CH420" s="21" t="str">
        <f>IF(AND('Atividades Micro'!$B472=CH$2,'Atividades Micro'!$G472="Micro",'Atividades Micro'!$K472&lt;&gt;""),'Atividades Micro'!$K472,"")</f>
        <v/>
      </c>
      <c r="CI420" s="21" t="str">
        <f>IF(AND('Atividades Micro'!$B472=CI$2,'Atividades Micro'!$G472="Micro",'Atividades Micro'!$K472&lt;&gt;""),'Atividades Micro'!$K472,"")</f>
        <v/>
      </c>
      <c r="CJ420" s="21" t="str">
        <f>IF(AND('Atividades Micro'!$B472=CJ$2,'Atividades Micro'!$G472="Micro",'Atividades Micro'!$K472&lt;&gt;""),'Atividades Micro'!$K472,"")</f>
        <v/>
      </c>
      <c r="CK420" s="21" t="str">
        <f>IF(AND('Atividades Micro'!$B472=CK$2,'Atividades Micro'!$G472="Micro",'Atividades Micro'!$K472&lt;&gt;""),'Atividades Micro'!$K472,"")</f>
        <v/>
      </c>
      <c r="CL420" s="21" t="str">
        <f>IF(AND('Atividades Micro'!$B472=CL$2,'Atividades Micro'!$G472="Micro",'Atividades Micro'!$K472&lt;&gt;""),'Atividades Micro'!$K472,"")</f>
        <v/>
      </c>
      <c r="CM420" s="21" t="str">
        <f>IF(AND('Atividades Micro'!$B472=CM$2,'Atividades Micro'!$G472="Micro",'Atividades Micro'!$K472&lt;&gt;""),'Atividades Micro'!$K472,"")</f>
        <v/>
      </c>
      <c r="CN420" s="21" t="str">
        <f>IF(AND('Atividades Micro'!$B472=CN$2,'Atividades Micro'!$G472="Micro",'Atividades Micro'!$K472&lt;&gt;""),'Atividades Micro'!$K472,"")</f>
        <v/>
      </c>
      <c r="CO420" s="21" t="str">
        <f>IF(AND('Atividades Micro'!$B472=CO$2,'Atividades Micro'!$G472="Micro",'Atividades Micro'!$K472&lt;&gt;""),'Atividades Micro'!$K472,"")</f>
        <v/>
      </c>
    </row>
    <row r="421" spans="1:93">
      <c r="A421" s="21" t="str">
        <f>IF(AND('Atividades Micro'!$A473=A$2,'Atividades Micro'!$K473&lt;&gt;""),'Atividades Micro'!$K473,"")</f>
        <v/>
      </c>
      <c r="B421" s="21" t="str">
        <f>IF(AND('Atividades Micro'!$A473=B$2,'Atividades Micro'!$L473&lt;&gt;""),'Atividades Micro'!$L473,"")</f>
        <v/>
      </c>
      <c r="C421" s="21" t="str">
        <f>IF(AND('Atividades Micro'!$A473=C$2,'Atividades Micro'!$K473&lt;&gt;""),'Atividades Micro'!$K473,"")</f>
        <v/>
      </c>
      <c r="D421" s="21" t="str">
        <f>IF(AND('Atividades Micro'!$A473=D$2,'Atividades Micro'!$L473&lt;&gt;""),'Atividades Micro'!$L473,"")</f>
        <v/>
      </c>
      <c r="E421" s="21" t="str">
        <f>IF(AND('Atividades Micro'!$A473=E$2,'Atividades Micro'!$K473&lt;&gt;""),'Atividades Micro'!$K473,"")</f>
        <v/>
      </c>
      <c r="F421" s="21" t="str">
        <f>IF(AND('Atividades Micro'!$A473=F$2,'Atividades Micro'!$L473&lt;&gt;""),'Atividades Micro'!$L473,"")</f>
        <v/>
      </c>
      <c r="G421" s="21" t="str">
        <f>IF(AND('Atividades Micro'!$A473=G$2,'Atividades Micro'!$K473&lt;&gt;""),'Atividades Micro'!$K473,"")</f>
        <v/>
      </c>
      <c r="H421" s="21" t="str">
        <f>IF(AND('Atividades Micro'!$A473=H$2,'Atividades Micro'!$L473&lt;&gt;""),'Atividades Micro'!$L473,"")</f>
        <v/>
      </c>
      <c r="I421" s="21" t="str">
        <f>IF(AND('Atividades Micro'!$A473=I$2,'Atividades Micro'!$K473&lt;&gt;""),'Atividades Micro'!$K473,"")</f>
        <v/>
      </c>
      <c r="J421" s="21" t="str">
        <f>IF(AND('Atividades Micro'!$A473=J$2,'Atividades Micro'!$L473&lt;&gt;""),'Atividades Micro'!$L473,"")</f>
        <v/>
      </c>
      <c r="K421" s="21" t="str">
        <f>IF(AND('Atividades Micro'!$B473=K$2,'Atividades Micro'!$K473&lt;&gt;""),'Atividades Micro'!$K473,"")</f>
        <v/>
      </c>
      <c r="L421" s="21" t="str">
        <f>IF(AND('Atividades Micro'!$B473=L$2,'Atividades Micro'!$L473&lt;&gt;""),'Atividades Micro'!$L473,"")</f>
        <v/>
      </c>
      <c r="M421" s="21" t="str">
        <f>IF(AND('Atividades Micro'!$B473=M$2,'Atividades Micro'!$K473&lt;&gt;""),'Atividades Micro'!$K473,"")</f>
        <v/>
      </c>
      <c r="N421" s="21" t="str">
        <f>IF(AND('Atividades Micro'!$B473=N$2,'Atividades Micro'!$L473&lt;&gt;""),'Atividades Micro'!$L473,"")</f>
        <v/>
      </c>
      <c r="O421" s="21" t="str">
        <f>IF(AND('Atividades Micro'!$A473=O$2,'Atividades Micro'!$K473&lt;&gt;""),'Atividades Micro'!$K473,"")</f>
        <v/>
      </c>
      <c r="P421" s="21" t="str">
        <f>IF(AND('Atividades Micro'!$A473=P$2,'Atividades Micro'!$L473&lt;&gt;""),'Atividades Micro'!$L473,"")</f>
        <v/>
      </c>
      <c r="Q421" s="21" t="str">
        <f>IF(AND('Atividades Micro'!$B473=Q$2,'Atividades Micro'!$K473&lt;&gt;""),'Atividades Micro'!$K473,"")</f>
        <v/>
      </c>
      <c r="R421" s="21" t="str">
        <f>IF(AND('Atividades Micro'!$B473=R$2,'Atividades Micro'!$L473&lt;&gt;""),'Atividades Micro'!$L473,"")</f>
        <v/>
      </c>
      <c r="S421" s="21" t="str">
        <f>IF(AND('Atividades Micro'!$A473=S$2,'Atividades Micro'!$K473&lt;&gt;""),'Atividades Micro'!$K473,"")</f>
        <v/>
      </c>
      <c r="T421" s="21" t="str">
        <f>IF(AND('Atividades Micro'!$A473=T$2,'Atividades Micro'!$L473&lt;&gt;""),'Atividades Micro'!$L473,"")</f>
        <v/>
      </c>
      <c r="U421" s="21" t="str">
        <f>IF(AND('Atividades Micro'!$B473=U$2,'Atividades Micro'!$K473&lt;&gt;""),'Atividades Micro'!$K473,"")</f>
        <v/>
      </c>
      <c r="V421" s="21" t="str">
        <f>IF(AND('Atividades Micro'!$B473=V$2,'Atividades Micro'!$L473&lt;&gt;""),'Atividades Micro'!$L473,"")</f>
        <v/>
      </c>
      <c r="W421" s="21" t="str">
        <f>IF(AND('Atividades Micro'!$B473=W$2,'Atividades Micro'!$K473&lt;&gt;""),'Atividades Micro'!$K473,"")</f>
        <v/>
      </c>
      <c r="X421" s="21" t="str">
        <f>IF(AND('Atividades Micro'!$B473=X$2,'Atividades Micro'!$L473&lt;&gt;""),'Atividades Micro'!$L473,"")</f>
        <v/>
      </c>
      <c r="Y421" s="21" t="str">
        <f>IF(AND('Atividades Micro'!$A473=Y$2,'Atividades Micro'!$K473&lt;&gt;""),'Atividades Micro'!$K473,"")</f>
        <v/>
      </c>
      <c r="Z421" s="21" t="str">
        <f>IF(AND('Atividades Micro'!$A473=Z$2,'Atividades Micro'!$L473&lt;&gt;""),'Atividades Micro'!$L473,"")</f>
        <v/>
      </c>
      <c r="AA421" s="21" t="str">
        <f>IF(AND('Atividades Micro'!$B473=AA$2,'Atividades Micro'!$K473&lt;&gt;""),'Atividades Micro'!$K473,"")</f>
        <v/>
      </c>
      <c r="AB421" s="21" t="str">
        <f>IF(AND('Atividades Micro'!$B473=AB$2,'Atividades Micro'!$L473&lt;&gt;""),'Atividades Micro'!$L473,"")</f>
        <v/>
      </c>
      <c r="AC421" s="21" t="str">
        <f>IF(AND('Atividades Micro'!$B473=AC$2,'Atividades Micro'!$K473&lt;&gt;""),'Atividades Micro'!$K473,"")</f>
        <v/>
      </c>
      <c r="AD421" s="21" t="str">
        <f>IF(AND('Atividades Micro'!$B473=AD$2,'Atividades Micro'!$L473&lt;&gt;""),'Atividades Micro'!$L473,"")</f>
        <v/>
      </c>
      <c r="AE421" s="21" t="str">
        <f>IF(AND('Atividades Micro'!$A473=AE$2,'Atividades Micro'!$K473&lt;&gt;""),'Atividades Micro'!$K473,"")</f>
        <v/>
      </c>
      <c r="AF421" s="21" t="str">
        <f>IF(AND('Atividades Micro'!$A473=AF$2,'Atividades Micro'!$L473&lt;&gt;""),'Atividades Micro'!$L473,"")</f>
        <v/>
      </c>
      <c r="AG421" s="21" t="str">
        <f>IF(AND('Atividades Micro'!$B473=AG$2,'Atividades Micro'!$K473&lt;&gt;""),'Atividades Micro'!$K473,"")</f>
        <v/>
      </c>
      <c r="AH421" s="21" t="str">
        <f>IF(AND('Atividades Micro'!$B473=AH$2,'Atividades Micro'!$L473&lt;&gt;""),'Atividades Micro'!$L473,"")</f>
        <v/>
      </c>
      <c r="AI421" s="21" t="str">
        <f>IF(AND('Atividades Micro'!$B473=AI$2,'Atividades Micro'!$K473&lt;&gt;""),'Atividades Micro'!$K473,"")</f>
        <v/>
      </c>
      <c r="AJ421" s="21" t="str">
        <f>IF(AND('Atividades Micro'!$B473=AJ$2,'Atividades Micro'!$L473&lt;&gt;""),'Atividades Micro'!$L473,"")</f>
        <v/>
      </c>
      <c r="AK421" s="21" t="str">
        <f>IF(AND('Atividades Micro'!$A473=AK$2,'Atividades Micro'!$K473&lt;&gt;""),'Atividades Micro'!$K473,"")</f>
        <v/>
      </c>
      <c r="AL421" s="21" t="str">
        <f>IF(AND('Atividades Micro'!$A473=AL$2,'Atividades Micro'!$L473&lt;&gt;""),'Atividades Micro'!$L473,"")</f>
        <v/>
      </c>
      <c r="AM421" s="21" t="str">
        <f>IF(AND('Atividades Micro'!$B473=AM$2,'Atividades Micro'!$K473&lt;&gt;""),'Atividades Micro'!$K473,"")</f>
        <v/>
      </c>
      <c r="AN421" s="21" t="str">
        <f>IF(AND('Atividades Micro'!$B473=AN$2,'Atividades Micro'!$L473&lt;&gt;""),'Atividades Micro'!$L473,"")</f>
        <v/>
      </c>
      <c r="AO421" s="21" t="str">
        <f>IF(AND('Atividades Micro'!$B473=AO$2,'Atividades Micro'!$K473&lt;&gt;""),'Atividades Micro'!$K473,"")</f>
        <v/>
      </c>
      <c r="AP421" s="21" t="str">
        <f>IF(AND('Atividades Micro'!$B473=AP$2,'Atividades Micro'!$L473&lt;&gt;""),'Atividades Micro'!$L473,"")</f>
        <v/>
      </c>
      <c r="AQ421" s="21" t="str">
        <f>IF(AND('Atividades Micro'!$A473=AQ$2,'Atividades Micro'!$K473&lt;&gt;""),'Atividades Micro'!$K473,"")</f>
        <v/>
      </c>
      <c r="AR421" s="21" t="str">
        <f>IF(AND('Atividades Micro'!$A473=AR$2,'Atividades Micro'!$L473&lt;&gt;""),'Atividades Micro'!$L473,"")</f>
        <v/>
      </c>
      <c r="AS421" s="21" t="str">
        <f>IF(AND('Atividades Micro'!$B473=AS$2,'Atividades Micro'!$K473&lt;&gt;""),'Atividades Micro'!$K473,"")</f>
        <v/>
      </c>
      <c r="AT421" s="21" t="str">
        <f>IF(AND('Atividades Micro'!$B473=AT$2,'Atividades Micro'!$L473&lt;&gt;""),'Atividades Micro'!$L473,"")</f>
        <v/>
      </c>
      <c r="AU421" s="21" t="str">
        <f>IF(AND('Atividades Micro'!$A473=AU$2,'Atividades Micro'!$K473&lt;&gt;""),'Atividades Micro'!$K473,"")</f>
        <v/>
      </c>
      <c r="AV421" s="21" t="str">
        <f>IF(AND('Atividades Micro'!$A473=AV$2,'Atividades Micro'!$L473&lt;&gt;""),'Atividades Micro'!$L473,"")</f>
        <v/>
      </c>
      <c r="AW421" s="21" t="str">
        <f>IF(AND('Atividades Micro'!$B473=AW$2,'Atividades Micro'!$K473&lt;&gt;""),'Atividades Micro'!$K473,"")</f>
        <v/>
      </c>
      <c r="AX421" s="21" t="str">
        <f>IF(AND('Atividades Micro'!$B473=AX$2,'Atividades Micro'!$L473&lt;&gt;""),'Atividades Micro'!$L473,"")</f>
        <v/>
      </c>
      <c r="AY421" s="21" t="str">
        <f>IF(AND('Atividades Micro'!$A473=AY$2,'Atividades Micro'!$K473&lt;&gt;""),'Atividades Micro'!$K473,"")</f>
        <v/>
      </c>
      <c r="AZ421" s="21" t="str">
        <f>IF(AND('Atividades Micro'!$A473=AZ$2,'Atividades Micro'!$L473&lt;&gt;""),'Atividades Micro'!$L473,"")</f>
        <v/>
      </c>
      <c r="BA421" s="21" t="str">
        <f>IF(AND('Atividades Micro'!$B473=BA$2,'Atividades Micro'!$K473&lt;&gt;""),'Atividades Micro'!$K473,"")</f>
        <v/>
      </c>
      <c r="BB421" s="21" t="str">
        <f>IF(AND('Atividades Micro'!$B473=BB$2,'Atividades Micro'!$L473&lt;&gt;""),'Atividades Micro'!$L473,"")</f>
        <v/>
      </c>
      <c r="BC421" s="21" t="str">
        <f>IF(AND('Atividades Micro'!$B473=BC$2,'Atividades Micro'!$G473="Macro",'Atividades Micro'!$K473&lt;&gt;""),'Atividades Micro'!$K473,"")</f>
        <v/>
      </c>
      <c r="BD421" s="21" t="str">
        <f>IF(AND('Atividades Micro'!$B473=BD$2,'Atividades Micro'!$G473="Macro",'Atividades Micro'!$K473&lt;&gt;""),'Atividades Micro'!$K473,"")</f>
        <v/>
      </c>
      <c r="BE421" s="21" t="str">
        <f>IF(AND('Atividades Micro'!$B473=BE$2,'Atividades Micro'!$G473="Macro",'Atividades Micro'!$K473&lt;&gt;""),'Atividades Micro'!$K473,"")</f>
        <v/>
      </c>
      <c r="BF421" s="21" t="str">
        <f>IF(AND('Atividades Micro'!$B473=BF$2,'Atividades Micro'!$G473="Macro",'Atividades Micro'!$K473&lt;&gt;""),'Atividades Micro'!$K473,"")</f>
        <v/>
      </c>
      <c r="BG421" s="21" t="str">
        <f>IF(AND('Atividades Micro'!$B473=BG$2,'Atividades Micro'!$G473="Macro",'Atividades Micro'!$K473&lt;&gt;""),'Atividades Micro'!$K473,"")</f>
        <v/>
      </c>
      <c r="BH421" s="21" t="str">
        <f>IF(AND('Atividades Micro'!$B473=BH$2,'Atividades Micro'!$G473="Macro",'Atividades Micro'!$K473&lt;&gt;""),'Atividades Micro'!$K473,"")</f>
        <v/>
      </c>
      <c r="BI421" s="21" t="str">
        <f>IF(AND('Atividades Micro'!$B473=BI$2,'Atividades Micro'!$G473="Macro",'Atividades Micro'!$K473&lt;&gt;""),'Atividades Micro'!$K473,"")</f>
        <v/>
      </c>
      <c r="BJ421" s="21" t="str">
        <f>IF(AND('Atividades Micro'!$B473=BJ$2,'Atividades Micro'!$G473="Macro",'Atividades Micro'!$K473&lt;&gt;""),'Atividades Micro'!$K473,"")</f>
        <v/>
      </c>
      <c r="BK421" s="21" t="str">
        <f>IF(AND('Atividades Micro'!$B473=BK$2,'Atividades Micro'!$G473="Macro",'Atividades Micro'!$K473&lt;&gt;""),'Atividades Micro'!$K473,"")</f>
        <v/>
      </c>
      <c r="BL421" s="21" t="str">
        <f>IF(AND('Atividades Micro'!$B473=BL$2,'Atividades Micro'!$G473="Macro",'Atividades Micro'!$K473&lt;&gt;""),'Atividades Micro'!$K473,"")</f>
        <v/>
      </c>
      <c r="BM421" s="21" t="str">
        <f>IF(AND('Atividades Micro'!$B473=BM$2,'Atividades Micro'!$G473="Macro",'Atividades Micro'!$K473&lt;&gt;""),'Atividades Micro'!$K473,"")</f>
        <v/>
      </c>
      <c r="BN421" s="21" t="str">
        <f>IF(AND('Atividades Micro'!$B473=BN$2,'Atividades Micro'!$G473="Macro",'Atividades Micro'!$K473&lt;&gt;""),'Atividades Micro'!$K473,"")</f>
        <v/>
      </c>
      <c r="BO421" s="21" t="str">
        <f>IF(AND('Atividades Micro'!$B473=BO$2,'Atividades Micro'!$G473="Macro",'Atividades Micro'!$K473&lt;&gt;""),'Atividades Micro'!$K473,"")</f>
        <v/>
      </c>
      <c r="BP421" s="21" t="str">
        <f>IF(AND('Atividades Micro'!$B473=BP$2,'Atividades Micro'!$G473="Macro",'Atividades Micro'!$K473&lt;&gt;""),'Atividades Micro'!$K473,"")</f>
        <v/>
      </c>
      <c r="BQ421" s="21" t="str">
        <f>IF(AND('Atividades Micro'!$B473=BQ$2,'Atividades Micro'!$G473="Macro",'Atividades Micro'!$K473&lt;&gt;""),'Atividades Micro'!$K473,"")</f>
        <v/>
      </c>
      <c r="BR421" s="21" t="str">
        <f>IF(AND('Atividades Micro'!$B473=BR$2,'Atividades Micro'!$G473="Macro",'Atividades Micro'!$K473&lt;&gt;""),'Atividades Micro'!$K473,"")</f>
        <v/>
      </c>
      <c r="BS421" s="21" t="str">
        <f>IF(AND('Atividades Micro'!$B473=BS$2,'Atividades Micro'!$G473="Macro",'Atividades Micro'!$K473&lt;&gt;""),'Atividades Micro'!$K473,"")</f>
        <v/>
      </c>
      <c r="BT421" s="21" t="str">
        <f>IF(AND('Atividades Micro'!$B473=BT$2,'Atividades Micro'!$G473="Macro",'Atividades Micro'!$K473&lt;&gt;""),'Atividades Micro'!$K473,"")</f>
        <v/>
      </c>
      <c r="BU421" s="21" t="str">
        <f>IF(AND('Atividades Micro'!$B473=BU$2,'Atividades Micro'!$G473="Macro",'Atividades Micro'!$K473&lt;&gt;""),'Atividades Micro'!$K473,"")</f>
        <v/>
      </c>
      <c r="BV421" s="21" t="str">
        <f>IF(AND('Atividades Micro'!$B473=BV$2,'Atividades Micro'!$G473="Macro",'Atividades Micro'!$K473&lt;&gt;""),'Atividades Micro'!$K473,"")</f>
        <v/>
      </c>
      <c r="BW421" s="21" t="str">
        <f>IF(AND('Atividades Micro'!$B473=BW$2,'Atividades Micro'!$G473="Macro",'Atividades Micro'!$K473&lt;&gt;""),'Atividades Micro'!$K473,"")</f>
        <v/>
      </c>
      <c r="BX421" s="21" t="str">
        <f>IF(AND('Atividades Micro'!$B473=BX$2,'Atividades Micro'!$G473="Macro",'Atividades Micro'!$K473&lt;&gt;""),'Atividades Micro'!$K473,"")</f>
        <v/>
      </c>
      <c r="BY421" s="21" t="str">
        <f>IF(AND('Atividades Micro'!$B473=BY$2,'Atividades Micro'!$G473="Macro",'Atividades Micro'!$K473&lt;&gt;""),'Atividades Micro'!$K473,"")</f>
        <v/>
      </c>
      <c r="BZ421" s="21" t="str">
        <f>IF(AND('Atividades Micro'!$B473=BZ$2,'Atividades Micro'!$G473="Macro",'Atividades Micro'!$K473&lt;&gt;""),'Atividades Micro'!$K473,"")</f>
        <v/>
      </c>
      <c r="CA421" s="21" t="str">
        <f>IF(AND('Atividades Micro'!$B473=CA$2,'Atividades Micro'!$G473="Macro",'Atividades Micro'!$K473&lt;&gt;""),'Atividades Micro'!$K473,"")</f>
        <v/>
      </c>
      <c r="CB421" s="21" t="str">
        <f>IF(AND('Atividades Micro'!$B473=CB$2,'Atividades Micro'!$G473="Macro",'Atividades Micro'!$K473&lt;&gt;""),'Atividades Micro'!$K473,"")</f>
        <v/>
      </c>
      <c r="CC421" s="21" t="str">
        <f>IF(AND('Atividades Micro'!$B473=CC$2,'Atividades Micro'!$G473="Macro",'Atividades Micro'!$K473&lt;&gt;""),'Atividades Micro'!$K473,"")</f>
        <v/>
      </c>
      <c r="CD421" s="21" t="str">
        <f>IF(AND('Atividades Micro'!$B473=CD$2,'Atividades Micro'!$G473="Micro",'Atividades Micro'!$K473&lt;&gt;""),'Atividades Micro'!$K473,"")</f>
        <v/>
      </c>
      <c r="CE421" s="21" t="str">
        <f>IF(AND('Atividades Micro'!$B473=CE$2,'Atividades Micro'!$G473="Micro",'Atividades Micro'!$K473&lt;&gt;""),'Atividades Micro'!$K473,"")</f>
        <v/>
      </c>
      <c r="CF421" s="21" t="str">
        <f>IF(AND('Atividades Micro'!$B473=CF$2,'Atividades Micro'!$G473="Micro",'Atividades Micro'!$K473&lt;&gt;""),'Atividades Micro'!$K473,"")</f>
        <v/>
      </c>
      <c r="CG421" s="21" t="str">
        <f>IF(AND('Atividades Micro'!$B473=CG$2,'Atividades Micro'!$G473="Micro",'Atividades Micro'!$K473&lt;&gt;""),'Atividades Micro'!$K473,"")</f>
        <v/>
      </c>
      <c r="CH421" s="21" t="str">
        <f>IF(AND('Atividades Micro'!$B473=CH$2,'Atividades Micro'!$G473="Micro",'Atividades Micro'!$K473&lt;&gt;""),'Atividades Micro'!$K473,"")</f>
        <v/>
      </c>
      <c r="CI421" s="21" t="str">
        <f>IF(AND('Atividades Micro'!$B473=CI$2,'Atividades Micro'!$G473="Micro",'Atividades Micro'!$K473&lt;&gt;""),'Atividades Micro'!$K473,"")</f>
        <v/>
      </c>
      <c r="CJ421" s="21" t="str">
        <f>IF(AND('Atividades Micro'!$B473=CJ$2,'Atividades Micro'!$G473="Micro",'Atividades Micro'!$K473&lt;&gt;""),'Atividades Micro'!$K473,"")</f>
        <v/>
      </c>
      <c r="CK421" s="21" t="str">
        <f>IF(AND('Atividades Micro'!$B473=CK$2,'Atividades Micro'!$G473="Micro",'Atividades Micro'!$K473&lt;&gt;""),'Atividades Micro'!$K473,"")</f>
        <v/>
      </c>
      <c r="CL421" s="21" t="str">
        <f>IF(AND('Atividades Micro'!$B473=CL$2,'Atividades Micro'!$G473="Micro",'Atividades Micro'!$K473&lt;&gt;""),'Atividades Micro'!$K473,"")</f>
        <v/>
      </c>
      <c r="CM421" s="21" t="str">
        <f>IF(AND('Atividades Micro'!$B473=CM$2,'Atividades Micro'!$G473="Micro",'Atividades Micro'!$K473&lt;&gt;""),'Atividades Micro'!$K473,"")</f>
        <v/>
      </c>
      <c r="CN421" s="21" t="str">
        <f>IF(AND('Atividades Micro'!$B473=CN$2,'Atividades Micro'!$G473="Micro",'Atividades Micro'!$K473&lt;&gt;""),'Atividades Micro'!$K473,"")</f>
        <v/>
      </c>
      <c r="CO421" s="21" t="str">
        <f>IF(AND('Atividades Micro'!$B473=CO$2,'Atividades Micro'!$G473="Micro",'Atividades Micro'!$K473&lt;&gt;""),'Atividades Micro'!$K473,"")</f>
        <v/>
      </c>
    </row>
    <row r="422" spans="1:93">
      <c r="A422" s="21" t="str">
        <f>IF(AND('Atividades Micro'!$A474=A$2,'Atividades Micro'!$K474&lt;&gt;""),'Atividades Micro'!$K474,"")</f>
        <v/>
      </c>
      <c r="B422" s="21" t="str">
        <f>IF(AND('Atividades Micro'!$A474=B$2,'Atividades Micro'!$L474&lt;&gt;""),'Atividades Micro'!$L474,"")</f>
        <v/>
      </c>
      <c r="C422" s="21" t="str">
        <f>IF(AND('Atividades Micro'!$A474=C$2,'Atividades Micro'!$K474&lt;&gt;""),'Atividades Micro'!$K474,"")</f>
        <v/>
      </c>
      <c r="D422" s="21" t="str">
        <f>IF(AND('Atividades Micro'!$A474=D$2,'Atividades Micro'!$L474&lt;&gt;""),'Atividades Micro'!$L474,"")</f>
        <v/>
      </c>
      <c r="E422" s="21" t="str">
        <f>IF(AND('Atividades Micro'!$A474=E$2,'Atividades Micro'!$K474&lt;&gt;""),'Atividades Micro'!$K474,"")</f>
        <v/>
      </c>
      <c r="F422" s="21" t="str">
        <f>IF(AND('Atividades Micro'!$A474=F$2,'Atividades Micro'!$L474&lt;&gt;""),'Atividades Micro'!$L474,"")</f>
        <v/>
      </c>
      <c r="G422" s="21" t="str">
        <f>IF(AND('Atividades Micro'!$A474=G$2,'Atividades Micro'!$K474&lt;&gt;""),'Atividades Micro'!$K474,"")</f>
        <v/>
      </c>
      <c r="H422" s="21" t="str">
        <f>IF(AND('Atividades Micro'!$A474=H$2,'Atividades Micro'!$L474&lt;&gt;""),'Atividades Micro'!$L474,"")</f>
        <v/>
      </c>
      <c r="I422" s="21" t="str">
        <f>IF(AND('Atividades Micro'!$A474=I$2,'Atividades Micro'!$K474&lt;&gt;""),'Atividades Micro'!$K474,"")</f>
        <v/>
      </c>
      <c r="J422" s="21" t="str">
        <f>IF(AND('Atividades Micro'!$A474=J$2,'Atividades Micro'!$L474&lt;&gt;""),'Atividades Micro'!$L474,"")</f>
        <v/>
      </c>
      <c r="K422" s="21" t="str">
        <f>IF(AND('Atividades Micro'!$B474=K$2,'Atividades Micro'!$K474&lt;&gt;""),'Atividades Micro'!$K474,"")</f>
        <v/>
      </c>
      <c r="L422" s="21" t="str">
        <f>IF(AND('Atividades Micro'!$B474=L$2,'Atividades Micro'!$L474&lt;&gt;""),'Atividades Micro'!$L474,"")</f>
        <v/>
      </c>
      <c r="M422" s="21" t="str">
        <f>IF(AND('Atividades Micro'!$B474=M$2,'Atividades Micro'!$K474&lt;&gt;""),'Atividades Micro'!$K474,"")</f>
        <v/>
      </c>
      <c r="N422" s="21" t="str">
        <f>IF(AND('Atividades Micro'!$B474=N$2,'Atividades Micro'!$L474&lt;&gt;""),'Atividades Micro'!$L474,"")</f>
        <v/>
      </c>
      <c r="O422" s="21" t="str">
        <f>IF(AND('Atividades Micro'!$A474=O$2,'Atividades Micro'!$K474&lt;&gt;""),'Atividades Micro'!$K474,"")</f>
        <v/>
      </c>
      <c r="P422" s="21" t="str">
        <f>IF(AND('Atividades Micro'!$A474=P$2,'Atividades Micro'!$L474&lt;&gt;""),'Atividades Micro'!$L474,"")</f>
        <v/>
      </c>
      <c r="Q422" s="21" t="str">
        <f>IF(AND('Atividades Micro'!$B474=Q$2,'Atividades Micro'!$K474&lt;&gt;""),'Atividades Micro'!$K474,"")</f>
        <v/>
      </c>
      <c r="R422" s="21" t="str">
        <f>IF(AND('Atividades Micro'!$B474=R$2,'Atividades Micro'!$L474&lt;&gt;""),'Atividades Micro'!$L474,"")</f>
        <v/>
      </c>
      <c r="S422" s="21" t="str">
        <f>IF(AND('Atividades Micro'!$A474=S$2,'Atividades Micro'!$K474&lt;&gt;""),'Atividades Micro'!$K474,"")</f>
        <v/>
      </c>
      <c r="T422" s="21" t="str">
        <f>IF(AND('Atividades Micro'!$A474=T$2,'Atividades Micro'!$L474&lt;&gt;""),'Atividades Micro'!$L474,"")</f>
        <v/>
      </c>
      <c r="U422" s="21" t="str">
        <f>IF(AND('Atividades Micro'!$B474=U$2,'Atividades Micro'!$K474&lt;&gt;""),'Atividades Micro'!$K474,"")</f>
        <v/>
      </c>
      <c r="V422" s="21" t="str">
        <f>IF(AND('Atividades Micro'!$B474=V$2,'Atividades Micro'!$L474&lt;&gt;""),'Atividades Micro'!$L474,"")</f>
        <v/>
      </c>
      <c r="W422" s="21" t="str">
        <f>IF(AND('Atividades Micro'!$B474=W$2,'Atividades Micro'!$K474&lt;&gt;""),'Atividades Micro'!$K474,"")</f>
        <v/>
      </c>
      <c r="X422" s="21" t="str">
        <f>IF(AND('Atividades Micro'!$B474=X$2,'Atividades Micro'!$L474&lt;&gt;""),'Atividades Micro'!$L474,"")</f>
        <v/>
      </c>
      <c r="Y422" s="21" t="str">
        <f>IF(AND('Atividades Micro'!$A474=Y$2,'Atividades Micro'!$K474&lt;&gt;""),'Atividades Micro'!$K474,"")</f>
        <v/>
      </c>
      <c r="Z422" s="21" t="str">
        <f>IF(AND('Atividades Micro'!$A474=Z$2,'Atividades Micro'!$L474&lt;&gt;""),'Atividades Micro'!$L474,"")</f>
        <v/>
      </c>
      <c r="AA422" s="21" t="str">
        <f>IF(AND('Atividades Micro'!$B474=AA$2,'Atividades Micro'!$K474&lt;&gt;""),'Atividades Micro'!$K474,"")</f>
        <v/>
      </c>
      <c r="AB422" s="21" t="str">
        <f>IF(AND('Atividades Micro'!$B474=AB$2,'Atividades Micro'!$L474&lt;&gt;""),'Atividades Micro'!$L474,"")</f>
        <v/>
      </c>
      <c r="AC422" s="21" t="str">
        <f>IF(AND('Atividades Micro'!$B474=AC$2,'Atividades Micro'!$K474&lt;&gt;""),'Atividades Micro'!$K474,"")</f>
        <v/>
      </c>
      <c r="AD422" s="21" t="str">
        <f>IF(AND('Atividades Micro'!$B474=AD$2,'Atividades Micro'!$L474&lt;&gt;""),'Atividades Micro'!$L474,"")</f>
        <v/>
      </c>
      <c r="AE422" s="21" t="str">
        <f>IF(AND('Atividades Micro'!$A474=AE$2,'Atividades Micro'!$K474&lt;&gt;""),'Atividades Micro'!$K474,"")</f>
        <v/>
      </c>
      <c r="AF422" s="21" t="str">
        <f>IF(AND('Atividades Micro'!$A474=AF$2,'Atividades Micro'!$L474&lt;&gt;""),'Atividades Micro'!$L474,"")</f>
        <v/>
      </c>
      <c r="AG422" s="21" t="str">
        <f>IF(AND('Atividades Micro'!$B474=AG$2,'Atividades Micro'!$K474&lt;&gt;""),'Atividades Micro'!$K474,"")</f>
        <v/>
      </c>
      <c r="AH422" s="21" t="str">
        <f>IF(AND('Atividades Micro'!$B474=AH$2,'Atividades Micro'!$L474&lt;&gt;""),'Atividades Micro'!$L474,"")</f>
        <v/>
      </c>
      <c r="AI422" s="21" t="str">
        <f>IF(AND('Atividades Micro'!$B474=AI$2,'Atividades Micro'!$K474&lt;&gt;""),'Atividades Micro'!$K474,"")</f>
        <v/>
      </c>
      <c r="AJ422" s="21" t="str">
        <f>IF(AND('Atividades Micro'!$B474=AJ$2,'Atividades Micro'!$L474&lt;&gt;""),'Atividades Micro'!$L474,"")</f>
        <v/>
      </c>
      <c r="AK422" s="21" t="str">
        <f>IF(AND('Atividades Micro'!$A474=AK$2,'Atividades Micro'!$K474&lt;&gt;""),'Atividades Micro'!$K474,"")</f>
        <v/>
      </c>
      <c r="AL422" s="21" t="str">
        <f>IF(AND('Atividades Micro'!$A474=AL$2,'Atividades Micro'!$L474&lt;&gt;""),'Atividades Micro'!$L474,"")</f>
        <v/>
      </c>
      <c r="AM422" s="21" t="str">
        <f>IF(AND('Atividades Micro'!$B474=AM$2,'Atividades Micro'!$K474&lt;&gt;""),'Atividades Micro'!$K474,"")</f>
        <v/>
      </c>
      <c r="AN422" s="21" t="str">
        <f>IF(AND('Atividades Micro'!$B474=AN$2,'Atividades Micro'!$L474&lt;&gt;""),'Atividades Micro'!$L474,"")</f>
        <v/>
      </c>
      <c r="AO422" s="21" t="str">
        <f>IF(AND('Atividades Micro'!$B474=AO$2,'Atividades Micro'!$K474&lt;&gt;""),'Atividades Micro'!$K474,"")</f>
        <v/>
      </c>
      <c r="AP422" s="21" t="str">
        <f>IF(AND('Atividades Micro'!$B474=AP$2,'Atividades Micro'!$L474&lt;&gt;""),'Atividades Micro'!$L474,"")</f>
        <v/>
      </c>
      <c r="AQ422" s="21" t="str">
        <f>IF(AND('Atividades Micro'!$A474=AQ$2,'Atividades Micro'!$K474&lt;&gt;""),'Atividades Micro'!$K474,"")</f>
        <v/>
      </c>
      <c r="AR422" s="21" t="str">
        <f>IF(AND('Atividades Micro'!$A474=AR$2,'Atividades Micro'!$L474&lt;&gt;""),'Atividades Micro'!$L474,"")</f>
        <v/>
      </c>
      <c r="AS422" s="21" t="str">
        <f>IF(AND('Atividades Micro'!$B474=AS$2,'Atividades Micro'!$K474&lt;&gt;""),'Atividades Micro'!$K474,"")</f>
        <v/>
      </c>
      <c r="AT422" s="21" t="str">
        <f>IF(AND('Atividades Micro'!$B474=AT$2,'Atividades Micro'!$L474&lt;&gt;""),'Atividades Micro'!$L474,"")</f>
        <v/>
      </c>
      <c r="AU422" s="21" t="str">
        <f>IF(AND('Atividades Micro'!$A474=AU$2,'Atividades Micro'!$K474&lt;&gt;""),'Atividades Micro'!$K474,"")</f>
        <v/>
      </c>
      <c r="AV422" s="21" t="str">
        <f>IF(AND('Atividades Micro'!$A474=AV$2,'Atividades Micro'!$L474&lt;&gt;""),'Atividades Micro'!$L474,"")</f>
        <v/>
      </c>
      <c r="AW422" s="21" t="str">
        <f>IF(AND('Atividades Micro'!$B474=AW$2,'Atividades Micro'!$K474&lt;&gt;""),'Atividades Micro'!$K474,"")</f>
        <v/>
      </c>
      <c r="AX422" s="21" t="str">
        <f>IF(AND('Atividades Micro'!$B474=AX$2,'Atividades Micro'!$L474&lt;&gt;""),'Atividades Micro'!$L474,"")</f>
        <v/>
      </c>
      <c r="AY422" s="21" t="str">
        <f>IF(AND('Atividades Micro'!$A474=AY$2,'Atividades Micro'!$K474&lt;&gt;""),'Atividades Micro'!$K474,"")</f>
        <v/>
      </c>
      <c r="AZ422" s="21" t="str">
        <f>IF(AND('Atividades Micro'!$A474=AZ$2,'Atividades Micro'!$L474&lt;&gt;""),'Atividades Micro'!$L474,"")</f>
        <v/>
      </c>
      <c r="BA422" s="21" t="str">
        <f>IF(AND('Atividades Micro'!$B474=BA$2,'Atividades Micro'!$K474&lt;&gt;""),'Atividades Micro'!$K474,"")</f>
        <v/>
      </c>
      <c r="BB422" s="21" t="str">
        <f>IF(AND('Atividades Micro'!$B474=BB$2,'Atividades Micro'!$L474&lt;&gt;""),'Atividades Micro'!$L474,"")</f>
        <v/>
      </c>
      <c r="BC422" s="21" t="str">
        <f>IF(AND('Atividades Micro'!$B474=BC$2,'Atividades Micro'!$G474="Macro",'Atividades Micro'!$K474&lt;&gt;""),'Atividades Micro'!$K474,"")</f>
        <v/>
      </c>
      <c r="BD422" s="21" t="str">
        <f>IF(AND('Atividades Micro'!$B474=BD$2,'Atividades Micro'!$G474="Macro",'Atividades Micro'!$K474&lt;&gt;""),'Atividades Micro'!$K474,"")</f>
        <v/>
      </c>
      <c r="BE422" s="21" t="str">
        <f>IF(AND('Atividades Micro'!$B474=BE$2,'Atividades Micro'!$G474="Macro",'Atividades Micro'!$K474&lt;&gt;""),'Atividades Micro'!$K474,"")</f>
        <v/>
      </c>
      <c r="BF422" s="21" t="str">
        <f>IF(AND('Atividades Micro'!$B474=BF$2,'Atividades Micro'!$G474="Macro",'Atividades Micro'!$K474&lt;&gt;""),'Atividades Micro'!$K474,"")</f>
        <v/>
      </c>
      <c r="BG422" s="21" t="str">
        <f>IF(AND('Atividades Micro'!$B474=BG$2,'Atividades Micro'!$G474="Macro",'Atividades Micro'!$K474&lt;&gt;""),'Atividades Micro'!$K474,"")</f>
        <v/>
      </c>
      <c r="BH422" s="21" t="str">
        <f>IF(AND('Atividades Micro'!$B474=BH$2,'Atividades Micro'!$G474="Macro",'Atividades Micro'!$K474&lt;&gt;""),'Atividades Micro'!$K474,"")</f>
        <v/>
      </c>
      <c r="BI422" s="21" t="str">
        <f>IF(AND('Atividades Micro'!$B474=BI$2,'Atividades Micro'!$G474="Macro",'Atividades Micro'!$K474&lt;&gt;""),'Atividades Micro'!$K474,"")</f>
        <v/>
      </c>
      <c r="BJ422" s="21" t="str">
        <f>IF(AND('Atividades Micro'!$B474=BJ$2,'Atividades Micro'!$G474="Macro",'Atividades Micro'!$K474&lt;&gt;""),'Atividades Micro'!$K474,"")</f>
        <v/>
      </c>
      <c r="BK422" s="21" t="str">
        <f>IF(AND('Atividades Micro'!$B474=BK$2,'Atividades Micro'!$G474="Macro",'Atividades Micro'!$K474&lt;&gt;""),'Atividades Micro'!$K474,"")</f>
        <v/>
      </c>
      <c r="BL422" s="21" t="str">
        <f>IF(AND('Atividades Micro'!$B474=BL$2,'Atividades Micro'!$G474="Macro",'Atividades Micro'!$K474&lt;&gt;""),'Atividades Micro'!$K474,"")</f>
        <v/>
      </c>
      <c r="BM422" s="21" t="str">
        <f>IF(AND('Atividades Micro'!$B474=BM$2,'Atividades Micro'!$G474="Macro",'Atividades Micro'!$K474&lt;&gt;""),'Atividades Micro'!$K474,"")</f>
        <v/>
      </c>
      <c r="BN422" s="21" t="str">
        <f>IF(AND('Atividades Micro'!$B474=BN$2,'Atividades Micro'!$G474="Macro",'Atividades Micro'!$K474&lt;&gt;""),'Atividades Micro'!$K474,"")</f>
        <v/>
      </c>
      <c r="BO422" s="21" t="str">
        <f>IF(AND('Atividades Micro'!$B474=BO$2,'Atividades Micro'!$G474="Macro",'Atividades Micro'!$K474&lt;&gt;""),'Atividades Micro'!$K474,"")</f>
        <v/>
      </c>
      <c r="BP422" s="21" t="str">
        <f>IF(AND('Atividades Micro'!$B474=BP$2,'Atividades Micro'!$G474="Macro",'Atividades Micro'!$K474&lt;&gt;""),'Atividades Micro'!$K474,"")</f>
        <v/>
      </c>
      <c r="BQ422" s="21" t="str">
        <f>IF(AND('Atividades Micro'!$B474=BQ$2,'Atividades Micro'!$G474="Macro",'Atividades Micro'!$K474&lt;&gt;""),'Atividades Micro'!$K474,"")</f>
        <v/>
      </c>
      <c r="BR422" s="21" t="str">
        <f>IF(AND('Atividades Micro'!$B474=BR$2,'Atividades Micro'!$G474="Macro",'Atividades Micro'!$K474&lt;&gt;""),'Atividades Micro'!$K474,"")</f>
        <v/>
      </c>
      <c r="BS422" s="21" t="str">
        <f>IF(AND('Atividades Micro'!$B474=BS$2,'Atividades Micro'!$G474="Macro",'Atividades Micro'!$K474&lt;&gt;""),'Atividades Micro'!$K474,"")</f>
        <v/>
      </c>
      <c r="BT422" s="21" t="str">
        <f>IF(AND('Atividades Micro'!$B474=BT$2,'Atividades Micro'!$G474="Macro",'Atividades Micro'!$K474&lt;&gt;""),'Atividades Micro'!$K474,"")</f>
        <v/>
      </c>
      <c r="BU422" s="21" t="str">
        <f>IF(AND('Atividades Micro'!$B474=BU$2,'Atividades Micro'!$G474="Macro",'Atividades Micro'!$K474&lt;&gt;""),'Atividades Micro'!$K474,"")</f>
        <v/>
      </c>
      <c r="BV422" s="21" t="str">
        <f>IF(AND('Atividades Micro'!$B474=BV$2,'Atividades Micro'!$G474="Macro",'Atividades Micro'!$K474&lt;&gt;""),'Atividades Micro'!$K474,"")</f>
        <v/>
      </c>
      <c r="BW422" s="21" t="str">
        <f>IF(AND('Atividades Micro'!$B474=BW$2,'Atividades Micro'!$G474="Macro",'Atividades Micro'!$K474&lt;&gt;""),'Atividades Micro'!$K474,"")</f>
        <v/>
      </c>
      <c r="BX422" s="21" t="str">
        <f>IF(AND('Atividades Micro'!$B474=BX$2,'Atividades Micro'!$G474="Macro",'Atividades Micro'!$K474&lt;&gt;""),'Atividades Micro'!$K474,"")</f>
        <v/>
      </c>
      <c r="BY422" s="21" t="str">
        <f>IF(AND('Atividades Micro'!$B474=BY$2,'Atividades Micro'!$G474="Macro",'Atividades Micro'!$K474&lt;&gt;""),'Atividades Micro'!$K474,"")</f>
        <v/>
      </c>
      <c r="BZ422" s="21" t="str">
        <f>IF(AND('Atividades Micro'!$B474=BZ$2,'Atividades Micro'!$G474="Macro",'Atividades Micro'!$K474&lt;&gt;""),'Atividades Micro'!$K474,"")</f>
        <v/>
      </c>
      <c r="CA422" s="21" t="str">
        <f>IF(AND('Atividades Micro'!$B474=CA$2,'Atividades Micro'!$G474="Macro",'Atividades Micro'!$K474&lt;&gt;""),'Atividades Micro'!$K474,"")</f>
        <v/>
      </c>
      <c r="CB422" s="21" t="str">
        <f>IF(AND('Atividades Micro'!$B474=CB$2,'Atividades Micro'!$G474="Macro",'Atividades Micro'!$K474&lt;&gt;""),'Atividades Micro'!$K474,"")</f>
        <v/>
      </c>
      <c r="CC422" s="21" t="str">
        <f>IF(AND('Atividades Micro'!$B474=CC$2,'Atividades Micro'!$G474="Macro",'Atividades Micro'!$K474&lt;&gt;""),'Atividades Micro'!$K474,"")</f>
        <v/>
      </c>
      <c r="CD422" s="21" t="str">
        <f>IF(AND('Atividades Micro'!$B474=CD$2,'Atividades Micro'!$G474="Micro",'Atividades Micro'!$K474&lt;&gt;""),'Atividades Micro'!$K474,"")</f>
        <v/>
      </c>
      <c r="CE422" s="21" t="str">
        <f>IF(AND('Atividades Micro'!$B474=CE$2,'Atividades Micro'!$G474="Micro",'Atividades Micro'!$K474&lt;&gt;""),'Atividades Micro'!$K474,"")</f>
        <v/>
      </c>
      <c r="CF422" s="21" t="str">
        <f>IF(AND('Atividades Micro'!$B474=CF$2,'Atividades Micro'!$G474="Micro",'Atividades Micro'!$K474&lt;&gt;""),'Atividades Micro'!$K474,"")</f>
        <v/>
      </c>
      <c r="CG422" s="21" t="str">
        <f>IF(AND('Atividades Micro'!$B474=CG$2,'Atividades Micro'!$G474="Micro",'Atividades Micro'!$K474&lt;&gt;""),'Atividades Micro'!$K474,"")</f>
        <v/>
      </c>
      <c r="CH422" s="21" t="str">
        <f>IF(AND('Atividades Micro'!$B474=CH$2,'Atividades Micro'!$G474="Micro",'Atividades Micro'!$K474&lt;&gt;""),'Atividades Micro'!$K474,"")</f>
        <v/>
      </c>
      <c r="CI422" s="21" t="str">
        <f>IF(AND('Atividades Micro'!$B474=CI$2,'Atividades Micro'!$G474="Micro",'Atividades Micro'!$K474&lt;&gt;""),'Atividades Micro'!$K474,"")</f>
        <v/>
      </c>
      <c r="CJ422" s="21" t="str">
        <f>IF(AND('Atividades Micro'!$B474=CJ$2,'Atividades Micro'!$G474="Micro",'Atividades Micro'!$K474&lt;&gt;""),'Atividades Micro'!$K474,"")</f>
        <v/>
      </c>
      <c r="CK422" s="21" t="str">
        <f>IF(AND('Atividades Micro'!$B474=CK$2,'Atividades Micro'!$G474="Micro",'Atividades Micro'!$K474&lt;&gt;""),'Atividades Micro'!$K474,"")</f>
        <v/>
      </c>
      <c r="CL422" s="21" t="str">
        <f>IF(AND('Atividades Micro'!$B474=CL$2,'Atividades Micro'!$G474="Micro",'Atividades Micro'!$K474&lt;&gt;""),'Atividades Micro'!$K474,"")</f>
        <v/>
      </c>
      <c r="CM422" s="21" t="str">
        <f>IF(AND('Atividades Micro'!$B474=CM$2,'Atividades Micro'!$G474="Micro",'Atividades Micro'!$K474&lt;&gt;""),'Atividades Micro'!$K474,"")</f>
        <v/>
      </c>
      <c r="CN422" s="21" t="str">
        <f>IF(AND('Atividades Micro'!$B474=CN$2,'Atividades Micro'!$G474="Micro",'Atividades Micro'!$K474&lt;&gt;""),'Atividades Micro'!$K474,"")</f>
        <v/>
      </c>
      <c r="CO422" s="21" t="str">
        <f>IF(AND('Atividades Micro'!$B474=CO$2,'Atividades Micro'!$G474="Micro",'Atividades Micro'!$K474&lt;&gt;""),'Atividades Micro'!$K474,"")</f>
        <v/>
      </c>
    </row>
    <row r="423" spans="1:93">
      <c r="A423" s="21" t="str">
        <f>IF(AND('Atividades Micro'!$A475=A$2,'Atividades Micro'!$K475&lt;&gt;""),'Atividades Micro'!$K475,"")</f>
        <v/>
      </c>
      <c r="B423" s="21" t="str">
        <f>IF(AND('Atividades Micro'!$A475=B$2,'Atividades Micro'!$L475&lt;&gt;""),'Atividades Micro'!$L475,"")</f>
        <v/>
      </c>
      <c r="C423" s="21" t="str">
        <f>IF(AND('Atividades Micro'!$A475=C$2,'Atividades Micro'!$K475&lt;&gt;""),'Atividades Micro'!$K475,"")</f>
        <v/>
      </c>
      <c r="D423" s="21" t="str">
        <f>IF(AND('Atividades Micro'!$A475=D$2,'Atividades Micro'!$L475&lt;&gt;""),'Atividades Micro'!$L475,"")</f>
        <v/>
      </c>
      <c r="E423" s="21" t="str">
        <f>IF(AND('Atividades Micro'!$A475=E$2,'Atividades Micro'!$K475&lt;&gt;""),'Atividades Micro'!$K475,"")</f>
        <v/>
      </c>
      <c r="F423" s="21" t="str">
        <f>IF(AND('Atividades Micro'!$A475=F$2,'Atividades Micro'!$L475&lt;&gt;""),'Atividades Micro'!$L475,"")</f>
        <v/>
      </c>
      <c r="G423" s="21" t="str">
        <f>IF(AND('Atividades Micro'!$A475=G$2,'Atividades Micro'!$K475&lt;&gt;""),'Atividades Micro'!$K475,"")</f>
        <v/>
      </c>
      <c r="H423" s="21" t="str">
        <f>IF(AND('Atividades Micro'!$A475=H$2,'Atividades Micro'!$L475&lt;&gt;""),'Atividades Micro'!$L475,"")</f>
        <v/>
      </c>
      <c r="I423" s="21" t="str">
        <f>IF(AND('Atividades Micro'!$A475=I$2,'Atividades Micro'!$K475&lt;&gt;""),'Atividades Micro'!$K475,"")</f>
        <v/>
      </c>
      <c r="J423" s="21" t="str">
        <f>IF(AND('Atividades Micro'!$A475=J$2,'Atividades Micro'!$L475&lt;&gt;""),'Atividades Micro'!$L475,"")</f>
        <v/>
      </c>
      <c r="K423" s="21" t="str">
        <f>IF(AND('Atividades Micro'!$B475=K$2,'Atividades Micro'!$K475&lt;&gt;""),'Atividades Micro'!$K475,"")</f>
        <v/>
      </c>
      <c r="L423" s="21" t="str">
        <f>IF(AND('Atividades Micro'!$B475=L$2,'Atividades Micro'!$L475&lt;&gt;""),'Atividades Micro'!$L475,"")</f>
        <v/>
      </c>
      <c r="M423" s="21" t="str">
        <f>IF(AND('Atividades Micro'!$B475=M$2,'Atividades Micro'!$K475&lt;&gt;""),'Atividades Micro'!$K475,"")</f>
        <v/>
      </c>
      <c r="N423" s="21" t="str">
        <f>IF(AND('Atividades Micro'!$B475=N$2,'Atividades Micro'!$L475&lt;&gt;""),'Atividades Micro'!$L475,"")</f>
        <v/>
      </c>
      <c r="O423" s="21" t="str">
        <f>IF(AND('Atividades Micro'!$A475=O$2,'Atividades Micro'!$K475&lt;&gt;""),'Atividades Micro'!$K475,"")</f>
        <v/>
      </c>
      <c r="P423" s="21" t="str">
        <f>IF(AND('Atividades Micro'!$A475=P$2,'Atividades Micro'!$L475&lt;&gt;""),'Atividades Micro'!$L475,"")</f>
        <v/>
      </c>
      <c r="Q423" s="21" t="str">
        <f>IF(AND('Atividades Micro'!$B475=Q$2,'Atividades Micro'!$K475&lt;&gt;""),'Atividades Micro'!$K475,"")</f>
        <v/>
      </c>
      <c r="R423" s="21" t="str">
        <f>IF(AND('Atividades Micro'!$B475=R$2,'Atividades Micro'!$L475&lt;&gt;""),'Atividades Micro'!$L475,"")</f>
        <v/>
      </c>
      <c r="S423" s="21" t="str">
        <f>IF(AND('Atividades Micro'!$A475=S$2,'Atividades Micro'!$K475&lt;&gt;""),'Atividades Micro'!$K475,"")</f>
        <v/>
      </c>
      <c r="T423" s="21" t="str">
        <f>IF(AND('Atividades Micro'!$A475=T$2,'Atividades Micro'!$L475&lt;&gt;""),'Atividades Micro'!$L475,"")</f>
        <v/>
      </c>
      <c r="U423" s="21" t="str">
        <f>IF(AND('Atividades Micro'!$B475=U$2,'Atividades Micro'!$K475&lt;&gt;""),'Atividades Micro'!$K475,"")</f>
        <v/>
      </c>
      <c r="V423" s="21" t="str">
        <f>IF(AND('Atividades Micro'!$B475=V$2,'Atividades Micro'!$L475&lt;&gt;""),'Atividades Micro'!$L475,"")</f>
        <v/>
      </c>
      <c r="W423" s="21" t="str">
        <f>IF(AND('Atividades Micro'!$B475=W$2,'Atividades Micro'!$K475&lt;&gt;""),'Atividades Micro'!$K475,"")</f>
        <v/>
      </c>
      <c r="X423" s="21" t="str">
        <f>IF(AND('Atividades Micro'!$B475=X$2,'Atividades Micro'!$L475&lt;&gt;""),'Atividades Micro'!$L475,"")</f>
        <v/>
      </c>
      <c r="Y423" s="21" t="str">
        <f>IF(AND('Atividades Micro'!$A475=Y$2,'Atividades Micro'!$K475&lt;&gt;""),'Atividades Micro'!$K475,"")</f>
        <v/>
      </c>
      <c r="Z423" s="21" t="str">
        <f>IF(AND('Atividades Micro'!$A475=Z$2,'Atividades Micro'!$L475&lt;&gt;""),'Atividades Micro'!$L475,"")</f>
        <v/>
      </c>
      <c r="AA423" s="21" t="str">
        <f>IF(AND('Atividades Micro'!$B475=AA$2,'Atividades Micro'!$K475&lt;&gt;""),'Atividades Micro'!$K475,"")</f>
        <v/>
      </c>
      <c r="AB423" s="21" t="str">
        <f>IF(AND('Atividades Micro'!$B475=AB$2,'Atividades Micro'!$L475&lt;&gt;""),'Atividades Micro'!$L475,"")</f>
        <v/>
      </c>
      <c r="AC423" s="21" t="str">
        <f>IF(AND('Atividades Micro'!$B475=AC$2,'Atividades Micro'!$K475&lt;&gt;""),'Atividades Micro'!$K475,"")</f>
        <v/>
      </c>
      <c r="AD423" s="21" t="str">
        <f>IF(AND('Atividades Micro'!$B475=AD$2,'Atividades Micro'!$L475&lt;&gt;""),'Atividades Micro'!$L475,"")</f>
        <v/>
      </c>
      <c r="AE423" s="21" t="str">
        <f>IF(AND('Atividades Micro'!$A475=AE$2,'Atividades Micro'!$K475&lt;&gt;""),'Atividades Micro'!$K475,"")</f>
        <v/>
      </c>
      <c r="AF423" s="21" t="str">
        <f>IF(AND('Atividades Micro'!$A475=AF$2,'Atividades Micro'!$L475&lt;&gt;""),'Atividades Micro'!$L475,"")</f>
        <v/>
      </c>
      <c r="AG423" s="21" t="str">
        <f>IF(AND('Atividades Micro'!$B475=AG$2,'Atividades Micro'!$K475&lt;&gt;""),'Atividades Micro'!$K475,"")</f>
        <v/>
      </c>
      <c r="AH423" s="21" t="str">
        <f>IF(AND('Atividades Micro'!$B475=AH$2,'Atividades Micro'!$L475&lt;&gt;""),'Atividades Micro'!$L475,"")</f>
        <v/>
      </c>
      <c r="AI423" s="21" t="str">
        <f>IF(AND('Atividades Micro'!$B475=AI$2,'Atividades Micro'!$K475&lt;&gt;""),'Atividades Micro'!$K475,"")</f>
        <v/>
      </c>
      <c r="AJ423" s="21" t="str">
        <f>IF(AND('Atividades Micro'!$B475=AJ$2,'Atividades Micro'!$L475&lt;&gt;""),'Atividades Micro'!$L475,"")</f>
        <v/>
      </c>
      <c r="AK423" s="21" t="str">
        <f>IF(AND('Atividades Micro'!$A475=AK$2,'Atividades Micro'!$K475&lt;&gt;""),'Atividades Micro'!$K475,"")</f>
        <v/>
      </c>
      <c r="AL423" s="21" t="str">
        <f>IF(AND('Atividades Micro'!$A475=AL$2,'Atividades Micro'!$L475&lt;&gt;""),'Atividades Micro'!$L475,"")</f>
        <v/>
      </c>
      <c r="AM423" s="21" t="str">
        <f>IF(AND('Atividades Micro'!$B475=AM$2,'Atividades Micro'!$K475&lt;&gt;""),'Atividades Micro'!$K475,"")</f>
        <v/>
      </c>
      <c r="AN423" s="21" t="str">
        <f>IF(AND('Atividades Micro'!$B475=AN$2,'Atividades Micro'!$L475&lt;&gt;""),'Atividades Micro'!$L475,"")</f>
        <v/>
      </c>
      <c r="AO423" s="21" t="str">
        <f>IF(AND('Atividades Micro'!$B475=AO$2,'Atividades Micro'!$K475&lt;&gt;""),'Atividades Micro'!$K475,"")</f>
        <v/>
      </c>
      <c r="AP423" s="21" t="str">
        <f>IF(AND('Atividades Micro'!$B475=AP$2,'Atividades Micro'!$L475&lt;&gt;""),'Atividades Micro'!$L475,"")</f>
        <v/>
      </c>
      <c r="AQ423" s="21" t="str">
        <f>IF(AND('Atividades Micro'!$A475=AQ$2,'Atividades Micro'!$K475&lt;&gt;""),'Atividades Micro'!$K475,"")</f>
        <v/>
      </c>
      <c r="AR423" s="21" t="str">
        <f>IF(AND('Atividades Micro'!$A475=AR$2,'Atividades Micro'!$L475&lt;&gt;""),'Atividades Micro'!$L475,"")</f>
        <v/>
      </c>
      <c r="AS423" s="21" t="str">
        <f>IF(AND('Atividades Micro'!$B475=AS$2,'Atividades Micro'!$K475&lt;&gt;""),'Atividades Micro'!$K475,"")</f>
        <v/>
      </c>
      <c r="AT423" s="21" t="str">
        <f>IF(AND('Atividades Micro'!$B475=AT$2,'Atividades Micro'!$L475&lt;&gt;""),'Atividades Micro'!$L475,"")</f>
        <v/>
      </c>
      <c r="AU423" s="21" t="str">
        <f>IF(AND('Atividades Micro'!$A475=AU$2,'Atividades Micro'!$K475&lt;&gt;""),'Atividades Micro'!$K475,"")</f>
        <v/>
      </c>
      <c r="AV423" s="21" t="str">
        <f>IF(AND('Atividades Micro'!$A475=AV$2,'Atividades Micro'!$L475&lt;&gt;""),'Atividades Micro'!$L475,"")</f>
        <v/>
      </c>
      <c r="AW423" s="21" t="str">
        <f>IF(AND('Atividades Micro'!$B475=AW$2,'Atividades Micro'!$K475&lt;&gt;""),'Atividades Micro'!$K475,"")</f>
        <v/>
      </c>
      <c r="AX423" s="21" t="str">
        <f>IF(AND('Atividades Micro'!$B475=AX$2,'Atividades Micro'!$L475&lt;&gt;""),'Atividades Micro'!$L475,"")</f>
        <v/>
      </c>
      <c r="AY423" s="21" t="str">
        <f>IF(AND('Atividades Micro'!$A475=AY$2,'Atividades Micro'!$K475&lt;&gt;""),'Atividades Micro'!$K475,"")</f>
        <v/>
      </c>
      <c r="AZ423" s="21" t="str">
        <f>IF(AND('Atividades Micro'!$A475=AZ$2,'Atividades Micro'!$L475&lt;&gt;""),'Atividades Micro'!$L475,"")</f>
        <v/>
      </c>
      <c r="BA423" s="21" t="str">
        <f>IF(AND('Atividades Micro'!$B475=BA$2,'Atividades Micro'!$K475&lt;&gt;""),'Atividades Micro'!$K475,"")</f>
        <v/>
      </c>
      <c r="BB423" s="21" t="str">
        <f>IF(AND('Atividades Micro'!$B475=BB$2,'Atividades Micro'!$L475&lt;&gt;""),'Atividades Micro'!$L475,"")</f>
        <v/>
      </c>
      <c r="BC423" s="21" t="str">
        <f>IF(AND('Atividades Micro'!$B475=BC$2,'Atividades Micro'!$G475="Macro",'Atividades Micro'!$K475&lt;&gt;""),'Atividades Micro'!$K475,"")</f>
        <v/>
      </c>
      <c r="BD423" s="21" t="str">
        <f>IF(AND('Atividades Micro'!$B475=BD$2,'Atividades Micro'!$G475="Macro",'Atividades Micro'!$K475&lt;&gt;""),'Atividades Micro'!$K475,"")</f>
        <v/>
      </c>
      <c r="BE423" s="21" t="str">
        <f>IF(AND('Atividades Micro'!$B475=BE$2,'Atividades Micro'!$G475="Macro",'Atividades Micro'!$K475&lt;&gt;""),'Atividades Micro'!$K475,"")</f>
        <v/>
      </c>
      <c r="BF423" s="21" t="str">
        <f>IF(AND('Atividades Micro'!$B475=BF$2,'Atividades Micro'!$G475="Macro",'Atividades Micro'!$K475&lt;&gt;""),'Atividades Micro'!$K475,"")</f>
        <v/>
      </c>
      <c r="BG423" s="21" t="str">
        <f>IF(AND('Atividades Micro'!$B475=BG$2,'Atividades Micro'!$G475="Macro",'Atividades Micro'!$K475&lt;&gt;""),'Atividades Micro'!$K475,"")</f>
        <v/>
      </c>
      <c r="BH423" s="21" t="str">
        <f>IF(AND('Atividades Micro'!$B475=BH$2,'Atividades Micro'!$G475="Macro",'Atividades Micro'!$K475&lt;&gt;""),'Atividades Micro'!$K475,"")</f>
        <v/>
      </c>
      <c r="BI423" s="21" t="str">
        <f>IF(AND('Atividades Micro'!$B475=BI$2,'Atividades Micro'!$G475="Macro",'Atividades Micro'!$K475&lt;&gt;""),'Atividades Micro'!$K475,"")</f>
        <v/>
      </c>
      <c r="BJ423" s="21" t="str">
        <f>IF(AND('Atividades Micro'!$B475=BJ$2,'Atividades Micro'!$G475="Macro",'Atividades Micro'!$K475&lt;&gt;""),'Atividades Micro'!$K475,"")</f>
        <v/>
      </c>
      <c r="BK423" s="21" t="str">
        <f>IF(AND('Atividades Micro'!$B475=BK$2,'Atividades Micro'!$G475="Macro",'Atividades Micro'!$K475&lt;&gt;""),'Atividades Micro'!$K475,"")</f>
        <v/>
      </c>
      <c r="BL423" s="21" t="str">
        <f>IF(AND('Atividades Micro'!$B475=BL$2,'Atividades Micro'!$G475="Macro",'Atividades Micro'!$K475&lt;&gt;""),'Atividades Micro'!$K475,"")</f>
        <v/>
      </c>
      <c r="BM423" s="21" t="str">
        <f>IF(AND('Atividades Micro'!$B475=BM$2,'Atividades Micro'!$G475="Macro",'Atividades Micro'!$K475&lt;&gt;""),'Atividades Micro'!$K475,"")</f>
        <v/>
      </c>
      <c r="BN423" s="21" t="str">
        <f>IF(AND('Atividades Micro'!$B475=BN$2,'Atividades Micro'!$G475="Macro",'Atividades Micro'!$K475&lt;&gt;""),'Atividades Micro'!$K475,"")</f>
        <v/>
      </c>
      <c r="BO423" s="21" t="str">
        <f>IF(AND('Atividades Micro'!$B475=BO$2,'Atividades Micro'!$G475="Macro",'Atividades Micro'!$K475&lt;&gt;""),'Atividades Micro'!$K475,"")</f>
        <v/>
      </c>
      <c r="BP423" s="21" t="str">
        <f>IF(AND('Atividades Micro'!$B475=BP$2,'Atividades Micro'!$G475="Macro",'Atividades Micro'!$K475&lt;&gt;""),'Atividades Micro'!$K475,"")</f>
        <v/>
      </c>
      <c r="BQ423" s="21" t="str">
        <f>IF(AND('Atividades Micro'!$B475=BQ$2,'Atividades Micro'!$G475="Macro",'Atividades Micro'!$K475&lt;&gt;""),'Atividades Micro'!$K475,"")</f>
        <v/>
      </c>
      <c r="BR423" s="21" t="str">
        <f>IF(AND('Atividades Micro'!$B475=BR$2,'Atividades Micro'!$G475="Macro",'Atividades Micro'!$K475&lt;&gt;""),'Atividades Micro'!$K475,"")</f>
        <v/>
      </c>
      <c r="BS423" s="21" t="str">
        <f>IF(AND('Atividades Micro'!$B475=BS$2,'Atividades Micro'!$G475="Macro",'Atividades Micro'!$K475&lt;&gt;""),'Atividades Micro'!$K475,"")</f>
        <v/>
      </c>
      <c r="BT423" s="21" t="str">
        <f>IF(AND('Atividades Micro'!$B475=BT$2,'Atividades Micro'!$G475="Macro",'Atividades Micro'!$K475&lt;&gt;""),'Atividades Micro'!$K475,"")</f>
        <v/>
      </c>
      <c r="BU423" s="21" t="str">
        <f>IF(AND('Atividades Micro'!$B475=BU$2,'Atividades Micro'!$G475="Macro",'Atividades Micro'!$K475&lt;&gt;""),'Atividades Micro'!$K475,"")</f>
        <v/>
      </c>
      <c r="BV423" s="21" t="str">
        <f>IF(AND('Atividades Micro'!$B475=BV$2,'Atividades Micro'!$G475="Macro",'Atividades Micro'!$K475&lt;&gt;""),'Atividades Micro'!$K475,"")</f>
        <v/>
      </c>
      <c r="BW423" s="21" t="str">
        <f>IF(AND('Atividades Micro'!$B475=BW$2,'Atividades Micro'!$G475="Macro",'Atividades Micro'!$K475&lt;&gt;""),'Atividades Micro'!$K475,"")</f>
        <v/>
      </c>
      <c r="BX423" s="21" t="str">
        <f>IF(AND('Atividades Micro'!$B475=BX$2,'Atividades Micro'!$G475="Macro",'Atividades Micro'!$K475&lt;&gt;""),'Atividades Micro'!$K475,"")</f>
        <v/>
      </c>
      <c r="BY423" s="21" t="str">
        <f>IF(AND('Atividades Micro'!$B475=BY$2,'Atividades Micro'!$G475="Macro",'Atividades Micro'!$K475&lt;&gt;""),'Atividades Micro'!$K475,"")</f>
        <v/>
      </c>
      <c r="BZ423" s="21" t="str">
        <f>IF(AND('Atividades Micro'!$B475=BZ$2,'Atividades Micro'!$G475="Macro",'Atividades Micro'!$K475&lt;&gt;""),'Atividades Micro'!$K475,"")</f>
        <v/>
      </c>
      <c r="CA423" s="21" t="str">
        <f>IF(AND('Atividades Micro'!$B475=CA$2,'Atividades Micro'!$G475="Macro",'Atividades Micro'!$K475&lt;&gt;""),'Atividades Micro'!$K475,"")</f>
        <v/>
      </c>
      <c r="CB423" s="21" t="str">
        <f>IF(AND('Atividades Micro'!$B475=CB$2,'Atividades Micro'!$G475="Macro",'Atividades Micro'!$K475&lt;&gt;""),'Atividades Micro'!$K475,"")</f>
        <v/>
      </c>
      <c r="CC423" s="21" t="str">
        <f>IF(AND('Atividades Micro'!$B475=CC$2,'Atividades Micro'!$G475="Macro",'Atividades Micro'!$K475&lt;&gt;""),'Atividades Micro'!$K475,"")</f>
        <v/>
      </c>
      <c r="CD423" s="21" t="str">
        <f>IF(AND('Atividades Micro'!$B475=CD$2,'Atividades Micro'!$G475="Micro",'Atividades Micro'!$K475&lt;&gt;""),'Atividades Micro'!$K475,"")</f>
        <v/>
      </c>
      <c r="CE423" s="21" t="str">
        <f>IF(AND('Atividades Micro'!$B475=CE$2,'Atividades Micro'!$G475="Micro",'Atividades Micro'!$K475&lt;&gt;""),'Atividades Micro'!$K475,"")</f>
        <v/>
      </c>
      <c r="CF423" s="21" t="str">
        <f>IF(AND('Atividades Micro'!$B475=CF$2,'Atividades Micro'!$G475="Micro",'Atividades Micro'!$K475&lt;&gt;""),'Atividades Micro'!$K475,"")</f>
        <v/>
      </c>
      <c r="CG423" s="21" t="str">
        <f>IF(AND('Atividades Micro'!$B475=CG$2,'Atividades Micro'!$G475="Micro",'Atividades Micro'!$K475&lt;&gt;""),'Atividades Micro'!$K475,"")</f>
        <v/>
      </c>
      <c r="CH423" s="21" t="str">
        <f>IF(AND('Atividades Micro'!$B475=CH$2,'Atividades Micro'!$G475="Micro",'Atividades Micro'!$K475&lt;&gt;""),'Atividades Micro'!$K475,"")</f>
        <v/>
      </c>
      <c r="CI423" s="21" t="str">
        <f>IF(AND('Atividades Micro'!$B475=CI$2,'Atividades Micro'!$G475="Micro",'Atividades Micro'!$K475&lt;&gt;""),'Atividades Micro'!$K475,"")</f>
        <v/>
      </c>
      <c r="CJ423" s="21" t="str">
        <f>IF(AND('Atividades Micro'!$B475=CJ$2,'Atividades Micro'!$G475="Micro",'Atividades Micro'!$K475&lt;&gt;""),'Atividades Micro'!$K475,"")</f>
        <v/>
      </c>
      <c r="CK423" s="21" t="str">
        <f>IF(AND('Atividades Micro'!$B475=CK$2,'Atividades Micro'!$G475="Micro",'Atividades Micro'!$K475&lt;&gt;""),'Atividades Micro'!$K475,"")</f>
        <v/>
      </c>
      <c r="CL423" s="21" t="str">
        <f>IF(AND('Atividades Micro'!$B475=CL$2,'Atividades Micro'!$G475="Micro",'Atividades Micro'!$K475&lt;&gt;""),'Atividades Micro'!$K475,"")</f>
        <v/>
      </c>
      <c r="CM423" s="21" t="str">
        <f>IF(AND('Atividades Micro'!$B475=CM$2,'Atividades Micro'!$G475="Micro",'Atividades Micro'!$K475&lt;&gt;""),'Atividades Micro'!$K475,"")</f>
        <v/>
      </c>
      <c r="CN423" s="21" t="str">
        <f>IF(AND('Atividades Micro'!$B475=CN$2,'Atividades Micro'!$G475="Micro",'Atividades Micro'!$K475&lt;&gt;""),'Atividades Micro'!$K475,"")</f>
        <v/>
      </c>
      <c r="CO423" s="21" t="str">
        <f>IF(AND('Atividades Micro'!$B475=CO$2,'Atividades Micro'!$G475="Micro",'Atividades Micro'!$K475&lt;&gt;""),'Atividades Micro'!$K475,"")</f>
        <v/>
      </c>
    </row>
    <row r="424" spans="1:93">
      <c r="A424" s="21" t="str">
        <f>IF(AND('Atividades Micro'!$A476=A$2,'Atividades Micro'!$K476&lt;&gt;""),'Atividades Micro'!$K476,"")</f>
        <v/>
      </c>
      <c r="B424" s="21" t="str">
        <f>IF(AND('Atividades Micro'!$A476=B$2,'Atividades Micro'!$L476&lt;&gt;""),'Atividades Micro'!$L476,"")</f>
        <v/>
      </c>
      <c r="C424" s="21" t="str">
        <f>IF(AND('Atividades Micro'!$A476=C$2,'Atividades Micro'!$K476&lt;&gt;""),'Atividades Micro'!$K476,"")</f>
        <v/>
      </c>
      <c r="D424" s="21" t="str">
        <f>IF(AND('Atividades Micro'!$A476=D$2,'Atividades Micro'!$L476&lt;&gt;""),'Atividades Micro'!$L476,"")</f>
        <v/>
      </c>
      <c r="E424" s="21" t="str">
        <f>IF(AND('Atividades Micro'!$A476=E$2,'Atividades Micro'!$K476&lt;&gt;""),'Atividades Micro'!$K476,"")</f>
        <v/>
      </c>
      <c r="F424" s="21" t="str">
        <f>IF(AND('Atividades Micro'!$A476=F$2,'Atividades Micro'!$L476&lt;&gt;""),'Atividades Micro'!$L476,"")</f>
        <v/>
      </c>
      <c r="G424" s="21" t="str">
        <f>IF(AND('Atividades Micro'!$A476=G$2,'Atividades Micro'!$K476&lt;&gt;""),'Atividades Micro'!$K476,"")</f>
        <v/>
      </c>
      <c r="H424" s="21" t="str">
        <f>IF(AND('Atividades Micro'!$A476=H$2,'Atividades Micro'!$L476&lt;&gt;""),'Atividades Micro'!$L476,"")</f>
        <v/>
      </c>
      <c r="I424" s="21" t="str">
        <f>IF(AND('Atividades Micro'!$A476=I$2,'Atividades Micro'!$K476&lt;&gt;""),'Atividades Micro'!$K476,"")</f>
        <v/>
      </c>
      <c r="J424" s="21" t="str">
        <f>IF(AND('Atividades Micro'!$A476=J$2,'Atividades Micro'!$L476&lt;&gt;""),'Atividades Micro'!$L476,"")</f>
        <v/>
      </c>
      <c r="K424" s="21" t="str">
        <f>IF(AND('Atividades Micro'!$B476=K$2,'Atividades Micro'!$K476&lt;&gt;""),'Atividades Micro'!$K476,"")</f>
        <v/>
      </c>
      <c r="L424" s="21" t="str">
        <f>IF(AND('Atividades Micro'!$B476=L$2,'Atividades Micro'!$L476&lt;&gt;""),'Atividades Micro'!$L476,"")</f>
        <v/>
      </c>
      <c r="M424" s="21" t="str">
        <f>IF(AND('Atividades Micro'!$B476=M$2,'Atividades Micro'!$K476&lt;&gt;""),'Atividades Micro'!$K476,"")</f>
        <v/>
      </c>
      <c r="N424" s="21" t="str">
        <f>IF(AND('Atividades Micro'!$B476=N$2,'Atividades Micro'!$L476&lt;&gt;""),'Atividades Micro'!$L476,"")</f>
        <v/>
      </c>
      <c r="O424" s="21" t="str">
        <f>IF(AND('Atividades Micro'!$A476=O$2,'Atividades Micro'!$K476&lt;&gt;""),'Atividades Micro'!$K476,"")</f>
        <v/>
      </c>
      <c r="P424" s="21" t="str">
        <f>IF(AND('Atividades Micro'!$A476=P$2,'Atividades Micro'!$L476&lt;&gt;""),'Atividades Micro'!$L476,"")</f>
        <v/>
      </c>
      <c r="Q424" s="21" t="str">
        <f>IF(AND('Atividades Micro'!$B476=Q$2,'Atividades Micro'!$K476&lt;&gt;""),'Atividades Micro'!$K476,"")</f>
        <v/>
      </c>
      <c r="R424" s="21" t="str">
        <f>IF(AND('Atividades Micro'!$B476=R$2,'Atividades Micro'!$L476&lt;&gt;""),'Atividades Micro'!$L476,"")</f>
        <v/>
      </c>
      <c r="S424" s="21" t="str">
        <f>IF(AND('Atividades Micro'!$A476=S$2,'Atividades Micro'!$K476&lt;&gt;""),'Atividades Micro'!$K476,"")</f>
        <v/>
      </c>
      <c r="T424" s="21" t="str">
        <f>IF(AND('Atividades Micro'!$A476=T$2,'Atividades Micro'!$L476&lt;&gt;""),'Atividades Micro'!$L476,"")</f>
        <v/>
      </c>
      <c r="U424" s="21" t="str">
        <f>IF(AND('Atividades Micro'!$B476=U$2,'Atividades Micro'!$K476&lt;&gt;""),'Atividades Micro'!$K476,"")</f>
        <v/>
      </c>
      <c r="V424" s="21" t="str">
        <f>IF(AND('Atividades Micro'!$B476=V$2,'Atividades Micro'!$L476&lt;&gt;""),'Atividades Micro'!$L476,"")</f>
        <v/>
      </c>
      <c r="W424" s="21" t="str">
        <f>IF(AND('Atividades Micro'!$B476=W$2,'Atividades Micro'!$K476&lt;&gt;""),'Atividades Micro'!$K476,"")</f>
        <v/>
      </c>
      <c r="X424" s="21" t="str">
        <f>IF(AND('Atividades Micro'!$B476=X$2,'Atividades Micro'!$L476&lt;&gt;""),'Atividades Micro'!$L476,"")</f>
        <v/>
      </c>
      <c r="Y424" s="21" t="str">
        <f>IF(AND('Atividades Micro'!$A476=Y$2,'Atividades Micro'!$K476&lt;&gt;""),'Atividades Micro'!$K476,"")</f>
        <v/>
      </c>
      <c r="Z424" s="21" t="str">
        <f>IF(AND('Atividades Micro'!$A476=Z$2,'Atividades Micro'!$L476&lt;&gt;""),'Atividades Micro'!$L476,"")</f>
        <v/>
      </c>
      <c r="AA424" s="21" t="str">
        <f>IF(AND('Atividades Micro'!$B476=AA$2,'Atividades Micro'!$K476&lt;&gt;""),'Atividades Micro'!$K476,"")</f>
        <v/>
      </c>
      <c r="AB424" s="21" t="str">
        <f>IF(AND('Atividades Micro'!$B476=AB$2,'Atividades Micro'!$L476&lt;&gt;""),'Atividades Micro'!$L476,"")</f>
        <v/>
      </c>
      <c r="AC424" s="21" t="str">
        <f>IF(AND('Atividades Micro'!$B476=AC$2,'Atividades Micro'!$K476&lt;&gt;""),'Atividades Micro'!$K476,"")</f>
        <v/>
      </c>
      <c r="AD424" s="21" t="str">
        <f>IF(AND('Atividades Micro'!$B476=AD$2,'Atividades Micro'!$L476&lt;&gt;""),'Atividades Micro'!$L476,"")</f>
        <v/>
      </c>
      <c r="AE424" s="21" t="str">
        <f>IF(AND('Atividades Micro'!$A476=AE$2,'Atividades Micro'!$K476&lt;&gt;""),'Atividades Micro'!$K476,"")</f>
        <v/>
      </c>
      <c r="AF424" s="21" t="str">
        <f>IF(AND('Atividades Micro'!$A476=AF$2,'Atividades Micro'!$L476&lt;&gt;""),'Atividades Micro'!$L476,"")</f>
        <v/>
      </c>
      <c r="AG424" s="21" t="str">
        <f>IF(AND('Atividades Micro'!$B476=AG$2,'Atividades Micro'!$K476&lt;&gt;""),'Atividades Micro'!$K476,"")</f>
        <v/>
      </c>
      <c r="AH424" s="21" t="str">
        <f>IF(AND('Atividades Micro'!$B476=AH$2,'Atividades Micro'!$L476&lt;&gt;""),'Atividades Micro'!$L476,"")</f>
        <v/>
      </c>
      <c r="AI424" s="21" t="str">
        <f>IF(AND('Atividades Micro'!$B476=AI$2,'Atividades Micro'!$K476&lt;&gt;""),'Atividades Micro'!$K476,"")</f>
        <v/>
      </c>
      <c r="AJ424" s="21" t="str">
        <f>IF(AND('Atividades Micro'!$B476=AJ$2,'Atividades Micro'!$L476&lt;&gt;""),'Atividades Micro'!$L476,"")</f>
        <v/>
      </c>
      <c r="AK424" s="21" t="str">
        <f>IF(AND('Atividades Micro'!$A476=AK$2,'Atividades Micro'!$K476&lt;&gt;""),'Atividades Micro'!$K476,"")</f>
        <v/>
      </c>
      <c r="AL424" s="21" t="str">
        <f>IF(AND('Atividades Micro'!$A476=AL$2,'Atividades Micro'!$L476&lt;&gt;""),'Atividades Micro'!$L476,"")</f>
        <v/>
      </c>
      <c r="AM424" s="21" t="str">
        <f>IF(AND('Atividades Micro'!$B476=AM$2,'Atividades Micro'!$K476&lt;&gt;""),'Atividades Micro'!$K476,"")</f>
        <v/>
      </c>
      <c r="AN424" s="21" t="str">
        <f>IF(AND('Atividades Micro'!$B476=AN$2,'Atividades Micro'!$L476&lt;&gt;""),'Atividades Micro'!$L476,"")</f>
        <v/>
      </c>
      <c r="AO424" s="21" t="str">
        <f>IF(AND('Atividades Micro'!$B476=AO$2,'Atividades Micro'!$K476&lt;&gt;""),'Atividades Micro'!$K476,"")</f>
        <v/>
      </c>
      <c r="AP424" s="21" t="str">
        <f>IF(AND('Atividades Micro'!$B476=AP$2,'Atividades Micro'!$L476&lt;&gt;""),'Atividades Micro'!$L476,"")</f>
        <v/>
      </c>
      <c r="AQ424" s="21" t="str">
        <f>IF(AND('Atividades Micro'!$A476=AQ$2,'Atividades Micro'!$K476&lt;&gt;""),'Atividades Micro'!$K476,"")</f>
        <v/>
      </c>
      <c r="AR424" s="21" t="str">
        <f>IF(AND('Atividades Micro'!$A476=AR$2,'Atividades Micro'!$L476&lt;&gt;""),'Atividades Micro'!$L476,"")</f>
        <v/>
      </c>
      <c r="AS424" s="21" t="str">
        <f>IF(AND('Atividades Micro'!$B476=AS$2,'Atividades Micro'!$K476&lt;&gt;""),'Atividades Micro'!$K476,"")</f>
        <v/>
      </c>
      <c r="AT424" s="21" t="str">
        <f>IF(AND('Atividades Micro'!$B476=AT$2,'Atividades Micro'!$L476&lt;&gt;""),'Atividades Micro'!$L476,"")</f>
        <v/>
      </c>
      <c r="AU424" s="21" t="str">
        <f>IF(AND('Atividades Micro'!$A476=AU$2,'Atividades Micro'!$K476&lt;&gt;""),'Atividades Micro'!$K476,"")</f>
        <v/>
      </c>
      <c r="AV424" s="21" t="str">
        <f>IF(AND('Atividades Micro'!$A476=AV$2,'Atividades Micro'!$L476&lt;&gt;""),'Atividades Micro'!$L476,"")</f>
        <v/>
      </c>
      <c r="AW424" s="21" t="str">
        <f>IF(AND('Atividades Micro'!$B476=AW$2,'Atividades Micro'!$K476&lt;&gt;""),'Atividades Micro'!$K476,"")</f>
        <v/>
      </c>
      <c r="AX424" s="21" t="str">
        <f>IF(AND('Atividades Micro'!$B476=AX$2,'Atividades Micro'!$L476&lt;&gt;""),'Atividades Micro'!$L476,"")</f>
        <v/>
      </c>
      <c r="AY424" s="21" t="str">
        <f>IF(AND('Atividades Micro'!$A476=AY$2,'Atividades Micro'!$K476&lt;&gt;""),'Atividades Micro'!$K476,"")</f>
        <v/>
      </c>
      <c r="AZ424" s="21" t="str">
        <f>IF(AND('Atividades Micro'!$A476=AZ$2,'Atividades Micro'!$L476&lt;&gt;""),'Atividades Micro'!$L476,"")</f>
        <v/>
      </c>
      <c r="BA424" s="21" t="str">
        <f>IF(AND('Atividades Micro'!$B476=BA$2,'Atividades Micro'!$K476&lt;&gt;""),'Atividades Micro'!$K476,"")</f>
        <v/>
      </c>
      <c r="BB424" s="21" t="str">
        <f>IF(AND('Atividades Micro'!$B476=BB$2,'Atividades Micro'!$L476&lt;&gt;""),'Atividades Micro'!$L476,"")</f>
        <v/>
      </c>
      <c r="BC424" s="21" t="str">
        <f>IF(AND('Atividades Micro'!$B476=BC$2,'Atividades Micro'!$G476="Macro",'Atividades Micro'!$K476&lt;&gt;""),'Atividades Micro'!$K476,"")</f>
        <v/>
      </c>
      <c r="BD424" s="21" t="str">
        <f>IF(AND('Atividades Micro'!$B476=BD$2,'Atividades Micro'!$G476="Macro",'Atividades Micro'!$K476&lt;&gt;""),'Atividades Micro'!$K476,"")</f>
        <v/>
      </c>
      <c r="BE424" s="21" t="str">
        <f>IF(AND('Atividades Micro'!$B476=BE$2,'Atividades Micro'!$G476="Macro",'Atividades Micro'!$K476&lt;&gt;""),'Atividades Micro'!$K476,"")</f>
        <v/>
      </c>
      <c r="BF424" s="21" t="str">
        <f>IF(AND('Atividades Micro'!$B476=BF$2,'Atividades Micro'!$G476="Macro",'Atividades Micro'!$K476&lt;&gt;""),'Atividades Micro'!$K476,"")</f>
        <v/>
      </c>
      <c r="BG424" s="21" t="str">
        <f>IF(AND('Atividades Micro'!$B476=BG$2,'Atividades Micro'!$G476="Macro",'Atividades Micro'!$K476&lt;&gt;""),'Atividades Micro'!$K476,"")</f>
        <v/>
      </c>
      <c r="BH424" s="21" t="str">
        <f>IF(AND('Atividades Micro'!$B476=BH$2,'Atividades Micro'!$G476="Macro",'Atividades Micro'!$K476&lt;&gt;""),'Atividades Micro'!$K476,"")</f>
        <v/>
      </c>
      <c r="BI424" s="21" t="str">
        <f>IF(AND('Atividades Micro'!$B476=BI$2,'Atividades Micro'!$G476="Macro",'Atividades Micro'!$K476&lt;&gt;""),'Atividades Micro'!$K476,"")</f>
        <v/>
      </c>
      <c r="BJ424" s="21" t="str">
        <f>IF(AND('Atividades Micro'!$B476=BJ$2,'Atividades Micro'!$G476="Macro",'Atividades Micro'!$K476&lt;&gt;""),'Atividades Micro'!$K476,"")</f>
        <v/>
      </c>
      <c r="BK424" s="21" t="str">
        <f>IF(AND('Atividades Micro'!$B476=BK$2,'Atividades Micro'!$G476="Macro",'Atividades Micro'!$K476&lt;&gt;""),'Atividades Micro'!$K476,"")</f>
        <v/>
      </c>
      <c r="BL424" s="21" t="str">
        <f>IF(AND('Atividades Micro'!$B476=BL$2,'Atividades Micro'!$G476="Macro",'Atividades Micro'!$K476&lt;&gt;""),'Atividades Micro'!$K476,"")</f>
        <v/>
      </c>
      <c r="BM424" s="21" t="str">
        <f>IF(AND('Atividades Micro'!$B476=BM$2,'Atividades Micro'!$G476="Macro",'Atividades Micro'!$K476&lt;&gt;""),'Atividades Micro'!$K476,"")</f>
        <v/>
      </c>
      <c r="BN424" s="21" t="str">
        <f>IF(AND('Atividades Micro'!$B476=BN$2,'Atividades Micro'!$G476="Macro",'Atividades Micro'!$K476&lt;&gt;""),'Atividades Micro'!$K476,"")</f>
        <v/>
      </c>
      <c r="BO424" s="21" t="str">
        <f>IF(AND('Atividades Micro'!$B476=BO$2,'Atividades Micro'!$G476="Macro",'Atividades Micro'!$K476&lt;&gt;""),'Atividades Micro'!$K476,"")</f>
        <v/>
      </c>
      <c r="BP424" s="21" t="str">
        <f>IF(AND('Atividades Micro'!$B476=BP$2,'Atividades Micro'!$G476="Macro",'Atividades Micro'!$K476&lt;&gt;""),'Atividades Micro'!$K476,"")</f>
        <v/>
      </c>
      <c r="BQ424" s="21" t="str">
        <f>IF(AND('Atividades Micro'!$B476=BQ$2,'Atividades Micro'!$G476="Macro",'Atividades Micro'!$K476&lt;&gt;""),'Atividades Micro'!$K476,"")</f>
        <v/>
      </c>
      <c r="BR424" s="21" t="str">
        <f>IF(AND('Atividades Micro'!$B476=BR$2,'Atividades Micro'!$G476="Macro",'Atividades Micro'!$K476&lt;&gt;""),'Atividades Micro'!$K476,"")</f>
        <v/>
      </c>
      <c r="BS424" s="21" t="str">
        <f>IF(AND('Atividades Micro'!$B476=BS$2,'Atividades Micro'!$G476="Macro",'Atividades Micro'!$K476&lt;&gt;""),'Atividades Micro'!$K476,"")</f>
        <v/>
      </c>
      <c r="BT424" s="21" t="str">
        <f>IF(AND('Atividades Micro'!$B476=BT$2,'Atividades Micro'!$G476="Macro",'Atividades Micro'!$K476&lt;&gt;""),'Atividades Micro'!$K476,"")</f>
        <v/>
      </c>
      <c r="BU424" s="21" t="str">
        <f>IF(AND('Atividades Micro'!$B476=BU$2,'Atividades Micro'!$G476="Macro",'Atividades Micro'!$K476&lt;&gt;""),'Atividades Micro'!$K476,"")</f>
        <v/>
      </c>
      <c r="BV424" s="21" t="str">
        <f>IF(AND('Atividades Micro'!$B476=BV$2,'Atividades Micro'!$G476="Macro",'Atividades Micro'!$K476&lt;&gt;""),'Atividades Micro'!$K476,"")</f>
        <v/>
      </c>
      <c r="BW424" s="21" t="str">
        <f>IF(AND('Atividades Micro'!$B476=BW$2,'Atividades Micro'!$G476="Macro",'Atividades Micro'!$K476&lt;&gt;""),'Atividades Micro'!$K476,"")</f>
        <v/>
      </c>
      <c r="BX424" s="21" t="str">
        <f>IF(AND('Atividades Micro'!$B476=BX$2,'Atividades Micro'!$G476="Macro",'Atividades Micro'!$K476&lt;&gt;""),'Atividades Micro'!$K476,"")</f>
        <v/>
      </c>
      <c r="BY424" s="21" t="str">
        <f>IF(AND('Atividades Micro'!$B476=BY$2,'Atividades Micro'!$G476="Macro",'Atividades Micro'!$K476&lt;&gt;""),'Atividades Micro'!$K476,"")</f>
        <v/>
      </c>
      <c r="BZ424" s="21" t="str">
        <f>IF(AND('Atividades Micro'!$B476=BZ$2,'Atividades Micro'!$G476="Macro",'Atividades Micro'!$K476&lt;&gt;""),'Atividades Micro'!$K476,"")</f>
        <v/>
      </c>
      <c r="CA424" s="21" t="str">
        <f>IF(AND('Atividades Micro'!$B476=CA$2,'Atividades Micro'!$G476="Macro",'Atividades Micro'!$K476&lt;&gt;""),'Atividades Micro'!$K476,"")</f>
        <v/>
      </c>
      <c r="CB424" s="21" t="str">
        <f>IF(AND('Atividades Micro'!$B476=CB$2,'Atividades Micro'!$G476="Macro",'Atividades Micro'!$K476&lt;&gt;""),'Atividades Micro'!$K476,"")</f>
        <v/>
      </c>
      <c r="CC424" s="21" t="str">
        <f>IF(AND('Atividades Micro'!$B476=CC$2,'Atividades Micro'!$G476="Macro",'Atividades Micro'!$K476&lt;&gt;""),'Atividades Micro'!$K476,"")</f>
        <v/>
      </c>
      <c r="CD424" s="21" t="str">
        <f>IF(AND('Atividades Micro'!$B476=CD$2,'Atividades Micro'!$G476="Micro",'Atividades Micro'!$K476&lt;&gt;""),'Atividades Micro'!$K476,"")</f>
        <v/>
      </c>
      <c r="CE424" s="21" t="str">
        <f>IF(AND('Atividades Micro'!$B476=CE$2,'Atividades Micro'!$G476="Micro",'Atividades Micro'!$K476&lt;&gt;""),'Atividades Micro'!$K476,"")</f>
        <v/>
      </c>
      <c r="CF424" s="21" t="str">
        <f>IF(AND('Atividades Micro'!$B476=CF$2,'Atividades Micro'!$G476="Micro",'Atividades Micro'!$K476&lt;&gt;""),'Atividades Micro'!$K476,"")</f>
        <v/>
      </c>
      <c r="CG424" s="21" t="str">
        <f>IF(AND('Atividades Micro'!$B476=CG$2,'Atividades Micro'!$G476="Micro",'Atividades Micro'!$K476&lt;&gt;""),'Atividades Micro'!$K476,"")</f>
        <v/>
      </c>
      <c r="CH424" s="21" t="str">
        <f>IF(AND('Atividades Micro'!$B476=CH$2,'Atividades Micro'!$G476="Micro",'Atividades Micro'!$K476&lt;&gt;""),'Atividades Micro'!$K476,"")</f>
        <v/>
      </c>
      <c r="CI424" s="21" t="str">
        <f>IF(AND('Atividades Micro'!$B476=CI$2,'Atividades Micro'!$G476="Micro",'Atividades Micro'!$K476&lt;&gt;""),'Atividades Micro'!$K476,"")</f>
        <v/>
      </c>
      <c r="CJ424" s="21" t="str">
        <f>IF(AND('Atividades Micro'!$B476=CJ$2,'Atividades Micro'!$G476="Micro",'Atividades Micro'!$K476&lt;&gt;""),'Atividades Micro'!$K476,"")</f>
        <v/>
      </c>
      <c r="CK424" s="21" t="str">
        <f>IF(AND('Atividades Micro'!$B476=CK$2,'Atividades Micro'!$G476="Micro",'Atividades Micro'!$K476&lt;&gt;""),'Atividades Micro'!$K476,"")</f>
        <v/>
      </c>
      <c r="CL424" s="21" t="str">
        <f>IF(AND('Atividades Micro'!$B476=CL$2,'Atividades Micro'!$G476="Micro",'Atividades Micro'!$K476&lt;&gt;""),'Atividades Micro'!$K476,"")</f>
        <v/>
      </c>
      <c r="CM424" s="21" t="str">
        <f>IF(AND('Atividades Micro'!$B476=CM$2,'Atividades Micro'!$G476="Micro",'Atividades Micro'!$K476&lt;&gt;""),'Atividades Micro'!$K476,"")</f>
        <v/>
      </c>
      <c r="CN424" s="21" t="str">
        <f>IF(AND('Atividades Micro'!$B476=CN$2,'Atividades Micro'!$G476="Micro",'Atividades Micro'!$K476&lt;&gt;""),'Atividades Micro'!$K476,"")</f>
        <v/>
      </c>
      <c r="CO424" s="21" t="str">
        <f>IF(AND('Atividades Micro'!$B476=CO$2,'Atividades Micro'!$G476="Micro",'Atividades Micro'!$K476&lt;&gt;""),'Atividades Micro'!$K476,"")</f>
        <v/>
      </c>
    </row>
    <row r="425" spans="1:93">
      <c r="A425" s="21" t="str">
        <f>IF(AND('Atividades Micro'!$A477=A$2,'Atividades Micro'!$K477&lt;&gt;""),'Atividades Micro'!$K477,"")</f>
        <v/>
      </c>
      <c r="B425" s="21" t="str">
        <f>IF(AND('Atividades Micro'!$A477=B$2,'Atividades Micro'!$L477&lt;&gt;""),'Atividades Micro'!$L477,"")</f>
        <v/>
      </c>
      <c r="C425" s="21" t="str">
        <f>IF(AND('Atividades Micro'!$A477=C$2,'Atividades Micro'!$K477&lt;&gt;""),'Atividades Micro'!$K477,"")</f>
        <v/>
      </c>
      <c r="D425" s="21" t="str">
        <f>IF(AND('Atividades Micro'!$A477=D$2,'Atividades Micro'!$L477&lt;&gt;""),'Atividades Micro'!$L477,"")</f>
        <v/>
      </c>
      <c r="E425" s="21" t="str">
        <f>IF(AND('Atividades Micro'!$A477=E$2,'Atividades Micro'!$K477&lt;&gt;""),'Atividades Micro'!$K477,"")</f>
        <v/>
      </c>
      <c r="F425" s="21" t="str">
        <f>IF(AND('Atividades Micro'!$A477=F$2,'Atividades Micro'!$L477&lt;&gt;""),'Atividades Micro'!$L477,"")</f>
        <v/>
      </c>
      <c r="G425" s="21" t="str">
        <f>IF(AND('Atividades Micro'!$A477=G$2,'Atividades Micro'!$K477&lt;&gt;""),'Atividades Micro'!$K477,"")</f>
        <v/>
      </c>
      <c r="H425" s="21" t="str">
        <f>IF(AND('Atividades Micro'!$A477=H$2,'Atividades Micro'!$L477&lt;&gt;""),'Atividades Micro'!$L477,"")</f>
        <v/>
      </c>
      <c r="I425" s="21" t="str">
        <f>IF(AND('Atividades Micro'!$A477=I$2,'Atividades Micro'!$K477&lt;&gt;""),'Atividades Micro'!$K477,"")</f>
        <v/>
      </c>
      <c r="J425" s="21" t="str">
        <f>IF(AND('Atividades Micro'!$A477=J$2,'Atividades Micro'!$L477&lt;&gt;""),'Atividades Micro'!$L477,"")</f>
        <v/>
      </c>
      <c r="K425" s="21" t="str">
        <f>IF(AND('Atividades Micro'!$B477=K$2,'Atividades Micro'!$K477&lt;&gt;""),'Atividades Micro'!$K477,"")</f>
        <v/>
      </c>
      <c r="L425" s="21" t="str">
        <f>IF(AND('Atividades Micro'!$B477=L$2,'Atividades Micro'!$L477&lt;&gt;""),'Atividades Micro'!$L477,"")</f>
        <v/>
      </c>
      <c r="M425" s="21" t="str">
        <f>IF(AND('Atividades Micro'!$B477=M$2,'Atividades Micro'!$K477&lt;&gt;""),'Atividades Micro'!$K477,"")</f>
        <v/>
      </c>
      <c r="N425" s="21" t="str">
        <f>IF(AND('Atividades Micro'!$B477=N$2,'Atividades Micro'!$L477&lt;&gt;""),'Atividades Micro'!$L477,"")</f>
        <v/>
      </c>
      <c r="O425" s="21" t="str">
        <f>IF(AND('Atividades Micro'!$A477=O$2,'Atividades Micro'!$K477&lt;&gt;""),'Atividades Micro'!$K477,"")</f>
        <v/>
      </c>
      <c r="P425" s="21" t="str">
        <f>IF(AND('Atividades Micro'!$A477=P$2,'Atividades Micro'!$L477&lt;&gt;""),'Atividades Micro'!$L477,"")</f>
        <v/>
      </c>
      <c r="Q425" s="21" t="str">
        <f>IF(AND('Atividades Micro'!$B477=Q$2,'Atividades Micro'!$K477&lt;&gt;""),'Atividades Micro'!$K477,"")</f>
        <v/>
      </c>
      <c r="R425" s="21" t="str">
        <f>IF(AND('Atividades Micro'!$B477=R$2,'Atividades Micro'!$L477&lt;&gt;""),'Atividades Micro'!$L477,"")</f>
        <v/>
      </c>
      <c r="S425" s="21" t="str">
        <f>IF(AND('Atividades Micro'!$A477=S$2,'Atividades Micro'!$K477&lt;&gt;""),'Atividades Micro'!$K477,"")</f>
        <v/>
      </c>
      <c r="T425" s="21" t="str">
        <f>IF(AND('Atividades Micro'!$A477=T$2,'Atividades Micro'!$L477&lt;&gt;""),'Atividades Micro'!$L477,"")</f>
        <v/>
      </c>
      <c r="U425" s="21" t="str">
        <f>IF(AND('Atividades Micro'!$B477=U$2,'Atividades Micro'!$K477&lt;&gt;""),'Atividades Micro'!$K477,"")</f>
        <v/>
      </c>
      <c r="V425" s="21" t="str">
        <f>IF(AND('Atividades Micro'!$B477=V$2,'Atividades Micro'!$L477&lt;&gt;""),'Atividades Micro'!$L477,"")</f>
        <v/>
      </c>
      <c r="W425" s="21" t="str">
        <f>IF(AND('Atividades Micro'!$B477=W$2,'Atividades Micro'!$K477&lt;&gt;""),'Atividades Micro'!$K477,"")</f>
        <v/>
      </c>
      <c r="X425" s="21" t="str">
        <f>IF(AND('Atividades Micro'!$B477=X$2,'Atividades Micro'!$L477&lt;&gt;""),'Atividades Micro'!$L477,"")</f>
        <v/>
      </c>
      <c r="Y425" s="21" t="str">
        <f>IF(AND('Atividades Micro'!$A477=Y$2,'Atividades Micro'!$K477&lt;&gt;""),'Atividades Micro'!$K477,"")</f>
        <v/>
      </c>
      <c r="Z425" s="21" t="str">
        <f>IF(AND('Atividades Micro'!$A477=Z$2,'Atividades Micro'!$L477&lt;&gt;""),'Atividades Micro'!$L477,"")</f>
        <v/>
      </c>
      <c r="AA425" s="21" t="str">
        <f>IF(AND('Atividades Micro'!$B477=AA$2,'Atividades Micro'!$K477&lt;&gt;""),'Atividades Micro'!$K477,"")</f>
        <v/>
      </c>
      <c r="AB425" s="21" t="str">
        <f>IF(AND('Atividades Micro'!$B477=AB$2,'Atividades Micro'!$L477&lt;&gt;""),'Atividades Micro'!$L477,"")</f>
        <v/>
      </c>
      <c r="AC425" s="21" t="str">
        <f>IF(AND('Atividades Micro'!$B477=AC$2,'Atividades Micro'!$K477&lt;&gt;""),'Atividades Micro'!$K477,"")</f>
        <v/>
      </c>
      <c r="AD425" s="21" t="str">
        <f>IF(AND('Atividades Micro'!$B477=AD$2,'Atividades Micro'!$L477&lt;&gt;""),'Atividades Micro'!$L477,"")</f>
        <v/>
      </c>
      <c r="AE425" s="21" t="str">
        <f>IF(AND('Atividades Micro'!$A477=AE$2,'Atividades Micro'!$K477&lt;&gt;""),'Atividades Micro'!$K477,"")</f>
        <v/>
      </c>
      <c r="AF425" s="21" t="str">
        <f>IF(AND('Atividades Micro'!$A477=AF$2,'Atividades Micro'!$L477&lt;&gt;""),'Atividades Micro'!$L477,"")</f>
        <v/>
      </c>
      <c r="AG425" s="21" t="str">
        <f>IF(AND('Atividades Micro'!$B477=AG$2,'Atividades Micro'!$K477&lt;&gt;""),'Atividades Micro'!$K477,"")</f>
        <v/>
      </c>
      <c r="AH425" s="21" t="str">
        <f>IF(AND('Atividades Micro'!$B477=AH$2,'Atividades Micro'!$L477&lt;&gt;""),'Atividades Micro'!$L477,"")</f>
        <v/>
      </c>
      <c r="AI425" s="21" t="str">
        <f>IF(AND('Atividades Micro'!$B477=AI$2,'Atividades Micro'!$K477&lt;&gt;""),'Atividades Micro'!$K477,"")</f>
        <v/>
      </c>
      <c r="AJ425" s="21" t="str">
        <f>IF(AND('Atividades Micro'!$B477=AJ$2,'Atividades Micro'!$L477&lt;&gt;""),'Atividades Micro'!$L477,"")</f>
        <v/>
      </c>
      <c r="AK425" s="21" t="str">
        <f>IF(AND('Atividades Micro'!$A477=AK$2,'Atividades Micro'!$K477&lt;&gt;""),'Atividades Micro'!$K477,"")</f>
        <v/>
      </c>
      <c r="AL425" s="21" t="str">
        <f>IF(AND('Atividades Micro'!$A477=AL$2,'Atividades Micro'!$L477&lt;&gt;""),'Atividades Micro'!$L477,"")</f>
        <v/>
      </c>
      <c r="AM425" s="21" t="str">
        <f>IF(AND('Atividades Micro'!$B477=AM$2,'Atividades Micro'!$K477&lt;&gt;""),'Atividades Micro'!$K477,"")</f>
        <v/>
      </c>
      <c r="AN425" s="21" t="str">
        <f>IF(AND('Atividades Micro'!$B477=AN$2,'Atividades Micro'!$L477&lt;&gt;""),'Atividades Micro'!$L477,"")</f>
        <v/>
      </c>
      <c r="AO425" s="21" t="str">
        <f>IF(AND('Atividades Micro'!$B477=AO$2,'Atividades Micro'!$K477&lt;&gt;""),'Atividades Micro'!$K477,"")</f>
        <v/>
      </c>
      <c r="AP425" s="21" t="str">
        <f>IF(AND('Atividades Micro'!$B477=AP$2,'Atividades Micro'!$L477&lt;&gt;""),'Atividades Micro'!$L477,"")</f>
        <v/>
      </c>
      <c r="AQ425" s="21" t="str">
        <f>IF(AND('Atividades Micro'!$A477=AQ$2,'Atividades Micro'!$K477&lt;&gt;""),'Atividades Micro'!$K477,"")</f>
        <v/>
      </c>
      <c r="AR425" s="21" t="str">
        <f>IF(AND('Atividades Micro'!$A477=AR$2,'Atividades Micro'!$L477&lt;&gt;""),'Atividades Micro'!$L477,"")</f>
        <v/>
      </c>
      <c r="AS425" s="21" t="str">
        <f>IF(AND('Atividades Micro'!$B477=AS$2,'Atividades Micro'!$K477&lt;&gt;""),'Atividades Micro'!$K477,"")</f>
        <v/>
      </c>
      <c r="AT425" s="21" t="str">
        <f>IF(AND('Atividades Micro'!$B477=AT$2,'Atividades Micro'!$L477&lt;&gt;""),'Atividades Micro'!$L477,"")</f>
        <v/>
      </c>
      <c r="AU425" s="21" t="str">
        <f>IF(AND('Atividades Micro'!$A477=AU$2,'Atividades Micro'!$K477&lt;&gt;""),'Atividades Micro'!$K477,"")</f>
        <v/>
      </c>
      <c r="AV425" s="21" t="str">
        <f>IF(AND('Atividades Micro'!$A477=AV$2,'Atividades Micro'!$L477&lt;&gt;""),'Atividades Micro'!$L477,"")</f>
        <v/>
      </c>
      <c r="AW425" s="21" t="str">
        <f>IF(AND('Atividades Micro'!$B477=AW$2,'Atividades Micro'!$K477&lt;&gt;""),'Atividades Micro'!$K477,"")</f>
        <v/>
      </c>
      <c r="AX425" s="21" t="str">
        <f>IF(AND('Atividades Micro'!$B477=AX$2,'Atividades Micro'!$L477&lt;&gt;""),'Atividades Micro'!$L477,"")</f>
        <v/>
      </c>
      <c r="AY425" s="21" t="str">
        <f>IF(AND('Atividades Micro'!$A477=AY$2,'Atividades Micro'!$K477&lt;&gt;""),'Atividades Micro'!$K477,"")</f>
        <v/>
      </c>
      <c r="AZ425" s="21" t="str">
        <f>IF(AND('Atividades Micro'!$A477=AZ$2,'Atividades Micro'!$L477&lt;&gt;""),'Atividades Micro'!$L477,"")</f>
        <v/>
      </c>
      <c r="BA425" s="21" t="str">
        <f>IF(AND('Atividades Micro'!$B477=BA$2,'Atividades Micro'!$K477&lt;&gt;""),'Atividades Micro'!$K477,"")</f>
        <v/>
      </c>
      <c r="BB425" s="21" t="str">
        <f>IF(AND('Atividades Micro'!$B477=BB$2,'Atividades Micro'!$L477&lt;&gt;""),'Atividades Micro'!$L477,"")</f>
        <v/>
      </c>
      <c r="BC425" s="21" t="str">
        <f>IF(AND('Atividades Micro'!$B477=BC$2,'Atividades Micro'!$G477="Macro",'Atividades Micro'!$K477&lt;&gt;""),'Atividades Micro'!$K477,"")</f>
        <v/>
      </c>
      <c r="BD425" s="21" t="str">
        <f>IF(AND('Atividades Micro'!$B477=BD$2,'Atividades Micro'!$G477="Macro",'Atividades Micro'!$K477&lt;&gt;""),'Atividades Micro'!$K477,"")</f>
        <v/>
      </c>
      <c r="BE425" s="21" t="str">
        <f>IF(AND('Atividades Micro'!$B477=BE$2,'Atividades Micro'!$G477="Macro",'Atividades Micro'!$K477&lt;&gt;""),'Atividades Micro'!$K477,"")</f>
        <v/>
      </c>
      <c r="BF425" s="21" t="str">
        <f>IF(AND('Atividades Micro'!$B477=BF$2,'Atividades Micro'!$G477="Macro",'Atividades Micro'!$K477&lt;&gt;""),'Atividades Micro'!$K477,"")</f>
        <v/>
      </c>
      <c r="BG425" s="21" t="str">
        <f>IF(AND('Atividades Micro'!$B477=BG$2,'Atividades Micro'!$G477="Macro",'Atividades Micro'!$K477&lt;&gt;""),'Atividades Micro'!$K477,"")</f>
        <v/>
      </c>
      <c r="BH425" s="21" t="str">
        <f>IF(AND('Atividades Micro'!$B477=BH$2,'Atividades Micro'!$G477="Macro",'Atividades Micro'!$K477&lt;&gt;""),'Atividades Micro'!$K477,"")</f>
        <v/>
      </c>
      <c r="BI425" s="21" t="str">
        <f>IF(AND('Atividades Micro'!$B477=BI$2,'Atividades Micro'!$G477="Macro",'Atividades Micro'!$K477&lt;&gt;""),'Atividades Micro'!$K477,"")</f>
        <v/>
      </c>
      <c r="BJ425" s="21" t="str">
        <f>IF(AND('Atividades Micro'!$B477=BJ$2,'Atividades Micro'!$G477="Macro",'Atividades Micro'!$K477&lt;&gt;""),'Atividades Micro'!$K477,"")</f>
        <v/>
      </c>
      <c r="BK425" s="21" t="str">
        <f>IF(AND('Atividades Micro'!$B477=BK$2,'Atividades Micro'!$G477="Macro",'Atividades Micro'!$K477&lt;&gt;""),'Atividades Micro'!$K477,"")</f>
        <v/>
      </c>
      <c r="BL425" s="21" t="str">
        <f>IF(AND('Atividades Micro'!$B477=BL$2,'Atividades Micro'!$G477="Macro",'Atividades Micro'!$K477&lt;&gt;""),'Atividades Micro'!$K477,"")</f>
        <v/>
      </c>
      <c r="BM425" s="21" t="str">
        <f>IF(AND('Atividades Micro'!$B477=BM$2,'Atividades Micro'!$G477="Macro",'Atividades Micro'!$K477&lt;&gt;""),'Atividades Micro'!$K477,"")</f>
        <v/>
      </c>
      <c r="BN425" s="21" t="str">
        <f>IF(AND('Atividades Micro'!$B477=BN$2,'Atividades Micro'!$G477="Macro",'Atividades Micro'!$K477&lt;&gt;""),'Atividades Micro'!$K477,"")</f>
        <v/>
      </c>
      <c r="BO425" s="21" t="str">
        <f>IF(AND('Atividades Micro'!$B477=BO$2,'Atividades Micro'!$G477="Macro",'Atividades Micro'!$K477&lt;&gt;""),'Atividades Micro'!$K477,"")</f>
        <v/>
      </c>
      <c r="BP425" s="21" t="str">
        <f>IF(AND('Atividades Micro'!$B477=BP$2,'Atividades Micro'!$G477="Macro",'Atividades Micro'!$K477&lt;&gt;""),'Atividades Micro'!$K477,"")</f>
        <v/>
      </c>
      <c r="BQ425" s="21" t="str">
        <f>IF(AND('Atividades Micro'!$B477=BQ$2,'Atividades Micro'!$G477="Macro",'Atividades Micro'!$K477&lt;&gt;""),'Atividades Micro'!$K477,"")</f>
        <v/>
      </c>
      <c r="BR425" s="21" t="str">
        <f>IF(AND('Atividades Micro'!$B477=BR$2,'Atividades Micro'!$G477="Macro",'Atividades Micro'!$K477&lt;&gt;""),'Atividades Micro'!$K477,"")</f>
        <v/>
      </c>
      <c r="BS425" s="21" t="str">
        <f>IF(AND('Atividades Micro'!$B477=BS$2,'Atividades Micro'!$G477="Macro",'Atividades Micro'!$K477&lt;&gt;""),'Atividades Micro'!$K477,"")</f>
        <v/>
      </c>
      <c r="BT425" s="21" t="str">
        <f>IF(AND('Atividades Micro'!$B477=BT$2,'Atividades Micro'!$G477="Macro",'Atividades Micro'!$K477&lt;&gt;""),'Atividades Micro'!$K477,"")</f>
        <v/>
      </c>
      <c r="BU425" s="21" t="str">
        <f>IF(AND('Atividades Micro'!$B477=BU$2,'Atividades Micro'!$G477="Macro",'Atividades Micro'!$K477&lt;&gt;""),'Atividades Micro'!$K477,"")</f>
        <v/>
      </c>
      <c r="BV425" s="21" t="str">
        <f>IF(AND('Atividades Micro'!$B477=BV$2,'Atividades Micro'!$G477="Macro",'Atividades Micro'!$K477&lt;&gt;""),'Atividades Micro'!$K477,"")</f>
        <v/>
      </c>
      <c r="BW425" s="21" t="str">
        <f>IF(AND('Atividades Micro'!$B477=BW$2,'Atividades Micro'!$G477="Macro",'Atividades Micro'!$K477&lt;&gt;""),'Atividades Micro'!$K477,"")</f>
        <v/>
      </c>
      <c r="BX425" s="21" t="str">
        <f>IF(AND('Atividades Micro'!$B477=BX$2,'Atividades Micro'!$G477="Macro",'Atividades Micro'!$K477&lt;&gt;""),'Atividades Micro'!$K477,"")</f>
        <v/>
      </c>
      <c r="BY425" s="21" t="str">
        <f>IF(AND('Atividades Micro'!$B477=BY$2,'Atividades Micro'!$G477="Macro",'Atividades Micro'!$K477&lt;&gt;""),'Atividades Micro'!$K477,"")</f>
        <v/>
      </c>
      <c r="BZ425" s="21" t="str">
        <f>IF(AND('Atividades Micro'!$B477=BZ$2,'Atividades Micro'!$G477="Macro",'Atividades Micro'!$K477&lt;&gt;""),'Atividades Micro'!$K477,"")</f>
        <v/>
      </c>
      <c r="CA425" s="21" t="str">
        <f>IF(AND('Atividades Micro'!$B477=CA$2,'Atividades Micro'!$G477="Macro",'Atividades Micro'!$K477&lt;&gt;""),'Atividades Micro'!$K477,"")</f>
        <v/>
      </c>
      <c r="CB425" s="21" t="str">
        <f>IF(AND('Atividades Micro'!$B477=CB$2,'Atividades Micro'!$G477="Macro",'Atividades Micro'!$K477&lt;&gt;""),'Atividades Micro'!$K477,"")</f>
        <v/>
      </c>
      <c r="CC425" s="21" t="str">
        <f>IF(AND('Atividades Micro'!$B477=CC$2,'Atividades Micro'!$G477="Macro",'Atividades Micro'!$K477&lt;&gt;""),'Atividades Micro'!$K477,"")</f>
        <v/>
      </c>
      <c r="CD425" s="21" t="str">
        <f>IF(AND('Atividades Micro'!$B477=CD$2,'Atividades Micro'!$G477="Micro",'Atividades Micro'!$K477&lt;&gt;""),'Atividades Micro'!$K477,"")</f>
        <v/>
      </c>
      <c r="CE425" s="21" t="str">
        <f>IF(AND('Atividades Micro'!$B477=CE$2,'Atividades Micro'!$G477="Micro",'Atividades Micro'!$K477&lt;&gt;""),'Atividades Micro'!$K477,"")</f>
        <v/>
      </c>
      <c r="CF425" s="21" t="str">
        <f>IF(AND('Atividades Micro'!$B477=CF$2,'Atividades Micro'!$G477="Micro",'Atividades Micro'!$K477&lt;&gt;""),'Atividades Micro'!$K477,"")</f>
        <v/>
      </c>
      <c r="CG425" s="21" t="str">
        <f>IF(AND('Atividades Micro'!$B477=CG$2,'Atividades Micro'!$G477="Micro",'Atividades Micro'!$K477&lt;&gt;""),'Atividades Micro'!$K477,"")</f>
        <v/>
      </c>
      <c r="CH425" s="21" t="str">
        <f>IF(AND('Atividades Micro'!$B477=CH$2,'Atividades Micro'!$G477="Micro",'Atividades Micro'!$K477&lt;&gt;""),'Atividades Micro'!$K477,"")</f>
        <v/>
      </c>
      <c r="CI425" s="21" t="str">
        <f>IF(AND('Atividades Micro'!$B477=CI$2,'Atividades Micro'!$G477="Micro",'Atividades Micro'!$K477&lt;&gt;""),'Atividades Micro'!$K477,"")</f>
        <v/>
      </c>
      <c r="CJ425" s="21" t="str">
        <f>IF(AND('Atividades Micro'!$B477=CJ$2,'Atividades Micro'!$G477="Micro",'Atividades Micro'!$K477&lt;&gt;""),'Atividades Micro'!$K477,"")</f>
        <v/>
      </c>
      <c r="CK425" s="21" t="str">
        <f>IF(AND('Atividades Micro'!$B477=CK$2,'Atividades Micro'!$G477="Micro",'Atividades Micro'!$K477&lt;&gt;""),'Atividades Micro'!$K477,"")</f>
        <v/>
      </c>
      <c r="CL425" s="21" t="str">
        <f>IF(AND('Atividades Micro'!$B477=CL$2,'Atividades Micro'!$G477="Micro",'Atividades Micro'!$K477&lt;&gt;""),'Atividades Micro'!$K477,"")</f>
        <v/>
      </c>
      <c r="CM425" s="21" t="str">
        <f>IF(AND('Atividades Micro'!$B477=CM$2,'Atividades Micro'!$G477="Micro",'Atividades Micro'!$K477&lt;&gt;""),'Atividades Micro'!$K477,"")</f>
        <v/>
      </c>
      <c r="CN425" s="21" t="str">
        <f>IF(AND('Atividades Micro'!$B477=CN$2,'Atividades Micro'!$G477="Micro",'Atividades Micro'!$K477&lt;&gt;""),'Atividades Micro'!$K477,"")</f>
        <v/>
      </c>
      <c r="CO425" s="21" t="str">
        <f>IF(AND('Atividades Micro'!$B477=CO$2,'Atividades Micro'!$G477="Micro",'Atividades Micro'!$K477&lt;&gt;""),'Atividades Micro'!$K477,"")</f>
        <v/>
      </c>
    </row>
    <row r="426" spans="1:93">
      <c r="A426" s="21" t="str">
        <f>IF(AND('Atividades Micro'!$A478=A$2,'Atividades Micro'!$K478&lt;&gt;""),'Atividades Micro'!$K478,"")</f>
        <v/>
      </c>
      <c r="B426" s="21" t="str">
        <f>IF(AND('Atividades Micro'!$A478=B$2,'Atividades Micro'!$L478&lt;&gt;""),'Atividades Micro'!$L478,"")</f>
        <v/>
      </c>
      <c r="C426" s="21" t="str">
        <f>IF(AND('Atividades Micro'!$A478=C$2,'Atividades Micro'!$K478&lt;&gt;""),'Atividades Micro'!$K478,"")</f>
        <v/>
      </c>
      <c r="D426" s="21" t="str">
        <f>IF(AND('Atividades Micro'!$A478=D$2,'Atividades Micro'!$L478&lt;&gt;""),'Atividades Micro'!$L478,"")</f>
        <v/>
      </c>
      <c r="E426" s="21" t="str">
        <f>IF(AND('Atividades Micro'!$A478=E$2,'Atividades Micro'!$K478&lt;&gt;""),'Atividades Micro'!$K478,"")</f>
        <v/>
      </c>
      <c r="F426" s="21" t="str">
        <f>IF(AND('Atividades Micro'!$A478=F$2,'Atividades Micro'!$L478&lt;&gt;""),'Atividades Micro'!$L478,"")</f>
        <v/>
      </c>
      <c r="G426" s="21" t="str">
        <f>IF(AND('Atividades Micro'!$A478=G$2,'Atividades Micro'!$K478&lt;&gt;""),'Atividades Micro'!$K478,"")</f>
        <v/>
      </c>
      <c r="H426" s="21" t="str">
        <f>IF(AND('Atividades Micro'!$A478=H$2,'Atividades Micro'!$L478&lt;&gt;""),'Atividades Micro'!$L478,"")</f>
        <v/>
      </c>
      <c r="I426" s="21" t="str">
        <f>IF(AND('Atividades Micro'!$A478=I$2,'Atividades Micro'!$K478&lt;&gt;""),'Atividades Micro'!$K478,"")</f>
        <v/>
      </c>
      <c r="J426" s="21" t="str">
        <f>IF(AND('Atividades Micro'!$A478=J$2,'Atividades Micro'!$L478&lt;&gt;""),'Atividades Micro'!$L478,"")</f>
        <v/>
      </c>
      <c r="K426" s="21" t="str">
        <f>IF(AND('Atividades Micro'!$B478=K$2,'Atividades Micro'!$K478&lt;&gt;""),'Atividades Micro'!$K478,"")</f>
        <v/>
      </c>
      <c r="L426" s="21" t="str">
        <f>IF(AND('Atividades Micro'!$B478=L$2,'Atividades Micro'!$L478&lt;&gt;""),'Atividades Micro'!$L478,"")</f>
        <v/>
      </c>
      <c r="M426" s="21" t="str">
        <f>IF(AND('Atividades Micro'!$B478=M$2,'Atividades Micro'!$K478&lt;&gt;""),'Atividades Micro'!$K478,"")</f>
        <v/>
      </c>
      <c r="N426" s="21" t="str">
        <f>IF(AND('Atividades Micro'!$B478=N$2,'Atividades Micro'!$L478&lt;&gt;""),'Atividades Micro'!$L478,"")</f>
        <v/>
      </c>
      <c r="O426" s="21" t="str">
        <f>IF(AND('Atividades Micro'!$A478=O$2,'Atividades Micro'!$K478&lt;&gt;""),'Atividades Micro'!$K478,"")</f>
        <v/>
      </c>
      <c r="P426" s="21" t="str">
        <f>IF(AND('Atividades Micro'!$A478=P$2,'Atividades Micro'!$L478&lt;&gt;""),'Atividades Micro'!$L478,"")</f>
        <v/>
      </c>
      <c r="Q426" s="21" t="str">
        <f>IF(AND('Atividades Micro'!$B478=Q$2,'Atividades Micro'!$K478&lt;&gt;""),'Atividades Micro'!$K478,"")</f>
        <v/>
      </c>
      <c r="R426" s="21" t="str">
        <f>IF(AND('Atividades Micro'!$B478=R$2,'Atividades Micro'!$L478&lt;&gt;""),'Atividades Micro'!$L478,"")</f>
        <v/>
      </c>
      <c r="S426" s="21" t="str">
        <f>IF(AND('Atividades Micro'!$A478=S$2,'Atividades Micro'!$K478&lt;&gt;""),'Atividades Micro'!$K478,"")</f>
        <v/>
      </c>
      <c r="T426" s="21" t="str">
        <f>IF(AND('Atividades Micro'!$A478=T$2,'Atividades Micro'!$L478&lt;&gt;""),'Atividades Micro'!$L478,"")</f>
        <v/>
      </c>
      <c r="U426" s="21" t="str">
        <f>IF(AND('Atividades Micro'!$B478=U$2,'Atividades Micro'!$K478&lt;&gt;""),'Atividades Micro'!$K478,"")</f>
        <v/>
      </c>
      <c r="V426" s="21" t="str">
        <f>IF(AND('Atividades Micro'!$B478=V$2,'Atividades Micro'!$L478&lt;&gt;""),'Atividades Micro'!$L478,"")</f>
        <v/>
      </c>
      <c r="W426" s="21" t="str">
        <f>IF(AND('Atividades Micro'!$B478=W$2,'Atividades Micro'!$K478&lt;&gt;""),'Atividades Micro'!$K478,"")</f>
        <v/>
      </c>
      <c r="X426" s="21" t="str">
        <f>IF(AND('Atividades Micro'!$B478=X$2,'Atividades Micro'!$L478&lt;&gt;""),'Atividades Micro'!$L478,"")</f>
        <v/>
      </c>
      <c r="Y426" s="21" t="str">
        <f>IF(AND('Atividades Micro'!$A478=Y$2,'Atividades Micro'!$K478&lt;&gt;""),'Atividades Micro'!$K478,"")</f>
        <v/>
      </c>
      <c r="Z426" s="21" t="str">
        <f>IF(AND('Atividades Micro'!$A478=Z$2,'Atividades Micro'!$L478&lt;&gt;""),'Atividades Micro'!$L478,"")</f>
        <v/>
      </c>
      <c r="AA426" s="21" t="str">
        <f>IF(AND('Atividades Micro'!$B478=AA$2,'Atividades Micro'!$K478&lt;&gt;""),'Atividades Micro'!$K478,"")</f>
        <v/>
      </c>
      <c r="AB426" s="21" t="str">
        <f>IF(AND('Atividades Micro'!$B478=AB$2,'Atividades Micro'!$L478&lt;&gt;""),'Atividades Micro'!$L478,"")</f>
        <v/>
      </c>
      <c r="AC426" s="21" t="str">
        <f>IF(AND('Atividades Micro'!$B478=AC$2,'Atividades Micro'!$K478&lt;&gt;""),'Atividades Micro'!$K478,"")</f>
        <v/>
      </c>
      <c r="AD426" s="21" t="str">
        <f>IF(AND('Atividades Micro'!$B478=AD$2,'Atividades Micro'!$L478&lt;&gt;""),'Atividades Micro'!$L478,"")</f>
        <v/>
      </c>
      <c r="AE426" s="21" t="str">
        <f>IF(AND('Atividades Micro'!$A478=AE$2,'Atividades Micro'!$K478&lt;&gt;""),'Atividades Micro'!$K478,"")</f>
        <v/>
      </c>
      <c r="AF426" s="21" t="str">
        <f>IF(AND('Atividades Micro'!$A478=AF$2,'Atividades Micro'!$L478&lt;&gt;""),'Atividades Micro'!$L478,"")</f>
        <v/>
      </c>
      <c r="AG426" s="21" t="str">
        <f>IF(AND('Atividades Micro'!$B478=AG$2,'Atividades Micro'!$K478&lt;&gt;""),'Atividades Micro'!$K478,"")</f>
        <v/>
      </c>
      <c r="AH426" s="21" t="str">
        <f>IF(AND('Atividades Micro'!$B478=AH$2,'Atividades Micro'!$L478&lt;&gt;""),'Atividades Micro'!$L478,"")</f>
        <v/>
      </c>
      <c r="AI426" s="21" t="str">
        <f>IF(AND('Atividades Micro'!$B478=AI$2,'Atividades Micro'!$K478&lt;&gt;""),'Atividades Micro'!$K478,"")</f>
        <v/>
      </c>
      <c r="AJ426" s="21" t="str">
        <f>IF(AND('Atividades Micro'!$B478=AJ$2,'Atividades Micro'!$L478&lt;&gt;""),'Atividades Micro'!$L478,"")</f>
        <v/>
      </c>
      <c r="AK426" s="21" t="str">
        <f>IF(AND('Atividades Micro'!$A478=AK$2,'Atividades Micro'!$K478&lt;&gt;""),'Atividades Micro'!$K478,"")</f>
        <v/>
      </c>
      <c r="AL426" s="21" t="str">
        <f>IF(AND('Atividades Micro'!$A478=AL$2,'Atividades Micro'!$L478&lt;&gt;""),'Atividades Micro'!$L478,"")</f>
        <v/>
      </c>
      <c r="AM426" s="21" t="str">
        <f>IF(AND('Atividades Micro'!$B478=AM$2,'Atividades Micro'!$K478&lt;&gt;""),'Atividades Micro'!$K478,"")</f>
        <v/>
      </c>
      <c r="AN426" s="21" t="str">
        <f>IF(AND('Atividades Micro'!$B478=AN$2,'Atividades Micro'!$L478&lt;&gt;""),'Atividades Micro'!$L478,"")</f>
        <v/>
      </c>
      <c r="AO426" s="21" t="str">
        <f>IF(AND('Atividades Micro'!$B478=AO$2,'Atividades Micro'!$K478&lt;&gt;""),'Atividades Micro'!$K478,"")</f>
        <v/>
      </c>
      <c r="AP426" s="21" t="str">
        <f>IF(AND('Atividades Micro'!$B478=AP$2,'Atividades Micro'!$L478&lt;&gt;""),'Atividades Micro'!$L478,"")</f>
        <v/>
      </c>
      <c r="AQ426" s="21" t="str">
        <f>IF(AND('Atividades Micro'!$A478=AQ$2,'Atividades Micro'!$K478&lt;&gt;""),'Atividades Micro'!$K478,"")</f>
        <v/>
      </c>
      <c r="AR426" s="21" t="str">
        <f>IF(AND('Atividades Micro'!$A478=AR$2,'Atividades Micro'!$L478&lt;&gt;""),'Atividades Micro'!$L478,"")</f>
        <v/>
      </c>
      <c r="AS426" s="21" t="str">
        <f>IF(AND('Atividades Micro'!$B478=AS$2,'Atividades Micro'!$K478&lt;&gt;""),'Atividades Micro'!$K478,"")</f>
        <v/>
      </c>
      <c r="AT426" s="21" t="str">
        <f>IF(AND('Atividades Micro'!$B478=AT$2,'Atividades Micro'!$L478&lt;&gt;""),'Atividades Micro'!$L478,"")</f>
        <v/>
      </c>
      <c r="AU426" s="21" t="str">
        <f>IF(AND('Atividades Micro'!$A478=AU$2,'Atividades Micro'!$K478&lt;&gt;""),'Atividades Micro'!$K478,"")</f>
        <v/>
      </c>
      <c r="AV426" s="21" t="str">
        <f>IF(AND('Atividades Micro'!$A478=AV$2,'Atividades Micro'!$L478&lt;&gt;""),'Atividades Micro'!$L478,"")</f>
        <v/>
      </c>
      <c r="AW426" s="21" t="str">
        <f>IF(AND('Atividades Micro'!$B478=AW$2,'Atividades Micro'!$K478&lt;&gt;""),'Atividades Micro'!$K478,"")</f>
        <v/>
      </c>
      <c r="AX426" s="21" t="str">
        <f>IF(AND('Atividades Micro'!$B478=AX$2,'Atividades Micro'!$L478&lt;&gt;""),'Atividades Micro'!$L478,"")</f>
        <v/>
      </c>
      <c r="AY426" s="21" t="str">
        <f>IF(AND('Atividades Micro'!$A478=AY$2,'Atividades Micro'!$K478&lt;&gt;""),'Atividades Micro'!$K478,"")</f>
        <v/>
      </c>
      <c r="AZ426" s="21" t="str">
        <f>IF(AND('Atividades Micro'!$A478=AZ$2,'Atividades Micro'!$L478&lt;&gt;""),'Atividades Micro'!$L478,"")</f>
        <v/>
      </c>
      <c r="BA426" s="21" t="str">
        <f>IF(AND('Atividades Micro'!$B478=BA$2,'Atividades Micro'!$K478&lt;&gt;""),'Atividades Micro'!$K478,"")</f>
        <v/>
      </c>
      <c r="BB426" s="21" t="str">
        <f>IF(AND('Atividades Micro'!$B478=BB$2,'Atividades Micro'!$L478&lt;&gt;""),'Atividades Micro'!$L478,"")</f>
        <v/>
      </c>
      <c r="BC426" s="21" t="str">
        <f>IF(AND('Atividades Micro'!$B478=BC$2,'Atividades Micro'!$G478="Macro",'Atividades Micro'!$K478&lt;&gt;""),'Atividades Micro'!$K478,"")</f>
        <v/>
      </c>
      <c r="BD426" s="21" t="str">
        <f>IF(AND('Atividades Micro'!$B478=BD$2,'Atividades Micro'!$G478="Macro",'Atividades Micro'!$K478&lt;&gt;""),'Atividades Micro'!$K478,"")</f>
        <v/>
      </c>
      <c r="BE426" s="21" t="str">
        <f>IF(AND('Atividades Micro'!$B478=BE$2,'Atividades Micro'!$G478="Macro",'Atividades Micro'!$K478&lt;&gt;""),'Atividades Micro'!$K478,"")</f>
        <v/>
      </c>
      <c r="BF426" s="21" t="str">
        <f>IF(AND('Atividades Micro'!$B478=BF$2,'Atividades Micro'!$G478="Macro",'Atividades Micro'!$K478&lt;&gt;""),'Atividades Micro'!$K478,"")</f>
        <v/>
      </c>
      <c r="BG426" s="21" t="str">
        <f>IF(AND('Atividades Micro'!$B478=BG$2,'Atividades Micro'!$G478="Macro",'Atividades Micro'!$K478&lt;&gt;""),'Atividades Micro'!$K478,"")</f>
        <v/>
      </c>
      <c r="BH426" s="21" t="str">
        <f>IF(AND('Atividades Micro'!$B478=BH$2,'Atividades Micro'!$G478="Macro",'Atividades Micro'!$K478&lt;&gt;""),'Atividades Micro'!$K478,"")</f>
        <v/>
      </c>
      <c r="BI426" s="21" t="str">
        <f>IF(AND('Atividades Micro'!$B478=BI$2,'Atividades Micro'!$G478="Macro",'Atividades Micro'!$K478&lt;&gt;""),'Atividades Micro'!$K478,"")</f>
        <v/>
      </c>
      <c r="BJ426" s="21" t="str">
        <f>IF(AND('Atividades Micro'!$B478=BJ$2,'Atividades Micro'!$G478="Macro",'Atividades Micro'!$K478&lt;&gt;""),'Atividades Micro'!$K478,"")</f>
        <v/>
      </c>
      <c r="BK426" s="21" t="str">
        <f>IF(AND('Atividades Micro'!$B478=BK$2,'Atividades Micro'!$G478="Macro",'Atividades Micro'!$K478&lt;&gt;""),'Atividades Micro'!$K478,"")</f>
        <v/>
      </c>
      <c r="BL426" s="21" t="str">
        <f>IF(AND('Atividades Micro'!$B478=BL$2,'Atividades Micro'!$G478="Macro",'Atividades Micro'!$K478&lt;&gt;""),'Atividades Micro'!$K478,"")</f>
        <v/>
      </c>
      <c r="BM426" s="21" t="str">
        <f>IF(AND('Atividades Micro'!$B478=BM$2,'Atividades Micro'!$G478="Macro",'Atividades Micro'!$K478&lt;&gt;""),'Atividades Micro'!$K478,"")</f>
        <v/>
      </c>
      <c r="BN426" s="21" t="str">
        <f>IF(AND('Atividades Micro'!$B478=BN$2,'Atividades Micro'!$G478="Macro",'Atividades Micro'!$K478&lt;&gt;""),'Atividades Micro'!$K478,"")</f>
        <v/>
      </c>
      <c r="BO426" s="21" t="str">
        <f>IF(AND('Atividades Micro'!$B478=BO$2,'Atividades Micro'!$G478="Macro",'Atividades Micro'!$K478&lt;&gt;""),'Atividades Micro'!$K478,"")</f>
        <v/>
      </c>
      <c r="BP426" s="21" t="str">
        <f>IF(AND('Atividades Micro'!$B478=BP$2,'Atividades Micro'!$G478="Macro",'Atividades Micro'!$K478&lt;&gt;""),'Atividades Micro'!$K478,"")</f>
        <v/>
      </c>
      <c r="BQ426" s="21" t="str">
        <f>IF(AND('Atividades Micro'!$B478=BQ$2,'Atividades Micro'!$G478="Macro",'Atividades Micro'!$K478&lt;&gt;""),'Atividades Micro'!$K478,"")</f>
        <v/>
      </c>
      <c r="BR426" s="21" t="str">
        <f>IF(AND('Atividades Micro'!$B478=BR$2,'Atividades Micro'!$G478="Macro",'Atividades Micro'!$K478&lt;&gt;""),'Atividades Micro'!$K478,"")</f>
        <v/>
      </c>
      <c r="BS426" s="21" t="str">
        <f>IF(AND('Atividades Micro'!$B478=BS$2,'Atividades Micro'!$G478="Macro",'Atividades Micro'!$K478&lt;&gt;""),'Atividades Micro'!$K478,"")</f>
        <v/>
      </c>
      <c r="BT426" s="21" t="str">
        <f>IF(AND('Atividades Micro'!$B478=BT$2,'Atividades Micro'!$G478="Macro",'Atividades Micro'!$K478&lt;&gt;""),'Atividades Micro'!$K478,"")</f>
        <v/>
      </c>
      <c r="BU426" s="21" t="str">
        <f>IF(AND('Atividades Micro'!$B478=BU$2,'Atividades Micro'!$G478="Macro",'Atividades Micro'!$K478&lt;&gt;""),'Atividades Micro'!$K478,"")</f>
        <v/>
      </c>
      <c r="BV426" s="21" t="str">
        <f>IF(AND('Atividades Micro'!$B478=BV$2,'Atividades Micro'!$G478="Macro",'Atividades Micro'!$K478&lt;&gt;""),'Atividades Micro'!$K478,"")</f>
        <v/>
      </c>
      <c r="BW426" s="21" t="str">
        <f>IF(AND('Atividades Micro'!$B478=BW$2,'Atividades Micro'!$G478="Macro",'Atividades Micro'!$K478&lt;&gt;""),'Atividades Micro'!$K478,"")</f>
        <v/>
      </c>
      <c r="BX426" s="21" t="str">
        <f>IF(AND('Atividades Micro'!$B478=BX$2,'Atividades Micro'!$G478="Macro",'Atividades Micro'!$K478&lt;&gt;""),'Atividades Micro'!$K478,"")</f>
        <v/>
      </c>
      <c r="BY426" s="21" t="str">
        <f>IF(AND('Atividades Micro'!$B478=BY$2,'Atividades Micro'!$G478="Macro",'Atividades Micro'!$K478&lt;&gt;""),'Atividades Micro'!$K478,"")</f>
        <v/>
      </c>
      <c r="BZ426" s="21" t="str">
        <f>IF(AND('Atividades Micro'!$B478=BZ$2,'Atividades Micro'!$G478="Macro",'Atividades Micro'!$K478&lt;&gt;""),'Atividades Micro'!$K478,"")</f>
        <v/>
      </c>
      <c r="CA426" s="21" t="str">
        <f>IF(AND('Atividades Micro'!$B478=CA$2,'Atividades Micro'!$G478="Macro",'Atividades Micro'!$K478&lt;&gt;""),'Atividades Micro'!$K478,"")</f>
        <v/>
      </c>
      <c r="CB426" s="21" t="str">
        <f>IF(AND('Atividades Micro'!$B478=CB$2,'Atividades Micro'!$G478="Macro",'Atividades Micro'!$K478&lt;&gt;""),'Atividades Micro'!$K478,"")</f>
        <v/>
      </c>
      <c r="CC426" s="21" t="str">
        <f>IF(AND('Atividades Micro'!$B478=CC$2,'Atividades Micro'!$G478="Macro",'Atividades Micro'!$K478&lt;&gt;""),'Atividades Micro'!$K478,"")</f>
        <v/>
      </c>
      <c r="CD426" s="21" t="str">
        <f>IF(AND('Atividades Micro'!$B478=CD$2,'Atividades Micro'!$G478="Micro",'Atividades Micro'!$K478&lt;&gt;""),'Atividades Micro'!$K478,"")</f>
        <v/>
      </c>
      <c r="CE426" s="21" t="str">
        <f>IF(AND('Atividades Micro'!$B478=CE$2,'Atividades Micro'!$G478="Micro",'Atividades Micro'!$K478&lt;&gt;""),'Atividades Micro'!$K478,"")</f>
        <v/>
      </c>
      <c r="CF426" s="21" t="str">
        <f>IF(AND('Atividades Micro'!$B478=CF$2,'Atividades Micro'!$G478="Micro",'Atividades Micro'!$K478&lt;&gt;""),'Atividades Micro'!$K478,"")</f>
        <v/>
      </c>
      <c r="CG426" s="21" t="str">
        <f>IF(AND('Atividades Micro'!$B478=CG$2,'Atividades Micro'!$G478="Micro",'Atividades Micro'!$K478&lt;&gt;""),'Atividades Micro'!$K478,"")</f>
        <v/>
      </c>
      <c r="CH426" s="21" t="str">
        <f>IF(AND('Atividades Micro'!$B478=CH$2,'Atividades Micro'!$G478="Micro",'Atividades Micro'!$K478&lt;&gt;""),'Atividades Micro'!$K478,"")</f>
        <v/>
      </c>
      <c r="CI426" s="21" t="str">
        <f>IF(AND('Atividades Micro'!$B478=CI$2,'Atividades Micro'!$G478="Micro",'Atividades Micro'!$K478&lt;&gt;""),'Atividades Micro'!$K478,"")</f>
        <v/>
      </c>
      <c r="CJ426" s="21" t="str">
        <f>IF(AND('Atividades Micro'!$B478=CJ$2,'Atividades Micro'!$G478="Micro",'Atividades Micro'!$K478&lt;&gt;""),'Atividades Micro'!$K478,"")</f>
        <v/>
      </c>
      <c r="CK426" s="21" t="str">
        <f>IF(AND('Atividades Micro'!$B478=CK$2,'Atividades Micro'!$G478="Micro",'Atividades Micro'!$K478&lt;&gt;""),'Atividades Micro'!$K478,"")</f>
        <v/>
      </c>
      <c r="CL426" s="21" t="str">
        <f>IF(AND('Atividades Micro'!$B478=CL$2,'Atividades Micro'!$G478="Micro",'Atividades Micro'!$K478&lt;&gt;""),'Atividades Micro'!$K478,"")</f>
        <v/>
      </c>
      <c r="CM426" s="21" t="str">
        <f>IF(AND('Atividades Micro'!$B478=CM$2,'Atividades Micro'!$G478="Micro",'Atividades Micro'!$K478&lt;&gt;""),'Atividades Micro'!$K478,"")</f>
        <v/>
      </c>
      <c r="CN426" s="21" t="str">
        <f>IF(AND('Atividades Micro'!$B478=CN$2,'Atividades Micro'!$G478="Micro",'Atividades Micro'!$K478&lt;&gt;""),'Atividades Micro'!$K478,"")</f>
        <v/>
      </c>
      <c r="CO426" s="21" t="str">
        <f>IF(AND('Atividades Micro'!$B478=CO$2,'Atividades Micro'!$G478="Micro",'Atividades Micro'!$K478&lt;&gt;""),'Atividades Micro'!$K478,"")</f>
        <v/>
      </c>
    </row>
    <row r="427" spans="1:93">
      <c r="A427" s="21" t="str">
        <f>IF(AND('Atividades Micro'!$A479=A$2,'Atividades Micro'!$K479&lt;&gt;""),'Atividades Micro'!$K479,"")</f>
        <v/>
      </c>
      <c r="B427" s="21" t="str">
        <f>IF(AND('Atividades Micro'!$A479=B$2,'Atividades Micro'!$L479&lt;&gt;""),'Atividades Micro'!$L479,"")</f>
        <v/>
      </c>
      <c r="C427" s="21" t="str">
        <f>IF(AND('Atividades Micro'!$A479=C$2,'Atividades Micro'!$K479&lt;&gt;""),'Atividades Micro'!$K479,"")</f>
        <v/>
      </c>
      <c r="D427" s="21" t="str">
        <f>IF(AND('Atividades Micro'!$A479=D$2,'Atividades Micro'!$L479&lt;&gt;""),'Atividades Micro'!$L479,"")</f>
        <v/>
      </c>
      <c r="E427" s="21" t="str">
        <f>IF(AND('Atividades Micro'!$A479=E$2,'Atividades Micro'!$K479&lt;&gt;""),'Atividades Micro'!$K479,"")</f>
        <v/>
      </c>
      <c r="F427" s="21" t="str">
        <f>IF(AND('Atividades Micro'!$A479=F$2,'Atividades Micro'!$L479&lt;&gt;""),'Atividades Micro'!$L479,"")</f>
        <v/>
      </c>
      <c r="G427" s="21" t="str">
        <f>IF(AND('Atividades Micro'!$A479=G$2,'Atividades Micro'!$K479&lt;&gt;""),'Atividades Micro'!$K479,"")</f>
        <v/>
      </c>
      <c r="H427" s="21" t="str">
        <f>IF(AND('Atividades Micro'!$A479=H$2,'Atividades Micro'!$L479&lt;&gt;""),'Atividades Micro'!$L479,"")</f>
        <v/>
      </c>
      <c r="I427" s="21" t="str">
        <f>IF(AND('Atividades Micro'!$A479=I$2,'Atividades Micro'!$K479&lt;&gt;""),'Atividades Micro'!$K479,"")</f>
        <v/>
      </c>
      <c r="J427" s="21" t="str">
        <f>IF(AND('Atividades Micro'!$A479=J$2,'Atividades Micro'!$L479&lt;&gt;""),'Atividades Micro'!$L479,"")</f>
        <v/>
      </c>
      <c r="K427" s="21" t="str">
        <f>IF(AND('Atividades Micro'!$B479=K$2,'Atividades Micro'!$K479&lt;&gt;""),'Atividades Micro'!$K479,"")</f>
        <v/>
      </c>
      <c r="L427" s="21" t="str">
        <f>IF(AND('Atividades Micro'!$B479=L$2,'Atividades Micro'!$L479&lt;&gt;""),'Atividades Micro'!$L479,"")</f>
        <v/>
      </c>
      <c r="M427" s="21" t="str">
        <f>IF(AND('Atividades Micro'!$B479=M$2,'Atividades Micro'!$K479&lt;&gt;""),'Atividades Micro'!$K479,"")</f>
        <v/>
      </c>
      <c r="N427" s="21" t="str">
        <f>IF(AND('Atividades Micro'!$B479=N$2,'Atividades Micro'!$L479&lt;&gt;""),'Atividades Micro'!$L479,"")</f>
        <v/>
      </c>
      <c r="O427" s="21" t="str">
        <f>IF(AND('Atividades Micro'!$A479=O$2,'Atividades Micro'!$K479&lt;&gt;""),'Atividades Micro'!$K479,"")</f>
        <v/>
      </c>
      <c r="P427" s="21" t="str">
        <f>IF(AND('Atividades Micro'!$A479=P$2,'Atividades Micro'!$L479&lt;&gt;""),'Atividades Micro'!$L479,"")</f>
        <v/>
      </c>
      <c r="Q427" s="21" t="str">
        <f>IF(AND('Atividades Micro'!$B479=Q$2,'Atividades Micro'!$K479&lt;&gt;""),'Atividades Micro'!$K479,"")</f>
        <v/>
      </c>
      <c r="R427" s="21" t="str">
        <f>IF(AND('Atividades Micro'!$B479=R$2,'Atividades Micro'!$L479&lt;&gt;""),'Atividades Micro'!$L479,"")</f>
        <v/>
      </c>
      <c r="S427" s="21" t="str">
        <f>IF(AND('Atividades Micro'!$A479=S$2,'Atividades Micro'!$K479&lt;&gt;""),'Atividades Micro'!$K479,"")</f>
        <v/>
      </c>
      <c r="T427" s="21" t="str">
        <f>IF(AND('Atividades Micro'!$A479=T$2,'Atividades Micro'!$L479&lt;&gt;""),'Atividades Micro'!$L479,"")</f>
        <v/>
      </c>
      <c r="U427" s="21" t="str">
        <f>IF(AND('Atividades Micro'!$B479=U$2,'Atividades Micro'!$K479&lt;&gt;""),'Atividades Micro'!$K479,"")</f>
        <v/>
      </c>
      <c r="V427" s="21" t="str">
        <f>IF(AND('Atividades Micro'!$B479=V$2,'Atividades Micro'!$L479&lt;&gt;""),'Atividades Micro'!$L479,"")</f>
        <v/>
      </c>
      <c r="W427" s="21" t="str">
        <f>IF(AND('Atividades Micro'!$B479=W$2,'Atividades Micro'!$K479&lt;&gt;""),'Atividades Micro'!$K479,"")</f>
        <v/>
      </c>
      <c r="X427" s="21" t="str">
        <f>IF(AND('Atividades Micro'!$B479=X$2,'Atividades Micro'!$L479&lt;&gt;""),'Atividades Micro'!$L479,"")</f>
        <v/>
      </c>
      <c r="Y427" s="21" t="str">
        <f>IF(AND('Atividades Micro'!$A479=Y$2,'Atividades Micro'!$K479&lt;&gt;""),'Atividades Micro'!$K479,"")</f>
        <v/>
      </c>
      <c r="Z427" s="21" t="str">
        <f>IF(AND('Atividades Micro'!$A479=Z$2,'Atividades Micro'!$L479&lt;&gt;""),'Atividades Micro'!$L479,"")</f>
        <v/>
      </c>
      <c r="AA427" s="21" t="str">
        <f>IF(AND('Atividades Micro'!$B479=AA$2,'Atividades Micro'!$K479&lt;&gt;""),'Atividades Micro'!$K479,"")</f>
        <v/>
      </c>
      <c r="AB427" s="21" t="str">
        <f>IF(AND('Atividades Micro'!$B479=AB$2,'Atividades Micro'!$L479&lt;&gt;""),'Atividades Micro'!$L479,"")</f>
        <v/>
      </c>
      <c r="AC427" s="21" t="str">
        <f>IF(AND('Atividades Micro'!$B479=AC$2,'Atividades Micro'!$K479&lt;&gt;""),'Atividades Micro'!$K479,"")</f>
        <v/>
      </c>
      <c r="AD427" s="21" t="str">
        <f>IF(AND('Atividades Micro'!$B479=AD$2,'Atividades Micro'!$L479&lt;&gt;""),'Atividades Micro'!$L479,"")</f>
        <v/>
      </c>
      <c r="AE427" s="21" t="str">
        <f>IF(AND('Atividades Micro'!$A479=AE$2,'Atividades Micro'!$K479&lt;&gt;""),'Atividades Micro'!$K479,"")</f>
        <v/>
      </c>
      <c r="AF427" s="21" t="str">
        <f>IF(AND('Atividades Micro'!$A479=AF$2,'Atividades Micro'!$L479&lt;&gt;""),'Atividades Micro'!$L479,"")</f>
        <v/>
      </c>
      <c r="AG427" s="21" t="str">
        <f>IF(AND('Atividades Micro'!$B479=AG$2,'Atividades Micro'!$K479&lt;&gt;""),'Atividades Micro'!$K479,"")</f>
        <v/>
      </c>
      <c r="AH427" s="21" t="str">
        <f>IF(AND('Atividades Micro'!$B479=AH$2,'Atividades Micro'!$L479&lt;&gt;""),'Atividades Micro'!$L479,"")</f>
        <v/>
      </c>
      <c r="AI427" s="21" t="str">
        <f>IF(AND('Atividades Micro'!$B479=AI$2,'Atividades Micro'!$K479&lt;&gt;""),'Atividades Micro'!$K479,"")</f>
        <v/>
      </c>
      <c r="AJ427" s="21" t="str">
        <f>IF(AND('Atividades Micro'!$B479=AJ$2,'Atividades Micro'!$L479&lt;&gt;""),'Atividades Micro'!$L479,"")</f>
        <v/>
      </c>
      <c r="AK427" s="21" t="str">
        <f>IF(AND('Atividades Micro'!$A479=AK$2,'Atividades Micro'!$K479&lt;&gt;""),'Atividades Micro'!$K479,"")</f>
        <v/>
      </c>
      <c r="AL427" s="21" t="str">
        <f>IF(AND('Atividades Micro'!$A479=AL$2,'Atividades Micro'!$L479&lt;&gt;""),'Atividades Micro'!$L479,"")</f>
        <v/>
      </c>
      <c r="AM427" s="21" t="str">
        <f>IF(AND('Atividades Micro'!$B479=AM$2,'Atividades Micro'!$K479&lt;&gt;""),'Atividades Micro'!$K479,"")</f>
        <v/>
      </c>
      <c r="AN427" s="21" t="str">
        <f>IF(AND('Atividades Micro'!$B479=AN$2,'Atividades Micro'!$L479&lt;&gt;""),'Atividades Micro'!$L479,"")</f>
        <v/>
      </c>
      <c r="AO427" s="21" t="str">
        <f>IF(AND('Atividades Micro'!$B479=AO$2,'Atividades Micro'!$K479&lt;&gt;""),'Atividades Micro'!$K479,"")</f>
        <v/>
      </c>
      <c r="AP427" s="21" t="str">
        <f>IF(AND('Atividades Micro'!$B479=AP$2,'Atividades Micro'!$L479&lt;&gt;""),'Atividades Micro'!$L479,"")</f>
        <v/>
      </c>
      <c r="AQ427" s="21" t="str">
        <f>IF(AND('Atividades Micro'!$A479=AQ$2,'Atividades Micro'!$K479&lt;&gt;""),'Atividades Micro'!$K479,"")</f>
        <v/>
      </c>
      <c r="AR427" s="21" t="str">
        <f>IF(AND('Atividades Micro'!$A479=AR$2,'Atividades Micro'!$L479&lt;&gt;""),'Atividades Micro'!$L479,"")</f>
        <v/>
      </c>
      <c r="AS427" s="21" t="str">
        <f>IF(AND('Atividades Micro'!$B479=AS$2,'Atividades Micro'!$K479&lt;&gt;""),'Atividades Micro'!$K479,"")</f>
        <v/>
      </c>
      <c r="AT427" s="21" t="str">
        <f>IF(AND('Atividades Micro'!$B479=AT$2,'Atividades Micro'!$L479&lt;&gt;""),'Atividades Micro'!$L479,"")</f>
        <v/>
      </c>
      <c r="AU427" s="21" t="str">
        <f>IF(AND('Atividades Micro'!$A479=AU$2,'Atividades Micro'!$K479&lt;&gt;""),'Atividades Micro'!$K479,"")</f>
        <v/>
      </c>
      <c r="AV427" s="21" t="str">
        <f>IF(AND('Atividades Micro'!$A479=AV$2,'Atividades Micro'!$L479&lt;&gt;""),'Atividades Micro'!$L479,"")</f>
        <v/>
      </c>
      <c r="AW427" s="21" t="str">
        <f>IF(AND('Atividades Micro'!$B479=AW$2,'Atividades Micro'!$K479&lt;&gt;""),'Atividades Micro'!$K479,"")</f>
        <v/>
      </c>
      <c r="AX427" s="21" t="str">
        <f>IF(AND('Atividades Micro'!$B479=AX$2,'Atividades Micro'!$L479&lt;&gt;""),'Atividades Micro'!$L479,"")</f>
        <v/>
      </c>
      <c r="AY427" s="21" t="str">
        <f>IF(AND('Atividades Micro'!$A479=AY$2,'Atividades Micro'!$K479&lt;&gt;""),'Atividades Micro'!$K479,"")</f>
        <v/>
      </c>
      <c r="AZ427" s="21" t="str">
        <f>IF(AND('Atividades Micro'!$A479=AZ$2,'Atividades Micro'!$L479&lt;&gt;""),'Atividades Micro'!$L479,"")</f>
        <v/>
      </c>
      <c r="BA427" s="21" t="str">
        <f>IF(AND('Atividades Micro'!$B479=BA$2,'Atividades Micro'!$K479&lt;&gt;""),'Atividades Micro'!$K479,"")</f>
        <v/>
      </c>
      <c r="BB427" s="21" t="str">
        <f>IF(AND('Atividades Micro'!$B479=BB$2,'Atividades Micro'!$L479&lt;&gt;""),'Atividades Micro'!$L479,"")</f>
        <v/>
      </c>
      <c r="BC427" s="21" t="str">
        <f>IF(AND('Atividades Micro'!$B479=BC$2,'Atividades Micro'!$G479="Macro",'Atividades Micro'!$K479&lt;&gt;""),'Atividades Micro'!$K479,"")</f>
        <v/>
      </c>
      <c r="BD427" s="21" t="str">
        <f>IF(AND('Atividades Micro'!$B479=BD$2,'Atividades Micro'!$G479="Macro",'Atividades Micro'!$K479&lt;&gt;""),'Atividades Micro'!$K479,"")</f>
        <v/>
      </c>
      <c r="BE427" s="21" t="str">
        <f>IF(AND('Atividades Micro'!$B479=BE$2,'Atividades Micro'!$G479="Macro",'Atividades Micro'!$K479&lt;&gt;""),'Atividades Micro'!$K479,"")</f>
        <v/>
      </c>
      <c r="BF427" s="21" t="str">
        <f>IF(AND('Atividades Micro'!$B479=BF$2,'Atividades Micro'!$G479="Macro",'Atividades Micro'!$K479&lt;&gt;""),'Atividades Micro'!$K479,"")</f>
        <v/>
      </c>
      <c r="BG427" s="21" t="str">
        <f>IF(AND('Atividades Micro'!$B479=BG$2,'Atividades Micro'!$G479="Macro",'Atividades Micro'!$K479&lt;&gt;""),'Atividades Micro'!$K479,"")</f>
        <v/>
      </c>
      <c r="BH427" s="21" t="str">
        <f>IF(AND('Atividades Micro'!$B479=BH$2,'Atividades Micro'!$G479="Macro",'Atividades Micro'!$K479&lt;&gt;""),'Atividades Micro'!$K479,"")</f>
        <v/>
      </c>
      <c r="BI427" s="21" t="str">
        <f>IF(AND('Atividades Micro'!$B479=BI$2,'Atividades Micro'!$G479="Macro",'Atividades Micro'!$K479&lt;&gt;""),'Atividades Micro'!$K479,"")</f>
        <v/>
      </c>
      <c r="BJ427" s="21" t="str">
        <f>IF(AND('Atividades Micro'!$B479=BJ$2,'Atividades Micro'!$G479="Macro",'Atividades Micro'!$K479&lt;&gt;""),'Atividades Micro'!$K479,"")</f>
        <v/>
      </c>
      <c r="BK427" s="21" t="str">
        <f>IF(AND('Atividades Micro'!$B479=BK$2,'Atividades Micro'!$G479="Macro",'Atividades Micro'!$K479&lt;&gt;""),'Atividades Micro'!$K479,"")</f>
        <v/>
      </c>
      <c r="BL427" s="21" t="str">
        <f>IF(AND('Atividades Micro'!$B479=BL$2,'Atividades Micro'!$G479="Macro",'Atividades Micro'!$K479&lt;&gt;""),'Atividades Micro'!$K479,"")</f>
        <v/>
      </c>
      <c r="BM427" s="21" t="str">
        <f>IF(AND('Atividades Micro'!$B479=BM$2,'Atividades Micro'!$G479="Macro",'Atividades Micro'!$K479&lt;&gt;""),'Atividades Micro'!$K479,"")</f>
        <v/>
      </c>
      <c r="BN427" s="21" t="str">
        <f>IF(AND('Atividades Micro'!$B479=BN$2,'Atividades Micro'!$G479="Macro",'Atividades Micro'!$K479&lt;&gt;""),'Atividades Micro'!$K479,"")</f>
        <v/>
      </c>
      <c r="BO427" s="21" t="str">
        <f>IF(AND('Atividades Micro'!$B479=BO$2,'Atividades Micro'!$G479="Macro",'Atividades Micro'!$K479&lt;&gt;""),'Atividades Micro'!$K479,"")</f>
        <v/>
      </c>
      <c r="BP427" s="21" t="str">
        <f>IF(AND('Atividades Micro'!$B479=BP$2,'Atividades Micro'!$G479="Macro",'Atividades Micro'!$K479&lt;&gt;""),'Atividades Micro'!$K479,"")</f>
        <v/>
      </c>
      <c r="BQ427" s="21" t="str">
        <f>IF(AND('Atividades Micro'!$B479=BQ$2,'Atividades Micro'!$G479="Macro",'Atividades Micro'!$K479&lt;&gt;""),'Atividades Micro'!$K479,"")</f>
        <v/>
      </c>
      <c r="BR427" s="21" t="str">
        <f>IF(AND('Atividades Micro'!$B479=BR$2,'Atividades Micro'!$G479="Macro",'Atividades Micro'!$K479&lt;&gt;""),'Atividades Micro'!$K479,"")</f>
        <v/>
      </c>
      <c r="BS427" s="21" t="str">
        <f>IF(AND('Atividades Micro'!$B479=BS$2,'Atividades Micro'!$G479="Macro",'Atividades Micro'!$K479&lt;&gt;""),'Atividades Micro'!$K479,"")</f>
        <v/>
      </c>
      <c r="BT427" s="21" t="str">
        <f>IF(AND('Atividades Micro'!$B479=BT$2,'Atividades Micro'!$G479="Macro",'Atividades Micro'!$K479&lt;&gt;""),'Atividades Micro'!$K479,"")</f>
        <v/>
      </c>
      <c r="BU427" s="21" t="str">
        <f>IF(AND('Atividades Micro'!$B479=BU$2,'Atividades Micro'!$G479="Macro",'Atividades Micro'!$K479&lt;&gt;""),'Atividades Micro'!$K479,"")</f>
        <v/>
      </c>
      <c r="BV427" s="21" t="str">
        <f>IF(AND('Atividades Micro'!$B479=BV$2,'Atividades Micro'!$G479="Macro",'Atividades Micro'!$K479&lt;&gt;""),'Atividades Micro'!$K479,"")</f>
        <v/>
      </c>
      <c r="BW427" s="21" t="str">
        <f>IF(AND('Atividades Micro'!$B479=BW$2,'Atividades Micro'!$G479="Macro",'Atividades Micro'!$K479&lt;&gt;""),'Atividades Micro'!$K479,"")</f>
        <v/>
      </c>
      <c r="BX427" s="21" t="str">
        <f>IF(AND('Atividades Micro'!$B479=BX$2,'Atividades Micro'!$G479="Macro",'Atividades Micro'!$K479&lt;&gt;""),'Atividades Micro'!$K479,"")</f>
        <v/>
      </c>
      <c r="BY427" s="21" t="str">
        <f>IF(AND('Atividades Micro'!$B479=BY$2,'Atividades Micro'!$G479="Macro",'Atividades Micro'!$K479&lt;&gt;""),'Atividades Micro'!$K479,"")</f>
        <v/>
      </c>
      <c r="BZ427" s="21" t="str">
        <f>IF(AND('Atividades Micro'!$B479=BZ$2,'Atividades Micro'!$G479="Macro",'Atividades Micro'!$K479&lt;&gt;""),'Atividades Micro'!$K479,"")</f>
        <v/>
      </c>
      <c r="CA427" s="21" t="str">
        <f>IF(AND('Atividades Micro'!$B479=CA$2,'Atividades Micro'!$G479="Macro",'Atividades Micro'!$K479&lt;&gt;""),'Atividades Micro'!$K479,"")</f>
        <v/>
      </c>
      <c r="CB427" s="21" t="str">
        <f>IF(AND('Atividades Micro'!$B479=CB$2,'Atividades Micro'!$G479="Macro",'Atividades Micro'!$K479&lt;&gt;""),'Atividades Micro'!$K479,"")</f>
        <v/>
      </c>
      <c r="CC427" s="21" t="str">
        <f>IF(AND('Atividades Micro'!$B479=CC$2,'Atividades Micro'!$G479="Macro",'Atividades Micro'!$K479&lt;&gt;""),'Atividades Micro'!$K479,"")</f>
        <v/>
      </c>
      <c r="CD427" s="21" t="str">
        <f>IF(AND('Atividades Micro'!$B479=CD$2,'Atividades Micro'!$G479="Micro",'Atividades Micro'!$K479&lt;&gt;""),'Atividades Micro'!$K479,"")</f>
        <v/>
      </c>
      <c r="CE427" s="21" t="str">
        <f>IF(AND('Atividades Micro'!$B479=CE$2,'Atividades Micro'!$G479="Micro",'Atividades Micro'!$K479&lt;&gt;""),'Atividades Micro'!$K479,"")</f>
        <v/>
      </c>
      <c r="CF427" s="21" t="str">
        <f>IF(AND('Atividades Micro'!$B479=CF$2,'Atividades Micro'!$G479="Micro",'Atividades Micro'!$K479&lt;&gt;""),'Atividades Micro'!$K479,"")</f>
        <v/>
      </c>
      <c r="CG427" s="21" t="str">
        <f>IF(AND('Atividades Micro'!$B479=CG$2,'Atividades Micro'!$G479="Micro",'Atividades Micro'!$K479&lt;&gt;""),'Atividades Micro'!$K479,"")</f>
        <v/>
      </c>
      <c r="CH427" s="21" t="str">
        <f>IF(AND('Atividades Micro'!$B479=CH$2,'Atividades Micro'!$G479="Micro",'Atividades Micro'!$K479&lt;&gt;""),'Atividades Micro'!$K479,"")</f>
        <v/>
      </c>
      <c r="CI427" s="21" t="str">
        <f>IF(AND('Atividades Micro'!$B479=CI$2,'Atividades Micro'!$G479="Micro",'Atividades Micro'!$K479&lt;&gt;""),'Atividades Micro'!$K479,"")</f>
        <v/>
      </c>
      <c r="CJ427" s="21" t="str">
        <f>IF(AND('Atividades Micro'!$B479=CJ$2,'Atividades Micro'!$G479="Micro",'Atividades Micro'!$K479&lt;&gt;""),'Atividades Micro'!$K479,"")</f>
        <v/>
      </c>
      <c r="CK427" s="21" t="str">
        <f>IF(AND('Atividades Micro'!$B479=CK$2,'Atividades Micro'!$G479="Micro",'Atividades Micro'!$K479&lt;&gt;""),'Atividades Micro'!$K479,"")</f>
        <v/>
      </c>
      <c r="CL427" s="21" t="str">
        <f>IF(AND('Atividades Micro'!$B479=CL$2,'Atividades Micro'!$G479="Micro",'Atividades Micro'!$K479&lt;&gt;""),'Atividades Micro'!$K479,"")</f>
        <v/>
      </c>
      <c r="CM427" s="21" t="str">
        <f>IF(AND('Atividades Micro'!$B479=CM$2,'Atividades Micro'!$G479="Micro",'Atividades Micro'!$K479&lt;&gt;""),'Atividades Micro'!$K479,"")</f>
        <v/>
      </c>
      <c r="CN427" s="21" t="str">
        <f>IF(AND('Atividades Micro'!$B479=CN$2,'Atividades Micro'!$G479="Micro",'Atividades Micro'!$K479&lt;&gt;""),'Atividades Micro'!$K479,"")</f>
        <v/>
      </c>
      <c r="CO427" s="21" t="str">
        <f>IF(AND('Atividades Micro'!$B479=CO$2,'Atividades Micro'!$G479="Micro",'Atividades Micro'!$K479&lt;&gt;""),'Atividades Micro'!$K479,"")</f>
        <v/>
      </c>
    </row>
    <row r="428" spans="1:93">
      <c r="A428" s="21" t="str">
        <f>IF(AND('Atividades Micro'!$A480=A$2,'Atividades Micro'!$K480&lt;&gt;""),'Atividades Micro'!$K480,"")</f>
        <v/>
      </c>
      <c r="B428" s="21" t="str">
        <f>IF(AND('Atividades Micro'!$A480=B$2,'Atividades Micro'!$L480&lt;&gt;""),'Atividades Micro'!$L480,"")</f>
        <v/>
      </c>
      <c r="C428" s="21" t="str">
        <f>IF(AND('Atividades Micro'!$A480=C$2,'Atividades Micro'!$K480&lt;&gt;""),'Atividades Micro'!$K480,"")</f>
        <v/>
      </c>
      <c r="D428" s="21" t="str">
        <f>IF(AND('Atividades Micro'!$A480=D$2,'Atividades Micro'!$L480&lt;&gt;""),'Atividades Micro'!$L480,"")</f>
        <v/>
      </c>
      <c r="E428" s="21" t="str">
        <f>IF(AND('Atividades Micro'!$A480=E$2,'Atividades Micro'!$K480&lt;&gt;""),'Atividades Micro'!$K480,"")</f>
        <v/>
      </c>
      <c r="F428" s="21" t="str">
        <f>IF(AND('Atividades Micro'!$A480=F$2,'Atividades Micro'!$L480&lt;&gt;""),'Atividades Micro'!$L480,"")</f>
        <v/>
      </c>
      <c r="G428" s="21" t="str">
        <f>IF(AND('Atividades Micro'!$A480=G$2,'Atividades Micro'!$K480&lt;&gt;""),'Atividades Micro'!$K480,"")</f>
        <v/>
      </c>
      <c r="H428" s="21" t="str">
        <f>IF(AND('Atividades Micro'!$A480=H$2,'Atividades Micro'!$L480&lt;&gt;""),'Atividades Micro'!$L480,"")</f>
        <v/>
      </c>
      <c r="I428" s="21" t="str">
        <f>IF(AND('Atividades Micro'!$A480=I$2,'Atividades Micro'!$K480&lt;&gt;""),'Atividades Micro'!$K480,"")</f>
        <v/>
      </c>
      <c r="J428" s="21" t="str">
        <f>IF(AND('Atividades Micro'!$A480=J$2,'Atividades Micro'!$L480&lt;&gt;""),'Atividades Micro'!$L480,"")</f>
        <v/>
      </c>
      <c r="K428" s="21" t="str">
        <f>IF(AND('Atividades Micro'!$B480=K$2,'Atividades Micro'!$K480&lt;&gt;""),'Atividades Micro'!$K480,"")</f>
        <v/>
      </c>
      <c r="L428" s="21" t="str">
        <f>IF(AND('Atividades Micro'!$B480=L$2,'Atividades Micro'!$L480&lt;&gt;""),'Atividades Micro'!$L480,"")</f>
        <v/>
      </c>
      <c r="M428" s="21" t="str">
        <f>IF(AND('Atividades Micro'!$B480=M$2,'Atividades Micro'!$K480&lt;&gt;""),'Atividades Micro'!$K480,"")</f>
        <v/>
      </c>
      <c r="N428" s="21" t="str">
        <f>IF(AND('Atividades Micro'!$B480=N$2,'Atividades Micro'!$L480&lt;&gt;""),'Atividades Micro'!$L480,"")</f>
        <v/>
      </c>
      <c r="O428" s="21" t="str">
        <f>IF(AND('Atividades Micro'!$A480=O$2,'Atividades Micro'!$K480&lt;&gt;""),'Atividades Micro'!$K480,"")</f>
        <v/>
      </c>
      <c r="P428" s="21" t="str">
        <f>IF(AND('Atividades Micro'!$A480=P$2,'Atividades Micro'!$L480&lt;&gt;""),'Atividades Micro'!$L480,"")</f>
        <v/>
      </c>
      <c r="Q428" s="21" t="str">
        <f>IF(AND('Atividades Micro'!$B480=Q$2,'Atividades Micro'!$K480&lt;&gt;""),'Atividades Micro'!$K480,"")</f>
        <v/>
      </c>
      <c r="R428" s="21" t="str">
        <f>IF(AND('Atividades Micro'!$B480=R$2,'Atividades Micro'!$L480&lt;&gt;""),'Atividades Micro'!$L480,"")</f>
        <v/>
      </c>
      <c r="S428" s="21" t="str">
        <f>IF(AND('Atividades Micro'!$A480=S$2,'Atividades Micro'!$K480&lt;&gt;""),'Atividades Micro'!$K480,"")</f>
        <v/>
      </c>
      <c r="T428" s="21" t="str">
        <f>IF(AND('Atividades Micro'!$A480=T$2,'Atividades Micro'!$L480&lt;&gt;""),'Atividades Micro'!$L480,"")</f>
        <v/>
      </c>
      <c r="U428" s="21" t="str">
        <f>IF(AND('Atividades Micro'!$B480=U$2,'Atividades Micro'!$K480&lt;&gt;""),'Atividades Micro'!$K480,"")</f>
        <v/>
      </c>
      <c r="V428" s="21" t="str">
        <f>IF(AND('Atividades Micro'!$B480=V$2,'Atividades Micro'!$L480&lt;&gt;""),'Atividades Micro'!$L480,"")</f>
        <v/>
      </c>
      <c r="W428" s="21" t="str">
        <f>IF(AND('Atividades Micro'!$B480=W$2,'Atividades Micro'!$K480&lt;&gt;""),'Atividades Micro'!$K480,"")</f>
        <v/>
      </c>
      <c r="X428" s="21" t="str">
        <f>IF(AND('Atividades Micro'!$B480=X$2,'Atividades Micro'!$L480&lt;&gt;""),'Atividades Micro'!$L480,"")</f>
        <v/>
      </c>
      <c r="Y428" s="21" t="str">
        <f>IF(AND('Atividades Micro'!$A480=Y$2,'Atividades Micro'!$K480&lt;&gt;""),'Atividades Micro'!$K480,"")</f>
        <v/>
      </c>
      <c r="Z428" s="21" t="str">
        <f>IF(AND('Atividades Micro'!$A480=Z$2,'Atividades Micro'!$L480&lt;&gt;""),'Atividades Micro'!$L480,"")</f>
        <v/>
      </c>
      <c r="AA428" s="21" t="str">
        <f>IF(AND('Atividades Micro'!$B480=AA$2,'Atividades Micro'!$K480&lt;&gt;""),'Atividades Micro'!$K480,"")</f>
        <v/>
      </c>
      <c r="AB428" s="21" t="str">
        <f>IF(AND('Atividades Micro'!$B480=AB$2,'Atividades Micro'!$L480&lt;&gt;""),'Atividades Micro'!$L480,"")</f>
        <v/>
      </c>
      <c r="AC428" s="21" t="str">
        <f>IF(AND('Atividades Micro'!$B480=AC$2,'Atividades Micro'!$K480&lt;&gt;""),'Atividades Micro'!$K480,"")</f>
        <v/>
      </c>
      <c r="AD428" s="21" t="str">
        <f>IF(AND('Atividades Micro'!$B480=AD$2,'Atividades Micro'!$L480&lt;&gt;""),'Atividades Micro'!$L480,"")</f>
        <v/>
      </c>
      <c r="AE428" s="21" t="str">
        <f>IF(AND('Atividades Micro'!$A480=AE$2,'Atividades Micro'!$K480&lt;&gt;""),'Atividades Micro'!$K480,"")</f>
        <v/>
      </c>
      <c r="AF428" s="21" t="str">
        <f>IF(AND('Atividades Micro'!$A480=AF$2,'Atividades Micro'!$L480&lt;&gt;""),'Atividades Micro'!$L480,"")</f>
        <v/>
      </c>
      <c r="AG428" s="21" t="str">
        <f>IF(AND('Atividades Micro'!$B480=AG$2,'Atividades Micro'!$K480&lt;&gt;""),'Atividades Micro'!$K480,"")</f>
        <v/>
      </c>
      <c r="AH428" s="21" t="str">
        <f>IF(AND('Atividades Micro'!$B480=AH$2,'Atividades Micro'!$L480&lt;&gt;""),'Atividades Micro'!$L480,"")</f>
        <v/>
      </c>
      <c r="AI428" s="21" t="str">
        <f>IF(AND('Atividades Micro'!$B480=AI$2,'Atividades Micro'!$K480&lt;&gt;""),'Atividades Micro'!$K480,"")</f>
        <v/>
      </c>
      <c r="AJ428" s="21" t="str">
        <f>IF(AND('Atividades Micro'!$B480=AJ$2,'Atividades Micro'!$L480&lt;&gt;""),'Atividades Micro'!$L480,"")</f>
        <v/>
      </c>
      <c r="AK428" s="21" t="str">
        <f>IF(AND('Atividades Micro'!$A480=AK$2,'Atividades Micro'!$K480&lt;&gt;""),'Atividades Micro'!$K480,"")</f>
        <v/>
      </c>
      <c r="AL428" s="21" t="str">
        <f>IF(AND('Atividades Micro'!$A480=AL$2,'Atividades Micro'!$L480&lt;&gt;""),'Atividades Micro'!$L480,"")</f>
        <v/>
      </c>
      <c r="AM428" s="21" t="str">
        <f>IF(AND('Atividades Micro'!$B480=AM$2,'Atividades Micro'!$K480&lt;&gt;""),'Atividades Micro'!$K480,"")</f>
        <v/>
      </c>
      <c r="AN428" s="21" t="str">
        <f>IF(AND('Atividades Micro'!$B480=AN$2,'Atividades Micro'!$L480&lt;&gt;""),'Atividades Micro'!$L480,"")</f>
        <v/>
      </c>
      <c r="AO428" s="21" t="str">
        <f>IF(AND('Atividades Micro'!$B480=AO$2,'Atividades Micro'!$K480&lt;&gt;""),'Atividades Micro'!$K480,"")</f>
        <v/>
      </c>
      <c r="AP428" s="21" t="str">
        <f>IF(AND('Atividades Micro'!$B480=AP$2,'Atividades Micro'!$L480&lt;&gt;""),'Atividades Micro'!$L480,"")</f>
        <v/>
      </c>
      <c r="AQ428" s="21" t="str">
        <f>IF(AND('Atividades Micro'!$A480=AQ$2,'Atividades Micro'!$K480&lt;&gt;""),'Atividades Micro'!$K480,"")</f>
        <v/>
      </c>
      <c r="AR428" s="21" t="str">
        <f>IF(AND('Atividades Micro'!$A480=AR$2,'Atividades Micro'!$L480&lt;&gt;""),'Atividades Micro'!$L480,"")</f>
        <v/>
      </c>
      <c r="AS428" s="21" t="str">
        <f>IF(AND('Atividades Micro'!$B480=AS$2,'Atividades Micro'!$K480&lt;&gt;""),'Atividades Micro'!$K480,"")</f>
        <v/>
      </c>
      <c r="AT428" s="21" t="str">
        <f>IF(AND('Atividades Micro'!$B480=AT$2,'Atividades Micro'!$L480&lt;&gt;""),'Atividades Micro'!$L480,"")</f>
        <v/>
      </c>
      <c r="AU428" s="21" t="str">
        <f>IF(AND('Atividades Micro'!$A480=AU$2,'Atividades Micro'!$K480&lt;&gt;""),'Atividades Micro'!$K480,"")</f>
        <v/>
      </c>
      <c r="AV428" s="21" t="str">
        <f>IF(AND('Atividades Micro'!$A480=AV$2,'Atividades Micro'!$L480&lt;&gt;""),'Atividades Micro'!$L480,"")</f>
        <v/>
      </c>
      <c r="AW428" s="21" t="str">
        <f>IF(AND('Atividades Micro'!$B480=AW$2,'Atividades Micro'!$K480&lt;&gt;""),'Atividades Micro'!$K480,"")</f>
        <v/>
      </c>
      <c r="AX428" s="21" t="str">
        <f>IF(AND('Atividades Micro'!$B480=AX$2,'Atividades Micro'!$L480&lt;&gt;""),'Atividades Micro'!$L480,"")</f>
        <v/>
      </c>
      <c r="AY428" s="21" t="str">
        <f>IF(AND('Atividades Micro'!$A480=AY$2,'Atividades Micro'!$K480&lt;&gt;""),'Atividades Micro'!$K480,"")</f>
        <v/>
      </c>
      <c r="AZ428" s="21" t="str">
        <f>IF(AND('Atividades Micro'!$A480=AZ$2,'Atividades Micro'!$L480&lt;&gt;""),'Atividades Micro'!$L480,"")</f>
        <v/>
      </c>
      <c r="BA428" s="21" t="str">
        <f>IF(AND('Atividades Micro'!$B480=BA$2,'Atividades Micro'!$K480&lt;&gt;""),'Atividades Micro'!$K480,"")</f>
        <v/>
      </c>
      <c r="BB428" s="21" t="str">
        <f>IF(AND('Atividades Micro'!$B480=BB$2,'Atividades Micro'!$L480&lt;&gt;""),'Atividades Micro'!$L480,"")</f>
        <v/>
      </c>
      <c r="BC428" s="21" t="str">
        <f>IF(AND('Atividades Micro'!$B480=BC$2,'Atividades Micro'!$G480="Macro",'Atividades Micro'!$K480&lt;&gt;""),'Atividades Micro'!$K480,"")</f>
        <v/>
      </c>
      <c r="BD428" s="21" t="str">
        <f>IF(AND('Atividades Micro'!$B480=BD$2,'Atividades Micro'!$G480="Macro",'Atividades Micro'!$K480&lt;&gt;""),'Atividades Micro'!$K480,"")</f>
        <v/>
      </c>
      <c r="BE428" s="21" t="str">
        <f>IF(AND('Atividades Micro'!$B480=BE$2,'Atividades Micro'!$G480="Macro",'Atividades Micro'!$K480&lt;&gt;""),'Atividades Micro'!$K480,"")</f>
        <v/>
      </c>
      <c r="BF428" s="21" t="str">
        <f>IF(AND('Atividades Micro'!$B480=BF$2,'Atividades Micro'!$G480="Macro",'Atividades Micro'!$K480&lt;&gt;""),'Atividades Micro'!$K480,"")</f>
        <v/>
      </c>
      <c r="BG428" s="21" t="str">
        <f>IF(AND('Atividades Micro'!$B480=BG$2,'Atividades Micro'!$G480="Macro",'Atividades Micro'!$K480&lt;&gt;""),'Atividades Micro'!$K480,"")</f>
        <v/>
      </c>
      <c r="BH428" s="21" t="str">
        <f>IF(AND('Atividades Micro'!$B480=BH$2,'Atividades Micro'!$G480="Macro",'Atividades Micro'!$K480&lt;&gt;""),'Atividades Micro'!$K480,"")</f>
        <v/>
      </c>
      <c r="BI428" s="21" t="str">
        <f>IF(AND('Atividades Micro'!$B480=BI$2,'Atividades Micro'!$G480="Macro",'Atividades Micro'!$K480&lt;&gt;""),'Atividades Micro'!$K480,"")</f>
        <v/>
      </c>
      <c r="BJ428" s="21" t="str">
        <f>IF(AND('Atividades Micro'!$B480=BJ$2,'Atividades Micro'!$G480="Macro",'Atividades Micro'!$K480&lt;&gt;""),'Atividades Micro'!$K480,"")</f>
        <v/>
      </c>
      <c r="BK428" s="21" t="str">
        <f>IF(AND('Atividades Micro'!$B480=BK$2,'Atividades Micro'!$G480="Macro",'Atividades Micro'!$K480&lt;&gt;""),'Atividades Micro'!$K480,"")</f>
        <v/>
      </c>
      <c r="BL428" s="21" t="str">
        <f>IF(AND('Atividades Micro'!$B480=BL$2,'Atividades Micro'!$G480="Macro",'Atividades Micro'!$K480&lt;&gt;""),'Atividades Micro'!$K480,"")</f>
        <v/>
      </c>
      <c r="BM428" s="21" t="str">
        <f>IF(AND('Atividades Micro'!$B480=BM$2,'Atividades Micro'!$G480="Macro",'Atividades Micro'!$K480&lt;&gt;""),'Atividades Micro'!$K480,"")</f>
        <v/>
      </c>
      <c r="BN428" s="21" t="str">
        <f>IF(AND('Atividades Micro'!$B480=BN$2,'Atividades Micro'!$G480="Macro",'Atividades Micro'!$K480&lt;&gt;""),'Atividades Micro'!$K480,"")</f>
        <v/>
      </c>
      <c r="BO428" s="21" t="str">
        <f>IF(AND('Atividades Micro'!$B480=BO$2,'Atividades Micro'!$G480="Macro",'Atividades Micro'!$K480&lt;&gt;""),'Atividades Micro'!$K480,"")</f>
        <v/>
      </c>
      <c r="BP428" s="21" t="str">
        <f>IF(AND('Atividades Micro'!$B480=BP$2,'Atividades Micro'!$G480="Macro",'Atividades Micro'!$K480&lt;&gt;""),'Atividades Micro'!$K480,"")</f>
        <v/>
      </c>
      <c r="BQ428" s="21" t="str">
        <f>IF(AND('Atividades Micro'!$B480=BQ$2,'Atividades Micro'!$G480="Macro",'Atividades Micro'!$K480&lt;&gt;""),'Atividades Micro'!$K480,"")</f>
        <v/>
      </c>
      <c r="BR428" s="21" t="str">
        <f>IF(AND('Atividades Micro'!$B480=BR$2,'Atividades Micro'!$G480="Macro",'Atividades Micro'!$K480&lt;&gt;""),'Atividades Micro'!$K480,"")</f>
        <v/>
      </c>
      <c r="BS428" s="21" t="str">
        <f>IF(AND('Atividades Micro'!$B480=BS$2,'Atividades Micro'!$G480="Macro",'Atividades Micro'!$K480&lt;&gt;""),'Atividades Micro'!$K480,"")</f>
        <v/>
      </c>
      <c r="BT428" s="21" t="str">
        <f>IF(AND('Atividades Micro'!$B480=BT$2,'Atividades Micro'!$G480="Macro",'Atividades Micro'!$K480&lt;&gt;""),'Atividades Micro'!$K480,"")</f>
        <v/>
      </c>
      <c r="BU428" s="21" t="str">
        <f>IF(AND('Atividades Micro'!$B480=BU$2,'Atividades Micro'!$G480="Macro",'Atividades Micro'!$K480&lt;&gt;""),'Atividades Micro'!$K480,"")</f>
        <v/>
      </c>
      <c r="BV428" s="21" t="str">
        <f>IF(AND('Atividades Micro'!$B480=BV$2,'Atividades Micro'!$G480="Macro",'Atividades Micro'!$K480&lt;&gt;""),'Atividades Micro'!$K480,"")</f>
        <v/>
      </c>
      <c r="BW428" s="21" t="str">
        <f>IF(AND('Atividades Micro'!$B480=BW$2,'Atividades Micro'!$G480="Macro",'Atividades Micro'!$K480&lt;&gt;""),'Atividades Micro'!$K480,"")</f>
        <v/>
      </c>
      <c r="BX428" s="21" t="str">
        <f>IF(AND('Atividades Micro'!$B480=BX$2,'Atividades Micro'!$G480="Macro",'Atividades Micro'!$K480&lt;&gt;""),'Atividades Micro'!$K480,"")</f>
        <v/>
      </c>
      <c r="BY428" s="21" t="str">
        <f>IF(AND('Atividades Micro'!$B480=BY$2,'Atividades Micro'!$G480="Macro",'Atividades Micro'!$K480&lt;&gt;""),'Atividades Micro'!$K480,"")</f>
        <v/>
      </c>
      <c r="BZ428" s="21" t="str">
        <f>IF(AND('Atividades Micro'!$B480=BZ$2,'Atividades Micro'!$G480="Macro",'Atividades Micro'!$K480&lt;&gt;""),'Atividades Micro'!$K480,"")</f>
        <v/>
      </c>
      <c r="CA428" s="21" t="str">
        <f>IF(AND('Atividades Micro'!$B480=CA$2,'Atividades Micro'!$G480="Macro",'Atividades Micro'!$K480&lt;&gt;""),'Atividades Micro'!$K480,"")</f>
        <v/>
      </c>
      <c r="CB428" s="21" t="str">
        <f>IF(AND('Atividades Micro'!$B480=CB$2,'Atividades Micro'!$G480="Macro",'Atividades Micro'!$K480&lt;&gt;""),'Atividades Micro'!$K480,"")</f>
        <v/>
      </c>
      <c r="CC428" s="21" t="str">
        <f>IF(AND('Atividades Micro'!$B480=CC$2,'Atividades Micro'!$G480="Macro",'Atividades Micro'!$K480&lt;&gt;""),'Atividades Micro'!$K480,"")</f>
        <v/>
      </c>
      <c r="CD428" s="21" t="str">
        <f>IF(AND('Atividades Micro'!$B480=CD$2,'Atividades Micro'!$G480="Micro",'Atividades Micro'!$K480&lt;&gt;""),'Atividades Micro'!$K480,"")</f>
        <v/>
      </c>
      <c r="CE428" s="21" t="str">
        <f>IF(AND('Atividades Micro'!$B480=CE$2,'Atividades Micro'!$G480="Micro",'Atividades Micro'!$K480&lt;&gt;""),'Atividades Micro'!$K480,"")</f>
        <v/>
      </c>
      <c r="CF428" s="21" t="str">
        <f>IF(AND('Atividades Micro'!$B480=CF$2,'Atividades Micro'!$G480="Micro",'Atividades Micro'!$K480&lt;&gt;""),'Atividades Micro'!$K480,"")</f>
        <v/>
      </c>
      <c r="CG428" s="21" t="str">
        <f>IF(AND('Atividades Micro'!$B480=CG$2,'Atividades Micro'!$G480="Micro",'Atividades Micro'!$K480&lt;&gt;""),'Atividades Micro'!$K480,"")</f>
        <v/>
      </c>
      <c r="CH428" s="21" t="str">
        <f>IF(AND('Atividades Micro'!$B480=CH$2,'Atividades Micro'!$G480="Micro",'Atividades Micro'!$K480&lt;&gt;""),'Atividades Micro'!$K480,"")</f>
        <v/>
      </c>
      <c r="CI428" s="21" t="str">
        <f>IF(AND('Atividades Micro'!$B480=CI$2,'Atividades Micro'!$G480="Micro",'Atividades Micro'!$K480&lt;&gt;""),'Atividades Micro'!$K480,"")</f>
        <v/>
      </c>
      <c r="CJ428" s="21" t="str">
        <f>IF(AND('Atividades Micro'!$B480=CJ$2,'Atividades Micro'!$G480="Micro",'Atividades Micro'!$K480&lt;&gt;""),'Atividades Micro'!$K480,"")</f>
        <v/>
      </c>
      <c r="CK428" s="21" t="str">
        <f>IF(AND('Atividades Micro'!$B480=CK$2,'Atividades Micro'!$G480="Micro",'Atividades Micro'!$K480&lt;&gt;""),'Atividades Micro'!$K480,"")</f>
        <v/>
      </c>
      <c r="CL428" s="21" t="str">
        <f>IF(AND('Atividades Micro'!$B480=CL$2,'Atividades Micro'!$G480="Micro",'Atividades Micro'!$K480&lt;&gt;""),'Atividades Micro'!$K480,"")</f>
        <v/>
      </c>
      <c r="CM428" s="21" t="str">
        <f>IF(AND('Atividades Micro'!$B480=CM$2,'Atividades Micro'!$G480="Micro",'Atividades Micro'!$K480&lt;&gt;""),'Atividades Micro'!$K480,"")</f>
        <v/>
      </c>
      <c r="CN428" s="21" t="str">
        <f>IF(AND('Atividades Micro'!$B480=CN$2,'Atividades Micro'!$G480="Micro",'Atividades Micro'!$K480&lt;&gt;""),'Atividades Micro'!$K480,"")</f>
        <v/>
      </c>
      <c r="CO428" s="21" t="str">
        <f>IF(AND('Atividades Micro'!$B480=CO$2,'Atividades Micro'!$G480="Micro",'Atividades Micro'!$K480&lt;&gt;""),'Atividades Micro'!$K480,"")</f>
        <v/>
      </c>
    </row>
    <row r="429" spans="1:93">
      <c r="A429" s="21" t="str">
        <f>IF(AND('Atividades Micro'!$A481=A$2,'Atividades Micro'!$K481&lt;&gt;""),'Atividades Micro'!$K481,"")</f>
        <v/>
      </c>
      <c r="B429" s="21" t="str">
        <f>IF(AND('Atividades Micro'!$A481=B$2,'Atividades Micro'!$L481&lt;&gt;""),'Atividades Micro'!$L481,"")</f>
        <v/>
      </c>
      <c r="C429" s="21" t="str">
        <f>IF(AND('Atividades Micro'!$A481=C$2,'Atividades Micro'!$K481&lt;&gt;""),'Atividades Micro'!$K481,"")</f>
        <v/>
      </c>
      <c r="D429" s="21" t="str">
        <f>IF(AND('Atividades Micro'!$A481=D$2,'Atividades Micro'!$L481&lt;&gt;""),'Atividades Micro'!$L481,"")</f>
        <v/>
      </c>
      <c r="E429" s="21" t="str">
        <f>IF(AND('Atividades Micro'!$A481=E$2,'Atividades Micro'!$K481&lt;&gt;""),'Atividades Micro'!$K481,"")</f>
        <v/>
      </c>
      <c r="F429" s="21" t="str">
        <f>IF(AND('Atividades Micro'!$A481=F$2,'Atividades Micro'!$L481&lt;&gt;""),'Atividades Micro'!$L481,"")</f>
        <v/>
      </c>
      <c r="G429" s="21" t="str">
        <f>IF(AND('Atividades Micro'!$A481=G$2,'Atividades Micro'!$K481&lt;&gt;""),'Atividades Micro'!$K481,"")</f>
        <v/>
      </c>
      <c r="H429" s="21" t="str">
        <f>IF(AND('Atividades Micro'!$A481=H$2,'Atividades Micro'!$L481&lt;&gt;""),'Atividades Micro'!$L481,"")</f>
        <v/>
      </c>
      <c r="I429" s="21" t="str">
        <f>IF(AND('Atividades Micro'!$A481=I$2,'Atividades Micro'!$K481&lt;&gt;""),'Atividades Micro'!$K481,"")</f>
        <v/>
      </c>
      <c r="J429" s="21" t="str">
        <f>IF(AND('Atividades Micro'!$A481=J$2,'Atividades Micro'!$L481&lt;&gt;""),'Atividades Micro'!$L481,"")</f>
        <v/>
      </c>
      <c r="K429" s="21" t="str">
        <f>IF(AND('Atividades Micro'!$B481=K$2,'Atividades Micro'!$K481&lt;&gt;""),'Atividades Micro'!$K481,"")</f>
        <v/>
      </c>
      <c r="L429" s="21" t="str">
        <f>IF(AND('Atividades Micro'!$B481=L$2,'Atividades Micro'!$L481&lt;&gt;""),'Atividades Micro'!$L481,"")</f>
        <v/>
      </c>
      <c r="M429" s="21" t="str">
        <f>IF(AND('Atividades Micro'!$B481=M$2,'Atividades Micro'!$K481&lt;&gt;""),'Atividades Micro'!$K481,"")</f>
        <v/>
      </c>
      <c r="N429" s="21" t="str">
        <f>IF(AND('Atividades Micro'!$B481=N$2,'Atividades Micro'!$L481&lt;&gt;""),'Atividades Micro'!$L481,"")</f>
        <v/>
      </c>
      <c r="O429" s="21" t="str">
        <f>IF(AND('Atividades Micro'!$A481=O$2,'Atividades Micro'!$K481&lt;&gt;""),'Atividades Micro'!$K481,"")</f>
        <v/>
      </c>
      <c r="P429" s="21" t="str">
        <f>IF(AND('Atividades Micro'!$A481=P$2,'Atividades Micro'!$L481&lt;&gt;""),'Atividades Micro'!$L481,"")</f>
        <v/>
      </c>
      <c r="Q429" s="21" t="str">
        <f>IF(AND('Atividades Micro'!$B481=Q$2,'Atividades Micro'!$K481&lt;&gt;""),'Atividades Micro'!$K481,"")</f>
        <v/>
      </c>
      <c r="R429" s="21" t="str">
        <f>IF(AND('Atividades Micro'!$B481=R$2,'Atividades Micro'!$L481&lt;&gt;""),'Atividades Micro'!$L481,"")</f>
        <v/>
      </c>
      <c r="S429" s="21" t="str">
        <f>IF(AND('Atividades Micro'!$A481=S$2,'Atividades Micro'!$K481&lt;&gt;""),'Atividades Micro'!$K481,"")</f>
        <v/>
      </c>
      <c r="T429" s="21" t="str">
        <f>IF(AND('Atividades Micro'!$A481=T$2,'Atividades Micro'!$L481&lt;&gt;""),'Atividades Micro'!$L481,"")</f>
        <v/>
      </c>
      <c r="U429" s="21" t="str">
        <f>IF(AND('Atividades Micro'!$B481=U$2,'Atividades Micro'!$K481&lt;&gt;""),'Atividades Micro'!$K481,"")</f>
        <v/>
      </c>
      <c r="V429" s="21" t="str">
        <f>IF(AND('Atividades Micro'!$B481=V$2,'Atividades Micro'!$L481&lt;&gt;""),'Atividades Micro'!$L481,"")</f>
        <v/>
      </c>
      <c r="W429" s="21" t="str">
        <f>IF(AND('Atividades Micro'!$B481=W$2,'Atividades Micro'!$K481&lt;&gt;""),'Atividades Micro'!$K481,"")</f>
        <v/>
      </c>
      <c r="X429" s="21" t="str">
        <f>IF(AND('Atividades Micro'!$B481=X$2,'Atividades Micro'!$L481&lt;&gt;""),'Atividades Micro'!$L481,"")</f>
        <v/>
      </c>
      <c r="Y429" s="21" t="str">
        <f>IF(AND('Atividades Micro'!$A481=Y$2,'Atividades Micro'!$K481&lt;&gt;""),'Atividades Micro'!$K481,"")</f>
        <v/>
      </c>
      <c r="Z429" s="21" t="str">
        <f>IF(AND('Atividades Micro'!$A481=Z$2,'Atividades Micro'!$L481&lt;&gt;""),'Atividades Micro'!$L481,"")</f>
        <v/>
      </c>
      <c r="AA429" s="21" t="str">
        <f>IF(AND('Atividades Micro'!$B481=AA$2,'Atividades Micro'!$K481&lt;&gt;""),'Atividades Micro'!$K481,"")</f>
        <v/>
      </c>
      <c r="AB429" s="21" t="str">
        <f>IF(AND('Atividades Micro'!$B481=AB$2,'Atividades Micro'!$L481&lt;&gt;""),'Atividades Micro'!$L481,"")</f>
        <v/>
      </c>
      <c r="AC429" s="21" t="str">
        <f>IF(AND('Atividades Micro'!$B481=AC$2,'Atividades Micro'!$K481&lt;&gt;""),'Atividades Micro'!$K481,"")</f>
        <v/>
      </c>
      <c r="AD429" s="21" t="str">
        <f>IF(AND('Atividades Micro'!$B481=AD$2,'Atividades Micro'!$L481&lt;&gt;""),'Atividades Micro'!$L481,"")</f>
        <v/>
      </c>
      <c r="AE429" s="21" t="str">
        <f>IF(AND('Atividades Micro'!$A481=AE$2,'Atividades Micro'!$K481&lt;&gt;""),'Atividades Micro'!$K481,"")</f>
        <v/>
      </c>
      <c r="AF429" s="21" t="str">
        <f>IF(AND('Atividades Micro'!$A481=AF$2,'Atividades Micro'!$L481&lt;&gt;""),'Atividades Micro'!$L481,"")</f>
        <v/>
      </c>
      <c r="AG429" s="21" t="str">
        <f>IF(AND('Atividades Micro'!$B481=AG$2,'Atividades Micro'!$K481&lt;&gt;""),'Atividades Micro'!$K481,"")</f>
        <v/>
      </c>
      <c r="AH429" s="21" t="str">
        <f>IF(AND('Atividades Micro'!$B481=AH$2,'Atividades Micro'!$L481&lt;&gt;""),'Atividades Micro'!$L481,"")</f>
        <v/>
      </c>
      <c r="AI429" s="21" t="str">
        <f>IF(AND('Atividades Micro'!$B481=AI$2,'Atividades Micro'!$K481&lt;&gt;""),'Atividades Micro'!$K481,"")</f>
        <v/>
      </c>
      <c r="AJ429" s="21" t="str">
        <f>IF(AND('Atividades Micro'!$B481=AJ$2,'Atividades Micro'!$L481&lt;&gt;""),'Atividades Micro'!$L481,"")</f>
        <v/>
      </c>
      <c r="AK429" s="21" t="str">
        <f>IF(AND('Atividades Micro'!$A481=AK$2,'Atividades Micro'!$K481&lt;&gt;""),'Atividades Micro'!$K481,"")</f>
        <v/>
      </c>
      <c r="AL429" s="21" t="str">
        <f>IF(AND('Atividades Micro'!$A481=AL$2,'Atividades Micro'!$L481&lt;&gt;""),'Atividades Micro'!$L481,"")</f>
        <v/>
      </c>
      <c r="AM429" s="21" t="str">
        <f>IF(AND('Atividades Micro'!$B481=AM$2,'Atividades Micro'!$K481&lt;&gt;""),'Atividades Micro'!$K481,"")</f>
        <v/>
      </c>
      <c r="AN429" s="21" t="str">
        <f>IF(AND('Atividades Micro'!$B481=AN$2,'Atividades Micro'!$L481&lt;&gt;""),'Atividades Micro'!$L481,"")</f>
        <v/>
      </c>
      <c r="AO429" s="21" t="str">
        <f>IF(AND('Atividades Micro'!$B481=AO$2,'Atividades Micro'!$K481&lt;&gt;""),'Atividades Micro'!$K481,"")</f>
        <v/>
      </c>
      <c r="AP429" s="21" t="str">
        <f>IF(AND('Atividades Micro'!$B481=AP$2,'Atividades Micro'!$L481&lt;&gt;""),'Atividades Micro'!$L481,"")</f>
        <v/>
      </c>
      <c r="AQ429" s="21" t="str">
        <f>IF(AND('Atividades Micro'!$A481=AQ$2,'Atividades Micro'!$K481&lt;&gt;""),'Atividades Micro'!$K481,"")</f>
        <v/>
      </c>
      <c r="AR429" s="21" t="str">
        <f>IF(AND('Atividades Micro'!$A481=AR$2,'Atividades Micro'!$L481&lt;&gt;""),'Atividades Micro'!$L481,"")</f>
        <v/>
      </c>
      <c r="AS429" s="21" t="str">
        <f>IF(AND('Atividades Micro'!$B481=AS$2,'Atividades Micro'!$K481&lt;&gt;""),'Atividades Micro'!$K481,"")</f>
        <v/>
      </c>
      <c r="AT429" s="21" t="str">
        <f>IF(AND('Atividades Micro'!$B481=AT$2,'Atividades Micro'!$L481&lt;&gt;""),'Atividades Micro'!$L481,"")</f>
        <v/>
      </c>
      <c r="AU429" s="21" t="str">
        <f>IF(AND('Atividades Micro'!$A481=AU$2,'Atividades Micro'!$K481&lt;&gt;""),'Atividades Micro'!$K481,"")</f>
        <v/>
      </c>
      <c r="AV429" s="21" t="str">
        <f>IF(AND('Atividades Micro'!$A481=AV$2,'Atividades Micro'!$L481&lt;&gt;""),'Atividades Micro'!$L481,"")</f>
        <v/>
      </c>
      <c r="AW429" s="21" t="str">
        <f>IF(AND('Atividades Micro'!$B481=AW$2,'Atividades Micro'!$K481&lt;&gt;""),'Atividades Micro'!$K481,"")</f>
        <v/>
      </c>
      <c r="AX429" s="21" t="str">
        <f>IF(AND('Atividades Micro'!$B481=AX$2,'Atividades Micro'!$L481&lt;&gt;""),'Atividades Micro'!$L481,"")</f>
        <v/>
      </c>
      <c r="AY429" s="21" t="str">
        <f>IF(AND('Atividades Micro'!$A481=AY$2,'Atividades Micro'!$K481&lt;&gt;""),'Atividades Micro'!$K481,"")</f>
        <v/>
      </c>
      <c r="AZ429" s="21" t="str">
        <f>IF(AND('Atividades Micro'!$A481=AZ$2,'Atividades Micro'!$L481&lt;&gt;""),'Atividades Micro'!$L481,"")</f>
        <v/>
      </c>
      <c r="BA429" s="21" t="str">
        <f>IF(AND('Atividades Micro'!$B481=BA$2,'Atividades Micro'!$K481&lt;&gt;""),'Atividades Micro'!$K481,"")</f>
        <v/>
      </c>
      <c r="BB429" s="21" t="str">
        <f>IF(AND('Atividades Micro'!$B481=BB$2,'Atividades Micro'!$L481&lt;&gt;""),'Atividades Micro'!$L481,"")</f>
        <v/>
      </c>
      <c r="BC429" s="21" t="str">
        <f>IF(AND('Atividades Micro'!$B481=BC$2,'Atividades Micro'!$G481="Macro",'Atividades Micro'!$K481&lt;&gt;""),'Atividades Micro'!$K481,"")</f>
        <v/>
      </c>
      <c r="BD429" s="21" t="str">
        <f>IF(AND('Atividades Micro'!$B481=BD$2,'Atividades Micro'!$G481="Macro",'Atividades Micro'!$K481&lt;&gt;""),'Atividades Micro'!$K481,"")</f>
        <v/>
      </c>
      <c r="BE429" s="21" t="str">
        <f>IF(AND('Atividades Micro'!$B481=BE$2,'Atividades Micro'!$G481="Macro",'Atividades Micro'!$K481&lt;&gt;""),'Atividades Micro'!$K481,"")</f>
        <v/>
      </c>
      <c r="BF429" s="21" t="str">
        <f>IF(AND('Atividades Micro'!$B481=BF$2,'Atividades Micro'!$G481="Macro",'Atividades Micro'!$K481&lt;&gt;""),'Atividades Micro'!$K481,"")</f>
        <v/>
      </c>
      <c r="BG429" s="21" t="str">
        <f>IF(AND('Atividades Micro'!$B481=BG$2,'Atividades Micro'!$G481="Macro",'Atividades Micro'!$K481&lt;&gt;""),'Atividades Micro'!$K481,"")</f>
        <v/>
      </c>
      <c r="BH429" s="21" t="str">
        <f>IF(AND('Atividades Micro'!$B481=BH$2,'Atividades Micro'!$G481="Macro",'Atividades Micro'!$K481&lt;&gt;""),'Atividades Micro'!$K481,"")</f>
        <v/>
      </c>
      <c r="BI429" s="21" t="str">
        <f>IF(AND('Atividades Micro'!$B481=BI$2,'Atividades Micro'!$G481="Macro",'Atividades Micro'!$K481&lt;&gt;""),'Atividades Micro'!$K481,"")</f>
        <v/>
      </c>
      <c r="BJ429" s="21" t="str">
        <f>IF(AND('Atividades Micro'!$B481=BJ$2,'Atividades Micro'!$G481="Macro",'Atividades Micro'!$K481&lt;&gt;""),'Atividades Micro'!$K481,"")</f>
        <v/>
      </c>
      <c r="BK429" s="21" t="str">
        <f>IF(AND('Atividades Micro'!$B481=BK$2,'Atividades Micro'!$G481="Macro",'Atividades Micro'!$K481&lt;&gt;""),'Atividades Micro'!$K481,"")</f>
        <v/>
      </c>
      <c r="BL429" s="21" t="str">
        <f>IF(AND('Atividades Micro'!$B481=BL$2,'Atividades Micro'!$G481="Macro",'Atividades Micro'!$K481&lt;&gt;""),'Atividades Micro'!$K481,"")</f>
        <v/>
      </c>
      <c r="BM429" s="21" t="str">
        <f>IF(AND('Atividades Micro'!$B481=BM$2,'Atividades Micro'!$G481="Macro",'Atividades Micro'!$K481&lt;&gt;""),'Atividades Micro'!$K481,"")</f>
        <v/>
      </c>
      <c r="BN429" s="21" t="str">
        <f>IF(AND('Atividades Micro'!$B481=BN$2,'Atividades Micro'!$G481="Macro",'Atividades Micro'!$K481&lt;&gt;""),'Atividades Micro'!$K481,"")</f>
        <v/>
      </c>
      <c r="BO429" s="21" t="str">
        <f>IF(AND('Atividades Micro'!$B481=BO$2,'Atividades Micro'!$G481="Macro",'Atividades Micro'!$K481&lt;&gt;""),'Atividades Micro'!$K481,"")</f>
        <v/>
      </c>
      <c r="BP429" s="21" t="str">
        <f>IF(AND('Atividades Micro'!$B481=BP$2,'Atividades Micro'!$G481="Macro",'Atividades Micro'!$K481&lt;&gt;""),'Atividades Micro'!$K481,"")</f>
        <v/>
      </c>
      <c r="BQ429" s="21" t="str">
        <f>IF(AND('Atividades Micro'!$B481=BQ$2,'Atividades Micro'!$G481="Macro",'Atividades Micro'!$K481&lt;&gt;""),'Atividades Micro'!$K481,"")</f>
        <v/>
      </c>
      <c r="BR429" s="21" t="str">
        <f>IF(AND('Atividades Micro'!$B481=BR$2,'Atividades Micro'!$G481="Macro",'Atividades Micro'!$K481&lt;&gt;""),'Atividades Micro'!$K481,"")</f>
        <v/>
      </c>
      <c r="BS429" s="21" t="str">
        <f>IF(AND('Atividades Micro'!$B481=BS$2,'Atividades Micro'!$G481="Macro",'Atividades Micro'!$K481&lt;&gt;""),'Atividades Micro'!$K481,"")</f>
        <v/>
      </c>
      <c r="BT429" s="21" t="str">
        <f>IF(AND('Atividades Micro'!$B481=BT$2,'Atividades Micro'!$G481="Macro",'Atividades Micro'!$K481&lt;&gt;""),'Atividades Micro'!$K481,"")</f>
        <v/>
      </c>
      <c r="BU429" s="21" t="str">
        <f>IF(AND('Atividades Micro'!$B481=BU$2,'Atividades Micro'!$G481="Macro",'Atividades Micro'!$K481&lt;&gt;""),'Atividades Micro'!$K481,"")</f>
        <v/>
      </c>
      <c r="BV429" s="21" t="str">
        <f>IF(AND('Atividades Micro'!$B481=BV$2,'Atividades Micro'!$G481="Macro",'Atividades Micro'!$K481&lt;&gt;""),'Atividades Micro'!$K481,"")</f>
        <v/>
      </c>
      <c r="BW429" s="21" t="str">
        <f>IF(AND('Atividades Micro'!$B481=BW$2,'Atividades Micro'!$G481="Macro",'Atividades Micro'!$K481&lt;&gt;""),'Atividades Micro'!$K481,"")</f>
        <v/>
      </c>
      <c r="BX429" s="21" t="str">
        <f>IF(AND('Atividades Micro'!$B481=BX$2,'Atividades Micro'!$G481="Macro",'Atividades Micro'!$K481&lt;&gt;""),'Atividades Micro'!$K481,"")</f>
        <v/>
      </c>
      <c r="BY429" s="21" t="str">
        <f>IF(AND('Atividades Micro'!$B481=BY$2,'Atividades Micro'!$G481="Macro",'Atividades Micro'!$K481&lt;&gt;""),'Atividades Micro'!$K481,"")</f>
        <v/>
      </c>
      <c r="BZ429" s="21" t="str">
        <f>IF(AND('Atividades Micro'!$B481=BZ$2,'Atividades Micro'!$G481="Macro",'Atividades Micro'!$K481&lt;&gt;""),'Atividades Micro'!$K481,"")</f>
        <v/>
      </c>
      <c r="CA429" s="21" t="str">
        <f>IF(AND('Atividades Micro'!$B481=CA$2,'Atividades Micro'!$G481="Macro",'Atividades Micro'!$K481&lt;&gt;""),'Atividades Micro'!$K481,"")</f>
        <v/>
      </c>
      <c r="CB429" s="21" t="str">
        <f>IF(AND('Atividades Micro'!$B481=CB$2,'Atividades Micro'!$G481="Macro",'Atividades Micro'!$K481&lt;&gt;""),'Atividades Micro'!$K481,"")</f>
        <v/>
      </c>
      <c r="CC429" s="21" t="str">
        <f>IF(AND('Atividades Micro'!$B481=CC$2,'Atividades Micro'!$G481="Macro",'Atividades Micro'!$K481&lt;&gt;""),'Atividades Micro'!$K481,"")</f>
        <v/>
      </c>
      <c r="CD429" s="21" t="str">
        <f>IF(AND('Atividades Micro'!$B481=CD$2,'Atividades Micro'!$G481="Micro",'Atividades Micro'!$K481&lt;&gt;""),'Atividades Micro'!$K481,"")</f>
        <v/>
      </c>
      <c r="CE429" s="21" t="str">
        <f>IF(AND('Atividades Micro'!$B481=CE$2,'Atividades Micro'!$G481="Micro",'Atividades Micro'!$K481&lt;&gt;""),'Atividades Micro'!$K481,"")</f>
        <v/>
      </c>
      <c r="CF429" s="21" t="str">
        <f>IF(AND('Atividades Micro'!$B481=CF$2,'Atividades Micro'!$G481="Micro",'Atividades Micro'!$K481&lt;&gt;""),'Atividades Micro'!$K481,"")</f>
        <v/>
      </c>
      <c r="CG429" s="21" t="str">
        <f>IF(AND('Atividades Micro'!$B481=CG$2,'Atividades Micro'!$G481="Micro",'Atividades Micro'!$K481&lt;&gt;""),'Atividades Micro'!$K481,"")</f>
        <v/>
      </c>
      <c r="CH429" s="21" t="str">
        <f>IF(AND('Atividades Micro'!$B481=CH$2,'Atividades Micro'!$G481="Micro",'Atividades Micro'!$K481&lt;&gt;""),'Atividades Micro'!$K481,"")</f>
        <v/>
      </c>
      <c r="CI429" s="21" t="str">
        <f>IF(AND('Atividades Micro'!$B481=CI$2,'Atividades Micro'!$G481="Micro",'Atividades Micro'!$K481&lt;&gt;""),'Atividades Micro'!$K481,"")</f>
        <v/>
      </c>
      <c r="CJ429" s="21" t="str">
        <f>IF(AND('Atividades Micro'!$B481=CJ$2,'Atividades Micro'!$G481="Micro",'Atividades Micro'!$K481&lt;&gt;""),'Atividades Micro'!$K481,"")</f>
        <v/>
      </c>
      <c r="CK429" s="21" t="str">
        <f>IF(AND('Atividades Micro'!$B481=CK$2,'Atividades Micro'!$G481="Micro",'Atividades Micro'!$K481&lt;&gt;""),'Atividades Micro'!$K481,"")</f>
        <v/>
      </c>
      <c r="CL429" s="21" t="str">
        <f>IF(AND('Atividades Micro'!$B481=CL$2,'Atividades Micro'!$G481="Micro",'Atividades Micro'!$K481&lt;&gt;""),'Atividades Micro'!$K481,"")</f>
        <v/>
      </c>
      <c r="CM429" s="21" t="str">
        <f>IF(AND('Atividades Micro'!$B481=CM$2,'Atividades Micro'!$G481="Micro",'Atividades Micro'!$K481&lt;&gt;""),'Atividades Micro'!$K481,"")</f>
        <v/>
      </c>
      <c r="CN429" s="21" t="str">
        <f>IF(AND('Atividades Micro'!$B481=CN$2,'Atividades Micro'!$G481="Micro",'Atividades Micro'!$K481&lt;&gt;""),'Atividades Micro'!$K481,"")</f>
        <v/>
      </c>
      <c r="CO429" s="21" t="str">
        <f>IF(AND('Atividades Micro'!$B481=CO$2,'Atividades Micro'!$G481="Micro",'Atividades Micro'!$K481&lt;&gt;""),'Atividades Micro'!$K481,"")</f>
        <v/>
      </c>
    </row>
    <row r="430" spans="1:93">
      <c r="A430" s="21" t="str">
        <f>IF(AND('Atividades Micro'!$A482=A$2,'Atividades Micro'!$K482&lt;&gt;""),'Atividades Micro'!$K482,"")</f>
        <v/>
      </c>
      <c r="B430" s="21" t="str">
        <f>IF(AND('Atividades Micro'!$A482=B$2,'Atividades Micro'!$L482&lt;&gt;""),'Atividades Micro'!$L482,"")</f>
        <v/>
      </c>
      <c r="C430" s="21" t="str">
        <f>IF(AND('Atividades Micro'!$A482=C$2,'Atividades Micro'!$K482&lt;&gt;""),'Atividades Micro'!$K482,"")</f>
        <v/>
      </c>
      <c r="D430" s="21" t="str">
        <f>IF(AND('Atividades Micro'!$A482=D$2,'Atividades Micro'!$L482&lt;&gt;""),'Atividades Micro'!$L482,"")</f>
        <v/>
      </c>
      <c r="E430" s="21" t="str">
        <f>IF(AND('Atividades Micro'!$A482=E$2,'Atividades Micro'!$K482&lt;&gt;""),'Atividades Micro'!$K482,"")</f>
        <v/>
      </c>
      <c r="F430" s="21" t="str">
        <f>IF(AND('Atividades Micro'!$A482=F$2,'Atividades Micro'!$L482&lt;&gt;""),'Atividades Micro'!$L482,"")</f>
        <v/>
      </c>
      <c r="G430" s="21" t="str">
        <f>IF(AND('Atividades Micro'!$A482=G$2,'Atividades Micro'!$K482&lt;&gt;""),'Atividades Micro'!$K482,"")</f>
        <v/>
      </c>
      <c r="H430" s="21" t="str">
        <f>IF(AND('Atividades Micro'!$A482=H$2,'Atividades Micro'!$L482&lt;&gt;""),'Atividades Micro'!$L482,"")</f>
        <v/>
      </c>
      <c r="I430" s="21" t="str">
        <f>IF(AND('Atividades Micro'!$A482=I$2,'Atividades Micro'!$K482&lt;&gt;""),'Atividades Micro'!$K482,"")</f>
        <v/>
      </c>
      <c r="J430" s="21" t="str">
        <f>IF(AND('Atividades Micro'!$A482=J$2,'Atividades Micro'!$L482&lt;&gt;""),'Atividades Micro'!$L482,"")</f>
        <v/>
      </c>
      <c r="K430" s="21" t="str">
        <f>IF(AND('Atividades Micro'!$B482=K$2,'Atividades Micro'!$K482&lt;&gt;""),'Atividades Micro'!$K482,"")</f>
        <v/>
      </c>
      <c r="L430" s="21" t="str">
        <f>IF(AND('Atividades Micro'!$B482=L$2,'Atividades Micro'!$L482&lt;&gt;""),'Atividades Micro'!$L482,"")</f>
        <v/>
      </c>
      <c r="M430" s="21" t="str">
        <f>IF(AND('Atividades Micro'!$B482=M$2,'Atividades Micro'!$K482&lt;&gt;""),'Atividades Micro'!$K482,"")</f>
        <v/>
      </c>
      <c r="N430" s="21" t="str">
        <f>IF(AND('Atividades Micro'!$B482=N$2,'Atividades Micro'!$L482&lt;&gt;""),'Atividades Micro'!$L482,"")</f>
        <v/>
      </c>
      <c r="O430" s="21" t="str">
        <f>IF(AND('Atividades Micro'!$A482=O$2,'Atividades Micro'!$K482&lt;&gt;""),'Atividades Micro'!$K482,"")</f>
        <v/>
      </c>
      <c r="P430" s="21" t="str">
        <f>IF(AND('Atividades Micro'!$A482=P$2,'Atividades Micro'!$L482&lt;&gt;""),'Atividades Micro'!$L482,"")</f>
        <v/>
      </c>
      <c r="Q430" s="21" t="str">
        <f>IF(AND('Atividades Micro'!$B482=Q$2,'Atividades Micro'!$K482&lt;&gt;""),'Atividades Micro'!$K482,"")</f>
        <v/>
      </c>
      <c r="R430" s="21" t="str">
        <f>IF(AND('Atividades Micro'!$B482=R$2,'Atividades Micro'!$L482&lt;&gt;""),'Atividades Micro'!$L482,"")</f>
        <v/>
      </c>
      <c r="S430" s="21" t="str">
        <f>IF(AND('Atividades Micro'!$A482=S$2,'Atividades Micro'!$K482&lt;&gt;""),'Atividades Micro'!$K482,"")</f>
        <v/>
      </c>
      <c r="T430" s="21" t="str">
        <f>IF(AND('Atividades Micro'!$A482=T$2,'Atividades Micro'!$L482&lt;&gt;""),'Atividades Micro'!$L482,"")</f>
        <v/>
      </c>
      <c r="U430" s="21" t="str">
        <f>IF(AND('Atividades Micro'!$B482=U$2,'Atividades Micro'!$K482&lt;&gt;""),'Atividades Micro'!$K482,"")</f>
        <v/>
      </c>
      <c r="V430" s="21" t="str">
        <f>IF(AND('Atividades Micro'!$B482=V$2,'Atividades Micro'!$L482&lt;&gt;""),'Atividades Micro'!$L482,"")</f>
        <v/>
      </c>
      <c r="W430" s="21" t="str">
        <f>IF(AND('Atividades Micro'!$B482=W$2,'Atividades Micro'!$K482&lt;&gt;""),'Atividades Micro'!$K482,"")</f>
        <v/>
      </c>
      <c r="X430" s="21" t="str">
        <f>IF(AND('Atividades Micro'!$B482=X$2,'Atividades Micro'!$L482&lt;&gt;""),'Atividades Micro'!$L482,"")</f>
        <v/>
      </c>
      <c r="Y430" s="21" t="str">
        <f>IF(AND('Atividades Micro'!$A482=Y$2,'Atividades Micro'!$K482&lt;&gt;""),'Atividades Micro'!$K482,"")</f>
        <v/>
      </c>
      <c r="Z430" s="21" t="str">
        <f>IF(AND('Atividades Micro'!$A482=Z$2,'Atividades Micro'!$L482&lt;&gt;""),'Atividades Micro'!$L482,"")</f>
        <v/>
      </c>
      <c r="AA430" s="21" t="str">
        <f>IF(AND('Atividades Micro'!$B482=AA$2,'Atividades Micro'!$K482&lt;&gt;""),'Atividades Micro'!$K482,"")</f>
        <v/>
      </c>
      <c r="AB430" s="21" t="str">
        <f>IF(AND('Atividades Micro'!$B482=AB$2,'Atividades Micro'!$L482&lt;&gt;""),'Atividades Micro'!$L482,"")</f>
        <v/>
      </c>
      <c r="AC430" s="21" t="str">
        <f>IF(AND('Atividades Micro'!$B482=AC$2,'Atividades Micro'!$K482&lt;&gt;""),'Atividades Micro'!$K482,"")</f>
        <v/>
      </c>
      <c r="AD430" s="21" t="str">
        <f>IF(AND('Atividades Micro'!$B482=AD$2,'Atividades Micro'!$L482&lt;&gt;""),'Atividades Micro'!$L482,"")</f>
        <v/>
      </c>
      <c r="AE430" s="21" t="str">
        <f>IF(AND('Atividades Micro'!$A482=AE$2,'Atividades Micro'!$K482&lt;&gt;""),'Atividades Micro'!$K482,"")</f>
        <v/>
      </c>
      <c r="AF430" s="21" t="str">
        <f>IF(AND('Atividades Micro'!$A482=AF$2,'Atividades Micro'!$L482&lt;&gt;""),'Atividades Micro'!$L482,"")</f>
        <v/>
      </c>
      <c r="AG430" s="21" t="str">
        <f>IF(AND('Atividades Micro'!$B482=AG$2,'Atividades Micro'!$K482&lt;&gt;""),'Atividades Micro'!$K482,"")</f>
        <v/>
      </c>
      <c r="AH430" s="21" t="str">
        <f>IF(AND('Atividades Micro'!$B482=AH$2,'Atividades Micro'!$L482&lt;&gt;""),'Atividades Micro'!$L482,"")</f>
        <v/>
      </c>
      <c r="AI430" s="21" t="str">
        <f>IF(AND('Atividades Micro'!$B482=AI$2,'Atividades Micro'!$K482&lt;&gt;""),'Atividades Micro'!$K482,"")</f>
        <v/>
      </c>
      <c r="AJ430" s="21" t="str">
        <f>IF(AND('Atividades Micro'!$B482=AJ$2,'Atividades Micro'!$L482&lt;&gt;""),'Atividades Micro'!$L482,"")</f>
        <v/>
      </c>
      <c r="AK430" s="21" t="str">
        <f>IF(AND('Atividades Micro'!$A482=AK$2,'Atividades Micro'!$K482&lt;&gt;""),'Atividades Micro'!$K482,"")</f>
        <v/>
      </c>
      <c r="AL430" s="21" t="str">
        <f>IF(AND('Atividades Micro'!$A482=AL$2,'Atividades Micro'!$L482&lt;&gt;""),'Atividades Micro'!$L482,"")</f>
        <v/>
      </c>
      <c r="AM430" s="21" t="str">
        <f>IF(AND('Atividades Micro'!$B482=AM$2,'Atividades Micro'!$K482&lt;&gt;""),'Atividades Micro'!$K482,"")</f>
        <v/>
      </c>
      <c r="AN430" s="21" t="str">
        <f>IF(AND('Atividades Micro'!$B482=AN$2,'Atividades Micro'!$L482&lt;&gt;""),'Atividades Micro'!$L482,"")</f>
        <v/>
      </c>
      <c r="AO430" s="21" t="str">
        <f>IF(AND('Atividades Micro'!$B482=AO$2,'Atividades Micro'!$K482&lt;&gt;""),'Atividades Micro'!$K482,"")</f>
        <v/>
      </c>
      <c r="AP430" s="21" t="str">
        <f>IF(AND('Atividades Micro'!$B482=AP$2,'Atividades Micro'!$L482&lt;&gt;""),'Atividades Micro'!$L482,"")</f>
        <v/>
      </c>
      <c r="AQ430" s="21" t="str">
        <f>IF(AND('Atividades Micro'!$A482=AQ$2,'Atividades Micro'!$K482&lt;&gt;""),'Atividades Micro'!$K482,"")</f>
        <v/>
      </c>
      <c r="AR430" s="21" t="str">
        <f>IF(AND('Atividades Micro'!$A482=AR$2,'Atividades Micro'!$L482&lt;&gt;""),'Atividades Micro'!$L482,"")</f>
        <v/>
      </c>
      <c r="AS430" s="21" t="str">
        <f>IF(AND('Atividades Micro'!$B482=AS$2,'Atividades Micro'!$K482&lt;&gt;""),'Atividades Micro'!$K482,"")</f>
        <v/>
      </c>
      <c r="AT430" s="21" t="str">
        <f>IF(AND('Atividades Micro'!$B482=AT$2,'Atividades Micro'!$L482&lt;&gt;""),'Atividades Micro'!$L482,"")</f>
        <v/>
      </c>
      <c r="AU430" s="21" t="str">
        <f>IF(AND('Atividades Micro'!$A482=AU$2,'Atividades Micro'!$K482&lt;&gt;""),'Atividades Micro'!$K482,"")</f>
        <v/>
      </c>
      <c r="AV430" s="21" t="str">
        <f>IF(AND('Atividades Micro'!$A482=AV$2,'Atividades Micro'!$L482&lt;&gt;""),'Atividades Micro'!$L482,"")</f>
        <v/>
      </c>
      <c r="AW430" s="21" t="str">
        <f>IF(AND('Atividades Micro'!$B482=AW$2,'Atividades Micro'!$K482&lt;&gt;""),'Atividades Micro'!$K482,"")</f>
        <v/>
      </c>
      <c r="AX430" s="21" t="str">
        <f>IF(AND('Atividades Micro'!$B482=AX$2,'Atividades Micro'!$L482&lt;&gt;""),'Atividades Micro'!$L482,"")</f>
        <v/>
      </c>
      <c r="AY430" s="21" t="str">
        <f>IF(AND('Atividades Micro'!$A482=AY$2,'Atividades Micro'!$K482&lt;&gt;""),'Atividades Micro'!$K482,"")</f>
        <v/>
      </c>
      <c r="AZ430" s="21" t="str">
        <f>IF(AND('Atividades Micro'!$A482=AZ$2,'Atividades Micro'!$L482&lt;&gt;""),'Atividades Micro'!$L482,"")</f>
        <v/>
      </c>
      <c r="BA430" s="21" t="str">
        <f>IF(AND('Atividades Micro'!$B482=BA$2,'Atividades Micro'!$K482&lt;&gt;""),'Atividades Micro'!$K482,"")</f>
        <v/>
      </c>
      <c r="BB430" s="21" t="str">
        <f>IF(AND('Atividades Micro'!$B482=BB$2,'Atividades Micro'!$L482&lt;&gt;""),'Atividades Micro'!$L482,"")</f>
        <v/>
      </c>
      <c r="BC430" s="21" t="str">
        <f>IF(AND('Atividades Micro'!$B482=BC$2,'Atividades Micro'!$G482="Macro",'Atividades Micro'!$K482&lt;&gt;""),'Atividades Micro'!$K482,"")</f>
        <v/>
      </c>
      <c r="BD430" s="21" t="str">
        <f>IF(AND('Atividades Micro'!$B482=BD$2,'Atividades Micro'!$G482="Macro",'Atividades Micro'!$K482&lt;&gt;""),'Atividades Micro'!$K482,"")</f>
        <v/>
      </c>
      <c r="BE430" s="21" t="str">
        <f>IF(AND('Atividades Micro'!$B482=BE$2,'Atividades Micro'!$G482="Macro",'Atividades Micro'!$K482&lt;&gt;""),'Atividades Micro'!$K482,"")</f>
        <v/>
      </c>
      <c r="BF430" s="21" t="str">
        <f>IF(AND('Atividades Micro'!$B482=BF$2,'Atividades Micro'!$G482="Macro",'Atividades Micro'!$K482&lt;&gt;""),'Atividades Micro'!$K482,"")</f>
        <v/>
      </c>
      <c r="BG430" s="21" t="str">
        <f>IF(AND('Atividades Micro'!$B482=BG$2,'Atividades Micro'!$G482="Macro",'Atividades Micro'!$K482&lt;&gt;""),'Atividades Micro'!$K482,"")</f>
        <v/>
      </c>
      <c r="BH430" s="21" t="str">
        <f>IF(AND('Atividades Micro'!$B482=BH$2,'Atividades Micro'!$G482="Macro",'Atividades Micro'!$K482&lt;&gt;""),'Atividades Micro'!$K482,"")</f>
        <v/>
      </c>
      <c r="BI430" s="21" t="str">
        <f>IF(AND('Atividades Micro'!$B482=BI$2,'Atividades Micro'!$G482="Macro",'Atividades Micro'!$K482&lt;&gt;""),'Atividades Micro'!$K482,"")</f>
        <v/>
      </c>
      <c r="BJ430" s="21" t="str">
        <f>IF(AND('Atividades Micro'!$B482=BJ$2,'Atividades Micro'!$G482="Macro",'Atividades Micro'!$K482&lt;&gt;""),'Atividades Micro'!$K482,"")</f>
        <v/>
      </c>
      <c r="BK430" s="21" t="str">
        <f>IF(AND('Atividades Micro'!$B482=BK$2,'Atividades Micro'!$G482="Macro",'Atividades Micro'!$K482&lt;&gt;""),'Atividades Micro'!$K482,"")</f>
        <v/>
      </c>
      <c r="BL430" s="21" t="str">
        <f>IF(AND('Atividades Micro'!$B482=BL$2,'Atividades Micro'!$G482="Macro",'Atividades Micro'!$K482&lt;&gt;""),'Atividades Micro'!$K482,"")</f>
        <v/>
      </c>
      <c r="BM430" s="21" t="str">
        <f>IF(AND('Atividades Micro'!$B482=BM$2,'Atividades Micro'!$G482="Macro",'Atividades Micro'!$K482&lt;&gt;""),'Atividades Micro'!$K482,"")</f>
        <v/>
      </c>
      <c r="BN430" s="21" t="str">
        <f>IF(AND('Atividades Micro'!$B482=BN$2,'Atividades Micro'!$G482="Macro",'Atividades Micro'!$K482&lt;&gt;""),'Atividades Micro'!$K482,"")</f>
        <v/>
      </c>
      <c r="BO430" s="21" t="str">
        <f>IF(AND('Atividades Micro'!$B482=BO$2,'Atividades Micro'!$G482="Macro",'Atividades Micro'!$K482&lt;&gt;""),'Atividades Micro'!$K482,"")</f>
        <v/>
      </c>
      <c r="BP430" s="21" t="str">
        <f>IF(AND('Atividades Micro'!$B482=BP$2,'Atividades Micro'!$G482="Macro",'Atividades Micro'!$K482&lt;&gt;""),'Atividades Micro'!$K482,"")</f>
        <v/>
      </c>
      <c r="BQ430" s="21" t="str">
        <f>IF(AND('Atividades Micro'!$B482=BQ$2,'Atividades Micro'!$G482="Macro",'Atividades Micro'!$K482&lt;&gt;""),'Atividades Micro'!$K482,"")</f>
        <v/>
      </c>
      <c r="BR430" s="21" t="str">
        <f>IF(AND('Atividades Micro'!$B482=BR$2,'Atividades Micro'!$G482="Macro",'Atividades Micro'!$K482&lt;&gt;""),'Atividades Micro'!$K482,"")</f>
        <v/>
      </c>
      <c r="BS430" s="21" t="str">
        <f>IF(AND('Atividades Micro'!$B482=BS$2,'Atividades Micro'!$G482="Macro",'Atividades Micro'!$K482&lt;&gt;""),'Atividades Micro'!$K482,"")</f>
        <v/>
      </c>
      <c r="BT430" s="21" t="str">
        <f>IF(AND('Atividades Micro'!$B482=BT$2,'Atividades Micro'!$G482="Macro",'Atividades Micro'!$K482&lt;&gt;""),'Atividades Micro'!$K482,"")</f>
        <v/>
      </c>
      <c r="BU430" s="21" t="str">
        <f>IF(AND('Atividades Micro'!$B482=BU$2,'Atividades Micro'!$G482="Macro",'Atividades Micro'!$K482&lt;&gt;""),'Atividades Micro'!$K482,"")</f>
        <v/>
      </c>
      <c r="BV430" s="21" t="str">
        <f>IF(AND('Atividades Micro'!$B482=BV$2,'Atividades Micro'!$G482="Macro",'Atividades Micro'!$K482&lt;&gt;""),'Atividades Micro'!$K482,"")</f>
        <v/>
      </c>
      <c r="BW430" s="21" t="str">
        <f>IF(AND('Atividades Micro'!$B482=BW$2,'Atividades Micro'!$G482="Macro",'Atividades Micro'!$K482&lt;&gt;""),'Atividades Micro'!$K482,"")</f>
        <v/>
      </c>
      <c r="BX430" s="21" t="str">
        <f>IF(AND('Atividades Micro'!$B482=BX$2,'Atividades Micro'!$G482="Macro",'Atividades Micro'!$K482&lt;&gt;""),'Atividades Micro'!$K482,"")</f>
        <v/>
      </c>
      <c r="BY430" s="21" t="str">
        <f>IF(AND('Atividades Micro'!$B482=BY$2,'Atividades Micro'!$G482="Macro",'Atividades Micro'!$K482&lt;&gt;""),'Atividades Micro'!$K482,"")</f>
        <v/>
      </c>
      <c r="BZ430" s="21" t="str">
        <f>IF(AND('Atividades Micro'!$B482=BZ$2,'Atividades Micro'!$G482="Macro",'Atividades Micro'!$K482&lt;&gt;""),'Atividades Micro'!$K482,"")</f>
        <v/>
      </c>
      <c r="CA430" s="21" t="str">
        <f>IF(AND('Atividades Micro'!$B482=CA$2,'Atividades Micro'!$G482="Macro",'Atividades Micro'!$K482&lt;&gt;""),'Atividades Micro'!$K482,"")</f>
        <v/>
      </c>
      <c r="CB430" s="21" t="str">
        <f>IF(AND('Atividades Micro'!$B482=CB$2,'Atividades Micro'!$G482="Macro",'Atividades Micro'!$K482&lt;&gt;""),'Atividades Micro'!$K482,"")</f>
        <v/>
      </c>
      <c r="CC430" s="21" t="str">
        <f>IF(AND('Atividades Micro'!$B482=CC$2,'Atividades Micro'!$G482="Macro",'Atividades Micro'!$K482&lt;&gt;""),'Atividades Micro'!$K482,"")</f>
        <v/>
      </c>
      <c r="CD430" s="21" t="str">
        <f>IF(AND('Atividades Micro'!$B482=CD$2,'Atividades Micro'!$G482="Micro",'Atividades Micro'!$K482&lt;&gt;""),'Atividades Micro'!$K482,"")</f>
        <v/>
      </c>
      <c r="CE430" s="21" t="str">
        <f>IF(AND('Atividades Micro'!$B482=CE$2,'Atividades Micro'!$G482="Micro",'Atividades Micro'!$K482&lt;&gt;""),'Atividades Micro'!$K482,"")</f>
        <v/>
      </c>
      <c r="CF430" s="21" t="str">
        <f>IF(AND('Atividades Micro'!$B482=CF$2,'Atividades Micro'!$G482="Micro",'Atividades Micro'!$K482&lt;&gt;""),'Atividades Micro'!$K482,"")</f>
        <v/>
      </c>
      <c r="CG430" s="21" t="str">
        <f>IF(AND('Atividades Micro'!$B482=CG$2,'Atividades Micro'!$G482="Micro",'Atividades Micro'!$K482&lt;&gt;""),'Atividades Micro'!$K482,"")</f>
        <v/>
      </c>
      <c r="CH430" s="21" t="str">
        <f>IF(AND('Atividades Micro'!$B482=CH$2,'Atividades Micro'!$G482="Micro",'Atividades Micro'!$K482&lt;&gt;""),'Atividades Micro'!$K482,"")</f>
        <v/>
      </c>
      <c r="CI430" s="21" t="str">
        <f>IF(AND('Atividades Micro'!$B482=CI$2,'Atividades Micro'!$G482="Micro",'Atividades Micro'!$K482&lt;&gt;""),'Atividades Micro'!$K482,"")</f>
        <v/>
      </c>
      <c r="CJ430" s="21" t="str">
        <f>IF(AND('Atividades Micro'!$B482=CJ$2,'Atividades Micro'!$G482="Micro",'Atividades Micro'!$K482&lt;&gt;""),'Atividades Micro'!$K482,"")</f>
        <v/>
      </c>
      <c r="CK430" s="21" t="str">
        <f>IF(AND('Atividades Micro'!$B482=CK$2,'Atividades Micro'!$G482="Micro",'Atividades Micro'!$K482&lt;&gt;""),'Atividades Micro'!$K482,"")</f>
        <v/>
      </c>
      <c r="CL430" s="21" t="str">
        <f>IF(AND('Atividades Micro'!$B482=CL$2,'Atividades Micro'!$G482="Micro",'Atividades Micro'!$K482&lt;&gt;""),'Atividades Micro'!$K482,"")</f>
        <v/>
      </c>
      <c r="CM430" s="21" t="str">
        <f>IF(AND('Atividades Micro'!$B482=CM$2,'Atividades Micro'!$G482="Micro",'Atividades Micro'!$K482&lt;&gt;""),'Atividades Micro'!$K482,"")</f>
        <v/>
      </c>
      <c r="CN430" s="21" t="str">
        <f>IF(AND('Atividades Micro'!$B482=CN$2,'Atividades Micro'!$G482="Micro",'Atividades Micro'!$K482&lt;&gt;""),'Atividades Micro'!$K482,"")</f>
        <v/>
      </c>
      <c r="CO430" s="21" t="str">
        <f>IF(AND('Atividades Micro'!$B482=CO$2,'Atividades Micro'!$G482="Micro",'Atividades Micro'!$K482&lt;&gt;""),'Atividades Micro'!$K482,"")</f>
        <v/>
      </c>
    </row>
    <row r="431" spans="1:93">
      <c r="A431" s="21" t="str">
        <f>IF(AND('Atividades Micro'!$A483=A$2,'Atividades Micro'!$K483&lt;&gt;""),'Atividades Micro'!$K483,"")</f>
        <v/>
      </c>
      <c r="B431" s="21" t="str">
        <f>IF(AND('Atividades Micro'!$A483=B$2,'Atividades Micro'!$L483&lt;&gt;""),'Atividades Micro'!$L483,"")</f>
        <v/>
      </c>
      <c r="C431" s="21" t="str">
        <f>IF(AND('Atividades Micro'!$A483=C$2,'Atividades Micro'!$K483&lt;&gt;""),'Atividades Micro'!$K483,"")</f>
        <v/>
      </c>
      <c r="D431" s="21" t="str">
        <f>IF(AND('Atividades Micro'!$A483=D$2,'Atividades Micro'!$L483&lt;&gt;""),'Atividades Micro'!$L483,"")</f>
        <v/>
      </c>
      <c r="E431" s="21" t="str">
        <f>IF(AND('Atividades Micro'!$A483=E$2,'Atividades Micro'!$K483&lt;&gt;""),'Atividades Micro'!$K483,"")</f>
        <v/>
      </c>
      <c r="F431" s="21" t="str">
        <f>IF(AND('Atividades Micro'!$A483=F$2,'Atividades Micro'!$L483&lt;&gt;""),'Atividades Micro'!$L483,"")</f>
        <v/>
      </c>
      <c r="G431" s="21" t="str">
        <f>IF(AND('Atividades Micro'!$A483=G$2,'Atividades Micro'!$K483&lt;&gt;""),'Atividades Micro'!$K483,"")</f>
        <v/>
      </c>
      <c r="H431" s="21" t="str">
        <f>IF(AND('Atividades Micro'!$A483=H$2,'Atividades Micro'!$L483&lt;&gt;""),'Atividades Micro'!$L483,"")</f>
        <v/>
      </c>
      <c r="I431" s="21" t="str">
        <f>IF(AND('Atividades Micro'!$A483=I$2,'Atividades Micro'!$K483&lt;&gt;""),'Atividades Micro'!$K483,"")</f>
        <v/>
      </c>
      <c r="J431" s="21" t="str">
        <f>IF(AND('Atividades Micro'!$A483=J$2,'Atividades Micro'!$L483&lt;&gt;""),'Atividades Micro'!$L483,"")</f>
        <v/>
      </c>
      <c r="K431" s="21" t="str">
        <f>IF(AND('Atividades Micro'!$B483=K$2,'Atividades Micro'!$K483&lt;&gt;""),'Atividades Micro'!$K483,"")</f>
        <v/>
      </c>
      <c r="L431" s="21" t="str">
        <f>IF(AND('Atividades Micro'!$B483=L$2,'Atividades Micro'!$L483&lt;&gt;""),'Atividades Micro'!$L483,"")</f>
        <v/>
      </c>
      <c r="M431" s="21" t="str">
        <f>IF(AND('Atividades Micro'!$B483=M$2,'Atividades Micro'!$K483&lt;&gt;""),'Atividades Micro'!$K483,"")</f>
        <v/>
      </c>
      <c r="N431" s="21" t="str">
        <f>IF(AND('Atividades Micro'!$B483=N$2,'Atividades Micro'!$L483&lt;&gt;""),'Atividades Micro'!$L483,"")</f>
        <v/>
      </c>
      <c r="O431" s="21" t="str">
        <f>IF(AND('Atividades Micro'!$A483=O$2,'Atividades Micro'!$K483&lt;&gt;""),'Atividades Micro'!$K483,"")</f>
        <v/>
      </c>
      <c r="P431" s="21" t="str">
        <f>IF(AND('Atividades Micro'!$A483=P$2,'Atividades Micro'!$L483&lt;&gt;""),'Atividades Micro'!$L483,"")</f>
        <v/>
      </c>
      <c r="Q431" s="21" t="str">
        <f>IF(AND('Atividades Micro'!$B483=Q$2,'Atividades Micro'!$K483&lt;&gt;""),'Atividades Micro'!$K483,"")</f>
        <v/>
      </c>
      <c r="R431" s="21" t="str">
        <f>IF(AND('Atividades Micro'!$B483=R$2,'Atividades Micro'!$L483&lt;&gt;""),'Atividades Micro'!$L483,"")</f>
        <v/>
      </c>
      <c r="S431" s="21" t="str">
        <f>IF(AND('Atividades Micro'!$A483=S$2,'Atividades Micro'!$K483&lt;&gt;""),'Atividades Micro'!$K483,"")</f>
        <v/>
      </c>
      <c r="T431" s="21" t="str">
        <f>IF(AND('Atividades Micro'!$A483=T$2,'Atividades Micro'!$L483&lt;&gt;""),'Atividades Micro'!$L483,"")</f>
        <v/>
      </c>
      <c r="U431" s="21" t="str">
        <f>IF(AND('Atividades Micro'!$B483=U$2,'Atividades Micro'!$K483&lt;&gt;""),'Atividades Micro'!$K483,"")</f>
        <v/>
      </c>
      <c r="V431" s="21" t="str">
        <f>IF(AND('Atividades Micro'!$B483=V$2,'Atividades Micro'!$L483&lt;&gt;""),'Atividades Micro'!$L483,"")</f>
        <v/>
      </c>
      <c r="W431" s="21" t="str">
        <f>IF(AND('Atividades Micro'!$B483=W$2,'Atividades Micro'!$K483&lt;&gt;""),'Atividades Micro'!$K483,"")</f>
        <v/>
      </c>
      <c r="X431" s="21" t="str">
        <f>IF(AND('Atividades Micro'!$B483=X$2,'Atividades Micro'!$L483&lt;&gt;""),'Atividades Micro'!$L483,"")</f>
        <v/>
      </c>
      <c r="Y431" s="21" t="str">
        <f>IF(AND('Atividades Micro'!$A483=Y$2,'Atividades Micro'!$K483&lt;&gt;""),'Atividades Micro'!$K483,"")</f>
        <v/>
      </c>
      <c r="Z431" s="21" t="str">
        <f>IF(AND('Atividades Micro'!$A483=Z$2,'Atividades Micro'!$L483&lt;&gt;""),'Atividades Micro'!$L483,"")</f>
        <v/>
      </c>
      <c r="AA431" s="21" t="str">
        <f>IF(AND('Atividades Micro'!$B483=AA$2,'Atividades Micro'!$K483&lt;&gt;""),'Atividades Micro'!$K483,"")</f>
        <v/>
      </c>
      <c r="AB431" s="21" t="str">
        <f>IF(AND('Atividades Micro'!$B483=AB$2,'Atividades Micro'!$L483&lt;&gt;""),'Atividades Micro'!$L483,"")</f>
        <v/>
      </c>
      <c r="AC431" s="21" t="str">
        <f>IF(AND('Atividades Micro'!$B483=AC$2,'Atividades Micro'!$K483&lt;&gt;""),'Atividades Micro'!$K483,"")</f>
        <v/>
      </c>
      <c r="AD431" s="21" t="str">
        <f>IF(AND('Atividades Micro'!$B483=AD$2,'Atividades Micro'!$L483&lt;&gt;""),'Atividades Micro'!$L483,"")</f>
        <v/>
      </c>
      <c r="AE431" s="21" t="str">
        <f>IF(AND('Atividades Micro'!$A483=AE$2,'Atividades Micro'!$K483&lt;&gt;""),'Atividades Micro'!$K483,"")</f>
        <v/>
      </c>
      <c r="AF431" s="21" t="str">
        <f>IF(AND('Atividades Micro'!$A483=AF$2,'Atividades Micro'!$L483&lt;&gt;""),'Atividades Micro'!$L483,"")</f>
        <v/>
      </c>
      <c r="AG431" s="21" t="str">
        <f>IF(AND('Atividades Micro'!$B483=AG$2,'Atividades Micro'!$K483&lt;&gt;""),'Atividades Micro'!$K483,"")</f>
        <v/>
      </c>
      <c r="AH431" s="21" t="str">
        <f>IF(AND('Atividades Micro'!$B483=AH$2,'Atividades Micro'!$L483&lt;&gt;""),'Atividades Micro'!$L483,"")</f>
        <v/>
      </c>
      <c r="AI431" s="21" t="str">
        <f>IF(AND('Atividades Micro'!$B483=AI$2,'Atividades Micro'!$K483&lt;&gt;""),'Atividades Micro'!$K483,"")</f>
        <v/>
      </c>
      <c r="AJ431" s="21" t="str">
        <f>IF(AND('Atividades Micro'!$B483=AJ$2,'Atividades Micro'!$L483&lt;&gt;""),'Atividades Micro'!$L483,"")</f>
        <v/>
      </c>
      <c r="AK431" s="21" t="str">
        <f>IF(AND('Atividades Micro'!$A483=AK$2,'Atividades Micro'!$K483&lt;&gt;""),'Atividades Micro'!$K483,"")</f>
        <v/>
      </c>
      <c r="AL431" s="21" t="str">
        <f>IF(AND('Atividades Micro'!$A483=AL$2,'Atividades Micro'!$L483&lt;&gt;""),'Atividades Micro'!$L483,"")</f>
        <v/>
      </c>
      <c r="AM431" s="21" t="str">
        <f>IF(AND('Atividades Micro'!$B483=AM$2,'Atividades Micro'!$K483&lt;&gt;""),'Atividades Micro'!$K483,"")</f>
        <v/>
      </c>
      <c r="AN431" s="21" t="str">
        <f>IF(AND('Atividades Micro'!$B483=AN$2,'Atividades Micro'!$L483&lt;&gt;""),'Atividades Micro'!$L483,"")</f>
        <v/>
      </c>
      <c r="AO431" s="21" t="str">
        <f>IF(AND('Atividades Micro'!$B483=AO$2,'Atividades Micro'!$K483&lt;&gt;""),'Atividades Micro'!$K483,"")</f>
        <v/>
      </c>
      <c r="AP431" s="21" t="str">
        <f>IF(AND('Atividades Micro'!$B483=AP$2,'Atividades Micro'!$L483&lt;&gt;""),'Atividades Micro'!$L483,"")</f>
        <v/>
      </c>
      <c r="AQ431" s="21" t="str">
        <f>IF(AND('Atividades Micro'!$A483=AQ$2,'Atividades Micro'!$K483&lt;&gt;""),'Atividades Micro'!$K483,"")</f>
        <v/>
      </c>
      <c r="AR431" s="21" t="str">
        <f>IF(AND('Atividades Micro'!$A483=AR$2,'Atividades Micro'!$L483&lt;&gt;""),'Atividades Micro'!$L483,"")</f>
        <v/>
      </c>
      <c r="AS431" s="21" t="str">
        <f>IF(AND('Atividades Micro'!$B483=AS$2,'Atividades Micro'!$K483&lt;&gt;""),'Atividades Micro'!$K483,"")</f>
        <v/>
      </c>
      <c r="AT431" s="21" t="str">
        <f>IF(AND('Atividades Micro'!$B483=AT$2,'Atividades Micro'!$L483&lt;&gt;""),'Atividades Micro'!$L483,"")</f>
        <v/>
      </c>
      <c r="AU431" s="21" t="str">
        <f>IF(AND('Atividades Micro'!$A483=AU$2,'Atividades Micro'!$K483&lt;&gt;""),'Atividades Micro'!$K483,"")</f>
        <v/>
      </c>
      <c r="AV431" s="21" t="str">
        <f>IF(AND('Atividades Micro'!$A483=AV$2,'Atividades Micro'!$L483&lt;&gt;""),'Atividades Micro'!$L483,"")</f>
        <v/>
      </c>
      <c r="AW431" s="21" t="str">
        <f>IF(AND('Atividades Micro'!$B483=AW$2,'Atividades Micro'!$K483&lt;&gt;""),'Atividades Micro'!$K483,"")</f>
        <v/>
      </c>
      <c r="AX431" s="21" t="str">
        <f>IF(AND('Atividades Micro'!$B483=AX$2,'Atividades Micro'!$L483&lt;&gt;""),'Atividades Micro'!$L483,"")</f>
        <v/>
      </c>
      <c r="AY431" s="21" t="str">
        <f>IF(AND('Atividades Micro'!$A483=AY$2,'Atividades Micro'!$K483&lt;&gt;""),'Atividades Micro'!$K483,"")</f>
        <v/>
      </c>
      <c r="AZ431" s="21" t="str">
        <f>IF(AND('Atividades Micro'!$A483=AZ$2,'Atividades Micro'!$L483&lt;&gt;""),'Atividades Micro'!$L483,"")</f>
        <v/>
      </c>
      <c r="BA431" s="21" t="str">
        <f>IF(AND('Atividades Micro'!$B483=BA$2,'Atividades Micro'!$K483&lt;&gt;""),'Atividades Micro'!$K483,"")</f>
        <v/>
      </c>
      <c r="BB431" s="21" t="str">
        <f>IF(AND('Atividades Micro'!$B483=BB$2,'Atividades Micro'!$L483&lt;&gt;""),'Atividades Micro'!$L483,"")</f>
        <v/>
      </c>
      <c r="BC431" s="21" t="str">
        <f>IF(AND('Atividades Micro'!$B483=BC$2,'Atividades Micro'!$G483="Macro",'Atividades Micro'!$K483&lt;&gt;""),'Atividades Micro'!$K483,"")</f>
        <v/>
      </c>
      <c r="BD431" s="21" t="str">
        <f>IF(AND('Atividades Micro'!$B483=BD$2,'Atividades Micro'!$G483="Macro",'Atividades Micro'!$K483&lt;&gt;""),'Atividades Micro'!$K483,"")</f>
        <v/>
      </c>
      <c r="BE431" s="21" t="str">
        <f>IF(AND('Atividades Micro'!$B483=BE$2,'Atividades Micro'!$G483="Macro",'Atividades Micro'!$K483&lt;&gt;""),'Atividades Micro'!$K483,"")</f>
        <v/>
      </c>
      <c r="BF431" s="21" t="str">
        <f>IF(AND('Atividades Micro'!$B483=BF$2,'Atividades Micro'!$G483="Macro",'Atividades Micro'!$K483&lt;&gt;""),'Atividades Micro'!$K483,"")</f>
        <v/>
      </c>
      <c r="BG431" s="21" t="str">
        <f>IF(AND('Atividades Micro'!$B483=BG$2,'Atividades Micro'!$G483="Macro",'Atividades Micro'!$K483&lt;&gt;""),'Atividades Micro'!$K483,"")</f>
        <v/>
      </c>
      <c r="BH431" s="21" t="str">
        <f>IF(AND('Atividades Micro'!$B483=BH$2,'Atividades Micro'!$G483="Macro",'Atividades Micro'!$K483&lt;&gt;""),'Atividades Micro'!$K483,"")</f>
        <v/>
      </c>
      <c r="BI431" s="21" t="str">
        <f>IF(AND('Atividades Micro'!$B483=BI$2,'Atividades Micro'!$G483="Macro",'Atividades Micro'!$K483&lt;&gt;""),'Atividades Micro'!$K483,"")</f>
        <v/>
      </c>
      <c r="BJ431" s="21" t="str">
        <f>IF(AND('Atividades Micro'!$B483=BJ$2,'Atividades Micro'!$G483="Macro",'Atividades Micro'!$K483&lt;&gt;""),'Atividades Micro'!$K483,"")</f>
        <v/>
      </c>
      <c r="BK431" s="21" t="str">
        <f>IF(AND('Atividades Micro'!$B483=BK$2,'Atividades Micro'!$G483="Macro",'Atividades Micro'!$K483&lt;&gt;""),'Atividades Micro'!$K483,"")</f>
        <v/>
      </c>
      <c r="BL431" s="21" t="str">
        <f>IF(AND('Atividades Micro'!$B483=BL$2,'Atividades Micro'!$G483="Macro",'Atividades Micro'!$K483&lt;&gt;""),'Atividades Micro'!$K483,"")</f>
        <v/>
      </c>
      <c r="BM431" s="21" t="str">
        <f>IF(AND('Atividades Micro'!$B483=BM$2,'Atividades Micro'!$G483="Macro",'Atividades Micro'!$K483&lt;&gt;""),'Atividades Micro'!$K483,"")</f>
        <v/>
      </c>
      <c r="BN431" s="21" t="str">
        <f>IF(AND('Atividades Micro'!$B483=BN$2,'Atividades Micro'!$G483="Macro",'Atividades Micro'!$K483&lt;&gt;""),'Atividades Micro'!$K483,"")</f>
        <v/>
      </c>
      <c r="BO431" s="21" t="str">
        <f>IF(AND('Atividades Micro'!$B483=BO$2,'Atividades Micro'!$G483="Macro",'Atividades Micro'!$K483&lt;&gt;""),'Atividades Micro'!$K483,"")</f>
        <v/>
      </c>
      <c r="BP431" s="21" t="str">
        <f>IF(AND('Atividades Micro'!$B483=BP$2,'Atividades Micro'!$G483="Macro",'Atividades Micro'!$K483&lt;&gt;""),'Atividades Micro'!$K483,"")</f>
        <v/>
      </c>
      <c r="BQ431" s="21" t="str">
        <f>IF(AND('Atividades Micro'!$B483=BQ$2,'Atividades Micro'!$G483="Macro",'Atividades Micro'!$K483&lt;&gt;""),'Atividades Micro'!$K483,"")</f>
        <v/>
      </c>
      <c r="BR431" s="21" t="str">
        <f>IF(AND('Atividades Micro'!$B483=BR$2,'Atividades Micro'!$G483="Macro",'Atividades Micro'!$K483&lt;&gt;""),'Atividades Micro'!$K483,"")</f>
        <v/>
      </c>
      <c r="BS431" s="21" t="str">
        <f>IF(AND('Atividades Micro'!$B483=BS$2,'Atividades Micro'!$G483="Macro",'Atividades Micro'!$K483&lt;&gt;""),'Atividades Micro'!$K483,"")</f>
        <v/>
      </c>
      <c r="BT431" s="21" t="str">
        <f>IF(AND('Atividades Micro'!$B483=BT$2,'Atividades Micro'!$G483="Macro",'Atividades Micro'!$K483&lt;&gt;""),'Atividades Micro'!$K483,"")</f>
        <v/>
      </c>
      <c r="BU431" s="21" t="str">
        <f>IF(AND('Atividades Micro'!$B483=BU$2,'Atividades Micro'!$G483="Macro",'Atividades Micro'!$K483&lt;&gt;""),'Atividades Micro'!$K483,"")</f>
        <v/>
      </c>
      <c r="BV431" s="21" t="str">
        <f>IF(AND('Atividades Micro'!$B483=BV$2,'Atividades Micro'!$G483="Macro",'Atividades Micro'!$K483&lt;&gt;""),'Atividades Micro'!$K483,"")</f>
        <v/>
      </c>
      <c r="BW431" s="21" t="str">
        <f>IF(AND('Atividades Micro'!$B483=BW$2,'Atividades Micro'!$G483="Macro",'Atividades Micro'!$K483&lt;&gt;""),'Atividades Micro'!$K483,"")</f>
        <v/>
      </c>
      <c r="BX431" s="21" t="str">
        <f>IF(AND('Atividades Micro'!$B483=BX$2,'Atividades Micro'!$G483="Macro",'Atividades Micro'!$K483&lt;&gt;""),'Atividades Micro'!$K483,"")</f>
        <v/>
      </c>
      <c r="BY431" s="21" t="str">
        <f>IF(AND('Atividades Micro'!$B483=BY$2,'Atividades Micro'!$G483="Macro",'Atividades Micro'!$K483&lt;&gt;""),'Atividades Micro'!$K483,"")</f>
        <v/>
      </c>
      <c r="BZ431" s="21" t="str">
        <f>IF(AND('Atividades Micro'!$B483=BZ$2,'Atividades Micro'!$G483="Macro",'Atividades Micro'!$K483&lt;&gt;""),'Atividades Micro'!$K483,"")</f>
        <v/>
      </c>
      <c r="CA431" s="21" t="str">
        <f>IF(AND('Atividades Micro'!$B483=CA$2,'Atividades Micro'!$G483="Macro",'Atividades Micro'!$K483&lt;&gt;""),'Atividades Micro'!$K483,"")</f>
        <v/>
      </c>
      <c r="CB431" s="21" t="str">
        <f>IF(AND('Atividades Micro'!$B483=CB$2,'Atividades Micro'!$G483="Macro",'Atividades Micro'!$K483&lt;&gt;""),'Atividades Micro'!$K483,"")</f>
        <v/>
      </c>
      <c r="CC431" s="21" t="str">
        <f>IF(AND('Atividades Micro'!$B483=CC$2,'Atividades Micro'!$G483="Macro",'Atividades Micro'!$K483&lt;&gt;""),'Atividades Micro'!$K483,"")</f>
        <v/>
      </c>
      <c r="CD431" s="21" t="str">
        <f>IF(AND('Atividades Micro'!$B483=CD$2,'Atividades Micro'!$G483="Micro",'Atividades Micro'!$K483&lt;&gt;""),'Atividades Micro'!$K483,"")</f>
        <v/>
      </c>
      <c r="CE431" s="21" t="str">
        <f>IF(AND('Atividades Micro'!$B483=CE$2,'Atividades Micro'!$G483="Micro",'Atividades Micro'!$K483&lt;&gt;""),'Atividades Micro'!$K483,"")</f>
        <v/>
      </c>
      <c r="CF431" s="21" t="str">
        <f>IF(AND('Atividades Micro'!$B483=CF$2,'Atividades Micro'!$G483="Micro",'Atividades Micro'!$K483&lt;&gt;""),'Atividades Micro'!$K483,"")</f>
        <v/>
      </c>
      <c r="CG431" s="21" t="str">
        <f>IF(AND('Atividades Micro'!$B483=CG$2,'Atividades Micro'!$G483="Micro",'Atividades Micro'!$K483&lt;&gt;""),'Atividades Micro'!$K483,"")</f>
        <v/>
      </c>
      <c r="CH431" s="21" t="str">
        <f>IF(AND('Atividades Micro'!$B483=CH$2,'Atividades Micro'!$G483="Micro",'Atividades Micro'!$K483&lt;&gt;""),'Atividades Micro'!$K483,"")</f>
        <v/>
      </c>
      <c r="CI431" s="21" t="str">
        <f>IF(AND('Atividades Micro'!$B483=CI$2,'Atividades Micro'!$G483="Micro",'Atividades Micro'!$K483&lt;&gt;""),'Atividades Micro'!$K483,"")</f>
        <v/>
      </c>
      <c r="CJ431" s="21" t="str">
        <f>IF(AND('Atividades Micro'!$B483=CJ$2,'Atividades Micro'!$G483="Micro",'Atividades Micro'!$K483&lt;&gt;""),'Atividades Micro'!$K483,"")</f>
        <v/>
      </c>
      <c r="CK431" s="21" t="str">
        <f>IF(AND('Atividades Micro'!$B483=CK$2,'Atividades Micro'!$G483="Micro",'Atividades Micro'!$K483&lt;&gt;""),'Atividades Micro'!$K483,"")</f>
        <v/>
      </c>
      <c r="CL431" s="21" t="str">
        <f>IF(AND('Atividades Micro'!$B483=CL$2,'Atividades Micro'!$G483="Micro",'Atividades Micro'!$K483&lt;&gt;""),'Atividades Micro'!$K483,"")</f>
        <v/>
      </c>
      <c r="CM431" s="21" t="str">
        <f>IF(AND('Atividades Micro'!$B483=CM$2,'Atividades Micro'!$G483="Micro",'Atividades Micro'!$K483&lt;&gt;""),'Atividades Micro'!$K483,"")</f>
        <v/>
      </c>
      <c r="CN431" s="21" t="str">
        <f>IF(AND('Atividades Micro'!$B483=CN$2,'Atividades Micro'!$G483="Micro",'Atividades Micro'!$K483&lt;&gt;""),'Atividades Micro'!$K483,"")</f>
        <v/>
      </c>
      <c r="CO431" s="21" t="str">
        <f>IF(AND('Atividades Micro'!$B483=CO$2,'Atividades Micro'!$G483="Micro",'Atividades Micro'!$K483&lt;&gt;""),'Atividades Micro'!$K483,"")</f>
        <v/>
      </c>
    </row>
    <row r="432" spans="1:93">
      <c r="A432" s="21" t="str">
        <f>IF(AND('Atividades Micro'!$A484=A$2,'Atividades Micro'!$K484&lt;&gt;""),'Atividades Micro'!$K484,"")</f>
        <v/>
      </c>
      <c r="B432" s="21" t="str">
        <f>IF(AND('Atividades Micro'!$A484=B$2,'Atividades Micro'!$L484&lt;&gt;""),'Atividades Micro'!$L484,"")</f>
        <v/>
      </c>
      <c r="C432" s="21" t="str">
        <f>IF(AND('Atividades Micro'!$A484=C$2,'Atividades Micro'!$K484&lt;&gt;""),'Atividades Micro'!$K484,"")</f>
        <v/>
      </c>
      <c r="D432" s="21" t="str">
        <f>IF(AND('Atividades Micro'!$A484=D$2,'Atividades Micro'!$L484&lt;&gt;""),'Atividades Micro'!$L484,"")</f>
        <v/>
      </c>
      <c r="E432" s="21" t="str">
        <f>IF(AND('Atividades Micro'!$A484=E$2,'Atividades Micro'!$K484&lt;&gt;""),'Atividades Micro'!$K484,"")</f>
        <v/>
      </c>
      <c r="F432" s="21" t="str">
        <f>IF(AND('Atividades Micro'!$A484=F$2,'Atividades Micro'!$L484&lt;&gt;""),'Atividades Micro'!$L484,"")</f>
        <v/>
      </c>
      <c r="G432" s="21" t="str">
        <f>IF(AND('Atividades Micro'!$A484=G$2,'Atividades Micro'!$K484&lt;&gt;""),'Atividades Micro'!$K484,"")</f>
        <v/>
      </c>
      <c r="H432" s="21" t="str">
        <f>IF(AND('Atividades Micro'!$A484=H$2,'Atividades Micro'!$L484&lt;&gt;""),'Atividades Micro'!$L484,"")</f>
        <v/>
      </c>
      <c r="I432" s="21" t="str">
        <f>IF(AND('Atividades Micro'!$A484=I$2,'Atividades Micro'!$K484&lt;&gt;""),'Atividades Micro'!$K484,"")</f>
        <v/>
      </c>
      <c r="J432" s="21" t="str">
        <f>IF(AND('Atividades Micro'!$A484=J$2,'Atividades Micro'!$L484&lt;&gt;""),'Atividades Micro'!$L484,"")</f>
        <v/>
      </c>
      <c r="K432" s="21" t="str">
        <f>IF(AND('Atividades Micro'!$B484=K$2,'Atividades Micro'!$K484&lt;&gt;""),'Atividades Micro'!$K484,"")</f>
        <v/>
      </c>
      <c r="L432" s="21" t="str">
        <f>IF(AND('Atividades Micro'!$B484=L$2,'Atividades Micro'!$L484&lt;&gt;""),'Atividades Micro'!$L484,"")</f>
        <v/>
      </c>
      <c r="M432" s="21" t="str">
        <f>IF(AND('Atividades Micro'!$B484=M$2,'Atividades Micro'!$K484&lt;&gt;""),'Atividades Micro'!$K484,"")</f>
        <v/>
      </c>
      <c r="N432" s="21" t="str">
        <f>IF(AND('Atividades Micro'!$B484=N$2,'Atividades Micro'!$L484&lt;&gt;""),'Atividades Micro'!$L484,"")</f>
        <v/>
      </c>
      <c r="O432" s="21" t="str">
        <f>IF(AND('Atividades Micro'!$A484=O$2,'Atividades Micro'!$K484&lt;&gt;""),'Atividades Micro'!$K484,"")</f>
        <v/>
      </c>
      <c r="P432" s="21" t="str">
        <f>IF(AND('Atividades Micro'!$A484=P$2,'Atividades Micro'!$L484&lt;&gt;""),'Atividades Micro'!$L484,"")</f>
        <v/>
      </c>
      <c r="Q432" s="21" t="str">
        <f>IF(AND('Atividades Micro'!$B484=Q$2,'Atividades Micro'!$K484&lt;&gt;""),'Atividades Micro'!$K484,"")</f>
        <v/>
      </c>
      <c r="R432" s="21" t="str">
        <f>IF(AND('Atividades Micro'!$B484=R$2,'Atividades Micro'!$L484&lt;&gt;""),'Atividades Micro'!$L484,"")</f>
        <v/>
      </c>
      <c r="S432" s="21" t="str">
        <f>IF(AND('Atividades Micro'!$A484=S$2,'Atividades Micro'!$K484&lt;&gt;""),'Atividades Micro'!$K484,"")</f>
        <v/>
      </c>
      <c r="T432" s="21" t="str">
        <f>IF(AND('Atividades Micro'!$A484=T$2,'Atividades Micro'!$L484&lt;&gt;""),'Atividades Micro'!$L484,"")</f>
        <v/>
      </c>
      <c r="U432" s="21" t="str">
        <f>IF(AND('Atividades Micro'!$B484=U$2,'Atividades Micro'!$K484&lt;&gt;""),'Atividades Micro'!$K484,"")</f>
        <v/>
      </c>
      <c r="V432" s="21" t="str">
        <f>IF(AND('Atividades Micro'!$B484=V$2,'Atividades Micro'!$L484&lt;&gt;""),'Atividades Micro'!$L484,"")</f>
        <v/>
      </c>
      <c r="W432" s="21" t="str">
        <f>IF(AND('Atividades Micro'!$B484=W$2,'Atividades Micro'!$K484&lt;&gt;""),'Atividades Micro'!$K484,"")</f>
        <v/>
      </c>
      <c r="X432" s="21" t="str">
        <f>IF(AND('Atividades Micro'!$B484=X$2,'Atividades Micro'!$L484&lt;&gt;""),'Atividades Micro'!$L484,"")</f>
        <v/>
      </c>
      <c r="Y432" s="21" t="str">
        <f>IF(AND('Atividades Micro'!$A484=Y$2,'Atividades Micro'!$K484&lt;&gt;""),'Atividades Micro'!$K484,"")</f>
        <v/>
      </c>
      <c r="Z432" s="21" t="str">
        <f>IF(AND('Atividades Micro'!$A484=Z$2,'Atividades Micro'!$L484&lt;&gt;""),'Atividades Micro'!$L484,"")</f>
        <v/>
      </c>
      <c r="AA432" s="21" t="str">
        <f>IF(AND('Atividades Micro'!$B484=AA$2,'Atividades Micro'!$K484&lt;&gt;""),'Atividades Micro'!$K484,"")</f>
        <v/>
      </c>
      <c r="AB432" s="21" t="str">
        <f>IF(AND('Atividades Micro'!$B484=AB$2,'Atividades Micro'!$L484&lt;&gt;""),'Atividades Micro'!$L484,"")</f>
        <v/>
      </c>
      <c r="AC432" s="21" t="str">
        <f>IF(AND('Atividades Micro'!$B484=AC$2,'Atividades Micro'!$K484&lt;&gt;""),'Atividades Micro'!$K484,"")</f>
        <v/>
      </c>
      <c r="AD432" s="21" t="str">
        <f>IF(AND('Atividades Micro'!$B484=AD$2,'Atividades Micro'!$L484&lt;&gt;""),'Atividades Micro'!$L484,"")</f>
        <v/>
      </c>
      <c r="AE432" s="21" t="str">
        <f>IF(AND('Atividades Micro'!$A484=AE$2,'Atividades Micro'!$K484&lt;&gt;""),'Atividades Micro'!$K484,"")</f>
        <v/>
      </c>
      <c r="AF432" s="21" t="str">
        <f>IF(AND('Atividades Micro'!$A484=AF$2,'Atividades Micro'!$L484&lt;&gt;""),'Atividades Micro'!$L484,"")</f>
        <v/>
      </c>
      <c r="AG432" s="21" t="str">
        <f>IF(AND('Atividades Micro'!$B484=AG$2,'Atividades Micro'!$K484&lt;&gt;""),'Atividades Micro'!$K484,"")</f>
        <v/>
      </c>
      <c r="AH432" s="21" t="str">
        <f>IF(AND('Atividades Micro'!$B484=AH$2,'Atividades Micro'!$L484&lt;&gt;""),'Atividades Micro'!$L484,"")</f>
        <v/>
      </c>
      <c r="AI432" s="21" t="str">
        <f>IF(AND('Atividades Micro'!$B484=AI$2,'Atividades Micro'!$K484&lt;&gt;""),'Atividades Micro'!$K484,"")</f>
        <v/>
      </c>
      <c r="AJ432" s="21" t="str">
        <f>IF(AND('Atividades Micro'!$B484=AJ$2,'Atividades Micro'!$L484&lt;&gt;""),'Atividades Micro'!$L484,"")</f>
        <v/>
      </c>
      <c r="AK432" s="21" t="str">
        <f>IF(AND('Atividades Micro'!$A484=AK$2,'Atividades Micro'!$K484&lt;&gt;""),'Atividades Micro'!$K484,"")</f>
        <v/>
      </c>
      <c r="AL432" s="21" t="str">
        <f>IF(AND('Atividades Micro'!$A484=AL$2,'Atividades Micro'!$L484&lt;&gt;""),'Atividades Micro'!$L484,"")</f>
        <v/>
      </c>
      <c r="AM432" s="21" t="str">
        <f>IF(AND('Atividades Micro'!$B484=AM$2,'Atividades Micro'!$K484&lt;&gt;""),'Atividades Micro'!$K484,"")</f>
        <v/>
      </c>
      <c r="AN432" s="21" t="str">
        <f>IF(AND('Atividades Micro'!$B484=AN$2,'Atividades Micro'!$L484&lt;&gt;""),'Atividades Micro'!$L484,"")</f>
        <v/>
      </c>
      <c r="AO432" s="21" t="str">
        <f>IF(AND('Atividades Micro'!$B484=AO$2,'Atividades Micro'!$K484&lt;&gt;""),'Atividades Micro'!$K484,"")</f>
        <v/>
      </c>
      <c r="AP432" s="21" t="str">
        <f>IF(AND('Atividades Micro'!$B484=AP$2,'Atividades Micro'!$L484&lt;&gt;""),'Atividades Micro'!$L484,"")</f>
        <v/>
      </c>
      <c r="AQ432" s="21" t="str">
        <f>IF(AND('Atividades Micro'!$A484=AQ$2,'Atividades Micro'!$K484&lt;&gt;""),'Atividades Micro'!$K484,"")</f>
        <v/>
      </c>
      <c r="AR432" s="21" t="str">
        <f>IF(AND('Atividades Micro'!$A484=AR$2,'Atividades Micro'!$L484&lt;&gt;""),'Atividades Micro'!$L484,"")</f>
        <v/>
      </c>
      <c r="AS432" s="21" t="str">
        <f>IF(AND('Atividades Micro'!$B484=AS$2,'Atividades Micro'!$K484&lt;&gt;""),'Atividades Micro'!$K484,"")</f>
        <v/>
      </c>
      <c r="AT432" s="21" t="str">
        <f>IF(AND('Atividades Micro'!$B484=AT$2,'Atividades Micro'!$L484&lt;&gt;""),'Atividades Micro'!$L484,"")</f>
        <v/>
      </c>
      <c r="AU432" s="21" t="str">
        <f>IF(AND('Atividades Micro'!$A484=AU$2,'Atividades Micro'!$K484&lt;&gt;""),'Atividades Micro'!$K484,"")</f>
        <v/>
      </c>
      <c r="AV432" s="21" t="str">
        <f>IF(AND('Atividades Micro'!$A484=AV$2,'Atividades Micro'!$L484&lt;&gt;""),'Atividades Micro'!$L484,"")</f>
        <v/>
      </c>
      <c r="AW432" s="21" t="str">
        <f>IF(AND('Atividades Micro'!$B484=AW$2,'Atividades Micro'!$K484&lt;&gt;""),'Atividades Micro'!$K484,"")</f>
        <v/>
      </c>
      <c r="AX432" s="21" t="str">
        <f>IF(AND('Atividades Micro'!$B484=AX$2,'Atividades Micro'!$L484&lt;&gt;""),'Atividades Micro'!$L484,"")</f>
        <v/>
      </c>
      <c r="AY432" s="21" t="str">
        <f>IF(AND('Atividades Micro'!$A484=AY$2,'Atividades Micro'!$K484&lt;&gt;""),'Atividades Micro'!$K484,"")</f>
        <v/>
      </c>
      <c r="AZ432" s="21" t="str">
        <f>IF(AND('Atividades Micro'!$A484=AZ$2,'Atividades Micro'!$L484&lt;&gt;""),'Atividades Micro'!$L484,"")</f>
        <v/>
      </c>
      <c r="BA432" s="21" t="str">
        <f>IF(AND('Atividades Micro'!$B484=BA$2,'Atividades Micro'!$K484&lt;&gt;""),'Atividades Micro'!$K484,"")</f>
        <v/>
      </c>
      <c r="BB432" s="21" t="str">
        <f>IF(AND('Atividades Micro'!$B484=BB$2,'Atividades Micro'!$L484&lt;&gt;""),'Atividades Micro'!$L484,"")</f>
        <v/>
      </c>
      <c r="BC432" s="21" t="str">
        <f>IF(AND('Atividades Micro'!$B484=BC$2,'Atividades Micro'!$G484="Macro",'Atividades Micro'!$K484&lt;&gt;""),'Atividades Micro'!$K484,"")</f>
        <v/>
      </c>
      <c r="BD432" s="21" t="str">
        <f>IF(AND('Atividades Micro'!$B484=BD$2,'Atividades Micro'!$G484="Macro",'Atividades Micro'!$K484&lt;&gt;""),'Atividades Micro'!$K484,"")</f>
        <v/>
      </c>
      <c r="BE432" s="21" t="str">
        <f>IF(AND('Atividades Micro'!$B484=BE$2,'Atividades Micro'!$G484="Macro",'Atividades Micro'!$K484&lt;&gt;""),'Atividades Micro'!$K484,"")</f>
        <v/>
      </c>
      <c r="BF432" s="21" t="str">
        <f>IF(AND('Atividades Micro'!$B484=BF$2,'Atividades Micro'!$G484="Macro",'Atividades Micro'!$K484&lt;&gt;""),'Atividades Micro'!$K484,"")</f>
        <v/>
      </c>
      <c r="BG432" s="21" t="str">
        <f>IF(AND('Atividades Micro'!$B484=BG$2,'Atividades Micro'!$G484="Macro",'Atividades Micro'!$K484&lt;&gt;""),'Atividades Micro'!$K484,"")</f>
        <v/>
      </c>
      <c r="BH432" s="21" t="str">
        <f>IF(AND('Atividades Micro'!$B484=BH$2,'Atividades Micro'!$G484="Macro",'Atividades Micro'!$K484&lt;&gt;""),'Atividades Micro'!$K484,"")</f>
        <v/>
      </c>
      <c r="BI432" s="21" t="str">
        <f>IF(AND('Atividades Micro'!$B484=BI$2,'Atividades Micro'!$G484="Macro",'Atividades Micro'!$K484&lt;&gt;""),'Atividades Micro'!$K484,"")</f>
        <v/>
      </c>
      <c r="BJ432" s="21" t="str">
        <f>IF(AND('Atividades Micro'!$B484=BJ$2,'Atividades Micro'!$G484="Macro",'Atividades Micro'!$K484&lt;&gt;""),'Atividades Micro'!$K484,"")</f>
        <v/>
      </c>
      <c r="BK432" s="21" t="str">
        <f>IF(AND('Atividades Micro'!$B484=BK$2,'Atividades Micro'!$G484="Macro",'Atividades Micro'!$K484&lt;&gt;""),'Atividades Micro'!$K484,"")</f>
        <v/>
      </c>
      <c r="BL432" s="21" t="str">
        <f>IF(AND('Atividades Micro'!$B484=BL$2,'Atividades Micro'!$G484="Macro",'Atividades Micro'!$K484&lt;&gt;""),'Atividades Micro'!$K484,"")</f>
        <v/>
      </c>
      <c r="BM432" s="21" t="str">
        <f>IF(AND('Atividades Micro'!$B484=BM$2,'Atividades Micro'!$G484="Macro",'Atividades Micro'!$K484&lt;&gt;""),'Atividades Micro'!$K484,"")</f>
        <v/>
      </c>
      <c r="BN432" s="21" t="str">
        <f>IF(AND('Atividades Micro'!$B484=BN$2,'Atividades Micro'!$G484="Macro",'Atividades Micro'!$K484&lt;&gt;""),'Atividades Micro'!$K484,"")</f>
        <v/>
      </c>
      <c r="BO432" s="21" t="str">
        <f>IF(AND('Atividades Micro'!$B484=BO$2,'Atividades Micro'!$G484="Macro",'Atividades Micro'!$K484&lt;&gt;""),'Atividades Micro'!$K484,"")</f>
        <v/>
      </c>
      <c r="BP432" s="21" t="str">
        <f>IF(AND('Atividades Micro'!$B484=BP$2,'Atividades Micro'!$G484="Macro",'Atividades Micro'!$K484&lt;&gt;""),'Atividades Micro'!$K484,"")</f>
        <v/>
      </c>
      <c r="BQ432" s="21" t="str">
        <f>IF(AND('Atividades Micro'!$B484=BQ$2,'Atividades Micro'!$G484="Macro",'Atividades Micro'!$K484&lt;&gt;""),'Atividades Micro'!$K484,"")</f>
        <v/>
      </c>
      <c r="BR432" s="21" t="str">
        <f>IF(AND('Atividades Micro'!$B484=BR$2,'Atividades Micro'!$G484="Macro",'Atividades Micro'!$K484&lt;&gt;""),'Atividades Micro'!$K484,"")</f>
        <v/>
      </c>
      <c r="BS432" s="21" t="str">
        <f>IF(AND('Atividades Micro'!$B484=BS$2,'Atividades Micro'!$G484="Macro",'Atividades Micro'!$K484&lt;&gt;""),'Atividades Micro'!$K484,"")</f>
        <v/>
      </c>
      <c r="BT432" s="21" t="str">
        <f>IF(AND('Atividades Micro'!$B484=BT$2,'Atividades Micro'!$G484="Macro",'Atividades Micro'!$K484&lt;&gt;""),'Atividades Micro'!$K484,"")</f>
        <v/>
      </c>
      <c r="BU432" s="21" t="str">
        <f>IF(AND('Atividades Micro'!$B484=BU$2,'Atividades Micro'!$G484="Macro",'Atividades Micro'!$K484&lt;&gt;""),'Atividades Micro'!$K484,"")</f>
        <v/>
      </c>
      <c r="BV432" s="21" t="str">
        <f>IF(AND('Atividades Micro'!$B484=BV$2,'Atividades Micro'!$G484="Macro",'Atividades Micro'!$K484&lt;&gt;""),'Atividades Micro'!$K484,"")</f>
        <v/>
      </c>
      <c r="BW432" s="21" t="str">
        <f>IF(AND('Atividades Micro'!$B484=BW$2,'Atividades Micro'!$G484="Macro",'Atividades Micro'!$K484&lt;&gt;""),'Atividades Micro'!$K484,"")</f>
        <v/>
      </c>
      <c r="BX432" s="21" t="str">
        <f>IF(AND('Atividades Micro'!$B484=BX$2,'Atividades Micro'!$G484="Macro",'Atividades Micro'!$K484&lt;&gt;""),'Atividades Micro'!$K484,"")</f>
        <v/>
      </c>
      <c r="BY432" s="21" t="str">
        <f>IF(AND('Atividades Micro'!$B484=BY$2,'Atividades Micro'!$G484="Macro",'Atividades Micro'!$K484&lt;&gt;""),'Atividades Micro'!$K484,"")</f>
        <v/>
      </c>
      <c r="BZ432" s="21" t="str">
        <f>IF(AND('Atividades Micro'!$B484=BZ$2,'Atividades Micro'!$G484="Macro",'Atividades Micro'!$K484&lt;&gt;""),'Atividades Micro'!$K484,"")</f>
        <v/>
      </c>
      <c r="CA432" s="21" t="str">
        <f>IF(AND('Atividades Micro'!$B484=CA$2,'Atividades Micro'!$G484="Macro",'Atividades Micro'!$K484&lt;&gt;""),'Atividades Micro'!$K484,"")</f>
        <v/>
      </c>
      <c r="CB432" s="21" t="str">
        <f>IF(AND('Atividades Micro'!$B484=CB$2,'Atividades Micro'!$G484="Macro",'Atividades Micro'!$K484&lt;&gt;""),'Atividades Micro'!$K484,"")</f>
        <v/>
      </c>
      <c r="CC432" s="21" t="str">
        <f>IF(AND('Atividades Micro'!$B484=CC$2,'Atividades Micro'!$G484="Macro",'Atividades Micro'!$K484&lt;&gt;""),'Atividades Micro'!$K484,"")</f>
        <v/>
      </c>
      <c r="CD432" s="21" t="str">
        <f>IF(AND('Atividades Micro'!$B484=CD$2,'Atividades Micro'!$G484="Micro",'Atividades Micro'!$K484&lt;&gt;""),'Atividades Micro'!$K484,"")</f>
        <v/>
      </c>
      <c r="CE432" s="21" t="str">
        <f>IF(AND('Atividades Micro'!$B484=CE$2,'Atividades Micro'!$G484="Micro",'Atividades Micro'!$K484&lt;&gt;""),'Atividades Micro'!$K484,"")</f>
        <v/>
      </c>
      <c r="CF432" s="21" t="str">
        <f>IF(AND('Atividades Micro'!$B484=CF$2,'Atividades Micro'!$G484="Micro",'Atividades Micro'!$K484&lt;&gt;""),'Atividades Micro'!$K484,"")</f>
        <v/>
      </c>
      <c r="CG432" s="21" t="str">
        <f>IF(AND('Atividades Micro'!$B484=CG$2,'Atividades Micro'!$G484="Micro",'Atividades Micro'!$K484&lt;&gt;""),'Atividades Micro'!$K484,"")</f>
        <v/>
      </c>
      <c r="CH432" s="21" t="str">
        <f>IF(AND('Atividades Micro'!$B484=CH$2,'Atividades Micro'!$G484="Micro",'Atividades Micro'!$K484&lt;&gt;""),'Atividades Micro'!$K484,"")</f>
        <v/>
      </c>
      <c r="CI432" s="21" t="str">
        <f>IF(AND('Atividades Micro'!$B484=CI$2,'Atividades Micro'!$G484="Micro",'Atividades Micro'!$K484&lt;&gt;""),'Atividades Micro'!$K484,"")</f>
        <v/>
      </c>
      <c r="CJ432" s="21" t="str">
        <f>IF(AND('Atividades Micro'!$B484=CJ$2,'Atividades Micro'!$G484="Micro",'Atividades Micro'!$K484&lt;&gt;""),'Atividades Micro'!$K484,"")</f>
        <v/>
      </c>
      <c r="CK432" s="21" t="str">
        <f>IF(AND('Atividades Micro'!$B484=CK$2,'Atividades Micro'!$G484="Micro",'Atividades Micro'!$K484&lt;&gt;""),'Atividades Micro'!$K484,"")</f>
        <v/>
      </c>
      <c r="CL432" s="21" t="str">
        <f>IF(AND('Atividades Micro'!$B484=CL$2,'Atividades Micro'!$G484="Micro",'Atividades Micro'!$K484&lt;&gt;""),'Atividades Micro'!$K484,"")</f>
        <v/>
      </c>
      <c r="CM432" s="21" t="str">
        <f>IF(AND('Atividades Micro'!$B484=CM$2,'Atividades Micro'!$G484="Micro",'Atividades Micro'!$K484&lt;&gt;""),'Atividades Micro'!$K484,"")</f>
        <v/>
      </c>
      <c r="CN432" s="21" t="str">
        <f>IF(AND('Atividades Micro'!$B484=CN$2,'Atividades Micro'!$G484="Micro",'Atividades Micro'!$K484&lt;&gt;""),'Atividades Micro'!$K484,"")</f>
        <v/>
      </c>
      <c r="CO432" s="21" t="str">
        <f>IF(AND('Atividades Micro'!$B484=CO$2,'Atividades Micro'!$G484="Micro",'Atividades Micro'!$K484&lt;&gt;""),'Atividades Micro'!$K484,"")</f>
        <v/>
      </c>
    </row>
    <row r="433" spans="1:93">
      <c r="A433" s="21" t="str">
        <f>IF(AND('Atividades Micro'!$A485=A$2,'Atividades Micro'!$K485&lt;&gt;""),'Atividades Micro'!$K485,"")</f>
        <v/>
      </c>
      <c r="B433" s="21" t="str">
        <f>IF(AND('Atividades Micro'!$A485=B$2,'Atividades Micro'!$L485&lt;&gt;""),'Atividades Micro'!$L485,"")</f>
        <v/>
      </c>
      <c r="C433" s="21" t="str">
        <f>IF(AND('Atividades Micro'!$A485=C$2,'Atividades Micro'!$K485&lt;&gt;""),'Atividades Micro'!$K485,"")</f>
        <v/>
      </c>
      <c r="D433" s="21" t="str">
        <f>IF(AND('Atividades Micro'!$A485=D$2,'Atividades Micro'!$L485&lt;&gt;""),'Atividades Micro'!$L485,"")</f>
        <v/>
      </c>
      <c r="E433" s="21" t="str">
        <f>IF(AND('Atividades Micro'!$A485=E$2,'Atividades Micro'!$K485&lt;&gt;""),'Atividades Micro'!$K485,"")</f>
        <v/>
      </c>
      <c r="F433" s="21" t="str">
        <f>IF(AND('Atividades Micro'!$A485=F$2,'Atividades Micro'!$L485&lt;&gt;""),'Atividades Micro'!$L485,"")</f>
        <v/>
      </c>
      <c r="G433" s="21" t="str">
        <f>IF(AND('Atividades Micro'!$A485=G$2,'Atividades Micro'!$K485&lt;&gt;""),'Atividades Micro'!$K485,"")</f>
        <v/>
      </c>
      <c r="H433" s="21" t="str">
        <f>IF(AND('Atividades Micro'!$A485=H$2,'Atividades Micro'!$L485&lt;&gt;""),'Atividades Micro'!$L485,"")</f>
        <v/>
      </c>
      <c r="I433" s="21" t="str">
        <f>IF(AND('Atividades Micro'!$A485=I$2,'Atividades Micro'!$K485&lt;&gt;""),'Atividades Micro'!$K485,"")</f>
        <v/>
      </c>
      <c r="J433" s="21" t="str">
        <f>IF(AND('Atividades Micro'!$A485=J$2,'Atividades Micro'!$L485&lt;&gt;""),'Atividades Micro'!$L485,"")</f>
        <v/>
      </c>
      <c r="K433" s="21" t="str">
        <f>IF(AND('Atividades Micro'!$B485=K$2,'Atividades Micro'!$K485&lt;&gt;""),'Atividades Micro'!$K485,"")</f>
        <v/>
      </c>
      <c r="L433" s="21" t="str">
        <f>IF(AND('Atividades Micro'!$B485=L$2,'Atividades Micro'!$L485&lt;&gt;""),'Atividades Micro'!$L485,"")</f>
        <v/>
      </c>
      <c r="M433" s="21" t="str">
        <f>IF(AND('Atividades Micro'!$B485=M$2,'Atividades Micro'!$K485&lt;&gt;""),'Atividades Micro'!$K485,"")</f>
        <v/>
      </c>
      <c r="N433" s="21" t="str">
        <f>IF(AND('Atividades Micro'!$B485=N$2,'Atividades Micro'!$L485&lt;&gt;""),'Atividades Micro'!$L485,"")</f>
        <v/>
      </c>
      <c r="O433" s="21" t="str">
        <f>IF(AND('Atividades Micro'!$A485=O$2,'Atividades Micro'!$K485&lt;&gt;""),'Atividades Micro'!$K485,"")</f>
        <v/>
      </c>
      <c r="P433" s="21" t="str">
        <f>IF(AND('Atividades Micro'!$A485=P$2,'Atividades Micro'!$L485&lt;&gt;""),'Atividades Micro'!$L485,"")</f>
        <v/>
      </c>
      <c r="Q433" s="21" t="str">
        <f>IF(AND('Atividades Micro'!$B485=Q$2,'Atividades Micro'!$K485&lt;&gt;""),'Atividades Micro'!$K485,"")</f>
        <v/>
      </c>
      <c r="R433" s="21" t="str">
        <f>IF(AND('Atividades Micro'!$B485=R$2,'Atividades Micro'!$L485&lt;&gt;""),'Atividades Micro'!$L485,"")</f>
        <v/>
      </c>
      <c r="S433" s="21" t="str">
        <f>IF(AND('Atividades Micro'!$A485=S$2,'Atividades Micro'!$K485&lt;&gt;""),'Atividades Micro'!$K485,"")</f>
        <v/>
      </c>
      <c r="T433" s="21" t="str">
        <f>IF(AND('Atividades Micro'!$A485=T$2,'Atividades Micro'!$L485&lt;&gt;""),'Atividades Micro'!$L485,"")</f>
        <v/>
      </c>
      <c r="U433" s="21" t="str">
        <f>IF(AND('Atividades Micro'!$B485=U$2,'Atividades Micro'!$K485&lt;&gt;""),'Atividades Micro'!$K485,"")</f>
        <v/>
      </c>
      <c r="V433" s="21" t="str">
        <f>IF(AND('Atividades Micro'!$B485=V$2,'Atividades Micro'!$L485&lt;&gt;""),'Atividades Micro'!$L485,"")</f>
        <v/>
      </c>
      <c r="W433" s="21" t="str">
        <f>IF(AND('Atividades Micro'!$B485=W$2,'Atividades Micro'!$K485&lt;&gt;""),'Atividades Micro'!$K485,"")</f>
        <v/>
      </c>
      <c r="X433" s="21" t="str">
        <f>IF(AND('Atividades Micro'!$B485=X$2,'Atividades Micro'!$L485&lt;&gt;""),'Atividades Micro'!$L485,"")</f>
        <v/>
      </c>
      <c r="Y433" s="21" t="str">
        <f>IF(AND('Atividades Micro'!$A485=Y$2,'Atividades Micro'!$K485&lt;&gt;""),'Atividades Micro'!$K485,"")</f>
        <v/>
      </c>
      <c r="Z433" s="21" t="str">
        <f>IF(AND('Atividades Micro'!$A485=Z$2,'Atividades Micro'!$L485&lt;&gt;""),'Atividades Micro'!$L485,"")</f>
        <v/>
      </c>
      <c r="AA433" s="21" t="str">
        <f>IF(AND('Atividades Micro'!$B485=AA$2,'Atividades Micro'!$K485&lt;&gt;""),'Atividades Micro'!$K485,"")</f>
        <v/>
      </c>
      <c r="AB433" s="21" t="str">
        <f>IF(AND('Atividades Micro'!$B485=AB$2,'Atividades Micro'!$L485&lt;&gt;""),'Atividades Micro'!$L485,"")</f>
        <v/>
      </c>
      <c r="AC433" s="21" t="str">
        <f>IF(AND('Atividades Micro'!$B485=AC$2,'Atividades Micro'!$K485&lt;&gt;""),'Atividades Micro'!$K485,"")</f>
        <v/>
      </c>
      <c r="AD433" s="21" t="str">
        <f>IF(AND('Atividades Micro'!$B485=AD$2,'Atividades Micro'!$L485&lt;&gt;""),'Atividades Micro'!$L485,"")</f>
        <v/>
      </c>
      <c r="AE433" s="21" t="str">
        <f>IF(AND('Atividades Micro'!$A485=AE$2,'Atividades Micro'!$K485&lt;&gt;""),'Atividades Micro'!$K485,"")</f>
        <v/>
      </c>
      <c r="AF433" s="21" t="str">
        <f>IF(AND('Atividades Micro'!$A485=AF$2,'Atividades Micro'!$L485&lt;&gt;""),'Atividades Micro'!$L485,"")</f>
        <v/>
      </c>
      <c r="AG433" s="21" t="str">
        <f>IF(AND('Atividades Micro'!$B485=AG$2,'Atividades Micro'!$K485&lt;&gt;""),'Atividades Micro'!$K485,"")</f>
        <v/>
      </c>
      <c r="AH433" s="21" t="str">
        <f>IF(AND('Atividades Micro'!$B485=AH$2,'Atividades Micro'!$L485&lt;&gt;""),'Atividades Micro'!$L485,"")</f>
        <v/>
      </c>
      <c r="AI433" s="21" t="str">
        <f>IF(AND('Atividades Micro'!$B485=AI$2,'Atividades Micro'!$K485&lt;&gt;""),'Atividades Micro'!$K485,"")</f>
        <v/>
      </c>
      <c r="AJ433" s="21" t="str">
        <f>IF(AND('Atividades Micro'!$B485=AJ$2,'Atividades Micro'!$L485&lt;&gt;""),'Atividades Micro'!$L485,"")</f>
        <v/>
      </c>
      <c r="AK433" s="21" t="str">
        <f>IF(AND('Atividades Micro'!$A485=AK$2,'Atividades Micro'!$K485&lt;&gt;""),'Atividades Micro'!$K485,"")</f>
        <v/>
      </c>
      <c r="AL433" s="21" t="str">
        <f>IF(AND('Atividades Micro'!$A485=AL$2,'Atividades Micro'!$L485&lt;&gt;""),'Atividades Micro'!$L485,"")</f>
        <v/>
      </c>
      <c r="AM433" s="21" t="str">
        <f>IF(AND('Atividades Micro'!$B485=AM$2,'Atividades Micro'!$K485&lt;&gt;""),'Atividades Micro'!$K485,"")</f>
        <v/>
      </c>
      <c r="AN433" s="21" t="str">
        <f>IF(AND('Atividades Micro'!$B485=AN$2,'Atividades Micro'!$L485&lt;&gt;""),'Atividades Micro'!$L485,"")</f>
        <v/>
      </c>
      <c r="AO433" s="21" t="str">
        <f>IF(AND('Atividades Micro'!$B485=AO$2,'Atividades Micro'!$K485&lt;&gt;""),'Atividades Micro'!$K485,"")</f>
        <v/>
      </c>
      <c r="AP433" s="21" t="str">
        <f>IF(AND('Atividades Micro'!$B485=AP$2,'Atividades Micro'!$L485&lt;&gt;""),'Atividades Micro'!$L485,"")</f>
        <v/>
      </c>
      <c r="AQ433" s="21" t="str">
        <f>IF(AND('Atividades Micro'!$A485=AQ$2,'Atividades Micro'!$K485&lt;&gt;""),'Atividades Micro'!$K485,"")</f>
        <v/>
      </c>
      <c r="AR433" s="21" t="str">
        <f>IF(AND('Atividades Micro'!$A485=AR$2,'Atividades Micro'!$L485&lt;&gt;""),'Atividades Micro'!$L485,"")</f>
        <v/>
      </c>
      <c r="AS433" s="21" t="str">
        <f>IF(AND('Atividades Micro'!$B485=AS$2,'Atividades Micro'!$K485&lt;&gt;""),'Atividades Micro'!$K485,"")</f>
        <v/>
      </c>
      <c r="AT433" s="21" t="str">
        <f>IF(AND('Atividades Micro'!$B485=AT$2,'Atividades Micro'!$L485&lt;&gt;""),'Atividades Micro'!$L485,"")</f>
        <v/>
      </c>
      <c r="AU433" s="21" t="str">
        <f>IF(AND('Atividades Micro'!$A485=AU$2,'Atividades Micro'!$K485&lt;&gt;""),'Atividades Micro'!$K485,"")</f>
        <v/>
      </c>
      <c r="AV433" s="21" t="str">
        <f>IF(AND('Atividades Micro'!$A485=AV$2,'Atividades Micro'!$L485&lt;&gt;""),'Atividades Micro'!$L485,"")</f>
        <v/>
      </c>
      <c r="AW433" s="21" t="str">
        <f>IF(AND('Atividades Micro'!$B485=AW$2,'Atividades Micro'!$K485&lt;&gt;""),'Atividades Micro'!$K485,"")</f>
        <v/>
      </c>
      <c r="AX433" s="21" t="str">
        <f>IF(AND('Atividades Micro'!$B485=AX$2,'Atividades Micro'!$L485&lt;&gt;""),'Atividades Micro'!$L485,"")</f>
        <v/>
      </c>
      <c r="AY433" s="21" t="str">
        <f>IF(AND('Atividades Micro'!$A485=AY$2,'Atividades Micro'!$K485&lt;&gt;""),'Atividades Micro'!$K485,"")</f>
        <v/>
      </c>
      <c r="AZ433" s="21" t="str">
        <f>IF(AND('Atividades Micro'!$A485=AZ$2,'Atividades Micro'!$L485&lt;&gt;""),'Atividades Micro'!$L485,"")</f>
        <v/>
      </c>
      <c r="BA433" s="21" t="str">
        <f>IF(AND('Atividades Micro'!$B485=BA$2,'Atividades Micro'!$K485&lt;&gt;""),'Atividades Micro'!$K485,"")</f>
        <v/>
      </c>
      <c r="BB433" s="21" t="str">
        <f>IF(AND('Atividades Micro'!$B485=BB$2,'Atividades Micro'!$L485&lt;&gt;""),'Atividades Micro'!$L485,"")</f>
        <v/>
      </c>
      <c r="BC433" s="21" t="str">
        <f>IF(AND('Atividades Micro'!$B485=BC$2,'Atividades Micro'!$G485="Macro",'Atividades Micro'!$K485&lt;&gt;""),'Atividades Micro'!$K485,"")</f>
        <v/>
      </c>
      <c r="BD433" s="21" t="str">
        <f>IF(AND('Atividades Micro'!$B485=BD$2,'Atividades Micro'!$G485="Macro",'Atividades Micro'!$K485&lt;&gt;""),'Atividades Micro'!$K485,"")</f>
        <v/>
      </c>
      <c r="BE433" s="21" t="str">
        <f>IF(AND('Atividades Micro'!$B485=BE$2,'Atividades Micro'!$G485="Macro",'Atividades Micro'!$K485&lt;&gt;""),'Atividades Micro'!$K485,"")</f>
        <v/>
      </c>
      <c r="BF433" s="21" t="str">
        <f>IF(AND('Atividades Micro'!$B485=BF$2,'Atividades Micro'!$G485="Macro",'Atividades Micro'!$K485&lt;&gt;""),'Atividades Micro'!$K485,"")</f>
        <v/>
      </c>
      <c r="BG433" s="21" t="str">
        <f>IF(AND('Atividades Micro'!$B485=BG$2,'Atividades Micro'!$G485="Macro",'Atividades Micro'!$K485&lt;&gt;""),'Atividades Micro'!$K485,"")</f>
        <v/>
      </c>
      <c r="BH433" s="21" t="str">
        <f>IF(AND('Atividades Micro'!$B485=BH$2,'Atividades Micro'!$G485="Macro",'Atividades Micro'!$K485&lt;&gt;""),'Atividades Micro'!$K485,"")</f>
        <v/>
      </c>
      <c r="BI433" s="21" t="str">
        <f>IF(AND('Atividades Micro'!$B485=BI$2,'Atividades Micro'!$G485="Macro",'Atividades Micro'!$K485&lt;&gt;""),'Atividades Micro'!$K485,"")</f>
        <v/>
      </c>
      <c r="BJ433" s="21" t="str">
        <f>IF(AND('Atividades Micro'!$B485=BJ$2,'Atividades Micro'!$G485="Macro",'Atividades Micro'!$K485&lt;&gt;""),'Atividades Micro'!$K485,"")</f>
        <v/>
      </c>
      <c r="BK433" s="21" t="str">
        <f>IF(AND('Atividades Micro'!$B485=BK$2,'Atividades Micro'!$G485="Macro",'Atividades Micro'!$K485&lt;&gt;""),'Atividades Micro'!$K485,"")</f>
        <v/>
      </c>
      <c r="BL433" s="21" t="str">
        <f>IF(AND('Atividades Micro'!$B485=BL$2,'Atividades Micro'!$G485="Macro",'Atividades Micro'!$K485&lt;&gt;""),'Atividades Micro'!$K485,"")</f>
        <v/>
      </c>
      <c r="BM433" s="21" t="str">
        <f>IF(AND('Atividades Micro'!$B485=BM$2,'Atividades Micro'!$G485="Macro",'Atividades Micro'!$K485&lt;&gt;""),'Atividades Micro'!$K485,"")</f>
        <v/>
      </c>
      <c r="BN433" s="21" t="str">
        <f>IF(AND('Atividades Micro'!$B485=BN$2,'Atividades Micro'!$G485="Macro",'Atividades Micro'!$K485&lt;&gt;""),'Atividades Micro'!$K485,"")</f>
        <v/>
      </c>
      <c r="BO433" s="21" t="str">
        <f>IF(AND('Atividades Micro'!$B485=BO$2,'Atividades Micro'!$G485="Macro",'Atividades Micro'!$K485&lt;&gt;""),'Atividades Micro'!$K485,"")</f>
        <v/>
      </c>
      <c r="BP433" s="21" t="str">
        <f>IF(AND('Atividades Micro'!$B485=BP$2,'Atividades Micro'!$G485="Macro",'Atividades Micro'!$K485&lt;&gt;""),'Atividades Micro'!$K485,"")</f>
        <v/>
      </c>
      <c r="BQ433" s="21" t="str">
        <f>IF(AND('Atividades Micro'!$B485=BQ$2,'Atividades Micro'!$G485="Macro",'Atividades Micro'!$K485&lt;&gt;""),'Atividades Micro'!$K485,"")</f>
        <v/>
      </c>
      <c r="BR433" s="21" t="str">
        <f>IF(AND('Atividades Micro'!$B485=BR$2,'Atividades Micro'!$G485="Macro",'Atividades Micro'!$K485&lt;&gt;""),'Atividades Micro'!$K485,"")</f>
        <v/>
      </c>
      <c r="BS433" s="21" t="str">
        <f>IF(AND('Atividades Micro'!$B485=BS$2,'Atividades Micro'!$G485="Macro",'Atividades Micro'!$K485&lt;&gt;""),'Atividades Micro'!$K485,"")</f>
        <v/>
      </c>
      <c r="BT433" s="21" t="str">
        <f>IF(AND('Atividades Micro'!$B485=BT$2,'Atividades Micro'!$G485="Macro",'Atividades Micro'!$K485&lt;&gt;""),'Atividades Micro'!$K485,"")</f>
        <v/>
      </c>
      <c r="BU433" s="21" t="str">
        <f>IF(AND('Atividades Micro'!$B485=BU$2,'Atividades Micro'!$G485="Macro",'Atividades Micro'!$K485&lt;&gt;""),'Atividades Micro'!$K485,"")</f>
        <v/>
      </c>
      <c r="BV433" s="21" t="str">
        <f>IF(AND('Atividades Micro'!$B485=BV$2,'Atividades Micro'!$G485="Macro",'Atividades Micro'!$K485&lt;&gt;""),'Atividades Micro'!$K485,"")</f>
        <v/>
      </c>
      <c r="BW433" s="21" t="str">
        <f>IF(AND('Atividades Micro'!$B485=BW$2,'Atividades Micro'!$G485="Macro",'Atividades Micro'!$K485&lt;&gt;""),'Atividades Micro'!$K485,"")</f>
        <v/>
      </c>
      <c r="BX433" s="21" t="str">
        <f>IF(AND('Atividades Micro'!$B485=BX$2,'Atividades Micro'!$G485="Macro",'Atividades Micro'!$K485&lt;&gt;""),'Atividades Micro'!$K485,"")</f>
        <v/>
      </c>
      <c r="BY433" s="21" t="str">
        <f>IF(AND('Atividades Micro'!$B485=BY$2,'Atividades Micro'!$G485="Macro",'Atividades Micro'!$K485&lt;&gt;""),'Atividades Micro'!$K485,"")</f>
        <v/>
      </c>
      <c r="BZ433" s="21" t="str">
        <f>IF(AND('Atividades Micro'!$B485=BZ$2,'Atividades Micro'!$G485="Macro",'Atividades Micro'!$K485&lt;&gt;""),'Atividades Micro'!$K485,"")</f>
        <v/>
      </c>
      <c r="CA433" s="21" t="str">
        <f>IF(AND('Atividades Micro'!$B485=CA$2,'Atividades Micro'!$G485="Macro",'Atividades Micro'!$K485&lt;&gt;""),'Atividades Micro'!$K485,"")</f>
        <v/>
      </c>
      <c r="CB433" s="21" t="str">
        <f>IF(AND('Atividades Micro'!$B485=CB$2,'Atividades Micro'!$G485="Macro",'Atividades Micro'!$K485&lt;&gt;""),'Atividades Micro'!$K485,"")</f>
        <v/>
      </c>
      <c r="CC433" s="21" t="str">
        <f>IF(AND('Atividades Micro'!$B485=CC$2,'Atividades Micro'!$G485="Macro",'Atividades Micro'!$K485&lt;&gt;""),'Atividades Micro'!$K485,"")</f>
        <v/>
      </c>
      <c r="CD433" s="21" t="str">
        <f>IF(AND('Atividades Micro'!$B485=CD$2,'Atividades Micro'!$G485="Micro",'Atividades Micro'!$K485&lt;&gt;""),'Atividades Micro'!$K485,"")</f>
        <v/>
      </c>
      <c r="CE433" s="21" t="str">
        <f>IF(AND('Atividades Micro'!$B485=CE$2,'Atividades Micro'!$G485="Micro",'Atividades Micro'!$K485&lt;&gt;""),'Atividades Micro'!$K485,"")</f>
        <v/>
      </c>
      <c r="CF433" s="21" t="str">
        <f>IF(AND('Atividades Micro'!$B485=CF$2,'Atividades Micro'!$G485="Micro",'Atividades Micro'!$K485&lt;&gt;""),'Atividades Micro'!$K485,"")</f>
        <v/>
      </c>
      <c r="CG433" s="21" t="str">
        <f>IF(AND('Atividades Micro'!$B485=CG$2,'Atividades Micro'!$G485="Micro",'Atividades Micro'!$K485&lt;&gt;""),'Atividades Micro'!$K485,"")</f>
        <v/>
      </c>
      <c r="CH433" s="21" t="str">
        <f>IF(AND('Atividades Micro'!$B485=CH$2,'Atividades Micro'!$G485="Micro",'Atividades Micro'!$K485&lt;&gt;""),'Atividades Micro'!$K485,"")</f>
        <v/>
      </c>
      <c r="CI433" s="21" t="str">
        <f>IF(AND('Atividades Micro'!$B485=CI$2,'Atividades Micro'!$G485="Micro",'Atividades Micro'!$K485&lt;&gt;""),'Atividades Micro'!$K485,"")</f>
        <v/>
      </c>
      <c r="CJ433" s="21" t="str">
        <f>IF(AND('Atividades Micro'!$B485=CJ$2,'Atividades Micro'!$G485="Micro",'Atividades Micro'!$K485&lt;&gt;""),'Atividades Micro'!$K485,"")</f>
        <v/>
      </c>
      <c r="CK433" s="21" t="str">
        <f>IF(AND('Atividades Micro'!$B485=CK$2,'Atividades Micro'!$G485="Micro",'Atividades Micro'!$K485&lt;&gt;""),'Atividades Micro'!$K485,"")</f>
        <v/>
      </c>
      <c r="CL433" s="21" t="str">
        <f>IF(AND('Atividades Micro'!$B485=CL$2,'Atividades Micro'!$G485="Micro",'Atividades Micro'!$K485&lt;&gt;""),'Atividades Micro'!$K485,"")</f>
        <v/>
      </c>
      <c r="CM433" s="21" t="str">
        <f>IF(AND('Atividades Micro'!$B485=CM$2,'Atividades Micro'!$G485="Micro",'Atividades Micro'!$K485&lt;&gt;""),'Atividades Micro'!$K485,"")</f>
        <v/>
      </c>
      <c r="CN433" s="21" t="str">
        <f>IF(AND('Atividades Micro'!$B485=CN$2,'Atividades Micro'!$G485="Micro",'Atividades Micro'!$K485&lt;&gt;""),'Atividades Micro'!$K485,"")</f>
        <v/>
      </c>
      <c r="CO433" s="21" t="str">
        <f>IF(AND('Atividades Micro'!$B485=CO$2,'Atividades Micro'!$G485="Micro",'Atividades Micro'!$K485&lt;&gt;""),'Atividades Micro'!$K485,"")</f>
        <v/>
      </c>
    </row>
    <row r="434" spans="1:93">
      <c r="A434" s="21" t="str">
        <f>IF(AND('Atividades Micro'!$A486=A$2,'Atividades Micro'!$K486&lt;&gt;""),'Atividades Micro'!$K486,"")</f>
        <v/>
      </c>
      <c r="B434" s="21" t="str">
        <f>IF(AND('Atividades Micro'!$A486=B$2,'Atividades Micro'!$L486&lt;&gt;""),'Atividades Micro'!$L486,"")</f>
        <v/>
      </c>
      <c r="C434" s="21" t="str">
        <f>IF(AND('Atividades Micro'!$A486=C$2,'Atividades Micro'!$K486&lt;&gt;""),'Atividades Micro'!$K486,"")</f>
        <v/>
      </c>
      <c r="D434" s="21" t="str">
        <f>IF(AND('Atividades Micro'!$A486=D$2,'Atividades Micro'!$L486&lt;&gt;""),'Atividades Micro'!$L486,"")</f>
        <v/>
      </c>
      <c r="E434" s="21" t="str">
        <f>IF(AND('Atividades Micro'!$A486=E$2,'Atividades Micro'!$K486&lt;&gt;""),'Atividades Micro'!$K486,"")</f>
        <v/>
      </c>
      <c r="F434" s="21" t="str">
        <f>IF(AND('Atividades Micro'!$A486=F$2,'Atividades Micro'!$L486&lt;&gt;""),'Atividades Micro'!$L486,"")</f>
        <v/>
      </c>
      <c r="G434" s="21" t="str">
        <f>IF(AND('Atividades Micro'!$A486=G$2,'Atividades Micro'!$K486&lt;&gt;""),'Atividades Micro'!$K486,"")</f>
        <v/>
      </c>
      <c r="H434" s="21" t="str">
        <f>IF(AND('Atividades Micro'!$A486=H$2,'Atividades Micro'!$L486&lt;&gt;""),'Atividades Micro'!$L486,"")</f>
        <v/>
      </c>
      <c r="I434" s="21" t="str">
        <f>IF(AND('Atividades Micro'!$A486=I$2,'Atividades Micro'!$K486&lt;&gt;""),'Atividades Micro'!$K486,"")</f>
        <v/>
      </c>
      <c r="J434" s="21" t="str">
        <f>IF(AND('Atividades Micro'!$A486=J$2,'Atividades Micro'!$L486&lt;&gt;""),'Atividades Micro'!$L486,"")</f>
        <v/>
      </c>
      <c r="K434" s="21" t="str">
        <f>IF(AND('Atividades Micro'!$B486=K$2,'Atividades Micro'!$K486&lt;&gt;""),'Atividades Micro'!$K486,"")</f>
        <v/>
      </c>
      <c r="L434" s="21" t="str">
        <f>IF(AND('Atividades Micro'!$B486=L$2,'Atividades Micro'!$L486&lt;&gt;""),'Atividades Micro'!$L486,"")</f>
        <v/>
      </c>
      <c r="M434" s="21" t="str">
        <f>IF(AND('Atividades Micro'!$B486=M$2,'Atividades Micro'!$K486&lt;&gt;""),'Atividades Micro'!$K486,"")</f>
        <v/>
      </c>
      <c r="N434" s="21" t="str">
        <f>IF(AND('Atividades Micro'!$B486=N$2,'Atividades Micro'!$L486&lt;&gt;""),'Atividades Micro'!$L486,"")</f>
        <v/>
      </c>
      <c r="O434" s="21" t="str">
        <f>IF(AND('Atividades Micro'!$A486=O$2,'Atividades Micro'!$K486&lt;&gt;""),'Atividades Micro'!$K486,"")</f>
        <v/>
      </c>
      <c r="P434" s="21" t="str">
        <f>IF(AND('Atividades Micro'!$A486=P$2,'Atividades Micro'!$L486&lt;&gt;""),'Atividades Micro'!$L486,"")</f>
        <v/>
      </c>
      <c r="Q434" s="21" t="str">
        <f>IF(AND('Atividades Micro'!$B486=Q$2,'Atividades Micro'!$K486&lt;&gt;""),'Atividades Micro'!$K486,"")</f>
        <v/>
      </c>
      <c r="R434" s="21" t="str">
        <f>IF(AND('Atividades Micro'!$B486=R$2,'Atividades Micro'!$L486&lt;&gt;""),'Atividades Micro'!$L486,"")</f>
        <v/>
      </c>
      <c r="S434" s="21" t="str">
        <f>IF(AND('Atividades Micro'!$A486=S$2,'Atividades Micro'!$K486&lt;&gt;""),'Atividades Micro'!$K486,"")</f>
        <v/>
      </c>
      <c r="T434" s="21" t="str">
        <f>IF(AND('Atividades Micro'!$A486=T$2,'Atividades Micro'!$L486&lt;&gt;""),'Atividades Micro'!$L486,"")</f>
        <v/>
      </c>
      <c r="U434" s="21" t="str">
        <f>IF(AND('Atividades Micro'!$B486=U$2,'Atividades Micro'!$K486&lt;&gt;""),'Atividades Micro'!$K486,"")</f>
        <v/>
      </c>
      <c r="V434" s="21" t="str">
        <f>IF(AND('Atividades Micro'!$B486=V$2,'Atividades Micro'!$L486&lt;&gt;""),'Atividades Micro'!$L486,"")</f>
        <v/>
      </c>
      <c r="W434" s="21" t="str">
        <f>IF(AND('Atividades Micro'!$B486=W$2,'Atividades Micro'!$K486&lt;&gt;""),'Atividades Micro'!$K486,"")</f>
        <v/>
      </c>
      <c r="X434" s="21" t="str">
        <f>IF(AND('Atividades Micro'!$B486=X$2,'Atividades Micro'!$L486&lt;&gt;""),'Atividades Micro'!$L486,"")</f>
        <v/>
      </c>
      <c r="Y434" s="21" t="str">
        <f>IF(AND('Atividades Micro'!$A486=Y$2,'Atividades Micro'!$K486&lt;&gt;""),'Atividades Micro'!$K486,"")</f>
        <v/>
      </c>
      <c r="Z434" s="21" t="str">
        <f>IF(AND('Atividades Micro'!$A486=Z$2,'Atividades Micro'!$L486&lt;&gt;""),'Atividades Micro'!$L486,"")</f>
        <v/>
      </c>
      <c r="AA434" s="21" t="str">
        <f>IF(AND('Atividades Micro'!$B486=AA$2,'Atividades Micro'!$K486&lt;&gt;""),'Atividades Micro'!$K486,"")</f>
        <v/>
      </c>
      <c r="AB434" s="21" t="str">
        <f>IF(AND('Atividades Micro'!$B486=AB$2,'Atividades Micro'!$L486&lt;&gt;""),'Atividades Micro'!$L486,"")</f>
        <v/>
      </c>
      <c r="AC434" s="21" t="str">
        <f>IF(AND('Atividades Micro'!$B486=AC$2,'Atividades Micro'!$K486&lt;&gt;""),'Atividades Micro'!$K486,"")</f>
        <v/>
      </c>
      <c r="AD434" s="21" t="str">
        <f>IF(AND('Atividades Micro'!$B486=AD$2,'Atividades Micro'!$L486&lt;&gt;""),'Atividades Micro'!$L486,"")</f>
        <v/>
      </c>
      <c r="AE434" s="21" t="str">
        <f>IF(AND('Atividades Micro'!$A486=AE$2,'Atividades Micro'!$K486&lt;&gt;""),'Atividades Micro'!$K486,"")</f>
        <v/>
      </c>
      <c r="AF434" s="21" t="str">
        <f>IF(AND('Atividades Micro'!$A486=AF$2,'Atividades Micro'!$L486&lt;&gt;""),'Atividades Micro'!$L486,"")</f>
        <v/>
      </c>
      <c r="AG434" s="21" t="str">
        <f>IF(AND('Atividades Micro'!$B486=AG$2,'Atividades Micro'!$K486&lt;&gt;""),'Atividades Micro'!$K486,"")</f>
        <v/>
      </c>
      <c r="AH434" s="21" t="str">
        <f>IF(AND('Atividades Micro'!$B486=AH$2,'Atividades Micro'!$L486&lt;&gt;""),'Atividades Micro'!$L486,"")</f>
        <v/>
      </c>
      <c r="AI434" s="21" t="str">
        <f>IF(AND('Atividades Micro'!$B486=AI$2,'Atividades Micro'!$K486&lt;&gt;""),'Atividades Micro'!$K486,"")</f>
        <v/>
      </c>
      <c r="AJ434" s="21" t="str">
        <f>IF(AND('Atividades Micro'!$B486=AJ$2,'Atividades Micro'!$L486&lt;&gt;""),'Atividades Micro'!$L486,"")</f>
        <v/>
      </c>
      <c r="AK434" s="21" t="str">
        <f>IF(AND('Atividades Micro'!$A486=AK$2,'Atividades Micro'!$K486&lt;&gt;""),'Atividades Micro'!$K486,"")</f>
        <v/>
      </c>
      <c r="AL434" s="21" t="str">
        <f>IF(AND('Atividades Micro'!$A486=AL$2,'Atividades Micro'!$L486&lt;&gt;""),'Atividades Micro'!$L486,"")</f>
        <v/>
      </c>
      <c r="AM434" s="21" t="str">
        <f>IF(AND('Atividades Micro'!$B486=AM$2,'Atividades Micro'!$K486&lt;&gt;""),'Atividades Micro'!$K486,"")</f>
        <v/>
      </c>
      <c r="AN434" s="21" t="str">
        <f>IF(AND('Atividades Micro'!$B486=AN$2,'Atividades Micro'!$L486&lt;&gt;""),'Atividades Micro'!$L486,"")</f>
        <v/>
      </c>
      <c r="AO434" s="21" t="str">
        <f>IF(AND('Atividades Micro'!$B486=AO$2,'Atividades Micro'!$K486&lt;&gt;""),'Atividades Micro'!$K486,"")</f>
        <v/>
      </c>
      <c r="AP434" s="21" t="str">
        <f>IF(AND('Atividades Micro'!$B486=AP$2,'Atividades Micro'!$L486&lt;&gt;""),'Atividades Micro'!$L486,"")</f>
        <v/>
      </c>
      <c r="AQ434" s="21" t="str">
        <f>IF(AND('Atividades Micro'!$A486=AQ$2,'Atividades Micro'!$K486&lt;&gt;""),'Atividades Micro'!$K486,"")</f>
        <v/>
      </c>
      <c r="AR434" s="21" t="str">
        <f>IF(AND('Atividades Micro'!$A486=AR$2,'Atividades Micro'!$L486&lt;&gt;""),'Atividades Micro'!$L486,"")</f>
        <v/>
      </c>
      <c r="AS434" s="21" t="str">
        <f>IF(AND('Atividades Micro'!$B486=AS$2,'Atividades Micro'!$K486&lt;&gt;""),'Atividades Micro'!$K486,"")</f>
        <v/>
      </c>
      <c r="AT434" s="21" t="str">
        <f>IF(AND('Atividades Micro'!$B486=AT$2,'Atividades Micro'!$L486&lt;&gt;""),'Atividades Micro'!$L486,"")</f>
        <v/>
      </c>
      <c r="AU434" s="21" t="str">
        <f>IF(AND('Atividades Micro'!$A486=AU$2,'Atividades Micro'!$K486&lt;&gt;""),'Atividades Micro'!$K486,"")</f>
        <v/>
      </c>
      <c r="AV434" s="21" t="str">
        <f>IF(AND('Atividades Micro'!$A486=AV$2,'Atividades Micro'!$L486&lt;&gt;""),'Atividades Micro'!$L486,"")</f>
        <v/>
      </c>
      <c r="AW434" s="21" t="str">
        <f>IF(AND('Atividades Micro'!$B486=AW$2,'Atividades Micro'!$K486&lt;&gt;""),'Atividades Micro'!$K486,"")</f>
        <v/>
      </c>
      <c r="AX434" s="21" t="str">
        <f>IF(AND('Atividades Micro'!$B486=AX$2,'Atividades Micro'!$L486&lt;&gt;""),'Atividades Micro'!$L486,"")</f>
        <v/>
      </c>
      <c r="AY434" s="21" t="str">
        <f>IF(AND('Atividades Micro'!$A486=AY$2,'Atividades Micro'!$K486&lt;&gt;""),'Atividades Micro'!$K486,"")</f>
        <v/>
      </c>
      <c r="AZ434" s="21" t="str">
        <f>IF(AND('Atividades Micro'!$A486=AZ$2,'Atividades Micro'!$L486&lt;&gt;""),'Atividades Micro'!$L486,"")</f>
        <v/>
      </c>
      <c r="BA434" s="21" t="str">
        <f>IF(AND('Atividades Micro'!$B486=BA$2,'Atividades Micro'!$K486&lt;&gt;""),'Atividades Micro'!$K486,"")</f>
        <v/>
      </c>
      <c r="BB434" s="21" t="str">
        <f>IF(AND('Atividades Micro'!$B486=BB$2,'Atividades Micro'!$L486&lt;&gt;""),'Atividades Micro'!$L486,"")</f>
        <v/>
      </c>
      <c r="BC434" s="21" t="str">
        <f>IF(AND('Atividades Micro'!$B486=BC$2,'Atividades Micro'!$G486="Macro",'Atividades Micro'!$K486&lt;&gt;""),'Atividades Micro'!$K486,"")</f>
        <v/>
      </c>
      <c r="BD434" s="21" t="str">
        <f>IF(AND('Atividades Micro'!$B486=BD$2,'Atividades Micro'!$G486="Macro",'Atividades Micro'!$K486&lt;&gt;""),'Atividades Micro'!$K486,"")</f>
        <v/>
      </c>
      <c r="BE434" s="21" t="str">
        <f>IF(AND('Atividades Micro'!$B486=BE$2,'Atividades Micro'!$G486="Macro",'Atividades Micro'!$K486&lt;&gt;""),'Atividades Micro'!$K486,"")</f>
        <v/>
      </c>
      <c r="BF434" s="21" t="str">
        <f>IF(AND('Atividades Micro'!$B486=BF$2,'Atividades Micro'!$G486="Macro",'Atividades Micro'!$K486&lt;&gt;""),'Atividades Micro'!$K486,"")</f>
        <v/>
      </c>
      <c r="BG434" s="21" t="str">
        <f>IF(AND('Atividades Micro'!$B486=BG$2,'Atividades Micro'!$G486="Macro",'Atividades Micro'!$K486&lt;&gt;""),'Atividades Micro'!$K486,"")</f>
        <v/>
      </c>
      <c r="BH434" s="21" t="str">
        <f>IF(AND('Atividades Micro'!$B486=BH$2,'Atividades Micro'!$G486="Macro",'Atividades Micro'!$K486&lt;&gt;""),'Atividades Micro'!$K486,"")</f>
        <v/>
      </c>
      <c r="BI434" s="21" t="str">
        <f>IF(AND('Atividades Micro'!$B486=BI$2,'Atividades Micro'!$G486="Macro",'Atividades Micro'!$K486&lt;&gt;""),'Atividades Micro'!$K486,"")</f>
        <v/>
      </c>
      <c r="BJ434" s="21" t="str">
        <f>IF(AND('Atividades Micro'!$B486=BJ$2,'Atividades Micro'!$G486="Macro",'Atividades Micro'!$K486&lt;&gt;""),'Atividades Micro'!$K486,"")</f>
        <v/>
      </c>
      <c r="BK434" s="21" t="str">
        <f>IF(AND('Atividades Micro'!$B486=BK$2,'Atividades Micro'!$G486="Macro",'Atividades Micro'!$K486&lt;&gt;""),'Atividades Micro'!$K486,"")</f>
        <v/>
      </c>
      <c r="BL434" s="21" t="str">
        <f>IF(AND('Atividades Micro'!$B486=BL$2,'Atividades Micro'!$G486="Macro",'Atividades Micro'!$K486&lt;&gt;""),'Atividades Micro'!$K486,"")</f>
        <v/>
      </c>
      <c r="BM434" s="21" t="str">
        <f>IF(AND('Atividades Micro'!$B486=BM$2,'Atividades Micro'!$G486="Macro",'Atividades Micro'!$K486&lt;&gt;""),'Atividades Micro'!$K486,"")</f>
        <v/>
      </c>
      <c r="BN434" s="21" t="str">
        <f>IF(AND('Atividades Micro'!$B486=BN$2,'Atividades Micro'!$G486="Macro",'Atividades Micro'!$K486&lt;&gt;""),'Atividades Micro'!$K486,"")</f>
        <v/>
      </c>
      <c r="BO434" s="21" t="str">
        <f>IF(AND('Atividades Micro'!$B486=BO$2,'Atividades Micro'!$G486="Macro",'Atividades Micro'!$K486&lt;&gt;""),'Atividades Micro'!$K486,"")</f>
        <v/>
      </c>
      <c r="BP434" s="21" t="str">
        <f>IF(AND('Atividades Micro'!$B486=BP$2,'Atividades Micro'!$G486="Macro",'Atividades Micro'!$K486&lt;&gt;""),'Atividades Micro'!$K486,"")</f>
        <v/>
      </c>
      <c r="BQ434" s="21" t="str">
        <f>IF(AND('Atividades Micro'!$B486=BQ$2,'Atividades Micro'!$G486="Macro",'Atividades Micro'!$K486&lt;&gt;""),'Atividades Micro'!$K486,"")</f>
        <v/>
      </c>
      <c r="BR434" s="21" t="str">
        <f>IF(AND('Atividades Micro'!$B486=BR$2,'Atividades Micro'!$G486="Macro",'Atividades Micro'!$K486&lt;&gt;""),'Atividades Micro'!$K486,"")</f>
        <v/>
      </c>
      <c r="BS434" s="21" t="str">
        <f>IF(AND('Atividades Micro'!$B486=BS$2,'Atividades Micro'!$G486="Macro",'Atividades Micro'!$K486&lt;&gt;""),'Atividades Micro'!$K486,"")</f>
        <v/>
      </c>
      <c r="BT434" s="21" t="str">
        <f>IF(AND('Atividades Micro'!$B486=BT$2,'Atividades Micro'!$G486="Macro",'Atividades Micro'!$K486&lt;&gt;""),'Atividades Micro'!$K486,"")</f>
        <v/>
      </c>
      <c r="BU434" s="21" t="str">
        <f>IF(AND('Atividades Micro'!$B486=BU$2,'Atividades Micro'!$G486="Macro",'Atividades Micro'!$K486&lt;&gt;""),'Atividades Micro'!$K486,"")</f>
        <v/>
      </c>
      <c r="BV434" s="21" t="str">
        <f>IF(AND('Atividades Micro'!$B486=BV$2,'Atividades Micro'!$G486="Macro",'Atividades Micro'!$K486&lt;&gt;""),'Atividades Micro'!$K486,"")</f>
        <v/>
      </c>
      <c r="BW434" s="21" t="str">
        <f>IF(AND('Atividades Micro'!$B486=BW$2,'Atividades Micro'!$G486="Macro",'Atividades Micro'!$K486&lt;&gt;""),'Atividades Micro'!$K486,"")</f>
        <v/>
      </c>
      <c r="BX434" s="21" t="str">
        <f>IF(AND('Atividades Micro'!$B486=BX$2,'Atividades Micro'!$G486="Macro",'Atividades Micro'!$K486&lt;&gt;""),'Atividades Micro'!$K486,"")</f>
        <v/>
      </c>
      <c r="BY434" s="21" t="str">
        <f>IF(AND('Atividades Micro'!$B486=BY$2,'Atividades Micro'!$G486="Macro",'Atividades Micro'!$K486&lt;&gt;""),'Atividades Micro'!$K486,"")</f>
        <v/>
      </c>
      <c r="BZ434" s="21" t="str">
        <f>IF(AND('Atividades Micro'!$B486=BZ$2,'Atividades Micro'!$G486="Macro",'Atividades Micro'!$K486&lt;&gt;""),'Atividades Micro'!$K486,"")</f>
        <v/>
      </c>
      <c r="CA434" s="21" t="str">
        <f>IF(AND('Atividades Micro'!$B486=CA$2,'Atividades Micro'!$G486="Macro",'Atividades Micro'!$K486&lt;&gt;""),'Atividades Micro'!$K486,"")</f>
        <v/>
      </c>
      <c r="CB434" s="21" t="str">
        <f>IF(AND('Atividades Micro'!$B486=CB$2,'Atividades Micro'!$G486="Macro",'Atividades Micro'!$K486&lt;&gt;""),'Atividades Micro'!$K486,"")</f>
        <v/>
      </c>
      <c r="CC434" s="21" t="str">
        <f>IF(AND('Atividades Micro'!$B486=CC$2,'Atividades Micro'!$G486="Macro",'Atividades Micro'!$K486&lt;&gt;""),'Atividades Micro'!$K486,"")</f>
        <v/>
      </c>
      <c r="CD434" s="21" t="str">
        <f>IF(AND('Atividades Micro'!$B486=CD$2,'Atividades Micro'!$G486="Micro",'Atividades Micro'!$K486&lt;&gt;""),'Atividades Micro'!$K486,"")</f>
        <v/>
      </c>
      <c r="CE434" s="21" t="str">
        <f>IF(AND('Atividades Micro'!$B486=CE$2,'Atividades Micro'!$G486="Micro",'Atividades Micro'!$K486&lt;&gt;""),'Atividades Micro'!$K486,"")</f>
        <v/>
      </c>
      <c r="CF434" s="21" t="str">
        <f>IF(AND('Atividades Micro'!$B486=CF$2,'Atividades Micro'!$G486="Micro",'Atividades Micro'!$K486&lt;&gt;""),'Atividades Micro'!$K486,"")</f>
        <v/>
      </c>
      <c r="CG434" s="21" t="str">
        <f>IF(AND('Atividades Micro'!$B486=CG$2,'Atividades Micro'!$G486="Micro",'Atividades Micro'!$K486&lt;&gt;""),'Atividades Micro'!$K486,"")</f>
        <v/>
      </c>
      <c r="CH434" s="21" t="str">
        <f>IF(AND('Atividades Micro'!$B486=CH$2,'Atividades Micro'!$G486="Micro",'Atividades Micro'!$K486&lt;&gt;""),'Atividades Micro'!$K486,"")</f>
        <v/>
      </c>
      <c r="CI434" s="21" t="str">
        <f>IF(AND('Atividades Micro'!$B486=CI$2,'Atividades Micro'!$G486="Micro",'Atividades Micro'!$K486&lt;&gt;""),'Atividades Micro'!$K486,"")</f>
        <v/>
      </c>
      <c r="CJ434" s="21" t="str">
        <f>IF(AND('Atividades Micro'!$B486=CJ$2,'Atividades Micro'!$G486="Micro",'Atividades Micro'!$K486&lt;&gt;""),'Atividades Micro'!$K486,"")</f>
        <v/>
      </c>
      <c r="CK434" s="21" t="str">
        <f>IF(AND('Atividades Micro'!$B486=CK$2,'Atividades Micro'!$G486="Micro",'Atividades Micro'!$K486&lt;&gt;""),'Atividades Micro'!$K486,"")</f>
        <v/>
      </c>
      <c r="CL434" s="21" t="str">
        <f>IF(AND('Atividades Micro'!$B486=CL$2,'Atividades Micro'!$G486="Micro",'Atividades Micro'!$K486&lt;&gt;""),'Atividades Micro'!$K486,"")</f>
        <v/>
      </c>
      <c r="CM434" s="21" t="str">
        <f>IF(AND('Atividades Micro'!$B486=CM$2,'Atividades Micro'!$G486="Micro",'Atividades Micro'!$K486&lt;&gt;""),'Atividades Micro'!$K486,"")</f>
        <v/>
      </c>
      <c r="CN434" s="21" t="str">
        <f>IF(AND('Atividades Micro'!$B486=CN$2,'Atividades Micro'!$G486="Micro",'Atividades Micro'!$K486&lt;&gt;""),'Atividades Micro'!$K486,"")</f>
        <v/>
      </c>
      <c r="CO434" s="21" t="str">
        <f>IF(AND('Atividades Micro'!$B486=CO$2,'Atividades Micro'!$G486="Micro",'Atividades Micro'!$K486&lt;&gt;""),'Atividades Micro'!$K486,"")</f>
        <v/>
      </c>
    </row>
    <row r="435" spans="1:93">
      <c r="A435" s="21" t="str">
        <f>IF(AND('Atividades Micro'!$A487=A$2,'Atividades Micro'!$K487&lt;&gt;""),'Atividades Micro'!$K487,"")</f>
        <v/>
      </c>
      <c r="B435" s="21" t="str">
        <f>IF(AND('Atividades Micro'!$A487=B$2,'Atividades Micro'!$L487&lt;&gt;""),'Atividades Micro'!$L487,"")</f>
        <v/>
      </c>
      <c r="C435" s="21" t="str">
        <f>IF(AND('Atividades Micro'!$A487=C$2,'Atividades Micro'!$K487&lt;&gt;""),'Atividades Micro'!$K487,"")</f>
        <v/>
      </c>
      <c r="D435" s="21" t="str">
        <f>IF(AND('Atividades Micro'!$A487=D$2,'Atividades Micro'!$L487&lt;&gt;""),'Atividades Micro'!$L487,"")</f>
        <v/>
      </c>
      <c r="E435" s="21" t="str">
        <f>IF(AND('Atividades Micro'!$A487=E$2,'Atividades Micro'!$K487&lt;&gt;""),'Atividades Micro'!$K487,"")</f>
        <v/>
      </c>
      <c r="F435" s="21" t="str">
        <f>IF(AND('Atividades Micro'!$A487=F$2,'Atividades Micro'!$L487&lt;&gt;""),'Atividades Micro'!$L487,"")</f>
        <v/>
      </c>
      <c r="G435" s="21" t="str">
        <f>IF(AND('Atividades Micro'!$A487=G$2,'Atividades Micro'!$K487&lt;&gt;""),'Atividades Micro'!$K487,"")</f>
        <v/>
      </c>
      <c r="H435" s="21" t="str">
        <f>IF(AND('Atividades Micro'!$A487=H$2,'Atividades Micro'!$L487&lt;&gt;""),'Atividades Micro'!$L487,"")</f>
        <v/>
      </c>
      <c r="I435" s="21" t="str">
        <f>IF(AND('Atividades Micro'!$A487=I$2,'Atividades Micro'!$K487&lt;&gt;""),'Atividades Micro'!$K487,"")</f>
        <v/>
      </c>
      <c r="J435" s="21" t="str">
        <f>IF(AND('Atividades Micro'!$A487=J$2,'Atividades Micro'!$L487&lt;&gt;""),'Atividades Micro'!$L487,"")</f>
        <v/>
      </c>
      <c r="K435" s="21" t="str">
        <f>IF(AND('Atividades Micro'!$B487=K$2,'Atividades Micro'!$K487&lt;&gt;""),'Atividades Micro'!$K487,"")</f>
        <v/>
      </c>
      <c r="L435" s="21" t="str">
        <f>IF(AND('Atividades Micro'!$B487=L$2,'Atividades Micro'!$L487&lt;&gt;""),'Atividades Micro'!$L487,"")</f>
        <v/>
      </c>
      <c r="M435" s="21" t="str">
        <f>IF(AND('Atividades Micro'!$B487=M$2,'Atividades Micro'!$K487&lt;&gt;""),'Atividades Micro'!$K487,"")</f>
        <v/>
      </c>
      <c r="N435" s="21" t="str">
        <f>IF(AND('Atividades Micro'!$B487=N$2,'Atividades Micro'!$L487&lt;&gt;""),'Atividades Micro'!$L487,"")</f>
        <v/>
      </c>
      <c r="O435" s="21" t="str">
        <f>IF(AND('Atividades Micro'!$A487=O$2,'Atividades Micro'!$K487&lt;&gt;""),'Atividades Micro'!$K487,"")</f>
        <v/>
      </c>
      <c r="P435" s="21" t="str">
        <f>IF(AND('Atividades Micro'!$A487=P$2,'Atividades Micro'!$L487&lt;&gt;""),'Atividades Micro'!$L487,"")</f>
        <v/>
      </c>
      <c r="Q435" s="21" t="str">
        <f>IF(AND('Atividades Micro'!$B487=Q$2,'Atividades Micro'!$K487&lt;&gt;""),'Atividades Micro'!$K487,"")</f>
        <v/>
      </c>
      <c r="R435" s="21" t="str">
        <f>IF(AND('Atividades Micro'!$B487=R$2,'Atividades Micro'!$L487&lt;&gt;""),'Atividades Micro'!$L487,"")</f>
        <v/>
      </c>
      <c r="S435" s="21" t="str">
        <f>IF(AND('Atividades Micro'!$A487=S$2,'Atividades Micro'!$K487&lt;&gt;""),'Atividades Micro'!$K487,"")</f>
        <v/>
      </c>
      <c r="T435" s="21" t="str">
        <f>IF(AND('Atividades Micro'!$A487=T$2,'Atividades Micro'!$L487&lt;&gt;""),'Atividades Micro'!$L487,"")</f>
        <v/>
      </c>
      <c r="U435" s="21" t="str">
        <f>IF(AND('Atividades Micro'!$B487=U$2,'Atividades Micro'!$K487&lt;&gt;""),'Atividades Micro'!$K487,"")</f>
        <v/>
      </c>
      <c r="V435" s="21" t="str">
        <f>IF(AND('Atividades Micro'!$B487=V$2,'Atividades Micro'!$L487&lt;&gt;""),'Atividades Micro'!$L487,"")</f>
        <v/>
      </c>
      <c r="W435" s="21" t="str">
        <f>IF(AND('Atividades Micro'!$B487=W$2,'Atividades Micro'!$K487&lt;&gt;""),'Atividades Micro'!$K487,"")</f>
        <v/>
      </c>
      <c r="X435" s="21" t="str">
        <f>IF(AND('Atividades Micro'!$B487=X$2,'Atividades Micro'!$L487&lt;&gt;""),'Atividades Micro'!$L487,"")</f>
        <v/>
      </c>
      <c r="Y435" s="21" t="str">
        <f>IF(AND('Atividades Micro'!$A487=Y$2,'Atividades Micro'!$K487&lt;&gt;""),'Atividades Micro'!$K487,"")</f>
        <v/>
      </c>
      <c r="Z435" s="21" t="str">
        <f>IF(AND('Atividades Micro'!$A487=Z$2,'Atividades Micro'!$L487&lt;&gt;""),'Atividades Micro'!$L487,"")</f>
        <v/>
      </c>
      <c r="AA435" s="21" t="str">
        <f>IF(AND('Atividades Micro'!$B487=AA$2,'Atividades Micro'!$K487&lt;&gt;""),'Atividades Micro'!$K487,"")</f>
        <v/>
      </c>
      <c r="AB435" s="21" t="str">
        <f>IF(AND('Atividades Micro'!$B487=AB$2,'Atividades Micro'!$L487&lt;&gt;""),'Atividades Micro'!$L487,"")</f>
        <v/>
      </c>
      <c r="AC435" s="21" t="str">
        <f>IF(AND('Atividades Micro'!$B487=AC$2,'Atividades Micro'!$K487&lt;&gt;""),'Atividades Micro'!$K487,"")</f>
        <v/>
      </c>
      <c r="AD435" s="21" t="str">
        <f>IF(AND('Atividades Micro'!$B487=AD$2,'Atividades Micro'!$L487&lt;&gt;""),'Atividades Micro'!$L487,"")</f>
        <v/>
      </c>
      <c r="AE435" s="21" t="str">
        <f>IF(AND('Atividades Micro'!$A487=AE$2,'Atividades Micro'!$K487&lt;&gt;""),'Atividades Micro'!$K487,"")</f>
        <v/>
      </c>
      <c r="AF435" s="21" t="str">
        <f>IF(AND('Atividades Micro'!$A487=AF$2,'Atividades Micro'!$L487&lt;&gt;""),'Atividades Micro'!$L487,"")</f>
        <v/>
      </c>
      <c r="AG435" s="21" t="str">
        <f>IF(AND('Atividades Micro'!$B487=AG$2,'Atividades Micro'!$K487&lt;&gt;""),'Atividades Micro'!$K487,"")</f>
        <v/>
      </c>
      <c r="AH435" s="21" t="str">
        <f>IF(AND('Atividades Micro'!$B487=AH$2,'Atividades Micro'!$L487&lt;&gt;""),'Atividades Micro'!$L487,"")</f>
        <v/>
      </c>
      <c r="AI435" s="21" t="str">
        <f>IF(AND('Atividades Micro'!$B487=AI$2,'Atividades Micro'!$K487&lt;&gt;""),'Atividades Micro'!$K487,"")</f>
        <v/>
      </c>
      <c r="AJ435" s="21" t="str">
        <f>IF(AND('Atividades Micro'!$B487=AJ$2,'Atividades Micro'!$L487&lt;&gt;""),'Atividades Micro'!$L487,"")</f>
        <v/>
      </c>
      <c r="AK435" s="21" t="str">
        <f>IF(AND('Atividades Micro'!$A487=AK$2,'Atividades Micro'!$K487&lt;&gt;""),'Atividades Micro'!$K487,"")</f>
        <v/>
      </c>
      <c r="AL435" s="21" t="str">
        <f>IF(AND('Atividades Micro'!$A487=AL$2,'Atividades Micro'!$L487&lt;&gt;""),'Atividades Micro'!$L487,"")</f>
        <v/>
      </c>
      <c r="AM435" s="21" t="str">
        <f>IF(AND('Atividades Micro'!$B487=AM$2,'Atividades Micro'!$K487&lt;&gt;""),'Atividades Micro'!$K487,"")</f>
        <v/>
      </c>
      <c r="AN435" s="21" t="str">
        <f>IF(AND('Atividades Micro'!$B487=AN$2,'Atividades Micro'!$L487&lt;&gt;""),'Atividades Micro'!$L487,"")</f>
        <v/>
      </c>
      <c r="AO435" s="21" t="str">
        <f>IF(AND('Atividades Micro'!$B487=AO$2,'Atividades Micro'!$K487&lt;&gt;""),'Atividades Micro'!$K487,"")</f>
        <v/>
      </c>
      <c r="AP435" s="21" t="str">
        <f>IF(AND('Atividades Micro'!$B487=AP$2,'Atividades Micro'!$L487&lt;&gt;""),'Atividades Micro'!$L487,"")</f>
        <v/>
      </c>
      <c r="AQ435" s="21" t="str">
        <f>IF(AND('Atividades Micro'!$A487=AQ$2,'Atividades Micro'!$K487&lt;&gt;""),'Atividades Micro'!$K487,"")</f>
        <v/>
      </c>
      <c r="AR435" s="21" t="str">
        <f>IF(AND('Atividades Micro'!$A487=AR$2,'Atividades Micro'!$L487&lt;&gt;""),'Atividades Micro'!$L487,"")</f>
        <v/>
      </c>
      <c r="AS435" s="21" t="str">
        <f>IF(AND('Atividades Micro'!$B487=AS$2,'Atividades Micro'!$K487&lt;&gt;""),'Atividades Micro'!$K487,"")</f>
        <v/>
      </c>
      <c r="AT435" s="21" t="str">
        <f>IF(AND('Atividades Micro'!$B487=AT$2,'Atividades Micro'!$L487&lt;&gt;""),'Atividades Micro'!$L487,"")</f>
        <v/>
      </c>
      <c r="AU435" s="21" t="str">
        <f>IF(AND('Atividades Micro'!$A487=AU$2,'Atividades Micro'!$K487&lt;&gt;""),'Atividades Micro'!$K487,"")</f>
        <v/>
      </c>
      <c r="AV435" s="21" t="str">
        <f>IF(AND('Atividades Micro'!$A487=AV$2,'Atividades Micro'!$L487&lt;&gt;""),'Atividades Micro'!$L487,"")</f>
        <v/>
      </c>
      <c r="AW435" s="21" t="str">
        <f>IF(AND('Atividades Micro'!$B487=AW$2,'Atividades Micro'!$K487&lt;&gt;""),'Atividades Micro'!$K487,"")</f>
        <v/>
      </c>
      <c r="AX435" s="21" t="str">
        <f>IF(AND('Atividades Micro'!$B487=AX$2,'Atividades Micro'!$L487&lt;&gt;""),'Atividades Micro'!$L487,"")</f>
        <v/>
      </c>
      <c r="AY435" s="21" t="str">
        <f>IF(AND('Atividades Micro'!$A487=AY$2,'Atividades Micro'!$K487&lt;&gt;""),'Atividades Micro'!$K487,"")</f>
        <v/>
      </c>
      <c r="AZ435" s="21" t="str">
        <f>IF(AND('Atividades Micro'!$A487=AZ$2,'Atividades Micro'!$L487&lt;&gt;""),'Atividades Micro'!$L487,"")</f>
        <v/>
      </c>
      <c r="BA435" s="21" t="str">
        <f>IF(AND('Atividades Micro'!$B487=BA$2,'Atividades Micro'!$K487&lt;&gt;""),'Atividades Micro'!$K487,"")</f>
        <v/>
      </c>
      <c r="BB435" s="21" t="str">
        <f>IF(AND('Atividades Micro'!$B487=BB$2,'Atividades Micro'!$L487&lt;&gt;""),'Atividades Micro'!$L487,"")</f>
        <v/>
      </c>
      <c r="BC435" s="21" t="str">
        <f>IF(AND('Atividades Micro'!$B487=BC$2,'Atividades Micro'!$G487="Macro",'Atividades Micro'!$K487&lt;&gt;""),'Atividades Micro'!$K487,"")</f>
        <v/>
      </c>
      <c r="BD435" s="21" t="str">
        <f>IF(AND('Atividades Micro'!$B487=BD$2,'Atividades Micro'!$G487="Macro",'Atividades Micro'!$K487&lt;&gt;""),'Atividades Micro'!$K487,"")</f>
        <v/>
      </c>
      <c r="BE435" s="21" t="str">
        <f>IF(AND('Atividades Micro'!$B487=BE$2,'Atividades Micro'!$G487="Macro",'Atividades Micro'!$K487&lt;&gt;""),'Atividades Micro'!$K487,"")</f>
        <v/>
      </c>
      <c r="BF435" s="21" t="str">
        <f>IF(AND('Atividades Micro'!$B487=BF$2,'Atividades Micro'!$G487="Macro",'Atividades Micro'!$K487&lt;&gt;""),'Atividades Micro'!$K487,"")</f>
        <v/>
      </c>
      <c r="BG435" s="21" t="str">
        <f>IF(AND('Atividades Micro'!$B487=BG$2,'Atividades Micro'!$G487="Macro",'Atividades Micro'!$K487&lt;&gt;""),'Atividades Micro'!$K487,"")</f>
        <v/>
      </c>
      <c r="BH435" s="21" t="str">
        <f>IF(AND('Atividades Micro'!$B487=BH$2,'Atividades Micro'!$G487="Macro",'Atividades Micro'!$K487&lt;&gt;""),'Atividades Micro'!$K487,"")</f>
        <v/>
      </c>
      <c r="BI435" s="21" t="str">
        <f>IF(AND('Atividades Micro'!$B487=BI$2,'Atividades Micro'!$G487="Macro",'Atividades Micro'!$K487&lt;&gt;""),'Atividades Micro'!$K487,"")</f>
        <v/>
      </c>
      <c r="BJ435" s="21" t="str">
        <f>IF(AND('Atividades Micro'!$B487=BJ$2,'Atividades Micro'!$G487="Macro",'Atividades Micro'!$K487&lt;&gt;""),'Atividades Micro'!$K487,"")</f>
        <v/>
      </c>
      <c r="BK435" s="21" t="str">
        <f>IF(AND('Atividades Micro'!$B487=BK$2,'Atividades Micro'!$G487="Macro",'Atividades Micro'!$K487&lt;&gt;""),'Atividades Micro'!$K487,"")</f>
        <v/>
      </c>
      <c r="BL435" s="21" t="str">
        <f>IF(AND('Atividades Micro'!$B487=BL$2,'Atividades Micro'!$G487="Macro",'Atividades Micro'!$K487&lt;&gt;""),'Atividades Micro'!$K487,"")</f>
        <v/>
      </c>
      <c r="BM435" s="21" t="str">
        <f>IF(AND('Atividades Micro'!$B487=BM$2,'Atividades Micro'!$G487="Macro",'Atividades Micro'!$K487&lt;&gt;""),'Atividades Micro'!$K487,"")</f>
        <v/>
      </c>
      <c r="BN435" s="21" t="str">
        <f>IF(AND('Atividades Micro'!$B487=BN$2,'Atividades Micro'!$G487="Macro",'Atividades Micro'!$K487&lt;&gt;""),'Atividades Micro'!$K487,"")</f>
        <v/>
      </c>
      <c r="BO435" s="21" t="str">
        <f>IF(AND('Atividades Micro'!$B487=BO$2,'Atividades Micro'!$G487="Macro",'Atividades Micro'!$K487&lt;&gt;""),'Atividades Micro'!$K487,"")</f>
        <v/>
      </c>
      <c r="BP435" s="21" t="str">
        <f>IF(AND('Atividades Micro'!$B487=BP$2,'Atividades Micro'!$G487="Macro",'Atividades Micro'!$K487&lt;&gt;""),'Atividades Micro'!$K487,"")</f>
        <v/>
      </c>
      <c r="BQ435" s="21" t="str">
        <f>IF(AND('Atividades Micro'!$B487=BQ$2,'Atividades Micro'!$G487="Macro",'Atividades Micro'!$K487&lt;&gt;""),'Atividades Micro'!$K487,"")</f>
        <v/>
      </c>
      <c r="BR435" s="21" t="str">
        <f>IF(AND('Atividades Micro'!$B487=BR$2,'Atividades Micro'!$G487="Macro",'Atividades Micro'!$K487&lt;&gt;""),'Atividades Micro'!$K487,"")</f>
        <v/>
      </c>
      <c r="BS435" s="21" t="str">
        <f>IF(AND('Atividades Micro'!$B487=BS$2,'Atividades Micro'!$G487="Macro",'Atividades Micro'!$K487&lt;&gt;""),'Atividades Micro'!$K487,"")</f>
        <v/>
      </c>
      <c r="BT435" s="21" t="str">
        <f>IF(AND('Atividades Micro'!$B487=BT$2,'Atividades Micro'!$G487="Macro",'Atividades Micro'!$K487&lt;&gt;""),'Atividades Micro'!$K487,"")</f>
        <v/>
      </c>
      <c r="BU435" s="21" t="str">
        <f>IF(AND('Atividades Micro'!$B487=BU$2,'Atividades Micro'!$G487="Macro",'Atividades Micro'!$K487&lt;&gt;""),'Atividades Micro'!$K487,"")</f>
        <v/>
      </c>
      <c r="BV435" s="21" t="str">
        <f>IF(AND('Atividades Micro'!$B487=BV$2,'Atividades Micro'!$G487="Macro",'Atividades Micro'!$K487&lt;&gt;""),'Atividades Micro'!$K487,"")</f>
        <v/>
      </c>
      <c r="BW435" s="21" t="str">
        <f>IF(AND('Atividades Micro'!$B487=BW$2,'Atividades Micro'!$G487="Macro",'Atividades Micro'!$K487&lt;&gt;""),'Atividades Micro'!$K487,"")</f>
        <v/>
      </c>
      <c r="BX435" s="21" t="str">
        <f>IF(AND('Atividades Micro'!$B487=BX$2,'Atividades Micro'!$G487="Macro",'Atividades Micro'!$K487&lt;&gt;""),'Atividades Micro'!$K487,"")</f>
        <v/>
      </c>
      <c r="BY435" s="21" t="str">
        <f>IF(AND('Atividades Micro'!$B487=BY$2,'Atividades Micro'!$G487="Macro",'Atividades Micro'!$K487&lt;&gt;""),'Atividades Micro'!$K487,"")</f>
        <v/>
      </c>
      <c r="BZ435" s="21" t="str">
        <f>IF(AND('Atividades Micro'!$B487=BZ$2,'Atividades Micro'!$G487="Macro",'Atividades Micro'!$K487&lt;&gt;""),'Atividades Micro'!$K487,"")</f>
        <v/>
      </c>
      <c r="CA435" s="21" t="str">
        <f>IF(AND('Atividades Micro'!$B487=CA$2,'Atividades Micro'!$G487="Macro",'Atividades Micro'!$K487&lt;&gt;""),'Atividades Micro'!$K487,"")</f>
        <v/>
      </c>
      <c r="CB435" s="21" t="str">
        <f>IF(AND('Atividades Micro'!$B487=CB$2,'Atividades Micro'!$G487="Macro",'Atividades Micro'!$K487&lt;&gt;""),'Atividades Micro'!$K487,"")</f>
        <v/>
      </c>
      <c r="CC435" s="21" t="str">
        <f>IF(AND('Atividades Micro'!$B487=CC$2,'Atividades Micro'!$G487="Macro",'Atividades Micro'!$K487&lt;&gt;""),'Atividades Micro'!$K487,"")</f>
        <v/>
      </c>
      <c r="CD435" s="21" t="str">
        <f>IF(AND('Atividades Micro'!$B487=CD$2,'Atividades Micro'!$G487="Micro",'Atividades Micro'!$K487&lt;&gt;""),'Atividades Micro'!$K487,"")</f>
        <v/>
      </c>
      <c r="CE435" s="21" t="str">
        <f>IF(AND('Atividades Micro'!$B487=CE$2,'Atividades Micro'!$G487="Micro",'Atividades Micro'!$K487&lt;&gt;""),'Atividades Micro'!$K487,"")</f>
        <v/>
      </c>
      <c r="CF435" s="21" t="str">
        <f>IF(AND('Atividades Micro'!$B487=CF$2,'Atividades Micro'!$G487="Micro",'Atividades Micro'!$K487&lt;&gt;""),'Atividades Micro'!$K487,"")</f>
        <v/>
      </c>
      <c r="CG435" s="21" t="str">
        <f>IF(AND('Atividades Micro'!$B487=CG$2,'Atividades Micro'!$G487="Micro",'Atividades Micro'!$K487&lt;&gt;""),'Atividades Micro'!$K487,"")</f>
        <v/>
      </c>
      <c r="CH435" s="21" t="str">
        <f>IF(AND('Atividades Micro'!$B487=CH$2,'Atividades Micro'!$G487="Micro",'Atividades Micro'!$K487&lt;&gt;""),'Atividades Micro'!$K487,"")</f>
        <v/>
      </c>
      <c r="CI435" s="21" t="str">
        <f>IF(AND('Atividades Micro'!$B487=CI$2,'Atividades Micro'!$G487="Micro",'Atividades Micro'!$K487&lt;&gt;""),'Atividades Micro'!$K487,"")</f>
        <v/>
      </c>
      <c r="CJ435" s="21" t="str">
        <f>IF(AND('Atividades Micro'!$B487=CJ$2,'Atividades Micro'!$G487="Micro",'Atividades Micro'!$K487&lt;&gt;""),'Atividades Micro'!$K487,"")</f>
        <v/>
      </c>
      <c r="CK435" s="21" t="str">
        <f>IF(AND('Atividades Micro'!$B487=CK$2,'Atividades Micro'!$G487="Micro",'Atividades Micro'!$K487&lt;&gt;""),'Atividades Micro'!$K487,"")</f>
        <v/>
      </c>
      <c r="CL435" s="21" t="str">
        <f>IF(AND('Atividades Micro'!$B487=CL$2,'Atividades Micro'!$G487="Micro",'Atividades Micro'!$K487&lt;&gt;""),'Atividades Micro'!$K487,"")</f>
        <v/>
      </c>
      <c r="CM435" s="21" t="str">
        <f>IF(AND('Atividades Micro'!$B487=CM$2,'Atividades Micro'!$G487="Micro",'Atividades Micro'!$K487&lt;&gt;""),'Atividades Micro'!$K487,"")</f>
        <v/>
      </c>
      <c r="CN435" s="21" t="str">
        <f>IF(AND('Atividades Micro'!$B487=CN$2,'Atividades Micro'!$G487="Micro",'Atividades Micro'!$K487&lt;&gt;""),'Atividades Micro'!$K487,"")</f>
        <v/>
      </c>
      <c r="CO435" s="21" t="str">
        <f>IF(AND('Atividades Micro'!$B487=CO$2,'Atividades Micro'!$G487="Micro",'Atividades Micro'!$K487&lt;&gt;""),'Atividades Micro'!$K487,"")</f>
        <v/>
      </c>
    </row>
    <row r="436" spans="1:93">
      <c r="A436" s="21" t="str">
        <f>IF(AND('Atividades Micro'!$A488=A$2,'Atividades Micro'!$K488&lt;&gt;""),'Atividades Micro'!$K488,"")</f>
        <v/>
      </c>
      <c r="B436" s="21" t="str">
        <f>IF(AND('Atividades Micro'!$A488=B$2,'Atividades Micro'!$L488&lt;&gt;""),'Atividades Micro'!$L488,"")</f>
        <v/>
      </c>
      <c r="C436" s="21" t="str">
        <f>IF(AND('Atividades Micro'!$A488=C$2,'Atividades Micro'!$K488&lt;&gt;""),'Atividades Micro'!$K488,"")</f>
        <v/>
      </c>
      <c r="D436" s="21" t="str">
        <f>IF(AND('Atividades Micro'!$A488=D$2,'Atividades Micro'!$L488&lt;&gt;""),'Atividades Micro'!$L488,"")</f>
        <v/>
      </c>
      <c r="E436" s="21" t="str">
        <f>IF(AND('Atividades Micro'!$A488=E$2,'Atividades Micro'!$K488&lt;&gt;""),'Atividades Micro'!$K488,"")</f>
        <v/>
      </c>
      <c r="F436" s="21" t="str">
        <f>IF(AND('Atividades Micro'!$A488=F$2,'Atividades Micro'!$L488&lt;&gt;""),'Atividades Micro'!$L488,"")</f>
        <v/>
      </c>
      <c r="G436" s="21" t="str">
        <f>IF(AND('Atividades Micro'!$A488=G$2,'Atividades Micro'!$K488&lt;&gt;""),'Atividades Micro'!$K488,"")</f>
        <v/>
      </c>
      <c r="H436" s="21" t="str">
        <f>IF(AND('Atividades Micro'!$A488=H$2,'Atividades Micro'!$L488&lt;&gt;""),'Atividades Micro'!$L488,"")</f>
        <v/>
      </c>
      <c r="I436" s="21" t="str">
        <f>IF(AND('Atividades Micro'!$A488=I$2,'Atividades Micro'!$K488&lt;&gt;""),'Atividades Micro'!$K488,"")</f>
        <v/>
      </c>
      <c r="J436" s="21" t="str">
        <f>IF(AND('Atividades Micro'!$A488=J$2,'Atividades Micro'!$L488&lt;&gt;""),'Atividades Micro'!$L488,"")</f>
        <v/>
      </c>
      <c r="K436" s="21" t="str">
        <f>IF(AND('Atividades Micro'!$B488=K$2,'Atividades Micro'!$K488&lt;&gt;""),'Atividades Micro'!$K488,"")</f>
        <v/>
      </c>
      <c r="L436" s="21" t="str">
        <f>IF(AND('Atividades Micro'!$B488=L$2,'Atividades Micro'!$L488&lt;&gt;""),'Atividades Micro'!$L488,"")</f>
        <v/>
      </c>
      <c r="M436" s="21" t="str">
        <f>IF(AND('Atividades Micro'!$B488=M$2,'Atividades Micro'!$K488&lt;&gt;""),'Atividades Micro'!$K488,"")</f>
        <v/>
      </c>
      <c r="N436" s="21" t="str">
        <f>IF(AND('Atividades Micro'!$B488=N$2,'Atividades Micro'!$L488&lt;&gt;""),'Atividades Micro'!$L488,"")</f>
        <v/>
      </c>
      <c r="O436" s="21" t="str">
        <f>IF(AND('Atividades Micro'!$A488=O$2,'Atividades Micro'!$K488&lt;&gt;""),'Atividades Micro'!$K488,"")</f>
        <v/>
      </c>
      <c r="P436" s="21" t="str">
        <f>IF(AND('Atividades Micro'!$A488=P$2,'Atividades Micro'!$L488&lt;&gt;""),'Atividades Micro'!$L488,"")</f>
        <v/>
      </c>
      <c r="Q436" s="21" t="str">
        <f>IF(AND('Atividades Micro'!$B488=Q$2,'Atividades Micro'!$K488&lt;&gt;""),'Atividades Micro'!$K488,"")</f>
        <v/>
      </c>
      <c r="R436" s="21" t="str">
        <f>IF(AND('Atividades Micro'!$B488=R$2,'Atividades Micro'!$L488&lt;&gt;""),'Atividades Micro'!$L488,"")</f>
        <v/>
      </c>
      <c r="S436" s="21" t="str">
        <f>IF(AND('Atividades Micro'!$A488=S$2,'Atividades Micro'!$K488&lt;&gt;""),'Atividades Micro'!$K488,"")</f>
        <v/>
      </c>
      <c r="T436" s="21" t="str">
        <f>IF(AND('Atividades Micro'!$A488=T$2,'Atividades Micro'!$L488&lt;&gt;""),'Atividades Micro'!$L488,"")</f>
        <v/>
      </c>
      <c r="U436" s="21" t="str">
        <f>IF(AND('Atividades Micro'!$B488=U$2,'Atividades Micro'!$K488&lt;&gt;""),'Atividades Micro'!$K488,"")</f>
        <v/>
      </c>
      <c r="V436" s="21" t="str">
        <f>IF(AND('Atividades Micro'!$B488=V$2,'Atividades Micro'!$L488&lt;&gt;""),'Atividades Micro'!$L488,"")</f>
        <v/>
      </c>
      <c r="W436" s="21" t="str">
        <f>IF(AND('Atividades Micro'!$B488=W$2,'Atividades Micro'!$K488&lt;&gt;""),'Atividades Micro'!$K488,"")</f>
        <v/>
      </c>
      <c r="X436" s="21" t="str">
        <f>IF(AND('Atividades Micro'!$B488=X$2,'Atividades Micro'!$L488&lt;&gt;""),'Atividades Micro'!$L488,"")</f>
        <v/>
      </c>
      <c r="Y436" s="21" t="str">
        <f>IF(AND('Atividades Micro'!$A488=Y$2,'Atividades Micro'!$K488&lt;&gt;""),'Atividades Micro'!$K488,"")</f>
        <v/>
      </c>
      <c r="Z436" s="21" t="str">
        <f>IF(AND('Atividades Micro'!$A488=Z$2,'Atividades Micro'!$L488&lt;&gt;""),'Atividades Micro'!$L488,"")</f>
        <v/>
      </c>
      <c r="AA436" s="21" t="str">
        <f>IF(AND('Atividades Micro'!$B488=AA$2,'Atividades Micro'!$K488&lt;&gt;""),'Atividades Micro'!$K488,"")</f>
        <v/>
      </c>
      <c r="AB436" s="21" t="str">
        <f>IF(AND('Atividades Micro'!$B488=AB$2,'Atividades Micro'!$L488&lt;&gt;""),'Atividades Micro'!$L488,"")</f>
        <v/>
      </c>
      <c r="AC436" s="21" t="str">
        <f>IF(AND('Atividades Micro'!$B488=AC$2,'Atividades Micro'!$K488&lt;&gt;""),'Atividades Micro'!$K488,"")</f>
        <v/>
      </c>
      <c r="AD436" s="21" t="str">
        <f>IF(AND('Atividades Micro'!$B488=AD$2,'Atividades Micro'!$L488&lt;&gt;""),'Atividades Micro'!$L488,"")</f>
        <v/>
      </c>
      <c r="AE436" s="21" t="str">
        <f>IF(AND('Atividades Micro'!$A488=AE$2,'Atividades Micro'!$K488&lt;&gt;""),'Atividades Micro'!$K488,"")</f>
        <v/>
      </c>
      <c r="AF436" s="21" t="str">
        <f>IF(AND('Atividades Micro'!$A488=AF$2,'Atividades Micro'!$L488&lt;&gt;""),'Atividades Micro'!$L488,"")</f>
        <v/>
      </c>
      <c r="AG436" s="21" t="str">
        <f>IF(AND('Atividades Micro'!$B488=AG$2,'Atividades Micro'!$K488&lt;&gt;""),'Atividades Micro'!$K488,"")</f>
        <v/>
      </c>
      <c r="AH436" s="21" t="str">
        <f>IF(AND('Atividades Micro'!$B488=AH$2,'Atividades Micro'!$L488&lt;&gt;""),'Atividades Micro'!$L488,"")</f>
        <v/>
      </c>
      <c r="AI436" s="21" t="str">
        <f>IF(AND('Atividades Micro'!$B488=AI$2,'Atividades Micro'!$K488&lt;&gt;""),'Atividades Micro'!$K488,"")</f>
        <v/>
      </c>
      <c r="AJ436" s="21" t="str">
        <f>IF(AND('Atividades Micro'!$B488=AJ$2,'Atividades Micro'!$L488&lt;&gt;""),'Atividades Micro'!$L488,"")</f>
        <v/>
      </c>
      <c r="AK436" s="21" t="str">
        <f>IF(AND('Atividades Micro'!$A488=AK$2,'Atividades Micro'!$K488&lt;&gt;""),'Atividades Micro'!$K488,"")</f>
        <v/>
      </c>
      <c r="AL436" s="21" t="str">
        <f>IF(AND('Atividades Micro'!$A488=AL$2,'Atividades Micro'!$L488&lt;&gt;""),'Atividades Micro'!$L488,"")</f>
        <v/>
      </c>
      <c r="AM436" s="21" t="str">
        <f>IF(AND('Atividades Micro'!$B488=AM$2,'Atividades Micro'!$K488&lt;&gt;""),'Atividades Micro'!$K488,"")</f>
        <v/>
      </c>
      <c r="AN436" s="21" t="str">
        <f>IF(AND('Atividades Micro'!$B488=AN$2,'Atividades Micro'!$L488&lt;&gt;""),'Atividades Micro'!$L488,"")</f>
        <v/>
      </c>
      <c r="AO436" s="21" t="str">
        <f>IF(AND('Atividades Micro'!$B488=AO$2,'Atividades Micro'!$K488&lt;&gt;""),'Atividades Micro'!$K488,"")</f>
        <v/>
      </c>
      <c r="AP436" s="21" t="str">
        <f>IF(AND('Atividades Micro'!$B488=AP$2,'Atividades Micro'!$L488&lt;&gt;""),'Atividades Micro'!$L488,"")</f>
        <v/>
      </c>
      <c r="AQ436" s="21" t="str">
        <f>IF(AND('Atividades Micro'!$A488=AQ$2,'Atividades Micro'!$K488&lt;&gt;""),'Atividades Micro'!$K488,"")</f>
        <v/>
      </c>
      <c r="AR436" s="21" t="str">
        <f>IF(AND('Atividades Micro'!$A488=AR$2,'Atividades Micro'!$L488&lt;&gt;""),'Atividades Micro'!$L488,"")</f>
        <v/>
      </c>
      <c r="AS436" s="21" t="str">
        <f>IF(AND('Atividades Micro'!$B488=AS$2,'Atividades Micro'!$K488&lt;&gt;""),'Atividades Micro'!$K488,"")</f>
        <v/>
      </c>
      <c r="AT436" s="21" t="str">
        <f>IF(AND('Atividades Micro'!$B488=AT$2,'Atividades Micro'!$L488&lt;&gt;""),'Atividades Micro'!$L488,"")</f>
        <v/>
      </c>
      <c r="AU436" s="21" t="str">
        <f>IF(AND('Atividades Micro'!$A488=AU$2,'Atividades Micro'!$K488&lt;&gt;""),'Atividades Micro'!$K488,"")</f>
        <v/>
      </c>
      <c r="AV436" s="21" t="str">
        <f>IF(AND('Atividades Micro'!$A488=AV$2,'Atividades Micro'!$L488&lt;&gt;""),'Atividades Micro'!$L488,"")</f>
        <v/>
      </c>
      <c r="AW436" s="21" t="str">
        <f>IF(AND('Atividades Micro'!$B488=AW$2,'Atividades Micro'!$K488&lt;&gt;""),'Atividades Micro'!$K488,"")</f>
        <v/>
      </c>
      <c r="AX436" s="21" t="str">
        <f>IF(AND('Atividades Micro'!$B488=AX$2,'Atividades Micro'!$L488&lt;&gt;""),'Atividades Micro'!$L488,"")</f>
        <v/>
      </c>
      <c r="AY436" s="21" t="str">
        <f>IF(AND('Atividades Micro'!$A488=AY$2,'Atividades Micro'!$K488&lt;&gt;""),'Atividades Micro'!$K488,"")</f>
        <v/>
      </c>
      <c r="AZ436" s="21" t="str">
        <f>IF(AND('Atividades Micro'!$A488=AZ$2,'Atividades Micro'!$L488&lt;&gt;""),'Atividades Micro'!$L488,"")</f>
        <v/>
      </c>
      <c r="BA436" s="21" t="str">
        <f>IF(AND('Atividades Micro'!$B488=BA$2,'Atividades Micro'!$K488&lt;&gt;""),'Atividades Micro'!$K488,"")</f>
        <v/>
      </c>
      <c r="BB436" s="21" t="str">
        <f>IF(AND('Atividades Micro'!$B488=BB$2,'Atividades Micro'!$L488&lt;&gt;""),'Atividades Micro'!$L488,"")</f>
        <v/>
      </c>
      <c r="BC436" s="21" t="str">
        <f>IF(AND('Atividades Micro'!$B488=BC$2,'Atividades Micro'!$G488="Macro",'Atividades Micro'!$K488&lt;&gt;""),'Atividades Micro'!$K488,"")</f>
        <v/>
      </c>
      <c r="BD436" s="21" t="str">
        <f>IF(AND('Atividades Micro'!$B488=BD$2,'Atividades Micro'!$G488="Macro",'Atividades Micro'!$K488&lt;&gt;""),'Atividades Micro'!$K488,"")</f>
        <v/>
      </c>
      <c r="BE436" s="21" t="str">
        <f>IF(AND('Atividades Micro'!$B488=BE$2,'Atividades Micro'!$G488="Macro",'Atividades Micro'!$K488&lt;&gt;""),'Atividades Micro'!$K488,"")</f>
        <v/>
      </c>
      <c r="BF436" s="21" t="str">
        <f>IF(AND('Atividades Micro'!$B488=BF$2,'Atividades Micro'!$G488="Macro",'Atividades Micro'!$K488&lt;&gt;""),'Atividades Micro'!$K488,"")</f>
        <v/>
      </c>
      <c r="BG436" s="21" t="str">
        <f>IF(AND('Atividades Micro'!$B488=BG$2,'Atividades Micro'!$G488="Macro",'Atividades Micro'!$K488&lt;&gt;""),'Atividades Micro'!$K488,"")</f>
        <v/>
      </c>
      <c r="BH436" s="21" t="str">
        <f>IF(AND('Atividades Micro'!$B488=BH$2,'Atividades Micro'!$G488="Macro",'Atividades Micro'!$K488&lt;&gt;""),'Atividades Micro'!$K488,"")</f>
        <v/>
      </c>
      <c r="BI436" s="21" t="str">
        <f>IF(AND('Atividades Micro'!$B488=BI$2,'Atividades Micro'!$G488="Macro",'Atividades Micro'!$K488&lt;&gt;""),'Atividades Micro'!$K488,"")</f>
        <v/>
      </c>
      <c r="BJ436" s="21" t="str">
        <f>IF(AND('Atividades Micro'!$B488=BJ$2,'Atividades Micro'!$G488="Macro",'Atividades Micro'!$K488&lt;&gt;""),'Atividades Micro'!$K488,"")</f>
        <v/>
      </c>
      <c r="BK436" s="21" t="str">
        <f>IF(AND('Atividades Micro'!$B488=BK$2,'Atividades Micro'!$G488="Macro",'Atividades Micro'!$K488&lt;&gt;""),'Atividades Micro'!$K488,"")</f>
        <v/>
      </c>
      <c r="BL436" s="21" t="str">
        <f>IF(AND('Atividades Micro'!$B488=BL$2,'Atividades Micro'!$G488="Macro",'Atividades Micro'!$K488&lt;&gt;""),'Atividades Micro'!$K488,"")</f>
        <v/>
      </c>
      <c r="BM436" s="21" t="str">
        <f>IF(AND('Atividades Micro'!$B488=BM$2,'Atividades Micro'!$G488="Macro",'Atividades Micro'!$K488&lt;&gt;""),'Atividades Micro'!$K488,"")</f>
        <v/>
      </c>
      <c r="BN436" s="21" t="str">
        <f>IF(AND('Atividades Micro'!$B488=BN$2,'Atividades Micro'!$G488="Macro",'Atividades Micro'!$K488&lt;&gt;""),'Atividades Micro'!$K488,"")</f>
        <v/>
      </c>
      <c r="BO436" s="21" t="str">
        <f>IF(AND('Atividades Micro'!$B488=BO$2,'Atividades Micro'!$G488="Macro",'Atividades Micro'!$K488&lt;&gt;""),'Atividades Micro'!$K488,"")</f>
        <v/>
      </c>
      <c r="BP436" s="21" t="str">
        <f>IF(AND('Atividades Micro'!$B488=BP$2,'Atividades Micro'!$G488="Macro",'Atividades Micro'!$K488&lt;&gt;""),'Atividades Micro'!$K488,"")</f>
        <v/>
      </c>
      <c r="BQ436" s="21" t="str">
        <f>IF(AND('Atividades Micro'!$B488=BQ$2,'Atividades Micro'!$G488="Macro",'Atividades Micro'!$K488&lt;&gt;""),'Atividades Micro'!$K488,"")</f>
        <v/>
      </c>
      <c r="BR436" s="21" t="str">
        <f>IF(AND('Atividades Micro'!$B488=BR$2,'Atividades Micro'!$G488="Macro",'Atividades Micro'!$K488&lt;&gt;""),'Atividades Micro'!$K488,"")</f>
        <v/>
      </c>
      <c r="BS436" s="21" t="str">
        <f>IF(AND('Atividades Micro'!$B488=BS$2,'Atividades Micro'!$G488="Macro",'Atividades Micro'!$K488&lt;&gt;""),'Atividades Micro'!$K488,"")</f>
        <v/>
      </c>
      <c r="BT436" s="21" t="str">
        <f>IF(AND('Atividades Micro'!$B488=BT$2,'Atividades Micro'!$G488="Macro",'Atividades Micro'!$K488&lt;&gt;""),'Atividades Micro'!$K488,"")</f>
        <v/>
      </c>
      <c r="BU436" s="21" t="str">
        <f>IF(AND('Atividades Micro'!$B488=BU$2,'Atividades Micro'!$G488="Macro",'Atividades Micro'!$K488&lt;&gt;""),'Atividades Micro'!$K488,"")</f>
        <v/>
      </c>
      <c r="BV436" s="21" t="str">
        <f>IF(AND('Atividades Micro'!$B488=BV$2,'Atividades Micro'!$G488="Macro",'Atividades Micro'!$K488&lt;&gt;""),'Atividades Micro'!$K488,"")</f>
        <v/>
      </c>
      <c r="BW436" s="21" t="str">
        <f>IF(AND('Atividades Micro'!$B488=BW$2,'Atividades Micro'!$G488="Macro",'Atividades Micro'!$K488&lt;&gt;""),'Atividades Micro'!$K488,"")</f>
        <v/>
      </c>
      <c r="BX436" s="21" t="str">
        <f>IF(AND('Atividades Micro'!$B488=BX$2,'Atividades Micro'!$G488="Macro",'Atividades Micro'!$K488&lt;&gt;""),'Atividades Micro'!$K488,"")</f>
        <v/>
      </c>
      <c r="BY436" s="21" t="str">
        <f>IF(AND('Atividades Micro'!$B488=BY$2,'Atividades Micro'!$G488="Macro",'Atividades Micro'!$K488&lt;&gt;""),'Atividades Micro'!$K488,"")</f>
        <v/>
      </c>
      <c r="BZ436" s="21" t="str">
        <f>IF(AND('Atividades Micro'!$B488=BZ$2,'Atividades Micro'!$G488="Macro",'Atividades Micro'!$K488&lt;&gt;""),'Atividades Micro'!$K488,"")</f>
        <v/>
      </c>
      <c r="CA436" s="21" t="str">
        <f>IF(AND('Atividades Micro'!$B488=CA$2,'Atividades Micro'!$G488="Macro",'Atividades Micro'!$K488&lt;&gt;""),'Atividades Micro'!$K488,"")</f>
        <v/>
      </c>
      <c r="CB436" s="21" t="str">
        <f>IF(AND('Atividades Micro'!$B488=CB$2,'Atividades Micro'!$G488="Macro",'Atividades Micro'!$K488&lt;&gt;""),'Atividades Micro'!$K488,"")</f>
        <v/>
      </c>
      <c r="CC436" s="21" t="str">
        <f>IF(AND('Atividades Micro'!$B488=CC$2,'Atividades Micro'!$G488="Macro",'Atividades Micro'!$K488&lt;&gt;""),'Atividades Micro'!$K488,"")</f>
        <v/>
      </c>
      <c r="CD436" s="21" t="str">
        <f>IF(AND('Atividades Micro'!$B488=CD$2,'Atividades Micro'!$G488="Micro",'Atividades Micro'!$K488&lt;&gt;""),'Atividades Micro'!$K488,"")</f>
        <v/>
      </c>
      <c r="CE436" s="21" t="str">
        <f>IF(AND('Atividades Micro'!$B488=CE$2,'Atividades Micro'!$G488="Micro",'Atividades Micro'!$K488&lt;&gt;""),'Atividades Micro'!$K488,"")</f>
        <v/>
      </c>
      <c r="CF436" s="21" t="str">
        <f>IF(AND('Atividades Micro'!$B488=CF$2,'Atividades Micro'!$G488="Micro",'Atividades Micro'!$K488&lt;&gt;""),'Atividades Micro'!$K488,"")</f>
        <v/>
      </c>
      <c r="CG436" s="21" t="str">
        <f>IF(AND('Atividades Micro'!$B488=CG$2,'Atividades Micro'!$G488="Micro",'Atividades Micro'!$K488&lt;&gt;""),'Atividades Micro'!$K488,"")</f>
        <v/>
      </c>
      <c r="CH436" s="21" t="str">
        <f>IF(AND('Atividades Micro'!$B488=CH$2,'Atividades Micro'!$G488="Micro",'Atividades Micro'!$K488&lt;&gt;""),'Atividades Micro'!$K488,"")</f>
        <v/>
      </c>
      <c r="CI436" s="21" t="str">
        <f>IF(AND('Atividades Micro'!$B488=CI$2,'Atividades Micro'!$G488="Micro",'Atividades Micro'!$K488&lt;&gt;""),'Atividades Micro'!$K488,"")</f>
        <v/>
      </c>
      <c r="CJ436" s="21" t="str">
        <f>IF(AND('Atividades Micro'!$B488=CJ$2,'Atividades Micro'!$G488="Micro",'Atividades Micro'!$K488&lt;&gt;""),'Atividades Micro'!$K488,"")</f>
        <v/>
      </c>
      <c r="CK436" s="21" t="str">
        <f>IF(AND('Atividades Micro'!$B488=CK$2,'Atividades Micro'!$G488="Micro",'Atividades Micro'!$K488&lt;&gt;""),'Atividades Micro'!$K488,"")</f>
        <v/>
      </c>
      <c r="CL436" s="21" t="str">
        <f>IF(AND('Atividades Micro'!$B488=CL$2,'Atividades Micro'!$G488="Micro",'Atividades Micro'!$K488&lt;&gt;""),'Atividades Micro'!$K488,"")</f>
        <v/>
      </c>
      <c r="CM436" s="21" t="str">
        <f>IF(AND('Atividades Micro'!$B488=CM$2,'Atividades Micro'!$G488="Micro",'Atividades Micro'!$K488&lt;&gt;""),'Atividades Micro'!$K488,"")</f>
        <v/>
      </c>
      <c r="CN436" s="21" t="str">
        <f>IF(AND('Atividades Micro'!$B488=CN$2,'Atividades Micro'!$G488="Micro",'Atividades Micro'!$K488&lt;&gt;""),'Atividades Micro'!$K488,"")</f>
        <v/>
      </c>
      <c r="CO436" s="21" t="str">
        <f>IF(AND('Atividades Micro'!$B488=CO$2,'Atividades Micro'!$G488="Micro",'Atividades Micro'!$K488&lt;&gt;""),'Atividades Micro'!$K488,"")</f>
        <v/>
      </c>
    </row>
    <row r="437" spans="1:93">
      <c r="A437" s="21" t="str">
        <f>IF(AND('Atividades Micro'!$A489=A$2,'Atividades Micro'!$K489&lt;&gt;""),'Atividades Micro'!$K489,"")</f>
        <v/>
      </c>
      <c r="B437" s="21" t="str">
        <f>IF(AND('Atividades Micro'!$A489=B$2,'Atividades Micro'!$L489&lt;&gt;""),'Atividades Micro'!$L489,"")</f>
        <v/>
      </c>
      <c r="C437" s="21" t="str">
        <f>IF(AND('Atividades Micro'!$A489=C$2,'Atividades Micro'!$K489&lt;&gt;""),'Atividades Micro'!$K489,"")</f>
        <v/>
      </c>
      <c r="D437" s="21" t="str">
        <f>IF(AND('Atividades Micro'!$A489=D$2,'Atividades Micro'!$L489&lt;&gt;""),'Atividades Micro'!$L489,"")</f>
        <v/>
      </c>
      <c r="E437" s="21" t="str">
        <f>IF(AND('Atividades Micro'!$A489=E$2,'Atividades Micro'!$K489&lt;&gt;""),'Atividades Micro'!$K489,"")</f>
        <v/>
      </c>
      <c r="F437" s="21" t="str">
        <f>IF(AND('Atividades Micro'!$A489=F$2,'Atividades Micro'!$L489&lt;&gt;""),'Atividades Micro'!$L489,"")</f>
        <v/>
      </c>
      <c r="G437" s="21" t="str">
        <f>IF(AND('Atividades Micro'!$A489=G$2,'Atividades Micro'!$K489&lt;&gt;""),'Atividades Micro'!$K489,"")</f>
        <v/>
      </c>
      <c r="H437" s="21" t="str">
        <f>IF(AND('Atividades Micro'!$A489=H$2,'Atividades Micro'!$L489&lt;&gt;""),'Atividades Micro'!$L489,"")</f>
        <v/>
      </c>
      <c r="I437" s="21" t="str">
        <f>IF(AND('Atividades Micro'!$A489=I$2,'Atividades Micro'!$K489&lt;&gt;""),'Atividades Micro'!$K489,"")</f>
        <v/>
      </c>
      <c r="J437" s="21" t="str">
        <f>IF(AND('Atividades Micro'!$A489=J$2,'Atividades Micro'!$L489&lt;&gt;""),'Atividades Micro'!$L489,"")</f>
        <v/>
      </c>
      <c r="K437" s="21" t="str">
        <f>IF(AND('Atividades Micro'!$B489=K$2,'Atividades Micro'!$K489&lt;&gt;""),'Atividades Micro'!$K489,"")</f>
        <v/>
      </c>
      <c r="L437" s="21" t="str">
        <f>IF(AND('Atividades Micro'!$B489=L$2,'Atividades Micro'!$L489&lt;&gt;""),'Atividades Micro'!$L489,"")</f>
        <v/>
      </c>
      <c r="M437" s="21" t="str">
        <f>IF(AND('Atividades Micro'!$B489=M$2,'Atividades Micro'!$K489&lt;&gt;""),'Atividades Micro'!$K489,"")</f>
        <v/>
      </c>
      <c r="N437" s="21" t="str">
        <f>IF(AND('Atividades Micro'!$B489=N$2,'Atividades Micro'!$L489&lt;&gt;""),'Atividades Micro'!$L489,"")</f>
        <v/>
      </c>
      <c r="O437" s="21" t="str">
        <f>IF(AND('Atividades Micro'!$A489=O$2,'Atividades Micro'!$K489&lt;&gt;""),'Atividades Micro'!$K489,"")</f>
        <v/>
      </c>
      <c r="P437" s="21" t="str">
        <f>IF(AND('Atividades Micro'!$A489=P$2,'Atividades Micro'!$L489&lt;&gt;""),'Atividades Micro'!$L489,"")</f>
        <v/>
      </c>
      <c r="Q437" s="21" t="str">
        <f>IF(AND('Atividades Micro'!$B489=Q$2,'Atividades Micro'!$K489&lt;&gt;""),'Atividades Micro'!$K489,"")</f>
        <v/>
      </c>
      <c r="R437" s="21" t="str">
        <f>IF(AND('Atividades Micro'!$B489=R$2,'Atividades Micro'!$L489&lt;&gt;""),'Atividades Micro'!$L489,"")</f>
        <v/>
      </c>
      <c r="S437" s="21" t="str">
        <f>IF(AND('Atividades Micro'!$A489=S$2,'Atividades Micro'!$K489&lt;&gt;""),'Atividades Micro'!$K489,"")</f>
        <v/>
      </c>
      <c r="T437" s="21" t="str">
        <f>IF(AND('Atividades Micro'!$A489=T$2,'Atividades Micro'!$L489&lt;&gt;""),'Atividades Micro'!$L489,"")</f>
        <v/>
      </c>
      <c r="U437" s="21" t="str">
        <f>IF(AND('Atividades Micro'!$B489=U$2,'Atividades Micro'!$K489&lt;&gt;""),'Atividades Micro'!$K489,"")</f>
        <v/>
      </c>
      <c r="V437" s="21" t="str">
        <f>IF(AND('Atividades Micro'!$B489=V$2,'Atividades Micro'!$L489&lt;&gt;""),'Atividades Micro'!$L489,"")</f>
        <v/>
      </c>
      <c r="W437" s="21" t="str">
        <f>IF(AND('Atividades Micro'!$B489=W$2,'Atividades Micro'!$K489&lt;&gt;""),'Atividades Micro'!$K489,"")</f>
        <v/>
      </c>
      <c r="X437" s="21" t="str">
        <f>IF(AND('Atividades Micro'!$B489=X$2,'Atividades Micro'!$L489&lt;&gt;""),'Atividades Micro'!$L489,"")</f>
        <v/>
      </c>
      <c r="Y437" s="21" t="str">
        <f>IF(AND('Atividades Micro'!$A489=Y$2,'Atividades Micro'!$K489&lt;&gt;""),'Atividades Micro'!$K489,"")</f>
        <v/>
      </c>
      <c r="Z437" s="21" t="str">
        <f>IF(AND('Atividades Micro'!$A489=Z$2,'Atividades Micro'!$L489&lt;&gt;""),'Atividades Micro'!$L489,"")</f>
        <v/>
      </c>
      <c r="AA437" s="21" t="str">
        <f>IF(AND('Atividades Micro'!$B489=AA$2,'Atividades Micro'!$K489&lt;&gt;""),'Atividades Micro'!$K489,"")</f>
        <v/>
      </c>
      <c r="AB437" s="21" t="str">
        <f>IF(AND('Atividades Micro'!$B489=AB$2,'Atividades Micro'!$L489&lt;&gt;""),'Atividades Micro'!$L489,"")</f>
        <v/>
      </c>
      <c r="AC437" s="21" t="str">
        <f>IF(AND('Atividades Micro'!$B489=AC$2,'Atividades Micro'!$K489&lt;&gt;""),'Atividades Micro'!$K489,"")</f>
        <v/>
      </c>
      <c r="AD437" s="21" t="str">
        <f>IF(AND('Atividades Micro'!$B489=AD$2,'Atividades Micro'!$L489&lt;&gt;""),'Atividades Micro'!$L489,"")</f>
        <v/>
      </c>
      <c r="AE437" s="21" t="str">
        <f>IF(AND('Atividades Micro'!$A489=AE$2,'Atividades Micro'!$K489&lt;&gt;""),'Atividades Micro'!$K489,"")</f>
        <v/>
      </c>
      <c r="AF437" s="21" t="str">
        <f>IF(AND('Atividades Micro'!$A489=AF$2,'Atividades Micro'!$L489&lt;&gt;""),'Atividades Micro'!$L489,"")</f>
        <v/>
      </c>
      <c r="AG437" s="21" t="str">
        <f>IF(AND('Atividades Micro'!$B489=AG$2,'Atividades Micro'!$K489&lt;&gt;""),'Atividades Micro'!$K489,"")</f>
        <v/>
      </c>
      <c r="AH437" s="21" t="str">
        <f>IF(AND('Atividades Micro'!$B489=AH$2,'Atividades Micro'!$L489&lt;&gt;""),'Atividades Micro'!$L489,"")</f>
        <v/>
      </c>
      <c r="AI437" s="21" t="str">
        <f>IF(AND('Atividades Micro'!$B489=AI$2,'Atividades Micro'!$K489&lt;&gt;""),'Atividades Micro'!$K489,"")</f>
        <v/>
      </c>
      <c r="AJ437" s="21" t="str">
        <f>IF(AND('Atividades Micro'!$B489=AJ$2,'Atividades Micro'!$L489&lt;&gt;""),'Atividades Micro'!$L489,"")</f>
        <v/>
      </c>
      <c r="AK437" s="21" t="str">
        <f>IF(AND('Atividades Micro'!$A489=AK$2,'Atividades Micro'!$K489&lt;&gt;""),'Atividades Micro'!$K489,"")</f>
        <v/>
      </c>
      <c r="AL437" s="21" t="str">
        <f>IF(AND('Atividades Micro'!$A489=AL$2,'Atividades Micro'!$L489&lt;&gt;""),'Atividades Micro'!$L489,"")</f>
        <v/>
      </c>
      <c r="AM437" s="21" t="str">
        <f>IF(AND('Atividades Micro'!$B489=AM$2,'Atividades Micro'!$K489&lt;&gt;""),'Atividades Micro'!$K489,"")</f>
        <v/>
      </c>
      <c r="AN437" s="21" t="str">
        <f>IF(AND('Atividades Micro'!$B489=AN$2,'Atividades Micro'!$L489&lt;&gt;""),'Atividades Micro'!$L489,"")</f>
        <v/>
      </c>
      <c r="AO437" s="21" t="str">
        <f>IF(AND('Atividades Micro'!$B489=AO$2,'Atividades Micro'!$K489&lt;&gt;""),'Atividades Micro'!$K489,"")</f>
        <v/>
      </c>
      <c r="AP437" s="21" t="str">
        <f>IF(AND('Atividades Micro'!$B489=AP$2,'Atividades Micro'!$L489&lt;&gt;""),'Atividades Micro'!$L489,"")</f>
        <v/>
      </c>
      <c r="AQ437" s="21" t="str">
        <f>IF(AND('Atividades Micro'!$A489=AQ$2,'Atividades Micro'!$K489&lt;&gt;""),'Atividades Micro'!$K489,"")</f>
        <v/>
      </c>
      <c r="AR437" s="21" t="str">
        <f>IF(AND('Atividades Micro'!$A489=AR$2,'Atividades Micro'!$L489&lt;&gt;""),'Atividades Micro'!$L489,"")</f>
        <v/>
      </c>
      <c r="AS437" s="21" t="str">
        <f>IF(AND('Atividades Micro'!$B489=AS$2,'Atividades Micro'!$K489&lt;&gt;""),'Atividades Micro'!$K489,"")</f>
        <v/>
      </c>
      <c r="AT437" s="21" t="str">
        <f>IF(AND('Atividades Micro'!$B489=AT$2,'Atividades Micro'!$L489&lt;&gt;""),'Atividades Micro'!$L489,"")</f>
        <v/>
      </c>
      <c r="AU437" s="21" t="str">
        <f>IF(AND('Atividades Micro'!$A489=AU$2,'Atividades Micro'!$K489&lt;&gt;""),'Atividades Micro'!$K489,"")</f>
        <v/>
      </c>
      <c r="AV437" s="21" t="str">
        <f>IF(AND('Atividades Micro'!$A489=AV$2,'Atividades Micro'!$L489&lt;&gt;""),'Atividades Micro'!$L489,"")</f>
        <v/>
      </c>
      <c r="AW437" s="21" t="str">
        <f>IF(AND('Atividades Micro'!$B489=AW$2,'Atividades Micro'!$K489&lt;&gt;""),'Atividades Micro'!$K489,"")</f>
        <v/>
      </c>
      <c r="AX437" s="21" t="str">
        <f>IF(AND('Atividades Micro'!$B489=AX$2,'Atividades Micro'!$L489&lt;&gt;""),'Atividades Micro'!$L489,"")</f>
        <v/>
      </c>
      <c r="AY437" s="21" t="str">
        <f>IF(AND('Atividades Micro'!$A489=AY$2,'Atividades Micro'!$K489&lt;&gt;""),'Atividades Micro'!$K489,"")</f>
        <v/>
      </c>
      <c r="AZ437" s="21" t="str">
        <f>IF(AND('Atividades Micro'!$A489=AZ$2,'Atividades Micro'!$L489&lt;&gt;""),'Atividades Micro'!$L489,"")</f>
        <v/>
      </c>
      <c r="BA437" s="21" t="str">
        <f>IF(AND('Atividades Micro'!$B489=BA$2,'Atividades Micro'!$K489&lt;&gt;""),'Atividades Micro'!$K489,"")</f>
        <v/>
      </c>
      <c r="BB437" s="21" t="str">
        <f>IF(AND('Atividades Micro'!$B489=BB$2,'Atividades Micro'!$L489&lt;&gt;""),'Atividades Micro'!$L489,"")</f>
        <v/>
      </c>
      <c r="BC437" s="21" t="str">
        <f>IF(AND('Atividades Micro'!$B489=BC$2,'Atividades Micro'!$G489="Macro",'Atividades Micro'!$K489&lt;&gt;""),'Atividades Micro'!$K489,"")</f>
        <v/>
      </c>
      <c r="BD437" s="21" t="str">
        <f>IF(AND('Atividades Micro'!$B489=BD$2,'Atividades Micro'!$G489="Macro",'Atividades Micro'!$K489&lt;&gt;""),'Atividades Micro'!$K489,"")</f>
        <v/>
      </c>
      <c r="BE437" s="21" t="str">
        <f>IF(AND('Atividades Micro'!$B489=BE$2,'Atividades Micro'!$G489="Macro",'Atividades Micro'!$K489&lt;&gt;""),'Atividades Micro'!$K489,"")</f>
        <v/>
      </c>
      <c r="BF437" s="21" t="str">
        <f>IF(AND('Atividades Micro'!$B489=BF$2,'Atividades Micro'!$G489="Macro",'Atividades Micro'!$K489&lt;&gt;""),'Atividades Micro'!$K489,"")</f>
        <v/>
      </c>
      <c r="BG437" s="21" t="str">
        <f>IF(AND('Atividades Micro'!$B489=BG$2,'Atividades Micro'!$G489="Macro",'Atividades Micro'!$K489&lt;&gt;""),'Atividades Micro'!$K489,"")</f>
        <v/>
      </c>
      <c r="BH437" s="21" t="str">
        <f>IF(AND('Atividades Micro'!$B489=BH$2,'Atividades Micro'!$G489="Macro",'Atividades Micro'!$K489&lt;&gt;""),'Atividades Micro'!$K489,"")</f>
        <v/>
      </c>
      <c r="BI437" s="21" t="str">
        <f>IF(AND('Atividades Micro'!$B489=BI$2,'Atividades Micro'!$G489="Macro",'Atividades Micro'!$K489&lt;&gt;""),'Atividades Micro'!$K489,"")</f>
        <v/>
      </c>
      <c r="BJ437" s="21" t="str">
        <f>IF(AND('Atividades Micro'!$B489=BJ$2,'Atividades Micro'!$G489="Macro",'Atividades Micro'!$K489&lt;&gt;""),'Atividades Micro'!$K489,"")</f>
        <v/>
      </c>
      <c r="BK437" s="21" t="str">
        <f>IF(AND('Atividades Micro'!$B489=BK$2,'Atividades Micro'!$G489="Macro",'Atividades Micro'!$K489&lt;&gt;""),'Atividades Micro'!$K489,"")</f>
        <v/>
      </c>
      <c r="BL437" s="21" t="str">
        <f>IF(AND('Atividades Micro'!$B489=BL$2,'Atividades Micro'!$G489="Macro",'Atividades Micro'!$K489&lt;&gt;""),'Atividades Micro'!$K489,"")</f>
        <v/>
      </c>
      <c r="BM437" s="21" t="str">
        <f>IF(AND('Atividades Micro'!$B489=BM$2,'Atividades Micro'!$G489="Macro",'Atividades Micro'!$K489&lt;&gt;""),'Atividades Micro'!$K489,"")</f>
        <v/>
      </c>
      <c r="BN437" s="21" t="str">
        <f>IF(AND('Atividades Micro'!$B489=BN$2,'Atividades Micro'!$G489="Macro",'Atividades Micro'!$K489&lt;&gt;""),'Atividades Micro'!$K489,"")</f>
        <v/>
      </c>
      <c r="BO437" s="21" t="str">
        <f>IF(AND('Atividades Micro'!$B489=BO$2,'Atividades Micro'!$G489="Macro",'Atividades Micro'!$K489&lt;&gt;""),'Atividades Micro'!$K489,"")</f>
        <v/>
      </c>
      <c r="BP437" s="21" t="str">
        <f>IF(AND('Atividades Micro'!$B489=BP$2,'Atividades Micro'!$G489="Macro",'Atividades Micro'!$K489&lt;&gt;""),'Atividades Micro'!$K489,"")</f>
        <v/>
      </c>
      <c r="BQ437" s="21" t="str">
        <f>IF(AND('Atividades Micro'!$B489=BQ$2,'Atividades Micro'!$G489="Macro",'Atividades Micro'!$K489&lt;&gt;""),'Atividades Micro'!$K489,"")</f>
        <v/>
      </c>
      <c r="BR437" s="21" t="str">
        <f>IF(AND('Atividades Micro'!$B489=BR$2,'Atividades Micro'!$G489="Macro",'Atividades Micro'!$K489&lt;&gt;""),'Atividades Micro'!$K489,"")</f>
        <v/>
      </c>
      <c r="BS437" s="21" t="str">
        <f>IF(AND('Atividades Micro'!$B489=BS$2,'Atividades Micro'!$G489="Macro",'Atividades Micro'!$K489&lt;&gt;""),'Atividades Micro'!$K489,"")</f>
        <v/>
      </c>
      <c r="BT437" s="21" t="str">
        <f>IF(AND('Atividades Micro'!$B489=BT$2,'Atividades Micro'!$G489="Macro",'Atividades Micro'!$K489&lt;&gt;""),'Atividades Micro'!$K489,"")</f>
        <v/>
      </c>
      <c r="BU437" s="21" t="str">
        <f>IF(AND('Atividades Micro'!$B489=BU$2,'Atividades Micro'!$G489="Macro",'Atividades Micro'!$K489&lt;&gt;""),'Atividades Micro'!$K489,"")</f>
        <v/>
      </c>
      <c r="BV437" s="21" t="str">
        <f>IF(AND('Atividades Micro'!$B489=BV$2,'Atividades Micro'!$G489="Macro",'Atividades Micro'!$K489&lt;&gt;""),'Atividades Micro'!$K489,"")</f>
        <v/>
      </c>
      <c r="BW437" s="21" t="str">
        <f>IF(AND('Atividades Micro'!$B489=BW$2,'Atividades Micro'!$G489="Macro",'Atividades Micro'!$K489&lt;&gt;""),'Atividades Micro'!$K489,"")</f>
        <v/>
      </c>
      <c r="BX437" s="21" t="str">
        <f>IF(AND('Atividades Micro'!$B489=BX$2,'Atividades Micro'!$G489="Macro",'Atividades Micro'!$K489&lt;&gt;""),'Atividades Micro'!$K489,"")</f>
        <v/>
      </c>
      <c r="BY437" s="21" t="str">
        <f>IF(AND('Atividades Micro'!$B489=BY$2,'Atividades Micro'!$G489="Macro",'Atividades Micro'!$K489&lt;&gt;""),'Atividades Micro'!$K489,"")</f>
        <v/>
      </c>
      <c r="BZ437" s="21" t="str">
        <f>IF(AND('Atividades Micro'!$B489=BZ$2,'Atividades Micro'!$G489="Macro",'Atividades Micro'!$K489&lt;&gt;""),'Atividades Micro'!$K489,"")</f>
        <v/>
      </c>
      <c r="CA437" s="21" t="str">
        <f>IF(AND('Atividades Micro'!$B489=CA$2,'Atividades Micro'!$G489="Macro",'Atividades Micro'!$K489&lt;&gt;""),'Atividades Micro'!$K489,"")</f>
        <v/>
      </c>
      <c r="CB437" s="21" t="str">
        <f>IF(AND('Atividades Micro'!$B489=CB$2,'Atividades Micro'!$G489="Macro",'Atividades Micro'!$K489&lt;&gt;""),'Atividades Micro'!$K489,"")</f>
        <v/>
      </c>
      <c r="CC437" s="21" t="str">
        <f>IF(AND('Atividades Micro'!$B489=CC$2,'Atividades Micro'!$G489="Macro",'Atividades Micro'!$K489&lt;&gt;""),'Atividades Micro'!$K489,"")</f>
        <v/>
      </c>
      <c r="CD437" s="21" t="str">
        <f>IF(AND('Atividades Micro'!$B489=CD$2,'Atividades Micro'!$G489="Micro",'Atividades Micro'!$K489&lt;&gt;""),'Atividades Micro'!$K489,"")</f>
        <v/>
      </c>
      <c r="CE437" s="21" t="str">
        <f>IF(AND('Atividades Micro'!$B489=CE$2,'Atividades Micro'!$G489="Micro",'Atividades Micro'!$K489&lt;&gt;""),'Atividades Micro'!$K489,"")</f>
        <v/>
      </c>
      <c r="CF437" s="21" t="str">
        <f>IF(AND('Atividades Micro'!$B489=CF$2,'Atividades Micro'!$G489="Micro",'Atividades Micro'!$K489&lt;&gt;""),'Atividades Micro'!$K489,"")</f>
        <v/>
      </c>
      <c r="CG437" s="21" t="str">
        <f>IF(AND('Atividades Micro'!$B489=CG$2,'Atividades Micro'!$G489="Micro",'Atividades Micro'!$K489&lt;&gt;""),'Atividades Micro'!$K489,"")</f>
        <v/>
      </c>
      <c r="CH437" s="21" t="str">
        <f>IF(AND('Atividades Micro'!$B489=CH$2,'Atividades Micro'!$G489="Micro",'Atividades Micro'!$K489&lt;&gt;""),'Atividades Micro'!$K489,"")</f>
        <v/>
      </c>
      <c r="CI437" s="21" t="str">
        <f>IF(AND('Atividades Micro'!$B489=CI$2,'Atividades Micro'!$G489="Micro",'Atividades Micro'!$K489&lt;&gt;""),'Atividades Micro'!$K489,"")</f>
        <v/>
      </c>
      <c r="CJ437" s="21" t="str">
        <f>IF(AND('Atividades Micro'!$B489=CJ$2,'Atividades Micro'!$G489="Micro",'Atividades Micro'!$K489&lt;&gt;""),'Atividades Micro'!$K489,"")</f>
        <v/>
      </c>
      <c r="CK437" s="21" t="str">
        <f>IF(AND('Atividades Micro'!$B489=CK$2,'Atividades Micro'!$G489="Micro",'Atividades Micro'!$K489&lt;&gt;""),'Atividades Micro'!$K489,"")</f>
        <v/>
      </c>
      <c r="CL437" s="21" t="str">
        <f>IF(AND('Atividades Micro'!$B489=CL$2,'Atividades Micro'!$G489="Micro",'Atividades Micro'!$K489&lt;&gt;""),'Atividades Micro'!$K489,"")</f>
        <v/>
      </c>
      <c r="CM437" s="21" t="str">
        <f>IF(AND('Atividades Micro'!$B489=CM$2,'Atividades Micro'!$G489="Micro",'Atividades Micro'!$K489&lt;&gt;""),'Atividades Micro'!$K489,"")</f>
        <v/>
      </c>
      <c r="CN437" s="21" t="str">
        <f>IF(AND('Atividades Micro'!$B489=CN$2,'Atividades Micro'!$G489="Micro",'Atividades Micro'!$K489&lt;&gt;""),'Atividades Micro'!$K489,"")</f>
        <v/>
      </c>
      <c r="CO437" s="21" t="str">
        <f>IF(AND('Atividades Micro'!$B489=CO$2,'Atividades Micro'!$G489="Micro",'Atividades Micro'!$K489&lt;&gt;""),'Atividades Micro'!$K489,"")</f>
        <v/>
      </c>
    </row>
    <row r="438" spans="1:93">
      <c r="A438" s="21" t="str">
        <f>IF(AND('Atividades Micro'!$A490=A$2,'Atividades Micro'!$K490&lt;&gt;""),'Atividades Micro'!$K490,"")</f>
        <v/>
      </c>
      <c r="B438" s="21" t="str">
        <f>IF(AND('Atividades Micro'!$A490=B$2,'Atividades Micro'!$L490&lt;&gt;""),'Atividades Micro'!$L490,"")</f>
        <v/>
      </c>
      <c r="C438" s="21" t="str">
        <f>IF(AND('Atividades Micro'!$A490=C$2,'Atividades Micro'!$K490&lt;&gt;""),'Atividades Micro'!$K490,"")</f>
        <v/>
      </c>
      <c r="D438" s="21" t="str">
        <f>IF(AND('Atividades Micro'!$A490=D$2,'Atividades Micro'!$L490&lt;&gt;""),'Atividades Micro'!$L490,"")</f>
        <v/>
      </c>
      <c r="E438" s="21" t="str">
        <f>IF(AND('Atividades Micro'!$A490=E$2,'Atividades Micro'!$K490&lt;&gt;""),'Atividades Micro'!$K490,"")</f>
        <v/>
      </c>
      <c r="F438" s="21" t="str">
        <f>IF(AND('Atividades Micro'!$A490=F$2,'Atividades Micro'!$L490&lt;&gt;""),'Atividades Micro'!$L490,"")</f>
        <v/>
      </c>
      <c r="G438" s="21" t="str">
        <f>IF(AND('Atividades Micro'!$A490=G$2,'Atividades Micro'!$K490&lt;&gt;""),'Atividades Micro'!$K490,"")</f>
        <v/>
      </c>
      <c r="H438" s="21" t="str">
        <f>IF(AND('Atividades Micro'!$A490=H$2,'Atividades Micro'!$L490&lt;&gt;""),'Atividades Micro'!$L490,"")</f>
        <v/>
      </c>
      <c r="I438" s="21" t="str">
        <f>IF(AND('Atividades Micro'!$A490=I$2,'Atividades Micro'!$K490&lt;&gt;""),'Atividades Micro'!$K490,"")</f>
        <v/>
      </c>
      <c r="J438" s="21" t="str">
        <f>IF(AND('Atividades Micro'!$A490=J$2,'Atividades Micro'!$L490&lt;&gt;""),'Atividades Micro'!$L490,"")</f>
        <v/>
      </c>
      <c r="K438" s="21" t="str">
        <f>IF(AND('Atividades Micro'!$B490=K$2,'Atividades Micro'!$K490&lt;&gt;""),'Atividades Micro'!$K490,"")</f>
        <v/>
      </c>
      <c r="L438" s="21" t="str">
        <f>IF(AND('Atividades Micro'!$B490=L$2,'Atividades Micro'!$L490&lt;&gt;""),'Atividades Micro'!$L490,"")</f>
        <v/>
      </c>
      <c r="M438" s="21" t="str">
        <f>IF(AND('Atividades Micro'!$B490=M$2,'Atividades Micro'!$K490&lt;&gt;""),'Atividades Micro'!$K490,"")</f>
        <v/>
      </c>
      <c r="N438" s="21" t="str">
        <f>IF(AND('Atividades Micro'!$B490=N$2,'Atividades Micro'!$L490&lt;&gt;""),'Atividades Micro'!$L490,"")</f>
        <v/>
      </c>
      <c r="O438" s="21" t="str">
        <f>IF(AND('Atividades Micro'!$A490=O$2,'Atividades Micro'!$K490&lt;&gt;""),'Atividades Micro'!$K490,"")</f>
        <v/>
      </c>
      <c r="P438" s="21" t="str">
        <f>IF(AND('Atividades Micro'!$A490=P$2,'Atividades Micro'!$L490&lt;&gt;""),'Atividades Micro'!$L490,"")</f>
        <v/>
      </c>
      <c r="Q438" s="21" t="str">
        <f>IF(AND('Atividades Micro'!$B490=Q$2,'Atividades Micro'!$K490&lt;&gt;""),'Atividades Micro'!$K490,"")</f>
        <v/>
      </c>
      <c r="R438" s="21" t="str">
        <f>IF(AND('Atividades Micro'!$B490=R$2,'Atividades Micro'!$L490&lt;&gt;""),'Atividades Micro'!$L490,"")</f>
        <v/>
      </c>
      <c r="S438" s="21" t="str">
        <f>IF(AND('Atividades Micro'!$A490=S$2,'Atividades Micro'!$K490&lt;&gt;""),'Atividades Micro'!$K490,"")</f>
        <v/>
      </c>
      <c r="T438" s="21" t="str">
        <f>IF(AND('Atividades Micro'!$A490=T$2,'Atividades Micro'!$L490&lt;&gt;""),'Atividades Micro'!$L490,"")</f>
        <v/>
      </c>
      <c r="U438" s="21" t="str">
        <f>IF(AND('Atividades Micro'!$B490=U$2,'Atividades Micro'!$K490&lt;&gt;""),'Atividades Micro'!$K490,"")</f>
        <v/>
      </c>
      <c r="V438" s="21" t="str">
        <f>IF(AND('Atividades Micro'!$B490=V$2,'Atividades Micro'!$L490&lt;&gt;""),'Atividades Micro'!$L490,"")</f>
        <v/>
      </c>
      <c r="W438" s="21" t="str">
        <f>IF(AND('Atividades Micro'!$B490=W$2,'Atividades Micro'!$K490&lt;&gt;""),'Atividades Micro'!$K490,"")</f>
        <v/>
      </c>
      <c r="X438" s="21" t="str">
        <f>IF(AND('Atividades Micro'!$B490=X$2,'Atividades Micro'!$L490&lt;&gt;""),'Atividades Micro'!$L490,"")</f>
        <v/>
      </c>
      <c r="Y438" s="21" t="str">
        <f>IF(AND('Atividades Micro'!$A490=Y$2,'Atividades Micro'!$K490&lt;&gt;""),'Atividades Micro'!$K490,"")</f>
        <v/>
      </c>
      <c r="Z438" s="21" t="str">
        <f>IF(AND('Atividades Micro'!$A490=Z$2,'Atividades Micro'!$L490&lt;&gt;""),'Atividades Micro'!$L490,"")</f>
        <v/>
      </c>
      <c r="AA438" s="21" t="str">
        <f>IF(AND('Atividades Micro'!$B490=AA$2,'Atividades Micro'!$K490&lt;&gt;""),'Atividades Micro'!$K490,"")</f>
        <v/>
      </c>
      <c r="AB438" s="21" t="str">
        <f>IF(AND('Atividades Micro'!$B490=AB$2,'Atividades Micro'!$L490&lt;&gt;""),'Atividades Micro'!$L490,"")</f>
        <v/>
      </c>
      <c r="AC438" s="21" t="str">
        <f>IF(AND('Atividades Micro'!$B490=AC$2,'Atividades Micro'!$K490&lt;&gt;""),'Atividades Micro'!$K490,"")</f>
        <v/>
      </c>
      <c r="AD438" s="21" t="str">
        <f>IF(AND('Atividades Micro'!$B490=AD$2,'Atividades Micro'!$L490&lt;&gt;""),'Atividades Micro'!$L490,"")</f>
        <v/>
      </c>
      <c r="AE438" s="21" t="str">
        <f>IF(AND('Atividades Micro'!$A490=AE$2,'Atividades Micro'!$K490&lt;&gt;""),'Atividades Micro'!$K490,"")</f>
        <v/>
      </c>
      <c r="AF438" s="21" t="str">
        <f>IF(AND('Atividades Micro'!$A490=AF$2,'Atividades Micro'!$L490&lt;&gt;""),'Atividades Micro'!$L490,"")</f>
        <v/>
      </c>
      <c r="AG438" s="21" t="str">
        <f>IF(AND('Atividades Micro'!$B490=AG$2,'Atividades Micro'!$K490&lt;&gt;""),'Atividades Micro'!$K490,"")</f>
        <v/>
      </c>
      <c r="AH438" s="21" t="str">
        <f>IF(AND('Atividades Micro'!$B490=AH$2,'Atividades Micro'!$L490&lt;&gt;""),'Atividades Micro'!$L490,"")</f>
        <v/>
      </c>
      <c r="AI438" s="21" t="str">
        <f>IF(AND('Atividades Micro'!$B490=AI$2,'Atividades Micro'!$K490&lt;&gt;""),'Atividades Micro'!$K490,"")</f>
        <v/>
      </c>
      <c r="AJ438" s="21" t="str">
        <f>IF(AND('Atividades Micro'!$B490=AJ$2,'Atividades Micro'!$L490&lt;&gt;""),'Atividades Micro'!$L490,"")</f>
        <v/>
      </c>
      <c r="AK438" s="21" t="str">
        <f>IF(AND('Atividades Micro'!$A490=AK$2,'Atividades Micro'!$K490&lt;&gt;""),'Atividades Micro'!$K490,"")</f>
        <v/>
      </c>
      <c r="AL438" s="21" t="str">
        <f>IF(AND('Atividades Micro'!$A490=AL$2,'Atividades Micro'!$L490&lt;&gt;""),'Atividades Micro'!$L490,"")</f>
        <v/>
      </c>
      <c r="AM438" s="21" t="str">
        <f>IF(AND('Atividades Micro'!$B490=AM$2,'Atividades Micro'!$K490&lt;&gt;""),'Atividades Micro'!$K490,"")</f>
        <v/>
      </c>
      <c r="AN438" s="21" t="str">
        <f>IF(AND('Atividades Micro'!$B490=AN$2,'Atividades Micro'!$L490&lt;&gt;""),'Atividades Micro'!$L490,"")</f>
        <v/>
      </c>
      <c r="AO438" s="21" t="str">
        <f>IF(AND('Atividades Micro'!$B490=AO$2,'Atividades Micro'!$K490&lt;&gt;""),'Atividades Micro'!$K490,"")</f>
        <v/>
      </c>
      <c r="AP438" s="21" t="str">
        <f>IF(AND('Atividades Micro'!$B490=AP$2,'Atividades Micro'!$L490&lt;&gt;""),'Atividades Micro'!$L490,"")</f>
        <v/>
      </c>
      <c r="AQ438" s="21" t="str">
        <f>IF(AND('Atividades Micro'!$A490=AQ$2,'Atividades Micro'!$K490&lt;&gt;""),'Atividades Micro'!$K490,"")</f>
        <v/>
      </c>
      <c r="AR438" s="21" t="str">
        <f>IF(AND('Atividades Micro'!$A490=AR$2,'Atividades Micro'!$L490&lt;&gt;""),'Atividades Micro'!$L490,"")</f>
        <v/>
      </c>
      <c r="AS438" s="21" t="str">
        <f>IF(AND('Atividades Micro'!$B490=AS$2,'Atividades Micro'!$K490&lt;&gt;""),'Atividades Micro'!$K490,"")</f>
        <v/>
      </c>
      <c r="AT438" s="21" t="str">
        <f>IF(AND('Atividades Micro'!$B490=AT$2,'Atividades Micro'!$L490&lt;&gt;""),'Atividades Micro'!$L490,"")</f>
        <v/>
      </c>
      <c r="AU438" s="21" t="str">
        <f>IF(AND('Atividades Micro'!$A490=AU$2,'Atividades Micro'!$K490&lt;&gt;""),'Atividades Micro'!$K490,"")</f>
        <v/>
      </c>
      <c r="AV438" s="21" t="str">
        <f>IF(AND('Atividades Micro'!$A490=AV$2,'Atividades Micro'!$L490&lt;&gt;""),'Atividades Micro'!$L490,"")</f>
        <v/>
      </c>
      <c r="AW438" s="21" t="str">
        <f>IF(AND('Atividades Micro'!$B490=AW$2,'Atividades Micro'!$K490&lt;&gt;""),'Atividades Micro'!$K490,"")</f>
        <v/>
      </c>
      <c r="AX438" s="21" t="str">
        <f>IF(AND('Atividades Micro'!$B490=AX$2,'Atividades Micro'!$L490&lt;&gt;""),'Atividades Micro'!$L490,"")</f>
        <v/>
      </c>
      <c r="AY438" s="21" t="str">
        <f>IF(AND('Atividades Micro'!$A490=AY$2,'Atividades Micro'!$K490&lt;&gt;""),'Atividades Micro'!$K490,"")</f>
        <v/>
      </c>
      <c r="AZ438" s="21" t="str">
        <f>IF(AND('Atividades Micro'!$A490=AZ$2,'Atividades Micro'!$L490&lt;&gt;""),'Atividades Micro'!$L490,"")</f>
        <v/>
      </c>
      <c r="BA438" s="21" t="str">
        <f>IF(AND('Atividades Micro'!$B490=BA$2,'Atividades Micro'!$K490&lt;&gt;""),'Atividades Micro'!$K490,"")</f>
        <v/>
      </c>
      <c r="BB438" s="21" t="str">
        <f>IF(AND('Atividades Micro'!$B490=BB$2,'Atividades Micro'!$L490&lt;&gt;""),'Atividades Micro'!$L490,"")</f>
        <v/>
      </c>
      <c r="BC438" s="21" t="str">
        <f>IF(AND('Atividades Micro'!$B490=BC$2,'Atividades Micro'!$G490="Macro",'Atividades Micro'!$K490&lt;&gt;""),'Atividades Micro'!$K490,"")</f>
        <v/>
      </c>
      <c r="BD438" s="21" t="str">
        <f>IF(AND('Atividades Micro'!$B490=BD$2,'Atividades Micro'!$G490="Macro",'Atividades Micro'!$K490&lt;&gt;""),'Atividades Micro'!$K490,"")</f>
        <v/>
      </c>
      <c r="BE438" s="21" t="str">
        <f>IF(AND('Atividades Micro'!$B490=BE$2,'Atividades Micro'!$G490="Macro",'Atividades Micro'!$K490&lt;&gt;""),'Atividades Micro'!$K490,"")</f>
        <v/>
      </c>
      <c r="BF438" s="21" t="str">
        <f>IF(AND('Atividades Micro'!$B490=BF$2,'Atividades Micro'!$G490="Macro",'Atividades Micro'!$K490&lt;&gt;""),'Atividades Micro'!$K490,"")</f>
        <v/>
      </c>
      <c r="BG438" s="21" t="str">
        <f>IF(AND('Atividades Micro'!$B490=BG$2,'Atividades Micro'!$G490="Macro",'Atividades Micro'!$K490&lt;&gt;""),'Atividades Micro'!$K490,"")</f>
        <v/>
      </c>
      <c r="BH438" s="21" t="str">
        <f>IF(AND('Atividades Micro'!$B490=BH$2,'Atividades Micro'!$G490="Macro",'Atividades Micro'!$K490&lt;&gt;""),'Atividades Micro'!$K490,"")</f>
        <v/>
      </c>
      <c r="BI438" s="21" t="str">
        <f>IF(AND('Atividades Micro'!$B490=BI$2,'Atividades Micro'!$G490="Macro",'Atividades Micro'!$K490&lt;&gt;""),'Atividades Micro'!$K490,"")</f>
        <v/>
      </c>
      <c r="BJ438" s="21" t="str">
        <f>IF(AND('Atividades Micro'!$B490=BJ$2,'Atividades Micro'!$G490="Macro",'Atividades Micro'!$K490&lt;&gt;""),'Atividades Micro'!$K490,"")</f>
        <v/>
      </c>
      <c r="BK438" s="21" t="str">
        <f>IF(AND('Atividades Micro'!$B490=BK$2,'Atividades Micro'!$G490="Macro",'Atividades Micro'!$K490&lt;&gt;""),'Atividades Micro'!$K490,"")</f>
        <v/>
      </c>
      <c r="BL438" s="21" t="str">
        <f>IF(AND('Atividades Micro'!$B490=BL$2,'Atividades Micro'!$G490="Macro",'Atividades Micro'!$K490&lt;&gt;""),'Atividades Micro'!$K490,"")</f>
        <v/>
      </c>
      <c r="BM438" s="21" t="str">
        <f>IF(AND('Atividades Micro'!$B490=BM$2,'Atividades Micro'!$G490="Macro",'Atividades Micro'!$K490&lt;&gt;""),'Atividades Micro'!$K490,"")</f>
        <v/>
      </c>
      <c r="BN438" s="21" t="str">
        <f>IF(AND('Atividades Micro'!$B490=BN$2,'Atividades Micro'!$G490="Macro",'Atividades Micro'!$K490&lt;&gt;""),'Atividades Micro'!$K490,"")</f>
        <v/>
      </c>
      <c r="BO438" s="21" t="str">
        <f>IF(AND('Atividades Micro'!$B490=BO$2,'Atividades Micro'!$G490="Macro",'Atividades Micro'!$K490&lt;&gt;""),'Atividades Micro'!$K490,"")</f>
        <v/>
      </c>
      <c r="BP438" s="21" t="str">
        <f>IF(AND('Atividades Micro'!$B490=BP$2,'Atividades Micro'!$G490="Macro",'Atividades Micro'!$K490&lt;&gt;""),'Atividades Micro'!$K490,"")</f>
        <v/>
      </c>
      <c r="BQ438" s="21" t="str">
        <f>IF(AND('Atividades Micro'!$B490=BQ$2,'Atividades Micro'!$G490="Macro",'Atividades Micro'!$K490&lt;&gt;""),'Atividades Micro'!$K490,"")</f>
        <v/>
      </c>
      <c r="BR438" s="21" t="str">
        <f>IF(AND('Atividades Micro'!$B490=BR$2,'Atividades Micro'!$G490="Macro",'Atividades Micro'!$K490&lt;&gt;""),'Atividades Micro'!$K490,"")</f>
        <v/>
      </c>
      <c r="BS438" s="21" t="str">
        <f>IF(AND('Atividades Micro'!$B490=BS$2,'Atividades Micro'!$G490="Macro",'Atividades Micro'!$K490&lt;&gt;""),'Atividades Micro'!$K490,"")</f>
        <v/>
      </c>
      <c r="BT438" s="21" t="str">
        <f>IF(AND('Atividades Micro'!$B490=BT$2,'Atividades Micro'!$G490="Macro",'Atividades Micro'!$K490&lt;&gt;""),'Atividades Micro'!$K490,"")</f>
        <v/>
      </c>
      <c r="BU438" s="21" t="str">
        <f>IF(AND('Atividades Micro'!$B490=BU$2,'Atividades Micro'!$G490="Macro",'Atividades Micro'!$K490&lt;&gt;""),'Atividades Micro'!$K490,"")</f>
        <v/>
      </c>
      <c r="BV438" s="21" t="str">
        <f>IF(AND('Atividades Micro'!$B490=BV$2,'Atividades Micro'!$G490="Macro",'Atividades Micro'!$K490&lt;&gt;""),'Atividades Micro'!$K490,"")</f>
        <v/>
      </c>
      <c r="BW438" s="21" t="str">
        <f>IF(AND('Atividades Micro'!$B490=BW$2,'Atividades Micro'!$G490="Macro",'Atividades Micro'!$K490&lt;&gt;""),'Atividades Micro'!$K490,"")</f>
        <v/>
      </c>
      <c r="BX438" s="21" t="str">
        <f>IF(AND('Atividades Micro'!$B490=BX$2,'Atividades Micro'!$G490="Macro",'Atividades Micro'!$K490&lt;&gt;""),'Atividades Micro'!$K490,"")</f>
        <v/>
      </c>
      <c r="BY438" s="21" t="str">
        <f>IF(AND('Atividades Micro'!$B490=BY$2,'Atividades Micro'!$G490="Macro",'Atividades Micro'!$K490&lt;&gt;""),'Atividades Micro'!$K490,"")</f>
        <v/>
      </c>
      <c r="BZ438" s="21" t="str">
        <f>IF(AND('Atividades Micro'!$B490=BZ$2,'Atividades Micro'!$G490="Macro",'Atividades Micro'!$K490&lt;&gt;""),'Atividades Micro'!$K490,"")</f>
        <v/>
      </c>
      <c r="CA438" s="21" t="str">
        <f>IF(AND('Atividades Micro'!$B490=CA$2,'Atividades Micro'!$G490="Macro",'Atividades Micro'!$K490&lt;&gt;""),'Atividades Micro'!$K490,"")</f>
        <v/>
      </c>
      <c r="CB438" s="21" t="str">
        <f>IF(AND('Atividades Micro'!$B490=CB$2,'Atividades Micro'!$G490="Macro",'Atividades Micro'!$K490&lt;&gt;""),'Atividades Micro'!$K490,"")</f>
        <v/>
      </c>
      <c r="CC438" s="21" t="str">
        <f>IF(AND('Atividades Micro'!$B490=CC$2,'Atividades Micro'!$G490="Macro",'Atividades Micro'!$K490&lt;&gt;""),'Atividades Micro'!$K490,"")</f>
        <v/>
      </c>
      <c r="CD438" s="21" t="str">
        <f>IF(AND('Atividades Micro'!$B490=CD$2,'Atividades Micro'!$G490="Micro",'Atividades Micro'!$K490&lt;&gt;""),'Atividades Micro'!$K490,"")</f>
        <v/>
      </c>
      <c r="CE438" s="21" t="str">
        <f>IF(AND('Atividades Micro'!$B490=CE$2,'Atividades Micro'!$G490="Micro",'Atividades Micro'!$K490&lt;&gt;""),'Atividades Micro'!$K490,"")</f>
        <v/>
      </c>
      <c r="CF438" s="21" t="str">
        <f>IF(AND('Atividades Micro'!$B490=CF$2,'Atividades Micro'!$G490="Micro",'Atividades Micro'!$K490&lt;&gt;""),'Atividades Micro'!$K490,"")</f>
        <v/>
      </c>
      <c r="CG438" s="21" t="str">
        <f>IF(AND('Atividades Micro'!$B490=CG$2,'Atividades Micro'!$G490="Micro",'Atividades Micro'!$K490&lt;&gt;""),'Atividades Micro'!$K490,"")</f>
        <v/>
      </c>
      <c r="CH438" s="21" t="str">
        <f>IF(AND('Atividades Micro'!$B490=CH$2,'Atividades Micro'!$G490="Micro",'Atividades Micro'!$K490&lt;&gt;""),'Atividades Micro'!$K490,"")</f>
        <v/>
      </c>
      <c r="CI438" s="21" t="str">
        <f>IF(AND('Atividades Micro'!$B490=CI$2,'Atividades Micro'!$G490="Micro",'Atividades Micro'!$K490&lt;&gt;""),'Atividades Micro'!$K490,"")</f>
        <v/>
      </c>
      <c r="CJ438" s="21" t="str">
        <f>IF(AND('Atividades Micro'!$B490=CJ$2,'Atividades Micro'!$G490="Micro",'Atividades Micro'!$K490&lt;&gt;""),'Atividades Micro'!$K490,"")</f>
        <v/>
      </c>
      <c r="CK438" s="21" t="str">
        <f>IF(AND('Atividades Micro'!$B490=CK$2,'Atividades Micro'!$G490="Micro",'Atividades Micro'!$K490&lt;&gt;""),'Atividades Micro'!$K490,"")</f>
        <v/>
      </c>
      <c r="CL438" s="21" t="str">
        <f>IF(AND('Atividades Micro'!$B490=CL$2,'Atividades Micro'!$G490="Micro",'Atividades Micro'!$K490&lt;&gt;""),'Atividades Micro'!$K490,"")</f>
        <v/>
      </c>
      <c r="CM438" s="21" t="str">
        <f>IF(AND('Atividades Micro'!$B490=CM$2,'Atividades Micro'!$G490="Micro",'Atividades Micro'!$K490&lt;&gt;""),'Atividades Micro'!$K490,"")</f>
        <v/>
      </c>
      <c r="CN438" s="21" t="str">
        <f>IF(AND('Atividades Micro'!$B490=CN$2,'Atividades Micro'!$G490="Micro",'Atividades Micro'!$K490&lt;&gt;""),'Atividades Micro'!$K490,"")</f>
        <v/>
      </c>
      <c r="CO438" s="21" t="str">
        <f>IF(AND('Atividades Micro'!$B490=CO$2,'Atividades Micro'!$G490="Micro",'Atividades Micro'!$K490&lt;&gt;""),'Atividades Micro'!$K490,"")</f>
        <v/>
      </c>
    </row>
    <row r="439" spans="1:93">
      <c r="A439" s="21" t="str">
        <f>IF(AND('Atividades Micro'!$A491=A$2,'Atividades Micro'!$K491&lt;&gt;""),'Atividades Micro'!$K491,"")</f>
        <v/>
      </c>
      <c r="B439" s="21" t="str">
        <f>IF(AND('Atividades Micro'!$A491=B$2,'Atividades Micro'!$L491&lt;&gt;""),'Atividades Micro'!$L491,"")</f>
        <v/>
      </c>
      <c r="C439" s="21" t="str">
        <f>IF(AND('Atividades Micro'!$A491=C$2,'Atividades Micro'!$K491&lt;&gt;""),'Atividades Micro'!$K491,"")</f>
        <v/>
      </c>
      <c r="D439" s="21" t="str">
        <f>IF(AND('Atividades Micro'!$A491=D$2,'Atividades Micro'!$L491&lt;&gt;""),'Atividades Micro'!$L491,"")</f>
        <v/>
      </c>
      <c r="E439" s="21" t="str">
        <f>IF(AND('Atividades Micro'!$A491=E$2,'Atividades Micro'!$K491&lt;&gt;""),'Atividades Micro'!$K491,"")</f>
        <v/>
      </c>
      <c r="F439" s="21" t="str">
        <f>IF(AND('Atividades Micro'!$A491=F$2,'Atividades Micro'!$L491&lt;&gt;""),'Atividades Micro'!$L491,"")</f>
        <v/>
      </c>
      <c r="G439" s="21" t="str">
        <f>IF(AND('Atividades Micro'!$A491=G$2,'Atividades Micro'!$K491&lt;&gt;""),'Atividades Micro'!$K491,"")</f>
        <v/>
      </c>
      <c r="H439" s="21" t="str">
        <f>IF(AND('Atividades Micro'!$A491=H$2,'Atividades Micro'!$L491&lt;&gt;""),'Atividades Micro'!$L491,"")</f>
        <v/>
      </c>
      <c r="I439" s="21" t="str">
        <f>IF(AND('Atividades Micro'!$A491=I$2,'Atividades Micro'!$K491&lt;&gt;""),'Atividades Micro'!$K491,"")</f>
        <v/>
      </c>
      <c r="J439" s="21" t="str">
        <f>IF(AND('Atividades Micro'!$A491=J$2,'Atividades Micro'!$L491&lt;&gt;""),'Atividades Micro'!$L491,"")</f>
        <v/>
      </c>
      <c r="K439" s="21" t="str">
        <f>IF(AND('Atividades Micro'!$B491=K$2,'Atividades Micro'!$K491&lt;&gt;""),'Atividades Micro'!$K491,"")</f>
        <v/>
      </c>
      <c r="L439" s="21" t="str">
        <f>IF(AND('Atividades Micro'!$B491=L$2,'Atividades Micro'!$L491&lt;&gt;""),'Atividades Micro'!$L491,"")</f>
        <v/>
      </c>
      <c r="M439" s="21" t="str">
        <f>IF(AND('Atividades Micro'!$B491=M$2,'Atividades Micro'!$K491&lt;&gt;""),'Atividades Micro'!$K491,"")</f>
        <v/>
      </c>
      <c r="N439" s="21" t="str">
        <f>IF(AND('Atividades Micro'!$B491=N$2,'Atividades Micro'!$L491&lt;&gt;""),'Atividades Micro'!$L491,"")</f>
        <v/>
      </c>
      <c r="O439" s="21" t="str">
        <f>IF(AND('Atividades Micro'!$A491=O$2,'Atividades Micro'!$K491&lt;&gt;""),'Atividades Micro'!$K491,"")</f>
        <v/>
      </c>
      <c r="P439" s="21" t="str">
        <f>IF(AND('Atividades Micro'!$A491=P$2,'Atividades Micro'!$L491&lt;&gt;""),'Atividades Micro'!$L491,"")</f>
        <v/>
      </c>
      <c r="Q439" s="21" t="str">
        <f>IF(AND('Atividades Micro'!$B491=Q$2,'Atividades Micro'!$K491&lt;&gt;""),'Atividades Micro'!$K491,"")</f>
        <v/>
      </c>
      <c r="R439" s="21" t="str">
        <f>IF(AND('Atividades Micro'!$B491=R$2,'Atividades Micro'!$L491&lt;&gt;""),'Atividades Micro'!$L491,"")</f>
        <v/>
      </c>
      <c r="S439" s="21" t="str">
        <f>IF(AND('Atividades Micro'!$A491=S$2,'Atividades Micro'!$K491&lt;&gt;""),'Atividades Micro'!$K491,"")</f>
        <v/>
      </c>
      <c r="T439" s="21" t="str">
        <f>IF(AND('Atividades Micro'!$A491=T$2,'Atividades Micro'!$L491&lt;&gt;""),'Atividades Micro'!$L491,"")</f>
        <v/>
      </c>
      <c r="U439" s="21" t="str">
        <f>IF(AND('Atividades Micro'!$B491=U$2,'Atividades Micro'!$K491&lt;&gt;""),'Atividades Micro'!$K491,"")</f>
        <v/>
      </c>
      <c r="V439" s="21" t="str">
        <f>IF(AND('Atividades Micro'!$B491=V$2,'Atividades Micro'!$L491&lt;&gt;""),'Atividades Micro'!$L491,"")</f>
        <v/>
      </c>
      <c r="W439" s="21" t="str">
        <f>IF(AND('Atividades Micro'!$B491=W$2,'Atividades Micro'!$K491&lt;&gt;""),'Atividades Micro'!$K491,"")</f>
        <v/>
      </c>
      <c r="X439" s="21" t="str">
        <f>IF(AND('Atividades Micro'!$B491=X$2,'Atividades Micro'!$L491&lt;&gt;""),'Atividades Micro'!$L491,"")</f>
        <v/>
      </c>
      <c r="Y439" s="21" t="str">
        <f>IF(AND('Atividades Micro'!$A491=Y$2,'Atividades Micro'!$K491&lt;&gt;""),'Atividades Micro'!$K491,"")</f>
        <v/>
      </c>
      <c r="Z439" s="21" t="str">
        <f>IF(AND('Atividades Micro'!$A491=Z$2,'Atividades Micro'!$L491&lt;&gt;""),'Atividades Micro'!$L491,"")</f>
        <v/>
      </c>
      <c r="AA439" s="21" t="str">
        <f>IF(AND('Atividades Micro'!$B491=AA$2,'Atividades Micro'!$K491&lt;&gt;""),'Atividades Micro'!$K491,"")</f>
        <v/>
      </c>
      <c r="AB439" s="21" t="str">
        <f>IF(AND('Atividades Micro'!$B491=AB$2,'Atividades Micro'!$L491&lt;&gt;""),'Atividades Micro'!$L491,"")</f>
        <v/>
      </c>
      <c r="AC439" s="21" t="str">
        <f>IF(AND('Atividades Micro'!$B491=AC$2,'Atividades Micro'!$K491&lt;&gt;""),'Atividades Micro'!$K491,"")</f>
        <v/>
      </c>
      <c r="AD439" s="21" t="str">
        <f>IF(AND('Atividades Micro'!$B491=AD$2,'Atividades Micro'!$L491&lt;&gt;""),'Atividades Micro'!$L491,"")</f>
        <v/>
      </c>
      <c r="AE439" s="21" t="str">
        <f>IF(AND('Atividades Micro'!$A491=AE$2,'Atividades Micro'!$K491&lt;&gt;""),'Atividades Micro'!$K491,"")</f>
        <v/>
      </c>
      <c r="AF439" s="21" t="str">
        <f>IF(AND('Atividades Micro'!$A491=AF$2,'Atividades Micro'!$L491&lt;&gt;""),'Atividades Micro'!$L491,"")</f>
        <v/>
      </c>
      <c r="AG439" s="21" t="str">
        <f>IF(AND('Atividades Micro'!$B491=AG$2,'Atividades Micro'!$K491&lt;&gt;""),'Atividades Micro'!$K491,"")</f>
        <v/>
      </c>
      <c r="AH439" s="21" t="str">
        <f>IF(AND('Atividades Micro'!$B491=AH$2,'Atividades Micro'!$L491&lt;&gt;""),'Atividades Micro'!$L491,"")</f>
        <v/>
      </c>
      <c r="AI439" s="21" t="str">
        <f>IF(AND('Atividades Micro'!$B491=AI$2,'Atividades Micro'!$K491&lt;&gt;""),'Atividades Micro'!$K491,"")</f>
        <v/>
      </c>
      <c r="AJ439" s="21" t="str">
        <f>IF(AND('Atividades Micro'!$B491=AJ$2,'Atividades Micro'!$L491&lt;&gt;""),'Atividades Micro'!$L491,"")</f>
        <v/>
      </c>
      <c r="AK439" s="21" t="str">
        <f>IF(AND('Atividades Micro'!$A491=AK$2,'Atividades Micro'!$K491&lt;&gt;""),'Atividades Micro'!$K491,"")</f>
        <v/>
      </c>
      <c r="AL439" s="21" t="str">
        <f>IF(AND('Atividades Micro'!$A491=AL$2,'Atividades Micro'!$L491&lt;&gt;""),'Atividades Micro'!$L491,"")</f>
        <v/>
      </c>
      <c r="AM439" s="21" t="str">
        <f>IF(AND('Atividades Micro'!$B491=AM$2,'Atividades Micro'!$K491&lt;&gt;""),'Atividades Micro'!$K491,"")</f>
        <v/>
      </c>
      <c r="AN439" s="21" t="str">
        <f>IF(AND('Atividades Micro'!$B491=AN$2,'Atividades Micro'!$L491&lt;&gt;""),'Atividades Micro'!$L491,"")</f>
        <v/>
      </c>
      <c r="AO439" s="21" t="str">
        <f>IF(AND('Atividades Micro'!$B491=AO$2,'Atividades Micro'!$K491&lt;&gt;""),'Atividades Micro'!$K491,"")</f>
        <v/>
      </c>
      <c r="AP439" s="21" t="str">
        <f>IF(AND('Atividades Micro'!$B491=AP$2,'Atividades Micro'!$L491&lt;&gt;""),'Atividades Micro'!$L491,"")</f>
        <v/>
      </c>
      <c r="AQ439" s="21" t="str">
        <f>IF(AND('Atividades Micro'!$A491=AQ$2,'Atividades Micro'!$K491&lt;&gt;""),'Atividades Micro'!$K491,"")</f>
        <v/>
      </c>
      <c r="AR439" s="21" t="str">
        <f>IF(AND('Atividades Micro'!$A491=AR$2,'Atividades Micro'!$L491&lt;&gt;""),'Atividades Micro'!$L491,"")</f>
        <v/>
      </c>
      <c r="AS439" s="21" t="str">
        <f>IF(AND('Atividades Micro'!$B491=AS$2,'Atividades Micro'!$K491&lt;&gt;""),'Atividades Micro'!$K491,"")</f>
        <v/>
      </c>
      <c r="AT439" s="21" t="str">
        <f>IF(AND('Atividades Micro'!$B491=AT$2,'Atividades Micro'!$L491&lt;&gt;""),'Atividades Micro'!$L491,"")</f>
        <v/>
      </c>
      <c r="AU439" s="21" t="str">
        <f>IF(AND('Atividades Micro'!$A491=AU$2,'Atividades Micro'!$K491&lt;&gt;""),'Atividades Micro'!$K491,"")</f>
        <v/>
      </c>
      <c r="AV439" s="21" t="str">
        <f>IF(AND('Atividades Micro'!$A491=AV$2,'Atividades Micro'!$L491&lt;&gt;""),'Atividades Micro'!$L491,"")</f>
        <v/>
      </c>
      <c r="AW439" s="21" t="str">
        <f>IF(AND('Atividades Micro'!$B491=AW$2,'Atividades Micro'!$K491&lt;&gt;""),'Atividades Micro'!$K491,"")</f>
        <v/>
      </c>
      <c r="AX439" s="21" t="str">
        <f>IF(AND('Atividades Micro'!$B491=AX$2,'Atividades Micro'!$L491&lt;&gt;""),'Atividades Micro'!$L491,"")</f>
        <v/>
      </c>
      <c r="AY439" s="21" t="str">
        <f>IF(AND('Atividades Micro'!$A491=AY$2,'Atividades Micro'!$K491&lt;&gt;""),'Atividades Micro'!$K491,"")</f>
        <v/>
      </c>
      <c r="AZ439" s="21" t="str">
        <f>IF(AND('Atividades Micro'!$A491=AZ$2,'Atividades Micro'!$L491&lt;&gt;""),'Atividades Micro'!$L491,"")</f>
        <v/>
      </c>
      <c r="BA439" s="21" t="str">
        <f>IF(AND('Atividades Micro'!$B491=BA$2,'Atividades Micro'!$K491&lt;&gt;""),'Atividades Micro'!$K491,"")</f>
        <v/>
      </c>
      <c r="BB439" s="21" t="str">
        <f>IF(AND('Atividades Micro'!$B491=BB$2,'Atividades Micro'!$L491&lt;&gt;""),'Atividades Micro'!$L491,"")</f>
        <v/>
      </c>
      <c r="BC439" s="21" t="str">
        <f>IF(AND('Atividades Micro'!$B491=BC$2,'Atividades Micro'!$G491="Macro",'Atividades Micro'!$K491&lt;&gt;""),'Atividades Micro'!$K491,"")</f>
        <v/>
      </c>
      <c r="BD439" s="21" t="str">
        <f>IF(AND('Atividades Micro'!$B491=BD$2,'Atividades Micro'!$G491="Macro",'Atividades Micro'!$K491&lt;&gt;""),'Atividades Micro'!$K491,"")</f>
        <v/>
      </c>
      <c r="BE439" s="21" t="str">
        <f>IF(AND('Atividades Micro'!$B491=BE$2,'Atividades Micro'!$G491="Macro",'Atividades Micro'!$K491&lt;&gt;""),'Atividades Micro'!$K491,"")</f>
        <v/>
      </c>
      <c r="BF439" s="21" t="str">
        <f>IF(AND('Atividades Micro'!$B491=BF$2,'Atividades Micro'!$G491="Macro",'Atividades Micro'!$K491&lt;&gt;""),'Atividades Micro'!$K491,"")</f>
        <v/>
      </c>
      <c r="BG439" s="21" t="str">
        <f>IF(AND('Atividades Micro'!$B491=BG$2,'Atividades Micro'!$G491="Macro",'Atividades Micro'!$K491&lt;&gt;""),'Atividades Micro'!$K491,"")</f>
        <v/>
      </c>
      <c r="BH439" s="21" t="str">
        <f>IF(AND('Atividades Micro'!$B491=BH$2,'Atividades Micro'!$G491="Macro",'Atividades Micro'!$K491&lt;&gt;""),'Atividades Micro'!$K491,"")</f>
        <v/>
      </c>
      <c r="BI439" s="21" t="str">
        <f>IF(AND('Atividades Micro'!$B491=BI$2,'Atividades Micro'!$G491="Macro",'Atividades Micro'!$K491&lt;&gt;""),'Atividades Micro'!$K491,"")</f>
        <v/>
      </c>
      <c r="BJ439" s="21" t="str">
        <f>IF(AND('Atividades Micro'!$B491=BJ$2,'Atividades Micro'!$G491="Macro",'Atividades Micro'!$K491&lt;&gt;""),'Atividades Micro'!$K491,"")</f>
        <v/>
      </c>
      <c r="BK439" s="21" t="str">
        <f>IF(AND('Atividades Micro'!$B491=BK$2,'Atividades Micro'!$G491="Macro",'Atividades Micro'!$K491&lt;&gt;""),'Atividades Micro'!$K491,"")</f>
        <v/>
      </c>
      <c r="BL439" s="21" t="str">
        <f>IF(AND('Atividades Micro'!$B491=BL$2,'Atividades Micro'!$G491="Macro",'Atividades Micro'!$K491&lt;&gt;""),'Atividades Micro'!$K491,"")</f>
        <v/>
      </c>
      <c r="BM439" s="21" t="str">
        <f>IF(AND('Atividades Micro'!$B491=BM$2,'Atividades Micro'!$G491="Macro",'Atividades Micro'!$K491&lt;&gt;""),'Atividades Micro'!$K491,"")</f>
        <v/>
      </c>
      <c r="BN439" s="21" t="str">
        <f>IF(AND('Atividades Micro'!$B491=BN$2,'Atividades Micro'!$G491="Macro",'Atividades Micro'!$K491&lt;&gt;""),'Atividades Micro'!$K491,"")</f>
        <v/>
      </c>
      <c r="BO439" s="21" t="str">
        <f>IF(AND('Atividades Micro'!$B491=BO$2,'Atividades Micro'!$G491="Macro",'Atividades Micro'!$K491&lt;&gt;""),'Atividades Micro'!$K491,"")</f>
        <v/>
      </c>
      <c r="BP439" s="21" t="str">
        <f>IF(AND('Atividades Micro'!$B491=BP$2,'Atividades Micro'!$G491="Macro",'Atividades Micro'!$K491&lt;&gt;""),'Atividades Micro'!$K491,"")</f>
        <v/>
      </c>
      <c r="BQ439" s="21" t="str">
        <f>IF(AND('Atividades Micro'!$B491=BQ$2,'Atividades Micro'!$G491="Macro",'Atividades Micro'!$K491&lt;&gt;""),'Atividades Micro'!$K491,"")</f>
        <v/>
      </c>
      <c r="BR439" s="21" t="str">
        <f>IF(AND('Atividades Micro'!$B491=BR$2,'Atividades Micro'!$G491="Macro",'Atividades Micro'!$K491&lt;&gt;""),'Atividades Micro'!$K491,"")</f>
        <v/>
      </c>
      <c r="BS439" s="21" t="str">
        <f>IF(AND('Atividades Micro'!$B491=BS$2,'Atividades Micro'!$G491="Macro",'Atividades Micro'!$K491&lt;&gt;""),'Atividades Micro'!$K491,"")</f>
        <v/>
      </c>
      <c r="BT439" s="21" t="str">
        <f>IF(AND('Atividades Micro'!$B491=BT$2,'Atividades Micro'!$G491="Macro",'Atividades Micro'!$K491&lt;&gt;""),'Atividades Micro'!$K491,"")</f>
        <v/>
      </c>
      <c r="BU439" s="21" t="str">
        <f>IF(AND('Atividades Micro'!$B491=BU$2,'Atividades Micro'!$G491="Macro",'Atividades Micro'!$K491&lt;&gt;""),'Atividades Micro'!$K491,"")</f>
        <v/>
      </c>
      <c r="BV439" s="21" t="str">
        <f>IF(AND('Atividades Micro'!$B491=BV$2,'Atividades Micro'!$G491="Macro",'Atividades Micro'!$K491&lt;&gt;""),'Atividades Micro'!$K491,"")</f>
        <v/>
      </c>
      <c r="BW439" s="21" t="str">
        <f>IF(AND('Atividades Micro'!$B491=BW$2,'Atividades Micro'!$G491="Macro",'Atividades Micro'!$K491&lt;&gt;""),'Atividades Micro'!$K491,"")</f>
        <v/>
      </c>
      <c r="BX439" s="21" t="str">
        <f>IF(AND('Atividades Micro'!$B491=BX$2,'Atividades Micro'!$G491="Macro",'Atividades Micro'!$K491&lt;&gt;""),'Atividades Micro'!$K491,"")</f>
        <v/>
      </c>
      <c r="BY439" s="21" t="str">
        <f>IF(AND('Atividades Micro'!$B491=BY$2,'Atividades Micro'!$G491="Macro",'Atividades Micro'!$K491&lt;&gt;""),'Atividades Micro'!$K491,"")</f>
        <v/>
      </c>
      <c r="BZ439" s="21" t="str">
        <f>IF(AND('Atividades Micro'!$B491=BZ$2,'Atividades Micro'!$G491="Macro",'Atividades Micro'!$K491&lt;&gt;""),'Atividades Micro'!$K491,"")</f>
        <v/>
      </c>
      <c r="CA439" s="21" t="str">
        <f>IF(AND('Atividades Micro'!$B491=CA$2,'Atividades Micro'!$G491="Macro",'Atividades Micro'!$K491&lt;&gt;""),'Atividades Micro'!$K491,"")</f>
        <v/>
      </c>
      <c r="CB439" s="21" t="str">
        <f>IF(AND('Atividades Micro'!$B491=CB$2,'Atividades Micro'!$G491="Macro",'Atividades Micro'!$K491&lt;&gt;""),'Atividades Micro'!$K491,"")</f>
        <v/>
      </c>
      <c r="CC439" s="21" t="str">
        <f>IF(AND('Atividades Micro'!$B491=CC$2,'Atividades Micro'!$G491="Macro",'Atividades Micro'!$K491&lt;&gt;""),'Atividades Micro'!$K491,"")</f>
        <v/>
      </c>
      <c r="CD439" s="21" t="str">
        <f>IF(AND('Atividades Micro'!$B491=CD$2,'Atividades Micro'!$G491="Micro",'Atividades Micro'!$K491&lt;&gt;""),'Atividades Micro'!$K491,"")</f>
        <v/>
      </c>
      <c r="CE439" s="21" t="str">
        <f>IF(AND('Atividades Micro'!$B491=CE$2,'Atividades Micro'!$G491="Micro",'Atividades Micro'!$K491&lt;&gt;""),'Atividades Micro'!$K491,"")</f>
        <v/>
      </c>
      <c r="CF439" s="21" t="str">
        <f>IF(AND('Atividades Micro'!$B491=CF$2,'Atividades Micro'!$G491="Micro",'Atividades Micro'!$K491&lt;&gt;""),'Atividades Micro'!$K491,"")</f>
        <v/>
      </c>
      <c r="CG439" s="21" t="str">
        <f>IF(AND('Atividades Micro'!$B491=CG$2,'Atividades Micro'!$G491="Micro",'Atividades Micro'!$K491&lt;&gt;""),'Atividades Micro'!$K491,"")</f>
        <v/>
      </c>
      <c r="CH439" s="21" t="str">
        <f>IF(AND('Atividades Micro'!$B491=CH$2,'Atividades Micro'!$G491="Micro",'Atividades Micro'!$K491&lt;&gt;""),'Atividades Micro'!$K491,"")</f>
        <v/>
      </c>
      <c r="CI439" s="21" t="str">
        <f>IF(AND('Atividades Micro'!$B491=CI$2,'Atividades Micro'!$G491="Micro",'Atividades Micro'!$K491&lt;&gt;""),'Atividades Micro'!$K491,"")</f>
        <v/>
      </c>
      <c r="CJ439" s="21" t="str">
        <f>IF(AND('Atividades Micro'!$B491=CJ$2,'Atividades Micro'!$G491="Micro",'Atividades Micro'!$K491&lt;&gt;""),'Atividades Micro'!$K491,"")</f>
        <v/>
      </c>
      <c r="CK439" s="21" t="str">
        <f>IF(AND('Atividades Micro'!$B491=CK$2,'Atividades Micro'!$G491="Micro",'Atividades Micro'!$K491&lt;&gt;""),'Atividades Micro'!$K491,"")</f>
        <v/>
      </c>
      <c r="CL439" s="21" t="str">
        <f>IF(AND('Atividades Micro'!$B491=CL$2,'Atividades Micro'!$G491="Micro",'Atividades Micro'!$K491&lt;&gt;""),'Atividades Micro'!$K491,"")</f>
        <v/>
      </c>
      <c r="CM439" s="21" t="str">
        <f>IF(AND('Atividades Micro'!$B491=CM$2,'Atividades Micro'!$G491="Micro",'Atividades Micro'!$K491&lt;&gt;""),'Atividades Micro'!$K491,"")</f>
        <v/>
      </c>
      <c r="CN439" s="21" t="str">
        <f>IF(AND('Atividades Micro'!$B491=CN$2,'Atividades Micro'!$G491="Micro",'Atividades Micro'!$K491&lt;&gt;""),'Atividades Micro'!$K491,"")</f>
        <v/>
      </c>
      <c r="CO439" s="21" t="str">
        <f>IF(AND('Atividades Micro'!$B491=CO$2,'Atividades Micro'!$G491="Micro",'Atividades Micro'!$K491&lt;&gt;""),'Atividades Micro'!$K491,"")</f>
        <v/>
      </c>
    </row>
    <row r="440" spans="1:93">
      <c r="A440" s="21" t="str">
        <f>IF(AND('Atividades Micro'!$A492=A$2,'Atividades Micro'!$K492&lt;&gt;""),'Atividades Micro'!$K492,"")</f>
        <v/>
      </c>
      <c r="B440" s="21" t="str">
        <f>IF(AND('Atividades Micro'!$A492=B$2,'Atividades Micro'!$L492&lt;&gt;""),'Atividades Micro'!$L492,"")</f>
        <v/>
      </c>
      <c r="C440" s="21" t="str">
        <f>IF(AND('Atividades Micro'!$A492=C$2,'Atividades Micro'!$K492&lt;&gt;""),'Atividades Micro'!$K492,"")</f>
        <v/>
      </c>
      <c r="D440" s="21" t="str">
        <f>IF(AND('Atividades Micro'!$A492=D$2,'Atividades Micro'!$L492&lt;&gt;""),'Atividades Micro'!$L492,"")</f>
        <v/>
      </c>
      <c r="E440" s="21" t="str">
        <f>IF(AND('Atividades Micro'!$A492=E$2,'Atividades Micro'!$K492&lt;&gt;""),'Atividades Micro'!$K492,"")</f>
        <v/>
      </c>
      <c r="F440" s="21" t="str">
        <f>IF(AND('Atividades Micro'!$A492=F$2,'Atividades Micro'!$L492&lt;&gt;""),'Atividades Micro'!$L492,"")</f>
        <v/>
      </c>
      <c r="G440" s="21" t="str">
        <f>IF(AND('Atividades Micro'!$A492=G$2,'Atividades Micro'!$K492&lt;&gt;""),'Atividades Micro'!$K492,"")</f>
        <v/>
      </c>
      <c r="H440" s="21" t="str">
        <f>IF(AND('Atividades Micro'!$A492=H$2,'Atividades Micro'!$L492&lt;&gt;""),'Atividades Micro'!$L492,"")</f>
        <v/>
      </c>
      <c r="I440" s="21" t="str">
        <f>IF(AND('Atividades Micro'!$A492=I$2,'Atividades Micro'!$K492&lt;&gt;""),'Atividades Micro'!$K492,"")</f>
        <v/>
      </c>
      <c r="J440" s="21" t="str">
        <f>IF(AND('Atividades Micro'!$A492=J$2,'Atividades Micro'!$L492&lt;&gt;""),'Atividades Micro'!$L492,"")</f>
        <v/>
      </c>
      <c r="K440" s="21" t="str">
        <f>IF(AND('Atividades Micro'!$B492=K$2,'Atividades Micro'!$K492&lt;&gt;""),'Atividades Micro'!$K492,"")</f>
        <v/>
      </c>
      <c r="L440" s="21" t="str">
        <f>IF(AND('Atividades Micro'!$B492=L$2,'Atividades Micro'!$L492&lt;&gt;""),'Atividades Micro'!$L492,"")</f>
        <v/>
      </c>
      <c r="M440" s="21" t="str">
        <f>IF(AND('Atividades Micro'!$B492=M$2,'Atividades Micro'!$K492&lt;&gt;""),'Atividades Micro'!$K492,"")</f>
        <v/>
      </c>
      <c r="N440" s="21" t="str">
        <f>IF(AND('Atividades Micro'!$B492=N$2,'Atividades Micro'!$L492&lt;&gt;""),'Atividades Micro'!$L492,"")</f>
        <v/>
      </c>
      <c r="O440" s="21" t="str">
        <f>IF(AND('Atividades Micro'!$A492=O$2,'Atividades Micro'!$K492&lt;&gt;""),'Atividades Micro'!$K492,"")</f>
        <v/>
      </c>
      <c r="P440" s="21" t="str">
        <f>IF(AND('Atividades Micro'!$A492=P$2,'Atividades Micro'!$L492&lt;&gt;""),'Atividades Micro'!$L492,"")</f>
        <v/>
      </c>
      <c r="Q440" s="21" t="str">
        <f>IF(AND('Atividades Micro'!$B492=Q$2,'Atividades Micro'!$K492&lt;&gt;""),'Atividades Micro'!$K492,"")</f>
        <v/>
      </c>
      <c r="R440" s="21" t="str">
        <f>IF(AND('Atividades Micro'!$B492=R$2,'Atividades Micro'!$L492&lt;&gt;""),'Atividades Micro'!$L492,"")</f>
        <v/>
      </c>
      <c r="S440" s="21" t="str">
        <f>IF(AND('Atividades Micro'!$A492=S$2,'Atividades Micro'!$K492&lt;&gt;""),'Atividades Micro'!$K492,"")</f>
        <v/>
      </c>
      <c r="T440" s="21" t="str">
        <f>IF(AND('Atividades Micro'!$A492=T$2,'Atividades Micro'!$L492&lt;&gt;""),'Atividades Micro'!$L492,"")</f>
        <v/>
      </c>
      <c r="U440" s="21" t="str">
        <f>IF(AND('Atividades Micro'!$B492=U$2,'Atividades Micro'!$K492&lt;&gt;""),'Atividades Micro'!$K492,"")</f>
        <v/>
      </c>
      <c r="V440" s="21" t="str">
        <f>IF(AND('Atividades Micro'!$B492=V$2,'Atividades Micro'!$L492&lt;&gt;""),'Atividades Micro'!$L492,"")</f>
        <v/>
      </c>
      <c r="W440" s="21" t="str">
        <f>IF(AND('Atividades Micro'!$B492=W$2,'Atividades Micro'!$K492&lt;&gt;""),'Atividades Micro'!$K492,"")</f>
        <v/>
      </c>
      <c r="X440" s="21" t="str">
        <f>IF(AND('Atividades Micro'!$B492=X$2,'Atividades Micro'!$L492&lt;&gt;""),'Atividades Micro'!$L492,"")</f>
        <v/>
      </c>
      <c r="Y440" s="21" t="str">
        <f>IF(AND('Atividades Micro'!$A492=Y$2,'Atividades Micro'!$K492&lt;&gt;""),'Atividades Micro'!$K492,"")</f>
        <v/>
      </c>
      <c r="Z440" s="21" t="str">
        <f>IF(AND('Atividades Micro'!$A492=Z$2,'Atividades Micro'!$L492&lt;&gt;""),'Atividades Micro'!$L492,"")</f>
        <v/>
      </c>
      <c r="AA440" s="21" t="str">
        <f>IF(AND('Atividades Micro'!$B492=AA$2,'Atividades Micro'!$K492&lt;&gt;""),'Atividades Micro'!$K492,"")</f>
        <v/>
      </c>
      <c r="AB440" s="21" t="str">
        <f>IF(AND('Atividades Micro'!$B492=AB$2,'Atividades Micro'!$L492&lt;&gt;""),'Atividades Micro'!$L492,"")</f>
        <v/>
      </c>
      <c r="AC440" s="21" t="str">
        <f>IF(AND('Atividades Micro'!$B492=AC$2,'Atividades Micro'!$K492&lt;&gt;""),'Atividades Micro'!$K492,"")</f>
        <v/>
      </c>
      <c r="AD440" s="21" t="str">
        <f>IF(AND('Atividades Micro'!$B492=AD$2,'Atividades Micro'!$L492&lt;&gt;""),'Atividades Micro'!$L492,"")</f>
        <v/>
      </c>
      <c r="AE440" s="21" t="str">
        <f>IF(AND('Atividades Micro'!$A492=AE$2,'Atividades Micro'!$K492&lt;&gt;""),'Atividades Micro'!$K492,"")</f>
        <v/>
      </c>
      <c r="AF440" s="21" t="str">
        <f>IF(AND('Atividades Micro'!$A492=AF$2,'Atividades Micro'!$L492&lt;&gt;""),'Atividades Micro'!$L492,"")</f>
        <v/>
      </c>
      <c r="AG440" s="21" t="str">
        <f>IF(AND('Atividades Micro'!$B492=AG$2,'Atividades Micro'!$K492&lt;&gt;""),'Atividades Micro'!$K492,"")</f>
        <v/>
      </c>
      <c r="AH440" s="21" t="str">
        <f>IF(AND('Atividades Micro'!$B492=AH$2,'Atividades Micro'!$L492&lt;&gt;""),'Atividades Micro'!$L492,"")</f>
        <v/>
      </c>
      <c r="AI440" s="21" t="str">
        <f>IF(AND('Atividades Micro'!$B492=AI$2,'Atividades Micro'!$K492&lt;&gt;""),'Atividades Micro'!$K492,"")</f>
        <v/>
      </c>
      <c r="AJ440" s="21" t="str">
        <f>IF(AND('Atividades Micro'!$B492=AJ$2,'Atividades Micro'!$L492&lt;&gt;""),'Atividades Micro'!$L492,"")</f>
        <v/>
      </c>
      <c r="AK440" s="21" t="str">
        <f>IF(AND('Atividades Micro'!$A492=AK$2,'Atividades Micro'!$K492&lt;&gt;""),'Atividades Micro'!$K492,"")</f>
        <v/>
      </c>
      <c r="AL440" s="21" t="str">
        <f>IF(AND('Atividades Micro'!$A492=AL$2,'Atividades Micro'!$L492&lt;&gt;""),'Atividades Micro'!$L492,"")</f>
        <v/>
      </c>
      <c r="AM440" s="21" t="str">
        <f>IF(AND('Atividades Micro'!$B492=AM$2,'Atividades Micro'!$K492&lt;&gt;""),'Atividades Micro'!$K492,"")</f>
        <v/>
      </c>
      <c r="AN440" s="21" t="str">
        <f>IF(AND('Atividades Micro'!$B492=AN$2,'Atividades Micro'!$L492&lt;&gt;""),'Atividades Micro'!$L492,"")</f>
        <v/>
      </c>
      <c r="AO440" s="21" t="str">
        <f>IF(AND('Atividades Micro'!$B492=AO$2,'Atividades Micro'!$K492&lt;&gt;""),'Atividades Micro'!$K492,"")</f>
        <v/>
      </c>
      <c r="AP440" s="21" t="str">
        <f>IF(AND('Atividades Micro'!$B492=AP$2,'Atividades Micro'!$L492&lt;&gt;""),'Atividades Micro'!$L492,"")</f>
        <v/>
      </c>
      <c r="AQ440" s="21" t="str">
        <f>IF(AND('Atividades Micro'!$A492=AQ$2,'Atividades Micro'!$K492&lt;&gt;""),'Atividades Micro'!$K492,"")</f>
        <v/>
      </c>
      <c r="AR440" s="21" t="str">
        <f>IF(AND('Atividades Micro'!$A492=AR$2,'Atividades Micro'!$L492&lt;&gt;""),'Atividades Micro'!$L492,"")</f>
        <v/>
      </c>
      <c r="AS440" s="21" t="str">
        <f>IF(AND('Atividades Micro'!$B492=AS$2,'Atividades Micro'!$K492&lt;&gt;""),'Atividades Micro'!$K492,"")</f>
        <v/>
      </c>
      <c r="AT440" s="21" t="str">
        <f>IF(AND('Atividades Micro'!$B492=AT$2,'Atividades Micro'!$L492&lt;&gt;""),'Atividades Micro'!$L492,"")</f>
        <v/>
      </c>
      <c r="AU440" s="21" t="str">
        <f>IF(AND('Atividades Micro'!$A492=AU$2,'Atividades Micro'!$K492&lt;&gt;""),'Atividades Micro'!$K492,"")</f>
        <v/>
      </c>
      <c r="AV440" s="21" t="str">
        <f>IF(AND('Atividades Micro'!$A492=AV$2,'Atividades Micro'!$L492&lt;&gt;""),'Atividades Micro'!$L492,"")</f>
        <v/>
      </c>
      <c r="AW440" s="21" t="str">
        <f>IF(AND('Atividades Micro'!$B492=AW$2,'Atividades Micro'!$K492&lt;&gt;""),'Atividades Micro'!$K492,"")</f>
        <v/>
      </c>
      <c r="AX440" s="21" t="str">
        <f>IF(AND('Atividades Micro'!$B492=AX$2,'Atividades Micro'!$L492&lt;&gt;""),'Atividades Micro'!$L492,"")</f>
        <v/>
      </c>
      <c r="AY440" s="21" t="str">
        <f>IF(AND('Atividades Micro'!$A492=AY$2,'Atividades Micro'!$K492&lt;&gt;""),'Atividades Micro'!$K492,"")</f>
        <v/>
      </c>
      <c r="AZ440" s="21" t="str">
        <f>IF(AND('Atividades Micro'!$A492=AZ$2,'Atividades Micro'!$L492&lt;&gt;""),'Atividades Micro'!$L492,"")</f>
        <v/>
      </c>
      <c r="BA440" s="21" t="str">
        <f>IF(AND('Atividades Micro'!$B492=BA$2,'Atividades Micro'!$K492&lt;&gt;""),'Atividades Micro'!$K492,"")</f>
        <v/>
      </c>
      <c r="BB440" s="21" t="str">
        <f>IF(AND('Atividades Micro'!$B492=BB$2,'Atividades Micro'!$L492&lt;&gt;""),'Atividades Micro'!$L492,"")</f>
        <v/>
      </c>
      <c r="BC440" s="21" t="str">
        <f>IF(AND('Atividades Micro'!$B492=BC$2,'Atividades Micro'!$G492="Macro",'Atividades Micro'!$K492&lt;&gt;""),'Atividades Micro'!$K492,"")</f>
        <v/>
      </c>
      <c r="BD440" s="21" t="str">
        <f>IF(AND('Atividades Micro'!$B492=BD$2,'Atividades Micro'!$G492="Macro",'Atividades Micro'!$K492&lt;&gt;""),'Atividades Micro'!$K492,"")</f>
        <v/>
      </c>
      <c r="BE440" s="21" t="str">
        <f>IF(AND('Atividades Micro'!$B492=BE$2,'Atividades Micro'!$G492="Macro",'Atividades Micro'!$K492&lt;&gt;""),'Atividades Micro'!$K492,"")</f>
        <v/>
      </c>
      <c r="BF440" s="21" t="str">
        <f>IF(AND('Atividades Micro'!$B492=BF$2,'Atividades Micro'!$G492="Macro",'Atividades Micro'!$K492&lt;&gt;""),'Atividades Micro'!$K492,"")</f>
        <v/>
      </c>
      <c r="BG440" s="21" t="str">
        <f>IF(AND('Atividades Micro'!$B492=BG$2,'Atividades Micro'!$G492="Macro",'Atividades Micro'!$K492&lt;&gt;""),'Atividades Micro'!$K492,"")</f>
        <v/>
      </c>
      <c r="BH440" s="21" t="str">
        <f>IF(AND('Atividades Micro'!$B492=BH$2,'Atividades Micro'!$G492="Macro",'Atividades Micro'!$K492&lt;&gt;""),'Atividades Micro'!$K492,"")</f>
        <v/>
      </c>
      <c r="BI440" s="21" t="str">
        <f>IF(AND('Atividades Micro'!$B492=BI$2,'Atividades Micro'!$G492="Macro",'Atividades Micro'!$K492&lt;&gt;""),'Atividades Micro'!$K492,"")</f>
        <v/>
      </c>
      <c r="BJ440" s="21" t="str">
        <f>IF(AND('Atividades Micro'!$B492=BJ$2,'Atividades Micro'!$G492="Macro",'Atividades Micro'!$K492&lt;&gt;""),'Atividades Micro'!$K492,"")</f>
        <v/>
      </c>
      <c r="BK440" s="21" t="str">
        <f>IF(AND('Atividades Micro'!$B492=BK$2,'Atividades Micro'!$G492="Macro",'Atividades Micro'!$K492&lt;&gt;""),'Atividades Micro'!$K492,"")</f>
        <v/>
      </c>
      <c r="BL440" s="21" t="str">
        <f>IF(AND('Atividades Micro'!$B492=BL$2,'Atividades Micro'!$G492="Macro",'Atividades Micro'!$K492&lt;&gt;""),'Atividades Micro'!$K492,"")</f>
        <v/>
      </c>
      <c r="BM440" s="21" t="str">
        <f>IF(AND('Atividades Micro'!$B492=BM$2,'Atividades Micro'!$G492="Macro",'Atividades Micro'!$K492&lt;&gt;""),'Atividades Micro'!$K492,"")</f>
        <v/>
      </c>
      <c r="BN440" s="21" t="str">
        <f>IF(AND('Atividades Micro'!$B492=BN$2,'Atividades Micro'!$G492="Macro",'Atividades Micro'!$K492&lt;&gt;""),'Atividades Micro'!$K492,"")</f>
        <v/>
      </c>
      <c r="BO440" s="21" t="str">
        <f>IF(AND('Atividades Micro'!$B492=BO$2,'Atividades Micro'!$G492="Macro",'Atividades Micro'!$K492&lt;&gt;""),'Atividades Micro'!$K492,"")</f>
        <v/>
      </c>
      <c r="BP440" s="21" t="str">
        <f>IF(AND('Atividades Micro'!$B492=BP$2,'Atividades Micro'!$G492="Macro",'Atividades Micro'!$K492&lt;&gt;""),'Atividades Micro'!$K492,"")</f>
        <v/>
      </c>
      <c r="BQ440" s="21" t="str">
        <f>IF(AND('Atividades Micro'!$B492=BQ$2,'Atividades Micro'!$G492="Macro",'Atividades Micro'!$K492&lt;&gt;""),'Atividades Micro'!$K492,"")</f>
        <v/>
      </c>
      <c r="BR440" s="21" t="str">
        <f>IF(AND('Atividades Micro'!$B492=BR$2,'Atividades Micro'!$G492="Macro",'Atividades Micro'!$K492&lt;&gt;""),'Atividades Micro'!$K492,"")</f>
        <v/>
      </c>
      <c r="BS440" s="21" t="str">
        <f>IF(AND('Atividades Micro'!$B492=BS$2,'Atividades Micro'!$G492="Macro",'Atividades Micro'!$K492&lt;&gt;""),'Atividades Micro'!$K492,"")</f>
        <v/>
      </c>
      <c r="BT440" s="21" t="str">
        <f>IF(AND('Atividades Micro'!$B492=BT$2,'Atividades Micro'!$G492="Macro",'Atividades Micro'!$K492&lt;&gt;""),'Atividades Micro'!$K492,"")</f>
        <v/>
      </c>
      <c r="BU440" s="21" t="str">
        <f>IF(AND('Atividades Micro'!$B492=BU$2,'Atividades Micro'!$G492="Macro",'Atividades Micro'!$K492&lt;&gt;""),'Atividades Micro'!$K492,"")</f>
        <v/>
      </c>
      <c r="BV440" s="21" t="str">
        <f>IF(AND('Atividades Micro'!$B492=BV$2,'Atividades Micro'!$G492="Macro",'Atividades Micro'!$K492&lt;&gt;""),'Atividades Micro'!$K492,"")</f>
        <v/>
      </c>
      <c r="BW440" s="21" t="str">
        <f>IF(AND('Atividades Micro'!$B492=BW$2,'Atividades Micro'!$G492="Macro",'Atividades Micro'!$K492&lt;&gt;""),'Atividades Micro'!$K492,"")</f>
        <v/>
      </c>
      <c r="BX440" s="21" t="str">
        <f>IF(AND('Atividades Micro'!$B492=BX$2,'Atividades Micro'!$G492="Macro",'Atividades Micro'!$K492&lt;&gt;""),'Atividades Micro'!$K492,"")</f>
        <v/>
      </c>
      <c r="BY440" s="21" t="str">
        <f>IF(AND('Atividades Micro'!$B492=BY$2,'Atividades Micro'!$G492="Macro",'Atividades Micro'!$K492&lt;&gt;""),'Atividades Micro'!$K492,"")</f>
        <v/>
      </c>
      <c r="BZ440" s="21" t="str">
        <f>IF(AND('Atividades Micro'!$B492=BZ$2,'Atividades Micro'!$G492="Macro",'Atividades Micro'!$K492&lt;&gt;""),'Atividades Micro'!$K492,"")</f>
        <v/>
      </c>
      <c r="CA440" s="21" t="str">
        <f>IF(AND('Atividades Micro'!$B492=CA$2,'Atividades Micro'!$G492="Macro",'Atividades Micro'!$K492&lt;&gt;""),'Atividades Micro'!$K492,"")</f>
        <v/>
      </c>
      <c r="CB440" s="21" t="str">
        <f>IF(AND('Atividades Micro'!$B492=CB$2,'Atividades Micro'!$G492="Macro",'Atividades Micro'!$K492&lt;&gt;""),'Atividades Micro'!$K492,"")</f>
        <v/>
      </c>
      <c r="CC440" s="21" t="str">
        <f>IF(AND('Atividades Micro'!$B492=CC$2,'Atividades Micro'!$G492="Macro",'Atividades Micro'!$K492&lt;&gt;""),'Atividades Micro'!$K492,"")</f>
        <v/>
      </c>
      <c r="CD440" s="21" t="str">
        <f>IF(AND('Atividades Micro'!$B492=CD$2,'Atividades Micro'!$G492="Micro",'Atividades Micro'!$K492&lt;&gt;""),'Atividades Micro'!$K492,"")</f>
        <v/>
      </c>
      <c r="CE440" s="21" t="str">
        <f>IF(AND('Atividades Micro'!$B492=CE$2,'Atividades Micro'!$G492="Micro",'Atividades Micro'!$K492&lt;&gt;""),'Atividades Micro'!$K492,"")</f>
        <v/>
      </c>
      <c r="CF440" s="21" t="str">
        <f>IF(AND('Atividades Micro'!$B492=CF$2,'Atividades Micro'!$G492="Micro",'Atividades Micro'!$K492&lt;&gt;""),'Atividades Micro'!$K492,"")</f>
        <v/>
      </c>
      <c r="CG440" s="21" t="str">
        <f>IF(AND('Atividades Micro'!$B492=CG$2,'Atividades Micro'!$G492="Micro",'Atividades Micro'!$K492&lt;&gt;""),'Atividades Micro'!$K492,"")</f>
        <v/>
      </c>
      <c r="CH440" s="21" t="str">
        <f>IF(AND('Atividades Micro'!$B492=CH$2,'Atividades Micro'!$G492="Micro",'Atividades Micro'!$K492&lt;&gt;""),'Atividades Micro'!$K492,"")</f>
        <v/>
      </c>
      <c r="CI440" s="21" t="str">
        <f>IF(AND('Atividades Micro'!$B492=CI$2,'Atividades Micro'!$G492="Micro",'Atividades Micro'!$K492&lt;&gt;""),'Atividades Micro'!$K492,"")</f>
        <v/>
      </c>
      <c r="CJ440" s="21" t="str">
        <f>IF(AND('Atividades Micro'!$B492=CJ$2,'Atividades Micro'!$G492="Micro",'Atividades Micro'!$K492&lt;&gt;""),'Atividades Micro'!$K492,"")</f>
        <v/>
      </c>
      <c r="CK440" s="21" t="str">
        <f>IF(AND('Atividades Micro'!$B492=CK$2,'Atividades Micro'!$G492="Micro",'Atividades Micro'!$K492&lt;&gt;""),'Atividades Micro'!$K492,"")</f>
        <v/>
      </c>
      <c r="CL440" s="21" t="str">
        <f>IF(AND('Atividades Micro'!$B492=CL$2,'Atividades Micro'!$G492="Micro",'Atividades Micro'!$K492&lt;&gt;""),'Atividades Micro'!$K492,"")</f>
        <v/>
      </c>
      <c r="CM440" s="21" t="str">
        <f>IF(AND('Atividades Micro'!$B492=CM$2,'Atividades Micro'!$G492="Micro",'Atividades Micro'!$K492&lt;&gt;""),'Atividades Micro'!$K492,"")</f>
        <v/>
      </c>
      <c r="CN440" s="21" t="str">
        <f>IF(AND('Atividades Micro'!$B492=CN$2,'Atividades Micro'!$G492="Micro",'Atividades Micro'!$K492&lt;&gt;""),'Atividades Micro'!$K492,"")</f>
        <v/>
      </c>
      <c r="CO440" s="21" t="str">
        <f>IF(AND('Atividades Micro'!$B492=CO$2,'Atividades Micro'!$G492="Micro",'Atividades Micro'!$K492&lt;&gt;""),'Atividades Micro'!$K492,"")</f>
        <v/>
      </c>
    </row>
    <row r="441" spans="1:93">
      <c r="A441" s="21" t="str">
        <f>IF(AND('Atividades Micro'!$A493=A$2,'Atividades Micro'!$K493&lt;&gt;""),'Atividades Micro'!$K493,"")</f>
        <v/>
      </c>
      <c r="B441" s="21" t="str">
        <f>IF(AND('Atividades Micro'!$A493=B$2,'Atividades Micro'!$L493&lt;&gt;""),'Atividades Micro'!$L493,"")</f>
        <v/>
      </c>
      <c r="C441" s="21" t="str">
        <f>IF(AND('Atividades Micro'!$A493=C$2,'Atividades Micro'!$K493&lt;&gt;""),'Atividades Micro'!$K493,"")</f>
        <v/>
      </c>
      <c r="D441" s="21" t="str">
        <f>IF(AND('Atividades Micro'!$A493=D$2,'Atividades Micro'!$L493&lt;&gt;""),'Atividades Micro'!$L493,"")</f>
        <v/>
      </c>
      <c r="E441" s="21" t="str">
        <f>IF(AND('Atividades Micro'!$A493=E$2,'Atividades Micro'!$K493&lt;&gt;""),'Atividades Micro'!$K493,"")</f>
        <v/>
      </c>
      <c r="F441" s="21" t="str">
        <f>IF(AND('Atividades Micro'!$A493=F$2,'Atividades Micro'!$L493&lt;&gt;""),'Atividades Micro'!$L493,"")</f>
        <v/>
      </c>
      <c r="G441" s="21" t="str">
        <f>IF(AND('Atividades Micro'!$A493=G$2,'Atividades Micro'!$K493&lt;&gt;""),'Atividades Micro'!$K493,"")</f>
        <v/>
      </c>
      <c r="H441" s="21" t="str">
        <f>IF(AND('Atividades Micro'!$A493=H$2,'Atividades Micro'!$L493&lt;&gt;""),'Atividades Micro'!$L493,"")</f>
        <v/>
      </c>
      <c r="I441" s="21" t="str">
        <f>IF(AND('Atividades Micro'!$A493=I$2,'Atividades Micro'!$K493&lt;&gt;""),'Atividades Micro'!$K493,"")</f>
        <v/>
      </c>
      <c r="J441" s="21" t="str">
        <f>IF(AND('Atividades Micro'!$A493=J$2,'Atividades Micro'!$L493&lt;&gt;""),'Atividades Micro'!$L493,"")</f>
        <v/>
      </c>
      <c r="K441" s="21" t="str">
        <f>IF(AND('Atividades Micro'!$B493=K$2,'Atividades Micro'!$K493&lt;&gt;""),'Atividades Micro'!$K493,"")</f>
        <v/>
      </c>
      <c r="L441" s="21" t="str">
        <f>IF(AND('Atividades Micro'!$B493=L$2,'Atividades Micro'!$L493&lt;&gt;""),'Atividades Micro'!$L493,"")</f>
        <v/>
      </c>
      <c r="M441" s="21" t="str">
        <f>IF(AND('Atividades Micro'!$B493=M$2,'Atividades Micro'!$K493&lt;&gt;""),'Atividades Micro'!$K493,"")</f>
        <v/>
      </c>
      <c r="N441" s="21" t="str">
        <f>IF(AND('Atividades Micro'!$B493=N$2,'Atividades Micro'!$L493&lt;&gt;""),'Atividades Micro'!$L493,"")</f>
        <v/>
      </c>
      <c r="O441" s="21" t="str">
        <f>IF(AND('Atividades Micro'!$A493=O$2,'Atividades Micro'!$K493&lt;&gt;""),'Atividades Micro'!$K493,"")</f>
        <v/>
      </c>
      <c r="P441" s="21" t="str">
        <f>IF(AND('Atividades Micro'!$A493=P$2,'Atividades Micro'!$L493&lt;&gt;""),'Atividades Micro'!$L493,"")</f>
        <v/>
      </c>
      <c r="Q441" s="21" t="str">
        <f>IF(AND('Atividades Micro'!$B493=Q$2,'Atividades Micro'!$K493&lt;&gt;""),'Atividades Micro'!$K493,"")</f>
        <v/>
      </c>
      <c r="R441" s="21" t="str">
        <f>IF(AND('Atividades Micro'!$B493=R$2,'Atividades Micro'!$L493&lt;&gt;""),'Atividades Micro'!$L493,"")</f>
        <v/>
      </c>
      <c r="S441" s="21" t="str">
        <f>IF(AND('Atividades Micro'!$A493=S$2,'Atividades Micro'!$K493&lt;&gt;""),'Atividades Micro'!$K493,"")</f>
        <v/>
      </c>
      <c r="T441" s="21" t="str">
        <f>IF(AND('Atividades Micro'!$A493=T$2,'Atividades Micro'!$L493&lt;&gt;""),'Atividades Micro'!$L493,"")</f>
        <v/>
      </c>
      <c r="U441" s="21" t="str">
        <f>IF(AND('Atividades Micro'!$B493=U$2,'Atividades Micro'!$K493&lt;&gt;""),'Atividades Micro'!$K493,"")</f>
        <v/>
      </c>
      <c r="V441" s="21" t="str">
        <f>IF(AND('Atividades Micro'!$B493=V$2,'Atividades Micro'!$L493&lt;&gt;""),'Atividades Micro'!$L493,"")</f>
        <v/>
      </c>
      <c r="W441" s="21" t="str">
        <f>IF(AND('Atividades Micro'!$B493=W$2,'Atividades Micro'!$K493&lt;&gt;""),'Atividades Micro'!$K493,"")</f>
        <v/>
      </c>
      <c r="X441" s="21" t="str">
        <f>IF(AND('Atividades Micro'!$B493=X$2,'Atividades Micro'!$L493&lt;&gt;""),'Atividades Micro'!$L493,"")</f>
        <v/>
      </c>
      <c r="Y441" s="21" t="str">
        <f>IF(AND('Atividades Micro'!$A493=Y$2,'Atividades Micro'!$K493&lt;&gt;""),'Atividades Micro'!$K493,"")</f>
        <v/>
      </c>
      <c r="Z441" s="21" t="str">
        <f>IF(AND('Atividades Micro'!$A493=Z$2,'Atividades Micro'!$L493&lt;&gt;""),'Atividades Micro'!$L493,"")</f>
        <v/>
      </c>
      <c r="AA441" s="21" t="str">
        <f>IF(AND('Atividades Micro'!$B493=AA$2,'Atividades Micro'!$K493&lt;&gt;""),'Atividades Micro'!$K493,"")</f>
        <v/>
      </c>
      <c r="AB441" s="21" t="str">
        <f>IF(AND('Atividades Micro'!$B493=AB$2,'Atividades Micro'!$L493&lt;&gt;""),'Atividades Micro'!$L493,"")</f>
        <v/>
      </c>
      <c r="AC441" s="21" t="str">
        <f>IF(AND('Atividades Micro'!$B493=AC$2,'Atividades Micro'!$K493&lt;&gt;""),'Atividades Micro'!$K493,"")</f>
        <v/>
      </c>
      <c r="AD441" s="21" t="str">
        <f>IF(AND('Atividades Micro'!$B493=AD$2,'Atividades Micro'!$L493&lt;&gt;""),'Atividades Micro'!$L493,"")</f>
        <v/>
      </c>
      <c r="AE441" s="21" t="str">
        <f>IF(AND('Atividades Micro'!$A493=AE$2,'Atividades Micro'!$K493&lt;&gt;""),'Atividades Micro'!$K493,"")</f>
        <v/>
      </c>
      <c r="AF441" s="21" t="str">
        <f>IF(AND('Atividades Micro'!$A493=AF$2,'Atividades Micro'!$L493&lt;&gt;""),'Atividades Micro'!$L493,"")</f>
        <v/>
      </c>
      <c r="AG441" s="21" t="str">
        <f>IF(AND('Atividades Micro'!$B493=AG$2,'Atividades Micro'!$K493&lt;&gt;""),'Atividades Micro'!$K493,"")</f>
        <v/>
      </c>
      <c r="AH441" s="21" t="str">
        <f>IF(AND('Atividades Micro'!$B493=AH$2,'Atividades Micro'!$L493&lt;&gt;""),'Atividades Micro'!$L493,"")</f>
        <v/>
      </c>
      <c r="AI441" s="21" t="str">
        <f>IF(AND('Atividades Micro'!$B493=AI$2,'Atividades Micro'!$K493&lt;&gt;""),'Atividades Micro'!$K493,"")</f>
        <v/>
      </c>
      <c r="AJ441" s="21" t="str">
        <f>IF(AND('Atividades Micro'!$B493=AJ$2,'Atividades Micro'!$L493&lt;&gt;""),'Atividades Micro'!$L493,"")</f>
        <v/>
      </c>
      <c r="AK441" s="21" t="str">
        <f>IF(AND('Atividades Micro'!$A493=AK$2,'Atividades Micro'!$K493&lt;&gt;""),'Atividades Micro'!$K493,"")</f>
        <v/>
      </c>
      <c r="AL441" s="21" t="str">
        <f>IF(AND('Atividades Micro'!$A493=AL$2,'Atividades Micro'!$L493&lt;&gt;""),'Atividades Micro'!$L493,"")</f>
        <v/>
      </c>
      <c r="AM441" s="21" t="str">
        <f>IF(AND('Atividades Micro'!$B493=AM$2,'Atividades Micro'!$K493&lt;&gt;""),'Atividades Micro'!$K493,"")</f>
        <v/>
      </c>
      <c r="AN441" s="21" t="str">
        <f>IF(AND('Atividades Micro'!$B493=AN$2,'Atividades Micro'!$L493&lt;&gt;""),'Atividades Micro'!$L493,"")</f>
        <v/>
      </c>
      <c r="AO441" s="21" t="str">
        <f>IF(AND('Atividades Micro'!$B493=AO$2,'Atividades Micro'!$K493&lt;&gt;""),'Atividades Micro'!$K493,"")</f>
        <v/>
      </c>
      <c r="AP441" s="21" t="str">
        <f>IF(AND('Atividades Micro'!$B493=AP$2,'Atividades Micro'!$L493&lt;&gt;""),'Atividades Micro'!$L493,"")</f>
        <v/>
      </c>
      <c r="AQ441" s="21" t="str">
        <f>IF(AND('Atividades Micro'!$A493=AQ$2,'Atividades Micro'!$K493&lt;&gt;""),'Atividades Micro'!$K493,"")</f>
        <v/>
      </c>
      <c r="AR441" s="21" t="str">
        <f>IF(AND('Atividades Micro'!$A493=AR$2,'Atividades Micro'!$L493&lt;&gt;""),'Atividades Micro'!$L493,"")</f>
        <v/>
      </c>
      <c r="AS441" s="21" t="str">
        <f>IF(AND('Atividades Micro'!$B493=AS$2,'Atividades Micro'!$K493&lt;&gt;""),'Atividades Micro'!$K493,"")</f>
        <v/>
      </c>
      <c r="AT441" s="21" t="str">
        <f>IF(AND('Atividades Micro'!$B493=AT$2,'Atividades Micro'!$L493&lt;&gt;""),'Atividades Micro'!$L493,"")</f>
        <v/>
      </c>
      <c r="AU441" s="21" t="str">
        <f>IF(AND('Atividades Micro'!$A493=AU$2,'Atividades Micro'!$K493&lt;&gt;""),'Atividades Micro'!$K493,"")</f>
        <v/>
      </c>
      <c r="AV441" s="21" t="str">
        <f>IF(AND('Atividades Micro'!$A493=AV$2,'Atividades Micro'!$L493&lt;&gt;""),'Atividades Micro'!$L493,"")</f>
        <v/>
      </c>
      <c r="AW441" s="21" t="str">
        <f>IF(AND('Atividades Micro'!$B493=AW$2,'Atividades Micro'!$K493&lt;&gt;""),'Atividades Micro'!$K493,"")</f>
        <v/>
      </c>
      <c r="AX441" s="21" t="str">
        <f>IF(AND('Atividades Micro'!$B493=AX$2,'Atividades Micro'!$L493&lt;&gt;""),'Atividades Micro'!$L493,"")</f>
        <v/>
      </c>
      <c r="AY441" s="21" t="str">
        <f>IF(AND('Atividades Micro'!$A493=AY$2,'Atividades Micro'!$K493&lt;&gt;""),'Atividades Micro'!$K493,"")</f>
        <v/>
      </c>
      <c r="AZ441" s="21" t="str">
        <f>IF(AND('Atividades Micro'!$A493=AZ$2,'Atividades Micro'!$L493&lt;&gt;""),'Atividades Micro'!$L493,"")</f>
        <v/>
      </c>
      <c r="BA441" s="21" t="str">
        <f>IF(AND('Atividades Micro'!$B493=BA$2,'Atividades Micro'!$K493&lt;&gt;""),'Atividades Micro'!$K493,"")</f>
        <v/>
      </c>
      <c r="BB441" s="21" t="str">
        <f>IF(AND('Atividades Micro'!$B493=BB$2,'Atividades Micro'!$L493&lt;&gt;""),'Atividades Micro'!$L493,"")</f>
        <v/>
      </c>
      <c r="BC441" s="21" t="str">
        <f>IF(AND('Atividades Micro'!$B493=BC$2,'Atividades Micro'!$G493="Macro",'Atividades Micro'!$K493&lt;&gt;""),'Atividades Micro'!$K493,"")</f>
        <v/>
      </c>
      <c r="BD441" s="21" t="str">
        <f>IF(AND('Atividades Micro'!$B493=BD$2,'Atividades Micro'!$G493="Macro",'Atividades Micro'!$K493&lt;&gt;""),'Atividades Micro'!$K493,"")</f>
        <v/>
      </c>
      <c r="BE441" s="21" t="str">
        <f>IF(AND('Atividades Micro'!$B493=BE$2,'Atividades Micro'!$G493="Macro",'Atividades Micro'!$K493&lt;&gt;""),'Atividades Micro'!$K493,"")</f>
        <v/>
      </c>
      <c r="BF441" s="21" t="str">
        <f>IF(AND('Atividades Micro'!$B493=BF$2,'Atividades Micro'!$G493="Macro",'Atividades Micro'!$K493&lt;&gt;""),'Atividades Micro'!$K493,"")</f>
        <v/>
      </c>
      <c r="BG441" s="21" t="str">
        <f>IF(AND('Atividades Micro'!$B493=BG$2,'Atividades Micro'!$G493="Macro",'Atividades Micro'!$K493&lt;&gt;""),'Atividades Micro'!$K493,"")</f>
        <v/>
      </c>
      <c r="BH441" s="21" t="str">
        <f>IF(AND('Atividades Micro'!$B493=BH$2,'Atividades Micro'!$G493="Macro",'Atividades Micro'!$K493&lt;&gt;""),'Atividades Micro'!$K493,"")</f>
        <v/>
      </c>
      <c r="BI441" s="21" t="str">
        <f>IF(AND('Atividades Micro'!$B493=BI$2,'Atividades Micro'!$G493="Macro",'Atividades Micro'!$K493&lt;&gt;""),'Atividades Micro'!$K493,"")</f>
        <v/>
      </c>
      <c r="BJ441" s="21" t="str">
        <f>IF(AND('Atividades Micro'!$B493=BJ$2,'Atividades Micro'!$G493="Macro",'Atividades Micro'!$K493&lt;&gt;""),'Atividades Micro'!$K493,"")</f>
        <v/>
      </c>
      <c r="BK441" s="21" t="str">
        <f>IF(AND('Atividades Micro'!$B493=BK$2,'Atividades Micro'!$G493="Macro",'Atividades Micro'!$K493&lt;&gt;""),'Atividades Micro'!$K493,"")</f>
        <v/>
      </c>
      <c r="BL441" s="21" t="str">
        <f>IF(AND('Atividades Micro'!$B493=BL$2,'Atividades Micro'!$G493="Macro",'Atividades Micro'!$K493&lt;&gt;""),'Atividades Micro'!$K493,"")</f>
        <v/>
      </c>
      <c r="BM441" s="21" t="str">
        <f>IF(AND('Atividades Micro'!$B493=BM$2,'Atividades Micro'!$G493="Macro",'Atividades Micro'!$K493&lt;&gt;""),'Atividades Micro'!$K493,"")</f>
        <v/>
      </c>
      <c r="BN441" s="21" t="str">
        <f>IF(AND('Atividades Micro'!$B493=BN$2,'Atividades Micro'!$G493="Macro",'Atividades Micro'!$K493&lt;&gt;""),'Atividades Micro'!$K493,"")</f>
        <v/>
      </c>
      <c r="BO441" s="21" t="str">
        <f>IF(AND('Atividades Micro'!$B493=BO$2,'Atividades Micro'!$G493="Macro",'Atividades Micro'!$K493&lt;&gt;""),'Atividades Micro'!$K493,"")</f>
        <v/>
      </c>
      <c r="BP441" s="21" t="str">
        <f>IF(AND('Atividades Micro'!$B493=BP$2,'Atividades Micro'!$G493="Macro",'Atividades Micro'!$K493&lt;&gt;""),'Atividades Micro'!$K493,"")</f>
        <v/>
      </c>
      <c r="BQ441" s="21" t="str">
        <f>IF(AND('Atividades Micro'!$B493=BQ$2,'Atividades Micro'!$G493="Macro",'Atividades Micro'!$K493&lt;&gt;""),'Atividades Micro'!$K493,"")</f>
        <v/>
      </c>
      <c r="BR441" s="21" t="str">
        <f>IF(AND('Atividades Micro'!$B493=BR$2,'Atividades Micro'!$G493="Macro",'Atividades Micro'!$K493&lt;&gt;""),'Atividades Micro'!$K493,"")</f>
        <v/>
      </c>
      <c r="BS441" s="21" t="str">
        <f>IF(AND('Atividades Micro'!$B493=BS$2,'Atividades Micro'!$G493="Macro",'Atividades Micro'!$K493&lt;&gt;""),'Atividades Micro'!$K493,"")</f>
        <v/>
      </c>
      <c r="BT441" s="21" t="str">
        <f>IF(AND('Atividades Micro'!$B493=BT$2,'Atividades Micro'!$G493="Macro",'Atividades Micro'!$K493&lt;&gt;""),'Atividades Micro'!$K493,"")</f>
        <v/>
      </c>
      <c r="BU441" s="21" t="str">
        <f>IF(AND('Atividades Micro'!$B493=BU$2,'Atividades Micro'!$G493="Macro",'Atividades Micro'!$K493&lt;&gt;""),'Atividades Micro'!$K493,"")</f>
        <v/>
      </c>
      <c r="BV441" s="21" t="str">
        <f>IF(AND('Atividades Micro'!$B493=BV$2,'Atividades Micro'!$G493="Macro",'Atividades Micro'!$K493&lt;&gt;""),'Atividades Micro'!$K493,"")</f>
        <v/>
      </c>
      <c r="BW441" s="21" t="str">
        <f>IF(AND('Atividades Micro'!$B493=BW$2,'Atividades Micro'!$G493="Macro",'Atividades Micro'!$K493&lt;&gt;""),'Atividades Micro'!$K493,"")</f>
        <v/>
      </c>
      <c r="BX441" s="21" t="str">
        <f>IF(AND('Atividades Micro'!$B493=BX$2,'Atividades Micro'!$G493="Macro",'Atividades Micro'!$K493&lt;&gt;""),'Atividades Micro'!$K493,"")</f>
        <v/>
      </c>
      <c r="BY441" s="21" t="str">
        <f>IF(AND('Atividades Micro'!$B493=BY$2,'Atividades Micro'!$G493="Macro",'Atividades Micro'!$K493&lt;&gt;""),'Atividades Micro'!$K493,"")</f>
        <v/>
      </c>
      <c r="BZ441" s="21" t="str">
        <f>IF(AND('Atividades Micro'!$B493=BZ$2,'Atividades Micro'!$G493="Macro",'Atividades Micro'!$K493&lt;&gt;""),'Atividades Micro'!$K493,"")</f>
        <v/>
      </c>
      <c r="CA441" s="21" t="str">
        <f>IF(AND('Atividades Micro'!$B493=CA$2,'Atividades Micro'!$G493="Macro",'Atividades Micro'!$K493&lt;&gt;""),'Atividades Micro'!$K493,"")</f>
        <v/>
      </c>
      <c r="CB441" s="21" t="str">
        <f>IF(AND('Atividades Micro'!$B493=CB$2,'Atividades Micro'!$G493="Macro",'Atividades Micro'!$K493&lt;&gt;""),'Atividades Micro'!$K493,"")</f>
        <v/>
      </c>
      <c r="CC441" s="21" t="str">
        <f>IF(AND('Atividades Micro'!$B493=CC$2,'Atividades Micro'!$G493="Macro",'Atividades Micro'!$K493&lt;&gt;""),'Atividades Micro'!$K493,"")</f>
        <v/>
      </c>
      <c r="CD441" s="21" t="str">
        <f>IF(AND('Atividades Micro'!$B493=CD$2,'Atividades Micro'!$G493="Micro",'Atividades Micro'!$K493&lt;&gt;""),'Atividades Micro'!$K493,"")</f>
        <v/>
      </c>
      <c r="CE441" s="21" t="str">
        <f>IF(AND('Atividades Micro'!$B493=CE$2,'Atividades Micro'!$G493="Micro",'Atividades Micro'!$K493&lt;&gt;""),'Atividades Micro'!$K493,"")</f>
        <v/>
      </c>
      <c r="CF441" s="21" t="str">
        <f>IF(AND('Atividades Micro'!$B493=CF$2,'Atividades Micro'!$G493="Micro",'Atividades Micro'!$K493&lt;&gt;""),'Atividades Micro'!$K493,"")</f>
        <v/>
      </c>
      <c r="CG441" s="21" t="str">
        <f>IF(AND('Atividades Micro'!$B493=CG$2,'Atividades Micro'!$G493="Micro",'Atividades Micro'!$K493&lt;&gt;""),'Atividades Micro'!$K493,"")</f>
        <v/>
      </c>
      <c r="CH441" s="21" t="str">
        <f>IF(AND('Atividades Micro'!$B493=CH$2,'Atividades Micro'!$G493="Micro",'Atividades Micro'!$K493&lt;&gt;""),'Atividades Micro'!$K493,"")</f>
        <v/>
      </c>
      <c r="CI441" s="21" t="str">
        <f>IF(AND('Atividades Micro'!$B493=CI$2,'Atividades Micro'!$G493="Micro",'Atividades Micro'!$K493&lt;&gt;""),'Atividades Micro'!$K493,"")</f>
        <v/>
      </c>
      <c r="CJ441" s="21" t="str">
        <f>IF(AND('Atividades Micro'!$B493=CJ$2,'Atividades Micro'!$G493="Micro",'Atividades Micro'!$K493&lt;&gt;""),'Atividades Micro'!$K493,"")</f>
        <v/>
      </c>
      <c r="CK441" s="21" t="str">
        <f>IF(AND('Atividades Micro'!$B493=CK$2,'Atividades Micro'!$G493="Micro",'Atividades Micro'!$K493&lt;&gt;""),'Atividades Micro'!$K493,"")</f>
        <v/>
      </c>
      <c r="CL441" s="21" t="str">
        <f>IF(AND('Atividades Micro'!$B493=CL$2,'Atividades Micro'!$G493="Micro",'Atividades Micro'!$K493&lt;&gt;""),'Atividades Micro'!$K493,"")</f>
        <v/>
      </c>
      <c r="CM441" s="21" t="str">
        <f>IF(AND('Atividades Micro'!$B493=CM$2,'Atividades Micro'!$G493="Micro",'Atividades Micro'!$K493&lt;&gt;""),'Atividades Micro'!$K493,"")</f>
        <v/>
      </c>
      <c r="CN441" s="21" t="str">
        <f>IF(AND('Atividades Micro'!$B493=CN$2,'Atividades Micro'!$G493="Micro",'Atividades Micro'!$K493&lt;&gt;""),'Atividades Micro'!$K493,"")</f>
        <v/>
      </c>
      <c r="CO441" s="21" t="str">
        <f>IF(AND('Atividades Micro'!$B493=CO$2,'Atividades Micro'!$G493="Micro",'Atividades Micro'!$K493&lt;&gt;""),'Atividades Micro'!$K493,"")</f>
        <v/>
      </c>
    </row>
    <row r="442" spans="1:93">
      <c r="A442" s="21" t="str">
        <f>IF(AND('Atividades Micro'!$A494=A$2,'Atividades Micro'!$K494&lt;&gt;""),'Atividades Micro'!$K494,"")</f>
        <v/>
      </c>
      <c r="B442" s="21" t="str">
        <f>IF(AND('Atividades Micro'!$A494=B$2,'Atividades Micro'!$L494&lt;&gt;""),'Atividades Micro'!$L494,"")</f>
        <v/>
      </c>
      <c r="C442" s="21" t="str">
        <f>IF(AND('Atividades Micro'!$A494=C$2,'Atividades Micro'!$K494&lt;&gt;""),'Atividades Micro'!$K494,"")</f>
        <v/>
      </c>
      <c r="D442" s="21" t="str">
        <f>IF(AND('Atividades Micro'!$A494=D$2,'Atividades Micro'!$L494&lt;&gt;""),'Atividades Micro'!$L494,"")</f>
        <v/>
      </c>
      <c r="E442" s="21" t="str">
        <f>IF(AND('Atividades Micro'!$A494=E$2,'Atividades Micro'!$K494&lt;&gt;""),'Atividades Micro'!$K494,"")</f>
        <v/>
      </c>
      <c r="F442" s="21" t="str">
        <f>IF(AND('Atividades Micro'!$A494=F$2,'Atividades Micro'!$L494&lt;&gt;""),'Atividades Micro'!$L494,"")</f>
        <v/>
      </c>
      <c r="G442" s="21" t="str">
        <f>IF(AND('Atividades Micro'!$A494=G$2,'Atividades Micro'!$K494&lt;&gt;""),'Atividades Micro'!$K494,"")</f>
        <v/>
      </c>
      <c r="H442" s="21" t="str">
        <f>IF(AND('Atividades Micro'!$A494=H$2,'Atividades Micro'!$L494&lt;&gt;""),'Atividades Micro'!$L494,"")</f>
        <v/>
      </c>
      <c r="I442" s="21" t="str">
        <f>IF(AND('Atividades Micro'!$A494=I$2,'Atividades Micro'!$K494&lt;&gt;""),'Atividades Micro'!$K494,"")</f>
        <v/>
      </c>
      <c r="J442" s="21" t="str">
        <f>IF(AND('Atividades Micro'!$A494=J$2,'Atividades Micro'!$L494&lt;&gt;""),'Atividades Micro'!$L494,"")</f>
        <v/>
      </c>
      <c r="K442" s="21" t="str">
        <f>IF(AND('Atividades Micro'!$B494=K$2,'Atividades Micro'!$K494&lt;&gt;""),'Atividades Micro'!$K494,"")</f>
        <v/>
      </c>
      <c r="L442" s="21" t="str">
        <f>IF(AND('Atividades Micro'!$B494=L$2,'Atividades Micro'!$L494&lt;&gt;""),'Atividades Micro'!$L494,"")</f>
        <v/>
      </c>
      <c r="M442" s="21" t="str">
        <f>IF(AND('Atividades Micro'!$B494=M$2,'Atividades Micro'!$K494&lt;&gt;""),'Atividades Micro'!$K494,"")</f>
        <v/>
      </c>
      <c r="N442" s="21" t="str">
        <f>IF(AND('Atividades Micro'!$B494=N$2,'Atividades Micro'!$L494&lt;&gt;""),'Atividades Micro'!$L494,"")</f>
        <v/>
      </c>
      <c r="O442" s="21" t="str">
        <f>IF(AND('Atividades Micro'!$A494=O$2,'Atividades Micro'!$K494&lt;&gt;""),'Atividades Micro'!$K494,"")</f>
        <v/>
      </c>
      <c r="P442" s="21" t="str">
        <f>IF(AND('Atividades Micro'!$A494=P$2,'Atividades Micro'!$L494&lt;&gt;""),'Atividades Micro'!$L494,"")</f>
        <v/>
      </c>
      <c r="Q442" s="21" t="str">
        <f>IF(AND('Atividades Micro'!$B494=Q$2,'Atividades Micro'!$K494&lt;&gt;""),'Atividades Micro'!$K494,"")</f>
        <v/>
      </c>
      <c r="R442" s="21" t="str">
        <f>IF(AND('Atividades Micro'!$B494=R$2,'Atividades Micro'!$L494&lt;&gt;""),'Atividades Micro'!$L494,"")</f>
        <v/>
      </c>
      <c r="S442" s="21" t="str">
        <f>IF(AND('Atividades Micro'!$A494=S$2,'Atividades Micro'!$K494&lt;&gt;""),'Atividades Micro'!$K494,"")</f>
        <v/>
      </c>
      <c r="T442" s="21" t="str">
        <f>IF(AND('Atividades Micro'!$A494=T$2,'Atividades Micro'!$L494&lt;&gt;""),'Atividades Micro'!$L494,"")</f>
        <v/>
      </c>
      <c r="U442" s="21" t="str">
        <f>IF(AND('Atividades Micro'!$B494=U$2,'Atividades Micro'!$K494&lt;&gt;""),'Atividades Micro'!$K494,"")</f>
        <v/>
      </c>
      <c r="V442" s="21" t="str">
        <f>IF(AND('Atividades Micro'!$B494=V$2,'Atividades Micro'!$L494&lt;&gt;""),'Atividades Micro'!$L494,"")</f>
        <v/>
      </c>
      <c r="W442" s="21" t="str">
        <f>IF(AND('Atividades Micro'!$B494=W$2,'Atividades Micro'!$K494&lt;&gt;""),'Atividades Micro'!$K494,"")</f>
        <v/>
      </c>
      <c r="X442" s="21" t="str">
        <f>IF(AND('Atividades Micro'!$B494=X$2,'Atividades Micro'!$L494&lt;&gt;""),'Atividades Micro'!$L494,"")</f>
        <v/>
      </c>
      <c r="Y442" s="21" t="str">
        <f>IF(AND('Atividades Micro'!$A494=Y$2,'Atividades Micro'!$K494&lt;&gt;""),'Atividades Micro'!$K494,"")</f>
        <v/>
      </c>
      <c r="Z442" s="21" t="str">
        <f>IF(AND('Atividades Micro'!$A494=Z$2,'Atividades Micro'!$L494&lt;&gt;""),'Atividades Micro'!$L494,"")</f>
        <v/>
      </c>
      <c r="AA442" s="21" t="str">
        <f>IF(AND('Atividades Micro'!$B494=AA$2,'Atividades Micro'!$K494&lt;&gt;""),'Atividades Micro'!$K494,"")</f>
        <v/>
      </c>
      <c r="AB442" s="21" t="str">
        <f>IF(AND('Atividades Micro'!$B494=AB$2,'Atividades Micro'!$L494&lt;&gt;""),'Atividades Micro'!$L494,"")</f>
        <v/>
      </c>
      <c r="AC442" s="21" t="str">
        <f>IF(AND('Atividades Micro'!$B494=AC$2,'Atividades Micro'!$K494&lt;&gt;""),'Atividades Micro'!$K494,"")</f>
        <v/>
      </c>
      <c r="AD442" s="21" t="str">
        <f>IF(AND('Atividades Micro'!$B494=AD$2,'Atividades Micro'!$L494&lt;&gt;""),'Atividades Micro'!$L494,"")</f>
        <v/>
      </c>
      <c r="AE442" s="21" t="str">
        <f>IF(AND('Atividades Micro'!$A494=AE$2,'Atividades Micro'!$K494&lt;&gt;""),'Atividades Micro'!$K494,"")</f>
        <v/>
      </c>
      <c r="AF442" s="21" t="str">
        <f>IF(AND('Atividades Micro'!$A494=AF$2,'Atividades Micro'!$L494&lt;&gt;""),'Atividades Micro'!$L494,"")</f>
        <v/>
      </c>
      <c r="AG442" s="21" t="str">
        <f>IF(AND('Atividades Micro'!$B494=AG$2,'Atividades Micro'!$K494&lt;&gt;""),'Atividades Micro'!$K494,"")</f>
        <v/>
      </c>
      <c r="AH442" s="21" t="str">
        <f>IF(AND('Atividades Micro'!$B494=AH$2,'Atividades Micro'!$L494&lt;&gt;""),'Atividades Micro'!$L494,"")</f>
        <v/>
      </c>
      <c r="AI442" s="21" t="str">
        <f>IF(AND('Atividades Micro'!$B494=AI$2,'Atividades Micro'!$K494&lt;&gt;""),'Atividades Micro'!$K494,"")</f>
        <v/>
      </c>
      <c r="AJ442" s="21" t="str">
        <f>IF(AND('Atividades Micro'!$B494=AJ$2,'Atividades Micro'!$L494&lt;&gt;""),'Atividades Micro'!$L494,"")</f>
        <v/>
      </c>
      <c r="AK442" s="21" t="str">
        <f>IF(AND('Atividades Micro'!$A494=AK$2,'Atividades Micro'!$K494&lt;&gt;""),'Atividades Micro'!$K494,"")</f>
        <v/>
      </c>
      <c r="AL442" s="21" t="str">
        <f>IF(AND('Atividades Micro'!$A494=AL$2,'Atividades Micro'!$L494&lt;&gt;""),'Atividades Micro'!$L494,"")</f>
        <v/>
      </c>
      <c r="AM442" s="21" t="str">
        <f>IF(AND('Atividades Micro'!$B494=AM$2,'Atividades Micro'!$K494&lt;&gt;""),'Atividades Micro'!$K494,"")</f>
        <v/>
      </c>
      <c r="AN442" s="21" t="str">
        <f>IF(AND('Atividades Micro'!$B494=AN$2,'Atividades Micro'!$L494&lt;&gt;""),'Atividades Micro'!$L494,"")</f>
        <v/>
      </c>
      <c r="AO442" s="21" t="str">
        <f>IF(AND('Atividades Micro'!$B494=AO$2,'Atividades Micro'!$K494&lt;&gt;""),'Atividades Micro'!$K494,"")</f>
        <v/>
      </c>
      <c r="AP442" s="21" t="str">
        <f>IF(AND('Atividades Micro'!$B494=AP$2,'Atividades Micro'!$L494&lt;&gt;""),'Atividades Micro'!$L494,"")</f>
        <v/>
      </c>
      <c r="AQ442" s="21" t="str">
        <f>IF(AND('Atividades Micro'!$A494=AQ$2,'Atividades Micro'!$K494&lt;&gt;""),'Atividades Micro'!$K494,"")</f>
        <v/>
      </c>
      <c r="AR442" s="21" t="str">
        <f>IF(AND('Atividades Micro'!$A494=AR$2,'Atividades Micro'!$L494&lt;&gt;""),'Atividades Micro'!$L494,"")</f>
        <v/>
      </c>
      <c r="AS442" s="21" t="str">
        <f>IF(AND('Atividades Micro'!$B494=AS$2,'Atividades Micro'!$K494&lt;&gt;""),'Atividades Micro'!$K494,"")</f>
        <v/>
      </c>
      <c r="AT442" s="21" t="str">
        <f>IF(AND('Atividades Micro'!$B494=AT$2,'Atividades Micro'!$L494&lt;&gt;""),'Atividades Micro'!$L494,"")</f>
        <v/>
      </c>
      <c r="AU442" s="21" t="str">
        <f>IF(AND('Atividades Micro'!$A494=AU$2,'Atividades Micro'!$K494&lt;&gt;""),'Atividades Micro'!$K494,"")</f>
        <v/>
      </c>
      <c r="AV442" s="21" t="str">
        <f>IF(AND('Atividades Micro'!$A494=AV$2,'Atividades Micro'!$L494&lt;&gt;""),'Atividades Micro'!$L494,"")</f>
        <v/>
      </c>
      <c r="AW442" s="21" t="str">
        <f>IF(AND('Atividades Micro'!$B494=AW$2,'Atividades Micro'!$K494&lt;&gt;""),'Atividades Micro'!$K494,"")</f>
        <v/>
      </c>
      <c r="AX442" s="21" t="str">
        <f>IF(AND('Atividades Micro'!$B494=AX$2,'Atividades Micro'!$L494&lt;&gt;""),'Atividades Micro'!$L494,"")</f>
        <v/>
      </c>
      <c r="AY442" s="21" t="str">
        <f>IF(AND('Atividades Micro'!$A494=AY$2,'Atividades Micro'!$K494&lt;&gt;""),'Atividades Micro'!$K494,"")</f>
        <v/>
      </c>
      <c r="AZ442" s="21" t="str">
        <f>IF(AND('Atividades Micro'!$A494=AZ$2,'Atividades Micro'!$L494&lt;&gt;""),'Atividades Micro'!$L494,"")</f>
        <v/>
      </c>
      <c r="BA442" s="21" t="str">
        <f>IF(AND('Atividades Micro'!$B494=BA$2,'Atividades Micro'!$K494&lt;&gt;""),'Atividades Micro'!$K494,"")</f>
        <v/>
      </c>
      <c r="BB442" s="21" t="str">
        <f>IF(AND('Atividades Micro'!$B494=BB$2,'Atividades Micro'!$L494&lt;&gt;""),'Atividades Micro'!$L494,"")</f>
        <v/>
      </c>
      <c r="BC442" s="21" t="str">
        <f>IF(AND('Atividades Micro'!$B494=BC$2,'Atividades Micro'!$G494="Macro",'Atividades Micro'!$K494&lt;&gt;""),'Atividades Micro'!$K494,"")</f>
        <v/>
      </c>
      <c r="BD442" s="21" t="str">
        <f>IF(AND('Atividades Micro'!$B494=BD$2,'Atividades Micro'!$G494="Macro",'Atividades Micro'!$K494&lt;&gt;""),'Atividades Micro'!$K494,"")</f>
        <v/>
      </c>
      <c r="BE442" s="21" t="str">
        <f>IF(AND('Atividades Micro'!$B494=BE$2,'Atividades Micro'!$G494="Macro",'Atividades Micro'!$K494&lt;&gt;""),'Atividades Micro'!$K494,"")</f>
        <v/>
      </c>
      <c r="BF442" s="21" t="str">
        <f>IF(AND('Atividades Micro'!$B494=BF$2,'Atividades Micro'!$G494="Macro",'Atividades Micro'!$K494&lt;&gt;""),'Atividades Micro'!$K494,"")</f>
        <v/>
      </c>
      <c r="BG442" s="21" t="str">
        <f>IF(AND('Atividades Micro'!$B494=BG$2,'Atividades Micro'!$G494="Macro",'Atividades Micro'!$K494&lt;&gt;""),'Atividades Micro'!$K494,"")</f>
        <v/>
      </c>
      <c r="BH442" s="21" t="str">
        <f>IF(AND('Atividades Micro'!$B494=BH$2,'Atividades Micro'!$G494="Macro",'Atividades Micro'!$K494&lt;&gt;""),'Atividades Micro'!$K494,"")</f>
        <v/>
      </c>
      <c r="BI442" s="21" t="str">
        <f>IF(AND('Atividades Micro'!$B494=BI$2,'Atividades Micro'!$G494="Macro",'Atividades Micro'!$K494&lt;&gt;""),'Atividades Micro'!$K494,"")</f>
        <v/>
      </c>
      <c r="BJ442" s="21" t="str">
        <f>IF(AND('Atividades Micro'!$B494=BJ$2,'Atividades Micro'!$G494="Macro",'Atividades Micro'!$K494&lt;&gt;""),'Atividades Micro'!$K494,"")</f>
        <v/>
      </c>
      <c r="BK442" s="21" t="str">
        <f>IF(AND('Atividades Micro'!$B494=BK$2,'Atividades Micro'!$G494="Macro",'Atividades Micro'!$K494&lt;&gt;""),'Atividades Micro'!$K494,"")</f>
        <v/>
      </c>
      <c r="BL442" s="21" t="str">
        <f>IF(AND('Atividades Micro'!$B494=BL$2,'Atividades Micro'!$G494="Macro",'Atividades Micro'!$K494&lt;&gt;""),'Atividades Micro'!$K494,"")</f>
        <v/>
      </c>
      <c r="BM442" s="21" t="str">
        <f>IF(AND('Atividades Micro'!$B494=BM$2,'Atividades Micro'!$G494="Macro",'Atividades Micro'!$K494&lt;&gt;""),'Atividades Micro'!$K494,"")</f>
        <v/>
      </c>
      <c r="BN442" s="21" t="str">
        <f>IF(AND('Atividades Micro'!$B494=BN$2,'Atividades Micro'!$G494="Macro",'Atividades Micro'!$K494&lt;&gt;""),'Atividades Micro'!$K494,"")</f>
        <v/>
      </c>
      <c r="BO442" s="21" t="str">
        <f>IF(AND('Atividades Micro'!$B494=BO$2,'Atividades Micro'!$G494="Macro",'Atividades Micro'!$K494&lt;&gt;""),'Atividades Micro'!$K494,"")</f>
        <v/>
      </c>
      <c r="BP442" s="21" t="str">
        <f>IF(AND('Atividades Micro'!$B494=BP$2,'Atividades Micro'!$G494="Macro",'Atividades Micro'!$K494&lt;&gt;""),'Atividades Micro'!$K494,"")</f>
        <v/>
      </c>
      <c r="BQ442" s="21" t="str">
        <f>IF(AND('Atividades Micro'!$B494=BQ$2,'Atividades Micro'!$G494="Macro",'Atividades Micro'!$K494&lt;&gt;""),'Atividades Micro'!$K494,"")</f>
        <v/>
      </c>
      <c r="BR442" s="21" t="str">
        <f>IF(AND('Atividades Micro'!$B494=BR$2,'Atividades Micro'!$G494="Macro",'Atividades Micro'!$K494&lt;&gt;""),'Atividades Micro'!$K494,"")</f>
        <v/>
      </c>
      <c r="BS442" s="21" t="str">
        <f>IF(AND('Atividades Micro'!$B494=BS$2,'Atividades Micro'!$G494="Macro",'Atividades Micro'!$K494&lt;&gt;""),'Atividades Micro'!$K494,"")</f>
        <v/>
      </c>
      <c r="BT442" s="21" t="str">
        <f>IF(AND('Atividades Micro'!$B494=BT$2,'Atividades Micro'!$G494="Macro",'Atividades Micro'!$K494&lt;&gt;""),'Atividades Micro'!$K494,"")</f>
        <v/>
      </c>
      <c r="BU442" s="21" t="str">
        <f>IF(AND('Atividades Micro'!$B494=BU$2,'Atividades Micro'!$G494="Macro",'Atividades Micro'!$K494&lt;&gt;""),'Atividades Micro'!$K494,"")</f>
        <v/>
      </c>
      <c r="BV442" s="21" t="str">
        <f>IF(AND('Atividades Micro'!$B494=BV$2,'Atividades Micro'!$G494="Macro",'Atividades Micro'!$K494&lt;&gt;""),'Atividades Micro'!$K494,"")</f>
        <v/>
      </c>
      <c r="BW442" s="21" t="str">
        <f>IF(AND('Atividades Micro'!$B494=BW$2,'Atividades Micro'!$G494="Macro",'Atividades Micro'!$K494&lt;&gt;""),'Atividades Micro'!$K494,"")</f>
        <v/>
      </c>
      <c r="BX442" s="21" t="str">
        <f>IF(AND('Atividades Micro'!$B494=BX$2,'Atividades Micro'!$G494="Macro",'Atividades Micro'!$K494&lt;&gt;""),'Atividades Micro'!$K494,"")</f>
        <v/>
      </c>
      <c r="BY442" s="21" t="str">
        <f>IF(AND('Atividades Micro'!$B494=BY$2,'Atividades Micro'!$G494="Macro",'Atividades Micro'!$K494&lt;&gt;""),'Atividades Micro'!$K494,"")</f>
        <v/>
      </c>
      <c r="BZ442" s="21" t="str">
        <f>IF(AND('Atividades Micro'!$B494=BZ$2,'Atividades Micro'!$G494="Macro",'Atividades Micro'!$K494&lt;&gt;""),'Atividades Micro'!$K494,"")</f>
        <v/>
      </c>
      <c r="CA442" s="21" t="str">
        <f>IF(AND('Atividades Micro'!$B494=CA$2,'Atividades Micro'!$G494="Macro",'Atividades Micro'!$K494&lt;&gt;""),'Atividades Micro'!$K494,"")</f>
        <v/>
      </c>
      <c r="CB442" s="21" t="str">
        <f>IF(AND('Atividades Micro'!$B494=CB$2,'Atividades Micro'!$G494="Macro",'Atividades Micro'!$K494&lt;&gt;""),'Atividades Micro'!$K494,"")</f>
        <v/>
      </c>
      <c r="CC442" s="21" t="str">
        <f>IF(AND('Atividades Micro'!$B494=CC$2,'Atividades Micro'!$G494="Macro",'Atividades Micro'!$K494&lt;&gt;""),'Atividades Micro'!$K494,"")</f>
        <v/>
      </c>
      <c r="CD442" s="21" t="str">
        <f>IF(AND('Atividades Micro'!$B494=CD$2,'Atividades Micro'!$G494="Micro",'Atividades Micro'!$K494&lt;&gt;""),'Atividades Micro'!$K494,"")</f>
        <v/>
      </c>
      <c r="CE442" s="21" t="str">
        <f>IF(AND('Atividades Micro'!$B494=CE$2,'Atividades Micro'!$G494="Micro",'Atividades Micro'!$K494&lt;&gt;""),'Atividades Micro'!$K494,"")</f>
        <v/>
      </c>
      <c r="CF442" s="21" t="str">
        <f>IF(AND('Atividades Micro'!$B494=CF$2,'Atividades Micro'!$G494="Micro",'Atividades Micro'!$K494&lt;&gt;""),'Atividades Micro'!$K494,"")</f>
        <v/>
      </c>
      <c r="CG442" s="21" t="str">
        <f>IF(AND('Atividades Micro'!$B494=CG$2,'Atividades Micro'!$G494="Micro",'Atividades Micro'!$K494&lt;&gt;""),'Atividades Micro'!$K494,"")</f>
        <v/>
      </c>
      <c r="CH442" s="21" t="str">
        <f>IF(AND('Atividades Micro'!$B494=CH$2,'Atividades Micro'!$G494="Micro",'Atividades Micro'!$K494&lt;&gt;""),'Atividades Micro'!$K494,"")</f>
        <v/>
      </c>
      <c r="CI442" s="21" t="str">
        <f>IF(AND('Atividades Micro'!$B494=CI$2,'Atividades Micro'!$G494="Micro",'Atividades Micro'!$K494&lt;&gt;""),'Atividades Micro'!$K494,"")</f>
        <v/>
      </c>
      <c r="CJ442" s="21" t="str">
        <f>IF(AND('Atividades Micro'!$B494=CJ$2,'Atividades Micro'!$G494="Micro",'Atividades Micro'!$K494&lt;&gt;""),'Atividades Micro'!$K494,"")</f>
        <v/>
      </c>
      <c r="CK442" s="21" t="str">
        <f>IF(AND('Atividades Micro'!$B494=CK$2,'Atividades Micro'!$G494="Micro",'Atividades Micro'!$K494&lt;&gt;""),'Atividades Micro'!$K494,"")</f>
        <v/>
      </c>
      <c r="CL442" s="21" t="str">
        <f>IF(AND('Atividades Micro'!$B494=CL$2,'Atividades Micro'!$G494="Micro",'Atividades Micro'!$K494&lt;&gt;""),'Atividades Micro'!$K494,"")</f>
        <v/>
      </c>
      <c r="CM442" s="21" t="str">
        <f>IF(AND('Atividades Micro'!$B494=CM$2,'Atividades Micro'!$G494="Micro",'Atividades Micro'!$K494&lt;&gt;""),'Atividades Micro'!$K494,"")</f>
        <v/>
      </c>
      <c r="CN442" s="21" t="str">
        <f>IF(AND('Atividades Micro'!$B494=CN$2,'Atividades Micro'!$G494="Micro",'Atividades Micro'!$K494&lt;&gt;""),'Atividades Micro'!$K494,"")</f>
        <v/>
      </c>
      <c r="CO442" s="21" t="str">
        <f>IF(AND('Atividades Micro'!$B494=CO$2,'Atividades Micro'!$G494="Micro",'Atividades Micro'!$K494&lt;&gt;""),'Atividades Micro'!$K494,"")</f>
        <v/>
      </c>
    </row>
    <row r="443" spans="1:93">
      <c r="A443" s="21" t="str">
        <f>IF(AND('Atividades Micro'!$A495=A$2,'Atividades Micro'!$K495&lt;&gt;""),'Atividades Micro'!$K495,"")</f>
        <v/>
      </c>
      <c r="B443" s="21" t="str">
        <f>IF(AND('Atividades Micro'!$A495=B$2,'Atividades Micro'!$L495&lt;&gt;""),'Atividades Micro'!$L495,"")</f>
        <v/>
      </c>
      <c r="C443" s="21" t="str">
        <f>IF(AND('Atividades Micro'!$A495=C$2,'Atividades Micro'!$K495&lt;&gt;""),'Atividades Micro'!$K495,"")</f>
        <v/>
      </c>
      <c r="D443" s="21" t="str">
        <f>IF(AND('Atividades Micro'!$A495=D$2,'Atividades Micro'!$L495&lt;&gt;""),'Atividades Micro'!$L495,"")</f>
        <v/>
      </c>
      <c r="E443" s="21" t="str">
        <f>IF(AND('Atividades Micro'!$A495=E$2,'Atividades Micro'!$K495&lt;&gt;""),'Atividades Micro'!$K495,"")</f>
        <v/>
      </c>
      <c r="F443" s="21" t="str">
        <f>IF(AND('Atividades Micro'!$A495=F$2,'Atividades Micro'!$L495&lt;&gt;""),'Atividades Micro'!$L495,"")</f>
        <v/>
      </c>
      <c r="G443" s="21" t="str">
        <f>IF(AND('Atividades Micro'!$A495=G$2,'Atividades Micro'!$K495&lt;&gt;""),'Atividades Micro'!$K495,"")</f>
        <v/>
      </c>
      <c r="H443" s="21" t="str">
        <f>IF(AND('Atividades Micro'!$A495=H$2,'Atividades Micro'!$L495&lt;&gt;""),'Atividades Micro'!$L495,"")</f>
        <v/>
      </c>
      <c r="I443" s="21" t="str">
        <f>IF(AND('Atividades Micro'!$A495=I$2,'Atividades Micro'!$K495&lt;&gt;""),'Atividades Micro'!$K495,"")</f>
        <v/>
      </c>
      <c r="J443" s="21" t="str">
        <f>IF(AND('Atividades Micro'!$A495=J$2,'Atividades Micro'!$L495&lt;&gt;""),'Atividades Micro'!$L495,"")</f>
        <v/>
      </c>
      <c r="K443" s="21" t="str">
        <f>IF(AND('Atividades Micro'!$B495=K$2,'Atividades Micro'!$K495&lt;&gt;""),'Atividades Micro'!$K495,"")</f>
        <v/>
      </c>
      <c r="L443" s="21" t="str">
        <f>IF(AND('Atividades Micro'!$B495=L$2,'Atividades Micro'!$L495&lt;&gt;""),'Atividades Micro'!$L495,"")</f>
        <v/>
      </c>
      <c r="M443" s="21" t="str">
        <f>IF(AND('Atividades Micro'!$B495=M$2,'Atividades Micro'!$K495&lt;&gt;""),'Atividades Micro'!$K495,"")</f>
        <v/>
      </c>
      <c r="N443" s="21" t="str">
        <f>IF(AND('Atividades Micro'!$B495=N$2,'Atividades Micro'!$L495&lt;&gt;""),'Atividades Micro'!$L495,"")</f>
        <v/>
      </c>
      <c r="O443" s="21" t="str">
        <f>IF(AND('Atividades Micro'!$A495=O$2,'Atividades Micro'!$K495&lt;&gt;""),'Atividades Micro'!$K495,"")</f>
        <v/>
      </c>
      <c r="P443" s="21" t="str">
        <f>IF(AND('Atividades Micro'!$A495=P$2,'Atividades Micro'!$L495&lt;&gt;""),'Atividades Micro'!$L495,"")</f>
        <v/>
      </c>
      <c r="Q443" s="21" t="str">
        <f>IF(AND('Atividades Micro'!$B495=Q$2,'Atividades Micro'!$K495&lt;&gt;""),'Atividades Micro'!$K495,"")</f>
        <v/>
      </c>
      <c r="R443" s="21" t="str">
        <f>IF(AND('Atividades Micro'!$B495=R$2,'Atividades Micro'!$L495&lt;&gt;""),'Atividades Micro'!$L495,"")</f>
        <v/>
      </c>
      <c r="S443" s="21" t="str">
        <f>IF(AND('Atividades Micro'!$A495=S$2,'Atividades Micro'!$K495&lt;&gt;""),'Atividades Micro'!$K495,"")</f>
        <v/>
      </c>
      <c r="T443" s="21" t="str">
        <f>IF(AND('Atividades Micro'!$A495=T$2,'Atividades Micro'!$L495&lt;&gt;""),'Atividades Micro'!$L495,"")</f>
        <v/>
      </c>
      <c r="U443" s="21" t="str">
        <f>IF(AND('Atividades Micro'!$B495=U$2,'Atividades Micro'!$K495&lt;&gt;""),'Atividades Micro'!$K495,"")</f>
        <v/>
      </c>
      <c r="V443" s="21" t="str">
        <f>IF(AND('Atividades Micro'!$B495=V$2,'Atividades Micro'!$L495&lt;&gt;""),'Atividades Micro'!$L495,"")</f>
        <v/>
      </c>
      <c r="W443" s="21" t="str">
        <f>IF(AND('Atividades Micro'!$B495=W$2,'Atividades Micro'!$K495&lt;&gt;""),'Atividades Micro'!$K495,"")</f>
        <v/>
      </c>
      <c r="X443" s="21" t="str">
        <f>IF(AND('Atividades Micro'!$B495=X$2,'Atividades Micro'!$L495&lt;&gt;""),'Atividades Micro'!$L495,"")</f>
        <v/>
      </c>
      <c r="Y443" s="21" t="str">
        <f>IF(AND('Atividades Micro'!$A495=Y$2,'Atividades Micro'!$K495&lt;&gt;""),'Atividades Micro'!$K495,"")</f>
        <v/>
      </c>
      <c r="Z443" s="21" t="str">
        <f>IF(AND('Atividades Micro'!$A495=Z$2,'Atividades Micro'!$L495&lt;&gt;""),'Atividades Micro'!$L495,"")</f>
        <v/>
      </c>
      <c r="AA443" s="21" t="str">
        <f>IF(AND('Atividades Micro'!$B495=AA$2,'Atividades Micro'!$K495&lt;&gt;""),'Atividades Micro'!$K495,"")</f>
        <v/>
      </c>
      <c r="AB443" s="21" t="str">
        <f>IF(AND('Atividades Micro'!$B495=AB$2,'Atividades Micro'!$L495&lt;&gt;""),'Atividades Micro'!$L495,"")</f>
        <v/>
      </c>
      <c r="AC443" s="21" t="str">
        <f>IF(AND('Atividades Micro'!$B495=AC$2,'Atividades Micro'!$K495&lt;&gt;""),'Atividades Micro'!$K495,"")</f>
        <v/>
      </c>
      <c r="AD443" s="21" t="str">
        <f>IF(AND('Atividades Micro'!$B495=AD$2,'Atividades Micro'!$L495&lt;&gt;""),'Atividades Micro'!$L495,"")</f>
        <v/>
      </c>
      <c r="AE443" s="21" t="str">
        <f>IF(AND('Atividades Micro'!$A495=AE$2,'Atividades Micro'!$K495&lt;&gt;""),'Atividades Micro'!$K495,"")</f>
        <v/>
      </c>
      <c r="AF443" s="21" t="str">
        <f>IF(AND('Atividades Micro'!$A495=AF$2,'Atividades Micro'!$L495&lt;&gt;""),'Atividades Micro'!$L495,"")</f>
        <v/>
      </c>
      <c r="AG443" s="21" t="str">
        <f>IF(AND('Atividades Micro'!$B495=AG$2,'Atividades Micro'!$K495&lt;&gt;""),'Atividades Micro'!$K495,"")</f>
        <v/>
      </c>
      <c r="AH443" s="21" t="str">
        <f>IF(AND('Atividades Micro'!$B495=AH$2,'Atividades Micro'!$L495&lt;&gt;""),'Atividades Micro'!$L495,"")</f>
        <v/>
      </c>
      <c r="AI443" s="21" t="str">
        <f>IF(AND('Atividades Micro'!$B495=AI$2,'Atividades Micro'!$K495&lt;&gt;""),'Atividades Micro'!$K495,"")</f>
        <v/>
      </c>
      <c r="AJ443" s="21" t="str">
        <f>IF(AND('Atividades Micro'!$B495=AJ$2,'Atividades Micro'!$L495&lt;&gt;""),'Atividades Micro'!$L495,"")</f>
        <v/>
      </c>
      <c r="AK443" s="21" t="str">
        <f>IF(AND('Atividades Micro'!$A495=AK$2,'Atividades Micro'!$K495&lt;&gt;""),'Atividades Micro'!$K495,"")</f>
        <v/>
      </c>
      <c r="AL443" s="21" t="str">
        <f>IF(AND('Atividades Micro'!$A495=AL$2,'Atividades Micro'!$L495&lt;&gt;""),'Atividades Micro'!$L495,"")</f>
        <v/>
      </c>
      <c r="AM443" s="21" t="str">
        <f>IF(AND('Atividades Micro'!$B495=AM$2,'Atividades Micro'!$K495&lt;&gt;""),'Atividades Micro'!$K495,"")</f>
        <v/>
      </c>
      <c r="AN443" s="21" t="str">
        <f>IF(AND('Atividades Micro'!$B495=AN$2,'Atividades Micro'!$L495&lt;&gt;""),'Atividades Micro'!$L495,"")</f>
        <v/>
      </c>
      <c r="AO443" s="21" t="str">
        <f>IF(AND('Atividades Micro'!$B495=AO$2,'Atividades Micro'!$K495&lt;&gt;""),'Atividades Micro'!$K495,"")</f>
        <v/>
      </c>
      <c r="AP443" s="21" t="str">
        <f>IF(AND('Atividades Micro'!$B495=AP$2,'Atividades Micro'!$L495&lt;&gt;""),'Atividades Micro'!$L495,"")</f>
        <v/>
      </c>
      <c r="AQ443" s="21" t="str">
        <f>IF(AND('Atividades Micro'!$A495=AQ$2,'Atividades Micro'!$K495&lt;&gt;""),'Atividades Micro'!$K495,"")</f>
        <v/>
      </c>
      <c r="AR443" s="21" t="str">
        <f>IF(AND('Atividades Micro'!$A495=AR$2,'Atividades Micro'!$L495&lt;&gt;""),'Atividades Micro'!$L495,"")</f>
        <v/>
      </c>
      <c r="AS443" s="21" t="str">
        <f>IF(AND('Atividades Micro'!$B495=AS$2,'Atividades Micro'!$K495&lt;&gt;""),'Atividades Micro'!$K495,"")</f>
        <v/>
      </c>
      <c r="AT443" s="21" t="str">
        <f>IF(AND('Atividades Micro'!$B495=AT$2,'Atividades Micro'!$L495&lt;&gt;""),'Atividades Micro'!$L495,"")</f>
        <v/>
      </c>
      <c r="AU443" s="21" t="str">
        <f>IF(AND('Atividades Micro'!$A495=AU$2,'Atividades Micro'!$K495&lt;&gt;""),'Atividades Micro'!$K495,"")</f>
        <v/>
      </c>
      <c r="AV443" s="21" t="str">
        <f>IF(AND('Atividades Micro'!$A495=AV$2,'Atividades Micro'!$L495&lt;&gt;""),'Atividades Micro'!$L495,"")</f>
        <v/>
      </c>
      <c r="AW443" s="21" t="str">
        <f>IF(AND('Atividades Micro'!$B495=AW$2,'Atividades Micro'!$K495&lt;&gt;""),'Atividades Micro'!$K495,"")</f>
        <v/>
      </c>
      <c r="AX443" s="21" t="str">
        <f>IF(AND('Atividades Micro'!$B495=AX$2,'Atividades Micro'!$L495&lt;&gt;""),'Atividades Micro'!$L495,"")</f>
        <v/>
      </c>
      <c r="AY443" s="21" t="str">
        <f>IF(AND('Atividades Micro'!$A495=AY$2,'Atividades Micro'!$K495&lt;&gt;""),'Atividades Micro'!$K495,"")</f>
        <v/>
      </c>
      <c r="AZ443" s="21" t="str">
        <f>IF(AND('Atividades Micro'!$A495=AZ$2,'Atividades Micro'!$L495&lt;&gt;""),'Atividades Micro'!$L495,"")</f>
        <v/>
      </c>
      <c r="BA443" s="21" t="str">
        <f>IF(AND('Atividades Micro'!$B495=BA$2,'Atividades Micro'!$K495&lt;&gt;""),'Atividades Micro'!$K495,"")</f>
        <v/>
      </c>
      <c r="BB443" s="21" t="str">
        <f>IF(AND('Atividades Micro'!$B495=BB$2,'Atividades Micro'!$L495&lt;&gt;""),'Atividades Micro'!$L495,"")</f>
        <v/>
      </c>
      <c r="BC443" s="21" t="str">
        <f>IF(AND('Atividades Micro'!$B495=BC$2,'Atividades Micro'!$G495="Macro",'Atividades Micro'!$K495&lt;&gt;""),'Atividades Micro'!$K495,"")</f>
        <v/>
      </c>
      <c r="BD443" s="21" t="str">
        <f>IF(AND('Atividades Micro'!$B495=BD$2,'Atividades Micro'!$G495="Macro",'Atividades Micro'!$K495&lt;&gt;""),'Atividades Micro'!$K495,"")</f>
        <v/>
      </c>
      <c r="BE443" s="21" t="str">
        <f>IF(AND('Atividades Micro'!$B495=BE$2,'Atividades Micro'!$G495="Macro",'Atividades Micro'!$K495&lt;&gt;""),'Atividades Micro'!$K495,"")</f>
        <v/>
      </c>
      <c r="BF443" s="21" t="str">
        <f>IF(AND('Atividades Micro'!$B495=BF$2,'Atividades Micro'!$G495="Macro",'Atividades Micro'!$K495&lt;&gt;""),'Atividades Micro'!$K495,"")</f>
        <v/>
      </c>
      <c r="BG443" s="21" t="str">
        <f>IF(AND('Atividades Micro'!$B495=BG$2,'Atividades Micro'!$G495="Macro",'Atividades Micro'!$K495&lt;&gt;""),'Atividades Micro'!$K495,"")</f>
        <v/>
      </c>
      <c r="BH443" s="21" t="str">
        <f>IF(AND('Atividades Micro'!$B495=BH$2,'Atividades Micro'!$G495="Macro",'Atividades Micro'!$K495&lt;&gt;""),'Atividades Micro'!$K495,"")</f>
        <v/>
      </c>
      <c r="BI443" s="21" t="str">
        <f>IF(AND('Atividades Micro'!$B495=BI$2,'Atividades Micro'!$G495="Macro",'Atividades Micro'!$K495&lt;&gt;""),'Atividades Micro'!$K495,"")</f>
        <v/>
      </c>
      <c r="BJ443" s="21" t="str">
        <f>IF(AND('Atividades Micro'!$B495=BJ$2,'Atividades Micro'!$G495="Macro",'Atividades Micro'!$K495&lt;&gt;""),'Atividades Micro'!$K495,"")</f>
        <v/>
      </c>
      <c r="BK443" s="21" t="str">
        <f>IF(AND('Atividades Micro'!$B495=BK$2,'Atividades Micro'!$G495="Macro",'Atividades Micro'!$K495&lt;&gt;""),'Atividades Micro'!$K495,"")</f>
        <v/>
      </c>
      <c r="BL443" s="21" t="str">
        <f>IF(AND('Atividades Micro'!$B495=BL$2,'Atividades Micro'!$G495="Macro",'Atividades Micro'!$K495&lt;&gt;""),'Atividades Micro'!$K495,"")</f>
        <v/>
      </c>
      <c r="BM443" s="21" t="str">
        <f>IF(AND('Atividades Micro'!$B495=BM$2,'Atividades Micro'!$G495="Macro",'Atividades Micro'!$K495&lt;&gt;""),'Atividades Micro'!$K495,"")</f>
        <v/>
      </c>
      <c r="BN443" s="21" t="str">
        <f>IF(AND('Atividades Micro'!$B495=BN$2,'Atividades Micro'!$G495="Macro",'Atividades Micro'!$K495&lt;&gt;""),'Atividades Micro'!$K495,"")</f>
        <v/>
      </c>
      <c r="BO443" s="21" t="str">
        <f>IF(AND('Atividades Micro'!$B495=BO$2,'Atividades Micro'!$G495="Macro",'Atividades Micro'!$K495&lt;&gt;""),'Atividades Micro'!$K495,"")</f>
        <v/>
      </c>
      <c r="BP443" s="21" t="str">
        <f>IF(AND('Atividades Micro'!$B495=BP$2,'Atividades Micro'!$G495="Macro",'Atividades Micro'!$K495&lt;&gt;""),'Atividades Micro'!$K495,"")</f>
        <v/>
      </c>
      <c r="BQ443" s="21" t="str">
        <f>IF(AND('Atividades Micro'!$B495=BQ$2,'Atividades Micro'!$G495="Macro",'Atividades Micro'!$K495&lt;&gt;""),'Atividades Micro'!$K495,"")</f>
        <v/>
      </c>
      <c r="BR443" s="21" t="str">
        <f>IF(AND('Atividades Micro'!$B495=BR$2,'Atividades Micro'!$G495="Macro",'Atividades Micro'!$K495&lt;&gt;""),'Atividades Micro'!$K495,"")</f>
        <v/>
      </c>
      <c r="BS443" s="21" t="str">
        <f>IF(AND('Atividades Micro'!$B495=BS$2,'Atividades Micro'!$G495="Macro",'Atividades Micro'!$K495&lt;&gt;""),'Atividades Micro'!$K495,"")</f>
        <v/>
      </c>
      <c r="BT443" s="21" t="str">
        <f>IF(AND('Atividades Micro'!$B495=BT$2,'Atividades Micro'!$G495="Macro",'Atividades Micro'!$K495&lt;&gt;""),'Atividades Micro'!$K495,"")</f>
        <v/>
      </c>
      <c r="BU443" s="21" t="str">
        <f>IF(AND('Atividades Micro'!$B495=BU$2,'Atividades Micro'!$G495="Macro",'Atividades Micro'!$K495&lt;&gt;""),'Atividades Micro'!$K495,"")</f>
        <v/>
      </c>
      <c r="BV443" s="21" t="str">
        <f>IF(AND('Atividades Micro'!$B495=BV$2,'Atividades Micro'!$G495="Macro",'Atividades Micro'!$K495&lt;&gt;""),'Atividades Micro'!$K495,"")</f>
        <v/>
      </c>
      <c r="BW443" s="21" t="str">
        <f>IF(AND('Atividades Micro'!$B495=BW$2,'Atividades Micro'!$G495="Macro",'Atividades Micro'!$K495&lt;&gt;""),'Atividades Micro'!$K495,"")</f>
        <v/>
      </c>
      <c r="BX443" s="21" t="str">
        <f>IF(AND('Atividades Micro'!$B495=BX$2,'Atividades Micro'!$G495="Macro",'Atividades Micro'!$K495&lt;&gt;""),'Atividades Micro'!$K495,"")</f>
        <v/>
      </c>
      <c r="BY443" s="21" t="str">
        <f>IF(AND('Atividades Micro'!$B495=BY$2,'Atividades Micro'!$G495="Macro",'Atividades Micro'!$K495&lt;&gt;""),'Atividades Micro'!$K495,"")</f>
        <v/>
      </c>
      <c r="BZ443" s="21" t="str">
        <f>IF(AND('Atividades Micro'!$B495=BZ$2,'Atividades Micro'!$G495="Macro",'Atividades Micro'!$K495&lt;&gt;""),'Atividades Micro'!$K495,"")</f>
        <v/>
      </c>
      <c r="CA443" s="21" t="str">
        <f>IF(AND('Atividades Micro'!$B495=CA$2,'Atividades Micro'!$G495="Macro",'Atividades Micro'!$K495&lt;&gt;""),'Atividades Micro'!$K495,"")</f>
        <v/>
      </c>
      <c r="CB443" s="21" t="str">
        <f>IF(AND('Atividades Micro'!$B495=CB$2,'Atividades Micro'!$G495="Macro",'Atividades Micro'!$K495&lt;&gt;""),'Atividades Micro'!$K495,"")</f>
        <v/>
      </c>
      <c r="CC443" s="21" t="str">
        <f>IF(AND('Atividades Micro'!$B495=CC$2,'Atividades Micro'!$G495="Macro",'Atividades Micro'!$K495&lt;&gt;""),'Atividades Micro'!$K495,"")</f>
        <v/>
      </c>
      <c r="CD443" s="21" t="str">
        <f>IF(AND('Atividades Micro'!$B495=CD$2,'Atividades Micro'!$G495="Micro",'Atividades Micro'!$K495&lt;&gt;""),'Atividades Micro'!$K495,"")</f>
        <v/>
      </c>
      <c r="CE443" s="21" t="str">
        <f>IF(AND('Atividades Micro'!$B495=CE$2,'Atividades Micro'!$G495="Micro",'Atividades Micro'!$K495&lt;&gt;""),'Atividades Micro'!$K495,"")</f>
        <v/>
      </c>
      <c r="CF443" s="21" t="str">
        <f>IF(AND('Atividades Micro'!$B495=CF$2,'Atividades Micro'!$G495="Micro",'Atividades Micro'!$K495&lt;&gt;""),'Atividades Micro'!$K495,"")</f>
        <v/>
      </c>
      <c r="CG443" s="21" t="str">
        <f>IF(AND('Atividades Micro'!$B495=CG$2,'Atividades Micro'!$G495="Micro",'Atividades Micro'!$K495&lt;&gt;""),'Atividades Micro'!$K495,"")</f>
        <v/>
      </c>
      <c r="CH443" s="21" t="str">
        <f>IF(AND('Atividades Micro'!$B495=CH$2,'Atividades Micro'!$G495="Micro",'Atividades Micro'!$K495&lt;&gt;""),'Atividades Micro'!$K495,"")</f>
        <v/>
      </c>
      <c r="CI443" s="21" t="str">
        <f>IF(AND('Atividades Micro'!$B495=CI$2,'Atividades Micro'!$G495="Micro",'Atividades Micro'!$K495&lt;&gt;""),'Atividades Micro'!$K495,"")</f>
        <v/>
      </c>
      <c r="CJ443" s="21" t="str">
        <f>IF(AND('Atividades Micro'!$B495=CJ$2,'Atividades Micro'!$G495="Micro",'Atividades Micro'!$K495&lt;&gt;""),'Atividades Micro'!$K495,"")</f>
        <v/>
      </c>
      <c r="CK443" s="21" t="str">
        <f>IF(AND('Atividades Micro'!$B495=CK$2,'Atividades Micro'!$G495="Micro",'Atividades Micro'!$K495&lt;&gt;""),'Atividades Micro'!$K495,"")</f>
        <v/>
      </c>
      <c r="CL443" s="21" t="str">
        <f>IF(AND('Atividades Micro'!$B495=CL$2,'Atividades Micro'!$G495="Micro",'Atividades Micro'!$K495&lt;&gt;""),'Atividades Micro'!$K495,"")</f>
        <v/>
      </c>
      <c r="CM443" s="21" t="str">
        <f>IF(AND('Atividades Micro'!$B495=CM$2,'Atividades Micro'!$G495="Micro",'Atividades Micro'!$K495&lt;&gt;""),'Atividades Micro'!$K495,"")</f>
        <v/>
      </c>
      <c r="CN443" s="21" t="str">
        <f>IF(AND('Atividades Micro'!$B495=CN$2,'Atividades Micro'!$G495="Micro",'Atividades Micro'!$K495&lt;&gt;""),'Atividades Micro'!$K495,"")</f>
        <v/>
      </c>
      <c r="CO443" s="21" t="str">
        <f>IF(AND('Atividades Micro'!$B495=CO$2,'Atividades Micro'!$G495="Micro",'Atividades Micro'!$K495&lt;&gt;""),'Atividades Micro'!$K495,"")</f>
        <v/>
      </c>
    </row>
    <row r="444" spans="1:93">
      <c r="A444" s="21" t="str">
        <f>IF(AND('Atividades Micro'!$A496=A$2,'Atividades Micro'!$K496&lt;&gt;""),'Atividades Micro'!$K496,"")</f>
        <v/>
      </c>
      <c r="B444" s="21" t="str">
        <f>IF(AND('Atividades Micro'!$A496=B$2,'Atividades Micro'!$L496&lt;&gt;""),'Atividades Micro'!$L496,"")</f>
        <v/>
      </c>
      <c r="C444" s="21" t="str">
        <f>IF(AND('Atividades Micro'!$A496=C$2,'Atividades Micro'!$K496&lt;&gt;""),'Atividades Micro'!$K496,"")</f>
        <v/>
      </c>
      <c r="D444" s="21" t="str">
        <f>IF(AND('Atividades Micro'!$A496=D$2,'Atividades Micro'!$L496&lt;&gt;""),'Atividades Micro'!$L496,"")</f>
        <v/>
      </c>
      <c r="E444" s="21" t="str">
        <f>IF(AND('Atividades Micro'!$A496=E$2,'Atividades Micro'!$K496&lt;&gt;""),'Atividades Micro'!$K496,"")</f>
        <v/>
      </c>
      <c r="F444" s="21" t="str">
        <f>IF(AND('Atividades Micro'!$A496=F$2,'Atividades Micro'!$L496&lt;&gt;""),'Atividades Micro'!$L496,"")</f>
        <v/>
      </c>
      <c r="G444" s="21" t="str">
        <f>IF(AND('Atividades Micro'!$A496=G$2,'Atividades Micro'!$K496&lt;&gt;""),'Atividades Micro'!$K496,"")</f>
        <v/>
      </c>
      <c r="H444" s="21" t="str">
        <f>IF(AND('Atividades Micro'!$A496=H$2,'Atividades Micro'!$L496&lt;&gt;""),'Atividades Micro'!$L496,"")</f>
        <v/>
      </c>
      <c r="I444" s="21" t="str">
        <f>IF(AND('Atividades Micro'!$A496=I$2,'Atividades Micro'!$K496&lt;&gt;""),'Atividades Micro'!$K496,"")</f>
        <v/>
      </c>
      <c r="J444" s="21" t="str">
        <f>IF(AND('Atividades Micro'!$A496=J$2,'Atividades Micro'!$L496&lt;&gt;""),'Atividades Micro'!$L496,"")</f>
        <v/>
      </c>
      <c r="K444" s="21" t="str">
        <f>IF(AND('Atividades Micro'!$B496=K$2,'Atividades Micro'!$K496&lt;&gt;""),'Atividades Micro'!$K496,"")</f>
        <v/>
      </c>
      <c r="L444" s="21" t="str">
        <f>IF(AND('Atividades Micro'!$B496=L$2,'Atividades Micro'!$L496&lt;&gt;""),'Atividades Micro'!$L496,"")</f>
        <v/>
      </c>
      <c r="M444" s="21" t="str">
        <f>IF(AND('Atividades Micro'!$B496=M$2,'Atividades Micro'!$K496&lt;&gt;""),'Atividades Micro'!$K496,"")</f>
        <v/>
      </c>
      <c r="N444" s="21" t="str">
        <f>IF(AND('Atividades Micro'!$B496=N$2,'Atividades Micro'!$L496&lt;&gt;""),'Atividades Micro'!$L496,"")</f>
        <v/>
      </c>
      <c r="O444" s="21" t="str">
        <f>IF(AND('Atividades Micro'!$A496=O$2,'Atividades Micro'!$K496&lt;&gt;""),'Atividades Micro'!$K496,"")</f>
        <v/>
      </c>
      <c r="P444" s="21" t="str">
        <f>IF(AND('Atividades Micro'!$A496=P$2,'Atividades Micro'!$L496&lt;&gt;""),'Atividades Micro'!$L496,"")</f>
        <v/>
      </c>
      <c r="Q444" s="21" t="str">
        <f>IF(AND('Atividades Micro'!$B496=Q$2,'Atividades Micro'!$K496&lt;&gt;""),'Atividades Micro'!$K496,"")</f>
        <v/>
      </c>
      <c r="R444" s="21" t="str">
        <f>IF(AND('Atividades Micro'!$B496=R$2,'Atividades Micro'!$L496&lt;&gt;""),'Atividades Micro'!$L496,"")</f>
        <v/>
      </c>
      <c r="S444" s="21" t="str">
        <f>IF(AND('Atividades Micro'!$A496=S$2,'Atividades Micro'!$K496&lt;&gt;""),'Atividades Micro'!$K496,"")</f>
        <v/>
      </c>
      <c r="T444" s="21" t="str">
        <f>IF(AND('Atividades Micro'!$A496=T$2,'Atividades Micro'!$L496&lt;&gt;""),'Atividades Micro'!$L496,"")</f>
        <v/>
      </c>
      <c r="U444" s="21" t="str">
        <f>IF(AND('Atividades Micro'!$B496=U$2,'Atividades Micro'!$K496&lt;&gt;""),'Atividades Micro'!$K496,"")</f>
        <v/>
      </c>
      <c r="V444" s="21" t="str">
        <f>IF(AND('Atividades Micro'!$B496=V$2,'Atividades Micro'!$L496&lt;&gt;""),'Atividades Micro'!$L496,"")</f>
        <v/>
      </c>
      <c r="W444" s="21" t="str">
        <f>IF(AND('Atividades Micro'!$B496=W$2,'Atividades Micro'!$K496&lt;&gt;""),'Atividades Micro'!$K496,"")</f>
        <v/>
      </c>
      <c r="X444" s="21" t="str">
        <f>IF(AND('Atividades Micro'!$B496=X$2,'Atividades Micro'!$L496&lt;&gt;""),'Atividades Micro'!$L496,"")</f>
        <v/>
      </c>
      <c r="Y444" s="21" t="str">
        <f>IF(AND('Atividades Micro'!$A496=Y$2,'Atividades Micro'!$K496&lt;&gt;""),'Atividades Micro'!$K496,"")</f>
        <v/>
      </c>
      <c r="Z444" s="21" t="str">
        <f>IF(AND('Atividades Micro'!$A496=Z$2,'Atividades Micro'!$L496&lt;&gt;""),'Atividades Micro'!$L496,"")</f>
        <v/>
      </c>
      <c r="AA444" s="21" t="str">
        <f>IF(AND('Atividades Micro'!$B496=AA$2,'Atividades Micro'!$K496&lt;&gt;""),'Atividades Micro'!$K496,"")</f>
        <v/>
      </c>
      <c r="AB444" s="21" t="str">
        <f>IF(AND('Atividades Micro'!$B496=AB$2,'Atividades Micro'!$L496&lt;&gt;""),'Atividades Micro'!$L496,"")</f>
        <v/>
      </c>
      <c r="AC444" s="21" t="str">
        <f>IF(AND('Atividades Micro'!$B496=AC$2,'Atividades Micro'!$K496&lt;&gt;""),'Atividades Micro'!$K496,"")</f>
        <v/>
      </c>
      <c r="AD444" s="21" t="str">
        <f>IF(AND('Atividades Micro'!$B496=AD$2,'Atividades Micro'!$L496&lt;&gt;""),'Atividades Micro'!$L496,"")</f>
        <v/>
      </c>
      <c r="AE444" s="21" t="str">
        <f>IF(AND('Atividades Micro'!$A496=AE$2,'Atividades Micro'!$K496&lt;&gt;""),'Atividades Micro'!$K496,"")</f>
        <v/>
      </c>
      <c r="AF444" s="21" t="str">
        <f>IF(AND('Atividades Micro'!$A496=AF$2,'Atividades Micro'!$L496&lt;&gt;""),'Atividades Micro'!$L496,"")</f>
        <v/>
      </c>
      <c r="AG444" s="21" t="str">
        <f>IF(AND('Atividades Micro'!$B496=AG$2,'Atividades Micro'!$K496&lt;&gt;""),'Atividades Micro'!$K496,"")</f>
        <v/>
      </c>
      <c r="AH444" s="21" t="str">
        <f>IF(AND('Atividades Micro'!$B496=AH$2,'Atividades Micro'!$L496&lt;&gt;""),'Atividades Micro'!$L496,"")</f>
        <v/>
      </c>
      <c r="AI444" s="21" t="str">
        <f>IF(AND('Atividades Micro'!$B496=AI$2,'Atividades Micro'!$K496&lt;&gt;""),'Atividades Micro'!$K496,"")</f>
        <v/>
      </c>
      <c r="AJ444" s="21" t="str">
        <f>IF(AND('Atividades Micro'!$B496=AJ$2,'Atividades Micro'!$L496&lt;&gt;""),'Atividades Micro'!$L496,"")</f>
        <v/>
      </c>
      <c r="AK444" s="21" t="str">
        <f>IF(AND('Atividades Micro'!$A496=AK$2,'Atividades Micro'!$K496&lt;&gt;""),'Atividades Micro'!$K496,"")</f>
        <v/>
      </c>
      <c r="AL444" s="21" t="str">
        <f>IF(AND('Atividades Micro'!$A496=AL$2,'Atividades Micro'!$L496&lt;&gt;""),'Atividades Micro'!$L496,"")</f>
        <v/>
      </c>
      <c r="AM444" s="21" t="str">
        <f>IF(AND('Atividades Micro'!$B496=AM$2,'Atividades Micro'!$K496&lt;&gt;""),'Atividades Micro'!$K496,"")</f>
        <v/>
      </c>
      <c r="AN444" s="21" t="str">
        <f>IF(AND('Atividades Micro'!$B496=AN$2,'Atividades Micro'!$L496&lt;&gt;""),'Atividades Micro'!$L496,"")</f>
        <v/>
      </c>
      <c r="AO444" s="21" t="str">
        <f>IF(AND('Atividades Micro'!$B496=AO$2,'Atividades Micro'!$K496&lt;&gt;""),'Atividades Micro'!$K496,"")</f>
        <v/>
      </c>
      <c r="AP444" s="21" t="str">
        <f>IF(AND('Atividades Micro'!$B496=AP$2,'Atividades Micro'!$L496&lt;&gt;""),'Atividades Micro'!$L496,"")</f>
        <v/>
      </c>
      <c r="AQ444" s="21" t="str">
        <f>IF(AND('Atividades Micro'!$A496=AQ$2,'Atividades Micro'!$K496&lt;&gt;""),'Atividades Micro'!$K496,"")</f>
        <v/>
      </c>
      <c r="AR444" s="21" t="str">
        <f>IF(AND('Atividades Micro'!$A496=AR$2,'Atividades Micro'!$L496&lt;&gt;""),'Atividades Micro'!$L496,"")</f>
        <v/>
      </c>
      <c r="AS444" s="21" t="str">
        <f>IF(AND('Atividades Micro'!$B496=AS$2,'Atividades Micro'!$K496&lt;&gt;""),'Atividades Micro'!$K496,"")</f>
        <v/>
      </c>
      <c r="AT444" s="21" t="str">
        <f>IF(AND('Atividades Micro'!$B496=AT$2,'Atividades Micro'!$L496&lt;&gt;""),'Atividades Micro'!$L496,"")</f>
        <v/>
      </c>
      <c r="AU444" s="21" t="str">
        <f>IF(AND('Atividades Micro'!$A496=AU$2,'Atividades Micro'!$K496&lt;&gt;""),'Atividades Micro'!$K496,"")</f>
        <v/>
      </c>
      <c r="AV444" s="21" t="str">
        <f>IF(AND('Atividades Micro'!$A496=AV$2,'Atividades Micro'!$L496&lt;&gt;""),'Atividades Micro'!$L496,"")</f>
        <v/>
      </c>
      <c r="AW444" s="21" t="str">
        <f>IF(AND('Atividades Micro'!$B496=AW$2,'Atividades Micro'!$K496&lt;&gt;""),'Atividades Micro'!$K496,"")</f>
        <v/>
      </c>
      <c r="AX444" s="21" t="str">
        <f>IF(AND('Atividades Micro'!$B496=AX$2,'Atividades Micro'!$L496&lt;&gt;""),'Atividades Micro'!$L496,"")</f>
        <v/>
      </c>
      <c r="AY444" s="21" t="str">
        <f>IF(AND('Atividades Micro'!$A496=AY$2,'Atividades Micro'!$K496&lt;&gt;""),'Atividades Micro'!$K496,"")</f>
        <v/>
      </c>
      <c r="AZ444" s="21" t="str">
        <f>IF(AND('Atividades Micro'!$A496=AZ$2,'Atividades Micro'!$L496&lt;&gt;""),'Atividades Micro'!$L496,"")</f>
        <v/>
      </c>
      <c r="BA444" s="21" t="str">
        <f>IF(AND('Atividades Micro'!$B496=BA$2,'Atividades Micro'!$K496&lt;&gt;""),'Atividades Micro'!$K496,"")</f>
        <v/>
      </c>
      <c r="BB444" s="21" t="str">
        <f>IF(AND('Atividades Micro'!$B496=BB$2,'Atividades Micro'!$L496&lt;&gt;""),'Atividades Micro'!$L496,"")</f>
        <v/>
      </c>
      <c r="BC444" s="21" t="str">
        <f>IF(AND('Atividades Micro'!$B496=BC$2,'Atividades Micro'!$G496="Macro",'Atividades Micro'!$K496&lt;&gt;""),'Atividades Micro'!$K496,"")</f>
        <v/>
      </c>
      <c r="BD444" s="21" t="str">
        <f>IF(AND('Atividades Micro'!$B496=BD$2,'Atividades Micro'!$G496="Macro",'Atividades Micro'!$K496&lt;&gt;""),'Atividades Micro'!$K496,"")</f>
        <v/>
      </c>
      <c r="BE444" s="21" t="str">
        <f>IF(AND('Atividades Micro'!$B496=BE$2,'Atividades Micro'!$G496="Macro",'Atividades Micro'!$K496&lt;&gt;""),'Atividades Micro'!$K496,"")</f>
        <v/>
      </c>
      <c r="BF444" s="21" t="str">
        <f>IF(AND('Atividades Micro'!$B496=BF$2,'Atividades Micro'!$G496="Macro",'Atividades Micro'!$K496&lt;&gt;""),'Atividades Micro'!$K496,"")</f>
        <v/>
      </c>
      <c r="BG444" s="21" t="str">
        <f>IF(AND('Atividades Micro'!$B496=BG$2,'Atividades Micro'!$G496="Macro",'Atividades Micro'!$K496&lt;&gt;""),'Atividades Micro'!$K496,"")</f>
        <v/>
      </c>
      <c r="BH444" s="21" t="str">
        <f>IF(AND('Atividades Micro'!$B496=BH$2,'Atividades Micro'!$G496="Macro",'Atividades Micro'!$K496&lt;&gt;""),'Atividades Micro'!$K496,"")</f>
        <v/>
      </c>
      <c r="BI444" s="21" t="str">
        <f>IF(AND('Atividades Micro'!$B496=BI$2,'Atividades Micro'!$G496="Macro",'Atividades Micro'!$K496&lt;&gt;""),'Atividades Micro'!$K496,"")</f>
        <v/>
      </c>
      <c r="BJ444" s="21" t="str">
        <f>IF(AND('Atividades Micro'!$B496=BJ$2,'Atividades Micro'!$G496="Macro",'Atividades Micro'!$K496&lt;&gt;""),'Atividades Micro'!$K496,"")</f>
        <v/>
      </c>
      <c r="BK444" s="21" t="str">
        <f>IF(AND('Atividades Micro'!$B496=BK$2,'Atividades Micro'!$G496="Macro",'Atividades Micro'!$K496&lt;&gt;""),'Atividades Micro'!$K496,"")</f>
        <v/>
      </c>
      <c r="BL444" s="21" t="str">
        <f>IF(AND('Atividades Micro'!$B496=BL$2,'Atividades Micro'!$G496="Macro",'Atividades Micro'!$K496&lt;&gt;""),'Atividades Micro'!$K496,"")</f>
        <v/>
      </c>
      <c r="BM444" s="21" t="str">
        <f>IF(AND('Atividades Micro'!$B496=BM$2,'Atividades Micro'!$G496="Macro",'Atividades Micro'!$K496&lt;&gt;""),'Atividades Micro'!$K496,"")</f>
        <v/>
      </c>
      <c r="BN444" s="21" t="str">
        <f>IF(AND('Atividades Micro'!$B496=BN$2,'Atividades Micro'!$G496="Macro",'Atividades Micro'!$K496&lt;&gt;""),'Atividades Micro'!$K496,"")</f>
        <v/>
      </c>
      <c r="BO444" s="21" t="str">
        <f>IF(AND('Atividades Micro'!$B496=BO$2,'Atividades Micro'!$G496="Macro",'Atividades Micro'!$K496&lt;&gt;""),'Atividades Micro'!$K496,"")</f>
        <v/>
      </c>
      <c r="BP444" s="21" t="str">
        <f>IF(AND('Atividades Micro'!$B496=BP$2,'Atividades Micro'!$G496="Macro",'Atividades Micro'!$K496&lt;&gt;""),'Atividades Micro'!$K496,"")</f>
        <v/>
      </c>
      <c r="BQ444" s="21" t="str">
        <f>IF(AND('Atividades Micro'!$B496=BQ$2,'Atividades Micro'!$G496="Macro",'Atividades Micro'!$K496&lt;&gt;""),'Atividades Micro'!$K496,"")</f>
        <v/>
      </c>
      <c r="BR444" s="21" t="str">
        <f>IF(AND('Atividades Micro'!$B496=BR$2,'Atividades Micro'!$G496="Macro",'Atividades Micro'!$K496&lt;&gt;""),'Atividades Micro'!$K496,"")</f>
        <v/>
      </c>
      <c r="BS444" s="21" t="str">
        <f>IF(AND('Atividades Micro'!$B496=BS$2,'Atividades Micro'!$G496="Macro",'Atividades Micro'!$K496&lt;&gt;""),'Atividades Micro'!$K496,"")</f>
        <v/>
      </c>
      <c r="BT444" s="21" t="str">
        <f>IF(AND('Atividades Micro'!$B496=BT$2,'Atividades Micro'!$G496="Macro",'Atividades Micro'!$K496&lt;&gt;""),'Atividades Micro'!$K496,"")</f>
        <v/>
      </c>
      <c r="BU444" s="21" t="str">
        <f>IF(AND('Atividades Micro'!$B496=BU$2,'Atividades Micro'!$G496="Macro",'Atividades Micro'!$K496&lt;&gt;""),'Atividades Micro'!$K496,"")</f>
        <v/>
      </c>
      <c r="BV444" s="21" t="str">
        <f>IF(AND('Atividades Micro'!$B496=BV$2,'Atividades Micro'!$G496="Macro",'Atividades Micro'!$K496&lt;&gt;""),'Atividades Micro'!$K496,"")</f>
        <v/>
      </c>
      <c r="BW444" s="21" t="str">
        <f>IF(AND('Atividades Micro'!$B496=BW$2,'Atividades Micro'!$G496="Macro",'Atividades Micro'!$K496&lt;&gt;""),'Atividades Micro'!$K496,"")</f>
        <v/>
      </c>
      <c r="BX444" s="21" t="str">
        <f>IF(AND('Atividades Micro'!$B496=BX$2,'Atividades Micro'!$G496="Macro",'Atividades Micro'!$K496&lt;&gt;""),'Atividades Micro'!$K496,"")</f>
        <v/>
      </c>
      <c r="BY444" s="21" t="str">
        <f>IF(AND('Atividades Micro'!$B496=BY$2,'Atividades Micro'!$G496="Macro",'Atividades Micro'!$K496&lt;&gt;""),'Atividades Micro'!$K496,"")</f>
        <v/>
      </c>
      <c r="BZ444" s="21" t="str">
        <f>IF(AND('Atividades Micro'!$B496=BZ$2,'Atividades Micro'!$G496="Macro",'Atividades Micro'!$K496&lt;&gt;""),'Atividades Micro'!$K496,"")</f>
        <v/>
      </c>
      <c r="CA444" s="21" t="str">
        <f>IF(AND('Atividades Micro'!$B496=CA$2,'Atividades Micro'!$G496="Macro",'Atividades Micro'!$K496&lt;&gt;""),'Atividades Micro'!$K496,"")</f>
        <v/>
      </c>
      <c r="CB444" s="21" t="str">
        <f>IF(AND('Atividades Micro'!$B496=CB$2,'Atividades Micro'!$G496="Macro",'Atividades Micro'!$K496&lt;&gt;""),'Atividades Micro'!$K496,"")</f>
        <v/>
      </c>
      <c r="CC444" s="21" t="str">
        <f>IF(AND('Atividades Micro'!$B496=CC$2,'Atividades Micro'!$G496="Macro",'Atividades Micro'!$K496&lt;&gt;""),'Atividades Micro'!$K496,"")</f>
        <v/>
      </c>
      <c r="CD444" s="21" t="str">
        <f>IF(AND('Atividades Micro'!$B496=CD$2,'Atividades Micro'!$G496="Micro",'Atividades Micro'!$K496&lt;&gt;""),'Atividades Micro'!$K496,"")</f>
        <v/>
      </c>
      <c r="CE444" s="21" t="str">
        <f>IF(AND('Atividades Micro'!$B496=CE$2,'Atividades Micro'!$G496="Micro",'Atividades Micro'!$K496&lt;&gt;""),'Atividades Micro'!$K496,"")</f>
        <v/>
      </c>
      <c r="CF444" s="21" t="str">
        <f>IF(AND('Atividades Micro'!$B496=CF$2,'Atividades Micro'!$G496="Micro",'Atividades Micro'!$K496&lt;&gt;""),'Atividades Micro'!$K496,"")</f>
        <v/>
      </c>
      <c r="CG444" s="21" t="str">
        <f>IF(AND('Atividades Micro'!$B496=CG$2,'Atividades Micro'!$G496="Micro",'Atividades Micro'!$K496&lt;&gt;""),'Atividades Micro'!$K496,"")</f>
        <v/>
      </c>
      <c r="CH444" s="21" t="str">
        <f>IF(AND('Atividades Micro'!$B496=CH$2,'Atividades Micro'!$G496="Micro",'Atividades Micro'!$K496&lt;&gt;""),'Atividades Micro'!$K496,"")</f>
        <v/>
      </c>
      <c r="CI444" s="21" t="str">
        <f>IF(AND('Atividades Micro'!$B496=CI$2,'Atividades Micro'!$G496="Micro",'Atividades Micro'!$K496&lt;&gt;""),'Atividades Micro'!$K496,"")</f>
        <v/>
      </c>
      <c r="CJ444" s="21" t="str">
        <f>IF(AND('Atividades Micro'!$B496=CJ$2,'Atividades Micro'!$G496="Micro",'Atividades Micro'!$K496&lt;&gt;""),'Atividades Micro'!$K496,"")</f>
        <v/>
      </c>
      <c r="CK444" s="21" t="str">
        <f>IF(AND('Atividades Micro'!$B496=CK$2,'Atividades Micro'!$G496="Micro",'Atividades Micro'!$K496&lt;&gt;""),'Atividades Micro'!$K496,"")</f>
        <v/>
      </c>
      <c r="CL444" s="21" t="str">
        <f>IF(AND('Atividades Micro'!$B496=CL$2,'Atividades Micro'!$G496="Micro",'Atividades Micro'!$K496&lt;&gt;""),'Atividades Micro'!$K496,"")</f>
        <v/>
      </c>
      <c r="CM444" s="21" t="str">
        <f>IF(AND('Atividades Micro'!$B496=CM$2,'Atividades Micro'!$G496="Micro",'Atividades Micro'!$K496&lt;&gt;""),'Atividades Micro'!$K496,"")</f>
        <v/>
      </c>
      <c r="CN444" s="21" t="str">
        <f>IF(AND('Atividades Micro'!$B496=CN$2,'Atividades Micro'!$G496="Micro",'Atividades Micro'!$K496&lt;&gt;""),'Atividades Micro'!$K496,"")</f>
        <v/>
      </c>
      <c r="CO444" s="21" t="str">
        <f>IF(AND('Atividades Micro'!$B496=CO$2,'Atividades Micro'!$G496="Micro",'Atividades Micro'!$K496&lt;&gt;""),'Atividades Micro'!$K496,"")</f>
        <v/>
      </c>
    </row>
    <row r="445" spans="1:93">
      <c r="A445" s="21" t="str">
        <f>IF(AND('Atividades Micro'!$A497=A$2,'Atividades Micro'!$K497&lt;&gt;""),'Atividades Micro'!$K497,"")</f>
        <v/>
      </c>
      <c r="B445" s="21" t="str">
        <f>IF(AND('Atividades Micro'!$A497=B$2,'Atividades Micro'!$L497&lt;&gt;""),'Atividades Micro'!$L497,"")</f>
        <v/>
      </c>
      <c r="C445" s="21" t="str">
        <f>IF(AND('Atividades Micro'!$A497=C$2,'Atividades Micro'!$K497&lt;&gt;""),'Atividades Micro'!$K497,"")</f>
        <v/>
      </c>
      <c r="D445" s="21" t="str">
        <f>IF(AND('Atividades Micro'!$A497=D$2,'Atividades Micro'!$L497&lt;&gt;""),'Atividades Micro'!$L497,"")</f>
        <v/>
      </c>
      <c r="E445" s="21" t="str">
        <f>IF(AND('Atividades Micro'!$A497=E$2,'Atividades Micro'!$K497&lt;&gt;""),'Atividades Micro'!$K497,"")</f>
        <v/>
      </c>
      <c r="F445" s="21" t="str">
        <f>IF(AND('Atividades Micro'!$A497=F$2,'Atividades Micro'!$L497&lt;&gt;""),'Atividades Micro'!$L497,"")</f>
        <v/>
      </c>
      <c r="G445" s="21" t="str">
        <f>IF(AND('Atividades Micro'!$A497=G$2,'Atividades Micro'!$K497&lt;&gt;""),'Atividades Micro'!$K497,"")</f>
        <v/>
      </c>
      <c r="H445" s="21" t="str">
        <f>IF(AND('Atividades Micro'!$A497=H$2,'Atividades Micro'!$L497&lt;&gt;""),'Atividades Micro'!$L497,"")</f>
        <v/>
      </c>
      <c r="I445" s="21" t="str">
        <f>IF(AND('Atividades Micro'!$A497=I$2,'Atividades Micro'!$K497&lt;&gt;""),'Atividades Micro'!$K497,"")</f>
        <v/>
      </c>
      <c r="J445" s="21" t="str">
        <f>IF(AND('Atividades Micro'!$A497=J$2,'Atividades Micro'!$L497&lt;&gt;""),'Atividades Micro'!$L497,"")</f>
        <v/>
      </c>
      <c r="K445" s="21" t="str">
        <f>IF(AND('Atividades Micro'!$B497=K$2,'Atividades Micro'!$K497&lt;&gt;""),'Atividades Micro'!$K497,"")</f>
        <v/>
      </c>
      <c r="L445" s="21" t="str">
        <f>IF(AND('Atividades Micro'!$B497=L$2,'Atividades Micro'!$L497&lt;&gt;""),'Atividades Micro'!$L497,"")</f>
        <v/>
      </c>
      <c r="M445" s="21" t="str">
        <f>IF(AND('Atividades Micro'!$B497=M$2,'Atividades Micro'!$K497&lt;&gt;""),'Atividades Micro'!$K497,"")</f>
        <v/>
      </c>
      <c r="N445" s="21" t="str">
        <f>IF(AND('Atividades Micro'!$B497=N$2,'Atividades Micro'!$L497&lt;&gt;""),'Atividades Micro'!$L497,"")</f>
        <v/>
      </c>
      <c r="O445" s="21" t="str">
        <f>IF(AND('Atividades Micro'!$A497=O$2,'Atividades Micro'!$K497&lt;&gt;""),'Atividades Micro'!$K497,"")</f>
        <v/>
      </c>
      <c r="P445" s="21" t="str">
        <f>IF(AND('Atividades Micro'!$A497=P$2,'Atividades Micro'!$L497&lt;&gt;""),'Atividades Micro'!$L497,"")</f>
        <v/>
      </c>
      <c r="Q445" s="21" t="str">
        <f>IF(AND('Atividades Micro'!$B497=Q$2,'Atividades Micro'!$K497&lt;&gt;""),'Atividades Micro'!$K497,"")</f>
        <v/>
      </c>
      <c r="R445" s="21" t="str">
        <f>IF(AND('Atividades Micro'!$B497=R$2,'Atividades Micro'!$L497&lt;&gt;""),'Atividades Micro'!$L497,"")</f>
        <v/>
      </c>
      <c r="S445" s="21" t="str">
        <f>IF(AND('Atividades Micro'!$A497=S$2,'Atividades Micro'!$K497&lt;&gt;""),'Atividades Micro'!$K497,"")</f>
        <v/>
      </c>
      <c r="T445" s="21" t="str">
        <f>IF(AND('Atividades Micro'!$A497=T$2,'Atividades Micro'!$L497&lt;&gt;""),'Atividades Micro'!$L497,"")</f>
        <v/>
      </c>
      <c r="U445" s="21" t="str">
        <f>IF(AND('Atividades Micro'!$B497=U$2,'Atividades Micro'!$K497&lt;&gt;""),'Atividades Micro'!$K497,"")</f>
        <v/>
      </c>
      <c r="V445" s="21" t="str">
        <f>IF(AND('Atividades Micro'!$B497=V$2,'Atividades Micro'!$L497&lt;&gt;""),'Atividades Micro'!$L497,"")</f>
        <v/>
      </c>
      <c r="W445" s="21" t="str">
        <f>IF(AND('Atividades Micro'!$B497=W$2,'Atividades Micro'!$K497&lt;&gt;""),'Atividades Micro'!$K497,"")</f>
        <v/>
      </c>
      <c r="X445" s="21" t="str">
        <f>IF(AND('Atividades Micro'!$B497=X$2,'Atividades Micro'!$L497&lt;&gt;""),'Atividades Micro'!$L497,"")</f>
        <v/>
      </c>
      <c r="Y445" s="21" t="str">
        <f>IF(AND('Atividades Micro'!$A497=Y$2,'Atividades Micro'!$K497&lt;&gt;""),'Atividades Micro'!$K497,"")</f>
        <v/>
      </c>
      <c r="Z445" s="21" t="str">
        <f>IF(AND('Atividades Micro'!$A497=Z$2,'Atividades Micro'!$L497&lt;&gt;""),'Atividades Micro'!$L497,"")</f>
        <v/>
      </c>
      <c r="AA445" s="21" t="str">
        <f>IF(AND('Atividades Micro'!$B497=AA$2,'Atividades Micro'!$K497&lt;&gt;""),'Atividades Micro'!$K497,"")</f>
        <v/>
      </c>
      <c r="AB445" s="21" t="str">
        <f>IF(AND('Atividades Micro'!$B497=AB$2,'Atividades Micro'!$L497&lt;&gt;""),'Atividades Micro'!$L497,"")</f>
        <v/>
      </c>
      <c r="AC445" s="21" t="str">
        <f>IF(AND('Atividades Micro'!$B497=AC$2,'Atividades Micro'!$K497&lt;&gt;""),'Atividades Micro'!$K497,"")</f>
        <v/>
      </c>
      <c r="AD445" s="21" t="str">
        <f>IF(AND('Atividades Micro'!$B497=AD$2,'Atividades Micro'!$L497&lt;&gt;""),'Atividades Micro'!$L497,"")</f>
        <v/>
      </c>
      <c r="AE445" s="21" t="str">
        <f>IF(AND('Atividades Micro'!$A497=AE$2,'Atividades Micro'!$K497&lt;&gt;""),'Atividades Micro'!$K497,"")</f>
        <v/>
      </c>
      <c r="AF445" s="21" t="str">
        <f>IF(AND('Atividades Micro'!$A497=AF$2,'Atividades Micro'!$L497&lt;&gt;""),'Atividades Micro'!$L497,"")</f>
        <v/>
      </c>
      <c r="AG445" s="21" t="str">
        <f>IF(AND('Atividades Micro'!$B497=AG$2,'Atividades Micro'!$K497&lt;&gt;""),'Atividades Micro'!$K497,"")</f>
        <v/>
      </c>
      <c r="AH445" s="21" t="str">
        <f>IF(AND('Atividades Micro'!$B497=AH$2,'Atividades Micro'!$L497&lt;&gt;""),'Atividades Micro'!$L497,"")</f>
        <v/>
      </c>
      <c r="AI445" s="21" t="str">
        <f>IF(AND('Atividades Micro'!$B497=AI$2,'Atividades Micro'!$K497&lt;&gt;""),'Atividades Micro'!$K497,"")</f>
        <v/>
      </c>
      <c r="AJ445" s="21" t="str">
        <f>IF(AND('Atividades Micro'!$B497=AJ$2,'Atividades Micro'!$L497&lt;&gt;""),'Atividades Micro'!$L497,"")</f>
        <v/>
      </c>
      <c r="AK445" s="21" t="str">
        <f>IF(AND('Atividades Micro'!$A497=AK$2,'Atividades Micro'!$K497&lt;&gt;""),'Atividades Micro'!$K497,"")</f>
        <v/>
      </c>
      <c r="AL445" s="21" t="str">
        <f>IF(AND('Atividades Micro'!$A497=AL$2,'Atividades Micro'!$L497&lt;&gt;""),'Atividades Micro'!$L497,"")</f>
        <v/>
      </c>
      <c r="AM445" s="21" t="str">
        <f>IF(AND('Atividades Micro'!$B497=AM$2,'Atividades Micro'!$K497&lt;&gt;""),'Atividades Micro'!$K497,"")</f>
        <v/>
      </c>
      <c r="AN445" s="21" t="str">
        <f>IF(AND('Atividades Micro'!$B497=AN$2,'Atividades Micro'!$L497&lt;&gt;""),'Atividades Micro'!$L497,"")</f>
        <v/>
      </c>
      <c r="AO445" s="21" t="str">
        <f>IF(AND('Atividades Micro'!$B497=AO$2,'Atividades Micro'!$K497&lt;&gt;""),'Atividades Micro'!$K497,"")</f>
        <v/>
      </c>
      <c r="AP445" s="21" t="str">
        <f>IF(AND('Atividades Micro'!$B497=AP$2,'Atividades Micro'!$L497&lt;&gt;""),'Atividades Micro'!$L497,"")</f>
        <v/>
      </c>
      <c r="AQ445" s="21" t="str">
        <f>IF(AND('Atividades Micro'!$A497=AQ$2,'Atividades Micro'!$K497&lt;&gt;""),'Atividades Micro'!$K497,"")</f>
        <v/>
      </c>
      <c r="AR445" s="21" t="str">
        <f>IF(AND('Atividades Micro'!$A497=AR$2,'Atividades Micro'!$L497&lt;&gt;""),'Atividades Micro'!$L497,"")</f>
        <v/>
      </c>
      <c r="AS445" s="21" t="str">
        <f>IF(AND('Atividades Micro'!$B497=AS$2,'Atividades Micro'!$K497&lt;&gt;""),'Atividades Micro'!$K497,"")</f>
        <v/>
      </c>
      <c r="AT445" s="21" t="str">
        <f>IF(AND('Atividades Micro'!$B497=AT$2,'Atividades Micro'!$L497&lt;&gt;""),'Atividades Micro'!$L497,"")</f>
        <v/>
      </c>
      <c r="AU445" s="21" t="str">
        <f>IF(AND('Atividades Micro'!$A497=AU$2,'Atividades Micro'!$K497&lt;&gt;""),'Atividades Micro'!$K497,"")</f>
        <v/>
      </c>
      <c r="AV445" s="21" t="str">
        <f>IF(AND('Atividades Micro'!$A497=AV$2,'Atividades Micro'!$L497&lt;&gt;""),'Atividades Micro'!$L497,"")</f>
        <v/>
      </c>
      <c r="AW445" s="21" t="str">
        <f>IF(AND('Atividades Micro'!$B497=AW$2,'Atividades Micro'!$K497&lt;&gt;""),'Atividades Micro'!$K497,"")</f>
        <v/>
      </c>
      <c r="AX445" s="21" t="str">
        <f>IF(AND('Atividades Micro'!$B497=AX$2,'Atividades Micro'!$L497&lt;&gt;""),'Atividades Micro'!$L497,"")</f>
        <v/>
      </c>
      <c r="AY445" s="21" t="str">
        <f>IF(AND('Atividades Micro'!$A497=AY$2,'Atividades Micro'!$K497&lt;&gt;""),'Atividades Micro'!$K497,"")</f>
        <v/>
      </c>
      <c r="AZ445" s="21" t="str">
        <f>IF(AND('Atividades Micro'!$A497=AZ$2,'Atividades Micro'!$L497&lt;&gt;""),'Atividades Micro'!$L497,"")</f>
        <v/>
      </c>
      <c r="BA445" s="21" t="str">
        <f>IF(AND('Atividades Micro'!$B497=BA$2,'Atividades Micro'!$K497&lt;&gt;""),'Atividades Micro'!$K497,"")</f>
        <v/>
      </c>
      <c r="BB445" s="21" t="str">
        <f>IF(AND('Atividades Micro'!$B497=BB$2,'Atividades Micro'!$L497&lt;&gt;""),'Atividades Micro'!$L497,"")</f>
        <v/>
      </c>
      <c r="BC445" s="21" t="str">
        <f>IF(AND('Atividades Micro'!$B497=BC$2,'Atividades Micro'!$G497="Macro",'Atividades Micro'!$K497&lt;&gt;""),'Atividades Micro'!$K497,"")</f>
        <v/>
      </c>
      <c r="BD445" s="21" t="str">
        <f>IF(AND('Atividades Micro'!$B497=BD$2,'Atividades Micro'!$G497="Macro",'Atividades Micro'!$K497&lt;&gt;""),'Atividades Micro'!$K497,"")</f>
        <v/>
      </c>
      <c r="BE445" s="21" t="str">
        <f>IF(AND('Atividades Micro'!$B497=BE$2,'Atividades Micro'!$G497="Macro",'Atividades Micro'!$K497&lt;&gt;""),'Atividades Micro'!$K497,"")</f>
        <v/>
      </c>
      <c r="BF445" s="21" t="str">
        <f>IF(AND('Atividades Micro'!$B497=BF$2,'Atividades Micro'!$G497="Macro",'Atividades Micro'!$K497&lt;&gt;""),'Atividades Micro'!$K497,"")</f>
        <v/>
      </c>
      <c r="BG445" s="21" t="str">
        <f>IF(AND('Atividades Micro'!$B497=BG$2,'Atividades Micro'!$G497="Macro",'Atividades Micro'!$K497&lt;&gt;""),'Atividades Micro'!$K497,"")</f>
        <v/>
      </c>
      <c r="BH445" s="21" t="str">
        <f>IF(AND('Atividades Micro'!$B497=BH$2,'Atividades Micro'!$G497="Macro",'Atividades Micro'!$K497&lt;&gt;""),'Atividades Micro'!$K497,"")</f>
        <v/>
      </c>
      <c r="BI445" s="21" t="str">
        <f>IF(AND('Atividades Micro'!$B497=BI$2,'Atividades Micro'!$G497="Macro",'Atividades Micro'!$K497&lt;&gt;""),'Atividades Micro'!$K497,"")</f>
        <v/>
      </c>
      <c r="BJ445" s="21" t="str">
        <f>IF(AND('Atividades Micro'!$B497=BJ$2,'Atividades Micro'!$G497="Macro",'Atividades Micro'!$K497&lt;&gt;""),'Atividades Micro'!$K497,"")</f>
        <v/>
      </c>
      <c r="BK445" s="21" t="str">
        <f>IF(AND('Atividades Micro'!$B497=BK$2,'Atividades Micro'!$G497="Macro",'Atividades Micro'!$K497&lt;&gt;""),'Atividades Micro'!$K497,"")</f>
        <v/>
      </c>
      <c r="BL445" s="21" t="str">
        <f>IF(AND('Atividades Micro'!$B497=BL$2,'Atividades Micro'!$G497="Macro",'Atividades Micro'!$K497&lt;&gt;""),'Atividades Micro'!$K497,"")</f>
        <v/>
      </c>
      <c r="BM445" s="21" t="str">
        <f>IF(AND('Atividades Micro'!$B497=BM$2,'Atividades Micro'!$G497="Macro",'Atividades Micro'!$K497&lt;&gt;""),'Atividades Micro'!$K497,"")</f>
        <v/>
      </c>
      <c r="BN445" s="21" t="str">
        <f>IF(AND('Atividades Micro'!$B497=BN$2,'Atividades Micro'!$G497="Macro",'Atividades Micro'!$K497&lt;&gt;""),'Atividades Micro'!$K497,"")</f>
        <v/>
      </c>
      <c r="BO445" s="21" t="str">
        <f>IF(AND('Atividades Micro'!$B497=BO$2,'Atividades Micro'!$G497="Macro",'Atividades Micro'!$K497&lt;&gt;""),'Atividades Micro'!$K497,"")</f>
        <v/>
      </c>
      <c r="BP445" s="21" t="str">
        <f>IF(AND('Atividades Micro'!$B497=BP$2,'Atividades Micro'!$G497="Macro",'Atividades Micro'!$K497&lt;&gt;""),'Atividades Micro'!$K497,"")</f>
        <v/>
      </c>
      <c r="BQ445" s="21" t="str">
        <f>IF(AND('Atividades Micro'!$B497=BQ$2,'Atividades Micro'!$G497="Macro",'Atividades Micro'!$K497&lt;&gt;""),'Atividades Micro'!$K497,"")</f>
        <v/>
      </c>
      <c r="BR445" s="21" t="str">
        <f>IF(AND('Atividades Micro'!$B497=BR$2,'Atividades Micro'!$G497="Macro",'Atividades Micro'!$K497&lt;&gt;""),'Atividades Micro'!$K497,"")</f>
        <v/>
      </c>
      <c r="BS445" s="21" t="str">
        <f>IF(AND('Atividades Micro'!$B497=BS$2,'Atividades Micro'!$G497="Macro",'Atividades Micro'!$K497&lt;&gt;""),'Atividades Micro'!$K497,"")</f>
        <v/>
      </c>
      <c r="BT445" s="21" t="str">
        <f>IF(AND('Atividades Micro'!$B497=BT$2,'Atividades Micro'!$G497="Macro",'Atividades Micro'!$K497&lt;&gt;""),'Atividades Micro'!$K497,"")</f>
        <v/>
      </c>
      <c r="BU445" s="21" t="str">
        <f>IF(AND('Atividades Micro'!$B497=BU$2,'Atividades Micro'!$G497="Macro",'Atividades Micro'!$K497&lt;&gt;""),'Atividades Micro'!$K497,"")</f>
        <v/>
      </c>
      <c r="BV445" s="21" t="str">
        <f>IF(AND('Atividades Micro'!$B497=BV$2,'Atividades Micro'!$G497="Macro",'Atividades Micro'!$K497&lt;&gt;""),'Atividades Micro'!$K497,"")</f>
        <v/>
      </c>
      <c r="BW445" s="21" t="str">
        <f>IF(AND('Atividades Micro'!$B497=BW$2,'Atividades Micro'!$G497="Macro",'Atividades Micro'!$K497&lt;&gt;""),'Atividades Micro'!$K497,"")</f>
        <v/>
      </c>
      <c r="BX445" s="21" t="str">
        <f>IF(AND('Atividades Micro'!$B497=BX$2,'Atividades Micro'!$G497="Macro",'Atividades Micro'!$K497&lt;&gt;""),'Atividades Micro'!$K497,"")</f>
        <v/>
      </c>
      <c r="BY445" s="21" t="str">
        <f>IF(AND('Atividades Micro'!$B497=BY$2,'Atividades Micro'!$G497="Macro",'Atividades Micro'!$K497&lt;&gt;""),'Atividades Micro'!$K497,"")</f>
        <v/>
      </c>
      <c r="BZ445" s="21" t="str">
        <f>IF(AND('Atividades Micro'!$B497=BZ$2,'Atividades Micro'!$G497="Macro",'Atividades Micro'!$K497&lt;&gt;""),'Atividades Micro'!$K497,"")</f>
        <v/>
      </c>
      <c r="CA445" s="21" t="str">
        <f>IF(AND('Atividades Micro'!$B497=CA$2,'Atividades Micro'!$G497="Macro",'Atividades Micro'!$K497&lt;&gt;""),'Atividades Micro'!$K497,"")</f>
        <v/>
      </c>
      <c r="CB445" s="21" t="str">
        <f>IF(AND('Atividades Micro'!$B497=CB$2,'Atividades Micro'!$G497="Macro",'Atividades Micro'!$K497&lt;&gt;""),'Atividades Micro'!$K497,"")</f>
        <v/>
      </c>
      <c r="CC445" s="21" t="str">
        <f>IF(AND('Atividades Micro'!$B497=CC$2,'Atividades Micro'!$G497="Macro",'Atividades Micro'!$K497&lt;&gt;""),'Atividades Micro'!$K497,"")</f>
        <v/>
      </c>
      <c r="CD445" s="21" t="str">
        <f>IF(AND('Atividades Micro'!$B497=CD$2,'Atividades Micro'!$G497="Micro",'Atividades Micro'!$K497&lt;&gt;""),'Atividades Micro'!$K497,"")</f>
        <v/>
      </c>
      <c r="CE445" s="21" t="str">
        <f>IF(AND('Atividades Micro'!$B497=CE$2,'Atividades Micro'!$G497="Micro",'Atividades Micro'!$K497&lt;&gt;""),'Atividades Micro'!$K497,"")</f>
        <v/>
      </c>
      <c r="CF445" s="21" t="str">
        <f>IF(AND('Atividades Micro'!$B497=CF$2,'Atividades Micro'!$G497="Micro",'Atividades Micro'!$K497&lt;&gt;""),'Atividades Micro'!$K497,"")</f>
        <v/>
      </c>
      <c r="CG445" s="21" t="str">
        <f>IF(AND('Atividades Micro'!$B497=CG$2,'Atividades Micro'!$G497="Micro",'Atividades Micro'!$K497&lt;&gt;""),'Atividades Micro'!$K497,"")</f>
        <v/>
      </c>
      <c r="CH445" s="21" t="str">
        <f>IF(AND('Atividades Micro'!$B497=CH$2,'Atividades Micro'!$G497="Micro",'Atividades Micro'!$K497&lt;&gt;""),'Atividades Micro'!$K497,"")</f>
        <v/>
      </c>
      <c r="CI445" s="21" t="str">
        <f>IF(AND('Atividades Micro'!$B497=CI$2,'Atividades Micro'!$G497="Micro",'Atividades Micro'!$K497&lt;&gt;""),'Atividades Micro'!$K497,"")</f>
        <v/>
      </c>
      <c r="CJ445" s="21" t="str">
        <f>IF(AND('Atividades Micro'!$B497=CJ$2,'Atividades Micro'!$G497="Micro",'Atividades Micro'!$K497&lt;&gt;""),'Atividades Micro'!$K497,"")</f>
        <v/>
      </c>
      <c r="CK445" s="21" t="str">
        <f>IF(AND('Atividades Micro'!$B497=CK$2,'Atividades Micro'!$G497="Micro",'Atividades Micro'!$K497&lt;&gt;""),'Atividades Micro'!$K497,"")</f>
        <v/>
      </c>
      <c r="CL445" s="21" t="str">
        <f>IF(AND('Atividades Micro'!$B497=CL$2,'Atividades Micro'!$G497="Micro",'Atividades Micro'!$K497&lt;&gt;""),'Atividades Micro'!$K497,"")</f>
        <v/>
      </c>
      <c r="CM445" s="21" t="str">
        <f>IF(AND('Atividades Micro'!$B497=CM$2,'Atividades Micro'!$G497="Micro",'Atividades Micro'!$K497&lt;&gt;""),'Atividades Micro'!$K497,"")</f>
        <v/>
      </c>
      <c r="CN445" s="21" t="str">
        <f>IF(AND('Atividades Micro'!$B497=CN$2,'Atividades Micro'!$G497="Micro",'Atividades Micro'!$K497&lt;&gt;""),'Atividades Micro'!$K497,"")</f>
        <v/>
      </c>
      <c r="CO445" s="21" t="str">
        <f>IF(AND('Atividades Micro'!$B497=CO$2,'Atividades Micro'!$G497="Micro",'Atividades Micro'!$K497&lt;&gt;""),'Atividades Micro'!$K497,"")</f>
        <v/>
      </c>
    </row>
    <row r="446" spans="1:93">
      <c r="A446" s="21" t="str">
        <f>IF(AND('Atividades Micro'!$A498=A$2,'Atividades Micro'!$K498&lt;&gt;""),'Atividades Micro'!$K498,"")</f>
        <v/>
      </c>
      <c r="B446" s="21" t="str">
        <f>IF(AND('Atividades Micro'!$A498=B$2,'Atividades Micro'!$L498&lt;&gt;""),'Atividades Micro'!$L498,"")</f>
        <v/>
      </c>
      <c r="C446" s="21" t="str">
        <f>IF(AND('Atividades Micro'!$A498=C$2,'Atividades Micro'!$K498&lt;&gt;""),'Atividades Micro'!$K498,"")</f>
        <v/>
      </c>
      <c r="D446" s="21" t="str">
        <f>IF(AND('Atividades Micro'!$A498=D$2,'Atividades Micro'!$L498&lt;&gt;""),'Atividades Micro'!$L498,"")</f>
        <v/>
      </c>
      <c r="E446" s="21" t="str">
        <f>IF(AND('Atividades Micro'!$A498=E$2,'Atividades Micro'!$K498&lt;&gt;""),'Atividades Micro'!$K498,"")</f>
        <v/>
      </c>
      <c r="F446" s="21" t="str">
        <f>IF(AND('Atividades Micro'!$A498=F$2,'Atividades Micro'!$L498&lt;&gt;""),'Atividades Micro'!$L498,"")</f>
        <v/>
      </c>
      <c r="G446" s="21" t="str">
        <f>IF(AND('Atividades Micro'!$A498=G$2,'Atividades Micro'!$K498&lt;&gt;""),'Atividades Micro'!$K498,"")</f>
        <v/>
      </c>
      <c r="H446" s="21" t="str">
        <f>IF(AND('Atividades Micro'!$A498=H$2,'Atividades Micro'!$L498&lt;&gt;""),'Atividades Micro'!$L498,"")</f>
        <v/>
      </c>
      <c r="I446" s="21" t="str">
        <f>IF(AND('Atividades Micro'!$A498=I$2,'Atividades Micro'!$K498&lt;&gt;""),'Atividades Micro'!$K498,"")</f>
        <v/>
      </c>
      <c r="J446" s="21" t="str">
        <f>IF(AND('Atividades Micro'!$A498=J$2,'Atividades Micro'!$L498&lt;&gt;""),'Atividades Micro'!$L498,"")</f>
        <v/>
      </c>
      <c r="K446" s="21" t="str">
        <f>IF(AND('Atividades Micro'!$B498=K$2,'Atividades Micro'!$K498&lt;&gt;""),'Atividades Micro'!$K498,"")</f>
        <v/>
      </c>
      <c r="L446" s="21" t="str">
        <f>IF(AND('Atividades Micro'!$B498=L$2,'Atividades Micro'!$L498&lt;&gt;""),'Atividades Micro'!$L498,"")</f>
        <v/>
      </c>
      <c r="M446" s="21" t="str">
        <f>IF(AND('Atividades Micro'!$B498=M$2,'Atividades Micro'!$K498&lt;&gt;""),'Atividades Micro'!$K498,"")</f>
        <v/>
      </c>
      <c r="N446" s="21" t="str">
        <f>IF(AND('Atividades Micro'!$B498=N$2,'Atividades Micro'!$L498&lt;&gt;""),'Atividades Micro'!$L498,"")</f>
        <v/>
      </c>
      <c r="O446" s="21" t="str">
        <f>IF(AND('Atividades Micro'!$A498=O$2,'Atividades Micro'!$K498&lt;&gt;""),'Atividades Micro'!$K498,"")</f>
        <v/>
      </c>
      <c r="P446" s="21" t="str">
        <f>IF(AND('Atividades Micro'!$A498=P$2,'Atividades Micro'!$L498&lt;&gt;""),'Atividades Micro'!$L498,"")</f>
        <v/>
      </c>
      <c r="Q446" s="21" t="str">
        <f>IF(AND('Atividades Micro'!$B498=Q$2,'Atividades Micro'!$K498&lt;&gt;""),'Atividades Micro'!$K498,"")</f>
        <v/>
      </c>
      <c r="R446" s="21" t="str">
        <f>IF(AND('Atividades Micro'!$B498=R$2,'Atividades Micro'!$L498&lt;&gt;""),'Atividades Micro'!$L498,"")</f>
        <v/>
      </c>
      <c r="S446" s="21" t="str">
        <f>IF(AND('Atividades Micro'!$A498=S$2,'Atividades Micro'!$K498&lt;&gt;""),'Atividades Micro'!$K498,"")</f>
        <v/>
      </c>
      <c r="T446" s="21" t="str">
        <f>IF(AND('Atividades Micro'!$A498=T$2,'Atividades Micro'!$L498&lt;&gt;""),'Atividades Micro'!$L498,"")</f>
        <v/>
      </c>
      <c r="U446" s="21" t="str">
        <f>IF(AND('Atividades Micro'!$B498=U$2,'Atividades Micro'!$K498&lt;&gt;""),'Atividades Micro'!$K498,"")</f>
        <v/>
      </c>
      <c r="V446" s="21" t="str">
        <f>IF(AND('Atividades Micro'!$B498=V$2,'Atividades Micro'!$L498&lt;&gt;""),'Atividades Micro'!$L498,"")</f>
        <v/>
      </c>
      <c r="W446" s="21" t="str">
        <f>IF(AND('Atividades Micro'!$B498=W$2,'Atividades Micro'!$K498&lt;&gt;""),'Atividades Micro'!$K498,"")</f>
        <v/>
      </c>
      <c r="X446" s="21" t="str">
        <f>IF(AND('Atividades Micro'!$B498=X$2,'Atividades Micro'!$L498&lt;&gt;""),'Atividades Micro'!$L498,"")</f>
        <v/>
      </c>
      <c r="Y446" s="21" t="str">
        <f>IF(AND('Atividades Micro'!$A498=Y$2,'Atividades Micro'!$K498&lt;&gt;""),'Atividades Micro'!$K498,"")</f>
        <v/>
      </c>
      <c r="Z446" s="21" t="str">
        <f>IF(AND('Atividades Micro'!$A498=Z$2,'Atividades Micro'!$L498&lt;&gt;""),'Atividades Micro'!$L498,"")</f>
        <v/>
      </c>
      <c r="AA446" s="21" t="str">
        <f>IF(AND('Atividades Micro'!$B498=AA$2,'Atividades Micro'!$K498&lt;&gt;""),'Atividades Micro'!$K498,"")</f>
        <v/>
      </c>
      <c r="AB446" s="21" t="str">
        <f>IF(AND('Atividades Micro'!$B498=AB$2,'Atividades Micro'!$L498&lt;&gt;""),'Atividades Micro'!$L498,"")</f>
        <v/>
      </c>
      <c r="AC446" s="21" t="str">
        <f>IF(AND('Atividades Micro'!$B498=AC$2,'Atividades Micro'!$K498&lt;&gt;""),'Atividades Micro'!$K498,"")</f>
        <v/>
      </c>
      <c r="AD446" s="21" t="str">
        <f>IF(AND('Atividades Micro'!$B498=AD$2,'Atividades Micro'!$L498&lt;&gt;""),'Atividades Micro'!$L498,"")</f>
        <v/>
      </c>
      <c r="AE446" s="21" t="str">
        <f>IF(AND('Atividades Micro'!$A498=AE$2,'Atividades Micro'!$K498&lt;&gt;""),'Atividades Micro'!$K498,"")</f>
        <v/>
      </c>
      <c r="AF446" s="21" t="str">
        <f>IF(AND('Atividades Micro'!$A498=AF$2,'Atividades Micro'!$L498&lt;&gt;""),'Atividades Micro'!$L498,"")</f>
        <v/>
      </c>
      <c r="AG446" s="21" t="str">
        <f>IF(AND('Atividades Micro'!$B498=AG$2,'Atividades Micro'!$K498&lt;&gt;""),'Atividades Micro'!$K498,"")</f>
        <v/>
      </c>
      <c r="AH446" s="21" t="str">
        <f>IF(AND('Atividades Micro'!$B498=AH$2,'Atividades Micro'!$L498&lt;&gt;""),'Atividades Micro'!$L498,"")</f>
        <v/>
      </c>
      <c r="AI446" s="21" t="str">
        <f>IF(AND('Atividades Micro'!$B498=AI$2,'Atividades Micro'!$K498&lt;&gt;""),'Atividades Micro'!$K498,"")</f>
        <v/>
      </c>
      <c r="AJ446" s="21" t="str">
        <f>IF(AND('Atividades Micro'!$B498=AJ$2,'Atividades Micro'!$L498&lt;&gt;""),'Atividades Micro'!$L498,"")</f>
        <v/>
      </c>
      <c r="AK446" s="21" t="str">
        <f>IF(AND('Atividades Micro'!$A498=AK$2,'Atividades Micro'!$K498&lt;&gt;""),'Atividades Micro'!$K498,"")</f>
        <v/>
      </c>
      <c r="AL446" s="21" t="str">
        <f>IF(AND('Atividades Micro'!$A498=AL$2,'Atividades Micro'!$L498&lt;&gt;""),'Atividades Micro'!$L498,"")</f>
        <v/>
      </c>
      <c r="AM446" s="21" t="str">
        <f>IF(AND('Atividades Micro'!$B498=AM$2,'Atividades Micro'!$K498&lt;&gt;""),'Atividades Micro'!$K498,"")</f>
        <v/>
      </c>
      <c r="AN446" s="21" t="str">
        <f>IF(AND('Atividades Micro'!$B498=AN$2,'Atividades Micro'!$L498&lt;&gt;""),'Atividades Micro'!$L498,"")</f>
        <v/>
      </c>
      <c r="AO446" s="21" t="str">
        <f>IF(AND('Atividades Micro'!$B498=AO$2,'Atividades Micro'!$K498&lt;&gt;""),'Atividades Micro'!$K498,"")</f>
        <v/>
      </c>
      <c r="AP446" s="21" t="str">
        <f>IF(AND('Atividades Micro'!$B498=AP$2,'Atividades Micro'!$L498&lt;&gt;""),'Atividades Micro'!$L498,"")</f>
        <v/>
      </c>
      <c r="AQ446" s="21" t="str">
        <f>IF(AND('Atividades Micro'!$A498=AQ$2,'Atividades Micro'!$K498&lt;&gt;""),'Atividades Micro'!$K498,"")</f>
        <v/>
      </c>
      <c r="AR446" s="21" t="str">
        <f>IF(AND('Atividades Micro'!$A498=AR$2,'Atividades Micro'!$L498&lt;&gt;""),'Atividades Micro'!$L498,"")</f>
        <v/>
      </c>
      <c r="AS446" s="21" t="str">
        <f>IF(AND('Atividades Micro'!$B498=AS$2,'Atividades Micro'!$K498&lt;&gt;""),'Atividades Micro'!$K498,"")</f>
        <v/>
      </c>
      <c r="AT446" s="21" t="str">
        <f>IF(AND('Atividades Micro'!$B498=AT$2,'Atividades Micro'!$L498&lt;&gt;""),'Atividades Micro'!$L498,"")</f>
        <v/>
      </c>
      <c r="AU446" s="21" t="str">
        <f>IF(AND('Atividades Micro'!$A498=AU$2,'Atividades Micro'!$K498&lt;&gt;""),'Atividades Micro'!$K498,"")</f>
        <v/>
      </c>
      <c r="AV446" s="21" t="str">
        <f>IF(AND('Atividades Micro'!$A498=AV$2,'Atividades Micro'!$L498&lt;&gt;""),'Atividades Micro'!$L498,"")</f>
        <v/>
      </c>
      <c r="AW446" s="21" t="str">
        <f>IF(AND('Atividades Micro'!$B498=AW$2,'Atividades Micro'!$K498&lt;&gt;""),'Atividades Micro'!$K498,"")</f>
        <v/>
      </c>
      <c r="AX446" s="21" t="str">
        <f>IF(AND('Atividades Micro'!$B498=AX$2,'Atividades Micro'!$L498&lt;&gt;""),'Atividades Micro'!$L498,"")</f>
        <v/>
      </c>
      <c r="AY446" s="21" t="str">
        <f>IF(AND('Atividades Micro'!$A498=AY$2,'Atividades Micro'!$K498&lt;&gt;""),'Atividades Micro'!$K498,"")</f>
        <v/>
      </c>
      <c r="AZ446" s="21" t="str">
        <f>IF(AND('Atividades Micro'!$A498=AZ$2,'Atividades Micro'!$L498&lt;&gt;""),'Atividades Micro'!$L498,"")</f>
        <v/>
      </c>
      <c r="BA446" s="21" t="str">
        <f>IF(AND('Atividades Micro'!$B498=BA$2,'Atividades Micro'!$K498&lt;&gt;""),'Atividades Micro'!$K498,"")</f>
        <v/>
      </c>
      <c r="BB446" s="21" t="str">
        <f>IF(AND('Atividades Micro'!$B498=BB$2,'Atividades Micro'!$L498&lt;&gt;""),'Atividades Micro'!$L498,"")</f>
        <v/>
      </c>
      <c r="BC446" s="21" t="str">
        <f>IF(AND('Atividades Micro'!$B498=BC$2,'Atividades Micro'!$G498="Macro",'Atividades Micro'!$K498&lt;&gt;""),'Atividades Micro'!$K498,"")</f>
        <v/>
      </c>
      <c r="BD446" s="21" t="str">
        <f>IF(AND('Atividades Micro'!$B498=BD$2,'Atividades Micro'!$G498="Macro",'Atividades Micro'!$K498&lt;&gt;""),'Atividades Micro'!$K498,"")</f>
        <v/>
      </c>
      <c r="BE446" s="21" t="str">
        <f>IF(AND('Atividades Micro'!$B498=BE$2,'Atividades Micro'!$G498="Macro",'Atividades Micro'!$K498&lt;&gt;""),'Atividades Micro'!$K498,"")</f>
        <v/>
      </c>
      <c r="BF446" s="21" t="str">
        <f>IF(AND('Atividades Micro'!$B498=BF$2,'Atividades Micro'!$G498="Macro",'Atividades Micro'!$K498&lt;&gt;""),'Atividades Micro'!$K498,"")</f>
        <v/>
      </c>
      <c r="BG446" s="21" t="str">
        <f>IF(AND('Atividades Micro'!$B498=BG$2,'Atividades Micro'!$G498="Macro",'Atividades Micro'!$K498&lt;&gt;""),'Atividades Micro'!$K498,"")</f>
        <v/>
      </c>
      <c r="BH446" s="21" t="str">
        <f>IF(AND('Atividades Micro'!$B498=BH$2,'Atividades Micro'!$G498="Macro",'Atividades Micro'!$K498&lt;&gt;""),'Atividades Micro'!$K498,"")</f>
        <v/>
      </c>
      <c r="BI446" s="21" t="str">
        <f>IF(AND('Atividades Micro'!$B498=BI$2,'Atividades Micro'!$G498="Macro",'Atividades Micro'!$K498&lt;&gt;""),'Atividades Micro'!$K498,"")</f>
        <v/>
      </c>
      <c r="BJ446" s="21" t="str">
        <f>IF(AND('Atividades Micro'!$B498=BJ$2,'Atividades Micro'!$G498="Macro",'Atividades Micro'!$K498&lt;&gt;""),'Atividades Micro'!$K498,"")</f>
        <v/>
      </c>
      <c r="BK446" s="21" t="str">
        <f>IF(AND('Atividades Micro'!$B498=BK$2,'Atividades Micro'!$G498="Macro",'Atividades Micro'!$K498&lt;&gt;""),'Atividades Micro'!$K498,"")</f>
        <v/>
      </c>
      <c r="BL446" s="21" t="str">
        <f>IF(AND('Atividades Micro'!$B498=BL$2,'Atividades Micro'!$G498="Macro",'Atividades Micro'!$K498&lt;&gt;""),'Atividades Micro'!$K498,"")</f>
        <v/>
      </c>
      <c r="BM446" s="21" t="str">
        <f>IF(AND('Atividades Micro'!$B498=BM$2,'Atividades Micro'!$G498="Macro",'Atividades Micro'!$K498&lt;&gt;""),'Atividades Micro'!$K498,"")</f>
        <v/>
      </c>
      <c r="BN446" s="21" t="str">
        <f>IF(AND('Atividades Micro'!$B498=BN$2,'Atividades Micro'!$G498="Macro",'Atividades Micro'!$K498&lt;&gt;""),'Atividades Micro'!$K498,"")</f>
        <v/>
      </c>
      <c r="BO446" s="21" t="str">
        <f>IF(AND('Atividades Micro'!$B498=BO$2,'Atividades Micro'!$G498="Macro",'Atividades Micro'!$K498&lt;&gt;""),'Atividades Micro'!$K498,"")</f>
        <v/>
      </c>
      <c r="BP446" s="21" t="str">
        <f>IF(AND('Atividades Micro'!$B498=BP$2,'Atividades Micro'!$G498="Macro",'Atividades Micro'!$K498&lt;&gt;""),'Atividades Micro'!$K498,"")</f>
        <v/>
      </c>
      <c r="BQ446" s="21" t="str">
        <f>IF(AND('Atividades Micro'!$B498=BQ$2,'Atividades Micro'!$G498="Macro",'Atividades Micro'!$K498&lt;&gt;""),'Atividades Micro'!$K498,"")</f>
        <v/>
      </c>
      <c r="BR446" s="21" t="str">
        <f>IF(AND('Atividades Micro'!$B498=BR$2,'Atividades Micro'!$G498="Macro",'Atividades Micro'!$K498&lt;&gt;""),'Atividades Micro'!$K498,"")</f>
        <v/>
      </c>
      <c r="BS446" s="21" t="str">
        <f>IF(AND('Atividades Micro'!$B498=BS$2,'Atividades Micro'!$G498="Macro",'Atividades Micro'!$K498&lt;&gt;""),'Atividades Micro'!$K498,"")</f>
        <v/>
      </c>
      <c r="BT446" s="21" t="str">
        <f>IF(AND('Atividades Micro'!$B498=BT$2,'Atividades Micro'!$G498="Macro",'Atividades Micro'!$K498&lt;&gt;""),'Atividades Micro'!$K498,"")</f>
        <v/>
      </c>
      <c r="BU446" s="21" t="str">
        <f>IF(AND('Atividades Micro'!$B498=BU$2,'Atividades Micro'!$G498="Macro",'Atividades Micro'!$K498&lt;&gt;""),'Atividades Micro'!$K498,"")</f>
        <v/>
      </c>
      <c r="BV446" s="21" t="str">
        <f>IF(AND('Atividades Micro'!$B498=BV$2,'Atividades Micro'!$G498="Macro",'Atividades Micro'!$K498&lt;&gt;""),'Atividades Micro'!$K498,"")</f>
        <v/>
      </c>
      <c r="BW446" s="21" t="str">
        <f>IF(AND('Atividades Micro'!$B498=BW$2,'Atividades Micro'!$G498="Macro",'Atividades Micro'!$K498&lt;&gt;""),'Atividades Micro'!$K498,"")</f>
        <v/>
      </c>
      <c r="BX446" s="21" t="str">
        <f>IF(AND('Atividades Micro'!$B498=BX$2,'Atividades Micro'!$G498="Macro",'Atividades Micro'!$K498&lt;&gt;""),'Atividades Micro'!$K498,"")</f>
        <v/>
      </c>
      <c r="BY446" s="21" t="str">
        <f>IF(AND('Atividades Micro'!$B498=BY$2,'Atividades Micro'!$G498="Macro",'Atividades Micro'!$K498&lt;&gt;""),'Atividades Micro'!$K498,"")</f>
        <v/>
      </c>
      <c r="BZ446" s="21" t="str">
        <f>IF(AND('Atividades Micro'!$B498=BZ$2,'Atividades Micro'!$G498="Macro",'Atividades Micro'!$K498&lt;&gt;""),'Atividades Micro'!$K498,"")</f>
        <v/>
      </c>
      <c r="CA446" s="21" t="str">
        <f>IF(AND('Atividades Micro'!$B498=CA$2,'Atividades Micro'!$G498="Macro",'Atividades Micro'!$K498&lt;&gt;""),'Atividades Micro'!$K498,"")</f>
        <v/>
      </c>
      <c r="CB446" s="21" t="str">
        <f>IF(AND('Atividades Micro'!$B498=CB$2,'Atividades Micro'!$G498="Macro",'Atividades Micro'!$K498&lt;&gt;""),'Atividades Micro'!$K498,"")</f>
        <v/>
      </c>
      <c r="CC446" s="21" t="str">
        <f>IF(AND('Atividades Micro'!$B498=CC$2,'Atividades Micro'!$G498="Macro",'Atividades Micro'!$K498&lt;&gt;""),'Atividades Micro'!$K498,"")</f>
        <v/>
      </c>
      <c r="CD446" s="21" t="str">
        <f>IF(AND('Atividades Micro'!$B498=CD$2,'Atividades Micro'!$G498="Micro",'Atividades Micro'!$K498&lt;&gt;""),'Atividades Micro'!$K498,"")</f>
        <v/>
      </c>
      <c r="CE446" s="21" t="str">
        <f>IF(AND('Atividades Micro'!$B498=CE$2,'Atividades Micro'!$G498="Micro",'Atividades Micro'!$K498&lt;&gt;""),'Atividades Micro'!$K498,"")</f>
        <v/>
      </c>
      <c r="CF446" s="21" t="str">
        <f>IF(AND('Atividades Micro'!$B498=CF$2,'Atividades Micro'!$G498="Micro",'Atividades Micro'!$K498&lt;&gt;""),'Atividades Micro'!$K498,"")</f>
        <v/>
      </c>
      <c r="CG446" s="21" t="str">
        <f>IF(AND('Atividades Micro'!$B498=CG$2,'Atividades Micro'!$G498="Micro",'Atividades Micro'!$K498&lt;&gt;""),'Atividades Micro'!$K498,"")</f>
        <v/>
      </c>
      <c r="CH446" s="21" t="str">
        <f>IF(AND('Atividades Micro'!$B498=CH$2,'Atividades Micro'!$G498="Micro",'Atividades Micro'!$K498&lt;&gt;""),'Atividades Micro'!$K498,"")</f>
        <v/>
      </c>
      <c r="CI446" s="21" t="str">
        <f>IF(AND('Atividades Micro'!$B498=CI$2,'Atividades Micro'!$G498="Micro",'Atividades Micro'!$K498&lt;&gt;""),'Atividades Micro'!$K498,"")</f>
        <v/>
      </c>
      <c r="CJ446" s="21" t="str">
        <f>IF(AND('Atividades Micro'!$B498=CJ$2,'Atividades Micro'!$G498="Micro",'Atividades Micro'!$K498&lt;&gt;""),'Atividades Micro'!$K498,"")</f>
        <v/>
      </c>
      <c r="CK446" s="21" t="str">
        <f>IF(AND('Atividades Micro'!$B498=CK$2,'Atividades Micro'!$G498="Micro",'Atividades Micro'!$K498&lt;&gt;""),'Atividades Micro'!$K498,"")</f>
        <v/>
      </c>
      <c r="CL446" s="21" t="str">
        <f>IF(AND('Atividades Micro'!$B498=CL$2,'Atividades Micro'!$G498="Micro",'Atividades Micro'!$K498&lt;&gt;""),'Atividades Micro'!$K498,"")</f>
        <v/>
      </c>
      <c r="CM446" s="21" t="str">
        <f>IF(AND('Atividades Micro'!$B498=CM$2,'Atividades Micro'!$G498="Micro",'Atividades Micro'!$K498&lt;&gt;""),'Atividades Micro'!$K498,"")</f>
        <v/>
      </c>
      <c r="CN446" s="21" t="str">
        <f>IF(AND('Atividades Micro'!$B498=CN$2,'Atividades Micro'!$G498="Micro",'Atividades Micro'!$K498&lt;&gt;""),'Atividades Micro'!$K498,"")</f>
        <v/>
      </c>
      <c r="CO446" s="21" t="str">
        <f>IF(AND('Atividades Micro'!$B498=CO$2,'Atividades Micro'!$G498="Micro",'Atividades Micro'!$K498&lt;&gt;""),'Atividades Micro'!$K498,"")</f>
        <v/>
      </c>
    </row>
    <row r="447" spans="1:93">
      <c r="A447" s="21" t="str">
        <f>IF(AND('Atividades Micro'!$A499=A$2,'Atividades Micro'!$K499&lt;&gt;""),'Atividades Micro'!$K499,"")</f>
        <v/>
      </c>
      <c r="B447" s="21" t="str">
        <f>IF(AND('Atividades Micro'!$A499=B$2,'Atividades Micro'!$L499&lt;&gt;""),'Atividades Micro'!$L499,"")</f>
        <v/>
      </c>
      <c r="C447" s="21" t="str">
        <f>IF(AND('Atividades Micro'!$A499=C$2,'Atividades Micro'!$K499&lt;&gt;""),'Atividades Micro'!$K499,"")</f>
        <v/>
      </c>
      <c r="D447" s="21" t="str">
        <f>IF(AND('Atividades Micro'!$A499=D$2,'Atividades Micro'!$L499&lt;&gt;""),'Atividades Micro'!$L499,"")</f>
        <v/>
      </c>
      <c r="E447" s="21" t="str">
        <f>IF(AND('Atividades Micro'!$A499=E$2,'Atividades Micro'!$K499&lt;&gt;""),'Atividades Micro'!$K499,"")</f>
        <v/>
      </c>
      <c r="F447" s="21" t="str">
        <f>IF(AND('Atividades Micro'!$A499=F$2,'Atividades Micro'!$L499&lt;&gt;""),'Atividades Micro'!$L499,"")</f>
        <v/>
      </c>
      <c r="G447" s="21" t="str">
        <f>IF(AND('Atividades Micro'!$A499=G$2,'Atividades Micro'!$K499&lt;&gt;""),'Atividades Micro'!$K499,"")</f>
        <v/>
      </c>
      <c r="H447" s="21" t="str">
        <f>IF(AND('Atividades Micro'!$A499=H$2,'Atividades Micro'!$L499&lt;&gt;""),'Atividades Micro'!$L499,"")</f>
        <v/>
      </c>
      <c r="I447" s="21" t="str">
        <f>IF(AND('Atividades Micro'!$A499=I$2,'Atividades Micro'!$K499&lt;&gt;""),'Atividades Micro'!$K499,"")</f>
        <v/>
      </c>
      <c r="J447" s="21" t="str">
        <f>IF(AND('Atividades Micro'!$A499=J$2,'Atividades Micro'!$L499&lt;&gt;""),'Atividades Micro'!$L499,"")</f>
        <v/>
      </c>
      <c r="K447" s="21" t="str">
        <f>IF(AND('Atividades Micro'!$B499=K$2,'Atividades Micro'!$K499&lt;&gt;""),'Atividades Micro'!$K499,"")</f>
        <v/>
      </c>
      <c r="L447" s="21" t="str">
        <f>IF(AND('Atividades Micro'!$B499=L$2,'Atividades Micro'!$L499&lt;&gt;""),'Atividades Micro'!$L499,"")</f>
        <v/>
      </c>
      <c r="M447" s="21" t="str">
        <f>IF(AND('Atividades Micro'!$B499=M$2,'Atividades Micro'!$K499&lt;&gt;""),'Atividades Micro'!$K499,"")</f>
        <v/>
      </c>
      <c r="N447" s="21" t="str">
        <f>IF(AND('Atividades Micro'!$B499=N$2,'Atividades Micro'!$L499&lt;&gt;""),'Atividades Micro'!$L499,"")</f>
        <v/>
      </c>
      <c r="O447" s="21" t="str">
        <f>IF(AND('Atividades Micro'!$A499=O$2,'Atividades Micro'!$K499&lt;&gt;""),'Atividades Micro'!$K499,"")</f>
        <v/>
      </c>
      <c r="P447" s="21" t="str">
        <f>IF(AND('Atividades Micro'!$A499=P$2,'Atividades Micro'!$L499&lt;&gt;""),'Atividades Micro'!$L499,"")</f>
        <v/>
      </c>
      <c r="Q447" s="21" t="str">
        <f>IF(AND('Atividades Micro'!$B499=Q$2,'Atividades Micro'!$K499&lt;&gt;""),'Atividades Micro'!$K499,"")</f>
        <v/>
      </c>
      <c r="R447" s="21" t="str">
        <f>IF(AND('Atividades Micro'!$B499=R$2,'Atividades Micro'!$L499&lt;&gt;""),'Atividades Micro'!$L499,"")</f>
        <v/>
      </c>
      <c r="S447" s="21" t="str">
        <f>IF(AND('Atividades Micro'!$A499=S$2,'Atividades Micro'!$K499&lt;&gt;""),'Atividades Micro'!$K499,"")</f>
        <v/>
      </c>
      <c r="T447" s="21" t="str">
        <f>IF(AND('Atividades Micro'!$A499=T$2,'Atividades Micro'!$L499&lt;&gt;""),'Atividades Micro'!$L499,"")</f>
        <v/>
      </c>
      <c r="U447" s="21" t="str">
        <f>IF(AND('Atividades Micro'!$B499=U$2,'Atividades Micro'!$K499&lt;&gt;""),'Atividades Micro'!$K499,"")</f>
        <v/>
      </c>
      <c r="V447" s="21" t="str">
        <f>IF(AND('Atividades Micro'!$B499=V$2,'Atividades Micro'!$L499&lt;&gt;""),'Atividades Micro'!$L499,"")</f>
        <v/>
      </c>
      <c r="W447" s="21" t="str">
        <f>IF(AND('Atividades Micro'!$B499=W$2,'Atividades Micro'!$K499&lt;&gt;""),'Atividades Micro'!$K499,"")</f>
        <v/>
      </c>
      <c r="X447" s="21" t="str">
        <f>IF(AND('Atividades Micro'!$B499=X$2,'Atividades Micro'!$L499&lt;&gt;""),'Atividades Micro'!$L499,"")</f>
        <v/>
      </c>
      <c r="Y447" s="21" t="str">
        <f>IF(AND('Atividades Micro'!$A499=Y$2,'Atividades Micro'!$K499&lt;&gt;""),'Atividades Micro'!$K499,"")</f>
        <v/>
      </c>
      <c r="Z447" s="21" t="str">
        <f>IF(AND('Atividades Micro'!$A499=Z$2,'Atividades Micro'!$L499&lt;&gt;""),'Atividades Micro'!$L499,"")</f>
        <v/>
      </c>
      <c r="AA447" s="21" t="str">
        <f>IF(AND('Atividades Micro'!$B499=AA$2,'Atividades Micro'!$K499&lt;&gt;""),'Atividades Micro'!$K499,"")</f>
        <v/>
      </c>
      <c r="AB447" s="21" t="str">
        <f>IF(AND('Atividades Micro'!$B499=AB$2,'Atividades Micro'!$L499&lt;&gt;""),'Atividades Micro'!$L499,"")</f>
        <v/>
      </c>
      <c r="AC447" s="21" t="str">
        <f>IF(AND('Atividades Micro'!$B499=AC$2,'Atividades Micro'!$K499&lt;&gt;""),'Atividades Micro'!$K499,"")</f>
        <v/>
      </c>
      <c r="AD447" s="21" t="str">
        <f>IF(AND('Atividades Micro'!$B499=AD$2,'Atividades Micro'!$L499&lt;&gt;""),'Atividades Micro'!$L499,"")</f>
        <v/>
      </c>
      <c r="AE447" s="21" t="str">
        <f>IF(AND('Atividades Micro'!$A499=AE$2,'Atividades Micro'!$K499&lt;&gt;""),'Atividades Micro'!$K499,"")</f>
        <v/>
      </c>
      <c r="AF447" s="21" t="str">
        <f>IF(AND('Atividades Micro'!$A499=AF$2,'Atividades Micro'!$L499&lt;&gt;""),'Atividades Micro'!$L499,"")</f>
        <v/>
      </c>
      <c r="AG447" s="21" t="str">
        <f>IF(AND('Atividades Micro'!$B499=AG$2,'Atividades Micro'!$K499&lt;&gt;""),'Atividades Micro'!$K499,"")</f>
        <v/>
      </c>
      <c r="AH447" s="21" t="str">
        <f>IF(AND('Atividades Micro'!$B499=AH$2,'Atividades Micro'!$L499&lt;&gt;""),'Atividades Micro'!$L499,"")</f>
        <v/>
      </c>
      <c r="AI447" s="21" t="str">
        <f>IF(AND('Atividades Micro'!$B499=AI$2,'Atividades Micro'!$K499&lt;&gt;""),'Atividades Micro'!$K499,"")</f>
        <v/>
      </c>
      <c r="AJ447" s="21" t="str">
        <f>IF(AND('Atividades Micro'!$B499=AJ$2,'Atividades Micro'!$L499&lt;&gt;""),'Atividades Micro'!$L499,"")</f>
        <v/>
      </c>
      <c r="AK447" s="21" t="str">
        <f>IF(AND('Atividades Micro'!$A499=AK$2,'Atividades Micro'!$K499&lt;&gt;""),'Atividades Micro'!$K499,"")</f>
        <v/>
      </c>
      <c r="AL447" s="21" t="str">
        <f>IF(AND('Atividades Micro'!$A499=AL$2,'Atividades Micro'!$L499&lt;&gt;""),'Atividades Micro'!$L499,"")</f>
        <v/>
      </c>
      <c r="AM447" s="21" t="str">
        <f>IF(AND('Atividades Micro'!$B499=AM$2,'Atividades Micro'!$K499&lt;&gt;""),'Atividades Micro'!$K499,"")</f>
        <v/>
      </c>
      <c r="AN447" s="21" t="str">
        <f>IF(AND('Atividades Micro'!$B499=AN$2,'Atividades Micro'!$L499&lt;&gt;""),'Atividades Micro'!$L499,"")</f>
        <v/>
      </c>
      <c r="AO447" s="21" t="str">
        <f>IF(AND('Atividades Micro'!$B499=AO$2,'Atividades Micro'!$K499&lt;&gt;""),'Atividades Micro'!$K499,"")</f>
        <v/>
      </c>
      <c r="AP447" s="21" t="str">
        <f>IF(AND('Atividades Micro'!$B499=AP$2,'Atividades Micro'!$L499&lt;&gt;""),'Atividades Micro'!$L499,"")</f>
        <v/>
      </c>
      <c r="AQ447" s="21" t="str">
        <f>IF(AND('Atividades Micro'!$A499=AQ$2,'Atividades Micro'!$K499&lt;&gt;""),'Atividades Micro'!$K499,"")</f>
        <v/>
      </c>
      <c r="AR447" s="21" t="str">
        <f>IF(AND('Atividades Micro'!$A499=AR$2,'Atividades Micro'!$L499&lt;&gt;""),'Atividades Micro'!$L499,"")</f>
        <v/>
      </c>
      <c r="AS447" s="21" t="str">
        <f>IF(AND('Atividades Micro'!$B499=AS$2,'Atividades Micro'!$K499&lt;&gt;""),'Atividades Micro'!$K499,"")</f>
        <v/>
      </c>
      <c r="AT447" s="21" t="str">
        <f>IF(AND('Atividades Micro'!$B499=AT$2,'Atividades Micro'!$L499&lt;&gt;""),'Atividades Micro'!$L499,"")</f>
        <v/>
      </c>
      <c r="AU447" s="21" t="str">
        <f>IF(AND('Atividades Micro'!$A499=AU$2,'Atividades Micro'!$K499&lt;&gt;""),'Atividades Micro'!$K499,"")</f>
        <v/>
      </c>
      <c r="AV447" s="21" t="str">
        <f>IF(AND('Atividades Micro'!$A499=AV$2,'Atividades Micro'!$L499&lt;&gt;""),'Atividades Micro'!$L499,"")</f>
        <v/>
      </c>
      <c r="AW447" s="21" t="str">
        <f>IF(AND('Atividades Micro'!$B499=AW$2,'Atividades Micro'!$K499&lt;&gt;""),'Atividades Micro'!$K499,"")</f>
        <v/>
      </c>
      <c r="AX447" s="21" t="str">
        <f>IF(AND('Atividades Micro'!$B499=AX$2,'Atividades Micro'!$L499&lt;&gt;""),'Atividades Micro'!$L499,"")</f>
        <v/>
      </c>
      <c r="AY447" s="21" t="str">
        <f>IF(AND('Atividades Micro'!$A499=AY$2,'Atividades Micro'!$K499&lt;&gt;""),'Atividades Micro'!$K499,"")</f>
        <v/>
      </c>
      <c r="AZ447" s="21" t="str">
        <f>IF(AND('Atividades Micro'!$A499=AZ$2,'Atividades Micro'!$L499&lt;&gt;""),'Atividades Micro'!$L499,"")</f>
        <v/>
      </c>
      <c r="BA447" s="21" t="str">
        <f>IF(AND('Atividades Micro'!$B499=BA$2,'Atividades Micro'!$K499&lt;&gt;""),'Atividades Micro'!$K499,"")</f>
        <v/>
      </c>
      <c r="BB447" s="21" t="str">
        <f>IF(AND('Atividades Micro'!$B499=BB$2,'Atividades Micro'!$L499&lt;&gt;""),'Atividades Micro'!$L499,"")</f>
        <v/>
      </c>
      <c r="BC447" s="21" t="str">
        <f>IF(AND('Atividades Micro'!$B499=BC$2,'Atividades Micro'!$G499="Macro",'Atividades Micro'!$K499&lt;&gt;""),'Atividades Micro'!$K499,"")</f>
        <v/>
      </c>
      <c r="BD447" s="21" t="str">
        <f>IF(AND('Atividades Micro'!$B499=BD$2,'Atividades Micro'!$G499="Macro",'Atividades Micro'!$K499&lt;&gt;""),'Atividades Micro'!$K499,"")</f>
        <v/>
      </c>
      <c r="BE447" s="21" t="str">
        <f>IF(AND('Atividades Micro'!$B499=BE$2,'Atividades Micro'!$G499="Macro",'Atividades Micro'!$K499&lt;&gt;""),'Atividades Micro'!$K499,"")</f>
        <v/>
      </c>
      <c r="BF447" s="21" t="str">
        <f>IF(AND('Atividades Micro'!$B499=BF$2,'Atividades Micro'!$G499="Macro",'Atividades Micro'!$K499&lt;&gt;""),'Atividades Micro'!$K499,"")</f>
        <v/>
      </c>
      <c r="BG447" s="21" t="str">
        <f>IF(AND('Atividades Micro'!$B499=BG$2,'Atividades Micro'!$G499="Macro",'Atividades Micro'!$K499&lt;&gt;""),'Atividades Micro'!$K499,"")</f>
        <v/>
      </c>
      <c r="BH447" s="21" t="str">
        <f>IF(AND('Atividades Micro'!$B499=BH$2,'Atividades Micro'!$G499="Macro",'Atividades Micro'!$K499&lt;&gt;""),'Atividades Micro'!$K499,"")</f>
        <v/>
      </c>
      <c r="BI447" s="21" t="str">
        <f>IF(AND('Atividades Micro'!$B499=BI$2,'Atividades Micro'!$G499="Macro",'Atividades Micro'!$K499&lt;&gt;""),'Atividades Micro'!$K499,"")</f>
        <v/>
      </c>
      <c r="BJ447" s="21" t="str">
        <f>IF(AND('Atividades Micro'!$B499=BJ$2,'Atividades Micro'!$G499="Macro",'Atividades Micro'!$K499&lt;&gt;""),'Atividades Micro'!$K499,"")</f>
        <v/>
      </c>
      <c r="BK447" s="21" t="str">
        <f>IF(AND('Atividades Micro'!$B499=BK$2,'Atividades Micro'!$G499="Macro",'Atividades Micro'!$K499&lt;&gt;""),'Atividades Micro'!$K499,"")</f>
        <v/>
      </c>
      <c r="BL447" s="21" t="str">
        <f>IF(AND('Atividades Micro'!$B499=BL$2,'Atividades Micro'!$G499="Macro",'Atividades Micro'!$K499&lt;&gt;""),'Atividades Micro'!$K499,"")</f>
        <v/>
      </c>
      <c r="BM447" s="21" t="str">
        <f>IF(AND('Atividades Micro'!$B499=BM$2,'Atividades Micro'!$G499="Macro",'Atividades Micro'!$K499&lt;&gt;""),'Atividades Micro'!$K499,"")</f>
        <v/>
      </c>
      <c r="BN447" s="21" t="str">
        <f>IF(AND('Atividades Micro'!$B499=BN$2,'Atividades Micro'!$G499="Macro",'Atividades Micro'!$K499&lt;&gt;""),'Atividades Micro'!$K499,"")</f>
        <v/>
      </c>
      <c r="BO447" s="21" t="str">
        <f>IF(AND('Atividades Micro'!$B499=BO$2,'Atividades Micro'!$G499="Macro",'Atividades Micro'!$K499&lt;&gt;""),'Atividades Micro'!$K499,"")</f>
        <v/>
      </c>
      <c r="BP447" s="21" t="str">
        <f>IF(AND('Atividades Micro'!$B499=BP$2,'Atividades Micro'!$G499="Macro",'Atividades Micro'!$K499&lt;&gt;""),'Atividades Micro'!$K499,"")</f>
        <v/>
      </c>
      <c r="BQ447" s="21" t="str">
        <f>IF(AND('Atividades Micro'!$B499=BQ$2,'Atividades Micro'!$G499="Macro",'Atividades Micro'!$K499&lt;&gt;""),'Atividades Micro'!$K499,"")</f>
        <v/>
      </c>
      <c r="BR447" s="21" t="str">
        <f>IF(AND('Atividades Micro'!$B499=BR$2,'Atividades Micro'!$G499="Macro",'Atividades Micro'!$K499&lt;&gt;""),'Atividades Micro'!$K499,"")</f>
        <v/>
      </c>
      <c r="BS447" s="21" t="str">
        <f>IF(AND('Atividades Micro'!$B499=BS$2,'Atividades Micro'!$G499="Macro",'Atividades Micro'!$K499&lt;&gt;""),'Atividades Micro'!$K499,"")</f>
        <v/>
      </c>
      <c r="BT447" s="21" t="str">
        <f>IF(AND('Atividades Micro'!$B499=BT$2,'Atividades Micro'!$G499="Macro",'Atividades Micro'!$K499&lt;&gt;""),'Atividades Micro'!$K499,"")</f>
        <v/>
      </c>
      <c r="BU447" s="21" t="str">
        <f>IF(AND('Atividades Micro'!$B499=BU$2,'Atividades Micro'!$G499="Macro",'Atividades Micro'!$K499&lt;&gt;""),'Atividades Micro'!$K499,"")</f>
        <v/>
      </c>
      <c r="BV447" s="21" t="str">
        <f>IF(AND('Atividades Micro'!$B499=BV$2,'Atividades Micro'!$G499="Macro",'Atividades Micro'!$K499&lt;&gt;""),'Atividades Micro'!$K499,"")</f>
        <v/>
      </c>
      <c r="BW447" s="21" t="str">
        <f>IF(AND('Atividades Micro'!$B499=BW$2,'Atividades Micro'!$G499="Macro",'Atividades Micro'!$K499&lt;&gt;""),'Atividades Micro'!$K499,"")</f>
        <v/>
      </c>
      <c r="BX447" s="21" t="str">
        <f>IF(AND('Atividades Micro'!$B499=BX$2,'Atividades Micro'!$G499="Macro",'Atividades Micro'!$K499&lt;&gt;""),'Atividades Micro'!$K499,"")</f>
        <v/>
      </c>
      <c r="BY447" s="21" t="str">
        <f>IF(AND('Atividades Micro'!$B499=BY$2,'Atividades Micro'!$G499="Macro",'Atividades Micro'!$K499&lt;&gt;""),'Atividades Micro'!$K499,"")</f>
        <v/>
      </c>
      <c r="BZ447" s="21" t="str">
        <f>IF(AND('Atividades Micro'!$B499=BZ$2,'Atividades Micro'!$G499="Macro",'Atividades Micro'!$K499&lt;&gt;""),'Atividades Micro'!$K499,"")</f>
        <v/>
      </c>
      <c r="CA447" s="21" t="str">
        <f>IF(AND('Atividades Micro'!$B499=CA$2,'Atividades Micro'!$G499="Macro",'Atividades Micro'!$K499&lt;&gt;""),'Atividades Micro'!$K499,"")</f>
        <v/>
      </c>
      <c r="CB447" s="21" t="str">
        <f>IF(AND('Atividades Micro'!$B499=CB$2,'Atividades Micro'!$G499="Macro",'Atividades Micro'!$K499&lt;&gt;""),'Atividades Micro'!$K499,"")</f>
        <v/>
      </c>
      <c r="CC447" s="21" t="str">
        <f>IF(AND('Atividades Micro'!$B499=CC$2,'Atividades Micro'!$G499="Macro",'Atividades Micro'!$K499&lt;&gt;""),'Atividades Micro'!$K499,"")</f>
        <v/>
      </c>
      <c r="CD447" s="21" t="str">
        <f>IF(AND('Atividades Micro'!$B499=CD$2,'Atividades Micro'!$G499="Micro",'Atividades Micro'!$K499&lt;&gt;""),'Atividades Micro'!$K499,"")</f>
        <v/>
      </c>
      <c r="CE447" s="21" t="str">
        <f>IF(AND('Atividades Micro'!$B499=CE$2,'Atividades Micro'!$G499="Micro",'Atividades Micro'!$K499&lt;&gt;""),'Atividades Micro'!$K499,"")</f>
        <v/>
      </c>
      <c r="CF447" s="21" t="str">
        <f>IF(AND('Atividades Micro'!$B499=CF$2,'Atividades Micro'!$G499="Micro",'Atividades Micro'!$K499&lt;&gt;""),'Atividades Micro'!$K499,"")</f>
        <v/>
      </c>
      <c r="CG447" s="21" t="str">
        <f>IF(AND('Atividades Micro'!$B499=CG$2,'Atividades Micro'!$G499="Micro",'Atividades Micro'!$K499&lt;&gt;""),'Atividades Micro'!$K499,"")</f>
        <v/>
      </c>
      <c r="CH447" s="21" t="str">
        <f>IF(AND('Atividades Micro'!$B499=CH$2,'Atividades Micro'!$G499="Micro",'Atividades Micro'!$K499&lt;&gt;""),'Atividades Micro'!$K499,"")</f>
        <v/>
      </c>
      <c r="CI447" s="21" t="str">
        <f>IF(AND('Atividades Micro'!$B499=CI$2,'Atividades Micro'!$G499="Micro",'Atividades Micro'!$K499&lt;&gt;""),'Atividades Micro'!$K499,"")</f>
        <v/>
      </c>
      <c r="CJ447" s="21" t="str">
        <f>IF(AND('Atividades Micro'!$B499=CJ$2,'Atividades Micro'!$G499="Micro",'Atividades Micro'!$K499&lt;&gt;""),'Atividades Micro'!$K499,"")</f>
        <v/>
      </c>
      <c r="CK447" s="21" t="str">
        <f>IF(AND('Atividades Micro'!$B499=CK$2,'Atividades Micro'!$G499="Micro",'Atividades Micro'!$K499&lt;&gt;""),'Atividades Micro'!$K499,"")</f>
        <v/>
      </c>
      <c r="CL447" s="21" t="str">
        <f>IF(AND('Atividades Micro'!$B499=CL$2,'Atividades Micro'!$G499="Micro",'Atividades Micro'!$K499&lt;&gt;""),'Atividades Micro'!$K499,"")</f>
        <v/>
      </c>
      <c r="CM447" s="21" t="str">
        <f>IF(AND('Atividades Micro'!$B499=CM$2,'Atividades Micro'!$G499="Micro",'Atividades Micro'!$K499&lt;&gt;""),'Atividades Micro'!$K499,"")</f>
        <v/>
      </c>
      <c r="CN447" s="21" t="str">
        <f>IF(AND('Atividades Micro'!$B499=CN$2,'Atividades Micro'!$G499="Micro",'Atividades Micro'!$K499&lt;&gt;""),'Atividades Micro'!$K499,"")</f>
        <v/>
      </c>
      <c r="CO447" s="21" t="str">
        <f>IF(AND('Atividades Micro'!$B499=CO$2,'Atividades Micro'!$G499="Micro",'Atividades Micro'!$K499&lt;&gt;""),'Atividades Micro'!$K499,"")</f>
        <v/>
      </c>
    </row>
    <row r="448" spans="1:93">
      <c r="A448" s="21" t="str">
        <f>IF(AND('Atividades Micro'!$A500=A$2,'Atividades Micro'!$K500&lt;&gt;""),'Atividades Micro'!$K500,"")</f>
        <v/>
      </c>
      <c r="B448" s="21" t="str">
        <f>IF(AND('Atividades Micro'!$A500=B$2,'Atividades Micro'!$L500&lt;&gt;""),'Atividades Micro'!$L500,"")</f>
        <v/>
      </c>
      <c r="C448" s="21" t="str">
        <f>IF(AND('Atividades Micro'!$A500=C$2,'Atividades Micro'!$K500&lt;&gt;""),'Atividades Micro'!$K500,"")</f>
        <v/>
      </c>
      <c r="D448" s="21" t="str">
        <f>IF(AND('Atividades Micro'!$A500=D$2,'Atividades Micro'!$L500&lt;&gt;""),'Atividades Micro'!$L500,"")</f>
        <v/>
      </c>
      <c r="E448" s="21" t="str">
        <f>IF(AND('Atividades Micro'!$A500=E$2,'Atividades Micro'!$K500&lt;&gt;""),'Atividades Micro'!$K500,"")</f>
        <v/>
      </c>
      <c r="F448" s="21" t="str">
        <f>IF(AND('Atividades Micro'!$A500=F$2,'Atividades Micro'!$L500&lt;&gt;""),'Atividades Micro'!$L500,"")</f>
        <v/>
      </c>
      <c r="G448" s="21" t="str">
        <f>IF(AND('Atividades Micro'!$A500=G$2,'Atividades Micro'!$K500&lt;&gt;""),'Atividades Micro'!$K500,"")</f>
        <v/>
      </c>
      <c r="H448" s="21" t="str">
        <f>IF(AND('Atividades Micro'!$A500=H$2,'Atividades Micro'!$L500&lt;&gt;""),'Atividades Micro'!$L500,"")</f>
        <v/>
      </c>
      <c r="I448" s="21" t="str">
        <f>IF(AND('Atividades Micro'!$A500=I$2,'Atividades Micro'!$K500&lt;&gt;""),'Atividades Micro'!$K500,"")</f>
        <v/>
      </c>
      <c r="J448" s="21" t="str">
        <f>IF(AND('Atividades Micro'!$A500=J$2,'Atividades Micro'!$L500&lt;&gt;""),'Atividades Micro'!$L500,"")</f>
        <v/>
      </c>
      <c r="K448" s="21" t="str">
        <f>IF(AND('Atividades Micro'!$B500=K$2,'Atividades Micro'!$K500&lt;&gt;""),'Atividades Micro'!$K500,"")</f>
        <v/>
      </c>
      <c r="L448" s="21" t="str">
        <f>IF(AND('Atividades Micro'!$B500=L$2,'Atividades Micro'!$L500&lt;&gt;""),'Atividades Micro'!$L500,"")</f>
        <v/>
      </c>
      <c r="M448" s="21" t="str">
        <f>IF(AND('Atividades Micro'!$B500=M$2,'Atividades Micro'!$K500&lt;&gt;""),'Atividades Micro'!$K500,"")</f>
        <v/>
      </c>
      <c r="N448" s="21" t="str">
        <f>IF(AND('Atividades Micro'!$B500=N$2,'Atividades Micro'!$L500&lt;&gt;""),'Atividades Micro'!$L500,"")</f>
        <v/>
      </c>
      <c r="O448" s="21" t="str">
        <f>IF(AND('Atividades Micro'!$A500=O$2,'Atividades Micro'!$K500&lt;&gt;""),'Atividades Micro'!$K500,"")</f>
        <v/>
      </c>
      <c r="P448" s="21" t="str">
        <f>IF(AND('Atividades Micro'!$A500=P$2,'Atividades Micro'!$L500&lt;&gt;""),'Atividades Micro'!$L500,"")</f>
        <v/>
      </c>
      <c r="Q448" s="21" t="str">
        <f>IF(AND('Atividades Micro'!$B500=Q$2,'Atividades Micro'!$K500&lt;&gt;""),'Atividades Micro'!$K500,"")</f>
        <v/>
      </c>
      <c r="R448" s="21" t="str">
        <f>IF(AND('Atividades Micro'!$B500=R$2,'Atividades Micro'!$L500&lt;&gt;""),'Atividades Micro'!$L500,"")</f>
        <v/>
      </c>
      <c r="S448" s="21" t="str">
        <f>IF(AND('Atividades Micro'!$A500=S$2,'Atividades Micro'!$K500&lt;&gt;""),'Atividades Micro'!$K500,"")</f>
        <v/>
      </c>
      <c r="T448" s="21" t="str">
        <f>IF(AND('Atividades Micro'!$A500=T$2,'Atividades Micro'!$L500&lt;&gt;""),'Atividades Micro'!$L500,"")</f>
        <v/>
      </c>
      <c r="U448" s="21" t="str">
        <f>IF(AND('Atividades Micro'!$B500=U$2,'Atividades Micro'!$K500&lt;&gt;""),'Atividades Micro'!$K500,"")</f>
        <v/>
      </c>
      <c r="V448" s="21" t="str">
        <f>IF(AND('Atividades Micro'!$B500=V$2,'Atividades Micro'!$L500&lt;&gt;""),'Atividades Micro'!$L500,"")</f>
        <v/>
      </c>
      <c r="W448" s="21" t="str">
        <f>IF(AND('Atividades Micro'!$B500=W$2,'Atividades Micro'!$K500&lt;&gt;""),'Atividades Micro'!$K500,"")</f>
        <v/>
      </c>
      <c r="X448" s="21" t="str">
        <f>IF(AND('Atividades Micro'!$B500=X$2,'Atividades Micro'!$L500&lt;&gt;""),'Atividades Micro'!$L500,"")</f>
        <v/>
      </c>
      <c r="Y448" s="21" t="str">
        <f>IF(AND('Atividades Micro'!$A500=Y$2,'Atividades Micro'!$K500&lt;&gt;""),'Atividades Micro'!$K500,"")</f>
        <v/>
      </c>
      <c r="Z448" s="21" t="str">
        <f>IF(AND('Atividades Micro'!$A500=Z$2,'Atividades Micro'!$L500&lt;&gt;""),'Atividades Micro'!$L500,"")</f>
        <v/>
      </c>
      <c r="AA448" s="21" t="str">
        <f>IF(AND('Atividades Micro'!$B500=AA$2,'Atividades Micro'!$K500&lt;&gt;""),'Atividades Micro'!$K500,"")</f>
        <v/>
      </c>
      <c r="AB448" s="21" t="str">
        <f>IF(AND('Atividades Micro'!$B500=AB$2,'Atividades Micro'!$L500&lt;&gt;""),'Atividades Micro'!$L500,"")</f>
        <v/>
      </c>
      <c r="AC448" s="21" t="str">
        <f>IF(AND('Atividades Micro'!$B500=AC$2,'Atividades Micro'!$K500&lt;&gt;""),'Atividades Micro'!$K500,"")</f>
        <v/>
      </c>
      <c r="AD448" s="21" t="str">
        <f>IF(AND('Atividades Micro'!$B500=AD$2,'Atividades Micro'!$L500&lt;&gt;""),'Atividades Micro'!$L500,"")</f>
        <v/>
      </c>
      <c r="AE448" s="21" t="str">
        <f>IF(AND('Atividades Micro'!$A500=AE$2,'Atividades Micro'!$K500&lt;&gt;""),'Atividades Micro'!$K500,"")</f>
        <v/>
      </c>
      <c r="AF448" s="21" t="str">
        <f>IF(AND('Atividades Micro'!$A500=AF$2,'Atividades Micro'!$L500&lt;&gt;""),'Atividades Micro'!$L500,"")</f>
        <v/>
      </c>
      <c r="AG448" s="21" t="str">
        <f>IF(AND('Atividades Micro'!$B500=AG$2,'Atividades Micro'!$K500&lt;&gt;""),'Atividades Micro'!$K500,"")</f>
        <v/>
      </c>
      <c r="AH448" s="21" t="str">
        <f>IF(AND('Atividades Micro'!$B500=AH$2,'Atividades Micro'!$L500&lt;&gt;""),'Atividades Micro'!$L500,"")</f>
        <v/>
      </c>
      <c r="AI448" s="21" t="str">
        <f>IF(AND('Atividades Micro'!$B500=AI$2,'Atividades Micro'!$K500&lt;&gt;""),'Atividades Micro'!$K500,"")</f>
        <v/>
      </c>
      <c r="AJ448" s="21" t="str">
        <f>IF(AND('Atividades Micro'!$B500=AJ$2,'Atividades Micro'!$L500&lt;&gt;""),'Atividades Micro'!$L500,"")</f>
        <v/>
      </c>
      <c r="AK448" s="21" t="str">
        <f>IF(AND('Atividades Micro'!$A500=AK$2,'Atividades Micro'!$K500&lt;&gt;""),'Atividades Micro'!$K500,"")</f>
        <v/>
      </c>
      <c r="AL448" s="21" t="str">
        <f>IF(AND('Atividades Micro'!$A500=AL$2,'Atividades Micro'!$L500&lt;&gt;""),'Atividades Micro'!$L500,"")</f>
        <v/>
      </c>
      <c r="AM448" s="21" t="str">
        <f>IF(AND('Atividades Micro'!$B500=AM$2,'Atividades Micro'!$K500&lt;&gt;""),'Atividades Micro'!$K500,"")</f>
        <v/>
      </c>
      <c r="AN448" s="21" t="str">
        <f>IF(AND('Atividades Micro'!$B500=AN$2,'Atividades Micro'!$L500&lt;&gt;""),'Atividades Micro'!$L500,"")</f>
        <v/>
      </c>
      <c r="AO448" s="21" t="str">
        <f>IF(AND('Atividades Micro'!$B500=AO$2,'Atividades Micro'!$K500&lt;&gt;""),'Atividades Micro'!$K500,"")</f>
        <v/>
      </c>
      <c r="AP448" s="21" t="str">
        <f>IF(AND('Atividades Micro'!$B500=AP$2,'Atividades Micro'!$L500&lt;&gt;""),'Atividades Micro'!$L500,"")</f>
        <v/>
      </c>
      <c r="AQ448" s="21" t="str">
        <f>IF(AND('Atividades Micro'!$A500=AQ$2,'Atividades Micro'!$K500&lt;&gt;""),'Atividades Micro'!$K500,"")</f>
        <v/>
      </c>
      <c r="AR448" s="21" t="str">
        <f>IF(AND('Atividades Micro'!$A500=AR$2,'Atividades Micro'!$L500&lt;&gt;""),'Atividades Micro'!$L500,"")</f>
        <v/>
      </c>
      <c r="AS448" s="21" t="str">
        <f>IF(AND('Atividades Micro'!$B500=AS$2,'Atividades Micro'!$K500&lt;&gt;""),'Atividades Micro'!$K500,"")</f>
        <v/>
      </c>
      <c r="AT448" s="21" t="str">
        <f>IF(AND('Atividades Micro'!$B500=AT$2,'Atividades Micro'!$L500&lt;&gt;""),'Atividades Micro'!$L500,"")</f>
        <v/>
      </c>
      <c r="AU448" s="21" t="str">
        <f>IF(AND('Atividades Micro'!$A500=AU$2,'Atividades Micro'!$K500&lt;&gt;""),'Atividades Micro'!$K500,"")</f>
        <v/>
      </c>
      <c r="AV448" s="21" t="str">
        <f>IF(AND('Atividades Micro'!$A500=AV$2,'Atividades Micro'!$L500&lt;&gt;""),'Atividades Micro'!$L500,"")</f>
        <v/>
      </c>
      <c r="AW448" s="21" t="str">
        <f>IF(AND('Atividades Micro'!$B500=AW$2,'Atividades Micro'!$K500&lt;&gt;""),'Atividades Micro'!$K500,"")</f>
        <v/>
      </c>
      <c r="AX448" s="21" t="str">
        <f>IF(AND('Atividades Micro'!$B500=AX$2,'Atividades Micro'!$L500&lt;&gt;""),'Atividades Micro'!$L500,"")</f>
        <v/>
      </c>
      <c r="AY448" s="21" t="str">
        <f>IF(AND('Atividades Micro'!$A500=AY$2,'Atividades Micro'!$K500&lt;&gt;""),'Atividades Micro'!$K500,"")</f>
        <v/>
      </c>
      <c r="AZ448" s="21" t="str">
        <f>IF(AND('Atividades Micro'!$A500=AZ$2,'Atividades Micro'!$L500&lt;&gt;""),'Atividades Micro'!$L500,"")</f>
        <v/>
      </c>
      <c r="BA448" s="21" t="str">
        <f>IF(AND('Atividades Micro'!$B500=BA$2,'Atividades Micro'!$K500&lt;&gt;""),'Atividades Micro'!$K500,"")</f>
        <v/>
      </c>
      <c r="BB448" s="21" t="str">
        <f>IF(AND('Atividades Micro'!$B500=BB$2,'Atividades Micro'!$L500&lt;&gt;""),'Atividades Micro'!$L500,"")</f>
        <v/>
      </c>
      <c r="BC448" s="21" t="str">
        <f>IF(AND('Atividades Micro'!$B500=BC$2,'Atividades Micro'!$G500="Macro",'Atividades Micro'!$K500&lt;&gt;""),'Atividades Micro'!$K500,"")</f>
        <v/>
      </c>
      <c r="BD448" s="21" t="str">
        <f>IF(AND('Atividades Micro'!$B500=BD$2,'Atividades Micro'!$G500="Macro",'Atividades Micro'!$K500&lt;&gt;""),'Atividades Micro'!$K500,"")</f>
        <v/>
      </c>
      <c r="BE448" s="21" t="str">
        <f>IF(AND('Atividades Micro'!$B500=BE$2,'Atividades Micro'!$G500="Macro",'Atividades Micro'!$K500&lt;&gt;""),'Atividades Micro'!$K500,"")</f>
        <v/>
      </c>
      <c r="BF448" s="21" t="str">
        <f>IF(AND('Atividades Micro'!$B500=BF$2,'Atividades Micro'!$G500="Macro",'Atividades Micro'!$K500&lt;&gt;""),'Atividades Micro'!$K500,"")</f>
        <v/>
      </c>
      <c r="BG448" s="21" t="str">
        <f>IF(AND('Atividades Micro'!$B500=BG$2,'Atividades Micro'!$G500="Macro",'Atividades Micro'!$K500&lt;&gt;""),'Atividades Micro'!$K500,"")</f>
        <v/>
      </c>
      <c r="BH448" s="21" t="str">
        <f>IF(AND('Atividades Micro'!$B500=BH$2,'Atividades Micro'!$G500="Macro",'Atividades Micro'!$K500&lt;&gt;""),'Atividades Micro'!$K500,"")</f>
        <v/>
      </c>
      <c r="BI448" s="21" t="str">
        <f>IF(AND('Atividades Micro'!$B500=BI$2,'Atividades Micro'!$G500="Macro",'Atividades Micro'!$K500&lt;&gt;""),'Atividades Micro'!$K500,"")</f>
        <v/>
      </c>
      <c r="BJ448" s="21" t="str">
        <f>IF(AND('Atividades Micro'!$B500=BJ$2,'Atividades Micro'!$G500="Macro",'Atividades Micro'!$K500&lt;&gt;""),'Atividades Micro'!$K500,"")</f>
        <v/>
      </c>
      <c r="BK448" s="21" t="str">
        <f>IF(AND('Atividades Micro'!$B500=BK$2,'Atividades Micro'!$G500="Macro",'Atividades Micro'!$K500&lt;&gt;""),'Atividades Micro'!$K500,"")</f>
        <v/>
      </c>
      <c r="BL448" s="21" t="str">
        <f>IF(AND('Atividades Micro'!$B500=BL$2,'Atividades Micro'!$G500="Macro",'Atividades Micro'!$K500&lt;&gt;""),'Atividades Micro'!$K500,"")</f>
        <v/>
      </c>
      <c r="BM448" s="21" t="str">
        <f>IF(AND('Atividades Micro'!$B500=BM$2,'Atividades Micro'!$G500="Macro",'Atividades Micro'!$K500&lt;&gt;""),'Atividades Micro'!$K500,"")</f>
        <v/>
      </c>
      <c r="BN448" s="21" t="str">
        <f>IF(AND('Atividades Micro'!$B500=BN$2,'Atividades Micro'!$G500="Macro",'Atividades Micro'!$K500&lt;&gt;""),'Atividades Micro'!$K500,"")</f>
        <v/>
      </c>
      <c r="BO448" s="21" t="str">
        <f>IF(AND('Atividades Micro'!$B500=BO$2,'Atividades Micro'!$G500="Macro",'Atividades Micro'!$K500&lt;&gt;""),'Atividades Micro'!$K500,"")</f>
        <v/>
      </c>
      <c r="BP448" s="21" t="str">
        <f>IF(AND('Atividades Micro'!$B500=BP$2,'Atividades Micro'!$G500="Macro",'Atividades Micro'!$K500&lt;&gt;""),'Atividades Micro'!$K500,"")</f>
        <v/>
      </c>
      <c r="BQ448" s="21" t="str">
        <f>IF(AND('Atividades Micro'!$B500=BQ$2,'Atividades Micro'!$G500="Macro",'Atividades Micro'!$K500&lt;&gt;""),'Atividades Micro'!$K500,"")</f>
        <v/>
      </c>
      <c r="BR448" s="21" t="str">
        <f>IF(AND('Atividades Micro'!$B500=BR$2,'Atividades Micro'!$G500="Macro",'Atividades Micro'!$K500&lt;&gt;""),'Atividades Micro'!$K500,"")</f>
        <v/>
      </c>
      <c r="BS448" s="21" t="str">
        <f>IF(AND('Atividades Micro'!$B500=BS$2,'Atividades Micro'!$G500="Macro",'Atividades Micro'!$K500&lt;&gt;""),'Atividades Micro'!$K500,"")</f>
        <v/>
      </c>
      <c r="BT448" s="21" t="str">
        <f>IF(AND('Atividades Micro'!$B500=BT$2,'Atividades Micro'!$G500="Macro",'Atividades Micro'!$K500&lt;&gt;""),'Atividades Micro'!$K500,"")</f>
        <v/>
      </c>
      <c r="BU448" s="21" t="str">
        <f>IF(AND('Atividades Micro'!$B500=BU$2,'Atividades Micro'!$G500="Macro",'Atividades Micro'!$K500&lt;&gt;""),'Atividades Micro'!$K500,"")</f>
        <v/>
      </c>
      <c r="BV448" s="21" t="str">
        <f>IF(AND('Atividades Micro'!$B500=BV$2,'Atividades Micro'!$G500="Macro",'Atividades Micro'!$K500&lt;&gt;""),'Atividades Micro'!$K500,"")</f>
        <v/>
      </c>
      <c r="BW448" s="21" t="str">
        <f>IF(AND('Atividades Micro'!$B500=BW$2,'Atividades Micro'!$G500="Macro",'Atividades Micro'!$K500&lt;&gt;""),'Atividades Micro'!$K500,"")</f>
        <v/>
      </c>
      <c r="BX448" s="21" t="str">
        <f>IF(AND('Atividades Micro'!$B500=BX$2,'Atividades Micro'!$G500="Macro",'Atividades Micro'!$K500&lt;&gt;""),'Atividades Micro'!$K500,"")</f>
        <v/>
      </c>
      <c r="BY448" s="21" t="str">
        <f>IF(AND('Atividades Micro'!$B500=BY$2,'Atividades Micro'!$G500="Macro",'Atividades Micro'!$K500&lt;&gt;""),'Atividades Micro'!$K500,"")</f>
        <v/>
      </c>
      <c r="BZ448" s="21" t="str">
        <f>IF(AND('Atividades Micro'!$B500=BZ$2,'Atividades Micro'!$G500="Macro",'Atividades Micro'!$K500&lt;&gt;""),'Atividades Micro'!$K500,"")</f>
        <v/>
      </c>
      <c r="CA448" s="21" t="str">
        <f>IF(AND('Atividades Micro'!$B500=CA$2,'Atividades Micro'!$G500="Macro",'Atividades Micro'!$K500&lt;&gt;""),'Atividades Micro'!$K500,"")</f>
        <v/>
      </c>
      <c r="CB448" s="21" t="str">
        <f>IF(AND('Atividades Micro'!$B500=CB$2,'Atividades Micro'!$G500="Macro",'Atividades Micro'!$K500&lt;&gt;""),'Atividades Micro'!$K500,"")</f>
        <v/>
      </c>
      <c r="CC448" s="21" t="str">
        <f>IF(AND('Atividades Micro'!$B500=CC$2,'Atividades Micro'!$G500="Macro",'Atividades Micro'!$K500&lt;&gt;""),'Atividades Micro'!$K500,"")</f>
        <v/>
      </c>
      <c r="CD448" s="21" t="str">
        <f>IF(AND('Atividades Micro'!$B500=CD$2,'Atividades Micro'!$G500="Micro",'Atividades Micro'!$K500&lt;&gt;""),'Atividades Micro'!$K500,"")</f>
        <v/>
      </c>
      <c r="CE448" s="21" t="str">
        <f>IF(AND('Atividades Micro'!$B500=CE$2,'Atividades Micro'!$G500="Micro",'Atividades Micro'!$K500&lt;&gt;""),'Atividades Micro'!$K500,"")</f>
        <v/>
      </c>
      <c r="CF448" s="21" t="str">
        <f>IF(AND('Atividades Micro'!$B500=CF$2,'Atividades Micro'!$G500="Micro",'Atividades Micro'!$K500&lt;&gt;""),'Atividades Micro'!$K500,"")</f>
        <v/>
      </c>
      <c r="CG448" s="21" t="str">
        <f>IF(AND('Atividades Micro'!$B500=CG$2,'Atividades Micro'!$G500="Micro",'Atividades Micro'!$K500&lt;&gt;""),'Atividades Micro'!$K500,"")</f>
        <v/>
      </c>
      <c r="CH448" s="21" t="str">
        <f>IF(AND('Atividades Micro'!$B500=CH$2,'Atividades Micro'!$G500="Micro",'Atividades Micro'!$K500&lt;&gt;""),'Atividades Micro'!$K500,"")</f>
        <v/>
      </c>
      <c r="CI448" s="21" t="str">
        <f>IF(AND('Atividades Micro'!$B500=CI$2,'Atividades Micro'!$G500="Micro",'Atividades Micro'!$K500&lt;&gt;""),'Atividades Micro'!$K500,"")</f>
        <v/>
      </c>
      <c r="CJ448" s="21" t="str">
        <f>IF(AND('Atividades Micro'!$B500=CJ$2,'Atividades Micro'!$G500="Micro",'Atividades Micro'!$K500&lt;&gt;""),'Atividades Micro'!$K500,"")</f>
        <v/>
      </c>
      <c r="CK448" s="21" t="str">
        <f>IF(AND('Atividades Micro'!$B500=CK$2,'Atividades Micro'!$G500="Micro",'Atividades Micro'!$K500&lt;&gt;""),'Atividades Micro'!$K500,"")</f>
        <v/>
      </c>
      <c r="CL448" s="21" t="str">
        <f>IF(AND('Atividades Micro'!$B500=CL$2,'Atividades Micro'!$G500="Micro",'Atividades Micro'!$K500&lt;&gt;""),'Atividades Micro'!$K500,"")</f>
        <v/>
      </c>
      <c r="CM448" s="21" t="str">
        <f>IF(AND('Atividades Micro'!$B500=CM$2,'Atividades Micro'!$G500="Micro",'Atividades Micro'!$K500&lt;&gt;""),'Atividades Micro'!$K500,"")</f>
        <v/>
      </c>
      <c r="CN448" s="21" t="str">
        <f>IF(AND('Atividades Micro'!$B500=CN$2,'Atividades Micro'!$G500="Micro",'Atividades Micro'!$K500&lt;&gt;""),'Atividades Micro'!$K500,"")</f>
        <v/>
      </c>
      <c r="CO448" s="21" t="str">
        <f>IF(AND('Atividades Micro'!$B500=CO$2,'Atividades Micro'!$G500="Micro",'Atividades Micro'!$K500&lt;&gt;""),'Atividades Micro'!$K500,"")</f>
        <v/>
      </c>
    </row>
    <row r="449" spans="1:93">
      <c r="A449" s="21" t="str">
        <f>IF(AND('Atividades Micro'!$A501=A$2,'Atividades Micro'!$K501&lt;&gt;""),'Atividades Micro'!$K501,"")</f>
        <v/>
      </c>
      <c r="B449" s="21" t="str">
        <f>IF(AND('Atividades Micro'!$A501=B$2,'Atividades Micro'!$L501&lt;&gt;""),'Atividades Micro'!$L501,"")</f>
        <v/>
      </c>
      <c r="C449" s="21" t="str">
        <f>IF(AND('Atividades Micro'!$A501=C$2,'Atividades Micro'!$K501&lt;&gt;""),'Atividades Micro'!$K501,"")</f>
        <v/>
      </c>
      <c r="D449" s="21" t="str">
        <f>IF(AND('Atividades Micro'!$A501=D$2,'Atividades Micro'!$L501&lt;&gt;""),'Atividades Micro'!$L501,"")</f>
        <v/>
      </c>
      <c r="E449" s="21" t="str">
        <f>IF(AND('Atividades Micro'!$A501=E$2,'Atividades Micro'!$K501&lt;&gt;""),'Atividades Micro'!$K501,"")</f>
        <v/>
      </c>
      <c r="F449" s="21" t="str">
        <f>IF(AND('Atividades Micro'!$A501=F$2,'Atividades Micro'!$L501&lt;&gt;""),'Atividades Micro'!$L501,"")</f>
        <v/>
      </c>
      <c r="G449" s="21" t="str">
        <f>IF(AND('Atividades Micro'!$A501=G$2,'Atividades Micro'!$K501&lt;&gt;""),'Atividades Micro'!$K501,"")</f>
        <v/>
      </c>
      <c r="H449" s="21" t="str">
        <f>IF(AND('Atividades Micro'!$A501=H$2,'Atividades Micro'!$L501&lt;&gt;""),'Atividades Micro'!$L501,"")</f>
        <v/>
      </c>
      <c r="I449" s="21" t="str">
        <f>IF(AND('Atividades Micro'!$A501=I$2,'Atividades Micro'!$K501&lt;&gt;""),'Atividades Micro'!$K501,"")</f>
        <v/>
      </c>
      <c r="J449" s="21" t="str">
        <f>IF(AND('Atividades Micro'!$A501=J$2,'Atividades Micro'!$L501&lt;&gt;""),'Atividades Micro'!$L501,"")</f>
        <v/>
      </c>
      <c r="K449" s="21" t="str">
        <f>IF(AND('Atividades Micro'!$B501=K$2,'Atividades Micro'!$K501&lt;&gt;""),'Atividades Micro'!$K501,"")</f>
        <v/>
      </c>
      <c r="L449" s="21" t="str">
        <f>IF(AND('Atividades Micro'!$B501=L$2,'Atividades Micro'!$L501&lt;&gt;""),'Atividades Micro'!$L501,"")</f>
        <v/>
      </c>
      <c r="M449" s="21" t="str">
        <f>IF(AND('Atividades Micro'!$B501=M$2,'Atividades Micro'!$K501&lt;&gt;""),'Atividades Micro'!$K501,"")</f>
        <v/>
      </c>
      <c r="N449" s="21" t="str">
        <f>IF(AND('Atividades Micro'!$B501=N$2,'Atividades Micro'!$L501&lt;&gt;""),'Atividades Micro'!$L501,"")</f>
        <v/>
      </c>
      <c r="O449" s="21" t="str">
        <f>IF(AND('Atividades Micro'!$A501=O$2,'Atividades Micro'!$K501&lt;&gt;""),'Atividades Micro'!$K501,"")</f>
        <v/>
      </c>
      <c r="P449" s="21" t="str">
        <f>IF(AND('Atividades Micro'!$A501=P$2,'Atividades Micro'!$L501&lt;&gt;""),'Atividades Micro'!$L501,"")</f>
        <v/>
      </c>
      <c r="Q449" s="21" t="str">
        <f>IF(AND('Atividades Micro'!$B501=Q$2,'Atividades Micro'!$K501&lt;&gt;""),'Atividades Micro'!$K501,"")</f>
        <v/>
      </c>
      <c r="R449" s="21" t="str">
        <f>IF(AND('Atividades Micro'!$B501=R$2,'Atividades Micro'!$L501&lt;&gt;""),'Atividades Micro'!$L501,"")</f>
        <v/>
      </c>
      <c r="S449" s="21" t="str">
        <f>IF(AND('Atividades Micro'!$A501=S$2,'Atividades Micro'!$K501&lt;&gt;""),'Atividades Micro'!$K501,"")</f>
        <v/>
      </c>
      <c r="T449" s="21" t="str">
        <f>IF(AND('Atividades Micro'!$A501=T$2,'Atividades Micro'!$L501&lt;&gt;""),'Atividades Micro'!$L501,"")</f>
        <v/>
      </c>
      <c r="U449" s="21" t="str">
        <f>IF(AND('Atividades Micro'!$B501=U$2,'Atividades Micro'!$K501&lt;&gt;""),'Atividades Micro'!$K501,"")</f>
        <v/>
      </c>
      <c r="V449" s="21" t="str">
        <f>IF(AND('Atividades Micro'!$B501=V$2,'Atividades Micro'!$L501&lt;&gt;""),'Atividades Micro'!$L501,"")</f>
        <v/>
      </c>
      <c r="W449" s="21" t="str">
        <f>IF(AND('Atividades Micro'!$B501=W$2,'Atividades Micro'!$K501&lt;&gt;""),'Atividades Micro'!$K501,"")</f>
        <v/>
      </c>
      <c r="X449" s="21" t="str">
        <f>IF(AND('Atividades Micro'!$B501=X$2,'Atividades Micro'!$L501&lt;&gt;""),'Atividades Micro'!$L501,"")</f>
        <v/>
      </c>
      <c r="Y449" s="21" t="str">
        <f>IF(AND('Atividades Micro'!$A501=Y$2,'Atividades Micro'!$K501&lt;&gt;""),'Atividades Micro'!$K501,"")</f>
        <v/>
      </c>
      <c r="Z449" s="21" t="str">
        <f>IF(AND('Atividades Micro'!$A501=Z$2,'Atividades Micro'!$L501&lt;&gt;""),'Atividades Micro'!$L501,"")</f>
        <v/>
      </c>
      <c r="AA449" s="21" t="str">
        <f>IF(AND('Atividades Micro'!$B501=AA$2,'Atividades Micro'!$K501&lt;&gt;""),'Atividades Micro'!$K501,"")</f>
        <v/>
      </c>
      <c r="AB449" s="21" t="str">
        <f>IF(AND('Atividades Micro'!$B501=AB$2,'Atividades Micro'!$L501&lt;&gt;""),'Atividades Micro'!$L501,"")</f>
        <v/>
      </c>
      <c r="AC449" s="21" t="str">
        <f>IF(AND('Atividades Micro'!$B501=AC$2,'Atividades Micro'!$K501&lt;&gt;""),'Atividades Micro'!$K501,"")</f>
        <v/>
      </c>
      <c r="AD449" s="21" t="str">
        <f>IF(AND('Atividades Micro'!$B501=AD$2,'Atividades Micro'!$L501&lt;&gt;""),'Atividades Micro'!$L501,"")</f>
        <v/>
      </c>
      <c r="AE449" s="21" t="str">
        <f>IF(AND('Atividades Micro'!$A501=AE$2,'Atividades Micro'!$K501&lt;&gt;""),'Atividades Micro'!$K501,"")</f>
        <v/>
      </c>
      <c r="AF449" s="21" t="str">
        <f>IF(AND('Atividades Micro'!$A501=AF$2,'Atividades Micro'!$L501&lt;&gt;""),'Atividades Micro'!$L501,"")</f>
        <v/>
      </c>
      <c r="AG449" s="21" t="str">
        <f>IF(AND('Atividades Micro'!$B501=AG$2,'Atividades Micro'!$K501&lt;&gt;""),'Atividades Micro'!$K501,"")</f>
        <v/>
      </c>
      <c r="AH449" s="21" t="str">
        <f>IF(AND('Atividades Micro'!$B501=AH$2,'Atividades Micro'!$L501&lt;&gt;""),'Atividades Micro'!$L501,"")</f>
        <v/>
      </c>
      <c r="AI449" s="21" t="str">
        <f>IF(AND('Atividades Micro'!$B501=AI$2,'Atividades Micro'!$K501&lt;&gt;""),'Atividades Micro'!$K501,"")</f>
        <v/>
      </c>
      <c r="AJ449" s="21" t="str">
        <f>IF(AND('Atividades Micro'!$B501=AJ$2,'Atividades Micro'!$L501&lt;&gt;""),'Atividades Micro'!$L501,"")</f>
        <v/>
      </c>
      <c r="AK449" s="21" t="str">
        <f>IF(AND('Atividades Micro'!$A501=AK$2,'Atividades Micro'!$K501&lt;&gt;""),'Atividades Micro'!$K501,"")</f>
        <v/>
      </c>
      <c r="AL449" s="21" t="str">
        <f>IF(AND('Atividades Micro'!$A501=AL$2,'Atividades Micro'!$L501&lt;&gt;""),'Atividades Micro'!$L501,"")</f>
        <v/>
      </c>
      <c r="AM449" s="21" t="str">
        <f>IF(AND('Atividades Micro'!$B501=AM$2,'Atividades Micro'!$K501&lt;&gt;""),'Atividades Micro'!$K501,"")</f>
        <v/>
      </c>
      <c r="AN449" s="21" t="str">
        <f>IF(AND('Atividades Micro'!$B501=AN$2,'Atividades Micro'!$L501&lt;&gt;""),'Atividades Micro'!$L501,"")</f>
        <v/>
      </c>
      <c r="AO449" s="21" t="str">
        <f>IF(AND('Atividades Micro'!$B501=AO$2,'Atividades Micro'!$K501&lt;&gt;""),'Atividades Micro'!$K501,"")</f>
        <v/>
      </c>
      <c r="AP449" s="21" t="str">
        <f>IF(AND('Atividades Micro'!$B501=AP$2,'Atividades Micro'!$L501&lt;&gt;""),'Atividades Micro'!$L501,"")</f>
        <v/>
      </c>
      <c r="AQ449" s="21" t="str">
        <f>IF(AND('Atividades Micro'!$A501=AQ$2,'Atividades Micro'!$K501&lt;&gt;""),'Atividades Micro'!$K501,"")</f>
        <v/>
      </c>
      <c r="AR449" s="21" t="str">
        <f>IF(AND('Atividades Micro'!$A501=AR$2,'Atividades Micro'!$L501&lt;&gt;""),'Atividades Micro'!$L501,"")</f>
        <v/>
      </c>
      <c r="AS449" s="21" t="str">
        <f>IF(AND('Atividades Micro'!$B501=AS$2,'Atividades Micro'!$K501&lt;&gt;""),'Atividades Micro'!$K501,"")</f>
        <v/>
      </c>
      <c r="AT449" s="21" t="str">
        <f>IF(AND('Atividades Micro'!$B501=AT$2,'Atividades Micro'!$L501&lt;&gt;""),'Atividades Micro'!$L501,"")</f>
        <v/>
      </c>
      <c r="AU449" s="21" t="str">
        <f>IF(AND('Atividades Micro'!$A501=AU$2,'Atividades Micro'!$K501&lt;&gt;""),'Atividades Micro'!$K501,"")</f>
        <v/>
      </c>
      <c r="AV449" s="21" t="str">
        <f>IF(AND('Atividades Micro'!$A501=AV$2,'Atividades Micro'!$L501&lt;&gt;""),'Atividades Micro'!$L501,"")</f>
        <v/>
      </c>
      <c r="AW449" s="21" t="str">
        <f>IF(AND('Atividades Micro'!$B501=AW$2,'Atividades Micro'!$K501&lt;&gt;""),'Atividades Micro'!$K501,"")</f>
        <v/>
      </c>
      <c r="AX449" s="21" t="str">
        <f>IF(AND('Atividades Micro'!$B501=AX$2,'Atividades Micro'!$L501&lt;&gt;""),'Atividades Micro'!$L501,"")</f>
        <v/>
      </c>
      <c r="AY449" s="21" t="str">
        <f>IF(AND('Atividades Micro'!$A501=AY$2,'Atividades Micro'!$K501&lt;&gt;""),'Atividades Micro'!$K501,"")</f>
        <v/>
      </c>
      <c r="AZ449" s="21" t="str">
        <f>IF(AND('Atividades Micro'!$A501=AZ$2,'Atividades Micro'!$L501&lt;&gt;""),'Atividades Micro'!$L501,"")</f>
        <v/>
      </c>
      <c r="BA449" s="21" t="str">
        <f>IF(AND('Atividades Micro'!$B501=BA$2,'Atividades Micro'!$K501&lt;&gt;""),'Atividades Micro'!$K501,"")</f>
        <v/>
      </c>
      <c r="BB449" s="21" t="str">
        <f>IF(AND('Atividades Micro'!$B501=BB$2,'Atividades Micro'!$L501&lt;&gt;""),'Atividades Micro'!$L501,"")</f>
        <v/>
      </c>
      <c r="BC449" s="21" t="str">
        <f>IF(AND('Atividades Micro'!$B501=BC$2,'Atividades Micro'!$G501="Macro",'Atividades Micro'!$K501&lt;&gt;""),'Atividades Micro'!$K501,"")</f>
        <v/>
      </c>
      <c r="BD449" s="21" t="str">
        <f>IF(AND('Atividades Micro'!$B501=BD$2,'Atividades Micro'!$G501="Macro",'Atividades Micro'!$K501&lt;&gt;""),'Atividades Micro'!$K501,"")</f>
        <v/>
      </c>
      <c r="BE449" s="21" t="str">
        <f>IF(AND('Atividades Micro'!$B501=BE$2,'Atividades Micro'!$G501="Macro",'Atividades Micro'!$K501&lt;&gt;""),'Atividades Micro'!$K501,"")</f>
        <v/>
      </c>
      <c r="BF449" s="21" t="str">
        <f>IF(AND('Atividades Micro'!$B501=BF$2,'Atividades Micro'!$G501="Macro",'Atividades Micro'!$K501&lt;&gt;""),'Atividades Micro'!$K501,"")</f>
        <v/>
      </c>
      <c r="BG449" s="21" t="str">
        <f>IF(AND('Atividades Micro'!$B501=BG$2,'Atividades Micro'!$G501="Macro",'Atividades Micro'!$K501&lt;&gt;""),'Atividades Micro'!$K501,"")</f>
        <v/>
      </c>
      <c r="BH449" s="21" t="str">
        <f>IF(AND('Atividades Micro'!$B501=BH$2,'Atividades Micro'!$G501="Macro",'Atividades Micro'!$K501&lt;&gt;""),'Atividades Micro'!$K501,"")</f>
        <v/>
      </c>
      <c r="BI449" s="21" t="str">
        <f>IF(AND('Atividades Micro'!$B501=BI$2,'Atividades Micro'!$G501="Macro",'Atividades Micro'!$K501&lt;&gt;""),'Atividades Micro'!$K501,"")</f>
        <v/>
      </c>
      <c r="BJ449" s="21" t="str">
        <f>IF(AND('Atividades Micro'!$B501=BJ$2,'Atividades Micro'!$G501="Macro",'Atividades Micro'!$K501&lt;&gt;""),'Atividades Micro'!$K501,"")</f>
        <v/>
      </c>
      <c r="BK449" s="21" t="str">
        <f>IF(AND('Atividades Micro'!$B501=BK$2,'Atividades Micro'!$G501="Macro",'Atividades Micro'!$K501&lt;&gt;""),'Atividades Micro'!$K501,"")</f>
        <v/>
      </c>
      <c r="BL449" s="21" t="str">
        <f>IF(AND('Atividades Micro'!$B501=BL$2,'Atividades Micro'!$G501="Macro",'Atividades Micro'!$K501&lt;&gt;""),'Atividades Micro'!$K501,"")</f>
        <v/>
      </c>
      <c r="BM449" s="21" t="str">
        <f>IF(AND('Atividades Micro'!$B501=BM$2,'Atividades Micro'!$G501="Macro",'Atividades Micro'!$K501&lt;&gt;""),'Atividades Micro'!$K501,"")</f>
        <v/>
      </c>
      <c r="BN449" s="21" t="str">
        <f>IF(AND('Atividades Micro'!$B501=BN$2,'Atividades Micro'!$G501="Macro",'Atividades Micro'!$K501&lt;&gt;""),'Atividades Micro'!$K501,"")</f>
        <v/>
      </c>
      <c r="BO449" s="21" t="str">
        <f>IF(AND('Atividades Micro'!$B501=BO$2,'Atividades Micro'!$G501="Macro",'Atividades Micro'!$K501&lt;&gt;""),'Atividades Micro'!$K501,"")</f>
        <v/>
      </c>
      <c r="BP449" s="21" t="str">
        <f>IF(AND('Atividades Micro'!$B501=BP$2,'Atividades Micro'!$G501="Macro",'Atividades Micro'!$K501&lt;&gt;""),'Atividades Micro'!$K501,"")</f>
        <v/>
      </c>
      <c r="BQ449" s="21" t="str">
        <f>IF(AND('Atividades Micro'!$B501=BQ$2,'Atividades Micro'!$G501="Macro",'Atividades Micro'!$K501&lt;&gt;""),'Atividades Micro'!$K501,"")</f>
        <v/>
      </c>
      <c r="BR449" s="21" t="str">
        <f>IF(AND('Atividades Micro'!$B501=BR$2,'Atividades Micro'!$G501="Macro",'Atividades Micro'!$K501&lt;&gt;""),'Atividades Micro'!$K501,"")</f>
        <v/>
      </c>
      <c r="BS449" s="21" t="str">
        <f>IF(AND('Atividades Micro'!$B501=BS$2,'Atividades Micro'!$G501="Macro",'Atividades Micro'!$K501&lt;&gt;""),'Atividades Micro'!$K501,"")</f>
        <v/>
      </c>
      <c r="BT449" s="21" t="str">
        <f>IF(AND('Atividades Micro'!$B501=BT$2,'Atividades Micro'!$G501="Macro",'Atividades Micro'!$K501&lt;&gt;""),'Atividades Micro'!$K501,"")</f>
        <v/>
      </c>
      <c r="BU449" s="21" t="str">
        <f>IF(AND('Atividades Micro'!$B501=BU$2,'Atividades Micro'!$G501="Macro",'Atividades Micro'!$K501&lt;&gt;""),'Atividades Micro'!$K501,"")</f>
        <v/>
      </c>
      <c r="BV449" s="21" t="str">
        <f>IF(AND('Atividades Micro'!$B501=BV$2,'Atividades Micro'!$G501="Macro",'Atividades Micro'!$K501&lt;&gt;""),'Atividades Micro'!$K501,"")</f>
        <v/>
      </c>
      <c r="BW449" s="21" t="str">
        <f>IF(AND('Atividades Micro'!$B501=BW$2,'Atividades Micro'!$G501="Macro",'Atividades Micro'!$K501&lt;&gt;""),'Atividades Micro'!$K501,"")</f>
        <v/>
      </c>
      <c r="BX449" s="21" t="str">
        <f>IF(AND('Atividades Micro'!$B501=BX$2,'Atividades Micro'!$G501="Macro",'Atividades Micro'!$K501&lt;&gt;""),'Atividades Micro'!$K501,"")</f>
        <v/>
      </c>
      <c r="BY449" s="21" t="str">
        <f>IF(AND('Atividades Micro'!$B501=BY$2,'Atividades Micro'!$G501="Macro",'Atividades Micro'!$K501&lt;&gt;""),'Atividades Micro'!$K501,"")</f>
        <v/>
      </c>
      <c r="BZ449" s="21" t="str">
        <f>IF(AND('Atividades Micro'!$B501=BZ$2,'Atividades Micro'!$G501="Macro",'Atividades Micro'!$K501&lt;&gt;""),'Atividades Micro'!$K501,"")</f>
        <v/>
      </c>
      <c r="CA449" s="21" t="str">
        <f>IF(AND('Atividades Micro'!$B501=CA$2,'Atividades Micro'!$G501="Macro",'Atividades Micro'!$K501&lt;&gt;""),'Atividades Micro'!$K501,"")</f>
        <v/>
      </c>
      <c r="CB449" s="21" t="str">
        <f>IF(AND('Atividades Micro'!$B501=CB$2,'Atividades Micro'!$G501="Macro",'Atividades Micro'!$K501&lt;&gt;""),'Atividades Micro'!$K501,"")</f>
        <v/>
      </c>
      <c r="CC449" s="21" t="str">
        <f>IF(AND('Atividades Micro'!$B501=CC$2,'Atividades Micro'!$G501="Macro",'Atividades Micro'!$K501&lt;&gt;""),'Atividades Micro'!$K501,"")</f>
        <v/>
      </c>
      <c r="CD449" s="21" t="str">
        <f>IF(AND('Atividades Micro'!$B501=CD$2,'Atividades Micro'!$G501="Micro",'Atividades Micro'!$K501&lt;&gt;""),'Atividades Micro'!$K501,"")</f>
        <v/>
      </c>
      <c r="CE449" s="21" t="str">
        <f>IF(AND('Atividades Micro'!$B501=CE$2,'Atividades Micro'!$G501="Micro",'Atividades Micro'!$K501&lt;&gt;""),'Atividades Micro'!$K501,"")</f>
        <v/>
      </c>
      <c r="CF449" s="21" t="str">
        <f>IF(AND('Atividades Micro'!$B501=CF$2,'Atividades Micro'!$G501="Micro",'Atividades Micro'!$K501&lt;&gt;""),'Atividades Micro'!$K501,"")</f>
        <v/>
      </c>
      <c r="CG449" s="21" t="str">
        <f>IF(AND('Atividades Micro'!$B501=CG$2,'Atividades Micro'!$G501="Micro",'Atividades Micro'!$K501&lt;&gt;""),'Atividades Micro'!$K501,"")</f>
        <v/>
      </c>
      <c r="CH449" s="21" t="str">
        <f>IF(AND('Atividades Micro'!$B501=CH$2,'Atividades Micro'!$G501="Micro",'Atividades Micro'!$K501&lt;&gt;""),'Atividades Micro'!$K501,"")</f>
        <v/>
      </c>
      <c r="CI449" s="21" t="str">
        <f>IF(AND('Atividades Micro'!$B501=CI$2,'Atividades Micro'!$G501="Micro",'Atividades Micro'!$K501&lt;&gt;""),'Atividades Micro'!$K501,"")</f>
        <v/>
      </c>
      <c r="CJ449" s="21" t="str">
        <f>IF(AND('Atividades Micro'!$B501=CJ$2,'Atividades Micro'!$G501="Micro",'Atividades Micro'!$K501&lt;&gt;""),'Atividades Micro'!$K501,"")</f>
        <v/>
      </c>
      <c r="CK449" s="21" t="str">
        <f>IF(AND('Atividades Micro'!$B501=CK$2,'Atividades Micro'!$G501="Micro",'Atividades Micro'!$K501&lt;&gt;""),'Atividades Micro'!$K501,"")</f>
        <v/>
      </c>
      <c r="CL449" s="21" t="str">
        <f>IF(AND('Atividades Micro'!$B501=CL$2,'Atividades Micro'!$G501="Micro",'Atividades Micro'!$K501&lt;&gt;""),'Atividades Micro'!$K501,"")</f>
        <v/>
      </c>
      <c r="CM449" s="21" t="str">
        <f>IF(AND('Atividades Micro'!$B501=CM$2,'Atividades Micro'!$G501="Micro",'Atividades Micro'!$K501&lt;&gt;""),'Atividades Micro'!$K501,"")</f>
        <v/>
      </c>
      <c r="CN449" s="21" t="str">
        <f>IF(AND('Atividades Micro'!$B501=CN$2,'Atividades Micro'!$G501="Micro",'Atividades Micro'!$K501&lt;&gt;""),'Atividades Micro'!$K501,"")</f>
        <v/>
      </c>
      <c r="CO449" s="21" t="str">
        <f>IF(AND('Atividades Micro'!$B501=CO$2,'Atividades Micro'!$G501="Micro",'Atividades Micro'!$K501&lt;&gt;""),'Atividades Micro'!$K501,"")</f>
        <v/>
      </c>
    </row>
    <row r="450" spans="1:93">
      <c r="A450" s="21" t="str">
        <f>IF(AND('Atividades Micro'!$A502=A$2,'Atividades Micro'!$K502&lt;&gt;""),'Atividades Micro'!$K502,"")</f>
        <v/>
      </c>
      <c r="B450" s="21" t="str">
        <f>IF(AND('Atividades Micro'!$A502=B$2,'Atividades Micro'!$L502&lt;&gt;""),'Atividades Micro'!$L502,"")</f>
        <v/>
      </c>
      <c r="C450" s="21" t="str">
        <f>IF(AND('Atividades Micro'!$A502=C$2,'Atividades Micro'!$K502&lt;&gt;""),'Atividades Micro'!$K502,"")</f>
        <v/>
      </c>
      <c r="D450" s="21" t="str">
        <f>IF(AND('Atividades Micro'!$A502=D$2,'Atividades Micro'!$L502&lt;&gt;""),'Atividades Micro'!$L502,"")</f>
        <v/>
      </c>
      <c r="E450" s="21" t="str">
        <f>IF(AND('Atividades Micro'!$A502=E$2,'Atividades Micro'!$K502&lt;&gt;""),'Atividades Micro'!$K502,"")</f>
        <v/>
      </c>
      <c r="F450" s="21" t="str">
        <f>IF(AND('Atividades Micro'!$A502=F$2,'Atividades Micro'!$L502&lt;&gt;""),'Atividades Micro'!$L502,"")</f>
        <v/>
      </c>
      <c r="G450" s="21" t="str">
        <f>IF(AND('Atividades Micro'!$A502=G$2,'Atividades Micro'!$K502&lt;&gt;""),'Atividades Micro'!$K502,"")</f>
        <v/>
      </c>
      <c r="H450" s="21" t="str">
        <f>IF(AND('Atividades Micro'!$A502=H$2,'Atividades Micro'!$L502&lt;&gt;""),'Atividades Micro'!$L502,"")</f>
        <v/>
      </c>
      <c r="I450" s="21" t="str">
        <f>IF(AND('Atividades Micro'!$A502=I$2,'Atividades Micro'!$K502&lt;&gt;""),'Atividades Micro'!$K502,"")</f>
        <v/>
      </c>
      <c r="J450" s="21" t="str">
        <f>IF(AND('Atividades Micro'!$A502=J$2,'Atividades Micro'!$L502&lt;&gt;""),'Atividades Micro'!$L502,"")</f>
        <v/>
      </c>
      <c r="K450" s="21" t="str">
        <f>IF(AND('Atividades Micro'!$B502=K$2,'Atividades Micro'!$K502&lt;&gt;""),'Atividades Micro'!$K502,"")</f>
        <v/>
      </c>
      <c r="L450" s="21" t="str">
        <f>IF(AND('Atividades Micro'!$B502=L$2,'Atividades Micro'!$L502&lt;&gt;""),'Atividades Micro'!$L502,"")</f>
        <v/>
      </c>
      <c r="M450" s="21" t="str">
        <f>IF(AND('Atividades Micro'!$B502=M$2,'Atividades Micro'!$K502&lt;&gt;""),'Atividades Micro'!$K502,"")</f>
        <v/>
      </c>
      <c r="N450" s="21" t="str">
        <f>IF(AND('Atividades Micro'!$B502=N$2,'Atividades Micro'!$L502&lt;&gt;""),'Atividades Micro'!$L502,"")</f>
        <v/>
      </c>
      <c r="O450" s="21" t="str">
        <f>IF(AND('Atividades Micro'!$A502=O$2,'Atividades Micro'!$K502&lt;&gt;""),'Atividades Micro'!$K502,"")</f>
        <v/>
      </c>
      <c r="P450" s="21" t="str">
        <f>IF(AND('Atividades Micro'!$A502=P$2,'Atividades Micro'!$L502&lt;&gt;""),'Atividades Micro'!$L502,"")</f>
        <v/>
      </c>
      <c r="Q450" s="21" t="str">
        <f>IF(AND('Atividades Micro'!$B502=Q$2,'Atividades Micro'!$K502&lt;&gt;""),'Atividades Micro'!$K502,"")</f>
        <v/>
      </c>
      <c r="R450" s="21" t="str">
        <f>IF(AND('Atividades Micro'!$B502=R$2,'Atividades Micro'!$L502&lt;&gt;""),'Atividades Micro'!$L502,"")</f>
        <v/>
      </c>
      <c r="S450" s="21" t="str">
        <f>IF(AND('Atividades Micro'!$A502=S$2,'Atividades Micro'!$K502&lt;&gt;""),'Atividades Micro'!$K502,"")</f>
        <v/>
      </c>
      <c r="T450" s="21" t="str">
        <f>IF(AND('Atividades Micro'!$A502=T$2,'Atividades Micro'!$L502&lt;&gt;""),'Atividades Micro'!$L502,"")</f>
        <v/>
      </c>
      <c r="U450" s="21" t="str">
        <f>IF(AND('Atividades Micro'!$B502=U$2,'Atividades Micro'!$K502&lt;&gt;""),'Atividades Micro'!$K502,"")</f>
        <v/>
      </c>
      <c r="V450" s="21" t="str">
        <f>IF(AND('Atividades Micro'!$B502=V$2,'Atividades Micro'!$L502&lt;&gt;""),'Atividades Micro'!$L502,"")</f>
        <v/>
      </c>
      <c r="W450" s="21" t="str">
        <f>IF(AND('Atividades Micro'!$B502=W$2,'Atividades Micro'!$K502&lt;&gt;""),'Atividades Micro'!$K502,"")</f>
        <v/>
      </c>
      <c r="X450" s="21" t="str">
        <f>IF(AND('Atividades Micro'!$B502=X$2,'Atividades Micro'!$L502&lt;&gt;""),'Atividades Micro'!$L502,"")</f>
        <v/>
      </c>
      <c r="Y450" s="21" t="str">
        <f>IF(AND('Atividades Micro'!$A502=Y$2,'Atividades Micro'!$K502&lt;&gt;""),'Atividades Micro'!$K502,"")</f>
        <v/>
      </c>
      <c r="Z450" s="21" t="str">
        <f>IF(AND('Atividades Micro'!$A502=Z$2,'Atividades Micro'!$L502&lt;&gt;""),'Atividades Micro'!$L502,"")</f>
        <v/>
      </c>
      <c r="AA450" s="21" t="str">
        <f>IF(AND('Atividades Micro'!$B502=AA$2,'Atividades Micro'!$K502&lt;&gt;""),'Atividades Micro'!$K502,"")</f>
        <v/>
      </c>
      <c r="AB450" s="21" t="str">
        <f>IF(AND('Atividades Micro'!$B502=AB$2,'Atividades Micro'!$L502&lt;&gt;""),'Atividades Micro'!$L502,"")</f>
        <v/>
      </c>
      <c r="AC450" s="21" t="str">
        <f>IF(AND('Atividades Micro'!$B502=AC$2,'Atividades Micro'!$K502&lt;&gt;""),'Atividades Micro'!$K502,"")</f>
        <v/>
      </c>
      <c r="AD450" s="21" t="str">
        <f>IF(AND('Atividades Micro'!$B502=AD$2,'Atividades Micro'!$L502&lt;&gt;""),'Atividades Micro'!$L502,"")</f>
        <v/>
      </c>
      <c r="AE450" s="21" t="str">
        <f>IF(AND('Atividades Micro'!$A502=AE$2,'Atividades Micro'!$K502&lt;&gt;""),'Atividades Micro'!$K502,"")</f>
        <v/>
      </c>
      <c r="AF450" s="21" t="str">
        <f>IF(AND('Atividades Micro'!$A502=AF$2,'Atividades Micro'!$L502&lt;&gt;""),'Atividades Micro'!$L502,"")</f>
        <v/>
      </c>
      <c r="AG450" s="21" t="str">
        <f>IF(AND('Atividades Micro'!$B502=AG$2,'Atividades Micro'!$K502&lt;&gt;""),'Atividades Micro'!$K502,"")</f>
        <v/>
      </c>
      <c r="AH450" s="21" t="str">
        <f>IF(AND('Atividades Micro'!$B502=AH$2,'Atividades Micro'!$L502&lt;&gt;""),'Atividades Micro'!$L502,"")</f>
        <v/>
      </c>
      <c r="AI450" s="21" t="str">
        <f>IF(AND('Atividades Micro'!$B502=AI$2,'Atividades Micro'!$K502&lt;&gt;""),'Atividades Micro'!$K502,"")</f>
        <v/>
      </c>
      <c r="AJ450" s="21" t="str">
        <f>IF(AND('Atividades Micro'!$B502=AJ$2,'Atividades Micro'!$L502&lt;&gt;""),'Atividades Micro'!$L502,"")</f>
        <v/>
      </c>
      <c r="AK450" s="21" t="str">
        <f>IF(AND('Atividades Micro'!$A502=AK$2,'Atividades Micro'!$K502&lt;&gt;""),'Atividades Micro'!$K502,"")</f>
        <v/>
      </c>
      <c r="AL450" s="21" t="str">
        <f>IF(AND('Atividades Micro'!$A502=AL$2,'Atividades Micro'!$L502&lt;&gt;""),'Atividades Micro'!$L502,"")</f>
        <v/>
      </c>
      <c r="AM450" s="21" t="str">
        <f>IF(AND('Atividades Micro'!$B502=AM$2,'Atividades Micro'!$K502&lt;&gt;""),'Atividades Micro'!$K502,"")</f>
        <v/>
      </c>
      <c r="AN450" s="21" t="str">
        <f>IF(AND('Atividades Micro'!$B502=AN$2,'Atividades Micro'!$L502&lt;&gt;""),'Atividades Micro'!$L502,"")</f>
        <v/>
      </c>
      <c r="AO450" s="21" t="str">
        <f>IF(AND('Atividades Micro'!$B502=AO$2,'Atividades Micro'!$K502&lt;&gt;""),'Atividades Micro'!$K502,"")</f>
        <v/>
      </c>
      <c r="AP450" s="21" t="str">
        <f>IF(AND('Atividades Micro'!$B502=AP$2,'Atividades Micro'!$L502&lt;&gt;""),'Atividades Micro'!$L502,"")</f>
        <v/>
      </c>
      <c r="AQ450" s="21" t="str">
        <f>IF(AND('Atividades Micro'!$A502=AQ$2,'Atividades Micro'!$K502&lt;&gt;""),'Atividades Micro'!$K502,"")</f>
        <v/>
      </c>
      <c r="AR450" s="21" t="str">
        <f>IF(AND('Atividades Micro'!$A502=AR$2,'Atividades Micro'!$L502&lt;&gt;""),'Atividades Micro'!$L502,"")</f>
        <v/>
      </c>
      <c r="AS450" s="21" t="str">
        <f>IF(AND('Atividades Micro'!$B502=AS$2,'Atividades Micro'!$K502&lt;&gt;""),'Atividades Micro'!$K502,"")</f>
        <v/>
      </c>
      <c r="AT450" s="21" t="str">
        <f>IF(AND('Atividades Micro'!$B502=AT$2,'Atividades Micro'!$L502&lt;&gt;""),'Atividades Micro'!$L502,"")</f>
        <v/>
      </c>
      <c r="AU450" s="21" t="str">
        <f>IF(AND('Atividades Micro'!$A502=AU$2,'Atividades Micro'!$K502&lt;&gt;""),'Atividades Micro'!$K502,"")</f>
        <v/>
      </c>
      <c r="AV450" s="21" t="str">
        <f>IF(AND('Atividades Micro'!$A502=AV$2,'Atividades Micro'!$L502&lt;&gt;""),'Atividades Micro'!$L502,"")</f>
        <v/>
      </c>
      <c r="AW450" s="21" t="str">
        <f>IF(AND('Atividades Micro'!$B502=AW$2,'Atividades Micro'!$K502&lt;&gt;""),'Atividades Micro'!$K502,"")</f>
        <v/>
      </c>
      <c r="AX450" s="21" t="str">
        <f>IF(AND('Atividades Micro'!$B502=AX$2,'Atividades Micro'!$L502&lt;&gt;""),'Atividades Micro'!$L502,"")</f>
        <v/>
      </c>
      <c r="AY450" s="21" t="str">
        <f>IF(AND('Atividades Micro'!$A502=AY$2,'Atividades Micro'!$K502&lt;&gt;""),'Atividades Micro'!$K502,"")</f>
        <v/>
      </c>
      <c r="AZ450" s="21" t="str">
        <f>IF(AND('Atividades Micro'!$A502=AZ$2,'Atividades Micro'!$L502&lt;&gt;""),'Atividades Micro'!$L502,"")</f>
        <v/>
      </c>
      <c r="BA450" s="21" t="str">
        <f>IF(AND('Atividades Micro'!$B502=BA$2,'Atividades Micro'!$K502&lt;&gt;""),'Atividades Micro'!$K502,"")</f>
        <v/>
      </c>
      <c r="BB450" s="21" t="str">
        <f>IF(AND('Atividades Micro'!$B502=BB$2,'Atividades Micro'!$L502&lt;&gt;""),'Atividades Micro'!$L502,"")</f>
        <v/>
      </c>
      <c r="BC450" s="21" t="str">
        <f>IF(AND('Atividades Micro'!$B502=BC$2,'Atividades Micro'!$G502="Macro",'Atividades Micro'!$K502&lt;&gt;""),'Atividades Micro'!$K502,"")</f>
        <v/>
      </c>
      <c r="BD450" s="21" t="str">
        <f>IF(AND('Atividades Micro'!$B502=BD$2,'Atividades Micro'!$G502="Macro",'Atividades Micro'!$K502&lt;&gt;""),'Atividades Micro'!$K502,"")</f>
        <v/>
      </c>
      <c r="BE450" s="21" t="str">
        <f>IF(AND('Atividades Micro'!$B502=BE$2,'Atividades Micro'!$G502="Macro",'Atividades Micro'!$K502&lt;&gt;""),'Atividades Micro'!$K502,"")</f>
        <v/>
      </c>
      <c r="BF450" s="21" t="str">
        <f>IF(AND('Atividades Micro'!$B502=BF$2,'Atividades Micro'!$G502="Macro",'Atividades Micro'!$K502&lt;&gt;""),'Atividades Micro'!$K502,"")</f>
        <v/>
      </c>
      <c r="BG450" s="21" t="str">
        <f>IF(AND('Atividades Micro'!$B502=BG$2,'Atividades Micro'!$G502="Macro",'Atividades Micro'!$K502&lt;&gt;""),'Atividades Micro'!$K502,"")</f>
        <v/>
      </c>
      <c r="BH450" s="21" t="str">
        <f>IF(AND('Atividades Micro'!$B502=BH$2,'Atividades Micro'!$G502="Macro",'Atividades Micro'!$K502&lt;&gt;""),'Atividades Micro'!$K502,"")</f>
        <v/>
      </c>
      <c r="BI450" s="21" t="str">
        <f>IF(AND('Atividades Micro'!$B502=BI$2,'Atividades Micro'!$G502="Macro",'Atividades Micro'!$K502&lt;&gt;""),'Atividades Micro'!$K502,"")</f>
        <v/>
      </c>
      <c r="BJ450" s="21" t="str">
        <f>IF(AND('Atividades Micro'!$B502=BJ$2,'Atividades Micro'!$G502="Macro",'Atividades Micro'!$K502&lt;&gt;""),'Atividades Micro'!$K502,"")</f>
        <v/>
      </c>
      <c r="BK450" s="21" t="str">
        <f>IF(AND('Atividades Micro'!$B502=BK$2,'Atividades Micro'!$G502="Macro",'Atividades Micro'!$K502&lt;&gt;""),'Atividades Micro'!$K502,"")</f>
        <v/>
      </c>
      <c r="BL450" s="21" t="str">
        <f>IF(AND('Atividades Micro'!$B502=BL$2,'Atividades Micro'!$G502="Macro",'Atividades Micro'!$K502&lt;&gt;""),'Atividades Micro'!$K502,"")</f>
        <v/>
      </c>
      <c r="BM450" s="21" t="str">
        <f>IF(AND('Atividades Micro'!$B502=BM$2,'Atividades Micro'!$G502="Macro",'Atividades Micro'!$K502&lt;&gt;""),'Atividades Micro'!$K502,"")</f>
        <v/>
      </c>
      <c r="BN450" s="21" t="str">
        <f>IF(AND('Atividades Micro'!$B502=BN$2,'Atividades Micro'!$G502="Macro",'Atividades Micro'!$K502&lt;&gt;""),'Atividades Micro'!$K502,"")</f>
        <v/>
      </c>
      <c r="BO450" s="21" t="str">
        <f>IF(AND('Atividades Micro'!$B502=BO$2,'Atividades Micro'!$G502="Macro",'Atividades Micro'!$K502&lt;&gt;""),'Atividades Micro'!$K502,"")</f>
        <v/>
      </c>
      <c r="BP450" s="21" t="str">
        <f>IF(AND('Atividades Micro'!$B502=BP$2,'Atividades Micro'!$G502="Macro",'Atividades Micro'!$K502&lt;&gt;""),'Atividades Micro'!$K502,"")</f>
        <v/>
      </c>
      <c r="BQ450" s="21" t="str">
        <f>IF(AND('Atividades Micro'!$B502=BQ$2,'Atividades Micro'!$G502="Macro",'Atividades Micro'!$K502&lt;&gt;""),'Atividades Micro'!$K502,"")</f>
        <v/>
      </c>
      <c r="BR450" s="21" t="str">
        <f>IF(AND('Atividades Micro'!$B502=BR$2,'Atividades Micro'!$G502="Macro",'Atividades Micro'!$K502&lt;&gt;""),'Atividades Micro'!$K502,"")</f>
        <v/>
      </c>
      <c r="BS450" s="21" t="str">
        <f>IF(AND('Atividades Micro'!$B502=BS$2,'Atividades Micro'!$G502="Macro",'Atividades Micro'!$K502&lt;&gt;""),'Atividades Micro'!$K502,"")</f>
        <v/>
      </c>
      <c r="BT450" s="21" t="str">
        <f>IF(AND('Atividades Micro'!$B502=BT$2,'Atividades Micro'!$G502="Macro",'Atividades Micro'!$K502&lt;&gt;""),'Atividades Micro'!$K502,"")</f>
        <v/>
      </c>
      <c r="BU450" s="21" t="str">
        <f>IF(AND('Atividades Micro'!$B502=BU$2,'Atividades Micro'!$G502="Macro",'Atividades Micro'!$K502&lt;&gt;""),'Atividades Micro'!$K502,"")</f>
        <v/>
      </c>
      <c r="BV450" s="21" t="str">
        <f>IF(AND('Atividades Micro'!$B502=BV$2,'Atividades Micro'!$G502="Macro",'Atividades Micro'!$K502&lt;&gt;""),'Atividades Micro'!$K502,"")</f>
        <v/>
      </c>
      <c r="BW450" s="21" t="str">
        <f>IF(AND('Atividades Micro'!$B502=BW$2,'Atividades Micro'!$G502="Macro",'Atividades Micro'!$K502&lt;&gt;""),'Atividades Micro'!$K502,"")</f>
        <v/>
      </c>
      <c r="BX450" s="21" t="str">
        <f>IF(AND('Atividades Micro'!$B502=BX$2,'Atividades Micro'!$G502="Macro",'Atividades Micro'!$K502&lt;&gt;""),'Atividades Micro'!$K502,"")</f>
        <v/>
      </c>
      <c r="BY450" s="21" t="str">
        <f>IF(AND('Atividades Micro'!$B502=BY$2,'Atividades Micro'!$G502="Macro",'Atividades Micro'!$K502&lt;&gt;""),'Atividades Micro'!$K502,"")</f>
        <v/>
      </c>
      <c r="BZ450" s="21" t="str">
        <f>IF(AND('Atividades Micro'!$B502=BZ$2,'Atividades Micro'!$G502="Macro",'Atividades Micro'!$K502&lt;&gt;""),'Atividades Micro'!$K502,"")</f>
        <v/>
      </c>
      <c r="CA450" s="21" t="str">
        <f>IF(AND('Atividades Micro'!$B502=CA$2,'Atividades Micro'!$G502="Macro",'Atividades Micro'!$K502&lt;&gt;""),'Atividades Micro'!$K502,"")</f>
        <v/>
      </c>
      <c r="CB450" s="21" t="str">
        <f>IF(AND('Atividades Micro'!$B502=CB$2,'Atividades Micro'!$G502="Macro",'Atividades Micro'!$K502&lt;&gt;""),'Atividades Micro'!$K502,"")</f>
        <v/>
      </c>
      <c r="CC450" s="21" t="str">
        <f>IF(AND('Atividades Micro'!$B502=CC$2,'Atividades Micro'!$G502="Macro",'Atividades Micro'!$K502&lt;&gt;""),'Atividades Micro'!$K502,"")</f>
        <v/>
      </c>
      <c r="CD450" s="21" t="str">
        <f>IF(AND('Atividades Micro'!$B502=CD$2,'Atividades Micro'!$G502="Micro",'Atividades Micro'!$K502&lt;&gt;""),'Atividades Micro'!$K502,"")</f>
        <v/>
      </c>
      <c r="CE450" s="21" t="str">
        <f>IF(AND('Atividades Micro'!$B502=CE$2,'Atividades Micro'!$G502="Micro",'Atividades Micro'!$K502&lt;&gt;""),'Atividades Micro'!$K502,"")</f>
        <v/>
      </c>
      <c r="CF450" s="21" t="str">
        <f>IF(AND('Atividades Micro'!$B502=CF$2,'Atividades Micro'!$G502="Micro",'Atividades Micro'!$K502&lt;&gt;""),'Atividades Micro'!$K502,"")</f>
        <v/>
      </c>
      <c r="CG450" s="21" t="str">
        <f>IF(AND('Atividades Micro'!$B502=CG$2,'Atividades Micro'!$G502="Micro",'Atividades Micro'!$K502&lt;&gt;""),'Atividades Micro'!$K502,"")</f>
        <v/>
      </c>
      <c r="CH450" s="21" t="str">
        <f>IF(AND('Atividades Micro'!$B502=CH$2,'Atividades Micro'!$G502="Micro",'Atividades Micro'!$K502&lt;&gt;""),'Atividades Micro'!$K502,"")</f>
        <v/>
      </c>
      <c r="CI450" s="21" t="str">
        <f>IF(AND('Atividades Micro'!$B502=CI$2,'Atividades Micro'!$G502="Micro",'Atividades Micro'!$K502&lt;&gt;""),'Atividades Micro'!$K502,"")</f>
        <v/>
      </c>
      <c r="CJ450" s="21" t="str">
        <f>IF(AND('Atividades Micro'!$B502=CJ$2,'Atividades Micro'!$G502="Micro",'Atividades Micro'!$K502&lt;&gt;""),'Atividades Micro'!$K502,"")</f>
        <v/>
      </c>
      <c r="CK450" s="21" t="str">
        <f>IF(AND('Atividades Micro'!$B502=CK$2,'Atividades Micro'!$G502="Micro",'Atividades Micro'!$K502&lt;&gt;""),'Atividades Micro'!$K502,"")</f>
        <v/>
      </c>
      <c r="CL450" s="21" t="str">
        <f>IF(AND('Atividades Micro'!$B502=CL$2,'Atividades Micro'!$G502="Micro",'Atividades Micro'!$K502&lt;&gt;""),'Atividades Micro'!$K502,"")</f>
        <v/>
      </c>
      <c r="CM450" s="21" t="str">
        <f>IF(AND('Atividades Micro'!$B502=CM$2,'Atividades Micro'!$G502="Micro",'Atividades Micro'!$K502&lt;&gt;""),'Atividades Micro'!$K502,"")</f>
        <v/>
      </c>
      <c r="CN450" s="21" t="str">
        <f>IF(AND('Atividades Micro'!$B502=CN$2,'Atividades Micro'!$G502="Micro",'Atividades Micro'!$K502&lt;&gt;""),'Atividades Micro'!$K502,"")</f>
        <v/>
      </c>
      <c r="CO450" s="21" t="str">
        <f>IF(AND('Atividades Micro'!$B502=CO$2,'Atividades Micro'!$G502="Micro",'Atividades Micro'!$K502&lt;&gt;""),'Atividades Micro'!$K502,"")</f>
        <v/>
      </c>
    </row>
    <row r="451" spans="1:93">
      <c r="A451" s="21" t="str">
        <f>IF(AND('Atividades Micro'!$A503=A$2,'Atividades Micro'!$K503&lt;&gt;""),'Atividades Micro'!$K503,"")</f>
        <v/>
      </c>
      <c r="B451" s="21" t="str">
        <f>IF(AND('Atividades Micro'!$A503=B$2,'Atividades Micro'!$L503&lt;&gt;""),'Atividades Micro'!$L503,"")</f>
        <v/>
      </c>
      <c r="C451" s="21" t="str">
        <f>IF(AND('Atividades Micro'!$A503=C$2,'Atividades Micro'!$K503&lt;&gt;""),'Atividades Micro'!$K503,"")</f>
        <v/>
      </c>
      <c r="D451" s="21" t="str">
        <f>IF(AND('Atividades Micro'!$A503=D$2,'Atividades Micro'!$L503&lt;&gt;""),'Atividades Micro'!$L503,"")</f>
        <v/>
      </c>
      <c r="E451" s="21" t="str">
        <f>IF(AND('Atividades Micro'!$A503=E$2,'Atividades Micro'!$K503&lt;&gt;""),'Atividades Micro'!$K503,"")</f>
        <v/>
      </c>
      <c r="F451" s="21" t="str">
        <f>IF(AND('Atividades Micro'!$A503=F$2,'Atividades Micro'!$L503&lt;&gt;""),'Atividades Micro'!$L503,"")</f>
        <v/>
      </c>
      <c r="G451" s="21" t="str">
        <f>IF(AND('Atividades Micro'!$A503=G$2,'Atividades Micro'!$K503&lt;&gt;""),'Atividades Micro'!$K503,"")</f>
        <v/>
      </c>
      <c r="H451" s="21" t="str">
        <f>IF(AND('Atividades Micro'!$A503=H$2,'Atividades Micro'!$L503&lt;&gt;""),'Atividades Micro'!$L503,"")</f>
        <v/>
      </c>
      <c r="I451" s="21" t="str">
        <f>IF(AND('Atividades Micro'!$A503=I$2,'Atividades Micro'!$K503&lt;&gt;""),'Atividades Micro'!$K503,"")</f>
        <v/>
      </c>
      <c r="J451" s="21" t="str">
        <f>IF(AND('Atividades Micro'!$A503=J$2,'Atividades Micro'!$L503&lt;&gt;""),'Atividades Micro'!$L503,"")</f>
        <v/>
      </c>
      <c r="K451" s="21" t="str">
        <f>IF(AND('Atividades Micro'!$B503=K$2,'Atividades Micro'!$K503&lt;&gt;""),'Atividades Micro'!$K503,"")</f>
        <v/>
      </c>
      <c r="L451" s="21" t="str">
        <f>IF(AND('Atividades Micro'!$B503=L$2,'Atividades Micro'!$L503&lt;&gt;""),'Atividades Micro'!$L503,"")</f>
        <v/>
      </c>
      <c r="M451" s="21" t="str">
        <f>IF(AND('Atividades Micro'!$B503=M$2,'Atividades Micro'!$K503&lt;&gt;""),'Atividades Micro'!$K503,"")</f>
        <v/>
      </c>
      <c r="N451" s="21" t="str">
        <f>IF(AND('Atividades Micro'!$B503=N$2,'Atividades Micro'!$L503&lt;&gt;""),'Atividades Micro'!$L503,"")</f>
        <v/>
      </c>
      <c r="O451" s="21" t="str">
        <f>IF(AND('Atividades Micro'!$A503=O$2,'Atividades Micro'!$K503&lt;&gt;""),'Atividades Micro'!$K503,"")</f>
        <v/>
      </c>
      <c r="P451" s="21" t="str">
        <f>IF(AND('Atividades Micro'!$A503=P$2,'Atividades Micro'!$L503&lt;&gt;""),'Atividades Micro'!$L503,"")</f>
        <v/>
      </c>
      <c r="Q451" s="21" t="str">
        <f>IF(AND('Atividades Micro'!$B503=Q$2,'Atividades Micro'!$K503&lt;&gt;""),'Atividades Micro'!$K503,"")</f>
        <v/>
      </c>
      <c r="R451" s="21" t="str">
        <f>IF(AND('Atividades Micro'!$B503=R$2,'Atividades Micro'!$L503&lt;&gt;""),'Atividades Micro'!$L503,"")</f>
        <v/>
      </c>
      <c r="S451" s="21" t="str">
        <f>IF(AND('Atividades Micro'!$A503=S$2,'Atividades Micro'!$K503&lt;&gt;""),'Atividades Micro'!$K503,"")</f>
        <v/>
      </c>
      <c r="T451" s="21" t="str">
        <f>IF(AND('Atividades Micro'!$A503=T$2,'Atividades Micro'!$L503&lt;&gt;""),'Atividades Micro'!$L503,"")</f>
        <v/>
      </c>
      <c r="U451" s="21" t="str">
        <f>IF(AND('Atividades Micro'!$B503=U$2,'Atividades Micro'!$K503&lt;&gt;""),'Atividades Micro'!$K503,"")</f>
        <v/>
      </c>
      <c r="V451" s="21" t="str">
        <f>IF(AND('Atividades Micro'!$B503=V$2,'Atividades Micro'!$L503&lt;&gt;""),'Atividades Micro'!$L503,"")</f>
        <v/>
      </c>
      <c r="W451" s="21" t="str">
        <f>IF(AND('Atividades Micro'!$B503=W$2,'Atividades Micro'!$K503&lt;&gt;""),'Atividades Micro'!$K503,"")</f>
        <v/>
      </c>
      <c r="X451" s="21" t="str">
        <f>IF(AND('Atividades Micro'!$B503=X$2,'Atividades Micro'!$L503&lt;&gt;""),'Atividades Micro'!$L503,"")</f>
        <v/>
      </c>
      <c r="Y451" s="21" t="str">
        <f>IF(AND('Atividades Micro'!$A503=Y$2,'Atividades Micro'!$K503&lt;&gt;""),'Atividades Micro'!$K503,"")</f>
        <v/>
      </c>
      <c r="Z451" s="21" t="str">
        <f>IF(AND('Atividades Micro'!$A503=Z$2,'Atividades Micro'!$L503&lt;&gt;""),'Atividades Micro'!$L503,"")</f>
        <v/>
      </c>
      <c r="AA451" s="21" t="str">
        <f>IF(AND('Atividades Micro'!$B503=AA$2,'Atividades Micro'!$K503&lt;&gt;""),'Atividades Micro'!$K503,"")</f>
        <v/>
      </c>
      <c r="AB451" s="21" t="str">
        <f>IF(AND('Atividades Micro'!$B503=AB$2,'Atividades Micro'!$L503&lt;&gt;""),'Atividades Micro'!$L503,"")</f>
        <v/>
      </c>
      <c r="AC451" s="21" t="str">
        <f>IF(AND('Atividades Micro'!$B503=AC$2,'Atividades Micro'!$K503&lt;&gt;""),'Atividades Micro'!$K503,"")</f>
        <v/>
      </c>
      <c r="AD451" s="21" t="str">
        <f>IF(AND('Atividades Micro'!$B503=AD$2,'Atividades Micro'!$L503&lt;&gt;""),'Atividades Micro'!$L503,"")</f>
        <v/>
      </c>
      <c r="AE451" s="21" t="str">
        <f>IF(AND('Atividades Micro'!$A503=AE$2,'Atividades Micro'!$K503&lt;&gt;""),'Atividades Micro'!$K503,"")</f>
        <v/>
      </c>
      <c r="AF451" s="21" t="str">
        <f>IF(AND('Atividades Micro'!$A503=AF$2,'Atividades Micro'!$L503&lt;&gt;""),'Atividades Micro'!$L503,"")</f>
        <v/>
      </c>
      <c r="AG451" s="21" t="str">
        <f>IF(AND('Atividades Micro'!$B503=AG$2,'Atividades Micro'!$K503&lt;&gt;""),'Atividades Micro'!$K503,"")</f>
        <v/>
      </c>
      <c r="AH451" s="21" t="str">
        <f>IF(AND('Atividades Micro'!$B503=AH$2,'Atividades Micro'!$L503&lt;&gt;""),'Atividades Micro'!$L503,"")</f>
        <v/>
      </c>
      <c r="AI451" s="21" t="str">
        <f>IF(AND('Atividades Micro'!$B503=AI$2,'Atividades Micro'!$K503&lt;&gt;""),'Atividades Micro'!$K503,"")</f>
        <v/>
      </c>
      <c r="AJ451" s="21" t="str">
        <f>IF(AND('Atividades Micro'!$B503=AJ$2,'Atividades Micro'!$L503&lt;&gt;""),'Atividades Micro'!$L503,"")</f>
        <v/>
      </c>
      <c r="AK451" s="21" t="str">
        <f>IF(AND('Atividades Micro'!$A503=AK$2,'Atividades Micro'!$K503&lt;&gt;""),'Atividades Micro'!$K503,"")</f>
        <v/>
      </c>
      <c r="AL451" s="21" t="str">
        <f>IF(AND('Atividades Micro'!$A503=AL$2,'Atividades Micro'!$L503&lt;&gt;""),'Atividades Micro'!$L503,"")</f>
        <v/>
      </c>
      <c r="AM451" s="21" t="str">
        <f>IF(AND('Atividades Micro'!$B503=AM$2,'Atividades Micro'!$K503&lt;&gt;""),'Atividades Micro'!$K503,"")</f>
        <v/>
      </c>
      <c r="AN451" s="21" t="str">
        <f>IF(AND('Atividades Micro'!$B503=AN$2,'Atividades Micro'!$L503&lt;&gt;""),'Atividades Micro'!$L503,"")</f>
        <v/>
      </c>
      <c r="AO451" s="21" t="str">
        <f>IF(AND('Atividades Micro'!$B503=AO$2,'Atividades Micro'!$K503&lt;&gt;""),'Atividades Micro'!$K503,"")</f>
        <v/>
      </c>
      <c r="AP451" s="21" t="str">
        <f>IF(AND('Atividades Micro'!$B503=AP$2,'Atividades Micro'!$L503&lt;&gt;""),'Atividades Micro'!$L503,"")</f>
        <v/>
      </c>
      <c r="AQ451" s="21" t="str">
        <f>IF(AND('Atividades Micro'!$A503=AQ$2,'Atividades Micro'!$K503&lt;&gt;""),'Atividades Micro'!$K503,"")</f>
        <v/>
      </c>
      <c r="AR451" s="21" t="str">
        <f>IF(AND('Atividades Micro'!$A503=AR$2,'Atividades Micro'!$L503&lt;&gt;""),'Atividades Micro'!$L503,"")</f>
        <v/>
      </c>
      <c r="AS451" s="21" t="str">
        <f>IF(AND('Atividades Micro'!$B503=AS$2,'Atividades Micro'!$K503&lt;&gt;""),'Atividades Micro'!$K503,"")</f>
        <v/>
      </c>
      <c r="AT451" s="21" t="str">
        <f>IF(AND('Atividades Micro'!$B503=AT$2,'Atividades Micro'!$L503&lt;&gt;""),'Atividades Micro'!$L503,"")</f>
        <v/>
      </c>
      <c r="AU451" s="21" t="str">
        <f>IF(AND('Atividades Micro'!$A503=AU$2,'Atividades Micro'!$K503&lt;&gt;""),'Atividades Micro'!$K503,"")</f>
        <v/>
      </c>
      <c r="AV451" s="21" t="str">
        <f>IF(AND('Atividades Micro'!$A503=AV$2,'Atividades Micro'!$L503&lt;&gt;""),'Atividades Micro'!$L503,"")</f>
        <v/>
      </c>
      <c r="AW451" s="21" t="str">
        <f>IF(AND('Atividades Micro'!$B503=AW$2,'Atividades Micro'!$K503&lt;&gt;""),'Atividades Micro'!$K503,"")</f>
        <v/>
      </c>
      <c r="AX451" s="21" t="str">
        <f>IF(AND('Atividades Micro'!$B503=AX$2,'Atividades Micro'!$L503&lt;&gt;""),'Atividades Micro'!$L503,"")</f>
        <v/>
      </c>
      <c r="AY451" s="21" t="str">
        <f>IF(AND('Atividades Micro'!$A503=AY$2,'Atividades Micro'!$K503&lt;&gt;""),'Atividades Micro'!$K503,"")</f>
        <v/>
      </c>
      <c r="AZ451" s="21" t="str">
        <f>IF(AND('Atividades Micro'!$A503=AZ$2,'Atividades Micro'!$L503&lt;&gt;""),'Atividades Micro'!$L503,"")</f>
        <v/>
      </c>
      <c r="BA451" s="21" t="str">
        <f>IF(AND('Atividades Micro'!$B503=BA$2,'Atividades Micro'!$K503&lt;&gt;""),'Atividades Micro'!$K503,"")</f>
        <v/>
      </c>
      <c r="BB451" s="21" t="str">
        <f>IF(AND('Atividades Micro'!$B503=BB$2,'Atividades Micro'!$L503&lt;&gt;""),'Atividades Micro'!$L503,"")</f>
        <v/>
      </c>
      <c r="BC451" s="21" t="str">
        <f>IF(AND('Atividades Micro'!$B503=BC$2,'Atividades Micro'!$G503="Macro",'Atividades Micro'!$K503&lt;&gt;""),'Atividades Micro'!$K503,"")</f>
        <v/>
      </c>
      <c r="BD451" s="21" t="str">
        <f>IF(AND('Atividades Micro'!$B503=BD$2,'Atividades Micro'!$G503="Macro",'Atividades Micro'!$K503&lt;&gt;""),'Atividades Micro'!$K503,"")</f>
        <v/>
      </c>
      <c r="BE451" s="21" t="str">
        <f>IF(AND('Atividades Micro'!$B503=BE$2,'Atividades Micro'!$G503="Macro",'Atividades Micro'!$K503&lt;&gt;""),'Atividades Micro'!$K503,"")</f>
        <v/>
      </c>
      <c r="BF451" s="21" t="str">
        <f>IF(AND('Atividades Micro'!$B503=BF$2,'Atividades Micro'!$G503="Macro",'Atividades Micro'!$K503&lt;&gt;""),'Atividades Micro'!$K503,"")</f>
        <v/>
      </c>
      <c r="BG451" s="21" t="str">
        <f>IF(AND('Atividades Micro'!$B503=BG$2,'Atividades Micro'!$G503="Macro",'Atividades Micro'!$K503&lt;&gt;""),'Atividades Micro'!$K503,"")</f>
        <v/>
      </c>
      <c r="BH451" s="21" t="str">
        <f>IF(AND('Atividades Micro'!$B503=BH$2,'Atividades Micro'!$G503="Macro",'Atividades Micro'!$K503&lt;&gt;""),'Atividades Micro'!$K503,"")</f>
        <v/>
      </c>
      <c r="BI451" s="21" t="str">
        <f>IF(AND('Atividades Micro'!$B503=BI$2,'Atividades Micro'!$G503="Macro",'Atividades Micro'!$K503&lt;&gt;""),'Atividades Micro'!$K503,"")</f>
        <v/>
      </c>
      <c r="BJ451" s="21" t="str">
        <f>IF(AND('Atividades Micro'!$B503=BJ$2,'Atividades Micro'!$G503="Macro",'Atividades Micro'!$K503&lt;&gt;""),'Atividades Micro'!$K503,"")</f>
        <v/>
      </c>
      <c r="BK451" s="21" t="str">
        <f>IF(AND('Atividades Micro'!$B503=BK$2,'Atividades Micro'!$G503="Macro",'Atividades Micro'!$K503&lt;&gt;""),'Atividades Micro'!$K503,"")</f>
        <v/>
      </c>
      <c r="BL451" s="21" t="str">
        <f>IF(AND('Atividades Micro'!$B503=BL$2,'Atividades Micro'!$G503="Macro",'Atividades Micro'!$K503&lt;&gt;""),'Atividades Micro'!$K503,"")</f>
        <v/>
      </c>
      <c r="BM451" s="21" t="str">
        <f>IF(AND('Atividades Micro'!$B503=BM$2,'Atividades Micro'!$G503="Macro",'Atividades Micro'!$K503&lt;&gt;""),'Atividades Micro'!$K503,"")</f>
        <v/>
      </c>
      <c r="BN451" s="21" t="str">
        <f>IF(AND('Atividades Micro'!$B503=BN$2,'Atividades Micro'!$G503="Macro",'Atividades Micro'!$K503&lt;&gt;""),'Atividades Micro'!$K503,"")</f>
        <v/>
      </c>
      <c r="BO451" s="21" t="str">
        <f>IF(AND('Atividades Micro'!$B503=BO$2,'Atividades Micro'!$G503="Macro",'Atividades Micro'!$K503&lt;&gt;""),'Atividades Micro'!$K503,"")</f>
        <v/>
      </c>
      <c r="BP451" s="21" t="str">
        <f>IF(AND('Atividades Micro'!$B503=BP$2,'Atividades Micro'!$G503="Macro",'Atividades Micro'!$K503&lt;&gt;""),'Atividades Micro'!$K503,"")</f>
        <v/>
      </c>
      <c r="BQ451" s="21" t="str">
        <f>IF(AND('Atividades Micro'!$B503=BQ$2,'Atividades Micro'!$G503="Macro",'Atividades Micro'!$K503&lt;&gt;""),'Atividades Micro'!$K503,"")</f>
        <v/>
      </c>
      <c r="BR451" s="21" t="str">
        <f>IF(AND('Atividades Micro'!$B503=BR$2,'Atividades Micro'!$G503="Macro",'Atividades Micro'!$K503&lt;&gt;""),'Atividades Micro'!$K503,"")</f>
        <v/>
      </c>
      <c r="BS451" s="21" t="str">
        <f>IF(AND('Atividades Micro'!$B503=BS$2,'Atividades Micro'!$G503="Macro",'Atividades Micro'!$K503&lt;&gt;""),'Atividades Micro'!$K503,"")</f>
        <v/>
      </c>
      <c r="BT451" s="21" t="str">
        <f>IF(AND('Atividades Micro'!$B503=BT$2,'Atividades Micro'!$G503="Macro",'Atividades Micro'!$K503&lt;&gt;""),'Atividades Micro'!$K503,"")</f>
        <v/>
      </c>
      <c r="BU451" s="21" t="str">
        <f>IF(AND('Atividades Micro'!$B503=BU$2,'Atividades Micro'!$G503="Macro",'Atividades Micro'!$K503&lt;&gt;""),'Atividades Micro'!$K503,"")</f>
        <v/>
      </c>
      <c r="BV451" s="21" t="str">
        <f>IF(AND('Atividades Micro'!$B503=BV$2,'Atividades Micro'!$G503="Macro",'Atividades Micro'!$K503&lt;&gt;""),'Atividades Micro'!$K503,"")</f>
        <v/>
      </c>
      <c r="BW451" s="21" t="str">
        <f>IF(AND('Atividades Micro'!$B503=BW$2,'Atividades Micro'!$G503="Macro",'Atividades Micro'!$K503&lt;&gt;""),'Atividades Micro'!$K503,"")</f>
        <v/>
      </c>
      <c r="BX451" s="21" t="str">
        <f>IF(AND('Atividades Micro'!$B503=BX$2,'Atividades Micro'!$G503="Macro",'Atividades Micro'!$K503&lt;&gt;""),'Atividades Micro'!$K503,"")</f>
        <v/>
      </c>
      <c r="BY451" s="21" t="str">
        <f>IF(AND('Atividades Micro'!$B503=BY$2,'Atividades Micro'!$G503="Macro",'Atividades Micro'!$K503&lt;&gt;""),'Atividades Micro'!$K503,"")</f>
        <v/>
      </c>
      <c r="BZ451" s="21" t="str">
        <f>IF(AND('Atividades Micro'!$B503=BZ$2,'Atividades Micro'!$G503="Macro",'Atividades Micro'!$K503&lt;&gt;""),'Atividades Micro'!$K503,"")</f>
        <v/>
      </c>
      <c r="CA451" s="21" t="str">
        <f>IF(AND('Atividades Micro'!$B503=CA$2,'Atividades Micro'!$G503="Macro",'Atividades Micro'!$K503&lt;&gt;""),'Atividades Micro'!$K503,"")</f>
        <v/>
      </c>
      <c r="CB451" s="21" t="str">
        <f>IF(AND('Atividades Micro'!$B503=CB$2,'Atividades Micro'!$G503="Macro",'Atividades Micro'!$K503&lt;&gt;""),'Atividades Micro'!$K503,"")</f>
        <v/>
      </c>
      <c r="CC451" s="21" t="str">
        <f>IF(AND('Atividades Micro'!$B503=CC$2,'Atividades Micro'!$G503="Macro",'Atividades Micro'!$K503&lt;&gt;""),'Atividades Micro'!$K503,"")</f>
        <v/>
      </c>
      <c r="CD451" s="21" t="str">
        <f>IF(AND('Atividades Micro'!$B503=CD$2,'Atividades Micro'!$G503="Micro",'Atividades Micro'!$K503&lt;&gt;""),'Atividades Micro'!$K503,"")</f>
        <v/>
      </c>
      <c r="CE451" s="21" t="str">
        <f>IF(AND('Atividades Micro'!$B503=CE$2,'Atividades Micro'!$G503="Micro",'Atividades Micro'!$K503&lt;&gt;""),'Atividades Micro'!$K503,"")</f>
        <v/>
      </c>
      <c r="CF451" s="21" t="str">
        <f>IF(AND('Atividades Micro'!$B503=CF$2,'Atividades Micro'!$G503="Micro",'Atividades Micro'!$K503&lt;&gt;""),'Atividades Micro'!$K503,"")</f>
        <v/>
      </c>
      <c r="CG451" s="21" t="str">
        <f>IF(AND('Atividades Micro'!$B503=CG$2,'Atividades Micro'!$G503="Micro",'Atividades Micro'!$K503&lt;&gt;""),'Atividades Micro'!$K503,"")</f>
        <v/>
      </c>
      <c r="CH451" s="21" t="str">
        <f>IF(AND('Atividades Micro'!$B503=CH$2,'Atividades Micro'!$G503="Micro",'Atividades Micro'!$K503&lt;&gt;""),'Atividades Micro'!$K503,"")</f>
        <v/>
      </c>
      <c r="CI451" s="21" t="str">
        <f>IF(AND('Atividades Micro'!$B503=CI$2,'Atividades Micro'!$G503="Micro",'Atividades Micro'!$K503&lt;&gt;""),'Atividades Micro'!$K503,"")</f>
        <v/>
      </c>
      <c r="CJ451" s="21" t="str">
        <f>IF(AND('Atividades Micro'!$B503=CJ$2,'Atividades Micro'!$G503="Micro",'Atividades Micro'!$K503&lt;&gt;""),'Atividades Micro'!$K503,"")</f>
        <v/>
      </c>
      <c r="CK451" s="21" t="str">
        <f>IF(AND('Atividades Micro'!$B503=CK$2,'Atividades Micro'!$G503="Micro",'Atividades Micro'!$K503&lt;&gt;""),'Atividades Micro'!$K503,"")</f>
        <v/>
      </c>
      <c r="CL451" s="21" t="str">
        <f>IF(AND('Atividades Micro'!$B503=CL$2,'Atividades Micro'!$G503="Micro",'Atividades Micro'!$K503&lt;&gt;""),'Atividades Micro'!$K503,"")</f>
        <v/>
      </c>
      <c r="CM451" s="21" t="str">
        <f>IF(AND('Atividades Micro'!$B503=CM$2,'Atividades Micro'!$G503="Micro",'Atividades Micro'!$K503&lt;&gt;""),'Atividades Micro'!$K503,"")</f>
        <v/>
      </c>
      <c r="CN451" s="21" t="str">
        <f>IF(AND('Atividades Micro'!$B503=CN$2,'Atividades Micro'!$G503="Micro",'Atividades Micro'!$K503&lt;&gt;""),'Atividades Micro'!$K503,"")</f>
        <v/>
      </c>
      <c r="CO451" s="21" t="str">
        <f>IF(AND('Atividades Micro'!$B503=CO$2,'Atividades Micro'!$G503="Micro",'Atividades Micro'!$K503&lt;&gt;""),'Atividades Micro'!$K503,"")</f>
        <v/>
      </c>
    </row>
    <row r="452" spans="1:93">
      <c r="A452" s="21" t="str">
        <f>IF(AND('Atividades Micro'!$A504=A$2,'Atividades Micro'!$K504&lt;&gt;""),'Atividades Micro'!$K504,"")</f>
        <v/>
      </c>
      <c r="B452" s="21" t="str">
        <f>IF(AND('Atividades Micro'!$A504=B$2,'Atividades Micro'!$L504&lt;&gt;""),'Atividades Micro'!$L504,"")</f>
        <v/>
      </c>
      <c r="C452" s="21" t="str">
        <f>IF(AND('Atividades Micro'!$A504=C$2,'Atividades Micro'!$K504&lt;&gt;""),'Atividades Micro'!$K504,"")</f>
        <v/>
      </c>
      <c r="D452" s="21" t="str">
        <f>IF(AND('Atividades Micro'!$A504=D$2,'Atividades Micro'!$L504&lt;&gt;""),'Atividades Micro'!$L504,"")</f>
        <v/>
      </c>
      <c r="E452" s="21" t="str">
        <f>IF(AND('Atividades Micro'!$A504=E$2,'Atividades Micro'!$K504&lt;&gt;""),'Atividades Micro'!$K504,"")</f>
        <v/>
      </c>
      <c r="F452" s="21" t="str">
        <f>IF(AND('Atividades Micro'!$A504=F$2,'Atividades Micro'!$L504&lt;&gt;""),'Atividades Micro'!$L504,"")</f>
        <v/>
      </c>
      <c r="G452" s="21" t="str">
        <f>IF(AND('Atividades Micro'!$A504=G$2,'Atividades Micro'!$K504&lt;&gt;""),'Atividades Micro'!$K504,"")</f>
        <v/>
      </c>
      <c r="H452" s="21" t="str">
        <f>IF(AND('Atividades Micro'!$A504=H$2,'Atividades Micro'!$L504&lt;&gt;""),'Atividades Micro'!$L504,"")</f>
        <v/>
      </c>
      <c r="I452" s="21" t="str">
        <f>IF(AND('Atividades Micro'!$A504=I$2,'Atividades Micro'!$K504&lt;&gt;""),'Atividades Micro'!$K504,"")</f>
        <v/>
      </c>
      <c r="J452" s="21" t="str">
        <f>IF(AND('Atividades Micro'!$A504=J$2,'Atividades Micro'!$L504&lt;&gt;""),'Atividades Micro'!$L504,"")</f>
        <v/>
      </c>
      <c r="K452" s="21" t="str">
        <f>IF(AND('Atividades Micro'!$B504=K$2,'Atividades Micro'!$K504&lt;&gt;""),'Atividades Micro'!$K504,"")</f>
        <v/>
      </c>
      <c r="L452" s="21" t="str">
        <f>IF(AND('Atividades Micro'!$B504=L$2,'Atividades Micro'!$L504&lt;&gt;""),'Atividades Micro'!$L504,"")</f>
        <v/>
      </c>
      <c r="M452" s="21" t="str">
        <f>IF(AND('Atividades Micro'!$B504=M$2,'Atividades Micro'!$K504&lt;&gt;""),'Atividades Micro'!$K504,"")</f>
        <v/>
      </c>
      <c r="N452" s="21" t="str">
        <f>IF(AND('Atividades Micro'!$B504=N$2,'Atividades Micro'!$L504&lt;&gt;""),'Atividades Micro'!$L504,"")</f>
        <v/>
      </c>
      <c r="O452" s="21" t="str">
        <f>IF(AND('Atividades Micro'!$A504=O$2,'Atividades Micro'!$K504&lt;&gt;""),'Atividades Micro'!$K504,"")</f>
        <v/>
      </c>
      <c r="P452" s="21" t="str">
        <f>IF(AND('Atividades Micro'!$A504=P$2,'Atividades Micro'!$L504&lt;&gt;""),'Atividades Micro'!$L504,"")</f>
        <v/>
      </c>
      <c r="Q452" s="21" t="str">
        <f>IF(AND('Atividades Micro'!$B504=Q$2,'Atividades Micro'!$K504&lt;&gt;""),'Atividades Micro'!$K504,"")</f>
        <v/>
      </c>
      <c r="R452" s="21" t="str">
        <f>IF(AND('Atividades Micro'!$B504=R$2,'Atividades Micro'!$L504&lt;&gt;""),'Atividades Micro'!$L504,"")</f>
        <v/>
      </c>
      <c r="S452" s="21" t="str">
        <f>IF(AND('Atividades Micro'!$A504=S$2,'Atividades Micro'!$K504&lt;&gt;""),'Atividades Micro'!$K504,"")</f>
        <v/>
      </c>
      <c r="T452" s="21" t="str">
        <f>IF(AND('Atividades Micro'!$A504=T$2,'Atividades Micro'!$L504&lt;&gt;""),'Atividades Micro'!$L504,"")</f>
        <v/>
      </c>
      <c r="U452" s="21" t="str">
        <f>IF(AND('Atividades Micro'!$B504=U$2,'Atividades Micro'!$K504&lt;&gt;""),'Atividades Micro'!$K504,"")</f>
        <v/>
      </c>
      <c r="V452" s="21" t="str">
        <f>IF(AND('Atividades Micro'!$B504=V$2,'Atividades Micro'!$L504&lt;&gt;""),'Atividades Micro'!$L504,"")</f>
        <v/>
      </c>
      <c r="W452" s="21" t="str">
        <f>IF(AND('Atividades Micro'!$B504=W$2,'Atividades Micro'!$K504&lt;&gt;""),'Atividades Micro'!$K504,"")</f>
        <v/>
      </c>
      <c r="X452" s="21" t="str">
        <f>IF(AND('Atividades Micro'!$B504=X$2,'Atividades Micro'!$L504&lt;&gt;""),'Atividades Micro'!$L504,"")</f>
        <v/>
      </c>
      <c r="Y452" s="21" t="str">
        <f>IF(AND('Atividades Micro'!$A504=Y$2,'Atividades Micro'!$K504&lt;&gt;""),'Atividades Micro'!$K504,"")</f>
        <v/>
      </c>
      <c r="Z452" s="21" t="str">
        <f>IF(AND('Atividades Micro'!$A504=Z$2,'Atividades Micro'!$L504&lt;&gt;""),'Atividades Micro'!$L504,"")</f>
        <v/>
      </c>
      <c r="AA452" s="21" t="str">
        <f>IF(AND('Atividades Micro'!$B504=AA$2,'Atividades Micro'!$K504&lt;&gt;""),'Atividades Micro'!$K504,"")</f>
        <v/>
      </c>
      <c r="AB452" s="21" t="str">
        <f>IF(AND('Atividades Micro'!$B504=AB$2,'Atividades Micro'!$L504&lt;&gt;""),'Atividades Micro'!$L504,"")</f>
        <v/>
      </c>
      <c r="AC452" s="21" t="str">
        <f>IF(AND('Atividades Micro'!$B504=AC$2,'Atividades Micro'!$K504&lt;&gt;""),'Atividades Micro'!$K504,"")</f>
        <v/>
      </c>
      <c r="AD452" s="21" t="str">
        <f>IF(AND('Atividades Micro'!$B504=AD$2,'Atividades Micro'!$L504&lt;&gt;""),'Atividades Micro'!$L504,"")</f>
        <v/>
      </c>
      <c r="AE452" s="21" t="str">
        <f>IF(AND('Atividades Micro'!$A504=AE$2,'Atividades Micro'!$K504&lt;&gt;""),'Atividades Micro'!$K504,"")</f>
        <v/>
      </c>
      <c r="AF452" s="21" t="str">
        <f>IF(AND('Atividades Micro'!$A504=AF$2,'Atividades Micro'!$L504&lt;&gt;""),'Atividades Micro'!$L504,"")</f>
        <v/>
      </c>
      <c r="AG452" s="21" t="str">
        <f>IF(AND('Atividades Micro'!$B504=AG$2,'Atividades Micro'!$K504&lt;&gt;""),'Atividades Micro'!$K504,"")</f>
        <v/>
      </c>
      <c r="AH452" s="21" t="str">
        <f>IF(AND('Atividades Micro'!$B504=AH$2,'Atividades Micro'!$L504&lt;&gt;""),'Atividades Micro'!$L504,"")</f>
        <v/>
      </c>
      <c r="AI452" s="21" t="str">
        <f>IF(AND('Atividades Micro'!$B504=AI$2,'Atividades Micro'!$K504&lt;&gt;""),'Atividades Micro'!$K504,"")</f>
        <v/>
      </c>
      <c r="AJ452" s="21" t="str">
        <f>IF(AND('Atividades Micro'!$B504=AJ$2,'Atividades Micro'!$L504&lt;&gt;""),'Atividades Micro'!$L504,"")</f>
        <v/>
      </c>
      <c r="AK452" s="21" t="str">
        <f>IF(AND('Atividades Micro'!$A504=AK$2,'Atividades Micro'!$K504&lt;&gt;""),'Atividades Micro'!$K504,"")</f>
        <v/>
      </c>
      <c r="AL452" s="21" t="str">
        <f>IF(AND('Atividades Micro'!$A504=AL$2,'Atividades Micro'!$L504&lt;&gt;""),'Atividades Micro'!$L504,"")</f>
        <v/>
      </c>
      <c r="AM452" s="21" t="str">
        <f>IF(AND('Atividades Micro'!$B504=AM$2,'Atividades Micro'!$K504&lt;&gt;""),'Atividades Micro'!$K504,"")</f>
        <v/>
      </c>
      <c r="AN452" s="21" t="str">
        <f>IF(AND('Atividades Micro'!$B504=AN$2,'Atividades Micro'!$L504&lt;&gt;""),'Atividades Micro'!$L504,"")</f>
        <v/>
      </c>
      <c r="AO452" s="21" t="str">
        <f>IF(AND('Atividades Micro'!$B504=AO$2,'Atividades Micro'!$K504&lt;&gt;""),'Atividades Micro'!$K504,"")</f>
        <v/>
      </c>
      <c r="AP452" s="21" t="str">
        <f>IF(AND('Atividades Micro'!$B504=AP$2,'Atividades Micro'!$L504&lt;&gt;""),'Atividades Micro'!$L504,"")</f>
        <v/>
      </c>
      <c r="AQ452" s="21" t="str">
        <f>IF(AND('Atividades Micro'!$A504=AQ$2,'Atividades Micro'!$K504&lt;&gt;""),'Atividades Micro'!$K504,"")</f>
        <v/>
      </c>
      <c r="AR452" s="21" t="str">
        <f>IF(AND('Atividades Micro'!$A504=AR$2,'Atividades Micro'!$L504&lt;&gt;""),'Atividades Micro'!$L504,"")</f>
        <v/>
      </c>
      <c r="AS452" s="21" t="str">
        <f>IF(AND('Atividades Micro'!$B504=AS$2,'Atividades Micro'!$K504&lt;&gt;""),'Atividades Micro'!$K504,"")</f>
        <v/>
      </c>
      <c r="AT452" s="21" t="str">
        <f>IF(AND('Atividades Micro'!$B504=AT$2,'Atividades Micro'!$L504&lt;&gt;""),'Atividades Micro'!$L504,"")</f>
        <v/>
      </c>
      <c r="AU452" s="21" t="str">
        <f>IF(AND('Atividades Micro'!$A504=AU$2,'Atividades Micro'!$K504&lt;&gt;""),'Atividades Micro'!$K504,"")</f>
        <v/>
      </c>
      <c r="AV452" s="21" t="str">
        <f>IF(AND('Atividades Micro'!$A504=AV$2,'Atividades Micro'!$L504&lt;&gt;""),'Atividades Micro'!$L504,"")</f>
        <v/>
      </c>
      <c r="AW452" s="21" t="str">
        <f>IF(AND('Atividades Micro'!$B504=AW$2,'Atividades Micro'!$K504&lt;&gt;""),'Atividades Micro'!$K504,"")</f>
        <v/>
      </c>
      <c r="AX452" s="21" t="str">
        <f>IF(AND('Atividades Micro'!$B504=AX$2,'Atividades Micro'!$L504&lt;&gt;""),'Atividades Micro'!$L504,"")</f>
        <v/>
      </c>
      <c r="AY452" s="21" t="str">
        <f>IF(AND('Atividades Micro'!$A504=AY$2,'Atividades Micro'!$K504&lt;&gt;""),'Atividades Micro'!$K504,"")</f>
        <v/>
      </c>
      <c r="AZ452" s="21" t="str">
        <f>IF(AND('Atividades Micro'!$A504=AZ$2,'Atividades Micro'!$L504&lt;&gt;""),'Atividades Micro'!$L504,"")</f>
        <v/>
      </c>
      <c r="BA452" s="21" t="str">
        <f>IF(AND('Atividades Micro'!$B504=BA$2,'Atividades Micro'!$K504&lt;&gt;""),'Atividades Micro'!$K504,"")</f>
        <v/>
      </c>
      <c r="BB452" s="21" t="str">
        <f>IF(AND('Atividades Micro'!$B504=BB$2,'Atividades Micro'!$L504&lt;&gt;""),'Atividades Micro'!$L504,"")</f>
        <v/>
      </c>
      <c r="BC452" s="21" t="str">
        <f>IF(AND('Atividades Micro'!$B504=BC$2,'Atividades Micro'!$G504="Macro",'Atividades Micro'!$K504&lt;&gt;""),'Atividades Micro'!$K504,"")</f>
        <v/>
      </c>
      <c r="BD452" s="21" t="str">
        <f>IF(AND('Atividades Micro'!$B504=BD$2,'Atividades Micro'!$G504="Macro",'Atividades Micro'!$K504&lt;&gt;""),'Atividades Micro'!$K504,"")</f>
        <v/>
      </c>
      <c r="BE452" s="21" t="str">
        <f>IF(AND('Atividades Micro'!$B504=BE$2,'Atividades Micro'!$G504="Macro",'Atividades Micro'!$K504&lt;&gt;""),'Atividades Micro'!$K504,"")</f>
        <v/>
      </c>
      <c r="BF452" s="21" t="str">
        <f>IF(AND('Atividades Micro'!$B504=BF$2,'Atividades Micro'!$G504="Macro",'Atividades Micro'!$K504&lt;&gt;""),'Atividades Micro'!$K504,"")</f>
        <v/>
      </c>
      <c r="BG452" s="21" t="str">
        <f>IF(AND('Atividades Micro'!$B504=BG$2,'Atividades Micro'!$G504="Macro",'Atividades Micro'!$K504&lt;&gt;""),'Atividades Micro'!$K504,"")</f>
        <v/>
      </c>
      <c r="BH452" s="21" t="str">
        <f>IF(AND('Atividades Micro'!$B504=BH$2,'Atividades Micro'!$G504="Macro",'Atividades Micro'!$K504&lt;&gt;""),'Atividades Micro'!$K504,"")</f>
        <v/>
      </c>
      <c r="BI452" s="21" t="str">
        <f>IF(AND('Atividades Micro'!$B504=BI$2,'Atividades Micro'!$G504="Macro",'Atividades Micro'!$K504&lt;&gt;""),'Atividades Micro'!$K504,"")</f>
        <v/>
      </c>
      <c r="BJ452" s="21" t="str">
        <f>IF(AND('Atividades Micro'!$B504=BJ$2,'Atividades Micro'!$G504="Macro",'Atividades Micro'!$K504&lt;&gt;""),'Atividades Micro'!$K504,"")</f>
        <v/>
      </c>
      <c r="BK452" s="21" t="str">
        <f>IF(AND('Atividades Micro'!$B504=BK$2,'Atividades Micro'!$G504="Macro",'Atividades Micro'!$K504&lt;&gt;""),'Atividades Micro'!$K504,"")</f>
        <v/>
      </c>
      <c r="BL452" s="21" t="str">
        <f>IF(AND('Atividades Micro'!$B504=BL$2,'Atividades Micro'!$G504="Macro",'Atividades Micro'!$K504&lt;&gt;""),'Atividades Micro'!$K504,"")</f>
        <v/>
      </c>
      <c r="BM452" s="21" t="str">
        <f>IF(AND('Atividades Micro'!$B504=BM$2,'Atividades Micro'!$G504="Macro",'Atividades Micro'!$K504&lt;&gt;""),'Atividades Micro'!$K504,"")</f>
        <v/>
      </c>
      <c r="BN452" s="21" t="str">
        <f>IF(AND('Atividades Micro'!$B504=BN$2,'Atividades Micro'!$G504="Macro",'Atividades Micro'!$K504&lt;&gt;""),'Atividades Micro'!$K504,"")</f>
        <v/>
      </c>
      <c r="BO452" s="21" t="str">
        <f>IF(AND('Atividades Micro'!$B504=BO$2,'Atividades Micro'!$G504="Macro",'Atividades Micro'!$K504&lt;&gt;""),'Atividades Micro'!$K504,"")</f>
        <v/>
      </c>
      <c r="BP452" s="21" t="str">
        <f>IF(AND('Atividades Micro'!$B504=BP$2,'Atividades Micro'!$G504="Macro",'Atividades Micro'!$K504&lt;&gt;""),'Atividades Micro'!$K504,"")</f>
        <v/>
      </c>
      <c r="BQ452" s="21" t="str">
        <f>IF(AND('Atividades Micro'!$B504=BQ$2,'Atividades Micro'!$G504="Macro",'Atividades Micro'!$K504&lt;&gt;""),'Atividades Micro'!$K504,"")</f>
        <v/>
      </c>
      <c r="BR452" s="21" t="str">
        <f>IF(AND('Atividades Micro'!$B504=BR$2,'Atividades Micro'!$G504="Macro",'Atividades Micro'!$K504&lt;&gt;""),'Atividades Micro'!$K504,"")</f>
        <v/>
      </c>
      <c r="BS452" s="21" t="str">
        <f>IF(AND('Atividades Micro'!$B504=BS$2,'Atividades Micro'!$G504="Macro",'Atividades Micro'!$K504&lt;&gt;""),'Atividades Micro'!$K504,"")</f>
        <v/>
      </c>
      <c r="BT452" s="21" t="str">
        <f>IF(AND('Atividades Micro'!$B504=BT$2,'Atividades Micro'!$G504="Macro",'Atividades Micro'!$K504&lt;&gt;""),'Atividades Micro'!$K504,"")</f>
        <v/>
      </c>
      <c r="BU452" s="21" t="str">
        <f>IF(AND('Atividades Micro'!$B504=BU$2,'Atividades Micro'!$G504="Macro",'Atividades Micro'!$K504&lt;&gt;""),'Atividades Micro'!$K504,"")</f>
        <v/>
      </c>
      <c r="BV452" s="21" t="str">
        <f>IF(AND('Atividades Micro'!$B504=BV$2,'Atividades Micro'!$G504="Macro",'Atividades Micro'!$K504&lt;&gt;""),'Atividades Micro'!$K504,"")</f>
        <v/>
      </c>
      <c r="BW452" s="21" t="str">
        <f>IF(AND('Atividades Micro'!$B504=BW$2,'Atividades Micro'!$G504="Macro",'Atividades Micro'!$K504&lt;&gt;""),'Atividades Micro'!$K504,"")</f>
        <v/>
      </c>
      <c r="BX452" s="21" t="str">
        <f>IF(AND('Atividades Micro'!$B504=BX$2,'Atividades Micro'!$G504="Macro",'Atividades Micro'!$K504&lt;&gt;""),'Atividades Micro'!$K504,"")</f>
        <v/>
      </c>
      <c r="BY452" s="21" t="str">
        <f>IF(AND('Atividades Micro'!$B504=BY$2,'Atividades Micro'!$G504="Macro",'Atividades Micro'!$K504&lt;&gt;""),'Atividades Micro'!$K504,"")</f>
        <v/>
      </c>
      <c r="BZ452" s="21" t="str">
        <f>IF(AND('Atividades Micro'!$B504=BZ$2,'Atividades Micro'!$G504="Macro",'Atividades Micro'!$K504&lt;&gt;""),'Atividades Micro'!$K504,"")</f>
        <v/>
      </c>
      <c r="CA452" s="21" t="str">
        <f>IF(AND('Atividades Micro'!$B504=CA$2,'Atividades Micro'!$G504="Macro",'Atividades Micro'!$K504&lt;&gt;""),'Atividades Micro'!$K504,"")</f>
        <v/>
      </c>
      <c r="CB452" s="21" t="str">
        <f>IF(AND('Atividades Micro'!$B504=CB$2,'Atividades Micro'!$G504="Macro",'Atividades Micro'!$K504&lt;&gt;""),'Atividades Micro'!$K504,"")</f>
        <v/>
      </c>
      <c r="CC452" s="21" t="str">
        <f>IF(AND('Atividades Micro'!$B504=CC$2,'Atividades Micro'!$G504="Macro",'Atividades Micro'!$K504&lt;&gt;""),'Atividades Micro'!$K504,"")</f>
        <v/>
      </c>
      <c r="CD452" s="21" t="str">
        <f>IF(AND('Atividades Micro'!$B504=CD$2,'Atividades Micro'!$G504="Micro",'Atividades Micro'!$K504&lt;&gt;""),'Atividades Micro'!$K504,"")</f>
        <v/>
      </c>
      <c r="CE452" s="21" t="str">
        <f>IF(AND('Atividades Micro'!$B504=CE$2,'Atividades Micro'!$G504="Micro",'Atividades Micro'!$K504&lt;&gt;""),'Atividades Micro'!$K504,"")</f>
        <v/>
      </c>
      <c r="CF452" s="21" t="str">
        <f>IF(AND('Atividades Micro'!$B504=CF$2,'Atividades Micro'!$G504="Micro",'Atividades Micro'!$K504&lt;&gt;""),'Atividades Micro'!$K504,"")</f>
        <v/>
      </c>
      <c r="CG452" s="21" t="str">
        <f>IF(AND('Atividades Micro'!$B504=CG$2,'Atividades Micro'!$G504="Micro",'Atividades Micro'!$K504&lt;&gt;""),'Atividades Micro'!$K504,"")</f>
        <v/>
      </c>
      <c r="CH452" s="21" t="str">
        <f>IF(AND('Atividades Micro'!$B504=CH$2,'Atividades Micro'!$G504="Micro",'Atividades Micro'!$K504&lt;&gt;""),'Atividades Micro'!$K504,"")</f>
        <v/>
      </c>
      <c r="CI452" s="21" t="str">
        <f>IF(AND('Atividades Micro'!$B504=CI$2,'Atividades Micro'!$G504="Micro",'Atividades Micro'!$K504&lt;&gt;""),'Atividades Micro'!$K504,"")</f>
        <v/>
      </c>
      <c r="CJ452" s="21" t="str">
        <f>IF(AND('Atividades Micro'!$B504=CJ$2,'Atividades Micro'!$G504="Micro",'Atividades Micro'!$K504&lt;&gt;""),'Atividades Micro'!$K504,"")</f>
        <v/>
      </c>
      <c r="CK452" s="21" t="str">
        <f>IF(AND('Atividades Micro'!$B504=CK$2,'Atividades Micro'!$G504="Micro",'Atividades Micro'!$K504&lt;&gt;""),'Atividades Micro'!$K504,"")</f>
        <v/>
      </c>
      <c r="CL452" s="21" t="str">
        <f>IF(AND('Atividades Micro'!$B504=CL$2,'Atividades Micro'!$G504="Micro",'Atividades Micro'!$K504&lt;&gt;""),'Atividades Micro'!$K504,"")</f>
        <v/>
      </c>
      <c r="CM452" s="21" t="str">
        <f>IF(AND('Atividades Micro'!$B504=CM$2,'Atividades Micro'!$G504="Micro",'Atividades Micro'!$K504&lt;&gt;""),'Atividades Micro'!$K504,"")</f>
        <v/>
      </c>
      <c r="CN452" s="21" t="str">
        <f>IF(AND('Atividades Micro'!$B504=CN$2,'Atividades Micro'!$G504="Micro",'Atividades Micro'!$K504&lt;&gt;""),'Atividades Micro'!$K504,"")</f>
        <v/>
      </c>
      <c r="CO452" s="21" t="str">
        <f>IF(AND('Atividades Micro'!$B504=CO$2,'Atividades Micro'!$G504="Micro",'Atividades Micro'!$K504&lt;&gt;""),'Atividades Micro'!$K504,"")</f>
        <v/>
      </c>
    </row>
    <row r="453" spans="1:93">
      <c r="A453" s="21" t="str">
        <f>IF(AND('Atividades Micro'!$A505=A$2,'Atividades Micro'!$K505&lt;&gt;""),'Atividades Micro'!$K505,"")</f>
        <v/>
      </c>
      <c r="B453" s="21" t="str">
        <f>IF(AND('Atividades Micro'!$A505=B$2,'Atividades Micro'!$L505&lt;&gt;""),'Atividades Micro'!$L505,"")</f>
        <v/>
      </c>
      <c r="C453" s="21" t="str">
        <f>IF(AND('Atividades Micro'!$A505=C$2,'Atividades Micro'!$K505&lt;&gt;""),'Atividades Micro'!$K505,"")</f>
        <v/>
      </c>
      <c r="D453" s="21" t="str">
        <f>IF(AND('Atividades Micro'!$A505=D$2,'Atividades Micro'!$L505&lt;&gt;""),'Atividades Micro'!$L505,"")</f>
        <v/>
      </c>
      <c r="E453" s="21" t="str">
        <f>IF(AND('Atividades Micro'!$A505=E$2,'Atividades Micro'!$K505&lt;&gt;""),'Atividades Micro'!$K505,"")</f>
        <v/>
      </c>
      <c r="F453" s="21" t="str">
        <f>IF(AND('Atividades Micro'!$A505=F$2,'Atividades Micro'!$L505&lt;&gt;""),'Atividades Micro'!$L505,"")</f>
        <v/>
      </c>
      <c r="G453" s="21" t="str">
        <f>IF(AND('Atividades Micro'!$A505=G$2,'Atividades Micro'!$K505&lt;&gt;""),'Atividades Micro'!$K505,"")</f>
        <v/>
      </c>
      <c r="H453" s="21" t="str">
        <f>IF(AND('Atividades Micro'!$A505=H$2,'Atividades Micro'!$L505&lt;&gt;""),'Atividades Micro'!$L505,"")</f>
        <v/>
      </c>
      <c r="I453" s="21" t="str">
        <f>IF(AND('Atividades Micro'!$A505=I$2,'Atividades Micro'!$K505&lt;&gt;""),'Atividades Micro'!$K505,"")</f>
        <v/>
      </c>
      <c r="J453" s="21" t="str">
        <f>IF(AND('Atividades Micro'!$A505=J$2,'Atividades Micro'!$L505&lt;&gt;""),'Atividades Micro'!$L505,"")</f>
        <v/>
      </c>
      <c r="K453" s="21" t="str">
        <f>IF(AND('Atividades Micro'!$B505=K$2,'Atividades Micro'!$K505&lt;&gt;""),'Atividades Micro'!$K505,"")</f>
        <v/>
      </c>
      <c r="L453" s="21" t="str">
        <f>IF(AND('Atividades Micro'!$B505=L$2,'Atividades Micro'!$L505&lt;&gt;""),'Atividades Micro'!$L505,"")</f>
        <v/>
      </c>
      <c r="M453" s="21" t="str">
        <f>IF(AND('Atividades Micro'!$B505=M$2,'Atividades Micro'!$K505&lt;&gt;""),'Atividades Micro'!$K505,"")</f>
        <v/>
      </c>
      <c r="N453" s="21" t="str">
        <f>IF(AND('Atividades Micro'!$B505=N$2,'Atividades Micro'!$L505&lt;&gt;""),'Atividades Micro'!$L505,"")</f>
        <v/>
      </c>
      <c r="O453" s="21" t="str">
        <f>IF(AND('Atividades Micro'!$A505=O$2,'Atividades Micro'!$K505&lt;&gt;""),'Atividades Micro'!$K505,"")</f>
        <v/>
      </c>
      <c r="P453" s="21" t="str">
        <f>IF(AND('Atividades Micro'!$A505=P$2,'Atividades Micro'!$L505&lt;&gt;""),'Atividades Micro'!$L505,"")</f>
        <v/>
      </c>
      <c r="Q453" s="21" t="str">
        <f>IF(AND('Atividades Micro'!$B505=Q$2,'Atividades Micro'!$K505&lt;&gt;""),'Atividades Micro'!$K505,"")</f>
        <v/>
      </c>
      <c r="R453" s="21" t="str">
        <f>IF(AND('Atividades Micro'!$B505=R$2,'Atividades Micro'!$L505&lt;&gt;""),'Atividades Micro'!$L505,"")</f>
        <v/>
      </c>
      <c r="S453" s="21" t="str">
        <f>IF(AND('Atividades Micro'!$A505=S$2,'Atividades Micro'!$K505&lt;&gt;""),'Atividades Micro'!$K505,"")</f>
        <v/>
      </c>
      <c r="T453" s="21" t="str">
        <f>IF(AND('Atividades Micro'!$A505=T$2,'Atividades Micro'!$L505&lt;&gt;""),'Atividades Micro'!$L505,"")</f>
        <v/>
      </c>
      <c r="U453" s="21" t="str">
        <f>IF(AND('Atividades Micro'!$B505=U$2,'Atividades Micro'!$K505&lt;&gt;""),'Atividades Micro'!$K505,"")</f>
        <v/>
      </c>
      <c r="V453" s="21" t="str">
        <f>IF(AND('Atividades Micro'!$B505=V$2,'Atividades Micro'!$L505&lt;&gt;""),'Atividades Micro'!$L505,"")</f>
        <v/>
      </c>
      <c r="W453" s="21" t="str">
        <f>IF(AND('Atividades Micro'!$B505=W$2,'Atividades Micro'!$K505&lt;&gt;""),'Atividades Micro'!$K505,"")</f>
        <v/>
      </c>
      <c r="X453" s="21" t="str">
        <f>IF(AND('Atividades Micro'!$B505=X$2,'Atividades Micro'!$L505&lt;&gt;""),'Atividades Micro'!$L505,"")</f>
        <v/>
      </c>
      <c r="Y453" s="21" t="str">
        <f>IF(AND('Atividades Micro'!$A505=Y$2,'Atividades Micro'!$K505&lt;&gt;""),'Atividades Micro'!$K505,"")</f>
        <v/>
      </c>
      <c r="Z453" s="21" t="str">
        <f>IF(AND('Atividades Micro'!$A505=Z$2,'Atividades Micro'!$L505&lt;&gt;""),'Atividades Micro'!$L505,"")</f>
        <v/>
      </c>
      <c r="AA453" s="21" t="str">
        <f>IF(AND('Atividades Micro'!$B505=AA$2,'Atividades Micro'!$K505&lt;&gt;""),'Atividades Micro'!$K505,"")</f>
        <v/>
      </c>
      <c r="AB453" s="21" t="str">
        <f>IF(AND('Atividades Micro'!$B505=AB$2,'Atividades Micro'!$L505&lt;&gt;""),'Atividades Micro'!$L505,"")</f>
        <v/>
      </c>
      <c r="AC453" s="21" t="str">
        <f>IF(AND('Atividades Micro'!$B505=AC$2,'Atividades Micro'!$K505&lt;&gt;""),'Atividades Micro'!$K505,"")</f>
        <v/>
      </c>
      <c r="AD453" s="21" t="str">
        <f>IF(AND('Atividades Micro'!$B505=AD$2,'Atividades Micro'!$L505&lt;&gt;""),'Atividades Micro'!$L505,"")</f>
        <v/>
      </c>
      <c r="AE453" s="21" t="str">
        <f>IF(AND('Atividades Micro'!$A505=AE$2,'Atividades Micro'!$K505&lt;&gt;""),'Atividades Micro'!$K505,"")</f>
        <v/>
      </c>
      <c r="AF453" s="21" t="str">
        <f>IF(AND('Atividades Micro'!$A505=AF$2,'Atividades Micro'!$L505&lt;&gt;""),'Atividades Micro'!$L505,"")</f>
        <v/>
      </c>
      <c r="AG453" s="21" t="str">
        <f>IF(AND('Atividades Micro'!$B505=AG$2,'Atividades Micro'!$K505&lt;&gt;""),'Atividades Micro'!$K505,"")</f>
        <v/>
      </c>
      <c r="AH453" s="21" t="str">
        <f>IF(AND('Atividades Micro'!$B505=AH$2,'Atividades Micro'!$L505&lt;&gt;""),'Atividades Micro'!$L505,"")</f>
        <v/>
      </c>
      <c r="AI453" s="21" t="str">
        <f>IF(AND('Atividades Micro'!$B505=AI$2,'Atividades Micro'!$K505&lt;&gt;""),'Atividades Micro'!$K505,"")</f>
        <v/>
      </c>
      <c r="AJ453" s="21" t="str">
        <f>IF(AND('Atividades Micro'!$B505=AJ$2,'Atividades Micro'!$L505&lt;&gt;""),'Atividades Micro'!$L505,"")</f>
        <v/>
      </c>
      <c r="AK453" s="21" t="str">
        <f>IF(AND('Atividades Micro'!$A505=AK$2,'Atividades Micro'!$K505&lt;&gt;""),'Atividades Micro'!$K505,"")</f>
        <v/>
      </c>
      <c r="AL453" s="21" t="str">
        <f>IF(AND('Atividades Micro'!$A505=AL$2,'Atividades Micro'!$L505&lt;&gt;""),'Atividades Micro'!$L505,"")</f>
        <v/>
      </c>
      <c r="AM453" s="21" t="str">
        <f>IF(AND('Atividades Micro'!$B505=AM$2,'Atividades Micro'!$K505&lt;&gt;""),'Atividades Micro'!$K505,"")</f>
        <v/>
      </c>
      <c r="AN453" s="21" t="str">
        <f>IF(AND('Atividades Micro'!$B505=AN$2,'Atividades Micro'!$L505&lt;&gt;""),'Atividades Micro'!$L505,"")</f>
        <v/>
      </c>
      <c r="AO453" s="21" t="str">
        <f>IF(AND('Atividades Micro'!$B505=AO$2,'Atividades Micro'!$K505&lt;&gt;""),'Atividades Micro'!$K505,"")</f>
        <v/>
      </c>
      <c r="AP453" s="21" t="str">
        <f>IF(AND('Atividades Micro'!$B505=AP$2,'Atividades Micro'!$L505&lt;&gt;""),'Atividades Micro'!$L505,"")</f>
        <v/>
      </c>
      <c r="AQ453" s="21" t="str">
        <f>IF(AND('Atividades Micro'!$A505=AQ$2,'Atividades Micro'!$K505&lt;&gt;""),'Atividades Micro'!$K505,"")</f>
        <v/>
      </c>
      <c r="AR453" s="21" t="str">
        <f>IF(AND('Atividades Micro'!$A505=AR$2,'Atividades Micro'!$L505&lt;&gt;""),'Atividades Micro'!$L505,"")</f>
        <v/>
      </c>
      <c r="AS453" s="21" t="str">
        <f>IF(AND('Atividades Micro'!$B505=AS$2,'Atividades Micro'!$K505&lt;&gt;""),'Atividades Micro'!$K505,"")</f>
        <v/>
      </c>
      <c r="AT453" s="21" t="str">
        <f>IF(AND('Atividades Micro'!$B505=AT$2,'Atividades Micro'!$L505&lt;&gt;""),'Atividades Micro'!$L505,"")</f>
        <v/>
      </c>
      <c r="AU453" s="21" t="str">
        <f>IF(AND('Atividades Micro'!$A505=AU$2,'Atividades Micro'!$K505&lt;&gt;""),'Atividades Micro'!$K505,"")</f>
        <v/>
      </c>
      <c r="AV453" s="21" t="str">
        <f>IF(AND('Atividades Micro'!$A505=AV$2,'Atividades Micro'!$L505&lt;&gt;""),'Atividades Micro'!$L505,"")</f>
        <v/>
      </c>
      <c r="AW453" s="21" t="str">
        <f>IF(AND('Atividades Micro'!$B505=AW$2,'Atividades Micro'!$K505&lt;&gt;""),'Atividades Micro'!$K505,"")</f>
        <v/>
      </c>
      <c r="AX453" s="21" t="str">
        <f>IF(AND('Atividades Micro'!$B505=AX$2,'Atividades Micro'!$L505&lt;&gt;""),'Atividades Micro'!$L505,"")</f>
        <v/>
      </c>
      <c r="AY453" s="21" t="str">
        <f>IF(AND('Atividades Micro'!$A505=AY$2,'Atividades Micro'!$K505&lt;&gt;""),'Atividades Micro'!$K505,"")</f>
        <v/>
      </c>
      <c r="AZ453" s="21" t="str">
        <f>IF(AND('Atividades Micro'!$A505=AZ$2,'Atividades Micro'!$L505&lt;&gt;""),'Atividades Micro'!$L505,"")</f>
        <v/>
      </c>
      <c r="BA453" s="21" t="str">
        <f>IF(AND('Atividades Micro'!$B505=BA$2,'Atividades Micro'!$K505&lt;&gt;""),'Atividades Micro'!$K505,"")</f>
        <v/>
      </c>
      <c r="BB453" s="21" t="str">
        <f>IF(AND('Atividades Micro'!$B505=BB$2,'Atividades Micro'!$L505&lt;&gt;""),'Atividades Micro'!$L505,"")</f>
        <v/>
      </c>
      <c r="BC453" s="21" t="str">
        <f>IF(AND('Atividades Micro'!$B505=BC$2,'Atividades Micro'!$G505="Macro",'Atividades Micro'!$K505&lt;&gt;""),'Atividades Micro'!$K505,"")</f>
        <v/>
      </c>
      <c r="BD453" s="21" t="str">
        <f>IF(AND('Atividades Micro'!$B505=BD$2,'Atividades Micro'!$G505="Macro",'Atividades Micro'!$K505&lt;&gt;""),'Atividades Micro'!$K505,"")</f>
        <v/>
      </c>
      <c r="BE453" s="21" t="str">
        <f>IF(AND('Atividades Micro'!$B505=BE$2,'Atividades Micro'!$G505="Macro",'Atividades Micro'!$K505&lt;&gt;""),'Atividades Micro'!$K505,"")</f>
        <v/>
      </c>
      <c r="BF453" s="21" t="str">
        <f>IF(AND('Atividades Micro'!$B505=BF$2,'Atividades Micro'!$G505="Macro",'Atividades Micro'!$K505&lt;&gt;""),'Atividades Micro'!$K505,"")</f>
        <v/>
      </c>
      <c r="BG453" s="21" t="str">
        <f>IF(AND('Atividades Micro'!$B505=BG$2,'Atividades Micro'!$G505="Macro",'Atividades Micro'!$K505&lt;&gt;""),'Atividades Micro'!$K505,"")</f>
        <v/>
      </c>
      <c r="BH453" s="21" t="str">
        <f>IF(AND('Atividades Micro'!$B505=BH$2,'Atividades Micro'!$G505="Macro",'Atividades Micro'!$K505&lt;&gt;""),'Atividades Micro'!$K505,"")</f>
        <v/>
      </c>
      <c r="BI453" s="21" t="str">
        <f>IF(AND('Atividades Micro'!$B505=BI$2,'Atividades Micro'!$G505="Macro",'Atividades Micro'!$K505&lt;&gt;""),'Atividades Micro'!$K505,"")</f>
        <v/>
      </c>
      <c r="BJ453" s="21" t="str">
        <f>IF(AND('Atividades Micro'!$B505=BJ$2,'Atividades Micro'!$G505="Macro",'Atividades Micro'!$K505&lt;&gt;""),'Atividades Micro'!$K505,"")</f>
        <v/>
      </c>
      <c r="BK453" s="21" t="str">
        <f>IF(AND('Atividades Micro'!$B505=BK$2,'Atividades Micro'!$G505="Macro",'Atividades Micro'!$K505&lt;&gt;""),'Atividades Micro'!$K505,"")</f>
        <v/>
      </c>
      <c r="BL453" s="21" t="str">
        <f>IF(AND('Atividades Micro'!$B505=BL$2,'Atividades Micro'!$G505="Macro",'Atividades Micro'!$K505&lt;&gt;""),'Atividades Micro'!$K505,"")</f>
        <v/>
      </c>
      <c r="BM453" s="21" t="str">
        <f>IF(AND('Atividades Micro'!$B505=BM$2,'Atividades Micro'!$G505="Macro",'Atividades Micro'!$K505&lt;&gt;""),'Atividades Micro'!$K505,"")</f>
        <v/>
      </c>
      <c r="BN453" s="21" t="str">
        <f>IF(AND('Atividades Micro'!$B505=BN$2,'Atividades Micro'!$G505="Macro",'Atividades Micro'!$K505&lt;&gt;""),'Atividades Micro'!$K505,"")</f>
        <v/>
      </c>
      <c r="BO453" s="21" t="str">
        <f>IF(AND('Atividades Micro'!$B505=BO$2,'Atividades Micro'!$G505="Macro",'Atividades Micro'!$K505&lt;&gt;""),'Atividades Micro'!$K505,"")</f>
        <v/>
      </c>
      <c r="BP453" s="21" t="str">
        <f>IF(AND('Atividades Micro'!$B505=BP$2,'Atividades Micro'!$G505="Macro",'Atividades Micro'!$K505&lt;&gt;""),'Atividades Micro'!$K505,"")</f>
        <v/>
      </c>
      <c r="BQ453" s="21" t="str">
        <f>IF(AND('Atividades Micro'!$B505=BQ$2,'Atividades Micro'!$G505="Macro",'Atividades Micro'!$K505&lt;&gt;""),'Atividades Micro'!$K505,"")</f>
        <v/>
      </c>
      <c r="BR453" s="21" t="str">
        <f>IF(AND('Atividades Micro'!$B505=BR$2,'Atividades Micro'!$G505="Macro",'Atividades Micro'!$K505&lt;&gt;""),'Atividades Micro'!$K505,"")</f>
        <v/>
      </c>
      <c r="BS453" s="21" t="str">
        <f>IF(AND('Atividades Micro'!$B505=BS$2,'Atividades Micro'!$G505="Macro",'Atividades Micro'!$K505&lt;&gt;""),'Atividades Micro'!$K505,"")</f>
        <v/>
      </c>
      <c r="BT453" s="21" t="str">
        <f>IF(AND('Atividades Micro'!$B505=BT$2,'Atividades Micro'!$G505="Macro",'Atividades Micro'!$K505&lt;&gt;""),'Atividades Micro'!$K505,"")</f>
        <v/>
      </c>
      <c r="BU453" s="21" t="str">
        <f>IF(AND('Atividades Micro'!$B505=BU$2,'Atividades Micro'!$G505="Macro",'Atividades Micro'!$K505&lt;&gt;""),'Atividades Micro'!$K505,"")</f>
        <v/>
      </c>
      <c r="BV453" s="21" t="str">
        <f>IF(AND('Atividades Micro'!$B505=BV$2,'Atividades Micro'!$G505="Macro",'Atividades Micro'!$K505&lt;&gt;""),'Atividades Micro'!$K505,"")</f>
        <v/>
      </c>
      <c r="BW453" s="21" t="str">
        <f>IF(AND('Atividades Micro'!$B505=BW$2,'Atividades Micro'!$G505="Macro",'Atividades Micro'!$K505&lt;&gt;""),'Atividades Micro'!$K505,"")</f>
        <v/>
      </c>
      <c r="BX453" s="21" t="str">
        <f>IF(AND('Atividades Micro'!$B505=BX$2,'Atividades Micro'!$G505="Macro",'Atividades Micro'!$K505&lt;&gt;""),'Atividades Micro'!$K505,"")</f>
        <v/>
      </c>
      <c r="BY453" s="21" t="str">
        <f>IF(AND('Atividades Micro'!$B505=BY$2,'Atividades Micro'!$G505="Macro",'Atividades Micro'!$K505&lt;&gt;""),'Atividades Micro'!$K505,"")</f>
        <v/>
      </c>
      <c r="BZ453" s="21" t="str">
        <f>IF(AND('Atividades Micro'!$B505=BZ$2,'Atividades Micro'!$G505="Macro",'Atividades Micro'!$K505&lt;&gt;""),'Atividades Micro'!$K505,"")</f>
        <v/>
      </c>
      <c r="CA453" s="21" t="str">
        <f>IF(AND('Atividades Micro'!$B505=CA$2,'Atividades Micro'!$G505="Macro",'Atividades Micro'!$K505&lt;&gt;""),'Atividades Micro'!$K505,"")</f>
        <v/>
      </c>
      <c r="CB453" s="21" t="str">
        <f>IF(AND('Atividades Micro'!$B505=CB$2,'Atividades Micro'!$G505="Macro",'Atividades Micro'!$K505&lt;&gt;""),'Atividades Micro'!$K505,"")</f>
        <v/>
      </c>
      <c r="CC453" s="21" t="str">
        <f>IF(AND('Atividades Micro'!$B505=CC$2,'Atividades Micro'!$G505="Macro",'Atividades Micro'!$K505&lt;&gt;""),'Atividades Micro'!$K505,"")</f>
        <v/>
      </c>
      <c r="CD453" s="21" t="str">
        <f>IF(AND('Atividades Micro'!$B505=CD$2,'Atividades Micro'!$G505="Micro",'Atividades Micro'!$K505&lt;&gt;""),'Atividades Micro'!$K505,"")</f>
        <v/>
      </c>
      <c r="CE453" s="21" t="str">
        <f>IF(AND('Atividades Micro'!$B505=CE$2,'Atividades Micro'!$G505="Micro",'Atividades Micro'!$K505&lt;&gt;""),'Atividades Micro'!$K505,"")</f>
        <v/>
      </c>
      <c r="CF453" s="21" t="str">
        <f>IF(AND('Atividades Micro'!$B505=CF$2,'Atividades Micro'!$G505="Micro",'Atividades Micro'!$K505&lt;&gt;""),'Atividades Micro'!$K505,"")</f>
        <v/>
      </c>
      <c r="CG453" s="21" t="str">
        <f>IF(AND('Atividades Micro'!$B505=CG$2,'Atividades Micro'!$G505="Micro",'Atividades Micro'!$K505&lt;&gt;""),'Atividades Micro'!$K505,"")</f>
        <v/>
      </c>
      <c r="CH453" s="21" t="str">
        <f>IF(AND('Atividades Micro'!$B505=CH$2,'Atividades Micro'!$G505="Micro",'Atividades Micro'!$K505&lt;&gt;""),'Atividades Micro'!$K505,"")</f>
        <v/>
      </c>
      <c r="CI453" s="21" t="str">
        <f>IF(AND('Atividades Micro'!$B505=CI$2,'Atividades Micro'!$G505="Micro",'Atividades Micro'!$K505&lt;&gt;""),'Atividades Micro'!$K505,"")</f>
        <v/>
      </c>
      <c r="CJ453" s="21" t="str">
        <f>IF(AND('Atividades Micro'!$B505=CJ$2,'Atividades Micro'!$G505="Micro",'Atividades Micro'!$K505&lt;&gt;""),'Atividades Micro'!$K505,"")</f>
        <v/>
      </c>
      <c r="CK453" s="21" t="str">
        <f>IF(AND('Atividades Micro'!$B505=CK$2,'Atividades Micro'!$G505="Micro",'Atividades Micro'!$K505&lt;&gt;""),'Atividades Micro'!$K505,"")</f>
        <v/>
      </c>
      <c r="CL453" s="21" t="str">
        <f>IF(AND('Atividades Micro'!$B505=CL$2,'Atividades Micro'!$G505="Micro",'Atividades Micro'!$K505&lt;&gt;""),'Atividades Micro'!$K505,"")</f>
        <v/>
      </c>
      <c r="CM453" s="21" t="str">
        <f>IF(AND('Atividades Micro'!$B505=CM$2,'Atividades Micro'!$G505="Micro",'Atividades Micro'!$K505&lt;&gt;""),'Atividades Micro'!$K505,"")</f>
        <v/>
      </c>
      <c r="CN453" s="21" t="str">
        <f>IF(AND('Atividades Micro'!$B505=CN$2,'Atividades Micro'!$G505="Micro",'Atividades Micro'!$K505&lt;&gt;""),'Atividades Micro'!$K505,"")</f>
        <v/>
      </c>
      <c r="CO453" s="21" t="str">
        <f>IF(AND('Atividades Micro'!$B505=CO$2,'Atividades Micro'!$G505="Micro",'Atividades Micro'!$K505&lt;&gt;""),'Atividades Micro'!$K505,"")</f>
        <v/>
      </c>
    </row>
    <row r="454" spans="1:93">
      <c r="A454" s="21" t="str">
        <f>IF(AND('Atividades Micro'!$A506=A$2,'Atividades Micro'!$K506&lt;&gt;""),'Atividades Micro'!$K506,"")</f>
        <v/>
      </c>
      <c r="B454" s="21" t="str">
        <f>IF(AND('Atividades Micro'!$A506=B$2,'Atividades Micro'!$L506&lt;&gt;""),'Atividades Micro'!$L506,"")</f>
        <v/>
      </c>
      <c r="C454" s="21" t="str">
        <f>IF(AND('Atividades Micro'!$A506=C$2,'Atividades Micro'!$K506&lt;&gt;""),'Atividades Micro'!$K506,"")</f>
        <v/>
      </c>
      <c r="D454" s="21" t="str">
        <f>IF(AND('Atividades Micro'!$A506=D$2,'Atividades Micro'!$L506&lt;&gt;""),'Atividades Micro'!$L506,"")</f>
        <v/>
      </c>
      <c r="E454" s="21" t="str">
        <f>IF(AND('Atividades Micro'!$A506=E$2,'Atividades Micro'!$K506&lt;&gt;""),'Atividades Micro'!$K506,"")</f>
        <v/>
      </c>
      <c r="F454" s="21" t="str">
        <f>IF(AND('Atividades Micro'!$A506=F$2,'Atividades Micro'!$L506&lt;&gt;""),'Atividades Micro'!$L506,"")</f>
        <v/>
      </c>
      <c r="G454" s="21" t="str">
        <f>IF(AND('Atividades Micro'!$A506=G$2,'Atividades Micro'!$K506&lt;&gt;""),'Atividades Micro'!$K506,"")</f>
        <v/>
      </c>
      <c r="H454" s="21" t="str">
        <f>IF(AND('Atividades Micro'!$A506=H$2,'Atividades Micro'!$L506&lt;&gt;""),'Atividades Micro'!$L506,"")</f>
        <v/>
      </c>
      <c r="I454" s="21" t="str">
        <f>IF(AND('Atividades Micro'!$A506=I$2,'Atividades Micro'!$K506&lt;&gt;""),'Atividades Micro'!$K506,"")</f>
        <v/>
      </c>
      <c r="J454" s="21" t="str">
        <f>IF(AND('Atividades Micro'!$A506=J$2,'Atividades Micro'!$L506&lt;&gt;""),'Atividades Micro'!$L506,"")</f>
        <v/>
      </c>
      <c r="K454" s="21" t="str">
        <f>IF(AND('Atividades Micro'!$B506=K$2,'Atividades Micro'!$K506&lt;&gt;""),'Atividades Micro'!$K506,"")</f>
        <v/>
      </c>
      <c r="L454" s="21" t="str">
        <f>IF(AND('Atividades Micro'!$B506=L$2,'Atividades Micro'!$L506&lt;&gt;""),'Atividades Micro'!$L506,"")</f>
        <v/>
      </c>
      <c r="M454" s="21" t="str">
        <f>IF(AND('Atividades Micro'!$B506=M$2,'Atividades Micro'!$K506&lt;&gt;""),'Atividades Micro'!$K506,"")</f>
        <v/>
      </c>
      <c r="N454" s="21" t="str">
        <f>IF(AND('Atividades Micro'!$B506=N$2,'Atividades Micro'!$L506&lt;&gt;""),'Atividades Micro'!$L506,"")</f>
        <v/>
      </c>
      <c r="O454" s="21" t="str">
        <f>IF(AND('Atividades Micro'!$A506=O$2,'Atividades Micro'!$K506&lt;&gt;""),'Atividades Micro'!$K506,"")</f>
        <v/>
      </c>
      <c r="P454" s="21" t="str">
        <f>IF(AND('Atividades Micro'!$A506=P$2,'Atividades Micro'!$L506&lt;&gt;""),'Atividades Micro'!$L506,"")</f>
        <v/>
      </c>
      <c r="Q454" s="21" t="str">
        <f>IF(AND('Atividades Micro'!$B506=Q$2,'Atividades Micro'!$K506&lt;&gt;""),'Atividades Micro'!$K506,"")</f>
        <v/>
      </c>
      <c r="R454" s="21" t="str">
        <f>IF(AND('Atividades Micro'!$B506=R$2,'Atividades Micro'!$L506&lt;&gt;""),'Atividades Micro'!$L506,"")</f>
        <v/>
      </c>
      <c r="S454" s="21" t="str">
        <f>IF(AND('Atividades Micro'!$A506=S$2,'Atividades Micro'!$K506&lt;&gt;""),'Atividades Micro'!$K506,"")</f>
        <v/>
      </c>
      <c r="T454" s="21" t="str">
        <f>IF(AND('Atividades Micro'!$A506=T$2,'Atividades Micro'!$L506&lt;&gt;""),'Atividades Micro'!$L506,"")</f>
        <v/>
      </c>
      <c r="U454" s="21" t="str">
        <f>IF(AND('Atividades Micro'!$B506=U$2,'Atividades Micro'!$K506&lt;&gt;""),'Atividades Micro'!$K506,"")</f>
        <v/>
      </c>
      <c r="V454" s="21" t="str">
        <f>IF(AND('Atividades Micro'!$B506=V$2,'Atividades Micro'!$L506&lt;&gt;""),'Atividades Micro'!$L506,"")</f>
        <v/>
      </c>
      <c r="W454" s="21" t="str">
        <f>IF(AND('Atividades Micro'!$B506=W$2,'Atividades Micro'!$K506&lt;&gt;""),'Atividades Micro'!$K506,"")</f>
        <v/>
      </c>
      <c r="X454" s="21" t="str">
        <f>IF(AND('Atividades Micro'!$B506=X$2,'Atividades Micro'!$L506&lt;&gt;""),'Atividades Micro'!$L506,"")</f>
        <v/>
      </c>
      <c r="Y454" s="21" t="str">
        <f>IF(AND('Atividades Micro'!$A506=Y$2,'Atividades Micro'!$K506&lt;&gt;""),'Atividades Micro'!$K506,"")</f>
        <v/>
      </c>
      <c r="Z454" s="21" t="str">
        <f>IF(AND('Atividades Micro'!$A506=Z$2,'Atividades Micro'!$L506&lt;&gt;""),'Atividades Micro'!$L506,"")</f>
        <v/>
      </c>
      <c r="AA454" s="21" t="str">
        <f>IF(AND('Atividades Micro'!$B506=AA$2,'Atividades Micro'!$K506&lt;&gt;""),'Atividades Micro'!$K506,"")</f>
        <v/>
      </c>
      <c r="AB454" s="21" t="str">
        <f>IF(AND('Atividades Micro'!$B506=AB$2,'Atividades Micro'!$L506&lt;&gt;""),'Atividades Micro'!$L506,"")</f>
        <v/>
      </c>
      <c r="AC454" s="21" t="str">
        <f>IF(AND('Atividades Micro'!$B506=AC$2,'Atividades Micro'!$K506&lt;&gt;""),'Atividades Micro'!$K506,"")</f>
        <v/>
      </c>
      <c r="AD454" s="21" t="str">
        <f>IF(AND('Atividades Micro'!$B506=AD$2,'Atividades Micro'!$L506&lt;&gt;""),'Atividades Micro'!$L506,"")</f>
        <v/>
      </c>
      <c r="AE454" s="21" t="str">
        <f>IF(AND('Atividades Micro'!$A506=AE$2,'Atividades Micro'!$K506&lt;&gt;""),'Atividades Micro'!$K506,"")</f>
        <v/>
      </c>
      <c r="AF454" s="21" t="str">
        <f>IF(AND('Atividades Micro'!$A506=AF$2,'Atividades Micro'!$L506&lt;&gt;""),'Atividades Micro'!$L506,"")</f>
        <v/>
      </c>
      <c r="AG454" s="21" t="str">
        <f>IF(AND('Atividades Micro'!$B506=AG$2,'Atividades Micro'!$K506&lt;&gt;""),'Atividades Micro'!$K506,"")</f>
        <v/>
      </c>
      <c r="AH454" s="21" t="str">
        <f>IF(AND('Atividades Micro'!$B506=AH$2,'Atividades Micro'!$L506&lt;&gt;""),'Atividades Micro'!$L506,"")</f>
        <v/>
      </c>
      <c r="AI454" s="21" t="str">
        <f>IF(AND('Atividades Micro'!$B506=AI$2,'Atividades Micro'!$K506&lt;&gt;""),'Atividades Micro'!$K506,"")</f>
        <v/>
      </c>
      <c r="AJ454" s="21" t="str">
        <f>IF(AND('Atividades Micro'!$B506=AJ$2,'Atividades Micro'!$L506&lt;&gt;""),'Atividades Micro'!$L506,"")</f>
        <v/>
      </c>
      <c r="AK454" s="21" t="str">
        <f>IF(AND('Atividades Micro'!$A506=AK$2,'Atividades Micro'!$K506&lt;&gt;""),'Atividades Micro'!$K506,"")</f>
        <v/>
      </c>
      <c r="AL454" s="21" t="str">
        <f>IF(AND('Atividades Micro'!$A506=AL$2,'Atividades Micro'!$L506&lt;&gt;""),'Atividades Micro'!$L506,"")</f>
        <v/>
      </c>
      <c r="AM454" s="21" t="str">
        <f>IF(AND('Atividades Micro'!$B506=AM$2,'Atividades Micro'!$K506&lt;&gt;""),'Atividades Micro'!$K506,"")</f>
        <v/>
      </c>
      <c r="AN454" s="21" t="str">
        <f>IF(AND('Atividades Micro'!$B506=AN$2,'Atividades Micro'!$L506&lt;&gt;""),'Atividades Micro'!$L506,"")</f>
        <v/>
      </c>
      <c r="AO454" s="21" t="str">
        <f>IF(AND('Atividades Micro'!$B506=AO$2,'Atividades Micro'!$K506&lt;&gt;""),'Atividades Micro'!$K506,"")</f>
        <v/>
      </c>
      <c r="AP454" s="21" t="str">
        <f>IF(AND('Atividades Micro'!$B506=AP$2,'Atividades Micro'!$L506&lt;&gt;""),'Atividades Micro'!$L506,"")</f>
        <v/>
      </c>
      <c r="AQ454" s="21" t="str">
        <f>IF(AND('Atividades Micro'!$A506=AQ$2,'Atividades Micro'!$K506&lt;&gt;""),'Atividades Micro'!$K506,"")</f>
        <v/>
      </c>
      <c r="AR454" s="21" t="str">
        <f>IF(AND('Atividades Micro'!$A506=AR$2,'Atividades Micro'!$L506&lt;&gt;""),'Atividades Micro'!$L506,"")</f>
        <v/>
      </c>
      <c r="AS454" s="21" t="str">
        <f>IF(AND('Atividades Micro'!$B506=AS$2,'Atividades Micro'!$K506&lt;&gt;""),'Atividades Micro'!$K506,"")</f>
        <v/>
      </c>
      <c r="AT454" s="21" t="str">
        <f>IF(AND('Atividades Micro'!$B506=AT$2,'Atividades Micro'!$L506&lt;&gt;""),'Atividades Micro'!$L506,"")</f>
        <v/>
      </c>
      <c r="AU454" s="21" t="str">
        <f>IF(AND('Atividades Micro'!$A506=AU$2,'Atividades Micro'!$K506&lt;&gt;""),'Atividades Micro'!$K506,"")</f>
        <v/>
      </c>
      <c r="AV454" s="21" t="str">
        <f>IF(AND('Atividades Micro'!$A506=AV$2,'Atividades Micro'!$L506&lt;&gt;""),'Atividades Micro'!$L506,"")</f>
        <v/>
      </c>
      <c r="AW454" s="21" t="str">
        <f>IF(AND('Atividades Micro'!$B506=AW$2,'Atividades Micro'!$K506&lt;&gt;""),'Atividades Micro'!$K506,"")</f>
        <v/>
      </c>
      <c r="AX454" s="21" t="str">
        <f>IF(AND('Atividades Micro'!$B506=AX$2,'Atividades Micro'!$L506&lt;&gt;""),'Atividades Micro'!$L506,"")</f>
        <v/>
      </c>
      <c r="AY454" s="21" t="str">
        <f>IF(AND('Atividades Micro'!$A506=AY$2,'Atividades Micro'!$K506&lt;&gt;""),'Atividades Micro'!$K506,"")</f>
        <v/>
      </c>
      <c r="AZ454" s="21" t="str">
        <f>IF(AND('Atividades Micro'!$A506=AZ$2,'Atividades Micro'!$L506&lt;&gt;""),'Atividades Micro'!$L506,"")</f>
        <v/>
      </c>
      <c r="BA454" s="21" t="str">
        <f>IF(AND('Atividades Micro'!$B506=BA$2,'Atividades Micro'!$K506&lt;&gt;""),'Atividades Micro'!$K506,"")</f>
        <v/>
      </c>
      <c r="BB454" s="21" t="str">
        <f>IF(AND('Atividades Micro'!$B506=BB$2,'Atividades Micro'!$L506&lt;&gt;""),'Atividades Micro'!$L506,"")</f>
        <v/>
      </c>
      <c r="BC454" s="21" t="str">
        <f>IF(AND('Atividades Micro'!$B506=BC$2,'Atividades Micro'!$G506="Macro",'Atividades Micro'!$K506&lt;&gt;""),'Atividades Micro'!$K506,"")</f>
        <v/>
      </c>
      <c r="BD454" s="21" t="str">
        <f>IF(AND('Atividades Micro'!$B506=BD$2,'Atividades Micro'!$G506="Macro",'Atividades Micro'!$K506&lt;&gt;""),'Atividades Micro'!$K506,"")</f>
        <v/>
      </c>
      <c r="BE454" s="21" t="str">
        <f>IF(AND('Atividades Micro'!$B506=BE$2,'Atividades Micro'!$G506="Macro",'Atividades Micro'!$K506&lt;&gt;""),'Atividades Micro'!$K506,"")</f>
        <v/>
      </c>
      <c r="BF454" s="21" t="str">
        <f>IF(AND('Atividades Micro'!$B506=BF$2,'Atividades Micro'!$G506="Macro",'Atividades Micro'!$K506&lt;&gt;""),'Atividades Micro'!$K506,"")</f>
        <v/>
      </c>
      <c r="BG454" s="21" t="str">
        <f>IF(AND('Atividades Micro'!$B506=BG$2,'Atividades Micro'!$G506="Macro",'Atividades Micro'!$K506&lt;&gt;""),'Atividades Micro'!$K506,"")</f>
        <v/>
      </c>
      <c r="BH454" s="21" t="str">
        <f>IF(AND('Atividades Micro'!$B506=BH$2,'Atividades Micro'!$G506="Macro",'Atividades Micro'!$K506&lt;&gt;""),'Atividades Micro'!$K506,"")</f>
        <v/>
      </c>
      <c r="BI454" s="21" t="str">
        <f>IF(AND('Atividades Micro'!$B506=BI$2,'Atividades Micro'!$G506="Macro",'Atividades Micro'!$K506&lt;&gt;""),'Atividades Micro'!$K506,"")</f>
        <v/>
      </c>
      <c r="BJ454" s="21" t="str">
        <f>IF(AND('Atividades Micro'!$B506=BJ$2,'Atividades Micro'!$G506="Macro",'Atividades Micro'!$K506&lt;&gt;""),'Atividades Micro'!$K506,"")</f>
        <v/>
      </c>
      <c r="BK454" s="21" t="str">
        <f>IF(AND('Atividades Micro'!$B506=BK$2,'Atividades Micro'!$G506="Macro",'Atividades Micro'!$K506&lt;&gt;""),'Atividades Micro'!$K506,"")</f>
        <v/>
      </c>
      <c r="BL454" s="21" t="str">
        <f>IF(AND('Atividades Micro'!$B506=BL$2,'Atividades Micro'!$G506="Macro",'Atividades Micro'!$K506&lt;&gt;""),'Atividades Micro'!$K506,"")</f>
        <v/>
      </c>
      <c r="BM454" s="21" t="str">
        <f>IF(AND('Atividades Micro'!$B506=BM$2,'Atividades Micro'!$G506="Macro",'Atividades Micro'!$K506&lt;&gt;""),'Atividades Micro'!$K506,"")</f>
        <v/>
      </c>
      <c r="BN454" s="21" t="str">
        <f>IF(AND('Atividades Micro'!$B506=BN$2,'Atividades Micro'!$G506="Macro",'Atividades Micro'!$K506&lt;&gt;""),'Atividades Micro'!$K506,"")</f>
        <v/>
      </c>
      <c r="BO454" s="21" t="str">
        <f>IF(AND('Atividades Micro'!$B506=BO$2,'Atividades Micro'!$G506="Macro",'Atividades Micro'!$K506&lt;&gt;""),'Atividades Micro'!$K506,"")</f>
        <v/>
      </c>
      <c r="BP454" s="21" t="str">
        <f>IF(AND('Atividades Micro'!$B506=BP$2,'Atividades Micro'!$G506="Macro",'Atividades Micro'!$K506&lt;&gt;""),'Atividades Micro'!$K506,"")</f>
        <v/>
      </c>
      <c r="BQ454" s="21" t="str">
        <f>IF(AND('Atividades Micro'!$B506=BQ$2,'Atividades Micro'!$G506="Macro",'Atividades Micro'!$K506&lt;&gt;""),'Atividades Micro'!$K506,"")</f>
        <v/>
      </c>
      <c r="BR454" s="21" t="str">
        <f>IF(AND('Atividades Micro'!$B506=BR$2,'Atividades Micro'!$G506="Macro",'Atividades Micro'!$K506&lt;&gt;""),'Atividades Micro'!$K506,"")</f>
        <v/>
      </c>
      <c r="BS454" s="21" t="str">
        <f>IF(AND('Atividades Micro'!$B506=BS$2,'Atividades Micro'!$G506="Macro",'Atividades Micro'!$K506&lt;&gt;""),'Atividades Micro'!$K506,"")</f>
        <v/>
      </c>
      <c r="BT454" s="21" t="str">
        <f>IF(AND('Atividades Micro'!$B506=BT$2,'Atividades Micro'!$G506="Macro",'Atividades Micro'!$K506&lt;&gt;""),'Atividades Micro'!$K506,"")</f>
        <v/>
      </c>
      <c r="BU454" s="21" t="str">
        <f>IF(AND('Atividades Micro'!$B506=BU$2,'Atividades Micro'!$G506="Macro",'Atividades Micro'!$K506&lt;&gt;""),'Atividades Micro'!$K506,"")</f>
        <v/>
      </c>
      <c r="BV454" s="21" t="str">
        <f>IF(AND('Atividades Micro'!$B506=BV$2,'Atividades Micro'!$G506="Macro",'Atividades Micro'!$K506&lt;&gt;""),'Atividades Micro'!$K506,"")</f>
        <v/>
      </c>
      <c r="BW454" s="21" t="str">
        <f>IF(AND('Atividades Micro'!$B506=BW$2,'Atividades Micro'!$G506="Macro",'Atividades Micro'!$K506&lt;&gt;""),'Atividades Micro'!$K506,"")</f>
        <v/>
      </c>
      <c r="BX454" s="21" t="str">
        <f>IF(AND('Atividades Micro'!$B506=BX$2,'Atividades Micro'!$G506="Macro",'Atividades Micro'!$K506&lt;&gt;""),'Atividades Micro'!$K506,"")</f>
        <v/>
      </c>
      <c r="BY454" s="21" t="str">
        <f>IF(AND('Atividades Micro'!$B506=BY$2,'Atividades Micro'!$G506="Macro",'Atividades Micro'!$K506&lt;&gt;""),'Atividades Micro'!$K506,"")</f>
        <v/>
      </c>
      <c r="BZ454" s="21" t="str">
        <f>IF(AND('Atividades Micro'!$B506=BZ$2,'Atividades Micro'!$G506="Macro",'Atividades Micro'!$K506&lt;&gt;""),'Atividades Micro'!$K506,"")</f>
        <v/>
      </c>
      <c r="CA454" s="21" t="str">
        <f>IF(AND('Atividades Micro'!$B506=CA$2,'Atividades Micro'!$G506="Macro",'Atividades Micro'!$K506&lt;&gt;""),'Atividades Micro'!$K506,"")</f>
        <v/>
      </c>
      <c r="CB454" s="21" t="str">
        <f>IF(AND('Atividades Micro'!$B506=CB$2,'Atividades Micro'!$G506="Macro",'Atividades Micro'!$K506&lt;&gt;""),'Atividades Micro'!$K506,"")</f>
        <v/>
      </c>
      <c r="CC454" s="21" t="str">
        <f>IF(AND('Atividades Micro'!$B506=CC$2,'Atividades Micro'!$G506="Macro",'Atividades Micro'!$K506&lt;&gt;""),'Atividades Micro'!$K506,"")</f>
        <v/>
      </c>
      <c r="CD454" s="21" t="str">
        <f>IF(AND('Atividades Micro'!$B506=CD$2,'Atividades Micro'!$G506="Micro",'Atividades Micro'!$K506&lt;&gt;""),'Atividades Micro'!$K506,"")</f>
        <v/>
      </c>
      <c r="CE454" s="21" t="str">
        <f>IF(AND('Atividades Micro'!$B506=CE$2,'Atividades Micro'!$G506="Micro",'Atividades Micro'!$K506&lt;&gt;""),'Atividades Micro'!$K506,"")</f>
        <v/>
      </c>
      <c r="CF454" s="21" t="str">
        <f>IF(AND('Atividades Micro'!$B506=CF$2,'Atividades Micro'!$G506="Micro",'Atividades Micro'!$K506&lt;&gt;""),'Atividades Micro'!$K506,"")</f>
        <v/>
      </c>
      <c r="CG454" s="21" t="str">
        <f>IF(AND('Atividades Micro'!$B506=CG$2,'Atividades Micro'!$G506="Micro",'Atividades Micro'!$K506&lt;&gt;""),'Atividades Micro'!$K506,"")</f>
        <v/>
      </c>
      <c r="CH454" s="21" t="str">
        <f>IF(AND('Atividades Micro'!$B506=CH$2,'Atividades Micro'!$G506="Micro",'Atividades Micro'!$K506&lt;&gt;""),'Atividades Micro'!$K506,"")</f>
        <v/>
      </c>
      <c r="CI454" s="21" t="str">
        <f>IF(AND('Atividades Micro'!$B506=CI$2,'Atividades Micro'!$G506="Micro",'Atividades Micro'!$K506&lt;&gt;""),'Atividades Micro'!$K506,"")</f>
        <v/>
      </c>
      <c r="CJ454" s="21" t="str">
        <f>IF(AND('Atividades Micro'!$B506=CJ$2,'Atividades Micro'!$G506="Micro",'Atividades Micro'!$K506&lt;&gt;""),'Atividades Micro'!$K506,"")</f>
        <v/>
      </c>
      <c r="CK454" s="21" t="str">
        <f>IF(AND('Atividades Micro'!$B506=CK$2,'Atividades Micro'!$G506="Micro",'Atividades Micro'!$K506&lt;&gt;""),'Atividades Micro'!$K506,"")</f>
        <v/>
      </c>
      <c r="CL454" s="21" t="str">
        <f>IF(AND('Atividades Micro'!$B506=CL$2,'Atividades Micro'!$G506="Micro",'Atividades Micro'!$K506&lt;&gt;""),'Atividades Micro'!$K506,"")</f>
        <v/>
      </c>
      <c r="CM454" s="21" t="str">
        <f>IF(AND('Atividades Micro'!$B506=CM$2,'Atividades Micro'!$G506="Micro",'Atividades Micro'!$K506&lt;&gt;""),'Atividades Micro'!$K506,"")</f>
        <v/>
      </c>
      <c r="CN454" s="21" t="str">
        <f>IF(AND('Atividades Micro'!$B506=CN$2,'Atividades Micro'!$G506="Micro",'Atividades Micro'!$K506&lt;&gt;""),'Atividades Micro'!$K506,"")</f>
        <v/>
      </c>
      <c r="CO454" s="21" t="str">
        <f>IF(AND('Atividades Micro'!$B506=CO$2,'Atividades Micro'!$G506="Micro",'Atividades Micro'!$K506&lt;&gt;""),'Atividades Micro'!$K506,"")</f>
        <v/>
      </c>
    </row>
    <row r="455" spans="1:93">
      <c r="A455" s="21" t="str">
        <f>IF(AND('Atividades Micro'!$A507=A$2,'Atividades Micro'!$K507&lt;&gt;""),'Atividades Micro'!$K507,"")</f>
        <v/>
      </c>
      <c r="B455" s="21" t="str">
        <f>IF(AND('Atividades Micro'!$A507=B$2,'Atividades Micro'!$L507&lt;&gt;""),'Atividades Micro'!$L507,"")</f>
        <v/>
      </c>
      <c r="C455" s="21" t="str">
        <f>IF(AND('Atividades Micro'!$A507=C$2,'Atividades Micro'!$K507&lt;&gt;""),'Atividades Micro'!$K507,"")</f>
        <v/>
      </c>
      <c r="D455" s="21" t="str">
        <f>IF(AND('Atividades Micro'!$A507=D$2,'Atividades Micro'!$L507&lt;&gt;""),'Atividades Micro'!$L507,"")</f>
        <v/>
      </c>
      <c r="E455" s="21" t="str">
        <f>IF(AND('Atividades Micro'!$A507=E$2,'Atividades Micro'!$K507&lt;&gt;""),'Atividades Micro'!$K507,"")</f>
        <v/>
      </c>
      <c r="F455" s="21" t="str">
        <f>IF(AND('Atividades Micro'!$A507=F$2,'Atividades Micro'!$L507&lt;&gt;""),'Atividades Micro'!$L507,"")</f>
        <v/>
      </c>
      <c r="G455" s="21" t="str">
        <f>IF(AND('Atividades Micro'!$A507=G$2,'Atividades Micro'!$K507&lt;&gt;""),'Atividades Micro'!$K507,"")</f>
        <v/>
      </c>
      <c r="H455" s="21" t="str">
        <f>IF(AND('Atividades Micro'!$A507=H$2,'Atividades Micro'!$L507&lt;&gt;""),'Atividades Micro'!$L507,"")</f>
        <v/>
      </c>
      <c r="I455" s="21" t="str">
        <f>IF(AND('Atividades Micro'!$A507=I$2,'Atividades Micro'!$K507&lt;&gt;""),'Atividades Micro'!$K507,"")</f>
        <v/>
      </c>
      <c r="J455" s="21" t="str">
        <f>IF(AND('Atividades Micro'!$A507=J$2,'Atividades Micro'!$L507&lt;&gt;""),'Atividades Micro'!$L507,"")</f>
        <v/>
      </c>
      <c r="K455" s="21" t="str">
        <f>IF(AND('Atividades Micro'!$B507=K$2,'Atividades Micro'!$K507&lt;&gt;""),'Atividades Micro'!$K507,"")</f>
        <v/>
      </c>
      <c r="L455" s="21" t="str">
        <f>IF(AND('Atividades Micro'!$B507=L$2,'Atividades Micro'!$L507&lt;&gt;""),'Atividades Micro'!$L507,"")</f>
        <v/>
      </c>
      <c r="M455" s="21" t="str">
        <f>IF(AND('Atividades Micro'!$B507=M$2,'Atividades Micro'!$K507&lt;&gt;""),'Atividades Micro'!$K507,"")</f>
        <v/>
      </c>
      <c r="N455" s="21" t="str">
        <f>IF(AND('Atividades Micro'!$B507=N$2,'Atividades Micro'!$L507&lt;&gt;""),'Atividades Micro'!$L507,"")</f>
        <v/>
      </c>
      <c r="O455" s="21" t="str">
        <f>IF(AND('Atividades Micro'!$A507=O$2,'Atividades Micro'!$K507&lt;&gt;""),'Atividades Micro'!$K507,"")</f>
        <v/>
      </c>
      <c r="P455" s="21" t="str">
        <f>IF(AND('Atividades Micro'!$A507=P$2,'Atividades Micro'!$L507&lt;&gt;""),'Atividades Micro'!$L507,"")</f>
        <v/>
      </c>
      <c r="Q455" s="21" t="str">
        <f>IF(AND('Atividades Micro'!$B507=Q$2,'Atividades Micro'!$K507&lt;&gt;""),'Atividades Micro'!$K507,"")</f>
        <v/>
      </c>
      <c r="R455" s="21" t="str">
        <f>IF(AND('Atividades Micro'!$B507=R$2,'Atividades Micro'!$L507&lt;&gt;""),'Atividades Micro'!$L507,"")</f>
        <v/>
      </c>
      <c r="S455" s="21" t="str">
        <f>IF(AND('Atividades Micro'!$A507=S$2,'Atividades Micro'!$K507&lt;&gt;""),'Atividades Micro'!$K507,"")</f>
        <v/>
      </c>
      <c r="T455" s="21" t="str">
        <f>IF(AND('Atividades Micro'!$A507=T$2,'Atividades Micro'!$L507&lt;&gt;""),'Atividades Micro'!$L507,"")</f>
        <v/>
      </c>
      <c r="U455" s="21" t="str">
        <f>IF(AND('Atividades Micro'!$B507=U$2,'Atividades Micro'!$K507&lt;&gt;""),'Atividades Micro'!$K507,"")</f>
        <v/>
      </c>
      <c r="V455" s="21" t="str">
        <f>IF(AND('Atividades Micro'!$B507=V$2,'Atividades Micro'!$L507&lt;&gt;""),'Atividades Micro'!$L507,"")</f>
        <v/>
      </c>
      <c r="W455" s="21" t="str">
        <f>IF(AND('Atividades Micro'!$B507=W$2,'Atividades Micro'!$K507&lt;&gt;""),'Atividades Micro'!$K507,"")</f>
        <v/>
      </c>
      <c r="X455" s="21" t="str">
        <f>IF(AND('Atividades Micro'!$B507=X$2,'Atividades Micro'!$L507&lt;&gt;""),'Atividades Micro'!$L507,"")</f>
        <v/>
      </c>
      <c r="Y455" s="21" t="str">
        <f>IF(AND('Atividades Micro'!$A507=Y$2,'Atividades Micro'!$K507&lt;&gt;""),'Atividades Micro'!$K507,"")</f>
        <v/>
      </c>
      <c r="Z455" s="21" t="str">
        <f>IF(AND('Atividades Micro'!$A507=Z$2,'Atividades Micro'!$L507&lt;&gt;""),'Atividades Micro'!$L507,"")</f>
        <v/>
      </c>
      <c r="AA455" s="21" t="str">
        <f>IF(AND('Atividades Micro'!$B507=AA$2,'Atividades Micro'!$K507&lt;&gt;""),'Atividades Micro'!$K507,"")</f>
        <v/>
      </c>
      <c r="AB455" s="21" t="str">
        <f>IF(AND('Atividades Micro'!$B507=AB$2,'Atividades Micro'!$L507&lt;&gt;""),'Atividades Micro'!$L507,"")</f>
        <v/>
      </c>
      <c r="AC455" s="21" t="str">
        <f>IF(AND('Atividades Micro'!$B507=AC$2,'Atividades Micro'!$K507&lt;&gt;""),'Atividades Micro'!$K507,"")</f>
        <v/>
      </c>
      <c r="AD455" s="21" t="str">
        <f>IF(AND('Atividades Micro'!$B507=AD$2,'Atividades Micro'!$L507&lt;&gt;""),'Atividades Micro'!$L507,"")</f>
        <v/>
      </c>
      <c r="AE455" s="21" t="str">
        <f>IF(AND('Atividades Micro'!$A507=AE$2,'Atividades Micro'!$K507&lt;&gt;""),'Atividades Micro'!$K507,"")</f>
        <v/>
      </c>
      <c r="AF455" s="21" t="str">
        <f>IF(AND('Atividades Micro'!$A507=AF$2,'Atividades Micro'!$L507&lt;&gt;""),'Atividades Micro'!$L507,"")</f>
        <v/>
      </c>
      <c r="AG455" s="21" t="str">
        <f>IF(AND('Atividades Micro'!$B507=AG$2,'Atividades Micro'!$K507&lt;&gt;""),'Atividades Micro'!$K507,"")</f>
        <v/>
      </c>
      <c r="AH455" s="21" t="str">
        <f>IF(AND('Atividades Micro'!$B507=AH$2,'Atividades Micro'!$L507&lt;&gt;""),'Atividades Micro'!$L507,"")</f>
        <v/>
      </c>
      <c r="AI455" s="21" t="str">
        <f>IF(AND('Atividades Micro'!$B507=AI$2,'Atividades Micro'!$K507&lt;&gt;""),'Atividades Micro'!$K507,"")</f>
        <v/>
      </c>
      <c r="AJ455" s="21" t="str">
        <f>IF(AND('Atividades Micro'!$B507=AJ$2,'Atividades Micro'!$L507&lt;&gt;""),'Atividades Micro'!$L507,"")</f>
        <v/>
      </c>
      <c r="AK455" s="21" t="str">
        <f>IF(AND('Atividades Micro'!$A507=AK$2,'Atividades Micro'!$K507&lt;&gt;""),'Atividades Micro'!$K507,"")</f>
        <v/>
      </c>
      <c r="AL455" s="21" t="str">
        <f>IF(AND('Atividades Micro'!$A507=AL$2,'Atividades Micro'!$L507&lt;&gt;""),'Atividades Micro'!$L507,"")</f>
        <v/>
      </c>
      <c r="AM455" s="21" t="str">
        <f>IF(AND('Atividades Micro'!$B507=AM$2,'Atividades Micro'!$K507&lt;&gt;""),'Atividades Micro'!$K507,"")</f>
        <v/>
      </c>
      <c r="AN455" s="21" t="str">
        <f>IF(AND('Atividades Micro'!$B507=AN$2,'Atividades Micro'!$L507&lt;&gt;""),'Atividades Micro'!$L507,"")</f>
        <v/>
      </c>
      <c r="AO455" s="21" t="str">
        <f>IF(AND('Atividades Micro'!$B507=AO$2,'Atividades Micro'!$K507&lt;&gt;""),'Atividades Micro'!$K507,"")</f>
        <v/>
      </c>
      <c r="AP455" s="21" t="str">
        <f>IF(AND('Atividades Micro'!$B507=AP$2,'Atividades Micro'!$L507&lt;&gt;""),'Atividades Micro'!$L507,"")</f>
        <v/>
      </c>
      <c r="AQ455" s="21" t="str">
        <f>IF(AND('Atividades Micro'!$A507=AQ$2,'Atividades Micro'!$K507&lt;&gt;""),'Atividades Micro'!$K507,"")</f>
        <v/>
      </c>
      <c r="AR455" s="21" t="str">
        <f>IF(AND('Atividades Micro'!$A507=AR$2,'Atividades Micro'!$L507&lt;&gt;""),'Atividades Micro'!$L507,"")</f>
        <v/>
      </c>
      <c r="AS455" s="21" t="str">
        <f>IF(AND('Atividades Micro'!$B507=AS$2,'Atividades Micro'!$K507&lt;&gt;""),'Atividades Micro'!$K507,"")</f>
        <v/>
      </c>
      <c r="AT455" s="21" t="str">
        <f>IF(AND('Atividades Micro'!$B507=AT$2,'Atividades Micro'!$L507&lt;&gt;""),'Atividades Micro'!$L507,"")</f>
        <v/>
      </c>
      <c r="AU455" s="21" t="str">
        <f>IF(AND('Atividades Micro'!$A507=AU$2,'Atividades Micro'!$K507&lt;&gt;""),'Atividades Micro'!$K507,"")</f>
        <v/>
      </c>
      <c r="AV455" s="21" t="str">
        <f>IF(AND('Atividades Micro'!$A507=AV$2,'Atividades Micro'!$L507&lt;&gt;""),'Atividades Micro'!$L507,"")</f>
        <v/>
      </c>
      <c r="AW455" s="21" t="str">
        <f>IF(AND('Atividades Micro'!$B507=AW$2,'Atividades Micro'!$K507&lt;&gt;""),'Atividades Micro'!$K507,"")</f>
        <v/>
      </c>
      <c r="AX455" s="21" t="str">
        <f>IF(AND('Atividades Micro'!$B507=AX$2,'Atividades Micro'!$L507&lt;&gt;""),'Atividades Micro'!$L507,"")</f>
        <v/>
      </c>
      <c r="AY455" s="21" t="str">
        <f>IF(AND('Atividades Micro'!$A507=AY$2,'Atividades Micro'!$K507&lt;&gt;""),'Atividades Micro'!$K507,"")</f>
        <v/>
      </c>
      <c r="AZ455" s="21" t="str">
        <f>IF(AND('Atividades Micro'!$A507=AZ$2,'Atividades Micro'!$L507&lt;&gt;""),'Atividades Micro'!$L507,"")</f>
        <v/>
      </c>
      <c r="BA455" s="21" t="str">
        <f>IF(AND('Atividades Micro'!$B507=BA$2,'Atividades Micro'!$K507&lt;&gt;""),'Atividades Micro'!$K507,"")</f>
        <v/>
      </c>
      <c r="BB455" s="21" t="str">
        <f>IF(AND('Atividades Micro'!$B507=BB$2,'Atividades Micro'!$L507&lt;&gt;""),'Atividades Micro'!$L507,"")</f>
        <v/>
      </c>
      <c r="BC455" s="21" t="str">
        <f>IF(AND('Atividades Micro'!$B507=BC$2,'Atividades Micro'!$G507="Macro",'Atividades Micro'!$K507&lt;&gt;""),'Atividades Micro'!$K507,"")</f>
        <v/>
      </c>
      <c r="BD455" s="21" t="str">
        <f>IF(AND('Atividades Micro'!$B507=BD$2,'Atividades Micro'!$G507="Macro",'Atividades Micro'!$K507&lt;&gt;""),'Atividades Micro'!$K507,"")</f>
        <v/>
      </c>
      <c r="BE455" s="21" t="str">
        <f>IF(AND('Atividades Micro'!$B507=BE$2,'Atividades Micro'!$G507="Macro",'Atividades Micro'!$K507&lt;&gt;""),'Atividades Micro'!$K507,"")</f>
        <v/>
      </c>
      <c r="BF455" s="21" t="str">
        <f>IF(AND('Atividades Micro'!$B507=BF$2,'Atividades Micro'!$G507="Macro",'Atividades Micro'!$K507&lt;&gt;""),'Atividades Micro'!$K507,"")</f>
        <v/>
      </c>
      <c r="BG455" s="21" t="str">
        <f>IF(AND('Atividades Micro'!$B507=BG$2,'Atividades Micro'!$G507="Macro",'Atividades Micro'!$K507&lt;&gt;""),'Atividades Micro'!$K507,"")</f>
        <v/>
      </c>
      <c r="BH455" s="21" t="str">
        <f>IF(AND('Atividades Micro'!$B507=BH$2,'Atividades Micro'!$G507="Macro",'Atividades Micro'!$K507&lt;&gt;""),'Atividades Micro'!$K507,"")</f>
        <v/>
      </c>
      <c r="BI455" s="21" t="str">
        <f>IF(AND('Atividades Micro'!$B507=BI$2,'Atividades Micro'!$G507="Macro",'Atividades Micro'!$K507&lt;&gt;""),'Atividades Micro'!$K507,"")</f>
        <v/>
      </c>
      <c r="BJ455" s="21" t="str">
        <f>IF(AND('Atividades Micro'!$B507=BJ$2,'Atividades Micro'!$G507="Macro",'Atividades Micro'!$K507&lt;&gt;""),'Atividades Micro'!$K507,"")</f>
        <v/>
      </c>
      <c r="BK455" s="21" t="str">
        <f>IF(AND('Atividades Micro'!$B507=BK$2,'Atividades Micro'!$G507="Macro",'Atividades Micro'!$K507&lt;&gt;""),'Atividades Micro'!$K507,"")</f>
        <v/>
      </c>
      <c r="BL455" s="21" t="str">
        <f>IF(AND('Atividades Micro'!$B507=BL$2,'Atividades Micro'!$G507="Macro",'Atividades Micro'!$K507&lt;&gt;""),'Atividades Micro'!$K507,"")</f>
        <v/>
      </c>
      <c r="BM455" s="21" t="str">
        <f>IF(AND('Atividades Micro'!$B507=BM$2,'Atividades Micro'!$G507="Macro",'Atividades Micro'!$K507&lt;&gt;""),'Atividades Micro'!$K507,"")</f>
        <v/>
      </c>
      <c r="BN455" s="21" t="str">
        <f>IF(AND('Atividades Micro'!$B507=BN$2,'Atividades Micro'!$G507="Macro",'Atividades Micro'!$K507&lt;&gt;""),'Atividades Micro'!$K507,"")</f>
        <v/>
      </c>
      <c r="BO455" s="21" t="str">
        <f>IF(AND('Atividades Micro'!$B507=BO$2,'Atividades Micro'!$G507="Macro",'Atividades Micro'!$K507&lt;&gt;""),'Atividades Micro'!$K507,"")</f>
        <v/>
      </c>
      <c r="BP455" s="21" t="str">
        <f>IF(AND('Atividades Micro'!$B507=BP$2,'Atividades Micro'!$G507="Macro",'Atividades Micro'!$K507&lt;&gt;""),'Atividades Micro'!$K507,"")</f>
        <v/>
      </c>
      <c r="BQ455" s="21" t="str">
        <f>IF(AND('Atividades Micro'!$B507=BQ$2,'Atividades Micro'!$G507="Macro",'Atividades Micro'!$K507&lt;&gt;""),'Atividades Micro'!$K507,"")</f>
        <v/>
      </c>
      <c r="BR455" s="21" t="str">
        <f>IF(AND('Atividades Micro'!$B507=BR$2,'Atividades Micro'!$G507="Macro",'Atividades Micro'!$K507&lt;&gt;""),'Atividades Micro'!$K507,"")</f>
        <v/>
      </c>
      <c r="BS455" s="21" t="str">
        <f>IF(AND('Atividades Micro'!$B507=BS$2,'Atividades Micro'!$G507="Macro",'Atividades Micro'!$K507&lt;&gt;""),'Atividades Micro'!$K507,"")</f>
        <v/>
      </c>
      <c r="BT455" s="21" t="str">
        <f>IF(AND('Atividades Micro'!$B507=BT$2,'Atividades Micro'!$G507="Macro",'Atividades Micro'!$K507&lt;&gt;""),'Atividades Micro'!$K507,"")</f>
        <v/>
      </c>
      <c r="BU455" s="21" t="str">
        <f>IF(AND('Atividades Micro'!$B507=BU$2,'Atividades Micro'!$G507="Macro",'Atividades Micro'!$K507&lt;&gt;""),'Atividades Micro'!$K507,"")</f>
        <v/>
      </c>
      <c r="BV455" s="21" t="str">
        <f>IF(AND('Atividades Micro'!$B507=BV$2,'Atividades Micro'!$G507="Macro",'Atividades Micro'!$K507&lt;&gt;""),'Atividades Micro'!$K507,"")</f>
        <v/>
      </c>
      <c r="BW455" s="21" t="str">
        <f>IF(AND('Atividades Micro'!$B507=BW$2,'Atividades Micro'!$G507="Macro",'Atividades Micro'!$K507&lt;&gt;""),'Atividades Micro'!$K507,"")</f>
        <v/>
      </c>
      <c r="BX455" s="21" t="str">
        <f>IF(AND('Atividades Micro'!$B507=BX$2,'Atividades Micro'!$G507="Macro",'Atividades Micro'!$K507&lt;&gt;""),'Atividades Micro'!$K507,"")</f>
        <v/>
      </c>
      <c r="BY455" s="21" t="str">
        <f>IF(AND('Atividades Micro'!$B507=BY$2,'Atividades Micro'!$G507="Macro",'Atividades Micro'!$K507&lt;&gt;""),'Atividades Micro'!$K507,"")</f>
        <v/>
      </c>
      <c r="BZ455" s="21" t="str">
        <f>IF(AND('Atividades Micro'!$B507=BZ$2,'Atividades Micro'!$G507="Macro",'Atividades Micro'!$K507&lt;&gt;""),'Atividades Micro'!$K507,"")</f>
        <v/>
      </c>
      <c r="CA455" s="21" t="str">
        <f>IF(AND('Atividades Micro'!$B507=CA$2,'Atividades Micro'!$G507="Macro",'Atividades Micro'!$K507&lt;&gt;""),'Atividades Micro'!$K507,"")</f>
        <v/>
      </c>
      <c r="CB455" s="21" t="str">
        <f>IF(AND('Atividades Micro'!$B507=CB$2,'Atividades Micro'!$G507="Macro",'Atividades Micro'!$K507&lt;&gt;""),'Atividades Micro'!$K507,"")</f>
        <v/>
      </c>
      <c r="CC455" s="21" t="str">
        <f>IF(AND('Atividades Micro'!$B507=CC$2,'Atividades Micro'!$G507="Macro",'Atividades Micro'!$K507&lt;&gt;""),'Atividades Micro'!$K507,"")</f>
        <v/>
      </c>
      <c r="CD455" s="21" t="str">
        <f>IF(AND('Atividades Micro'!$B507=CD$2,'Atividades Micro'!$G507="Micro",'Atividades Micro'!$K507&lt;&gt;""),'Atividades Micro'!$K507,"")</f>
        <v/>
      </c>
      <c r="CE455" s="21" t="str">
        <f>IF(AND('Atividades Micro'!$B507=CE$2,'Atividades Micro'!$G507="Micro",'Atividades Micro'!$K507&lt;&gt;""),'Atividades Micro'!$K507,"")</f>
        <v/>
      </c>
      <c r="CF455" s="21" t="str">
        <f>IF(AND('Atividades Micro'!$B507=CF$2,'Atividades Micro'!$G507="Micro",'Atividades Micro'!$K507&lt;&gt;""),'Atividades Micro'!$K507,"")</f>
        <v/>
      </c>
      <c r="CG455" s="21" t="str">
        <f>IF(AND('Atividades Micro'!$B507=CG$2,'Atividades Micro'!$G507="Micro",'Atividades Micro'!$K507&lt;&gt;""),'Atividades Micro'!$K507,"")</f>
        <v/>
      </c>
      <c r="CH455" s="21" t="str">
        <f>IF(AND('Atividades Micro'!$B507=CH$2,'Atividades Micro'!$G507="Micro",'Atividades Micro'!$K507&lt;&gt;""),'Atividades Micro'!$K507,"")</f>
        <v/>
      </c>
      <c r="CI455" s="21" t="str">
        <f>IF(AND('Atividades Micro'!$B507=CI$2,'Atividades Micro'!$G507="Micro",'Atividades Micro'!$K507&lt;&gt;""),'Atividades Micro'!$K507,"")</f>
        <v/>
      </c>
      <c r="CJ455" s="21" t="str">
        <f>IF(AND('Atividades Micro'!$B507=CJ$2,'Atividades Micro'!$G507="Micro",'Atividades Micro'!$K507&lt;&gt;""),'Atividades Micro'!$K507,"")</f>
        <v/>
      </c>
      <c r="CK455" s="21" t="str">
        <f>IF(AND('Atividades Micro'!$B507=CK$2,'Atividades Micro'!$G507="Micro",'Atividades Micro'!$K507&lt;&gt;""),'Atividades Micro'!$K507,"")</f>
        <v/>
      </c>
      <c r="CL455" s="21" t="str">
        <f>IF(AND('Atividades Micro'!$B507=CL$2,'Atividades Micro'!$G507="Micro",'Atividades Micro'!$K507&lt;&gt;""),'Atividades Micro'!$K507,"")</f>
        <v/>
      </c>
      <c r="CM455" s="21" t="str">
        <f>IF(AND('Atividades Micro'!$B507=CM$2,'Atividades Micro'!$G507="Micro",'Atividades Micro'!$K507&lt;&gt;""),'Atividades Micro'!$K507,"")</f>
        <v/>
      </c>
      <c r="CN455" s="21" t="str">
        <f>IF(AND('Atividades Micro'!$B507=CN$2,'Atividades Micro'!$G507="Micro",'Atividades Micro'!$K507&lt;&gt;""),'Atividades Micro'!$K507,"")</f>
        <v/>
      </c>
      <c r="CO455" s="21" t="str">
        <f>IF(AND('Atividades Micro'!$B507=CO$2,'Atividades Micro'!$G507="Micro",'Atividades Micro'!$K507&lt;&gt;""),'Atividades Micro'!$K507,"")</f>
        <v/>
      </c>
    </row>
    <row r="456" spans="1:93">
      <c r="A456" s="21" t="str">
        <f>IF(AND('Atividades Micro'!$A508=A$2,'Atividades Micro'!$K508&lt;&gt;""),'Atividades Micro'!$K508,"")</f>
        <v/>
      </c>
      <c r="B456" s="21" t="str">
        <f>IF(AND('Atividades Micro'!$A508=B$2,'Atividades Micro'!$L508&lt;&gt;""),'Atividades Micro'!$L508,"")</f>
        <v/>
      </c>
      <c r="C456" s="21" t="str">
        <f>IF(AND('Atividades Micro'!$A508=C$2,'Atividades Micro'!$K508&lt;&gt;""),'Atividades Micro'!$K508,"")</f>
        <v/>
      </c>
      <c r="D456" s="21" t="str">
        <f>IF(AND('Atividades Micro'!$A508=D$2,'Atividades Micro'!$L508&lt;&gt;""),'Atividades Micro'!$L508,"")</f>
        <v/>
      </c>
      <c r="E456" s="21" t="str">
        <f>IF(AND('Atividades Micro'!$A508=E$2,'Atividades Micro'!$K508&lt;&gt;""),'Atividades Micro'!$K508,"")</f>
        <v/>
      </c>
      <c r="F456" s="21" t="str">
        <f>IF(AND('Atividades Micro'!$A508=F$2,'Atividades Micro'!$L508&lt;&gt;""),'Atividades Micro'!$L508,"")</f>
        <v/>
      </c>
      <c r="G456" s="21" t="str">
        <f>IF(AND('Atividades Micro'!$A508=G$2,'Atividades Micro'!$K508&lt;&gt;""),'Atividades Micro'!$K508,"")</f>
        <v/>
      </c>
      <c r="H456" s="21" t="str">
        <f>IF(AND('Atividades Micro'!$A508=H$2,'Atividades Micro'!$L508&lt;&gt;""),'Atividades Micro'!$L508,"")</f>
        <v/>
      </c>
      <c r="I456" s="21" t="str">
        <f>IF(AND('Atividades Micro'!$A508=I$2,'Atividades Micro'!$K508&lt;&gt;""),'Atividades Micro'!$K508,"")</f>
        <v/>
      </c>
      <c r="J456" s="21" t="str">
        <f>IF(AND('Atividades Micro'!$A508=J$2,'Atividades Micro'!$L508&lt;&gt;""),'Atividades Micro'!$L508,"")</f>
        <v/>
      </c>
      <c r="K456" s="21" t="str">
        <f>IF(AND('Atividades Micro'!$B508=K$2,'Atividades Micro'!$K508&lt;&gt;""),'Atividades Micro'!$K508,"")</f>
        <v/>
      </c>
      <c r="L456" s="21" t="str">
        <f>IF(AND('Atividades Micro'!$B508=L$2,'Atividades Micro'!$L508&lt;&gt;""),'Atividades Micro'!$L508,"")</f>
        <v/>
      </c>
      <c r="M456" s="21" t="str">
        <f>IF(AND('Atividades Micro'!$B508=M$2,'Atividades Micro'!$K508&lt;&gt;""),'Atividades Micro'!$K508,"")</f>
        <v/>
      </c>
      <c r="N456" s="21" t="str">
        <f>IF(AND('Atividades Micro'!$B508=N$2,'Atividades Micro'!$L508&lt;&gt;""),'Atividades Micro'!$L508,"")</f>
        <v/>
      </c>
      <c r="O456" s="21" t="str">
        <f>IF(AND('Atividades Micro'!$A508=O$2,'Atividades Micro'!$K508&lt;&gt;""),'Atividades Micro'!$K508,"")</f>
        <v/>
      </c>
      <c r="P456" s="21" t="str">
        <f>IF(AND('Atividades Micro'!$A508=P$2,'Atividades Micro'!$L508&lt;&gt;""),'Atividades Micro'!$L508,"")</f>
        <v/>
      </c>
      <c r="Q456" s="21" t="str">
        <f>IF(AND('Atividades Micro'!$B508=Q$2,'Atividades Micro'!$K508&lt;&gt;""),'Atividades Micro'!$K508,"")</f>
        <v/>
      </c>
      <c r="R456" s="21" t="str">
        <f>IF(AND('Atividades Micro'!$B508=R$2,'Atividades Micro'!$L508&lt;&gt;""),'Atividades Micro'!$L508,"")</f>
        <v/>
      </c>
      <c r="S456" s="21" t="str">
        <f>IF(AND('Atividades Micro'!$A508=S$2,'Atividades Micro'!$K508&lt;&gt;""),'Atividades Micro'!$K508,"")</f>
        <v/>
      </c>
      <c r="T456" s="21" t="str">
        <f>IF(AND('Atividades Micro'!$A508=T$2,'Atividades Micro'!$L508&lt;&gt;""),'Atividades Micro'!$L508,"")</f>
        <v/>
      </c>
      <c r="U456" s="21" t="str">
        <f>IF(AND('Atividades Micro'!$B508=U$2,'Atividades Micro'!$K508&lt;&gt;""),'Atividades Micro'!$K508,"")</f>
        <v/>
      </c>
      <c r="V456" s="21" t="str">
        <f>IF(AND('Atividades Micro'!$B508=V$2,'Atividades Micro'!$L508&lt;&gt;""),'Atividades Micro'!$L508,"")</f>
        <v/>
      </c>
      <c r="W456" s="21" t="str">
        <f>IF(AND('Atividades Micro'!$B508=W$2,'Atividades Micro'!$K508&lt;&gt;""),'Atividades Micro'!$K508,"")</f>
        <v/>
      </c>
      <c r="X456" s="21" t="str">
        <f>IF(AND('Atividades Micro'!$B508=X$2,'Atividades Micro'!$L508&lt;&gt;""),'Atividades Micro'!$L508,"")</f>
        <v/>
      </c>
      <c r="Y456" s="21" t="str">
        <f>IF(AND('Atividades Micro'!$A508=Y$2,'Atividades Micro'!$K508&lt;&gt;""),'Atividades Micro'!$K508,"")</f>
        <v/>
      </c>
      <c r="Z456" s="21" t="str">
        <f>IF(AND('Atividades Micro'!$A508=Z$2,'Atividades Micro'!$L508&lt;&gt;""),'Atividades Micro'!$L508,"")</f>
        <v/>
      </c>
      <c r="AA456" s="21" t="str">
        <f>IF(AND('Atividades Micro'!$B508=AA$2,'Atividades Micro'!$K508&lt;&gt;""),'Atividades Micro'!$K508,"")</f>
        <v/>
      </c>
      <c r="AB456" s="21" t="str">
        <f>IF(AND('Atividades Micro'!$B508=AB$2,'Atividades Micro'!$L508&lt;&gt;""),'Atividades Micro'!$L508,"")</f>
        <v/>
      </c>
      <c r="AC456" s="21" t="str">
        <f>IF(AND('Atividades Micro'!$B508=AC$2,'Atividades Micro'!$K508&lt;&gt;""),'Atividades Micro'!$K508,"")</f>
        <v/>
      </c>
      <c r="AD456" s="21" t="str">
        <f>IF(AND('Atividades Micro'!$B508=AD$2,'Atividades Micro'!$L508&lt;&gt;""),'Atividades Micro'!$L508,"")</f>
        <v/>
      </c>
      <c r="AE456" s="21" t="str">
        <f>IF(AND('Atividades Micro'!$A508=AE$2,'Atividades Micro'!$K508&lt;&gt;""),'Atividades Micro'!$K508,"")</f>
        <v/>
      </c>
      <c r="AF456" s="21" t="str">
        <f>IF(AND('Atividades Micro'!$A508=AF$2,'Atividades Micro'!$L508&lt;&gt;""),'Atividades Micro'!$L508,"")</f>
        <v/>
      </c>
      <c r="AG456" s="21" t="str">
        <f>IF(AND('Atividades Micro'!$B508=AG$2,'Atividades Micro'!$K508&lt;&gt;""),'Atividades Micro'!$K508,"")</f>
        <v/>
      </c>
      <c r="AH456" s="21" t="str">
        <f>IF(AND('Atividades Micro'!$B508=AH$2,'Atividades Micro'!$L508&lt;&gt;""),'Atividades Micro'!$L508,"")</f>
        <v/>
      </c>
      <c r="AI456" s="21" t="str">
        <f>IF(AND('Atividades Micro'!$B508=AI$2,'Atividades Micro'!$K508&lt;&gt;""),'Atividades Micro'!$K508,"")</f>
        <v/>
      </c>
      <c r="AJ456" s="21" t="str">
        <f>IF(AND('Atividades Micro'!$B508=AJ$2,'Atividades Micro'!$L508&lt;&gt;""),'Atividades Micro'!$L508,"")</f>
        <v/>
      </c>
      <c r="AK456" s="21" t="str">
        <f>IF(AND('Atividades Micro'!$A508=AK$2,'Atividades Micro'!$K508&lt;&gt;""),'Atividades Micro'!$K508,"")</f>
        <v/>
      </c>
      <c r="AL456" s="21" t="str">
        <f>IF(AND('Atividades Micro'!$A508=AL$2,'Atividades Micro'!$L508&lt;&gt;""),'Atividades Micro'!$L508,"")</f>
        <v/>
      </c>
      <c r="AM456" s="21" t="str">
        <f>IF(AND('Atividades Micro'!$B508=AM$2,'Atividades Micro'!$K508&lt;&gt;""),'Atividades Micro'!$K508,"")</f>
        <v/>
      </c>
      <c r="AN456" s="21" t="str">
        <f>IF(AND('Atividades Micro'!$B508=AN$2,'Atividades Micro'!$L508&lt;&gt;""),'Atividades Micro'!$L508,"")</f>
        <v/>
      </c>
      <c r="AO456" s="21" t="str">
        <f>IF(AND('Atividades Micro'!$B508=AO$2,'Atividades Micro'!$K508&lt;&gt;""),'Atividades Micro'!$K508,"")</f>
        <v/>
      </c>
      <c r="AP456" s="21" t="str">
        <f>IF(AND('Atividades Micro'!$B508=AP$2,'Atividades Micro'!$L508&lt;&gt;""),'Atividades Micro'!$L508,"")</f>
        <v/>
      </c>
      <c r="AQ456" s="21" t="str">
        <f>IF(AND('Atividades Micro'!$A508=AQ$2,'Atividades Micro'!$K508&lt;&gt;""),'Atividades Micro'!$K508,"")</f>
        <v/>
      </c>
      <c r="AR456" s="21" t="str">
        <f>IF(AND('Atividades Micro'!$A508=AR$2,'Atividades Micro'!$L508&lt;&gt;""),'Atividades Micro'!$L508,"")</f>
        <v/>
      </c>
      <c r="AS456" s="21" t="str">
        <f>IF(AND('Atividades Micro'!$B508=AS$2,'Atividades Micro'!$K508&lt;&gt;""),'Atividades Micro'!$K508,"")</f>
        <v/>
      </c>
      <c r="AT456" s="21" t="str">
        <f>IF(AND('Atividades Micro'!$B508=AT$2,'Atividades Micro'!$L508&lt;&gt;""),'Atividades Micro'!$L508,"")</f>
        <v/>
      </c>
      <c r="AU456" s="21" t="str">
        <f>IF(AND('Atividades Micro'!$A508=AU$2,'Atividades Micro'!$K508&lt;&gt;""),'Atividades Micro'!$K508,"")</f>
        <v/>
      </c>
      <c r="AV456" s="21" t="str">
        <f>IF(AND('Atividades Micro'!$A508=AV$2,'Atividades Micro'!$L508&lt;&gt;""),'Atividades Micro'!$L508,"")</f>
        <v/>
      </c>
      <c r="AW456" s="21" t="str">
        <f>IF(AND('Atividades Micro'!$B508=AW$2,'Atividades Micro'!$K508&lt;&gt;""),'Atividades Micro'!$K508,"")</f>
        <v/>
      </c>
      <c r="AX456" s="21" t="str">
        <f>IF(AND('Atividades Micro'!$B508=AX$2,'Atividades Micro'!$L508&lt;&gt;""),'Atividades Micro'!$L508,"")</f>
        <v/>
      </c>
      <c r="AY456" s="21" t="str">
        <f>IF(AND('Atividades Micro'!$A508=AY$2,'Atividades Micro'!$K508&lt;&gt;""),'Atividades Micro'!$K508,"")</f>
        <v/>
      </c>
      <c r="AZ456" s="21" t="str">
        <f>IF(AND('Atividades Micro'!$A508=AZ$2,'Atividades Micro'!$L508&lt;&gt;""),'Atividades Micro'!$L508,"")</f>
        <v/>
      </c>
      <c r="BA456" s="21" t="str">
        <f>IF(AND('Atividades Micro'!$B508=BA$2,'Atividades Micro'!$K508&lt;&gt;""),'Atividades Micro'!$K508,"")</f>
        <v/>
      </c>
      <c r="BB456" s="21" t="str">
        <f>IF(AND('Atividades Micro'!$B508=BB$2,'Atividades Micro'!$L508&lt;&gt;""),'Atividades Micro'!$L508,"")</f>
        <v/>
      </c>
      <c r="BC456" s="21" t="str">
        <f>IF(AND('Atividades Micro'!$B508=BC$2,'Atividades Micro'!$G508="Macro",'Atividades Micro'!$K508&lt;&gt;""),'Atividades Micro'!$K508,"")</f>
        <v/>
      </c>
      <c r="BD456" s="21" t="str">
        <f>IF(AND('Atividades Micro'!$B508=BD$2,'Atividades Micro'!$G508="Macro",'Atividades Micro'!$K508&lt;&gt;""),'Atividades Micro'!$K508,"")</f>
        <v/>
      </c>
      <c r="BE456" s="21" t="str">
        <f>IF(AND('Atividades Micro'!$B508=BE$2,'Atividades Micro'!$G508="Macro",'Atividades Micro'!$K508&lt;&gt;""),'Atividades Micro'!$K508,"")</f>
        <v/>
      </c>
      <c r="BF456" s="21" t="str">
        <f>IF(AND('Atividades Micro'!$B508=BF$2,'Atividades Micro'!$G508="Macro",'Atividades Micro'!$K508&lt;&gt;""),'Atividades Micro'!$K508,"")</f>
        <v/>
      </c>
      <c r="BG456" s="21" t="str">
        <f>IF(AND('Atividades Micro'!$B508=BG$2,'Atividades Micro'!$G508="Macro",'Atividades Micro'!$K508&lt;&gt;""),'Atividades Micro'!$K508,"")</f>
        <v/>
      </c>
      <c r="BH456" s="21" t="str">
        <f>IF(AND('Atividades Micro'!$B508=BH$2,'Atividades Micro'!$G508="Macro",'Atividades Micro'!$K508&lt;&gt;""),'Atividades Micro'!$K508,"")</f>
        <v/>
      </c>
      <c r="BI456" s="21" t="str">
        <f>IF(AND('Atividades Micro'!$B508=BI$2,'Atividades Micro'!$G508="Macro",'Atividades Micro'!$K508&lt;&gt;""),'Atividades Micro'!$K508,"")</f>
        <v/>
      </c>
      <c r="BJ456" s="21" t="str">
        <f>IF(AND('Atividades Micro'!$B508=BJ$2,'Atividades Micro'!$G508="Macro",'Atividades Micro'!$K508&lt;&gt;""),'Atividades Micro'!$K508,"")</f>
        <v/>
      </c>
      <c r="BK456" s="21" t="str">
        <f>IF(AND('Atividades Micro'!$B508=BK$2,'Atividades Micro'!$G508="Macro",'Atividades Micro'!$K508&lt;&gt;""),'Atividades Micro'!$K508,"")</f>
        <v/>
      </c>
      <c r="BL456" s="21" t="str">
        <f>IF(AND('Atividades Micro'!$B508=BL$2,'Atividades Micro'!$G508="Macro",'Atividades Micro'!$K508&lt;&gt;""),'Atividades Micro'!$K508,"")</f>
        <v/>
      </c>
      <c r="BM456" s="21" t="str">
        <f>IF(AND('Atividades Micro'!$B508=BM$2,'Atividades Micro'!$G508="Macro",'Atividades Micro'!$K508&lt;&gt;""),'Atividades Micro'!$K508,"")</f>
        <v/>
      </c>
      <c r="BN456" s="21" t="str">
        <f>IF(AND('Atividades Micro'!$B508=BN$2,'Atividades Micro'!$G508="Macro",'Atividades Micro'!$K508&lt;&gt;""),'Atividades Micro'!$K508,"")</f>
        <v/>
      </c>
      <c r="BO456" s="21" t="str">
        <f>IF(AND('Atividades Micro'!$B508=BO$2,'Atividades Micro'!$G508="Macro",'Atividades Micro'!$K508&lt;&gt;""),'Atividades Micro'!$K508,"")</f>
        <v/>
      </c>
      <c r="BP456" s="21" t="str">
        <f>IF(AND('Atividades Micro'!$B508=BP$2,'Atividades Micro'!$G508="Macro",'Atividades Micro'!$K508&lt;&gt;""),'Atividades Micro'!$K508,"")</f>
        <v/>
      </c>
      <c r="BQ456" s="21" t="str">
        <f>IF(AND('Atividades Micro'!$B508=BQ$2,'Atividades Micro'!$G508="Macro",'Atividades Micro'!$K508&lt;&gt;""),'Atividades Micro'!$K508,"")</f>
        <v/>
      </c>
      <c r="BR456" s="21" t="str">
        <f>IF(AND('Atividades Micro'!$B508=BR$2,'Atividades Micro'!$G508="Macro",'Atividades Micro'!$K508&lt;&gt;""),'Atividades Micro'!$K508,"")</f>
        <v/>
      </c>
      <c r="BS456" s="21" t="str">
        <f>IF(AND('Atividades Micro'!$B508=BS$2,'Atividades Micro'!$G508="Macro",'Atividades Micro'!$K508&lt;&gt;""),'Atividades Micro'!$K508,"")</f>
        <v/>
      </c>
      <c r="BT456" s="21" t="str">
        <f>IF(AND('Atividades Micro'!$B508=BT$2,'Atividades Micro'!$G508="Macro",'Atividades Micro'!$K508&lt;&gt;""),'Atividades Micro'!$K508,"")</f>
        <v/>
      </c>
      <c r="BU456" s="21" t="str">
        <f>IF(AND('Atividades Micro'!$B508=BU$2,'Atividades Micro'!$G508="Macro",'Atividades Micro'!$K508&lt;&gt;""),'Atividades Micro'!$K508,"")</f>
        <v/>
      </c>
      <c r="BV456" s="21" t="str">
        <f>IF(AND('Atividades Micro'!$B508=BV$2,'Atividades Micro'!$G508="Macro",'Atividades Micro'!$K508&lt;&gt;""),'Atividades Micro'!$K508,"")</f>
        <v/>
      </c>
      <c r="BW456" s="21" t="str">
        <f>IF(AND('Atividades Micro'!$B508=BW$2,'Atividades Micro'!$G508="Macro",'Atividades Micro'!$K508&lt;&gt;""),'Atividades Micro'!$K508,"")</f>
        <v/>
      </c>
      <c r="BX456" s="21" t="str">
        <f>IF(AND('Atividades Micro'!$B508=BX$2,'Atividades Micro'!$G508="Macro",'Atividades Micro'!$K508&lt;&gt;""),'Atividades Micro'!$K508,"")</f>
        <v/>
      </c>
      <c r="BY456" s="21" t="str">
        <f>IF(AND('Atividades Micro'!$B508=BY$2,'Atividades Micro'!$G508="Macro",'Atividades Micro'!$K508&lt;&gt;""),'Atividades Micro'!$K508,"")</f>
        <v/>
      </c>
      <c r="BZ456" s="21" t="str">
        <f>IF(AND('Atividades Micro'!$B508=BZ$2,'Atividades Micro'!$G508="Macro",'Atividades Micro'!$K508&lt;&gt;""),'Atividades Micro'!$K508,"")</f>
        <v/>
      </c>
      <c r="CA456" s="21" t="str">
        <f>IF(AND('Atividades Micro'!$B508=CA$2,'Atividades Micro'!$G508="Macro",'Atividades Micro'!$K508&lt;&gt;""),'Atividades Micro'!$K508,"")</f>
        <v/>
      </c>
      <c r="CB456" s="21" t="str">
        <f>IF(AND('Atividades Micro'!$B508=CB$2,'Atividades Micro'!$G508="Macro",'Atividades Micro'!$K508&lt;&gt;""),'Atividades Micro'!$K508,"")</f>
        <v/>
      </c>
      <c r="CC456" s="21" t="str">
        <f>IF(AND('Atividades Micro'!$B508=CC$2,'Atividades Micro'!$G508="Macro",'Atividades Micro'!$K508&lt;&gt;""),'Atividades Micro'!$K508,"")</f>
        <v/>
      </c>
      <c r="CD456" s="21" t="str">
        <f>IF(AND('Atividades Micro'!$B508=CD$2,'Atividades Micro'!$G508="Micro",'Atividades Micro'!$K508&lt;&gt;""),'Atividades Micro'!$K508,"")</f>
        <v/>
      </c>
      <c r="CE456" s="21" t="str">
        <f>IF(AND('Atividades Micro'!$B508=CE$2,'Atividades Micro'!$G508="Micro",'Atividades Micro'!$K508&lt;&gt;""),'Atividades Micro'!$K508,"")</f>
        <v/>
      </c>
      <c r="CF456" s="21" t="str">
        <f>IF(AND('Atividades Micro'!$B508=CF$2,'Atividades Micro'!$G508="Micro",'Atividades Micro'!$K508&lt;&gt;""),'Atividades Micro'!$K508,"")</f>
        <v/>
      </c>
      <c r="CG456" s="21" t="str">
        <f>IF(AND('Atividades Micro'!$B508=CG$2,'Atividades Micro'!$G508="Micro",'Atividades Micro'!$K508&lt;&gt;""),'Atividades Micro'!$K508,"")</f>
        <v/>
      </c>
      <c r="CH456" s="21" t="str">
        <f>IF(AND('Atividades Micro'!$B508=CH$2,'Atividades Micro'!$G508="Micro",'Atividades Micro'!$K508&lt;&gt;""),'Atividades Micro'!$K508,"")</f>
        <v/>
      </c>
      <c r="CI456" s="21" t="str">
        <f>IF(AND('Atividades Micro'!$B508=CI$2,'Atividades Micro'!$G508="Micro",'Atividades Micro'!$K508&lt;&gt;""),'Atividades Micro'!$K508,"")</f>
        <v/>
      </c>
      <c r="CJ456" s="21" t="str">
        <f>IF(AND('Atividades Micro'!$B508=CJ$2,'Atividades Micro'!$G508="Micro",'Atividades Micro'!$K508&lt;&gt;""),'Atividades Micro'!$K508,"")</f>
        <v/>
      </c>
      <c r="CK456" s="21" t="str">
        <f>IF(AND('Atividades Micro'!$B508=CK$2,'Atividades Micro'!$G508="Micro",'Atividades Micro'!$K508&lt;&gt;""),'Atividades Micro'!$K508,"")</f>
        <v/>
      </c>
      <c r="CL456" s="21" t="str">
        <f>IF(AND('Atividades Micro'!$B508=CL$2,'Atividades Micro'!$G508="Micro",'Atividades Micro'!$K508&lt;&gt;""),'Atividades Micro'!$K508,"")</f>
        <v/>
      </c>
      <c r="CM456" s="21" t="str">
        <f>IF(AND('Atividades Micro'!$B508=CM$2,'Atividades Micro'!$G508="Micro",'Atividades Micro'!$K508&lt;&gt;""),'Atividades Micro'!$K508,"")</f>
        <v/>
      </c>
      <c r="CN456" s="21" t="str">
        <f>IF(AND('Atividades Micro'!$B508=CN$2,'Atividades Micro'!$G508="Micro",'Atividades Micro'!$K508&lt;&gt;""),'Atividades Micro'!$K508,"")</f>
        <v/>
      </c>
      <c r="CO456" s="21" t="str">
        <f>IF(AND('Atividades Micro'!$B508=CO$2,'Atividades Micro'!$G508="Micro",'Atividades Micro'!$K508&lt;&gt;""),'Atividades Micro'!$K508,"")</f>
        <v/>
      </c>
    </row>
    <row r="457" spans="1:93">
      <c r="A457" s="21" t="str">
        <f>IF(AND('Atividades Micro'!$A509=A$2,'Atividades Micro'!$K509&lt;&gt;""),'Atividades Micro'!$K509,"")</f>
        <v/>
      </c>
      <c r="B457" s="21" t="str">
        <f>IF(AND('Atividades Micro'!$A509=B$2,'Atividades Micro'!$L509&lt;&gt;""),'Atividades Micro'!$L509,"")</f>
        <v/>
      </c>
      <c r="C457" s="21" t="str">
        <f>IF(AND('Atividades Micro'!$A509=C$2,'Atividades Micro'!$K509&lt;&gt;""),'Atividades Micro'!$K509,"")</f>
        <v/>
      </c>
      <c r="D457" s="21" t="str">
        <f>IF(AND('Atividades Micro'!$A509=D$2,'Atividades Micro'!$L509&lt;&gt;""),'Atividades Micro'!$L509,"")</f>
        <v/>
      </c>
      <c r="E457" s="21" t="str">
        <f>IF(AND('Atividades Micro'!$A509=E$2,'Atividades Micro'!$K509&lt;&gt;""),'Atividades Micro'!$K509,"")</f>
        <v/>
      </c>
      <c r="F457" s="21" t="str">
        <f>IF(AND('Atividades Micro'!$A509=F$2,'Atividades Micro'!$L509&lt;&gt;""),'Atividades Micro'!$L509,"")</f>
        <v/>
      </c>
      <c r="G457" s="21" t="str">
        <f>IF(AND('Atividades Micro'!$A509=G$2,'Atividades Micro'!$K509&lt;&gt;""),'Atividades Micro'!$K509,"")</f>
        <v/>
      </c>
      <c r="H457" s="21" t="str">
        <f>IF(AND('Atividades Micro'!$A509=H$2,'Atividades Micro'!$L509&lt;&gt;""),'Atividades Micro'!$L509,"")</f>
        <v/>
      </c>
      <c r="I457" s="21" t="str">
        <f>IF(AND('Atividades Micro'!$A509=I$2,'Atividades Micro'!$K509&lt;&gt;""),'Atividades Micro'!$K509,"")</f>
        <v/>
      </c>
      <c r="J457" s="21" t="str">
        <f>IF(AND('Atividades Micro'!$A509=J$2,'Atividades Micro'!$L509&lt;&gt;""),'Atividades Micro'!$L509,"")</f>
        <v/>
      </c>
      <c r="K457" s="21" t="str">
        <f>IF(AND('Atividades Micro'!$B509=K$2,'Atividades Micro'!$K509&lt;&gt;""),'Atividades Micro'!$K509,"")</f>
        <v/>
      </c>
      <c r="L457" s="21" t="str">
        <f>IF(AND('Atividades Micro'!$B509=L$2,'Atividades Micro'!$L509&lt;&gt;""),'Atividades Micro'!$L509,"")</f>
        <v/>
      </c>
      <c r="M457" s="21" t="str">
        <f>IF(AND('Atividades Micro'!$B509=M$2,'Atividades Micro'!$K509&lt;&gt;""),'Atividades Micro'!$K509,"")</f>
        <v/>
      </c>
      <c r="N457" s="21" t="str">
        <f>IF(AND('Atividades Micro'!$B509=N$2,'Atividades Micro'!$L509&lt;&gt;""),'Atividades Micro'!$L509,"")</f>
        <v/>
      </c>
      <c r="O457" s="21" t="str">
        <f>IF(AND('Atividades Micro'!$A509=O$2,'Atividades Micro'!$K509&lt;&gt;""),'Atividades Micro'!$K509,"")</f>
        <v/>
      </c>
      <c r="P457" s="21" t="str">
        <f>IF(AND('Atividades Micro'!$A509=P$2,'Atividades Micro'!$L509&lt;&gt;""),'Atividades Micro'!$L509,"")</f>
        <v/>
      </c>
      <c r="Q457" s="21" t="str">
        <f>IF(AND('Atividades Micro'!$B509=Q$2,'Atividades Micro'!$K509&lt;&gt;""),'Atividades Micro'!$K509,"")</f>
        <v/>
      </c>
      <c r="R457" s="21" t="str">
        <f>IF(AND('Atividades Micro'!$B509=R$2,'Atividades Micro'!$L509&lt;&gt;""),'Atividades Micro'!$L509,"")</f>
        <v/>
      </c>
      <c r="S457" s="21" t="str">
        <f>IF(AND('Atividades Micro'!$A509=S$2,'Atividades Micro'!$K509&lt;&gt;""),'Atividades Micro'!$K509,"")</f>
        <v/>
      </c>
      <c r="T457" s="21" t="str">
        <f>IF(AND('Atividades Micro'!$A509=T$2,'Atividades Micro'!$L509&lt;&gt;""),'Atividades Micro'!$L509,"")</f>
        <v/>
      </c>
      <c r="U457" s="21" t="str">
        <f>IF(AND('Atividades Micro'!$B509=U$2,'Atividades Micro'!$K509&lt;&gt;""),'Atividades Micro'!$K509,"")</f>
        <v/>
      </c>
      <c r="V457" s="21" t="str">
        <f>IF(AND('Atividades Micro'!$B509=V$2,'Atividades Micro'!$L509&lt;&gt;""),'Atividades Micro'!$L509,"")</f>
        <v/>
      </c>
      <c r="W457" s="21" t="str">
        <f>IF(AND('Atividades Micro'!$B509=W$2,'Atividades Micro'!$K509&lt;&gt;""),'Atividades Micro'!$K509,"")</f>
        <v/>
      </c>
      <c r="X457" s="21" t="str">
        <f>IF(AND('Atividades Micro'!$B509=X$2,'Atividades Micro'!$L509&lt;&gt;""),'Atividades Micro'!$L509,"")</f>
        <v/>
      </c>
      <c r="Y457" s="21" t="str">
        <f>IF(AND('Atividades Micro'!$A509=Y$2,'Atividades Micro'!$K509&lt;&gt;""),'Atividades Micro'!$K509,"")</f>
        <v/>
      </c>
      <c r="Z457" s="21" t="str">
        <f>IF(AND('Atividades Micro'!$A509=Z$2,'Atividades Micro'!$L509&lt;&gt;""),'Atividades Micro'!$L509,"")</f>
        <v/>
      </c>
      <c r="AA457" s="21" t="str">
        <f>IF(AND('Atividades Micro'!$B509=AA$2,'Atividades Micro'!$K509&lt;&gt;""),'Atividades Micro'!$K509,"")</f>
        <v/>
      </c>
      <c r="AB457" s="21" t="str">
        <f>IF(AND('Atividades Micro'!$B509=AB$2,'Atividades Micro'!$L509&lt;&gt;""),'Atividades Micro'!$L509,"")</f>
        <v/>
      </c>
      <c r="AC457" s="21" t="str">
        <f>IF(AND('Atividades Micro'!$B509=AC$2,'Atividades Micro'!$K509&lt;&gt;""),'Atividades Micro'!$K509,"")</f>
        <v/>
      </c>
      <c r="AD457" s="21" t="str">
        <f>IF(AND('Atividades Micro'!$B509=AD$2,'Atividades Micro'!$L509&lt;&gt;""),'Atividades Micro'!$L509,"")</f>
        <v/>
      </c>
      <c r="AE457" s="21" t="str">
        <f>IF(AND('Atividades Micro'!$A509=AE$2,'Atividades Micro'!$K509&lt;&gt;""),'Atividades Micro'!$K509,"")</f>
        <v/>
      </c>
      <c r="AF457" s="21" t="str">
        <f>IF(AND('Atividades Micro'!$A509=AF$2,'Atividades Micro'!$L509&lt;&gt;""),'Atividades Micro'!$L509,"")</f>
        <v/>
      </c>
      <c r="AG457" s="21" t="str">
        <f>IF(AND('Atividades Micro'!$B509=AG$2,'Atividades Micro'!$K509&lt;&gt;""),'Atividades Micro'!$K509,"")</f>
        <v/>
      </c>
      <c r="AH457" s="21" t="str">
        <f>IF(AND('Atividades Micro'!$B509=AH$2,'Atividades Micro'!$L509&lt;&gt;""),'Atividades Micro'!$L509,"")</f>
        <v/>
      </c>
      <c r="AI457" s="21" t="str">
        <f>IF(AND('Atividades Micro'!$B509=AI$2,'Atividades Micro'!$K509&lt;&gt;""),'Atividades Micro'!$K509,"")</f>
        <v/>
      </c>
      <c r="AJ457" s="21" t="str">
        <f>IF(AND('Atividades Micro'!$B509=AJ$2,'Atividades Micro'!$L509&lt;&gt;""),'Atividades Micro'!$L509,"")</f>
        <v/>
      </c>
      <c r="AK457" s="21" t="str">
        <f>IF(AND('Atividades Micro'!$A509=AK$2,'Atividades Micro'!$K509&lt;&gt;""),'Atividades Micro'!$K509,"")</f>
        <v/>
      </c>
      <c r="AL457" s="21" t="str">
        <f>IF(AND('Atividades Micro'!$A509=AL$2,'Atividades Micro'!$L509&lt;&gt;""),'Atividades Micro'!$L509,"")</f>
        <v/>
      </c>
      <c r="AM457" s="21" t="str">
        <f>IF(AND('Atividades Micro'!$B509=AM$2,'Atividades Micro'!$K509&lt;&gt;""),'Atividades Micro'!$K509,"")</f>
        <v/>
      </c>
      <c r="AN457" s="21" t="str">
        <f>IF(AND('Atividades Micro'!$B509=AN$2,'Atividades Micro'!$L509&lt;&gt;""),'Atividades Micro'!$L509,"")</f>
        <v/>
      </c>
      <c r="AO457" s="21" t="str">
        <f>IF(AND('Atividades Micro'!$B509=AO$2,'Atividades Micro'!$K509&lt;&gt;""),'Atividades Micro'!$K509,"")</f>
        <v/>
      </c>
      <c r="AP457" s="21" t="str">
        <f>IF(AND('Atividades Micro'!$B509=AP$2,'Atividades Micro'!$L509&lt;&gt;""),'Atividades Micro'!$L509,"")</f>
        <v/>
      </c>
      <c r="AQ457" s="21" t="str">
        <f>IF(AND('Atividades Micro'!$A509=AQ$2,'Atividades Micro'!$K509&lt;&gt;""),'Atividades Micro'!$K509,"")</f>
        <v/>
      </c>
      <c r="AR457" s="21" t="str">
        <f>IF(AND('Atividades Micro'!$A509=AR$2,'Atividades Micro'!$L509&lt;&gt;""),'Atividades Micro'!$L509,"")</f>
        <v/>
      </c>
      <c r="AS457" s="21" t="str">
        <f>IF(AND('Atividades Micro'!$B509=AS$2,'Atividades Micro'!$K509&lt;&gt;""),'Atividades Micro'!$K509,"")</f>
        <v/>
      </c>
      <c r="AT457" s="21" t="str">
        <f>IF(AND('Atividades Micro'!$B509=AT$2,'Atividades Micro'!$L509&lt;&gt;""),'Atividades Micro'!$L509,"")</f>
        <v/>
      </c>
      <c r="AU457" s="21" t="str">
        <f>IF(AND('Atividades Micro'!$A509=AU$2,'Atividades Micro'!$K509&lt;&gt;""),'Atividades Micro'!$K509,"")</f>
        <v/>
      </c>
      <c r="AV457" s="21" t="str">
        <f>IF(AND('Atividades Micro'!$A509=AV$2,'Atividades Micro'!$L509&lt;&gt;""),'Atividades Micro'!$L509,"")</f>
        <v/>
      </c>
      <c r="AW457" s="21" t="str">
        <f>IF(AND('Atividades Micro'!$B509=AW$2,'Atividades Micro'!$K509&lt;&gt;""),'Atividades Micro'!$K509,"")</f>
        <v/>
      </c>
      <c r="AX457" s="21" t="str">
        <f>IF(AND('Atividades Micro'!$B509=AX$2,'Atividades Micro'!$L509&lt;&gt;""),'Atividades Micro'!$L509,"")</f>
        <v/>
      </c>
      <c r="AY457" s="21" t="str">
        <f>IF(AND('Atividades Micro'!$A509=AY$2,'Atividades Micro'!$K509&lt;&gt;""),'Atividades Micro'!$K509,"")</f>
        <v/>
      </c>
      <c r="AZ457" s="21" t="str">
        <f>IF(AND('Atividades Micro'!$A509=AZ$2,'Atividades Micro'!$L509&lt;&gt;""),'Atividades Micro'!$L509,"")</f>
        <v/>
      </c>
      <c r="BA457" s="21" t="str">
        <f>IF(AND('Atividades Micro'!$B509=BA$2,'Atividades Micro'!$K509&lt;&gt;""),'Atividades Micro'!$K509,"")</f>
        <v/>
      </c>
      <c r="BB457" s="21" t="str">
        <f>IF(AND('Atividades Micro'!$B509=BB$2,'Atividades Micro'!$L509&lt;&gt;""),'Atividades Micro'!$L509,"")</f>
        <v/>
      </c>
      <c r="BC457" s="21" t="str">
        <f>IF(AND('Atividades Micro'!$B509=BC$2,'Atividades Micro'!$G509="Macro",'Atividades Micro'!$K509&lt;&gt;""),'Atividades Micro'!$K509,"")</f>
        <v/>
      </c>
      <c r="BD457" s="21" t="str">
        <f>IF(AND('Atividades Micro'!$B509=BD$2,'Atividades Micro'!$G509="Macro",'Atividades Micro'!$K509&lt;&gt;""),'Atividades Micro'!$K509,"")</f>
        <v/>
      </c>
      <c r="BE457" s="21" t="str">
        <f>IF(AND('Atividades Micro'!$B509=BE$2,'Atividades Micro'!$G509="Macro",'Atividades Micro'!$K509&lt;&gt;""),'Atividades Micro'!$K509,"")</f>
        <v/>
      </c>
      <c r="BF457" s="21" t="str">
        <f>IF(AND('Atividades Micro'!$B509=BF$2,'Atividades Micro'!$G509="Macro",'Atividades Micro'!$K509&lt;&gt;""),'Atividades Micro'!$K509,"")</f>
        <v/>
      </c>
      <c r="BG457" s="21" t="str">
        <f>IF(AND('Atividades Micro'!$B509=BG$2,'Atividades Micro'!$G509="Macro",'Atividades Micro'!$K509&lt;&gt;""),'Atividades Micro'!$K509,"")</f>
        <v/>
      </c>
      <c r="BH457" s="21" t="str">
        <f>IF(AND('Atividades Micro'!$B509=BH$2,'Atividades Micro'!$G509="Macro",'Atividades Micro'!$K509&lt;&gt;""),'Atividades Micro'!$K509,"")</f>
        <v/>
      </c>
      <c r="BI457" s="21" t="str">
        <f>IF(AND('Atividades Micro'!$B509=BI$2,'Atividades Micro'!$G509="Macro",'Atividades Micro'!$K509&lt;&gt;""),'Atividades Micro'!$K509,"")</f>
        <v/>
      </c>
      <c r="BJ457" s="21" t="str">
        <f>IF(AND('Atividades Micro'!$B509=BJ$2,'Atividades Micro'!$G509="Macro",'Atividades Micro'!$K509&lt;&gt;""),'Atividades Micro'!$K509,"")</f>
        <v/>
      </c>
      <c r="BK457" s="21" t="str">
        <f>IF(AND('Atividades Micro'!$B509=BK$2,'Atividades Micro'!$G509="Macro",'Atividades Micro'!$K509&lt;&gt;""),'Atividades Micro'!$K509,"")</f>
        <v/>
      </c>
      <c r="BL457" s="21" t="str">
        <f>IF(AND('Atividades Micro'!$B509=BL$2,'Atividades Micro'!$G509="Macro",'Atividades Micro'!$K509&lt;&gt;""),'Atividades Micro'!$K509,"")</f>
        <v/>
      </c>
      <c r="BM457" s="21" t="str">
        <f>IF(AND('Atividades Micro'!$B509=BM$2,'Atividades Micro'!$G509="Macro",'Atividades Micro'!$K509&lt;&gt;""),'Atividades Micro'!$K509,"")</f>
        <v/>
      </c>
      <c r="BN457" s="21" t="str">
        <f>IF(AND('Atividades Micro'!$B509=BN$2,'Atividades Micro'!$G509="Macro",'Atividades Micro'!$K509&lt;&gt;""),'Atividades Micro'!$K509,"")</f>
        <v/>
      </c>
      <c r="BO457" s="21" t="str">
        <f>IF(AND('Atividades Micro'!$B509=BO$2,'Atividades Micro'!$G509="Macro",'Atividades Micro'!$K509&lt;&gt;""),'Atividades Micro'!$K509,"")</f>
        <v/>
      </c>
      <c r="BP457" s="21" t="str">
        <f>IF(AND('Atividades Micro'!$B509=BP$2,'Atividades Micro'!$G509="Macro",'Atividades Micro'!$K509&lt;&gt;""),'Atividades Micro'!$K509,"")</f>
        <v/>
      </c>
      <c r="BQ457" s="21" t="str">
        <f>IF(AND('Atividades Micro'!$B509=BQ$2,'Atividades Micro'!$G509="Macro",'Atividades Micro'!$K509&lt;&gt;""),'Atividades Micro'!$K509,"")</f>
        <v/>
      </c>
      <c r="BR457" s="21" t="str">
        <f>IF(AND('Atividades Micro'!$B509=BR$2,'Atividades Micro'!$G509="Macro",'Atividades Micro'!$K509&lt;&gt;""),'Atividades Micro'!$K509,"")</f>
        <v/>
      </c>
      <c r="BS457" s="21" t="str">
        <f>IF(AND('Atividades Micro'!$B509=BS$2,'Atividades Micro'!$G509="Macro",'Atividades Micro'!$K509&lt;&gt;""),'Atividades Micro'!$K509,"")</f>
        <v/>
      </c>
      <c r="BT457" s="21" t="str">
        <f>IF(AND('Atividades Micro'!$B509=BT$2,'Atividades Micro'!$G509="Macro",'Atividades Micro'!$K509&lt;&gt;""),'Atividades Micro'!$K509,"")</f>
        <v/>
      </c>
      <c r="BU457" s="21" t="str">
        <f>IF(AND('Atividades Micro'!$B509=BU$2,'Atividades Micro'!$G509="Macro",'Atividades Micro'!$K509&lt;&gt;""),'Atividades Micro'!$K509,"")</f>
        <v/>
      </c>
      <c r="BV457" s="21" t="str">
        <f>IF(AND('Atividades Micro'!$B509=BV$2,'Atividades Micro'!$G509="Macro",'Atividades Micro'!$K509&lt;&gt;""),'Atividades Micro'!$K509,"")</f>
        <v/>
      </c>
      <c r="BW457" s="21" t="str">
        <f>IF(AND('Atividades Micro'!$B509=BW$2,'Atividades Micro'!$G509="Macro",'Atividades Micro'!$K509&lt;&gt;""),'Atividades Micro'!$K509,"")</f>
        <v/>
      </c>
      <c r="BX457" s="21" t="str">
        <f>IF(AND('Atividades Micro'!$B509=BX$2,'Atividades Micro'!$G509="Macro",'Atividades Micro'!$K509&lt;&gt;""),'Atividades Micro'!$K509,"")</f>
        <v/>
      </c>
      <c r="BY457" s="21" t="str">
        <f>IF(AND('Atividades Micro'!$B509=BY$2,'Atividades Micro'!$G509="Macro",'Atividades Micro'!$K509&lt;&gt;""),'Atividades Micro'!$K509,"")</f>
        <v/>
      </c>
      <c r="BZ457" s="21" t="str">
        <f>IF(AND('Atividades Micro'!$B509=BZ$2,'Atividades Micro'!$G509="Macro",'Atividades Micro'!$K509&lt;&gt;""),'Atividades Micro'!$K509,"")</f>
        <v/>
      </c>
      <c r="CA457" s="21" t="str">
        <f>IF(AND('Atividades Micro'!$B509=CA$2,'Atividades Micro'!$G509="Macro",'Atividades Micro'!$K509&lt;&gt;""),'Atividades Micro'!$K509,"")</f>
        <v/>
      </c>
      <c r="CB457" s="21" t="str">
        <f>IF(AND('Atividades Micro'!$B509=CB$2,'Atividades Micro'!$G509="Macro",'Atividades Micro'!$K509&lt;&gt;""),'Atividades Micro'!$K509,"")</f>
        <v/>
      </c>
      <c r="CC457" s="21" t="str">
        <f>IF(AND('Atividades Micro'!$B509=CC$2,'Atividades Micro'!$G509="Macro",'Atividades Micro'!$K509&lt;&gt;""),'Atividades Micro'!$K509,"")</f>
        <v/>
      </c>
      <c r="CD457" s="21" t="str">
        <f>IF(AND('Atividades Micro'!$B509=CD$2,'Atividades Micro'!$G509="Micro",'Atividades Micro'!$K509&lt;&gt;""),'Atividades Micro'!$K509,"")</f>
        <v/>
      </c>
      <c r="CE457" s="21" t="str">
        <f>IF(AND('Atividades Micro'!$B509=CE$2,'Atividades Micro'!$G509="Micro",'Atividades Micro'!$K509&lt;&gt;""),'Atividades Micro'!$K509,"")</f>
        <v/>
      </c>
      <c r="CF457" s="21" t="str">
        <f>IF(AND('Atividades Micro'!$B509=CF$2,'Atividades Micro'!$G509="Micro",'Atividades Micro'!$K509&lt;&gt;""),'Atividades Micro'!$K509,"")</f>
        <v/>
      </c>
      <c r="CG457" s="21" t="str">
        <f>IF(AND('Atividades Micro'!$B509=CG$2,'Atividades Micro'!$G509="Micro",'Atividades Micro'!$K509&lt;&gt;""),'Atividades Micro'!$K509,"")</f>
        <v/>
      </c>
      <c r="CH457" s="21" t="str">
        <f>IF(AND('Atividades Micro'!$B509=CH$2,'Atividades Micro'!$G509="Micro",'Atividades Micro'!$K509&lt;&gt;""),'Atividades Micro'!$K509,"")</f>
        <v/>
      </c>
      <c r="CI457" s="21" t="str">
        <f>IF(AND('Atividades Micro'!$B509=CI$2,'Atividades Micro'!$G509="Micro",'Atividades Micro'!$K509&lt;&gt;""),'Atividades Micro'!$K509,"")</f>
        <v/>
      </c>
      <c r="CJ457" s="21" t="str">
        <f>IF(AND('Atividades Micro'!$B509=CJ$2,'Atividades Micro'!$G509="Micro",'Atividades Micro'!$K509&lt;&gt;""),'Atividades Micro'!$K509,"")</f>
        <v/>
      </c>
      <c r="CK457" s="21" t="str">
        <f>IF(AND('Atividades Micro'!$B509=CK$2,'Atividades Micro'!$G509="Micro",'Atividades Micro'!$K509&lt;&gt;""),'Atividades Micro'!$K509,"")</f>
        <v/>
      </c>
      <c r="CL457" s="21" t="str">
        <f>IF(AND('Atividades Micro'!$B509=CL$2,'Atividades Micro'!$G509="Micro",'Atividades Micro'!$K509&lt;&gt;""),'Atividades Micro'!$K509,"")</f>
        <v/>
      </c>
      <c r="CM457" s="21" t="str">
        <f>IF(AND('Atividades Micro'!$B509=CM$2,'Atividades Micro'!$G509="Micro",'Atividades Micro'!$K509&lt;&gt;""),'Atividades Micro'!$K509,"")</f>
        <v/>
      </c>
      <c r="CN457" s="21" t="str">
        <f>IF(AND('Atividades Micro'!$B509=CN$2,'Atividades Micro'!$G509="Micro",'Atividades Micro'!$K509&lt;&gt;""),'Atividades Micro'!$K509,"")</f>
        <v/>
      </c>
      <c r="CO457" s="21" t="str">
        <f>IF(AND('Atividades Micro'!$B509=CO$2,'Atividades Micro'!$G509="Micro",'Atividades Micro'!$K509&lt;&gt;""),'Atividades Micro'!$K509,"")</f>
        <v/>
      </c>
    </row>
    <row r="458" spans="1:93">
      <c r="A458" s="21" t="str">
        <f>IF(AND('Atividades Micro'!$A510=A$2,'Atividades Micro'!$K510&lt;&gt;""),'Atividades Micro'!$K510,"")</f>
        <v/>
      </c>
      <c r="B458" s="21" t="str">
        <f>IF(AND('Atividades Micro'!$A510=B$2,'Atividades Micro'!$L510&lt;&gt;""),'Atividades Micro'!$L510,"")</f>
        <v/>
      </c>
      <c r="C458" s="21" t="str">
        <f>IF(AND('Atividades Micro'!$A510=C$2,'Atividades Micro'!$K510&lt;&gt;""),'Atividades Micro'!$K510,"")</f>
        <v/>
      </c>
      <c r="D458" s="21" t="str">
        <f>IF(AND('Atividades Micro'!$A510=D$2,'Atividades Micro'!$L510&lt;&gt;""),'Atividades Micro'!$L510,"")</f>
        <v/>
      </c>
      <c r="E458" s="21" t="str">
        <f>IF(AND('Atividades Micro'!$A510=E$2,'Atividades Micro'!$K510&lt;&gt;""),'Atividades Micro'!$K510,"")</f>
        <v/>
      </c>
      <c r="F458" s="21" t="str">
        <f>IF(AND('Atividades Micro'!$A510=F$2,'Atividades Micro'!$L510&lt;&gt;""),'Atividades Micro'!$L510,"")</f>
        <v/>
      </c>
      <c r="G458" s="21" t="str">
        <f>IF(AND('Atividades Micro'!$A510=G$2,'Atividades Micro'!$K510&lt;&gt;""),'Atividades Micro'!$K510,"")</f>
        <v/>
      </c>
      <c r="H458" s="21" t="str">
        <f>IF(AND('Atividades Micro'!$A510=H$2,'Atividades Micro'!$L510&lt;&gt;""),'Atividades Micro'!$L510,"")</f>
        <v/>
      </c>
      <c r="I458" s="21" t="str">
        <f>IF(AND('Atividades Micro'!$A510=I$2,'Atividades Micro'!$K510&lt;&gt;""),'Atividades Micro'!$K510,"")</f>
        <v/>
      </c>
      <c r="J458" s="21" t="str">
        <f>IF(AND('Atividades Micro'!$A510=J$2,'Atividades Micro'!$L510&lt;&gt;""),'Atividades Micro'!$L510,"")</f>
        <v/>
      </c>
      <c r="K458" s="21" t="str">
        <f>IF(AND('Atividades Micro'!$B510=K$2,'Atividades Micro'!$K510&lt;&gt;""),'Atividades Micro'!$K510,"")</f>
        <v/>
      </c>
      <c r="L458" s="21" t="str">
        <f>IF(AND('Atividades Micro'!$B510=L$2,'Atividades Micro'!$L510&lt;&gt;""),'Atividades Micro'!$L510,"")</f>
        <v/>
      </c>
      <c r="M458" s="21" t="str">
        <f>IF(AND('Atividades Micro'!$B510=M$2,'Atividades Micro'!$K510&lt;&gt;""),'Atividades Micro'!$K510,"")</f>
        <v/>
      </c>
      <c r="N458" s="21" t="str">
        <f>IF(AND('Atividades Micro'!$B510=N$2,'Atividades Micro'!$L510&lt;&gt;""),'Atividades Micro'!$L510,"")</f>
        <v/>
      </c>
      <c r="O458" s="21" t="str">
        <f>IF(AND('Atividades Micro'!$A510=O$2,'Atividades Micro'!$K510&lt;&gt;""),'Atividades Micro'!$K510,"")</f>
        <v/>
      </c>
      <c r="P458" s="21" t="str">
        <f>IF(AND('Atividades Micro'!$A510=P$2,'Atividades Micro'!$L510&lt;&gt;""),'Atividades Micro'!$L510,"")</f>
        <v/>
      </c>
      <c r="Q458" s="21" t="str">
        <f>IF(AND('Atividades Micro'!$B510=Q$2,'Atividades Micro'!$K510&lt;&gt;""),'Atividades Micro'!$K510,"")</f>
        <v/>
      </c>
      <c r="R458" s="21" t="str">
        <f>IF(AND('Atividades Micro'!$B510=R$2,'Atividades Micro'!$L510&lt;&gt;""),'Atividades Micro'!$L510,"")</f>
        <v/>
      </c>
      <c r="S458" s="21" t="str">
        <f>IF(AND('Atividades Micro'!$A510=S$2,'Atividades Micro'!$K510&lt;&gt;""),'Atividades Micro'!$K510,"")</f>
        <v/>
      </c>
      <c r="T458" s="21" t="str">
        <f>IF(AND('Atividades Micro'!$A510=T$2,'Atividades Micro'!$L510&lt;&gt;""),'Atividades Micro'!$L510,"")</f>
        <v/>
      </c>
      <c r="U458" s="21" t="str">
        <f>IF(AND('Atividades Micro'!$B510=U$2,'Atividades Micro'!$K510&lt;&gt;""),'Atividades Micro'!$K510,"")</f>
        <v/>
      </c>
      <c r="V458" s="21" t="str">
        <f>IF(AND('Atividades Micro'!$B510=V$2,'Atividades Micro'!$L510&lt;&gt;""),'Atividades Micro'!$L510,"")</f>
        <v/>
      </c>
      <c r="W458" s="21" t="str">
        <f>IF(AND('Atividades Micro'!$B510=W$2,'Atividades Micro'!$K510&lt;&gt;""),'Atividades Micro'!$K510,"")</f>
        <v/>
      </c>
      <c r="X458" s="21" t="str">
        <f>IF(AND('Atividades Micro'!$B510=X$2,'Atividades Micro'!$L510&lt;&gt;""),'Atividades Micro'!$L510,"")</f>
        <v/>
      </c>
      <c r="Y458" s="21" t="str">
        <f>IF(AND('Atividades Micro'!$A510=Y$2,'Atividades Micro'!$K510&lt;&gt;""),'Atividades Micro'!$K510,"")</f>
        <v/>
      </c>
      <c r="Z458" s="21" t="str">
        <f>IF(AND('Atividades Micro'!$A510=Z$2,'Atividades Micro'!$L510&lt;&gt;""),'Atividades Micro'!$L510,"")</f>
        <v/>
      </c>
      <c r="AA458" s="21" t="str">
        <f>IF(AND('Atividades Micro'!$B510=AA$2,'Atividades Micro'!$K510&lt;&gt;""),'Atividades Micro'!$K510,"")</f>
        <v/>
      </c>
      <c r="AB458" s="21" t="str">
        <f>IF(AND('Atividades Micro'!$B510=AB$2,'Atividades Micro'!$L510&lt;&gt;""),'Atividades Micro'!$L510,"")</f>
        <v/>
      </c>
      <c r="AC458" s="21" t="str">
        <f>IF(AND('Atividades Micro'!$B510=AC$2,'Atividades Micro'!$K510&lt;&gt;""),'Atividades Micro'!$K510,"")</f>
        <v/>
      </c>
      <c r="AD458" s="21" t="str">
        <f>IF(AND('Atividades Micro'!$B510=AD$2,'Atividades Micro'!$L510&lt;&gt;""),'Atividades Micro'!$L510,"")</f>
        <v/>
      </c>
      <c r="AE458" s="21" t="str">
        <f>IF(AND('Atividades Micro'!$A510=AE$2,'Atividades Micro'!$K510&lt;&gt;""),'Atividades Micro'!$K510,"")</f>
        <v/>
      </c>
      <c r="AF458" s="21" t="str">
        <f>IF(AND('Atividades Micro'!$A510=AF$2,'Atividades Micro'!$L510&lt;&gt;""),'Atividades Micro'!$L510,"")</f>
        <v/>
      </c>
      <c r="AG458" s="21" t="str">
        <f>IF(AND('Atividades Micro'!$B510=AG$2,'Atividades Micro'!$K510&lt;&gt;""),'Atividades Micro'!$K510,"")</f>
        <v/>
      </c>
      <c r="AH458" s="21" t="str">
        <f>IF(AND('Atividades Micro'!$B510=AH$2,'Atividades Micro'!$L510&lt;&gt;""),'Atividades Micro'!$L510,"")</f>
        <v/>
      </c>
      <c r="AI458" s="21" t="str">
        <f>IF(AND('Atividades Micro'!$B510=AI$2,'Atividades Micro'!$K510&lt;&gt;""),'Atividades Micro'!$K510,"")</f>
        <v/>
      </c>
      <c r="AJ458" s="21" t="str">
        <f>IF(AND('Atividades Micro'!$B510=AJ$2,'Atividades Micro'!$L510&lt;&gt;""),'Atividades Micro'!$L510,"")</f>
        <v/>
      </c>
      <c r="AK458" s="21" t="str">
        <f>IF(AND('Atividades Micro'!$A510=AK$2,'Atividades Micro'!$K510&lt;&gt;""),'Atividades Micro'!$K510,"")</f>
        <v/>
      </c>
      <c r="AL458" s="21" t="str">
        <f>IF(AND('Atividades Micro'!$A510=AL$2,'Atividades Micro'!$L510&lt;&gt;""),'Atividades Micro'!$L510,"")</f>
        <v/>
      </c>
      <c r="AM458" s="21" t="str">
        <f>IF(AND('Atividades Micro'!$B510=AM$2,'Atividades Micro'!$K510&lt;&gt;""),'Atividades Micro'!$K510,"")</f>
        <v/>
      </c>
      <c r="AN458" s="21" t="str">
        <f>IF(AND('Atividades Micro'!$B510=AN$2,'Atividades Micro'!$L510&lt;&gt;""),'Atividades Micro'!$L510,"")</f>
        <v/>
      </c>
      <c r="AO458" s="21" t="str">
        <f>IF(AND('Atividades Micro'!$B510=AO$2,'Atividades Micro'!$K510&lt;&gt;""),'Atividades Micro'!$K510,"")</f>
        <v/>
      </c>
      <c r="AP458" s="21" t="str">
        <f>IF(AND('Atividades Micro'!$B510=AP$2,'Atividades Micro'!$L510&lt;&gt;""),'Atividades Micro'!$L510,"")</f>
        <v/>
      </c>
      <c r="AQ458" s="21" t="str">
        <f>IF(AND('Atividades Micro'!$A510=AQ$2,'Atividades Micro'!$K510&lt;&gt;""),'Atividades Micro'!$K510,"")</f>
        <v/>
      </c>
      <c r="AR458" s="21" t="str">
        <f>IF(AND('Atividades Micro'!$A510=AR$2,'Atividades Micro'!$L510&lt;&gt;""),'Atividades Micro'!$L510,"")</f>
        <v/>
      </c>
      <c r="AS458" s="21" t="str">
        <f>IF(AND('Atividades Micro'!$B510=AS$2,'Atividades Micro'!$K510&lt;&gt;""),'Atividades Micro'!$K510,"")</f>
        <v/>
      </c>
      <c r="AT458" s="21" t="str">
        <f>IF(AND('Atividades Micro'!$B510=AT$2,'Atividades Micro'!$L510&lt;&gt;""),'Atividades Micro'!$L510,"")</f>
        <v/>
      </c>
      <c r="AU458" s="21" t="str">
        <f>IF(AND('Atividades Micro'!$A510=AU$2,'Atividades Micro'!$K510&lt;&gt;""),'Atividades Micro'!$K510,"")</f>
        <v/>
      </c>
      <c r="AV458" s="21" t="str">
        <f>IF(AND('Atividades Micro'!$A510=AV$2,'Atividades Micro'!$L510&lt;&gt;""),'Atividades Micro'!$L510,"")</f>
        <v/>
      </c>
      <c r="AW458" s="21" t="str">
        <f>IF(AND('Atividades Micro'!$B510=AW$2,'Atividades Micro'!$K510&lt;&gt;""),'Atividades Micro'!$K510,"")</f>
        <v/>
      </c>
      <c r="AX458" s="21" t="str">
        <f>IF(AND('Atividades Micro'!$B510=AX$2,'Atividades Micro'!$L510&lt;&gt;""),'Atividades Micro'!$L510,"")</f>
        <v/>
      </c>
      <c r="AY458" s="21" t="str">
        <f>IF(AND('Atividades Micro'!$A510=AY$2,'Atividades Micro'!$K510&lt;&gt;""),'Atividades Micro'!$K510,"")</f>
        <v/>
      </c>
      <c r="AZ458" s="21" t="str">
        <f>IF(AND('Atividades Micro'!$A510=AZ$2,'Atividades Micro'!$L510&lt;&gt;""),'Atividades Micro'!$L510,"")</f>
        <v/>
      </c>
      <c r="BA458" s="21" t="str">
        <f>IF(AND('Atividades Micro'!$B510=BA$2,'Atividades Micro'!$K510&lt;&gt;""),'Atividades Micro'!$K510,"")</f>
        <v/>
      </c>
      <c r="BB458" s="21" t="str">
        <f>IF(AND('Atividades Micro'!$B510=BB$2,'Atividades Micro'!$L510&lt;&gt;""),'Atividades Micro'!$L510,"")</f>
        <v/>
      </c>
      <c r="BC458" s="21" t="str">
        <f>IF(AND('Atividades Micro'!$B510=BC$2,'Atividades Micro'!$G510="Macro",'Atividades Micro'!$K510&lt;&gt;""),'Atividades Micro'!$K510,"")</f>
        <v/>
      </c>
      <c r="BD458" s="21" t="str">
        <f>IF(AND('Atividades Micro'!$B510=BD$2,'Atividades Micro'!$G510="Macro",'Atividades Micro'!$K510&lt;&gt;""),'Atividades Micro'!$K510,"")</f>
        <v/>
      </c>
      <c r="BE458" s="21" t="str">
        <f>IF(AND('Atividades Micro'!$B510=BE$2,'Atividades Micro'!$G510="Macro",'Atividades Micro'!$K510&lt;&gt;""),'Atividades Micro'!$K510,"")</f>
        <v/>
      </c>
      <c r="BF458" s="21" t="str">
        <f>IF(AND('Atividades Micro'!$B510=BF$2,'Atividades Micro'!$G510="Macro",'Atividades Micro'!$K510&lt;&gt;""),'Atividades Micro'!$K510,"")</f>
        <v/>
      </c>
      <c r="BG458" s="21" t="str">
        <f>IF(AND('Atividades Micro'!$B510=BG$2,'Atividades Micro'!$G510="Macro",'Atividades Micro'!$K510&lt;&gt;""),'Atividades Micro'!$K510,"")</f>
        <v/>
      </c>
      <c r="BH458" s="21" t="str">
        <f>IF(AND('Atividades Micro'!$B510=BH$2,'Atividades Micro'!$G510="Macro",'Atividades Micro'!$K510&lt;&gt;""),'Atividades Micro'!$K510,"")</f>
        <v/>
      </c>
      <c r="BI458" s="21" t="str">
        <f>IF(AND('Atividades Micro'!$B510=BI$2,'Atividades Micro'!$G510="Macro",'Atividades Micro'!$K510&lt;&gt;""),'Atividades Micro'!$K510,"")</f>
        <v/>
      </c>
      <c r="BJ458" s="21" t="str">
        <f>IF(AND('Atividades Micro'!$B510=BJ$2,'Atividades Micro'!$G510="Macro",'Atividades Micro'!$K510&lt;&gt;""),'Atividades Micro'!$K510,"")</f>
        <v/>
      </c>
      <c r="BK458" s="21" t="str">
        <f>IF(AND('Atividades Micro'!$B510=BK$2,'Atividades Micro'!$G510="Macro",'Atividades Micro'!$K510&lt;&gt;""),'Atividades Micro'!$K510,"")</f>
        <v/>
      </c>
      <c r="BL458" s="21" t="str">
        <f>IF(AND('Atividades Micro'!$B510=BL$2,'Atividades Micro'!$G510="Macro",'Atividades Micro'!$K510&lt;&gt;""),'Atividades Micro'!$K510,"")</f>
        <v/>
      </c>
      <c r="BM458" s="21" t="str">
        <f>IF(AND('Atividades Micro'!$B510=BM$2,'Atividades Micro'!$G510="Macro",'Atividades Micro'!$K510&lt;&gt;""),'Atividades Micro'!$K510,"")</f>
        <v/>
      </c>
      <c r="BN458" s="21" t="str">
        <f>IF(AND('Atividades Micro'!$B510=BN$2,'Atividades Micro'!$G510="Macro",'Atividades Micro'!$K510&lt;&gt;""),'Atividades Micro'!$K510,"")</f>
        <v/>
      </c>
      <c r="BO458" s="21" t="str">
        <f>IF(AND('Atividades Micro'!$B510=BO$2,'Atividades Micro'!$G510="Macro",'Atividades Micro'!$K510&lt;&gt;""),'Atividades Micro'!$K510,"")</f>
        <v/>
      </c>
      <c r="BP458" s="21" t="str">
        <f>IF(AND('Atividades Micro'!$B510=BP$2,'Atividades Micro'!$G510="Macro",'Atividades Micro'!$K510&lt;&gt;""),'Atividades Micro'!$K510,"")</f>
        <v/>
      </c>
      <c r="BQ458" s="21" t="str">
        <f>IF(AND('Atividades Micro'!$B510=BQ$2,'Atividades Micro'!$G510="Macro",'Atividades Micro'!$K510&lt;&gt;""),'Atividades Micro'!$K510,"")</f>
        <v/>
      </c>
      <c r="BR458" s="21" t="str">
        <f>IF(AND('Atividades Micro'!$B510=BR$2,'Atividades Micro'!$G510="Macro",'Atividades Micro'!$K510&lt;&gt;""),'Atividades Micro'!$K510,"")</f>
        <v/>
      </c>
      <c r="BS458" s="21" t="str">
        <f>IF(AND('Atividades Micro'!$B510=BS$2,'Atividades Micro'!$G510="Macro",'Atividades Micro'!$K510&lt;&gt;""),'Atividades Micro'!$K510,"")</f>
        <v/>
      </c>
      <c r="BT458" s="21" t="str">
        <f>IF(AND('Atividades Micro'!$B510=BT$2,'Atividades Micro'!$G510="Macro",'Atividades Micro'!$K510&lt;&gt;""),'Atividades Micro'!$K510,"")</f>
        <v/>
      </c>
      <c r="BU458" s="21" t="str">
        <f>IF(AND('Atividades Micro'!$B510=BU$2,'Atividades Micro'!$G510="Macro",'Atividades Micro'!$K510&lt;&gt;""),'Atividades Micro'!$K510,"")</f>
        <v/>
      </c>
      <c r="BV458" s="21" t="str">
        <f>IF(AND('Atividades Micro'!$B510=BV$2,'Atividades Micro'!$G510="Macro",'Atividades Micro'!$K510&lt;&gt;""),'Atividades Micro'!$K510,"")</f>
        <v/>
      </c>
      <c r="BW458" s="21" t="str">
        <f>IF(AND('Atividades Micro'!$B510=BW$2,'Atividades Micro'!$G510="Macro",'Atividades Micro'!$K510&lt;&gt;""),'Atividades Micro'!$K510,"")</f>
        <v/>
      </c>
      <c r="BX458" s="21" t="str">
        <f>IF(AND('Atividades Micro'!$B510=BX$2,'Atividades Micro'!$G510="Macro",'Atividades Micro'!$K510&lt;&gt;""),'Atividades Micro'!$K510,"")</f>
        <v/>
      </c>
      <c r="BY458" s="21" t="str">
        <f>IF(AND('Atividades Micro'!$B510=BY$2,'Atividades Micro'!$G510="Macro",'Atividades Micro'!$K510&lt;&gt;""),'Atividades Micro'!$K510,"")</f>
        <v/>
      </c>
      <c r="BZ458" s="21" t="str">
        <f>IF(AND('Atividades Micro'!$B510=BZ$2,'Atividades Micro'!$G510="Macro",'Atividades Micro'!$K510&lt;&gt;""),'Atividades Micro'!$K510,"")</f>
        <v/>
      </c>
      <c r="CA458" s="21" t="str">
        <f>IF(AND('Atividades Micro'!$B510=CA$2,'Atividades Micro'!$G510="Macro",'Atividades Micro'!$K510&lt;&gt;""),'Atividades Micro'!$K510,"")</f>
        <v/>
      </c>
      <c r="CB458" s="21" t="str">
        <f>IF(AND('Atividades Micro'!$B510=CB$2,'Atividades Micro'!$G510="Macro",'Atividades Micro'!$K510&lt;&gt;""),'Atividades Micro'!$K510,"")</f>
        <v/>
      </c>
      <c r="CC458" s="21" t="str">
        <f>IF(AND('Atividades Micro'!$B510=CC$2,'Atividades Micro'!$G510="Macro",'Atividades Micro'!$K510&lt;&gt;""),'Atividades Micro'!$K510,"")</f>
        <v/>
      </c>
      <c r="CD458" s="21" t="str">
        <f>IF(AND('Atividades Micro'!$B510=CD$2,'Atividades Micro'!$G510="Micro",'Atividades Micro'!$K510&lt;&gt;""),'Atividades Micro'!$K510,"")</f>
        <v/>
      </c>
      <c r="CE458" s="21" t="str">
        <f>IF(AND('Atividades Micro'!$B510=CE$2,'Atividades Micro'!$G510="Micro",'Atividades Micro'!$K510&lt;&gt;""),'Atividades Micro'!$K510,"")</f>
        <v/>
      </c>
      <c r="CF458" s="21" t="str">
        <f>IF(AND('Atividades Micro'!$B510=CF$2,'Atividades Micro'!$G510="Micro",'Atividades Micro'!$K510&lt;&gt;""),'Atividades Micro'!$K510,"")</f>
        <v/>
      </c>
      <c r="CG458" s="21" t="str">
        <f>IF(AND('Atividades Micro'!$B510=CG$2,'Atividades Micro'!$G510="Micro",'Atividades Micro'!$K510&lt;&gt;""),'Atividades Micro'!$K510,"")</f>
        <v/>
      </c>
      <c r="CH458" s="21" t="str">
        <f>IF(AND('Atividades Micro'!$B510=CH$2,'Atividades Micro'!$G510="Micro",'Atividades Micro'!$K510&lt;&gt;""),'Atividades Micro'!$K510,"")</f>
        <v/>
      </c>
      <c r="CI458" s="21" t="str">
        <f>IF(AND('Atividades Micro'!$B510=CI$2,'Atividades Micro'!$G510="Micro",'Atividades Micro'!$K510&lt;&gt;""),'Atividades Micro'!$K510,"")</f>
        <v/>
      </c>
      <c r="CJ458" s="21" t="str">
        <f>IF(AND('Atividades Micro'!$B510=CJ$2,'Atividades Micro'!$G510="Micro",'Atividades Micro'!$K510&lt;&gt;""),'Atividades Micro'!$K510,"")</f>
        <v/>
      </c>
      <c r="CK458" s="21" t="str">
        <f>IF(AND('Atividades Micro'!$B510=CK$2,'Atividades Micro'!$G510="Micro",'Atividades Micro'!$K510&lt;&gt;""),'Atividades Micro'!$K510,"")</f>
        <v/>
      </c>
      <c r="CL458" s="21" t="str">
        <f>IF(AND('Atividades Micro'!$B510=CL$2,'Atividades Micro'!$G510="Micro",'Atividades Micro'!$K510&lt;&gt;""),'Atividades Micro'!$K510,"")</f>
        <v/>
      </c>
      <c r="CM458" s="21" t="str">
        <f>IF(AND('Atividades Micro'!$B510=CM$2,'Atividades Micro'!$G510="Micro",'Atividades Micro'!$K510&lt;&gt;""),'Atividades Micro'!$K510,"")</f>
        <v/>
      </c>
      <c r="CN458" s="21" t="str">
        <f>IF(AND('Atividades Micro'!$B510=CN$2,'Atividades Micro'!$G510="Micro",'Atividades Micro'!$K510&lt;&gt;""),'Atividades Micro'!$K510,"")</f>
        <v/>
      </c>
      <c r="CO458" s="21" t="str">
        <f>IF(AND('Atividades Micro'!$B510=CO$2,'Atividades Micro'!$G510="Micro",'Atividades Micro'!$K510&lt;&gt;""),'Atividades Micro'!$K510,"")</f>
        <v/>
      </c>
    </row>
    <row r="459" spans="1:93">
      <c r="A459" s="21" t="str">
        <f>IF(AND('Atividades Micro'!$A511=A$2,'Atividades Micro'!$K511&lt;&gt;""),'Atividades Micro'!$K511,"")</f>
        <v/>
      </c>
      <c r="B459" s="21" t="str">
        <f>IF(AND('Atividades Micro'!$A511=B$2,'Atividades Micro'!$L511&lt;&gt;""),'Atividades Micro'!$L511,"")</f>
        <v/>
      </c>
      <c r="C459" s="21" t="str">
        <f>IF(AND('Atividades Micro'!$A511=C$2,'Atividades Micro'!$K511&lt;&gt;""),'Atividades Micro'!$K511,"")</f>
        <v/>
      </c>
      <c r="D459" s="21" t="str">
        <f>IF(AND('Atividades Micro'!$A511=D$2,'Atividades Micro'!$L511&lt;&gt;""),'Atividades Micro'!$L511,"")</f>
        <v/>
      </c>
      <c r="E459" s="21" t="str">
        <f>IF(AND('Atividades Micro'!$A511=E$2,'Atividades Micro'!$K511&lt;&gt;""),'Atividades Micro'!$K511,"")</f>
        <v/>
      </c>
      <c r="F459" s="21" t="str">
        <f>IF(AND('Atividades Micro'!$A511=F$2,'Atividades Micro'!$L511&lt;&gt;""),'Atividades Micro'!$L511,"")</f>
        <v/>
      </c>
      <c r="G459" s="21" t="str">
        <f>IF(AND('Atividades Micro'!$A511=G$2,'Atividades Micro'!$K511&lt;&gt;""),'Atividades Micro'!$K511,"")</f>
        <v/>
      </c>
      <c r="H459" s="21" t="str">
        <f>IF(AND('Atividades Micro'!$A511=H$2,'Atividades Micro'!$L511&lt;&gt;""),'Atividades Micro'!$L511,"")</f>
        <v/>
      </c>
      <c r="I459" s="21" t="str">
        <f>IF(AND('Atividades Micro'!$A511=I$2,'Atividades Micro'!$K511&lt;&gt;""),'Atividades Micro'!$K511,"")</f>
        <v/>
      </c>
      <c r="J459" s="21" t="str">
        <f>IF(AND('Atividades Micro'!$A511=J$2,'Atividades Micro'!$L511&lt;&gt;""),'Atividades Micro'!$L511,"")</f>
        <v/>
      </c>
      <c r="K459" s="21" t="str">
        <f>IF(AND('Atividades Micro'!$B511=K$2,'Atividades Micro'!$K511&lt;&gt;""),'Atividades Micro'!$K511,"")</f>
        <v/>
      </c>
      <c r="L459" s="21" t="str">
        <f>IF(AND('Atividades Micro'!$B511=L$2,'Atividades Micro'!$L511&lt;&gt;""),'Atividades Micro'!$L511,"")</f>
        <v/>
      </c>
      <c r="M459" s="21" t="str">
        <f>IF(AND('Atividades Micro'!$B511=M$2,'Atividades Micro'!$K511&lt;&gt;""),'Atividades Micro'!$K511,"")</f>
        <v/>
      </c>
      <c r="N459" s="21" t="str">
        <f>IF(AND('Atividades Micro'!$B511=N$2,'Atividades Micro'!$L511&lt;&gt;""),'Atividades Micro'!$L511,"")</f>
        <v/>
      </c>
      <c r="O459" s="21" t="str">
        <f>IF(AND('Atividades Micro'!$A511=O$2,'Atividades Micro'!$K511&lt;&gt;""),'Atividades Micro'!$K511,"")</f>
        <v/>
      </c>
      <c r="P459" s="21" t="str">
        <f>IF(AND('Atividades Micro'!$A511=P$2,'Atividades Micro'!$L511&lt;&gt;""),'Atividades Micro'!$L511,"")</f>
        <v/>
      </c>
      <c r="Q459" s="21" t="str">
        <f>IF(AND('Atividades Micro'!$B511=Q$2,'Atividades Micro'!$K511&lt;&gt;""),'Atividades Micro'!$K511,"")</f>
        <v/>
      </c>
      <c r="R459" s="21" t="str">
        <f>IF(AND('Atividades Micro'!$B511=R$2,'Atividades Micro'!$L511&lt;&gt;""),'Atividades Micro'!$L511,"")</f>
        <v/>
      </c>
      <c r="S459" s="21" t="str">
        <f>IF(AND('Atividades Micro'!$A511=S$2,'Atividades Micro'!$K511&lt;&gt;""),'Atividades Micro'!$K511,"")</f>
        <v/>
      </c>
      <c r="T459" s="21" t="str">
        <f>IF(AND('Atividades Micro'!$A511=T$2,'Atividades Micro'!$L511&lt;&gt;""),'Atividades Micro'!$L511,"")</f>
        <v/>
      </c>
      <c r="U459" s="21" t="str">
        <f>IF(AND('Atividades Micro'!$B511=U$2,'Atividades Micro'!$K511&lt;&gt;""),'Atividades Micro'!$K511,"")</f>
        <v/>
      </c>
      <c r="V459" s="21" t="str">
        <f>IF(AND('Atividades Micro'!$B511=V$2,'Atividades Micro'!$L511&lt;&gt;""),'Atividades Micro'!$L511,"")</f>
        <v/>
      </c>
      <c r="W459" s="21" t="str">
        <f>IF(AND('Atividades Micro'!$B511=W$2,'Atividades Micro'!$K511&lt;&gt;""),'Atividades Micro'!$K511,"")</f>
        <v/>
      </c>
      <c r="X459" s="21" t="str">
        <f>IF(AND('Atividades Micro'!$B511=X$2,'Atividades Micro'!$L511&lt;&gt;""),'Atividades Micro'!$L511,"")</f>
        <v/>
      </c>
      <c r="Y459" s="21" t="str">
        <f>IF(AND('Atividades Micro'!$A511=Y$2,'Atividades Micro'!$K511&lt;&gt;""),'Atividades Micro'!$K511,"")</f>
        <v/>
      </c>
      <c r="Z459" s="21" t="str">
        <f>IF(AND('Atividades Micro'!$A511=Z$2,'Atividades Micro'!$L511&lt;&gt;""),'Atividades Micro'!$L511,"")</f>
        <v/>
      </c>
      <c r="AA459" s="21" t="str">
        <f>IF(AND('Atividades Micro'!$B511=AA$2,'Atividades Micro'!$K511&lt;&gt;""),'Atividades Micro'!$K511,"")</f>
        <v/>
      </c>
      <c r="AB459" s="21" t="str">
        <f>IF(AND('Atividades Micro'!$B511=AB$2,'Atividades Micro'!$L511&lt;&gt;""),'Atividades Micro'!$L511,"")</f>
        <v/>
      </c>
      <c r="AC459" s="21" t="str">
        <f>IF(AND('Atividades Micro'!$B511=AC$2,'Atividades Micro'!$K511&lt;&gt;""),'Atividades Micro'!$K511,"")</f>
        <v/>
      </c>
      <c r="AD459" s="21" t="str">
        <f>IF(AND('Atividades Micro'!$B511=AD$2,'Atividades Micro'!$L511&lt;&gt;""),'Atividades Micro'!$L511,"")</f>
        <v/>
      </c>
      <c r="AE459" s="21" t="str">
        <f>IF(AND('Atividades Micro'!$A511=AE$2,'Atividades Micro'!$K511&lt;&gt;""),'Atividades Micro'!$K511,"")</f>
        <v/>
      </c>
      <c r="AF459" s="21" t="str">
        <f>IF(AND('Atividades Micro'!$A511=AF$2,'Atividades Micro'!$L511&lt;&gt;""),'Atividades Micro'!$L511,"")</f>
        <v/>
      </c>
      <c r="AG459" s="21" t="str">
        <f>IF(AND('Atividades Micro'!$B511=AG$2,'Atividades Micro'!$K511&lt;&gt;""),'Atividades Micro'!$K511,"")</f>
        <v/>
      </c>
      <c r="AH459" s="21" t="str">
        <f>IF(AND('Atividades Micro'!$B511=AH$2,'Atividades Micro'!$L511&lt;&gt;""),'Atividades Micro'!$L511,"")</f>
        <v/>
      </c>
      <c r="AI459" s="21" t="str">
        <f>IF(AND('Atividades Micro'!$B511=AI$2,'Atividades Micro'!$K511&lt;&gt;""),'Atividades Micro'!$K511,"")</f>
        <v/>
      </c>
      <c r="AJ459" s="21" t="str">
        <f>IF(AND('Atividades Micro'!$B511=AJ$2,'Atividades Micro'!$L511&lt;&gt;""),'Atividades Micro'!$L511,"")</f>
        <v/>
      </c>
      <c r="AK459" s="21" t="str">
        <f>IF(AND('Atividades Micro'!$A511=AK$2,'Atividades Micro'!$K511&lt;&gt;""),'Atividades Micro'!$K511,"")</f>
        <v/>
      </c>
      <c r="AL459" s="21" t="str">
        <f>IF(AND('Atividades Micro'!$A511=AL$2,'Atividades Micro'!$L511&lt;&gt;""),'Atividades Micro'!$L511,"")</f>
        <v/>
      </c>
      <c r="AM459" s="21" t="str">
        <f>IF(AND('Atividades Micro'!$B511=AM$2,'Atividades Micro'!$K511&lt;&gt;""),'Atividades Micro'!$K511,"")</f>
        <v/>
      </c>
      <c r="AN459" s="21" t="str">
        <f>IF(AND('Atividades Micro'!$B511=AN$2,'Atividades Micro'!$L511&lt;&gt;""),'Atividades Micro'!$L511,"")</f>
        <v/>
      </c>
      <c r="AO459" s="21" t="str">
        <f>IF(AND('Atividades Micro'!$B511=AO$2,'Atividades Micro'!$K511&lt;&gt;""),'Atividades Micro'!$K511,"")</f>
        <v/>
      </c>
      <c r="AP459" s="21" t="str">
        <f>IF(AND('Atividades Micro'!$B511=AP$2,'Atividades Micro'!$L511&lt;&gt;""),'Atividades Micro'!$L511,"")</f>
        <v/>
      </c>
      <c r="AQ459" s="21" t="str">
        <f>IF(AND('Atividades Micro'!$A511=AQ$2,'Atividades Micro'!$K511&lt;&gt;""),'Atividades Micro'!$K511,"")</f>
        <v/>
      </c>
      <c r="AR459" s="21" t="str">
        <f>IF(AND('Atividades Micro'!$A511=AR$2,'Atividades Micro'!$L511&lt;&gt;""),'Atividades Micro'!$L511,"")</f>
        <v/>
      </c>
      <c r="AS459" s="21" t="str">
        <f>IF(AND('Atividades Micro'!$B511=AS$2,'Atividades Micro'!$K511&lt;&gt;""),'Atividades Micro'!$K511,"")</f>
        <v/>
      </c>
      <c r="AT459" s="21" t="str">
        <f>IF(AND('Atividades Micro'!$B511=AT$2,'Atividades Micro'!$L511&lt;&gt;""),'Atividades Micro'!$L511,"")</f>
        <v/>
      </c>
      <c r="AU459" s="21" t="str">
        <f>IF(AND('Atividades Micro'!$A511=AU$2,'Atividades Micro'!$K511&lt;&gt;""),'Atividades Micro'!$K511,"")</f>
        <v/>
      </c>
      <c r="AV459" s="21" t="str">
        <f>IF(AND('Atividades Micro'!$A511=AV$2,'Atividades Micro'!$L511&lt;&gt;""),'Atividades Micro'!$L511,"")</f>
        <v/>
      </c>
      <c r="AW459" s="21" t="str">
        <f>IF(AND('Atividades Micro'!$B511=AW$2,'Atividades Micro'!$K511&lt;&gt;""),'Atividades Micro'!$K511,"")</f>
        <v/>
      </c>
      <c r="AX459" s="21" t="str">
        <f>IF(AND('Atividades Micro'!$B511=AX$2,'Atividades Micro'!$L511&lt;&gt;""),'Atividades Micro'!$L511,"")</f>
        <v/>
      </c>
      <c r="AY459" s="21" t="str">
        <f>IF(AND('Atividades Micro'!$A511=AY$2,'Atividades Micro'!$K511&lt;&gt;""),'Atividades Micro'!$K511,"")</f>
        <v/>
      </c>
      <c r="AZ459" s="21" t="str">
        <f>IF(AND('Atividades Micro'!$A511=AZ$2,'Atividades Micro'!$L511&lt;&gt;""),'Atividades Micro'!$L511,"")</f>
        <v/>
      </c>
      <c r="BA459" s="21" t="str">
        <f>IF(AND('Atividades Micro'!$B511=BA$2,'Atividades Micro'!$K511&lt;&gt;""),'Atividades Micro'!$K511,"")</f>
        <v/>
      </c>
      <c r="BB459" s="21" t="str">
        <f>IF(AND('Atividades Micro'!$B511=BB$2,'Atividades Micro'!$L511&lt;&gt;""),'Atividades Micro'!$L511,"")</f>
        <v/>
      </c>
      <c r="BC459" s="21" t="str">
        <f>IF(AND('Atividades Micro'!$B511=BC$2,'Atividades Micro'!$G511="Macro",'Atividades Micro'!$K511&lt;&gt;""),'Atividades Micro'!$K511,"")</f>
        <v/>
      </c>
      <c r="BD459" s="21" t="str">
        <f>IF(AND('Atividades Micro'!$B511=BD$2,'Atividades Micro'!$G511="Macro",'Atividades Micro'!$K511&lt;&gt;""),'Atividades Micro'!$K511,"")</f>
        <v/>
      </c>
      <c r="BE459" s="21" t="str">
        <f>IF(AND('Atividades Micro'!$B511=BE$2,'Atividades Micro'!$G511="Macro",'Atividades Micro'!$K511&lt;&gt;""),'Atividades Micro'!$K511,"")</f>
        <v/>
      </c>
      <c r="BF459" s="21" t="str">
        <f>IF(AND('Atividades Micro'!$B511=BF$2,'Atividades Micro'!$G511="Macro",'Atividades Micro'!$K511&lt;&gt;""),'Atividades Micro'!$K511,"")</f>
        <v/>
      </c>
      <c r="BG459" s="21" t="str">
        <f>IF(AND('Atividades Micro'!$B511=BG$2,'Atividades Micro'!$G511="Macro",'Atividades Micro'!$K511&lt;&gt;""),'Atividades Micro'!$K511,"")</f>
        <v/>
      </c>
      <c r="BH459" s="21" t="str">
        <f>IF(AND('Atividades Micro'!$B511=BH$2,'Atividades Micro'!$G511="Macro",'Atividades Micro'!$K511&lt;&gt;""),'Atividades Micro'!$K511,"")</f>
        <v/>
      </c>
      <c r="BI459" s="21" t="str">
        <f>IF(AND('Atividades Micro'!$B511=BI$2,'Atividades Micro'!$G511="Macro",'Atividades Micro'!$K511&lt;&gt;""),'Atividades Micro'!$K511,"")</f>
        <v/>
      </c>
      <c r="BJ459" s="21" t="str">
        <f>IF(AND('Atividades Micro'!$B511=BJ$2,'Atividades Micro'!$G511="Macro",'Atividades Micro'!$K511&lt;&gt;""),'Atividades Micro'!$K511,"")</f>
        <v/>
      </c>
      <c r="BK459" s="21" t="str">
        <f>IF(AND('Atividades Micro'!$B511=BK$2,'Atividades Micro'!$G511="Macro",'Atividades Micro'!$K511&lt;&gt;""),'Atividades Micro'!$K511,"")</f>
        <v/>
      </c>
      <c r="BL459" s="21" t="str">
        <f>IF(AND('Atividades Micro'!$B511=BL$2,'Atividades Micro'!$G511="Macro",'Atividades Micro'!$K511&lt;&gt;""),'Atividades Micro'!$K511,"")</f>
        <v/>
      </c>
      <c r="BM459" s="21" t="str">
        <f>IF(AND('Atividades Micro'!$B511=BM$2,'Atividades Micro'!$G511="Macro",'Atividades Micro'!$K511&lt;&gt;""),'Atividades Micro'!$K511,"")</f>
        <v/>
      </c>
      <c r="BN459" s="21" t="str">
        <f>IF(AND('Atividades Micro'!$B511=BN$2,'Atividades Micro'!$G511="Macro",'Atividades Micro'!$K511&lt;&gt;""),'Atividades Micro'!$K511,"")</f>
        <v/>
      </c>
      <c r="BO459" s="21" t="str">
        <f>IF(AND('Atividades Micro'!$B511=BO$2,'Atividades Micro'!$G511="Macro",'Atividades Micro'!$K511&lt;&gt;""),'Atividades Micro'!$K511,"")</f>
        <v/>
      </c>
      <c r="BP459" s="21" t="str">
        <f>IF(AND('Atividades Micro'!$B511=BP$2,'Atividades Micro'!$G511="Macro",'Atividades Micro'!$K511&lt;&gt;""),'Atividades Micro'!$K511,"")</f>
        <v/>
      </c>
      <c r="BQ459" s="21" t="str">
        <f>IF(AND('Atividades Micro'!$B511=BQ$2,'Atividades Micro'!$G511="Macro",'Atividades Micro'!$K511&lt;&gt;""),'Atividades Micro'!$K511,"")</f>
        <v/>
      </c>
      <c r="BR459" s="21" t="str">
        <f>IF(AND('Atividades Micro'!$B511=BR$2,'Atividades Micro'!$G511="Macro",'Atividades Micro'!$K511&lt;&gt;""),'Atividades Micro'!$K511,"")</f>
        <v/>
      </c>
      <c r="BS459" s="21" t="str">
        <f>IF(AND('Atividades Micro'!$B511=BS$2,'Atividades Micro'!$G511="Macro",'Atividades Micro'!$K511&lt;&gt;""),'Atividades Micro'!$K511,"")</f>
        <v/>
      </c>
      <c r="BT459" s="21" t="str">
        <f>IF(AND('Atividades Micro'!$B511=BT$2,'Atividades Micro'!$G511="Macro",'Atividades Micro'!$K511&lt;&gt;""),'Atividades Micro'!$K511,"")</f>
        <v/>
      </c>
      <c r="BU459" s="21" t="str">
        <f>IF(AND('Atividades Micro'!$B511=BU$2,'Atividades Micro'!$G511="Macro",'Atividades Micro'!$K511&lt;&gt;""),'Atividades Micro'!$K511,"")</f>
        <v/>
      </c>
      <c r="BV459" s="21" t="str">
        <f>IF(AND('Atividades Micro'!$B511=BV$2,'Atividades Micro'!$G511="Macro",'Atividades Micro'!$K511&lt;&gt;""),'Atividades Micro'!$K511,"")</f>
        <v/>
      </c>
      <c r="BW459" s="21" t="str">
        <f>IF(AND('Atividades Micro'!$B511=BW$2,'Atividades Micro'!$G511="Macro",'Atividades Micro'!$K511&lt;&gt;""),'Atividades Micro'!$K511,"")</f>
        <v/>
      </c>
      <c r="BX459" s="21" t="str">
        <f>IF(AND('Atividades Micro'!$B511=BX$2,'Atividades Micro'!$G511="Macro",'Atividades Micro'!$K511&lt;&gt;""),'Atividades Micro'!$K511,"")</f>
        <v/>
      </c>
      <c r="BY459" s="21" t="str">
        <f>IF(AND('Atividades Micro'!$B511=BY$2,'Atividades Micro'!$G511="Macro",'Atividades Micro'!$K511&lt;&gt;""),'Atividades Micro'!$K511,"")</f>
        <v/>
      </c>
      <c r="BZ459" s="21" t="str">
        <f>IF(AND('Atividades Micro'!$B511=BZ$2,'Atividades Micro'!$G511="Macro",'Atividades Micro'!$K511&lt;&gt;""),'Atividades Micro'!$K511,"")</f>
        <v/>
      </c>
      <c r="CA459" s="21" t="str">
        <f>IF(AND('Atividades Micro'!$B511=CA$2,'Atividades Micro'!$G511="Macro",'Atividades Micro'!$K511&lt;&gt;""),'Atividades Micro'!$K511,"")</f>
        <v/>
      </c>
      <c r="CB459" s="21" t="str">
        <f>IF(AND('Atividades Micro'!$B511=CB$2,'Atividades Micro'!$G511="Macro",'Atividades Micro'!$K511&lt;&gt;""),'Atividades Micro'!$K511,"")</f>
        <v/>
      </c>
      <c r="CC459" s="21" t="str">
        <f>IF(AND('Atividades Micro'!$B511=CC$2,'Atividades Micro'!$G511="Macro",'Atividades Micro'!$K511&lt;&gt;""),'Atividades Micro'!$K511,"")</f>
        <v/>
      </c>
      <c r="CD459" s="21" t="str">
        <f>IF(AND('Atividades Micro'!$B511=CD$2,'Atividades Micro'!$G511="Micro",'Atividades Micro'!$K511&lt;&gt;""),'Atividades Micro'!$K511,"")</f>
        <v/>
      </c>
      <c r="CE459" s="21" t="str">
        <f>IF(AND('Atividades Micro'!$B511=CE$2,'Atividades Micro'!$G511="Micro",'Atividades Micro'!$K511&lt;&gt;""),'Atividades Micro'!$K511,"")</f>
        <v/>
      </c>
      <c r="CF459" s="21" t="str">
        <f>IF(AND('Atividades Micro'!$B511=CF$2,'Atividades Micro'!$G511="Micro",'Atividades Micro'!$K511&lt;&gt;""),'Atividades Micro'!$K511,"")</f>
        <v/>
      </c>
      <c r="CG459" s="21" t="str">
        <f>IF(AND('Atividades Micro'!$B511=CG$2,'Atividades Micro'!$G511="Micro",'Atividades Micro'!$K511&lt;&gt;""),'Atividades Micro'!$K511,"")</f>
        <v/>
      </c>
      <c r="CH459" s="21" t="str">
        <f>IF(AND('Atividades Micro'!$B511=CH$2,'Atividades Micro'!$G511="Micro",'Atividades Micro'!$K511&lt;&gt;""),'Atividades Micro'!$K511,"")</f>
        <v/>
      </c>
      <c r="CI459" s="21" t="str">
        <f>IF(AND('Atividades Micro'!$B511=CI$2,'Atividades Micro'!$G511="Micro",'Atividades Micro'!$K511&lt;&gt;""),'Atividades Micro'!$K511,"")</f>
        <v/>
      </c>
      <c r="CJ459" s="21" t="str">
        <f>IF(AND('Atividades Micro'!$B511=CJ$2,'Atividades Micro'!$G511="Micro",'Atividades Micro'!$K511&lt;&gt;""),'Atividades Micro'!$K511,"")</f>
        <v/>
      </c>
      <c r="CK459" s="21" t="str">
        <f>IF(AND('Atividades Micro'!$B511=CK$2,'Atividades Micro'!$G511="Micro",'Atividades Micro'!$K511&lt;&gt;""),'Atividades Micro'!$K511,"")</f>
        <v/>
      </c>
      <c r="CL459" s="21" t="str">
        <f>IF(AND('Atividades Micro'!$B511=CL$2,'Atividades Micro'!$G511="Micro",'Atividades Micro'!$K511&lt;&gt;""),'Atividades Micro'!$K511,"")</f>
        <v/>
      </c>
      <c r="CM459" s="21" t="str">
        <f>IF(AND('Atividades Micro'!$B511=CM$2,'Atividades Micro'!$G511="Micro",'Atividades Micro'!$K511&lt;&gt;""),'Atividades Micro'!$K511,"")</f>
        <v/>
      </c>
      <c r="CN459" s="21" t="str">
        <f>IF(AND('Atividades Micro'!$B511=CN$2,'Atividades Micro'!$G511="Micro",'Atividades Micro'!$K511&lt;&gt;""),'Atividades Micro'!$K511,"")</f>
        <v/>
      </c>
      <c r="CO459" s="21" t="str">
        <f>IF(AND('Atividades Micro'!$B511=CO$2,'Atividades Micro'!$G511="Micro",'Atividades Micro'!$K511&lt;&gt;""),'Atividades Micro'!$K511,"")</f>
        <v/>
      </c>
    </row>
    <row r="460" spans="1:93">
      <c r="A460" s="21" t="str">
        <f>IF(AND('Atividades Micro'!$A512=A$2,'Atividades Micro'!$K512&lt;&gt;""),'Atividades Micro'!$K512,"")</f>
        <v/>
      </c>
      <c r="B460" s="21" t="str">
        <f>IF(AND('Atividades Micro'!$A512=B$2,'Atividades Micro'!$L512&lt;&gt;""),'Atividades Micro'!$L512,"")</f>
        <v/>
      </c>
      <c r="C460" s="21" t="str">
        <f>IF(AND('Atividades Micro'!$A512=C$2,'Atividades Micro'!$K512&lt;&gt;""),'Atividades Micro'!$K512,"")</f>
        <v/>
      </c>
      <c r="D460" s="21" t="str">
        <f>IF(AND('Atividades Micro'!$A512=D$2,'Atividades Micro'!$L512&lt;&gt;""),'Atividades Micro'!$L512,"")</f>
        <v/>
      </c>
      <c r="E460" s="21" t="str">
        <f>IF(AND('Atividades Micro'!$A512=E$2,'Atividades Micro'!$K512&lt;&gt;""),'Atividades Micro'!$K512,"")</f>
        <v/>
      </c>
      <c r="F460" s="21" t="str">
        <f>IF(AND('Atividades Micro'!$A512=F$2,'Atividades Micro'!$L512&lt;&gt;""),'Atividades Micro'!$L512,"")</f>
        <v/>
      </c>
      <c r="G460" s="21" t="str">
        <f>IF(AND('Atividades Micro'!$A512=G$2,'Atividades Micro'!$K512&lt;&gt;""),'Atividades Micro'!$K512,"")</f>
        <v/>
      </c>
      <c r="H460" s="21" t="str">
        <f>IF(AND('Atividades Micro'!$A512=H$2,'Atividades Micro'!$L512&lt;&gt;""),'Atividades Micro'!$L512,"")</f>
        <v/>
      </c>
      <c r="I460" s="21" t="str">
        <f>IF(AND('Atividades Micro'!$A512=I$2,'Atividades Micro'!$K512&lt;&gt;""),'Atividades Micro'!$K512,"")</f>
        <v/>
      </c>
      <c r="J460" s="21" t="str">
        <f>IF(AND('Atividades Micro'!$A512=J$2,'Atividades Micro'!$L512&lt;&gt;""),'Atividades Micro'!$L512,"")</f>
        <v/>
      </c>
      <c r="K460" s="21" t="str">
        <f>IF(AND('Atividades Micro'!$B512=K$2,'Atividades Micro'!$K512&lt;&gt;""),'Atividades Micro'!$K512,"")</f>
        <v/>
      </c>
      <c r="L460" s="21" t="str">
        <f>IF(AND('Atividades Micro'!$B512=L$2,'Atividades Micro'!$L512&lt;&gt;""),'Atividades Micro'!$L512,"")</f>
        <v/>
      </c>
      <c r="M460" s="21" t="str">
        <f>IF(AND('Atividades Micro'!$B512=M$2,'Atividades Micro'!$K512&lt;&gt;""),'Atividades Micro'!$K512,"")</f>
        <v/>
      </c>
      <c r="N460" s="21" t="str">
        <f>IF(AND('Atividades Micro'!$B512=N$2,'Atividades Micro'!$L512&lt;&gt;""),'Atividades Micro'!$L512,"")</f>
        <v/>
      </c>
      <c r="O460" s="21" t="str">
        <f>IF(AND('Atividades Micro'!$A512=O$2,'Atividades Micro'!$K512&lt;&gt;""),'Atividades Micro'!$K512,"")</f>
        <v/>
      </c>
      <c r="P460" s="21" t="str">
        <f>IF(AND('Atividades Micro'!$A512=P$2,'Atividades Micro'!$L512&lt;&gt;""),'Atividades Micro'!$L512,"")</f>
        <v/>
      </c>
      <c r="Q460" s="21" t="str">
        <f>IF(AND('Atividades Micro'!$B512=Q$2,'Atividades Micro'!$K512&lt;&gt;""),'Atividades Micro'!$K512,"")</f>
        <v/>
      </c>
      <c r="R460" s="21" t="str">
        <f>IF(AND('Atividades Micro'!$B512=R$2,'Atividades Micro'!$L512&lt;&gt;""),'Atividades Micro'!$L512,"")</f>
        <v/>
      </c>
      <c r="S460" s="21" t="str">
        <f>IF(AND('Atividades Micro'!$A512=S$2,'Atividades Micro'!$K512&lt;&gt;""),'Atividades Micro'!$K512,"")</f>
        <v/>
      </c>
      <c r="T460" s="21" t="str">
        <f>IF(AND('Atividades Micro'!$A512=T$2,'Atividades Micro'!$L512&lt;&gt;""),'Atividades Micro'!$L512,"")</f>
        <v/>
      </c>
      <c r="U460" s="21" t="str">
        <f>IF(AND('Atividades Micro'!$B512=U$2,'Atividades Micro'!$K512&lt;&gt;""),'Atividades Micro'!$K512,"")</f>
        <v/>
      </c>
      <c r="V460" s="21" t="str">
        <f>IF(AND('Atividades Micro'!$B512=V$2,'Atividades Micro'!$L512&lt;&gt;""),'Atividades Micro'!$L512,"")</f>
        <v/>
      </c>
      <c r="W460" s="21" t="str">
        <f>IF(AND('Atividades Micro'!$B512=W$2,'Atividades Micro'!$K512&lt;&gt;""),'Atividades Micro'!$K512,"")</f>
        <v/>
      </c>
      <c r="X460" s="21" t="str">
        <f>IF(AND('Atividades Micro'!$B512=X$2,'Atividades Micro'!$L512&lt;&gt;""),'Atividades Micro'!$L512,"")</f>
        <v/>
      </c>
      <c r="Y460" s="21" t="str">
        <f>IF(AND('Atividades Micro'!$A512=Y$2,'Atividades Micro'!$K512&lt;&gt;""),'Atividades Micro'!$K512,"")</f>
        <v/>
      </c>
      <c r="Z460" s="21" t="str">
        <f>IF(AND('Atividades Micro'!$A512=Z$2,'Atividades Micro'!$L512&lt;&gt;""),'Atividades Micro'!$L512,"")</f>
        <v/>
      </c>
      <c r="AA460" s="21" t="str">
        <f>IF(AND('Atividades Micro'!$B512=AA$2,'Atividades Micro'!$K512&lt;&gt;""),'Atividades Micro'!$K512,"")</f>
        <v/>
      </c>
      <c r="AB460" s="21" t="str">
        <f>IF(AND('Atividades Micro'!$B512=AB$2,'Atividades Micro'!$L512&lt;&gt;""),'Atividades Micro'!$L512,"")</f>
        <v/>
      </c>
      <c r="AC460" s="21" t="str">
        <f>IF(AND('Atividades Micro'!$B512=AC$2,'Atividades Micro'!$K512&lt;&gt;""),'Atividades Micro'!$K512,"")</f>
        <v/>
      </c>
      <c r="AD460" s="21" t="str">
        <f>IF(AND('Atividades Micro'!$B512=AD$2,'Atividades Micro'!$L512&lt;&gt;""),'Atividades Micro'!$L512,"")</f>
        <v/>
      </c>
      <c r="AE460" s="21" t="str">
        <f>IF(AND('Atividades Micro'!$A512=AE$2,'Atividades Micro'!$K512&lt;&gt;""),'Atividades Micro'!$K512,"")</f>
        <v/>
      </c>
      <c r="AF460" s="21" t="str">
        <f>IF(AND('Atividades Micro'!$A512=AF$2,'Atividades Micro'!$L512&lt;&gt;""),'Atividades Micro'!$L512,"")</f>
        <v/>
      </c>
      <c r="AG460" s="21" t="str">
        <f>IF(AND('Atividades Micro'!$B512=AG$2,'Atividades Micro'!$K512&lt;&gt;""),'Atividades Micro'!$K512,"")</f>
        <v/>
      </c>
      <c r="AH460" s="21" t="str">
        <f>IF(AND('Atividades Micro'!$B512=AH$2,'Atividades Micro'!$L512&lt;&gt;""),'Atividades Micro'!$L512,"")</f>
        <v/>
      </c>
      <c r="AI460" s="21" t="str">
        <f>IF(AND('Atividades Micro'!$B512=AI$2,'Atividades Micro'!$K512&lt;&gt;""),'Atividades Micro'!$K512,"")</f>
        <v/>
      </c>
      <c r="AJ460" s="21" t="str">
        <f>IF(AND('Atividades Micro'!$B512=AJ$2,'Atividades Micro'!$L512&lt;&gt;""),'Atividades Micro'!$L512,"")</f>
        <v/>
      </c>
      <c r="AK460" s="21" t="str">
        <f>IF(AND('Atividades Micro'!$A512=AK$2,'Atividades Micro'!$K512&lt;&gt;""),'Atividades Micro'!$K512,"")</f>
        <v/>
      </c>
      <c r="AL460" s="21" t="str">
        <f>IF(AND('Atividades Micro'!$A512=AL$2,'Atividades Micro'!$L512&lt;&gt;""),'Atividades Micro'!$L512,"")</f>
        <v/>
      </c>
      <c r="AM460" s="21" t="str">
        <f>IF(AND('Atividades Micro'!$B512=AM$2,'Atividades Micro'!$K512&lt;&gt;""),'Atividades Micro'!$K512,"")</f>
        <v/>
      </c>
      <c r="AN460" s="21" t="str">
        <f>IF(AND('Atividades Micro'!$B512=AN$2,'Atividades Micro'!$L512&lt;&gt;""),'Atividades Micro'!$L512,"")</f>
        <v/>
      </c>
      <c r="AO460" s="21" t="str">
        <f>IF(AND('Atividades Micro'!$B512=AO$2,'Atividades Micro'!$K512&lt;&gt;""),'Atividades Micro'!$K512,"")</f>
        <v/>
      </c>
      <c r="AP460" s="21" t="str">
        <f>IF(AND('Atividades Micro'!$B512=AP$2,'Atividades Micro'!$L512&lt;&gt;""),'Atividades Micro'!$L512,"")</f>
        <v/>
      </c>
      <c r="AQ460" s="21" t="str">
        <f>IF(AND('Atividades Micro'!$A512=AQ$2,'Atividades Micro'!$K512&lt;&gt;""),'Atividades Micro'!$K512,"")</f>
        <v/>
      </c>
      <c r="AR460" s="21" t="str">
        <f>IF(AND('Atividades Micro'!$A512=AR$2,'Atividades Micro'!$L512&lt;&gt;""),'Atividades Micro'!$L512,"")</f>
        <v/>
      </c>
      <c r="AS460" s="21" t="str">
        <f>IF(AND('Atividades Micro'!$B512=AS$2,'Atividades Micro'!$K512&lt;&gt;""),'Atividades Micro'!$K512,"")</f>
        <v/>
      </c>
      <c r="AT460" s="21" t="str">
        <f>IF(AND('Atividades Micro'!$B512=AT$2,'Atividades Micro'!$L512&lt;&gt;""),'Atividades Micro'!$L512,"")</f>
        <v/>
      </c>
      <c r="AU460" s="21" t="str">
        <f>IF(AND('Atividades Micro'!$A512=AU$2,'Atividades Micro'!$K512&lt;&gt;""),'Atividades Micro'!$K512,"")</f>
        <v/>
      </c>
      <c r="AV460" s="21" t="str">
        <f>IF(AND('Atividades Micro'!$A512=AV$2,'Atividades Micro'!$L512&lt;&gt;""),'Atividades Micro'!$L512,"")</f>
        <v/>
      </c>
      <c r="AW460" s="21" t="str">
        <f>IF(AND('Atividades Micro'!$B512=AW$2,'Atividades Micro'!$K512&lt;&gt;""),'Atividades Micro'!$K512,"")</f>
        <v/>
      </c>
      <c r="AX460" s="21" t="str">
        <f>IF(AND('Atividades Micro'!$B512=AX$2,'Atividades Micro'!$L512&lt;&gt;""),'Atividades Micro'!$L512,"")</f>
        <v/>
      </c>
      <c r="AY460" s="21" t="str">
        <f>IF(AND('Atividades Micro'!$A512=AY$2,'Atividades Micro'!$K512&lt;&gt;""),'Atividades Micro'!$K512,"")</f>
        <v/>
      </c>
      <c r="AZ460" s="21" t="str">
        <f>IF(AND('Atividades Micro'!$A512=AZ$2,'Atividades Micro'!$L512&lt;&gt;""),'Atividades Micro'!$L512,"")</f>
        <v/>
      </c>
      <c r="BA460" s="21" t="str">
        <f>IF(AND('Atividades Micro'!$B512=BA$2,'Atividades Micro'!$K512&lt;&gt;""),'Atividades Micro'!$K512,"")</f>
        <v/>
      </c>
      <c r="BB460" s="21" t="str">
        <f>IF(AND('Atividades Micro'!$B512=BB$2,'Atividades Micro'!$L512&lt;&gt;""),'Atividades Micro'!$L512,"")</f>
        <v/>
      </c>
      <c r="BC460" s="21" t="str">
        <f>IF(AND('Atividades Micro'!$B512=BC$2,'Atividades Micro'!$G512="Macro",'Atividades Micro'!$K512&lt;&gt;""),'Atividades Micro'!$K512,"")</f>
        <v/>
      </c>
      <c r="BD460" s="21" t="str">
        <f>IF(AND('Atividades Micro'!$B512=BD$2,'Atividades Micro'!$G512="Macro",'Atividades Micro'!$K512&lt;&gt;""),'Atividades Micro'!$K512,"")</f>
        <v/>
      </c>
      <c r="BE460" s="21" t="str">
        <f>IF(AND('Atividades Micro'!$B512=BE$2,'Atividades Micro'!$G512="Macro",'Atividades Micro'!$K512&lt;&gt;""),'Atividades Micro'!$K512,"")</f>
        <v/>
      </c>
      <c r="BF460" s="21" t="str">
        <f>IF(AND('Atividades Micro'!$B512=BF$2,'Atividades Micro'!$G512="Macro",'Atividades Micro'!$K512&lt;&gt;""),'Atividades Micro'!$K512,"")</f>
        <v/>
      </c>
      <c r="BG460" s="21" t="str">
        <f>IF(AND('Atividades Micro'!$B512=BG$2,'Atividades Micro'!$G512="Macro",'Atividades Micro'!$K512&lt;&gt;""),'Atividades Micro'!$K512,"")</f>
        <v/>
      </c>
      <c r="BH460" s="21" t="str">
        <f>IF(AND('Atividades Micro'!$B512=BH$2,'Atividades Micro'!$G512="Macro",'Atividades Micro'!$K512&lt;&gt;""),'Atividades Micro'!$K512,"")</f>
        <v/>
      </c>
      <c r="BI460" s="21" t="str">
        <f>IF(AND('Atividades Micro'!$B512=BI$2,'Atividades Micro'!$G512="Macro",'Atividades Micro'!$K512&lt;&gt;""),'Atividades Micro'!$K512,"")</f>
        <v/>
      </c>
      <c r="BJ460" s="21" t="str">
        <f>IF(AND('Atividades Micro'!$B512=BJ$2,'Atividades Micro'!$G512="Macro",'Atividades Micro'!$K512&lt;&gt;""),'Atividades Micro'!$K512,"")</f>
        <v/>
      </c>
      <c r="BK460" s="21" t="str">
        <f>IF(AND('Atividades Micro'!$B512=BK$2,'Atividades Micro'!$G512="Macro",'Atividades Micro'!$K512&lt;&gt;""),'Atividades Micro'!$K512,"")</f>
        <v/>
      </c>
      <c r="BL460" s="21" t="str">
        <f>IF(AND('Atividades Micro'!$B512=BL$2,'Atividades Micro'!$G512="Macro",'Atividades Micro'!$K512&lt;&gt;""),'Atividades Micro'!$K512,"")</f>
        <v/>
      </c>
      <c r="BM460" s="21" t="str">
        <f>IF(AND('Atividades Micro'!$B512=BM$2,'Atividades Micro'!$G512="Macro",'Atividades Micro'!$K512&lt;&gt;""),'Atividades Micro'!$K512,"")</f>
        <v/>
      </c>
      <c r="BN460" s="21" t="str">
        <f>IF(AND('Atividades Micro'!$B512=BN$2,'Atividades Micro'!$G512="Macro",'Atividades Micro'!$K512&lt;&gt;""),'Atividades Micro'!$K512,"")</f>
        <v/>
      </c>
      <c r="BO460" s="21" t="str">
        <f>IF(AND('Atividades Micro'!$B512=BO$2,'Atividades Micro'!$G512="Macro",'Atividades Micro'!$K512&lt;&gt;""),'Atividades Micro'!$K512,"")</f>
        <v/>
      </c>
      <c r="BP460" s="21" t="str">
        <f>IF(AND('Atividades Micro'!$B512=BP$2,'Atividades Micro'!$G512="Macro",'Atividades Micro'!$K512&lt;&gt;""),'Atividades Micro'!$K512,"")</f>
        <v/>
      </c>
      <c r="BQ460" s="21" t="str">
        <f>IF(AND('Atividades Micro'!$B512=BQ$2,'Atividades Micro'!$G512="Macro",'Atividades Micro'!$K512&lt;&gt;""),'Atividades Micro'!$K512,"")</f>
        <v/>
      </c>
      <c r="BR460" s="21" t="str">
        <f>IF(AND('Atividades Micro'!$B512=BR$2,'Atividades Micro'!$G512="Macro",'Atividades Micro'!$K512&lt;&gt;""),'Atividades Micro'!$K512,"")</f>
        <v/>
      </c>
      <c r="BS460" s="21" t="str">
        <f>IF(AND('Atividades Micro'!$B512=BS$2,'Atividades Micro'!$G512="Macro",'Atividades Micro'!$K512&lt;&gt;""),'Atividades Micro'!$K512,"")</f>
        <v/>
      </c>
      <c r="BT460" s="21" t="str">
        <f>IF(AND('Atividades Micro'!$B512=BT$2,'Atividades Micro'!$G512="Macro",'Atividades Micro'!$K512&lt;&gt;""),'Atividades Micro'!$K512,"")</f>
        <v/>
      </c>
      <c r="BU460" s="21" t="str">
        <f>IF(AND('Atividades Micro'!$B512=BU$2,'Atividades Micro'!$G512="Macro",'Atividades Micro'!$K512&lt;&gt;""),'Atividades Micro'!$K512,"")</f>
        <v/>
      </c>
      <c r="BV460" s="21" t="str">
        <f>IF(AND('Atividades Micro'!$B512=BV$2,'Atividades Micro'!$G512="Macro",'Atividades Micro'!$K512&lt;&gt;""),'Atividades Micro'!$K512,"")</f>
        <v/>
      </c>
      <c r="BW460" s="21" t="str">
        <f>IF(AND('Atividades Micro'!$B512=BW$2,'Atividades Micro'!$G512="Macro",'Atividades Micro'!$K512&lt;&gt;""),'Atividades Micro'!$K512,"")</f>
        <v/>
      </c>
      <c r="BX460" s="21" t="str">
        <f>IF(AND('Atividades Micro'!$B512=BX$2,'Atividades Micro'!$G512="Macro",'Atividades Micro'!$K512&lt;&gt;""),'Atividades Micro'!$K512,"")</f>
        <v/>
      </c>
      <c r="BY460" s="21" t="str">
        <f>IF(AND('Atividades Micro'!$B512=BY$2,'Atividades Micro'!$G512="Macro",'Atividades Micro'!$K512&lt;&gt;""),'Atividades Micro'!$K512,"")</f>
        <v/>
      </c>
      <c r="BZ460" s="21" t="str">
        <f>IF(AND('Atividades Micro'!$B512=BZ$2,'Atividades Micro'!$G512="Macro",'Atividades Micro'!$K512&lt;&gt;""),'Atividades Micro'!$K512,"")</f>
        <v/>
      </c>
      <c r="CA460" s="21" t="str">
        <f>IF(AND('Atividades Micro'!$B512=CA$2,'Atividades Micro'!$G512="Macro",'Atividades Micro'!$K512&lt;&gt;""),'Atividades Micro'!$K512,"")</f>
        <v/>
      </c>
      <c r="CB460" s="21" t="str">
        <f>IF(AND('Atividades Micro'!$B512=CB$2,'Atividades Micro'!$G512="Macro",'Atividades Micro'!$K512&lt;&gt;""),'Atividades Micro'!$K512,"")</f>
        <v/>
      </c>
      <c r="CC460" s="21" t="str">
        <f>IF(AND('Atividades Micro'!$B512=CC$2,'Atividades Micro'!$G512="Macro",'Atividades Micro'!$K512&lt;&gt;""),'Atividades Micro'!$K512,"")</f>
        <v/>
      </c>
      <c r="CD460" s="21" t="str">
        <f>IF(AND('Atividades Micro'!$B512=CD$2,'Atividades Micro'!$G512="Micro",'Atividades Micro'!$K512&lt;&gt;""),'Atividades Micro'!$K512,"")</f>
        <v/>
      </c>
      <c r="CE460" s="21" t="str">
        <f>IF(AND('Atividades Micro'!$B512=CE$2,'Atividades Micro'!$G512="Micro",'Atividades Micro'!$K512&lt;&gt;""),'Atividades Micro'!$K512,"")</f>
        <v/>
      </c>
      <c r="CF460" s="21" t="str">
        <f>IF(AND('Atividades Micro'!$B512=CF$2,'Atividades Micro'!$G512="Micro",'Atividades Micro'!$K512&lt;&gt;""),'Atividades Micro'!$K512,"")</f>
        <v/>
      </c>
      <c r="CG460" s="21" t="str">
        <f>IF(AND('Atividades Micro'!$B512=CG$2,'Atividades Micro'!$G512="Micro",'Atividades Micro'!$K512&lt;&gt;""),'Atividades Micro'!$K512,"")</f>
        <v/>
      </c>
      <c r="CH460" s="21" t="str">
        <f>IF(AND('Atividades Micro'!$B512=CH$2,'Atividades Micro'!$G512="Micro",'Atividades Micro'!$K512&lt;&gt;""),'Atividades Micro'!$K512,"")</f>
        <v/>
      </c>
      <c r="CI460" s="21" t="str">
        <f>IF(AND('Atividades Micro'!$B512=CI$2,'Atividades Micro'!$G512="Micro",'Atividades Micro'!$K512&lt;&gt;""),'Atividades Micro'!$K512,"")</f>
        <v/>
      </c>
      <c r="CJ460" s="21" t="str">
        <f>IF(AND('Atividades Micro'!$B512=CJ$2,'Atividades Micro'!$G512="Micro",'Atividades Micro'!$K512&lt;&gt;""),'Atividades Micro'!$K512,"")</f>
        <v/>
      </c>
      <c r="CK460" s="21" t="str">
        <f>IF(AND('Atividades Micro'!$B512=CK$2,'Atividades Micro'!$G512="Micro",'Atividades Micro'!$K512&lt;&gt;""),'Atividades Micro'!$K512,"")</f>
        <v/>
      </c>
      <c r="CL460" s="21" t="str">
        <f>IF(AND('Atividades Micro'!$B512=CL$2,'Atividades Micro'!$G512="Micro",'Atividades Micro'!$K512&lt;&gt;""),'Atividades Micro'!$K512,"")</f>
        <v/>
      </c>
      <c r="CM460" s="21" t="str">
        <f>IF(AND('Atividades Micro'!$B512=CM$2,'Atividades Micro'!$G512="Micro",'Atividades Micro'!$K512&lt;&gt;""),'Atividades Micro'!$K512,"")</f>
        <v/>
      </c>
      <c r="CN460" s="21" t="str">
        <f>IF(AND('Atividades Micro'!$B512=CN$2,'Atividades Micro'!$G512="Micro",'Atividades Micro'!$K512&lt;&gt;""),'Atividades Micro'!$K512,"")</f>
        <v/>
      </c>
      <c r="CO460" s="21" t="str">
        <f>IF(AND('Atividades Micro'!$B512=CO$2,'Atividades Micro'!$G512="Micro",'Atividades Micro'!$K512&lt;&gt;""),'Atividades Micro'!$K512,"")</f>
        <v/>
      </c>
    </row>
    <row r="461" spans="1:93">
      <c r="A461" s="21" t="str">
        <f>IF(AND('Atividades Micro'!$A513=A$2,'Atividades Micro'!$K513&lt;&gt;""),'Atividades Micro'!$K513,"")</f>
        <v/>
      </c>
      <c r="B461" s="21" t="str">
        <f>IF(AND('Atividades Micro'!$A513=B$2,'Atividades Micro'!$L513&lt;&gt;""),'Atividades Micro'!$L513,"")</f>
        <v/>
      </c>
      <c r="C461" s="21" t="str">
        <f>IF(AND('Atividades Micro'!$A513=C$2,'Atividades Micro'!$K513&lt;&gt;""),'Atividades Micro'!$K513,"")</f>
        <v/>
      </c>
      <c r="D461" s="21" t="str">
        <f>IF(AND('Atividades Micro'!$A513=D$2,'Atividades Micro'!$L513&lt;&gt;""),'Atividades Micro'!$L513,"")</f>
        <v/>
      </c>
      <c r="E461" s="21" t="str">
        <f>IF(AND('Atividades Micro'!$A513=E$2,'Atividades Micro'!$K513&lt;&gt;""),'Atividades Micro'!$K513,"")</f>
        <v/>
      </c>
      <c r="F461" s="21" t="str">
        <f>IF(AND('Atividades Micro'!$A513=F$2,'Atividades Micro'!$L513&lt;&gt;""),'Atividades Micro'!$L513,"")</f>
        <v/>
      </c>
      <c r="G461" s="21" t="str">
        <f>IF(AND('Atividades Micro'!$A513=G$2,'Atividades Micro'!$K513&lt;&gt;""),'Atividades Micro'!$K513,"")</f>
        <v/>
      </c>
      <c r="H461" s="21" t="str">
        <f>IF(AND('Atividades Micro'!$A513=H$2,'Atividades Micro'!$L513&lt;&gt;""),'Atividades Micro'!$L513,"")</f>
        <v/>
      </c>
      <c r="I461" s="21" t="str">
        <f>IF(AND('Atividades Micro'!$A513=I$2,'Atividades Micro'!$K513&lt;&gt;""),'Atividades Micro'!$K513,"")</f>
        <v/>
      </c>
      <c r="J461" s="21" t="str">
        <f>IF(AND('Atividades Micro'!$A513=J$2,'Atividades Micro'!$L513&lt;&gt;""),'Atividades Micro'!$L513,"")</f>
        <v/>
      </c>
      <c r="K461" s="21" t="str">
        <f>IF(AND('Atividades Micro'!$B513=K$2,'Atividades Micro'!$K513&lt;&gt;""),'Atividades Micro'!$K513,"")</f>
        <v/>
      </c>
      <c r="L461" s="21" t="str">
        <f>IF(AND('Atividades Micro'!$B513=L$2,'Atividades Micro'!$L513&lt;&gt;""),'Atividades Micro'!$L513,"")</f>
        <v/>
      </c>
      <c r="M461" s="21" t="str">
        <f>IF(AND('Atividades Micro'!$B513=M$2,'Atividades Micro'!$K513&lt;&gt;""),'Atividades Micro'!$K513,"")</f>
        <v/>
      </c>
      <c r="N461" s="21" t="str">
        <f>IF(AND('Atividades Micro'!$B513=N$2,'Atividades Micro'!$L513&lt;&gt;""),'Atividades Micro'!$L513,"")</f>
        <v/>
      </c>
      <c r="O461" s="21" t="str">
        <f>IF(AND('Atividades Micro'!$A513=O$2,'Atividades Micro'!$K513&lt;&gt;""),'Atividades Micro'!$K513,"")</f>
        <v/>
      </c>
      <c r="P461" s="21" t="str">
        <f>IF(AND('Atividades Micro'!$A513=P$2,'Atividades Micro'!$L513&lt;&gt;""),'Atividades Micro'!$L513,"")</f>
        <v/>
      </c>
      <c r="Q461" s="21" t="str">
        <f>IF(AND('Atividades Micro'!$B513=Q$2,'Atividades Micro'!$K513&lt;&gt;""),'Atividades Micro'!$K513,"")</f>
        <v/>
      </c>
      <c r="R461" s="21" t="str">
        <f>IF(AND('Atividades Micro'!$B513=R$2,'Atividades Micro'!$L513&lt;&gt;""),'Atividades Micro'!$L513,"")</f>
        <v/>
      </c>
      <c r="S461" s="21" t="str">
        <f>IF(AND('Atividades Micro'!$A513=S$2,'Atividades Micro'!$K513&lt;&gt;""),'Atividades Micro'!$K513,"")</f>
        <v/>
      </c>
      <c r="T461" s="21" t="str">
        <f>IF(AND('Atividades Micro'!$A513=T$2,'Atividades Micro'!$L513&lt;&gt;""),'Atividades Micro'!$L513,"")</f>
        <v/>
      </c>
      <c r="U461" s="21" t="str">
        <f>IF(AND('Atividades Micro'!$B513=U$2,'Atividades Micro'!$K513&lt;&gt;""),'Atividades Micro'!$K513,"")</f>
        <v/>
      </c>
      <c r="V461" s="21" t="str">
        <f>IF(AND('Atividades Micro'!$B513=V$2,'Atividades Micro'!$L513&lt;&gt;""),'Atividades Micro'!$L513,"")</f>
        <v/>
      </c>
      <c r="W461" s="21" t="str">
        <f>IF(AND('Atividades Micro'!$B513=W$2,'Atividades Micro'!$K513&lt;&gt;""),'Atividades Micro'!$K513,"")</f>
        <v/>
      </c>
      <c r="X461" s="21" t="str">
        <f>IF(AND('Atividades Micro'!$B513=X$2,'Atividades Micro'!$L513&lt;&gt;""),'Atividades Micro'!$L513,"")</f>
        <v/>
      </c>
      <c r="Y461" s="21" t="str">
        <f>IF(AND('Atividades Micro'!$A513=Y$2,'Atividades Micro'!$K513&lt;&gt;""),'Atividades Micro'!$K513,"")</f>
        <v/>
      </c>
      <c r="Z461" s="21" t="str">
        <f>IF(AND('Atividades Micro'!$A513=Z$2,'Atividades Micro'!$L513&lt;&gt;""),'Atividades Micro'!$L513,"")</f>
        <v/>
      </c>
      <c r="AA461" s="21" t="str">
        <f>IF(AND('Atividades Micro'!$B513=AA$2,'Atividades Micro'!$K513&lt;&gt;""),'Atividades Micro'!$K513,"")</f>
        <v/>
      </c>
      <c r="AB461" s="21" t="str">
        <f>IF(AND('Atividades Micro'!$B513=AB$2,'Atividades Micro'!$L513&lt;&gt;""),'Atividades Micro'!$L513,"")</f>
        <v/>
      </c>
      <c r="AC461" s="21" t="str">
        <f>IF(AND('Atividades Micro'!$B513=AC$2,'Atividades Micro'!$K513&lt;&gt;""),'Atividades Micro'!$K513,"")</f>
        <v/>
      </c>
      <c r="AD461" s="21" t="str">
        <f>IF(AND('Atividades Micro'!$B513=AD$2,'Atividades Micro'!$L513&lt;&gt;""),'Atividades Micro'!$L513,"")</f>
        <v/>
      </c>
      <c r="AE461" s="21" t="str">
        <f>IF(AND('Atividades Micro'!$A513=AE$2,'Atividades Micro'!$K513&lt;&gt;""),'Atividades Micro'!$K513,"")</f>
        <v/>
      </c>
      <c r="AF461" s="21" t="str">
        <f>IF(AND('Atividades Micro'!$A513=AF$2,'Atividades Micro'!$L513&lt;&gt;""),'Atividades Micro'!$L513,"")</f>
        <v/>
      </c>
      <c r="AG461" s="21" t="str">
        <f>IF(AND('Atividades Micro'!$B513=AG$2,'Atividades Micro'!$K513&lt;&gt;""),'Atividades Micro'!$K513,"")</f>
        <v/>
      </c>
      <c r="AH461" s="21" t="str">
        <f>IF(AND('Atividades Micro'!$B513=AH$2,'Atividades Micro'!$L513&lt;&gt;""),'Atividades Micro'!$L513,"")</f>
        <v/>
      </c>
      <c r="AI461" s="21" t="str">
        <f>IF(AND('Atividades Micro'!$B513=AI$2,'Atividades Micro'!$K513&lt;&gt;""),'Atividades Micro'!$K513,"")</f>
        <v/>
      </c>
      <c r="AJ461" s="21" t="str">
        <f>IF(AND('Atividades Micro'!$B513=AJ$2,'Atividades Micro'!$L513&lt;&gt;""),'Atividades Micro'!$L513,"")</f>
        <v/>
      </c>
      <c r="AK461" s="21" t="str">
        <f>IF(AND('Atividades Micro'!$A513=AK$2,'Atividades Micro'!$K513&lt;&gt;""),'Atividades Micro'!$K513,"")</f>
        <v/>
      </c>
      <c r="AL461" s="21" t="str">
        <f>IF(AND('Atividades Micro'!$A513=AL$2,'Atividades Micro'!$L513&lt;&gt;""),'Atividades Micro'!$L513,"")</f>
        <v/>
      </c>
      <c r="AM461" s="21" t="str">
        <f>IF(AND('Atividades Micro'!$B513=AM$2,'Atividades Micro'!$K513&lt;&gt;""),'Atividades Micro'!$K513,"")</f>
        <v/>
      </c>
      <c r="AN461" s="21" t="str">
        <f>IF(AND('Atividades Micro'!$B513=AN$2,'Atividades Micro'!$L513&lt;&gt;""),'Atividades Micro'!$L513,"")</f>
        <v/>
      </c>
      <c r="AO461" s="21" t="str">
        <f>IF(AND('Atividades Micro'!$B513=AO$2,'Atividades Micro'!$K513&lt;&gt;""),'Atividades Micro'!$K513,"")</f>
        <v/>
      </c>
      <c r="AP461" s="21" t="str">
        <f>IF(AND('Atividades Micro'!$B513=AP$2,'Atividades Micro'!$L513&lt;&gt;""),'Atividades Micro'!$L513,"")</f>
        <v/>
      </c>
      <c r="AQ461" s="21" t="str">
        <f>IF(AND('Atividades Micro'!$A513=AQ$2,'Atividades Micro'!$K513&lt;&gt;""),'Atividades Micro'!$K513,"")</f>
        <v/>
      </c>
      <c r="AR461" s="21" t="str">
        <f>IF(AND('Atividades Micro'!$A513=AR$2,'Atividades Micro'!$L513&lt;&gt;""),'Atividades Micro'!$L513,"")</f>
        <v/>
      </c>
      <c r="AS461" s="21" t="str">
        <f>IF(AND('Atividades Micro'!$B513=AS$2,'Atividades Micro'!$K513&lt;&gt;""),'Atividades Micro'!$K513,"")</f>
        <v/>
      </c>
      <c r="AT461" s="21" t="str">
        <f>IF(AND('Atividades Micro'!$B513=AT$2,'Atividades Micro'!$L513&lt;&gt;""),'Atividades Micro'!$L513,"")</f>
        <v/>
      </c>
      <c r="AU461" s="21" t="str">
        <f>IF(AND('Atividades Micro'!$A513=AU$2,'Atividades Micro'!$K513&lt;&gt;""),'Atividades Micro'!$K513,"")</f>
        <v/>
      </c>
      <c r="AV461" s="21" t="str">
        <f>IF(AND('Atividades Micro'!$A513=AV$2,'Atividades Micro'!$L513&lt;&gt;""),'Atividades Micro'!$L513,"")</f>
        <v/>
      </c>
      <c r="AW461" s="21" t="str">
        <f>IF(AND('Atividades Micro'!$B513=AW$2,'Atividades Micro'!$K513&lt;&gt;""),'Atividades Micro'!$K513,"")</f>
        <v/>
      </c>
      <c r="AX461" s="21" t="str">
        <f>IF(AND('Atividades Micro'!$B513=AX$2,'Atividades Micro'!$L513&lt;&gt;""),'Atividades Micro'!$L513,"")</f>
        <v/>
      </c>
      <c r="AY461" s="21" t="str">
        <f>IF(AND('Atividades Micro'!$A513=AY$2,'Atividades Micro'!$K513&lt;&gt;""),'Atividades Micro'!$K513,"")</f>
        <v/>
      </c>
      <c r="AZ461" s="21" t="str">
        <f>IF(AND('Atividades Micro'!$A513=AZ$2,'Atividades Micro'!$L513&lt;&gt;""),'Atividades Micro'!$L513,"")</f>
        <v/>
      </c>
      <c r="BA461" s="21" t="str">
        <f>IF(AND('Atividades Micro'!$B513=BA$2,'Atividades Micro'!$K513&lt;&gt;""),'Atividades Micro'!$K513,"")</f>
        <v/>
      </c>
      <c r="BB461" s="21" t="str">
        <f>IF(AND('Atividades Micro'!$B513=BB$2,'Atividades Micro'!$L513&lt;&gt;""),'Atividades Micro'!$L513,"")</f>
        <v/>
      </c>
      <c r="BC461" s="21" t="str">
        <f>IF(AND('Atividades Micro'!$B513=BC$2,'Atividades Micro'!$G513="Macro",'Atividades Micro'!$K513&lt;&gt;""),'Atividades Micro'!$K513,"")</f>
        <v/>
      </c>
      <c r="BD461" s="21" t="str">
        <f>IF(AND('Atividades Micro'!$B513=BD$2,'Atividades Micro'!$G513="Macro",'Atividades Micro'!$K513&lt;&gt;""),'Atividades Micro'!$K513,"")</f>
        <v/>
      </c>
      <c r="BE461" s="21" t="str">
        <f>IF(AND('Atividades Micro'!$B513=BE$2,'Atividades Micro'!$G513="Macro",'Atividades Micro'!$K513&lt;&gt;""),'Atividades Micro'!$K513,"")</f>
        <v/>
      </c>
      <c r="BF461" s="21" t="str">
        <f>IF(AND('Atividades Micro'!$B513=BF$2,'Atividades Micro'!$G513="Macro",'Atividades Micro'!$K513&lt;&gt;""),'Atividades Micro'!$K513,"")</f>
        <v/>
      </c>
      <c r="BG461" s="21" t="str">
        <f>IF(AND('Atividades Micro'!$B513=BG$2,'Atividades Micro'!$G513="Macro",'Atividades Micro'!$K513&lt;&gt;""),'Atividades Micro'!$K513,"")</f>
        <v/>
      </c>
      <c r="BH461" s="21" t="str">
        <f>IF(AND('Atividades Micro'!$B513=BH$2,'Atividades Micro'!$G513="Macro",'Atividades Micro'!$K513&lt;&gt;""),'Atividades Micro'!$K513,"")</f>
        <v/>
      </c>
      <c r="BI461" s="21" t="str">
        <f>IF(AND('Atividades Micro'!$B513=BI$2,'Atividades Micro'!$G513="Macro",'Atividades Micro'!$K513&lt;&gt;""),'Atividades Micro'!$K513,"")</f>
        <v/>
      </c>
      <c r="BJ461" s="21" t="str">
        <f>IF(AND('Atividades Micro'!$B513=BJ$2,'Atividades Micro'!$G513="Macro",'Atividades Micro'!$K513&lt;&gt;""),'Atividades Micro'!$K513,"")</f>
        <v/>
      </c>
      <c r="BK461" s="21" t="str">
        <f>IF(AND('Atividades Micro'!$B513=BK$2,'Atividades Micro'!$G513="Macro",'Atividades Micro'!$K513&lt;&gt;""),'Atividades Micro'!$K513,"")</f>
        <v/>
      </c>
      <c r="BL461" s="21" t="str">
        <f>IF(AND('Atividades Micro'!$B513=BL$2,'Atividades Micro'!$G513="Macro",'Atividades Micro'!$K513&lt;&gt;""),'Atividades Micro'!$K513,"")</f>
        <v/>
      </c>
      <c r="BM461" s="21" t="str">
        <f>IF(AND('Atividades Micro'!$B513=BM$2,'Atividades Micro'!$G513="Macro",'Atividades Micro'!$K513&lt;&gt;""),'Atividades Micro'!$K513,"")</f>
        <v/>
      </c>
      <c r="BN461" s="21" t="str">
        <f>IF(AND('Atividades Micro'!$B513=BN$2,'Atividades Micro'!$G513="Macro",'Atividades Micro'!$K513&lt;&gt;""),'Atividades Micro'!$K513,"")</f>
        <v/>
      </c>
      <c r="BO461" s="21" t="str">
        <f>IF(AND('Atividades Micro'!$B513=BO$2,'Atividades Micro'!$G513="Macro",'Atividades Micro'!$K513&lt;&gt;""),'Atividades Micro'!$K513,"")</f>
        <v/>
      </c>
      <c r="BP461" s="21" t="str">
        <f>IF(AND('Atividades Micro'!$B513=BP$2,'Atividades Micro'!$G513="Macro",'Atividades Micro'!$K513&lt;&gt;""),'Atividades Micro'!$K513,"")</f>
        <v/>
      </c>
      <c r="BQ461" s="21" t="str">
        <f>IF(AND('Atividades Micro'!$B513=BQ$2,'Atividades Micro'!$G513="Macro",'Atividades Micro'!$K513&lt;&gt;""),'Atividades Micro'!$K513,"")</f>
        <v/>
      </c>
      <c r="BR461" s="21" t="str">
        <f>IF(AND('Atividades Micro'!$B513=BR$2,'Atividades Micro'!$G513="Macro",'Atividades Micro'!$K513&lt;&gt;""),'Atividades Micro'!$K513,"")</f>
        <v/>
      </c>
      <c r="BS461" s="21" t="str">
        <f>IF(AND('Atividades Micro'!$B513=BS$2,'Atividades Micro'!$G513="Macro",'Atividades Micro'!$K513&lt;&gt;""),'Atividades Micro'!$K513,"")</f>
        <v/>
      </c>
      <c r="BT461" s="21" t="str">
        <f>IF(AND('Atividades Micro'!$B513=BT$2,'Atividades Micro'!$G513="Macro",'Atividades Micro'!$K513&lt;&gt;""),'Atividades Micro'!$K513,"")</f>
        <v/>
      </c>
      <c r="BU461" s="21" t="str">
        <f>IF(AND('Atividades Micro'!$B513=BU$2,'Atividades Micro'!$G513="Macro",'Atividades Micro'!$K513&lt;&gt;""),'Atividades Micro'!$K513,"")</f>
        <v/>
      </c>
      <c r="BV461" s="21" t="str">
        <f>IF(AND('Atividades Micro'!$B513=BV$2,'Atividades Micro'!$G513="Macro",'Atividades Micro'!$K513&lt;&gt;""),'Atividades Micro'!$K513,"")</f>
        <v/>
      </c>
      <c r="BW461" s="21" t="str">
        <f>IF(AND('Atividades Micro'!$B513=BW$2,'Atividades Micro'!$G513="Macro",'Atividades Micro'!$K513&lt;&gt;""),'Atividades Micro'!$K513,"")</f>
        <v/>
      </c>
      <c r="BX461" s="21" t="str">
        <f>IF(AND('Atividades Micro'!$B513=BX$2,'Atividades Micro'!$G513="Macro",'Atividades Micro'!$K513&lt;&gt;""),'Atividades Micro'!$K513,"")</f>
        <v/>
      </c>
      <c r="BY461" s="21" t="str">
        <f>IF(AND('Atividades Micro'!$B513=BY$2,'Atividades Micro'!$G513="Macro",'Atividades Micro'!$K513&lt;&gt;""),'Atividades Micro'!$K513,"")</f>
        <v/>
      </c>
      <c r="BZ461" s="21" t="str">
        <f>IF(AND('Atividades Micro'!$B513=BZ$2,'Atividades Micro'!$G513="Macro",'Atividades Micro'!$K513&lt;&gt;""),'Atividades Micro'!$K513,"")</f>
        <v/>
      </c>
      <c r="CA461" s="21" t="str">
        <f>IF(AND('Atividades Micro'!$B513=CA$2,'Atividades Micro'!$G513="Macro",'Atividades Micro'!$K513&lt;&gt;""),'Atividades Micro'!$K513,"")</f>
        <v/>
      </c>
      <c r="CB461" s="21" t="str">
        <f>IF(AND('Atividades Micro'!$B513=CB$2,'Atividades Micro'!$G513="Macro",'Atividades Micro'!$K513&lt;&gt;""),'Atividades Micro'!$K513,"")</f>
        <v/>
      </c>
      <c r="CC461" s="21" t="str">
        <f>IF(AND('Atividades Micro'!$B513=CC$2,'Atividades Micro'!$G513="Macro",'Atividades Micro'!$K513&lt;&gt;""),'Atividades Micro'!$K513,"")</f>
        <v/>
      </c>
      <c r="CD461" s="21" t="str">
        <f>IF(AND('Atividades Micro'!$B513=CD$2,'Atividades Micro'!$G513="Micro",'Atividades Micro'!$K513&lt;&gt;""),'Atividades Micro'!$K513,"")</f>
        <v/>
      </c>
      <c r="CE461" s="21" t="str">
        <f>IF(AND('Atividades Micro'!$B513=CE$2,'Atividades Micro'!$G513="Micro",'Atividades Micro'!$K513&lt;&gt;""),'Atividades Micro'!$K513,"")</f>
        <v/>
      </c>
      <c r="CF461" s="21" t="str">
        <f>IF(AND('Atividades Micro'!$B513=CF$2,'Atividades Micro'!$G513="Micro",'Atividades Micro'!$K513&lt;&gt;""),'Atividades Micro'!$K513,"")</f>
        <v/>
      </c>
      <c r="CG461" s="21" t="str">
        <f>IF(AND('Atividades Micro'!$B513=CG$2,'Atividades Micro'!$G513="Micro",'Atividades Micro'!$K513&lt;&gt;""),'Atividades Micro'!$K513,"")</f>
        <v/>
      </c>
      <c r="CH461" s="21" t="str">
        <f>IF(AND('Atividades Micro'!$B513=CH$2,'Atividades Micro'!$G513="Micro",'Atividades Micro'!$K513&lt;&gt;""),'Atividades Micro'!$K513,"")</f>
        <v/>
      </c>
      <c r="CI461" s="21" t="str">
        <f>IF(AND('Atividades Micro'!$B513=CI$2,'Atividades Micro'!$G513="Micro",'Atividades Micro'!$K513&lt;&gt;""),'Atividades Micro'!$K513,"")</f>
        <v/>
      </c>
      <c r="CJ461" s="21" t="str">
        <f>IF(AND('Atividades Micro'!$B513=CJ$2,'Atividades Micro'!$G513="Micro",'Atividades Micro'!$K513&lt;&gt;""),'Atividades Micro'!$K513,"")</f>
        <v/>
      </c>
      <c r="CK461" s="21" t="str">
        <f>IF(AND('Atividades Micro'!$B513=CK$2,'Atividades Micro'!$G513="Micro",'Atividades Micro'!$K513&lt;&gt;""),'Atividades Micro'!$K513,"")</f>
        <v/>
      </c>
      <c r="CL461" s="21" t="str">
        <f>IF(AND('Atividades Micro'!$B513=CL$2,'Atividades Micro'!$G513="Micro",'Atividades Micro'!$K513&lt;&gt;""),'Atividades Micro'!$K513,"")</f>
        <v/>
      </c>
      <c r="CM461" s="21" t="str">
        <f>IF(AND('Atividades Micro'!$B513=CM$2,'Atividades Micro'!$G513="Micro",'Atividades Micro'!$K513&lt;&gt;""),'Atividades Micro'!$K513,"")</f>
        <v/>
      </c>
      <c r="CN461" s="21" t="str">
        <f>IF(AND('Atividades Micro'!$B513=CN$2,'Atividades Micro'!$G513="Micro",'Atividades Micro'!$K513&lt;&gt;""),'Atividades Micro'!$K513,"")</f>
        <v/>
      </c>
      <c r="CO461" s="21" t="str">
        <f>IF(AND('Atividades Micro'!$B513=CO$2,'Atividades Micro'!$G513="Micro",'Atividades Micro'!$K513&lt;&gt;""),'Atividades Micro'!$K513,"")</f>
        <v/>
      </c>
    </row>
    <row r="462" spans="1:93">
      <c r="A462" s="21" t="str">
        <f>IF(AND('Atividades Micro'!$A514=A$2,'Atividades Micro'!$K514&lt;&gt;""),'Atividades Micro'!$K514,"")</f>
        <v/>
      </c>
      <c r="B462" s="21" t="str">
        <f>IF(AND('Atividades Micro'!$A514=B$2,'Atividades Micro'!$L514&lt;&gt;""),'Atividades Micro'!$L514,"")</f>
        <v/>
      </c>
      <c r="C462" s="21" t="str">
        <f>IF(AND('Atividades Micro'!$A514=C$2,'Atividades Micro'!$K514&lt;&gt;""),'Atividades Micro'!$K514,"")</f>
        <v/>
      </c>
      <c r="D462" s="21" t="str">
        <f>IF(AND('Atividades Micro'!$A514=D$2,'Atividades Micro'!$L514&lt;&gt;""),'Atividades Micro'!$L514,"")</f>
        <v/>
      </c>
      <c r="E462" s="21" t="str">
        <f>IF(AND('Atividades Micro'!$A514=E$2,'Atividades Micro'!$K514&lt;&gt;""),'Atividades Micro'!$K514,"")</f>
        <v/>
      </c>
      <c r="F462" s="21" t="str">
        <f>IF(AND('Atividades Micro'!$A514=F$2,'Atividades Micro'!$L514&lt;&gt;""),'Atividades Micro'!$L514,"")</f>
        <v/>
      </c>
      <c r="G462" s="21" t="str">
        <f>IF(AND('Atividades Micro'!$A514=G$2,'Atividades Micro'!$K514&lt;&gt;""),'Atividades Micro'!$K514,"")</f>
        <v/>
      </c>
      <c r="H462" s="21" t="str">
        <f>IF(AND('Atividades Micro'!$A514=H$2,'Atividades Micro'!$L514&lt;&gt;""),'Atividades Micro'!$L514,"")</f>
        <v/>
      </c>
      <c r="I462" s="21" t="str">
        <f>IF(AND('Atividades Micro'!$A514=I$2,'Atividades Micro'!$K514&lt;&gt;""),'Atividades Micro'!$K514,"")</f>
        <v/>
      </c>
      <c r="J462" s="21" t="str">
        <f>IF(AND('Atividades Micro'!$A514=J$2,'Atividades Micro'!$L514&lt;&gt;""),'Atividades Micro'!$L514,"")</f>
        <v/>
      </c>
      <c r="K462" s="21" t="str">
        <f>IF(AND('Atividades Micro'!$B514=K$2,'Atividades Micro'!$K514&lt;&gt;""),'Atividades Micro'!$K514,"")</f>
        <v/>
      </c>
      <c r="L462" s="21" t="str">
        <f>IF(AND('Atividades Micro'!$B514=L$2,'Atividades Micro'!$L514&lt;&gt;""),'Atividades Micro'!$L514,"")</f>
        <v/>
      </c>
      <c r="M462" s="21" t="str">
        <f>IF(AND('Atividades Micro'!$B514=M$2,'Atividades Micro'!$K514&lt;&gt;""),'Atividades Micro'!$K514,"")</f>
        <v/>
      </c>
      <c r="N462" s="21" t="str">
        <f>IF(AND('Atividades Micro'!$B514=N$2,'Atividades Micro'!$L514&lt;&gt;""),'Atividades Micro'!$L514,"")</f>
        <v/>
      </c>
      <c r="O462" s="21" t="str">
        <f>IF(AND('Atividades Micro'!$A514=O$2,'Atividades Micro'!$K514&lt;&gt;""),'Atividades Micro'!$K514,"")</f>
        <v/>
      </c>
      <c r="P462" s="21" t="str">
        <f>IF(AND('Atividades Micro'!$A514=P$2,'Atividades Micro'!$L514&lt;&gt;""),'Atividades Micro'!$L514,"")</f>
        <v/>
      </c>
      <c r="Q462" s="21" t="str">
        <f>IF(AND('Atividades Micro'!$B514=Q$2,'Atividades Micro'!$K514&lt;&gt;""),'Atividades Micro'!$K514,"")</f>
        <v/>
      </c>
      <c r="R462" s="21" t="str">
        <f>IF(AND('Atividades Micro'!$B514=R$2,'Atividades Micro'!$L514&lt;&gt;""),'Atividades Micro'!$L514,"")</f>
        <v/>
      </c>
      <c r="S462" s="21" t="str">
        <f>IF(AND('Atividades Micro'!$A514=S$2,'Atividades Micro'!$K514&lt;&gt;""),'Atividades Micro'!$K514,"")</f>
        <v/>
      </c>
      <c r="T462" s="21" t="str">
        <f>IF(AND('Atividades Micro'!$A514=T$2,'Atividades Micro'!$L514&lt;&gt;""),'Atividades Micro'!$L514,"")</f>
        <v/>
      </c>
      <c r="U462" s="21" t="str">
        <f>IF(AND('Atividades Micro'!$B514=U$2,'Atividades Micro'!$K514&lt;&gt;""),'Atividades Micro'!$K514,"")</f>
        <v/>
      </c>
      <c r="V462" s="21" t="str">
        <f>IF(AND('Atividades Micro'!$B514=V$2,'Atividades Micro'!$L514&lt;&gt;""),'Atividades Micro'!$L514,"")</f>
        <v/>
      </c>
      <c r="W462" s="21" t="str">
        <f>IF(AND('Atividades Micro'!$B514=W$2,'Atividades Micro'!$K514&lt;&gt;""),'Atividades Micro'!$K514,"")</f>
        <v/>
      </c>
      <c r="X462" s="21" t="str">
        <f>IF(AND('Atividades Micro'!$B514=X$2,'Atividades Micro'!$L514&lt;&gt;""),'Atividades Micro'!$L514,"")</f>
        <v/>
      </c>
      <c r="Y462" s="21" t="str">
        <f>IF(AND('Atividades Micro'!$A514=Y$2,'Atividades Micro'!$K514&lt;&gt;""),'Atividades Micro'!$K514,"")</f>
        <v/>
      </c>
      <c r="Z462" s="21" t="str">
        <f>IF(AND('Atividades Micro'!$A514=Z$2,'Atividades Micro'!$L514&lt;&gt;""),'Atividades Micro'!$L514,"")</f>
        <v/>
      </c>
      <c r="AA462" s="21" t="str">
        <f>IF(AND('Atividades Micro'!$B514=AA$2,'Atividades Micro'!$K514&lt;&gt;""),'Atividades Micro'!$K514,"")</f>
        <v/>
      </c>
      <c r="AB462" s="21" t="str">
        <f>IF(AND('Atividades Micro'!$B514=AB$2,'Atividades Micro'!$L514&lt;&gt;""),'Atividades Micro'!$L514,"")</f>
        <v/>
      </c>
      <c r="AC462" s="21" t="str">
        <f>IF(AND('Atividades Micro'!$B514=AC$2,'Atividades Micro'!$K514&lt;&gt;""),'Atividades Micro'!$K514,"")</f>
        <v/>
      </c>
      <c r="AD462" s="21" t="str">
        <f>IF(AND('Atividades Micro'!$B514=AD$2,'Atividades Micro'!$L514&lt;&gt;""),'Atividades Micro'!$L514,"")</f>
        <v/>
      </c>
      <c r="AE462" s="21" t="str">
        <f>IF(AND('Atividades Micro'!$A514=AE$2,'Atividades Micro'!$K514&lt;&gt;""),'Atividades Micro'!$K514,"")</f>
        <v/>
      </c>
      <c r="AF462" s="21" t="str">
        <f>IF(AND('Atividades Micro'!$A514=AF$2,'Atividades Micro'!$L514&lt;&gt;""),'Atividades Micro'!$L514,"")</f>
        <v/>
      </c>
      <c r="AG462" s="21" t="str">
        <f>IF(AND('Atividades Micro'!$B514=AG$2,'Atividades Micro'!$K514&lt;&gt;""),'Atividades Micro'!$K514,"")</f>
        <v/>
      </c>
      <c r="AH462" s="21" t="str">
        <f>IF(AND('Atividades Micro'!$B514=AH$2,'Atividades Micro'!$L514&lt;&gt;""),'Atividades Micro'!$L514,"")</f>
        <v/>
      </c>
      <c r="AI462" s="21" t="str">
        <f>IF(AND('Atividades Micro'!$B514=AI$2,'Atividades Micro'!$K514&lt;&gt;""),'Atividades Micro'!$K514,"")</f>
        <v/>
      </c>
      <c r="AJ462" s="21" t="str">
        <f>IF(AND('Atividades Micro'!$B514=AJ$2,'Atividades Micro'!$L514&lt;&gt;""),'Atividades Micro'!$L514,"")</f>
        <v/>
      </c>
      <c r="AK462" s="21" t="str">
        <f>IF(AND('Atividades Micro'!$A514=AK$2,'Atividades Micro'!$K514&lt;&gt;""),'Atividades Micro'!$K514,"")</f>
        <v/>
      </c>
      <c r="AL462" s="21" t="str">
        <f>IF(AND('Atividades Micro'!$A514=AL$2,'Atividades Micro'!$L514&lt;&gt;""),'Atividades Micro'!$L514,"")</f>
        <v/>
      </c>
      <c r="AM462" s="21" t="str">
        <f>IF(AND('Atividades Micro'!$B514=AM$2,'Atividades Micro'!$K514&lt;&gt;""),'Atividades Micro'!$K514,"")</f>
        <v/>
      </c>
      <c r="AN462" s="21" t="str">
        <f>IF(AND('Atividades Micro'!$B514=AN$2,'Atividades Micro'!$L514&lt;&gt;""),'Atividades Micro'!$L514,"")</f>
        <v/>
      </c>
      <c r="AO462" s="21" t="str">
        <f>IF(AND('Atividades Micro'!$B514=AO$2,'Atividades Micro'!$K514&lt;&gt;""),'Atividades Micro'!$K514,"")</f>
        <v/>
      </c>
      <c r="AP462" s="21" t="str">
        <f>IF(AND('Atividades Micro'!$B514=AP$2,'Atividades Micro'!$L514&lt;&gt;""),'Atividades Micro'!$L514,"")</f>
        <v/>
      </c>
      <c r="AQ462" s="21" t="str">
        <f>IF(AND('Atividades Micro'!$A514=AQ$2,'Atividades Micro'!$K514&lt;&gt;""),'Atividades Micro'!$K514,"")</f>
        <v/>
      </c>
      <c r="AR462" s="21" t="str">
        <f>IF(AND('Atividades Micro'!$A514=AR$2,'Atividades Micro'!$L514&lt;&gt;""),'Atividades Micro'!$L514,"")</f>
        <v/>
      </c>
      <c r="AS462" s="21" t="str">
        <f>IF(AND('Atividades Micro'!$B514=AS$2,'Atividades Micro'!$K514&lt;&gt;""),'Atividades Micro'!$K514,"")</f>
        <v/>
      </c>
      <c r="AT462" s="21" t="str">
        <f>IF(AND('Atividades Micro'!$B514=AT$2,'Atividades Micro'!$L514&lt;&gt;""),'Atividades Micro'!$L514,"")</f>
        <v/>
      </c>
      <c r="AU462" s="21" t="str">
        <f>IF(AND('Atividades Micro'!$A514=AU$2,'Atividades Micro'!$K514&lt;&gt;""),'Atividades Micro'!$K514,"")</f>
        <v/>
      </c>
      <c r="AV462" s="21" t="str">
        <f>IF(AND('Atividades Micro'!$A514=AV$2,'Atividades Micro'!$L514&lt;&gt;""),'Atividades Micro'!$L514,"")</f>
        <v/>
      </c>
      <c r="AW462" s="21" t="str">
        <f>IF(AND('Atividades Micro'!$B514=AW$2,'Atividades Micro'!$K514&lt;&gt;""),'Atividades Micro'!$K514,"")</f>
        <v/>
      </c>
      <c r="AX462" s="21" t="str">
        <f>IF(AND('Atividades Micro'!$B514=AX$2,'Atividades Micro'!$L514&lt;&gt;""),'Atividades Micro'!$L514,"")</f>
        <v/>
      </c>
      <c r="AY462" s="21" t="str">
        <f>IF(AND('Atividades Micro'!$A514=AY$2,'Atividades Micro'!$K514&lt;&gt;""),'Atividades Micro'!$K514,"")</f>
        <v/>
      </c>
      <c r="AZ462" s="21" t="str">
        <f>IF(AND('Atividades Micro'!$A514=AZ$2,'Atividades Micro'!$L514&lt;&gt;""),'Atividades Micro'!$L514,"")</f>
        <v/>
      </c>
      <c r="BA462" s="21" t="str">
        <f>IF(AND('Atividades Micro'!$B514=BA$2,'Atividades Micro'!$K514&lt;&gt;""),'Atividades Micro'!$K514,"")</f>
        <v/>
      </c>
      <c r="BB462" s="21" t="str">
        <f>IF(AND('Atividades Micro'!$B514=BB$2,'Atividades Micro'!$L514&lt;&gt;""),'Atividades Micro'!$L514,"")</f>
        <v/>
      </c>
      <c r="BC462" s="21" t="str">
        <f>IF(AND('Atividades Micro'!$B514=BC$2,'Atividades Micro'!$G514="Macro",'Atividades Micro'!$K514&lt;&gt;""),'Atividades Micro'!$K514,"")</f>
        <v/>
      </c>
      <c r="BD462" s="21" t="str">
        <f>IF(AND('Atividades Micro'!$B514=BD$2,'Atividades Micro'!$G514="Macro",'Atividades Micro'!$K514&lt;&gt;""),'Atividades Micro'!$K514,"")</f>
        <v/>
      </c>
      <c r="BE462" s="21" t="str">
        <f>IF(AND('Atividades Micro'!$B514=BE$2,'Atividades Micro'!$G514="Macro",'Atividades Micro'!$K514&lt;&gt;""),'Atividades Micro'!$K514,"")</f>
        <v/>
      </c>
      <c r="BF462" s="21" t="str">
        <f>IF(AND('Atividades Micro'!$B514=BF$2,'Atividades Micro'!$G514="Macro",'Atividades Micro'!$K514&lt;&gt;""),'Atividades Micro'!$K514,"")</f>
        <v/>
      </c>
      <c r="BG462" s="21" t="str">
        <f>IF(AND('Atividades Micro'!$B514=BG$2,'Atividades Micro'!$G514="Macro",'Atividades Micro'!$K514&lt;&gt;""),'Atividades Micro'!$K514,"")</f>
        <v/>
      </c>
      <c r="BH462" s="21" t="str">
        <f>IF(AND('Atividades Micro'!$B514=BH$2,'Atividades Micro'!$G514="Macro",'Atividades Micro'!$K514&lt;&gt;""),'Atividades Micro'!$K514,"")</f>
        <v/>
      </c>
      <c r="BI462" s="21" t="str">
        <f>IF(AND('Atividades Micro'!$B514=BI$2,'Atividades Micro'!$G514="Macro",'Atividades Micro'!$K514&lt;&gt;""),'Atividades Micro'!$K514,"")</f>
        <v/>
      </c>
      <c r="BJ462" s="21" t="str">
        <f>IF(AND('Atividades Micro'!$B514=BJ$2,'Atividades Micro'!$G514="Macro",'Atividades Micro'!$K514&lt;&gt;""),'Atividades Micro'!$K514,"")</f>
        <v/>
      </c>
      <c r="BK462" s="21" t="str">
        <f>IF(AND('Atividades Micro'!$B514=BK$2,'Atividades Micro'!$G514="Macro",'Atividades Micro'!$K514&lt;&gt;""),'Atividades Micro'!$K514,"")</f>
        <v/>
      </c>
      <c r="BL462" s="21" t="str">
        <f>IF(AND('Atividades Micro'!$B514=BL$2,'Atividades Micro'!$G514="Macro",'Atividades Micro'!$K514&lt;&gt;""),'Atividades Micro'!$K514,"")</f>
        <v/>
      </c>
      <c r="BM462" s="21" t="str">
        <f>IF(AND('Atividades Micro'!$B514=BM$2,'Atividades Micro'!$G514="Macro",'Atividades Micro'!$K514&lt;&gt;""),'Atividades Micro'!$K514,"")</f>
        <v/>
      </c>
      <c r="BN462" s="21" t="str">
        <f>IF(AND('Atividades Micro'!$B514=BN$2,'Atividades Micro'!$G514="Macro",'Atividades Micro'!$K514&lt;&gt;""),'Atividades Micro'!$K514,"")</f>
        <v/>
      </c>
      <c r="BO462" s="21" t="str">
        <f>IF(AND('Atividades Micro'!$B514=BO$2,'Atividades Micro'!$G514="Macro",'Atividades Micro'!$K514&lt;&gt;""),'Atividades Micro'!$K514,"")</f>
        <v/>
      </c>
      <c r="BP462" s="21" t="str">
        <f>IF(AND('Atividades Micro'!$B514=BP$2,'Atividades Micro'!$G514="Macro",'Atividades Micro'!$K514&lt;&gt;""),'Atividades Micro'!$K514,"")</f>
        <v/>
      </c>
      <c r="BQ462" s="21" t="str">
        <f>IF(AND('Atividades Micro'!$B514=BQ$2,'Atividades Micro'!$G514="Macro",'Atividades Micro'!$K514&lt;&gt;""),'Atividades Micro'!$K514,"")</f>
        <v/>
      </c>
      <c r="BR462" s="21" t="str">
        <f>IF(AND('Atividades Micro'!$B514=BR$2,'Atividades Micro'!$G514="Macro",'Atividades Micro'!$K514&lt;&gt;""),'Atividades Micro'!$K514,"")</f>
        <v/>
      </c>
      <c r="BS462" s="21" t="str">
        <f>IF(AND('Atividades Micro'!$B514=BS$2,'Atividades Micro'!$G514="Macro",'Atividades Micro'!$K514&lt;&gt;""),'Atividades Micro'!$K514,"")</f>
        <v/>
      </c>
      <c r="BT462" s="21" t="str">
        <f>IF(AND('Atividades Micro'!$B514=BT$2,'Atividades Micro'!$G514="Macro",'Atividades Micro'!$K514&lt;&gt;""),'Atividades Micro'!$K514,"")</f>
        <v/>
      </c>
      <c r="BU462" s="21" t="str">
        <f>IF(AND('Atividades Micro'!$B514=BU$2,'Atividades Micro'!$G514="Macro",'Atividades Micro'!$K514&lt;&gt;""),'Atividades Micro'!$K514,"")</f>
        <v/>
      </c>
      <c r="BV462" s="21" t="str">
        <f>IF(AND('Atividades Micro'!$B514=BV$2,'Atividades Micro'!$G514="Macro",'Atividades Micro'!$K514&lt;&gt;""),'Atividades Micro'!$K514,"")</f>
        <v/>
      </c>
      <c r="BW462" s="21" t="str">
        <f>IF(AND('Atividades Micro'!$B514=BW$2,'Atividades Micro'!$G514="Macro",'Atividades Micro'!$K514&lt;&gt;""),'Atividades Micro'!$K514,"")</f>
        <v/>
      </c>
      <c r="BX462" s="21" t="str">
        <f>IF(AND('Atividades Micro'!$B514=BX$2,'Atividades Micro'!$G514="Macro",'Atividades Micro'!$K514&lt;&gt;""),'Atividades Micro'!$K514,"")</f>
        <v/>
      </c>
      <c r="BY462" s="21" t="str">
        <f>IF(AND('Atividades Micro'!$B514=BY$2,'Atividades Micro'!$G514="Macro",'Atividades Micro'!$K514&lt;&gt;""),'Atividades Micro'!$K514,"")</f>
        <v/>
      </c>
      <c r="BZ462" s="21" t="str">
        <f>IF(AND('Atividades Micro'!$B514=BZ$2,'Atividades Micro'!$G514="Macro",'Atividades Micro'!$K514&lt;&gt;""),'Atividades Micro'!$K514,"")</f>
        <v/>
      </c>
      <c r="CA462" s="21" t="str">
        <f>IF(AND('Atividades Micro'!$B514=CA$2,'Atividades Micro'!$G514="Macro",'Atividades Micro'!$K514&lt;&gt;""),'Atividades Micro'!$K514,"")</f>
        <v/>
      </c>
      <c r="CB462" s="21" t="str">
        <f>IF(AND('Atividades Micro'!$B514=CB$2,'Atividades Micro'!$G514="Macro",'Atividades Micro'!$K514&lt;&gt;""),'Atividades Micro'!$K514,"")</f>
        <v/>
      </c>
      <c r="CC462" s="21" t="str">
        <f>IF(AND('Atividades Micro'!$B514=CC$2,'Atividades Micro'!$G514="Macro",'Atividades Micro'!$K514&lt;&gt;""),'Atividades Micro'!$K514,"")</f>
        <v/>
      </c>
      <c r="CD462" s="21" t="str">
        <f>IF(AND('Atividades Micro'!$B514=CD$2,'Atividades Micro'!$G514="Micro",'Atividades Micro'!$K514&lt;&gt;""),'Atividades Micro'!$K514,"")</f>
        <v/>
      </c>
      <c r="CE462" s="21" t="str">
        <f>IF(AND('Atividades Micro'!$B514=CE$2,'Atividades Micro'!$G514="Micro",'Atividades Micro'!$K514&lt;&gt;""),'Atividades Micro'!$K514,"")</f>
        <v/>
      </c>
      <c r="CF462" s="21" t="str">
        <f>IF(AND('Atividades Micro'!$B514=CF$2,'Atividades Micro'!$G514="Micro",'Atividades Micro'!$K514&lt;&gt;""),'Atividades Micro'!$K514,"")</f>
        <v/>
      </c>
      <c r="CG462" s="21" t="str">
        <f>IF(AND('Atividades Micro'!$B514=CG$2,'Atividades Micro'!$G514="Micro",'Atividades Micro'!$K514&lt;&gt;""),'Atividades Micro'!$K514,"")</f>
        <v/>
      </c>
      <c r="CH462" s="21" t="str">
        <f>IF(AND('Atividades Micro'!$B514=CH$2,'Atividades Micro'!$G514="Micro",'Atividades Micro'!$K514&lt;&gt;""),'Atividades Micro'!$K514,"")</f>
        <v/>
      </c>
      <c r="CI462" s="21" t="str">
        <f>IF(AND('Atividades Micro'!$B514=CI$2,'Atividades Micro'!$G514="Micro",'Atividades Micro'!$K514&lt;&gt;""),'Atividades Micro'!$K514,"")</f>
        <v/>
      </c>
      <c r="CJ462" s="21" t="str">
        <f>IF(AND('Atividades Micro'!$B514=CJ$2,'Atividades Micro'!$G514="Micro",'Atividades Micro'!$K514&lt;&gt;""),'Atividades Micro'!$K514,"")</f>
        <v/>
      </c>
      <c r="CK462" s="21" t="str">
        <f>IF(AND('Atividades Micro'!$B514=CK$2,'Atividades Micro'!$G514="Micro",'Atividades Micro'!$K514&lt;&gt;""),'Atividades Micro'!$K514,"")</f>
        <v/>
      </c>
      <c r="CL462" s="21" t="str">
        <f>IF(AND('Atividades Micro'!$B514=CL$2,'Atividades Micro'!$G514="Micro",'Atividades Micro'!$K514&lt;&gt;""),'Atividades Micro'!$K514,"")</f>
        <v/>
      </c>
      <c r="CM462" s="21" t="str">
        <f>IF(AND('Atividades Micro'!$B514=CM$2,'Atividades Micro'!$G514="Micro",'Atividades Micro'!$K514&lt;&gt;""),'Atividades Micro'!$K514,"")</f>
        <v/>
      </c>
      <c r="CN462" s="21" t="str">
        <f>IF(AND('Atividades Micro'!$B514=CN$2,'Atividades Micro'!$G514="Micro",'Atividades Micro'!$K514&lt;&gt;""),'Atividades Micro'!$K514,"")</f>
        <v/>
      </c>
      <c r="CO462" s="21" t="str">
        <f>IF(AND('Atividades Micro'!$B514=CO$2,'Atividades Micro'!$G514="Micro",'Atividades Micro'!$K514&lt;&gt;""),'Atividades Micro'!$K514,"")</f>
        <v/>
      </c>
    </row>
    <row r="463" spans="1:93">
      <c r="A463" s="21" t="str">
        <f>IF(AND('Atividades Micro'!$A515=A$2,'Atividades Micro'!$K515&lt;&gt;""),'Atividades Micro'!$K515,"")</f>
        <v/>
      </c>
      <c r="B463" s="21" t="str">
        <f>IF(AND('Atividades Micro'!$A515=B$2,'Atividades Micro'!$L515&lt;&gt;""),'Atividades Micro'!$L515,"")</f>
        <v/>
      </c>
      <c r="C463" s="21" t="str">
        <f>IF(AND('Atividades Micro'!$A515=C$2,'Atividades Micro'!$K515&lt;&gt;""),'Atividades Micro'!$K515,"")</f>
        <v/>
      </c>
      <c r="D463" s="21" t="str">
        <f>IF(AND('Atividades Micro'!$A515=D$2,'Atividades Micro'!$L515&lt;&gt;""),'Atividades Micro'!$L515,"")</f>
        <v/>
      </c>
      <c r="E463" s="21" t="str">
        <f>IF(AND('Atividades Micro'!$A515=E$2,'Atividades Micro'!$K515&lt;&gt;""),'Atividades Micro'!$K515,"")</f>
        <v/>
      </c>
      <c r="F463" s="21" t="str">
        <f>IF(AND('Atividades Micro'!$A515=F$2,'Atividades Micro'!$L515&lt;&gt;""),'Atividades Micro'!$L515,"")</f>
        <v/>
      </c>
      <c r="G463" s="21" t="str">
        <f>IF(AND('Atividades Micro'!$A515=G$2,'Atividades Micro'!$K515&lt;&gt;""),'Atividades Micro'!$K515,"")</f>
        <v/>
      </c>
      <c r="H463" s="21" t="str">
        <f>IF(AND('Atividades Micro'!$A515=H$2,'Atividades Micro'!$L515&lt;&gt;""),'Atividades Micro'!$L515,"")</f>
        <v/>
      </c>
      <c r="I463" s="21" t="str">
        <f>IF(AND('Atividades Micro'!$A515=I$2,'Atividades Micro'!$K515&lt;&gt;""),'Atividades Micro'!$K515,"")</f>
        <v/>
      </c>
      <c r="J463" s="21" t="str">
        <f>IF(AND('Atividades Micro'!$A515=J$2,'Atividades Micro'!$L515&lt;&gt;""),'Atividades Micro'!$L515,"")</f>
        <v/>
      </c>
      <c r="K463" s="21" t="str">
        <f>IF(AND('Atividades Micro'!$B515=K$2,'Atividades Micro'!$K515&lt;&gt;""),'Atividades Micro'!$K515,"")</f>
        <v/>
      </c>
      <c r="L463" s="21" t="str">
        <f>IF(AND('Atividades Micro'!$B515=L$2,'Atividades Micro'!$L515&lt;&gt;""),'Atividades Micro'!$L515,"")</f>
        <v/>
      </c>
      <c r="M463" s="21" t="str">
        <f>IF(AND('Atividades Micro'!$B515=M$2,'Atividades Micro'!$K515&lt;&gt;""),'Atividades Micro'!$K515,"")</f>
        <v/>
      </c>
      <c r="N463" s="21" t="str">
        <f>IF(AND('Atividades Micro'!$B515=N$2,'Atividades Micro'!$L515&lt;&gt;""),'Atividades Micro'!$L515,"")</f>
        <v/>
      </c>
      <c r="O463" s="21" t="str">
        <f>IF(AND('Atividades Micro'!$A515=O$2,'Atividades Micro'!$K515&lt;&gt;""),'Atividades Micro'!$K515,"")</f>
        <v/>
      </c>
      <c r="P463" s="21" t="str">
        <f>IF(AND('Atividades Micro'!$A515=P$2,'Atividades Micro'!$L515&lt;&gt;""),'Atividades Micro'!$L515,"")</f>
        <v/>
      </c>
      <c r="Q463" s="21" t="str">
        <f>IF(AND('Atividades Micro'!$B515=Q$2,'Atividades Micro'!$K515&lt;&gt;""),'Atividades Micro'!$K515,"")</f>
        <v/>
      </c>
      <c r="R463" s="21" t="str">
        <f>IF(AND('Atividades Micro'!$B515=R$2,'Atividades Micro'!$L515&lt;&gt;""),'Atividades Micro'!$L515,"")</f>
        <v/>
      </c>
      <c r="S463" s="21" t="str">
        <f>IF(AND('Atividades Micro'!$A515=S$2,'Atividades Micro'!$K515&lt;&gt;""),'Atividades Micro'!$K515,"")</f>
        <v/>
      </c>
      <c r="T463" s="21" t="str">
        <f>IF(AND('Atividades Micro'!$A515=T$2,'Atividades Micro'!$L515&lt;&gt;""),'Atividades Micro'!$L515,"")</f>
        <v/>
      </c>
      <c r="U463" s="21" t="str">
        <f>IF(AND('Atividades Micro'!$B515=U$2,'Atividades Micro'!$K515&lt;&gt;""),'Atividades Micro'!$K515,"")</f>
        <v/>
      </c>
      <c r="V463" s="21" t="str">
        <f>IF(AND('Atividades Micro'!$B515=V$2,'Atividades Micro'!$L515&lt;&gt;""),'Atividades Micro'!$L515,"")</f>
        <v/>
      </c>
      <c r="W463" s="21" t="str">
        <f>IF(AND('Atividades Micro'!$B515=W$2,'Atividades Micro'!$K515&lt;&gt;""),'Atividades Micro'!$K515,"")</f>
        <v/>
      </c>
      <c r="X463" s="21" t="str">
        <f>IF(AND('Atividades Micro'!$B515=X$2,'Atividades Micro'!$L515&lt;&gt;""),'Atividades Micro'!$L515,"")</f>
        <v/>
      </c>
      <c r="Y463" s="21" t="str">
        <f>IF(AND('Atividades Micro'!$A515=Y$2,'Atividades Micro'!$K515&lt;&gt;""),'Atividades Micro'!$K515,"")</f>
        <v/>
      </c>
      <c r="Z463" s="21" t="str">
        <f>IF(AND('Atividades Micro'!$A515=Z$2,'Atividades Micro'!$L515&lt;&gt;""),'Atividades Micro'!$L515,"")</f>
        <v/>
      </c>
      <c r="AA463" s="21" t="str">
        <f>IF(AND('Atividades Micro'!$B515=AA$2,'Atividades Micro'!$K515&lt;&gt;""),'Atividades Micro'!$K515,"")</f>
        <v/>
      </c>
      <c r="AB463" s="21" t="str">
        <f>IF(AND('Atividades Micro'!$B515=AB$2,'Atividades Micro'!$L515&lt;&gt;""),'Atividades Micro'!$L515,"")</f>
        <v/>
      </c>
      <c r="AC463" s="21" t="str">
        <f>IF(AND('Atividades Micro'!$B515=AC$2,'Atividades Micro'!$K515&lt;&gt;""),'Atividades Micro'!$K515,"")</f>
        <v/>
      </c>
      <c r="AD463" s="21" t="str">
        <f>IF(AND('Atividades Micro'!$B515=AD$2,'Atividades Micro'!$L515&lt;&gt;""),'Atividades Micro'!$L515,"")</f>
        <v/>
      </c>
      <c r="AE463" s="21" t="str">
        <f>IF(AND('Atividades Micro'!$A515=AE$2,'Atividades Micro'!$K515&lt;&gt;""),'Atividades Micro'!$K515,"")</f>
        <v/>
      </c>
      <c r="AF463" s="21" t="str">
        <f>IF(AND('Atividades Micro'!$A515=AF$2,'Atividades Micro'!$L515&lt;&gt;""),'Atividades Micro'!$L515,"")</f>
        <v/>
      </c>
      <c r="AG463" s="21" t="str">
        <f>IF(AND('Atividades Micro'!$B515=AG$2,'Atividades Micro'!$K515&lt;&gt;""),'Atividades Micro'!$K515,"")</f>
        <v/>
      </c>
      <c r="AH463" s="21" t="str">
        <f>IF(AND('Atividades Micro'!$B515=AH$2,'Atividades Micro'!$L515&lt;&gt;""),'Atividades Micro'!$L515,"")</f>
        <v/>
      </c>
      <c r="AI463" s="21" t="str">
        <f>IF(AND('Atividades Micro'!$B515=AI$2,'Atividades Micro'!$K515&lt;&gt;""),'Atividades Micro'!$K515,"")</f>
        <v/>
      </c>
      <c r="AJ463" s="21" t="str">
        <f>IF(AND('Atividades Micro'!$B515=AJ$2,'Atividades Micro'!$L515&lt;&gt;""),'Atividades Micro'!$L515,"")</f>
        <v/>
      </c>
      <c r="AK463" s="21" t="str">
        <f>IF(AND('Atividades Micro'!$A515=AK$2,'Atividades Micro'!$K515&lt;&gt;""),'Atividades Micro'!$K515,"")</f>
        <v/>
      </c>
      <c r="AL463" s="21" t="str">
        <f>IF(AND('Atividades Micro'!$A515=AL$2,'Atividades Micro'!$L515&lt;&gt;""),'Atividades Micro'!$L515,"")</f>
        <v/>
      </c>
      <c r="AM463" s="21" t="str">
        <f>IF(AND('Atividades Micro'!$B515=AM$2,'Atividades Micro'!$K515&lt;&gt;""),'Atividades Micro'!$K515,"")</f>
        <v/>
      </c>
      <c r="AN463" s="21" t="str">
        <f>IF(AND('Atividades Micro'!$B515=AN$2,'Atividades Micro'!$L515&lt;&gt;""),'Atividades Micro'!$L515,"")</f>
        <v/>
      </c>
      <c r="AO463" s="21" t="str">
        <f>IF(AND('Atividades Micro'!$B515=AO$2,'Atividades Micro'!$K515&lt;&gt;""),'Atividades Micro'!$K515,"")</f>
        <v/>
      </c>
      <c r="AP463" s="21" t="str">
        <f>IF(AND('Atividades Micro'!$B515=AP$2,'Atividades Micro'!$L515&lt;&gt;""),'Atividades Micro'!$L515,"")</f>
        <v/>
      </c>
      <c r="AQ463" s="21" t="str">
        <f>IF(AND('Atividades Micro'!$A515=AQ$2,'Atividades Micro'!$K515&lt;&gt;""),'Atividades Micro'!$K515,"")</f>
        <v/>
      </c>
      <c r="AR463" s="21" t="str">
        <f>IF(AND('Atividades Micro'!$A515=AR$2,'Atividades Micro'!$L515&lt;&gt;""),'Atividades Micro'!$L515,"")</f>
        <v/>
      </c>
      <c r="AS463" s="21" t="str">
        <f>IF(AND('Atividades Micro'!$B515=AS$2,'Atividades Micro'!$K515&lt;&gt;""),'Atividades Micro'!$K515,"")</f>
        <v/>
      </c>
      <c r="AT463" s="21" t="str">
        <f>IF(AND('Atividades Micro'!$B515=AT$2,'Atividades Micro'!$L515&lt;&gt;""),'Atividades Micro'!$L515,"")</f>
        <v/>
      </c>
      <c r="AU463" s="21" t="str">
        <f>IF(AND('Atividades Micro'!$A515=AU$2,'Atividades Micro'!$K515&lt;&gt;""),'Atividades Micro'!$K515,"")</f>
        <v/>
      </c>
      <c r="AV463" s="21" t="str">
        <f>IF(AND('Atividades Micro'!$A515=AV$2,'Atividades Micro'!$L515&lt;&gt;""),'Atividades Micro'!$L515,"")</f>
        <v/>
      </c>
      <c r="AW463" s="21" t="str">
        <f>IF(AND('Atividades Micro'!$B515=AW$2,'Atividades Micro'!$K515&lt;&gt;""),'Atividades Micro'!$K515,"")</f>
        <v/>
      </c>
      <c r="AX463" s="21" t="str">
        <f>IF(AND('Atividades Micro'!$B515=AX$2,'Atividades Micro'!$L515&lt;&gt;""),'Atividades Micro'!$L515,"")</f>
        <v/>
      </c>
      <c r="AY463" s="21" t="str">
        <f>IF(AND('Atividades Micro'!$A515=AY$2,'Atividades Micro'!$K515&lt;&gt;""),'Atividades Micro'!$K515,"")</f>
        <v/>
      </c>
      <c r="AZ463" s="21" t="str">
        <f>IF(AND('Atividades Micro'!$A515=AZ$2,'Atividades Micro'!$L515&lt;&gt;""),'Atividades Micro'!$L515,"")</f>
        <v/>
      </c>
      <c r="BA463" s="21" t="str">
        <f>IF(AND('Atividades Micro'!$B515=BA$2,'Atividades Micro'!$K515&lt;&gt;""),'Atividades Micro'!$K515,"")</f>
        <v/>
      </c>
      <c r="BB463" s="21" t="str">
        <f>IF(AND('Atividades Micro'!$B515=BB$2,'Atividades Micro'!$L515&lt;&gt;""),'Atividades Micro'!$L515,"")</f>
        <v/>
      </c>
      <c r="BC463" s="21" t="str">
        <f>IF(AND('Atividades Micro'!$B515=BC$2,'Atividades Micro'!$G515="Macro",'Atividades Micro'!$K515&lt;&gt;""),'Atividades Micro'!$K515,"")</f>
        <v/>
      </c>
      <c r="BD463" s="21" t="str">
        <f>IF(AND('Atividades Micro'!$B515=BD$2,'Atividades Micro'!$G515="Macro",'Atividades Micro'!$K515&lt;&gt;""),'Atividades Micro'!$K515,"")</f>
        <v/>
      </c>
      <c r="BE463" s="21" t="str">
        <f>IF(AND('Atividades Micro'!$B515=BE$2,'Atividades Micro'!$G515="Macro",'Atividades Micro'!$K515&lt;&gt;""),'Atividades Micro'!$K515,"")</f>
        <v/>
      </c>
      <c r="BF463" s="21" t="str">
        <f>IF(AND('Atividades Micro'!$B515=BF$2,'Atividades Micro'!$G515="Macro",'Atividades Micro'!$K515&lt;&gt;""),'Atividades Micro'!$K515,"")</f>
        <v/>
      </c>
      <c r="BG463" s="21" t="str">
        <f>IF(AND('Atividades Micro'!$B515=BG$2,'Atividades Micro'!$G515="Macro",'Atividades Micro'!$K515&lt;&gt;""),'Atividades Micro'!$K515,"")</f>
        <v/>
      </c>
      <c r="BH463" s="21" t="str">
        <f>IF(AND('Atividades Micro'!$B515=BH$2,'Atividades Micro'!$G515="Macro",'Atividades Micro'!$K515&lt;&gt;""),'Atividades Micro'!$K515,"")</f>
        <v/>
      </c>
      <c r="BI463" s="21" t="str">
        <f>IF(AND('Atividades Micro'!$B515=BI$2,'Atividades Micro'!$G515="Macro",'Atividades Micro'!$K515&lt;&gt;""),'Atividades Micro'!$K515,"")</f>
        <v/>
      </c>
      <c r="BJ463" s="21" t="str">
        <f>IF(AND('Atividades Micro'!$B515=BJ$2,'Atividades Micro'!$G515="Macro",'Atividades Micro'!$K515&lt;&gt;""),'Atividades Micro'!$K515,"")</f>
        <v/>
      </c>
      <c r="BK463" s="21" t="str">
        <f>IF(AND('Atividades Micro'!$B515=BK$2,'Atividades Micro'!$G515="Macro",'Atividades Micro'!$K515&lt;&gt;""),'Atividades Micro'!$K515,"")</f>
        <v/>
      </c>
      <c r="BL463" s="21" t="str">
        <f>IF(AND('Atividades Micro'!$B515=BL$2,'Atividades Micro'!$G515="Macro",'Atividades Micro'!$K515&lt;&gt;""),'Atividades Micro'!$K515,"")</f>
        <v/>
      </c>
      <c r="BM463" s="21" t="str">
        <f>IF(AND('Atividades Micro'!$B515=BM$2,'Atividades Micro'!$G515="Macro",'Atividades Micro'!$K515&lt;&gt;""),'Atividades Micro'!$K515,"")</f>
        <v/>
      </c>
      <c r="BN463" s="21" t="str">
        <f>IF(AND('Atividades Micro'!$B515=BN$2,'Atividades Micro'!$G515="Macro",'Atividades Micro'!$K515&lt;&gt;""),'Atividades Micro'!$K515,"")</f>
        <v/>
      </c>
      <c r="BO463" s="21" t="str">
        <f>IF(AND('Atividades Micro'!$B515=BO$2,'Atividades Micro'!$G515="Macro",'Atividades Micro'!$K515&lt;&gt;""),'Atividades Micro'!$K515,"")</f>
        <v/>
      </c>
      <c r="BP463" s="21" t="str">
        <f>IF(AND('Atividades Micro'!$B515=BP$2,'Atividades Micro'!$G515="Macro",'Atividades Micro'!$K515&lt;&gt;""),'Atividades Micro'!$K515,"")</f>
        <v/>
      </c>
      <c r="BQ463" s="21" t="str">
        <f>IF(AND('Atividades Micro'!$B515=BQ$2,'Atividades Micro'!$G515="Macro",'Atividades Micro'!$K515&lt;&gt;""),'Atividades Micro'!$K515,"")</f>
        <v/>
      </c>
      <c r="BR463" s="21" t="str">
        <f>IF(AND('Atividades Micro'!$B515=BR$2,'Atividades Micro'!$G515="Macro",'Atividades Micro'!$K515&lt;&gt;""),'Atividades Micro'!$K515,"")</f>
        <v/>
      </c>
      <c r="BS463" s="21" t="str">
        <f>IF(AND('Atividades Micro'!$B515=BS$2,'Atividades Micro'!$G515="Macro",'Atividades Micro'!$K515&lt;&gt;""),'Atividades Micro'!$K515,"")</f>
        <v/>
      </c>
      <c r="BT463" s="21" t="str">
        <f>IF(AND('Atividades Micro'!$B515=BT$2,'Atividades Micro'!$G515="Macro",'Atividades Micro'!$K515&lt;&gt;""),'Atividades Micro'!$K515,"")</f>
        <v/>
      </c>
      <c r="BU463" s="21" t="str">
        <f>IF(AND('Atividades Micro'!$B515=BU$2,'Atividades Micro'!$G515="Macro",'Atividades Micro'!$K515&lt;&gt;""),'Atividades Micro'!$K515,"")</f>
        <v/>
      </c>
      <c r="BV463" s="21" t="str">
        <f>IF(AND('Atividades Micro'!$B515=BV$2,'Atividades Micro'!$G515="Macro",'Atividades Micro'!$K515&lt;&gt;""),'Atividades Micro'!$K515,"")</f>
        <v/>
      </c>
      <c r="BW463" s="21" t="str">
        <f>IF(AND('Atividades Micro'!$B515=BW$2,'Atividades Micro'!$G515="Macro",'Atividades Micro'!$K515&lt;&gt;""),'Atividades Micro'!$K515,"")</f>
        <v/>
      </c>
      <c r="BX463" s="21" t="str">
        <f>IF(AND('Atividades Micro'!$B515=BX$2,'Atividades Micro'!$G515="Macro",'Atividades Micro'!$K515&lt;&gt;""),'Atividades Micro'!$K515,"")</f>
        <v/>
      </c>
      <c r="BY463" s="21" t="str">
        <f>IF(AND('Atividades Micro'!$B515=BY$2,'Atividades Micro'!$G515="Macro",'Atividades Micro'!$K515&lt;&gt;""),'Atividades Micro'!$K515,"")</f>
        <v/>
      </c>
      <c r="BZ463" s="21" t="str">
        <f>IF(AND('Atividades Micro'!$B515=BZ$2,'Atividades Micro'!$G515="Macro",'Atividades Micro'!$K515&lt;&gt;""),'Atividades Micro'!$K515,"")</f>
        <v/>
      </c>
      <c r="CA463" s="21" t="str">
        <f>IF(AND('Atividades Micro'!$B515=CA$2,'Atividades Micro'!$G515="Macro",'Atividades Micro'!$K515&lt;&gt;""),'Atividades Micro'!$K515,"")</f>
        <v/>
      </c>
      <c r="CB463" s="21" t="str">
        <f>IF(AND('Atividades Micro'!$B515=CB$2,'Atividades Micro'!$G515="Macro",'Atividades Micro'!$K515&lt;&gt;""),'Atividades Micro'!$K515,"")</f>
        <v/>
      </c>
      <c r="CC463" s="21" t="str">
        <f>IF(AND('Atividades Micro'!$B515=CC$2,'Atividades Micro'!$G515="Macro",'Atividades Micro'!$K515&lt;&gt;""),'Atividades Micro'!$K515,"")</f>
        <v/>
      </c>
      <c r="CD463" s="21" t="str">
        <f>IF(AND('Atividades Micro'!$B515=CD$2,'Atividades Micro'!$G515="Micro",'Atividades Micro'!$K515&lt;&gt;""),'Atividades Micro'!$K515,"")</f>
        <v/>
      </c>
      <c r="CE463" s="21" t="str">
        <f>IF(AND('Atividades Micro'!$B515=CE$2,'Atividades Micro'!$G515="Micro",'Atividades Micro'!$K515&lt;&gt;""),'Atividades Micro'!$K515,"")</f>
        <v/>
      </c>
      <c r="CF463" s="21" t="str">
        <f>IF(AND('Atividades Micro'!$B515=CF$2,'Atividades Micro'!$G515="Micro",'Atividades Micro'!$K515&lt;&gt;""),'Atividades Micro'!$K515,"")</f>
        <v/>
      </c>
      <c r="CG463" s="21" t="str">
        <f>IF(AND('Atividades Micro'!$B515=CG$2,'Atividades Micro'!$G515="Micro",'Atividades Micro'!$K515&lt;&gt;""),'Atividades Micro'!$K515,"")</f>
        <v/>
      </c>
      <c r="CH463" s="21" t="str">
        <f>IF(AND('Atividades Micro'!$B515=CH$2,'Atividades Micro'!$G515="Micro",'Atividades Micro'!$K515&lt;&gt;""),'Atividades Micro'!$K515,"")</f>
        <v/>
      </c>
      <c r="CI463" s="21" t="str">
        <f>IF(AND('Atividades Micro'!$B515=CI$2,'Atividades Micro'!$G515="Micro",'Atividades Micro'!$K515&lt;&gt;""),'Atividades Micro'!$K515,"")</f>
        <v/>
      </c>
      <c r="CJ463" s="21" t="str">
        <f>IF(AND('Atividades Micro'!$B515=CJ$2,'Atividades Micro'!$G515="Micro",'Atividades Micro'!$K515&lt;&gt;""),'Atividades Micro'!$K515,"")</f>
        <v/>
      </c>
      <c r="CK463" s="21" t="str">
        <f>IF(AND('Atividades Micro'!$B515=CK$2,'Atividades Micro'!$G515="Micro",'Atividades Micro'!$K515&lt;&gt;""),'Atividades Micro'!$K515,"")</f>
        <v/>
      </c>
      <c r="CL463" s="21" t="str">
        <f>IF(AND('Atividades Micro'!$B515=CL$2,'Atividades Micro'!$G515="Micro",'Atividades Micro'!$K515&lt;&gt;""),'Atividades Micro'!$K515,"")</f>
        <v/>
      </c>
      <c r="CM463" s="21" t="str">
        <f>IF(AND('Atividades Micro'!$B515=CM$2,'Atividades Micro'!$G515="Micro",'Atividades Micro'!$K515&lt;&gt;""),'Atividades Micro'!$K515,"")</f>
        <v/>
      </c>
      <c r="CN463" s="21" t="str">
        <f>IF(AND('Atividades Micro'!$B515=CN$2,'Atividades Micro'!$G515="Micro",'Atividades Micro'!$K515&lt;&gt;""),'Atividades Micro'!$K515,"")</f>
        <v/>
      </c>
      <c r="CO463" s="21" t="str">
        <f>IF(AND('Atividades Micro'!$B515=CO$2,'Atividades Micro'!$G515="Micro",'Atividades Micro'!$K515&lt;&gt;""),'Atividades Micro'!$K515,"")</f>
        <v/>
      </c>
    </row>
    <row r="464" spans="1:93">
      <c r="A464" s="21" t="str">
        <f>IF(AND('Atividades Micro'!$A516=A$2,'Atividades Micro'!$K516&lt;&gt;""),'Atividades Micro'!$K516,"")</f>
        <v/>
      </c>
      <c r="B464" s="21" t="str">
        <f>IF(AND('Atividades Micro'!$A516=B$2,'Atividades Micro'!$L516&lt;&gt;""),'Atividades Micro'!$L516,"")</f>
        <v/>
      </c>
      <c r="C464" s="21" t="str">
        <f>IF(AND('Atividades Micro'!$A516=C$2,'Atividades Micro'!$K516&lt;&gt;""),'Atividades Micro'!$K516,"")</f>
        <v/>
      </c>
      <c r="D464" s="21" t="str">
        <f>IF(AND('Atividades Micro'!$A516=D$2,'Atividades Micro'!$L516&lt;&gt;""),'Atividades Micro'!$L516,"")</f>
        <v/>
      </c>
      <c r="E464" s="21" t="str">
        <f>IF(AND('Atividades Micro'!$A516=E$2,'Atividades Micro'!$K516&lt;&gt;""),'Atividades Micro'!$K516,"")</f>
        <v/>
      </c>
      <c r="F464" s="21" t="str">
        <f>IF(AND('Atividades Micro'!$A516=F$2,'Atividades Micro'!$L516&lt;&gt;""),'Atividades Micro'!$L516,"")</f>
        <v/>
      </c>
      <c r="G464" s="21" t="str">
        <f>IF(AND('Atividades Micro'!$A516=G$2,'Atividades Micro'!$K516&lt;&gt;""),'Atividades Micro'!$K516,"")</f>
        <v/>
      </c>
      <c r="H464" s="21" t="str">
        <f>IF(AND('Atividades Micro'!$A516=H$2,'Atividades Micro'!$L516&lt;&gt;""),'Atividades Micro'!$L516,"")</f>
        <v/>
      </c>
      <c r="I464" s="21" t="str">
        <f>IF(AND('Atividades Micro'!$A516=I$2,'Atividades Micro'!$K516&lt;&gt;""),'Atividades Micro'!$K516,"")</f>
        <v/>
      </c>
      <c r="J464" s="21" t="str">
        <f>IF(AND('Atividades Micro'!$A516=J$2,'Atividades Micro'!$L516&lt;&gt;""),'Atividades Micro'!$L516,"")</f>
        <v/>
      </c>
      <c r="K464" s="21" t="str">
        <f>IF(AND('Atividades Micro'!$B516=K$2,'Atividades Micro'!$K516&lt;&gt;""),'Atividades Micro'!$K516,"")</f>
        <v/>
      </c>
      <c r="L464" s="21" t="str">
        <f>IF(AND('Atividades Micro'!$B516=L$2,'Atividades Micro'!$L516&lt;&gt;""),'Atividades Micro'!$L516,"")</f>
        <v/>
      </c>
      <c r="M464" s="21" t="str">
        <f>IF(AND('Atividades Micro'!$B516=M$2,'Atividades Micro'!$K516&lt;&gt;""),'Atividades Micro'!$K516,"")</f>
        <v/>
      </c>
      <c r="N464" s="21" t="str">
        <f>IF(AND('Atividades Micro'!$B516=N$2,'Atividades Micro'!$L516&lt;&gt;""),'Atividades Micro'!$L516,"")</f>
        <v/>
      </c>
      <c r="O464" s="21" t="str">
        <f>IF(AND('Atividades Micro'!$A516=O$2,'Atividades Micro'!$K516&lt;&gt;""),'Atividades Micro'!$K516,"")</f>
        <v/>
      </c>
      <c r="P464" s="21" t="str">
        <f>IF(AND('Atividades Micro'!$A516=P$2,'Atividades Micro'!$L516&lt;&gt;""),'Atividades Micro'!$L516,"")</f>
        <v/>
      </c>
      <c r="Q464" s="21" t="str">
        <f>IF(AND('Atividades Micro'!$B516=Q$2,'Atividades Micro'!$K516&lt;&gt;""),'Atividades Micro'!$K516,"")</f>
        <v/>
      </c>
      <c r="R464" s="21" t="str">
        <f>IF(AND('Atividades Micro'!$B516=R$2,'Atividades Micro'!$L516&lt;&gt;""),'Atividades Micro'!$L516,"")</f>
        <v/>
      </c>
      <c r="S464" s="21" t="str">
        <f>IF(AND('Atividades Micro'!$A516=S$2,'Atividades Micro'!$K516&lt;&gt;""),'Atividades Micro'!$K516,"")</f>
        <v/>
      </c>
      <c r="T464" s="21" t="str">
        <f>IF(AND('Atividades Micro'!$A516=T$2,'Atividades Micro'!$L516&lt;&gt;""),'Atividades Micro'!$L516,"")</f>
        <v/>
      </c>
      <c r="U464" s="21" t="str">
        <f>IF(AND('Atividades Micro'!$B516=U$2,'Atividades Micro'!$K516&lt;&gt;""),'Atividades Micro'!$K516,"")</f>
        <v/>
      </c>
      <c r="V464" s="21" t="str">
        <f>IF(AND('Atividades Micro'!$B516=V$2,'Atividades Micro'!$L516&lt;&gt;""),'Atividades Micro'!$L516,"")</f>
        <v/>
      </c>
      <c r="W464" s="21" t="str">
        <f>IF(AND('Atividades Micro'!$B516=W$2,'Atividades Micro'!$K516&lt;&gt;""),'Atividades Micro'!$K516,"")</f>
        <v/>
      </c>
      <c r="X464" s="21" t="str">
        <f>IF(AND('Atividades Micro'!$B516=X$2,'Atividades Micro'!$L516&lt;&gt;""),'Atividades Micro'!$L516,"")</f>
        <v/>
      </c>
      <c r="Y464" s="21" t="str">
        <f>IF(AND('Atividades Micro'!$A516=Y$2,'Atividades Micro'!$K516&lt;&gt;""),'Atividades Micro'!$K516,"")</f>
        <v/>
      </c>
      <c r="Z464" s="21" t="str">
        <f>IF(AND('Atividades Micro'!$A516=Z$2,'Atividades Micro'!$L516&lt;&gt;""),'Atividades Micro'!$L516,"")</f>
        <v/>
      </c>
      <c r="AA464" s="21" t="str">
        <f>IF(AND('Atividades Micro'!$B516=AA$2,'Atividades Micro'!$K516&lt;&gt;""),'Atividades Micro'!$K516,"")</f>
        <v/>
      </c>
      <c r="AB464" s="21" t="str">
        <f>IF(AND('Atividades Micro'!$B516=AB$2,'Atividades Micro'!$L516&lt;&gt;""),'Atividades Micro'!$L516,"")</f>
        <v/>
      </c>
      <c r="AC464" s="21" t="str">
        <f>IF(AND('Atividades Micro'!$B516=AC$2,'Atividades Micro'!$K516&lt;&gt;""),'Atividades Micro'!$K516,"")</f>
        <v/>
      </c>
      <c r="AD464" s="21" t="str">
        <f>IF(AND('Atividades Micro'!$B516=AD$2,'Atividades Micro'!$L516&lt;&gt;""),'Atividades Micro'!$L516,"")</f>
        <v/>
      </c>
      <c r="AE464" s="21" t="str">
        <f>IF(AND('Atividades Micro'!$A516=AE$2,'Atividades Micro'!$K516&lt;&gt;""),'Atividades Micro'!$K516,"")</f>
        <v/>
      </c>
      <c r="AF464" s="21" t="str">
        <f>IF(AND('Atividades Micro'!$A516=AF$2,'Atividades Micro'!$L516&lt;&gt;""),'Atividades Micro'!$L516,"")</f>
        <v/>
      </c>
      <c r="AG464" s="21" t="str">
        <f>IF(AND('Atividades Micro'!$B516=AG$2,'Atividades Micro'!$K516&lt;&gt;""),'Atividades Micro'!$K516,"")</f>
        <v/>
      </c>
      <c r="AH464" s="21" t="str">
        <f>IF(AND('Atividades Micro'!$B516=AH$2,'Atividades Micro'!$L516&lt;&gt;""),'Atividades Micro'!$L516,"")</f>
        <v/>
      </c>
      <c r="AI464" s="21" t="str">
        <f>IF(AND('Atividades Micro'!$B516=AI$2,'Atividades Micro'!$K516&lt;&gt;""),'Atividades Micro'!$K516,"")</f>
        <v/>
      </c>
      <c r="AJ464" s="21" t="str">
        <f>IF(AND('Atividades Micro'!$B516=AJ$2,'Atividades Micro'!$L516&lt;&gt;""),'Atividades Micro'!$L516,"")</f>
        <v/>
      </c>
      <c r="AK464" s="21" t="str">
        <f>IF(AND('Atividades Micro'!$A516=AK$2,'Atividades Micro'!$K516&lt;&gt;""),'Atividades Micro'!$K516,"")</f>
        <v/>
      </c>
      <c r="AL464" s="21" t="str">
        <f>IF(AND('Atividades Micro'!$A516=AL$2,'Atividades Micro'!$L516&lt;&gt;""),'Atividades Micro'!$L516,"")</f>
        <v/>
      </c>
      <c r="AM464" s="21" t="str">
        <f>IF(AND('Atividades Micro'!$B516=AM$2,'Atividades Micro'!$K516&lt;&gt;""),'Atividades Micro'!$K516,"")</f>
        <v/>
      </c>
      <c r="AN464" s="21" t="str">
        <f>IF(AND('Atividades Micro'!$B516=AN$2,'Atividades Micro'!$L516&lt;&gt;""),'Atividades Micro'!$L516,"")</f>
        <v/>
      </c>
      <c r="AO464" s="21" t="str">
        <f>IF(AND('Atividades Micro'!$B516=AO$2,'Atividades Micro'!$K516&lt;&gt;""),'Atividades Micro'!$K516,"")</f>
        <v/>
      </c>
      <c r="AP464" s="21" t="str">
        <f>IF(AND('Atividades Micro'!$B516=AP$2,'Atividades Micro'!$L516&lt;&gt;""),'Atividades Micro'!$L516,"")</f>
        <v/>
      </c>
      <c r="AQ464" s="21" t="str">
        <f>IF(AND('Atividades Micro'!$A516=AQ$2,'Atividades Micro'!$K516&lt;&gt;""),'Atividades Micro'!$K516,"")</f>
        <v/>
      </c>
      <c r="AR464" s="21" t="str">
        <f>IF(AND('Atividades Micro'!$A516=AR$2,'Atividades Micro'!$L516&lt;&gt;""),'Atividades Micro'!$L516,"")</f>
        <v/>
      </c>
      <c r="AS464" s="21" t="str">
        <f>IF(AND('Atividades Micro'!$B516=AS$2,'Atividades Micro'!$K516&lt;&gt;""),'Atividades Micro'!$K516,"")</f>
        <v/>
      </c>
      <c r="AT464" s="21" t="str">
        <f>IF(AND('Atividades Micro'!$B516=AT$2,'Atividades Micro'!$L516&lt;&gt;""),'Atividades Micro'!$L516,"")</f>
        <v/>
      </c>
      <c r="AU464" s="21" t="str">
        <f>IF(AND('Atividades Micro'!$A516=AU$2,'Atividades Micro'!$K516&lt;&gt;""),'Atividades Micro'!$K516,"")</f>
        <v/>
      </c>
      <c r="AV464" s="21" t="str">
        <f>IF(AND('Atividades Micro'!$A516=AV$2,'Atividades Micro'!$L516&lt;&gt;""),'Atividades Micro'!$L516,"")</f>
        <v/>
      </c>
      <c r="AW464" s="21" t="str">
        <f>IF(AND('Atividades Micro'!$B516=AW$2,'Atividades Micro'!$K516&lt;&gt;""),'Atividades Micro'!$K516,"")</f>
        <v/>
      </c>
      <c r="AX464" s="21" t="str">
        <f>IF(AND('Atividades Micro'!$B516=AX$2,'Atividades Micro'!$L516&lt;&gt;""),'Atividades Micro'!$L516,"")</f>
        <v/>
      </c>
      <c r="AY464" s="21" t="str">
        <f>IF(AND('Atividades Micro'!$A516=AY$2,'Atividades Micro'!$K516&lt;&gt;""),'Atividades Micro'!$K516,"")</f>
        <v/>
      </c>
      <c r="AZ464" s="21" t="str">
        <f>IF(AND('Atividades Micro'!$A516=AZ$2,'Atividades Micro'!$L516&lt;&gt;""),'Atividades Micro'!$L516,"")</f>
        <v/>
      </c>
      <c r="BA464" s="21" t="str">
        <f>IF(AND('Atividades Micro'!$B516=BA$2,'Atividades Micro'!$K516&lt;&gt;""),'Atividades Micro'!$K516,"")</f>
        <v/>
      </c>
      <c r="BB464" s="21" t="str">
        <f>IF(AND('Atividades Micro'!$B516=BB$2,'Atividades Micro'!$L516&lt;&gt;""),'Atividades Micro'!$L516,"")</f>
        <v/>
      </c>
      <c r="BC464" s="21" t="str">
        <f>IF(AND('Atividades Micro'!$B516=BC$2,'Atividades Micro'!$G516="Macro",'Atividades Micro'!$K516&lt;&gt;""),'Atividades Micro'!$K516,"")</f>
        <v/>
      </c>
      <c r="BD464" s="21" t="str">
        <f>IF(AND('Atividades Micro'!$B516=BD$2,'Atividades Micro'!$G516="Macro",'Atividades Micro'!$K516&lt;&gt;""),'Atividades Micro'!$K516,"")</f>
        <v/>
      </c>
      <c r="BE464" s="21" t="str">
        <f>IF(AND('Atividades Micro'!$B516=BE$2,'Atividades Micro'!$G516="Macro",'Atividades Micro'!$K516&lt;&gt;""),'Atividades Micro'!$K516,"")</f>
        <v/>
      </c>
      <c r="BF464" s="21" t="str">
        <f>IF(AND('Atividades Micro'!$B516=BF$2,'Atividades Micro'!$G516="Macro",'Atividades Micro'!$K516&lt;&gt;""),'Atividades Micro'!$K516,"")</f>
        <v/>
      </c>
      <c r="BG464" s="21" t="str">
        <f>IF(AND('Atividades Micro'!$B516=BG$2,'Atividades Micro'!$G516="Macro",'Atividades Micro'!$K516&lt;&gt;""),'Atividades Micro'!$K516,"")</f>
        <v/>
      </c>
      <c r="BH464" s="21" t="str">
        <f>IF(AND('Atividades Micro'!$B516=BH$2,'Atividades Micro'!$G516="Macro",'Atividades Micro'!$K516&lt;&gt;""),'Atividades Micro'!$K516,"")</f>
        <v/>
      </c>
      <c r="BI464" s="21" t="str">
        <f>IF(AND('Atividades Micro'!$B516=BI$2,'Atividades Micro'!$G516="Macro",'Atividades Micro'!$K516&lt;&gt;""),'Atividades Micro'!$K516,"")</f>
        <v/>
      </c>
      <c r="BJ464" s="21" t="str">
        <f>IF(AND('Atividades Micro'!$B516=BJ$2,'Atividades Micro'!$G516="Macro",'Atividades Micro'!$K516&lt;&gt;""),'Atividades Micro'!$K516,"")</f>
        <v/>
      </c>
      <c r="BK464" s="21" t="str">
        <f>IF(AND('Atividades Micro'!$B516=BK$2,'Atividades Micro'!$G516="Macro",'Atividades Micro'!$K516&lt;&gt;""),'Atividades Micro'!$K516,"")</f>
        <v/>
      </c>
      <c r="BL464" s="21" t="str">
        <f>IF(AND('Atividades Micro'!$B516=BL$2,'Atividades Micro'!$G516="Macro",'Atividades Micro'!$K516&lt;&gt;""),'Atividades Micro'!$K516,"")</f>
        <v/>
      </c>
      <c r="BM464" s="21" t="str">
        <f>IF(AND('Atividades Micro'!$B516=BM$2,'Atividades Micro'!$G516="Macro",'Atividades Micro'!$K516&lt;&gt;""),'Atividades Micro'!$K516,"")</f>
        <v/>
      </c>
      <c r="BN464" s="21" t="str">
        <f>IF(AND('Atividades Micro'!$B516=BN$2,'Atividades Micro'!$G516="Macro",'Atividades Micro'!$K516&lt;&gt;""),'Atividades Micro'!$K516,"")</f>
        <v/>
      </c>
      <c r="BO464" s="21" t="str">
        <f>IF(AND('Atividades Micro'!$B516=BO$2,'Atividades Micro'!$G516="Macro",'Atividades Micro'!$K516&lt;&gt;""),'Atividades Micro'!$K516,"")</f>
        <v/>
      </c>
      <c r="BP464" s="21" t="str">
        <f>IF(AND('Atividades Micro'!$B516=BP$2,'Atividades Micro'!$G516="Macro",'Atividades Micro'!$K516&lt;&gt;""),'Atividades Micro'!$K516,"")</f>
        <v/>
      </c>
      <c r="BQ464" s="21" t="str">
        <f>IF(AND('Atividades Micro'!$B516=BQ$2,'Atividades Micro'!$G516="Macro",'Atividades Micro'!$K516&lt;&gt;""),'Atividades Micro'!$K516,"")</f>
        <v/>
      </c>
      <c r="BR464" s="21" t="str">
        <f>IF(AND('Atividades Micro'!$B516=BR$2,'Atividades Micro'!$G516="Macro",'Atividades Micro'!$K516&lt;&gt;""),'Atividades Micro'!$K516,"")</f>
        <v/>
      </c>
      <c r="BS464" s="21" t="str">
        <f>IF(AND('Atividades Micro'!$B516=BS$2,'Atividades Micro'!$G516="Macro",'Atividades Micro'!$K516&lt;&gt;""),'Atividades Micro'!$K516,"")</f>
        <v/>
      </c>
      <c r="BT464" s="21" t="str">
        <f>IF(AND('Atividades Micro'!$B516=BT$2,'Atividades Micro'!$G516="Macro",'Atividades Micro'!$K516&lt;&gt;""),'Atividades Micro'!$K516,"")</f>
        <v/>
      </c>
      <c r="BU464" s="21" t="str">
        <f>IF(AND('Atividades Micro'!$B516=BU$2,'Atividades Micro'!$G516="Macro",'Atividades Micro'!$K516&lt;&gt;""),'Atividades Micro'!$K516,"")</f>
        <v/>
      </c>
      <c r="BV464" s="21" t="str">
        <f>IF(AND('Atividades Micro'!$B516=BV$2,'Atividades Micro'!$G516="Macro",'Atividades Micro'!$K516&lt;&gt;""),'Atividades Micro'!$K516,"")</f>
        <v/>
      </c>
      <c r="BW464" s="21" t="str">
        <f>IF(AND('Atividades Micro'!$B516=BW$2,'Atividades Micro'!$G516="Macro",'Atividades Micro'!$K516&lt;&gt;""),'Atividades Micro'!$K516,"")</f>
        <v/>
      </c>
      <c r="BX464" s="21" t="str">
        <f>IF(AND('Atividades Micro'!$B516=BX$2,'Atividades Micro'!$G516="Macro",'Atividades Micro'!$K516&lt;&gt;""),'Atividades Micro'!$K516,"")</f>
        <v/>
      </c>
      <c r="BY464" s="21" t="str">
        <f>IF(AND('Atividades Micro'!$B516=BY$2,'Atividades Micro'!$G516="Macro",'Atividades Micro'!$K516&lt;&gt;""),'Atividades Micro'!$K516,"")</f>
        <v/>
      </c>
      <c r="BZ464" s="21" t="str">
        <f>IF(AND('Atividades Micro'!$B516=BZ$2,'Atividades Micro'!$G516="Macro",'Atividades Micro'!$K516&lt;&gt;""),'Atividades Micro'!$K516,"")</f>
        <v/>
      </c>
      <c r="CA464" s="21" t="str">
        <f>IF(AND('Atividades Micro'!$B516=CA$2,'Atividades Micro'!$G516="Macro",'Atividades Micro'!$K516&lt;&gt;""),'Atividades Micro'!$K516,"")</f>
        <v/>
      </c>
      <c r="CB464" s="21" t="str">
        <f>IF(AND('Atividades Micro'!$B516=CB$2,'Atividades Micro'!$G516="Macro",'Atividades Micro'!$K516&lt;&gt;""),'Atividades Micro'!$K516,"")</f>
        <v/>
      </c>
      <c r="CC464" s="21" t="str">
        <f>IF(AND('Atividades Micro'!$B516=CC$2,'Atividades Micro'!$G516="Macro",'Atividades Micro'!$K516&lt;&gt;""),'Atividades Micro'!$K516,"")</f>
        <v/>
      </c>
      <c r="CD464" s="21" t="str">
        <f>IF(AND('Atividades Micro'!$B516=CD$2,'Atividades Micro'!$G516="Micro",'Atividades Micro'!$K516&lt;&gt;""),'Atividades Micro'!$K516,"")</f>
        <v/>
      </c>
      <c r="CE464" s="21" t="str">
        <f>IF(AND('Atividades Micro'!$B516=CE$2,'Atividades Micro'!$G516="Micro",'Atividades Micro'!$K516&lt;&gt;""),'Atividades Micro'!$K516,"")</f>
        <v/>
      </c>
      <c r="CF464" s="21" t="str">
        <f>IF(AND('Atividades Micro'!$B516=CF$2,'Atividades Micro'!$G516="Micro",'Atividades Micro'!$K516&lt;&gt;""),'Atividades Micro'!$K516,"")</f>
        <v/>
      </c>
      <c r="CG464" s="21" t="str">
        <f>IF(AND('Atividades Micro'!$B516=CG$2,'Atividades Micro'!$G516="Micro",'Atividades Micro'!$K516&lt;&gt;""),'Atividades Micro'!$K516,"")</f>
        <v/>
      </c>
      <c r="CH464" s="21" t="str">
        <f>IF(AND('Atividades Micro'!$B516=CH$2,'Atividades Micro'!$G516="Micro",'Atividades Micro'!$K516&lt;&gt;""),'Atividades Micro'!$K516,"")</f>
        <v/>
      </c>
      <c r="CI464" s="21" t="str">
        <f>IF(AND('Atividades Micro'!$B516=CI$2,'Atividades Micro'!$G516="Micro",'Atividades Micro'!$K516&lt;&gt;""),'Atividades Micro'!$K516,"")</f>
        <v/>
      </c>
      <c r="CJ464" s="21" t="str">
        <f>IF(AND('Atividades Micro'!$B516=CJ$2,'Atividades Micro'!$G516="Micro",'Atividades Micro'!$K516&lt;&gt;""),'Atividades Micro'!$K516,"")</f>
        <v/>
      </c>
      <c r="CK464" s="21" t="str">
        <f>IF(AND('Atividades Micro'!$B516=CK$2,'Atividades Micro'!$G516="Micro",'Atividades Micro'!$K516&lt;&gt;""),'Atividades Micro'!$K516,"")</f>
        <v/>
      </c>
      <c r="CL464" s="21" t="str">
        <f>IF(AND('Atividades Micro'!$B516=CL$2,'Atividades Micro'!$G516="Micro",'Atividades Micro'!$K516&lt;&gt;""),'Atividades Micro'!$K516,"")</f>
        <v/>
      </c>
      <c r="CM464" s="21" t="str">
        <f>IF(AND('Atividades Micro'!$B516=CM$2,'Atividades Micro'!$G516="Micro",'Atividades Micro'!$K516&lt;&gt;""),'Atividades Micro'!$K516,"")</f>
        <v/>
      </c>
      <c r="CN464" s="21" t="str">
        <f>IF(AND('Atividades Micro'!$B516=CN$2,'Atividades Micro'!$G516="Micro",'Atividades Micro'!$K516&lt;&gt;""),'Atividades Micro'!$K516,"")</f>
        <v/>
      </c>
      <c r="CO464" s="21" t="str">
        <f>IF(AND('Atividades Micro'!$B516=CO$2,'Atividades Micro'!$G516="Micro",'Atividades Micro'!$K516&lt;&gt;""),'Atividades Micro'!$K516,"")</f>
        <v/>
      </c>
    </row>
    <row r="465" spans="1:93">
      <c r="A465" s="21" t="str">
        <f>IF(AND('Atividades Micro'!$A517=A$2,'Atividades Micro'!$K517&lt;&gt;""),'Atividades Micro'!$K517,"")</f>
        <v/>
      </c>
      <c r="B465" s="21" t="str">
        <f>IF(AND('Atividades Micro'!$A517=B$2,'Atividades Micro'!$L517&lt;&gt;""),'Atividades Micro'!$L517,"")</f>
        <v/>
      </c>
      <c r="C465" s="21" t="str">
        <f>IF(AND('Atividades Micro'!$A517=C$2,'Atividades Micro'!$K517&lt;&gt;""),'Atividades Micro'!$K517,"")</f>
        <v/>
      </c>
      <c r="D465" s="21" t="str">
        <f>IF(AND('Atividades Micro'!$A517=D$2,'Atividades Micro'!$L517&lt;&gt;""),'Atividades Micro'!$L517,"")</f>
        <v/>
      </c>
      <c r="E465" s="21" t="str">
        <f>IF(AND('Atividades Micro'!$A517=E$2,'Atividades Micro'!$K517&lt;&gt;""),'Atividades Micro'!$K517,"")</f>
        <v/>
      </c>
      <c r="F465" s="21" t="str">
        <f>IF(AND('Atividades Micro'!$A517=F$2,'Atividades Micro'!$L517&lt;&gt;""),'Atividades Micro'!$L517,"")</f>
        <v/>
      </c>
      <c r="G465" s="21" t="str">
        <f>IF(AND('Atividades Micro'!$A517=G$2,'Atividades Micro'!$K517&lt;&gt;""),'Atividades Micro'!$K517,"")</f>
        <v/>
      </c>
      <c r="H465" s="21" t="str">
        <f>IF(AND('Atividades Micro'!$A517=H$2,'Atividades Micro'!$L517&lt;&gt;""),'Atividades Micro'!$L517,"")</f>
        <v/>
      </c>
      <c r="I465" s="21" t="str">
        <f>IF(AND('Atividades Micro'!$A517=I$2,'Atividades Micro'!$K517&lt;&gt;""),'Atividades Micro'!$K517,"")</f>
        <v/>
      </c>
      <c r="J465" s="21" t="str">
        <f>IF(AND('Atividades Micro'!$A517=J$2,'Atividades Micro'!$L517&lt;&gt;""),'Atividades Micro'!$L517,"")</f>
        <v/>
      </c>
      <c r="K465" s="21" t="str">
        <f>IF(AND('Atividades Micro'!$B517=K$2,'Atividades Micro'!$K517&lt;&gt;""),'Atividades Micro'!$K517,"")</f>
        <v/>
      </c>
      <c r="L465" s="21" t="str">
        <f>IF(AND('Atividades Micro'!$B517=L$2,'Atividades Micro'!$L517&lt;&gt;""),'Atividades Micro'!$L517,"")</f>
        <v/>
      </c>
      <c r="M465" s="21" t="str">
        <f>IF(AND('Atividades Micro'!$B517=M$2,'Atividades Micro'!$K517&lt;&gt;""),'Atividades Micro'!$K517,"")</f>
        <v/>
      </c>
      <c r="N465" s="21" t="str">
        <f>IF(AND('Atividades Micro'!$B517=N$2,'Atividades Micro'!$L517&lt;&gt;""),'Atividades Micro'!$L517,"")</f>
        <v/>
      </c>
      <c r="O465" s="21" t="str">
        <f>IF(AND('Atividades Micro'!$A517=O$2,'Atividades Micro'!$K517&lt;&gt;""),'Atividades Micro'!$K517,"")</f>
        <v/>
      </c>
      <c r="P465" s="21" t="str">
        <f>IF(AND('Atividades Micro'!$A517=P$2,'Atividades Micro'!$L517&lt;&gt;""),'Atividades Micro'!$L517,"")</f>
        <v/>
      </c>
      <c r="Q465" s="21" t="str">
        <f>IF(AND('Atividades Micro'!$B517=Q$2,'Atividades Micro'!$K517&lt;&gt;""),'Atividades Micro'!$K517,"")</f>
        <v/>
      </c>
      <c r="R465" s="21" t="str">
        <f>IF(AND('Atividades Micro'!$B517=R$2,'Atividades Micro'!$L517&lt;&gt;""),'Atividades Micro'!$L517,"")</f>
        <v/>
      </c>
      <c r="S465" s="21" t="str">
        <f>IF(AND('Atividades Micro'!$A517=S$2,'Atividades Micro'!$K517&lt;&gt;""),'Atividades Micro'!$K517,"")</f>
        <v/>
      </c>
      <c r="T465" s="21" t="str">
        <f>IF(AND('Atividades Micro'!$A517=T$2,'Atividades Micro'!$L517&lt;&gt;""),'Atividades Micro'!$L517,"")</f>
        <v/>
      </c>
      <c r="U465" s="21" t="str">
        <f>IF(AND('Atividades Micro'!$B517=U$2,'Atividades Micro'!$K517&lt;&gt;""),'Atividades Micro'!$K517,"")</f>
        <v/>
      </c>
      <c r="V465" s="21" t="str">
        <f>IF(AND('Atividades Micro'!$B517=V$2,'Atividades Micro'!$L517&lt;&gt;""),'Atividades Micro'!$L517,"")</f>
        <v/>
      </c>
      <c r="W465" s="21" t="str">
        <f>IF(AND('Atividades Micro'!$B517=W$2,'Atividades Micro'!$K517&lt;&gt;""),'Atividades Micro'!$K517,"")</f>
        <v/>
      </c>
      <c r="X465" s="21" t="str">
        <f>IF(AND('Atividades Micro'!$B517=X$2,'Atividades Micro'!$L517&lt;&gt;""),'Atividades Micro'!$L517,"")</f>
        <v/>
      </c>
      <c r="Y465" s="21" t="str">
        <f>IF(AND('Atividades Micro'!$A517=Y$2,'Atividades Micro'!$K517&lt;&gt;""),'Atividades Micro'!$K517,"")</f>
        <v/>
      </c>
      <c r="Z465" s="21" t="str">
        <f>IF(AND('Atividades Micro'!$A517=Z$2,'Atividades Micro'!$L517&lt;&gt;""),'Atividades Micro'!$L517,"")</f>
        <v/>
      </c>
      <c r="AA465" s="21" t="str">
        <f>IF(AND('Atividades Micro'!$B517=AA$2,'Atividades Micro'!$K517&lt;&gt;""),'Atividades Micro'!$K517,"")</f>
        <v/>
      </c>
      <c r="AB465" s="21" t="str">
        <f>IF(AND('Atividades Micro'!$B517=AB$2,'Atividades Micro'!$L517&lt;&gt;""),'Atividades Micro'!$L517,"")</f>
        <v/>
      </c>
      <c r="AC465" s="21" t="str">
        <f>IF(AND('Atividades Micro'!$B517=AC$2,'Atividades Micro'!$K517&lt;&gt;""),'Atividades Micro'!$K517,"")</f>
        <v/>
      </c>
      <c r="AD465" s="21" t="str">
        <f>IF(AND('Atividades Micro'!$B517=AD$2,'Atividades Micro'!$L517&lt;&gt;""),'Atividades Micro'!$L517,"")</f>
        <v/>
      </c>
      <c r="AE465" s="21" t="str">
        <f>IF(AND('Atividades Micro'!$A517=AE$2,'Atividades Micro'!$K517&lt;&gt;""),'Atividades Micro'!$K517,"")</f>
        <v/>
      </c>
      <c r="AF465" s="21" t="str">
        <f>IF(AND('Atividades Micro'!$A517=AF$2,'Atividades Micro'!$L517&lt;&gt;""),'Atividades Micro'!$L517,"")</f>
        <v/>
      </c>
      <c r="AG465" s="21" t="str">
        <f>IF(AND('Atividades Micro'!$B517=AG$2,'Atividades Micro'!$K517&lt;&gt;""),'Atividades Micro'!$K517,"")</f>
        <v/>
      </c>
      <c r="AH465" s="21" t="str">
        <f>IF(AND('Atividades Micro'!$B517=AH$2,'Atividades Micro'!$L517&lt;&gt;""),'Atividades Micro'!$L517,"")</f>
        <v/>
      </c>
      <c r="AI465" s="21" t="str">
        <f>IF(AND('Atividades Micro'!$B517=AI$2,'Atividades Micro'!$K517&lt;&gt;""),'Atividades Micro'!$K517,"")</f>
        <v/>
      </c>
      <c r="AJ465" s="21" t="str">
        <f>IF(AND('Atividades Micro'!$B517=AJ$2,'Atividades Micro'!$L517&lt;&gt;""),'Atividades Micro'!$L517,"")</f>
        <v/>
      </c>
      <c r="AK465" s="21" t="str">
        <f>IF(AND('Atividades Micro'!$A517=AK$2,'Atividades Micro'!$K517&lt;&gt;""),'Atividades Micro'!$K517,"")</f>
        <v/>
      </c>
      <c r="AL465" s="21" t="str">
        <f>IF(AND('Atividades Micro'!$A517=AL$2,'Atividades Micro'!$L517&lt;&gt;""),'Atividades Micro'!$L517,"")</f>
        <v/>
      </c>
      <c r="AM465" s="21" t="str">
        <f>IF(AND('Atividades Micro'!$B517=AM$2,'Atividades Micro'!$K517&lt;&gt;""),'Atividades Micro'!$K517,"")</f>
        <v/>
      </c>
      <c r="AN465" s="21" t="str">
        <f>IF(AND('Atividades Micro'!$B517=AN$2,'Atividades Micro'!$L517&lt;&gt;""),'Atividades Micro'!$L517,"")</f>
        <v/>
      </c>
      <c r="AO465" s="21" t="str">
        <f>IF(AND('Atividades Micro'!$B517=AO$2,'Atividades Micro'!$K517&lt;&gt;""),'Atividades Micro'!$K517,"")</f>
        <v/>
      </c>
      <c r="AP465" s="21" t="str">
        <f>IF(AND('Atividades Micro'!$B517=AP$2,'Atividades Micro'!$L517&lt;&gt;""),'Atividades Micro'!$L517,"")</f>
        <v/>
      </c>
      <c r="AQ465" s="21" t="str">
        <f>IF(AND('Atividades Micro'!$A517=AQ$2,'Atividades Micro'!$K517&lt;&gt;""),'Atividades Micro'!$K517,"")</f>
        <v/>
      </c>
      <c r="AR465" s="21" t="str">
        <f>IF(AND('Atividades Micro'!$A517=AR$2,'Atividades Micro'!$L517&lt;&gt;""),'Atividades Micro'!$L517,"")</f>
        <v/>
      </c>
      <c r="AS465" s="21" t="str">
        <f>IF(AND('Atividades Micro'!$B517=AS$2,'Atividades Micro'!$K517&lt;&gt;""),'Atividades Micro'!$K517,"")</f>
        <v/>
      </c>
      <c r="AT465" s="21" t="str">
        <f>IF(AND('Atividades Micro'!$B517=AT$2,'Atividades Micro'!$L517&lt;&gt;""),'Atividades Micro'!$L517,"")</f>
        <v/>
      </c>
      <c r="AU465" s="21" t="str">
        <f>IF(AND('Atividades Micro'!$A517=AU$2,'Atividades Micro'!$K517&lt;&gt;""),'Atividades Micro'!$K517,"")</f>
        <v/>
      </c>
      <c r="AV465" s="21" t="str">
        <f>IF(AND('Atividades Micro'!$A517=AV$2,'Atividades Micro'!$L517&lt;&gt;""),'Atividades Micro'!$L517,"")</f>
        <v/>
      </c>
      <c r="AW465" s="21" t="str">
        <f>IF(AND('Atividades Micro'!$B517=AW$2,'Atividades Micro'!$K517&lt;&gt;""),'Atividades Micro'!$K517,"")</f>
        <v/>
      </c>
      <c r="AX465" s="21" t="str">
        <f>IF(AND('Atividades Micro'!$B517=AX$2,'Atividades Micro'!$L517&lt;&gt;""),'Atividades Micro'!$L517,"")</f>
        <v/>
      </c>
      <c r="AY465" s="21" t="str">
        <f>IF(AND('Atividades Micro'!$A517=AY$2,'Atividades Micro'!$K517&lt;&gt;""),'Atividades Micro'!$K517,"")</f>
        <v/>
      </c>
      <c r="AZ465" s="21" t="str">
        <f>IF(AND('Atividades Micro'!$A517=AZ$2,'Atividades Micro'!$L517&lt;&gt;""),'Atividades Micro'!$L517,"")</f>
        <v/>
      </c>
      <c r="BA465" s="21" t="str">
        <f>IF(AND('Atividades Micro'!$B517=BA$2,'Atividades Micro'!$K517&lt;&gt;""),'Atividades Micro'!$K517,"")</f>
        <v/>
      </c>
      <c r="BB465" s="21" t="str">
        <f>IF(AND('Atividades Micro'!$B517=BB$2,'Atividades Micro'!$L517&lt;&gt;""),'Atividades Micro'!$L517,"")</f>
        <v/>
      </c>
      <c r="BC465" s="21" t="str">
        <f>IF(AND('Atividades Micro'!$B517=BC$2,'Atividades Micro'!$G517="Macro",'Atividades Micro'!$K517&lt;&gt;""),'Atividades Micro'!$K517,"")</f>
        <v/>
      </c>
      <c r="BD465" s="21" t="str">
        <f>IF(AND('Atividades Micro'!$B517=BD$2,'Atividades Micro'!$G517="Macro",'Atividades Micro'!$K517&lt;&gt;""),'Atividades Micro'!$K517,"")</f>
        <v/>
      </c>
      <c r="BE465" s="21" t="str">
        <f>IF(AND('Atividades Micro'!$B517=BE$2,'Atividades Micro'!$G517="Macro",'Atividades Micro'!$K517&lt;&gt;""),'Atividades Micro'!$K517,"")</f>
        <v/>
      </c>
      <c r="BF465" s="21" t="str">
        <f>IF(AND('Atividades Micro'!$B517=BF$2,'Atividades Micro'!$G517="Macro",'Atividades Micro'!$K517&lt;&gt;""),'Atividades Micro'!$K517,"")</f>
        <v/>
      </c>
      <c r="BG465" s="21" t="str">
        <f>IF(AND('Atividades Micro'!$B517=BG$2,'Atividades Micro'!$G517="Macro",'Atividades Micro'!$K517&lt;&gt;""),'Atividades Micro'!$K517,"")</f>
        <v/>
      </c>
      <c r="BH465" s="21" t="str">
        <f>IF(AND('Atividades Micro'!$B517=BH$2,'Atividades Micro'!$G517="Macro",'Atividades Micro'!$K517&lt;&gt;""),'Atividades Micro'!$K517,"")</f>
        <v/>
      </c>
      <c r="BI465" s="21" t="str">
        <f>IF(AND('Atividades Micro'!$B517=BI$2,'Atividades Micro'!$G517="Macro",'Atividades Micro'!$K517&lt;&gt;""),'Atividades Micro'!$K517,"")</f>
        <v/>
      </c>
      <c r="BJ465" s="21" t="str">
        <f>IF(AND('Atividades Micro'!$B517=BJ$2,'Atividades Micro'!$G517="Macro",'Atividades Micro'!$K517&lt;&gt;""),'Atividades Micro'!$K517,"")</f>
        <v/>
      </c>
      <c r="BK465" s="21" t="str">
        <f>IF(AND('Atividades Micro'!$B517=BK$2,'Atividades Micro'!$G517="Macro",'Atividades Micro'!$K517&lt;&gt;""),'Atividades Micro'!$K517,"")</f>
        <v/>
      </c>
      <c r="BL465" s="21" t="str">
        <f>IF(AND('Atividades Micro'!$B517=BL$2,'Atividades Micro'!$G517="Macro",'Atividades Micro'!$K517&lt;&gt;""),'Atividades Micro'!$K517,"")</f>
        <v/>
      </c>
      <c r="BM465" s="21" t="str">
        <f>IF(AND('Atividades Micro'!$B517=BM$2,'Atividades Micro'!$G517="Macro",'Atividades Micro'!$K517&lt;&gt;""),'Atividades Micro'!$K517,"")</f>
        <v/>
      </c>
      <c r="BN465" s="21" t="str">
        <f>IF(AND('Atividades Micro'!$B517=BN$2,'Atividades Micro'!$G517="Macro",'Atividades Micro'!$K517&lt;&gt;""),'Atividades Micro'!$K517,"")</f>
        <v/>
      </c>
      <c r="BO465" s="21" t="str">
        <f>IF(AND('Atividades Micro'!$B517=BO$2,'Atividades Micro'!$G517="Macro",'Atividades Micro'!$K517&lt;&gt;""),'Atividades Micro'!$K517,"")</f>
        <v/>
      </c>
      <c r="BP465" s="21" t="str">
        <f>IF(AND('Atividades Micro'!$B517=BP$2,'Atividades Micro'!$G517="Macro",'Atividades Micro'!$K517&lt;&gt;""),'Atividades Micro'!$K517,"")</f>
        <v/>
      </c>
      <c r="BQ465" s="21" t="str">
        <f>IF(AND('Atividades Micro'!$B517=BQ$2,'Atividades Micro'!$G517="Macro",'Atividades Micro'!$K517&lt;&gt;""),'Atividades Micro'!$K517,"")</f>
        <v/>
      </c>
      <c r="BR465" s="21" t="str">
        <f>IF(AND('Atividades Micro'!$B517=BR$2,'Atividades Micro'!$G517="Macro",'Atividades Micro'!$K517&lt;&gt;""),'Atividades Micro'!$K517,"")</f>
        <v/>
      </c>
      <c r="BS465" s="21" t="str">
        <f>IF(AND('Atividades Micro'!$B517=BS$2,'Atividades Micro'!$G517="Macro",'Atividades Micro'!$K517&lt;&gt;""),'Atividades Micro'!$K517,"")</f>
        <v/>
      </c>
      <c r="BT465" s="21" t="str">
        <f>IF(AND('Atividades Micro'!$B517=BT$2,'Atividades Micro'!$G517="Macro",'Atividades Micro'!$K517&lt;&gt;""),'Atividades Micro'!$K517,"")</f>
        <v/>
      </c>
      <c r="BU465" s="21" t="str">
        <f>IF(AND('Atividades Micro'!$B517=BU$2,'Atividades Micro'!$G517="Macro",'Atividades Micro'!$K517&lt;&gt;""),'Atividades Micro'!$K517,"")</f>
        <v/>
      </c>
      <c r="BV465" s="21" t="str">
        <f>IF(AND('Atividades Micro'!$B517=BV$2,'Atividades Micro'!$G517="Macro",'Atividades Micro'!$K517&lt;&gt;""),'Atividades Micro'!$K517,"")</f>
        <v/>
      </c>
      <c r="BW465" s="21" t="str">
        <f>IF(AND('Atividades Micro'!$B517=BW$2,'Atividades Micro'!$G517="Macro",'Atividades Micro'!$K517&lt;&gt;""),'Atividades Micro'!$K517,"")</f>
        <v/>
      </c>
      <c r="BX465" s="21" t="str">
        <f>IF(AND('Atividades Micro'!$B517=BX$2,'Atividades Micro'!$G517="Macro",'Atividades Micro'!$K517&lt;&gt;""),'Atividades Micro'!$K517,"")</f>
        <v/>
      </c>
      <c r="BY465" s="21" t="str">
        <f>IF(AND('Atividades Micro'!$B517=BY$2,'Atividades Micro'!$G517="Macro",'Atividades Micro'!$K517&lt;&gt;""),'Atividades Micro'!$K517,"")</f>
        <v/>
      </c>
      <c r="BZ465" s="21" t="str">
        <f>IF(AND('Atividades Micro'!$B517=BZ$2,'Atividades Micro'!$G517="Macro",'Atividades Micro'!$K517&lt;&gt;""),'Atividades Micro'!$K517,"")</f>
        <v/>
      </c>
      <c r="CA465" s="21" t="str">
        <f>IF(AND('Atividades Micro'!$B517=CA$2,'Atividades Micro'!$G517="Macro",'Atividades Micro'!$K517&lt;&gt;""),'Atividades Micro'!$K517,"")</f>
        <v/>
      </c>
      <c r="CB465" s="21" t="str">
        <f>IF(AND('Atividades Micro'!$B517=CB$2,'Atividades Micro'!$G517="Macro",'Atividades Micro'!$K517&lt;&gt;""),'Atividades Micro'!$K517,"")</f>
        <v/>
      </c>
      <c r="CC465" s="21" t="str">
        <f>IF(AND('Atividades Micro'!$B517=CC$2,'Atividades Micro'!$G517="Macro",'Atividades Micro'!$K517&lt;&gt;""),'Atividades Micro'!$K517,"")</f>
        <v/>
      </c>
      <c r="CD465" s="21" t="str">
        <f>IF(AND('Atividades Micro'!$B517=CD$2,'Atividades Micro'!$G517="Micro",'Atividades Micro'!$K517&lt;&gt;""),'Atividades Micro'!$K517,"")</f>
        <v/>
      </c>
      <c r="CE465" s="21" t="str">
        <f>IF(AND('Atividades Micro'!$B517=CE$2,'Atividades Micro'!$G517="Micro",'Atividades Micro'!$K517&lt;&gt;""),'Atividades Micro'!$K517,"")</f>
        <v/>
      </c>
      <c r="CF465" s="21" t="str">
        <f>IF(AND('Atividades Micro'!$B517=CF$2,'Atividades Micro'!$G517="Micro",'Atividades Micro'!$K517&lt;&gt;""),'Atividades Micro'!$K517,"")</f>
        <v/>
      </c>
      <c r="CG465" s="21" t="str">
        <f>IF(AND('Atividades Micro'!$B517=CG$2,'Atividades Micro'!$G517="Micro",'Atividades Micro'!$K517&lt;&gt;""),'Atividades Micro'!$K517,"")</f>
        <v/>
      </c>
      <c r="CH465" s="21" t="str">
        <f>IF(AND('Atividades Micro'!$B517=CH$2,'Atividades Micro'!$G517="Micro",'Atividades Micro'!$K517&lt;&gt;""),'Atividades Micro'!$K517,"")</f>
        <v/>
      </c>
      <c r="CI465" s="21" t="str">
        <f>IF(AND('Atividades Micro'!$B517=CI$2,'Atividades Micro'!$G517="Micro",'Atividades Micro'!$K517&lt;&gt;""),'Atividades Micro'!$K517,"")</f>
        <v/>
      </c>
      <c r="CJ465" s="21" t="str">
        <f>IF(AND('Atividades Micro'!$B517=CJ$2,'Atividades Micro'!$G517="Micro",'Atividades Micro'!$K517&lt;&gt;""),'Atividades Micro'!$K517,"")</f>
        <v/>
      </c>
      <c r="CK465" s="21" t="str">
        <f>IF(AND('Atividades Micro'!$B517=CK$2,'Atividades Micro'!$G517="Micro",'Atividades Micro'!$K517&lt;&gt;""),'Atividades Micro'!$K517,"")</f>
        <v/>
      </c>
      <c r="CL465" s="21" t="str">
        <f>IF(AND('Atividades Micro'!$B517=CL$2,'Atividades Micro'!$G517="Micro",'Atividades Micro'!$K517&lt;&gt;""),'Atividades Micro'!$K517,"")</f>
        <v/>
      </c>
      <c r="CM465" s="21" t="str">
        <f>IF(AND('Atividades Micro'!$B517=CM$2,'Atividades Micro'!$G517="Micro",'Atividades Micro'!$K517&lt;&gt;""),'Atividades Micro'!$K517,"")</f>
        <v/>
      </c>
      <c r="CN465" s="21" t="str">
        <f>IF(AND('Atividades Micro'!$B517=CN$2,'Atividades Micro'!$G517="Micro",'Atividades Micro'!$K517&lt;&gt;""),'Atividades Micro'!$K517,"")</f>
        <v/>
      </c>
      <c r="CO465" s="21" t="str">
        <f>IF(AND('Atividades Micro'!$B517=CO$2,'Atividades Micro'!$G517="Micro",'Atividades Micro'!$K517&lt;&gt;""),'Atividades Micro'!$K517,"")</f>
        <v/>
      </c>
    </row>
    <row r="466" spans="1:93">
      <c r="A466" s="21" t="str">
        <f>IF(AND('Atividades Micro'!$A518=A$2,'Atividades Micro'!$K518&lt;&gt;""),'Atividades Micro'!$K518,"")</f>
        <v/>
      </c>
      <c r="B466" s="21" t="str">
        <f>IF(AND('Atividades Micro'!$A518=B$2,'Atividades Micro'!$L518&lt;&gt;""),'Atividades Micro'!$L518,"")</f>
        <v/>
      </c>
      <c r="C466" s="21" t="str">
        <f>IF(AND('Atividades Micro'!$A518=C$2,'Atividades Micro'!$K518&lt;&gt;""),'Atividades Micro'!$K518,"")</f>
        <v/>
      </c>
      <c r="D466" s="21" t="str">
        <f>IF(AND('Atividades Micro'!$A518=D$2,'Atividades Micro'!$L518&lt;&gt;""),'Atividades Micro'!$L518,"")</f>
        <v/>
      </c>
      <c r="E466" s="21" t="str">
        <f>IF(AND('Atividades Micro'!$A518=E$2,'Atividades Micro'!$K518&lt;&gt;""),'Atividades Micro'!$K518,"")</f>
        <v/>
      </c>
      <c r="F466" s="21" t="str">
        <f>IF(AND('Atividades Micro'!$A518=F$2,'Atividades Micro'!$L518&lt;&gt;""),'Atividades Micro'!$L518,"")</f>
        <v/>
      </c>
      <c r="G466" s="21" t="str">
        <f>IF(AND('Atividades Micro'!$A518=G$2,'Atividades Micro'!$K518&lt;&gt;""),'Atividades Micro'!$K518,"")</f>
        <v/>
      </c>
      <c r="H466" s="21" t="str">
        <f>IF(AND('Atividades Micro'!$A518=H$2,'Atividades Micro'!$L518&lt;&gt;""),'Atividades Micro'!$L518,"")</f>
        <v/>
      </c>
      <c r="I466" s="21" t="str">
        <f>IF(AND('Atividades Micro'!$A518=I$2,'Atividades Micro'!$K518&lt;&gt;""),'Atividades Micro'!$K518,"")</f>
        <v/>
      </c>
      <c r="J466" s="21" t="str">
        <f>IF(AND('Atividades Micro'!$A518=J$2,'Atividades Micro'!$L518&lt;&gt;""),'Atividades Micro'!$L518,"")</f>
        <v/>
      </c>
      <c r="K466" s="21" t="str">
        <f>IF(AND('Atividades Micro'!$B518=K$2,'Atividades Micro'!$K518&lt;&gt;""),'Atividades Micro'!$K518,"")</f>
        <v/>
      </c>
      <c r="L466" s="21" t="str">
        <f>IF(AND('Atividades Micro'!$B518=L$2,'Atividades Micro'!$L518&lt;&gt;""),'Atividades Micro'!$L518,"")</f>
        <v/>
      </c>
      <c r="M466" s="21" t="str">
        <f>IF(AND('Atividades Micro'!$B518=M$2,'Atividades Micro'!$K518&lt;&gt;""),'Atividades Micro'!$K518,"")</f>
        <v/>
      </c>
      <c r="N466" s="21" t="str">
        <f>IF(AND('Atividades Micro'!$B518=N$2,'Atividades Micro'!$L518&lt;&gt;""),'Atividades Micro'!$L518,"")</f>
        <v/>
      </c>
      <c r="O466" s="21" t="str">
        <f>IF(AND('Atividades Micro'!$A518=O$2,'Atividades Micro'!$K518&lt;&gt;""),'Atividades Micro'!$K518,"")</f>
        <v/>
      </c>
      <c r="P466" s="21" t="str">
        <f>IF(AND('Atividades Micro'!$A518=P$2,'Atividades Micro'!$L518&lt;&gt;""),'Atividades Micro'!$L518,"")</f>
        <v/>
      </c>
      <c r="Q466" s="21" t="str">
        <f>IF(AND('Atividades Micro'!$B518=Q$2,'Atividades Micro'!$K518&lt;&gt;""),'Atividades Micro'!$K518,"")</f>
        <v/>
      </c>
      <c r="R466" s="21" t="str">
        <f>IF(AND('Atividades Micro'!$B518=R$2,'Atividades Micro'!$L518&lt;&gt;""),'Atividades Micro'!$L518,"")</f>
        <v/>
      </c>
      <c r="S466" s="21" t="str">
        <f>IF(AND('Atividades Micro'!$A518=S$2,'Atividades Micro'!$K518&lt;&gt;""),'Atividades Micro'!$K518,"")</f>
        <v/>
      </c>
      <c r="T466" s="21" t="str">
        <f>IF(AND('Atividades Micro'!$A518=T$2,'Atividades Micro'!$L518&lt;&gt;""),'Atividades Micro'!$L518,"")</f>
        <v/>
      </c>
      <c r="U466" s="21" t="str">
        <f>IF(AND('Atividades Micro'!$B518=U$2,'Atividades Micro'!$K518&lt;&gt;""),'Atividades Micro'!$K518,"")</f>
        <v/>
      </c>
      <c r="V466" s="21" t="str">
        <f>IF(AND('Atividades Micro'!$B518=V$2,'Atividades Micro'!$L518&lt;&gt;""),'Atividades Micro'!$L518,"")</f>
        <v/>
      </c>
      <c r="W466" s="21" t="str">
        <f>IF(AND('Atividades Micro'!$B518=W$2,'Atividades Micro'!$K518&lt;&gt;""),'Atividades Micro'!$K518,"")</f>
        <v/>
      </c>
      <c r="X466" s="21" t="str">
        <f>IF(AND('Atividades Micro'!$B518=X$2,'Atividades Micro'!$L518&lt;&gt;""),'Atividades Micro'!$L518,"")</f>
        <v/>
      </c>
      <c r="Y466" s="21" t="str">
        <f>IF(AND('Atividades Micro'!$A518=Y$2,'Atividades Micro'!$K518&lt;&gt;""),'Atividades Micro'!$K518,"")</f>
        <v/>
      </c>
      <c r="Z466" s="21" t="str">
        <f>IF(AND('Atividades Micro'!$A518=Z$2,'Atividades Micro'!$L518&lt;&gt;""),'Atividades Micro'!$L518,"")</f>
        <v/>
      </c>
      <c r="AA466" s="21" t="str">
        <f>IF(AND('Atividades Micro'!$B518=AA$2,'Atividades Micro'!$K518&lt;&gt;""),'Atividades Micro'!$K518,"")</f>
        <v/>
      </c>
      <c r="AB466" s="21" t="str">
        <f>IF(AND('Atividades Micro'!$B518=AB$2,'Atividades Micro'!$L518&lt;&gt;""),'Atividades Micro'!$L518,"")</f>
        <v/>
      </c>
      <c r="AC466" s="21" t="str">
        <f>IF(AND('Atividades Micro'!$B518=AC$2,'Atividades Micro'!$K518&lt;&gt;""),'Atividades Micro'!$K518,"")</f>
        <v/>
      </c>
      <c r="AD466" s="21" t="str">
        <f>IF(AND('Atividades Micro'!$B518=AD$2,'Atividades Micro'!$L518&lt;&gt;""),'Atividades Micro'!$L518,"")</f>
        <v/>
      </c>
      <c r="AE466" s="21" t="str">
        <f>IF(AND('Atividades Micro'!$A518=AE$2,'Atividades Micro'!$K518&lt;&gt;""),'Atividades Micro'!$K518,"")</f>
        <v/>
      </c>
      <c r="AF466" s="21" t="str">
        <f>IF(AND('Atividades Micro'!$A518=AF$2,'Atividades Micro'!$L518&lt;&gt;""),'Atividades Micro'!$L518,"")</f>
        <v/>
      </c>
      <c r="AG466" s="21" t="str">
        <f>IF(AND('Atividades Micro'!$B518=AG$2,'Atividades Micro'!$K518&lt;&gt;""),'Atividades Micro'!$K518,"")</f>
        <v/>
      </c>
      <c r="AH466" s="21" t="str">
        <f>IF(AND('Atividades Micro'!$B518=AH$2,'Atividades Micro'!$L518&lt;&gt;""),'Atividades Micro'!$L518,"")</f>
        <v/>
      </c>
      <c r="AI466" s="21" t="str">
        <f>IF(AND('Atividades Micro'!$B518=AI$2,'Atividades Micro'!$K518&lt;&gt;""),'Atividades Micro'!$K518,"")</f>
        <v/>
      </c>
      <c r="AJ466" s="21" t="str">
        <f>IF(AND('Atividades Micro'!$B518=AJ$2,'Atividades Micro'!$L518&lt;&gt;""),'Atividades Micro'!$L518,"")</f>
        <v/>
      </c>
      <c r="AK466" s="21" t="str">
        <f>IF(AND('Atividades Micro'!$A518=AK$2,'Atividades Micro'!$K518&lt;&gt;""),'Atividades Micro'!$K518,"")</f>
        <v/>
      </c>
      <c r="AL466" s="21" t="str">
        <f>IF(AND('Atividades Micro'!$A518=AL$2,'Atividades Micro'!$L518&lt;&gt;""),'Atividades Micro'!$L518,"")</f>
        <v/>
      </c>
      <c r="AM466" s="21" t="str">
        <f>IF(AND('Atividades Micro'!$B518=AM$2,'Atividades Micro'!$K518&lt;&gt;""),'Atividades Micro'!$K518,"")</f>
        <v/>
      </c>
      <c r="AN466" s="21" t="str">
        <f>IF(AND('Atividades Micro'!$B518=AN$2,'Atividades Micro'!$L518&lt;&gt;""),'Atividades Micro'!$L518,"")</f>
        <v/>
      </c>
      <c r="AO466" s="21" t="str">
        <f>IF(AND('Atividades Micro'!$B518=AO$2,'Atividades Micro'!$K518&lt;&gt;""),'Atividades Micro'!$K518,"")</f>
        <v/>
      </c>
      <c r="AP466" s="21" t="str">
        <f>IF(AND('Atividades Micro'!$B518=AP$2,'Atividades Micro'!$L518&lt;&gt;""),'Atividades Micro'!$L518,"")</f>
        <v/>
      </c>
      <c r="AQ466" s="21" t="str">
        <f>IF(AND('Atividades Micro'!$A518=AQ$2,'Atividades Micro'!$K518&lt;&gt;""),'Atividades Micro'!$K518,"")</f>
        <v/>
      </c>
      <c r="AR466" s="21" t="str">
        <f>IF(AND('Atividades Micro'!$A518=AR$2,'Atividades Micro'!$L518&lt;&gt;""),'Atividades Micro'!$L518,"")</f>
        <v/>
      </c>
      <c r="AS466" s="21" t="str">
        <f>IF(AND('Atividades Micro'!$B518=AS$2,'Atividades Micro'!$K518&lt;&gt;""),'Atividades Micro'!$K518,"")</f>
        <v/>
      </c>
      <c r="AT466" s="21" t="str">
        <f>IF(AND('Atividades Micro'!$B518=AT$2,'Atividades Micro'!$L518&lt;&gt;""),'Atividades Micro'!$L518,"")</f>
        <v/>
      </c>
      <c r="AU466" s="21" t="str">
        <f>IF(AND('Atividades Micro'!$A518=AU$2,'Atividades Micro'!$K518&lt;&gt;""),'Atividades Micro'!$K518,"")</f>
        <v/>
      </c>
      <c r="AV466" s="21" t="str">
        <f>IF(AND('Atividades Micro'!$A518=AV$2,'Atividades Micro'!$L518&lt;&gt;""),'Atividades Micro'!$L518,"")</f>
        <v/>
      </c>
      <c r="AW466" s="21" t="str">
        <f>IF(AND('Atividades Micro'!$B518=AW$2,'Atividades Micro'!$K518&lt;&gt;""),'Atividades Micro'!$K518,"")</f>
        <v/>
      </c>
      <c r="AX466" s="21" t="str">
        <f>IF(AND('Atividades Micro'!$B518=AX$2,'Atividades Micro'!$L518&lt;&gt;""),'Atividades Micro'!$L518,"")</f>
        <v/>
      </c>
      <c r="AY466" s="21" t="str">
        <f>IF(AND('Atividades Micro'!$A518=AY$2,'Atividades Micro'!$K518&lt;&gt;""),'Atividades Micro'!$K518,"")</f>
        <v/>
      </c>
      <c r="AZ466" s="21" t="str">
        <f>IF(AND('Atividades Micro'!$A518=AZ$2,'Atividades Micro'!$L518&lt;&gt;""),'Atividades Micro'!$L518,"")</f>
        <v/>
      </c>
      <c r="BA466" s="21" t="str">
        <f>IF(AND('Atividades Micro'!$B518=BA$2,'Atividades Micro'!$K518&lt;&gt;""),'Atividades Micro'!$K518,"")</f>
        <v/>
      </c>
      <c r="BB466" s="21" t="str">
        <f>IF(AND('Atividades Micro'!$B518=BB$2,'Atividades Micro'!$L518&lt;&gt;""),'Atividades Micro'!$L518,"")</f>
        <v/>
      </c>
      <c r="BC466" s="21" t="str">
        <f>IF(AND('Atividades Micro'!$B518=BC$2,'Atividades Micro'!$G518="Macro",'Atividades Micro'!$K518&lt;&gt;""),'Atividades Micro'!$K518,"")</f>
        <v/>
      </c>
      <c r="BD466" s="21" t="str">
        <f>IF(AND('Atividades Micro'!$B518=BD$2,'Atividades Micro'!$G518="Macro",'Atividades Micro'!$K518&lt;&gt;""),'Atividades Micro'!$K518,"")</f>
        <v/>
      </c>
      <c r="BE466" s="21" t="str">
        <f>IF(AND('Atividades Micro'!$B518=BE$2,'Atividades Micro'!$G518="Macro",'Atividades Micro'!$K518&lt;&gt;""),'Atividades Micro'!$K518,"")</f>
        <v/>
      </c>
      <c r="BF466" s="21" t="str">
        <f>IF(AND('Atividades Micro'!$B518=BF$2,'Atividades Micro'!$G518="Macro",'Atividades Micro'!$K518&lt;&gt;""),'Atividades Micro'!$K518,"")</f>
        <v/>
      </c>
      <c r="BG466" s="21" t="str">
        <f>IF(AND('Atividades Micro'!$B518=BG$2,'Atividades Micro'!$G518="Macro",'Atividades Micro'!$K518&lt;&gt;""),'Atividades Micro'!$K518,"")</f>
        <v/>
      </c>
      <c r="BH466" s="21" t="str">
        <f>IF(AND('Atividades Micro'!$B518=BH$2,'Atividades Micro'!$G518="Macro",'Atividades Micro'!$K518&lt;&gt;""),'Atividades Micro'!$K518,"")</f>
        <v/>
      </c>
      <c r="BI466" s="21" t="str">
        <f>IF(AND('Atividades Micro'!$B518=BI$2,'Atividades Micro'!$G518="Macro",'Atividades Micro'!$K518&lt;&gt;""),'Atividades Micro'!$K518,"")</f>
        <v/>
      </c>
      <c r="BJ466" s="21" t="str">
        <f>IF(AND('Atividades Micro'!$B518=BJ$2,'Atividades Micro'!$G518="Macro",'Atividades Micro'!$K518&lt;&gt;""),'Atividades Micro'!$K518,"")</f>
        <v/>
      </c>
      <c r="BK466" s="21" t="str">
        <f>IF(AND('Atividades Micro'!$B518=BK$2,'Atividades Micro'!$G518="Macro",'Atividades Micro'!$K518&lt;&gt;""),'Atividades Micro'!$K518,"")</f>
        <v/>
      </c>
      <c r="BL466" s="21" t="str">
        <f>IF(AND('Atividades Micro'!$B518=BL$2,'Atividades Micro'!$G518="Macro",'Atividades Micro'!$K518&lt;&gt;""),'Atividades Micro'!$K518,"")</f>
        <v/>
      </c>
      <c r="BM466" s="21" t="str">
        <f>IF(AND('Atividades Micro'!$B518=BM$2,'Atividades Micro'!$G518="Macro",'Atividades Micro'!$K518&lt;&gt;""),'Atividades Micro'!$K518,"")</f>
        <v/>
      </c>
      <c r="BN466" s="21" t="str">
        <f>IF(AND('Atividades Micro'!$B518=BN$2,'Atividades Micro'!$G518="Macro",'Atividades Micro'!$K518&lt;&gt;""),'Atividades Micro'!$K518,"")</f>
        <v/>
      </c>
      <c r="BO466" s="21" t="str">
        <f>IF(AND('Atividades Micro'!$B518=BO$2,'Atividades Micro'!$G518="Macro",'Atividades Micro'!$K518&lt;&gt;""),'Atividades Micro'!$K518,"")</f>
        <v/>
      </c>
      <c r="BP466" s="21" t="str">
        <f>IF(AND('Atividades Micro'!$B518=BP$2,'Atividades Micro'!$G518="Macro",'Atividades Micro'!$K518&lt;&gt;""),'Atividades Micro'!$K518,"")</f>
        <v/>
      </c>
      <c r="BQ466" s="21" t="str">
        <f>IF(AND('Atividades Micro'!$B518=BQ$2,'Atividades Micro'!$G518="Macro",'Atividades Micro'!$K518&lt;&gt;""),'Atividades Micro'!$K518,"")</f>
        <v/>
      </c>
      <c r="BR466" s="21" t="str">
        <f>IF(AND('Atividades Micro'!$B518=BR$2,'Atividades Micro'!$G518="Macro",'Atividades Micro'!$K518&lt;&gt;""),'Atividades Micro'!$K518,"")</f>
        <v/>
      </c>
      <c r="BS466" s="21" t="str">
        <f>IF(AND('Atividades Micro'!$B518=BS$2,'Atividades Micro'!$G518="Macro",'Atividades Micro'!$K518&lt;&gt;""),'Atividades Micro'!$K518,"")</f>
        <v/>
      </c>
      <c r="BT466" s="21" t="str">
        <f>IF(AND('Atividades Micro'!$B518=BT$2,'Atividades Micro'!$G518="Macro",'Atividades Micro'!$K518&lt;&gt;""),'Atividades Micro'!$K518,"")</f>
        <v/>
      </c>
      <c r="BU466" s="21" t="str">
        <f>IF(AND('Atividades Micro'!$B518=BU$2,'Atividades Micro'!$G518="Macro",'Atividades Micro'!$K518&lt;&gt;""),'Atividades Micro'!$K518,"")</f>
        <v/>
      </c>
      <c r="BV466" s="21" t="str">
        <f>IF(AND('Atividades Micro'!$B518=BV$2,'Atividades Micro'!$G518="Macro",'Atividades Micro'!$K518&lt;&gt;""),'Atividades Micro'!$K518,"")</f>
        <v/>
      </c>
      <c r="BW466" s="21" t="str">
        <f>IF(AND('Atividades Micro'!$B518=BW$2,'Atividades Micro'!$G518="Macro",'Atividades Micro'!$K518&lt;&gt;""),'Atividades Micro'!$K518,"")</f>
        <v/>
      </c>
      <c r="BX466" s="21" t="str">
        <f>IF(AND('Atividades Micro'!$B518=BX$2,'Atividades Micro'!$G518="Macro",'Atividades Micro'!$K518&lt;&gt;""),'Atividades Micro'!$K518,"")</f>
        <v/>
      </c>
      <c r="BY466" s="21" t="str">
        <f>IF(AND('Atividades Micro'!$B518=BY$2,'Atividades Micro'!$G518="Macro",'Atividades Micro'!$K518&lt;&gt;""),'Atividades Micro'!$K518,"")</f>
        <v/>
      </c>
      <c r="BZ466" s="21" t="str">
        <f>IF(AND('Atividades Micro'!$B518=BZ$2,'Atividades Micro'!$G518="Macro",'Atividades Micro'!$K518&lt;&gt;""),'Atividades Micro'!$K518,"")</f>
        <v/>
      </c>
      <c r="CA466" s="21" t="str">
        <f>IF(AND('Atividades Micro'!$B518=CA$2,'Atividades Micro'!$G518="Macro",'Atividades Micro'!$K518&lt;&gt;""),'Atividades Micro'!$K518,"")</f>
        <v/>
      </c>
      <c r="CB466" s="21" t="str">
        <f>IF(AND('Atividades Micro'!$B518=CB$2,'Atividades Micro'!$G518="Macro",'Atividades Micro'!$K518&lt;&gt;""),'Atividades Micro'!$K518,"")</f>
        <v/>
      </c>
      <c r="CC466" s="21" t="str">
        <f>IF(AND('Atividades Micro'!$B518=CC$2,'Atividades Micro'!$G518="Macro",'Atividades Micro'!$K518&lt;&gt;""),'Atividades Micro'!$K518,"")</f>
        <v/>
      </c>
      <c r="CD466" s="21" t="str">
        <f>IF(AND('Atividades Micro'!$B518=CD$2,'Atividades Micro'!$G518="Micro",'Atividades Micro'!$K518&lt;&gt;""),'Atividades Micro'!$K518,"")</f>
        <v/>
      </c>
      <c r="CE466" s="21" t="str">
        <f>IF(AND('Atividades Micro'!$B518=CE$2,'Atividades Micro'!$G518="Micro",'Atividades Micro'!$K518&lt;&gt;""),'Atividades Micro'!$K518,"")</f>
        <v/>
      </c>
      <c r="CF466" s="21" t="str">
        <f>IF(AND('Atividades Micro'!$B518=CF$2,'Atividades Micro'!$G518="Micro",'Atividades Micro'!$K518&lt;&gt;""),'Atividades Micro'!$K518,"")</f>
        <v/>
      </c>
      <c r="CG466" s="21" t="str">
        <f>IF(AND('Atividades Micro'!$B518=CG$2,'Atividades Micro'!$G518="Micro",'Atividades Micro'!$K518&lt;&gt;""),'Atividades Micro'!$K518,"")</f>
        <v/>
      </c>
      <c r="CH466" s="21" t="str">
        <f>IF(AND('Atividades Micro'!$B518=CH$2,'Atividades Micro'!$G518="Micro",'Atividades Micro'!$K518&lt;&gt;""),'Atividades Micro'!$K518,"")</f>
        <v/>
      </c>
      <c r="CI466" s="21" t="str">
        <f>IF(AND('Atividades Micro'!$B518=CI$2,'Atividades Micro'!$G518="Micro",'Atividades Micro'!$K518&lt;&gt;""),'Atividades Micro'!$K518,"")</f>
        <v/>
      </c>
      <c r="CJ466" s="21" t="str">
        <f>IF(AND('Atividades Micro'!$B518=CJ$2,'Atividades Micro'!$G518="Micro",'Atividades Micro'!$K518&lt;&gt;""),'Atividades Micro'!$K518,"")</f>
        <v/>
      </c>
      <c r="CK466" s="21" t="str">
        <f>IF(AND('Atividades Micro'!$B518=CK$2,'Atividades Micro'!$G518="Micro",'Atividades Micro'!$K518&lt;&gt;""),'Atividades Micro'!$K518,"")</f>
        <v/>
      </c>
      <c r="CL466" s="21" t="str">
        <f>IF(AND('Atividades Micro'!$B518=CL$2,'Atividades Micro'!$G518="Micro",'Atividades Micro'!$K518&lt;&gt;""),'Atividades Micro'!$K518,"")</f>
        <v/>
      </c>
      <c r="CM466" s="21" t="str">
        <f>IF(AND('Atividades Micro'!$B518=CM$2,'Atividades Micro'!$G518="Micro",'Atividades Micro'!$K518&lt;&gt;""),'Atividades Micro'!$K518,"")</f>
        <v/>
      </c>
      <c r="CN466" s="21" t="str">
        <f>IF(AND('Atividades Micro'!$B518=CN$2,'Atividades Micro'!$G518="Micro",'Atividades Micro'!$K518&lt;&gt;""),'Atividades Micro'!$K518,"")</f>
        <v/>
      </c>
      <c r="CO466" s="21" t="str">
        <f>IF(AND('Atividades Micro'!$B518=CO$2,'Atividades Micro'!$G518="Micro",'Atividades Micro'!$K518&lt;&gt;""),'Atividades Micro'!$K518,"")</f>
        <v/>
      </c>
    </row>
    <row r="467" spans="1:93">
      <c r="A467" s="21" t="str">
        <f>IF(AND('Atividades Micro'!$A519=A$2,'Atividades Micro'!$K519&lt;&gt;""),'Atividades Micro'!$K519,"")</f>
        <v/>
      </c>
      <c r="B467" s="21" t="str">
        <f>IF(AND('Atividades Micro'!$A519=B$2,'Atividades Micro'!$L519&lt;&gt;""),'Atividades Micro'!$L519,"")</f>
        <v/>
      </c>
      <c r="C467" s="21" t="str">
        <f>IF(AND('Atividades Micro'!$A519=C$2,'Atividades Micro'!$K519&lt;&gt;""),'Atividades Micro'!$K519,"")</f>
        <v/>
      </c>
      <c r="D467" s="21" t="str">
        <f>IF(AND('Atividades Micro'!$A519=D$2,'Atividades Micro'!$L519&lt;&gt;""),'Atividades Micro'!$L519,"")</f>
        <v/>
      </c>
      <c r="E467" s="21" t="str">
        <f>IF(AND('Atividades Micro'!$A519=E$2,'Atividades Micro'!$K519&lt;&gt;""),'Atividades Micro'!$K519,"")</f>
        <v/>
      </c>
      <c r="F467" s="21" t="str">
        <f>IF(AND('Atividades Micro'!$A519=F$2,'Atividades Micro'!$L519&lt;&gt;""),'Atividades Micro'!$L519,"")</f>
        <v/>
      </c>
      <c r="G467" s="21" t="str">
        <f>IF(AND('Atividades Micro'!$A519=G$2,'Atividades Micro'!$K519&lt;&gt;""),'Atividades Micro'!$K519,"")</f>
        <v/>
      </c>
      <c r="H467" s="21" t="str">
        <f>IF(AND('Atividades Micro'!$A519=H$2,'Atividades Micro'!$L519&lt;&gt;""),'Atividades Micro'!$L519,"")</f>
        <v/>
      </c>
      <c r="I467" s="21" t="str">
        <f>IF(AND('Atividades Micro'!$A519=I$2,'Atividades Micro'!$K519&lt;&gt;""),'Atividades Micro'!$K519,"")</f>
        <v/>
      </c>
      <c r="J467" s="21" t="str">
        <f>IF(AND('Atividades Micro'!$A519=J$2,'Atividades Micro'!$L519&lt;&gt;""),'Atividades Micro'!$L519,"")</f>
        <v/>
      </c>
      <c r="K467" s="21" t="str">
        <f>IF(AND('Atividades Micro'!$B519=K$2,'Atividades Micro'!$K519&lt;&gt;""),'Atividades Micro'!$K519,"")</f>
        <v/>
      </c>
      <c r="L467" s="21" t="str">
        <f>IF(AND('Atividades Micro'!$B519=L$2,'Atividades Micro'!$L519&lt;&gt;""),'Atividades Micro'!$L519,"")</f>
        <v/>
      </c>
      <c r="M467" s="21" t="str">
        <f>IF(AND('Atividades Micro'!$B519=M$2,'Atividades Micro'!$K519&lt;&gt;""),'Atividades Micro'!$K519,"")</f>
        <v/>
      </c>
      <c r="N467" s="21" t="str">
        <f>IF(AND('Atividades Micro'!$B519=N$2,'Atividades Micro'!$L519&lt;&gt;""),'Atividades Micro'!$L519,"")</f>
        <v/>
      </c>
      <c r="O467" s="21" t="str">
        <f>IF(AND('Atividades Micro'!$A519=O$2,'Atividades Micro'!$K519&lt;&gt;""),'Atividades Micro'!$K519,"")</f>
        <v/>
      </c>
      <c r="P467" s="21" t="str">
        <f>IF(AND('Atividades Micro'!$A519=P$2,'Atividades Micro'!$L519&lt;&gt;""),'Atividades Micro'!$L519,"")</f>
        <v/>
      </c>
      <c r="Q467" s="21" t="str">
        <f>IF(AND('Atividades Micro'!$B519=Q$2,'Atividades Micro'!$K519&lt;&gt;""),'Atividades Micro'!$K519,"")</f>
        <v/>
      </c>
      <c r="R467" s="21" t="str">
        <f>IF(AND('Atividades Micro'!$B519=R$2,'Atividades Micro'!$L519&lt;&gt;""),'Atividades Micro'!$L519,"")</f>
        <v/>
      </c>
      <c r="S467" s="21" t="str">
        <f>IF(AND('Atividades Micro'!$A519=S$2,'Atividades Micro'!$K519&lt;&gt;""),'Atividades Micro'!$K519,"")</f>
        <v/>
      </c>
      <c r="T467" s="21" t="str">
        <f>IF(AND('Atividades Micro'!$A519=T$2,'Atividades Micro'!$L519&lt;&gt;""),'Atividades Micro'!$L519,"")</f>
        <v/>
      </c>
      <c r="U467" s="21" t="str">
        <f>IF(AND('Atividades Micro'!$B519=U$2,'Atividades Micro'!$K519&lt;&gt;""),'Atividades Micro'!$K519,"")</f>
        <v/>
      </c>
      <c r="V467" s="21" t="str">
        <f>IF(AND('Atividades Micro'!$B519=V$2,'Atividades Micro'!$L519&lt;&gt;""),'Atividades Micro'!$L519,"")</f>
        <v/>
      </c>
      <c r="W467" s="21" t="str">
        <f>IF(AND('Atividades Micro'!$B519=W$2,'Atividades Micro'!$K519&lt;&gt;""),'Atividades Micro'!$K519,"")</f>
        <v/>
      </c>
      <c r="X467" s="21" t="str">
        <f>IF(AND('Atividades Micro'!$B519=X$2,'Atividades Micro'!$L519&lt;&gt;""),'Atividades Micro'!$L519,"")</f>
        <v/>
      </c>
      <c r="Y467" s="21" t="str">
        <f>IF(AND('Atividades Micro'!$A519=Y$2,'Atividades Micro'!$K519&lt;&gt;""),'Atividades Micro'!$K519,"")</f>
        <v/>
      </c>
      <c r="Z467" s="21" t="str">
        <f>IF(AND('Atividades Micro'!$A519=Z$2,'Atividades Micro'!$L519&lt;&gt;""),'Atividades Micro'!$L519,"")</f>
        <v/>
      </c>
      <c r="AA467" s="21" t="str">
        <f>IF(AND('Atividades Micro'!$B519=AA$2,'Atividades Micro'!$K519&lt;&gt;""),'Atividades Micro'!$K519,"")</f>
        <v/>
      </c>
      <c r="AB467" s="21" t="str">
        <f>IF(AND('Atividades Micro'!$B519=AB$2,'Atividades Micro'!$L519&lt;&gt;""),'Atividades Micro'!$L519,"")</f>
        <v/>
      </c>
      <c r="AC467" s="21" t="str">
        <f>IF(AND('Atividades Micro'!$B519=AC$2,'Atividades Micro'!$K519&lt;&gt;""),'Atividades Micro'!$K519,"")</f>
        <v/>
      </c>
      <c r="AD467" s="21" t="str">
        <f>IF(AND('Atividades Micro'!$B519=AD$2,'Atividades Micro'!$L519&lt;&gt;""),'Atividades Micro'!$L519,"")</f>
        <v/>
      </c>
      <c r="AE467" s="21" t="str">
        <f>IF(AND('Atividades Micro'!$A519=AE$2,'Atividades Micro'!$K519&lt;&gt;""),'Atividades Micro'!$K519,"")</f>
        <v/>
      </c>
      <c r="AF467" s="21" t="str">
        <f>IF(AND('Atividades Micro'!$A519=AF$2,'Atividades Micro'!$L519&lt;&gt;""),'Atividades Micro'!$L519,"")</f>
        <v/>
      </c>
      <c r="AG467" s="21" t="str">
        <f>IF(AND('Atividades Micro'!$B519=AG$2,'Atividades Micro'!$K519&lt;&gt;""),'Atividades Micro'!$K519,"")</f>
        <v/>
      </c>
      <c r="AH467" s="21" t="str">
        <f>IF(AND('Atividades Micro'!$B519=AH$2,'Atividades Micro'!$L519&lt;&gt;""),'Atividades Micro'!$L519,"")</f>
        <v/>
      </c>
      <c r="AI467" s="21" t="str">
        <f>IF(AND('Atividades Micro'!$B519=AI$2,'Atividades Micro'!$K519&lt;&gt;""),'Atividades Micro'!$K519,"")</f>
        <v/>
      </c>
      <c r="AJ467" s="21" t="str">
        <f>IF(AND('Atividades Micro'!$B519=AJ$2,'Atividades Micro'!$L519&lt;&gt;""),'Atividades Micro'!$L519,"")</f>
        <v/>
      </c>
      <c r="AK467" s="21" t="str">
        <f>IF(AND('Atividades Micro'!$A519=AK$2,'Atividades Micro'!$K519&lt;&gt;""),'Atividades Micro'!$K519,"")</f>
        <v/>
      </c>
      <c r="AL467" s="21" t="str">
        <f>IF(AND('Atividades Micro'!$A519=AL$2,'Atividades Micro'!$L519&lt;&gt;""),'Atividades Micro'!$L519,"")</f>
        <v/>
      </c>
      <c r="AM467" s="21" t="str">
        <f>IF(AND('Atividades Micro'!$B519=AM$2,'Atividades Micro'!$K519&lt;&gt;""),'Atividades Micro'!$K519,"")</f>
        <v/>
      </c>
      <c r="AN467" s="21" t="str">
        <f>IF(AND('Atividades Micro'!$B519=AN$2,'Atividades Micro'!$L519&lt;&gt;""),'Atividades Micro'!$L519,"")</f>
        <v/>
      </c>
      <c r="AO467" s="21" t="str">
        <f>IF(AND('Atividades Micro'!$B519=AO$2,'Atividades Micro'!$K519&lt;&gt;""),'Atividades Micro'!$K519,"")</f>
        <v/>
      </c>
      <c r="AP467" s="21" t="str">
        <f>IF(AND('Atividades Micro'!$B519=AP$2,'Atividades Micro'!$L519&lt;&gt;""),'Atividades Micro'!$L519,"")</f>
        <v/>
      </c>
      <c r="AQ467" s="21" t="str">
        <f>IF(AND('Atividades Micro'!$A519=AQ$2,'Atividades Micro'!$K519&lt;&gt;""),'Atividades Micro'!$K519,"")</f>
        <v/>
      </c>
      <c r="AR467" s="21" t="str">
        <f>IF(AND('Atividades Micro'!$A519=AR$2,'Atividades Micro'!$L519&lt;&gt;""),'Atividades Micro'!$L519,"")</f>
        <v/>
      </c>
      <c r="AS467" s="21" t="str">
        <f>IF(AND('Atividades Micro'!$B519=AS$2,'Atividades Micro'!$K519&lt;&gt;""),'Atividades Micro'!$K519,"")</f>
        <v/>
      </c>
      <c r="AT467" s="21" t="str">
        <f>IF(AND('Atividades Micro'!$B519=AT$2,'Atividades Micro'!$L519&lt;&gt;""),'Atividades Micro'!$L519,"")</f>
        <v/>
      </c>
      <c r="AU467" s="21" t="str">
        <f>IF(AND('Atividades Micro'!$A519=AU$2,'Atividades Micro'!$K519&lt;&gt;""),'Atividades Micro'!$K519,"")</f>
        <v/>
      </c>
      <c r="AV467" s="21" t="str">
        <f>IF(AND('Atividades Micro'!$A519=AV$2,'Atividades Micro'!$L519&lt;&gt;""),'Atividades Micro'!$L519,"")</f>
        <v/>
      </c>
      <c r="AW467" s="21" t="str">
        <f>IF(AND('Atividades Micro'!$B519=AW$2,'Atividades Micro'!$K519&lt;&gt;""),'Atividades Micro'!$K519,"")</f>
        <v/>
      </c>
      <c r="AX467" s="21" t="str">
        <f>IF(AND('Atividades Micro'!$B519=AX$2,'Atividades Micro'!$L519&lt;&gt;""),'Atividades Micro'!$L519,"")</f>
        <v/>
      </c>
      <c r="AY467" s="21" t="str">
        <f>IF(AND('Atividades Micro'!$A519=AY$2,'Atividades Micro'!$K519&lt;&gt;""),'Atividades Micro'!$K519,"")</f>
        <v/>
      </c>
      <c r="AZ467" s="21" t="str">
        <f>IF(AND('Atividades Micro'!$A519=AZ$2,'Atividades Micro'!$L519&lt;&gt;""),'Atividades Micro'!$L519,"")</f>
        <v/>
      </c>
      <c r="BA467" s="21" t="str">
        <f>IF(AND('Atividades Micro'!$B519=BA$2,'Atividades Micro'!$K519&lt;&gt;""),'Atividades Micro'!$K519,"")</f>
        <v/>
      </c>
      <c r="BB467" s="21" t="str">
        <f>IF(AND('Atividades Micro'!$B519=BB$2,'Atividades Micro'!$L519&lt;&gt;""),'Atividades Micro'!$L519,"")</f>
        <v/>
      </c>
      <c r="BC467" s="21" t="str">
        <f>IF(AND('Atividades Micro'!$B519=BC$2,'Atividades Micro'!$G519="Macro",'Atividades Micro'!$K519&lt;&gt;""),'Atividades Micro'!$K519,"")</f>
        <v/>
      </c>
      <c r="BD467" s="21" t="str">
        <f>IF(AND('Atividades Micro'!$B519=BD$2,'Atividades Micro'!$G519="Macro",'Atividades Micro'!$K519&lt;&gt;""),'Atividades Micro'!$K519,"")</f>
        <v/>
      </c>
      <c r="BE467" s="21" t="str">
        <f>IF(AND('Atividades Micro'!$B519=BE$2,'Atividades Micro'!$G519="Macro",'Atividades Micro'!$K519&lt;&gt;""),'Atividades Micro'!$K519,"")</f>
        <v/>
      </c>
      <c r="BF467" s="21" t="str">
        <f>IF(AND('Atividades Micro'!$B519=BF$2,'Atividades Micro'!$G519="Macro",'Atividades Micro'!$K519&lt;&gt;""),'Atividades Micro'!$K519,"")</f>
        <v/>
      </c>
      <c r="BG467" s="21" t="str">
        <f>IF(AND('Atividades Micro'!$B519=BG$2,'Atividades Micro'!$G519="Macro",'Atividades Micro'!$K519&lt;&gt;""),'Atividades Micro'!$K519,"")</f>
        <v/>
      </c>
      <c r="BH467" s="21" t="str">
        <f>IF(AND('Atividades Micro'!$B519=BH$2,'Atividades Micro'!$G519="Macro",'Atividades Micro'!$K519&lt;&gt;""),'Atividades Micro'!$K519,"")</f>
        <v/>
      </c>
      <c r="BI467" s="21" t="str">
        <f>IF(AND('Atividades Micro'!$B519=BI$2,'Atividades Micro'!$G519="Macro",'Atividades Micro'!$K519&lt;&gt;""),'Atividades Micro'!$K519,"")</f>
        <v/>
      </c>
      <c r="BJ467" s="21" t="str">
        <f>IF(AND('Atividades Micro'!$B519=BJ$2,'Atividades Micro'!$G519="Macro",'Atividades Micro'!$K519&lt;&gt;""),'Atividades Micro'!$K519,"")</f>
        <v/>
      </c>
      <c r="BK467" s="21" t="str">
        <f>IF(AND('Atividades Micro'!$B519=BK$2,'Atividades Micro'!$G519="Macro",'Atividades Micro'!$K519&lt;&gt;""),'Atividades Micro'!$K519,"")</f>
        <v/>
      </c>
      <c r="BL467" s="21" t="str">
        <f>IF(AND('Atividades Micro'!$B519=BL$2,'Atividades Micro'!$G519="Macro",'Atividades Micro'!$K519&lt;&gt;""),'Atividades Micro'!$K519,"")</f>
        <v/>
      </c>
      <c r="BM467" s="21" t="str">
        <f>IF(AND('Atividades Micro'!$B519=BM$2,'Atividades Micro'!$G519="Macro",'Atividades Micro'!$K519&lt;&gt;""),'Atividades Micro'!$K519,"")</f>
        <v/>
      </c>
      <c r="BN467" s="21" t="str">
        <f>IF(AND('Atividades Micro'!$B519=BN$2,'Atividades Micro'!$G519="Macro",'Atividades Micro'!$K519&lt;&gt;""),'Atividades Micro'!$K519,"")</f>
        <v/>
      </c>
      <c r="BO467" s="21" t="str">
        <f>IF(AND('Atividades Micro'!$B519=BO$2,'Atividades Micro'!$G519="Macro",'Atividades Micro'!$K519&lt;&gt;""),'Atividades Micro'!$K519,"")</f>
        <v/>
      </c>
      <c r="BP467" s="21" t="str">
        <f>IF(AND('Atividades Micro'!$B519=BP$2,'Atividades Micro'!$G519="Macro",'Atividades Micro'!$K519&lt;&gt;""),'Atividades Micro'!$K519,"")</f>
        <v/>
      </c>
      <c r="BQ467" s="21" t="str">
        <f>IF(AND('Atividades Micro'!$B519=BQ$2,'Atividades Micro'!$G519="Macro",'Atividades Micro'!$K519&lt;&gt;""),'Atividades Micro'!$K519,"")</f>
        <v/>
      </c>
      <c r="BR467" s="21" t="str">
        <f>IF(AND('Atividades Micro'!$B519=BR$2,'Atividades Micro'!$G519="Macro",'Atividades Micro'!$K519&lt;&gt;""),'Atividades Micro'!$K519,"")</f>
        <v/>
      </c>
      <c r="BS467" s="21" t="str">
        <f>IF(AND('Atividades Micro'!$B519=BS$2,'Atividades Micro'!$G519="Macro",'Atividades Micro'!$K519&lt;&gt;""),'Atividades Micro'!$K519,"")</f>
        <v/>
      </c>
      <c r="BT467" s="21" t="str">
        <f>IF(AND('Atividades Micro'!$B519=BT$2,'Atividades Micro'!$G519="Macro",'Atividades Micro'!$K519&lt;&gt;""),'Atividades Micro'!$K519,"")</f>
        <v/>
      </c>
      <c r="BU467" s="21" t="str">
        <f>IF(AND('Atividades Micro'!$B519=BU$2,'Atividades Micro'!$G519="Macro",'Atividades Micro'!$K519&lt;&gt;""),'Atividades Micro'!$K519,"")</f>
        <v/>
      </c>
      <c r="BV467" s="21" t="str">
        <f>IF(AND('Atividades Micro'!$B519=BV$2,'Atividades Micro'!$G519="Macro",'Atividades Micro'!$K519&lt;&gt;""),'Atividades Micro'!$K519,"")</f>
        <v/>
      </c>
      <c r="BW467" s="21" t="str">
        <f>IF(AND('Atividades Micro'!$B519=BW$2,'Atividades Micro'!$G519="Macro",'Atividades Micro'!$K519&lt;&gt;""),'Atividades Micro'!$K519,"")</f>
        <v/>
      </c>
      <c r="BX467" s="21" t="str">
        <f>IF(AND('Atividades Micro'!$B519=BX$2,'Atividades Micro'!$G519="Macro",'Atividades Micro'!$K519&lt;&gt;""),'Atividades Micro'!$K519,"")</f>
        <v/>
      </c>
      <c r="BY467" s="21" t="str">
        <f>IF(AND('Atividades Micro'!$B519=BY$2,'Atividades Micro'!$G519="Macro",'Atividades Micro'!$K519&lt;&gt;""),'Atividades Micro'!$K519,"")</f>
        <v/>
      </c>
      <c r="BZ467" s="21" t="str">
        <f>IF(AND('Atividades Micro'!$B519=BZ$2,'Atividades Micro'!$G519="Macro",'Atividades Micro'!$K519&lt;&gt;""),'Atividades Micro'!$K519,"")</f>
        <v/>
      </c>
      <c r="CA467" s="21" t="str">
        <f>IF(AND('Atividades Micro'!$B519=CA$2,'Atividades Micro'!$G519="Macro",'Atividades Micro'!$K519&lt;&gt;""),'Atividades Micro'!$K519,"")</f>
        <v/>
      </c>
      <c r="CB467" s="21" t="str">
        <f>IF(AND('Atividades Micro'!$B519=CB$2,'Atividades Micro'!$G519="Macro",'Atividades Micro'!$K519&lt;&gt;""),'Atividades Micro'!$K519,"")</f>
        <v/>
      </c>
      <c r="CC467" s="21" t="str">
        <f>IF(AND('Atividades Micro'!$B519=CC$2,'Atividades Micro'!$G519="Macro",'Atividades Micro'!$K519&lt;&gt;""),'Atividades Micro'!$K519,"")</f>
        <v/>
      </c>
      <c r="CD467" s="21" t="str">
        <f>IF(AND('Atividades Micro'!$B519=CD$2,'Atividades Micro'!$G519="Micro",'Atividades Micro'!$K519&lt;&gt;""),'Atividades Micro'!$K519,"")</f>
        <v/>
      </c>
      <c r="CE467" s="21" t="str">
        <f>IF(AND('Atividades Micro'!$B519=CE$2,'Atividades Micro'!$G519="Micro",'Atividades Micro'!$K519&lt;&gt;""),'Atividades Micro'!$K519,"")</f>
        <v/>
      </c>
      <c r="CF467" s="21" t="str">
        <f>IF(AND('Atividades Micro'!$B519=CF$2,'Atividades Micro'!$G519="Micro",'Atividades Micro'!$K519&lt;&gt;""),'Atividades Micro'!$K519,"")</f>
        <v/>
      </c>
      <c r="CG467" s="21" t="str">
        <f>IF(AND('Atividades Micro'!$B519=CG$2,'Atividades Micro'!$G519="Micro",'Atividades Micro'!$K519&lt;&gt;""),'Atividades Micro'!$K519,"")</f>
        <v/>
      </c>
      <c r="CH467" s="21" t="str">
        <f>IF(AND('Atividades Micro'!$B519=CH$2,'Atividades Micro'!$G519="Micro",'Atividades Micro'!$K519&lt;&gt;""),'Atividades Micro'!$K519,"")</f>
        <v/>
      </c>
      <c r="CI467" s="21" t="str">
        <f>IF(AND('Atividades Micro'!$B519=CI$2,'Atividades Micro'!$G519="Micro",'Atividades Micro'!$K519&lt;&gt;""),'Atividades Micro'!$K519,"")</f>
        <v/>
      </c>
      <c r="CJ467" s="21" t="str">
        <f>IF(AND('Atividades Micro'!$B519=CJ$2,'Atividades Micro'!$G519="Micro",'Atividades Micro'!$K519&lt;&gt;""),'Atividades Micro'!$K519,"")</f>
        <v/>
      </c>
      <c r="CK467" s="21" t="str">
        <f>IF(AND('Atividades Micro'!$B519=CK$2,'Atividades Micro'!$G519="Micro",'Atividades Micro'!$K519&lt;&gt;""),'Atividades Micro'!$K519,"")</f>
        <v/>
      </c>
      <c r="CL467" s="21" t="str">
        <f>IF(AND('Atividades Micro'!$B519=CL$2,'Atividades Micro'!$G519="Micro",'Atividades Micro'!$K519&lt;&gt;""),'Atividades Micro'!$K519,"")</f>
        <v/>
      </c>
      <c r="CM467" s="21" t="str">
        <f>IF(AND('Atividades Micro'!$B519=CM$2,'Atividades Micro'!$G519="Micro",'Atividades Micro'!$K519&lt;&gt;""),'Atividades Micro'!$K519,"")</f>
        <v/>
      </c>
      <c r="CN467" s="21" t="str">
        <f>IF(AND('Atividades Micro'!$B519=CN$2,'Atividades Micro'!$G519="Micro",'Atividades Micro'!$K519&lt;&gt;""),'Atividades Micro'!$K519,"")</f>
        <v/>
      </c>
      <c r="CO467" s="21" t="str">
        <f>IF(AND('Atividades Micro'!$B519=CO$2,'Atividades Micro'!$G519="Micro",'Atividades Micro'!$K519&lt;&gt;""),'Atividades Micro'!$K519,"")</f>
        <v/>
      </c>
    </row>
    <row r="468" spans="1:93">
      <c r="A468" s="21" t="str">
        <f>IF(AND('Atividades Micro'!$A520=A$2,'Atividades Micro'!$K520&lt;&gt;""),'Atividades Micro'!$K520,"")</f>
        <v/>
      </c>
      <c r="B468" s="21" t="str">
        <f>IF(AND('Atividades Micro'!$A520=B$2,'Atividades Micro'!$L520&lt;&gt;""),'Atividades Micro'!$L520,"")</f>
        <v/>
      </c>
      <c r="C468" s="21" t="str">
        <f>IF(AND('Atividades Micro'!$A520=C$2,'Atividades Micro'!$K520&lt;&gt;""),'Atividades Micro'!$K520,"")</f>
        <v/>
      </c>
      <c r="D468" s="21" t="str">
        <f>IF(AND('Atividades Micro'!$A520=D$2,'Atividades Micro'!$L520&lt;&gt;""),'Atividades Micro'!$L520,"")</f>
        <v/>
      </c>
      <c r="E468" s="21" t="str">
        <f>IF(AND('Atividades Micro'!$A520=E$2,'Atividades Micro'!$K520&lt;&gt;""),'Atividades Micro'!$K520,"")</f>
        <v/>
      </c>
      <c r="F468" s="21" t="str">
        <f>IF(AND('Atividades Micro'!$A520=F$2,'Atividades Micro'!$L520&lt;&gt;""),'Atividades Micro'!$L520,"")</f>
        <v/>
      </c>
      <c r="G468" s="21" t="str">
        <f>IF(AND('Atividades Micro'!$A520=G$2,'Atividades Micro'!$K520&lt;&gt;""),'Atividades Micro'!$K520,"")</f>
        <v/>
      </c>
      <c r="H468" s="21" t="str">
        <f>IF(AND('Atividades Micro'!$A520=H$2,'Atividades Micro'!$L520&lt;&gt;""),'Atividades Micro'!$L520,"")</f>
        <v/>
      </c>
      <c r="I468" s="21" t="str">
        <f>IF(AND('Atividades Micro'!$A520=I$2,'Atividades Micro'!$K520&lt;&gt;""),'Atividades Micro'!$K520,"")</f>
        <v/>
      </c>
      <c r="J468" s="21" t="str">
        <f>IF(AND('Atividades Micro'!$A520=J$2,'Atividades Micro'!$L520&lt;&gt;""),'Atividades Micro'!$L520,"")</f>
        <v/>
      </c>
      <c r="K468" s="21" t="str">
        <f>IF(AND('Atividades Micro'!$B520=K$2,'Atividades Micro'!$K520&lt;&gt;""),'Atividades Micro'!$K520,"")</f>
        <v/>
      </c>
      <c r="L468" s="21" t="str">
        <f>IF(AND('Atividades Micro'!$B520=L$2,'Atividades Micro'!$L520&lt;&gt;""),'Atividades Micro'!$L520,"")</f>
        <v/>
      </c>
      <c r="M468" s="21" t="str">
        <f>IF(AND('Atividades Micro'!$B520=M$2,'Atividades Micro'!$K520&lt;&gt;""),'Atividades Micro'!$K520,"")</f>
        <v/>
      </c>
      <c r="N468" s="21" t="str">
        <f>IF(AND('Atividades Micro'!$B520=N$2,'Atividades Micro'!$L520&lt;&gt;""),'Atividades Micro'!$L520,"")</f>
        <v/>
      </c>
      <c r="O468" s="21" t="str">
        <f>IF(AND('Atividades Micro'!$A520=O$2,'Atividades Micro'!$K520&lt;&gt;""),'Atividades Micro'!$K520,"")</f>
        <v/>
      </c>
      <c r="P468" s="21" t="str">
        <f>IF(AND('Atividades Micro'!$A520=P$2,'Atividades Micro'!$L520&lt;&gt;""),'Atividades Micro'!$L520,"")</f>
        <v/>
      </c>
      <c r="Q468" s="21" t="str">
        <f>IF(AND('Atividades Micro'!$B520=Q$2,'Atividades Micro'!$K520&lt;&gt;""),'Atividades Micro'!$K520,"")</f>
        <v/>
      </c>
      <c r="R468" s="21" t="str">
        <f>IF(AND('Atividades Micro'!$B520=R$2,'Atividades Micro'!$L520&lt;&gt;""),'Atividades Micro'!$L520,"")</f>
        <v/>
      </c>
      <c r="S468" s="21" t="str">
        <f>IF(AND('Atividades Micro'!$A520=S$2,'Atividades Micro'!$K520&lt;&gt;""),'Atividades Micro'!$K520,"")</f>
        <v/>
      </c>
      <c r="T468" s="21" t="str">
        <f>IF(AND('Atividades Micro'!$A520=T$2,'Atividades Micro'!$L520&lt;&gt;""),'Atividades Micro'!$L520,"")</f>
        <v/>
      </c>
      <c r="U468" s="21" t="str">
        <f>IF(AND('Atividades Micro'!$B520=U$2,'Atividades Micro'!$K520&lt;&gt;""),'Atividades Micro'!$K520,"")</f>
        <v/>
      </c>
      <c r="V468" s="21" t="str">
        <f>IF(AND('Atividades Micro'!$B520=V$2,'Atividades Micro'!$L520&lt;&gt;""),'Atividades Micro'!$L520,"")</f>
        <v/>
      </c>
      <c r="W468" s="21" t="str">
        <f>IF(AND('Atividades Micro'!$B520=W$2,'Atividades Micro'!$K520&lt;&gt;""),'Atividades Micro'!$K520,"")</f>
        <v/>
      </c>
      <c r="X468" s="21" t="str">
        <f>IF(AND('Atividades Micro'!$B520=X$2,'Atividades Micro'!$L520&lt;&gt;""),'Atividades Micro'!$L520,"")</f>
        <v/>
      </c>
      <c r="Y468" s="21" t="str">
        <f>IF(AND('Atividades Micro'!$A520=Y$2,'Atividades Micro'!$K520&lt;&gt;""),'Atividades Micro'!$K520,"")</f>
        <v/>
      </c>
      <c r="Z468" s="21" t="str">
        <f>IF(AND('Atividades Micro'!$A520=Z$2,'Atividades Micro'!$L520&lt;&gt;""),'Atividades Micro'!$L520,"")</f>
        <v/>
      </c>
      <c r="AA468" s="21" t="str">
        <f>IF(AND('Atividades Micro'!$B520=AA$2,'Atividades Micro'!$K520&lt;&gt;""),'Atividades Micro'!$K520,"")</f>
        <v/>
      </c>
      <c r="AB468" s="21" t="str">
        <f>IF(AND('Atividades Micro'!$B520=AB$2,'Atividades Micro'!$L520&lt;&gt;""),'Atividades Micro'!$L520,"")</f>
        <v/>
      </c>
      <c r="AC468" s="21" t="str">
        <f>IF(AND('Atividades Micro'!$B520=AC$2,'Atividades Micro'!$K520&lt;&gt;""),'Atividades Micro'!$K520,"")</f>
        <v/>
      </c>
      <c r="AD468" s="21" t="str">
        <f>IF(AND('Atividades Micro'!$B520=AD$2,'Atividades Micro'!$L520&lt;&gt;""),'Atividades Micro'!$L520,"")</f>
        <v/>
      </c>
      <c r="AE468" s="21" t="str">
        <f>IF(AND('Atividades Micro'!$A520=AE$2,'Atividades Micro'!$K520&lt;&gt;""),'Atividades Micro'!$K520,"")</f>
        <v/>
      </c>
      <c r="AF468" s="21" t="str">
        <f>IF(AND('Atividades Micro'!$A520=AF$2,'Atividades Micro'!$L520&lt;&gt;""),'Atividades Micro'!$L520,"")</f>
        <v/>
      </c>
      <c r="AG468" s="21" t="str">
        <f>IF(AND('Atividades Micro'!$B520=AG$2,'Atividades Micro'!$K520&lt;&gt;""),'Atividades Micro'!$K520,"")</f>
        <v/>
      </c>
      <c r="AH468" s="21" t="str">
        <f>IF(AND('Atividades Micro'!$B520=AH$2,'Atividades Micro'!$L520&lt;&gt;""),'Atividades Micro'!$L520,"")</f>
        <v/>
      </c>
      <c r="AI468" s="21" t="str">
        <f>IF(AND('Atividades Micro'!$B520=AI$2,'Atividades Micro'!$K520&lt;&gt;""),'Atividades Micro'!$K520,"")</f>
        <v/>
      </c>
      <c r="AJ468" s="21" t="str">
        <f>IF(AND('Atividades Micro'!$B520=AJ$2,'Atividades Micro'!$L520&lt;&gt;""),'Atividades Micro'!$L520,"")</f>
        <v/>
      </c>
      <c r="AK468" s="21" t="str">
        <f>IF(AND('Atividades Micro'!$A520=AK$2,'Atividades Micro'!$K520&lt;&gt;""),'Atividades Micro'!$K520,"")</f>
        <v/>
      </c>
      <c r="AL468" s="21" t="str">
        <f>IF(AND('Atividades Micro'!$A520=AL$2,'Atividades Micro'!$L520&lt;&gt;""),'Atividades Micro'!$L520,"")</f>
        <v/>
      </c>
      <c r="AM468" s="21" t="str">
        <f>IF(AND('Atividades Micro'!$B520=AM$2,'Atividades Micro'!$K520&lt;&gt;""),'Atividades Micro'!$K520,"")</f>
        <v/>
      </c>
      <c r="AN468" s="21" t="str">
        <f>IF(AND('Atividades Micro'!$B520=AN$2,'Atividades Micro'!$L520&lt;&gt;""),'Atividades Micro'!$L520,"")</f>
        <v/>
      </c>
      <c r="AO468" s="21" t="str">
        <f>IF(AND('Atividades Micro'!$B520=AO$2,'Atividades Micro'!$K520&lt;&gt;""),'Atividades Micro'!$K520,"")</f>
        <v/>
      </c>
      <c r="AP468" s="21" t="str">
        <f>IF(AND('Atividades Micro'!$B520=AP$2,'Atividades Micro'!$L520&lt;&gt;""),'Atividades Micro'!$L520,"")</f>
        <v/>
      </c>
      <c r="AQ468" s="21" t="str">
        <f>IF(AND('Atividades Micro'!$A520=AQ$2,'Atividades Micro'!$K520&lt;&gt;""),'Atividades Micro'!$K520,"")</f>
        <v/>
      </c>
      <c r="AR468" s="21" t="str">
        <f>IF(AND('Atividades Micro'!$A520=AR$2,'Atividades Micro'!$L520&lt;&gt;""),'Atividades Micro'!$L520,"")</f>
        <v/>
      </c>
      <c r="AS468" s="21" t="str">
        <f>IF(AND('Atividades Micro'!$B520=AS$2,'Atividades Micro'!$K520&lt;&gt;""),'Atividades Micro'!$K520,"")</f>
        <v/>
      </c>
      <c r="AT468" s="21" t="str">
        <f>IF(AND('Atividades Micro'!$B520=AT$2,'Atividades Micro'!$L520&lt;&gt;""),'Atividades Micro'!$L520,"")</f>
        <v/>
      </c>
      <c r="AU468" s="21" t="str">
        <f>IF(AND('Atividades Micro'!$A520=AU$2,'Atividades Micro'!$K520&lt;&gt;""),'Atividades Micro'!$K520,"")</f>
        <v/>
      </c>
      <c r="AV468" s="21" t="str">
        <f>IF(AND('Atividades Micro'!$A520=AV$2,'Atividades Micro'!$L520&lt;&gt;""),'Atividades Micro'!$L520,"")</f>
        <v/>
      </c>
      <c r="AW468" s="21" t="str">
        <f>IF(AND('Atividades Micro'!$B520=AW$2,'Atividades Micro'!$K520&lt;&gt;""),'Atividades Micro'!$K520,"")</f>
        <v/>
      </c>
      <c r="AX468" s="21" t="str">
        <f>IF(AND('Atividades Micro'!$B520=AX$2,'Atividades Micro'!$L520&lt;&gt;""),'Atividades Micro'!$L520,"")</f>
        <v/>
      </c>
      <c r="AY468" s="21" t="str">
        <f>IF(AND('Atividades Micro'!$A520=AY$2,'Atividades Micro'!$K520&lt;&gt;""),'Atividades Micro'!$K520,"")</f>
        <v/>
      </c>
      <c r="AZ468" s="21" t="str">
        <f>IF(AND('Atividades Micro'!$A520=AZ$2,'Atividades Micro'!$L520&lt;&gt;""),'Atividades Micro'!$L520,"")</f>
        <v/>
      </c>
      <c r="BA468" s="21" t="str">
        <f>IF(AND('Atividades Micro'!$B520=BA$2,'Atividades Micro'!$K520&lt;&gt;""),'Atividades Micro'!$K520,"")</f>
        <v/>
      </c>
      <c r="BB468" s="21" t="str">
        <f>IF(AND('Atividades Micro'!$B520=BB$2,'Atividades Micro'!$L520&lt;&gt;""),'Atividades Micro'!$L520,"")</f>
        <v/>
      </c>
      <c r="BC468" s="21" t="str">
        <f>IF(AND('Atividades Micro'!$B520=BC$2,'Atividades Micro'!$G520="Macro",'Atividades Micro'!$K520&lt;&gt;""),'Atividades Micro'!$K520,"")</f>
        <v/>
      </c>
      <c r="BD468" s="21" t="str">
        <f>IF(AND('Atividades Micro'!$B520=BD$2,'Atividades Micro'!$G520="Macro",'Atividades Micro'!$K520&lt;&gt;""),'Atividades Micro'!$K520,"")</f>
        <v/>
      </c>
      <c r="BE468" s="21" t="str">
        <f>IF(AND('Atividades Micro'!$B520=BE$2,'Atividades Micro'!$G520="Macro",'Atividades Micro'!$K520&lt;&gt;""),'Atividades Micro'!$K520,"")</f>
        <v/>
      </c>
      <c r="BF468" s="21" t="str">
        <f>IF(AND('Atividades Micro'!$B520=BF$2,'Atividades Micro'!$G520="Macro",'Atividades Micro'!$K520&lt;&gt;""),'Atividades Micro'!$K520,"")</f>
        <v/>
      </c>
      <c r="BG468" s="21" t="str">
        <f>IF(AND('Atividades Micro'!$B520=BG$2,'Atividades Micro'!$G520="Macro",'Atividades Micro'!$K520&lt;&gt;""),'Atividades Micro'!$K520,"")</f>
        <v/>
      </c>
      <c r="BH468" s="21" t="str">
        <f>IF(AND('Atividades Micro'!$B520=BH$2,'Atividades Micro'!$G520="Macro",'Atividades Micro'!$K520&lt;&gt;""),'Atividades Micro'!$K520,"")</f>
        <v/>
      </c>
      <c r="BI468" s="21" t="str">
        <f>IF(AND('Atividades Micro'!$B520=BI$2,'Atividades Micro'!$G520="Macro",'Atividades Micro'!$K520&lt;&gt;""),'Atividades Micro'!$K520,"")</f>
        <v/>
      </c>
      <c r="BJ468" s="21" t="str">
        <f>IF(AND('Atividades Micro'!$B520=BJ$2,'Atividades Micro'!$G520="Macro",'Atividades Micro'!$K520&lt;&gt;""),'Atividades Micro'!$K520,"")</f>
        <v/>
      </c>
      <c r="BK468" s="21" t="str">
        <f>IF(AND('Atividades Micro'!$B520=BK$2,'Atividades Micro'!$G520="Macro",'Atividades Micro'!$K520&lt;&gt;""),'Atividades Micro'!$K520,"")</f>
        <v/>
      </c>
      <c r="BL468" s="21" t="str">
        <f>IF(AND('Atividades Micro'!$B520=BL$2,'Atividades Micro'!$G520="Macro",'Atividades Micro'!$K520&lt;&gt;""),'Atividades Micro'!$K520,"")</f>
        <v/>
      </c>
      <c r="BM468" s="21" t="str">
        <f>IF(AND('Atividades Micro'!$B520=BM$2,'Atividades Micro'!$G520="Macro",'Atividades Micro'!$K520&lt;&gt;""),'Atividades Micro'!$K520,"")</f>
        <v/>
      </c>
      <c r="BN468" s="21" t="str">
        <f>IF(AND('Atividades Micro'!$B520=BN$2,'Atividades Micro'!$G520="Macro",'Atividades Micro'!$K520&lt;&gt;""),'Atividades Micro'!$K520,"")</f>
        <v/>
      </c>
      <c r="BO468" s="21" t="str">
        <f>IF(AND('Atividades Micro'!$B520=BO$2,'Atividades Micro'!$G520="Macro",'Atividades Micro'!$K520&lt;&gt;""),'Atividades Micro'!$K520,"")</f>
        <v/>
      </c>
      <c r="BP468" s="21" t="str">
        <f>IF(AND('Atividades Micro'!$B520=BP$2,'Atividades Micro'!$G520="Macro",'Atividades Micro'!$K520&lt;&gt;""),'Atividades Micro'!$K520,"")</f>
        <v/>
      </c>
      <c r="BQ468" s="21" t="str">
        <f>IF(AND('Atividades Micro'!$B520=BQ$2,'Atividades Micro'!$G520="Macro",'Atividades Micro'!$K520&lt;&gt;""),'Atividades Micro'!$K520,"")</f>
        <v/>
      </c>
      <c r="BR468" s="21" t="str">
        <f>IF(AND('Atividades Micro'!$B520=BR$2,'Atividades Micro'!$G520="Macro",'Atividades Micro'!$K520&lt;&gt;""),'Atividades Micro'!$K520,"")</f>
        <v/>
      </c>
      <c r="BS468" s="21" t="str">
        <f>IF(AND('Atividades Micro'!$B520=BS$2,'Atividades Micro'!$G520="Macro",'Atividades Micro'!$K520&lt;&gt;""),'Atividades Micro'!$K520,"")</f>
        <v/>
      </c>
      <c r="BT468" s="21" t="str">
        <f>IF(AND('Atividades Micro'!$B520=BT$2,'Atividades Micro'!$G520="Macro",'Atividades Micro'!$K520&lt;&gt;""),'Atividades Micro'!$K520,"")</f>
        <v/>
      </c>
      <c r="BU468" s="21" t="str">
        <f>IF(AND('Atividades Micro'!$B520=BU$2,'Atividades Micro'!$G520="Macro",'Atividades Micro'!$K520&lt;&gt;""),'Atividades Micro'!$K520,"")</f>
        <v/>
      </c>
      <c r="BV468" s="21" t="str">
        <f>IF(AND('Atividades Micro'!$B520=BV$2,'Atividades Micro'!$G520="Macro",'Atividades Micro'!$K520&lt;&gt;""),'Atividades Micro'!$K520,"")</f>
        <v/>
      </c>
      <c r="BW468" s="21" t="str">
        <f>IF(AND('Atividades Micro'!$B520=BW$2,'Atividades Micro'!$G520="Macro",'Atividades Micro'!$K520&lt;&gt;""),'Atividades Micro'!$K520,"")</f>
        <v/>
      </c>
      <c r="BX468" s="21" t="str">
        <f>IF(AND('Atividades Micro'!$B520=BX$2,'Atividades Micro'!$G520="Macro",'Atividades Micro'!$K520&lt;&gt;""),'Atividades Micro'!$K520,"")</f>
        <v/>
      </c>
      <c r="BY468" s="21" t="str">
        <f>IF(AND('Atividades Micro'!$B520=BY$2,'Atividades Micro'!$G520="Macro",'Atividades Micro'!$K520&lt;&gt;""),'Atividades Micro'!$K520,"")</f>
        <v/>
      </c>
      <c r="BZ468" s="21" t="str">
        <f>IF(AND('Atividades Micro'!$B520=BZ$2,'Atividades Micro'!$G520="Macro",'Atividades Micro'!$K520&lt;&gt;""),'Atividades Micro'!$K520,"")</f>
        <v/>
      </c>
      <c r="CA468" s="21" t="str">
        <f>IF(AND('Atividades Micro'!$B520=CA$2,'Atividades Micro'!$G520="Macro",'Atividades Micro'!$K520&lt;&gt;""),'Atividades Micro'!$K520,"")</f>
        <v/>
      </c>
      <c r="CB468" s="21" t="str">
        <f>IF(AND('Atividades Micro'!$B520=CB$2,'Atividades Micro'!$G520="Macro",'Atividades Micro'!$K520&lt;&gt;""),'Atividades Micro'!$K520,"")</f>
        <v/>
      </c>
      <c r="CC468" s="21" t="str">
        <f>IF(AND('Atividades Micro'!$B520=CC$2,'Atividades Micro'!$G520="Macro",'Atividades Micro'!$K520&lt;&gt;""),'Atividades Micro'!$K520,"")</f>
        <v/>
      </c>
      <c r="CD468" s="21" t="str">
        <f>IF(AND('Atividades Micro'!$B520=CD$2,'Atividades Micro'!$G520="Micro",'Atividades Micro'!$K520&lt;&gt;""),'Atividades Micro'!$K520,"")</f>
        <v/>
      </c>
      <c r="CE468" s="21" t="str">
        <f>IF(AND('Atividades Micro'!$B520=CE$2,'Atividades Micro'!$G520="Micro",'Atividades Micro'!$K520&lt;&gt;""),'Atividades Micro'!$K520,"")</f>
        <v/>
      </c>
      <c r="CF468" s="21" t="str">
        <f>IF(AND('Atividades Micro'!$B520=CF$2,'Atividades Micro'!$G520="Micro",'Atividades Micro'!$K520&lt;&gt;""),'Atividades Micro'!$K520,"")</f>
        <v/>
      </c>
      <c r="CG468" s="21" t="str">
        <f>IF(AND('Atividades Micro'!$B520=CG$2,'Atividades Micro'!$G520="Micro",'Atividades Micro'!$K520&lt;&gt;""),'Atividades Micro'!$K520,"")</f>
        <v/>
      </c>
      <c r="CH468" s="21" t="str">
        <f>IF(AND('Atividades Micro'!$B520=CH$2,'Atividades Micro'!$G520="Micro",'Atividades Micro'!$K520&lt;&gt;""),'Atividades Micro'!$K520,"")</f>
        <v/>
      </c>
      <c r="CI468" s="21" t="str">
        <f>IF(AND('Atividades Micro'!$B520=CI$2,'Atividades Micro'!$G520="Micro",'Atividades Micro'!$K520&lt;&gt;""),'Atividades Micro'!$K520,"")</f>
        <v/>
      </c>
      <c r="CJ468" s="21" t="str">
        <f>IF(AND('Atividades Micro'!$B520=CJ$2,'Atividades Micro'!$G520="Micro",'Atividades Micro'!$K520&lt;&gt;""),'Atividades Micro'!$K520,"")</f>
        <v/>
      </c>
      <c r="CK468" s="21" t="str">
        <f>IF(AND('Atividades Micro'!$B520=CK$2,'Atividades Micro'!$G520="Micro",'Atividades Micro'!$K520&lt;&gt;""),'Atividades Micro'!$K520,"")</f>
        <v/>
      </c>
      <c r="CL468" s="21" t="str">
        <f>IF(AND('Atividades Micro'!$B520=CL$2,'Atividades Micro'!$G520="Micro",'Atividades Micro'!$K520&lt;&gt;""),'Atividades Micro'!$K520,"")</f>
        <v/>
      </c>
      <c r="CM468" s="21" t="str">
        <f>IF(AND('Atividades Micro'!$B520=CM$2,'Atividades Micro'!$G520="Micro",'Atividades Micro'!$K520&lt;&gt;""),'Atividades Micro'!$K520,"")</f>
        <v/>
      </c>
      <c r="CN468" s="21" t="str">
        <f>IF(AND('Atividades Micro'!$B520=CN$2,'Atividades Micro'!$G520="Micro",'Atividades Micro'!$K520&lt;&gt;""),'Atividades Micro'!$K520,"")</f>
        <v/>
      </c>
      <c r="CO468" s="21" t="str">
        <f>IF(AND('Atividades Micro'!$B520=CO$2,'Atividades Micro'!$G520="Micro",'Atividades Micro'!$K520&lt;&gt;""),'Atividades Micro'!$K520,"")</f>
        <v/>
      </c>
    </row>
    <row r="469" spans="1:93">
      <c r="A469" s="21" t="str">
        <f>IF(AND('Atividades Micro'!$A521=A$2,'Atividades Micro'!$K521&lt;&gt;""),'Atividades Micro'!$K521,"")</f>
        <v/>
      </c>
      <c r="B469" s="21" t="str">
        <f>IF(AND('Atividades Micro'!$A521=B$2,'Atividades Micro'!$L521&lt;&gt;""),'Atividades Micro'!$L521,"")</f>
        <v/>
      </c>
      <c r="C469" s="21" t="str">
        <f>IF(AND('Atividades Micro'!$A521=C$2,'Atividades Micro'!$K521&lt;&gt;""),'Atividades Micro'!$K521,"")</f>
        <v/>
      </c>
      <c r="D469" s="21" t="str">
        <f>IF(AND('Atividades Micro'!$A521=D$2,'Atividades Micro'!$L521&lt;&gt;""),'Atividades Micro'!$L521,"")</f>
        <v/>
      </c>
      <c r="E469" s="21" t="str">
        <f>IF(AND('Atividades Micro'!$A521=E$2,'Atividades Micro'!$K521&lt;&gt;""),'Atividades Micro'!$K521,"")</f>
        <v/>
      </c>
      <c r="F469" s="21" t="str">
        <f>IF(AND('Atividades Micro'!$A521=F$2,'Atividades Micro'!$L521&lt;&gt;""),'Atividades Micro'!$L521,"")</f>
        <v/>
      </c>
      <c r="G469" s="21" t="str">
        <f>IF(AND('Atividades Micro'!$A521=G$2,'Atividades Micro'!$K521&lt;&gt;""),'Atividades Micro'!$K521,"")</f>
        <v/>
      </c>
      <c r="H469" s="21" t="str">
        <f>IF(AND('Atividades Micro'!$A521=H$2,'Atividades Micro'!$L521&lt;&gt;""),'Atividades Micro'!$L521,"")</f>
        <v/>
      </c>
      <c r="I469" s="21" t="str">
        <f>IF(AND('Atividades Micro'!$A521=I$2,'Atividades Micro'!$K521&lt;&gt;""),'Atividades Micro'!$K521,"")</f>
        <v/>
      </c>
      <c r="J469" s="21" t="str">
        <f>IF(AND('Atividades Micro'!$A521=J$2,'Atividades Micro'!$L521&lt;&gt;""),'Atividades Micro'!$L521,"")</f>
        <v/>
      </c>
      <c r="K469" s="21" t="str">
        <f>IF(AND('Atividades Micro'!$B521=K$2,'Atividades Micro'!$K521&lt;&gt;""),'Atividades Micro'!$K521,"")</f>
        <v/>
      </c>
      <c r="L469" s="21" t="str">
        <f>IF(AND('Atividades Micro'!$B521=L$2,'Atividades Micro'!$L521&lt;&gt;""),'Atividades Micro'!$L521,"")</f>
        <v/>
      </c>
      <c r="M469" s="21" t="str">
        <f>IF(AND('Atividades Micro'!$B521=M$2,'Atividades Micro'!$K521&lt;&gt;""),'Atividades Micro'!$K521,"")</f>
        <v/>
      </c>
      <c r="N469" s="21" t="str">
        <f>IF(AND('Atividades Micro'!$B521=N$2,'Atividades Micro'!$L521&lt;&gt;""),'Atividades Micro'!$L521,"")</f>
        <v/>
      </c>
      <c r="O469" s="21" t="str">
        <f>IF(AND('Atividades Micro'!$A521=O$2,'Atividades Micro'!$K521&lt;&gt;""),'Atividades Micro'!$K521,"")</f>
        <v/>
      </c>
      <c r="P469" s="21" t="str">
        <f>IF(AND('Atividades Micro'!$A521=P$2,'Atividades Micro'!$L521&lt;&gt;""),'Atividades Micro'!$L521,"")</f>
        <v/>
      </c>
      <c r="Q469" s="21" t="str">
        <f>IF(AND('Atividades Micro'!$B521=Q$2,'Atividades Micro'!$K521&lt;&gt;""),'Atividades Micro'!$K521,"")</f>
        <v/>
      </c>
      <c r="R469" s="21" t="str">
        <f>IF(AND('Atividades Micro'!$B521=R$2,'Atividades Micro'!$L521&lt;&gt;""),'Atividades Micro'!$L521,"")</f>
        <v/>
      </c>
      <c r="S469" s="21" t="str">
        <f>IF(AND('Atividades Micro'!$A521=S$2,'Atividades Micro'!$K521&lt;&gt;""),'Atividades Micro'!$K521,"")</f>
        <v/>
      </c>
      <c r="T469" s="21" t="str">
        <f>IF(AND('Atividades Micro'!$A521=T$2,'Atividades Micro'!$L521&lt;&gt;""),'Atividades Micro'!$L521,"")</f>
        <v/>
      </c>
      <c r="U469" s="21" t="str">
        <f>IF(AND('Atividades Micro'!$B521=U$2,'Atividades Micro'!$K521&lt;&gt;""),'Atividades Micro'!$K521,"")</f>
        <v/>
      </c>
      <c r="V469" s="21" t="str">
        <f>IF(AND('Atividades Micro'!$B521=V$2,'Atividades Micro'!$L521&lt;&gt;""),'Atividades Micro'!$L521,"")</f>
        <v/>
      </c>
      <c r="W469" s="21" t="str">
        <f>IF(AND('Atividades Micro'!$B521=W$2,'Atividades Micro'!$K521&lt;&gt;""),'Atividades Micro'!$K521,"")</f>
        <v/>
      </c>
      <c r="X469" s="21" t="str">
        <f>IF(AND('Atividades Micro'!$B521=X$2,'Atividades Micro'!$L521&lt;&gt;""),'Atividades Micro'!$L521,"")</f>
        <v/>
      </c>
      <c r="Y469" s="21" t="str">
        <f>IF(AND('Atividades Micro'!$A521=Y$2,'Atividades Micro'!$K521&lt;&gt;""),'Atividades Micro'!$K521,"")</f>
        <v/>
      </c>
      <c r="Z469" s="21" t="str">
        <f>IF(AND('Atividades Micro'!$A521=Z$2,'Atividades Micro'!$L521&lt;&gt;""),'Atividades Micro'!$L521,"")</f>
        <v/>
      </c>
      <c r="AA469" s="21" t="str">
        <f>IF(AND('Atividades Micro'!$B521=AA$2,'Atividades Micro'!$K521&lt;&gt;""),'Atividades Micro'!$K521,"")</f>
        <v/>
      </c>
      <c r="AB469" s="21" t="str">
        <f>IF(AND('Atividades Micro'!$B521=AB$2,'Atividades Micro'!$L521&lt;&gt;""),'Atividades Micro'!$L521,"")</f>
        <v/>
      </c>
      <c r="AC469" s="21" t="str">
        <f>IF(AND('Atividades Micro'!$B521=AC$2,'Atividades Micro'!$K521&lt;&gt;""),'Atividades Micro'!$K521,"")</f>
        <v/>
      </c>
      <c r="AD469" s="21" t="str">
        <f>IF(AND('Atividades Micro'!$B521=AD$2,'Atividades Micro'!$L521&lt;&gt;""),'Atividades Micro'!$L521,"")</f>
        <v/>
      </c>
      <c r="AE469" s="21" t="str">
        <f>IF(AND('Atividades Micro'!$A521=AE$2,'Atividades Micro'!$K521&lt;&gt;""),'Atividades Micro'!$K521,"")</f>
        <v/>
      </c>
      <c r="AF469" s="21" t="str">
        <f>IF(AND('Atividades Micro'!$A521=AF$2,'Atividades Micro'!$L521&lt;&gt;""),'Atividades Micro'!$L521,"")</f>
        <v/>
      </c>
      <c r="AG469" s="21" t="str">
        <f>IF(AND('Atividades Micro'!$B521=AG$2,'Atividades Micro'!$K521&lt;&gt;""),'Atividades Micro'!$K521,"")</f>
        <v/>
      </c>
      <c r="AH469" s="21" t="str">
        <f>IF(AND('Atividades Micro'!$B521=AH$2,'Atividades Micro'!$L521&lt;&gt;""),'Atividades Micro'!$L521,"")</f>
        <v/>
      </c>
      <c r="AI469" s="21" t="str">
        <f>IF(AND('Atividades Micro'!$B521=AI$2,'Atividades Micro'!$K521&lt;&gt;""),'Atividades Micro'!$K521,"")</f>
        <v/>
      </c>
      <c r="AJ469" s="21" t="str">
        <f>IF(AND('Atividades Micro'!$B521=AJ$2,'Atividades Micro'!$L521&lt;&gt;""),'Atividades Micro'!$L521,"")</f>
        <v/>
      </c>
      <c r="AK469" s="21" t="str">
        <f>IF(AND('Atividades Micro'!$A521=AK$2,'Atividades Micro'!$K521&lt;&gt;""),'Atividades Micro'!$K521,"")</f>
        <v/>
      </c>
      <c r="AL469" s="21" t="str">
        <f>IF(AND('Atividades Micro'!$A521=AL$2,'Atividades Micro'!$L521&lt;&gt;""),'Atividades Micro'!$L521,"")</f>
        <v/>
      </c>
      <c r="AM469" s="21" t="str">
        <f>IF(AND('Atividades Micro'!$B521=AM$2,'Atividades Micro'!$K521&lt;&gt;""),'Atividades Micro'!$K521,"")</f>
        <v/>
      </c>
      <c r="AN469" s="21" t="str">
        <f>IF(AND('Atividades Micro'!$B521=AN$2,'Atividades Micro'!$L521&lt;&gt;""),'Atividades Micro'!$L521,"")</f>
        <v/>
      </c>
      <c r="AO469" s="21" t="str">
        <f>IF(AND('Atividades Micro'!$B521=AO$2,'Atividades Micro'!$K521&lt;&gt;""),'Atividades Micro'!$K521,"")</f>
        <v/>
      </c>
      <c r="AP469" s="21" t="str">
        <f>IF(AND('Atividades Micro'!$B521=AP$2,'Atividades Micro'!$L521&lt;&gt;""),'Atividades Micro'!$L521,"")</f>
        <v/>
      </c>
      <c r="AQ469" s="21" t="str">
        <f>IF(AND('Atividades Micro'!$A521=AQ$2,'Atividades Micro'!$K521&lt;&gt;""),'Atividades Micro'!$K521,"")</f>
        <v/>
      </c>
      <c r="AR469" s="21" t="str">
        <f>IF(AND('Atividades Micro'!$A521=AR$2,'Atividades Micro'!$L521&lt;&gt;""),'Atividades Micro'!$L521,"")</f>
        <v/>
      </c>
      <c r="AS469" s="21" t="str">
        <f>IF(AND('Atividades Micro'!$B521=AS$2,'Atividades Micro'!$K521&lt;&gt;""),'Atividades Micro'!$K521,"")</f>
        <v/>
      </c>
      <c r="AT469" s="21" t="str">
        <f>IF(AND('Atividades Micro'!$B521=AT$2,'Atividades Micro'!$L521&lt;&gt;""),'Atividades Micro'!$L521,"")</f>
        <v/>
      </c>
      <c r="AU469" s="21" t="str">
        <f>IF(AND('Atividades Micro'!$A521=AU$2,'Atividades Micro'!$K521&lt;&gt;""),'Atividades Micro'!$K521,"")</f>
        <v/>
      </c>
      <c r="AV469" s="21" t="str">
        <f>IF(AND('Atividades Micro'!$A521=AV$2,'Atividades Micro'!$L521&lt;&gt;""),'Atividades Micro'!$L521,"")</f>
        <v/>
      </c>
      <c r="AW469" s="21" t="str">
        <f>IF(AND('Atividades Micro'!$B521=AW$2,'Atividades Micro'!$K521&lt;&gt;""),'Atividades Micro'!$K521,"")</f>
        <v/>
      </c>
      <c r="AX469" s="21" t="str">
        <f>IF(AND('Atividades Micro'!$B521=AX$2,'Atividades Micro'!$L521&lt;&gt;""),'Atividades Micro'!$L521,"")</f>
        <v/>
      </c>
      <c r="AY469" s="21" t="str">
        <f>IF(AND('Atividades Micro'!$A521=AY$2,'Atividades Micro'!$K521&lt;&gt;""),'Atividades Micro'!$K521,"")</f>
        <v/>
      </c>
      <c r="AZ469" s="21" t="str">
        <f>IF(AND('Atividades Micro'!$A521=AZ$2,'Atividades Micro'!$L521&lt;&gt;""),'Atividades Micro'!$L521,"")</f>
        <v/>
      </c>
      <c r="BA469" s="21" t="str">
        <f>IF(AND('Atividades Micro'!$B521=BA$2,'Atividades Micro'!$K521&lt;&gt;""),'Atividades Micro'!$K521,"")</f>
        <v/>
      </c>
      <c r="BB469" s="21" t="str">
        <f>IF(AND('Atividades Micro'!$B521=BB$2,'Atividades Micro'!$L521&lt;&gt;""),'Atividades Micro'!$L521,"")</f>
        <v/>
      </c>
      <c r="BC469" s="21" t="str">
        <f>IF(AND('Atividades Micro'!$B521=BC$2,'Atividades Micro'!$G521="Macro",'Atividades Micro'!$K521&lt;&gt;""),'Atividades Micro'!$K521,"")</f>
        <v/>
      </c>
      <c r="BD469" s="21" t="str">
        <f>IF(AND('Atividades Micro'!$B521=BD$2,'Atividades Micro'!$G521="Macro",'Atividades Micro'!$K521&lt;&gt;""),'Atividades Micro'!$K521,"")</f>
        <v/>
      </c>
      <c r="BE469" s="21" t="str">
        <f>IF(AND('Atividades Micro'!$B521=BE$2,'Atividades Micro'!$G521="Macro",'Atividades Micro'!$K521&lt;&gt;""),'Atividades Micro'!$K521,"")</f>
        <v/>
      </c>
      <c r="BF469" s="21" t="str">
        <f>IF(AND('Atividades Micro'!$B521=BF$2,'Atividades Micro'!$G521="Macro",'Atividades Micro'!$K521&lt;&gt;""),'Atividades Micro'!$K521,"")</f>
        <v/>
      </c>
      <c r="BG469" s="21" t="str">
        <f>IF(AND('Atividades Micro'!$B521=BG$2,'Atividades Micro'!$G521="Macro",'Atividades Micro'!$K521&lt;&gt;""),'Atividades Micro'!$K521,"")</f>
        <v/>
      </c>
      <c r="BH469" s="21" t="str">
        <f>IF(AND('Atividades Micro'!$B521=BH$2,'Atividades Micro'!$G521="Macro",'Atividades Micro'!$K521&lt;&gt;""),'Atividades Micro'!$K521,"")</f>
        <v/>
      </c>
      <c r="BI469" s="21" t="str">
        <f>IF(AND('Atividades Micro'!$B521=BI$2,'Atividades Micro'!$G521="Macro",'Atividades Micro'!$K521&lt;&gt;""),'Atividades Micro'!$K521,"")</f>
        <v/>
      </c>
      <c r="BJ469" s="21" t="str">
        <f>IF(AND('Atividades Micro'!$B521=BJ$2,'Atividades Micro'!$G521="Macro",'Atividades Micro'!$K521&lt;&gt;""),'Atividades Micro'!$K521,"")</f>
        <v/>
      </c>
      <c r="BK469" s="21" t="str">
        <f>IF(AND('Atividades Micro'!$B521=BK$2,'Atividades Micro'!$G521="Macro",'Atividades Micro'!$K521&lt;&gt;""),'Atividades Micro'!$K521,"")</f>
        <v/>
      </c>
      <c r="BL469" s="21" t="str">
        <f>IF(AND('Atividades Micro'!$B521=BL$2,'Atividades Micro'!$G521="Macro",'Atividades Micro'!$K521&lt;&gt;""),'Atividades Micro'!$K521,"")</f>
        <v/>
      </c>
      <c r="BM469" s="21" t="str">
        <f>IF(AND('Atividades Micro'!$B521=BM$2,'Atividades Micro'!$G521="Macro",'Atividades Micro'!$K521&lt;&gt;""),'Atividades Micro'!$K521,"")</f>
        <v/>
      </c>
      <c r="BN469" s="21" t="str">
        <f>IF(AND('Atividades Micro'!$B521=BN$2,'Atividades Micro'!$G521="Macro",'Atividades Micro'!$K521&lt;&gt;""),'Atividades Micro'!$K521,"")</f>
        <v/>
      </c>
      <c r="BO469" s="21" t="str">
        <f>IF(AND('Atividades Micro'!$B521=BO$2,'Atividades Micro'!$G521="Macro",'Atividades Micro'!$K521&lt;&gt;""),'Atividades Micro'!$K521,"")</f>
        <v/>
      </c>
      <c r="BP469" s="21" t="str">
        <f>IF(AND('Atividades Micro'!$B521=BP$2,'Atividades Micro'!$G521="Macro",'Atividades Micro'!$K521&lt;&gt;""),'Atividades Micro'!$K521,"")</f>
        <v/>
      </c>
      <c r="BQ469" s="21" t="str">
        <f>IF(AND('Atividades Micro'!$B521=BQ$2,'Atividades Micro'!$G521="Macro",'Atividades Micro'!$K521&lt;&gt;""),'Atividades Micro'!$K521,"")</f>
        <v/>
      </c>
      <c r="BR469" s="21" t="str">
        <f>IF(AND('Atividades Micro'!$B521=BR$2,'Atividades Micro'!$G521="Macro",'Atividades Micro'!$K521&lt;&gt;""),'Atividades Micro'!$K521,"")</f>
        <v/>
      </c>
      <c r="BS469" s="21" t="str">
        <f>IF(AND('Atividades Micro'!$B521=BS$2,'Atividades Micro'!$G521="Macro",'Atividades Micro'!$K521&lt;&gt;""),'Atividades Micro'!$K521,"")</f>
        <v/>
      </c>
      <c r="BT469" s="21" t="str">
        <f>IF(AND('Atividades Micro'!$B521=BT$2,'Atividades Micro'!$G521="Macro",'Atividades Micro'!$K521&lt;&gt;""),'Atividades Micro'!$K521,"")</f>
        <v/>
      </c>
      <c r="BU469" s="21" t="str">
        <f>IF(AND('Atividades Micro'!$B521=BU$2,'Atividades Micro'!$G521="Macro",'Atividades Micro'!$K521&lt;&gt;""),'Atividades Micro'!$K521,"")</f>
        <v/>
      </c>
      <c r="BV469" s="21" t="str">
        <f>IF(AND('Atividades Micro'!$B521=BV$2,'Atividades Micro'!$G521="Macro",'Atividades Micro'!$K521&lt;&gt;""),'Atividades Micro'!$K521,"")</f>
        <v/>
      </c>
      <c r="BW469" s="21" t="str">
        <f>IF(AND('Atividades Micro'!$B521=BW$2,'Atividades Micro'!$G521="Macro",'Atividades Micro'!$K521&lt;&gt;""),'Atividades Micro'!$K521,"")</f>
        <v/>
      </c>
      <c r="BX469" s="21" t="str">
        <f>IF(AND('Atividades Micro'!$B521=BX$2,'Atividades Micro'!$G521="Macro",'Atividades Micro'!$K521&lt;&gt;""),'Atividades Micro'!$K521,"")</f>
        <v/>
      </c>
      <c r="BY469" s="21" t="str">
        <f>IF(AND('Atividades Micro'!$B521=BY$2,'Atividades Micro'!$G521="Macro",'Atividades Micro'!$K521&lt;&gt;""),'Atividades Micro'!$K521,"")</f>
        <v/>
      </c>
      <c r="BZ469" s="21" t="str">
        <f>IF(AND('Atividades Micro'!$B521=BZ$2,'Atividades Micro'!$G521="Macro",'Atividades Micro'!$K521&lt;&gt;""),'Atividades Micro'!$K521,"")</f>
        <v/>
      </c>
      <c r="CA469" s="21" t="str">
        <f>IF(AND('Atividades Micro'!$B521=CA$2,'Atividades Micro'!$G521="Macro",'Atividades Micro'!$K521&lt;&gt;""),'Atividades Micro'!$K521,"")</f>
        <v/>
      </c>
      <c r="CB469" s="21" t="str">
        <f>IF(AND('Atividades Micro'!$B521=CB$2,'Atividades Micro'!$G521="Macro",'Atividades Micro'!$K521&lt;&gt;""),'Atividades Micro'!$K521,"")</f>
        <v/>
      </c>
      <c r="CC469" s="21" t="str">
        <f>IF(AND('Atividades Micro'!$B521=CC$2,'Atividades Micro'!$G521="Macro",'Atividades Micro'!$K521&lt;&gt;""),'Atividades Micro'!$K521,"")</f>
        <v/>
      </c>
      <c r="CD469" s="21" t="str">
        <f>IF(AND('Atividades Micro'!$B521=CD$2,'Atividades Micro'!$G521="Micro",'Atividades Micro'!$K521&lt;&gt;""),'Atividades Micro'!$K521,"")</f>
        <v/>
      </c>
      <c r="CE469" s="21" t="str">
        <f>IF(AND('Atividades Micro'!$B521=CE$2,'Atividades Micro'!$G521="Micro",'Atividades Micro'!$K521&lt;&gt;""),'Atividades Micro'!$K521,"")</f>
        <v/>
      </c>
      <c r="CF469" s="21" t="str">
        <f>IF(AND('Atividades Micro'!$B521=CF$2,'Atividades Micro'!$G521="Micro",'Atividades Micro'!$K521&lt;&gt;""),'Atividades Micro'!$K521,"")</f>
        <v/>
      </c>
      <c r="CG469" s="21" t="str">
        <f>IF(AND('Atividades Micro'!$B521=CG$2,'Atividades Micro'!$G521="Micro",'Atividades Micro'!$K521&lt;&gt;""),'Atividades Micro'!$K521,"")</f>
        <v/>
      </c>
      <c r="CH469" s="21" t="str">
        <f>IF(AND('Atividades Micro'!$B521=CH$2,'Atividades Micro'!$G521="Micro",'Atividades Micro'!$K521&lt;&gt;""),'Atividades Micro'!$K521,"")</f>
        <v/>
      </c>
      <c r="CI469" s="21" t="str">
        <f>IF(AND('Atividades Micro'!$B521=CI$2,'Atividades Micro'!$G521="Micro",'Atividades Micro'!$K521&lt;&gt;""),'Atividades Micro'!$K521,"")</f>
        <v/>
      </c>
      <c r="CJ469" s="21" t="str">
        <f>IF(AND('Atividades Micro'!$B521=CJ$2,'Atividades Micro'!$G521="Micro",'Atividades Micro'!$K521&lt;&gt;""),'Atividades Micro'!$K521,"")</f>
        <v/>
      </c>
      <c r="CK469" s="21" t="str">
        <f>IF(AND('Atividades Micro'!$B521=CK$2,'Atividades Micro'!$G521="Micro",'Atividades Micro'!$K521&lt;&gt;""),'Atividades Micro'!$K521,"")</f>
        <v/>
      </c>
      <c r="CL469" s="21" t="str">
        <f>IF(AND('Atividades Micro'!$B521=CL$2,'Atividades Micro'!$G521="Micro",'Atividades Micro'!$K521&lt;&gt;""),'Atividades Micro'!$K521,"")</f>
        <v/>
      </c>
      <c r="CM469" s="21" t="str">
        <f>IF(AND('Atividades Micro'!$B521=CM$2,'Atividades Micro'!$G521="Micro",'Atividades Micro'!$K521&lt;&gt;""),'Atividades Micro'!$K521,"")</f>
        <v/>
      </c>
      <c r="CN469" s="21" t="str">
        <f>IF(AND('Atividades Micro'!$B521=CN$2,'Atividades Micro'!$G521="Micro",'Atividades Micro'!$K521&lt;&gt;""),'Atividades Micro'!$K521,"")</f>
        <v/>
      </c>
      <c r="CO469" s="21" t="str">
        <f>IF(AND('Atividades Micro'!$B521=CO$2,'Atividades Micro'!$G521="Micro",'Atividades Micro'!$K521&lt;&gt;""),'Atividades Micro'!$K521,"")</f>
        <v/>
      </c>
    </row>
    <row r="470" spans="1:93">
      <c r="A470" s="21" t="str">
        <f>IF(AND('Atividades Micro'!$A522=A$2,'Atividades Micro'!$K522&lt;&gt;""),'Atividades Micro'!$K522,"")</f>
        <v/>
      </c>
      <c r="B470" s="21" t="str">
        <f>IF(AND('Atividades Micro'!$A522=B$2,'Atividades Micro'!$L522&lt;&gt;""),'Atividades Micro'!$L522,"")</f>
        <v/>
      </c>
      <c r="C470" s="21" t="str">
        <f>IF(AND('Atividades Micro'!$A522=C$2,'Atividades Micro'!$K522&lt;&gt;""),'Atividades Micro'!$K522,"")</f>
        <v/>
      </c>
      <c r="D470" s="21" t="str">
        <f>IF(AND('Atividades Micro'!$A522=D$2,'Atividades Micro'!$L522&lt;&gt;""),'Atividades Micro'!$L522,"")</f>
        <v/>
      </c>
      <c r="E470" s="21" t="str">
        <f>IF(AND('Atividades Micro'!$A522=E$2,'Atividades Micro'!$K522&lt;&gt;""),'Atividades Micro'!$K522,"")</f>
        <v/>
      </c>
      <c r="F470" s="21" t="str">
        <f>IF(AND('Atividades Micro'!$A522=F$2,'Atividades Micro'!$L522&lt;&gt;""),'Atividades Micro'!$L522,"")</f>
        <v/>
      </c>
      <c r="G470" s="21" t="str">
        <f>IF(AND('Atividades Micro'!$A522=G$2,'Atividades Micro'!$K522&lt;&gt;""),'Atividades Micro'!$K522,"")</f>
        <v/>
      </c>
      <c r="H470" s="21" t="str">
        <f>IF(AND('Atividades Micro'!$A522=H$2,'Atividades Micro'!$L522&lt;&gt;""),'Atividades Micro'!$L522,"")</f>
        <v/>
      </c>
      <c r="I470" s="21" t="str">
        <f>IF(AND('Atividades Micro'!$A522=I$2,'Atividades Micro'!$K522&lt;&gt;""),'Atividades Micro'!$K522,"")</f>
        <v/>
      </c>
      <c r="J470" s="21" t="str">
        <f>IF(AND('Atividades Micro'!$A522=J$2,'Atividades Micro'!$L522&lt;&gt;""),'Atividades Micro'!$L522,"")</f>
        <v/>
      </c>
      <c r="K470" s="21" t="str">
        <f>IF(AND('Atividades Micro'!$B522=K$2,'Atividades Micro'!$K522&lt;&gt;""),'Atividades Micro'!$K522,"")</f>
        <v/>
      </c>
      <c r="L470" s="21" t="str">
        <f>IF(AND('Atividades Micro'!$B522=L$2,'Atividades Micro'!$L522&lt;&gt;""),'Atividades Micro'!$L522,"")</f>
        <v/>
      </c>
      <c r="M470" s="21" t="str">
        <f>IF(AND('Atividades Micro'!$B522=M$2,'Atividades Micro'!$K522&lt;&gt;""),'Atividades Micro'!$K522,"")</f>
        <v/>
      </c>
      <c r="N470" s="21" t="str">
        <f>IF(AND('Atividades Micro'!$B522=N$2,'Atividades Micro'!$L522&lt;&gt;""),'Atividades Micro'!$L522,"")</f>
        <v/>
      </c>
      <c r="O470" s="21" t="str">
        <f>IF(AND('Atividades Micro'!$A522=O$2,'Atividades Micro'!$K522&lt;&gt;""),'Atividades Micro'!$K522,"")</f>
        <v/>
      </c>
      <c r="P470" s="21" t="str">
        <f>IF(AND('Atividades Micro'!$A522=P$2,'Atividades Micro'!$L522&lt;&gt;""),'Atividades Micro'!$L522,"")</f>
        <v/>
      </c>
      <c r="Q470" s="21" t="str">
        <f>IF(AND('Atividades Micro'!$B522=Q$2,'Atividades Micro'!$K522&lt;&gt;""),'Atividades Micro'!$K522,"")</f>
        <v/>
      </c>
      <c r="R470" s="21" t="str">
        <f>IF(AND('Atividades Micro'!$B522=R$2,'Atividades Micro'!$L522&lt;&gt;""),'Atividades Micro'!$L522,"")</f>
        <v/>
      </c>
      <c r="S470" s="21" t="str">
        <f>IF(AND('Atividades Micro'!$A522=S$2,'Atividades Micro'!$K522&lt;&gt;""),'Atividades Micro'!$K522,"")</f>
        <v/>
      </c>
      <c r="T470" s="21" t="str">
        <f>IF(AND('Atividades Micro'!$A522=T$2,'Atividades Micro'!$L522&lt;&gt;""),'Atividades Micro'!$L522,"")</f>
        <v/>
      </c>
      <c r="U470" s="21" t="str">
        <f>IF(AND('Atividades Micro'!$B522=U$2,'Atividades Micro'!$K522&lt;&gt;""),'Atividades Micro'!$K522,"")</f>
        <v/>
      </c>
      <c r="V470" s="21" t="str">
        <f>IF(AND('Atividades Micro'!$B522=V$2,'Atividades Micro'!$L522&lt;&gt;""),'Atividades Micro'!$L522,"")</f>
        <v/>
      </c>
      <c r="W470" s="21" t="str">
        <f>IF(AND('Atividades Micro'!$B522=W$2,'Atividades Micro'!$K522&lt;&gt;""),'Atividades Micro'!$K522,"")</f>
        <v/>
      </c>
      <c r="X470" s="21" t="str">
        <f>IF(AND('Atividades Micro'!$B522=X$2,'Atividades Micro'!$L522&lt;&gt;""),'Atividades Micro'!$L522,"")</f>
        <v/>
      </c>
      <c r="Y470" s="21" t="str">
        <f>IF(AND('Atividades Micro'!$A522=Y$2,'Atividades Micro'!$K522&lt;&gt;""),'Atividades Micro'!$K522,"")</f>
        <v/>
      </c>
      <c r="Z470" s="21" t="str">
        <f>IF(AND('Atividades Micro'!$A522=Z$2,'Atividades Micro'!$L522&lt;&gt;""),'Atividades Micro'!$L522,"")</f>
        <v/>
      </c>
      <c r="AA470" s="21" t="str">
        <f>IF(AND('Atividades Micro'!$B522=AA$2,'Atividades Micro'!$K522&lt;&gt;""),'Atividades Micro'!$K522,"")</f>
        <v/>
      </c>
      <c r="AB470" s="21" t="str">
        <f>IF(AND('Atividades Micro'!$B522=AB$2,'Atividades Micro'!$L522&lt;&gt;""),'Atividades Micro'!$L522,"")</f>
        <v/>
      </c>
      <c r="AC470" s="21" t="str">
        <f>IF(AND('Atividades Micro'!$B522=AC$2,'Atividades Micro'!$K522&lt;&gt;""),'Atividades Micro'!$K522,"")</f>
        <v/>
      </c>
      <c r="AD470" s="21" t="str">
        <f>IF(AND('Atividades Micro'!$B522=AD$2,'Atividades Micro'!$L522&lt;&gt;""),'Atividades Micro'!$L522,"")</f>
        <v/>
      </c>
      <c r="AE470" s="21" t="str">
        <f>IF(AND('Atividades Micro'!$A522=AE$2,'Atividades Micro'!$K522&lt;&gt;""),'Atividades Micro'!$K522,"")</f>
        <v/>
      </c>
      <c r="AF470" s="21" t="str">
        <f>IF(AND('Atividades Micro'!$A522=AF$2,'Atividades Micro'!$L522&lt;&gt;""),'Atividades Micro'!$L522,"")</f>
        <v/>
      </c>
      <c r="AG470" s="21" t="str">
        <f>IF(AND('Atividades Micro'!$B522=AG$2,'Atividades Micro'!$K522&lt;&gt;""),'Atividades Micro'!$K522,"")</f>
        <v/>
      </c>
      <c r="AH470" s="21" t="str">
        <f>IF(AND('Atividades Micro'!$B522=AH$2,'Atividades Micro'!$L522&lt;&gt;""),'Atividades Micro'!$L522,"")</f>
        <v/>
      </c>
      <c r="AI470" s="21" t="str">
        <f>IF(AND('Atividades Micro'!$B522=AI$2,'Atividades Micro'!$K522&lt;&gt;""),'Atividades Micro'!$K522,"")</f>
        <v/>
      </c>
      <c r="AJ470" s="21" t="str">
        <f>IF(AND('Atividades Micro'!$B522=AJ$2,'Atividades Micro'!$L522&lt;&gt;""),'Atividades Micro'!$L522,"")</f>
        <v/>
      </c>
      <c r="AK470" s="21" t="str">
        <f>IF(AND('Atividades Micro'!$A522=AK$2,'Atividades Micro'!$K522&lt;&gt;""),'Atividades Micro'!$K522,"")</f>
        <v/>
      </c>
      <c r="AL470" s="21" t="str">
        <f>IF(AND('Atividades Micro'!$A522=AL$2,'Atividades Micro'!$L522&lt;&gt;""),'Atividades Micro'!$L522,"")</f>
        <v/>
      </c>
      <c r="AM470" s="21" t="str">
        <f>IF(AND('Atividades Micro'!$B522=AM$2,'Atividades Micro'!$K522&lt;&gt;""),'Atividades Micro'!$K522,"")</f>
        <v/>
      </c>
      <c r="AN470" s="21" t="str">
        <f>IF(AND('Atividades Micro'!$B522=AN$2,'Atividades Micro'!$L522&lt;&gt;""),'Atividades Micro'!$L522,"")</f>
        <v/>
      </c>
      <c r="AO470" s="21" t="str">
        <f>IF(AND('Atividades Micro'!$B522=AO$2,'Atividades Micro'!$K522&lt;&gt;""),'Atividades Micro'!$K522,"")</f>
        <v/>
      </c>
      <c r="AP470" s="21" t="str">
        <f>IF(AND('Atividades Micro'!$B522=AP$2,'Atividades Micro'!$L522&lt;&gt;""),'Atividades Micro'!$L522,"")</f>
        <v/>
      </c>
      <c r="AQ470" s="21" t="str">
        <f>IF(AND('Atividades Micro'!$A522=AQ$2,'Atividades Micro'!$K522&lt;&gt;""),'Atividades Micro'!$K522,"")</f>
        <v/>
      </c>
      <c r="AR470" s="21" t="str">
        <f>IF(AND('Atividades Micro'!$A522=AR$2,'Atividades Micro'!$L522&lt;&gt;""),'Atividades Micro'!$L522,"")</f>
        <v/>
      </c>
      <c r="AS470" s="21" t="str">
        <f>IF(AND('Atividades Micro'!$B522=AS$2,'Atividades Micro'!$K522&lt;&gt;""),'Atividades Micro'!$K522,"")</f>
        <v/>
      </c>
      <c r="AT470" s="21" t="str">
        <f>IF(AND('Atividades Micro'!$B522=AT$2,'Atividades Micro'!$L522&lt;&gt;""),'Atividades Micro'!$L522,"")</f>
        <v/>
      </c>
      <c r="AU470" s="21" t="str">
        <f>IF(AND('Atividades Micro'!$A522=AU$2,'Atividades Micro'!$K522&lt;&gt;""),'Atividades Micro'!$K522,"")</f>
        <v/>
      </c>
      <c r="AV470" s="21" t="str">
        <f>IF(AND('Atividades Micro'!$A522=AV$2,'Atividades Micro'!$L522&lt;&gt;""),'Atividades Micro'!$L522,"")</f>
        <v/>
      </c>
      <c r="AW470" s="21" t="str">
        <f>IF(AND('Atividades Micro'!$B522=AW$2,'Atividades Micro'!$K522&lt;&gt;""),'Atividades Micro'!$K522,"")</f>
        <v/>
      </c>
      <c r="AX470" s="21" t="str">
        <f>IF(AND('Atividades Micro'!$B522=AX$2,'Atividades Micro'!$L522&lt;&gt;""),'Atividades Micro'!$L522,"")</f>
        <v/>
      </c>
      <c r="AY470" s="21" t="str">
        <f>IF(AND('Atividades Micro'!$A522=AY$2,'Atividades Micro'!$K522&lt;&gt;""),'Atividades Micro'!$K522,"")</f>
        <v/>
      </c>
      <c r="AZ470" s="21" t="str">
        <f>IF(AND('Atividades Micro'!$A522=AZ$2,'Atividades Micro'!$L522&lt;&gt;""),'Atividades Micro'!$L522,"")</f>
        <v/>
      </c>
      <c r="BA470" s="21" t="str">
        <f>IF(AND('Atividades Micro'!$B522=BA$2,'Atividades Micro'!$K522&lt;&gt;""),'Atividades Micro'!$K522,"")</f>
        <v/>
      </c>
      <c r="BB470" s="21" t="str">
        <f>IF(AND('Atividades Micro'!$B522=BB$2,'Atividades Micro'!$L522&lt;&gt;""),'Atividades Micro'!$L522,"")</f>
        <v/>
      </c>
      <c r="BC470" s="21" t="str">
        <f>IF(AND('Atividades Micro'!$B522=BC$2,'Atividades Micro'!$G522="Macro",'Atividades Micro'!$K522&lt;&gt;""),'Atividades Micro'!$K522,"")</f>
        <v/>
      </c>
      <c r="BD470" s="21" t="str">
        <f>IF(AND('Atividades Micro'!$B522=BD$2,'Atividades Micro'!$G522="Macro",'Atividades Micro'!$K522&lt;&gt;""),'Atividades Micro'!$K522,"")</f>
        <v/>
      </c>
      <c r="BE470" s="21" t="str">
        <f>IF(AND('Atividades Micro'!$B522=BE$2,'Atividades Micro'!$G522="Macro",'Atividades Micro'!$K522&lt;&gt;""),'Atividades Micro'!$K522,"")</f>
        <v/>
      </c>
      <c r="BF470" s="21" t="str">
        <f>IF(AND('Atividades Micro'!$B522=BF$2,'Atividades Micro'!$G522="Macro",'Atividades Micro'!$K522&lt;&gt;""),'Atividades Micro'!$K522,"")</f>
        <v/>
      </c>
      <c r="BG470" s="21" t="str">
        <f>IF(AND('Atividades Micro'!$B522=BG$2,'Atividades Micro'!$G522="Macro",'Atividades Micro'!$K522&lt;&gt;""),'Atividades Micro'!$K522,"")</f>
        <v/>
      </c>
      <c r="BH470" s="21" t="str">
        <f>IF(AND('Atividades Micro'!$B522=BH$2,'Atividades Micro'!$G522="Macro",'Atividades Micro'!$K522&lt;&gt;""),'Atividades Micro'!$K522,"")</f>
        <v/>
      </c>
      <c r="BI470" s="21" t="str">
        <f>IF(AND('Atividades Micro'!$B522=BI$2,'Atividades Micro'!$G522="Macro",'Atividades Micro'!$K522&lt;&gt;""),'Atividades Micro'!$K522,"")</f>
        <v/>
      </c>
      <c r="BJ470" s="21" t="str">
        <f>IF(AND('Atividades Micro'!$B522=BJ$2,'Atividades Micro'!$G522="Macro",'Atividades Micro'!$K522&lt;&gt;""),'Atividades Micro'!$K522,"")</f>
        <v/>
      </c>
      <c r="BK470" s="21" t="str">
        <f>IF(AND('Atividades Micro'!$B522=BK$2,'Atividades Micro'!$G522="Macro",'Atividades Micro'!$K522&lt;&gt;""),'Atividades Micro'!$K522,"")</f>
        <v/>
      </c>
      <c r="BL470" s="21" t="str">
        <f>IF(AND('Atividades Micro'!$B522=BL$2,'Atividades Micro'!$G522="Macro",'Atividades Micro'!$K522&lt;&gt;""),'Atividades Micro'!$K522,"")</f>
        <v/>
      </c>
      <c r="BM470" s="21" t="str">
        <f>IF(AND('Atividades Micro'!$B522=BM$2,'Atividades Micro'!$G522="Macro",'Atividades Micro'!$K522&lt;&gt;""),'Atividades Micro'!$K522,"")</f>
        <v/>
      </c>
      <c r="BN470" s="21" t="str">
        <f>IF(AND('Atividades Micro'!$B522=BN$2,'Atividades Micro'!$G522="Macro",'Atividades Micro'!$K522&lt;&gt;""),'Atividades Micro'!$K522,"")</f>
        <v/>
      </c>
      <c r="BO470" s="21" t="str">
        <f>IF(AND('Atividades Micro'!$B522=BO$2,'Atividades Micro'!$G522="Macro",'Atividades Micro'!$K522&lt;&gt;""),'Atividades Micro'!$K522,"")</f>
        <v/>
      </c>
      <c r="BP470" s="21" t="str">
        <f>IF(AND('Atividades Micro'!$B522=BP$2,'Atividades Micro'!$G522="Macro",'Atividades Micro'!$K522&lt;&gt;""),'Atividades Micro'!$K522,"")</f>
        <v/>
      </c>
      <c r="BQ470" s="21" t="str">
        <f>IF(AND('Atividades Micro'!$B522=BQ$2,'Atividades Micro'!$G522="Macro",'Atividades Micro'!$K522&lt;&gt;""),'Atividades Micro'!$K522,"")</f>
        <v/>
      </c>
      <c r="BR470" s="21" t="str">
        <f>IF(AND('Atividades Micro'!$B522=BR$2,'Atividades Micro'!$G522="Macro",'Atividades Micro'!$K522&lt;&gt;""),'Atividades Micro'!$K522,"")</f>
        <v/>
      </c>
      <c r="BS470" s="21" t="str">
        <f>IF(AND('Atividades Micro'!$B522=BS$2,'Atividades Micro'!$G522="Macro",'Atividades Micro'!$K522&lt;&gt;""),'Atividades Micro'!$K522,"")</f>
        <v/>
      </c>
      <c r="BT470" s="21" t="str">
        <f>IF(AND('Atividades Micro'!$B522=BT$2,'Atividades Micro'!$G522="Macro",'Atividades Micro'!$K522&lt;&gt;""),'Atividades Micro'!$K522,"")</f>
        <v/>
      </c>
      <c r="BU470" s="21" t="str">
        <f>IF(AND('Atividades Micro'!$B522=BU$2,'Atividades Micro'!$G522="Macro",'Atividades Micro'!$K522&lt;&gt;""),'Atividades Micro'!$K522,"")</f>
        <v/>
      </c>
      <c r="BV470" s="21" t="str">
        <f>IF(AND('Atividades Micro'!$B522=BV$2,'Atividades Micro'!$G522="Macro",'Atividades Micro'!$K522&lt;&gt;""),'Atividades Micro'!$K522,"")</f>
        <v/>
      </c>
      <c r="BW470" s="21" t="str">
        <f>IF(AND('Atividades Micro'!$B522=BW$2,'Atividades Micro'!$G522="Macro",'Atividades Micro'!$K522&lt;&gt;""),'Atividades Micro'!$K522,"")</f>
        <v/>
      </c>
      <c r="BX470" s="21" t="str">
        <f>IF(AND('Atividades Micro'!$B522=BX$2,'Atividades Micro'!$G522="Macro",'Atividades Micro'!$K522&lt;&gt;""),'Atividades Micro'!$K522,"")</f>
        <v/>
      </c>
      <c r="BY470" s="21" t="str">
        <f>IF(AND('Atividades Micro'!$B522=BY$2,'Atividades Micro'!$G522="Macro",'Atividades Micro'!$K522&lt;&gt;""),'Atividades Micro'!$K522,"")</f>
        <v/>
      </c>
      <c r="BZ470" s="21" t="str">
        <f>IF(AND('Atividades Micro'!$B522=BZ$2,'Atividades Micro'!$G522="Macro",'Atividades Micro'!$K522&lt;&gt;""),'Atividades Micro'!$K522,"")</f>
        <v/>
      </c>
      <c r="CA470" s="21" t="str">
        <f>IF(AND('Atividades Micro'!$B522=CA$2,'Atividades Micro'!$G522="Macro",'Atividades Micro'!$K522&lt;&gt;""),'Atividades Micro'!$K522,"")</f>
        <v/>
      </c>
      <c r="CB470" s="21" t="str">
        <f>IF(AND('Atividades Micro'!$B522=CB$2,'Atividades Micro'!$G522="Macro",'Atividades Micro'!$K522&lt;&gt;""),'Atividades Micro'!$K522,"")</f>
        <v/>
      </c>
      <c r="CC470" s="21" t="str">
        <f>IF(AND('Atividades Micro'!$B522=CC$2,'Atividades Micro'!$G522="Macro",'Atividades Micro'!$K522&lt;&gt;""),'Atividades Micro'!$K522,"")</f>
        <v/>
      </c>
      <c r="CD470" s="21" t="str">
        <f>IF(AND('Atividades Micro'!$B522=CD$2,'Atividades Micro'!$G522="Micro",'Atividades Micro'!$K522&lt;&gt;""),'Atividades Micro'!$K522,"")</f>
        <v/>
      </c>
      <c r="CE470" s="21" t="str">
        <f>IF(AND('Atividades Micro'!$B522=CE$2,'Atividades Micro'!$G522="Micro",'Atividades Micro'!$K522&lt;&gt;""),'Atividades Micro'!$K522,"")</f>
        <v/>
      </c>
      <c r="CF470" s="21" t="str">
        <f>IF(AND('Atividades Micro'!$B522=CF$2,'Atividades Micro'!$G522="Micro",'Atividades Micro'!$K522&lt;&gt;""),'Atividades Micro'!$K522,"")</f>
        <v/>
      </c>
      <c r="CG470" s="21" t="str">
        <f>IF(AND('Atividades Micro'!$B522=CG$2,'Atividades Micro'!$G522="Micro",'Atividades Micro'!$K522&lt;&gt;""),'Atividades Micro'!$K522,"")</f>
        <v/>
      </c>
      <c r="CH470" s="21" t="str">
        <f>IF(AND('Atividades Micro'!$B522=CH$2,'Atividades Micro'!$G522="Micro",'Atividades Micro'!$K522&lt;&gt;""),'Atividades Micro'!$K522,"")</f>
        <v/>
      </c>
      <c r="CI470" s="21" t="str">
        <f>IF(AND('Atividades Micro'!$B522=CI$2,'Atividades Micro'!$G522="Micro",'Atividades Micro'!$K522&lt;&gt;""),'Atividades Micro'!$K522,"")</f>
        <v/>
      </c>
      <c r="CJ470" s="21" t="str">
        <f>IF(AND('Atividades Micro'!$B522=CJ$2,'Atividades Micro'!$G522="Micro",'Atividades Micro'!$K522&lt;&gt;""),'Atividades Micro'!$K522,"")</f>
        <v/>
      </c>
      <c r="CK470" s="21" t="str">
        <f>IF(AND('Atividades Micro'!$B522=CK$2,'Atividades Micro'!$G522="Micro",'Atividades Micro'!$K522&lt;&gt;""),'Atividades Micro'!$K522,"")</f>
        <v/>
      </c>
      <c r="CL470" s="21" t="str">
        <f>IF(AND('Atividades Micro'!$B522=CL$2,'Atividades Micro'!$G522="Micro",'Atividades Micro'!$K522&lt;&gt;""),'Atividades Micro'!$K522,"")</f>
        <v/>
      </c>
      <c r="CM470" s="21" t="str">
        <f>IF(AND('Atividades Micro'!$B522=CM$2,'Atividades Micro'!$G522="Micro",'Atividades Micro'!$K522&lt;&gt;""),'Atividades Micro'!$K522,"")</f>
        <v/>
      </c>
      <c r="CN470" s="21" t="str">
        <f>IF(AND('Atividades Micro'!$B522=CN$2,'Atividades Micro'!$G522="Micro",'Atividades Micro'!$K522&lt;&gt;""),'Atividades Micro'!$K522,"")</f>
        <v/>
      </c>
      <c r="CO470" s="21" t="str">
        <f>IF(AND('Atividades Micro'!$B522=CO$2,'Atividades Micro'!$G522="Micro",'Atividades Micro'!$K522&lt;&gt;""),'Atividades Micro'!$K522,"")</f>
        <v/>
      </c>
    </row>
    <row r="471" spans="1:93">
      <c r="A471" s="21" t="str">
        <f>IF(AND('Atividades Micro'!$A523=A$2,'Atividades Micro'!$K523&lt;&gt;""),'Atividades Micro'!$K523,"")</f>
        <v/>
      </c>
      <c r="B471" s="21" t="str">
        <f>IF(AND('Atividades Micro'!$A523=B$2,'Atividades Micro'!$L523&lt;&gt;""),'Atividades Micro'!$L523,"")</f>
        <v/>
      </c>
      <c r="C471" s="21" t="str">
        <f>IF(AND('Atividades Micro'!$A523=C$2,'Atividades Micro'!$K523&lt;&gt;""),'Atividades Micro'!$K523,"")</f>
        <v/>
      </c>
      <c r="D471" s="21" t="str">
        <f>IF(AND('Atividades Micro'!$A523=D$2,'Atividades Micro'!$L523&lt;&gt;""),'Atividades Micro'!$L523,"")</f>
        <v/>
      </c>
      <c r="E471" s="21" t="str">
        <f>IF(AND('Atividades Micro'!$A523=E$2,'Atividades Micro'!$K523&lt;&gt;""),'Atividades Micro'!$K523,"")</f>
        <v/>
      </c>
      <c r="F471" s="21" t="str">
        <f>IF(AND('Atividades Micro'!$A523=F$2,'Atividades Micro'!$L523&lt;&gt;""),'Atividades Micro'!$L523,"")</f>
        <v/>
      </c>
      <c r="G471" s="21" t="str">
        <f>IF(AND('Atividades Micro'!$A523=G$2,'Atividades Micro'!$K523&lt;&gt;""),'Atividades Micro'!$K523,"")</f>
        <v/>
      </c>
      <c r="H471" s="21" t="str">
        <f>IF(AND('Atividades Micro'!$A523=H$2,'Atividades Micro'!$L523&lt;&gt;""),'Atividades Micro'!$L523,"")</f>
        <v/>
      </c>
      <c r="I471" s="21" t="str">
        <f>IF(AND('Atividades Micro'!$A523=I$2,'Atividades Micro'!$K523&lt;&gt;""),'Atividades Micro'!$K523,"")</f>
        <v/>
      </c>
      <c r="J471" s="21" t="str">
        <f>IF(AND('Atividades Micro'!$A523=J$2,'Atividades Micro'!$L523&lt;&gt;""),'Atividades Micro'!$L523,"")</f>
        <v/>
      </c>
      <c r="K471" s="21" t="str">
        <f>IF(AND('Atividades Micro'!$B523=K$2,'Atividades Micro'!$K523&lt;&gt;""),'Atividades Micro'!$K523,"")</f>
        <v/>
      </c>
      <c r="L471" s="21" t="str">
        <f>IF(AND('Atividades Micro'!$B523=L$2,'Atividades Micro'!$L523&lt;&gt;""),'Atividades Micro'!$L523,"")</f>
        <v/>
      </c>
      <c r="M471" s="21" t="str">
        <f>IF(AND('Atividades Micro'!$B523=M$2,'Atividades Micro'!$K523&lt;&gt;""),'Atividades Micro'!$K523,"")</f>
        <v/>
      </c>
      <c r="N471" s="21" t="str">
        <f>IF(AND('Atividades Micro'!$B523=N$2,'Atividades Micro'!$L523&lt;&gt;""),'Atividades Micro'!$L523,"")</f>
        <v/>
      </c>
      <c r="O471" s="21" t="str">
        <f>IF(AND('Atividades Micro'!$A523=O$2,'Atividades Micro'!$K523&lt;&gt;""),'Atividades Micro'!$K523,"")</f>
        <v/>
      </c>
      <c r="P471" s="21" t="str">
        <f>IF(AND('Atividades Micro'!$A523=P$2,'Atividades Micro'!$L523&lt;&gt;""),'Atividades Micro'!$L523,"")</f>
        <v/>
      </c>
      <c r="Q471" s="21" t="str">
        <f>IF(AND('Atividades Micro'!$B523=Q$2,'Atividades Micro'!$K523&lt;&gt;""),'Atividades Micro'!$K523,"")</f>
        <v/>
      </c>
      <c r="R471" s="21" t="str">
        <f>IF(AND('Atividades Micro'!$B523=R$2,'Atividades Micro'!$L523&lt;&gt;""),'Atividades Micro'!$L523,"")</f>
        <v/>
      </c>
      <c r="S471" s="21" t="str">
        <f>IF(AND('Atividades Micro'!$A523=S$2,'Atividades Micro'!$K523&lt;&gt;""),'Atividades Micro'!$K523,"")</f>
        <v/>
      </c>
      <c r="T471" s="21" t="str">
        <f>IF(AND('Atividades Micro'!$A523=T$2,'Atividades Micro'!$L523&lt;&gt;""),'Atividades Micro'!$L523,"")</f>
        <v/>
      </c>
      <c r="U471" s="21" t="str">
        <f>IF(AND('Atividades Micro'!$B523=U$2,'Atividades Micro'!$K523&lt;&gt;""),'Atividades Micro'!$K523,"")</f>
        <v/>
      </c>
      <c r="V471" s="21" t="str">
        <f>IF(AND('Atividades Micro'!$B523=V$2,'Atividades Micro'!$L523&lt;&gt;""),'Atividades Micro'!$L523,"")</f>
        <v/>
      </c>
      <c r="W471" s="21" t="str">
        <f>IF(AND('Atividades Micro'!$B523=W$2,'Atividades Micro'!$K523&lt;&gt;""),'Atividades Micro'!$K523,"")</f>
        <v/>
      </c>
      <c r="X471" s="21" t="str">
        <f>IF(AND('Atividades Micro'!$B523=X$2,'Atividades Micro'!$L523&lt;&gt;""),'Atividades Micro'!$L523,"")</f>
        <v/>
      </c>
      <c r="Y471" s="21" t="str">
        <f>IF(AND('Atividades Micro'!$A523=Y$2,'Atividades Micro'!$K523&lt;&gt;""),'Atividades Micro'!$K523,"")</f>
        <v/>
      </c>
      <c r="Z471" s="21" t="str">
        <f>IF(AND('Atividades Micro'!$A523=Z$2,'Atividades Micro'!$L523&lt;&gt;""),'Atividades Micro'!$L523,"")</f>
        <v/>
      </c>
      <c r="AA471" s="21" t="str">
        <f>IF(AND('Atividades Micro'!$B523=AA$2,'Atividades Micro'!$K523&lt;&gt;""),'Atividades Micro'!$K523,"")</f>
        <v/>
      </c>
      <c r="AB471" s="21" t="str">
        <f>IF(AND('Atividades Micro'!$B523=AB$2,'Atividades Micro'!$L523&lt;&gt;""),'Atividades Micro'!$L523,"")</f>
        <v/>
      </c>
      <c r="AC471" s="21" t="str">
        <f>IF(AND('Atividades Micro'!$B523=AC$2,'Atividades Micro'!$K523&lt;&gt;""),'Atividades Micro'!$K523,"")</f>
        <v/>
      </c>
      <c r="AD471" s="21" t="str">
        <f>IF(AND('Atividades Micro'!$B523=AD$2,'Atividades Micro'!$L523&lt;&gt;""),'Atividades Micro'!$L523,"")</f>
        <v/>
      </c>
      <c r="AE471" s="21" t="str">
        <f>IF(AND('Atividades Micro'!$A523=AE$2,'Atividades Micro'!$K523&lt;&gt;""),'Atividades Micro'!$K523,"")</f>
        <v/>
      </c>
      <c r="AF471" s="21" t="str">
        <f>IF(AND('Atividades Micro'!$A523=AF$2,'Atividades Micro'!$L523&lt;&gt;""),'Atividades Micro'!$L523,"")</f>
        <v/>
      </c>
      <c r="AG471" s="21" t="str">
        <f>IF(AND('Atividades Micro'!$B523=AG$2,'Atividades Micro'!$K523&lt;&gt;""),'Atividades Micro'!$K523,"")</f>
        <v/>
      </c>
      <c r="AH471" s="21" t="str">
        <f>IF(AND('Atividades Micro'!$B523=AH$2,'Atividades Micro'!$L523&lt;&gt;""),'Atividades Micro'!$L523,"")</f>
        <v/>
      </c>
      <c r="AI471" s="21" t="str">
        <f>IF(AND('Atividades Micro'!$B523=AI$2,'Atividades Micro'!$K523&lt;&gt;""),'Atividades Micro'!$K523,"")</f>
        <v/>
      </c>
      <c r="AJ471" s="21" t="str">
        <f>IF(AND('Atividades Micro'!$B523=AJ$2,'Atividades Micro'!$L523&lt;&gt;""),'Atividades Micro'!$L523,"")</f>
        <v/>
      </c>
      <c r="AK471" s="21" t="str">
        <f>IF(AND('Atividades Micro'!$A523=AK$2,'Atividades Micro'!$K523&lt;&gt;""),'Atividades Micro'!$K523,"")</f>
        <v/>
      </c>
      <c r="AL471" s="21" t="str">
        <f>IF(AND('Atividades Micro'!$A523=AL$2,'Atividades Micro'!$L523&lt;&gt;""),'Atividades Micro'!$L523,"")</f>
        <v/>
      </c>
      <c r="AM471" s="21" t="str">
        <f>IF(AND('Atividades Micro'!$B523=AM$2,'Atividades Micro'!$K523&lt;&gt;""),'Atividades Micro'!$K523,"")</f>
        <v/>
      </c>
      <c r="AN471" s="21" t="str">
        <f>IF(AND('Atividades Micro'!$B523=AN$2,'Atividades Micro'!$L523&lt;&gt;""),'Atividades Micro'!$L523,"")</f>
        <v/>
      </c>
      <c r="AO471" s="21" t="str">
        <f>IF(AND('Atividades Micro'!$B523=AO$2,'Atividades Micro'!$K523&lt;&gt;""),'Atividades Micro'!$K523,"")</f>
        <v/>
      </c>
      <c r="AP471" s="21" t="str">
        <f>IF(AND('Atividades Micro'!$B523=AP$2,'Atividades Micro'!$L523&lt;&gt;""),'Atividades Micro'!$L523,"")</f>
        <v/>
      </c>
      <c r="AQ471" s="21" t="str">
        <f>IF(AND('Atividades Micro'!$A523=AQ$2,'Atividades Micro'!$K523&lt;&gt;""),'Atividades Micro'!$K523,"")</f>
        <v/>
      </c>
      <c r="AR471" s="21" t="str">
        <f>IF(AND('Atividades Micro'!$A523=AR$2,'Atividades Micro'!$L523&lt;&gt;""),'Atividades Micro'!$L523,"")</f>
        <v/>
      </c>
      <c r="AS471" s="21" t="str">
        <f>IF(AND('Atividades Micro'!$B523=AS$2,'Atividades Micro'!$K523&lt;&gt;""),'Atividades Micro'!$K523,"")</f>
        <v/>
      </c>
      <c r="AT471" s="21" t="str">
        <f>IF(AND('Atividades Micro'!$B523=AT$2,'Atividades Micro'!$L523&lt;&gt;""),'Atividades Micro'!$L523,"")</f>
        <v/>
      </c>
      <c r="AU471" s="21" t="str">
        <f>IF(AND('Atividades Micro'!$A523=AU$2,'Atividades Micro'!$K523&lt;&gt;""),'Atividades Micro'!$K523,"")</f>
        <v/>
      </c>
      <c r="AV471" s="21" t="str">
        <f>IF(AND('Atividades Micro'!$A523=AV$2,'Atividades Micro'!$L523&lt;&gt;""),'Atividades Micro'!$L523,"")</f>
        <v/>
      </c>
      <c r="AW471" s="21" t="str">
        <f>IF(AND('Atividades Micro'!$B523=AW$2,'Atividades Micro'!$K523&lt;&gt;""),'Atividades Micro'!$K523,"")</f>
        <v/>
      </c>
      <c r="AX471" s="21" t="str">
        <f>IF(AND('Atividades Micro'!$B523=AX$2,'Atividades Micro'!$L523&lt;&gt;""),'Atividades Micro'!$L523,"")</f>
        <v/>
      </c>
      <c r="AY471" s="21" t="str">
        <f>IF(AND('Atividades Micro'!$A523=AY$2,'Atividades Micro'!$K523&lt;&gt;""),'Atividades Micro'!$K523,"")</f>
        <v/>
      </c>
      <c r="AZ471" s="21" t="str">
        <f>IF(AND('Atividades Micro'!$A523=AZ$2,'Atividades Micro'!$L523&lt;&gt;""),'Atividades Micro'!$L523,"")</f>
        <v/>
      </c>
      <c r="BA471" s="21" t="str">
        <f>IF(AND('Atividades Micro'!$B523=BA$2,'Atividades Micro'!$K523&lt;&gt;""),'Atividades Micro'!$K523,"")</f>
        <v/>
      </c>
      <c r="BB471" s="21" t="str">
        <f>IF(AND('Atividades Micro'!$B523=BB$2,'Atividades Micro'!$L523&lt;&gt;""),'Atividades Micro'!$L523,"")</f>
        <v/>
      </c>
      <c r="BC471" s="21" t="str">
        <f>IF(AND('Atividades Micro'!$B523=BC$2,'Atividades Micro'!$G523="Macro",'Atividades Micro'!$K523&lt;&gt;""),'Atividades Micro'!$K523,"")</f>
        <v/>
      </c>
      <c r="BD471" s="21" t="str">
        <f>IF(AND('Atividades Micro'!$B523=BD$2,'Atividades Micro'!$G523="Macro",'Atividades Micro'!$K523&lt;&gt;""),'Atividades Micro'!$K523,"")</f>
        <v/>
      </c>
      <c r="BE471" s="21" t="str">
        <f>IF(AND('Atividades Micro'!$B523=BE$2,'Atividades Micro'!$G523="Macro",'Atividades Micro'!$K523&lt;&gt;""),'Atividades Micro'!$K523,"")</f>
        <v/>
      </c>
      <c r="BF471" s="21" t="str">
        <f>IF(AND('Atividades Micro'!$B523=BF$2,'Atividades Micro'!$G523="Macro",'Atividades Micro'!$K523&lt;&gt;""),'Atividades Micro'!$K523,"")</f>
        <v/>
      </c>
      <c r="BG471" s="21" t="str">
        <f>IF(AND('Atividades Micro'!$B523=BG$2,'Atividades Micro'!$G523="Macro",'Atividades Micro'!$K523&lt;&gt;""),'Atividades Micro'!$K523,"")</f>
        <v/>
      </c>
      <c r="BH471" s="21" t="str">
        <f>IF(AND('Atividades Micro'!$B523=BH$2,'Atividades Micro'!$G523="Macro",'Atividades Micro'!$K523&lt;&gt;""),'Atividades Micro'!$K523,"")</f>
        <v/>
      </c>
      <c r="BI471" s="21" t="str">
        <f>IF(AND('Atividades Micro'!$B523=BI$2,'Atividades Micro'!$G523="Macro",'Atividades Micro'!$K523&lt;&gt;""),'Atividades Micro'!$K523,"")</f>
        <v/>
      </c>
      <c r="BJ471" s="21" t="str">
        <f>IF(AND('Atividades Micro'!$B523=BJ$2,'Atividades Micro'!$G523="Macro",'Atividades Micro'!$K523&lt;&gt;""),'Atividades Micro'!$K523,"")</f>
        <v/>
      </c>
      <c r="BK471" s="21" t="str">
        <f>IF(AND('Atividades Micro'!$B523=BK$2,'Atividades Micro'!$G523="Macro",'Atividades Micro'!$K523&lt;&gt;""),'Atividades Micro'!$K523,"")</f>
        <v/>
      </c>
      <c r="BL471" s="21" t="str">
        <f>IF(AND('Atividades Micro'!$B523=BL$2,'Atividades Micro'!$G523="Macro",'Atividades Micro'!$K523&lt;&gt;""),'Atividades Micro'!$K523,"")</f>
        <v/>
      </c>
      <c r="BM471" s="21" t="str">
        <f>IF(AND('Atividades Micro'!$B523=BM$2,'Atividades Micro'!$G523="Macro",'Atividades Micro'!$K523&lt;&gt;""),'Atividades Micro'!$K523,"")</f>
        <v/>
      </c>
      <c r="BN471" s="21" t="str">
        <f>IF(AND('Atividades Micro'!$B523=BN$2,'Atividades Micro'!$G523="Macro",'Atividades Micro'!$K523&lt;&gt;""),'Atividades Micro'!$K523,"")</f>
        <v/>
      </c>
      <c r="BO471" s="21" t="str">
        <f>IF(AND('Atividades Micro'!$B523=BO$2,'Atividades Micro'!$G523="Macro",'Atividades Micro'!$K523&lt;&gt;""),'Atividades Micro'!$K523,"")</f>
        <v/>
      </c>
      <c r="BP471" s="21" t="str">
        <f>IF(AND('Atividades Micro'!$B523=BP$2,'Atividades Micro'!$G523="Macro",'Atividades Micro'!$K523&lt;&gt;""),'Atividades Micro'!$K523,"")</f>
        <v/>
      </c>
      <c r="BQ471" s="21" t="str">
        <f>IF(AND('Atividades Micro'!$B523=BQ$2,'Atividades Micro'!$G523="Macro",'Atividades Micro'!$K523&lt;&gt;""),'Atividades Micro'!$K523,"")</f>
        <v/>
      </c>
      <c r="BR471" s="21" t="str">
        <f>IF(AND('Atividades Micro'!$B523=BR$2,'Atividades Micro'!$G523="Macro",'Atividades Micro'!$K523&lt;&gt;""),'Atividades Micro'!$K523,"")</f>
        <v/>
      </c>
      <c r="BS471" s="21" t="str">
        <f>IF(AND('Atividades Micro'!$B523=BS$2,'Atividades Micro'!$G523="Macro",'Atividades Micro'!$K523&lt;&gt;""),'Atividades Micro'!$K523,"")</f>
        <v/>
      </c>
      <c r="BT471" s="21" t="str">
        <f>IF(AND('Atividades Micro'!$B523=BT$2,'Atividades Micro'!$G523="Macro",'Atividades Micro'!$K523&lt;&gt;""),'Atividades Micro'!$K523,"")</f>
        <v/>
      </c>
      <c r="BU471" s="21" t="str">
        <f>IF(AND('Atividades Micro'!$B523=BU$2,'Atividades Micro'!$G523="Macro",'Atividades Micro'!$K523&lt;&gt;""),'Atividades Micro'!$K523,"")</f>
        <v/>
      </c>
      <c r="BV471" s="21" t="str">
        <f>IF(AND('Atividades Micro'!$B523=BV$2,'Atividades Micro'!$G523="Macro",'Atividades Micro'!$K523&lt;&gt;""),'Atividades Micro'!$K523,"")</f>
        <v/>
      </c>
      <c r="BW471" s="21" t="str">
        <f>IF(AND('Atividades Micro'!$B523=BW$2,'Atividades Micro'!$G523="Macro",'Atividades Micro'!$K523&lt;&gt;""),'Atividades Micro'!$K523,"")</f>
        <v/>
      </c>
      <c r="BX471" s="21" t="str">
        <f>IF(AND('Atividades Micro'!$B523=BX$2,'Atividades Micro'!$G523="Macro",'Atividades Micro'!$K523&lt;&gt;""),'Atividades Micro'!$K523,"")</f>
        <v/>
      </c>
      <c r="BY471" s="21" t="str">
        <f>IF(AND('Atividades Micro'!$B523=BY$2,'Atividades Micro'!$G523="Macro",'Atividades Micro'!$K523&lt;&gt;""),'Atividades Micro'!$K523,"")</f>
        <v/>
      </c>
      <c r="BZ471" s="21" t="str">
        <f>IF(AND('Atividades Micro'!$B523=BZ$2,'Atividades Micro'!$G523="Macro",'Atividades Micro'!$K523&lt;&gt;""),'Atividades Micro'!$K523,"")</f>
        <v/>
      </c>
      <c r="CA471" s="21" t="str">
        <f>IF(AND('Atividades Micro'!$B523=CA$2,'Atividades Micro'!$G523="Macro",'Atividades Micro'!$K523&lt;&gt;""),'Atividades Micro'!$K523,"")</f>
        <v/>
      </c>
      <c r="CB471" s="21" t="str">
        <f>IF(AND('Atividades Micro'!$B523=CB$2,'Atividades Micro'!$G523="Macro",'Atividades Micro'!$K523&lt;&gt;""),'Atividades Micro'!$K523,"")</f>
        <v/>
      </c>
      <c r="CC471" s="21" t="str">
        <f>IF(AND('Atividades Micro'!$B523=CC$2,'Atividades Micro'!$G523="Macro",'Atividades Micro'!$K523&lt;&gt;""),'Atividades Micro'!$K523,"")</f>
        <v/>
      </c>
      <c r="CD471" s="21" t="str">
        <f>IF(AND('Atividades Micro'!$B523=CD$2,'Atividades Micro'!$G523="Micro",'Atividades Micro'!$K523&lt;&gt;""),'Atividades Micro'!$K523,"")</f>
        <v/>
      </c>
      <c r="CE471" s="21" t="str">
        <f>IF(AND('Atividades Micro'!$B523=CE$2,'Atividades Micro'!$G523="Micro",'Atividades Micro'!$K523&lt;&gt;""),'Atividades Micro'!$K523,"")</f>
        <v/>
      </c>
      <c r="CF471" s="21" t="str">
        <f>IF(AND('Atividades Micro'!$B523=CF$2,'Atividades Micro'!$G523="Micro",'Atividades Micro'!$K523&lt;&gt;""),'Atividades Micro'!$K523,"")</f>
        <v/>
      </c>
      <c r="CG471" s="21" t="str">
        <f>IF(AND('Atividades Micro'!$B523=CG$2,'Atividades Micro'!$G523="Micro",'Atividades Micro'!$K523&lt;&gt;""),'Atividades Micro'!$K523,"")</f>
        <v/>
      </c>
      <c r="CH471" s="21" t="str">
        <f>IF(AND('Atividades Micro'!$B523=CH$2,'Atividades Micro'!$G523="Micro",'Atividades Micro'!$K523&lt;&gt;""),'Atividades Micro'!$K523,"")</f>
        <v/>
      </c>
      <c r="CI471" s="21" t="str">
        <f>IF(AND('Atividades Micro'!$B523=CI$2,'Atividades Micro'!$G523="Micro",'Atividades Micro'!$K523&lt;&gt;""),'Atividades Micro'!$K523,"")</f>
        <v/>
      </c>
      <c r="CJ471" s="21" t="str">
        <f>IF(AND('Atividades Micro'!$B523=CJ$2,'Atividades Micro'!$G523="Micro",'Atividades Micro'!$K523&lt;&gt;""),'Atividades Micro'!$K523,"")</f>
        <v/>
      </c>
      <c r="CK471" s="21" t="str">
        <f>IF(AND('Atividades Micro'!$B523=CK$2,'Atividades Micro'!$G523="Micro",'Atividades Micro'!$K523&lt;&gt;""),'Atividades Micro'!$K523,"")</f>
        <v/>
      </c>
      <c r="CL471" s="21" t="str">
        <f>IF(AND('Atividades Micro'!$B523=CL$2,'Atividades Micro'!$G523="Micro",'Atividades Micro'!$K523&lt;&gt;""),'Atividades Micro'!$K523,"")</f>
        <v/>
      </c>
      <c r="CM471" s="21" t="str">
        <f>IF(AND('Atividades Micro'!$B523=CM$2,'Atividades Micro'!$G523="Micro",'Atividades Micro'!$K523&lt;&gt;""),'Atividades Micro'!$K523,"")</f>
        <v/>
      </c>
      <c r="CN471" s="21" t="str">
        <f>IF(AND('Atividades Micro'!$B523=CN$2,'Atividades Micro'!$G523="Micro",'Atividades Micro'!$K523&lt;&gt;""),'Atividades Micro'!$K523,"")</f>
        <v/>
      </c>
      <c r="CO471" s="21" t="str">
        <f>IF(AND('Atividades Micro'!$B523=CO$2,'Atividades Micro'!$G523="Micro",'Atividades Micro'!$K523&lt;&gt;""),'Atividades Micro'!$K523,"")</f>
        <v/>
      </c>
    </row>
    <row r="472" spans="1:93">
      <c r="A472" s="21" t="str">
        <f>IF(AND('Atividades Micro'!$A524=A$2,'Atividades Micro'!$K524&lt;&gt;""),'Atividades Micro'!$K524,"")</f>
        <v/>
      </c>
      <c r="B472" s="21" t="str">
        <f>IF(AND('Atividades Micro'!$A524=B$2,'Atividades Micro'!$L524&lt;&gt;""),'Atividades Micro'!$L524,"")</f>
        <v/>
      </c>
      <c r="C472" s="21" t="str">
        <f>IF(AND('Atividades Micro'!$A524=C$2,'Atividades Micro'!$K524&lt;&gt;""),'Atividades Micro'!$K524,"")</f>
        <v/>
      </c>
      <c r="D472" s="21" t="str">
        <f>IF(AND('Atividades Micro'!$A524=D$2,'Atividades Micro'!$L524&lt;&gt;""),'Atividades Micro'!$L524,"")</f>
        <v/>
      </c>
      <c r="E472" s="21" t="str">
        <f>IF(AND('Atividades Micro'!$A524=E$2,'Atividades Micro'!$K524&lt;&gt;""),'Atividades Micro'!$K524,"")</f>
        <v/>
      </c>
      <c r="F472" s="21" t="str">
        <f>IF(AND('Atividades Micro'!$A524=F$2,'Atividades Micro'!$L524&lt;&gt;""),'Atividades Micro'!$L524,"")</f>
        <v/>
      </c>
      <c r="G472" s="21" t="str">
        <f>IF(AND('Atividades Micro'!$A524=G$2,'Atividades Micro'!$K524&lt;&gt;""),'Atividades Micro'!$K524,"")</f>
        <v/>
      </c>
      <c r="H472" s="21" t="str">
        <f>IF(AND('Atividades Micro'!$A524=H$2,'Atividades Micro'!$L524&lt;&gt;""),'Atividades Micro'!$L524,"")</f>
        <v/>
      </c>
      <c r="I472" s="21" t="str">
        <f>IF(AND('Atividades Micro'!$A524=I$2,'Atividades Micro'!$K524&lt;&gt;""),'Atividades Micro'!$K524,"")</f>
        <v/>
      </c>
      <c r="J472" s="21" t="str">
        <f>IF(AND('Atividades Micro'!$A524=J$2,'Atividades Micro'!$L524&lt;&gt;""),'Atividades Micro'!$L524,"")</f>
        <v/>
      </c>
      <c r="K472" s="21" t="str">
        <f>IF(AND('Atividades Micro'!$B524=K$2,'Atividades Micro'!$K524&lt;&gt;""),'Atividades Micro'!$K524,"")</f>
        <v/>
      </c>
      <c r="L472" s="21" t="str">
        <f>IF(AND('Atividades Micro'!$B524=L$2,'Atividades Micro'!$L524&lt;&gt;""),'Atividades Micro'!$L524,"")</f>
        <v/>
      </c>
      <c r="M472" s="21" t="str">
        <f>IF(AND('Atividades Micro'!$B524=M$2,'Atividades Micro'!$K524&lt;&gt;""),'Atividades Micro'!$K524,"")</f>
        <v/>
      </c>
      <c r="N472" s="21" t="str">
        <f>IF(AND('Atividades Micro'!$B524=N$2,'Atividades Micro'!$L524&lt;&gt;""),'Atividades Micro'!$L524,"")</f>
        <v/>
      </c>
      <c r="O472" s="21" t="str">
        <f>IF(AND('Atividades Micro'!$A524=O$2,'Atividades Micro'!$K524&lt;&gt;""),'Atividades Micro'!$K524,"")</f>
        <v/>
      </c>
      <c r="P472" s="21" t="str">
        <f>IF(AND('Atividades Micro'!$A524=P$2,'Atividades Micro'!$L524&lt;&gt;""),'Atividades Micro'!$L524,"")</f>
        <v/>
      </c>
      <c r="Q472" s="21" t="str">
        <f>IF(AND('Atividades Micro'!$B524=Q$2,'Atividades Micro'!$K524&lt;&gt;""),'Atividades Micro'!$K524,"")</f>
        <v/>
      </c>
      <c r="R472" s="21" t="str">
        <f>IF(AND('Atividades Micro'!$B524=R$2,'Atividades Micro'!$L524&lt;&gt;""),'Atividades Micro'!$L524,"")</f>
        <v/>
      </c>
      <c r="S472" s="21" t="str">
        <f>IF(AND('Atividades Micro'!$A524=S$2,'Atividades Micro'!$K524&lt;&gt;""),'Atividades Micro'!$K524,"")</f>
        <v/>
      </c>
      <c r="T472" s="21" t="str">
        <f>IF(AND('Atividades Micro'!$A524=T$2,'Atividades Micro'!$L524&lt;&gt;""),'Atividades Micro'!$L524,"")</f>
        <v/>
      </c>
      <c r="U472" s="21" t="str">
        <f>IF(AND('Atividades Micro'!$B524=U$2,'Atividades Micro'!$K524&lt;&gt;""),'Atividades Micro'!$K524,"")</f>
        <v/>
      </c>
      <c r="V472" s="21" t="str">
        <f>IF(AND('Atividades Micro'!$B524=V$2,'Atividades Micro'!$L524&lt;&gt;""),'Atividades Micro'!$L524,"")</f>
        <v/>
      </c>
      <c r="W472" s="21" t="str">
        <f>IF(AND('Atividades Micro'!$B524=W$2,'Atividades Micro'!$K524&lt;&gt;""),'Atividades Micro'!$K524,"")</f>
        <v/>
      </c>
      <c r="X472" s="21" t="str">
        <f>IF(AND('Atividades Micro'!$B524=X$2,'Atividades Micro'!$L524&lt;&gt;""),'Atividades Micro'!$L524,"")</f>
        <v/>
      </c>
      <c r="Y472" s="21" t="str">
        <f>IF(AND('Atividades Micro'!$A524=Y$2,'Atividades Micro'!$K524&lt;&gt;""),'Atividades Micro'!$K524,"")</f>
        <v/>
      </c>
      <c r="Z472" s="21" t="str">
        <f>IF(AND('Atividades Micro'!$A524=Z$2,'Atividades Micro'!$L524&lt;&gt;""),'Atividades Micro'!$L524,"")</f>
        <v/>
      </c>
      <c r="AA472" s="21" t="str">
        <f>IF(AND('Atividades Micro'!$B524=AA$2,'Atividades Micro'!$K524&lt;&gt;""),'Atividades Micro'!$K524,"")</f>
        <v/>
      </c>
      <c r="AB472" s="21" t="str">
        <f>IF(AND('Atividades Micro'!$B524=AB$2,'Atividades Micro'!$L524&lt;&gt;""),'Atividades Micro'!$L524,"")</f>
        <v/>
      </c>
      <c r="AC472" s="21" t="str">
        <f>IF(AND('Atividades Micro'!$B524=AC$2,'Atividades Micro'!$K524&lt;&gt;""),'Atividades Micro'!$K524,"")</f>
        <v/>
      </c>
      <c r="AD472" s="21" t="str">
        <f>IF(AND('Atividades Micro'!$B524=AD$2,'Atividades Micro'!$L524&lt;&gt;""),'Atividades Micro'!$L524,"")</f>
        <v/>
      </c>
      <c r="AE472" s="21" t="str">
        <f>IF(AND('Atividades Micro'!$A524=AE$2,'Atividades Micro'!$K524&lt;&gt;""),'Atividades Micro'!$K524,"")</f>
        <v/>
      </c>
      <c r="AF472" s="21" t="str">
        <f>IF(AND('Atividades Micro'!$A524=AF$2,'Atividades Micro'!$L524&lt;&gt;""),'Atividades Micro'!$L524,"")</f>
        <v/>
      </c>
      <c r="AG472" s="21" t="str">
        <f>IF(AND('Atividades Micro'!$B524=AG$2,'Atividades Micro'!$K524&lt;&gt;""),'Atividades Micro'!$K524,"")</f>
        <v/>
      </c>
      <c r="AH472" s="21" t="str">
        <f>IF(AND('Atividades Micro'!$B524=AH$2,'Atividades Micro'!$L524&lt;&gt;""),'Atividades Micro'!$L524,"")</f>
        <v/>
      </c>
      <c r="AI472" s="21" t="str">
        <f>IF(AND('Atividades Micro'!$B524=AI$2,'Atividades Micro'!$K524&lt;&gt;""),'Atividades Micro'!$K524,"")</f>
        <v/>
      </c>
      <c r="AJ472" s="21" t="str">
        <f>IF(AND('Atividades Micro'!$B524=AJ$2,'Atividades Micro'!$L524&lt;&gt;""),'Atividades Micro'!$L524,"")</f>
        <v/>
      </c>
      <c r="AK472" s="21" t="str">
        <f>IF(AND('Atividades Micro'!$A524=AK$2,'Atividades Micro'!$K524&lt;&gt;""),'Atividades Micro'!$K524,"")</f>
        <v/>
      </c>
      <c r="AL472" s="21" t="str">
        <f>IF(AND('Atividades Micro'!$A524=AL$2,'Atividades Micro'!$L524&lt;&gt;""),'Atividades Micro'!$L524,"")</f>
        <v/>
      </c>
      <c r="AM472" s="21" t="str">
        <f>IF(AND('Atividades Micro'!$B524=AM$2,'Atividades Micro'!$K524&lt;&gt;""),'Atividades Micro'!$K524,"")</f>
        <v/>
      </c>
      <c r="AN472" s="21" t="str">
        <f>IF(AND('Atividades Micro'!$B524=AN$2,'Atividades Micro'!$L524&lt;&gt;""),'Atividades Micro'!$L524,"")</f>
        <v/>
      </c>
      <c r="AO472" s="21" t="str">
        <f>IF(AND('Atividades Micro'!$B524=AO$2,'Atividades Micro'!$K524&lt;&gt;""),'Atividades Micro'!$K524,"")</f>
        <v/>
      </c>
      <c r="AP472" s="21" t="str">
        <f>IF(AND('Atividades Micro'!$B524=AP$2,'Atividades Micro'!$L524&lt;&gt;""),'Atividades Micro'!$L524,"")</f>
        <v/>
      </c>
      <c r="AQ472" s="21" t="str">
        <f>IF(AND('Atividades Micro'!$A524=AQ$2,'Atividades Micro'!$K524&lt;&gt;""),'Atividades Micro'!$K524,"")</f>
        <v/>
      </c>
      <c r="AR472" s="21" t="str">
        <f>IF(AND('Atividades Micro'!$A524=AR$2,'Atividades Micro'!$L524&lt;&gt;""),'Atividades Micro'!$L524,"")</f>
        <v/>
      </c>
      <c r="AS472" s="21" t="str">
        <f>IF(AND('Atividades Micro'!$B524=AS$2,'Atividades Micro'!$K524&lt;&gt;""),'Atividades Micro'!$K524,"")</f>
        <v/>
      </c>
      <c r="AT472" s="21" t="str">
        <f>IF(AND('Atividades Micro'!$B524=AT$2,'Atividades Micro'!$L524&lt;&gt;""),'Atividades Micro'!$L524,"")</f>
        <v/>
      </c>
      <c r="AU472" s="21" t="str">
        <f>IF(AND('Atividades Micro'!$A524=AU$2,'Atividades Micro'!$K524&lt;&gt;""),'Atividades Micro'!$K524,"")</f>
        <v/>
      </c>
      <c r="AV472" s="21" t="str">
        <f>IF(AND('Atividades Micro'!$A524=AV$2,'Atividades Micro'!$L524&lt;&gt;""),'Atividades Micro'!$L524,"")</f>
        <v/>
      </c>
      <c r="AW472" s="21" t="str">
        <f>IF(AND('Atividades Micro'!$B524=AW$2,'Atividades Micro'!$K524&lt;&gt;""),'Atividades Micro'!$K524,"")</f>
        <v/>
      </c>
      <c r="AX472" s="21" t="str">
        <f>IF(AND('Atividades Micro'!$B524=AX$2,'Atividades Micro'!$L524&lt;&gt;""),'Atividades Micro'!$L524,"")</f>
        <v/>
      </c>
      <c r="AY472" s="21" t="str">
        <f>IF(AND('Atividades Micro'!$A524=AY$2,'Atividades Micro'!$K524&lt;&gt;""),'Atividades Micro'!$K524,"")</f>
        <v/>
      </c>
      <c r="AZ472" s="21" t="str">
        <f>IF(AND('Atividades Micro'!$A524=AZ$2,'Atividades Micro'!$L524&lt;&gt;""),'Atividades Micro'!$L524,"")</f>
        <v/>
      </c>
      <c r="BA472" s="21" t="str">
        <f>IF(AND('Atividades Micro'!$B524=BA$2,'Atividades Micro'!$K524&lt;&gt;""),'Atividades Micro'!$K524,"")</f>
        <v/>
      </c>
      <c r="BB472" s="21" t="str">
        <f>IF(AND('Atividades Micro'!$B524=BB$2,'Atividades Micro'!$L524&lt;&gt;""),'Atividades Micro'!$L524,"")</f>
        <v/>
      </c>
      <c r="BC472" s="21" t="str">
        <f>IF(AND('Atividades Micro'!$B524=BC$2,'Atividades Micro'!$G524="Macro",'Atividades Micro'!$K524&lt;&gt;""),'Atividades Micro'!$K524,"")</f>
        <v/>
      </c>
      <c r="BD472" s="21" t="str">
        <f>IF(AND('Atividades Micro'!$B524=BD$2,'Atividades Micro'!$G524="Macro",'Atividades Micro'!$K524&lt;&gt;""),'Atividades Micro'!$K524,"")</f>
        <v/>
      </c>
      <c r="BE472" s="21" t="str">
        <f>IF(AND('Atividades Micro'!$B524=BE$2,'Atividades Micro'!$G524="Macro",'Atividades Micro'!$K524&lt;&gt;""),'Atividades Micro'!$K524,"")</f>
        <v/>
      </c>
      <c r="BF472" s="21" t="str">
        <f>IF(AND('Atividades Micro'!$B524=BF$2,'Atividades Micro'!$G524="Macro",'Atividades Micro'!$K524&lt;&gt;""),'Atividades Micro'!$K524,"")</f>
        <v/>
      </c>
      <c r="BG472" s="21" t="str">
        <f>IF(AND('Atividades Micro'!$B524=BG$2,'Atividades Micro'!$G524="Macro",'Atividades Micro'!$K524&lt;&gt;""),'Atividades Micro'!$K524,"")</f>
        <v/>
      </c>
      <c r="BH472" s="21" t="str">
        <f>IF(AND('Atividades Micro'!$B524=BH$2,'Atividades Micro'!$G524="Macro",'Atividades Micro'!$K524&lt;&gt;""),'Atividades Micro'!$K524,"")</f>
        <v/>
      </c>
      <c r="BI472" s="21" t="str">
        <f>IF(AND('Atividades Micro'!$B524=BI$2,'Atividades Micro'!$G524="Macro",'Atividades Micro'!$K524&lt;&gt;""),'Atividades Micro'!$K524,"")</f>
        <v/>
      </c>
      <c r="BJ472" s="21" t="str">
        <f>IF(AND('Atividades Micro'!$B524=BJ$2,'Atividades Micro'!$G524="Macro",'Atividades Micro'!$K524&lt;&gt;""),'Atividades Micro'!$K524,"")</f>
        <v/>
      </c>
      <c r="BK472" s="21" t="str">
        <f>IF(AND('Atividades Micro'!$B524=BK$2,'Atividades Micro'!$G524="Macro",'Atividades Micro'!$K524&lt;&gt;""),'Atividades Micro'!$K524,"")</f>
        <v/>
      </c>
      <c r="BL472" s="21" t="str">
        <f>IF(AND('Atividades Micro'!$B524=BL$2,'Atividades Micro'!$G524="Macro",'Atividades Micro'!$K524&lt;&gt;""),'Atividades Micro'!$K524,"")</f>
        <v/>
      </c>
      <c r="BM472" s="21" t="str">
        <f>IF(AND('Atividades Micro'!$B524=BM$2,'Atividades Micro'!$G524="Macro",'Atividades Micro'!$K524&lt;&gt;""),'Atividades Micro'!$K524,"")</f>
        <v/>
      </c>
      <c r="BN472" s="21" t="str">
        <f>IF(AND('Atividades Micro'!$B524=BN$2,'Atividades Micro'!$G524="Macro",'Atividades Micro'!$K524&lt;&gt;""),'Atividades Micro'!$K524,"")</f>
        <v/>
      </c>
      <c r="BO472" s="21" t="str">
        <f>IF(AND('Atividades Micro'!$B524=BO$2,'Atividades Micro'!$G524="Macro",'Atividades Micro'!$K524&lt;&gt;""),'Atividades Micro'!$K524,"")</f>
        <v/>
      </c>
      <c r="BP472" s="21" t="str">
        <f>IF(AND('Atividades Micro'!$B524=BP$2,'Atividades Micro'!$G524="Macro",'Atividades Micro'!$K524&lt;&gt;""),'Atividades Micro'!$K524,"")</f>
        <v/>
      </c>
      <c r="BQ472" s="21" t="str">
        <f>IF(AND('Atividades Micro'!$B524=BQ$2,'Atividades Micro'!$G524="Macro",'Atividades Micro'!$K524&lt;&gt;""),'Atividades Micro'!$K524,"")</f>
        <v/>
      </c>
      <c r="BR472" s="21" t="str">
        <f>IF(AND('Atividades Micro'!$B524=BR$2,'Atividades Micro'!$G524="Macro",'Atividades Micro'!$K524&lt;&gt;""),'Atividades Micro'!$K524,"")</f>
        <v/>
      </c>
      <c r="BS472" s="21" t="str">
        <f>IF(AND('Atividades Micro'!$B524=BS$2,'Atividades Micro'!$G524="Macro",'Atividades Micro'!$K524&lt;&gt;""),'Atividades Micro'!$K524,"")</f>
        <v/>
      </c>
      <c r="BT472" s="21" t="str">
        <f>IF(AND('Atividades Micro'!$B524=BT$2,'Atividades Micro'!$G524="Macro",'Atividades Micro'!$K524&lt;&gt;""),'Atividades Micro'!$K524,"")</f>
        <v/>
      </c>
      <c r="BU472" s="21" t="str">
        <f>IF(AND('Atividades Micro'!$B524=BU$2,'Atividades Micro'!$G524="Macro",'Atividades Micro'!$K524&lt;&gt;""),'Atividades Micro'!$K524,"")</f>
        <v/>
      </c>
      <c r="BV472" s="21" t="str">
        <f>IF(AND('Atividades Micro'!$B524=BV$2,'Atividades Micro'!$G524="Macro",'Atividades Micro'!$K524&lt;&gt;""),'Atividades Micro'!$K524,"")</f>
        <v/>
      </c>
      <c r="BW472" s="21" t="str">
        <f>IF(AND('Atividades Micro'!$B524=BW$2,'Atividades Micro'!$G524="Macro",'Atividades Micro'!$K524&lt;&gt;""),'Atividades Micro'!$K524,"")</f>
        <v/>
      </c>
      <c r="BX472" s="21" t="str">
        <f>IF(AND('Atividades Micro'!$B524=BX$2,'Atividades Micro'!$G524="Macro",'Atividades Micro'!$K524&lt;&gt;""),'Atividades Micro'!$K524,"")</f>
        <v/>
      </c>
      <c r="BY472" s="21" t="str">
        <f>IF(AND('Atividades Micro'!$B524=BY$2,'Atividades Micro'!$G524="Macro",'Atividades Micro'!$K524&lt;&gt;""),'Atividades Micro'!$K524,"")</f>
        <v/>
      </c>
      <c r="BZ472" s="21" t="str">
        <f>IF(AND('Atividades Micro'!$B524=BZ$2,'Atividades Micro'!$G524="Macro",'Atividades Micro'!$K524&lt;&gt;""),'Atividades Micro'!$K524,"")</f>
        <v/>
      </c>
      <c r="CA472" s="21" t="str">
        <f>IF(AND('Atividades Micro'!$B524=CA$2,'Atividades Micro'!$G524="Macro",'Atividades Micro'!$K524&lt;&gt;""),'Atividades Micro'!$K524,"")</f>
        <v/>
      </c>
      <c r="CB472" s="21" t="str">
        <f>IF(AND('Atividades Micro'!$B524=CB$2,'Atividades Micro'!$G524="Macro",'Atividades Micro'!$K524&lt;&gt;""),'Atividades Micro'!$K524,"")</f>
        <v/>
      </c>
      <c r="CC472" s="21" t="str">
        <f>IF(AND('Atividades Micro'!$B524=CC$2,'Atividades Micro'!$G524="Macro",'Atividades Micro'!$K524&lt;&gt;""),'Atividades Micro'!$K524,"")</f>
        <v/>
      </c>
      <c r="CD472" s="21" t="str">
        <f>IF(AND('Atividades Micro'!$B524=CD$2,'Atividades Micro'!$G524="Micro",'Atividades Micro'!$K524&lt;&gt;""),'Atividades Micro'!$K524,"")</f>
        <v/>
      </c>
      <c r="CE472" s="21" t="str">
        <f>IF(AND('Atividades Micro'!$B524=CE$2,'Atividades Micro'!$G524="Micro",'Atividades Micro'!$K524&lt;&gt;""),'Atividades Micro'!$K524,"")</f>
        <v/>
      </c>
      <c r="CF472" s="21" t="str">
        <f>IF(AND('Atividades Micro'!$B524=CF$2,'Atividades Micro'!$G524="Micro",'Atividades Micro'!$K524&lt;&gt;""),'Atividades Micro'!$K524,"")</f>
        <v/>
      </c>
      <c r="CG472" s="21" t="str">
        <f>IF(AND('Atividades Micro'!$B524=CG$2,'Atividades Micro'!$G524="Micro",'Atividades Micro'!$K524&lt;&gt;""),'Atividades Micro'!$K524,"")</f>
        <v/>
      </c>
      <c r="CH472" s="21" t="str">
        <f>IF(AND('Atividades Micro'!$B524=CH$2,'Atividades Micro'!$G524="Micro",'Atividades Micro'!$K524&lt;&gt;""),'Atividades Micro'!$K524,"")</f>
        <v/>
      </c>
      <c r="CI472" s="21" t="str">
        <f>IF(AND('Atividades Micro'!$B524=CI$2,'Atividades Micro'!$G524="Micro",'Atividades Micro'!$K524&lt;&gt;""),'Atividades Micro'!$K524,"")</f>
        <v/>
      </c>
      <c r="CJ472" s="21" t="str">
        <f>IF(AND('Atividades Micro'!$B524=CJ$2,'Atividades Micro'!$G524="Micro",'Atividades Micro'!$K524&lt;&gt;""),'Atividades Micro'!$K524,"")</f>
        <v/>
      </c>
      <c r="CK472" s="21" t="str">
        <f>IF(AND('Atividades Micro'!$B524=CK$2,'Atividades Micro'!$G524="Micro",'Atividades Micro'!$K524&lt;&gt;""),'Atividades Micro'!$K524,"")</f>
        <v/>
      </c>
      <c r="CL472" s="21" t="str">
        <f>IF(AND('Atividades Micro'!$B524=CL$2,'Atividades Micro'!$G524="Micro",'Atividades Micro'!$K524&lt;&gt;""),'Atividades Micro'!$K524,"")</f>
        <v/>
      </c>
      <c r="CM472" s="21" t="str">
        <f>IF(AND('Atividades Micro'!$B524=CM$2,'Atividades Micro'!$G524="Micro",'Atividades Micro'!$K524&lt;&gt;""),'Atividades Micro'!$K524,"")</f>
        <v/>
      </c>
      <c r="CN472" s="21" t="str">
        <f>IF(AND('Atividades Micro'!$B524=CN$2,'Atividades Micro'!$G524="Micro",'Atividades Micro'!$K524&lt;&gt;""),'Atividades Micro'!$K524,"")</f>
        <v/>
      </c>
      <c r="CO472" s="21" t="str">
        <f>IF(AND('Atividades Micro'!$B524=CO$2,'Atividades Micro'!$G524="Micro",'Atividades Micro'!$K524&lt;&gt;""),'Atividades Micro'!$K524,"")</f>
        <v/>
      </c>
    </row>
    <row r="473" spans="1:93">
      <c r="A473" s="21" t="str">
        <f>IF(AND('Atividades Micro'!$A525=A$2,'Atividades Micro'!$K525&lt;&gt;""),'Atividades Micro'!$K525,"")</f>
        <v/>
      </c>
      <c r="B473" s="21" t="str">
        <f>IF(AND('Atividades Micro'!$A525=B$2,'Atividades Micro'!$L525&lt;&gt;""),'Atividades Micro'!$L525,"")</f>
        <v/>
      </c>
      <c r="C473" s="21" t="str">
        <f>IF(AND('Atividades Micro'!$A525=C$2,'Atividades Micro'!$K525&lt;&gt;""),'Atividades Micro'!$K525,"")</f>
        <v/>
      </c>
      <c r="D473" s="21" t="str">
        <f>IF(AND('Atividades Micro'!$A525=D$2,'Atividades Micro'!$L525&lt;&gt;""),'Atividades Micro'!$L525,"")</f>
        <v/>
      </c>
      <c r="E473" s="21" t="str">
        <f>IF(AND('Atividades Micro'!$A525=E$2,'Atividades Micro'!$K525&lt;&gt;""),'Atividades Micro'!$K525,"")</f>
        <v/>
      </c>
      <c r="F473" s="21" t="str">
        <f>IF(AND('Atividades Micro'!$A525=F$2,'Atividades Micro'!$L525&lt;&gt;""),'Atividades Micro'!$L525,"")</f>
        <v/>
      </c>
      <c r="G473" s="21" t="str">
        <f>IF(AND('Atividades Micro'!$A525=G$2,'Atividades Micro'!$K525&lt;&gt;""),'Atividades Micro'!$K525,"")</f>
        <v/>
      </c>
      <c r="H473" s="21" t="str">
        <f>IF(AND('Atividades Micro'!$A525=H$2,'Atividades Micro'!$L525&lt;&gt;""),'Atividades Micro'!$L525,"")</f>
        <v/>
      </c>
      <c r="I473" s="21" t="str">
        <f>IF(AND('Atividades Micro'!$A525=I$2,'Atividades Micro'!$K525&lt;&gt;""),'Atividades Micro'!$K525,"")</f>
        <v/>
      </c>
      <c r="J473" s="21" t="str">
        <f>IF(AND('Atividades Micro'!$A525=J$2,'Atividades Micro'!$L525&lt;&gt;""),'Atividades Micro'!$L525,"")</f>
        <v/>
      </c>
      <c r="K473" s="21" t="str">
        <f>IF(AND('Atividades Micro'!$B525=K$2,'Atividades Micro'!$K525&lt;&gt;""),'Atividades Micro'!$K525,"")</f>
        <v/>
      </c>
      <c r="L473" s="21" t="str">
        <f>IF(AND('Atividades Micro'!$B525=L$2,'Atividades Micro'!$L525&lt;&gt;""),'Atividades Micro'!$L525,"")</f>
        <v/>
      </c>
      <c r="M473" s="21" t="str">
        <f>IF(AND('Atividades Micro'!$B525=M$2,'Atividades Micro'!$K525&lt;&gt;""),'Atividades Micro'!$K525,"")</f>
        <v/>
      </c>
      <c r="N473" s="21" t="str">
        <f>IF(AND('Atividades Micro'!$B525=N$2,'Atividades Micro'!$L525&lt;&gt;""),'Atividades Micro'!$L525,"")</f>
        <v/>
      </c>
      <c r="O473" s="21" t="str">
        <f>IF(AND('Atividades Micro'!$A525=O$2,'Atividades Micro'!$K525&lt;&gt;""),'Atividades Micro'!$K525,"")</f>
        <v/>
      </c>
      <c r="P473" s="21" t="str">
        <f>IF(AND('Atividades Micro'!$A525=P$2,'Atividades Micro'!$L525&lt;&gt;""),'Atividades Micro'!$L525,"")</f>
        <v/>
      </c>
      <c r="Q473" s="21" t="str">
        <f>IF(AND('Atividades Micro'!$B525=Q$2,'Atividades Micro'!$K525&lt;&gt;""),'Atividades Micro'!$K525,"")</f>
        <v/>
      </c>
      <c r="R473" s="21" t="str">
        <f>IF(AND('Atividades Micro'!$B525=R$2,'Atividades Micro'!$L525&lt;&gt;""),'Atividades Micro'!$L525,"")</f>
        <v/>
      </c>
      <c r="S473" s="21" t="str">
        <f>IF(AND('Atividades Micro'!$A525=S$2,'Atividades Micro'!$K525&lt;&gt;""),'Atividades Micro'!$K525,"")</f>
        <v/>
      </c>
      <c r="T473" s="21" t="str">
        <f>IF(AND('Atividades Micro'!$A525=T$2,'Atividades Micro'!$L525&lt;&gt;""),'Atividades Micro'!$L525,"")</f>
        <v/>
      </c>
      <c r="U473" s="21" t="str">
        <f>IF(AND('Atividades Micro'!$B525=U$2,'Atividades Micro'!$K525&lt;&gt;""),'Atividades Micro'!$K525,"")</f>
        <v/>
      </c>
      <c r="V473" s="21" t="str">
        <f>IF(AND('Atividades Micro'!$B525=V$2,'Atividades Micro'!$L525&lt;&gt;""),'Atividades Micro'!$L525,"")</f>
        <v/>
      </c>
      <c r="W473" s="21" t="str">
        <f>IF(AND('Atividades Micro'!$B525=W$2,'Atividades Micro'!$K525&lt;&gt;""),'Atividades Micro'!$K525,"")</f>
        <v/>
      </c>
      <c r="X473" s="21" t="str">
        <f>IF(AND('Atividades Micro'!$B525=X$2,'Atividades Micro'!$L525&lt;&gt;""),'Atividades Micro'!$L525,"")</f>
        <v/>
      </c>
      <c r="Y473" s="21" t="str">
        <f>IF(AND('Atividades Micro'!$A525=Y$2,'Atividades Micro'!$K525&lt;&gt;""),'Atividades Micro'!$K525,"")</f>
        <v/>
      </c>
      <c r="Z473" s="21" t="str">
        <f>IF(AND('Atividades Micro'!$A525=Z$2,'Atividades Micro'!$L525&lt;&gt;""),'Atividades Micro'!$L525,"")</f>
        <v/>
      </c>
      <c r="AA473" s="21" t="str">
        <f>IF(AND('Atividades Micro'!$B525=AA$2,'Atividades Micro'!$K525&lt;&gt;""),'Atividades Micro'!$K525,"")</f>
        <v/>
      </c>
      <c r="AB473" s="21" t="str">
        <f>IF(AND('Atividades Micro'!$B525=AB$2,'Atividades Micro'!$L525&lt;&gt;""),'Atividades Micro'!$L525,"")</f>
        <v/>
      </c>
      <c r="AC473" s="21" t="str">
        <f>IF(AND('Atividades Micro'!$B525=AC$2,'Atividades Micro'!$K525&lt;&gt;""),'Atividades Micro'!$K525,"")</f>
        <v/>
      </c>
      <c r="AD473" s="21" t="str">
        <f>IF(AND('Atividades Micro'!$B525=AD$2,'Atividades Micro'!$L525&lt;&gt;""),'Atividades Micro'!$L525,"")</f>
        <v/>
      </c>
      <c r="AE473" s="21" t="str">
        <f>IF(AND('Atividades Micro'!$A525=AE$2,'Atividades Micro'!$K525&lt;&gt;""),'Atividades Micro'!$K525,"")</f>
        <v/>
      </c>
      <c r="AF473" s="21" t="str">
        <f>IF(AND('Atividades Micro'!$A525=AF$2,'Atividades Micro'!$L525&lt;&gt;""),'Atividades Micro'!$L525,"")</f>
        <v/>
      </c>
      <c r="AG473" s="21" t="str">
        <f>IF(AND('Atividades Micro'!$B525=AG$2,'Atividades Micro'!$K525&lt;&gt;""),'Atividades Micro'!$K525,"")</f>
        <v/>
      </c>
      <c r="AH473" s="21" t="str">
        <f>IF(AND('Atividades Micro'!$B525=AH$2,'Atividades Micro'!$L525&lt;&gt;""),'Atividades Micro'!$L525,"")</f>
        <v/>
      </c>
      <c r="AI473" s="21" t="str">
        <f>IF(AND('Atividades Micro'!$B525=AI$2,'Atividades Micro'!$K525&lt;&gt;""),'Atividades Micro'!$K525,"")</f>
        <v/>
      </c>
      <c r="AJ473" s="21" t="str">
        <f>IF(AND('Atividades Micro'!$B525=AJ$2,'Atividades Micro'!$L525&lt;&gt;""),'Atividades Micro'!$L525,"")</f>
        <v/>
      </c>
      <c r="AK473" s="21" t="str">
        <f>IF(AND('Atividades Micro'!$A525=AK$2,'Atividades Micro'!$K525&lt;&gt;""),'Atividades Micro'!$K525,"")</f>
        <v/>
      </c>
      <c r="AL473" s="21" t="str">
        <f>IF(AND('Atividades Micro'!$A525=AL$2,'Atividades Micro'!$L525&lt;&gt;""),'Atividades Micro'!$L525,"")</f>
        <v/>
      </c>
      <c r="AM473" s="21" t="str">
        <f>IF(AND('Atividades Micro'!$B525=AM$2,'Atividades Micro'!$K525&lt;&gt;""),'Atividades Micro'!$K525,"")</f>
        <v/>
      </c>
      <c r="AN473" s="21" t="str">
        <f>IF(AND('Atividades Micro'!$B525=AN$2,'Atividades Micro'!$L525&lt;&gt;""),'Atividades Micro'!$L525,"")</f>
        <v/>
      </c>
      <c r="AO473" s="21" t="str">
        <f>IF(AND('Atividades Micro'!$B525=AO$2,'Atividades Micro'!$K525&lt;&gt;""),'Atividades Micro'!$K525,"")</f>
        <v/>
      </c>
      <c r="AP473" s="21" t="str">
        <f>IF(AND('Atividades Micro'!$B525=AP$2,'Atividades Micro'!$L525&lt;&gt;""),'Atividades Micro'!$L525,"")</f>
        <v/>
      </c>
      <c r="AQ473" s="21" t="str">
        <f>IF(AND('Atividades Micro'!$A525=AQ$2,'Atividades Micro'!$K525&lt;&gt;""),'Atividades Micro'!$K525,"")</f>
        <v/>
      </c>
      <c r="AR473" s="21" t="str">
        <f>IF(AND('Atividades Micro'!$A525=AR$2,'Atividades Micro'!$L525&lt;&gt;""),'Atividades Micro'!$L525,"")</f>
        <v/>
      </c>
      <c r="AS473" s="21" t="str">
        <f>IF(AND('Atividades Micro'!$B525=AS$2,'Atividades Micro'!$K525&lt;&gt;""),'Atividades Micro'!$K525,"")</f>
        <v/>
      </c>
      <c r="AT473" s="21" t="str">
        <f>IF(AND('Atividades Micro'!$B525=AT$2,'Atividades Micro'!$L525&lt;&gt;""),'Atividades Micro'!$L525,"")</f>
        <v/>
      </c>
      <c r="AU473" s="21" t="str">
        <f>IF(AND('Atividades Micro'!$A525=AU$2,'Atividades Micro'!$K525&lt;&gt;""),'Atividades Micro'!$K525,"")</f>
        <v/>
      </c>
      <c r="AV473" s="21" t="str">
        <f>IF(AND('Atividades Micro'!$A525=AV$2,'Atividades Micro'!$L525&lt;&gt;""),'Atividades Micro'!$L525,"")</f>
        <v/>
      </c>
      <c r="AW473" s="21" t="str">
        <f>IF(AND('Atividades Micro'!$B525=AW$2,'Atividades Micro'!$K525&lt;&gt;""),'Atividades Micro'!$K525,"")</f>
        <v/>
      </c>
      <c r="AX473" s="21" t="str">
        <f>IF(AND('Atividades Micro'!$B525=AX$2,'Atividades Micro'!$L525&lt;&gt;""),'Atividades Micro'!$L525,"")</f>
        <v/>
      </c>
      <c r="AY473" s="21" t="str">
        <f>IF(AND('Atividades Micro'!$A525=AY$2,'Atividades Micro'!$K525&lt;&gt;""),'Atividades Micro'!$K525,"")</f>
        <v/>
      </c>
      <c r="AZ473" s="21" t="str">
        <f>IF(AND('Atividades Micro'!$A525=AZ$2,'Atividades Micro'!$L525&lt;&gt;""),'Atividades Micro'!$L525,"")</f>
        <v/>
      </c>
      <c r="BA473" s="21" t="str">
        <f>IF(AND('Atividades Micro'!$B525=BA$2,'Atividades Micro'!$K525&lt;&gt;""),'Atividades Micro'!$K525,"")</f>
        <v/>
      </c>
      <c r="BB473" s="21" t="str">
        <f>IF(AND('Atividades Micro'!$B525=BB$2,'Atividades Micro'!$L525&lt;&gt;""),'Atividades Micro'!$L525,"")</f>
        <v/>
      </c>
      <c r="BC473" s="21" t="str">
        <f>IF(AND('Atividades Micro'!$B525=BC$2,'Atividades Micro'!$G525="Macro",'Atividades Micro'!$K525&lt;&gt;""),'Atividades Micro'!$K525,"")</f>
        <v/>
      </c>
      <c r="BD473" s="21" t="str">
        <f>IF(AND('Atividades Micro'!$B525=BD$2,'Atividades Micro'!$G525="Macro",'Atividades Micro'!$K525&lt;&gt;""),'Atividades Micro'!$K525,"")</f>
        <v/>
      </c>
      <c r="BE473" s="21" t="str">
        <f>IF(AND('Atividades Micro'!$B525=BE$2,'Atividades Micro'!$G525="Macro",'Atividades Micro'!$K525&lt;&gt;""),'Atividades Micro'!$K525,"")</f>
        <v/>
      </c>
      <c r="BF473" s="21" t="str">
        <f>IF(AND('Atividades Micro'!$B525=BF$2,'Atividades Micro'!$G525="Macro",'Atividades Micro'!$K525&lt;&gt;""),'Atividades Micro'!$K525,"")</f>
        <v/>
      </c>
      <c r="BG473" s="21" t="str">
        <f>IF(AND('Atividades Micro'!$B525=BG$2,'Atividades Micro'!$G525="Macro",'Atividades Micro'!$K525&lt;&gt;""),'Atividades Micro'!$K525,"")</f>
        <v/>
      </c>
      <c r="BH473" s="21" t="str">
        <f>IF(AND('Atividades Micro'!$B525=BH$2,'Atividades Micro'!$G525="Macro",'Atividades Micro'!$K525&lt;&gt;""),'Atividades Micro'!$K525,"")</f>
        <v/>
      </c>
      <c r="BI473" s="21" t="str">
        <f>IF(AND('Atividades Micro'!$B525=BI$2,'Atividades Micro'!$G525="Macro",'Atividades Micro'!$K525&lt;&gt;""),'Atividades Micro'!$K525,"")</f>
        <v/>
      </c>
      <c r="BJ473" s="21" t="str">
        <f>IF(AND('Atividades Micro'!$B525=BJ$2,'Atividades Micro'!$G525="Macro",'Atividades Micro'!$K525&lt;&gt;""),'Atividades Micro'!$K525,"")</f>
        <v/>
      </c>
      <c r="BK473" s="21" t="str">
        <f>IF(AND('Atividades Micro'!$B525=BK$2,'Atividades Micro'!$G525="Macro",'Atividades Micro'!$K525&lt;&gt;""),'Atividades Micro'!$K525,"")</f>
        <v/>
      </c>
      <c r="BL473" s="21" t="str">
        <f>IF(AND('Atividades Micro'!$B525=BL$2,'Atividades Micro'!$G525="Macro",'Atividades Micro'!$K525&lt;&gt;""),'Atividades Micro'!$K525,"")</f>
        <v/>
      </c>
      <c r="BM473" s="21" t="str">
        <f>IF(AND('Atividades Micro'!$B525=BM$2,'Atividades Micro'!$G525="Macro",'Atividades Micro'!$K525&lt;&gt;""),'Atividades Micro'!$K525,"")</f>
        <v/>
      </c>
      <c r="BN473" s="21" t="str">
        <f>IF(AND('Atividades Micro'!$B525=BN$2,'Atividades Micro'!$G525="Macro",'Atividades Micro'!$K525&lt;&gt;""),'Atividades Micro'!$K525,"")</f>
        <v/>
      </c>
      <c r="BO473" s="21" t="str">
        <f>IF(AND('Atividades Micro'!$B525=BO$2,'Atividades Micro'!$G525="Macro",'Atividades Micro'!$K525&lt;&gt;""),'Atividades Micro'!$K525,"")</f>
        <v/>
      </c>
      <c r="BP473" s="21" t="str">
        <f>IF(AND('Atividades Micro'!$B525=BP$2,'Atividades Micro'!$G525="Macro",'Atividades Micro'!$K525&lt;&gt;""),'Atividades Micro'!$K525,"")</f>
        <v/>
      </c>
      <c r="BQ473" s="21" t="str">
        <f>IF(AND('Atividades Micro'!$B525=BQ$2,'Atividades Micro'!$G525="Macro",'Atividades Micro'!$K525&lt;&gt;""),'Atividades Micro'!$K525,"")</f>
        <v/>
      </c>
      <c r="BR473" s="21" t="str">
        <f>IF(AND('Atividades Micro'!$B525=BR$2,'Atividades Micro'!$G525="Macro",'Atividades Micro'!$K525&lt;&gt;""),'Atividades Micro'!$K525,"")</f>
        <v/>
      </c>
      <c r="BS473" s="21" t="str">
        <f>IF(AND('Atividades Micro'!$B525=BS$2,'Atividades Micro'!$G525="Macro",'Atividades Micro'!$K525&lt;&gt;""),'Atividades Micro'!$K525,"")</f>
        <v/>
      </c>
      <c r="BT473" s="21" t="str">
        <f>IF(AND('Atividades Micro'!$B525=BT$2,'Atividades Micro'!$G525="Macro",'Atividades Micro'!$K525&lt;&gt;""),'Atividades Micro'!$K525,"")</f>
        <v/>
      </c>
      <c r="BU473" s="21" t="str">
        <f>IF(AND('Atividades Micro'!$B525=BU$2,'Atividades Micro'!$G525="Macro",'Atividades Micro'!$K525&lt;&gt;""),'Atividades Micro'!$K525,"")</f>
        <v/>
      </c>
      <c r="BV473" s="21" t="str">
        <f>IF(AND('Atividades Micro'!$B525=BV$2,'Atividades Micro'!$G525="Macro",'Atividades Micro'!$K525&lt;&gt;""),'Atividades Micro'!$K525,"")</f>
        <v/>
      </c>
      <c r="BW473" s="21" t="str">
        <f>IF(AND('Atividades Micro'!$B525=BW$2,'Atividades Micro'!$G525="Macro",'Atividades Micro'!$K525&lt;&gt;""),'Atividades Micro'!$K525,"")</f>
        <v/>
      </c>
      <c r="BX473" s="21" t="str">
        <f>IF(AND('Atividades Micro'!$B525=BX$2,'Atividades Micro'!$G525="Macro",'Atividades Micro'!$K525&lt;&gt;""),'Atividades Micro'!$K525,"")</f>
        <v/>
      </c>
      <c r="BY473" s="21" t="str">
        <f>IF(AND('Atividades Micro'!$B525=BY$2,'Atividades Micro'!$G525="Macro",'Atividades Micro'!$K525&lt;&gt;""),'Atividades Micro'!$K525,"")</f>
        <v/>
      </c>
      <c r="BZ473" s="21" t="str">
        <f>IF(AND('Atividades Micro'!$B525=BZ$2,'Atividades Micro'!$G525="Macro",'Atividades Micro'!$K525&lt;&gt;""),'Atividades Micro'!$K525,"")</f>
        <v/>
      </c>
      <c r="CA473" s="21" t="str">
        <f>IF(AND('Atividades Micro'!$B525=CA$2,'Atividades Micro'!$G525="Macro",'Atividades Micro'!$K525&lt;&gt;""),'Atividades Micro'!$K525,"")</f>
        <v/>
      </c>
      <c r="CB473" s="21" t="str">
        <f>IF(AND('Atividades Micro'!$B525=CB$2,'Atividades Micro'!$G525="Macro",'Atividades Micro'!$K525&lt;&gt;""),'Atividades Micro'!$K525,"")</f>
        <v/>
      </c>
      <c r="CC473" s="21" t="str">
        <f>IF(AND('Atividades Micro'!$B525=CC$2,'Atividades Micro'!$G525="Macro",'Atividades Micro'!$K525&lt;&gt;""),'Atividades Micro'!$K525,"")</f>
        <v/>
      </c>
      <c r="CD473" s="21" t="str">
        <f>IF(AND('Atividades Micro'!$B525=CD$2,'Atividades Micro'!$G525="Micro",'Atividades Micro'!$K525&lt;&gt;""),'Atividades Micro'!$K525,"")</f>
        <v/>
      </c>
      <c r="CE473" s="21" t="str">
        <f>IF(AND('Atividades Micro'!$B525=CE$2,'Atividades Micro'!$G525="Micro",'Atividades Micro'!$K525&lt;&gt;""),'Atividades Micro'!$K525,"")</f>
        <v/>
      </c>
      <c r="CF473" s="21" t="str">
        <f>IF(AND('Atividades Micro'!$B525=CF$2,'Atividades Micro'!$G525="Micro",'Atividades Micro'!$K525&lt;&gt;""),'Atividades Micro'!$K525,"")</f>
        <v/>
      </c>
      <c r="CG473" s="21" t="str">
        <f>IF(AND('Atividades Micro'!$B525=CG$2,'Atividades Micro'!$G525="Micro",'Atividades Micro'!$K525&lt;&gt;""),'Atividades Micro'!$K525,"")</f>
        <v/>
      </c>
      <c r="CH473" s="21" t="str">
        <f>IF(AND('Atividades Micro'!$B525=CH$2,'Atividades Micro'!$G525="Micro",'Atividades Micro'!$K525&lt;&gt;""),'Atividades Micro'!$K525,"")</f>
        <v/>
      </c>
      <c r="CI473" s="21" t="str">
        <f>IF(AND('Atividades Micro'!$B525=CI$2,'Atividades Micro'!$G525="Micro",'Atividades Micro'!$K525&lt;&gt;""),'Atividades Micro'!$K525,"")</f>
        <v/>
      </c>
      <c r="CJ473" s="21" t="str">
        <f>IF(AND('Atividades Micro'!$B525=CJ$2,'Atividades Micro'!$G525="Micro",'Atividades Micro'!$K525&lt;&gt;""),'Atividades Micro'!$K525,"")</f>
        <v/>
      </c>
      <c r="CK473" s="21" t="str">
        <f>IF(AND('Atividades Micro'!$B525=CK$2,'Atividades Micro'!$G525="Micro",'Atividades Micro'!$K525&lt;&gt;""),'Atividades Micro'!$K525,"")</f>
        <v/>
      </c>
      <c r="CL473" s="21" t="str">
        <f>IF(AND('Atividades Micro'!$B525=CL$2,'Atividades Micro'!$G525="Micro",'Atividades Micro'!$K525&lt;&gt;""),'Atividades Micro'!$K525,"")</f>
        <v/>
      </c>
      <c r="CM473" s="21" t="str">
        <f>IF(AND('Atividades Micro'!$B525=CM$2,'Atividades Micro'!$G525="Micro",'Atividades Micro'!$K525&lt;&gt;""),'Atividades Micro'!$K525,"")</f>
        <v/>
      </c>
      <c r="CN473" s="21" t="str">
        <f>IF(AND('Atividades Micro'!$B525=CN$2,'Atividades Micro'!$G525="Micro",'Atividades Micro'!$K525&lt;&gt;""),'Atividades Micro'!$K525,"")</f>
        <v/>
      </c>
      <c r="CO473" s="21" t="str">
        <f>IF(AND('Atividades Micro'!$B525=CO$2,'Atividades Micro'!$G525="Micro",'Atividades Micro'!$K525&lt;&gt;""),'Atividades Micro'!$K525,"")</f>
        <v/>
      </c>
    </row>
    <row r="474" spans="1:93">
      <c r="A474" s="21" t="str">
        <f>IF(AND('Atividades Micro'!$A526=A$2,'Atividades Micro'!$K526&lt;&gt;""),'Atividades Micro'!$K526,"")</f>
        <v/>
      </c>
      <c r="B474" s="21" t="str">
        <f>IF(AND('Atividades Micro'!$A526=B$2,'Atividades Micro'!$L526&lt;&gt;""),'Atividades Micro'!$L526,"")</f>
        <v/>
      </c>
      <c r="C474" s="21" t="str">
        <f>IF(AND('Atividades Micro'!$A526=C$2,'Atividades Micro'!$K526&lt;&gt;""),'Atividades Micro'!$K526,"")</f>
        <v/>
      </c>
      <c r="D474" s="21" t="str">
        <f>IF(AND('Atividades Micro'!$A526=D$2,'Atividades Micro'!$L526&lt;&gt;""),'Atividades Micro'!$L526,"")</f>
        <v/>
      </c>
      <c r="E474" s="21" t="str">
        <f>IF(AND('Atividades Micro'!$A526=E$2,'Atividades Micro'!$K526&lt;&gt;""),'Atividades Micro'!$K526,"")</f>
        <v/>
      </c>
      <c r="F474" s="21" t="str">
        <f>IF(AND('Atividades Micro'!$A526=F$2,'Atividades Micro'!$L526&lt;&gt;""),'Atividades Micro'!$L526,"")</f>
        <v/>
      </c>
      <c r="G474" s="21" t="str">
        <f>IF(AND('Atividades Micro'!$A526=G$2,'Atividades Micro'!$K526&lt;&gt;""),'Atividades Micro'!$K526,"")</f>
        <v/>
      </c>
      <c r="H474" s="21" t="str">
        <f>IF(AND('Atividades Micro'!$A526=H$2,'Atividades Micro'!$L526&lt;&gt;""),'Atividades Micro'!$L526,"")</f>
        <v/>
      </c>
      <c r="I474" s="21" t="str">
        <f>IF(AND('Atividades Micro'!$A526=I$2,'Atividades Micro'!$K526&lt;&gt;""),'Atividades Micro'!$K526,"")</f>
        <v/>
      </c>
      <c r="J474" s="21" t="str">
        <f>IF(AND('Atividades Micro'!$A526=J$2,'Atividades Micro'!$L526&lt;&gt;""),'Atividades Micro'!$L526,"")</f>
        <v/>
      </c>
      <c r="K474" s="21" t="str">
        <f>IF(AND('Atividades Micro'!$B526=K$2,'Atividades Micro'!$K526&lt;&gt;""),'Atividades Micro'!$K526,"")</f>
        <v/>
      </c>
      <c r="L474" s="21" t="str">
        <f>IF(AND('Atividades Micro'!$B526=L$2,'Atividades Micro'!$L526&lt;&gt;""),'Atividades Micro'!$L526,"")</f>
        <v/>
      </c>
      <c r="M474" s="21" t="str">
        <f>IF(AND('Atividades Micro'!$B526=M$2,'Atividades Micro'!$K526&lt;&gt;""),'Atividades Micro'!$K526,"")</f>
        <v/>
      </c>
      <c r="N474" s="21" t="str">
        <f>IF(AND('Atividades Micro'!$B526=N$2,'Atividades Micro'!$L526&lt;&gt;""),'Atividades Micro'!$L526,"")</f>
        <v/>
      </c>
      <c r="O474" s="21" t="str">
        <f>IF(AND('Atividades Micro'!$A526=O$2,'Atividades Micro'!$K526&lt;&gt;""),'Atividades Micro'!$K526,"")</f>
        <v/>
      </c>
      <c r="P474" s="21" t="str">
        <f>IF(AND('Atividades Micro'!$A526=P$2,'Atividades Micro'!$L526&lt;&gt;""),'Atividades Micro'!$L526,"")</f>
        <v/>
      </c>
      <c r="Q474" s="21" t="str">
        <f>IF(AND('Atividades Micro'!$B526=Q$2,'Atividades Micro'!$K526&lt;&gt;""),'Atividades Micro'!$K526,"")</f>
        <v/>
      </c>
      <c r="R474" s="21" t="str">
        <f>IF(AND('Atividades Micro'!$B526=R$2,'Atividades Micro'!$L526&lt;&gt;""),'Atividades Micro'!$L526,"")</f>
        <v/>
      </c>
      <c r="S474" s="21" t="str">
        <f>IF(AND('Atividades Micro'!$A526=S$2,'Atividades Micro'!$K526&lt;&gt;""),'Atividades Micro'!$K526,"")</f>
        <v/>
      </c>
      <c r="T474" s="21" t="str">
        <f>IF(AND('Atividades Micro'!$A526=T$2,'Atividades Micro'!$L526&lt;&gt;""),'Atividades Micro'!$L526,"")</f>
        <v/>
      </c>
      <c r="U474" s="21" t="str">
        <f>IF(AND('Atividades Micro'!$B526=U$2,'Atividades Micro'!$K526&lt;&gt;""),'Atividades Micro'!$K526,"")</f>
        <v/>
      </c>
      <c r="V474" s="21" t="str">
        <f>IF(AND('Atividades Micro'!$B526=V$2,'Atividades Micro'!$L526&lt;&gt;""),'Atividades Micro'!$L526,"")</f>
        <v/>
      </c>
      <c r="W474" s="21" t="str">
        <f>IF(AND('Atividades Micro'!$B526=W$2,'Atividades Micro'!$K526&lt;&gt;""),'Atividades Micro'!$K526,"")</f>
        <v/>
      </c>
      <c r="X474" s="21" t="str">
        <f>IF(AND('Atividades Micro'!$B526=X$2,'Atividades Micro'!$L526&lt;&gt;""),'Atividades Micro'!$L526,"")</f>
        <v/>
      </c>
      <c r="Y474" s="21" t="str">
        <f>IF(AND('Atividades Micro'!$A526=Y$2,'Atividades Micro'!$K526&lt;&gt;""),'Atividades Micro'!$K526,"")</f>
        <v/>
      </c>
      <c r="Z474" s="21" t="str">
        <f>IF(AND('Atividades Micro'!$A526=Z$2,'Atividades Micro'!$L526&lt;&gt;""),'Atividades Micro'!$L526,"")</f>
        <v/>
      </c>
      <c r="AA474" s="21" t="str">
        <f>IF(AND('Atividades Micro'!$B526=AA$2,'Atividades Micro'!$K526&lt;&gt;""),'Atividades Micro'!$K526,"")</f>
        <v/>
      </c>
      <c r="AB474" s="21" t="str">
        <f>IF(AND('Atividades Micro'!$B526=AB$2,'Atividades Micro'!$L526&lt;&gt;""),'Atividades Micro'!$L526,"")</f>
        <v/>
      </c>
      <c r="AC474" s="21" t="str">
        <f>IF(AND('Atividades Micro'!$B526=AC$2,'Atividades Micro'!$K526&lt;&gt;""),'Atividades Micro'!$K526,"")</f>
        <v/>
      </c>
      <c r="AD474" s="21" t="str">
        <f>IF(AND('Atividades Micro'!$B526=AD$2,'Atividades Micro'!$L526&lt;&gt;""),'Atividades Micro'!$L526,"")</f>
        <v/>
      </c>
      <c r="AE474" s="21" t="str">
        <f>IF(AND('Atividades Micro'!$A526=AE$2,'Atividades Micro'!$K526&lt;&gt;""),'Atividades Micro'!$K526,"")</f>
        <v/>
      </c>
      <c r="AF474" s="21" t="str">
        <f>IF(AND('Atividades Micro'!$A526=AF$2,'Atividades Micro'!$L526&lt;&gt;""),'Atividades Micro'!$L526,"")</f>
        <v/>
      </c>
      <c r="AG474" s="21" t="str">
        <f>IF(AND('Atividades Micro'!$B526=AG$2,'Atividades Micro'!$K526&lt;&gt;""),'Atividades Micro'!$K526,"")</f>
        <v/>
      </c>
      <c r="AH474" s="21" t="str">
        <f>IF(AND('Atividades Micro'!$B526=AH$2,'Atividades Micro'!$L526&lt;&gt;""),'Atividades Micro'!$L526,"")</f>
        <v/>
      </c>
      <c r="AI474" s="21" t="str">
        <f>IF(AND('Atividades Micro'!$B526=AI$2,'Atividades Micro'!$K526&lt;&gt;""),'Atividades Micro'!$K526,"")</f>
        <v/>
      </c>
      <c r="AJ474" s="21" t="str">
        <f>IF(AND('Atividades Micro'!$B526=AJ$2,'Atividades Micro'!$L526&lt;&gt;""),'Atividades Micro'!$L526,"")</f>
        <v/>
      </c>
      <c r="AK474" s="21" t="str">
        <f>IF(AND('Atividades Micro'!$A526=AK$2,'Atividades Micro'!$K526&lt;&gt;""),'Atividades Micro'!$K526,"")</f>
        <v/>
      </c>
      <c r="AL474" s="21" t="str">
        <f>IF(AND('Atividades Micro'!$A526=AL$2,'Atividades Micro'!$L526&lt;&gt;""),'Atividades Micro'!$L526,"")</f>
        <v/>
      </c>
      <c r="AM474" s="21" t="str">
        <f>IF(AND('Atividades Micro'!$B526=AM$2,'Atividades Micro'!$K526&lt;&gt;""),'Atividades Micro'!$K526,"")</f>
        <v/>
      </c>
      <c r="AN474" s="21" t="str">
        <f>IF(AND('Atividades Micro'!$B526=AN$2,'Atividades Micro'!$L526&lt;&gt;""),'Atividades Micro'!$L526,"")</f>
        <v/>
      </c>
      <c r="AO474" s="21" t="str">
        <f>IF(AND('Atividades Micro'!$B526=AO$2,'Atividades Micro'!$K526&lt;&gt;""),'Atividades Micro'!$K526,"")</f>
        <v/>
      </c>
      <c r="AP474" s="21" t="str">
        <f>IF(AND('Atividades Micro'!$B526=AP$2,'Atividades Micro'!$L526&lt;&gt;""),'Atividades Micro'!$L526,"")</f>
        <v/>
      </c>
      <c r="AQ474" s="21" t="str">
        <f>IF(AND('Atividades Micro'!$A526=AQ$2,'Atividades Micro'!$K526&lt;&gt;""),'Atividades Micro'!$K526,"")</f>
        <v/>
      </c>
      <c r="AR474" s="21" t="str">
        <f>IF(AND('Atividades Micro'!$A526=AR$2,'Atividades Micro'!$L526&lt;&gt;""),'Atividades Micro'!$L526,"")</f>
        <v/>
      </c>
      <c r="AS474" s="21" t="str">
        <f>IF(AND('Atividades Micro'!$B526=AS$2,'Atividades Micro'!$K526&lt;&gt;""),'Atividades Micro'!$K526,"")</f>
        <v/>
      </c>
      <c r="AT474" s="21" t="str">
        <f>IF(AND('Atividades Micro'!$B526=AT$2,'Atividades Micro'!$L526&lt;&gt;""),'Atividades Micro'!$L526,"")</f>
        <v/>
      </c>
      <c r="AU474" s="21" t="str">
        <f>IF(AND('Atividades Micro'!$A526=AU$2,'Atividades Micro'!$K526&lt;&gt;""),'Atividades Micro'!$K526,"")</f>
        <v/>
      </c>
      <c r="AV474" s="21" t="str">
        <f>IF(AND('Atividades Micro'!$A526=AV$2,'Atividades Micro'!$L526&lt;&gt;""),'Atividades Micro'!$L526,"")</f>
        <v/>
      </c>
      <c r="AW474" s="21" t="str">
        <f>IF(AND('Atividades Micro'!$B526=AW$2,'Atividades Micro'!$K526&lt;&gt;""),'Atividades Micro'!$K526,"")</f>
        <v/>
      </c>
      <c r="AX474" s="21" t="str">
        <f>IF(AND('Atividades Micro'!$B526=AX$2,'Atividades Micro'!$L526&lt;&gt;""),'Atividades Micro'!$L526,"")</f>
        <v/>
      </c>
      <c r="AY474" s="21" t="str">
        <f>IF(AND('Atividades Micro'!$A526=AY$2,'Atividades Micro'!$K526&lt;&gt;""),'Atividades Micro'!$K526,"")</f>
        <v/>
      </c>
      <c r="AZ474" s="21" t="str">
        <f>IF(AND('Atividades Micro'!$A526=AZ$2,'Atividades Micro'!$L526&lt;&gt;""),'Atividades Micro'!$L526,"")</f>
        <v/>
      </c>
      <c r="BA474" s="21" t="str">
        <f>IF(AND('Atividades Micro'!$B526=BA$2,'Atividades Micro'!$K526&lt;&gt;""),'Atividades Micro'!$K526,"")</f>
        <v/>
      </c>
      <c r="BB474" s="21" t="str">
        <f>IF(AND('Atividades Micro'!$B526=BB$2,'Atividades Micro'!$L526&lt;&gt;""),'Atividades Micro'!$L526,"")</f>
        <v/>
      </c>
      <c r="BC474" s="21" t="str">
        <f>IF(AND('Atividades Micro'!$B526=BC$2,'Atividades Micro'!$G526="Macro",'Atividades Micro'!$K526&lt;&gt;""),'Atividades Micro'!$K526,"")</f>
        <v/>
      </c>
      <c r="BD474" s="21" t="str">
        <f>IF(AND('Atividades Micro'!$B526=BD$2,'Atividades Micro'!$G526="Macro",'Atividades Micro'!$K526&lt;&gt;""),'Atividades Micro'!$K526,"")</f>
        <v/>
      </c>
      <c r="BE474" s="21" t="str">
        <f>IF(AND('Atividades Micro'!$B526=BE$2,'Atividades Micro'!$G526="Macro",'Atividades Micro'!$K526&lt;&gt;""),'Atividades Micro'!$K526,"")</f>
        <v/>
      </c>
      <c r="BF474" s="21" t="str">
        <f>IF(AND('Atividades Micro'!$B526=BF$2,'Atividades Micro'!$G526="Macro",'Atividades Micro'!$K526&lt;&gt;""),'Atividades Micro'!$K526,"")</f>
        <v/>
      </c>
      <c r="BG474" s="21" t="str">
        <f>IF(AND('Atividades Micro'!$B526=BG$2,'Atividades Micro'!$G526="Macro",'Atividades Micro'!$K526&lt;&gt;""),'Atividades Micro'!$K526,"")</f>
        <v/>
      </c>
      <c r="BH474" s="21" t="str">
        <f>IF(AND('Atividades Micro'!$B526=BH$2,'Atividades Micro'!$G526="Macro",'Atividades Micro'!$K526&lt;&gt;""),'Atividades Micro'!$K526,"")</f>
        <v/>
      </c>
      <c r="BI474" s="21" t="str">
        <f>IF(AND('Atividades Micro'!$B526=BI$2,'Atividades Micro'!$G526="Macro",'Atividades Micro'!$K526&lt;&gt;""),'Atividades Micro'!$K526,"")</f>
        <v/>
      </c>
      <c r="BJ474" s="21" t="str">
        <f>IF(AND('Atividades Micro'!$B526=BJ$2,'Atividades Micro'!$G526="Macro",'Atividades Micro'!$K526&lt;&gt;""),'Atividades Micro'!$K526,"")</f>
        <v/>
      </c>
      <c r="BK474" s="21" t="str">
        <f>IF(AND('Atividades Micro'!$B526=BK$2,'Atividades Micro'!$G526="Macro",'Atividades Micro'!$K526&lt;&gt;""),'Atividades Micro'!$K526,"")</f>
        <v/>
      </c>
      <c r="BL474" s="21" t="str">
        <f>IF(AND('Atividades Micro'!$B526=BL$2,'Atividades Micro'!$G526="Macro",'Atividades Micro'!$K526&lt;&gt;""),'Atividades Micro'!$K526,"")</f>
        <v/>
      </c>
      <c r="BM474" s="21" t="str">
        <f>IF(AND('Atividades Micro'!$B526=BM$2,'Atividades Micro'!$G526="Macro",'Atividades Micro'!$K526&lt;&gt;""),'Atividades Micro'!$K526,"")</f>
        <v/>
      </c>
      <c r="BN474" s="21" t="str">
        <f>IF(AND('Atividades Micro'!$B526=BN$2,'Atividades Micro'!$G526="Macro",'Atividades Micro'!$K526&lt;&gt;""),'Atividades Micro'!$K526,"")</f>
        <v/>
      </c>
      <c r="BO474" s="21" t="str">
        <f>IF(AND('Atividades Micro'!$B526=BO$2,'Atividades Micro'!$G526="Macro",'Atividades Micro'!$K526&lt;&gt;""),'Atividades Micro'!$K526,"")</f>
        <v/>
      </c>
      <c r="BP474" s="21" t="str">
        <f>IF(AND('Atividades Micro'!$B526=BP$2,'Atividades Micro'!$G526="Macro",'Atividades Micro'!$K526&lt;&gt;""),'Atividades Micro'!$K526,"")</f>
        <v/>
      </c>
      <c r="BQ474" s="21" t="str">
        <f>IF(AND('Atividades Micro'!$B526=BQ$2,'Atividades Micro'!$G526="Macro",'Atividades Micro'!$K526&lt;&gt;""),'Atividades Micro'!$K526,"")</f>
        <v/>
      </c>
      <c r="BR474" s="21" t="str">
        <f>IF(AND('Atividades Micro'!$B526=BR$2,'Atividades Micro'!$G526="Macro",'Atividades Micro'!$K526&lt;&gt;""),'Atividades Micro'!$K526,"")</f>
        <v/>
      </c>
      <c r="BS474" s="21" t="str">
        <f>IF(AND('Atividades Micro'!$B526=BS$2,'Atividades Micro'!$G526="Macro",'Atividades Micro'!$K526&lt;&gt;""),'Atividades Micro'!$K526,"")</f>
        <v/>
      </c>
      <c r="BT474" s="21" t="str">
        <f>IF(AND('Atividades Micro'!$B526=BT$2,'Atividades Micro'!$G526="Macro",'Atividades Micro'!$K526&lt;&gt;""),'Atividades Micro'!$K526,"")</f>
        <v/>
      </c>
      <c r="BU474" s="21" t="str">
        <f>IF(AND('Atividades Micro'!$B526=BU$2,'Atividades Micro'!$G526="Macro",'Atividades Micro'!$K526&lt;&gt;""),'Atividades Micro'!$K526,"")</f>
        <v/>
      </c>
      <c r="BV474" s="21" t="str">
        <f>IF(AND('Atividades Micro'!$B526=BV$2,'Atividades Micro'!$G526="Macro",'Atividades Micro'!$K526&lt;&gt;""),'Atividades Micro'!$K526,"")</f>
        <v/>
      </c>
      <c r="BW474" s="21" t="str">
        <f>IF(AND('Atividades Micro'!$B526=BW$2,'Atividades Micro'!$G526="Macro",'Atividades Micro'!$K526&lt;&gt;""),'Atividades Micro'!$K526,"")</f>
        <v/>
      </c>
      <c r="BX474" s="21" t="str">
        <f>IF(AND('Atividades Micro'!$B526=BX$2,'Atividades Micro'!$G526="Macro",'Atividades Micro'!$K526&lt;&gt;""),'Atividades Micro'!$K526,"")</f>
        <v/>
      </c>
      <c r="BY474" s="21" t="str">
        <f>IF(AND('Atividades Micro'!$B526=BY$2,'Atividades Micro'!$G526="Macro",'Atividades Micro'!$K526&lt;&gt;""),'Atividades Micro'!$K526,"")</f>
        <v/>
      </c>
      <c r="BZ474" s="21" t="str">
        <f>IF(AND('Atividades Micro'!$B526=BZ$2,'Atividades Micro'!$G526="Macro",'Atividades Micro'!$K526&lt;&gt;""),'Atividades Micro'!$K526,"")</f>
        <v/>
      </c>
      <c r="CA474" s="21" t="str">
        <f>IF(AND('Atividades Micro'!$B526=CA$2,'Atividades Micro'!$G526="Macro",'Atividades Micro'!$K526&lt;&gt;""),'Atividades Micro'!$K526,"")</f>
        <v/>
      </c>
      <c r="CB474" s="21" t="str">
        <f>IF(AND('Atividades Micro'!$B526=CB$2,'Atividades Micro'!$G526="Macro",'Atividades Micro'!$K526&lt;&gt;""),'Atividades Micro'!$K526,"")</f>
        <v/>
      </c>
      <c r="CC474" s="21" t="str">
        <f>IF(AND('Atividades Micro'!$B526=CC$2,'Atividades Micro'!$G526="Macro",'Atividades Micro'!$K526&lt;&gt;""),'Atividades Micro'!$K526,"")</f>
        <v/>
      </c>
      <c r="CD474" s="21" t="str">
        <f>IF(AND('Atividades Micro'!$B526=CD$2,'Atividades Micro'!$G526="Micro",'Atividades Micro'!$K526&lt;&gt;""),'Atividades Micro'!$K526,"")</f>
        <v/>
      </c>
      <c r="CE474" s="21" t="str">
        <f>IF(AND('Atividades Micro'!$B526=CE$2,'Atividades Micro'!$G526="Micro",'Atividades Micro'!$K526&lt;&gt;""),'Atividades Micro'!$K526,"")</f>
        <v/>
      </c>
      <c r="CF474" s="21" t="str">
        <f>IF(AND('Atividades Micro'!$B526=CF$2,'Atividades Micro'!$G526="Micro",'Atividades Micro'!$K526&lt;&gt;""),'Atividades Micro'!$K526,"")</f>
        <v/>
      </c>
      <c r="CG474" s="21" t="str">
        <f>IF(AND('Atividades Micro'!$B526=CG$2,'Atividades Micro'!$G526="Micro",'Atividades Micro'!$K526&lt;&gt;""),'Atividades Micro'!$K526,"")</f>
        <v/>
      </c>
      <c r="CH474" s="21" t="str">
        <f>IF(AND('Atividades Micro'!$B526=CH$2,'Atividades Micro'!$G526="Micro",'Atividades Micro'!$K526&lt;&gt;""),'Atividades Micro'!$K526,"")</f>
        <v/>
      </c>
      <c r="CI474" s="21" t="str">
        <f>IF(AND('Atividades Micro'!$B526=CI$2,'Atividades Micro'!$G526="Micro",'Atividades Micro'!$K526&lt;&gt;""),'Atividades Micro'!$K526,"")</f>
        <v/>
      </c>
      <c r="CJ474" s="21" t="str">
        <f>IF(AND('Atividades Micro'!$B526=CJ$2,'Atividades Micro'!$G526="Micro",'Atividades Micro'!$K526&lt;&gt;""),'Atividades Micro'!$K526,"")</f>
        <v/>
      </c>
      <c r="CK474" s="21" t="str">
        <f>IF(AND('Atividades Micro'!$B526=CK$2,'Atividades Micro'!$G526="Micro",'Atividades Micro'!$K526&lt;&gt;""),'Atividades Micro'!$K526,"")</f>
        <v/>
      </c>
      <c r="CL474" s="21" t="str">
        <f>IF(AND('Atividades Micro'!$B526=CL$2,'Atividades Micro'!$G526="Micro",'Atividades Micro'!$K526&lt;&gt;""),'Atividades Micro'!$K526,"")</f>
        <v/>
      </c>
      <c r="CM474" s="21" t="str">
        <f>IF(AND('Atividades Micro'!$B526=CM$2,'Atividades Micro'!$G526="Micro",'Atividades Micro'!$K526&lt;&gt;""),'Atividades Micro'!$K526,"")</f>
        <v/>
      </c>
      <c r="CN474" s="21" t="str">
        <f>IF(AND('Atividades Micro'!$B526=CN$2,'Atividades Micro'!$G526="Micro",'Atividades Micro'!$K526&lt;&gt;""),'Atividades Micro'!$K526,"")</f>
        <v/>
      </c>
      <c r="CO474" s="21" t="str">
        <f>IF(AND('Atividades Micro'!$B526=CO$2,'Atividades Micro'!$G526="Micro",'Atividades Micro'!$K526&lt;&gt;""),'Atividades Micro'!$K526,"")</f>
        <v/>
      </c>
    </row>
    <row r="475" spans="1:93">
      <c r="A475" s="21" t="str">
        <f>IF(AND('Atividades Micro'!$A527=A$2,'Atividades Micro'!$K527&lt;&gt;""),'Atividades Micro'!$K527,"")</f>
        <v/>
      </c>
      <c r="B475" s="21" t="str">
        <f>IF(AND('Atividades Micro'!$A527=B$2,'Atividades Micro'!$L527&lt;&gt;""),'Atividades Micro'!$L527,"")</f>
        <v/>
      </c>
      <c r="C475" s="21" t="str">
        <f>IF(AND('Atividades Micro'!$A527=C$2,'Atividades Micro'!$K527&lt;&gt;""),'Atividades Micro'!$K527,"")</f>
        <v/>
      </c>
      <c r="D475" s="21" t="str">
        <f>IF(AND('Atividades Micro'!$A527=D$2,'Atividades Micro'!$L527&lt;&gt;""),'Atividades Micro'!$L527,"")</f>
        <v/>
      </c>
      <c r="E475" s="21" t="str">
        <f>IF(AND('Atividades Micro'!$A527=E$2,'Atividades Micro'!$K527&lt;&gt;""),'Atividades Micro'!$K527,"")</f>
        <v/>
      </c>
      <c r="F475" s="21" t="str">
        <f>IF(AND('Atividades Micro'!$A527=F$2,'Atividades Micro'!$L527&lt;&gt;""),'Atividades Micro'!$L527,"")</f>
        <v/>
      </c>
      <c r="G475" s="21" t="str">
        <f>IF(AND('Atividades Micro'!$A527=G$2,'Atividades Micro'!$K527&lt;&gt;""),'Atividades Micro'!$K527,"")</f>
        <v/>
      </c>
      <c r="H475" s="21" t="str">
        <f>IF(AND('Atividades Micro'!$A527=H$2,'Atividades Micro'!$L527&lt;&gt;""),'Atividades Micro'!$L527,"")</f>
        <v/>
      </c>
      <c r="I475" s="21" t="str">
        <f>IF(AND('Atividades Micro'!$A527=I$2,'Atividades Micro'!$K527&lt;&gt;""),'Atividades Micro'!$K527,"")</f>
        <v/>
      </c>
      <c r="J475" s="21" t="str">
        <f>IF(AND('Atividades Micro'!$A527=J$2,'Atividades Micro'!$L527&lt;&gt;""),'Atividades Micro'!$L527,"")</f>
        <v/>
      </c>
      <c r="K475" s="21" t="str">
        <f>IF(AND('Atividades Micro'!$B527=K$2,'Atividades Micro'!$K527&lt;&gt;""),'Atividades Micro'!$K527,"")</f>
        <v/>
      </c>
      <c r="L475" s="21" t="str">
        <f>IF(AND('Atividades Micro'!$B527=L$2,'Atividades Micro'!$L527&lt;&gt;""),'Atividades Micro'!$L527,"")</f>
        <v/>
      </c>
      <c r="M475" s="21" t="str">
        <f>IF(AND('Atividades Micro'!$B527=M$2,'Atividades Micro'!$K527&lt;&gt;""),'Atividades Micro'!$K527,"")</f>
        <v/>
      </c>
      <c r="N475" s="21" t="str">
        <f>IF(AND('Atividades Micro'!$B527=N$2,'Atividades Micro'!$L527&lt;&gt;""),'Atividades Micro'!$L527,"")</f>
        <v/>
      </c>
      <c r="O475" s="21" t="str">
        <f>IF(AND('Atividades Micro'!$A527=O$2,'Atividades Micro'!$K527&lt;&gt;""),'Atividades Micro'!$K527,"")</f>
        <v/>
      </c>
      <c r="P475" s="21" t="str">
        <f>IF(AND('Atividades Micro'!$A527=P$2,'Atividades Micro'!$L527&lt;&gt;""),'Atividades Micro'!$L527,"")</f>
        <v/>
      </c>
      <c r="Q475" s="21" t="str">
        <f>IF(AND('Atividades Micro'!$B527=Q$2,'Atividades Micro'!$K527&lt;&gt;""),'Atividades Micro'!$K527,"")</f>
        <v/>
      </c>
      <c r="R475" s="21" t="str">
        <f>IF(AND('Atividades Micro'!$B527=R$2,'Atividades Micro'!$L527&lt;&gt;""),'Atividades Micro'!$L527,"")</f>
        <v/>
      </c>
      <c r="S475" s="21" t="str">
        <f>IF(AND('Atividades Micro'!$A527=S$2,'Atividades Micro'!$K527&lt;&gt;""),'Atividades Micro'!$K527,"")</f>
        <v/>
      </c>
      <c r="T475" s="21" t="str">
        <f>IF(AND('Atividades Micro'!$A527=T$2,'Atividades Micro'!$L527&lt;&gt;""),'Atividades Micro'!$L527,"")</f>
        <v/>
      </c>
      <c r="U475" s="21" t="str">
        <f>IF(AND('Atividades Micro'!$B527=U$2,'Atividades Micro'!$K527&lt;&gt;""),'Atividades Micro'!$K527,"")</f>
        <v/>
      </c>
      <c r="V475" s="21" t="str">
        <f>IF(AND('Atividades Micro'!$B527=V$2,'Atividades Micro'!$L527&lt;&gt;""),'Atividades Micro'!$L527,"")</f>
        <v/>
      </c>
      <c r="W475" s="21" t="str">
        <f>IF(AND('Atividades Micro'!$B527=W$2,'Atividades Micro'!$K527&lt;&gt;""),'Atividades Micro'!$K527,"")</f>
        <v/>
      </c>
      <c r="X475" s="21" t="str">
        <f>IF(AND('Atividades Micro'!$B527=X$2,'Atividades Micro'!$L527&lt;&gt;""),'Atividades Micro'!$L527,"")</f>
        <v/>
      </c>
      <c r="Y475" s="21" t="str">
        <f>IF(AND('Atividades Micro'!$A527=Y$2,'Atividades Micro'!$K527&lt;&gt;""),'Atividades Micro'!$K527,"")</f>
        <v/>
      </c>
      <c r="Z475" s="21" t="str">
        <f>IF(AND('Atividades Micro'!$A527=Z$2,'Atividades Micro'!$L527&lt;&gt;""),'Atividades Micro'!$L527,"")</f>
        <v/>
      </c>
      <c r="AA475" s="21" t="str">
        <f>IF(AND('Atividades Micro'!$B527=AA$2,'Atividades Micro'!$K527&lt;&gt;""),'Atividades Micro'!$K527,"")</f>
        <v/>
      </c>
      <c r="AB475" s="21" t="str">
        <f>IF(AND('Atividades Micro'!$B527=AB$2,'Atividades Micro'!$L527&lt;&gt;""),'Atividades Micro'!$L527,"")</f>
        <v/>
      </c>
      <c r="AC475" s="21" t="str">
        <f>IF(AND('Atividades Micro'!$B527=AC$2,'Atividades Micro'!$K527&lt;&gt;""),'Atividades Micro'!$K527,"")</f>
        <v/>
      </c>
      <c r="AD475" s="21" t="str">
        <f>IF(AND('Atividades Micro'!$B527=AD$2,'Atividades Micro'!$L527&lt;&gt;""),'Atividades Micro'!$L527,"")</f>
        <v/>
      </c>
      <c r="AE475" s="21" t="str">
        <f>IF(AND('Atividades Micro'!$A527=AE$2,'Atividades Micro'!$K527&lt;&gt;""),'Atividades Micro'!$K527,"")</f>
        <v/>
      </c>
      <c r="AF475" s="21" t="str">
        <f>IF(AND('Atividades Micro'!$A527=AF$2,'Atividades Micro'!$L527&lt;&gt;""),'Atividades Micro'!$L527,"")</f>
        <v/>
      </c>
      <c r="AG475" s="21" t="str">
        <f>IF(AND('Atividades Micro'!$B527=AG$2,'Atividades Micro'!$K527&lt;&gt;""),'Atividades Micro'!$K527,"")</f>
        <v/>
      </c>
      <c r="AH475" s="21" t="str">
        <f>IF(AND('Atividades Micro'!$B527=AH$2,'Atividades Micro'!$L527&lt;&gt;""),'Atividades Micro'!$L527,"")</f>
        <v/>
      </c>
      <c r="AI475" s="21" t="str">
        <f>IF(AND('Atividades Micro'!$B527=AI$2,'Atividades Micro'!$K527&lt;&gt;""),'Atividades Micro'!$K527,"")</f>
        <v/>
      </c>
      <c r="AJ475" s="21" t="str">
        <f>IF(AND('Atividades Micro'!$B527=AJ$2,'Atividades Micro'!$L527&lt;&gt;""),'Atividades Micro'!$L527,"")</f>
        <v/>
      </c>
      <c r="AK475" s="21" t="str">
        <f>IF(AND('Atividades Micro'!$A527=AK$2,'Atividades Micro'!$K527&lt;&gt;""),'Atividades Micro'!$K527,"")</f>
        <v/>
      </c>
      <c r="AL475" s="21" t="str">
        <f>IF(AND('Atividades Micro'!$A527=AL$2,'Atividades Micro'!$L527&lt;&gt;""),'Atividades Micro'!$L527,"")</f>
        <v/>
      </c>
      <c r="AM475" s="21" t="str">
        <f>IF(AND('Atividades Micro'!$B527=AM$2,'Atividades Micro'!$K527&lt;&gt;""),'Atividades Micro'!$K527,"")</f>
        <v/>
      </c>
      <c r="AN475" s="21" t="str">
        <f>IF(AND('Atividades Micro'!$B527=AN$2,'Atividades Micro'!$L527&lt;&gt;""),'Atividades Micro'!$L527,"")</f>
        <v/>
      </c>
      <c r="AO475" s="21" t="str">
        <f>IF(AND('Atividades Micro'!$B527=AO$2,'Atividades Micro'!$K527&lt;&gt;""),'Atividades Micro'!$K527,"")</f>
        <v/>
      </c>
      <c r="AP475" s="21" t="str">
        <f>IF(AND('Atividades Micro'!$B527=AP$2,'Atividades Micro'!$L527&lt;&gt;""),'Atividades Micro'!$L527,"")</f>
        <v/>
      </c>
      <c r="AQ475" s="21" t="str">
        <f>IF(AND('Atividades Micro'!$A527=AQ$2,'Atividades Micro'!$K527&lt;&gt;""),'Atividades Micro'!$K527,"")</f>
        <v/>
      </c>
      <c r="AR475" s="21" t="str">
        <f>IF(AND('Atividades Micro'!$A527=AR$2,'Atividades Micro'!$L527&lt;&gt;""),'Atividades Micro'!$L527,"")</f>
        <v/>
      </c>
      <c r="AS475" s="21" t="str">
        <f>IF(AND('Atividades Micro'!$B527=AS$2,'Atividades Micro'!$K527&lt;&gt;""),'Atividades Micro'!$K527,"")</f>
        <v/>
      </c>
      <c r="AT475" s="21" t="str">
        <f>IF(AND('Atividades Micro'!$B527=AT$2,'Atividades Micro'!$L527&lt;&gt;""),'Atividades Micro'!$L527,"")</f>
        <v/>
      </c>
      <c r="AU475" s="21" t="str">
        <f>IF(AND('Atividades Micro'!$A527=AU$2,'Atividades Micro'!$K527&lt;&gt;""),'Atividades Micro'!$K527,"")</f>
        <v/>
      </c>
      <c r="AV475" s="21" t="str">
        <f>IF(AND('Atividades Micro'!$A527=AV$2,'Atividades Micro'!$L527&lt;&gt;""),'Atividades Micro'!$L527,"")</f>
        <v/>
      </c>
      <c r="AW475" s="21" t="str">
        <f>IF(AND('Atividades Micro'!$B527=AW$2,'Atividades Micro'!$K527&lt;&gt;""),'Atividades Micro'!$K527,"")</f>
        <v/>
      </c>
      <c r="AX475" s="21" t="str">
        <f>IF(AND('Atividades Micro'!$B527=AX$2,'Atividades Micro'!$L527&lt;&gt;""),'Atividades Micro'!$L527,"")</f>
        <v/>
      </c>
      <c r="AY475" s="21" t="str">
        <f>IF(AND('Atividades Micro'!$A527=AY$2,'Atividades Micro'!$K527&lt;&gt;""),'Atividades Micro'!$K527,"")</f>
        <v/>
      </c>
      <c r="AZ475" s="21" t="str">
        <f>IF(AND('Atividades Micro'!$A527=AZ$2,'Atividades Micro'!$L527&lt;&gt;""),'Atividades Micro'!$L527,"")</f>
        <v/>
      </c>
      <c r="BA475" s="21" t="str">
        <f>IF(AND('Atividades Micro'!$B527=BA$2,'Atividades Micro'!$K527&lt;&gt;""),'Atividades Micro'!$K527,"")</f>
        <v/>
      </c>
      <c r="BB475" s="21" t="str">
        <f>IF(AND('Atividades Micro'!$B527=BB$2,'Atividades Micro'!$L527&lt;&gt;""),'Atividades Micro'!$L527,"")</f>
        <v/>
      </c>
      <c r="BC475" s="21" t="str">
        <f>IF(AND('Atividades Micro'!$B527=BC$2,'Atividades Micro'!$G527="Macro",'Atividades Micro'!$K527&lt;&gt;""),'Atividades Micro'!$K527,"")</f>
        <v/>
      </c>
      <c r="BD475" s="21" t="str">
        <f>IF(AND('Atividades Micro'!$B527=BD$2,'Atividades Micro'!$G527="Macro",'Atividades Micro'!$K527&lt;&gt;""),'Atividades Micro'!$K527,"")</f>
        <v/>
      </c>
      <c r="BE475" s="21" t="str">
        <f>IF(AND('Atividades Micro'!$B527=BE$2,'Atividades Micro'!$G527="Macro",'Atividades Micro'!$K527&lt;&gt;""),'Atividades Micro'!$K527,"")</f>
        <v/>
      </c>
      <c r="BF475" s="21" t="str">
        <f>IF(AND('Atividades Micro'!$B527=BF$2,'Atividades Micro'!$G527="Macro",'Atividades Micro'!$K527&lt;&gt;""),'Atividades Micro'!$K527,"")</f>
        <v/>
      </c>
      <c r="BG475" s="21" t="str">
        <f>IF(AND('Atividades Micro'!$B527=BG$2,'Atividades Micro'!$G527="Macro",'Atividades Micro'!$K527&lt;&gt;""),'Atividades Micro'!$K527,"")</f>
        <v/>
      </c>
      <c r="BH475" s="21" t="str">
        <f>IF(AND('Atividades Micro'!$B527=BH$2,'Atividades Micro'!$G527="Macro",'Atividades Micro'!$K527&lt;&gt;""),'Atividades Micro'!$K527,"")</f>
        <v/>
      </c>
      <c r="BI475" s="21" t="str">
        <f>IF(AND('Atividades Micro'!$B527=BI$2,'Atividades Micro'!$G527="Macro",'Atividades Micro'!$K527&lt;&gt;""),'Atividades Micro'!$K527,"")</f>
        <v/>
      </c>
      <c r="BJ475" s="21" t="str">
        <f>IF(AND('Atividades Micro'!$B527=BJ$2,'Atividades Micro'!$G527="Macro",'Atividades Micro'!$K527&lt;&gt;""),'Atividades Micro'!$K527,"")</f>
        <v/>
      </c>
      <c r="BK475" s="21" t="str">
        <f>IF(AND('Atividades Micro'!$B527=BK$2,'Atividades Micro'!$G527="Macro",'Atividades Micro'!$K527&lt;&gt;""),'Atividades Micro'!$K527,"")</f>
        <v/>
      </c>
      <c r="BL475" s="21" t="str">
        <f>IF(AND('Atividades Micro'!$B527=BL$2,'Atividades Micro'!$G527="Macro",'Atividades Micro'!$K527&lt;&gt;""),'Atividades Micro'!$K527,"")</f>
        <v/>
      </c>
      <c r="BM475" s="21" t="str">
        <f>IF(AND('Atividades Micro'!$B527=BM$2,'Atividades Micro'!$G527="Macro",'Atividades Micro'!$K527&lt;&gt;""),'Atividades Micro'!$K527,"")</f>
        <v/>
      </c>
      <c r="BN475" s="21" t="str">
        <f>IF(AND('Atividades Micro'!$B527=BN$2,'Atividades Micro'!$G527="Macro",'Atividades Micro'!$K527&lt;&gt;""),'Atividades Micro'!$K527,"")</f>
        <v/>
      </c>
      <c r="BO475" s="21" t="str">
        <f>IF(AND('Atividades Micro'!$B527=BO$2,'Atividades Micro'!$G527="Macro",'Atividades Micro'!$K527&lt;&gt;""),'Atividades Micro'!$K527,"")</f>
        <v/>
      </c>
      <c r="BP475" s="21" t="str">
        <f>IF(AND('Atividades Micro'!$B527=BP$2,'Atividades Micro'!$G527="Macro",'Atividades Micro'!$K527&lt;&gt;""),'Atividades Micro'!$K527,"")</f>
        <v/>
      </c>
      <c r="BQ475" s="21" t="str">
        <f>IF(AND('Atividades Micro'!$B527=BQ$2,'Atividades Micro'!$G527="Macro",'Atividades Micro'!$K527&lt;&gt;""),'Atividades Micro'!$K527,"")</f>
        <v/>
      </c>
      <c r="BR475" s="21" t="str">
        <f>IF(AND('Atividades Micro'!$B527=BR$2,'Atividades Micro'!$G527="Macro",'Atividades Micro'!$K527&lt;&gt;""),'Atividades Micro'!$K527,"")</f>
        <v/>
      </c>
      <c r="BS475" s="21" t="str">
        <f>IF(AND('Atividades Micro'!$B527=BS$2,'Atividades Micro'!$G527="Macro",'Atividades Micro'!$K527&lt;&gt;""),'Atividades Micro'!$K527,"")</f>
        <v/>
      </c>
      <c r="BT475" s="21" t="str">
        <f>IF(AND('Atividades Micro'!$B527=BT$2,'Atividades Micro'!$G527="Macro",'Atividades Micro'!$K527&lt;&gt;""),'Atividades Micro'!$K527,"")</f>
        <v/>
      </c>
      <c r="BU475" s="21" t="str">
        <f>IF(AND('Atividades Micro'!$B527=BU$2,'Atividades Micro'!$G527="Macro",'Atividades Micro'!$K527&lt;&gt;""),'Atividades Micro'!$K527,"")</f>
        <v/>
      </c>
      <c r="BV475" s="21" t="str">
        <f>IF(AND('Atividades Micro'!$B527=BV$2,'Atividades Micro'!$G527="Macro",'Atividades Micro'!$K527&lt;&gt;""),'Atividades Micro'!$K527,"")</f>
        <v/>
      </c>
      <c r="BW475" s="21" t="str">
        <f>IF(AND('Atividades Micro'!$B527=BW$2,'Atividades Micro'!$G527="Macro",'Atividades Micro'!$K527&lt;&gt;""),'Atividades Micro'!$K527,"")</f>
        <v/>
      </c>
      <c r="BX475" s="21" t="str">
        <f>IF(AND('Atividades Micro'!$B527=BX$2,'Atividades Micro'!$G527="Macro",'Atividades Micro'!$K527&lt;&gt;""),'Atividades Micro'!$K527,"")</f>
        <v/>
      </c>
      <c r="BY475" s="21" t="str">
        <f>IF(AND('Atividades Micro'!$B527=BY$2,'Atividades Micro'!$G527="Macro",'Atividades Micro'!$K527&lt;&gt;""),'Atividades Micro'!$K527,"")</f>
        <v/>
      </c>
      <c r="BZ475" s="21" t="str">
        <f>IF(AND('Atividades Micro'!$B527=BZ$2,'Atividades Micro'!$G527="Macro",'Atividades Micro'!$K527&lt;&gt;""),'Atividades Micro'!$K527,"")</f>
        <v/>
      </c>
      <c r="CA475" s="21" t="str">
        <f>IF(AND('Atividades Micro'!$B527=CA$2,'Atividades Micro'!$G527="Macro",'Atividades Micro'!$K527&lt;&gt;""),'Atividades Micro'!$K527,"")</f>
        <v/>
      </c>
      <c r="CB475" s="21" t="str">
        <f>IF(AND('Atividades Micro'!$B527=CB$2,'Atividades Micro'!$G527="Macro",'Atividades Micro'!$K527&lt;&gt;""),'Atividades Micro'!$K527,"")</f>
        <v/>
      </c>
      <c r="CC475" s="21" t="str">
        <f>IF(AND('Atividades Micro'!$B527=CC$2,'Atividades Micro'!$G527="Macro",'Atividades Micro'!$K527&lt;&gt;""),'Atividades Micro'!$K527,"")</f>
        <v/>
      </c>
      <c r="CD475" s="21" t="str">
        <f>IF(AND('Atividades Micro'!$B527=CD$2,'Atividades Micro'!$G527="Micro",'Atividades Micro'!$K527&lt;&gt;""),'Atividades Micro'!$K527,"")</f>
        <v/>
      </c>
      <c r="CE475" s="21" t="str">
        <f>IF(AND('Atividades Micro'!$B527=CE$2,'Atividades Micro'!$G527="Micro",'Atividades Micro'!$K527&lt;&gt;""),'Atividades Micro'!$K527,"")</f>
        <v/>
      </c>
      <c r="CF475" s="21" t="str">
        <f>IF(AND('Atividades Micro'!$B527=CF$2,'Atividades Micro'!$G527="Micro",'Atividades Micro'!$K527&lt;&gt;""),'Atividades Micro'!$K527,"")</f>
        <v/>
      </c>
      <c r="CG475" s="21" t="str">
        <f>IF(AND('Atividades Micro'!$B527=CG$2,'Atividades Micro'!$G527="Micro",'Atividades Micro'!$K527&lt;&gt;""),'Atividades Micro'!$K527,"")</f>
        <v/>
      </c>
      <c r="CH475" s="21" t="str">
        <f>IF(AND('Atividades Micro'!$B527=CH$2,'Atividades Micro'!$G527="Micro",'Atividades Micro'!$K527&lt;&gt;""),'Atividades Micro'!$K527,"")</f>
        <v/>
      </c>
      <c r="CI475" s="21" t="str">
        <f>IF(AND('Atividades Micro'!$B527=CI$2,'Atividades Micro'!$G527="Micro",'Atividades Micro'!$K527&lt;&gt;""),'Atividades Micro'!$K527,"")</f>
        <v/>
      </c>
      <c r="CJ475" s="21" t="str">
        <f>IF(AND('Atividades Micro'!$B527=CJ$2,'Atividades Micro'!$G527="Micro",'Atividades Micro'!$K527&lt;&gt;""),'Atividades Micro'!$K527,"")</f>
        <v/>
      </c>
      <c r="CK475" s="21" t="str">
        <f>IF(AND('Atividades Micro'!$B527=CK$2,'Atividades Micro'!$G527="Micro",'Atividades Micro'!$K527&lt;&gt;""),'Atividades Micro'!$K527,"")</f>
        <v/>
      </c>
      <c r="CL475" s="21" t="str">
        <f>IF(AND('Atividades Micro'!$B527=CL$2,'Atividades Micro'!$G527="Micro",'Atividades Micro'!$K527&lt;&gt;""),'Atividades Micro'!$K527,"")</f>
        <v/>
      </c>
      <c r="CM475" s="21" t="str">
        <f>IF(AND('Atividades Micro'!$B527=CM$2,'Atividades Micro'!$G527="Micro",'Atividades Micro'!$K527&lt;&gt;""),'Atividades Micro'!$K527,"")</f>
        <v/>
      </c>
      <c r="CN475" s="21" t="str">
        <f>IF(AND('Atividades Micro'!$B527=CN$2,'Atividades Micro'!$G527="Micro",'Atividades Micro'!$K527&lt;&gt;""),'Atividades Micro'!$K527,"")</f>
        <v/>
      </c>
      <c r="CO475" s="21" t="str">
        <f>IF(AND('Atividades Micro'!$B527=CO$2,'Atividades Micro'!$G527="Micro",'Atividades Micro'!$K527&lt;&gt;""),'Atividades Micro'!$K527,"")</f>
        <v/>
      </c>
    </row>
    <row r="476" spans="1:93">
      <c r="A476" s="21" t="str">
        <f>IF(AND('Atividades Micro'!$A528=A$2,'Atividades Micro'!$K528&lt;&gt;""),'Atividades Micro'!$K528,"")</f>
        <v/>
      </c>
      <c r="B476" s="21" t="str">
        <f>IF(AND('Atividades Micro'!$A528=B$2,'Atividades Micro'!$L528&lt;&gt;""),'Atividades Micro'!$L528,"")</f>
        <v/>
      </c>
      <c r="C476" s="21" t="str">
        <f>IF(AND('Atividades Micro'!$A528=C$2,'Atividades Micro'!$K528&lt;&gt;""),'Atividades Micro'!$K528,"")</f>
        <v/>
      </c>
      <c r="D476" s="21" t="str">
        <f>IF(AND('Atividades Micro'!$A528=D$2,'Atividades Micro'!$L528&lt;&gt;""),'Atividades Micro'!$L528,"")</f>
        <v/>
      </c>
      <c r="E476" s="21" t="str">
        <f>IF(AND('Atividades Micro'!$A528=E$2,'Atividades Micro'!$K528&lt;&gt;""),'Atividades Micro'!$K528,"")</f>
        <v/>
      </c>
      <c r="F476" s="21" t="str">
        <f>IF(AND('Atividades Micro'!$A528=F$2,'Atividades Micro'!$L528&lt;&gt;""),'Atividades Micro'!$L528,"")</f>
        <v/>
      </c>
      <c r="G476" s="21" t="str">
        <f>IF(AND('Atividades Micro'!$A528=G$2,'Atividades Micro'!$K528&lt;&gt;""),'Atividades Micro'!$K528,"")</f>
        <v/>
      </c>
      <c r="H476" s="21" t="str">
        <f>IF(AND('Atividades Micro'!$A528=H$2,'Atividades Micro'!$L528&lt;&gt;""),'Atividades Micro'!$L528,"")</f>
        <v/>
      </c>
      <c r="I476" s="21" t="str">
        <f>IF(AND('Atividades Micro'!$A528=I$2,'Atividades Micro'!$K528&lt;&gt;""),'Atividades Micro'!$K528,"")</f>
        <v/>
      </c>
      <c r="J476" s="21" t="str">
        <f>IF(AND('Atividades Micro'!$A528=J$2,'Atividades Micro'!$L528&lt;&gt;""),'Atividades Micro'!$L528,"")</f>
        <v/>
      </c>
      <c r="K476" s="21" t="str">
        <f>IF(AND('Atividades Micro'!$B528=K$2,'Atividades Micro'!$K528&lt;&gt;""),'Atividades Micro'!$K528,"")</f>
        <v/>
      </c>
      <c r="L476" s="21" t="str">
        <f>IF(AND('Atividades Micro'!$B528=L$2,'Atividades Micro'!$L528&lt;&gt;""),'Atividades Micro'!$L528,"")</f>
        <v/>
      </c>
      <c r="M476" s="21" t="str">
        <f>IF(AND('Atividades Micro'!$B528=M$2,'Atividades Micro'!$K528&lt;&gt;""),'Atividades Micro'!$K528,"")</f>
        <v/>
      </c>
      <c r="N476" s="21" t="str">
        <f>IF(AND('Atividades Micro'!$B528=N$2,'Atividades Micro'!$L528&lt;&gt;""),'Atividades Micro'!$L528,"")</f>
        <v/>
      </c>
      <c r="O476" s="21" t="str">
        <f>IF(AND('Atividades Micro'!$A528=O$2,'Atividades Micro'!$K528&lt;&gt;""),'Atividades Micro'!$K528,"")</f>
        <v/>
      </c>
      <c r="P476" s="21" t="str">
        <f>IF(AND('Atividades Micro'!$A528=P$2,'Atividades Micro'!$L528&lt;&gt;""),'Atividades Micro'!$L528,"")</f>
        <v/>
      </c>
      <c r="Q476" s="21" t="str">
        <f>IF(AND('Atividades Micro'!$B528=Q$2,'Atividades Micro'!$K528&lt;&gt;""),'Atividades Micro'!$K528,"")</f>
        <v/>
      </c>
      <c r="R476" s="21" t="str">
        <f>IF(AND('Atividades Micro'!$B528=R$2,'Atividades Micro'!$L528&lt;&gt;""),'Atividades Micro'!$L528,"")</f>
        <v/>
      </c>
      <c r="S476" s="21" t="str">
        <f>IF(AND('Atividades Micro'!$A528=S$2,'Atividades Micro'!$K528&lt;&gt;""),'Atividades Micro'!$K528,"")</f>
        <v/>
      </c>
      <c r="T476" s="21" t="str">
        <f>IF(AND('Atividades Micro'!$A528=T$2,'Atividades Micro'!$L528&lt;&gt;""),'Atividades Micro'!$L528,"")</f>
        <v/>
      </c>
      <c r="U476" s="21" t="str">
        <f>IF(AND('Atividades Micro'!$B528=U$2,'Atividades Micro'!$K528&lt;&gt;""),'Atividades Micro'!$K528,"")</f>
        <v/>
      </c>
      <c r="V476" s="21" t="str">
        <f>IF(AND('Atividades Micro'!$B528=V$2,'Atividades Micro'!$L528&lt;&gt;""),'Atividades Micro'!$L528,"")</f>
        <v/>
      </c>
      <c r="W476" s="21" t="str">
        <f>IF(AND('Atividades Micro'!$B528=W$2,'Atividades Micro'!$K528&lt;&gt;""),'Atividades Micro'!$K528,"")</f>
        <v/>
      </c>
      <c r="X476" s="21" t="str">
        <f>IF(AND('Atividades Micro'!$B528=X$2,'Atividades Micro'!$L528&lt;&gt;""),'Atividades Micro'!$L528,"")</f>
        <v/>
      </c>
      <c r="Y476" s="21" t="str">
        <f>IF(AND('Atividades Micro'!$A528=Y$2,'Atividades Micro'!$K528&lt;&gt;""),'Atividades Micro'!$K528,"")</f>
        <v/>
      </c>
      <c r="Z476" s="21" t="str">
        <f>IF(AND('Atividades Micro'!$A528=Z$2,'Atividades Micro'!$L528&lt;&gt;""),'Atividades Micro'!$L528,"")</f>
        <v/>
      </c>
      <c r="AA476" s="21" t="str">
        <f>IF(AND('Atividades Micro'!$B528=AA$2,'Atividades Micro'!$K528&lt;&gt;""),'Atividades Micro'!$K528,"")</f>
        <v/>
      </c>
      <c r="AB476" s="21" t="str">
        <f>IF(AND('Atividades Micro'!$B528=AB$2,'Atividades Micro'!$L528&lt;&gt;""),'Atividades Micro'!$L528,"")</f>
        <v/>
      </c>
      <c r="AC476" s="21" t="str">
        <f>IF(AND('Atividades Micro'!$B528=AC$2,'Atividades Micro'!$K528&lt;&gt;""),'Atividades Micro'!$K528,"")</f>
        <v/>
      </c>
      <c r="AD476" s="21" t="str">
        <f>IF(AND('Atividades Micro'!$B528=AD$2,'Atividades Micro'!$L528&lt;&gt;""),'Atividades Micro'!$L528,"")</f>
        <v/>
      </c>
      <c r="AE476" s="21" t="str">
        <f>IF(AND('Atividades Micro'!$A528=AE$2,'Atividades Micro'!$K528&lt;&gt;""),'Atividades Micro'!$K528,"")</f>
        <v/>
      </c>
      <c r="AF476" s="21" t="str">
        <f>IF(AND('Atividades Micro'!$A528=AF$2,'Atividades Micro'!$L528&lt;&gt;""),'Atividades Micro'!$L528,"")</f>
        <v/>
      </c>
      <c r="AG476" s="21" t="str">
        <f>IF(AND('Atividades Micro'!$B528=AG$2,'Atividades Micro'!$K528&lt;&gt;""),'Atividades Micro'!$K528,"")</f>
        <v/>
      </c>
      <c r="AH476" s="21" t="str">
        <f>IF(AND('Atividades Micro'!$B528=AH$2,'Atividades Micro'!$L528&lt;&gt;""),'Atividades Micro'!$L528,"")</f>
        <v/>
      </c>
      <c r="AI476" s="21" t="str">
        <f>IF(AND('Atividades Micro'!$B528=AI$2,'Atividades Micro'!$K528&lt;&gt;""),'Atividades Micro'!$K528,"")</f>
        <v/>
      </c>
      <c r="AJ476" s="21" t="str">
        <f>IF(AND('Atividades Micro'!$B528=AJ$2,'Atividades Micro'!$L528&lt;&gt;""),'Atividades Micro'!$L528,"")</f>
        <v/>
      </c>
      <c r="AK476" s="21" t="str">
        <f>IF(AND('Atividades Micro'!$A528=AK$2,'Atividades Micro'!$K528&lt;&gt;""),'Atividades Micro'!$K528,"")</f>
        <v/>
      </c>
      <c r="AL476" s="21" t="str">
        <f>IF(AND('Atividades Micro'!$A528=AL$2,'Atividades Micro'!$L528&lt;&gt;""),'Atividades Micro'!$L528,"")</f>
        <v/>
      </c>
      <c r="AM476" s="21" t="str">
        <f>IF(AND('Atividades Micro'!$B528=AM$2,'Atividades Micro'!$K528&lt;&gt;""),'Atividades Micro'!$K528,"")</f>
        <v/>
      </c>
      <c r="AN476" s="21" t="str">
        <f>IF(AND('Atividades Micro'!$B528=AN$2,'Atividades Micro'!$L528&lt;&gt;""),'Atividades Micro'!$L528,"")</f>
        <v/>
      </c>
      <c r="AO476" s="21" t="str">
        <f>IF(AND('Atividades Micro'!$B528=AO$2,'Atividades Micro'!$K528&lt;&gt;""),'Atividades Micro'!$K528,"")</f>
        <v/>
      </c>
      <c r="AP476" s="21" t="str">
        <f>IF(AND('Atividades Micro'!$B528=AP$2,'Atividades Micro'!$L528&lt;&gt;""),'Atividades Micro'!$L528,"")</f>
        <v/>
      </c>
      <c r="AQ476" s="21" t="str">
        <f>IF(AND('Atividades Micro'!$A528=AQ$2,'Atividades Micro'!$K528&lt;&gt;""),'Atividades Micro'!$K528,"")</f>
        <v/>
      </c>
      <c r="AR476" s="21" t="str">
        <f>IF(AND('Atividades Micro'!$A528=AR$2,'Atividades Micro'!$L528&lt;&gt;""),'Atividades Micro'!$L528,"")</f>
        <v/>
      </c>
      <c r="AS476" s="21" t="str">
        <f>IF(AND('Atividades Micro'!$B528=AS$2,'Atividades Micro'!$K528&lt;&gt;""),'Atividades Micro'!$K528,"")</f>
        <v/>
      </c>
      <c r="AT476" s="21" t="str">
        <f>IF(AND('Atividades Micro'!$B528=AT$2,'Atividades Micro'!$L528&lt;&gt;""),'Atividades Micro'!$L528,"")</f>
        <v/>
      </c>
      <c r="AU476" s="21" t="str">
        <f>IF(AND('Atividades Micro'!$A528=AU$2,'Atividades Micro'!$K528&lt;&gt;""),'Atividades Micro'!$K528,"")</f>
        <v/>
      </c>
      <c r="AV476" s="21" t="str">
        <f>IF(AND('Atividades Micro'!$A528=AV$2,'Atividades Micro'!$L528&lt;&gt;""),'Atividades Micro'!$L528,"")</f>
        <v/>
      </c>
      <c r="AW476" s="21" t="str">
        <f>IF(AND('Atividades Micro'!$B528=AW$2,'Atividades Micro'!$K528&lt;&gt;""),'Atividades Micro'!$K528,"")</f>
        <v/>
      </c>
      <c r="AX476" s="21" t="str">
        <f>IF(AND('Atividades Micro'!$B528=AX$2,'Atividades Micro'!$L528&lt;&gt;""),'Atividades Micro'!$L528,"")</f>
        <v/>
      </c>
      <c r="AY476" s="21" t="str">
        <f>IF(AND('Atividades Micro'!$A528=AY$2,'Atividades Micro'!$K528&lt;&gt;""),'Atividades Micro'!$K528,"")</f>
        <v/>
      </c>
      <c r="AZ476" s="21" t="str">
        <f>IF(AND('Atividades Micro'!$A528=AZ$2,'Atividades Micro'!$L528&lt;&gt;""),'Atividades Micro'!$L528,"")</f>
        <v/>
      </c>
      <c r="BA476" s="21" t="str">
        <f>IF(AND('Atividades Micro'!$B528=BA$2,'Atividades Micro'!$K528&lt;&gt;""),'Atividades Micro'!$K528,"")</f>
        <v/>
      </c>
      <c r="BB476" s="21" t="str">
        <f>IF(AND('Atividades Micro'!$B528=BB$2,'Atividades Micro'!$L528&lt;&gt;""),'Atividades Micro'!$L528,"")</f>
        <v/>
      </c>
      <c r="BC476" s="21" t="str">
        <f>IF(AND('Atividades Micro'!$B528=BC$2,'Atividades Micro'!$G528="Macro",'Atividades Micro'!$K528&lt;&gt;""),'Atividades Micro'!$K528,"")</f>
        <v/>
      </c>
      <c r="BD476" s="21" t="str">
        <f>IF(AND('Atividades Micro'!$B528=BD$2,'Atividades Micro'!$G528="Macro",'Atividades Micro'!$K528&lt;&gt;""),'Atividades Micro'!$K528,"")</f>
        <v/>
      </c>
      <c r="BE476" s="21" t="str">
        <f>IF(AND('Atividades Micro'!$B528=BE$2,'Atividades Micro'!$G528="Macro",'Atividades Micro'!$K528&lt;&gt;""),'Atividades Micro'!$K528,"")</f>
        <v/>
      </c>
      <c r="BF476" s="21" t="str">
        <f>IF(AND('Atividades Micro'!$B528=BF$2,'Atividades Micro'!$G528="Macro",'Atividades Micro'!$K528&lt;&gt;""),'Atividades Micro'!$K528,"")</f>
        <v/>
      </c>
      <c r="BG476" s="21" t="str">
        <f>IF(AND('Atividades Micro'!$B528=BG$2,'Atividades Micro'!$G528="Macro",'Atividades Micro'!$K528&lt;&gt;""),'Atividades Micro'!$K528,"")</f>
        <v/>
      </c>
      <c r="BH476" s="21" t="str">
        <f>IF(AND('Atividades Micro'!$B528=BH$2,'Atividades Micro'!$G528="Macro",'Atividades Micro'!$K528&lt;&gt;""),'Atividades Micro'!$K528,"")</f>
        <v/>
      </c>
      <c r="BI476" s="21" t="str">
        <f>IF(AND('Atividades Micro'!$B528=BI$2,'Atividades Micro'!$G528="Macro",'Atividades Micro'!$K528&lt;&gt;""),'Atividades Micro'!$K528,"")</f>
        <v/>
      </c>
      <c r="BJ476" s="21" t="str">
        <f>IF(AND('Atividades Micro'!$B528=BJ$2,'Atividades Micro'!$G528="Macro",'Atividades Micro'!$K528&lt;&gt;""),'Atividades Micro'!$K528,"")</f>
        <v/>
      </c>
      <c r="BK476" s="21" t="str">
        <f>IF(AND('Atividades Micro'!$B528=BK$2,'Atividades Micro'!$G528="Macro",'Atividades Micro'!$K528&lt;&gt;""),'Atividades Micro'!$K528,"")</f>
        <v/>
      </c>
      <c r="BL476" s="21" t="str">
        <f>IF(AND('Atividades Micro'!$B528=BL$2,'Atividades Micro'!$G528="Macro",'Atividades Micro'!$K528&lt;&gt;""),'Atividades Micro'!$K528,"")</f>
        <v/>
      </c>
      <c r="BM476" s="21" t="str">
        <f>IF(AND('Atividades Micro'!$B528=BM$2,'Atividades Micro'!$G528="Macro",'Atividades Micro'!$K528&lt;&gt;""),'Atividades Micro'!$K528,"")</f>
        <v/>
      </c>
      <c r="BN476" s="21" t="str">
        <f>IF(AND('Atividades Micro'!$B528=BN$2,'Atividades Micro'!$G528="Macro",'Atividades Micro'!$K528&lt;&gt;""),'Atividades Micro'!$K528,"")</f>
        <v/>
      </c>
      <c r="BO476" s="21" t="str">
        <f>IF(AND('Atividades Micro'!$B528=BO$2,'Atividades Micro'!$G528="Macro",'Atividades Micro'!$K528&lt;&gt;""),'Atividades Micro'!$K528,"")</f>
        <v/>
      </c>
      <c r="BP476" s="21" t="str">
        <f>IF(AND('Atividades Micro'!$B528=BP$2,'Atividades Micro'!$G528="Macro",'Atividades Micro'!$K528&lt;&gt;""),'Atividades Micro'!$K528,"")</f>
        <v/>
      </c>
      <c r="BQ476" s="21" t="str">
        <f>IF(AND('Atividades Micro'!$B528=BQ$2,'Atividades Micro'!$G528="Macro",'Atividades Micro'!$K528&lt;&gt;""),'Atividades Micro'!$K528,"")</f>
        <v/>
      </c>
      <c r="BR476" s="21" t="str">
        <f>IF(AND('Atividades Micro'!$B528=BR$2,'Atividades Micro'!$G528="Macro",'Atividades Micro'!$K528&lt;&gt;""),'Atividades Micro'!$K528,"")</f>
        <v/>
      </c>
      <c r="BS476" s="21" t="str">
        <f>IF(AND('Atividades Micro'!$B528=BS$2,'Atividades Micro'!$G528="Macro",'Atividades Micro'!$K528&lt;&gt;""),'Atividades Micro'!$K528,"")</f>
        <v/>
      </c>
      <c r="BT476" s="21" t="str">
        <f>IF(AND('Atividades Micro'!$B528=BT$2,'Atividades Micro'!$G528="Macro",'Atividades Micro'!$K528&lt;&gt;""),'Atividades Micro'!$K528,"")</f>
        <v/>
      </c>
      <c r="BU476" s="21" t="str">
        <f>IF(AND('Atividades Micro'!$B528=BU$2,'Atividades Micro'!$G528="Macro",'Atividades Micro'!$K528&lt;&gt;""),'Atividades Micro'!$K528,"")</f>
        <v/>
      </c>
      <c r="BV476" s="21" t="str">
        <f>IF(AND('Atividades Micro'!$B528=BV$2,'Atividades Micro'!$G528="Macro",'Atividades Micro'!$K528&lt;&gt;""),'Atividades Micro'!$K528,"")</f>
        <v/>
      </c>
      <c r="BW476" s="21" t="str">
        <f>IF(AND('Atividades Micro'!$B528=BW$2,'Atividades Micro'!$G528="Macro",'Atividades Micro'!$K528&lt;&gt;""),'Atividades Micro'!$K528,"")</f>
        <v/>
      </c>
      <c r="BX476" s="21" t="str">
        <f>IF(AND('Atividades Micro'!$B528=BX$2,'Atividades Micro'!$G528="Macro",'Atividades Micro'!$K528&lt;&gt;""),'Atividades Micro'!$K528,"")</f>
        <v/>
      </c>
      <c r="BY476" s="21" t="str">
        <f>IF(AND('Atividades Micro'!$B528=BY$2,'Atividades Micro'!$G528="Macro",'Atividades Micro'!$K528&lt;&gt;""),'Atividades Micro'!$K528,"")</f>
        <v/>
      </c>
      <c r="BZ476" s="21" t="str">
        <f>IF(AND('Atividades Micro'!$B528=BZ$2,'Atividades Micro'!$G528="Macro",'Atividades Micro'!$K528&lt;&gt;""),'Atividades Micro'!$K528,"")</f>
        <v/>
      </c>
      <c r="CA476" s="21" t="str">
        <f>IF(AND('Atividades Micro'!$B528=CA$2,'Atividades Micro'!$G528="Macro",'Atividades Micro'!$K528&lt;&gt;""),'Atividades Micro'!$K528,"")</f>
        <v/>
      </c>
      <c r="CB476" s="21" t="str">
        <f>IF(AND('Atividades Micro'!$B528=CB$2,'Atividades Micro'!$G528="Macro",'Atividades Micro'!$K528&lt;&gt;""),'Atividades Micro'!$K528,"")</f>
        <v/>
      </c>
      <c r="CC476" s="21" t="str">
        <f>IF(AND('Atividades Micro'!$B528=CC$2,'Atividades Micro'!$G528="Macro",'Atividades Micro'!$K528&lt;&gt;""),'Atividades Micro'!$K528,"")</f>
        <v/>
      </c>
      <c r="CD476" s="21" t="str">
        <f>IF(AND('Atividades Micro'!$B528=CD$2,'Atividades Micro'!$G528="Micro",'Atividades Micro'!$K528&lt;&gt;""),'Atividades Micro'!$K528,"")</f>
        <v/>
      </c>
      <c r="CE476" s="21" t="str">
        <f>IF(AND('Atividades Micro'!$B528=CE$2,'Atividades Micro'!$G528="Micro",'Atividades Micro'!$K528&lt;&gt;""),'Atividades Micro'!$K528,"")</f>
        <v/>
      </c>
      <c r="CF476" s="21" t="str">
        <f>IF(AND('Atividades Micro'!$B528=CF$2,'Atividades Micro'!$G528="Micro",'Atividades Micro'!$K528&lt;&gt;""),'Atividades Micro'!$K528,"")</f>
        <v/>
      </c>
      <c r="CG476" s="21" t="str">
        <f>IF(AND('Atividades Micro'!$B528=CG$2,'Atividades Micro'!$G528="Micro",'Atividades Micro'!$K528&lt;&gt;""),'Atividades Micro'!$K528,"")</f>
        <v/>
      </c>
      <c r="CH476" s="21" t="str">
        <f>IF(AND('Atividades Micro'!$B528=CH$2,'Atividades Micro'!$G528="Micro",'Atividades Micro'!$K528&lt;&gt;""),'Atividades Micro'!$K528,"")</f>
        <v/>
      </c>
      <c r="CI476" s="21" t="str">
        <f>IF(AND('Atividades Micro'!$B528=CI$2,'Atividades Micro'!$G528="Micro",'Atividades Micro'!$K528&lt;&gt;""),'Atividades Micro'!$K528,"")</f>
        <v/>
      </c>
      <c r="CJ476" s="21" t="str">
        <f>IF(AND('Atividades Micro'!$B528=CJ$2,'Atividades Micro'!$G528="Micro",'Atividades Micro'!$K528&lt;&gt;""),'Atividades Micro'!$K528,"")</f>
        <v/>
      </c>
      <c r="CK476" s="21" t="str">
        <f>IF(AND('Atividades Micro'!$B528=CK$2,'Atividades Micro'!$G528="Micro",'Atividades Micro'!$K528&lt;&gt;""),'Atividades Micro'!$K528,"")</f>
        <v/>
      </c>
      <c r="CL476" s="21" t="str">
        <f>IF(AND('Atividades Micro'!$B528=CL$2,'Atividades Micro'!$G528="Micro",'Atividades Micro'!$K528&lt;&gt;""),'Atividades Micro'!$K528,"")</f>
        <v/>
      </c>
      <c r="CM476" s="21" t="str">
        <f>IF(AND('Atividades Micro'!$B528=CM$2,'Atividades Micro'!$G528="Micro",'Atividades Micro'!$K528&lt;&gt;""),'Atividades Micro'!$K528,"")</f>
        <v/>
      </c>
      <c r="CN476" s="21" t="str">
        <f>IF(AND('Atividades Micro'!$B528=CN$2,'Atividades Micro'!$G528="Micro",'Atividades Micro'!$K528&lt;&gt;""),'Atividades Micro'!$K528,"")</f>
        <v/>
      </c>
      <c r="CO476" s="21" t="str">
        <f>IF(AND('Atividades Micro'!$B528=CO$2,'Atividades Micro'!$G528="Micro",'Atividades Micro'!$K528&lt;&gt;""),'Atividades Micro'!$K528,"")</f>
        <v/>
      </c>
    </row>
    <row r="477" spans="1:93">
      <c r="A477" s="21" t="str">
        <f>IF(AND('Atividades Micro'!$A529=A$2,'Atividades Micro'!$K529&lt;&gt;""),'Atividades Micro'!$K529,"")</f>
        <v/>
      </c>
      <c r="B477" s="21" t="str">
        <f>IF(AND('Atividades Micro'!$A529=B$2,'Atividades Micro'!$L529&lt;&gt;""),'Atividades Micro'!$L529,"")</f>
        <v/>
      </c>
      <c r="C477" s="21" t="str">
        <f>IF(AND('Atividades Micro'!$A529=C$2,'Atividades Micro'!$K529&lt;&gt;""),'Atividades Micro'!$K529,"")</f>
        <v/>
      </c>
      <c r="D477" s="21" t="str">
        <f>IF(AND('Atividades Micro'!$A529=D$2,'Atividades Micro'!$L529&lt;&gt;""),'Atividades Micro'!$L529,"")</f>
        <v/>
      </c>
      <c r="E477" s="21" t="str">
        <f>IF(AND('Atividades Micro'!$A529=E$2,'Atividades Micro'!$K529&lt;&gt;""),'Atividades Micro'!$K529,"")</f>
        <v/>
      </c>
      <c r="F477" s="21" t="str">
        <f>IF(AND('Atividades Micro'!$A529=F$2,'Atividades Micro'!$L529&lt;&gt;""),'Atividades Micro'!$L529,"")</f>
        <v/>
      </c>
      <c r="G477" s="21" t="str">
        <f>IF(AND('Atividades Micro'!$A529=G$2,'Atividades Micro'!$K529&lt;&gt;""),'Atividades Micro'!$K529,"")</f>
        <v/>
      </c>
      <c r="H477" s="21" t="str">
        <f>IF(AND('Atividades Micro'!$A529=H$2,'Atividades Micro'!$L529&lt;&gt;""),'Atividades Micro'!$L529,"")</f>
        <v/>
      </c>
      <c r="I477" s="21" t="str">
        <f>IF(AND('Atividades Micro'!$A529=I$2,'Atividades Micro'!$K529&lt;&gt;""),'Atividades Micro'!$K529,"")</f>
        <v/>
      </c>
      <c r="J477" s="21" t="str">
        <f>IF(AND('Atividades Micro'!$A529=J$2,'Atividades Micro'!$L529&lt;&gt;""),'Atividades Micro'!$L529,"")</f>
        <v/>
      </c>
      <c r="K477" s="21" t="str">
        <f>IF(AND('Atividades Micro'!$B529=K$2,'Atividades Micro'!$K529&lt;&gt;""),'Atividades Micro'!$K529,"")</f>
        <v/>
      </c>
      <c r="L477" s="21" t="str">
        <f>IF(AND('Atividades Micro'!$B529=L$2,'Atividades Micro'!$L529&lt;&gt;""),'Atividades Micro'!$L529,"")</f>
        <v/>
      </c>
      <c r="M477" s="21" t="str">
        <f>IF(AND('Atividades Micro'!$B529=M$2,'Atividades Micro'!$K529&lt;&gt;""),'Atividades Micro'!$K529,"")</f>
        <v/>
      </c>
      <c r="N477" s="21" t="str">
        <f>IF(AND('Atividades Micro'!$B529=N$2,'Atividades Micro'!$L529&lt;&gt;""),'Atividades Micro'!$L529,"")</f>
        <v/>
      </c>
      <c r="O477" s="21" t="str">
        <f>IF(AND('Atividades Micro'!$A529=O$2,'Atividades Micro'!$K529&lt;&gt;""),'Atividades Micro'!$K529,"")</f>
        <v/>
      </c>
      <c r="P477" s="21" t="str">
        <f>IF(AND('Atividades Micro'!$A529=P$2,'Atividades Micro'!$L529&lt;&gt;""),'Atividades Micro'!$L529,"")</f>
        <v/>
      </c>
      <c r="Q477" s="21" t="str">
        <f>IF(AND('Atividades Micro'!$B529=Q$2,'Atividades Micro'!$K529&lt;&gt;""),'Atividades Micro'!$K529,"")</f>
        <v/>
      </c>
      <c r="R477" s="21" t="str">
        <f>IF(AND('Atividades Micro'!$B529=R$2,'Atividades Micro'!$L529&lt;&gt;""),'Atividades Micro'!$L529,"")</f>
        <v/>
      </c>
      <c r="S477" s="21" t="str">
        <f>IF(AND('Atividades Micro'!$A529=S$2,'Atividades Micro'!$K529&lt;&gt;""),'Atividades Micro'!$K529,"")</f>
        <v/>
      </c>
      <c r="T477" s="21" t="str">
        <f>IF(AND('Atividades Micro'!$A529=T$2,'Atividades Micro'!$L529&lt;&gt;""),'Atividades Micro'!$L529,"")</f>
        <v/>
      </c>
      <c r="U477" s="21" t="str">
        <f>IF(AND('Atividades Micro'!$B529=U$2,'Atividades Micro'!$K529&lt;&gt;""),'Atividades Micro'!$K529,"")</f>
        <v/>
      </c>
      <c r="V477" s="21" t="str">
        <f>IF(AND('Atividades Micro'!$B529=V$2,'Atividades Micro'!$L529&lt;&gt;""),'Atividades Micro'!$L529,"")</f>
        <v/>
      </c>
      <c r="W477" s="21" t="str">
        <f>IF(AND('Atividades Micro'!$B529=W$2,'Atividades Micro'!$K529&lt;&gt;""),'Atividades Micro'!$K529,"")</f>
        <v/>
      </c>
      <c r="X477" s="21" t="str">
        <f>IF(AND('Atividades Micro'!$B529=X$2,'Atividades Micro'!$L529&lt;&gt;""),'Atividades Micro'!$L529,"")</f>
        <v/>
      </c>
      <c r="Y477" s="21" t="str">
        <f>IF(AND('Atividades Micro'!$A529=Y$2,'Atividades Micro'!$K529&lt;&gt;""),'Atividades Micro'!$K529,"")</f>
        <v/>
      </c>
      <c r="Z477" s="21" t="str">
        <f>IF(AND('Atividades Micro'!$A529=Z$2,'Atividades Micro'!$L529&lt;&gt;""),'Atividades Micro'!$L529,"")</f>
        <v/>
      </c>
      <c r="AA477" s="21" t="str">
        <f>IF(AND('Atividades Micro'!$B529=AA$2,'Atividades Micro'!$K529&lt;&gt;""),'Atividades Micro'!$K529,"")</f>
        <v/>
      </c>
      <c r="AB477" s="21" t="str">
        <f>IF(AND('Atividades Micro'!$B529=AB$2,'Atividades Micro'!$L529&lt;&gt;""),'Atividades Micro'!$L529,"")</f>
        <v/>
      </c>
      <c r="AC477" s="21" t="str">
        <f>IF(AND('Atividades Micro'!$B529=AC$2,'Atividades Micro'!$K529&lt;&gt;""),'Atividades Micro'!$K529,"")</f>
        <v/>
      </c>
      <c r="AD477" s="21" t="str">
        <f>IF(AND('Atividades Micro'!$B529=AD$2,'Atividades Micro'!$L529&lt;&gt;""),'Atividades Micro'!$L529,"")</f>
        <v/>
      </c>
      <c r="AE477" s="21" t="str">
        <f>IF(AND('Atividades Micro'!$A529=AE$2,'Atividades Micro'!$K529&lt;&gt;""),'Atividades Micro'!$K529,"")</f>
        <v/>
      </c>
      <c r="AF477" s="21" t="str">
        <f>IF(AND('Atividades Micro'!$A529=AF$2,'Atividades Micro'!$L529&lt;&gt;""),'Atividades Micro'!$L529,"")</f>
        <v/>
      </c>
      <c r="AG477" s="21" t="str">
        <f>IF(AND('Atividades Micro'!$B529=AG$2,'Atividades Micro'!$K529&lt;&gt;""),'Atividades Micro'!$K529,"")</f>
        <v/>
      </c>
      <c r="AH477" s="21" t="str">
        <f>IF(AND('Atividades Micro'!$B529=AH$2,'Atividades Micro'!$L529&lt;&gt;""),'Atividades Micro'!$L529,"")</f>
        <v/>
      </c>
      <c r="AI477" s="21" t="str">
        <f>IF(AND('Atividades Micro'!$B529=AI$2,'Atividades Micro'!$K529&lt;&gt;""),'Atividades Micro'!$K529,"")</f>
        <v/>
      </c>
      <c r="AJ477" s="21" t="str">
        <f>IF(AND('Atividades Micro'!$B529=AJ$2,'Atividades Micro'!$L529&lt;&gt;""),'Atividades Micro'!$L529,"")</f>
        <v/>
      </c>
      <c r="AK477" s="21" t="str">
        <f>IF(AND('Atividades Micro'!$A529=AK$2,'Atividades Micro'!$K529&lt;&gt;""),'Atividades Micro'!$K529,"")</f>
        <v/>
      </c>
      <c r="AL477" s="21" t="str">
        <f>IF(AND('Atividades Micro'!$A529=AL$2,'Atividades Micro'!$L529&lt;&gt;""),'Atividades Micro'!$L529,"")</f>
        <v/>
      </c>
      <c r="AM477" s="21" t="str">
        <f>IF(AND('Atividades Micro'!$B529=AM$2,'Atividades Micro'!$K529&lt;&gt;""),'Atividades Micro'!$K529,"")</f>
        <v/>
      </c>
      <c r="AN477" s="21" t="str">
        <f>IF(AND('Atividades Micro'!$B529=AN$2,'Atividades Micro'!$L529&lt;&gt;""),'Atividades Micro'!$L529,"")</f>
        <v/>
      </c>
      <c r="AO477" s="21" t="str">
        <f>IF(AND('Atividades Micro'!$B529=AO$2,'Atividades Micro'!$K529&lt;&gt;""),'Atividades Micro'!$K529,"")</f>
        <v/>
      </c>
      <c r="AP477" s="21" t="str">
        <f>IF(AND('Atividades Micro'!$B529=AP$2,'Atividades Micro'!$L529&lt;&gt;""),'Atividades Micro'!$L529,"")</f>
        <v/>
      </c>
      <c r="AQ477" s="21" t="str">
        <f>IF(AND('Atividades Micro'!$A529=AQ$2,'Atividades Micro'!$K529&lt;&gt;""),'Atividades Micro'!$K529,"")</f>
        <v/>
      </c>
      <c r="AR477" s="21" t="str">
        <f>IF(AND('Atividades Micro'!$A529=AR$2,'Atividades Micro'!$L529&lt;&gt;""),'Atividades Micro'!$L529,"")</f>
        <v/>
      </c>
      <c r="AS477" s="21" t="str">
        <f>IF(AND('Atividades Micro'!$B529=AS$2,'Atividades Micro'!$K529&lt;&gt;""),'Atividades Micro'!$K529,"")</f>
        <v/>
      </c>
      <c r="AT477" s="21" t="str">
        <f>IF(AND('Atividades Micro'!$B529=AT$2,'Atividades Micro'!$L529&lt;&gt;""),'Atividades Micro'!$L529,"")</f>
        <v/>
      </c>
      <c r="AU477" s="21" t="str">
        <f>IF(AND('Atividades Micro'!$A529=AU$2,'Atividades Micro'!$K529&lt;&gt;""),'Atividades Micro'!$K529,"")</f>
        <v/>
      </c>
      <c r="AV477" s="21" t="str">
        <f>IF(AND('Atividades Micro'!$A529=AV$2,'Atividades Micro'!$L529&lt;&gt;""),'Atividades Micro'!$L529,"")</f>
        <v/>
      </c>
      <c r="AW477" s="21" t="str">
        <f>IF(AND('Atividades Micro'!$B529=AW$2,'Atividades Micro'!$K529&lt;&gt;""),'Atividades Micro'!$K529,"")</f>
        <v/>
      </c>
      <c r="AX477" s="21" t="str">
        <f>IF(AND('Atividades Micro'!$B529=AX$2,'Atividades Micro'!$L529&lt;&gt;""),'Atividades Micro'!$L529,"")</f>
        <v/>
      </c>
      <c r="AY477" s="21" t="str">
        <f>IF(AND('Atividades Micro'!$A529=AY$2,'Atividades Micro'!$K529&lt;&gt;""),'Atividades Micro'!$K529,"")</f>
        <v/>
      </c>
      <c r="AZ477" s="21" t="str">
        <f>IF(AND('Atividades Micro'!$A529=AZ$2,'Atividades Micro'!$L529&lt;&gt;""),'Atividades Micro'!$L529,"")</f>
        <v/>
      </c>
      <c r="BA477" s="21" t="str">
        <f>IF(AND('Atividades Micro'!$B529=BA$2,'Atividades Micro'!$K529&lt;&gt;""),'Atividades Micro'!$K529,"")</f>
        <v/>
      </c>
      <c r="BB477" s="21" t="str">
        <f>IF(AND('Atividades Micro'!$B529=BB$2,'Atividades Micro'!$L529&lt;&gt;""),'Atividades Micro'!$L529,"")</f>
        <v/>
      </c>
      <c r="BC477" s="21" t="str">
        <f>IF(AND('Atividades Micro'!$B529=BC$2,'Atividades Micro'!$G529="Macro",'Atividades Micro'!$K529&lt;&gt;""),'Atividades Micro'!$K529,"")</f>
        <v/>
      </c>
      <c r="BD477" s="21" t="str">
        <f>IF(AND('Atividades Micro'!$B529=BD$2,'Atividades Micro'!$G529="Macro",'Atividades Micro'!$K529&lt;&gt;""),'Atividades Micro'!$K529,"")</f>
        <v/>
      </c>
      <c r="BE477" s="21" t="str">
        <f>IF(AND('Atividades Micro'!$B529=BE$2,'Atividades Micro'!$G529="Macro",'Atividades Micro'!$K529&lt;&gt;""),'Atividades Micro'!$K529,"")</f>
        <v/>
      </c>
      <c r="BF477" s="21" t="str">
        <f>IF(AND('Atividades Micro'!$B529=BF$2,'Atividades Micro'!$G529="Macro",'Atividades Micro'!$K529&lt;&gt;""),'Atividades Micro'!$K529,"")</f>
        <v/>
      </c>
      <c r="BG477" s="21" t="str">
        <f>IF(AND('Atividades Micro'!$B529=BG$2,'Atividades Micro'!$G529="Macro",'Atividades Micro'!$K529&lt;&gt;""),'Atividades Micro'!$K529,"")</f>
        <v/>
      </c>
      <c r="BH477" s="21" t="str">
        <f>IF(AND('Atividades Micro'!$B529=BH$2,'Atividades Micro'!$G529="Macro",'Atividades Micro'!$K529&lt;&gt;""),'Atividades Micro'!$K529,"")</f>
        <v/>
      </c>
      <c r="BI477" s="21" t="str">
        <f>IF(AND('Atividades Micro'!$B529=BI$2,'Atividades Micro'!$G529="Macro",'Atividades Micro'!$K529&lt;&gt;""),'Atividades Micro'!$K529,"")</f>
        <v/>
      </c>
      <c r="BJ477" s="21" t="str">
        <f>IF(AND('Atividades Micro'!$B529=BJ$2,'Atividades Micro'!$G529="Macro",'Atividades Micro'!$K529&lt;&gt;""),'Atividades Micro'!$K529,"")</f>
        <v/>
      </c>
      <c r="BK477" s="21" t="str">
        <f>IF(AND('Atividades Micro'!$B529=BK$2,'Atividades Micro'!$G529="Macro",'Atividades Micro'!$K529&lt;&gt;""),'Atividades Micro'!$K529,"")</f>
        <v/>
      </c>
      <c r="BL477" s="21" t="str">
        <f>IF(AND('Atividades Micro'!$B529=BL$2,'Atividades Micro'!$G529="Macro",'Atividades Micro'!$K529&lt;&gt;""),'Atividades Micro'!$K529,"")</f>
        <v/>
      </c>
      <c r="BM477" s="21" t="str">
        <f>IF(AND('Atividades Micro'!$B529=BM$2,'Atividades Micro'!$G529="Macro",'Atividades Micro'!$K529&lt;&gt;""),'Atividades Micro'!$K529,"")</f>
        <v/>
      </c>
      <c r="BN477" s="21" t="str">
        <f>IF(AND('Atividades Micro'!$B529=BN$2,'Atividades Micro'!$G529="Macro",'Atividades Micro'!$K529&lt;&gt;""),'Atividades Micro'!$K529,"")</f>
        <v/>
      </c>
      <c r="BO477" s="21" t="str">
        <f>IF(AND('Atividades Micro'!$B529=BO$2,'Atividades Micro'!$G529="Macro",'Atividades Micro'!$K529&lt;&gt;""),'Atividades Micro'!$K529,"")</f>
        <v/>
      </c>
      <c r="BP477" s="21" t="str">
        <f>IF(AND('Atividades Micro'!$B529=BP$2,'Atividades Micro'!$G529="Macro",'Atividades Micro'!$K529&lt;&gt;""),'Atividades Micro'!$K529,"")</f>
        <v/>
      </c>
      <c r="BQ477" s="21" t="str">
        <f>IF(AND('Atividades Micro'!$B529=BQ$2,'Atividades Micro'!$G529="Macro",'Atividades Micro'!$K529&lt;&gt;""),'Atividades Micro'!$K529,"")</f>
        <v/>
      </c>
      <c r="BR477" s="21" t="str">
        <f>IF(AND('Atividades Micro'!$B529=BR$2,'Atividades Micro'!$G529="Macro",'Atividades Micro'!$K529&lt;&gt;""),'Atividades Micro'!$K529,"")</f>
        <v/>
      </c>
      <c r="BS477" s="21" t="str">
        <f>IF(AND('Atividades Micro'!$B529=BS$2,'Atividades Micro'!$G529="Macro",'Atividades Micro'!$K529&lt;&gt;""),'Atividades Micro'!$K529,"")</f>
        <v/>
      </c>
      <c r="BT477" s="21" t="str">
        <f>IF(AND('Atividades Micro'!$B529=BT$2,'Atividades Micro'!$G529="Macro",'Atividades Micro'!$K529&lt;&gt;""),'Atividades Micro'!$K529,"")</f>
        <v/>
      </c>
      <c r="BU477" s="21" t="str">
        <f>IF(AND('Atividades Micro'!$B529=BU$2,'Atividades Micro'!$G529="Macro",'Atividades Micro'!$K529&lt;&gt;""),'Atividades Micro'!$K529,"")</f>
        <v/>
      </c>
      <c r="BV477" s="21" t="str">
        <f>IF(AND('Atividades Micro'!$B529=BV$2,'Atividades Micro'!$G529="Macro",'Atividades Micro'!$K529&lt;&gt;""),'Atividades Micro'!$K529,"")</f>
        <v/>
      </c>
      <c r="BW477" s="21" t="str">
        <f>IF(AND('Atividades Micro'!$B529=BW$2,'Atividades Micro'!$G529="Macro",'Atividades Micro'!$K529&lt;&gt;""),'Atividades Micro'!$K529,"")</f>
        <v/>
      </c>
      <c r="BX477" s="21" t="str">
        <f>IF(AND('Atividades Micro'!$B529=BX$2,'Atividades Micro'!$G529="Macro",'Atividades Micro'!$K529&lt;&gt;""),'Atividades Micro'!$K529,"")</f>
        <v/>
      </c>
      <c r="BY477" s="21" t="str">
        <f>IF(AND('Atividades Micro'!$B529=BY$2,'Atividades Micro'!$G529="Macro",'Atividades Micro'!$K529&lt;&gt;""),'Atividades Micro'!$K529,"")</f>
        <v/>
      </c>
      <c r="BZ477" s="21" t="str">
        <f>IF(AND('Atividades Micro'!$B529=BZ$2,'Atividades Micro'!$G529="Macro",'Atividades Micro'!$K529&lt;&gt;""),'Atividades Micro'!$K529,"")</f>
        <v/>
      </c>
      <c r="CA477" s="21" t="str">
        <f>IF(AND('Atividades Micro'!$B529=CA$2,'Atividades Micro'!$G529="Macro",'Atividades Micro'!$K529&lt;&gt;""),'Atividades Micro'!$K529,"")</f>
        <v/>
      </c>
      <c r="CB477" s="21" t="str">
        <f>IF(AND('Atividades Micro'!$B529=CB$2,'Atividades Micro'!$G529="Macro",'Atividades Micro'!$K529&lt;&gt;""),'Atividades Micro'!$K529,"")</f>
        <v/>
      </c>
      <c r="CC477" s="21" t="str">
        <f>IF(AND('Atividades Micro'!$B529=CC$2,'Atividades Micro'!$G529="Macro",'Atividades Micro'!$K529&lt;&gt;""),'Atividades Micro'!$K529,"")</f>
        <v/>
      </c>
      <c r="CD477" s="21" t="str">
        <f>IF(AND('Atividades Micro'!$B529=CD$2,'Atividades Micro'!$G529="Micro",'Atividades Micro'!$K529&lt;&gt;""),'Atividades Micro'!$K529,"")</f>
        <v/>
      </c>
      <c r="CE477" s="21" t="str">
        <f>IF(AND('Atividades Micro'!$B529=CE$2,'Atividades Micro'!$G529="Micro",'Atividades Micro'!$K529&lt;&gt;""),'Atividades Micro'!$K529,"")</f>
        <v/>
      </c>
      <c r="CF477" s="21" t="str">
        <f>IF(AND('Atividades Micro'!$B529=CF$2,'Atividades Micro'!$G529="Micro",'Atividades Micro'!$K529&lt;&gt;""),'Atividades Micro'!$K529,"")</f>
        <v/>
      </c>
      <c r="CG477" s="21" t="str">
        <f>IF(AND('Atividades Micro'!$B529=CG$2,'Atividades Micro'!$G529="Micro",'Atividades Micro'!$K529&lt;&gt;""),'Atividades Micro'!$K529,"")</f>
        <v/>
      </c>
      <c r="CH477" s="21" t="str">
        <f>IF(AND('Atividades Micro'!$B529=CH$2,'Atividades Micro'!$G529="Micro",'Atividades Micro'!$K529&lt;&gt;""),'Atividades Micro'!$K529,"")</f>
        <v/>
      </c>
      <c r="CI477" s="21" t="str">
        <f>IF(AND('Atividades Micro'!$B529=CI$2,'Atividades Micro'!$G529="Micro",'Atividades Micro'!$K529&lt;&gt;""),'Atividades Micro'!$K529,"")</f>
        <v/>
      </c>
      <c r="CJ477" s="21" t="str">
        <f>IF(AND('Atividades Micro'!$B529=CJ$2,'Atividades Micro'!$G529="Micro",'Atividades Micro'!$K529&lt;&gt;""),'Atividades Micro'!$K529,"")</f>
        <v/>
      </c>
      <c r="CK477" s="21" t="str">
        <f>IF(AND('Atividades Micro'!$B529=CK$2,'Atividades Micro'!$G529="Micro",'Atividades Micro'!$K529&lt;&gt;""),'Atividades Micro'!$K529,"")</f>
        <v/>
      </c>
      <c r="CL477" s="21" t="str">
        <f>IF(AND('Atividades Micro'!$B529=CL$2,'Atividades Micro'!$G529="Micro",'Atividades Micro'!$K529&lt;&gt;""),'Atividades Micro'!$K529,"")</f>
        <v/>
      </c>
      <c r="CM477" s="21" t="str">
        <f>IF(AND('Atividades Micro'!$B529=CM$2,'Atividades Micro'!$G529="Micro",'Atividades Micro'!$K529&lt;&gt;""),'Atividades Micro'!$K529,"")</f>
        <v/>
      </c>
      <c r="CN477" s="21" t="str">
        <f>IF(AND('Atividades Micro'!$B529=CN$2,'Atividades Micro'!$G529="Micro",'Atividades Micro'!$K529&lt;&gt;""),'Atividades Micro'!$K529,"")</f>
        <v/>
      </c>
      <c r="CO477" s="21" t="str">
        <f>IF(AND('Atividades Micro'!$B529=CO$2,'Atividades Micro'!$G529="Micro",'Atividades Micro'!$K529&lt;&gt;""),'Atividades Micro'!$K529,"")</f>
        <v/>
      </c>
    </row>
    <row r="478" spans="1:93">
      <c r="A478" s="21" t="str">
        <f>IF(AND('Atividades Micro'!$A530=A$2,'Atividades Micro'!$K530&lt;&gt;""),'Atividades Micro'!$K530,"")</f>
        <v/>
      </c>
      <c r="B478" s="21" t="str">
        <f>IF(AND('Atividades Micro'!$A530=B$2,'Atividades Micro'!$L530&lt;&gt;""),'Atividades Micro'!$L530,"")</f>
        <v/>
      </c>
      <c r="C478" s="21" t="str">
        <f>IF(AND('Atividades Micro'!$A530=C$2,'Atividades Micro'!$K530&lt;&gt;""),'Atividades Micro'!$K530,"")</f>
        <v/>
      </c>
      <c r="D478" s="21" t="str">
        <f>IF(AND('Atividades Micro'!$A530=D$2,'Atividades Micro'!$L530&lt;&gt;""),'Atividades Micro'!$L530,"")</f>
        <v/>
      </c>
      <c r="E478" s="21" t="str">
        <f>IF(AND('Atividades Micro'!$A530=E$2,'Atividades Micro'!$K530&lt;&gt;""),'Atividades Micro'!$K530,"")</f>
        <v/>
      </c>
      <c r="F478" s="21" t="str">
        <f>IF(AND('Atividades Micro'!$A530=F$2,'Atividades Micro'!$L530&lt;&gt;""),'Atividades Micro'!$L530,"")</f>
        <v/>
      </c>
      <c r="G478" s="21" t="str">
        <f>IF(AND('Atividades Micro'!$A530=G$2,'Atividades Micro'!$K530&lt;&gt;""),'Atividades Micro'!$K530,"")</f>
        <v/>
      </c>
      <c r="H478" s="21" t="str">
        <f>IF(AND('Atividades Micro'!$A530=H$2,'Atividades Micro'!$L530&lt;&gt;""),'Atividades Micro'!$L530,"")</f>
        <v/>
      </c>
      <c r="I478" s="21" t="str">
        <f>IF(AND('Atividades Micro'!$A530=I$2,'Atividades Micro'!$K530&lt;&gt;""),'Atividades Micro'!$K530,"")</f>
        <v/>
      </c>
      <c r="J478" s="21" t="str">
        <f>IF(AND('Atividades Micro'!$A530=J$2,'Atividades Micro'!$L530&lt;&gt;""),'Atividades Micro'!$L530,"")</f>
        <v/>
      </c>
      <c r="K478" s="21" t="str">
        <f>IF(AND('Atividades Micro'!$B530=K$2,'Atividades Micro'!$K530&lt;&gt;""),'Atividades Micro'!$K530,"")</f>
        <v/>
      </c>
      <c r="L478" s="21" t="str">
        <f>IF(AND('Atividades Micro'!$B530=L$2,'Atividades Micro'!$L530&lt;&gt;""),'Atividades Micro'!$L530,"")</f>
        <v/>
      </c>
      <c r="M478" s="21" t="str">
        <f>IF(AND('Atividades Micro'!$B530=M$2,'Atividades Micro'!$K530&lt;&gt;""),'Atividades Micro'!$K530,"")</f>
        <v/>
      </c>
      <c r="N478" s="21" t="str">
        <f>IF(AND('Atividades Micro'!$B530=N$2,'Atividades Micro'!$L530&lt;&gt;""),'Atividades Micro'!$L530,"")</f>
        <v/>
      </c>
      <c r="O478" s="21" t="str">
        <f>IF(AND('Atividades Micro'!$A530=O$2,'Atividades Micro'!$K530&lt;&gt;""),'Atividades Micro'!$K530,"")</f>
        <v/>
      </c>
      <c r="P478" s="21" t="str">
        <f>IF(AND('Atividades Micro'!$A530=P$2,'Atividades Micro'!$L530&lt;&gt;""),'Atividades Micro'!$L530,"")</f>
        <v/>
      </c>
      <c r="Q478" s="21" t="str">
        <f>IF(AND('Atividades Micro'!$B530=Q$2,'Atividades Micro'!$K530&lt;&gt;""),'Atividades Micro'!$K530,"")</f>
        <v/>
      </c>
      <c r="R478" s="21" t="str">
        <f>IF(AND('Atividades Micro'!$B530=R$2,'Atividades Micro'!$L530&lt;&gt;""),'Atividades Micro'!$L530,"")</f>
        <v/>
      </c>
      <c r="S478" s="21" t="str">
        <f>IF(AND('Atividades Micro'!$A530=S$2,'Atividades Micro'!$K530&lt;&gt;""),'Atividades Micro'!$K530,"")</f>
        <v/>
      </c>
      <c r="T478" s="21" t="str">
        <f>IF(AND('Atividades Micro'!$A530=T$2,'Atividades Micro'!$L530&lt;&gt;""),'Atividades Micro'!$L530,"")</f>
        <v/>
      </c>
      <c r="U478" s="21" t="str">
        <f>IF(AND('Atividades Micro'!$B530=U$2,'Atividades Micro'!$K530&lt;&gt;""),'Atividades Micro'!$K530,"")</f>
        <v/>
      </c>
      <c r="V478" s="21" t="str">
        <f>IF(AND('Atividades Micro'!$B530=V$2,'Atividades Micro'!$L530&lt;&gt;""),'Atividades Micro'!$L530,"")</f>
        <v/>
      </c>
      <c r="W478" s="21" t="str">
        <f>IF(AND('Atividades Micro'!$B530=W$2,'Atividades Micro'!$K530&lt;&gt;""),'Atividades Micro'!$K530,"")</f>
        <v/>
      </c>
      <c r="X478" s="21" t="str">
        <f>IF(AND('Atividades Micro'!$B530=X$2,'Atividades Micro'!$L530&lt;&gt;""),'Atividades Micro'!$L530,"")</f>
        <v/>
      </c>
      <c r="Y478" s="21" t="str">
        <f>IF(AND('Atividades Micro'!$A530=Y$2,'Atividades Micro'!$K530&lt;&gt;""),'Atividades Micro'!$K530,"")</f>
        <v/>
      </c>
      <c r="Z478" s="21" t="str">
        <f>IF(AND('Atividades Micro'!$A530=Z$2,'Atividades Micro'!$L530&lt;&gt;""),'Atividades Micro'!$L530,"")</f>
        <v/>
      </c>
      <c r="AA478" s="21" t="str">
        <f>IF(AND('Atividades Micro'!$B530=AA$2,'Atividades Micro'!$K530&lt;&gt;""),'Atividades Micro'!$K530,"")</f>
        <v/>
      </c>
      <c r="AB478" s="21" t="str">
        <f>IF(AND('Atividades Micro'!$B530=AB$2,'Atividades Micro'!$L530&lt;&gt;""),'Atividades Micro'!$L530,"")</f>
        <v/>
      </c>
      <c r="AC478" s="21" t="str">
        <f>IF(AND('Atividades Micro'!$B530=AC$2,'Atividades Micro'!$K530&lt;&gt;""),'Atividades Micro'!$K530,"")</f>
        <v/>
      </c>
      <c r="AD478" s="21" t="str">
        <f>IF(AND('Atividades Micro'!$B530=AD$2,'Atividades Micro'!$L530&lt;&gt;""),'Atividades Micro'!$L530,"")</f>
        <v/>
      </c>
      <c r="AE478" s="21" t="str">
        <f>IF(AND('Atividades Micro'!$A530=AE$2,'Atividades Micro'!$K530&lt;&gt;""),'Atividades Micro'!$K530,"")</f>
        <v/>
      </c>
      <c r="AF478" s="21" t="str">
        <f>IF(AND('Atividades Micro'!$A530=AF$2,'Atividades Micro'!$L530&lt;&gt;""),'Atividades Micro'!$L530,"")</f>
        <v/>
      </c>
      <c r="AG478" s="21" t="str">
        <f>IF(AND('Atividades Micro'!$B530=AG$2,'Atividades Micro'!$K530&lt;&gt;""),'Atividades Micro'!$K530,"")</f>
        <v/>
      </c>
      <c r="AH478" s="21" t="str">
        <f>IF(AND('Atividades Micro'!$B530=AH$2,'Atividades Micro'!$L530&lt;&gt;""),'Atividades Micro'!$L530,"")</f>
        <v/>
      </c>
      <c r="AI478" s="21" t="str">
        <f>IF(AND('Atividades Micro'!$B530=AI$2,'Atividades Micro'!$K530&lt;&gt;""),'Atividades Micro'!$K530,"")</f>
        <v/>
      </c>
      <c r="AJ478" s="21" t="str">
        <f>IF(AND('Atividades Micro'!$B530=AJ$2,'Atividades Micro'!$L530&lt;&gt;""),'Atividades Micro'!$L530,"")</f>
        <v/>
      </c>
      <c r="AK478" s="21" t="str">
        <f>IF(AND('Atividades Micro'!$A530=AK$2,'Atividades Micro'!$K530&lt;&gt;""),'Atividades Micro'!$K530,"")</f>
        <v/>
      </c>
      <c r="AL478" s="21" t="str">
        <f>IF(AND('Atividades Micro'!$A530=AL$2,'Atividades Micro'!$L530&lt;&gt;""),'Atividades Micro'!$L530,"")</f>
        <v/>
      </c>
      <c r="AM478" s="21" t="str">
        <f>IF(AND('Atividades Micro'!$B530=AM$2,'Atividades Micro'!$K530&lt;&gt;""),'Atividades Micro'!$K530,"")</f>
        <v/>
      </c>
      <c r="AN478" s="21" t="str">
        <f>IF(AND('Atividades Micro'!$B530=AN$2,'Atividades Micro'!$L530&lt;&gt;""),'Atividades Micro'!$L530,"")</f>
        <v/>
      </c>
      <c r="AO478" s="21" t="str">
        <f>IF(AND('Atividades Micro'!$B530=AO$2,'Atividades Micro'!$K530&lt;&gt;""),'Atividades Micro'!$K530,"")</f>
        <v/>
      </c>
      <c r="AP478" s="21" t="str">
        <f>IF(AND('Atividades Micro'!$B530=AP$2,'Atividades Micro'!$L530&lt;&gt;""),'Atividades Micro'!$L530,"")</f>
        <v/>
      </c>
      <c r="AQ478" s="21" t="str">
        <f>IF(AND('Atividades Micro'!$A530=AQ$2,'Atividades Micro'!$K530&lt;&gt;""),'Atividades Micro'!$K530,"")</f>
        <v/>
      </c>
      <c r="AR478" s="21" t="str">
        <f>IF(AND('Atividades Micro'!$A530=AR$2,'Atividades Micro'!$L530&lt;&gt;""),'Atividades Micro'!$L530,"")</f>
        <v/>
      </c>
      <c r="AS478" s="21" t="str">
        <f>IF(AND('Atividades Micro'!$B530=AS$2,'Atividades Micro'!$K530&lt;&gt;""),'Atividades Micro'!$K530,"")</f>
        <v/>
      </c>
      <c r="AT478" s="21" t="str">
        <f>IF(AND('Atividades Micro'!$B530=AT$2,'Atividades Micro'!$L530&lt;&gt;""),'Atividades Micro'!$L530,"")</f>
        <v/>
      </c>
      <c r="AU478" s="21" t="str">
        <f>IF(AND('Atividades Micro'!$A530=AU$2,'Atividades Micro'!$K530&lt;&gt;""),'Atividades Micro'!$K530,"")</f>
        <v/>
      </c>
      <c r="AV478" s="21" t="str">
        <f>IF(AND('Atividades Micro'!$A530=AV$2,'Atividades Micro'!$L530&lt;&gt;""),'Atividades Micro'!$L530,"")</f>
        <v/>
      </c>
      <c r="AW478" s="21" t="str">
        <f>IF(AND('Atividades Micro'!$B530=AW$2,'Atividades Micro'!$K530&lt;&gt;""),'Atividades Micro'!$K530,"")</f>
        <v/>
      </c>
      <c r="AX478" s="21" t="str">
        <f>IF(AND('Atividades Micro'!$B530=AX$2,'Atividades Micro'!$L530&lt;&gt;""),'Atividades Micro'!$L530,"")</f>
        <v/>
      </c>
      <c r="AY478" s="21" t="str">
        <f>IF(AND('Atividades Micro'!$A530=AY$2,'Atividades Micro'!$K530&lt;&gt;""),'Atividades Micro'!$K530,"")</f>
        <v/>
      </c>
      <c r="AZ478" s="21" t="str">
        <f>IF(AND('Atividades Micro'!$A530=AZ$2,'Atividades Micro'!$L530&lt;&gt;""),'Atividades Micro'!$L530,"")</f>
        <v/>
      </c>
      <c r="BA478" s="21" t="str">
        <f>IF(AND('Atividades Micro'!$B530=BA$2,'Atividades Micro'!$K530&lt;&gt;""),'Atividades Micro'!$K530,"")</f>
        <v/>
      </c>
      <c r="BB478" s="21" t="str">
        <f>IF(AND('Atividades Micro'!$B530=BB$2,'Atividades Micro'!$L530&lt;&gt;""),'Atividades Micro'!$L530,"")</f>
        <v/>
      </c>
      <c r="BC478" s="21" t="str">
        <f>IF(AND('Atividades Micro'!$B530=BC$2,'Atividades Micro'!$G530="Macro",'Atividades Micro'!$K530&lt;&gt;""),'Atividades Micro'!$K530,"")</f>
        <v/>
      </c>
      <c r="BD478" s="21" t="str">
        <f>IF(AND('Atividades Micro'!$B530=BD$2,'Atividades Micro'!$G530="Macro",'Atividades Micro'!$K530&lt;&gt;""),'Atividades Micro'!$K530,"")</f>
        <v/>
      </c>
      <c r="BE478" s="21" t="str">
        <f>IF(AND('Atividades Micro'!$B530=BE$2,'Atividades Micro'!$G530="Macro",'Atividades Micro'!$K530&lt;&gt;""),'Atividades Micro'!$K530,"")</f>
        <v/>
      </c>
      <c r="BF478" s="21" t="str">
        <f>IF(AND('Atividades Micro'!$B530=BF$2,'Atividades Micro'!$G530="Macro",'Atividades Micro'!$K530&lt;&gt;""),'Atividades Micro'!$K530,"")</f>
        <v/>
      </c>
      <c r="BG478" s="21" t="str">
        <f>IF(AND('Atividades Micro'!$B530=BG$2,'Atividades Micro'!$G530="Macro",'Atividades Micro'!$K530&lt;&gt;""),'Atividades Micro'!$K530,"")</f>
        <v/>
      </c>
      <c r="BH478" s="21" t="str">
        <f>IF(AND('Atividades Micro'!$B530=BH$2,'Atividades Micro'!$G530="Macro",'Atividades Micro'!$K530&lt;&gt;""),'Atividades Micro'!$K530,"")</f>
        <v/>
      </c>
      <c r="BI478" s="21" t="str">
        <f>IF(AND('Atividades Micro'!$B530=BI$2,'Atividades Micro'!$G530="Macro",'Atividades Micro'!$K530&lt;&gt;""),'Atividades Micro'!$K530,"")</f>
        <v/>
      </c>
      <c r="BJ478" s="21" t="str">
        <f>IF(AND('Atividades Micro'!$B530=BJ$2,'Atividades Micro'!$G530="Macro",'Atividades Micro'!$K530&lt;&gt;""),'Atividades Micro'!$K530,"")</f>
        <v/>
      </c>
      <c r="BK478" s="21" t="str">
        <f>IF(AND('Atividades Micro'!$B530=BK$2,'Atividades Micro'!$G530="Macro",'Atividades Micro'!$K530&lt;&gt;""),'Atividades Micro'!$K530,"")</f>
        <v/>
      </c>
      <c r="BL478" s="21" t="str">
        <f>IF(AND('Atividades Micro'!$B530=BL$2,'Atividades Micro'!$G530="Macro",'Atividades Micro'!$K530&lt;&gt;""),'Atividades Micro'!$K530,"")</f>
        <v/>
      </c>
      <c r="BM478" s="21" t="str">
        <f>IF(AND('Atividades Micro'!$B530=BM$2,'Atividades Micro'!$G530="Macro",'Atividades Micro'!$K530&lt;&gt;""),'Atividades Micro'!$K530,"")</f>
        <v/>
      </c>
      <c r="BN478" s="21" t="str">
        <f>IF(AND('Atividades Micro'!$B530=BN$2,'Atividades Micro'!$G530="Macro",'Atividades Micro'!$K530&lt;&gt;""),'Atividades Micro'!$K530,"")</f>
        <v/>
      </c>
      <c r="BO478" s="21" t="str">
        <f>IF(AND('Atividades Micro'!$B530=BO$2,'Atividades Micro'!$G530="Macro",'Atividades Micro'!$K530&lt;&gt;""),'Atividades Micro'!$K530,"")</f>
        <v/>
      </c>
      <c r="BP478" s="21" t="str">
        <f>IF(AND('Atividades Micro'!$B530=BP$2,'Atividades Micro'!$G530="Macro",'Atividades Micro'!$K530&lt;&gt;""),'Atividades Micro'!$K530,"")</f>
        <v/>
      </c>
      <c r="BQ478" s="21" t="str">
        <f>IF(AND('Atividades Micro'!$B530=BQ$2,'Atividades Micro'!$G530="Macro",'Atividades Micro'!$K530&lt;&gt;""),'Atividades Micro'!$K530,"")</f>
        <v/>
      </c>
      <c r="BR478" s="21" t="str">
        <f>IF(AND('Atividades Micro'!$B530=BR$2,'Atividades Micro'!$G530="Macro",'Atividades Micro'!$K530&lt;&gt;""),'Atividades Micro'!$K530,"")</f>
        <v/>
      </c>
      <c r="BS478" s="21" t="str">
        <f>IF(AND('Atividades Micro'!$B530=BS$2,'Atividades Micro'!$G530="Macro",'Atividades Micro'!$K530&lt;&gt;""),'Atividades Micro'!$K530,"")</f>
        <v/>
      </c>
      <c r="BT478" s="21" t="str">
        <f>IF(AND('Atividades Micro'!$B530=BT$2,'Atividades Micro'!$G530="Macro",'Atividades Micro'!$K530&lt;&gt;""),'Atividades Micro'!$K530,"")</f>
        <v/>
      </c>
      <c r="BU478" s="21" t="str">
        <f>IF(AND('Atividades Micro'!$B530=BU$2,'Atividades Micro'!$G530="Macro",'Atividades Micro'!$K530&lt;&gt;""),'Atividades Micro'!$K530,"")</f>
        <v/>
      </c>
      <c r="BV478" s="21" t="str">
        <f>IF(AND('Atividades Micro'!$B530=BV$2,'Atividades Micro'!$G530="Macro",'Atividades Micro'!$K530&lt;&gt;""),'Atividades Micro'!$K530,"")</f>
        <v/>
      </c>
      <c r="BW478" s="21" t="str">
        <f>IF(AND('Atividades Micro'!$B530=BW$2,'Atividades Micro'!$G530="Macro",'Atividades Micro'!$K530&lt;&gt;""),'Atividades Micro'!$K530,"")</f>
        <v/>
      </c>
      <c r="BX478" s="21" t="str">
        <f>IF(AND('Atividades Micro'!$B530=BX$2,'Atividades Micro'!$G530="Macro",'Atividades Micro'!$K530&lt;&gt;""),'Atividades Micro'!$K530,"")</f>
        <v/>
      </c>
      <c r="BY478" s="21" t="str">
        <f>IF(AND('Atividades Micro'!$B530=BY$2,'Atividades Micro'!$G530="Macro",'Atividades Micro'!$K530&lt;&gt;""),'Atividades Micro'!$K530,"")</f>
        <v/>
      </c>
      <c r="BZ478" s="21" t="str">
        <f>IF(AND('Atividades Micro'!$B530=BZ$2,'Atividades Micro'!$G530="Macro",'Atividades Micro'!$K530&lt;&gt;""),'Atividades Micro'!$K530,"")</f>
        <v/>
      </c>
      <c r="CA478" s="21" t="str">
        <f>IF(AND('Atividades Micro'!$B530=CA$2,'Atividades Micro'!$G530="Macro",'Atividades Micro'!$K530&lt;&gt;""),'Atividades Micro'!$K530,"")</f>
        <v/>
      </c>
      <c r="CB478" s="21" t="str">
        <f>IF(AND('Atividades Micro'!$B530=CB$2,'Atividades Micro'!$G530="Macro",'Atividades Micro'!$K530&lt;&gt;""),'Atividades Micro'!$K530,"")</f>
        <v/>
      </c>
      <c r="CC478" s="21" t="str">
        <f>IF(AND('Atividades Micro'!$B530=CC$2,'Atividades Micro'!$G530="Macro",'Atividades Micro'!$K530&lt;&gt;""),'Atividades Micro'!$K530,"")</f>
        <v/>
      </c>
      <c r="CD478" s="21" t="str">
        <f>IF(AND('Atividades Micro'!$B530=CD$2,'Atividades Micro'!$G530="Micro",'Atividades Micro'!$K530&lt;&gt;""),'Atividades Micro'!$K530,"")</f>
        <v/>
      </c>
      <c r="CE478" s="21" t="str">
        <f>IF(AND('Atividades Micro'!$B530=CE$2,'Atividades Micro'!$G530="Micro",'Atividades Micro'!$K530&lt;&gt;""),'Atividades Micro'!$K530,"")</f>
        <v/>
      </c>
      <c r="CF478" s="21" t="str">
        <f>IF(AND('Atividades Micro'!$B530=CF$2,'Atividades Micro'!$G530="Micro",'Atividades Micro'!$K530&lt;&gt;""),'Atividades Micro'!$K530,"")</f>
        <v/>
      </c>
      <c r="CG478" s="21" t="str">
        <f>IF(AND('Atividades Micro'!$B530=CG$2,'Atividades Micro'!$G530="Micro",'Atividades Micro'!$K530&lt;&gt;""),'Atividades Micro'!$K530,"")</f>
        <v/>
      </c>
      <c r="CH478" s="21" t="str">
        <f>IF(AND('Atividades Micro'!$B530=CH$2,'Atividades Micro'!$G530="Micro",'Atividades Micro'!$K530&lt;&gt;""),'Atividades Micro'!$K530,"")</f>
        <v/>
      </c>
      <c r="CI478" s="21" t="str">
        <f>IF(AND('Atividades Micro'!$B530=CI$2,'Atividades Micro'!$G530="Micro",'Atividades Micro'!$K530&lt;&gt;""),'Atividades Micro'!$K530,"")</f>
        <v/>
      </c>
      <c r="CJ478" s="21" t="str">
        <f>IF(AND('Atividades Micro'!$B530=CJ$2,'Atividades Micro'!$G530="Micro",'Atividades Micro'!$K530&lt;&gt;""),'Atividades Micro'!$K530,"")</f>
        <v/>
      </c>
      <c r="CK478" s="21" t="str">
        <f>IF(AND('Atividades Micro'!$B530=CK$2,'Atividades Micro'!$G530="Micro",'Atividades Micro'!$K530&lt;&gt;""),'Atividades Micro'!$K530,"")</f>
        <v/>
      </c>
      <c r="CL478" s="21" t="str">
        <f>IF(AND('Atividades Micro'!$B530=CL$2,'Atividades Micro'!$G530="Micro",'Atividades Micro'!$K530&lt;&gt;""),'Atividades Micro'!$K530,"")</f>
        <v/>
      </c>
      <c r="CM478" s="21" t="str">
        <f>IF(AND('Atividades Micro'!$B530=CM$2,'Atividades Micro'!$G530="Micro",'Atividades Micro'!$K530&lt;&gt;""),'Atividades Micro'!$K530,"")</f>
        <v/>
      </c>
      <c r="CN478" s="21" t="str">
        <f>IF(AND('Atividades Micro'!$B530=CN$2,'Atividades Micro'!$G530="Micro",'Atividades Micro'!$K530&lt;&gt;""),'Atividades Micro'!$K530,"")</f>
        <v/>
      </c>
      <c r="CO478" s="21" t="str">
        <f>IF(AND('Atividades Micro'!$B530=CO$2,'Atividades Micro'!$G530="Micro",'Atividades Micro'!$K530&lt;&gt;""),'Atividades Micro'!$K530,"")</f>
        <v/>
      </c>
    </row>
    <row r="479" spans="1:93">
      <c r="A479" s="21" t="str">
        <f>IF(AND('Atividades Micro'!$A531=A$2,'Atividades Micro'!$K531&lt;&gt;""),'Atividades Micro'!$K531,"")</f>
        <v/>
      </c>
      <c r="B479" s="21" t="str">
        <f>IF(AND('Atividades Micro'!$A531=B$2,'Atividades Micro'!$L531&lt;&gt;""),'Atividades Micro'!$L531,"")</f>
        <v/>
      </c>
      <c r="C479" s="21" t="str">
        <f>IF(AND('Atividades Micro'!$A531=C$2,'Atividades Micro'!$K531&lt;&gt;""),'Atividades Micro'!$K531,"")</f>
        <v/>
      </c>
      <c r="D479" s="21" t="str">
        <f>IF(AND('Atividades Micro'!$A531=D$2,'Atividades Micro'!$L531&lt;&gt;""),'Atividades Micro'!$L531,"")</f>
        <v/>
      </c>
      <c r="E479" s="21" t="str">
        <f>IF(AND('Atividades Micro'!$A531=E$2,'Atividades Micro'!$K531&lt;&gt;""),'Atividades Micro'!$K531,"")</f>
        <v/>
      </c>
      <c r="F479" s="21" t="str">
        <f>IF(AND('Atividades Micro'!$A531=F$2,'Atividades Micro'!$L531&lt;&gt;""),'Atividades Micro'!$L531,"")</f>
        <v/>
      </c>
      <c r="G479" s="21" t="str">
        <f>IF(AND('Atividades Micro'!$A531=G$2,'Atividades Micro'!$K531&lt;&gt;""),'Atividades Micro'!$K531,"")</f>
        <v/>
      </c>
      <c r="H479" s="21" t="str">
        <f>IF(AND('Atividades Micro'!$A531=H$2,'Atividades Micro'!$L531&lt;&gt;""),'Atividades Micro'!$L531,"")</f>
        <v/>
      </c>
      <c r="I479" s="21" t="str">
        <f>IF(AND('Atividades Micro'!$A531=I$2,'Atividades Micro'!$K531&lt;&gt;""),'Atividades Micro'!$K531,"")</f>
        <v/>
      </c>
      <c r="J479" s="21" t="str">
        <f>IF(AND('Atividades Micro'!$A531=J$2,'Atividades Micro'!$L531&lt;&gt;""),'Atividades Micro'!$L531,"")</f>
        <v/>
      </c>
      <c r="K479" s="21" t="str">
        <f>IF(AND('Atividades Micro'!$B531=K$2,'Atividades Micro'!$K531&lt;&gt;""),'Atividades Micro'!$K531,"")</f>
        <v/>
      </c>
      <c r="L479" s="21" t="str">
        <f>IF(AND('Atividades Micro'!$B531=L$2,'Atividades Micro'!$L531&lt;&gt;""),'Atividades Micro'!$L531,"")</f>
        <v/>
      </c>
      <c r="M479" s="21" t="str">
        <f>IF(AND('Atividades Micro'!$B531=M$2,'Atividades Micro'!$K531&lt;&gt;""),'Atividades Micro'!$K531,"")</f>
        <v/>
      </c>
      <c r="N479" s="21" t="str">
        <f>IF(AND('Atividades Micro'!$B531=N$2,'Atividades Micro'!$L531&lt;&gt;""),'Atividades Micro'!$L531,"")</f>
        <v/>
      </c>
      <c r="O479" s="21" t="str">
        <f>IF(AND('Atividades Micro'!$A531=O$2,'Atividades Micro'!$K531&lt;&gt;""),'Atividades Micro'!$K531,"")</f>
        <v/>
      </c>
      <c r="P479" s="21" t="str">
        <f>IF(AND('Atividades Micro'!$A531=P$2,'Atividades Micro'!$L531&lt;&gt;""),'Atividades Micro'!$L531,"")</f>
        <v/>
      </c>
      <c r="Q479" s="21" t="str">
        <f>IF(AND('Atividades Micro'!$B531=Q$2,'Atividades Micro'!$K531&lt;&gt;""),'Atividades Micro'!$K531,"")</f>
        <v/>
      </c>
      <c r="R479" s="21" t="str">
        <f>IF(AND('Atividades Micro'!$B531=R$2,'Atividades Micro'!$L531&lt;&gt;""),'Atividades Micro'!$L531,"")</f>
        <v/>
      </c>
      <c r="S479" s="21" t="str">
        <f>IF(AND('Atividades Micro'!$A531=S$2,'Atividades Micro'!$K531&lt;&gt;""),'Atividades Micro'!$K531,"")</f>
        <v/>
      </c>
      <c r="T479" s="21" t="str">
        <f>IF(AND('Atividades Micro'!$A531=T$2,'Atividades Micro'!$L531&lt;&gt;""),'Atividades Micro'!$L531,"")</f>
        <v/>
      </c>
      <c r="U479" s="21" t="str">
        <f>IF(AND('Atividades Micro'!$B531=U$2,'Atividades Micro'!$K531&lt;&gt;""),'Atividades Micro'!$K531,"")</f>
        <v/>
      </c>
      <c r="V479" s="21" t="str">
        <f>IF(AND('Atividades Micro'!$B531=V$2,'Atividades Micro'!$L531&lt;&gt;""),'Atividades Micro'!$L531,"")</f>
        <v/>
      </c>
      <c r="W479" s="21" t="str">
        <f>IF(AND('Atividades Micro'!$B531=W$2,'Atividades Micro'!$K531&lt;&gt;""),'Atividades Micro'!$K531,"")</f>
        <v/>
      </c>
      <c r="X479" s="21" t="str">
        <f>IF(AND('Atividades Micro'!$B531=X$2,'Atividades Micro'!$L531&lt;&gt;""),'Atividades Micro'!$L531,"")</f>
        <v/>
      </c>
      <c r="Y479" s="21" t="str">
        <f>IF(AND('Atividades Micro'!$A531=Y$2,'Atividades Micro'!$K531&lt;&gt;""),'Atividades Micro'!$K531,"")</f>
        <v/>
      </c>
      <c r="Z479" s="21" t="str">
        <f>IF(AND('Atividades Micro'!$A531=Z$2,'Atividades Micro'!$L531&lt;&gt;""),'Atividades Micro'!$L531,"")</f>
        <v/>
      </c>
      <c r="AA479" s="21" t="str">
        <f>IF(AND('Atividades Micro'!$B531=AA$2,'Atividades Micro'!$K531&lt;&gt;""),'Atividades Micro'!$K531,"")</f>
        <v/>
      </c>
      <c r="AB479" s="21" t="str">
        <f>IF(AND('Atividades Micro'!$B531=AB$2,'Atividades Micro'!$L531&lt;&gt;""),'Atividades Micro'!$L531,"")</f>
        <v/>
      </c>
      <c r="AC479" s="21" t="str">
        <f>IF(AND('Atividades Micro'!$B531=AC$2,'Atividades Micro'!$K531&lt;&gt;""),'Atividades Micro'!$K531,"")</f>
        <v/>
      </c>
      <c r="AD479" s="21" t="str">
        <f>IF(AND('Atividades Micro'!$B531=AD$2,'Atividades Micro'!$L531&lt;&gt;""),'Atividades Micro'!$L531,"")</f>
        <v/>
      </c>
      <c r="AE479" s="21" t="str">
        <f>IF(AND('Atividades Micro'!$A531=AE$2,'Atividades Micro'!$K531&lt;&gt;""),'Atividades Micro'!$K531,"")</f>
        <v/>
      </c>
      <c r="AF479" s="21" t="str">
        <f>IF(AND('Atividades Micro'!$A531=AF$2,'Atividades Micro'!$L531&lt;&gt;""),'Atividades Micro'!$L531,"")</f>
        <v/>
      </c>
      <c r="AG479" s="21" t="str">
        <f>IF(AND('Atividades Micro'!$B531=AG$2,'Atividades Micro'!$K531&lt;&gt;""),'Atividades Micro'!$K531,"")</f>
        <v/>
      </c>
      <c r="AH479" s="21" t="str">
        <f>IF(AND('Atividades Micro'!$B531=AH$2,'Atividades Micro'!$L531&lt;&gt;""),'Atividades Micro'!$L531,"")</f>
        <v/>
      </c>
      <c r="AI479" s="21" t="str">
        <f>IF(AND('Atividades Micro'!$B531=AI$2,'Atividades Micro'!$K531&lt;&gt;""),'Atividades Micro'!$K531,"")</f>
        <v/>
      </c>
      <c r="AJ479" s="21" t="str">
        <f>IF(AND('Atividades Micro'!$B531=AJ$2,'Atividades Micro'!$L531&lt;&gt;""),'Atividades Micro'!$L531,"")</f>
        <v/>
      </c>
      <c r="AK479" s="21" t="str">
        <f>IF(AND('Atividades Micro'!$A531=AK$2,'Atividades Micro'!$K531&lt;&gt;""),'Atividades Micro'!$K531,"")</f>
        <v/>
      </c>
      <c r="AL479" s="21" t="str">
        <f>IF(AND('Atividades Micro'!$A531=AL$2,'Atividades Micro'!$L531&lt;&gt;""),'Atividades Micro'!$L531,"")</f>
        <v/>
      </c>
      <c r="AM479" s="21" t="str">
        <f>IF(AND('Atividades Micro'!$B531=AM$2,'Atividades Micro'!$K531&lt;&gt;""),'Atividades Micro'!$K531,"")</f>
        <v/>
      </c>
      <c r="AN479" s="21" t="str">
        <f>IF(AND('Atividades Micro'!$B531=AN$2,'Atividades Micro'!$L531&lt;&gt;""),'Atividades Micro'!$L531,"")</f>
        <v/>
      </c>
      <c r="AO479" s="21" t="str">
        <f>IF(AND('Atividades Micro'!$B531=AO$2,'Atividades Micro'!$K531&lt;&gt;""),'Atividades Micro'!$K531,"")</f>
        <v/>
      </c>
      <c r="AP479" s="21" t="str">
        <f>IF(AND('Atividades Micro'!$B531=AP$2,'Atividades Micro'!$L531&lt;&gt;""),'Atividades Micro'!$L531,"")</f>
        <v/>
      </c>
      <c r="AQ479" s="21" t="str">
        <f>IF(AND('Atividades Micro'!$A531=AQ$2,'Atividades Micro'!$K531&lt;&gt;""),'Atividades Micro'!$K531,"")</f>
        <v/>
      </c>
      <c r="AR479" s="21" t="str">
        <f>IF(AND('Atividades Micro'!$A531=AR$2,'Atividades Micro'!$L531&lt;&gt;""),'Atividades Micro'!$L531,"")</f>
        <v/>
      </c>
      <c r="AS479" s="21" t="str">
        <f>IF(AND('Atividades Micro'!$B531=AS$2,'Atividades Micro'!$K531&lt;&gt;""),'Atividades Micro'!$K531,"")</f>
        <v/>
      </c>
      <c r="AT479" s="21" t="str">
        <f>IF(AND('Atividades Micro'!$B531=AT$2,'Atividades Micro'!$L531&lt;&gt;""),'Atividades Micro'!$L531,"")</f>
        <v/>
      </c>
      <c r="AU479" s="21" t="str">
        <f>IF(AND('Atividades Micro'!$A531=AU$2,'Atividades Micro'!$K531&lt;&gt;""),'Atividades Micro'!$K531,"")</f>
        <v/>
      </c>
      <c r="AV479" s="21" t="str">
        <f>IF(AND('Atividades Micro'!$A531=AV$2,'Atividades Micro'!$L531&lt;&gt;""),'Atividades Micro'!$L531,"")</f>
        <v/>
      </c>
      <c r="AW479" s="21" t="str">
        <f>IF(AND('Atividades Micro'!$B531=AW$2,'Atividades Micro'!$K531&lt;&gt;""),'Atividades Micro'!$K531,"")</f>
        <v/>
      </c>
      <c r="AX479" s="21" t="str">
        <f>IF(AND('Atividades Micro'!$B531=AX$2,'Atividades Micro'!$L531&lt;&gt;""),'Atividades Micro'!$L531,"")</f>
        <v/>
      </c>
      <c r="AY479" s="21" t="str">
        <f>IF(AND('Atividades Micro'!$A531=AY$2,'Atividades Micro'!$K531&lt;&gt;""),'Atividades Micro'!$K531,"")</f>
        <v/>
      </c>
      <c r="AZ479" s="21" t="str">
        <f>IF(AND('Atividades Micro'!$A531=AZ$2,'Atividades Micro'!$L531&lt;&gt;""),'Atividades Micro'!$L531,"")</f>
        <v/>
      </c>
      <c r="BA479" s="21" t="str">
        <f>IF(AND('Atividades Micro'!$B531=BA$2,'Atividades Micro'!$K531&lt;&gt;""),'Atividades Micro'!$K531,"")</f>
        <v/>
      </c>
      <c r="BB479" s="21" t="str">
        <f>IF(AND('Atividades Micro'!$B531=BB$2,'Atividades Micro'!$L531&lt;&gt;""),'Atividades Micro'!$L531,"")</f>
        <v/>
      </c>
      <c r="BC479" s="21" t="str">
        <f>IF(AND('Atividades Micro'!$B531=BC$2,'Atividades Micro'!$G531="Macro",'Atividades Micro'!$K531&lt;&gt;""),'Atividades Micro'!$K531,"")</f>
        <v/>
      </c>
      <c r="BD479" s="21" t="str">
        <f>IF(AND('Atividades Micro'!$B531=BD$2,'Atividades Micro'!$G531="Macro",'Atividades Micro'!$K531&lt;&gt;""),'Atividades Micro'!$K531,"")</f>
        <v/>
      </c>
      <c r="BE479" s="21" t="str">
        <f>IF(AND('Atividades Micro'!$B531=BE$2,'Atividades Micro'!$G531="Macro",'Atividades Micro'!$K531&lt;&gt;""),'Atividades Micro'!$K531,"")</f>
        <v/>
      </c>
      <c r="BF479" s="21" t="str">
        <f>IF(AND('Atividades Micro'!$B531=BF$2,'Atividades Micro'!$G531="Macro",'Atividades Micro'!$K531&lt;&gt;""),'Atividades Micro'!$K531,"")</f>
        <v/>
      </c>
      <c r="BG479" s="21" t="str">
        <f>IF(AND('Atividades Micro'!$B531=BG$2,'Atividades Micro'!$G531="Macro",'Atividades Micro'!$K531&lt;&gt;""),'Atividades Micro'!$K531,"")</f>
        <v/>
      </c>
      <c r="BH479" s="21" t="str">
        <f>IF(AND('Atividades Micro'!$B531=BH$2,'Atividades Micro'!$G531="Macro",'Atividades Micro'!$K531&lt;&gt;""),'Atividades Micro'!$K531,"")</f>
        <v/>
      </c>
      <c r="BI479" s="21" t="str">
        <f>IF(AND('Atividades Micro'!$B531=BI$2,'Atividades Micro'!$G531="Macro",'Atividades Micro'!$K531&lt;&gt;""),'Atividades Micro'!$K531,"")</f>
        <v/>
      </c>
      <c r="BJ479" s="21" t="str">
        <f>IF(AND('Atividades Micro'!$B531=BJ$2,'Atividades Micro'!$G531="Macro",'Atividades Micro'!$K531&lt;&gt;""),'Atividades Micro'!$K531,"")</f>
        <v/>
      </c>
      <c r="BK479" s="21" t="str">
        <f>IF(AND('Atividades Micro'!$B531=BK$2,'Atividades Micro'!$G531="Macro",'Atividades Micro'!$K531&lt;&gt;""),'Atividades Micro'!$K531,"")</f>
        <v/>
      </c>
      <c r="BL479" s="21" t="str">
        <f>IF(AND('Atividades Micro'!$B531=BL$2,'Atividades Micro'!$G531="Macro",'Atividades Micro'!$K531&lt;&gt;""),'Atividades Micro'!$K531,"")</f>
        <v/>
      </c>
      <c r="BM479" s="21" t="str">
        <f>IF(AND('Atividades Micro'!$B531=BM$2,'Atividades Micro'!$G531="Macro",'Atividades Micro'!$K531&lt;&gt;""),'Atividades Micro'!$K531,"")</f>
        <v/>
      </c>
      <c r="BN479" s="21" t="str">
        <f>IF(AND('Atividades Micro'!$B531=BN$2,'Atividades Micro'!$G531="Macro",'Atividades Micro'!$K531&lt;&gt;""),'Atividades Micro'!$K531,"")</f>
        <v/>
      </c>
      <c r="BO479" s="21" t="str">
        <f>IF(AND('Atividades Micro'!$B531=BO$2,'Atividades Micro'!$G531="Macro",'Atividades Micro'!$K531&lt;&gt;""),'Atividades Micro'!$K531,"")</f>
        <v/>
      </c>
      <c r="BP479" s="21" t="str">
        <f>IF(AND('Atividades Micro'!$B531=BP$2,'Atividades Micro'!$G531="Macro",'Atividades Micro'!$K531&lt;&gt;""),'Atividades Micro'!$K531,"")</f>
        <v/>
      </c>
      <c r="BQ479" s="21" t="str">
        <f>IF(AND('Atividades Micro'!$B531=BQ$2,'Atividades Micro'!$G531="Macro",'Atividades Micro'!$K531&lt;&gt;""),'Atividades Micro'!$K531,"")</f>
        <v/>
      </c>
      <c r="BR479" s="21" t="str">
        <f>IF(AND('Atividades Micro'!$B531=BR$2,'Atividades Micro'!$G531="Macro",'Atividades Micro'!$K531&lt;&gt;""),'Atividades Micro'!$K531,"")</f>
        <v/>
      </c>
      <c r="BS479" s="21" t="str">
        <f>IF(AND('Atividades Micro'!$B531=BS$2,'Atividades Micro'!$G531="Macro",'Atividades Micro'!$K531&lt;&gt;""),'Atividades Micro'!$K531,"")</f>
        <v/>
      </c>
      <c r="BT479" s="21" t="str">
        <f>IF(AND('Atividades Micro'!$B531=BT$2,'Atividades Micro'!$G531="Macro",'Atividades Micro'!$K531&lt;&gt;""),'Atividades Micro'!$K531,"")</f>
        <v/>
      </c>
      <c r="BU479" s="21" t="str">
        <f>IF(AND('Atividades Micro'!$B531=BU$2,'Atividades Micro'!$G531="Macro",'Atividades Micro'!$K531&lt;&gt;""),'Atividades Micro'!$K531,"")</f>
        <v/>
      </c>
      <c r="BV479" s="21" t="str">
        <f>IF(AND('Atividades Micro'!$B531=BV$2,'Atividades Micro'!$G531="Macro",'Atividades Micro'!$K531&lt;&gt;""),'Atividades Micro'!$K531,"")</f>
        <v/>
      </c>
      <c r="BW479" s="21" t="str">
        <f>IF(AND('Atividades Micro'!$B531=BW$2,'Atividades Micro'!$G531="Macro",'Atividades Micro'!$K531&lt;&gt;""),'Atividades Micro'!$K531,"")</f>
        <v/>
      </c>
      <c r="BX479" s="21" t="str">
        <f>IF(AND('Atividades Micro'!$B531=BX$2,'Atividades Micro'!$G531="Macro",'Atividades Micro'!$K531&lt;&gt;""),'Atividades Micro'!$K531,"")</f>
        <v/>
      </c>
      <c r="BY479" s="21" t="str">
        <f>IF(AND('Atividades Micro'!$B531=BY$2,'Atividades Micro'!$G531="Macro",'Atividades Micro'!$K531&lt;&gt;""),'Atividades Micro'!$K531,"")</f>
        <v/>
      </c>
      <c r="BZ479" s="21" t="str">
        <f>IF(AND('Atividades Micro'!$B531=BZ$2,'Atividades Micro'!$G531="Macro",'Atividades Micro'!$K531&lt;&gt;""),'Atividades Micro'!$K531,"")</f>
        <v/>
      </c>
      <c r="CA479" s="21" t="str">
        <f>IF(AND('Atividades Micro'!$B531=CA$2,'Atividades Micro'!$G531="Macro",'Atividades Micro'!$K531&lt;&gt;""),'Atividades Micro'!$K531,"")</f>
        <v/>
      </c>
      <c r="CB479" s="21" t="str">
        <f>IF(AND('Atividades Micro'!$B531=CB$2,'Atividades Micro'!$G531="Macro",'Atividades Micro'!$K531&lt;&gt;""),'Atividades Micro'!$K531,"")</f>
        <v/>
      </c>
      <c r="CC479" s="21" t="str">
        <f>IF(AND('Atividades Micro'!$B531=CC$2,'Atividades Micro'!$G531="Macro",'Atividades Micro'!$K531&lt;&gt;""),'Atividades Micro'!$K531,"")</f>
        <v/>
      </c>
      <c r="CD479" s="21" t="str">
        <f>IF(AND('Atividades Micro'!$B531=CD$2,'Atividades Micro'!$G531="Micro",'Atividades Micro'!$K531&lt;&gt;""),'Atividades Micro'!$K531,"")</f>
        <v/>
      </c>
      <c r="CE479" s="21" t="str">
        <f>IF(AND('Atividades Micro'!$B531=CE$2,'Atividades Micro'!$G531="Micro",'Atividades Micro'!$K531&lt;&gt;""),'Atividades Micro'!$K531,"")</f>
        <v/>
      </c>
      <c r="CF479" s="21" t="str">
        <f>IF(AND('Atividades Micro'!$B531=CF$2,'Atividades Micro'!$G531="Micro",'Atividades Micro'!$K531&lt;&gt;""),'Atividades Micro'!$K531,"")</f>
        <v/>
      </c>
      <c r="CG479" s="21" t="str">
        <f>IF(AND('Atividades Micro'!$B531=CG$2,'Atividades Micro'!$G531="Micro",'Atividades Micro'!$K531&lt;&gt;""),'Atividades Micro'!$K531,"")</f>
        <v/>
      </c>
      <c r="CH479" s="21" t="str">
        <f>IF(AND('Atividades Micro'!$B531=CH$2,'Atividades Micro'!$G531="Micro",'Atividades Micro'!$K531&lt;&gt;""),'Atividades Micro'!$K531,"")</f>
        <v/>
      </c>
      <c r="CI479" s="21" t="str">
        <f>IF(AND('Atividades Micro'!$B531=CI$2,'Atividades Micro'!$G531="Micro",'Atividades Micro'!$K531&lt;&gt;""),'Atividades Micro'!$K531,"")</f>
        <v/>
      </c>
      <c r="CJ479" s="21" t="str">
        <f>IF(AND('Atividades Micro'!$B531=CJ$2,'Atividades Micro'!$G531="Micro",'Atividades Micro'!$K531&lt;&gt;""),'Atividades Micro'!$K531,"")</f>
        <v/>
      </c>
      <c r="CK479" s="21" t="str">
        <f>IF(AND('Atividades Micro'!$B531=CK$2,'Atividades Micro'!$G531="Micro",'Atividades Micro'!$K531&lt;&gt;""),'Atividades Micro'!$K531,"")</f>
        <v/>
      </c>
      <c r="CL479" s="21" t="str">
        <f>IF(AND('Atividades Micro'!$B531=CL$2,'Atividades Micro'!$G531="Micro",'Atividades Micro'!$K531&lt;&gt;""),'Atividades Micro'!$K531,"")</f>
        <v/>
      </c>
      <c r="CM479" s="21" t="str">
        <f>IF(AND('Atividades Micro'!$B531=CM$2,'Atividades Micro'!$G531="Micro",'Atividades Micro'!$K531&lt;&gt;""),'Atividades Micro'!$K531,"")</f>
        <v/>
      </c>
      <c r="CN479" s="21" t="str">
        <f>IF(AND('Atividades Micro'!$B531=CN$2,'Atividades Micro'!$G531="Micro",'Atividades Micro'!$K531&lt;&gt;""),'Atividades Micro'!$K531,"")</f>
        <v/>
      </c>
      <c r="CO479" s="21" t="str">
        <f>IF(AND('Atividades Micro'!$B531=CO$2,'Atividades Micro'!$G531="Micro",'Atividades Micro'!$K531&lt;&gt;""),'Atividades Micro'!$K531,"")</f>
        <v/>
      </c>
    </row>
    <row r="480" spans="1:93">
      <c r="A480" s="21" t="str">
        <f>IF(AND('Atividades Micro'!$A532=A$2,'Atividades Micro'!$K532&lt;&gt;""),'Atividades Micro'!$K532,"")</f>
        <v/>
      </c>
      <c r="B480" s="21" t="str">
        <f>IF(AND('Atividades Micro'!$A532=B$2,'Atividades Micro'!$L532&lt;&gt;""),'Atividades Micro'!$L532,"")</f>
        <v/>
      </c>
      <c r="C480" s="21" t="str">
        <f>IF(AND('Atividades Micro'!$A532=C$2,'Atividades Micro'!$K532&lt;&gt;""),'Atividades Micro'!$K532,"")</f>
        <v/>
      </c>
      <c r="D480" s="21" t="str">
        <f>IF(AND('Atividades Micro'!$A532=D$2,'Atividades Micro'!$L532&lt;&gt;""),'Atividades Micro'!$L532,"")</f>
        <v/>
      </c>
      <c r="E480" s="21" t="str">
        <f>IF(AND('Atividades Micro'!$A532=E$2,'Atividades Micro'!$K532&lt;&gt;""),'Atividades Micro'!$K532,"")</f>
        <v/>
      </c>
      <c r="F480" s="21" t="str">
        <f>IF(AND('Atividades Micro'!$A532=F$2,'Atividades Micro'!$L532&lt;&gt;""),'Atividades Micro'!$L532,"")</f>
        <v/>
      </c>
      <c r="G480" s="21" t="str">
        <f>IF(AND('Atividades Micro'!$A532=G$2,'Atividades Micro'!$K532&lt;&gt;""),'Atividades Micro'!$K532,"")</f>
        <v/>
      </c>
      <c r="H480" s="21" t="str">
        <f>IF(AND('Atividades Micro'!$A532=H$2,'Atividades Micro'!$L532&lt;&gt;""),'Atividades Micro'!$L532,"")</f>
        <v/>
      </c>
      <c r="I480" s="21" t="str">
        <f>IF(AND('Atividades Micro'!$A532=I$2,'Atividades Micro'!$K532&lt;&gt;""),'Atividades Micro'!$K532,"")</f>
        <v/>
      </c>
      <c r="J480" s="21" t="str">
        <f>IF(AND('Atividades Micro'!$A532=J$2,'Atividades Micro'!$L532&lt;&gt;""),'Atividades Micro'!$L532,"")</f>
        <v/>
      </c>
      <c r="K480" s="21" t="str">
        <f>IF(AND('Atividades Micro'!$B532=K$2,'Atividades Micro'!$K532&lt;&gt;""),'Atividades Micro'!$K532,"")</f>
        <v/>
      </c>
      <c r="L480" s="21" t="str">
        <f>IF(AND('Atividades Micro'!$B532=L$2,'Atividades Micro'!$L532&lt;&gt;""),'Atividades Micro'!$L532,"")</f>
        <v/>
      </c>
      <c r="M480" s="21" t="str">
        <f>IF(AND('Atividades Micro'!$B532=M$2,'Atividades Micro'!$K532&lt;&gt;""),'Atividades Micro'!$K532,"")</f>
        <v/>
      </c>
      <c r="N480" s="21" t="str">
        <f>IF(AND('Atividades Micro'!$B532=N$2,'Atividades Micro'!$L532&lt;&gt;""),'Atividades Micro'!$L532,"")</f>
        <v/>
      </c>
      <c r="O480" s="21" t="str">
        <f>IF(AND('Atividades Micro'!$A532=O$2,'Atividades Micro'!$K532&lt;&gt;""),'Atividades Micro'!$K532,"")</f>
        <v/>
      </c>
      <c r="P480" s="21" t="str">
        <f>IF(AND('Atividades Micro'!$A532=P$2,'Atividades Micro'!$L532&lt;&gt;""),'Atividades Micro'!$L532,"")</f>
        <v/>
      </c>
      <c r="Q480" s="21" t="str">
        <f>IF(AND('Atividades Micro'!$B532=Q$2,'Atividades Micro'!$K532&lt;&gt;""),'Atividades Micro'!$K532,"")</f>
        <v/>
      </c>
      <c r="R480" s="21" t="str">
        <f>IF(AND('Atividades Micro'!$B532=R$2,'Atividades Micro'!$L532&lt;&gt;""),'Atividades Micro'!$L532,"")</f>
        <v/>
      </c>
      <c r="S480" s="21" t="str">
        <f>IF(AND('Atividades Micro'!$A532=S$2,'Atividades Micro'!$K532&lt;&gt;""),'Atividades Micro'!$K532,"")</f>
        <v/>
      </c>
      <c r="T480" s="21" t="str">
        <f>IF(AND('Atividades Micro'!$A532=T$2,'Atividades Micro'!$L532&lt;&gt;""),'Atividades Micro'!$L532,"")</f>
        <v/>
      </c>
      <c r="U480" s="21" t="str">
        <f>IF(AND('Atividades Micro'!$B532=U$2,'Atividades Micro'!$K532&lt;&gt;""),'Atividades Micro'!$K532,"")</f>
        <v/>
      </c>
      <c r="V480" s="21" t="str">
        <f>IF(AND('Atividades Micro'!$B532=V$2,'Atividades Micro'!$L532&lt;&gt;""),'Atividades Micro'!$L532,"")</f>
        <v/>
      </c>
      <c r="W480" s="21" t="str">
        <f>IF(AND('Atividades Micro'!$B532=W$2,'Atividades Micro'!$K532&lt;&gt;""),'Atividades Micro'!$K532,"")</f>
        <v/>
      </c>
      <c r="X480" s="21" t="str">
        <f>IF(AND('Atividades Micro'!$B532=X$2,'Atividades Micro'!$L532&lt;&gt;""),'Atividades Micro'!$L532,"")</f>
        <v/>
      </c>
      <c r="Y480" s="21" t="str">
        <f>IF(AND('Atividades Micro'!$A532=Y$2,'Atividades Micro'!$K532&lt;&gt;""),'Atividades Micro'!$K532,"")</f>
        <v/>
      </c>
      <c r="Z480" s="21" t="str">
        <f>IF(AND('Atividades Micro'!$A532=Z$2,'Atividades Micro'!$L532&lt;&gt;""),'Atividades Micro'!$L532,"")</f>
        <v/>
      </c>
      <c r="AA480" s="21" t="str">
        <f>IF(AND('Atividades Micro'!$B532=AA$2,'Atividades Micro'!$K532&lt;&gt;""),'Atividades Micro'!$K532,"")</f>
        <v/>
      </c>
      <c r="AB480" s="21" t="str">
        <f>IF(AND('Atividades Micro'!$B532=AB$2,'Atividades Micro'!$L532&lt;&gt;""),'Atividades Micro'!$L532,"")</f>
        <v/>
      </c>
      <c r="AC480" s="21" t="str">
        <f>IF(AND('Atividades Micro'!$B532=AC$2,'Atividades Micro'!$K532&lt;&gt;""),'Atividades Micro'!$K532,"")</f>
        <v/>
      </c>
      <c r="AD480" s="21" t="str">
        <f>IF(AND('Atividades Micro'!$B532=AD$2,'Atividades Micro'!$L532&lt;&gt;""),'Atividades Micro'!$L532,"")</f>
        <v/>
      </c>
      <c r="AE480" s="21" t="str">
        <f>IF(AND('Atividades Micro'!$A532=AE$2,'Atividades Micro'!$K532&lt;&gt;""),'Atividades Micro'!$K532,"")</f>
        <v/>
      </c>
      <c r="AF480" s="21" t="str">
        <f>IF(AND('Atividades Micro'!$A532=AF$2,'Atividades Micro'!$L532&lt;&gt;""),'Atividades Micro'!$L532,"")</f>
        <v/>
      </c>
      <c r="AG480" s="21" t="str">
        <f>IF(AND('Atividades Micro'!$B532=AG$2,'Atividades Micro'!$K532&lt;&gt;""),'Atividades Micro'!$K532,"")</f>
        <v/>
      </c>
      <c r="AH480" s="21" t="str">
        <f>IF(AND('Atividades Micro'!$B532=AH$2,'Atividades Micro'!$L532&lt;&gt;""),'Atividades Micro'!$L532,"")</f>
        <v/>
      </c>
      <c r="AI480" s="21" t="str">
        <f>IF(AND('Atividades Micro'!$B532=AI$2,'Atividades Micro'!$K532&lt;&gt;""),'Atividades Micro'!$K532,"")</f>
        <v/>
      </c>
      <c r="AJ480" s="21" t="str">
        <f>IF(AND('Atividades Micro'!$B532=AJ$2,'Atividades Micro'!$L532&lt;&gt;""),'Atividades Micro'!$L532,"")</f>
        <v/>
      </c>
      <c r="AK480" s="21" t="str">
        <f>IF(AND('Atividades Micro'!$A532=AK$2,'Atividades Micro'!$K532&lt;&gt;""),'Atividades Micro'!$K532,"")</f>
        <v/>
      </c>
      <c r="AL480" s="21" t="str">
        <f>IF(AND('Atividades Micro'!$A532=AL$2,'Atividades Micro'!$L532&lt;&gt;""),'Atividades Micro'!$L532,"")</f>
        <v/>
      </c>
      <c r="AM480" s="21" t="str">
        <f>IF(AND('Atividades Micro'!$B532=AM$2,'Atividades Micro'!$K532&lt;&gt;""),'Atividades Micro'!$K532,"")</f>
        <v/>
      </c>
      <c r="AN480" s="21" t="str">
        <f>IF(AND('Atividades Micro'!$B532=AN$2,'Atividades Micro'!$L532&lt;&gt;""),'Atividades Micro'!$L532,"")</f>
        <v/>
      </c>
      <c r="AO480" s="21" t="str">
        <f>IF(AND('Atividades Micro'!$B532=AO$2,'Atividades Micro'!$K532&lt;&gt;""),'Atividades Micro'!$K532,"")</f>
        <v/>
      </c>
      <c r="AP480" s="21" t="str">
        <f>IF(AND('Atividades Micro'!$B532=AP$2,'Atividades Micro'!$L532&lt;&gt;""),'Atividades Micro'!$L532,"")</f>
        <v/>
      </c>
      <c r="AQ480" s="21" t="str">
        <f>IF(AND('Atividades Micro'!$A532=AQ$2,'Atividades Micro'!$K532&lt;&gt;""),'Atividades Micro'!$K532,"")</f>
        <v/>
      </c>
      <c r="AR480" s="21" t="str">
        <f>IF(AND('Atividades Micro'!$A532=AR$2,'Atividades Micro'!$L532&lt;&gt;""),'Atividades Micro'!$L532,"")</f>
        <v/>
      </c>
      <c r="AS480" s="21" t="str">
        <f>IF(AND('Atividades Micro'!$B532=AS$2,'Atividades Micro'!$K532&lt;&gt;""),'Atividades Micro'!$K532,"")</f>
        <v/>
      </c>
      <c r="AT480" s="21" t="str">
        <f>IF(AND('Atividades Micro'!$B532=AT$2,'Atividades Micro'!$L532&lt;&gt;""),'Atividades Micro'!$L532,"")</f>
        <v/>
      </c>
      <c r="AU480" s="21" t="str">
        <f>IF(AND('Atividades Micro'!$A532=AU$2,'Atividades Micro'!$K532&lt;&gt;""),'Atividades Micro'!$K532,"")</f>
        <v/>
      </c>
      <c r="AV480" s="21" t="str">
        <f>IF(AND('Atividades Micro'!$A532=AV$2,'Atividades Micro'!$L532&lt;&gt;""),'Atividades Micro'!$L532,"")</f>
        <v/>
      </c>
      <c r="AW480" s="21" t="str">
        <f>IF(AND('Atividades Micro'!$B532=AW$2,'Atividades Micro'!$K532&lt;&gt;""),'Atividades Micro'!$K532,"")</f>
        <v/>
      </c>
      <c r="AX480" s="21" t="str">
        <f>IF(AND('Atividades Micro'!$B532=AX$2,'Atividades Micro'!$L532&lt;&gt;""),'Atividades Micro'!$L532,"")</f>
        <v/>
      </c>
      <c r="AY480" s="21" t="str">
        <f>IF(AND('Atividades Micro'!$A532=AY$2,'Atividades Micro'!$K532&lt;&gt;""),'Atividades Micro'!$K532,"")</f>
        <v/>
      </c>
      <c r="AZ480" s="21" t="str">
        <f>IF(AND('Atividades Micro'!$A532=AZ$2,'Atividades Micro'!$L532&lt;&gt;""),'Atividades Micro'!$L532,"")</f>
        <v/>
      </c>
      <c r="BA480" s="21" t="str">
        <f>IF(AND('Atividades Micro'!$B532=BA$2,'Atividades Micro'!$K532&lt;&gt;""),'Atividades Micro'!$K532,"")</f>
        <v/>
      </c>
      <c r="BB480" s="21" t="str">
        <f>IF(AND('Atividades Micro'!$B532=BB$2,'Atividades Micro'!$L532&lt;&gt;""),'Atividades Micro'!$L532,"")</f>
        <v/>
      </c>
      <c r="BC480" s="21" t="str">
        <f>IF(AND('Atividades Micro'!$B532=BC$2,'Atividades Micro'!$G532="Macro",'Atividades Micro'!$K532&lt;&gt;""),'Atividades Micro'!$K532,"")</f>
        <v/>
      </c>
      <c r="BD480" s="21" t="str">
        <f>IF(AND('Atividades Micro'!$B532=BD$2,'Atividades Micro'!$G532="Macro",'Atividades Micro'!$K532&lt;&gt;""),'Atividades Micro'!$K532,"")</f>
        <v/>
      </c>
      <c r="BE480" s="21" t="str">
        <f>IF(AND('Atividades Micro'!$B532=BE$2,'Atividades Micro'!$G532="Macro",'Atividades Micro'!$K532&lt;&gt;""),'Atividades Micro'!$K532,"")</f>
        <v/>
      </c>
      <c r="BF480" s="21" t="str">
        <f>IF(AND('Atividades Micro'!$B532=BF$2,'Atividades Micro'!$G532="Macro",'Atividades Micro'!$K532&lt;&gt;""),'Atividades Micro'!$K532,"")</f>
        <v/>
      </c>
      <c r="BG480" s="21" t="str">
        <f>IF(AND('Atividades Micro'!$B532=BG$2,'Atividades Micro'!$G532="Macro",'Atividades Micro'!$K532&lt;&gt;""),'Atividades Micro'!$K532,"")</f>
        <v/>
      </c>
      <c r="BH480" s="21" t="str">
        <f>IF(AND('Atividades Micro'!$B532=BH$2,'Atividades Micro'!$G532="Macro",'Atividades Micro'!$K532&lt;&gt;""),'Atividades Micro'!$K532,"")</f>
        <v/>
      </c>
      <c r="BI480" s="21" t="str">
        <f>IF(AND('Atividades Micro'!$B532=BI$2,'Atividades Micro'!$G532="Macro",'Atividades Micro'!$K532&lt;&gt;""),'Atividades Micro'!$K532,"")</f>
        <v/>
      </c>
      <c r="BJ480" s="21" t="str">
        <f>IF(AND('Atividades Micro'!$B532=BJ$2,'Atividades Micro'!$G532="Macro",'Atividades Micro'!$K532&lt;&gt;""),'Atividades Micro'!$K532,"")</f>
        <v/>
      </c>
      <c r="BK480" s="21" t="str">
        <f>IF(AND('Atividades Micro'!$B532=BK$2,'Atividades Micro'!$G532="Macro",'Atividades Micro'!$K532&lt;&gt;""),'Atividades Micro'!$K532,"")</f>
        <v/>
      </c>
      <c r="BL480" s="21" t="str">
        <f>IF(AND('Atividades Micro'!$B532=BL$2,'Atividades Micro'!$G532="Macro",'Atividades Micro'!$K532&lt;&gt;""),'Atividades Micro'!$K532,"")</f>
        <v/>
      </c>
      <c r="BM480" s="21" t="str">
        <f>IF(AND('Atividades Micro'!$B532=BM$2,'Atividades Micro'!$G532="Macro",'Atividades Micro'!$K532&lt;&gt;""),'Atividades Micro'!$K532,"")</f>
        <v/>
      </c>
      <c r="BN480" s="21" t="str">
        <f>IF(AND('Atividades Micro'!$B532=BN$2,'Atividades Micro'!$G532="Macro",'Atividades Micro'!$K532&lt;&gt;""),'Atividades Micro'!$K532,"")</f>
        <v/>
      </c>
      <c r="BO480" s="21" t="str">
        <f>IF(AND('Atividades Micro'!$B532=BO$2,'Atividades Micro'!$G532="Macro",'Atividades Micro'!$K532&lt;&gt;""),'Atividades Micro'!$K532,"")</f>
        <v/>
      </c>
      <c r="BP480" s="21" t="str">
        <f>IF(AND('Atividades Micro'!$B532=BP$2,'Atividades Micro'!$G532="Macro",'Atividades Micro'!$K532&lt;&gt;""),'Atividades Micro'!$K532,"")</f>
        <v/>
      </c>
      <c r="BQ480" s="21" t="str">
        <f>IF(AND('Atividades Micro'!$B532=BQ$2,'Atividades Micro'!$G532="Macro",'Atividades Micro'!$K532&lt;&gt;""),'Atividades Micro'!$K532,"")</f>
        <v/>
      </c>
      <c r="BR480" s="21" t="str">
        <f>IF(AND('Atividades Micro'!$B532=BR$2,'Atividades Micro'!$G532="Macro",'Atividades Micro'!$K532&lt;&gt;""),'Atividades Micro'!$K532,"")</f>
        <v/>
      </c>
      <c r="BS480" s="21" t="str">
        <f>IF(AND('Atividades Micro'!$B532=BS$2,'Atividades Micro'!$G532="Macro",'Atividades Micro'!$K532&lt;&gt;""),'Atividades Micro'!$K532,"")</f>
        <v/>
      </c>
      <c r="BT480" s="21" t="str">
        <f>IF(AND('Atividades Micro'!$B532=BT$2,'Atividades Micro'!$G532="Macro",'Atividades Micro'!$K532&lt;&gt;""),'Atividades Micro'!$K532,"")</f>
        <v/>
      </c>
      <c r="BU480" s="21" t="str">
        <f>IF(AND('Atividades Micro'!$B532=BU$2,'Atividades Micro'!$G532="Macro",'Atividades Micro'!$K532&lt;&gt;""),'Atividades Micro'!$K532,"")</f>
        <v/>
      </c>
      <c r="BV480" s="21" t="str">
        <f>IF(AND('Atividades Micro'!$B532=BV$2,'Atividades Micro'!$G532="Macro",'Atividades Micro'!$K532&lt;&gt;""),'Atividades Micro'!$K532,"")</f>
        <v/>
      </c>
      <c r="BW480" s="21" t="str">
        <f>IF(AND('Atividades Micro'!$B532=BW$2,'Atividades Micro'!$G532="Macro",'Atividades Micro'!$K532&lt;&gt;""),'Atividades Micro'!$K532,"")</f>
        <v/>
      </c>
      <c r="BX480" s="21" t="str">
        <f>IF(AND('Atividades Micro'!$B532=BX$2,'Atividades Micro'!$G532="Macro",'Atividades Micro'!$K532&lt;&gt;""),'Atividades Micro'!$K532,"")</f>
        <v/>
      </c>
      <c r="BY480" s="21" t="str">
        <f>IF(AND('Atividades Micro'!$B532=BY$2,'Atividades Micro'!$G532="Macro",'Atividades Micro'!$K532&lt;&gt;""),'Atividades Micro'!$K532,"")</f>
        <v/>
      </c>
      <c r="BZ480" s="21" t="str">
        <f>IF(AND('Atividades Micro'!$B532=BZ$2,'Atividades Micro'!$G532="Macro",'Atividades Micro'!$K532&lt;&gt;""),'Atividades Micro'!$K532,"")</f>
        <v/>
      </c>
      <c r="CA480" s="21" t="str">
        <f>IF(AND('Atividades Micro'!$B532=CA$2,'Atividades Micro'!$G532="Macro",'Atividades Micro'!$K532&lt;&gt;""),'Atividades Micro'!$K532,"")</f>
        <v/>
      </c>
      <c r="CB480" s="21" t="str">
        <f>IF(AND('Atividades Micro'!$B532=CB$2,'Atividades Micro'!$G532="Macro",'Atividades Micro'!$K532&lt;&gt;""),'Atividades Micro'!$K532,"")</f>
        <v/>
      </c>
      <c r="CC480" s="21" t="str">
        <f>IF(AND('Atividades Micro'!$B532=CC$2,'Atividades Micro'!$G532="Macro",'Atividades Micro'!$K532&lt;&gt;""),'Atividades Micro'!$K532,"")</f>
        <v/>
      </c>
      <c r="CD480" s="21" t="str">
        <f>IF(AND('Atividades Micro'!$B532=CD$2,'Atividades Micro'!$G532="Micro",'Atividades Micro'!$K532&lt;&gt;""),'Atividades Micro'!$K532,"")</f>
        <v/>
      </c>
      <c r="CE480" s="21" t="str">
        <f>IF(AND('Atividades Micro'!$B532=CE$2,'Atividades Micro'!$G532="Micro",'Atividades Micro'!$K532&lt;&gt;""),'Atividades Micro'!$K532,"")</f>
        <v/>
      </c>
      <c r="CF480" s="21" t="str">
        <f>IF(AND('Atividades Micro'!$B532=CF$2,'Atividades Micro'!$G532="Micro",'Atividades Micro'!$K532&lt;&gt;""),'Atividades Micro'!$K532,"")</f>
        <v/>
      </c>
      <c r="CG480" s="21" t="str">
        <f>IF(AND('Atividades Micro'!$B532=CG$2,'Atividades Micro'!$G532="Micro",'Atividades Micro'!$K532&lt;&gt;""),'Atividades Micro'!$K532,"")</f>
        <v/>
      </c>
      <c r="CH480" s="21" t="str">
        <f>IF(AND('Atividades Micro'!$B532=CH$2,'Atividades Micro'!$G532="Micro",'Atividades Micro'!$K532&lt;&gt;""),'Atividades Micro'!$K532,"")</f>
        <v/>
      </c>
      <c r="CI480" s="21" t="str">
        <f>IF(AND('Atividades Micro'!$B532=CI$2,'Atividades Micro'!$G532="Micro",'Atividades Micro'!$K532&lt;&gt;""),'Atividades Micro'!$K532,"")</f>
        <v/>
      </c>
      <c r="CJ480" s="21" t="str">
        <f>IF(AND('Atividades Micro'!$B532=CJ$2,'Atividades Micro'!$G532="Micro",'Atividades Micro'!$K532&lt;&gt;""),'Atividades Micro'!$K532,"")</f>
        <v/>
      </c>
      <c r="CK480" s="21" t="str">
        <f>IF(AND('Atividades Micro'!$B532=CK$2,'Atividades Micro'!$G532="Micro",'Atividades Micro'!$K532&lt;&gt;""),'Atividades Micro'!$K532,"")</f>
        <v/>
      </c>
      <c r="CL480" s="21" t="str">
        <f>IF(AND('Atividades Micro'!$B532=CL$2,'Atividades Micro'!$G532="Micro",'Atividades Micro'!$K532&lt;&gt;""),'Atividades Micro'!$K532,"")</f>
        <v/>
      </c>
      <c r="CM480" s="21" t="str">
        <f>IF(AND('Atividades Micro'!$B532=CM$2,'Atividades Micro'!$G532="Micro",'Atividades Micro'!$K532&lt;&gt;""),'Atividades Micro'!$K532,"")</f>
        <v/>
      </c>
      <c r="CN480" s="21" t="str">
        <f>IF(AND('Atividades Micro'!$B532=CN$2,'Atividades Micro'!$G532="Micro",'Atividades Micro'!$K532&lt;&gt;""),'Atividades Micro'!$K532,"")</f>
        <v/>
      </c>
      <c r="CO480" s="21" t="str">
        <f>IF(AND('Atividades Micro'!$B532=CO$2,'Atividades Micro'!$G532="Micro",'Atividades Micro'!$K532&lt;&gt;""),'Atividades Micro'!$K532,"")</f>
        <v/>
      </c>
    </row>
    <row r="481" spans="1:93">
      <c r="A481" s="21" t="str">
        <f>IF(AND('Atividades Micro'!$A533=A$2,'Atividades Micro'!$K533&lt;&gt;""),'Atividades Micro'!$K533,"")</f>
        <v/>
      </c>
      <c r="B481" s="21" t="str">
        <f>IF(AND('Atividades Micro'!$A533=B$2,'Atividades Micro'!$L533&lt;&gt;""),'Atividades Micro'!$L533,"")</f>
        <v/>
      </c>
      <c r="C481" s="21" t="str">
        <f>IF(AND('Atividades Micro'!$A533=C$2,'Atividades Micro'!$K533&lt;&gt;""),'Atividades Micro'!$K533,"")</f>
        <v/>
      </c>
      <c r="D481" s="21" t="str">
        <f>IF(AND('Atividades Micro'!$A533=D$2,'Atividades Micro'!$L533&lt;&gt;""),'Atividades Micro'!$L533,"")</f>
        <v/>
      </c>
      <c r="E481" s="21" t="str">
        <f>IF(AND('Atividades Micro'!$A533=E$2,'Atividades Micro'!$K533&lt;&gt;""),'Atividades Micro'!$K533,"")</f>
        <v/>
      </c>
      <c r="F481" s="21" t="str">
        <f>IF(AND('Atividades Micro'!$A533=F$2,'Atividades Micro'!$L533&lt;&gt;""),'Atividades Micro'!$L533,"")</f>
        <v/>
      </c>
      <c r="G481" s="21" t="str">
        <f>IF(AND('Atividades Micro'!$A533=G$2,'Atividades Micro'!$K533&lt;&gt;""),'Atividades Micro'!$K533,"")</f>
        <v/>
      </c>
      <c r="H481" s="21" t="str">
        <f>IF(AND('Atividades Micro'!$A533=H$2,'Atividades Micro'!$L533&lt;&gt;""),'Atividades Micro'!$L533,"")</f>
        <v/>
      </c>
      <c r="I481" s="21" t="str">
        <f>IF(AND('Atividades Micro'!$A533=I$2,'Atividades Micro'!$K533&lt;&gt;""),'Atividades Micro'!$K533,"")</f>
        <v/>
      </c>
      <c r="J481" s="21" t="str">
        <f>IF(AND('Atividades Micro'!$A533=J$2,'Atividades Micro'!$L533&lt;&gt;""),'Atividades Micro'!$L533,"")</f>
        <v/>
      </c>
      <c r="K481" s="21" t="str">
        <f>IF(AND('Atividades Micro'!$B533=K$2,'Atividades Micro'!$K533&lt;&gt;""),'Atividades Micro'!$K533,"")</f>
        <v/>
      </c>
      <c r="L481" s="21" t="str">
        <f>IF(AND('Atividades Micro'!$B533=L$2,'Atividades Micro'!$L533&lt;&gt;""),'Atividades Micro'!$L533,"")</f>
        <v/>
      </c>
      <c r="M481" s="21" t="str">
        <f>IF(AND('Atividades Micro'!$B533=M$2,'Atividades Micro'!$K533&lt;&gt;""),'Atividades Micro'!$K533,"")</f>
        <v/>
      </c>
      <c r="N481" s="21" t="str">
        <f>IF(AND('Atividades Micro'!$B533=N$2,'Atividades Micro'!$L533&lt;&gt;""),'Atividades Micro'!$L533,"")</f>
        <v/>
      </c>
      <c r="O481" s="21" t="str">
        <f>IF(AND('Atividades Micro'!$A533=O$2,'Atividades Micro'!$K533&lt;&gt;""),'Atividades Micro'!$K533,"")</f>
        <v/>
      </c>
      <c r="P481" s="21" t="str">
        <f>IF(AND('Atividades Micro'!$A533=P$2,'Atividades Micro'!$L533&lt;&gt;""),'Atividades Micro'!$L533,"")</f>
        <v/>
      </c>
      <c r="Q481" s="21" t="str">
        <f>IF(AND('Atividades Micro'!$B533=Q$2,'Atividades Micro'!$K533&lt;&gt;""),'Atividades Micro'!$K533,"")</f>
        <v/>
      </c>
      <c r="R481" s="21" t="str">
        <f>IF(AND('Atividades Micro'!$B533=R$2,'Atividades Micro'!$L533&lt;&gt;""),'Atividades Micro'!$L533,"")</f>
        <v/>
      </c>
      <c r="S481" s="21" t="str">
        <f>IF(AND('Atividades Micro'!$A533=S$2,'Atividades Micro'!$K533&lt;&gt;""),'Atividades Micro'!$K533,"")</f>
        <v/>
      </c>
      <c r="T481" s="21" t="str">
        <f>IF(AND('Atividades Micro'!$A533=T$2,'Atividades Micro'!$L533&lt;&gt;""),'Atividades Micro'!$L533,"")</f>
        <v/>
      </c>
      <c r="U481" s="21" t="str">
        <f>IF(AND('Atividades Micro'!$B533=U$2,'Atividades Micro'!$K533&lt;&gt;""),'Atividades Micro'!$K533,"")</f>
        <v/>
      </c>
      <c r="V481" s="21" t="str">
        <f>IF(AND('Atividades Micro'!$B533=V$2,'Atividades Micro'!$L533&lt;&gt;""),'Atividades Micro'!$L533,"")</f>
        <v/>
      </c>
      <c r="W481" s="21" t="str">
        <f>IF(AND('Atividades Micro'!$B533=W$2,'Atividades Micro'!$K533&lt;&gt;""),'Atividades Micro'!$K533,"")</f>
        <v/>
      </c>
      <c r="X481" s="21" t="str">
        <f>IF(AND('Atividades Micro'!$B533=X$2,'Atividades Micro'!$L533&lt;&gt;""),'Atividades Micro'!$L533,"")</f>
        <v/>
      </c>
      <c r="Y481" s="21" t="str">
        <f>IF(AND('Atividades Micro'!$A533=Y$2,'Atividades Micro'!$K533&lt;&gt;""),'Atividades Micro'!$K533,"")</f>
        <v/>
      </c>
      <c r="Z481" s="21" t="str">
        <f>IF(AND('Atividades Micro'!$A533=Z$2,'Atividades Micro'!$L533&lt;&gt;""),'Atividades Micro'!$L533,"")</f>
        <v/>
      </c>
      <c r="AA481" s="21" t="str">
        <f>IF(AND('Atividades Micro'!$B533=AA$2,'Atividades Micro'!$K533&lt;&gt;""),'Atividades Micro'!$K533,"")</f>
        <v/>
      </c>
      <c r="AB481" s="21" t="str">
        <f>IF(AND('Atividades Micro'!$B533=AB$2,'Atividades Micro'!$L533&lt;&gt;""),'Atividades Micro'!$L533,"")</f>
        <v/>
      </c>
      <c r="AC481" s="21" t="str">
        <f>IF(AND('Atividades Micro'!$B533=AC$2,'Atividades Micro'!$K533&lt;&gt;""),'Atividades Micro'!$K533,"")</f>
        <v/>
      </c>
      <c r="AD481" s="21" t="str">
        <f>IF(AND('Atividades Micro'!$B533=AD$2,'Atividades Micro'!$L533&lt;&gt;""),'Atividades Micro'!$L533,"")</f>
        <v/>
      </c>
      <c r="AE481" s="21" t="str">
        <f>IF(AND('Atividades Micro'!$A533=AE$2,'Atividades Micro'!$K533&lt;&gt;""),'Atividades Micro'!$K533,"")</f>
        <v/>
      </c>
      <c r="AF481" s="21" t="str">
        <f>IF(AND('Atividades Micro'!$A533=AF$2,'Atividades Micro'!$L533&lt;&gt;""),'Atividades Micro'!$L533,"")</f>
        <v/>
      </c>
      <c r="AG481" s="21" t="str">
        <f>IF(AND('Atividades Micro'!$B533=AG$2,'Atividades Micro'!$K533&lt;&gt;""),'Atividades Micro'!$K533,"")</f>
        <v/>
      </c>
      <c r="AH481" s="21" t="str">
        <f>IF(AND('Atividades Micro'!$B533=AH$2,'Atividades Micro'!$L533&lt;&gt;""),'Atividades Micro'!$L533,"")</f>
        <v/>
      </c>
      <c r="AI481" s="21" t="str">
        <f>IF(AND('Atividades Micro'!$B533=AI$2,'Atividades Micro'!$K533&lt;&gt;""),'Atividades Micro'!$K533,"")</f>
        <v/>
      </c>
      <c r="AJ481" s="21" t="str">
        <f>IF(AND('Atividades Micro'!$B533=AJ$2,'Atividades Micro'!$L533&lt;&gt;""),'Atividades Micro'!$L533,"")</f>
        <v/>
      </c>
      <c r="AK481" s="21" t="str">
        <f>IF(AND('Atividades Micro'!$A533=AK$2,'Atividades Micro'!$K533&lt;&gt;""),'Atividades Micro'!$K533,"")</f>
        <v/>
      </c>
      <c r="AL481" s="21" t="str">
        <f>IF(AND('Atividades Micro'!$A533=AL$2,'Atividades Micro'!$L533&lt;&gt;""),'Atividades Micro'!$L533,"")</f>
        <v/>
      </c>
      <c r="AM481" s="21" t="str">
        <f>IF(AND('Atividades Micro'!$B533=AM$2,'Atividades Micro'!$K533&lt;&gt;""),'Atividades Micro'!$K533,"")</f>
        <v/>
      </c>
      <c r="AN481" s="21" t="str">
        <f>IF(AND('Atividades Micro'!$B533=AN$2,'Atividades Micro'!$L533&lt;&gt;""),'Atividades Micro'!$L533,"")</f>
        <v/>
      </c>
      <c r="AO481" s="21" t="str">
        <f>IF(AND('Atividades Micro'!$B533=AO$2,'Atividades Micro'!$K533&lt;&gt;""),'Atividades Micro'!$K533,"")</f>
        <v/>
      </c>
      <c r="AP481" s="21" t="str">
        <f>IF(AND('Atividades Micro'!$B533=AP$2,'Atividades Micro'!$L533&lt;&gt;""),'Atividades Micro'!$L533,"")</f>
        <v/>
      </c>
      <c r="AQ481" s="21" t="str">
        <f>IF(AND('Atividades Micro'!$A533=AQ$2,'Atividades Micro'!$K533&lt;&gt;""),'Atividades Micro'!$K533,"")</f>
        <v/>
      </c>
      <c r="AR481" s="21" t="str">
        <f>IF(AND('Atividades Micro'!$A533=AR$2,'Atividades Micro'!$L533&lt;&gt;""),'Atividades Micro'!$L533,"")</f>
        <v/>
      </c>
      <c r="AS481" s="21" t="str">
        <f>IF(AND('Atividades Micro'!$B533=AS$2,'Atividades Micro'!$K533&lt;&gt;""),'Atividades Micro'!$K533,"")</f>
        <v/>
      </c>
      <c r="AT481" s="21" t="str">
        <f>IF(AND('Atividades Micro'!$B533=AT$2,'Atividades Micro'!$L533&lt;&gt;""),'Atividades Micro'!$L533,"")</f>
        <v/>
      </c>
      <c r="AU481" s="21" t="str">
        <f>IF(AND('Atividades Micro'!$A533=AU$2,'Atividades Micro'!$K533&lt;&gt;""),'Atividades Micro'!$K533,"")</f>
        <v/>
      </c>
      <c r="AV481" s="21" t="str">
        <f>IF(AND('Atividades Micro'!$A533=AV$2,'Atividades Micro'!$L533&lt;&gt;""),'Atividades Micro'!$L533,"")</f>
        <v/>
      </c>
      <c r="AW481" s="21" t="str">
        <f>IF(AND('Atividades Micro'!$B533=AW$2,'Atividades Micro'!$K533&lt;&gt;""),'Atividades Micro'!$K533,"")</f>
        <v/>
      </c>
      <c r="AX481" s="21" t="str">
        <f>IF(AND('Atividades Micro'!$B533=AX$2,'Atividades Micro'!$L533&lt;&gt;""),'Atividades Micro'!$L533,"")</f>
        <v/>
      </c>
      <c r="AY481" s="21" t="str">
        <f>IF(AND('Atividades Micro'!$A533=AY$2,'Atividades Micro'!$K533&lt;&gt;""),'Atividades Micro'!$K533,"")</f>
        <v/>
      </c>
      <c r="AZ481" s="21" t="str">
        <f>IF(AND('Atividades Micro'!$A533=AZ$2,'Atividades Micro'!$L533&lt;&gt;""),'Atividades Micro'!$L533,"")</f>
        <v/>
      </c>
      <c r="BA481" s="21" t="str">
        <f>IF(AND('Atividades Micro'!$B533=BA$2,'Atividades Micro'!$K533&lt;&gt;""),'Atividades Micro'!$K533,"")</f>
        <v/>
      </c>
      <c r="BB481" s="21" t="str">
        <f>IF(AND('Atividades Micro'!$B533=BB$2,'Atividades Micro'!$L533&lt;&gt;""),'Atividades Micro'!$L533,"")</f>
        <v/>
      </c>
      <c r="BC481" s="21" t="str">
        <f>IF(AND('Atividades Micro'!$B533=BC$2,'Atividades Micro'!$G533="Macro",'Atividades Micro'!$K533&lt;&gt;""),'Atividades Micro'!$K533,"")</f>
        <v/>
      </c>
      <c r="BD481" s="21" t="str">
        <f>IF(AND('Atividades Micro'!$B533=BD$2,'Atividades Micro'!$G533="Macro",'Atividades Micro'!$K533&lt;&gt;""),'Atividades Micro'!$K533,"")</f>
        <v/>
      </c>
      <c r="BE481" s="21" t="str">
        <f>IF(AND('Atividades Micro'!$B533=BE$2,'Atividades Micro'!$G533="Macro",'Atividades Micro'!$K533&lt;&gt;""),'Atividades Micro'!$K533,"")</f>
        <v/>
      </c>
      <c r="BF481" s="21" t="str">
        <f>IF(AND('Atividades Micro'!$B533=BF$2,'Atividades Micro'!$G533="Macro",'Atividades Micro'!$K533&lt;&gt;""),'Atividades Micro'!$K533,"")</f>
        <v/>
      </c>
      <c r="BG481" s="21" t="str">
        <f>IF(AND('Atividades Micro'!$B533=BG$2,'Atividades Micro'!$G533="Macro",'Atividades Micro'!$K533&lt;&gt;""),'Atividades Micro'!$K533,"")</f>
        <v/>
      </c>
      <c r="BH481" s="21" t="str">
        <f>IF(AND('Atividades Micro'!$B533=BH$2,'Atividades Micro'!$G533="Macro",'Atividades Micro'!$K533&lt;&gt;""),'Atividades Micro'!$K533,"")</f>
        <v/>
      </c>
      <c r="BI481" s="21" t="str">
        <f>IF(AND('Atividades Micro'!$B533=BI$2,'Atividades Micro'!$G533="Macro",'Atividades Micro'!$K533&lt;&gt;""),'Atividades Micro'!$K533,"")</f>
        <v/>
      </c>
      <c r="BJ481" s="21" t="str">
        <f>IF(AND('Atividades Micro'!$B533=BJ$2,'Atividades Micro'!$G533="Macro",'Atividades Micro'!$K533&lt;&gt;""),'Atividades Micro'!$K533,"")</f>
        <v/>
      </c>
      <c r="BK481" s="21" t="str">
        <f>IF(AND('Atividades Micro'!$B533=BK$2,'Atividades Micro'!$G533="Macro",'Atividades Micro'!$K533&lt;&gt;""),'Atividades Micro'!$K533,"")</f>
        <v/>
      </c>
      <c r="BL481" s="21" t="str">
        <f>IF(AND('Atividades Micro'!$B533=BL$2,'Atividades Micro'!$G533="Macro",'Atividades Micro'!$K533&lt;&gt;""),'Atividades Micro'!$K533,"")</f>
        <v/>
      </c>
      <c r="BM481" s="21" t="str">
        <f>IF(AND('Atividades Micro'!$B533=BM$2,'Atividades Micro'!$G533="Macro",'Atividades Micro'!$K533&lt;&gt;""),'Atividades Micro'!$K533,"")</f>
        <v/>
      </c>
      <c r="BN481" s="21" t="str">
        <f>IF(AND('Atividades Micro'!$B533=BN$2,'Atividades Micro'!$G533="Macro",'Atividades Micro'!$K533&lt;&gt;""),'Atividades Micro'!$K533,"")</f>
        <v/>
      </c>
      <c r="BO481" s="21" t="str">
        <f>IF(AND('Atividades Micro'!$B533=BO$2,'Atividades Micro'!$G533="Macro",'Atividades Micro'!$K533&lt;&gt;""),'Atividades Micro'!$K533,"")</f>
        <v/>
      </c>
      <c r="BP481" s="21" t="str">
        <f>IF(AND('Atividades Micro'!$B533=BP$2,'Atividades Micro'!$G533="Macro",'Atividades Micro'!$K533&lt;&gt;""),'Atividades Micro'!$K533,"")</f>
        <v/>
      </c>
      <c r="BQ481" s="21" t="str">
        <f>IF(AND('Atividades Micro'!$B533=BQ$2,'Atividades Micro'!$G533="Macro",'Atividades Micro'!$K533&lt;&gt;""),'Atividades Micro'!$K533,"")</f>
        <v/>
      </c>
      <c r="BR481" s="21" t="str">
        <f>IF(AND('Atividades Micro'!$B533=BR$2,'Atividades Micro'!$G533="Macro",'Atividades Micro'!$K533&lt;&gt;""),'Atividades Micro'!$K533,"")</f>
        <v/>
      </c>
      <c r="BS481" s="21" t="str">
        <f>IF(AND('Atividades Micro'!$B533=BS$2,'Atividades Micro'!$G533="Macro",'Atividades Micro'!$K533&lt;&gt;""),'Atividades Micro'!$K533,"")</f>
        <v/>
      </c>
      <c r="BT481" s="21" t="str">
        <f>IF(AND('Atividades Micro'!$B533=BT$2,'Atividades Micro'!$G533="Macro",'Atividades Micro'!$K533&lt;&gt;""),'Atividades Micro'!$K533,"")</f>
        <v/>
      </c>
      <c r="BU481" s="21" t="str">
        <f>IF(AND('Atividades Micro'!$B533=BU$2,'Atividades Micro'!$G533="Macro",'Atividades Micro'!$K533&lt;&gt;""),'Atividades Micro'!$K533,"")</f>
        <v/>
      </c>
      <c r="BV481" s="21" t="str">
        <f>IF(AND('Atividades Micro'!$B533=BV$2,'Atividades Micro'!$G533="Macro",'Atividades Micro'!$K533&lt;&gt;""),'Atividades Micro'!$K533,"")</f>
        <v/>
      </c>
      <c r="BW481" s="21" t="str">
        <f>IF(AND('Atividades Micro'!$B533=BW$2,'Atividades Micro'!$G533="Macro",'Atividades Micro'!$K533&lt;&gt;""),'Atividades Micro'!$K533,"")</f>
        <v/>
      </c>
      <c r="BX481" s="21" t="str">
        <f>IF(AND('Atividades Micro'!$B533=BX$2,'Atividades Micro'!$G533="Macro",'Atividades Micro'!$K533&lt;&gt;""),'Atividades Micro'!$K533,"")</f>
        <v/>
      </c>
      <c r="BY481" s="21" t="str">
        <f>IF(AND('Atividades Micro'!$B533=BY$2,'Atividades Micro'!$G533="Macro",'Atividades Micro'!$K533&lt;&gt;""),'Atividades Micro'!$K533,"")</f>
        <v/>
      </c>
      <c r="BZ481" s="21" t="str">
        <f>IF(AND('Atividades Micro'!$B533=BZ$2,'Atividades Micro'!$G533="Macro",'Atividades Micro'!$K533&lt;&gt;""),'Atividades Micro'!$K533,"")</f>
        <v/>
      </c>
      <c r="CA481" s="21" t="str">
        <f>IF(AND('Atividades Micro'!$B533=CA$2,'Atividades Micro'!$G533="Macro",'Atividades Micro'!$K533&lt;&gt;""),'Atividades Micro'!$K533,"")</f>
        <v/>
      </c>
      <c r="CB481" s="21" t="str">
        <f>IF(AND('Atividades Micro'!$B533=CB$2,'Atividades Micro'!$G533="Macro",'Atividades Micro'!$K533&lt;&gt;""),'Atividades Micro'!$K533,"")</f>
        <v/>
      </c>
      <c r="CC481" s="21" t="str">
        <f>IF(AND('Atividades Micro'!$B533=CC$2,'Atividades Micro'!$G533="Macro",'Atividades Micro'!$K533&lt;&gt;""),'Atividades Micro'!$K533,"")</f>
        <v/>
      </c>
      <c r="CD481" s="21" t="str">
        <f>IF(AND('Atividades Micro'!$B533=CD$2,'Atividades Micro'!$G533="Micro",'Atividades Micro'!$K533&lt;&gt;""),'Atividades Micro'!$K533,"")</f>
        <v/>
      </c>
      <c r="CE481" s="21" t="str">
        <f>IF(AND('Atividades Micro'!$B533=CE$2,'Atividades Micro'!$G533="Micro",'Atividades Micro'!$K533&lt;&gt;""),'Atividades Micro'!$K533,"")</f>
        <v/>
      </c>
      <c r="CF481" s="21" t="str">
        <f>IF(AND('Atividades Micro'!$B533=CF$2,'Atividades Micro'!$G533="Micro",'Atividades Micro'!$K533&lt;&gt;""),'Atividades Micro'!$K533,"")</f>
        <v/>
      </c>
      <c r="CG481" s="21" t="str">
        <f>IF(AND('Atividades Micro'!$B533=CG$2,'Atividades Micro'!$G533="Micro",'Atividades Micro'!$K533&lt;&gt;""),'Atividades Micro'!$K533,"")</f>
        <v/>
      </c>
      <c r="CH481" s="21" t="str">
        <f>IF(AND('Atividades Micro'!$B533=CH$2,'Atividades Micro'!$G533="Micro",'Atividades Micro'!$K533&lt;&gt;""),'Atividades Micro'!$K533,"")</f>
        <v/>
      </c>
      <c r="CI481" s="21" t="str">
        <f>IF(AND('Atividades Micro'!$B533=CI$2,'Atividades Micro'!$G533="Micro",'Atividades Micro'!$K533&lt;&gt;""),'Atividades Micro'!$K533,"")</f>
        <v/>
      </c>
      <c r="CJ481" s="21" t="str">
        <f>IF(AND('Atividades Micro'!$B533=CJ$2,'Atividades Micro'!$G533="Micro",'Atividades Micro'!$K533&lt;&gt;""),'Atividades Micro'!$K533,"")</f>
        <v/>
      </c>
      <c r="CK481" s="21" t="str">
        <f>IF(AND('Atividades Micro'!$B533=CK$2,'Atividades Micro'!$G533="Micro",'Atividades Micro'!$K533&lt;&gt;""),'Atividades Micro'!$K533,"")</f>
        <v/>
      </c>
      <c r="CL481" s="21" t="str">
        <f>IF(AND('Atividades Micro'!$B533=CL$2,'Atividades Micro'!$G533="Micro",'Atividades Micro'!$K533&lt;&gt;""),'Atividades Micro'!$K533,"")</f>
        <v/>
      </c>
      <c r="CM481" s="21" t="str">
        <f>IF(AND('Atividades Micro'!$B533=CM$2,'Atividades Micro'!$G533="Micro",'Atividades Micro'!$K533&lt;&gt;""),'Atividades Micro'!$K533,"")</f>
        <v/>
      </c>
      <c r="CN481" s="21" t="str">
        <f>IF(AND('Atividades Micro'!$B533=CN$2,'Atividades Micro'!$G533="Micro",'Atividades Micro'!$K533&lt;&gt;""),'Atividades Micro'!$K533,"")</f>
        <v/>
      </c>
      <c r="CO481" s="21" t="str">
        <f>IF(AND('Atividades Micro'!$B533=CO$2,'Atividades Micro'!$G533="Micro",'Atividades Micro'!$K533&lt;&gt;""),'Atividades Micro'!$K533,"")</f>
        <v/>
      </c>
    </row>
    <row r="482" spans="1:93">
      <c r="A482" s="21" t="str">
        <f>IF(AND('Atividades Micro'!$A534=A$2,'Atividades Micro'!$K534&lt;&gt;""),'Atividades Micro'!$K534,"")</f>
        <v/>
      </c>
      <c r="B482" s="21" t="str">
        <f>IF(AND('Atividades Micro'!$A534=B$2,'Atividades Micro'!$L534&lt;&gt;""),'Atividades Micro'!$L534,"")</f>
        <v/>
      </c>
      <c r="C482" s="21" t="str">
        <f>IF(AND('Atividades Micro'!$A534=C$2,'Atividades Micro'!$K534&lt;&gt;""),'Atividades Micro'!$K534,"")</f>
        <v/>
      </c>
      <c r="D482" s="21" t="str">
        <f>IF(AND('Atividades Micro'!$A534=D$2,'Atividades Micro'!$L534&lt;&gt;""),'Atividades Micro'!$L534,"")</f>
        <v/>
      </c>
      <c r="E482" s="21" t="str">
        <f>IF(AND('Atividades Micro'!$A534=E$2,'Atividades Micro'!$K534&lt;&gt;""),'Atividades Micro'!$K534,"")</f>
        <v/>
      </c>
      <c r="F482" s="21" t="str">
        <f>IF(AND('Atividades Micro'!$A534=F$2,'Atividades Micro'!$L534&lt;&gt;""),'Atividades Micro'!$L534,"")</f>
        <v/>
      </c>
      <c r="G482" s="21" t="str">
        <f>IF(AND('Atividades Micro'!$A534=G$2,'Atividades Micro'!$K534&lt;&gt;""),'Atividades Micro'!$K534,"")</f>
        <v/>
      </c>
      <c r="H482" s="21" t="str">
        <f>IF(AND('Atividades Micro'!$A534=H$2,'Atividades Micro'!$L534&lt;&gt;""),'Atividades Micro'!$L534,"")</f>
        <v/>
      </c>
      <c r="I482" s="21" t="str">
        <f>IF(AND('Atividades Micro'!$A534=I$2,'Atividades Micro'!$K534&lt;&gt;""),'Atividades Micro'!$K534,"")</f>
        <v/>
      </c>
      <c r="J482" s="21" t="str">
        <f>IF(AND('Atividades Micro'!$A534=J$2,'Atividades Micro'!$L534&lt;&gt;""),'Atividades Micro'!$L534,"")</f>
        <v/>
      </c>
      <c r="K482" s="21" t="str">
        <f>IF(AND('Atividades Micro'!$B534=K$2,'Atividades Micro'!$K534&lt;&gt;""),'Atividades Micro'!$K534,"")</f>
        <v/>
      </c>
      <c r="L482" s="21" t="str">
        <f>IF(AND('Atividades Micro'!$B534=L$2,'Atividades Micro'!$L534&lt;&gt;""),'Atividades Micro'!$L534,"")</f>
        <v/>
      </c>
      <c r="M482" s="21" t="str">
        <f>IF(AND('Atividades Micro'!$B534=M$2,'Atividades Micro'!$K534&lt;&gt;""),'Atividades Micro'!$K534,"")</f>
        <v/>
      </c>
      <c r="N482" s="21" t="str">
        <f>IF(AND('Atividades Micro'!$B534=N$2,'Atividades Micro'!$L534&lt;&gt;""),'Atividades Micro'!$L534,"")</f>
        <v/>
      </c>
      <c r="O482" s="21" t="str">
        <f>IF(AND('Atividades Micro'!$A534=O$2,'Atividades Micro'!$K534&lt;&gt;""),'Atividades Micro'!$K534,"")</f>
        <v/>
      </c>
      <c r="P482" s="21" t="str">
        <f>IF(AND('Atividades Micro'!$A534=P$2,'Atividades Micro'!$L534&lt;&gt;""),'Atividades Micro'!$L534,"")</f>
        <v/>
      </c>
      <c r="Q482" s="21" t="str">
        <f>IF(AND('Atividades Micro'!$B534=Q$2,'Atividades Micro'!$K534&lt;&gt;""),'Atividades Micro'!$K534,"")</f>
        <v/>
      </c>
      <c r="R482" s="21" t="str">
        <f>IF(AND('Atividades Micro'!$B534=R$2,'Atividades Micro'!$L534&lt;&gt;""),'Atividades Micro'!$L534,"")</f>
        <v/>
      </c>
      <c r="S482" s="21" t="str">
        <f>IF(AND('Atividades Micro'!$A534=S$2,'Atividades Micro'!$K534&lt;&gt;""),'Atividades Micro'!$K534,"")</f>
        <v/>
      </c>
      <c r="T482" s="21" t="str">
        <f>IF(AND('Atividades Micro'!$A534=T$2,'Atividades Micro'!$L534&lt;&gt;""),'Atividades Micro'!$L534,"")</f>
        <v/>
      </c>
      <c r="U482" s="21" t="str">
        <f>IF(AND('Atividades Micro'!$B534=U$2,'Atividades Micro'!$K534&lt;&gt;""),'Atividades Micro'!$K534,"")</f>
        <v/>
      </c>
      <c r="V482" s="21" t="str">
        <f>IF(AND('Atividades Micro'!$B534=V$2,'Atividades Micro'!$L534&lt;&gt;""),'Atividades Micro'!$L534,"")</f>
        <v/>
      </c>
      <c r="W482" s="21" t="str">
        <f>IF(AND('Atividades Micro'!$B534=W$2,'Atividades Micro'!$K534&lt;&gt;""),'Atividades Micro'!$K534,"")</f>
        <v/>
      </c>
      <c r="X482" s="21" t="str">
        <f>IF(AND('Atividades Micro'!$B534=X$2,'Atividades Micro'!$L534&lt;&gt;""),'Atividades Micro'!$L534,"")</f>
        <v/>
      </c>
      <c r="Y482" s="21" t="str">
        <f>IF(AND('Atividades Micro'!$A534=Y$2,'Atividades Micro'!$K534&lt;&gt;""),'Atividades Micro'!$K534,"")</f>
        <v/>
      </c>
      <c r="Z482" s="21" t="str">
        <f>IF(AND('Atividades Micro'!$A534=Z$2,'Atividades Micro'!$L534&lt;&gt;""),'Atividades Micro'!$L534,"")</f>
        <v/>
      </c>
      <c r="AA482" s="21" t="str">
        <f>IF(AND('Atividades Micro'!$B534=AA$2,'Atividades Micro'!$K534&lt;&gt;""),'Atividades Micro'!$K534,"")</f>
        <v/>
      </c>
      <c r="AB482" s="21" t="str">
        <f>IF(AND('Atividades Micro'!$B534=AB$2,'Atividades Micro'!$L534&lt;&gt;""),'Atividades Micro'!$L534,"")</f>
        <v/>
      </c>
      <c r="AC482" s="21" t="str">
        <f>IF(AND('Atividades Micro'!$B534=AC$2,'Atividades Micro'!$K534&lt;&gt;""),'Atividades Micro'!$K534,"")</f>
        <v/>
      </c>
      <c r="AD482" s="21" t="str">
        <f>IF(AND('Atividades Micro'!$B534=AD$2,'Atividades Micro'!$L534&lt;&gt;""),'Atividades Micro'!$L534,"")</f>
        <v/>
      </c>
      <c r="AE482" s="21" t="str">
        <f>IF(AND('Atividades Micro'!$A534=AE$2,'Atividades Micro'!$K534&lt;&gt;""),'Atividades Micro'!$K534,"")</f>
        <v/>
      </c>
      <c r="AF482" s="21" t="str">
        <f>IF(AND('Atividades Micro'!$A534=AF$2,'Atividades Micro'!$L534&lt;&gt;""),'Atividades Micro'!$L534,"")</f>
        <v/>
      </c>
      <c r="AG482" s="21" t="str">
        <f>IF(AND('Atividades Micro'!$B534=AG$2,'Atividades Micro'!$K534&lt;&gt;""),'Atividades Micro'!$K534,"")</f>
        <v/>
      </c>
      <c r="AH482" s="21" t="str">
        <f>IF(AND('Atividades Micro'!$B534=AH$2,'Atividades Micro'!$L534&lt;&gt;""),'Atividades Micro'!$L534,"")</f>
        <v/>
      </c>
      <c r="AI482" s="21" t="str">
        <f>IF(AND('Atividades Micro'!$B534=AI$2,'Atividades Micro'!$K534&lt;&gt;""),'Atividades Micro'!$K534,"")</f>
        <v/>
      </c>
      <c r="AJ482" s="21" t="str">
        <f>IF(AND('Atividades Micro'!$B534=AJ$2,'Atividades Micro'!$L534&lt;&gt;""),'Atividades Micro'!$L534,"")</f>
        <v/>
      </c>
      <c r="AK482" s="21" t="str">
        <f>IF(AND('Atividades Micro'!$A534=AK$2,'Atividades Micro'!$K534&lt;&gt;""),'Atividades Micro'!$K534,"")</f>
        <v/>
      </c>
      <c r="AL482" s="21" t="str">
        <f>IF(AND('Atividades Micro'!$A534=AL$2,'Atividades Micro'!$L534&lt;&gt;""),'Atividades Micro'!$L534,"")</f>
        <v/>
      </c>
      <c r="AM482" s="21" t="str">
        <f>IF(AND('Atividades Micro'!$B534=AM$2,'Atividades Micro'!$K534&lt;&gt;""),'Atividades Micro'!$K534,"")</f>
        <v/>
      </c>
      <c r="AN482" s="21" t="str">
        <f>IF(AND('Atividades Micro'!$B534=AN$2,'Atividades Micro'!$L534&lt;&gt;""),'Atividades Micro'!$L534,"")</f>
        <v/>
      </c>
      <c r="AO482" s="21" t="str">
        <f>IF(AND('Atividades Micro'!$B534=AO$2,'Atividades Micro'!$K534&lt;&gt;""),'Atividades Micro'!$K534,"")</f>
        <v/>
      </c>
      <c r="AP482" s="21" t="str">
        <f>IF(AND('Atividades Micro'!$B534=AP$2,'Atividades Micro'!$L534&lt;&gt;""),'Atividades Micro'!$L534,"")</f>
        <v/>
      </c>
      <c r="AQ482" s="21" t="str">
        <f>IF(AND('Atividades Micro'!$A534=AQ$2,'Atividades Micro'!$K534&lt;&gt;""),'Atividades Micro'!$K534,"")</f>
        <v/>
      </c>
      <c r="AR482" s="21" t="str">
        <f>IF(AND('Atividades Micro'!$A534=AR$2,'Atividades Micro'!$L534&lt;&gt;""),'Atividades Micro'!$L534,"")</f>
        <v/>
      </c>
      <c r="AS482" s="21" t="str">
        <f>IF(AND('Atividades Micro'!$B534=AS$2,'Atividades Micro'!$K534&lt;&gt;""),'Atividades Micro'!$K534,"")</f>
        <v/>
      </c>
      <c r="AT482" s="21" t="str">
        <f>IF(AND('Atividades Micro'!$B534=AT$2,'Atividades Micro'!$L534&lt;&gt;""),'Atividades Micro'!$L534,"")</f>
        <v/>
      </c>
      <c r="AU482" s="21" t="str">
        <f>IF(AND('Atividades Micro'!$A534=AU$2,'Atividades Micro'!$K534&lt;&gt;""),'Atividades Micro'!$K534,"")</f>
        <v/>
      </c>
      <c r="AV482" s="21" t="str">
        <f>IF(AND('Atividades Micro'!$A534=AV$2,'Atividades Micro'!$L534&lt;&gt;""),'Atividades Micro'!$L534,"")</f>
        <v/>
      </c>
      <c r="AW482" s="21" t="str">
        <f>IF(AND('Atividades Micro'!$B534=AW$2,'Atividades Micro'!$K534&lt;&gt;""),'Atividades Micro'!$K534,"")</f>
        <v/>
      </c>
      <c r="AX482" s="21" t="str">
        <f>IF(AND('Atividades Micro'!$B534=AX$2,'Atividades Micro'!$L534&lt;&gt;""),'Atividades Micro'!$L534,"")</f>
        <v/>
      </c>
      <c r="AY482" s="21" t="str">
        <f>IF(AND('Atividades Micro'!$A534=AY$2,'Atividades Micro'!$K534&lt;&gt;""),'Atividades Micro'!$K534,"")</f>
        <v/>
      </c>
      <c r="AZ482" s="21" t="str">
        <f>IF(AND('Atividades Micro'!$A534=AZ$2,'Atividades Micro'!$L534&lt;&gt;""),'Atividades Micro'!$L534,"")</f>
        <v/>
      </c>
      <c r="BA482" s="21" t="str">
        <f>IF(AND('Atividades Micro'!$B534=BA$2,'Atividades Micro'!$K534&lt;&gt;""),'Atividades Micro'!$K534,"")</f>
        <v/>
      </c>
      <c r="BB482" s="21" t="str">
        <f>IF(AND('Atividades Micro'!$B534=BB$2,'Atividades Micro'!$L534&lt;&gt;""),'Atividades Micro'!$L534,"")</f>
        <v/>
      </c>
      <c r="BC482" s="21" t="str">
        <f>IF(AND('Atividades Micro'!$B534=BC$2,'Atividades Micro'!$G534="Macro",'Atividades Micro'!$K534&lt;&gt;""),'Atividades Micro'!$K534,"")</f>
        <v/>
      </c>
      <c r="BD482" s="21" t="str">
        <f>IF(AND('Atividades Micro'!$B534=BD$2,'Atividades Micro'!$G534="Macro",'Atividades Micro'!$K534&lt;&gt;""),'Atividades Micro'!$K534,"")</f>
        <v/>
      </c>
      <c r="BE482" s="21" t="str">
        <f>IF(AND('Atividades Micro'!$B534=BE$2,'Atividades Micro'!$G534="Macro",'Atividades Micro'!$K534&lt;&gt;""),'Atividades Micro'!$K534,"")</f>
        <v/>
      </c>
      <c r="BF482" s="21" t="str">
        <f>IF(AND('Atividades Micro'!$B534=BF$2,'Atividades Micro'!$G534="Macro",'Atividades Micro'!$K534&lt;&gt;""),'Atividades Micro'!$K534,"")</f>
        <v/>
      </c>
      <c r="BG482" s="21" t="str">
        <f>IF(AND('Atividades Micro'!$B534=BG$2,'Atividades Micro'!$G534="Macro",'Atividades Micro'!$K534&lt;&gt;""),'Atividades Micro'!$K534,"")</f>
        <v/>
      </c>
      <c r="BH482" s="21" t="str">
        <f>IF(AND('Atividades Micro'!$B534=BH$2,'Atividades Micro'!$G534="Macro",'Atividades Micro'!$K534&lt;&gt;""),'Atividades Micro'!$K534,"")</f>
        <v/>
      </c>
      <c r="BI482" s="21" t="str">
        <f>IF(AND('Atividades Micro'!$B534=BI$2,'Atividades Micro'!$G534="Macro",'Atividades Micro'!$K534&lt;&gt;""),'Atividades Micro'!$K534,"")</f>
        <v/>
      </c>
      <c r="BJ482" s="21" t="str">
        <f>IF(AND('Atividades Micro'!$B534=BJ$2,'Atividades Micro'!$G534="Macro",'Atividades Micro'!$K534&lt;&gt;""),'Atividades Micro'!$K534,"")</f>
        <v/>
      </c>
      <c r="BK482" s="21" t="str">
        <f>IF(AND('Atividades Micro'!$B534=BK$2,'Atividades Micro'!$G534="Macro",'Atividades Micro'!$K534&lt;&gt;""),'Atividades Micro'!$K534,"")</f>
        <v/>
      </c>
      <c r="BL482" s="21" t="str">
        <f>IF(AND('Atividades Micro'!$B534=BL$2,'Atividades Micro'!$G534="Macro",'Atividades Micro'!$K534&lt;&gt;""),'Atividades Micro'!$K534,"")</f>
        <v/>
      </c>
      <c r="BM482" s="21" t="str">
        <f>IF(AND('Atividades Micro'!$B534=BM$2,'Atividades Micro'!$G534="Macro",'Atividades Micro'!$K534&lt;&gt;""),'Atividades Micro'!$K534,"")</f>
        <v/>
      </c>
      <c r="BN482" s="21" t="str">
        <f>IF(AND('Atividades Micro'!$B534=BN$2,'Atividades Micro'!$G534="Macro",'Atividades Micro'!$K534&lt;&gt;""),'Atividades Micro'!$K534,"")</f>
        <v/>
      </c>
      <c r="BO482" s="21" t="str">
        <f>IF(AND('Atividades Micro'!$B534=BO$2,'Atividades Micro'!$G534="Macro",'Atividades Micro'!$K534&lt;&gt;""),'Atividades Micro'!$K534,"")</f>
        <v/>
      </c>
      <c r="BP482" s="21" t="str">
        <f>IF(AND('Atividades Micro'!$B534=BP$2,'Atividades Micro'!$G534="Macro",'Atividades Micro'!$K534&lt;&gt;""),'Atividades Micro'!$K534,"")</f>
        <v/>
      </c>
      <c r="BQ482" s="21" t="str">
        <f>IF(AND('Atividades Micro'!$B534=BQ$2,'Atividades Micro'!$G534="Macro",'Atividades Micro'!$K534&lt;&gt;""),'Atividades Micro'!$K534,"")</f>
        <v/>
      </c>
      <c r="BR482" s="21" t="str">
        <f>IF(AND('Atividades Micro'!$B534=BR$2,'Atividades Micro'!$G534="Macro",'Atividades Micro'!$K534&lt;&gt;""),'Atividades Micro'!$K534,"")</f>
        <v/>
      </c>
      <c r="BS482" s="21" t="str">
        <f>IF(AND('Atividades Micro'!$B534=BS$2,'Atividades Micro'!$G534="Macro",'Atividades Micro'!$K534&lt;&gt;""),'Atividades Micro'!$K534,"")</f>
        <v/>
      </c>
      <c r="BT482" s="21" t="str">
        <f>IF(AND('Atividades Micro'!$B534=BT$2,'Atividades Micro'!$G534="Macro",'Atividades Micro'!$K534&lt;&gt;""),'Atividades Micro'!$K534,"")</f>
        <v/>
      </c>
      <c r="BU482" s="21" t="str">
        <f>IF(AND('Atividades Micro'!$B534=BU$2,'Atividades Micro'!$G534="Macro",'Atividades Micro'!$K534&lt;&gt;""),'Atividades Micro'!$K534,"")</f>
        <v/>
      </c>
      <c r="BV482" s="21" t="str">
        <f>IF(AND('Atividades Micro'!$B534=BV$2,'Atividades Micro'!$G534="Macro",'Atividades Micro'!$K534&lt;&gt;""),'Atividades Micro'!$K534,"")</f>
        <v/>
      </c>
      <c r="BW482" s="21" t="str">
        <f>IF(AND('Atividades Micro'!$B534=BW$2,'Atividades Micro'!$G534="Macro",'Atividades Micro'!$K534&lt;&gt;""),'Atividades Micro'!$K534,"")</f>
        <v/>
      </c>
      <c r="BX482" s="21" t="str">
        <f>IF(AND('Atividades Micro'!$B534=BX$2,'Atividades Micro'!$G534="Macro",'Atividades Micro'!$K534&lt;&gt;""),'Atividades Micro'!$K534,"")</f>
        <v/>
      </c>
      <c r="BY482" s="21" t="str">
        <f>IF(AND('Atividades Micro'!$B534=BY$2,'Atividades Micro'!$G534="Macro",'Atividades Micro'!$K534&lt;&gt;""),'Atividades Micro'!$K534,"")</f>
        <v/>
      </c>
      <c r="BZ482" s="21" t="str">
        <f>IF(AND('Atividades Micro'!$B534=BZ$2,'Atividades Micro'!$G534="Macro",'Atividades Micro'!$K534&lt;&gt;""),'Atividades Micro'!$K534,"")</f>
        <v/>
      </c>
      <c r="CA482" s="21" t="str">
        <f>IF(AND('Atividades Micro'!$B534=CA$2,'Atividades Micro'!$G534="Macro",'Atividades Micro'!$K534&lt;&gt;""),'Atividades Micro'!$K534,"")</f>
        <v/>
      </c>
      <c r="CB482" s="21" t="str">
        <f>IF(AND('Atividades Micro'!$B534=CB$2,'Atividades Micro'!$G534="Macro",'Atividades Micro'!$K534&lt;&gt;""),'Atividades Micro'!$K534,"")</f>
        <v/>
      </c>
      <c r="CC482" s="21" t="str">
        <f>IF(AND('Atividades Micro'!$B534=CC$2,'Atividades Micro'!$G534="Macro",'Atividades Micro'!$K534&lt;&gt;""),'Atividades Micro'!$K534,"")</f>
        <v/>
      </c>
      <c r="CD482" s="21" t="str">
        <f>IF(AND('Atividades Micro'!$B534=CD$2,'Atividades Micro'!$G534="Micro",'Atividades Micro'!$K534&lt;&gt;""),'Atividades Micro'!$K534,"")</f>
        <v/>
      </c>
      <c r="CE482" s="21" t="str">
        <f>IF(AND('Atividades Micro'!$B534=CE$2,'Atividades Micro'!$G534="Micro",'Atividades Micro'!$K534&lt;&gt;""),'Atividades Micro'!$K534,"")</f>
        <v/>
      </c>
      <c r="CF482" s="21" t="str">
        <f>IF(AND('Atividades Micro'!$B534=CF$2,'Atividades Micro'!$G534="Micro",'Atividades Micro'!$K534&lt;&gt;""),'Atividades Micro'!$K534,"")</f>
        <v/>
      </c>
      <c r="CG482" s="21" t="str">
        <f>IF(AND('Atividades Micro'!$B534=CG$2,'Atividades Micro'!$G534="Micro",'Atividades Micro'!$K534&lt;&gt;""),'Atividades Micro'!$K534,"")</f>
        <v/>
      </c>
      <c r="CH482" s="21" t="str">
        <f>IF(AND('Atividades Micro'!$B534=CH$2,'Atividades Micro'!$G534="Micro",'Atividades Micro'!$K534&lt;&gt;""),'Atividades Micro'!$K534,"")</f>
        <v/>
      </c>
      <c r="CI482" s="21" t="str">
        <f>IF(AND('Atividades Micro'!$B534=CI$2,'Atividades Micro'!$G534="Micro",'Atividades Micro'!$K534&lt;&gt;""),'Atividades Micro'!$K534,"")</f>
        <v/>
      </c>
      <c r="CJ482" s="21" t="str">
        <f>IF(AND('Atividades Micro'!$B534=CJ$2,'Atividades Micro'!$G534="Micro",'Atividades Micro'!$K534&lt;&gt;""),'Atividades Micro'!$K534,"")</f>
        <v/>
      </c>
      <c r="CK482" s="21" t="str">
        <f>IF(AND('Atividades Micro'!$B534=CK$2,'Atividades Micro'!$G534="Micro",'Atividades Micro'!$K534&lt;&gt;""),'Atividades Micro'!$K534,"")</f>
        <v/>
      </c>
      <c r="CL482" s="21" t="str">
        <f>IF(AND('Atividades Micro'!$B534=CL$2,'Atividades Micro'!$G534="Micro",'Atividades Micro'!$K534&lt;&gt;""),'Atividades Micro'!$K534,"")</f>
        <v/>
      </c>
      <c r="CM482" s="21" t="str">
        <f>IF(AND('Atividades Micro'!$B534=CM$2,'Atividades Micro'!$G534="Micro",'Atividades Micro'!$K534&lt;&gt;""),'Atividades Micro'!$K534,"")</f>
        <v/>
      </c>
      <c r="CN482" s="21" t="str">
        <f>IF(AND('Atividades Micro'!$B534=CN$2,'Atividades Micro'!$G534="Micro",'Atividades Micro'!$K534&lt;&gt;""),'Atividades Micro'!$K534,"")</f>
        <v/>
      </c>
      <c r="CO482" s="21" t="str">
        <f>IF(AND('Atividades Micro'!$B534=CO$2,'Atividades Micro'!$G534="Micro",'Atividades Micro'!$K534&lt;&gt;""),'Atividades Micro'!$K534,"")</f>
        <v/>
      </c>
    </row>
    <row r="483" spans="1:93">
      <c r="A483" s="21" t="str">
        <f>IF(AND('Atividades Micro'!$A535=A$2,'Atividades Micro'!$K535&lt;&gt;""),'Atividades Micro'!$K535,"")</f>
        <v/>
      </c>
      <c r="B483" s="21" t="str">
        <f>IF(AND('Atividades Micro'!$A535=B$2,'Atividades Micro'!$L535&lt;&gt;""),'Atividades Micro'!$L535,"")</f>
        <v/>
      </c>
      <c r="C483" s="21" t="str">
        <f>IF(AND('Atividades Micro'!$A535=C$2,'Atividades Micro'!$K535&lt;&gt;""),'Atividades Micro'!$K535,"")</f>
        <v/>
      </c>
      <c r="D483" s="21" t="str">
        <f>IF(AND('Atividades Micro'!$A535=D$2,'Atividades Micro'!$L535&lt;&gt;""),'Atividades Micro'!$L535,"")</f>
        <v/>
      </c>
      <c r="E483" s="21" t="str">
        <f>IF(AND('Atividades Micro'!$A535=E$2,'Atividades Micro'!$K535&lt;&gt;""),'Atividades Micro'!$K535,"")</f>
        <v/>
      </c>
      <c r="F483" s="21" t="str">
        <f>IF(AND('Atividades Micro'!$A535=F$2,'Atividades Micro'!$L535&lt;&gt;""),'Atividades Micro'!$L535,"")</f>
        <v/>
      </c>
      <c r="G483" s="21" t="str">
        <f>IF(AND('Atividades Micro'!$A535=G$2,'Atividades Micro'!$K535&lt;&gt;""),'Atividades Micro'!$K535,"")</f>
        <v/>
      </c>
      <c r="H483" s="21" t="str">
        <f>IF(AND('Atividades Micro'!$A535=H$2,'Atividades Micro'!$L535&lt;&gt;""),'Atividades Micro'!$L535,"")</f>
        <v/>
      </c>
      <c r="I483" s="21" t="str">
        <f>IF(AND('Atividades Micro'!$A535=I$2,'Atividades Micro'!$K535&lt;&gt;""),'Atividades Micro'!$K535,"")</f>
        <v/>
      </c>
      <c r="J483" s="21" t="str">
        <f>IF(AND('Atividades Micro'!$A535=J$2,'Atividades Micro'!$L535&lt;&gt;""),'Atividades Micro'!$L535,"")</f>
        <v/>
      </c>
      <c r="K483" s="21" t="str">
        <f>IF(AND('Atividades Micro'!$B535=K$2,'Atividades Micro'!$K535&lt;&gt;""),'Atividades Micro'!$K535,"")</f>
        <v/>
      </c>
      <c r="L483" s="21" t="str">
        <f>IF(AND('Atividades Micro'!$B535=L$2,'Atividades Micro'!$L535&lt;&gt;""),'Atividades Micro'!$L535,"")</f>
        <v/>
      </c>
      <c r="M483" s="21" t="str">
        <f>IF(AND('Atividades Micro'!$B535=M$2,'Atividades Micro'!$K535&lt;&gt;""),'Atividades Micro'!$K535,"")</f>
        <v/>
      </c>
      <c r="N483" s="21" t="str">
        <f>IF(AND('Atividades Micro'!$B535=N$2,'Atividades Micro'!$L535&lt;&gt;""),'Atividades Micro'!$L535,"")</f>
        <v/>
      </c>
      <c r="O483" s="21" t="str">
        <f>IF(AND('Atividades Micro'!$A535=O$2,'Atividades Micro'!$K535&lt;&gt;""),'Atividades Micro'!$K535,"")</f>
        <v/>
      </c>
      <c r="P483" s="21" t="str">
        <f>IF(AND('Atividades Micro'!$A535=P$2,'Atividades Micro'!$L535&lt;&gt;""),'Atividades Micro'!$L535,"")</f>
        <v/>
      </c>
      <c r="Q483" s="21" t="str">
        <f>IF(AND('Atividades Micro'!$B535=Q$2,'Atividades Micro'!$K535&lt;&gt;""),'Atividades Micro'!$K535,"")</f>
        <v/>
      </c>
      <c r="R483" s="21" t="str">
        <f>IF(AND('Atividades Micro'!$B535=R$2,'Atividades Micro'!$L535&lt;&gt;""),'Atividades Micro'!$L535,"")</f>
        <v/>
      </c>
      <c r="S483" s="21" t="str">
        <f>IF(AND('Atividades Micro'!$A535=S$2,'Atividades Micro'!$K535&lt;&gt;""),'Atividades Micro'!$K535,"")</f>
        <v/>
      </c>
      <c r="T483" s="21" t="str">
        <f>IF(AND('Atividades Micro'!$A535=T$2,'Atividades Micro'!$L535&lt;&gt;""),'Atividades Micro'!$L535,"")</f>
        <v/>
      </c>
      <c r="U483" s="21" t="str">
        <f>IF(AND('Atividades Micro'!$B535=U$2,'Atividades Micro'!$K535&lt;&gt;""),'Atividades Micro'!$K535,"")</f>
        <v/>
      </c>
      <c r="V483" s="21" t="str">
        <f>IF(AND('Atividades Micro'!$B535=V$2,'Atividades Micro'!$L535&lt;&gt;""),'Atividades Micro'!$L535,"")</f>
        <v/>
      </c>
      <c r="W483" s="21" t="str">
        <f>IF(AND('Atividades Micro'!$B535=W$2,'Atividades Micro'!$K535&lt;&gt;""),'Atividades Micro'!$K535,"")</f>
        <v/>
      </c>
      <c r="X483" s="21" t="str">
        <f>IF(AND('Atividades Micro'!$B535=X$2,'Atividades Micro'!$L535&lt;&gt;""),'Atividades Micro'!$L535,"")</f>
        <v/>
      </c>
      <c r="Y483" s="21" t="str">
        <f>IF(AND('Atividades Micro'!$A535=Y$2,'Atividades Micro'!$K535&lt;&gt;""),'Atividades Micro'!$K535,"")</f>
        <v/>
      </c>
      <c r="Z483" s="21" t="str">
        <f>IF(AND('Atividades Micro'!$A535=Z$2,'Atividades Micro'!$L535&lt;&gt;""),'Atividades Micro'!$L535,"")</f>
        <v/>
      </c>
      <c r="AA483" s="21" t="str">
        <f>IF(AND('Atividades Micro'!$B535=AA$2,'Atividades Micro'!$K535&lt;&gt;""),'Atividades Micro'!$K535,"")</f>
        <v/>
      </c>
      <c r="AB483" s="21" t="str">
        <f>IF(AND('Atividades Micro'!$B535=AB$2,'Atividades Micro'!$L535&lt;&gt;""),'Atividades Micro'!$L535,"")</f>
        <v/>
      </c>
      <c r="AC483" s="21" t="str">
        <f>IF(AND('Atividades Micro'!$B535=AC$2,'Atividades Micro'!$K535&lt;&gt;""),'Atividades Micro'!$K535,"")</f>
        <v/>
      </c>
      <c r="AD483" s="21" t="str">
        <f>IF(AND('Atividades Micro'!$B535=AD$2,'Atividades Micro'!$L535&lt;&gt;""),'Atividades Micro'!$L535,"")</f>
        <v/>
      </c>
      <c r="AE483" s="21" t="str">
        <f>IF(AND('Atividades Micro'!$A535=AE$2,'Atividades Micro'!$K535&lt;&gt;""),'Atividades Micro'!$K535,"")</f>
        <v/>
      </c>
      <c r="AF483" s="21" t="str">
        <f>IF(AND('Atividades Micro'!$A535=AF$2,'Atividades Micro'!$L535&lt;&gt;""),'Atividades Micro'!$L535,"")</f>
        <v/>
      </c>
      <c r="AG483" s="21" t="str">
        <f>IF(AND('Atividades Micro'!$B535=AG$2,'Atividades Micro'!$K535&lt;&gt;""),'Atividades Micro'!$K535,"")</f>
        <v/>
      </c>
      <c r="AH483" s="21" t="str">
        <f>IF(AND('Atividades Micro'!$B535=AH$2,'Atividades Micro'!$L535&lt;&gt;""),'Atividades Micro'!$L535,"")</f>
        <v/>
      </c>
      <c r="AI483" s="21" t="str">
        <f>IF(AND('Atividades Micro'!$B535=AI$2,'Atividades Micro'!$K535&lt;&gt;""),'Atividades Micro'!$K535,"")</f>
        <v/>
      </c>
      <c r="AJ483" s="21" t="str">
        <f>IF(AND('Atividades Micro'!$B535=AJ$2,'Atividades Micro'!$L535&lt;&gt;""),'Atividades Micro'!$L535,"")</f>
        <v/>
      </c>
      <c r="AK483" s="21" t="str">
        <f>IF(AND('Atividades Micro'!$A535=AK$2,'Atividades Micro'!$K535&lt;&gt;""),'Atividades Micro'!$K535,"")</f>
        <v/>
      </c>
      <c r="AL483" s="21" t="str">
        <f>IF(AND('Atividades Micro'!$A535=AL$2,'Atividades Micro'!$L535&lt;&gt;""),'Atividades Micro'!$L535,"")</f>
        <v/>
      </c>
      <c r="AM483" s="21" t="str">
        <f>IF(AND('Atividades Micro'!$B535=AM$2,'Atividades Micro'!$K535&lt;&gt;""),'Atividades Micro'!$K535,"")</f>
        <v/>
      </c>
      <c r="AN483" s="21" t="str">
        <f>IF(AND('Atividades Micro'!$B535=AN$2,'Atividades Micro'!$L535&lt;&gt;""),'Atividades Micro'!$L535,"")</f>
        <v/>
      </c>
      <c r="AO483" s="21" t="str">
        <f>IF(AND('Atividades Micro'!$B535=AO$2,'Atividades Micro'!$K535&lt;&gt;""),'Atividades Micro'!$K535,"")</f>
        <v/>
      </c>
      <c r="AP483" s="21" t="str">
        <f>IF(AND('Atividades Micro'!$B535=AP$2,'Atividades Micro'!$L535&lt;&gt;""),'Atividades Micro'!$L535,"")</f>
        <v/>
      </c>
      <c r="AQ483" s="21" t="str">
        <f>IF(AND('Atividades Micro'!$A535=AQ$2,'Atividades Micro'!$K535&lt;&gt;""),'Atividades Micro'!$K535,"")</f>
        <v/>
      </c>
      <c r="AR483" s="21" t="str">
        <f>IF(AND('Atividades Micro'!$A535=AR$2,'Atividades Micro'!$L535&lt;&gt;""),'Atividades Micro'!$L535,"")</f>
        <v/>
      </c>
      <c r="AS483" s="21" t="str">
        <f>IF(AND('Atividades Micro'!$B535=AS$2,'Atividades Micro'!$K535&lt;&gt;""),'Atividades Micro'!$K535,"")</f>
        <v/>
      </c>
      <c r="AT483" s="21" t="str">
        <f>IF(AND('Atividades Micro'!$B535=AT$2,'Atividades Micro'!$L535&lt;&gt;""),'Atividades Micro'!$L535,"")</f>
        <v/>
      </c>
      <c r="AU483" s="21" t="str">
        <f>IF(AND('Atividades Micro'!$A535=AU$2,'Atividades Micro'!$K535&lt;&gt;""),'Atividades Micro'!$K535,"")</f>
        <v/>
      </c>
      <c r="AV483" s="21" t="str">
        <f>IF(AND('Atividades Micro'!$A535=AV$2,'Atividades Micro'!$L535&lt;&gt;""),'Atividades Micro'!$L535,"")</f>
        <v/>
      </c>
      <c r="AW483" s="21" t="str">
        <f>IF(AND('Atividades Micro'!$B535=AW$2,'Atividades Micro'!$K535&lt;&gt;""),'Atividades Micro'!$K535,"")</f>
        <v/>
      </c>
      <c r="AX483" s="21" t="str">
        <f>IF(AND('Atividades Micro'!$B535=AX$2,'Atividades Micro'!$L535&lt;&gt;""),'Atividades Micro'!$L535,"")</f>
        <v/>
      </c>
      <c r="AY483" s="21" t="str">
        <f>IF(AND('Atividades Micro'!$A535=AY$2,'Atividades Micro'!$K535&lt;&gt;""),'Atividades Micro'!$K535,"")</f>
        <v/>
      </c>
      <c r="AZ483" s="21" t="str">
        <f>IF(AND('Atividades Micro'!$A535=AZ$2,'Atividades Micro'!$L535&lt;&gt;""),'Atividades Micro'!$L535,"")</f>
        <v/>
      </c>
      <c r="BA483" s="21" t="str">
        <f>IF(AND('Atividades Micro'!$B535=BA$2,'Atividades Micro'!$K535&lt;&gt;""),'Atividades Micro'!$K535,"")</f>
        <v/>
      </c>
      <c r="BB483" s="21" t="str">
        <f>IF(AND('Atividades Micro'!$B535=BB$2,'Atividades Micro'!$L535&lt;&gt;""),'Atividades Micro'!$L535,"")</f>
        <v/>
      </c>
      <c r="BC483" s="21" t="str">
        <f>IF(AND('Atividades Micro'!$B535=BC$2,'Atividades Micro'!$G535="Macro",'Atividades Micro'!$K535&lt;&gt;""),'Atividades Micro'!$K535,"")</f>
        <v/>
      </c>
      <c r="BD483" s="21" t="str">
        <f>IF(AND('Atividades Micro'!$B535=BD$2,'Atividades Micro'!$G535="Macro",'Atividades Micro'!$K535&lt;&gt;""),'Atividades Micro'!$K535,"")</f>
        <v/>
      </c>
      <c r="BE483" s="21" t="str">
        <f>IF(AND('Atividades Micro'!$B535=BE$2,'Atividades Micro'!$G535="Macro",'Atividades Micro'!$K535&lt;&gt;""),'Atividades Micro'!$K535,"")</f>
        <v/>
      </c>
      <c r="BF483" s="21" t="str">
        <f>IF(AND('Atividades Micro'!$B535=BF$2,'Atividades Micro'!$G535="Macro",'Atividades Micro'!$K535&lt;&gt;""),'Atividades Micro'!$K535,"")</f>
        <v/>
      </c>
      <c r="BG483" s="21" t="str">
        <f>IF(AND('Atividades Micro'!$B535=BG$2,'Atividades Micro'!$G535="Macro",'Atividades Micro'!$K535&lt;&gt;""),'Atividades Micro'!$K535,"")</f>
        <v/>
      </c>
      <c r="BH483" s="21" t="str">
        <f>IF(AND('Atividades Micro'!$B535=BH$2,'Atividades Micro'!$G535="Macro",'Atividades Micro'!$K535&lt;&gt;""),'Atividades Micro'!$K535,"")</f>
        <v/>
      </c>
      <c r="BI483" s="21" t="str">
        <f>IF(AND('Atividades Micro'!$B535=BI$2,'Atividades Micro'!$G535="Macro",'Atividades Micro'!$K535&lt;&gt;""),'Atividades Micro'!$K535,"")</f>
        <v/>
      </c>
      <c r="BJ483" s="21" t="str">
        <f>IF(AND('Atividades Micro'!$B535=BJ$2,'Atividades Micro'!$G535="Macro",'Atividades Micro'!$K535&lt;&gt;""),'Atividades Micro'!$K535,"")</f>
        <v/>
      </c>
      <c r="BK483" s="21" t="str">
        <f>IF(AND('Atividades Micro'!$B535=BK$2,'Atividades Micro'!$G535="Macro",'Atividades Micro'!$K535&lt;&gt;""),'Atividades Micro'!$K535,"")</f>
        <v/>
      </c>
      <c r="BL483" s="21" t="str">
        <f>IF(AND('Atividades Micro'!$B535=BL$2,'Atividades Micro'!$G535="Macro",'Atividades Micro'!$K535&lt;&gt;""),'Atividades Micro'!$K535,"")</f>
        <v/>
      </c>
      <c r="BM483" s="21" t="str">
        <f>IF(AND('Atividades Micro'!$B535=BM$2,'Atividades Micro'!$G535="Macro",'Atividades Micro'!$K535&lt;&gt;""),'Atividades Micro'!$K535,"")</f>
        <v/>
      </c>
      <c r="BN483" s="21" t="str">
        <f>IF(AND('Atividades Micro'!$B535=BN$2,'Atividades Micro'!$G535="Macro",'Atividades Micro'!$K535&lt;&gt;""),'Atividades Micro'!$K535,"")</f>
        <v/>
      </c>
      <c r="BO483" s="21" t="str">
        <f>IF(AND('Atividades Micro'!$B535=BO$2,'Atividades Micro'!$G535="Macro",'Atividades Micro'!$K535&lt;&gt;""),'Atividades Micro'!$K535,"")</f>
        <v/>
      </c>
      <c r="BP483" s="21" t="str">
        <f>IF(AND('Atividades Micro'!$B535=BP$2,'Atividades Micro'!$G535="Macro",'Atividades Micro'!$K535&lt;&gt;""),'Atividades Micro'!$K535,"")</f>
        <v/>
      </c>
      <c r="BQ483" s="21" t="str">
        <f>IF(AND('Atividades Micro'!$B535=BQ$2,'Atividades Micro'!$G535="Macro",'Atividades Micro'!$K535&lt;&gt;""),'Atividades Micro'!$K535,"")</f>
        <v/>
      </c>
      <c r="BR483" s="21" t="str">
        <f>IF(AND('Atividades Micro'!$B535=BR$2,'Atividades Micro'!$G535="Macro",'Atividades Micro'!$K535&lt;&gt;""),'Atividades Micro'!$K535,"")</f>
        <v/>
      </c>
      <c r="BS483" s="21" t="str">
        <f>IF(AND('Atividades Micro'!$B535=BS$2,'Atividades Micro'!$G535="Macro",'Atividades Micro'!$K535&lt;&gt;""),'Atividades Micro'!$K535,"")</f>
        <v/>
      </c>
      <c r="BT483" s="21" t="str">
        <f>IF(AND('Atividades Micro'!$B535=BT$2,'Atividades Micro'!$G535="Macro",'Atividades Micro'!$K535&lt;&gt;""),'Atividades Micro'!$K535,"")</f>
        <v/>
      </c>
      <c r="BU483" s="21" t="str">
        <f>IF(AND('Atividades Micro'!$B535=BU$2,'Atividades Micro'!$G535="Macro",'Atividades Micro'!$K535&lt;&gt;""),'Atividades Micro'!$K535,"")</f>
        <v/>
      </c>
      <c r="BV483" s="21" t="str">
        <f>IF(AND('Atividades Micro'!$B535=BV$2,'Atividades Micro'!$G535="Macro",'Atividades Micro'!$K535&lt;&gt;""),'Atividades Micro'!$K535,"")</f>
        <v/>
      </c>
      <c r="BW483" s="21" t="str">
        <f>IF(AND('Atividades Micro'!$B535=BW$2,'Atividades Micro'!$G535="Macro",'Atividades Micro'!$K535&lt;&gt;""),'Atividades Micro'!$K535,"")</f>
        <v/>
      </c>
      <c r="BX483" s="21" t="str">
        <f>IF(AND('Atividades Micro'!$B535=BX$2,'Atividades Micro'!$G535="Macro",'Atividades Micro'!$K535&lt;&gt;""),'Atividades Micro'!$K535,"")</f>
        <v/>
      </c>
      <c r="BY483" s="21" t="str">
        <f>IF(AND('Atividades Micro'!$B535=BY$2,'Atividades Micro'!$G535="Macro",'Atividades Micro'!$K535&lt;&gt;""),'Atividades Micro'!$K535,"")</f>
        <v/>
      </c>
      <c r="BZ483" s="21" t="str">
        <f>IF(AND('Atividades Micro'!$B535=BZ$2,'Atividades Micro'!$G535="Macro",'Atividades Micro'!$K535&lt;&gt;""),'Atividades Micro'!$K535,"")</f>
        <v/>
      </c>
      <c r="CA483" s="21" t="str">
        <f>IF(AND('Atividades Micro'!$B535=CA$2,'Atividades Micro'!$G535="Macro",'Atividades Micro'!$K535&lt;&gt;""),'Atividades Micro'!$K535,"")</f>
        <v/>
      </c>
      <c r="CB483" s="21" t="str">
        <f>IF(AND('Atividades Micro'!$B535=CB$2,'Atividades Micro'!$G535="Macro",'Atividades Micro'!$K535&lt;&gt;""),'Atividades Micro'!$K535,"")</f>
        <v/>
      </c>
      <c r="CC483" s="21" t="str">
        <f>IF(AND('Atividades Micro'!$B535=CC$2,'Atividades Micro'!$G535="Macro",'Atividades Micro'!$K535&lt;&gt;""),'Atividades Micro'!$K535,"")</f>
        <v/>
      </c>
      <c r="CD483" s="21" t="str">
        <f>IF(AND('Atividades Micro'!$B535=CD$2,'Atividades Micro'!$G535="Micro",'Atividades Micro'!$K535&lt;&gt;""),'Atividades Micro'!$K535,"")</f>
        <v/>
      </c>
      <c r="CE483" s="21" t="str">
        <f>IF(AND('Atividades Micro'!$B535=CE$2,'Atividades Micro'!$G535="Micro",'Atividades Micro'!$K535&lt;&gt;""),'Atividades Micro'!$K535,"")</f>
        <v/>
      </c>
      <c r="CF483" s="21" t="str">
        <f>IF(AND('Atividades Micro'!$B535=CF$2,'Atividades Micro'!$G535="Micro",'Atividades Micro'!$K535&lt;&gt;""),'Atividades Micro'!$K535,"")</f>
        <v/>
      </c>
      <c r="CG483" s="21" t="str">
        <f>IF(AND('Atividades Micro'!$B535=CG$2,'Atividades Micro'!$G535="Micro",'Atividades Micro'!$K535&lt;&gt;""),'Atividades Micro'!$K535,"")</f>
        <v/>
      </c>
      <c r="CH483" s="21" t="str">
        <f>IF(AND('Atividades Micro'!$B535=CH$2,'Atividades Micro'!$G535="Micro",'Atividades Micro'!$K535&lt;&gt;""),'Atividades Micro'!$K535,"")</f>
        <v/>
      </c>
      <c r="CI483" s="21" t="str">
        <f>IF(AND('Atividades Micro'!$B535=CI$2,'Atividades Micro'!$G535="Micro",'Atividades Micro'!$K535&lt;&gt;""),'Atividades Micro'!$K535,"")</f>
        <v/>
      </c>
      <c r="CJ483" s="21" t="str">
        <f>IF(AND('Atividades Micro'!$B535=CJ$2,'Atividades Micro'!$G535="Micro",'Atividades Micro'!$K535&lt;&gt;""),'Atividades Micro'!$K535,"")</f>
        <v/>
      </c>
      <c r="CK483" s="21" t="str">
        <f>IF(AND('Atividades Micro'!$B535=CK$2,'Atividades Micro'!$G535="Micro",'Atividades Micro'!$K535&lt;&gt;""),'Atividades Micro'!$K535,"")</f>
        <v/>
      </c>
      <c r="CL483" s="21" t="str">
        <f>IF(AND('Atividades Micro'!$B535=CL$2,'Atividades Micro'!$G535="Micro",'Atividades Micro'!$K535&lt;&gt;""),'Atividades Micro'!$K535,"")</f>
        <v/>
      </c>
      <c r="CM483" s="21" t="str">
        <f>IF(AND('Atividades Micro'!$B535=CM$2,'Atividades Micro'!$G535="Micro",'Atividades Micro'!$K535&lt;&gt;""),'Atividades Micro'!$K535,"")</f>
        <v/>
      </c>
      <c r="CN483" s="21" t="str">
        <f>IF(AND('Atividades Micro'!$B535=CN$2,'Atividades Micro'!$G535="Micro",'Atividades Micro'!$K535&lt;&gt;""),'Atividades Micro'!$K535,"")</f>
        <v/>
      </c>
      <c r="CO483" s="21" t="str">
        <f>IF(AND('Atividades Micro'!$B535=CO$2,'Atividades Micro'!$G535="Micro",'Atividades Micro'!$K535&lt;&gt;""),'Atividades Micro'!$K535,"")</f>
        <v/>
      </c>
    </row>
    <row r="484" spans="1:93">
      <c r="A484" s="21" t="str">
        <f>IF(AND('Atividades Micro'!$A536=A$2,'Atividades Micro'!$K536&lt;&gt;""),'Atividades Micro'!$K536,"")</f>
        <v/>
      </c>
      <c r="B484" s="21" t="str">
        <f>IF(AND('Atividades Micro'!$A536=B$2,'Atividades Micro'!$L536&lt;&gt;""),'Atividades Micro'!$L536,"")</f>
        <v/>
      </c>
      <c r="C484" s="21" t="str">
        <f>IF(AND('Atividades Micro'!$A536=C$2,'Atividades Micro'!$K536&lt;&gt;""),'Atividades Micro'!$K536,"")</f>
        <v/>
      </c>
      <c r="D484" s="21" t="str">
        <f>IF(AND('Atividades Micro'!$A536=D$2,'Atividades Micro'!$L536&lt;&gt;""),'Atividades Micro'!$L536,"")</f>
        <v/>
      </c>
      <c r="E484" s="21" t="str">
        <f>IF(AND('Atividades Micro'!$A536=E$2,'Atividades Micro'!$K536&lt;&gt;""),'Atividades Micro'!$K536,"")</f>
        <v/>
      </c>
      <c r="F484" s="21" t="str">
        <f>IF(AND('Atividades Micro'!$A536=F$2,'Atividades Micro'!$L536&lt;&gt;""),'Atividades Micro'!$L536,"")</f>
        <v/>
      </c>
      <c r="G484" s="21" t="str">
        <f>IF(AND('Atividades Micro'!$A536=G$2,'Atividades Micro'!$K536&lt;&gt;""),'Atividades Micro'!$K536,"")</f>
        <v/>
      </c>
      <c r="H484" s="21" t="str">
        <f>IF(AND('Atividades Micro'!$A536=H$2,'Atividades Micro'!$L536&lt;&gt;""),'Atividades Micro'!$L536,"")</f>
        <v/>
      </c>
      <c r="I484" s="21" t="str">
        <f>IF(AND('Atividades Micro'!$A536=I$2,'Atividades Micro'!$K536&lt;&gt;""),'Atividades Micro'!$K536,"")</f>
        <v/>
      </c>
      <c r="J484" s="21" t="str">
        <f>IF(AND('Atividades Micro'!$A536=J$2,'Atividades Micro'!$L536&lt;&gt;""),'Atividades Micro'!$L536,"")</f>
        <v/>
      </c>
      <c r="K484" s="21" t="str">
        <f>IF(AND('Atividades Micro'!$B536=K$2,'Atividades Micro'!$K536&lt;&gt;""),'Atividades Micro'!$K536,"")</f>
        <v/>
      </c>
      <c r="L484" s="21" t="str">
        <f>IF(AND('Atividades Micro'!$B536=L$2,'Atividades Micro'!$L536&lt;&gt;""),'Atividades Micro'!$L536,"")</f>
        <v/>
      </c>
      <c r="M484" s="21" t="str">
        <f>IF(AND('Atividades Micro'!$B536=M$2,'Atividades Micro'!$K536&lt;&gt;""),'Atividades Micro'!$K536,"")</f>
        <v/>
      </c>
      <c r="N484" s="21" t="str">
        <f>IF(AND('Atividades Micro'!$B536=N$2,'Atividades Micro'!$L536&lt;&gt;""),'Atividades Micro'!$L536,"")</f>
        <v/>
      </c>
      <c r="O484" s="21" t="str">
        <f>IF(AND('Atividades Micro'!$A536=O$2,'Atividades Micro'!$K536&lt;&gt;""),'Atividades Micro'!$K536,"")</f>
        <v/>
      </c>
      <c r="P484" s="21" t="str">
        <f>IF(AND('Atividades Micro'!$A536=P$2,'Atividades Micro'!$L536&lt;&gt;""),'Atividades Micro'!$L536,"")</f>
        <v/>
      </c>
      <c r="Q484" s="21" t="str">
        <f>IF(AND('Atividades Micro'!$B536=Q$2,'Atividades Micro'!$K536&lt;&gt;""),'Atividades Micro'!$K536,"")</f>
        <v/>
      </c>
      <c r="R484" s="21" t="str">
        <f>IF(AND('Atividades Micro'!$B536=R$2,'Atividades Micro'!$L536&lt;&gt;""),'Atividades Micro'!$L536,"")</f>
        <v/>
      </c>
      <c r="S484" s="21" t="str">
        <f>IF(AND('Atividades Micro'!$A536=S$2,'Atividades Micro'!$K536&lt;&gt;""),'Atividades Micro'!$K536,"")</f>
        <v/>
      </c>
      <c r="T484" s="21" t="str">
        <f>IF(AND('Atividades Micro'!$A536=T$2,'Atividades Micro'!$L536&lt;&gt;""),'Atividades Micro'!$L536,"")</f>
        <v/>
      </c>
      <c r="U484" s="21" t="str">
        <f>IF(AND('Atividades Micro'!$B536=U$2,'Atividades Micro'!$K536&lt;&gt;""),'Atividades Micro'!$K536,"")</f>
        <v/>
      </c>
      <c r="V484" s="21" t="str">
        <f>IF(AND('Atividades Micro'!$B536=V$2,'Atividades Micro'!$L536&lt;&gt;""),'Atividades Micro'!$L536,"")</f>
        <v/>
      </c>
      <c r="W484" s="21" t="str">
        <f>IF(AND('Atividades Micro'!$B536=W$2,'Atividades Micro'!$K536&lt;&gt;""),'Atividades Micro'!$K536,"")</f>
        <v/>
      </c>
      <c r="X484" s="21" t="str">
        <f>IF(AND('Atividades Micro'!$B536=X$2,'Atividades Micro'!$L536&lt;&gt;""),'Atividades Micro'!$L536,"")</f>
        <v/>
      </c>
      <c r="Y484" s="21" t="str">
        <f>IF(AND('Atividades Micro'!$A536=Y$2,'Atividades Micro'!$K536&lt;&gt;""),'Atividades Micro'!$K536,"")</f>
        <v/>
      </c>
      <c r="Z484" s="21" t="str">
        <f>IF(AND('Atividades Micro'!$A536=Z$2,'Atividades Micro'!$L536&lt;&gt;""),'Atividades Micro'!$L536,"")</f>
        <v/>
      </c>
      <c r="AA484" s="21" t="str">
        <f>IF(AND('Atividades Micro'!$B536=AA$2,'Atividades Micro'!$K536&lt;&gt;""),'Atividades Micro'!$K536,"")</f>
        <v/>
      </c>
      <c r="AB484" s="21" t="str">
        <f>IF(AND('Atividades Micro'!$B536=AB$2,'Atividades Micro'!$L536&lt;&gt;""),'Atividades Micro'!$L536,"")</f>
        <v/>
      </c>
      <c r="AC484" s="21" t="str">
        <f>IF(AND('Atividades Micro'!$B536=AC$2,'Atividades Micro'!$K536&lt;&gt;""),'Atividades Micro'!$K536,"")</f>
        <v/>
      </c>
      <c r="AD484" s="21" t="str">
        <f>IF(AND('Atividades Micro'!$B536=AD$2,'Atividades Micro'!$L536&lt;&gt;""),'Atividades Micro'!$L536,"")</f>
        <v/>
      </c>
      <c r="AE484" s="21" t="str">
        <f>IF(AND('Atividades Micro'!$A536=AE$2,'Atividades Micro'!$K536&lt;&gt;""),'Atividades Micro'!$K536,"")</f>
        <v/>
      </c>
      <c r="AF484" s="21" t="str">
        <f>IF(AND('Atividades Micro'!$A536=AF$2,'Atividades Micro'!$L536&lt;&gt;""),'Atividades Micro'!$L536,"")</f>
        <v/>
      </c>
      <c r="AG484" s="21" t="str">
        <f>IF(AND('Atividades Micro'!$B536=AG$2,'Atividades Micro'!$K536&lt;&gt;""),'Atividades Micro'!$K536,"")</f>
        <v/>
      </c>
      <c r="AH484" s="21" t="str">
        <f>IF(AND('Atividades Micro'!$B536=AH$2,'Atividades Micro'!$L536&lt;&gt;""),'Atividades Micro'!$L536,"")</f>
        <v/>
      </c>
      <c r="AI484" s="21" t="str">
        <f>IF(AND('Atividades Micro'!$B536=AI$2,'Atividades Micro'!$K536&lt;&gt;""),'Atividades Micro'!$K536,"")</f>
        <v/>
      </c>
      <c r="AJ484" s="21" t="str">
        <f>IF(AND('Atividades Micro'!$B536=AJ$2,'Atividades Micro'!$L536&lt;&gt;""),'Atividades Micro'!$L536,"")</f>
        <v/>
      </c>
      <c r="AK484" s="21" t="str">
        <f>IF(AND('Atividades Micro'!$A536=AK$2,'Atividades Micro'!$K536&lt;&gt;""),'Atividades Micro'!$K536,"")</f>
        <v/>
      </c>
      <c r="AL484" s="21" t="str">
        <f>IF(AND('Atividades Micro'!$A536=AL$2,'Atividades Micro'!$L536&lt;&gt;""),'Atividades Micro'!$L536,"")</f>
        <v/>
      </c>
      <c r="AM484" s="21" t="str">
        <f>IF(AND('Atividades Micro'!$B536=AM$2,'Atividades Micro'!$K536&lt;&gt;""),'Atividades Micro'!$K536,"")</f>
        <v/>
      </c>
      <c r="AN484" s="21" t="str">
        <f>IF(AND('Atividades Micro'!$B536=AN$2,'Atividades Micro'!$L536&lt;&gt;""),'Atividades Micro'!$L536,"")</f>
        <v/>
      </c>
      <c r="AO484" s="21" t="str">
        <f>IF(AND('Atividades Micro'!$B536=AO$2,'Atividades Micro'!$K536&lt;&gt;""),'Atividades Micro'!$K536,"")</f>
        <v/>
      </c>
      <c r="AP484" s="21" t="str">
        <f>IF(AND('Atividades Micro'!$B536=AP$2,'Atividades Micro'!$L536&lt;&gt;""),'Atividades Micro'!$L536,"")</f>
        <v/>
      </c>
      <c r="AQ484" s="21" t="str">
        <f>IF(AND('Atividades Micro'!$A536=AQ$2,'Atividades Micro'!$K536&lt;&gt;""),'Atividades Micro'!$K536,"")</f>
        <v/>
      </c>
      <c r="AR484" s="21" t="str">
        <f>IF(AND('Atividades Micro'!$A536=AR$2,'Atividades Micro'!$L536&lt;&gt;""),'Atividades Micro'!$L536,"")</f>
        <v/>
      </c>
      <c r="AS484" s="21" t="str">
        <f>IF(AND('Atividades Micro'!$B536=AS$2,'Atividades Micro'!$K536&lt;&gt;""),'Atividades Micro'!$K536,"")</f>
        <v/>
      </c>
      <c r="AT484" s="21" t="str">
        <f>IF(AND('Atividades Micro'!$B536=AT$2,'Atividades Micro'!$L536&lt;&gt;""),'Atividades Micro'!$L536,"")</f>
        <v/>
      </c>
      <c r="AU484" s="21" t="str">
        <f>IF(AND('Atividades Micro'!$A536=AU$2,'Atividades Micro'!$K536&lt;&gt;""),'Atividades Micro'!$K536,"")</f>
        <v/>
      </c>
      <c r="AV484" s="21" t="str">
        <f>IF(AND('Atividades Micro'!$A536=AV$2,'Atividades Micro'!$L536&lt;&gt;""),'Atividades Micro'!$L536,"")</f>
        <v/>
      </c>
      <c r="AW484" s="21" t="str">
        <f>IF(AND('Atividades Micro'!$B536=AW$2,'Atividades Micro'!$K536&lt;&gt;""),'Atividades Micro'!$K536,"")</f>
        <v/>
      </c>
      <c r="AX484" s="21" t="str">
        <f>IF(AND('Atividades Micro'!$B536=AX$2,'Atividades Micro'!$L536&lt;&gt;""),'Atividades Micro'!$L536,"")</f>
        <v/>
      </c>
      <c r="AY484" s="21" t="str">
        <f>IF(AND('Atividades Micro'!$A536=AY$2,'Atividades Micro'!$K536&lt;&gt;""),'Atividades Micro'!$K536,"")</f>
        <v/>
      </c>
      <c r="AZ484" s="21" t="str">
        <f>IF(AND('Atividades Micro'!$A536=AZ$2,'Atividades Micro'!$L536&lt;&gt;""),'Atividades Micro'!$L536,"")</f>
        <v/>
      </c>
      <c r="BA484" s="21" t="str">
        <f>IF(AND('Atividades Micro'!$B536=BA$2,'Atividades Micro'!$K536&lt;&gt;""),'Atividades Micro'!$K536,"")</f>
        <v/>
      </c>
      <c r="BB484" s="21" t="str">
        <f>IF(AND('Atividades Micro'!$B536=BB$2,'Atividades Micro'!$L536&lt;&gt;""),'Atividades Micro'!$L536,"")</f>
        <v/>
      </c>
      <c r="BC484" s="21" t="str">
        <f>IF(AND('Atividades Micro'!$B536=BC$2,'Atividades Micro'!$G536="Macro",'Atividades Micro'!$K536&lt;&gt;""),'Atividades Micro'!$K536,"")</f>
        <v/>
      </c>
      <c r="BD484" s="21" t="str">
        <f>IF(AND('Atividades Micro'!$B536=BD$2,'Atividades Micro'!$G536="Macro",'Atividades Micro'!$K536&lt;&gt;""),'Atividades Micro'!$K536,"")</f>
        <v/>
      </c>
      <c r="BE484" s="21" t="str">
        <f>IF(AND('Atividades Micro'!$B536=BE$2,'Atividades Micro'!$G536="Macro",'Atividades Micro'!$K536&lt;&gt;""),'Atividades Micro'!$K536,"")</f>
        <v/>
      </c>
      <c r="BF484" s="21" t="str">
        <f>IF(AND('Atividades Micro'!$B536=BF$2,'Atividades Micro'!$G536="Macro",'Atividades Micro'!$K536&lt;&gt;""),'Atividades Micro'!$K536,"")</f>
        <v/>
      </c>
      <c r="BG484" s="21" t="str">
        <f>IF(AND('Atividades Micro'!$B536=BG$2,'Atividades Micro'!$G536="Macro",'Atividades Micro'!$K536&lt;&gt;""),'Atividades Micro'!$K536,"")</f>
        <v/>
      </c>
      <c r="BH484" s="21" t="str">
        <f>IF(AND('Atividades Micro'!$B536=BH$2,'Atividades Micro'!$G536="Macro",'Atividades Micro'!$K536&lt;&gt;""),'Atividades Micro'!$K536,"")</f>
        <v/>
      </c>
      <c r="BI484" s="21" t="str">
        <f>IF(AND('Atividades Micro'!$B536=BI$2,'Atividades Micro'!$G536="Macro",'Atividades Micro'!$K536&lt;&gt;""),'Atividades Micro'!$K536,"")</f>
        <v/>
      </c>
      <c r="BJ484" s="21" t="str">
        <f>IF(AND('Atividades Micro'!$B536=BJ$2,'Atividades Micro'!$G536="Macro",'Atividades Micro'!$K536&lt;&gt;""),'Atividades Micro'!$K536,"")</f>
        <v/>
      </c>
      <c r="BK484" s="21" t="str">
        <f>IF(AND('Atividades Micro'!$B536=BK$2,'Atividades Micro'!$G536="Macro",'Atividades Micro'!$K536&lt;&gt;""),'Atividades Micro'!$K536,"")</f>
        <v/>
      </c>
      <c r="BL484" s="21" t="str">
        <f>IF(AND('Atividades Micro'!$B536=BL$2,'Atividades Micro'!$G536="Macro",'Atividades Micro'!$K536&lt;&gt;""),'Atividades Micro'!$K536,"")</f>
        <v/>
      </c>
      <c r="BM484" s="21" t="str">
        <f>IF(AND('Atividades Micro'!$B536=BM$2,'Atividades Micro'!$G536="Macro",'Atividades Micro'!$K536&lt;&gt;""),'Atividades Micro'!$K536,"")</f>
        <v/>
      </c>
      <c r="BN484" s="21" t="str">
        <f>IF(AND('Atividades Micro'!$B536=BN$2,'Atividades Micro'!$G536="Macro",'Atividades Micro'!$K536&lt;&gt;""),'Atividades Micro'!$K536,"")</f>
        <v/>
      </c>
      <c r="BO484" s="21" t="str">
        <f>IF(AND('Atividades Micro'!$B536=BO$2,'Atividades Micro'!$G536="Macro",'Atividades Micro'!$K536&lt;&gt;""),'Atividades Micro'!$K536,"")</f>
        <v/>
      </c>
      <c r="BP484" s="21" t="str">
        <f>IF(AND('Atividades Micro'!$B536=BP$2,'Atividades Micro'!$G536="Macro",'Atividades Micro'!$K536&lt;&gt;""),'Atividades Micro'!$K536,"")</f>
        <v/>
      </c>
      <c r="BQ484" s="21" t="str">
        <f>IF(AND('Atividades Micro'!$B536=BQ$2,'Atividades Micro'!$G536="Macro",'Atividades Micro'!$K536&lt;&gt;""),'Atividades Micro'!$K536,"")</f>
        <v/>
      </c>
      <c r="BR484" s="21" t="str">
        <f>IF(AND('Atividades Micro'!$B536=BR$2,'Atividades Micro'!$G536="Macro",'Atividades Micro'!$K536&lt;&gt;""),'Atividades Micro'!$K536,"")</f>
        <v/>
      </c>
      <c r="BS484" s="21" t="str">
        <f>IF(AND('Atividades Micro'!$B536=BS$2,'Atividades Micro'!$G536="Macro",'Atividades Micro'!$K536&lt;&gt;""),'Atividades Micro'!$K536,"")</f>
        <v/>
      </c>
      <c r="BT484" s="21" t="str">
        <f>IF(AND('Atividades Micro'!$B536=BT$2,'Atividades Micro'!$G536="Macro",'Atividades Micro'!$K536&lt;&gt;""),'Atividades Micro'!$K536,"")</f>
        <v/>
      </c>
      <c r="BU484" s="21" t="str">
        <f>IF(AND('Atividades Micro'!$B536=BU$2,'Atividades Micro'!$G536="Macro",'Atividades Micro'!$K536&lt;&gt;""),'Atividades Micro'!$K536,"")</f>
        <v/>
      </c>
      <c r="BV484" s="21" t="str">
        <f>IF(AND('Atividades Micro'!$B536=BV$2,'Atividades Micro'!$G536="Macro",'Atividades Micro'!$K536&lt;&gt;""),'Atividades Micro'!$K536,"")</f>
        <v/>
      </c>
      <c r="BW484" s="21" t="str">
        <f>IF(AND('Atividades Micro'!$B536=BW$2,'Atividades Micro'!$G536="Macro",'Atividades Micro'!$K536&lt;&gt;""),'Atividades Micro'!$K536,"")</f>
        <v/>
      </c>
      <c r="BX484" s="21" t="str">
        <f>IF(AND('Atividades Micro'!$B536=BX$2,'Atividades Micro'!$G536="Macro",'Atividades Micro'!$K536&lt;&gt;""),'Atividades Micro'!$K536,"")</f>
        <v/>
      </c>
      <c r="BY484" s="21" t="str">
        <f>IF(AND('Atividades Micro'!$B536=BY$2,'Atividades Micro'!$G536="Macro",'Atividades Micro'!$K536&lt;&gt;""),'Atividades Micro'!$K536,"")</f>
        <v/>
      </c>
      <c r="BZ484" s="21" t="str">
        <f>IF(AND('Atividades Micro'!$B536=BZ$2,'Atividades Micro'!$G536="Macro",'Atividades Micro'!$K536&lt;&gt;""),'Atividades Micro'!$K536,"")</f>
        <v/>
      </c>
      <c r="CA484" s="21" t="str">
        <f>IF(AND('Atividades Micro'!$B536=CA$2,'Atividades Micro'!$G536="Macro",'Atividades Micro'!$K536&lt;&gt;""),'Atividades Micro'!$K536,"")</f>
        <v/>
      </c>
      <c r="CB484" s="21" t="str">
        <f>IF(AND('Atividades Micro'!$B536=CB$2,'Atividades Micro'!$G536="Macro",'Atividades Micro'!$K536&lt;&gt;""),'Atividades Micro'!$K536,"")</f>
        <v/>
      </c>
      <c r="CC484" s="21" t="str">
        <f>IF(AND('Atividades Micro'!$B536=CC$2,'Atividades Micro'!$G536="Macro",'Atividades Micro'!$K536&lt;&gt;""),'Atividades Micro'!$K536,"")</f>
        <v/>
      </c>
      <c r="CD484" s="21" t="str">
        <f>IF(AND('Atividades Micro'!$B536=CD$2,'Atividades Micro'!$G536="Micro",'Atividades Micro'!$K536&lt;&gt;""),'Atividades Micro'!$K536,"")</f>
        <v/>
      </c>
      <c r="CE484" s="21" t="str">
        <f>IF(AND('Atividades Micro'!$B536=CE$2,'Atividades Micro'!$G536="Micro",'Atividades Micro'!$K536&lt;&gt;""),'Atividades Micro'!$K536,"")</f>
        <v/>
      </c>
      <c r="CF484" s="21" t="str">
        <f>IF(AND('Atividades Micro'!$B536=CF$2,'Atividades Micro'!$G536="Micro",'Atividades Micro'!$K536&lt;&gt;""),'Atividades Micro'!$K536,"")</f>
        <v/>
      </c>
      <c r="CG484" s="21" t="str">
        <f>IF(AND('Atividades Micro'!$B536=CG$2,'Atividades Micro'!$G536="Micro",'Atividades Micro'!$K536&lt;&gt;""),'Atividades Micro'!$K536,"")</f>
        <v/>
      </c>
      <c r="CH484" s="21" t="str">
        <f>IF(AND('Atividades Micro'!$B536=CH$2,'Atividades Micro'!$G536="Micro",'Atividades Micro'!$K536&lt;&gt;""),'Atividades Micro'!$K536,"")</f>
        <v/>
      </c>
      <c r="CI484" s="21" t="str">
        <f>IF(AND('Atividades Micro'!$B536=CI$2,'Atividades Micro'!$G536="Micro",'Atividades Micro'!$K536&lt;&gt;""),'Atividades Micro'!$K536,"")</f>
        <v/>
      </c>
      <c r="CJ484" s="21" t="str">
        <f>IF(AND('Atividades Micro'!$B536=CJ$2,'Atividades Micro'!$G536="Micro",'Atividades Micro'!$K536&lt;&gt;""),'Atividades Micro'!$K536,"")</f>
        <v/>
      </c>
      <c r="CK484" s="21" t="str">
        <f>IF(AND('Atividades Micro'!$B536=CK$2,'Atividades Micro'!$G536="Micro",'Atividades Micro'!$K536&lt;&gt;""),'Atividades Micro'!$K536,"")</f>
        <v/>
      </c>
      <c r="CL484" s="21" t="str">
        <f>IF(AND('Atividades Micro'!$B536=CL$2,'Atividades Micro'!$G536="Micro",'Atividades Micro'!$K536&lt;&gt;""),'Atividades Micro'!$K536,"")</f>
        <v/>
      </c>
      <c r="CM484" s="21" t="str">
        <f>IF(AND('Atividades Micro'!$B536=CM$2,'Atividades Micro'!$G536="Micro",'Atividades Micro'!$K536&lt;&gt;""),'Atividades Micro'!$K536,"")</f>
        <v/>
      </c>
      <c r="CN484" s="21" t="str">
        <f>IF(AND('Atividades Micro'!$B536=CN$2,'Atividades Micro'!$G536="Micro",'Atividades Micro'!$K536&lt;&gt;""),'Atividades Micro'!$K536,"")</f>
        <v/>
      </c>
      <c r="CO484" s="21" t="str">
        <f>IF(AND('Atividades Micro'!$B536=CO$2,'Atividades Micro'!$G536="Micro",'Atividades Micro'!$K536&lt;&gt;""),'Atividades Micro'!$K536,"")</f>
        <v/>
      </c>
    </row>
    <row r="485" spans="1:93">
      <c r="A485" s="21" t="str">
        <f>IF(AND('Atividades Micro'!$A537=A$2,'Atividades Micro'!$K537&lt;&gt;""),'Atividades Micro'!$K537,"")</f>
        <v/>
      </c>
      <c r="B485" s="21" t="str">
        <f>IF(AND('Atividades Micro'!$A537=B$2,'Atividades Micro'!$L537&lt;&gt;""),'Atividades Micro'!$L537,"")</f>
        <v/>
      </c>
      <c r="C485" s="21" t="str">
        <f>IF(AND('Atividades Micro'!$A537=C$2,'Atividades Micro'!$K537&lt;&gt;""),'Atividades Micro'!$K537,"")</f>
        <v/>
      </c>
      <c r="D485" s="21" t="str">
        <f>IF(AND('Atividades Micro'!$A537=D$2,'Atividades Micro'!$L537&lt;&gt;""),'Atividades Micro'!$L537,"")</f>
        <v/>
      </c>
      <c r="E485" s="21" t="str">
        <f>IF(AND('Atividades Micro'!$A537=E$2,'Atividades Micro'!$K537&lt;&gt;""),'Atividades Micro'!$K537,"")</f>
        <v/>
      </c>
      <c r="F485" s="21" t="str">
        <f>IF(AND('Atividades Micro'!$A537=F$2,'Atividades Micro'!$L537&lt;&gt;""),'Atividades Micro'!$L537,"")</f>
        <v/>
      </c>
      <c r="G485" s="21" t="str">
        <f>IF(AND('Atividades Micro'!$A537=G$2,'Atividades Micro'!$K537&lt;&gt;""),'Atividades Micro'!$K537,"")</f>
        <v/>
      </c>
      <c r="H485" s="21" t="str">
        <f>IF(AND('Atividades Micro'!$A537=H$2,'Atividades Micro'!$L537&lt;&gt;""),'Atividades Micro'!$L537,"")</f>
        <v/>
      </c>
      <c r="I485" s="21" t="str">
        <f>IF(AND('Atividades Micro'!$A537=I$2,'Atividades Micro'!$K537&lt;&gt;""),'Atividades Micro'!$K537,"")</f>
        <v/>
      </c>
      <c r="J485" s="21" t="str">
        <f>IF(AND('Atividades Micro'!$A537=J$2,'Atividades Micro'!$L537&lt;&gt;""),'Atividades Micro'!$L537,"")</f>
        <v/>
      </c>
      <c r="K485" s="21" t="str">
        <f>IF(AND('Atividades Micro'!$B537=K$2,'Atividades Micro'!$K537&lt;&gt;""),'Atividades Micro'!$K537,"")</f>
        <v/>
      </c>
      <c r="L485" s="21" t="str">
        <f>IF(AND('Atividades Micro'!$B537=L$2,'Atividades Micro'!$L537&lt;&gt;""),'Atividades Micro'!$L537,"")</f>
        <v/>
      </c>
      <c r="M485" s="21" t="str">
        <f>IF(AND('Atividades Micro'!$B537=M$2,'Atividades Micro'!$K537&lt;&gt;""),'Atividades Micro'!$K537,"")</f>
        <v/>
      </c>
      <c r="N485" s="21" t="str">
        <f>IF(AND('Atividades Micro'!$B537=N$2,'Atividades Micro'!$L537&lt;&gt;""),'Atividades Micro'!$L537,"")</f>
        <v/>
      </c>
      <c r="O485" s="21" t="str">
        <f>IF(AND('Atividades Micro'!$A537=O$2,'Atividades Micro'!$K537&lt;&gt;""),'Atividades Micro'!$K537,"")</f>
        <v/>
      </c>
      <c r="P485" s="21" t="str">
        <f>IF(AND('Atividades Micro'!$A537=P$2,'Atividades Micro'!$L537&lt;&gt;""),'Atividades Micro'!$L537,"")</f>
        <v/>
      </c>
      <c r="Q485" s="21" t="str">
        <f>IF(AND('Atividades Micro'!$B537=Q$2,'Atividades Micro'!$K537&lt;&gt;""),'Atividades Micro'!$K537,"")</f>
        <v/>
      </c>
      <c r="R485" s="21" t="str">
        <f>IF(AND('Atividades Micro'!$B537=R$2,'Atividades Micro'!$L537&lt;&gt;""),'Atividades Micro'!$L537,"")</f>
        <v/>
      </c>
      <c r="S485" s="21" t="str">
        <f>IF(AND('Atividades Micro'!$A537=S$2,'Atividades Micro'!$K537&lt;&gt;""),'Atividades Micro'!$K537,"")</f>
        <v/>
      </c>
      <c r="T485" s="21" t="str">
        <f>IF(AND('Atividades Micro'!$A537=T$2,'Atividades Micro'!$L537&lt;&gt;""),'Atividades Micro'!$L537,"")</f>
        <v/>
      </c>
      <c r="U485" s="21" t="str">
        <f>IF(AND('Atividades Micro'!$B537=U$2,'Atividades Micro'!$K537&lt;&gt;""),'Atividades Micro'!$K537,"")</f>
        <v/>
      </c>
      <c r="V485" s="21" t="str">
        <f>IF(AND('Atividades Micro'!$B537=V$2,'Atividades Micro'!$L537&lt;&gt;""),'Atividades Micro'!$L537,"")</f>
        <v/>
      </c>
      <c r="W485" s="21" t="str">
        <f>IF(AND('Atividades Micro'!$B537=W$2,'Atividades Micro'!$K537&lt;&gt;""),'Atividades Micro'!$K537,"")</f>
        <v/>
      </c>
      <c r="X485" s="21" t="str">
        <f>IF(AND('Atividades Micro'!$B537=X$2,'Atividades Micro'!$L537&lt;&gt;""),'Atividades Micro'!$L537,"")</f>
        <v/>
      </c>
      <c r="Y485" s="21" t="str">
        <f>IF(AND('Atividades Micro'!$A537=Y$2,'Atividades Micro'!$K537&lt;&gt;""),'Atividades Micro'!$K537,"")</f>
        <v/>
      </c>
      <c r="Z485" s="21" t="str">
        <f>IF(AND('Atividades Micro'!$A537=Z$2,'Atividades Micro'!$L537&lt;&gt;""),'Atividades Micro'!$L537,"")</f>
        <v/>
      </c>
      <c r="AA485" s="21" t="str">
        <f>IF(AND('Atividades Micro'!$B537=AA$2,'Atividades Micro'!$K537&lt;&gt;""),'Atividades Micro'!$K537,"")</f>
        <v/>
      </c>
      <c r="AB485" s="21" t="str">
        <f>IF(AND('Atividades Micro'!$B537=AB$2,'Atividades Micro'!$L537&lt;&gt;""),'Atividades Micro'!$L537,"")</f>
        <v/>
      </c>
      <c r="AC485" s="21" t="str">
        <f>IF(AND('Atividades Micro'!$B537=AC$2,'Atividades Micro'!$K537&lt;&gt;""),'Atividades Micro'!$K537,"")</f>
        <v/>
      </c>
      <c r="AD485" s="21" t="str">
        <f>IF(AND('Atividades Micro'!$B537=AD$2,'Atividades Micro'!$L537&lt;&gt;""),'Atividades Micro'!$L537,"")</f>
        <v/>
      </c>
      <c r="AE485" s="21" t="str">
        <f>IF(AND('Atividades Micro'!$A537=AE$2,'Atividades Micro'!$K537&lt;&gt;""),'Atividades Micro'!$K537,"")</f>
        <v/>
      </c>
      <c r="AF485" s="21" t="str">
        <f>IF(AND('Atividades Micro'!$A537=AF$2,'Atividades Micro'!$L537&lt;&gt;""),'Atividades Micro'!$L537,"")</f>
        <v/>
      </c>
      <c r="AG485" s="21" t="str">
        <f>IF(AND('Atividades Micro'!$B537=AG$2,'Atividades Micro'!$K537&lt;&gt;""),'Atividades Micro'!$K537,"")</f>
        <v/>
      </c>
      <c r="AH485" s="21" t="str">
        <f>IF(AND('Atividades Micro'!$B537=AH$2,'Atividades Micro'!$L537&lt;&gt;""),'Atividades Micro'!$L537,"")</f>
        <v/>
      </c>
      <c r="AI485" s="21" t="str">
        <f>IF(AND('Atividades Micro'!$B537=AI$2,'Atividades Micro'!$K537&lt;&gt;""),'Atividades Micro'!$K537,"")</f>
        <v/>
      </c>
      <c r="AJ485" s="21" t="str">
        <f>IF(AND('Atividades Micro'!$B537=AJ$2,'Atividades Micro'!$L537&lt;&gt;""),'Atividades Micro'!$L537,"")</f>
        <v/>
      </c>
      <c r="AK485" s="21" t="str">
        <f>IF(AND('Atividades Micro'!$A537=AK$2,'Atividades Micro'!$K537&lt;&gt;""),'Atividades Micro'!$K537,"")</f>
        <v/>
      </c>
      <c r="AL485" s="21" t="str">
        <f>IF(AND('Atividades Micro'!$A537=AL$2,'Atividades Micro'!$L537&lt;&gt;""),'Atividades Micro'!$L537,"")</f>
        <v/>
      </c>
      <c r="AM485" s="21" t="str">
        <f>IF(AND('Atividades Micro'!$B537=AM$2,'Atividades Micro'!$K537&lt;&gt;""),'Atividades Micro'!$K537,"")</f>
        <v/>
      </c>
      <c r="AN485" s="21" t="str">
        <f>IF(AND('Atividades Micro'!$B537=AN$2,'Atividades Micro'!$L537&lt;&gt;""),'Atividades Micro'!$L537,"")</f>
        <v/>
      </c>
      <c r="AO485" s="21" t="str">
        <f>IF(AND('Atividades Micro'!$B537=AO$2,'Atividades Micro'!$K537&lt;&gt;""),'Atividades Micro'!$K537,"")</f>
        <v/>
      </c>
      <c r="AP485" s="21" t="str">
        <f>IF(AND('Atividades Micro'!$B537=AP$2,'Atividades Micro'!$L537&lt;&gt;""),'Atividades Micro'!$L537,"")</f>
        <v/>
      </c>
      <c r="AQ485" s="21" t="str">
        <f>IF(AND('Atividades Micro'!$A537=AQ$2,'Atividades Micro'!$K537&lt;&gt;""),'Atividades Micro'!$K537,"")</f>
        <v/>
      </c>
      <c r="AR485" s="21" t="str">
        <f>IF(AND('Atividades Micro'!$A537=AR$2,'Atividades Micro'!$L537&lt;&gt;""),'Atividades Micro'!$L537,"")</f>
        <v/>
      </c>
      <c r="AS485" s="21" t="str">
        <f>IF(AND('Atividades Micro'!$B537=AS$2,'Atividades Micro'!$K537&lt;&gt;""),'Atividades Micro'!$K537,"")</f>
        <v/>
      </c>
      <c r="AT485" s="21" t="str">
        <f>IF(AND('Atividades Micro'!$B537=AT$2,'Atividades Micro'!$L537&lt;&gt;""),'Atividades Micro'!$L537,"")</f>
        <v/>
      </c>
      <c r="AU485" s="21" t="str">
        <f>IF(AND('Atividades Micro'!$A537=AU$2,'Atividades Micro'!$K537&lt;&gt;""),'Atividades Micro'!$K537,"")</f>
        <v/>
      </c>
      <c r="AV485" s="21" t="str">
        <f>IF(AND('Atividades Micro'!$A537=AV$2,'Atividades Micro'!$L537&lt;&gt;""),'Atividades Micro'!$L537,"")</f>
        <v/>
      </c>
      <c r="AW485" s="21" t="str">
        <f>IF(AND('Atividades Micro'!$B537=AW$2,'Atividades Micro'!$K537&lt;&gt;""),'Atividades Micro'!$K537,"")</f>
        <v/>
      </c>
      <c r="AX485" s="21" t="str">
        <f>IF(AND('Atividades Micro'!$B537=AX$2,'Atividades Micro'!$L537&lt;&gt;""),'Atividades Micro'!$L537,"")</f>
        <v/>
      </c>
      <c r="AY485" s="21" t="str">
        <f>IF(AND('Atividades Micro'!$A537=AY$2,'Atividades Micro'!$K537&lt;&gt;""),'Atividades Micro'!$K537,"")</f>
        <v/>
      </c>
      <c r="AZ485" s="21" t="str">
        <f>IF(AND('Atividades Micro'!$A537=AZ$2,'Atividades Micro'!$L537&lt;&gt;""),'Atividades Micro'!$L537,"")</f>
        <v/>
      </c>
      <c r="BA485" s="21" t="str">
        <f>IF(AND('Atividades Micro'!$B537=BA$2,'Atividades Micro'!$K537&lt;&gt;""),'Atividades Micro'!$K537,"")</f>
        <v/>
      </c>
      <c r="BB485" s="21" t="str">
        <f>IF(AND('Atividades Micro'!$B537=BB$2,'Atividades Micro'!$L537&lt;&gt;""),'Atividades Micro'!$L537,"")</f>
        <v/>
      </c>
      <c r="BC485" s="21" t="str">
        <f>IF(AND('Atividades Micro'!$B537=BC$2,'Atividades Micro'!$G537="Macro",'Atividades Micro'!$K537&lt;&gt;""),'Atividades Micro'!$K537,"")</f>
        <v/>
      </c>
      <c r="BD485" s="21" t="str">
        <f>IF(AND('Atividades Micro'!$B537=BD$2,'Atividades Micro'!$G537="Macro",'Atividades Micro'!$K537&lt;&gt;""),'Atividades Micro'!$K537,"")</f>
        <v/>
      </c>
      <c r="BE485" s="21" t="str">
        <f>IF(AND('Atividades Micro'!$B537=BE$2,'Atividades Micro'!$G537="Macro",'Atividades Micro'!$K537&lt;&gt;""),'Atividades Micro'!$K537,"")</f>
        <v/>
      </c>
      <c r="BF485" s="21" t="str">
        <f>IF(AND('Atividades Micro'!$B537=BF$2,'Atividades Micro'!$G537="Macro",'Atividades Micro'!$K537&lt;&gt;""),'Atividades Micro'!$K537,"")</f>
        <v/>
      </c>
      <c r="BG485" s="21" t="str">
        <f>IF(AND('Atividades Micro'!$B537=BG$2,'Atividades Micro'!$G537="Macro",'Atividades Micro'!$K537&lt;&gt;""),'Atividades Micro'!$K537,"")</f>
        <v/>
      </c>
      <c r="BH485" s="21" t="str">
        <f>IF(AND('Atividades Micro'!$B537=BH$2,'Atividades Micro'!$G537="Macro",'Atividades Micro'!$K537&lt;&gt;""),'Atividades Micro'!$K537,"")</f>
        <v/>
      </c>
      <c r="BI485" s="21" t="str">
        <f>IF(AND('Atividades Micro'!$B537=BI$2,'Atividades Micro'!$G537="Macro",'Atividades Micro'!$K537&lt;&gt;""),'Atividades Micro'!$K537,"")</f>
        <v/>
      </c>
      <c r="BJ485" s="21" t="str">
        <f>IF(AND('Atividades Micro'!$B537=BJ$2,'Atividades Micro'!$G537="Macro",'Atividades Micro'!$K537&lt;&gt;""),'Atividades Micro'!$K537,"")</f>
        <v/>
      </c>
      <c r="BK485" s="21" t="str">
        <f>IF(AND('Atividades Micro'!$B537=BK$2,'Atividades Micro'!$G537="Macro",'Atividades Micro'!$K537&lt;&gt;""),'Atividades Micro'!$K537,"")</f>
        <v/>
      </c>
      <c r="BL485" s="21" t="str">
        <f>IF(AND('Atividades Micro'!$B537=BL$2,'Atividades Micro'!$G537="Macro",'Atividades Micro'!$K537&lt;&gt;""),'Atividades Micro'!$K537,"")</f>
        <v/>
      </c>
      <c r="BM485" s="21" t="str">
        <f>IF(AND('Atividades Micro'!$B537=BM$2,'Atividades Micro'!$G537="Macro",'Atividades Micro'!$K537&lt;&gt;""),'Atividades Micro'!$K537,"")</f>
        <v/>
      </c>
      <c r="BN485" s="21" t="str">
        <f>IF(AND('Atividades Micro'!$B537=BN$2,'Atividades Micro'!$G537="Macro",'Atividades Micro'!$K537&lt;&gt;""),'Atividades Micro'!$K537,"")</f>
        <v/>
      </c>
      <c r="BO485" s="21" t="str">
        <f>IF(AND('Atividades Micro'!$B537=BO$2,'Atividades Micro'!$G537="Macro",'Atividades Micro'!$K537&lt;&gt;""),'Atividades Micro'!$K537,"")</f>
        <v/>
      </c>
      <c r="BP485" s="21" t="str">
        <f>IF(AND('Atividades Micro'!$B537=BP$2,'Atividades Micro'!$G537="Macro",'Atividades Micro'!$K537&lt;&gt;""),'Atividades Micro'!$K537,"")</f>
        <v/>
      </c>
      <c r="BQ485" s="21" t="str">
        <f>IF(AND('Atividades Micro'!$B537=BQ$2,'Atividades Micro'!$G537="Macro",'Atividades Micro'!$K537&lt;&gt;""),'Atividades Micro'!$K537,"")</f>
        <v/>
      </c>
      <c r="BR485" s="21" t="str">
        <f>IF(AND('Atividades Micro'!$B537=BR$2,'Atividades Micro'!$G537="Macro",'Atividades Micro'!$K537&lt;&gt;""),'Atividades Micro'!$K537,"")</f>
        <v/>
      </c>
      <c r="BS485" s="21" t="str">
        <f>IF(AND('Atividades Micro'!$B537=BS$2,'Atividades Micro'!$G537="Macro",'Atividades Micro'!$K537&lt;&gt;""),'Atividades Micro'!$K537,"")</f>
        <v/>
      </c>
      <c r="BT485" s="21" t="str">
        <f>IF(AND('Atividades Micro'!$B537=BT$2,'Atividades Micro'!$G537="Macro",'Atividades Micro'!$K537&lt;&gt;""),'Atividades Micro'!$K537,"")</f>
        <v/>
      </c>
      <c r="BU485" s="21" t="str">
        <f>IF(AND('Atividades Micro'!$B537=BU$2,'Atividades Micro'!$G537="Macro",'Atividades Micro'!$K537&lt;&gt;""),'Atividades Micro'!$K537,"")</f>
        <v/>
      </c>
      <c r="BV485" s="21" t="str">
        <f>IF(AND('Atividades Micro'!$B537=BV$2,'Atividades Micro'!$G537="Macro",'Atividades Micro'!$K537&lt;&gt;""),'Atividades Micro'!$K537,"")</f>
        <v/>
      </c>
      <c r="BW485" s="21" t="str">
        <f>IF(AND('Atividades Micro'!$B537=BW$2,'Atividades Micro'!$G537="Macro",'Atividades Micro'!$K537&lt;&gt;""),'Atividades Micro'!$K537,"")</f>
        <v/>
      </c>
      <c r="BX485" s="21" t="str">
        <f>IF(AND('Atividades Micro'!$B537=BX$2,'Atividades Micro'!$G537="Macro",'Atividades Micro'!$K537&lt;&gt;""),'Atividades Micro'!$K537,"")</f>
        <v/>
      </c>
      <c r="BY485" s="21" t="str">
        <f>IF(AND('Atividades Micro'!$B537=BY$2,'Atividades Micro'!$G537="Macro",'Atividades Micro'!$K537&lt;&gt;""),'Atividades Micro'!$K537,"")</f>
        <v/>
      </c>
      <c r="BZ485" s="21" t="str">
        <f>IF(AND('Atividades Micro'!$B537=BZ$2,'Atividades Micro'!$G537="Macro",'Atividades Micro'!$K537&lt;&gt;""),'Atividades Micro'!$K537,"")</f>
        <v/>
      </c>
      <c r="CA485" s="21" t="str">
        <f>IF(AND('Atividades Micro'!$B537=CA$2,'Atividades Micro'!$G537="Macro",'Atividades Micro'!$K537&lt;&gt;""),'Atividades Micro'!$K537,"")</f>
        <v/>
      </c>
      <c r="CB485" s="21" t="str">
        <f>IF(AND('Atividades Micro'!$B537=CB$2,'Atividades Micro'!$G537="Macro",'Atividades Micro'!$K537&lt;&gt;""),'Atividades Micro'!$K537,"")</f>
        <v/>
      </c>
      <c r="CC485" s="21" t="str">
        <f>IF(AND('Atividades Micro'!$B537=CC$2,'Atividades Micro'!$G537="Macro",'Atividades Micro'!$K537&lt;&gt;""),'Atividades Micro'!$K537,"")</f>
        <v/>
      </c>
      <c r="CD485" s="21" t="str">
        <f>IF(AND('Atividades Micro'!$B537=CD$2,'Atividades Micro'!$G537="Micro",'Atividades Micro'!$K537&lt;&gt;""),'Atividades Micro'!$K537,"")</f>
        <v/>
      </c>
      <c r="CE485" s="21" t="str">
        <f>IF(AND('Atividades Micro'!$B537=CE$2,'Atividades Micro'!$G537="Micro",'Atividades Micro'!$K537&lt;&gt;""),'Atividades Micro'!$K537,"")</f>
        <v/>
      </c>
      <c r="CF485" s="21" t="str">
        <f>IF(AND('Atividades Micro'!$B537=CF$2,'Atividades Micro'!$G537="Micro",'Atividades Micro'!$K537&lt;&gt;""),'Atividades Micro'!$K537,"")</f>
        <v/>
      </c>
      <c r="CG485" s="21" t="str">
        <f>IF(AND('Atividades Micro'!$B537=CG$2,'Atividades Micro'!$G537="Micro",'Atividades Micro'!$K537&lt;&gt;""),'Atividades Micro'!$K537,"")</f>
        <v/>
      </c>
      <c r="CH485" s="21" t="str">
        <f>IF(AND('Atividades Micro'!$B537=CH$2,'Atividades Micro'!$G537="Micro",'Atividades Micro'!$K537&lt;&gt;""),'Atividades Micro'!$K537,"")</f>
        <v/>
      </c>
      <c r="CI485" s="21" t="str">
        <f>IF(AND('Atividades Micro'!$B537=CI$2,'Atividades Micro'!$G537="Micro",'Atividades Micro'!$K537&lt;&gt;""),'Atividades Micro'!$K537,"")</f>
        <v/>
      </c>
      <c r="CJ485" s="21" t="str">
        <f>IF(AND('Atividades Micro'!$B537=CJ$2,'Atividades Micro'!$G537="Micro",'Atividades Micro'!$K537&lt;&gt;""),'Atividades Micro'!$K537,"")</f>
        <v/>
      </c>
      <c r="CK485" s="21" t="str">
        <f>IF(AND('Atividades Micro'!$B537=CK$2,'Atividades Micro'!$G537="Micro",'Atividades Micro'!$K537&lt;&gt;""),'Atividades Micro'!$K537,"")</f>
        <v/>
      </c>
      <c r="CL485" s="21" t="str">
        <f>IF(AND('Atividades Micro'!$B537=CL$2,'Atividades Micro'!$G537="Micro",'Atividades Micro'!$K537&lt;&gt;""),'Atividades Micro'!$K537,"")</f>
        <v/>
      </c>
      <c r="CM485" s="21" t="str">
        <f>IF(AND('Atividades Micro'!$B537=CM$2,'Atividades Micro'!$G537="Micro",'Atividades Micro'!$K537&lt;&gt;""),'Atividades Micro'!$K537,"")</f>
        <v/>
      </c>
      <c r="CN485" s="21" t="str">
        <f>IF(AND('Atividades Micro'!$B537=CN$2,'Atividades Micro'!$G537="Micro",'Atividades Micro'!$K537&lt;&gt;""),'Atividades Micro'!$K537,"")</f>
        <v/>
      </c>
      <c r="CO485" s="21" t="str">
        <f>IF(AND('Atividades Micro'!$B537=CO$2,'Atividades Micro'!$G537="Micro",'Atividades Micro'!$K537&lt;&gt;""),'Atividades Micro'!$K537,"")</f>
        <v/>
      </c>
    </row>
    <row r="486" spans="1:93">
      <c r="A486" s="21" t="str">
        <f>IF(AND('Atividades Micro'!$A538=A$2,'Atividades Micro'!$K538&lt;&gt;""),'Atividades Micro'!$K538,"")</f>
        <v/>
      </c>
      <c r="B486" s="21" t="str">
        <f>IF(AND('Atividades Micro'!$A538=B$2,'Atividades Micro'!$L538&lt;&gt;""),'Atividades Micro'!$L538,"")</f>
        <v/>
      </c>
      <c r="C486" s="21" t="str">
        <f>IF(AND('Atividades Micro'!$A538=C$2,'Atividades Micro'!$K538&lt;&gt;""),'Atividades Micro'!$K538,"")</f>
        <v/>
      </c>
      <c r="D486" s="21" t="str">
        <f>IF(AND('Atividades Micro'!$A538=D$2,'Atividades Micro'!$L538&lt;&gt;""),'Atividades Micro'!$L538,"")</f>
        <v/>
      </c>
      <c r="E486" s="21" t="str">
        <f>IF(AND('Atividades Micro'!$A538=E$2,'Atividades Micro'!$K538&lt;&gt;""),'Atividades Micro'!$K538,"")</f>
        <v/>
      </c>
      <c r="F486" s="21" t="str">
        <f>IF(AND('Atividades Micro'!$A538=F$2,'Atividades Micro'!$L538&lt;&gt;""),'Atividades Micro'!$L538,"")</f>
        <v/>
      </c>
      <c r="G486" s="21" t="str">
        <f>IF(AND('Atividades Micro'!$A538=G$2,'Atividades Micro'!$K538&lt;&gt;""),'Atividades Micro'!$K538,"")</f>
        <v/>
      </c>
      <c r="H486" s="21" t="str">
        <f>IF(AND('Atividades Micro'!$A538=H$2,'Atividades Micro'!$L538&lt;&gt;""),'Atividades Micro'!$L538,"")</f>
        <v/>
      </c>
      <c r="I486" s="21" t="str">
        <f>IF(AND('Atividades Micro'!$A538=I$2,'Atividades Micro'!$K538&lt;&gt;""),'Atividades Micro'!$K538,"")</f>
        <v/>
      </c>
      <c r="J486" s="21" t="str">
        <f>IF(AND('Atividades Micro'!$A538=J$2,'Atividades Micro'!$L538&lt;&gt;""),'Atividades Micro'!$L538,"")</f>
        <v/>
      </c>
      <c r="K486" s="21" t="str">
        <f>IF(AND('Atividades Micro'!$B538=K$2,'Atividades Micro'!$K538&lt;&gt;""),'Atividades Micro'!$K538,"")</f>
        <v/>
      </c>
      <c r="L486" s="21" t="str">
        <f>IF(AND('Atividades Micro'!$B538=L$2,'Atividades Micro'!$L538&lt;&gt;""),'Atividades Micro'!$L538,"")</f>
        <v/>
      </c>
      <c r="M486" s="21" t="str">
        <f>IF(AND('Atividades Micro'!$B538=M$2,'Atividades Micro'!$K538&lt;&gt;""),'Atividades Micro'!$K538,"")</f>
        <v/>
      </c>
      <c r="N486" s="21" t="str">
        <f>IF(AND('Atividades Micro'!$B538=N$2,'Atividades Micro'!$L538&lt;&gt;""),'Atividades Micro'!$L538,"")</f>
        <v/>
      </c>
      <c r="O486" s="21" t="str">
        <f>IF(AND('Atividades Micro'!$A538=O$2,'Atividades Micro'!$K538&lt;&gt;""),'Atividades Micro'!$K538,"")</f>
        <v/>
      </c>
      <c r="P486" s="21" t="str">
        <f>IF(AND('Atividades Micro'!$A538=P$2,'Atividades Micro'!$L538&lt;&gt;""),'Atividades Micro'!$L538,"")</f>
        <v/>
      </c>
      <c r="Q486" s="21" t="str">
        <f>IF(AND('Atividades Micro'!$B538=Q$2,'Atividades Micro'!$K538&lt;&gt;""),'Atividades Micro'!$K538,"")</f>
        <v/>
      </c>
      <c r="R486" s="21" t="str">
        <f>IF(AND('Atividades Micro'!$B538=R$2,'Atividades Micro'!$L538&lt;&gt;""),'Atividades Micro'!$L538,"")</f>
        <v/>
      </c>
      <c r="S486" s="21" t="str">
        <f>IF(AND('Atividades Micro'!$A538=S$2,'Atividades Micro'!$K538&lt;&gt;""),'Atividades Micro'!$K538,"")</f>
        <v/>
      </c>
      <c r="T486" s="21" t="str">
        <f>IF(AND('Atividades Micro'!$A538=T$2,'Atividades Micro'!$L538&lt;&gt;""),'Atividades Micro'!$L538,"")</f>
        <v/>
      </c>
      <c r="U486" s="21" t="str">
        <f>IF(AND('Atividades Micro'!$B538=U$2,'Atividades Micro'!$K538&lt;&gt;""),'Atividades Micro'!$K538,"")</f>
        <v/>
      </c>
      <c r="V486" s="21" t="str">
        <f>IF(AND('Atividades Micro'!$B538=V$2,'Atividades Micro'!$L538&lt;&gt;""),'Atividades Micro'!$L538,"")</f>
        <v/>
      </c>
      <c r="W486" s="21" t="str">
        <f>IF(AND('Atividades Micro'!$B538=W$2,'Atividades Micro'!$K538&lt;&gt;""),'Atividades Micro'!$K538,"")</f>
        <v/>
      </c>
      <c r="X486" s="21" t="str">
        <f>IF(AND('Atividades Micro'!$B538=X$2,'Atividades Micro'!$L538&lt;&gt;""),'Atividades Micro'!$L538,"")</f>
        <v/>
      </c>
      <c r="Y486" s="21" t="str">
        <f>IF(AND('Atividades Micro'!$A538=Y$2,'Atividades Micro'!$K538&lt;&gt;""),'Atividades Micro'!$K538,"")</f>
        <v/>
      </c>
      <c r="Z486" s="21" t="str">
        <f>IF(AND('Atividades Micro'!$A538=Z$2,'Atividades Micro'!$L538&lt;&gt;""),'Atividades Micro'!$L538,"")</f>
        <v/>
      </c>
      <c r="AA486" s="21" t="str">
        <f>IF(AND('Atividades Micro'!$B538=AA$2,'Atividades Micro'!$K538&lt;&gt;""),'Atividades Micro'!$K538,"")</f>
        <v/>
      </c>
      <c r="AB486" s="21" t="str">
        <f>IF(AND('Atividades Micro'!$B538=AB$2,'Atividades Micro'!$L538&lt;&gt;""),'Atividades Micro'!$L538,"")</f>
        <v/>
      </c>
      <c r="AC486" s="21" t="str">
        <f>IF(AND('Atividades Micro'!$B538=AC$2,'Atividades Micro'!$K538&lt;&gt;""),'Atividades Micro'!$K538,"")</f>
        <v/>
      </c>
      <c r="AD486" s="21" t="str">
        <f>IF(AND('Atividades Micro'!$B538=AD$2,'Atividades Micro'!$L538&lt;&gt;""),'Atividades Micro'!$L538,"")</f>
        <v/>
      </c>
      <c r="AE486" s="21" t="str">
        <f>IF(AND('Atividades Micro'!$A538=AE$2,'Atividades Micro'!$K538&lt;&gt;""),'Atividades Micro'!$K538,"")</f>
        <v/>
      </c>
      <c r="AF486" s="21" t="str">
        <f>IF(AND('Atividades Micro'!$A538=AF$2,'Atividades Micro'!$L538&lt;&gt;""),'Atividades Micro'!$L538,"")</f>
        <v/>
      </c>
      <c r="AG486" s="21" t="str">
        <f>IF(AND('Atividades Micro'!$B538=AG$2,'Atividades Micro'!$K538&lt;&gt;""),'Atividades Micro'!$K538,"")</f>
        <v/>
      </c>
      <c r="AH486" s="21" t="str">
        <f>IF(AND('Atividades Micro'!$B538=AH$2,'Atividades Micro'!$L538&lt;&gt;""),'Atividades Micro'!$L538,"")</f>
        <v/>
      </c>
      <c r="AI486" s="21" t="str">
        <f>IF(AND('Atividades Micro'!$B538=AI$2,'Atividades Micro'!$K538&lt;&gt;""),'Atividades Micro'!$K538,"")</f>
        <v/>
      </c>
      <c r="AJ486" s="21" t="str">
        <f>IF(AND('Atividades Micro'!$B538=AJ$2,'Atividades Micro'!$L538&lt;&gt;""),'Atividades Micro'!$L538,"")</f>
        <v/>
      </c>
      <c r="AK486" s="21" t="str">
        <f>IF(AND('Atividades Micro'!$A538=AK$2,'Atividades Micro'!$K538&lt;&gt;""),'Atividades Micro'!$K538,"")</f>
        <v/>
      </c>
      <c r="AL486" s="21" t="str">
        <f>IF(AND('Atividades Micro'!$A538=AL$2,'Atividades Micro'!$L538&lt;&gt;""),'Atividades Micro'!$L538,"")</f>
        <v/>
      </c>
      <c r="AM486" s="21" t="str">
        <f>IF(AND('Atividades Micro'!$B538=AM$2,'Atividades Micro'!$K538&lt;&gt;""),'Atividades Micro'!$K538,"")</f>
        <v/>
      </c>
      <c r="AN486" s="21" t="str">
        <f>IF(AND('Atividades Micro'!$B538=AN$2,'Atividades Micro'!$L538&lt;&gt;""),'Atividades Micro'!$L538,"")</f>
        <v/>
      </c>
      <c r="AO486" s="21" t="str">
        <f>IF(AND('Atividades Micro'!$B538=AO$2,'Atividades Micro'!$K538&lt;&gt;""),'Atividades Micro'!$K538,"")</f>
        <v/>
      </c>
      <c r="AP486" s="21" t="str">
        <f>IF(AND('Atividades Micro'!$B538=AP$2,'Atividades Micro'!$L538&lt;&gt;""),'Atividades Micro'!$L538,"")</f>
        <v/>
      </c>
      <c r="AQ486" s="21" t="str">
        <f>IF(AND('Atividades Micro'!$A538=AQ$2,'Atividades Micro'!$K538&lt;&gt;""),'Atividades Micro'!$K538,"")</f>
        <v/>
      </c>
      <c r="AR486" s="21" t="str">
        <f>IF(AND('Atividades Micro'!$A538=AR$2,'Atividades Micro'!$L538&lt;&gt;""),'Atividades Micro'!$L538,"")</f>
        <v/>
      </c>
      <c r="AS486" s="21" t="str">
        <f>IF(AND('Atividades Micro'!$B538=AS$2,'Atividades Micro'!$K538&lt;&gt;""),'Atividades Micro'!$K538,"")</f>
        <v/>
      </c>
      <c r="AT486" s="21" t="str">
        <f>IF(AND('Atividades Micro'!$B538=AT$2,'Atividades Micro'!$L538&lt;&gt;""),'Atividades Micro'!$L538,"")</f>
        <v/>
      </c>
      <c r="AU486" s="21" t="str">
        <f>IF(AND('Atividades Micro'!$A538=AU$2,'Atividades Micro'!$K538&lt;&gt;""),'Atividades Micro'!$K538,"")</f>
        <v/>
      </c>
      <c r="AV486" s="21" t="str">
        <f>IF(AND('Atividades Micro'!$A538=AV$2,'Atividades Micro'!$L538&lt;&gt;""),'Atividades Micro'!$L538,"")</f>
        <v/>
      </c>
      <c r="AW486" s="21" t="str">
        <f>IF(AND('Atividades Micro'!$B538=AW$2,'Atividades Micro'!$K538&lt;&gt;""),'Atividades Micro'!$K538,"")</f>
        <v/>
      </c>
      <c r="AX486" s="21" t="str">
        <f>IF(AND('Atividades Micro'!$B538=AX$2,'Atividades Micro'!$L538&lt;&gt;""),'Atividades Micro'!$L538,"")</f>
        <v/>
      </c>
      <c r="AY486" s="21" t="str">
        <f>IF(AND('Atividades Micro'!$A538=AY$2,'Atividades Micro'!$K538&lt;&gt;""),'Atividades Micro'!$K538,"")</f>
        <v/>
      </c>
      <c r="AZ486" s="21" t="str">
        <f>IF(AND('Atividades Micro'!$A538=AZ$2,'Atividades Micro'!$L538&lt;&gt;""),'Atividades Micro'!$L538,"")</f>
        <v/>
      </c>
      <c r="BA486" s="21" t="str">
        <f>IF(AND('Atividades Micro'!$B538=BA$2,'Atividades Micro'!$K538&lt;&gt;""),'Atividades Micro'!$K538,"")</f>
        <v/>
      </c>
      <c r="BB486" s="21" t="str">
        <f>IF(AND('Atividades Micro'!$B538=BB$2,'Atividades Micro'!$L538&lt;&gt;""),'Atividades Micro'!$L538,"")</f>
        <v/>
      </c>
      <c r="BC486" s="21" t="str">
        <f>IF(AND('Atividades Micro'!$B538=BC$2,'Atividades Micro'!$G538="Macro",'Atividades Micro'!$K538&lt;&gt;""),'Atividades Micro'!$K538,"")</f>
        <v/>
      </c>
      <c r="BD486" s="21" t="str">
        <f>IF(AND('Atividades Micro'!$B538=BD$2,'Atividades Micro'!$G538="Macro",'Atividades Micro'!$K538&lt;&gt;""),'Atividades Micro'!$K538,"")</f>
        <v/>
      </c>
      <c r="BE486" s="21" t="str">
        <f>IF(AND('Atividades Micro'!$B538=BE$2,'Atividades Micro'!$G538="Macro",'Atividades Micro'!$K538&lt;&gt;""),'Atividades Micro'!$K538,"")</f>
        <v/>
      </c>
      <c r="BF486" s="21" t="str">
        <f>IF(AND('Atividades Micro'!$B538=BF$2,'Atividades Micro'!$G538="Macro",'Atividades Micro'!$K538&lt;&gt;""),'Atividades Micro'!$K538,"")</f>
        <v/>
      </c>
      <c r="BG486" s="21" t="str">
        <f>IF(AND('Atividades Micro'!$B538=BG$2,'Atividades Micro'!$G538="Macro",'Atividades Micro'!$K538&lt;&gt;""),'Atividades Micro'!$K538,"")</f>
        <v/>
      </c>
      <c r="BH486" s="21" t="str">
        <f>IF(AND('Atividades Micro'!$B538=BH$2,'Atividades Micro'!$G538="Macro",'Atividades Micro'!$K538&lt;&gt;""),'Atividades Micro'!$K538,"")</f>
        <v/>
      </c>
      <c r="BI486" s="21" t="str">
        <f>IF(AND('Atividades Micro'!$B538=BI$2,'Atividades Micro'!$G538="Macro",'Atividades Micro'!$K538&lt;&gt;""),'Atividades Micro'!$K538,"")</f>
        <v/>
      </c>
      <c r="BJ486" s="21" t="str">
        <f>IF(AND('Atividades Micro'!$B538=BJ$2,'Atividades Micro'!$G538="Macro",'Atividades Micro'!$K538&lt;&gt;""),'Atividades Micro'!$K538,"")</f>
        <v/>
      </c>
      <c r="BK486" s="21" t="str">
        <f>IF(AND('Atividades Micro'!$B538=BK$2,'Atividades Micro'!$G538="Macro",'Atividades Micro'!$K538&lt;&gt;""),'Atividades Micro'!$K538,"")</f>
        <v/>
      </c>
      <c r="BL486" s="21" t="str">
        <f>IF(AND('Atividades Micro'!$B538=BL$2,'Atividades Micro'!$G538="Macro",'Atividades Micro'!$K538&lt;&gt;""),'Atividades Micro'!$K538,"")</f>
        <v/>
      </c>
      <c r="BM486" s="21" t="str">
        <f>IF(AND('Atividades Micro'!$B538=BM$2,'Atividades Micro'!$G538="Macro",'Atividades Micro'!$K538&lt;&gt;""),'Atividades Micro'!$K538,"")</f>
        <v/>
      </c>
      <c r="BN486" s="21" t="str">
        <f>IF(AND('Atividades Micro'!$B538=BN$2,'Atividades Micro'!$G538="Macro",'Atividades Micro'!$K538&lt;&gt;""),'Atividades Micro'!$K538,"")</f>
        <v/>
      </c>
      <c r="BO486" s="21" t="str">
        <f>IF(AND('Atividades Micro'!$B538=BO$2,'Atividades Micro'!$G538="Macro",'Atividades Micro'!$K538&lt;&gt;""),'Atividades Micro'!$K538,"")</f>
        <v/>
      </c>
      <c r="BP486" s="21" t="str">
        <f>IF(AND('Atividades Micro'!$B538=BP$2,'Atividades Micro'!$G538="Macro",'Atividades Micro'!$K538&lt;&gt;""),'Atividades Micro'!$K538,"")</f>
        <v/>
      </c>
      <c r="BQ486" s="21" t="str">
        <f>IF(AND('Atividades Micro'!$B538=BQ$2,'Atividades Micro'!$G538="Macro",'Atividades Micro'!$K538&lt;&gt;""),'Atividades Micro'!$K538,"")</f>
        <v/>
      </c>
      <c r="BR486" s="21" t="str">
        <f>IF(AND('Atividades Micro'!$B538=BR$2,'Atividades Micro'!$G538="Macro",'Atividades Micro'!$K538&lt;&gt;""),'Atividades Micro'!$K538,"")</f>
        <v/>
      </c>
      <c r="BS486" s="21" t="str">
        <f>IF(AND('Atividades Micro'!$B538=BS$2,'Atividades Micro'!$G538="Macro",'Atividades Micro'!$K538&lt;&gt;""),'Atividades Micro'!$K538,"")</f>
        <v/>
      </c>
      <c r="BT486" s="21" t="str">
        <f>IF(AND('Atividades Micro'!$B538=BT$2,'Atividades Micro'!$G538="Macro",'Atividades Micro'!$K538&lt;&gt;""),'Atividades Micro'!$K538,"")</f>
        <v/>
      </c>
      <c r="BU486" s="21" t="str">
        <f>IF(AND('Atividades Micro'!$B538=BU$2,'Atividades Micro'!$G538="Macro",'Atividades Micro'!$K538&lt;&gt;""),'Atividades Micro'!$K538,"")</f>
        <v/>
      </c>
      <c r="BV486" s="21" t="str">
        <f>IF(AND('Atividades Micro'!$B538=BV$2,'Atividades Micro'!$G538="Macro",'Atividades Micro'!$K538&lt;&gt;""),'Atividades Micro'!$K538,"")</f>
        <v/>
      </c>
      <c r="BW486" s="21" t="str">
        <f>IF(AND('Atividades Micro'!$B538=BW$2,'Atividades Micro'!$G538="Macro",'Atividades Micro'!$K538&lt;&gt;""),'Atividades Micro'!$K538,"")</f>
        <v/>
      </c>
      <c r="BX486" s="21" t="str">
        <f>IF(AND('Atividades Micro'!$B538=BX$2,'Atividades Micro'!$G538="Macro",'Atividades Micro'!$K538&lt;&gt;""),'Atividades Micro'!$K538,"")</f>
        <v/>
      </c>
      <c r="BY486" s="21" t="str">
        <f>IF(AND('Atividades Micro'!$B538=BY$2,'Atividades Micro'!$G538="Macro",'Atividades Micro'!$K538&lt;&gt;""),'Atividades Micro'!$K538,"")</f>
        <v/>
      </c>
      <c r="BZ486" s="21" t="str">
        <f>IF(AND('Atividades Micro'!$B538=BZ$2,'Atividades Micro'!$G538="Macro",'Atividades Micro'!$K538&lt;&gt;""),'Atividades Micro'!$K538,"")</f>
        <v/>
      </c>
      <c r="CA486" s="21" t="str">
        <f>IF(AND('Atividades Micro'!$B538=CA$2,'Atividades Micro'!$G538="Macro",'Atividades Micro'!$K538&lt;&gt;""),'Atividades Micro'!$K538,"")</f>
        <v/>
      </c>
      <c r="CB486" s="21" t="str">
        <f>IF(AND('Atividades Micro'!$B538=CB$2,'Atividades Micro'!$G538="Macro",'Atividades Micro'!$K538&lt;&gt;""),'Atividades Micro'!$K538,"")</f>
        <v/>
      </c>
      <c r="CC486" s="21" t="str">
        <f>IF(AND('Atividades Micro'!$B538=CC$2,'Atividades Micro'!$G538="Macro",'Atividades Micro'!$K538&lt;&gt;""),'Atividades Micro'!$K538,"")</f>
        <v/>
      </c>
      <c r="CD486" s="21" t="str">
        <f>IF(AND('Atividades Micro'!$B538=CD$2,'Atividades Micro'!$G538="Micro",'Atividades Micro'!$K538&lt;&gt;""),'Atividades Micro'!$K538,"")</f>
        <v/>
      </c>
      <c r="CE486" s="21" t="str">
        <f>IF(AND('Atividades Micro'!$B538=CE$2,'Atividades Micro'!$G538="Micro",'Atividades Micro'!$K538&lt;&gt;""),'Atividades Micro'!$K538,"")</f>
        <v/>
      </c>
      <c r="CF486" s="21" t="str">
        <f>IF(AND('Atividades Micro'!$B538=CF$2,'Atividades Micro'!$G538="Micro",'Atividades Micro'!$K538&lt;&gt;""),'Atividades Micro'!$K538,"")</f>
        <v/>
      </c>
      <c r="CG486" s="21" t="str">
        <f>IF(AND('Atividades Micro'!$B538=CG$2,'Atividades Micro'!$G538="Micro",'Atividades Micro'!$K538&lt;&gt;""),'Atividades Micro'!$K538,"")</f>
        <v/>
      </c>
      <c r="CH486" s="21" t="str">
        <f>IF(AND('Atividades Micro'!$B538=CH$2,'Atividades Micro'!$G538="Micro",'Atividades Micro'!$K538&lt;&gt;""),'Atividades Micro'!$K538,"")</f>
        <v/>
      </c>
      <c r="CI486" s="21" t="str">
        <f>IF(AND('Atividades Micro'!$B538=CI$2,'Atividades Micro'!$G538="Micro",'Atividades Micro'!$K538&lt;&gt;""),'Atividades Micro'!$K538,"")</f>
        <v/>
      </c>
      <c r="CJ486" s="21" t="str">
        <f>IF(AND('Atividades Micro'!$B538=CJ$2,'Atividades Micro'!$G538="Micro",'Atividades Micro'!$K538&lt;&gt;""),'Atividades Micro'!$K538,"")</f>
        <v/>
      </c>
      <c r="CK486" s="21" t="str">
        <f>IF(AND('Atividades Micro'!$B538=CK$2,'Atividades Micro'!$G538="Micro",'Atividades Micro'!$K538&lt;&gt;""),'Atividades Micro'!$K538,"")</f>
        <v/>
      </c>
      <c r="CL486" s="21" t="str">
        <f>IF(AND('Atividades Micro'!$B538=CL$2,'Atividades Micro'!$G538="Micro",'Atividades Micro'!$K538&lt;&gt;""),'Atividades Micro'!$K538,"")</f>
        <v/>
      </c>
      <c r="CM486" s="21" t="str">
        <f>IF(AND('Atividades Micro'!$B538=CM$2,'Atividades Micro'!$G538="Micro",'Atividades Micro'!$K538&lt;&gt;""),'Atividades Micro'!$K538,"")</f>
        <v/>
      </c>
      <c r="CN486" s="21" t="str">
        <f>IF(AND('Atividades Micro'!$B538=CN$2,'Atividades Micro'!$G538="Micro",'Atividades Micro'!$K538&lt;&gt;""),'Atividades Micro'!$K538,"")</f>
        <v/>
      </c>
      <c r="CO486" s="21" t="str">
        <f>IF(AND('Atividades Micro'!$B538=CO$2,'Atividades Micro'!$G538="Micro",'Atividades Micro'!$K538&lt;&gt;""),'Atividades Micro'!$K538,"")</f>
        <v/>
      </c>
    </row>
    <row r="487" spans="1:93">
      <c r="A487" s="21" t="str">
        <f>IF(AND('Atividades Micro'!$A539=A$2,'Atividades Micro'!$K539&lt;&gt;""),'Atividades Micro'!$K539,"")</f>
        <v/>
      </c>
      <c r="B487" s="21" t="str">
        <f>IF(AND('Atividades Micro'!$A539=B$2,'Atividades Micro'!$L539&lt;&gt;""),'Atividades Micro'!$L539,"")</f>
        <v/>
      </c>
      <c r="C487" s="21" t="str">
        <f>IF(AND('Atividades Micro'!$A539=C$2,'Atividades Micro'!$K539&lt;&gt;""),'Atividades Micro'!$K539,"")</f>
        <v/>
      </c>
      <c r="D487" s="21" t="str">
        <f>IF(AND('Atividades Micro'!$A539=D$2,'Atividades Micro'!$L539&lt;&gt;""),'Atividades Micro'!$L539,"")</f>
        <v/>
      </c>
      <c r="E487" s="21" t="str">
        <f>IF(AND('Atividades Micro'!$A539=E$2,'Atividades Micro'!$K539&lt;&gt;""),'Atividades Micro'!$K539,"")</f>
        <v/>
      </c>
      <c r="F487" s="21" t="str">
        <f>IF(AND('Atividades Micro'!$A539=F$2,'Atividades Micro'!$L539&lt;&gt;""),'Atividades Micro'!$L539,"")</f>
        <v/>
      </c>
      <c r="G487" s="21" t="str">
        <f>IF(AND('Atividades Micro'!$A539=G$2,'Atividades Micro'!$K539&lt;&gt;""),'Atividades Micro'!$K539,"")</f>
        <v/>
      </c>
      <c r="H487" s="21" t="str">
        <f>IF(AND('Atividades Micro'!$A539=H$2,'Atividades Micro'!$L539&lt;&gt;""),'Atividades Micro'!$L539,"")</f>
        <v/>
      </c>
      <c r="I487" s="21" t="str">
        <f>IF(AND('Atividades Micro'!$A539=I$2,'Atividades Micro'!$K539&lt;&gt;""),'Atividades Micro'!$K539,"")</f>
        <v/>
      </c>
      <c r="J487" s="21" t="str">
        <f>IF(AND('Atividades Micro'!$A539=J$2,'Atividades Micro'!$L539&lt;&gt;""),'Atividades Micro'!$L539,"")</f>
        <v/>
      </c>
      <c r="K487" s="21" t="str">
        <f>IF(AND('Atividades Micro'!$B539=K$2,'Atividades Micro'!$K539&lt;&gt;""),'Atividades Micro'!$K539,"")</f>
        <v/>
      </c>
      <c r="L487" s="21" t="str">
        <f>IF(AND('Atividades Micro'!$B539=L$2,'Atividades Micro'!$L539&lt;&gt;""),'Atividades Micro'!$L539,"")</f>
        <v/>
      </c>
      <c r="M487" s="21" t="str">
        <f>IF(AND('Atividades Micro'!$B539=M$2,'Atividades Micro'!$K539&lt;&gt;""),'Atividades Micro'!$K539,"")</f>
        <v/>
      </c>
      <c r="N487" s="21" t="str">
        <f>IF(AND('Atividades Micro'!$B539=N$2,'Atividades Micro'!$L539&lt;&gt;""),'Atividades Micro'!$L539,"")</f>
        <v/>
      </c>
      <c r="O487" s="21" t="str">
        <f>IF(AND('Atividades Micro'!$A539=O$2,'Atividades Micro'!$K539&lt;&gt;""),'Atividades Micro'!$K539,"")</f>
        <v/>
      </c>
      <c r="P487" s="21" t="str">
        <f>IF(AND('Atividades Micro'!$A539=P$2,'Atividades Micro'!$L539&lt;&gt;""),'Atividades Micro'!$L539,"")</f>
        <v/>
      </c>
      <c r="Q487" s="21" t="str">
        <f>IF(AND('Atividades Micro'!$B539=Q$2,'Atividades Micro'!$K539&lt;&gt;""),'Atividades Micro'!$K539,"")</f>
        <v/>
      </c>
      <c r="R487" s="21" t="str">
        <f>IF(AND('Atividades Micro'!$B539=R$2,'Atividades Micro'!$L539&lt;&gt;""),'Atividades Micro'!$L539,"")</f>
        <v/>
      </c>
      <c r="S487" s="21" t="str">
        <f>IF(AND('Atividades Micro'!$A539=S$2,'Atividades Micro'!$K539&lt;&gt;""),'Atividades Micro'!$K539,"")</f>
        <v/>
      </c>
      <c r="T487" s="21" t="str">
        <f>IF(AND('Atividades Micro'!$A539=T$2,'Atividades Micro'!$L539&lt;&gt;""),'Atividades Micro'!$L539,"")</f>
        <v/>
      </c>
      <c r="U487" s="21" t="str">
        <f>IF(AND('Atividades Micro'!$B539=U$2,'Atividades Micro'!$K539&lt;&gt;""),'Atividades Micro'!$K539,"")</f>
        <v/>
      </c>
      <c r="V487" s="21" t="str">
        <f>IF(AND('Atividades Micro'!$B539=V$2,'Atividades Micro'!$L539&lt;&gt;""),'Atividades Micro'!$L539,"")</f>
        <v/>
      </c>
      <c r="W487" s="21" t="str">
        <f>IF(AND('Atividades Micro'!$B539=W$2,'Atividades Micro'!$K539&lt;&gt;""),'Atividades Micro'!$K539,"")</f>
        <v/>
      </c>
      <c r="X487" s="21" t="str">
        <f>IF(AND('Atividades Micro'!$B539=X$2,'Atividades Micro'!$L539&lt;&gt;""),'Atividades Micro'!$L539,"")</f>
        <v/>
      </c>
      <c r="Y487" s="21" t="str">
        <f>IF(AND('Atividades Micro'!$A539=Y$2,'Atividades Micro'!$K539&lt;&gt;""),'Atividades Micro'!$K539,"")</f>
        <v/>
      </c>
      <c r="Z487" s="21" t="str">
        <f>IF(AND('Atividades Micro'!$A539=Z$2,'Atividades Micro'!$L539&lt;&gt;""),'Atividades Micro'!$L539,"")</f>
        <v/>
      </c>
      <c r="AA487" s="21" t="str">
        <f>IF(AND('Atividades Micro'!$B539=AA$2,'Atividades Micro'!$K539&lt;&gt;""),'Atividades Micro'!$K539,"")</f>
        <v/>
      </c>
      <c r="AB487" s="21" t="str">
        <f>IF(AND('Atividades Micro'!$B539=AB$2,'Atividades Micro'!$L539&lt;&gt;""),'Atividades Micro'!$L539,"")</f>
        <v/>
      </c>
      <c r="AC487" s="21" t="str">
        <f>IF(AND('Atividades Micro'!$B539=AC$2,'Atividades Micro'!$K539&lt;&gt;""),'Atividades Micro'!$K539,"")</f>
        <v/>
      </c>
      <c r="AD487" s="21" t="str">
        <f>IF(AND('Atividades Micro'!$B539=AD$2,'Atividades Micro'!$L539&lt;&gt;""),'Atividades Micro'!$L539,"")</f>
        <v/>
      </c>
      <c r="AE487" s="21" t="str">
        <f>IF(AND('Atividades Micro'!$A539=AE$2,'Atividades Micro'!$K539&lt;&gt;""),'Atividades Micro'!$K539,"")</f>
        <v/>
      </c>
      <c r="AF487" s="21" t="str">
        <f>IF(AND('Atividades Micro'!$A539=AF$2,'Atividades Micro'!$L539&lt;&gt;""),'Atividades Micro'!$L539,"")</f>
        <v/>
      </c>
      <c r="AG487" s="21" t="str">
        <f>IF(AND('Atividades Micro'!$B539=AG$2,'Atividades Micro'!$K539&lt;&gt;""),'Atividades Micro'!$K539,"")</f>
        <v/>
      </c>
      <c r="AH487" s="21" t="str">
        <f>IF(AND('Atividades Micro'!$B539=AH$2,'Atividades Micro'!$L539&lt;&gt;""),'Atividades Micro'!$L539,"")</f>
        <v/>
      </c>
      <c r="AI487" s="21" t="str">
        <f>IF(AND('Atividades Micro'!$B539=AI$2,'Atividades Micro'!$K539&lt;&gt;""),'Atividades Micro'!$K539,"")</f>
        <v/>
      </c>
      <c r="AJ487" s="21" t="str">
        <f>IF(AND('Atividades Micro'!$B539=AJ$2,'Atividades Micro'!$L539&lt;&gt;""),'Atividades Micro'!$L539,"")</f>
        <v/>
      </c>
      <c r="AK487" s="21" t="str">
        <f>IF(AND('Atividades Micro'!$A539=AK$2,'Atividades Micro'!$K539&lt;&gt;""),'Atividades Micro'!$K539,"")</f>
        <v/>
      </c>
      <c r="AL487" s="21" t="str">
        <f>IF(AND('Atividades Micro'!$A539=AL$2,'Atividades Micro'!$L539&lt;&gt;""),'Atividades Micro'!$L539,"")</f>
        <v/>
      </c>
      <c r="AM487" s="21" t="str">
        <f>IF(AND('Atividades Micro'!$B539=AM$2,'Atividades Micro'!$K539&lt;&gt;""),'Atividades Micro'!$K539,"")</f>
        <v/>
      </c>
      <c r="AN487" s="21" t="str">
        <f>IF(AND('Atividades Micro'!$B539=AN$2,'Atividades Micro'!$L539&lt;&gt;""),'Atividades Micro'!$L539,"")</f>
        <v/>
      </c>
      <c r="AO487" s="21" t="str">
        <f>IF(AND('Atividades Micro'!$B539=AO$2,'Atividades Micro'!$K539&lt;&gt;""),'Atividades Micro'!$K539,"")</f>
        <v/>
      </c>
      <c r="AP487" s="21" t="str">
        <f>IF(AND('Atividades Micro'!$B539=AP$2,'Atividades Micro'!$L539&lt;&gt;""),'Atividades Micro'!$L539,"")</f>
        <v/>
      </c>
      <c r="AQ487" s="21" t="str">
        <f>IF(AND('Atividades Micro'!$A539=AQ$2,'Atividades Micro'!$K539&lt;&gt;""),'Atividades Micro'!$K539,"")</f>
        <v/>
      </c>
      <c r="AR487" s="21" t="str">
        <f>IF(AND('Atividades Micro'!$A539=AR$2,'Atividades Micro'!$L539&lt;&gt;""),'Atividades Micro'!$L539,"")</f>
        <v/>
      </c>
      <c r="AS487" s="21" t="str">
        <f>IF(AND('Atividades Micro'!$B539=AS$2,'Atividades Micro'!$K539&lt;&gt;""),'Atividades Micro'!$K539,"")</f>
        <v/>
      </c>
      <c r="AT487" s="21" t="str">
        <f>IF(AND('Atividades Micro'!$B539=AT$2,'Atividades Micro'!$L539&lt;&gt;""),'Atividades Micro'!$L539,"")</f>
        <v/>
      </c>
      <c r="AU487" s="21" t="str">
        <f>IF(AND('Atividades Micro'!$A539=AU$2,'Atividades Micro'!$K539&lt;&gt;""),'Atividades Micro'!$K539,"")</f>
        <v/>
      </c>
      <c r="AV487" s="21" t="str">
        <f>IF(AND('Atividades Micro'!$A539=AV$2,'Atividades Micro'!$L539&lt;&gt;""),'Atividades Micro'!$L539,"")</f>
        <v/>
      </c>
      <c r="AW487" s="21" t="str">
        <f>IF(AND('Atividades Micro'!$B539=AW$2,'Atividades Micro'!$K539&lt;&gt;""),'Atividades Micro'!$K539,"")</f>
        <v/>
      </c>
      <c r="AX487" s="21" t="str">
        <f>IF(AND('Atividades Micro'!$B539=AX$2,'Atividades Micro'!$L539&lt;&gt;""),'Atividades Micro'!$L539,"")</f>
        <v/>
      </c>
      <c r="AY487" s="21" t="str">
        <f>IF(AND('Atividades Micro'!$A539=AY$2,'Atividades Micro'!$K539&lt;&gt;""),'Atividades Micro'!$K539,"")</f>
        <v/>
      </c>
      <c r="AZ487" s="21" t="str">
        <f>IF(AND('Atividades Micro'!$A539=AZ$2,'Atividades Micro'!$L539&lt;&gt;""),'Atividades Micro'!$L539,"")</f>
        <v/>
      </c>
      <c r="BA487" s="21" t="str">
        <f>IF(AND('Atividades Micro'!$B539=BA$2,'Atividades Micro'!$K539&lt;&gt;""),'Atividades Micro'!$K539,"")</f>
        <v/>
      </c>
      <c r="BB487" s="21" t="str">
        <f>IF(AND('Atividades Micro'!$B539=BB$2,'Atividades Micro'!$L539&lt;&gt;""),'Atividades Micro'!$L539,"")</f>
        <v/>
      </c>
      <c r="BC487" s="21" t="str">
        <f>IF(AND('Atividades Micro'!$B539=BC$2,'Atividades Micro'!$G539="Macro",'Atividades Micro'!$K539&lt;&gt;""),'Atividades Micro'!$K539,"")</f>
        <v/>
      </c>
      <c r="BD487" s="21" t="str">
        <f>IF(AND('Atividades Micro'!$B539=BD$2,'Atividades Micro'!$G539="Macro",'Atividades Micro'!$K539&lt;&gt;""),'Atividades Micro'!$K539,"")</f>
        <v/>
      </c>
      <c r="BE487" s="21" t="str">
        <f>IF(AND('Atividades Micro'!$B539=BE$2,'Atividades Micro'!$G539="Macro",'Atividades Micro'!$K539&lt;&gt;""),'Atividades Micro'!$K539,"")</f>
        <v/>
      </c>
      <c r="BF487" s="21" t="str">
        <f>IF(AND('Atividades Micro'!$B539=BF$2,'Atividades Micro'!$G539="Macro",'Atividades Micro'!$K539&lt;&gt;""),'Atividades Micro'!$K539,"")</f>
        <v/>
      </c>
      <c r="BG487" s="21" t="str">
        <f>IF(AND('Atividades Micro'!$B539=BG$2,'Atividades Micro'!$G539="Macro",'Atividades Micro'!$K539&lt;&gt;""),'Atividades Micro'!$K539,"")</f>
        <v/>
      </c>
      <c r="BH487" s="21" t="str">
        <f>IF(AND('Atividades Micro'!$B539=BH$2,'Atividades Micro'!$G539="Macro",'Atividades Micro'!$K539&lt;&gt;""),'Atividades Micro'!$K539,"")</f>
        <v/>
      </c>
      <c r="BI487" s="21" t="str">
        <f>IF(AND('Atividades Micro'!$B539=BI$2,'Atividades Micro'!$G539="Macro",'Atividades Micro'!$K539&lt;&gt;""),'Atividades Micro'!$K539,"")</f>
        <v/>
      </c>
      <c r="BJ487" s="21" t="str">
        <f>IF(AND('Atividades Micro'!$B539=BJ$2,'Atividades Micro'!$G539="Macro",'Atividades Micro'!$K539&lt;&gt;""),'Atividades Micro'!$K539,"")</f>
        <v/>
      </c>
      <c r="BK487" s="21" t="str">
        <f>IF(AND('Atividades Micro'!$B539=BK$2,'Atividades Micro'!$G539="Macro",'Atividades Micro'!$K539&lt;&gt;""),'Atividades Micro'!$K539,"")</f>
        <v/>
      </c>
      <c r="BL487" s="21" t="str">
        <f>IF(AND('Atividades Micro'!$B539=BL$2,'Atividades Micro'!$G539="Macro",'Atividades Micro'!$K539&lt;&gt;""),'Atividades Micro'!$K539,"")</f>
        <v/>
      </c>
      <c r="BM487" s="21" t="str">
        <f>IF(AND('Atividades Micro'!$B539=BM$2,'Atividades Micro'!$G539="Macro",'Atividades Micro'!$K539&lt;&gt;""),'Atividades Micro'!$K539,"")</f>
        <v/>
      </c>
      <c r="BN487" s="21" t="str">
        <f>IF(AND('Atividades Micro'!$B539=BN$2,'Atividades Micro'!$G539="Macro",'Atividades Micro'!$K539&lt;&gt;""),'Atividades Micro'!$K539,"")</f>
        <v/>
      </c>
      <c r="BO487" s="21" t="str">
        <f>IF(AND('Atividades Micro'!$B539=BO$2,'Atividades Micro'!$G539="Macro",'Atividades Micro'!$K539&lt;&gt;""),'Atividades Micro'!$K539,"")</f>
        <v/>
      </c>
      <c r="BP487" s="21" t="str">
        <f>IF(AND('Atividades Micro'!$B539=BP$2,'Atividades Micro'!$G539="Macro",'Atividades Micro'!$K539&lt;&gt;""),'Atividades Micro'!$K539,"")</f>
        <v/>
      </c>
      <c r="BQ487" s="21" t="str">
        <f>IF(AND('Atividades Micro'!$B539=BQ$2,'Atividades Micro'!$G539="Macro",'Atividades Micro'!$K539&lt;&gt;""),'Atividades Micro'!$K539,"")</f>
        <v/>
      </c>
      <c r="BR487" s="21" t="str">
        <f>IF(AND('Atividades Micro'!$B539=BR$2,'Atividades Micro'!$G539="Macro",'Atividades Micro'!$K539&lt;&gt;""),'Atividades Micro'!$K539,"")</f>
        <v/>
      </c>
      <c r="BS487" s="21" t="str">
        <f>IF(AND('Atividades Micro'!$B539=BS$2,'Atividades Micro'!$G539="Macro",'Atividades Micro'!$K539&lt;&gt;""),'Atividades Micro'!$K539,"")</f>
        <v/>
      </c>
      <c r="BT487" s="21" t="str">
        <f>IF(AND('Atividades Micro'!$B539=BT$2,'Atividades Micro'!$G539="Macro",'Atividades Micro'!$K539&lt;&gt;""),'Atividades Micro'!$K539,"")</f>
        <v/>
      </c>
      <c r="BU487" s="21" t="str">
        <f>IF(AND('Atividades Micro'!$B539=BU$2,'Atividades Micro'!$G539="Macro",'Atividades Micro'!$K539&lt;&gt;""),'Atividades Micro'!$K539,"")</f>
        <v/>
      </c>
      <c r="BV487" s="21" t="str">
        <f>IF(AND('Atividades Micro'!$B539=BV$2,'Atividades Micro'!$G539="Macro",'Atividades Micro'!$K539&lt;&gt;""),'Atividades Micro'!$K539,"")</f>
        <v/>
      </c>
      <c r="BW487" s="21" t="str">
        <f>IF(AND('Atividades Micro'!$B539=BW$2,'Atividades Micro'!$G539="Macro",'Atividades Micro'!$K539&lt;&gt;""),'Atividades Micro'!$K539,"")</f>
        <v/>
      </c>
      <c r="BX487" s="21" t="str">
        <f>IF(AND('Atividades Micro'!$B539=BX$2,'Atividades Micro'!$G539="Macro",'Atividades Micro'!$K539&lt;&gt;""),'Atividades Micro'!$K539,"")</f>
        <v/>
      </c>
      <c r="BY487" s="21" t="str">
        <f>IF(AND('Atividades Micro'!$B539=BY$2,'Atividades Micro'!$G539="Macro",'Atividades Micro'!$K539&lt;&gt;""),'Atividades Micro'!$K539,"")</f>
        <v/>
      </c>
      <c r="BZ487" s="21" t="str">
        <f>IF(AND('Atividades Micro'!$B539=BZ$2,'Atividades Micro'!$G539="Macro",'Atividades Micro'!$K539&lt;&gt;""),'Atividades Micro'!$K539,"")</f>
        <v/>
      </c>
      <c r="CA487" s="21" t="str">
        <f>IF(AND('Atividades Micro'!$B539=CA$2,'Atividades Micro'!$G539="Macro",'Atividades Micro'!$K539&lt;&gt;""),'Atividades Micro'!$K539,"")</f>
        <v/>
      </c>
      <c r="CB487" s="21" t="str">
        <f>IF(AND('Atividades Micro'!$B539=CB$2,'Atividades Micro'!$G539="Macro",'Atividades Micro'!$K539&lt;&gt;""),'Atividades Micro'!$K539,"")</f>
        <v/>
      </c>
      <c r="CC487" s="21" t="str">
        <f>IF(AND('Atividades Micro'!$B539=CC$2,'Atividades Micro'!$G539="Macro",'Atividades Micro'!$K539&lt;&gt;""),'Atividades Micro'!$K539,"")</f>
        <v/>
      </c>
      <c r="CD487" s="21" t="str">
        <f>IF(AND('Atividades Micro'!$B539=CD$2,'Atividades Micro'!$G539="Micro",'Atividades Micro'!$K539&lt;&gt;""),'Atividades Micro'!$K539,"")</f>
        <v/>
      </c>
      <c r="CE487" s="21" t="str">
        <f>IF(AND('Atividades Micro'!$B539=CE$2,'Atividades Micro'!$G539="Micro",'Atividades Micro'!$K539&lt;&gt;""),'Atividades Micro'!$K539,"")</f>
        <v/>
      </c>
      <c r="CF487" s="21" t="str">
        <f>IF(AND('Atividades Micro'!$B539=CF$2,'Atividades Micro'!$G539="Micro",'Atividades Micro'!$K539&lt;&gt;""),'Atividades Micro'!$K539,"")</f>
        <v/>
      </c>
      <c r="CG487" s="21" t="str">
        <f>IF(AND('Atividades Micro'!$B539=CG$2,'Atividades Micro'!$G539="Micro",'Atividades Micro'!$K539&lt;&gt;""),'Atividades Micro'!$K539,"")</f>
        <v/>
      </c>
      <c r="CH487" s="21" t="str">
        <f>IF(AND('Atividades Micro'!$B539=CH$2,'Atividades Micro'!$G539="Micro",'Atividades Micro'!$K539&lt;&gt;""),'Atividades Micro'!$K539,"")</f>
        <v/>
      </c>
      <c r="CI487" s="21" t="str">
        <f>IF(AND('Atividades Micro'!$B539=CI$2,'Atividades Micro'!$G539="Micro",'Atividades Micro'!$K539&lt;&gt;""),'Atividades Micro'!$K539,"")</f>
        <v/>
      </c>
      <c r="CJ487" s="21" t="str">
        <f>IF(AND('Atividades Micro'!$B539=CJ$2,'Atividades Micro'!$G539="Micro",'Atividades Micro'!$K539&lt;&gt;""),'Atividades Micro'!$K539,"")</f>
        <v/>
      </c>
      <c r="CK487" s="21" t="str">
        <f>IF(AND('Atividades Micro'!$B539=CK$2,'Atividades Micro'!$G539="Micro",'Atividades Micro'!$K539&lt;&gt;""),'Atividades Micro'!$K539,"")</f>
        <v/>
      </c>
      <c r="CL487" s="21" t="str">
        <f>IF(AND('Atividades Micro'!$B539=CL$2,'Atividades Micro'!$G539="Micro",'Atividades Micro'!$K539&lt;&gt;""),'Atividades Micro'!$K539,"")</f>
        <v/>
      </c>
      <c r="CM487" s="21" t="str">
        <f>IF(AND('Atividades Micro'!$B539=CM$2,'Atividades Micro'!$G539="Micro",'Atividades Micro'!$K539&lt;&gt;""),'Atividades Micro'!$K539,"")</f>
        <v/>
      </c>
      <c r="CN487" s="21" t="str">
        <f>IF(AND('Atividades Micro'!$B539=CN$2,'Atividades Micro'!$G539="Micro",'Atividades Micro'!$K539&lt;&gt;""),'Atividades Micro'!$K539,"")</f>
        <v/>
      </c>
      <c r="CO487" s="21" t="str">
        <f>IF(AND('Atividades Micro'!$B539=CO$2,'Atividades Micro'!$G539="Micro",'Atividades Micro'!$K539&lt;&gt;""),'Atividades Micro'!$K539,"")</f>
        <v/>
      </c>
    </row>
    <row r="488" spans="1:93">
      <c r="A488" s="21" t="str">
        <f>IF(AND('Atividades Micro'!$A540=A$2,'Atividades Micro'!$K540&lt;&gt;""),'Atividades Micro'!$K540,"")</f>
        <v/>
      </c>
      <c r="B488" s="21" t="str">
        <f>IF(AND('Atividades Micro'!$A540=B$2,'Atividades Micro'!$L540&lt;&gt;""),'Atividades Micro'!$L540,"")</f>
        <v/>
      </c>
      <c r="C488" s="21" t="str">
        <f>IF(AND('Atividades Micro'!$A540=C$2,'Atividades Micro'!$K540&lt;&gt;""),'Atividades Micro'!$K540,"")</f>
        <v/>
      </c>
      <c r="D488" s="21" t="str">
        <f>IF(AND('Atividades Micro'!$A540=D$2,'Atividades Micro'!$L540&lt;&gt;""),'Atividades Micro'!$L540,"")</f>
        <v/>
      </c>
      <c r="E488" s="21" t="str">
        <f>IF(AND('Atividades Micro'!$A540=E$2,'Atividades Micro'!$K540&lt;&gt;""),'Atividades Micro'!$K540,"")</f>
        <v/>
      </c>
      <c r="F488" s="21" t="str">
        <f>IF(AND('Atividades Micro'!$A540=F$2,'Atividades Micro'!$L540&lt;&gt;""),'Atividades Micro'!$L540,"")</f>
        <v/>
      </c>
      <c r="G488" s="21" t="str">
        <f>IF(AND('Atividades Micro'!$A540=G$2,'Atividades Micro'!$K540&lt;&gt;""),'Atividades Micro'!$K540,"")</f>
        <v/>
      </c>
      <c r="H488" s="21" t="str">
        <f>IF(AND('Atividades Micro'!$A540=H$2,'Atividades Micro'!$L540&lt;&gt;""),'Atividades Micro'!$L540,"")</f>
        <v/>
      </c>
      <c r="I488" s="21" t="str">
        <f>IF(AND('Atividades Micro'!$A540=I$2,'Atividades Micro'!$K540&lt;&gt;""),'Atividades Micro'!$K540,"")</f>
        <v/>
      </c>
      <c r="J488" s="21" t="str">
        <f>IF(AND('Atividades Micro'!$A540=J$2,'Atividades Micro'!$L540&lt;&gt;""),'Atividades Micro'!$L540,"")</f>
        <v/>
      </c>
      <c r="K488" s="21" t="str">
        <f>IF(AND('Atividades Micro'!$B540=K$2,'Atividades Micro'!$K540&lt;&gt;""),'Atividades Micro'!$K540,"")</f>
        <v/>
      </c>
      <c r="L488" s="21" t="str">
        <f>IF(AND('Atividades Micro'!$B540=L$2,'Atividades Micro'!$L540&lt;&gt;""),'Atividades Micro'!$L540,"")</f>
        <v/>
      </c>
      <c r="M488" s="21" t="str">
        <f>IF(AND('Atividades Micro'!$B540=M$2,'Atividades Micro'!$K540&lt;&gt;""),'Atividades Micro'!$K540,"")</f>
        <v/>
      </c>
      <c r="N488" s="21" t="str">
        <f>IF(AND('Atividades Micro'!$B540=N$2,'Atividades Micro'!$L540&lt;&gt;""),'Atividades Micro'!$L540,"")</f>
        <v/>
      </c>
      <c r="O488" s="21" t="str">
        <f>IF(AND('Atividades Micro'!$A540=O$2,'Atividades Micro'!$K540&lt;&gt;""),'Atividades Micro'!$K540,"")</f>
        <v/>
      </c>
      <c r="P488" s="21" t="str">
        <f>IF(AND('Atividades Micro'!$A540=P$2,'Atividades Micro'!$L540&lt;&gt;""),'Atividades Micro'!$L540,"")</f>
        <v/>
      </c>
      <c r="Q488" s="21" t="str">
        <f>IF(AND('Atividades Micro'!$B540=Q$2,'Atividades Micro'!$K540&lt;&gt;""),'Atividades Micro'!$K540,"")</f>
        <v/>
      </c>
      <c r="R488" s="21" t="str">
        <f>IF(AND('Atividades Micro'!$B540=R$2,'Atividades Micro'!$L540&lt;&gt;""),'Atividades Micro'!$L540,"")</f>
        <v/>
      </c>
      <c r="S488" s="21" t="str">
        <f>IF(AND('Atividades Micro'!$A540=S$2,'Atividades Micro'!$K540&lt;&gt;""),'Atividades Micro'!$K540,"")</f>
        <v/>
      </c>
      <c r="T488" s="21" t="str">
        <f>IF(AND('Atividades Micro'!$A540=T$2,'Atividades Micro'!$L540&lt;&gt;""),'Atividades Micro'!$L540,"")</f>
        <v/>
      </c>
      <c r="U488" s="21" t="str">
        <f>IF(AND('Atividades Micro'!$B540=U$2,'Atividades Micro'!$K540&lt;&gt;""),'Atividades Micro'!$K540,"")</f>
        <v/>
      </c>
      <c r="V488" s="21" t="str">
        <f>IF(AND('Atividades Micro'!$B540=V$2,'Atividades Micro'!$L540&lt;&gt;""),'Atividades Micro'!$L540,"")</f>
        <v/>
      </c>
      <c r="W488" s="21" t="str">
        <f>IF(AND('Atividades Micro'!$B540=W$2,'Atividades Micro'!$K540&lt;&gt;""),'Atividades Micro'!$K540,"")</f>
        <v/>
      </c>
      <c r="X488" s="21" t="str">
        <f>IF(AND('Atividades Micro'!$B540=X$2,'Atividades Micro'!$L540&lt;&gt;""),'Atividades Micro'!$L540,"")</f>
        <v/>
      </c>
      <c r="Y488" s="21" t="str">
        <f>IF(AND('Atividades Micro'!$A540=Y$2,'Atividades Micro'!$K540&lt;&gt;""),'Atividades Micro'!$K540,"")</f>
        <v/>
      </c>
      <c r="Z488" s="21" t="str">
        <f>IF(AND('Atividades Micro'!$A540=Z$2,'Atividades Micro'!$L540&lt;&gt;""),'Atividades Micro'!$L540,"")</f>
        <v/>
      </c>
      <c r="AA488" s="21" t="str">
        <f>IF(AND('Atividades Micro'!$B540=AA$2,'Atividades Micro'!$K540&lt;&gt;""),'Atividades Micro'!$K540,"")</f>
        <v/>
      </c>
      <c r="AB488" s="21" t="str">
        <f>IF(AND('Atividades Micro'!$B540=AB$2,'Atividades Micro'!$L540&lt;&gt;""),'Atividades Micro'!$L540,"")</f>
        <v/>
      </c>
      <c r="AC488" s="21" t="str">
        <f>IF(AND('Atividades Micro'!$B540=AC$2,'Atividades Micro'!$K540&lt;&gt;""),'Atividades Micro'!$K540,"")</f>
        <v/>
      </c>
      <c r="AD488" s="21" t="str">
        <f>IF(AND('Atividades Micro'!$B540=AD$2,'Atividades Micro'!$L540&lt;&gt;""),'Atividades Micro'!$L540,"")</f>
        <v/>
      </c>
      <c r="AE488" s="21" t="str">
        <f>IF(AND('Atividades Micro'!$A540=AE$2,'Atividades Micro'!$K540&lt;&gt;""),'Atividades Micro'!$K540,"")</f>
        <v/>
      </c>
      <c r="AF488" s="21" t="str">
        <f>IF(AND('Atividades Micro'!$A540=AF$2,'Atividades Micro'!$L540&lt;&gt;""),'Atividades Micro'!$L540,"")</f>
        <v/>
      </c>
      <c r="AG488" s="21" t="str">
        <f>IF(AND('Atividades Micro'!$B540=AG$2,'Atividades Micro'!$K540&lt;&gt;""),'Atividades Micro'!$K540,"")</f>
        <v/>
      </c>
      <c r="AH488" s="21" t="str">
        <f>IF(AND('Atividades Micro'!$B540=AH$2,'Atividades Micro'!$L540&lt;&gt;""),'Atividades Micro'!$L540,"")</f>
        <v/>
      </c>
      <c r="AI488" s="21" t="str">
        <f>IF(AND('Atividades Micro'!$B540=AI$2,'Atividades Micro'!$K540&lt;&gt;""),'Atividades Micro'!$K540,"")</f>
        <v/>
      </c>
      <c r="AJ488" s="21" t="str">
        <f>IF(AND('Atividades Micro'!$B540=AJ$2,'Atividades Micro'!$L540&lt;&gt;""),'Atividades Micro'!$L540,"")</f>
        <v/>
      </c>
      <c r="AK488" s="21" t="str">
        <f>IF(AND('Atividades Micro'!$A540=AK$2,'Atividades Micro'!$K540&lt;&gt;""),'Atividades Micro'!$K540,"")</f>
        <v/>
      </c>
      <c r="AL488" s="21" t="str">
        <f>IF(AND('Atividades Micro'!$A540=AL$2,'Atividades Micro'!$L540&lt;&gt;""),'Atividades Micro'!$L540,"")</f>
        <v/>
      </c>
      <c r="AM488" s="21" t="str">
        <f>IF(AND('Atividades Micro'!$B540=AM$2,'Atividades Micro'!$K540&lt;&gt;""),'Atividades Micro'!$K540,"")</f>
        <v/>
      </c>
      <c r="AN488" s="21" t="str">
        <f>IF(AND('Atividades Micro'!$B540=AN$2,'Atividades Micro'!$L540&lt;&gt;""),'Atividades Micro'!$L540,"")</f>
        <v/>
      </c>
      <c r="AO488" s="21" t="str">
        <f>IF(AND('Atividades Micro'!$B540=AO$2,'Atividades Micro'!$K540&lt;&gt;""),'Atividades Micro'!$K540,"")</f>
        <v/>
      </c>
      <c r="AP488" s="21" t="str">
        <f>IF(AND('Atividades Micro'!$B540=AP$2,'Atividades Micro'!$L540&lt;&gt;""),'Atividades Micro'!$L540,"")</f>
        <v/>
      </c>
      <c r="AQ488" s="21" t="str">
        <f>IF(AND('Atividades Micro'!$A540=AQ$2,'Atividades Micro'!$K540&lt;&gt;""),'Atividades Micro'!$K540,"")</f>
        <v/>
      </c>
      <c r="AR488" s="21" t="str">
        <f>IF(AND('Atividades Micro'!$A540=AR$2,'Atividades Micro'!$L540&lt;&gt;""),'Atividades Micro'!$L540,"")</f>
        <v/>
      </c>
      <c r="AS488" s="21" t="str">
        <f>IF(AND('Atividades Micro'!$B540=AS$2,'Atividades Micro'!$K540&lt;&gt;""),'Atividades Micro'!$K540,"")</f>
        <v/>
      </c>
      <c r="AT488" s="21" t="str">
        <f>IF(AND('Atividades Micro'!$B540=AT$2,'Atividades Micro'!$L540&lt;&gt;""),'Atividades Micro'!$L540,"")</f>
        <v/>
      </c>
      <c r="AU488" s="21" t="str">
        <f>IF(AND('Atividades Micro'!$A540=AU$2,'Atividades Micro'!$K540&lt;&gt;""),'Atividades Micro'!$K540,"")</f>
        <v/>
      </c>
      <c r="AV488" s="21" t="str">
        <f>IF(AND('Atividades Micro'!$A540=AV$2,'Atividades Micro'!$L540&lt;&gt;""),'Atividades Micro'!$L540,"")</f>
        <v/>
      </c>
      <c r="AW488" s="21" t="str">
        <f>IF(AND('Atividades Micro'!$B540=AW$2,'Atividades Micro'!$K540&lt;&gt;""),'Atividades Micro'!$K540,"")</f>
        <v/>
      </c>
      <c r="AX488" s="21" t="str">
        <f>IF(AND('Atividades Micro'!$B540=AX$2,'Atividades Micro'!$L540&lt;&gt;""),'Atividades Micro'!$L540,"")</f>
        <v/>
      </c>
      <c r="AY488" s="21" t="str">
        <f>IF(AND('Atividades Micro'!$A540=AY$2,'Atividades Micro'!$K540&lt;&gt;""),'Atividades Micro'!$K540,"")</f>
        <v/>
      </c>
      <c r="AZ488" s="21" t="str">
        <f>IF(AND('Atividades Micro'!$A540=AZ$2,'Atividades Micro'!$L540&lt;&gt;""),'Atividades Micro'!$L540,"")</f>
        <v/>
      </c>
      <c r="BA488" s="21" t="str">
        <f>IF(AND('Atividades Micro'!$B540=BA$2,'Atividades Micro'!$K540&lt;&gt;""),'Atividades Micro'!$K540,"")</f>
        <v/>
      </c>
      <c r="BB488" s="21" t="str">
        <f>IF(AND('Atividades Micro'!$B540=BB$2,'Atividades Micro'!$L540&lt;&gt;""),'Atividades Micro'!$L540,"")</f>
        <v/>
      </c>
      <c r="BC488" s="21" t="str">
        <f>IF(AND('Atividades Micro'!$B540=BC$2,'Atividades Micro'!$G540="Macro",'Atividades Micro'!$K540&lt;&gt;""),'Atividades Micro'!$K540,"")</f>
        <v/>
      </c>
      <c r="BD488" s="21" t="str">
        <f>IF(AND('Atividades Micro'!$B540=BD$2,'Atividades Micro'!$G540="Macro",'Atividades Micro'!$K540&lt;&gt;""),'Atividades Micro'!$K540,"")</f>
        <v/>
      </c>
      <c r="BE488" s="21" t="str">
        <f>IF(AND('Atividades Micro'!$B540=BE$2,'Atividades Micro'!$G540="Macro",'Atividades Micro'!$K540&lt;&gt;""),'Atividades Micro'!$K540,"")</f>
        <v/>
      </c>
      <c r="BF488" s="21" t="str">
        <f>IF(AND('Atividades Micro'!$B540=BF$2,'Atividades Micro'!$G540="Macro",'Atividades Micro'!$K540&lt;&gt;""),'Atividades Micro'!$K540,"")</f>
        <v/>
      </c>
      <c r="BG488" s="21" t="str">
        <f>IF(AND('Atividades Micro'!$B540=BG$2,'Atividades Micro'!$G540="Macro",'Atividades Micro'!$K540&lt;&gt;""),'Atividades Micro'!$K540,"")</f>
        <v/>
      </c>
      <c r="BH488" s="21" t="str">
        <f>IF(AND('Atividades Micro'!$B540=BH$2,'Atividades Micro'!$G540="Macro",'Atividades Micro'!$K540&lt;&gt;""),'Atividades Micro'!$K540,"")</f>
        <v/>
      </c>
      <c r="BI488" s="21" t="str">
        <f>IF(AND('Atividades Micro'!$B540=BI$2,'Atividades Micro'!$G540="Macro",'Atividades Micro'!$K540&lt;&gt;""),'Atividades Micro'!$K540,"")</f>
        <v/>
      </c>
      <c r="BJ488" s="21" t="str">
        <f>IF(AND('Atividades Micro'!$B540=BJ$2,'Atividades Micro'!$G540="Macro",'Atividades Micro'!$K540&lt;&gt;""),'Atividades Micro'!$K540,"")</f>
        <v/>
      </c>
      <c r="BK488" s="21" t="str">
        <f>IF(AND('Atividades Micro'!$B540=BK$2,'Atividades Micro'!$G540="Macro",'Atividades Micro'!$K540&lt;&gt;""),'Atividades Micro'!$K540,"")</f>
        <v/>
      </c>
      <c r="BL488" s="21" t="str">
        <f>IF(AND('Atividades Micro'!$B540=BL$2,'Atividades Micro'!$G540="Macro",'Atividades Micro'!$K540&lt;&gt;""),'Atividades Micro'!$K540,"")</f>
        <v/>
      </c>
      <c r="BM488" s="21" t="str">
        <f>IF(AND('Atividades Micro'!$B540=BM$2,'Atividades Micro'!$G540="Macro",'Atividades Micro'!$K540&lt;&gt;""),'Atividades Micro'!$K540,"")</f>
        <v/>
      </c>
      <c r="BN488" s="21" t="str">
        <f>IF(AND('Atividades Micro'!$B540=BN$2,'Atividades Micro'!$G540="Macro",'Atividades Micro'!$K540&lt;&gt;""),'Atividades Micro'!$K540,"")</f>
        <v/>
      </c>
      <c r="BO488" s="21" t="str">
        <f>IF(AND('Atividades Micro'!$B540=BO$2,'Atividades Micro'!$G540="Macro",'Atividades Micro'!$K540&lt;&gt;""),'Atividades Micro'!$K540,"")</f>
        <v/>
      </c>
      <c r="BP488" s="21" t="str">
        <f>IF(AND('Atividades Micro'!$B540=BP$2,'Atividades Micro'!$G540="Macro",'Atividades Micro'!$K540&lt;&gt;""),'Atividades Micro'!$K540,"")</f>
        <v/>
      </c>
      <c r="BQ488" s="21" t="str">
        <f>IF(AND('Atividades Micro'!$B540=BQ$2,'Atividades Micro'!$G540="Macro",'Atividades Micro'!$K540&lt;&gt;""),'Atividades Micro'!$K540,"")</f>
        <v/>
      </c>
      <c r="BR488" s="21" t="str">
        <f>IF(AND('Atividades Micro'!$B540=BR$2,'Atividades Micro'!$G540="Macro",'Atividades Micro'!$K540&lt;&gt;""),'Atividades Micro'!$K540,"")</f>
        <v/>
      </c>
      <c r="BS488" s="21" t="str">
        <f>IF(AND('Atividades Micro'!$B540=BS$2,'Atividades Micro'!$G540="Macro",'Atividades Micro'!$K540&lt;&gt;""),'Atividades Micro'!$K540,"")</f>
        <v/>
      </c>
      <c r="BT488" s="21" t="str">
        <f>IF(AND('Atividades Micro'!$B540=BT$2,'Atividades Micro'!$G540="Macro",'Atividades Micro'!$K540&lt;&gt;""),'Atividades Micro'!$K540,"")</f>
        <v/>
      </c>
      <c r="BU488" s="21" t="str">
        <f>IF(AND('Atividades Micro'!$B540=BU$2,'Atividades Micro'!$G540="Macro",'Atividades Micro'!$K540&lt;&gt;""),'Atividades Micro'!$K540,"")</f>
        <v/>
      </c>
      <c r="BV488" s="21" t="str">
        <f>IF(AND('Atividades Micro'!$B540=BV$2,'Atividades Micro'!$G540="Macro",'Atividades Micro'!$K540&lt;&gt;""),'Atividades Micro'!$K540,"")</f>
        <v/>
      </c>
      <c r="BW488" s="21" t="str">
        <f>IF(AND('Atividades Micro'!$B540=BW$2,'Atividades Micro'!$G540="Macro",'Atividades Micro'!$K540&lt;&gt;""),'Atividades Micro'!$K540,"")</f>
        <v/>
      </c>
      <c r="BX488" s="21" t="str">
        <f>IF(AND('Atividades Micro'!$B540=BX$2,'Atividades Micro'!$G540="Macro",'Atividades Micro'!$K540&lt;&gt;""),'Atividades Micro'!$K540,"")</f>
        <v/>
      </c>
      <c r="BY488" s="21" t="str">
        <f>IF(AND('Atividades Micro'!$B540=BY$2,'Atividades Micro'!$G540="Macro",'Atividades Micro'!$K540&lt;&gt;""),'Atividades Micro'!$K540,"")</f>
        <v/>
      </c>
      <c r="BZ488" s="21" t="str">
        <f>IF(AND('Atividades Micro'!$B540=BZ$2,'Atividades Micro'!$G540="Macro",'Atividades Micro'!$K540&lt;&gt;""),'Atividades Micro'!$K540,"")</f>
        <v/>
      </c>
      <c r="CA488" s="21" t="str">
        <f>IF(AND('Atividades Micro'!$B540=CA$2,'Atividades Micro'!$G540="Macro",'Atividades Micro'!$K540&lt;&gt;""),'Atividades Micro'!$K540,"")</f>
        <v/>
      </c>
      <c r="CB488" s="21" t="str">
        <f>IF(AND('Atividades Micro'!$B540=CB$2,'Atividades Micro'!$G540="Macro",'Atividades Micro'!$K540&lt;&gt;""),'Atividades Micro'!$K540,"")</f>
        <v/>
      </c>
      <c r="CC488" s="21" t="str">
        <f>IF(AND('Atividades Micro'!$B540=CC$2,'Atividades Micro'!$G540="Macro",'Atividades Micro'!$K540&lt;&gt;""),'Atividades Micro'!$K540,"")</f>
        <v/>
      </c>
      <c r="CD488" s="21" t="str">
        <f>IF(AND('Atividades Micro'!$B540=CD$2,'Atividades Micro'!$G540="Micro",'Atividades Micro'!$K540&lt;&gt;""),'Atividades Micro'!$K540,"")</f>
        <v/>
      </c>
      <c r="CE488" s="21" t="str">
        <f>IF(AND('Atividades Micro'!$B540=CE$2,'Atividades Micro'!$G540="Micro",'Atividades Micro'!$K540&lt;&gt;""),'Atividades Micro'!$K540,"")</f>
        <v/>
      </c>
      <c r="CF488" s="21" t="str">
        <f>IF(AND('Atividades Micro'!$B540=CF$2,'Atividades Micro'!$G540="Micro",'Atividades Micro'!$K540&lt;&gt;""),'Atividades Micro'!$K540,"")</f>
        <v/>
      </c>
      <c r="CG488" s="21" t="str">
        <f>IF(AND('Atividades Micro'!$B540=CG$2,'Atividades Micro'!$G540="Micro",'Atividades Micro'!$K540&lt;&gt;""),'Atividades Micro'!$K540,"")</f>
        <v/>
      </c>
      <c r="CH488" s="21" t="str">
        <f>IF(AND('Atividades Micro'!$B540=CH$2,'Atividades Micro'!$G540="Micro",'Atividades Micro'!$K540&lt;&gt;""),'Atividades Micro'!$K540,"")</f>
        <v/>
      </c>
      <c r="CI488" s="21" t="str">
        <f>IF(AND('Atividades Micro'!$B540=CI$2,'Atividades Micro'!$G540="Micro",'Atividades Micro'!$K540&lt;&gt;""),'Atividades Micro'!$K540,"")</f>
        <v/>
      </c>
      <c r="CJ488" s="21" t="str">
        <f>IF(AND('Atividades Micro'!$B540=CJ$2,'Atividades Micro'!$G540="Micro",'Atividades Micro'!$K540&lt;&gt;""),'Atividades Micro'!$K540,"")</f>
        <v/>
      </c>
      <c r="CK488" s="21" t="str">
        <f>IF(AND('Atividades Micro'!$B540=CK$2,'Atividades Micro'!$G540="Micro",'Atividades Micro'!$K540&lt;&gt;""),'Atividades Micro'!$K540,"")</f>
        <v/>
      </c>
      <c r="CL488" s="21" t="str">
        <f>IF(AND('Atividades Micro'!$B540=CL$2,'Atividades Micro'!$G540="Micro",'Atividades Micro'!$K540&lt;&gt;""),'Atividades Micro'!$K540,"")</f>
        <v/>
      </c>
      <c r="CM488" s="21" t="str">
        <f>IF(AND('Atividades Micro'!$B540=CM$2,'Atividades Micro'!$G540="Micro",'Atividades Micro'!$K540&lt;&gt;""),'Atividades Micro'!$K540,"")</f>
        <v/>
      </c>
      <c r="CN488" s="21" t="str">
        <f>IF(AND('Atividades Micro'!$B540=CN$2,'Atividades Micro'!$G540="Micro",'Atividades Micro'!$K540&lt;&gt;""),'Atividades Micro'!$K540,"")</f>
        <v/>
      </c>
      <c r="CO488" s="21" t="str">
        <f>IF(AND('Atividades Micro'!$B540=CO$2,'Atividades Micro'!$G540="Micro",'Atividades Micro'!$K540&lt;&gt;""),'Atividades Micro'!$K540,"")</f>
        <v/>
      </c>
    </row>
    <row r="489" spans="1:93">
      <c r="A489" s="21" t="str">
        <f>IF(AND('Atividades Micro'!$A541=A$2,'Atividades Micro'!$K541&lt;&gt;""),'Atividades Micro'!$K541,"")</f>
        <v/>
      </c>
      <c r="B489" s="21" t="str">
        <f>IF(AND('Atividades Micro'!$A541=B$2,'Atividades Micro'!$L541&lt;&gt;""),'Atividades Micro'!$L541,"")</f>
        <v/>
      </c>
      <c r="C489" s="21" t="str">
        <f>IF(AND('Atividades Micro'!$A541=C$2,'Atividades Micro'!$K541&lt;&gt;""),'Atividades Micro'!$K541,"")</f>
        <v/>
      </c>
      <c r="D489" s="21" t="str">
        <f>IF(AND('Atividades Micro'!$A541=D$2,'Atividades Micro'!$L541&lt;&gt;""),'Atividades Micro'!$L541,"")</f>
        <v/>
      </c>
      <c r="E489" s="21" t="str">
        <f>IF(AND('Atividades Micro'!$A541=E$2,'Atividades Micro'!$K541&lt;&gt;""),'Atividades Micro'!$K541,"")</f>
        <v/>
      </c>
      <c r="F489" s="21" t="str">
        <f>IF(AND('Atividades Micro'!$A541=F$2,'Atividades Micro'!$L541&lt;&gt;""),'Atividades Micro'!$L541,"")</f>
        <v/>
      </c>
      <c r="G489" s="21" t="str">
        <f>IF(AND('Atividades Micro'!$A541=G$2,'Atividades Micro'!$K541&lt;&gt;""),'Atividades Micro'!$K541,"")</f>
        <v/>
      </c>
      <c r="H489" s="21" t="str">
        <f>IF(AND('Atividades Micro'!$A541=H$2,'Atividades Micro'!$L541&lt;&gt;""),'Atividades Micro'!$L541,"")</f>
        <v/>
      </c>
      <c r="I489" s="21" t="str">
        <f>IF(AND('Atividades Micro'!$A541=I$2,'Atividades Micro'!$K541&lt;&gt;""),'Atividades Micro'!$K541,"")</f>
        <v/>
      </c>
      <c r="J489" s="21" t="str">
        <f>IF(AND('Atividades Micro'!$A541=J$2,'Atividades Micro'!$L541&lt;&gt;""),'Atividades Micro'!$L541,"")</f>
        <v/>
      </c>
      <c r="K489" s="21" t="str">
        <f>IF(AND('Atividades Micro'!$B541=K$2,'Atividades Micro'!$K541&lt;&gt;""),'Atividades Micro'!$K541,"")</f>
        <v/>
      </c>
      <c r="L489" s="21" t="str">
        <f>IF(AND('Atividades Micro'!$B541=L$2,'Atividades Micro'!$L541&lt;&gt;""),'Atividades Micro'!$L541,"")</f>
        <v/>
      </c>
      <c r="M489" s="21" t="str">
        <f>IF(AND('Atividades Micro'!$B541=M$2,'Atividades Micro'!$K541&lt;&gt;""),'Atividades Micro'!$K541,"")</f>
        <v/>
      </c>
      <c r="N489" s="21" t="str">
        <f>IF(AND('Atividades Micro'!$B541=N$2,'Atividades Micro'!$L541&lt;&gt;""),'Atividades Micro'!$L541,"")</f>
        <v/>
      </c>
      <c r="O489" s="21" t="str">
        <f>IF(AND('Atividades Micro'!$A541=O$2,'Atividades Micro'!$K541&lt;&gt;""),'Atividades Micro'!$K541,"")</f>
        <v/>
      </c>
      <c r="P489" s="21" t="str">
        <f>IF(AND('Atividades Micro'!$A541=P$2,'Atividades Micro'!$L541&lt;&gt;""),'Atividades Micro'!$L541,"")</f>
        <v/>
      </c>
      <c r="Q489" s="21" t="str">
        <f>IF(AND('Atividades Micro'!$B541=Q$2,'Atividades Micro'!$K541&lt;&gt;""),'Atividades Micro'!$K541,"")</f>
        <v/>
      </c>
      <c r="R489" s="21" t="str">
        <f>IF(AND('Atividades Micro'!$B541=R$2,'Atividades Micro'!$L541&lt;&gt;""),'Atividades Micro'!$L541,"")</f>
        <v/>
      </c>
      <c r="S489" s="21" t="str">
        <f>IF(AND('Atividades Micro'!$A541=S$2,'Atividades Micro'!$K541&lt;&gt;""),'Atividades Micro'!$K541,"")</f>
        <v/>
      </c>
      <c r="T489" s="21" t="str">
        <f>IF(AND('Atividades Micro'!$A541=T$2,'Atividades Micro'!$L541&lt;&gt;""),'Atividades Micro'!$L541,"")</f>
        <v/>
      </c>
      <c r="U489" s="21" t="str">
        <f>IF(AND('Atividades Micro'!$B541=U$2,'Atividades Micro'!$K541&lt;&gt;""),'Atividades Micro'!$K541,"")</f>
        <v/>
      </c>
      <c r="V489" s="21" t="str">
        <f>IF(AND('Atividades Micro'!$B541=V$2,'Atividades Micro'!$L541&lt;&gt;""),'Atividades Micro'!$L541,"")</f>
        <v/>
      </c>
      <c r="W489" s="21" t="str">
        <f>IF(AND('Atividades Micro'!$B541=W$2,'Atividades Micro'!$K541&lt;&gt;""),'Atividades Micro'!$K541,"")</f>
        <v/>
      </c>
      <c r="X489" s="21" t="str">
        <f>IF(AND('Atividades Micro'!$B541=X$2,'Atividades Micro'!$L541&lt;&gt;""),'Atividades Micro'!$L541,"")</f>
        <v/>
      </c>
      <c r="Y489" s="21" t="str">
        <f>IF(AND('Atividades Micro'!$A541=Y$2,'Atividades Micro'!$K541&lt;&gt;""),'Atividades Micro'!$K541,"")</f>
        <v/>
      </c>
      <c r="Z489" s="21" t="str">
        <f>IF(AND('Atividades Micro'!$A541=Z$2,'Atividades Micro'!$L541&lt;&gt;""),'Atividades Micro'!$L541,"")</f>
        <v/>
      </c>
      <c r="AA489" s="21" t="str">
        <f>IF(AND('Atividades Micro'!$B541=AA$2,'Atividades Micro'!$K541&lt;&gt;""),'Atividades Micro'!$K541,"")</f>
        <v/>
      </c>
      <c r="AB489" s="21" t="str">
        <f>IF(AND('Atividades Micro'!$B541=AB$2,'Atividades Micro'!$L541&lt;&gt;""),'Atividades Micro'!$L541,"")</f>
        <v/>
      </c>
      <c r="AC489" s="21" t="str">
        <f>IF(AND('Atividades Micro'!$B541=AC$2,'Atividades Micro'!$K541&lt;&gt;""),'Atividades Micro'!$K541,"")</f>
        <v/>
      </c>
      <c r="AD489" s="21" t="str">
        <f>IF(AND('Atividades Micro'!$B541=AD$2,'Atividades Micro'!$L541&lt;&gt;""),'Atividades Micro'!$L541,"")</f>
        <v/>
      </c>
      <c r="AE489" s="21" t="str">
        <f>IF(AND('Atividades Micro'!$A541=AE$2,'Atividades Micro'!$K541&lt;&gt;""),'Atividades Micro'!$K541,"")</f>
        <v/>
      </c>
      <c r="AF489" s="21" t="str">
        <f>IF(AND('Atividades Micro'!$A541=AF$2,'Atividades Micro'!$L541&lt;&gt;""),'Atividades Micro'!$L541,"")</f>
        <v/>
      </c>
      <c r="AG489" s="21" t="str">
        <f>IF(AND('Atividades Micro'!$B541=AG$2,'Atividades Micro'!$K541&lt;&gt;""),'Atividades Micro'!$K541,"")</f>
        <v/>
      </c>
      <c r="AH489" s="21" t="str">
        <f>IF(AND('Atividades Micro'!$B541=AH$2,'Atividades Micro'!$L541&lt;&gt;""),'Atividades Micro'!$L541,"")</f>
        <v/>
      </c>
      <c r="AI489" s="21" t="str">
        <f>IF(AND('Atividades Micro'!$B541=AI$2,'Atividades Micro'!$K541&lt;&gt;""),'Atividades Micro'!$K541,"")</f>
        <v/>
      </c>
      <c r="AJ489" s="21" t="str">
        <f>IF(AND('Atividades Micro'!$B541=AJ$2,'Atividades Micro'!$L541&lt;&gt;""),'Atividades Micro'!$L541,"")</f>
        <v/>
      </c>
      <c r="AK489" s="21" t="str">
        <f>IF(AND('Atividades Micro'!$A541=AK$2,'Atividades Micro'!$K541&lt;&gt;""),'Atividades Micro'!$K541,"")</f>
        <v/>
      </c>
      <c r="AL489" s="21" t="str">
        <f>IF(AND('Atividades Micro'!$A541=AL$2,'Atividades Micro'!$L541&lt;&gt;""),'Atividades Micro'!$L541,"")</f>
        <v/>
      </c>
      <c r="AM489" s="21" t="str">
        <f>IF(AND('Atividades Micro'!$B541=AM$2,'Atividades Micro'!$K541&lt;&gt;""),'Atividades Micro'!$K541,"")</f>
        <v/>
      </c>
      <c r="AN489" s="21" t="str">
        <f>IF(AND('Atividades Micro'!$B541=AN$2,'Atividades Micro'!$L541&lt;&gt;""),'Atividades Micro'!$L541,"")</f>
        <v/>
      </c>
      <c r="AO489" s="21" t="str">
        <f>IF(AND('Atividades Micro'!$B541=AO$2,'Atividades Micro'!$K541&lt;&gt;""),'Atividades Micro'!$K541,"")</f>
        <v/>
      </c>
      <c r="AP489" s="21" t="str">
        <f>IF(AND('Atividades Micro'!$B541=AP$2,'Atividades Micro'!$L541&lt;&gt;""),'Atividades Micro'!$L541,"")</f>
        <v/>
      </c>
      <c r="AQ489" s="21" t="str">
        <f>IF(AND('Atividades Micro'!$A541=AQ$2,'Atividades Micro'!$K541&lt;&gt;""),'Atividades Micro'!$K541,"")</f>
        <v/>
      </c>
      <c r="AR489" s="21" t="str">
        <f>IF(AND('Atividades Micro'!$A541=AR$2,'Atividades Micro'!$L541&lt;&gt;""),'Atividades Micro'!$L541,"")</f>
        <v/>
      </c>
      <c r="AS489" s="21" t="str">
        <f>IF(AND('Atividades Micro'!$B541=AS$2,'Atividades Micro'!$K541&lt;&gt;""),'Atividades Micro'!$K541,"")</f>
        <v/>
      </c>
      <c r="AT489" s="21" t="str">
        <f>IF(AND('Atividades Micro'!$B541=AT$2,'Atividades Micro'!$L541&lt;&gt;""),'Atividades Micro'!$L541,"")</f>
        <v/>
      </c>
      <c r="AU489" s="21" t="str">
        <f>IF(AND('Atividades Micro'!$A541=AU$2,'Atividades Micro'!$K541&lt;&gt;""),'Atividades Micro'!$K541,"")</f>
        <v/>
      </c>
      <c r="AV489" s="21" t="str">
        <f>IF(AND('Atividades Micro'!$A541=AV$2,'Atividades Micro'!$L541&lt;&gt;""),'Atividades Micro'!$L541,"")</f>
        <v/>
      </c>
      <c r="AW489" s="21" t="str">
        <f>IF(AND('Atividades Micro'!$B541=AW$2,'Atividades Micro'!$K541&lt;&gt;""),'Atividades Micro'!$K541,"")</f>
        <v/>
      </c>
      <c r="AX489" s="21" t="str">
        <f>IF(AND('Atividades Micro'!$B541=AX$2,'Atividades Micro'!$L541&lt;&gt;""),'Atividades Micro'!$L541,"")</f>
        <v/>
      </c>
      <c r="AY489" s="21" t="str">
        <f>IF(AND('Atividades Micro'!$A541=AY$2,'Atividades Micro'!$K541&lt;&gt;""),'Atividades Micro'!$K541,"")</f>
        <v/>
      </c>
      <c r="AZ489" s="21" t="str">
        <f>IF(AND('Atividades Micro'!$A541=AZ$2,'Atividades Micro'!$L541&lt;&gt;""),'Atividades Micro'!$L541,"")</f>
        <v/>
      </c>
      <c r="BA489" s="21" t="str">
        <f>IF(AND('Atividades Micro'!$B541=BA$2,'Atividades Micro'!$K541&lt;&gt;""),'Atividades Micro'!$K541,"")</f>
        <v/>
      </c>
      <c r="BB489" s="21" t="str">
        <f>IF(AND('Atividades Micro'!$B541=BB$2,'Atividades Micro'!$L541&lt;&gt;""),'Atividades Micro'!$L541,"")</f>
        <v/>
      </c>
      <c r="BC489" s="21" t="str">
        <f>IF(AND('Atividades Micro'!$B541=BC$2,'Atividades Micro'!$G541="Macro",'Atividades Micro'!$K541&lt;&gt;""),'Atividades Micro'!$K541,"")</f>
        <v/>
      </c>
      <c r="BD489" s="21" t="str">
        <f>IF(AND('Atividades Micro'!$B541=BD$2,'Atividades Micro'!$G541="Macro",'Atividades Micro'!$K541&lt;&gt;""),'Atividades Micro'!$K541,"")</f>
        <v/>
      </c>
      <c r="BE489" s="21" t="str">
        <f>IF(AND('Atividades Micro'!$B541=BE$2,'Atividades Micro'!$G541="Macro",'Atividades Micro'!$K541&lt;&gt;""),'Atividades Micro'!$K541,"")</f>
        <v/>
      </c>
      <c r="BF489" s="21" t="str">
        <f>IF(AND('Atividades Micro'!$B541=BF$2,'Atividades Micro'!$G541="Macro",'Atividades Micro'!$K541&lt;&gt;""),'Atividades Micro'!$K541,"")</f>
        <v/>
      </c>
      <c r="BG489" s="21" t="str">
        <f>IF(AND('Atividades Micro'!$B541=BG$2,'Atividades Micro'!$G541="Macro",'Atividades Micro'!$K541&lt;&gt;""),'Atividades Micro'!$K541,"")</f>
        <v/>
      </c>
      <c r="BH489" s="21" t="str">
        <f>IF(AND('Atividades Micro'!$B541=BH$2,'Atividades Micro'!$G541="Macro",'Atividades Micro'!$K541&lt;&gt;""),'Atividades Micro'!$K541,"")</f>
        <v/>
      </c>
      <c r="BI489" s="21" t="str">
        <f>IF(AND('Atividades Micro'!$B541=BI$2,'Atividades Micro'!$G541="Macro",'Atividades Micro'!$K541&lt;&gt;""),'Atividades Micro'!$K541,"")</f>
        <v/>
      </c>
      <c r="BJ489" s="21" t="str">
        <f>IF(AND('Atividades Micro'!$B541=BJ$2,'Atividades Micro'!$G541="Macro",'Atividades Micro'!$K541&lt;&gt;""),'Atividades Micro'!$K541,"")</f>
        <v/>
      </c>
      <c r="BK489" s="21" t="str">
        <f>IF(AND('Atividades Micro'!$B541=BK$2,'Atividades Micro'!$G541="Macro",'Atividades Micro'!$K541&lt;&gt;""),'Atividades Micro'!$K541,"")</f>
        <v/>
      </c>
      <c r="BL489" s="21" t="str">
        <f>IF(AND('Atividades Micro'!$B541=BL$2,'Atividades Micro'!$G541="Macro",'Atividades Micro'!$K541&lt;&gt;""),'Atividades Micro'!$K541,"")</f>
        <v/>
      </c>
      <c r="BM489" s="21" t="str">
        <f>IF(AND('Atividades Micro'!$B541=BM$2,'Atividades Micro'!$G541="Macro",'Atividades Micro'!$K541&lt;&gt;""),'Atividades Micro'!$K541,"")</f>
        <v/>
      </c>
      <c r="BN489" s="21" t="str">
        <f>IF(AND('Atividades Micro'!$B541=BN$2,'Atividades Micro'!$G541="Macro",'Atividades Micro'!$K541&lt;&gt;""),'Atividades Micro'!$K541,"")</f>
        <v/>
      </c>
      <c r="BO489" s="21" t="str">
        <f>IF(AND('Atividades Micro'!$B541=BO$2,'Atividades Micro'!$G541="Macro",'Atividades Micro'!$K541&lt;&gt;""),'Atividades Micro'!$K541,"")</f>
        <v/>
      </c>
      <c r="BP489" s="21" t="str">
        <f>IF(AND('Atividades Micro'!$B541=BP$2,'Atividades Micro'!$G541="Macro",'Atividades Micro'!$K541&lt;&gt;""),'Atividades Micro'!$K541,"")</f>
        <v/>
      </c>
      <c r="BQ489" s="21" t="str">
        <f>IF(AND('Atividades Micro'!$B541=BQ$2,'Atividades Micro'!$G541="Macro",'Atividades Micro'!$K541&lt;&gt;""),'Atividades Micro'!$K541,"")</f>
        <v/>
      </c>
      <c r="BR489" s="21" t="str">
        <f>IF(AND('Atividades Micro'!$B541=BR$2,'Atividades Micro'!$G541="Macro",'Atividades Micro'!$K541&lt;&gt;""),'Atividades Micro'!$K541,"")</f>
        <v/>
      </c>
      <c r="BS489" s="21" t="str">
        <f>IF(AND('Atividades Micro'!$B541=BS$2,'Atividades Micro'!$G541="Macro",'Atividades Micro'!$K541&lt;&gt;""),'Atividades Micro'!$K541,"")</f>
        <v/>
      </c>
      <c r="BT489" s="21" t="str">
        <f>IF(AND('Atividades Micro'!$B541=BT$2,'Atividades Micro'!$G541="Macro",'Atividades Micro'!$K541&lt;&gt;""),'Atividades Micro'!$K541,"")</f>
        <v/>
      </c>
      <c r="BU489" s="21" t="str">
        <f>IF(AND('Atividades Micro'!$B541=BU$2,'Atividades Micro'!$G541="Macro",'Atividades Micro'!$K541&lt;&gt;""),'Atividades Micro'!$K541,"")</f>
        <v/>
      </c>
      <c r="BV489" s="21" t="str">
        <f>IF(AND('Atividades Micro'!$B541=BV$2,'Atividades Micro'!$G541="Macro",'Atividades Micro'!$K541&lt;&gt;""),'Atividades Micro'!$K541,"")</f>
        <v/>
      </c>
      <c r="BW489" s="21" t="str">
        <f>IF(AND('Atividades Micro'!$B541=BW$2,'Atividades Micro'!$G541="Macro",'Atividades Micro'!$K541&lt;&gt;""),'Atividades Micro'!$K541,"")</f>
        <v/>
      </c>
      <c r="BX489" s="21" t="str">
        <f>IF(AND('Atividades Micro'!$B541=BX$2,'Atividades Micro'!$G541="Macro",'Atividades Micro'!$K541&lt;&gt;""),'Atividades Micro'!$K541,"")</f>
        <v/>
      </c>
      <c r="BY489" s="21" t="str">
        <f>IF(AND('Atividades Micro'!$B541=BY$2,'Atividades Micro'!$G541="Macro",'Atividades Micro'!$K541&lt;&gt;""),'Atividades Micro'!$K541,"")</f>
        <v/>
      </c>
      <c r="BZ489" s="21" t="str">
        <f>IF(AND('Atividades Micro'!$B541=BZ$2,'Atividades Micro'!$G541="Macro",'Atividades Micro'!$K541&lt;&gt;""),'Atividades Micro'!$K541,"")</f>
        <v/>
      </c>
      <c r="CA489" s="21" t="str">
        <f>IF(AND('Atividades Micro'!$B541=CA$2,'Atividades Micro'!$G541="Macro",'Atividades Micro'!$K541&lt;&gt;""),'Atividades Micro'!$K541,"")</f>
        <v/>
      </c>
      <c r="CB489" s="21" t="str">
        <f>IF(AND('Atividades Micro'!$B541=CB$2,'Atividades Micro'!$G541="Macro",'Atividades Micro'!$K541&lt;&gt;""),'Atividades Micro'!$K541,"")</f>
        <v/>
      </c>
      <c r="CC489" s="21" t="str">
        <f>IF(AND('Atividades Micro'!$B541=CC$2,'Atividades Micro'!$G541="Macro",'Atividades Micro'!$K541&lt;&gt;""),'Atividades Micro'!$K541,"")</f>
        <v/>
      </c>
      <c r="CD489" s="21" t="str">
        <f>IF(AND('Atividades Micro'!$B541=CD$2,'Atividades Micro'!$G541="Micro",'Atividades Micro'!$K541&lt;&gt;""),'Atividades Micro'!$K541,"")</f>
        <v/>
      </c>
      <c r="CE489" s="21" t="str">
        <f>IF(AND('Atividades Micro'!$B541=CE$2,'Atividades Micro'!$G541="Micro",'Atividades Micro'!$K541&lt;&gt;""),'Atividades Micro'!$K541,"")</f>
        <v/>
      </c>
      <c r="CF489" s="21" t="str">
        <f>IF(AND('Atividades Micro'!$B541=CF$2,'Atividades Micro'!$G541="Micro",'Atividades Micro'!$K541&lt;&gt;""),'Atividades Micro'!$K541,"")</f>
        <v/>
      </c>
      <c r="CG489" s="21" t="str">
        <f>IF(AND('Atividades Micro'!$B541=CG$2,'Atividades Micro'!$G541="Micro",'Atividades Micro'!$K541&lt;&gt;""),'Atividades Micro'!$K541,"")</f>
        <v/>
      </c>
      <c r="CH489" s="21" t="str">
        <f>IF(AND('Atividades Micro'!$B541=CH$2,'Atividades Micro'!$G541="Micro",'Atividades Micro'!$K541&lt;&gt;""),'Atividades Micro'!$K541,"")</f>
        <v/>
      </c>
      <c r="CI489" s="21" t="str">
        <f>IF(AND('Atividades Micro'!$B541=CI$2,'Atividades Micro'!$G541="Micro",'Atividades Micro'!$K541&lt;&gt;""),'Atividades Micro'!$K541,"")</f>
        <v/>
      </c>
      <c r="CJ489" s="21" t="str">
        <f>IF(AND('Atividades Micro'!$B541=CJ$2,'Atividades Micro'!$G541="Micro",'Atividades Micro'!$K541&lt;&gt;""),'Atividades Micro'!$K541,"")</f>
        <v/>
      </c>
      <c r="CK489" s="21" t="str">
        <f>IF(AND('Atividades Micro'!$B541=CK$2,'Atividades Micro'!$G541="Micro",'Atividades Micro'!$K541&lt;&gt;""),'Atividades Micro'!$K541,"")</f>
        <v/>
      </c>
      <c r="CL489" s="21" t="str">
        <f>IF(AND('Atividades Micro'!$B541=CL$2,'Atividades Micro'!$G541="Micro",'Atividades Micro'!$K541&lt;&gt;""),'Atividades Micro'!$K541,"")</f>
        <v/>
      </c>
      <c r="CM489" s="21" t="str">
        <f>IF(AND('Atividades Micro'!$B541=CM$2,'Atividades Micro'!$G541="Micro",'Atividades Micro'!$K541&lt;&gt;""),'Atividades Micro'!$K541,"")</f>
        <v/>
      </c>
      <c r="CN489" s="21" t="str">
        <f>IF(AND('Atividades Micro'!$B541=CN$2,'Atividades Micro'!$G541="Micro",'Atividades Micro'!$K541&lt;&gt;""),'Atividades Micro'!$K541,"")</f>
        <v/>
      </c>
      <c r="CO489" s="21" t="str">
        <f>IF(AND('Atividades Micro'!$B541=CO$2,'Atividades Micro'!$G541="Micro",'Atividades Micro'!$K541&lt;&gt;""),'Atividades Micro'!$K541,"")</f>
        <v/>
      </c>
    </row>
    <row r="490" spans="1:93">
      <c r="A490" s="21" t="str">
        <f>IF(AND('Atividades Micro'!$A542=A$2,'Atividades Micro'!$K542&lt;&gt;""),'Atividades Micro'!$K542,"")</f>
        <v/>
      </c>
      <c r="B490" s="21" t="str">
        <f>IF(AND('Atividades Micro'!$A542=B$2,'Atividades Micro'!$L542&lt;&gt;""),'Atividades Micro'!$L542,"")</f>
        <v/>
      </c>
      <c r="C490" s="21" t="str">
        <f>IF(AND('Atividades Micro'!$A542=C$2,'Atividades Micro'!$K542&lt;&gt;""),'Atividades Micro'!$K542,"")</f>
        <v/>
      </c>
      <c r="D490" s="21" t="str">
        <f>IF(AND('Atividades Micro'!$A542=D$2,'Atividades Micro'!$L542&lt;&gt;""),'Atividades Micro'!$L542,"")</f>
        <v/>
      </c>
      <c r="E490" s="21" t="str">
        <f>IF(AND('Atividades Micro'!$A542=E$2,'Atividades Micro'!$K542&lt;&gt;""),'Atividades Micro'!$K542,"")</f>
        <v/>
      </c>
      <c r="F490" s="21" t="str">
        <f>IF(AND('Atividades Micro'!$A542=F$2,'Atividades Micro'!$L542&lt;&gt;""),'Atividades Micro'!$L542,"")</f>
        <v/>
      </c>
      <c r="G490" s="21" t="str">
        <f>IF(AND('Atividades Micro'!$A542=G$2,'Atividades Micro'!$K542&lt;&gt;""),'Atividades Micro'!$K542,"")</f>
        <v/>
      </c>
      <c r="H490" s="21" t="str">
        <f>IF(AND('Atividades Micro'!$A542=H$2,'Atividades Micro'!$L542&lt;&gt;""),'Atividades Micro'!$L542,"")</f>
        <v/>
      </c>
      <c r="I490" s="21" t="str">
        <f>IF(AND('Atividades Micro'!$A542=I$2,'Atividades Micro'!$K542&lt;&gt;""),'Atividades Micro'!$K542,"")</f>
        <v/>
      </c>
      <c r="J490" s="21" t="str">
        <f>IF(AND('Atividades Micro'!$A542=J$2,'Atividades Micro'!$L542&lt;&gt;""),'Atividades Micro'!$L542,"")</f>
        <v/>
      </c>
      <c r="K490" s="21" t="str">
        <f>IF(AND('Atividades Micro'!$B542=K$2,'Atividades Micro'!$K542&lt;&gt;""),'Atividades Micro'!$K542,"")</f>
        <v/>
      </c>
      <c r="L490" s="21" t="str">
        <f>IF(AND('Atividades Micro'!$B542=L$2,'Atividades Micro'!$L542&lt;&gt;""),'Atividades Micro'!$L542,"")</f>
        <v/>
      </c>
      <c r="M490" s="21" t="str">
        <f>IF(AND('Atividades Micro'!$B542=M$2,'Atividades Micro'!$K542&lt;&gt;""),'Atividades Micro'!$K542,"")</f>
        <v/>
      </c>
      <c r="N490" s="21" t="str">
        <f>IF(AND('Atividades Micro'!$B542=N$2,'Atividades Micro'!$L542&lt;&gt;""),'Atividades Micro'!$L542,"")</f>
        <v/>
      </c>
      <c r="O490" s="21" t="str">
        <f>IF(AND('Atividades Micro'!$A542=O$2,'Atividades Micro'!$K542&lt;&gt;""),'Atividades Micro'!$K542,"")</f>
        <v/>
      </c>
      <c r="P490" s="21" t="str">
        <f>IF(AND('Atividades Micro'!$A542=P$2,'Atividades Micro'!$L542&lt;&gt;""),'Atividades Micro'!$L542,"")</f>
        <v/>
      </c>
      <c r="Q490" s="21" t="str">
        <f>IF(AND('Atividades Micro'!$B542=Q$2,'Atividades Micro'!$K542&lt;&gt;""),'Atividades Micro'!$K542,"")</f>
        <v/>
      </c>
      <c r="R490" s="21" t="str">
        <f>IF(AND('Atividades Micro'!$B542=R$2,'Atividades Micro'!$L542&lt;&gt;""),'Atividades Micro'!$L542,"")</f>
        <v/>
      </c>
      <c r="S490" s="21" t="str">
        <f>IF(AND('Atividades Micro'!$A542=S$2,'Atividades Micro'!$K542&lt;&gt;""),'Atividades Micro'!$K542,"")</f>
        <v/>
      </c>
      <c r="T490" s="21" t="str">
        <f>IF(AND('Atividades Micro'!$A542=T$2,'Atividades Micro'!$L542&lt;&gt;""),'Atividades Micro'!$L542,"")</f>
        <v/>
      </c>
      <c r="U490" s="21" t="str">
        <f>IF(AND('Atividades Micro'!$B542=U$2,'Atividades Micro'!$K542&lt;&gt;""),'Atividades Micro'!$K542,"")</f>
        <v/>
      </c>
      <c r="V490" s="21" t="str">
        <f>IF(AND('Atividades Micro'!$B542=V$2,'Atividades Micro'!$L542&lt;&gt;""),'Atividades Micro'!$L542,"")</f>
        <v/>
      </c>
      <c r="W490" s="21" t="str">
        <f>IF(AND('Atividades Micro'!$B542=W$2,'Atividades Micro'!$K542&lt;&gt;""),'Atividades Micro'!$K542,"")</f>
        <v/>
      </c>
      <c r="X490" s="21" t="str">
        <f>IF(AND('Atividades Micro'!$B542=X$2,'Atividades Micro'!$L542&lt;&gt;""),'Atividades Micro'!$L542,"")</f>
        <v/>
      </c>
      <c r="Y490" s="21" t="str">
        <f>IF(AND('Atividades Micro'!$A542=Y$2,'Atividades Micro'!$K542&lt;&gt;""),'Atividades Micro'!$K542,"")</f>
        <v/>
      </c>
      <c r="Z490" s="21" t="str">
        <f>IF(AND('Atividades Micro'!$A542=Z$2,'Atividades Micro'!$L542&lt;&gt;""),'Atividades Micro'!$L542,"")</f>
        <v/>
      </c>
      <c r="AA490" s="21" t="str">
        <f>IF(AND('Atividades Micro'!$B542=AA$2,'Atividades Micro'!$K542&lt;&gt;""),'Atividades Micro'!$K542,"")</f>
        <v/>
      </c>
      <c r="AB490" s="21" t="str">
        <f>IF(AND('Atividades Micro'!$B542=AB$2,'Atividades Micro'!$L542&lt;&gt;""),'Atividades Micro'!$L542,"")</f>
        <v/>
      </c>
      <c r="AC490" s="21" t="str">
        <f>IF(AND('Atividades Micro'!$B542=AC$2,'Atividades Micro'!$K542&lt;&gt;""),'Atividades Micro'!$K542,"")</f>
        <v/>
      </c>
      <c r="AD490" s="21" t="str">
        <f>IF(AND('Atividades Micro'!$B542=AD$2,'Atividades Micro'!$L542&lt;&gt;""),'Atividades Micro'!$L542,"")</f>
        <v/>
      </c>
      <c r="AE490" s="21" t="str">
        <f>IF(AND('Atividades Micro'!$A542=AE$2,'Atividades Micro'!$K542&lt;&gt;""),'Atividades Micro'!$K542,"")</f>
        <v/>
      </c>
      <c r="AF490" s="21" t="str">
        <f>IF(AND('Atividades Micro'!$A542=AF$2,'Atividades Micro'!$L542&lt;&gt;""),'Atividades Micro'!$L542,"")</f>
        <v/>
      </c>
      <c r="AG490" s="21" t="str">
        <f>IF(AND('Atividades Micro'!$B542=AG$2,'Atividades Micro'!$K542&lt;&gt;""),'Atividades Micro'!$K542,"")</f>
        <v/>
      </c>
      <c r="AH490" s="21" t="str">
        <f>IF(AND('Atividades Micro'!$B542=AH$2,'Atividades Micro'!$L542&lt;&gt;""),'Atividades Micro'!$L542,"")</f>
        <v/>
      </c>
      <c r="AI490" s="21" t="str">
        <f>IF(AND('Atividades Micro'!$B542=AI$2,'Atividades Micro'!$K542&lt;&gt;""),'Atividades Micro'!$K542,"")</f>
        <v/>
      </c>
      <c r="AJ490" s="21" t="str">
        <f>IF(AND('Atividades Micro'!$B542=AJ$2,'Atividades Micro'!$L542&lt;&gt;""),'Atividades Micro'!$L542,"")</f>
        <v/>
      </c>
      <c r="AK490" s="21" t="str">
        <f>IF(AND('Atividades Micro'!$A542=AK$2,'Atividades Micro'!$K542&lt;&gt;""),'Atividades Micro'!$K542,"")</f>
        <v/>
      </c>
      <c r="AL490" s="21" t="str">
        <f>IF(AND('Atividades Micro'!$A542=AL$2,'Atividades Micro'!$L542&lt;&gt;""),'Atividades Micro'!$L542,"")</f>
        <v/>
      </c>
      <c r="AM490" s="21" t="str">
        <f>IF(AND('Atividades Micro'!$B542=AM$2,'Atividades Micro'!$K542&lt;&gt;""),'Atividades Micro'!$K542,"")</f>
        <v/>
      </c>
      <c r="AN490" s="21" t="str">
        <f>IF(AND('Atividades Micro'!$B542=AN$2,'Atividades Micro'!$L542&lt;&gt;""),'Atividades Micro'!$L542,"")</f>
        <v/>
      </c>
      <c r="AO490" s="21" t="str">
        <f>IF(AND('Atividades Micro'!$B542=AO$2,'Atividades Micro'!$K542&lt;&gt;""),'Atividades Micro'!$K542,"")</f>
        <v/>
      </c>
      <c r="AP490" s="21" t="str">
        <f>IF(AND('Atividades Micro'!$B542=AP$2,'Atividades Micro'!$L542&lt;&gt;""),'Atividades Micro'!$L542,"")</f>
        <v/>
      </c>
      <c r="AQ490" s="21" t="str">
        <f>IF(AND('Atividades Micro'!$A542=AQ$2,'Atividades Micro'!$K542&lt;&gt;""),'Atividades Micro'!$K542,"")</f>
        <v/>
      </c>
      <c r="AR490" s="21" t="str">
        <f>IF(AND('Atividades Micro'!$A542=AR$2,'Atividades Micro'!$L542&lt;&gt;""),'Atividades Micro'!$L542,"")</f>
        <v/>
      </c>
      <c r="AS490" s="21" t="str">
        <f>IF(AND('Atividades Micro'!$B542=AS$2,'Atividades Micro'!$K542&lt;&gt;""),'Atividades Micro'!$K542,"")</f>
        <v/>
      </c>
      <c r="AT490" s="21" t="str">
        <f>IF(AND('Atividades Micro'!$B542=AT$2,'Atividades Micro'!$L542&lt;&gt;""),'Atividades Micro'!$L542,"")</f>
        <v/>
      </c>
      <c r="AU490" s="21" t="str">
        <f>IF(AND('Atividades Micro'!$A542=AU$2,'Atividades Micro'!$K542&lt;&gt;""),'Atividades Micro'!$K542,"")</f>
        <v/>
      </c>
      <c r="AV490" s="21" t="str">
        <f>IF(AND('Atividades Micro'!$A542=AV$2,'Atividades Micro'!$L542&lt;&gt;""),'Atividades Micro'!$L542,"")</f>
        <v/>
      </c>
      <c r="AW490" s="21" t="str">
        <f>IF(AND('Atividades Micro'!$B542=AW$2,'Atividades Micro'!$K542&lt;&gt;""),'Atividades Micro'!$K542,"")</f>
        <v/>
      </c>
      <c r="AX490" s="21" t="str">
        <f>IF(AND('Atividades Micro'!$B542=AX$2,'Atividades Micro'!$L542&lt;&gt;""),'Atividades Micro'!$L542,"")</f>
        <v/>
      </c>
      <c r="AY490" s="21" t="str">
        <f>IF(AND('Atividades Micro'!$A542=AY$2,'Atividades Micro'!$K542&lt;&gt;""),'Atividades Micro'!$K542,"")</f>
        <v/>
      </c>
      <c r="AZ490" s="21" t="str">
        <f>IF(AND('Atividades Micro'!$A542=AZ$2,'Atividades Micro'!$L542&lt;&gt;""),'Atividades Micro'!$L542,"")</f>
        <v/>
      </c>
      <c r="BA490" s="21" t="str">
        <f>IF(AND('Atividades Micro'!$B542=BA$2,'Atividades Micro'!$K542&lt;&gt;""),'Atividades Micro'!$K542,"")</f>
        <v/>
      </c>
      <c r="BB490" s="21" t="str">
        <f>IF(AND('Atividades Micro'!$B542=BB$2,'Atividades Micro'!$L542&lt;&gt;""),'Atividades Micro'!$L542,"")</f>
        <v/>
      </c>
      <c r="BC490" s="21" t="str">
        <f>IF(AND('Atividades Micro'!$B542=BC$2,'Atividades Micro'!$G542="Macro",'Atividades Micro'!$K542&lt;&gt;""),'Atividades Micro'!$K542,"")</f>
        <v/>
      </c>
      <c r="BD490" s="21" t="str">
        <f>IF(AND('Atividades Micro'!$B542=BD$2,'Atividades Micro'!$G542="Macro",'Atividades Micro'!$K542&lt;&gt;""),'Atividades Micro'!$K542,"")</f>
        <v/>
      </c>
      <c r="BE490" s="21" t="str">
        <f>IF(AND('Atividades Micro'!$B542=BE$2,'Atividades Micro'!$G542="Macro",'Atividades Micro'!$K542&lt;&gt;""),'Atividades Micro'!$K542,"")</f>
        <v/>
      </c>
      <c r="BF490" s="21" t="str">
        <f>IF(AND('Atividades Micro'!$B542=BF$2,'Atividades Micro'!$G542="Macro",'Atividades Micro'!$K542&lt;&gt;""),'Atividades Micro'!$K542,"")</f>
        <v/>
      </c>
      <c r="BG490" s="21" t="str">
        <f>IF(AND('Atividades Micro'!$B542=BG$2,'Atividades Micro'!$G542="Macro",'Atividades Micro'!$K542&lt;&gt;""),'Atividades Micro'!$K542,"")</f>
        <v/>
      </c>
      <c r="BH490" s="21" t="str">
        <f>IF(AND('Atividades Micro'!$B542=BH$2,'Atividades Micro'!$G542="Macro",'Atividades Micro'!$K542&lt;&gt;""),'Atividades Micro'!$K542,"")</f>
        <v/>
      </c>
      <c r="BI490" s="21" t="str">
        <f>IF(AND('Atividades Micro'!$B542=BI$2,'Atividades Micro'!$G542="Macro",'Atividades Micro'!$K542&lt;&gt;""),'Atividades Micro'!$K542,"")</f>
        <v/>
      </c>
      <c r="BJ490" s="21" t="str">
        <f>IF(AND('Atividades Micro'!$B542=BJ$2,'Atividades Micro'!$G542="Macro",'Atividades Micro'!$K542&lt;&gt;""),'Atividades Micro'!$K542,"")</f>
        <v/>
      </c>
      <c r="BK490" s="21" t="str">
        <f>IF(AND('Atividades Micro'!$B542=BK$2,'Atividades Micro'!$G542="Macro",'Atividades Micro'!$K542&lt;&gt;""),'Atividades Micro'!$K542,"")</f>
        <v/>
      </c>
      <c r="BL490" s="21" t="str">
        <f>IF(AND('Atividades Micro'!$B542=BL$2,'Atividades Micro'!$G542="Macro",'Atividades Micro'!$K542&lt;&gt;""),'Atividades Micro'!$K542,"")</f>
        <v/>
      </c>
      <c r="BM490" s="21" t="str">
        <f>IF(AND('Atividades Micro'!$B542=BM$2,'Atividades Micro'!$G542="Macro",'Atividades Micro'!$K542&lt;&gt;""),'Atividades Micro'!$K542,"")</f>
        <v/>
      </c>
      <c r="BN490" s="21" t="str">
        <f>IF(AND('Atividades Micro'!$B542=BN$2,'Atividades Micro'!$G542="Macro",'Atividades Micro'!$K542&lt;&gt;""),'Atividades Micro'!$K542,"")</f>
        <v/>
      </c>
      <c r="BO490" s="21" t="str">
        <f>IF(AND('Atividades Micro'!$B542=BO$2,'Atividades Micro'!$G542="Macro",'Atividades Micro'!$K542&lt;&gt;""),'Atividades Micro'!$K542,"")</f>
        <v/>
      </c>
      <c r="BP490" s="21" t="str">
        <f>IF(AND('Atividades Micro'!$B542=BP$2,'Atividades Micro'!$G542="Macro",'Atividades Micro'!$K542&lt;&gt;""),'Atividades Micro'!$K542,"")</f>
        <v/>
      </c>
      <c r="BQ490" s="21" t="str">
        <f>IF(AND('Atividades Micro'!$B542=BQ$2,'Atividades Micro'!$G542="Macro",'Atividades Micro'!$K542&lt;&gt;""),'Atividades Micro'!$K542,"")</f>
        <v/>
      </c>
      <c r="BR490" s="21" t="str">
        <f>IF(AND('Atividades Micro'!$B542=BR$2,'Atividades Micro'!$G542="Macro",'Atividades Micro'!$K542&lt;&gt;""),'Atividades Micro'!$K542,"")</f>
        <v/>
      </c>
      <c r="BS490" s="21" t="str">
        <f>IF(AND('Atividades Micro'!$B542=BS$2,'Atividades Micro'!$G542="Macro",'Atividades Micro'!$K542&lt;&gt;""),'Atividades Micro'!$K542,"")</f>
        <v/>
      </c>
      <c r="BT490" s="21" t="str">
        <f>IF(AND('Atividades Micro'!$B542=BT$2,'Atividades Micro'!$G542="Macro",'Atividades Micro'!$K542&lt;&gt;""),'Atividades Micro'!$K542,"")</f>
        <v/>
      </c>
      <c r="BU490" s="21" t="str">
        <f>IF(AND('Atividades Micro'!$B542=BU$2,'Atividades Micro'!$G542="Macro",'Atividades Micro'!$K542&lt;&gt;""),'Atividades Micro'!$K542,"")</f>
        <v/>
      </c>
      <c r="BV490" s="21" t="str">
        <f>IF(AND('Atividades Micro'!$B542=BV$2,'Atividades Micro'!$G542="Macro",'Atividades Micro'!$K542&lt;&gt;""),'Atividades Micro'!$K542,"")</f>
        <v/>
      </c>
      <c r="BW490" s="21" t="str">
        <f>IF(AND('Atividades Micro'!$B542=BW$2,'Atividades Micro'!$G542="Macro",'Atividades Micro'!$K542&lt;&gt;""),'Atividades Micro'!$K542,"")</f>
        <v/>
      </c>
      <c r="BX490" s="21" t="str">
        <f>IF(AND('Atividades Micro'!$B542=BX$2,'Atividades Micro'!$G542="Macro",'Atividades Micro'!$K542&lt;&gt;""),'Atividades Micro'!$K542,"")</f>
        <v/>
      </c>
      <c r="BY490" s="21" t="str">
        <f>IF(AND('Atividades Micro'!$B542=BY$2,'Atividades Micro'!$G542="Macro",'Atividades Micro'!$K542&lt;&gt;""),'Atividades Micro'!$K542,"")</f>
        <v/>
      </c>
      <c r="BZ490" s="21" t="str">
        <f>IF(AND('Atividades Micro'!$B542=BZ$2,'Atividades Micro'!$G542="Macro",'Atividades Micro'!$K542&lt;&gt;""),'Atividades Micro'!$K542,"")</f>
        <v/>
      </c>
      <c r="CA490" s="21" t="str">
        <f>IF(AND('Atividades Micro'!$B542=CA$2,'Atividades Micro'!$G542="Macro",'Atividades Micro'!$K542&lt;&gt;""),'Atividades Micro'!$K542,"")</f>
        <v/>
      </c>
      <c r="CB490" s="21" t="str">
        <f>IF(AND('Atividades Micro'!$B542=CB$2,'Atividades Micro'!$G542="Macro",'Atividades Micro'!$K542&lt;&gt;""),'Atividades Micro'!$K542,"")</f>
        <v/>
      </c>
      <c r="CC490" s="21" t="str">
        <f>IF(AND('Atividades Micro'!$B542=CC$2,'Atividades Micro'!$G542="Macro",'Atividades Micro'!$K542&lt;&gt;""),'Atividades Micro'!$K542,"")</f>
        <v/>
      </c>
      <c r="CD490" s="21" t="str">
        <f>IF(AND('Atividades Micro'!$B542=CD$2,'Atividades Micro'!$G542="Micro",'Atividades Micro'!$K542&lt;&gt;""),'Atividades Micro'!$K542,"")</f>
        <v/>
      </c>
      <c r="CE490" s="21" t="str">
        <f>IF(AND('Atividades Micro'!$B542=CE$2,'Atividades Micro'!$G542="Micro",'Atividades Micro'!$K542&lt;&gt;""),'Atividades Micro'!$K542,"")</f>
        <v/>
      </c>
      <c r="CF490" s="21" t="str">
        <f>IF(AND('Atividades Micro'!$B542=CF$2,'Atividades Micro'!$G542="Micro",'Atividades Micro'!$K542&lt;&gt;""),'Atividades Micro'!$K542,"")</f>
        <v/>
      </c>
      <c r="CG490" s="21" t="str">
        <f>IF(AND('Atividades Micro'!$B542=CG$2,'Atividades Micro'!$G542="Micro",'Atividades Micro'!$K542&lt;&gt;""),'Atividades Micro'!$K542,"")</f>
        <v/>
      </c>
      <c r="CH490" s="21" t="str">
        <f>IF(AND('Atividades Micro'!$B542=CH$2,'Atividades Micro'!$G542="Micro",'Atividades Micro'!$K542&lt;&gt;""),'Atividades Micro'!$K542,"")</f>
        <v/>
      </c>
      <c r="CI490" s="21" t="str">
        <f>IF(AND('Atividades Micro'!$B542=CI$2,'Atividades Micro'!$G542="Micro",'Atividades Micro'!$K542&lt;&gt;""),'Atividades Micro'!$K542,"")</f>
        <v/>
      </c>
      <c r="CJ490" s="21" t="str">
        <f>IF(AND('Atividades Micro'!$B542=CJ$2,'Atividades Micro'!$G542="Micro",'Atividades Micro'!$K542&lt;&gt;""),'Atividades Micro'!$K542,"")</f>
        <v/>
      </c>
      <c r="CK490" s="21" t="str">
        <f>IF(AND('Atividades Micro'!$B542=CK$2,'Atividades Micro'!$G542="Micro",'Atividades Micro'!$K542&lt;&gt;""),'Atividades Micro'!$K542,"")</f>
        <v/>
      </c>
      <c r="CL490" s="21" t="str">
        <f>IF(AND('Atividades Micro'!$B542=CL$2,'Atividades Micro'!$G542="Micro",'Atividades Micro'!$K542&lt;&gt;""),'Atividades Micro'!$K542,"")</f>
        <v/>
      </c>
      <c r="CM490" s="21" t="str">
        <f>IF(AND('Atividades Micro'!$B542=CM$2,'Atividades Micro'!$G542="Micro",'Atividades Micro'!$K542&lt;&gt;""),'Atividades Micro'!$K542,"")</f>
        <v/>
      </c>
      <c r="CN490" s="21" t="str">
        <f>IF(AND('Atividades Micro'!$B542=CN$2,'Atividades Micro'!$G542="Micro",'Atividades Micro'!$K542&lt;&gt;""),'Atividades Micro'!$K542,"")</f>
        <v/>
      </c>
      <c r="CO490" s="21" t="str">
        <f>IF(AND('Atividades Micro'!$B542=CO$2,'Atividades Micro'!$G542="Micro",'Atividades Micro'!$K542&lt;&gt;""),'Atividades Micro'!$K542,"")</f>
        <v/>
      </c>
    </row>
    <row r="491" spans="1:93">
      <c r="A491" s="21" t="str">
        <f>IF(AND('Atividades Micro'!$A543=A$2,'Atividades Micro'!$K543&lt;&gt;""),'Atividades Micro'!$K543,"")</f>
        <v/>
      </c>
      <c r="B491" s="21" t="str">
        <f>IF(AND('Atividades Micro'!$A543=B$2,'Atividades Micro'!$L543&lt;&gt;""),'Atividades Micro'!$L543,"")</f>
        <v/>
      </c>
      <c r="C491" s="21" t="str">
        <f>IF(AND('Atividades Micro'!$A543=C$2,'Atividades Micro'!$K543&lt;&gt;""),'Atividades Micro'!$K543,"")</f>
        <v/>
      </c>
      <c r="D491" s="21" t="str">
        <f>IF(AND('Atividades Micro'!$A543=D$2,'Atividades Micro'!$L543&lt;&gt;""),'Atividades Micro'!$L543,"")</f>
        <v/>
      </c>
      <c r="E491" s="21" t="str">
        <f>IF(AND('Atividades Micro'!$A543=E$2,'Atividades Micro'!$K543&lt;&gt;""),'Atividades Micro'!$K543,"")</f>
        <v/>
      </c>
      <c r="F491" s="21" t="str">
        <f>IF(AND('Atividades Micro'!$A543=F$2,'Atividades Micro'!$L543&lt;&gt;""),'Atividades Micro'!$L543,"")</f>
        <v/>
      </c>
      <c r="G491" s="21" t="str">
        <f>IF(AND('Atividades Micro'!$A543=G$2,'Atividades Micro'!$K543&lt;&gt;""),'Atividades Micro'!$K543,"")</f>
        <v/>
      </c>
      <c r="H491" s="21" t="str">
        <f>IF(AND('Atividades Micro'!$A543=H$2,'Atividades Micro'!$L543&lt;&gt;""),'Atividades Micro'!$L543,"")</f>
        <v/>
      </c>
      <c r="I491" s="21" t="str">
        <f>IF(AND('Atividades Micro'!$A543=I$2,'Atividades Micro'!$K543&lt;&gt;""),'Atividades Micro'!$K543,"")</f>
        <v/>
      </c>
      <c r="J491" s="21" t="str">
        <f>IF(AND('Atividades Micro'!$A543=J$2,'Atividades Micro'!$L543&lt;&gt;""),'Atividades Micro'!$L543,"")</f>
        <v/>
      </c>
      <c r="K491" s="21" t="str">
        <f>IF(AND('Atividades Micro'!$B543=K$2,'Atividades Micro'!$K543&lt;&gt;""),'Atividades Micro'!$K543,"")</f>
        <v/>
      </c>
      <c r="L491" s="21" t="str">
        <f>IF(AND('Atividades Micro'!$B543=L$2,'Atividades Micro'!$L543&lt;&gt;""),'Atividades Micro'!$L543,"")</f>
        <v/>
      </c>
      <c r="M491" s="21" t="str">
        <f>IF(AND('Atividades Micro'!$B543=M$2,'Atividades Micro'!$K543&lt;&gt;""),'Atividades Micro'!$K543,"")</f>
        <v/>
      </c>
      <c r="N491" s="21" t="str">
        <f>IF(AND('Atividades Micro'!$B543=N$2,'Atividades Micro'!$L543&lt;&gt;""),'Atividades Micro'!$L543,"")</f>
        <v/>
      </c>
      <c r="O491" s="21" t="str">
        <f>IF(AND('Atividades Micro'!$A543=O$2,'Atividades Micro'!$K543&lt;&gt;""),'Atividades Micro'!$K543,"")</f>
        <v/>
      </c>
      <c r="P491" s="21" t="str">
        <f>IF(AND('Atividades Micro'!$A543=P$2,'Atividades Micro'!$L543&lt;&gt;""),'Atividades Micro'!$L543,"")</f>
        <v/>
      </c>
      <c r="Q491" s="21" t="str">
        <f>IF(AND('Atividades Micro'!$B543=Q$2,'Atividades Micro'!$K543&lt;&gt;""),'Atividades Micro'!$K543,"")</f>
        <v/>
      </c>
      <c r="R491" s="21" t="str">
        <f>IF(AND('Atividades Micro'!$B543=R$2,'Atividades Micro'!$L543&lt;&gt;""),'Atividades Micro'!$L543,"")</f>
        <v/>
      </c>
      <c r="S491" s="21" t="str">
        <f>IF(AND('Atividades Micro'!$A543=S$2,'Atividades Micro'!$K543&lt;&gt;""),'Atividades Micro'!$K543,"")</f>
        <v/>
      </c>
      <c r="T491" s="21" t="str">
        <f>IF(AND('Atividades Micro'!$A543=T$2,'Atividades Micro'!$L543&lt;&gt;""),'Atividades Micro'!$L543,"")</f>
        <v/>
      </c>
      <c r="U491" s="21" t="str">
        <f>IF(AND('Atividades Micro'!$B543=U$2,'Atividades Micro'!$K543&lt;&gt;""),'Atividades Micro'!$K543,"")</f>
        <v/>
      </c>
      <c r="V491" s="21" t="str">
        <f>IF(AND('Atividades Micro'!$B543=V$2,'Atividades Micro'!$L543&lt;&gt;""),'Atividades Micro'!$L543,"")</f>
        <v/>
      </c>
      <c r="W491" s="21" t="str">
        <f>IF(AND('Atividades Micro'!$B543=W$2,'Atividades Micro'!$K543&lt;&gt;""),'Atividades Micro'!$K543,"")</f>
        <v/>
      </c>
      <c r="X491" s="21" t="str">
        <f>IF(AND('Atividades Micro'!$B543=X$2,'Atividades Micro'!$L543&lt;&gt;""),'Atividades Micro'!$L543,"")</f>
        <v/>
      </c>
      <c r="Y491" s="21" t="str">
        <f>IF(AND('Atividades Micro'!$A543=Y$2,'Atividades Micro'!$K543&lt;&gt;""),'Atividades Micro'!$K543,"")</f>
        <v/>
      </c>
      <c r="Z491" s="21" t="str">
        <f>IF(AND('Atividades Micro'!$A543=Z$2,'Atividades Micro'!$L543&lt;&gt;""),'Atividades Micro'!$L543,"")</f>
        <v/>
      </c>
      <c r="AA491" s="21" t="str">
        <f>IF(AND('Atividades Micro'!$B543=AA$2,'Atividades Micro'!$K543&lt;&gt;""),'Atividades Micro'!$K543,"")</f>
        <v/>
      </c>
      <c r="AB491" s="21" t="str">
        <f>IF(AND('Atividades Micro'!$B543=AB$2,'Atividades Micro'!$L543&lt;&gt;""),'Atividades Micro'!$L543,"")</f>
        <v/>
      </c>
      <c r="AC491" s="21" t="str">
        <f>IF(AND('Atividades Micro'!$B543=AC$2,'Atividades Micro'!$K543&lt;&gt;""),'Atividades Micro'!$K543,"")</f>
        <v/>
      </c>
      <c r="AD491" s="21" t="str">
        <f>IF(AND('Atividades Micro'!$B543=AD$2,'Atividades Micro'!$L543&lt;&gt;""),'Atividades Micro'!$L543,"")</f>
        <v/>
      </c>
      <c r="AE491" s="21" t="str">
        <f>IF(AND('Atividades Micro'!$A543=AE$2,'Atividades Micro'!$K543&lt;&gt;""),'Atividades Micro'!$K543,"")</f>
        <v/>
      </c>
      <c r="AF491" s="21" t="str">
        <f>IF(AND('Atividades Micro'!$A543=AF$2,'Atividades Micro'!$L543&lt;&gt;""),'Atividades Micro'!$L543,"")</f>
        <v/>
      </c>
      <c r="AG491" s="21" t="str">
        <f>IF(AND('Atividades Micro'!$B543=AG$2,'Atividades Micro'!$K543&lt;&gt;""),'Atividades Micro'!$K543,"")</f>
        <v/>
      </c>
      <c r="AH491" s="21" t="str">
        <f>IF(AND('Atividades Micro'!$B543=AH$2,'Atividades Micro'!$L543&lt;&gt;""),'Atividades Micro'!$L543,"")</f>
        <v/>
      </c>
      <c r="AI491" s="21" t="str">
        <f>IF(AND('Atividades Micro'!$B543=AI$2,'Atividades Micro'!$K543&lt;&gt;""),'Atividades Micro'!$K543,"")</f>
        <v/>
      </c>
      <c r="AJ491" s="21" t="str">
        <f>IF(AND('Atividades Micro'!$B543=AJ$2,'Atividades Micro'!$L543&lt;&gt;""),'Atividades Micro'!$L543,"")</f>
        <v/>
      </c>
      <c r="AK491" s="21" t="str">
        <f>IF(AND('Atividades Micro'!$A543=AK$2,'Atividades Micro'!$K543&lt;&gt;""),'Atividades Micro'!$K543,"")</f>
        <v/>
      </c>
      <c r="AL491" s="21" t="str">
        <f>IF(AND('Atividades Micro'!$A543=AL$2,'Atividades Micro'!$L543&lt;&gt;""),'Atividades Micro'!$L543,"")</f>
        <v/>
      </c>
      <c r="AM491" s="21" t="str">
        <f>IF(AND('Atividades Micro'!$B543=AM$2,'Atividades Micro'!$K543&lt;&gt;""),'Atividades Micro'!$K543,"")</f>
        <v/>
      </c>
      <c r="AN491" s="21" t="str">
        <f>IF(AND('Atividades Micro'!$B543=AN$2,'Atividades Micro'!$L543&lt;&gt;""),'Atividades Micro'!$L543,"")</f>
        <v/>
      </c>
      <c r="AO491" s="21" t="str">
        <f>IF(AND('Atividades Micro'!$B543=AO$2,'Atividades Micro'!$K543&lt;&gt;""),'Atividades Micro'!$K543,"")</f>
        <v/>
      </c>
      <c r="AP491" s="21" t="str">
        <f>IF(AND('Atividades Micro'!$B543=AP$2,'Atividades Micro'!$L543&lt;&gt;""),'Atividades Micro'!$L543,"")</f>
        <v/>
      </c>
      <c r="AQ491" s="21" t="str">
        <f>IF(AND('Atividades Micro'!$A543=AQ$2,'Atividades Micro'!$K543&lt;&gt;""),'Atividades Micro'!$K543,"")</f>
        <v/>
      </c>
      <c r="AR491" s="21" t="str">
        <f>IF(AND('Atividades Micro'!$A543=AR$2,'Atividades Micro'!$L543&lt;&gt;""),'Atividades Micro'!$L543,"")</f>
        <v/>
      </c>
      <c r="AS491" s="21" t="str">
        <f>IF(AND('Atividades Micro'!$B543=AS$2,'Atividades Micro'!$K543&lt;&gt;""),'Atividades Micro'!$K543,"")</f>
        <v/>
      </c>
      <c r="AT491" s="21" t="str">
        <f>IF(AND('Atividades Micro'!$B543=AT$2,'Atividades Micro'!$L543&lt;&gt;""),'Atividades Micro'!$L543,"")</f>
        <v/>
      </c>
      <c r="AU491" s="21" t="str">
        <f>IF(AND('Atividades Micro'!$A543=AU$2,'Atividades Micro'!$K543&lt;&gt;""),'Atividades Micro'!$K543,"")</f>
        <v/>
      </c>
      <c r="AV491" s="21" t="str">
        <f>IF(AND('Atividades Micro'!$A543=AV$2,'Atividades Micro'!$L543&lt;&gt;""),'Atividades Micro'!$L543,"")</f>
        <v/>
      </c>
      <c r="AW491" s="21" t="str">
        <f>IF(AND('Atividades Micro'!$B543=AW$2,'Atividades Micro'!$K543&lt;&gt;""),'Atividades Micro'!$K543,"")</f>
        <v/>
      </c>
      <c r="AX491" s="21" t="str">
        <f>IF(AND('Atividades Micro'!$B543=AX$2,'Atividades Micro'!$L543&lt;&gt;""),'Atividades Micro'!$L543,"")</f>
        <v/>
      </c>
      <c r="AY491" s="21" t="str">
        <f>IF(AND('Atividades Micro'!$A543=AY$2,'Atividades Micro'!$K543&lt;&gt;""),'Atividades Micro'!$K543,"")</f>
        <v/>
      </c>
      <c r="AZ491" s="21" t="str">
        <f>IF(AND('Atividades Micro'!$A543=AZ$2,'Atividades Micro'!$L543&lt;&gt;""),'Atividades Micro'!$L543,"")</f>
        <v/>
      </c>
      <c r="BA491" s="21" t="str">
        <f>IF(AND('Atividades Micro'!$B543=BA$2,'Atividades Micro'!$K543&lt;&gt;""),'Atividades Micro'!$K543,"")</f>
        <v/>
      </c>
      <c r="BB491" s="21" t="str">
        <f>IF(AND('Atividades Micro'!$B543=BB$2,'Atividades Micro'!$L543&lt;&gt;""),'Atividades Micro'!$L543,"")</f>
        <v/>
      </c>
      <c r="BC491" s="21" t="str">
        <f>IF(AND('Atividades Micro'!$B543=BC$2,'Atividades Micro'!$G543="Macro",'Atividades Micro'!$K543&lt;&gt;""),'Atividades Micro'!$K543,"")</f>
        <v/>
      </c>
      <c r="BD491" s="21" t="str">
        <f>IF(AND('Atividades Micro'!$B543=BD$2,'Atividades Micro'!$G543="Macro",'Atividades Micro'!$K543&lt;&gt;""),'Atividades Micro'!$K543,"")</f>
        <v/>
      </c>
      <c r="BE491" s="21" t="str">
        <f>IF(AND('Atividades Micro'!$B543=BE$2,'Atividades Micro'!$G543="Macro",'Atividades Micro'!$K543&lt;&gt;""),'Atividades Micro'!$K543,"")</f>
        <v/>
      </c>
      <c r="BF491" s="21" t="str">
        <f>IF(AND('Atividades Micro'!$B543=BF$2,'Atividades Micro'!$G543="Macro",'Atividades Micro'!$K543&lt;&gt;""),'Atividades Micro'!$K543,"")</f>
        <v/>
      </c>
      <c r="BG491" s="21" t="str">
        <f>IF(AND('Atividades Micro'!$B543=BG$2,'Atividades Micro'!$G543="Macro",'Atividades Micro'!$K543&lt;&gt;""),'Atividades Micro'!$K543,"")</f>
        <v/>
      </c>
      <c r="BH491" s="21" t="str">
        <f>IF(AND('Atividades Micro'!$B543=BH$2,'Atividades Micro'!$G543="Macro",'Atividades Micro'!$K543&lt;&gt;""),'Atividades Micro'!$K543,"")</f>
        <v/>
      </c>
      <c r="BI491" s="21" t="str">
        <f>IF(AND('Atividades Micro'!$B543=BI$2,'Atividades Micro'!$G543="Macro",'Atividades Micro'!$K543&lt;&gt;""),'Atividades Micro'!$K543,"")</f>
        <v/>
      </c>
      <c r="BJ491" s="21" t="str">
        <f>IF(AND('Atividades Micro'!$B543=BJ$2,'Atividades Micro'!$G543="Macro",'Atividades Micro'!$K543&lt;&gt;""),'Atividades Micro'!$K543,"")</f>
        <v/>
      </c>
      <c r="BK491" s="21" t="str">
        <f>IF(AND('Atividades Micro'!$B543=BK$2,'Atividades Micro'!$G543="Macro",'Atividades Micro'!$K543&lt;&gt;""),'Atividades Micro'!$K543,"")</f>
        <v/>
      </c>
      <c r="BL491" s="21" t="str">
        <f>IF(AND('Atividades Micro'!$B543=BL$2,'Atividades Micro'!$G543="Macro",'Atividades Micro'!$K543&lt;&gt;""),'Atividades Micro'!$K543,"")</f>
        <v/>
      </c>
      <c r="BM491" s="21" t="str">
        <f>IF(AND('Atividades Micro'!$B543=BM$2,'Atividades Micro'!$G543="Macro",'Atividades Micro'!$K543&lt;&gt;""),'Atividades Micro'!$K543,"")</f>
        <v/>
      </c>
      <c r="BN491" s="21" t="str">
        <f>IF(AND('Atividades Micro'!$B543=BN$2,'Atividades Micro'!$G543="Macro",'Atividades Micro'!$K543&lt;&gt;""),'Atividades Micro'!$K543,"")</f>
        <v/>
      </c>
      <c r="BO491" s="21" t="str">
        <f>IF(AND('Atividades Micro'!$B543=BO$2,'Atividades Micro'!$G543="Macro",'Atividades Micro'!$K543&lt;&gt;""),'Atividades Micro'!$K543,"")</f>
        <v/>
      </c>
      <c r="BP491" s="21" t="str">
        <f>IF(AND('Atividades Micro'!$B543=BP$2,'Atividades Micro'!$G543="Macro",'Atividades Micro'!$K543&lt;&gt;""),'Atividades Micro'!$K543,"")</f>
        <v/>
      </c>
      <c r="BQ491" s="21" t="str">
        <f>IF(AND('Atividades Micro'!$B543=BQ$2,'Atividades Micro'!$G543="Macro",'Atividades Micro'!$K543&lt;&gt;""),'Atividades Micro'!$K543,"")</f>
        <v/>
      </c>
      <c r="BR491" s="21" t="str">
        <f>IF(AND('Atividades Micro'!$B543=BR$2,'Atividades Micro'!$G543="Macro",'Atividades Micro'!$K543&lt;&gt;""),'Atividades Micro'!$K543,"")</f>
        <v/>
      </c>
      <c r="BS491" s="21" t="str">
        <f>IF(AND('Atividades Micro'!$B543=BS$2,'Atividades Micro'!$G543="Macro",'Atividades Micro'!$K543&lt;&gt;""),'Atividades Micro'!$K543,"")</f>
        <v/>
      </c>
      <c r="BT491" s="21" t="str">
        <f>IF(AND('Atividades Micro'!$B543=BT$2,'Atividades Micro'!$G543="Macro",'Atividades Micro'!$K543&lt;&gt;""),'Atividades Micro'!$K543,"")</f>
        <v/>
      </c>
      <c r="BU491" s="21" t="str">
        <f>IF(AND('Atividades Micro'!$B543=BU$2,'Atividades Micro'!$G543="Macro",'Atividades Micro'!$K543&lt;&gt;""),'Atividades Micro'!$K543,"")</f>
        <v/>
      </c>
      <c r="BV491" s="21" t="str">
        <f>IF(AND('Atividades Micro'!$B543=BV$2,'Atividades Micro'!$G543="Macro",'Atividades Micro'!$K543&lt;&gt;""),'Atividades Micro'!$K543,"")</f>
        <v/>
      </c>
      <c r="BW491" s="21" t="str">
        <f>IF(AND('Atividades Micro'!$B543=BW$2,'Atividades Micro'!$G543="Macro",'Atividades Micro'!$K543&lt;&gt;""),'Atividades Micro'!$K543,"")</f>
        <v/>
      </c>
      <c r="BX491" s="21" t="str">
        <f>IF(AND('Atividades Micro'!$B543=BX$2,'Atividades Micro'!$G543="Macro",'Atividades Micro'!$K543&lt;&gt;""),'Atividades Micro'!$K543,"")</f>
        <v/>
      </c>
      <c r="BY491" s="21" t="str">
        <f>IF(AND('Atividades Micro'!$B543=BY$2,'Atividades Micro'!$G543="Macro",'Atividades Micro'!$K543&lt;&gt;""),'Atividades Micro'!$K543,"")</f>
        <v/>
      </c>
      <c r="BZ491" s="21" t="str">
        <f>IF(AND('Atividades Micro'!$B543=BZ$2,'Atividades Micro'!$G543="Macro",'Atividades Micro'!$K543&lt;&gt;""),'Atividades Micro'!$K543,"")</f>
        <v/>
      </c>
      <c r="CA491" s="21" t="str">
        <f>IF(AND('Atividades Micro'!$B543=CA$2,'Atividades Micro'!$G543="Macro",'Atividades Micro'!$K543&lt;&gt;""),'Atividades Micro'!$K543,"")</f>
        <v/>
      </c>
      <c r="CB491" s="21" t="str">
        <f>IF(AND('Atividades Micro'!$B543=CB$2,'Atividades Micro'!$G543="Macro",'Atividades Micro'!$K543&lt;&gt;""),'Atividades Micro'!$K543,"")</f>
        <v/>
      </c>
      <c r="CC491" s="21" t="str">
        <f>IF(AND('Atividades Micro'!$B543=CC$2,'Atividades Micro'!$G543="Macro",'Atividades Micro'!$K543&lt;&gt;""),'Atividades Micro'!$K543,"")</f>
        <v/>
      </c>
      <c r="CD491" s="21" t="str">
        <f>IF(AND('Atividades Micro'!$B543=CD$2,'Atividades Micro'!$G543="Micro",'Atividades Micro'!$K543&lt;&gt;""),'Atividades Micro'!$K543,"")</f>
        <v/>
      </c>
      <c r="CE491" s="21" t="str">
        <f>IF(AND('Atividades Micro'!$B543=CE$2,'Atividades Micro'!$G543="Micro",'Atividades Micro'!$K543&lt;&gt;""),'Atividades Micro'!$K543,"")</f>
        <v/>
      </c>
      <c r="CF491" s="21" t="str">
        <f>IF(AND('Atividades Micro'!$B543=CF$2,'Atividades Micro'!$G543="Micro",'Atividades Micro'!$K543&lt;&gt;""),'Atividades Micro'!$K543,"")</f>
        <v/>
      </c>
      <c r="CG491" s="21" t="str">
        <f>IF(AND('Atividades Micro'!$B543=CG$2,'Atividades Micro'!$G543="Micro",'Atividades Micro'!$K543&lt;&gt;""),'Atividades Micro'!$K543,"")</f>
        <v/>
      </c>
      <c r="CH491" s="21" t="str">
        <f>IF(AND('Atividades Micro'!$B543=CH$2,'Atividades Micro'!$G543="Micro",'Atividades Micro'!$K543&lt;&gt;""),'Atividades Micro'!$K543,"")</f>
        <v/>
      </c>
      <c r="CI491" s="21" t="str">
        <f>IF(AND('Atividades Micro'!$B543=CI$2,'Atividades Micro'!$G543="Micro",'Atividades Micro'!$K543&lt;&gt;""),'Atividades Micro'!$K543,"")</f>
        <v/>
      </c>
      <c r="CJ491" s="21" t="str">
        <f>IF(AND('Atividades Micro'!$B543=CJ$2,'Atividades Micro'!$G543="Micro",'Atividades Micro'!$K543&lt;&gt;""),'Atividades Micro'!$K543,"")</f>
        <v/>
      </c>
      <c r="CK491" s="21" t="str">
        <f>IF(AND('Atividades Micro'!$B543=CK$2,'Atividades Micro'!$G543="Micro",'Atividades Micro'!$K543&lt;&gt;""),'Atividades Micro'!$K543,"")</f>
        <v/>
      </c>
      <c r="CL491" s="21" t="str">
        <f>IF(AND('Atividades Micro'!$B543=CL$2,'Atividades Micro'!$G543="Micro",'Atividades Micro'!$K543&lt;&gt;""),'Atividades Micro'!$K543,"")</f>
        <v/>
      </c>
      <c r="CM491" s="21" t="str">
        <f>IF(AND('Atividades Micro'!$B543=CM$2,'Atividades Micro'!$G543="Micro",'Atividades Micro'!$K543&lt;&gt;""),'Atividades Micro'!$K543,"")</f>
        <v/>
      </c>
      <c r="CN491" s="21" t="str">
        <f>IF(AND('Atividades Micro'!$B543=CN$2,'Atividades Micro'!$G543="Micro",'Atividades Micro'!$K543&lt;&gt;""),'Atividades Micro'!$K543,"")</f>
        <v/>
      </c>
      <c r="CO491" s="21" t="str">
        <f>IF(AND('Atividades Micro'!$B543=CO$2,'Atividades Micro'!$G543="Micro",'Atividades Micro'!$K543&lt;&gt;""),'Atividades Micro'!$K543,"")</f>
        <v/>
      </c>
    </row>
    <row r="492" spans="1:93">
      <c r="A492" s="21" t="str">
        <f>IF(AND('Atividades Micro'!$A544=A$2,'Atividades Micro'!$K544&lt;&gt;""),'Atividades Micro'!$K544,"")</f>
        <v/>
      </c>
      <c r="B492" s="21" t="str">
        <f>IF(AND('Atividades Micro'!$A544=B$2,'Atividades Micro'!$L544&lt;&gt;""),'Atividades Micro'!$L544,"")</f>
        <v/>
      </c>
      <c r="C492" s="21" t="str">
        <f>IF(AND('Atividades Micro'!$A544=C$2,'Atividades Micro'!$K544&lt;&gt;""),'Atividades Micro'!$K544,"")</f>
        <v/>
      </c>
      <c r="D492" s="21" t="str">
        <f>IF(AND('Atividades Micro'!$A544=D$2,'Atividades Micro'!$L544&lt;&gt;""),'Atividades Micro'!$L544,"")</f>
        <v/>
      </c>
      <c r="E492" s="21" t="str">
        <f>IF(AND('Atividades Micro'!$A544=E$2,'Atividades Micro'!$K544&lt;&gt;""),'Atividades Micro'!$K544,"")</f>
        <v/>
      </c>
      <c r="F492" s="21" t="str">
        <f>IF(AND('Atividades Micro'!$A544=F$2,'Atividades Micro'!$L544&lt;&gt;""),'Atividades Micro'!$L544,"")</f>
        <v/>
      </c>
      <c r="G492" s="21" t="str">
        <f>IF(AND('Atividades Micro'!$A544=G$2,'Atividades Micro'!$K544&lt;&gt;""),'Atividades Micro'!$K544,"")</f>
        <v/>
      </c>
      <c r="H492" s="21" t="str">
        <f>IF(AND('Atividades Micro'!$A544=H$2,'Atividades Micro'!$L544&lt;&gt;""),'Atividades Micro'!$L544,"")</f>
        <v/>
      </c>
      <c r="I492" s="21" t="str">
        <f>IF(AND('Atividades Micro'!$A544=I$2,'Atividades Micro'!$K544&lt;&gt;""),'Atividades Micro'!$K544,"")</f>
        <v/>
      </c>
      <c r="J492" s="21" t="str">
        <f>IF(AND('Atividades Micro'!$A544=J$2,'Atividades Micro'!$L544&lt;&gt;""),'Atividades Micro'!$L544,"")</f>
        <v/>
      </c>
      <c r="K492" s="21" t="str">
        <f>IF(AND('Atividades Micro'!$B544=K$2,'Atividades Micro'!$K544&lt;&gt;""),'Atividades Micro'!$K544,"")</f>
        <v/>
      </c>
      <c r="L492" s="21" t="str">
        <f>IF(AND('Atividades Micro'!$B544=L$2,'Atividades Micro'!$L544&lt;&gt;""),'Atividades Micro'!$L544,"")</f>
        <v/>
      </c>
      <c r="M492" s="21" t="str">
        <f>IF(AND('Atividades Micro'!$B544=M$2,'Atividades Micro'!$K544&lt;&gt;""),'Atividades Micro'!$K544,"")</f>
        <v/>
      </c>
      <c r="N492" s="21" t="str">
        <f>IF(AND('Atividades Micro'!$B544=N$2,'Atividades Micro'!$L544&lt;&gt;""),'Atividades Micro'!$L544,"")</f>
        <v/>
      </c>
      <c r="O492" s="21" t="str">
        <f>IF(AND('Atividades Micro'!$A544=O$2,'Atividades Micro'!$K544&lt;&gt;""),'Atividades Micro'!$K544,"")</f>
        <v/>
      </c>
      <c r="P492" s="21" t="str">
        <f>IF(AND('Atividades Micro'!$A544=P$2,'Atividades Micro'!$L544&lt;&gt;""),'Atividades Micro'!$L544,"")</f>
        <v/>
      </c>
      <c r="Q492" s="21" t="str">
        <f>IF(AND('Atividades Micro'!$B544=Q$2,'Atividades Micro'!$K544&lt;&gt;""),'Atividades Micro'!$K544,"")</f>
        <v/>
      </c>
      <c r="R492" s="21" t="str">
        <f>IF(AND('Atividades Micro'!$B544=R$2,'Atividades Micro'!$L544&lt;&gt;""),'Atividades Micro'!$L544,"")</f>
        <v/>
      </c>
      <c r="S492" s="21" t="str">
        <f>IF(AND('Atividades Micro'!$A544=S$2,'Atividades Micro'!$K544&lt;&gt;""),'Atividades Micro'!$K544,"")</f>
        <v/>
      </c>
      <c r="T492" s="21" t="str">
        <f>IF(AND('Atividades Micro'!$A544=T$2,'Atividades Micro'!$L544&lt;&gt;""),'Atividades Micro'!$L544,"")</f>
        <v/>
      </c>
      <c r="U492" s="21" t="str">
        <f>IF(AND('Atividades Micro'!$B544=U$2,'Atividades Micro'!$K544&lt;&gt;""),'Atividades Micro'!$K544,"")</f>
        <v/>
      </c>
      <c r="V492" s="21" t="str">
        <f>IF(AND('Atividades Micro'!$B544=V$2,'Atividades Micro'!$L544&lt;&gt;""),'Atividades Micro'!$L544,"")</f>
        <v/>
      </c>
      <c r="W492" s="21" t="str">
        <f>IF(AND('Atividades Micro'!$B544=W$2,'Atividades Micro'!$K544&lt;&gt;""),'Atividades Micro'!$K544,"")</f>
        <v/>
      </c>
      <c r="X492" s="21" t="str">
        <f>IF(AND('Atividades Micro'!$B544=X$2,'Atividades Micro'!$L544&lt;&gt;""),'Atividades Micro'!$L544,"")</f>
        <v/>
      </c>
      <c r="Y492" s="21" t="str">
        <f>IF(AND('Atividades Micro'!$A544=Y$2,'Atividades Micro'!$K544&lt;&gt;""),'Atividades Micro'!$K544,"")</f>
        <v/>
      </c>
      <c r="Z492" s="21" t="str">
        <f>IF(AND('Atividades Micro'!$A544=Z$2,'Atividades Micro'!$L544&lt;&gt;""),'Atividades Micro'!$L544,"")</f>
        <v/>
      </c>
      <c r="AA492" s="21" t="str">
        <f>IF(AND('Atividades Micro'!$B544=AA$2,'Atividades Micro'!$K544&lt;&gt;""),'Atividades Micro'!$K544,"")</f>
        <v/>
      </c>
      <c r="AB492" s="21" t="str">
        <f>IF(AND('Atividades Micro'!$B544=AB$2,'Atividades Micro'!$L544&lt;&gt;""),'Atividades Micro'!$L544,"")</f>
        <v/>
      </c>
      <c r="AC492" s="21" t="str">
        <f>IF(AND('Atividades Micro'!$B544=AC$2,'Atividades Micro'!$K544&lt;&gt;""),'Atividades Micro'!$K544,"")</f>
        <v/>
      </c>
      <c r="AD492" s="21" t="str">
        <f>IF(AND('Atividades Micro'!$B544=AD$2,'Atividades Micro'!$L544&lt;&gt;""),'Atividades Micro'!$L544,"")</f>
        <v/>
      </c>
      <c r="AE492" s="21" t="str">
        <f>IF(AND('Atividades Micro'!$A544=AE$2,'Atividades Micro'!$K544&lt;&gt;""),'Atividades Micro'!$K544,"")</f>
        <v/>
      </c>
      <c r="AF492" s="21" t="str">
        <f>IF(AND('Atividades Micro'!$A544=AF$2,'Atividades Micro'!$L544&lt;&gt;""),'Atividades Micro'!$L544,"")</f>
        <v/>
      </c>
      <c r="AG492" s="21" t="str">
        <f>IF(AND('Atividades Micro'!$B544=AG$2,'Atividades Micro'!$K544&lt;&gt;""),'Atividades Micro'!$K544,"")</f>
        <v/>
      </c>
      <c r="AH492" s="21" t="str">
        <f>IF(AND('Atividades Micro'!$B544=AH$2,'Atividades Micro'!$L544&lt;&gt;""),'Atividades Micro'!$L544,"")</f>
        <v/>
      </c>
      <c r="AI492" s="21" t="str">
        <f>IF(AND('Atividades Micro'!$B544=AI$2,'Atividades Micro'!$K544&lt;&gt;""),'Atividades Micro'!$K544,"")</f>
        <v/>
      </c>
      <c r="AJ492" s="21" t="str">
        <f>IF(AND('Atividades Micro'!$B544=AJ$2,'Atividades Micro'!$L544&lt;&gt;""),'Atividades Micro'!$L544,"")</f>
        <v/>
      </c>
      <c r="AK492" s="21" t="str">
        <f>IF(AND('Atividades Micro'!$A544=AK$2,'Atividades Micro'!$K544&lt;&gt;""),'Atividades Micro'!$K544,"")</f>
        <v/>
      </c>
      <c r="AL492" s="21" t="str">
        <f>IF(AND('Atividades Micro'!$A544=AL$2,'Atividades Micro'!$L544&lt;&gt;""),'Atividades Micro'!$L544,"")</f>
        <v/>
      </c>
      <c r="AM492" s="21" t="str">
        <f>IF(AND('Atividades Micro'!$B544=AM$2,'Atividades Micro'!$K544&lt;&gt;""),'Atividades Micro'!$K544,"")</f>
        <v/>
      </c>
      <c r="AN492" s="21" t="str">
        <f>IF(AND('Atividades Micro'!$B544=AN$2,'Atividades Micro'!$L544&lt;&gt;""),'Atividades Micro'!$L544,"")</f>
        <v/>
      </c>
      <c r="AO492" s="21" t="str">
        <f>IF(AND('Atividades Micro'!$B544=AO$2,'Atividades Micro'!$K544&lt;&gt;""),'Atividades Micro'!$K544,"")</f>
        <v/>
      </c>
      <c r="AP492" s="21" t="str">
        <f>IF(AND('Atividades Micro'!$B544=AP$2,'Atividades Micro'!$L544&lt;&gt;""),'Atividades Micro'!$L544,"")</f>
        <v/>
      </c>
      <c r="AQ492" s="21" t="str">
        <f>IF(AND('Atividades Micro'!$A544=AQ$2,'Atividades Micro'!$K544&lt;&gt;""),'Atividades Micro'!$K544,"")</f>
        <v/>
      </c>
      <c r="AR492" s="21" t="str">
        <f>IF(AND('Atividades Micro'!$A544=AR$2,'Atividades Micro'!$L544&lt;&gt;""),'Atividades Micro'!$L544,"")</f>
        <v/>
      </c>
      <c r="AS492" s="21" t="str">
        <f>IF(AND('Atividades Micro'!$B544=AS$2,'Atividades Micro'!$K544&lt;&gt;""),'Atividades Micro'!$K544,"")</f>
        <v/>
      </c>
      <c r="AT492" s="21" t="str">
        <f>IF(AND('Atividades Micro'!$B544=AT$2,'Atividades Micro'!$L544&lt;&gt;""),'Atividades Micro'!$L544,"")</f>
        <v/>
      </c>
      <c r="AU492" s="21" t="str">
        <f>IF(AND('Atividades Micro'!$A544=AU$2,'Atividades Micro'!$K544&lt;&gt;""),'Atividades Micro'!$K544,"")</f>
        <v/>
      </c>
      <c r="AV492" s="21" t="str">
        <f>IF(AND('Atividades Micro'!$A544=AV$2,'Atividades Micro'!$L544&lt;&gt;""),'Atividades Micro'!$L544,"")</f>
        <v/>
      </c>
      <c r="AW492" s="21" t="str">
        <f>IF(AND('Atividades Micro'!$B544=AW$2,'Atividades Micro'!$K544&lt;&gt;""),'Atividades Micro'!$K544,"")</f>
        <v/>
      </c>
      <c r="AX492" s="21" t="str">
        <f>IF(AND('Atividades Micro'!$B544=AX$2,'Atividades Micro'!$L544&lt;&gt;""),'Atividades Micro'!$L544,"")</f>
        <v/>
      </c>
      <c r="AY492" s="21" t="str">
        <f>IF(AND('Atividades Micro'!$A544=AY$2,'Atividades Micro'!$K544&lt;&gt;""),'Atividades Micro'!$K544,"")</f>
        <v/>
      </c>
      <c r="AZ492" s="21" t="str">
        <f>IF(AND('Atividades Micro'!$A544=AZ$2,'Atividades Micro'!$L544&lt;&gt;""),'Atividades Micro'!$L544,"")</f>
        <v/>
      </c>
      <c r="BA492" s="21" t="str">
        <f>IF(AND('Atividades Micro'!$B544=BA$2,'Atividades Micro'!$K544&lt;&gt;""),'Atividades Micro'!$K544,"")</f>
        <v/>
      </c>
      <c r="BB492" s="21" t="str">
        <f>IF(AND('Atividades Micro'!$B544=BB$2,'Atividades Micro'!$L544&lt;&gt;""),'Atividades Micro'!$L544,"")</f>
        <v/>
      </c>
      <c r="BC492" s="21" t="str">
        <f>IF(AND('Atividades Micro'!$B544=BC$2,'Atividades Micro'!$G544="Macro",'Atividades Micro'!$K544&lt;&gt;""),'Atividades Micro'!$K544,"")</f>
        <v/>
      </c>
      <c r="BD492" s="21" t="str">
        <f>IF(AND('Atividades Micro'!$B544=BD$2,'Atividades Micro'!$G544="Macro",'Atividades Micro'!$K544&lt;&gt;""),'Atividades Micro'!$K544,"")</f>
        <v/>
      </c>
      <c r="BE492" s="21" t="str">
        <f>IF(AND('Atividades Micro'!$B544=BE$2,'Atividades Micro'!$G544="Macro",'Atividades Micro'!$K544&lt;&gt;""),'Atividades Micro'!$K544,"")</f>
        <v/>
      </c>
      <c r="BF492" s="21" t="str">
        <f>IF(AND('Atividades Micro'!$B544=BF$2,'Atividades Micro'!$G544="Macro",'Atividades Micro'!$K544&lt;&gt;""),'Atividades Micro'!$K544,"")</f>
        <v/>
      </c>
      <c r="BG492" s="21" t="str">
        <f>IF(AND('Atividades Micro'!$B544=BG$2,'Atividades Micro'!$G544="Macro",'Atividades Micro'!$K544&lt;&gt;""),'Atividades Micro'!$K544,"")</f>
        <v/>
      </c>
      <c r="BH492" s="21" t="str">
        <f>IF(AND('Atividades Micro'!$B544=BH$2,'Atividades Micro'!$G544="Macro",'Atividades Micro'!$K544&lt;&gt;""),'Atividades Micro'!$K544,"")</f>
        <v/>
      </c>
      <c r="BI492" s="21" t="str">
        <f>IF(AND('Atividades Micro'!$B544=BI$2,'Atividades Micro'!$G544="Macro",'Atividades Micro'!$K544&lt;&gt;""),'Atividades Micro'!$K544,"")</f>
        <v/>
      </c>
      <c r="BJ492" s="21" t="str">
        <f>IF(AND('Atividades Micro'!$B544=BJ$2,'Atividades Micro'!$G544="Macro",'Atividades Micro'!$K544&lt;&gt;""),'Atividades Micro'!$K544,"")</f>
        <v/>
      </c>
      <c r="BK492" s="21" t="str">
        <f>IF(AND('Atividades Micro'!$B544=BK$2,'Atividades Micro'!$G544="Macro",'Atividades Micro'!$K544&lt;&gt;""),'Atividades Micro'!$K544,"")</f>
        <v/>
      </c>
      <c r="BL492" s="21" t="str">
        <f>IF(AND('Atividades Micro'!$B544=BL$2,'Atividades Micro'!$G544="Macro",'Atividades Micro'!$K544&lt;&gt;""),'Atividades Micro'!$K544,"")</f>
        <v/>
      </c>
      <c r="BM492" s="21" t="str">
        <f>IF(AND('Atividades Micro'!$B544=BM$2,'Atividades Micro'!$G544="Macro",'Atividades Micro'!$K544&lt;&gt;""),'Atividades Micro'!$K544,"")</f>
        <v/>
      </c>
      <c r="BN492" s="21" t="str">
        <f>IF(AND('Atividades Micro'!$B544=BN$2,'Atividades Micro'!$G544="Macro",'Atividades Micro'!$K544&lt;&gt;""),'Atividades Micro'!$K544,"")</f>
        <v/>
      </c>
      <c r="BO492" s="21" t="str">
        <f>IF(AND('Atividades Micro'!$B544=BO$2,'Atividades Micro'!$G544="Macro",'Atividades Micro'!$K544&lt;&gt;""),'Atividades Micro'!$K544,"")</f>
        <v/>
      </c>
      <c r="BP492" s="21" t="str">
        <f>IF(AND('Atividades Micro'!$B544=BP$2,'Atividades Micro'!$G544="Macro",'Atividades Micro'!$K544&lt;&gt;""),'Atividades Micro'!$K544,"")</f>
        <v/>
      </c>
      <c r="BQ492" s="21" t="str">
        <f>IF(AND('Atividades Micro'!$B544=BQ$2,'Atividades Micro'!$G544="Macro",'Atividades Micro'!$K544&lt;&gt;""),'Atividades Micro'!$K544,"")</f>
        <v/>
      </c>
      <c r="BR492" s="21" t="str">
        <f>IF(AND('Atividades Micro'!$B544=BR$2,'Atividades Micro'!$G544="Macro",'Atividades Micro'!$K544&lt;&gt;""),'Atividades Micro'!$K544,"")</f>
        <v/>
      </c>
      <c r="BS492" s="21" t="str">
        <f>IF(AND('Atividades Micro'!$B544=BS$2,'Atividades Micro'!$G544="Macro",'Atividades Micro'!$K544&lt;&gt;""),'Atividades Micro'!$K544,"")</f>
        <v/>
      </c>
      <c r="BT492" s="21" t="str">
        <f>IF(AND('Atividades Micro'!$B544=BT$2,'Atividades Micro'!$G544="Macro",'Atividades Micro'!$K544&lt;&gt;""),'Atividades Micro'!$K544,"")</f>
        <v/>
      </c>
      <c r="BU492" s="21" t="str">
        <f>IF(AND('Atividades Micro'!$B544=BU$2,'Atividades Micro'!$G544="Macro",'Atividades Micro'!$K544&lt;&gt;""),'Atividades Micro'!$K544,"")</f>
        <v/>
      </c>
      <c r="BV492" s="21" t="str">
        <f>IF(AND('Atividades Micro'!$B544=BV$2,'Atividades Micro'!$G544="Macro",'Atividades Micro'!$K544&lt;&gt;""),'Atividades Micro'!$K544,"")</f>
        <v/>
      </c>
      <c r="BW492" s="21" t="str">
        <f>IF(AND('Atividades Micro'!$B544=BW$2,'Atividades Micro'!$G544="Macro",'Atividades Micro'!$K544&lt;&gt;""),'Atividades Micro'!$K544,"")</f>
        <v/>
      </c>
      <c r="BX492" s="21" t="str">
        <f>IF(AND('Atividades Micro'!$B544=BX$2,'Atividades Micro'!$G544="Macro",'Atividades Micro'!$K544&lt;&gt;""),'Atividades Micro'!$K544,"")</f>
        <v/>
      </c>
      <c r="BY492" s="21" t="str">
        <f>IF(AND('Atividades Micro'!$B544=BY$2,'Atividades Micro'!$G544="Macro",'Atividades Micro'!$K544&lt;&gt;""),'Atividades Micro'!$K544,"")</f>
        <v/>
      </c>
      <c r="BZ492" s="21" t="str">
        <f>IF(AND('Atividades Micro'!$B544=BZ$2,'Atividades Micro'!$G544="Macro",'Atividades Micro'!$K544&lt;&gt;""),'Atividades Micro'!$K544,"")</f>
        <v/>
      </c>
      <c r="CA492" s="21" t="str">
        <f>IF(AND('Atividades Micro'!$B544=CA$2,'Atividades Micro'!$G544="Macro",'Atividades Micro'!$K544&lt;&gt;""),'Atividades Micro'!$K544,"")</f>
        <v/>
      </c>
      <c r="CB492" s="21" t="str">
        <f>IF(AND('Atividades Micro'!$B544=CB$2,'Atividades Micro'!$G544="Macro",'Atividades Micro'!$K544&lt;&gt;""),'Atividades Micro'!$K544,"")</f>
        <v/>
      </c>
      <c r="CC492" s="21" t="str">
        <f>IF(AND('Atividades Micro'!$B544=CC$2,'Atividades Micro'!$G544="Macro",'Atividades Micro'!$K544&lt;&gt;""),'Atividades Micro'!$K544,"")</f>
        <v/>
      </c>
      <c r="CD492" s="21" t="str">
        <f>IF(AND('Atividades Micro'!$B544=CD$2,'Atividades Micro'!$G544="Micro",'Atividades Micro'!$K544&lt;&gt;""),'Atividades Micro'!$K544,"")</f>
        <v/>
      </c>
      <c r="CE492" s="21" t="str">
        <f>IF(AND('Atividades Micro'!$B544=CE$2,'Atividades Micro'!$G544="Micro",'Atividades Micro'!$K544&lt;&gt;""),'Atividades Micro'!$K544,"")</f>
        <v/>
      </c>
      <c r="CF492" s="21" t="str">
        <f>IF(AND('Atividades Micro'!$B544=CF$2,'Atividades Micro'!$G544="Micro",'Atividades Micro'!$K544&lt;&gt;""),'Atividades Micro'!$K544,"")</f>
        <v/>
      </c>
      <c r="CG492" s="21" t="str">
        <f>IF(AND('Atividades Micro'!$B544=CG$2,'Atividades Micro'!$G544="Micro",'Atividades Micro'!$K544&lt;&gt;""),'Atividades Micro'!$K544,"")</f>
        <v/>
      </c>
      <c r="CH492" s="21" t="str">
        <f>IF(AND('Atividades Micro'!$B544=CH$2,'Atividades Micro'!$G544="Micro",'Atividades Micro'!$K544&lt;&gt;""),'Atividades Micro'!$K544,"")</f>
        <v/>
      </c>
      <c r="CI492" s="21" t="str">
        <f>IF(AND('Atividades Micro'!$B544=CI$2,'Atividades Micro'!$G544="Micro",'Atividades Micro'!$K544&lt;&gt;""),'Atividades Micro'!$K544,"")</f>
        <v/>
      </c>
      <c r="CJ492" s="21" t="str">
        <f>IF(AND('Atividades Micro'!$B544=CJ$2,'Atividades Micro'!$G544="Micro",'Atividades Micro'!$K544&lt;&gt;""),'Atividades Micro'!$K544,"")</f>
        <v/>
      </c>
      <c r="CK492" s="21" t="str">
        <f>IF(AND('Atividades Micro'!$B544=CK$2,'Atividades Micro'!$G544="Micro",'Atividades Micro'!$K544&lt;&gt;""),'Atividades Micro'!$K544,"")</f>
        <v/>
      </c>
      <c r="CL492" s="21" t="str">
        <f>IF(AND('Atividades Micro'!$B544=CL$2,'Atividades Micro'!$G544="Micro",'Atividades Micro'!$K544&lt;&gt;""),'Atividades Micro'!$K544,"")</f>
        <v/>
      </c>
      <c r="CM492" s="21" t="str">
        <f>IF(AND('Atividades Micro'!$B544=CM$2,'Atividades Micro'!$G544="Micro",'Atividades Micro'!$K544&lt;&gt;""),'Atividades Micro'!$K544,"")</f>
        <v/>
      </c>
      <c r="CN492" s="21" t="str">
        <f>IF(AND('Atividades Micro'!$B544=CN$2,'Atividades Micro'!$G544="Micro",'Atividades Micro'!$K544&lt;&gt;""),'Atividades Micro'!$K544,"")</f>
        <v/>
      </c>
      <c r="CO492" s="21" t="str">
        <f>IF(AND('Atividades Micro'!$B544=CO$2,'Atividades Micro'!$G544="Micro",'Atividades Micro'!$K544&lt;&gt;""),'Atividades Micro'!$K544,"")</f>
        <v/>
      </c>
    </row>
    <row r="493" spans="1:93">
      <c r="A493" s="21" t="str">
        <f>IF(AND('Atividades Micro'!$A545=A$2,'Atividades Micro'!$K545&lt;&gt;""),'Atividades Micro'!$K545,"")</f>
        <v/>
      </c>
      <c r="B493" s="21" t="str">
        <f>IF(AND('Atividades Micro'!$A545=B$2,'Atividades Micro'!$L545&lt;&gt;""),'Atividades Micro'!$L545,"")</f>
        <v/>
      </c>
      <c r="C493" s="21" t="str">
        <f>IF(AND('Atividades Micro'!$A545=C$2,'Atividades Micro'!$K545&lt;&gt;""),'Atividades Micro'!$K545,"")</f>
        <v/>
      </c>
      <c r="D493" s="21" t="str">
        <f>IF(AND('Atividades Micro'!$A545=D$2,'Atividades Micro'!$L545&lt;&gt;""),'Atividades Micro'!$L545,"")</f>
        <v/>
      </c>
      <c r="E493" s="21" t="str">
        <f>IF(AND('Atividades Micro'!$A545=E$2,'Atividades Micro'!$K545&lt;&gt;""),'Atividades Micro'!$K545,"")</f>
        <v/>
      </c>
      <c r="F493" s="21" t="str">
        <f>IF(AND('Atividades Micro'!$A545=F$2,'Atividades Micro'!$L545&lt;&gt;""),'Atividades Micro'!$L545,"")</f>
        <v/>
      </c>
      <c r="G493" s="21" t="str">
        <f>IF(AND('Atividades Micro'!$A545=G$2,'Atividades Micro'!$K545&lt;&gt;""),'Atividades Micro'!$K545,"")</f>
        <v/>
      </c>
      <c r="H493" s="21" t="str">
        <f>IF(AND('Atividades Micro'!$A545=H$2,'Atividades Micro'!$L545&lt;&gt;""),'Atividades Micro'!$L545,"")</f>
        <v/>
      </c>
      <c r="I493" s="21" t="str">
        <f>IF(AND('Atividades Micro'!$A545=I$2,'Atividades Micro'!$K545&lt;&gt;""),'Atividades Micro'!$K545,"")</f>
        <v/>
      </c>
      <c r="J493" s="21" t="str">
        <f>IF(AND('Atividades Micro'!$A545=J$2,'Atividades Micro'!$L545&lt;&gt;""),'Atividades Micro'!$L545,"")</f>
        <v/>
      </c>
      <c r="K493" s="21" t="str">
        <f>IF(AND('Atividades Micro'!$B545=K$2,'Atividades Micro'!$K545&lt;&gt;""),'Atividades Micro'!$K545,"")</f>
        <v/>
      </c>
      <c r="L493" s="21" t="str">
        <f>IF(AND('Atividades Micro'!$B545=L$2,'Atividades Micro'!$L545&lt;&gt;""),'Atividades Micro'!$L545,"")</f>
        <v/>
      </c>
      <c r="M493" s="21" t="str">
        <f>IF(AND('Atividades Micro'!$B545=M$2,'Atividades Micro'!$K545&lt;&gt;""),'Atividades Micro'!$K545,"")</f>
        <v/>
      </c>
      <c r="N493" s="21" t="str">
        <f>IF(AND('Atividades Micro'!$B545=N$2,'Atividades Micro'!$L545&lt;&gt;""),'Atividades Micro'!$L545,"")</f>
        <v/>
      </c>
      <c r="O493" s="21" t="str">
        <f>IF(AND('Atividades Micro'!$A545=O$2,'Atividades Micro'!$K545&lt;&gt;""),'Atividades Micro'!$K545,"")</f>
        <v/>
      </c>
      <c r="P493" s="21" t="str">
        <f>IF(AND('Atividades Micro'!$A545=P$2,'Atividades Micro'!$L545&lt;&gt;""),'Atividades Micro'!$L545,"")</f>
        <v/>
      </c>
      <c r="Q493" s="21" t="str">
        <f>IF(AND('Atividades Micro'!$B545=Q$2,'Atividades Micro'!$K545&lt;&gt;""),'Atividades Micro'!$K545,"")</f>
        <v/>
      </c>
      <c r="R493" s="21" t="str">
        <f>IF(AND('Atividades Micro'!$B545=R$2,'Atividades Micro'!$L545&lt;&gt;""),'Atividades Micro'!$L545,"")</f>
        <v/>
      </c>
      <c r="S493" s="21" t="str">
        <f>IF(AND('Atividades Micro'!$A545=S$2,'Atividades Micro'!$K545&lt;&gt;""),'Atividades Micro'!$K545,"")</f>
        <v/>
      </c>
      <c r="T493" s="21" t="str">
        <f>IF(AND('Atividades Micro'!$A545=T$2,'Atividades Micro'!$L545&lt;&gt;""),'Atividades Micro'!$L545,"")</f>
        <v/>
      </c>
      <c r="U493" s="21" t="str">
        <f>IF(AND('Atividades Micro'!$B545=U$2,'Atividades Micro'!$K545&lt;&gt;""),'Atividades Micro'!$K545,"")</f>
        <v/>
      </c>
      <c r="V493" s="21" t="str">
        <f>IF(AND('Atividades Micro'!$B545=V$2,'Atividades Micro'!$L545&lt;&gt;""),'Atividades Micro'!$L545,"")</f>
        <v/>
      </c>
      <c r="W493" s="21" t="str">
        <f>IF(AND('Atividades Micro'!$B545=W$2,'Atividades Micro'!$K545&lt;&gt;""),'Atividades Micro'!$K545,"")</f>
        <v/>
      </c>
      <c r="X493" s="21" t="str">
        <f>IF(AND('Atividades Micro'!$B545=X$2,'Atividades Micro'!$L545&lt;&gt;""),'Atividades Micro'!$L545,"")</f>
        <v/>
      </c>
      <c r="Y493" s="21" t="str">
        <f>IF(AND('Atividades Micro'!$A545=Y$2,'Atividades Micro'!$K545&lt;&gt;""),'Atividades Micro'!$K545,"")</f>
        <v/>
      </c>
      <c r="Z493" s="21" t="str">
        <f>IF(AND('Atividades Micro'!$A545=Z$2,'Atividades Micro'!$L545&lt;&gt;""),'Atividades Micro'!$L545,"")</f>
        <v/>
      </c>
      <c r="AA493" s="21" t="str">
        <f>IF(AND('Atividades Micro'!$B545=AA$2,'Atividades Micro'!$K545&lt;&gt;""),'Atividades Micro'!$K545,"")</f>
        <v/>
      </c>
      <c r="AB493" s="21" t="str">
        <f>IF(AND('Atividades Micro'!$B545=AB$2,'Atividades Micro'!$L545&lt;&gt;""),'Atividades Micro'!$L545,"")</f>
        <v/>
      </c>
      <c r="AC493" s="21" t="str">
        <f>IF(AND('Atividades Micro'!$B545=AC$2,'Atividades Micro'!$K545&lt;&gt;""),'Atividades Micro'!$K545,"")</f>
        <v/>
      </c>
      <c r="AD493" s="21" t="str">
        <f>IF(AND('Atividades Micro'!$B545=AD$2,'Atividades Micro'!$L545&lt;&gt;""),'Atividades Micro'!$L545,"")</f>
        <v/>
      </c>
      <c r="AE493" s="21" t="str">
        <f>IF(AND('Atividades Micro'!$A545=AE$2,'Atividades Micro'!$K545&lt;&gt;""),'Atividades Micro'!$K545,"")</f>
        <v/>
      </c>
      <c r="AF493" s="21" t="str">
        <f>IF(AND('Atividades Micro'!$A545=AF$2,'Atividades Micro'!$L545&lt;&gt;""),'Atividades Micro'!$L545,"")</f>
        <v/>
      </c>
      <c r="AG493" s="21" t="str">
        <f>IF(AND('Atividades Micro'!$B545=AG$2,'Atividades Micro'!$K545&lt;&gt;""),'Atividades Micro'!$K545,"")</f>
        <v/>
      </c>
      <c r="AH493" s="21" t="str">
        <f>IF(AND('Atividades Micro'!$B545=AH$2,'Atividades Micro'!$L545&lt;&gt;""),'Atividades Micro'!$L545,"")</f>
        <v/>
      </c>
      <c r="AI493" s="21" t="str">
        <f>IF(AND('Atividades Micro'!$B545=AI$2,'Atividades Micro'!$K545&lt;&gt;""),'Atividades Micro'!$K545,"")</f>
        <v/>
      </c>
      <c r="AJ493" s="21" t="str">
        <f>IF(AND('Atividades Micro'!$B545=AJ$2,'Atividades Micro'!$L545&lt;&gt;""),'Atividades Micro'!$L545,"")</f>
        <v/>
      </c>
      <c r="AK493" s="21" t="str">
        <f>IF(AND('Atividades Micro'!$A545=AK$2,'Atividades Micro'!$K545&lt;&gt;""),'Atividades Micro'!$K545,"")</f>
        <v/>
      </c>
      <c r="AL493" s="21" t="str">
        <f>IF(AND('Atividades Micro'!$A545=AL$2,'Atividades Micro'!$L545&lt;&gt;""),'Atividades Micro'!$L545,"")</f>
        <v/>
      </c>
      <c r="AM493" s="21" t="str">
        <f>IF(AND('Atividades Micro'!$B545=AM$2,'Atividades Micro'!$K545&lt;&gt;""),'Atividades Micro'!$K545,"")</f>
        <v/>
      </c>
      <c r="AN493" s="21" t="str">
        <f>IF(AND('Atividades Micro'!$B545=AN$2,'Atividades Micro'!$L545&lt;&gt;""),'Atividades Micro'!$L545,"")</f>
        <v/>
      </c>
      <c r="AO493" s="21" t="str">
        <f>IF(AND('Atividades Micro'!$B545=AO$2,'Atividades Micro'!$K545&lt;&gt;""),'Atividades Micro'!$K545,"")</f>
        <v/>
      </c>
      <c r="AP493" s="21" t="str">
        <f>IF(AND('Atividades Micro'!$B545=AP$2,'Atividades Micro'!$L545&lt;&gt;""),'Atividades Micro'!$L545,"")</f>
        <v/>
      </c>
      <c r="AQ493" s="21" t="str">
        <f>IF(AND('Atividades Micro'!$A545=AQ$2,'Atividades Micro'!$K545&lt;&gt;""),'Atividades Micro'!$K545,"")</f>
        <v/>
      </c>
      <c r="AR493" s="21" t="str">
        <f>IF(AND('Atividades Micro'!$A545=AR$2,'Atividades Micro'!$L545&lt;&gt;""),'Atividades Micro'!$L545,"")</f>
        <v/>
      </c>
      <c r="AS493" s="21" t="str">
        <f>IF(AND('Atividades Micro'!$B545=AS$2,'Atividades Micro'!$K545&lt;&gt;""),'Atividades Micro'!$K545,"")</f>
        <v/>
      </c>
      <c r="AT493" s="21" t="str">
        <f>IF(AND('Atividades Micro'!$B545=AT$2,'Atividades Micro'!$L545&lt;&gt;""),'Atividades Micro'!$L545,"")</f>
        <v/>
      </c>
      <c r="AU493" s="21" t="str">
        <f>IF(AND('Atividades Micro'!$A545=AU$2,'Atividades Micro'!$K545&lt;&gt;""),'Atividades Micro'!$K545,"")</f>
        <v/>
      </c>
      <c r="AV493" s="21" t="str">
        <f>IF(AND('Atividades Micro'!$A545=AV$2,'Atividades Micro'!$L545&lt;&gt;""),'Atividades Micro'!$L545,"")</f>
        <v/>
      </c>
      <c r="AW493" s="21" t="str">
        <f>IF(AND('Atividades Micro'!$B545=AW$2,'Atividades Micro'!$K545&lt;&gt;""),'Atividades Micro'!$K545,"")</f>
        <v/>
      </c>
      <c r="AX493" s="21" t="str">
        <f>IF(AND('Atividades Micro'!$B545=AX$2,'Atividades Micro'!$L545&lt;&gt;""),'Atividades Micro'!$L545,"")</f>
        <v/>
      </c>
      <c r="AY493" s="21" t="str">
        <f>IF(AND('Atividades Micro'!$A545=AY$2,'Atividades Micro'!$K545&lt;&gt;""),'Atividades Micro'!$K545,"")</f>
        <v/>
      </c>
      <c r="AZ493" s="21" t="str">
        <f>IF(AND('Atividades Micro'!$A545=AZ$2,'Atividades Micro'!$L545&lt;&gt;""),'Atividades Micro'!$L545,"")</f>
        <v/>
      </c>
      <c r="BA493" s="21" t="str">
        <f>IF(AND('Atividades Micro'!$B545=BA$2,'Atividades Micro'!$K545&lt;&gt;""),'Atividades Micro'!$K545,"")</f>
        <v/>
      </c>
      <c r="BB493" s="21" t="str">
        <f>IF(AND('Atividades Micro'!$B545=BB$2,'Atividades Micro'!$L545&lt;&gt;""),'Atividades Micro'!$L545,"")</f>
        <v/>
      </c>
      <c r="BC493" s="21" t="str">
        <f>IF(AND('Atividades Micro'!$B545=BC$2,'Atividades Micro'!$G545="Macro",'Atividades Micro'!$K545&lt;&gt;""),'Atividades Micro'!$K545,"")</f>
        <v/>
      </c>
      <c r="BD493" s="21" t="str">
        <f>IF(AND('Atividades Micro'!$B545=BD$2,'Atividades Micro'!$G545="Macro",'Atividades Micro'!$K545&lt;&gt;""),'Atividades Micro'!$K545,"")</f>
        <v/>
      </c>
      <c r="BE493" s="21" t="str">
        <f>IF(AND('Atividades Micro'!$B545=BE$2,'Atividades Micro'!$G545="Macro",'Atividades Micro'!$K545&lt;&gt;""),'Atividades Micro'!$K545,"")</f>
        <v/>
      </c>
      <c r="BF493" s="21" t="str">
        <f>IF(AND('Atividades Micro'!$B545=BF$2,'Atividades Micro'!$G545="Macro",'Atividades Micro'!$K545&lt;&gt;""),'Atividades Micro'!$K545,"")</f>
        <v/>
      </c>
      <c r="BG493" s="21" t="str">
        <f>IF(AND('Atividades Micro'!$B545=BG$2,'Atividades Micro'!$G545="Macro",'Atividades Micro'!$K545&lt;&gt;""),'Atividades Micro'!$K545,"")</f>
        <v/>
      </c>
      <c r="BH493" s="21" t="str">
        <f>IF(AND('Atividades Micro'!$B545=BH$2,'Atividades Micro'!$G545="Macro",'Atividades Micro'!$K545&lt;&gt;""),'Atividades Micro'!$K545,"")</f>
        <v/>
      </c>
      <c r="BI493" s="21" t="str">
        <f>IF(AND('Atividades Micro'!$B545=BI$2,'Atividades Micro'!$G545="Macro",'Atividades Micro'!$K545&lt;&gt;""),'Atividades Micro'!$K545,"")</f>
        <v/>
      </c>
      <c r="BJ493" s="21" t="str">
        <f>IF(AND('Atividades Micro'!$B545=BJ$2,'Atividades Micro'!$G545="Macro",'Atividades Micro'!$K545&lt;&gt;""),'Atividades Micro'!$K545,"")</f>
        <v/>
      </c>
      <c r="BK493" s="21" t="str">
        <f>IF(AND('Atividades Micro'!$B545=BK$2,'Atividades Micro'!$G545="Macro",'Atividades Micro'!$K545&lt;&gt;""),'Atividades Micro'!$K545,"")</f>
        <v/>
      </c>
      <c r="BL493" s="21" t="str">
        <f>IF(AND('Atividades Micro'!$B545=BL$2,'Atividades Micro'!$G545="Macro",'Atividades Micro'!$K545&lt;&gt;""),'Atividades Micro'!$K545,"")</f>
        <v/>
      </c>
      <c r="BM493" s="21" t="str">
        <f>IF(AND('Atividades Micro'!$B545=BM$2,'Atividades Micro'!$G545="Macro",'Atividades Micro'!$K545&lt;&gt;""),'Atividades Micro'!$K545,"")</f>
        <v/>
      </c>
      <c r="BN493" s="21" t="str">
        <f>IF(AND('Atividades Micro'!$B545=BN$2,'Atividades Micro'!$G545="Macro",'Atividades Micro'!$K545&lt;&gt;""),'Atividades Micro'!$K545,"")</f>
        <v/>
      </c>
      <c r="BO493" s="21" t="str">
        <f>IF(AND('Atividades Micro'!$B545=BO$2,'Atividades Micro'!$G545="Macro",'Atividades Micro'!$K545&lt;&gt;""),'Atividades Micro'!$K545,"")</f>
        <v/>
      </c>
      <c r="BP493" s="21" t="str">
        <f>IF(AND('Atividades Micro'!$B545=BP$2,'Atividades Micro'!$G545="Macro",'Atividades Micro'!$K545&lt;&gt;""),'Atividades Micro'!$K545,"")</f>
        <v/>
      </c>
      <c r="BQ493" s="21" t="str">
        <f>IF(AND('Atividades Micro'!$B545=BQ$2,'Atividades Micro'!$G545="Macro",'Atividades Micro'!$K545&lt;&gt;""),'Atividades Micro'!$K545,"")</f>
        <v/>
      </c>
      <c r="BR493" s="21" t="str">
        <f>IF(AND('Atividades Micro'!$B545=BR$2,'Atividades Micro'!$G545="Macro",'Atividades Micro'!$K545&lt;&gt;""),'Atividades Micro'!$K545,"")</f>
        <v/>
      </c>
      <c r="BS493" s="21" t="str">
        <f>IF(AND('Atividades Micro'!$B545=BS$2,'Atividades Micro'!$G545="Macro",'Atividades Micro'!$K545&lt;&gt;""),'Atividades Micro'!$K545,"")</f>
        <v/>
      </c>
      <c r="BT493" s="21" t="str">
        <f>IF(AND('Atividades Micro'!$B545=BT$2,'Atividades Micro'!$G545="Macro",'Atividades Micro'!$K545&lt;&gt;""),'Atividades Micro'!$K545,"")</f>
        <v/>
      </c>
      <c r="BU493" s="21" t="str">
        <f>IF(AND('Atividades Micro'!$B545=BU$2,'Atividades Micro'!$G545="Macro",'Atividades Micro'!$K545&lt;&gt;""),'Atividades Micro'!$K545,"")</f>
        <v/>
      </c>
      <c r="BV493" s="21" t="str">
        <f>IF(AND('Atividades Micro'!$B545=BV$2,'Atividades Micro'!$G545="Macro",'Atividades Micro'!$K545&lt;&gt;""),'Atividades Micro'!$K545,"")</f>
        <v/>
      </c>
      <c r="BW493" s="21" t="str">
        <f>IF(AND('Atividades Micro'!$B545=BW$2,'Atividades Micro'!$G545="Macro",'Atividades Micro'!$K545&lt;&gt;""),'Atividades Micro'!$K545,"")</f>
        <v/>
      </c>
      <c r="BX493" s="21" t="str">
        <f>IF(AND('Atividades Micro'!$B545=BX$2,'Atividades Micro'!$G545="Macro",'Atividades Micro'!$K545&lt;&gt;""),'Atividades Micro'!$K545,"")</f>
        <v/>
      </c>
      <c r="BY493" s="21" t="str">
        <f>IF(AND('Atividades Micro'!$B545=BY$2,'Atividades Micro'!$G545="Macro",'Atividades Micro'!$K545&lt;&gt;""),'Atividades Micro'!$K545,"")</f>
        <v/>
      </c>
      <c r="BZ493" s="21" t="str">
        <f>IF(AND('Atividades Micro'!$B545=BZ$2,'Atividades Micro'!$G545="Macro",'Atividades Micro'!$K545&lt;&gt;""),'Atividades Micro'!$K545,"")</f>
        <v/>
      </c>
      <c r="CA493" s="21" t="str">
        <f>IF(AND('Atividades Micro'!$B545=CA$2,'Atividades Micro'!$G545="Macro",'Atividades Micro'!$K545&lt;&gt;""),'Atividades Micro'!$K545,"")</f>
        <v/>
      </c>
      <c r="CB493" s="21" t="str">
        <f>IF(AND('Atividades Micro'!$B545=CB$2,'Atividades Micro'!$G545="Macro",'Atividades Micro'!$K545&lt;&gt;""),'Atividades Micro'!$K545,"")</f>
        <v/>
      </c>
      <c r="CC493" s="21" t="str">
        <f>IF(AND('Atividades Micro'!$B545=CC$2,'Atividades Micro'!$G545="Macro",'Atividades Micro'!$K545&lt;&gt;""),'Atividades Micro'!$K545,"")</f>
        <v/>
      </c>
      <c r="CD493" s="21" t="str">
        <f>IF(AND('Atividades Micro'!$B545=CD$2,'Atividades Micro'!$G545="Micro",'Atividades Micro'!$K545&lt;&gt;""),'Atividades Micro'!$K545,"")</f>
        <v/>
      </c>
      <c r="CE493" s="21" t="str">
        <f>IF(AND('Atividades Micro'!$B545=CE$2,'Atividades Micro'!$G545="Micro",'Atividades Micro'!$K545&lt;&gt;""),'Atividades Micro'!$K545,"")</f>
        <v/>
      </c>
      <c r="CF493" s="21" t="str">
        <f>IF(AND('Atividades Micro'!$B545=CF$2,'Atividades Micro'!$G545="Micro",'Atividades Micro'!$K545&lt;&gt;""),'Atividades Micro'!$K545,"")</f>
        <v/>
      </c>
      <c r="CG493" s="21" t="str">
        <f>IF(AND('Atividades Micro'!$B545=CG$2,'Atividades Micro'!$G545="Micro",'Atividades Micro'!$K545&lt;&gt;""),'Atividades Micro'!$K545,"")</f>
        <v/>
      </c>
      <c r="CH493" s="21" t="str">
        <f>IF(AND('Atividades Micro'!$B545=CH$2,'Atividades Micro'!$G545="Micro",'Atividades Micro'!$K545&lt;&gt;""),'Atividades Micro'!$K545,"")</f>
        <v/>
      </c>
      <c r="CI493" s="21" t="str">
        <f>IF(AND('Atividades Micro'!$B545=CI$2,'Atividades Micro'!$G545="Micro",'Atividades Micro'!$K545&lt;&gt;""),'Atividades Micro'!$K545,"")</f>
        <v/>
      </c>
      <c r="CJ493" s="21" t="str">
        <f>IF(AND('Atividades Micro'!$B545=CJ$2,'Atividades Micro'!$G545="Micro",'Atividades Micro'!$K545&lt;&gt;""),'Atividades Micro'!$K545,"")</f>
        <v/>
      </c>
      <c r="CK493" s="21" t="str">
        <f>IF(AND('Atividades Micro'!$B545=CK$2,'Atividades Micro'!$G545="Micro",'Atividades Micro'!$K545&lt;&gt;""),'Atividades Micro'!$K545,"")</f>
        <v/>
      </c>
      <c r="CL493" s="21" t="str">
        <f>IF(AND('Atividades Micro'!$B545=CL$2,'Atividades Micro'!$G545="Micro",'Atividades Micro'!$K545&lt;&gt;""),'Atividades Micro'!$K545,"")</f>
        <v/>
      </c>
      <c r="CM493" s="21" t="str">
        <f>IF(AND('Atividades Micro'!$B545=CM$2,'Atividades Micro'!$G545="Micro",'Atividades Micro'!$K545&lt;&gt;""),'Atividades Micro'!$K545,"")</f>
        <v/>
      </c>
      <c r="CN493" s="21" t="str">
        <f>IF(AND('Atividades Micro'!$B545=CN$2,'Atividades Micro'!$G545="Micro",'Atividades Micro'!$K545&lt;&gt;""),'Atividades Micro'!$K545,"")</f>
        <v/>
      </c>
      <c r="CO493" s="21" t="str">
        <f>IF(AND('Atividades Micro'!$B545=CO$2,'Atividades Micro'!$G545="Micro",'Atividades Micro'!$K545&lt;&gt;""),'Atividades Micro'!$K545,"")</f>
        <v/>
      </c>
    </row>
    <row r="494" spans="1:93">
      <c r="A494" s="21" t="str">
        <f>IF(AND('Atividades Micro'!$A546=A$2,'Atividades Micro'!$K546&lt;&gt;""),'Atividades Micro'!$K546,"")</f>
        <v/>
      </c>
      <c r="B494" s="21" t="str">
        <f>IF(AND('Atividades Micro'!$A546=B$2,'Atividades Micro'!$L546&lt;&gt;""),'Atividades Micro'!$L546,"")</f>
        <v/>
      </c>
      <c r="C494" s="21" t="str">
        <f>IF(AND('Atividades Micro'!$A546=C$2,'Atividades Micro'!$K546&lt;&gt;""),'Atividades Micro'!$K546,"")</f>
        <v/>
      </c>
      <c r="D494" s="21" t="str">
        <f>IF(AND('Atividades Micro'!$A546=D$2,'Atividades Micro'!$L546&lt;&gt;""),'Atividades Micro'!$L546,"")</f>
        <v/>
      </c>
      <c r="E494" s="21" t="str">
        <f>IF(AND('Atividades Micro'!$A546=E$2,'Atividades Micro'!$K546&lt;&gt;""),'Atividades Micro'!$K546,"")</f>
        <v/>
      </c>
      <c r="F494" s="21" t="str">
        <f>IF(AND('Atividades Micro'!$A546=F$2,'Atividades Micro'!$L546&lt;&gt;""),'Atividades Micro'!$L546,"")</f>
        <v/>
      </c>
      <c r="G494" s="21" t="str">
        <f>IF(AND('Atividades Micro'!$A546=G$2,'Atividades Micro'!$K546&lt;&gt;""),'Atividades Micro'!$K546,"")</f>
        <v/>
      </c>
      <c r="H494" s="21" t="str">
        <f>IF(AND('Atividades Micro'!$A546=H$2,'Atividades Micro'!$L546&lt;&gt;""),'Atividades Micro'!$L546,"")</f>
        <v/>
      </c>
      <c r="I494" s="21" t="str">
        <f>IF(AND('Atividades Micro'!$A546=I$2,'Atividades Micro'!$K546&lt;&gt;""),'Atividades Micro'!$K546,"")</f>
        <v/>
      </c>
      <c r="J494" s="21" t="str">
        <f>IF(AND('Atividades Micro'!$A546=J$2,'Atividades Micro'!$L546&lt;&gt;""),'Atividades Micro'!$L546,"")</f>
        <v/>
      </c>
      <c r="K494" s="21" t="str">
        <f>IF(AND('Atividades Micro'!$B546=K$2,'Atividades Micro'!$K546&lt;&gt;""),'Atividades Micro'!$K546,"")</f>
        <v/>
      </c>
      <c r="L494" s="21" t="str">
        <f>IF(AND('Atividades Micro'!$B546=L$2,'Atividades Micro'!$L546&lt;&gt;""),'Atividades Micro'!$L546,"")</f>
        <v/>
      </c>
      <c r="M494" s="21" t="str">
        <f>IF(AND('Atividades Micro'!$B546=M$2,'Atividades Micro'!$K546&lt;&gt;""),'Atividades Micro'!$K546,"")</f>
        <v/>
      </c>
      <c r="N494" s="21" t="str">
        <f>IF(AND('Atividades Micro'!$B546=N$2,'Atividades Micro'!$L546&lt;&gt;""),'Atividades Micro'!$L546,"")</f>
        <v/>
      </c>
      <c r="O494" s="21" t="str">
        <f>IF(AND('Atividades Micro'!$A546=O$2,'Atividades Micro'!$K546&lt;&gt;""),'Atividades Micro'!$K546,"")</f>
        <v/>
      </c>
      <c r="P494" s="21" t="str">
        <f>IF(AND('Atividades Micro'!$A546=P$2,'Atividades Micro'!$L546&lt;&gt;""),'Atividades Micro'!$L546,"")</f>
        <v/>
      </c>
      <c r="Q494" s="21" t="str">
        <f>IF(AND('Atividades Micro'!$B546=Q$2,'Atividades Micro'!$K546&lt;&gt;""),'Atividades Micro'!$K546,"")</f>
        <v/>
      </c>
      <c r="R494" s="21" t="str">
        <f>IF(AND('Atividades Micro'!$B546=R$2,'Atividades Micro'!$L546&lt;&gt;""),'Atividades Micro'!$L546,"")</f>
        <v/>
      </c>
      <c r="S494" s="21" t="str">
        <f>IF(AND('Atividades Micro'!$A546=S$2,'Atividades Micro'!$K546&lt;&gt;""),'Atividades Micro'!$K546,"")</f>
        <v/>
      </c>
      <c r="T494" s="21" t="str">
        <f>IF(AND('Atividades Micro'!$A546=T$2,'Atividades Micro'!$L546&lt;&gt;""),'Atividades Micro'!$L546,"")</f>
        <v/>
      </c>
      <c r="U494" s="21" t="str">
        <f>IF(AND('Atividades Micro'!$B546=U$2,'Atividades Micro'!$K546&lt;&gt;""),'Atividades Micro'!$K546,"")</f>
        <v/>
      </c>
      <c r="V494" s="21" t="str">
        <f>IF(AND('Atividades Micro'!$B546=V$2,'Atividades Micro'!$L546&lt;&gt;""),'Atividades Micro'!$L546,"")</f>
        <v/>
      </c>
      <c r="W494" s="21" t="str">
        <f>IF(AND('Atividades Micro'!$B546=W$2,'Atividades Micro'!$K546&lt;&gt;""),'Atividades Micro'!$K546,"")</f>
        <v/>
      </c>
      <c r="X494" s="21" t="str">
        <f>IF(AND('Atividades Micro'!$B546=X$2,'Atividades Micro'!$L546&lt;&gt;""),'Atividades Micro'!$L546,"")</f>
        <v/>
      </c>
      <c r="Y494" s="21" t="str">
        <f>IF(AND('Atividades Micro'!$A546=Y$2,'Atividades Micro'!$K546&lt;&gt;""),'Atividades Micro'!$K546,"")</f>
        <v/>
      </c>
      <c r="Z494" s="21" t="str">
        <f>IF(AND('Atividades Micro'!$A546=Z$2,'Atividades Micro'!$L546&lt;&gt;""),'Atividades Micro'!$L546,"")</f>
        <v/>
      </c>
      <c r="AA494" s="21" t="str">
        <f>IF(AND('Atividades Micro'!$B546=AA$2,'Atividades Micro'!$K546&lt;&gt;""),'Atividades Micro'!$K546,"")</f>
        <v/>
      </c>
      <c r="AB494" s="21" t="str">
        <f>IF(AND('Atividades Micro'!$B546=AB$2,'Atividades Micro'!$L546&lt;&gt;""),'Atividades Micro'!$L546,"")</f>
        <v/>
      </c>
      <c r="AC494" s="21" t="str">
        <f>IF(AND('Atividades Micro'!$B546=AC$2,'Atividades Micro'!$K546&lt;&gt;""),'Atividades Micro'!$K546,"")</f>
        <v/>
      </c>
      <c r="AD494" s="21" t="str">
        <f>IF(AND('Atividades Micro'!$B546=AD$2,'Atividades Micro'!$L546&lt;&gt;""),'Atividades Micro'!$L546,"")</f>
        <v/>
      </c>
      <c r="AE494" s="21" t="str">
        <f>IF(AND('Atividades Micro'!$A546=AE$2,'Atividades Micro'!$K546&lt;&gt;""),'Atividades Micro'!$K546,"")</f>
        <v/>
      </c>
      <c r="AF494" s="21" t="str">
        <f>IF(AND('Atividades Micro'!$A546=AF$2,'Atividades Micro'!$L546&lt;&gt;""),'Atividades Micro'!$L546,"")</f>
        <v/>
      </c>
      <c r="AG494" s="21" t="str">
        <f>IF(AND('Atividades Micro'!$B546=AG$2,'Atividades Micro'!$K546&lt;&gt;""),'Atividades Micro'!$K546,"")</f>
        <v/>
      </c>
      <c r="AH494" s="21" t="str">
        <f>IF(AND('Atividades Micro'!$B546=AH$2,'Atividades Micro'!$L546&lt;&gt;""),'Atividades Micro'!$L546,"")</f>
        <v/>
      </c>
      <c r="AI494" s="21" t="str">
        <f>IF(AND('Atividades Micro'!$B546=AI$2,'Atividades Micro'!$K546&lt;&gt;""),'Atividades Micro'!$K546,"")</f>
        <v/>
      </c>
      <c r="AJ494" s="21" t="str">
        <f>IF(AND('Atividades Micro'!$B546=AJ$2,'Atividades Micro'!$L546&lt;&gt;""),'Atividades Micro'!$L546,"")</f>
        <v/>
      </c>
      <c r="AK494" s="21" t="str">
        <f>IF(AND('Atividades Micro'!$A546=AK$2,'Atividades Micro'!$K546&lt;&gt;""),'Atividades Micro'!$K546,"")</f>
        <v/>
      </c>
      <c r="AL494" s="21" t="str">
        <f>IF(AND('Atividades Micro'!$A546=AL$2,'Atividades Micro'!$L546&lt;&gt;""),'Atividades Micro'!$L546,"")</f>
        <v/>
      </c>
      <c r="AM494" s="21" t="str">
        <f>IF(AND('Atividades Micro'!$B546=AM$2,'Atividades Micro'!$K546&lt;&gt;""),'Atividades Micro'!$K546,"")</f>
        <v/>
      </c>
      <c r="AN494" s="21" t="str">
        <f>IF(AND('Atividades Micro'!$B546=AN$2,'Atividades Micro'!$L546&lt;&gt;""),'Atividades Micro'!$L546,"")</f>
        <v/>
      </c>
      <c r="AO494" s="21" t="str">
        <f>IF(AND('Atividades Micro'!$B546=AO$2,'Atividades Micro'!$K546&lt;&gt;""),'Atividades Micro'!$K546,"")</f>
        <v/>
      </c>
      <c r="AP494" s="21" t="str">
        <f>IF(AND('Atividades Micro'!$B546=AP$2,'Atividades Micro'!$L546&lt;&gt;""),'Atividades Micro'!$L546,"")</f>
        <v/>
      </c>
      <c r="AQ494" s="21" t="str">
        <f>IF(AND('Atividades Micro'!$A546=AQ$2,'Atividades Micro'!$K546&lt;&gt;""),'Atividades Micro'!$K546,"")</f>
        <v/>
      </c>
      <c r="AR494" s="21" t="str">
        <f>IF(AND('Atividades Micro'!$A546=AR$2,'Atividades Micro'!$L546&lt;&gt;""),'Atividades Micro'!$L546,"")</f>
        <v/>
      </c>
      <c r="AS494" s="21" t="str">
        <f>IF(AND('Atividades Micro'!$B546=AS$2,'Atividades Micro'!$K546&lt;&gt;""),'Atividades Micro'!$K546,"")</f>
        <v/>
      </c>
      <c r="AT494" s="21" t="str">
        <f>IF(AND('Atividades Micro'!$B546=AT$2,'Atividades Micro'!$L546&lt;&gt;""),'Atividades Micro'!$L546,"")</f>
        <v/>
      </c>
      <c r="AU494" s="21" t="str">
        <f>IF(AND('Atividades Micro'!$A546=AU$2,'Atividades Micro'!$K546&lt;&gt;""),'Atividades Micro'!$K546,"")</f>
        <v/>
      </c>
      <c r="AV494" s="21" t="str">
        <f>IF(AND('Atividades Micro'!$A546=AV$2,'Atividades Micro'!$L546&lt;&gt;""),'Atividades Micro'!$L546,"")</f>
        <v/>
      </c>
      <c r="AW494" s="21" t="str">
        <f>IF(AND('Atividades Micro'!$B546=AW$2,'Atividades Micro'!$K546&lt;&gt;""),'Atividades Micro'!$K546,"")</f>
        <v/>
      </c>
      <c r="AX494" s="21" t="str">
        <f>IF(AND('Atividades Micro'!$B546=AX$2,'Atividades Micro'!$L546&lt;&gt;""),'Atividades Micro'!$L546,"")</f>
        <v/>
      </c>
      <c r="AY494" s="21" t="str">
        <f>IF(AND('Atividades Micro'!$A546=AY$2,'Atividades Micro'!$K546&lt;&gt;""),'Atividades Micro'!$K546,"")</f>
        <v/>
      </c>
      <c r="AZ494" s="21" t="str">
        <f>IF(AND('Atividades Micro'!$A546=AZ$2,'Atividades Micro'!$L546&lt;&gt;""),'Atividades Micro'!$L546,"")</f>
        <v/>
      </c>
      <c r="BA494" s="21" t="str">
        <f>IF(AND('Atividades Micro'!$B546=BA$2,'Atividades Micro'!$K546&lt;&gt;""),'Atividades Micro'!$K546,"")</f>
        <v/>
      </c>
      <c r="BB494" s="21" t="str">
        <f>IF(AND('Atividades Micro'!$B546=BB$2,'Atividades Micro'!$L546&lt;&gt;""),'Atividades Micro'!$L546,"")</f>
        <v/>
      </c>
      <c r="BC494" s="21" t="str">
        <f>IF(AND('Atividades Micro'!$B546=BC$2,'Atividades Micro'!$G546="Macro",'Atividades Micro'!$K546&lt;&gt;""),'Atividades Micro'!$K546,"")</f>
        <v/>
      </c>
      <c r="BD494" s="21" t="str">
        <f>IF(AND('Atividades Micro'!$B546=BD$2,'Atividades Micro'!$G546="Macro",'Atividades Micro'!$K546&lt;&gt;""),'Atividades Micro'!$K546,"")</f>
        <v/>
      </c>
      <c r="BE494" s="21" t="str">
        <f>IF(AND('Atividades Micro'!$B546=BE$2,'Atividades Micro'!$G546="Macro",'Atividades Micro'!$K546&lt;&gt;""),'Atividades Micro'!$K546,"")</f>
        <v/>
      </c>
      <c r="BF494" s="21" t="str">
        <f>IF(AND('Atividades Micro'!$B546=BF$2,'Atividades Micro'!$G546="Macro",'Atividades Micro'!$K546&lt;&gt;""),'Atividades Micro'!$K546,"")</f>
        <v/>
      </c>
      <c r="BG494" s="21" t="str">
        <f>IF(AND('Atividades Micro'!$B546=BG$2,'Atividades Micro'!$G546="Macro",'Atividades Micro'!$K546&lt;&gt;""),'Atividades Micro'!$K546,"")</f>
        <v/>
      </c>
      <c r="BH494" s="21" t="str">
        <f>IF(AND('Atividades Micro'!$B546=BH$2,'Atividades Micro'!$G546="Macro",'Atividades Micro'!$K546&lt;&gt;""),'Atividades Micro'!$K546,"")</f>
        <v/>
      </c>
      <c r="BI494" s="21" t="str">
        <f>IF(AND('Atividades Micro'!$B546=BI$2,'Atividades Micro'!$G546="Macro",'Atividades Micro'!$K546&lt;&gt;""),'Atividades Micro'!$K546,"")</f>
        <v/>
      </c>
      <c r="BJ494" s="21" t="str">
        <f>IF(AND('Atividades Micro'!$B546=BJ$2,'Atividades Micro'!$G546="Macro",'Atividades Micro'!$K546&lt;&gt;""),'Atividades Micro'!$K546,"")</f>
        <v/>
      </c>
      <c r="BK494" s="21" t="str">
        <f>IF(AND('Atividades Micro'!$B546=BK$2,'Atividades Micro'!$G546="Macro",'Atividades Micro'!$K546&lt;&gt;""),'Atividades Micro'!$K546,"")</f>
        <v/>
      </c>
      <c r="BL494" s="21" t="str">
        <f>IF(AND('Atividades Micro'!$B546=BL$2,'Atividades Micro'!$G546="Macro",'Atividades Micro'!$K546&lt;&gt;""),'Atividades Micro'!$K546,"")</f>
        <v/>
      </c>
      <c r="BM494" s="21" t="str">
        <f>IF(AND('Atividades Micro'!$B546=BM$2,'Atividades Micro'!$G546="Macro",'Atividades Micro'!$K546&lt;&gt;""),'Atividades Micro'!$K546,"")</f>
        <v/>
      </c>
      <c r="BN494" s="21" t="str">
        <f>IF(AND('Atividades Micro'!$B546=BN$2,'Atividades Micro'!$G546="Macro",'Atividades Micro'!$K546&lt;&gt;""),'Atividades Micro'!$K546,"")</f>
        <v/>
      </c>
      <c r="BO494" s="21" t="str">
        <f>IF(AND('Atividades Micro'!$B546=BO$2,'Atividades Micro'!$G546="Macro",'Atividades Micro'!$K546&lt;&gt;""),'Atividades Micro'!$K546,"")</f>
        <v/>
      </c>
      <c r="BP494" s="21" t="str">
        <f>IF(AND('Atividades Micro'!$B546=BP$2,'Atividades Micro'!$G546="Macro",'Atividades Micro'!$K546&lt;&gt;""),'Atividades Micro'!$K546,"")</f>
        <v/>
      </c>
      <c r="BQ494" s="21" t="str">
        <f>IF(AND('Atividades Micro'!$B546=BQ$2,'Atividades Micro'!$G546="Macro",'Atividades Micro'!$K546&lt;&gt;""),'Atividades Micro'!$K546,"")</f>
        <v/>
      </c>
      <c r="BR494" s="21" t="str">
        <f>IF(AND('Atividades Micro'!$B546=BR$2,'Atividades Micro'!$G546="Macro",'Atividades Micro'!$K546&lt;&gt;""),'Atividades Micro'!$K546,"")</f>
        <v/>
      </c>
      <c r="BS494" s="21" t="str">
        <f>IF(AND('Atividades Micro'!$B546=BS$2,'Atividades Micro'!$G546="Macro",'Atividades Micro'!$K546&lt;&gt;""),'Atividades Micro'!$K546,"")</f>
        <v/>
      </c>
      <c r="BT494" s="21" t="str">
        <f>IF(AND('Atividades Micro'!$B546=BT$2,'Atividades Micro'!$G546="Macro",'Atividades Micro'!$K546&lt;&gt;""),'Atividades Micro'!$K546,"")</f>
        <v/>
      </c>
      <c r="BU494" s="21" t="str">
        <f>IF(AND('Atividades Micro'!$B546=BU$2,'Atividades Micro'!$G546="Macro",'Atividades Micro'!$K546&lt;&gt;""),'Atividades Micro'!$K546,"")</f>
        <v/>
      </c>
      <c r="BV494" s="21" t="str">
        <f>IF(AND('Atividades Micro'!$B546=BV$2,'Atividades Micro'!$G546="Macro",'Atividades Micro'!$K546&lt;&gt;""),'Atividades Micro'!$K546,"")</f>
        <v/>
      </c>
      <c r="BW494" s="21" t="str">
        <f>IF(AND('Atividades Micro'!$B546=BW$2,'Atividades Micro'!$G546="Macro",'Atividades Micro'!$K546&lt;&gt;""),'Atividades Micro'!$K546,"")</f>
        <v/>
      </c>
      <c r="BX494" s="21" t="str">
        <f>IF(AND('Atividades Micro'!$B546=BX$2,'Atividades Micro'!$G546="Macro",'Atividades Micro'!$K546&lt;&gt;""),'Atividades Micro'!$K546,"")</f>
        <v/>
      </c>
      <c r="BY494" s="21" t="str">
        <f>IF(AND('Atividades Micro'!$B546=BY$2,'Atividades Micro'!$G546="Macro",'Atividades Micro'!$K546&lt;&gt;""),'Atividades Micro'!$K546,"")</f>
        <v/>
      </c>
      <c r="BZ494" s="21" t="str">
        <f>IF(AND('Atividades Micro'!$B546=BZ$2,'Atividades Micro'!$G546="Macro",'Atividades Micro'!$K546&lt;&gt;""),'Atividades Micro'!$K546,"")</f>
        <v/>
      </c>
      <c r="CA494" s="21" t="str">
        <f>IF(AND('Atividades Micro'!$B546=CA$2,'Atividades Micro'!$G546="Macro",'Atividades Micro'!$K546&lt;&gt;""),'Atividades Micro'!$K546,"")</f>
        <v/>
      </c>
      <c r="CB494" s="21" t="str">
        <f>IF(AND('Atividades Micro'!$B546=CB$2,'Atividades Micro'!$G546="Macro",'Atividades Micro'!$K546&lt;&gt;""),'Atividades Micro'!$K546,"")</f>
        <v/>
      </c>
      <c r="CC494" s="21" t="str">
        <f>IF(AND('Atividades Micro'!$B546=CC$2,'Atividades Micro'!$G546="Macro",'Atividades Micro'!$K546&lt;&gt;""),'Atividades Micro'!$K546,"")</f>
        <v/>
      </c>
      <c r="CD494" s="21" t="str">
        <f>IF(AND('Atividades Micro'!$B546=CD$2,'Atividades Micro'!$G546="Micro",'Atividades Micro'!$K546&lt;&gt;""),'Atividades Micro'!$K546,"")</f>
        <v/>
      </c>
      <c r="CE494" s="21" t="str">
        <f>IF(AND('Atividades Micro'!$B546=CE$2,'Atividades Micro'!$G546="Micro",'Atividades Micro'!$K546&lt;&gt;""),'Atividades Micro'!$K546,"")</f>
        <v/>
      </c>
      <c r="CF494" s="21" t="str">
        <f>IF(AND('Atividades Micro'!$B546=CF$2,'Atividades Micro'!$G546="Micro",'Atividades Micro'!$K546&lt;&gt;""),'Atividades Micro'!$K546,"")</f>
        <v/>
      </c>
      <c r="CG494" s="21" t="str">
        <f>IF(AND('Atividades Micro'!$B546=CG$2,'Atividades Micro'!$G546="Micro",'Atividades Micro'!$K546&lt;&gt;""),'Atividades Micro'!$K546,"")</f>
        <v/>
      </c>
      <c r="CH494" s="21" t="str">
        <f>IF(AND('Atividades Micro'!$B546=CH$2,'Atividades Micro'!$G546="Micro",'Atividades Micro'!$K546&lt;&gt;""),'Atividades Micro'!$K546,"")</f>
        <v/>
      </c>
      <c r="CI494" s="21" t="str">
        <f>IF(AND('Atividades Micro'!$B546=CI$2,'Atividades Micro'!$G546="Micro",'Atividades Micro'!$K546&lt;&gt;""),'Atividades Micro'!$K546,"")</f>
        <v/>
      </c>
      <c r="CJ494" s="21" t="str">
        <f>IF(AND('Atividades Micro'!$B546=CJ$2,'Atividades Micro'!$G546="Micro",'Atividades Micro'!$K546&lt;&gt;""),'Atividades Micro'!$K546,"")</f>
        <v/>
      </c>
      <c r="CK494" s="21" t="str">
        <f>IF(AND('Atividades Micro'!$B546=CK$2,'Atividades Micro'!$G546="Micro",'Atividades Micro'!$K546&lt;&gt;""),'Atividades Micro'!$K546,"")</f>
        <v/>
      </c>
      <c r="CL494" s="21" t="str">
        <f>IF(AND('Atividades Micro'!$B546=CL$2,'Atividades Micro'!$G546="Micro",'Atividades Micro'!$K546&lt;&gt;""),'Atividades Micro'!$K546,"")</f>
        <v/>
      </c>
      <c r="CM494" s="21" t="str">
        <f>IF(AND('Atividades Micro'!$B546=CM$2,'Atividades Micro'!$G546="Micro",'Atividades Micro'!$K546&lt;&gt;""),'Atividades Micro'!$K546,"")</f>
        <v/>
      </c>
      <c r="CN494" s="21" t="str">
        <f>IF(AND('Atividades Micro'!$B546=CN$2,'Atividades Micro'!$G546="Micro",'Atividades Micro'!$K546&lt;&gt;""),'Atividades Micro'!$K546,"")</f>
        <v/>
      </c>
      <c r="CO494" s="21" t="str">
        <f>IF(AND('Atividades Micro'!$B546=CO$2,'Atividades Micro'!$G546="Micro",'Atividades Micro'!$K546&lt;&gt;""),'Atividades Micro'!$K546,"")</f>
        <v/>
      </c>
    </row>
    <row r="495" spans="1:93">
      <c r="A495" s="21" t="str">
        <f>IF(AND('Atividades Micro'!$A547=A$2,'Atividades Micro'!$K547&lt;&gt;""),'Atividades Micro'!$K547,"")</f>
        <v/>
      </c>
      <c r="B495" s="21" t="str">
        <f>IF(AND('Atividades Micro'!$A547=B$2,'Atividades Micro'!$L547&lt;&gt;""),'Atividades Micro'!$L547,"")</f>
        <v/>
      </c>
      <c r="C495" s="21" t="str">
        <f>IF(AND('Atividades Micro'!$A547=C$2,'Atividades Micro'!$K547&lt;&gt;""),'Atividades Micro'!$K547,"")</f>
        <v/>
      </c>
      <c r="D495" s="21" t="str">
        <f>IF(AND('Atividades Micro'!$A547=D$2,'Atividades Micro'!$L547&lt;&gt;""),'Atividades Micro'!$L547,"")</f>
        <v/>
      </c>
      <c r="E495" s="21" t="str">
        <f>IF(AND('Atividades Micro'!$A547=E$2,'Atividades Micro'!$K547&lt;&gt;""),'Atividades Micro'!$K547,"")</f>
        <v/>
      </c>
      <c r="F495" s="21" t="str">
        <f>IF(AND('Atividades Micro'!$A547=F$2,'Atividades Micro'!$L547&lt;&gt;""),'Atividades Micro'!$L547,"")</f>
        <v/>
      </c>
      <c r="G495" s="21" t="str">
        <f>IF(AND('Atividades Micro'!$A547=G$2,'Atividades Micro'!$K547&lt;&gt;""),'Atividades Micro'!$K547,"")</f>
        <v/>
      </c>
      <c r="H495" s="21" t="str">
        <f>IF(AND('Atividades Micro'!$A547=H$2,'Atividades Micro'!$L547&lt;&gt;""),'Atividades Micro'!$L547,"")</f>
        <v/>
      </c>
      <c r="I495" s="21" t="str">
        <f>IF(AND('Atividades Micro'!$A547=I$2,'Atividades Micro'!$K547&lt;&gt;""),'Atividades Micro'!$K547,"")</f>
        <v/>
      </c>
      <c r="J495" s="21" t="str">
        <f>IF(AND('Atividades Micro'!$A547=J$2,'Atividades Micro'!$L547&lt;&gt;""),'Atividades Micro'!$L547,"")</f>
        <v/>
      </c>
      <c r="K495" s="21" t="str">
        <f>IF(AND('Atividades Micro'!$B547=K$2,'Atividades Micro'!$K547&lt;&gt;""),'Atividades Micro'!$K547,"")</f>
        <v/>
      </c>
      <c r="L495" s="21" t="str">
        <f>IF(AND('Atividades Micro'!$B547=L$2,'Atividades Micro'!$L547&lt;&gt;""),'Atividades Micro'!$L547,"")</f>
        <v/>
      </c>
      <c r="M495" s="21" t="str">
        <f>IF(AND('Atividades Micro'!$B547=M$2,'Atividades Micro'!$K547&lt;&gt;""),'Atividades Micro'!$K547,"")</f>
        <v/>
      </c>
      <c r="N495" s="21" t="str">
        <f>IF(AND('Atividades Micro'!$B547=N$2,'Atividades Micro'!$L547&lt;&gt;""),'Atividades Micro'!$L547,"")</f>
        <v/>
      </c>
      <c r="O495" s="21" t="str">
        <f>IF(AND('Atividades Micro'!$A547=O$2,'Atividades Micro'!$K547&lt;&gt;""),'Atividades Micro'!$K547,"")</f>
        <v/>
      </c>
      <c r="P495" s="21" t="str">
        <f>IF(AND('Atividades Micro'!$A547=P$2,'Atividades Micro'!$L547&lt;&gt;""),'Atividades Micro'!$L547,"")</f>
        <v/>
      </c>
      <c r="Q495" s="21" t="str">
        <f>IF(AND('Atividades Micro'!$B547=Q$2,'Atividades Micro'!$K547&lt;&gt;""),'Atividades Micro'!$K547,"")</f>
        <v/>
      </c>
      <c r="R495" s="21" t="str">
        <f>IF(AND('Atividades Micro'!$B547=R$2,'Atividades Micro'!$L547&lt;&gt;""),'Atividades Micro'!$L547,"")</f>
        <v/>
      </c>
      <c r="S495" s="21" t="str">
        <f>IF(AND('Atividades Micro'!$A547=S$2,'Atividades Micro'!$K547&lt;&gt;""),'Atividades Micro'!$K547,"")</f>
        <v/>
      </c>
      <c r="T495" s="21" t="str">
        <f>IF(AND('Atividades Micro'!$A547=T$2,'Atividades Micro'!$L547&lt;&gt;""),'Atividades Micro'!$L547,"")</f>
        <v/>
      </c>
      <c r="U495" s="21" t="str">
        <f>IF(AND('Atividades Micro'!$B547=U$2,'Atividades Micro'!$K547&lt;&gt;""),'Atividades Micro'!$K547,"")</f>
        <v/>
      </c>
      <c r="V495" s="21" t="str">
        <f>IF(AND('Atividades Micro'!$B547=V$2,'Atividades Micro'!$L547&lt;&gt;""),'Atividades Micro'!$L547,"")</f>
        <v/>
      </c>
      <c r="W495" s="21" t="str">
        <f>IF(AND('Atividades Micro'!$B547=W$2,'Atividades Micro'!$K547&lt;&gt;""),'Atividades Micro'!$K547,"")</f>
        <v/>
      </c>
      <c r="X495" s="21" t="str">
        <f>IF(AND('Atividades Micro'!$B547=X$2,'Atividades Micro'!$L547&lt;&gt;""),'Atividades Micro'!$L547,"")</f>
        <v/>
      </c>
      <c r="Y495" s="21" t="str">
        <f>IF(AND('Atividades Micro'!$A547=Y$2,'Atividades Micro'!$K547&lt;&gt;""),'Atividades Micro'!$K547,"")</f>
        <v/>
      </c>
      <c r="Z495" s="21" t="str">
        <f>IF(AND('Atividades Micro'!$A547=Z$2,'Atividades Micro'!$L547&lt;&gt;""),'Atividades Micro'!$L547,"")</f>
        <v/>
      </c>
      <c r="AA495" s="21" t="str">
        <f>IF(AND('Atividades Micro'!$B547=AA$2,'Atividades Micro'!$K547&lt;&gt;""),'Atividades Micro'!$K547,"")</f>
        <v/>
      </c>
      <c r="AB495" s="21" t="str">
        <f>IF(AND('Atividades Micro'!$B547=AB$2,'Atividades Micro'!$L547&lt;&gt;""),'Atividades Micro'!$L547,"")</f>
        <v/>
      </c>
      <c r="AC495" s="21" t="str">
        <f>IF(AND('Atividades Micro'!$B547=AC$2,'Atividades Micro'!$K547&lt;&gt;""),'Atividades Micro'!$K547,"")</f>
        <v/>
      </c>
      <c r="AD495" s="21" t="str">
        <f>IF(AND('Atividades Micro'!$B547=AD$2,'Atividades Micro'!$L547&lt;&gt;""),'Atividades Micro'!$L547,"")</f>
        <v/>
      </c>
      <c r="AE495" s="21" t="str">
        <f>IF(AND('Atividades Micro'!$A547=AE$2,'Atividades Micro'!$K547&lt;&gt;""),'Atividades Micro'!$K547,"")</f>
        <v/>
      </c>
      <c r="AF495" s="21" t="str">
        <f>IF(AND('Atividades Micro'!$A547=AF$2,'Atividades Micro'!$L547&lt;&gt;""),'Atividades Micro'!$L547,"")</f>
        <v/>
      </c>
      <c r="AG495" s="21" t="str">
        <f>IF(AND('Atividades Micro'!$B547=AG$2,'Atividades Micro'!$K547&lt;&gt;""),'Atividades Micro'!$K547,"")</f>
        <v/>
      </c>
      <c r="AH495" s="21" t="str">
        <f>IF(AND('Atividades Micro'!$B547=AH$2,'Atividades Micro'!$L547&lt;&gt;""),'Atividades Micro'!$L547,"")</f>
        <v/>
      </c>
      <c r="AI495" s="21" t="str">
        <f>IF(AND('Atividades Micro'!$B547=AI$2,'Atividades Micro'!$K547&lt;&gt;""),'Atividades Micro'!$K547,"")</f>
        <v/>
      </c>
      <c r="AJ495" s="21" t="str">
        <f>IF(AND('Atividades Micro'!$B547=AJ$2,'Atividades Micro'!$L547&lt;&gt;""),'Atividades Micro'!$L547,"")</f>
        <v/>
      </c>
      <c r="AK495" s="21" t="str">
        <f>IF(AND('Atividades Micro'!$A547=AK$2,'Atividades Micro'!$K547&lt;&gt;""),'Atividades Micro'!$K547,"")</f>
        <v/>
      </c>
      <c r="AL495" s="21" t="str">
        <f>IF(AND('Atividades Micro'!$A547=AL$2,'Atividades Micro'!$L547&lt;&gt;""),'Atividades Micro'!$L547,"")</f>
        <v/>
      </c>
      <c r="AM495" s="21" t="str">
        <f>IF(AND('Atividades Micro'!$B547=AM$2,'Atividades Micro'!$K547&lt;&gt;""),'Atividades Micro'!$K547,"")</f>
        <v/>
      </c>
      <c r="AN495" s="21" t="str">
        <f>IF(AND('Atividades Micro'!$B547=AN$2,'Atividades Micro'!$L547&lt;&gt;""),'Atividades Micro'!$L547,"")</f>
        <v/>
      </c>
      <c r="AO495" s="21" t="str">
        <f>IF(AND('Atividades Micro'!$B547=AO$2,'Atividades Micro'!$K547&lt;&gt;""),'Atividades Micro'!$K547,"")</f>
        <v/>
      </c>
      <c r="AP495" s="21" t="str">
        <f>IF(AND('Atividades Micro'!$B547=AP$2,'Atividades Micro'!$L547&lt;&gt;""),'Atividades Micro'!$L547,"")</f>
        <v/>
      </c>
      <c r="AQ495" s="21" t="str">
        <f>IF(AND('Atividades Micro'!$A547=AQ$2,'Atividades Micro'!$K547&lt;&gt;""),'Atividades Micro'!$K547,"")</f>
        <v/>
      </c>
      <c r="AR495" s="21" t="str">
        <f>IF(AND('Atividades Micro'!$A547=AR$2,'Atividades Micro'!$L547&lt;&gt;""),'Atividades Micro'!$L547,"")</f>
        <v/>
      </c>
      <c r="AS495" s="21" t="str">
        <f>IF(AND('Atividades Micro'!$B547=AS$2,'Atividades Micro'!$K547&lt;&gt;""),'Atividades Micro'!$K547,"")</f>
        <v/>
      </c>
      <c r="AT495" s="21" t="str">
        <f>IF(AND('Atividades Micro'!$B547=AT$2,'Atividades Micro'!$L547&lt;&gt;""),'Atividades Micro'!$L547,"")</f>
        <v/>
      </c>
      <c r="AU495" s="21" t="str">
        <f>IF(AND('Atividades Micro'!$A547=AU$2,'Atividades Micro'!$K547&lt;&gt;""),'Atividades Micro'!$K547,"")</f>
        <v/>
      </c>
      <c r="AV495" s="21" t="str">
        <f>IF(AND('Atividades Micro'!$A547=AV$2,'Atividades Micro'!$L547&lt;&gt;""),'Atividades Micro'!$L547,"")</f>
        <v/>
      </c>
      <c r="AW495" s="21" t="str">
        <f>IF(AND('Atividades Micro'!$B547=AW$2,'Atividades Micro'!$K547&lt;&gt;""),'Atividades Micro'!$K547,"")</f>
        <v/>
      </c>
      <c r="AX495" s="21" t="str">
        <f>IF(AND('Atividades Micro'!$B547=AX$2,'Atividades Micro'!$L547&lt;&gt;""),'Atividades Micro'!$L547,"")</f>
        <v/>
      </c>
      <c r="AY495" s="21" t="str">
        <f>IF(AND('Atividades Micro'!$A547=AY$2,'Atividades Micro'!$K547&lt;&gt;""),'Atividades Micro'!$K547,"")</f>
        <v/>
      </c>
      <c r="AZ495" s="21" t="str">
        <f>IF(AND('Atividades Micro'!$A547=AZ$2,'Atividades Micro'!$L547&lt;&gt;""),'Atividades Micro'!$L547,"")</f>
        <v/>
      </c>
      <c r="BA495" s="21" t="str">
        <f>IF(AND('Atividades Micro'!$B547=BA$2,'Atividades Micro'!$K547&lt;&gt;""),'Atividades Micro'!$K547,"")</f>
        <v/>
      </c>
      <c r="BB495" s="21" t="str">
        <f>IF(AND('Atividades Micro'!$B547=BB$2,'Atividades Micro'!$L547&lt;&gt;""),'Atividades Micro'!$L547,"")</f>
        <v/>
      </c>
      <c r="BC495" s="21" t="str">
        <f>IF(AND('Atividades Micro'!$B547=BC$2,'Atividades Micro'!$G547="Macro",'Atividades Micro'!$K547&lt;&gt;""),'Atividades Micro'!$K547,"")</f>
        <v/>
      </c>
      <c r="BD495" s="21" t="str">
        <f>IF(AND('Atividades Micro'!$B547=BD$2,'Atividades Micro'!$G547="Macro",'Atividades Micro'!$K547&lt;&gt;""),'Atividades Micro'!$K547,"")</f>
        <v/>
      </c>
      <c r="BE495" s="21" t="str">
        <f>IF(AND('Atividades Micro'!$B547=BE$2,'Atividades Micro'!$G547="Macro",'Atividades Micro'!$K547&lt;&gt;""),'Atividades Micro'!$K547,"")</f>
        <v/>
      </c>
      <c r="BF495" s="21" t="str">
        <f>IF(AND('Atividades Micro'!$B547=BF$2,'Atividades Micro'!$G547="Macro",'Atividades Micro'!$K547&lt;&gt;""),'Atividades Micro'!$K547,"")</f>
        <v/>
      </c>
      <c r="BG495" s="21" t="str">
        <f>IF(AND('Atividades Micro'!$B547=BG$2,'Atividades Micro'!$G547="Macro",'Atividades Micro'!$K547&lt;&gt;""),'Atividades Micro'!$K547,"")</f>
        <v/>
      </c>
      <c r="BH495" s="21" t="str">
        <f>IF(AND('Atividades Micro'!$B547=BH$2,'Atividades Micro'!$G547="Macro",'Atividades Micro'!$K547&lt;&gt;""),'Atividades Micro'!$K547,"")</f>
        <v/>
      </c>
      <c r="BI495" s="21" t="str">
        <f>IF(AND('Atividades Micro'!$B547=BI$2,'Atividades Micro'!$G547="Macro",'Atividades Micro'!$K547&lt;&gt;""),'Atividades Micro'!$K547,"")</f>
        <v/>
      </c>
      <c r="BJ495" s="21" t="str">
        <f>IF(AND('Atividades Micro'!$B547=BJ$2,'Atividades Micro'!$G547="Macro",'Atividades Micro'!$K547&lt;&gt;""),'Atividades Micro'!$K547,"")</f>
        <v/>
      </c>
      <c r="BK495" s="21" t="str">
        <f>IF(AND('Atividades Micro'!$B547=BK$2,'Atividades Micro'!$G547="Macro",'Atividades Micro'!$K547&lt;&gt;""),'Atividades Micro'!$K547,"")</f>
        <v/>
      </c>
      <c r="BL495" s="21" t="str">
        <f>IF(AND('Atividades Micro'!$B547=BL$2,'Atividades Micro'!$G547="Macro",'Atividades Micro'!$K547&lt;&gt;""),'Atividades Micro'!$K547,"")</f>
        <v/>
      </c>
      <c r="BM495" s="21" t="str">
        <f>IF(AND('Atividades Micro'!$B547=BM$2,'Atividades Micro'!$G547="Macro",'Atividades Micro'!$K547&lt;&gt;""),'Atividades Micro'!$K547,"")</f>
        <v/>
      </c>
      <c r="BN495" s="21" t="str">
        <f>IF(AND('Atividades Micro'!$B547=BN$2,'Atividades Micro'!$G547="Macro",'Atividades Micro'!$K547&lt;&gt;""),'Atividades Micro'!$K547,"")</f>
        <v/>
      </c>
      <c r="BO495" s="21" t="str">
        <f>IF(AND('Atividades Micro'!$B547=BO$2,'Atividades Micro'!$G547="Macro",'Atividades Micro'!$K547&lt;&gt;""),'Atividades Micro'!$K547,"")</f>
        <v/>
      </c>
      <c r="BP495" s="21" t="str">
        <f>IF(AND('Atividades Micro'!$B547=BP$2,'Atividades Micro'!$G547="Macro",'Atividades Micro'!$K547&lt;&gt;""),'Atividades Micro'!$K547,"")</f>
        <v/>
      </c>
      <c r="BQ495" s="21" t="str">
        <f>IF(AND('Atividades Micro'!$B547=BQ$2,'Atividades Micro'!$G547="Macro",'Atividades Micro'!$K547&lt;&gt;""),'Atividades Micro'!$K547,"")</f>
        <v/>
      </c>
      <c r="BR495" s="21" t="str">
        <f>IF(AND('Atividades Micro'!$B547=BR$2,'Atividades Micro'!$G547="Macro",'Atividades Micro'!$K547&lt;&gt;""),'Atividades Micro'!$K547,"")</f>
        <v/>
      </c>
      <c r="BS495" s="21" t="str">
        <f>IF(AND('Atividades Micro'!$B547=BS$2,'Atividades Micro'!$G547="Macro",'Atividades Micro'!$K547&lt;&gt;""),'Atividades Micro'!$K547,"")</f>
        <v/>
      </c>
      <c r="BT495" s="21" t="str">
        <f>IF(AND('Atividades Micro'!$B547=BT$2,'Atividades Micro'!$G547="Macro",'Atividades Micro'!$K547&lt;&gt;""),'Atividades Micro'!$K547,"")</f>
        <v/>
      </c>
      <c r="BU495" s="21" t="str">
        <f>IF(AND('Atividades Micro'!$B547=BU$2,'Atividades Micro'!$G547="Macro",'Atividades Micro'!$K547&lt;&gt;""),'Atividades Micro'!$K547,"")</f>
        <v/>
      </c>
      <c r="BV495" s="21" t="str">
        <f>IF(AND('Atividades Micro'!$B547=BV$2,'Atividades Micro'!$G547="Macro",'Atividades Micro'!$K547&lt;&gt;""),'Atividades Micro'!$K547,"")</f>
        <v/>
      </c>
      <c r="BW495" s="21" t="str">
        <f>IF(AND('Atividades Micro'!$B547=BW$2,'Atividades Micro'!$G547="Macro",'Atividades Micro'!$K547&lt;&gt;""),'Atividades Micro'!$K547,"")</f>
        <v/>
      </c>
      <c r="BX495" s="21" t="str">
        <f>IF(AND('Atividades Micro'!$B547=BX$2,'Atividades Micro'!$G547="Macro",'Atividades Micro'!$K547&lt;&gt;""),'Atividades Micro'!$K547,"")</f>
        <v/>
      </c>
      <c r="BY495" s="21" t="str">
        <f>IF(AND('Atividades Micro'!$B547=BY$2,'Atividades Micro'!$G547="Macro",'Atividades Micro'!$K547&lt;&gt;""),'Atividades Micro'!$K547,"")</f>
        <v/>
      </c>
      <c r="BZ495" s="21" t="str">
        <f>IF(AND('Atividades Micro'!$B547=BZ$2,'Atividades Micro'!$G547="Macro",'Atividades Micro'!$K547&lt;&gt;""),'Atividades Micro'!$K547,"")</f>
        <v/>
      </c>
      <c r="CA495" s="21" t="str">
        <f>IF(AND('Atividades Micro'!$B547=CA$2,'Atividades Micro'!$G547="Macro",'Atividades Micro'!$K547&lt;&gt;""),'Atividades Micro'!$K547,"")</f>
        <v/>
      </c>
      <c r="CB495" s="21" t="str">
        <f>IF(AND('Atividades Micro'!$B547=CB$2,'Atividades Micro'!$G547="Macro",'Atividades Micro'!$K547&lt;&gt;""),'Atividades Micro'!$K547,"")</f>
        <v/>
      </c>
      <c r="CC495" s="21" t="str">
        <f>IF(AND('Atividades Micro'!$B547=CC$2,'Atividades Micro'!$G547="Macro",'Atividades Micro'!$K547&lt;&gt;""),'Atividades Micro'!$K547,"")</f>
        <v/>
      </c>
      <c r="CD495" s="21" t="str">
        <f>IF(AND('Atividades Micro'!$B547=CD$2,'Atividades Micro'!$G547="Micro",'Atividades Micro'!$K547&lt;&gt;""),'Atividades Micro'!$K547,"")</f>
        <v/>
      </c>
      <c r="CE495" s="21" t="str">
        <f>IF(AND('Atividades Micro'!$B547=CE$2,'Atividades Micro'!$G547="Micro",'Atividades Micro'!$K547&lt;&gt;""),'Atividades Micro'!$K547,"")</f>
        <v/>
      </c>
      <c r="CF495" s="21" t="str">
        <f>IF(AND('Atividades Micro'!$B547=CF$2,'Atividades Micro'!$G547="Micro",'Atividades Micro'!$K547&lt;&gt;""),'Atividades Micro'!$K547,"")</f>
        <v/>
      </c>
      <c r="CG495" s="21" t="str">
        <f>IF(AND('Atividades Micro'!$B547=CG$2,'Atividades Micro'!$G547="Micro",'Atividades Micro'!$K547&lt;&gt;""),'Atividades Micro'!$K547,"")</f>
        <v/>
      </c>
      <c r="CH495" s="21" t="str">
        <f>IF(AND('Atividades Micro'!$B547=CH$2,'Atividades Micro'!$G547="Micro",'Atividades Micro'!$K547&lt;&gt;""),'Atividades Micro'!$K547,"")</f>
        <v/>
      </c>
      <c r="CI495" s="21" t="str">
        <f>IF(AND('Atividades Micro'!$B547=CI$2,'Atividades Micro'!$G547="Micro",'Atividades Micro'!$K547&lt;&gt;""),'Atividades Micro'!$K547,"")</f>
        <v/>
      </c>
      <c r="CJ495" s="21" t="str">
        <f>IF(AND('Atividades Micro'!$B547=CJ$2,'Atividades Micro'!$G547="Micro",'Atividades Micro'!$K547&lt;&gt;""),'Atividades Micro'!$K547,"")</f>
        <v/>
      </c>
      <c r="CK495" s="21" t="str">
        <f>IF(AND('Atividades Micro'!$B547=CK$2,'Atividades Micro'!$G547="Micro",'Atividades Micro'!$K547&lt;&gt;""),'Atividades Micro'!$K547,"")</f>
        <v/>
      </c>
      <c r="CL495" s="21" t="str">
        <f>IF(AND('Atividades Micro'!$B547=CL$2,'Atividades Micro'!$G547="Micro",'Atividades Micro'!$K547&lt;&gt;""),'Atividades Micro'!$K547,"")</f>
        <v/>
      </c>
      <c r="CM495" s="21" t="str">
        <f>IF(AND('Atividades Micro'!$B547=CM$2,'Atividades Micro'!$G547="Micro",'Atividades Micro'!$K547&lt;&gt;""),'Atividades Micro'!$K547,"")</f>
        <v/>
      </c>
      <c r="CN495" s="21" t="str">
        <f>IF(AND('Atividades Micro'!$B547=CN$2,'Atividades Micro'!$G547="Micro",'Atividades Micro'!$K547&lt;&gt;""),'Atividades Micro'!$K547,"")</f>
        <v/>
      </c>
      <c r="CO495" s="21" t="str">
        <f>IF(AND('Atividades Micro'!$B547=CO$2,'Atividades Micro'!$G547="Micro",'Atividades Micro'!$K547&lt;&gt;""),'Atividades Micro'!$K547,"")</f>
        <v/>
      </c>
    </row>
    <row r="496" spans="1:93">
      <c r="A496" s="21" t="str">
        <f>IF(AND('Atividades Micro'!$A548=A$2,'Atividades Micro'!$K548&lt;&gt;""),'Atividades Micro'!$K548,"")</f>
        <v/>
      </c>
      <c r="B496" s="21" t="str">
        <f>IF(AND('Atividades Micro'!$A548=B$2,'Atividades Micro'!$L548&lt;&gt;""),'Atividades Micro'!$L548,"")</f>
        <v/>
      </c>
      <c r="C496" s="21" t="str">
        <f>IF(AND('Atividades Micro'!$A548=C$2,'Atividades Micro'!$K548&lt;&gt;""),'Atividades Micro'!$K548,"")</f>
        <v/>
      </c>
      <c r="D496" s="21" t="str">
        <f>IF(AND('Atividades Micro'!$A548=D$2,'Atividades Micro'!$L548&lt;&gt;""),'Atividades Micro'!$L548,"")</f>
        <v/>
      </c>
      <c r="E496" s="21" t="str">
        <f>IF(AND('Atividades Micro'!$A548=E$2,'Atividades Micro'!$K548&lt;&gt;""),'Atividades Micro'!$K548,"")</f>
        <v/>
      </c>
      <c r="F496" s="21" t="str">
        <f>IF(AND('Atividades Micro'!$A548=F$2,'Atividades Micro'!$L548&lt;&gt;""),'Atividades Micro'!$L548,"")</f>
        <v/>
      </c>
      <c r="G496" s="21" t="str">
        <f>IF(AND('Atividades Micro'!$A548=G$2,'Atividades Micro'!$K548&lt;&gt;""),'Atividades Micro'!$K548,"")</f>
        <v/>
      </c>
      <c r="H496" s="21" t="str">
        <f>IF(AND('Atividades Micro'!$A548=H$2,'Atividades Micro'!$L548&lt;&gt;""),'Atividades Micro'!$L548,"")</f>
        <v/>
      </c>
      <c r="I496" s="21" t="str">
        <f>IF(AND('Atividades Micro'!$A548=I$2,'Atividades Micro'!$K548&lt;&gt;""),'Atividades Micro'!$K548,"")</f>
        <v/>
      </c>
      <c r="J496" s="21" t="str">
        <f>IF(AND('Atividades Micro'!$A548=J$2,'Atividades Micro'!$L548&lt;&gt;""),'Atividades Micro'!$L548,"")</f>
        <v/>
      </c>
      <c r="K496" s="21" t="str">
        <f>IF(AND('Atividades Micro'!$B548=K$2,'Atividades Micro'!$K548&lt;&gt;""),'Atividades Micro'!$K548,"")</f>
        <v/>
      </c>
      <c r="L496" s="21" t="str">
        <f>IF(AND('Atividades Micro'!$B548=L$2,'Atividades Micro'!$L548&lt;&gt;""),'Atividades Micro'!$L548,"")</f>
        <v/>
      </c>
      <c r="M496" s="21" t="str">
        <f>IF(AND('Atividades Micro'!$B548=M$2,'Atividades Micro'!$K548&lt;&gt;""),'Atividades Micro'!$K548,"")</f>
        <v/>
      </c>
      <c r="N496" s="21" t="str">
        <f>IF(AND('Atividades Micro'!$B548=N$2,'Atividades Micro'!$L548&lt;&gt;""),'Atividades Micro'!$L548,"")</f>
        <v/>
      </c>
      <c r="O496" s="21" t="str">
        <f>IF(AND('Atividades Micro'!$A548=O$2,'Atividades Micro'!$K548&lt;&gt;""),'Atividades Micro'!$K548,"")</f>
        <v/>
      </c>
      <c r="P496" s="21" t="str">
        <f>IF(AND('Atividades Micro'!$A548=P$2,'Atividades Micro'!$L548&lt;&gt;""),'Atividades Micro'!$L548,"")</f>
        <v/>
      </c>
      <c r="Q496" s="21" t="str">
        <f>IF(AND('Atividades Micro'!$B548=Q$2,'Atividades Micro'!$K548&lt;&gt;""),'Atividades Micro'!$K548,"")</f>
        <v/>
      </c>
      <c r="R496" s="21" t="str">
        <f>IF(AND('Atividades Micro'!$B548=R$2,'Atividades Micro'!$L548&lt;&gt;""),'Atividades Micro'!$L548,"")</f>
        <v/>
      </c>
      <c r="S496" s="21" t="str">
        <f>IF(AND('Atividades Micro'!$A548=S$2,'Atividades Micro'!$K548&lt;&gt;""),'Atividades Micro'!$K548,"")</f>
        <v/>
      </c>
      <c r="T496" s="21" t="str">
        <f>IF(AND('Atividades Micro'!$A548=T$2,'Atividades Micro'!$L548&lt;&gt;""),'Atividades Micro'!$L548,"")</f>
        <v/>
      </c>
      <c r="U496" s="21" t="str">
        <f>IF(AND('Atividades Micro'!$B548=U$2,'Atividades Micro'!$K548&lt;&gt;""),'Atividades Micro'!$K548,"")</f>
        <v/>
      </c>
      <c r="V496" s="21" t="str">
        <f>IF(AND('Atividades Micro'!$B548=V$2,'Atividades Micro'!$L548&lt;&gt;""),'Atividades Micro'!$L548,"")</f>
        <v/>
      </c>
      <c r="W496" s="21" t="str">
        <f>IF(AND('Atividades Micro'!$B548=W$2,'Atividades Micro'!$K548&lt;&gt;""),'Atividades Micro'!$K548,"")</f>
        <v/>
      </c>
      <c r="X496" s="21" t="str">
        <f>IF(AND('Atividades Micro'!$B548=X$2,'Atividades Micro'!$L548&lt;&gt;""),'Atividades Micro'!$L548,"")</f>
        <v/>
      </c>
      <c r="Y496" s="21" t="str">
        <f>IF(AND('Atividades Micro'!$A548=Y$2,'Atividades Micro'!$K548&lt;&gt;""),'Atividades Micro'!$K548,"")</f>
        <v/>
      </c>
      <c r="Z496" s="21" t="str">
        <f>IF(AND('Atividades Micro'!$A548=Z$2,'Atividades Micro'!$L548&lt;&gt;""),'Atividades Micro'!$L548,"")</f>
        <v/>
      </c>
      <c r="AA496" s="21" t="str">
        <f>IF(AND('Atividades Micro'!$B548=AA$2,'Atividades Micro'!$K548&lt;&gt;""),'Atividades Micro'!$K548,"")</f>
        <v/>
      </c>
      <c r="AB496" s="21" t="str">
        <f>IF(AND('Atividades Micro'!$B548=AB$2,'Atividades Micro'!$L548&lt;&gt;""),'Atividades Micro'!$L548,"")</f>
        <v/>
      </c>
      <c r="AC496" s="21" t="str">
        <f>IF(AND('Atividades Micro'!$B548=AC$2,'Atividades Micro'!$K548&lt;&gt;""),'Atividades Micro'!$K548,"")</f>
        <v/>
      </c>
      <c r="AD496" s="21" t="str">
        <f>IF(AND('Atividades Micro'!$B548=AD$2,'Atividades Micro'!$L548&lt;&gt;""),'Atividades Micro'!$L548,"")</f>
        <v/>
      </c>
      <c r="AE496" s="21" t="str">
        <f>IF(AND('Atividades Micro'!$A548=AE$2,'Atividades Micro'!$K548&lt;&gt;""),'Atividades Micro'!$K548,"")</f>
        <v/>
      </c>
      <c r="AF496" s="21" t="str">
        <f>IF(AND('Atividades Micro'!$A548=AF$2,'Atividades Micro'!$L548&lt;&gt;""),'Atividades Micro'!$L548,"")</f>
        <v/>
      </c>
      <c r="AG496" s="21" t="str">
        <f>IF(AND('Atividades Micro'!$B548=AG$2,'Atividades Micro'!$K548&lt;&gt;""),'Atividades Micro'!$K548,"")</f>
        <v/>
      </c>
      <c r="AH496" s="21" t="str">
        <f>IF(AND('Atividades Micro'!$B548=AH$2,'Atividades Micro'!$L548&lt;&gt;""),'Atividades Micro'!$L548,"")</f>
        <v/>
      </c>
      <c r="AI496" s="21" t="str">
        <f>IF(AND('Atividades Micro'!$B548=AI$2,'Atividades Micro'!$K548&lt;&gt;""),'Atividades Micro'!$K548,"")</f>
        <v/>
      </c>
      <c r="AJ496" s="21" t="str">
        <f>IF(AND('Atividades Micro'!$B548=AJ$2,'Atividades Micro'!$L548&lt;&gt;""),'Atividades Micro'!$L548,"")</f>
        <v/>
      </c>
      <c r="AK496" s="21" t="str">
        <f>IF(AND('Atividades Micro'!$A548=AK$2,'Atividades Micro'!$K548&lt;&gt;""),'Atividades Micro'!$K548,"")</f>
        <v/>
      </c>
      <c r="AL496" s="21" t="str">
        <f>IF(AND('Atividades Micro'!$A548=AL$2,'Atividades Micro'!$L548&lt;&gt;""),'Atividades Micro'!$L548,"")</f>
        <v/>
      </c>
      <c r="AM496" s="21" t="str">
        <f>IF(AND('Atividades Micro'!$B548=AM$2,'Atividades Micro'!$K548&lt;&gt;""),'Atividades Micro'!$K548,"")</f>
        <v/>
      </c>
      <c r="AN496" s="21" t="str">
        <f>IF(AND('Atividades Micro'!$B548=AN$2,'Atividades Micro'!$L548&lt;&gt;""),'Atividades Micro'!$L548,"")</f>
        <v/>
      </c>
      <c r="AO496" s="21" t="str">
        <f>IF(AND('Atividades Micro'!$B548=AO$2,'Atividades Micro'!$K548&lt;&gt;""),'Atividades Micro'!$K548,"")</f>
        <v/>
      </c>
      <c r="AP496" s="21" t="str">
        <f>IF(AND('Atividades Micro'!$B548=AP$2,'Atividades Micro'!$L548&lt;&gt;""),'Atividades Micro'!$L548,"")</f>
        <v/>
      </c>
      <c r="AQ496" s="21" t="str">
        <f>IF(AND('Atividades Micro'!$A548=AQ$2,'Atividades Micro'!$K548&lt;&gt;""),'Atividades Micro'!$K548,"")</f>
        <v/>
      </c>
      <c r="AR496" s="21" t="str">
        <f>IF(AND('Atividades Micro'!$A548=AR$2,'Atividades Micro'!$L548&lt;&gt;""),'Atividades Micro'!$L548,"")</f>
        <v/>
      </c>
      <c r="AS496" s="21" t="str">
        <f>IF(AND('Atividades Micro'!$B548=AS$2,'Atividades Micro'!$K548&lt;&gt;""),'Atividades Micro'!$K548,"")</f>
        <v/>
      </c>
      <c r="AT496" s="21" t="str">
        <f>IF(AND('Atividades Micro'!$B548=AT$2,'Atividades Micro'!$L548&lt;&gt;""),'Atividades Micro'!$L548,"")</f>
        <v/>
      </c>
      <c r="AU496" s="21" t="str">
        <f>IF(AND('Atividades Micro'!$A548=AU$2,'Atividades Micro'!$K548&lt;&gt;""),'Atividades Micro'!$K548,"")</f>
        <v/>
      </c>
      <c r="AV496" s="21" t="str">
        <f>IF(AND('Atividades Micro'!$A548=AV$2,'Atividades Micro'!$L548&lt;&gt;""),'Atividades Micro'!$L548,"")</f>
        <v/>
      </c>
      <c r="AW496" s="21" t="str">
        <f>IF(AND('Atividades Micro'!$B548=AW$2,'Atividades Micro'!$K548&lt;&gt;""),'Atividades Micro'!$K548,"")</f>
        <v/>
      </c>
      <c r="AX496" s="21" t="str">
        <f>IF(AND('Atividades Micro'!$B548=AX$2,'Atividades Micro'!$L548&lt;&gt;""),'Atividades Micro'!$L548,"")</f>
        <v/>
      </c>
      <c r="AY496" s="21" t="str">
        <f>IF(AND('Atividades Micro'!$A548=AY$2,'Atividades Micro'!$K548&lt;&gt;""),'Atividades Micro'!$K548,"")</f>
        <v/>
      </c>
      <c r="AZ496" s="21" t="str">
        <f>IF(AND('Atividades Micro'!$A548=AZ$2,'Atividades Micro'!$L548&lt;&gt;""),'Atividades Micro'!$L548,"")</f>
        <v/>
      </c>
      <c r="BA496" s="21" t="str">
        <f>IF(AND('Atividades Micro'!$B548=BA$2,'Atividades Micro'!$K548&lt;&gt;""),'Atividades Micro'!$K548,"")</f>
        <v/>
      </c>
      <c r="BB496" s="21" t="str">
        <f>IF(AND('Atividades Micro'!$B548=BB$2,'Atividades Micro'!$L548&lt;&gt;""),'Atividades Micro'!$L548,"")</f>
        <v/>
      </c>
      <c r="BC496" s="21" t="str">
        <f>IF(AND('Atividades Micro'!$B548=BC$2,'Atividades Micro'!$G548="Macro",'Atividades Micro'!$K548&lt;&gt;""),'Atividades Micro'!$K548,"")</f>
        <v/>
      </c>
      <c r="BD496" s="21" t="str">
        <f>IF(AND('Atividades Micro'!$B548=BD$2,'Atividades Micro'!$G548="Macro",'Atividades Micro'!$K548&lt;&gt;""),'Atividades Micro'!$K548,"")</f>
        <v/>
      </c>
      <c r="BE496" s="21" t="str">
        <f>IF(AND('Atividades Micro'!$B548=BE$2,'Atividades Micro'!$G548="Macro",'Atividades Micro'!$K548&lt;&gt;""),'Atividades Micro'!$K548,"")</f>
        <v/>
      </c>
      <c r="BF496" s="21" t="str">
        <f>IF(AND('Atividades Micro'!$B548=BF$2,'Atividades Micro'!$G548="Macro",'Atividades Micro'!$K548&lt;&gt;""),'Atividades Micro'!$K548,"")</f>
        <v/>
      </c>
      <c r="BG496" s="21" t="str">
        <f>IF(AND('Atividades Micro'!$B548=BG$2,'Atividades Micro'!$G548="Macro",'Atividades Micro'!$K548&lt;&gt;""),'Atividades Micro'!$K548,"")</f>
        <v/>
      </c>
      <c r="BH496" s="21" t="str">
        <f>IF(AND('Atividades Micro'!$B548=BH$2,'Atividades Micro'!$G548="Macro",'Atividades Micro'!$K548&lt;&gt;""),'Atividades Micro'!$K548,"")</f>
        <v/>
      </c>
      <c r="BI496" s="21" t="str">
        <f>IF(AND('Atividades Micro'!$B548=BI$2,'Atividades Micro'!$G548="Macro",'Atividades Micro'!$K548&lt;&gt;""),'Atividades Micro'!$K548,"")</f>
        <v/>
      </c>
      <c r="BJ496" s="21" t="str">
        <f>IF(AND('Atividades Micro'!$B548=BJ$2,'Atividades Micro'!$G548="Macro",'Atividades Micro'!$K548&lt;&gt;""),'Atividades Micro'!$K548,"")</f>
        <v/>
      </c>
      <c r="BK496" s="21" t="str">
        <f>IF(AND('Atividades Micro'!$B548=BK$2,'Atividades Micro'!$G548="Macro",'Atividades Micro'!$K548&lt;&gt;""),'Atividades Micro'!$K548,"")</f>
        <v/>
      </c>
      <c r="BL496" s="21" t="str">
        <f>IF(AND('Atividades Micro'!$B548=BL$2,'Atividades Micro'!$G548="Macro",'Atividades Micro'!$K548&lt;&gt;""),'Atividades Micro'!$K548,"")</f>
        <v/>
      </c>
      <c r="BM496" s="21" t="str">
        <f>IF(AND('Atividades Micro'!$B548=BM$2,'Atividades Micro'!$G548="Macro",'Atividades Micro'!$K548&lt;&gt;""),'Atividades Micro'!$K548,"")</f>
        <v/>
      </c>
      <c r="BN496" s="21" t="str">
        <f>IF(AND('Atividades Micro'!$B548=BN$2,'Atividades Micro'!$G548="Macro",'Atividades Micro'!$K548&lt;&gt;""),'Atividades Micro'!$K548,"")</f>
        <v/>
      </c>
      <c r="BO496" s="21" t="str">
        <f>IF(AND('Atividades Micro'!$B548=BO$2,'Atividades Micro'!$G548="Macro",'Atividades Micro'!$K548&lt;&gt;""),'Atividades Micro'!$K548,"")</f>
        <v/>
      </c>
      <c r="BP496" s="21" t="str">
        <f>IF(AND('Atividades Micro'!$B548=BP$2,'Atividades Micro'!$G548="Macro",'Atividades Micro'!$K548&lt;&gt;""),'Atividades Micro'!$K548,"")</f>
        <v/>
      </c>
      <c r="BQ496" s="21" t="str">
        <f>IF(AND('Atividades Micro'!$B548=BQ$2,'Atividades Micro'!$G548="Macro",'Atividades Micro'!$K548&lt;&gt;""),'Atividades Micro'!$K548,"")</f>
        <v/>
      </c>
      <c r="BR496" s="21" t="str">
        <f>IF(AND('Atividades Micro'!$B548=BR$2,'Atividades Micro'!$G548="Macro",'Atividades Micro'!$K548&lt;&gt;""),'Atividades Micro'!$K548,"")</f>
        <v/>
      </c>
      <c r="BS496" s="21" t="str">
        <f>IF(AND('Atividades Micro'!$B548=BS$2,'Atividades Micro'!$G548="Macro",'Atividades Micro'!$K548&lt;&gt;""),'Atividades Micro'!$K548,"")</f>
        <v/>
      </c>
      <c r="BT496" s="21" t="str">
        <f>IF(AND('Atividades Micro'!$B548=BT$2,'Atividades Micro'!$G548="Macro",'Atividades Micro'!$K548&lt;&gt;""),'Atividades Micro'!$K548,"")</f>
        <v/>
      </c>
      <c r="BU496" s="21" t="str">
        <f>IF(AND('Atividades Micro'!$B548=BU$2,'Atividades Micro'!$G548="Macro",'Atividades Micro'!$K548&lt;&gt;""),'Atividades Micro'!$K548,"")</f>
        <v/>
      </c>
      <c r="BV496" s="21" t="str">
        <f>IF(AND('Atividades Micro'!$B548=BV$2,'Atividades Micro'!$G548="Macro",'Atividades Micro'!$K548&lt;&gt;""),'Atividades Micro'!$K548,"")</f>
        <v/>
      </c>
      <c r="BW496" s="21" t="str">
        <f>IF(AND('Atividades Micro'!$B548=BW$2,'Atividades Micro'!$G548="Macro",'Atividades Micro'!$K548&lt;&gt;""),'Atividades Micro'!$K548,"")</f>
        <v/>
      </c>
      <c r="BX496" s="21" t="str">
        <f>IF(AND('Atividades Micro'!$B548=BX$2,'Atividades Micro'!$G548="Macro",'Atividades Micro'!$K548&lt;&gt;""),'Atividades Micro'!$K548,"")</f>
        <v/>
      </c>
      <c r="BY496" s="21" t="str">
        <f>IF(AND('Atividades Micro'!$B548=BY$2,'Atividades Micro'!$G548="Macro",'Atividades Micro'!$K548&lt;&gt;""),'Atividades Micro'!$K548,"")</f>
        <v/>
      </c>
      <c r="BZ496" s="21" t="str">
        <f>IF(AND('Atividades Micro'!$B548=BZ$2,'Atividades Micro'!$G548="Macro",'Atividades Micro'!$K548&lt;&gt;""),'Atividades Micro'!$K548,"")</f>
        <v/>
      </c>
      <c r="CA496" s="21" t="str">
        <f>IF(AND('Atividades Micro'!$B548=CA$2,'Atividades Micro'!$G548="Macro",'Atividades Micro'!$K548&lt;&gt;""),'Atividades Micro'!$K548,"")</f>
        <v/>
      </c>
      <c r="CB496" s="21" t="str">
        <f>IF(AND('Atividades Micro'!$B548=CB$2,'Atividades Micro'!$G548="Macro",'Atividades Micro'!$K548&lt;&gt;""),'Atividades Micro'!$K548,"")</f>
        <v/>
      </c>
      <c r="CC496" s="21" t="str">
        <f>IF(AND('Atividades Micro'!$B548=CC$2,'Atividades Micro'!$G548="Macro",'Atividades Micro'!$K548&lt;&gt;""),'Atividades Micro'!$K548,"")</f>
        <v/>
      </c>
      <c r="CD496" s="21" t="str">
        <f>IF(AND('Atividades Micro'!$B548=CD$2,'Atividades Micro'!$G548="Micro",'Atividades Micro'!$K548&lt;&gt;""),'Atividades Micro'!$K548,"")</f>
        <v/>
      </c>
      <c r="CE496" s="21" t="str">
        <f>IF(AND('Atividades Micro'!$B548=CE$2,'Atividades Micro'!$G548="Micro",'Atividades Micro'!$K548&lt;&gt;""),'Atividades Micro'!$K548,"")</f>
        <v/>
      </c>
      <c r="CF496" s="21" t="str">
        <f>IF(AND('Atividades Micro'!$B548=CF$2,'Atividades Micro'!$G548="Micro",'Atividades Micro'!$K548&lt;&gt;""),'Atividades Micro'!$K548,"")</f>
        <v/>
      </c>
      <c r="CG496" s="21" t="str">
        <f>IF(AND('Atividades Micro'!$B548=CG$2,'Atividades Micro'!$G548="Micro",'Atividades Micro'!$K548&lt;&gt;""),'Atividades Micro'!$K548,"")</f>
        <v/>
      </c>
      <c r="CH496" s="21" t="str">
        <f>IF(AND('Atividades Micro'!$B548=CH$2,'Atividades Micro'!$G548="Micro",'Atividades Micro'!$K548&lt;&gt;""),'Atividades Micro'!$K548,"")</f>
        <v/>
      </c>
      <c r="CI496" s="21" t="str">
        <f>IF(AND('Atividades Micro'!$B548=CI$2,'Atividades Micro'!$G548="Micro",'Atividades Micro'!$K548&lt;&gt;""),'Atividades Micro'!$K548,"")</f>
        <v/>
      </c>
      <c r="CJ496" s="21" t="str">
        <f>IF(AND('Atividades Micro'!$B548=CJ$2,'Atividades Micro'!$G548="Micro",'Atividades Micro'!$K548&lt;&gt;""),'Atividades Micro'!$K548,"")</f>
        <v/>
      </c>
      <c r="CK496" s="21" t="str">
        <f>IF(AND('Atividades Micro'!$B548=CK$2,'Atividades Micro'!$G548="Micro",'Atividades Micro'!$K548&lt;&gt;""),'Atividades Micro'!$K548,"")</f>
        <v/>
      </c>
      <c r="CL496" s="21" t="str">
        <f>IF(AND('Atividades Micro'!$B548=CL$2,'Atividades Micro'!$G548="Micro",'Atividades Micro'!$K548&lt;&gt;""),'Atividades Micro'!$K548,"")</f>
        <v/>
      </c>
      <c r="CM496" s="21" t="str">
        <f>IF(AND('Atividades Micro'!$B548=CM$2,'Atividades Micro'!$G548="Micro",'Atividades Micro'!$K548&lt;&gt;""),'Atividades Micro'!$K548,"")</f>
        <v/>
      </c>
      <c r="CN496" s="21" t="str">
        <f>IF(AND('Atividades Micro'!$B548=CN$2,'Atividades Micro'!$G548="Micro",'Atividades Micro'!$K548&lt;&gt;""),'Atividades Micro'!$K548,"")</f>
        <v/>
      </c>
      <c r="CO496" s="21" t="str">
        <f>IF(AND('Atividades Micro'!$B548=CO$2,'Atividades Micro'!$G548="Micro",'Atividades Micro'!$K548&lt;&gt;""),'Atividades Micro'!$K548,"")</f>
        <v/>
      </c>
    </row>
    <row r="497" spans="1:93">
      <c r="A497" s="21" t="str">
        <f>IF(AND('Atividades Micro'!$A549=A$2,'Atividades Micro'!$K549&lt;&gt;""),'Atividades Micro'!$K549,"")</f>
        <v/>
      </c>
      <c r="B497" s="21" t="str">
        <f>IF(AND('Atividades Micro'!$A549=B$2,'Atividades Micro'!$L549&lt;&gt;""),'Atividades Micro'!$L549,"")</f>
        <v/>
      </c>
      <c r="C497" s="21" t="str">
        <f>IF(AND('Atividades Micro'!$A549=C$2,'Atividades Micro'!$K549&lt;&gt;""),'Atividades Micro'!$K549,"")</f>
        <v/>
      </c>
      <c r="D497" s="21" t="str">
        <f>IF(AND('Atividades Micro'!$A549=D$2,'Atividades Micro'!$L549&lt;&gt;""),'Atividades Micro'!$L549,"")</f>
        <v/>
      </c>
      <c r="E497" s="21" t="str">
        <f>IF(AND('Atividades Micro'!$A549=E$2,'Atividades Micro'!$K549&lt;&gt;""),'Atividades Micro'!$K549,"")</f>
        <v/>
      </c>
      <c r="F497" s="21" t="str">
        <f>IF(AND('Atividades Micro'!$A549=F$2,'Atividades Micro'!$L549&lt;&gt;""),'Atividades Micro'!$L549,"")</f>
        <v/>
      </c>
      <c r="G497" s="21" t="str">
        <f>IF(AND('Atividades Micro'!$A549=G$2,'Atividades Micro'!$K549&lt;&gt;""),'Atividades Micro'!$K549,"")</f>
        <v/>
      </c>
      <c r="H497" s="21" t="str">
        <f>IF(AND('Atividades Micro'!$A549=H$2,'Atividades Micro'!$L549&lt;&gt;""),'Atividades Micro'!$L549,"")</f>
        <v/>
      </c>
      <c r="I497" s="21" t="str">
        <f>IF(AND('Atividades Micro'!$A549=I$2,'Atividades Micro'!$K549&lt;&gt;""),'Atividades Micro'!$K549,"")</f>
        <v/>
      </c>
      <c r="J497" s="21" t="str">
        <f>IF(AND('Atividades Micro'!$A549=J$2,'Atividades Micro'!$L549&lt;&gt;""),'Atividades Micro'!$L549,"")</f>
        <v/>
      </c>
      <c r="K497" s="21" t="str">
        <f>IF(AND('Atividades Micro'!$B549=K$2,'Atividades Micro'!$K549&lt;&gt;""),'Atividades Micro'!$K549,"")</f>
        <v/>
      </c>
      <c r="L497" s="21" t="str">
        <f>IF(AND('Atividades Micro'!$B549=L$2,'Atividades Micro'!$L549&lt;&gt;""),'Atividades Micro'!$L549,"")</f>
        <v/>
      </c>
      <c r="M497" s="21" t="str">
        <f>IF(AND('Atividades Micro'!$B549=M$2,'Atividades Micro'!$K549&lt;&gt;""),'Atividades Micro'!$K549,"")</f>
        <v/>
      </c>
      <c r="N497" s="21" t="str">
        <f>IF(AND('Atividades Micro'!$B549=N$2,'Atividades Micro'!$L549&lt;&gt;""),'Atividades Micro'!$L549,"")</f>
        <v/>
      </c>
      <c r="O497" s="21" t="str">
        <f>IF(AND('Atividades Micro'!$A549=O$2,'Atividades Micro'!$K549&lt;&gt;""),'Atividades Micro'!$K549,"")</f>
        <v/>
      </c>
      <c r="P497" s="21" t="str">
        <f>IF(AND('Atividades Micro'!$A549=P$2,'Atividades Micro'!$L549&lt;&gt;""),'Atividades Micro'!$L549,"")</f>
        <v/>
      </c>
      <c r="Q497" s="21" t="str">
        <f>IF(AND('Atividades Micro'!$B549=Q$2,'Atividades Micro'!$K549&lt;&gt;""),'Atividades Micro'!$K549,"")</f>
        <v/>
      </c>
      <c r="R497" s="21" t="str">
        <f>IF(AND('Atividades Micro'!$B549=R$2,'Atividades Micro'!$L549&lt;&gt;""),'Atividades Micro'!$L549,"")</f>
        <v/>
      </c>
      <c r="S497" s="21" t="str">
        <f>IF(AND('Atividades Micro'!$A549=S$2,'Atividades Micro'!$K549&lt;&gt;""),'Atividades Micro'!$K549,"")</f>
        <v/>
      </c>
      <c r="T497" s="21" t="str">
        <f>IF(AND('Atividades Micro'!$A549=T$2,'Atividades Micro'!$L549&lt;&gt;""),'Atividades Micro'!$L549,"")</f>
        <v/>
      </c>
      <c r="U497" s="21" t="str">
        <f>IF(AND('Atividades Micro'!$B549=U$2,'Atividades Micro'!$K549&lt;&gt;""),'Atividades Micro'!$K549,"")</f>
        <v/>
      </c>
      <c r="V497" s="21" t="str">
        <f>IF(AND('Atividades Micro'!$B549=V$2,'Atividades Micro'!$L549&lt;&gt;""),'Atividades Micro'!$L549,"")</f>
        <v/>
      </c>
      <c r="W497" s="21" t="str">
        <f>IF(AND('Atividades Micro'!$B549=W$2,'Atividades Micro'!$K549&lt;&gt;""),'Atividades Micro'!$K549,"")</f>
        <v/>
      </c>
      <c r="X497" s="21" t="str">
        <f>IF(AND('Atividades Micro'!$B549=X$2,'Atividades Micro'!$L549&lt;&gt;""),'Atividades Micro'!$L549,"")</f>
        <v/>
      </c>
      <c r="Y497" s="21" t="str">
        <f>IF(AND('Atividades Micro'!$A549=Y$2,'Atividades Micro'!$K549&lt;&gt;""),'Atividades Micro'!$K549,"")</f>
        <v/>
      </c>
      <c r="Z497" s="21" t="str">
        <f>IF(AND('Atividades Micro'!$A549=Z$2,'Atividades Micro'!$L549&lt;&gt;""),'Atividades Micro'!$L549,"")</f>
        <v/>
      </c>
      <c r="AA497" s="21" t="str">
        <f>IF(AND('Atividades Micro'!$B549=AA$2,'Atividades Micro'!$K549&lt;&gt;""),'Atividades Micro'!$K549,"")</f>
        <v/>
      </c>
      <c r="AB497" s="21" t="str">
        <f>IF(AND('Atividades Micro'!$B549=AB$2,'Atividades Micro'!$L549&lt;&gt;""),'Atividades Micro'!$L549,"")</f>
        <v/>
      </c>
      <c r="AC497" s="21" t="str">
        <f>IF(AND('Atividades Micro'!$B549=AC$2,'Atividades Micro'!$K549&lt;&gt;""),'Atividades Micro'!$K549,"")</f>
        <v/>
      </c>
      <c r="AD497" s="21" t="str">
        <f>IF(AND('Atividades Micro'!$B549=AD$2,'Atividades Micro'!$L549&lt;&gt;""),'Atividades Micro'!$L549,"")</f>
        <v/>
      </c>
      <c r="AE497" s="21" t="str">
        <f>IF(AND('Atividades Micro'!$A549=AE$2,'Atividades Micro'!$K549&lt;&gt;""),'Atividades Micro'!$K549,"")</f>
        <v/>
      </c>
      <c r="AF497" s="21" t="str">
        <f>IF(AND('Atividades Micro'!$A549=AF$2,'Atividades Micro'!$L549&lt;&gt;""),'Atividades Micro'!$L549,"")</f>
        <v/>
      </c>
      <c r="AG497" s="21" t="str">
        <f>IF(AND('Atividades Micro'!$B549=AG$2,'Atividades Micro'!$K549&lt;&gt;""),'Atividades Micro'!$K549,"")</f>
        <v/>
      </c>
      <c r="AH497" s="21" t="str">
        <f>IF(AND('Atividades Micro'!$B549=AH$2,'Atividades Micro'!$L549&lt;&gt;""),'Atividades Micro'!$L549,"")</f>
        <v/>
      </c>
      <c r="AI497" s="21" t="str">
        <f>IF(AND('Atividades Micro'!$B549=AI$2,'Atividades Micro'!$K549&lt;&gt;""),'Atividades Micro'!$K549,"")</f>
        <v/>
      </c>
      <c r="AJ497" s="21" t="str">
        <f>IF(AND('Atividades Micro'!$B549=AJ$2,'Atividades Micro'!$L549&lt;&gt;""),'Atividades Micro'!$L549,"")</f>
        <v/>
      </c>
      <c r="AK497" s="21" t="str">
        <f>IF(AND('Atividades Micro'!$A549=AK$2,'Atividades Micro'!$K549&lt;&gt;""),'Atividades Micro'!$K549,"")</f>
        <v/>
      </c>
      <c r="AL497" s="21" t="str">
        <f>IF(AND('Atividades Micro'!$A549=AL$2,'Atividades Micro'!$L549&lt;&gt;""),'Atividades Micro'!$L549,"")</f>
        <v/>
      </c>
      <c r="AM497" s="21" t="str">
        <f>IF(AND('Atividades Micro'!$B549=AM$2,'Atividades Micro'!$K549&lt;&gt;""),'Atividades Micro'!$K549,"")</f>
        <v/>
      </c>
      <c r="AN497" s="21" t="str">
        <f>IF(AND('Atividades Micro'!$B549=AN$2,'Atividades Micro'!$L549&lt;&gt;""),'Atividades Micro'!$L549,"")</f>
        <v/>
      </c>
      <c r="AO497" s="21" t="str">
        <f>IF(AND('Atividades Micro'!$B549=AO$2,'Atividades Micro'!$K549&lt;&gt;""),'Atividades Micro'!$K549,"")</f>
        <v/>
      </c>
      <c r="AP497" s="21" t="str">
        <f>IF(AND('Atividades Micro'!$B549=AP$2,'Atividades Micro'!$L549&lt;&gt;""),'Atividades Micro'!$L549,"")</f>
        <v/>
      </c>
      <c r="AQ497" s="21" t="str">
        <f>IF(AND('Atividades Micro'!$A549=AQ$2,'Atividades Micro'!$K549&lt;&gt;""),'Atividades Micro'!$K549,"")</f>
        <v/>
      </c>
      <c r="AR497" s="21" t="str">
        <f>IF(AND('Atividades Micro'!$A549=AR$2,'Atividades Micro'!$L549&lt;&gt;""),'Atividades Micro'!$L549,"")</f>
        <v/>
      </c>
      <c r="AS497" s="21" t="str">
        <f>IF(AND('Atividades Micro'!$B549=AS$2,'Atividades Micro'!$K549&lt;&gt;""),'Atividades Micro'!$K549,"")</f>
        <v/>
      </c>
      <c r="AT497" s="21" t="str">
        <f>IF(AND('Atividades Micro'!$B549=AT$2,'Atividades Micro'!$L549&lt;&gt;""),'Atividades Micro'!$L549,"")</f>
        <v/>
      </c>
      <c r="AU497" s="21" t="str">
        <f>IF(AND('Atividades Micro'!$A549=AU$2,'Atividades Micro'!$K549&lt;&gt;""),'Atividades Micro'!$K549,"")</f>
        <v/>
      </c>
      <c r="AV497" s="21" t="str">
        <f>IF(AND('Atividades Micro'!$A549=AV$2,'Atividades Micro'!$L549&lt;&gt;""),'Atividades Micro'!$L549,"")</f>
        <v/>
      </c>
      <c r="AW497" s="21" t="str">
        <f>IF(AND('Atividades Micro'!$B549=AW$2,'Atividades Micro'!$K549&lt;&gt;""),'Atividades Micro'!$K549,"")</f>
        <v/>
      </c>
      <c r="AX497" s="21" t="str">
        <f>IF(AND('Atividades Micro'!$B549=AX$2,'Atividades Micro'!$L549&lt;&gt;""),'Atividades Micro'!$L549,"")</f>
        <v/>
      </c>
      <c r="AY497" s="21" t="str">
        <f>IF(AND('Atividades Micro'!$A549=AY$2,'Atividades Micro'!$K549&lt;&gt;""),'Atividades Micro'!$K549,"")</f>
        <v/>
      </c>
      <c r="AZ497" s="21" t="str">
        <f>IF(AND('Atividades Micro'!$A549=AZ$2,'Atividades Micro'!$L549&lt;&gt;""),'Atividades Micro'!$L549,"")</f>
        <v/>
      </c>
      <c r="BA497" s="21" t="str">
        <f>IF(AND('Atividades Micro'!$B549=BA$2,'Atividades Micro'!$K549&lt;&gt;""),'Atividades Micro'!$K549,"")</f>
        <v/>
      </c>
      <c r="BB497" s="21" t="str">
        <f>IF(AND('Atividades Micro'!$B549=BB$2,'Atividades Micro'!$L549&lt;&gt;""),'Atividades Micro'!$L549,"")</f>
        <v/>
      </c>
      <c r="BC497" s="21" t="str">
        <f>IF(AND('Atividades Micro'!$B549=BC$2,'Atividades Micro'!$G549="Macro",'Atividades Micro'!$K549&lt;&gt;""),'Atividades Micro'!$K549,"")</f>
        <v/>
      </c>
      <c r="BD497" s="21" t="str">
        <f>IF(AND('Atividades Micro'!$B549=BD$2,'Atividades Micro'!$G549="Macro",'Atividades Micro'!$K549&lt;&gt;""),'Atividades Micro'!$K549,"")</f>
        <v/>
      </c>
      <c r="BE497" s="21" t="str">
        <f>IF(AND('Atividades Micro'!$B549=BE$2,'Atividades Micro'!$G549="Macro",'Atividades Micro'!$K549&lt;&gt;""),'Atividades Micro'!$K549,"")</f>
        <v/>
      </c>
      <c r="BF497" s="21" t="str">
        <f>IF(AND('Atividades Micro'!$B549=BF$2,'Atividades Micro'!$G549="Macro",'Atividades Micro'!$K549&lt;&gt;""),'Atividades Micro'!$K549,"")</f>
        <v/>
      </c>
      <c r="BG497" s="21" t="str">
        <f>IF(AND('Atividades Micro'!$B549=BG$2,'Atividades Micro'!$G549="Macro",'Atividades Micro'!$K549&lt;&gt;""),'Atividades Micro'!$K549,"")</f>
        <v/>
      </c>
      <c r="BH497" s="21" t="str">
        <f>IF(AND('Atividades Micro'!$B549=BH$2,'Atividades Micro'!$G549="Macro",'Atividades Micro'!$K549&lt;&gt;""),'Atividades Micro'!$K549,"")</f>
        <v/>
      </c>
      <c r="BI497" s="21" t="str">
        <f>IF(AND('Atividades Micro'!$B549=BI$2,'Atividades Micro'!$G549="Macro",'Atividades Micro'!$K549&lt;&gt;""),'Atividades Micro'!$K549,"")</f>
        <v/>
      </c>
      <c r="BJ497" s="21" t="str">
        <f>IF(AND('Atividades Micro'!$B549=BJ$2,'Atividades Micro'!$G549="Macro",'Atividades Micro'!$K549&lt;&gt;""),'Atividades Micro'!$K549,"")</f>
        <v/>
      </c>
      <c r="BK497" s="21" t="str">
        <f>IF(AND('Atividades Micro'!$B549=BK$2,'Atividades Micro'!$G549="Macro",'Atividades Micro'!$K549&lt;&gt;""),'Atividades Micro'!$K549,"")</f>
        <v/>
      </c>
      <c r="BL497" s="21" t="str">
        <f>IF(AND('Atividades Micro'!$B549=BL$2,'Atividades Micro'!$G549="Macro",'Atividades Micro'!$K549&lt;&gt;""),'Atividades Micro'!$K549,"")</f>
        <v/>
      </c>
      <c r="BM497" s="21" t="str">
        <f>IF(AND('Atividades Micro'!$B549=BM$2,'Atividades Micro'!$G549="Macro",'Atividades Micro'!$K549&lt;&gt;""),'Atividades Micro'!$K549,"")</f>
        <v/>
      </c>
      <c r="BN497" s="21" t="str">
        <f>IF(AND('Atividades Micro'!$B549=BN$2,'Atividades Micro'!$G549="Macro",'Atividades Micro'!$K549&lt;&gt;""),'Atividades Micro'!$K549,"")</f>
        <v/>
      </c>
      <c r="BO497" s="21" t="str">
        <f>IF(AND('Atividades Micro'!$B549=BO$2,'Atividades Micro'!$G549="Macro",'Atividades Micro'!$K549&lt;&gt;""),'Atividades Micro'!$K549,"")</f>
        <v/>
      </c>
      <c r="BP497" s="21" t="str">
        <f>IF(AND('Atividades Micro'!$B549=BP$2,'Atividades Micro'!$G549="Macro",'Atividades Micro'!$K549&lt;&gt;""),'Atividades Micro'!$K549,"")</f>
        <v/>
      </c>
      <c r="BQ497" s="21" t="str">
        <f>IF(AND('Atividades Micro'!$B549=BQ$2,'Atividades Micro'!$G549="Macro",'Atividades Micro'!$K549&lt;&gt;""),'Atividades Micro'!$K549,"")</f>
        <v/>
      </c>
      <c r="BR497" s="21" t="str">
        <f>IF(AND('Atividades Micro'!$B549=BR$2,'Atividades Micro'!$G549="Macro",'Atividades Micro'!$K549&lt;&gt;""),'Atividades Micro'!$K549,"")</f>
        <v/>
      </c>
      <c r="BS497" s="21" t="str">
        <f>IF(AND('Atividades Micro'!$B549=BS$2,'Atividades Micro'!$G549="Macro",'Atividades Micro'!$K549&lt;&gt;""),'Atividades Micro'!$K549,"")</f>
        <v/>
      </c>
      <c r="BT497" s="21" t="str">
        <f>IF(AND('Atividades Micro'!$B549=BT$2,'Atividades Micro'!$G549="Macro",'Atividades Micro'!$K549&lt;&gt;""),'Atividades Micro'!$K549,"")</f>
        <v/>
      </c>
      <c r="BU497" s="21" t="str">
        <f>IF(AND('Atividades Micro'!$B549=BU$2,'Atividades Micro'!$G549="Macro",'Atividades Micro'!$K549&lt;&gt;""),'Atividades Micro'!$K549,"")</f>
        <v/>
      </c>
      <c r="BV497" s="21" t="str">
        <f>IF(AND('Atividades Micro'!$B549=BV$2,'Atividades Micro'!$G549="Macro",'Atividades Micro'!$K549&lt;&gt;""),'Atividades Micro'!$K549,"")</f>
        <v/>
      </c>
      <c r="BW497" s="21" t="str">
        <f>IF(AND('Atividades Micro'!$B549=BW$2,'Atividades Micro'!$G549="Macro",'Atividades Micro'!$K549&lt;&gt;""),'Atividades Micro'!$K549,"")</f>
        <v/>
      </c>
      <c r="BX497" s="21" t="str">
        <f>IF(AND('Atividades Micro'!$B549=BX$2,'Atividades Micro'!$G549="Macro",'Atividades Micro'!$K549&lt;&gt;""),'Atividades Micro'!$K549,"")</f>
        <v/>
      </c>
      <c r="BY497" s="21" t="str">
        <f>IF(AND('Atividades Micro'!$B549=BY$2,'Atividades Micro'!$G549="Macro",'Atividades Micro'!$K549&lt;&gt;""),'Atividades Micro'!$K549,"")</f>
        <v/>
      </c>
      <c r="BZ497" s="21" t="str">
        <f>IF(AND('Atividades Micro'!$B549=BZ$2,'Atividades Micro'!$G549="Macro",'Atividades Micro'!$K549&lt;&gt;""),'Atividades Micro'!$K549,"")</f>
        <v/>
      </c>
      <c r="CA497" s="21" t="str">
        <f>IF(AND('Atividades Micro'!$B549=CA$2,'Atividades Micro'!$G549="Macro",'Atividades Micro'!$K549&lt;&gt;""),'Atividades Micro'!$K549,"")</f>
        <v/>
      </c>
      <c r="CB497" s="21" t="str">
        <f>IF(AND('Atividades Micro'!$B549=CB$2,'Atividades Micro'!$G549="Macro",'Atividades Micro'!$K549&lt;&gt;""),'Atividades Micro'!$K549,"")</f>
        <v/>
      </c>
      <c r="CC497" s="21" t="str">
        <f>IF(AND('Atividades Micro'!$B549=CC$2,'Atividades Micro'!$G549="Macro",'Atividades Micro'!$K549&lt;&gt;""),'Atividades Micro'!$K549,"")</f>
        <v/>
      </c>
      <c r="CD497" s="21" t="str">
        <f>IF(AND('Atividades Micro'!$B549=CD$2,'Atividades Micro'!$G549="Micro",'Atividades Micro'!$K549&lt;&gt;""),'Atividades Micro'!$K549,"")</f>
        <v/>
      </c>
      <c r="CE497" s="21" t="str">
        <f>IF(AND('Atividades Micro'!$B549=CE$2,'Atividades Micro'!$G549="Micro",'Atividades Micro'!$K549&lt;&gt;""),'Atividades Micro'!$K549,"")</f>
        <v/>
      </c>
      <c r="CF497" s="21" t="str">
        <f>IF(AND('Atividades Micro'!$B549=CF$2,'Atividades Micro'!$G549="Micro",'Atividades Micro'!$K549&lt;&gt;""),'Atividades Micro'!$K549,"")</f>
        <v/>
      </c>
      <c r="CG497" s="21" t="str">
        <f>IF(AND('Atividades Micro'!$B549=CG$2,'Atividades Micro'!$G549="Micro",'Atividades Micro'!$K549&lt;&gt;""),'Atividades Micro'!$K549,"")</f>
        <v/>
      </c>
      <c r="CH497" s="21" t="str">
        <f>IF(AND('Atividades Micro'!$B549=CH$2,'Atividades Micro'!$G549="Micro",'Atividades Micro'!$K549&lt;&gt;""),'Atividades Micro'!$K549,"")</f>
        <v/>
      </c>
      <c r="CI497" s="21" t="str">
        <f>IF(AND('Atividades Micro'!$B549=CI$2,'Atividades Micro'!$G549="Micro",'Atividades Micro'!$K549&lt;&gt;""),'Atividades Micro'!$K549,"")</f>
        <v/>
      </c>
      <c r="CJ497" s="21" t="str">
        <f>IF(AND('Atividades Micro'!$B549=CJ$2,'Atividades Micro'!$G549="Micro",'Atividades Micro'!$K549&lt;&gt;""),'Atividades Micro'!$K549,"")</f>
        <v/>
      </c>
      <c r="CK497" s="21" t="str">
        <f>IF(AND('Atividades Micro'!$B549=CK$2,'Atividades Micro'!$G549="Micro",'Atividades Micro'!$K549&lt;&gt;""),'Atividades Micro'!$K549,"")</f>
        <v/>
      </c>
      <c r="CL497" s="21" t="str">
        <f>IF(AND('Atividades Micro'!$B549=CL$2,'Atividades Micro'!$G549="Micro",'Atividades Micro'!$K549&lt;&gt;""),'Atividades Micro'!$K549,"")</f>
        <v/>
      </c>
      <c r="CM497" s="21" t="str">
        <f>IF(AND('Atividades Micro'!$B549=CM$2,'Atividades Micro'!$G549="Micro",'Atividades Micro'!$K549&lt;&gt;""),'Atividades Micro'!$K549,"")</f>
        <v/>
      </c>
      <c r="CN497" s="21" t="str">
        <f>IF(AND('Atividades Micro'!$B549=CN$2,'Atividades Micro'!$G549="Micro",'Atividades Micro'!$K549&lt;&gt;""),'Atividades Micro'!$K549,"")</f>
        <v/>
      </c>
      <c r="CO497" s="21" t="str">
        <f>IF(AND('Atividades Micro'!$B549=CO$2,'Atividades Micro'!$G549="Micro",'Atividades Micro'!$K549&lt;&gt;""),'Atividades Micro'!$K549,"")</f>
        <v/>
      </c>
    </row>
    <row r="498" spans="1:93">
      <c r="A498" s="21" t="str">
        <f>IF(AND('Atividades Micro'!$A550=A$2,'Atividades Micro'!$K550&lt;&gt;""),'Atividades Micro'!$K550,"")</f>
        <v/>
      </c>
      <c r="B498" s="21" t="str">
        <f>IF(AND('Atividades Micro'!$A550=B$2,'Atividades Micro'!$L550&lt;&gt;""),'Atividades Micro'!$L550,"")</f>
        <v/>
      </c>
      <c r="C498" s="21" t="str">
        <f>IF(AND('Atividades Micro'!$A550=C$2,'Atividades Micro'!$K550&lt;&gt;""),'Atividades Micro'!$K550,"")</f>
        <v/>
      </c>
      <c r="D498" s="21" t="str">
        <f>IF(AND('Atividades Micro'!$A550=D$2,'Atividades Micro'!$L550&lt;&gt;""),'Atividades Micro'!$L550,"")</f>
        <v/>
      </c>
      <c r="E498" s="21" t="str">
        <f>IF(AND('Atividades Micro'!$A550=E$2,'Atividades Micro'!$K550&lt;&gt;""),'Atividades Micro'!$K550,"")</f>
        <v/>
      </c>
      <c r="F498" s="21" t="str">
        <f>IF(AND('Atividades Micro'!$A550=F$2,'Atividades Micro'!$L550&lt;&gt;""),'Atividades Micro'!$L550,"")</f>
        <v/>
      </c>
      <c r="G498" s="21" t="str">
        <f>IF(AND('Atividades Micro'!$A550=G$2,'Atividades Micro'!$K550&lt;&gt;""),'Atividades Micro'!$K550,"")</f>
        <v/>
      </c>
      <c r="H498" s="21" t="str">
        <f>IF(AND('Atividades Micro'!$A550=H$2,'Atividades Micro'!$L550&lt;&gt;""),'Atividades Micro'!$L550,"")</f>
        <v/>
      </c>
      <c r="I498" s="21" t="str">
        <f>IF(AND('Atividades Micro'!$A550=I$2,'Atividades Micro'!$K550&lt;&gt;""),'Atividades Micro'!$K550,"")</f>
        <v/>
      </c>
      <c r="J498" s="21" t="str">
        <f>IF(AND('Atividades Micro'!$A550=J$2,'Atividades Micro'!$L550&lt;&gt;""),'Atividades Micro'!$L550,"")</f>
        <v/>
      </c>
      <c r="K498" s="21" t="str">
        <f>IF(AND('Atividades Micro'!$B550=K$2,'Atividades Micro'!$K550&lt;&gt;""),'Atividades Micro'!$K550,"")</f>
        <v/>
      </c>
      <c r="L498" s="21" t="str">
        <f>IF(AND('Atividades Micro'!$B550=L$2,'Atividades Micro'!$L550&lt;&gt;""),'Atividades Micro'!$L550,"")</f>
        <v/>
      </c>
      <c r="M498" s="21" t="str">
        <f>IF(AND('Atividades Micro'!$B550=M$2,'Atividades Micro'!$K550&lt;&gt;""),'Atividades Micro'!$K550,"")</f>
        <v/>
      </c>
      <c r="N498" s="21" t="str">
        <f>IF(AND('Atividades Micro'!$B550=N$2,'Atividades Micro'!$L550&lt;&gt;""),'Atividades Micro'!$L550,"")</f>
        <v/>
      </c>
      <c r="O498" s="21" t="str">
        <f>IF(AND('Atividades Micro'!$A550=O$2,'Atividades Micro'!$K550&lt;&gt;""),'Atividades Micro'!$K550,"")</f>
        <v/>
      </c>
      <c r="P498" s="21" t="str">
        <f>IF(AND('Atividades Micro'!$A550=P$2,'Atividades Micro'!$L550&lt;&gt;""),'Atividades Micro'!$L550,"")</f>
        <v/>
      </c>
      <c r="Q498" s="21" t="str">
        <f>IF(AND('Atividades Micro'!$B550=Q$2,'Atividades Micro'!$K550&lt;&gt;""),'Atividades Micro'!$K550,"")</f>
        <v/>
      </c>
      <c r="R498" s="21" t="str">
        <f>IF(AND('Atividades Micro'!$B550=R$2,'Atividades Micro'!$L550&lt;&gt;""),'Atividades Micro'!$L550,"")</f>
        <v/>
      </c>
      <c r="S498" s="21" t="str">
        <f>IF(AND('Atividades Micro'!$A550=S$2,'Atividades Micro'!$K550&lt;&gt;""),'Atividades Micro'!$K550,"")</f>
        <v/>
      </c>
      <c r="T498" s="21" t="str">
        <f>IF(AND('Atividades Micro'!$A550=T$2,'Atividades Micro'!$L550&lt;&gt;""),'Atividades Micro'!$L550,"")</f>
        <v/>
      </c>
      <c r="U498" s="21" t="str">
        <f>IF(AND('Atividades Micro'!$B550=U$2,'Atividades Micro'!$K550&lt;&gt;""),'Atividades Micro'!$K550,"")</f>
        <v/>
      </c>
      <c r="V498" s="21" t="str">
        <f>IF(AND('Atividades Micro'!$B550=V$2,'Atividades Micro'!$L550&lt;&gt;""),'Atividades Micro'!$L550,"")</f>
        <v/>
      </c>
      <c r="W498" s="21" t="str">
        <f>IF(AND('Atividades Micro'!$B550=W$2,'Atividades Micro'!$K550&lt;&gt;""),'Atividades Micro'!$K550,"")</f>
        <v/>
      </c>
      <c r="X498" s="21" t="str">
        <f>IF(AND('Atividades Micro'!$B550=X$2,'Atividades Micro'!$L550&lt;&gt;""),'Atividades Micro'!$L550,"")</f>
        <v/>
      </c>
      <c r="Y498" s="21" t="str">
        <f>IF(AND('Atividades Micro'!$A550=Y$2,'Atividades Micro'!$K550&lt;&gt;""),'Atividades Micro'!$K550,"")</f>
        <v/>
      </c>
      <c r="Z498" s="21" t="str">
        <f>IF(AND('Atividades Micro'!$A550=Z$2,'Atividades Micro'!$L550&lt;&gt;""),'Atividades Micro'!$L550,"")</f>
        <v/>
      </c>
      <c r="AA498" s="21" t="str">
        <f>IF(AND('Atividades Micro'!$B550=AA$2,'Atividades Micro'!$K550&lt;&gt;""),'Atividades Micro'!$K550,"")</f>
        <v/>
      </c>
      <c r="AB498" s="21" t="str">
        <f>IF(AND('Atividades Micro'!$B550=AB$2,'Atividades Micro'!$L550&lt;&gt;""),'Atividades Micro'!$L550,"")</f>
        <v/>
      </c>
      <c r="AC498" s="21" t="str">
        <f>IF(AND('Atividades Micro'!$B550=AC$2,'Atividades Micro'!$K550&lt;&gt;""),'Atividades Micro'!$K550,"")</f>
        <v/>
      </c>
      <c r="AD498" s="21" t="str">
        <f>IF(AND('Atividades Micro'!$B550=AD$2,'Atividades Micro'!$L550&lt;&gt;""),'Atividades Micro'!$L550,"")</f>
        <v/>
      </c>
      <c r="AE498" s="21" t="str">
        <f>IF(AND('Atividades Micro'!$A550=AE$2,'Atividades Micro'!$K550&lt;&gt;""),'Atividades Micro'!$K550,"")</f>
        <v/>
      </c>
      <c r="AF498" s="21" t="str">
        <f>IF(AND('Atividades Micro'!$A550=AF$2,'Atividades Micro'!$L550&lt;&gt;""),'Atividades Micro'!$L550,"")</f>
        <v/>
      </c>
      <c r="AG498" s="21" t="str">
        <f>IF(AND('Atividades Micro'!$B550=AG$2,'Atividades Micro'!$K550&lt;&gt;""),'Atividades Micro'!$K550,"")</f>
        <v/>
      </c>
      <c r="AH498" s="21" t="str">
        <f>IF(AND('Atividades Micro'!$B550=AH$2,'Atividades Micro'!$L550&lt;&gt;""),'Atividades Micro'!$L550,"")</f>
        <v/>
      </c>
      <c r="AI498" s="21" t="str">
        <f>IF(AND('Atividades Micro'!$B550=AI$2,'Atividades Micro'!$K550&lt;&gt;""),'Atividades Micro'!$K550,"")</f>
        <v/>
      </c>
      <c r="AJ498" s="21" t="str">
        <f>IF(AND('Atividades Micro'!$B550=AJ$2,'Atividades Micro'!$L550&lt;&gt;""),'Atividades Micro'!$L550,"")</f>
        <v/>
      </c>
      <c r="AK498" s="21" t="str">
        <f>IF(AND('Atividades Micro'!$A550=AK$2,'Atividades Micro'!$K550&lt;&gt;""),'Atividades Micro'!$K550,"")</f>
        <v/>
      </c>
      <c r="AL498" s="21" t="str">
        <f>IF(AND('Atividades Micro'!$A550=AL$2,'Atividades Micro'!$L550&lt;&gt;""),'Atividades Micro'!$L550,"")</f>
        <v/>
      </c>
      <c r="AM498" s="21" t="str">
        <f>IF(AND('Atividades Micro'!$B550=AM$2,'Atividades Micro'!$K550&lt;&gt;""),'Atividades Micro'!$K550,"")</f>
        <v/>
      </c>
      <c r="AN498" s="21" t="str">
        <f>IF(AND('Atividades Micro'!$B550=AN$2,'Atividades Micro'!$L550&lt;&gt;""),'Atividades Micro'!$L550,"")</f>
        <v/>
      </c>
      <c r="AO498" s="21" t="str">
        <f>IF(AND('Atividades Micro'!$B550=AO$2,'Atividades Micro'!$K550&lt;&gt;""),'Atividades Micro'!$K550,"")</f>
        <v/>
      </c>
      <c r="AP498" s="21" t="str">
        <f>IF(AND('Atividades Micro'!$B550=AP$2,'Atividades Micro'!$L550&lt;&gt;""),'Atividades Micro'!$L550,"")</f>
        <v/>
      </c>
      <c r="AQ498" s="21" t="str">
        <f>IF(AND('Atividades Micro'!$A550=AQ$2,'Atividades Micro'!$K550&lt;&gt;""),'Atividades Micro'!$K550,"")</f>
        <v/>
      </c>
      <c r="AR498" s="21" t="str">
        <f>IF(AND('Atividades Micro'!$A550=AR$2,'Atividades Micro'!$L550&lt;&gt;""),'Atividades Micro'!$L550,"")</f>
        <v/>
      </c>
      <c r="AS498" s="21" t="str">
        <f>IF(AND('Atividades Micro'!$B550=AS$2,'Atividades Micro'!$K550&lt;&gt;""),'Atividades Micro'!$K550,"")</f>
        <v/>
      </c>
      <c r="AT498" s="21" t="str">
        <f>IF(AND('Atividades Micro'!$B550=AT$2,'Atividades Micro'!$L550&lt;&gt;""),'Atividades Micro'!$L550,"")</f>
        <v/>
      </c>
      <c r="AU498" s="21" t="str">
        <f>IF(AND('Atividades Micro'!$A550=AU$2,'Atividades Micro'!$K550&lt;&gt;""),'Atividades Micro'!$K550,"")</f>
        <v/>
      </c>
      <c r="AV498" s="21" t="str">
        <f>IF(AND('Atividades Micro'!$A550=AV$2,'Atividades Micro'!$L550&lt;&gt;""),'Atividades Micro'!$L550,"")</f>
        <v/>
      </c>
      <c r="AW498" s="21" t="str">
        <f>IF(AND('Atividades Micro'!$B550=AW$2,'Atividades Micro'!$K550&lt;&gt;""),'Atividades Micro'!$K550,"")</f>
        <v/>
      </c>
      <c r="AX498" s="21" t="str">
        <f>IF(AND('Atividades Micro'!$B550=AX$2,'Atividades Micro'!$L550&lt;&gt;""),'Atividades Micro'!$L550,"")</f>
        <v/>
      </c>
      <c r="AY498" s="21" t="str">
        <f>IF(AND('Atividades Micro'!$A550=AY$2,'Atividades Micro'!$K550&lt;&gt;""),'Atividades Micro'!$K550,"")</f>
        <v/>
      </c>
      <c r="AZ498" s="21" t="str">
        <f>IF(AND('Atividades Micro'!$A550=AZ$2,'Atividades Micro'!$L550&lt;&gt;""),'Atividades Micro'!$L550,"")</f>
        <v/>
      </c>
      <c r="BA498" s="21" t="str">
        <f>IF(AND('Atividades Micro'!$B550=BA$2,'Atividades Micro'!$K550&lt;&gt;""),'Atividades Micro'!$K550,"")</f>
        <v/>
      </c>
      <c r="BB498" s="21" t="str">
        <f>IF(AND('Atividades Micro'!$B550=BB$2,'Atividades Micro'!$L550&lt;&gt;""),'Atividades Micro'!$L550,"")</f>
        <v/>
      </c>
      <c r="BC498" s="21" t="str">
        <f>IF(AND('Atividades Micro'!$B550=BC$2,'Atividades Micro'!$G550="Macro",'Atividades Micro'!$K550&lt;&gt;""),'Atividades Micro'!$K550,"")</f>
        <v/>
      </c>
      <c r="BD498" s="21" t="str">
        <f>IF(AND('Atividades Micro'!$B550=BD$2,'Atividades Micro'!$G550="Macro",'Atividades Micro'!$K550&lt;&gt;""),'Atividades Micro'!$K550,"")</f>
        <v/>
      </c>
      <c r="BE498" s="21" t="str">
        <f>IF(AND('Atividades Micro'!$B550=BE$2,'Atividades Micro'!$G550="Macro",'Atividades Micro'!$K550&lt;&gt;""),'Atividades Micro'!$K550,"")</f>
        <v/>
      </c>
      <c r="BF498" s="21" t="str">
        <f>IF(AND('Atividades Micro'!$B550=BF$2,'Atividades Micro'!$G550="Macro",'Atividades Micro'!$K550&lt;&gt;""),'Atividades Micro'!$K550,"")</f>
        <v/>
      </c>
      <c r="BG498" s="21" t="str">
        <f>IF(AND('Atividades Micro'!$B550=BG$2,'Atividades Micro'!$G550="Macro",'Atividades Micro'!$K550&lt;&gt;""),'Atividades Micro'!$K550,"")</f>
        <v/>
      </c>
      <c r="BH498" s="21" t="str">
        <f>IF(AND('Atividades Micro'!$B550=BH$2,'Atividades Micro'!$G550="Macro",'Atividades Micro'!$K550&lt;&gt;""),'Atividades Micro'!$K550,"")</f>
        <v/>
      </c>
      <c r="BI498" s="21" t="str">
        <f>IF(AND('Atividades Micro'!$B550=BI$2,'Atividades Micro'!$G550="Macro",'Atividades Micro'!$K550&lt;&gt;""),'Atividades Micro'!$K550,"")</f>
        <v/>
      </c>
      <c r="BJ498" s="21" t="str">
        <f>IF(AND('Atividades Micro'!$B550=BJ$2,'Atividades Micro'!$G550="Macro",'Atividades Micro'!$K550&lt;&gt;""),'Atividades Micro'!$K550,"")</f>
        <v/>
      </c>
      <c r="BK498" s="21" t="str">
        <f>IF(AND('Atividades Micro'!$B550=BK$2,'Atividades Micro'!$G550="Macro",'Atividades Micro'!$K550&lt;&gt;""),'Atividades Micro'!$K550,"")</f>
        <v/>
      </c>
      <c r="BL498" s="21" t="str">
        <f>IF(AND('Atividades Micro'!$B550=BL$2,'Atividades Micro'!$G550="Macro",'Atividades Micro'!$K550&lt;&gt;""),'Atividades Micro'!$K550,"")</f>
        <v/>
      </c>
      <c r="BM498" s="21" t="str">
        <f>IF(AND('Atividades Micro'!$B550=BM$2,'Atividades Micro'!$G550="Macro",'Atividades Micro'!$K550&lt;&gt;""),'Atividades Micro'!$K550,"")</f>
        <v/>
      </c>
      <c r="BN498" s="21" t="str">
        <f>IF(AND('Atividades Micro'!$B550=BN$2,'Atividades Micro'!$G550="Macro",'Atividades Micro'!$K550&lt;&gt;""),'Atividades Micro'!$K550,"")</f>
        <v/>
      </c>
      <c r="BO498" s="21" t="str">
        <f>IF(AND('Atividades Micro'!$B550=BO$2,'Atividades Micro'!$G550="Macro",'Atividades Micro'!$K550&lt;&gt;""),'Atividades Micro'!$K550,"")</f>
        <v/>
      </c>
      <c r="BP498" s="21" t="str">
        <f>IF(AND('Atividades Micro'!$B550=BP$2,'Atividades Micro'!$G550="Macro",'Atividades Micro'!$K550&lt;&gt;""),'Atividades Micro'!$K550,"")</f>
        <v/>
      </c>
      <c r="BQ498" s="21" t="str">
        <f>IF(AND('Atividades Micro'!$B550=BQ$2,'Atividades Micro'!$G550="Macro",'Atividades Micro'!$K550&lt;&gt;""),'Atividades Micro'!$K550,"")</f>
        <v/>
      </c>
      <c r="BR498" s="21" t="str">
        <f>IF(AND('Atividades Micro'!$B550=BR$2,'Atividades Micro'!$G550="Macro",'Atividades Micro'!$K550&lt;&gt;""),'Atividades Micro'!$K550,"")</f>
        <v/>
      </c>
      <c r="BS498" s="21" t="str">
        <f>IF(AND('Atividades Micro'!$B550=BS$2,'Atividades Micro'!$G550="Macro",'Atividades Micro'!$K550&lt;&gt;""),'Atividades Micro'!$K550,"")</f>
        <v/>
      </c>
      <c r="BT498" s="21" t="str">
        <f>IF(AND('Atividades Micro'!$B550=BT$2,'Atividades Micro'!$G550="Macro",'Atividades Micro'!$K550&lt;&gt;""),'Atividades Micro'!$K550,"")</f>
        <v/>
      </c>
      <c r="BU498" s="21" t="str">
        <f>IF(AND('Atividades Micro'!$B550=BU$2,'Atividades Micro'!$G550="Macro",'Atividades Micro'!$K550&lt;&gt;""),'Atividades Micro'!$K550,"")</f>
        <v/>
      </c>
      <c r="BV498" s="21" t="str">
        <f>IF(AND('Atividades Micro'!$B550=BV$2,'Atividades Micro'!$G550="Macro",'Atividades Micro'!$K550&lt;&gt;""),'Atividades Micro'!$K550,"")</f>
        <v/>
      </c>
      <c r="BW498" s="21" t="str">
        <f>IF(AND('Atividades Micro'!$B550=BW$2,'Atividades Micro'!$G550="Macro",'Atividades Micro'!$K550&lt;&gt;""),'Atividades Micro'!$K550,"")</f>
        <v/>
      </c>
      <c r="BX498" s="21" t="str">
        <f>IF(AND('Atividades Micro'!$B550=BX$2,'Atividades Micro'!$G550="Macro",'Atividades Micro'!$K550&lt;&gt;""),'Atividades Micro'!$K550,"")</f>
        <v/>
      </c>
      <c r="BY498" s="21" t="str">
        <f>IF(AND('Atividades Micro'!$B550=BY$2,'Atividades Micro'!$G550="Macro",'Atividades Micro'!$K550&lt;&gt;""),'Atividades Micro'!$K550,"")</f>
        <v/>
      </c>
      <c r="BZ498" s="21" t="str">
        <f>IF(AND('Atividades Micro'!$B550=BZ$2,'Atividades Micro'!$G550="Macro",'Atividades Micro'!$K550&lt;&gt;""),'Atividades Micro'!$K550,"")</f>
        <v/>
      </c>
      <c r="CA498" s="21" t="str">
        <f>IF(AND('Atividades Micro'!$B550=CA$2,'Atividades Micro'!$G550="Macro",'Atividades Micro'!$K550&lt;&gt;""),'Atividades Micro'!$K550,"")</f>
        <v/>
      </c>
      <c r="CB498" s="21" t="str">
        <f>IF(AND('Atividades Micro'!$B550=CB$2,'Atividades Micro'!$G550="Macro",'Atividades Micro'!$K550&lt;&gt;""),'Atividades Micro'!$K550,"")</f>
        <v/>
      </c>
      <c r="CC498" s="21" t="str">
        <f>IF(AND('Atividades Micro'!$B550=CC$2,'Atividades Micro'!$G550="Macro",'Atividades Micro'!$K550&lt;&gt;""),'Atividades Micro'!$K550,"")</f>
        <v/>
      </c>
      <c r="CD498" s="21" t="str">
        <f>IF(AND('Atividades Micro'!$B550=CD$2,'Atividades Micro'!$G550="Micro",'Atividades Micro'!$K550&lt;&gt;""),'Atividades Micro'!$K550,"")</f>
        <v/>
      </c>
      <c r="CE498" s="21" t="str">
        <f>IF(AND('Atividades Micro'!$B550=CE$2,'Atividades Micro'!$G550="Micro",'Atividades Micro'!$K550&lt;&gt;""),'Atividades Micro'!$K550,"")</f>
        <v/>
      </c>
      <c r="CF498" s="21" t="str">
        <f>IF(AND('Atividades Micro'!$B550=CF$2,'Atividades Micro'!$G550="Micro",'Atividades Micro'!$K550&lt;&gt;""),'Atividades Micro'!$K550,"")</f>
        <v/>
      </c>
      <c r="CG498" s="21" t="str">
        <f>IF(AND('Atividades Micro'!$B550=CG$2,'Atividades Micro'!$G550="Micro",'Atividades Micro'!$K550&lt;&gt;""),'Atividades Micro'!$K550,"")</f>
        <v/>
      </c>
      <c r="CH498" s="21" t="str">
        <f>IF(AND('Atividades Micro'!$B550=CH$2,'Atividades Micro'!$G550="Micro",'Atividades Micro'!$K550&lt;&gt;""),'Atividades Micro'!$K550,"")</f>
        <v/>
      </c>
      <c r="CI498" s="21" t="str">
        <f>IF(AND('Atividades Micro'!$B550=CI$2,'Atividades Micro'!$G550="Micro",'Atividades Micro'!$K550&lt;&gt;""),'Atividades Micro'!$K550,"")</f>
        <v/>
      </c>
      <c r="CJ498" s="21" t="str">
        <f>IF(AND('Atividades Micro'!$B550=CJ$2,'Atividades Micro'!$G550="Micro",'Atividades Micro'!$K550&lt;&gt;""),'Atividades Micro'!$K550,"")</f>
        <v/>
      </c>
      <c r="CK498" s="21" t="str">
        <f>IF(AND('Atividades Micro'!$B550=CK$2,'Atividades Micro'!$G550="Micro",'Atividades Micro'!$K550&lt;&gt;""),'Atividades Micro'!$K550,"")</f>
        <v/>
      </c>
      <c r="CL498" s="21" t="str">
        <f>IF(AND('Atividades Micro'!$B550=CL$2,'Atividades Micro'!$G550="Micro",'Atividades Micro'!$K550&lt;&gt;""),'Atividades Micro'!$K550,"")</f>
        <v/>
      </c>
      <c r="CM498" s="21" t="str">
        <f>IF(AND('Atividades Micro'!$B550=CM$2,'Atividades Micro'!$G550="Micro",'Atividades Micro'!$K550&lt;&gt;""),'Atividades Micro'!$K550,"")</f>
        <v/>
      </c>
      <c r="CN498" s="21" t="str">
        <f>IF(AND('Atividades Micro'!$B550=CN$2,'Atividades Micro'!$G550="Micro",'Atividades Micro'!$K550&lt;&gt;""),'Atividades Micro'!$K550,"")</f>
        <v/>
      </c>
      <c r="CO498" s="21" t="str">
        <f>IF(AND('Atividades Micro'!$B550=CO$2,'Atividades Micro'!$G550="Micro",'Atividades Micro'!$K550&lt;&gt;""),'Atividades Micro'!$K550,"")</f>
        <v/>
      </c>
    </row>
    <row r="499" spans="1:93">
      <c r="A499" s="21" t="str">
        <f>IF(AND('Atividades Micro'!$A551=A$2,'Atividades Micro'!$K551&lt;&gt;""),'Atividades Micro'!$K551,"")</f>
        <v/>
      </c>
      <c r="B499" s="21" t="str">
        <f>IF(AND('Atividades Micro'!$A551=B$2,'Atividades Micro'!$L551&lt;&gt;""),'Atividades Micro'!$L551,"")</f>
        <v/>
      </c>
      <c r="C499" s="21" t="str">
        <f>IF(AND('Atividades Micro'!$A551=C$2,'Atividades Micro'!$K551&lt;&gt;""),'Atividades Micro'!$K551,"")</f>
        <v/>
      </c>
      <c r="D499" s="21" t="str">
        <f>IF(AND('Atividades Micro'!$A551=D$2,'Atividades Micro'!$L551&lt;&gt;""),'Atividades Micro'!$L551,"")</f>
        <v/>
      </c>
      <c r="E499" s="21" t="str">
        <f>IF(AND('Atividades Micro'!$A551=E$2,'Atividades Micro'!$K551&lt;&gt;""),'Atividades Micro'!$K551,"")</f>
        <v/>
      </c>
      <c r="F499" s="21" t="str">
        <f>IF(AND('Atividades Micro'!$A551=F$2,'Atividades Micro'!$L551&lt;&gt;""),'Atividades Micro'!$L551,"")</f>
        <v/>
      </c>
      <c r="G499" s="21" t="str">
        <f>IF(AND('Atividades Micro'!$A551=G$2,'Atividades Micro'!$K551&lt;&gt;""),'Atividades Micro'!$K551,"")</f>
        <v/>
      </c>
      <c r="H499" s="21" t="str">
        <f>IF(AND('Atividades Micro'!$A551=H$2,'Atividades Micro'!$L551&lt;&gt;""),'Atividades Micro'!$L551,"")</f>
        <v/>
      </c>
      <c r="I499" s="21" t="str">
        <f>IF(AND('Atividades Micro'!$A551=I$2,'Atividades Micro'!$K551&lt;&gt;""),'Atividades Micro'!$K551,"")</f>
        <v/>
      </c>
      <c r="J499" s="21" t="str">
        <f>IF(AND('Atividades Micro'!$A551=J$2,'Atividades Micro'!$L551&lt;&gt;""),'Atividades Micro'!$L551,"")</f>
        <v/>
      </c>
      <c r="K499" s="21" t="str">
        <f>IF(AND('Atividades Micro'!$B551=K$2,'Atividades Micro'!$K551&lt;&gt;""),'Atividades Micro'!$K551,"")</f>
        <v/>
      </c>
      <c r="L499" s="21" t="str">
        <f>IF(AND('Atividades Micro'!$B551=L$2,'Atividades Micro'!$L551&lt;&gt;""),'Atividades Micro'!$L551,"")</f>
        <v/>
      </c>
      <c r="M499" s="21" t="str">
        <f>IF(AND('Atividades Micro'!$B551=M$2,'Atividades Micro'!$K551&lt;&gt;""),'Atividades Micro'!$K551,"")</f>
        <v/>
      </c>
      <c r="N499" s="21" t="str">
        <f>IF(AND('Atividades Micro'!$B551=N$2,'Atividades Micro'!$L551&lt;&gt;""),'Atividades Micro'!$L551,"")</f>
        <v/>
      </c>
      <c r="O499" s="21" t="str">
        <f>IF(AND('Atividades Micro'!$A551=O$2,'Atividades Micro'!$K551&lt;&gt;""),'Atividades Micro'!$K551,"")</f>
        <v/>
      </c>
      <c r="P499" s="21" t="str">
        <f>IF(AND('Atividades Micro'!$A551=P$2,'Atividades Micro'!$L551&lt;&gt;""),'Atividades Micro'!$L551,"")</f>
        <v/>
      </c>
      <c r="Q499" s="21" t="str">
        <f>IF(AND('Atividades Micro'!$B551=Q$2,'Atividades Micro'!$K551&lt;&gt;""),'Atividades Micro'!$K551,"")</f>
        <v/>
      </c>
      <c r="R499" s="21" t="str">
        <f>IF(AND('Atividades Micro'!$B551=R$2,'Atividades Micro'!$L551&lt;&gt;""),'Atividades Micro'!$L551,"")</f>
        <v/>
      </c>
      <c r="S499" s="21" t="str">
        <f>IF(AND('Atividades Micro'!$A551=S$2,'Atividades Micro'!$K551&lt;&gt;""),'Atividades Micro'!$K551,"")</f>
        <v/>
      </c>
      <c r="T499" s="21" t="str">
        <f>IF(AND('Atividades Micro'!$A551=T$2,'Atividades Micro'!$L551&lt;&gt;""),'Atividades Micro'!$L551,"")</f>
        <v/>
      </c>
      <c r="U499" s="21" t="str">
        <f>IF(AND('Atividades Micro'!$B551=U$2,'Atividades Micro'!$K551&lt;&gt;""),'Atividades Micro'!$K551,"")</f>
        <v/>
      </c>
      <c r="V499" s="21" t="str">
        <f>IF(AND('Atividades Micro'!$B551=V$2,'Atividades Micro'!$L551&lt;&gt;""),'Atividades Micro'!$L551,"")</f>
        <v/>
      </c>
      <c r="W499" s="21" t="str">
        <f>IF(AND('Atividades Micro'!$B551=W$2,'Atividades Micro'!$K551&lt;&gt;""),'Atividades Micro'!$K551,"")</f>
        <v/>
      </c>
      <c r="X499" s="21" t="str">
        <f>IF(AND('Atividades Micro'!$B551=X$2,'Atividades Micro'!$L551&lt;&gt;""),'Atividades Micro'!$L551,"")</f>
        <v/>
      </c>
      <c r="Y499" s="21" t="str">
        <f>IF(AND('Atividades Micro'!$A551=Y$2,'Atividades Micro'!$K551&lt;&gt;""),'Atividades Micro'!$K551,"")</f>
        <v/>
      </c>
      <c r="Z499" s="21" t="str">
        <f>IF(AND('Atividades Micro'!$A551=Z$2,'Atividades Micro'!$L551&lt;&gt;""),'Atividades Micro'!$L551,"")</f>
        <v/>
      </c>
      <c r="AA499" s="21" t="str">
        <f>IF(AND('Atividades Micro'!$B551=AA$2,'Atividades Micro'!$K551&lt;&gt;""),'Atividades Micro'!$K551,"")</f>
        <v/>
      </c>
      <c r="AB499" s="21" t="str">
        <f>IF(AND('Atividades Micro'!$B551=AB$2,'Atividades Micro'!$L551&lt;&gt;""),'Atividades Micro'!$L551,"")</f>
        <v/>
      </c>
      <c r="AC499" s="21" t="str">
        <f>IF(AND('Atividades Micro'!$B551=AC$2,'Atividades Micro'!$K551&lt;&gt;""),'Atividades Micro'!$K551,"")</f>
        <v/>
      </c>
      <c r="AD499" s="21" t="str">
        <f>IF(AND('Atividades Micro'!$B551=AD$2,'Atividades Micro'!$L551&lt;&gt;""),'Atividades Micro'!$L551,"")</f>
        <v/>
      </c>
      <c r="AE499" s="21" t="str">
        <f>IF(AND('Atividades Micro'!$A551=AE$2,'Atividades Micro'!$K551&lt;&gt;""),'Atividades Micro'!$K551,"")</f>
        <v/>
      </c>
      <c r="AF499" s="21" t="str">
        <f>IF(AND('Atividades Micro'!$A551=AF$2,'Atividades Micro'!$L551&lt;&gt;""),'Atividades Micro'!$L551,"")</f>
        <v/>
      </c>
      <c r="AG499" s="21" t="str">
        <f>IF(AND('Atividades Micro'!$B551=AG$2,'Atividades Micro'!$K551&lt;&gt;""),'Atividades Micro'!$K551,"")</f>
        <v/>
      </c>
      <c r="AH499" s="21" t="str">
        <f>IF(AND('Atividades Micro'!$B551=AH$2,'Atividades Micro'!$L551&lt;&gt;""),'Atividades Micro'!$L551,"")</f>
        <v/>
      </c>
      <c r="AI499" s="21" t="str">
        <f>IF(AND('Atividades Micro'!$B551=AI$2,'Atividades Micro'!$K551&lt;&gt;""),'Atividades Micro'!$K551,"")</f>
        <v/>
      </c>
      <c r="AJ499" s="21" t="str">
        <f>IF(AND('Atividades Micro'!$B551=AJ$2,'Atividades Micro'!$L551&lt;&gt;""),'Atividades Micro'!$L551,"")</f>
        <v/>
      </c>
      <c r="AK499" s="21" t="str">
        <f>IF(AND('Atividades Micro'!$A551=AK$2,'Atividades Micro'!$K551&lt;&gt;""),'Atividades Micro'!$K551,"")</f>
        <v/>
      </c>
      <c r="AL499" s="21" t="str">
        <f>IF(AND('Atividades Micro'!$A551=AL$2,'Atividades Micro'!$L551&lt;&gt;""),'Atividades Micro'!$L551,"")</f>
        <v/>
      </c>
      <c r="AM499" s="21" t="str">
        <f>IF(AND('Atividades Micro'!$B551=AM$2,'Atividades Micro'!$K551&lt;&gt;""),'Atividades Micro'!$K551,"")</f>
        <v/>
      </c>
      <c r="AN499" s="21" t="str">
        <f>IF(AND('Atividades Micro'!$B551=AN$2,'Atividades Micro'!$L551&lt;&gt;""),'Atividades Micro'!$L551,"")</f>
        <v/>
      </c>
      <c r="AO499" s="21" t="str">
        <f>IF(AND('Atividades Micro'!$B551=AO$2,'Atividades Micro'!$K551&lt;&gt;""),'Atividades Micro'!$K551,"")</f>
        <v/>
      </c>
      <c r="AP499" s="21" t="str">
        <f>IF(AND('Atividades Micro'!$B551=AP$2,'Atividades Micro'!$L551&lt;&gt;""),'Atividades Micro'!$L551,"")</f>
        <v/>
      </c>
      <c r="AQ499" s="21" t="str">
        <f>IF(AND('Atividades Micro'!$A551=AQ$2,'Atividades Micro'!$K551&lt;&gt;""),'Atividades Micro'!$K551,"")</f>
        <v/>
      </c>
      <c r="AR499" s="21" t="str">
        <f>IF(AND('Atividades Micro'!$A551=AR$2,'Atividades Micro'!$L551&lt;&gt;""),'Atividades Micro'!$L551,"")</f>
        <v/>
      </c>
      <c r="AS499" s="21" t="str">
        <f>IF(AND('Atividades Micro'!$B551=AS$2,'Atividades Micro'!$K551&lt;&gt;""),'Atividades Micro'!$K551,"")</f>
        <v/>
      </c>
      <c r="AT499" s="21" t="str">
        <f>IF(AND('Atividades Micro'!$B551=AT$2,'Atividades Micro'!$L551&lt;&gt;""),'Atividades Micro'!$L551,"")</f>
        <v/>
      </c>
      <c r="AU499" s="21" t="str">
        <f>IF(AND('Atividades Micro'!$A551=AU$2,'Atividades Micro'!$K551&lt;&gt;""),'Atividades Micro'!$K551,"")</f>
        <v/>
      </c>
      <c r="AV499" s="21" t="str">
        <f>IF(AND('Atividades Micro'!$A551=AV$2,'Atividades Micro'!$L551&lt;&gt;""),'Atividades Micro'!$L551,"")</f>
        <v/>
      </c>
      <c r="AW499" s="21" t="str">
        <f>IF(AND('Atividades Micro'!$B551=AW$2,'Atividades Micro'!$K551&lt;&gt;""),'Atividades Micro'!$K551,"")</f>
        <v/>
      </c>
      <c r="AX499" s="21" t="str">
        <f>IF(AND('Atividades Micro'!$B551=AX$2,'Atividades Micro'!$L551&lt;&gt;""),'Atividades Micro'!$L551,"")</f>
        <v/>
      </c>
      <c r="AY499" s="21" t="str">
        <f>IF(AND('Atividades Micro'!$A551=AY$2,'Atividades Micro'!$K551&lt;&gt;""),'Atividades Micro'!$K551,"")</f>
        <v/>
      </c>
      <c r="AZ499" s="21" t="str">
        <f>IF(AND('Atividades Micro'!$A551=AZ$2,'Atividades Micro'!$L551&lt;&gt;""),'Atividades Micro'!$L551,"")</f>
        <v/>
      </c>
      <c r="BA499" s="21" t="str">
        <f>IF(AND('Atividades Micro'!$B551=BA$2,'Atividades Micro'!$K551&lt;&gt;""),'Atividades Micro'!$K551,"")</f>
        <v/>
      </c>
      <c r="BB499" s="21" t="str">
        <f>IF(AND('Atividades Micro'!$B551=BB$2,'Atividades Micro'!$L551&lt;&gt;""),'Atividades Micro'!$L551,"")</f>
        <v/>
      </c>
      <c r="BC499" s="21" t="str">
        <f>IF(AND('Atividades Micro'!$B551=BC$2,'Atividades Micro'!$G551="Macro",'Atividades Micro'!$K551&lt;&gt;""),'Atividades Micro'!$K551,"")</f>
        <v/>
      </c>
      <c r="BD499" s="21" t="str">
        <f>IF(AND('Atividades Micro'!$B551=BD$2,'Atividades Micro'!$G551="Macro",'Atividades Micro'!$K551&lt;&gt;""),'Atividades Micro'!$K551,"")</f>
        <v/>
      </c>
      <c r="BE499" s="21" t="str">
        <f>IF(AND('Atividades Micro'!$B551=BE$2,'Atividades Micro'!$G551="Macro",'Atividades Micro'!$K551&lt;&gt;""),'Atividades Micro'!$K551,"")</f>
        <v/>
      </c>
      <c r="BF499" s="21" t="str">
        <f>IF(AND('Atividades Micro'!$B551=BF$2,'Atividades Micro'!$G551="Macro",'Atividades Micro'!$K551&lt;&gt;""),'Atividades Micro'!$K551,"")</f>
        <v/>
      </c>
      <c r="BG499" s="21" t="str">
        <f>IF(AND('Atividades Micro'!$B551=BG$2,'Atividades Micro'!$G551="Macro",'Atividades Micro'!$K551&lt;&gt;""),'Atividades Micro'!$K551,"")</f>
        <v/>
      </c>
      <c r="BH499" s="21" t="str">
        <f>IF(AND('Atividades Micro'!$B551=BH$2,'Atividades Micro'!$G551="Macro",'Atividades Micro'!$K551&lt;&gt;""),'Atividades Micro'!$K551,"")</f>
        <v/>
      </c>
      <c r="BI499" s="21" t="str">
        <f>IF(AND('Atividades Micro'!$B551=BI$2,'Atividades Micro'!$G551="Macro",'Atividades Micro'!$K551&lt;&gt;""),'Atividades Micro'!$K551,"")</f>
        <v/>
      </c>
      <c r="BJ499" s="21" t="str">
        <f>IF(AND('Atividades Micro'!$B551=BJ$2,'Atividades Micro'!$G551="Macro",'Atividades Micro'!$K551&lt;&gt;""),'Atividades Micro'!$K551,"")</f>
        <v/>
      </c>
      <c r="BK499" s="21" t="str">
        <f>IF(AND('Atividades Micro'!$B551=BK$2,'Atividades Micro'!$G551="Macro",'Atividades Micro'!$K551&lt;&gt;""),'Atividades Micro'!$K551,"")</f>
        <v/>
      </c>
      <c r="BL499" s="21" t="str">
        <f>IF(AND('Atividades Micro'!$B551=BL$2,'Atividades Micro'!$G551="Macro",'Atividades Micro'!$K551&lt;&gt;""),'Atividades Micro'!$K551,"")</f>
        <v/>
      </c>
      <c r="BM499" s="21" t="str">
        <f>IF(AND('Atividades Micro'!$B551=BM$2,'Atividades Micro'!$G551="Macro",'Atividades Micro'!$K551&lt;&gt;""),'Atividades Micro'!$K551,"")</f>
        <v/>
      </c>
      <c r="BN499" s="21" t="str">
        <f>IF(AND('Atividades Micro'!$B551=BN$2,'Atividades Micro'!$G551="Macro",'Atividades Micro'!$K551&lt;&gt;""),'Atividades Micro'!$K551,"")</f>
        <v/>
      </c>
      <c r="BO499" s="21" t="str">
        <f>IF(AND('Atividades Micro'!$B551=BO$2,'Atividades Micro'!$G551="Macro",'Atividades Micro'!$K551&lt;&gt;""),'Atividades Micro'!$K551,"")</f>
        <v/>
      </c>
      <c r="BP499" s="21" t="str">
        <f>IF(AND('Atividades Micro'!$B551=BP$2,'Atividades Micro'!$G551="Macro",'Atividades Micro'!$K551&lt;&gt;""),'Atividades Micro'!$K551,"")</f>
        <v/>
      </c>
      <c r="BQ499" s="21" t="str">
        <f>IF(AND('Atividades Micro'!$B551=BQ$2,'Atividades Micro'!$G551="Macro",'Atividades Micro'!$K551&lt;&gt;""),'Atividades Micro'!$K551,"")</f>
        <v/>
      </c>
      <c r="BR499" s="21" t="str">
        <f>IF(AND('Atividades Micro'!$B551=BR$2,'Atividades Micro'!$G551="Macro",'Atividades Micro'!$K551&lt;&gt;""),'Atividades Micro'!$K551,"")</f>
        <v/>
      </c>
      <c r="BS499" s="21" t="str">
        <f>IF(AND('Atividades Micro'!$B551=BS$2,'Atividades Micro'!$G551="Macro",'Atividades Micro'!$K551&lt;&gt;""),'Atividades Micro'!$K551,"")</f>
        <v/>
      </c>
      <c r="BT499" s="21" t="str">
        <f>IF(AND('Atividades Micro'!$B551=BT$2,'Atividades Micro'!$G551="Macro",'Atividades Micro'!$K551&lt;&gt;""),'Atividades Micro'!$K551,"")</f>
        <v/>
      </c>
      <c r="BU499" s="21" t="str">
        <f>IF(AND('Atividades Micro'!$B551=BU$2,'Atividades Micro'!$G551="Macro",'Atividades Micro'!$K551&lt;&gt;""),'Atividades Micro'!$K551,"")</f>
        <v/>
      </c>
      <c r="BV499" s="21" t="str">
        <f>IF(AND('Atividades Micro'!$B551=BV$2,'Atividades Micro'!$G551="Macro",'Atividades Micro'!$K551&lt;&gt;""),'Atividades Micro'!$K551,"")</f>
        <v/>
      </c>
      <c r="BW499" s="21" t="str">
        <f>IF(AND('Atividades Micro'!$B551=BW$2,'Atividades Micro'!$G551="Macro",'Atividades Micro'!$K551&lt;&gt;""),'Atividades Micro'!$K551,"")</f>
        <v/>
      </c>
      <c r="BX499" s="21" t="str">
        <f>IF(AND('Atividades Micro'!$B551=BX$2,'Atividades Micro'!$G551="Macro",'Atividades Micro'!$K551&lt;&gt;""),'Atividades Micro'!$K551,"")</f>
        <v/>
      </c>
      <c r="BY499" s="21" t="str">
        <f>IF(AND('Atividades Micro'!$B551=BY$2,'Atividades Micro'!$G551="Macro",'Atividades Micro'!$K551&lt;&gt;""),'Atividades Micro'!$K551,"")</f>
        <v/>
      </c>
      <c r="BZ499" s="21" t="str">
        <f>IF(AND('Atividades Micro'!$B551=BZ$2,'Atividades Micro'!$G551="Macro",'Atividades Micro'!$K551&lt;&gt;""),'Atividades Micro'!$K551,"")</f>
        <v/>
      </c>
      <c r="CA499" s="21" t="str">
        <f>IF(AND('Atividades Micro'!$B551=CA$2,'Atividades Micro'!$G551="Macro",'Atividades Micro'!$K551&lt;&gt;""),'Atividades Micro'!$K551,"")</f>
        <v/>
      </c>
      <c r="CB499" s="21" t="str">
        <f>IF(AND('Atividades Micro'!$B551=CB$2,'Atividades Micro'!$G551="Macro",'Atividades Micro'!$K551&lt;&gt;""),'Atividades Micro'!$K551,"")</f>
        <v/>
      </c>
      <c r="CC499" s="21" t="str">
        <f>IF(AND('Atividades Micro'!$B551=CC$2,'Atividades Micro'!$G551="Macro",'Atividades Micro'!$K551&lt;&gt;""),'Atividades Micro'!$K551,"")</f>
        <v/>
      </c>
      <c r="CD499" s="21" t="str">
        <f>IF(AND('Atividades Micro'!$B551=CD$2,'Atividades Micro'!$G551="Micro",'Atividades Micro'!$K551&lt;&gt;""),'Atividades Micro'!$K551,"")</f>
        <v/>
      </c>
      <c r="CE499" s="21" t="str">
        <f>IF(AND('Atividades Micro'!$B551=CE$2,'Atividades Micro'!$G551="Micro",'Atividades Micro'!$K551&lt;&gt;""),'Atividades Micro'!$K551,"")</f>
        <v/>
      </c>
      <c r="CF499" s="21" t="str">
        <f>IF(AND('Atividades Micro'!$B551=CF$2,'Atividades Micro'!$G551="Micro",'Atividades Micro'!$K551&lt;&gt;""),'Atividades Micro'!$K551,"")</f>
        <v/>
      </c>
      <c r="CG499" s="21" t="str">
        <f>IF(AND('Atividades Micro'!$B551=CG$2,'Atividades Micro'!$G551="Micro",'Atividades Micro'!$K551&lt;&gt;""),'Atividades Micro'!$K551,"")</f>
        <v/>
      </c>
      <c r="CH499" s="21" t="str">
        <f>IF(AND('Atividades Micro'!$B551=CH$2,'Atividades Micro'!$G551="Micro",'Atividades Micro'!$K551&lt;&gt;""),'Atividades Micro'!$K551,"")</f>
        <v/>
      </c>
      <c r="CI499" s="21" t="str">
        <f>IF(AND('Atividades Micro'!$B551=CI$2,'Atividades Micro'!$G551="Micro",'Atividades Micro'!$K551&lt;&gt;""),'Atividades Micro'!$K551,"")</f>
        <v/>
      </c>
      <c r="CJ499" s="21" t="str">
        <f>IF(AND('Atividades Micro'!$B551=CJ$2,'Atividades Micro'!$G551="Micro",'Atividades Micro'!$K551&lt;&gt;""),'Atividades Micro'!$K551,"")</f>
        <v/>
      </c>
      <c r="CK499" s="21" t="str">
        <f>IF(AND('Atividades Micro'!$B551=CK$2,'Atividades Micro'!$G551="Micro",'Atividades Micro'!$K551&lt;&gt;""),'Atividades Micro'!$K551,"")</f>
        <v/>
      </c>
      <c r="CL499" s="21" t="str">
        <f>IF(AND('Atividades Micro'!$B551=CL$2,'Atividades Micro'!$G551="Micro",'Atividades Micro'!$K551&lt;&gt;""),'Atividades Micro'!$K551,"")</f>
        <v/>
      </c>
      <c r="CM499" s="21" t="str">
        <f>IF(AND('Atividades Micro'!$B551=CM$2,'Atividades Micro'!$G551="Micro",'Atividades Micro'!$K551&lt;&gt;""),'Atividades Micro'!$K551,"")</f>
        <v/>
      </c>
      <c r="CN499" s="21" t="str">
        <f>IF(AND('Atividades Micro'!$B551=CN$2,'Atividades Micro'!$G551="Micro",'Atividades Micro'!$K551&lt;&gt;""),'Atividades Micro'!$K551,"")</f>
        <v/>
      </c>
      <c r="CO499" s="21" t="str">
        <f>IF(AND('Atividades Micro'!$B551=CO$2,'Atividades Micro'!$G551="Micro",'Atividades Micro'!$K551&lt;&gt;""),'Atividades Micro'!$K551,"")</f>
        <v/>
      </c>
    </row>
    <row r="500" spans="1:93">
      <c r="A500" s="21" t="str">
        <f>IF(AND('Atividades Micro'!$A552=A$2,'Atividades Micro'!$K552&lt;&gt;""),'Atividades Micro'!$K552,"")</f>
        <v/>
      </c>
      <c r="B500" s="21" t="str">
        <f>IF(AND('Atividades Micro'!$A552=B$2,'Atividades Micro'!$L552&lt;&gt;""),'Atividades Micro'!$L552,"")</f>
        <v/>
      </c>
      <c r="C500" s="21" t="str">
        <f>IF(AND('Atividades Micro'!$A552=C$2,'Atividades Micro'!$K552&lt;&gt;""),'Atividades Micro'!$K552,"")</f>
        <v/>
      </c>
      <c r="D500" s="21" t="str">
        <f>IF(AND('Atividades Micro'!$A552=D$2,'Atividades Micro'!$L552&lt;&gt;""),'Atividades Micro'!$L552,"")</f>
        <v/>
      </c>
      <c r="E500" s="21" t="str">
        <f>IF(AND('Atividades Micro'!$A552=E$2,'Atividades Micro'!$K552&lt;&gt;""),'Atividades Micro'!$K552,"")</f>
        <v/>
      </c>
      <c r="F500" s="21" t="str">
        <f>IF(AND('Atividades Micro'!$A552=F$2,'Atividades Micro'!$L552&lt;&gt;""),'Atividades Micro'!$L552,"")</f>
        <v/>
      </c>
      <c r="G500" s="21" t="str">
        <f>IF(AND('Atividades Micro'!$A552=G$2,'Atividades Micro'!$K552&lt;&gt;""),'Atividades Micro'!$K552,"")</f>
        <v/>
      </c>
      <c r="H500" s="21" t="str">
        <f>IF(AND('Atividades Micro'!$A552=H$2,'Atividades Micro'!$L552&lt;&gt;""),'Atividades Micro'!$L552,"")</f>
        <v/>
      </c>
      <c r="I500" s="21" t="str">
        <f>IF(AND('Atividades Micro'!$A552=I$2,'Atividades Micro'!$K552&lt;&gt;""),'Atividades Micro'!$K552,"")</f>
        <v/>
      </c>
      <c r="J500" s="21" t="str">
        <f>IF(AND('Atividades Micro'!$A552=J$2,'Atividades Micro'!$L552&lt;&gt;""),'Atividades Micro'!$L552,"")</f>
        <v/>
      </c>
      <c r="K500" s="21" t="str">
        <f>IF(AND('Atividades Micro'!$B552=K$2,'Atividades Micro'!$K552&lt;&gt;""),'Atividades Micro'!$K552,"")</f>
        <v/>
      </c>
      <c r="L500" s="21" t="str">
        <f>IF(AND('Atividades Micro'!$B552=L$2,'Atividades Micro'!$L552&lt;&gt;""),'Atividades Micro'!$L552,"")</f>
        <v/>
      </c>
      <c r="M500" s="21" t="str">
        <f>IF(AND('Atividades Micro'!$B552=M$2,'Atividades Micro'!$K552&lt;&gt;""),'Atividades Micro'!$K552,"")</f>
        <v/>
      </c>
      <c r="N500" s="21" t="str">
        <f>IF(AND('Atividades Micro'!$B552=N$2,'Atividades Micro'!$L552&lt;&gt;""),'Atividades Micro'!$L552,"")</f>
        <v/>
      </c>
      <c r="O500" s="21" t="str">
        <f>IF(AND('Atividades Micro'!$A552=O$2,'Atividades Micro'!$K552&lt;&gt;""),'Atividades Micro'!$K552,"")</f>
        <v/>
      </c>
      <c r="P500" s="21" t="str">
        <f>IF(AND('Atividades Micro'!$A552=P$2,'Atividades Micro'!$L552&lt;&gt;""),'Atividades Micro'!$L552,"")</f>
        <v/>
      </c>
      <c r="Q500" s="21" t="str">
        <f>IF(AND('Atividades Micro'!$B552=Q$2,'Atividades Micro'!$K552&lt;&gt;""),'Atividades Micro'!$K552,"")</f>
        <v/>
      </c>
      <c r="R500" s="21" t="str">
        <f>IF(AND('Atividades Micro'!$B552=R$2,'Atividades Micro'!$L552&lt;&gt;""),'Atividades Micro'!$L552,"")</f>
        <v/>
      </c>
      <c r="S500" s="21" t="str">
        <f>IF(AND('Atividades Micro'!$A552=S$2,'Atividades Micro'!$K552&lt;&gt;""),'Atividades Micro'!$K552,"")</f>
        <v/>
      </c>
      <c r="T500" s="21" t="str">
        <f>IF(AND('Atividades Micro'!$A552=T$2,'Atividades Micro'!$L552&lt;&gt;""),'Atividades Micro'!$L552,"")</f>
        <v/>
      </c>
      <c r="U500" s="21" t="str">
        <f>IF(AND('Atividades Micro'!$B552=U$2,'Atividades Micro'!$K552&lt;&gt;""),'Atividades Micro'!$K552,"")</f>
        <v/>
      </c>
      <c r="V500" s="21" t="str">
        <f>IF(AND('Atividades Micro'!$B552=V$2,'Atividades Micro'!$L552&lt;&gt;""),'Atividades Micro'!$L552,"")</f>
        <v/>
      </c>
      <c r="W500" s="21" t="str">
        <f>IF(AND('Atividades Micro'!$B552=W$2,'Atividades Micro'!$K552&lt;&gt;""),'Atividades Micro'!$K552,"")</f>
        <v/>
      </c>
      <c r="X500" s="21" t="str">
        <f>IF(AND('Atividades Micro'!$B552=X$2,'Atividades Micro'!$L552&lt;&gt;""),'Atividades Micro'!$L552,"")</f>
        <v/>
      </c>
      <c r="Y500" s="21" t="str">
        <f>IF(AND('Atividades Micro'!$A552=Y$2,'Atividades Micro'!$K552&lt;&gt;""),'Atividades Micro'!$K552,"")</f>
        <v/>
      </c>
      <c r="Z500" s="21" t="str">
        <f>IF(AND('Atividades Micro'!$A552=Z$2,'Atividades Micro'!$L552&lt;&gt;""),'Atividades Micro'!$L552,"")</f>
        <v/>
      </c>
      <c r="AA500" s="21" t="str">
        <f>IF(AND('Atividades Micro'!$B552=AA$2,'Atividades Micro'!$K552&lt;&gt;""),'Atividades Micro'!$K552,"")</f>
        <v/>
      </c>
      <c r="AB500" s="21" t="str">
        <f>IF(AND('Atividades Micro'!$B552=AB$2,'Atividades Micro'!$L552&lt;&gt;""),'Atividades Micro'!$L552,"")</f>
        <v/>
      </c>
      <c r="AC500" s="21" t="str">
        <f>IF(AND('Atividades Micro'!$B552=AC$2,'Atividades Micro'!$K552&lt;&gt;""),'Atividades Micro'!$K552,"")</f>
        <v/>
      </c>
      <c r="AD500" s="21" t="str">
        <f>IF(AND('Atividades Micro'!$B552=AD$2,'Atividades Micro'!$L552&lt;&gt;""),'Atividades Micro'!$L552,"")</f>
        <v/>
      </c>
      <c r="AE500" s="21" t="str">
        <f>IF(AND('Atividades Micro'!$A552=AE$2,'Atividades Micro'!$K552&lt;&gt;""),'Atividades Micro'!$K552,"")</f>
        <v/>
      </c>
      <c r="AF500" s="21" t="str">
        <f>IF(AND('Atividades Micro'!$A552=AF$2,'Atividades Micro'!$L552&lt;&gt;""),'Atividades Micro'!$L552,"")</f>
        <v/>
      </c>
      <c r="AG500" s="21" t="str">
        <f>IF(AND('Atividades Micro'!$B552=AG$2,'Atividades Micro'!$K552&lt;&gt;""),'Atividades Micro'!$K552,"")</f>
        <v/>
      </c>
      <c r="AH500" s="21" t="str">
        <f>IF(AND('Atividades Micro'!$B552=AH$2,'Atividades Micro'!$L552&lt;&gt;""),'Atividades Micro'!$L552,"")</f>
        <v/>
      </c>
      <c r="AI500" s="21" t="str">
        <f>IF(AND('Atividades Micro'!$B552=AI$2,'Atividades Micro'!$K552&lt;&gt;""),'Atividades Micro'!$K552,"")</f>
        <v/>
      </c>
      <c r="AJ500" s="21" t="str">
        <f>IF(AND('Atividades Micro'!$B552=AJ$2,'Atividades Micro'!$L552&lt;&gt;""),'Atividades Micro'!$L552,"")</f>
        <v/>
      </c>
      <c r="AK500" s="21" t="str">
        <f>IF(AND('Atividades Micro'!$A552=AK$2,'Atividades Micro'!$K552&lt;&gt;""),'Atividades Micro'!$K552,"")</f>
        <v/>
      </c>
      <c r="AL500" s="21" t="str">
        <f>IF(AND('Atividades Micro'!$A552=AL$2,'Atividades Micro'!$L552&lt;&gt;""),'Atividades Micro'!$L552,"")</f>
        <v/>
      </c>
      <c r="AM500" s="21" t="str">
        <f>IF(AND('Atividades Micro'!$B552=AM$2,'Atividades Micro'!$K552&lt;&gt;""),'Atividades Micro'!$K552,"")</f>
        <v/>
      </c>
      <c r="AN500" s="21" t="str">
        <f>IF(AND('Atividades Micro'!$B552=AN$2,'Atividades Micro'!$L552&lt;&gt;""),'Atividades Micro'!$L552,"")</f>
        <v/>
      </c>
      <c r="AO500" s="21" t="str">
        <f>IF(AND('Atividades Micro'!$B552=AO$2,'Atividades Micro'!$K552&lt;&gt;""),'Atividades Micro'!$K552,"")</f>
        <v/>
      </c>
      <c r="AP500" s="21" t="str">
        <f>IF(AND('Atividades Micro'!$B552=AP$2,'Atividades Micro'!$L552&lt;&gt;""),'Atividades Micro'!$L552,"")</f>
        <v/>
      </c>
      <c r="AQ500" s="21" t="str">
        <f>IF(AND('Atividades Micro'!$A552=AQ$2,'Atividades Micro'!$K552&lt;&gt;""),'Atividades Micro'!$K552,"")</f>
        <v/>
      </c>
      <c r="AR500" s="21" t="str">
        <f>IF(AND('Atividades Micro'!$A552=AR$2,'Atividades Micro'!$L552&lt;&gt;""),'Atividades Micro'!$L552,"")</f>
        <v/>
      </c>
      <c r="AS500" s="21" t="str">
        <f>IF(AND('Atividades Micro'!$B552=AS$2,'Atividades Micro'!$K552&lt;&gt;""),'Atividades Micro'!$K552,"")</f>
        <v/>
      </c>
      <c r="AT500" s="21" t="str">
        <f>IF(AND('Atividades Micro'!$B552=AT$2,'Atividades Micro'!$L552&lt;&gt;""),'Atividades Micro'!$L552,"")</f>
        <v/>
      </c>
      <c r="AU500" s="21" t="str">
        <f>IF(AND('Atividades Micro'!$A552=AU$2,'Atividades Micro'!$K552&lt;&gt;""),'Atividades Micro'!$K552,"")</f>
        <v/>
      </c>
      <c r="AV500" s="21" t="str">
        <f>IF(AND('Atividades Micro'!$A552=AV$2,'Atividades Micro'!$L552&lt;&gt;""),'Atividades Micro'!$L552,"")</f>
        <v/>
      </c>
      <c r="AW500" s="21" t="str">
        <f>IF(AND('Atividades Micro'!$B552=AW$2,'Atividades Micro'!$K552&lt;&gt;""),'Atividades Micro'!$K552,"")</f>
        <v/>
      </c>
      <c r="AX500" s="21" t="str">
        <f>IF(AND('Atividades Micro'!$B552=AX$2,'Atividades Micro'!$L552&lt;&gt;""),'Atividades Micro'!$L552,"")</f>
        <v/>
      </c>
      <c r="AY500" s="21" t="str">
        <f>IF(AND('Atividades Micro'!$A552=AY$2,'Atividades Micro'!$K552&lt;&gt;""),'Atividades Micro'!$K552,"")</f>
        <v/>
      </c>
      <c r="AZ500" s="21" t="str">
        <f>IF(AND('Atividades Micro'!$A552=AZ$2,'Atividades Micro'!$L552&lt;&gt;""),'Atividades Micro'!$L552,"")</f>
        <v/>
      </c>
      <c r="BA500" s="21" t="str">
        <f>IF(AND('Atividades Micro'!$B552=BA$2,'Atividades Micro'!$K552&lt;&gt;""),'Atividades Micro'!$K552,"")</f>
        <v/>
      </c>
      <c r="BB500" s="21" t="str">
        <f>IF(AND('Atividades Micro'!$B552=BB$2,'Atividades Micro'!$L552&lt;&gt;""),'Atividades Micro'!$L552,"")</f>
        <v/>
      </c>
      <c r="BC500" s="21" t="str">
        <f>IF(AND('Atividades Micro'!$B552=BC$2,'Atividades Micro'!$G552="Macro",'Atividades Micro'!$K552&lt;&gt;""),'Atividades Micro'!$K552,"")</f>
        <v/>
      </c>
      <c r="BD500" s="21" t="str">
        <f>IF(AND('Atividades Micro'!$B552=BD$2,'Atividades Micro'!$G552="Macro",'Atividades Micro'!$K552&lt;&gt;""),'Atividades Micro'!$K552,"")</f>
        <v/>
      </c>
      <c r="BE500" s="21" t="str">
        <f>IF(AND('Atividades Micro'!$B552=BE$2,'Atividades Micro'!$G552="Macro",'Atividades Micro'!$K552&lt;&gt;""),'Atividades Micro'!$K552,"")</f>
        <v/>
      </c>
      <c r="BF500" s="21" t="str">
        <f>IF(AND('Atividades Micro'!$B552=BF$2,'Atividades Micro'!$G552="Macro",'Atividades Micro'!$K552&lt;&gt;""),'Atividades Micro'!$K552,"")</f>
        <v/>
      </c>
      <c r="BG500" s="21" t="str">
        <f>IF(AND('Atividades Micro'!$B552=BG$2,'Atividades Micro'!$G552="Macro",'Atividades Micro'!$K552&lt;&gt;""),'Atividades Micro'!$K552,"")</f>
        <v/>
      </c>
      <c r="BH500" s="21" t="str">
        <f>IF(AND('Atividades Micro'!$B552=BH$2,'Atividades Micro'!$G552="Macro",'Atividades Micro'!$K552&lt;&gt;""),'Atividades Micro'!$K552,"")</f>
        <v/>
      </c>
      <c r="BI500" s="21" t="str">
        <f>IF(AND('Atividades Micro'!$B552=BI$2,'Atividades Micro'!$G552="Macro",'Atividades Micro'!$K552&lt;&gt;""),'Atividades Micro'!$K552,"")</f>
        <v/>
      </c>
      <c r="BJ500" s="21" t="str">
        <f>IF(AND('Atividades Micro'!$B552=BJ$2,'Atividades Micro'!$G552="Macro",'Atividades Micro'!$K552&lt;&gt;""),'Atividades Micro'!$K552,"")</f>
        <v/>
      </c>
      <c r="BK500" s="21" t="str">
        <f>IF(AND('Atividades Micro'!$B552=BK$2,'Atividades Micro'!$G552="Macro",'Atividades Micro'!$K552&lt;&gt;""),'Atividades Micro'!$K552,"")</f>
        <v/>
      </c>
      <c r="BL500" s="21" t="str">
        <f>IF(AND('Atividades Micro'!$B552=BL$2,'Atividades Micro'!$G552="Macro",'Atividades Micro'!$K552&lt;&gt;""),'Atividades Micro'!$K552,"")</f>
        <v/>
      </c>
      <c r="BM500" s="21" t="str">
        <f>IF(AND('Atividades Micro'!$B552=BM$2,'Atividades Micro'!$G552="Macro",'Atividades Micro'!$K552&lt;&gt;""),'Atividades Micro'!$K552,"")</f>
        <v/>
      </c>
      <c r="BN500" s="21" t="str">
        <f>IF(AND('Atividades Micro'!$B552=BN$2,'Atividades Micro'!$G552="Macro",'Atividades Micro'!$K552&lt;&gt;""),'Atividades Micro'!$K552,"")</f>
        <v/>
      </c>
      <c r="BO500" s="21" t="str">
        <f>IF(AND('Atividades Micro'!$B552=BO$2,'Atividades Micro'!$G552="Macro",'Atividades Micro'!$K552&lt;&gt;""),'Atividades Micro'!$K552,"")</f>
        <v/>
      </c>
      <c r="BP500" s="21" t="str">
        <f>IF(AND('Atividades Micro'!$B552=BP$2,'Atividades Micro'!$G552="Macro",'Atividades Micro'!$K552&lt;&gt;""),'Atividades Micro'!$K552,"")</f>
        <v/>
      </c>
      <c r="BQ500" s="21" t="str">
        <f>IF(AND('Atividades Micro'!$B552=BQ$2,'Atividades Micro'!$G552="Macro",'Atividades Micro'!$K552&lt;&gt;""),'Atividades Micro'!$K552,"")</f>
        <v/>
      </c>
      <c r="BR500" s="21" t="str">
        <f>IF(AND('Atividades Micro'!$B552=BR$2,'Atividades Micro'!$G552="Macro",'Atividades Micro'!$K552&lt;&gt;""),'Atividades Micro'!$K552,"")</f>
        <v/>
      </c>
      <c r="BS500" s="21" t="str">
        <f>IF(AND('Atividades Micro'!$B552=BS$2,'Atividades Micro'!$G552="Macro",'Atividades Micro'!$K552&lt;&gt;""),'Atividades Micro'!$K552,"")</f>
        <v/>
      </c>
      <c r="BT500" s="21" t="str">
        <f>IF(AND('Atividades Micro'!$B552=BT$2,'Atividades Micro'!$G552="Macro",'Atividades Micro'!$K552&lt;&gt;""),'Atividades Micro'!$K552,"")</f>
        <v/>
      </c>
      <c r="BU500" s="21" t="str">
        <f>IF(AND('Atividades Micro'!$B552=BU$2,'Atividades Micro'!$G552="Macro",'Atividades Micro'!$K552&lt;&gt;""),'Atividades Micro'!$K552,"")</f>
        <v/>
      </c>
      <c r="BV500" s="21" t="str">
        <f>IF(AND('Atividades Micro'!$B552=BV$2,'Atividades Micro'!$G552="Macro",'Atividades Micro'!$K552&lt;&gt;""),'Atividades Micro'!$K552,"")</f>
        <v/>
      </c>
      <c r="BW500" s="21" t="str">
        <f>IF(AND('Atividades Micro'!$B552=BW$2,'Atividades Micro'!$G552="Macro",'Atividades Micro'!$K552&lt;&gt;""),'Atividades Micro'!$K552,"")</f>
        <v/>
      </c>
      <c r="BX500" s="21" t="str">
        <f>IF(AND('Atividades Micro'!$B552=BX$2,'Atividades Micro'!$G552="Macro",'Atividades Micro'!$K552&lt;&gt;""),'Atividades Micro'!$K552,"")</f>
        <v/>
      </c>
      <c r="BY500" s="21" t="str">
        <f>IF(AND('Atividades Micro'!$B552=BY$2,'Atividades Micro'!$G552="Macro",'Atividades Micro'!$K552&lt;&gt;""),'Atividades Micro'!$K552,"")</f>
        <v/>
      </c>
      <c r="BZ500" s="21" t="str">
        <f>IF(AND('Atividades Micro'!$B552=BZ$2,'Atividades Micro'!$G552="Macro",'Atividades Micro'!$K552&lt;&gt;""),'Atividades Micro'!$K552,"")</f>
        <v/>
      </c>
      <c r="CA500" s="21" t="str">
        <f>IF(AND('Atividades Micro'!$B552=CA$2,'Atividades Micro'!$G552="Macro",'Atividades Micro'!$K552&lt;&gt;""),'Atividades Micro'!$K552,"")</f>
        <v/>
      </c>
      <c r="CB500" s="21" t="str">
        <f>IF(AND('Atividades Micro'!$B552=CB$2,'Atividades Micro'!$G552="Macro",'Atividades Micro'!$K552&lt;&gt;""),'Atividades Micro'!$K552,"")</f>
        <v/>
      </c>
      <c r="CC500" s="21" t="str">
        <f>IF(AND('Atividades Micro'!$B552=CC$2,'Atividades Micro'!$G552="Macro",'Atividades Micro'!$K552&lt;&gt;""),'Atividades Micro'!$K552,"")</f>
        <v/>
      </c>
      <c r="CD500" s="21" t="str">
        <f>IF(AND('Atividades Micro'!$B552=CD$2,'Atividades Micro'!$G552="Micro",'Atividades Micro'!$K552&lt;&gt;""),'Atividades Micro'!$K552,"")</f>
        <v/>
      </c>
      <c r="CE500" s="21" t="str">
        <f>IF(AND('Atividades Micro'!$B552=CE$2,'Atividades Micro'!$G552="Micro",'Atividades Micro'!$K552&lt;&gt;""),'Atividades Micro'!$K552,"")</f>
        <v/>
      </c>
      <c r="CF500" s="21" t="str">
        <f>IF(AND('Atividades Micro'!$B552=CF$2,'Atividades Micro'!$G552="Micro",'Atividades Micro'!$K552&lt;&gt;""),'Atividades Micro'!$K552,"")</f>
        <v/>
      </c>
      <c r="CG500" s="21" t="str">
        <f>IF(AND('Atividades Micro'!$B552=CG$2,'Atividades Micro'!$G552="Micro",'Atividades Micro'!$K552&lt;&gt;""),'Atividades Micro'!$K552,"")</f>
        <v/>
      </c>
      <c r="CH500" s="21" t="str">
        <f>IF(AND('Atividades Micro'!$B552=CH$2,'Atividades Micro'!$G552="Micro",'Atividades Micro'!$K552&lt;&gt;""),'Atividades Micro'!$K552,"")</f>
        <v/>
      </c>
      <c r="CI500" s="21" t="str">
        <f>IF(AND('Atividades Micro'!$B552=CI$2,'Atividades Micro'!$G552="Micro",'Atividades Micro'!$K552&lt;&gt;""),'Atividades Micro'!$K552,"")</f>
        <v/>
      </c>
      <c r="CJ500" s="21" t="str">
        <f>IF(AND('Atividades Micro'!$B552=CJ$2,'Atividades Micro'!$G552="Micro",'Atividades Micro'!$K552&lt;&gt;""),'Atividades Micro'!$K552,"")</f>
        <v/>
      </c>
      <c r="CK500" s="21" t="str">
        <f>IF(AND('Atividades Micro'!$B552=CK$2,'Atividades Micro'!$G552="Micro",'Atividades Micro'!$K552&lt;&gt;""),'Atividades Micro'!$K552,"")</f>
        <v/>
      </c>
      <c r="CL500" s="21" t="str">
        <f>IF(AND('Atividades Micro'!$B552=CL$2,'Atividades Micro'!$G552="Micro",'Atividades Micro'!$K552&lt;&gt;""),'Atividades Micro'!$K552,"")</f>
        <v/>
      </c>
      <c r="CM500" s="21" t="str">
        <f>IF(AND('Atividades Micro'!$B552=CM$2,'Atividades Micro'!$G552="Micro",'Atividades Micro'!$K552&lt;&gt;""),'Atividades Micro'!$K552,"")</f>
        <v/>
      </c>
      <c r="CN500" s="21" t="str">
        <f>IF(AND('Atividades Micro'!$B552=CN$2,'Atividades Micro'!$G552="Micro",'Atividades Micro'!$K552&lt;&gt;""),'Atividades Micro'!$K552,"")</f>
        <v/>
      </c>
      <c r="CO500" s="21" t="str">
        <f>IF(AND('Atividades Micro'!$B552=CO$2,'Atividades Micro'!$G552="Micro",'Atividades Micro'!$K552&lt;&gt;""),'Atividades Micro'!$K552,"")</f>
        <v/>
      </c>
    </row>
    <row r="501" spans="1:93">
      <c r="A501" s="21" t="str">
        <f>IF(AND('Atividades Micro'!$A553=A$2,'Atividades Micro'!$K553&lt;&gt;""),'Atividades Micro'!$K553,"")</f>
        <v/>
      </c>
      <c r="B501" s="21" t="str">
        <f>IF(AND('Atividades Micro'!$A553=B$2,'Atividades Micro'!$L553&lt;&gt;""),'Atividades Micro'!$L553,"")</f>
        <v/>
      </c>
      <c r="C501" s="21" t="str">
        <f>IF(AND('Atividades Micro'!$A553=C$2,'Atividades Micro'!$K553&lt;&gt;""),'Atividades Micro'!$K553,"")</f>
        <v/>
      </c>
      <c r="D501" s="21" t="str">
        <f>IF(AND('Atividades Micro'!$A553=D$2,'Atividades Micro'!$L553&lt;&gt;""),'Atividades Micro'!$L553,"")</f>
        <v/>
      </c>
      <c r="E501" s="21" t="str">
        <f>IF(AND('Atividades Micro'!$A553=E$2,'Atividades Micro'!$K553&lt;&gt;""),'Atividades Micro'!$K553,"")</f>
        <v/>
      </c>
      <c r="F501" s="21" t="str">
        <f>IF(AND('Atividades Micro'!$A553=F$2,'Atividades Micro'!$L553&lt;&gt;""),'Atividades Micro'!$L553,"")</f>
        <v/>
      </c>
      <c r="G501" s="21" t="str">
        <f>IF(AND('Atividades Micro'!$A553=G$2,'Atividades Micro'!$K553&lt;&gt;""),'Atividades Micro'!$K553,"")</f>
        <v/>
      </c>
      <c r="H501" s="21" t="str">
        <f>IF(AND('Atividades Micro'!$A553=H$2,'Atividades Micro'!$L553&lt;&gt;""),'Atividades Micro'!$L553,"")</f>
        <v/>
      </c>
      <c r="I501" s="21" t="str">
        <f>IF(AND('Atividades Micro'!$A553=I$2,'Atividades Micro'!$K553&lt;&gt;""),'Atividades Micro'!$K553,"")</f>
        <v/>
      </c>
      <c r="J501" s="21" t="str">
        <f>IF(AND('Atividades Micro'!$A553=J$2,'Atividades Micro'!$L553&lt;&gt;""),'Atividades Micro'!$L553,"")</f>
        <v/>
      </c>
      <c r="K501" s="21" t="str">
        <f>IF(AND('Atividades Micro'!$B553=K$2,'Atividades Micro'!$K553&lt;&gt;""),'Atividades Micro'!$K553,"")</f>
        <v/>
      </c>
      <c r="L501" s="21" t="str">
        <f>IF(AND('Atividades Micro'!$B553=L$2,'Atividades Micro'!$L553&lt;&gt;""),'Atividades Micro'!$L553,"")</f>
        <v/>
      </c>
      <c r="M501" s="21" t="str">
        <f>IF(AND('Atividades Micro'!$B553=M$2,'Atividades Micro'!$K553&lt;&gt;""),'Atividades Micro'!$K553,"")</f>
        <v/>
      </c>
      <c r="N501" s="21" t="str">
        <f>IF(AND('Atividades Micro'!$B553=N$2,'Atividades Micro'!$L553&lt;&gt;""),'Atividades Micro'!$L553,"")</f>
        <v/>
      </c>
      <c r="O501" s="21" t="str">
        <f>IF(AND('Atividades Micro'!$A553=O$2,'Atividades Micro'!$K553&lt;&gt;""),'Atividades Micro'!$K553,"")</f>
        <v/>
      </c>
      <c r="P501" s="21" t="str">
        <f>IF(AND('Atividades Micro'!$A553=P$2,'Atividades Micro'!$L553&lt;&gt;""),'Atividades Micro'!$L553,"")</f>
        <v/>
      </c>
      <c r="Q501" s="21" t="str">
        <f>IF(AND('Atividades Micro'!$B553=Q$2,'Atividades Micro'!$K553&lt;&gt;""),'Atividades Micro'!$K553,"")</f>
        <v/>
      </c>
      <c r="R501" s="21" t="str">
        <f>IF(AND('Atividades Micro'!$B553=R$2,'Atividades Micro'!$L553&lt;&gt;""),'Atividades Micro'!$L553,"")</f>
        <v/>
      </c>
      <c r="S501" s="21" t="str">
        <f>IF(AND('Atividades Micro'!$A553=S$2,'Atividades Micro'!$K553&lt;&gt;""),'Atividades Micro'!$K553,"")</f>
        <v/>
      </c>
      <c r="T501" s="21" t="str">
        <f>IF(AND('Atividades Micro'!$A553=T$2,'Atividades Micro'!$L553&lt;&gt;""),'Atividades Micro'!$L553,"")</f>
        <v/>
      </c>
      <c r="U501" s="21" t="str">
        <f>IF(AND('Atividades Micro'!$B553=U$2,'Atividades Micro'!$K553&lt;&gt;""),'Atividades Micro'!$K553,"")</f>
        <v/>
      </c>
      <c r="V501" s="21" t="str">
        <f>IF(AND('Atividades Micro'!$B553=V$2,'Atividades Micro'!$L553&lt;&gt;""),'Atividades Micro'!$L553,"")</f>
        <v/>
      </c>
      <c r="W501" s="21" t="str">
        <f>IF(AND('Atividades Micro'!$B553=W$2,'Atividades Micro'!$K553&lt;&gt;""),'Atividades Micro'!$K553,"")</f>
        <v/>
      </c>
      <c r="X501" s="21" t="str">
        <f>IF(AND('Atividades Micro'!$B553=X$2,'Atividades Micro'!$L553&lt;&gt;""),'Atividades Micro'!$L553,"")</f>
        <v/>
      </c>
      <c r="Y501" s="21" t="str">
        <f>IF(AND('Atividades Micro'!$A553=Y$2,'Atividades Micro'!$K553&lt;&gt;""),'Atividades Micro'!$K553,"")</f>
        <v/>
      </c>
      <c r="Z501" s="21" t="str">
        <f>IF(AND('Atividades Micro'!$A553=Z$2,'Atividades Micro'!$L553&lt;&gt;""),'Atividades Micro'!$L553,"")</f>
        <v/>
      </c>
      <c r="AA501" s="21" t="str">
        <f>IF(AND('Atividades Micro'!$B553=AA$2,'Atividades Micro'!$K553&lt;&gt;""),'Atividades Micro'!$K553,"")</f>
        <v/>
      </c>
      <c r="AB501" s="21" t="str">
        <f>IF(AND('Atividades Micro'!$B553=AB$2,'Atividades Micro'!$L553&lt;&gt;""),'Atividades Micro'!$L553,"")</f>
        <v/>
      </c>
      <c r="AC501" s="21" t="str">
        <f>IF(AND('Atividades Micro'!$B553=AC$2,'Atividades Micro'!$K553&lt;&gt;""),'Atividades Micro'!$K553,"")</f>
        <v/>
      </c>
      <c r="AD501" s="21" t="str">
        <f>IF(AND('Atividades Micro'!$B553=AD$2,'Atividades Micro'!$L553&lt;&gt;""),'Atividades Micro'!$L553,"")</f>
        <v/>
      </c>
      <c r="AE501" s="21" t="str">
        <f>IF(AND('Atividades Micro'!$A553=AE$2,'Atividades Micro'!$K553&lt;&gt;""),'Atividades Micro'!$K553,"")</f>
        <v/>
      </c>
      <c r="AF501" s="21" t="str">
        <f>IF(AND('Atividades Micro'!$A553=AF$2,'Atividades Micro'!$L553&lt;&gt;""),'Atividades Micro'!$L553,"")</f>
        <v/>
      </c>
      <c r="AG501" s="21" t="str">
        <f>IF(AND('Atividades Micro'!$B553=AG$2,'Atividades Micro'!$K553&lt;&gt;""),'Atividades Micro'!$K553,"")</f>
        <v/>
      </c>
      <c r="AH501" s="21" t="str">
        <f>IF(AND('Atividades Micro'!$B553=AH$2,'Atividades Micro'!$L553&lt;&gt;""),'Atividades Micro'!$L553,"")</f>
        <v/>
      </c>
      <c r="AI501" s="21" t="str">
        <f>IF(AND('Atividades Micro'!$B553=AI$2,'Atividades Micro'!$K553&lt;&gt;""),'Atividades Micro'!$K553,"")</f>
        <v/>
      </c>
      <c r="AJ501" s="21" t="str">
        <f>IF(AND('Atividades Micro'!$B553=AJ$2,'Atividades Micro'!$L553&lt;&gt;""),'Atividades Micro'!$L553,"")</f>
        <v/>
      </c>
      <c r="AK501" s="21" t="str">
        <f>IF(AND('Atividades Micro'!$A553=AK$2,'Atividades Micro'!$K553&lt;&gt;""),'Atividades Micro'!$K553,"")</f>
        <v/>
      </c>
      <c r="AL501" s="21" t="str">
        <f>IF(AND('Atividades Micro'!$A553=AL$2,'Atividades Micro'!$L553&lt;&gt;""),'Atividades Micro'!$L553,"")</f>
        <v/>
      </c>
      <c r="AM501" s="21" t="str">
        <f>IF(AND('Atividades Micro'!$B553=AM$2,'Atividades Micro'!$K553&lt;&gt;""),'Atividades Micro'!$K553,"")</f>
        <v/>
      </c>
      <c r="AN501" s="21" t="str">
        <f>IF(AND('Atividades Micro'!$B553=AN$2,'Atividades Micro'!$L553&lt;&gt;""),'Atividades Micro'!$L553,"")</f>
        <v/>
      </c>
      <c r="AO501" s="21" t="str">
        <f>IF(AND('Atividades Micro'!$B553=AO$2,'Atividades Micro'!$K553&lt;&gt;""),'Atividades Micro'!$K553,"")</f>
        <v/>
      </c>
      <c r="AP501" s="21" t="str">
        <f>IF(AND('Atividades Micro'!$B553=AP$2,'Atividades Micro'!$L553&lt;&gt;""),'Atividades Micro'!$L553,"")</f>
        <v/>
      </c>
      <c r="AQ501" s="21" t="str">
        <f>IF(AND('Atividades Micro'!$A553=AQ$2,'Atividades Micro'!$K553&lt;&gt;""),'Atividades Micro'!$K553,"")</f>
        <v/>
      </c>
      <c r="AR501" s="21" t="str">
        <f>IF(AND('Atividades Micro'!$A553=AR$2,'Atividades Micro'!$L553&lt;&gt;""),'Atividades Micro'!$L553,"")</f>
        <v/>
      </c>
      <c r="AS501" s="21" t="str">
        <f>IF(AND('Atividades Micro'!$B553=AS$2,'Atividades Micro'!$K553&lt;&gt;""),'Atividades Micro'!$K553,"")</f>
        <v/>
      </c>
      <c r="AT501" s="21" t="str">
        <f>IF(AND('Atividades Micro'!$B553=AT$2,'Atividades Micro'!$L553&lt;&gt;""),'Atividades Micro'!$L553,"")</f>
        <v/>
      </c>
      <c r="AU501" s="21" t="str">
        <f>IF(AND('Atividades Micro'!$A553=AU$2,'Atividades Micro'!$K553&lt;&gt;""),'Atividades Micro'!$K553,"")</f>
        <v/>
      </c>
      <c r="AV501" s="21" t="str">
        <f>IF(AND('Atividades Micro'!$A553=AV$2,'Atividades Micro'!$L553&lt;&gt;""),'Atividades Micro'!$L553,"")</f>
        <v/>
      </c>
      <c r="AW501" s="21" t="str">
        <f>IF(AND('Atividades Micro'!$B553=AW$2,'Atividades Micro'!$K553&lt;&gt;""),'Atividades Micro'!$K553,"")</f>
        <v/>
      </c>
      <c r="AX501" s="21" t="str">
        <f>IF(AND('Atividades Micro'!$B553=AX$2,'Atividades Micro'!$L553&lt;&gt;""),'Atividades Micro'!$L553,"")</f>
        <v/>
      </c>
      <c r="AY501" s="21" t="str">
        <f>IF(AND('Atividades Micro'!$A553=AY$2,'Atividades Micro'!$K553&lt;&gt;""),'Atividades Micro'!$K553,"")</f>
        <v/>
      </c>
      <c r="AZ501" s="21" t="str">
        <f>IF(AND('Atividades Micro'!$A553=AZ$2,'Atividades Micro'!$L553&lt;&gt;""),'Atividades Micro'!$L553,"")</f>
        <v/>
      </c>
      <c r="BA501" s="21" t="str">
        <f>IF(AND('Atividades Micro'!$B553=BA$2,'Atividades Micro'!$K553&lt;&gt;""),'Atividades Micro'!$K553,"")</f>
        <v/>
      </c>
      <c r="BB501" s="21" t="str">
        <f>IF(AND('Atividades Micro'!$B553=BB$2,'Atividades Micro'!$L553&lt;&gt;""),'Atividades Micro'!$L553,"")</f>
        <v/>
      </c>
      <c r="BC501" s="21" t="str">
        <f>IF(AND('Atividades Micro'!$B553=BC$2,'Atividades Micro'!$G553="Macro",'Atividades Micro'!$K553&lt;&gt;""),'Atividades Micro'!$K553,"")</f>
        <v/>
      </c>
      <c r="BD501" s="21" t="str">
        <f>IF(AND('Atividades Micro'!$B553=BD$2,'Atividades Micro'!$G553="Macro",'Atividades Micro'!$K553&lt;&gt;""),'Atividades Micro'!$K553,"")</f>
        <v/>
      </c>
      <c r="BE501" s="21" t="str">
        <f>IF(AND('Atividades Micro'!$B553=BE$2,'Atividades Micro'!$G553="Macro",'Atividades Micro'!$K553&lt;&gt;""),'Atividades Micro'!$K553,"")</f>
        <v/>
      </c>
      <c r="BF501" s="21" t="str">
        <f>IF(AND('Atividades Micro'!$B553=BF$2,'Atividades Micro'!$G553="Macro",'Atividades Micro'!$K553&lt;&gt;""),'Atividades Micro'!$K553,"")</f>
        <v/>
      </c>
      <c r="BG501" s="21" t="str">
        <f>IF(AND('Atividades Micro'!$B553=BG$2,'Atividades Micro'!$G553="Macro",'Atividades Micro'!$K553&lt;&gt;""),'Atividades Micro'!$K553,"")</f>
        <v/>
      </c>
      <c r="BH501" s="21" t="str">
        <f>IF(AND('Atividades Micro'!$B553=BH$2,'Atividades Micro'!$G553="Macro",'Atividades Micro'!$K553&lt;&gt;""),'Atividades Micro'!$K553,"")</f>
        <v/>
      </c>
      <c r="BI501" s="21" t="str">
        <f>IF(AND('Atividades Micro'!$B553=BI$2,'Atividades Micro'!$G553="Macro",'Atividades Micro'!$K553&lt;&gt;""),'Atividades Micro'!$K553,"")</f>
        <v/>
      </c>
      <c r="BJ501" s="21" t="str">
        <f>IF(AND('Atividades Micro'!$B553=BJ$2,'Atividades Micro'!$G553="Macro",'Atividades Micro'!$K553&lt;&gt;""),'Atividades Micro'!$K553,"")</f>
        <v/>
      </c>
      <c r="BK501" s="21" t="str">
        <f>IF(AND('Atividades Micro'!$B553=BK$2,'Atividades Micro'!$G553="Macro",'Atividades Micro'!$K553&lt;&gt;""),'Atividades Micro'!$K553,"")</f>
        <v/>
      </c>
      <c r="BL501" s="21" t="str">
        <f>IF(AND('Atividades Micro'!$B553=BL$2,'Atividades Micro'!$G553="Macro",'Atividades Micro'!$K553&lt;&gt;""),'Atividades Micro'!$K553,"")</f>
        <v/>
      </c>
      <c r="BM501" s="21" t="str">
        <f>IF(AND('Atividades Micro'!$B553=BM$2,'Atividades Micro'!$G553="Macro",'Atividades Micro'!$K553&lt;&gt;""),'Atividades Micro'!$K553,"")</f>
        <v/>
      </c>
      <c r="BN501" s="21" t="str">
        <f>IF(AND('Atividades Micro'!$B553=BN$2,'Atividades Micro'!$G553="Macro",'Atividades Micro'!$K553&lt;&gt;""),'Atividades Micro'!$K553,"")</f>
        <v/>
      </c>
      <c r="BO501" s="21" t="str">
        <f>IF(AND('Atividades Micro'!$B553=BO$2,'Atividades Micro'!$G553="Macro",'Atividades Micro'!$K553&lt;&gt;""),'Atividades Micro'!$K553,"")</f>
        <v/>
      </c>
      <c r="BP501" s="21" t="str">
        <f>IF(AND('Atividades Micro'!$B553=BP$2,'Atividades Micro'!$G553="Macro",'Atividades Micro'!$K553&lt;&gt;""),'Atividades Micro'!$K553,"")</f>
        <v/>
      </c>
      <c r="BQ501" s="21" t="str">
        <f>IF(AND('Atividades Micro'!$B553=BQ$2,'Atividades Micro'!$G553="Macro",'Atividades Micro'!$K553&lt;&gt;""),'Atividades Micro'!$K553,"")</f>
        <v/>
      </c>
      <c r="BR501" s="21" t="str">
        <f>IF(AND('Atividades Micro'!$B553=BR$2,'Atividades Micro'!$G553="Macro",'Atividades Micro'!$K553&lt;&gt;""),'Atividades Micro'!$K553,"")</f>
        <v/>
      </c>
      <c r="BS501" s="21" t="str">
        <f>IF(AND('Atividades Micro'!$B553=BS$2,'Atividades Micro'!$G553="Macro",'Atividades Micro'!$K553&lt;&gt;""),'Atividades Micro'!$K553,"")</f>
        <v/>
      </c>
      <c r="BT501" s="21" t="str">
        <f>IF(AND('Atividades Micro'!$B553=BT$2,'Atividades Micro'!$G553="Macro",'Atividades Micro'!$K553&lt;&gt;""),'Atividades Micro'!$K553,"")</f>
        <v/>
      </c>
      <c r="BU501" s="21" t="str">
        <f>IF(AND('Atividades Micro'!$B553=BU$2,'Atividades Micro'!$G553="Macro",'Atividades Micro'!$K553&lt;&gt;""),'Atividades Micro'!$K553,"")</f>
        <v/>
      </c>
      <c r="BV501" s="21" t="str">
        <f>IF(AND('Atividades Micro'!$B553=BV$2,'Atividades Micro'!$G553="Macro",'Atividades Micro'!$K553&lt;&gt;""),'Atividades Micro'!$K553,"")</f>
        <v/>
      </c>
      <c r="BW501" s="21" t="str">
        <f>IF(AND('Atividades Micro'!$B553=BW$2,'Atividades Micro'!$G553="Macro",'Atividades Micro'!$K553&lt;&gt;""),'Atividades Micro'!$K553,"")</f>
        <v/>
      </c>
      <c r="BX501" s="21" t="str">
        <f>IF(AND('Atividades Micro'!$B553=BX$2,'Atividades Micro'!$G553="Macro",'Atividades Micro'!$K553&lt;&gt;""),'Atividades Micro'!$K553,"")</f>
        <v/>
      </c>
      <c r="BY501" s="21" t="str">
        <f>IF(AND('Atividades Micro'!$B553=BY$2,'Atividades Micro'!$G553="Macro",'Atividades Micro'!$K553&lt;&gt;""),'Atividades Micro'!$K553,"")</f>
        <v/>
      </c>
      <c r="BZ501" s="21" t="str">
        <f>IF(AND('Atividades Micro'!$B553=BZ$2,'Atividades Micro'!$G553="Macro",'Atividades Micro'!$K553&lt;&gt;""),'Atividades Micro'!$K553,"")</f>
        <v/>
      </c>
      <c r="CA501" s="21" t="str">
        <f>IF(AND('Atividades Micro'!$B553=CA$2,'Atividades Micro'!$G553="Macro",'Atividades Micro'!$K553&lt;&gt;""),'Atividades Micro'!$K553,"")</f>
        <v/>
      </c>
      <c r="CB501" s="21" t="str">
        <f>IF(AND('Atividades Micro'!$B553=CB$2,'Atividades Micro'!$G553="Macro",'Atividades Micro'!$K553&lt;&gt;""),'Atividades Micro'!$K553,"")</f>
        <v/>
      </c>
      <c r="CC501" s="21" t="str">
        <f>IF(AND('Atividades Micro'!$B553=CC$2,'Atividades Micro'!$G553="Macro",'Atividades Micro'!$K553&lt;&gt;""),'Atividades Micro'!$K553,"")</f>
        <v/>
      </c>
      <c r="CD501" s="21" t="str">
        <f>IF(AND('Atividades Micro'!$B553=CD$2,'Atividades Micro'!$G553="Micro",'Atividades Micro'!$K553&lt;&gt;""),'Atividades Micro'!$K553,"")</f>
        <v/>
      </c>
      <c r="CE501" s="21" t="str">
        <f>IF(AND('Atividades Micro'!$B553=CE$2,'Atividades Micro'!$G553="Micro",'Atividades Micro'!$K553&lt;&gt;""),'Atividades Micro'!$K553,"")</f>
        <v/>
      </c>
      <c r="CF501" s="21" t="str">
        <f>IF(AND('Atividades Micro'!$B553=CF$2,'Atividades Micro'!$G553="Micro",'Atividades Micro'!$K553&lt;&gt;""),'Atividades Micro'!$K553,"")</f>
        <v/>
      </c>
      <c r="CG501" s="21" t="str">
        <f>IF(AND('Atividades Micro'!$B553=CG$2,'Atividades Micro'!$G553="Micro",'Atividades Micro'!$K553&lt;&gt;""),'Atividades Micro'!$K553,"")</f>
        <v/>
      </c>
      <c r="CH501" s="21" t="str">
        <f>IF(AND('Atividades Micro'!$B553=CH$2,'Atividades Micro'!$G553="Micro",'Atividades Micro'!$K553&lt;&gt;""),'Atividades Micro'!$K553,"")</f>
        <v/>
      </c>
      <c r="CI501" s="21" t="str">
        <f>IF(AND('Atividades Micro'!$B553=CI$2,'Atividades Micro'!$G553="Micro",'Atividades Micro'!$K553&lt;&gt;""),'Atividades Micro'!$K553,"")</f>
        <v/>
      </c>
      <c r="CJ501" s="21" t="str">
        <f>IF(AND('Atividades Micro'!$B553=CJ$2,'Atividades Micro'!$G553="Micro",'Atividades Micro'!$K553&lt;&gt;""),'Atividades Micro'!$K553,"")</f>
        <v/>
      </c>
      <c r="CK501" s="21" t="str">
        <f>IF(AND('Atividades Micro'!$B553=CK$2,'Atividades Micro'!$G553="Micro",'Atividades Micro'!$K553&lt;&gt;""),'Atividades Micro'!$K553,"")</f>
        <v/>
      </c>
      <c r="CL501" s="21" t="str">
        <f>IF(AND('Atividades Micro'!$B553=CL$2,'Atividades Micro'!$G553="Micro",'Atividades Micro'!$K553&lt;&gt;""),'Atividades Micro'!$K553,"")</f>
        <v/>
      </c>
      <c r="CM501" s="21" t="str">
        <f>IF(AND('Atividades Micro'!$B553=CM$2,'Atividades Micro'!$G553="Micro",'Atividades Micro'!$K553&lt;&gt;""),'Atividades Micro'!$K553,"")</f>
        <v/>
      </c>
      <c r="CN501" s="21" t="str">
        <f>IF(AND('Atividades Micro'!$B553=CN$2,'Atividades Micro'!$G553="Micro",'Atividades Micro'!$K553&lt;&gt;""),'Atividades Micro'!$K553,"")</f>
        <v/>
      </c>
      <c r="CO501" s="21" t="str">
        <f>IF(AND('Atividades Micro'!$B553=CO$2,'Atividades Micro'!$G553="Micro",'Atividades Micro'!$K553&lt;&gt;""),'Atividades Micro'!$K553,"")</f>
        <v/>
      </c>
    </row>
    <row r="502" spans="1:93">
      <c r="A502" s="21" t="str">
        <f>IF(AND('Atividades Micro'!$A554=A$2,'Atividades Micro'!$K554&lt;&gt;""),'Atividades Micro'!$K554,"")</f>
        <v/>
      </c>
      <c r="B502" s="21" t="str">
        <f>IF(AND('Atividades Micro'!$A554=B$2,'Atividades Micro'!$L554&lt;&gt;""),'Atividades Micro'!$L554,"")</f>
        <v/>
      </c>
      <c r="C502" s="21" t="str">
        <f>IF(AND('Atividades Micro'!$A554=C$2,'Atividades Micro'!$K554&lt;&gt;""),'Atividades Micro'!$K554,"")</f>
        <v/>
      </c>
      <c r="D502" s="21" t="str">
        <f>IF(AND('Atividades Micro'!$A554=D$2,'Atividades Micro'!$L554&lt;&gt;""),'Atividades Micro'!$L554,"")</f>
        <v/>
      </c>
      <c r="E502" s="21" t="str">
        <f>IF(AND('Atividades Micro'!$A554=E$2,'Atividades Micro'!$K554&lt;&gt;""),'Atividades Micro'!$K554,"")</f>
        <v/>
      </c>
      <c r="F502" s="21" t="str">
        <f>IF(AND('Atividades Micro'!$A554=F$2,'Atividades Micro'!$L554&lt;&gt;""),'Atividades Micro'!$L554,"")</f>
        <v/>
      </c>
      <c r="G502" s="21" t="str">
        <f>IF(AND('Atividades Micro'!$A554=G$2,'Atividades Micro'!$K554&lt;&gt;""),'Atividades Micro'!$K554,"")</f>
        <v/>
      </c>
      <c r="H502" s="21" t="str">
        <f>IF(AND('Atividades Micro'!$A554=H$2,'Atividades Micro'!$L554&lt;&gt;""),'Atividades Micro'!$L554,"")</f>
        <v/>
      </c>
      <c r="I502" s="21" t="str">
        <f>IF(AND('Atividades Micro'!$A554=I$2,'Atividades Micro'!$K554&lt;&gt;""),'Atividades Micro'!$K554,"")</f>
        <v/>
      </c>
      <c r="J502" s="21" t="str">
        <f>IF(AND('Atividades Micro'!$A554=J$2,'Atividades Micro'!$L554&lt;&gt;""),'Atividades Micro'!$L554,"")</f>
        <v/>
      </c>
      <c r="K502" s="21" t="str">
        <f>IF(AND('Atividades Micro'!$B554=K$2,'Atividades Micro'!$K554&lt;&gt;""),'Atividades Micro'!$K554,"")</f>
        <v/>
      </c>
      <c r="L502" s="21" t="str">
        <f>IF(AND('Atividades Micro'!$B554=L$2,'Atividades Micro'!$L554&lt;&gt;""),'Atividades Micro'!$L554,"")</f>
        <v/>
      </c>
      <c r="M502" s="21" t="str">
        <f>IF(AND('Atividades Micro'!$B554=M$2,'Atividades Micro'!$K554&lt;&gt;""),'Atividades Micro'!$K554,"")</f>
        <v/>
      </c>
      <c r="N502" s="21" t="str">
        <f>IF(AND('Atividades Micro'!$B554=N$2,'Atividades Micro'!$L554&lt;&gt;""),'Atividades Micro'!$L554,"")</f>
        <v/>
      </c>
      <c r="O502" s="21" t="str">
        <f>IF(AND('Atividades Micro'!$A554=O$2,'Atividades Micro'!$K554&lt;&gt;""),'Atividades Micro'!$K554,"")</f>
        <v/>
      </c>
      <c r="P502" s="21" t="str">
        <f>IF(AND('Atividades Micro'!$A554=P$2,'Atividades Micro'!$L554&lt;&gt;""),'Atividades Micro'!$L554,"")</f>
        <v/>
      </c>
      <c r="Q502" s="21" t="str">
        <f>IF(AND('Atividades Micro'!$B554=Q$2,'Atividades Micro'!$K554&lt;&gt;""),'Atividades Micro'!$K554,"")</f>
        <v/>
      </c>
      <c r="R502" s="21" t="str">
        <f>IF(AND('Atividades Micro'!$B554=R$2,'Atividades Micro'!$L554&lt;&gt;""),'Atividades Micro'!$L554,"")</f>
        <v/>
      </c>
      <c r="S502" s="21" t="str">
        <f>IF(AND('Atividades Micro'!$A554=S$2,'Atividades Micro'!$K554&lt;&gt;""),'Atividades Micro'!$K554,"")</f>
        <v/>
      </c>
      <c r="T502" s="21" t="str">
        <f>IF(AND('Atividades Micro'!$A554=T$2,'Atividades Micro'!$L554&lt;&gt;""),'Atividades Micro'!$L554,"")</f>
        <v/>
      </c>
      <c r="U502" s="21" t="str">
        <f>IF(AND('Atividades Micro'!$B554=U$2,'Atividades Micro'!$K554&lt;&gt;""),'Atividades Micro'!$K554,"")</f>
        <v/>
      </c>
      <c r="V502" s="21" t="str">
        <f>IF(AND('Atividades Micro'!$B554=V$2,'Atividades Micro'!$L554&lt;&gt;""),'Atividades Micro'!$L554,"")</f>
        <v/>
      </c>
      <c r="W502" s="21" t="str">
        <f>IF(AND('Atividades Micro'!$B554=W$2,'Atividades Micro'!$K554&lt;&gt;""),'Atividades Micro'!$K554,"")</f>
        <v/>
      </c>
      <c r="X502" s="21" t="str">
        <f>IF(AND('Atividades Micro'!$B554=X$2,'Atividades Micro'!$L554&lt;&gt;""),'Atividades Micro'!$L554,"")</f>
        <v/>
      </c>
      <c r="Y502" s="21" t="str">
        <f>IF(AND('Atividades Micro'!$A554=Y$2,'Atividades Micro'!$K554&lt;&gt;""),'Atividades Micro'!$K554,"")</f>
        <v/>
      </c>
      <c r="Z502" s="21" t="str">
        <f>IF(AND('Atividades Micro'!$A554=Z$2,'Atividades Micro'!$L554&lt;&gt;""),'Atividades Micro'!$L554,"")</f>
        <v/>
      </c>
      <c r="AA502" s="21" t="str">
        <f>IF(AND('Atividades Micro'!$B554=AA$2,'Atividades Micro'!$K554&lt;&gt;""),'Atividades Micro'!$K554,"")</f>
        <v/>
      </c>
      <c r="AB502" s="21" t="str">
        <f>IF(AND('Atividades Micro'!$B554=AB$2,'Atividades Micro'!$L554&lt;&gt;""),'Atividades Micro'!$L554,"")</f>
        <v/>
      </c>
      <c r="AC502" s="21" t="str">
        <f>IF(AND('Atividades Micro'!$B554=AC$2,'Atividades Micro'!$K554&lt;&gt;""),'Atividades Micro'!$K554,"")</f>
        <v/>
      </c>
      <c r="AD502" s="21" t="str">
        <f>IF(AND('Atividades Micro'!$B554=AD$2,'Atividades Micro'!$L554&lt;&gt;""),'Atividades Micro'!$L554,"")</f>
        <v/>
      </c>
      <c r="AE502" s="21" t="str">
        <f>IF(AND('Atividades Micro'!$A554=AE$2,'Atividades Micro'!$K554&lt;&gt;""),'Atividades Micro'!$K554,"")</f>
        <v/>
      </c>
      <c r="AF502" s="21" t="str">
        <f>IF(AND('Atividades Micro'!$A554=AF$2,'Atividades Micro'!$L554&lt;&gt;""),'Atividades Micro'!$L554,"")</f>
        <v/>
      </c>
      <c r="AG502" s="21" t="str">
        <f>IF(AND('Atividades Micro'!$B554=AG$2,'Atividades Micro'!$K554&lt;&gt;""),'Atividades Micro'!$K554,"")</f>
        <v/>
      </c>
      <c r="AH502" s="21" t="str">
        <f>IF(AND('Atividades Micro'!$B554=AH$2,'Atividades Micro'!$L554&lt;&gt;""),'Atividades Micro'!$L554,"")</f>
        <v/>
      </c>
      <c r="AI502" s="21" t="str">
        <f>IF(AND('Atividades Micro'!$B554=AI$2,'Atividades Micro'!$K554&lt;&gt;""),'Atividades Micro'!$K554,"")</f>
        <v/>
      </c>
      <c r="AJ502" s="21" t="str">
        <f>IF(AND('Atividades Micro'!$B554=AJ$2,'Atividades Micro'!$L554&lt;&gt;""),'Atividades Micro'!$L554,"")</f>
        <v/>
      </c>
      <c r="AK502" s="21" t="str">
        <f>IF(AND('Atividades Micro'!$A554=AK$2,'Atividades Micro'!$K554&lt;&gt;""),'Atividades Micro'!$K554,"")</f>
        <v/>
      </c>
      <c r="AL502" s="21" t="str">
        <f>IF(AND('Atividades Micro'!$A554=AL$2,'Atividades Micro'!$L554&lt;&gt;""),'Atividades Micro'!$L554,"")</f>
        <v/>
      </c>
      <c r="AM502" s="21" t="str">
        <f>IF(AND('Atividades Micro'!$B554=AM$2,'Atividades Micro'!$K554&lt;&gt;""),'Atividades Micro'!$K554,"")</f>
        <v/>
      </c>
      <c r="AN502" s="21" t="str">
        <f>IF(AND('Atividades Micro'!$B554=AN$2,'Atividades Micro'!$L554&lt;&gt;""),'Atividades Micro'!$L554,"")</f>
        <v/>
      </c>
      <c r="AO502" s="21" t="str">
        <f>IF(AND('Atividades Micro'!$B554=AO$2,'Atividades Micro'!$K554&lt;&gt;""),'Atividades Micro'!$K554,"")</f>
        <v/>
      </c>
      <c r="AP502" s="21" t="str">
        <f>IF(AND('Atividades Micro'!$B554=AP$2,'Atividades Micro'!$L554&lt;&gt;""),'Atividades Micro'!$L554,"")</f>
        <v/>
      </c>
      <c r="AQ502" s="21" t="str">
        <f>IF(AND('Atividades Micro'!$A554=AQ$2,'Atividades Micro'!$K554&lt;&gt;""),'Atividades Micro'!$K554,"")</f>
        <v/>
      </c>
      <c r="AR502" s="21" t="str">
        <f>IF(AND('Atividades Micro'!$A554=AR$2,'Atividades Micro'!$L554&lt;&gt;""),'Atividades Micro'!$L554,"")</f>
        <v/>
      </c>
      <c r="AS502" s="21" t="str">
        <f>IF(AND('Atividades Micro'!$B554=AS$2,'Atividades Micro'!$K554&lt;&gt;""),'Atividades Micro'!$K554,"")</f>
        <v/>
      </c>
      <c r="AT502" s="21" t="str">
        <f>IF(AND('Atividades Micro'!$B554=AT$2,'Atividades Micro'!$L554&lt;&gt;""),'Atividades Micro'!$L554,"")</f>
        <v/>
      </c>
      <c r="AU502" s="21" t="str">
        <f>IF(AND('Atividades Micro'!$A554=AU$2,'Atividades Micro'!$K554&lt;&gt;""),'Atividades Micro'!$K554,"")</f>
        <v/>
      </c>
      <c r="AV502" s="21" t="str">
        <f>IF(AND('Atividades Micro'!$A554=AV$2,'Atividades Micro'!$L554&lt;&gt;""),'Atividades Micro'!$L554,"")</f>
        <v/>
      </c>
      <c r="AW502" s="21" t="str">
        <f>IF(AND('Atividades Micro'!$B554=AW$2,'Atividades Micro'!$K554&lt;&gt;""),'Atividades Micro'!$K554,"")</f>
        <v/>
      </c>
      <c r="AX502" s="21" t="str">
        <f>IF(AND('Atividades Micro'!$B554=AX$2,'Atividades Micro'!$L554&lt;&gt;""),'Atividades Micro'!$L554,"")</f>
        <v/>
      </c>
      <c r="AY502" s="21" t="str">
        <f>IF(AND('Atividades Micro'!$A554=AY$2,'Atividades Micro'!$K554&lt;&gt;""),'Atividades Micro'!$K554,"")</f>
        <v/>
      </c>
      <c r="AZ502" s="21" t="str">
        <f>IF(AND('Atividades Micro'!$A554=AZ$2,'Atividades Micro'!$L554&lt;&gt;""),'Atividades Micro'!$L554,"")</f>
        <v/>
      </c>
      <c r="BA502" s="21" t="str">
        <f>IF(AND('Atividades Micro'!$B554=BA$2,'Atividades Micro'!$K554&lt;&gt;""),'Atividades Micro'!$K554,"")</f>
        <v/>
      </c>
      <c r="BB502" s="21" t="str">
        <f>IF(AND('Atividades Micro'!$B554=BB$2,'Atividades Micro'!$L554&lt;&gt;""),'Atividades Micro'!$L554,"")</f>
        <v/>
      </c>
      <c r="BC502" s="21" t="str">
        <f>IF(AND('Atividades Micro'!$B554=BC$2,'Atividades Micro'!$G554="Macro",'Atividades Micro'!$K554&lt;&gt;""),'Atividades Micro'!$K554,"")</f>
        <v/>
      </c>
      <c r="BD502" s="21" t="str">
        <f>IF(AND('Atividades Micro'!$B554=BD$2,'Atividades Micro'!$G554="Macro",'Atividades Micro'!$K554&lt;&gt;""),'Atividades Micro'!$K554,"")</f>
        <v/>
      </c>
      <c r="BE502" s="21" t="str">
        <f>IF(AND('Atividades Micro'!$B554=BE$2,'Atividades Micro'!$G554="Macro",'Atividades Micro'!$K554&lt;&gt;""),'Atividades Micro'!$K554,"")</f>
        <v/>
      </c>
      <c r="BF502" s="21" t="str">
        <f>IF(AND('Atividades Micro'!$B554=BF$2,'Atividades Micro'!$G554="Macro",'Atividades Micro'!$K554&lt;&gt;""),'Atividades Micro'!$K554,"")</f>
        <v/>
      </c>
      <c r="BG502" s="21" t="str">
        <f>IF(AND('Atividades Micro'!$B554=BG$2,'Atividades Micro'!$G554="Macro",'Atividades Micro'!$K554&lt;&gt;""),'Atividades Micro'!$K554,"")</f>
        <v/>
      </c>
      <c r="BH502" s="21" t="str">
        <f>IF(AND('Atividades Micro'!$B554=BH$2,'Atividades Micro'!$G554="Macro",'Atividades Micro'!$K554&lt;&gt;""),'Atividades Micro'!$K554,"")</f>
        <v/>
      </c>
      <c r="BI502" s="21" t="str">
        <f>IF(AND('Atividades Micro'!$B554=BI$2,'Atividades Micro'!$G554="Macro",'Atividades Micro'!$K554&lt;&gt;""),'Atividades Micro'!$K554,"")</f>
        <v/>
      </c>
      <c r="BJ502" s="21" t="str">
        <f>IF(AND('Atividades Micro'!$B554=BJ$2,'Atividades Micro'!$G554="Macro",'Atividades Micro'!$K554&lt;&gt;""),'Atividades Micro'!$K554,"")</f>
        <v/>
      </c>
      <c r="BK502" s="21" t="str">
        <f>IF(AND('Atividades Micro'!$B554=BK$2,'Atividades Micro'!$G554="Macro",'Atividades Micro'!$K554&lt;&gt;""),'Atividades Micro'!$K554,"")</f>
        <v/>
      </c>
      <c r="BL502" s="21" t="str">
        <f>IF(AND('Atividades Micro'!$B554=BL$2,'Atividades Micro'!$G554="Macro",'Atividades Micro'!$K554&lt;&gt;""),'Atividades Micro'!$K554,"")</f>
        <v/>
      </c>
      <c r="BM502" s="21" t="str">
        <f>IF(AND('Atividades Micro'!$B554=BM$2,'Atividades Micro'!$G554="Macro",'Atividades Micro'!$K554&lt;&gt;""),'Atividades Micro'!$K554,"")</f>
        <v/>
      </c>
      <c r="BN502" s="21" t="str">
        <f>IF(AND('Atividades Micro'!$B554=BN$2,'Atividades Micro'!$G554="Macro",'Atividades Micro'!$K554&lt;&gt;""),'Atividades Micro'!$K554,"")</f>
        <v/>
      </c>
      <c r="BO502" s="21" t="str">
        <f>IF(AND('Atividades Micro'!$B554=BO$2,'Atividades Micro'!$G554="Macro",'Atividades Micro'!$K554&lt;&gt;""),'Atividades Micro'!$K554,"")</f>
        <v/>
      </c>
      <c r="BP502" s="21" t="str">
        <f>IF(AND('Atividades Micro'!$B554=BP$2,'Atividades Micro'!$G554="Macro",'Atividades Micro'!$K554&lt;&gt;""),'Atividades Micro'!$K554,"")</f>
        <v/>
      </c>
      <c r="BQ502" s="21" t="str">
        <f>IF(AND('Atividades Micro'!$B554=BQ$2,'Atividades Micro'!$G554="Macro",'Atividades Micro'!$K554&lt;&gt;""),'Atividades Micro'!$K554,"")</f>
        <v/>
      </c>
      <c r="BR502" s="21" t="str">
        <f>IF(AND('Atividades Micro'!$B554=BR$2,'Atividades Micro'!$G554="Macro",'Atividades Micro'!$K554&lt;&gt;""),'Atividades Micro'!$K554,"")</f>
        <v/>
      </c>
      <c r="BS502" s="21" t="str">
        <f>IF(AND('Atividades Micro'!$B554=BS$2,'Atividades Micro'!$G554="Macro",'Atividades Micro'!$K554&lt;&gt;""),'Atividades Micro'!$K554,"")</f>
        <v/>
      </c>
      <c r="BT502" s="21" t="str">
        <f>IF(AND('Atividades Micro'!$B554=BT$2,'Atividades Micro'!$G554="Macro",'Atividades Micro'!$K554&lt;&gt;""),'Atividades Micro'!$K554,"")</f>
        <v/>
      </c>
      <c r="BU502" s="21" t="str">
        <f>IF(AND('Atividades Micro'!$B554=BU$2,'Atividades Micro'!$G554="Macro",'Atividades Micro'!$K554&lt;&gt;""),'Atividades Micro'!$K554,"")</f>
        <v/>
      </c>
      <c r="BV502" s="21" t="str">
        <f>IF(AND('Atividades Micro'!$B554=BV$2,'Atividades Micro'!$G554="Macro",'Atividades Micro'!$K554&lt;&gt;""),'Atividades Micro'!$K554,"")</f>
        <v/>
      </c>
      <c r="BW502" s="21" t="str">
        <f>IF(AND('Atividades Micro'!$B554=BW$2,'Atividades Micro'!$G554="Macro",'Atividades Micro'!$K554&lt;&gt;""),'Atividades Micro'!$K554,"")</f>
        <v/>
      </c>
      <c r="BX502" s="21" t="str">
        <f>IF(AND('Atividades Micro'!$B554=BX$2,'Atividades Micro'!$G554="Macro",'Atividades Micro'!$K554&lt;&gt;""),'Atividades Micro'!$K554,"")</f>
        <v/>
      </c>
      <c r="BY502" s="21" t="str">
        <f>IF(AND('Atividades Micro'!$B554=BY$2,'Atividades Micro'!$G554="Macro",'Atividades Micro'!$K554&lt;&gt;""),'Atividades Micro'!$K554,"")</f>
        <v/>
      </c>
      <c r="BZ502" s="21" t="str">
        <f>IF(AND('Atividades Micro'!$B554=BZ$2,'Atividades Micro'!$G554="Macro",'Atividades Micro'!$K554&lt;&gt;""),'Atividades Micro'!$K554,"")</f>
        <v/>
      </c>
      <c r="CA502" s="21" t="str">
        <f>IF(AND('Atividades Micro'!$B554=CA$2,'Atividades Micro'!$G554="Macro",'Atividades Micro'!$K554&lt;&gt;""),'Atividades Micro'!$K554,"")</f>
        <v/>
      </c>
      <c r="CB502" s="21" t="str">
        <f>IF(AND('Atividades Micro'!$B554=CB$2,'Atividades Micro'!$G554="Macro",'Atividades Micro'!$K554&lt;&gt;""),'Atividades Micro'!$K554,"")</f>
        <v/>
      </c>
      <c r="CC502" s="21" t="str">
        <f>IF(AND('Atividades Micro'!$B554=CC$2,'Atividades Micro'!$G554="Macro",'Atividades Micro'!$K554&lt;&gt;""),'Atividades Micro'!$K554,"")</f>
        <v/>
      </c>
      <c r="CD502" s="21" t="str">
        <f>IF(AND('Atividades Micro'!$B554=CD$2,'Atividades Micro'!$G554="Micro",'Atividades Micro'!$K554&lt;&gt;""),'Atividades Micro'!$K554,"")</f>
        <v/>
      </c>
      <c r="CE502" s="21" t="str">
        <f>IF(AND('Atividades Micro'!$B554=CE$2,'Atividades Micro'!$G554="Micro",'Atividades Micro'!$K554&lt;&gt;""),'Atividades Micro'!$K554,"")</f>
        <v/>
      </c>
      <c r="CF502" s="21" t="str">
        <f>IF(AND('Atividades Micro'!$B554=CF$2,'Atividades Micro'!$G554="Micro",'Atividades Micro'!$K554&lt;&gt;""),'Atividades Micro'!$K554,"")</f>
        <v/>
      </c>
      <c r="CG502" s="21" t="str">
        <f>IF(AND('Atividades Micro'!$B554=CG$2,'Atividades Micro'!$G554="Micro",'Atividades Micro'!$K554&lt;&gt;""),'Atividades Micro'!$K554,"")</f>
        <v/>
      </c>
      <c r="CH502" s="21" t="str">
        <f>IF(AND('Atividades Micro'!$B554=CH$2,'Atividades Micro'!$G554="Micro",'Atividades Micro'!$K554&lt;&gt;""),'Atividades Micro'!$K554,"")</f>
        <v/>
      </c>
      <c r="CI502" s="21" t="str">
        <f>IF(AND('Atividades Micro'!$B554=CI$2,'Atividades Micro'!$G554="Micro",'Atividades Micro'!$K554&lt;&gt;""),'Atividades Micro'!$K554,"")</f>
        <v/>
      </c>
      <c r="CJ502" s="21" t="str">
        <f>IF(AND('Atividades Micro'!$B554=CJ$2,'Atividades Micro'!$G554="Micro",'Atividades Micro'!$K554&lt;&gt;""),'Atividades Micro'!$K554,"")</f>
        <v/>
      </c>
      <c r="CK502" s="21" t="str">
        <f>IF(AND('Atividades Micro'!$B554=CK$2,'Atividades Micro'!$G554="Micro",'Atividades Micro'!$K554&lt;&gt;""),'Atividades Micro'!$K554,"")</f>
        <v/>
      </c>
      <c r="CL502" s="21" t="str">
        <f>IF(AND('Atividades Micro'!$B554=CL$2,'Atividades Micro'!$G554="Micro",'Atividades Micro'!$K554&lt;&gt;""),'Atividades Micro'!$K554,"")</f>
        <v/>
      </c>
      <c r="CM502" s="21" t="str">
        <f>IF(AND('Atividades Micro'!$B554=CM$2,'Atividades Micro'!$G554="Micro",'Atividades Micro'!$K554&lt;&gt;""),'Atividades Micro'!$K554,"")</f>
        <v/>
      </c>
      <c r="CN502" s="21" t="str">
        <f>IF(AND('Atividades Micro'!$B554=CN$2,'Atividades Micro'!$G554="Micro",'Atividades Micro'!$K554&lt;&gt;""),'Atividades Micro'!$K554,"")</f>
        <v/>
      </c>
      <c r="CO502" s="21" t="str">
        <f>IF(AND('Atividades Micro'!$B554=CO$2,'Atividades Micro'!$G554="Micro",'Atividades Micro'!$K554&lt;&gt;""),'Atividades Micro'!$K554,"")</f>
        <v/>
      </c>
    </row>
  </sheetData>
  <mergeCells count="1">
    <mergeCell ref="A1:C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Painel Executivo Macro</vt:lpstr>
      <vt:lpstr>Painel Executivo Micro</vt:lpstr>
      <vt:lpstr>Resumo por Frente</vt:lpstr>
      <vt:lpstr>Atividades Macro</vt:lpstr>
      <vt:lpstr>Atividades Micro</vt:lpstr>
      <vt:lpstr>Evolução Semanal Micro</vt:lpstr>
      <vt:lpstr>CRs Atividades Micro</vt:lpstr>
      <vt:lpstr>Cálculos (apoio)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Ednaldo Silva</dc:creator>
  <cp:lastModifiedBy>Ednaldo Silva</cp:lastModifiedBy>
  <dcterms:created xsi:type="dcterms:W3CDTF">2026-08-27T21:46:55Z</dcterms:created>
  <dcterms:modified xsi:type="dcterms:W3CDTF">2026-10-26T18:12:34Z</dcterms:modified>
</cp:coreProperties>
</file>